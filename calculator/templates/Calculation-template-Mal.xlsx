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Kålen\Desktop\"/>
    </mc:Choice>
  </mc:AlternateContent>
  <xr:revisionPtr revIDLastSave="0" documentId="13_ncr:1_{52FEE098-3188-4449-ADF8-D706ABFB9478}" xr6:coauthVersionLast="47" xr6:coauthVersionMax="47" xr10:uidLastSave="{00000000-0000-0000-0000-000000000000}"/>
  <bookViews>
    <workbookView xWindow="28680" yWindow="-120" windowWidth="29040" windowHeight="15720" activeTab="1" xr2:uid="{F0120B8F-C750-4EFC-83CE-D7DAB56C8915}"/>
  </bookViews>
  <sheets>
    <sheet name="Curr" sheetId="5" r:id="rId1"/>
    <sheet name="Kalk" sheetId="6" r:id="rId2"/>
  </sheets>
  <definedNames>
    <definedName name="_xlnm._FilterDatabase" localSheetId="1" hidden="1">Kalk!$B$6:$AE$101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9" i="6" l="1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X77" i="6" s="1"/>
  <c r="W76" i="6"/>
  <c r="W75" i="6"/>
  <c r="W74" i="6"/>
  <c r="W73" i="6"/>
  <c r="W72" i="6"/>
  <c r="W71" i="6"/>
  <c r="W70" i="6"/>
  <c r="W69" i="6"/>
  <c r="X69" i="6" s="1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Z110" i="6"/>
  <c r="Z106" i="6"/>
  <c r="Z109" i="6"/>
  <c r="S63" i="6"/>
  <c r="U63" i="6" s="1"/>
  <c r="Y63" i="6"/>
  <c r="AC63" i="6" s="1"/>
  <c r="Z63" i="6"/>
  <c r="AB63" i="6"/>
  <c r="S64" i="6"/>
  <c r="U64" i="6" s="1"/>
  <c r="X64" i="6" s="1"/>
  <c r="Y64" i="6"/>
  <c r="Z64" i="6"/>
  <c r="AB64" i="6"/>
  <c r="S65" i="6"/>
  <c r="U65" i="6"/>
  <c r="Y65" i="6"/>
  <c r="Z65" i="6" s="1"/>
  <c r="AB65" i="6"/>
  <c r="S66" i="6"/>
  <c r="U66" i="6"/>
  <c r="Y66" i="6"/>
  <c r="Z66" i="6" s="1"/>
  <c r="AB66" i="6"/>
  <c r="S67" i="6"/>
  <c r="U67" i="6" s="1"/>
  <c r="Y67" i="6"/>
  <c r="Z67" i="6"/>
  <c r="AB67" i="6"/>
  <c r="AC67" i="6"/>
  <c r="S68" i="6"/>
  <c r="U68" i="6" s="1"/>
  <c r="X68" i="6" s="1"/>
  <c r="Y68" i="6"/>
  <c r="Z68" i="6"/>
  <c r="AB68" i="6"/>
  <c r="S69" i="6"/>
  <c r="U69" i="6"/>
  <c r="Y69" i="6"/>
  <c r="Z69" i="6" s="1"/>
  <c r="AB69" i="6"/>
  <c r="S70" i="6"/>
  <c r="U70" i="6"/>
  <c r="Y70" i="6"/>
  <c r="Z70" i="6" s="1"/>
  <c r="AB70" i="6"/>
  <c r="AC70" i="6"/>
  <c r="S71" i="6"/>
  <c r="U71" i="6" s="1"/>
  <c r="Y71" i="6"/>
  <c r="Z71" i="6"/>
  <c r="AB71" i="6"/>
  <c r="AC71" i="6"/>
  <c r="S72" i="6"/>
  <c r="U72" i="6" s="1"/>
  <c r="Y72" i="6"/>
  <c r="Z72" i="6"/>
  <c r="AB72" i="6"/>
  <c r="S73" i="6"/>
  <c r="U73" i="6"/>
  <c r="X73" i="6"/>
  <c r="Y73" i="6"/>
  <c r="Z73" i="6" s="1"/>
  <c r="AB73" i="6"/>
  <c r="S74" i="6"/>
  <c r="U74" i="6"/>
  <c r="Y74" i="6"/>
  <c r="Z74" i="6" s="1"/>
  <c r="AB74" i="6"/>
  <c r="AC74" i="6"/>
  <c r="S75" i="6"/>
  <c r="U75" i="6" s="1"/>
  <c r="X75" i="6" s="1"/>
  <c r="Y75" i="6"/>
  <c r="Z75" i="6"/>
  <c r="AB75" i="6"/>
  <c r="AC75" i="6"/>
  <c r="S76" i="6"/>
  <c r="U76" i="6" s="1"/>
  <c r="Y76" i="6"/>
  <c r="AC76" i="6" s="1"/>
  <c r="AB76" i="6"/>
  <c r="S77" i="6"/>
  <c r="U77" i="6"/>
  <c r="Y77" i="6"/>
  <c r="Z77" i="6" s="1"/>
  <c r="AB77" i="6"/>
  <c r="S78" i="6"/>
  <c r="U78" i="6"/>
  <c r="Y78" i="6"/>
  <c r="Z78" i="6" s="1"/>
  <c r="AB78" i="6"/>
  <c r="AC78" i="6"/>
  <c r="S79" i="6"/>
  <c r="U79" i="6" s="1"/>
  <c r="Y79" i="6"/>
  <c r="Z79" i="6"/>
  <c r="AB79" i="6"/>
  <c r="AC79" i="6"/>
  <c r="S80" i="6"/>
  <c r="U80" i="6" s="1"/>
  <c r="Y80" i="6"/>
  <c r="AC80" i="6" s="1"/>
  <c r="Z80" i="6"/>
  <c r="AB80" i="6"/>
  <c r="S81" i="6"/>
  <c r="U81" i="6"/>
  <c r="Y81" i="6"/>
  <c r="Z81" i="6" s="1"/>
  <c r="AB81" i="6"/>
  <c r="S82" i="6"/>
  <c r="U82" i="6"/>
  <c r="Y82" i="6"/>
  <c r="Z82" i="6" s="1"/>
  <c r="AB82" i="6"/>
  <c r="AC82" i="6"/>
  <c r="S83" i="6"/>
  <c r="U83" i="6" s="1"/>
  <c r="Y83" i="6"/>
  <c r="AC83" i="6" s="1"/>
  <c r="Z83" i="6"/>
  <c r="AB83" i="6"/>
  <c r="S84" i="6"/>
  <c r="U84" i="6" s="1"/>
  <c r="Y84" i="6"/>
  <c r="Z84" i="6"/>
  <c r="AB84" i="6"/>
  <c r="S85" i="6"/>
  <c r="U85" i="6" s="1"/>
  <c r="Y85" i="6"/>
  <c r="Z85" i="6" s="1"/>
  <c r="AB85" i="6"/>
  <c r="S86" i="6"/>
  <c r="U86" i="6"/>
  <c r="Y86" i="6"/>
  <c r="Z86" i="6" s="1"/>
  <c r="AB86" i="6"/>
  <c r="S87" i="6"/>
  <c r="U87" i="6" s="1"/>
  <c r="Y87" i="6"/>
  <c r="Z87" i="6"/>
  <c r="AB87" i="6"/>
  <c r="AC87" i="6"/>
  <c r="S88" i="6"/>
  <c r="U88" i="6" s="1"/>
  <c r="Y88" i="6"/>
  <c r="Z88" i="6"/>
  <c r="AB88" i="6"/>
  <c r="S89" i="6"/>
  <c r="U89" i="6"/>
  <c r="Y89" i="6"/>
  <c r="Z89" i="6" s="1"/>
  <c r="AB89" i="6"/>
  <c r="S90" i="6"/>
  <c r="U90" i="6"/>
  <c r="Y90" i="6"/>
  <c r="Z90" i="6" s="1"/>
  <c r="AB90" i="6"/>
  <c r="AC90" i="6"/>
  <c r="S91" i="6"/>
  <c r="U91" i="6" s="1"/>
  <c r="Y91" i="6"/>
  <c r="Z91" i="6"/>
  <c r="AB91" i="6"/>
  <c r="AC91" i="6"/>
  <c r="S92" i="6"/>
  <c r="U92" i="6" s="1"/>
  <c r="Y92" i="6"/>
  <c r="Z92" i="6"/>
  <c r="AB92" i="6"/>
  <c r="S93" i="6"/>
  <c r="U93" i="6"/>
  <c r="Y93" i="6"/>
  <c r="Z93" i="6" s="1"/>
  <c r="AB93" i="6"/>
  <c r="S94" i="6"/>
  <c r="U94" i="6"/>
  <c r="Y94" i="6"/>
  <c r="Z94" i="6" s="1"/>
  <c r="AB94" i="6"/>
  <c r="AC94" i="6"/>
  <c r="S95" i="6"/>
  <c r="U95" i="6" s="1"/>
  <c r="Y95" i="6"/>
  <c r="Z95" i="6"/>
  <c r="AB95" i="6"/>
  <c r="AC95" i="6"/>
  <c r="S96" i="6"/>
  <c r="U96" i="6" s="1"/>
  <c r="Y96" i="6"/>
  <c r="AC96" i="6" s="1"/>
  <c r="Z96" i="6"/>
  <c r="AB96" i="6"/>
  <c r="S97" i="6"/>
  <c r="U97" i="6"/>
  <c r="Y97" i="6"/>
  <c r="Z97" i="6" s="1"/>
  <c r="AB97" i="6"/>
  <c r="S98" i="6"/>
  <c r="U98" i="6"/>
  <c r="X98" i="6" s="1"/>
  <c r="Y98" i="6"/>
  <c r="Z98" i="6" s="1"/>
  <c r="AB98" i="6"/>
  <c r="AC98" i="6"/>
  <c r="S11" i="6"/>
  <c r="U11" i="6" s="1"/>
  <c r="Y11" i="6"/>
  <c r="Z11" i="6" s="1"/>
  <c r="AB11" i="6"/>
  <c r="S12" i="6"/>
  <c r="U12" i="6" s="1"/>
  <c r="Y12" i="6"/>
  <c r="Z12" i="6" s="1"/>
  <c r="AB12" i="6"/>
  <c r="S13" i="6"/>
  <c r="U13" i="6" s="1"/>
  <c r="Y13" i="6"/>
  <c r="Z13" i="6" s="1"/>
  <c r="AB13" i="6"/>
  <c r="S14" i="6"/>
  <c r="U14" i="6" s="1"/>
  <c r="Y14" i="6"/>
  <c r="Z14" i="6" s="1"/>
  <c r="AB14" i="6"/>
  <c r="S15" i="6"/>
  <c r="U15" i="6" s="1"/>
  <c r="Y15" i="6"/>
  <c r="Z15" i="6" s="1"/>
  <c r="AB15" i="6"/>
  <c r="S16" i="6"/>
  <c r="U16" i="6" s="1"/>
  <c r="Y16" i="6"/>
  <c r="AB16" i="6"/>
  <c r="S17" i="6"/>
  <c r="U17" i="6" s="1"/>
  <c r="Y17" i="6"/>
  <c r="Z17" i="6" s="1"/>
  <c r="AB17" i="6"/>
  <c r="S18" i="6"/>
  <c r="U18" i="6" s="1"/>
  <c r="Y18" i="6"/>
  <c r="Z18" i="6" s="1"/>
  <c r="AB18" i="6"/>
  <c r="S19" i="6"/>
  <c r="U19" i="6" s="1"/>
  <c r="Y19" i="6"/>
  <c r="AB19" i="6"/>
  <c r="S20" i="6"/>
  <c r="U20" i="6" s="1"/>
  <c r="Y20" i="6"/>
  <c r="Z20" i="6" s="1"/>
  <c r="AB20" i="6"/>
  <c r="S21" i="6"/>
  <c r="U21" i="6" s="1"/>
  <c r="Y21" i="6"/>
  <c r="Z21" i="6" s="1"/>
  <c r="AB21" i="6"/>
  <c r="S22" i="6"/>
  <c r="U22" i="6" s="1"/>
  <c r="Y22" i="6"/>
  <c r="Z22" i="6" s="1"/>
  <c r="AB22" i="6"/>
  <c r="S23" i="6"/>
  <c r="U23" i="6" s="1"/>
  <c r="Y23" i="6"/>
  <c r="Z23" i="6" s="1"/>
  <c r="AB23" i="6"/>
  <c r="S24" i="6"/>
  <c r="U24" i="6" s="1"/>
  <c r="Y24" i="6"/>
  <c r="AB24" i="6"/>
  <c r="S25" i="6"/>
  <c r="U25" i="6" s="1"/>
  <c r="Y25" i="6"/>
  <c r="Z25" i="6" s="1"/>
  <c r="AB25" i="6"/>
  <c r="S26" i="6"/>
  <c r="U26" i="6" s="1"/>
  <c r="Y26" i="6"/>
  <c r="Z26" i="6" s="1"/>
  <c r="AB26" i="6"/>
  <c r="S27" i="6"/>
  <c r="U27" i="6" s="1"/>
  <c r="Y27" i="6"/>
  <c r="Z27" i="6" s="1"/>
  <c r="AB27" i="6"/>
  <c r="S28" i="6"/>
  <c r="U28" i="6" s="1"/>
  <c r="Y28" i="6"/>
  <c r="Z28" i="6" s="1"/>
  <c r="AB28" i="6"/>
  <c r="S29" i="6"/>
  <c r="U29" i="6" s="1"/>
  <c r="Y29" i="6"/>
  <c r="Z29" i="6" s="1"/>
  <c r="AB29" i="6"/>
  <c r="S30" i="6"/>
  <c r="U30" i="6" s="1"/>
  <c r="Y30" i="6"/>
  <c r="Z30" i="6" s="1"/>
  <c r="AB30" i="6"/>
  <c r="S31" i="6"/>
  <c r="U31" i="6" s="1"/>
  <c r="Y31" i="6"/>
  <c r="Z31" i="6" s="1"/>
  <c r="AB31" i="6"/>
  <c r="S32" i="6"/>
  <c r="U32" i="6" s="1"/>
  <c r="Y32" i="6"/>
  <c r="AB32" i="6"/>
  <c r="S33" i="6"/>
  <c r="U33" i="6" s="1"/>
  <c r="Y33" i="6"/>
  <c r="Z33" i="6" s="1"/>
  <c r="AB33" i="6"/>
  <c r="S34" i="6"/>
  <c r="U34" i="6" s="1"/>
  <c r="Y34" i="6"/>
  <c r="Z34" i="6" s="1"/>
  <c r="AB34" i="6"/>
  <c r="S35" i="6"/>
  <c r="U35" i="6" s="1"/>
  <c r="Y35" i="6"/>
  <c r="Z35" i="6" s="1"/>
  <c r="AB35" i="6"/>
  <c r="S36" i="6"/>
  <c r="U36" i="6" s="1"/>
  <c r="Y36" i="6"/>
  <c r="Z36" i="6" s="1"/>
  <c r="AB36" i="6"/>
  <c r="S37" i="6"/>
  <c r="U37" i="6" s="1"/>
  <c r="Y37" i="6"/>
  <c r="Z37" i="6" s="1"/>
  <c r="AB37" i="6"/>
  <c r="S38" i="6"/>
  <c r="U38" i="6" s="1"/>
  <c r="Y38" i="6"/>
  <c r="Z38" i="6" s="1"/>
  <c r="AB38" i="6"/>
  <c r="S39" i="6"/>
  <c r="U39" i="6" s="1"/>
  <c r="Y39" i="6"/>
  <c r="Z39" i="6" s="1"/>
  <c r="AB39" i="6"/>
  <c r="S40" i="6"/>
  <c r="U40" i="6" s="1"/>
  <c r="Y40" i="6"/>
  <c r="AB40" i="6"/>
  <c r="S41" i="6"/>
  <c r="U41" i="6" s="1"/>
  <c r="Y41" i="6"/>
  <c r="Z41" i="6" s="1"/>
  <c r="AB41" i="6"/>
  <c r="S42" i="6"/>
  <c r="U42" i="6" s="1"/>
  <c r="Y42" i="6"/>
  <c r="Z42" i="6" s="1"/>
  <c r="AB42" i="6"/>
  <c r="S43" i="6"/>
  <c r="U43" i="6" s="1"/>
  <c r="Y43" i="6"/>
  <c r="Z43" i="6" s="1"/>
  <c r="AB43" i="6"/>
  <c r="S44" i="6"/>
  <c r="U44" i="6" s="1"/>
  <c r="Y44" i="6"/>
  <c r="Z44" i="6" s="1"/>
  <c r="AB44" i="6"/>
  <c r="S45" i="6"/>
  <c r="U45" i="6" s="1"/>
  <c r="Y45" i="6"/>
  <c r="AB45" i="6"/>
  <c r="S46" i="6"/>
  <c r="U46" i="6" s="1"/>
  <c r="Y46" i="6"/>
  <c r="Z46" i="6" s="1"/>
  <c r="AB46" i="6"/>
  <c r="S47" i="6"/>
  <c r="U47" i="6" s="1"/>
  <c r="Y47" i="6"/>
  <c r="Z47" i="6" s="1"/>
  <c r="AB47" i="6"/>
  <c r="S48" i="6"/>
  <c r="U48" i="6" s="1"/>
  <c r="Y48" i="6"/>
  <c r="Z48" i="6" s="1"/>
  <c r="AB48" i="6"/>
  <c r="S49" i="6"/>
  <c r="U49" i="6" s="1"/>
  <c r="Y49" i="6"/>
  <c r="AB49" i="6"/>
  <c r="S50" i="6"/>
  <c r="U50" i="6" s="1"/>
  <c r="Y50" i="6"/>
  <c r="Z50" i="6" s="1"/>
  <c r="AB50" i="6"/>
  <c r="S51" i="6"/>
  <c r="U51" i="6" s="1"/>
  <c r="Y51" i="6"/>
  <c r="Z51" i="6" s="1"/>
  <c r="AB51" i="6"/>
  <c r="S52" i="6"/>
  <c r="U52" i="6" s="1"/>
  <c r="Y52" i="6"/>
  <c r="Z52" i="6" s="1"/>
  <c r="AB52" i="6"/>
  <c r="S53" i="6"/>
  <c r="U53" i="6" s="1"/>
  <c r="Y53" i="6"/>
  <c r="AB53" i="6"/>
  <c r="S54" i="6"/>
  <c r="U54" i="6" s="1"/>
  <c r="Y54" i="6"/>
  <c r="Z54" i="6" s="1"/>
  <c r="AB54" i="6"/>
  <c r="S55" i="6"/>
  <c r="U55" i="6" s="1"/>
  <c r="Y55" i="6"/>
  <c r="Z55" i="6" s="1"/>
  <c r="AB55" i="6"/>
  <c r="S56" i="6"/>
  <c r="U56" i="6" s="1"/>
  <c r="Y56" i="6"/>
  <c r="AB56" i="6"/>
  <c r="S57" i="6"/>
  <c r="U57" i="6" s="1"/>
  <c r="Y57" i="6"/>
  <c r="AB57" i="6"/>
  <c r="S58" i="6"/>
  <c r="U58" i="6" s="1"/>
  <c r="Y58" i="6"/>
  <c r="Z58" i="6" s="1"/>
  <c r="AB58" i="6"/>
  <c r="S59" i="6"/>
  <c r="U59" i="6" s="1"/>
  <c r="Y59" i="6"/>
  <c r="Z59" i="6" s="1"/>
  <c r="AB59" i="6"/>
  <c r="S60" i="6"/>
  <c r="U60" i="6" s="1"/>
  <c r="Y60" i="6"/>
  <c r="Z60" i="6" s="1"/>
  <c r="AB60" i="6"/>
  <c r="S61" i="6"/>
  <c r="U61" i="6" s="1"/>
  <c r="Y61" i="6"/>
  <c r="AB61" i="6"/>
  <c r="S62" i="6"/>
  <c r="U62" i="6" s="1"/>
  <c r="Y62" i="6"/>
  <c r="Z62" i="6" s="1"/>
  <c r="AB62" i="6"/>
  <c r="S99" i="6"/>
  <c r="U99" i="6" s="1"/>
  <c r="Y99" i="6"/>
  <c r="Z99" i="6" s="1"/>
  <c r="AB99" i="6"/>
  <c r="S8" i="6"/>
  <c r="U8" i="6" s="1"/>
  <c r="Y8" i="6"/>
  <c r="Z8" i="6" s="1"/>
  <c r="AB8" i="6"/>
  <c r="S9" i="6"/>
  <c r="U9" i="6" s="1"/>
  <c r="Y9" i="6"/>
  <c r="AB9" i="6"/>
  <c r="S10" i="6"/>
  <c r="U10" i="6" s="1"/>
  <c r="Y10" i="6"/>
  <c r="Z10" i="6" s="1"/>
  <c r="AB10" i="6"/>
  <c r="X82" i="6" l="1"/>
  <c r="X85" i="6"/>
  <c r="X65" i="6"/>
  <c r="X76" i="6"/>
  <c r="AD76" i="6" s="1"/>
  <c r="AE76" i="6" s="1"/>
  <c r="X95" i="6"/>
  <c r="AD95" i="6" s="1"/>
  <c r="AE95" i="6" s="1"/>
  <c r="X92" i="6"/>
  <c r="X89" i="6"/>
  <c r="X79" i="6"/>
  <c r="AD74" i="6"/>
  <c r="AE74" i="6" s="1"/>
  <c r="X72" i="6"/>
  <c r="X86" i="6"/>
  <c r="AD86" i="6" s="1"/>
  <c r="AE86" i="6" s="1"/>
  <c r="X93" i="6"/>
  <c r="X83" i="6"/>
  <c r="X66" i="6"/>
  <c r="AD98" i="6"/>
  <c r="AE98" i="6" s="1"/>
  <c r="X90" i="6"/>
  <c r="AD90" i="6" s="1"/>
  <c r="AE90" i="6" s="1"/>
  <c r="AC64" i="6"/>
  <c r="AD64" i="6" s="1"/>
  <c r="AE64" i="6" s="1"/>
  <c r="X96" i="6"/>
  <c r="AD96" i="6" s="1"/>
  <c r="AE96" i="6" s="1"/>
  <c r="AC84" i="6"/>
  <c r="AD84" i="6" s="1"/>
  <c r="AE84" i="6" s="1"/>
  <c r="X80" i="6"/>
  <c r="AD80" i="6" s="1"/>
  <c r="AE80" i="6" s="1"/>
  <c r="X70" i="6"/>
  <c r="AD70" i="6" s="1"/>
  <c r="AE70" i="6" s="1"/>
  <c r="X63" i="6"/>
  <c r="AD63" i="6" s="1"/>
  <c r="AE63" i="6" s="1"/>
  <c r="X97" i="6"/>
  <c r="AC88" i="6"/>
  <c r="AD88" i="6" s="1"/>
  <c r="AE88" i="6" s="1"/>
  <c r="X87" i="6"/>
  <c r="AD87" i="6" s="1"/>
  <c r="AE87" i="6" s="1"/>
  <c r="X84" i="6"/>
  <c r="X81" i="6"/>
  <c r="X74" i="6"/>
  <c r="X94" i="6"/>
  <c r="AD94" i="6" s="1"/>
  <c r="AE94" i="6" s="1"/>
  <c r="AC86" i="6"/>
  <c r="X78" i="6"/>
  <c r="AD78" i="6" s="1"/>
  <c r="AE78" i="6" s="1"/>
  <c r="AC68" i="6"/>
  <c r="X67" i="6"/>
  <c r="AD67" i="6" s="1"/>
  <c r="AE67" i="6" s="1"/>
  <c r="AC92" i="6"/>
  <c r="X91" i="6"/>
  <c r="AD91" i="6" s="1"/>
  <c r="AE91" i="6" s="1"/>
  <c r="X88" i="6"/>
  <c r="Z76" i="6"/>
  <c r="AC72" i="6"/>
  <c r="X71" i="6"/>
  <c r="AD71" i="6" s="1"/>
  <c r="AE71" i="6" s="1"/>
  <c r="AC66" i="6"/>
  <c r="AD66" i="6" s="1"/>
  <c r="AE66" i="6" s="1"/>
  <c r="Z111" i="6"/>
  <c r="AD68" i="6"/>
  <c r="AE68" i="6" s="1"/>
  <c r="AD72" i="6"/>
  <c r="AE72" i="6" s="1"/>
  <c r="AD82" i="6"/>
  <c r="AE82" i="6" s="1"/>
  <c r="AD75" i="6"/>
  <c r="AE75" i="6" s="1"/>
  <c r="AD79" i="6"/>
  <c r="AE79" i="6" s="1"/>
  <c r="AD83" i="6"/>
  <c r="AE83" i="6" s="1"/>
  <c r="AC97" i="6"/>
  <c r="AC93" i="6"/>
  <c r="AC89" i="6"/>
  <c r="AC85" i="6"/>
  <c r="AC81" i="6"/>
  <c r="AC77" i="6"/>
  <c r="AD77" i="6" s="1"/>
  <c r="AE77" i="6" s="1"/>
  <c r="AC73" i="6"/>
  <c r="AD73" i="6" s="1"/>
  <c r="AE73" i="6" s="1"/>
  <c r="AC69" i="6"/>
  <c r="AD69" i="6" s="1"/>
  <c r="AE69" i="6" s="1"/>
  <c r="AC65" i="6"/>
  <c r="AD65" i="6" s="1"/>
  <c r="AE65" i="6" s="1"/>
  <c r="AC24" i="6"/>
  <c r="X21" i="6"/>
  <c r="X49" i="6"/>
  <c r="AC30" i="6"/>
  <c r="AC43" i="6"/>
  <c r="X39" i="6"/>
  <c r="X46" i="6"/>
  <c r="X51" i="6"/>
  <c r="AC9" i="6"/>
  <c r="AC39" i="6"/>
  <c r="AC10" i="6"/>
  <c r="AC26" i="6"/>
  <c r="AC15" i="6"/>
  <c r="X33" i="6"/>
  <c r="X60" i="6"/>
  <c r="X25" i="6"/>
  <c r="X9" i="6"/>
  <c r="AC56" i="6"/>
  <c r="X45" i="6"/>
  <c r="X56" i="6"/>
  <c r="AC16" i="6"/>
  <c r="AC35" i="6"/>
  <c r="X99" i="6"/>
  <c r="X31" i="6"/>
  <c r="X17" i="6"/>
  <c r="X41" i="6"/>
  <c r="X36" i="6"/>
  <c r="X44" i="6"/>
  <c r="X34" i="6"/>
  <c r="AC23" i="6"/>
  <c r="X15" i="6"/>
  <c r="X12" i="6"/>
  <c r="X54" i="6"/>
  <c r="X26" i="6"/>
  <c r="X57" i="6"/>
  <c r="Z9" i="6"/>
  <c r="AC51" i="6"/>
  <c r="AC46" i="6"/>
  <c r="AC14" i="6"/>
  <c r="X28" i="6"/>
  <c r="AC32" i="6"/>
  <c r="Z56" i="6"/>
  <c r="X53" i="6"/>
  <c r="AC40" i="6"/>
  <c r="X37" i="6"/>
  <c r="AC31" i="6"/>
  <c r="X20" i="6"/>
  <c r="X18" i="6"/>
  <c r="AC62" i="6"/>
  <c r="AC50" i="6"/>
  <c r="X23" i="6"/>
  <c r="AC19" i="6"/>
  <c r="Z32" i="6"/>
  <c r="Z19" i="6"/>
  <c r="Z16" i="6"/>
  <c r="X55" i="6"/>
  <c r="AC11" i="6"/>
  <c r="X48" i="6"/>
  <c r="AC8" i="6"/>
  <c r="X52" i="6"/>
  <c r="X38" i="6"/>
  <c r="AC58" i="6"/>
  <c r="AC54" i="6"/>
  <c r="AC36" i="6"/>
  <c r="X35" i="6"/>
  <c r="X32" i="6"/>
  <c r="X29" i="6"/>
  <c r="AC20" i="6"/>
  <c r="X19" i="6"/>
  <c r="X16" i="6"/>
  <c r="X13" i="6"/>
  <c r="X59" i="6"/>
  <c r="AC47" i="6"/>
  <c r="AC27" i="6"/>
  <c r="X22" i="6"/>
  <c r="Z40" i="6"/>
  <c r="AC34" i="6"/>
  <c r="Z24" i="6"/>
  <c r="AC18" i="6"/>
  <c r="X62" i="6"/>
  <c r="X8" i="6"/>
  <c r="AC38" i="6"/>
  <c r="X10" i="6"/>
  <c r="AC59" i="6"/>
  <c r="AC55" i="6"/>
  <c r="X61" i="6"/>
  <c r="X43" i="6"/>
  <c r="X30" i="6"/>
  <c r="AC22" i="6"/>
  <c r="X14" i="6"/>
  <c r="X47" i="6"/>
  <c r="AC42" i="6"/>
  <c r="X40" i="6"/>
  <c r="AC28" i="6"/>
  <c r="X27" i="6"/>
  <c r="X24" i="6"/>
  <c r="AC12" i="6"/>
  <c r="X11" i="6"/>
  <c r="Z57" i="6"/>
  <c r="AC57" i="6"/>
  <c r="AC99" i="6"/>
  <c r="AC52" i="6"/>
  <c r="X50" i="6"/>
  <c r="Z53" i="6"/>
  <c r="AC53" i="6"/>
  <c r="AC60" i="6"/>
  <c r="X58" i="6"/>
  <c r="AC48" i="6"/>
  <c r="X42" i="6"/>
  <c r="Z61" i="6"/>
  <c r="AC61" i="6"/>
  <c r="Z49" i="6"/>
  <c r="AC49" i="6"/>
  <c r="AC44" i="6"/>
  <c r="Z45" i="6"/>
  <c r="AC45" i="6"/>
  <c r="AC41" i="6"/>
  <c r="AC37" i="6"/>
  <c r="AC33" i="6"/>
  <c r="AC29" i="6"/>
  <c r="AC25" i="6"/>
  <c r="AC21" i="6"/>
  <c r="AC17" i="6"/>
  <c r="AC13" i="6"/>
  <c r="AJ101" i="6"/>
  <c r="AI101" i="6"/>
  <c r="AH101" i="6"/>
  <c r="AG101" i="6"/>
  <c r="AF101" i="6"/>
  <c r="AB7" i="6"/>
  <c r="Y7" i="6"/>
  <c r="S7" i="6"/>
  <c r="U7" i="6" s="1"/>
  <c r="AD92" i="6" l="1"/>
  <c r="AE92" i="6" s="1"/>
  <c r="AD85" i="6"/>
  <c r="AE85" i="6" s="1"/>
  <c r="AD97" i="6"/>
  <c r="AE97" i="6" s="1"/>
  <c r="AD89" i="6"/>
  <c r="AE89" i="6" s="1"/>
  <c r="AD93" i="6"/>
  <c r="AE93" i="6" s="1"/>
  <c r="AD81" i="6"/>
  <c r="AE81" i="6" s="1"/>
  <c r="AD49" i="6"/>
  <c r="AE49" i="6" s="1"/>
  <c r="AD16" i="6"/>
  <c r="AE16" i="6" s="1"/>
  <c r="AD45" i="6"/>
  <c r="AE45" i="6" s="1"/>
  <c r="AD21" i="6"/>
  <c r="AE21" i="6" s="1"/>
  <c r="AD40" i="6"/>
  <c r="AE40" i="6" s="1"/>
  <c r="AD62" i="6"/>
  <c r="AE62" i="6" s="1"/>
  <c r="AD24" i="6"/>
  <c r="AE24" i="6" s="1"/>
  <c r="AD22" i="6"/>
  <c r="AE22" i="6" s="1"/>
  <c r="AD26" i="6"/>
  <c r="AE26" i="6" s="1"/>
  <c r="AD41" i="6"/>
  <c r="AE41" i="6" s="1"/>
  <c r="AD46" i="6"/>
  <c r="AE46" i="6" s="1"/>
  <c r="AD33" i="6"/>
  <c r="AE33" i="6" s="1"/>
  <c r="AD43" i="6"/>
  <c r="AE43" i="6" s="1"/>
  <c r="AD39" i="6"/>
  <c r="AE39" i="6" s="1"/>
  <c r="AD54" i="6"/>
  <c r="AE54" i="6" s="1"/>
  <c r="AD9" i="6"/>
  <c r="AE9" i="6" s="1"/>
  <c r="AD31" i="6"/>
  <c r="AE31" i="6" s="1"/>
  <c r="AD58" i="6"/>
  <c r="AE58" i="6" s="1"/>
  <c r="AD23" i="6"/>
  <c r="AE23" i="6" s="1"/>
  <c r="AD12" i="6"/>
  <c r="AE12" i="6" s="1"/>
  <c r="AD27" i="6"/>
  <c r="AE27" i="6" s="1"/>
  <c r="AD30" i="6"/>
  <c r="AE30" i="6" s="1"/>
  <c r="AD32" i="6"/>
  <c r="AE32" i="6" s="1"/>
  <c r="AD28" i="6"/>
  <c r="AE28" i="6" s="1"/>
  <c r="AD59" i="6"/>
  <c r="AE59" i="6" s="1"/>
  <c r="AD51" i="6"/>
  <c r="AE51" i="6" s="1"/>
  <c r="AD35" i="6"/>
  <c r="AE35" i="6" s="1"/>
  <c r="AD56" i="6"/>
  <c r="AE56" i="6" s="1"/>
  <c r="AD61" i="6"/>
  <c r="AE61" i="6" s="1"/>
  <c r="AD10" i="6"/>
  <c r="AE10" i="6" s="1"/>
  <c r="AD20" i="6"/>
  <c r="AE20" i="6" s="1"/>
  <c r="AD17" i="6"/>
  <c r="AE17" i="6" s="1"/>
  <c r="AD11" i="6"/>
  <c r="AE11" i="6" s="1"/>
  <c r="AD14" i="6"/>
  <c r="AE14" i="6" s="1"/>
  <c r="AD42" i="6"/>
  <c r="AE42" i="6" s="1"/>
  <c r="AD50" i="6"/>
  <c r="AE50" i="6" s="1"/>
  <c r="AD60" i="6"/>
  <c r="AE60" i="6" s="1"/>
  <c r="AD18" i="6"/>
  <c r="AE18" i="6" s="1"/>
  <c r="AD36" i="6"/>
  <c r="AE36" i="6" s="1"/>
  <c r="AD53" i="6"/>
  <c r="AE53" i="6" s="1"/>
  <c r="AD15" i="6"/>
  <c r="AE15" i="6" s="1"/>
  <c r="AD25" i="6"/>
  <c r="AE25" i="6" s="1"/>
  <c r="AD99" i="6"/>
  <c r="AE99" i="6" s="1"/>
  <c r="AD38" i="6"/>
  <c r="AE38" i="6" s="1"/>
  <c r="AC7" i="6"/>
  <c r="AD8" i="6"/>
  <c r="AE8" i="6" s="1"/>
  <c r="AD34" i="6"/>
  <c r="AE34" i="6" s="1"/>
  <c r="AD37" i="6"/>
  <c r="AE37" i="6" s="1"/>
  <c r="AD52" i="6"/>
  <c r="AE52" i="6" s="1"/>
  <c r="AD48" i="6"/>
  <c r="AE48" i="6" s="1"/>
  <c r="AD44" i="6"/>
  <c r="AE44" i="6" s="1"/>
  <c r="AD57" i="6"/>
  <c r="AE57" i="6" s="1"/>
  <c r="AD47" i="6"/>
  <c r="AE47" i="6" s="1"/>
  <c r="AD19" i="6"/>
  <c r="AE19" i="6" s="1"/>
  <c r="AD29" i="6"/>
  <c r="AE29" i="6" s="1"/>
  <c r="AD55" i="6"/>
  <c r="AE55" i="6" s="1"/>
  <c r="AD13" i="6"/>
  <c r="AE13" i="6" s="1"/>
  <c r="X7" i="6"/>
  <c r="Z7" i="6"/>
  <c r="AD7" i="6" l="1"/>
  <c r="AE7" i="6" s="1"/>
  <c r="AC101" i="6"/>
  <c r="Z101" i="6"/>
  <c r="AD101" i="6" l="1"/>
  <c r="AE101" i="6" s="1"/>
</calcChain>
</file>

<file path=xl/sharedStrings.xml><?xml version="1.0" encoding="utf-8"?>
<sst xmlns="http://schemas.openxmlformats.org/spreadsheetml/2006/main" count="262" uniqueCount="53">
  <si>
    <t>Supplier</t>
  </si>
  <si>
    <t>URL</t>
  </si>
  <si>
    <t>Net P</t>
  </si>
  <si>
    <t>X-rate</t>
  </si>
  <si>
    <t>Net P NOK</t>
  </si>
  <si>
    <t>Type</t>
  </si>
  <si>
    <t>To date</t>
  </si>
  <si>
    <t>Supp curr</t>
  </si>
  <si>
    <t>NOK</t>
  </si>
  <si>
    <t>Sales curr</t>
  </si>
  <si>
    <t>EUR</t>
  </si>
  <si>
    <t>Sales P NOK tot</t>
  </si>
  <si>
    <t>GP NOK</t>
  </si>
  <si>
    <t>GP %</t>
  </si>
  <si>
    <t>Units</t>
  </si>
  <si>
    <t>SEK</t>
  </si>
  <si>
    <t>DKK</t>
  </si>
  <si>
    <t>ISK</t>
  </si>
  <si>
    <t>Totals</t>
  </si>
  <si>
    <t>ID</t>
  </si>
  <si>
    <t>Price</t>
  </si>
  <si>
    <t>Status</t>
  </si>
  <si>
    <t>Supp Comm</t>
  </si>
  <si>
    <t>From date</t>
  </si>
  <si>
    <t>From time</t>
  </si>
  <si>
    <t>To time</t>
  </si>
  <si>
    <t>VAT25</t>
  </si>
  <si>
    <t>VAT15</t>
  </si>
  <si>
    <t>VAT0-D</t>
  </si>
  <si>
    <t>VAT0-I</t>
  </si>
  <si>
    <t>VAT12</t>
  </si>
  <si>
    <t>USD</t>
  </si>
  <si>
    <t xml:space="preserve"> </t>
  </si>
  <si>
    <t>Comments</t>
  </si>
  <si>
    <t>Travel element</t>
  </si>
  <si>
    <t>Day</t>
  </si>
  <si>
    <t>Manual booking?</t>
  </si>
  <si>
    <t>Non-refundable</t>
  </si>
  <si>
    <t>Refundable</t>
  </si>
  <si>
    <t>Gross P</t>
  </si>
  <si>
    <t>Gross P per unit</t>
  </si>
  <si>
    <t>Sales P per unit</t>
  </si>
  <si>
    <t>x</t>
  </si>
  <si>
    <t xml:space="preserve">Rooming: </t>
  </si>
  <si>
    <t xml:space="preserve">Pax: </t>
  </si>
  <si>
    <t>Quote</t>
  </si>
  <si>
    <t>PP</t>
  </si>
  <si>
    <t>Ref</t>
  </si>
  <si>
    <t>NoRef</t>
  </si>
  <si>
    <t>Deposit</t>
  </si>
  <si>
    <t>Rest</t>
  </si>
  <si>
    <t>Second</t>
  </si>
  <si>
    <t xml:space="preserve">Dates: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</si>
</sst>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\ 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 vertical="distributed" wrapText="1"/>
    </xf>
    <xf numFmtId="49" fontId="2" fillId="3" borderId="1" xfId="0" applyNumberFormat="1" applyFont="1" applyFill="1" applyBorder="1" applyAlignment="1">
      <alignment horizontal="center" vertical="distributed" wrapText="1"/>
    </xf>
    <xf numFmtId="3" fontId="2" fillId="3" borderId="1" xfId="0" applyNumberFormat="1" applyFont="1" applyFill="1" applyBorder="1" applyAlignment="1">
      <alignment horizontal="center" vertical="distributed" wrapText="1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0" fillId="3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9" fontId="0" fillId="4" borderId="0" xfId="1" applyFont="1" applyFill="1" applyAlignment="1">
      <alignment horizontal="center"/>
    </xf>
    <xf numFmtId="0" fontId="2" fillId="2" borderId="2" xfId="0" applyFont="1" applyFill="1" applyBorder="1"/>
    <xf numFmtId="3" fontId="2" fillId="2" borderId="2" xfId="0" applyNumberFormat="1" applyFont="1" applyFill="1" applyBorder="1"/>
    <xf numFmtId="4" fontId="0" fillId="2" borderId="0" xfId="0" applyNumberFormat="1" applyFill="1" applyAlignment="1">
      <alignment horizontal="center"/>
    </xf>
    <xf numFmtId="9" fontId="0" fillId="2" borderId="0" xfId="0" applyNumberFormat="1" applyFill="1"/>
    <xf numFmtId="2" fontId="0" fillId="2" borderId="0" xfId="0" applyNumberFormat="1" applyFill="1"/>
    <xf numFmtId="165" fontId="0" fillId="2" borderId="0" xfId="1" applyNumberFormat="1" applyFont="1" applyFill="1"/>
    <xf numFmtId="2" fontId="0" fillId="2" borderId="0" xfId="0" applyNumberFormat="1" applyFill="1" applyAlignment="1">
      <alignment horizontal="center"/>
    </xf>
    <xf numFmtId="9" fontId="2" fillId="2" borderId="2" xfId="1" applyFont="1" applyFill="1" applyBorder="1"/>
    <xf numFmtId="0" fontId="3" fillId="2" borderId="0" xfId="2" applyFill="1"/>
    <xf numFmtId="3" fontId="0" fillId="2" borderId="0" xfId="0" applyNumberFormat="1" applyFill="1" applyAlignment="1">
      <alignment horizontal="left"/>
    </xf>
    <xf numFmtId="164" fontId="0" fillId="2" borderId="0" xfId="0" quotePrefix="1" applyNumberFormat="1" applyFill="1" applyAlignment="1">
      <alignment horizontal="left"/>
    </xf>
    <xf numFmtId="0" fontId="0" fillId="5" borderId="0" xfId="0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4" fillId="2" borderId="2" xfId="0" applyFont="1" applyFill="1" applyBorder="1"/>
    <xf numFmtId="0" fontId="3" fillId="0" borderId="0" xfId="2"/>
    <xf numFmtId="164" fontId="4" fillId="2" borderId="2" xfId="0" applyNumberFormat="1" applyFont="1" applyFill="1" applyBorder="1"/>
    <xf numFmtId="4" fontId="4" fillId="2" borderId="2" xfId="0" applyNumberFormat="1" applyFont="1" applyFill="1" applyBorder="1" applyAlignment="1">
      <alignment horizontal="left"/>
    </xf>
    <xf numFmtId="3" fontId="4" fillId="2" borderId="2" xfId="0" applyNumberFormat="1" applyFont="1" applyFill="1" applyBorder="1"/>
    <xf numFmtId="0" fontId="3" fillId="2" borderId="0" xfId="2" applyFill="1" applyAlignment="1">
      <alignment horizontal="left"/>
    </xf>
    <xf numFmtId="3" fontId="0" fillId="6" borderId="0" xfId="0" applyNumberForma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04EA-7225-42CC-89DC-05C1D7355F04}">
  <dimension ref="B1:C7"/>
  <sheetViews>
    <sheetView workbookViewId="0">
      <selection activeCell="C2" sqref="C2"/>
    </sheetView>
  </sheetViews>
  <sheetFormatPr defaultRowHeight="15" x14ac:dyDescent="0.25"/>
  <cols>
    <col min="1" max="1" width="2.5703125" customWidth="1"/>
  </cols>
  <sheetData>
    <row r="1" spans="2:3" x14ac:dyDescent="0.25">
      <c r="C1" t="s">
        <v>8</v>
      </c>
    </row>
    <row r="2" spans="2:3" x14ac:dyDescent="0.25">
      <c r="B2" t="s">
        <v>10</v>
      </c>
      <c r="C2">
        <v>11.3</v>
      </c>
    </row>
    <row r="3" spans="2:3" x14ac:dyDescent="0.25">
      <c r="B3" t="s">
        <v>15</v>
      </c>
      <c r="C3">
        <v>1.02</v>
      </c>
    </row>
    <row r="4" spans="2:3" x14ac:dyDescent="0.25">
      <c r="B4" t="s">
        <v>16</v>
      </c>
      <c r="C4">
        <v>1.5</v>
      </c>
    </row>
    <row r="5" spans="2:3" x14ac:dyDescent="0.25">
      <c r="B5" t="s">
        <v>17</v>
      </c>
      <c r="C5">
        <v>7.4999999999999997E-2</v>
      </c>
    </row>
    <row r="6" spans="2:3" x14ac:dyDescent="0.25">
      <c r="B6" t="s">
        <v>8</v>
      </c>
      <c r="C6">
        <v>1</v>
      </c>
    </row>
    <row r="7" spans="2:3" x14ac:dyDescent="0.25">
      <c r="B7" t="s">
        <v>31</v>
      </c>
      <c r="C7">
        <v>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E6C0-BF7F-4EA5-97F6-74A08C367EEF}">
  <sheetPr>
    <tabColor rgb="FFFFFF00"/>
  </sheetPr>
  <dimension ref="B2:AK124"/>
  <sheetViews>
    <sheetView tabSelected="1" zoomScale="80" zoomScaleNormal="80" workbookViewId="0">
      <selection activeCell="W15" sqref="W15"/>
    </sheetView>
  </sheetViews>
  <sheetFormatPr defaultColWidth="8.7109375" defaultRowHeight="15" outlineLevelCol="1" x14ac:dyDescent="0.25"/>
  <cols>
    <col min="1" max="1" width="2.7109375" style="1" customWidth="1"/>
    <col min="2" max="2" width="3.85546875" style="2" customWidth="1"/>
    <col min="3" max="4" width="8.85546875" style="1" customWidth="1"/>
    <col min="5" max="6" width="11.140625" style="2" customWidth="1"/>
    <col min="7" max="8" width="11.140625" style="2" hidden="1" customWidth="1" outlineLevel="1"/>
    <col min="9" max="9" width="21.7109375" style="1" hidden="1" customWidth="1" outlineLevel="1"/>
    <col min="10" max="10" width="53.85546875" style="1" customWidth="1" collapsed="1"/>
    <col min="11" max="12" width="8.140625" style="1" hidden="1" customWidth="1" outlineLevel="1"/>
    <col min="13" max="13" width="24" style="1" hidden="1" customWidth="1" outlineLevel="1"/>
    <col min="14" max="15" width="11.7109375" style="1" hidden="1" customWidth="1" outlineLevel="1"/>
    <col min="16" max="16" width="8.140625" style="1" customWidth="1" collapsed="1"/>
    <col min="17" max="17" width="8.140625" style="10" customWidth="1"/>
    <col min="18" max="18" width="8.140625" style="1" customWidth="1"/>
    <col min="19" max="19" width="8.140625" style="10" customWidth="1"/>
    <col min="20" max="20" width="8.140625" style="1" customWidth="1"/>
    <col min="21" max="21" width="8.140625" style="10" customWidth="1"/>
    <col min="22" max="23" width="8.140625" style="1" customWidth="1"/>
    <col min="24" max="26" width="8.140625" style="10" customWidth="1"/>
    <col min="27" max="28" width="8.140625" style="1" customWidth="1"/>
    <col min="29" max="30" width="8.140625" style="10" customWidth="1"/>
    <col min="31" max="31" width="8.140625" style="1" customWidth="1"/>
    <col min="32" max="36" width="9" style="1" hidden="1" customWidth="1" outlineLevel="1"/>
    <col min="37" max="37" width="9" style="1" customWidth="1" collapsed="1"/>
    <col min="38" max="82" width="9" style="1" customWidth="1"/>
    <col min="83" max="16384" width="8.7109375" style="1"/>
  </cols>
  <sheetData>
    <row r="2" spans="2:36" x14ac:dyDescent="0.25">
      <c r="B2" s="2" t="s">
        <v>52</v>
      </c>
    </row>
    <row r="3" spans="2:36" x14ac:dyDescent="0.25">
      <c r="B3" s="2" t="s">
        <v>44</v>
      </c>
    </row>
    <row r="4" spans="2:36" x14ac:dyDescent="0.25">
      <c r="B4" s="2" t="s">
        <v>43</v>
      </c>
    </row>
    <row r="6" spans="2:36" s="6" customFormat="1" ht="29.1" customHeight="1" x14ac:dyDescent="0.25">
      <c r="B6" s="7" t="s">
        <v>19</v>
      </c>
      <c r="C6" s="7" t="s">
        <v>35</v>
      </c>
      <c r="D6" s="7" t="s">
        <v>5</v>
      </c>
      <c r="E6" s="7" t="s">
        <v>23</v>
      </c>
      <c r="F6" s="7" t="s">
        <v>6</v>
      </c>
      <c r="G6" s="7" t="s">
        <v>24</v>
      </c>
      <c r="H6" s="7" t="s">
        <v>25</v>
      </c>
      <c r="I6" s="7" t="s">
        <v>0</v>
      </c>
      <c r="J6" s="7" t="s">
        <v>34</v>
      </c>
      <c r="K6" s="7" t="s">
        <v>36</v>
      </c>
      <c r="L6" s="7" t="s">
        <v>21</v>
      </c>
      <c r="M6" s="7" t="s">
        <v>33</v>
      </c>
      <c r="N6" s="7" t="s">
        <v>37</v>
      </c>
      <c r="O6" s="7" t="s">
        <v>38</v>
      </c>
      <c r="P6" s="7" t="s">
        <v>1</v>
      </c>
      <c r="Q6" s="8" t="s">
        <v>40</v>
      </c>
      <c r="R6" s="7" t="s">
        <v>14</v>
      </c>
      <c r="S6" s="8" t="s">
        <v>39</v>
      </c>
      <c r="T6" s="7" t="s">
        <v>22</v>
      </c>
      <c r="U6" s="8" t="s">
        <v>2</v>
      </c>
      <c r="V6" s="7" t="s">
        <v>7</v>
      </c>
      <c r="W6" s="7" t="s">
        <v>3</v>
      </c>
      <c r="X6" s="8" t="s">
        <v>4</v>
      </c>
      <c r="Y6" s="8" t="s">
        <v>41</v>
      </c>
      <c r="Z6" s="8" t="s">
        <v>20</v>
      </c>
      <c r="AA6" s="7" t="s">
        <v>9</v>
      </c>
      <c r="AB6" s="7" t="s">
        <v>3</v>
      </c>
      <c r="AC6" s="8" t="s">
        <v>11</v>
      </c>
      <c r="AD6" s="8" t="s">
        <v>12</v>
      </c>
      <c r="AE6" s="7" t="s">
        <v>13</v>
      </c>
      <c r="AF6" s="7" t="s">
        <v>26</v>
      </c>
      <c r="AG6" s="7" t="s">
        <v>27</v>
      </c>
      <c r="AH6" s="7" t="s">
        <v>30</v>
      </c>
      <c r="AI6" s="7" t="s">
        <v>28</v>
      </c>
      <c r="AJ6" s="7" t="s">
        <v>29</v>
      </c>
    </row>
    <row r="7" spans="2:36" x14ac:dyDescent="0.25">
      <c r="B7" s="4"/>
      <c r="E7" s="3"/>
      <c r="F7" s="3"/>
      <c r="G7" s="3"/>
      <c r="H7" s="3"/>
      <c r="K7" s="4"/>
      <c r="L7" s="4"/>
      <c r="M7" s="4"/>
      <c r="N7" s="4"/>
      <c r="O7" s="4"/>
      <c r="P7" s="27"/>
      <c r="Q7" s="25">
        <v>0</v>
      </c>
      <c r="R7" s="25">
        <v>0</v>
      </c>
      <c r="S7" s="12">
        <f>ROUND(Q7*R7,2)</f>
      </c>
      <c r="T7" s="5">
        <v>0</v>
      </c>
      <c r="U7" s="12">
        <f>ROUND(S7*(1-T7),2)</f>
      </c>
      <c r="V7" s="25" t="s">
        <v>10</v>
      </c>
      <c r="W7" s="11">
        <f>IFERROR(VLOOKUP(V7,Curr!$B$2:$C$13,2,FALSE),0)</f>
      </c>
      <c r="X7" s="12">
        <f>ROUND(U7*W7,2)</f>
      </c>
      <c r="Y7" s="26">
        <f>Q7</f>
      </c>
      <c r="Z7" s="12">
        <f>ROUND(Y7*R7,2)</f>
      </c>
      <c r="AA7" s="4" t="s">
        <v>10</v>
      </c>
      <c r="AB7" s="11">
        <f>IFERROR(VLOOKUP(AA7,Curr!$B$2:$C$13,2,FALSE),0)</f>
      </c>
      <c r="AC7" s="12">
        <f>ROUND(Y7*AB7*R7,2)</f>
      </c>
      <c r="AD7" s="12">
        <f>ROUND(AC7-X7,2)</f>
      </c>
      <c r="AE7" s="13">
        <f>IFERROR(AD7/AC7,0)</f>
      </c>
    </row>
    <row r="8" spans="2:36" x14ac:dyDescent="0.25">
      <c r="B8" s="4"/>
      <c r="E8" s="3"/>
      <c r="F8" s="3"/>
      <c r="G8" s="24"/>
      <c r="H8" s="24"/>
      <c r="K8" s="4"/>
      <c r="L8" s="4"/>
      <c r="M8" s="4"/>
      <c r="N8" s="4"/>
      <c r="O8" s="4"/>
      <c r="P8" s="27"/>
      <c r="Q8" s="25">
        <v>0</v>
      </c>
      <c r="R8" s="25">
        <v>0</v>
      </c>
      <c r="S8" s="12">
        <f>ROUND(Q8*R8,2)</f>
      </c>
      <c r="T8" s="5">
        <v>0</v>
      </c>
      <c r="U8" s="12">
        <f>ROUND(S8*(1-T8),2)</f>
      </c>
      <c r="V8" s="25" t="s">
        <v>10</v>
      </c>
      <c r="W8" s="11">
        <f>IFERROR(VLOOKUP(V8,Curr!$B$2:$C$13,2,FALSE),0)</f>
      </c>
      <c r="X8" s="12">
        <f>ROUND(U8*W8,2)</f>
      </c>
      <c r="Y8" s="26">
        <f>Q8</f>
      </c>
      <c r="Z8" s="12">
        <f>ROUND(Y8*R8,2)</f>
      </c>
      <c r="AA8" s="4" t="s">
        <v>10</v>
      </c>
      <c r="AB8" s="11">
        <f>IFERROR(VLOOKUP(AA8,Curr!$B$2:$C$13,2,FALSE),0)</f>
      </c>
      <c r="AC8" s="12">
        <f>ROUND(Y8*AB8*R8,2)</f>
      </c>
      <c r="AD8" s="12">
        <f>ROUND(AC8-X8,2)</f>
      </c>
      <c r="AE8" s="13">
        <f>IFERROR(AD8/AC8,0)</f>
      </c>
    </row>
    <row r="9" spans="2:36" x14ac:dyDescent="0.25">
      <c r="B9" s="4"/>
      <c r="E9" s="3"/>
      <c r="F9" s="3"/>
      <c r="G9" s="24"/>
      <c r="H9" s="24"/>
      <c r="K9" s="4"/>
      <c r="L9" s="4"/>
      <c r="M9" s="4"/>
      <c r="N9" s="4"/>
      <c r="O9" s="4"/>
      <c r="P9" s="33"/>
      <c r="Q9" s="25">
        <v>0</v>
      </c>
      <c r="R9" s="25">
        <v>0</v>
      </c>
      <c r="S9" s="12">
        <f>ROUND(Q9*R9,2)</f>
      </c>
      <c r="T9" s="5">
        <v>0</v>
      </c>
      <c r="U9" s="12">
        <f>ROUND(S9*(1-T9),2)</f>
      </c>
      <c r="V9" s="25" t="s">
        <v>10</v>
      </c>
      <c r="W9" s="11">
        <f>IFERROR(VLOOKUP(V9,Curr!$B$2:$C$13,2,FALSE),0)</f>
      </c>
      <c r="X9" s="12">
        <f>ROUND(U9*W9,2)</f>
      </c>
      <c r="Y9" s="26">
        <f>Q9</f>
      </c>
      <c r="Z9" s="12">
        <f>ROUND(Y9*R9,2)</f>
      </c>
      <c r="AA9" s="4" t="s">
        <v>10</v>
      </c>
      <c r="AB9" s="11">
        <f>IFERROR(VLOOKUP(AA9,Curr!$B$2:$C$13,2,FALSE),0)</f>
      </c>
      <c r="AC9" s="12">
        <f>ROUND(Y9*AB9*R9,2)</f>
      </c>
      <c r="AD9" s="12">
        <f>ROUND(AC9-X9,2)</f>
      </c>
      <c r="AE9" s="13">
        <f>IFERROR(AD9/AC9,0)</f>
      </c>
    </row>
    <row r="10" spans="2:36" x14ac:dyDescent="0.25">
      <c r="B10" s="4"/>
      <c r="E10" s="3"/>
      <c r="F10" s="3"/>
      <c r="G10" s="24"/>
      <c r="H10" s="24"/>
      <c r="K10" s="4"/>
      <c r="L10" s="4"/>
      <c r="M10" s="4"/>
      <c r="N10" s="4"/>
      <c r="O10" s="4"/>
      <c r="P10" s="27"/>
      <c r="Q10" s="25">
        <v>0</v>
      </c>
      <c r="R10" s="25">
        <v>0</v>
      </c>
      <c r="S10" s="12">
        <f>ROUND(Q10*R10,2)</f>
      </c>
      <c r="T10" s="5">
        <v>0</v>
      </c>
      <c r="U10" s="12">
        <f>ROUND(S10*(1-T10),2)</f>
      </c>
      <c r="V10" s="25" t="s">
        <v>10</v>
      </c>
      <c r="W10" s="11">
        <f>IFERROR(VLOOKUP(V10,Curr!$B$2:$C$13,2,FALSE),0)</f>
      </c>
      <c r="X10" s="12">
        <f>ROUND(U10*W10,2)</f>
      </c>
      <c r="Y10" s="26">
        <f>Q10</f>
      </c>
      <c r="Z10" s="12">
        <f>ROUND(Y10*R10,2)</f>
      </c>
      <c r="AA10" s="4" t="s">
        <v>10</v>
      </c>
      <c r="AB10" s="11">
        <f>IFERROR(VLOOKUP(AA10,Curr!$B$2:$C$13,2,FALSE),0)</f>
      </c>
      <c r="AC10" s="12">
        <f>ROUND(Y10*AB10*R10,2)</f>
      </c>
      <c r="AD10" s="12">
        <f>ROUND(AC10-X10,2)</f>
      </c>
      <c r="AE10" s="13">
        <f>IFERROR(AD10/AC10,0)</f>
      </c>
    </row>
    <row r="11" spans="2:36" x14ac:dyDescent="0.25">
      <c r="B11" s="4"/>
      <c r="E11" s="3"/>
      <c r="F11" s="3"/>
      <c r="G11" s="24"/>
      <c r="H11" s="24"/>
      <c r="K11" s="4"/>
      <c r="L11" s="4"/>
      <c r="M11" s="4"/>
      <c r="N11" s="4"/>
      <c r="O11" s="4"/>
      <c r="P11" s="27"/>
      <c r="Q11" s="25">
        <v>0</v>
      </c>
      <c r="R11" s="25">
        <v>0</v>
      </c>
      <c r="S11" s="12">
        <f>ROUND(Q11*R11,2)</f>
      </c>
      <c r="T11" s="5">
        <v>0</v>
      </c>
      <c r="U11" s="12">
        <f>ROUND(S11*(1-T11),2)</f>
      </c>
      <c r="V11" s="25" t="s">
        <v>10</v>
      </c>
      <c r="W11" s="11">
        <f>IFERROR(VLOOKUP(V11,Curr!$B$2:$C$13,2,FALSE),0)</f>
      </c>
      <c r="X11" s="12">
        <f>ROUND(U11*W11,2)</f>
      </c>
      <c r="Y11" s="26">
        <f>Q11</f>
      </c>
      <c r="Z11" s="12">
        <f>ROUND(Y11*R11,2)</f>
      </c>
      <c r="AA11" s="4" t="s">
        <v>10</v>
      </c>
      <c r="AB11" s="11">
        <f>IFERROR(VLOOKUP(AA11,Curr!$B$2:$C$13,2,FALSE),0)</f>
      </c>
      <c r="AC11" s="12">
        <f>ROUND(Y11*AB11*R11,2)</f>
      </c>
      <c r="AD11" s="12">
        <f>ROUND(AC11-X11,2)</f>
      </c>
      <c r="AE11" s="13">
        <f>IFERROR(AD11/AC11,0)</f>
      </c>
    </row>
    <row r="12" spans="2:36" x14ac:dyDescent="0.25">
      <c r="B12" s="4"/>
      <c r="E12" s="3"/>
      <c r="F12" s="3"/>
      <c r="G12" s="24"/>
      <c r="H12" s="24"/>
      <c r="K12" s="4"/>
      <c r="L12" s="4"/>
      <c r="M12" s="4"/>
      <c r="N12" s="4"/>
      <c r="O12" s="4"/>
      <c r="P12" s="33"/>
      <c r="Q12" s="25">
        <v>0</v>
      </c>
      <c r="R12" s="25">
        <v>0</v>
      </c>
      <c r="S12" s="12">
        <f>ROUND(Q12*R12,2)</f>
      </c>
      <c r="T12" s="5">
        <v>0</v>
      </c>
      <c r="U12" s="12">
        <f>ROUND(S12*(1-T12),2)</f>
      </c>
      <c r="V12" s="25" t="s">
        <v>10</v>
      </c>
      <c r="W12" s="11">
        <f>IFERROR(VLOOKUP(V12,Curr!$B$2:$C$13,2,FALSE),0)</f>
      </c>
      <c r="X12" s="12">
        <f>ROUND(U12*W12,2)</f>
      </c>
      <c r="Y12" s="26">
        <f>Q12</f>
      </c>
      <c r="Z12" s="12">
        <f>ROUND(Y12*R12,2)</f>
      </c>
      <c r="AA12" s="4" t="s">
        <v>10</v>
      </c>
      <c r="AB12" s="11">
        <f>IFERROR(VLOOKUP(AA12,Curr!$B$2:$C$13,2,FALSE),0)</f>
      </c>
      <c r="AC12" s="12">
        <f>ROUND(Y12*AB12*R12,2)</f>
      </c>
      <c r="AD12" s="12">
        <f>ROUND(AC12-X12,2)</f>
      </c>
      <c r="AE12" s="13">
        <f>IFERROR(AD12/AC12,0)</f>
      </c>
    </row>
    <row r="13" spans="2:36" x14ac:dyDescent="0.25">
      <c r="B13" s="4"/>
      <c r="E13" s="3"/>
      <c r="F13" s="3"/>
      <c r="G13" s="24"/>
      <c r="H13" s="24"/>
      <c r="K13" s="4"/>
      <c r="L13" s="4"/>
      <c r="M13" s="4"/>
      <c r="N13" s="4"/>
      <c r="O13" s="4"/>
      <c r="P13" s="27"/>
      <c r="Q13" s="25">
        <v>0</v>
      </c>
      <c r="R13" s="25">
        <v>0</v>
      </c>
      <c r="S13" s="12">
        <f>ROUND(Q13*R13,2)</f>
      </c>
      <c r="T13" s="5">
        <v>0</v>
      </c>
      <c r="U13" s="12">
        <f>ROUND(S13*(1-T13),2)</f>
      </c>
      <c r="V13" s="25" t="s">
        <v>10</v>
      </c>
      <c r="W13" s="11">
        <f>IFERROR(VLOOKUP(V13,Curr!$B$2:$C$13,2,FALSE),0)</f>
      </c>
      <c r="X13" s="12">
        <f>ROUND(U13*W13,2)</f>
      </c>
      <c r="Y13" s="26">
        <f>Q13</f>
      </c>
      <c r="Z13" s="12">
        <f>ROUND(Y13*R13,2)</f>
      </c>
      <c r="AA13" s="4" t="s">
        <v>10</v>
      </c>
      <c r="AB13" s="11">
        <f>IFERROR(VLOOKUP(AA13,Curr!$B$2:$C$13,2,FALSE),0)</f>
      </c>
      <c r="AC13" s="12">
        <f>ROUND(Y13*AB13*R13,2)</f>
      </c>
      <c r="AD13" s="12">
        <f>ROUND(AC13-X13,2)</f>
      </c>
      <c r="AE13" s="13">
        <f>IFERROR(AD13/AC13,0)</f>
      </c>
    </row>
    <row r="14" spans="2:36" x14ac:dyDescent="0.25">
      <c r="B14" s="4"/>
      <c r="E14" s="3"/>
      <c r="F14" s="3"/>
      <c r="G14" s="24"/>
      <c r="H14" s="24"/>
      <c r="K14" s="4"/>
      <c r="L14" s="4"/>
      <c r="M14" s="4"/>
      <c r="N14" s="4"/>
      <c r="O14" s="4"/>
      <c r="P14" s="33"/>
      <c r="Q14" s="25">
        <v>0</v>
      </c>
      <c r="R14" s="25">
        <v>0</v>
      </c>
      <c r="S14" s="12">
        <f>ROUND(Q14*R14,2)</f>
      </c>
      <c r="T14" s="5">
        <v>0</v>
      </c>
      <c r="U14" s="12">
        <f>ROUND(S14*(1-T14),2)</f>
      </c>
      <c r="V14" s="25" t="s">
        <v>10</v>
      </c>
      <c r="W14" s="11">
        <f>IFERROR(VLOOKUP(V14,Curr!$B$2:$C$13,2,FALSE),0)</f>
      </c>
      <c r="X14" s="12">
        <f>ROUND(U14*W14,2)</f>
      </c>
      <c r="Y14" s="26">
        <f>Q14</f>
      </c>
      <c r="Z14" s="12">
        <f>ROUND(Y14*R14,2)</f>
      </c>
      <c r="AA14" s="4" t="s">
        <v>10</v>
      </c>
      <c r="AB14" s="11">
        <f>IFERROR(VLOOKUP(AA14,Curr!$B$2:$C$13,2,FALSE),0)</f>
      </c>
      <c r="AC14" s="12">
        <f>ROUND(Y14*AB14*R14,2)</f>
      </c>
      <c r="AD14" s="12">
        <f>ROUND(AC14-X14,2)</f>
      </c>
      <c r="AE14" s="13">
        <f>IFERROR(AD14/AC14,0)</f>
      </c>
    </row>
    <row r="15" spans="2:36" x14ac:dyDescent="0.25">
      <c r="B15" s="4"/>
      <c r="E15" s="3"/>
      <c r="F15" s="3"/>
      <c r="G15" s="24"/>
      <c r="H15" s="24"/>
      <c r="K15" s="4"/>
      <c r="L15" s="4"/>
      <c r="M15" s="4"/>
      <c r="N15" s="4"/>
      <c r="O15" s="4"/>
      <c r="P15" s="27"/>
      <c r="Q15" s="25">
        <v>0</v>
      </c>
      <c r="R15" s="25">
        <v>0</v>
      </c>
      <c r="S15" s="12">
        <f>ROUND(Q15*R15,2)</f>
      </c>
      <c r="T15" s="5">
        <v>0</v>
      </c>
      <c r="U15" s="12">
        <f>ROUND(S15*(1-T15),2)</f>
      </c>
      <c r="V15" s="25" t="s">
        <v>10</v>
      </c>
      <c r="W15" s="11">
        <f>IFERROR(VLOOKUP(V15,Curr!$B$2:$C$13,2,FALSE),0)</f>
      </c>
      <c r="X15" s="12">
        <f>ROUND(U15*W15,2)</f>
      </c>
      <c r="Y15" s="26">
        <f>Q15</f>
      </c>
      <c r="Z15" s="12">
        <f>ROUND(Y15*R15,2)</f>
      </c>
      <c r="AA15" s="4" t="s">
        <v>10</v>
      </c>
      <c r="AB15" s="11">
        <f>IFERROR(VLOOKUP(AA15,Curr!$B$2:$C$13,2,FALSE),0)</f>
      </c>
      <c r="AC15" s="12">
        <f>ROUND(Y15*AB15*R15,2)</f>
      </c>
      <c r="AD15" s="12">
        <f>ROUND(AC15-X15,2)</f>
      </c>
      <c r="AE15" s="13">
        <f>IFERROR(AD15/AC15,0)</f>
      </c>
    </row>
    <row r="16" spans="2:36" x14ac:dyDescent="0.25">
      <c r="B16" s="4"/>
      <c r="E16" s="3"/>
      <c r="F16" s="3"/>
      <c r="G16" s="24"/>
      <c r="H16" s="24"/>
      <c r="K16" s="4"/>
      <c r="L16" s="4"/>
      <c r="M16" s="4"/>
      <c r="N16" s="4"/>
      <c r="O16" s="4"/>
      <c r="P16" s="33"/>
      <c r="Q16" s="25">
        <v>0</v>
      </c>
      <c r="R16" s="25">
        <v>0</v>
      </c>
      <c r="S16" s="12">
        <f>ROUND(Q16*R16,2)</f>
      </c>
      <c r="T16" s="5">
        <v>0</v>
      </c>
      <c r="U16" s="12">
        <f>ROUND(S16*(1-T16),2)</f>
      </c>
      <c r="V16" s="25" t="s">
        <v>10</v>
      </c>
      <c r="W16" s="11">
        <f>IFERROR(VLOOKUP(V16,Curr!$B$2:$C$13,2,FALSE),0)</f>
      </c>
      <c r="X16" s="12">
        <f>ROUND(U16*W16,2)</f>
      </c>
      <c r="Y16" s="26">
        <f>Q16</f>
      </c>
      <c r="Z16" s="12">
        <f>ROUND(Y16*R16,2)</f>
      </c>
      <c r="AA16" s="4" t="s">
        <v>10</v>
      </c>
      <c r="AB16" s="11">
        <f>IFERROR(VLOOKUP(AA16,Curr!$B$2:$C$13,2,FALSE),0)</f>
      </c>
      <c r="AC16" s="12">
        <f>ROUND(Y16*AB16*R16,2)</f>
      </c>
      <c r="AD16" s="12">
        <f>ROUND(AC16-X16,2)</f>
      </c>
      <c r="AE16" s="13">
        <f>IFERROR(AD16/AC16,0)</f>
      </c>
    </row>
    <row r="17" spans="2:31" x14ac:dyDescent="0.25">
      <c r="B17" s="4"/>
      <c r="E17" s="3"/>
      <c r="F17" s="3"/>
      <c r="G17" s="24"/>
      <c r="H17" s="24"/>
      <c r="K17" s="4"/>
      <c r="L17" s="4"/>
      <c r="M17" s="4"/>
      <c r="N17" s="4"/>
      <c r="O17" s="4"/>
      <c r="P17" s="29"/>
      <c r="Q17" s="25">
        <v>0</v>
      </c>
      <c r="R17" s="25">
        <v>0</v>
      </c>
      <c r="S17" s="12">
        <f>ROUND(Q17*R17,2)</f>
      </c>
      <c r="T17" s="5">
        <v>0</v>
      </c>
      <c r="U17" s="12">
        <f>ROUND(S17*(1-T17),2)</f>
      </c>
      <c r="V17" s="25" t="s">
        <v>10</v>
      </c>
      <c r="W17" s="11">
        <f>IFERROR(VLOOKUP(V17,Curr!$B$2:$C$13,2,FALSE),0)</f>
      </c>
      <c r="X17" s="12">
        <f>ROUND(U17*W17,2)</f>
      </c>
      <c r="Y17" s="26">
        <f>Q17</f>
      </c>
      <c r="Z17" s="12">
        <f>ROUND(Y17*R17,2)</f>
      </c>
      <c r="AA17" s="4" t="s">
        <v>10</v>
      </c>
      <c r="AB17" s="11">
        <f>IFERROR(VLOOKUP(AA17,Curr!$B$2:$C$13,2,FALSE),0)</f>
      </c>
      <c r="AC17" s="12">
        <f>ROUND(Y17*AB17*R17,2)</f>
      </c>
      <c r="AD17" s="12">
        <f>ROUND(AC17-X17,2)</f>
      </c>
      <c r="AE17" s="13">
        <f>IFERROR(AD17/AC17,0)</f>
      </c>
    </row>
    <row r="18" spans="2:31" x14ac:dyDescent="0.25">
      <c r="B18" s="4"/>
      <c r="E18" s="3"/>
      <c r="F18" s="3"/>
      <c r="G18" s="24"/>
      <c r="H18" s="24"/>
      <c r="K18" s="4"/>
      <c r="L18" s="4"/>
      <c r="M18" s="4"/>
      <c r="N18" s="4"/>
      <c r="O18" s="4"/>
      <c r="P18" s="27"/>
      <c r="Q18" s="25">
        <v>0</v>
      </c>
      <c r="R18" s="25">
        <v>0</v>
      </c>
      <c r="S18" s="12">
        <f>ROUND(Q18*R18,2)</f>
      </c>
      <c r="T18" s="5">
        <v>0</v>
      </c>
      <c r="U18" s="12">
        <f>ROUND(S18*(1-T18),2)</f>
      </c>
      <c r="V18" s="25" t="s">
        <v>10</v>
      </c>
      <c r="W18" s="11">
        <f>IFERROR(VLOOKUP(V18,Curr!$B$2:$C$13,2,FALSE),0)</f>
      </c>
      <c r="X18" s="12">
        <f>ROUND(U18*W18,2)</f>
      </c>
      <c r="Y18" s="26">
        <f>Q18</f>
      </c>
      <c r="Z18" s="12">
        <f>ROUND(Y18*R18,2)</f>
      </c>
      <c r="AA18" s="4" t="s">
        <v>10</v>
      </c>
      <c r="AB18" s="11">
        <f>IFERROR(VLOOKUP(AA18,Curr!$B$2:$C$13,2,FALSE),0)</f>
      </c>
      <c r="AC18" s="12">
        <f>ROUND(Y18*AB18*R18,2)</f>
      </c>
      <c r="AD18" s="12">
        <f>ROUND(AC18-X18,2)</f>
      </c>
      <c r="AE18" s="13">
        <f>IFERROR(AD18/AC18,0)</f>
      </c>
    </row>
    <row r="19" spans="2:31" x14ac:dyDescent="0.25">
      <c r="B19" s="4"/>
      <c r="E19" s="3"/>
      <c r="F19" s="3"/>
      <c r="G19" s="24"/>
      <c r="H19" s="24"/>
      <c r="K19" s="4"/>
      <c r="L19" s="4"/>
      <c r="M19" s="4"/>
      <c r="N19" s="4"/>
      <c r="O19" s="4"/>
      <c r="P19" s="27"/>
      <c r="Q19" s="25">
        <v>0</v>
      </c>
      <c r="R19" s="25">
        <v>0</v>
      </c>
      <c r="S19" s="12">
        <f>ROUND(Q19*R19,2)</f>
      </c>
      <c r="T19" s="5">
        <v>0</v>
      </c>
      <c r="U19" s="12">
        <f>ROUND(S19*(1-T19),2)</f>
      </c>
      <c r="V19" s="25" t="s">
        <v>10</v>
      </c>
      <c r="W19" s="11">
        <f>IFERROR(VLOOKUP(V19,Curr!$B$2:$C$13,2,FALSE),0)</f>
      </c>
      <c r="X19" s="12">
        <f>ROUND(U19*W19,2)</f>
      </c>
      <c r="Y19" s="26">
        <f>Q19</f>
      </c>
      <c r="Z19" s="12">
        <f>ROUND(Y19*R19,2)</f>
      </c>
      <c r="AA19" s="4" t="s">
        <v>10</v>
      </c>
      <c r="AB19" s="11">
        <f>IFERROR(VLOOKUP(AA19,Curr!$B$2:$C$13,2,FALSE),0)</f>
      </c>
      <c r="AC19" s="12">
        <f>ROUND(Y19*AB19*R19,2)</f>
      </c>
      <c r="AD19" s="12">
        <f>ROUND(AC19-X19,2)</f>
      </c>
      <c r="AE19" s="13">
        <f>IFERROR(AD19/AC19,0)</f>
      </c>
    </row>
    <row r="20" spans="2:31" x14ac:dyDescent="0.25">
      <c r="B20" s="4"/>
      <c r="E20" s="3"/>
      <c r="F20" s="3"/>
      <c r="G20" s="24"/>
      <c r="H20" s="24"/>
      <c r="K20" s="4"/>
      <c r="L20" s="4"/>
      <c r="M20" s="4"/>
      <c r="N20" s="4"/>
      <c r="O20" s="4"/>
      <c r="P20" s="27"/>
      <c r="Q20" s="25">
        <v>0</v>
      </c>
      <c r="R20" s="25">
        <v>0</v>
      </c>
      <c r="S20" s="12">
        <f>ROUND(Q20*R20,2)</f>
      </c>
      <c r="T20" s="5">
        <v>0</v>
      </c>
      <c r="U20" s="12">
        <f>ROUND(S20*(1-T20),2)</f>
      </c>
      <c r="V20" s="25" t="s">
        <v>10</v>
      </c>
      <c r="W20" s="11">
        <f>IFERROR(VLOOKUP(V20,Curr!$B$2:$C$13,2,FALSE),0)</f>
      </c>
      <c r="X20" s="12">
        <f>ROUND(U20*W20,2)</f>
      </c>
      <c r="Y20" s="26">
        <f>Q20</f>
      </c>
      <c r="Z20" s="12">
        <f>ROUND(Y20*R20,2)</f>
      </c>
      <c r="AA20" s="4" t="s">
        <v>10</v>
      </c>
      <c r="AB20" s="11">
        <f>IFERROR(VLOOKUP(AA20,Curr!$B$2:$C$13,2,FALSE),0)</f>
      </c>
      <c r="AC20" s="12">
        <f>ROUND(Y20*AB20*R20,2)</f>
      </c>
      <c r="AD20" s="12">
        <f>ROUND(AC20-X20,2)</f>
      </c>
      <c r="AE20" s="13">
        <f>IFERROR(AD20/AC20,0)</f>
      </c>
    </row>
    <row r="21" spans="2:31" x14ac:dyDescent="0.25">
      <c r="B21" s="4"/>
      <c r="E21" s="3"/>
      <c r="F21" s="3"/>
      <c r="G21" s="24"/>
      <c r="H21" s="24"/>
      <c r="K21" s="4"/>
      <c r="L21" s="4"/>
      <c r="M21" s="4"/>
      <c r="N21" s="4"/>
      <c r="O21" s="4"/>
      <c r="P21" s="33"/>
      <c r="Q21" s="25">
        <v>0</v>
      </c>
      <c r="R21" s="25">
        <v>0</v>
      </c>
      <c r="S21" s="12">
        <f>ROUND(Q21*R21,2)</f>
      </c>
      <c r="T21" s="5">
        <v>0</v>
      </c>
      <c r="U21" s="12">
        <f>ROUND(S21*(1-T21),2)</f>
      </c>
      <c r="V21" s="25" t="s">
        <v>10</v>
      </c>
      <c r="W21" s="11">
        <f>IFERROR(VLOOKUP(V21,Curr!$B$2:$C$13,2,FALSE),0)</f>
      </c>
      <c r="X21" s="12">
        <f>ROUND(U21*W21,2)</f>
      </c>
      <c r="Y21" s="26">
        <f>Q21</f>
      </c>
      <c r="Z21" s="12">
        <f>ROUND(Y21*R21,2)</f>
      </c>
      <c r="AA21" s="4" t="s">
        <v>10</v>
      </c>
      <c r="AB21" s="11">
        <f>IFERROR(VLOOKUP(AA21,Curr!$B$2:$C$13,2,FALSE),0)</f>
      </c>
      <c r="AC21" s="12">
        <f>ROUND(Y21*AB21*R21,2)</f>
      </c>
      <c r="AD21" s="12">
        <f>ROUND(AC21-X21,2)</f>
      </c>
      <c r="AE21" s="13">
        <f>IFERROR(AD21/AC21,0)</f>
      </c>
    </row>
    <row r="22" spans="2:31" x14ac:dyDescent="0.25">
      <c r="B22" s="4"/>
      <c r="E22" s="3"/>
      <c r="F22" s="3"/>
      <c r="G22" s="24"/>
      <c r="H22" s="24"/>
      <c r="K22" s="4"/>
      <c r="L22" s="4"/>
      <c r="M22" s="4"/>
      <c r="N22" s="4"/>
      <c r="O22" s="4"/>
      <c r="P22" s="33"/>
      <c r="Q22" s="25">
        <v>0</v>
      </c>
      <c r="R22" s="25">
        <v>0</v>
      </c>
      <c r="S22" s="12">
        <f>ROUND(Q22*R22,2)</f>
      </c>
      <c r="T22" s="5">
        <v>0</v>
      </c>
      <c r="U22" s="12">
        <f>ROUND(S22*(1-T22),2)</f>
      </c>
      <c r="V22" s="25" t="s">
        <v>10</v>
      </c>
      <c r="W22" s="11">
        <f>IFERROR(VLOOKUP(V22,Curr!$B$2:$C$13,2,FALSE),0)</f>
      </c>
      <c r="X22" s="12">
        <f>ROUND(U22*W22,2)</f>
      </c>
      <c r="Y22" s="26">
        <f>Q22</f>
      </c>
      <c r="Z22" s="12">
        <f>ROUND(Y22*R22,2)</f>
      </c>
      <c r="AA22" s="4" t="s">
        <v>10</v>
      </c>
      <c r="AB22" s="11">
        <f>IFERROR(VLOOKUP(AA22,Curr!$B$2:$C$13,2,FALSE),0)</f>
      </c>
      <c r="AC22" s="12">
        <f>ROUND(Y22*AB22*R22,2)</f>
      </c>
      <c r="AD22" s="12">
        <f>ROUND(AC22-X22,2)</f>
      </c>
      <c r="AE22" s="13">
        <f>IFERROR(AD22/AC22,0)</f>
      </c>
    </row>
    <row r="23" spans="2:31" x14ac:dyDescent="0.25">
      <c r="B23" s="4"/>
      <c r="E23" s="3"/>
      <c r="F23" s="3"/>
      <c r="G23" s="24"/>
      <c r="H23" s="24"/>
      <c r="K23" s="4"/>
      <c r="L23" s="4"/>
      <c r="M23" s="4"/>
      <c r="N23" s="4"/>
      <c r="O23" s="4"/>
      <c r="P23" s="27"/>
      <c r="Q23" s="25">
        <v>0</v>
      </c>
      <c r="R23" s="25">
        <v>0</v>
      </c>
      <c r="S23" s="12">
        <f>ROUND(Q23*R23,2)</f>
      </c>
      <c r="T23" s="5">
        <v>0</v>
      </c>
      <c r="U23" s="12">
        <f>ROUND(S23*(1-T23),2)</f>
      </c>
      <c r="V23" s="25" t="s">
        <v>10</v>
      </c>
      <c r="W23" s="11">
        <f>IFERROR(VLOOKUP(V23,Curr!$B$2:$C$13,2,FALSE),0)</f>
      </c>
      <c r="X23" s="12">
        <f>ROUND(U23*W23,2)</f>
      </c>
      <c r="Y23" s="26">
        <f>Q23</f>
      </c>
      <c r="Z23" s="12">
        <f>ROUND(Y23*R23,2)</f>
      </c>
      <c r="AA23" s="4" t="s">
        <v>10</v>
      </c>
      <c r="AB23" s="11">
        <f>IFERROR(VLOOKUP(AA23,Curr!$B$2:$C$13,2,FALSE),0)</f>
      </c>
      <c r="AC23" s="12">
        <f>ROUND(Y23*AB23*R23,2)</f>
      </c>
      <c r="AD23" s="12">
        <f>ROUND(AC23-X23,2)</f>
      </c>
      <c r="AE23" s="13">
        <f>IFERROR(AD23/AC23,0)</f>
      </c>
    </row>
    <row r="24" spans="2:31" x14ac:dyDescent="0.25">
      <c r="B24" s="4"/>
      <c r="E24" s="3"/>
      <c r="F24" s="3"/>
      <c r="G24" s="24"/>
      <c r="H24" s="24"/>
      <c r="K24" s="4"/>
      <c r="L24" s="4"/>
      <c r="M24" s="4"/>
      <c r="N24" s="4"/>
      <c r="O24" s="4"/>
      <c r="P24" s="27"/>
      <c r="Q24" s="25">
        <v>0</v>
      </c>
      <c r="R24" s="25">
        <v>0</v>
      </c>
      <c r="S24" s="12">
        <f>ROUND(Q24*R24,2)</f>
      </c>
      <c r="T24" s="5">
        <v>0</v>
      </c>
      <c r="U24" s="12">
        <f>ROUND(S24*(1-T24),2)</f>
      </c>
      <c r="V24" s="25" t="s">
        <v>10</v>
      </c>
      <c r="W24" s="11">
        <f>IFERROR(VLOOKUP(V24,Curr!$B$2:$C$13,2,FALSE),0)</f>
      </c>
      <c r="X24" s="12">
        <f>ROUND(U24*W24,2)</f>
      </c>
      <c r="Y24" s="26">
        <f>Q24</f>
      </c>
      <c r="Z24" s="12">
        <f>ROUND(Y24*R24,2)</f>
      </c>
      <c r="AA24" s="4" t="s">
        <v>10</v>
      </c>
      <c r="AB24" s="11">
        <f>IFERROR(VLOOKUP(AA24,Curr!$B$2:$C$13,2,FALSE),0)</f>
      </c>
      <c r="AC24" s="12">
        <f>ROUND(Y24*AB24*R24,2)</f>
      </c>
      <c r="AD24" s="12">
        <f>ROUND(AC24-X24,2)</f>
      </c>
      <c r="AE24" s="13">
        <f>IFERROR(AD24/AC24,0)</f>
      </c>
    </row>
    <row r="25" spans="2:31" x14ac:dyDescent="0.25">
      <c r="B25" s="4"/>
      <c r="E25" s="3"/>
      <c r="F25" s="3"/>
      <c r="G25" s="24"/>
      <c r="H25" s="24"/>
      <c r="K25" s="4"/>
      <c r="L25" s="4"/>
      <c r="M25" s="4"/>
      <c r="N25" s="4"/>
      <c r="O25" s="4"/>
      <c r="P25" s="27"/>
      <c r="Q25" s="25">
        <v>0</v>
      </c>
      <c r="R25" s="25">
        <v>0</v>
      </c>
      <c r="S25" s="12">
        <f>ROUND(Q25*R25,2)</f>
      </c>
      <c r="T25" s="5">
        <v>0</v>
      </c>
      <c r="U25" s="12">
        <f>ROUND(S25*(1-T25),2)</f>
      </c>
      <c r="V25" s="25" t="s">
        <v>10</v>
      </c>
      <c r="W25" s="11">
        <f>IFERROR(VLOOKUP(V25,Curr!$B$2:$C$13,2,FALSE),0)</f>
      </c>
      <c r="X25" s="12">
        <f>ROUND(U25*W25,2)</f>
      </c>
      <c r="Y25" s="26">
        <f>Q25</f>
      </c>
      <c r="Z25" s="12">
        <f>ROUND(Y25*R25,2)</f>
      </c>
      <c r="AA25" s="4" t="s">
        <v>10</v>
      </c>
      <c r="AB25" s="11">
        <f>IFERROR(VLOOKUP(AA25,Curr!$B$2:$C$13,2,FALSE),0)</f>
      </c>
      <c r="AC25" s="12">
        <f>ROUND(Y25*AB25*R25,2)</f>
      </c>
      <c r="AD25" s="12">
        <f>ROUND(AC25-X25,2)</f>
      </c>
      <c r="AE25" s="13">
        <f>IFERROR(AD25/AC25,0)</f>
      </c>
    </row>
    <row r="26" spans="2:31" x14ac:dyDescent="0.25">
      <c r="B26" s="4"/>
      <c r="E26" s="3"/>
      <c r="F26" s="3"/>
      <c r="G26" s="24"/>
      <c r="H26" s="24"/>
      <c r="K26" s="4"/>
      <c r="L26" s="4"/>
      <c r="M26" s="4"/>
      <c r="N26" s="4"/>
      <c r="O26" s="4"/>
      <c r="P26" s="33"/>
      <c r="Q26" s="25">
        <v>0</v>
      </c>
      <c r="R26" s="25">
        <v>0</v>
      </c>
      <c r="S26" s="12">
        <f>ROUND(Q26*R26,2)</f>
      </c>
      <c r="T26" s="5">
        <v>0</v>
      </c>
      <c r="U26" s="12">
        <f>ROUND(S26*(1-T26),2)</f>
      </c>
      <c r="V26" s="25" t="s">
        <v>10</v>
      </c>
      <c r="W26" s="11">
        <f>IFERROR(VLOOKUP(V26,Curr!$B$2:$C$13,2,FALSE),0)</f>
      </c>
      <c r="X26" s="12">
        <f>ROUND(U26*W26,2)</f>
      </c>
      <c r="Y26" s="26">
        <f>Q26</f>
      </c>
      <c r="Z26" s="12">
        <f>ROUND(Y26*R26,2)</f>
      </c>
      <c r="AA26" s="4" t="s">
        <v>10</v>
      </c>
      <c r="AB26" s="11">
        <f>IFERROR(VLOOKUP(AA26,Curr!$B$2:$C$13,2,FALSE),0)</f>
      </c>
      <c r="AC26" s="12">
        <f>ROUND(Y26*AB26*R26,2)</f>
      </c>
      <c r="AD26" s="12">
        <f>ROUND(AC26-X26,2)</f>
      </c>
      <c r="AE26" s="13">
        <f>IFERROR(AD26/AC26,0)</f>
      </c>
    </row>
    <row r="27" spans="2:31" x14ac:dyDescent="0.25">
      <c r="B27" s="4"/>
      <c r="E27" s="3"/>
      <c r="F27" s="3"/>
      <c r="G27" s="24"/>
      <c r="H27" s="24"/>
      <c r="K27" s="4"/>
      <c r="L27" s="4"/>
      <c r="M27" s="4"/>
      <c r="N27" s="4"/>
      <c r="O27" s="4"/>
      <c r="P27" s="27"/>
      <c r="Q27" s="25">
        <v>0</v>
      </c>
      <c r="R27" s="25">
        <v>0</v>
      </c>
      <c r="S27" s="12">
        <f>ROUND(Q27*R27,2)</f>
      </c>
      <c r="T27" s="5">
        <v>0</v>
      </c>
      <c r="U27" s="12">
        <f>ROUND(S27*(1-T27),2)</f>
      </c>
      <c r="V27" s="25" t="s">
        <v>10</v>
      </c>
      <c r="W27" s="11">
        <f>IFERROR(VLOOKUP(V27,Curr!$B$2:$C$13,2,FALSE),0)</f>
      </c>
      <c r="X27" s="12">
        <f>ROUND(U27*W27,2)</f>
      </c>
      <c r="Y27" s="26">
        <f>Q27</f>
      </c>
      <c r="Z27" s="12">
        <f>ROUND(Y27*R27,2)</f>
      </c>
      <c r="AA27" s="4" t="s">
        <v>10</v>
      </c>
      <c r="AB27" s="11">
        <f>IFERROR(VLOOKUP(AA27,Curr!$B$2:$C$13,2,FALSE),0)</f>
      </c>
      <c r="AC27" s="12">
        <f>ROUND(Y27*AB27*R27,2)</f>
      </c>
      <c r="AD27" s="12">
        <f>ROUND(AC27-X27,2)</f>
      </c>
      <c r="AE27" s="13">
        <f>IFERROR(AD27/AC27,0)</f>
      </c>
    </row>
    <row r="28" spans="2:31" x14ac:dyDescent="0.25">
      <c r="B28" s="4"/>
      <c r="E28" s="3"/>
      <c r="F28" s="3"/>
      <c r="G28" s="24"/>
      <c r="H28" s="24"/>
      <c r="K28" s="4"/>
      <c r="L28" s="4"/>
      <c r="M28" s="4"/>
      <c r="N28" s="4"/>
      <c r="O28" s="4"/>
      <c r="P28" s="33"/>
      <c r="Q28" s="25">
        <v>0</v>
      </c>
      <c r="R28" s="25">
        <v>0</v>
      </c>
      <c r="S28" s="12">
        <f>ROUND(Q28*R28,2)</f>
      </c>
      <c r="T28" s="5">
        <v>0</v>
      </c>
      <c r="U28" s="12">
        <f>ROUND(S28*(1-T28),2)</f>
      </c>
      <c r="V28" s="25" t="s">
        <v>10</v>
      </c>
      <c r="W28" s="11">
        <f>IFERROR(VLOOKUP(V28,Curr!$B$2:$C$13,2,FALSE),0)</f>
      </c>
      <c r="X28" s="12">
        <f>ROUND(U28*W28,2)</f>
      </c>
      <c r="Y28" s="26">
        <f>Q28</f>
      </c>
      <c r="Z28" s="12">
        <f>ROUND(Y28*R28,2)</f>
      </c>
      <c r="AA28" s="4" t="s">
        <v>10</v>
      </c>
      <c r="AB28" s="11">
        <f>IFERROR(VLOOKUP(AA28,Curr!$B$2:$C$13,2,FALSE),0)</f>
      </c>
      <c r="AC28" s="12">
        <f>ROUND(Y28*AB28*R28,2)</f>
      </c>
      <c r="AD28" s="12">
        <f>ROUND(AC28-X28,2)</f>
      </c>
      <c r="AE28" s="13">
        <f>IFERROR(AD28/AC28,0)</f>
      </c>
    </row>
    <row r="29" spans="2:31" x14ac:dyDescent="0.25">
      <c r="B29" s="4"/>
      <c r="E29" s="3"/>
      <c r="F29" s="3"/>
      <c r="G29" s="24"/>
      <c r="H29" s="24"/>
      <c r="K29" s="4"/>
      <c r="L29" s="4"/>
      <c r="M29" s="4"/>
      <c r="N29" s="4"/>
      <c r="O29" s="4"/>
      <c r="P29" s="29"/>
      <c r="Q29" s="25">
        <v>0</v>
      </c>
      <c r="R29" s="25">
        <v>0</v>
      </c>
      <c r="S29" s="12">
        <f>ROUND(Q29*R29,2)</f>
      </c>
      <c r="T29" s="5">
        <v>0</v>
      </c>
      <c r="U29" s="12">
        <f>ROUND(S29*(1-T29),2)</f>
      </c>
      <c r="V29" s="25" t="s">
        <v>10</v>
      </c>
      <c r="W29" s="11">
        <f>IFERROR(VLOOKUP(V29,Curr!$B$2:$C$13,2,FALSE),0)</f>
      </c>
      <c r="X29" s="12">
        <f>ROUND(U29*W29,2)</f>
      </c>
      <c r="Y29" s="26">
        <f>Q29</f>
      </c>
      <c r="Z29" s="12">
        <f>ROUND(Y29*R29,2)</f>
      </c>
      <c r="AA29" s="4" t="s">
        <v>10</v>
      </c>
      <c r="AB29" s="11">
        <f>IFERROR(VLOOKUP(AA29,Curr!$B$2:$C$13,2,FALSE),0)</f>
      </c>
      <c r="AC29" s="12">
        <f>ROUND(Y29*AB29*R29,2)</f>
      </c>
      <c r="AD29" s="12">
        <f>ROUND(AC29-X29,2)</f>
      </c>
      <c r="AE29" s="13">
        <f>IFERROR(AD29/AC29,0)</f>
      </c>
    </row>
    <row r="30" spans="2:31" x14ac:dyDescent="0.25">
      <c r="B30" s="4"/>
      <c r="E30" s="3"/>
      <c r="F30" s="3"/>
      <c r="G30" s="24"/>
      <c r="H30" s="24"/>
      <c r="K30" s="4"/>
      <c r="L30" s="4"/>
      <c r="M30" s="4"/>
      <c r="N30" s="4"/>
      <c r="O30" s="4"/>
      <c r="P30" s="33"/>
      <c r="Q30" s="25">
        <v>0</v>
      </c>
      <c r="R30" s="25">
        <v>0</v>
      </c>
      <c r="S30" s="12">
        <f>ROUND(Q30*R30,2)</f>
      </c>
      <c r="T30" s="5">
        <v>0</v>
      </c>
      <c r="U30" s="12">
        <f>ROUND(S30*(1-T30),2)</f>
      </c>
      <c r="V30" s="25" t="s">
        <v>10</v>
      </c>
      <c r="W30" s="11">
        <f>IFERROR(VLOOKUP(V30,Curr!$B$2:$C$13,2,FALSE),0)</f>
      </c>
      <c r="X30" s="12">
        <f>ROUND(U30*W30,2)</f>
      </c>
      <c r="Y30" s="26">
        <f>Q30</f>
      </c>
      <c r="Z30" s="12">
        <f>ROUND(Y30*R30,2)</f>
      </c>
      <c r="AA30" s="4" t="s">
        <v>10</v>
      </c>
      <c r="AB30" s="11">
        <f>IFERROR(VLOOKUP(AA30,Curr!$B$2:$C$13,2,FALSE),0)</f>
      </c>
      <c r="AC30" s="12">
        <f>ROUND(Y30*AB30*R30,2)</f>
      </c>
      <c r="AD30" s="12">
        <f>ROUND(AC30-X30,2)</f>
      </c>
      <c r="AE30" s="13">
        <f>IFERROR(AD30/AC30,0)</f>
      </c>
    </row>
    <row r="31" spans="2:31" x14ac:dyDescent="0.25">
      <c r="B31" s="4"/>
      <c r="E31" s="3"/>
      <c r="F31" s="3"/>
      <c r="G31" s="24"/>
      <c r="H31" s="24"/>
      <c r="K31" s="4"/>
      <c r="L31" s="4"/>
      <c r="M31" s="4"/>
      <c r="N31" s="4"/>
      <c r="O31" s="4"/>
      <c r="P31" s="27"/>
      <c r="Q31" s="25">
        <v>0</v>
      </c>
      <c r="R31" s="25">
        <v>0</v>
      </c>
      <c r="S31" s="12">
        <f>ROUND(Q31*R31,2)</f>
      </c>
      <c r="T31" s="5">
        <v>0</v>
      </c>
      <c r="U31" s="12">
        <f>ROUND(S31*(1-T31),2)</f>
      </c>
      <c r="V31" s="25" t="s">
        <v>10</v>
      </c>
      <c r="W31" s="11">
        <f>IFERROR(VLOOKUP(V31,Curr!$B$2:$C$13,2,FALSE),0)</f>
      </c>
      <c r="X31" s="12">
        <f>ROUND(U31*W31,2)</f>
      </c>
      <c r="Y31" s="26">
        <f>Q31</f>
      </c>
      <c r="Z31" s="12">
        <f>ROUND(Y31*R31,2)</f>
      </c>
      <c r="AA31" s="4" t="s">
        <v>10</v>
      </c>
      <c r="AB31" s="11">
        <f>IFERROR(VLOOKUP(AA31,Curr!$B$2:$C$13,2,FALSE),0)</f>
      </c>
      <c r="AC31" s="12">
        <f>ROUND(Y31*AB31*R31,2)</f>
      </c>
      <c r="AD31" s="12">
        <f>ROUND(AC31-X31,2)</f>
      </c>
      <c r="AE31" s="13">
        <f>IFERROR(AD31/AC31,0)</f>
      </c>
    </row>
    <row r="32" spans="2:31" x14ac:dyDescent="0.25">
      <c r="B32" s="4"/>
      <c r="E32" s="3"/>
      <c r="F32" s="3"/>
      <c r="G32" s="24"/>
      <c r="H32" s="24"/>
      <c r="K32" s="4"/>
      <c r="L32" s="4"/>
      <c r="M32" s="4"/>
      <c r="N32" s="4"/>
      <c r="O32" s="4"/>
      <c r="P32" s="27"/>
      <c r="Q32" s="25">
        <v>0</v>
      </c>
      <c r="R32" s="25">
        <v>0</v>
      </c>
      <c r="S32" s="12">
        <f>ROUND(Q32*R32,2)</f>
      </c>
      <c r="T32" s="5">
        <v>0</v>
      </c>
      <c r="U32" s="12">
        <f>ROUND(S32*(1-T32),2)</f>
      </c>
      <c r="V32" s="25" t="s">
        <v>10</v>
      </c>
      <c r="W32" s="11">
        <f>IFERROR(VLOOKUP(V32,Curr!$B$2:$C$13,2,FALSE),0)</f>
      </c>
      <c r="X32" s="12">
        <f>ROUND(U32*W32,2)</f>
      </c>
      <c r="Y32" s="26">
        <f>Q32</f>
      </c>
      <c r="Z32" s="12">
        <f>ROUND(Y32*R32,2)</f>
      </c>
      <c r="AA32" s="4" t="s">
        <v>10</v>
      </c>
      <c r="AB32" s="11">
        <f>IFERROR(VLOOKUP(AA32,Curr!$B$2:$C$13,2,FALSE),0)</f>
      </c>
      <c r="AC32" s="12">
        <f>ROUND(Y32*AB32*R32,2)</f>
      </c>
      <c r="AD32" s="12">
        <f>ROUND(AC32-X32,2)</f>
      </c>
      <c r="AE32" s="13">
        <f>IFERROR(AD32/AC32,0)</f>
      </c>
    </row>
    <row r="33" spans="2:31" x14ac:dyDescent="0.25">
      <c r="B33" s="4"/>
      <c r="E33" s="3"/>
      <c r="F33" s="3"/>
      <c r="G33" s="24"/>
      <c r="H33" s="24"/>
      <c r="K33" s="4"/>
      <c r="L33" s="4"/>
      <c r="M33" s="4"/>
      <c r="N33" s="4"/>
      <c r="O33" s="4"/>
      <c r="P33" s="27"/>
      <c r="Q33" s="25">
        <v>0</v>
      </c>
      <c r="R33" s="25">
        <v>0</v>
      </c>
      <c r="S33" s="12">
        <f>ROUND(Q33*R33,2)</f>
      </c>
      <c r="T33" s="5">
        <v>0</v>
      </c>
      <c r="U33" s="12">
        <f>ROUND(S33*(1-T33),2)</f>
      </c>
      <c r="V33" s="25" t="s">
        <v>10</v>
      </c>
      <c r="W33" s="11">
        <f>IFERROR(VLOOKUP(V33,Curr!$B$2:$C$13,2,FALSE),0)</f>
      </c>
      <c r="X33" s="12">
        <f>ROUND(U33*W33,2)</f>
      </c>
      <c r="Y33" s="26">
        <f>Q33</f>
      </c>
      <c r="Z33" s="12">
        <f>ROUND(Y33*R33,2)</f>
      </c>
      <c r="AA33" s="4" t="s">
        <v>10</v>
      </c>
      <c r="AB33" s="11">
        <f>IFERROR(VLOOKUP(AA33,Curr!$B$2:$C$13,2,FALSE),0)</f>
      </c>
      <c r="AC33" s="12">
        <f>ROUND(Y33*AB33*R33,2)</f>
      </c>
      <c r="AD33" s="12">
        <f>ROUND(AC33-X33,2)</f>
      </c>
      <c r="AE33" s="13">
        <f>IFERROR(AD33/AC33,0)</f>
      </c>
    </row>
    <row r="34" spans="2:31" x14ac:dyDescent="0.25">
      <c r="B34" s="4"/>
      <c r="E34" s="3"/>
      <c r="F34" s="3"/>
      <c r="G34" s="24"/>
      <c r="H34" s="24"/>
      <c r="K34" s="4"/>
      <c r="L34" s="4"/>
      <c r="M34" s="4"/>
      <c r="N34" s="4"/>
      <c r="O34" s="4"/>
      <c r="P34" s="33"/>
      <c r="Q34" s="25">
        <v>0</v>
      </c>
      <c r="R34" s="25">
        <v>0</v>
      </c>
      <c r="S34" s="12">
        <f>ROUND(Q34*R34,2)</f>
      </c>
      <c r="T34" s="5">
        <v>0</v>
      </c>
      <c r="U34" s="12">
        <f>ROUND(S34*(1-T34),2)</f>
      </c>
      <c r="V34" s="25" t="s">
        <v>10</v>
      </c>
      <c r="W34" s="11">
        <f>IFERROR(VLOOKUP(V34,Curr!$B$2:$C$13,2,FALSE),0)</f>
      </c>
      <c r="X34" s="12">
        <f>ROUND(U34*W34,2)</f>
      </c>
      <c r="Y34" s="26">
        <f>Q34</f>
      </c>
      <c r="Z34" s="12">
        <f>ROUND(Y34*R34,2)</f>
      </c>
      <c r="AA34" s="4" t="s">
        <v>10</v>
      </c>
      <c r="AB34" s="11">
        <f>IFERROR(VLOOKUP(AA34,Curr!$B$2:$C$13,2,FALSE),0)</f>
      </c>
      <c r="AC34" s="12">
        <f>ROUND(Y34*AB34*R34,2)</f>
      </c>
      <c r="AD34" s="12">
        <f>ROUND(AC34-X34,2)</f>
      </c>
      <c r="AE34" s="13">
        <f>IFERROR(AD34/AC34,0)</f>
      </c>
    </row>
    <row r="35" spans="2:31" x14ac:dyDescent="0.25">
      <c r="B35" s="4"/>
      <c r="E35" s="3"/>
      <c r="F35" s="3"/>
      <c r="G35" s="24"/>
      <c r="H35" s="24"/>
      <c r="K35" s="4"/>
      <c r="L35" s="4"/>
      <c r="M35" s="4"/>
      <c r="N35" s="4"/>
      <c r="O35" s="4"/>
      <c r="P35" s="27"/>
      <c r="Q35" s="25">
        <v>0</v>
      </c>
      <c r="R35" s="25">
        <v>0</v>
      </c>
      <c r="S35" s="12">
        <f>ROUND(Q35*R35,2)</f>
      </c>
      <c r="T35" s="5">
        <v>0</v>
      </c>
      <c r="U35" s="12">
        <f>ROUND(S35*(1-T35),2)</f>
      </c>
      <c r="V35" s="25" t="s">
        <v>10</v>
      </c>
      <c r="W35" s="11">
        <f>IFERROR(VLOOKUP(V35,Curr!$B$2:$C$13,2,FALSE),0)</f>
      </c>
      <c r="X35" s="12">
        <f>ROUND(U35*W35,2)</f>
      </c>
      <c r="Y35" s="26">
        <f>Q35</f>
      </c>
      <c r="Z35" s="12">
        <f>ROUND(Y35*R35,2)</f>
      </c>
      <c r="AA35" s="4" t="s">
        <v>10</v>
      </c>
      <c r="AB35" s="11">
        <f>IFERROR(VLOOKUP(AA35,Curr!$B$2:$C$13,2,FALSE),0)</f>
      </c>
      <c r="AC35" s="12">
        <f>ROUND(Y35*AB35*R35,2)</f>
      </c>
      <c r="AD35" s="12">
        <f>ROUND(AC35-X35,2)</f>
      </c>
      <c r="AE35" s="13">
        <f>IFERROR(AD35/AC35,0)</f>
      </c>
    </row>
    <row r="36" spans="2:31" x14ac:dyDescent="0.25">
      <c r="B36" s="4"/>
      <c r="E36" s="3"/>
      <c r="F36" s="3"/>
      <c r="G36" s="24"/>
      <c r="H36" s="24"/>
      <c r="K36" s="4"/>
      <c r="L36" s="4"/>
      <c r="M36" s="4"/>
      <c r="N36" s="4"/>
      <c r="O36" s="4"/>
      <c r="P36" s="33"/>
      <c r="Q36" s="25">
        <v>0</v>
      </c>
      <c r="R36" s="25">
        <v>0</v>
      </c>
      <c r="S36" s="12">
        <f>ROUND(Q36*R36,2)</f>
      </c>
      <c r="T36" s="5">
        <v>0</v>
      </c>
      <c r="U36" s="12">
        <f>ROUND(S36*(1-T36),2)</f>
      </c>
      <c r="V36" s="25" t="s">
        <v>10</v>
      </c>
      <c r="W36" s="11">
        <f>IFERROR(VLOOKUP(V36,Curr!$B$2:$C$13,2,FALSE),0)</f>
      </c>
      <c r="X36" s="12">
        <f>ROUND(U36*W36,2)</f>
      </c>
      <c r="Y36" s="26">
        <f>Q36</f>
      </c>
      <c r="Z36" s="12">
        <f>ROUND(Y36*R36,2)</f>
      </c>
      <c r="AA36" s="4" t="s">
        <v>10</v>
      </c>
      <c r="AB36" s="11">
        <f>IFERROR(VLOOKUP(AA36,Curr!$B$2:$C$13,2,FALSE),0)</f>
      </c>
      <c r="AC36" s="12">
        <f>ROUND(Y36*AB36*R36,2)</f>
      </c>
      <c r="AD36" s="12">
        <f>ROUND(AC36-X36,2)</f>
      </c>
      <c r="AE36" s="13">
        <f>IFERROR(AD36/AC36,0)</f>
      </c>
    </row>
    <row r="37" spans="2:31" x14ac:dyDescent="0.25">
      <c r="B37" s="4"/>
      <c r="E37" s="3"/>
      <c r="F37" s="3"/>
      <c r="G37" s="24"/>
      <c r="H37" s="24"/>
      <c r="K37" s="4"/>
      <c r="L37" s="4"/>
      <c r="M37" s="4"/>
      <c r="N37" s="4"/>
      <c r="O37" s="4"/>
      <c r="P37" s="33"/>
      <c r="Q37" s="25">
        <v>0</v>
      </c>
      <c r="R37" s="25">
        <v>0</v>
      </c>
      <c r="S37" s="12">
        <f>ROUND(Q37*R37,2)</f>
      </c>
      <c r="T37" s="5">
        <v>0</v>
      </c>
      <c r="U37" s="12">
        <f>ROUND(S37*(1-T37),2)</f>
      </c>
      <c r="V37" s="25" t="s">
        <v>10</v>
      </c>
      <c r="W37" s="11">
        <f>IFERROR(VLOOKUP(V37,Curr!$B$2:$C$13,2,FALSE),0)</f>
      </c>
      <c r="X37" s="12">
        <f>ROUND(U37*W37,2)</f>
      </c>
      <c r="Y37" s="26">
        <f>Q37</f>
      </c>
      <c r="Z37" s="12">
        <f>ROUND(Y37*R37,2)</f>
      </c>
      <c r="AA37" s="4" t="s">
        <v>10</v>
      </c>
      <c r="AB37" s="11">
        <f>IFERROR(VLOOKUP(AA37,Curr!$B$2:$C$13,2,FALSE),0)</f>
      </c>
      <c r="AC37" s="12">
        <f>ROUND(Y37*AB37*R37,2)</f>
      </c>
      <c r="AD37" s="12">
        <f>ROUND(AC37-X37,2)</f>
      </c>
      <c r="AE37" s="13">
        <f>IFERROR(AD37/AC37,0)</f>
      </c>
    </row>
    <row r="38" spans="2:31" x14ac:dyDescent="0.25">
      <c r="B38" s="4"/>
      <c r="E38" s="3"/>
      <c r="F38" s="3"/>
      <c r="G38" s="24"/>
      <c r="H38" s="24"/>
      <c r="K38" s="4"/>
      <c r="L38" s="4"/>
      <c r="M38" s="4"/>
      <c r="N38" s="4"/>
      <c r="O38" s="4"/>
      <c r="P38" s="27"/>
      <c r="Q38" s="25">
        <v>0</v>
      </c>
      <c r="R38" s="25">
        <v>0</v>
      </c>
      <c r="S38" s="12">
        <f>ROUND(Q38*R38,2)</f>
      </c>
      <c r="T38" s="5">
        <v>0</v>
      </c>
      <c r="U38" s="12">
        <f>ROUND(S38*(1-T38),2)</f>
      </c>
      <c r="V38" s="25" t="s">
        <v>10</v>
      </c>
      <c r="W38" s="11">
        <f>IFERROR(VLOOKUP(V38,Curr!$B$2:$C$13,2,FALSE),0)</f>
      </c>
      <c r="X38" s="12">
        <f>ROUND(U38*W38,2)</f>
      </c>
      <c r="Y38" s="26">
        <f>Q38</f>
      </c>
      <c r="Z38" s="12">
        <f>ROUND(Y38*R38,2)</f>
      </c>
      <c r="AA38" s="4" t="s">
        <v>10</v>
      </c>
      <c r="AB38" s="11">
        <f>IFERROR(VLOOKUP(AA38,Curr!$B$2:$C$13,2,FALSE),0)</f>
      </c>
      <c r="AC38" s="12">
        <f>ROUND(Y38*AB38*R38,2)</f>
      </c>
      <c r="AD38" s="12">
        <f>ROUND(AC38-X38,2)</f>
      </c>
      <c r="AE38" s="13">
        <f>IFERROR(AD38/AC38,0)</f>
      </c>
    </row>
    <row r="39" spans="2:31" x14ac:dyDescent="0.25">
      <c r="B39" s="4"/>
      <c r="E39" s="3"/>
      <c r="F39" s="3"/>
      <c r="G39" s="24"/>
      <c r="H39" s="24"/>
      <c r="K39" s="4"/>
      <c r="L39" s="4"/>
      <c r="M39" s="4"/>
      <c r="N39" s="4"/>
      <c r="O39" s="4"/>
      <c r="P39" s="33"/>
      <c r="Q39" s="25">
        <v>0</v>
      </c>
      <c r="R39" s="25">
        <v>0</v>
      </c>
      <c r="S39" s="12">
        <f>ROUND(Q39*R39,2)</f>
      </c>
      <c r="T39" s="5">
        <v>0</v>
      </c>
      <c r="U39" s="12">
        <f>ROUND(S39*(1-T39),2)</f>
      </c>
      <c r="V39" s="25" t="s">
        <v>10</v>
      </c>
      <c r="W39" s="11">
        <f>IFERROR(VLOOKUP(V39,Curr!$B$2:$C$13,2,FALSE),0)</f>
      </c>
      <c r="X39" s="12">
        <f>ROUND(U39*W39,2)</f>
      </c>
      <c r="Y39" s="26">
        <f>Q39</f>
      </c>
      <c r="Z39" s="12">
        <f>ROUND(Y39*R39,2)</f>
      </c>
      <c r="AA39" s="4" t="s">
        <v>10</v>
      </c>
      <c r="AB39" s="11">
        <f>IFERROR(VLOOKUP(AA39,Curr!$B$2:$C$13,2,FALSE),0)</f>
      </c>
      <c r="AC39" s="12">
        <f>ROUND(Y39*AB39*R39,2)</f>
      </c>
      <c r="AD39" s="12">
        <f>ROUND(AC39-X39,2)</f>
      </c>
      <c r="AE39" s="13">
        <f>IFERROR(AD39/AC39,0)</f>
      </c>
    </row>
    <row r="40" spans="2:31" x14ac:dyDescent="0.25">
      <c r="B40" s="4"/>
      <c r="E40" s="3"/>
      <c r="F40" s="3"/>
      <c r="G40" s="24"/>
      <c r="H40" s="24"/>
      <c r="K40" s="4"/>
      <c r="L40" s="4"/>
      <c r="M40" s="4"/>
      <c r="N40" s="4"/>
      <c r="O40" s="4"/>
      <c r="P40" s="27"/>
      <c r="Q40" s="25">
        <v>0</v>
      </c>
      <c r="R40" s="25">
        <v>0</v>
      </c>
      <c r="S40" s="12">
        <f>ROUND(Q40*R40,2)</f>
      </c>
      <c r="T40" s="5">
        <v>0</v>
      </c>
      <c r="U40" s="12">
        <f>ROUND(S40*(1-T40),2)</f>
      </c>
      <c r="V40" s="25" t="s">
        <v>10</v>
      </c>
      <c r="W40" s="11">
        <f>IFERROR(VLOOKUP(V40,Curr!$B$2:$C$13,2,FALSE),0)</f>
      </c>
      <c r="X40" s="12">
        <f>ROUND(U40*W40,2)</f>
      </c>
      <c r="Y40" s="26">
        <f>Q40</f>
      </c>
      <c r="Z40" s="12">
        <f>ROUND(Y40*R40,2)</f>
      </c>
      <c r="AA40" s="4" t="s">
        <v>10</v>
      </c>
      <c r="AB40" s="11">
        <f>IFERROR(VLOOKUP(AA40,Curr!$B$2:$C$13,2,FALSE),0)</f>
      </c>
      <c r="AC40" s="12">
        <f>ROUND(Y40*AB40*R40,2)</f>
      </c>
      <c r="AD40" s="12">
        <f>ROUND(AC40-X40,2)</f>
      </c>
      <c r="AE40" s="13">
        <f>IFERROR(AD40/AC40,0)</f>
      </c>
    </row>
    <row r="41" spans="2:31" x14ac:dyDescent="0.25">
      <c r="B41" s="4"/>
      <c r="E41" s="3"/>
      <c r="F41" s="3"/>
      <c r="G41" s="24"/>
      <c r="H41" s="24"/>
      <c r="K41" s="4"/>
      <c r="L41" s="4"/>
      <c r="M41" s="4"/>
      <c r="N41" s="4"/>
      <c r="O41" s="4"/>
      <c r="P41" s="33"/>
      <c r="Q41" s="25">
        <v>0</v>
      </c>
      <c r="R41" s="25">
        <v>0</v>
      </c>
      <c r="S41" s="12">
        <f>ROUND(Q41*R41,2)</f>
      </c>
      <c r="T41" s="5">
        <v>0</v>
      </c>
      <c r="U41" s="12">
        <f>ROUND(S41*(1-T41),2)</f>
      </c>
      <c r="V41" s="25" t="s">
        <v>10</v>
      </c>
      <c r="W41" s="11">
        <f>IFERROR(VLOOKUP(V41,Curr!$B$2:$C$13,2,FALSE),0)</f>
      </c>
      <c r="X41" s="12">
        <f>ROUND(U41*W41,2)</f>
      </c>
      <c r="Y41" s="26">
        <f>Q41</f>
      </c>
      <c r="Z41" s="12">
        <f>ROUND(Y41*R41,2)</f>
      </c>
      <c r="AA41" s="4" t="s">
        <v>10</v>
      </c>
      <c r="AB41" s="11">
        <f>IFERROR(VLOOKUP(AA41,Curr!$B$2:$C$13,2,FALSE),0)</f>
      </c>
      <c r="AC41" s="12">
        <f>ROUND(Y41*AB41*R41,2)</f>
      </c>
      <c r="AD41" s="12">
        <f>ROUND(AC41-X41,2)</f>
      </c>
      <c r="AE41" s="13">
        <f>IFERROR(AD41/AC41,0)</f>
      </c>
    </row>
    <row r="42" spans="2:31" x14ac:dyDescent="0.25">
      <c r="B42" s="4"/>
      <c r="E42" s="3"/>
      <c r="F42" s="3"/>
      <c r="G42" s="24"/>
      <c r="H42" s="24"/>
      <c r="K42" s="4"/>
      <c r="L42" s="4"/>
      <c r="M42" s="4"/>
      <c r="N42" s="4"/>
      <c r="O42" s="4"/>
      <c r="P42" s="27"/>
      <c r="Q42" s="25">
        <v>0</v>
      </c>
      <c r="R42" s="25">
        <v>0</v>
      </c>
      <c r="S42" s="12">
        <f>ROUND(Q42*R42,2)</f>
      </c>
      <c r="T42" s="5">
        <v>0</v>
      </c>
      <c r="U42" s="12">
        <f>ROUND(S42*(1-T42),2)</f>
      </c>
      <c r="V42" s="25" t="s">
        <v>10</v>
      </c>
      <c r="W42" s="11">
        <f>IFERROR(VLOOKUP(V42,Curr!$B$2:$C$13,2,FALSE),0)</f>
      </c>
      <c r="X42" s="12">
        <f>ROUND(U42*W42,2)</f>
      </c>
      <c r="Y42" s="26">
        <f>Q42</f>
      </c>
      <c r="Z42" s="12">
        <f>ROUND(Y42*R42,2)</f>
      </c>
      <c r="AA42" s="4" t="s">
        <v>10</v>
      </c>
      <c r="AB42" s="11">
        <f>IFERROR(VLOOKUP(AA42,Curr!$B$2:$C$13,2,FALSE),0)</f>
      </c>
      <c r="AC42" s="12">
        <f>ROUND(Y42*AB42*R42,2)</f>
      </c>
      <c r="AD42" s="12">
        <f>ROUND(AC42-X42,2)</f>
      </c>
      <c r="AE42" s="13">
        <f>IFERROR(AD42/AC42,0)</f>
      </c>
    </row>
    <row r="43" spans="2:31" x14ac:dyDescent="0.25">
      <c r="B43" s="4"/>
      <c r="E43" s="3"/>
      <c r="F43" s="3"/>
      <c r="G43" s="24"/>
      <c r="H43" s="24"/>
      <c r="K43" s="4"/>
      <c r="L43" s="4"/>
      <c r="M43" s="4"/>
      <c r="N43" s="4"/>
      <c r="O43" s="4"/>
      <c r="P43" s="27"/>
      <c r="Q43" s="25">
        <v>0</v>
      </c>
      <c r="R43" s="25">
        <v>0</v>
      </c>
      <c r="S43" s="12">
        <f>ROUND(Q43*R43,2)</f>
      </c>
      <c r="T43" s="5">
        <v>0</v>
      </c>
      <c r="U43" s="12">
        <f>ROUND(S43*(1-T43),2)</f>
      </c>
      <c r="V43" s="25" t="s">
        <v>10</v>
      </c>
      <c r="W43" s="11">
        <f>IFERROR(VLOOKUP(V43,Curr!$B$2:$C$13,2,FALSE),0)</f>
      </c>
      <c r="X43" s="12">
        <f>ROUND(U43*W43,2)</f>
      </c>
      <c r="Y43" s="26">
        <f>Q43</f>
      </c>
      <c r="Z43" s="12">
        <f>ROUND(Y43*R43,2)</f>
      </c>
      <c r="AA43" s="4" t="s">
        <v>10</v>
      </c>
      <c r="AB43" s="11">
        <f>IFERROR(VLOOKUP(AA43,Curr!$B$2:$C$13,2,FALSE),0)</f>
      </c>
      <c r="AC43" s="12">
        <f>ROUND(Y43*AB43*R43,2)</f>
      </c>
      <c r="AD43" s="12">
        <f>ROUND(AC43-X43,2)</f>
      </c>
      <c r="AE43" s="13">
        <f>IFERROR(AD43/AC43,0)</f>
      </c>
    </row>
    <row r="44" spans="2:31" x14ac:dyDescent="0.25">
      <c r="B44" s="4"/>
      <c r="E44" s="3"/>
      <c r="F44" s="3"/>
      <c r="G44" s="24"/>
      <c r="H44" s="24"/>
      <c r="K44" s="4"/>
      <c r="L44" s="4"/>
      <c r="M44" s="4"/>
      <c r="N44" s="4"/>
      <c r="O44" s="4"/>
      <c r="P44" s="27"/>
      <c r="Q44" s="25">
        <v>0</v>
      </c>
      <c r="R44" s="25">
        <v>0</v>
      </c>
      <c r="S44" s="12">
        <f>ROUND(Q44*R44,2)</f>
      </c>
      <c r="T44" s="5">
        <v>0</v>
      </c>
      <c r="U44" s="12">
        <f>ROUND(S44*(1-T44),2)</f>
      </c>
      <c r="V44" s="25" t="s">
        <v>10</v>
      </c>
      <c r="W44" s="11">
        <f>IFERROR(VLOOKUP(V44,Curr!$B$2:$C$13,2,FALSE),0)</f>
      </c>
      <c r="X44" s="12">
        <f>ROUND(U44*W44,2)</f>
      </c>
      <c r="Y44" s="26">
        <f>Q44</f>
      </c>
      <c r="Z44" s="12">
        <f>ROUND(Y44*R44,2)</f>
      </c>
      <c r="AA44" s="4" t="s">
        <v>10</v>
      </c>
      <c r="AB44" s="11">
        <f>IFERROR(VLOOKUP(AA44,Curr!$B$2:$C$13,2,FALSE),0)</f>
      </c>
      <c r="AC44" s="12">
        <f>ROUND(Y44*AB44*R44,2)</f>
      </c>
      <c r="AD44" s="12">
        <f>ROUND(AC44-X44,2)</f>
      </c>
      <c r="AE44" s="13">
        <f>IFERROR(AD44/AC44,0)</f>
      </c>
    </row>
    <row r="45" spans="2:31" x14ac:dyDescent="0.25">
      <c r="B45" s="4"/>
      <c r="E45" s="3"/>
      <c r="F45" s="3"/>
      <c r="G45" s="24"/>
      <c r="H45" s="24"/>
      <c r="K45" s="4"/>
      <c r="L45" s="4"/>
      <c r="M45" s="4"/>
      <c r="N45" s="4"/>
      <c r="O45" s="4"/>
      <c r="P45" s="33"/>
      <c r="Q45" s="25">
        <v>0</v>
      </c>
      <c r="R45" s="25">
        <v>0</v>
      </c>
      <c r="S45" s="12">
        <f>ROUND(Q45*R45,2)</f>
      </c>
      <c r="T45" s="5">
        <v>0</v>
      </c>
      <c r="U45" s="12">
        <f>ROUND(S45*(1-T45),2)</f>
      </c>
      <c r="V45" s="25" t="s">
        <v>10</v>
      </c>
      <c r="W45" s="11">
        <f>IFERROR(VLOOKUP(V45,Curr!$B$2:$C$13,2,FALSE),0)</f>
      </c>
      <c r="X45" s="12">
        <f>ROUND(U45*W45,2)</f>
      </c>
      <c r="Y45" s="26">
        <f>Q45</f>
      </c>
      <c r="Z45" s="12">
        <f>ROUND(Y45*R45,2)</f>
      </c>
      <c r="AA45" s="4" t="s">
        <v>10</v>
      </c>
      <c r="AB45" s="11">
        <f>IFERROR(VLOOKUP(AA45,Curr!$B$2:$C$13,2,FALSE),0)</f>
      </c>
      <c r="AC45" s="12">
        <f>ROUND(Y45*AB45*R45,2)</f>
      </c>
      <c r="AD45" s="12">
        <f>ROUND(AC45-X45,2)</f>
      </c>
      <c r="AE45" s="13">
        <f>IFERROR(AD45/AC45,0)</f>
      </c>
    </row>
    <row r="46" spans="2:31" x14ac:dyDescent="0.25">
      <c r="B46" s="4"/>
      <c r="E46" s="3"/>
      <c r="F46" s="3"/>
      <c r="G46" s="24"/>
      <c r="H46" s="24"/>
      <c r="K46" s="4"/>
      <c r="L46" s="4"/>
      <c r="M46" s="4"/>
      <c r="N46" s="4"/>
      <c r="O46" s="4"/>
      <c r="P46" s="27"/>
      <c r="Q46" s="25">
        <v>0</v>
      </c>
      <c r="R46" s="25">
        <v>0</v>
      </c>
      <c r="S46" s="12">
        <f>ROUND(Q46*R46,2)</f>
      </c>
      <c r="T46" s="5">
        <v>0</v>
      </c>
      <c r="U46" s="12">
        <f>ROUND(S46*(1-T46),2)</f>
      </c>
      <c r="V46" s="25" t="s">
        <v>10</v>
      </c>
      <c r="W46" s="11">
        <f>IFERROR(VLOOKUP(V46,Curr!$B$2:$C$13,2,FALSE),0)</f>
      </c>
      <c r="X46" s="12">
        <f>ROUND(U46*W46,2)</f>
      </c>
      <c r="Y46" s="26">
        <f>Q46</f>
      </c>
      <c r="Z46" s="12">
        <f>ROUND(Y46*R46,2)</f>
      </c>
      <c r="AA46" s="4" t="s">
        <v>10</v>
      </c>
      <c r="AB46" s="11">
        <f>IFERROR(VLOOKUP(AA46,Curr!$B$2:$C$13,2,FALSE),0)</f>
      </c>
      <c r="AC46" s="12">
        <f>ROUND(Y46*AB46*R46,2)</f>
      </c>
      <c r="AD46" s="12">
        <f>ROUND(AC46-X46,2)</f>
      </c>
      <c r="AE46" s="13">
        <f>IFERROR(AD46/AC46,0)</f>
      </c>
    </row>
    <row r="47" spans="2:31" x14ac:dyDescent="0.25">
      <c r="B47" s="4"/>
      <c r="E47" s="3"/>
      <c r="F47" s="3"/>
      <c r="G47" s="24"/>
      <c r="H47" s="24"/>
      <c r="K47" s="4"/>
      <c r="L47" s="4"/>
      <c r="M47" s="4"/>
      <c r="N47" s="4"/>
      <c r="O47" s="4"/>
      <c r="P47" s="27"/>
      <c r="Q47" s="25">
        <v>0</v>
      </c>
      <c r="R47" s="25">
        <v>0</v>
      </c>
      <c r="S47" s="12">
        <f>ROUND(Q47*R47,2)</f>
      </c>
      <c r="T47" s="5">
        <v>0</v>
      </c>
      <c r="U47" s="12">
        <f>ROUND(S47*(1-T47),2)</f>
      </c>
      <c r="V47" s="25" t="s">
        <v>10</v>
      </c>
      <c r="W47" s="11">
        <f>IFERROR(VLOOKUP(V47,Curr!$B$2:$C$13,2,FALSE),0)</f>
      </c>
      <c r="X47" s="12">
        <f>ROUND(U47*W47,2)</f>
      </c>
      <c r="Y47" s="26">
        <f>Q47</f>
      </c>
      <c r="Z47" s="12">
        <f>ROUND(Y47*R47,2)</f>
      </c>
      <c r="AA47" s="4" t="s">
        <v>10</v>
      </c>
      <c r="AB47" s="11">
        <f>IFERROR(VLOOKUP(AA47,Curr!$B$2:$C$13,2,FALSE),0)</f>
      </c>
      <c r="AC47" s="12">
        <f>ROUND(Y47*AB47*R47,2)</f>
      </c>
      <c r="AD47" s="12">
        <f>ROUND(AC47-X47,2)</f>
      </c>
      <c r="AE47" s="13">
        <f>IFERROR(AD47/AC47,0)</f>
      </c>
    </row>
    <row r="48" spans="2:31" x14ac:dyDescent="0.25">
      <c r="B48" s="4"/>
      <c r="E48" s="3"/>
      <c r="F48" s="3"/>
      <c r="G48" s="24"/>
      <c r="H48" s="24"/>
      <c r="K48" s="4"/>
      <c r="L48" s="4"/>
      <c r="M48" s="4"/>
      <c r="N48" s="4"/>
      <c r="O48" s="4"/>
      <c r="P48" s="27"/>
      <c r="Q48" s="25">
        <v>0</v>
      </c>
      <c r="R48" s="25">
        <v>0</v>
      </c>
      <c r="S48" s="12">
        <f>ROUND(Q48*R48,2)</f>
      </c>
      <c r="T48" s="5">
        <v>0</v>
      </c>
      <c r="U48" s="12">
        <f>ROUND(S48*(1-T48),2)</f>
      </c>
      <c r="V48" s="25" t="s">
        <v>10</v>
      </c>
      <c r="W48" s="11">
        <f>IFERROR(VLOOKUP(V48,Curr!$B$2:$C$13,2,FALSE),0)</f>
      </c>
      <c r="X48" s="12">
        <f>ROUND(U48*W48,2)</f>
      </c>
      <c r="Y48" s="26">
        <f>Q48</f>
      </c>
      <c r="Z48" s="12">
        <f>ROUND(Y48*R48,2)</f>
      </c>
      <c r="AA48" s="4" t="s">
        <v>10</v>
      </c>
      <c r="AB48" s="11">
        <f>IFERROR(VLOOKUP(AA48,Curr!$B$2:$C$13,2,FALSE),0)</f>
      </c>
      <c r="AC48" s="12">
        <f>ROUND(Y48*AB48*R48,2)</f>
      </c>
      <c r="AD48" s="12">
        <f>ROUND(AC48-X48,2)</f>
      </c>
      <c r="AE48" s="13">
        <f>IFERROR(AD48/AC48,0)</f>
      </c>
    </row>
    <row r="49" spans="2:31" x14ac:dyDescent="0.25">
      <c r="B49" s="4"/>
      <c r="E49" s="3"/>
      <c r="F49" s="3"/>
      <c r="G49" s="24"/>
      <c r="H49" s="24"/>
      <c r="K49" s="4"/>
      <c r="L49" s="4"/>
      <c r="M49" s="4"/>
      <c r="N49" s="4"/>
      <c r="O49" s="4"/>
      <c r="P49" s="33"/>
      <c r="Q49" s="25">
        <v>0</v>
      </c>
      <c r="R49" s="25">
        <v>0</v>
      </c>
      <c r="S49" s="12">
        <f>ROUND(Q49*R49,2)</f>
      </c>
      <c r="T49" s="5">
        <v>0</v>
      </c>
      <c r="U49" s="12">
        <f>ROUND(S49*(1-T49),2)</f>
      </c>
      <c r="V49" s="25" t="s">
        <v>10</v>
      </c>
      <c r="W49" s="11">
        <f>IFERROR(VLOOKUP(V49,Curr!$B$2:$C$13,2,FALSE),0)</f>
      </c>
      <c r="X49" s="12">
        <f>ROUND(U49*W49,2)</f>
      </c>
      <c r="Y49" s="26">
        <f>Q49</f>
      </c>
      <c r="Z49" s="12">
        <f>ROUND(Y49*R49,2)</f>
      </c>
      <c r="AA49" s="4" t="s">
        <v>10</v>
      </c>
      <c r="AB49" s="11">
        <f>IFERROR(VLOOKUP(AA49,Curr!$B$2:$C$13,2,FALSE),0)</f>
      </c>
      <c r="AC49" s="12">
        <f>ROUND(Y49*AB49*R49,2)</f>
      </c>
      <c r="AD49" s="12">
        <f>ROUND(AC49-X49,2)</f>
      </c>
      <c r="AE49" s="13">
        <f>IFERROR(AD49/AC49,0)</f>
      </c>
    </row>
    <row r="50" spans="2:31" x14ac:dyDescent="0.25">
      <c r="B50" s="4"/>
      <c r="E50" s="3"/>
      <c r="F50" s="3"/>
      <c r="G50" s="24"/>
      <c r="H50" s="24"/>
      <c r="K50" s="4"/>
      <c r="L50" s="4"/>
      <c r="M50" s="4"/>
      <c r="N50" s="4"/>
      <c r="O50" s="4"/>
      <c r="P50" s="27"/>
      <c r="Q50" s="25">
        <v>0</v>
      </c>
      <c r="R50" s="25">
        <v>0</v>
      </c>
      <c r="S50" s="12">
        <f>ROUND(Q50*R50,2)</f>
      </c>
      <c r="T50" s="5">
        <v>0</v>
      </c>
      <c r="U50" s="12">
        <f>ROUND(S50*(1-T50),2)</f>
      </c>
      <c r="V50" s="25" t="s">
        <v>10</v>
      </c>
      <c r="W50" s="11">
        <f>IFERROR(VLOOKUP(V50,Curr!$B$2:$C$13,2,FALSE),0)</f>
      </c>
      <c r="X50" s="12">
        <f>ROUND(U50*W50,2)</f>
      </c>
      <c r="Y50" s="26">
        <f>Q50</f>
      </c>
      <c r="Z50" s="12">
        <f>ROUND(Y50*R50,2)</f>
      </c>
      <c r="AA50" s="4" t="s">
        <v>10</v>
      </c>
      <c r="AB50" s="11">
        <f>IFERROR(VLOOKUP(AA50,Curr!$B$2:$C$13,2,FALSE),0)</f>
      </c>
      <c r="AC50" s="12">
        <f>ROUND(Y50*AB50*R50,2)</f>
      </c>
      <c r="AD50" s="12">
        <f>ROUND(AC50-X50,2)</f>
      </c>
      <c r="AE50" s="13">
        <f>IFERROR(AD50/AC50,0)</f>
      </c>
    </row>
    <row r="51" spans="2:31" x14ac:dyDescent="0.25">
      <c r="B51" s="4"/>
      <c r="E51" s="3"/>
      <c r="F51" s="3"/>
      <c r="G51" s="24"/>
      <c r="H51" s="24"/>
      <c r="K51" s="4"/>
      <c r="L51" s="4"/>
      <c r="M51" s="4"/>
      <c r="N51" s="4"/>
      <c r="O51" s="4"/>
      <c r="P51" s="27"/>
      <c r="Q51" s="25">
        <v>0</v>
      </c>
      <c r="R51" s="25">
        <v>0</v>
      </c>
      <c r="S51" s="12">
        <f>ROUND(Q51*R51,2)</f>
      </c>
      <c r="T51" s="5">
        <v>0</v>
      </c>
      <c r="U51" s="12">
        <f>ROUND(S51*(1-T51),2)</f>
      </c>
      <c r="V51" s="25" t="s">
        <v>10</v>
      </c>
      <c r="W51" s="11">
        <f>IFERROR(VLOOKUP(V51,Curr!$B$2:$C$13,2,FALSE),0)</f>
      </c>
      <c r="X51" s="12">
        <f>ROUND(U51*W51,2)</f>
      </c>
      <c r="Y51" s="26">
        <f>Q51</f>
      </c>
      <c r="Z51" s="12">
        <f>ROUND(Y51*R51,2)</f>
      </c>
      <c r="AA51" s="4" t="s">
        <v>10</v>
      </c>
      <c r="AB51" s="11">
        <f>IFERROR(VLOOKUP(AA51,Curr!$B$2:$C$13,2,FALSE),0)</f>
      </c>
      <c r="AC51" s="12">
        <f>ROUND(Y51*AB51*R51,2)</f>
      </c>
      <c r="AD51" s="12">
        <f>ROUND(AC51-X51,2)</f>
      </c>
      <c r="AE51" s="13">
        <f>IFERROR(AD51/AC51,0)</f>
      </c>
    </row>
    <row r="52" spans="2:31" x14ac:dyDescent="0.25">
      <c r="B52" s="4"/>
      <c r="E52" s="3"/>
      <c r="F52" s="3"/>
      <c r="G52" s="24"/>
      <c r="H52" s="24"/>
      <c r="K52" s="4"/>
      <c r="L52" s="4"/>
      <c r="M52" s="4"/>
      <c r="N52" s="4"/>
      <c r="O52" s="4"/>
      <c r="P52" s="27"/>
      <c r="Q52" s="25">
        <v>0</v>
      </c>
      <c r="R52" s="25">
        <v>0</v>
      </c>
      <c r="S52" s="12">
        <f>ROUND(Q52*R52,2)</f>
      </c>
      <c r="T52" s="5">
        <v>0</v>
      </c>
      <c r="U52" s="12">
        <f>ROUND(S52*(1-T52),2)</f>
      </c>
      <c r="V52" s="25" t="s">
        <v>10</v>
      </c>
      <c r="W52" s="11">
        <f>IFERROR(VLOOKUP(V52,Curr!$B$2:$C$13,2,FALSE),0)</f>
      </c>
      <c r="X52" s="12">
        <f>ROUND(U52*W52,2)</f>
      </c>
      <c r="Y52" s="26">
        <f>Q52</f>
      </c>
      <c r="Z52" s="12">
        <f>ROUND(Y52*R52,2)</f>
      </c>
      <c r="AA52" s="4" t="s">
        <v>10</v>
      </c>
      <c r="AB52" s="11">
        <f>IFERROR(VLOOKUP(AA52,Curr!$B$2:$C$13,2,FALSE),0)</f>
      </c>
      <c r="AC52" s="12">
        <f>ROUND(Y52*AB52*R52,2)</f>
      </c>
      <c r="AD52" s="12">
        <f>ROUND(AC52-X52,2)</f>
      </c>
      <c r="AE52" s="13">
        <f>IFERROR(AD52/AC52,0)</f>
      </c>
    </row>
    <row r="53" spans="2:31" x14ac:dyDescent="0.25">
      <c r="B53" s="4"/>
      <c r="E53" s="3"/>
      <c r="F53" s="3"/>
      <c r="G53" s="24"/>
      <c r="H53" s="24"/>
      <c r="K53" s="4"/>
      <c r="L53" s="4"/>
      <c r="M53" s="4"/>
      <c r="N53" s="4"/>
      <c r="O53" s="4"/>
      <c r="P53" s="27"/>
      <c r="Q53" s="25">
        <v>0</v>
      </c>
      <c r="R53" s="25">
        <v>0</v>
      </c>
      <c r="S53" s="12">
        <f>ROUND(Q53*R53,2)</f>
      </c>
      <c r="T53" s="5">
        <v>0</v>
      </c>
      <c r="U53" s="12">
        <f>ROUND(S53*(1-T53),2)</f>
      </c>
      <c r="V53" s="25" t="s">
        <v>10</v>
      </c>
      <c r="W53" s="11">
        <f>IFERROR(VLOOKUP(V53,Curr!$B$2:$C$13,2,FALSE),0)</f>
      </c>
      <c r="X53" s="12">
        <f>ROUND(U53*W53,2)</f>
      </c>
      <c r="Y53" s="26">
        <f>Q53</f>
      </c>
      <c r="Z53" s="12">
        <f>ROUND(Y53*R53,2)</f>
      </c>
      <c r="AA53" s="4" t="s">
        <v>10</v>
      </c>
      <c r="AB53" s="11">
        <f>IFERROR(VLOOKUP(AA53,Curr!$B$2:$C$13,2,FALSE),0)</f>
      </c>
      <c r="AC53" s="12">
        <f>ROUND(Y53*AB53*R53,2)</f>
      </c>
      <c r="AD53" s="12">
        <f>ROUND(AC53-X53,2)</f>
      </c>
      <c r="AE53" s="13">
        <f>IFERROR(AD53/AC53,0)</f>
      </c>
    </row>
    <row r="54" spans="2:31" x14ac:dyDescent="0.25">
      <c r="B54" s="4"/>
      <c r="E54" s="3"/>
      <c r="F54" s="3"/>
      <c r="G54" s="24"/>
      <c r="H54" s="24"/>
      <c r="K54" s="4"/>
      <c r="L54" s="4"/>
      <c r="M54" s="4"/>
      <c r="N54" s="4"/>
      <c r="O54" s="4"/>
      <c r="P54" s="27"/>
      <c r="Q54" s="25">
        <v>0</v>
      </c>
      <c r="R54" s="25">
        <v>0</v>
      </c>
      <c r="S54" s="12">
        <f>ROUND(Q54*R54,2)</f>
      </c>
      <c r="T54" s="5">
        <v>0</v>
      </c>
      <c r="U54" s="12">
        <f>ROUND(S54*(1-T54),2)</f>
      </c>
      <c r="V54" s="25" t="s">
        <v>10</v>
      </c>
      <c r="W54" s="11">
        <f>IFERROR(VLOOKUP(V54,Curr!$B$2:$C$13,2,FALSE),0)</f>
      </c>
      <c r="X54" s="12">
        <f>ROUND(U54*W54,2)</f>
      </c>
      <c r="Y54" s="26">
        <f>Q54</f>
      </c>
      <c r="Z54" s="12">
        <f>ROUND(Y54*R54,2)</f>
      </c>
      <c r="AA54" s="4" t="s">
        <v>10</v>
      </c>
      <c r="AB54" s="11">
        <f>IFERROR(VLOOKUP(AA54,Curr!$B$2:$C$13,2,FALSE),0)</f>
      </c>
      <c r="AC54" s="12">
        <f>ROUND(Y54*AB54*R54,2)</f>
      </c>
      <c r="AD54" s="12">
        <f>ROUND(AC54-X54,2)</f>
      </c>
      <c r="AE54" s="13">
        <f>IFERROR(AD54/AC54,0)</f>
      </c>
    </row>
    <row r="55" spans="2:31" x14ac:dyDescent="0.25">
      <c r="B55" s="4"/>
      <c r="E55" s="3"/>
      <c r="F55" s="3"/>
      <c r="G55" s="24"/>
      <c r="H55" s="24"/>
      <c r="K55" s="4"/>
      <c r="L55" s="4"/>
      <c r="M55" s="4"/>
      <c r="N55" s="4"/>
      <c r="O55" s="4"/>
      <c r="P55" s="27"/>
      <c r="Q55" s="25">
        <v>0</v>
      </c>
      <c r="R55" s="25">
        <v>0</v>
      </c>
      <c r="S55" s="12">
        <f>ROUND(Q55*R55,2)</f>
      </c>
      <c r="T55" s="5">
        <v>0</v>
      </c>
      <c r="U55" s="12">
        <f>ROUND(S55*(1-T55),2)</f>
      </c>
      <c r="V55" s="25" t="s">
        <v>10</v>
      </c>
      <c r="W55" s="11">
        <f>IFERROR(VLOOKUP(V55,Curr!$B$2:$C$13,2,FALSE),0)</f>
      </c>
      <c r="X55" s="12">
        <f>ROUND(U55*W55,2)</f>
      </c>
      <c r="Y55" s="26">
        <f>Q55</f>
      </c>
      <c r="Z55" s="12">
        <f>ROUND(Y55*R55,2)</f>
      </c>
      <c r="AA55" s="4" t="s">
        <v>10</v>
      </c>
      <c r="AB55" s="11">
        <f>IFERROR(VLOOKUP(AA55,Curr!$B$2:$C$13,2,FALSE),0)</f>
      </c>
      <c r="AC55" s="12">
        <f>ROUND(Y55*AB55*R55,2)</f>
      </c>
      <c r="AD55" s="12">
        <f>ROUND(AC55-X55,2)</f>
      </c>
      <c r="AE55" s="13">
        <f>IFERROR(AD55/AC55,0)</f>
      </c>
    </row>
    <row r="56" spans="2:31" x14ac:dyDescent="0.25">
      <c r="B56" s="4"/>
      <c r="E56" s="3"/>
      <c r="F56" s="3"/>
      <c r="G56" s="24"/>
      <c r="H56" s="24"/>
      <c r="K56" s="4"/>
      <c r="L56" s="4"/>
      <c r="M56" s="4"/>
      <c r="N56" s="4"/>
      <c r="O56" s="4"/>
      <c r="P56" s="27"/>
      <c r="Q56" s="25">
        <v>0</v>
      </c>
      <c r="R56" s="25">
        <v>0</v>
      </c>
      <c r="S56" s="12">
        <f>ROUND(Q56*R56,2)</f>
      </c>
      <c r="T56" s="5">
        <v>0</v>
      </c>
      <c r="U56" s="12">
        <f>ROUND(S56*(1-T56),2)</f>
      </c>
      <c r="V56" s="25" t="s">
        <v>10</v>
      </c>
      <c r="W56" s="11">
        <f>IFERROR(VLOOKUP(V56,Curr!$B$2:$C$13,2,FALSE),0)</f>
      </c>
      <c r="X56" s="12">
        <f>ROUND(U56*W56,2)</f>
      </c>
      <c r="Y56" s="26">
        <f>Q56</f>
      </c>
      <c r="Z56" s="12">
        <f>ROUND(Y56*R56,2)</f>
      </c>
      <c r="AA56" s="4" t="s">
        <v>10</v>
      </c>
      <c r="AB56" s="11">
        <f>IFERROR(VLOOKUP(AA56,Curr!$B$2:$C$13,2,FALSE),0)</f>
      </c>
      <c r="AC56" s="12">
        <f>ROUND(Y56*AB56*R56,2)</f>
      </c>
      <c r="AD56" s="12">
        <f>ROUND(AC56-X56,2)</f>
      </c>
      <c r="AE56" s="13">
        <f>IFERROR(AD56/AC56,0)</f>
      </c>
    </row>
    <row r="57" spans="2:31" x14ac:dyDescent="0.25">
      <c r="B57" s="4"/>
      <c r="E57" s="3"/>
      <c r="F57" s="3"/>
      <c r="G57" s="24"/>
      <c r="H57" s="24"/>
      <c r="K57" s="4"/>
      <c r="L57" s="4"/>
      <c r="M57" s="4"/>
      <c r="N57" s="4"/>
      <c r="O57" s="4"/>
      <c r="P57" s="27"/>
      <c r="Q57" s="25">
        <v>0</v>
      </c>
      <c r="R57" s="25">
        <v>0</v>
      </c>
      <c r="S57" s="12">
        <f>ROUND(Q57*R57,2)</f>
      </c>
      <c r="T57" s="5">
        <v>0</v>
      </c>
      <c r="U57" s="12">
        <f>ROUND(S57*(1-T57),2)</f>
      </c>
      <c r="V57" s="25" t="s">
        <v>10</v>
      </c>
      <c r="W57" s="11">
        <f>IFERROR(VLOOKUP(V57,Curr!$B$2:$C$13,2,FALSE),0)</f>
      </c>
      <c r="X57" s="12">
        <f>ROUND(U57*W57,2)</f>
      </c>
      <c r="Y57" s="26">
        <f>Q57</f>
      </c>
      <c r="Z57" s="12">
        <f>ROUND(Y57*R57,2)</f>
      </c>
      <c r="AA57" s="4" t="s">
        <v>10</v>
      </c>
      <c r="AB57" s="11">
        <f>IFERROR(VLOOKUP(AA57,Curr!$B$2:$C$13,2,FALSE),0)</f>
      </c>
      <c r="AC57" s="12">
        <f>ROUND(Y57*AB57*R57,2)</f>
      </c>
      <c r="AD57" s="12">
        <f>ROUND(AC57-X57,2)</f>
      </c>
      <c r="AE57" s="13">
        <f>IFERROR(AD57/AC57,0)</f>
      </c>
    </row>
    <row r="58" spans="2:31" x14ac:dyDescent="0.25">
      <c r="B58" s="4"/>
      <c r="E58" s="3"/>
      <c r="F58" s="3"/>
      <c r="G58" s="24"/>
      <c r="H58" s="24"/>
      <c r="K58" s="4"/>
      <c r="L58" s="4"/>
      <c r="M58" s="4"/>
      <c r="N58" s="4"/>
      <c r="O58" s="4"/>
      <c r="P58" s="27"/>
      <c r="Q58" s="25">
        <v>0</v>
      </c>
      <c r="R58" s="25">
        <v>0</v>
      </c>
      <c r="S58" s="12">
        <f>ROUND(Q58*R58,2)</f>
      </c>
      <c r="T58" s="5">
        <v>0</v>
      </c>
      <c r="U58" s="12">
        <f>ROUND(S58*(1-T58),2)</f>
      </c>
      <c r="V58" s="25" t="s">
        <v>10</v>
      </c>
      <c r="W58" s="11">
        <f>IFERROR(VLOOKUP(V58,Curr!$B$2:$C$13,2,FALSE),0)</f>
      </c>
      <c r="X58" s="12">
        <f>ROUND(U58*W58,2)</f>
      </c>
      <c r="Y58" s="26">
        <f>Q58</f>
      </c>
      <c r="Z58" s="12">
        <f>ROUND(Y58*R58,2)</f>
      </c>
      <c r="AA58" s="4" t="s">
        <v>10</v>
      </c>
      <c r="AB58" s="11">
        <f>IFERROR(VLOOKUP(AA58,Curr!$B$2:$C$13,2,FALSE),0)</f>
      </c>
      <c r="AC58" s="12">
        <f>ROUND(Y58*AB58*R58,2)</f>
      </c>
      <c r="AD58" s="12">
        <f>ROUND(AC58-X58,2)</f>
      </c>
      <c r="AE58" s="13">
        <f>IFERROR(AD58/AC58,0)</f>
      </c>
    </row>
    <row r="59" spans="2:31" x14ac:dyDescent="0.25">
      <c r="B59" s="4"/>
      <c r="E59" s="3"/>
      <c r="F59" s="3"/>
      <c r="G59" s="24"/>
      <c r="H59" s="24"/>
      <c r="K59" s="4"/>
      <c r="L59" s="4"/>
      <c r="M59" s="4"/>
      <c r="N59" s="4"/>
      <c r="O59" s="4"/>
      <c r="P59" s="27"/>
      <c r="Q59" s="25">
        <v>0</v>
      </c>
      <c r="R59" s="25">
        <v>0</v>
      </c>
      <c r="S59" s="12">
        <f>ROUND(Q59*R59,2)</f>
      </c>
      <c r="T59" s="5">
        <v>0</v>
      </c>
      <c r="U59" s="12">
        <f>ROUND(S59*(1-T59),2)</f>
      </c>
      <c r="V59" s="25" t="s">
        <v>10</v>
      </c>
      <c r="W59" s="11">
        <f>IFERROR(VLOOKUP(V59,Curr!$B$2:$C$13,2,FALSE),0)</f>
      </c>
      <c r="X59" s="12">
        <f>ROUND(U59*W59,2)</f>
      </c>
      <c r="Y59" s="26">
        <f>Q59</f>
      </c>
      <c r="Z59" s="12">
        <f>ROUND(Y59*R59,2)</f>
      </c>
      <c r="AA59" s="4" t="s">
        <v>10</v>
      </c>
      <c r="AB59" s="11">
        <f>IFERROR(VLOOKUP(AA59,Curr!$B$2:$C$13,2,FALSE),0)</f>
      </c>
      <c r="AC59" s="12">
        <f>ROUND(Y59*AB59*R59,2)</f>
      </c>
      <c r="AD59" s="12">
        <f>ROUND(AC59-X59,2)</f>
      </c>
      <c r="AE59" s="13">
        <f>IFERROR(AD59/AC59,0)</f>
      </c>
    </row>
    <row r="60" spans="2:31" x14ac:dyDescent="0.25">
      <c r="B60" s="4"/>
      <c r="E60" s="3"/>
      <c r="F60" s="3"/>
      <c r="G60" s="24"/>
      <c r="H60" s="24"/>
      <c r="K60" s="4"/>
      <c r="L60" s="4"/>
      <c r="M60" s="4"/>
      <c r="N60" s="4"/>
      <c r="O60" s="4"/>
      <c r="P60" s="27"/>
      <c r="Q60" s="25">
        <v>0</v>
      </c>
      <c r="R60" s="25">
        <v>0</v>
      </c>
      <c r="S60" s="12">
        <f>ROUND(Q60*R60,2)</f>
      </c>
      <c r="T60" s="5">
        <v>0</v>
      </c>
      <c r="U60" s="12">
        <f>ROUND(S60*(1-T60),2)</f>
      </c>
      <c r="V60" s="25" t="s">
        <v>10</v>
      </c>
      <c r="W60" s="11">
        <f>IFERROR(VLOOKUP(V60,Curr!$B$2:$C$13,2,FALSE),0)</f>
      </c>
      <c r="X60" s="12">
        <f>ROUND(U60*W60,2)</f>
      </c>
      <c r="Y60" s="26">
        <f>Q60</f>
      </c>
      <c r="Z60" s="12">
        <f>ROUND(Y60*R60,2)</f>
      </c>
      <c r="AA60" s="4" t="s">
        <v>10</v>
      </c>
      <c r="AB60" s="11">
        <f>IFERROR(VLOOKUP(AA60,Curr!$B$2:$C$13,2,FALSE),0)</f>
      </c>
      <c r="AC60" s="12">
        <f>ROUND(Y60*AB60*R60,2)</f>
      </c>
      <c r="AD60" s="12">
        <f>ROUND(AC60-X60,2)</f>
      </c>
      <c r="AE60" s="13">
        <f>IFERROR(AD60/AC60,0)</f>
      </c>
    </row>
    <row r="61" spans="2:31" x14ac:dyDescent="0.25">
      <c r="B61" s="4"/>
      <c r="E61" s="3"/>
      <c r="F61" s="3"/>
      <c r="G61" s="24"/>
      <c r="H61" s="24"/>
      <c r="K61" s="4"/>
      <c r="L61" s="4"/>
      <c r="M61" s="4"/>
      <c r="N61" s="4"/>
      <c r="O61" s="4"/>
      <c r="P61" s="27"/>
      <c r="Q61" s="25">
        <v>0</v>
      </c>
      <c r="R61" s="25">
        <v>0</v>
      </c>
      <c r="S61" s="12">
        <f>ROUND(Q61*R61,2)</f>
      </c>
      <c r="T61" s="5">
        <v>0</v>
      </c>
      <c r="U61" s="12">
        <f>ROUND(S61*(1-T61),2)</f>
      </c>
      <c r="V61" s="25" t="s">
        <v>10</v>
      </c>
      <c r="W61" s="11">
        <f>IFERROR(VLOOKUP(V61,Curr!$B$2:$C$13,2,FALSE),0)</f>
      </c>
      <c r="X61" s="12">
        <f>ROUND(U61*W61,2)</f>
      </c>
      <c r="Y61" s="26">
        <f>Q61</f>
      </c>
      <c r="Z61" s="12">
        <f>ROUND(Y61*R61,2)</f>
      </c>
      <c r="AA61" s="4" t="s">
        <v>10</v>
      </c>
      <c r="AB61" s="11">
        <f>IFERROR(VLOOKUP(AA61,Curr!$B$2:$C$13,2,FALSE),0)</f>
      </c>
      <c r="AC61" s="12">
        <f>ROUND(Y61*AB61*R61,2)</f>
      </c>
      <c r="AD61" s="12">
        <f>ROUND(AC61-X61,2)</f>
      </c>
      <c r="AE61" s="13">
        <f>IFERROR(AD61/AC61,0)</f>
      </c>
    </row>
    <row r="62" spans="2:31" x14ac:dyDescent="0.25">
      <c r="B62" s="4"/>
      <c r="E62" s="3"/>
      <c r="F62" s="3"/>
      <c r="G62" s="24"/>
      <c r="H62" s="24"/>
      <c r="K62" s="4"/>
      <c r="L62" s="4"/>
      <c r="M62" s="4"/>
      <c r="N62" s="4"/>
      <c r="O62" s="4"/>
      <c r="P62" s="27"/>
      <c r="Q62" s="25">
        <v>0</v>
      </c>
      <c r="R62" s="25">
        <v>0</v>
      </c>
      <c r="S62" s="12">
        <f>ROUND(Q62*R62,2)</f>
      </c>
      <c r="T62" s="5">
        <v>0</v>
      </c>
      <c r="U62" s="12">
        <f>ROUND(S62*(1-T62),2)</f>
      </c>
      <c r="V62" s="25" t="s">
        <v>10</v>
      </c>
      <c r="W62" s="11">
        <f>IFERROR(VLOOKUP(V62,Curr!$B$2:$C$13,2,FALSE),0)</f>
      </c>
      <c r="X62" s="12">
        <f>ROUND(U62*W62,2)</f>
      </c>
      <c r="Y62" s="26">
        <f>Q62</f>
      </c>
      <c r="Z62" s="12">
        <f>ROUND(Y62*R62,2)</f>
      </c>
      <c r="AA62" s="4" t="s">
        <v>10</v>
      </c>
      <c r="AB62" s="11">
        <f>IFERROR(VLOOKUP(AA62,Curr!$B$2:$C$13,2,FALSE),0)</f>
      </c>
      <c r="AC62" s="12">
        <f>ROUND(Y62*AB62*R62,2)</f>
      </c>
      <c r="AD62" s="12">
        <f>ROUND(AC62-X62,2)</f>
      </c>
      <c r="AE62" s="13">
        <f>IFERROR(AD62/AC62,0)</f>
      </c>
    </row>
    <row r="63" spans="2:31" x14ac:dyDescent="0.25">
      <c r="B63" s="4"/>
      <c r="E63" s="3"/>
      <c r="F63" s="3"/>
      <c r="G63" s="24"/>
      <c r="H63" s="24"/>
      <c r="K63" s="4"/>
      <c r="L63" s="4"/>
      <c r="M63" s="4"/>
      <c r="N63" s="4"/>
      <c r="O63" s="4"/>
      <c r="P63" s="27"/>
      <c r="Q63" s="25">
        <v>0</v>
      </c>
      <c r="R63" s="25">
        <v>0</v>
      </c>
      <c r="S63" s="12">
        <f>ROUND(Q63*R63,2)</f>
      </c>
      <c r="T63" s="5">
        <v>0</v>
      </c>
      <c r="U63" s="12">
        <f>ROUND(S63*(1-T63),2)</f>
      </c>
      <c r="V63" s="25" t="s">
        <v>10</v>
      </c>
      <c r="W63" s="11">
        <f>IFERROR(VLOOKUP(V63,Curr!$B$2:$C$13,2,FALSE),0)</f>
      </c>
      <c r="X63" s="12">
        <f>ROUND(U63*W63,2)</f>
      </c>
      <c r="Y63" s="26">
        <f>Q63</f>
      </c>
      <c r="Z63" s="12">
        <f>ROUND(Y63*R63,2)</f>
      </c>
      <c r="AA63" s="4" t="s">
        <v>10</v>
      </c>
      <c r="AB63" s="11">
        <f>IFERROR(VLOOKUP(AA63,Curr!$B$2:$C$13,2,FALSE),0)</f>
      </c>
      <c r="AC63" s="12">
        <f>ROUND(Y63*AB63*R63,2)</f>
      </c>
      <c r="AD63" s="12">
        <f>ROUND(AC63-X63,2)</f>
      </c>
      <c r="AE63" s="13">
        <f>IFERROR(AD63/AC63,0)</f>
      </c>
    </row>
    <row r="64" spans="2:31" x14ac:dyDescent="0.25">
      <c r="B64" s="4"/>
      <c r="E64" s="3"/>
      <c r="F64" s="3"/>
      <c r="G64" s="24"/>
      <c r="H64" s="24"/>
      <c r="K64" s="4"/>
      <c r="L64" s="4"/>
      <c r="M64" s="4"/>
      <c r="N64" s="4"/>
      <c r="O64" s="4"/>
      <c r="P64" s="27"/>
      <c r="Q64" s="25">
        <v>0</v>
      </c>
      <c r="R64" s="25">
        <v>0</v>
      </c>
      <c r="S64" s="12">
        <f>ROUND(Q64*R64,2)</f>
      </c>
      <c r="T64" s="5">
        <v>0</v>
      </c>
      <c r="U64" s="12">
        <f>ROUND(S64*(1-T64),2)</f>
      </c>
      <c r="V64" s="25" t="s">
        <v>10</v>
      </c>
      <c r="W64" s="11">
        <f>IFERROR(VLOOKUP(V64,Curr!$B$2:$C$13,2,FALSE),0)</f>
      </c>
      <c r="X64" s="12">
        <f>ROUND(U64*W64,2)</f>
      </c>
      <c r="Y64" s="26">
        <f>Q64</f>
      </c>
      <c r="Z64" s="12">
        <f>ROUND(Y64*R64,2)</f>
      </c>
      <c r="AA64" s="4" t="s">
        <v>10</v>
      </c>
      <c r="AB64" s="11">
        <f>IFERROR(VLOOKUP(AA64,Curr!$B$2:$C$13,2,FALSE),0)</f>
      </c>
      <c r="AC64" s="12">
        <f>ROUND(Y64*AB64*R64,2)</f>
      </c>
      <c r="AD64" s="12">
        <f>ROUND(AC64-X64,2)</f>
      </c>
      <c r="AE64" s="13">
        <f>IFERROR(AD64/AC64,0)</f>
      </c>
    </row>
    <row r="65" spans="2:31" x14ac:dyDescent="0.25">
      <c r="B65" s="4"/>
      <c r="E65" s="3"/>
      <c r="F65" s="3"/>
      <c r="G65" s="24"/>
      <c r="H65" s="24"/>
      <c r="K65" s="4"/>
      <c r="L65" s="4"/>
      <c r="M65" s="4"/>
      <c r="N65" s="4"/>
      <c r="O65" s="4"/>
      <c r="P65" s="27"/>
      <c r="Q65" s="25">
        <v>0</v>
      </c>
      <c r="R65" s="25">
        <v>0</v>
      </c>
      <c r="S65" s="12">
        <f>ROUND(Q65*R65,2)</f>
      </c>
      <c r="T65" s="5">
        <v>0</v>
      </c>
      <c r="U65" s="12">
        <f>ROUND(S65*(1-T65),2)</f>
      </c>
      <c r="V65" s="25" t="s">
        <v>10</v>
      </c>
      <c r="W65" s="11">
        <f>IFERROR(VLOOKUP(V65,Curr!$B$2:$C$13,2,FALSE),0)</f>
      </c>
      <c r="X65" s="12">
        <f>ROUND(U65*W65,2)</f>
      </c>
      <c r="Y65" s="26">
        <f>Q65</f>
      </c>
      <c r="Z65" s="12">
        <f>ROUND(Y65*R65,2)</f>
      </c>
      <c r="AA65" s="4" t="s">
        <v>10</v>
      </c>
      <c r="AB65" s="11">
        <f>IFERROR(VLOOKUP(AA65,Curr!$B$2:$C$13,2,FALSE),0)</f>
      </c>
      <c r="AC65" s="12">
        <f>ROUND(Y65*AB65*R65,2)</f>
      </c>
      <c r="AD65" s="12">
        <f>ROUND(AC65-X65,2)</f>
      </c>
      <c r="AE65" s="13">
        <f>IFERROR(AD65/AC65,0)</f>
      </c>
    </row>
    <row r="66" spans="2:31" x14ac:dyDescent="0.25">
      <c r="B66" s="4"/>
      <c r="E66" s="3"/>
      <c r="F66" s="3"/>
      <c r="G66" s="24"/>
      <c r="H66" s="24"/>
      <c r="K66" s="4"/>
      <c r="L66" s="4"/>
      <c r="M66" s="4"/>
      <c r="N66" s="4"/>
      <c r="O66" s="4"/>
      <c r="P66" s="27"/>
      <c r="Q66" s="25">
        <v>0</v>
      </c>
      <c r="R66" s="25">
        <v>0</v>
      </c>
      <c r="S66" s="12">
        <f>ROUND(Q66*R66,2)</f>
      </c>
      <c r="T66" s="5">
        <v>0</v>
      </c>
      <c r="U66" s="12">
        <f>ROUND(S66*(1-T66),2)</f>
      </c>
      <c r="V66" s="25" t="s">
        <v>10</v>
      </c>
      <c r="W66" s="11">
        <f>IFERROR(VLOOKUP(V66,Curr!$B$2:$C$13,2,FALSE),0)</f>
      </c>
      <c r="X66" s="12">
        <f>ROUND(U66*W66,2)</f>
      </c>
      <c r="Y66" s="26">
        <f>Q66</f>
      </c>
      <c r="Z66" s="12">
        <f>ROUND(Y66*R66,2)</f>
      </c>
      <c r="AA66" s="4" t="s">
        <v>10</v>
      </c>
      <c r="AB66" s="11">
        <f>IFERROR(VLOOKUP(AA66,Curr!$B$2:$C$13,2,FALSE),0)</f>
      </c>
      <c r="AC66" s="12">
        <f>ROUND(Y66*AB66*R66,2)</f>
      </c>
      <c r="AD66" s="12">
        <f>ROUND(AC66-X66,2)</f>
      </c>
      <c r="AE66" s="13">
        <f>IFERROR(AD66/AC66,0)</f>
      </c>
    </row>
    <row r="67" spans="2:31" x14ac:dyDescent="0.25">
      <c r="B67" s="4"/>
      <c r="E67" s="3"/>
      <c r="F67" s="3"/>
      <c r="G67" s="24"/>
      <c r="H67" s="24"/>
      <c r="K67" s="4"/>
      <c r="L67" s="4"/>
      <c r="M67" s="4"/>
      <c r="N67" s="4"/>
      <c r="O67" s="4"/>
      <c r="P67" s="27"/>
      <c r="Q67" s="25">
        <v>0</v>
      </c>
      <c r="R67" s="25">
        <v>0</v>
      </c>
      <c r="S67" s="12">
        <f>ROUND(Q67*R67,2)</f>
      </c>
      <c r="T67" s="5">
        <v>0</v>
      </c>
      <c r="U67" s="12">
        <f>ROUND(S67*(1-T67),2)</f>
      </c>
      <c r="V67" s="25" t="s">
        <v>10</v>
      </c>
      <c r="W67" s="11">
        <f>IFERROR(VLOOKUP(V67,Curr!$B$2:$C$13,2,FALSE),0)</f>
      </c>
      <c r="X67" s="12">
        <f>ROUND(U67*W67,2)</f>
      </c>
      <c r="Y67" s="26">
        <f>Q67</f>
      </c>
      <c r="Z67" s="12">
        <f>ROUND(Y67*R67,2)</f>
      </c>
      <c r="AA67" s="4" t="s">
        <v>10</v>
      </c>
      <c r="AB67" s="11">
        <f>IFERROR(VLOOKUP(AA67,Curr!$B$2:$C$13,2,FALSE),0)</f>
      </c>
      <c r="AC67" s="12">
        <f>ROUND(Y67*AB67*R67,2)</f>
      </c>
      <c r="AD67" s="12">
        <f>ROUND(AC67-X67,2)</f>
      </c>
      <c r="AE67" s="13">
        <f>IFERROR(AD67/AC67,0)</f>
      </c>
    </row>
    <row r="68" spans="2:31" x14ac:dyDescent="0.25">
      <c r="B68" s="4"/>
      <c r="E68" s="3"/>
      <c r="F68" s="3"/>
      <c r="G68" s="24"/>
      <c r="H68" s="24"/>
      <c r="K68" s="4"/>
      <c r="L68" s="4"/>
      <c r="M68" s="4"/>
      <c r="N68" s="4"/>
      <c r="O68" s="4"/>
      <c r="P68" s="27"/>
      <c r="Q68" s="25">
        <v>0</v>
      </c>
      <c r="R68" s="25">
        <v>0</v>
      </c>
      <c r="S68" s="12">
        <f>ROUND(Q68*R68,2)</f>
      </c>
      <c r="T68" s="5">
        <v>0</v>
      </c>
      <c r="U68" s="12">
        <f>ROUND(S68*(1-T68),2)</f>
      </c>
      <c r="V68" s="25" t="s">
        <v>10</v>
      </c>
      <c r="W68" s="11">
        <f>IFERROR(VLOOKUP(V68,Curr!$B$2:$C$13,2,FALSE),0)</f>
      </c>
      <c r="X68" s="12">
        <f>ROUND(U68*W68,2)</f>
      </c>
      <c r="Y68" s="26">
        <f>Q68</f>
      </c>
      <c r="Z68" s="12">
        <f>ROUND(Y68*R68,2)</f>
      </c>
      <c r="AA68" s="4" t="s">
        <v>10</v>
      </c>
      <c r="AB68" s="11">
        <f>IFERROR(VLOOKUP(AA68,Curr!$B$2:$C$13,2,FALSE),0)</f>
      </c>
      <c r="AC68" s="12">
        <f>ROUND(Y68*AB68*R68,2)</f>
      </c>
      <c r="AD68" s="12">
        <f>ROUND(AC68-X68,2)</f>
      </c>
      <c r="AE68" s="13">
        <f>IFERROR(AD68/AC68,0)</f>
      </c>
    </row>
    <row r="69" spans="2:31" x14ac:dyDescent="0.25">
      <c r="B69" s="4"/>
      <c r="E69" s="3"/>
      <c r="F69" s="3"/>
      <c r="G69" s="24"/>
      <c r="H69" s="24"/>
      <c r="K69" s="4"/>
      <c r="L69" s="4"/>
      <c r="M69" s="4"/>
      <c r="N69" s="4"/>
      <c r="O69" s="4"/>
      <c r="P69" s="27"/>
      <c r="Q69" s="25">
        <v>0</v>
      </c>
      <c r="R69" s="25">
        <v>0</v>
      </c>
      <c r="S69" s="12">
        <f>ROUND(Q69*R69,2)</f>
      </c>
      <c r="T69" s="5">
        <v>0</v>
      </c>
      <c r="U69" s="12">
        <f>ROUND(S69*(1-T69),2)</f>
      </c>
      <c r="V69" s="25" t="s">
        <v>10</v>
      </c>
      <c r="W69" s="11">
        <f>IFERROR(VLOOKUP(V69,Curr!$B$2:$C$13,2,FALSE),0)</f>
      </c>
      <c r="X69" s="12">
        <f>ROUND(U69*W69,2)</f>
      </c>
      <c r="Y69" s="26">
        <f>Q69</f>
      </c>
      <c r="Z69" s="12">
        <f>ROUND(Y69*R69,2)</f>
      </c>
      <c r="AA69" s="4" t="s">
        <v>10</v>
      </c>
      <c r="AB69" s="11">
        <f>IFERROR(VLOOKUP(AA69,Curr!$B$2:$C$13,2,FALSE),0)</f>
      </c>
      <c r="AC69" s="12">
        <f>ROUND(Y69*AB69*R69,2)</f>
      </c>
      <c r="AD69" s="12">
        <f>ROUND(AC69-X69,2)</f>
      </c>
      <c r="AE69" s="13">
        <f>IFERROR(AD69/AC69,0)</f>
      </c>
    </row>
    <row r="70" spans="2:31" x14ac:dyDescent="0.25">
      <c r="B70" s="4"/>
      <c r="E70" s="3"/>
      <c r="F70" s="3"/>
      <c r="G70" s="24"/>
      <c r="H70" s="24"/>
      <c r="K70" s="4"/>
      <c r="L70" s="4"/>
      <c r="M70" s="4"/>
      <c r="N70" s="4"/>
      <c r="O70" s="4"/>
      <c r="P70" s="27"/>
      <c r="Q70" s="25">
        <v>0</v>
      </c>
      <c r="R70" s="25">
        <v>0</v>
      </c>
      <c r="S70" s="12">
        <f>ROUND(Q70*R70,2)</f>
      </c>
      <c r="T70" s="5">
        <v>0</v>
      </c>
      <c r="U70" s="12">
        <f>ROUND(S70*(1-T70),2)</f>
      </c>
      <c r="V70" s="25" t="s">
        <v>10</v>
      </c>
      <c r="W70" s="11">
        <f>IFERROR(VLOOKUP(V70,Curr!$B$2:$C$13,2,FALSE),0)</f>
      </c>
      <c r="X70" s="12">
        <f>ROUND(U70*W70,2)</f>
      </c>
      <c r="Y70" s="26">
        <f>Q70</f>
      </c>
      <c r="Z70" s="12">
        <f>ROUND(Y70*R70,2)</f>
      </c>
      <c r="AA70" s="4" t="s">
        <v>10</v>
      </c>
      <c r="AB70" s="11">
        <f>IFERROR(VLOOKUP(AA70,Curr!$B$2:$C$13,2,FALSE),0)</f>
      </c>
      <c r="AC70" s="12">
        <f>ROUND(Y70*AB70*R70,2)</f>
      </c>
      <c r="AD70" s="12">
        <f>ROUND(AC70-X70,2)</f>
      </c>
      <c r="AE70" s="13">
        <f>IFERROR(AD70/AC70,0)</f>
      </c>
    </row>
    <row r="71" spans="2:31" x14ac:dyDescent="0.25">
      <c r="B71" s="4"/>
      <c r="E71" s="3"/>
      <c r="F71" s="3"/>
      <c r="G71" s="24"/>
      <c r="H71" s="24"/>
      <c r="K71" s="4"/>
      <c r="L71" s="4"/>
      <c r="M71" s="4"/>
      <c r="N71" s="4"/>
      <c r="O71" s="4"/>
      <c r="P71" s="27"/>
      <c r="Q71" s="25">
        <v>0</v>
      </c>
      <c r="R71" s="25">
        <v>0</v>
      </c>
      <c r="S71" s="12">
        <f>ROUND(Q71*R71,2)</f>
      </c>
      <c r="T71" s="5">
        <v>0</v>
      </c>
      <c r="U71" s="12">
        <f>ROUND(S71*(1-T71),2)</f>
      </c>
      <c r="V71" s="25" t="s">
        <v>10</v>
      </c>
      <c r="W71" s="11">
        <f>IFERROR(VLOOKUP(V71,Curr!$B$2:$C$13,2,FALSE),0)</f>
      </c>
      <c r="X71" s="12">
        <f>ROUND(U71*W71,2)</f>
      </c>
      <c r="Y71" s="26">
        <f>Q71</f>
      </c>
      <c r="Z71" s="12">
        <f>ROUND(Y71*R71,2)</f>
      </c>
      <c r="AA71" s="4" t="s">
        <v>10</v>
      </c>
      <c r="AB71" s="11">
        <f>IFERROR(VLOOKUP(AA71,Curr!$B$2:$C$13,2,FALSE),0)</f>
      </c>
      <c r="AC71" s="12">
        <f>ROUND(Y71*AB71*R71,2)</f>
      </c>
      <c r="AD71" s="12">
        <f>ROUND(AC71-X71,2)</f>
      </c>
      <c r="AE71" s="13">
        <f>IFERROR(AD71/AC71,0)</f>
      </c>
    </row>
    <row r="72" spans="2:31" x14ac:dyDescent="0.25">
      <c r="B72" s="4"/>
      <c r="E72" s="3"/>
      <c r="F72" s="3"/>
      <c r="G72" s="24"/>
      <c r="H72" s="24"/>
      <c r="K72" s="4"/>
      <c r="L72" s="4"/>
      <c r="M72" s="4"/>
      <c r="N72" s="4"/>
      <c r="O72" s="4"/>
      <c r="P72" s="27"/>
      <c r="Q72" s="25">
        <v>0</v>
      </c>
      <c r="R72" s="25">
        <v>0</v>
      </c>
      <c r="S72" s="12">
        <f>ROUND(Q72*R72,2)</f>
      </c>
      <c r="T72" s="5">
        <v>0</v>
      </c>
      <c r="U72" s="12">
        <f>ROUND(S72*(1-T72),2)</f>
      </c>
      <c r="V72" s="25" t="s">
        <v>10</v>
      </c>
      <c r="W72" s="11">
        <f>IFERROR(VLOOKUP(V72,Curr!$B$2:$C$13,2,FALSE),0)</f>
      </c>
      <c r="X72" s="12">
        <f>ROUND(U72*W72,2)</f>
      </c>
      <c r="Y72" s="26">
        <f>Q72</f>
      </c>
      <c r="Z72" s="12">
        <f>ROUND(Y72*R72,2)</f>
      </c>
      <c r="AA72" s="4" t="s">
        <v>10</v>
      </c>
      <c r="AB72" s="11">
        <f>IFERROR(VLOOKUP(AA72,Curr!$B$2:$C$13,2,FALSE),0)</f>
      </c>
      <c r="AC72" s="12">
        <f>ROUND(Y72*AB72*R72,2)</f>
      </c>
      <c r="AD72" s="12">
        <f>ROUND(AC72-X72,2)</f>
      </c>
      <c r="AE72" s="13">
        <f>IFERROR(AD72/AC72,0)</f>
      </c>
    </row>
    <row r="73" spans="2:31" x14ac:dyDescent="0.25">
      <c r="B73" s="4"/>
      <c r="E73" s="3"/>
      <c r="F73" s="3"/>
      <c r="G73" s="24"/>
      <c r="H73" s="24"/>
      <c r="K73" s="4"/>
      <c r="L73" s="4"/>
      <c r="M73" s="4"/>
      <c r="N73" s="4"/>
      <c r="O73" s="4"/>
      <c r="P73" s="27"/>
      <c r="Q73" s="25">
        <v>0</v>
      </c>
      <c r="R73" s="25">
        <v>0</v>
      </c>
      <c r="S73" s="12">
        <f>ROUND(Q73*R73,2)</f>
      </c>
      <c r="T73" s="5">
        <v>0</v>
      </c>
      <c r="U73" s="12">
        <f>ROUND(S73*(1-T73),2)</f>
      </c>
      <c r="V73" s="25" t="s">
        <v>10</v>
      </c>
      <c r="W73" s="11">
        <f>IFERROR(VLOOKUP(V73,Curr!$B$2:$C$13,2,FALSE),0)</f>
      </c>
      <c r="X73" s="12">
        <f>ROUND(U73*W73,2)</f>
      </c>
      <c r="Y73" s="26">
        <f>Q73</f>
      </c>
      <c r="Z73" s="12">
        <f>ROUND(Y73*R73,2)</f>
      </c>
      <c r="AA73" s="4" t="s">
        <v>10</v>
      </c>
      <c r="AB73" s="11">
        <f>IFERROR(VLOOKUP(AA73,Curr!$B$2:$C$13,2,FALSE),0)</f>
      </c>
      <c r="AC73" s="12">
        <f>ROUND(Y73*AB73*R73,2)</f>
      </c>
      <c r="AD73" s="12">
        <f>ROUND(AC73-X73,2)</f>
      </c>
      <c r="AE73" s="13">
        <f>IFERROR(AD73/AC73,0)</f>
      </c>
    </row>
    <row r="74" spans="2:31" x14ac:dyDescent="0.25">
      <c r="B74" s="4"/>
      <c r="E74" s="3"/>
      <c r="F74" s="3"/>
      <c r="G74" s="24"/>
      <c r="H74" s="24"/>
      <c r="K74" s="4"/>
      <c r="L74" s="4"/>
      <c r="M74" s="4"/>
      <c r="N74" s="4"/>
      <c r="O74" s="4"/>
      <c r="P74" s="27"/>
      <c r="Q74" s="25">
        <v>0</v>
      </c>
      <c r="R74" s="25">
        <v>0</v>
      </c>
      <c r="S74" s="12">
        <f>ROUND(Q74*R74,2)</f>
      </c>
      <c r="T74" s="5">
        <v>0</v>
      </c>
      <c r="U74" s="12">
        <f>ROUND(S74*(1-T74),2)</f>
      </c>
      <c r="V74" s="25" t="s">
        <v>10</v>
      </c>
      <c r="W74" s="11">
        <f>IFERROR(VLOOKUP(V74,Curr!$B$2:$C$13,2,FALSE),0)</f>
      </c>
      <c r="X74" s="12">
        <f>ROUND(U74*W74,2)</f>
      </c>
      <c r="Y74" s="26">
        <f>Q74</f>
      </c>
      <c r="Z74" s="12">
        <f>ROUND(Y74*R74,2)</f>
      </c>
      <c r="AA74" s="4" t="s">
        <v>10</v>
      </c>
      <c r="AB74" s="11">
        <f>IFERROR(VLOOKUP(AA74,Curr!$B$2:$C$13,2,FALSE),0)</f>
      </c>
      <c r="AC74" s="12">
        <f>ROUND(Y74*AB74*R74,2)</f>
      </c>
      <c r="AD74" s="12">
        <f>ROUND(AC74-X74,2)</f>
      </c>
      <c r="AE74" s="13">
        <f>IFERROR(AD74/AC74,0)</f>
      </c>
    </row>
    <row r="75" spans="2:31" x14ac:dyDescent="0.25">
      <c r="B75" s="4"/>
      <c r="E75" s="3"/>
      <c r="F75" s="3"/>
      <c r="G75" s="24"/>
      <c r="H75" s="24"/>
      <c r="K75" s="4"/>
      <c r="L75" s="4"/>
      <c r="M75" s="4"/>
      <c r="N75" s="4"/>
      <c r="O75" s="4"/>
      <c r="P75" s="27"/>
      <c r="Q75" s="25">
        <v>0</v>
      </c>
      <c r="R75" s="25">
        <v>0</v>
      </c>
      <c r="S75" s="12">
        <f>ROUND(Q75*R75,2)</f>
      </c>
      <c r="T75" s="5">
        <v>0</v>
      </c>
      <c r="U75" s="12">
        <f>ROUND(S75*(1-T75),2)</f>
      </c>
      <c r="V75" s="25" t="s">
        <v>10</v>
      </c>
      <c r="W75" s="11">
        <f>IFERROR(VLOOKUP(V75,Curr!$B$2:$C$13,2,FALSE),0)</f>
      </c>
      <c r="X75" s="12">
        <f>ROUND(U75*W75,2)</f>
      </c>
      <c r="Y75" s="26">
        <f>Q75</f>
      </c>
      <c r="Z75" s="12">
        <f>ROUND(Y75*R75,2)</f>
      </c>
      <c r="AA75" s="4" t="s">
        <v>10</v>
      </c>
      <c r="AB75" s="11">
        <f>IFERROR(VLOOKUP(AA75,Curr!$B$2:$C$13,2,FALSE),0)</f>
      </c>
      <c r="AC75" s="12">
        <f>ROUND(Y75*AB75*R75,2)</f>
      </c>
      <c r="AD75" s="12">
        <f>ROUND(AC75-X75,2)</f>
      </c>
      <c r="AE75" s="13">
        <f>IFERROR(AD75/AC75,0)</f>
      </c>
    </row>
    <row r="76" spans="2:31" x14ac:dyDescent="0.25">
      <c r="B76" s="4"/>
      <c r="E76" s="3"/>
      <c r="F76" s="3"/>
      <c r="G76" s="24"/>
      <c r="H76" s="24"/>
      <c r="K76" s="4"/>
      <c r="L76" s="4"/>
      <c r="M76" s="4"/>
      <c r="N76" s="4"/>
      <c r="O76" s="4"/>
      <c r="P76" s="27"/>
      <c r="Q76" s="25">
        <v>0</v>
      </c>
      <c r="R76" s="25">
        <v>0</v>
      </c>
      <c r="S76" s="12">
        <f>ROUND(Q76*R76,2)</f>
      </c>
      <c r="T76" s="5">
        <v>0</v>
      </c>
      <c r="U76" s="12">
        <f>ROUND(S76*(1-T76),2)</f>
      </c>
      <c r="V76" s="25" t="s">
        <v>10</v>
      </c>
      <c r="W76" s="11">
        <f>IFERROR(VLOOKUP(V76,Curr!$B$2:$C$13,2,FALSE),0)</f>
      </c>
      <c r="X76" s="12">
        <f>ROUND(U76*W76,2)</f>
      </c>
      <c r="Y76" s="26">
        <f>Q76</f>
      </c>
      <c r="Z76" s="12">
        <f>ROUND(Y76*R76,2)</f>
      </c>
      <c r="AA76" s="4" t="s">
        <v>10</v>
      </c>
      <c r="AB76" s="11">
        <f>IFERROR(VLOOKUP(AA76,Curr!$B$2:$C$13,2,FALSE),0)</f>
      </c>
      <c r="AC76" s="12">
        <f>ROUND(Y76*AB76*R76,2)</f>
      </c>
      <c r="AD76" s="12">
        <f>ROUND(AC76-X76,2)</f>
      </c>
      <c r="AE76" s="13">
        <f>IFERROR(AD76/AC76,0)</f>
      </c>
    </row>
    <row r="77" spans="2:31" x14ac:dyDescent="0.25">
      <c r="B77" s="4"/>
      <c r="E77" s="3"/>
      <c r="F77" s="3"/>
      <c r="G77" s="24"/>
      <c r="H77" s="24"/>
      <c r="K77" s="4"/>
      <c r="L77" s="4"/>
      <c r="M77" s="4"/>
      <c r="N77" s="4"/>
      <c r="O77" s="4"/>
      <c r="P77" s="27"/>
      <c r="Q77" s="25">
        <v>0</v>
      </c>
      <c r="R77" s="25">
        <v>0</v>
      </c>
      <c r="S77" s="12">
        <f>ROUND(Q77*R77,2)</f>
      </c>
      <c r="T77" s="5">
        <v>0</v>
      </c>
      <c r="U77" s="12">
        <f>ROUND(S77*(1-T77),2)</f>
      </c>
      <c r="V77" s="25" t="s">
        <v>10</v>
      </c>
      <c r="W77" s="11">
        <f>IFERROR(VLOOKUP(V77,Curr!$B$2:$C$13,2,FALSE),0)</f>
      </c>
      <c r="X77" s="12">
        <f>ROUND(U77*W77,2)</f>
      </c>
      <c r="Y77" s="26">
        <f>Q77</f>
      </c>
      <c r="Z77" s="12">
        <f>ROUND(Y77*R77,2)</f>
      </c>
      <c r="AA77" s="4" t="s">
        <v>10</v>
      </c>
      <c r="AB77" s="11">
        <f>IFERROR(VLOOKUP(AA77,Curr!$B$2:$C$13,2,FALSE),0)</f>
      </c>
      <c r="AC77" s="12">
        <f>ROUND(Y77*AB77*R77,2)</f>
      </c>
      <c r="AD77" s="12">
        <f>ROUND(AC77-X77,2)</f>
      </c>
      <c r="AE77" s="13">
        <f>IFERROR(AD77/AC77,0)</f>
      </c>
    </row>
    <row r="78" spans="2:31" x14ac:dyDescent="0.25">
      <c r="B78" s="4"/>
      <c r="E78" s="3"/>
      <c r="F78" s="3"/>
      <c r="G78" s="24"/>
      <c r="H78" s="24"/>
      <c r="K78" s="4"/>
      <c r="L78" s="4"/>
      <c r="M78" s="4"/>
      <c r="N78" s="4"/>
      <c r="O78" s="4"/>
      <c r="P78" s="27"/>
      <c r="Q78" s="25">
        <v>0</v>
      </c>
      <c r="R78" s="25">
        <v>0</v>
      </c>
      <c r="S78" s="12">
        <f>ROUND(Q78*R78,2)</f>
      </c>
      <c r="T78" s="5">
        <v>0</v>
      </c>
      <c r="U78" s="12">
        <f>ROUND(S78*(1-T78),2)</f>
      </c>
      <c r="V78" s="25" t="s">
        <v>10</v>
      </c>
      <c r="W78" s="11">
        <f>IFERROR(VLOOKUP(V78,Curr!$B$2:$C$13,2,FALSE),0)</f>
      </c>
      <c r="X78" s="12">
        <f>ROUND(U78*W78,2)</f>
      </c>
      <c r="Y78" s="26">
        <f>Q78</f>
      </c>
      <c r="Z78" s="12">
        <f>ROUND(Y78*R78,2)</f>
      </c>
      <c r="AA78" s="4" t="s">
        <v>10</v>
      </c>
      <c r="AB78" s="11">
        <f>IFERROR(VLOOKUP(AA78,Curr!$B$2:$C$13,2,FALSE),0)</f>
      </c>
      <c r="AC78" s="12">
        <f>ROUND(Y78*AB78*R78,2)</f>
      </c>
      <c r="AD78" s="12">
        <f>ROUND(AC78-X78,2)</f>
      </c>
      <c r="AE78" s="13">
        <f>IFERROR(AD78/AC78,0)</f>
      </c>
    </row>
    <row r="79" spans="2:31" x14ac:dyDescent="0.25">
      <c r="B79" s="4"/>
      <c r="E79" s="3"/>
      <c r="F79" s="3"/>
      <c r="G79" s="24"/>
      <c r="H79" s="24"/>
      <c r="K79" s="4"/>
      <c r="L79" s="4"/>
      <c r="M79" s="4"/>
      <c r="N79" s="4"/>
      <c r="O79" s="4"/>
      <c r="P79" s="27"/>
      <c r="Q79" s="25">
        <v>0</v>
      </c>
      <c r="R79" s="25">
        <v>0</v>
      </c>
      <c r="S79" s="12">
        <f>ROUND(Q79*R79,2)</f>
      </c>
      <c r="T79" s="5">
        <v>0</v>
      </c>
      <c r="U79" s="12">
        <f>ROUND(S79*(1-T79),2)</f>
      </c>
      <c r="V79" s="25" t="s">
        <v>10</v>
      </c>
      <c r="W79" s="11">
        <f>IFERROR(VLOOKUP(V79,Curr!$B$2:$C$13,2,FALSE),0)</f>
      </c>
      <c r="X79" s="12">
        <f>ROUND(U79*W79,2)</f>
      </c>
      <c r="Y79" s="26">
        <f>Q79</f>
      </c>
      <c r="Z79" s="12">
        <f>ROUND(Y79*R79,2)</f>
      </c>
      <c r="AA79" s="4" t="s">
        <v>10</v>
      </c>
      <c r="AB79" s="11">
        <f>IFERROR(VLOOKUP(AA79,Curr!$B$2:$C$13,2,FALSE),0)</f>
      </c>
      <c r="AC79" s="12">
        <f>ROUND(Y79*AB79*R79,2)</f>
      </c>
      <c r="AD79" s="12">
        <f>ROUND(AC79-X79,2)</f>
      </c>
      <c r="AE79" s="13">
        <f>IFERROR(AD79/AC79,0)</f>
      </c>
    </row>
    <row r="80" spans="2:31" x14ac:dyDescent="0.25">
      <c r="B80" s="4"/>
      <c r="E80" s="3"/>
      <c r="F80" s="3"/>
      <c r="G80" s="24"/>
      <c r="H80" s="24"/>
      <c r="K80" s="4"/>
      <c r="L80" s="4"/>
      <c r="M80" s="4"/>
      <c r="N80" s="4"/>
      <c r="O80" s="4"/>
      <c r="P80" s="27"/>
      <c r="Q80" s="25">
        <v>0</v>
      </c>
      <c r="R80" s="25">
        <v>0</v>
      </c>
      <c r="S80" s="12">
        <f>ROUND(Q80*R80,2)</f>
      </c>
      <c r="T80" s="5">
        <v>0</v>
      </c>
      <c r="U80" s="12">
        <f>ROUND(S80*(1-T80),2)</f>
      </c>
      <c r="V80" s="25" t="s">
        <v>10</v>
      </c>
      <c r="W80" s="11">
        <f>IFERROR(VLOOKUP(V80,Curr!$B$2:$C$13,2,FALSE),0)</f>
      </c>
      <c r="X80" s="12">
        <f>ROUND(U80*W80,2)</f>
      </c>
      <c r="Y80" s="26">
        <f>Q80</f>
      </c>
      <c r="Z80" s="12">
        <f>ROUND(Y80*R80,2)</f>
      </c>
      <c r="AA80" s="4" t="s">
        <v>10</v>
      </c>
      <c r="AB80" s="11">
        <f>IFERROR(VLOOKUP(AA80,Curr!$B$2:$C$13,2,FALSE),0)</f>
      </c>
      <c r="AC80" s="12">
        <f>ROUND(Y80*AB80*R80,2)</f>
      </c>
      <c r="AD80" s="12">
        <f>ROUND(AC80-X80,2)</f>
      </c>
      <c r="AE80" s="13">
        <f>IFERROR(AD80/AC80,0)</f>
      </c>
    </row>
    <row r="81" spans="2:31" x14ac:dyDescent="0.25">
      <c r="B81" s="4"/>
      <c r="E81" s="3"/>
      <c r="F81" s="3"/>
      <c r="G81" s="24"/>
      <c r="H81" s="24"/>
      <c r="K81" s="4"/>
      <c r="L81" s="4"/>
      <c r="M81" s="4"/>
      <c r="N81" s="4"/>
      <c r="O81" s="4"/>
      <c r="P81" s="27"/>
      <c r="Q81" s="25">
        <v>0</v>
      </c>
      <c r="R81" s="25">
        <v>0</v>
      </c>
      <c r="S81" s="12">
        <f>ROUND(Q81*R81,2)</f>
      </c>
      <c r="T81" s="5">
        <v>0</v>
      </c>
      <c r="U81" s="12">
        <f>ROUND(S81*(1-T81),2)</f>
      </c>
      <c r="V81" s="25" t="s">
        <v>10</v>
      </c>
      <c r="W81" s="11">
        <f>IFERROR(VLOOKUP(V81,Curr!$B$2:$C$13,2,FALSE),0)</f>
      </c>
      <c r="X81" s="12">
        <f>ROUND(U81*W81,2)</f>
      </c>
      <c r="Y81" s="26">
        <f>Q81</f>
      </c>
      <c r="Z81" s="12">
        <f>ROUND(Y81*R81,2)</f>
      </c>
      <c r="AA81" s="4" t="s">
        <v>10</v>
      </c>
      <c r="AB81" s="11">
        <f>IFERROR(VLOOKUP(AA81,Curr!$B$2:$C$13,2,FALSE),0)</f>
      </c>
      <c r="AC81" s="12">
        <f>ROUND(Y81*AB81*R81,2)</f>
      </c>
      <c r="AD81" s="12">
        <f>ROUND(AC81-X81,2)</f>
      </c>
      <c r="AE81" s="13">
        <f>IFERROR(AD81/AC81,0)</f>
      </c>
    </row>
    <row r="82" spans="2:31" x14ac:dyDescent="0.25">
      <c r="B82" s="4"/>
      <c r="E82" s="3"/>
      <c r="F82" s="3"/>
      <c r="G82" s="24"/>
      <c r="H82" s="24"/>
      <c r="K82" s="4"/>
      <c r="L82" s="4"/>
      <c r="M82" s="4"/>
      <c r="N82" s="4"/>
      <c r="O82" s="4"/>
      <c r="P82" s="27"/>
      <c r="Q82" s="25">
        <v>0</v>
      </c>
      <c r="R82" s="25">
        <v>0</v>
      </c>
      <c r="S82" s="12">
        <f>ROUND(Q82*R82,2)</f>
      </c>
      <c r="T82" s="5">
        <v>0</v>
      </c>
      <c r="U82" s="12">
        <f>ROUND(S82*(1-T82),2)</f>
      </c>
      <c r="V82" s="25" t="s">
        <v>10</v>
      </c>
      <c r="W82" s="11">
        <f>IFERROR(VLOOKUP(V82,Curr!$B$2:$C$13,2,FALSE),0)</f>
      </c>
      <c r="X82" s="12">
        <f>ROUND(U82*W82,2)</f>
      </c>
      <c r="Y82" s="26">
        <f>Q82</f>
      </c>
      <c r="Z82" s="12">
        <f>ROUND(Y82*R82,2)</f>
      </c>
      <c r="AA82" s="4" t="s">
        <v>10</v>
      </c>
      <c r="AB82" s="11">
        <f>IFERROR(VLOOKUP(AA82,Curr!$B$2:$C$13,2,FALSE),0)</f>
      </c>
      <c r="AC82" s="12">
        <f>ROUND(Y82*AB82*R82,2)</f>
      </c>
      <c r="AD82" s="12">
        <f>ROUND(AC82-X82,2)</f>
      </c>
      <c r="AE82" s="13">
        <f>IFERROR(AD82/AC82,0)</f>
      </c>
    </row>
    <row r="83" spans="2:31" x14ac:dyDescent="0.25">
      <c r="B83" s="4"/>
      <c r="E83" s="3"/>
      <c r="F83" s="3"/>
      <c r="G83" s="24"/>
      <c r="H83" s="24"/>
      <c r="K83" s="4"/>
      <c r="L83" s="4"/>
      <c r="M83" s="4"/>
      <c r="N83" s="4"/>
      <c r="O83" s="4"/>
      <c r="P83" s="27"/>
      <c r="Q83" s="25">
        <v>0</v>
      </c>
      <c r="R83" s="25">
        <v>0</v>
      </c>
      <c r="S83" s="12">
        <f>ROUND(Q83*R83,2)</f>
      </c>
      <c r="T83" s="5">
        <v>0</v>
      </c>
      <c r="U83" s="12">
        <f>ROUND(S83*(1-T83),2)</f>
      </c>
      <c r="V83" s="25" t="s">
        <v>10</v>
      </c>
      <c r="W83" s="11">
        <f>IFERROR(VLOOKUP(V83,Curr!$B$2:$C$13,2,FALSE),0)</f>
      </c>
      <c r="X83" s="12">
        <f>ROUND(U83*W83,2)</f>
      </c>
      <c r="Y83" s="26">
        <f>Q83</f>
      </c>
      <c r="Z83" s="12">
        <f>ROUND(Y83*R83,2)</f>
      </c>
      <c r="AA83" s="4" t="s">
        <v>10</v>
      </c>
      <c r="AB83" s="11">
        <f>IFERROR(VLOOKUP(AA83,Curr!$B$2:$C$13,2,FALSE),0)</f>
      </c>
      <c r="AC83" s="12">
        <f>ROUND(Y83*AB83*R83,2)</f>
      </c>
      <c r="AD83" s="12">
        <f>ROUND(AC83-X83,2)</f>
      </c>
      <c r="AE83" s="13">
        <f>IFERROR(AD83/AC83,0)</f>
      </c>
    </row>
    <row r="84" spans="2:31" x14ac:dyDescent="0.25">
      <c r="B84" s="4"/>
      <c r="E84" s="3"/>
      <c r="F84" s="3"/>
      <c r="G84" s="24"/>
      <c r="H84" s="24"/>
      <c r="K84" s="4"/>
      <c r="L84" s="4"/>
      <c r="M84" s="4"/>
      <c r="N84" s="4"/>
      <c r="O84" s="4"/>
      <c r="P84" s="27"/>
      <c r="Q84" s="25">
        <v>0</v>
      </c>
      <c r="R84" s="25">
        <v>0</v>
      </c>
      <c r="S84" s="12">
        <f>ROUND(Q84*R84,2)</f>
      </c>
      <c r="T84" s="5">
        <v>0</v>
      </c>
      <c r="U84" s="12">
        <f>ROUND(S84*(1-T84),2)</f>
      </c>
      <c r="V84" s="25" t="s">
        <v>10</v>
      </c>
      <c r="W84" s="11">
        <f>IFERROR(VLOOKUP(V84,Curr!$B$2:$C$13,2,FALSE),0)</f>
      </c>
      <c r="X84" s="12">
        <f>ROUND(U84*W84,2)</f>
      </c>
      <c r="Y84" s="26">
        <f>Q84</f>
      </c>
      <c r="Z84" s="12">
        <f>ROUND(Y84*R84,2)</f>
      </c>
      <c r="AA84" s="4" t="s">
        <v>10</v>
      </c>
      <c r="AB84" s="11">
        <f>IFERROR(VLOOKUP(AA84,Curr!$B$2:$C$13,2,FALSE),0)</f>
      </c>
      <c r="AC84" s="12">
        <f>ROUND(Y84*AB84*R84,2)</f>
      </c>
      <c r="AD84" s="12">
        <f>ROUND(AC84-X84,2)</f>
      </c>
      <c r="AE84" s="13">
        <f>IFERROR(AD84/AC84,0)</f>
      </c>
    </row>
    <row r="85" spans="2:31" x14ac:dyDescent="0.25">
      <c r="B85" s="4"/>
      <c r="E85" s="3"/>
      <c r="F85" s="3"/>
      <c r="G85" s="24"/>
      <c r="H85" s="24"/>
      <c r="K85" s="4"/>
      <c r="L85" s="4"/>
      <c r="M85" s="4"/>
      <c r="N85" s="4"/>
      <c r="O85" s="4"/>
      <c r="P85" s="27"/>
      <c r="Q85" s="25">
        <v>0</v>
      </c>
      <c r="R85" s="25">
        <v>0</v>
      </c>
      <c r="S85" s="12">
        <f>ROUND(Q85*R85,2)</f>
      </c>
      <c r="T85" s="5">
        <v>0</v>
      </c>
      <c r="U85" s="12">
        <f>ROUND(S85*(1-T85),2)</f>
      </c>
      <c r="V85" s="25" t="s">
        <v>10</v>
      </c>
      <c r="W85" s="11">
        <f>IFERROR(VLOOKUP(V85,Curr!$B$2:$C$13,2,FALSE),0)</f>
      </c>
      <c r="X85" s="12">
        <f>ROUND(U85*W85,2)</f>
      </c>
      <c r="Y85" s="26">
        <f>Q85</f>
      </c>
      <c r="Z85" s="12">
        <f>ROUND(Y85*R85,2)</f>
      </c>
      <c r="AA85" s="4" t="s">
        <v>10</v>
      </c>
      <c r="AB85" s="11">
        <f>IFERROR(VLOOKUP(AA85,Curr!$B$2:$C$13,2,FALSE),0)</f>
      </c>
      <c r="AC85" s="12">
        <f>ROUND(Y85*AB85*R85,2)</f>
      </c>
      <c r="AD85" s="12">
        <f>ROUND(AC85-X85,2)</f>
      </c>
      <c r="AE85" s="13">
        <f>IFERROR(AD85/AC85,0)</f>
      </c>
    </row>
    <row r="86" spans="2:31" x14ac:dyDescent="0.25">
      <c r="B86" s="4"/>
      <c r="E86" s="3"/>
      <c r="F86" s="3"/>
      <c r="G86" s="24"/>
      <c r="H86" s="24"/>
      <c r="K86" s="4"/>
      <c r="L86" s="4"/>
      <c r="M86" s="4"/>
      <c r="N86" s="4"/>
      <c r="O86" s="4"/>
      <c r="P86" s="27"/>
      <c r="Q86" s="25">
        <v>0</v>
      </c>
      <c r="R86" s="25">
        <v>0</v>
      </c>
      <c r="S86" s="12">
        <f>ROUND(Q86*R86,2)</f>
      </c>
      <c r="T86" s="5">
        <v>0</v>
      </c>
      <c r="U86" s="12">
        <f>ROUND(S86*(1-T86),2)</f>
      </c>
      <c r="V86" s="25" t="s">
        <v>10</v>
      </c>
      <c r="W86" s="11">
        <f>IFERROR(VLOOKUP(V86,Curr!$B$2:$C$13,2,FALSE),0)</f>
      </c>
      <c r="X86" s="12">
        <f>ROUND(U86*W86,2)</f>
      </c>
      <c r="Y86" s="26">
        <f>Q86</f>
      </c>
      <c r="Z86" s="12">
        <f>ROUND(Y86*R86,2)</f>
      </c>
      <c r="AA86" s="4" t="s">
        <v>10</v>
      </c>
      <c r="AB86" s="11">
        <f>IFERROR(VLOOKUP(AA86,Curr!$B$2:$C$13,2,FALSE),0)</f>
      </c>
      <c r="AC86" s="12">
        <f>ROUND(Y86*AB86*R86,2)</f>
      </c>
      <c r="AD86" s="12">
        <f>ROUND(AC86-X86,2)</f>
      </c>
      <c r="AE86" s="13">
        <f>IFERROR(AD86/AC86,0)</f>
      </c>
    </row>
    <row r="87" spans="2:31" x14ac:dyDescent="0.25">
      <c r="B87" s="4"/>
      <c r="E87" s="3"/>
      <c r="F87" s="3"/>
      <c r="G87" s="24"/>
      <c r="H87" s="24"/>
      <c r="K87" s="4"/>
      <c r="L87" s="4"/>
      <c r="M87" s="4"/>
      <c r="N87" s="4"/>
      <c r="O87" s="4"/>
      <c r="P87" s="27"/>
      <c r="Q87" s="25">
        <v>0</v>
      </c>
      <c r="R87" s="25">
        <v>0</v>
      </c>
      <c r="S87" s="12">
        <f>ROUND(Q87*R87,2)</f>
      </c>
      <c r="T87" s="5">
        <v>0</v>
      </c>
      <c r="U87" s="12">
        <f>ROUND(S87*(1-T87),2)</f>
      </c>
      <c r="V87" s="25" t="s">
        <v>10</v>
      </c>
      <c r="W87" s="11">
        <f>IFERROR(VLOOKUP(V87,Curr!$B$2:$C$13,2,FALSE),0)</f>
      </c>
      <c r="X87" s="12">
        <f>ROUND(U87*W87,2)</f>
      </c>
      <c r="Y87" s="26">
        <f>Q87</f>
      </c>
      <c r="Z87" s="12">
        <f>ROUND(Y87*R87,2)</f>
      </c>
      <c r="AA87" s="4" t="s">
        <v>10</v>
      </c>
      <c r="AB87" s="11">
        <f>IFERROR(VLOOKUP(AA87,Curr!$B$2:$C$13,2,FALSE),0)</f>
      </c>
      <c r="AC87" s="12">
        <f>ROUND(Y87*AB87*R87,2)</f>
      </c>
      <c r="AD87" s="12">
        <f>ROUND(AC87-X87,2)</f>
      </c>
      <c r="AE87" s="13">
        <f>IFERROR(AD87/AC87,0)</f>
      </c>
    </row>
    <row r="88" spans="2:31" x14ac:dyDescent="0.25">
      <c r="B88" s="4"/>
      <c r="E88" s="3"/>
      <c r="F88" s="3"/>
      <c r="G88" s="24"/>
      <c r="H88" s="24"/>
      <c r="K88" s="4"/>
      <c r="L88" s="4"/>
      <c r="M88" s="4"/>
      <c r="N88" s="4"/>
      <c r="O88" s="4"/>
      <c r="P88" s="27"/>
      <c r="Q88" s="25">
        <v>0</v>
      </c>
      <c r="R88" s="25">
        <v>0</v>
      </c>
      <c r="S88" s="12">
        <f>ROUND(Q88*R88,2)</f>
      </c>
      <c r="T88" s="5">
        <v>0</v>
      </c>
      <c r="U88" s="12">
        <f>ROUND(S88*(1-T88),2)</f>
      </c>
      <c r="V88" s="25" t="s">
        <v>10</v>
      </c>
      <c r="W88" s="11">
        <f>IFERROR(VLOOKUP(V88,Curr!$B$2:$C$13,2,FALSE),0)</f>
      </c>
      <c r="X88" s="12">
        <f>ROUND(U88*W88,2)</f>
      </c>
      <c r="Y88" s="26">
        <f>Q88</f>
      </c>
      <c r="Z88" s="12">
        <f>ROUND(Y88*R88,2)</f>
      </c>
      <c r="AA88" s="4" t="s">
        <v>10</v>
      </c>
      <c r="AB88" s="11">
        <f>IFERROR(VLOOKUP(AA88,Curr!$B$2:$C$13,2,FALSE),0)</f>
      </c>
      <c r="AC88" s="12">
        <f>ROUND(Y88*AB88*R88,2)</f>
      </c>
      <c r="AD88" s="12">
        <f>ROUND(AC88-X88,2)</f>
      </c>
      <c r="AE88" s="13">
        <f>IFERROR(AD88/AC88,0)</f>
      </c>
    </row>
    <row r="89" spans="2:31" x14ac:dyDescent="0.25">
      <c r="B89" s="4"/>
      <c r="E89" s="3"/>
      <c r="F89" s="3"/>
      <c r="G89" s="24"/>
      <c r="H89" s="24"/>
      <c r="K89" s="4"/>
      <c r="L89" s="4"/>
      <c r="M89" s="4"/>
      <c r="N89" s="4"/>
      <c r="O89" s="4"/>
      <c r="P89" s="27"/>
      <c r="Q89" s="25">
        <v>0</v>
      </c>
      <c r="R89" s="25">
        <v>0</v>
      </c>
      <c r="S89" s="12">
        <f>ROUND(Q89*R89,2)</f>
      </c>
      <c r="T89" s="5">
        <v>0</v>
      </c>
      <c r="U89" s="12">
        <f>ROUND(S89*(1-T89),2)</f>
      </c>
      <c r="V89" s="25" t="s">
        <v>10</v>
      </c>
      <c r="W89" s="11">
        <f>IFERROR(VLOOKUP(V89,Curr!$B$2:$C$13,2,FALSE),0)</f>
      </c>
      <c r="X89" s="12">
        <f>ROUND(U89*W89,2)</f>
      </c>
      <c r="Y89" s="26">
        <f>Q89</f>
      </c>
      <c r="Z89" s="12">
        <f>ROUND(Y89*R89,2)</f>
      </c>
      <c r="AA89" s="4" t="s">
        <v>10</v>
      </c>
      <c r="AB89" s="11">
        <f>IFERROR(VLOOKUP(AA89,Curr!$B$2:$C$13,2,FALSE),0)</f>
      </c>
      <c r="AC89" s="12">
        <f>ROUND(Y89*AB89*R89,2)</f>
      </c>
      <c r="AD89" s="12">
        <f>ROUND(AC89-X89,2)</f>
      </c>
      <c r="AE89" s="13">
        <f>IFERROR(AD89/AC89,0)</f>
      </c>
    </row>
    <row r="90" spans="2:31" x14ac:dyDescent="0.25">
      <c r="B90" s="4"/>
      <c r="E90" s="3"/>
      <c r="F90" s="3"/>
      <c r="G90" s="24"/>
      <c r="H90" s="24"/>
      <c r="K90" s="4"/>
      <c r="L90" s="4"/>
      <c r="M90" s="4"/>
      <c r="N90" s="4"/>
      <c r="O90" s="4"/>
      <c r="P90" s="27"/>
      <c r="Q90" s="25">
        <v>0</v>
      </c>
      <c r="R90" s="25">
        <v>0</v>
      </c>
      <c r="S90" s="12">
        <f>ROUND(Q90*R90,2)</f>
      </c>
      <c r="T90" s="5">
        <v>0</v>
      </c>
      <c r="U90" s="12">
        <f>ROUND(S90*(1-T90),2)</f>
      </c>
      <c r="V90" s="25" t="s">
        <v>10</v>
      </c>
      <c r="W90" s="11">
        <f>IFERROR(VLOOKUP(V90,Curr!$B$2:$C$13,2,FALSE),0)</f>
      </c>
      <c r="X90" s="12">
        <f>ROUND(U90*W90,2)</f>
      </c>
      <c r="Y90" s="26">
        <f>Q90</f>
      </c>
      <c r="Z90" s="12">
        <f>ROUND(Y90*R90,2)</f>
      </c>
      <c r="AA90" s="4" t="s">
        <v>10</v>
      </c>
      <c r="AB90" s="11">
        <f>IFERROR(VLOOKUP(AA90,Curr!$B$2:$C$13,2,FALSE),0)</f>
      </c>
      <c r="AC90" s="12">
        <f>ROUND(Y90*AB90*R90,2)</f>
      </c>
      <c r="AD90" s="12">
        <f>ROUND(AC90-X90,2)</f>
      </c>
      <c r="AE90" s="13">
        <f>IFERROR(AD90/AC90,0)</f>
      </c>
    </row>
    <row r="91" spans="2:31" x14ac:dyDescent="0.25">
      <c r="B91" s="4"/>
      <c r="E91" s="3"/>
      <c r="F91" s="3"/>
      <c r="G91" s="24"/>
      <c r="H91" s="24"/>
      <c r="K91" s="4"/>
      <c r="L91" s="4"/>
      <c r="M91" s="4"/>
      <c r="N91" s="4"/>
      <c r="O91" s="4"/>
      <c r="P91" s="27"/>
      <c r="Q91" s="25">
        <v>0</v>
      </c>
      <c r="R91" s="25">
        <v>0</v>
      </c>
      <c r="S91" s="12">
        <f>ROUND(Q91*R91,2)</f>
      </c>
      <c r="T91" s="5">
        <v>0</v>
      </c>
      <c r="U91" s="12">
        <f>ROUND(S91*(1-T91),2)</f>
      </c>
      <c r="V91" s="25" t="s">
        <v>10</v>
      </c>
      <c r="W91" s="11">
        <f>IFERROR(VLOOKUP(V91,Curr!$B$2:$C$13,2,FALSE),0)</f>
      </c>
      <c r="X91" s="12">
        <f>ROUND(U91*W91,2)</f>
      </c>
      <c r="Y91" s="26">
        <f>Q91</f>
      </c>
      <c r="Z91" s="12">
        <f>ROUND(Y91*R91,2)</f>
      </c>
      <c r="AA91" s="4" t="s">
        <v>10</v>
      </c>
      <c r="AB91" s="11">
        <f>IFERROR(VLOOKUP(AA91,Curr!$B$2:$C$13,2,FALSE),0)</f>
      </c>
      <c r="AC91" s="12">
        <f>ROUND(Y91*AB91*R91,2)</f>
      </c>
      <c r="AD91" s="12">
        <f>ROUND(AC91-X91,2)</f>
      </c>
      <c r="AE91" s="13">
        <f>IFERROR(AD91/AC91,0)</f>
      </c>
    </row>
    <row r="92" spans="2:31" x14ac:dyDescent="0.25">
      <c r="B92" s="4"/>
      <c r="E92" s="3"/>
      <c r="F92" s="3"/>
      <c r="G92" s="24"/>
      <c r="H92" s="24"/>
      <c r="K92" s="4"/>
      <c r="L92" s="4"/>
      <c r="M92" s="4"/>
      <c r="N92" s="4"/>
      <c r="O92" s="4"/>
      <c r="P92" s="27"/>
      <c r="Q92" s="25">
        <v>0</v>
      </c>
      <c r="R92" s="25">
        <v>0</v>
      </c>
      <c r="S92" s="12">
        <f>ROUND(Q92*R92,2)</f>
      </c>
      <c r="T92" s="5">
        <v>0</v>
      </c>
      <c r="U92" s="12">
        <f>ROUND(S92*(1-T92),2)</f>
      </c>
      <c r="V92" s="25" t="s">
        <v>10</v>
      </c>
      <c r="W92" s="11">
        <f>IFERROR(VLOOKUP(V92,Curr!$B$2:$C$13,2,FALSE),0)</f>
      </c>
      <c r="X92" s="12">
        <f>ROUND(U92*W92,2)</f>
      </c>
      <c r="Y92" s="26">
        <f>Q92</f>
      </c>
      <c r="Z92" s="12">
        <f>ROUND(Y92*R92,2)</f>
      </c>
      <c r="AA92" s="4" t="s">
        <v>10</v>
      </c>
      <c r="AB92" s="11">
        <f>IFERROR(VLOOKUP(AA92,Curr!$B$2:$C$13,2,FALSE),0)</f>
      </c>
      <c r="AC92" s="12">
        <f>ROUND(Y92*AB92*R92,2)</f>
      </c>
      <c r="AD92" s="12">
        <f>ROUND(AC92-X92,2)</f>
      </c>
      <c r="AE92" s="13">
        <f>IFERROR(AD92/AC92,0)</f>
      </c>
    </row>
    <row r="93" spans="2:31" x14ac:dyDescent="0.25">
      <c r="B93" s="4"/>
      <c r="E93" s="3"/>
      <c r="F93" s="3"/>
      <c r="G93" s="24"/>
      <c r="H93" s="24"/>
      <c r="K93" s="4"/>
      <c r="L93" s="4"/>
      <c r="M93" s="4"/>
      <c r="N93" s="4"/>
      <c r="O93" s="4"/>
      <c r="P93" s="27"/>
      <c r="Q93" s="25">
        <v>0</v>
      </c>
      <c r="R93" s="25">
        <v>0</v>
      </c>
      <c r="S93" s="12">
        <f>ROUND(Q93*R93,2)</f>
      </c>
      <c r="T93" s="5">
        <v>0</v>
      </c>
      <c r="U93" s="12">
        <f>ROUND(S93*(1-T93),2)</f>
      </c>
      <c r="V93" s="25" t="s">
        <v>10</v>
      </c>
      <c r="W93" s="11">
        <f>IFERROR(VLOOKUP(V93,Curr!$B$2:$C$13,2,FALSE),0)</f>
      </c>
      <c r="X93" s="12">
        <f>ROUND(U93*W93,2)</f>
      </c>
      <c r="Y93" s="26">
        <f>Q93</f>
      </c>
      <c r="Z93" s="12">
        <f>ROUND(Y93*R93,2)</f>
      </c>
      <c r="AA93" s="4" t="s">
        <v>10</v>
      </c>
      <c r="AB93" s="11">
        <f>IFERROR(VLOOKUP(AA93,Curr!$B$2:$C$13,2,FALSE),0)</f>
      </c>
      <c r="AC93" s="12">
        <f>ROUND(Y93*AB93*R93,2)</f>
      </c>
      <c r="AD93" s="12">
        <f>ROUND(AC93-X93,2)</f>
      </c>
      <c r="AE93" s="13">
        <f>IFERROR(AD93/AC93,0)</f>
      </c>
    </row>
    <row r="94" spans="2:31" x14ac:dyDescent="0.25">
      <c r="B94" s="4"/>
      <c r="E94" s="3"/>
      <c r="F94" s="3"/>
      <c r="G94" s="24"/>
      <c r="H94" s="24"/>
      <c r="K94" s="4"/>
      <c r="L94" s="4"/>
      <c r="M94" s="4"/>
      <c r="N94" s="4"/>
      <c r="O94" s="4"/>
      <c r="P94" s="27"/>
      <c r="Q94" s="25">
        <v>0</v>
      </c>
      <c r="R94" s="25">
        <v>0</v>
      </c>
      <c r="S94" s="12">
        <f>ROUND(Q94*R94,2)</f>
      </c>
      <c r="T94" s="5">
        <v>0</v>
      </c>
      <c r="U94" s="12">
        <f>ROUND(S94*(1-T94),2)</f>
      </c>
      <c r="V94" s="25" t="s">
        <v>10</v>
      </c>
      <c r="W94" s="11">
        <f>IFERROR(VLOOKUP(V94,Curr!$B$2:$C$13,2,FALSE),0)</f>
      </c>
      <c r="X94" s="12">
        <f>ROUND(U94*W94,2)</f>
      </c>
      <c r="Y94" s="26">
        <f>Q94</f>
      </c>
      <c r="Z94" s="12">
        <f>ROUND(Y94*R94,2)</f>
      </c>
      <c r="AA94" s="4" t="s">
        <v>10</v>
      </c>
      <c r="AB94" s="11">
        <f>IFERROR(VLOOKUP(AA94,Curr!$B$2:$C$13,2,FALSE),0)</f>
      </c>
      <c r="AC94" s="12">
        <f>ROUND(Y94*AB94*R94,2)</f>
      </c>
      <c r="AD94" s="12">
        <f>ROUND(AC94-X94,2)</f>
      </c>
      <c r="AE94" s="13">
        <f>IFERROR(AD94/AC94,0)</f>
      </c>
    </row>
    <row r="95" spans="2:31" x14ac:dyDescent="0.25">
      <c r="B95" s="4"/>
      <c r="E95" s="3"/>
      <c r="F95" s="3"/>
      <c r="G95" s="24"/>
      <c r="H95" s="24"/>
      <c r="K95" s="4"/>
      <c r="L95" s="4"/>
      <c r="M95" s="4"/>
      <c r="N95" s="4"/>
      <c r="O95" s="4"/>
      <c r="P95" s="27"/>
      <c r="Q95" s="25">
        <v>0</v>
      </c>
      <c r="R95" s="25">
        <v>0</v>
      </c>
      <c r="S95" s="12">
        <f>ROUND(Q95*R95,2)</f>
      </c>
      <c r="T95" s="5">
        <v>0</v>
      </c>
      <c r="U95" s="12">
        <f>ROUND(S95*(1-T95),2)</f>
      </c>
      <c r="V95" s="25" t="s">
        <v>10</v>
      </c>
      <c r="W95" s="11">
        <f>IFERROR(VLOOKUP(V95,Curr!$B$2:$C$13,2,FALSE),0)</f>
      </c>
      <c r="X95" s="12">
        <f>ROUND(U95*W95,2)</f>
      </c>
      <c r="Y95" s="26">
        <f>Q95</f>
      </c>
      <c r="Z95" s="12">
        <f>ROUND(Y95*R95,2)</f>
      </c>
      <c r="AA95" s="4" t="s">
        <v>10</v>
      </c>
      <c r="AB95" s="11">
        <f>IFERROR(VLOOKUP(AA95,Curr!$B$2:$C$13,2,FALSE),0)</f>
      </c>
      <c r="AC95" s="12">
        <f>ROUND(Y95*AB95*R95,2)</f>
      </c>
      <c r="AD95" s="12">
        <f>ROUND(AC95-X95,2)</f>
      </c>
      <c r="AE95" s="13">
        <f>IFERROR(AD95/AC95,0)</f>
      </c>
    </row>
    <row r="96" spans="2:31" x14ac:dyDescent="0.25">
      <c r="B96" s="4"/>
      <c r="E96" s="3"/>
      <c r="F96" s="3"/>
      <c r="G96" s="24"/>
      <c r="H96" s="24"/>
      <c r="K96" s="4"/>
      <c r="L96" s="4"/>
      <c r="M96" s="4"/>
      <c r="N96" s="4"/>
      <c r="O96" s="4"/>
      <c r="P96" s="27"/>
      <c r="Q96" s="25">
        <v>0</v>
      </c>
      <c r="R96" s="25">
        <v>0</v>
      </c>
      <c r="S96" s="12">
        <f>ROUND(Q96*R96,2)</f>
      </c>
      <c r="T96" s="5">
        <v>0</v>
      </c>
      <c r="U96" s="12">
        <f>ROUND(S96*(1-T96),2)</f>
      </c>
      <c r="V96" s="25" t="s">
        <v>10</v>
      </c>
      <c r="W96" s="11">
        <f>IFERROR(VLOOKUP(V96,Curr!$B$2:$C$13,2,FALSE),0)</f>
      </c>
      <c r="X96" s="12">
        <f>ROUND(U96*W96,2)</f>
      </c>
      <c r="Y96" s="26">
        <f>Q96</f>
      </c>
      <c r="Z96" s="12">
        <f>ROUND(Y96*R96,2)</f>
      </c>
      <c r="AA96" s="4" t="s">
        <v>10</v>
      </c>
      <c r="AB96" s="11">
        <f>IFERROR(VLOOKUP(AA96,Curr!$B$2:$C$13,2,FALSE),0)</f>
      </c>
      <c r="AC96" s="12">
        <f>ROUND(Y96*AB96*R96,2)</f>
      </c>
      <c r="AD96" s="12">
        <f>ROUND(AC96-X96,2)</f>
      </c>
      <c r="AE96" s="13">
        <f>IFERROR(AD96/AC96,0)</f>
      </c>
    </row>
    <row r="97" spans="2:36" x14ac:dyDescent="0.25">
      <c r="B97" s="4"/>
      <c r="E97" s="3"/>
      <c r="F97" s="3"/>
      <c r="G97" s="24"/>
      <c r="H97" s="24"/>
      <c r="K97" s="4"/>
      <c r="L97" s="4"/>
      <c r="M97" s="4"/>
      <c r="N97" s="4"/>
      <c r="O97" s="4"/>
      <c r="P97" s="27"/>
      <c r="Q97" s="25">
        <v>0</v>
      </c>
      <c r="R97" s="25">
        <v>0</v>
      </c>
      <c r="S97" s="12">
        <f>ROUND(Q97*R97,2)</f>
      </c>
      <c r="T97" s="5">
        <v>0</v>
      </c>
      <c r="U97" s="12">
        <f>ROUND(S97*(1-T97),2)</f>
      </c>
      <c r="V97" s="25" t="s">
        <v>10</v>
      </c>
      <c r="W97" s="11">
        <f>IFERROR(VLOOKUP(V97,Curr!$B$2:$C$13,2,FALSE),0)</f>
      </c>
      <c r="X97" s="12">
        <f>ROUND(U97*W97,2)</f>
      </c>
      <c r="Y97" s="26">
        <f>Q97</f>
      </c>
      <c r="Z97" s="12">
        <f>ROUND(Y97*R97,2)</f>
      </c>
      <c r="AA97" s="4" t="s">
        <v>10</v>
      </c>
      <c r="AB97" s="11">
        <f>IFERROR(VLOOKUP(AA97,Curr!$B$2:$C$13,2,FALSE),0)</f>
      </c>
      <c r="AC97" s="12">
        <f>ROUND(Y97*AB97*R97,2)</f>
      </c>
      <c r="AD97" s="12">
        <f>ROUND(AC97-X97,2)</f>
      </c>
      <c r="AE97" s="13">
        <f>IFERROR(AD97/AC97,0)</f>
      </c>
    </row>
    <row r="98" spans="2:36" x14ac:dyDescent="0.25">
      <c r="B98" s="4"/>
      <c r="E98" s="3"/>
      <c r="F98" s="3"/>
      <c r="G98" s="24"/>
      <c r="H98" s="24"/>
      <c r="K98" s="4"/>
      <c r="L98" s="4"/>
      <c r="M98" s="4"/>
      <c r="N98" s="4"/>
      <c r="O98" s="4"/>
      <c r="P98" s="27"/>
      <c r="Q98" s="25">
        <v>0</v>
      </c>
      <c r="R98" s="25">
        <v>0</v>
      </c>
      <c r="S98" s="12">
        <f>ROUND(Q98*R98,2)</f>
      </c>
      <c r="T98" s="5">
        <v>0</v>
      </c>
      <c r="U98" s="12">
        <f>ROUND(S98*(1-T98),2)</f>
      </c>
      <c r="V98" s="25" t="s">
        <v>10</v>
      </c>
      <c r="W98" s="11">
        <f>IFERROR(VLOOKUP(V98,Curr!$B$2:$C$13,2,FALSE),0)</f>
      </c>
      <c r="X98" s="12">
        <f>ROUND(U98*W98,2)</f>
      </c>
      <c r="Y98" s="26">
        <f>Q98</f>
      </c>
      <c r="Z98" s="12">
        <f>ROUND(Y98*R98,2)</f>
      </c>
      <c r="AA98" s="4" t="s">
        <v>10</v>
      </c>
      <c r="AB98" s="11">
        <f>IFERROR(VLOOKUP(AA98,Curr!$B$2:$C$13,2,FALSE),0)</f>
      </c>
      <c r="AC98" s="12">
        <f>ROUND(Y98*AB98*R98,2)</f>
      </c>
      <c r="AD98" s="12">
        <f>ROUND(AC98-X98,2)</f>
      </c>
      <c r="AE98" s="13">
        <f>IFERROR(AD98/AC98,0)</f>
      </c>
    </row>
    <row r="99" spans="2:36" x14ac:dyDescent="0.25">
      <c r="B99" s="4"/>
      <c r="E99" s="3"/>
      <c r="F99" s="3"/>
      <c r="G99" s="24"/>
      <c r="H99" s="24"/>
      <c r="K99" s="4"/>
      <c r="L99" s="4"/>
      <c r="M99" s="4"/>
      <c r="N99" s="4"/>
      <c r="O99" s="4"/>
      <c r="P99" s="27"/>
      <c r="Q99" s="25">
        <v>0</v>
      </c>
      <c r="R99" s="25">
        <v>0</v>
      </c>
      <c r="S99" s="12">
        <f>ROUND(Q99*R99,2)</f>
      </c>
      <c r="T99" s="5">
        <v>0</v>
      </c>
      <c r="U99" s="12">
        <f>ROUND(S99*(1-T99),2)</f>
      </c>
      <c r="V99" s="25" t="s">
        <v>10</v>
      </c>
      <c r="W99" s="11">
        <f>IFERROR(VLOOKUP(V99,Curr!$B$2:$C$13,2,FALSE),0)</f>
      </c>
      <c r="X99" s="12">
        <f>ROUND(U99*W99,2)</f>
      </c>
      <c r="Y99" s="26">
        <f>Q99</f>
      </c>
      <c r="Z99" s="12">
        <f>ROUND(Y99*R99,2)</f>
      </c>
      <c r="AA99" s="4" t="s">
        <v>10</v>
      </c>
      <c r="AB99" s="11">
        <f>IFERROR(VLOOKUP(AA99,Curr!$B$2:$C$13,2,FALSE),0)</f>
      </c>
      <c r="AC99" s="12">
        <f>ROUND(Y99*AB99*R99,2)</f>
      </c>
      <c r="AD99" s="12">
        <f>ROUND(AC99-X99,2)</f>
      </c>
      <c r="AE99" s="13">
        <f>IFERROR(AD99/AC99,0)</f>
      </c>
    </row>
    <row r="100" spans="2:36" x14ac:dyDescent="0.25">
      <c r="B100" s="4"/>
      <c r="E100" s="3"/>
      <c r="F100" s="3"/>
      <c r="G100" s="3"/>
      <c r="H100" s="3"/>
      <c r="L100" s="4"/>
      <c r="M100" s="4"/>
      <c r="N100" s="4"/>
      <c r="O100" s="4"/>
      <c r="P100" s="22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2:36" x14ac:dyDescent="0.25">
      <c r="B101" s="14" t="s">
        <v>18</v>
      </c>
      <c r="C101" s="14"/>
      <c r="D101" s="28" t="s">
        <v>42</v>
      </c>
      <c r="E101" s="30" t="s">
        <v>42</v>
      </c>
      <c r="F101" s="30" t="s">
        <v>42</v>
      </c>
      <c r="G101" s="30" t="s">
        <v>42</v>
      </c>
      <c r="H101" s="30" t="s">
        <v>42</v>
      </c>
      <c r="I101" s="28" t="s">
        <v>42</v>
      </c>
      <c r="J101" s="28" t="s">
        <v>42</v>
      </c>
      <c r="K101" s="28" t="s">
        <v>42</v>
      </c>
      <c r="L101" s="28" t="s">
        <v>42</v>
      </c>
      <c r="M101" s="28" t="s">
        <v>42</v>
      </c>
      <c r="N101" s="28" t="s">
        <v>42</v>
      </c>
      <c r="O101" s="28" t="s">
        <v>42</v>
      </c>
      <c r="P101" s="28" t="s">
        <v>42</v>
      </c>
      <c r="Q101" s="31" t="s">
        <v>42</v>
      </c>
      <c r="R101" s="28" t="s">
        <v>42</v>
      </c>
      <c r="S101" s="32" t="s">
        <v>42</v>
      </c>
      <c r="T101" s="28" t="s">
        <v>42</v>
      </c>
      <c r="U101" s="32" t="s">
        <v>42</v>
      </c>
      <c r="V101" s="28" t="s">
        <v>42</v>
      </c>
      <c r="W101" s="28" t="s">
        <v>42</v>
      </c>
      <c r="X101" s="32" t="s">
        <v>42</v>
      </c>
      <c r="Y101" s="32" t="s">
        <v>42</v>
      </c>
      <c r="Z101" s="15">
        <f>SUM(Z7:Z99)</f>
      </c>
      <c r="AA101" s="14"/>
      <c r="AB101" s="14"/>
      <c r="AC101" s="15">
        <f>SUM(AC7:AC99)</f>
      </c>
      <c r="AD101" s="15">
        <f>SUM(AD7:AD99)</f>
      </c>
      <c r="AE101" s="21">
        <f>IFERROR(AD101/AC101,0)</f>
      </c>
      <c r="AF101" s="15">
        <f>SUM(AF7:AF99)</f>
      </c>
      <c r="AG101" s="15">
        <f>SUM(AG7:AG99)</f>
      </c>
      <c r="AH101" s="15">
        <f>SUM(AH7:AH99)</f>
      </c>
      <c r="AI101" s="15">
        <f>SUM(AI7:AI99)</f>
      </c>
      <c r="AJ101" s="15">
        <f>SUM(AJ7:AJ99)</f>
      </c>
    </row>
    <row r="102" spans="2:36" x14ac:dyDescent="0.25">
      <c r="B102" s="4"/>
      <c r="E102" s="3"/>
      <c r="F102" s="3"/>
      <c r="G102" s="3"/>
      <c r="H102" s="3"/>
      <c r="L102" s="4"/>
      <c r="M102" s="4"/>
      <c r="N102" s="4"/>
      <c r="O102" s="4"/>
      <c r="Q102" s="4"/>
      <c r="R102" s="4"/>
      <c r="S102" s="4"/>
      <c r="T102" s="4"/>
      <c r="U102" s="4"/>
      <c r="V102" s="4"/>
      <c r="W102" s="4"/>
      <c r="X102" s="4"/>
      <c r="Y102" s="9"/>
      <c r="Z102" s="9"/>
      <c r="AA102" s="9"/>
      <c r="AB102" s="9"/>
      <c r="AC102" s="9"/>
      <c r="AD102" s="9"/>
      <c r="AE102" s="9"/>
    </row>
    <row r="103" spans="2:36" x14ac:dyDescent="0.25">
      <c r="B103" s="4"/>
      <c r="E103" s="3"/>
      <c r="F103" s="3"/>
      <c r="G103" s="3"/>
      <c r="H103" s="3"/>
      <c r="L103" s="4"/>
      <c r="M103" s="4"/>
      <c r="N103" s="4"/>
      <c r="O103" s="4"/>
      <c r="Q103" s="9"/>
      <c r="R103" s="9"/>
      <c r="S103" s="9"/>
      <c r="T103" s="9"/>
      <c r="U103" s="9"/>
      <c r="V103" s="9"/>
      <c r="W103" s="9"/>
      <c r="X103" s="23"/>
      <c r="Y103" s="34" t="s">
        <v>45</v>
      </c>
      <c r="Z103" s="34">
        <f>Z101</f>
      </c>
      <c r="AA103" s="9"/>
      <c r="AB103" s="9"/>
      <c r="AC103" s="9"/>
      <c r="AD103" s="9"/>
      <c r="AE103" s="9"/>
    </row>
    <row r="104" spans="2:36" x14ac:dyDescent="0.25">
      <c r="B104" s="4"/>
      <c r="E104" s="3"/>
      <c r="F104" s="3"/>
      <c r="G104" s="3"/>
      <c r="H104" s="3"/>
      <c r="L104" s="4"/>
      <c r="M104" s="4"/>
      <c r="N104" s="4"/>
      <c r="O104" s="4"/>
      <c r="Q104" s="9"/>
      <c r="R104" s="9"/>
      <c r="S104" s="9"/>
      <c r="T104" s="9"/>
      <c r="U104" s="9"/>
      <c r="V104" s="9"/>
      <c r="W104" s="9"/>
      <c r="X104" s="9"/>
      <c r="Y104" s="34"/>
      <c r="Z104" s="34"/>
      <c r="AA104" s="9"/>
      <c r="AB104" s="9"/>
      <c r="AC104" s="9"/>
      <c r="AD104" s="9"/>
      <c r="AE104" s="9"/>
      <c r="AF104" s="18"/>
    </row>
    <row r="105" spans="2:36" x14ac:dyDescent="0.25">
      <c r="B105" s="4"/>
      <c r="E105" s="3"/>
      <c r="F105" s="3"/>
      <c r="G105" s="3"/>
      <c r="H105" s="3"/>
      <c r="I105" s="19"/>
      <c r="L105" s="4"/>
      <c r="M105" s="4"/>
      <c r="N105" s="4"/>
      <c r="O105" s="20"/>
      <c r="Q105" s="20"/>
      <c r="R105" s="20"/>
      <c r="S105" s="20"/>
      <c r="T105" s="20"/>
      <c r="U105" s="20"/>
      <c r="V105" s="20"/>
      <c r="W105" s="20"/>
      <c r="X105" s="20"/>
      <c r="Y105" s="9"/>
      <c r="Z105" s="9"/>
      <c r="AA105" s="9"/>
      <c r="AB105" s="9"/>
      <c r="AC105" s="9"/>
      <c r="AD105" s="9"/>
      <c r="AE105" s="9"/>
      <c r="AF105" s="18"/>
    </row>
    <row r="106" spans="2:36" x14ac:dyDescent="0.25">
      <c r="B106" s="4"/>
      <c r="E106" s="3"/>
      <c r="F106" s="3"/>
      <c r="G106" s="3"/>
      <c r="H106" s="3"/>
      <c r="L106" s="4"/>
      <c r="M106" s="4"/>
      <c r="N106" s="4"/>
      <c r="O106" s="20"/>
      <c r="Q106" s="20"/>
      <c r="R106" s="20"/>
      <c r="S106" s="20"/>
      <c r="T106" s="20"/>
      <c r="U106" s="20"/>
      <c r="V106" s="20"/>
      <c r="W106" s="20"/>
      <c r="X106" s="20"/>
      <c r="Y106" s="9" t="s">
        <v>47</v>
      </c>
      <c r="Z106" s="9">
        <f>Z103-Z107</f>
      </c>
      <c r="AA106" s="9"/>
      <c r="AB106" s="9"/>
      <c r="AC106" s="9"/>
      <c r="AD106" s="9"/>
      <c r="AE106" s="9"/>
      <c r="AF106" s="18"/>
    </row>
    <row r="107" spans="2:36" x14ac:dyDescent="0.25">
      <c r="B107" s="4"/>
      <c r="E107" s="3"/>
      <c r="F107" s="3"/>
      <c r="G107" s="3"/>
      <c r="H107" s="3"/>
      <c r="L107" s="4"/>
      <c r="M107" s="4"/>
      <c r="N107" s="4"/>
      <c r="O107" s="4"/>
      <c r="Q107" s="9"/>
      <c r="R107" s="9"/>
      <c r="S107" s="9"/>
      <c r="T107" s="9"/>
      <c r="U107" s="9"/>
      <c r="V107" s="9"/>
      <c r="W107" s="9"/>
      <c r="X107" s="9"/>
      <c r="Y107" s="9" t="s">
        <v>48</v>
      </c>
      <c r="Z107" s="9"/>
      <c r="AA107" s="9"/>
      <c r="AB107" s="9"/>
      <c r="AC107" s="9"/>
      <c r="AD107" s="9"/>
      <c r="AE107" s="9"/>
      <c r="AF107" s="18"/>
    </row>
    <row r="108" spans="2:36" x14ac:dyDescent="0.25">
      <c r="F108" s="1"/>
      <c r="G108" s="1"/>
      <c r="H108" s="1"/>
      <c r="J108" s="1" t="s">
        <v>32</v>
      </c>
      <c r="Q108" s="9"/>
      <c r="R108" s="4"/>
      <c r="S108" s="9"/>
      <c r="T108" s="5"/>
      <c r="U108" s="9"/>
      <c r="V108" s="4"/>
      <c r="W108" s="4"/>
      <c r="X108" s="9"/>
      <c r="Y108" s="9"/>
      <c r="Z108" s="9"/>
      <c r="AA108" s="9"/>
      <c r="AB108" s="9"/>
      <c r="AC108" s="9"/>
      <c r="AD108" s="9"/>
      <c r="AE108" s="9"/>
    </row>
    <row r="109" spans="2:36" x14ac:dyDescent="0.25">
      <c r="R109" s="4"/>
      <c r="S109" s="17"/>
      <c r="T109" s="17"/>
      <c r="U109" s="9"/>
      <c r="V109" s="4"/>
      <c r="W109" s="4"/>
      <c r="X109" s="9"/>
      <c r="Y109" s="9" t="s">
        <v>49</v>
      </c>
      <c r="Z109" s="9">
        <f>Z103*0.3</f>
      </c>
      <c r="AA109" s="9"/>
      <c r="AB109" s="9"/>
      <c r="AC109" s="9"/>
      <c r="AD109" s="9"/>
      <c r="AE109" s="9"/>
    </row>
    <row r="110" spans="2:36" x14ac:dyDescent="0.25">
      <c r="Q110" s="9"/>
      <c r="R110" s="4"/>
      <c r="S110" s="16"/>
      <c r="T110" s="16"/>
      <c r="U110" s="9"/>
      <c r="V110" s="4"/>
      <c r="W110" s="4"/>
      <c r="X110" s="9"/>
      <c r="Y110" s="9" t="s">
        <v>51</v>
      </c>
      <c r="Z110" s="9">
        <f>Z107-Z109</f>
      </c>
      <c r="AA110" s="9"/>
      <c r="AB110" s="9"/>
      <c r="AC110" s="9"/>
      <c r="AD110" s="9"/>
      <c r="AE110" s="9"/>
    </row>
    <row r="111" spans="2:36" x14ac:dyDescent="0.25">
      <c r="R111" s="4"/>
      <c r="S111" s="16"/>
      <c r="T111" s="16"/>
      <c r="Y111" s="9" t="s">
        <v>50</v>
      </c>
      <c r="Z111" s="9">
        <f>Z103-Z109-Z110</f>
      </c>
      <c r="AA111" s="9"/>
      <c r="AB111" s="9"/>
      <c r="AC111" s="9"/>
      <c r="AD111" s="9"/>
      <c r="AE111" s="9"/>
    </row>
    <row r="112" spans="2:36" x14ac:dyDescent="0.25">
      <c r="T112" s="5"/>
      <c r="Y112" s="9"/>
      <c r="Z112" s="9"/>
      <c r="AA112" s="9"/>
      <c r="AB112" s="9"/>
      <c r="AC112" s="9"/>
      <c r="AD112" s="9"/>
      <c r="AE112" s="9"/>
    </row>
    <row r="113" spans="20:31" x14ac:dyDescent="0.25">
      <c r="T113" s="5"/>
      <c r="Y113" s="9"/>
      <c r="Z113" s="9"/>
      <c r="AA113" s="9"/>
      <c r="AB113" s="9"/>
      <c r="AC113" s="9"/>
      <c r="AD113" s="9"/>
      <c r="AE113" s="9"/>
    </row>
    <row r="114" spans="20:31" x14ac:dyDescent="0.25">
      <c r="T114" s="5"/>
      <c r="Y114" s="9"/>
      <c r="Z114" s="9"/>
      <c r="AA114" s="9"/>
      <c r="AB114" s="9"/>
      <c r="AC114" s="9"/>
      <c r="AD114" s="9"/>
      <c r="AE114" s="9"/>
    </row>
    <row r="115" spans="20:31" x14ac:dyDescent="0.25">
      <c r="T115" s="5"/>
      <c r="Y115" s="9"/>
      <c r="Z115" s="9"/>
      <c r="AA115" s="9"/>
      <c r="AB115" s="9"/>
      <c r="AC115" s="9"/>
      <c r="AD115" s="9"/>
      <c r="AE115" s="9"/>
    </row>
    <row r="116" spans="20:31" x14ac:dyDescent="0.25">
      <c r="T116" s="5"/>
      <c r="Y116" s="9"/>
      <c r="Z116" s="9"/>
      <c r="AA116" s="9"/>
      <c r="AB116" s="9"/>
      <c r="AC116" s="9"/>
      <c r="AD116" s="9"/>
      <c r="AE116" s="9"/>
    </row>
    <row r="117" spans="20:31" x14ac:dyDescent="0.25">
      <c r="T117" s="5"/>
      <c r="Y117" s="9"/>
      <c r="Z117" s="9"/>
      <c r="AA117" s="9"/>
      <c r="AB117" s="9"/>
      <c r="AC117" s="9"/>
      <c r="AD117" s="9"/>
      <c r="AE117" s="9"/>
    </row>
    <row r="118" spans="20:31" x14ac:dyDescent="0.25">
      <c r="T118" s="5"/>
      <c r="Y118" s="9"/>
      <c r="Z118" s="9"/>
      <c r="AA118" s="9"/>
      <c r="AB118" s="9"/>
      <c r="AC118" s="9"/>
      <c r="AD118" s="9"/>
      <c r="AE118" s="9"/>
    </row>
    <row r="119" spans="20:31" x14ac:dyDescent="0.25">
      <c r="T119" s="5"/>
      <c r="Y119" s="9"/>
      <c r="Z119" s="9"/>
      <c r="AA119" s="9"/>
      <c r="AB119" s="9"/>
      <c r="AC119" s="9"/>
      <c r="AD119" s="9"/>
      <c r="AE119" s="9"/>
    </row>
    <row r="120" spans="20:31" x14ac:dyDescent="0.25">
      <c r="T120" s="5"/>
    </row>
    <row r="121" spans="20:31" x14ac:dyDescent="0.25">
      <c r="T121" s="5"/>
    </row>
    <row r="122" spans="20:31" x14ac:dyDescent="0.25">
      <c r="T122" s="5"/>
    </row>
    <row r="123" spans="20:31" x14ac:dyDescent="0.25">
      <c r="T123" s="5"/>
    </row>
    <row r="124" spans="20:31" x14ac:dyDescent="0.25">
      <c r="T124" s="5"/>
    </row>
  </sheetData>
  <autoFilter ref="B6:AE101" xr:uid="{65FA6D9B-E0AF-46CD-BA0D-86BB75FE6AB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e2739-bd71-49a7-afc4-e179dfe94dc1">
      <Terms xmlns="http://schemas.microsoft.com/office/infopath/2007/PartnerControls"/>
    </lcf76f155ced4ddcb4097134ff3c332f>
    <TaxCatchAll xmlns="2b30070a-7262-4d8b-a938-b3248c6356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23EF72DA63D44FA2A28E00AC11E8EE" ma:contentTypeVersion="18" ma:contentTypeDescription="Opprett et nytt dokument." ma:contentTypeScope="" ma:versionID="0e7978918f7ba2b56dd79afad014a1ed">
  <xsd:schema xmlns:xsd="http://www.w3.org/2001/XMLSchema" xmlns:xs="http://www.w3.org/2001/XMLSchema" xmlns:p="http://schemas.microsoft.com/office/2006/metadata/properties" xmlns:ns2="9b6e2739-bd71-49a7-afc4-e179dfe94dc1" xmlns:ns3="2b30070a-7262-4d8b-a938-b3248c635664" targetNamespace="http://schemas.microsoft.com/office/2006/metadata/properties" ma:root="true" ma:fieldsID="c48e0c1802030b8740a8f4de73b33bbb" ns2:_="" ns3:_="">
    <xsd:import namespace="9b6e2739-bd71-49a7-afc4-e179dfe94dc1"/>
    <xsd:import namespace="2b30070a-7262-4d8b-a938-b3248c6356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e2739-bd71-49a7-afc4-e179dfe94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cfc72ce7-c435-4f97-944d-94ae49e3dc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70a-7262-4d8b-a938-b3248c63566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266e5a3-2fe4-433c-87fb-0dc58561f75a}" ma:internalName="TaxCatchAll" ma:showField="CatchAllData" ma:web="2b30070a-7262-4d8b-a938-b3248c6356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77E57D-ABDD-4DAE-B3A5-315ED7FE90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692FD7-DCDA-4048-8BCD-FC2D85C5421C}">
  <ds:schemaRefs>
    <ds:schemaRef ds:uri="http://schemas.microsoft.com/office/2006/metadata/properties"/>
    <ds:schemaRef ds:uri="http://schemas.microsoft.com/office/infopath/2007/PartnerControls"/>
    <ds:schemaRef ds:uri="9b6e2739-bd71-49a7-afc4-e179dfe94dc1"/>
    <ds:schemaRef ds:uri="2b30070a-7262-4d8b-a938-b3248c635664"/>
  </ds:schemaRefs>
</ds:datastoreItem>
</file>

<file path=customXml/itemProps3.xml><?xml version="1.0" encoding="utf-8"?>
<ds:datastoreItem xmlns:ds="http://schemas.openxmlformats.org/officeDocument/2006/customXml" ds:itemID="{B5583956-6198-441D-88CE-2DAC6C9CB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e2739-bd71-49a7-afc4-e179dfe94dc1"/>
    <ds:schemaRef ds:uri="2b30070a-7262-4d8b-a938-b3248c635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</vt:lpstr>
      <vt:lpstr>Kalk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Christer Andre Olsen</dc:creator>
  <cp:lastModifiedBy>Dennis Kålen</cp:lastModifiedBy>
  <dcterms:created xsi:type="dcterms:W3CDTF">2023-07-31T16:02:03Z</dcterms:created>
  <dcterms:modified xsi:type="dcterms:W3CDTF">2026-03-11T12:51:37Z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0x0101001123EF72DA63D44FA2A28E00AC11E8EE</vt:lpwstr>
  </property>
  <property fmtid="{D5CDD505-2E9C-101B-9397-08002B2CF9AE}" pid="3" name="MediaServiceImageTags">
    <vt:lpwstr/>
  </property>
</Properties>
</file>