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Kålen\Desktop\Standard Itineraries\Finland\"/>
    </mc:Choice>
  </mc:AlternateContent>
  <xr:revisionPtr revIDLastSave="0" documentId="13_ncr:1_{77740408-2D92-4DBD-A3AF-7861B79AD87A}" xr6:coauthVersionLast="47" xr6:coauthVersionMax="47" xr10:uidLastSave="{00000000-0000-0000-0000-000000000000}"/>
  <bookViews>
    <workbookView xWindow="-120" yWindow="-120" windowWidth="29040" windowHeight="15720" activeTab="12" xr2:uid="{F0120B8F-C750-4EFC-83CE-D7DAB56C8915}"/>
  </bookViews>
  <sheets>
    <sheet name="Curr" sheetId="5" r:id="rId1"/>
    <sheet name="Overview" sheetId="13" r:id="rId2"/>
    <sheet name="MAL" sheetId="17" r:id="rId3"/>
    <sheet name="101" sheetId="6" r:id="rId4"/>
    <sheet name="102" sheetId="7" r:id="rId5"/>
    <sheet name="103" sheetId="8" r:id="rId6"/>
    <sheet name="104" sheetId="9" r:id="rId7"/>
    <sheet name="105" sheetId="10" r:id="rId8"/>
    <sheet name="106" sheetId="11" r:id="rId9"/>
    <sheet name="107" sheetId="12" r:id="rId10"/>
    <sheet name="108" sheetId="14" r:id="rId11"/>
    <sheet name="109" sheetId="15" r:id="rId12"/>
    <sheet name="110" sheetId="19" r:id="rId13"/>
    <sheet name="111" sheetId="16" r:id="rId14"/>
    <sheet name="120" sheetId="18" r:id="rId15"/>
  </sheets>
  <externalReferences>
    <externalReference r:id="rId16"/>
  </externalReferences>
  <definedNames>
    <definedName name="_xlnm._FilterDatabase" localSheetId="3" hidden="1">'101'!$B$6:$AE$52</definedName>
    <definedName name="_xlnm._FilterDatabase" localSheetId="4" hidden="1">'102'!$B$6:$AE$58</definedName>
    <definedName name="_xlnm._FilterDatabase" localSheetId="5" hidden="1">'103'!$B$6:$AE$53</definedName>
    <definedName name="_xlnm._FilterDatabase" localSheetId="6" hidden="1">'104'!$B$6:$AE$62</definedName>
    <definedName name="_xlnm._FilterDatabase" localSheetId="7" hidden="1">'105'!$B$6:$AE$59</definedName>
    <definedName name="_xlnm._FilterDatabase" localSheetId="8" hidden="1">'106'!$B$6:$AE$57</definedName>
    <definedName name="_xlnm._FilterDatabase" localSheetId="9" hidden="1">'107'!$B$6:$AE$58</definedName>
    <definedName name="_xlnm._FilterDatabase" localSheetId="10" hidden="1">'108'!$B$6:$AE$56</definedName>
    <definedName name="_xlnm._FilterDatabase" localSheetId="11" hidden="1">'109'!$B$6:$AE$41</definedName>
    <definedName name="_xlnm._FilterDatabase" localSheetId="12" hidden="1">'110'!$B$6:$AE$39</definedName>
    <definedName name="_xlnm._FilterDatabase" localSheetId="13" hidden="1">'111'!$B$6:$AE$58</definedName>
    <definedName name="_xlnm._FilterDatabase" localSheetId="14" hidden="1">'120'!$B$6:$AE$31</definedName>
    <definedName name="_xlnm._FilterDatabase" localSheetId="2" hidden="1">MAL!$B$6:$AE$64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9" l="1"/>
  <c r="Y26" i="19"/>
  <c r="AC26" i="19" s="1"/>
  <c r="Y29" i="19"/>
  <c r="Z29" i="19" s="1"/>
  <c r="Y30" i="19"/>
  <c r="W30" i="19"/>
  <c r="S30" i="19"/>
  <c r="U30" i="19" s="1"/>
  <c r="X30" i="19" s="1"/>
  <c r="W29" i="19"/>
  <c r="S29" i="19"/>
  <c r="U29" i="19" s="1"/>
  <c r="X29" i="19" s="1"/>
  <c r="Y28" i="19"/>
  <c r="Z28" i="19" s="1"/>
  <c r="W28" i="19"/>
  <c r="U28" i="19"/>
  <c r="X28" i="19" s="1"/>
  <c r="S28" i="19"/>
  <c r="Y27" i="19"/>
  <c r="W27" i="19"/>
  <c r="U27" i="19"/>
  <c r="X27" i="19" s="1"/>
  <c r="S27" i="19"/>
  <c r="W26" i="19"/>
  <c r="Q26" i="19"/>
  <c r="S26" i="19" s="1"/>
  <c r="U26" i="19" s="1"/>
  <c r="X26" i="19" s="1"/>
  <c r="W25" i="19"/>
  <c r="U25" i="19"/>
  <c r="X25" i="19" s="1"/>
  <c r="S25" i="19"/>
  <c r="Y24" i="19"/>
  <c r="W24" i="19"/>
  <c r="U24" i="19"/>
  <c r="X24" i="19" s="1"/>
  <c r="S24" i="19"/>
  <c r="Y22" i="19"/>
  <c r="Z22" i="19" s="1"/>
  <c r="W22" i="19"/>
  <c r="S22" i="19"/>
  <c r="U22" i="19" s="1"/>
  <c r="X22" i="19" s="1"/>
  <c r="Y21" i="19"/>
  <c r="W21" i="19"/>
  <c r="S21" i="19"/>
  <c r="U21" i="19" s="1"/>
  <c r="X21" i="19" s="1"/>
  <c r="W17" i="19"/>
  <c r="Q17" i="19"/>
  <c r="Y17" i="19" s="1"/>
  <c r="Z17" i="19" s="1"/>
  <c r="Y19" i="19"/>
  <c r="W19" i="19"/>
  <c r="S19" i="19"/>
  <c r="U19" i="19" s="1"/>
  <c r="Y18" i="19"/>
  <c r="W18" i="19"/>
  <c r="U18" i="19"/>
  <c r="X18" i="19" s="1"/>
  <c r="S18" i="19"/>
  <c r="Y16" i="19"/>
  <c r="Z16" i="19" s="1"/>
  <c r="W16" i="19"/>
  <c r="S16" i="19"/>
  <c r="U16" i="19" s="1"/>
  <c r="X16" i="19" s="1"/>
  <c r="Y14" i="19"/>
  <c r="W14" i="19"/>
  <c r="S14" i="19"/>
  <c r="U14" i="19" s="1"/>
  <c r="Y13" i="19"/>
  <c r="Z13" i="19" s="1"/>
  <c r="W13" i="19"/>
  <c r="S13" i="19"/>
  <c r="U13" i="19" s="1"/>
  <c r="Y12" i="19"/>
  <c r="W12" i="19"/>
  <c r="S12" i="19"/>
  <c r="U12" i="19" s="1"/>
  <c r="AB37" i="19"/>
  <c r="Y37" i="19"/>
  <c r="W37" i="19"/>
  <c r="S37" i="19"/>
  <c r="U37" i="19" s="1"/>
  <c r="X37" i="19" s="1"/>
  <c r="AB36" i="19"/>
  <c r="Y36" i="19"/>
  <c r="Z36" i="19" s="1"/>
  <c r="W36" i="19"/>
  <c r="S36" i="19"/>
  <c r="U36" i="19" s="1"/>
  <c r="X36" i="19" s="1"/>
  <c r="AB35" i="19"/>
  <c r="Y35" i="19"/>
  <c r="Z35" i="19" s="1"/>
  <c r="W35" i="19"/>
  <c r="S35" i="19"/>
  <c r="U35" i="19" s="1"/>
  <c r="AB34" i="19"/>
  <c r="Y34" i="19"/>
  <c r="AC34" i="19" s="1"/>
  <c r="W34" i="19"/>
  <c r="S34" i="19"/>
  <c r="U34" i="19" s="1"/>
  <c r="X34" i="19" s="1"/>
  <c r="AB33" i="19"/>
  <c r="Y33" i="19"/>
  <c r="W33" i="19"/>
  <c r="S33" i="19"/>
  <c r="U33" i="19" s="1"/>
  <c r="AB32" i="19"/>
  <c r="Y32" i="19"/>
  <c r="Z32" i="19" s="1"/>
  <c r="W32" i="19"/>
  <c r="S32" i="19"/>
  <c r="U32" i="19" s="1"/>
  <c r="X32" i="19" s="1"/>
  <c r="AB31" i="19"/>
  <c r="Y31" i="19"/>
  <c r="Z31" i="19" s="1"/>
  <c r="W31" i="19"/>
  <c r="S31" i="19"/>
  <c r="U31" i="19" s="1"/>
  <c r="AB30" i="19"/>
  <c r="AC30" i="19"/>
  <c r="AB29" i="19"/>
  <c r="AB28" i="19"/>
  <c r="AB27" i="19"/>
  <c r="Z27" i="19"/>
  <c r="AB26" i="19"/>
  <c r="AB25" i="19"/>
  <c r="AB24" i="19"/>
  <c r="Z24" i="19"/>
  <c r="AB23" i="19"/>
  <c r="Y23" i="19"/>
  <c r="Z23" i="19" s="1"/>
  <c r="W23" i="19"/>
  <c r="S23" i="19"/>
  <c r="U23" i="19" s="1"/>
  <c r="AB22" i="19"/>
  <c r="AB21" i="19"/>
  <c r="Z21" i="19"/>
  <c r="AB20" i="19"/>
  <c r="Y20" i="19"/>
  <c r="Z20" i="19" s="1"/>
  <c r="W20" i="19"/>
  <c r="S20" i="19"/>
  <c r="U20" i="19" s="1"/>
  <c r="AB19" i="19"/>
  <c r="AC19" i="19" s="1"/>
  <c r="AB18" i="19"/>
  <c r="AB17" i="19"/>
  <c r="AB16" i="19"/>
  <c r="AB15" i="19"/>
  <c r="Y15" i="19"/>
  <c r="AC15" i="19" s="1"/>
  <c r="W15" i="19"/>
  <c r="S15" i="19"/>
  <c r="U15" i="19" s="1"/>
  <c r="X15" i="19" s="1"/>
  <c r="AB14" i="19"/>
  <c r="AC14" i="19" s="1"/>
  <c r="Z14" i="19"/>
  <c r="AB13" i="19"/>
  <c r="AB12" i="19"/>
  <c r="AB11" i="19"/>
  <c r="Y11" i="19"/>
  <c r="W11" i="19"/>
  <c r="S11" i="19"/>
  <c r="U11" i="19" s="1"/>
  <c r="Z56" i="19"/>
  <c r="Z55" i="19"/>
  <c r="Z54" i="19"/>
  <c r="Z49" i="19"/>
  <c r="Z50" i="19" s="1"/>
  <c r="Z46" i="19"/>
  <c r="Z44" i="19"/>
  <c r="AJ39" i="19"/>
  <c r="AI39" i="19"/>
  <c r="AH39" i="19"/>
  <c r="AG39" i="19"/>
  <c r="AF39" i="19"/>
  <c r="AB10" i="19"/>
  <c r="Y10" i="19"/>
  <c r="Z10" i="19" s="1"/>
  <c r="W10" i="19"/>
  <c r="S10" i="19"/>
  <c r="U10" i="19" s="1"/>
  <c r="AB9" i="19"/>
  <c r="Y9" i="19"/>
  <c r="W9" i="19"/>
  <c r="S9" i="19"/>
  <c r="U9" i="19" s="1"/>
  <c r="AB8" i="19"/>
  <c r="Y8" i="19"/>
  <c r="AC8" i="19" s="1"/>
  <c r="W8" i="19"/>
  <c r="S8" i="19"/>
  <c r="U8" i="19" s="1"/>
  <c r="AB7" i="19"/>
  <c r="Y7" i="19"/>
  <c r="W7" i="19"/>
  <c r="S7" i="19"/>
  <c r="U7" i="19" s="1"/>
  <c r="X7" i="19" s="1"/>
  <c r="Y9" i="18"/>
  <c r="Q22" i="18"/>
  <c r="Y8" i="18"/>
  <c r="Y18" i="18"/>
  <c r="Y12" i="18"/>
  <c r="Y15" i="18"/>
  <c r="Q15" i="18"/>
  <c r="X19" i="19" l="1"/>
  <c r="AC7" i="19"/>
  <c r="AC9" i="19"/>
  <c r="S17" i="19"/>
  <c r="U17" i="19" s="1"/>
  <c r="X17" i="19" s="1"/>
  <c r="AD19" i="19"/>
  <c r="AE19" i="19" s="1"/>
  <c r="AD26" i="19"/>
  <c r="AE26" i="19" s="1"/>
  <c r="AD30" i="19"/>
  <c r="AE30" i="19" s="1"/>
  <c r="AD34" i="19"/>
  <c r="AE34" i="19" s="1"/>
  <c r="Z7" i="19"/>
  <c r="X9" i="19"/>
  <c r="AC17" i="19"/>
  <c r="AC21" i="19"/>
  <c r="AD21" i="19" s="1"/>
  <c r="AE21" i="19" s="1"/>
  <c r="AC24" i="19"/>
  <c r="AD24" i="19" s="1"/>
  <c r="AE24" i="19" s="1"/>
  <c r="AC28" i="19"/>
  <c r="AD28" i="19" s="1"/>
  <c r="AE28" i="19" s="1"/>
  <c r="AC32" i="19"/>
  <c r="AD32" i="19" s="1"/>
  <c r="AE32" i="19" s="1"/>
  <c r="AC36" i="19"/>
  <c r="AD36" i="19" s="1"/>
  <c r="AE36" i="19" s="1"/>
  <c r="AC12" i="19"/>
  <c r="AD15" i="19"/>
  <c r="AE15" i="19" s="1"/>
  <c r="X20" i="19"/>
  <c r="X23" i="19"/>
  <c r="X31" i="19"/>
  <c r="X33" i="19"/>
  <c r="X35" i="19"/>
  <c r="X13" i="19"/>
  <c r="X8" i="19"/>
  <c r="AD8" i="19" s="1"/>
  <c r="AE8" i="19" s="1"/>
  <c r="AC18" i="19"/>
  <c r="AD18" i="19" s="1"/>
  <c r="AE18" i="19" s="1"/>
  <c r="AC25" i="19"/>
  <c r="AC33" i="19"/>
  <c r="X10" i="19"/>
  <c r="X11" i="19"/>
  <c r="AC37" i="19"/>
  <c r="AD37" i="19" s="1"/>
  <c r="AE37" i="19" s="1"/>
  <c r="X14" i="19"/>
  <c r="AD14" i="19" s="1"/>
  <c r="AE14" i="19" s="1"/>
  <c r="Z8" i="19"/>
  <c r="AC11" i="19"/>
  <c r="X12" i="19"/>
  <c r="AD12" i="19"/>
  <c r="AE12" i="19" s="1"/>
  <c r="AD9" i="19"/>
  <c r="AE9" i="19" s="1"/>
  <c r="AD25" i="19"/>
  <c r="AE25" i="19" s="1"/>
  <c r="AC10" i="19"/>
  <c r="AC13" i="19"/>
  <c r="AC16" i="19"/>
  <c r="AD16" i="19" s="1"/>
  <c r="AE16" i="19" s="1"/>
  <c r="AC20" i="19"/>
  <c r="AC23" i="19"/>
  <c r="AD23" i="19" s="1"/>
  <c r="AE23" i="19" s="1"/>
  <c r="AC27" i="19"/>
  <c r="AD27" i="19" s="1"/>
  <c r="AE27" i="19" s="1"/>
  <c r="AC31" i="19"/>
  <c r="AC35" i="19"/>
  <c r="Z18" i="19"/>
  <c r="Z11" i="19"/>
  <c r="Z25" i="19"/>
  <c r="Z33" i="19"/>
  <c r="Z37" i="19"/>
  <c r="Z12" i="19"/>
  <c r="Z15" i="19"/>
  <c r="Z19" i="19"/>
  <c r="AC22" i="19"/>
  <c r="Z26" i="19"/>
  <c r="AC29" i="19"/>
  <c r="Z30" i="19"/>
  <c r="Z34" i="19"/>
  <c r="AD7" i="19"/>
  <c r="Z9" i="19"/>
  <c r="W8" i="18"/>
  <c r="S8" i="18"/>
  <c r="U8" i="18" s="1"/>
  <c r="S11" i="18"/>
  <c r="U11" i="18" s="1"/>
  <c r="Z47" i="18"/>
  <c r="Z46" i="18"/>
  <c r="Z45" i="18"/>
  <c r="Z36" i="18"/>
  <c r="AJ31" i="18"/>
  <c r="AI31" i="18"/>
  <c r="AH31" i="18"/>
  <c r="AG31" i="18"/>
  <c r="AF31" i="18"/>
  <c r="AB29" i="18"/>
  <c r="Y29" i="18"/>
  <c r="Z29" i="18" s="1"/>
  <c r="W29" i="18"/>
  <c r="S29" i="18"/>
  <c r="U29" i="18" s="1"/>
  <c r="AB28" i="18"/>
  <c r="Y28" i="18"/>
  <c r="Z28" i="18" s="1"/>
  <c r="W28" i="18"/>
  <c r="S28" i="18"/>
  <c r="U28" i="18" s="1"/>
  <c r="X28" i="18" s="1"/>
  <c r="AB27" i="18"/>
  <c r="Y27" i="18"/>
  <c r="W27" i="18"/>
  <c r="S27" i="18"/>
  <c r="U27" i="18" s="1"/>
  <c r="AC26" i="18"/>
  <c r="AB26" i="18"/>
  <c r="Y26" i="18"/>
  <c r="Z26" i="18" s="1"/>
  <c r="X26" i="18"/>
  <c r="W26" i="18"/>
  <c r="S26" i="18"/>
  <c r="U26" i="18" s="1"/>
  <c r="AB25" i="18"/>
  <c r="Y25" i="18"/>
  <c r="Z25" i="18" s="1"/>
  <c r="W25" i="18"/>
  <c r="S25" i="18"/>
  <c r="U25" i="18" s="1"/>
  <c r="X25" i="18" s="1"/>
  <c r="AB24" i="18"/>
  <c r="Y24" i="18"/>
  <c r="Z24" i="18" s="1"/>
  <c r="W24" i="18"/>
  <c r="S24" i="18"/>
  <c r="U24" i="18" s="1"/>
  <c r="X24" i="18" s="1"/>
  <c r="AB23" i="18"/>
  <c r="Y23" i="18"/>
  <c r="AC23" i="18" s="1"/>
  <c r="W23" i="18"/>
  <c r="S23" i="18"/>
  <c r="U23" i="18" s="1"/>
  <c r="AB22" i="18"/>
  <c r="Y22" i="18"/>
  <c r="Z22" i="18" s="1"/>
  <c r="W22" i="18"/>
  <c r="S22" i="18"/>
  <c r="U22" i="18" s="1"/>
  <c r="AB21" i="18"/>
  <c r="Z21" i="18"/>
  <c r="Y21" i="18"/>
  <c r="W21" i="18"/>
  <c r="U21" i="18"/>
  <c r="X21" i="18" s="1"/>
  <c r="S21" i="18"/>
  <c r="AB20" i="18"/>
  <c r="Y20" i="18"/>
  <c r="Z20" i="18" s="1"/>
  <c r="W20" i="18"/>
  <c r="S20" i="18"/>
  <c r="U20" i="18" s="1"/>
  <c r="AB19" i="18"/>
  <c r="Z19" i="18"/>
  <c r="Y19" i="18"/>
  <c r="W19" i="18"/>
  <c r="S19" i="18"/>
  <c r="U19" i="18" s="1"/>
  <c r="X19" i="18" s="1"/>
  <c r="AB18" i="18"/>
  <c r="AC18" i="18" s="1"/>
  <c r="Z18" i="18"/>
  <c r="W18" i="18"/>
  <c r="S18" i="18"/>
  <c r="U18" i="18" s="1"/>
  <c r="X18" i="18" s="1"/>
  <c r="AB17" i="18"/>
  <c r="Y17" i="18"/>
  <c r="Z17" i="18" s="1"/>
  <c r="W17" i="18"/>
  <c r="S17" i="18"/>
  <c r="U17" i="18" s="1"/>
  <c r="AB16" i="18"/>
  <c r="AC16" i="18" s="1"/>
  <c r="Y16" i="18"/>
  <c r="Z16" i="18" s="1"/>
  <c r="W16" i="18"/>
  <c r="S16" i="18"/>
  <c r="U16" i="18" s="1"/>
  <c r="X16" i="18" s="1"/>
  <c r="AB15" i="18"/>
  <c r="AC15" i="18" s="1"/>
  <c r="W15" i="18"/>
  <c r="S15" i="18"/>
  <c r="U15" i="18" s="1"/>
  <c r="AB14" i="18"/>
  <c r="Y14" i="18"/>
  <c r="Z14" i="18" s="1"/>
  <c r="W14" i="18"/>
  <c r="S14" i="18"/>
  <c r="U14" i="18" s="1"/>
  <c r="AB13" i="18"/>
  <c r="Y13" i="18"/>
  <c r="Z13" i="18" s="1"/>
  <c r="W13" i="18"/>
  <c r="U13" i="18"/>
  <c r="X13" i="18" s="1"/>
  <c r="S13" i="18"/>
  <c r="AB12" i="18"/>
  <c r="Z12" i="18"/>
  <c r="W12" i="18"/>
  <c r="S12" i="18"/>
  <c r="U12" i="18" s="1"/>
  <c r="AB11" i="18"/>
  <c r="Y11" i="18"/>
  <c r="W11" i="18"/>
  <c r="AB10" i="18"/>
  <c r="Y10" i="18"/>
  <c r="Z10" i="18" s="1"/>
  <c r="W10" i="18"/>
  <c r="S10" i="18"/>
  <c r="U10" i="18" s="1"/>
  <c r="X10" i="18" s="1"/>
  <c r="AB9" i="18"/>
  <c r="Z9" i="18"/>
  <c r="W9" i="18"/>
  <c r="S9" i="18"/>
  <c r="U9" i="18" s="1"/>
  <c r="X9" i="18" s="1"/>
  <c r="AB8" i="18"/>
  <c r="AC8" i="18" s="1"/>
  <c r="Z8" i="18"/>
  <c r="AB7" i="18"/>
  <c r="Z7" i="18"/>
  <c r="Y7" i="18"/>
  <c r="W7" i="18"/>
  <c r="U7" i="18"/>
  <c r="S7" i="18"/>
  <c r="AB60" i="17"/>
  <c r="Z60" i="17"/>
  <c r="Y60" i="17"/>
  <c r="AC60" i="17" s="1"/>
  <c r="AD60" i="17" s="1"/>
  <c r="AE60" i="17" s="1"/>
  <c r="X60" i="17"/>
  <c r="W60" i="17"/>
  <c r="U60" i="17"/>
  <c r="S60" i="17"/>
  <c r="AB59" i="17"/>
  <c r="Z59" i="17"/>
  <c r="Y59" i="17"/>
  <c r="AC59" i="17" s="1"/>
  <c r="W59" i="17"/>
  <c r="S59" i="17"/>
  <c r="U59" i="17" s="1"/>
  <c r="X59" i="17" s="1"/>
  <c r="AC58" i="17"/>
  <c r="AB58" i="17"/>
  <c r="Y58" i="17"/>
  <c r="Z58" i="17" s="1"/>
  <c r="W58" i="17"/>
  <c r="S58" i="17"/>
  <c r="U58" i="17" s="1"/>
  <c r="X58" i="17" s="1"/>
  <c r="AB57" i="17"/>
  <c r="Y57" i="17"/>
  <c r="AC57" i="17" s="1"/>
  <c r="AD57" i="17" s="1"/>
  <c r="AE57" i="17" s="1"/>
  <c r="W57" i="17"/>
  <c r="U57" i="17"/>
  <c r="X57" i="17" s="1"/>
  <c r="S57" i="17"/>
  <c r="AB56" i="17"/>
  <c r="Y56" i="17"/>
  <c r="AC56" i="17" s="1"/>
  <c r="AD56" i="17" s="1"/>
  <c r="AE56" i="17" s="1"/>
  <c r="W56" i="17"/>
  <c r="S56" i="17"/>
  <c r="U56" i="17" s="1"/>
  <c r="X56" i="17" s="1"/>
  <c r="AB55" i="17"/>
  <c r="Z55" i="17"/>
  <c r="Y55" i="17"/>
  <c r="AC55" i="17" s="1"/>
  <c r="W55" i="17"/>
  <c r="S55" i="17"/>
  <c r="U55" i="17" s="1"/>
  <c r="X55" i="17" s="1"/>
  <c r="AC54" i="17"/>
  <c r="AD54" i="17" s="1"/>
  <c r="AE54" i="17" s="1"/>
  <c r="AB54" i="17"/>
  <c r="Y54" i="17"/>
  <c r="Z54" i="17" s="1"/>
  <c r="W54" i="17"/>
  <c r="S54" i="17"/>
  <c r="U54" i="17" s="1"/>
  <c r="X54" i="17" s="1"/>
  <c r="AB53" i="17"/>
  <c r="Y53" i="17"/>
  <c r="AC53" i="17" s="1"/>
  <c r="AD53" i="17" s="1"/>
  <c r="AE53" i="17" s="1"/>
  <c r="W53" i="17"/>
  <c r="U53" i="17"/>
  <c r="X53" i="17" s="1"/>
  <c r="S53" i="17"/>
  <c r="AB52" i="17"/>
  <c r="Y52" i="17"/>
  <c r="AC52" i="17" s="1"/>
  <c r="AD52" i="17" s="1"/>
  <c r="AE52" i="17" s="1"/>
  <c r="W52" i="17"/>
  <c r="S52" i="17"/>
  <c r="U52" i="17" s="1"/>
  <c r="X52" i="17" s="1"/>
  <c r="AB51" i="17"/>
  <c r="Z51" i="17"/>
  <c r="Y51" i="17"/>
  <c r="AC51" i="17" s="1"/>
  <c r="AD51" i="17" s="1"/>
  <c r="AE51" i="17" s="1"/>
  <c r="W51" i="17"/>
  <c r="S51" i="17"/>
  <c r="U51" i="17" s="1"/>
  <c r="X51" i="17" s="1"/>
  <c r="AC50" i="17"/>
  <c r="AB50" i="17"/>
  <c r="Y50" i="17"/>
  <c r="Z50" i="17" s="1"/>
  <c r="W50" i="17"/>
  <c r="S50" i="17"/>
  <c r="U50" i="17" s="1"/>
  <c r="X50" i="17" s="1"/>
  <c r="AB49" i="17"/>
  <c r="Y49" i="17"/>
  <c r="AC49" i="17" s="1"/>
  <c r="W49" i="17"/>
  <c r="U49" i="17"/>
  <c r="X49" i="17" s="1"/>
  <c r="S49" i="17"/>
  <c r="AB62" i="17"/>
  <c r="Y62" i="17"/>
  <c r="W62" i="17"/>
  <c r="S62" i="17"/>
  <c r="U62" i="17" s="1"/>
  <c r="AB61" i="17"/>
  <c r="Y61" i="17"/>
  <c r="W61" i="17"/>
  <c r="S61" i="17"/>
  <c r="U61" i="17" s="1"/>
  <c r="AB48" i="17"/>
  <c r="Y48" i="17"/>
  <c r="Z48" i="17" s="1"/>
  <c r="W48" i="17"/>
  <c r="S48" i="17"/>
  <c r="U48" i="17" s="1"/>
  <c r="AB47" i="17"/>
  <c r="Y47" i="17"/>
  <c r="W47" i="17"/>
  <c r="S47" i="17"/>
  <c r="U47" i="17" s="1"/>
  <c r="AB46" i="17"/>
  <c r="Y46" i="17"/>
  <c r="W46" i="17"/>
  <c r="S46" i="17"/>
  <c r="U46" i="17" s="1"/>
  <c r="AB45" i="17"/>
  <c r="Y45" i="17"/>
  <c r="Z45" i="17" s="1"/>
  <c r="W45" i="17"/>
  <c r="S45" i="17"/>
  <c r="U45" i="17" s="1"/>
  <c r="AB44" i="17"/>
  <c r="Y44" i="17"/>
  <c r="Z44" i="17" s="1"/>
  <c r="W44" i="17"/>
  <c r="S44" i="17"/>
  <c r="U44" i="17" s="1"/>
  <c r="AB43" i="17"/>
  <c r="Y43" i="17"/>
  <c r="W43" i="17"/>
  <c r="S43" i="17"/>
  <c r="U43" i="17" s="1"/>
  <c r="AB42" i="17"/>
  <c r="Y42" i="17"/>
  <c r="W42" i="17"/>
  <c r="S42" i="17"/>
  <c r="U42" i="17" s="1"/>
  <c r="AB41" i="17"/>
  <c r="Y41" i="17"/>
  <c r="Z41" i="17" s="1"/>
  <c r="W41" i="17"/>
  <c r="S41" i="17"/>
  <c r="U41" i="17" s="1"/>
  <c r="AB40" i="17"/>
  <c r="Y40" i="17"/>
  <c r="Z40" i="17" s="1"/>
  <c r="W40" i="17"/>
  <c r="S40" i="17"/>
  <c r="U40" i="17" s="1"/>
  <c r="AB39" i="17"/>
  <c r="Y39" i="17"/>
  <c r="W39" i="17"/>
  <c r="S39" i="17"/>
  <c r="U39" i="17" s="1"/>
  <c r="AB38" i="17"/>
  <c r="Y38" i="17"/>
  <c r="W38" i="17"/>
  <c r="S38" i="17"/>
  <c r="U38" i="17" s="1"/>
  <c r="AB37" i="17"/>
  <c r="Y37" i="17"/>
  <c r="Z37" i="17" s="1"/>
  <c r="W37" i="17"/>
  <c r="S37" i="17"/>
  <c r="U37" i="17" s="1"/>
  <c r="AB36" i="17"/>
  <c r="Y36" i="17"/>
  <c r="Z36" i="17" s="1"/>
  <c r="W36" i="17"/>
  <c r="S36" i="17"/>
  <c r="U36" i="17" s="1"/>
  <c r="AB35" i="17"/>
  <c r="Y35" i="17"/>
  <c r="W35" i="17"/>
  <c r="S35" i="17"/>
  <c r="U35" i="17" s="1"/>
  <c r="AB34" i="17"/>
  <c r="Y34" i="17"/>
  <c r="W34" i="17"/>
  <c r="S34" i="17"/>
  <c r="U34" i="17" s="1"/>
  <c r="AB33" i="17"/>
  <c r="Y33" i="17"/>
  <c r="Z33" i="17" s="1"/>
  <c r="W33" i="17"/>
  <c r="S33" i="17"/>
  <c r="U33" i="17" s="1"/>
  <c r="AB32" i="17"/>
  <c r="Y32" i="17"/>
  <c r="Z32" i="17" s="1"/>
  <c r="W32" i="17"/>
  <c r="S32" i="17"/>
  <c r="U32" i="17" s="1"/>
  <c r="AB31" i="17"/>
  <c r="Y31" i="17"/>
  <c r="W31" i="17"/>
  <c r="S31" i="17"/>
  <c r="U31" i="17" s="1"/>
  <c r="AB30" i="17"/>
  <c r="Y30" i="17"/>
  <c r="W30" i="17"/>
  <c r="S30" i="17"/>
  <c r="U30" i="17" s="1"/>
  <c r="AB29" i="17"/>
  <c r="Y29" i="17"/>
  <c r="W29" i="17"/>
  <c r="S29" i="17"/>
  <c r="U29" i="17" s="1"/>
  <c r="AB28" i="17"/>
  <c r="Y28" i="17"/>
  <c r="Z28" i="17" s="1"/>
  <c r="W28" i="17"/>
  <c r="S28" i="17"/>
  <c r="U28" i="17" s="1"/>
  <c r="AB27" i="17"/>
  <c r="Y27" i="17"/>
  <c r="W27" i="17"/>
  <c r="S27" i="17"/>
  <c r="U27" i="17" s="1"/>
  <c r="AB26" i="17"/>
  <c r="Y26" i="17"/>
  <c r="W26" i="17"/>
  <c r="S26" i="17"/>
  <c r="U26" i="17" s="1"/>
  <c r="AB25" i="17"/>
  <c r="Y25" i="17"/>
  <c r="Z25" i="17" s="1"/>
  <c r="W25" i="17"/>
  <c r="S25" i="17"/>
  <c r="U25" i="17" s="1"/>
  <c r="AB24" i="17"/>
  <c r="Y24" i="17"/>
  <c r="Z24" i="17" s="1"/>
  <c r="W24" i="17"/>
  <c r="S24" i="17"/>
  <c r="U24" i="17" s="1"/>
  <c r="AB23" i="17"/>
  <c r="Y23" i="17"/>
  <c r="W23" i="17"/>
  <c r="S23" i="17"/>
  <c r="U23" i="17" s="1"/>
  <c r="AB22" i="17"/>
  <c r="Y22" i="17"/>
  <c r="W22" i="17"/>
  <c r="S22" i="17"/>
  <c r="U22" i="17" s="1"/>
  <c r="AB21" i="17"/>
  <c r="Y21" i="17"/>
  <c r="Z21" i="17" s="1"/>
  <c r="W21" i="17"/>
  <c r="S21" i="17"/>
  <c r="U21" i="17" s="1"/>
  <c r="AB20" i="17"/>
  <c r="Y20" i="17"/>
  <c r="Z20" i="17" s="1"/>
  <c r="W20" i="17"/>
  <c r="S20" i="17"/>
  <c r="U20" i="17" s="1"/>
  <c r="AB19" i="17"/>
  <c r="Y19" i="17"/>
  <c r="W19" i="17"/>
  <c r="S19" i="17"/>
  <c r="U19" i="17" s="1"/>
  <c r="AB18" i="17"/>
  <c r="Y18" i="17"/>
  <c r="W18" i="17"/>
  <c r="S18" i="17"/>
  <c r="U18" i="17" s="1"/>
  <c r="AB17" i="17"/>
  <c r="Y17" i="17"/>
  <c r="W17" i="17"/>
  <c r="S17" i="17"/>
  <c r="U17" i="17" s="1"/>
  <c r="AB16" i="17"/>
  <c r="Y16" i="17"/>
  <c r="Z16" i="17" s="1"/>
  <c r="W16" i="17"/>
  <c r="S16" i="17"/>
  <c r="U16" i="17" s="1"/>
  <c r="AB15" i="17"/>
  <c r="Y15" i="17"/>
  <c r="W15" i="17"/>
  <c r="S15" i="17"/>
  <c r="U15" i="17" s="1"/>
  <c r="AB14" i="17"/>
  <c r="Y14" i="17"/>
  <c r="W14" i="17"/>
  <c r="S14" i="17"/>
  <c r="U14" i="17" s="1"/>
  <c r="AB13" i="17"/>
  <c r="Y13" i="17"/>
  <c r="Z13" i="17" s="1"/>
  <c r="W13" i="17"/>
  <c r="S13" i="17"/>
  <c r="U13" i="17" s="1"/>
  <c r="AB12" i="17"/>
  <c r="Y12" i="17"/>
  <c r="Z12" i="17" s="1"/>
  <c r="W12" i="17"/>
  <c r="S12" i="17"/>
  <c r="U12" i="17" s="1"/>
  <c r="AB11" i="17"/>
  <c r="Y11" i="17"/>
  <c r="W11" i="17"/>
  <c r="S11" i="17"/>
  <c r="U11" i="17" s="1"/>
  <c r="AB10" i="17"/>
  <c r="Y10" i="17"/>
  <c r="W10" i="17"/>
  <c r="S10" i="17"/>
  <c r="U10" i="17" s="1"/>
  <c r="AB9" i="17"/>
  <c r="Y9" i="17"/>
  <c r="Z9" i="17" s="1"/>
  <c r="W9" i="17"/>
  <c r="S9" i="17"/>
  <c r="U9" i="17" s="1"/>
  <c r="AB8" i="17"/>
  <c r="Y8" i="17"/>
  <c r="Z8" i="17" s="1"/>
  <c r="W8" i="17"/>
  <c r="S8" i="17"/>
  <c r="U8" i="17" s="1"/>
  <c r="Z80" i="17"/>
  <c r="Z79" i="17"/>
  <c r="Z78" i="17"/>
  <c r="Z75" i="17"/>
  <c r="Z71" i="17"/>
  <c r="Z69" i="17"/>
  <c r="AJ64" i="17"/>
  <c r="AI64" i="17"/>
  <c r="AH64" i="17"/>
  <c r="AG64" i="17"/>
  <c r="AF64" i="17"/>
  <c r="AB7" i="17"/>
  <c r="Y7" i="17"/>
  <c r="Z7" i="17" s="1"/>
  <c r="W7" i="17"/>
  <c r="S7" i="17"/>
  <c r="U7" i="17" s="1"/>
  <c r="Y32" i="15"/>
  <c r="Y31" i="15"/>
  <c r="Y26" i="15"/>
  <c r="Y18" i="15"/>
  <c r="Y15" i="15"/>
  <c r="Q17" i="14"/>
  <c r="Y34" i="12"/>
  <c r="Y17" i="12"/>
  <c r="Y14" i="12"/>
  <c r="Y9" i="12"/>
  <c r="Y25" i="12"/>
  <c r="Y33" i="11"/>
  <c r="Y25" i="11"/>
  <c r="Y17" i="11"/>
  <c r="Y14" i="11"/>
  <c r="Y9" i="11"/>
  <c r="Y35" i="10"/>
  <c r="Y34" i="10"/>
  <c r="Y24" i="10"/>
  <c r="Y17" i="10"/>
  <c r="Y14" i="10"/>
  <c r="Y9" i="10"/>
  <c r="Y18" i="9"/>
  <c r="Y17" i="9"/>
  <c r="Y35" i="9"/>
  <c r="Y24" i="9"/>
  <c r="Y14" i="9"/>
  <c r="Y9" i="9"/>
  <c r="Y24" i="8"/>
  <c r="Y9" i="8"/>
  <c r="Y14" i="8"/>
  <c r="Y17" i="8"/>
  <c r="Y31" i="7"/>
  <c r="Y17" i="7"/>
  <c r="Y14" i="7"/>
  <c r="Y9" i="7"/>
  <c r="Q31" i="15"/>
  <c r="Q34" i="10"/>
  <c r="Q18" i="15"/>
  <c r="Q17" i="12"/>
  <c r="Q17" i="11"/>
  <c r="Q24" i="10"/>
  <c r="Q24" i="9"/>
  <c r="Q24" i="8"/>
  <c r="Q17" i="7"/>
  <c r="Z75" i="16"/>
  <c r="Z74" i="16"/>
  <c r="Z73" i="16"/>
  <c r="Z58" i="15"/>
  <c r="Z57" i="15"/>
  <c r="Z56" i="15"/>
  <c r="Z73" i="14"/>
  <c r="Z72" i="14"/>
  <c r="Z71" i="14"/>
  <c r="Z75" i="12"/>
  <c r="Z74" i="12"/>
  <c r="Z73" i="12"/>
  <c r="Z74" i="11"/>
  <c r="Z73" i="11"/>
  <c r="Z72" i="11"/>
  <c r="Z76" i="10"/>
  <c r="Z75" i="10"/>
  <c r="Z74" i="10"/>
  <c r="Z79" i="9"/>
  <c r="Z78" i="9"/>
  <c r="Z77" i="9"/>
  <c r="Z70" i="8"/>
  <c r="Z69" i="8"/>
  <c r="Z68" i="8"/>
  <c r="Z75" i="7"/>
  <c r="Z74" i="7"/>
  <c r="Z73" i="7"/>
  <c r="Z68" i="6"/>
  <c r="Z67" i="6"/>
  <c r="Z66" i="6"/>
  <c r="Q30" i="6"/>
  <c r="Y30" i="6" s="1"/>
  <c r="Q17" i="6"/>
  <c r="Y17" i="6" s="1"/>
  <c r="Y33" i="6"/>
  <c r="Y31" i="6"/>
  <c r="Y9" i="6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54" i="14"/>
  <c r="W53" i="14"/>
  <c r="W52" i="14"/>
  <c r="W51" i="14"/>
  <c r="W50" i="14"/>
  <c r="W49" i="14"/>
  <c r="W48" i="14"/>
  <c r="W47" i="14"/>
  <c r="W46" i="14"/>
  <c r="W45" i="14"/>
  <c r="W44" i="14"/>
  <c r="W43" i="14"/>
  <c r="W42" i="14"/>
  <c r="W41" i="14"/>
  <c r="W40" i="14"/>
  <c r="W39" i="14"/>
  <c r="W38" i="14"/>
  <c r="W37" i="14"/>
  <c r="W36" i="14"/>
  <c r="W35" i="14"/>
  <c r="W34" i="14"/>
  <c r="W33" i="14"/>
  <c r="W32" i="14"/>
  <c r="W31" i="14"/>
  <c r="W30" i="14"/>
  <c r="W29" i="14"/>
  <c r="W28" i="14"/>
  <c r="W27" i="14"/>
  <c r="W26" i="14"/>
  <c r="W25" i="14"/>
  <c r="W24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W11" i="14"/>
  <c r="W10" i="14"/>
  <c r="W9" i="14"/>
  <c r="W8" i="14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55" i="11"/>
  <c r="W54" i="11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57" i="10"/>
  <c r="W56" i="10"/>
  <c r="W55" i="10"/>
  <c r="W54" i="10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60" i="9"/>
  <c r="W59" i="9"/>
  <c r="W58" i="9"/>
  <c r="W57" i="9"/>
  <c r="W56" i="9"/>
  <c r="W55" i="9"/>
  <c r="W54" i="9"/>
  <c r="W53" i="9"/>
  <c r="W52" i="9"/>
  <c r="W51" i="9"/>
  <c r="W50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15"/>
  <c r="W7" i="14"/>
  <c r="W7" i="12"/>
  <c r="W7" i="11"/>
  <c r="W7" i="10"/>
  <c r="W7" i="9"/>
  <c r="W7" i="8"/>
  <c r="W7" i="7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AD33" i="19" l="1"/>
  <c r="AE33" i="19" s="1"/>
  <c r="AD20" i="19"/>
  <c r="AE20" i="19" s="1"/>
  <c r="AD29" i="19"/>
  <c r="AE29" i="19" s="1"/>
  <c r="AD10" i="19"/>
  <c r="AE10" i="19" s="1"/>
  <c r="AD17" i="19"/>
  <c r="AE17" i="19" s="1"/>
  <c r="AD11" i="19"/>
  <c r="AE11" i="19" s="1"/>
  <c r="AD31" i="19"/>
  <c r="AE31" i="19" s="1"/>
  <c r="AD13" i="19"/>
  <c r="AE13" i="19" s="1"/>
  <c r="AD35" i="19"/>
  <c r="AE35" i="19" s="1"/>
  <c r="Z39" i="19"/>
  <c r="AD22" i="19"/>
  <c r="AE22" i="19" s="1"/>
  <c r="AE7" i="19"/>
  <c r="AC39" i="19"/>
  <c r="AC7" i="18"/>
  <c r="AC10" i="18"/>
  <c r="AD10" i="18" s="1"/>
  <c r="AE10" i="18" s="1"/>
  <c r="X23" i="18"/>
  <c r="X20" i="18"/>
  <c r="AC11" i="18"/>
  <c r="AD11" i="18" s="1"/>
  <c r="AE11" i="18" s="1"/>
  <c r="X11" i="18"/>
  <c r="Z11" i="18"/>
  <c r="X15" i="18"/>
  <c r="AD15" i="18" s="1"/>
  <c r="AE15" i="18" s="1"/>
  <c r="X17" i="18"/>
  <c r="X27" i="18"/>
  <c r="X29" i="18"/>
  <c r="X8" i="18"/>
  <c r="AD8" i="18" s="1"/>
  <c r="AE8" i="18" s="1"/>
  <c r="X12" i="18"/>
  <c r="AC20" i="18"/>
  <c r="AD20" i="18" s="1"/>
  <c r="AE20" i="18" s="1"/>
  <c r="AC27" i="18"/>
  <c r="AD27" i="18" s="1"/>
  <c r="AE27" i="18" s="1"/>
  <c r="X7" i="18"/>
  <c r="AD7" i="18" s="1"/>
  <c r="AC19" i="18"/>
  <c r="AC28" i="18"/>
  <c r="AD28" i="18" s="1"/>
  <c r="AE28" i="18" s="1"/>
  <c r="AD26" i="18"/>
  <c r="AE26" i="18" s="1"/>
  <c r="Z27" i="18"/>
  <c r="X22" i="18"/>
  <c r="AD23" i="18"/>
  <c r="AE23" i="18" s="1"/>
  <c r="AC22" i="18"/>
  <c r="AD22" i="18" s="1"/>
  <c r="AE22" i="18" s="1"/>
  <c r="AC24" i="18"/>
  <c r="AD24" i="18" s="1"/>
  <c r="AE24" i="18" s="1"/>
  <c r="Z23" i="18"/>
  <c r="AC12" i="18"/>
  <c r="Z15" i="18"/>
  <c r="AD18" i="18"/>
  <c r="AE18" i="18" s="1"/>
  <c r="X14" i="18"/>
  <c r="AD14" i="18" s="1"/>
  <c r="AE14" i="18" s="1"/>
  <c r="AC14" i="18"/>
  <c r="AD19" i="18"/>
  <c r="AE19" i="18" s="1"/>
  <c r="AD16" i="18"/>
  <c r="AE16" i="18" s="1"/>
  <c r="AC13" i="18"/>
  <c r="AD13" i="18" s="1"/>
  <c r="AE13" i="18" s="1"/>
  <c r="AC21" i="18"/>
  <c r="AD21" i="18" s="1"/>
  <c r="AE21" i="18" s="1"/>
  <c r="AC29" i="18"/>
  <c r="AD29" i="18" s="1"/>
  <c r="AE29" i="18" s="1"/>
  <c r="AC9" i="18"/>
  <c r="AD9" i="18" s="1"/>
  <c r="AE9" i="18" s="1"/>
  <c r="AC17" i="18"/>
  <c r="AD17" i="18" s="1"/>
  <c r="AE17" i="18" s="1"/>
  <c r="AC25" i="18"/>
  <c r="AD25" i="18" s="1"/>
  <c r="AE25" i="18" s="1"/>
  <c r="AD49" i="17"/>
  <c r="AE49" i="17" s="1"/>
  <c r="AD55" i="17"/>
  <c r="AE55" i="17" s="1"/>
  <c r="AD58" i="17"/>
  <c r="AE58" i="17" s="1"/>
  <c r="AD50" i="17"/>
  <c r="AE50" i="17" s="1"/>
  <c r="AD59" i="17"/>
  <c r="AE59" i="17" s="1"/>
  <c r="Z52" i="17"/>
  <c r="Z56" i="17"/>
  <c r="Z49" i="17"/>
  <c r="Z53" i="17"/>
  <c r="Z57" i="17"/>
  <c r="X7" i="17"/>
  <c r="AC32" i="17"/>
  <c r="AC40" i="17"/>
  <c r="AC44" i="17"/>
  <c r="AC12" i="17"/>
  <c r="AC16" i="17"/>
  <c r="AC20" i="17"/>
  <c r="AC28" i="17"/>
  <c r="AC36" i="17"/>
  <c r="AC48" i="17"/>
  <c r="AC11" i="17"/>
  <c r="AC15" i="17"/>
  <c r="AC17" i="17"/>
  <c r="AC19" i="17"/>
  <c r="AC23" i="17"/>
  <c r="AC27" i="17"/>
  <c r="AC29" i="17"/>
  <c r="AC31" i="17"/>
  <c r="AC35" i="17"/>
  <c r="AC39" i="17"/>
  <c r="AC43" i="17"/>
  <c r="AC47" i="17"/>
  <c r="AC61" i="17"/>
  <c r="X8" i="17"/>
  <c r="X10" i="17"/>
  <c r="X12" i="17"/>
  <c r="X14" i="17"/>
  <c r="X16" i="17"/>
  <c r="X18" i="17"/>
  <c r="X20" i="17"/>
  <c r="X22" i="17"/>
  <c r="X24" i="17"/>
  <c r="X26" i="17"/>
  <c r="X28" i="17"/>
  <c r="X30" i="17"/>
  <c r="X32" i="17"/>
  <c r="X34" i="17"/>
  <c r="X36" i="17"/>
  <c r="X38" i="17"/>
  <c r="X40" i="17"/>
  <c r="X42" i="17"/>
  <c r="X44" i="17"/>
  <c r="X46" i="17"/>
  <c r="X48" i="17"/>
  <c r="X62" i="17"/>
  <c r="AC8" i="17"/>
  <c r="AC24" i="17"/>
  <c r="AC10" i="17"/>
  <c r="AC14" i="17"/>
  <c r="AC18" i="17"/>
  <c r="AC22" i="17"/>
  <c r="AC26" i="17"/>
  <c r="AC30" i="17"/>
  <c r="AC34" i="17"/>
  <c r="AC38" i="17"/>
  <c r="AD38" i="17" s="1"/>
  <c r="AE38" i="17" s="1"/>
  <c r="AC42" i="17"/>
  <c r="AC46" i="17"/>
  <c r="AC62" i="17"/>
  <c r="Z62" i="17"/>
  <c r="X9" i="17"/>
  <c r="X11" i="17"/>
  <c r="X13" i="17"/>
  <c r="X15" i="17"/>
  <c r="AD15" i="17" s="1"/>
  <c r="AE15" i="17" s="1"/>
  <c r="X17" i="17"/>
  <c r="X19" i="17"/>
  <c r="X21" i="17"/>
  <c r="X23" i="17"/>
  <c r="X25" i="17"/>
  <c r="X27" i="17"/>
  <c r="X29" i="17"/>
  <c r="X31" i="17"/>
  <c r="X33" i="17"/>
  <c r="X35" i="17"/>
  <c r="X37" i="17"/>
  <c r="X39" i="17"/>
  <c r="X41" i="17"/>
  <c r="X43" i="17"/>
  <c r="X45" i="17"/>
  <c r="X47" i="17"/>
  <c r="X61" i="17"/>
  <c r="Z17" i="17"/>
  <c r="Z29" i="17"/>
  <c r="Z61" i="17"/>
  <c r="AC9" i="17"/>
  <c r="AD9" i="17" s="1"/>
  <c r="AE9" i="17" s="1"/>
  <c r="Z10" i="17"/>
  <c r="AC13" i="17"/>
  <c r="Z14" i="17"/>
  <c r="Z18" i="17"/>
  <c r="AC21" i="17"/>
  <c r="Z22" i="17"/>
  <c r="AC25" i="17"/>
  <c r="Z26" i="17"/>
  <c r="Z30" i="17"/>
  <c r="AC33" i="17"/>
  <c r="Z34" i="17"/>
  <c r="AC37" i="17"/>
  <c r="Z38" i="17"/>
  <c r="AC41" i="17"/>
  <c r="Z42" i="17"/>
  <c r="AC45" i="17"/>
  <c r="Z46" i="17"/>
  <c r="Z11" i="17"/>
  <c r="Z15" i="17"/>
  <c r="Z19" i="17"/>
  <c r="Z23" i="17"/>
  <c r="Z27" i="17"/>
  <c r="Z31" i="17"/>
  <c r="Z35" i="17"/>
  <c r="Z39" i="17"/>
  <c r="Z43" i="17"/>
  <c r="Z47" i="17"/>
  <c r="AC7" i="17"/>
  <c r="Z67" i="17"/>
  <c r="S19" i="12"/>
  <c r="S19" i="11"/>
  <c r="S26" i="10"/>
  <c r="S26" i="9"/>
  <c r="S26" i="8"/>
  <c r="S19" i="7"/>
  <c r="Y19" i="6"/>
  <c r="S19" i="6"/>
  <c r="U19" i="6" s="1"/>
  <c r="X19" i="6" s="1"/>
  <c r="AD39" i="19" l="1"/>
  <c r="AE39" i="19" s="1"/>
  <c r="AD12" i="18"/>
  <c r="AE12" i="18" s="1"/>
  <c r="Z31" i="18"/>
  <c r="AE7" i="18"/>
  <c r="AC31" i="18"/>
  <c r="AD31" i="17"/>
  <c r="AE31" i="17" s="1"/>
  <c r="AD28" i="17"/>
  <c r="AE28" i="17" s="1"/>
  <c r="AD16" i="17"/>
  <c r="AE16" i="17" s="1"/>
  <c r="AD17" i="17"/>
  <c r="AE17" i="17" s="1"/>
  <c r="AD25" i="17"/>
  <c r="AE25" i="17" s="1"/>
  <c r="AD39" i="17"/>
  <c r="AE39" i="17" s="1"/>
  <c r="AD35" i="17"/>
  <c r="AE35" i="17" s="1"/>
  <c r="AD41" i="17"/>
  <c r="AE41" i="17" s="1"/>
  <c r="AD27" i="17"/>
  <c r="AE27" i="17" s="1"/>
  <c r="AD61" i="17"/>
  <c r="AE61" i="17" s="1"/>
  <c r="AD40" i="17"/>
  <c r="AE40" i="17" s="1"/>
  <c r="AD33" i="17"/>
  <c r="AE33" i="17" s="1"/>
  <c r="AD42" i="17"/>
  <c r="AE42" i="17" s="1"/>
  <c r="AD10" i="17"/>
  <c r="AE10" i="17" s="1"/>
  <c r="AD7" i="17"/>
  <c r="AE7" i="17" s="1"/>
  <c r="AD44" i="17"/>
  <c r="AE44" i="17" s="1"/>
  <c r="AD36" i="17"/>
  <c r="AE36" i="17" s="1"/>
  <c r="AD43" i="17"/>
  <c r="AE43" i="17" s="1"/>
  <c r="AD20" i="17"/>
  <c r="AE20" i="17" s="1"/>
  <c r="AD23" i="17"/>
  <c r="AE23" i="17" s="1"/>
  <c r="AD22" i="17"/>
  <c r="AE22" i="17" s="1"/>
  <c r="AD46" i="17"/>
  <c r="AE46" i="17" s="1"/>
  <c r="AD14" i="17"/>
  <c r="AE14" i="17" s="1"/>
  <c r="AD62" i="17"/>
  <c r="AE62" i="17" s="1"/>
  <c r="AD18" i="17"/>
  <c r="AE18" i="17" s="1"/>
  <c r="AD12" i="17"/>
  <c r="AE12" i="17" s="1"/>
  <c r="AD48" i="17"/>
  <c r="AE48" i="17" s="1"/>
  <c r="AD32" i="17"/>
  <c r="AE32" i="17" s="1"/>
  <c r="AD24" i="17"/>
  <c r="AE24" i="17" s="1"/>
  <c r="AD29" i="17"/>
  <c r="AE29" i="17" s="1"/>
  <c r="AD34" i="17"/>
  <c r="AE34" i="17" s="1"/>
  <c r="AD8" i="17"/>
  <c r="AE8" i="17" s="1"/>
  <c r="AD47" i="17"/>
  <c r="AE47" i="17" s="1"/>
  <c r="AD19" i="17"/>
  <c r="AE19" i="17" s="1"/>
  <c r="AD37" i="17"/>
  <c r="AE37" i="17" s="1"/>
  <c r="AD11" i="17"/>
  <c r="AE11" i="17" s="1"/>
  <c r="AD30" i="17"/>
  <c r="AE30" i="17" s="1"/>
  <c r="AD21" i="17"/>
  <c r="AE21" i="17" s="1"/>
  <c r="AD26" i="17"/>
  <c r="AE26" i="17" s="1"/>
  <c r="AD45" i="17"/>
  <c r="AE45" i="17" s="1"/>
  <c r="Z66" i="17"/>
  <c r="Z64" i="17"/>
  <c r="AD13" i="17"/>
  <c r="AE13" i="17" s="1"/>
  <c r="AC64" i="17"/>
  <c r="F10" i="13"/>
  <c r="F9" i="13"/>
  <c r="F8" i="13"/>
  <c r="F7" i="13"/>
  <c r="F6" i="13"/>
  <c r="F5" i="13"/>
  <c r="F4" i="13"/>
  <c r="F3" i="13"/>
  <c r="Z51" i="15"/>
  <c r="Y34" i="15"/>
  <c r="S34" i="15"/>
  <c r="U34" i="15" s="1"/>
  <c r="Y33" i="15"/>
  <c r="S33" i="15"/>
  <c r="U33" i="15" s="1"/>
  <c r="S32" i="15"/>
  <c r="U32" i="15" s="1"/>
  <c r="S31" i="15"/>
  <c r="U31" i="15" s="1"/>
  <c r="Y30" i="15"/>
  <c r="S30" i="15"/>
  <c r="U30" i="15" s="1"/>
  <c r="Y29" i="15"/>
  <c r="S29" i="15"/>
  <c r="U29" i="15" s="1"/>
  <c r="S26" i="15"/>
  <c r="U26" i="15" s="1"/>
  <c r="Y24" i="15"/>
  <c r="S24" i="15"/>
  <c r="U24" i="15" s="1"/>
  <c r="Y23" i="15"/>
  <c r="S23" i="15"/>
  <c r="U23" i="15" s="1"/>
  <c r="X23" i="15" s="1"/>
  <c r="Y22" i="15"/>
  <c r="S22" i="15"/>
  <c r="U22" i="15" s="1"/>
  <c r="Y20" i="15"/>
  <c r="S20" i="15"/>
  <c r="U20" i="15" s="1"/>
  <c r="Y17" i="15"/>
  <c r="Y19" i="15"/>
  <c r="S19" i="15"/>
  <c r="U19" i="15" s="1"/>
  <c r="S18" i="15"/>
  <c r="U18" i="15" s="1"/>
  <c r="X18" i="15" s="1"/>
  <c r="S17" i="15"/>
  <c r="U17" i="15" s="1"/>
  <c r="S15" i="15"/>
  <c r="U15" i="15" s="1"/>
  <c r="Y13" i="15"/>
  <c r="S13" i="15"/>
  <c r="U13" i="15" s="1"/>
  <c r="Q12" i="15"/>
  <c r="S12" i="15" s="1"/>
  <c r="U12" i="15" s="1"/>
  <c r="AD31" i="18" l="1"/>
  <c r="AE31" i="18" s="1"/>
  <c r="AD64" i="17"/>
  <c r="AE64" i="17" s="1"/>
  <c r="X22" i="15"/>
  <c r="X12" i="15"/>
  <c r="X17" i="15"/>
  <c r="X29" i="15"/>
  <c r="X32" i="15"/>
  <c r="X30" i="15"/>
  <c r="X13" i="15"/>
  <c r="X15" i="15"/>
  <c r="X19" i="15"/>
  <c r="X31" i="15"/>
  <c r="X34" i="15"/>
  <c r="X24" i="15"/>
  <c r="X33" i="15"/>
  <c r="Y12" i="15"/>
  <c r="X20" i="15"/>
  <c r="X26" i="15"/>
  <c r="AB39" i="15" l="1"/>
  <c r="Y39" i="15"/>
  <c r="S39" i="15"/>
  <c r="U39" i="15" s="1"/>
  <c r="AB38" i="15"/>
  <c r="Y38" i="15"/>
  <c r="Z38" i="15" s="1"/>
  <c r="S38" i="15"/>
  <c r="U38" i="15" s="1"/>
  <c r="AB37" i="15"/>
  <c r="Y37" i="15"/>
  <c r="S37" i="15"/>
  <c r="U37" i="15" s="1"/>
  <c r="AB36" i="15"/>
  <c r="Y36" i="15"/>
  <c r="S36" i="15"/>
  <c r="U36" i="15" s="1"/>
  <c r="AB35" i="15"/>
  <c r="Y35" i="15"/>
  <c r="Z35" i="15" s="1"/>
  <c r="S35" i="15"/>
  <c r="U35" i="15" s="1"/>
  <c r="AB34" i="15"/>
  <c r="AB33" i="15"/>
  <c r="AC33" i="15" s="1"/>
  <c r="AB32" i="15"/>
  <c r="AC32" i="15" s="1"/>
  <c r="AB31" i="15"/>
  <c r="AC31" i="15" s="1"/>
  <c r="AB30" i="15"/>
  <c r="Z30" i="15"/>
  <c r="AB29" i="15"/>
  <c r="AC29" i="15" s="1"/>
  <c r="AB28" i="15"/>
  <c r="Y28" i="15"/>
  <c r="S28" i="15"/>
  <c r="U28" i="15" s="1"/>
  <c r="AB27" i="15"/>
  <c r="AC27" i="15" s="1"/>
  <c r="Y27" i="15"/>
  <c r="Z27" i="15" s="1"/>
  <c r="S27" i="15"/>
  <c r="U27" i="15" s="1"/>
  <c r="AB26" i="15"/>
  <c r="AC26" i="15" s="1"/>
  <c r="Z26" i="15"/>
  <c r="AB25" i="15"/>
  <c r="Y25" i="15"/>
  <c r="S25" i="15"/>
  <c r="U25" i="15" s="1"/>
  <c r="AB24" i="15"/>
  <c r="AC24" i="15" s="1"/>
  <c r="AD24" i="15" s="1"/>
  <c r="AE24" i="15" s="1"/>
  <c r="Z24" i="15"/>
  <c r="AB23" i="15"/>
  <c r="AB22" i="15"/>
  <c r="Z22" i="15"/>
  <c r="AB21" i="15"/>
  <c r="Y21" i="15"/>
  <c r="S21" i="15"/>
  <c r="U21" i="15" s="1"/>
  <c r="AB20" i="15"/>
  <c r="AC20" i="15" s="1"/>
  <c r="AB19" i="15"/>
  <c r="AC19" i="15" s="1"/>
  <c r="AB18" i="15"/>
  <c r="Z18" i="15"/>
  <c r="AB17" i="15"/>
  <c r="AC17" i="15" s="1"/>
  <c r="AB16" i="15"/>
  <c r="Y16" i="15"/>
  <c r="S16" i="15"/>
  <c r="U16" i="15" s="1"/>
  <c r="AB15" i="15"/>
  <c r="AC15" i="15" s="1"/>
  <c r="Z15" i="15"/>
  <c r="AB14" i="15"/>
  <c r="AC14" i="15" s="1"/>
  <c r="Y14" i="15"/>
  <c r="Z14" i="15" s="1"/>
  <c r="S14" i="15"/>
  <c r="U14" i="15" s="1"/>
  <c r="X14" i="15" s="1"/>
  <c r="AB13" i="15"/>
  <c r="AC13" i="15"/>
  <c r="AB12" i="15"/>
  <c r="C10" i="13"/>
  <c r="Y45" i="16"/>
  <c r="W45" i="16"/>
  <c r="S45" i="16"/>
  <c r="U45" i="16" s="1"/>
  <c r="Y44" i="16"/>
  <c r="W44" i="16"/>
  <c r="U44" i="16"/>
  <c r="S44" i="16"/>
  <c r="Y43" i="16"/>
  <c r="W43" i="16"/>
  <c r="U43" i="16"/>
  <c r="S43" i="16"/>
  <c r="Y42" i="16"/>
  <c r="W42" i="16"/>
  <c r="X42" i="16" s="1"/>
  <c r="U42" i="16"/>
  <c r="S42" i="16"/>
  <c r="Y41" i="16"/>
  <c r="W41" i="16"/>
  <c r="S41" i="16"/>
  <c r="U41" i="16" s="1"/>
  <c r="Y40" i="16"/>
  <c r="W40" i="16"/>
  <c r="S40" i="16"/>
  <c r="U40" i="16" s="1"/>
  <c r="Y39" i="16"/>
  <c r="W39" i="16"/>
  <c r="S39" i="16"/>
  <c r="U39" i="16" s="1"/>
  <c r="Y38" i="16"/>
  <c r="W38" i="16"/>
  <c r="S38" i="16"/>
  <c r="U38" i="16" s="1"/>
  <c r="Y37" i="16"/>
  <c r="W37" i="16"/>
  <c r="S37" i="16"/>
  <c r="U37" i="16" s="1"/>
  <c r="Y36" i="16"/>
  <c r="W36" i="16"/>
  <c r="U36" i="16"/>
  <c r="S36" i="16"/>
  <c r="Y35" i="16"/>
  <c r="W35" i="16"/>
  <c r="U35" i="16"/>
  <c r="S35" i="16"/>
  <c r="Y34" i="16"/>
  <c r="W34" i="16"/>
  <c r="X34" i="16" s="1"/>
  <c r="U34" i="16"/>
  <c r="S34" i="16"/>
  <c r="Y33" i="16"/>
  <c r="W33" i="16"/>
  <c r="S33" i="16"/>
  <c r="U33" i="16" s="1"/>
  <c r="Y32" i="16"/>
  <c r="W32" i="16"/>
  <c r="S32" i="16"/>
  <c r="U32" i="16" s="1"/>
  <c r="Y31" i="16"/>
  <c r="W31" i="16"/>
  <c r="S31" i="16"/>
  <c r="U31" i="16" s="1"/>
  <c r="Y30" i="16"/>
  <c r="W30" i="16"/>
  <c r="S30" i="16"/>
  <c r="U30" i="16" s="1"/>
  <c r="Y29" i="16"/>
  <c r="W29" i="16"/>
  <c r="S29" i="16"/>
  <c r="U29" i="16" s="1"/>
  <c r="Y28" i="16"/>
  <c r="W28" i="16"/>
  <c r="U28" i="16"/>
  <c r="S28" i="16"/>
  <c r="Y27" i="16"/>
  <c r="W27" i="16"/>
  <c r="U27" i="16"/>
  <c r="S27" i="16"/>
  <c r="Y26" i="16"/>
  <c r="W26" i="16"/>
  <c r="X26" i="16" s="1"/>
  <c r="U26" i="16"/>
  <c r="S26" i="16"/>
  <c r="Y25" i="16"/>
  <c r="W25" i="16"/>
  <c r="S25" i="16"/>
  <c r="U25" i="16" s="1"/>
  <c r="Y24" i="16"/>
  <c r="W24" i="16"/>
  <c r="S24" i="16"/>
  <c r="U24" i="16" s="1"/>
  <c r="Y23" i="16"/>
  <c r="W23" i="16"/>
  <c r="S23" i="16"/>
  <c r="U23" i="16" s="1"/>
  <c r="Y22" i="16"/>
  <c r="W22" i="16"/>
  <c r="S22" i="16"/>
  <c r="U22" i="16" s="1"/>
  <c r="Y21" i="16"/>
  <c r="W21" i="16"/>
  <c r="S21" i="16"/>
  <c r="U21" i="16" s="1"/>
  <c r="Y20" i="16"/>
  <c r="W20" i="16"/>
  <c r="U20" i="16"/>
  <c r="S20" i="16"/>
  <c r="Y19" i="16"/>
  <c r="W19" i="16"/>
  <c r="U19" i="16"/>
  <c r="S19" i="16"/>
  <c r="Y18" i="16"/>
  <c r="W18" i="16"/>
  <c r="X18" i="16" s="1"/>
  <c r="U18" i="16"/>
  <c r="S18" i="16"/>
  <c r="Y17" i="16"/>
  <c r="W17" i="16"/>
  <c r="S17" i="16"/>
  <c r="U17" i="16" s="1"/>
  <c r="Y16" i="16"/>
  <c r="W16" i="16"/>
  <c r="S16" i="16"/>
  <c r="U16" i="16" s="1"/>
  <c r="Y15" i="16"/>
  <c r="W15" i="16"/>
  <c r="S15" i="16"/>
  <c r="U15" i="16" s="1"/>
  <c r="Y14" i="16"/>
  <c r="W14" i="16"/>
  <c r="S14" i="16"/>
  <c r="U14" i="16" s="1"/>
  <c r="Y13" i="16"/>
  <c r="W13" i="16"/>
  <c r="S13" i="16"/>
  <c r="U13" i="16" s="1"/>
  <c r="Y12" i="16"/>
  <c r="W12" i="16"/>
  <c r="U12" i="16"/>
  <c r="S12" i="16"/>
  <c r="Y11" i="16"/>
  <c r="W11" i="16"/>
  <c r="U11" i="16"/>
  <c r="S11" i="16"/>
  <c r="Y10" i="16"/>
  <c r="W10" i="16"/>
  <c r="X10" i="16" s="1"/>
  <c r="U10" i="16"/>
  <c r="S10" i="16"/>
  <c r="Y9" i="16"/>
  <c r="W9" i="16"/>
  <c r="S9" i="16"/>
  <c r="U9" i="16" s="1"/>
  <c r="Y8" i="16"/>
  <c r="W8" i="16"/>
  <c r="S8" i="16"/>
  <c r="U8" i="16" s="1"/>
  <c r="Y7" i="16"/>
  <c r="W7" i="16"/>
  <c r="S7" i="16"/>
  <c r="U7" i="16" s="1"/>
  <c r="AC36" i="15" l="1"/>
  <c r="X25" i="16"/>
  <c r="X27" i="16"/>
  <c r="X16" i="15"/>
  <c r="X33" i="16"/>
  <c r="X35" i="16"/>
  <c r="X40" i="16"/>
  <c r="X27" i="15"/>
  <c r="AD27" i="15" s="1"/>
  <c r="AE27" i="15" s="1"/>
  <c r="X12" i="16"/>
  <c r="AC16" i="15"/>
  <c r="X35" i="15"/>
  <c r="AC28" i="15"/>
  <c r="AC37" i="15"/>
  <c r="AC39" i="15"/>
  <c r="AC35" i="15"/>
  <c r="AC21" i="15"/>
  <c r="X25" i="15"/>
  <c r="X36" i="15"/>
  <c r="AD36" i="15" s="1"/>
  <c r="AE36" i="15" s="1"/>
  <c r="X38" i="15"/>
  <c r="X37" i="15"/>
  <c r="X39" i="15"/>
  <c r="AD15" i="15"/>
  <c r="AE15" i="15" s="1"/>
  <c r="AD32" i="15"/>
  <c r="AE32" i="15" s="1"/>
  <c r="AD14" i="15"/>
  <c r="AE14" i="15" s="1"/>
  <c r="AD19" i="15"/>
  <c r="AE19" i="15" s="1"/>
  <c r="AD13" i="15"/>
  <c r="AE13" i="15" s="1"/>
  <c r="X28" i="15"/>
  <c r="AC12" i="15"/>
  <c r="AD12" i="15" s="1"/>
  <c r="AE12" i="15" s="1"/>
  <c r="Z12" i="15"/>
  <c r="Z34" i="15"/>
  <c r="AC34" i="15"/>
  <c r="AD34" i="15" s="1"/>
  <c r="AE34" i="15" s="1"/>
  <c r="AD29" i="15"/>
  <c r="AE29" i="15" s="1"/>
  <c r="AD31" i="15"/>
  <c r="AE31" i="15" s="1"/>
  <c r="AD20" i="15"/>
  <c r="AE20" i="15" s="1"/>
  <c r="AD33" i="15"/>
  <c r="AE33" i="15" s="1"/>
  <c r="AD17" i="15"/>
  <c r="AE17" i="15" s="1"/>
  <c r="X21" i="15"/>
  <c r="AD26" i="15"/>
  <c r="AE26" i="15" s="1"/>
  <c r="Z23" i="15"/>
  <c r="AC23" i="15"/>
  <c r="AD23" i="15" s="1"/>
  <c r="AE23" i="15" s="1"/>
  <c r="Z32" i="15"/>
  <c r="Z20" i="15"/>
  <c r="AC22" i="15"/>
  <c r="AD22" i="15" s="1"/>
  <c r="AE22" i="15" s="1"/>
  <c r="Z31" i="15"/>
  <c r="Z19" i="15"/>
  <c r="Z28" i="15"/>
  <c r="AC30" i="15"/>
  <c r="Z39" i="15"/>
  <c r="Z16" i="15"/>
  <c r="AC18" i="15"/>
  <c r="AD18" i="15" s="1"/>
  <c r="AE18" i="15" s="1"/>
  <c r="AC25" i="15"/>
  <c r="Z36" i="15"/>
  <c r="AC38" i="15"/>
  <c r="Z13" i="15"/>
  <c r="Z17" i="15"/>
  <c r="Z21" i="15"/>
  <c r="Z25" i="15"/>
  <c r="Z29" i="15"/>
  <c r="Z33" i="15"/>
  <c r="Z37" i="15"/>
  <c r="X43" i="16"/>
  <c r="X32" i="16"/>
  <c r="X28" i="16"/>
  <c r="X20" i="16"/>
  <c r="X7" i="16"/>
  <c r="X21" i="16"/>
  <c r="X17" i="16"/>
  <c r="X19" i="16"/>
  <c r="X24" i="16"/>
  <c r="X31" i="16"/>
  <c r="X8" i="16"/>
  <c r="X15" i="16"/>
  <c r="X29" i="16"/>
  <c r="X36" i="16"/>
  <c r="X39" i="16"/>
  <c r="X13" i="16"/>
  <c r="X9" i="16"/>
  <c r="X11" i="16"/>
  <c r="X16" i="16"/>
  <c r="X23" i="16"/>
  <c r="X37" i="16"/>
  <c r="X44" i="16"/>
  <c r="X22" i="16"/>
  <c r="X38" i="16"/>
  <c r="X41" i="16"/>
  <c r="X45" i="16"/>
  <c r="X14" i="16"/>
  <c r="X30" i="16"/>
  <c r="Z43" i="15" l="1"/>
  <c r="AD38" i="15"/>
  <c r="AE38" i="15" s="1"/>
  <c r="AD35" i="15"/>
  <c r="AE35" i="15" s="1"/>
  <c r="AD16" i="15"/>
  <c r="AE16" i="15" s="1"/>
  <c r="AD28" i="15"/>
  <c r="AE28" i="15" s="1"/>
  <c r="AD21" i="15"/>
  <c r="AE21" i="15" s="1"/>
  <c r="AD39" i="15"/>
  <c r="AE39" i="15" s="1"/>
  <c r="AD37" i="15"/>
  <c r="AE37" i="15" s="1"/>
  <c r="AD25" i="15"/>
  <c r="AE25" i="15" s="1"/>
  <c r="AD30" i="15"/>
  <c r="AE30" i="15" s="1"/>
  <c r="Z69" i="16"/>
  <c r="Z65" i="16"/>
  <c r="Z63" i="16"/>
  <c r="Z61" i="16"/>
  <c r="AJ58" i="16"/>
  <c r="AI58" i="16"/>
  <c r="AH58" i="16"/>
  <c r="AG58" i="16"/>
  <c r="AF58" i="16"/>
  <c r="AB56" i="16"/>
  <c r="Y56" i="16"/>
  <c r="AC56" i="16" s="1"/>
  <c r="W56" i="16"/>
  <c r="S56" i="16"/>
  <c r="U56" i="16" s="1"/>
  <c r="AB55" i="16"/>
  <c r="Y55" i="16"/>
  <c r="Z55" i="16" s="1"/>
  <c r="W55" i="16"/>
  <c r="S55" i="16"/>
  <c r="U55" i="16" s="1"/>
  <c r="AB54" i="16"/>
  <c r="Y54" i="16"/>
  <c r="Z54" i="16" s="1"/>
  <c r="W54" i="16"/>
  <c r="S54" i="16"/>
  <c r="U54" i="16" s="1"/>
  <c r="AB53" i="16"/>
  <c r="AC53" i="16" s="1"/>
  <c r="Y53" i="16"/>
  <c r="Z53" i="16" s="1"/>
  <c r="W53" i="16"/>
  <c r="S53" i="16"/>
  <c r="U53" i="16" s="1"/>
  <c r="AB52" i="16"/>
  <c r="Y52" i="16"/>
  <c r="W52" i="16"/>
  <c r="S52" i="16"/>
  <c r="U52" i="16" s="1"/>
  <c r="AB51" i="16"/>
  <c r="Y51" i="16"/>
  <c r="W51" i="16"/>
  <c r="U51" i="16"/>
  <c r="S51" i="16"/>
  <c r="AB50" i="16"/>
  <c r="Z50" i="16"/>
  <c r="Y50" i="16"/>
  <c r="W50" i="16"/>
  <c r="S50" i="16"/>
  <c r="U50" i="16" s="1"/>
  <c r="AB49" i="16"/>
  <c r="Z49" i="16"/>
  <c r="Y49" i="16"/>
  <c r="AC49" i="16" s="1"/>
  <c r="W49" i="16"/>
  <c r="S49" i="16"/>
  <c r="U49" i="16" s="1"/>
  <c r="AB48" i="16"/>
  <c r="Y48" i="16"/>
  <c r="Z48" i="16" s="1"/>
  <c r="W48" i="16"/>
  <c r="U48" i="16"/>
  <c r="S48" i="16"/>
  <c r="AB47" i="16"/>
  <c r="Y47" i="16"/>
  <c r="Z47" i="16" s="1"/>
  <c r="W47" i="16"/>
  <c r="U47" i="16"/>
  <c r="S47" i="16"/>
  <c r="AB46" i="16"/>
  <c r="AC46" i="16" s="1"/>
  <c r="Z46" i="16"/>
  <c r="Y46" i="16"/>
  <c r="W46" i="16"/>
  <c r="S46" i="16"/>
  <c r="U46" i="16" s="1"/>
  <c r="AB45" i="16"/>
  <c r="AC45" i="16" s="1"/>
  <c r="Z45" i="16"/>
  <c r="AB44" i="16"/>
  <c r="AC44" i="16" s="1"/>
  <c r="AB43" i="16"/>
  <c r="AC43" i="16" s="1"/>
  <c r="AB42" i="16"/>
  <c r="AC42" i="16" s="1"/>
  <c r="Z42" i="16"/>
  <c r="AB41" i="16"/>
  <c r="AC41" i="16" s="1"/>
  <c r="Z41" i="16"/>
  <c r="AB40" i="16"/>
  <c r="Z40" i="16"/>
  <c r="AB39" i="16"/>
  <c r="AC39" i="16" s="1"/>
  <c r="AB38" i="16"/>
  <c r="AC38" i="16" s="1"/>
  <c r="Z38" i="16"/>
  <c r="AB37" i="16"/>
  <c r="AC37" i="16" s="1"/>
  <c r="Z37" i="16"/>
  <c r="AB36" i="16"/>
  <c r="Z36" i="16"/>
  <c r="AB35" i="16"/>
  <c r="Z35" i="16"/>
  <c r="AB34" i="16"/>
  <c r="AC34" i="16" s="1"/>
  <c r="Z34" i="16"/>
  <c r="AB33" i="16"/>
  <c r="AC33" i="16" s="1"/>
  <c r="AD33" i="16" s="1"/>
  <c r="AE33" i="16" s="1"/>
  <c r="Z33" i="16"/>
  <c r="AB32" i="16"/>
  <c r="Z32" i="16"/>
  <c r="AB31" i="16"/>
  <c r="Z31" i="16"/>
  <c r="AB30" i="16"/>
  <c r="AC30" i="16" s="1"/>
  <c r="Z30" i="16"/>
  <c r="AB29" i="16"/>
  <c r="AC29" i="16" s="1"/>
  <c r="AD29" i="16" s="1"/>
  <c r="AE29" i="16" s="1"/>
  <c r="Z29" i="16"/>
  <c r="AB28" i="16"/>
  <c r="AC28" i="16" s="1"/>
  <c r="AB27" i="16"/>
  <c r="AC27" i="16"/>
  <c r="AB26" i="16"/>
  <c r="AC26" i="16" s="1"/>
  <c r="Z26" i="16"/>
  <c r="AB25" i="16"/>
  <c r="AC25" i="16" s="1"/>
  <c r="Z25" i="16"/>
  <c r="AB24" i="16"/>
  <c r="Z24" i="16"/>
  <c r="AB23" i="16"/>
  <c r="Z23" i="16"/>
  <c r="AB22" i="16"/>
  <c r="AC22" i="16" s="1"/>
  <c r="Z22" i="16"/>
  <c r="AB21" i="16"/>
  <c r="AC21" i="16" s="1"/>
  <c r="Z21" i="16"/>
  <c r="AB20" i="16"/>
  <c r="AC20" i="16" s="1"/>
  <c r="AB19" i="16"/>
  <c r="AC19" i="16"/>
  <c r="AB18" i="16"/>
  <c r="AC18" i="16" s="1"/>
  <c r="Z18" i="16"/>
  <c r="AB17" i="16"/>
  <c r="AC17" i="16" s="1"/>
  <c r="Z17" i="16"/>
  <c r="AB16" i="16"/>
  <c r="Z16" i="16"/>
  <c r="AB15" i="16"/>
  <c r="Z15" i="16"/>
  <c r="AB14" i="16"/>
  <c r="AC14" i="16" s="1"/>
  <c r="Z14" i="16"/>
  <c r="AB13" i="16"/>
  <c r="AC13" i="16" s="1"/>
  <c r="AD13" i="16" s="1"/>
  <c r="AE13" i="16" s="1"/>
  <c r="Z13" i="16"/>
  <c r="AB12" i="16"/>
  <c r="Z12" i="16"/>
  <c r="AB11" i="16"/>
  <c r="AC11" i="16"/>
  <c r="AB10" i="16"/>
  <c r="AC10" i="16" s="1"/>
  <c r="Z10" i="16"/>
  <c r="AB9" i="16"/>
  <c r="AC9" i="16" s="1"/>
  <c r="AD9" i="16" s="1"/>
  <c r="AE9" i="16" s="1"/>
  <c r="Z9" i="16"/>
  <c r="AB8" i="16"/>
  <c r="Z8" i="16"/>
  <c r="AB7" i="16"/>
  <c r="AC7" i="16"/>
  <c r="Y47" i="14"/>
  <c r="S47" i="14"/>
  <c r="U47" i="14" s="1"/>
  <c r="Y46" i="14"/>
  <c r="S46" i="14"/>
  <c r="U46" i="14" s="1"/>
  <c r="Q45" i="14"/>
  <c r="Y45" i="14" s="1"/>
  <c r="Y48" i="14"/>
  <c r="S48" i="14"/>
  <c r="U48" i="14" s="1"/>
  <c r="Z66" i="14"/>
  <c r="Z63" i="14"/>
  <c r="Y19" i="14"/>
  <c r="Y21" i="14"/>
  <c r="Y29" i="14"/>
  <c r="Y42" i="14"/>
  <c r="S42" i="14"/>
  <c r="U42" i="14" s="1"/>
  <c r="Y41" i="14"/>
  <c r="S41" i="14"/>
  <c r="U41" i="14" s="1"/>
  <c r="Y40" i="14"/>
  <c r="S40" i="14"/>
  <c r="U40" i="14" s="1"/>
  <c r="Y39" i="14"/>
  <c r="S39" i="14"/>
  <c r="U39" i="14" s="1"/>
  <c r="Y38" i="14"/>
  <c r="S38" i="14"/>
  <c r="U38" i="14" s="1"/>
  <c r="Y37" i="14"/>
  <c r="S37" i="14"/>
  <c r="U37" i="14" s="1"/>
  <c r="Y34" i="14"/>
  <c r="S34" i="14"/>
  <c r="U34" i="14" s="1"/>
  <c r="Y33" i="14"/>
  <c r="S33" i="14"/>
  <c r="U33" i="14" s="1"/>
  <c r="S29" i="14"/>
  <c r="U29" i="14" s="1"/>
  <c r="AC52" i="16" l="1"/>
  <c r="X49" i="16"/>
  <c r="X34" i="14"/>
  <c r="X51" i="16"/>
  <c r="X53" i="16"/>
  <c r="AD53" i="16" s="1"/>
  <c r="AE53" i="16" s="1"/>
  <c r="AC51" i="16"/>
  <c r="X46" i="16"/>
  <c r="AD46" i="16" s="1"/>
  <c r="AE46" i="16" s="1"/>
  <c r="X47" i="14"/>
  <c r="X50" i="16"/>
  <c r="X47" i="16"/>
  <c r="X33" i="14"/>
  <c r="X42" i="14"/>
  <c r="X37" i="14"/>
  <c r="X48" i="16"/>
  <c r="AD49" i="16"/>
  <c r="AE49" i="16" s="1"/>
  <c r="AC54" i="16"/>
  <c r="X56" i="16"/>
  <c r="AD56" i="16" s="1"/>
  <c r="AE56" i="16" s="1"/>
  <c r="AC50" i="16"/>
  <c r="X52" i="16"/>
  <c r="AD52" i="16" s="1"/>
  <c r="AE52" i="16" s="1"/>
  <c r="X55" i="16"/>
  <c r="X48" i="14"/>
  <c r="AD21" i="16"/>
  <c r="AE21" i="16" s="1"/>
  <c r="AD25" i="16"/>
  <c r="AE25" i="16" s="1"/>
  <c r="AD30" i="16"/>
  <c r="AE30" i="16" s="1"/>
  <c r="X38" i="14"/>
  <c r="X40" i="14"/>
  <c r="AD41" i="16"/>
  <c r="AE41" i="16" s="1"/>
  <c r="AD19" i="16"/>
  <c r="AE19" i="16" s="1"/>
  <c r="AD11" i="16"/>
  <c r="AE11" i="16" s="1"/>
  <c r="AD45" i="16"/>
  <c r="AE45" i="16" s="1"/>
  <c r="AD18" i="16"/>
  <c r="AE18" i="16" s="1"/>
  <c r="X39" i="14"/>
  <c r="X41" i="14"/>
  <c r="AD14" i="16"/>
  <c r="AE14" i="16" s="1"/>
  <c r="X29" i="14"/>
  <c r="AD37" i="16"/>
  <c r="AE37" i="16" s="1"/>
  <c r="X54" i="16"/>
  <c r="AD42" i="16"/>
  <c r="AE42" i="16" s="1"/>
  <c r="X46" i="14"/>
  <c r="AD7" i="16"/>
  <c r="AD17" i="16"/>
  <c r="AE17" i="16" s="1"/>
  <c r="AD38" i="16"/>
  <c r="AE38" i="16" s="1"/>
  <c r="AD20" i="16"/>
  <c r="AE20" i="16" s="1"/>
  <c r="AD10" i="16"/>
  <c r="AE10" i="16" s="1"/>
  <c r="AD27" i="16"/>
  <c r="AE27" i="16" s="1"/>
  <c r="AD39" i="16"/>
  <c r="AE39" i="16" s="1"/>
  <c r="AD44" i="16"/>
  <c r="AE44" i="16" s="1"/>
  <c r="AD34" i="16"/>
  <c r="AE34" i="16" s="1"/>
  <c r="AD22" i="16"/>
  <c r="AE22" i="16" s="1"/>
  <c r="AD43" i="16"/>
  <c r="AE43" i="16" s="1"/>
  <c r="AD26" i="16"/>
  <c r="AE26" i="16" s="1"/>
  <c r="AD28" i="16"/>
  <c r="AE28" i="16" s="1"/>
  <c r="AC15" i="16"/>
  <c r="AD15" i="16" s="1"/>
  <c r="AE15" i="16" s="1"/>
  <c r="Z20" i="16"/>
  <c r="AC23" i="16"/>
  <c r="AD23" i="16" s="1"/>
  <c r="AE23" i="16" s="1"/>
  <c r="Z28" i="16"/>
  <c r="AC31" i="16"/>
  <c r="AD31" i="16" s="1"/>
  <c r="AE31" i="16" s="1"/>
  <c r="AC35" i="16"/>
  <c r="AD35" i="16" s="1"/>
  <c r="AE35" i="16" s="1"/>
  <c r="Z44" i="16"/>
  <c r="AC47" i="16"/>
  <c r="AD47" i="16" s="1"/>
  <c r="AE47" i="16" s="1"/>
  <c r="Z52" i="16"/>
  <c r="AC55" i="16"/>
  <c r="Z56" i="16"/>
  <c r="AC8" i="16"/>
  <c r="AD8" i="16" s="1"/>
  <c r="AE8" i="16" s="1"/>
  <c r="AC12" i="16"/>
  <c r="AD12" i="16" s="1"/>
  <c r="AE12" i="16" s="1"/>
  <c r="AC16" i="16"/>
  <c r="AD16" i="16" s="1"/>
  <c r="AE16" i="16" s="1"/>
  <c r="AC24" i="16"/>
  <c r="AD24" i="16" s="1"/>
  <c r="AE24" i="16" s="1"/>
  <c r="AC32" i="16"/>
  <c r="AD32" i="16" s="1"/>
  <c r="AE32" i="16" s="1"/>
  <c r="AC36" i="16"/>
  <c r="AD36" i="16" s="1"/>
  <c r="AE36" i="16" s="1"/>
  <c r="AC40" i="16"/>
  <c r="AD40" i="16" s="1"/>
  <c r="AE40" i="16" s="1"/>
  <c r="AC48" i="16"/>
  <c r="Z7" i="16"/>
  <c r="Z19" i="16"/>
  <c r="Z27" i="16"/>
  <c r="Z11" i="16"/>
  <c r="Z39" i="16"/>
  <c r="Z43" i="16"/>
  <c r="Z51" i="16"/>
  <c r="S45" i="14"/>
  <c r="U45" i="14" s="1"/>
  <c r="X45" i="14" s="1"/>
  <c r="AD51" i="16" l="1"/>
  <c r="AE51" i="16" s="1"/>
  <c r="AD50" i="16"/>
  <c r="AE50" i="16" s="1"/>
  <c r="AD48" i="16"/>
  <c r="AE48" i="16" s="1"/>
  <c r="AD55" i="16"/>
  <c r="AE55" i="16" s="1"/>
  <c r="AD54" i="16"/>
  <c r="AE54" i="16" s="1"/>
  <c r="Z58" i="16"/>
  <c r="AC58" i="16"/>
  <c r="AD58" i="16"/>
  <c r="AE58" i="16" s="1"/>
  <c r="AE7" i="16"/>
  <c r="AB29" i="14" l="1"/>
  <c r="Z29" i="14"/>
  <c r="Y11" i="15"/>
  <c r="S11" i="15"/>
  <c r="U11" i="15" s="1"/>
  <c r="Y10" i="15"/>
  <c r="U10" i="15"/>
  <c r="S10" i="15"/>
  <c r="Y9" i="15"/>
  <c r="S9" i="15"/>
  <c r="U9" i="15" s="1"/>
  <c r="Y8" i="15"/>
  <c r="S8" i="15"/>
  <c r="U8" i="15" s="1"/>
  <c r="Y7" i="15"/>
  <c r="S7" i="15"/>
  <c r="U7" i="15" s="1"/>
  <c r="Y27" i="14"/>
  <c r="Y28" i="14"/>
  <c r="S28" i="14"/>
  <c r="U28" i="14" s="1"/>
  <c r="S27" i="14"/>
  <c r="U27" i="14" s="1"/>
  <c r="Y26" i="14"/>
  <c r="S26" i="14"/>
  <c r="U26" i="14" s="1"/>
  <c r="Y25" i="14"/>
  <c r="S25" i="14"/>
  <c r="U25" i="14" s="1"/>
  <c r="Y24" i="14"/>
  <c r="S24" i="14"/>
  <c r="U24" i="14" s="1"/>
  <c r="X10" i="15" l="1"/>
  <c r="X8" i="15"/>
  <c r="X7" i="15"/>
  <c r="X11" i="15"/>
  <c r="X9" i="15"/>
  <c r="AC29" i="14"/>
  <c r="X27" i="14"/>
  <c r="X26" i="14"/>
  <c r="X24" i="14"/>
  <c r="X25" i="14"/>
  <c r="X28" i="14"/>
  <c r="Y22" i="14"/>
  <c r="Z22" i="14" s="1"/>
  <c r="S22" i="14"/>
  <c r="U22" i="14" s="1"/>
  <c r="S21" i="14"/>
  <c r="U21" i="14" s="1"/>
  <c r="Y17" i="14"/>
  <c r="S19" i="14"/>
  <c r="U19" i="14" s="1"/>
  <c r="Y18" i="14"/>
  <c r="Z18" i="14" s="1"/>
  <c r="S18" i="14"/>
  <c r="U18" i="14" s="1"/>
  <c r="S17" i="14"/>
  <c r="U17" i="14" s="1"/>
  <c r="Y16" i="14"/>
  <c r="S16" i="14"/>
  <c r="U16" i="14" s="1"/>
  <c r="Y14" i="14"/>
  <c r="Z14" i="14" s="1"/>
  <c r="S14" i="14"/>
  <c r="U14" i="14" s="1"/>
  <c r="Y13" i="14"/>
  <c r="S13" i="14"/>
  <c r="U13" i="14" s="1"/>
  <c r="Y12" i="14"/>
  <c r="S12" i="14"/>
  <c r="U12" i="14" s="1"/>
  <c r="Y9" i="14"/>
  <c r="Y10" i="14"/>
  <c r="Z10" i="14" s="1"/>
  <c r="S10" i="14"/>
  <c r="U10" i="14" s="1"/>
  <c r="S9" i="14"/>
  <c r="U9" i="14" s="1"/>
  <c r="Y8" i="14"/>
  <c r="S8" i="14"/>
  <c r="U8" i="14" s="1"/>
  <c r="Y7" i="14"/>
  <c r="Z7" i="14" s="1"/>
  <c r="S7" i="14"/>
  <c r="U7" i="14" s="1"/>
  <c r="Z52" i="15"/>
  <c r="Z48" i="15"/>
  <c r="Z46" i="15"/>
  <c r="AJ41" i="15"/>
  <c r="AI41" i="15"/>
  <c r="AH41" i="15"/>
  <c r="AG41" i="15"/>
  <c r="AF41" i="15"/>
  <c r="AB11" i="15"/>
  <c r="AC11" i="15" s="1"/>
  <c r="Z11" i="15"/>
  <c r="AB10" i="15"/>
  <c r="AC10" i="15" s="1"/>
  <c r="AB9" i="15"/>
  <c r="Z9" i="15"/>
  <c r="Z44" i="15" s="1"/>
  <c r="AB8" i="15"/>
  <c r="AC8" i="15" s="1"/>
  <c r="Z8" i="15"/>
  <c r="AB7" i="15"/>
  <c r="AC7" i="15" s="1"/>
  <c r="Z7" i="15"/>
  <c r="AB54" i="14"/>
  <c r="Y54" i="14"/>
  <c r="Z54" i="14" s="1"/>
  <c r="S54" i="14"/>
  <c r="U54" i="14" s="1"/>
  <c r="AB53" i="14"/>
  <c r="Y53" i="14"/>
  <c r="S53" i="14"/>
  <c r="U53" i="14" s="1"/>
  <c r="AB52" i="14"/>
  <c r="AC52" i="14" s="1"/>
  <c r="Y52" i="14"/>
  <c r="Z52" i="14" s="1"/>
  <c r="S52" i="14"/>
  <c r="U52" i="14" s="1"/>
  <c r="AB51" i="14"/>
  <c r="Y51" i="14"/>
  <c r="S51" i="14"/>
  <c r="U51" i="14" s="1"/>
  <c r="AB50" i="14"/>
  <c r="Y50" i="14"/>
  <c r="Z50" i="14" s="1"/>
  <c r="S50" i="14"/>
  <c r="U50" i="14" s="1"/>
  <c r="AB49" i="14"/>
  <c r="Y49" i="14"/>
  <c r="S49" i="14"/>
  <c r="U49" i="14" s="1"/>
  <c r="AB48" i="14"/>
  <c r="Z48" i="14"/>
  <c r="AB47" i="14"/>
  <c r="AB46" i="14"/>
  <c r="AC46" i="14" s="1"/>
  <c r="AB45" i="14"/>
  <c r="AC45" i="14" s="1"/>
  <c r="AB44" i="14"/>
  <c r="Y44" i="14"/>
  <c r="Z44" i="14" s="1"/>
  <c r="S44" i="14"/>
  <c r="U44" i="14" s="1"/>
  <c r="AB43" i="14"/>
  <c r="Y43" i="14"/>
  <c r="S43" i="14"/>
  <c r="U43" i="14" s="1"/>
  <c r="AB42" i="14"/>
  <c r="Z42" i="14"/>
  <c r="AB41" i="14"/>
  <c r="AB40" i="14"/>
  <c r="AC40" i="14" s="1"/>
  <c r="Z40" i="14"/>
  <c r="AB39" i="14"/>
  <c r="AB38" i="14"/>
  <c r="AC38" i="14" s="1"/>
  <c r="AB37" i="14"/>
  <c r="Z37" i="14"/>
  <c r="AB36" i="14"/>
  <c r="Y36" i="14"/>
  <c r="Z36" i="14" s="1"/>
  <c r="S36" i="14"/>
  <c r="U36" i="14" s="1"/>
  <c r="AB35" i="14"/>
  <c r="Y35" i="14"/>
  <c r="S35" i="14"/>
  <c r="U35" i="14" s="1"/>
  <c r="AB34" i="14"/>
  <c r="Z34" i="14"/>
  <c r="AB33" i="14"/>
  <c r="AB32" i="14"/>
  <c r="Y32" i="14"/>
  <c r="Z32" i="14" s="1"/>
  <c r="S32" i="14"/>
  <c r="U32" i="14" s="1"/>
  <c r="AB31" i="14"/>
  <c r="Y31" i="14"/>
  <c r="S31" i="14"/>
  <c r="U31" i="14" s="1"/>
  <c r="AB30" i="14"/>
  <c r="Y30" i="14"/>
  <c r="Z30" i="14" s="1"/>
  <c r="S30" i="14"/>
  <c r="U30" i="14" s="1"/>
  <c r="AB28" i="14"/>
  <c r="AC28" i="14" s="1"/>
  <c r="AB27" i="14"/>
  <c r="AC27" i="14" s="1"/>
  <c r="Z27" i="14"/>
  <c r="AB26" i="14"/>
  <c r="AC26" i="14" s="1"/>
  <c r="AB25" i="14"/>
  <c r="AC25" i="14" s="1"/>
  <c r="Z25" i="14"/>
  <c r="AB24" i="14"/>
  <c r="AC24" i="14" s="1"/>
  <c r="AB23" i="14"/>
  <c r="Y23" i="14"/>
  <c r="S23" i="14"/>
  <c r="U23" i="14" s="1"/>
  <c r="AB22" i="14"/>
  <c r="AB21" i="14"/>
  <c r="AC21" i="14" s="1"/>
  <c r="AB20" i="14"/>
  <c r="Y20" i="14"/>
  <c r="S20" i="14"/>
  <c r="U20" i="14" s="1"/>
  <c r="AB19" i="14"/>
  <c r="AB18" i="14"/>
  <c r="AB17" i="14"/>
  <c r="AB16" i="14"/>
  <c r="Z16" i="14"/>
  <c r="AB15" i="14"/>
  <c r="Y15" i="14"/>
  <c r="S15" i="14"/>
  <c r="U15" i="14" s="1"/>
  <c r="AB14" i="14"/>
  <c r="AB13" i="14"/>
  <c r="AB12" i="14"/>
  <c r="AB11" i="14"/>
  <c r="Y11" i="14"/>
  <c r="S11" i="14"/>
  <c r="U11" i="14" s="1"/>
  <c r="AB10" i="14"/>
  <c r="AB9" i="14"/>
  <c r="AB8" i="14"/>
  <c r="Z67" i="14"/>
  <c r="Z61" i="14"/>
  <c r="AJ56" i="14"/>
  <c r="AI56" i="14"/>
  <c r="AH56" i="14"/>
  <c r="AG56" i="14"/>
  <c r="AF56" i="14"/>
  <c r="AB7" i="14"/>
  <c r="Y49" i="8"/>
  <c r="S49" i="8"/>
  <c r="U49" i="8" s="1"/>
  <c r="Y50" i="7"/>
  <c r="S50" i="7"/>
  <c r="U50" i="7" s="1"/>
  <c r="AB50" i="7"/>
  <c r="AC50" i="7" s="1"/>
  <c r="C9" i="13"/>
  <c r="C8" i="13"/>
  <c r="C7" i="13"/>
  <c r="C6" i="13"/>
  <c r="C5" i="13"/>
  <c r="C4" i="13"/>
  <c r="C3" i="13"/>
  <c r="Y19" i="12"/>
  <c r="U19" i="12"/>
  <c r="Y19" i="11"/>
  <c r="U19" i="11"/>
  <c r="Y26" i="10"/>
  <c r="U26" i="10"/>
  <c r="Y26" i="9"/>
  <c r="U26" i="9"/>
  <c r="Y26" i="8"/>
  <c r="U26" i="8"/>
  <c r="Y19" i="7"/>
  <c r="U19" i="7"/>
  <c r="Y49" i="12"/>
  <c r="S49" i="12"/>
  <c r="U49" i="12" s="1"/>
  <c r="Y48" i="12"/>
  <c r="S48" i="12"/>
  <c r="U48" i="12" s="1"/>
  <c r="Y47" i="12"/>
  <c r="Q47" i="12"/>
  <c r="S47" i="12" s="1"/>
  <c r="U47" i="12" s="1"/>
  <c r="Y44" i="12"/>
  <c r="S44" i="12"/>
  <c r="U44" i="12" s="1"/>
  <c r="Y43" i="12"/>
  <c r="S43" i="12"/>
  <c r="U43" i="12" s="1"/>
  <c r="Y42" i="12"/>
  <c r="S42" i="12"/>
  <c r="U42" i="12" s="1"/>
  <c r="Y41" i="12"/>
  <c r="S41" i="12"/>
  <c r="U41" i="12" s="1"/>
  <c r="Y37" i="12"/>
  <c r="S37" i="12"/>
  <c r="U37" i="12" s="1"/>
  <c r="Y53" i="12"/>
  <c r="S53" i="12"/>
  <c r="U53" i="12" s="1"/>
  <c r="Y33" i="12"/>
  <c r="S33" i="12"/>
  <c r="U33" i="12" s="1"/>
  <c r="Y28" i="12"/>
  <c r="S28" i="12"/>
  <c r="U28" i="12" s="1"/>
  <c r="Y30" i="12"/>
  <c r="S30" i="12"/>
  <c r="U30" i="12" s="1"/>
  <c r="Y26" i="12"/>
  <c r="S26" i="12"/>
  <c r="U26" i="12" s="1"/>
  <c r="S25" i="12"/>
  <c r="U25" i="12" s="1"/>
  <c r="Y23" i="12"/>
  <c r="S23" i="12"/>
  <c r="U23" i="12" s="1"/>
  <c r="Y22" i="12"/>
  <c r="S22" i="12"/>
  <c r="U22" i="12" s="1"/>
  <c r="Y21" i="12"/>
  <c r="S21" i="12"/>
  <c r="U21" i="12" s="1"/>
  <c r="Y48" i="11"/>
  <c r="S48" i="11"/>
  <c r="U48" i="11" s="1"/>
  <c r="Q47" i="11"/>
  <c r="S47" i="11" s="1"/>
  <c r="U47" i="11" s="1"/>
  <c r="Y44" i="11"/>
  <c r="U44" i="11"/>
  <c r="S44" i="11"/>
  <c r="Y43" i="11"/>
  <c r="S43" i="11"/>
  <c r="U43" i="11" s="1"/>
  <c r="Y42" i="11"/>
  <c r="S42" i="11"/>
  <c r="U42" i="11" s="1"/>
  <c r="Y41" i="11"/>
  <c r="S41" i="11"/>
  <c r="U41" i="11" s="1"/>
  <c r="Y37" i="11"/>
  <c r="Y32" i="11"/>
  <c r="Y23" i="11"/>
  <c r="S23" i="11"/>
  <c r="U23" i="11" s="1"/>
  <c r="Y21" i="11"/>
  <c r="S21" i="11"/>
  <c r="U21" i="11" s="1"/>
  <c r="Y22" i="11"/>
  <c r="S22" i="11"/>
  <c r="U22" i="11" s="1"/>
  <c r="Y18" i="12"/>
  <c r="S18" i="12"/>
  <c r="U18" i="12" s="1"/>
  <c r="S17" i="12"/>
  <c r="U17" i="12" s="1"/>
  <c r="Y16" i="12"/>
  <c r="S16" i="12"/>
  <c r="U16" i="12" s="1"/>
  <c r="Y15" i="12"/>
  <c r="S15" i="12"/>
  <c r="U15" i="12" s="1"/>
  <c r="S14" i="12"/>
  <c r="U14" i="12" s="1"/>
  <c r="Y18" i="11"/>
  <c r="S18" i="11"/>
  <c r="U18" i="11" s="1"/>
  <c r="S17" i="11"/>
  <c r="U17" i="11" s="1"/>
  <c r="Y16" i="11"/>
  <c r="S16" i="11"/>
  <c r="U16" i="11" s="1"/>
  <c r="Y15" i="11"/>
  <c r="S15" i="11"/>
  <c r="U15" i="11" s="1"/>
  <c r="S14" i="11"/>
  <c r="U14" i="11" s="1"/>
  <c r="Y50" i="10"/>
  <c r="S50" i="10"/>
  <c r="U50" i="10" s="1"/>
  <c r="Y49" i="10"/>
  <c r="S49" i="10"/>
  <c r="U49" i="10" s="1"/>
  <c r="Y48" i="10"/>
  <c r="S48" i="10"/>
  <c r="U48" i="10" s="1"/>
  <c r="Y47" i="10"/>
  <c r="Q47" i="10"/>
  <c r="S47" i="10" s="1"/>
  <c r="U47" i="10" s="1"/>
  <c r="Y44" i="10"/>
  <c r="S44" i="10"/>
  <c r="U44" i="10" s="1"/>
  <c r="Y43" i="10"/>
  <c r="S43" i="10"/>
  <c r="U43" i="10" s="1"/>
  <c r="Y54" i="9"/>
  <c r="S54" i="9"/>
  <c r="U54" i="9" s="1"/>
  <c r="Y47" i="9"/>
  <c r="S47" i="9"/>
  <c r="U47" i="9" s="1"/>
  <c r="Y46" i="9"/>
  <c r="S46" i="9"/>
  <c r="U46" i="9" s="1"/>
  <c r="AC9" i="14" l="1"/>
  <c r="AC13" i="14"/>
  <c r="AC22" i="14"/>
  <c r="AC11" i="14"/>
  <c r="AC44" i="14"/>
  <c r="X31" i="14"/>
  <c r="X14" i="14"/>
  <c r="X18" i="14"/>
  <c r="X52" i="14"/>
  <c r="AD52" i="14" s="1"/>
  <c r="AE52" i="14" s="1"/>
  <c r="X54" i="14"/>
  <c r="X8" i="14"/>
  <c r="AD29" i="14"/>
  <c r="AE29" i="14" s="1"/>
  <c r="X17" i="14"/>
  <c r="AC51" i="14"/>
  <c r="Z46" i="14"/>
  <c r="AC10" i="14"/>
  <c r="AC30" i="14"/>
  <c r="X35" i="14"/>
  <c r="AC36" i="14"/>
  <c r="Z38" i="14"/>
  <c r="AC42" i="14"/>
  <c r="AC48" i="14"/>
  <c r="AC32" i="14"/>
  <c r="AC31" i="14"/>
  <c r="AC15" i="14"/>
  <c r="AC35" i="14"/>
  <c r="AC12" i="14"/>
  <c r="X16" i="14"/>
  <c r="X20" i="14"/>
  <c r="AC33" i="14"/>
  <c r="AC53" i="14"/>
  <c r="AC20" i="14"/>
  <c r="AC50" i="14"/>
  <c r="X19" i="14"/>
  <c r="AC23" i="14"/>
  <c r="AC39" i="14"/>
  <c r="AD39" i="14" s="1"/>
  <c r="AE39" i="14" s="1"/>
  <c r="X43" i="14"/>
  <c r="AC16" i="14"/>
  <c r="X22" i="14"/>
  <c r="AC34" i="14"/>
  <c r="AD34" i="14" s="1"/>
  <c r="AE34" i="14" s="1"/>
  <c r="X36" i="14"/>
  <c r="AD38" i="14"/>
  <c r="AE38" i="14" s="1"/>
  <c r="AC41" i="14"/>
  <c r="AD41" i="14" s="1"/>
  <c r="AE41" i="14" s="1"/>
  <c r="AC54" i="14"/>
  <c r="AC19" i="14"/>
  <c r="AC43" i="14"/>
  <c r="AC47" i="14"/>
  <c r="AC17" i="14"/>
  <c r="AC49" i="14"/>
  <c r="AC8" i="14"/>
  <c r="X21" i="14"/>
  <c r="AD21" i="14" s="1"/>
  <c r="AE21" i="14" s="1"/>
  <c r="Z23" i="14"/>
  <c r="X32" i="14"/>
  <c r="AD48" i="14"/>
  <c r="AE48" i="14" s="1"/>
  <c r="X50" i="14"/>
  <c r="AD7" i="15"/>
  <c r="AE7" i="15" s="1"/>
  <c r="AD11" i="15"/>
  <c r="AE11" i="15" s="1"/>
  <c r="X23" i="14"/>
  <c r="X12" i="14"/>
  <c r="AD8" i="15"/>
  <c r="AE8" i="15" s="1"/>
  <c r="AD27" i="14"/>
  <c r="AE27" i="14" s="1"/>
  <c r="AD33" i="14"/>
  <c r="AE33" i="14" s="1"/>
  <c r="AD40" i="14"/>
  <c r="AE40" i="14" s="1"/>
  <c r="X49" i="14"/>
  <c r="X9" i="14"/>
  <c r="X51" i="14"/>
  <c r="AD25" i="14"/>
  <c r="AE25" i="14" s="1"/>
  <c r="X11" i="14"/>
  <c r="AD11" i="14" s="1"/>
  <c r="AE11" i="14" s="1"/>
  <c r="X15" i="14"/>
  <c r="X30" i="14"/>
  <c r="AD30" i="14" s="1"/>
  <c r="AE30" i="14" s="1"/>
  <c r="X44" i="14"/>
  <c r="AD44" i="14" s="1"/>
  <c r="AE44" i="14" s="1"/>
  <c r="AD46" i="14"/>
  <c r="AE46" i="14" s="1"/>
  <c r="X53" i="14"/>
  <c r="X7" i="14"/>
  <c r="X10" i="14"/>
  <c r="X13" i="14"/>
  <c r="Z20" i="14"/>
  <c r="AC18" i="14"/>
  <c r="AC14" i="14"/>
  <c r="Z12" i="14"/>
  <c r="Z8" i="14"/>
  <c r="AD10" i="15"/>
  <c r="AE10" i="15" s="1"/>
  <c r="AC9" i="15"/>
  <c r="AD9" i="15" s="1"/>
  <c r="AE9" i="15" s="1"/>
  <c r="Z10" i="15"/>
  <c r="AD24" i="14"/>
  <c r="AE24" i="14" s="1"/>
  <c r="AD26" i="14"/>
  <c r="AE26" i="14" s="1"/>
  <c r="AD28" i="14"/>
  <c r="AE28" i="14" s="1"/>
  <c r="AD45" i="14"/>
  <c r="AE45" i="14" s="1"/>
  <c r="Z11" i="14"/>
  <c r="Z15" i="14"/>
  <c r="Z19" i="14"/>
  <c r="Z26" i="14"/>
  <c r="Z33" i="14"/>
  <c r="Z41" i="14"/>
  <c r="Z45" i="14"/>
  <c r="Z49" i="14"/>
  <c r="Z53" i="14"/>
  <c r="AC37" i="14"/>
  <c r="Z9" i="14"/>
  <c r="Z13" i="14"/>
  <c r="Z17" i="14"/>
  <c r="Z21" i="14"/>
  <c r="Z24" i="14"/>
  <c r="Z28" i="14"/>
  <c r="Z31" i="14"/>
  <c r="Z35" i="14"/>
  <c r="Z39" i="14"/>
  <c r="Z43" i="14"/>
  <c r="Z47" i="14"/>
  <c r="Z51" i="14"/>
  <c r="AC7" i="14"/>
  <c r="X26" i="8"/>
  <c r="X26" i="9"/>
  <c r="X19" i="12"/>
  <c r="X26" i="10"/>
  <c r="X49" i="8"/>
  <c r="X19" i="11"/>
  <c r="X50" i="7"/>
  <c r="AD50" i="7" s="1"/>
  <c r="AE50" i="7" s="1"/>
  <c r="Z50" i="7"/>
  <c r="X19" i="7"/>
  <c r="X18" i="11"/>
  <c r="X43" i="10"/>
  <c r="X37" i="12"/>
  <c r="X41" i="11"/>
  <c r="X42" i="11"/>
  <c r="X44" i="12"/>
  <c r="X43" i="11"/>
  <c r="X47" i="12"/>
  <c r="X43" i="12"/>
  <c r="X16" i="12"/>
  <c r="X21" i="12"/>
  <c r="X48" i="12"/>
  <c r="X41" i="12"/>
  <c r="X14" i="12"/>
  <c r="X17" i="12"/>
  <c r="X22" i="12"/>
  <c r="X42" i="12"/>
  <c r="X49" i="12"/>
  <c r="X15" i="12"/>
  <c r="X18" i="12"/>
  <c r="X28" i="12"/>
  <c r="X26" i="12"/>
  <c r="X23" i="12"/>
  <c r="X33" i="12"/>
  <c r="X30" i="12"/>
  <c r="X25" i="12"/>
  <c r="X53" i="12"/>
  <c r="X44" i="11"/>
  <c r="X22" i="11"/>
  <c r="X47" i="11"/>
  <c r="X21" i="11"/>
  <c r="X48" i="11"/>
  <c r="Y47" i="11"/>
  <c r="X16" i="11"/>
  <c r="X14" i="11"/>
  <c r="X17" i="11"/>
  <c r="X15" i="11"/>
  <c r="X23" i="11"/>
  <c r="X49" i="10"/>
  <c r="X44" i="10"/>
  <c r="X47" i="10"/>
  <c r="X48" i="10"/>
  <c r="X50" i="10"/>
  <c r="X47" i="9"/>
  <c r="X46" i="9"/>
  <c r="X54" i="9"/>
  <c r="Y53" i="9"/>
  <c r="S53" i="9"/>
  <c r="U53" i="9" s="1"/>
  <c r="Y52" i="9"/>
  <c r="S52" i="9"/>
  <c r="U52" i="9" s="1"/>
  <c r="Y51" i="9"/>
  <c r="S51" i="9"/>
  <c r="U51" i="9" s="1"/>
  <c r="Q50" i="9"/>
  <c r="S50" i="9" s="1"/>
  <c r="U50" i="9" s="1"/>
  <c r="Y45" i="9"/>
  <c r="S45" i="9"/>
  <c r="U45" i="9" s="1"/>
  <c r="Y44" i="9"/>
  <c r="S44" i="9"/>
  <c r="U44" i="9" s="1"/>
  <c r="Y43" i="9"/>
  <c r="S43" i="9"/>
  <c r="U43" i="9" s="1"/>
  <c r="Y42" i="9"/>
  <c r="S42" i="9"/>
  <c r="U42" i="9" s="1"/>
  <c r="Y42" i="10"/>
  <c r="S42" i="10"/>
  <c r="U42" i="10" s="1"/>
  <c r="Y41" i="10"/>
  <c r="S41" i="10"/>
  <c r="U41" i="10" s="1"/>
  <c r="Y39" i="9"/>
  <c r="S39" i="9"/>
  <c r="U39" i="9" s="1"/>
  <c r="Y38" i="9"/>
  <c r="S38" i="9"/>
  <c r="U38" i="9" s="1"/>
  <c r="Y37" i="9"/>
  <c r="S37" i="9"/>
  <c r="U37" i="9" s="1"/>
  <c r="Y36" i="9"/>
  <c r="S36" i="9"/>
  <c r="U36" i="9" s="1"/>
  <c r="U35" i="9"/>
  <c r="S35" i="9"/>
  <c r="Y34" i="9"/>
  <c r="S34" i="9"/>
  <c r="U34" i="9" s="1"/>
  <c r="Y33" i="9"/>
  <c r="S33" i="9"/>
  <c r="U33" i="9" s="1"/>
  <c r="Y32" i="9"/>
  <c r="S32" i="9"/>
  <c r="U32" i="9" s="1"/>
  <c r="Y38" i="10"/>
  <c r="S38" i="10"/>
  <c r="U38" i="10" s="1"/>
  <c r="Y37" i="10"/>
  <c r="S37" i="10"/>
  <c r="U37" i="10" s="1"/>
  <c r="S35" i="10"/>
  <c r="U35" i="10" s="1"/>
  <c r="S34" i="10"/>
  <c r="U34" i="10" s="1"/>
  <c r="Y33" i="10"/>
  <c r="S33" i="10"/>
  <c r="U33" i="10" s="1"/>
  <c r="Y32" i="10"/>
  <c r="S32" i="10"/>
  <c r="U32" i="10" s="1"/>
  <c r="Y30" i="10"/>
  <c r="S30" i="10"/>
  <c r="U30" i="10" s="1"/>
  <c r="Y29" i="10"/>
  <c r="S29" i="10"/>
  <c r="U29" i="10" s="1"/>
  <c r="Y28" i="10"/>
  <c r="S28" i="10"/>
  <c r="U28" i="10" s="1"/>
  <c r="Y30" i="9"/>
  <c r="S30" i="9"/>
  <c r="U30" i="9" s="1"/>
  <c r="Y29" i="9"/>
  <c r="S29" i="9"/>
  <c r="U29" i="9" s="1"/>
  <c r="Y28" i="9"/>
  <c r="S28" i="9"/>
  <c r="U28" i="9" s="1"/>
  <c r="Y25" i="10"/>
  <c r="S25" i="10"/>
  <c r="U25" i="10" s="1"/>
  <c r="S24" i="10"/>
  <c r="U24" i="10" s="1"/>
  <c r="Y23" i="10"/>
  <c r="S23" i="10"/>
  <c r="U23" i="10" s="1"/>
  <c r="Y22" i="10"/>
  <c r="S22" i="10"/>
  <c r="U22" i="10" s="1"/>
  <c r="Y21" i="10"/>
  <c r="S21" i="10"/>
  <c r="U21" i="10" s="1"/>
  <c r="Y25" i="9"/>
  <c r="S25" i="9"/>
  <c r="U25" i="9" s="1"/>
  <c r="S24" i="9"/>
  <c r="U24" i="9" s="1"/>
  <c r="Y23" i="9"/>
  <c r="S23" i="9"/>
  <c r="U23" i="9" s="1"/>
  <c r="Y22" i="9"/>
  <c r="S22" i="9"/>
  <c r="U22" i="9" s="1"/>
  <c r="Y21" i="9"/>
  <c r="S21" i="9"/>
  <c r="U21" i="9" s="1"/>
  <c r="Y19" i="10"/>
  <c r="S19" i="10"/>
  <c r="U19" i="10" s="1"/>
  <c r="Y18" i="10"/>
  <c r="S18" i="10"/>
  <c r="U18" i="10" s="1"/>
  <c r="S17" i="10"/>
  <c r="U17" i="10" s="1"/>
  <c r="Y16" i="10"/>
  <c r="S16" i="10"/>
  <c r="U16" i="10" s="1"/>
  <c r="Y15" i="10"/>
  <c r="S15" i="10"/>
  <c r="U15" i="10" s="1"/>
  <c r="S14" i="10"/>
  <c r="U14" i="10" s="1"/>
  <c r="Y19" i="9"/>
  <c r="S19" i="9"/>
  <c r="U19" i="9" s="1"/>
  <c r="S18" i="9"/>
  <c r="U18" i="9" s="1"/>
  <c r="S17" i="9"/>
  <c r="U17" i="9" s="1"/>
  <c r="Y16" i="9"/>
  <c r="S16" i="9"/>
  <c r="U16" i="9" s="1"/>
  <c r="Y15" i="9"/>
  <c r="S15" i="9"/>
  <c r="U15" i="9" s="1"/>
  <c r="S14" i="9"/>
  <c r="U14" i="9" s="1"/>
  <c r="AD31" i="14" l="1"/>
  <c r="AE31" i="14" s="1"/>
  <c r="AD8" i="14"/>
  <c r="AE8" i="14" s="1"/>
  <c r="AD22" i="14"/>
  <c r="AE22" i="14" s="1"/>
  <c r="AD51" i="14"/>
  <c r="AE51" i="14" s="1"/>
  <c r="AD18" i="14"/>
  <c r="AE18" i="14" s="1"/>
  <c r="AD36" i="14"/>
  <c r="AE36" i="14" s="1"/>
  <c r="AD13" i="14"/>
  <c r="AE13" i="14" s="1"/>
  <c r="Z59" i="14"/>
  <c r="AD20" i="14"/>
  <c r="AE20" i="14" s="1"/>
  <c r="AD9" i="14"/>
  <c r="AE9" i="14" s="1"/>
  <c r="AD23" i="14"/>
  <c r="AE23" i="14" s="1"/>
  <c r="AD32" i="14"/>
  <c r="AE32" i="14" s="1"/>
  <c r="AD10" i="14"/>
  <c r="AE10" i="14" s="1"/>
  <c r="AD53" i="14"/>
  <c r="AE53" i="14" s="1"/>
  <c r="AD16" i="14"/>
  <c r="AE16" i="14" s="1"/>
  <c r="AD19" i="14"/>
  <c r="AE19" i="14" s="1"/>
  <c r="AD54" i="14"/>
  <c r="AE54" i="14" s="1"/>
  <c r="AD35" i="14"/>
  <c r="AE35" i="14" s="1"/>
  <c r="AD14" i="14"/>
  <c r="AE14" i="14" s="1"/>
  <c r="AD43" i="14"/>
  <c r="AE43" i="14" s="1"/>
  <c r="AD49" i="14"/>
  <c r="AE49" i="14" s="1"/>
  <c r="AD50" i="14"/>
  <c r="AE50" i="14" s="1"/>
  <c r="AD17" i="14"/>
  <c r="AE17" i="14" s="1"/>
  <c r="AD42" i="14"/>
  <c r="AE42" i="14" s="1"/>
  <c r="AD12" i="14"/>
  <c r="AE12" i="14" s="1"/>
  <c r="AD15" i="14"/>
  <c r="AE15" i="14" s="1"/>
  <c r="AD47" i="14"/>
  <c r="AE47" i="14" s="1"/>
  <c r="Z41" i="15"/>
  <c r="C11" i="13" s="1"/>
  <c r="F11" i="13" s="1"/>
  <c r="AD37" i="14"/>
  <c r="AE37" i="14" s="1"/>
  <c r="Z56" i="14"/>
  <c r="AC41" i="15"/>
  <c r="AD41" i="15"/>
  <c r="AD7" i="14"/>
  <c r="AC56" i="14"/>
  <c r="X15" i="10"/>
  <c r="X28" i="10"/>
  <c r="X41" i="10"/>
  <c r="X16" i="10"/>
  <c r="X36" i="9"/>
  <c r="X23" i="9"/>
  <c r="X42" i="9"/>
  <c r="X15" i="9"/>
  <c r="X19" i="10"/>
  <c r="X35" i="9"/>
  <c r="Y50" i="9"/>
  <c r="X24" i="9"/>
  <c r="X28" i="9"/>
  <c r="X42" i="10"/>
  <c r="X34" i="9"/>
  <c r="X18" i="9"/>
  <c r="X21" i="9"/>
  <c r="X23" i="10"/>
  <c r="X29" i="10"/>
  <c r="X32" i="9"/>
  <c r="X43" i="9"/>
  <c r="X51" i="9"/>
  <c r="X19" i="9"/>
  <c r="X18" i="10"/>
  <c r="X33" i="9"/>
  <c r="X38" i="9"/>
  <c r="X44" i="9"/>
  <c r="X16" i="9"/>
  <c r="X29" i="9"/>
  <c r="X39" i="9"/>
  <c r="X52" i="9"/>
  <c r="X14" i="9"/>
  <c r="X22" i="9"/>
  <c r="X37" i="9"/>
  <c r="X50" i="9"/>
  <c r="X25" i="9"/>
  <c r="X17" i="9"/>
  <c r="X30" i="9"/>
  <c r="X45" i="9"/>
  <c r="X53" i="9"/>
  <c r="X25" i="10"/>
  <c r="X32" i="10"/>
  <c r="X35" i="10"/>
  <c r="X14" i="10"/>
  <c r="X21" i="10"/>
  <c r="X33" i="10"/>
  <c r="X37" i="10"/>
  <c r="X24" i="10"/>
  <c r="X30" i="10"/>
  <c r="X17" i="10"/>
  <c r="X22" i="10"/>
  <c r="X34" i="10"/>
  <c r="X38" i="10"/>
  <c r="Y22" i="8"/>
  <c r="Y47" i="8"/>
  <c r="S47" i="8"/>
  <c r="U47" i="8" s="1"/>
  <c r="AE41" i="15" l="1"/>
  <c r="D11" i="13" s="1"/>
  <c r="AD56" i="14"/>
  <c r="AE56" i="14" s="1"/>
  <c r="D10" i="13" s="1"/>
  <c r="AE7" i="14"/>
  <c r="X47" i="8"/>
  <c r="AB47" i="8"/>
  <c r="AC47" i="8" s="1"/>
  <c r="Z47" i="8"/>
  <c r="Y48" i="8"/>
  <c r="S48" i="8"/>
  <c r="U48" i="8" s="1"/>
  <c r="Y46" i="8"/>
  <c r="S46" i="8"/>
  <c r="U46" i="8" s="1"/>
  <c r="Q45" i="8"/>
  <c r="S45" i="8" s="1"/>
  <c r="U45" i="8" s="1"/>
  <c r="Y42" i="8"/>
  <c r="S42" i="8"/>
  <c r="U42" i="8" s="1"/>
  <c r="Y41" i="8"/>
  <c r="S41" i="8"/>
  <c r="U41" i="8" s="1"/>
  <c r="Y44" i="8"/>
  <c r="S44" i="8"/>
  <c r="U44" i="8" s="1"/>
  <c r="Y43" i="8"/>
  <c r="S43" i="8"/>
  <c r="U43" i="8" s="1"/>
  <c r="Y40" i="8"/>
  <c r="S40" i="8"/>
  <c r="U40" i="8" s="1"/>
  <c r="Y39" i="8"/>
  <c r="S39" i="8"/>
  <c r="U39" i="8" s="1"/>
  <c r="S38" i="8"/>
  <c r="U38" i="8" s="1"/>
  <c r="Y38" i="8"/>
  <c r="Y35" i="8"/>
  <c r="S35" i="8"/>
  <c r="U35" i="8" s="1"/>
  <c r="Y33" i="8"/>
  <c r="S33" i="8"/>
  <c r="U33" i="8" s="1"/>
  <c r="Y32" i="8"/>
  <c r="S32" i="8"/>
  <c r="U32" i="8" s="1"/>
  <c r="Y30" i="8"/>
  <c r="S30" i="8"/>
  <c r="U30" i="8" s="1"/>
  <c r="Y29" i="8"/>
  <c r="S29" i="8"/>
  <c r="U29" i="8" s="1"/>
  <c r="Y28" i="8"/>
  <c r="S28" i="8"/>
  <c r="U28" i="8" s="1"/>
  <c r="Y25" i="8"/>
  <c r="S25" i="8"/>
  <c r="U25" i="8" s="1"/>
  <c r="S24" i="8"/>
  <c r="U24" i="8" s="1"/>
  <c r="Y23" i="8"/>
  <c r="S23" i="8"/>
  <c r="U23" i="8" s="1"/>
  <c r="S22" i="8"/>
  <c r="U22" i="8" s="1"/>
  <c r="Y21" i="8"/>
  <c r="S21" i="8"/>
  <c r="U21" i="8" s="1"/>
  <c r="Y18" i="8"/>
  <c r="S18" i="8"/>
  <c r="U18" i="8" s="1"/>
  <c r="S17" i="8"/>
  <c r="U17" i="8" s="1"/>
  <c r="Y16" i="8"/>
  <c r="S16" i="8"/>
  <c r="U16" i="8" s="1"/>
  <c r="S14" i="8"/>
  <c r="U14" i="8" s="1"/>
  <c r="Y45" i="8" l="1"/>
  <c r="X39" i="8"/>
  <c r="X42" i="8"/>
  <c r="X17" i="8"/>
  <c r="X32" i="8"/>
  <c r="X44" i="8"/>
  <c r="X14" i="8"/>
  <c r="X46" i="8"/>
  <c r="X41" i="8"/>
  <c r="X16" i="8"/>
  <c r="X30" i="8"/>
  <c r="AD47" i="8"/>
  <c r="AE47" i="8" s="1"/>
  <c r="X28" i="8"/>
  <c r="X48" i="8"/>
  <c r="X25" i="8"/>
  <c r="X38" i="8"/>
  <c r="X21" i="8"/>
  <c r="X24" i="8"/>
  <c r="X35" i="8"/>
  <c r="X43" i="8"/>
  <c r="X22" i="8"/>
  <c r="X29" i="8"/>
  <c r="X45" i="8"/>
  <c r="X18" i="8"/>
  <c r="X23" i="8"/>
  <c r="X33" i="8"/>
  <c r="X40" i="8"/>
  <c r="Y43" i="7" l="1"/>
  <c r="U43" i="7"/>
  <c r="S43" i="7"/>
  <c r="Y42" i="7"/>
  <c r="Y51" i="7"/>
  <c r="S51" i="7"/>
  <c r="U51" i="7" s="1"/>
  <c r="AB44" i="7"/>
  <c r="Y44" i="7"/>
  <c r="S44" i="7"/>
  <c r="U44" i="7" s="1"/>
  <c r="AB42" i="7"/>
  <c r="S42" i="7"/>
  <c r="U42" i="7" s="1"/>
  <c r="Y49" i="7"/>
  <c r="S49" i="7"/>
  <c r="U49" i="7" s="1"/>
  <c r="Y48" i="7"/>
  <c r="S48" i="7"/>
  <c r="U48" i="7" s="1"/>
  <c r="Y47" i="7"/>
  <c r="S47" i="7"/>
  <c r="U47" i="7" s="1"/>
  <c r="Q46" i="7"/>
  <c r="Y46" i="7" s="1"/>
  <c r="Y45" i="7"/>
  <c r="S45" i="7"/>
  <c r="U45" i="7" s="1"/>
  <c r="Y41" i="7"/>
  <c r="S41" i="7"/>
  <c r="U41" i="7" s="1"/>
  <c r="Y40" i="7"/>
  <c r="S40" i="7"/>
  <c r="U40" i="7" s="1"/>
  <c r="Y39" i="7"/>
  <c r="S39" i="7"/>
  <c r="U39" i="7" s="1"/>
  <c r="Y38" i="7"/>
  <c r="S38" i="7"/>
  <c r="U38" i="7" s="1"/>
  <c r="Y34" i="7"/>
  <c r="S34" i="7"/>
  <c r="U34" i="7" s="1"/>
  <c r="Y32" i="7"/>
  <c r="S32" i="7"/>
  <c r="U32" i="7" s="1"/>
  <c r="S31" i="7"/>
  <c r="U31" i="7" s="1"/>
  <c r="Y29" i="7"/>
  <c r="S29" i="7"/>
  <c r="U29" i="7" s="1"/>
  <c r="Y28" i="7"/>
  <c r="S28" i="7"/>
  <c r="U28" i="7" s="1"/>
  <c r="Y27" i="7"/>
  <c r="S27" i="7"/>
  <c r="U27" i="7" s="1"/>
  <c r="Y26" i="7"/>
  <c r="S26" i="7"/>
  <c r="U26" i="7" s="1"/>
  <c r="Y25" i="7"/>
  <c r="S25" i="7"/>
  <c r="U25" i="7" s="1"/>
  <c r="Y24" i="7"/>
  <c r="S24" i="7"/>
  <c r="U24" i="7" s="1"/>
  <c r="Y23" i="7"/>
  <c r="S23" i="7"/>
  <c r="U23" i="7" s="1"/>
  <c r="Y22" i="7"/>
  <c r="S22" i="7"/>
  <c r="U22" i="7" s="1"/>
  <c r="Y21" i="7"/>
  <c r="S21" i="7"/>
  <c r="U21" i="7" s="1"/>
  <c r="Y20" i="7"/>
  <c r="S20" i="7"/>
  <c r="U20" i="7" s="1"/>
  <c r="Y18" i="7"/>
  <c r="S18" i="7"/>
  <c r="U18" i="7" s="1"/>
  <c r="S17" i="7"/>
  <c r="U17" i="7" s="1"/>
  <c r="Y16" i="7"/>
  <c r="S16" i="7"/>
  <c r="U16" i="7" s="1"/>
  <c r="Y15" i="7"/>
  <c r="S15" i="7"/>
  <c r="U15" i="7" s="1"/>
  <c r="S14" i="7"/>
  <c r="U14" i="7" s="1"/>
  <c r="AC42" i="7" l="1"/>
  <c r="AC44" i="7"/>
  <c r="X45" i="7"/>
  <c r="X48" i="7"/>
  <c r="X43" i="7"/>
  <c r="X14" i="7"/>
  <c r="X31" i="7"/>
  <c r="X34" i="7"/>
  <c r="X44" i="7"/>
  <c r="X42" i="7"/>
  <c r="AD42" i="7" s="1"/>
  <c r="AE42" i="7" s="1"/>
  <c r="X40" i="7"/>
  <c r="X51" i="7"/>
  <c r="X25" i="7"/>
  <c r="X38" i="7"/>
  <c r="Z42" i="7"/>
  <c r="Z44" i="7"/>
  <c r="X20" i="7"/>
  <c r="X28" i="7"/>
  <c r="X32" i="7"/>
  <c r="X41" i="7"/>
  <c r="X15" i="7"/>
  <c r="X23" i="7"/>
  <c r="X49" i="7"/>
  <c r="X18" i="7"/>
  <c r="X26" i="7"/>
  <c r="X21" i="7"/>
  <c r="X29" i="7"/>
  <c r="X47" i="7"/>
  <c r="X17" i="7"/>
  <c r="X22" i="7"/>
  <c r="X24" i="7"/>
  <c r="X27" i="7"/>
  <c r="X39" i="7"/>
  <c r="S46" i="7"/>
  <c r="U46" i="7" s="1"/>
  <c r="X46" i="7" s="1"/>
  <c r="X16" i="7"/>
  <c r="AD44" i="7" l="1"/>
  <c r="AE44" i="7" s="1"/>
  <c r="Y13" i="12"/>
  <c r="S13" i="12"/>
  <c r="U13" i="12" s="1"/>
  <c r="Y12" i="12"/>
  <c r="S12" i="12"/>
  <c r="U12" i="12" s="1"/>
  <c r="Y11" i="12"/>
  <c r="S11" i="12"/>
  <c r="U11" i="12" s="1"/>
  <c r="Y10" i="12"/>
  <c r="S10" i="12"/>
  <c r="U10" i="12" s="1"/>
  <c r="Z61" i="12"/>
  <c r="S9" i="12"/>
  <c r="U9" i="12" s="1"/>
  <c r="Y8" i="12"/>
  <c r="S8" i="12"/>
  <c r="U8" i="12" s="1"/>
  <c r="Y7" i="12"/>
  <c r="S7" i="12"/>
  <c r="U7" i="12" s="1"/>
  <c r="Y13" i="11"/>
  <c r="S13" i="11"/>
  <c r="U13" i="11" s="1"/>
  <c r="Y12" i="11"/>
  <c r="S12" i="11"/>
  <c r="U12" i="11" s="1"/>
  <c r="Y11" i="11"/>
  <c r="S11" i="11"/>
  <c r="U11" i="11" s="1"/>
  <c r="Y10" i="11"/>
  <c r="S10" i="11"/>
  <c r="U10" i="11" s="1"/>
  <c r="Z60" i="11"/>
  <c r="S9" i="11"/>
  <c r="U9" i="11" s="1"/>
  <c r="Y8" i="11"/>
  <c r="U8" i="11"/>
  <c r="S8" i="11"/>
  <c r="Y7" i="11"/>
  <c r="S7" i="11"/>
  <c r="U7" i="11" s="1"/>
  <c r="Y13" i="10"/>
  <c r="S13" i="10"/>
  <c r="U13" i="10" s="1"/>
  <c r="Y12" i="10"/>
  <c r="S12" i="10"/>
  <c r="U12" i="10" s="1"/>
  <c r="Y11" i="10"/>
  <c r="S11" i="10"/>
  <c r="U11" i="10" s="1"/>
  <c r="Y10" i="10"/>
  <c r="S10" i="10"/>
  <c r="U10" i="10" s="1"/>
  <c r="Z62" i="10"/>
  <c r="S9" i="10"/>
  <c r="U9" i="10" s="1"/>
  <c r="Y8" i="10"/>
  <c r="S8" i="10"/>
  <c r="U8" i="10" s="1"/>
  <c r="Y7" i="10"/>
  <c r="S7" i="10"/>
  <c r="U7" i="10" s="1"/>
  <c r="Y13" i="9"/>
  <c r="S13" i="9"/>
  <c r="U13" i="9" s="1"/>
  <c r="Y12" i="9"/>
  <c r="S12" i="9"/>
  <c r="U12" i="9" s="1"/>
  <c r="Y11" i="9"/>
  <c r="S11" i="9"/>
  <c r="U11" i="9" s="1"/>
  <c r="Y10" i="9"/>
  <c r="S10" i="9"/>
  <c r="U10" i="9" s="1"/>
  <c r="Z65" i="9"/>
  <c r="S9" i="9"/>
  <c r="U9" i="9" s="1"/>
  <c r="Y8" i="9"/>
  <c r="S8" i="9"/>
  <c r="U8" i="9" s="1"/>
  <c r="Y7" i="9"/>
  <c r="S7" i="9"/>
  <c r="U7" i="9" s="1"/>
  <c r="Y13" i="8"/>
  <c r="S13" i="8"/>
  <c r="U13" i="8" s="1"/>
  <c r="Y12" i="8"/>
  <c r="S12" i="8"/>
  <c r="U12" i="8" s="1"/>
  <c r="Y11" i="8"/>
  <c r="S11" i="8"/>
  <c r="U11" i="8" s="1"/>
  <c r="Y10" i="8"/>
  <c r="S10" i="8"/>
  <c r="U10" i="8" s="1"/>
  <c r="Z56" i="8"/>
  <c r="S9" i="8"/>
  <c r="U9" i="8" s="1"/>
  <c r="Y8" i="8"/>
  <c r="S8" i="8"/>
  <c r="U8" i="8" s="1"/>
  <c r="Y7" i="8"/>
  <c r="S7" i="8"/>
  <c r="U7" i="8" s="1"/>
  <c r="Y13" i="7"/>
  <c r="S13" i="7"/>
  <c r="U13" i="7" s="1"/>
  <c r="Y12" i="7"/>
  <c r="S12" i="7"/>
  <c r="U12" i="7" s="1"/>
  <c r="Y11" i="7"/>
  <c r="S11" i="7"/>
  <c r="U11" i="7" s="1"/>
  <c r="Y10" i="7"/>
  <c r="S10" i="7"/>
  <c r="U10" i="7" s="1"/>
  <c r="Z61" i="7"/>
  <c r="S9" i="7"/>
  <c r="U9" i="7" s="1"/>
  <c r="Y8" i="7"/>
  <c r="S8" i="7"/>
  <c r="U8" i="7" s="1"/>
  <c r="Y7" i="7"/>
  <c r="S7" i="7"/>
  <c r="U7" i="7" s="1"/>
  <c r="Y46" i="6"/>
  <c r="S46" i="6"/>
  <c r="U46" i="6" s="1"/>
  <c r="Y45" i="6"/>
  <c r="S45" i="6"/>
  <c r="U45" i="6" s="1"/>
  <c r="Y44" i="6"/>
  <c r="S44" i="6"/>
  <c r="U44" i="6" s="1"/>
  <c r="Q43" i="6"/>
  <c r="S43" i="6" s="1"/>
  <c r="U43" i="6" s="1"/>
  <c r="Y38" i="6"/>
  <c r="Y40" i="6"/>
  <c r="S40" i="6"/>
  <c r="U40" i="6" s="1"/>
  <c r="Y41" i="6"/>
  <c r="S41" i="6"/>
  <c r="U41" i="6" s="1"/>
  <c r="Y39" i="6"/>
  <c r="S39" i="6"/>
  <c r="U39" i="6" s="1"/>
  <c r="S38" i="6"/>
  <c r="U38" i="6" s="1"/>
  <c r="Y37" i="6"/>
  <c r="S33" i="6"/>
  <c r="U33" i="6" s="1"/>
  <c r="X11" i="8" l="1"/>
  <c r="X9" i="11"/>
  <c r="X12" i="11"/>
  <c r="X10" i="9"/>
  <c r="X11" i="7"/>
  <c r="X12" i="7"/>
  <c r="X12" i="8"/>
  <c r="X7" i="10"/>
  <c r="X8" i="8"/>
  <c r="X9" i="9"/>
  <c r="X9" i="10"/>
  <c r="X7" i="11"/>
  <c r="X12" i="10"/>
  <c r="X9" i="8"/>
  <c r="X8" i="11"/>
  <c r="X9" i="7"/>
  <c r="X10" i="8"/>
  <c r="X7" i="8"/>
  <c r="Z64" i="8"/>
  <c r="Z60" i="8"/>
  <c r="Z58" i="8"/>
  <c r="X9" i="12"/>
  <c r="X12" i="12"/>
  <c r="X12" i="9"/>
  <c r="X8" i="12"/>
  <c r="X10" i="7"/>
  <c r="X8" i="9"/>
  <c r="X13" i="11"/>
  <c r="X11" i="9"/>
  <c r="X11" i="10"/>
  <c r="X7" i="7"/>
  <c r="X7" i="9"/>
  <c r="X7" i="12"/>
  <c r="X10" i="10"/>
  <c r="X10" i="11"/>
  <c r="X10" i="12"/>
  <c r="X8" i="7"/>
  <c r="X13" i="7"/>
  <c r="X8" i="10"/>
  <c r="X13" i="10"/>
  <c r="X13" i="12"/>
  <c r="X13" i="8"/>
  <c r="X13" i="9"/>
  <c r="X11" i="11"/>
  <c r="X11" i="12"/>
  <c r="X46" i="6"/>
  <c r="X38" i="6"/>
  <c r="X43" i="6"/>
  <c r="X33" i="6"/>
  <c r="X40" i="6"/>
  <c r="X45" i="6"/>
  <c r="X39" i="6"/>
  <c r="X44" i="6"/>
  <c r="X41" i="6"/>
  <c r="Y43" i="6"/>
  <c r="S31" i="6"/>
  <c r="U31" i="6" s="1"/>
  <c r="Y29" i="6"/>
  <c r="S29" i="6"/>
  <c r="U29" i="6" s="1"/>
  <c r="Y25" i="6"/>
  <c r="S25" i="6"/>
  <c r="U25" i="6" s="1"/>
  <c r="Y23" i="6"/>
  <c r="S23" i="6"/>
  <c r="U23" i="6" s="1"/>
  <c r="Y21" i="6"/>
  <c r="S21" i="6"/>
  <c r="U21" i="6" s="1"/>
  <c r="Y18" i="6"/>
  <c r="S18" i="6"/>
  <c r="U18" i="6" s="1"/>
  <c r="S17" i="6"/>
  <c r="U17" i="6" s="1"/>
  <c r="Y16" i="6"/>
  <c r="S16" i="6"/>
  <c r="U16" i="6" s="1"/>
  <c r="Y14" i="6"/>
  <c r="S14" i="6"/>
  <c r="U14" i="6" s="1"/>
  <c r="Y12" i="6"/>
  <c r="S12" i="6"/>
  <c r="U12" i="6" s="1"/>
  <c r="Y10" i="6"/>
  <c r="S10" i="6"/>
  <c r="U10" i="6" s="1"/>
  <c r="S9" i="6"/>
  <c r="U9" i="6" s="1"/>
  <c r="Y8" i="6"/>
  <c r="S8" i="6"/>
  <c r="U8" i="6" s="1"/>
  <c r="Y7" i="6"/>
  <c r="S7" i="6"/>
  <c r="U7" i="6" s="1"/>
  <c r="X9" i="6" l="1"/>
  <c r="X14" i="6"/>
  <c r="X7" i="6"/>
  <c r="X16" i="6"/>
  <c r="X8" i="6"/>
  <c r="X21" i="6"/>
  <c r="Z55" i="6"/>
  <c r="S30" i="6"/>
  <c r="U30" i="6" s="1"/>
  <c r="X30" i="6" s="1"/>
  <c r="X10" i="6"/>
  <c r="X25" i="6"/>
  <c r="X23" i="6"/>
  <c r="X18" i="6"/>
  <c r="X31" i="6"/>
  <c r="X12" i="6"/>
  <c r="X29" i="6"/>
  <c r="X17" i="6"/>
  <c r="AJ58" i="12" l="1"/>
  <c r="AI58" i="12"/>
  <c r="AH58" i="12"/>
  <c r="AG58" i="12"/>
  <c r="AF58" i="12"/>
  <c r="AB56" i="12"/>
  <c r="Y56" i="12"/>
  <c r="Z56" i="12" s="1"/>
  <c r="S56" i="12"/>
  <c r="U56" i="12" s="1"/>
  <c r="AB55" i="12"/>
  <c r="Y55" i="12"/>
  <c r="Z55" i="12" s="1"/>
  <c r="S55" i="12"/>
  <c r="U55" i="12" s="1"/>
  <c r="AB54" i="12"/>
  <c r="Y54" i="12"/>
  <c r="S54" i="12"/>
  <c r="U54" i="12" s="1"/>
  <c r="AB53" i="12"/>
  <c r="AB52" i="12"/>
  <c r="Y52" i="12"/>
  <c r="Z52" i="12" s="1"/>
  <c r="S52" i="12"/>
  <c r="U52" i="12" s="1"/>
  <c r="AB51" i="12"/>
  <c r="Y51" i="12"/>
  <c r="Z51" i="12" s="1"/>
  <c r="S51" i="12"/>
  <c r="U51" i="12" s="1"/>
  <c r="AB50" i="12"/>
  <c r="Y50" i="12"/>
  <c r="S50" i="12"/>
  <c r="U50" i="12" s="1"/>
  <c r="AB49" i="12"/>
  <c r="AB48" i="12"/>
  <c r="AB47" i="12"/>
  <c r="AC47" i="12" s="1"/>
  <c r="Z47" i="12"/>
  <c r="AB46" i="12"/>
  <c r="Y46" i="12"/>
  <c r="S46" i="12"/>
  <c r="U46" i="12" s="1"/>
  <c r="AB45" i="12"/>
  <c r="Y45" i="12"/>
  <c r="S45" i="12"/>
  <c r="U45" i="12" s="1"/>
  <c r="AB44" i="12"/>
  <c r="AB43" i="12"/>
  <c r="Z43" i="12"/>
  <c r="AB42" i="12"/>
  <c r="AB41" i="12"/>
  <c r="AB40" i="12"/>
  <c r="Y40" i="12"/>
  <c r="S40" i="12"/>
  <c r="U40" i="12" s="1"/>
  <c r="AB39" i="12"/>
  <c r="Y39" i="12"/>
  <c r="Z39" i="12" s="1"/>
  <c r="S39" i="12"/>
  <c r="U39" i="12" s="1"/>
  <c r="AB38" i="12"/>
  <c r="Y38" i="12"/>
  <c r="S38" i="12"/>
  <c r="U38" i="12" s="1"/>
  <c r="AB37" i="12"/>
  <c r="AB36" i="12"/>
  <c r="Y36" i="12"/>
  <c r="Z36" i="12" s="1"/>
  <c r="S36" i="12"/>
  <c r="U36" i="12" s="1"/>
  <c r="AB35" i="12"/>
  <c r="Y35" i="12"/>
  <c r="Z35" i="12" s="1"/>
  <c r="S35" i="12"/>
  <c r="U35" i="12" s="1"/>
  <c r="AB34" i="12"/>
  <c r="S34" i="12"/>
  <c r="U34" i="12" s="1"/>
  <c r="AB33" i="12"/>
  <c r="AB32" i="12"/>
  <c r="Y32" i="12"/>
  <c r="S32" i="12"/>
  <c r="U32" i="12" s="1"/>
  <c r="AB31" i="12"/>
  <c r="Y31" i="12"/>
  <c r="S31" i="12"/>
  <c r="U31" i="12" s="1"/>
  <c r="AB30" i="12"/>
  <c r="AC30" i="12" s="1"/>
  <c r="Z30" i="12"/>
  <c r="AB29" i="12"/>
  <c r="Y29" i="12"/>
  <c r="S29" i="12"/>
  <c r="U29" i="12" s="1"/>
  <c r="AB28" i="12"/>
  <c r="AC28" i="12" s="1"/>
  <c r="Z28" i="12"/>
  <c r="AB27" i="12"/>
  <c r="Y27" i="12"/>
  <c r="S27" i="12"/>
  <c r="U27" i="12" s="1"/>
  <c r="AB26" i="12"/>
  <c r="AC26" i="12" s="1"/>
  <c r="Z26" i="12"/>
  <c r="AB25" i="12"/>
  <c r="AC25" i="12" s="1"/>
  <c r="Z25" i="12"/>
  <c r="AB24" i="12"/>
  <c r="Y24" i="12"/>
  <c r="S24" i="12"/>
  <c r="U24" i="12" s="1"/>
  <c r="AB23" i="12"/>
  <c r="AC23" i="12" s="1"/>
  <c r="Z23" i="12"/>
  <c r="AB22" i="12"/>
  <c r="AC22" i="12" s="1"/>
  <c r="Z22" i="12"/>
  <c r="AB21" i="12"/>
  <c r="AC21" i="12" s="1"/>
  <c r="Z21" i="12"/>
  <c r="AB20" i="12"/>
  <c r="Y20" i="12"/>
  <c r="Z20" i="12" s="1"/>
  <c r="S20" i="12"/>
  <c r="U20" i="12" s="1"/>
  <c r="AB19" i="12"/>
  <c r="AC19" i="12" s="1"/>
  <c r="Z19" i="12"/>
  <c r="AB18" i="12"/>
  <c r="AC18" i="12" s="1"/>
  <c r="Z18" i="12"/>
  <c r="AB17" i="12"/>
  <c r="AC17" i="12" s="1"/>
  <c r="AB16" i="12"/>
  <c r="AC16" i="12" s="1"/>
  <c r="AB15" i="12"/>
  <c r="AC15" i="12" s="1"/>
  <c r="Z15" i="12"/>
  <c r="AB14" i="12"/>
  <c r="AC14" i="12" s="1"/>
  <c r="Z14" i="12"/>
  <c r="AB13" i="12"/>
  <c r="AC13" i="12" s="1"/>
  <c r="AB12" i="12"/>
  <c r="AC12" i="12" s="1"/>
  <c r="AB11" i="12"/>
  <c r="AC11" i="12" s="1"/>
  <c r="Z11" i="12"/>
  <c r="AB10" i="12"/>
  <c r="AC10" i="12" s="1"/>
  <c r="Z10" i="12"/>
  <c r="AB9" i="12"/>
  <c r="AC9" i="12" s="1"/>
  <c r="AB8" i="12"/>
  <c r="AC8" i="12" s="1"/>
  <c r="AB7" i="12"/>
  <c r="AC7" i="12" s="1"/>
  <c r="Z7" i="12"/>
  <c r="AJ57" i="11"/>
  <c r="AI57" i="11"/>
  <c r="AH57" i="11"/>
  <c r="AG57" i="11"/>
  <c r="AF57" i="11"/>
  <c r="AB55" i="11"/>
  <c r="Y55" i="11"/>
  <c r="S55" i="11"/>
  <c r="U55" i="11" s="1"/>
  <c r="AB54" i="11"/>
  <c r="Y54" i="11"/>
  <c r="Z54" i="11" s="1"/>
  <c r="S54" i="11"/>
  <c r="U54" i="11" s="1"/>
  <c r="AB53" i="11"/>
  <c r="Y53" i="11"/>
  <c r="Z53" i="11" s="1"/>
  <c r="S53" i="11"/>
  <c r="U53" i="11" s="1"/>
  <c r="AB52" i="11"/>
  <c r="AC52" i="11" s="1"/>
  <c r="Y52" i="11"/>
  <c r="Z52" i="11" s="1"/>
  <c r="S52" i="11"/>
  <c r="U52" i="11" s="1"/>
  <c r="AB51" i="11"/>
  <c r="Y51" i="11"/>
  <c r="Z51" i="11" s="1"/>
  <c r="S51" i="11"/>
  <c r="U51" i="11" s="1"/>
  <c r="AB50" i="11"/>
  <c r="Y50" i="11"/>
  <c r="Z50" i="11" s="1"/>
  <c r="S50" i="11"/>
  <c r="U50" i="11" s="1"/>
  <c r="AB49" i="11"/>
  <c r="Y49" i="11"/>
  <c r="S49" i="11"/>
  <c r="U49" i="11" s="1"/>
  <c r="AB48" i="11"/>
  <c r="Z48" i="11"/>
  <c r="AB47" i="11"/>
  <c r="AB46" i="11"/>
  <c r="Y46" i="11"/>
  <c r="Z46" i="11" s="1"/>
  <c r="S46" i="11"/>
  <c r="U46" i="11" s="1"/>
  <c r="AB45" i="11"/>
  <c r="Y45" i="11"/>
  <c r="Z45" i="11" s="1"/>
  <c r="S45" i="11"/>
  <c r="U45" i="11" s="1"/>
  <c r="AB44" i="11"/>
  <c r="Z44" i="11"/>
  <c r="AB43" i="11"/>
  <c r="AC43" i="11" s="1"/>
  <c r="AB42" i="11"/>
  <c r="Z42" i="11"/>
  <c r="AB41" i="11"/>
  <c r="AB40" i="11"/>
  <c r="Y40" i="11"/>
  <c r="Z40" i="11" s="1"/>
  <c r="S40" i="11"/>
  <c r="U40" i="11" s="1"/>
  <c r="AB39" i="11"/>
  <c r="Y39" i="11"/>
  <c r="S39" i="11"/>
  <c r="U39" i="11" s="1"/>
  <c r="AB38" i="11"/>
  <c r="Y38" i="11"/>
  <c r="Z38" i="11" s="1"/>
  <c r="S38" i="11"/>
  <c r="U38" i="11" s="1"/>
  <c r="AB37" i="11"/>
  <c r="Z37" i="11"/>
  <c r="S37" i="11"/>
  <c r="U37" i="11" s="1"/>
  <c r="AB36" i="11"/>
  <c r="Y36" i="11"/>
  <c r="Z36" i="11" s="1"/>
  <c r="S36" i="11"/>
  <c r="U36" i="11" s="1"/>
  <c r="AB35" i="11"/>
  <c r="Y35" i="11"/>
  <c r="Z35" i="11" s="1"/>
  <c r="S35" i="11"/>
  <c r="U35" i="11" s="1"/>
  <c r="AB34" i="11"/>
  <c r="Y34" i="11"/>
  <c r="Z34" i="11" s="1"/>
  <c r="S34" i="11"/>
  <c r="U34" i="11" s="1"/>
  <c r="AB33" i="11"/>
  <c r="Z33" i="11"/>
  <c r="S33" i="11"/>
  <c r="U33" i="11" s="1"/>
  <c r="AB32" i="11"/>
  <c r="Z32" i="11"/>
  <c r="S32" i="11"/>
  <c r="U32" i="11" s="1"/>
  <c r="AB31" i="11"/>
  <c r="Y31" i="11"/>
  <c r="S31" i="11"/>
  <c r="U31" i="11" s="1"/>
  <c r="AB30" i="11"/>
  <c r="Y30" i="11"/>
  <c r="S30" i="11"/>
  <c r="U30" i="11" s="1"/>
  <c r="AB29" i="11"/>
  <c r="Y29" i="11"/>
  <c r="Z29" i="11" s="1"/>
  <c r="S29" i="11"/>
  <c r="U29" i="11" s="1"/>
  <c r="AB28" i="11"/>
  <c r="Y28" i="11"/>
  <c r="S28" i="11"/>
  <c r="U28" i="11" s="1"/>
  <c r="AB27" i="11"/>
  <c r="Y27" i="11"/>
  <c r="S27" i="11"/>
  <c r="U27" i="11" s="1"/>
  <c r="AB26" i="11"/>
  <c r="Y26" i="11"/>
  <c r="Z26" i="11" s="1"/>
  <c r="S26" i="11"/>
  <c r="U26" i="11" s="1"/>
  <c r="AB25" i="11"/>
  <c r="Z25" i="11"/>
  <c r="S25" i="11"/>
  <c r="U25" i="11" s="1"/>
  <c r="AB24" i="11"/>
  <c r="Y24" i="11"/>
  <c r="S24" i="11"/>
  <c r="U24" i="11" s="1"/>
  <c r="AB23" i="11"/>
  <c r="AC23" i="11" s="1"/>
  <c r="AB22" i="11"/>
  <c r="AC22" i="11" s="1"/>
  <c r="AB21" i="11"/>
  <c r="AC21" i="11" s="1"/>
  <c r="Z21" i="11"/>
  <c r="AB20" i="11"/>
  <c r="Y20" i="11"/>
  <c r="S20" i="11"/>
  <c r="U20" i="11" s="1"/>
  <c r="AB19" i="11"/>
  <c r="AC19" i="11" s="1"/>
  <c r="AB18" i="11"/>
  <c r="Z18" i="11"/>
  <c r="AB17" i="11"/>
  <c r="AC17" i="11"/>
  <c r="AB16" i="11"/>
  <c r="AC16" i="11" s="1"/>
  <c r="AB15" i="11"/>
  <c r="AC15" i="11" s="1"/>
  <c r="AB14" i="11"/>
  <c r="Z14" i="11"/>
  <c r="AB13" i="11"/>
  <c r="AC13" i="11" s="1"/>
  <c r="AB12" i="11"/>
  <c r="AC12" i="11" s="1"/>
  <c r="AB11" i="11"/>
  <c r="AC11" i="11" s="1"/>
  <c r="AB10" i="11"/>
  <c r="Z10" i="11"/>
  <c r="AB9" i="11"/>
  <c r="AC9" i="11" s="1"/>
  <c r="AB8" i="11"/>
  <c r="AC8" i="11" s="1"/>
  <c r="AB7" i="11"/>
  <c r="AC7" i="11" s="1"/>
  <c r="AJ59" i="10"/>
  <c r="AI59" i="10"/>
  <c r="AH59" i="10"/>
  <c r="AG59" i="10"/>
  <c r="AF59" i="10"/>
  <c r="AB57" i="10"/>
  <c r="AC57" i="10" s="1"/>
  <c r="Y57" i="10"/>
  <c r="Z57" i="10" s="1"/>
  <c r="S57" i="10"/>
  <c r="U57" i="10" s="1"/>
  <c r="AB56" i="10"/>
  <c r="Y56" i="10"/>
  <c r="Z56" i="10" s="1"/>
  <c r="S56" i="10"/>
  <c r="U56" i="10" s="1"/>
  <c r="AB55" i="10"/>
  <c r="Y55" i="10"/>
  <c r="S55" i="10"/>
  <c r="U55" i="10" s="1"/>
  <c r="AB54" i="10"/>
  <c r="AC54" i="10" s="1"/>
  <c r="Y54" i="10"/>
  <c r="Z54" i="10" s="1"/>
  <c r="S54" i="10"/>
  <c r="U54" i="10" s="1"/>
  <c r="AB53" i="10"/>
  <c r="Y53" i="10"/>
  <c r="S53" i="10"/>
  <c r="U53" i="10" s="1"/>
  <c r="AB52" i="10"/>
  <c r="Y52" i="10"/>
  <c r="Z52" i="10" s="1"/>
  <c r="S52" i="10"/>
  <c r="U52" i="10" s="1"/>
  <c r="AB51" i="10"/>
  <c r="AC51" i="10" s="1"/>
  <c r="Y51" i="10"/>
  <c r="Z51" i="10" s="1"/>
  <c r="S51" i="10"/>
  <c r="U51" i="10" s="1"/>
  <c r="AB50" i="10"/>
  <c r="AC50" i="10" s="1"/>
  <c r="AB49" i="10"/>
  <c r="Z49" i="10"/>
  <c r="AB48" i="10"/>
  <c r="AC48" i="10" s="1"/>
  <c r="AB47" i="10"/>
  <c r="AC47" i="10" s="1"/>
  <c r="Z47" i="10"/>
  <c r="AB46" i="10"/>
  <c r="Y46" i="10"/>
  <c r="Z46" i="10" s="1"/>
  <c r="S46" i="10"/>
  <c r="U46" i="10" s="1"/>
  <c r="AB45" i="10"/>
  <c r="Y45" i="10"/>
  <c r="Z45" i="10" s="1"/>
  <c r="S45" i="10"/>
  <c r="U45" i="10" s="1"/>
  <c r="AB44" i="10"/>
  <c r="AC44" i="10" s="1"/>
  <c r="AB43" i="10"/>
  <c r="AC43" i="10" s="1"/>
  <c r="AB42" i="10"/>
  <c r="Z42" i="10"/>
  <c r="AB41" i="10"/>
  <c r="Z41" i="10"/>
  <c r="AB40" i="10"/>
  <c r="Y40" i="10"/>
  <c r="Z40" i="10" s="1"/>
  <c r="S40" i="10"/>
  <c r="U40" i="10" s="1"/>
  <c r="AB39" i="10"/>
  <c r="Y39" i="10"/>
  <c r="Z39" i="10" s="1"/>
  <c r="S39" i="10"/>
  <c r="U39" i="10" s="1"/>
  <c r="AB38" i="10"/>
  <c r="Z38" i="10"/>
  <c r="AB37" i="10"/>
  <c r="Z37" i="10"/>
  <c r="AB36" i="10"/>
  <c r="Y36" i="10"/>
  <c r="Z36" i="10" s="1"/>
  <c r="S36" i="10"/>
  <c r="U36" i="10" s="1"/>
  <c r="AB35" i="10"/>
  <c r="AC35" i="10" s="1"/>
  <c r="Z35" i="10"/>
  <c r="AB34" i="10"/>
  <c r="Z34" i="10"/>
  <c r="AB33" i="10"/>
  <c r="AC33" i="10" s="1"/>
  <c r="AB32" i="10"/>
  <c r="AC32" i="10" s="1"/>
  <c r="AB31" i="10"/>
  <c r="Y31" i="10"/>
  <c r="Z31" i="10" s="1"/>
  <c r="S31" i="10"/>
  <c r="U31" i="10" s="1"/>
  <c r="AB30" i="10"/>
  <c r="AC30" i="10" s="1"/>
  <c r="Z30" i="10"/>
  <c r="AB29" i="10"/>
  <c r="AC29" i="10" s="1"/>
  <c r="Z29" i="10"/>
  <c r="AB28" i="10"/>
  <c r="AC28" i="10" s="1"/>
  <c r="AB27" i="10"/>
  <c r="Y27" i="10"/>
  <c r="Z27" i="10" s="1"/>
  <c r="S27" i="10"/>
  <c r="U27" i="10" s="1"/>
  <c r="AB26" i="10"/>
  <c r="AC26" i="10" s="1"/>
  <c r="Z26" i="10"/>
  <c r="AB25" i="10"/>
  <c r="AC25" i="10" s="1"/>
  <c r="Z25" i="10"/>
  <c r="AB24" i="10"/>
  <c r="AC24" i="10" s="1"/>
  <c r="AB23" i="10"/>
  <c r="AC23" i="10" s="1"/>
  <c r="Z23" i="10"/>
  <c r="AB22" i="10"/>
  <c r="AC22" i="10" s="1"/>
  <c r="Z22" i="10"/>
  <c r="AB21" i="10"/>
  <c r="AC21" i="10" s="1"/>
  <c r="Z21" i="10"/>
  <c r="AB20" i="10"/>
  <c r="Y20" i="10"/>
  <c r="S20" i="10"/>
  <c r="U20" i="10" s="1"/>
  <c r="AB19" i="10"/>
  <c r="AC19" i="10" s="1"/>
  <c r="AB18" i="10"/>
  <c r="AC18" i="10" s="1"/>
  <c r="Z18" i="10"/>
  <c r="AB17" i="10"/>
  <c r="AC17" i="10" s="1"/>
  <c r="Z17" i="10"/>
  <c r="AB16" i="10"/>
  <c r="AC16" i="10" s="1"/>
  <c r="AB15" i="10"/>
  <c r="AC15" i="10" s="1"/>
  <c r="AB14" i="10"/>
  <c r="AC14" i="10" s="1"/>
  <c r="Z14" i="10"/>
  <c r="AB13" i="10"/>
  <c r="AC13" i="10" s="1"/>
  <c r="Z13" i="10"/>
  <c r="AB12" i="10"/>
  <c r="AC12" i="10" s="1"/>
  <c r="AB11" i="10"/>
  <c r="AC11" i="10" s="1"/>
  <c r="AB10" i="10"/>
  <c r="AC10" i="10" s="1"/>
  <c r="Z10" i="10"/>
  <c r="AB9" i="10"/>
  <c r="AC9" i="10" s="1"/>
  <c r="Z9" i="10"/>
  <c r="AB8" i="10"/>
  <c r="AC8" i="10" s="1"/>
  <c r="AB7" i="10"/>
  <c r="AC7" i="10" s="1"/>
  <c r="AJ62" i="9"/>
  <c r="AI62" i="9"/>
  <c r="AH62" i="9"/>
  <c r="AG62" i="9"/>
  <c r="AF62" i="9"/>
  <c r="AB60" i="9"/>
  <c r="Y60" i="9"/>
  <c r="S60" i="9"/>
  <c r="U60" i="9" s="1"/>
  <c r="AB59" i="9"/>
  <c r="Y59" i="9"/>
  <c r="Z59" i="9" s="1"/>
  <c r="S59" i="9"/>
  <c r="U59" i="9" s="1"/>
  <c r="AB58" i="9"/>
  <c r="Y58" i="9"/>
  <c r="Z58" i="9" s="1"/>
  <c r="S58" i="9"/>
  <c r="U58" i="9" s="1"/>
  <c r="AB57" i="9"/>
  <c r="Y57" i="9"/>
  <c r="S57" i="9"/>
  <c r="U57" i="9" s="1"/>
  <c r="AB56" i="9"/>
  <c r="Y56" i="9"/>
  <c r="S56" i="9"/>
  <c r="U56" i="9" s="1"/>
  <c r="AB55" i="9"/>
  <c r="Y55" i="9"/>
  <c r="Z55" i="9" s="1"/>
  <c r="S55" i="9"/>
  <c r="U55" i="9" s="1"/>
  <c r="AB54" i="9"/>
  <c r="AC54" i="9" s="1"/>
  <c r="AB53" i="9"/>
  <c r="AC53" i="9" s="1"/>
  <c r="Z53" i="9"/>
  <c r="AB52" i="9"/>
  <c r="Z52" i="9"/>
  <c r="AB51" i="9"/>
  <c r="AC51" i="9" s="1"/>
  <c r="Z51" i="9"/>
  <c r="AB50" i="9"/>
  <c r="AB49" i="9"/>
  <c r="Y49" i="9"/>
  <c r="Z49" i="9" s="1"/>
  <c r="S49" i="9"/>
  <c r="U49" i="9" s="1"/>
  <c r="AB48" i="9"/>
  <c r="Z48" i="9"/>
  <c r="Y48" i="9"/>
  <c r="S48" i="9"/>
  <c r="U48" i="9" s="1"/>
  <c r="AB47" i="9"/>
  <c r="Z47" i="9"/>
  <c r="AB46" i="9"/>
  <c r="AC46" i="9" s="1"/>
  <c r="Z46" i="9"/>
  <c r="AB45" i="9"/>
  <c r="Z45" i="9"/>
  <c r="AB44" i="9"/>
  <c r="AC44" i="9" s="1"/>
  <c r="AB43" i="9"/>
  <c r="AC43" i="9" s="1"/>
  <c r="Z43" i="9"/>
  <c r="AB42" i="9"/>
  <c r="Z42" i="9"/>
  <c r="AB41" i="9"/>
  <c r="Y41" i="9"/>
  <c r="Z41" i="9" s="1"/>
  <c r="S41" i="9"/>
  <c r="U41" i="9" s="1"/>
  <c r="AB40" i="9"/>
  <c r="Y40" i="9"/>
  <c r="S40" i="9"/>
  <c r="U40" i="9" s="1"/>
  <c r="AB39" i="9"/>
  <c r="AC39" i="9" s="1"/>
  <c r="Z39" i="9"/>
  <c r="AB38" i="9"/>
  <c r="Z38" i="9"/>
  <c r="AB37" i="9"/>
  <c r="Z37" i="9"/>
  <c r="AB36" i="9"/>
  <c r="AC36" i="9" s="1"/>
  <c r="AB35" i="9"/>
  <c r="Z35" i="9"/>
  <c r="AB34" i="9"/>
  <c r="AC34" i="9"/>
  <c r="AB33" i="9"/>
  <c r="AC33" i="9" s="1"/>
  <c r="Z33" i="9"/>
  <c r="AB32" i="9"/>
  <c r="Z32" i="9"/>
  <c r="AB31" i="9"/>
  <c r="Y31" i="9"/>
  <c r="S31" i="9"/>
  <c r="U31" i="9" s="1"/>
  <c r="AB30" i="9"/>
  <c r="Z30" i="9"/>
  <c r="AB29" i="9"/>
  <c r="AC29" i="9" s="1"/>
  <c r="AB28" i="9"/>
  <c r="AC28" i="9" s="1"/>
  <c r="AB27" i="9"/>
  <c r="Y27" i="9"/>
  <c r="S27" i="9"/>
  <c r="U27" i="9" s="1"/>
  <c r="AB26" i="9"/>
  <c r="Z26" i="9"/>
  <c r="AB25" i="9"/>
  <c r="AC25" i="9" s="1"/>
  <c r="AB24" i="9"/>
  <c r="AC24" i="9" s="1"/>
  <c r="AB23" i="9"/>
  <c r="AC23" i="9" s="1"/>
  <c r="AB22" i="9"/>
  <c r="Z22" i="9"/>
  <c r="AB21" i="9"/>
  <c r="AC21" i="9" s="1"/>
  <c r="AB20" i="9"/>
  <c r="Y20" i="9"/>
  <c r="S20" i="9"/>
  <c r="U20" i="9" s="1"/>
  <c r="AB19" i="9"/>
  <c r="AC19" i="9" s="1"/>
  <c r="AB18" i="9"/>
  <c r="Z18" i="9"/>
  <c r="AB17" i="9"/>
  <c r="AC17" i="9" s="1"/>
  <c r="AB16" i="9"/>
  <c r="AC16" i="9" s="1"/>
  <c r="AB15" i="9"/>
  <c r="AC15" i="9" s="1"/>
  <c r="AB14" i="9"/>
  <c r="Z14" i="9"/>
  <c r="AB13" i="9"/>
  <c r="AC13" i="9" s="1"/>
  <c r="AB12" i="9"/>
  <c r="AC12" i="9" s="1"/>
  <c r="AB11" i="9"/>
  <c r="AC11" i="9" s="1"/>
  <c r="AB10" i="9"/>
  <c r="Z10" i="9"/>
  <c r="AB9" i="9"/>
  <c r="AC9" i="9" s="1"/>
  <c r="AB8" i="9"/>
  <c r="AC8" i="9" s="1"/>
  <c r="AB7" i="9"/>
  <c r="AC7" i="9" s="1"/>
  <c r="AJ53" i="8"/>
  <c r="AI53" i="8"/>
  <c r="AH53" i="8"/>
  <c r="AG53" i="8"/>
  <c r="AF53" i="8"/>
  <c r="AB51" i="8"/>
  <c r="Y51" i="8"/>
  <c r="S51" i="8"/>
  <c r="U51" i="8" s="1"/>
  <c r="AB50" i="8"/>
  <c r="Y50" i="8"/>
  <c r="S50" i="8"/>
  <c r="U50" i="8" s="1"/>
  <c r="AB49" i="8"/>
  <c r="AB48" i="8"/>
  <c r="AB46" i="8"/>
  <c r="AC46" i="8" s="1"/>
  <c r="AB45" i="8"/>
  <c r="AC45" i="8" s="1"/>
  <c r="Z45" i="8"/>
  <c r="AB44" i="8"/>
  <c r="AC44" i="8" s="1"/>
  <c r="Z44" i="8"/>
  <c r="AB43" i="8"/>
  <c r="AB42" i="8"/>
  <c r="Z42" i="8"/>
  <c r="AB41" i="8"/>
  <c r="AC41" i="8" s="1"/>
  <c r="Z41" i="8"/>
  <c r="AB40" i="8"/>
  <c r="Z40" i="8"/>
  <c r="AB39" i="8"/>
  <c r="AB38" i="8"/>
  <c r="AC38" i="8"/>
  <c r="AB37" i="8"/>
  <c r="Y37" i="8"/>
  <c r="S37" i="8"/>
  <c r="U37" i="8" s="1"/>
  <c r="AB36" i="8"/>
  <c r="Y36" i="8"/>
  <c r="Z36" i="8" s="1"/>
  <c r="U36" i="8"/>
  <c r="S36" i="8"/>
  <c r="AB35" i="8"/>
  <c r="AB34" i="8"/>
  <c r="Y34" i="8"/>
  <c r="S34" i="8"/>
  <c r="U34" i="8" s="1"/>
  <c r="AB33" i="8"/>
  <c r="AC33" i="8" s="1"/>
  <c r="AB32" i="8"/>
  <c r="AC32" i="8" s="1"/>
  <c r="AB31" i="8"/>
  <c r="Y31" i="8"/>
  <c r="S31" i="8"/>
  <c r="U31" i="8" s="1"/>
  <c r="AB30" i="8"/>
  <c r="AC30" i="8" s="1"/>
  <c r="Z30" i="8"/>
  <c r="AB29" i="8"/>
  <c r="AC29" i="8" s="1"/>
  <c r="Z29" i="8"/>
  <c r="AB28" i="8"/>
  <c r="AC28" i="8" s="1"/>
  <c r="AB27" i="8"/>
  <c r="Y27" i="8"/>
  <c r="S27" i="8"/>
  <c r="U27" i="8" s="1"/>
  <c r="AB26" i="8"/>
  <c r="AC26" i="8" s="1"/>
  <c r="Z26" i="8"/>
  <c r="AB25" i="8"/>
  <c r="AC25" i="8" s="1"/>
  <c r="Z25" i="8"/>
  <c r="AB24" i="8"/>
  <c r="AC24" i="8" s="1"/>
  <c r="AB23" i="8"/>
  <c r="AC23" i="8" s="1"/>
  <c r="AB22" i="8"/>
  <c r="AC22" i="8" s="1"/>
  <c r="Z22" i="8"/>
  <c r="AB21" i="8"/>
  <c r="AC21" i="8" s="1"/>
  <c r="Z21" i="8"/>
  <c r="AB20" i="8"/>
  <c r="Y20" i="8"/>
  <c r="S20" i="8"/>
  <c r="U20" i="8" s="1"/>
  <c r="AB19" i="8"/>
  <c r="Y19" i="8"/>
  <c r="S19" i="8"/>
  <c r="U19" i="8" s="1"/>
  <c r="AB18" i="8"/>
  <c r="AC18" i="8" s="1"/>
  <c r="Z18" i="8"/>
  <c r="AB17" i="8"/>
  <c r="AC17" i="8" s="1"/>
  <c r="Z17" i="8"/>
  <c r="AB16" i="8"/>
  <c r="AC16" i="8" s="1"/>
  <c r="AB15" i="8"/>
  <c r="Y15" i="8"/>
  <c r="S15" i="8"/>
  <c r="U15" i="8" s="1"/>
  <c r="AB14" i="8"/>
  <c r="AC14" i="8" s="1"/>
  <c r="Z14" i="8"/>
  <c r="AB13" i="8"/>
  <c r="AC13" i="8" s="1"/>
  <c r="Z13" i="8"/>
  <c r="AB12" i="8"/>
  <c r="AC12" i="8" s="1"/>
  <c r="AB11" i="8"/>
  <c r="AC11" i="8" s="1"/>
  <c r="AB10" i="8"/>
  <c r="AC10" i="8" s="1"/>
  <c r="Z10" i="8"/>
  <c r="AB9" i="8"/>
  <c r="AC9" i="8" s="1"/>
  <c r="Z9" i="8"/>
  <c r="AB8" i="8"/>
  <c r="AC8" i="8" s="1"/>
  <c r="AB7" i="8"/>
  <c r="AC7" i="8" s="1"/>
  <c r="AJ58" i="7"/>
  <c r="AI58" i="7"/>
  <c r="AH58" i="7"/>
  <c r="AG58" i="7"/>
  <c r="AF58" i="7"/>
  <c r="AB56" i="7"/>
  <c r="Y56" i="7"/>
  <c r="S56" i="7"/>
  <c r="U56" i="7" s="1"/>
  <c r="AB55" i="7"/>
  <c r="Y55" i="7"/>
  <c r="S55" i="7"/>
  <c r="U55" i="7" s="1"/>
  <c r="AB54" i="7"/>
  <c r="Y54" i="7"/>
  <c r="Z54" i="7" s="1"/>
  <c r="S54" i="7"/>
  <c r="U54" i="7" s="1"/>
  <c r="AB53" i="7"/>
  <c r="Y53" i="7"/>
  <c r="Z53" i="7" s="1"/>
  <c r="S53" i="7"/>
  <c r="U53" i="7" s="1"/>
  <c r="AB52" i="7"/>
  <c r="Y52" i="7"/>
  <c r="AC52" i="7" s="1"/>
  <c r="S52" i="7"/>
  <c r="U52" i="7" s="1"/>
  <c r="AB51" i="7"/>
  <c r="Z51" i="7"/>
  <c r="AB49" i="7"/>
  <c r="AC49" i="7" s="1"/>
  <c r="Z49" i="7"/>
  <c r="AB48" i="7"/>
  <c r="AC48" i="7" s="1"/>
  <c r="Z48" i="7"/>
  <c r="AB47" i="7"/>
  <c r="AC47" i="7" s="1"/>
  <c r="AB46" i="7"/>
  <c r="AC46" i="7" s="1"/>
  <c r="Z46" i="7"/>
  <c r="AB45" i="7"/>
  <c r="AC45" i="7" s="1"/>
  <c r="Z45" i="7"/>
  <c r="AB43" i="7"/>
  <c r="AC43" i="7" s="1"/>
  <c r="Z43" i="7"/>
  <c r="AB41" i="7"/>
  <c r="AC41" i="7" s="1"/>
  <c r="AB40" i="7"/>
  <c r="AC40" i="7" s="1"/>
  <c r="Z40" i="7"/>
  <c r="AB39" i="7"/>
  <c r="Z39" i="7"/>
  <c r="AB38" i="7"/>
  <c r="AC38" i="7" s="1"/>
  <c r="AB37" i="7"/>
  <c r="Y37" i="7"/>
  <c r="S37" i="7"/>
  <c r="U37" i="7" s="1"/>
  <c r="AB36" i="7"/>
  <c r="Y36" i="7"/>
  <c r="S36" i="7"/>
  <c r="U36" i="7" s="1"/>
  <c r="AB35" i="7"/>
  <c r="Y35" i="7"/>
  <c r="Z35" i="7" s="1"/>
  <c r="S35" i="7"/>
  <c r="U35" i="7" s="1"/>
  <c r="AB34" i="7"/>
  <c r="AC34" i="7" s="1"/>
  <c r="Z34" i="7"/>
  <c r="AB33" i="7"/>
  <c r="Y33" i="7"/>
  <c r="S33" i="7"/>
  <c r="U33" i="7" s="1"/>
  <c r="AB32" i="7"/>
  <c r="AC32" i="7" s="1"/>
  <c r="Z32" i="7"/>
  <c r="AB31" i="7"/>
  <c r="AC31" i="7" s="1"/>
  <c r="Z31" i="7"/>
  <c r="AB30" i="7"/>
  <c r="Y30" i="7"/>
  <c r="S30" i="7"/>
  <c r="U30" i="7" s="1"/>
  <c r="AB29" i="7"/>
  <c r="AC29" i="7" s="1"/>
  <c r="AB28" i="7"/>
  <c r="AC28" i="7" s="1"/>
  <c r="Z28" i="7"/>
  <c r="AB27" i="7"/>
  <c r="AC27" i="7" s="1"/>
  <c r="Z27" i="7"/>
  <c r="AB26" i="7"/>
  <c r="AC26" i="7" s="1"/>
  <c r="Z26" i="7"/>
  <c r="AB25" i="7"/>
  <c r="AC25" i="7" s="1"/>
  <c r="AB24" i="7"/>
  <c r="AC24" i="7" s="1"/>
  <c r="Z24" i="7"/>
  <c r="AB23" i="7"/>
  <c r="AC23" i="7" s="1"/>
  <c r="Z23" i="7"/>
  <c r="AB22" i="7"/>
  <c r="AC22" i="7" s="1"/>
  <c r="AD22" i="7" s="1"/>
  <c r="AE22" i="7" s="1"/>
  <c r="Z22" i="7"/>
  <c r="AB21" i="7"/>
  <c r="AC21" i="7" s="1"/>
  <c r="AB20" i="7"/>
  <c r="AC20" i="7" s="1"/>
  <c r="Z20" i="7"/>
  <c r="AB19" i="7"/>
  <c r="AC19" i="7" s="1"/>
  <c r="Z19" i="7"/>
  <c r="AB18" i="7"/>
  <c r="AC18" i="7" s="1"/>
  <c r="Z18" i="7"/>
  <c r="AB17" i="7"/>
  <c r="AC17" i="7" s="1"/>
  <c r="AB16" i="7"/>
  <c r="AC16" i="7" s="1"/>
  <c r="Z16" i="7"/>
  <c r="AB15" i="7"/>
  <c r="AC15" i="7" s="1"/>
  <c r="Z15" i="7"/>
  <c r="AB14" i="7"/>
  <c r="AC14" i="7" s="1"/>
  <c r="Z14" i="7"/>
  <c r="AB13" i="7"/>
  <c r="AC13" i="7" s="1"/>
  <c r="AB12" i="7"/>
  <c r="AC12" i="7" s="1"/>
  <c r="Z12" i="7"/>
  <c r="AB11" i="7"/>
  <c r="AC11" i="7" s="1"/>
  <c r="Z11" i="7"/>
  <c r="AB10" i="7"/>
  <c r="AC10" i="7" s="1"/>
  <c r="Z10" i="7"/>
  <c r="AB9" i="7"/>
  <c r="AC9" i="7" s="1"/>
  <c r="AB8" i="7"/>
  <c r="AC8" i="7" s="1"/>
  <c r="Z8" i="7"/>
  <c r="AB7" i="7"/>
  <c r="AC7" i="7" s="1"/>
  <c r="Z7" i="7"/>
  <c r="AC31" i="8" l="1"/>
  <c r="AC37" i="8"/>
  <c r="AC56" i="9"/>
  <c r="AC60" i="9"/>
  <c r="AC27" i="12"/>
  <c r="AC20" i="11"/>
  <c r="AC24" i="11"/>
  <c r="AC30" i="11"/>
  <c r="AC34" i="8"/>
  <c r="AC37" i="7"/>
  <c r="AC24" i="12"/>
  <c r="Z27" i="12"/>
  <c r="Z24" i="12"/>
  <c r="AC44" i="12"/>
  <c r="Z69" i="12"/>
  <c r="Z63" i="12"/>
  <c r="Z65" i="12"/>
  <c r="AC32" i="12"/>
  <c r="Z44" i="12"/>
  <c r="AC48" i="12"/>
  <c r="AD48" i="12" s="1"/>
  <c r="AE48" i="12" s="1"/>
  <c r="AC29" i="12"/>
  <c r="AC31" i="12"/>
  <c r="Z29" i="12"/>
  <c r="Z31" i="12"/>
  <c r="AC43" i="12"/>
  <c r="AD43" i="12" s="1"/>
  <c r="AE43" i="12" s="1"/>
  <c r="AC20" i="12"/>
  <c r="Z30" i="11"/>
  <c r="AC49" i="11"/>
  <c r="AC27" i="11"/>
  <c r="Z49" i="11"/>
  <c r="AC46" i="11"/>
  <c r="X40" i="11"/>
  <c r="AC40" i="11"/>
  <c r="AC36" i="11"/>
  <c r="X32" i="11"/>
  <c r="AC29" i="11"/>
  <c r="AC47" i="11"/>
  <c r="AD47" i="11" s="1"/>
  <c r="AE47" i="11" s="1"/>
  <c r="AC25" i="11"/>
  <c r="X46" i="11"/>
  <c r="AC54" i="11"/>
  <c r="AC41" i="11"/>
  <c r="AD41" i="11" s="1"/>
  <c r="AE41" i="11" s="1"/>
  <c r="AC26" i="11"/>
  <c r="AC31" i="11"/>
  <c r="AC33" i="11"/>
  <c r="AC28" i="11"/>
  <c r="AC38" i="11"/>
  <c r="AC53" i="10"/>
  <c r="X51" i="11"/>
  <c r="AC45" i="10"/>
  <c r="AC49" i="9"/>
  <c r="AC20" i="9"/>
  <c r="AC27" i="9"/>
  <c r="AC31" i="9"/>
  <c r="X59" i="9"/>
  <c r="AC59" i="9"/>
  <c r="AC20" i="10"/>
  <c r="AC55" i="10"/>
  <c r="AC46" i="10"/>
  <c r="Z53" i="10"/>
  <c r="Z55" i="10"/>
  <c r="X51" i="10"/>
  <c r="AD51" i="10" s="1"/>
  <c r="AE51" i="10" s="1"/>
  <c r="X57" i="10"/>
  <c r="AD57" i="10" s="1"/>
  <c r="AE57" i="10" s="1"/>
  <c r="Z57" i="9"/>
  <c r="Z56" i="9"/>
  <c r="AC41" i="9"/>
  <c r="AC39" i="10"/>
  <c r="X40" i="10"/>
  <c r="AC40" i="10"/>
  <c r="AC36" i="10"/>
  <c r="AC27" i="10"/>
  <c r="AC31" i="10"/>
  <c r="AC15" i="8"/>
  <c r="AC20" i="8"/>
  <c r="AC50" i="8"/>
  <c r="AC49" i="8"/>
  <c r="AC19" i="8"/>
  <c r="AC27" i="8"/>
  <c r="AC55" i="7"/>
  <c r="AC36" i="7"/>
  <c r="AC30" i="7"/>
  <c r="AC33" i="7"/>
  <c r="AC51" i="7"/>
  <c r="AD51" i="7" s="1"/>
  <c r="AE51" i="7" s="1"/>
  <c r="AC54" i="7"/>
  <c r="X30" i="7"/>
  <c r="Z30" i="7"/>
  <c r="Z55" i="7"/>
  <c r="AC35" i="7"/>
  <c r="AC53" i="7"/>
  <c r="AC56" i="7"/>
  <c r="AC39" i="7"/>
  <c r="Z38" i="7"/>
  <c r="Z36" i="7"/>
  <c r="AD29" i="10"/>
  <c r="AE29" i="10" s="1"/>
  <c r="AD16" i="12"/>
  <c r="AE16" i="12" s="1"/>
  <c r="AD25" i="12"/>
  <c r="AE25" i="12" s="1"/>
  <c r="X35" i="7"/>
  <c r="AD38" i="7"/>
  <c r="AE38" i="7" s="1"/>
  <c r="AD46" i="7"/>
  <c r="AE46" i="7" s="1"/>
  <c r="X52" i="10"/>
  <c r="AD14" i="7"/>
  <c r="AE14" i="7" s="1"/>
  <c r="AD31" i="7"/>
  <c r="AE31" i="7" s="1"/>
  <c r="X52" i="7"/>
  <c r="AD52" i="7" s="1"/>
  <c r="AE52" i="7" s="1"/>
  <c r="X55" i="7"/>
  <c r="AD55" i="7" s="1"/>
  <c r="AE55" i="7" s="1"/>
  <c r="AD43" i="9"/>
  <c r="AE43" i="9" s="1"/>
  <c r="X51" i="8"/>
  <c r="AD39" i="9"/>
  <c r="AE39" i="9" s="1"/>
  <c r="X36" i="7"/>
  <c r="AD8" i="10"/>
  <c r="AE8" i="10" s="1"/>
  <c r="AD25" i="10"/>
  <c r="AE25" i="10" s="1"/>
  <c r="AD30" i="10"/>
  <c r="AE30" i="10" s="1"/>
  <c r="X37" i="11"/>
  <c r="X52" i="11"/>
  <c r="AD52" i="11" s="1"/>
  <c r="AE52" i="11" s="1"/>
  <c r="X55" i="11"/>
  <c r="AD8" i="12"/>
  <c r="AE8" i="12" s="1"/>
  <c r="X39" i="12"/>
  <c r="AD18" i="7"/>
  <c r="AE18" i="7" s="1"/>
  <c r="AD28" i="8"/>
  <c r="AE28" i="8" s="1"/>
  <c r="AD44" i="8"/>
  <c r="AE44" i="8" s="1"/>
  <c r="X53" i="10"/>
  <c r="AD53" i="10" s="1"/>
  <c r="AE53" i="10" s="1"/>
  <c r="X56" i="10"/>
  <c r="X36" i="11"/>
  <c r="X39" i="11"/>
  <c r="X45" i="12"/>
  <c r="AD45" i="7"/>
  <c r="AE45" i="7" s="1"/>
  <c r="AD25" i="8"/>
  <c r="AE25" i="8" s="1"/>
  <c r="X24" i="11"/>
  <c r="AD24" i="11" s="1"/>
  <c r="AE24" i="11" s="1"/>
  <c r="AD26" i="12"/>
  <c r="AE26" i="12" s="1"/>
  <c r="AD10" i="7"/>
  <c r="AE10" i="7" s="1"/>
  <c r="X31" i="9"/>
  <c r="AD36" i="9"/>
  <c r="AE36" i="9" s="1"/>
  <c r="X49" i="9"/>
  <c r="AD53" i="9"/>
  <c r="AE53" i="9" s="1"/>
  <c r="AD21" i="10"/>
  <c r="AE21" i="10" s="1"/>
  <c r="AD26" i="10"/>
  <c r="AE26" i="10" s="1"/>
  <c r="X31" i="10"/>
  <c r="X55" i="10"/>
  <c r="AD55" i="10" s="1"/>
  <c r="AE55" i="10" s="1"/>
  <c r="X53" i="11"/>
  <c r="AD13" i="12"/>
  <c r="AE13" i="12" s="1"/>
  <c r="X54" i="7"/>
  <c r="AD54" i="7" s="1"/>
  <c r="AE54" i="7" s="1"/>
  <c r="AD17" i="8"/>
  <c r="AE17" i="8" s="1"/>
  <c r="X27" i="8"/>
  <c r="AD32" i="8"/>
  <c r="AE32" i="8" s="1"/>
  <c r="X34" i="8"/>
  <c r="AD51" i="9"/>
  <c r="AE51" i="9" s="1"/>
  <c r="AD54" i="9"/>
  <c r="AE54" i="9" s="1"/>
  <c r="X56" i="9"/>
  <c r="AD56" i="9" s="1"/>
  <c r="AE56" i="9" s="1"/>
  <c r="AD7" i="8"/>
  <c r="X40" i="9"/>
  <c r="AD11" i="7"/>
  <c r="AE11" i="7" s="1"/>
  <c r="AD15" i="7"/>
  <c r="AE15" i="7" s="1"/>
  <c r="AD12" i="7"/>
  <c r="AE12" i="7" s="1"/>
  <c r="AD20" i="7"/>
  <c r="AE20" i="7" s="1"/>
  <c r="AD8" i="7"/>
  <c r="AE8" i="7" s="1"/>
  <c r="AD13" i="10"/>
  <c r="AE13" i="10" s="1"/>
  <c r="AD23" i="10"/>
  <c r="AE23" i="10" s="1"/>
  <c r="AD28" i="10"/>
  <c r="AE28" i="10" s="1"/>
  <c r="AD35" i="10"/>
  <c r="AE35" i="10" s="1"/>
  <c r="AD16" i="7"/>
  <c r="AE16" i="7" s="1"/>
  <c r="AD9" i="7"/>
  <c r="AE9" i="7" s="1"/>
  <c r="AD13" i="7"/>
  <c r="AE13" i="7" s="1"/>
  <c r="AD17" i="7"/>
  <c r="AE17" i="7" s="1"/>
  <c r="AD25" i="7"/>
  <c r="AE25" i="7" s="1"/>
  <c r="X48" i="9"/>
  <c r="X58" i="9"/>
  <c r="AD23" i="7"/>
  <c r="AE23" i="7" s="1"/>
  <c r="AD26" i="7"/>
  <c r="AE26" i="7" s="1"/>
  <c r="X33" i="7"/>
  <c r="AD14" i="8"/>
  <c r="AE14" i="8" s="1"/>
  <c r="X19" i="8"/>
  <c r="AD24" i="8"/>
  <c r="AE24" i="8" s="1"/>
  <c r="X36" i="8"/>
  <c r="AD34" i="9"/>
  <c r="AE34" i="9" s="1"/>
  <c r="X41" i="9"/>
  <c r="AD41" i="9" s="1"/>
  <c r="AE41" i="9" s="1"/>
  <c r="AD44" i="9"/>
  <c r="AE44" i="9" s="1"/>
  <c r="AD46" i="9"/>
  <c r="AE46" i="9" s="1"/>
  <c r="X55" i="9"/>
  <c r="X60" i="9"/>
  <c r="AD60" i="9" s="1"/>
  <c r="AE60" i="9" s="1"/>
  <c r="AD10" i="10"/>
  <c r="AE10" i="10" s="1"/>
  <c r="AD15" i="10"/>
  <c r="AE15" i="10" s="1"/>
  <c r="AD18" i="10"/>
  <c r="AE18" i="10" s="1"/>
  <c r="X20" i="10"/>
  <c r="X27" i="11"/>
  <c r="AD27" i="11" s="1"/>
  <c r="AE27" i="11" s="1"/>
  <c r="AD14" i="12"/>
  <c r="AE14" i="12" s="1"/>
  <c r="AD19" i="12"/>
  <c r="AE19" i="12" s="1"/>
  <c r="AD23" i="12"/>
  <c r="AE23" i="12" s="1"/>
  <c r="X34" i="12"/>
  <c r="AD27" i="7"/>
  <c r="AE27" i="7" s="1"/>
  <c r="AD49" i="7"/>
  <c r="AE49" i="7" s="1"/>
  <c r="X53" i="7"/>
  <c r="X56" i="7"/>
  <c r="AD12" i="8"/>
  <c r="AE12" i="8" s="1"/>
  <c r="AD21" i="8"/>
  <c r="AE21" i="8" s="1"/>
  <c r="AD26" i="8"/>
  <c r="AE26" i="8" s="1"/>
  <c r="X31" i="8"/>
  <c r="AD31" i="8" s="1"/>
  <c r="AE31" i="8" s="1"/>
  <c r="AD49" i="8"/>
  <c r="AE49" i="8" s="1"/>
  <c r="AD9" i="9"/>
  <c r="AE9" i="9" s="1"/>
  <c r="AD11" i="9"/>
  <c r="AE11" i="9" s="1"/>
  <c r="AD15" i="9"/>
  <c r="AE15" i="9" s="1"/>
  <c r="AD17" i="9"/>
  <c r="AE17" i="9" s="1"/>
  <c r="AD19" i="9"/>
  <c r="AE19" i="9" s="1"/>
  <c r="AD21" i="9"/>
  <c r="AE21" i="9" s="1"/>
  <c r="X27" i="9"/>
  <c r="AD29" i="9"/>
  <c r="AE29" i="9" s="1"/>
  <c r="X57" i="9"/>
  <c r="AD17" i="10"/>
  <c r="AE17" i="10" s="1"/>
  <c r="AD22" i="10"/>
  <c r="AE22" i="10" s="1"/>
  <c r="X27" i="10"/>
  <c r="AD27" i="10" s="1"/>
  <c r="AE27" i="10" s="1"/>
  <c r="AD32" i="10"/>
  <c r="AE32" i="10" s="1"/>
  <c r="X39" i="10"/>
  <c r="X54" i="10"/>
  <c r="AD54" i="10" s="1"/>
  <c r="AE54" i="10" s="1"/>
  <c r="AD11" i="11"/>
  <c r="AE11" i="11" s="1"/>
  <c r="AD13" i="11"/>
  <c r="AE13" i="11" s="1"/>
  <c r="AD15" i="11"/>
  <c r="AE15" i="11" s="1"/>
  <c r="AD17" i="11"/>
  <c r="AE17" i="11" s="1"/>
  <c r="AD19" i="11"/>
  <c r="AE19" i="11" s="1"/>
  <c r="AD22" i="11"/>
  <c r="AE22" i="11" s="1"/>
  <c r="X29" i="11"/>
  <c r="AD29" i="11" s="1"/>
  <c r="AE29" i="11" s="1"/>
  <c r="X34" i="11"/>
  <c r="X49" i="11"/>
  <c r="AD49" i="11" s="1"/>
  <c r="AE49" i="11" s="1"/>
  <c r="X54" i="11"/>
  <c r="AD9" i="12"/>
  <c r="AE9" i="12" s="1"/>
  <c r="X27" i="12"/>
  <c r="AD27" i="12" s="1"/>
  <c r="AE27" i="12" s="1"/>
  <c r="AD30" i="12"/>
  <c r="AE30" i="12" s="1"/>
  <c r="AD13" i="8"/>
  <c r="AE13" i="8" s="1"/>
  <c r="AD18" i="8"/>
  <c r="AE18" i="8" s="1"/>
  <c r="AD23" i="8"/>
  <c r="AE23" i="8" s="1"/>
  <c r="AD29" i="8"/>
  <c r="AE29" i="8" s="1"/>
  <c r="AD38" i="8"/>
  <c r="AE38" i="8" s="1"/>
  <c r="AD9" i="10"/>
  <c r="AE9" i="10" s="1"/>
  <c r="AD14" i="10"/>
  <c r="AE14" i="10" s="1"/>
  <c r="AD19" i="10"/>
  <c r="AE19" i="10" s="1"/>
  <c r="AD24" i="10"/>
  <c r="AE24" i="10" s="1"/>
  <c r="X36" i="10"/>
  <c r="AD47" i="10"/>
  <c r="AE47" i="10" s="1"/>
  <c r="AD9" i="11"/>
  <c r="AE9" i="11" s="1"/>
  <c r="X26" i="11"/>
  <c r="X31" i="11"/>
  <c r="AD18" i="12"/>
  <c r="AE18" i="12" s="1"/>
  <c r="AD21" i="12"/>
  <c r="AE21" i="12" s="1"/>
  <c r="X31" i="12"/>
  <c r="AD31" i="12" s="1"/>
  <c r="AE31" i="12" s="1"/>
  <c r="X38" i="12"/>
  <c r="X40" i="12"/>
  <c r="AD47" i="12"/>
  <c r="AE47" i="12" s="1"/>
  <c r="X54" i="12"/>
  <c r="X56" i="12"/>
  <c r="AD24" i="7"/>
  <c r="AE24" i="7" s="1"/>
  <c r="AD41" i="7"/>
  <c r="AE41" i="7" s="1"/>
  <c r="AD9" i="8"/>
  <c r="AE9" i="8" s="1"/>
  <c r="AD33" i="8"/>
  <c r="AE33" i="8" s="1"/>
  <c r="AD45" i="8"/>
  <c r="AE45" i="8" s="1"/>
  <c r="AD44" i="10"/>
  <c r="AE44" i="10" s="1"/>
  <c r="X33" i="11"/>
  <c r="X38" i="11"/>
  <c r="AD43" i="11"/>
  <c r="AE43" i="11" s="1"/>
  <c r="AD11" i="12"/>
  <c r="AE11" i="12" s="1"/>
  <c r="AD21" i="7"/>
  <c r="AE21" i="7" s="1"/>
  <c r="AD28" i="7"/>
  <c r="AE28" i="7" s="1"/>
  <c r="AD32" i="7"/>
  <c r="AE32" i="7" s="1"/>
  <c r="AD34" i="7"/>
  <c r="AE34" i="7" s="1"/>
  <c r="X37" i="7"/>
  <c r="AD40" i="7"/>
  <c r="AE40" i="7" s="1"/>
  <c r="AD10" i="8"/>
  <c r="AE10" i="8" s="1"/>
  <c r="X15" i="8"/>
  <c r="X20" i="8"/>
  <c r="AD41" i="8"/>
  <c r="AE41" i="8" s="1"/>
  <c r="AD46" i="8"/>
  <c r="AE46" i="8" s="1"/>
  <c r="X50" i="8"/>
  <c r="AD8" i="9"/>
  <c r="AE8" i="9" s="1"/>
  <c r="AD12" i="9"/>
  <c r="AE12" i="9" s="1"/>
  <c r="AD16" i="9"/>
  <c r="AE16" i="9" s="1"/>
  <c r="X20" i="9"/>
  <c r="AD20" i="9" s="1"/>
  <c r="AE20" i="9" s="1"/>
  <c r="AD24" i="9"/>
  <c r="AE24" i="9" s="1"/>
  <c r="AD28" i="9"/>
  <c r="AE28" i="9" s="1"/>
  <c r="AD11" i="10"/>
  <c r="AE11" i="10" s="1"/>
  <c r="AD16" i="10"/>
  <c r="AE16" i="10" s="1"/>
  <c r="AD33" i="10"/>
  <c r="AE33" i="10" s="1"/>
  <c r="AD43" i="10"/>
  <c r="AE43" i="10" s="1"/>
  <c r="X45" i="10"/>
  <c r="AD45" i="10" s="1"/>
  <c r="AE45" i="10" s="1"/>
  <c r="AD48" i="10"/>
  <c r="AE48" i="10" s="1"/>
  <c r="AD50" i="10"/>
  <c r="AE50" i="10" s="1"/>
  <c r="AD8" i="11"/>
  <c r="AE8" i="11" s="1"/>
  <c r="AD12" i="11"/>
  <c r="AE12" i="11" s="1"/>
  <c r="AD16" i="11"/>
  <c r="AE16" i="11" s="1"/>
  <c r="X20" i="11"/>
  <c r="AD20" i="11" s="1"/>
  <c r="AE20" i="11" s="1"/>
  <c r="AD21" i="11"/>
  <c r="AE21" i="11" s="1"/>
  <c r="AD23" i="11"/>
  <c r="AE23" i="11" s="1"/>
  <c r="X28" i="11"/>
  <c r="AD28" i="11" s="1"/>
  <c r="AE28" i="11" s="1"/>
  <c r="X35" i="11"/>
  <c r="AD10" i="12"/>
  <c r="AE10" i="12" s="1"/>
  <c r="AD15" i="12"/>
  <c r="AE15" i="12" s="1"/>
  <c r="X20" i="12"/>
  <c r="X24" i="12"/>
  <c r="AD24" i="12" s="1"/>
  <c r="AE24" i="12" s="1"/>
  <c r="X29" i="12"/>
  <c r="AD29" i="12" s="1"/>
  <c r="AE29" i="12" s="1"/>
  <c r="X25" i="11"/>
  <c r="X30" i="11"/>
  <c r="X50" i="11"/>
  <c r="AD22" i="12"/>
  <c r="AE22" i="12" s="1"/>
  <c r="AD28" i="12"/>
  <c r="AE28" i="12" s="1"/>
  <c r="AD7" i="12"/>
  <c r="AD12" i="12"/>
  <c r="AE12" i="12" s="1"/>
  <c r="AD17" i="12"/>
  <c r="AE17" i="12" s="1"/>
  <c r="AC33" i="12"/>
  <c r="AD33" i="12" s="1"/>
  <c r="AE33" i="12" s="1"/>
  <c r="Z33" i="12"/>
  <c r="X36" i="12"/>
  <c r="AC42" i="12"/>
  <c r="Z42" i="12"/>
  <c r="X50" i="12"/>
  <c r="AC46" i="12"/>
  <c r="Z46" i="12"/>
  <c r="Z32" i="12"/>
  <c r="X35" i="12"/>
  <c r="AC36" i="12"/>
  <c r="AC41" i="12"/>
  <c r="AD41" i="12" s="1"/>
  <c r="AE41" i="12" s="1"/>
  <c r="Z41" i="12"/>
  <c r="AD44" i="12"/>
  <c r="AE44" i="12" s="1"/>
  <c r="AC50" i="12"/>
  <c r="Z50" i="12"/>
  <c r="AC51" i="12"/>
  <c r="Z8" i="12"/>
  <c r="Z12" i="12"/>
  <c r="Z16" i="12"/>
  <c r="AC40" i="12"/>
  <c r="AC45" i="12"/>
  <c r="Z45" i="12"/>
  <c r="AC54" i="12"/>
  <c r="Z54" i="12"/>
  <c r="AC55" i="12"/>
  <c r="Z40" i="12"/>
  <c r="AC49" i="12"/>
  <c r="Z49" i="12"/>
  <c r="X52" i="12"/>
  <c r="Z9" i="12"/>
  <c r="Z13" i="12"/>
  <c r="Z17" i="12"/>
  <c r="AC53" i="12"/>
  <c r="AD53" i="12" s="1"/>
  <c r="AE53" i="12" s="1"/>
  <c r="Z53" i="12"/>
  <c r="AC37" i="12"/>
  <c r="AD37" i="12" s="1"/>
  <c r="AE37" i="12" s="1"/>
  <c r="Z37" i="12"/>
  <c r="AC34" i="12"/>
  <c r="Z34" i="12"/>
  <c r="AC35" i="12"/>
  <c r="Z48" i="12"/>
  <c r="X51" i="12"/>
  <c r="AC52" i="12"/>
  <c r="X32" i="12"/>
  <c r="AC38" i="12"/>
  <c r="Z38" i="12"/>
  <c r="AC39" i="12"/>
  <c r="X46" i="12"/>
  <c r="X55" i="12"/>
  <c r="AC56" i="12"/>
  <c r="AD7" i="11"/>
  <c r="Z7" i="11"/>
  <c r="AC10" i="11"/>
  <c r="Z11" i="11"/>
  <c r="AC14" i="11"/>
  <c r="Z15" i="11"/>
  <c r="AC18" i="11"/>
  <c r="Z19" i="11"/>
  <c r="Z22" i="11"/>
  <c r="X45" i="11"/>
  <c r="Z8" i="11"/>
  <c r="Z12" i="11"/>
  <c r="Z16" i="11"/>
  <c r="Z20" i="11"/>
  <c r="Z23" i="11"/>
  <c r="Z27" i="11"/>
  <c r="Z31" i="11"/>
  <c r="AC34" i="11"/>
  <c r="AC45" i="11"/>
  <c r="Z47" i="11"/>
  <c r="AC50" i="11"/>
  <c r="AC32" i="11"/>
  <c r="AD32" i="11" s="1"/>
  <c r="AE32" i="11" s="1"/>
  <c r="AC48" i="11"/>
  <c r="AD48" i="11" s="1"/>
  <c r="AE48" i="11" s="1"/>
  <c r="Z9" i="11"/>
  <c r="Z13" i="11"/>
  <c r="Z17" i="11"/>
  <c r="Z24" i="11"/>
  <c r="Z28" i="11"/>
  <c r="Z43" i="11"/>
  <c r="AC39" i="11"/>
  <c r="Z41" i="11"/>
  <c r="AC44" i="11"/>
  <c r="AD44" i="11" s="1"/>
  <c r="AE44" i="11" s="1"/>
  <c r="AC55" i="11"/>
  <c r="AC37" i="11"/>
  <c r="Z39" i="11"/>
  <c r="AC42" i="11"/>
  <c r="AC53" i="11"/>
  <c r="Z55" i="11"/>
  <c r="AC35" i="11"/>
  <c r="AC51" i="11"/>
  <c r="AD7" i="10"/>
  <c r="AD12" i="10"/>
  <c r="AE12" i="10" s="1"/>
  <c r="Z7" i="10"/>
  <c r="Z11" i="10"/>
  <c r="Z15" i="10"/>
  <c r="Z19" i="10"/>
  <c r="AC38" i="10"/>
  <c r="AC41" i="10"/>
  <c r="Z8" i="10"/>
  <c r="Z12" i="10"/>
  <c r="Z16" i="10"/>
  <c r="Z20" i="10"/>
  <c r="Z24" i="10"/>
  <c r="Z28" i="10"/>
  <c r="Z32" i="10"/>
  <c r="Z43" i="10"/>
  <c r="Z48" i="10"/>
  <c r="Z33" i="10"/>
  <c r="AC42" i="10"/>
  <c r="Z44" i="10"/>
  <c r="Z50" i="10"/>
  <c r="AC49" i="10"/>
  <c r="AC52" i="10"/>
  <c r="AC34" i="10"/>
  <c r="AC37" i="10"/>
  <c r="AD37" i="10" s="1"/>
  <c r="AE37" i="10" s="1"/>
  <c r="X46" i="10"/>
  <c r="AD46" i="10" s="1"/>
  <c r="AE46" i="10" s="1"/>
  <c r="AC56" i="10"/>
  <c r="AD13" i="9"/>
  <c r="AE13" i="9" s="1"/>
  <c r="AD23" i="9"/>
  <c r="AE23" i="9" s="1"/>
  <c r="AD25" i="9"/>
  <c r="AE25" i="9" s="1"/>
  <c r="AD7" i="9"/>
  <c r="AD33" i="9"/>
  <c r="AE33" i="9" s="1"/>
  <c r="Z7" i="9"/>
  <c r="AC10" i="9"/>
  <c r="AD10" i="9" s="1"/>
  <c r="AE10" i="9" s="1"/>
  <c r="Z11" i="9"/>
  <c r="AC14" i="9"/>
  <c r="Z15" i="9"/>
  <c r="AC18" i="9"/>
  <c r="Z19" i="9"/>
  <c r="AC22" i="9"/>
  <c r="Z23" i="9"/>
  <c r="AC26" i="9"/>
  <c r="AD26" i="9" s="1"/>
  <c r="AE26" i="9" s="1"/>
  <c r="Z27" i="9"/>
  <c r="AC30" i="9"/>
  <c r="AD30" i="9" s="1"/>
  <c r="AE30" i="9" s="1"/>
  <c r="Z31" i="9"/>
  <c r="Z36" i="9"/>
  <c r="AC32" i="9"/>
  <c r="AD32" i="9" s="1"/>
  <c r="AE32" i="9" s="1"/>
  <c r="Z34" i="9"/>
  <c r="AC37" i="9"/>
  <c r="AD37" i="9" s="1"/>
  <c r="AE37" i="9" s="1"/>
  <c r="AC58" i="9"/>
  <c r="Z60" i="9"/>
  <c r="Z8" i="9"/>
  <c r="Z12" i="9"/>
  <c r="Z16" i="9"/>
  <c r="Z20" i="9"/>
  <c r="Z24" i="9"/>
  <c r="Z28" i="9"/>
  <c r="AC35" i="9"/>
  <c r="AD35" i="9" s="1"/>
  <c r="AE35" i="9" s="1"/>
  <c r="Z9" i="9"/>
  <c r="Z13" i="9"/>
  <c r="Z17" i="9"/>
  <c r="Z21" i="9"/>
  <c r="Z25" i="9"/>
  <c r="Z29" i="9"/>
  <c r="AC42" i="9"/>
  <c r="Z44" i="9"/>
  <c r="AC47" i="9"/>
  <c r="AC52" i="9"/>
  <c r="Z54" i="9"/>
  <c r="AC57" i="9"/>
  <c r="AC40" i="9"/>
  <c r="AC45" i="9"/>
  <c r="AC50" i="9"/>
  <c r="AC55" i="9"/>
  <c r="AC38" i="9"/>
  <c r="Z40" i="9"/>
  <c r="AC48" i="9"/>
  <c r="Z50" i="9"/>
  <c r="AD11" i="8"/>
  <c r="AE11" i="8" s="1"/>
  <c r="AD16" i="8"/>
  <c r="AE16" i="8" s="1"/>
  <c r="AD8" i="8"/>
  <c r="AE8" i="8" s="1"/>
  <c r="AD30" i="8"/>
  <c r="AE30" i="8" s="1"/>
  <c r="AD22" i="8"/>
  <c r="AE22" i="8" s="1"/>
  <c r="Z7" i="8"/>
  <c r="Z11" i="8"/>
  <c r="Z15" i="8"/>
  <c r="Z19" i="8"/>
  <c r="Z23" i="8"/>
  <c r="Z27" i="8"/>
  <c r="Z31" i="8"/>
  <c r="Z37" i="8"/>
  <c r="Z38" i="8"/>
  <c r="AC40" i="8"/>
  <c r="AD40" i="8" s="1"/>
  <c r="AE40" i="8" s="1"/>
  <c r="Z8" i="8"/>
  <c r="Z12" i="8"/>
  <c r="Z16" i="8"/>
  <c r="Z20" i="8"/>
  <c r="Z24" i="8"/>
  <c r="Z28" i="8"/>
  <c r="Z32" i="8"/>
  <c r="Z33" i="8"/>
  <c r="Z34" i="8"/>
  <c r="AC36" i="8"/>
  <c r="Z49" i="8"/>
  <c r="Z50" i="8"/>
  <c r="AC35" i="8"/>
  <c r="AD35" i="8" s="1"/>
  <c r="AE35" i="8" s="1"/>
  <c r="Z35" i="8"/>
  <c r="AC48" i="8"/>
  <c r="Z48" i="8"/>
  <c r="AC39" i="8"/>
  <c r="Z39" i="8"/>
  <c r="AC51" i="8"/>
  <c r="Z51" i="8"/>
  <c r="Z46" i="8"/>
  <c r="X37" i="8"/>
  <c r="AD37" i="8" s="1"/>
  <c r="AE37" i="8" s="1"/>
  <c r="AC42" i="8"/>
  <c r="AC43" i="8"/>
  <c r="Z43" i="8"/>
  <c r="AD29" i="7"/>
  <c r="AE29" i="7" s="1"/>
  <c r="AD47" i="7"/>
  <c r="AE47" i="7" s="1"/>
  <c r="AD7" i="7"/>
  <c r="AD19" i="7"/>
  <c r="AE19" i="7" s="1"/>
  <c r="AD43" i="7"/>
  <c r="AE43" i="7" s="1"/>
  <c r="AD48" i="7"/>
  <c r="AE48" i="7" s="1"/>
  <c r="Z33" i="7"/>
  <c r="Z37" i="7"/>
  <c r="Z41" i="7"/>
  <c r="Z47" i="7"/>
  <c r="Z52" i="7"/>
  <c r="Z56" i="7"/>
  <c r="Z9" i="7"/>
  <c r="Z13" i="7"/>
  <c r="Z17" i="7"/>
  <c r="Z25" i="7"/>
  <c r="Z29" i="7"/>
  <c r="Z21" i="7"/>
  <c r="AD36" i="10" l="1"/>
  <c r="AE36" i="10" s="1"/>
  <c r="AD19" i="8"/>
  <c r="AE19" i="8" s="1"/>
  <c r="AD30" i="11"/>
  <c r="AE30" i="11" s="1"/>
  <c r="AD20" i="10"/>
  <c r="AE20" i="10" s="1"/>
  <c r="AD54" i="11"/>
  <c r="AE54" i="11" s="1"/>
  <c r="AD37" i="7"/>
  <c r="AE37" i="7" s="1"/>
  <c r="AD26" i="11"/>
  <c r="AE26" i="11" s="1"/>
  <c r="AD50" i="8"/>
  <c r="AE50" i="8" s="1"/>
  <c r="AD15" i="8"/>
  <c r="AE15" i="8" s="1"/>
  <c r="AD34" i="8"/>
  <c r="AE34" i="8" s="1"/>
  <c r="AD20" i="8"/>
  <c r="AE20" i="8" s="1"/>
  <c r="AD30" i="7"/>
  <c r="AE30" i="7" s="1"/>
  <c r="AD36" i="7"/>
  <c r="AE36" i="7" s="1"/>
  <c r="AD40" i="9"/>
  <c r="AE40" i="9" s="1"/>
  <c r="AD59" i="9"/>
  <c r="AE59" i="9" s="1"/>
  <c r="AD51" i="11"/>
  <c r="AE51" i="11" s="1"/>
  <c r="AD40" i="11"/>
  <c r="AE40" i="11" s="1"/>
  <c r="AD46" i="11"/>
  <c r="AE46" i="11" s="1"/>
  <c r="AD40" i="10"/>
  <c r="AE40" i="10" s="1"/>
  <c r="AD20" i="12"/>
  <c r="AE20" i="12" s="1"/>
  <c r="AD32" i="12"/>
  <c r="AE32" i="12" s="1"/>
  <c r="AD36" i="12"/>
  <c r="AE36" i="12" s="1"/>
  <c r="AD34" i="12"/>
  <c r="AE34" i="12" s="1"/>
  <c r="AD25" i="11"/>
  <c r="AE25" i="11" s="1"/>
  <c r="AD36" i="11"/>
  <c r="AE36" i="11" s="1"/>
  <c r="AD31" i="11"/>
  <c r="AE31" i="11" s="1"/>
  <c r="Z62" i="11"/>
  <c r="Z68" i="11"/>
  <c r="Z64" i="11"/>
  <c r="AD38" i="11"/>
  <c r="AE38" i="11" s="1"/>
  <c r="AD33" i="11"/>
  <c r="AE33" i="11" s="1"/>
  <c r="AD31" i="9"/>
  <c r="AE31" i="9" s="1"/>
  <c r="AD27" i="9"/>
  <c r="AE27" i="9" s="1"/>
  <c r="AD49" i="9"/>
  <c r="AE49" i="9" s="1"/>
  <c r="AD39" i="10"/>
  <c r="AE39" i="10" s="1"/>
  <c r="AD31" i="10"/>
  <c r="AE31" i="10" s="1"/>
  <c r="Z64" i="10"/>
  <c r="Z66" i="10"/>
  <c r="Z70" i="10"/>
  <c r="Z73" i="9"/>
  <c r="Z69" i="9"/>
  <c r="Z67" i="9"/>
  <c r="AD41" i="10"/>
  <c r="AE41" i="10" s="1"/>
  <c r="AD34" i="10"/>
  <c r="AE34" i="10" s="1"/>
  <c r="AD27" i="8"/>
  <c r="AE27" i="8" s="1"/>
  <c r="AD51" i="8"/>
  <c r="AE51" i="8" s="1"/>
  <c r="AD45" i="9"/>
  <c r="AE45" i="9" s="1"/>
  <c r="AD50" i="11"/>
  <c r="AE50" i="11" s="1"/>
  <c r="AD42" i="12"/>
  <c r="AE42" i="12" s="1"/>
  <c r="AD37" i="11"/>
  <c r="AE37" i="11" s="1"/>
  <c r="AD39" i="12"/>
  <c r="AE39" i="12" s="1"/>
  <c r="AD57" i="9"/>
  <c r="AE57" i="9" s="1"/>
  <c r="AD42" i="11"/>
  <c r="AE42" i="11" s="1"/>
  <c r="AD42" i="8"/>
  <c r="AE42" i="8" s="1"/>
  <c r="AD52" i="10"/>
  <c r="AE52" i="10" s="1"/>
  <c r="AD42" i="10"/>
  <c r="AE42" i="10" s="1"/>
  <c r="AD38" i="10"/>
  <c r="AE38" i="10" s="1"/>
  <c r="AD55" i="11"/>
  <c r="AE55" i="11" s="1"/>
  <c r="AD56" i="7"/>
  <c r="AE56" i="7" s="1"/>
  <c r="AD33" i="7"/>
  <c r="AE33" i="7" s="1"/>
  <c r="Z65" i="7"/>
  <c r="Z63" i="7"/>
  <c r="Z69" i="7"/>
  <c r="AD53" i="7"/>
  <c r="AE53" i="7" s="1"/>
  <c r="AC58" i="7"/>
  <c r="AD35" i="7"/>
  <c r="AE35" i="7" s="1"/>
  <c r="AD39" i="7"/>
  <c r="AE39" i="7" s="1"/>
  <c r="Z58" i="7"/>
  <c r="AD49" i="12"/>
  <c r="AE49" i="12" s="1"/>
  <c r="AD48" i="9"/>
  <c r="AE48" i="9" s="1"/>
  <c r="AD58" i="9"/>
  <c r="AE58" i="9" s="1"/>
  <c r="AD56" i="12"/>
  <c r="AE56" i="12" s="1"/>
  <c r="AD48" i="8"/>
  <c r="AE48" i="8" s="1"/>
  <c r="AD35" i="11"/>
  <c r="AE35" i="11" s="1"/>
  <c r="AD39" i="11"/>
  <c r="AE39" i="11" s="1"/>
  <c r="Z58" i="12"/>
  <c r="AD43" i="8"/>
  <c r="AE43" i="8" s="1"/>
  <c r="AD10" i="11"/>
  <c r="AE10" i="11" s="1"/>
  <c r="AD50" i="9"/>
  <c r="AE50" i="9" s="1"/>
  <c r="AD45" i="12"/>
  <c r="AE45" i="12" s="1"/>
  <c r="AD38" i="12"/>
  <c r="AE38" i="12" s="1"/>
  <c r="AD38" i="9"/>
  <c r="AE38" i="9" s="1"/>
  <c r="AD22" i="9"/>
  <c r="AE22" i="9" s="1"/>
  <c r="AD53" i="11"/>
  <c r="AE53" i="11" s="1"/>
  <c r="AD18" i="9"/>
  <c r="AE18" i="9" s="1"/>
  <c r="AD18" i="11"/>
  <c r="AE18" i="11" s="1"/>
  <c r="AD34" i="11"/>
  <c r="AE34" i="11" s="1"/>
  <c r="AD14" i="11"/>
  <c r="AE14" i="11" s="1"/>
  <c r="AD54" i="12"/>
  <c r="AE54" i="12" s="1"/>
  <c r="AD36" i="8"/>
  <c r="AE36" i="8" s="1"/>
  <c r="AD55" i="9"/>
  <c r="AE55" i="9" s="1"/>
  <c r="AD56" i="10"/>
  <c r="AE56" i="10" s="1"/>
  <c r="AD49" i="10"/>
  <c r="AE49" i="10" s="1"/>
  <c r="AD14" i="9"/>
  <c r="AE14" i="9" s="1"/>
  <c r="AD51" i="12"/>
  <c r="AE51" i="12" s="1"/>
  <c r="AD39" i="8"/>
  <c r="AE39" i="8" s="1"/>
  <c r="AD50" i="12"/>
  <c r="AE50" i="12" s="1"/>
  <c r="AD46" i="12"/>
  <c r="AE46" i="12" s="1"/>
  <c r="AD40" i="12"/>
  <c r="AE40" i="12" s="1"/>
  <c r="AD47" i="9"/>
  <c r="AE47" i="9" s="1"/>
  <c r="AD52" i="12"/>
  <c r="AE52" i="12" s="1"/>
  <c r="AD55" i="12"/>
  <c r="AE55" i="12" s="1"/>
  <c r="AE7" i="12"/>
  <c r="AD35" i="12"/>
  <c r="AE35" i="12" s="1"/>
  <c r="AC58" i="12"/>
  <c r="Z57" i="11"/>
  <c r="AD45" i="11"/>
  <c r="AE45" i="11" s="1"/>
  <c r="AE7" i="11"/>
  <c r="AC57" i="11"/>
  <c r="Z59" i="10"/>
  <c r="AE7" i="10"/>
  <c r="AC59" i="10"/>
  <c r="AD52" i="9"/>
  <c r="AE52" i="9" s="1"/>
  <c r="Z62" i="9"/>
  <c r="AE7" i="9"/>
  <c r="AD42" i="9"/>
  <c r="AE42" i="9" s="1"/>
  <c r="AC62" i="9"/>
  <c r="AC53" i="8"/>
  <c r="Z53" i="8"/>
  <c r="AE7" i="8"/>
  <c r="AE7" i="7"/>
  <c r="AD59" i="10" l="1"/>
  <c r="AE59" i="10" s="1"/>
  <c r="D7" i="13" s="1"/>
  <c r="AD58" i="7"/>
  <c r="AE58" i="7" s="1"/>
  <c r="D4" i="13" s="1"/>
  <c r="AD53" i="8"/>
  <c r="AE53" i="8" s="1"/>
  <c r="D5" i="13" s="1"/>
  <c r="AD58" i="12"/>
  <c r="AE58" i="12" s="1"/>
  <c r="D9" i="13" s="1"/>
  <c r="AD57" i="11"/>
  <c r="AE57" i="11" s="1"/>
  <c r="D8" i="13" s="1"/>
  <c r="AD62" i="9"/>
  <c r="AE62" i="9" s="1"/>
  <c r="D6" i="13" s="1"/>
  <c r="S11" i="6" l="1"/>
  <c r="U11" i="6" s="1"/>
  <c r="Y11" i="6"/>
  <c r="Z11" i="6" s="1"/>
  <c r="AB11" i="6"/>
  <c r="Z12" i="6"/>
  <c r="AB12" i="6"/>
  <c r="S13" i="6"/>
  <c r="U13" i="6" s="1"/>
  <c r="Y13" i="6"/>
  <c r="Z13" i="6" s="1"/>
  <c r="AB13" i="6"/>
  <c r="Z14" i="6"/>
  <c r="AB14" i="6"/>
  <c r="S15" i="6"/>
  <c r="U15" i="6" s="1"/>
  <c r="Y15" i="6"/>
  <c r="Z15" i="6" s="1"/>
  <c r="AB15" i="6"/>
  <c r="AB16" i="6"/>
  <c r="Z17" i="6"/>
  <c r="AB17" i="6"/>
  <c r="Z18" i="6"/>
  <c r="AB18" i="6"/>
  <c r="AB19" i="6"/>
  <c r="S20" i="6"/>
  <c r="U20" i="6" s="1"/>
  <c r="Y20" i="6"/>
  <c r="Z20" i="6" s="1"/>
  <c r="AB20" i="6"/>
  <c r="Z21" i="6"/>
  <c r="AB21" i="6"/>
  <c r="S22" i="6"/>
  <c r="U22" i="6" s="1"/>
  <c r="Y22" i="6"/>
  <c r="Z22" i="6" s="1"/>
  <c r="AB22" i="6"/>
  <c r="Z23" i="6"/>
  <c r="AB23" i="6"/>
  <c r="S24" i="6"/>
  <c r="U24" i="6" s="1"/>
  <c r="Y24" i="6"/>
  <c r="AB24" i="6"/>
  <c r="Z25" i="6"/>
  <c r="AB25" i="6"/>
  <c r="S26" i="6"/>
  <c r="U26" i="6" s="1"/>
  <c r="Y26" i="6"/>
  <c r="Z26" i="6" s="1"/>
  <c r="AB26" i="6"/>
  <c r="S27" i="6"/>
  <c r="U27" i="6" s="1"/>
  <c r="Y27" i="6"/>
  <c r="Z27" i="6" s="1"/>
  <c r="AB27" i="6"/>
  <c r="S28" i="6"/>
  <c r="U28" i="6" s="1"/>
  <c r="Y28" i="6"/>
  <c r="Z28" i="6" s="1"/>
  <c r="AB28" i="6"/>
  <c r="Z29" i="6"/>
  <c r="AB29" i="6"/>
  <c r="Z30" i="6"/>
  <c r="AB30" i="6"/>
  <c r="Z31" i="6"/>
  <c r="AB31" i="6"/>
  <c r="S32" i="6"/>
  <c r="U32" i="6" s="1"/>
  <c r="Y32" i="6"/>
  <c r="AB32" i="6"/>
  <c r="Z33" i="6"/>
  <c r="AB33" i="6"/>
  <c r="S34" i="6"/>
  <c r="U34" i="6" s="1"/>
  <c r="Y34" i="6"/>
  <c r="Z34" i="6" s="1"/>
  <c r="AB34" i="6"/>
  <c r="S35" i="6"/>
  <c r="U35" i="6" s="1"/>
  <c r="Y35" i="6"/>
  <c r="Z35" i="6" s="1"/>
  <c r="AB35" i="6"/>
  <c r="S36" i="6"/>
  <c r="U36" i="6" s="1"/>
  <c r="Y36" i="6"/>
  <c r="Z36" i="6" s="1"/>
  <c r="AB36" i="6"/>
  <c r="S37" i="6"/>
  <c r="U37" i="6" s="1"/>
  <c r="Z37" i="6"/>
  <c r="AB37" i="6"/>
  <c r="Z38" i="6"/>
  <c r="AB38" i="6"/>
  <c r="AB39" i="6"/>
  <c r="Z40" i="6"/>
  <c r="AB40" i="6"/>
  <c r="Z41" i="6"/>
  <c r="AB41" i="6"/>
  <c r="S42" i="6"/>
  <c r="U42" i="6" s="1"/>
  <c r="Y42" i="6"/>
  <c r="Z42" i="6" s="1"/>
  <c r="AB42" i="6"/>
  <c r="Z43" i="6"/>
  <c r="AB43" i="6"/>
  <c r="AB44" i="6"/>
  <c r="Z45" i="6"/>
  <c r="AB45" i="6"/>
  <c r="Z46" i="6"/>
  <c r="AB46" i="6"/>
  <c r="S47" i="6"/>
  <c r="U47" i="6" s="1"/>
  <c r="Y47" i="6"/>
  <c r="Z47" i="6" s="1"/>
  <c r="AB47" i="6"/>
  <c r="S48" i="6"/>
  <c r="U48" i="6" s="1"/>
  <c r="Y48" i="6"/>
  <c r="AB48" i="6"/>
  <c r="S49" i="6"/>
  <c r="U49" i="6" s="1"/>
  <c r="Y49" i="6"/>
  <c r="Z49" i="6" s="1"/>
  <c r="AB49" i="6"/>
  <c r="S50" i="6"/>
  <c r="U50" i="6" s="1"/>
  <c r="Y50" i="6"/>
  <c r="Z50" i="6" s="1"/>
  <c r="AB50" i="6"/>
  <c r="Z8" i="6"/>
  <c r="AB8" i="6"/>
  <c r="AB9" i="6"/>
  <c r="Z10" i="6"/>
  <c r="AB10" i="6"/>
  <c r="AC24" i="6" l="1"/>
  <c r="X48" i="6"/>
  <c r="AC30" i="6"/>
  <c r="AC42" i="6"/>
  <c r="X50" i="6"/>
  <c r="AC9" i="6"/>
  <c r="AC38" i="6"/>
  <c r="AC10" i="6"/>
  <c r="AC26" i="6"/>
  <c r="AC15" i="6"/>
  <c r="AC16" i="6"/>
  <c r="X35" i="6"/>
  <c r="X34" i="6"/>
  <c r="AC23" i="6"/>
  <c r="X15" i="6"/>
  <c r="X26" i="6"/>
  <c r="Z9" i="6"/>
  <c r="AC50" i="6"/>
  <c r="AC45" i="6"/>
  <c r="AC14" i="6"/>
  <c r="X28" i="6"/>
  <c r="AC32" i="6"/>
  <c r="AC39" i="6"/>
  <c r="X36" i="6"/>
  <c r="AC31" i="6"/>
  <c r="X20" i="6"/>
  <c r="AC49" i="6"/>
  <c r="AC19" i="6"/>
  <c r="Z32" i="6"/>
  <c r="Z19" i="6"/>
  <c r="Z54" i="6" s="1"/>
  <c r="Z16" i="6"/>
  <c r="AC11" i="6"/>
  <c r="X47" i="6"/>
  <c r="AC8" i="6"/>
  <c r="X37" i="6"/>
  <c r="AC35" i="6"/>
  <c r="X32" i="6"/>
  <c r="AC20" i="6"/>
  <c r="X13" i="6"/>
  <c r="AC46" i="6"/>
  <c r="AC27" i="6"/>
  <c r="X22" i="6"/>
  <c r="Z39" i="6"/>
  <c r="AC34" i="6"/>
  <c r="Z24" i="6"/>
  <c r="AC18" i="6"/>
  <c r="AC37" i="6"/>
  <c r="X42" i="6"/>
  <c r="AC22" i="6"/>
  <c r="AC41" i="6"/>
  <c r="AC28" i="6"/>
  <c r="X27" i="6"/>
  <c r="X24" i="6"/>
  <c r="AC12" i="6"/>
  <c r="X11" i="6"/>
  <c r="X49" i="6"/>
  <c r="AC47" i="6"/>
  <c r="Z48" i="6"/>
  <c r="AC48" i="6"/>
  <c r="AC43" i="6"/>
  <c r="Z44" i="6"/>
  <c r="AC44" i="6"/>
  <c r="AC40" i="6"/>
  <c r="AC36" i="6"/>
  <c r="AC33" i="6"/>
  <c r="AC29" i="6"/>
  <c r="AC25" i="6"/>
  <c r="AC21" i="6"/>
  <c r="AC17" i="6"/>
  <c r="AC13" i="6"/>
  <c r="AJ52" i="6"/>
  <c r="AI52" i="6"/>
  <c r="AH52" i="6"/>
  <c r="AG52" i="6"/>
  <c r="AF52" i="6"/>
  <c r="AB7" i="6"/>
  <c r="AD48" i="6" l="1"/>
  <c r="AE48" i="6" s="1"/>
  <c r="AD16" i="6"/>
  <c r="AE16" i="6" s="1"/>
  <c r="AD44" i="6"/>
  <c r="AE44" i="6" s="1"/>
  <c r="AD21" i="6"/>
  <c r="AE21" i="6" s="1"/>
  <c r="AD39" i="6"/>
  <c r="AE39" i="6" s="1"/>
  <c r="AD24" i="6"/>
  <c r="AE24" i="6" s="1"/>
  <c r="AD22" i="6"/>
  <c r="AE22" i="6" s="1"/>
  <c r="AD26" i="6"/>
  <c r="AE26" i="6" s="1"/>
  <c r="AD40" i="6"/>
  <c r="AE40" i="6" s="1"/>
  <c r="AD45" i="6"/>
  <c r="AE45" i="6" s="1"/>
  <c r="AD33" i="6"/>
  <c r="AE33" i="6" s="1"/>
  <c r="AD42" i="6"/>
  <c r="AE42" i="6" s="1"/>
  <c r="AD38" i="6"/>
  <c r="AE38" i="6" s="1"/>
  <c r="AD9" i="6"/>
  <c r="AE9" i="6" s="1"/>
  <c r="AD31" i="6"/>
  <c r="AE31" i="6" s="1"/>
  <c r="AD23" i="6"/>
  <c r="AE23" i="6" s="1"/>
  <c r="AD12" i="6"/>
  <c r="AE12" i="6" s="1"/>
  <c r="AD27" i="6"/>
  <c r="AE27" i="6" s="1"/>
  <c r="AD30" i="6"/>
  <c r="AE30" i="6" s="1"/>
  <c r="AD32" i="6"/>
  <c r="AE32" i="6" s="1"/>
  <c r="AD28" i="6"/>
  <c r="AE28" i="6" s="1"/>
  <c r="AD50" i="6"/>
  <c r="AE50" i="6" s="1"/>
  <c r="AD10" i="6"/>
  <c r="AE10" i="6" s="1"/>
  <c r="AD20" i="6"/>
  <c r="AE20" i="6" s="1"/>
  <c r="AD17" i="6"/>
  <c r="AE17" i="6" s="1"/>
  <c r="AD11" i="6"/>
  <c r="AE11" i="6" s="1"/>
  <c r="AD14" i="6"/>
  <c r="AE14" i="6" s="1"/>
  <c r="AD41" i="6"/>
  <c r="AE41" i="6" s="1"/>
  <c r="AD49" i="6"/>
  <c r="AE49" i="6" s="1"/>
  <c r="AD18" i="6"/>
  <c r="AE18" i="6" s="1"/>
  <c r="AD35" i="6"/>
  <c r="AE35" i="6" s="1"/>
  <c r="AD15" i="6"/>
  <c r="AE15" i="6" s="1"/>
  <c r="AD25" i="6"/>
  <c r="AE25" i="6" s="1"/>
  <c r="AD37" i="6"/>
  <c r="AE37" i="6" s="1"/>
  <c r="AC7" i="6"/>
  <c r="AD8" i="6"/>
  <c r="AE8" i="6" s="1"/>
  <c r="AD34" i="6"/>
  <c r="AE34" i="6" s="1"/>
  <c r="AD36" i="6"/>
  <c r="AE36" i="6" s="1"/>
  <c r="AD47" i="6"/>
  <c r="AE47" i="6" s="1"/>
  <c r="AD43" i="6"/>
  <c r="AE43" i="6" s="1"/>
  <c r="AD46" i="6"/>
  <c r="AE46" i="6" s="1"/>
  <c r="AD19" i="6"/>
  <c r="AE19" i="6" s="1"/>
  <c r="AD29" i="6"/>
  <c r="AE29" i="6" s="1"/>
  <c r="AD13" i="6"/>
  <c r="AE13" i="6" s="1"/>
  <c r="Z7" i="6"/>
  <c r="AD7" i="6" l="1"/>
  <c r="AE7" i="6" s="1"/>
  <c r="AC52" i="6"/>
  <c r="Z52" i="6"/>
  <c r="Z59" i="6" s="1"/>
  <c r="Z63" i="6" l="1"/>
  <c r="Z57" i="6"/>
  <c r="AD52" i="6"/>
  <c r="AE52" i="6" s="1"/>
  <c r="D3" i="13" s="1"/>
</calcChain>
</file>

<file path=xl/sharedStrings.xml><?xml version="1.0" encoding="utf-8"?>
<sst xmlns="http://schemas.openxmlformats.org/spreadsheetml/2006/main" count="3512" uniqueCount="247">
  <si>
    <t>Supplier</t>
  </si>
  <si>
    <t>URL</t>
  </si>
  <si>
    <t>Net P</t>
  </si>
  <si>
    <t>X-rate</t>
  </si>
  <si>
    <t>Net P NOK</t>
  </si>
  <si>
    <t>Type</t>
  </si>
  <si>
    <t>To date</t>
  </si>
  <si>
    <t>Supp curr</t>
  </si>
  <si>
    <t>NOK</t>
  </si>
  <si>
    <t>Sales curr</t>
  </si>
  <si>
    <t>EUR</t>
  </si>
  <si>
    <t>Sales P NOK tot</t>
  </si>
  <si>
    <t>GP NOK</t>
  </si>
  <si>
    <t>GP %</t>
  </si>
  <si>
    <t>Units</t>
  </si>
  <si>
    <t>SEK</t>
  </si>
  <si>
    <t>DKK</t>
  </si>
  <si>
    <t>ISK</t>
  </si>
  <si>
    <t>Totals</t>
  </si>
  <si>
    <t>ID</t>
  </si>
  <si>
    <t>Price</t>
  </si>
  <si>
    <t>Status</t>
  </si>
  <si>
    <t>Supp Comm</t>
  </si>
  <si>
    <t>From date</t>
  </si>
  <si>
    <t>From time</t>
  </si>
  <si>
    <t>To time</t>
  </si>
  <si>
    <t>VAT25</t>
  </si>
  <si>
    <t>VAT15</t>
  </si>
  <si>
    <t>VAT0-D</t>
  </si>
  <si>
    <t>VAT0-I</t>
  </si>
  <si>
    <t>VAT12</t>
  </si>
  <si>
    <t>USD</t>
  </si>
  <si>
    <t xml:space="preserve"> </t>
  </si>
  <si>
    <t>Comments</t>
  </si>
  <si>
    <t>Travel element</t>
  </si>
  <si>
    <t>Day</t>
  </si>
  <si>
    <t>Manual booking?</t>
  </si>
  <si>
    <t>Non-refundable</t>
  </si>
  <si>
    <t>Refundable</t>
  </si>
  <si>
    <t>Gross P</t>
  </si>
  <si>
    <t>Gross P per unit</t>
  </si>
  <si>
    <t>Sales P per unit</t>
  </si>
  <si>
    <t>x</t>
  </si>
  <si>
    <t>PP</t>
  </si>
  <si>
    <t>Ref</t>
  </si>
  <si>
    <t>NoRef</t>
  </si>
  <si>
    <t>Deposit</t>
  </si>
  <si>
    <t>Rest</t>
  </si>
  <si>
    <t>Pax: 2</t>
  </si>
  <si>
    <t>Rooming: Double</t>
  </si>
  <si>
    <t xml:space="preserve">Places: Helsinki - Santa Express - Rovaniemi - Kakslauttanen </t>
  </si>
  <si>
    <t>Helsinki: Welcome to Finland</t>
  </si>
  <si>
    <t>Helsinki: Self transfer to your accommodation</t>
  </si>
  <si>
    <t>Helsinki: Spend time at leisure</t>
  </si>
  <si>
    <t>Day 1</t>
  </si>
  <si>
    <t>Arrival</t>
  </si>
  <si>
    <t>Transfer</t>
  </si>
  <si>
    <t>Hotel</t>
  </si>
  <si>
    <t>Leisure</t>
  </si>
  <si>
    <t>Helsinki: Check in to your accommodation for a 1 night stay - Centraly Located 4-star hotel - Standard Room - Breakfast included</t>
  </si>
  <si>
    <t>Day 2</t>
  </si>
  <si>
    <t>Activity</t>
  </si>
  <si>
    <t>Helsinki: A Finntastic Walking Tour - Time: 10:30 am / 1:30 pm - 12:45 pm / 3:45 pm - Meeting point: Senate Square (Look for a blue and white umbrella) - End point: Helsinki Central Library Oodi - Notable Sights: Senate Square, Helsinki Cathedral, Kauppatori, Uspenski Cathedral,  Esplanadi Park and more - Includes: Professional authorised Helsinki Guide, Liability Insurance</t>
  </si>
  <si>
    <t>https://www.finntastictours.fi/#</t>
  </si>
  <si>
    <t>Train</t>
  </si>
  <si>
    <t>Helsinki: Self transfer to Helsinki Central Station</t>
  </si>
  <si>
    <t>Helsinki: Overnight Santa Claus Express Train to Rovaniemi - Time: 11:13 pm - 10:59 am - Includes: Upstairs Sleeper Cabin with Private Bathroom</t>
  </si>
  <si>
    <t>https://www.vr.fi/en/santa-claus-express</t>
  </si>
  <si>
    <t>Day 3</t>
  </si>
  <si>
    <t>Rovaniemi: Self transfer to your accommodation</t>
  </si>
  <si>
    <t>Rovaniemi: Spend time at leisure</t>
  </si>
  <si>
    <t>Rovaniemi: Check in to your accommodation for a 3 night stay - Centrally Located 3/4-star Hotel - Standard Room - Breakfast included</t>
  </si>
  <si>
    <t>Day 4</t>
  </si>
  <si>
    <t>Rovaniemi: Arctic Circle Highlights Adventure Day - Time: 08:45 am - 2:45 pm - Meeting point: Arctic Circle Snowmobile Park office - Includes: Pick-up/drop-off in central Rovaniemi, Reindeer Farm visit with sleigh ride (2-3 pers), Reindeer sledge driver’s license reward, Alaskan Husky visit with sleigh ride (4 pers), Approx. 2 hours free time in Santa Claus Village, Winter clothes (overalls, boots and gloves), Traditional salmon soup or vegetarian option</t>
  </si>
  <si>
    <t>https://booknordics.com/finland/western-lapland/rovaniemi/arctic-circle-highlights-family-day-by-minibus</t>
  </si>
  <si>
    <t>Rovaniemi: Small-Group Aurora Hunt by Minibus - Time: 7:00 pm - 10:00 pm - Meeting point: Lapland Royal Adventures Office - Includes: Pick-up/drop-off from central Rovaniemi, Knowledgeable, English-speaking guide, Dedicated Northern Lights chase by minibus, Cozy blankets, hot drinks and a snack</t>
  </si>
  <si>
    <t>https://booknordics.com/finland/western-lapland/rovaniemi/aurora-quest-by-minibus</t>
  </si>
  <si>
    <t>Day 5</t>
  </si>
  <si>
    <t>Rovaniemi: Arctic Wildlife Adventure to Ranua Park - Time: 10:00 am - 4:00 pm - Meeting point: Lapland Royal Adventures office - Includes: Pick-up/drop-off in central Rovaniemi, Tickets to Ranua Wildlife Park, Drinks and BBQ sausages by fire</t>
  </si>
  <si>
    <t>https://booknordics.com/finland/western-lapland/rovaniemi/arctic-wildlife-adventure-ranua-wildlife-park-trip</t>
  </si>
  <si>
    <t>Day 6</t>
  </si>
  <si>
    <t>Coach</t>
  </si>
  <si>
    <t>Day 7</t>
  </si>
  <si>
    <t>Departure</t>
  </si>
  <si>
    <t>Rovaniemi: Self transfer to Rovaniemi Bus Station</t>
  </si>
  <si>
    <t>Rovaniemi: Panorama Coach Transfer to Kakslauttanen - Time: 11:45 am - 3:02 pm - Includes: tickets</t>
  </si>
  <si>
    <t>https://www.matkahuolto.fi/en</t>
  </si>
  <si>
    <t>Kakslauttanen: Aurora Hunting with Reindeers - Time: To be determined - Meeting point: Resort Reception - Includes: Transfers, Thermal clothing, winter boots and gloves</t>
  </si>
  <si>
    <t>Kakslauttanen: Check in to your accommodation for a 1 night stay - Kakslauttanen Arctic Resort - Small Glass Igloo with Sauna and Shower East or West Village - dinner and breakfast included</t>
  </si>
  <si>
    <t>Ivalo: Departure home</t>
  </si>
  <si>
    <t>Helsinki: Private transfer to your accommodation</t>
  </si>
  <si>
    <t>Helsinki: Excurssion to Tallinn - Self Guided Experience - Departure from Helsinki: 10:30 am - Departure from Tallinn: 7:30 pm - Includes: Helsinki port transfers, Star Class Cruise Ticket</t>
  </si>
  <si>
    <t>https://www.tallink.com/en</t>
  </si>
  <si>
    <t>Tallinn: Old Town Guided tour - Time: 1:00 pm - 3:30 pm - Meeting point: under the Town Hall clock - Notable sights: St Nickolas Church, Freedom Square, Alexander Nevsky Cathedral, St Mary's Cathedral, Danish King's Garden and more - Includes: Tour, english guide, Recommendations</t>
  </si>
  <si>
    <t>https://120degrees.club/</t>
  </si>
  <si>
    <t>Helsinki: Private transfer to Helsinki Central Station</t>
  </si>
  <si>
    <t>Rovaniemi: Private transfer to your accommodation</t>
  </si>
  <si>
    <t>Transfer Package</t>
  </si>
  <si>
    <t>Activity Upgrade</t>
  </si>
  <si>
    <t>Rovaniemi: Snowmobiling and Sledding Arctic Circle Highlights - Time: 08:45 am - 03:45 pm - Meeting point: Arctic Circle Snowmobile Park office - Includes: Pick-up/drop-off in central Rovaniemi, Knowledgeable, English-speaking guide, 1h snowmobiling on shared snowmobile (2 pers), Reindeer experience with 500m sleigh ride, Alaskan Husky experience with 500m sleigh ride, Approx. 2 hours free time in Santa Claus Village, Winter clothes (overalls, boots and gloves), Other equipment (helmet and balaclava), Salmon soup lunch (vegetarian option available)</t>
  </si>
  <si>
    <t>https://booknordics.com/finland/western-lapland/rovaniemi/family-day-snowmobile-arctic-animals-and-santa-village</t>
  </si>
  <si>
    <t>Rovaniemi: Polar Ice Breaker Cruise - Time: 11:00 am - 7:35 pm - Meeting point: Rovaniemi Tourist Information - Includes: Lunch, transfers, 3-hour Icebreaker Cruise, Guided Icebreaker tour, Onboard Cinema, Frozen Sea Walk, Ice Swimming, Cruise and Swim Certificate</t>
  </si>
  <si>
    <t>https://booknordics.com/finland/western-lapland/rovaniemi/polar-explorer-icebreaker-dancing-queen-party-cruise-and-lunch-with-shuttle-bus-transportation-from-rovaniemi</t>
  </si>
  <si>
    <t>Fixed</t>
  </si>
  <si>
    <t>Variable</t>
  </si>
  <si>
    <t>Total</t>
  </si>
  <si>
    <t>Rovaniemi: Private transfer to Rovaniemi Bus Station</t>
  </si>
  <si>
    <t xml:space="preserve">Places: Helsinki - Santa Express - Rovaniemi - Saariselka </t>
  </si>
  <si>
    <t>Rovaniemi: Panorama Coach Transfer to Saariselkä - Time: 11:45 am - 3:30 pm - Includes: tickets</t>
  </si>
  <si>
    <t>Saariselkä: Spend time at leisure</t>
  </si>
  <si>
    <t>Saariselkä: Self transfer to Saariselkä Northern Lights Village</t>
  </si>
  <si>
    <t>Saariselkä: Self transfer to Ivalo Airport</t>
  </si>
  <si>
    <t>Saariselkä: Check in to your accommodation for a 1 night stay - Saariselkä Northern Lights Village - Aurora Cabin - breakfast included</t>
  </si>
  <si>
    <t>Saariselkä: Private transfer to Saariselkä Northern Lights Village</t>
  </si>
  <si>
    <t>Saariselkä: Private transfer to Ivalo Airport</t>
  </si>
  <si>
    <t>Saariselkä: Northern Lights Hunting Photo Tour by Bus - Time: 7:30 pm - 10:30 pm - Meeting point: Safartica Office, Lutontie 16, - Includes: Pick-up/drop off in central Saariselkä, Knowledgeable, English-speaking guide, Scenic Aurora hunt/drive up to 150km, Professional photos shared after the tour, Gingerbread cookies and hot drinks</t>
  </si>
  <si>
    <t>https://booknordics.com/finland/northern-lapland/saariselkae/aurora-photo-tour-by-car</t>
  </si>
  <si>
    <t>https://fareharbor.com/embeds/book/artic-tours/items/500926/calendar/2026/1/?full-items=yes&amp;back=https://www.arctictours.fi/fi&amp;flow=1060004</t>
  </si>
  <si>
    <t>https://www.arctictours.fi/saariselkataxi</t>
  </si>
  <si>
    <t xml:space="preserve">Places: Helsinki - Santa Express - Kemi - Rovaniemi </t>
  </si>
  <si>
    <t>Helsinki: Overnight Santa Claus Express Train to Kemi - Time: 11:13 pm - 09:32 am  - Includes: Upstairs Sleeper Cabin with Private Bathroom</t>
  </si>
  <si>
    <t>Kemi: Self transfer to your accommodation</t>
  </si>
  <si>
    <t>Kemi: Spend time at leisure</t>
  </si>
  <si>
    <t xml:space="preserve">Kemi: Snowcastle Area - Entrance fee package - Time: Flexible - Meeting point: Kemi Snowcastle - Includes: entrance fees to exhibitions in SnowCastle area such as Gemstone gallery and SnowExperience365 </t>
  </si>
  <si>
    <t>Kemi: Self transfer to Kemi Train Station</t>
  </si>
  <si>
    <t>Kemi: Santa Claus Express Train to Rovaniemi - Time: 1:36 pm - 2:41 pm - Includes: Eko Class Ticket</t>
  </si>
  <si>
    <t>Rovaniemi: Self transfer to Rovaniemi Airport</t>
  </si>
  <si>
    <t>Rovaniemi: Departure home</t>
  </si>
  <si>
    <t>Kemi: Check in to your accommodation for a 1 night stay - Kemi Seaside Villas - Superior Villa - breakfast included</t>
  </si>
  <si>
    <t>Rovaniemi: Private transfer to Rovaniemi Airport</t>
  </si>
  <si>
    <t>Kemi: Afternoon Icebreaker Arktis - Time: 11:00 am - 4:55 pm - Meeting point: SnowCastle area - Includes: 3-hour icebreaker cruise, round-trip transfers from Kemi to the harbor, ice floating, walking on the frozen sea (weather permitting), and a certificate of participation. Onboard, you'll enjoy two cozy indoor decks and a modern café with Arctic views.</t>
  </si>
  <si>
    <t>Places: Helsinki - Santa Express - Kemi - Rovaniemi - Saariselka</t>
  </si>
  <si>
    <t>Places: Helsinki - Santa Express - Kemi - Rovaniemi - Kakslauttanen</t>
  </si>
  <si>
    <t>Places: Helsinki - Santa Express - Rovaniemi - Luosto - Pyhä</t>
  </si>
  <si>
    <t>Places: Helsinki - Santa Express - Rovaniemi - Levi</t>
  </si>
  <si>
    <t>Rovaniemi: Check in to your accommodation for a 2 night stay - Centrally Located 3/4-star Hotel - Standard Room - Breakfast included</t>
  </si>
  <si>
    <t>Rovaniemi: Check in to your accommodation for a 1 night stay - Centrally Located 3/4-star Hotel - Standard Room - Breakfast included</t>
  </si>
  <si>
    <t>Rovaniemi: Arctic Circle Highlights Adventure Day - Time: 08:45 am - 2:45 pm - Meeting point: Arctic Circle Snowmobile Park Rovaniemi - Includes: Pick-up/drop-off in central Rovaniemi, Reindeer Farm visit with sleigh ride (2-3 pers), Reindeer sledge driver’s license reward, Alaskan Husky visit with sleigh ride (4 pers), Approx. 2 hours free time in Santa Claus Village, Winter clothes (overalls, boots and gloves), Traditional salmon soup or vegetarian option</t>
  </si>
  <si>
    <t>Rovaniemi: Panorama Coach Transfer to Luosto - Time: 5:50 pm - 7:45 pm - Includes: tickets</t>
  </si>
  <si>
    <t>Luosto: Self transfer to your accommodation</t>
  </si>
  <si>
    <t>Luosto: Check in to your accommodation for a 2 night stay - Centrally Located 3/4-star Hotel - Standard Room - Breakfast included</t>
  </si>
  <si>
    <t>Luosto: Spend time at leisure</t>
  </si>
  <si>
    <t>Luosto: Snowmobile Safari into the Unique Arctic Wilderness - Time: 4:30 pm - 6:30 pm - Meeting point: Lapland Safaris office, Luppokeino 2 - Includes: Professional, English-speaking guide, Safari with 2 pers. per snowmobile, Fuel and insurance (liability up to €980), Thermal outfit, Hot beverage</t>
  </si>
  <si>
    <t>https://booknordics.com/finland/eastern-lapland/luosto/snowmobile-safari-2h-luosto</t>
  </si>
  <si>
    <t>Luosto: Panorama Coach Transfer to Pyha Northern Lights Village - Time: 10:50 am - 11:06 pm - Includes: tickets</t>
  </si>
  <si>
    <t>Luosto: Self transfer to Luosto Bus Stop Hotelli Luostotunturi or Bus Stop Hotel Aurora</t>
  </si>
  <si>
    <t>Pyha: Check in to your accommodaiton for a 1 night stay - Pyha Northern Lights Village - Aurora Cabin - Breakfast included</t>
  </si>
  <si>
    <t>Pyha: Northern Lights Hunt by car – Guided Aurora Adventure - Time: 7:30 pm - 11:00 pm - Meeting point: Hotel Pick up - Includes: Hot drinks and snacks, Guiding, Transportation</t>
  </si>
  <si>
    <t>BOKUN</t>
  </si>
  <si>
    <t>Pyha: Spend time at leisure</t>
  </si>
  <si>
    <t>Pyha: Panorama Coach Transfer to Rovaniemi Airport - Time: 10:27 am - 12:30 pm - Includes: tickets</t>
  </si>
  <si>
    <t>Rovaniemi: Panorama Coach Transfer to Levi - Time: 5:10 pm - 7:40 pm - Includes: tickets</t>
  </si>
  <si>
    <t>Levi: Self transfer to your accommodation</t>
  </si>
  <si>
    <t>Levi: Spend time at leisure</t>
  </si>
  <si>
    <t>Levi: Check in to your accommodation for a 2 night stay - Centrally Located 3/4-star Hotel - Standard Room - breakfast included</t>
  </si>
  <si>
    <t>Levi: Northern Lights Tour by Minivan - 8:30 pm - 10:30 pm - Meeting point: Arctic Circle Snowmobile Park Levi, Levintie 1585 - Includes: Pick-up/drop-off in central Levi, Professional, English-speaking guide, Winter clothes (overalls, boots and gloves), Delicious and warm juice</t>
  </si>
  <si>
    <t>https://booknordics.com/finland/western-lapland/levi-and-kittilae/northern-lights-by-minivan-and-campfire-levi</t>
  </si>
  <si>
    <t>Levi: Snowmobiling Adventure - Time: 09:30 am - 10:30 am - Meeting point: Arctic Circle Snowmobile Park Levi, Levintie 1585 - Includes: Pick-up/drop-off in central Levi, Professional, English-speaking guide, 1-hour on shared snowmobile (2 pers), Winter clothes (overalls, boots and gloves), Safety equipment (helmet and balaclava)</t>
  </si>
  <si>
    <t>https://booknordics.com/finland/western-lapland/levi-and-kittilae/snowmobiling-adventure-levi</t>
  </si>
  <si>
    <t>Levi: Check in to your accommodation for a 1 night stay - Levi Northern Lights Village - Aurora Cabin - Breakfast included</t>
  </si>
  <si>
    <t>Levi: Private transfer to Levi Northern Iights Village</t>
  </si>
  <si>
    <t>Levi: Excursion to SnowVillage - Time: 10:00 am - 01:00 pm - Meeting point: Lapland Safaris Levi - Includes: Pick-up/drop-off in central Levi, Guidance tour in English, Entrance to SnowVillage, Thermal outfit to keep warm</t>
  </si>
  <si>
    <t>https://booknordics.com/finland/western-lapland/levi-and-kittilae/excursion-to-snowvillage-levi</t>
  </si>
  <si>
    <t>Kittilä: Departure home</t>
  </si>
  <si>
    <t>Levi: Private transfer to Kittilä Airport</t>
  </si>
  <si>
    <t>Rovaniemi: Lapland Northern Lights Unlimited Chase - Time: 7:00 pm - 3:00 am - Meeting point: Hotel Pick up - Includes: Tour Guiding, Professional Camera Pictures, Pick/Drop within 15KM of Rovaniemi City, Tour Transportation, Cookies &amp; Hot drinks, Goods &amp; services tax</t>
  </si>
  <si>
    <t>ITIN</t>
  </si>
  <si>
    <t>Cost</t>
  </si>
  <si>
    <t>Kakslauttanen: Shuttle transfer to Ivalo Airport</t>
  </si>
  <si>
    <t>Rovaniemi: Korouoma Frozen Waterfall + Auttiköngäs - Time: 08:00 am - 3:00 pm - Meeteing point: Hotel pick up - Includes: Tour Guiding / Transportation, Spikes if needed, Lappish BBQ &amp; Hot Beverages, Pick/Drop within 15KM of Rovaniemi City, Goods &amp; services tax</t>
  </si>
  <si>
    <t>Rooming: Double Budget</t>
  </si>
  <si>
    <t>Helsinki: Check in to your accommodation for a 1 night stay - Centraly Located 3-star hotel - Standard Room - Breakfast included</t>
  </si>
  <si>
    <t>Helsinki: Overnight Santa Claus Express Train to Rovaniemi - Time: 11:13 pm - 10:59 am - Includes: Downstais Sleeper Cabin with Shared Bathroom</t>
  </si>
  <si>
    <t>Rovaniemi: Check in to your accommodation for a 2 night stay - Centrally Located 3-star Hotel - Standard Room - Breakfast included</t>
  </si>
  <si>
    <t>Rovaniemi: Northern Lights Hunt by Minibus at the Arctic Circle - Time: 8:00 pm - 11:00 pm - Meeting point: Arctic City Snowmobile Park office - Includes: Pick-up/drop off in central Rovaniemi, Professional, English-speaking guide, Winter overalls, boots and gloves, Warm juice and cookies</t>
  </si>
  <si>
    <t>https://booknordics.com/finland/western-lapland/rovaniemi/arctic-circle-northern-lights-hunting-by-minibus</t>
  </si>
  <si>
    <t>Places: Helsinki - Santa Express - Rovaniemi - Saariselka</t>
  </si>
  <si>
    <t xml:space="preserve">Places: Helsinki - Santa Express - Rovaniemi - Ranua - Rovaniemi </t>
  </si>
  <si>
    <t>Activity Add On</t>
  </si>
  <si>
    <t>Rooming: Double Offbeat</t>
  </si>
  <si>
    <t>Helsinki: Check in to your accommodaiton for a 2 night stay - Centraly located Hotel (Scandic Helsinki Park or similar) - Room on double sharing basis - breakfast included</t>
  </si>
  <si>
    <t>https://app.hotelbeds.com/hotels/search?productType=HOTEL&amp;destinationTab=Helsinki&amp;destination=HEL&amp;check_in=24-12-2025&amp;check_out=26-12-2025&amp;occupancy=2~0&amp;packaging=true&amp;createdTime=2025-11-11T09:45:35.831Z&amp;BOARD_GROUP=HD,HD2,MP,MP1&amp;CANCELLATION_FEE=NO_FEES_UNTIL&amp;results=20&amp;sortBy=DEFAULT&amp;field=RANKING&amp;direction=ASCENDING&amp;idAvailability=6bb1a663-0e7b-426c-a2d6-80b942a471b4</t>
  </si>
  <si>
    <t>Helsinki: A Finntastic Walking Tour in Helsinki - Meeting point: Senaatintori, 00170 Helsinki (Look for a blue and white umbrella at Senate Square) - Time: 10:30 am - 12:45 pm - Join my Finntastic tour to learn about the Finnish culture, history, and lifestyle in a super fun but also very informative way! Includes: Professional authorised Helsinki Guide</t>
  </si>
  <si>
    <t>https://www.tripadvisor.com/AttractionProductReview-g189934-d24171262-A_Finntastic_Walking_Tour_in_Helsinki-Helsinki_Uusimaa.html</t>
  </si>
  <si>
    <t>Helsinki: Self trnasfer to Helsinki Central Station</t>
  </si>
  <si>
    <t>Helsinki: Santa Claus Express Train Transfer to Oulu - Time: 11:45 am - 7:45 pm - Tickets Included</t>
  </si>
  <si>
    <t>https://www.vr.fi/en/single-ticket-outbound-journey-details?ref=header&amp;from=HKI&amp;to=OL&amp;passengers[0][key]=bee300e7-26be-456d-bd16-24b527ed4222&amp;passengers[0][type]=ADULT&amp;passengers[1][key]=733f0973-90a7-438d-9d3d-5b8fc13d8d54&amp;passengers[1][type]=ADULT&amp;outboundDate=2025-12-25&amp;saleId=d09c336e-1b59-4988-82d1-f95512719c11</t>
  </si>
  <si>
    <t>Oulu: Self tranfser to your accommodation</t>
  </si>
  <si>
    <t>Oulu: Check in to your accommodation for a 2 night stay - Centrally located 3 star hotel (Scandic Oulu or similar) - Room on double sharing basis - breakfast included</t>
  </si>
  <si>
    <t>Oulu: Spend time at leisure</t>
  </si>
  <si>
    <t>Oulu: City Tour - Time: 11:00 am - 1:00 pm - Meeting point: Toripolliisi Oulu Policeman Statue next to the Market Hall - Includes: Expert guide</t>
  </si>
  <si>
    <t>https://www.tourdelapland.com/tour/oulu-city-tour</t>
  </si>
  <si>
    <t>Oulu: Self transfer to Oulu Bus Station</t>
  </si>
  <si>
    <t>Oulu: Panorama Coach Transfer to Kuusamo - Time: 08:30 am - 11:35 am - Tickets Included</t>
  </si>
  <si>
    <t>https://liput.matkahuolto.fi/connectionlist?lang=en&amp;departurePlaceId=p1029&amp;arrivalPlaceId=p1212&amp;departureDate=2025-12-24#breadcrumb</t>
  </si>
  <si>
    <t>Kuusamo: Self transfer to your accommodation</t>
  </si>
  <si>
    <t>Kuusamo : Check in to your accommodation for a 2 night stay - Centrally located 3 star hotel (Holiday Club Kuusamon or similar) - Breakfast included</t>
  </si>
  <si>
    <t>Kuusamo Northern Lights</t>
  </si>
  <si>
    <t>Kuusamo - ?</t>
  </si>
  <si>
    <t>Kuusamo: Spend time at leisure</t>
  </si>
  <si>
    <t>Kuusamo: Self transfer to Kussamo Bus Stop</t>
  </si>
  <si>
    <t>Kuusamo: Panorama Coach Transfer to Pappilanniemi (Ranua) - Time: 12:40 pm - 4.15 pm - Tickets included</t>
  </si>
  <si>
    <t>Bus not active: 24.12, 25.12 and 26.12</t>
  </si>
  <si>
    <t>https://liput.matkahuolto.fi/connectionlist?lang=en&amp;departurePlaceId=p1212&amp;arrivalPlaceId=s9484&amp;departureDate=2025-12-26#breadcrumb</t>
  </si>
  <si>
    <t>Ranua: Self transfer to your accommodation</t>
  </si>
  <si>
    <t xml:space="preserve">Ranua: Check in to your accommodation for a 1 night stay - Arctic Guest House - </t>
  </si>
  <si>
    <t>https://arcticguesthouseandigloos.com/</t>
  </si>
  <si>
    <t>Ranua: Spend time at leisure</t>
  </si>
  <si>
    <t>Day 8</t>
  </si>
  <si>
    <t>Ranua: Panorama Coach Transfer to Santa Cluas VIllage - Time: 10:20 am - 12:00 pm - Tickets included</t>
  </si>
  <si>
    <t>https://booknordics.com/finland/western-lapland/rovaniemi/trip-to-santa-claus-village</t>
  </si>
  <si>
    <t>Rovaniemi: Panorama Coach transfer to Ranua - Time: 5:00 pm - 6:50 pm - Tickets Included</t>
  </si>
  <si>
    <t>Ranua: Check in to your accommodation - Arctic Guest Hose - Aurora Hut - Breakfast included</t>
  </si>
  <si>
    <t>Day 9</t>
  </si>
  <si>
    <t>Ranua - Rovaniemi Airport - Coach Transfer</t>
  </si>
  <si>
    <t>Rovanimi: Departure home</t>
  </si>
  <si>
    <t>Margin</t>
  </si>
  <si>
    <t>Destinations</t>
  </si>
  <si>
    <t xml:space="preserve">Helsinki 1N - Santa Express 1N - </t>
  </si>
  <si>
    <t>Saariselkä: Check in to your accommodation for a 2 night stay - Centraly Located 3-star hotel - Standard Room - breakfast included</t>
  </si>
  <si>
    <t>Helsinki: Excurssion to Tallinn - Guided Experience - Meeting point: Hotel Pick up - Departure from Helsinki: 10:30 am - Departure from Tallinn: 7:30 pm - Includes: Helsinki port transfers, Star Class Cruise Ticket, Guided tour of Old town Tallinn</t>
  </si>
  <si>
    <t>Rovaniemi: Check in to your accommodation for a 1 night stay - Centraly Located 4-star hotel - Standard Room - Breakfast included</t>
  </si>
  <si>
    <t>Rovaniemi: Northern Lights Unlimited Mileage Photo Tour - Time: 08:00 pm - 01:00 am - Meeting point: Book Lapland Office - Includes: Pick-up/drop-off in central Rovaniemi, Knowledgeable, English-speaking guides, Professional DSLR photography (unlimited), Meteorological observations, Thermal winter clothing, Hot drinks &amp; snacks or cookies</t>
  </si>
  <si>
    <t>https://booknordics.com/finland/western-lapland/rovaniemi/rovaniemi-northern-lights-family-tour-by-bus-with-photos</t>
  </si>
  <si>
    <t>Rovaniemi: Snowmobiling and Sledding Arctic Circle Highlights - Time: 08:45 am - 03:45 pm - Meeting point: Arctic Circle Snowmobile Park Rovaniemi - Includes: Pick-up/drop-off in central Rovaniemi, Knowledgeable, English-speaking guide, 1h snowmobiling on shared snowmobile (2 pers), Reindeer experience with 500m sleigh ride, Alaskan Husky experience with 500m sleigh ride, Approx. 2 hours free time in Santa Claus Village, Winter clothes (overalls, boots and gloves), Other equipment (helmet and balaclava), Salmon soup lunch (vegetarian option available)</t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</si>
  <si>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3N</t>
    </r>
    <r>
      <rPr>
        <sz val="11"/>
        <color theme="1"/>
        <rFont val="Calibri"/>
        <family val="2"/>
        <scheme val="minor"/>
      </rPr>
      <t xml:space="preserve"> - Kakslauttanen </t>
    </r>
    <r>
      <rPr>
        <b/>
        <sz val="11"/>
        <color theme="1"/>
        <rFont val="Calibri"/>
        <family val="2"/>
        <scheme val="minor"/>
      </rPr>
      <t>1N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</si>
  <si>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3N</t>
    </r>
    <r>
      <rPr>
        <sz val="11"/>
        <color theme="1"/>
        <rFont val="Calibri"/>
        <family val="2"/>
        <scheme val="minor"/>
      </rPr>
      <t xml:space="preserve"> - Saariselkä</t>
    </r>
    <r>
      <rPr>
        <b/>
        <sz val="11"/>
        <color theme="1"/>
        <rFont val="Calibri"/>
        <family val="2"/>
        <scheme val="minor"/>
      </rPr>
      <t xml:space="preserve"> 1N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</si>
  <si>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Kemi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3N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</si>
  <si>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Kemi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- Saariselkä </t>
    </r>
    <r>
      <rPr>
        <b/>
        <sz val="11"/>
        <color theme="1"/>
        <rFont val="Calibri"/>
        <family val="2"/>
        <scheme val="minor"/>
      </rPr>
      <t>1N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</si>
  <si>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Kemi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- Kakslauttanen </t>
    </r>
    <r>
      <rPr>
        <b/>
        <sz val="11"/>
        <color theme="1"/>
        <rFont val="Calibri"/>
        <family val="2"/>
        <scheme val="minor"/>
      </rPr>
      <t>1N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</si>
  <si>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Rovaenimi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Luosto </t>
    </r>
    <r>
      <rPr>
        <b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- Pyhä </t>
    </r>
    <r>
      <rPr>
        <b/>
        <sz val="11"/>
        <color theme="1"/>
        <rFont val="Calibri"/>
        <family val="2"/>
        <scheme val="minor"/>
      </rPr>
      <t>1N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</si>
  <si>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Levi </t>
    </r>
    <r>
      <rPr>
        <b/>
        <sz val="11"/>
        <color theme="1"/>
        <rFont val="Calibri"/>
        <family val="2"/>
        <scheme val="minor"/>
      </rPr>
      <t>3N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</si>
  <si>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 </t>
    </r>
    <r>
      <rPr>
        <b/>
        <sz val="11"/>
        <color theme="1"/>
        <rFont val="Calibri"/>
        <family val="2"/>
        <scheme val="minor"/>
      </rPr>
      <t>2N</t>
    </r>
    <r>
      <rPr>
        <sz val="11"/>
        <color theme="1"/>
        <rFont val="Calibri"/>
        <family val="2"/>
        <scheme val="minor"/>
      </rPr>
      <t xml:space="preserve"> - Saariselkä</t>
    </r>
    <r>
      <rPr>
        <b/>
        <sz val="11"/>
        <color theme="1"/>
        <rFont val="Calibri"/>
        <family val="2"/>
        <scheme val="minor"/>
      </rPr>
      <t xml:space="preserve"> 2N</t>
    </r>
  </si>
  <si>
    <r>
      <t xml:space="preserve">Helsinki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Santa Express </t>
    </r>
    <r>
      <rPr>
        <b/>
        <sz val="11"/>
        <color theme="1"/>
        <rFont val="Calibri"/>
        <family val="2"/>
        <scheme val="minor"/>
      </rPr>
      <t>1N</t>
    </r>
    <r>
      <rPr>
        <sz val="11"/>
        <color theme="1"/>
        <rFont val="Calibri"/>
        <family val="2"/>
        <scheme val="minor"/>
      </rPr>
      <t xml:space="preserve"> - Rovaniemi</t>
    </r>
    <r>
      <rPr>
        <b/>
        <sz val="11"/>
        <color theme="1"/>
        <rFont val="Calibri"/>
        <family val="2"/>
        <scheme val="minor"/>
      </rPr>
      <t xml:space="preserve"> 3N</t>
    </r>
    <r>
      <rPr>
        <sz val="11"/>
        <color theme="1"/>
        <rFont val="Calibri"/>
        <family val="2"/>
        <scheme val="minor"/>
      </rPr>
      <t xml:space="preserve"> - Kakslauttanen </t>
    </r>
    <r>
      <rPr>
        <b/>
        <sz val="11"/>
        <color theme="1"/>
        <rFont val="Calibri"/>
        <family val="2"/>
        <scheme val="minor"/>
      </rPr>
      <t>1N</t>
    </r>
  </si>
  <si>
    <t>TOT</t>
  </si>
  <si>
    <t>https://levi.northernlightsvillage.com/getting-here</t>
  </si>
  <si>
    <t>Shoulder</t>
  </si>
  <si>
    <t>High</t>
  </si>
  <si>
    <t>Chirstmas</t>
  </si>
  <si>
    <t>Low</t>
  </si>
  <si>
    <t xml:space="preserve">Places: </t>
  </si>
  <si>
    <t>Places: Helsinki City Stay</t>
  </si>
  <si>
    <t>Helsinki: Private transfer to Helsinki Airport</t>
  </si>
  <si>
    <t>Helsinki: Departure home</t>
  </si>
  <si>
    <t>Helsinki: Excurssion to Tallinn - Self Guided Experience - Meeting point: Hotel Pick up - Departure from Helsinki: 10:30 am - Departure from Tallinn: 7:30 pm - Includes: Helsinki port transfers, Star Class Cruise Ticket</t>
  </si>
  <si>
    <t>Helsinki: Check in to your accommodation for a 3 night stay -  - Standard Room - Breakfast included</t>
  </si>
  <si>
    <t>Winter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</si>
</sst>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\ 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distributed" wrapText="1"/>
    </xf>
    <xf numFmtId="49" fontId="2" fillId="3" borderId="1" xfId="0" applyNumberFormat="1" applyFont="1" applyFill="1" applyBorder="1" applyAlignment="1">
      <alignment horizontal="center" vertical="distributed" wrapText="1"/>
    </xf>
    <xf numFmtId="3" fontId="2" fillId="3" borderId="1" xfId="0" applyNumberFormat="1" applyFont="1" applyFill="1" applyBorder="1" applyAlignment="1">
      <alignment horizontal="center" vertical="distributed" wrapText="1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3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0" fontId="2" fillId="2" borderId="2" xfId="0" applyFont="1" applyFill="1" applyBorder="1"/>
    <xf numFmtId="3" fontId="2" fillId="2" borderId="2" xfId="0" applyNumberFormat="1" applyFont="1" applyFill="1" applyBorder="1"/>
    <xf numFmtId="4" fontId="0" fillId="2" borderId="0" xfId="0" applyNumberFormat="1" applyFill="1" applyAlignment="1">
      <alignment horizontal="center"/>
    </xf>
    <xf numFmtId="9" fontId="0" fillId="2" borderId="0" xfId="0" applyNumberFormat="1" applyFill="1"/>
    <xf numFmtId="2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 applyAlignment="1">
      <alignment horizontal="center"/>
    </xf>
    <xf numFmtId="9" fontId="2" fillId="2" borderId="2" xfId="1" applyFont="1" applyFill="1" applyBorder="1"/>
    <xf numFmtId="0" fontId="3" fillId="2" borderId="0" xfId="2" applyFill="1"/>
    <xf numFmtId="3" fontId="0" fillId="2" borderId="0" xfId="0" applyNumberFormat="1" applyFill="1" applyAlignment="1">
      <alignment horizontal="left"/>
    </xf>
    <xf numFmtId="164" fontId="0" fillId="2" borderId="0" xfId="0" quotePrefix="1" applyNumberFormat="1" applyFill="1" applyAlignment="1">
      <alignment horizontal="left"/>
    </xf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2" xfId="0" applyFont="1" applyFill="1" applyBorder="1"/>
    <xf numFmtId="0" fontId="3" fillId="0" borderId="0" xfId="2"/>
    <xf numFmtId="164" fontId="4" fillId="2" borderId="2" xfId="0" applyNumberFormat="1" applyFont="1" applyFill="1" applyBorder="1"/>
    <xf numFmtId="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/>
    <xf numFmtId="0" fontId="3" fillId="2" borderId="0" xfId="2" applyFill="1" applyAlignment="1">
      <alignment horizontal="left"/>
    </xf>
    <xf numFmtId="3" fontId="0" fillId="6" borderId="0" xfId="0" applyNumberForma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0" fontId="2" fillId="0" borderId="0" xfId="0" applyFont="1" applyAlignment="1">
      <alignment horizontal="right"/>
    </xf>
    <xf numFmtId="16" fontId="0" fillId="0" borderId="0" xfId="0" applyNumberFormat="1" applyAlignment="1">
      <alignment horizontal="right"/>
    </xf>
    <xf numFmtId="3" fontId="2" fillId="0" borderId="0" xfId="0" applyNumberFormat="1" applyFont="1"/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tinerarys/ITIN-487-Prashant-Mr.Sanjay/Calculation-template-487.xlsx" TargetMode="External"/><Relationship Id="rId2" Type="http://schemas.openxmlformats.org/officeDocument/2006/relationships/externalLinkPath" Target="file:///C:\Users\DennisK&#229;len\Desktop\Itinerarys\ITIN-487-Prashant-Mr.Sanjay\Calculation-template-487.xlsx" TargetMode="External"/><Relationship Id="rId1" Type="http://schemas.openxmlformats.org/officeDocument/2006/relationships/externalLinkPath" Target="/Users/DennisK&#229;len/Desktop/Itinerarys/ITIN-487-Prashant-Mr.Sanjay/Calculation-template-4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rr"/>
      <sheetName val="Calc"/>
      <sheetName val="2x room"/>
      <sheetName val="Calc Tromsø"/>
      <sheetName val="Calc Tromsø 2 x room"/>
    </sheetNames>
    <sheetDataSet>
      <sheetData sheetId="0" refreshError="1">
        <row r="2">
          <cell r="B2" t="str">
            <v>EUR</v>
          </cell>
          <cell r="C2">
            <v>11.3</v>
          </cell>
        </row>
        <row r="3">
          <cell r="B3" t="str">
            <v>SEK</v>
          </cell>
          <cell r="C3">
            <v>1.02</v>
          </cell>
        </row>
        <row r="4">
          <cell r="B4" t="str">
            <v>DKK</v>
          </cell>
          <cell r="C4">
            <v>1.5</v>
          </cell>
        </row>
        <row r="5">
          <cell r="B5" t="str">
            <v>ISK</v>
          </cell>
          <cell r="C5">
            <v>7.4999999999999997E-2</v>
          </cell>
        </row>
        <row r="6">
          <cell r="B6" t="str">
            <v>NOK</v>
          </cell>
          <cell r="C6">
            <v>1</v>
          </cell>
        </row>
        <row r="7">
          <cell r="B7" t="str">
            <v>USD</v>
          </cell>
          <cell r="C7">
            <v>10.6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rovaniemi/family-day-snowmobile-arctic-animals-and-santa-village" TargetMode="External"/><Relationship Id="rId3" Type="http://schemas.openxmlformats.org/officeDocument/2006/relationships/hyperlink" Target="https://booknordics.com/finland/western-lapland/rovaniemi/arctic-circle-highlights-family-day-by-minibus" TargetMode="External"/><Relationship Id="rId7" Type="http://schemas.openxmlformats.org/officeDocument/2006/relationships/hyperlink" Target="https://www.tallink.com/en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www.matkahuolto.fi/en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booknordics.com/finland/western-lapland/rovaniemi/arctic-wildlife-adventure-ranua-wildlife-park-trip" TargetMode="External"/><Relationship Id="rId10" Type="http://schemas.openxmlformats.org/officeDocument/2006/relationships/hyperlink" Target="https://booknordics.com/finland/western-lapland/rovaniemi/rovaniemi-northern-lights-family-tour-by-bus-with-photos" TargetMode="External"/><Relationship Id="rId4" Type="http://schemas.openxmlformats.org/officeDocument/2006/relationships/hyperlink" Target="https://booknordics.com/finland/western-lapland/rovaniemi/aurora-quest-by-minibus" TargetMode="External"/><Relationship Id="rId9" Type="http://schemas.openxmlformats.org/officeDocument/2006/relationships/hyperlink" Target="https://booknordics.com/finland/western-lapland/rovaniemi/polar-explorer-icebreaker-dancing-queen-party-cruise-and-lunch-with-shuttle-bus-transportation-from-rovaniemi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rovaniemi/family-day-snowmobile-arctic-animals-and-santa-village" TargetMode="External"/><Relationship Id="rId13" Type="http://schemas.openxmlformats.org/officeDocument/2006/relationships/hyperlink" Target="https://booknordics.com/finland/western-lapland/rovaniemi/rovaniemi-northern-lights-family-tour-by-bus-with-photos" TargetMode="External"/><Relationship Id="rId3" Type="http://schemas.openxmlformats.org/officeDocument/2006/relationships/hyperlink" Target="https://booknordics.com/finland/western-lapland/rovaniemi/arctic-circle-highlights-family-day-by-minibus" TargetMode="External"/><Relationship Id="rId7" Type="http://schemas.openxmlformats.org/officeDocument/2006/relationships/hyperlink" Target="https://www.tallink.com/en" TargetMode="External"/><Relationship Id="rId12" Type="http://schemas.openxmlformats.org/officeDocument/2006/relationships/hyperlink" Target="https://www.arctictours.fi/saariselkataxi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www.matkahuolto.fi/en" TargetMode="External"/><Relationship Id="rId11" Type="http://schemas.openxmlformats.org/officeDocument/2006/relationships/hyperlink" Target="https://fareharbor.com/embeds/book/artic-tours/items/500926/calendar/2026/1/?full-items=yes&amp;back=https://www.arctictours.fi/fi&amp;flow=1060004" TargetMode="External"/><Relationship Id="rId5" Type="http://schemas.openxmlformats.org/officeDocument/2006/relationships/hyperlink" Target="https://booknordics.com/finland/western-lapland/rovaniemi/arctic-wildlife-adventure-ranua-wildlife-park-trip" TargetMode="External"/><Relationship Id="rId10" Type="http://schemas.openxmlformats.org/officeDocument/2006/relationships/hyperlink" Target="https://booknordics.com/finland/northern-lapland/saariselkae/aurora-photo-tour-by-car" TargetMode="External"/><Relationship Id="rId4" Type="http://schemas.openxmlformats.org/officeDocument/2006/relationships/hyperlink" Target="https://booknordics.com/finland/western-lapland/rovaniemi/aurora-quest-by-minibus" TargetMode="External"/><Relationship Id="rId9" Type="http://schemas.openxmlformats.org/officeDocument/2006/relationships/hyperlink" Target="https://booknordics.com/finland/western-lapland/rovaniemi/polar-explorer-icebreaker-dancing-queen-party-cruise-and-lunch-with-shuttle-bus-transportation-from-rovaniemi" TargetMode="External"/><Relationship Id="rId1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rovaniemi/family-day-snowmobile-arctic-animals-and-santa-village" TargetMode="External"/><Relationship Id="rId3" Type="http://schemas.openxmlformats.org/officeDocument/2006/relationships/hyperlink" Target="https://www.vr.fi/en/santa-claus-express" TargetMode="External"/><Relationship Id="rId7" Type="http://schemas.openxmlformats.org/officeDocument/2006/relationships/hyperlink" Target="https://www.tallink.com/en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booknordics.com/finland/western-lapland/rovaniemi/arctic-wildlife-adventure-ranua-wildlife-park-trip" TargetMode="External"/><Relationship Id="rId5" Type="http://schemas.openxmlformats.org/officeDocument/2006/relationships/hyperlink" Target="https://booknordics.com/finland/western-lapland/rovaniemi/aurora-quest-by-minibus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booknordics.com/finland/western-lapland/rovaniemi/arctic-circle-highlights-family-day-by-minibus" TargetMode="External"/><Relationship Id="rId9" Type="http://schemas.openxmlformats.org/officeDocument/2006/relationships/hyperlink" Target="https://booknordics.com/finland/western-lapland/rovaniemi/rovaniemi-northern-lights-family-tour-by-bus-with-photo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rovaniemi/family-day-snowmobile-arctic-animals-and-santa-village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s://www.vr.fi/en/santa-claus-express" TargetMode="External"/><Relationship Id="rId7" Type="http://schemas.openxmlformats.org/officeDocument/2006/relationships/hyperlink" Target="https://www.tallink.com/en" TargetMode="External"/><Relationship Id="rId12" Type="http://schemas.openxmlformats.org/officeDocument/2006/relationships/hyperlink" Target="https://booknordics.com/finland/western-lapland/rovaniemi/rovaniemi-northern-lights-family-tour-by-bus-with-photos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www.matkahuolto.fi/en" TargetMode="External"/><Relationship Id="rId11" Type="http://schemas.openxmlformats.org/officeDocument/2006/relationships/hyperlink" Target="https://booknordics.com/finland/northern-lapland/saariselkae/aurora-photo-tour-by-car" TargetMode="External"/><Relationship Id="rId5" Type="http://schemas.openxmlformats.org/officeDocument/2006/relationships/hyperlink" Target="https://booknordics.com/finland/western-lapland/rovaniemi/aurora-quest-by-minibus" TargetMode="External"/><Relationship Id="rId10" Type="http://schemas.openxmlformats.org/officeDocument/2006/relationships/hyperlink" Target="https://www.arctictours.fi/saariselkataxi" TargetMode="External"/><Relationship Id="rId4" Type="http://schemas.openxmlformats.org/officeDocument/2006/relationships/hyperlink" Target="https://booknordics.com/finland/western-lapland/rovaniemi/arctic-circle-highlights-family-day-by-minibus" TargetMode="External"/><Relationship Id="rId9" Type="http://schemas.openxmlformats.org/officeDocument/2006/relationships/hyperlink" Target="https://fareharbor.com/embeds/book/artic-tours/items/500926/calendar/2026/1/?full-items=yes&amp;back=https://www.arctictours.fi/fi&amp;flow=106000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rovaniemi/family-day-snowmobile-arctic-animals-and-santa-village" TargetMode="External"/><Relationship Id="rId3" Type="http://schemas.openxmlformats.org/officeDocument/2006/relationships/hyperlink" Target="https://www.vr.fi/en/santa-claus-express" TargetMode="External"/><Relationship Id="rId7" Type="http://schemas.openxmlformats.org/officeDocument/2006/relationships/hyperlink" Target="https://www.tallink.com/en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www.matkahuolto.fi/en" TargetMode="External"/><Relationship Id="rId5" Type="http://schemas.openxmlformats.org/officeDocument/2006/relationships/hyperlink" Target="https://booknordics.com/finland/western-lapland/rovaniemi/aurora-quest-by-minibus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booknordics.com/finland/western-lapland/rovaniemi/arctic-circle-highlights-family-day-by-minibus" TargetMode="External"/><Relationship Id="rId9" Type="http://schemas.openxmlformats.org/officeDocument/2006/relationships/hyperlink" Target="https://booknordics.com/finland/western-lapland/rovaniemi/rovaniemi-northern-lights-family-tour-by-bus-with-photo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.bin"/><Relationship Id="rId3" Type="http://schemas.openxmlformats.org/officeDocument/2006/relationships/hyperlink" Target="https://booknordics.com/finland/western-lapland/rovaniemi/arctic-circle-highlights-family-day-by-minibus" TargetMode="External"/><Relationship Id="rId7" Type="http://schemas.openxmlformats.org/officeDocument/2006/relationships/hyperlink" Target="https://booknordics.com/finland/western-lapland/rovaniemi/rovaniemi-northern-lights-family-tour-by-bus-with-photos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www.tallink.com/en" TargetMode="External"/><Relationship Id="rId5" Type="http://schemas.openxmlformats.org/officeDocument/2006/relationships/hyperlink" Target="https://booknordics.com/finland/eastern-lapland/luosto/snowmobile-safari-2h-luosto" TargetMode="External"/><Relationship Id="rId4" Type="http://schemas.openxmlformats.org/officeDocument/2006/relationships/hyperlink" Target="https://www.matkahuolto.fi/en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nordics.com/finland/western-lapland/levi-and-kittilae/excursion-to-snowvillage-levi" TargetMode="External"/><Relationship Id="rId3" Type="http://schemas.openxmlformats.org/officeDocument/2006/relationships/hyperlink" Target="https://booknordics.com/finland/western-lapland/rovaniemi/arctic-circle-highlights-family-day-by-minibus" TargetMode="External"/><Relationship Id="rId7" Type="http://schemas.openxmlformats.org/officeDocument/2006/relationships/hyperlink" Target="https://www.tallink.com/en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booknordics.com/finland/western-lapland/levi-and-kittilae/snowmobiling-adventure-levi" TargetMode="External"/><Relationship Id="rId11" Type="http://schemas.openxmlformats.org/officeDocument/2006/relationships/printerSettings" Target="../printerSettings/printerSettings8.bin"/><Relationship Id="rId5" Type="http://schemas.openxmlformats.org/officeDocument/2006/relationships/hyperlink" Target="https://booknordics.com/finland/western-lapland/levi-and-kittilae/northern-lights-by-minivan-and-campfire-levi" TargetMode="External"/><Relationship Id="rId10" Type="http://schemas.openxmlformats.org/officeDocument/2006/relationships/hyperlink" Target="https://booknordics.com/finland/western-lapland/rovaniemi/rovaniemi-northern-lights-family-tour-by-bus-with-photos" TargetMode="External"/><Relationship Id="rId4" Type="http://schemas.openxmlformats.org/officeDocument/2006/relationships/hyperlink" Target="https://www.matkahuolto.fi/en" TargetMode="External"/><Relationship Id="rId9" Type="http://schemas.openxmlformats.org/officeDocument/2006/relationships/hyperlink" Target="https://levi.northernlightsvillage.com/getting-her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ctictours.fi/saariselkataxi" TargetMode="External"/><Relationship Id="rId3" Type="http://schemas.openxmlformats.org/officeDocument/2006/relationships/hyperlink" Target="https://booknordics.com/finland/western-lapland/rovaniemi/aurora-quest-by-minibus" TargetMode="External"/><Relationship Id="rId7" Type="http://schemas.openxmlformats.org/officeDocument/2006/relationships/hyperlink" Target="https://fareharbor.com/embeds/book/artic-tours/items/500926/calendar/2026/1/?full-items=yes&amp;back=https://www.arctictours.fi/fi&amp;flow=1060004" TargetMode="External"/><Relationship Id="rId12" Type="http://schemas.openxmlformats.org/officeDocument/2006/relationships/printerSettings" Target="../printerSettings/printerSettings9.bin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hyperlink" Target="https://booknordics.com/finland/northern-lapland/saariselkae/aurora-photo-tour-by-car" TargetMode="External"/><Relationship Id="rId11" Type="http://schemas.openxmlformats.org/officeDocument/2006/relationships/hyperlink" Target="https://booknordics.com/finland/western-lapland/rovaniemi/family-day-snowmobile-arctic-animals-and-santa-village" TargetMode="External"/><Relationship Id="rId5" Type="http://schemas.openxmlformats.org/officeDocument/2006/relationships/hyperlink" Target="https://www.matkahuolto.fi/en" TargetMode="External"/><Relationship Id="rId10" Type="http://schemas.openxmlformats.org/officeDocument/2006/relationships/hyperlink" Target="https://www.tallink.com/en" TargetMode="External"/><Relationship Id="rId4" Type="http://schemas.openxmlformats.org/officeDocument/2006/relationships/hyperlink" Target="https://booknordics.com/finland/western-lapland/rovaniemi/arctic-circle-highlights-family-day-by-minibus" TargetMode="External"/><Relationship Id="rId9" Type="http://schemas.openxmlformats.org/officeDocument/2006/relationships/hyperlink" Target="https://booknordics.com/finland/western-lapland/rovaniemi/arctic-circle-northern-lights-hunting-by-minibus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nordics.com/finland/western-lapland/rovaniemi/rovaniemi-northern-lights-family-tour-by-bus-with-photos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tallink.com/en" TargetMode="External"/><Relationship Id="rId6" Type="http://schemas.openxmlformats.org/officeDocument/2006/relationships/hyperlink" Target="https://www.matkahuolto.fi/en" TargetMode="External"/><Relationship Id="rId5" Type="http://schemas.openxmlformats.org/officeDocument/2006/relationships/hyperlink" Target="https://booknordics.com/finland/western-lapland/rovaniemi/polar-explorer-icebreaker-dancing-queen-party-cruise-and-lunch-with-shuttle-bus-transportation-from-rovaniemi" TargetMode="External"/><Relationship Id="rId4" Type="http://schemas.openxmlformats.org/officeDocument/2006/relationships/hyperlink" Target="https://booknordics.com/finland/western-lapland/rovaniemi/family-day-snowmobile-arctic-animals-and-santa-village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nordics.com/finland/western-lapland/rovaniemi/rovaniemi-northern-lights-family-tour-by-bus-with-photos" TargetMode="External"/><Relationship Id="rId2" Type="http://schemas.openxmlformats.org/officeDocument/2006/relationships/hyperlink" Target="https://www.vr.fi/en/santa-claus-express" TargetMode="External"/><Relationship Id="rId1" Type="http://schemas.openxmlformats.org/officeDocument/2006/relationships/hyperlink" Target="https://www.finntastictours.fi/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s://www.matkahuolto.fi/en" TargetMode="External"/><Relationship Id="rId4" Type="http://schemas.openxmlformats.org/officeDocument/2006/relationships/hyperlink" Target="https://booknordics.com/finland/western-lapland/rovaniemi/arctic-circle-highlights-family-day-by-minibus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urdelapland.com/tour/oulu-city-tour" TargetMode="External"/><Relationship Id="rId3" Type="http://schemas.openxmlformats.org/officeDocument/2006/relationships/hyperlink" Target="https://booknordics.com/finland/western-lapland/rovaniemi/trip-to-santa-claus-village" TargetMode="External"/><Relationship Id="rId7" Type="http://schemas.openxmlformats.org/officeDocument/2006/relationships/hyperlink" Target="https://arcticguesthouseandigloos.com/" TargetMode="External"/><Relationship Id="rId2" Type="http://schemas.openxmlformats.org/officeDocument/2006/relationships/hyperlink" Target="https://liput.matkahuolto.fi/connectionlist?lang=en&amp;departurePlaceId=p1212&amp;arrivalPlaceId=s9484&amp;departureDate=2025-12-26" TargetMode="External"/><Relationship Id="rId1" Type="http://schemas.openxmlformats.org/officeDocument/2006/relationships/hyperlink" Target="https://liput.matkahuolto.fi/connectionlist?lang=en&amp;departurePlaceId=p1029&amp;arrivalPlaceId=p1212&amp;departureDate=2025-12-24" TargetMode="External"/><Relationship Id="rId6" Type="http://schemas.openxmlformats.org/officeDocument/2006/relationships/hyperlink" Target="https://app.hotelbeds.com/hotels/search?productType=HOTEL&amp;destinationTab=Helsinki&amp;destination=HEL&amp;check_in=24-12-2025&amp;check_out=26-12-2025&amp;occupancy=2~0&amp;packaging=true&amp;createdTime=2025-11-11T09:45:35.831Z&amp;BOARD_GROUP=HD,HD2,MP,MP1&amp;CANCELLATION_FEE=NO_FEES_UNTIL&amp;results=20&amp;sortBy=DEFAULT&amp;field=RANKING&amp;direction=ASCENDING&amp;idAvailability=6bb1a663-0e7b-426c-a2d6-80b942a471b4" TargetMode="External"/><Relationship Id="rId5" Type="http://schemas.openxmlformats.org/officeDocument/2006/relationships/hyperlink" Target="https://www.vr.fi/en/single-ticket-outbound-journey-details?ref=header&amp;from=HKI&amp;to=OL&amp;passengers%5b0%5d%5bkey%5d=bee300e7-26be-456d-bd16-24b527ed4222&amp;passengers%5b0%5d%5btype%5d=ADULT&amp;passengers%5b1%5d%5bkey%5d=733f0973-90a7-438d-9d3d-5b8fc13d8d54&amp;passengers%5b1%5d%5btype%5d=ADULT&amp;outboundDate=2025-12-25&amp;saleId=d09c336e-1b59-4988-82d1-f95512719c11" TargetMode="External"/><Relationship Id="rId4" Type="http://schemas.openxmlformats.org/officeDocument/2006/relationships/hyperlink" Target="https://www.tripadvisor.com/AttractionProductReview-g189934-d24171262-A_Finntastic_Walking_Tour_in_Helsinki-Helsinki_Uusimaa.html" TargetMode="External"/><Relationship Id="rId9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llink.com/en" TargetMode="External"/><Relationship Id="rId2" Type="http://schemas.openxmlformats.org/officeDocument/2006/relationships/hyperlink" Target="https://www.finntastictours.fi/" TargetMode="External"/><Relationship Id="rId1" Type="http://schemas.openxmlformats.org/officeDocument/2006/relationships/hyperlink" Target="https://www.tallink.com/en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120degrees.cl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04EA-7225-42CC-89DC-05C1D7355F04}">
  <dimension ref="B1:C7"/>
  <sheetViews>
    <sheetView workbookViewId="0">
      <selection activeCell="C3" sqref="C3"/>
    </sheetView>
  </sheetViews>
  <sheetFormatPr defaultRowHeight="15" x14ac:dyDescent="0.25"/>
  <cols>
    <col min="1" max="1" width="2.5703125" customWidth="1"/>
  </cols>
  <sheetData>
    <row r="1" spans="2:3" x14ac:dyDescent="0.25">
      <c r="C1" t="s">
        <v>8</v>
      </c>
    </row>
    <row r="2" spans="2:3" x14ac:dyDescent="0.25">
      <c r="B2" t="s">
        <v>10</v>
      </c>
      <c r="C2">
        <v>11.2</v>
      </c>
    </row>
    <row r="3" spans="2:3" x14ac:dyDescent="0.25">
      <c r="B3" t="s">
        <v>15</v>
      </c>
      <c r="C3">
        <v>1.02</v>
      </c>
    </row>
    <row r="4" spans="2:3" x14ac:dyDescent="0.25">
      <c r="B4" t="s">
        <v>16</v>
      </c>
      <c r="C4">
        <v>1.5</v>
      </c>
    </row>
    <row r="5" spans="2:3" x14ac:dyDescent="0.25">
      <c r="B5" t="s">
        <v>17</v>
      </c>
      <c r="C5">
        <v>7.4999999999999997E-2</v>
      </c>
    </row>
    <row r="6" spans="2:3" x14ac:dyDescent="0.25">
      <c r="B6" t="s">
        <v>8</v>
      </c>
      <c r="C6">
        <v>1</v>
      </c>
    </row>
    <row r="7" spans="2:3" x14ac:dyDescent="0.25">
      <c r="B7" t="s">
        <v>31</v>
      </c>
      <c r="C7">
        <v>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AC32-394E-46B5-8D32-E39FC8944BC9}">
  <sheetPr>
    <tabColor rgb="FFFFFF00"/>
  </sheetPr>
  <dimension ref="A2:G12"/>
  <sheetViews>
    <sheetView workbookViewId="0">
      <selection activeCell="B14" sqref="B14"/>
    </sheetView>
  </sheetViews>
  <sheetFormatPr defaultRowHeight="15" x14ac:dyDescent="0.25"/>
  <cols>
    <col min="1" max="1" width="9.140625" style="36"/>
    <col min="2" max="2" width="70.140625" customWidth="1"/>
    <col min="5" max="5" width="16" bestFit="1" customWidth="1"/>
  </cols>
  <sheetData>
    <row r="2" spans="1:7" x14ac:dyDescent="0.25">
      <c r="A2" s="40" t="s">
        <v>166</v>
      </c>
      <c r="B2" t="s">
        <v>217</v>
      </c>
      <c r="C2" s="40" t="s">
        <v>167</v>
      </c>
      <c r="D2" s="38" t="s">
        <v>216</v>
      </c>
      <c r="E2" s="38" t="s">
        <v>97</v>
      </c>
      <c r="F2" s="38" t="s">
        <v>234</v>
      </c>
      <c r="G2" s="38"/>
    </row>
    <row r="3" spans="1:7" x14ac:dyDescent="0.25">
      <c r="A3" s="40">
        <v>101</v>
      </c>
      <c r="B3" t="s">
        <v>225</v>
      </c>
      <c r="C3" s="42">
        <f>'101'!Z56</f>
        <v>4120</v>
      </c>
      <c r="D3" s="39">
        <f>'101'!AE52</f>
        <v>0.20120112038469851</v>
      </c>
      <c r="E3">
        <v>300</v>
      </c>
      <c r="F3" s="37">
        <f>C3+E3</f>
        <v>4420</v>
      </c>
      <c r="G3" s="41"/>
    </row>
    <row r="4" spans="1:7" x14ac:dyDescent="0.25">
      <c r="A4" s="40">
        <v>102</v>
      </c>
      <c r="B4" t="s">
        <v>226</v>
      </c>
      <c r="C4" s="42">
        <f>'102'!Z62</f>
        <v>3460</v>
      </c>
      <c r="D4" s="39">
        <f>'102'!AE58</f>
        <v>0.20522946405098733</v>
      </c>
      <c r="E4">
        <v>460</v>
      </c>
      <c r="F4" s="37">
        <f t="shared" ref="F4:F11" si="0">C4+E4</f>
        <v>3920</v>
      </c>
      <c r="G4" s="41"/>
    </row>
    <row r="5" spans="1:7" x14ac:dyDescent="0.25">
      <c r="A5" s="40">
        <v>103</v>
      </c>
      <c r="B5" t="s">
        <v>227</v>
      </c>
      <c r="C5" s="42">
        <f>'103'!Z57</f>
        <v>3320</v>
      </c>
      <c r="D5" s="39">
        <f>'103'!AE53</f>
        <v>0.20864039157571804</v>
      </c>
      <c r="E5">
        <v>300</v>
      </c>
      <c r="F5" s="37">
        <f t="shared" si="0"/>
        <v>3620</v>
      </c>
      <c r="G5" s="41"/>
    </row>
    <row r="6" spans="1:7" x14ac:dyDescent="0.25">
      <c r="A6" s="40">
        <v>104</v>
      </c>
      <c r="B6" t="s">
        <v>228</v>
      </c>
      <c r="C6" s="42">
        <f>'104'!Z66</f>
        <v>3460</v>
      </c>
      <c r="D6" s="39">
        <f>'104'!AE62</f>
        <v>0.21300931082652821</v>
      </c>
      <c r="E6">
        <v>460</v>
      </c>
      <c r="F6" s="37">
        <f t="shared" si="0"/>
        <v>3920</v>
      </c>
      <c r="G6" s="41"/>
    </row>
    <row r="7" spans="1:7" x14ac:dyDescent="0.25">
      <c r="A7" s="40">
        <v>105</v>
      </c>
      <c r="B7" t="s">
        <v>229</v>
      </c>
      <c r="C7" s="42">
        <f>'105'!Z63</f>
        <v>4120</v>
      </c>
      <c r="D7" s="39">
        <f>'105'!AE59</f>
        <v>0.20647144209719623</v>
      </c>
      <c r="E7">
        <v>300</v>
      </c>
      <c r="F7" s="37">
        <f t="shared" si="0"/>
        <v>4420</v>
      </c>
      <c r="G7" s="41"/>
    </row>
    <row r="8" spans="1:7" x14ac:dyDescent="0.25">
      <c r="A8" s="40">
        <v>106</v>
      </c>
      <c r="B8" t="s">
        <v>230</v>
      </c>
      <c r="C8" s="42">
        <f>'106'!Z61</f>
        <v>3580</v>
      </c>
      <c r="D8" s="39">
        <f>'106'!AE57</f>
        <v>0.20858813873792503</v>
      </c>
      <c r="E8">
        <v>300</v>
      </c>
      <c r="F8" s="37">
        <f t="shared" si="0"/>
        <v>3880</v>
      </c>
      <c r="G8" s="41"/>
    </row>
    <row r="9" spans="1:7" x14ac:dyDescent="0.25">
      <c r="A9" s="40">
        <v>107</v>
      </c>
      <c r="B9" t="s">
        <v>231</v>
      </c>
      <c r="C9" s="42">
        <f>'107'!Z62</f>
        <v>3860</v>
      </c>
      <c r="D9" s="39">
        <f>'107'!AE58</f>
        <v>0.20638857350523659</v>
      </c>
      <c r="E9">
        <v>300</v>
      </c>
      <c r="F9" s="37">
        <f t="shared" si="0"/>
        <v>4160</v>
      </c>
      <c r="G9" s="41"/>
    </row>
    <row r="10" spans="1:7" x14ac:dyDescent="0.25">
      <c r="A10" s="40">
        <v>108</v>
      </c>
      <c r="B10" t="s">
        <v>232</v>
      </c>
      <c r="C10" s="42">
        <f>'108'!Z60</f>
        <v>3120</v>
      </c>
      <c r="D10" s="39">
        <f>'108'!AE56</f>
        <v>0.23634850661251172</v>
      </c>
      <c r="E10">
        <v>460</v>
      </c>
      <c r="F10" s="37">
        <f t="shared" si="0"/>
        <v>3580</v>
      </c>
      <c r="G10" s="41"/>
    </row>
    <row r="11" spans="1:7" x14ac:dyDescent="0.25">
      <c r="A11" s="40">
        <v>109</v>
      </c>
      <c r="B11" t="s">
        <v>233</v>
      </c>
      <c r="C11" s="42">
        <f>'109'!Z41</f>
        <v>5255.6968953735304</v>
      </c>
      <c r="D11" s="39">
        <f>'109'!AE41</f>
        <v>0.20581417020561496</v>
      </c>
      <c r="E11">
        <v>0</v>
      </c>
      <c r="F11" s="37">
        <f t="shared" si="0"/>
        <v>5255.6968953735304</v>
      </c>
      <c r="G11" s="41"/>
    </row>
    <row r="12" spans="1:7" x14ac:dyDescent="0.25">
      <c r="A12" s="40">
        <v>110</v>
      </c>
      <c r="B12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7F43-97CF-4C60-9C05-64D0AE0A8F3E}">
  <sheetPr>
    <tabColor rgb="FFFFFF00"/>
  </sheetPr>
  <dimension ref="B2:AK87"/>
  <sheetViews>
    <sheetView zoomScale="85" zoomScaleNormal="85" workbookViewId="0">
      <selection activeCell="J22" sqref="J2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240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E7" s="3"/>
      <c r="F7" s="3"/>
      <c r="G7" s="3"/>
      <c r="H7" s="3"/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" si="1">U7*W7</f>
        <v>0</v>
      </c>
      <c r="Y7" s="26">
        <f>Q7</f>
        <v>0</v>
      </c>
      <c r="Z7" s="12">
        <f t="shared" ref="Z7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" si="3">+Y7*AB7*R7</f>
        <v>0</v>
      </c>
      <c r="AD7" s="12">
        <f t="shared" ref="AD7" si="4">+AC7-X7</f>
        <v>0</v>
      </c>
      <c r="AE7" s="13">
        <f t="shared" ref="AE7" si="5">IFERROR(AD7/AC7,0)</f>
        <v>0</v>
      </c>
    </row>
    <row r="8" spans="2:36" x14ac:dyDescent="0.25">
      <c r="B8" s="4"/>
      <c r="E8" s="3"/>
      <c r="F8" s="3"/>
      <c r="G8" s="24"/>
      <c r="H8" s="24"/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ref="S8:S62" si="6">+Q8*R8</f>
        <v>0</v>
      </c>
      <c r="T8" s="5">
        <v>0</v>
      </c>
      <c r="U8" s="12">
        <f t="shared" ref="U8:U62" si="7">S8*(1-T8)</f>
        <v>0</v>
      </c>
      <c r="V8" s="25" t="s">
        <v>10</v>
      </c>
      <c r="W8" s="11">
        <f>IFERROR(VLOOKUP(V8,Curr!$B$2:$C$13,2,FALSE),0)</f>
        <v>11.2</v>
      </c>
      <c r="X8" s="12">
        <f t="shared" ref="X8:X62" si="8">U8*W8</f>
        <v>0</v>
      </c>
      <c r="Y8" s="26">
        <f t="shared" ref="Y8:Y62" si="9">Q8</f>
        <v>0</v>
      </c>
      <c r="Z8" s="12">
        <f t="shared" ref="Z8:Z62" si="10">+Y8*R8</f>
        <v>0</v>
      </c>
      <c r="AA8" s="4" t="s">
        <v>10</v>
      </c>
      <c r="AB8" s="11">
        <f>IFERROR(VLOOKUP(AA8,Curr!$B$2:$C$13,2,FALSE),0)</f>
        <v>11.2</v>
      </c>
      <c r="AC8" s="12">
        <f t="shared" ref="AC8:AC62" si="11">+Y8*AB8*R8</f>
        <v>0</v>
      </c>
      <c r="AD8" s="12">
        <f t="shared" ref="AD8:AD62" si="12">+AC8-X8</f>
        <v>0</v>
      </c>
      <c r="AE8" s="13">
        <f t="shared" ref="AE8:AE62" si="13">IFERROR(AD8/AC8,0)</f>
        <v>0</v>
      </c>
    </row>
    <row r="9" spans="2:36" x14ac:dyDescent="0.25">
      <c r="B9" s="4"/>
      <c r="E9" s="3"/>
      <c r="F9" s="3"/>
      <c r="G9" s="24"/>
      <c r="H9" s="24"/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 t="shared" si="6"/>
        <v>0</v>
      </c>
      <c r="T9" s="5">
        <v>0</v>
      </c>
      <c r="U9" s="12">
        <f t="shared" si="7"/>
        <v>0</v>
      </c>
      <c r="V9" s="25" t="s">
        <v>10</v>
      </c>
      <c r="W9" s="11">
        <f>IFERROR(VLOOKUP(V9,Curr!$B$2:$C$13,2,FALSE),0)</f>
        <v>11.2</v>
      </c>
      <c r="X9" s="12">
        <f t="shared" si="8"/>
        <v>0</v>
      </c>
      <c r="Y9" s="26">
        <f t="shared" si="9"/>
        <v>0</v>
      </c>
      <c r="Z9" s="12">
        <f t="shared" si="10"/>
        <v>0</v>
      </c>
      <c r="AA9" s="4" t="s">
        <v>10</v>
      </c>
      <c r="AB9" s="11">
        <f>IFERROR(VLOOKUP(AA9,Curr!$B$2:$C$13,2,FALSE),0)</f>
        <v>11.2</v>
      </c>
      <c r="AC9" s="12">
        <f t="shared" si="11"/>
        <v>0</v>
      </c>
      <c r="AD9" s="12">
        <f t="shared" si="12"/>
        <v>0</v>
      </c>
      <c r="AE9" s="13">
        <f t="shared" si="13"/>
        <v>0</v>
      </c>
    </row>
    <row r="10" spans="2:36" x14ac:dyDescent="0.25">
      <c r="B10" s="4"/>
      <c r="E10" s="3"/>
      <c r="F10" s="3"/>
      <c r="G10" s="24"/>
      <c r="H10" s="24"/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6"/>
        <v>0</v>
      </c>
      <c r="T10" s="5">
        <v>0</v>
      </c>
      <c r="U10" s="12">
        <f t="shared" si="7"/>
        <v>0</v>
      </c>
      <c r="V10" s="25" t="s">
        <v>10</v>
      </c>
      <c r="W10" s="11">
        <f>IFERROR(VLOOKUP(V10,Curr!$B$2:$C$13,2,FALSE),0)</f>
        <v>11.2</v>
      </c>
      <c r="X10" s="12">
        <f t="shared" si="8"/>
        <v>0</v>
      </c>
      <c r="Y10" s="26">
        <f t="shared" si="9"/>
        <v>0</v>
      </c>
      <c r="Z10" s="12">
        <f t="shared" si="10"/>
        <v>0</v>
      </c>
      <c r="AA10" s="4" t="s">
        <v>10</v>
      </c>
      <c r="AB10" s="11">
        <f>IFERROR(VLOOKUP(AA10,Curr!$B$2:$C$13,2,FALSE),0)</f>
        <v>11.2</v>
      </c>
      <c r="AC10" s="12">
        <f t="shared" si="11"/>
        <v>0</v>
      </c>
      <c r="AD10" s="12">
        <f t="shared" si="12"/>
        <v>0</v>
      </c>
      <c r="AE10" s="13">
        <f t="shared" si="13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 t="shared" si="6"/>
        <v>0</v>
      </c>
      <c r="T11" s="5">
        <v>0</v>
      </c>
      <c r="U11" s="12">
        <f t="shared" si="7"/>
        <v>0</v>
      </c>
      <c r="V11" s="25" t="s">
        <v>10</v>
      </c>
      <c r="W11" s="11">
        <f>IFERROR(VLOOKUP(V11,Curr!$B$2:$C$13,2,FALSE),0)</f>
        <v>11.2</v>
      </c>
      <c r="X11" s="12">
        <f t="shared" si="8"/>
        <v>0</v>
      </c>
      <c r="Y11" s="26">
        <f t="shared" si="9"/>
        <v>0</v>
      </c>
      <c r="Z11" s="12">
        <f t="shared" si="10"/>
        <v>0</v>
      </c>
      <c r="AA11" s="4" t="s">
        <v>10</v>
      </c>
      <c r="AB11" s="11">
        <f>IFERROR(VLOOKUP(AA11,Curr!$B$2:$C$13,2,FALSE),0)</f>
        <v>11.2</v>
      </c>
      <c r="AC11" s="12">
        <f t="shared" si="11"/>
        <v>0</v>
      </c>
      <c r="AD11" s="12">
        <f t="shared" si="12"/>
        <v>0</v>
      </c>
      <c r="AE11" s="13">
        <f t="shared" si="13"/>
        <v>0</v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33"/>
      <c r="Q12" s="25">
        <v>0</v>
      </c>
      <c r="R12" s="25">
        <v>0</v>
      </c>
      <c r="S12" s="12">
        <f t="shared" si="6"/>
        <v>0</v>
      </c>
      <c r="T12" s="5">
        <v>0</v>
      </c>
      <c r="U12" s="12">
        <f t="shared" si="7"/>
        <v>0</v>
      </c>
      <c r="V12" s="25" t="s">
        <v>10</v>
      </c>
      <c r="W12" s="11">
        <f>IFERROR(VLOOKUP(V12,Curr!$B$2:$C$13,2,FALSE),0)</f>
        <v>11.2</v>
      </c>
      <c r="X12" s="12">
        <f t="shared" si="8"/>
        <v>0</v>
      </c>
      <c r="Y12" s="26">
        <f t="shared" si="9"/>
        <v>0</v>
      </c>
      <c r="Z12" s="12">
        <f t="shared" si="10"/>
        <v>0</v>
      </c>
      <c r="AA12" s="4" t="s">
        <v>10</v>
      </c>
      <c r="AB12" s="11">
        <f>IFERROR(VLOOKUP(AA12,Curr!$B$2:$C$13,2,FALSE),0)</f>
        <v>11.2</v>
      </c>
      <c r="AC12" s="12">
        <f t="shared" si="11"/>
        <v>0</v>
      </c>
      <c r="AD12" s="12">
        <f t="shared" si="12"/>
        <v>0</v>
      </c>
      <c r="AE12" s="13">
        <f t="shared" si="13"/>
        <v>0</v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6"/>
        <v>0</v>
      </c>
      <c r="T13" s="5">
        <v>0</v>
      </c>
      <c r="U13" s="12">
        <f t="shared" si="7"/>
        <v>0</v>
      </c>
      <c r="V13" s="25" t="s">
        <v>10</v>
      </c>
      <c r="W13" s="11">
        <f>IFERROR(VLOOKUP(V13,Curr!$B$2:$C$13,2,FALSE),0)</f>
        <v>11.2</v>
      </c>
      <c r="X13" s="12">
        <f t="shared" si="8"/>
        <v>0</v>
      </c>
      <c r="Y13" s="26">
        <f t="shared" si="9"/>
        <v>0</v>
      </c>
      <c r="Z13" s="12">
        <f t="shared" si="10"/>
        <v>0</v>
      </c>
      <c r="AA13" s="4" t="s">
        <v>10</v>
      </c>
      <c r="AB13" s="11">
        <f>IFERROR(VLOOKUP(AA13,Curr!$B$2:$C$13,2,FALSE),0)</f>
        <v>11.2</v>
      </c>
      <c r="AC13" s="12">
        <f t="shared" si="11"/>
        <v>0</v>
      </c>
      <c r="AD13" s="12">
        <f t="shared" si="12"/>
        <v>0</v>
      </c>
      <c r="AE13" s="13">
        <f t="shared" si="13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 t="shared" si="6"/>
        <v>0</v>
      </c>
      <c r="T14" s="5">
        <v>0</v>
      </c>
      <c r="U14" s="12">
        <f t="shared" si="7"/>
        <v>0</v>
      </c>
      <c r="V14" s="25" t="s">
        <v>10</v>
      </c>
      <c r="W14" s="11">
        <f>IFERROR(VLOOKUP(V14,Curr!$B$2:$C$13,2,FALSE),0)</f>
        <v>11.2</v>
      </c>
      <c r="X14" s="12">
        <f t="shared" si="8"/>
        <v>0</v>
      </c>
      <c r="Y14" s="26">
        <f t="shared" si="9"/>
        <v>0</v>
      </c>
      <c r="Z14" s="12">
        <f t="shared" si="10"/>
        <v>0</v>
      </c>
      <c r="AA14" s="4" t="s">
        <v>10</v>
      </c>
      <c r="AB14" s="11">
        <f>IFERROR(VLOOKUP(AA14,Curr!$B$2:$C$13,2,FALSE),0)</f>
        <v>11.2</v>
      </c>
      <c r="AC14" s="12">
        <f t="shared" si="11"/>
        <v>0</v>
      </c>
      <c r="AD14" s="12">
        <f t="shared" si="12"/>
        <v>0</v>
      </c>
      <c r="AE14" s="13">
        <f t="shared" si="13"/>
        <v>0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>
        <v>0</v>
      </c>
      <c r="R15" s="25">
        <v>0</v>
      </c>
      <c r="S15" s="12">
        <f t="shared" si="6"/>
        <v>0</v>
      </c>
      <c r="T15" s="5">
        <v>0</v>
      </c>
      <c r="U15" s="12">
        <f t="shared" si="7"/>
        <v>0</v>
      </c>
      <c r="V15" s="25" t="s">
        <v>10</v>
      </c>
      <c r="W15" s="11">
        <f>IFERROR(VLOOKUP(V15,Curr!$B$2:$C$13,2,FALSE),0)</f>
        <v>11.2</v>
      </c>
      <c r="X15" s="12">
        <f t="shared" si="8"/>
        <v>0</v>
      </c>
      <c r="Y15" s="26">
        <f t="shared" si="9"/>
        <v>0</v>
      </c>
      <c r="Z15" s="12">
        <f t="shared" si="10"/>
        <v>0</v>
      </c>
      <c r="AA15" s="4" t="s">
        <v>10</v>
      </c>
      <c r="AB15" s="11">
        <f>IFERROR(VLOOKUP(AA15,Curr!$B$2:$C$13,2,FALSE),0)</f>
        <v>11.2</v>
      </c>
      <c r="AC15" s="12">
        <f t="shared" si="11"/>
        <v>0</v>
      </c>
      <c r="AD15" s="12">
        <f t="shared" si="12"/>
        <v>0</v>
      </c>
      <c r="AE15" s="13">
        <f t="shared" si="13"/>
        <v>0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6"/>
        <v>0</v>
      </c>
      <c r="T16" s="5">
        <v>0</v>
      </c>
      <c r="U16" s="12">
        <f t="shared" si="7"/>
        <v>0</v>
      </c>
      <c r="V16" s="25" t="s">
        <v>10</v>
      </c>
      <c r="W16" s="11">
        <f>IFERROR(VLOOKUP(V16,Curr!$B$2:$C$13,2,FALSE),0)</f>
        <v>11.2</v>
      </c>
      <c r="X16" s="12">
        <f t="shared" si="8"/>
        <v>0</v>
      </c>
      <c r="Y16" s="26">
        <f t="shared" si="9"/>
        <v>0</v>
      </c>
      <c r="Z16" s="12">
        <f t="shared" si="10"/>
        <v>0</v>
      </c>
      <c r="AA16" s="4" t="s">
        <v>10</v>
      </c>
      <c r="AB16" s="11">
        <f>IFERROR(VLOOKUP(AA16,Curr!$B$2:$C$13,2,FALSE),0)</f>
        <v>11.2</v>
      </c>
      <c r="AC16" s="12">
        <f t="shared" si="11"/>
        <v>0</v>
      </c>
      <c r="AD16" s="12">
        <f t="shared" si="12"/>
        <v>0</v>
      </c>
      <c r="AE16" s="13">
        <f t="shared" si="13"/>
        <v>0</v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6"/>
        <v>0</v>
      </c>
      <c r="T17" s="5">
        <v>0</v>
      </c>
      <c r="U17" s="12">
        <f t="shared" si="7"/>
        <v>0</v>
      </c>
      <c r="V17" s="25" t="s">
        <v>10</v>
      </c>
      <c r="W17" s="11">
        <f>IFERROR(VLOOKUP(V17,Curr!$B$2:$C$13,2,FALSE),0)</f>
        <v>11.2</v>
      </c>
      <c r="X17" s="12">
        <f t="shared" si="8"/>
        <v>0</v>
      </c>
      <c r="Y17" s="26">
        <f t="shared" si="9"/>
        <v>0</v>
      </c>
      <c r="Z17" s="12">
        <f t="shared" si="10"/>
        <v>0</v>
      </c>
      <c r="AA17" s="4" t="s">
        <v>10</v>
      </c>
      <c r="AB17" s="11">
        <f>IFERROR(VLOOKUP(AA17,Curr!$B$2:$C$13,2,FALSE),0)</f>
        <v>11.2</v>
      </c>
      <c r="AC17" s="12">
        <f t="shared" si="11"/>
        <v>0</v>
      </c>
      <c r="AD17" s="12">
        <f t="shared" si="12"/>
        <v>0</v>
      </c>
      <c r="AE17" s="13">
        <f t="shared" si="13"/>
        <v>0</v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6"/>
        <v>0</v>
      </c>
      <c r="T18" s="5">
        <v>0</v>
      </c>
      <c r="U18" s="12">
        <f t="shared" si="7"/>
        <v>0</v>
      </c>
      <c r="V18" s="25" t="s">
        <v>10</v>
      </c>
      <c r="W18" s="11">
        <f>IFERROR(VLOOKUP(V18,Curr!$B$2:$C$13,2,FALSE),0)</f>
        <v>11.2</v>
      </c>
      <c r="X18" s="12">
        <f t="shared" si="8"/>
        <v>0</v>
      </c>
      <c r="Y18" s="26">
        <f t="shared" si="9"/>
        <v>0</v>
      </c>
      <c r="Z18" s="12">
        <f t="shared" si="10"/>
        <v>0</v>
      </c>
      <c r="AA18" s="4" t="s">
        <v>10</v>
      </c>
      <c r="AB18" s="11">
        <f>IFERROR(VLOOKUP(AA18,Curr!$B$2:$C$13,2,FALSE),0)</f>
        <v>11.2</v>
      </c>
      <c r="AC18" s="12">
        <f t="shared" si="11"/>
        <v>0</v>
      </c>
      <c r="AD18" s="12">
        <f t="shared" si="12"/>
        <v>0</v>
      </c>
      <c r="AE18" s="13">
        <f t="shared" si="13"/>
        <v>0</v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33"/>
      <c r="Q19" s="25">
        <v>0</v>
      </c>
      <c r="R19" s="25">
        <v>0</v>
      </c>
      <c r="S19" s="12">
        <f t="shared" si="6"/>
        <v>0</v>
      </c>
      <c r="T19" s="5">
        <v>0</v>
      </c>
      <c r="U19" s="12">
        <f t="shared" si="7"/>
        <v>0</v>
      </c>
      <c r="V19" s="25" t="s">
        <v>10</v>
      </c>
      <c r="W19" s="11">
        <f>IFERROR(VLOOKUP(V19,Curr!$B$2:$C$13,2,FALSE),0)</f>
        <v>11.2</v>
      </c>
      <c r="X19" s="12">
        <f t="shared" si="8"/>
        <v>0</v>
      </c>
      <c r="Y19" s="26">
        <f t="shared" si="9"/>
        <v>0</v>
      </c>
      <c r="Z19" s="12">
        <f t="shared" si="10"/>
        <v>0</v>
      </c>
      <c r="AA19" s="4" t="s">
        <v>10</v>
      </c>
      <c r="AB19" s="11">
        <f>IFERROR(VLOOKUP(AA19,Curr!$B$2:$C$13,2,FALSE),0)</f>
        <v>11.2</v>
      </c>
      <c r="AC19" s="12">
        <f t="shared" si="11"/>
        <v>0</v>
      </c>
      <c r="AD19" s="12">
        <f t="shared" si="12"/>
        <v>0</v>
      </c>
      <c r="AE19" s="13">
        <f t="shared" si="13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 t="shared" si="6"/>
        <v>0</v>
      </c>
      <c r="T20" s="5">
        <v>0</v>
      </c>
      <c r="U20" s="12">
        <f t="shared" si="7"/>
        <v>0</v>
      </c>
      <c r="V20" s="25" t="s">
        <v>10</v>
      </c>
      <c r="W20" s="11">
        <f>IFERROR(VLOOKUP(V20,Curr!$B$2:$C$13,2,FALSE),0)</f>
        <v>11.2</v>
      </c>
      <c r="X20" s="12">
        <f t="shared" si="8"/>
        <v>0</v>
      </c>
      <c r="Y20" s="26">
        <f t="shared" si="9"/>
        <v>0</v>
      </c>
      <c r="Z20" s="12">
        <f t="shared" si="10"/>
        <v>0</v>
      </c>
      <c r="AA20" s="4" t="s">
        <v>10</v>
      </c>
      <c r="AB20" s="11">
        <f>IFERROR(VLOOKUP(AA20,Curr!$B$2:$C$13,2,FALSE),0)</f>
        <v>11.2</v>
      </c>
      <c r="AC20" s="12">
        <f t="shared" si="11"/>
        <v>0</v>
      </c>
      <c r="AD20" s="12">
        <f t="shared" si="12"/>
        <v>0</v>
      </c>
      <c r="AE20" s="13">
        <f t="shared" si="13"/>
        <v>0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33"/>
      <c r="Q21" s="25">
        <v>0</v>
      </c>
      <c r="R21" s="25">
        <v>0</v>
      </c>
      <c r="S21" s="12">
        <f t="shared" si="6"/>
        <v>0</v>
      </c>
      <c r="T21" s="5">
        <v>0</v>
      </c>
      <c r="U21" s="12">
        <f t="shared" si="7"/>
        <v>0</v>
      </c>
      <c r="V21" s="25" t="s">
        <v>10</v>
      </c>
      <c r="W21" s="11">
        <f>IFERROR(VLOOKUP(V21,Curr!$B$2:$C$13,2,FALSE),0)</f>
        <v>11.2</v>
      </c>
      <c r="X21" s="12">
        <f t="shared" si="8"/>
        <v>0</v>
      </c>
      <c r="Y21" s="26">
        <f t="shared" si="9"/>
        <v>0</v>
      </c>
      <c r="Z21" s="12">
        <f t="shared" si="10"/>
        <v>0</v>
      </c>
      <c r="AA21" s="4" t="s">
        <v>10</v>
      </c>
      <c r="AB21" s="11">
        <f>IFERROR(VLOOKUP(AA21,Curr!$B$2:$C$13,2,FALSE),0)</f>
        <v>11.2</v>
      </c>
      <c r="AC21" s="12">
        <f t="shared" si="11"/>
        <v>0</v>
      </c>
      <c r="AD21" s="12">
        <f t="shared" si="12"/>
        <v>0</v>
      </c>
      <c r="AE21" s="13">
        <f t="shared" si="13"/>
        <v>0</v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6"/>
        <v>0</v>
      </c>
      <c r="T22" s="5">
        <v>0</v>
      </c>
      <c r="U22" s="12">
        <f t="shared" si="7"/>
        <v>0</v>
      </c>
      <c r="V22" s="25" t="s">
        <v>10</v>
      </c>
      <c r="W22" s="11">
        <f>IFERROR(VLOOKUP(V22,Curr!$B$2:$C$13,2,FALSE),0)</f>
        <v>11.2</v>
      </c>
      <c r="X22" s="12">
        <f t="shared" si="8"/>
        <v>0</v>
      </c>
      <c r="Y22" s="26">
        <f t="shared" si="9"/>
        <v>0</v>
      </c>
      <c r="Z22" s="12">
        <f t="shared" si="10"/>
        <v>0</v>
      </c>
      <c r="AA22" s="4" t="s">
        <v>10</v>
      </c>
      <c r="AB22" s="11">
        <f>IFERROR(VLOOKUP(AA22,Curr!$B$2:$C$13,2,FALSE),0)</f>
        <v>11.2</v>
      </c>
      <c r="AC22" s="12">
        <f t="shared" si="11"/>
        <v>0</v>
      </c>
      <c r="AD22" s="12">
        <f t="shared" si="12"/>
        <v>0</v>
      </c>
      <c r="AE22" s="13">
        <f t="shared" si="13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>
        <v>0</v>
      </c>
      <c r="R23" s="25">
        <v>0</v>
      </c>
      <c r="S23" s="12">
        <f t="shared" si="6"/>
        <v>0</v>
      </c>
      <c r="T23" s="5">
        <v>0</v>
      </c>
      <c r="U23" s="12">
        <f t="shared" si="7"/>
        <v>0</v>
      </c>
      <c r="V23" s="25" t="s">
        <v>10</v>
      </c>
      <c r="W23" s="11">
        <f>IFERROR(VLOOKUP(V23,Curr!$B$2:$C$13,2,FALSE),0)</f>
        <v>11.2</v>
      </c>
      <c r="X23" s="12">
        <f t="shared" si="8"/>
        <v>0</v>
      </c>
      <c r="Y23" s="26">
        <f t="shared" si="9"/>
        <v>0</v>
      </c>
      <c r="Z23" s="12">
        <f t="shared" si="10"/>
        <v>0</v>
      </c>
      <c r="AA23" s="4" t="s">
        <v>10</v>
      </c>
      <c r="AB23" s="11">
        <f>IFERROR(VLOOKUP(AA23,Curr!$B$2:$C$13,2,FALSE),0)</f>
        <v>11.2</v>
      </c>
      <c r="AC23" s="12">
        <f t="shared" si="11"/>
        <v>0</v>
      </c>
      <c r="AD23" s="12">
        <f t="shared" si="12"/>
        <v>0</v>
      </c>
      <c r="AE23" s="13">
        <f t="shared" si="13"/>
        <v>0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6"/>
        <v>0</v>
      </c>
      <c r="T24" s="5">
        <v>0</v>
      </c>
      <c r="U24" s="12">
        <f t="shared" si="7"/>
        <v>0</v>
      </c>
      <c r="V24" s="25" t="s">
        <v>10</v>
      </c>
      <c r="W24" s="11">
        <f>IFERROR(VLOOKUP(V24,Curr!$B$2:$C$13,2,FALSE),0)</f>
        <v>11.2</v>
      </c>
      <c r="X24" s="12">
        <f t="shared" si="8"/>
        <v>0</v>
      </c>
      <c r="Y24" s="26">
        <f t="shared" si="9"/>
        <v>0</v>
      </c>
      <c r="Z24" s="12">
        <f t="shared" si="10"/>
        <v>0</v>
      </c>
      <c r="AA24" s="4" t="s">
        <v>10</v>
      </c>
      <c r="AB24" s="11">
        <f>IFERROR(VLOOKUP(AA24,Curr!$B$2:$C$13,2,FALSE),0)</f>
        <v>11.2</v>
      </c>
      <c r="AC24" s="12">
        <f t="shared" si="11"/>
        <v>0</v>
      </c>
      <c r="AD24" s="12">
        <f t="shared" si="12"/>
        <v>0</v>
      </c>
      <c r="AE24" s="13">
        <f t="shared" si="13"/>
        <v>0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33"/>
      <c r="Q25" s="25">
        <v>0</v>
      </c>
      <c r="R25" s="25">
        <v>0</v>
      </c>
      <c r="S25" s="12">
        <f t="shared" si="6"/>
        <v>0</v>
      </c>
      <c r="T25" s="5">
        <v>0</v>
      </c>
      <c r="U25" s="12">
        <f t="shared" si="7"/>
        <v>0</v>
      </c>
      <c r="V25" s="25" t="s">
        <v>10</v>
      </c>
      <c r="W25" s="11">
        <f>IFERROR(VLOOKUP(V25,Curr!$B$2:$C$13,2,FALSE),0)</f>
        <v>11.2</v>
      </c>
      <c r="X25" s="12">
        <f t="shared" si="8"/>
        <v>0</v>
      </c>
      <c r="Y25" s="26">
        <f t="shared" si="9"/>
        <v>0</v>
      </c>
      <c r="Z25" s="12">
        <f t="shared" si="10"/>
        <v>0</v>
      </c>
      <c r="AA25" s="4" t="s">
        <v>10</v>
      </c>
      <c r="AB25" s="11">
        <f>IFERROR(VLOOKUP(AA25,Curr!$B$2:$C$13,2,FALSE),0)</f>
        <v>11.2</v>
      </c>
      <c r="AC25" s="12">
        <f t="shared" si="11"/>
        <v>0</v>
      </c>
      <c r="AD25" s="12">
        <f t="shared" si="12"/>
        <v>0</v>
      </c>
      <c r="AE25" s="13">
        <f t="shared" si="13"/>
        <v>0</v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6"/>
        <v>0</v>
      </c>
      <c r="T26" s="5">
        <v>0</v>
      </c>
      <c r="U26" s="12">
        <f t="shared" si="7"/>
        <v>0</v>
      </c>
      <c r="V26" s="25" t="s">
        <v>10</v>
      </c>
      <c r="W26" s="11">
        <f>IFERROR(VLOOKUP(V26,Curr!$B$2:$C$13,2,FALSE),0)</f>
        <v>11.2</v>
      </c>
      <c r="X26" s="12">
        <f t="shared" si="8"/>
        <v>0</v>
      </c>
      <c r="Y26" s="26">
        <f t="shared" si="9"/>
        <v>0</v>
      </c>
      <c r="Z26" s="12">
        <f t="shared" si="10"/>
        <v>0</v>
      </c>
      <c r="AA26" s="4" t="s">
        <v>10</v>
      </c>
      <c r="AB26" s="11">
        <f>IFERROR(VLOOKUP(AA26,Curr!$B$2:$C$13,2,FALSE),0)</f>
        <v>11.2</v>
      </c>
      <c r="AC26" s="12">
        <f t="shared" si="11"/>
        <v>0</v>
      </c>
      <c r="AD26" s="12">
        <f t="shared" si="12"/>
        <v>0</v>
      </c>
      <c r="AE26" s="13">
        <f t="shared" si="13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 t="shared" si="6"/>
        <v>0</v>
      </c>
      <c r="T27" s="5">
        <v>0</v>
      </c>
      <c r="U27" s="12">
        <f t="shared" si="7"/>
        <v>0</v>
      </c>
      <c r="V27" s="25" t="s">
        <v>10</v>
      </c>
      <c r="W27" s="11">
        <f>IFERROR(VLOOKUP(V27,Curr!$B$2:$C$13,2,FALSE),0)</f>
        <v>11.2</v>
      </c>
      <c r="X27" s="12">
        <f t="shared" si="8"/>
        <v>0</v>
      </c>
      <c r="Y27" s="26">
        <f t="shared" si="9"/>
        <v>0</v>
      </c>
      <c r="Z27" s="12">
        <f t="shared" si="10"/>
        <v>0</v>
      </c>
      <c r="AA27" s="4" t="s">
        <v>10</v>
      </c>
      <c r="AB27" s="11">
        <f>IFERROR(VLOOKUP(AA27,Curr!$B$2:$C$13,2,FALSE),0)</f>
        <v>11.2</v>
      </c>
      <c r="AC27" s="12">
        <f t="shared" si="11"/>
        <v>0</v>
      </c>
      <c r="AD27" s="12">
        <f t="shared" si="12"/>
        <v>0</v>
      </c>
      <c r="AE27" s="13">
        <f t="shared" si="13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>
        <v>0</v>
      </c>
      <c r="R28" s="25">
        <v>0</v>
      </c>
      <c r="S28" s="12">
        <f t="shared" si="6"/>
        <v>0</v>
      </c>
      <c r="T28" s="5">
        <v>0</v>
      </c>
      <c r="U28" s="12">
        <f t="shared" si="7"/>
        <v>0</v>
      </c>
      <c r="V28" s="25" t="s">
        <v>10</v>
      </c>
      <c r="W28" s="11">
        <f>IFERROR(VLOOKUP(V28,Curr!$B$2:$C$13,2,FALSE),0)</f>
        <v>11.2</v>
      </c>
      <c r="X28" s="12">
        <f t="shared" si="8"/>
        <v>0</v>
      </c>
      <c r="Y28" s="26">
        <f t="shared" si="9"/>
        <v>0</v>
      </c>
      <c r="Z28" s="12">
        <f t="shared" si="10"/>
        <v>0</v>
      </c>
      <c r="AA28" s="4" t="s">
        <v>10</v>
      </c>
      <c r="AB28" s="11">
        <f>IFERROR(VLOOKUP(AA28,Curr!$B$2:$C$13,2,FALSE),0)</f>
        <v>11.2</v>
      </c>
      <c r="AC28" s="12">
        <f t="shared" si="11"/>
        <v>0</v>
      </c>
      <c r="AD28" s="12">
        <f t="shared" si="12"/>
        <v>0</v>
      </c>
      <c r="AE28" s="13">
        <f t="shared" si="13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6"/>
        <v>0</v>
      </c>
      <c r="T29" s="5">
        <v>0</v>
      </c>
      <c r="U29" s="12">
        <f t="shared" si="7"/>
        <v>0</v>
      </c>
      <c r="V29" s="25" t="s">
        <v>10</v>
      </c>
      <c r="W29" s="11">
        <f>IFERROR(VLOOKUP(V29,Curr!$B$2:$C$13,2,FALSE),0)</f>
        <v>11.2</v>
      </c>
      <c r="X29" s="12">
        <f t="shared" si="8"/>
        <v>0</v>
      </c>
      <c r="Y29" s="26">
        <f t="shared" si="9"/>
        <v>0</v>
      </c>
      <c r="Z29" s="12">
        <f t="shared" si="10"/>
        <v>0</v>
      </c>
      <c r="AA29" s="4" t="s">
        <v>10</v>
      </c>
      <c r="AB29" s="11">
        <f>IFERROR(VLOOKUP(AA29,Curr!$B$2:$C$13,2,FALSE),0)</f>
        <v>11.2</v>
      </c>
      <c r="AC29" s="12">
        <f t="shared" si="11"/>
        <v>0</v>
      </c>
      <c r="AD29" s="12">
        <f t="shared" si="12"/>
        <v>0</v>
      </c>
      <c r="AE29" s="13">
        <f t="shared" si="13"/>
        <v>0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7"/>
      <c r="Q30" s="25">
        <v>0</v>
      </c>
      <c r="R30" s="25">
        <v>0</v>
      </c>
      <c r="S30" s="12">
        <f t="shared" si="6"/>
        <v>0</v>
      </c>
      <c r="T30" s="5">
        <v>0</v>
      </c>
      <c r="U30" s="12">
        <f t="shared" si="7"/>
        <v>0</v>
      </c>
      <c r="V30" s="25" t="s">
        <v>10</v>
      </c>
      <c r="W30" s="11">
        <f>IFERROR(VLOOKUP(V30,Curr!$B$2:$C$13,2,FALSE),0)</f>
        <v>11.2</v>
      </c>
      <c r="X30" s="12">
        <f t="shared" si="8"/>
        <v>0</v>
      </c>
      <c r="Y30" s="26">
        <f t="shared" si="9"/>
        <v>0</v>
      </c>
      <c r="Z30" s="12">
        <f t="shared" si="10"/>
        <v>0</v>
      </c>
      <c r="AA30" s="4" t="s">
        <v>10</v>
      </c>
      <c r="AB30" s="11">
        <f>IFERROR(VLOOKUP(AA30,Curr!$B$2:$C$13,2,FALSE),0)</f>
        <v>11.2</v>
      </c>
      <c r="AC30" s="12">
        <f t="shared" si="11"/>
        <v>0</v>
      </c>
      <c r="AD30" s="12">
        <f t="shared" si="12"/>
        <v>0</v>
      </c>
      <c r="AE30" s="13">
        <f t="shared" si="13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6"/>
        <v>0</v>
      </c>
      <c r="T31" s="5">
        <v>0</v>
      </c>
      <c r="U31" s="12">
        <f t="shared" si="7"/>
        <v>0</v>
      </c>
      <c r="V31" s="25" t="s">
        <v>10</v>
      </c>
      <c r="W31" s="11">
        <f>IFERROR(VLOOKUP(V31,Curr!$B$2:$C$13,2,FALSE),0)</f>
        <v>11.2</v>
      </c>
      <c r="X31" s="12">
        <f t="shared" si="8"/>
        <v>0</v>
      </c>
      <c r="Y31" s="26">
        <f t="shared" si="9"/>
        <v>0</v>
      </c>
      <c r="Z31" s="12">
        <f t="shared" si="10"/>
        <v>0</v>
      </c>
      <c r="AA31" s="4" t="s">
        <v>10</v>
      </c>
      <c r="AB31" s="11">
        <f>IFERROR(VLOOKUP(AA31,Curr!$B$2:$C$13,2,FALSE),0)</f>
        <v>11.2</v>
      </c>
      <c r="AC31" s="12">
        <f t="shared" si="11"/>
        <v>0</v>
      </c>
      <c r="AD31" s="12">
        <f t="shared" si="12"/>
        <v>0</v>
      </c>
      <c r="AE31" s="13">
        <f t="shared" si="13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6"/>
        <v>0</v>
      </c>
      <c r="T32" s="5">
        <v>0</v>
      </c>
      <c r="U32" s="12">
        <f t="shared" si="7"/>
        <v>0</v>
      </c>
      <c r="V32" s="25" t="s">
        <v>10</v>
      </c>
      <c r="W32" s="11">
        <f>IFERROR(VLOOKUP(V32,Curr!$B$2:$C$13,2,FALSE),0)</f>
        <v>11.2</v>
      </c>
      <c r="X32" s="12">
        <f t="shared" si="8"/>
        <v>0</v>
      </c>
      <c r="Y32" s="26">
        <f t="shared" si="9"/>
        <v>0</v>
      </c>
      <c r="Z32" s="12">
        <f t="shared" si="10"/>
        <v>0</v>
      </c>
      <c r="AA32" s="4" t="s">
        <v>10</v>
      </c>
      <c r="AB32" s="11">
        <f>IFERROR(VLOOKUP(AA32,Curr!$B$2:$C$13,2,FALSE),0)</f>
        <v>11.2</v>
      </c>
      <c r="AC32" s="12">
        <f t="shared" si="11"/>
        <v>0</v>
      </c>
      <c r="AD32" s="12">
        <f t="shared" si="12"/>
        <v>0</v>
      </c>
      <c r="AE32" s="13">
        <f t="shared" si="13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6"/>
        <v>0</v>
      </c>
      <c r="T33" s="5">
        <v>0</v>
      </c>
      <c r="U33" s="12">
        <f t="shared" si="7"/>
        <v>0</v>
      </c>
      <c r="V33" s="25" t="s">
        <v>10</v>
      </c>
      <c r="W33" s="11">
        <f>IFERROR(VLOOKUP(V33,Curr!$B$2:$C$13,2,FALSE),0)</f>
        <v>11.2</v>
      </c>
      <c r="X33" s="12">
        <f t="shared" si="8"/>
        <v>0</v>
      </c>
      <c r="Y33" s="26">
        <f t="shared" si="9"/>
        <v>0</v>
      </c>
      <c r="Z33" s="12">
        <f t="shared" si="10"/>
        <v>0</v>
      </c>
      <c r="AA33" s="4" t="s">
        <v>10</v>
      </c>
      <c r="AB33" s="11">
        <f>IFERROR(VLOOKUP(AA33,Curr!$B$2:$C$13,2,FALSE),0)</f>
        <v>11.2</v>
      </c>
      <c r="AC33" s="12">
        <f t="shared" si="11"/>
        <v>0</v>
      </c>
      <c r="AD33" s="12">
        <f t="shared" si="12"/>
        <v>0</v>
      </c>
      <c r="AE33" s="13">
        <f t="shared" si="13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>
        <v>0</v>
      </c>
      <c r="R34" s="25">
        <v>0</v>
      </c>
      <c r="S34" s="12">
        <f t="shared" si="6"/>
        <v>0</v>
      </c>
      <c r="T34" s="5">
        <v>0</v>
      </c>
      <c r="U34" s="12">
        <f t="shared" si="7"/>
        <v>0</v>
      </c>
      <c r="V34" s="25" t="s">
        <v>10</v>
      </c>
      <c r="W34" s="11">
        <f>IFERROR(VLOOKUP(V34,Curr!$B$2:$C$13,2,FALSE),0)</f>
        <v>11.2</v>
      </c>
      <c r="X34" s="12">
        <f t="shared" si="8"/>
        <v>0</v>
      </c>
      <c r="Y34" s="26">
        <f t="shared" si="9"/>
        <v>0</v>
      </c>
      <c r="Z34" s="12">
        <f t="shared" si="10"/>
        <v>0</v>
      </c>
      <c r="AA34" s="4" t="s">
        <v>10</v>
      </c>
      <c r="AB34" s="11">
        <f>IFERROR(VLOOKUP(AA34,Curr!$B$2:$C$13,2,FALSE),0)</f>
        <v>11.2</v>
      </c>
      <c r="AC34" s="12">
        <f t="shared" si="11"/>
        <v>0</v>
      </c>
      <c r="AD34" s="12">
        <f t="shared" si="12"/>
        <v>0</v>
      </c>
      <c r="AE34" s="13">
        <f t="shared" si="13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33"/>
      <c r="Q35" s="25">
        <v>0</v>
      </c>
      <c r="R35" s="25">
        <v>0</v>
      </c>
      <c r="S35" s="12">
        <f t="shared" si="6"/>
        <v>0</v>
      </c>
      <c r="T35" s="5">
        <v>0</v>
      </c>
      <c r="U35" s="12">
        <f t="shared" si="7"/>
        <v>0</v>
      </c>
      <c r="V35" s="25" t="s">
        <v>10</v>
      </c>
      <c r="W35" s="11">
        <f>IFERROR(VLOOKUP(V35,Curr!$B$2:$C$13,2,FALSE),0)</f>
        <v>11.2</v>
      </c>
      <c r="X35" s="12">
        <f t="shared" si="8"/>
        <v>0</v>
      </c>
      <c r="Y35" s="26">
        <f t="shared" si="9"/>
        <v>0</v>
      </c>
      <c r="Z35" s="12">
        <f t="shared" si="10"/>
        <v>0</v>
      </c>
      <c r="AA35" s="4" t="s">
        <v>10</v>
      </c>
      <c r="AB35" s="11">
        <f>IFERROR(VLOOKUP(AA35,Curr!$B$2:$C$13,2,FALSE),0)</f>
        <v>11.2</v>
      </c>
      <c r="AC35" s="12">
        <f t="shared" si="11"/>
        <v>0</v>
      </c>
      <c r="AD35" s="12">
        <f t="shared" si="12"/>
        <v>0</v>
      </c>
      <c r="AE35" s="13">
        <f t="shared" si="13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>
        <v>0</v>
      </c>
      <c r="R36" s="25">
        <v>0</v>
      </c>
      <c r="S36" s="12">
        <f t="shared" si="6"/>
        <v>0</v>
      </c>
      <c r="T36" s="5">
        <v>0</v>
      </c>
      <c r="U36" s="12">
        <f t="shared" si="7"/>
        <v>0</v>
      </c>
      <c r="V36" s="25" t="s">
        <v>10</v>
      </c>
      <c r="W36" s="11">
        <f>IFERROR(VLOOKUP(V36,Curr!$B$2:$C$13,2,FALSE),0)</f>
        <v>11.2</v>
      </c>
      <c r="X36" s="12">
        <f t="shared" si="8"/>
        <v>0</v>
      </c>
      <c r="Y36" s="26">
        <f t="shared" si="9"/>
        <v>0</v>
      </c>
      <c r="Z36" s="12">
        <f t="shared" si="10"/>
        <v>0</v>
      </c>
      <c r="AA36" s="4" t="s">
        <v>10</v>
      </c>
      <c r="AB36" s="11">
        <f>IFERROR(VLOOKUP(AA36,Curr!$B$2:$C$13,2,FALSE),0)</f>
        <v>11.2</v>
      </c>
      <c r="AC36" s="12">
        <f t="shared" si="11"/>
        <v>0</v>
      </c>
      <c r="AD36" s="12">
        <f t="shared" si="12"/>
        <v>0</v>
      </c>
      <c r="AE36" s="13">
        <f t="shared" si="13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>
        <v>0</v>
      </c>
      <c r="R37" s="25">
        <v>0</v>
      </c>
      <c r="S37" s="12">
        <f t="shared" si="6"/>
        <v>0</v>
      </c>
      <c r="T37" s="5">
        <v>0</v>
      </c>
      <c r="U37" s="12">
        <f t="shared" si="7"/>
        <v>0</v>
      </c>
      <c r="V37" s="25" t="s">
        <v>10</v>
      </c>
      <c r="W37" s="11">
        <f>IFERROR(VLOOKUP(V37,Curr!$B$2:$C$13,2,FALSE),0)</f>
        <v>11.2</v>
      </c>
      <c r="X37" s="12">
        <f t="shared" si="8"/>
        <v>0</v>
      </c>
      <c r="Y37" s="26">
        <f t="shared" si="9"/>
        <v>0</v>
      </c>
      <c r="Z37" s="12">
        <f t="shared" si="10"/>
        <v>0</v>
      </c>
      <c r="AA37" s="4" t="s">
        <v>10</v>
      </c>
      <c r="AB37" s="11">
        <f>IFERROR(VLOOKUP(AA37,Curr!$B$2:$C$13,2,FALSE),0)</f>
        <v>11.2</v>
      </c>
      <c r="AC37" s="12">
        <f t="shared" si="11"/>
        <v>0</v>
      </c>
      <c r="AD37" s="12">
        <f t="shared" si="12"/>
        <v>0</v>
      </c>
      <c r="AE37" s="13">
        <f t="shared" si="13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33"/>
      <c r="Q38" s="25">
        <v>0</v>
      </c>
      <c r="R38" s="25">
        <v>0</v>
      </c>
      <c r="S38" s="12">
        <f t="shared" si="6"/>
        <v>0</v>
      </c>
      <c r="T38" s="5">
        <v>0</v>
      </c>
      <c r="U38" s="12">
        <f t="shared" si="7"/>
        <v>0</v>
      </c>
      <c r="V38" s="25" t="s">
        <v>10</v>
      </c>
      <c r="W38" s="11">
        <f>IFERROR(VLOOKUP(V38,Curr!$B$2:$C$13,2,FALSE),0)</f>
        <v>11.2</v>
      </c>
      <c r="X38" s="12">
        <f t="shared" si="8"/>
        <v>0</v>
      </c>
      <c r="Y38" s="26">
        <f t="shared" si="9"/>
        <v>0</v>
      </c>
      <c r="Z38" s="12">
        <f t="shared" si="10"/>
        <v>0</v>
      </c>
      <c r="AA38" s="4" t="s">
        <v>10</v>
      </c>
      <c r="AB38" s="11">
        <f>IFERROR(VLOOKUP(AA38,Curr!$B$2:$C$13,2,FALSE),0)</f>
        <v>11.2</v>
      </c>
      <c r="AC38" s="12">
        <f t="shared" si="11"/>
        <v>0</v>
      </c>
      <c r="AD38" s="12">
        <f t="shared" si="12"/>
        <v>0</v>
      </c>
      <c r="AE38" s="13">
        <f t="shared" si="13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>
        <v>0</v>
      </c>
      <c r="R39" s="25">
        <v>0</v>
      </c>
      <c r="S39" s="12">
        <f t="shared" si="6"/>
        <v>0</v>
      </c>
      <c r="T39" s="5">
        <v>0</v>
      </c>
      <c r="U39" s="12">
        <f t="shared" si="7"/>
        <v>0</v>
      </c>
      <c r="V39" s="25" t="s">
        <v>10</v>
      </c>
      <c r="W39" s="11">
        <f>IFERROR(VLOOKUP(V39,Curr!$B$2:$C$13,2,FALSE),0)</f>
        <v>11.2</v>
      </c>
      <c r="X39" s="12">
        <f t="shared" si="8"/>
        <v>0</v>
      </c>
      <c r="Y39" s="26">
        <f t="shared" si="9"/>
        <v>0</v>
      </c>
      <c r="Z39" s="12">
        <f t="shared" si="10"/>
        <v>0</v>
      </c>
      <c r="AA39" s="4" t="s">
        <v>10</v>
      </c>
      <c r="AB39" s="11">
        <f>IFERROR(VLOOKUP(AA39,Curr!$B$2:$C$13,2,FALSE),0)</f>
        <v>11.2</v>
      </c>
      <c r="AC39" s="12">
        <f t="shared" si="11"/>
        <v>0</v>
      </c>
      <c r="AD39" s="12">
        <f t="shared" si="12"/>
        <v>0</v>
      </c>
      <c r="AE39" s="13">
        <f t="shared" si="13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 t="shared" si="6"/>
        <v>0</v>
      </c>
      <c r="T40" s="5">
        <v>0</v>
      </c>
      <c r="U40" s="12">
        <f t="shared" si="7"/>
        <v>0</v>
      </c>
      <c r="V40" s="25" t="s">
        <v>10</v>
      </c>
      <c r="W40" s="11">
        <f>IFERROR(VLOOKUP(V40,Curr!$B$2:$C$13,2,FALSE),0)</f>
        <v>11.2</v>
      </c>
      <c r="X40" s="12">
        <f t="shared" si="8"/>
        <v>0</v>
      </c>
      <c r="Y40" s="26">
        <f t="shared" si="9"/>
        <v>0</v>
      </c>
      <c r="Z40" s="12">
        <f t="shared" si="10"/>
        <v>0</v>
      </c>
      <c r="AA40" s="4" t="s">
        <v>10</v>
      </c>
      <c r="AB40" s="11">
        <f>IFERROR(VLOOKUP(AA40,Curr!$B$2:$C$13,2,FALSE),0)</f>
        <v>11.2</v>
      </c>
      <c r="AC40" s="12">
        <f t="shared" si="11"/>
        <v>0</v>
      </c>
      <c r="AD40" s="12">
        <f t="shared" si="12"/>
        <v>0</v>
      </c>
      <c r="AE40" s="13">
        <f t="shared" si="13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>
        <v>0</v>
      </c>
      <c r="R41" s="25">
        <v>0</v>
      </c>
      <c r="S41" s="12">
        <f t="shared" si="6"/>
        <v>0</v>
      </c>
      <c r="T41" s="5">
        <v>0</v>
      </c>
      <c r="U41" s="12">
        <f t="shared" si="7"/>
        <v>0</v>
      </c>
      <c r="V41" s="25" t="s">
        <v>10</v>
      </c>
      <c r="W41" s="11">
        <f>IFERROR(VLOOKUP(V41,Curr!$B$2:$C$13,2,FALSE),0)</f>
        <v>11.2</v>
      </c>
      <c r="X41" s="12">
        <f t="shared" si="8"/>
        <v>0</v>
      </c>
      <c r="Y41" s="26">
        <f t="shared" si="9"/>
        <v>0</v>
      </c>
      <c r="Z41" s="12">
        <f t="shared" si="10"/>
        <v>0</v>
      </c>
      <c r="AA41" s="4" t="s">
        <v>10</v>
      </c>
      <c r="AB41" s="11">
        <f>IFERROR(VLOOKUP(AA41,Curr!$B$2:$C$13,2,FALSE),0)</f>
        <v>11.2</v>
      </c>
      <c r="AC41" s="12">
        <f t="shared" si="11"/>
        <v>0</v>
      </c>
      <c r="AD41" s="12">
        <f t="shared" si="12"/>
        <v>0</v>
      </c>
      <c r="AE41" s="13">
        <f t="shared" si="13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6"/>
        <v>0</v>
      </c>
      <c r="T42" s="5">
        <v>0</v>
      </c>
      <c r="U42" s="12">
        <f t="shared" si="7"/>
        <v>0</v>
      </c>
      <c r="V42" s="25" t="s">
        <v>10</v>
      </c>
      <c r="W42" s="11">
        <f>IFERROR(VLOOKUP(V42,Curr!$B$2:$C$13,2,FALSE),0)</f>
        <v>11.2</v>
      </c>
      <c r="X42" s="12">
        <f t="shared" si="8"/>
        <v>0</v>
      </c>
      <c r="Y42" s="26">
        <f t="shared" si="9"/>
        <v>0</v>
      </c>
      <c r="Z42" s="12">
        <f t="shared" si="10"/>
        <v>0</v>
      </c>
      <c r="AA42" s="4" t="s">
        <v>10</v>
      </c>
      <c r="AB42" s="11">
        <f>IFERROR(VLOOKUP(AA42,Curr!$B$2:$C$13,2,FALSE),0)</f>
        <v>11.2</v>
      </c>
      <c r="AC42" s="12">
        <f t="shared" si="11"/>
        <v>0</v>
      </c>
      <c r="AD42" s="12">
        <f t="shared" si="12"/>
        <v>0</v>
      </c>
      <c r="AE42" s="13">
        <f t="shared" si="13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9"/>
      <c r="Q43" s="25">
        <v>0</v>
      </c>
      <c r="R43" s="25">
        <v>0</v>
      </c>
      <c r="S43" s="12">
        <f t="shared" si="6"/>
        <v>0</v>
      </c>
      <c r="T43" s="5">
        <v>0</v>
      </c>
      <c r="U43" s="12">
        <f t="shared" si="7"/>
        <v>0</v>
      </c>
      <c r="V43" s="25" t="s">
        <v>10</v>
      </c>
      <c r="W43" s="11">
        <f>IFERROR(VLOOKUP(V43,Curr!$B$2:$C$13,2,FALSE),0)</f>
        <v>11.2</v>
      </c>
      <c r="X43" s="12">
        <f t="shared" si="8"/>
        <v>0</v>
      </c>
      <c r="Y43" s="26">
        <f t="shared" si="9"/>
        <v>0</v>
      </c>
      <c r="Z43" s="12">
        <f t="shared" si="10"/>
        <v>0</v>
      </c>
      <c r="AA43" s="4" t="s">
        <v>10</v>
      </c>
      <c r="AB43" s="11">
        <f>IFERROR(VLOOKUP(AA43,Curr!$B$2:$C$13,2,FALSE),0)</f>
        <v>11.2</v>
      </c>
      <c r="AC43" s="12">
        <f t="shared" si="11"/>
        <v>0</v>
      </c>
      <c r="AD43" s="12">
        <f t="shared" si="12"/>
        <v>0</v>
      </c>
      <c r="AE43" s="13">
        <f t="shared" si="13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33"/>
      <c r="Q44" s="25">
        <v>0</v>
      </c>
      <c r="R44" s="25">
        <v>0</v>
      </c>
      <c r="S44" s="12">
        <f t="shared" si="6"/>
        <v>0</v>
      </c>
      <c r="T44" s="5">
        <v>0</v>
      </c>
      <c r="U44" s="12">
        <f t="shared" si="7"/>
        <v>0</v>
      </c>
      <c r="V44" s="25" t="s">
        <v>10</v>
      </c>
      <c r="W44" s="11">
        <f>IFERROR(VLOOKUP(V44,Curr!$B$2:$C$13,2,FALSE),0)</f>
        <v>11.2</v>
      </c>
      <c r="X44" s="12">
        <f t="shared" si="8"/>
        <v>0</v>
      </c>
      <c r="Y44" s="26">
        <f t="shared" si="9"/>
        <v>0</v>
      </c>
      <c r="Z44" s="12">
        <f t="shared" si="10"/>
        <v>0</v>
      </c>
      <c r="AA44" s="4" t="s">
        <v>10</v>
      </c>
      <c r="AB44" s="11">
        <f>IFERROR(VLOOKUP(AA44,Curr!$B$2:$C$13,2,FALSE),0)</f>
        <v>11.2</v>
      </c>
      <c r="AC44" s="12">
        <f t="shared" si="11"/>
        <v>0</v>
      </c>
      <c r="AD44" s="12">
        <f t="shared" si="12"/>
        <v>0</v>
      </c>
      <c r="AE44" s="13">
        <f t="shared" si="13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33"/>
      <c r="Q45" s="25">
        <v>0</v>
      </c>
      <c r="R45" s="25">
        <v>0</v>
      </c>
      <c r="S45" s="12">
        <f t="shared" si="6"/>
        <v>0</v>
      </c>
      <c r="T45" s="5">
        <v>0</v>
      </c>
      <c r="U45" s="12">
        <f t="shared" si="7"/>
        <v>0</v>
      </c>
      <c r="V45" s="25" t="s">
        <v>10</v>
      </c>
      <c r="W45" s="11">
        <f>IFERROR(VLOOKUP(V45,Curr!$B$2:$C$13,2,FALSE),0)</f>
        <v>11.2</v>
      </c>
      <c r="X45" s="12">
        <f t="shared" si="8"/>
        <v>0</v>
      </c>
      <c r="Y45" s="26">
        <f t="shared" si="9"/>
        <v>0</v>
      </c>
      <c r="Z45" s="12">
        <f t="shared" si="10"/>
        <v>0</v>
      </c>
      <c r="AA45" s="4" t="s">
        <v>10</v>
      </c>
      <c r="AB45" s="11">
        <f>IFERROR(VLOOKUP(AA45,Curr!$B$2:$C$13,2,FALSE),0)</f>
        <v>11.2</v>
      </c>
      <c r="AC45" s="12">
        <f t="shared" si="11"/>
        <v>0</v>
      </c>
      <c r="AD45" s="12">
        <f t="shared" si="12"/>
        <v>0</v>
      </c>
      <c r="AE45" s="13">
        <f t="shared" si="13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33"/>
      <c r="Q46" s="25">
        <v>0</v>
      </c>
      <c r="R46" s="25">
        <v>0</v>
      </c>
      <c r="S46" s="12">
        <f t="shared" si="6"/>
        <v>0</v>
      </c>
      <c r="T46" s="5">
        <v>0</v>
      </c>
      <c r="U46" s="12">
        <f t="shared" si="7"/>
        <v>0</v>
      </c>
      <c r="V46" s="25" t="s">
        <v>10</v>
      </c>
      <c r="W46" s="11">
        <f>IFERROR(VLOOKUP(V46,Curr!$B$2:$C$13,2,FALSE),0)</f>
        <v>11.2</v>
      </c>
      <c r="X46" s="12">
        <f t="shared" si="8"/>
        <v>0</v>
      </c>
      <c r="Y46" s="26">
        <f t="shared" si="9"/>
        <v>0</v>
      </c>
      <c r="Z46" s="12">
        <f t="shared" si="10"/>
        <v>0</v>
      </c>
      <c r="AA46" s="4" t="s">
        <v>10</v>
      </c>
      <c r="AB46" s="11">
        <f>IFERROR(VLOOKUP(AA46,Curr!$B$2:$C$13,2,FALSE),0)</f>
        <v>11.2</v>
      </c>
      <c r="AC46" s="12">
        <f t="shared" si="11"/>
        <v>0</v>
      </c>
      <c r="AD46" s="12">
        <f t="shared" si="12"/>
        <v>0</v>
      </c>
      <c r="AE46" s="13">
        <f t="shared" si="13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 t="shared" si="6"/>
        <v>0</v>
      </c>
      <c r="T47" s="5">
        <v>0</v>
      </c>
      <c r="U47" s="12">
        <f t="shared" si="7"/>
        <v>0</v>
      </c>
      <c r="V47" s="25" t="s">
        <v>10</v>
      </c>
      <c r="W47" s="11">
        <f>IFERROR(VLOOKUP(V47,Curr!$B$2:$C$13,2,FALSE),0)</f>
        <v>11.2</v>
      </c>
      <c r="X47" s="12">
        <f t="shared" si="8"/>
        <v>0</v>
      </c>
      <c r="Y47" s="26">
        <f t="shared" si="9"/>
        <v>0</v>
      </c>
      <c r="Z47" s="12">
        <f t="shared" si="10"/>
        <v>0</v>
      </c>
      <c r="AA47" s="4" t="s">
        <v>10</v>
      </c>
      <c r="AB47" s="11">
        <f>IFERROR(VLOOKUP(AA47,Curr!$B$2:$C$13,2,FALSE),0)</f>
        <v>11.2</v>
      </c>
      <c r="AC47" s="12">
        <f t="shared" si="11"/>
        <v>0</v>
      </c>
      <c r="AD47" s="12">
        <f t="shared" si="12"/>
        <v>0</v>
      </c>
      <c r="AE47" s="13">
        <f t="shared" si="13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33"/>
      <c r="Q48" s="25">
        <v>0</v>
      </c>
      <c r="R48" s="25">
        <v>0</v>
      </c>
      <c r="S48" s="12">
        <f t="shared" si="6"/>
        <v>0</v>
      </c>
      <c r="T48" s="5">
        <v>0</v>
      </c>
      <c r="U48" s="12">
        <f t="shared" si="7"/>
        <v>0</v>
      </c>
      <c r="V48" s="25" t="s">
        <v>10</v>
      </c>
      <c r="W48" s="11">
        <f>IFERROR(VLOOKUP(V48,Curr!$B$2:$C$13,2,FALSE),0)</f>
        <v>11.2</v>
      </c>
      <c r="X48" s="12">
        <f t="shared" si="8"/>
        <v>0</v>
      </c>
      <c r="Y48" s="26">
        <f t="shared" si="9"/>
        <v>0</v>
      </c>
      <c r="Z48" s="12">
        <f t="shared" si="10"/>
        <v>0</v>
      </c>
      <c r="AA48" s="4" t="s">
        <v>10</v>
      </c>
      <c r="AB48" s="11">
        <f>IFERROR(VLOOKUP(AA48,Curr!$B$2:$C$13,2,FALSE),0)</f>
        <v>11.2</v>
      </c>
      <c r="AC48" s="12">
        <f t="shared" si="11"/>
        <v>0</v>
      </c>
      <c r="AD48" s="12">
        <f t="shared" si="12"/>
        <v>0</v>
      </c>
      <c r="AE48" s="13">
        <f t="shared" si="13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33"/>
      <c r="Q49" s="25">
        <v>0</v>
      </c>
      <c r="R49" s="25">
        <v>0</v>
      </c>
      <c r="S49" s="12">
        <f t="shared" ref="S49:S60" si="14">+Q49*R49</f>
        <v>0</v>
      </c>
      <c r="T49" s="5">
        <v>0</v>
      </c>
      <c r="U49" s="12">
        <f t="shared" ref="U49:U60" si="15">S49*(1-T49)</f>
        <v>0</v>
      </c>
      <c r="V49" s="25" t="s">
        <v>10</v>
      </c>
      <c r="W49" s="11">
        <f>IFERROR(VLOOKUP(V49,Curr!$B$2:$C$13,2,FALSE),0)</f>
        <v>11.2</v>
      </c>
      <c r="X49" s="12">
        <f t="shared" ref="X49:X60" si="16">U49*W49</f>
        <v>0</v>
      </c>
      <c r="Y49" s="26">
        <f t="shared" ref="Y49:Y60" si="17">Q49</f>
        <v>0</v>
      </c>
      <c r="Z49" s="12">
        <f t="shared" ref="Z49:Z60" si="18">+Y49*R49</f>
        <v>0</v>
      </c>
      <c r="AA49" s="4" t="s">
        <v>10</v>
      </c>
      <c r="AB49" s="11">
        <f>IFERROR(VLOOKUP(AA49,Curr!$B$2:$C$13,2,FALSE),0)</f>
        <v>11.2</v>
      </c>
      <c r="AC49" s="12">
        <f t="shared" ref="AC49:AC60" si="19">+Y49*AB49*R49</f>
        <v>0</v>
      </c>
      <c r="AD49" s="12">
        <f t="shared" ref="AD49:AD60" si="20">+AC49-X49</f>
        <v>0</v>
      </c>
      <c r="AE49" s="13">
        <f t="shared" ref="AE49:AE60" si="21">IFERROR(AD49/AC49,0)</f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33"/>
      <c r="Q50" s="25">
        <v>0</v>
      </c>
      <c r="R50" s="25">
        <v>0</v>
      </c>
      <c r="S50" s="12">
        <f t="shared" si="14"/>
        <v>0</v>
      </c>
      <c r="T50" s="5">
        <v>0</v>
      </c>
      <c r="U50" s="12">
        <f t="shared" si="15"/>
        <v>0</v>
      </c>
      <c r="V50" s="25" t="s">
        <v>10</v>
      </c>
      <c r="W50" s="11">
        <f>IFERROR(VLOOKUP(V50,Curr!$B$2:$C$13,2,FALSE),0)</f>
        <v>11.2</v>
      </c>
      <c r="X50" s="12">
        <f t="shared" si="16"/>
        <v>0</v>
      </c>
      <c r="Y50" s="26">
        <f t="shared" si="17"/>
        <v>0</v>
      </c>
      <c r="Z50" s="12">
        <f t="shared" si="18"/>
        <v>0</v>
      </c>
      <c r="AA50" s="4" t="s">
        <v>10</v>
      </c>
      <c r="AB50" s="11">
        <f>IFERROR(VLOOKUP(AA50,Curr!$B$2:$C$13,2,FALSE),0)</f>
        <v>11.2</v>
      </c>
      <c r="AC50" s="12">
        <f t="shared" si="19"/>
        <v>0</v>
      </c>
      <c r="AD50" s="12">
        <f t="shared" si="20"/>
        <v>0</v>
      </c>
      <c r="AE50" s="13">
        <f t="shared" si="21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33"/>
      <c r="Q51" s="25">
        <v>0</v>
      </c>
      <c r="R51" s="25">
        <v>0</v>
      </c>
      <c r="S51" s="12">
        <f t="shared" si="14"/>
        <v>0</v>
      </c>
      <c r="T51" s="5">
        <v>0</v>
      </c>
      <c r="U51" s="12">
        <f t="shared" si="15"/>
        <v>0</v>
      </c>
      <c r="V51" s="25" t="s">
        <v>10</v>
      </c>
      <c r="W51" s="11">
        <f>IFERROR(VLOOKUP(V51,Curr!$B$2:$C$13,2,FALSE),0)</f>
        <v>11.2</v>
      </c>
      <c r="X51" s="12">
        <f t="shared" si="16"/>
        <v>0</v>
      </c>
      <c r="Y51" s="26">
        <f t="shared" si="17"/>
        <v>0</v>
      </c>
      <c r="Z51" s="12">
        <f t="shared" si="18"/>
        <v>0</v>
      </c>
      <c r="AA51" s="4" t="s">
        <v>10</v>
      </c>
      <c r="AB51" s="11">
        <f>IFERROR(VLOOKUP(AA51,Curr!$B$2:$C$13,2,FALSE),0)</f>
        <v>11.2</v>
      </c>
      <c r="AC51" s="12">
        <f t="shared" si="19"/>
        <v>0</v>
      </c>
      <c r="AD51" s="12">
        <f t="shared" si="20"/>
        <v>0</v>
      </c>
      <c r="AE51" s="13">
        <f t="shared" si="21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33"/>
      <c r="Q52" s="25">
        <v>0</v>
      </c>
      <c r="R52" s="25">
        <v>0</v>
      </c>
      <c r="S52" s="12">
        <f t="shared" si="14"/>
        <v>0</v>
      </c>
      <c r="T52" s="5">
        <v>0</v>
      </c>
      <c r="U52" s="12">
        <f t="shared" si="15"/>
        <v>0</v>
      </c>
      <c r="V52" s="25" t="s">
        <v>10</v>
      </c>
      <c r="W52" s="11">
        <f>IFERROR(VLOOKUP(V52,Curr!$B$2:$C$13,2,FALSE),0)</f>
        <v>11.2</v>
      </c>
      <c r="X52" s="12">
        <f t="shared" si="16"/>
        <v>0</v>
      </c>
      <c r="Y52" s="26">
        <f t="shared" si="17"/>
        <v>0</v>
      </c>
      <c r="Z52" s="12">
        <f t="shared" si="18"/>
        <v>0</v>
      </c>
      <c r="AA52" s="4" t="s">
        <v>10</v>
      </c>
      <c r="AB52" s="11">
        <f>IFERROR(VLOOKUP(AA52,Curr!$B$2:$C$13,2,FALSE),0)</f>
        <v>11.2</v>
      </c>
      <c r="AC52" s="12">
        <f t="shared" si="19"/>
        <v>0</v>
      </c>
      <c r="AD52" s="12">
        <f t="shared" si="20"/>
        <v>0</v>
      </c>
      <c r="AE52" s="13">
        <f t="shared" si="21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33"/>
      <c r="Q53" s="25">
        <v>0</v>
      </c>
      <c r="R53" s="25">
        <v>0</v>
      </c>
      <c r="S53" s="12">
        <f t="shared" si="14"/>
        <v>0</v>
      </c>
      <c r="T53" s="5">
        <v>0</v>
      </c>
      <c r="U53" s="12">
        <f t="shared" si="15"/>
        <v>0</v>
      </c>
      <c r="V53" s="25" t="s">
        <v>10</v>
      </c>
      <c r="W53" s="11">
        <f>IFERROR(VLOOKUP(V53,Curr!$B$2:$C$13,2,FALSE),0)</f>
        <v>11.2</v>
      </c>
      <c r="X53" s="12">
        <f t="shared" si="16"/>
        <v>0</v>
      </c>
      <c r="Y53" s="26">
        <f t="shared" si="17"/>
        <v>0</v>
      </c>
      <c r="Z53" s="12">
        <f t="shared" si="18"/>
        <v>0</v>
      </c>
      <c r="AA53" s="4" t="s">
        <v>10</v>
      </c>
      <c r="AB53" s="11">
        <f>IFERROR(VLOOKUP(AA53,Curr!$B$2:$C$13,2,FALSE),0)</f>
        <v>11.2</v>
      </c>
      <c r="AC53" s="12">
        <f t="shared" si="19"/>
        <v>0</v>
      </c>
      <c r="AD53" s="12">
        <f t="shared" si="20"/>
        <v>0</v>
      </c>
      <c r="AE53" s="13">
        <f t="shared" si="21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33"/>
      <c r="Q54" s="25">
        <v>0</v>
      </c>
      <c r="R54" s="25">
        <v>0</v>
      </c>
      <c r="S54" s="12">
        <f t="shared" si="14"/>
        <v>0</v>
      </c>
      <c r="T54" s="5">
        <v>0</v>
      </c>
      <c r="U54" s="12">
        <f t="shared" si="15"/>
        <v>0</v>
      </c>
      <c r="V54" s="25" t="s">
        <v>10</v>
      </c>
      <c r="W54" s="11">
        <f>IFERROR(VLOOKUP(V54,Curr!$B$2:$C$13,2,FALSE),0)</f>
        <v>11.2</v>
      </c>
      <c r="X54" s="12">
        <f t="shared" si="16"/>
        <v>0</v>
      </c>
      <c r="Y54" s="26">
        <f t="shared" si="17"/>
        <v>0</v>
      </c>
      <c r="Z54" s="12">
        <f t="shared" si="18"/>
        <v>0</v>
      </c>
      <c r="AA54" s="4" t="s">
        <v>10</v>
      </c>
      <c r="AB54" s="11">
        <f>IFERROR(VLOOKUP(AA54,Curr!$B$2:$C$13,2,FALSE),0)</f>
        <v>11.2</v>
      </c>
      <c r="AC54" s="12">
        <f t="shared" si="19"/>
        <v>0</v>
      </c>
      <c r="AD54" s="12">
        <f t="shared" si="20"/>
        <v>0</v>
      </c>
      <c r="AE54" s="13">
        <f t="shared" si="21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33"/>
      <c r="Q55" s="25">
        <v>0</v>
      </c>
      <c r="R55" s="25">
        <v>0</v>
      </c>
      <c r="S55" s="12">
        <f t="shared" si="14"/>
        <v>0</v>
      </c>
      <c r="T55" s="5">
        <v>0</v>
      </c>
      <c r="U55" s="12">
        <f t="shared" si="15"/>
        <v>0</v>
      </c>
      <c r="V55" s="25" t="s">
        <v>10</v>
      </c>
      <c r="W55" s="11">
        <f>IFERROR(VLOOKUP(V55,Curr!$B$2:$C$13,2,FALSE),0)</f>
        <v>11.2</v>
      </c>
      <c r="X55" s="12">
        <f t="shared" si="16"/>
        <v>0</v>
      </c>
      <c r="Y55" s="26">
        <f t="shared" si="17"/>
        <v>0</v>
      </c>
      <c r="Z55" s="12">
        <f t="shared" si="18"/>
        <v>0</v>
      </c>
      <c r="AA55" s="4" t="s">
        <v>10</v>
      </c>
      <c r="AB55" s="11">
        <f>IFERROR(VLOOKUP(AA55,Curr!$B$2:$C$13,2,FALSE),0)</f>
        <v>11.2</v>
      </c>
      <c r="AC55" s="12">
        <f t="shared" si="19"/>
        <v>0</v>
      </c>
      <c r="AD55" s="12">
        <f t="shared" si="20"/>
        <v>0</v>
      </c>
      <c r="AE55" s="13">
        <f t="shared" si="21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33"/>
      <c r="Q56" s="25">
        <v>0</v>
      </c>
      <c r="R56" s="25">
        <v>0</v>
      </c>
      <c r="S56" s="12">
        <f t="shared" si="14"/>
        <v>0</v>
      </c>
      <c r="T56" s="5">
        <v>0</v>
      </c>
      <c r="U56" s="12">
        <f t="shared" si="15"/>
        <v>0</v>
      </c>
      <c r="V56" s="25" t="s">
        <v>10</v>
      </c>
      <c r="W56" s="11">
        <f>IFERROR(VLOOKUP(V56,Curr!$B$2:$C$13,2,FALSE),0)</f>
        <v>11.2</v>
      </c>
      <c r="X56" s="12">
        <f t="shared" si="16"/>
        <v>0</v>
      </c>
      <c r="Y56" s="26">
        <f t="shared" si="17"/>
        <v>0</v>
      </c>
      <c r="Z56" s="12">
        <f t="shared" si="18"/>
        <v>0</v>
      </c>
      <c r="AA56" s="4" t="s">
        <v>10</v>
      </c>
      <c r="AB56" s="11">
        <f>IFERROR(VLOOKUP(AA56,Curr!$B$2:$C$13,2,FALSE),0)</f>
        <v>11.2</v>
      </c>
      <c r="AC56" s="12">
        <f t="shared" si="19"/>
        <v>0</v>
      </c>
      <c r="AD56" s="12">
        <f t="shared" si="20"/>
        <v>0</v>
      </c>
      <c r="AE56" s="13">
        <f t="shared" si="21"/>
        <v>0</v>
      </c>
    </row>
    <row r="57" spans="2:36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33"/>
      <c r="Q57" s="25">
        <v>0</v>
      </c>
      <c r="R57" s="25">
        <v>0</v>
      </c>
      <c r="S57" s="12">
        <f t="shared" si="14"/>
        <v>0</v>
      </c>
      <c r="T57" s="5">
        <v>0</v>
      </c>
      <c r="U57" s="12">
        <f t="shared" si="15"/>
        <v>0</v>
      </c>
      <c r="V57" s="25" t="s">
        <v>10</v>
      </c>
      <c r="W57" s="11">
        <f>IFERROR(VLOOKUP(V57,Curr!$B$2:$C$13,2,FALSE),0)</f>
        <v>11.2</v>
      </c>
      <c r="X57" s="12">
        <f t="shared" si="16"/>
        <v>0</v>
      </c>
      <c r="Y57" s="26">
        <f t="shared" si="17"/>
        <v>0</v>
      </c>
      <c r="Z57" s="12">
        <f t="shared" si="18"/>
        <v>0</v>
      </c>
      <c r="AA57" s="4" t="s">
        <v>10</v>
      </c>
      <c r="AB57" s="11">
        <f>IFERROR(VLOOKUP(AA57,Curr!$B$2:$C$13,2,FALSE),0)</f>
        <v>11.2</v>
      </c>
      <c r="AC57" s="12">
        <f t="shared" si="19"/>
        <v>0</v>
      </c>
      <c r="AD57" s="12">
        <f t="shared" si="20"/>
        <v>0</v>
      </c>
      <c r="AE57" s="13">
        <f t="shared" si="21"/>
        <v>0</v>
      </c>
    </row>
    <row r="58" spans="2:36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33"/>
      <c r="Q58" s="25">
        <v>0</v>
      </c>
      <c r="R58" s="25">
        <v>0</v>
      </c>
      <c r="S58" s="12">
        <f t="shared" si="14"/>
        <v>0</v>
      </c>
      <c r="T58" s="5">
        <v>0</v>
      </c>
      <c r="U58" s="12">
        <f t="shared" si="15"/>
        <v>0</v>
      </c>
      <c r="V58" s="25" t="s">
        <v>10</v>
      </c>
      <c r="W58" s="11">
        <f>IFERROR(VLOOKUP(V58,Curr!$B$2:$C$13,2,FALSE),0)</f>
        <v>11.2</v>
      </c>
      <c r="X58" s="12">
        <f t="shared" si="16"/>
        <v>0</v>
      </c>
      <c r="Y58" s="26">
        <f t="shared" si="17"/>
        <v>0</v>
      </c>
      <c r="Z58" s="12">
        <f t="shared" si="18"/>
        <v>0</v>
      </c>
      <c r="AA58" s="4" t="s">
        <v>10</v>
      </c>
      <c r="AB58" s="11">
        <f>IFERROR(VLOOKUP(AA58,Curr!$B$2:$C$13,2,FALSE),0)</f>
        <v>11.2</v>
      </c>
      <c r="AC58" s="12">
        <f t="shared" si="19"/>
        <v>0</v>
      </c>
      <c r="AD58" s="12">
        <f t="shared" si="20"/>
        <v>0</v>
      </c>
      <c r="AE58" s="13">
        <f t="shared" si="21"/>
        <v>0</v>
      </c>
    </row>
    <row r="59" spans="2:36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33"/>
      <c r="Q59" s="25">
        <v>0</v>
      </c>
      <c r="R59" s="25">
        <v>0</v>
      </c>
      <c r="S59" s="12">
        <f t="shared" si="14"/>
        <v>0</v>
      </c>
      <c r="T59" s="5">
        <v>0</v>
      </c>
      <c r="U59" s="12">
        <f t="shared" si="15"/>
        <v>0</v>
      </c>
      <c r="V59" s="25" t="s">
        <v>10</v>
      </c>
      <c r="W59" s="11">
        <f>IFERROR(VLOOKUP(V59,Curr!$B$2:$C$13,2,FALSE),0)</f>
        <v>11.2</v>
      </c>
      <c r="X59" s="12">
        <f t="shared" si="16"/>
        <v>0</v>
      </c>
      <c r="Y59" s="26">
        <f t="shared" si="17"/>
        <v>0</v>
      </c>
      <c r="Z59" s="12">
        <f t="shared" si="18"/>
        <v>0</v>
      </c>
      <c r="AA59" s="4" t="s">
        <v>10</v>
      </c>
      <c r="AB59" s="11">
        <f>IFERROR(VLOOKUP(AA59,Curr!$B$2:$C$13,2,FALSE),0)</f>
        <v>11.2</v>
      </c>
      <c r="AC59" s="12">
        <f t="shared" si="19"/>
        <v>0</v>
      </c>
      <c r="AD59" s="12">
        <f t="shared" si="20"/>
        <v>0</v>
      </c>
      <c r="AE59" s="13">
        <f t="shared" si="21"/>
        <v>0</v>
      </c>
    </row>
    <row r="60" spans="2:36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33"/>
      <c r="Q60" s="25">
        <v>0</v>
      </c>
      <c r="R60" s="25">
        <v>0</v>
      </c>
      <c r="S60" s="12">
        <f t="shared" si="14"/>
        <v>0</v>
      </c>
      <c r="T60" s="5">
        <v>0</v>
      </c>
      <c r="U60" s="12">
        <f t="shared" si="15"/>
        <v>0</v>
      </c>
      <c r="V60" s="25" t="s">
        <v>10</v>
      </c>
      <c r="W60" s="11">
        <f>IFERROR(VLOOKUP(V60,Curr!$B$2:$C$13,2,FALSE),0)</f>
        <v>11.2</v>
      </c>
      <c r="X60" s="12">
        <f t="shared" si="16"/>
        <v>0</v>
      </c>
      <c r="Y60" s="26">
        <f t="shared" si="17"/>
        <v>0</v>
      </c>
      <c r="Z60" s="12">
        <f t="shared" si="18"/>
        <v>0</v>
      </c>
      <c r="AA60" s="4" t="s">
        <v>10</v>
      </c>
      <c r="AB60" s="11">
        <f>IFERROR(VLOOKUP(AA60,Curr!$B$2:$C$13,2,FALSE),0)</f>
        <v>11.2</v>
      </c>
      <c r="AC60" s="12">
        <f t="shared" si="19"/>
        <v>0</v>
      </c>
      <c r="AD60" s="12">
        <f t="shared" si="20"/>
        <v>0</v>
      </c>
      <c r="AE60" s="13">
        <f t="shared" si="21"/>
        <v>0</v>
      </c>
    </row>
    <row r="61" spans="2:36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27"/>
      <c r="Q61" s="25">
        <v>0</v>
      </c>
      <c r="R61" s="25">
        <v>0</v>
      </c>
      <c r="S61" s="12">
        <f t="shared" si="6"/>
        <v>0</v>
      </c>
      <c r="T61" s="5">
        <v>0</v>
      </c>
      <c r="U61" s="12">
        <f t="shared" si="7"/>
        <v>0</v>
      </c>
      <c r="V61" s="25" t="s">
        <v>10</v>
      </c>
      <c r="W61" s="11">
        <f>IFERROR(VLOOKUP(V61,Curr!$B$2:$C$13,2,FALSE),0)</f>
        <v>11.2</v>
      </c>
      <c r="X61" s="12">
        <f t="shared" si="8"/>
        <v>0</v>
      </c>
      <c r="Y61" s="26">
        <f t="shared" si="9"/>
        <v>0</v>
      </c>
      <c r="Z61" s="12">
        <f t="shared" si="10"/>
        <v>0</v>
      </c>
      <c r="AA61" s="4" t="s">
        <v>10</v>
      </c>
      <c r="AB61" s="11">
        <f>IFERROR(VLOOKUP(AA61,Curr!$B$2:$C$13,2,FALSE),0)</f>
        <v>11.2</v>
      </c>
      <c r="AC61" s="12">
        <f t="shared" si="11"/>
        <v>0</v>
      </c>
      <c r="AD61" s="12">
        <f t="shared" si="12"/>
        <v>0</v>
      </c>
      <c r="AE61" s="13">
        <f t="shared" si="13"/>
        <v>0</v>
      </c>
    </row>
    <row r="62" spans="2:36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27"/>
      <c r="Q62" s="25">
        <v>0</v>
      </c>
      <c r="R62" s="25">
        <v>0</v>
      </c>
      <c r="S62" s="12">
        <f t="shared" si="6"/>
        <v>0</v>
      </c>
      <c r="T62" s="5">
        <v>0</v>
      </c>
      <c r="U62" s="12">
        <f t="shared" si="7"/>
        <v>0</v>
      </c>
      <c r="V62" s="25" t="s">
        <v>10</v>
      </c>
      <c r="W62" s="11">
        <f>IFERROR(VLOOKUP(V62,Curr!$B$2:$C$13,2,FALSE),0)</f>
        <v>11.2</v>
      </c>
      <c r="X62" s="12">
        <f t="shared" si="8"/>
        <v>0</v>
      </c>
      <c r="Y62" s="26">
        <f t="shared" si="9"/>
        <v>0</v>
      </c>
      <c r="Z62" s="12">
        <f t="shared" si="10"/>
        <v>0</v>
      </c>
      <c r="AA62" s="4" t="s">
        <v>10</v>
      </c>
      <c r="AB62" s="11">
        <f>IFERROR(VLOOKUP(AA62,Curr!$B$2:$C$13,2,FALSE),0)</f>
        <v>11.2</v>
      </c>
      <c r="AC62" s="12">
        <f t="shared" si="11"/>
        <v>0</v>
      </c>
      <c r="AD62" s="12">
        <f t="shared" si="12"/>
        <v>0</v>
      </c>
      <c r="AE62" s="13">
        <f t="shared" si="13"/>
        <v>0</v>
      </c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4"/>
      <c r="P63" s="22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2:36" x14ac:dyDescent="0.25">
      <c r="B64" s="14" t="s">
        <v>18</v>
      </c>
      <c r="C64" s="14"/>
      <c r="D64" s="28" t="s">
        <v>42</v>
      </c>
      <c r="E64" s="30" t="s">
        <v>42</v>
      </c>
      <c r="F64" s="30" t="s">
        <v>42</v>
      </c>
      <c r="G64" s="30" t="s">
        <v>42</v>
      </c>
      <c r="H64" s="30" t="s">
        <v>42</v>
      </c>
      <c r="I64" s="28" t="s">
        <v>42</v>
      </c>
      <c r="J64" s="28" t="s">
        <v>42</v>
      </c>
      <c r="K64" s="28" t="s">
        <v>42</v>
      </c>
      <c r="L64" s="28" t="s">
        <v>42</v>
      </c>
      <c r="M64" s="28" t="s">
        <v>42</v>
      </c>
      <c r="N64" s="28" t="s">
        <v>42</v>
      </c>
      <c r="O64" s="28" t="s">
        <v>42</v>
      </c>
      <c r="P64" s="28" t="s">
        <v>42</v>
      </c>
      <c r="Q64" s="31" t="s">
        <v>42</v>
      </c>
      <c r="R64" s="28" t="s">
        <v>42</v>
      </c>
      <c r="S64" s="32" t="s">
        <v>42</v>
      </c>
      <c r="T64" s="28" t="s">
        <v>42</v>
      </c>
      <c r="U64" s="32" t="s">
        <v>42</v>
      </c>
      <c r="V64" s="28" t="s">
        <v>42</v>
      </c>
      <c r="W64" s="28" t="s">
        <v>42</v>
      </c>
      <c r="X64" s="32" t="s">
        <v>42</v>
      </c>
      <c r="Y64" s="32" t="s">
        <v>42</v>
      </c>
      <c r="Z64" s="15">
        <f>SUM(Z7:Z62)</f>
        <v>0</v>
      </c>
      <c r="AA64" s="14"/>
      <c r="AB64" s="14"/>
      <c r="AC64" s="15">
        <f>SUM(AC7:AC62)</f>
        <v>0</v>
      </c>
      <c r="AD64" s="15">
        <f>SUM(AD7:AD62)</f>
        <v>0</v>
      </c>
      <c r="AE64" s="21">
        <f t="shared" ref="AE64" si="22">IFERROR(AD64/AC64,0)</f>
        <v>0</v>
      </c>
      <c r="AF64" s="15">
        <f>SUM(AF8:AF63)</f>
        <v>0</v>
      </c>
      <c r="AG64" s="15">
        <f>SUM(AG8:AG63)</f>
        <v>0</v>
      </c>
      <c r="AH64" s="15">
        <f>SUM(AH8:AH63)</f>
        <v>0</v>
      </c>
      <c r="AI64" s="15">
        <f>SUM(AI8:AI63)</f>
        <v>0</v>
      </c>
      <c r="AJ64" s="15">
        <f>SUM(AJ8:AJ63)</f>
        <v>0</v>
      </c>
    </row>
    <row r="65" spans="2:32" x14ac:dyDescent="0.25">
      <c r="B65" s="4"/>
      <c r="E65" s="3"/>
      <c r="F65" s="3"/>
      <c r="G65" s="3"/>
      <c r="H65" s="3"/>
      <c r="L65" s="4"/>
      <c r="M65" s="4"/>
      <c r="N65" s="4"/>
      <c r="O65" s="4"/>
      <c r="Q65" s="4"/>
      <c r="R65" s="4"/>
      <c r="S65" s="4"/>
      <c r="T65" s="4"/>
      <c r="U65" s="4"/>
      <c r="V65" s="4"/>
      <c r="W65" s="4"/>
      <c r="X65" s="4"/>
      <c r="Y65" s="9"/>
      <c r="Z65" s="9"/>
      <c r="AA65" s="9"/>
      <c r="AB65" s="9"/>
      <c r="AC65" s="9"/>
      <c r="AD65" s="9"/>
      <c r="AE65" s="9"/>
    </row>
    <row r="66" spans="2:32" x14ac:dyDescent="0.25">
      <c r="B66" s="4"/>
      <c r="E66" s="3"/>
      <c r="F66" s="3"/>
      <c r="G66" s="3"/>
      <c r="H66" s="3"/>
      <c r="L66" s="4"/>
      <c r="M66" s="4"/>
      <c r="N66" s="4"/>
      <c r="O66" s="4"/>
      <c r="Q66" s="9"/>
      <c r="R66" s="9"/>
      <c r="S66" s="9"/>
      <c r="T66" s="9"/>
      <c r="U66" s="9"/>
      <c r="V66" s="9"/>
      <c r="W66" s="9"/>
      <c r="X66" s="23"/>
      <c r="Y66" s="34" t="s">
        <v>103</v>
      </c>
      <c r="Z66" s="34">
        <f>Z12+Z19+Z21+Z23+Z25+Z29+Z30+Z31+Z33</f>
        <v>0</v>
      </c>
      <c r="AA66" s="9"/>
      <c r="AB66" s="9"/>
      <c r="AC66" s="9"/>
      <c r="AD66" s="9"/>
      <c r="AE66" s="9"/>
    </row>
    <row r="67" spans="2:32" x14ac:dyDescent="0.25">
      <c r="B67" s="4"/>
      <c r="E67" s="3"/>
      <c r="F67" s="3"/>
      <c r="G67" s="3"/>
      <c r="H67" s="3"/>
      <c r="L67" s="4"/>
      <c r="M67" s="4"/>
      <c r="N67" s="4"/>
      <c r="O67" s="4"/>
      <c r="Q67" s="9"/>
      <c r="R67" s="9"/>
      <c r="S67" s="9"/>
      <c r="T67" s="9"/>
      <c r="U67" s="9"/>
      <c r="V67" s="9"/>
      <c r="W67" s="9"/>
      <c r="X67" s="9"/>
      <c r="Y67" s="35" t="s">
        <v>104</v>
      </c>
      <c r="Z67" s="34">
        <f>Y9+Y14+Y17</f>
        <v>0</v>
      </c>
      <c r="AA67" s="9"/>
      <c r="AB67" s="9"/>
      <c r="AC67" s="9"/>
      <c r="AD67" s="9"/>
      <c r="AE67" s="9"/>
      <c r="AF67" s="18"/>
    </row>
    <row r="68" spans="2:32" x14ac:dyDescent="0.25">
      <c r="B68" s="4"/>
      <c r="E68" s="3"/>
      <c r="F68" s="3"/>
      <c r="G68" s="3"/>
      <c r="H68" s="3"/>
      <c r="I68" s="19"/>
      <c r="L68" s="4"/>
      <c r="M68" s="4"/>
      <c r="N68" s="4"/>
      <c r="O68" s="20"/>
      <c r="Q68" s="20"/>
      <c r="R68" s="20"/>
      <c r="S68" s="20"/>
      <c r="T68" s="20"/>
      <c r="U68" s="20"/>
      <c r="V68" s="20"/>
      <c r="W68" s="20"/>
      <c r="X68" s="20"/>
      <c r="Y68" s="34" t="s">
        <v>105</v>
      </c>
      <c r="Z68" s="34">
        <v>4120</v>
      </c>
      <c r="AA68" s="9"/>
      <c r="AB68" s="9"/>
      <c r="AC68" s="9"/>
      <c r="AD68" s="9"/>
      <c r="AE68" s="9"/>
      <c r="AF68" s="18"/>
    </row>
    <row r="69" spans="2:32" x14ac:dyDescent="0.25">
      <c r="B69" s="4"/>
      <c r="E69" s="3"/>
      <c r="F69" s="3"/>
      <c r="G69" s="3"/>
      <c r="H69" s="3"/>
      <c r="L69" s="4"/>
      <c r="M69" s="4"/>
      <c r="N69" s="4"/>
      <c r="O69" s="20"/>
      <c r="Q69" s="20"/>
      <c r="R69" s="20"/>
      <c r="S69" s="20"/>
      <c r="T69" s="20"/>
      <c r="U69" s="20"/>
      <c r="V69" s="20"/>
      <c r="W69" s="20"/>
      <c r="X69" s="20"/>
      <c r="Y69" s="34" t="s">
        <v>43</v>
      </c>
      <c r="Z69" s="34">
        <f>Z68/2</f>
        <v>2060</v>
      </c>
      <c r="AA69" s="9"/>
      <c r="AB69" s="9"/>
      <c r="AC69" s="9"/>
      <c r="AD69" s="9"/>
      <c r="AE69" s="9"/>
      <c r="AF69" s="18"/>
    </row>
    <row r="70" spans="2:32" x14ac:dyDescent="0.25">
      <c r="B70" s="4"/>
      <c r="E70" s="3"/>
      <c r="F70" s="3"/>
      <c r="G70" s="3"/>
      <c r="H70" s="3"/>
      <c r="L70" s="4"/>
      <c r="M70" s="4"/>
      <c r="N70" s="4"/>
      <c r="O70" s="4"/>
      <c r="Q70" s="9"/>
      <c r="R70" s="9"/>
      <c r="S70" s="9"/>
      <c r="T70" s="9"/>
      <c r="U70" s="9"/>
      <c r="V70" s="9"/>
      <c r="W70" s="9"/>
      <c r="X70" s="9"/>
      <c r="Y70" s="1"/>
      <c r="Z70" s="1"/>
      <c r="AA70" s="9"/>
      <c r="AB70" s="9"/>
      <c r="AC70" s="9"/>
      <c r="AD70" s="9"/>
      <c r="AE70" s="9"/>
      <c r="AF70" s="18"/>
    </row>
    <row r="71" spans="2:32" x14ac:dyDescent="0.25">
      <c r="F71" s="1"/>
      <c r="G71" s="1"/>
      <c r="H71" s="1"/>
      <c r="J71" s="1" t="s">
        <v>32</v>
      </c>
      <c r="Q71" s="9"/>
      <c r="R71" s="4"/>
      <c r="S71" s="9"/>
      <c r="T71" s="5"/>
      <c r="U71" s="9"/>
      <c r="V71" s="4"/>
      <c r="W71" s="4"/>
      <c r="X71" s="9"/>
      <c r="Y71" s="9" t="s">
        <v>44</v>
      </c>
      <c r="Z71" s="9">
        <f>Z68-Z72</f>
        <v>1760</v>
      </c>
      <c r="AA71" s="9"/>
      <c r="AB71" s="9"/>
      <c r="AC71" s="9"/>
      <c r="AD71" s="9"/>
      <c r="AE71" s="9"/>
    </row>
    <row r="72" spans="2:32" x14ac:dyDescent="0.25">
      <c r="R72" s="4"/>
      <c r="S72" s="17"/>
      <c r="T72" s="17"/>
      <c r="U72" s="9"/>
      <c r="V72" s="4"/>
      <c r="W72" s="4"/>
      <c r="X72" s="9"/>
      <c r="Y72" s="9" t="s">
        <v>45</v>
      </c>
      <c r="Z72" s="9">
        <v>2360</v>
      </c>
      <c r="AA72" s="9"/>
      <c r="AB72" s="9"/>
      <c r="AC72" s="9"/>
      <c r="AD72" s="9"/>
      <c r="AE72" s="9"/>
    </row>
    <row r="73" spans="2:32" x14ac:dyDescent="0.25">
      <c r="Q73" s="9"/>
      <c r="R73" s="4"/>
      <c r="S73" s="16"/>
      <c r="T73" s="16"/>
      <c r="U73" s="9"/>
      <c r="V73" s="4"/>
      <c r="W73" s="4"/>
      <c r="X73" s="9"/>
      <c r="Y73" s="9"/>
      <c r="Z73" s="9"/>
      <c r="AA73" s="9"/>
      <c r="AB73" s="9"/>
      <c r="AC73" s="9"/>
      <c r="AD73" s="9"/>
      <c r="AE73" s="9"/>
    </row>
    <row r="74" spans="2:32" x14ac:dyDescent="0.25">
      <c r="R74" s="4"/>
      <c r="S74" s="16"/>
      <c r="T74" s="16"/>
      <c r="Y74" s="9" t="s">
        <v>46</v>
      </c>
      <c r="Z74" s="9">
        <v>2360</v>
      </c>
      <c r="AA74" s="9"/>
      <c r="AB74" s="9"/>
      <c r="AC74" s="9"/>
      <c r="AD74" s="9"/>
      <c r="AE74" s="9"/>
    </row>
    <row r="75" spans="2:32" x14ac:dyDescent="0.25">
      <c r="T75" s="5"/>
      <c r="Y75" s="9" t="s">
        <v>47</v>
      </c>
      <c r="Z75" s="9">
        <f>Z68-Z74</f>
        <v>1760</v>
      </c>
      <c r="AA75" s="9"/>
      <c r="AB75" s="9"/>
      <c r="AC75" s="9"/>
      <c r="AD75" s="9"/>
      <c r="AE75" s="9"/>
    </row>
    <row r="76" spans="2:32" x14ac:dyDescent="0.25">
      <c r="T76" s="5"/>
      <c r="AA76" s="9"/>
      <c r="AB76" s="9"/>
      <c r="AC76" s="9"/>
      <c r="AD76" s="9"/>
      <c r="AE76" s="9"/>
    </row>
    <row r="77" spans="2:32" x14ac:dyDescent="0.25">
      <c r="T77" s="5"/>
      <c r="Y77" s="43" t="s">
        <v>236</v>
      </c>
      <c r="Z77" s="1">
        <v>3640</v>
      </c>
      <c r="AA77" s="9"/>
      <c r="AB77" s="9"/>
      <c r="AC77" s="9"/>
      <c r="AD77" s="9"/>
      <c r="AE77" s="9"/>
    </row>
    <row r="78" spans="2:32" x14ac:dyDescent="0.25">
      <c r="T78" s="5"/>
      <c r="Y78" s="44" t="s">
        <v>237</v>
      </c>
      <c r="Z78" s="9">
        <f>Z77*1.15</f>
        <v>4186</v>
      </c>
      <c r="AA78" s="9"/>
      <c r="AB78" s="9"/>
      <c r="AC78" s="9"/>
      <c r="AD78" s="9"/>
      <c r="AE78" s="9"/>
    </row>
    <row r="79" spans="2:32" x14ac:dyDescent="0.25">
      <c r="T79" s="5"/>
      <c r="Y79" s="44" t="s">
        <v>238</v>
      </c>
      <c r="Z79" s="9">
        <f>Z77*1.2</f>
        <v>4368</v>
      </c>
      <c r="AA79" s="9"/>
      <c r="AB79" s="9"/>
      <c r="AC79" s="9"/>
      <c r="AD79" s="9"/>
      <c r="AE79" s="9"/>
    </row>
    <row r="80" spans="2:32" x14ac:dyDescent="0.25">
      <c r="T80" s="5"/>
      <c r="Y80" s="44" t="s">
        <v>239</v>
      </c>
      <c r="Z80" s="9">
        <f>Z77*0.84</f>
        <v>3057.6</v>
      </c>
      <c r="AA80" s="9"/>
      <c r="AB80" s="9"/>
      <c r="AC80" s="9"/>
      <c r="AD80" s="9"/>
      <c r="AE80" s="9"/>
    </row>
    <row r="81" spans="20:31" x14ac:dyDescent="0.25">
      <c r="T81" s="5"/>
      <c r="Y81" s="9"/>
      <c r="Z81" s="9"/>
      <c r="AA81" s="9"/>
      <c r="AB81" s="9"/>
      <c r="AC81" s="9"/>
      <c r="AD81" s="9"/>
      <c r="AE81" s="9"/>
    </row>
    <row r="82" spans="20:31" x14ac:dyDescent="0.25">
      <c r="T82" s="5"/>
      <c r="Y82" s="9"/>
      <c r="Z82" s="9"/>
      <c r="AA82" s="9"/>
      <c r="AB82" s="9"/>
      <c r="AC82" s="9"/>
      <c r="AD82" s="9"/>
      <c r="AE82" s="9"/>
    </row>
    <row r="83" spans="20:31" x14ac:dyDescent="0.25">
      <c r="T83" s="5"/>
    </row>
    <row r="84" spans="20:31" x14ac:dyDescent="0.25">
      <c r="T84" s="5"/>
    </row>
    <row r="85" spans="20:31" x14ac:dyDescent="0.25">
      <c r="T85" s="5"/>
    </row>
    <row r="86" spans="20:31" x14ac:dyDescent="0.25">
      <c r="T86" s="5"/>
    </row>
    <row r="87" spans="20:31" x14ac:dyDescent="0.25">
      <c r="T87" s="5"/>
    </row>
  </sheetData>
  <autoFilter ref="B6:AE64" xr:uid="{65FA6D9B-E0AF-46CD-BA0D-86BB75FE6AB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6C0-BF7F-4EA5-97F6-74A08C367EEF}">
  <sheetPr>
    <tabColor rgb="FFFFFF00"/>
  </sheetPr>
  <dimension ref="B2:AK75"/>
  <sheetViews>
    <sheetView topLeftCell="A12" zoomScale="85" zoomScaleNormal="85" workbookViewId="0">
      <selection activeCell="J28" sqref="J28:Y34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50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0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0" si="1">U7*W7</f>
        <v>0</v>
      </c>
      <c r="Y7" s="26">
        <f>Q7</f>
        <v>0</v>
      </c>
      <c r="Z7" s="12">
        <f t="shared" ref="Z7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" si="3">+Y7*AB7*R7</f>
        <v>0</v>
      </c>
      <c r="AD7" s="12">
        <f t="shared" ref="AD7" si="4">+AC7-X7</f>
        <v>0</v>
      </c>
      <c r="AE7" s="13">
        <f t="shared" ref="AE7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0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ref="Z8:Z11" si="7">+Y8*R8</f>
        <v>0</v>
      </c>
      <c r="AA8" s="4" t="s">
        <v>10</v>
      </c>
      <c r="AB8" s="11">
        <f>IFERROR(VLOOKUP(AA8,Curr!$B$2:$C$13,2,FALSE),0)</f>
        <v>11.2</v>
      </c>
      <c r="AC8" s="12">
        <f t="shared" ref="AC8:AC11" si="8">+Y8*AB8*R8</f>
        <v>0</v>
      </c>
      <c r="AD8" s="12">
        <f t="shared" ref="AD8:AD11" si="9">+AC8-X8</f>
        <v>0</v>
      </c>
      <c r="AE8" s="13">
        <f t="shared" ref="AE8:AE11" si="10">IFERROR(AD8/AC8,0)</f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7"/>
        <v>187.5</v>
      </c>
      <c r="AA9" s="4" t="s">
        <v>10</v>
      </c>
      <c r="AB9" s="11">
        <f>IFERROR(VLOOKUP(AA9,Curr!$B$2:$C$13,2,FALSE),0)</f>
        <v>11.2</v>
      </c>
      <c r="AC9" s="12">
        <f t="shared" si="8"/>
        <v>2100</v>
      </c>
      <c r="AD9" s="12">
        <f t="shared" si="9"/>
        <v>420</v>
      </c>
      <c r="AE9" s="13">
        <f t="shared" si="10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" si="11">Q10</f>
        <v>0</v>
      </c>
      <c r="Z10" s="12">
        <f t="shared" si="7"/>
        <v>0</v>
      </c>
      <c r="AA10" s="4" t="s">
        <v>10</v>
      </c>
      <c r="AB10" s="11">
        <f>IFERROR(VLOOKUP(AA10,Curr!$B$2:$C$13,2,FALSE),0)</f>
        <v>11.2</v>
      </c>
      <c r="AC10" s="12">
        <f t="shared" si="8"/>
        <v>0</v>
      </c>
      <c r="AD10" s="12">
        <f t="shared" si="9"/>
        <v>0</v>
      </c>
      <c r="AE10" s="13">
        <f t="shared" si="10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ref="S11:S12" si="12">+Q11*R11</f>
        <v>0</v>
      </c>
      <c r="T11" s="5">
        <v>0</v>
      </c>
      <c r="U11" s="12">
        <f t="shared" ref="U11:U12" si="13">S11*(1-T11)</f>
        <v>0</v>
      </c>
      <c r="V11" s="25" t="s">
        <v>10</v>
      </c>
      <c r="W11" s="11">
        <f>IFERROR(VLOOKUP(V11,Curr!$B$2:$C$13,2,FALSE),0)</f>
        <v>11.2</v>
      </c>
      <c r="X11" s="12">
        <f t="shared" ref="X11:X12" si="14">U11*W11</f>
        <v>0</v>
      </c>
      <c r="Y11" s="26">
        <f t="shared" ref="Y11" si="15">Q11</f>
        <v>0</v>
      </c>
      <c r="Z11" s="12">
        <f t="shared" si="7"/>
        <v>0</v>
      </c>
      <c r="AA11" s="4" t="s">
        <v>10</v>
      </c>
      <c r="AB11" s="11">
        <f>IFERROR(VLOOKUP(AA11,Curr!$B$2:$C$13,2,FALSE),0)</f>
        <v>11.2</v>
      </c>
      <c r="AC11" s="12">
        <f t="shared" si="8"/>
        <v>0</v>
      </c>
      <c r="AD11" s="12">
        <f t="shared" si="9"/>
        <v>0</v>
      </c>
      <c r="AE11" s="13">
        <f t="shared" si="10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12"/>
        <v>40</v>
      </c>
      <c r="T12" s="5">
        <v>0</v>
      </c>
      <c r="U12" s="12">
        <f t="shared" si="13"/>
        <v>40</v>
      </c>
      <c r="V12" s="25" t="s">
        <v>10</v>
      </c>
      <c r="W12" s="11">
        <f>IFERROR(VLOOKUP(V12,Curr!$B$2:$C$13,2,FALSE),0)</f>
        <v>11.2</v>
      </c>
      <c r="X12" s="12">
        <f t="shared" si="14"/>
        <v>448</v>
      </c>
      <c r="Y12" s="26">
        <f>Q12/0.57</f>
        <v>35.087719298245617</v>
      </c>
      <c r="Z12" s="12">
        <f t="shared" ref="Z12:Z50" si="16">+Y12*R12</f>
        <v>70.175438596491233</v>
      </c>
      <c r="AA12" s="4" t="s">
        <v>10</v>
      </c>
      <c r="AB12" s="11">
        <f>IFERROR(VLOOKUP(AA12,Curr!$B$2:$C$13,2,FALSE),0)</f>
        <v>11.2</v>
      </c>
      <c r="AC12" s="12">
        <f t="shared" ref="AC12:AC50" si="17">+Y12*AB12*R12</f>
        <v>785.96491228070181</v>
      </c>
      <c r="AD12" s="12">
        <f t="shared" ref="AD12:AD50" si="18">+AC12-X12</f>
        <v>337.96491228070181</v>
      </c>
      <c r="AE12" s="13">
        <f t="shared" ref="AE12:AE50" si="19">IFERROR(AD12/AC12,0)</f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ref="S13:S50" si="20">+Q13*R13</f>
        <v>0</v>
      </c>
      <c r="T13" s="5">
        <v>0</v>
      </c>
      <c r="U13" s="12">
        <f t="shared" ref="U13:U50" si="21">S13*(1-T13)</f>
        <v>0</v>
      </c>
      <c r="V13" s="25" t="s">
        <v>10</v>
      </c>
      <c r="W13" s="11">
        <f>IFERROR(VLOOKUP(V13,Curr!$B$2:$C$13,2,FALSE),0)</f>
        <v>11.2</v>
      </c>
      <c r="X13" s="12">
        <f t="shared" ref="X13:X50" si="22">U13*W13</f>
        <v>0</v>
      </c>
      <c r="Y13" s="26">
        <f t="shared" ref="Y13:Y50" si="23">Q13</f>
        <v>0</v>
      </c>
      <c r="Z13" s="12">
        <f t="shared" si="16"/>
        <v>0</v>
      </c>
      <c r="AA13" s="4" t="s">
        <v>10</v>
      </c>
      <c r="AB13" s="11">
        <f>IFERROR(VLOOKUP(AA13,Curr!$B$2:$C$13,2,FALSE),0)</f>
        <v>11.2</v>
      </c>
      <c r="AC13" s="12">
        <f t="shared" si="17"/>
        <v>0</v>
      </c>
      <c r="AD13" s="12">
        <f t="shared" si="18"/>
        <v>0</v>
      </c>
      <c r="AE13" s="13">
        <f t="shared" si="19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66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20"/>
        <v>200</v>
      </c>
      <c r="T14" s="5">
        <v>0</v>
      </c>
      <c r="U14" s="12">
        <f t="shared" si="21"/>
        <v>200</v>
      </c>
      <c r="V14" s="25" t="s">
        <v>10</v>
      </c>
      <c r="W14" s="11">
        <f>IFERROR(VLOOKUP(V14,Curr!$B$2:$C$13,2,FALSE),0)</f>
        <v>11.2</v>
      </c>
      <c r="X14" s="12">
        <f t="shared" si="22"/>
        <v>2240</v>
      </c>
      <c r="Y14" s="26">
        <f>Q14/0.85</f>
        <v>235.29411764705884</v>
      </c>
      <c r="Z14" s="12">
        <f t="shared" si="16"/>
        <v>235.29411764705884</v>
      </c>
      <c r="AA14" s="4" t="s">
        <v>10</v>
      </c>
      <c r="AB14" s="11">
        <f>IFERROR(VLOOKUP(AA14,Curr!$B$2:$C$13,2,FALSE),0)</f>
        <v>11.2</v>
      </c>
      <c r="AC14" s="12">
        <f t="shared" si="17"/>
        <v>2635.294117647059</v>
      </c>
      <c r="AD14" s="12">
        <f t="shared" si="18"/>
        <v>395.29411764705901</v>
      </c>
      <c r="AE14" s="13">
        <f t="shared" si="19"/>
        <v>0.15000000000000005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20"/>
        <v>0</v>
      </c>
      <c r="T15" s="5">
        <v>0</v>
      </c>
      <c r="U15" s="12">
        <f t="shared" si="21"/>
        <v>0</v>
      </c>
      <c r="V15" s="25" t="s">
        <v>10</v>
      </c>
      <c r="W15" s="11">
        <f>IFERROR(VLOOKUP(V15,Curr!$B$2:$C$13,2,FALSE),0)</f>
        <v>11.2</v>
      </c>
      <c r="X15" s="12">
        <f t="shared" si="22"/>
        <v>0</v>
      </c>
      <c r="Y15" s="26">
        <f t="shared" si="23"/>
        <v>0</v>
      </c>
      <c r="Z15" s="12">
        <f t="shared" si="16"/>
        <v>0</v>
      </c>
      <c r="AA15" s="4" t="s">
        <v>10</v>
      </c>
      <c r="AB15" s="11">
        <f>IFERROR(VLOOKUP(AA15,Curr!$B$2:$C$13,2,FALSE),0)</f>
        <v>11.2</v>
      </c>
      <c r="AC15" s="12">
        <f t="shared" si="17"/>
        <v>0</v>
      </c>
      <c r="AD15" s="12">
        <f t="shared" si="18"/>
        <v>0</v>
      </c>
      <c r="AE15" s="13">
        <f t="shared" si="19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20"/>
        <v>0</v>
      </c>
      <c r="T16" s="5">
        <v>0</v>
      </c>
      <c r="U16" s="12">
        <f t="shared" si="21"/>
        <v>0</v>
      </c>
      <c r="V16" s="25" t="s">
        <v>10</v>
      </c>
      <c r="W16" s="11">
        <f>IFERROR(VLOOKUP(V16,Curr!$B$2:$C$13,2,FALSE),0)</f>
        <v>11.2</v>
      </c>
      <c r="X16" s="12">
        <f t="shared" si="22"/>
        <v>0</v>
      </c>
      <c r="Y16" s="26">
        <f>Q16/0.8</f>
        <v>0</v>
      </c>
      <c r="Z16" s="12">
        <f t="shared" si="16"/>
        <v>0</v>
      </c>
      <c r="AA16" s="4" t="s">
        <v>10</v>
      </c>
      <c r="AB16" s="11">
        <f>IFERROR(VLOOKUP(AA16,Curr!$B$2:$C$13,2,FALSE),0)</f>
        <v>11.2</v>
      </c>
      <c r="AC16" s="12">
        <f t="shared" si="17"/>
        <v>0</v>
      </c>
      <c r="AD16" s="12">
        <f t="shared" si="18"/>
        <v>0</v>
      </c>
      <c r="AE16" s="13">
        <f t="shared" si="19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71</v>
      </c>
      <c r="K17" s="4"/>
      <c r="L17" s="4"/>
      <c r="M17" s="4"/>
      <c r="N17" s="4" t="s">
        <v>42</v>
      </c>
      <c r="O17" s="4"/>
      <c r="P17" s="33"/>
      <c r="Q17" s="25">
        <f>109*2*3</f>
        <v>654</v>
      </c>
      <c r="R17" s="25">
        <v>1</v>
      </c>
      <c r="S17" s="12">
        <f t="shared" si="20"/>
        <v>654</v>
      </c>
      <c r="T17" s="5">
        <v>0</v>
      </c>
      <c r="U17" s="12">
        <f t="shared" si="21"/>
        <v>654</v>
      </c>
      <c r="V17" s="25" t="s">
        <v>10</v>
      </c>
      <c r="W17" s="11">
        <f>IFERROR(VLOOKUP(V17,Curr!$B$2:$C$13,2,FALSE),0)</f>
        <v>11.2</v>
      </c>
      <c r="X17" s="12">
        <f t="shared" si="22"/>
        <v>7324.7999999999993</v>
      </c>
      <c r="Y17" s="26">
        <f>Q17/0.8</f>
        <v>817.5</v>
      </c>
      <c r="Z17" s="12">
        <f t="shared" si="16"/>
        <v>817.5</v>
      </c>
      <c r="AA17" s="4" t="s">
        <v>10</v>
      </c>
      <c r="AB17" s="11">
        <f>IFERROR(VLOOKUP(AA17,Curr!$B$2:$C$13,2,FALSE),0)</f>
        <v>11.2</v>
      </c>
      <c r="AC17" s="12">
        <f t="shared" si="17"/>
        <v>9156</v>
      </c>
      <c r="AD17" s="12">
        <f t="shared" si="18"/>
        <v>1831.2000000000007</v>
      </c>
      <c r="AE17" s="13">
        <f t="shared" si="19"/>
        <v>0.20000000000000007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20"/>
        <v>0</v>
      </c>
      <c r="T18" s="5">
        <v>0</v>
      </c>
      <c r="U18" s="12">
        <f t="shared" si="21"/>
        <v>0</v>
      </c>
      <c r="V18" s="25" t="s">
        <v>10</v>
      </c>
      <c r="W18" s="11">
        <f>IFERROR(VLOOKUP(V18,Curr!$B$2:$C$13,2,FALSE),0)</f>
        <v>11.2</v>
      </c>
      <c r="X18" s="12">
        <f t="shared" si="22"/>
        <v>0</v>
      </c>
      <c r="Y18" s="26">
        <f t="shared" ref="Y18:Y19" si="24">Q18</f>
        <v>0</v>
      </c>
      <c r="Z18" s="12">
        <f t="shared" si="16"/>
        <v>0</v>
      </c>
      <c r="AA18" s="4" t="s">
        <v>10</v>
      </c>
      <c r="AB18" s="11">
        <f>IFERROR(VLOOKUP(AA18,Curr!$B$2:$C$13,2,FALSE),0)</f>
        <v>11.2</v>
      </c>
      <c r="AC18" s="12">
        <f t="shared" si="17"/>
        <v>0</v>
      </c>
      <c r="AD18" s="12">
        <f t="shared" si="18"/>
        <v>0</v>
      </c>
      <c r="AE18" s="13">
        <f t="shared" si="19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222</v>
      </c>
      <c r="K19" s="4"/>
      <c r="L19" s="4"/>
      <c r="M19" s="4"/>
      <c r="N19" s="4"/>
      <c r="O19" s="4" t="s">
        <v>42</v>
      </c>
      <c r="P19" s="33" t="s">
        <v>223</v>
      </c>
      <c r="Q19" s="25">
        <v>109</v>
      </c>
      <c r="R19" s="25">
        <v>2</v>
      </c>
      <c r="S19" s="12">
        <f t="shared" si="20"/>
        <v>218</v>
      </c>
      <c r="T19" s="5">
        <v>0.2</v>
      </c>
      <c r="U19" s="12">
        <f t="shared" si="21"/>
        <v>174.4</v>
      </c>
      <c r="V19" s="25" t="s">
        <v>10</v>
      </c>
      <c r="W19" s="11">
        <f>IFERROR(VLOOKUP(V19,Curr!$B$2:$C$13,2,FALSE),0)</f>
        <v>11.2</v>
      </c>
      <c r="X19" s="12">
        <f t="shared" si="22"/>
        <v>1953.28</v>
      </c>
      <c r="Y19" s="26">
        <f t="shared" si="24"/>
        <v>109</v>
      </c>
      <c r="Z19" s="12">
        <f t="shared" si="16"/>
        <v>218</v>
      </c>
      <c r="AA19" s="4" t="s">
        <v>10</v>
      </c>
      <c r="AB19" s="11">
        <f>IFERROR(VLOOKUP(AA19,Curr!$B$2:$C$13,2,FALSE),0)</f>
        <v>11.2</v>
      </c>
      <c r="AC19" s="12">
        <f t="shared" si="17"/>
        <v>2441.6</v>
      </c>
      <c r="AD19" s="12">
        <f t="shared" si="18"/>
        <v>488.31999999999994</v>
      </c>
      <c r="AE19" s="13">
        <f t="shared" si="19"/>
        <v>0.19999999999999998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20"/>
        <v>0</v>
      </c>
      <c r="T20" s="5">
        <v>0</v>
      </c>
      <c r="U20" s="12">
        <f t="shared" si="21"/>
        <v>0</v>
      </c>
      <c r="V20" s="25" t="s">
        <v>10</v>
      </c>
      <c r="W20" s="11">
        <f>IFERROR(VLOOKUP(V20,Curr!$B$2:$C$13,2,FALSE),0)</f>
        <v>11.2</v>
      </c>
      <c r="X20" s="12">
        <f t="shared" si="22"/>
        <v>0</v>
      </c>
      <c r="Y20" s="26">
        <f t="shared" si="23"/>
        <v>0</v>
      </c>
      <c r="Z20" s="12">
        <f t="shared" si="16"/>
        <v>0</v>
      </c>
      <c r="AA20" s="4" t="s">
        <v>10</v>
      </c>
      <c r="AB20" s="11">
        <f>IFERROR(VLOOKUP(AA20,Curr!$B$2:$C$13,2,FALSE),0)</f>
        <v>11.2</v>
      </c>
      <c r="AC20" s="12">
        <f t="shared" si="17"/>
        <v>0</v>
      </c>
      <c r="AD20" s="12">
        <f t="shared" si="18"/>
        <v>0</v>
      </c>
      <c r="AE20" s="13">
        <f t="shared" si="19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73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20"/>
        <v>376</v>
      </c>
      <c r="T21" s="5">
        <v>0.2</v>
      </c>
      <c r="U21" s="12">
        <f t="shared" si="21"/>
        <v>300.8</v>
      </c>
      <c r="V21" s="25" t="s">
        <v>10</v>
      </c>
      <c r="W21" s="11">
        <f>IFERROR(VLOOKUP(V21,Curr!$B$2:$C$13,2,FALSE),0)</f>
        <v>11.2</v>
      </c>
      <c r="X21" s="12">
        <f t="shared" si="22"/>
        <v>3368.96</v>
      </c>
      <c r="Y21" s="26">
        <f t="shared" si="23"/>
        <v>188</v>
      </c>
      <c r="Z21" s="12">
        <f t="shared" si="16"/>
        <v>376</v>
      </c>
      <c r="AA21" s="4" t="s">
        <v>10</v>
      </c>
      <c r="AB21" s="11">
        <f>IFERROR(VLOOKUP(AA21,Curr!$B$2:$C$13,2,FALSE),0)</f>
        <v>11.2</v>
      </c>
      <c r="AC21" s="12">
        <f t="shared" si="17"/>
        <v>4211.2</v>
      </c>
      <c r="AD21" s="12">
        <f t="shared" si="18"/>
        <v>842.23999999999978</v>
      </c>
      <c r="AE21" s="13">
        <f t="shared" si="19"/>
        <v>0.19999999999999996</v>
      </c>
    </row>
    <row r="22" spans="2:31" x14ac:dyDescent="0.25">
      <c r="B22" s="4"/>
      <c r="C22" s="1" t="s">
        <v>72</v>
      </c>
      <c r="D22" s="1" t="s">
        <v>58</v>
      </c>
      <c r="E22" s="3"/>
      <c r="F22" s="3"/>
      <c r="G22" s="24"/>
      <c r="H22" s="24"/>
      <c r="J22" s="1" t="s">
        <v>70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20"/>
        <v>0</v>
      </c>
      <c r="T22" s="5">
        <v>0</v>
      </c>
      <c r="U22" s="12">
        <f t="shared" si="21"/>
        <v>0</v>
      </c>
      <c r="V22" s="25" t="s">
        <v>10</v>
      </c>
      <c r="W22" s="11">
        <f>IFERROR(VLOOKUP(V22,Curr!$B$2:$C$13,2,FALSE),0)</f>
        <v>11.2</v>
      </c>
      <c r="X22" s="12">
        <f t="shared" si="22"/>
        <v>0</v>
      </c>
      <c r="Y22" s="26">
        <f t="shared" si="23"/>
        <v>0</v>
      </c>
      <c r="Z22" s="12">
        <f t="shared" si="16"/>
        <v>0</v>
      </c>
      <c r="AA22" s="4" t="s">
        <v>10</v>
      </c>
      <c r="AB22" s="11">
        <f>IFERROR(VLOOKUP(AA22,Curr!$B$2:$C$13,2,FALSE),0)</f>
        <v>11.2</v>
      </c>
      <c r="AC22" s="12">
        <f t="shared" si="17"/>
        <v>0</v>
      </c>
      <c r="AD22" s="12">
        <f t="shared" si="18"/>
        <v>0</v>
      </c>
      <c r="AE22" s="13">
        <f t="shared" si="19"/>
        <v>0</v>
      </c>
    </row>
    <row r="23" spans="2:31" x14ac:dyDescent="0.25">
      <c r="B23" s="4"/>
      <c r="C23" s="1" t="s">
        <v>72</v>
      </c>
      <c r="D23" s="1" t="s">
        <v>61</v>
      </c>
      <c r="E23" s="3"/>
      <c r="F23" s="3"/>
      <c r="G23" s="24"/>
      <c r="H23" s="24"/>
      <c r="J23" s="1" t="s">
        <v>75</v>
      </c>
      <c r="K23" s="4"/>
      <c r="L23" s="4"/>
      <c r="M23" s="4"/>
      <c r="N23" s="4"/>
      <c r="O23" s="4" t="s">
        <v>42</v>
      </c>
      <c r="P23" s="33" t="s">
        <v>76</v>
      </c>
      <c r="Q23" s="25">
        <v>89</v>
      </c>
      <c r="R23" s="25">
        <v>2</v>
      </c>
      <c r="S23" s="12">
        <f t="shared" si="20"/>
        <v>178</v>
      </c>
      <c r="T23" s="5">
        <v>0.2</v>
      </c>
      <c r="U23" s="12">
        <f t="shared" si="21"/>
        <v>142.4</v>
      </c>
      <c r="V23" s="25" t="s">
        <v>10</v>
      </c>
      <c r="W23" s="11">
        <f>IFERROR(VLOOKUP(V23,Curr!$B$2:$C$13,2,FALSE),0)</f>
        <v>11.2</v>
      </c>
      <c r="X23" s="12">
        <f t="shared" si="22"/>
        <v>1594.8799999999999</v>
      </c>
      <c r="Y23" s="26">
        <f t="shared" si="23"/>
        <v>89</v>
      </c>
      <c r="Z23" s="12">
        <f t="shared" si="16"/>
        <v>178</v>
      </c>
      <c r="AA23" s="4" t="s">
        <v>10</v>
      </c>
      <c r="AB23" s="11">
        <f>IFERROR(VLOOKUP(AA23,Curr!$B$2:$C$13,2,FALSE),0)</f>
        <v>11.2</v>
      </c>
      <c r="AC23" s="12">
        <f t="shared" si="17"/>
        <v>1993.6</v>
      </c>
      <c r="AD23" s="12">
        <f t="shared" si="18"/>
        <v>398.72</v>
      </c>
      <c r="AE23" s="13">
        <f t="shared" si="19"/>
        <v>0.2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20"/>
        <v>0</v>
      </c>
      <c r="T24" s="5">
        <v>0</v>
      </c>
      <c r="U24" s="12">
        <f t="shared" si="21"/>
        <v>0</v>
      </c>
      <c r="V24" s="25" t="s">
        <v>10</v>
      </c>
      <c r="W24" s="11">
        <f>IFERROR(VLOOKUP(V24,Curr!$B$2:$C$13,2,FALSE),0)</f>
        <v>11.2</v>
      </c>
      <c r="X24" s="12">
        <f t="shared" si="22"/>
        <v>0</v>
      </c>
      <c r="Y24" s="26">
        <f t="shared" si="23"/>
        <v>0</v>
      </c>
      <c r="Z24" s="12">
        <f t="shared" si="16"/>
        <v>0</v>
      </c>
      <c r="AA24" s="4" t="s">
        <v>10</v>
      </c>
      <c r="AB24" s="11">
        <f>IFERROR(VLOOKUP(AA24,Curr!$B$2:$C$13,2,FALSE),0)</f>
        <v>11.2</v>
      </c>
      <c r="AC24" s="12">
        <f t="shared" si="17"/>
        <v>0</v>
      </c>
      <c r="AD24" s="12">
        <f t="shared" si="18"/>
        <v>0</v>
      </c>
      <c r="AE24" s="13">
        <f t="shared" si="19"/>
        <v>0</v>
      </c>
    </row>
    <row r="25" spans="2:31" x14ac:dyDescent="0.25">
      <c r="B25" s="4"/>
      <c r="C25" s="1" t="s">
        <v>77</v>
      </c>
      <c r="D25" s="1" t="s">
        <v>61</v>
      </c>
      <c r="E25" s="3"/>
      <c r="F25" s="3"/>
      <c r="G25" s="24"/>
      <c r="H25" s="24"/>
      <c r="J25" s="1" t="s">
        <v>78</v>
      </c>
      <c r="K25" s="4"/>
      <c r="L25" s="4"/>
      <c r="M25" s="4"/>
      <c r="N25" s="4"/>
      <c r="O25" s="4" t="s">
        <v>42</v>
      </c>
      <c r="P25" s="33" t="s">
        <v>79</v>
      </c>
      <c r="Q25" s="25">
        <v>109</v>
      </c>
      <c r="R25" s="25">
        <v>2</v>
      </c>
      <c r="S25" s="12">
        <f t="shared" si="20"/>
        <v>218</v>
      </c>
      <c r="T25" s="5">
        <v>0.2</v>
      </c>
      <c r="U25" s="12">
        <f t="shared" si="21"/>
        <v>174.4</v>
      </c>
      <c r="V25" s="25" t="s">
        <v>10</v>
      </c>
      <c r="W25" s="11">
        <f>IFERROR(VLOOKUP(V25,Curr!$B$2:$C$13,2,FALSE),0)</f>
        <v>11.2</v>
      </c>
      <c r="X25" s="12">
        <f t="shared" si="22"/>
        <v>1953.28</v>
      </c>
      <c r="Y25" s="26">
        <f t="shared" si="23"/>
        <v>109</v>
      </c>
      <c r="Z25" s="12">
        <f t="shared" si="16"/>
        <v>218</v>
      </c>
      <c r="AA25" s="4" t="s">
        <v>10</v>
      </c>
      <c r="AB25" s="11">
        <f>IFERROR(VLOOKUP(AA25,Curr!$B$2:$C$13,2,FALSE),0)</f>
        <v>11.2</v>
      </c>
      <c r="AC25" s="12">
        <f t="shared" si="17"/>
        <v>2441.6</v>
      </c>
      <c r="AD25" s="12">
        <f t="shared" si="18"/>
        <v>488.31999999999994</v>
      </c>
      <c r="AE25" s="13">
        <f t="shared" si="19"/>
        <v>0.19999999999999998</v>
      </c>
    </row>
    <row r="26" spans="2:31" x14ac:dyDescent="0.25">
      <c r="B26" s="4"/>
      <c r="C26" s="1" t="s">
        <v>77</v>
      </c>
      <c r="D26" s="1" t="s">
        <v>58</v>
      </c>
      <c r="E26" s="3"/>
      <c r="F26" s="3"/>
      <c r="G26" s="24"/>
      <c r="H26" s="24"/>
      <c r="J26" s="1" t="s">
        <v>70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20"/>
        <v>0</v>
      </c>
      <c r="T26" s="5">
        <v>0</v>
      </c>
      <c r="U26" s="12">
        <f t="shared" si="21"/>
        <v>0</v>
      </c>
      <c r="V26" s="25" t="s">
        <v>10</v>
      </c>
      <c r="W26" s="11">
        <f>IFERROR(VLOOKUP(V26,Curr!$B$2:$C$13,2,FALSE),0)</f>
        <v>11.2</v>
      </c>
      <c r="X26" s="12">
        <f t="shared" si="22"/>
        <v>0</v>
      </c>
      <c r="Y26" s="26">
        <f t="shared" si="23"/>
        <v>0</v>
      </c>
      <c r="Z26" s="12">
        <f t="shared" si="16"/>
        <v>0</v>
      </c>
      <c r="AA26" s="4" t="s">
        <v>10</v>
      </c>
      <c r="AB26" s="11">
        <f>IFERROR(VLOOKUP(AA26,Curr!$B$2:$C$13,2,FALSE),0)</f>
        <v>11.2</v>
      </c>
      <c r="AC26" s="12">
        <f t="shared" si="17"/>
        <v>0</v>
      </c>
      <c r="AD26" s="12">
        <f t="shared" si="18"/>
        <v>0</v>
      </c>
      <c r="AE26" s="13">
        <f t="shared" si="19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20"/>
        <v>0</v>
      </c>
      <c r="T27" s="5">
        <v>0</v>
      </c>
      <c r="U27" s="12">
        <f t="shared" si="21"/>
        <v>0</v>
      </c>
      <c r="V27" s="25" t="s">
        <v>10</v>
      </c>
      <c r="W27" s="11">
        <f>IFERROR(VLOOKUP(V27,Curr!$B$2:$C$13,2,FALSE),0)</f>
        <v>11.2</v>
      </c>
      <c r="X27" s="12">
        <f t="shared" si="22"/>
        <v>0</v>
      </c>
      <c r="Y27" s="26">
        <f t="shared" si="23"/>
        <v>0</v>
      </c>
      <c r="Z27" s="12">
        <f t="shared" si="16"/>
        <v>0</v>
      </c>
      <c r="AA27" s="4" t="s">
        <v>10</v>
      </c>
      <c r="AB27" s="11">
        <f>IFERROR(VLOOKUP(AA27,Curr!$B$2:$C$13,2,FALSE),0)</f>
        <v>11.2</v>
      </c>
      <c r="AC27" s="12">
        <f t="shared" si="17"/>
        <v>0</v>
      </c>
      <c r="AD27" s="12">
        <f t="shared" si="18"/>
        <v>0</v>
      </c>
      <c r="AE27" s="13">
        <f t="shared" si="19"/>
        <v>0</v>
      </c>
    </row>
    <row r="28" spans="2:31" x14ac:dyDescent="0.25">
      <c r="B28" s="4"/>
      <c r="C28" s="1" t="s">
        <v>80</v>
      </c>
      <c r="D28" s="1" t="s">
        <v>56</v>
      </c>
      <c r="E28" s="3"/>
      <c r="F28" s="3"/>
      <c r="G28" s="24"/>
      <c r="H28" s="24"/>
      <c r="J28" s="1" t="s">
        <v>84</v>
      </c>
      <c r="K28" s="4"/>
      <c r="L28" s="4"/>
      <c r="M28" s="4"/>
      <c r="N28" s="4"/>
      <c r="O28" s="4"/>
      <c r="P28" s="33"/>
      <c r="Q28" s="25">
        <v>0</v>
      </c>
      <c r="R28" s="25">
        <v>0</v>
      </c>
      <c r="S28" s="12">
        <f t="shared" si="20"/>
        <v>0</v>
      </c>
      <c r="T28" s="5">
        <v>0</v>
      </c>
      <c r="U28" s="12">
        <f t="shared" si="21"/>
        <v>0</v>
      </c>
      <c r="V28" s="25" t="s">
        <v>10</v>
      </c>
      <c r="W28" s="11">
        <f>IFERROR(VLOOKUP(V28,Curr!$B$2:$C$13,2,FALSE),0)</f>
        <v>11.2</v>
      </c>
      <c r="X28" s="12">
        <f t="shared" si="22"/>
        <v>0</v>
      </c>
      <c r="Y28" s="26">
        <f t="shared" si="23"/>
        <v>0</v>
      </c>
      <c r="Z28" s="12">
        <f t="shared" si="16"/>
        <v>0</v>
      </c>
      <c r="AA28" s="4" t="s">
        <v>10</v>
      </c>
      <c r="AB28" s="11">
        <f>IFERROR(VLOOKUP(AA28,Curr!$B$2:$C$13,2,FALSE),0)</f>
        <v>11.2</v>
      </c>
      <c r="AC28" s="12">
        <f t="shared" si="17"/>
        <v>0</v>
      </c>
      <c r="AD28" s="12">
        <f t="shared" si="18"/>
        <v>0</v>
      </c>
      <c r="AE28" s="13">
        <f t="shared" si="19"/>
        <v>0</v>
      </c>
    </row>
    <row r="29" spans="2:31" x14ac:dyDescent="0.25">
      <c r="B29" s="4"/>
      <c r="C29" s="1" t="s">
        <v>80</v>
      </c>
      <c r="D29" s="1" t="s">
        <v>81</v>
      </c>
      <c r="E29" s="3"/>
      <c r="F29" s="3"/>
      <c r="G29" s="24"/>
      <c r="H29" s="24"/>
      <c r="J29" s="1" t="s">
        <v>85</v>
      </c>
      <c r="K29" s="4"/>
      <c r="L29" s="4"/>
      <c r="M29" s="4"/>
      <c r="N29" s="4" t="s">
        <v>42</v>
      </c>
      <c r="O29" s="4"/>
      <c r="P29" s="33" t="s">
        <v>86</v>
      </c>
      <c r="Q29" s="25">
        <v>50</v>
      </c>
      <c r="R29" s="25">
        <v>2</v>
      </c>
      <c r="S29" s="12">
        <f t="shared" si="20"/>
        <v>100</v>
      </c>
      <c r="T29" s="5">
        <v>0</v>
      </c>
      <c r="U29" s="12">
        <f t="shared" si="21"/>
        <v>100</v>
      </c>
      <c r="V29" s="25" t="s">
        <v>10</v>
      </c>
      <c r="W29" s="11">
        <f>IFERROR(VLOOKUP(V29,Curr!$B$2:$C$13,2,FALSE),0)</f>
        <v>11.2</v>
      </c>
      <c r="X29" s="12">
        <f t="shared" si="22"/>
        <v>1120</v>
      </c>
      <c r="Y29" s="26">
        <f>Q29/0.8</f>
        <v>62.5</v>
      </c>
      <c r="Z29" s="12">
        <f t="shared" si="16"/>
        <v>125</v>
      </c>
      <c r="AA29" s="4" t="s">
        <v>10</v>
      </c>
      <c r="AB29" s="11">
        <f>IFERROR(VLOOKUP(AA29,Curr!$B$2:$C$13,2,FALSE),0)</f>
        <v>11.2</v>
      </c>
      <c r="AC29" s="12">
        <f t="shared" si="17"/>
        <v>1400</v>
      </c>
      <c r="AD29" s="12">
        <f t="shared" si="18"/>
        <v>280</v>
      </c>
      <c r="AE29" s="13">
        <f t="shared" si="19"/>
        <v>0.2</v>
      </c>
    </row>
    <row r="30" spans="2:31" x14ac:dyDescent="0.25">
      <c r="B30" s="4"/>
      <c r="C30" s="1" t="s">
        <v>80</v>
      </c>
      <c r="D30" s="1" t="s">
        <v>57</v>
      </c>
      <c r="E30" s="3"/>
      <c r="F30" s="3"/>
      <c r="G30" s="24"/>
      <c r="H30" s="24"/>
      <c r="J30" s="1" t="s">
        <v>88</v>
      </c>
      <c r="K30" s="4"/>
      <c r="L30" s="4"/>
      <c r="M30" s="4"/>
      <c r="N30" s="4" t="s">
        <v>42</v>
      </c>
      <c r="O30" s="4"/>
      <c r="P30" s="27"/>
      <c r="Q30" s="25">
        <f>58+58+538</f>
        <v>654</v>
      </c>
      <c r="R30" s="25">
        <v>1</v>
      </c>
      <c r="S30" s="12">
        <f t="shared" si="20"/>
        <v>654</v>
      </c>
      <c r="T30" s="5">
        <v>0</v>
      </c>
      <c r="U30" s="12">
        <f t="shared" si="21"/>
        <v>654</v>
      </c>
      <c r="V30" s="25" t="s">
        <v>10</v>
      </c>
      <c r="W30" s="11">
        <f>IFERROR(VLOOKUP(V30,Curr!$B$2:$C$13,2,FALSE),0)</f>
        <v>11.2</v>
      </c>
      <c r="X30" s="12">
        <f t="shared" si="22"/>
        <v>7324.7999999999993</v>
      </c>
      <c r="Y30" s="26">
        <f>Q30/0.8</f>
        <v>817.5</v>
      </c>
      <c r="Z30" s="12">
        <f t="shared" si="16"/>
        <v>817.5</v>
      </c>
      <c r="AA30" s="4" t="s">
        <v>10</v>
      </c>
      <c r="AB30" s="11">
        <f>IFERROR(VLOOKUP(AA30,Curr!$B$2:$C$13,2,FALSE),0)</f>
        <v>11.2</v>
      </c>
      <c r="AC30" s="12">
        <f t="shared" si="17"/>
        <v>9156</v>
      </c>
      <c r="AD30" s="12">
        <f t="shared" si="18"/>
        <v>1831.2000000000007</v>
      </c>
      <c r="AE30" s="13">
        <f t="shared" si="19"/>
        <v>0.20000000000000007</v>
      </c>
    </row>
    <row r="31" spans="2:31" x14ac:dyDescent="0.25">
      <c r="B31" s="4"/>
      <c r="C31" s="1" t="s">
        <v>80</v>
      </c>
      <c r="D31" s="1" t="s">
        <v>61</v>
      </c>
      <c r="E31" s="3"/>
      <c r="F31" s="3"/>
      <c r="G31" s="24"/>
      <c r="H31" s="24"/>
      <c r="J31" s="1" t="s">
        <v>87</v>
      </c>
      <c r="K31" s="4"/>
      <c r="L31" s="4"/>
      <c r="M31" s="4"/>
      <c r="N31" s="4" t="s">
        <v>42</v>
      </c>
      <c r="O31" s="4"/>
      <c r="P31" s="27"/>
      <c r="Q31" s="25">
        <v>111</v>
      </c>
      <c r="R31" s="25">
        <v>2</v>
      </c>
      <c r="S31" s="12">
        <f t="shared" si="20"/>
        <v>222</v>
      </c>
      <c r="T31" s="5">
        <v>0</v>
      </c>
      <c r="U31" s="12">
        <f t="shared" si="21"/>
        <v>222</v>
      </c>
      <c r="V31" s="25" t="s">
        <v>10</v>
      </c>
      <c r="W31" s="11">
        <f>IFERROR(VLOOKUP(V31,Curr!$B$2:$C$13,2,FALSE),0)</f>
        <v>11.2</v>
      </c>
      <c r="X31" s="12">
        <f t="shared" si="22"/>
        <v>2486.3999999999996</v>
      </c>
      <c r="Y31" s="26">
        <f>Q31/0.8</f>
        <v>138.75</v>
      </c>
      <c r="Z31" s="12">
        <f t="shared" si="16"/>
        <v>277.5</v>
      </c>
      <c r="AA31" s="4" t="s">
        <v>10</v>
      </c>
      <c r="AB31" s="11">
        <f>IFERROR(VLOOKUP(AA31,Curr!$B$2:$C$13,2,FALSE),0)</f>
        <v>11.2</v>
      </c>
      <c r="AC31" s="12">
        <f t="shared" si="17"/>
        <v>3108</v>
      </c>
      <c r="AD31" s="12">
        <f t="shared" si="18"/>
        <v>621.60000000000036</v>
      </c>
      <c r="AE31" s="13">
        <f t="shared" si="19"/>
        <v>0.20000000000000012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20"/>
        <v>0</v>
      </c>
      <c r="T32" s="5">
        <v>0</v>
      </c>
      <c r="U32" s="12">
        <f t="shared" si="21"/>
        <v>0</v>
      </c>
      <c r="V32" s="25" t="s">
        <v>10</v>
      </c>
      <c r="W32" s="11">
        <f>IFERROR(VLOOKUP(V32,Curr!$B$2:$C$13,2,FALSE),0)</f>
        <v>11.2</v>
      </c>
      <c r="X32" s="12">
        <f t="shared" si="22"/>
        <v>0</v>
      </c>
      <c r="Y32" s="26">
        <f t="shared" si="23"/>
        <v>0</v>
      </c>
      <c r="Z32" s="12">
        <f t="shared" si="16"/>
        <v>0</v>
      </c>
      <c r="AA32" s="4" t="s">
        <v>10</v>
      </c>
      <c r="AB32" s="11">
        <f>IFERROR(VLOOKUP(AA32,Curr!$B$2:$C$13,2,FALSE),0)</f>
        <v>11.2</v>
      </c>
      <c r="AC32" s="12">
        <f t="shared" si="17"/>
        <v>0</v>
      </c>
      <c r="AD32" s="12">
        <f t="shared" si="18"/>
        <v>0</v>
      </c>
      <c r="AE32" s="13">
        <f t="shared" si="19"/>
        <v>0</v>
      </c>
    </row>
    <row r="33" spans="2:31" x14ac:dyDescent="0.25">
      <c r="B33" s="4"/>
      <c r="C33" s="1" t="s">
        <v>82</v>
      </c>
      <c r="D33" s="1" t="s">
        <v>56</v>
      </c>
      <c r="E33" s="3"/>
      <c r="F33" s="3"/>
      <c r="G33" s="24"/>
      <c r="H33" s="24"/>
      <c r="J33" s="1" t="s">
        <v>168</v>
      </c>
      <c r="K33" s="4"/>
      <c r="L33" s="4"/>
      <c r="M33" s="4"/>
      <c r="N33" s="4" t="s">
        <v>42</v>
      </c>
      <c r="O33" s="4"/>
      <c r="P33" s="27"/>
      <c r="Q33" s="25">
        <v>49</v>
      </c>
      <c r="R33" s="25">
        <v>2</v>
      </c>
      <c r="S33" s="12">
        <f t="shared" si="20"/>
        <v>98</v>
      </c>
      <c r="T33" s="5">
        <v>0</v>
      </c>
      <c r="U33" s="12">
        <f t="shared" si="21"/>
        <v>98</v>
      </c>
      <c r="V33" s="25" t="s">
        <v>10</v>
      </c>
      <c r="W33" s="11">
        <f>IFERROR(VLOOKUP(V33,Curr!$B$2:$C$13,2,FALSE),0)</f>
        <v>11.2</v>
      </c>
      <c r="X33" s="12">
        <f t="shared" si="22"/>
        <v>1097.5999999999999</v>
      </c>
      <c r="Y33" s="26">
        <f>Q33/0.8</f>
        <v>61.25</v>
      </c>
      <c r="Z33" s="12">
        <f t="shared" si="16"/>
        <v>122.5</v>
      </c>
      <c r="AA33" s="4" t="s">
        <v>10</v>
      </c>
      <c r="AB33" s="11">
        <f>IFERROR(VLOOKUP(AA33,Curr!$B$2:$C$13,2,FALSE),0)</f>
        <v>11.2</v>
      </c>
      <c r="AC33" s="12">
        <f t="shared" si="17"/>
        <v>1372</v>
      </c>
      <c r="AD33" s="12">
        <f t="shared" si="18"/>
        <v>274.40000000000009</v>
      </c>
      <c r="AE33" s="13">
        <f t="shared" si="19"/>
        <v>0.20000000000000007</v>
      </c>
    </row>
    <row r="34" spans="2:31" x14ac:dyDescent="0.25">
      <c r="B34" s="4"/>
      <c r="C34" s="1" t="s">
        <v>82</v>
      </c>
      <c r="D34" s="1" t="s">
        <v>83</v>
      </c>
      <c r="E34" s="3"/>
      <c r="F34" s="3"/>
      <c r="G34" s="24"/>
      <c r="H34" s="24"/>
      <c r="J34" s="1" t="s">
        <v>89</v>
      </c>
      <c r="K34" s="4"/>
      <c r="L34" s="4"/>
      <c r="M34" s="4"/>
      <c r="N34" s="4"/>
      <c r="O34" s="4"/>
      <c r="P34" s="33"/>
      <c r="Q34" s="25">
        <v>0</v>
      </c>
      <c r="R34" s="25">
        <v>0</v>
      </c>
      <c r="S34" s="12">
        <f t="shared" si="20"/>
        <v>0</v>
      </c>
      <c r="T34" s="5">
        <v>0</v>
      </c>
      <c r="U34" s="12">
        <f t="shared" si="21"/>
        <v>0</v>
      </c>
      <c r="V34" s="25" t="s">
        <v>10</v>
      </c>
      <c r="W34" s="11">
        <f>IFERROR(VLOOKUP(V34,Curr!$B$2:$C$13,2,FALSE),0)</f>
        <v>11.2</v>
      </c>
      <c r="X34" s="12">
        <f t="shared" si="22"/>
        <v>0</v>
      </c>
      <c r="Y34" s="26">
        <f t="shared" si="23"/>
        <v>0</v>
      </c>
      <c r="Z34" s="12">
        <f t="shared" si="16"/>
        <v>0</v>
      </c>
      <c r="AA34" s="4" t="s">
        <v>10</v>
      </c>
      <c r="AB34" s="11">
        <f>IFERROR(VLOOKUP(AA34,Curr!$B$2:$C$13,2,FALSE),0)</f>
        <v>11.2</v>
      </c>
      <c r="AC34" s="12">
        <f t="shared" si="17"/>
        <v>0</v>
      </c>
      <c r="AD34" s="12">
        <f t="shared" si="18"/>
        <v>0</v>
      </c>
      <c r="AE34" s="13">
        <f t="shared" si="19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33"/>
      <c r="Q35" s="25"/>
      <c r="R35" s="25"/>
      <c r="S35" s="12">
        <f t="shared" si="20"/>
        <v>0</v>
      </c>
      <c r="T35" s="5">
        <v>0</v>
      </c>
      <c r="U35" s="12">
        <f t="shared" si="21"/>
        <v>0</v>
      </c>
      <c r="V35" s="25" t="s">
        <v>10</v>
      </c>
      <c r="W35" s="11">
        <f>IFERROR(VLOOKUP(V35,Curr!$B$2:$C$13,2,FALSE),0)</f>
        <v>11.2</v>
      </c>
      <c r="X35" s="12">
        <f t="shared" si="22"/>
        <v>0</v>
      </c>
      <c r="Y35" s="26">
        <f t="shared" si="23"/>
        <v>0</v>
      </c>
      <c r="Z35" s="12">
        <f t="shared" si="16"/>
        <v>0</v>
      </c>
      <c r="AA35" s="4" t="s">
        <v>10</v>
      </c>
      <c r="AB35" s="11">
        <f>IFERROR(VLOOKUP(AA35,Curr!$B$2:$C$13,2,FALSE),0)</f>
        <v>11.2</v>
      </c>
      <c r="AC35" s="12">
        <f t="shared" si="17"/>
        <v>0</v>
      </c>
      <c r="AD35" s="12">
        <f t="shared" si="18"/>
        <v>0</v>
      </c>
      <c r="AE35" s="13">
        <f t="shared" si="19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20"/>
        <v>0</v>
      </c>
      <c r="T36" s="5">
        <v>0</v>
      </c>
      <c r="U36" s="12">
        <f t="shared" si="21"/>
        <v>0</v>
      </c>
      <c r="V36" s="25" t="s">
        <v>10</v>
      </c>
      <c r="W36" s="11">
        <f>IFERROR(VLOOKUP(V36,Curr!$B$2:$C$13,2,FALSE),0)</f>
        <v>11.2</v>
      </c>
      <c r="X36" s="12">
        <f t="shared" si="22"/>
        <v>0</v>
      </c>
      <c r="Y36" s="26">
        <f t="shared" si="23"/>
        <v>0</v>
      </c>
      <c r="Z36" s="12">
        <f t="shared" si="16"/>
        <v>0</v>
      </c>
      <c r="AA36" s="4" t="s">
        <v>10</v>
      </c>
      <c r="AB36" s="11">
        <f>IFERROR(VLOOKUP(AA36,Curr!$B$2:$C$13,2,FALSE),0)</f>
        <v>11.2</v>
      </c>
      <c r="AC36" s="12">
        <f t="shared" si="17"/>
        <v>0</v>
      </c>
      <c r="AD36" s="12">
        <f t="shared" si="18"/>
        <v>0</v>
      </c>
      <c r="AE36" s="13">
        <f t="shared" si="19"/>
        <v>0</v>
      </c>
    </row>
    <row r="37" spans="2:31" x14ac:dyDescent="0.25">
      <c r="B37" s="4"/>
      <c r="C37" s="1" t="s">
        <v>54</v>
      </c>
      <c r="D37" s="1" t="s">
        <v>97</v>
      </c>
      <c r="E37" s="3"/>
      <c r="F37" s="3"/>
      <c r="G37" s="24"/>
      <c r="H37" s="24"/>
      <c r="J37" s="1" t="s">
        <v>90</v>
      </c>
      <c r="K37" s="4"/>
      <c r="L37" s="4"/>
      <c r="M37" s="4"/>
      <c r="N37" s="4"/>
      <c r="O37" s="4" t="s">
        <v>42</v>
      </c>
      <c r="P37" s="27"/>
      <c r="Q37" s="25">
        <v>80</v>
      </c>
      <c r="R37" s="25">
        <v>0</v>
      </c>
      <c r="S37" s="12">
        <f t="shared" si="20"/>
        <v>0</v>
      </c>
      <c r="T37" s="5">
        <v>0</v>
      </c>
      <c r="U37" s="12">
        <f t="shared" si="21"/>
        <v>0</v>
      </c>
      <c r="V37" s="25" t="s">
        <v>10</v>
      </c>
      <c r="W37" s="11">
        <f>IFERROR(VLOOKUP(V37,Curr!$B$2:$C$13,2,FALSE),0)</f>
        <v>11.2</v>
      </c>
      <c r="X37" s="12">
        <f t="shared" si="22"/>
        <v>0</v>
      </c>
      <c r="Y37" s="26">
        <f>Q37/0.8</f>
        <v>100</v>
      </c>
      <c r="Z37" s="12">
        <f t="shared" si="16"/>
        <v>0</v>
      </c>
      <c r="AA37" s="4" t="s">
        <v>10</v>
      </c>
      <c r="AB37" s="11">
        <f>IFERROR(VLOOKUP(AA37,Curr!$B$2:$C$13,2,FALSE),0)</f>
        <v>11.2</v>
      </c>
      <c r="AC37" s="12">
        <f t="shared" si="17"/>
        <v>0</v>
      </c>
      <c r="AD37" s="12">
        <f t="shared" si="18"/>
        <v>0</v>
      </c>
      <c r="AE37" s="13">
        <f t="shared" si="19"/>
        <v>0</v>
      </c>
    </row>
    <row r="38" spans="2:31" x14ac:dyDescent="0.25">
      <c r="B38" s="4"/>
      <c r="C38" s="1" t="s">
        <v>60</v>
      </c>
      <c r="D38" s="1" t="s">
        <v>97</v>
      </c>
      <c r="E38" s="3"/>
      <c r="F38" s="3"/>
      <c r="G38" s="24"/>
      <c r="H38" s="24"/>
      <c r="J38" s="1" t="s">
        <v>95</v>
      </c>
      <c r="K38" s="4"/>
      <c r="L38" s="4"/>
      <c r="M38" s="4"/>
      <c r="N38" s="4"/>
      <c r="O38" s="4" t="s">
        <v>42</v>
      </c>
      <c r="P38" s="33"/>
      <c r="Q38" s="25">
        <v>60</v>
      </c>
      <c r="R38" s="25">
        <v>0</v>
      </c>
      <c r="S38" s="12">
        <f t="shared" ref="S38:S40" si="25">+Q38*R38</f>
        <v>0</v>
      </c>
      <c r="T38" s="5">
        <v>0</v>
      </c>
      <c r="U38" s="12">
        <f t="shared" ref="U38:U40" si="26">S38*(1-T38)</f>
        <v>0</v>
      </c>
      <c r="V38" s="25" t="s">
        <v>10</v>
      </c>
      <c r="W38" s="11">
        <f>IFERROR(VLOOKUP(V38,Curr!$B$2:$C$13,2,FALSE),0)</f>
        <v>11.2</v>
      </c>
      <c r="X38" s="12">
        <f t="shared" ref="X38:X40" si="27">U38*W38</f>
        <v>0</v>
      </c>
      <c r="Y38" s="26">
        <f>Q38/0.75</f>
        <v>80</v>
      </c>
      <c r="Z38" s="12">
        <f t="shared" si="16"/>
        <v>0</v>
      </c>
      <c r="AA38" s="4" t="s">
        <v>10</v>
      </c>
      <c r="AB38" s="11">
        <f>IFERROR(VLOOKUP(AA38,Curr!$B$2:$C$13,2,FALSE),0)</f>
        <v>11.2</v>
      </c>
      <c r="AC38" s="12">
        <f t="shared" si="17"/>
        <v>0</v>
      </c>
      <c r="AD38" s="12">
        <f t="shared" si="18"/>
        <v>0</v>
      </c>
      <c r="AE38" s="13">
        <f t="shared" si="19"/>
        <v>0</v>
      </c>
    </row>
    <row r="39" spans="2:31" x14ac:dyDescent="0.25">
      <c r="B39" s="4"/>
      <c r="C39" s="1" t="s">
        <v>68</v>
      </c>
      <c r="D39" s="1" t="s">
        <v>97</v>
      </c>
      <c r="E39" s="3"/>
      <c r="F39" s="3"/>
      <c r="G39" s="24"/>
      <c r="H39" s="24"/>
      <c r="J39" s="1" t="s">
        <v>96</v>
      </c>
      <c r="K39" s="4"/>
      <c r="L39" s="4"/>
      <c r="M39" s="4"/>
      <c r="N39" s="4"/>
      <c r="O39" s="4" t="s">
        <v>42</v>
      </c>
      <c r="P39" s="27"/>
      <c r="Q39" s="25">
        <v>40</v>
      </c>
      <c r="R39" s="25">
        <v>0</v>
      </c>
      <c r="S39" s="12">
        <f t="shared" si="25"/>
        <v>0</v>
      </c>
      <c r="T39" s="5">
        <v>0</v>
      </c>
      <c r="U39" s="12">
        <f t="shared" si="26"/>
        <v>0</v>
      </c>
      <c r="V39" s="25" t="s">
        <v>10</v>
      </c>
      <c r="W39" s="11">
        <f>IFERROR(VLOOKUP(V39,Curr!$B$2:$C$13,2,FALSE),0)</f>
        <v>11.2</v>
      </c>
      <c r="X39" s="12">
        <f t="shared" si="27"/>
        <v>0</v>
      </c>
      <c r="Y39" s="26">
        <f>Q39/0.665</f>
        <v>60.150375939849624</v>
      </c>
      <c r="Z39" s="12">
        <f t="shared" si="16"/>
        <v>0</v>
      </c>
      <c r="AA39" s="4" t="s">
        <v>10</v>
      </c>
      <c r="AB39" s="11">
        <f>IFERROR(VLOOKUP(AA39,Curr!$B$2:$C$13,2,FALSE),0)</f>
        <v>11.2</v>
      </c>
      <c r="AC39" s="12">
        <f t="shared" si="17"/>
        <v>0</v>
      </c>
      <c r="AD39" s="12">
        <f t="shared" si="18"/>
        <v>0</v>
      </c>
      <c r="AE39" s="13">
        <f t="shared" si="19"/>
        <v>0</v>
      </c>
    </row>
    <row r="40" spans="2:31" x14ac:dyDescent="0.25">
      <c r="B40" s="4"/>
      <c r="C40" s="1" t="s">
        <v>80</v>
      </c>
      <c r="D40" s="1" t="s">
        <v>97</v>
      </c>
      <c r="E40" s="3"/>
      <c r="F40" s="3"/>
      <c r="G40" s="24"/>
      <c r="H40" s="24"/>
      <c r="J40" s="1" t="s">
        <v>106</v>
      </c>
      <c r="K40" s="4"/>
      <c r="L40" s="4"/>
      <c r="M40" s="4"/>
      <c r="N40" s="4"/>
      <c r="O40" s="4" t="s">
        <v>42</v>
      </c>
      <c r="P40" s="27"/>
      <c r="Q40" s="25">
        <v>40</v>
      </c>
      <c r="R40" s="25">
        <v>0</v>
      </c>
      <c r="S40" s="12">
        <f t="shared" si="25"/>
        <v>0</v>
      </c>
      <c r="T40" s="5">
        <v>0</v>
      </c>
      <c r="U40" s="12">
        <f t="shared" si="26"/>
        <v>0</v>
      </c>
      <c r="V40" s="25" t="s">
        <v>10</v>
      </c>
      <c r="W40" s="11">
        <f>IFERROR(VLOOKUP(V40,Curr!$B$2:$C$13,2,FALSE),0)</f>
        <v>11.2</v>
      </c>
      <c r="X40" s="12">
        <f t="shared" si="27"/>
        <v>0</v>
      </c>
      <c r="Y40" s="26">
        <f>Q40/0.665</f>
        <v>60.150375939849624</v>
      </c>
      <c r="Z40" s="12">
        <f t="shared" si="16"/>
        <v>0</v>
      </c>
      <c r="AA40" s="4" t="s">
        <v>10</v>
      </c>
      <c r="AB40" s="11">
        <f>IFERROR(VLOOKUP(AA40,Curr!$B$2:$C$13,2,FALSE),0)</f>
        <v>11.2</v>
      </c>
      <c r="AC40" s="12">
        <f t="shared" si="17"/>
        <v>0</v>
      </c>
      <c r="AD40" s="12">
        <f t="shared" si="18"/>
        <v>0</v>
      </c>
      <c r="AE40" s="13">
        <f t="shared" si="19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27"/>
      <c r="Q41" s="25"/>
      <c r="R41" s="25"/>
      <c r="S41" s="12">
        <f t="shared" ref="S41" si="28">+Q41*R41</f>
        <v>0</v>
      </c>
      <c r="T41" s="5">
        <v>0</v>
      </c>
      <c r="U41" s="12">
        <f t="shared" ref="U41" si="29">S41*(1-T41)</f>
        <v>0</v>
      </c>
      <c r="V41" s="25" t="s">
        <v>10</v>
      </c>
      <c r="W41" s="11">
        <f>IFERROR(VLOOKUP(V41,Curr!$B$2:$C$13,2,FALSE),0)</f>
        <v>11.2</v>
      </c>
      <c r="X41" s="12">
        <f t="shared" ref="X41" si="30">U41*W41</f>
        <v>0</v>
      </c>
      <c r="Y41" s="26">
        <f>Q41/0.665</f>
        <v>0</v>
      </c>
      <c r="Z41" s="12">
        <f t="shared" si="16"/>
        <v>0</v>
      </c>
      <c r="AA41" s="4" t="s">
        <v>10</v>
      </c>
      <c r="AB41" s="11">
        <f>IFERROR(VLOOKUP(AA41,Curr!$B$2:$C$13,2,FALSE),0)</f>
        <v>11.2</v>
      </c>
      <c r="AC41" s="12">
        <f t="shared" si="17"/>
        <v>0</v>
      </c>
      <c r="AD41" s="12">
        <f t="shared" si="18"/>
        <v>0</v>
      </c>
      <c r="AE41" s="13">
        <f t="shared" si="19"/>
        <v>0</v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/>
      <c r="R42" s="25"/>
      <c r="S42" s="12">
        <f t="shared" si="20"/>
        <v>0</v>
      </c>
      <c r="T42" s="5">
        <v>0</v>
      </c>
      <c r="U42" s="12">
        <f t="shared" si="21"/>
        <v>0</v>
      </c>
      <c r="V42" s="25" t="s">
        <v>10</v>
      </c>
      <c r="W42" s="11">
        <f>IFERROR(VLOOKUP(V42,Curr!$B$2:$C$13,2,FALSE),0)</f>
        <v>11.2</v>
      </c>
      <c r="X42" s="12">
        <f t="shared" si="22"/>
        <v>0</v>
      </c>
      <c r="Y42" s="26">
        <f t="shared" si="23"/>
        <v>0</v>
      </c>
      <c r="Z42" s="12">
        <f t="shared" si="16"/>
        <v>0</v>
      </c>
      <c r="AA42" s="4" t="s">
        <v>10</v>
      </c>
      <c r="AB42" s="11">
        <f>IFERROR(VLOOKUP(AA42,Curr!$B$2:$C$13,2,FALSE),0)</f>
        <v>11.2</v>
      </c>
      <c r="AC42" s="12">
        <f t="shared" si="17"/>
        <v>0</v>
      </c>
      <c r="AD42" s="12">
        <f t="shared" si="18"/>
        <v>0</v>
      </c>
      <c r="AE42" s="13">
        <f t="shared" si="19"/>
        <v>0</v>
      </c>
    </row>
    <row r="43" spans="2:31" x14ac:dyDescent="0.25">
      <c r="B43" s="4"/>
      <c r="C43" s="1" t="s">
        <v>60</v>
      </c>
      <c r="D43" s="1" t="s">
        <v>98</v>
      </c>
      <c r="E43" s="3"/>
      <c r="F43" s="3"/>
      <c r="G43" s="24"/>
      <c r="H43" s="24"/>
      <c r="J43" s="1" t="s">
        <v>91</v>
      </c>
      <c r="K43" s="4"/>
      <c r="L43" s="4"/>
      <c r="M43" s="4"/>
      <c r="N43" s="4"/>
      <c r="O43" s="4" t="s">
        <v>42</v>
      </c>
      <c r="P43" s="29" t="s">
        <v>92</v>
      </c>
      <c r="Q43" s="25">
        <f>(40+40)+(50*2)</f>
        <v>180</v>
      </c>
      <c r="R43" s="25">
        <v>0</v>
      </c>
      <c r="S43" s="12">
        <f t="shared" si="20"/>
        <v>0</v>
      </c>
      <c r="T43" s="5">
        <v>0</v>
      </c>
      <c r="U43" s="12">
        <f t="shared" si="21"/>
        <v>0</v>
      </c>
      <c r="V43" s="25" t="s">
        <v>10</v>
      </c>
      <c r="W43" s="11">
        <f>IFERROR(VLOOKUP(V43,Curr!$B$2:$C$13,2,FALSE),0)</f>
        <v>11.2</v>
      </c>
      <c r="X43" s="12">
        <f t="shared" si="22"/>
        <v>0</v>
      </c>
      <c r="Y43" s="26">
        <f>Q43/0.8</f>
        <v>225</v>
      </c>
      <c r="Z43" s="12">
        <f t="shared" si="16"/>
        <v>0</v>
      </c>
      <c r="AA43" s="4" t="s">
        <v>10</v>
      </c>
      <c r="AB43" s="11">
        <f>IFERROR(VLOOKUP(AA43,Curr!$B$2:$C$13,2,FALSE),0)</f>
        <v>11.2</v>
      </c>
      <c r="AC43" s="12">
        <f t="shared" si="17"/>
        <v>0</v>
      </c>
      <c r="AD43" s="12">
        <f t="shared" si="18"/>
        <v>0</v>
      </c>
      <c r="AE43" s="13">
        <f t="shared" si="19"/>
        <v>0</v>
      </c>
    </row>
    <row r="44" spans="2:31" x14ac:dyDescent="0.25">
      <c r="B44" s="4"/>
      <c r="C44" s="1" t="s">
        <v>60</v>
      </c>
      <c r="D44" s="1" t="s">
        <v>98</v>
      </c>
      <c r="E44" s="3"/>
      <c r="F44" s="3"/>
      <c r="G44" s="24"/>
      <c r="H44" s="24"/>
      <c r="J44" s="1" t="s">
        <v>93</v>
      </c>
      <c r="K44" s="4"/>
      <c r="L44" s="4"/>
      <c r="M44" s="4"/>
      <c r="N44" s="4"/>
      <c r="O44" s="4" t="s">
        <v>42</v>
      </c>
      <c r="P44" s="33" t="s">
        <v>94</v>
      </c>
      <c r="Q44" s="25">
        <v>25</v>
      </c>
      <c r="R44" s="25">
        <v>0</v>
      </c>
      <c r="S44" s="12">
        <f t="shared" si="20"/>
        <v>0</v>
      </c>
      <c r="T44" s="5">
        <v>0</v>
      </c>
      <c r="U44" s="12">
        <f t="shared" si="21"/>
        <v>0</v>
      </c>
      <c r="V44" s="25" t="s">
        <v>10</v>
      </c>
      <c r="W44" s="11">
        <f>IFERROR(VLOOKUP(V44,Curr!$B$2:$C$13,2,FALSE),0)</f>
        <v>11.2</v>
      </c>
      <c r="X44" s="12">
        <f t="shared" si="22"/>
        <v>0</v>
      </c>
      <c r="Y44" s="26">
        <f>Q44/0.62</f>
        <v>40.322580645161288</v>
      </c>
      <c r="Z44" s="12">
        <f t="shared" si="16"/>
        <v>0</v>
      </c>
      <c r="AA44" s="4" t="s">
        <v>10</v>
      </c>
      <c r="AB44" s="11">
        <f>IFERROR(VLOOKUP(AA44,Curr!$B$2:$C$13,2,FALSE),0)</f>
        <v>11.2</v>
      </c>
      <c r="AC44" s="12">
        <f t="shared" si="17"/>
        <v>0</v>
      </c>
      <c r="AD44" s="12">
        <f t="shared" si="18"/>
        <v>0</v>
      </c>
      <c r="AE44" s="13">
        <f t="shared" si="19"/>
        <v>0</v>
      </c>
    </row>
    <row r="45" spans="2:31" x14ac:dyDescent="0.25">
      <c r="B45" s="4"/>
      <c r="C45" s="1" t="s">
        <v>72</v>
      </c>
      <c r="D45" s="1" t="s">
        <v>98</v>
      </c>
      <c r="E45" s="3"/>
      <c r="F45" s="3"/>
      <c r="G45" s="24"/>
      <c r="H45" s="24"/>
      <c r="J45" s="1" t="s">
        <v>99</v>
      </c>
      <c r="K45" s="4"/>
      <c r="L45" s="4"/>
      <c r="M45" s="4"/>
      <c r="N45" s="4"/>
      <c r="O45" s="4" t="s">
        <v>42</v>
      </c>
      <c r="P45" s="33" t="s">
        <v>100</v>
      </c>
      <c r="Q45" s="25">
        <v>252</v>
      </c>
      <c r="R45" s="25">
        <v>0</v>
      </c>
      <c r="S45" s="12">
        <f t="shared" si="20"/>
        <v>0</v>
      </c>
      <c r="T45" s="5">
        <v>0.2</v>
      </c>
      <c r="U45" s="12">
        <f t="shared" si="21"/>
        <v>0</v>
      </c>
      <c r="V45" s="25" t="s">
        <v>10</v>
      </c>
      <c r="W45" s="11">
        <f>IFERROR(VLOOKUP(V45,Curr!$B$2:$C$13,2,FALSE),0)</f>
        <v>11.2</v>
      </c>
      <c r="X45" s="12">
        <f t="shared" si="22"/>
        <v>0</v>
      </c>
      <c r="Y45" s="26">
        <f t="shared" ref="Y45" si="31">Q45</f>
        <v>252</v>
      </c>
      <c r="Z45" s="12">
        <f t="shared" si="16"/>
        <v>0</v>
      </c>
      <c r="AA45" s="4" t="s">
        <v>10</v>
      </c>
      <c r="AB45" s="11">
        <f>IFERROR(VLOOKUP(AA45,Curr!$B$2:$C$13,2,FALSE),0)</f>
        <v>11.2</v>
      </c>
      <c r="AC45" s="12">
        <f t="shared" si="17"/>
        <v>0</v>
      </c>
      <c r="AD45" s="12">
        <f t="shared" si="18"/>
        <v>0</v>
      </c>
      <c r="AE45" s="13">
        <f t="shared" si="19"/>
        <v>0</v>
      </c>
    </row>
    <row r="46" spans="2:31" x14ac:dyDescent="0.25">
      <c r="B46" s="4"/>
      <c r="C46" s="1" t="s">
        <v>77</v>
      </c>
      <c r="D46" s="1" t="s">
        <v>98</v>
      </c>
      <c r="E46" s="3"/>
      <c r="F46" s="3"/>
      <c r="G46" s="24"/>
      <c r="H46" s="24"/>
      <c r="J46" s="1" t="s">
        <v>101</v>
      </c>
      <c r="K46" s="4"/>
      <c r="L46" s="4"/>
      <c r="M46" s="4"/>
      <c r="N46" s="4"/>
      <c r="O46" s="4" t="s">
        <v>42</v>
      </c>
      <c r="P46" s="33" t="s">
        <v>102</v>
      </c>
      <c r="Q46" s="25">
        <v>500</v>
      </c>
      <c r="R46" s="25">
        <v>0</v>
      </c>
      <c r="S46" s="12">
        <f t="shared" si="20"/>
        <v>0</v>
      </c>
      <c r="T46" s="5">
        <v>0.12</v>
      </c>
      <c r="U46" s="12">
        <f t="shared" si="21"/>
        <v>0</v>
      </c>
      <c r="V46" s="25" t="s">
        <v>10</v>
      </c>
      <c r="W46" s="11">
        <f>IFERROR(VLOOKUP(V46,Curr!$B$2:$C$13,2,FALSE),0)</f>
        <v>11.2</v>
      </c>
      <c r="X46" s="12">
        <f t="shared" si="22"/>
        <v>0</v>
      </c>
      <c r="Y46" s="26">
        <f>Q46/0.97</f>
        <v>515.46391752577324</v>
      </c>
      <c r="Z46" s="12">
        <f t="shared" si="16"/>
        <v>0</v>
      </c>
      <c r="AA46" s="4" t="s">
        <v>10</v>
      </c>
      <c r="AB46" s="11">
        <f>IFERROR(VLOOKUP(AA46,Curr!$B$2:$C$13,2,FALSE),0)</f>
        <v>11.2</v>
      </c>
      <c r="AC46" s="12">
        <f t="shared" si="17"/>
        <v>0</v>
      </c>
      <c r="AD46" s="12">
        <f t="shared" si="18"/>
        <v>0</v>
      </c>
      <c r="AE46" s="13">
        <f t="shared" si="19"/>
        <v>0</v>
      </c>
    </row>
    <row r="47" spans="2:31" x14ac:dyDescent="0.25">
      <c r="B47" s="4"/>
      <c r="C47" s="1" t="s">
        <v>77</v>
      </c>
      <c r="D47" s="1" t="s">
        <v>98</v>
      </c>
      <c r="E47" s="3"/>
      <c r="F47" s="3"/>
      <c r="G47" s="24"/>
      <c r="H47" s="24"/>
      <c r="J47" s="1" t="s">
        <v>169</v>
      </c>
      <c r="K47" s="4"/>
      <c r="L47" s="4"/>
      <c r="M47" s="4"/>
      <c r="N47" s="4"/>
      <c r="O47" s="4"/>
      <c r="P47" s="27" t="s">
        <v>148</v>
      </c>
      <c r="Q47" s="25">
        <v>159</v>
      </c>
      <c r="R47" s="25">
        <v>0</v>
      </c>
      <c r="S47" s="12">
        <f t="shared" si="20"/>
        <v>0</v>
      </c>
      <c r="T47" s="5">
        <v>0.3</v>
      </c>
      <c r="U47" s="12">
        <f t="shared" si="21"/>
        <v>0</v>
      </c>
      <c r="V47" s="25" t="s">
        <v>10</v>
      </c>
      <c r="W47" s="11">
        <f>IFERROR(VLOOKUP(V47,Curr!$B$2:$C$13,2,FALSE),0)</f>
        <v>11.2</v>
      </c>
      <c r="X47" s="12">
        <f t="shared" si="22"/>
        <v>0</v>
      </c>
      <c r="Y47" s="26">
        <f t="shared" si="23"/>
        <v>159</v>
      </c>
      <c r="Z47" s="12">
        <f t="shared" si="16"/>
        <v>0</v>
      </c>
      <c r="AA47" s="4" t="s">
        <v>10</v>
      </c>
      <c r="AB47" s="11">
        <f>IFERROR(VLOOKUP(AA47,Curr!$B$2:$C$13,2,FALSE),0)</f>
        <v>11.2</v>
      </c>
      <c r="AC47" s="12">
        <f t="shared" si="17"/>
        <v>0</v>
      </c>
      <c r="AD47" s="12">
        <f t="shared" si="18"/>
        <v>0</v>
      </c>
      <c r="AE47" s="13">
        <f t="shared" si="19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33"/>
      <c r="Q48" s="25"/>
      <c r="R48" s="25"/>
      <c r="S48" s="12">
        <f t="shared" si="20"/>
        <v>0</v>
      </c>
      <c r="T48" s="5">
        <v>0</v>
      </c>
      <c r="U48" s="12">
        <f t="shared" si="21"/>
        <v>0</v>
      </c>
      <c r="V48" s="25" t="s">
        <v>10</v>
      </c>
      <c r="W48" s="11">
        <f>IFERROR(VLOOKUP(V48,Curr!$B$2:$C$13,2,FALSE),0)</f>
        <v>11.2</v>
      </c>
      <c r="X48" s="12">
        <f t="shared" si="22"/>
        <v>0</v>
      </c>
      <c r="Y48" s="26">
        <f t="shared" si="23"/>
        <v>0</v>
      </c>
      <c r="Z48" s="12">
        <f t="shared" si="16"/>
        <v>0</v>
      </c>
      <c r="AA48" s="4" t="s">
        <v>10</v>
      </c>
      <c r="AB48" s="11">
        <f>IFERROR(VLOOKUP(AA48,Curr!$B$2:$C$13,2,FALSE),0)</f>
        <v>11.2</v>
      </c>
      <c r="AC48" s="12">
        <f t="shared" si="17"/>
        <v>0</v>
      </c>
      <c r="AD48" s="12">
        <f t="shared" si="18"/>
        <v>0</v>
      </c>
      <c r="AE48" s="13">
        <f t="shared" si="19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/>
      <c r="R49" s="25"/>
      <c r="S49" s="12">
        <f t="shared" si="20"/>
        <v>0</v>
      </c>
      <c r="T49" s="5">
        <v>0</v>
      </c>
      <c r="U49" s="12">
        <f t="shared" si="21"/>
        <v>0</v>
      </c>
      <c r="V49" s="25" t="s">
        <v>10</v>
      </c>
      <c r="W49" s="11">
        <f>IFERROR(VLOOKUP(V49,Curr!$B$2:$C$13,2,FALSE),0)</f>
        <v>11.2</v>
      </c>
      <c r="X49" s="12">
        <f t="shared" si="22"/>
        <v>0</v>
      </c>
      <c r="Y49" s="26">
        <f t="shared" si="23"/>
        <v>0</v>
      </c>
      <c r="Z49" s="12">
        <f t="shared" si="16"/>
        <v>0</v>
      </c>
      <c r="AA49" s="4" t="s">
        <v>10</v>
      </c>
      <c r="AB49" s="11">
        <f>IFERROR(VLOOKUP(AA49,Curr!$B$2:$C$13,2,FALSE),0)</f>
        <v>11.2</v>
      </c>
      <c r="AC49" s="12">
        <f t="shared" si="17"/>
        <v>0</v>
      </c>
      <c r="AD49" s="12">
        <f t="shared" si="18"/>
        <v>0</v>
      </c>
      <c r="AE49" s="13">
        <f t="shared" si="19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20"/>
        <v>0</v>
      </c>
      <c r="T50" s="5">
        <v>0</v>
      </c>
      <c r="U50" s="12">
        <f t="shared" si="21"/>
        <v>0</v>
      </c>
      <c r="V50" s="25" t="s">
        <v>10</v>
      </c>
      <c r="W50" s="11">
        <f>IFERROR(VLOOKUP(V50,Curr!$B$2:$C$13,2,FALSE),0)</f>
        <v>11.2</v>
      </c>
      <c r="X50" s="12">
        <f t="shared" si="22"/>
        <v>0</v>
      </c>
      <c r="Y50" s="26">
        <f t="shared" si="23"/>
        <v>0</v>
      </c>
      <c r="Z50" s="12">
        <f t="shared" si="16"/>
        <v>0</v>
      </c>
      <c r="AA50" s="4" t="s">
        <v>10</v>
      </c>
      <c r="AB50" s="11">
        <f>IFERROR(VLOOKUP(AA50,Curr!$B$2:$C$13,2,FALSE),0)</f>
        <v>11.2</v>
      </c>
      <c r="AC50" s="12">
        <f t="shared" si="17"/>
        <v>0</v>
      </c>
      <c r="AD50" s="12">
        <f t="shared" si="18"/>
        <v>0</v>
      </c>
      <c r="AE50" s="13">
        <f t="shared" si="19"/>
        <v>0</v>
      </c>
    </row>
    <row r="51" spans="2:36" x14ac:dyDescent="0.25">
      <c r="B51" s="4"/>
      <c r="E51" s="3"/>
      <c r="F51" s="3"/>
      <c r="G51" s="3"/>
      <c r="H51" s="3"/>
      <c r="L51" s="4"/>
      <c r="M51" s="4"/>
      <c r="N51" s="4"/>
      <c r="O51" s="4"/>
      <c r="P51" s="22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6" x14ac:dyDescent="0.25">
      <c r="B52" s="14" t="s">
        <v>18</v>
      </c>
      <c r="C52" s="14"/>
      <c r="D52" s="28" t="s">
        <v>42</v>
      </c>
      <c r="E52" s="30" t="s">
        <v>42</v>
      </c>
      <c r="F52" s="30" t="s">
        <v>42</v>
      </c>
      <c r="G52" s="30" t="s">
        <v>42</v>
      </c>
      <c r="H52" s="30" t="s">
        <v>42</v>
      </c>
      <c r="I52" s="28" t="s">
        <v>42</v>
      </c>
      <c r="J52" s="28" t="s">
        <v>42</v>
      </c>
      <c r="K52" s="28" t="s">
        <v>42</v>
      </c>
      <c r="L52" s="28" t="s">
        <v>42</v>
      </c>
      <c r="M52" s="28" t="s">
        <v>42</v>
      </c>
      <c r="N52" s="28" t="s">
        <v>42</v>
      </c>
      <c r="O52" s="28" t="s">
        <v>42</v>
      </c>
      <c r="P52" s="28" t="s">
        <v>42</v>
      </c>
      <c r="Q52" s="31" t="s">
        <v>42</v>
      </c>
      <c r="R52" s="28" t="s">
        <v>42</v>
      </c>
      <c r="S52" s="32" t="s">
        <v>42</v>
      </c>
      <c r="T52" s="28" t="s">
        <v>42</v>
      </c>
      <c r="U52" s="32" t="s">
        <v>42</v>
      </c>
      <c r="V52" s="28" t="s">
        <v>42</v>
      </c>
      <c r="W52" s="28" t="s">
        <v>42</v>
      </c>
      <c r="X52" s="32" t="s">
        <v>42</v>
      </c>
      <c r="Y52" s="32" t="s">
        <v>42</v>
      </c>
      <c r="Z52" s="15">
        <f>SUM(Z7:Z50)</f>
        <v>3642.96955624355</v>
      </c>
      <c r="AA52" s="14"/>
      <c r="AB52" s="14"/>
      <c r="AC52" s="15">
        <f>SUM(AC7:AC50)</f>
        <v>40801.259029927758</v>
      </c>
      <c r="AD52" s="15">
        <f>SUM(AD7:AD50)</f>
        <v>8209.2590299277617</v>
      </c>
      <c r="AE52" s="21">
        <f t="shared" ref="AE52" si="32">IFERROR(AD52/AC52,0)</f>
        <v>0.20120112038469851</v>
      </c>
      <c r="AF52" s="15">
        <f>SUM(AF8:AF51)</f>
        <v>0</v>
      </c>
      <c r="AG52" s="15">
        <f>SUM(AG8:AG51)</f>
        <v>0</v>
      </c>
      <c r="AH52" s="15">
        <f>SUM(AH8:AH51)</f>
        <v>0</v>
      </c>
      <c r="AI52" s="15">
        <f>SUM(AI8:AI51)</f>
        <v>0</v>
      </c>
      <c r="AJ52" s="15">
        <f>SUM(AJ8:AJ51)</f>
        <v>0</v>
      </c>
    </row>
    <row r="53" spans="2:36" x14ac:dyDescent="0.25">
      <c r="B53" s="4"/>
      <c r="E53" s="3"/>
      <c r="F53" s="3"/>
      <c r="G53" s="3"/>
      <c r="H53" s="3"/>
      <c r="L53" s="4"/>
      <c r="M53" s="4"/>
      <c r="N53" s="4"/>
      <c r="O53" s="4"/>
      <c r="Q53" s="4"/>
      <c r="R53" s="4"/>
      <c r="S53" s="4"/>
      <c r="T53" s="4"/>
      <c r="U53" s="4"/>
      <c r="V53" s="4"/>
      <c r="W53" s="4"/>
      <c r="X53" s="4"/>
      <c r="Y53" s="9"/>
      <c r="Z53" s="9"/>
      <c r="AA53" s="9"/>
      <c r="AB53" s="9"/>
      <c r="AC53" s="9"/>
      <c r="AD53" s="9"/>
      <c r="AE53" s="9"/>
    </row>
    <row r="54" spans="2:36" x14ac:dyDescent="0.25">
      <c r="B54" s="4"/>
      <c r="E54" s="3"/>
      <c r="F54" s="3"/>
      <c r="G54" s="3"/>
      <c r="H54" s="3"/>
      <c r="L54" s="4"/>
      <c r="M54" s="4"/>
      <c r="N54" s="4"/>
      <c r="O54" s="4"/>
      <c r="Q54" s="9"/>
      <c r="R54" s="9"/>
      <c r="S54" s="9"/>
      <c r="T54" s="9"/>
      <c r="U54" s="9"/>
      <c r="V54" s="9"/>
      <c r="W54" s="9"/>
      <c r="X54" s="23"/>
      <c r="Y54" s="34" t="s">
        <v>103</v>
      </c>
      <c r="Z54" s="34">
        <f>Z12+Z19+Z21+Z23+Z25+Z29+Z30+Z31+Z33</f>
        <v>2402.6754385964914</v>
      </c>
      <c r="AA54" s="9"/>
      <c r="AB54" s="9"/>
      <c r="AC54" s="9"/>
      <c r="AD54" s="9"/>
      <c r="AE54" s="9"/>
    </row>
    <row r="55" spans="2:36" x14ac:dyDescent="0.25">
      <c r="B55" s="4"/>
      <c r="E55" s="3"/>
      <c r="F55" s="3"/>
      <c r="G55" s="3"/>
      <c r="H55" s="3"/>
      <c r="L55" s="4"/>
      <c r="M55" s="4"/>
      <c r="N55" s="4"/>
      <c r="O55" s="4"/>
      <c r="Q55" s="9"/>
      <c r="R55" s="9"/>
      <c r="S55" s="9"/>
      <c r="T55" s="9"/>
      <c r="U55" s="9"/>
      <c r="V55" s="9"/>
      <c r="W55" s="9"/>
      <c r="X55" s="9"/>
      <c r="Y55" s="35" t="s">
        <v>104</v>
      </c>
      <c r="Z55" s="34">
        <f>Y9+Y14+Y17</f>
        <v>1240.2941176470588</v>
      </c>
      <c r="AA55" s="9"/>
      <c r="AB55" s="9"/>
      <c r="AC55" s="9"/>
      <c r="AD55" s="9"/>
      <c r="AE55" s="9"/>
      <c r="AF55" s="18"/>
    </row>
    <row r="56" spans="2:36" x14ac:dyDescent="0.25">
      <c r="B56" s="4"/>
      <c r="E56" s="3"/>
      <c r="F56" s="3"/>
      <c r="G56" s="3"/>
      <c r="H56" s="3"/>
      <c r="I56" s="19"/>
      <c r="L56" s="4"/>
      <c r="M56" s="4"/>
      <c r="N56" s="4"/>
      <c r="O56" s="20"/>
      <c r="Q56" s="20"/>
      <c r="R56" s="20"/>
      <c r="S56" s="20"/>
      <c r="T56" s="20"/>
      <c r="U56" s="20"/>
      <c r="V56" s="20"/>
      <c r="W56" s="20"/>
      <c r="X56" s="20"/>
      <c r="Y56" s="34" t="s">
        <v>105</v>
      </c>
      <c r="Z56" s="34">
        <v>4120</v>
      </c>
      <c r="AA56" s="9"/>
      <c r="AB56" s="9"/>
      <c r="AC56" s="9"/>
      <c r="AD56" s="9"/>
      <c r="AE56" s="9"/>
      <c r="AF56" s="18"/>
    </row>
    <row r="57" spans="2:36" x14ac:dyDescent="0.25">
      <c r="B57" s="4"/>
      <c r="E57" s="3"/>
      <c r="F57" s="3"/>
      <c r="G57" s="3"/>
      <c r="H57" s="3"/>
      <c r="L57" s="4"/>
      <c r="M57" s="4"/>
      <c r="N57" s="4"/>
      <c r="O57" s="20"/>
      <c r="Q57" s="20"/>
      <c r="R57" s="20"/>
      <c r="S57" s="20"/>
      <c r="T57" s="20"/>
      <c r="U57" s="20"/>
      <c r="V57" s="20"/>
      <c r="W57" s="20"/>
      <c r="X57" s="20"/>
      <c r="Y57" s="34" t="s">
        <v>43</v>
      </c>
      <c r="Z57" s="34">
        <f>Z56/2</f>
        <v>2060</v>
      </c>
      <c r="AA57" s="9"/>
      <c r="AB57" s="9"/>
      <c r="AC57" s="9"/>
      <c r="AD57" s="9"/>
      <c r="AE57" s="9"/>
      <c r="AF57" s="18"/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4"/>
      <c r="Q58" s="9"/>
      <c r="R58" s="9"/>
      <c r="S58" s="9"/>
      <c r="T58" s="9"/>
      <c r="U58" s="9"/>
      <c r="V58" s="9"/>
      <c r="W58" s="9"/>
      <c r="X58" s="9"/>
      <c r="Y58" s="1"/>
      <c r="Z58" s="1"/>
      <c r="AA58" s="9"/>
      <c r="AB58" s="9"/>
      <c r="AC58" s="9"/>
      <c r="AD58" s="9"/>
      <c r="AE58" s="9"/>
      <c r="AF58" s="18"/>
    </row>
    <row r="59" spans="2:36" x14ac:dyDescent="0.25">
      <c r="F59" s="1"/>
      <c r="G59" s="1"/>
      <c r="H59" s="1"/>
      <c r="J59" s="1" t="s">
        <v>32</v>
      </c>
      <c r="Q59" s="9"/>
      <c r="R59" s="4"/>
      <c r="S59" s="9"/>
      <c r="T59" s="5"/>
      <c r="U59" s="9"/>
      <c r="V59" s="4"/>
      <c r="W59" s="4"/>
      <c r="X59" s="9"/>
      <c r="Y59" s="9" t="s">
        <v>44</v>
      </c>
      <c r="Z59" s="9">
        <f>Z56-Z60</f>
        <v>1760</v>
      </c>
      <c r="AA59" s="9"/>
      <c r="AB59" s="9"/>
      <c r="AC59" s="9"/>
      <c r="AD59" s="9"/>
      <c r="AE59" s="9"/>
    </row>
    <row r="60" spans="2:36" x14ac:dyDescent="0.25">
      <c r="R60" s="4"/>
      <c r="S60" s="17"/>
      <c r="T60" s="17"/>
      <c r="U60" s="9"/>
      <c r="V60" s="4"/>
      <c r="W60" s="4"/>
      <c r="X60" s="9"/>
      <c r="Y60" s="9" t="s">
        <v>45</v>
      </c>
      <c r="Z60" s="9">
        <v>2360</v>
      </c>
      <c r="AA60" s="9"/>
      <c r="AB60" s="9"/>
      <c r="AC60" s="9"/>
      <c r="AD60" s="9"/>
      <c r="AE60" s="9"/>
    </row>
    <row r="61" spans="2:36" x14ac:dyDescent="0.25">
      <c r="Q61" s="9"/>
      <c r="R61" s="4"/>
      <c r="S61" s="16"/>
      <c r="T61" s="16"/>
      <c r="U61" s="9"/>
      <c r="V61" s="4"/>
      <c r="W61" s="4"/>
      <c r="X61" s="9"/>
      <c r="Y61" s="9"/>
      <c r="Z61" s="9"/>
      <c r="AA61" s="9"/>
      <c r="AB61" s="9"/>
      <c r="AC61" s="9"/>
      <c r="AD61" s="9"/>
      <c r="AE61" s="9"/>
    </row>
    <row r="62" spans="2:36" x14ac:dyDescent="0.25">
      <c r="R62" s="4"/>
      <c r="S62" s="16"/>
      <c r="T62" s="16"/>
      <c r="Y62" s="9" t="s">
        <v>46</v>
      </c>
      <c r="Z62" s="9">
        <v>2360</v>
      </c>
      <c r="AA62" s="9"/>
      <c r="AB62" s="9"/>
      <c r="AC62" s="9"/>
      <c r="AD62" s="9"/>
      <c r="AE62" s="9"/>
    </row>
    <row r="63" spans="2:36" x14ac:dyDescent="0.25">
      <c r="T63" s="5"/>
      <c r="Y63" s="9" t="s">
        <v>47</v>
      </c>
      <c r="Z63" s="9">
        <f>Z56-Z62</f>
        <v>1760</v>
      </c>
      <c r="AA63" s="9"/>
      <c r="AB63" s="9"/>
      <c r="AC63" s="9"/>
      <c r="AD63" s="9"/>
      <c r="AE63" s="9"/>
    </row>
    <row r="64" spans="2:36" x14ac:dyDescent="0.25">
      <c r="T64" s="5"/>
      <c r="AA64" s="9"/>
      <c r="AB64" s="9"/>
      <c r="AC64" s="9"/>
      <c r="AD64" s="9"/>
      <c r="AE64" s="9"/>
    </row>
    <row r="65" spans="20:31" x14ac:dyDescent="0.25">
      <c r="T65" s="5"/>
      <c r="Y65" s="43" t="s">
        <v>236</v>
      </c>
      <c r="Z65" s="1">
        <v>3640</v>
      </c>
      <c r="AA65" s="9"/>
      <c r="AB65" s="9"/>
      <c r="AC65" s="9"/>
      <c r="AD65" s="9"/>
      <c r="AE65" s="9"/>
    </row>
    <row r="66" spans="20:31" x14ac:dyDescent="0.25">
      <c r="T66" s="5"/>
      <c r="Y66" s="44" t="s">
        <v>237</v>
      </c>
      <c r="Z66" s="9">
        <f>Z65*1.15</f>
        <v>4186</v>
      </c>
      <c r="AA66" s="9"/>
      <c r="AB66" s="9"/>
      <c r="AC66" s="9"/>
      <c r="AD66" s="9"/>
      <c r="AE66" s="9"/>
    </row>
    <row r="67" spans="20:31" x14ac:dyDescent="0.25">
      <c r="T67" s="5"/>
      <c r="Y67" s="44" t="s">
        <v>238</v>
      </c>
      <c r="Z67" s="9">
        <f>Z65*1.2</f>
        <v>4368</v>
      </c>
      <c r="AA67" s="9"/>
      <c r="AB67" s="9"/>
      <c r="AC67" s="9"/>
      <c r="AD67" s="9"/>
      <c r="AE67" s="9"/>
    </row>
    <row r="68" spans="20:31" x14ac:dyDescent="0.25">
      <c r="T68" s="5"/>
      <c r="Y68" s="44" t="s">
        <v>239</v>
      </c>
      <c r="Z68" s="9">
        <f>Z65*0.84</f>
        <v>3057.6</v>
      </c>
      <c r="AA68" s="9"/>
      <c r="AB68" s="9"/>
      <c r="AC68" s="9"/>
      <c r="AD68" s="9"/>
      <c r="AE68" s="9"/>
    </row>
    <row r="69" spans="20:31" x14ac:dyDescent="0.25">
      <c r="T69" s="5"/>
      <c r="Y69" s="9"/>
      <c r="Z69" s="9"/>
      <c r="AA69" s="9"/>
      <c r="AB69" s="9"/>
      <c r="AC69" s="9"/>
      <c r="AD69" s="9"/>
      <c r="AE69" s="9"/>
    </row>
    <row r="70" spans="20:31" x14ac:dyDescent="0.25">
      <c r="T70" s="5"/>
      <c r="Y70" s="9"/>
      <c r="Z70" s="9"/>
      <c r="AA70" s="9"/>
      <c r="AB70" s="9"/>
      <c r="AC70" s="9"/>
      <c r="AD70" s="9"/>
      <c r="AE70" s="9"/>
    </row>
    <row r="71" spans="20:31" x14ac:dyDescent="0.25">
      <c r="T71" s="5"/>
    </row>
    <row r="72" spans="20:31" x14ac:dyDescent="0.25">
      <c r="T72" s="5"/>
    </row>
    <row r="73" spans="20:31" x14ac:dyDescent="0.25">
      <c r="T73" s="5"/>
    </row>
    <row r="74" spans="20:31" x14ac:dyDescent="0.25">
      <c r="T74" s="5"/>
    </row>
    <row r="75" spans="20:31" x14ac:dyDescent="0.25">
      <c r="T75" s="5"/>
    </row>
  </sheetData>
  <autoFilter ref="B6:AE52" xr:uid="{65FA6D9B-E0AF-46CD-BA0D-86BB75FE6AB0}"/>
  <hyperlinks>
    <hyperlink ref="P12" r:id="rId1" xr:uid="{B709877F-041F-44E8-B4CC-0F05FC6DC577}"/>
    <hyperlink ref="P14" r:id="rId2" xr:uid="{C038B266-D9D2-4696-B606-145E21F4684A}"/>
    <hyperlink ref="P21" r:id="rId3" xr:uid="{461E9267-2920-411F-911C-807DBC3103F7}"/>
    <hyperlink ref="P23" r:id="rId4" xr:uid="{CA909B30-52CE-4A3C-927E-725802DA0859}"/>
    <hyperlink ref="P25" r:id="rId5" xr:uid="{F2630F3E-A71C-4848-AFD4-DACD77F11480}"/>
    <hyperlink ref="P29" r:id="rId6" xr:uid="{EA9148B8-46FB-4E50-A2B2-05DE996FC36F}"/>
    <hyperlink ref="P43" r:id="rId7" xr:uid="{DD2E36CB-A14D-416C-84C3-534410E607A3}"/>
    <hyperlink ref="P45" r:id="rId8" xr:uid="{E09A8661-C4C7-46DD-AF10-2D702450E5C1}"/>
    <hyperlink ref="P46" r:id="rId9" xr:uid="{1C41BB62-729F-4369-8EB0-65DB28FCA5FB}"/>
    <hyperlink ref="P19" r:id="rId10" xr:uid="{615113C8-DD5D-42D2-B021-81E614ADD6D8}"/>
  </hyperlinks>
  <pageMargins left="0.7" right="0.7" top="0.75" bottom="0.75" header="0.3" footer="0.3"/>
  <pageSetup paperSize="9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E7F5-BBFE-43CF-BAED-F768EF812AE0}">
  <sheetPr>
    <tabColor rgb="FFFFFF00"/>
  </sheetPr>
  <dimension ref="B2:AK81"/>
  <sheetViews>
    <sheetView topLeftCell="D4" zoomScale="80" zoomScaleNormal="80" workbookViewId="0">
      <selection activeCell="J24" sqref="J24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107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2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29" si="1">U7*W7</f>
        <v>0</v>
      </c>
      <c r="Y7" s="26">
        <f>Q7</f>
        <v>0</v>
      </c>
      <c r="Z7" s="12">
        <f t="shared" ref="Z7:Z56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56" si="3">+Y7*AB7*R7</f>
        <v>0</v>
      </c>
      <c r="AD7" s="12">
        <f t="shared" ref="AD7:AD56" si="4">+AC7-X7</f>
        <v>0</v>
      </c>
      <c r="AE7" s="13">
        <f t="shared" ref="AE7:AE56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29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66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11.2</v>
      </c>
      <c r="X15" s="12">
        <f t="shared" si="1"/>
        <v>0</v>
      </c>
      <c r="Y15" s="26">
        <f t="shared" ref="Y15:Y28" si="9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>Q16/0.8</f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71</v>
      </c>
      <c r="K17" s="4"/>
      <c r="L17" s="4"/>
      <c r="M17" s="4"/>
      <c r="N17" s="4" t="s">
        <v>42</v>
      </c>
      <c r="O17" s="4"/>
      <c r="P17" s="33"/>
      <c r="Q17" s="25">
        <f>109*2*3</f>
        <v>654</v>
      </c>
      <c r="R17" s="25">
        <v>1</v>
      </c>
      <c r="S17" s="12">
        <f t="shared" si="0"/>
        <v>654</v>
      </c>
      <c r="T17" s="5">
        <v>0</v>
      </c>
      <c r="U17" s="12">
        <f t="shared" si="6"/>
        <v>654</v>
      </c>
      <c r="V17" s="25" t="s">
        <v>10</v>
      </c>
      <c r="W17" s="11">
        <f>IFERROR(VLOOKUP(V17,Curr!$B$2:$C$13,2,FALSE),0)</f>
        <v>11.2</v>
      </c>
      <c r="X17" s="12">
        <f t="shared" si="1"/>
        <v>7324.7999999999993</v>
      </c>
      <c r="Y17" s="26">
        <f>Q17/0.8</f>
        <v>817.5</v>
      </c>
      <c r="Z17" s="12">
        <f t="shared" si="2"/>
        <v>817.5</v>
      </c>
      <c r="AA17" s="4" t="s">
        <v>10</v>
      </c>
      <c r="AB17" s="11">
        <f>IFERROR(VLOOKUP(AA17,Curr!$B$2:$C$13,2,FALSE),0)</f>
        <v>11.2</v>
      </c>
      <c r="AC17" s="12">
        <f t="shared" si="3"/>
        <v>9156</v>
      </c>
      <c r="AD17" s="12">
        <f t="shared" si="4"/>
        <v>1831.2000000000007</v>
      </c>
      <c r="AE17" s="13">
        <f t="shared" si="5"/>
        <v>0.20000000000000007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11.2</v>
      </c>
      <c r="X18" s="12">
        <f t="shared" si="1"/>
        <v>0</v>
      </c>
      <c r="Y18" s="26">
        <f t="shared" ref="Y18:Y19" si="10">Q18</f>
        <v>0</v>
      </c>
      <c r="Z18" s="12">
        <f t="shared" si="2"/>
        <v>0</v>
      </c>
      <c r="AA18" s="4" t="s">
        <v>10</v>
      </c>
      <c r="AB18" s="11">
        <f>IFERROR(VLOOKUP(AA18,Curr!$B$2:$C$13,2,FALSE),0)</f>
        <v>11.2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222</v>
      </c>
      <c r="K19" s="4"/>
      <c r="L19" s="4"/>
      <c r="M19" s="4"/>
      <c r="N19" s="4"/>
      <c r="O19" s="4" t="s">
        <v>42</v>
      </c>
      <c r="P19" s="33" t="s">
        <v>223</v>
      </c>
      <c r="Q19" s="25">
        <v>109</v>
      </c>
      <c r="R19" s="25">
        <v>2</v>
      </c>
      <c r="S19" s="12">
        <f t="shared" si="0"/>
        <v>218</v>
      </c>
      <c r="T19" s="5">
        <v>0.2</v>
      </c>
      <c r="U19" s="12">
        <f t="shared" si="6"/>
        <v>174.4</v>
      </c>
      <c r="V19" s="25" t="s">
        <v>10</v>
      </c>
      <c r="W19" s="11">
        <f>IFERROR(VLOOKUP(V19,Curr!$B$2:$C$13,2,FALSE),0)</f>
        <v>11.2</v>
      </c>
      <c r="X19" s="12">
        <f t="shared" si="1"/>
        <v>1953.28</v>
      </c>
      <c r="Y19" s="26">
        <f t="shared" si="10"/>
        <v>109</v>
      </c>
      <c r="Z19" s="12">
        <f t="shared" si="2"/>
        <v>218</v>
      </c>
      <c r="AA19" s="4" t="s">
        <v>10</v>
      </c>
      <c r="AB19" s="11">
        <f>IFERROR(VLOOKUP(AA19,Curr!$B$2:$C$13,2,FALSE),0)</f>
        <v>11.2</v>
      </c>
      <c r="AC19" s="12">
        <f t="shared" si="3"/>
        <v>2441.6</v>
      </c>
      <c r="AD19" s="12">
        <f t="shared" si="4"/>
        <v>488.31999999999994</v>
      </c>
      <c r="AE19" s="13">
        <f t="shared" si="5"/>
        <v>0.19999999999999998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6"/>
        <v>0</v>
      </c>
      <c r="V20" s="25" t="s">
        <v>10</v>
      </c>
      <c r="W20" s="11">
        <f>IFERROR(VLOOKUP(V20,Curr!$B$2:$C$13,2,FALSE),0)</f>
        <v>11.2</v>
      </c>
      <c r="X20" s="12">
        <f t="shared" si="1"/>
        <v>0</v>
      </c>
      <c r="Y20" s="26">
        <f t="shared" si="9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73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0"/>
        <v>376</v>
      </c>
      <c r="T21" s="5">
        <v>0.2</v>
      </c>
      <c r="U21" s="12">
        <f t="shared" si="6"/>
        <v>300.8</v>
      </c>
      <c r="V21" s="25" t="s">
        <v>10</v>
      </c>
      <c r="W21" s="11">
        <f>IFERROR(VLOOKUP(V21,Curr!$B$2:$C$13,2,FALSE),0)</f>
        <v>11.2</v>
      </c>
      <c r="X21" s="12">
        <f t="shared" si="1"/>
        <v>3368.96</v>
      </c>
      <c r="Y21" s="26">
        <f t="shared" si="9"/>
        <v>188</v>
      </c>
      <c r="Z21" s="12">
        <f t="shared" si="2"/>
        <v>376</v>
      </c>
      <c r="AA21" s="4" t="s">
        <v>10</v>
      </c>
      <c r="AB21" s="11">
        <f>IFERROR(VLOOKUP(AA21,Curr!$B$2:$C$13,2,FALSE),0)</f>
        <v>11.2</v>
      </c>
      <c r="AC21" s="12">
        <f t="shared" si="3"/>
        <v>4211.2</v>
      </c>
      <c r="AD21" s="12">
        <f t="shared" si="4"/>
        <v>842.23999999999978</v>
      </c>
      <c r="AE21" s="13">
        <f t="shared" si="5"/>
        <v>0.19999999999999996</v>
      </c>
    </row>
    <row r="22" spans="2:31" x14ac:dyDescent="0.25">
      <c r="B22" s="4"/>
      <c r="C22" s="1" t="s">
        <v>72</v>
      </c>
      <c r="D22" s="1" t="s">
        <v>58</v>
      </c>
      <c r="E22" s="3"/>
      <c r="F22" s="3"/>
      <c r="G22" s="24"/>
      <c r="H22" s="24"/>
      <c r="J22" s="1" t="s">
        <v>70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0"/>
        <v>0</v>
      </c>
      <c r="T22" s="5">
        <v>0</v>
      </c>
      <c r="U22" s="12">
        <f t="shared" si="6"/>
        <v>0</v>
      </c>
      <c r="V22" s="25" t="s">
        <v>10</v>
      </c>
      <c r="W22" s="11">
        <f>IFERROR(VLOOKUP(V22,Curr!$B$2:$C$13,2,FALSE),0)</f>
        <v>11.2</v>
      </c>
      <c r="X22" s="12">
        <f t="shared" si="1"/>
        <v>0</v>
      </c>
      <c r="Y22" s="26">
        <f t="shared" si="9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11.2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C23" s="1" t="s">
        <v>72</v>
      </c>
      <c r="D23" s="1" t="s">
        <v>61</v>
      </c>
      <c r="E23" s="3"/>
      <c r="F23" s="3"/>
      <c r="G23" s="24"/>
      <c r="H23" s="24"/>
      <c r="J23" s="1" t="s">
        <v>75</v>
      </c>
      <c r="K23" s="4"/>
      <c r="L23" s="4"/>
      <c r="M23" s="4"/>
      <c r="N23" s="4"/>
      <c r="O23" s="4" t="s">
        <v>42</v>
      </c>
      <c r="P23" s="33" t="s">
        <v>76</v>
      </c>
      <c r="Q23" s="25">
        <v>89</v>
      </c>
      <c r="R23" s="25">
        <v>2</v>
      </c>
      <c r="S23" s="12">
        <f t="shared" si="0"/>
        <v>178</v>
      </c>
      <c r="T23" s="5">
        <v>0.2</v>
      </c>
      <c r="U23" s="12">
        <f t="shared" si="6"/>
        <v>142.4</v>
      </c>
      <c r="V23" s="25" t="s">
        <v>10</v>
      </c>
      <c r="W23" s="11">
        <f>IFERROR(VLOOKUP(V23,Curr!$B$2:$C$13,2,FALSE),0)</f>
        <v>11.2</v>
      </c>
      <c r="X23" s="12">
        <f t="shared" si="1"/>
        <v>1594.8799999999999</v>
      </c>
      <c r="Y23" s="26">
        <f t="shared" si="9"/>
        <v>89</v>
      </c>
      <c r="Z23" s="12">
        <f t="shared" si="2"/>
        <v>178</v>
      </c>
      <c r="AA23" s="4" t="s">
        <v>10</v>
      </c>
      <c r="AB23" s="11">
        <f>IFERROR(VLOOKUP(AA23,Curr!$B$2:$C$13,2,FALSE),0)</f>
        <v>11.2</v>
      </c>
      <c r="AC23" s="12">
        <f t="shared" si="3"/>
        <v>1993.6</v>
      </c>
      <c r="AD23" s="12">
        <f t="shared" si="4"/>
        <v>398.72</v>
      </c>
      <c r="AE23" s="13">
        <f t="shared" si="5"/>
        <v>0.2</v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0"/>
        <v>0</v>
      </c>
      <c r="T24" s="5">
        <v>0</v>
      </c>
      <c r="U24" s="12">
        <f t="shared" si="6"/>
        <v>0</v>
      </c>
      <c r="V24" s="25" t="s">
        <v>10</v>
      </c>
      <c r="W24" s="11">
        <f>IFERROR(VLOOKUP(V24,Curr!$B$2:$C$13,2,FALSE),0)</f>
        <v>11.2</v>
      </c>
      <c r="X24" s="12">
        <f t="shared" si="1"/>
        <v>0</v>
      </c>
      <c r="Y24" s="26">
        <f t="shared" si="9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11.2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77</v>
      </c>
      <c r="D25" s="1" t="s">
        <v>61</v>
      </c>
      <c r="E25" s="3"/>
      <c r="F25" s="3"/>
      <c r="G25" s="24"/>
      <c r="H25" s="24"/>
      <c r="J25" s="1" t="s">
        <v>78</v>
      </c>
      <c r="K25" s="4"/>
      <c r="L25" s="4"/>
      <c r="M25" s="4"/>
      <c r="N25" s="4"/>
      <c r="O25" s="4" t="s">
        <v>42</v>
      </c>
      <c r="P25" s="33" t="s">
        <v>79</v>
      </c>
      <c r="Q25" s="25">
        <v>109</v>
      </c>
      <c r="R25" s="25">
        <v>2</v>
      </c>
      <c r="S25" s="12">
        <f t="shared" si="0"/>
        <v>218</v>
      </c>
      <c r="T25" s="5">
        <v>0.2</v>
      </c>
      <c r="U25" s="12">
        <f t="shared" si="6"/>
        <v>174.4</v>
      </c>
      <c r="V25" s="25" t="s">
        <v>10</v>
      </c>
      <c r="W25" s="11">
        <f>IFERROR(VLOOKUP(V25,Curr!$B$2:$C$13,2,FALSE),0)</f>
        <v>11.2</v>
      </c>
      <c r="X25" s="12">
        <f t="shared" si="1"/>
        <v>1953.28</v>
      </c>
      <c r="Y25" s="26">
        <f t="shared" si="9"/>
        <v>109</v>
      </c>
      <c r="Z25" s="12">
        <f t="shared" si="2"/>
        <v>218</v>
      </c>
      <c r="AA25" s="4" t="s">
        <v>10</v>
      </c>
      <c r="AB25" s="11">
        <f>IFERROR(VLOOKUP(AA25,Curr!$B$2:$C$13,2,FALSE),0)</f>
        <v>11.2</v>
      </c>
      <c r="AC25" s="12">
        <f t="shared" si="3"/>
        <v>2441.6</v>
      </c>
      <c r="AD25" s="12">
        <f t="shared" si="4"/>
        <v>488.31999999999994</v>
      </c>
      <c r="AE25" s="13">
        <f t="shared" si="5"/>
        <v>0.19999999999999998</v>
      </c>
    </row>
    <row r="26" spans="2:31" x14ac:dyDescent="0.25">
      <c r="B26" s="4"/>
      <c r="C26" s="1" t="s">
        <v>77</v>
      </c>
      <c r="D26" s="1" t="s">
        <v>58</v>
      </c>
      <c r="E26" s="3"/>
      <c r="F26" s="3"/>
      <c r="G26" s="24"/>
      <c r="H26" s="24"/>
      <c r="J26" s="1" t="s">
        <v>70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6"/>
        <v>0</v>
      </c>
      <c r="V26" s="25" t="s">
        <v>10</v>
      </c>
      <c r="W26" s="11">
        <f>IFERROR(VLOOKUP(V26,Curr!$B$2:$C$13,2,FALSE),0)</f>
        <v>11.2</v>
      </c>
      <c r="X26" s="12">
        <f t="shared" si="1"/>
        <v>0</v>
      </c>
      <c r="Y26" s="26">
        <f t="shared" si="9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11.2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0"/>
        <v>0</v>
      </c>
      <c r="T27" s="5">
        <v>0</v>
      </c>
      <c r="U27" s="12">
        <f t="shared" si="6"/>
        <v>0</v>
      </c>
      <c r="V27" s="25" t="s">
        <v>10</v>
      </c>
      <c r="W27" s="11">
        <f>IFERROR(VLOOKUP(V27,Curr!$B$2:$C$13,2,FALSE),0)</f>
        <v>11.2</v>
      </c>
      <c r="X27" s="12">
        <f t="shared" si="1"/>
        <v>0</v>
      </c>
      <c r="Y27" s="26">
        <f t="shared" si="9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80</v>
      </c>
      <c r="D28" s="1" t="s">
        <v>56</v>
      </c>
      <c r="E28" s="3"/>
      <c r="F28" s="3"/>
      <c r="G28" s="24"/>
      <c r="H28" s="24"/>
      <c r="J28" s="1" t="s">
        <v>84</v>
      </c>
      <c r="K28" s="4"/>
      <c r="L28" s="4"/>
      <c r="M28" s="4"/>
      <c r="N28" s="4"/>
      <c r="O28" s="4"/>
      <c r="P28" s="33"/>
      <c r="Q28" s="25">
        <v>0</v>
      </c>
      <c r="R28" s="25">
        <v>0</v>
      </c>
      <c r="S28" s="12">
        <f t="shared" si="0"/>
        <v>0</v>
      </c>
      <c r="T28" s="5">
        <v>0</v>
      </c>
      <c r="U28" s="12">
        <f t="shared" si="6"/>
        <v>0</v>
      </c>
      <c r="V28" s="25" t="s">
        <v>10</v>
      </c>
      <c r="W28" s="11">
        <f>IFERROR(VLOOKUP(V28,Curr!$B$2:$C$13,2,FALSE),0)</f>
        <v>11.2</v>
      </c>
      <c r="X28" s="12">
        <f t="shared" si="1"/>
        <v>0</v>
      </c>
      <c r="Y28" s="26">
        <f t="shared" si="9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11.2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C29" s="1" t="s">
        <v>80</v>
      </c>
      <c r="D29" s="1" t="s">
        <v>81</v>
      </c>
      <c r="E29" s="3"/>
      <c r="F29" s="3"/>
      <c r="G29" s="24"/>
      <c r="H29" s="24"/>
      <c r="J29" s="1" t="s">
        <v>108</v>
      </c>
      <c r="K29" s="4"/>
      <c r="L29" s="4"/>
      <c r="M29" s="4"/>
      <c r="N29" s="4" t="s">
        <v>42</v>
      </c>
      <c r="O29" s="4"/>
      <c r="P29" s="33" t="s">
        <v>86</v>
      </c>
      <c r="Q29" s="25">
        <v>50</v>
      </c>
      <c r="R29" s="25">
        <v>2</v>
      </c>
      <c r="S29" s="12">
        <f t="shared" si="0"/>
        <v>100</v>
      </c>
      <c r="T29" s="5">
        <v>0</v>
      </c>
      <c r="U29" s="12">
        <f t="shared" si="6"/>
        <v>100</v>
      </c>
      <c r="V29" s="25" t="s">
        <v>10</v>
      </c>
      <c r="W29" s="11">
        <f>IFERROR(VLOOKUP(V29,Curr!$B$2:$C$13,2,FALSE),0)</f>
        <v>11.2</v>
      </c>
      <c r="X29" s="12">
        <f t="shared" si="1"/>
        <v>1120</v>
      </c>
      <c r="Y29" s="26">
        <f t="shared" ref="Y29" si="11">Q29/0.8</f>
        <v>62.5</v>
      </c>
      <c r="Z29" s="12">
        <f t="shared" si="2"/>
        <v>125</v>
      </c>
      <c r="AA29" s="4" t="s">
        <v>10</v>
      </c>
      <c r="AB29" s="11">
        <f>IFERROR(VLOOKUP(AA29,Curr!$B$2:$C$13,2,FALSE),0)</f>
        <v>11.2</v>
      </c>
      <c r="AC29" s="12">
        <f t="shared" si="3"/>
        <v>1400</v>
      </c>
      <c r="AD29" s="12">
        <f t="shared" si="4"/>
        <v>280</v>
      </c>
      <c r="AE29" s="13">
        <f t="shared" si="5"/>
        <v>0.2</v>
      </c>
    </row>
    <row r="30" spans="2:31" x14ac:dyDescent="0.25">
      <c r="B30" s="4"/>
      <c r="C30" s="1" t="s">
        <v>80</v>
      </c>
      <c r="D30" s="1" t="s">
        <v>56</v>
      </c>
      <c r="E30" s="3"/>
      <c r="F30" s="3"/>
      <c r="G30" s="24"/>
      <c r="H30" s="24"/>
      <c r="J30" s="1" t="s">
        <v>110</v>
      </c>
      <c r="K30" s="4"/>
      <c r="L30" s="4"/>
      <c r="M30" s="4"/>
      <c r="N30" s="4"/>
      <c r="O30" s="4"/>
      <c r="P30" s="33"/>
      <c r="Q30" s="25">
        <v>0</v>
      </c>
      <c r="R30" s="25">
        <v>0</v>
      </c>
      <c r="S30" s="12">
        <f t="shared" ref="S30:S56" si="12">+Q30*R30</f>
        <v>0</v>
      </c>
      <c r="T30" s="5">
        <v>0</v>
      </c>
      <c r="U30" s="12">
        <f t="shared" ref="U30:U56" si="13">S30*(1-T30)</f>
        <v>0</v>
      </c>
      <c r="V30" s="25" t="s">
        <v>10</v>
      </c>
      <c r="W30" s="11">
        <f>IFERROR(VLOOKUP(V30,Curr!$B$2:$C$13,2,FALSE),0)</f>
        <v>11.2</v>
      </c>
      <c r="X30" s="12">
        <f t="shared" ref="X30:X56" si="14">U30*W30</f>
        <v>0</v>
      </c>
      <c r="Y30" s="26">
        <f t="shared" ref="Y30:Y56" si="15">Q30</f>
        <v>0</v>
      </c>
      <c r="Z30" s="12">
        <f t="shared" si="2"/>
        <v>0</v>
      </c>
      <c r="AA30" s="4" t="s">
        <v>10</v>
      </c>
      <c r="AB30" s="11">
        <f>IFERROR(VLOOKUP(AA30,Curr!$B$2:$C$13,2,FALSE),0)</f>
        <v>11.2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C31" s="1" t="s">
        <v>80</v>
      </c>
      <c r="D31" s="1" t="s">
        <v>57</v>
      </c>
      <c r="E31" s="3"/>
      <c r="F31" s="3"/>
      <c r="G31" s="24"/>
      <c r="H31" s="24"/>
      <c r="J31" s="1" t="s">
        <v>112</v>
      </c>
      <c r="K31" s="4"/>
      <c r="L31" s="4"/>
      <c r="M31" s="4"/>
      <c r="N31" s="4" t="s">
        <v>42</v>
      </c>
      <c r="O31" s="4"/>
      <c r="P31" s="27"/>
      <c r="Q31" s="25">
        <v>517</v>
      </c>
      <c r="R31" s="25">
        <v>1</v>
      </c>
      <c r="S31" s="12">
        <f t="shared" si="12"/>
        <v>517</v>
      </c>
      <c r="T31" s="5">
        <v>0</v>
      </c>
      <c r="U31" s="12">
        <f t="shared" si="13"/>
        <v>517</v>
      </c>
      <c r="V31" s="25" t="s">
        <v>10</v>
      </c>
      <c r="W31" s="11">
        <f>IFERROR(VLOOKUP(V31,Curr!$B$2:$C$13,2,FALSE),0)</f>
        <v>11.2</v>
      </c>
      <c r="X31" s="12">
        <f t="shared" si="14"/>
        <v>5790.4</v>
      </c>
      <c r="Y31" s="26">
        <f>Q31/0.8</f>
        <v>646.25</v>
      </c>
      <c r="Z31" s="12">
        <f t="shared" si="2"/>
        <v>646.25</v>
      </c>
      <c r="AA31" s="4" t="s">
        <v>10</v>
      </c>
      <c r="AB31" s="11">
        <f>IFERROR(VLOOKUP(AA31,Curr!$B$2:$C$13,2,FALSE),0)</f>
        <v>11.2</v>
      </c>
      <c r="AC31" s="12">
        <f t="shared" si="3"/>
        <v>7237.9999999999991</v>
      </c>
      <c r="AD31" s="12">
        <f t="shared" si="4"/>
        <v>1447.5999999999995</v>
      </c>
      <c r="AE31" s="13">
        <f t="shared" si="5"/>
        <v>0.19999999999999996</v>
      </c>
    </row>
    <row r="32" spans="2:31" x14ac:dyDescent="0.25">
      <c r="B32" s="4"/>
      <c r="C32" s="1" t="s">
        <v>80</v>
      </c>
      <c r="D32" s="1" t="s">
        <v>58</v>
      </c>
      <c r="E32" s="3"/>
      <c r="F32" s="3"/>
      <c r="G32" s="24"/>
      <c r="H32" s="24"/>
      <c r="J32" s="1" t="s">
        <v>109</v>
      </c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 t="shared" si="12"/>
        <v>0</v>
      </c>
      <c r="T32" s="5">
        <v>0</v>
      </c>
      <c r="U32" s="12">
        <f t="shared" si="13"/>
        <v>0</v>
      </c>
      <c r="V32" s="25" t="s">
        <v>10</v>
      </c>
      <c r="W32" s="11">
        <f>IFERROR(VLOOKUP(V32,Curr!$B$2:$C$13,2,FALSE),0)</f>
        <v>11.2</v>
      </c>
      <c r="X32" s="12">
        <f t="shared" si="14"/>
        <v>0</v>
      </c>
      <c r="Y32" s="26">
        <f t="shared" si="15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11.2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/>
      <c r="R33" s="25"/>
      <c r="S33" s="12">
        <f t="shared" si="12"/>
        <v>0</v>
      </c>
      <c r="T33" s="5">
        <v>0</v>
      </c>
      <c r="U33" s="12">
        <f t="shared" si="13"/>
        <v>0</v>
      </c>
      <c r="V33" s="25" t="s">
        <v>10</v>
      </c>
      <c r="W33" s="11">
        <f>IFERROR(VLOOKUP(V33,Curr!$B$2:$C$13,2,FALSE),0)</f>
        <v>11.2</v>
      </c>
      <c r="X33" s="12">
        <f t="shared" si="14"/>
        <v>0</v>
      </c>
      <c r="Y33" s="26">
        <f t="shared" si="15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11.2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1" x14ac:dyDescent="0.25">
      <c r="B34" s="4"/>
      <c r="C34" s="1" t="s">
        <v>82</v>
      </c>
      <c r="D34" s="1" t="s">
        <v>56</v>
      </c>
      <c r="E34" s="3"/>
      <c r="F34" s="3"/>
      <c r="G34" s="24"/>
      <c r="H34" s="24"/>
      <c r="J34" s="1" t="s">
        <v>111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12"/>
        <v>0</v>
      </c>
      <c r="T34" s="5">
        <v>0</v>
      </c>
      <c r="U34" s="12">
        <f t="shared" si="13"/>
        <v>0</v>
      </c>
      <c r="V34" s="25" t="s">
        <v>10</v>
      </c>
      <c r="W34" s="11">
        <f>IFERROR(VLOOKUP(V34,Curr!$B$2:$C$13,2,FALSE),0)</f>
        <v>11.2</v>
      </c>
      <c r="X34" s="12">
        <f t="shared" si="14"/>
        <v>0</v>
      </c>
      <c r="Y34" s="26">
        <f>Q34/0.8</f>
        <v>0</v>
      </c>
      <c r="Z34" s="12">
        <f t="shared" si="2"/>
        <v>0</v>
      </c>
      <c r="AA34" s="4" t="s">
        <v>10</v>
      </c>
      <c r="AB34" s="11">
        <f>IFERROR(VLOOKUP(AA34,Curr!$B$2:$C$13,2,FALSE),0)</f>
        <v>11.2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C35" s="1" t="s">
        <v>82</v>
      </c>
      <c r="D35" s="1" t="s">
        <v>83</v>
      </c>
      <c r="E35" s="3"/>
      <c r="F35" s="3"/>
      <c r="G35" s="24"/>
      <c r="H35" s="24"/>
      <c r="J35" s="1" t="s">
        <v>89</v>
      </c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 t="shared" si="12"/>
        <v>0</v>
      </c>
      <c r="T35" s="5">
        <v>0</v>
      </c>
      <c r="U35" s="12">
        <f t="shared" si="13"/>
        <v>0</v>
      </c>
      <c r="V35" s="25" t="s">
        <v>10</v>
      </c>
      <c r="W35" s="11">
        <f>IFERROR(VLOOKUP(V35,Curr!$B$2:$C$13,2,FALSE),0)</f>
        <v>11.2</v>
      </c>
      <c r="X35" s="12">
        <f t="shared" si="14"/>
        <v>0</v>
      </c>
      <c r="Y35" s="26">
        <f t="shared" si="15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11.2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2"/>
        <v>0</v>
      </c>
      <c r="T36" s="5">
        <v>0</v>
      </c>
      <c r="U36" s="12">
        <f t="shared" si="13"/>
        <v>0</v>
      </c>
      <c r="V36" s="25" t="s">
        <v>10</v>
      </c>
      <c r="W36" s="11">
        <f>IFERROR(VLOOKUP(V36,Curr!$B$2:$C$13,2,FALSE),0)</f>
        <v>11.2</v>
      </c>
      <c r="X36" s="12">
        <f t="shared" si="14"/>
        <v>0</v>
      </c>
      <c r="Y36" s="26">
        <f t="shared" si="15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/>
      <c r="R37" s="25"/>
      <c r="S37" s="12">
        <f t="shared" si="12"/>
        <v>0</v>
      </c>
      <c r="T37" s="5">
        <v>0</v>
      </c>
      <c r="U37" s="12">
        <f t="shared" si="13"/>
        <v>0</v>
      </c>
      <c r="V37" s="25" t="s">
        <v>10</v>
      </c>
      <c r="W37" s="11">
        <f>IFERROR(VLOOKUP(V37,Curr!$B$2:$C$13,2,FALSE),0)</f>
        <v>11.2</v>
      </c>
      <c r="X37" s="12">
        <f t="shared" si="14"/>
        <v>0</v>
      </c>
      <c r="Y37" s="26">
        <f t="shared" si="15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11.2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C38" s="1" t="s">
        <v>54</v>
      </c>
      <c r="D38" s="1" t="s">
        <v>97</v>
      </c>
      <c r="E38" s="3"/>
      <c r="F38" s="3"/>
      <c r="G38" s="24"/>
      <c r="H38" s="24"/>
      <c r="J38" s="1" t="s">
        <v>90</v>
      </c>
      <c r="K38" s="4"/>
      <c r="L38" s="4"/>
      <c r="M38" s="4"/>
      <c r="N38" s="4"/>
      <c r="O38" s="4" t="s">
        <v>42</v>
      </c>
      <c r="P38" s="27"/>
      <c r="Q38" s="25">
        <v>80</v>
      </c>
      <c r="R38" s="25">
        <v>0</v>
      </c>
      <c r="S38" s="12">
        <f t="shared" si="12"/>
        <v>0</v>
      </c>
      <c r="T38" s="5">
        <v>0</v>
      </c>
      <c r="U38" s="12">
        <f t="shared" si="13"/>
        <v>0</v>
      </c>
      <c r="V38" s="25" t="s">
        <v>10</v>
      </c>
      <c r="W38" s="11">
        <f>IFERROR(VLOOKUP(V38,Curr!$B$2:$C$13,2,FALSE),0)</f>
        <v>11.2</v>
      </c>
      <c r="X38" s="12">
        <f t="shared" si="14"/>
        <v>0</v>
      </c>
      <c r="Y38" s="26">
        <f>Q38/0.8</f>
        <v>100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C39" s="1" t="s">
        <v>60</v>
      </c>
      <c r="D39" s="1" t="s">
        <v>97</v>
      </c>
      <c r="E39" s="3"/>
      <c r="F39" s="3"/>
      <c r="G39" s="24"/>
      <c r="H39" s="24"/>
      <c r="J39" s="1" t="s">
        <v>95</v>
      </c>
      <c r="K39" s="4"/>
      <c r="L39" s="4"/>
      <c r="M39" s="4"/>
      <c r="N39" s="4"/>
      <c r="O39" s="4" t="s">
        <v>42</v>
      </c>
      <c r="P39" s="33"/>
      <c r="Q39" s="25">
        <v>60</v>
      </c>
      <c r="R39" s="25">
        <v>0</v>
      </c>
      <c r="S39" s="12">
        <f t="shared" si="12"/>
        <v>0</v>
      </c>
      <c r="T39" s="5">
        <v>0</v>
      </c>
      <c r="U39" s="12">
        <f t="shared" si="13"/>
        <v>0</v>
      </c>
      <c r="V39" s="25" t="s">
        <v>10</v>
      </c>
      <c r="W39" s="11">
        <f>IFERROR(VLOOKUP(V39,Curr!$B$2:$C$13,2,FALSE),0)</f>
        <v>11.2</v>
      </c>
      <c r="X39" s="12">
        <f t="shared" si="14"/>
        <v>0</v>
      </c>
      <c r="Y39" s="26">
        <f>Q39/0.75</f>
        <v>80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C40" s="1" t="s">
        <v>68</v>
      </c>
      <c r="D40" s="1" t="s">
        <v>97</v>
      </c>
      <c r="E40" s="3"/>
      <c r="F40" s="3"/>
      <c r="G40" s="24"/>
      <c r="H40" s="24"/>
      <c r="J40" s="1" t="s">
        <v>96</v>
      </c>
      <c r="K40" s="4"/>
      <c r="L40" s="4"/>
      <c r="M40" s="4"/>
      <c r="N40" s="4"/>
      <c r="O40" s="4" t="s">
        <v>42</v>
      </c>
      <c r="P40" s="27"/>
      <c r="Q40" s="25">
        <v>40</v>
      </c>
      <c r="R40" s="25">
        <v>0</v>
      </c>
      <c r="S40" s="12">
        <f t="shared" si="12"/>
        <v>0</v>
      </c>
      <c r="T40" s="5">
        <v>0</v>
      </c>
      <c r="U40" s="12">
        <f t="shared" si="13"/>
        <v>0</v>
      </c>
      <c r="V40" s="25" t="s">
        <v>10</v>
      </c>
      <c r="W40" s="11">
        <f>IFERROR(VLOOKUP(V40,Curr!$B$2:$C$13,2,FALSE),0)</f>
        <v>11.2</v>
      </c>
      <c r="X40" s="12">
        <f t="shared" si="14"/>
        <v>0</v>
      </c>
      <c r="Y40" s="26">
        <f>Q40/0.665</f>
        <v>60.150375939849624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C41" s="1" t="s">
        <v>80</v>
      </c>
      <c r="D41" s="1" t="s">
        <v>97</v>
      </c>
      <c r="E41" s="3"/>
      <c r="F41" s="3"/>
      <c r="G41" s="24"/>
      <c r="H41" s="24"/>
      <c r="J41" s="1" t="s">
        <v>106</v>
      </c>
      <c r="K41" s="4"/>
      <c r="L41" s="4"/>
      <c r="M41" s="4"/>
      <c r="N41" s="4"/>
      <c r="O41" s="4" t="s">
        <v>42</v>
      </c>
      <c r="P41" s="27"/>
      <c r="Q41" s="25">
        <v>40</v>
      </c>
      <c r="R41" s="25">
        <v>0</v>
      </c>
      <c r="S41" s="12">
        <f t="shared" si="12"/>
        <v>0</v>
      </c>
      <c r="T41" s="5">
        <v>0</v>
      </c>
      <c r="U41" s="12">
        <f t="shared" si="13"/>
        <v>0</v>
      </c>
      <c r="V41" s="25" t="s">
        <v>10</v>
      </c>
      <c r="W41" s="11">
        <f>IFERROR(VLOOKUP(V41,Curr!$B$2:$C$13,2,FALSE),0)</f>
        <v>11.2</v>
      </c>
      <c r="X41" s="12">
        <f t="shared" si="14"/>
        <v>0</v>
      </c>
      <c r="Y41" s="26">
        <f>Q41/0.665</f>
        <v>60.150375939849624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80</v>
      </c>
      <c r="D42" s="1" t="s">
        <v>97</v>
      </c>
      <c r="E42" s="3"/>
      <c r="F42" s="3"/>
      <c r="G42" s="24"/>
      <c r="H42" s="24"/>
      <c r="J42" s="1" t="s">
        <v>113</v>
      </c>
      <c r="K42" s="4"/>
      <c r="L42" s="4"/>
      <c r="M42" s="4"/>
      <c r="N42" s="4"/>
      <c r="O42" s="4"/>
      <c r="P42" s="33" t="s">
        <v>118</v>
      </c>
      <c r="Q42" s="25">
        <v>35</v>
      </c>
      <c r="R42" s="25">
        <v>0</v>
      </c>
      <c r="S42" s="12">
        <f t="shared" ref="S42" si="16">+Q42*R42</f>
        <v>0</v>
      </c>
      <c r="T42" s="5">
        <v>0</v>
      </c>
      <c r="U42" s="12">
        <f t="shared" ref="U42" si="17">S42*(1-T42)</f>
        <v>0</v>
      </c>
      <c r="V42" s="25" t="s">
        <v>10</v>
      </c>
      <c r="W42" s="11">
        <f>IFERROR(VLOOKUP(V42,Curr!$B$2:$C$13,2,FALSE),0)</f>
        <v>11.2</v>
      </c>
      <c r="X42" s="12">
        <f t="shared" ref="X42" si="18">U42*W42</f>
        <v>0</v>
      </c>
      <c r="Y42" s="26">
        <f>Q42/0.785</f>
        <v>44.585987261146492</v>
      </c>
      <c r="Z42" s="12">
        <f t="shared" ref="Z42" si="19">+Y42*R42</f>
        <v>0</v>
      </c>
      <c r="AA42" s="4" t="s">
        <v>10</v>
      </c>
      <c r="AB42" s="11">
        <f>IFERROR(VLOOKUP(AA42,Curr!$B$2:$C$13,2,FALSE),0)</f>
        <v>11.2</v>
      </c>
      <c r="AC42" s="12">
        <f t="shared" ref="AC42" si="20">+Y42*AB42*R42</f>
        <v>0</v>
      </c>
      <c r="AD42" s="12">
        <f t="shared" ref="AD42" si="21">+AC42-X42</f>
        <v>0</v>
      </c>
      <c r="AE42" s="13">
        <f t="shared" ref="AE42" si="22">IFERROR(AD42/AC42,0)</f>
        <v>0</v>
      </c>
    </row>
    <row r="43" spans="2:31" x14ac:dyDescent="0.25">
      <c r="B43" s="4"/>
      <c r="C43" s="1" t="s">
        <v>82</v>
      </c>
      <c r="D43" s="1" t="s">
        <v>97</v>
      </c>
      <c r="E43" s="3"/>
      <c r="F43" s="3"/>
      <c r="G43" s="24"/>
      <c r="H43" s="24"/>
      <c r="J43" s="1" t="s">
        <v>114</v>
      </c>
      <c r="K43" s="4"/>
      <c r="L43" s="4"/>
      <c r="M43" s="4"/>
      <c r="N43" s="4"/>
      <c r="O43" s="4"/>
      <c r="P43" s="33" t="s">
        <v>117</v>
      </c>
      <c r="Q43" s="25">
        <v>90</v>
      </c>
      <c r="R43" s="25">
        <v>0</v>
      </c>
      <c r="S43" s="12">
        <f t="shared" ref="S43" si="23">+Q43*R43</f>
        <v>0</v>
      </c>
      <c r="T43" s="5">
        <v>0</v>
      </c>
      <c r="U43" s="12">
        <f t="shared" ref="U43" si="24">S43*(1-T43)</f>
        <v>0</v>
      </c>
      <c r="V43" s="25" t="s">
        <v>10</v>
      </c>
      <c r="W43" s="11">
        <f>IFERROR(VLOOKUP(V43,Curr!$B$2:$C$13,2,FALSE),0)</f>
        <v>11.2</v>
      </c>
      <c r="X43" s="12">
        <f t="shared" ref="X43" si="25">U43*W43</f>
        <v>0</v>
      </c>
      <c r="Y43" s="26">
        <f>Q43/0.785</f>
        <v>114.64968152866241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/>
      <c r="R44" s="25"/>
      <c r="S44" s="12">
        <f t="shared" ref="S44" si="26">+Q44*R44</f>
        <v>0</v>
      </c>
      <c r="T44" s="5">
        <v>0</v>
      </c>
      <c r="U44" s="12">
        <f t="shared" ref="U44" si="27">S44*(1-T44)</f>
        <v>0</v>
      </c>
      <c r="V44" s="25" t="s">
        <v>10</v>
      </c>
      <c r="W44" s="11">
        <f>IFERROR(VLOOKUP(V44,Curr!$B$2:$C$13,2,FALSE),0)</f>
        <v>11.2</v>
      </c>
      <c r="X44" s="12">
        <f t="shared" ref="X44" si="28">U44*W44</f>
        <v>0</v>
      </c>
      <c r="Y44" s="26">
        <f t="shared" ref="Y44" si="29">Q44/0.665</f>
        <v>0</v>
      </c>
      <c r="Z44" s="12">
        <f t="shared" ref="Z44" si="30">+Y44*R44</f>
        <v>0</v>
      </c>
      <c r="AA44" s="4" t="s">
        <v>10</v>
      </c>
      <c r="AB44" s="11">
        <f>IFERROR(VLOOKUP(AA44,Curr!$B$2:$C$13,2,FALSE),0)</f>
        <v>11.2</v>
      </c>
      <c r="AC44" s="12">
        <f t="shared" ref="AC44" si="31">+Y44*AB44*R44</f>
        <v>0</v>
      </c>
      <c r="AD44" s="12">
        <f t="shared" ref="AD44" si="32">+AC44-X44</f>
        <v>0</v>
      </c>
      <c r="AE44" s="13">
        <f t="shared" ref="AE44" si="33">IFERROR(AD44/AC44,0)</f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/>
      <c r="R45" s="25"/>
      <c r="S45" s="12">
        <f t="shared" si="12"/>
        <v>0</v>
      </c>
      <c r="T45" s="5">
        <v>0</v>
      </c>
      <c r="U45" s="12">
        <f t="shared" si="13"/>
        <v>0</v>
      </c>
      <c r="V45" s="25" t="s">
        <v>10</v>
      </c>
      <c r="W45" s="11">
        <f>IFERROR(VLOOKUP(V45,Curr!$B$2:$C$13,2,FALSE),0)</f>
        <v>11.2</v>
      </c>
      <c r="X45" s="12">
        <f t="shared" si="14"/>
        <v>0</v>
      </c>
      <c r="Y45" s="26">
        <f t="shared" ref="Y45" si="34">Q45</f>
        <v>0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C46" s="1" t="s">
        <v>60</v>
      </c>
      <c r="D46" s="1" t="s">
        <v>98</v>
      </c>
      <c r="E46" s="3"/>
      <c r="F46" s="3"/>
      <c r="G46" s="24"/>
      <c r="H46" s="24"/>
      <c r="J46" s="1" t="s">
        <v>91</v>
      </c>
      <c r="K46" s="4"/>
      <c r="L46" s="4"/>
      <c r="M46" s="4"/>
      <c r="N46" s="4"/>
      <c r="O46" s="4" t="s">
        <v>42</v>
      </c>
      <c r="P46" s="29" t="s">
        <v>92</v>
      </c>
      <c r="Q46" s="25">
        <f>(40+40)+(50*2)</f>
        <v>180</v>
      </c>
      <c r="R46" s="25">
        <v>0</v>
      </c>
      <c r="S46" s="12">
        <f t="shared" si="12"/>
        <v>0</v>
      </c>
      <c r="T46" s="5">
        <v>0</v>
      </c>
      <c r="U46" s="12">
        <f t="shared" si="13"/>
        <v>0</v>
      </c>
      <c r="V46" s="25" t="s">
        <v>10</v>
      </c>
      <c r="W46" s="11">
        <f>IFERROR(VLOOKUP(V46,Curr!$B$2:$C$13,2,FALSE),0)</f>
        <v>11.2</v>
      </c>
      <c r="X46" s="12">
        <f t="shared" si="14"/>
        <v>0</v>
      </c>
      <c r="Y46" s="26">
        <f>Q46/0.8</f>
        <v>225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60</v>
      </c>
      <c r="D47" s="1" t="s">
        <v>98</v>
      </c>
      <c r="E47" s="3"/>
      <c r="F47" s="3"/>
      <c r="G47" s="24"/>
      <c r="H47" s="24"/>
      <c r="J47" s="1" t="s">
        <v>93</v>
      </c>
      <c r="K47" s="4"/>
      <c r="L47" s="4"/>
      <c r="M47" s="4"/>
      <c r="N47" s="4"/>
      <c r="O47" s="4" t="s">
        <v>42</v>
      </c>
      <c r="P47" s="33" t="s">
        <v>94</v>
      </c>
      <c r="Q47" s="25">
        <v>25</v>
      </c>
      <c r="R47" s="25">
        <v>0</v>
      </c>
      <c r="S47" s="12">
        <f t="shared" si="12"/>
        <v>0</v>
      </c>
      <c r="T47" s="5">
        <v>0</v>
      </c>
      <c r="U47" s="12">
        <f t="shared" si="13"/>
        <v>0</v>
      </c>
      <c r="V47" s="25" t="s">
        <v>10</v>
      </c>
      <c r="W47" s="11">
        <f>IFERROR(VLOOKUP(V47,Curr!$B$2:$C$13,2,FALSE),0)</f>
        <v>11.2</v>
      </c>
      <c r="X47" s="12">
        <f t="shared" si="14"/>
        <v>0</v>
      </c>
      <c r="Y47" s="26">
        <f>Q47/0.62</f>
        <v>40.322580645161288</v>
      </c>
      <c r="Z47" s="12">
        <f t="shared" si="2"/>
        <v>0</v>
      </c>
      <c r="AA47" s="4" t="s">
        <v>10</v>
      </c>
      <c r="AB47" s="11">
        <f>IFERROR(VLOOKUP(AA47,Curr!$B$2:$C$13,2,FALSE),0)</f>
        <v>11.2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C48" s="1" t="s">
        <v>72</v>
      </c>
      <c r="D48" s="1" t="s">
        <v>98</v>
      </c>
      <c r="E48" s="3"/>
      <c r="F48" s="3"/>
      <c r="G48" s="24"/>
      <c r="H48" s="24"/>
      <c r="J48" s="1" t="s">
        <v>99</v>
      </c>
      <c r="K48" s="4"/>
      <c r="L48" s="4"/>
      <c r="M48" s="4"/>
      <c r="N48" s="4"/>
      <c r="O48" s="4" t="s">
        <v>42</v>
      </c>
      <c r="P48" s="33" t="s">
        <v>100</v>
      </c>
      <c r="Q48" s="25">
        <v>252</v>
      </c>
      <c r="R48" s="25">
        <v>0</v>
      </c>
      <c r="S48" s="12">
        <f t="shared" si="12"/>
        <v>0</v>
      </c>
      <c r="T48" s="5">
        <v>0.2</v>
      </c>
      <c r="U48" s="12">
        <f t="shared" si="13"/>
        <v>0</v>
      </c>
      <c r="V48" s="25" t="s">
        <v>10</v>
      </c>
      <c r="W48" s="11">
        <f>IFERROR(VLOOKUP(V48,Curr!$B$2:$C$13,2,FALSE),0)</f>
        <v>11.2</v>
      </c>
      <c r="X48" s="12">
        <f t="shared" si="14"/>
        <v>0</v>
      </c>
      <c r="Y48" s="26">
        <f t="shared" ref="Y48" si="35">Q48</f>
        <v>252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C49" s="1" t="s">
        <v>77</v>
      </c>
      <c r="D49" s="1" t="s">
        <v>98</v>
      </c>
      <c r="E49" s="3"/>
      <c r="F49" s="3"/>
      <c r="G49" s="24"/>
      <c r="H49" s="24"/>
      <c r="J49" s="1" t="s">
        <v>101</v>
      </c>
      <c r="K49" s="4"/>
      <c r="L49" s="4"/>
      <c r="M49" s="4"/>
      <c r="N49" s="4"/>
      <c r="O49" s="4" t="s">
        <v>42</v>
      </c>
      <c r="P49" s="33" t="s">
        <v>102</v>
      </c>
      <c r="Q49" s="25">
        <v>500</v>
      </c>
      <c r="R49" s="25">
        <v>0</v>
      </c>
      <c r="S49" s="12">
        <f t="shared" si="12"/>
        <v>0</v>
      </c>
      <c r="T49" s="5">
        <v>0.12</v>
      </c>
      <c r="U49" s="12">
        <f t="shared" si="13"/>
        <v>0</v>
      </c>
      <c r="V49" s="25" t="s">
        <v>10</v>
      </c>
      <c r="W49" s="11">
        <f>IFERROR(VLOOKUP(V49,Curr!$B$2:$C$13,2,FALSE),0)</f>
        <v>11.2</v>
      </c>
      <c r="X49" s="12">
        <f t="shared" si="14"/>
        <v>0</v>
      </c>
      <c r="Y49" s="26">
        <f>Q49/0.97</f>
        <v>515.46391752577324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C50" s="1" t="s">
        <v>77</v>
      </c>
      <c r="D50" s="1" t="s">
        <v>98</v>
      </c>
      <c r="E50" s="3"/>
      <c r="F50" s="3"/>
      <c r="G50" s="24"/>
      <c r="H50" s="24"/>
      <c r="J50" s="1" t="s">
        <v>169</v>
      </c>
      <c r="K50" s="4"/>
      <c r="L50" s="4"/>
      <c r="M50" s="4"/>
      <c r="N50" s="4"/>
      <c r="O50" s="4"/>
      <c r="P50" s="27" t="s">
        <v>148</v>
      </c>
      <c r="Q50" s="25">
        <v>159</v>
      </c>
      <c r="R50" s="25">
        <v>0</v>
      </c>
      <c r="S50" s="12">
        <f t="shared" si="12"/>
        <v>0</v>
      </c>
      <c r="T50" s="5">
        <v>0.3</v>
      </c>
      <c r="U50" s="12">
        <f t="shared" si="13"/>
        <v>0</v>
      </c>
      <c r="V50" s="25" t="s">
        <v>10</v>
      </c>
      <c r="W50" s="11">
        <f>IFERROR(VLOOKUP(V50,Curr!$B$2:$C$13,2,FALSE),0)</f>
        <v>11.2</v>
      </c>
      <c r="X50" s="12">
        <f t="shared" si="14"/>
        <v>0</v>
      </c>
      <c r="Y50" s="26">
        <f t="shared" ref="Y50" si="36">Q50</f>
        <v>159</v>
      </c>
      <c r="Z50" s="12">
        <f t="shared" ref="Z50" si="37">+Y50*R50</f>
        <v>0</v>
      </c>
      <c r="AA50" s="4" t="s">
        <v>10</v>
      </c>
      <c r="AB50" s="11">
        <f>IFERROR(VLOOKUP(AA50,Curr!$B$2:$C$13,2,FALSE),0)</f>
        <v>11.2</v>
      </c>
      <c r="AC50" s="12">
        <f t="shared" ref="AC50" si="38">+Y50*AB50*R50</f>
        <v>0</v>
      </c>
      <c r="AD50" s="12">
        <f t="shared" ref="AD50" si="39">+AC50-X50</f>
        <v>0</v>
      </c>
      <c r="AE50" s="13">
        <f t="shared" ref="AE50" si="40">IFERROR(AD50/AC50,0)</f>
        <v>0</v>
      </c>
    </row>
    <row r="51" spans="2:36" x14ac:dyDescent="0.25">
      <c r="B51" s="4"/>
      <c r="C51" s="1" t="s">
        <v>80</v>
      </c>
      <c r="D51" s="1" t="s">
        <v>98</v>
      </c>
      <c r="E51" s="3"/>
      <c r="F51" s="3"/>
      <c r="G51" s="24"/>
      <c r="H51" s="24"/>
      <c r="J51" s="1" t="s">
        <v>115</v>
      </c>
      <c r="K51" s="4"/>
      <c r="L51" s="4"/>
      <c r="M51" s="4"/>
      <c r="N51" s="4"/>
      <c r="O51" s="4" t="s">
        <v>42</v>
      </c>
      <c r="P51" s="33" t="s">
        <v>116</v>
      </c>
      <c r="Q51" s="25">
        <v>115</v>
      </c>
      <c r="R51" s="25">
        <v>0</v>
      </c>
      <c r="S51" s="12">
        <f t="shared" si="12"/>
        <v>0</v>
      </c>
      <c r="T51" s="5">
        <v>0.2</v>
      </c>
      <c r="U51" s="12">
        <f t="shared" si="13"/>
        <v>0</v>
      </c>
      <c r="V51" s="25" t="s">
        <v>10</v>
      </c>
      <c r="W51" s="11">
        <f>IFERROR(VLOOKUP(V51,Curr!$B$2:$C$13,2,FALSE),0)</f>
        <v>11.2</v>
      </c>
      <c r="X51" s="12">
        <f t="shared" si="14"/>
        <v>0</v>
      </c>
      <c r="Y51" s="26">
        <f t="shared" ref="Y51" si="41">Q51</f>
        <v>115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33"/>
      <c r="Q52" s="25"/>
      <c r="R52" s="25"/>
      <c r="S52" s="12">
        <f t="shared" si="12"/>
        <v>0</v>
      </c>
      <c r="T52" s="5">
        <v>0</v>
      </c>
      <c r="U52" s="12">
        <f t="shared" si="13"/>
        <v>0</v>
      </c>
      <c r="V52" s="25" t="s">
        <v>10</v>
      </c>
      <c r="W52" s="11">
        <f>IFERROR(VLOOKUP(V52,Curr!$B$2:$C$13,2,FALSE),0)</f>
        <v>11.2</v>
      </c>
      <c r="X52" s="12">
        <f t="shared" si="14"/>
        <v>0</v>
      </c>
      <c r="Y52" s="26">
        <f t="shared" si="15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11.2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/>
      <c r="R53" s="25"/>
      <c r="S53" s="12">
        <f t="shared" si="12"/>
        <v>0</v>
      </c>
      <c r="T53" s="5">
        <v>0</v>
      </c>
      <c r="U53" s="12">
        <f t="shared" si="13"/>
        <v>0</v>
      </c>
      <c r="V53" s="25" t="s">
        <v>10</v>
      </c>
      <c r="W53" s="11">
        <f>IFERROR(VLOOKUP(V53,Curr!$B$2:$C$13,2,FALSE),0)</f>
        <v>11.2</v>
      </c>
      <c r="X53" s="12">
        <f t="shared" si="14"/>
        <v>0</v>
      </c>
      <c r="Y53" s="26">
        <f t="shared" si="15"/>
        <v>0</v>
      </c>
      <c r="Z53" s="12">
        <f t="shared" si="2"/>
        <v>0</v>
      </c>
      <c r="AA53" s="4" t="s">
        <v>10</v>
      </c>
      <c r="AB53" s="11">
        <f>IFERROR(VLOOKUP(AA53,Curr!$B$2:$C$13,2,FALSE),0)</f>
        <v>11.2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12"/>
        <v>0</v>
      </c>
      <c r="T54" s="5">
        <v>0</v>
      </c>
      <c r="U54" s="12">
        <f t="shared" si="13"/>
        <v>0</v>
      </c>
      <c r="V54" s="25" t="s">
        <v>10</v>
      </c>
      <c r="W54" s="11">
        <f>IFERROR(VLOOKUP(V54,Curr!$B$2:$C$13,2,FALSE),0)</f>
        <v>11.2</v>
      </c>
      <c r="X54" s="12">
        <f t="shared" si="14"/>
        <v>0</v>
      </c>
      <c r="Y54" s="26">
        <f t="shared" si="15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11.2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12"/>
        <v>0</v>
      </c>
      <c r="T55" s="5">
        <v>0</v>
      </c>
      <c r="U55" s="12">
        <f t="shared" si="13"/>
        <v>0</v>
      </c>
      <c r="V55" s="25" t="s">
        <v>10</v>
      </c>
      <c r="W55" s="11">
        <f>IFERROR(VLOOKUP(V55,Curr!$B$2:$C$13,2,FALSE),0)</f>
        <v>11.2</v>
      </c>
      <c r="X55" s="12">
        <f t="shared" si="14"/>
        <v>0</v>
      </c>
      <c r="Y55" s="26">
        <f t="shared" si="15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11.2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12"/>
        <v>0</v>
      </c>
      <c r="T56" s="5">
        <v>0</v>
      </c>
      <c r="U56" s="12">
        <f t="shared" si="13"/>
        <v>0</v>
      </c>
      <c r="V56" s="25" t="s">
        <v>10</v>
      </c>
      <c r="W56" s="11">
        <f>IFERROR(VLOOKUP(V56,Curr!$B$2:$C$13,2,FALSE),0)</f>
        <v>11.2</v>
      </c>
      <c r="X56" s="12">
        <f t="shared" si="14"/>
        <v>0</v>
      </c>
      <c r="Y56" s="26">
        <f t="shared" si="15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11.2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6" x14ac:dyDescent="0.25">
      <c r="B57" s="4"/>
      <c r="E57" s="3"/>
      <c r="F57" s="3"/>
      <c r="G57" s="3"/>
      <c r="H57" s="3"/>
      <c r="L57" s="4"/>
      <c r="M57" s="4"/>
      <c r="N57" s="4"/>
      <c r="O57" s="4"/>
      <c r="P57" s="22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6" x14ac:dyDescent="0.25">
      <c r="B58" s="14" t="s">
        <v>18</v>
      </c>
      <c r="C58" s="14"/>
      <c r="D58" s="28" t="s">
        <v>42</v>
      </c>
      <c r="E58" s="30" t="s">
        <v>42</v>
      </c>
      <c r="F58" s="30" t="s">
        <v>42</v>
      </c>
      <c r="G58" s="30" t="s">
        <v>42</v>
      </c>
      <c r="H58" s="30" t="s">
        <v>42</v>
      </c>
      <c r="I58" s="28" t="s">
        <v>42</v>
      </c>
      <c r="J58" s="28" t="s">
        <v>42</v>
      </c>
      <c r="K58" s="28" t="s">
        <v>42</v>
      </c>
      <c r="L58" s="28" t="s">
        <v>42</v>
      </c>
      <c r="M58" s="28" t="s">
        <v>42</v>
      </c>
      <c r="N58" s="28" t="s">
        <v>42</v>
      </c>
      <c r="O58" s="28" t="s">
        <v>42</v>
      </c>
      <c r="P58" s="28" t="s">
        <v>42</v>
      </c>
      <c r="Q58" s="31" t="s">
        <v>42</v>
      </c>
      <c r="R58" s="28" t="s">
        <v>42</v>
      </c>
      <c r="S58" s="32" t="s">
        <v>42</v>
      </c>
      <c r="T58" s="28" t="s">
        <v>42</v>
      </c>
      <c r="U58" s="32" t="s">
        <v>42</v>
      </c>
      <c r="V58" s="28" t="s">
        <v>42</v>
      </c>
      <c r="W58" s="28" t="s">
        <v>42</v>
      </c>
      <c r="X58" s="32" t="s">
        <v>42</v>
      </c>
      <c r="Y58" s="32" t="s">
        <v>42</v>
      </c>
      <c r="Z58" s="15">
        <f>SUM(Z7:Z56)</f>
        <v>3086.4254385964914</v>
      </c>
      <c r="AA58" s="14"/>
      <c r="AB58" s="14"/>
      <c r="AC58" s="15">
        <f>SUM(AC7:AC56)</f>
        <v>34567.964912280695</v>
      </c>
      <c r="AD58" s="15">
        <f>SUM(AD7:AD56)</f>
        <v>7094.3649122807019</v>
      </c>
      <c r="AE58" s="21">
        <f t="shared" ref="AE58" si="42">IFERROR(AD58/AC58,0)</f>
        <v>0.20522946405098733</v>
      </c>
      <c r="AF58" s="15">
        <f>SUM(AF8:AF57)</f>
        <v>0</v>
      </c>
      <c r="AG58" s="15">
        <f>SUM(AG8:AG57)</f>
        <v>0</v>
      </c>
      <c r="AH58" s="15">
        <f>SUM(AH8:AH57)</f>
        <v>0</v>
      </c>
      <c r="AI58" s="15">
        <f>SUM(AI8:AI57)</f>
        <v>0</v>
      </c>
      <c r="AJ58" s="15">
        <f>SUM(AJ8:AJ57)</f>
        <v>0</v>
      </c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4"/>
      <c r="R59" s="4"/>
      <c r="S59" s="4"/>
      <c r="T59" s="4"/>
      <c r="U59" s="4"/>
      <c r="V59" s="4"/>
      <c r="W59" s="4"/>
      <c r="X59" s="4"/>
      <c r="Y59" s="9"/>
      <c r="Z59" s="9"/>
      <c r="AA59" s="9"/>
      <c r="AB59" s="9"/>
      <c r="AC59" s="9"/>
      <c r="AD59" s="9"/>
      <c r="AE59" s="9"/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Q60" s="9"/>
      <c r="R60" s="9"/>
      <c r="S60" s="9"/>
      <c r="T60" s="9"/>
      <c r="U60" s="9"/>
      <c r="V60" s="9"/>
      <c r="W60" s="9"/>
      <c r="X60" s="23"/>
      <c r="Y60" s="34" t="s">
        <v>103</v>
      </c>
      <c r="Z60" s="34">
        <v>1800</v>
      </c>
      <c r="AA60" s="9"/>
      <c r="AB60" s="9"/>
      <c r="AC60" s="9"/>
      <c r="AD60" s="9"/>
      <c r="AE60" s="9"/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4"/>
      <c r="Q61" s="9"/>
      <c r="R61" s="9"/>
      <c r="S61" s="9"/>
      <c r="T61" s="9"/>
      <c r="U61" s="9"/>
      <c r="V61" s="9"/>
      <c r="W61" s="9"/>
      <c r="X61" s="9"/>
      <c r="Y61" s="35" t="s">
        <v>104</v>
      </c>
      <c r="Z61" s="34">
        <f>Y9+Y14+Y17</f>
        <v>1255</v>
      </c>
      <c r="AA61" s="9"/>
      <c r="AB61" s="9"/>
      <c r="AC61" s="9"/>
      <c r="AD61" s="9"/>
      <c r="AE61" s="9"/>
      <c r="AF61" s="18"/>
    </row>
    <row r="62" spans="2:36" x14ac:dyDescent="0.25">
      <c r="B62" s="4"/>
      <c r="E62" s="3"/>
      <c r="F62" s="3"/>
      <c r="G62" s="3"/>
      <c r="H62" s="3"/>
      <c r="I62" s="19"/>
      <c r="L62" s="4"/>
      <c r="M62" s="4"/>
      <c r="N62" s="4"/>
      <c r="O62" s="20"/>
      <c r="Q62" s="20"/>
      <c r="R62" s="20"/>
      <c r="S62" s="20"/>
      <c r="T62" s="20"/>
      <c r="U62" s="20"/>
      <c r="V62" s="20"/>
      <c r="W62" s="20"/>
      <c r="X62" s="20"/>
      <c r="Y62" s="34" t="s">
        <v>105</v>
      </c>
      <c r="Z62" s="34">
        <v>3460</v>
      </c>
      <c r="AA62" s="9"/>
      <c r="AB62" s="9"/>
      <c r="AC62" s="9"/>
      <c r="AD62" s="9"/>
      <c r="AE62" s="9"/>
      <c r="AF62" s="18"/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20"/>
      <c r="Q63" s="20"/>
      <c r="R63" s="20"/>
      <c r="S63" s="20"/>
      <c r="T63" s="20"/>
      <c r="U63" s="20"/>
      <c r="V63" s="20"/>
      <c r="W63" s="20"/>
      <c r="X63" s="20"/>
      <c r="Y63" s="34" t="s">
        <v>43</v>
      </c>
      <c r="Z63" s="34">
        <f>Z62/2</f>
        <v>1730</v>
      </c>
      <c r="AA63" s="9"/>
      <c r="AB63" s="9"/>
      <c r="AC63" s="9"/>
      <c r="AD63" s="9"/>
      <c r="AE63" s="9"/>
      <c r="AF63" s="18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4"/>
      <c r="Q64" s="9"/>
      <c r="R64" s="9"/>
      <c r="S64" s="9"/>
      <c r="T64" s="9"/>
      <c r="U64" s="9"/>
      <c r="V64" s="9"/>
      <c r="W64" s="9"/>
      <c r="X64" s="9"/>
      <c r="Y64" s="1"/>
      <c r="Z64" s="1"/>
      <c r="AA64" s="9"/>
      <c r="AB64" s="9"/>
      <c r="AC64" s="9"/>
      <c r="AD64" s="9"/>
      <c r="AE64" s="9"/>
      <c r="AF64" s="18"/>
    </row>
    <row r="65" spans="6:31" x14ac:dyDescent="0.25">
      <c r="F65" s="1"/>
      <c r="G65" s="1"/>
      <c r="H65" s="1"/>
      <c r="J65" s="1" t="s">
        <v>32</v>
      </c>
      <c r="Q65" s="9"/>
      <c r="R65" s="4"/>
      <c r="S65" s="9"/>
      <c r="T65" s="5"/>
      <c r="U65" s="9"/>
      <c r="V65" s="4"/>
      <c r="W65" s="4"/>
      <c r="X65" s="9"/>
      <c r="Y65" s="9" t="s">
        <v>44</v>
      </c>
      <c r="Z65" s="9">
        <f>Z62-Z66</f>
        <v>1650</v>
      </c>
      <c r="AA65" s="9"/>
      <c r="AB65" s="9"/>
      <c r="AC65" s="9"/>
      <c r="AD65" s="9"/>
      <c r="AE65" s="9"/>
    </row>
    <row r="66" spans="6:31" x14ac:dyDescent="0.25">
      <c r="R66" s="4"/>
      <c r="S66" s="17"/>
      <c r="T66" s="17"/>
      <c r="U66" s="9"/>
      <c r="V66" s="4"/>
      <c r="W66" s="4"/>
      <c r="X66" s="9"/>
      <c r="Y66" s="9" t="s">
        <v>45</v>
      </c>
      <c r="Z66" s="9">
        <v>1810</v>
      </c>
      <c r="AA66" s="9"/>
      <c r="AB66" s="9"/>
      <c r="AC66" s="9"/>
      <c r="AD66" s="9"/>
      <c r="AE66" s="9"/>
    </row>
    <row r="67" spans="6:31" x14ac:dyDescent="0.25">
      <c r="Q67" s="9"/>
      <c r="R67" s="4"/>
      <c r="S67" s="16"/>
      <c r="T67" s="16"/>
      <c r="U67" s="9"/>
      <c r="V67" s="4"/>
      <c r="W67" s="4"/>
      <c r="X67" s="9"/>
      <c r="Y67" s="9"/>
      <c r="Z67" s="9"/>
      <c r="AA67" s="9"/>
      <c r="AB67" s="9"/>
      <c r="AC67" s="9"/>
      <c r="AD67" s="9"/>
      <c r="AE67" s="9"/>
    </row>
    <row r="68" spans="6:31" x14ac:dyDescent="0.25">
      <c r="R68" s="4"/>
      <c r="S68" s="16"/>
      <c r="T68" s="16"/>
      <c r="Y68" s="9" t="s">
        <v>46</v>
      </c>
      <c r="Z68" s="9">
        <v>1810</v>
      </c>
      <c r="AA68" s="9"/>
      <c r="AB68" s="9"/>
      <c r="AC68" s="9"/>
      <c r="AD68" s="9"/>
      <c r="AE68" s="9"/>
    </row>
    <row r="69" spans="6:31" x14ac:dyDescent="0.25">
      <c r="T69" s="5"/>
      <c r="Y69" s="9" t="s">
        <v>47</v>
      </c>
      <c r="Z69" s="9">
        <f>Z62-Z68</f>
        <v>1650</v>
      </c>
      <c r="AA69" s="9"/>
      <c r="AB69" s="9"/>
      <c r="AC69" s="9"/>
      <c r="AD69" s="9"/>
      <c r="AE69" s="9"/>
    </row>
    <row r="70" spans="6:31" x14ac:dyDescent="0.25">
      <c r="T70" s="5"/>
      <c r="Y70" s="9"/>
      <c r="Z70" s="9"/>
      <c r="AA70" s="9"/>
      <c r="AB70" s="9"/>
      <c r="AC70" s="9"/>
      <c r="AD70" s="9"/>
      <c r="AE70" s="9"/>
    </row>
    <row r="71" spans="6:31" x14ac:dyDescent="0.25">
      <c r="T71" s="5"/>
      <c r="Y71" s="9"/>
      <c r="Z71" s="9"/>
      <c r="AA71" s="9"/>
      <c r="AB71" s="9"/>
      <c r="AC71" s="9"/>
      <c r="AD71" s="9"/>
      <c r="AE71" s="9"/>
    </row>
    <row r="72" spans="6:31" x14ac:dyDescent="0.25">
      <c r="T72" s="5"/>
      <c r="Y72" s="43" t="s">
        <v>236</v>
      </c>
      <c r="Z72" s="1">
        <v>3080</v>
      </c>
      <c r="AA72" s="9"/>
      <c r="AB72" s="9"/>
      <c r="AC72" s="9"/>
      <c r="AD72" s="9"/>
      <c r="AE72" s="9"/>
    </row>
    <row r="73" spans="6:31" x14ac:dyDescent="0.25">
      <c r="T73" s="5"/>
      <c r="Y73" s="44" t="s">
        <v>237</v>
      </c>
      <c r="Z73" s="9">
        <f>Z72*1.15</f>
        <v>3541.9999999999995</v>
      </c>
      <c r="AA73" s="9"/>
      <c r="AB73" s="9"/>
      <c r="AC73" s="9"/>
      <c r="AD73" s="9"/>
      <c r="AE73" s="9"/>
    </row>
    <row r="74" spans="6:31" x14ac:dyDescent="0.25">
      <c r="T74" s="5"/>
      <c r="Y74" s="44" t="s">
        <v>238</v>
      </c>
      <c r="Z74" s="9">
        <f>Z72*1.2</f>
        <v>3696</v>
      </c>
      <c r="AA74" s="9"/>
      <c r="AB74" s="9"/>
      <c r="AC74" s="9"/>
      <c r="AD74" s="9"/>
      <c r="AE74" s="9"/>
    </row>
    <row r="75" spans="6:31" x14ac:dyDescent="0.25">
      <c r="T75" s="5"/>
      <c r="Y75" s="44" t="s">
        <v>239</v>
      </c>
      <c r="Z75" s="9">
        <f>Z72*0.84</f>
        <v>2587.1999999999998</v>
      </c>
      <c r="AA75" s="9"/>
      <c r="AB75" s="9"/>
      <c r="AC75" s="9"/>
      <c r="AD75" s="9"/>
      <c r="AE75" s="9"/>
    </row>
    <row r="76" spans="6:31" x14ac:dyDescent="0.25">
      <c r="T76" s="5"/>
      <c r="Y76" s="9"/>
      <c r="Z76" s="9"/>
      <c r="AA76" s="9"/>
      <c r="AB76" s="9"/>
      <c r="AC76" s="9"/>
      <c r="AD76" s="9"/>
      <c r="AE76" s="9"/>
    </row>
    <row r="77" spans="6:31" x14ac:dyDescent="0.25">
      <c r="T77" s="5"/>
    </row>
    <row r="78" spans="6:31" x14ac:dyDescent="0.25">
      <c r="T78" s="5"/>
    </row>
    <row r="79" spans="6:31" x14ac:dyDescent="0.25">
      <c r="T79" s="5"/>
    </row>
    <row r="80" spans="6:31" x14ac:dyDescent="0.25">
      <c r="T80" s="5"/>
    </row>
    <row r="81" spans="20:20" x14ac:dyDescent="0.25">
      <c r="T81" s="5"/>
    </row>
  </sheetData>
  <autoFilter ref="B6:AE58" xr:uid="{65FA6D9B-E0AF-46CD-BA0D-86BB75FE6AB0}"/>
  <hyperlinks>
    <hyperlink ref="P12" r:id="rId1" xr:uid="{FFD86C24-C088-4E2E-97C2-11A422154995}"/>
    <hyperlink ref="P14" r:id="rId2" xr:uid="{E3419511-71AE-48C1-92E2-F97AE4047C3B}"/>
    <hyperlink ref="P21" r:id="rId3" xr:uid="{3580C153-3E10-4C3B-80AA-B405C44E59AB}"/>
    <hyperlink ref="P23" r:id="rId4" xr:uid="{C3157671-B300-4228-935A-9B51DE298956}"/>
    <hyperlink ref="P25" r:id="rId5" xr:uid="{2B3F1A27-71B0-430A-95BA-F697F910DD88}"/>
    <hyperlink ref="P29" r:id="rId6" xr:uid="{BC924BFB-2211-4FBA-9C24-AAC2D5C905C6}"/>
    <hyperlink ref="P46" r:id="rId7" xr:uid="{EFB54745-5495-4AB7-863F-FC8022BE74DA}"/>
    <hyperlink ref="P48" r:id="rId8" xr:uid="{7A47A78A-A0C4-43E8-969D-F8FCC2AC81B0}"/>
    <hyperlink ref="P49" r:id="rId9" xr:uid="{F77CD87C-FF3A-4C8F-AA3B-788AEE4EC737}"/>
    <hyperlink ref="P51" r:id="rId10" xr:uid="{A9E72EB5-1A6F-445D-B668-450593FCEE50}"/>
    <hyperlink ref="P43" r:id="rId11" xr:uid="{4E9957B3-D27E-46C5-99FE-461D43D5E367}"/>
    <hyperlink ref="P42" r:id="rId12" xr:uid="{424F938E-BF71-4B88-9032-203FFC4FBD17}"/>
    <hyperlink ref="P19" r:id="rId13" xr:uid="{8001D60C-7FF6-4BC7-8B69-49EC4CAA9137}"/>
  </hyperlinks>
  <pageMargins left="0.7" right="0.7" top="0.75" bottom="0.75" header="0.3" footer="0.3"/>
  <pageSetup paperSize="9" orientation="portrait" r:id="rId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D26C-EAD7-407A-8B46-33D6A0669549}">
  <sheetPr>
    <tabColor rgb="FFFFFF00"/>
  </sheetPr>
  <dimension ref="B2:AK76"/>
  <sheetViews>
    <sheetView topLeftCell="A4" zoomScale="80" zoomScaleNormal="80" workbookViewId="0">
      <selection activeCell="Y22" sqref="Y2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119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4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4" si="1">U7*W7</f>
        <v>0</v>
      </c>
      <c r="Y7" s="26">
        <f>Q7</f>
        <v>0</v>
      </c>
      <c r="Z7" s="12">
        <f t="shared" ref="Z7:Z51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51" si="3">+Y7*AB7*R7</f>
        <v>0</v>
      </c>
      <c r="AD7" s="12">
        <f t="shared" ref="AD7:AD51" si="4">+AC7-X7</f>
        <v>0</v>
      </c>
      <c r="AE7" s="13">
        <f t="shared" ref="AE7:AE51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4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120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ref="S15:S51" si="9">+Q15*R15</f>
        <v>0</v>
      </c>
      <c r="T15" s="5">
        <v>0</v>
      </c>
      <c r="U15" s="12">
        <f t="shared" ref="U15:U51" si="10">S15*(1-T15)</f>
        <v>0</v>
      </c>
      <c r="V15" s="25" t="s">
        <v>10</v>
      </c>
      <c r="W15" s="11">
        <f>IFERROR(VLOOKUP(V15,Curr!$B$2:$C$13,2,FALSE),0)</f>
        <v>11.2</v>
      </c>
      <c r="X15" s="12">
        <f t="shared" ref="X15:X51" si="11">U15*W15</f>
        <v>0</v>
      </c>
      <c r="Y15" s="26">
        <f t="shared" ref="Y15:Y51" si="12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121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9"/>
        <v>0</v>
      </c>
      <c r="T16" s="5">
        <v>0</v>
      </c>
      <c r="U16" s="12">
        <f t="shared" si="10"/>
        <v>0</v>
      </c>
      <c r="V16" s="25" t="s">
        <v>10</v>
      </c>
      <c r="W16" s="11">
        <f>IFERROR(VLOOKUP(V16,Curr!$B$2:$C$13,2,FALSE),0)</f>
        <v>11.2</v>
      </c>
      <c r="X16" s="12">
        <f t="shared" si="11"/>
        <v>0</v>
      </c>
      <c r="Y16" s="26">
        <f t="shared" si="12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128</v>
      </c>
      <c r="K17" s="4"/>
      <c r="L17" s="4"/>
      <c r="M17" s="4"/>
      <c r="N17" s="4" t="s">
        <v>42</v>
      </c>
      <c r="O17" s="4"/>
      <c r="P17" s="27"/>
      <c r="Q17" s="25">
        <v>319</v>
      </c>
      <c r="R17" s="25">
        <v>1</v>
      </c>
      <c r="S17" s="12">
        <f t="shared" si="9"/>
        <v>319</v>
      </c>
      <c r="T17" s="5">
        <v>0</v>
      </c>
      <c r="U17" s="12">
        <f t="shared" si="10"/>
        <v>319</v>
      </c>
      <c r="V17" s="25" t="s">
        <v>10</v>
      </c>
      <c r="W17" s="11">
        <f>IFERROR(VLOOKUP(V17,Curr!$B$2:$C$13,2,FALSE),0)</f>
        <v>11.2</v>
      </c>
      <c r="X17" s="12">
        <f t="shared" si="11"/>
        <v>3572.7999999999997</v>
      </c>
      <c r="Y17" s="26">
        <f>Q17/0.8</f>
        <v>398.75</v>
      </c>
      <c r="Z17" s="12">
        <f t="shared" si="2"/>
        <v>398.75</v>
      </c>
      <c r="AA17" s="4" t="s">
        <v>10</v>
      </c>
      <c r="AB17" s="11">
        <f>IFERROR(VLOOKUP(AA17,Curr!$B$2:$C$13,2,FALSE),0)</f>
        <v>11.2</v>
      </c>
      <c r="AC17" s="12">
        <f t="shared" si="3"/>
        <v>4466</v>
      </c>
      <c r="AD17" s="12">
        <f t="shared" si="4"/>
        <v>893.20000000000027</v>
      </c>
      <c r="AE17" s="13">
        <f t="shared" si="5"/>
        <v>0.20000000000000007</v>
      </c>
    </row>
    <row r="18" spans="2:31" x14ac:dyDescent="0.25">
      <c r="B18" s="4"/>
      <c r="C18" s="1" t="s">
        <v>68</v>
      </c>
      <c r="D18" s="1" t="s">
        <v>61</v>
      </c>
      <c r="E18" s="3"/>
      <c r="F18" s="3"/>
      <c r="G18" s="24"/>
      <c r="H18" s="24"/>
      <c r="J18" s="1" t="s">
        <v>123</v>
      </c>
      <c r="K18" s="4"/>
      <c r="L18" s="4"/>
      <c r="M18" s="4"/>
      <c r="N18" s="4"/>
      <c r="O18" s="4" t="s">
        <v>42</v>
      </c>
      <c r="P18" s="27"/>
      <c r="Q18" s="25">
        <v>20</v>
      </c>
      <c r="R18" s="25">
        <v>2</v>
      </c>
      <c r="S18" s="12">
        <f t="shared" si="9"/>
        <v>40</v>
      </c>
      <c r="T18" s="5">
        <v>0</v>
      </c>
      <c r="U18" s="12">
        <f t="shared" si="10"/>
        <v>40</v>
      </c>
      <c r="V18" s="25" t="s">
        <v>10</v>
      </c>
      <c r="W18" s="11">
        <f>IFERROR(VLOOKUP(V18,Curr!$B$2:$C$13,2,FALSE),0)</f>
        <v>11.2</v>
      </c>
      <c r="X18" s="12">
        <f t="shared" si="11"/>
        <v>448</v>
      </c>
      <c r="Y18" s="26">
        <f>Q18/0.67</f>
        <v>29.850746268656714</v>
      </c>
      <c r="Z18" s="12">
        <f t="shared" si="2"/>
        <v>59.701492537313428</v>
      </c>
      <c r="AA18" s="4" t="s">
        <v>10</v>
      </c>
      <c r="AB18" s="11">
        <f>IFERROR(VLOOKUP(AA18,Curr!$B$2:$C$13,2,FALSE),0)</f>
        <v>11.2</v>
      </c>
      <c r="AC18" s="12">
        <f t="shared" si="3"/>
        <v>668.65671641791039</v>
      </c>
      <c r="AD18" s="12">
        <f t="shared" si="4"/>
        <v>220.65671641791039</v>
      </c>
      <c r="AE18" s="13">
        <f t="shared" si="5"/>
        <v>0.32999999999999996</v>
      </c>
    </row>
    <row r="19" spans="2:31" x14ac:dyDescent="0.25">
      <c r="B19" s="4"/>
      <c r="C19" s="1" t="s">
        <v>68</v>
      </c>
      <c r="D19" s="1" t="s">
        <v>58</v>
      </c>
      <c r="E19" s="3"/>
      <c r="F19" s="3"/>
      <c r="G19" s="24"/>
      <c r="H19" s="24"/>
      <c r="J19" s="1" t="s">
        <v>122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9"/>
        <v>0</v>
      </c>
      <c r="T19" s="5">
        <v>0</v>
      </c>
      <c r="U19" s="12">
        <f t="shared" si="10"/>
        <v>0</v>
      </c>
      <c r="V19" s="25" t="s">
        <v>10</v>
      </c>
      <c r="W19" s="11">
        <f>IFERROR(VLOOKUP(V19,Curr!$B$2:$C$13,2,FALSE),0)</f>
        <v>11.2</v>
      </c>
      <c r="X19" s="12">
        <f t="shared" si="11"/>
        <v>0</v>
      </c>
      <c r="Y19" s="26">
        <f t="shared" si="12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11.2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9"/>
        <v>0</v>
      </c>
      <c r="T20" s="5">
        <v>0</v>
      </c>
      <c r="U20" s="12">
        <f t="shared" si="10"/>
        <v>0</v>
      </c>
      <c r="V20" s="25" t="s">
        <v>10</v>
      </c>
      <c r="W20" s="11">
        <f>IFERROR(VLOOKUP(V20,Curr!$B$2:$C$13,2,FALSE),0)</f>
        <v>11.2</v>
      </c>
      <c r="X20" s="12">
        <f t="shared" si="11"/>
        <v>0</v>
      </c>
      <c r="Y20" s="26">
        <f t="shared" si="12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56</v>
      </c>
      <c r="E21" s="3"/>
      <c r="F21" s="3"/>
      <c r="G21" s="24"/>
      <c r="H21" s="24"/>
      <c r="J21" s="1" t="s">
        <v>124</v>
      </c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9"/>
        <v>0</v>
      </c>
      <c r="T21" s="5">
        <v>0</v>
      </c>
      <c r="U21" s="12">
        <f t="shared" si="10"/>
        <v>0</v>
      </c>
      <c r="V21" s="25" t="s">
        <v>10</v>
      </c>
      <c r="W21" s="11">
        <f>IFERROR(VLOOKUP(V21,Curr!$B$2:$C$13,2,FALSE),0)</f>
        <v>11.2</v>
      </c>
      <c r="X21" s="12">
        <f t="shared" si="11"/>
        <v>0</v>
      </c>
      <c r="Y21" s="26">
        <f t="shared" si="12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11.2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72</v>
      </c>
      <c r="D22" s="1" t="s">
        <v>64</v>
      </c>
      <c r="E22" s="3"/>
      <c r="F22" s="3"/>
      <c r="G22" s="24"/>
      <c r="H22" s="24"/>
      <c r="J22" s="1" t="s">
        <v>125</v>
      </c>
      <c r="K22" s="4"/>
      <c r="L22" s="4"/>
      <c r="M22" s="4"/>
      <c r="N22" s="4" t="s">
        <v>42</v>
      </c>
      <c r="O22" s="4"/>
      <c r="P22" s="33" t="s">
        <v>67</v>
      </c>
      <c r="Q22" s="25">
        <v>37</v>
      </c>
      <c r="R22" s="25">
        <v>1</v>
      </c>
      <c r="S22" s="12">
        <f t="shared" si="9"/>
        <v>37</v>
      </c>
      <c r="T22" s="5">
        <v>0</v>
      </c>
      <c r="U22" s="12">
        <f t="shared" si="10"/>
        <v>37</v>
      </c>
      <c r="V22" s="25" t="s">
        <v>10</v>
      </c>
      <c r="W22" s="11">
        <f>IFERROR(VLOOKUP(V22,Curr!$B$2:$C$13,2,FALSE),0)</f>
        <v>11.2</v>
      </c>
      <c r="X22" s="12">
        <f t="shared" si="11"/>
        <v>414.4</v>
      </c>
      <c r="Y22" s="26">
        <f>Q22/0.79</f>
        <v>46.835443037974684</v>
      </c>
      <c r="Z22" s="12">
        <f t="shared" si="2"/>
        <v>46.835443037974684</v>
      </c>
      <c r="AA22" s="4" t="s">
        <v>10</v>
      </c>
      <c r="AB22" s="11">
        <f>IFERROR(VLOOKUP(AA22,Curr!$B$2:$C$13,2,FALSE),0)</f>
        <v>11.2</v>
      </c>
      <c r="AC22" s="12">
        <f t="shared" si="3"/>
        <v>524.55696202531647</v>
      </c>
      <c r="AD22" s="12">
        <f t="shared" si="4"/>
        <v>110.15696202531649</v>
      </c>
      <c r="AE22" s="13">
        <f t="shared" si="5"/>
        <v>0.21000000000000005</v>
      </c>
    </row>
    <row r="23" spans="2:31" x14ac:dyDescent="0.25">
      <c r="B23" s="4"/>
      <c r="C23" s="1" t="s">
        <v>72</v>
      </c>
      <c r="D23" s="1" t="s">
        <v>56</v>
      </c>
      <c r="E23" s="3"/>
      <c r="F23" s="3"/>
      <c r="G23" s="24"/>
      <c r="H23" s="24"/>
      <c r="J23" s="1" t="s">
        <v>69</v>
      </c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 t="shared" si="9"/>
        <v>0</v>
      </c>
      <c r="T23" s="5">
        <v>0</v>
      </c>
      <c r="U23" s="12">
        <f t="shared" si="10"/>
        <v>0</v>
      </c>
      <c r="V23" s="25" t="s">
        <v>10</v>
      </c>
      <c r="W23" s="11">
        <f>IFERROR(VLOOKUP(V23,Curr!$B$2:$C$13,2,FALSE),0)</f>
        <v>11.2</v>
      </c>
      <c r="X23" s="12">
        <f t="shared" si="11"/>
        <v>0</v>
      </c>
      <c r="Y23" s="26">
        <f>Q23/0.8</f>
        <v>0</v>
      </c>
      <c r="Z23" s="12">
        <f t="shared" si="2"/>
        <v>0</v>
      </c>
      <c r="AA23" s="4" t="s">
        <v>10</v>
      </c>
      <c r="AB23" s="11">
        <f>IFERROR(VLOOKUP(AA23,Curr!$B$2:$C$13,2,FALSE),0)</f>
        <v>11.2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C24" s="1" t="s">
        <v>72</v>
      </c>
      <c r="D24" s="1" t="s">
        <v>57</v>
      </c>
      <c r="E24" s="3"/>
      <c r="F24" s="3"/>
      <c r="G24" s="24"/>
      <c r="H24" s="24"/>
      <c r="J24" s="1" t="s">
        <v>71</v>
      </c>
      <c r="K24" s="4"/>
      <c r="L24" s="4"/>
      <c r="M24" s="4"/>
      <c r="N24" s="4" t="s">
        <v>42</v>
      </c>
      <c r="O24" s="4"/>
      <c r="P24" s="33"/>
      <c r="Q24" s="25">
        <f>109*2*3</f>
        <v>654</v>
      </c>
      <c r="R24" s="25">
        <v>1</v>
      </c>
      <c r="S24" s="12">
        <f t="shared" si="9"/>
        <v>654</v>
      </c>
      <c r="T24" s="5">
        <v>0</v>
      </c>
      <c r="U24" s="12">
        <f t="shared" si="10"/>
        <v>654</v>
      </c>
      <c r="V24" s="25" t="s">
        <v>10</v>
      </c>
      <c r="W24" s="11">
        <f>IFERROR(VLOOKUP(V24,Curr!$B$2:$C$13,2,FALSE),0)</f>
        <v>11.2</v>
      </c>
      <c r="X24" s="12">
        <f t="shared" si="11"/>
        <v>7324.7999999999993</v>
      </c>
      <c r="Y24" s="26">
        <f>Q24/0.8</f>
        <v>817.5</v>
      </c>
      <c r="Z24" s="12">
        <f t="shared" si="2"/>
        <v>817.5</v>
      </c>
      <c r="AA24" s="4" t="s">
        <v>10</v>
      </c>
      <c r="AB24" s="11">
        <f>IFERROR(VLOOKUP(AA24,Curr!$B$2:$C$13,2,FALSE),0)</f>
        <v>11.2</v>
      </c>
      <c r="AC24" s="12">
        <f t="shared" si="3"/>
        <v>9156</v>
      </c>
      <c r="AD24" s="12">
        <f t="shared" si="4"/>
        <v>1831.2000000000007</v>
      </c>
      <c r="AE24" s="13">
        <f t="shared" si="5"/>
        <v>0.20000000000000007</v>
      </c>
    </row>
    <row r="25" spans="2:31" x14ac:dyDescent="0.25">
      <c r="B25" s="4"/>
      <c r="C25" s="1" t="s">
        <v>72</v>
      </c>
      <c r="D25" s="1" t="s">
        <v>58</v>
      </c>
      <c r="E25" s="3"/>
      <c r="F25" s="3"/>
      <c r="G25" s="24"/>
      <c r="H25" s="24"/>
      <c r="J25" s="1" t="s">
        <v>70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9"/>
        <v>0</v>
      </c>
      <c r="T25" s="5">
        <v>0</v>
      </c>
      <c r="U25" s="12">
        <f t="shared" si="10"/>
        <v>0</v>
      </c>
      <c r="V25" s="25" t="s">
        <v>10</v>
      </c>
      <c r="W25" s="11">
        <f>IFERROR(VLOOKUP(V25,Curr!$B$2:$C$13,2,FALSE),0)</f>
        <v>11.2</v>
      </c>
      <c r="X25" s="12">
        <f t="shared" si="11"/>
        <v>0</v>
      </c>
      <c r="Y25" s="26">
        <f t="shared" ref="Y25:Y26" si="13">Q25</f>
        <v>0</v>
      </c>
      <c r="Z25" s="12">
        <f t="shared" si="2"/>
        <v>0</v>
      </c>
      <c r="AA25" s="4" t="s">
        <v>10</v>
      </c>
      <c r="AB25" s="11">
        <f>IFERROR(VLOOKUP(AA25,Curr!$B$2:$C$13,2,FALSE),0)</f>
        <v>11.2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72</v>
      </c>
      <c r="D26" s="1" t="s">
        <v>61</v>
      </c>
      <c r="E26" s="3"/>
      <c r="F26" s="3"/>
      <c r="G26" s="24"/>
      <c r="H26" s="24"/>
      <c r="J26" s="1" t="s">
        <v>222</v>
      </c>
      <c r="K26" s="4"/>
      <c r="L26" s="4"/>
      <c r="M26" s="4"/>
      <c r="N26" s="4"/>
      <c r="O26" s="4" t="s">
        <v>42</v>
      </c>
      <c r="P26" s="33" t="s">
        <v>223</v>
      </c>
      <c r="Q26" s="25">
        <v>109</v>
      </c>
      <c r="R26" s="25">
        <v>2</v>
      </c>
      <c r="S26" s="12">
        <f t="shared" si="9"/>
        <v>218</v>
      </c>
      <c r="T26" s="5">
        <v>0.2</v>
      </c>
      <c r="U26" s="12">
        <f t="shared" si="10"/>
        <v>174.4</v>
      </c>
      <c r="V26" s="25" t="s">
        <v>10</v>
      </c>
      <c r="W26" s="11">
        <f>IFERROR(VLOOKUP(V26,Curr!$B$2:$C$13,2,FALSE),0)</f>
        <v>11.2</v>
      </c>
      <c r="X26" s="12">
        <f t="shared" si="11"/>
        <v>1953.28</v>
      </c>
      <c r="Y26" s="26">
        <f t="shared" si="13"/>
        <v>109</v>
      </c>
      <c r="Z26" s="12">
        <f t="shared" si="2"/>
        <v>218</v>
      </c>
      <c r="AA26" s="4" t="s">
        <v>10</v>
      </c>
      <c r="AB26" s="11">
        <f>IFERROR(VLOOKUP(AA26,Curr!$B$2:$C$13,2,FALSE),0)</f>
        <v>11.2</v>
      </c>
      <c r="AC26" s="12">
        <f t="shared" si="3"/>
        <v>2441.6</v>
      </c>
      <c r="AD26" s="12">
        <f t="shared" si="4"/>
        <v>488.31999999999994</v>
      </c>
      <c r="AE26" s="13">
        <f t="shared" si="5"/>
        <v>0.19999999999999998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9"/>
        <v>0</v>
      </c>
      <c r="T27" s="5">
        <v>0</v>
      </c>
      <c r="U27" s="12">
        <f t="shared" si="10"/>
        <v>0</v>
      </c>
      <c r="V27" s="25" t="s">
        <v>10</v>
      </c>
      <c r="W27" s="11">
        <f>IFERROR(VLOOKUP(V27,Curr!$B$2:$C$13,2,FALSE),0)</f>
        <v>11.2</v>
      </c>
      <c r="X27" s="12">
        <f t="shared" si="11"/>
        <v>0</v>
      </c>
      <c r="Y27" s="26">
        <f t="shared" si="12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77</v>
      </c>
      <c r="D28" s="1" t="s">
        <v>61</v>
      </c>
      <c r="E28" s="3"/>
      <c r="F28" s="3"/>
      <c r="G28" s="24"/>
      <c r="H28" s="24"/>
      <c r="J28" s="1" t="s">
        <v>73</v>
      </c>
      <c r="K28" s="4"/>
      <c r="L28" s="4"/>
      <c r="M28" s="4"/>
      <c r="N28" s="4"/>
      <c r="O28" s="4" t="s">
        <v>42</v>
      </c>
      <c r="P28" s="33" t="s">
        <v>74</v>
      </c>
      <c r="Q28" s="25">
        <v>188</v>
      </c>
      <c r="R28" s="25">
        <v>2</v>
      </c>
      <c r="S28" s="12">
        <f t="shared" si="9"/>
        <v>376</v>
      </c>
      <c r="T28" s="5">
        <v>0.2</v>
      </c>
      <c r="U28" s="12">
        <f t="shared" si="10"/>
        <v>300.8</v>
      </c>
      <c r="V28" s="25" t="s">
        <v>10</v>
      </c>
      <c r="W28" s="11">
        <f>IFERROR(VLOOKUP(V28,Curr!$B$2:$C$13,2,FALSE),0)</f>
        <v>11.2</v>
      </c>
      <c r="X28" s="12">
        <f t="shared" si="11"/>
        <v>3368.96</v>
      </c>
      <c r="Y28" s="26">
        <f t="shared" si="12"/>
        <v>188</v>
      </c>
      <c r="Z28" s="12">
        <f t="shared" si="2"/>
        <v>376</v>
      </c>
      <c r="AA28" s="4" t="s">
        <v>10</v>
      </c>
      <c r="AB28" s="11">
        <f>IFERROR(VLOOKUP(AA28,Curr!$B$2:$C$13,2,FALSE),0)</f>
        <v>11.2</v>
      </c>
      <c r="AC28" s="12">
        <f t="shared" si="3"/>
        <v>4211.2</v>
      </c>
      <c r="AD28" s="12">
        <f t="shared" si="4"/>
        <v>842.23999999999978</v>
      </c>
      <c r="AE28" s="13">
        <f t="shared" si="5"/>
        <v>0.19999999999999996</v>
      </c>
    </row>
    <row r="29" spans="2:31" x14ac:dyDescent="0.25">
      <c r="B29" s="4"/>
      <c r="C29" s="1" t="s">
        <v>77</v>
      </c>
      <c r="D29" s="1" t="s">
        <v>58</v>
      </c>
      <c r="E29" s="3"/>
      <c r="F29" s="3"/>
      <c r="G29" s="24"/>
      <c r="H29" s="24"/>
      <c r="J29" s="1" t="s">
        <v>70</v>
      </c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9"/>
        <v>0</v>
      </c>
      <c r="T29" s="5">
        <v>0</v>
      </c>
      <c r="U29" s="12">
        <f t="shared" si="10"/>
        <v>0</v>
      </c>
      <c r="V29" s="25" t="s">
        <v>10</v>
      </c>
      <c r="W29" s="11">
        <f>IFERROR(VLOOKUP(V29,Curr!$B$2:$C$13,2,FALSE),0)</f>
        <v>11.2</v>
      </c>
      <c r="X29" s="12">
        <f t="shared" si="11"/>
        <v>0</v>
      </c>
      <c r="Y29" s="26">
        <f t="shared" si="12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11.2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77</v>
      </c>
      <c r="D30" s="1" t="s">
        <v>61</v>
      </c>
      <c r="E30" s="3"/>
      <c r="F30" s="3"/>
      <c r="G30" s="24"/>
      <c r="H30" s="24"/>
      <c r="J30" s="1" t="s">
        <v>75</v>
      </c>
      <c r="K30" s="4"/>
      <c r="L30" s="4"/>
      <c r="M30" s="4"/>
      <c r="N30" s="4"/>
      <c r="O30" s="4" t="s">
        <v>42</v>
      </c>
      <c r="P30" s="33" t="s">
        <v>76</v>
      </c>
      <c r="Q30" s="25">
        <v>89</v>
      </c>
      <c r="R30" s="25">
        <v>2</v>
      </c>
      <c r="S30" s="12">
        <f t="shared" si="9"/>
        <v>178</v>
      </c>
      <c r="T30" s="5">
        <v>0.2</v>
      </c>
      <c r="U30" s="12">
        <f t="shared" si="10"/>
        <v>142.4</v>
      </c>
      <c r="V30" s="25" t="s">
        <v>10</v>
      </c>
      <c r="W30" s="11">
        <f>IFERROR(VLOOKUP(V30,Curr!$B$2:$C$13,2,FALSE),0)</f>
        <v>11.2</v>
      </c>
      <c r="X30" s="12">
        <f t="shared" si="11"/>
        <v>1594.8799999999999</v>
      </c>
      <c r="Y30" s="26">
        <f t="shared" si="12"/>
        <v>89</v>
      </c>
      <c r="Z30" s="12">
        <f t="shared" si="2"/>
        <v>178</v>
      </c>
      <c r="AA30" s="4" t="s">
        <v>10</v>
      </c>
      <c r="AB30" s="11">
        <f>IFERROR(VLOOKUP(AA30,Curr!$B$2:$C$13,2,FALSE),0)</f>
        <v>11.2</v>
      </c>
      <c r="AC30" s="12">
        <f t="shared" si="3"/>
        <v>1993.6</v>
      </c>
      <c r="AD30" s="12">
        <f t="shared" si="4"/>
        <v>398.72</v>
      </c>
      <c r="AE30" s="13">
        <f t="shared" si="5"/>
        <v>0.2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/>
      <c r="R31" s="25"/>
      <c r="S31" s="12">
        <f t="shared" si="9"/>
        <v>0</v>
      </c>
      <c r="T31" s="5">
        <v>0</v>
      </c>
      <c r="U31" s="12">
        <f t="shared" si="10"/>
        <v>0</v>
      </c>
      <c r="V31" s="25" t="s">
        <v>10</v>
      </c>
      <c r="W31" s="11">
        <f>IFERROR(VLOOKUP(V31,Curr!$B$2:$C$13,2,FALSE),0)</f>
        <v>11.2</v>
      </c>
      <c r="X31" s="12">
        <f t="shared" si="11"/>
        <v>0</v>
      </c>
      <c r="Y31" s="26">
        <f t="shared" si="12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11.2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C32" s="1" t="s">
        <v>80</v>
      </c>
      <c r="D32" s="1" t="s">
        <v>61</v>
      </c>
      <c r="E32" s="3"/>
      <c r="F32" s="3"/>
      <c r="G32" s="24"/>
      <c r="H32" s="24"/>
      <c r="J32" s="1" t="s">
        <v>78</v>
      </c>
      <c r="K32" s="4"/>
      <c r="L32" s="4"/>
      <c r="M32" s="4"/>
      <c r="N32" s="4"/>
      <c r="O32" s="4" t="s">
        <v>42</v>
      </c>
      <c r="P32" s="33" t="s">
        <v>79</v>
      </c>
      <c r="Q32" s="25">
        <v>109</v>
      </c>
      <c r="R32" s="25">
        <v>2</v>
      </c>
      <c r="S32" s="12">
        <f t="shared" si="9"/>
        <v>218</v>
      </c>
      <c r="T32" s="5">
        <v>0.2</v>
      </c>
      <c r="U32" s="12">
        <f t="shared" si="10"/>
        <v>174.4</v>
      </c>
      <c r="V32" s="25" t="s">
        <v>10</v>
      </c>
      <c r="W32" s="11">
        <f>IFERROR(VLOOKUP(V32,Curr!$B$2:$C$13,2,FALSE),0)</f>
        <v>11.2</v>
      </c>
      <c r="X32" s="12">
        <f t="shared" si="11"/>
        <v>1953.28</v>
      </c>
      <c r="Y32" s="26">
        <f t="shared" si="12"/>
        <v>109</v>
      </c>
      <c r="Z32" s="12">
        <f t="shared" si="2"/>
        <v>218</v>
      </c>
      <c r="AA32" s="4" t="s">
        <v>10</v>
      </c>
      <c r="AB32" s="11">
        <f>IFERROR(VLOOKUP(AA32,Curr!$B$2:$C$13,2,FALSE),0)</f>
        <v>11.2</v>
      </c>
      <c r="AC32" s="12">
        <f t="shared" si="3"/>
        <v>2441.6</v>
      </c>
      <c r="AD32" s="12">
        <f t="shared" si="4"/>
        <v>488.31999999999994</v>
      </c>
      <c r="AE32" s="13">
        <f t="shared" si="5"/>
        <v>0.19999999999999998</v>
      </c>
    </row>
    <row r="33" spans="2:31" x14ac:dyDescent="0.25">
      <c r="B33" s="4"/>
      <c r="C33" s="1" t="s">
        <v>80</v>
      </c>
      <c r="D33" s="1" t="s">
        <v>58</v>
      </c>
      <c r="E33" s="3"/>
      <c r="F33" s="3"/>
      <c r="G33" s="24"/>
      <c r="H33" s="24"/>
      <c r="J33" s="1" t="s">
        <v>70</v>
      </c>
      <c r="K33" s="4"/>
      <c r="L33" s="4"/>
      <c r="M33" s="4"/>
      <c r="N33" s="4"/>
      <c r="O33" s="4"/>
      <c r="P33" s="33"/>
      <c r="Q33" s="25">
        <v>0</v>
      </c>
      <c r="R33" s="25">
        <v>0</v>
      </c>
      <c r="S33" s="12">
        <f t="shared" si="9"/>
        <v>0</v>
      </c>
      <c r="T33" s="5">
        <v>0</v>
      </c>
      <c r="U33" s="12">
        <f t="shared" si="10"/>
        <v>0</v>
      </c>
      <c r="V33" s="25" t="s">
        <v>10</v>
      </c>
      <c r="W33" s="11">
        <f>IFERROR(VLOOKUP(V33,Curr!$B$2:$C$13,2,FALSE),0)</f>
        <v>11.2</v>
      </c>
      <c r="X33" s="12">
        <f t="shared" si="11"/>
        <v>0</v>
      </c>
      <c r="Y33" s="26">
        <f t="shared" si="12"/>
        <v>0</v>
      </c>
      <c r="Z33" s="12">
        <f t="shared" si="2"/>
        <v>0</v>
      </c>
      <c r="AA33" s="4" t="s">
        <v>10</v>
      </c>
      <c r="AB33" s="11">
        <f>IFERROR(VLOOKUP(AA33,Curr!$B$2:$C$13,2,FALSE),0)</f>
        <v>11.2</v>
      </c>
      <c r="AC33" s="12">
        <f t="shared" si="3"/>
        <v>0</v>
      </c>
      <c r="AD33" s="12">
        <f t="shared" si="4"/>
        <v>0</v>
      </c>
      <c r="AE33" s="13">
        <f t="shared" si="5"/>
        <v>0</v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/>
      <c r="R34" s="25"/>
      <c r="S34" s="12">
        <f t="shared" si="9"/>
        <v>0</v>
      </c>
      <c r="T34" s="5">
        <v>0</v>
      </c>
      <c r="U34" s="12">
        <f t="shared" si="10"/>
        <v>0</v>
      </c>
      <c r="V34" s="25" t="s">
        <v>10</v>
      </c>
      <c r="W34" s="11">
        <f>IFERROR(VLOOKUP(V34,Curr!$B$2:$C$13,2,FALSE),0)</f>
        <v>11.2</v>
      </c>
      <c r="X34" s="12">
        <f t="shared" si="11"/>
        <v>0</v>
      </c>
      <c r="Y34" s="26">
        <f t="shared" si="12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11.2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C35" s="1" t="s">
        <v>82</v>
      </c>
      <c r="D35" s="1" t="s">
        <v>56</v>
      </c>
      <c r="E35" s="3"/>
      <c r="F35" s="3"/>
      <c r="G35" s="24"/>
      <c r="H35" s="24"/>
      <c r="J35" s="1" t="s">
        <v>126</v>
      </c>
      <c r="K35" s="4"/>
      <c r="L35" s="4"/>
      <c r="M35" s="4"/>
      <c r="N35" s="4"/>
      <c r="O35" s="4"/>
      <c r="P35" s="33"/>
      <c r="Q35" s="25">
        <v>0</v>
      </c>
      <c r="R35" s="25">
        <v>0</v>
      </c>
      <c r="S35" s="12">
        <f t="shared" si="9"/>
        <v>0</v>
      </c>
      <c r="T35" s="5">
        <v>0</v>
      </c>
      <c r="U35" s="12">
        <f t="shared" si="10"/>
        <v>0</v>
      </c>
      <c r="V35" s="25" t="s">
        <v>10</v>
      </c>
      <c r="W35" s="11">
        <f>IFERROR(VLOOKUP(V35,Curr!$B$2:$C$13,2,FALSE),0)</f>
        <v>11.2</v>
      </c>
      <c r="X35" s="12">
        <f t="shared" si="11"/>
        <v>0</v>
      </c>
      <c r="Y35" s="26">
        <f t="shared" ref="Y35" si="14">Q35/0.8</f>
        <v>0</v>
      </c>
      <c r="Z35" s="12">
        <f t="shared" si="2"/>
        <v>0</v>
      </c>
      <c r="AA35" s="4" t="s">
        <v>10</v>
      </c>
      <c r="AB35" s="11">
        <f>IFERROR(VLOOKUP(AA35,Curr!$B$2:$C$13,2,FALSE),0)</f>
        <v>11.2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C36" s="1" t="s">
        <v>82</v>
      </c>
      <c r="D36" s="1" t="s">
        <v>83</v>
      </c>
      <c r="E36" s="3"/>
      <c r="F36" s="3"/>
      <c r="G36" s="24"/>
      <c r="H36" s="24"/>
      <c r="J36" s="1" t="s">
        <v>127</v>
      </c>
      <c r="K36" s="4"/>
      <c r="L36" s="4"/>
      <c r="M36" s="4"/>
      <c r="N36" s="4"/>
      <c r="O36" s="4"/>
      <c r="P36" s="33"/>
      <c r="Q36" s="25">
        <v>0</v>
      </c>
      <c r="R36" s="25">
        <v>0</v>
      </c>
      <c r="S36" s="12">
        <f t="shared" si="9"/>
        <v>0</v>
      </c>
      <c r="T36" s="5">
        <v>0</v>
      </c>
      <c r="U36" s="12">
        <f t="shared" si="10"/>
        <v>0</v>
      </c>
      <c r="V36" s="25" t="s">
        <v>10</v>
      </c>
      <c r="W36" s="11">
        <f>IFERROR(VLOOKUP(V36,Curr!$B$2:$C$13,2,FALSE),0)</f>
        <v>11.2</v>
      </c>
      <c r="X36" s="12">
        <f t="shared" si="11"/>
        <v>0</v>
      </c>
      <c r="Y36" s="26">
        <f t="shared" si="12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/>
      <c r="R37" s="25"/>
      <c r="S37" s="12">
        <f t="shared" si="9"/>
        <v>0</v>
      </c>
      <c r="T37" s="5">
        <v>0</v>
      </c>
      <c r="U37" s="12">
        <f t="shared" si="10"/>
        <v>0</v>
      </c>
      <c r="V37" s="25" t="s">
        <v>10</v>
      </c>
      <c r="W37" s="11">
        <f>IFERROR(VLOOKUP(V37,Curr!$B$2:$C$13,2,FALSE),0)</f>
        <v>11.2</v>
      </c>
      <c r="X37" s="12">
        <f t="shared" si="11"/>
        <v>0</v>
      </c>
      <c r="Y37" s="26">
        <f t="shared" si="12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11.2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/>
      <c r="R38" s="25"/>
      <c r="S38" s="12">
        <f t="shared" si="9"/>
        <v>0</v>
      </c>
      <c r="T38" s="5">
        <v>0</v>
      </c>
      <c r="U38" s="12">
        <f t="shared" si="10"/>
        <v>0</v>
      </c>
      <c r="V38" s="25" t="s">
        <v>10</v>
      </c>
      <c r="W38" s="11">
        <f>IFERROR(VLOOKUP(V38,Curr!$B$2:$C$13,2,FALSE),0)</f>
        <v>11.2</v>
      </c>
      <c r="X38" s="12">
        <f t="shared" si="11"/>
        <v>0</v>
      </c>
      <c r="Y38" s="26">
        <f t="shared" si="12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C39" s="1" t="s">
        <v>54</v>
      </c>
      <c r="D39" s="1" t="s">
        <v>97</v>
      </c>
      <c r="E39" s="3"/>
      <c r="F39" s="3"/>
      <c r="G39" s="24"/>
      <c r="H39" s="24"/>
      <c r="J39" s="1" t="s">
        <v>90</v>
      </c>
      <c r="K39" s="4"/>
      <c r="L39" s="4"/>
      <c r="M39" s="4"/>
      <c r="N39" s="4"/>
      <c r="O39" s="4" t="s">
        <v>42</v>
      </c>
      <c r="P39" s="27"/>
      <c r="Q39" s="25">
        <v>80</v>
      </c>
      <c r="R39" s="25">
        <v>0</v>
      </c>
      <c r="S39" s="12">
        <f t="shared" si="9"/>
        <v>0</v>
      </c>
      <c r="T39" s="5">
        <v>0</v>
      </c>
      <c r="U39" s="12">
        <f t="shared" si="10"/>
        <v>0</v>
      </c>
      <c r="V39" s="25" t="s">
        <v>10</v>
      </c>
      <c r="W39" s="11">
        <f>IFERROR(VLOOKUP(V39,Curr!$B$2:$C$13,2,FALSE),0)</f>
        <v>11.2</v>
      </c>
      <c r="X39" s="12">
        <f t="shared" si="11"/>
        <v>0</v>
      </c>
      <c r="Y39" s="26">
        <f>Q39/0.8</f>
        <v>100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C40" s="1" t="s">
        <v>60</v>
      </c>
      <c r="D40" s="1" t="s">
        <v>97</v>
      </c>
      <c r="E40" s="3"/>
      <c r="F40" s="3"/>
      <c r="G40" s="24"/>
      <c r="H40" s="24"/>
      <c r="J40" s="1" t="s">
        <v>95</v>
      </c>
      <c r="K40" s="4"/>
      <c r="L40" s="4"/>
      <c r="M40" s="4"/>
      <c r="N40" s="4"/>
      <c r="O40" s="4" t="s">
        <v>42</v>
      </c>
      <c r="P40" s="33"/>
      <c r="Q40" s="25">
        <v>60</v>
      </c>
      <c r="R40" s="25">
        <v>0</v>
      </c>
      <c r="S40" s="12">
        <f t="shared" si="9"/>
        <v>0</v>
      </c>
      <c r="T40" s="5">
        <v>0</v>
      </c>
      <c r="U40" s="12">
        <f t="shared" si="10"/>
        <v>0</v>
      </c>
      <c r="V40" s="25" t="s">
        <v>10</v>
      </c>
      <c r="W40" s="11">
        <f>IFERROR(VLOOKUP(V40,Curr!$B$2:$C$13,2,FALSE),0)</f>
        <v>11.2</v>
      </c>
      <c r="X40" s="12">
        <f t="shared" si="11"/>
        <v>0</v>
      </c>
      <c r="Y40" s="26">
        <f>Q40/0.75</f>
        <v>80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C41" s="1" t="s">
        <v>72</v>
      </c>
      <c r="D41" s="1" t="s">
        <v>97</v>
      </c>
      <c r="E41" s="3"/>
      <c r="F41" s="3"/>
      <c r="G41" s="24"/>
      <c r="H41" s="24"/>
      <c r="J41" s="1" t="s">
        <v>96</v>
      </c>
      <c r="K41" s="4"/>
      <c r="L41" s="4"/>
      <c r="M41" s="4"/>
      <c r="N41" s="4"/>
      <c r="O41" s="4" t="s">
        <v>42</v>
      </c>
      <c r="P41" s="27"/>
      <c r="Q41" s="25">
        <v>40</v>
      </c>
      <c r="R41" s="25">
        <v>0</v>
      </c>
      <c r="S41" s="12">
        <f t="shared" si="9"/>
        <v>0</v>
      </c>
      <c r="T41" s="5">
        <v>0</v>
      </c>
      <c r="U41" s="12">
        <f t="shared" si="10"/>
        <v>0</v>
      </c>
      <c r="V41" s="25" t="s">
        <v>10</v>
      </c>
      <c r="W41" s="11">
        <f>IFERROR(VLOOKUP(V41,Curr!$B$2:$C$13,2,FALSE),0)</f>
        <v>11.2</v>
      </c>
      <c r="X41" s="12">
        <f t="shared" si="11"/>
        <v>0</v>
      </c>
      <c r="Y41" s="26">
        <f>Q41/0.665</f>
        <v>60.150375939849624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82</v>
      </c>
      <c r="D42" s="1" t="s">
        <v>97</v>
      </c>
      <c r="E42" s="3"/>
      <c r="F42" s="3"/>
      <c r="G42" s="24"/>
      <c r="H42" s="24"/>
      <c r="J42" s="1" t="s">
        <v>129</v>
      </c>
      <c r="K42" s="4"/>
      <c r="L42" s="4"/>
      <c r="M42" s="4"/>
      <c r="N42" s="4"/>
      <c r="O42" s="4" t="s">
        <v>42</v>
      </c>
      <c r="P42" s="27"/>
      <c r="Q42" s="25">
        <v>40</v>
      </c>
      <c r="R42" s="25">
        <v>0</v>
      </c>
      <c r="S42" s="12">
        <f t="shared" si="9"/>
        <v>0</v>
      </c>
      <c r="T42" s="5">
        <v>0</v>
      </c>
      <c r="U42" s="12">
        <f t="shared" si="10"/>
        <v>0</v>
      </c>
      <c r="V42" s="25" t="s">
        <v>10</v>
      </c>
      <c r="W42" s="11">
        <f>IFERROR(VLOOKUP(V42,Curr!$B$2:$C$13,2,FALSE),0)</f>
        <v>11.2</v>
      </c>
      <c r="X42" s="12">
        <f t="shared" si="11"/>
        <v>0</v>
      </c>
      <c r="Y42" s="26">
        <f>Q42/0.665</f>
        <v>60.150375939849624</v>
      </c>
      <c r="Z42" s="12">
        <f t="shared" si="2"/>
        <v>0</v>
      </c>
      <c r="AA42" s="4" t="s">
        <v>10</v>
      </c>
      <c r="AB42" s="11">
        <f>IFERROR(VLOOKUP(AA42,Curr!$B$2:$C$13,2,FALSE),0)</f>
        <v>11.2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33"/>
      <c r="Q43" s="25"/>
      <c r="R43" s="25"/>
      <c r="S43" s="12">
        <f t="shared" si="9"/>
        <v>0</v>
      </c>
      <c r="T43" s="5">
        <v>0</v>
      </c>
      <c r="U43" s="12">
        <f t="shared" si="10"/>
        <v>0</v>
      </c>
      <c r="V43" s="25" t="s">
        <v>10</v>
      </c>
      <c r="W43" s="11">
        <f>IFERROR(VLOOKUP(V43,Curr!$B$2:$C$13,2,FALSE),0)</f>
        <v>11.2</v>
      </c>
      <c r="X43" s="12">
        <f t="shared" si="11"/>
        <v>0</v>
      </c>
      <c r="Y43" s="26">
        <f>Q43/0.785</f>
        <v>0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33"/>
      <c r="Q44" s="25"/>
      <c r="R44" s="25"/>
      <c r="S44" s="12">
        <f t="shared" si="9"/>
        <v>0</v>
      </c>
      <c r="T44" s="5">
        <v>0</v>
      </c>
      <c r="U44" s="12">
        <f t="shared" si="10"/>
        <v>0</v>
      </c>
      <c r="V44" s="25" t="s">
        <v>10</v>
      </c>
      <c r="W44" s="11">
        <f>IFERROR(VLOOKUP(V44,Curr!$B$2:$C$13,2,FALSE),0)</f>
        <v>11.2</v>
      </c>
      <c r="X44" s="12">
        <f t="shared" si="11"/>
        <v>0</v>
      </c>
      <c r="Y44" s="26">
        <f>Q44/0.785</f>
        <v>0</v>
      </c>
      <c r="Z44" s="12">
        <f t="shared" si="2"/>
        <v>0</v>
      </c>
      <c r="AA44" s="4" t="s">
        <v>10</v>
      </c>
      <c r="AB44" s="11">
        <f>IFERROR(VLOOKUP(AA44,Curr!$B$2:$C$13,2,FALSE),0)</f>
        <v>11.2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C45" s="1" t="s">
        <v>60</v>
      </c>
      <c r="D45" s="1" t="s">
        <v>98</v>
      </c>
      <c r="E45" s="3"/>
      <c r="F45" s="3"/>
      <c r="G45" s="24"/>
      <c r="H45" s="24"/>
      <c r="J45" s="1" t="s">
        <v>91</v>
      </c>
      <c r="K45" s="4"/>
      <c r="L45" s="4"/>
      <c r="M45" s="4"/>
      <c r="N45" s="4"/>
      <c r="O45" s="4" t="s">
        <v>42</v>
      </c>
      <c r="P45" s="29" t="s">
        <v>92</v>
      </c>
      <c r="Q45" s="25">
        <f>(40+40)+(50*2)</f>
        <v>180</v>
      </c>
      <c r="R45" s="25">
        <v>0</v>
      </c>
      <c r="S45" s="12">
        <f t="shared" si="9"/>
        <v>0</v>
      </c>
      <c r="T45" s="5">
        <v>0</v>
      </c>
      <c r="U45" s="12">
        <f t="shared" si="10"/>
        <v>0</v>
      </c>
      <c r="V45" s="25" t="s">
        <v>10</v>
      </c>
      <c r="W45" s="11">
        <f>IFERROR(VLOOKUP(V45,Curr!$B$2:$C$13,2,FALSE),0)</f>
        <v>11.2</v>
      </c>
      <c r="X45" s="12">
        <f t="shared" si="11"/>
        <v>0</v>
      </c>
      <c r="Y45" s="26">
        <f>Q45/0.8</f>
        <v>225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C46" s="1" t="s">
        <v>60</v>
      </c>
      <c r="D46" s="1" t="s">
        <v>98</v>
      </c>
      <c r="E46" s="3"/>
      <c r="F46" s="3"/>
      <c r="G46" s="24"/>
      <c r="H46" s="24"/>
      <c r="J46" s="1" t="s">
        <v>93</v>
      </c>
      <c r="K46" s="4"/>
      <c r="L46" s="4"/>
      <c r="M46" s="4"/>
      <c r="N46" s="4"/>
      <c r="O46" s="4" t="s">
        <v>42</v>
      </c>
      <c r="P46" s="33" t="s">
        <v>94</v>
      </c>
      <c r="Q46" s="25">
        <v>25</v>
      </c>
      <c r="R46" s="25">
        <v>0</v>
      </c>
      <c r="S46" s="12">
        <f t="shared" si="9"/>
        <v>0</v>
      </c>
      <c r="T46" s="5">
        <v>0</v>
      </c>
      <c r="U46" s="12">
        <f t="shared" si="10"/>
        <v>0</v>
      </c>
      <c r="V46" s="25" t="s">
        <v>10</v>
      </c>
      <c r="W46" s="11">
        <f>IFERROR(VLOOKUP(V46,Curr!$B$2:$C$13,2,FALSE),0)</f>
        <v>11.2</v>
      </c>
      <c r="X46" s="12">
        <f t="shared" si="11"/>
        <v>0</v>
      </c>
      <c r="Y46" s="26">
        <f>Q46/0.62</f>
        <v>40.322580645161288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68</v>
      </c>
      <c r="D47" s="1" t="s">
        <v>98</v>
      </c>
      <c r="E47" s="3"/>
      <c r="F47" s="3"/>
      <c r="G47" s="24"/>
      <c r="H47" s="24"/>
      <c r="J47" s="1" t="s">
        <v>130</v>
      </c>
      <c r="K47" s="4"/>
      <c r="L47" s="4"/>
      <c r="M47" s="4"/>
      <c r="N47" s="4"/>
      <c r="O47" s="4" t="s">
        <v>42</v>
      </c>
      <c r="P47" s="27"/>
      <c r="Q47" s="25">
        <v>315</v>
      </c>
      <c r="R47" s="25">
        <v>0</v>
      </c>
      <c r="S47" s="12">
        <f t="shared" si="9"/>
        <v>0</v>
      </c>
      <c r="T47" s="5">
        <v>0</v>
      </c>
      <c r="U47" s="12">
        <f t="shared" si="10"/>
        <v>0</v>
      </c>
      <c r="V47" s="25" t="s">
        <v>10</v>
      </c>
      <c r="W47" s="11">
        <f>IFERROR(VLOOKUP(V47,Curr!$B$2:$C$13,2,FALSE),0)</f>
        <v>11.2</v>
      </c>
      <c r="X47" s="12">
        <f t="shared" si="11"/>
        <v>0</v>
      </c>
      <c r="Y47" s="26">
        <f>Q47/0.85</f>
        <v>370.58823529411768</v>
      </c>
      <c r="Z47" s="12">
        <f t="shared" ref="Z47" si="15">+Y47*R47</f>
        <v>0</v>
      </c>
      <c r="AA47" s="4" t="s">
        <v>10</v>
      </c>
      <c r="AB47" s="11">
        <f>IFERROR(VLOOKUP(AA47,Curr!$B$2:$C$13,2,FALSE),0)</f>
        <v>11.2</v>
      </c>
      <c r="AC47" s="12">
        <f t="shared" ref="AC47" si="16">+Y47*AB47*R47</f>
        <v>0</v>
      </c>
      <c r="AD47" s="12">
        <f t="shared" ref="AD47" si="17">+AC47-X47</f>
        <v>0</v>
      </c>
      <c r="AE47" s="13">
        <f t="shared" ref="AE47" si="18">IFERROR(AD47/AC47,0)</f>
        <v>0</v>
      </c>
    </row>
    <row r="48" spans="2:31" x14ac:dyDescent="0.25">
      <c r="B48" s="4"/>
      <c r="C48" s="1" t="s">
        <v>77</v>
      </c>
      <c r="D48" s="1" t="s">
        <v>98</v>
      </c>
      <c r="E48" s="3"/>
      <c r="F48" s="3"/>
      <c r="G48" s="24"/>
      <c r="H48" s="24"/>
      <c r="J48" s="1" t="s">
        <v>99</v>
      </c>
      <c r="K48" s="4"/>
      <c r="L48" s="4"/>
      <c r="M48" s="4"/>
      <c r="N48" s="4"/>
      <c r="O48" s="4" t="s">
        <v>42</v>
      </c>
      <c r="P48" s="33" t="s">
        <v>100</v>
      </c>
      <c r="Q48" s="25">
        <v>252</v>
      </c>
      <c r="R48" s="25">
        <v>0</v>
      </c>
      <c r="S48" s="12">
        <f t="shared" si="9"/>
        <v>0</v>
      </c>
      <c r="T48" s="5">
        <v>0.2</v>
      </c>
      <c r="U48" s="12">
        <f t="shared" si="10"/>
        <v>0</v>
      </c>
      <c r="V48" s="25" t="s">
        <v>10</v>
      </c>
      <c r="W48" s="11">
        <f>IFERROR(VLOOKUP(V48,Curr!$B$2:$C$13,2,FALSE),0)</f>
        <v>11.2</v>
      </c>
      <c r="X48" s="12">
        <f t="shared" si="11"/>
        <v>0</v>
      </c>
      <c r="Y48" s="26">
        <f t="shared" ref="Y48" si="19">Q48</f>
        <v>252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C49" s="1" t="s">
        <v>80</v>
      </c>
      <c r="D49" s="1" t="s">
        <v>98</v>
      </c>
      <c r="E49" s="3"/>
      <c r="F49" s="3"/>
      <c r="G49" s="24"/>
      <c r="H49" s="24"/>
      <c r="J49" s="1" t="s">
        <v>169</v>
      </c>
      <c r="K49" s="4"/>
      <c r="L49" s="4"/>
      <c r="M49" s="4"/>
      <c r="N49" s="4"/>
      <c r="O49" s="4"/>
      <c r="P49" s="27" t="s">
        <v>148</v>
      </c>
      <c r="Q49" s="25">
        <v>159</v>
      </c>
      <c r="R49" s="25">
        <v>0</v>
      </c>
      <c r="S49" s="12">
        <f t="shared" si="9"/>
        <v>0</v>
      </c>
      <c r="T49" s="5">
        <v>0.3</v>
      </c>
      <c r="U49" s="12">
        <f t="shared" si="10"/>
        <v>0</v>
      </c>
      <c r="V49" s="25" t="s">
        <v>10</v>
      </c>
      <c r="W49" s="11">
        <f>IFERROR(VLOOKUP(V49,Curr!$B$2:$C$13,2,FALSE),0)</f>
        <v>11.2</v>
      </c>
      <c r="X49" s="12">
        <f t="shared" si="11"/>
        <v>0</v>
      </c>
      <c r="Y49" s="26">
        <f t="shared" ref="Y49" si="20">Q49</f>
        <v>159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9"/>
        <v>0</v>
      </c>
      <c r="T50" s="5">
        <v>0</v>
      </c>
      <c r="U50" s="12">
        <f t="shared" si="10"/>
        <v>0</v>
      </c>
      <c r="V50" s="25" t="s">
        <v>10</v>
      </c>
      <c r="W50" s="11">
        <f>IFERROR(VLOOKUP(V50,Curr!$B$2:$C$13,2,FALSE),0)</f>
        <v>11.2</v>
      </c>
      <c r="X50" s="12">
        <f t="shared" si="11"/>
        <v>0</v>
      </c>
      <c r="Y50" s="26">
        <f t="shared" si="12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11.2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9"/>
        <v>0</v>
      </c>
      <c r="T51" s="5">
        <v>0</v>
      </c>
      <c r="U51" s="12">
        <f t="shared" si="10"/>
        <v>0</v>
      </c>
      <c r="V51" s="25" t="s">
        <v>10</v>
      </c>
      <c r="W51" s="11">
        <f>IFERROR(VLOOKUP(V51,Curr!$B$2:$C$13,2,FALSE),0)</f>
        <v>11.2</v>
      </c>
      <c r="X51" s="12">
        <f t="shared" si="11"/>
        <v>0</v>
      </c>
      <c r="Y51" s="26">
        <f t="shared" si="12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3"/>
      <c r="H52" s="3"/>
      <c r="L52" s="4"/>
      <c r="M52" s="4"/>
      <c r="N52" s="4"/>
      <c r="O52" s="4"/>
      <c r="P52" s="22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6" x14ac:dyDescent="0.25">
      <c r="B53" s="14" t="s">
        <v>18</v>
      </c>
      <c r="C53" s="14"/>
      <c r="D53" s="28" t="s">
        <v>42</v>
      </c>
      <c r="E53" s="30" t="s">
        <v>42</v>
      </c>
      <c r="F53" s="30" t="s">
        <v>42</v>
      </c>
      <c r="G53" s="30" t="s">
        <v>42</v>
      </c>
      <c r="H53" s="30" t="s">
        <v>42</v>
      </c>
      <c r="I53" s="28" t="s">
        <v>42</v>
      </c>
      <c r="J53" s="28" t="s">
        <v>42</v>
      </c>
      <c r="K53" s="28" t="s">
        <v>42</v>
      </c>
      <c r="L53" s="28" t="s">
        <v>42</v>
      </c>
      <c r="M53" s="28" t="s">
        <v>42</v>
      </c>
      <c r="N53" s="28" t="s">
        <v>42</v>
      </c>
      <c r="O53" s="28" t="s">
        <v>42</v>
      </c>
      <c r="P53" s="28" t="s">
        <v>42</v>
      </c>
      <c r="Q53" s="31" t="s">
        <v>42</v>
      </c>
      <c r="R53" s="28" t="s">
        <v>42</v>
      </c>
      <c r="S53" s="32" t="s">
        <v>42</v>
      </c>
      <c r="T53" s="28" t="s">
        <v>42</v>
      </c>
      <c r="U53" s="32" t="s">
        <v>42</v>
      </c>
      <c r="V53" s="28" t="s">
        <v>42</v>
      </c>
      <c r="W53" s="28" t="s">
        <v>42</v>
      </c>
      <c r="X53" s="32" t="s">
        <v>42</v>
      </c>
      <c r="Y53" s="32" t="s">
        <v>42</v>
      </c>
      <c r="Z53" s="15">
        <f>SUM(Z7:Z51)</f>
        <v>2820.4623741717792</v>
      </c>
      <c r="AA53" s="14"/>
      <c r="AB53" s="14"/>
      <c r="AC53" s="15">
        <f>SUM(AC7:AC51)</f>
        <v>31589.178590723928</v>
      </c>
      <c r="AD53" s="15">
        <f>SUM(AD7:AD51)</f>
        <v>6590.7785907239295</v>
      </c>
      <c r="AE53" s="21">
        <f t="shared" ref="AE53" si="21">IFERROR(AD53/AC53,0)</f>
        <v>0.20864039157571804</v>
      </c>
      <c r="AF53" s="15">
        <f>SUM(AF8:AF52)</f>
        <v>0</v>
      </c>
      <c r="AG53" s="15">
        <f>SUM(AG8:AG52)</f>
        <v>0</v>
      </c>
      <c r="AH53" s="15">
        <f>SUM(AH8:AH52)</f>
        <v>0</v>
      </c>
      <c r="AI53" s="15">
        <f>SUM(AI8:AI52)</f>
        <v>0</v>
      </c>
      <c r="AJ53" s="15">
        <f>SUM(AJ8:AJ52)</f>
        <v>0</v>
      </c>
    </row>
    <row r="54" spans="2:36" x14ac:dyDescent="0.25">
      <c r="B54" s="4"/>
      <c r="E54" s="3"/>
      <c r="F54" s="3"/>
      <c r="G54" s="3"/>
      <c r="H54" s="3"/>
      <c r="L54" s="4"/>
      <c r="M54" s="4"/>
      <c r="N54" s="4"/>
      <c r="O54" s="4"/>
      <c r="Q54" s="4"/>
      <c r="R54" s="4"/>
      <c r="S54" s="4"/>
      <c r="T54" s="4"/>
      <c r="U54" s="4"/>
      <c r="V54" s="4"/>
      <c r="W54" s="4"/>
      <c r="X54" s="4"/>
      <c r="Y54" s="9"/>
      <c r="Z54" s="9"/>
      <c r="AA54" s="9"/>
      <c r="AB54" s="9"/>
      <c r="AC54" s="9"/>
      <c r="AD54" s="9"/>
      <c r="AE54" s="9"/>
    </row>
    <row r="55" spans="2:36" x14ac:dyDescent="0.25">
      <c r="B55" s="4"/>
      <c r="E55" s="3"/>
      <c r="F55" s="3"/>
      <c r="G55" s="3"/>
      <c r="H55" s="3"/>
      <c r="L55" s="4"/>
      <c r="M55" s="4"/>
      <c r="N55" s="4"/>
      <c r="O55" s="4"/>
      <c r="Q55" s="9"/>
      <c r="R55" s="9"/>
      <c r="S55" s="9"/>
      <c r="T55" s="9"/>
      <c r="U55" s="9"/>
      <c r="V55" s="9"/>
      <c r="W55" s="9"/>
      <c r="X55" s="23"/>
      <c r="Y55" s="34" t="s">
        <v>103</v>
      </c>
      <c r="Z55" s="34">
        <v>1630</v>
      </c>
      <c r="AA55" s="9"/>
      <c r="AB55" s="9"/>
      <c r="AC55" s="9"/>
      <c r="AD55" s="9"/>
      <c r="AE55" s="9"/>
    </row>
    <row r="56" spans="2:36" x14ac:dyDescent="0.25">
      <c r="B56" s="4"/>
      <c r="E56" s="3"/>
      <c r="F56" s="3"/>
      <c r="G56" s="3"/>
      <c r="H56" s="3"/>
      <c r="L56" s="4"/>
      <c r="M56" s="4"/>
      <c r="N56" s="4"/>
      <c r="O56" s="4"/>
      <c r="Q56" s="9"/>
      <c r="R56" s="9"/>
      <c r="S56" s="9"/>
      <c r="T56" s="9"/>
      <c r="U56" s="9"/>
      <c r="V56" s="9"/>
      <c r="W56" s="9"/>
      <c r="X56" s="9"/>
      <c r="Y56" s="35" t="s">
        <v>104</v>
      </c>
      <c r="Z56" s="34">
        <f>Y9+Y14+Y22+Y24</f>
        <v>1301.8354430379748</v>
      </c>
      <c r="AA56" s="9"/>
      <c r="AB56" s="9"/>
      <c r="AC56" s="9"/>
      <c r="AD56" s="9"/>
      <c r="AE56" s="9"/>
      <c r="AF56" s="18"/>
    </row>
    <row r="57" spans="2:36" x14ac:dyDescent="0.25">
      <c r="B57" s="4"/>
      <c r="E57" s="3"/>
      <c r="F57" s="3"/>
      <c r="G57" s="3"/>
      <c r="H57" s="3"/>
      <c r="I57" s="19"/>
      <c r="L57" s="4"/>
      <c r="M57" s="4"/>
      <c r="N57" s="4"/>
      <c r="O57" s="20"/>
      <c r="Q57" s="20"/>
      <c r="R57" s="20"/>
      <c r="S57" s="20"/>
      <c r="T57" s="20"/>
      <c r="U57" s="20"/>
      <c r="V57" s="20"/>
      <c r="W57" s="20"/>
      <c r="X57" s="20"/>
      <c r="Y57" s="34" t="s">
        <v>105</v>
      </c>
      <c r="Z57" s="34">
        <v>3320</v>
      </c>
      <c r="AA57" s="9"/>
      <c r="AB57" s="9"/>
      <c r="AC57" s="9"/>
      <c r="AD57" s="9"/>
      <c r="AE57" s="9"/>
      <c r="AF57" s="18"/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20"/>
      <c r="Q58" s="20"/>
      <c r="R58" s="20"/>
      <c r="S58" s="20"/>
      <c r="T58" s="20"/>
      <c r="U58" s="20"/>
      <c r="V58" s="20"/>
      <c r="W58" s="20"/>
      <c r="X58" s="20"/>
      <c r="Y58" s="34" t="s">
        <v>43</v>
      </c>
      <c r="Z58" s="34">
        <f>Z57/2</f>
        <v>1660</v>
      </c>
      <c r="AA58" s="9"/>
      <c r="AB58" s="9"/>
      <c r="AC58" s="9"/>
      <c r="AD58" s="9"/>
      <c r="AE58" s="9"/>
      <c r="AF58" s="18"/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9"/>
      <c r="R59" s="9"/>
      <c r="S59" s="9"/>
      <c r="T59" s="9"/>
      <c r="U59" s="9"/>
      <c r="V59" s="9"/>
      <c r="W59" s="9"/>
      <c r="X59" s="9"/>
      <c r="Y59" s="1"/>
      <c r="Z59" s="1"/>
      <c r="AA59" s="9"/>
      <c r="AB59" s="9"/>
      <c r="AC59" s="9"/>
      <c r="AD59" s="9"/>
      <c r="AE59" s="9"/>
      <c r="AF59" s="18"/>
    </row>
    <row r="60" spans="2:36" x14ac:dyDescent="0.25">
      <c r="F60" s="1"/>
      <c r="G60" s="1"/>
      <c r="H60" s="1"/>
      <c r="J60" s="1" t="s">
        <v>32</v>
      </c>
      <c r="Q60" s="9"/>
      <c r="R60" s="4"/>
      <c r="S60" s="9"/>
      <c r="T60" s="5"/>
      <c r="U60" s="9"/>
      <c r="V60" s="4"/>
      <c r="W60" s="4"/>
      <c r="X60" s="9"/>
      <c r="Y60" s="9" t="s">
        <v>44</v>
      </c>
      <c r="Z60" s="9">
        <f>Z57-Z61</f>
        <v>1700</v>
      </c>
      <c r="AA60" s="9"/>
      <c r="AB60" s="9"/>
      <c r="AC60" s="9"/>
      <c r="AD60" s="9"/>
      <c r="AE60" s="9"/>
    </row>
    <row r="61" spans="2:36" x14ac:dyDescent="0.25">
      <c r="R61" s="4"/>
      <c r="S61" s="17"/>
      <c r="T61" s="17"/>
      <c r="U61" s="9"/>
      <c r="V61" s="4"/>
      <c r="W61" s="4"/>
      <c r="X61" s="9"/>
      <c r="Y61" s="9" t="s">
        <v>45</v>
      </c>
      <c r="Z61" s="9">
        <v>1620</v>
      </c>
      <c r="AA61" s="9"/>
      <c r="AB61" s="9"/>
      <c r="AC61" s="9"/>
      <c r="AD61" s="9"/>
      <c r="AE61" s="9"/>
    </row>
    <row r="62" spans="2:36" x14ac:dyDescent="0.25">
      <c r="Q62" s="9"/>
      <c r="R62" s="4"/>
      <c r="S62" s="16"/>
      <c r="T62" s="16"/>
      <c r="U62" s="9"/>
      <c r="V62" s="4"/>
      <c r="W62" s="4"/>
      <c r="X62" s="9"/>
      <c r="Y62" s="9"/>
      <c r="Z62" s="9"/>
      <c r="AA62" s="9"/>
      <c r="AB62" s="9"/>
      <c r="AC62" s="9"/>
      <c r="AD62" s="9"/>
      <c r="AE62" s="9"/>
    </row>
    <row r="63" spans="2:36" x14ac:dyDescent="0.25">
      <c r="R63" s="4"/>
      <c r="S63" s="16"/>
      <c r="T63" s="16"/>
      <c r="Y63" s="9" t="s">
        <v>46</v>
      </c>
      <c r="Z63" s="9">
        <v>1620</v>
      </c>
      <c r="AA63" s="9"/>
      <c r="AB63" s="9"/>
      <c r="AC63" s="9"/>
      <c r="AD63" s="9"/>
      <c r="AE63" s="9"/>
    </row>
    <row r="64" spans="2:36" x14ac:dyDescent="0.25">
      <c r="T64" s="5"/>
      <c r="Y64" s="9" t="s">
        <v>47</v>
      </c>
      <c r="Z64" s="9">
        <f>Z57-Z63</f>
        <v>1700</v>
      </c>
      <c r="AA64" s="9"/>
      <c r="AB64" s="9"/>
      <c r="AC64" s="9"/>
      <c r="AD64" s="9"/>
      <c r="AE64" s="9"/>
    </row>
    <row r="65" spans="20:31" x14ac:dyDescent="0.25">
      <c r="T65" s="5"/>
      <c r="Y65" s="9"/>
      <c r="Z65" s="9"/>
      <c r="AA65" s="9"/>
      <c r="AB65" s="9"/>
      <c r="AC65" s="9"/>
      <c r="AD65" s="9"/>
      <c r="AE65" s="9"/>
    </row>
    <row r="66" spans="20:31" x14ac:dyDescent="0.25">
      <c r="T66" s="5"/>
      <c r="Y66" s="9"/>
      <c r="Z66" s="9"/>
      <c r="AA66" s="9"/>
      <c r="AB66" s="9"/>
      <c r="AC66" s="9"/>
      <c r="AD66" s="9"/>
      <c r="AE66" s="9"/>
    </row>
    <row r="67" spans="20:31" x14ac:dyDescent="0.25">
      <c r="T67" s="5"/>
      <c r="Y67" s="43" t="s">
        <v>236</v>
      </c>
      <c r="Z67" s="9">
        <v>2820</v>
      </c>
      <c r="AA67" s="9"/>
      <c r="AB67" s="9"/>
      <c r="AC67" s="9"/>
      <c r="AD67" s="9"/>
      <c r="AE67" s="9"/>
    </row>
    <row r="68" spans="20:31" x14ac:dyDescent="0.25">
      <c r="T68" s="5"/>
      <c r="Y68" s="44" t="s">
        <v>237</v>
      </c>
      <c r="Z68" s="9">
        <f>Z67*1.15</f>
        <v>3242.9999999999995</v>
      </c>
      <c r="AA68" s="9"/>
      <c r="AB68" s="9"/>
      <c r="AC68" s="9"/>
      <c r="AD68" s="9"/>
      <c r="AE68" s="9"/>
    </row>
    <row r="69" spans="20:31" x14ac:dyDescent="0.25">
      <c r="T69" s="5"/>
      <c r="Y69" s="44" t="s">
        <v>238</v>
      </c>
      <c r="Z69" s="9">
        <f>Z67*1.2</f>
        <v>3384</v>
      </c>
      <c r="AA69" s="9"/>
      <c r="AB69" s="9"/>
      <c r="AC69" s="9"/>
      <c r="AD69" s="9"/>
      <c r="AE69" s="9"/>
    </row>
    <row r="70" spans="20:31" x14ac:dyDescent="0.25">
      <c r="T70" s="5"/>
      <c r="Y70" s="44" t="s">
        <v>239</v>
      </c>
      <c r="Z70" s="9">
        <f>Z67*0.84</f>
        <v>2368.7999999999997</v>
      </c>
      <c r="AA70" s="9"/>
      <c r="AB70" s="9"/>
      <c r="AC70" s="9"/>
      <c r="AD70" s="9"/>
      <c r="AE70" s="9"/>
    </row>
    <row r="71" spans="20:31" x14ac:dyDescent="0.25">
      <c r="T71" s="5"/>
      <c r="Y71" s="9"/>
      <c r="Z71" s="9"/>
      <c r="AA71" s="9"/>
      <c r="AB71" s="9"/>
      <c r="AC71" s="9"/>
      <c r="AD71" s="9"/>
      <c r="AE71" s="9"/>
    </row>
    <row r="72" spans="20:31" x14ac:dyDescent="0.25">
      <c r="T72" s="5"/>
    </row>
    <row r="73" spans="20:31" x14ac:dyDescent="0.25">
      <c r="T73" s="5"/>
    </row>
    <row r="74" spans="20:31" x14ac:dyDescent="0.25">
      <c r="T74" s="5"/>
    </row>
    <row r="75" spans="20:31" x14ac:dyDescent="0.25">
      <c r="T75" s="5"/>
    </row>
    <row r="76" spans="20:31" x14ac:dyDescent="0.25">
      <c r="T76" s="5"/>
    </row>
  </sheetData>
  <autoFilter ref="B6:AE53" xr:uid="{65FA6D9B-E0AF-46CD-BA0D-86BB75FE6AB0}"/>
  <hyperlinks>
    <hyperlink ref="P12" r:id="rId1" xr:uid="{26B8FCD3-C274-4538-846D-63464537B599}"/>
    <hyperlink ref="P14" r:id="rId2" xr:uid="{10543204-861D-4EFF-895D-9A5681A0B7F8}"/>
    <hyperlink ref="P22" r:id="rId3" xr:uid="{287F147B-DD15-45C7-91E1-A82E01D1C732}"/>
    <hyperlink ref="P28" r:id="rId4" xr:uid="{4E93240E-61EF-4B73-B5D9-69B75B7C7A62}"/>
    <hyperlink ref="P30" r:id="rId5" xr:uid="{759D1993-DBC2-4CDA-B616-27CAAF2C0242}"/>
    <hyperlink ref="P32" r:id="rId6" xr:uid="{30EABFDE-8CAF-4AA6-A994-8F8FD39DC434}"/>
    <hyperlink ref="P45" r:id="rId7" xr:uid="{23BAD734-4A64-40F6-BE3A-8EAFCFE568EA}"/>
    <hyperlink ref="P48" r:id="rId8" xr:uid="{1595D7EA-6E17-425C-9D9D-751D0C387049}"/>
    <hyperlink ref="P26" r:id="rId9" xr:uid="{D02B35A5-2EC4-454A-BDCA-93FE8ACE3872}"/>
  </hyperlinks>
  <pageMargins left="0.7" right="0.7" top="0.75" bottom="0.75" header="0.3" footer="0.3"/>
  <pageSetup paperSize="9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B227-1F3E-40CE-BC18-86DD1078592E}">
  <sheetPr>
    <tabColor rgb="FFFFFF00"/>
  </sheetPr>
  <dimension ref="B2:AK85"/>
  <sheetViews>
    <sheetView topLeftCell="A6" zoomScale="80" zoomScaleNormal="80" workbookViewId="0">
      <selection activeCell="Z77" sqref="Z77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131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9" si="1">U7*W7</f>
        <v>0</v>
      </c>
      <c r="Y7" s="26">
        <f>Q7</f>
        <v>0</v>
      </c>
      <c r="Z7" s="12">
        <f t="shared" ref="Z7:Z60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60" si="3">+Y7*AB7*R7</f>
        <v>0</v>
      </c>
      <c r="AD7" s="12">
        <f t="shared" ref="AD7:AD60" si="4">+AC7-X7</f>
        <v>0</v>
      </c>
      <c r="AE7" s="13">
        <f t="shared" ref="AE7:AE60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9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120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11.2</v>
      </c>
      <c r="X15" s="12">
        <f t="shared" si="1"/>
        <v>0</v>
      </c>
      <c r="Y15" s="26">
        <f t="shared" ref="Y15:Y19" si="9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121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 t="shared" si="9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128</v>
      </c>
      <c r="K17" s="4"/>
      <c r="L17" s="4"/>
      <c r="M17" s="4"/>
      <c r="N17" s="4" t="s">
        <v>42</v>
      </c>
      <c r="O17" s="4"/>
      <c r="P17" s="27"/>
      <c r="Q17" s="25">
        <v>319</v>
      </c>
      <c r="R17" s="25">
        <v>1</v>
      </c>
      <c r="S17" s="12">
        <f t="shared" si="0"/>
        <v>319</v>
      </c>
      <c r="T17" s="5">
        <v>0</v>
      </c>
      <c r="U17" s="12">
        <f t="shared" si="6"/>
        <v>319</v>
      </c>
      <c r="V17" s="25" t="s">
        <v>10</v>
      </c>
      <c r="W17" s="11">
        <f>IFERROR(VLOOKUP(V17,Curr!$B$2:$C$13,2,FALSE),0)</f>
        <v>11.2</v>
      </c>
      <c r="X17" s="12">
        <f t="shared" si="1"/>
        <v>3572.7999999999997</v>
      </c>
      <c r="Y17" s="26">
        <f>Q17/0.8</f>
        <v>398.75</v>
      </c>
      <c r="Z17" s="12">
        <f t="shared" si="2"/>
        <v>398.75</v>
      </c>
      <c r="AA17" s="4" t="s">
        <v>10</v>
      </c>
      <c r="AB17" s="11">
        <f>IFERROR(VLOOKUP(AA17,Curr!$B$2:$C$13,2,FALSE),0)</f>
        <v>11.2</v>
      </c>
      <c r="AC17" s="12">
        <f t="shared" si="3"/>
        <v>4466</v>
      </c>
      <c r="AD17" s="12">
        <f t="shared" si="4"/>
        <v>893.20000000000027</v>
      </c>
      <c r="AE17" s="13">
        <f t="shared" si="5"/>
        <v>0.20000000000000007</v>
      </c>
    </row>
    <row r="18" spans="2:31" x14ac:dyDescent="0.25">
      <c r="B18" s="4"/>
      <c r="C18" s="1" t="s">
        <v>68</v>
      </c>
      <c r="D18" s="1" t="s">
        <v>61</v>
      </c>
      <c r="E18" s="3"/>
      <c r="F18" s="3"/>
      <c r="G18" s="24"/>
      <c r="H18" s="24"/>
      <c r="J18" s="1" t="s">
        <v>123</v>
      </c>
      <c r="K18" s="4"/>
      <c r="L18" s="4"/>
      <c r="M18" s="4"/>
      <c r="N18" s="4"/>
      <c r="O18" s="4" t="s">
        <v>42</v>
      </c>
      <c r="P18" s="27"/>
      <c r="Q18" s="25">
        <v>20</v>
      </c>
      <c r="R18" s="25">
        <v>2</v>
      </c>
      <c r="S18" s="12">
        <f t="shared" si="0"/>
        <v>40</v>
      </c>
      <c r="T18" s="5">
        <v>0</v>
      </c>
      <c r="U18" s="12">
        <f t="shared" si="6"/>
        <v>40</v>
      </c>
      <c r="V18" s="25" t="s">
        <v>10</v>
      </c>
      <c r="W18" s="11">
        <f>IFERROR(VLOOKUP(V18,Curr!$B$2:$C$13,2,FALSE),0)</f>
        <v>11.2</v>
      </c>
      <c r="X18" s="12">
        <f t="shared" si="1"/>
        <v>448</v>
      </c>
      <c r="Y18" s="26">
        <f>Q18/0.5</f>
        <v>40</v>
      </c>
      <c r="Z18" s="12">
        <f t="shared" si="2"/>
        <v>80</v>
      </c>
      <c r="AA18" s="4" t="s">
        <v>10</v>
      </c>
      <c r="AB18" s="11">
        <f>IFERROR(VLOOKUP(AA18,Curr!$B$2:$C$13,2,FALSE),0)</f>
        <v>11.2</v>
      </c>
      <c r="AC18" s="12">
        <f t="shared" si="3"/>
        <v>896</v>
      </c>
      <c r="AD18" s="12">
        <f t="shared" si="4"/>
        <v>448</v>
      </c>
      <c r="AE18" s="13">
        <f t="shared" si="5"/>
        <v>0.5</v>
      </c>
    </row>
    <row r="19" spans="2:31" x14ac:dyDescent="0.25">
      <c r="B19" s="4"/>
      <c r="C19" s="1" t="s">
        <v>68</v>
      </c>
      <c r="D19" s="1" t="s">
        <v>58</v>
      </c>
      <c r="E19" s="3"/>
      <c r="F19" s="3"/>
      <c r="G19" s="24"/>
      <c r="H19" s="24"/>
      <c r="J19" s="1" t="s">
        <v>122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11.2</v>
      </c>
      <c r="X19" s="12">
        <f t="shared" si="1"/>
        <v>0</v>
      </c>
      <c r="Y19" s="26">
        <f t="shared" si="9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11.2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ref="S20:S60" si="10">+Q20*R20</f>
        <v>0</v>
      </c>
      <c r="T20" s="5">
        <v>0</v>
      </c>
      <c r="U20" s="12">
        <f t="shared" ref="U20:U60" si="11">S20*(1-T20)</f>
        <v>0</v>
      </c>
      <c r="V20" s="25" t="s">
        <v>10</v>
      </c>
      <c r="W20" s="11">
        <f>IFERROR(VLOOKUP(V20,Curr!$B$2:$C$13,2,FALSE),0)</f>
        <v>11.2</v>
      </c>
      <c r="X20" s="12">
        <f t="shared" ref="X20:X60" si="12">U20*W20</f>
        <v>0</v>
      </c>
      <c r="Y20" s="26">
        <f t="shared" ref="Y20:Y60" si="13">Q20</f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56</v>
      </c>
      <c r="E21" s="3"/>
      <c r="F21" s="3"/>
      <c r="G21" s="24"/>
      <c r="H21" s="24"/>
      <c r="J21" s="1" t="s">
        <v>124</v>
      </c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10"/>
        <v>0</v>
      </c>
      <c r="T21" s="5">
        <v>0</v>
      </c>
      <c r="U21" s="12">
        <f t="shared" si="11"/>
        <v>0</v>
      </c>
      <c r="V21" s="25" t="s">
        <v>10</v>
      </c>
      <c r="W21" s="11">
        <f>IFERROR(VLOOKUP(V21,Curr!$B$2:$C$13,2,FALSE),0)</f>
        <v>11.2</v>
      </c>
      <c r="X21" s="12">
        <f t="shared" si="12"/>
        <v>0</v>
      </c>
      <c r="Y21" s="26">
        <f t="shared" si="13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11.2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72</v>
      </c>
      <c r="D22" s="1" t="s">
        <v>64</v>
      </c>
      <c r="E22" s="3"/>
      <c r="F22" s="3"/>
      <c r="G22" s="24"/>
      <c r="H22" s="24"/>
      <c r="J22" s="1" t="s">
        <v>125</v>
      </c>
      <c r="K22" s="4"/>
      <c r="L22" s="4"/>
      <c r="M22" s="4"/>
      <c r="N22" s="4" t="s">
        <v>42</v>
      </c>
      <c r="O22" s="4"/>
      <c r="P22" s="33" t="s">
        <v>67</v>
      </c>
      <c r="Q22" s="25">
        <v>37</v>
      </c>
      <c r="R22" s="25">
        <v>1</v>
      </c>
      <c r="S22" s="12">
        <f t="shared" si="10"/>
        <v>37</v>
      </c>
      <c r="T22" s="5">
        <v>0</v>
      </c>
      <c r="U22" s="12">
        <f t="shared" si="11"/>
        <v>37</v>
      </c>
      <c r="V22" s="25" t="s">
        <v>10</v>
      </c>
      <c r="W22" s="11">
        <f>IFERROR(VLOOKUP(V22,Curr!$B$2:$C$13,2,FALSE),0)</f>
        <v>11.2</v>
      </c>
      <c r="X22" s="12">
        <f t="shared" si="12"/>
        <v>414.4</v>
      </c>
      <c r="Y22" s="26">
        <f>Q22/0.79</f>
        <v>46.835443037974684</v>
      </c>
      <c r="Z22" s="12">
        <f t="shared" si="2"/>
        <v>46.835443037974684</v>
      </c>
      <c r="AA22" s="4" t="s">
        <v>10</v>
      </c>
      <c r="AB22" s="11">
        <f>IFERROR(VLOOKUP(AA22,Curr!$B$2:$C$13,2,FALSE),0)</f>
        <v>11.2</v>
      </c>
      <c r="AC22" s="12">
        <f t="shared" si="3"/>
        <v>524.55696202531647</v>
      </c>
      <c r="AD22" s="12">
        <f t="shared" si="4"/>
        <v>110.15696202531649</v>
      </c>
      <c r="AE22" s="13">
        <f t="shared" si="5"/>
        <v>0.21000000000000005</v>
      </c>
    </row>
    <row r="23" spans="2:31" x14ac:dyDescent="0.25">
      <c r="B23" s="4"/>
      <c r="C23" s="1" t="s">
        <v>72</v>
      </c>
      <c r="D23" s="1" t="s">
        <v>56</v>
      </c>
      <c r="E23" s="3"/>
      <c r="F23" s="3"/>
      <c r="G23" s="24"/>
      <c r="H23" s="24"/>
      <c r="J23" s="1" t="s">
        <v>69</v>
      </c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 t="shared" si="10"/>
        <v>0</v>
      </c>
      <c r="T23" s="5">
        <v>0</v>
      </c>
      <c r="U23" s="12">
        <f t="shared" si="11"/>
        <v>0</v>
      </c>
      <c r="V23" s="25" t="s">
        <v>10</v>
      </c>
      <c r="W23" s="11">
        <f>IFERROR(VLOOKUP(V23,Curr!$B$2:$C$13,2,FALSE),0)</f>
        <v>11.2</v>
      </c>
      <c r="X23" s="12">
        <f t="shared" si="12"/>
        <v>0</v>
      </c>
      <c r="Y23" s="26">
        <f>Q23/0.8</f>
        <v>0</v>
      </c>
      <c r="Z23" s="12">
        <f t="shared" si="2"/>
        <v>0</v>
      </c>
      <c r="AA23" s="4" t="s">
        <v>10</v>
      </c>
      <c r="AB23" s="11">
        <f>IFERROR(VLOOKUP(AA23,Curr!$B$2:$C$13,2,FALSE),0)</f>
        <v>11.2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C24" s="1" t="s">
        <v>72</v>
      </c>
      <c r="D24" s="1" t="s">
        <v>57</v>
      </c>
      <c r="E24" s="3"/>
      <c r="F24" s="3"/>
      <c r="G24" s="24"/>
      <c r="H24" s="24"/>
      <c r="J24" s="1" t="s">
        <v>135</v>
      </c>
      <c r="K24" s="4"/>
      <c r="L24" s="4"/>
      <c r="M24" s="4"/>
      <c r="N24" s="4" t="s">
        <v>42</v>
      </c>
      <c r="O24" s="4"/>
      <c r="P24" s="33"/>
      <c r="Q24" s="25">
        <f>109*2*2</f>
        <v>436</v>
      </c>
      <c r="R24" s="25">
        <v>1</v>
      </c>
      <c r="S24" s="12">
        <f t="shared" si="10"/>
        <v>436</v>
      </c>
      <c r="T24" s="5">
        <v>0</v>
      </c>
      <c r="U24" s="12">
        <f t="shared" si="11"/>
        <v>436</v>
      </c>
      <c r="V24" s="25" t="s">
        <v>10</v>
      </c>
      <c r="W24" s="11">
        <f>IFERROR(VLOOKUP(V24,Curr!$B$2:$C$13,2,FALSE),0)</f>
        <v>11.2</v>
      </c>
      <c r="X24" s="12">
        <f t="shared" si="12"/>
        <v>4883.2</v>
      </c>
      <c r="Y24" s="26">
        <f>Q24/0.8</f>
        <v>545</v>
      </c>
      <c r="Z24" s="12">
        <f t="shared" si="2"/>
        <v>545</v>
      </c>
      <c r="AA24" s="4" t="s">
        <v>10</v>
      </c>
      <c r="AB24" s="11">
        <f>IFERROR(VLOOKUP(AA24,Curr!$B$2:$C$13,2,FALSE),0)</f>
        <v>11.2</v>
      </c>
      <c r="AC24" s="12">
        <f t="shared" si="3"/>
        <v>6104</v>
      </c>
      <c r="AD24" s="12">
        <f t="shared" si="4"/>
        <v>1220.8000000000002</v>
      </c>
      <c r="AE24" s="13">
        <f t="shared" si="5"/>
        <v>0.20000000000000004</v>
      </c>
    </row>
    <row r="25" spans="2:31" x14ac:dyDescent="0.25">
      <c r="B25" s="4"/>
      <c r="C25" s="1" t="s">
        <v>72</v>
      </c>
      <c r="D25" s="1" t="s">
        <v>58</v>
      </c>
      <c r="E25" s="3"/>
      <c r="F25" s="3"/>
      <c r="G25" s="24"/>
      <c r="H25" s="24"/>
      <c r="J25" s="1" t="s">
        <v>70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10"/>
        <v>0</v>
      </c>
      <c r="T25" s="5">
        <v>0</v>
      </c>
      <c r="U25" s="12">
        <f t="shared" si="11"/>
        <v>0</v>
      </c>
      <c r="V25" s="25" t="s">
        <v>10</v>
      </c>
      <c r="W25" s="11">
        <f>IFERROR(VLOOKUP(V25,Curr!$B$2:$C$13,2,FALSE),0)</f>
        <v>11.2</v>
      </c>
      <c r="X25" s="12">
        <f t="shared" si="12"/>
        <v>0</v>
      </c>
      <c r="Y25" s="26">
        <f t="shared" ref="Y25:Y26" si="14">Q25</f>
        <v>0</v>
      </c>
      <c r="Z25" s="12">
        <f t="shared" si="2"/>
        <v>0</v>
      </c>
      <c r="AA25" s="4" t="s">
        <v>10</v>
      </c>
      <c r="AB25" s="11">
        <f>IFERROR(VLOOKUP(AA25,Curr!$B$2:$C$13,2,FALSE),0)</f>
        <v>11.2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72</v>
      </c>
      <c r="D26" s="1" t="s">
        <v>61</v>
      </c>
      <c r="E26" s="3"/>
      <c r="F26" s="3"/>
      <c r="G26" s="24"/>
      <c r="H26" s="24"/>
      <c r="J26" s="1" t="s">
        <v>222</v>
      </c>
      <c r="K26" s="4"/>
      <c r="L26" s="4"/>
      <c r="M26" s="4"/>
      <c r="N26" s="4"/>
      <c r="O26" s="4" t="s">
        <v>42</v>
      </c>
      <c r="P26" s="33" t="s">
        <v>223</v>
      </c>
      <c r="Q26" s="25">
        <v>109</v>
      </c>
      <c r="R26" s="25">
        <v>2</v>
      </c>
      <c r="S26" s="12">
        <f t="shared" si="10"/>
        <v>218</v>
      </c>
      <c r="T26" s="5">
        <v>0.2</v>
      </c>
      <c r="U26" s="12">
        <f t="shared" si="11"/>
        <v>174.4</v>
      </c>
      <c r="V26" s="25" t="s">
        <v>10</v>
      </c>
      <c r="W26" s="11">
        <f>IFERROR(VLOOKUP(V26,Curr!$B$2:$C$13,2,FALSE),0)</f>
        <v>11.2</v>
      </c>
      <c r="X26" s="12">
        <f t="shared" si="12"/>
        <v>1953.28</v>
      </c>
      <c r="Y26" s="26">
        <f t="shared" si="14"/>
        <v>109</v>
      </c>
      <c r="Z26" s="12">
        <f t="shared" si="2"/>
        <v>218</v>
      </c>
      <c r="AA26" s="4" t="s">
        <v>10</v>
      </c>
      <c r="AB26" s="11">
        <f>IFERROR(VLOOKUP(AA26,Curr!$B$2:$C$13,2,FALSE),0)</f>
        <v>11.2</v>
      </c>
      <c r="AC26" s="12">
        <f t="shared" si="3"/>
        <v>2441.6</v>
      </c>
      <c r="AD26" s="12">
        <f t="shared" si="4"/>
        <v>488.31999999999994</v>
      </c>
      <c r="AE26" s="13">
        <f t="shared" si="5"/>
        <v>0.19999999999999998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10"/>
        <v>0</v>
      </c>
      <c r="T27" s="5">
        <v>0</v>
      </c>
      <c r="U27" s="12">
        <f t="shared" si="11"/>
        <v>0</v>
      </c>
      <c r="V27" s="25" t="s">
        <v>10</v>
      </c>
      <c r="W27" s="11">
        <f>IFERROR(VLOOKUP(V27,Curr!$B$2:$C$13,2,FALSE),0)</f>
        <v>11.2</v>
      </c>
      <c r="X27" s="12">
        <f t="shared" si="12"/>
        <v>0</v>
      </c>
      <c r="Y27" s="26">
        <f t="shared" si="13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77</v>
      </c>
      <c r="D28" s="1" t="s">
        <v>61</v>
      </c>
      <c r="E28" s="3"/>
      <c r="F28" s="3"/>
      <c r="G28" s="24"/>
      <c r="H28" s="24"/>
      <c r="J28" s="1" t="s">
        <v>73</v>
      </c>
      <c r="K28" s="4"/>
      <c r="L28" s="4"/>
      <c r="M28" s="4"/>
      <c r="N28" s="4"/>
      <c r="O28" s="4" t="s">
        <v>42</v>
      </c>
      <c r="P28" s="33" t="s">
        <v>74</v>
      </c>
      <c r="Q28" s="25">
        <v>188</v>
      </c>
      <c r="R28" s="25">
        <v>2</v>
      </c>
      <c r="S28" s="12">
        <f t="shared" si="10"/>
        <v>376</v>
      </c>
      <c r="T28" s="5">
        <v>0.2</v>
      </c>
      <c r="U28" s="12">
        <f t="shared" si="11"/>
        <v>300.8</v>
      </c>
      <c r="V28" s="25" t="s">
        <v>10</v>
      </c>
      <c r="W28" s="11">
        <f>IFERROR(VLOOKUP(V28,Curr!$B$2:$C$13,2,FALSE),0)</f>
        <v>11.2</v>
      </c>
      <c r="X28" s="12">
        <f t="shared" si="12"/>
        <v>3368.96</v>
      </c>
      <c r="Y28" s="26">
        <f t="shared" si="13"/>
        <v>188</v>
      </c>
      <c r="Z28" s="12">
        <f t="shared" si="2"/>
        <v>376</v>
      </c>
      <c r="AA28" s="4" t="s">
        <v>10</v>
      </c>
      <c r="AB28" s="11">
        <f>IFERROR(VLOOKUP(AA28,Curr!$B$2:$C$13,2,FALSE),0)</f>
        <v>11.2</v>
      </c>
      <c r="AC28" s="12">
        <f t="shared" si="3"/>
        <v>4211.2</v>
      </c>
      <c r="AD28" s="12">
        <f t="shared" si="4"/>
        <v>842.23999999999978</v>
      </c>
      <c r="AE28" s="13">
        <f t="shared" si="5"/>
        <v>0.19999999999999996</v>
      </c>
    </row>
    <row r="29" spans="2:31" x14ac:dyDescent="0.25">
      <c r="B29" s="4"/>
      <c r="C29" s="1" t="s">
        <v>77</v>
      </c>
      <c r="D29" s="1" t="s">
        <v>58</v>
      </c>
      <c r="E29" s="3"/>
      <c r="F29" s="3"/>
      <c r="G29" s="24"/>
      <c r="H29" s="24"/>
      <c r="J29" s="1" t="s">
        <v>70</v>
      </c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10"/>
        <v>0</v>
      </c>
      <c r="T29" s="5">
        <v>0</v>
      </c>
      <c r="U29" s="12">
        <f t="shared" si="11"/>
        <v>0</v>
      </c>
      <c r="V29" s="25" t="s">
        <v>10</v>
      </c>
      <c r="W29" s="11">
        <f>IFERROR(VLOOKUP(V29,Curr!$B$2:$C$13,2,FALSE),0)</f>
        <v>11.2</v>
      </c>
      <c r="X29" s="12">
        <f t="shared" si="12"/>
        <v>0</v>
      </c>
      <c r="Y29" s="26">
        <f t="shared" si="13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11.2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77</v>
      </c>
      <c r="D30" s="1" t="s">
        <v>61</v>
      </c>
      <c r="E30" s="3"/>
      <c r="F30" s="3"/>
      <c r="G30" s="24"/>
      <c r="H30" s="24"/>
      <c r="J30" s="1" t="s">
        <v>75</v>
      </c>
      <c r="K30" s="4"/>
      <c r="L30" s="4"/>
      <c r="M30" s="4"/>
      <c r="N30" s="4"/>
      <c r="O30" s="4" t="s">
        <v>42</v>
      </c>
      <c r="P30" s="33" t="s">
        <v>76</v>
      </c>
      <c r="Q30" s="25">
        <v>89</v>
      </c>
      <c r="R30" s="25">
        <v>2</v>
      </c>
      <c r="S30" s="12">
        <f t="shared" si="10"/>
        <v>178</v>
      </c>
      <c r="T30" s="5">
        <v>0.2</v>
      </c>
      <c r="U30" s="12">
        <f t="shared" si="11"/>
        <v>142.4</v>
      </c>
      <c r="V30" s="25" t="s">
        <v>10</v>
      </c>
      <c r="W30" s="11">
        <f>IFERROR(VLOOKUP(V30,Curr!$B$2:$C$13,2,FALSE),0)</f>
        <v>11.2</v>
      </c>
      <c r="X30" s="12">
        <f t="shared" si="12"/>
        <v>1594.8799999999999</v>
      </c>
      <c r="Y30" s="26">
        <f t="shared" si="13"/>
        <v>89</v>
      </c>
      <c r="Z30" s="12">
        <f t="shared" si="2"/>
        <v>178</v>
      </c>
      <c r="AA30" s="4" t="s">
        <v>10</v>
      </c>
      <c r="AB30" s="11">
        <f>IFERROR(VLOOKUP(AA30,Curr!$B$2:$C$13,2,FALSE),0)</f>
        <v>11.2</v>
      </c>
      <c r="AC30" s="12">
        <f t="shared" si="3"/>
        <v>1993.6</v>
      </c>
      <c r="AD30" s="12">
        <f t="shared" si="4"/>
        <v>398.72</v>
      </c>
      <c r="AE30" s="13">
        <f t="shared" si="5"/>
        <v>0.2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/>
      <c r="R31" s="25"/>
      <c r="S31" s="12">
        <f t="shared" si="10"/>
        <v>0</v>
      </c>
      <c r="T31" s="5">
        <v>0</v>
      </c>
      <c r="U31" s="12">
        <f t="shared" si="11"/>
        <v>0</v>
      </c>
      <c r="V31" s="25" t="s">
        <v>10</v>
      </c>
      <c r="W31" s="11">
        <f>IFERROR(VLOOKUP(V31,Curr!$B$2:$C$13,2,FALSE),0)</f>
        <v>11.2</v>
      </c>
      <c r="X31" s="12">
        <f t="shared" si="12"/>
        <v>0</v>
      </c>
      <c r="Y31" s="26">
        <f t="shared" si="13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11.2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C32" s="1" t="s">
        <v>80</v>
      </c>
      <c r="D32" s="1" t="s">
        <v>56</v>
      </c>
      <c r="E32" s="3"/>
      <c r="F32" s="3"/>
      <c r="G32" s="24"/>
      <c r="H32" s="24"/>
      <c r="J32" s="1" t="s">
        <v>84</v>
      </c>
      <c r="K32" s="4"/>
      <c r="L32" s="4"/>
      <c r="M32" s="4"/>
      <c r="N32" s="4"/>
      <c r="O32" s="4"/>
      <c r="P32" s="33"/>
      <c r="Q32" s="25">
        <v>0</v>
      </c>
      <c r="R32" s="25">
        <v>0</v>
      </c>
      <c r="S32" s="12">
        <f t="shared" si="10"/>
        <v>0</v>
      </c>
      <c r="T32" s="5">
        <v>0</v>
      </c>
      <c r="U32" s="12">
        <f t="shared" si="11"/>
        <v>0</v>
      </c>
      <c r="V32" s="25" t="s">
        <v>10</v>
      </c>
      <c r="W32" s="11">
        <f>IFERROR(VLOOKUP(V32,Curr!$B$2:$C$13,2,FALSE),0)</f>
        <v>11.2</v>
      </c>
      <c r="X32" s="12">
        <f t="shared" si="12"/>
        <v>0</v>
      </c>
      <c r="Y32" s="26">
        <f t="shared" si="13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11.2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C33" s="1" t="s">
        <v>80</v>
      </c>
      <c r="D33" s="1" t="s">
        <v>81</v>
      </c>
      <c r="E33" s="3"/>
      <c r="F33" s="3"/>
      <c r="G33" s="24"/>
      <c r="H33" s="24"/>
      <c r="J33" s="1" t="s">
        <v>108</v>
      </c>
      <c r="K33" s="4"/>
      <c r="L33" s="4"/>
      <c r="M33" s="4"/>
      <c r="N33" s="4" t="s">
        <v>42</v>
      </c>
      <c r="O33" s="4"/>
      <c r="P33" s="33" t="s">
        <v>86</v>
      </c>
      <c r="Q33" s="25">
        <v>50</v>
      </c>
      <c r="R33" s="25">
        <v>2</v>
      </c>
      <c r="S33" s="12">
        <f t="shared" si="10"/>
        <v>100</v>
      </c>
      <c r="T33" s="5">
        <v>0</v>
      </c>
      <c r="U33" s="12">
        <f t="shared" si="11"/>
        <v>100</v>
      </c>
      <c r="V33" s="25" t="s">
        <v>10</v>
      </c>
      <c r="W33" s="11">
        <f>IFERROR(VLOOKUP(V33,Curr!$B$2:$C$13,2,FALSE),0)</f>
        <v>11.2</v>
      </c>
      <c r="X33" s="12">
        <f t="shared" si="12"/>
        <v>1120</v>
      </c>
      <c r="Y33" s="26">
        <f t="shared" ref="Y33" si="15">Q33/0.8</f>
        <v>62.5</v>
      </c>
      <c r="Z33" s="12">
        <f t="shared" si="2"/>
        <v>125</v>
      </c>
      <c r="AA33" s="4" t="s">
        <v>10</v>
      </c>
      <c r="AB33" s="11">
        <f>IFERROR(VLOOKUP(AA33,Curr!$B$2:$C$13,2,FALSE),0)</f>
        <v>11.2</v>
      </c>
      <c r="AC33" s="12">
        <f t="shared" si="3"/>
        <v>1400</v>
      </c>
      <c r="AD33" s="12">
        <f t="shared" si="4"/>
        <v>280</v>
      </c>
      <c r="AE33" s="13">
        <f t="shared" si="5"/>
        <v>0.2</v>
      </c>
    </row>
    <row r="34" spans="2:31" x14ac:dyDescent="0.25">
      <c r="B34" s="4"/>
      <c r="C34" s="1" t="s">
        <v>80</v>
      </c>
      <c r="D34" s="1" t="s">
        <v>56</v>
      </c>
      <c r="E34" s="3"/>
      <c r="F34" s="3"/>
      <c r="G34" s="24"/>
      <c r="H34" s="24"/>
      <c r="J34" s="1" t="s">
        <v>110</v>
      </c>
      <c r="K34" s="4"/>
      <c r="L34" s="4"/>
      <c r="M34" s="4"/>
      <c r="N34" s="4"/>
      <c r="O34" s="4"/>
      <c r="P34" s="33"/>
      <c r="Q34" s="25">
        <v>0</v>
      </c>
      <c r="R34" s="25">
        <v>0</v>
      </c>
      <c r="S34" s="12">
        <f t="shared" si="10"/>
        <v>0</v>
      </c>
      <c r="T34" s="5">
        <v>0</v>
      </c>
      <c r="U34" s="12">
        <f t="shared" si="11"/>
        <v>0</v>
      </c>
      <c r="V34" s="25" t="s">
        <v>10</v>
      </c>
      <c r="W34" s="11">
        <f>IFERROR(VLOOKUP(V34,Curr!$B$2:$C$13,2,FALSE),0)</f>
        <v>11.2</v>
      </c>
      <c r="X34" s="12">
        <f t="shared" si="12"/>
        <v>0</v>
      </c>
      <c r="Y34" s="26">
        <f t="shared" ref="Y34:Y37" si="16">Q34</f>
        <v>0</v>
      </c>
      <c r="Z34" s="12">
        <f t="shared" si="2"/>
        <v>0</v>
      </c>
      <c r="AA34" s="4" t="s">
        <v>10</v>
      </c>
      <c r="AB34" s="11">
        <f>IFERROR(VLOOKUP(AA34,Curr!$B$2:$C$13,2,FALSE),0)</f>
        <v>11.2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C35" s="1" t="s">
        <v>80</v>
      </c>
      <c r="D35" s="1" t="s">
        <v>57</v>
      </c>
      <c r="E35" s="3"/>
      <c r="F35" s="3"/>
      <c r="G35" s="24"/>
      <c r="H35" s="24"/>
      <c r="J35" s="1" t="s">
        <v>112</v>
      </c>
      <c r="K35" s="4"/>
      <c r="L35" s="4"/>
      <c r="M35" s="4"/>
      <c r="N35" s="4" t="s">
        <v>42</v>
      </c>
      <c r="O35" s="4"/>
      <c r="P35" s="27"/>
      <c r="Q35" s="25">
        <v>517</v>
      </c>
      <c r="R35" s="25">
        <v>1</v>
      </c>
      <c r="S35" s="12">
        <f t="shared" si="10"/>
        <v>517</v>
      </c>
      <c r="T35" s="5">
        <v>0</v>
      </c>
      <c r="U35" s="12">
        <f t="shared" si="11"/>
        <v>517</v>
      </c>
      <c r="V35" s="25" t="s">
        <v>10</v>
      </c>
      <c r="W35" s="11">
        <f>IFERROR(VLOOKUP(V35,Curr!$B$2:$C$13,2,FALSE),0)</f>
        <v>11.2</v>
      </c>
      <c r="X35" s="12">
        <f t="shared" si="12"/>
        <v>5790.4</v>
      </c>
      <c r="Y35" s="26">
        <f>Q35/0.8</f>
        <v>646.25</v>
      </c>
      <c r="Z35" s="12">
        <f t="shared" si="2"/>
        <v>646.25</v>
      </c>
      <c r="AA35" s="4" t="s">
        <v>10</v>
      </c>
      <c r="AB35" s="11">
        <f>IFERROR(VLOOKUP(AA35,Curr!$B$2:$C$13,2,FALSE),0)</f>
        <v>11.2</v>
      </c>
      <c r="AC35" s="12">
        <f t="shared" si="3"/>
        <v>7237.9999999999991</v>
      </c>
      <c r="AD35" s="12">
        <f t="shared" si="4"/>
        <v>1447.5999999999995</v>
      </c>
      <c r="AE35" s="13">
        <f t="shared" si="5"/>
        <v>0.19999999999999996</v>
      </c>
    </row>
    <row r="36" spans="2:31" x14ac:dyDescent="0.25">
      <c r="B36" s="4"/>
      <c r="C36" s="1" t="s">
        <v>80</v>
      </c>
      <c r="D36" s="1" t="s">
        <v>58</v>
      </c>
      <c r="E36" s="3"/>
      <c r="F36" s="3"/>
      <c r="G36" s="24"/>
      <c r="H36" s="24"/>
      <c r="J36" s="1" t="s">
        <v>109</v>
      </c>
      <c r="K36" s="4"/>
      <c r="L36" s="4"/>
      <c r="M36" s="4"/>
      <c r="N36" s="4"/>
      <c r="O36" s="4"/>
      <c r="P36" s="27"/>
      <c r="Q36" s="25">
        <v>0</v>
      </c>
      <c r="R36" s="25">
        <v>0</v>
      </c>
      <c r="S36" s="12">
        <f t="shared" si="10"/>
        <v>0</v>
      </c>
      <c r="T36" s="5">
        <v>0</v>
      </c>
      <c r="U36" s="12">
        <f t="shared" si="11"/>
        <v>0</v>
      </c>
      <c r="V36" s="25" t="s">
        <v>10</v>
      </c>
      <c r="W36" s="11">
        <f>IFERROR(VLOOKUP(V36,Curr!$B$2:$C$13,2,FALSE),0)</f>
        <v>11.2</v>
      </c>
      <c r="X36" s="12">
        <f t="shared" si="12"/>
        <v>0</v>
      </c>
      <c r="Y36" s="26">
        <f t="shared" si="16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/>
      <c r="R37" s="25"/>
      <c r="S37" s="12">
        <f t="shared" si="10"/>
        <v>0</v>
      </c>
      <c r="T37" s="5">
        <v>0</v>
      </c>
      <c r="U37" s="12">
        <f t="shared" si="11"/>
        <v>0</v>
      </c>
      <c r="V37" s="25" t="s">
        <v>10</v>
      </c>
      <c r="W37" s="11">
        <f>IFERROR(VLOOKUP(V37,Curr!$B$2:$C$13,2,FALSE),0)</f>
        <v>11.2</v>
      </c>
      <c r="X37" s="12">
        <f t="shared" si="12"/>
        <v>0</v>
      </c>
      <c r="Y37" s="26">
        <f t="shared" si="16"/>
        <v>0</v>
      </c>
      <c r="Z37" s="12">
        <f t="shared" si="2"/>
        <v>0</v>
      </c>
      <c r="AA37" s="4" t="s">
        <v>10</v>
      </c>
      <c r="AB37" s="11">
        <f>IFERROR(VLOOKUP(AA37,Curr!$B$2:$C$13,2,FALSE),0)</f>
        <v>11.2</v>
      </c>
      <c r="AC37" s="12">
        <f t="shared" si="3"/>
        <v>0</v>
      </c>
      <c r="AD37" s="12">
        <f t="shared" si="4"/>
        <v>0</v>
      </c>
      <c r="AE37" s="13">
        <f t="shared" si="5"/>
        <v>0</v>
      </c>
    </row>
    <row r="38" spans="2:31" x14ac:dyDescent="0.25">
      <c r="B38" s="4"/>
      <c r="C38" s="1" t="s">
        <v>82</v>
      </c>
      <c r="D38" s="1" t="s">
        <v>56</v>
      </c>
      <c r="E38" s="3"/>
      <c r="F38" s="3"/>
      <c r="G38" s="24"/>
      <c r="H38" s="24"/>
      <c r="J38" s="1" t="s">
        <v>111</v>
      </c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10"/>
        <v>0</v>
      </c>
      <c r="T38" s="5">
        <v>0</v>
      </c>
      <c r="U38" s="12">
        <f t="shared" si="11"/>
        <v>0</v>
      </c>
      <c r="V38" s="25" t="s">
        <v>10</v>
      </c>
      <c r="W38" s="11">
        <f>IFERROR(VLOOKUP(V38,Curr!$B$2:$C$13,2,FALSE),0)</f>
        <v>11.2</v>
      </c>
      <c r="X38" s="12">
        <f t="shared" si="12"/>
        <v>0</v>
      </c>
      <c r="Y38" s="26">
        <f>Q38/0.8</f>
        <v>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C39" s="1" t="s">
        <v>82</v>
      </c>
      <c r="D39" s="1" t="s">
        <v>83</v>
      </c>
      <c r="E39" s="3"/>
      <c r="F39" s="3"/>
      <c r="G39" s="24"/>
      <c r="H39" s="24"/>
      <c r="J39" s="1" t="s">
        <v>89</v>
      </c>
      <c r="K39" s="4"/>
      <c r="L39" s="4"/>
      <c r="M39" s="4"/>
      <c r="N39" s="4"/>
      <c r="O39" s="4"/>
      <c r="P39" s="27"/>
      <c r="Q39" s="25">
        <v>0</v>
      </c>
      <c r="R39" s="25">
        <v>0</v>
      </c>
      <c r="S39" s="12">
        <f t="shared" si="10"/>
        <v>0</v>
      </c>
      <c r="T39" s="5">
        <v>0</v>
      </c>
      <c r="U39" s="12">
        <f t="shared" si="11"/>
        <v>0</v>
      </c>
      <c r="V39" s="25" t="s">
        <v>10</v>
      </c>
      <c r="W39" s="11">
        <f>IFERROR(VLOOKUP(V39,Curr!$B$2:$C$13,2,FALSE),0)</f>
        <v>11.2</v>
      </c>
      <c r="X39" s="12">
        <f t="shared" si="12"/>
        <v>0</v>
      </c>
      <c r="Y39" s="26">
        <f t="shared" ref="Y39" si="17">Q39</f>
        <v>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10"/>
        <v>0</v>
      </c>
      <c r="T40" s="5">
        <v>0</v>
      </c>
      <c r="U40" s="12">
        <f t="shared" si="11"/>
        <v>0</v>
      </c>
      <c r="V40" s="25" t="s">
        <v>10</v>
      </c>
      <c r="W40" s="11">
        <f>IFERROR(VLOOKUP(V40,Curr!$B$2:$C$13,2,FALSE),0)</f>
        <v>11.2</v>
      </c>
      <c r="X40" s="12">
        <f t="shared" si="12"/>
        <v>0</v>
      </c>
      <c r="Y40" s="26">
        <f t="shared" si="13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33"/>
      <c r="Q41" s="25"/>
      <c r="R41" s="25"/>
      <c r="S41" s="12">
        <f t="shared" si="10"/>
        <v>0</v>
      </c>
      <c r="T41" s="5">
        <v>0</v>
      </c>
      <c r="U41" s="12">
        <f t="shared" si="11"/>
        <v>0</v>
      </c>
      <c r="V41" s="25" t="s">
        <v>10</v>
      </c>
      <c r="W41" s="11">
        <f>IFERROR(VLOOKUP(V41,Curr!$B$2:$C$13,2,FALSE),0)</f>
        <v>11.2</v>
      </c>
      <c r="X41" s="12">
        <f t="shared" si="12"/>
        <v>0</v>
      </c>
      <c r="Y41" s="26">
        <f t="shared" si="13"/>
        <v>0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54</v>
      </c>
      <c r="D42" s="1" t="s">
        <v>97</v>
      </c>
      <c r="E42" s="3"/>
      <c r="F42" s="3"/>
      <c r="G42" s="24"/>
      <c r="H42" s="24"/>
      <c r="J42" s="1" t="s">
        <v>90</v>
      </c>
      <c r="K42" s="4"/>
      <c r="L42" s="4"/>
      <c r="M42" s="4"/>
      <c r="N42" s="4"/>
      <c r="O42" s="4" t="s">
        <v>42</v>
      </c>
      <c r="P42" s="27"/>
      <c r="Q42" s="25">
        <v>80</v>
      </c>
      <c r="R42" s="25">
        <v>0</v>
      </c>
      <c r="S42" s="12">
        <f t="shared" si="10"/>
        <v>0</v>
      </c>
      <c r="T42" s="5">
        <v>0</v>
      </c>
      <c r="U42" s="12">
        <f t="shared" si="11"/>
        <v>0</v>
      </c>
      <c r="V42" s="25" t="s">
        <v>10</v>
      </c>
      <c r="W42" s="11">
        <f>IFERROR(VLOOKUP(V42,Curr!$B$2:$C$13,2,FALSE),0)</f>
        <v>11.2</v>
      </c>
      <c r="X42" s="12">
        <f t="shared" si="12"/>
        <v>0</v>
      </c>
      <c r="Y42" s="26">
        <f>Q42/0.8</f>
        <v>100</v>
      </c>
      <c r="Z42" s="12">
        <f t="shared" si="2"/>
        <v>0</v>
      </c>
      <c r="AA42" s="4" t="s">
        <v>10</v>
      </c>
      <c r="AB42" s="11">
        <f>IFERROR(VLOOKUP(AA42,Curr!$B$2:$C$13,2,FALSE),0)</f>
        <v>11.2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C43" s="1" t="s">
        <v>60</v>
      </c>
      <c r="D43" s="1" t="s">
        <v>97</v>
      </c>
      <c r="E43" s="3"/>
      <c r="F43" s="3"/>
      <c r="G43" s="24"/>
      <c r="H43" s="24"/>
      <c r="J43" s="1" t="s">
        <v>95</v>
      </c>
      <c r="K43" s="4"/>
      <c r="L43" s="4"/>
      <c r="M43" s="4"/>
      <c r="N43" s="4"/>
      <c r="O43" s="4" t="s">
        <v>42</v>
      </c>
      <c r="P43" s="33"/>
      <c r="Q43" s="25">
        <v>60</v>
      </c>
      <c r="R43" s="25">
        <v>0</v>
      </c>
      <c r="S43" s="12">
        <f t="shared" si="10"/>
        <v>0</v>
      </c>
      <c r="T43" s="5">
        <v>0</v>
      </c>
      <c r="U43" s="12">
        <f t="shared" si="11"/>
        <v>0</v>
      </c>
      <c r="V43" s="25" t="s">
        <v>10</v>
      </c>
      <c r="W43" s="11">
        <f>IFERROR(VLOOKUP(V43,Curr!$B$2:$C$13,2,FALSE),0)</f>
        <v>11.2</v>
      </c>
      <c r="X43" s="12">
        <f t="shared" si="12"/>
        <v>0</v>
      </c>
      <c r="Y43" s="26">
        <f>Q43/0.75</f>
        <v>80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C44" s="1" t="s">
        <v>72</v>
      </c>
      <c r="D44" s="1" t="s">
        <v>97</v>
      </c>
      <c r="E44" s="3"/>
      <c r="F44" s="3"/>
      <c r="G44" s="24"/>
      <c r="H44" s="24"/>
      <c r="J44" s="1" t="s">
        <v>96</v>
      </c>
      <c r="K44" s="4"/>
      <c r="L44" s="4"/>
      <c r="M44" s="4"/>
      <c r="N44" s="4"/>
      <c r="O44" s="4" t="s">
        <v>42</v>
      </c>
      <c r="P44" s="27"/>
      <c r="Q44" s="25">
        <v>40</v>
      </c>
      <c r="R44" s="25">
        <v>0</v>
      </c>
      <c r="S44" s="12">
        <f t="shared" si="10"/>
        <v>0</v>
      </c>
      <c r="T44" s="5">
        <v>0</v>
      </c>
      <c r="U44" s="12">
        <f t="shared" si="11"/>
        <v>0</v>
      </c>
      <c r="V44" s="25" t="s">
        <v>10</v>
      </c>
      <c r="W44" s="11">
        <f>IFERROR(VLOOKUP(V44,Curr!$B$2:$C$13,2,FALSE),0)</f>
        <v>11.2</v>
      </c>
      <c r="X44" s="12">
        <f t="shared" si="12"/>
        <v>0</v>
      </c>
      <c r="Y44" s="26">
        <f>Q44/0.665</f>
        <v>60.150375939849624</v>
      </c>
      <c r="Z44" s="12">
        <f t="shared" si="2"/>
        <v>0</v>
      </c>
      <c r="AA44" s="4" t="s">
        <v>10</v>
      </c>
      <c r="AB44" s="11">
        <f>IFERROR(VLOOKUP(AA44,Curr!$B$2:$C$13,2,FALSE),0)</f>
        <v>11.2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C45" s="1" t="s">
        <v>80</v>
      </c>
      <c r="D45" s="1" t="s">
        <v>97</v>
      </c>
      <c r="E45" s="3"/>
      <c r="F45" s="3"/>
      <c r="G45" s="24"/>
      <c r="H45" s="24"/>
      <c r="J45" s="1" t="s">
        <v>106</v>
      </c>
      <c r="K45" s="4"/>
      <c r="L45" s="4"/>
      <c r="M45" s="4"/>
      <c r="N45" s="4"/>
      <c r="O45" s="4" t="s">
        <v>42</v>
      </c>
      <c r="P45" s="27"/>
      <c r="Q45" s="25">
        <v>40</v>
      </c>
      <c r="R45" s="25">
        <v>0</v>
      </c>
      <c r="S45" s="12">
        <f t="shared" si="10"/>
        <v>0</v>
      </c>
      <c r="T45" s="5">
        <v>0</v>
      </c>
      <c r="U45" s="12">
        <f t="shared" si="11"/>
        <v>0</v>
      </c>
      <c r="V45" s="25" t="s">
        <v>10</v>
      </c>
      <c r="W45" s="11">
        <f>IFERROR(VLOOKUP(V45,Curr!$B$2:$C$13,2,FALSE),0)</f>
        <v>11.2</v>
      </c>
      <c r="X45" s="12">
        <f t="shared" si="12"/>
        <v>0</v>
      </c>
      <c r="Y45" s="26">
        <f>Q45/0.665</f>
        <v>60.150375939849624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C46" s="1" t="s">
        <v>80</v>
      </c>
      <c r="D46" s="1" t="s">
        <v>97</v>
      </c>
      <c r="E46" s="3"/>
      <c r="F46" s="3"/>
      <c r="G46" s="24"/>
      <c r="H46" s="24"/>
      <c r="J46" s="1" t="s">
        <v>113</v>
      </c>
      <c r="K46" s="4"/>
      <c r="L46" s="4"/>
      <c r="M46" s="4"/>
      <c r="N46" s="4"/>
      <c r="O46" s="4" t="s">
        <v>42</v>
      </c>
      <c r="P46" s="33" t="s">
        <v>118</v>
      </c>
      <c r="Q46" s="25">
        <v>35</v>
      </c>
      <c r="R46" s="25">
        <v>0</v>
      </c>
      <c r="S46" s="12">
        <f t="shared" si="10"/>
        <v>0</v>
      </c>
      <c r="T46" s="5">
        <v>0</v>
      </c>
      <c r="U46" s="12">
        <f t="shared" si="11"/>
        <v>0</v>
      </c>
      <c r="V46" s="25" t="s">
        <v>10</v>
      </c>
      <c r="W46" s="11">
        <f>IFERROR(VLOOKUP(V46,Curr!$B$2:$C$13,2,FALSE),0)</f>
        <v>11.2</v>
      </c>
      <c r="X46" s="12">
        <f t="shared" si="12"/>
        <v>0</v>
      </c>
      <c r="Y46" s="26">
        <f>Q46/0.785</f>
        <v>44.585987261146492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82</v>
      </c>
      <c r="D47" s="1" t="s">
        <v>97</v>
      </c>
      <c r="E47" s="3"/>
      <c r="F47" s="3"/>
      <c r="G47" s="24"/>
      <c r="H47" s="24"/>
      <c r="J47" s="1" t="s">
        <v>114</v>
      </c>
      <c r="K47" s="4"/>
      <c r="L47" s="4"/>
      <c r="M47" s="4"/>
      <c r="N47" s="4"/>
      <c r="O47" s="4" t="s">
        <v>42</v>
      </c>
      <c r="P47" s="33" t="s">
        <v>117</v>
      </c>
      <c r="Q47" s="25">
        <v>90</v>
      </c>
      <c r="R47" s="25">
        <v>0</v>
      </c>
      <c r="S47" s="12">
        <f t="shared" si="10"/>
        <v>0</v>
      </c>
      <c r="T47" s="5">
        <v>0</v>
      </c>
      <c r="U47" s="12">
        <f t="shared" si="11"/>
        <v>0</v>
      </c>
      <c r="V47" s="25" t="s">
        <v>10</v>
      </c>
      <c r="W47" s="11">
        <f>IFERROR(VLOOKUP(V47,Curr!$B$2:$C$13,2,FALSE),0)</f>
        <v>11.2</v>
      </c>
      <c r="X47" s="12">
        <f t="shared" si="12"/>
        <v>0</v>
      </c>
      <c r="Y47" s="26">
        <f>Q47/0.785</f>
        <v>114.64968152866241</v>
      </c>
      <c r="Z47" s="12">
        <f t="shared" si="2"/>
        <v>0</v>
      </c>
      <c r="AA47" s="4" t="s">
        <v>10</v>
      </c>
      <c r="AB47" s="11">
        <f>IFERROR(VLOOKUP(AA47,Curr!$B$2:$C$13,2,FALSE),0)</f>
        <v>11.2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/>
      <c r="R48" s="25"/>
      <c r="S48" s="12">
        <f t="shared" si="10"/>
        <v>0</v>
      </c>
      <c r="T48" s="5">
        <v>0</v>
      </c>
      <c r="U48" s="12">
        <f t="shared" si="11"/>
        <v>0</v>
      </c>
      <c r="V48" s="25" t="s">
        <v>10</v>
      </c>
      <c r="W48" s="11">
        <f>IFERROR(VLOOKUP(V48,Curr!$B$2:$C$13,2,FALSE),0)</f>
        <v>11.2</v>
      </c>
      <c r="X48" s="12">
        <f t="shared" si="12"/>
        <v>0</v>
      </c>
      <c r="Y48" s="26">
        <f t="shared" si="13"/>
        <v>0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/>
      <c r="R49" s="25"/>
      <c r="S49" s="12">
        <f t="shared" si="10"/>
        <v>0</v>
      </c>
      <c r="T49" s="5">
        <v>0</v>
      </c>
      <c r="U49" s="12">
        <f t="shared" si="11"/>
        <v>0</v>
      </c>
      <c r="V49" s="25" t="s">
        <v>10</v>
      </c>
      <c r="W49" s="11">
        <f>IFERROR(VLOOKUP(V49,Curr!$B$2:$C$13,2,FALSE),0)</f>
        <v>11.2</v>
      </c>
      <c r="X49" s="12">
        <f t="shared" si="12"/>
        <v>0</v>
      </c>
      <c r="Y49" s="26">
        <f t="shared" si="13"/>
        <v>0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C50" s="1" t="s">
        <v>60</v>
      </c>
      <c r="D50" s="1" t="s">
        <v>98</v>
      </c>
      <c r="E50" s="3"/>
      <c r="F50" s="3"/>
      <c r="G50" s="24"/>
      <c r="H50" s="24"/>
      <c r="J50" s="1" t="s">
        <v>91</v>
      </c>
      <c r="K50" s="4"/>
      <c r="L50" s="4"/>
      <c r="M50" s="4"/>
      <c r="N50" s="4"/>
      <c r="O50" s="4" t="s">
        <v>42</v>
      </c>
      <c r="P50" s="29" t="s">
        <v>92</v>
      </c>
      <c r="Q50" s="25">
        <f>(40+40)+(50*2)</f>
        <v>180</v>
      </c>
      <c r="R50" s="25">
        <v>0</v>
      </c>
      <c r="S50" s="12">
        <f t="shared" si="10"/>
        <v>0</v>
      </c>
      <c r="T50" s="5">
        <v>0</v>
      </c>
      <c r="U50" s="12">
        <f t="shared" si="11"/>
        <v>0</v>
      </c>
      <c r="V50" s="25" t="s">
        <v>10</v>
      </c>
      <c r="W50" s="11">
        <f>IFERROR(VLOOKUP(V50,Curr!$B$2:$C$13,2,FALSE),0)</f>
        <v>11.2</v>
      </c>
      <c r="X50" s="12">
        <f t="shared" si="12"/>
        <v>0</v>
      </c>
      <c r="Y50" s="26">
        <f>Q50/0.8</f>
        <v>225</v>
      </c>
      <c r="Z50" s="12">
        <f t="shared" si="2"/>
        <v>0</v>
      </c>
      <c r="AA50" s="4" t="s">
        <v>10</v>
      </c>
      <c r="AB50" s="11">
        <f>IFERROR(VLOOKUP(AA50,Curr!$B$2:$C$13,2,FALSE),0)</f>
        <v>11.2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C51" s="1" t="s">
        <v>60</v>
      </c>
      <c r="D51" s="1" t="s">
        <v>98</v>
      </c>
      <c r="E51" s="3"/>
      <c r="F51" s="3"/>
      <c r="G51" s="24"/>
      <c r="H51" s="24"/>
      <c r="J51" s="1" t="s">
        <v>93</v>
      </c>
      <c r="K51" s="4"/>
      <c r="L51" s="4"/>
      <c r="M51" s="4"/>
      <c r="N51" s="4"/>
      <c r="O51" s="4" t="s">
        <v>42</v>
      </c>
      <c r="P51" s="33" t="s">
        <v>94</v>
      </c>
      <c r="Q51" s="25">
        <v>25</v>
      </c>
      <c r="R51" s="25">
        <v>0</v>
      </c>
      <c r="S51" s="12">
        <f t="shared" si="10"/>
        <v>0</v>
      </c>
      <c r="T51" s="5">
        <v>0</v>
      </c>
      <c r="U51" s="12">
        <f t="shared" si="11"/>
        <v>0</v>
      </c>
      <c r="V51" s="25" t="s">
        <v>10</v>
      </c>
      <c r="W51" s="11">
        <f>IFERROR(VLOOKUP(V51,Curr!$B$2:$C$13,2,FALSE),0)</f>
        <v>11.2</v>
      </c>
      <c r="X51" s="12">
        <f t="shared" si="12"/>
        <v>0</v>
      </c>
      <c r="Y51" s="26">
        <f>Q51/0.62</f>
        <v>40.322580645161288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C52" s="1" t="s">
        <v>68</v>
      </c>
      <c r="D52" s="1" t="s">
        <v>98</v>
      </c>
      <c r="E52" s="3"/>
      <c r="F52" s="3"/>
      <c r="G52" s="24"/>
      <c r="H52" s="24"/>
      <c r="J52" s="1" t="s">
        <v>130</v>
      </c>
      <c r="K52" s="4"/>
      <c r="L52" s="4"/>
      <c r="M52" s="4"/>
      <c r="N52" s="4"/>
      <c r="O52" s="4" t="s">
        <v>42</v>
      </c>
      <c r="P52" s="27"/>
      <c r="Q52" s="25">
        <v>315</v>
      </c>
      <c r="R52" s="25">
        <v>0</v>
      </c>
      <c r="S52" s="12">
        <f t="shared" si="10"/>
        <v>0</v>
      </c>
      <c r="T52" s="5">
        <v>0</v>
      </c>
      <c r="U52" s="12">
        <f t="shared" si="11"/>
        <v>0</v>
      </c>
      <c r="V52" s="25" t="s">
        <v>10</v>
      </c>
      <c r="W52" s="11">
        <f>IFERROR(VLOOKUP(V52,Curr!$B$2:$C$13,2,FALSE),0)</f>
        <v>11.2</v>
      </c>
      <c r="X52" s="12">
        <f t="shared" si="12"/>
        <v>0</v>
      </c>
      <c r="Y52" s="26">
        <f>Q52/0.85</f>
        <v>370.58823529411768</v>
      </c>
      <c r="Z52" s="12">
        <f t="shared" si="2"/>
        <v>0</v>
      </c>
      <c r="AA52" s="4" t="s">
        <v>10</v>
      </c>
      <c r="AB52" s="11">
        <f>IFERROR(VLOOKUP(AA52,Curr!$B$2:$C$13,2,FALSE),0)</f>
        <v>11.2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6" x14ac:dyDescent="0.25">
      <c r="B53" s="4"/>
      <c r="C53" s="1" t="s">
        <v>77</v>
      </c>
      <c r="D53" s="1" t="s">
        <v>98</v>
      </c>
      <c r="E53" s="3"/>
      <c r="F53" s="3"/>
      <c r="G53" s="24"/>
      <c r="H53" s="24"/>
      <c r="J53" s="1" t="s">
        <v>99</v>
      </c>
      <c r="K53" s="4"/>
      <c r="L53" s="4"/>
      <c r="M53" s="4"/>
      <c r="N53" s="4"/>
      <c r="O53" s="4" t="s">
        <v>42</v>
      </c>
      <c r="P53" s="33" t="s">
        <v>100</v>
      </c>
      <c r="Q53" s="25">
        <v>252</v>
      </c>
      <c r="R53" s="25">
        <v>0</v>
      </c>
      <c r="S53" s="12">
        <f t="shared" si="10"/>
        <v>0</v>
      </c>
      <c r="T53" s="5">
        <v>0.2</v>
      </c>
      <c r="U53" s="12">
        <f t="shared" si="11"/>
        <v>0</v>
      </c>
      <c r="V53" s="25" t="s">
        <v>10</v>
      </c>
      <c r="W53" s="11">
        <f>IFERROR(VLOOKUP(V53,Curr!$B$2:$C$13,2,FALSE),0)</f>
        <v>11.2</v>
      </c>
      <c r="X53" s="12">
        <f t="shared" si="12"/>
        <v>0</v>
      </c>
      <c r="Y53" s="26">
        <f t="shared" ref="Y53:Y54" si="18">Q53</f>
        <v>252</v>
      </c>
      <c r="Z53" s="12">
        <f t="shared" si="2"/>
        <v>0</v>
      </c>
      <c r="AA53" s="4" t="s">
        <v>10</v>
      </c>
      <c r="AB53" s="11">
        <f>IFERROR(VLOOKUP(AA53,Curr!$B$2:$C$13,2,FALSE),0)</f>
        <v>11.2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6" x14ac:dyDescent="0.25">
      <c r="B54" s="4"/>
      <c r="C54" s="1" t="s">
        <v>80</v>
      </c>
      <c r="D54" s="1" t="s">
        <v>98</v>
      </c>
      <c r="E54" s="3"/>
      <c r="F54" s="3"/>
      <c r="G54" s="24"/>
      <c r="H54" s="24"/>
      <c r="J54" s="1" t="s">
        <v>115</v>
      </c>
      <c r="K54" s="4"/>
      <c r="L54" s="4"/>
      <c r="M54" s="4"/>
      <c r="N54" s="4"/>
      <c r="O54" s="4" t="s">
        <v>42</v>
      </c>
      <c r="P54" s="33" t="s">
        <v>116</v>
      </c>
      <c r="Q54" s="25">
        <v>115</v>
      </c>
      <c r="R54" s="25">
        <v>0</v>
      </c>
      <c r="S54" s="12">
        <f t="shared" si="10"/>
        <v>0</v>
      </c>
      <c r="T54" s="5">
        <v>0.2</v>
      </c>
      <c r="U54" s="12">
        <f t="shared" si="11"/>
        <v>0</v>
      </c>
      <c r="V54" s="25" t="s">
        <v>10</v>
      </c>
      <c r="W54" s="11">
        <f>IFERROR(VLOOKUP(V54,Curr!$B$2:$C$13,2,FALSE),0)</f>
        <v>11.2</v>
      </c>
      <c r="X54" s="12">
        <f t="shared" si="12"/>
        <v>0</v>
      </c>
      <c r="Y54" s="26">
        <f t="shared" si="18"/>
        <v>115</v>
      </c>
      <c r="Z54" s="12">
        <f t="shared" si="2"/>
        <v>0</v>
      </c>
      <c r="AA54" s="4" t="s">
        <v>10</v>
      </c>
      <c r="AB54" s="11">
        <f>IFERROR(VLOOKUP(AA54,Curr!$B$2:$C$13,2,FALSE),0)</f>
        <v>11.2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10"/>
        <v>0</v>
      </c>
      <c r="T55" s="5">
        <v>0</v>
      </c>
      <c r="U55" s="12">
        <f t="shared" si="11"/>
        <v>0</v>
      </c>
      <c r="V55" s="25" t="s">
        <v>10</v>
      </c>
      <c r="W55" s="11">
        <f>IFERROR(VLOOKUP(V55,Curr!$B$2:$C$13,2,FALSE),0)</f>
        <v>11.2</v>
      </c>
      <c r="X55" s="12">
        <f t="shared" si="12"/>
        <v>0</v>
      </c>
      <c r="Y55" s="26">
        <f t="shared" si="13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11.2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10"/>
        <v>0</v>
      </c>
      <c r="T56" s="5">
        <v>0</v>
      </c>
      <c r="U56" s="12">
        <f t="shared" si="11"/>
        <v>0</v>
      </c>
      <c r="V56" s="25" t="s">
        <v>10</v>
      </c>
      <c r="W56" s="11">
        <f>IFERROR(VLOOKUP(V56,Curr!$B$2:$C$13,2,FALSE),0)</f>
        <v>11.2</v>
      </c>
      <c r="X56" s="12">
        <f t="shared" si="12"/>
        <v>0</v>
      </c>
      <c r="Y56" s="26">
        <f t="shared" si="13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11.2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6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/>
      <c r="R57" s="25"/>
      <c r="S57" s="12">
        <f t="shared" si="10"/>
        <v>0</v>
      </c>
      <c r="T57" s="5">
        <v>0</v>
      </c>
      <c r="U57" s="12">
        <f t="shared" si="11"/>
        <v>0</v>
      </c>
      <c r="V57" s="25" t="s">
        <v>10</v>
      </c>
      <c r="W57" s="11">
        <f>IFERROR(VLOOKUP(V57,Curr!$B$2:$C$13,2,FALSE),0)</f>
        <v>11.2</v>
      </c>
      <c r="X57" s="12">
        <f t="shared" si="12"/>
        <v>0</v>
      </c>
      <c r="Y57" s="26">
        <f t="shared" si="13"/>
        <v>0</v>
      </c>
      <c r="Z57" s="12">
        <f t="shared" si="2"/>
        <v>0</v>
      </c>
      <c r="AA57" s="4" t="s">
        <v>10</v>
      </c>
      <c r="AB57" s="11">
        <f>IFERROR(VLOOKUP(AA57,Curr!$B$2:$C$13,2,FALSE),0)</f>
        <v>11.2</v>
      </c>
      <c r="AC57" s="12">
        <f t="shared" si="3"/>
        <v>0</v>
      </c>
      <c r="AD57" s="12">
        <f t="shared" si="4"/>
        <v>0</v>
      </c>
      <c r="AE57" s="13">
        <f t="shared" si="5"/>
        <v>0</v>
      </c>
    </row>
    <row r="58" spans="2:36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/>
      <c r="R58" s="25"/>
      <c r="S58" s="12">
        <f t="shared" si="10"/>
        <v>0</v>
      </c>
      <c r="T58" s="5">
        <v>0</v>
      </c>
      <c r="U58" s="12">
        <f t="shared" si="11"/>
        <v>0</v>
      </c>
      <c r="V58" s="25" t="s">
        <v>10</v>
      </c>
      <c r="W58" s="11">
        <f>IFERROR(VLOOKUP(V58,Curr!$B$2:$C$13,2,FALSE),0)</f>
        <v>11.2</v>
      </c>
      <c r="X58" s="12">
        <f t="shared" si="12"/>
        <v>0</v>
      </c>
      <c r="Y58" s="26">
        <f t="shared" si="13"/>
        <v>0</v>
      </c>
      <c r="Z58" s="12">
        <f t="shared" si="2"/>
        <v>0</v>
      </c>
      <c r="AA58" s="4" t="s">
        <v>10</v>
      </c>
      <c r="AB58" s="11">
        <f>IFERROR(VLOOKUP(AA58,Curr!$B$2:$C$13,2,FALSE),0)</f>
        <v>11.2</v>
      </c>
      <c r="AC58" s="12">
        <f t="shared" si="3"/>
        <v>0</v>
      </c>
      <c r="AD58" s="12">
        <f t="shared" si="4"/>
        <v>0</v>
      </c>
      <c r="AE58" s="13">
        <f t="shared" si="5"/>
        <v>0</v>
      </c>
    </row>
    <row r="59" spans="2:36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27"/>
      <c r="Q59" s="25"/>
      <c r="R59" s="25"/>
      <c r="S59" s="12">
        <f t="shared" si="10"/>
        <v>0</v>
      </c>
      <c r="T59" s="5">
        <v>0</v>
      </c>
      <c r="U59" s="12">
        <f t="shared" si="11"/>
        <v>0</v>
      </c>
      <c r="V59" s="25" t="s">
        <v>10</v>
      </c>
      <c r="W59" s="11">
        <f>IFERROR(VLOOKUP(V59,Curr!$B$2:$C$13,2,FALSE),0)</f>
        <v>11.2</v>
      </c>
      <c r="X59" s="12">
        <f t="shared" si="12"/>
        <v>0</v>
      </c>
      <c r="Y59" s="26">
        <f t="shared" si="13"/>
        <v>0</v>
      </c>
      <c r="Z59" s="12">
        <f t="shared" si="2"/>
        <v>0</v>
      </c>
      <c r="AA59" s="4" t="s">
        <v>10</v>
      </c>
      <c r="AB59" s="11">
        <f>IFERROR(VLOOKUP(AA59,Curr!$B$2:$C$13,2,FALSE),0)</f>
        <v>11.2</v>
      </c>
      <c r="AC59" s="12">
        <f t="shared" si="3"/>
        <v>0</v>
      </c>
      <c r="AD59" s="12">
        <f t="shared" si="4"/>
        <v>0</v>
      </c>
      <c r="AE59" s="13">
        <f t="shared" si="5"/>
        <v>0</v>
      </c>
    </row>
    <row r="60" spans="2:36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/>
      <c r="R60" s="25"/>
      <c r="S60" s="12">
        <f t="shared" si="10"/>
        <v>0</v>
      </c>
      <c r="T60" s="5">
        <v>0</v>
      </c>
      <c r="U60" s="12">
        <f t="shared" si="11"/>
        <v>0</v>
      </c>
      <c r="V60" s="25" t="s">
        <v>10</v>
      </c>
      <c r="W60" s="11">
        <f>IFERROR(VLOOKUP(V60,Curr!$B$2:$C$13,2,FALSE),0)</f>
        <v>11.2</v>
      </c>
      <c r="X60" s="12">
        <f t="shared" si="12"/>
        <v>0</v>
      </c>
      <c r="Y60" s="26">
        <f t="shared" si="13"/>
        <v>0</v>
      </c>
      <c r="Z60" s="12">
        <f t="shared" si="2"/>
        <v>0</v>
      </c>
      <c r="AA60" s="4" t="s">
        <v>10</v>
      </c>
      <c r="AB60" s="11">
        <f>IFERROR(VLOOKUP(AA60,Curr!$B$2:$C$13,2,FALSE),0)</f>
        <v>11.2</v>
      </c>
      <c r="AC60" s="12">
        <f t="shared" si="3"/>
        <v>0</v>
      </c>
      <c r="AD60" s="12">
        <f t="shared" si="4"/>
        <v>0</v>
      </c>
      <c r="AE60" s="13">
        <f t="shared" si="5"/>
        <v>0</v>
      </c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4"/>
      <c r="P61" s="22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2:36" x14ac:dyDescent="0.25">
      <c r="B62" s="14" t="s">
        <v>18</v>
      </c>
      <c r="C62" s="14"/>
      <c r="D62" s="28" t="s">
        <v>42</v>
      </c>
      <c r="E62" s="30" t="s">
        <v>42</v>
      </c>
      <c r="F62" s="30" t="s">
        <v>42</v>
      </c>
      <c r="G62" s="30" t="s">
        <v>42</v>
      </c>
      <c r="H62" s="30" t="s">
        <v>42</v>
      </c>
      <c r="I62" s="28" t="s">
        <v>42</v>
      </c>
      <c r="J62" s="28" t="s">
        <v>42</v>
      </c>
      <c r="K62" s="28" t="s">
        <v>42</v>
      </c>
      <c r="L62" s="28" t="s">
        <v>42</v>
      </c>
      <c r="M62" s="28" t="s">
        <v>42</v>
      </c>
      <c r="N62" s="28" t="s">
        <v>42</v>
      </c>
      <c r="O62" s="28" t="s">
        <v>42</v>
      </c>
      <c r="P62" s="28" t="s">
        <v>42</v>
      </c>
      <c r="Q62" s="31" t="s">
        <v>42</v>
      </c>
      <c r="R62" s="28" t="s">
        <v>42</v>
      </c>
      <c r="S62" s="32" t="s">
        <v>42</v>
      </c>
      <c r="T62" s="28" t="s">
        <v>42</v>
      </c>
      <c r="U62" s="32" t="s">
        <v>42</v>
      </c>
      <c r="V62" s="28" t="s">
        <v>42</v>
      </c>
      <c r="W62" s="28" t="s">
        <v>42</v>
      </c>
      <c r="X62" s="32" t="s">
        <v>42</v>
      </c>
      <c r="Y62" s="32" t="s">
        <v>42</v>
      </c>
      <c r="Z62" s="15">
        <f>SUM(Z7:Z60)</f>
        <v>3121.5108816344659</v>
      </c>
      <c r="AA62" s="14"/>
      <c r="AB62" s="14"/>
      <c r="AC62" s="15">
        <f>SUM(AC7:AC60)</f>
        <v>34960.921874306012</v>
      </c>
      <c r="AD62" s="15">
        <f>SUM(AD7:AD60)</f>
        <v>7447.0018743060182</v>
      </c>
      <c r="AE62" s="21">
        <f t="shared" ref="AE62" si="19">IFERROR(AD62/AC62,0)</f>
        <v>0.21300931082652821</v>
      </c>
      <c r="AF62" s="15">
        <f>SUM(AF8:AF61)</f>
        <v>0</v>
      </c>
      <c r="AG62" s="15">
        <f>SUM(AG8:AG61)</f>
        <v>0</v>
      </c>
      <c r="AH62" s="15">
        <f>SUM(AH8:AH61)</f>
        <v>0</v>
      </c>
      <c r="AI62" s="15">
        <f>SUM(AI8:AI61)</f>
        <v>0</v>
      </c>
      <c r="AJ62" s="15">
        <f>SUM(AJ8:AJ61)</f>
        <v>0</v>
      </c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4"/>
      <c r="Q63" s="4"/>
      <c r="R63" s="4"/>
      <c r="S63" s="4"/>
      <c r="T63" s="4"/>
      <c r="U63" s="4"/>
      <c r="V63" s="4"/>
      <c r="W63" s="4"/>
      <c r="X63" s="4"/>
      <c r="Y63" s="9"/>
      <c r="Z63" s="9"/>
      <c r="AA63" s="9"/>
      <c r="AB63" s="9"/>
      <c r="AC63" s="9"/>
      <c r="AD63" s="9"/>
      <c r="AE63" s="9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4"/>
      <c r="Q64" s="9"/>
      <c r="R64" s="9"/>
      <c r="S64" s="9"/>
      <c r="T64" s="9"/>
      <c r="U64" s="9"/>
      <c r="V64" s="9"/>
      <c r="W64" s="9"/>
      <c r="X64" s="23"/>
      <c r="Y64" s="34" t="s">
        <v>103</v>
      </c>
      <c r="Z64" s="34">
        <v>2150</v>
      </c>
      <c r="AA64" s="9"/>
      <c r="AB64" s="9"/>
      <c r="AC64" s="9"/>
      <c r="AD64" s="9"/>
      <c r="AE64" s="9"/>
    </row>
    <row r="65" spans="2:32" x14ac:dyDescent="0.25">
      <c r="B65" s="4"/>
      <c r="E65" s="3"/>
      <c r="F65" s="3"/>
      <c r="G65" s="3"/>
      <c r="H65" s="3"/>
      <c r="L65" s="4"/>
      <c r="M65" s="4"/>
      <c r="N65" s="4"/>
      <c r="O65" s="4"/>
      <c r="Q65" s="9"/>
      <c r="R65" s="9"/>
      <c r="S65" s="9"/>
      <c r="T65" s="9"/>
      <c r="U65" s="9"/>
      <c r="V65" s="9"/>
      <c r="W65" s="9"/>
      <c r="X65" s="9"/>
      <c r="Y65" s="35" t="s">
        <v>104</v>
      </c>
      <c r="Z65" s="34">
        <f>Y9+Y14+Y22+Y24</f>
        <v>1029.3354430379748</v>
      </c>
      <c r="AA65" s="9"/>
      <c r="AB65" s="9"/>
      <c r="AC65" s="9"/>
      <c r="AD65" s="9"/>
      <c r="AE65" s="9"/>
      <c r="AF65" s="18"/>
    </row>
    <row r="66" spans="2:32" x14ac:dyDescent="0.25">
      <c r="B66" s="4"/>
      <c r="E66" s="3"/>
      <c r="F66" s="3"/>
      <c r="G66" s="3"/>
      <c r="H66" s="3"/>
      <c r="I66" s="19"/>
      <c r="L66" s="4"/>
      <c r="M66" s="4"/>
      <c r="N66" s="4"/>
      <c r="O66" s="20"/>
      <c r="Q66" s="20"/>
      <c r="R66" s="20"/>
      <c r="S66" s="20"/>
      <c r="T66" s="20"/>
      <c r="U66" s="20"/>
      <c r="V66" s="20"/>
      <c r="W66" s="20"/>
      <c r="X66" s="20"/>
      <c r="Y66" s="34" t="s">
        <v>105</v>
      </c>
      <c r="Z66" s="34">
        <v>3460</v>
      </c>
      <c r="AA66" s="9"/>
      <c r="AB66" s="9"/>
      <c r="AC66" s="9"/>
      <c r="AD66" s="9"/>
      <c r="AE66" s="9"/>
      <c r="AF66" s="18"/>
    </row>
    <row r="67" spans="2:32" x14ac:dyDescent="0.25">
      <c r="B67" s="4"/>
      <c r="E67" s="3"/>
      <c r="F67" s="3"/>
      <c r="G67" s="3"/>
      <c r="H67" s="3"/>
      <c r="L67" s="4"/>
      <c r="M67" s="4"/>
      <c r="N67" s="4"/>
      <c r="O67" s="20"/>
      <c r="Q67" s="20"/>
      <c r="R67" s="20"/>
      <c r="S67" s="20"/>
      <c r="T67" s="20"/>
      <c r="U67" s="20"/>
      <c r="V67" s="20"/>
      <c r="W67" s="20"/>
      <c r="X67" s="20"/>
      <c r="Y67" s="34" t="s">
        <v>43</v>
      </c>
      <c r="Z67" s="34">
        <f>Z66/2</f>
        <v>1730</v>
      </c>
      <c r="AA67" s="9"/>
      <c r="AB67" s="9"/>
      <c r="AC67" s="9"/>
      <c r="AD67" s="9"/>
      <c r="AE67" s="9"/>
      <c r="AF67" s="18"/>
    </row>
    <row r="68" spans="2:32" x14ac:dyDescent="0.25">
      <c r="B68" s="4"/>
      <c r="E68" s="3"/>
      <c r="F68" s="3"/>
      <c r="G68" s="3"/>
      <c r="H68" s="3"/>
      <c r="L68" s="4"/>
      <c r="M68" s="4"/>
      <c r="N68" s="4"/>
      <c r="O68" s="4"/>
      <c r="Q68" s="9"/>
      <c r="R68" s="9"/>
      <c r="S68" s="9"/>
      <c r="T68" s="9"/>
      <c r="U68" s="9"/>
      <c r="V68" s="9"/>
      <c r="W68" s="9"/>
      <c r="X68" s="9"/>
      <c r="Y68" s="1"/>
      <c r="Z68" s="1"/>
      <c r="AA68" s="9"/>
      <c r="AB68" s="9"/>
      <c r="AC68" s="9"/>
      <c r="AD68" s="9"/>
      <c r="AE68" s="9"/>
      <c r="AF68" s="18"/>
    </row>
    <row r="69" spans="2:32" x14ac:dyDescent="0.25">
      <c r="F69" s="1"/>
      <c r="G69" s="1"/>
      <c r="H69" s="1"/>
      <c r="J69" s="1" t="s">
        <v>32</v>
      </c>
      <c r="Q69" s="9"/>
      <c r="R69" s="4"/>
      <c r="S69" s="9"/>
      <c r="T69" s="5"/>
      <c r="U69" s="9"/>
      <c r="V69" s="4"/>
      <c r="W69" s="4"/>
      <c r="X69" s="9"/>
      <c r="Y69" s="9" t="s">
        <v>44</v>
      </c>
      <c r="Z69" s="9">
        <f>Z66-Z70</f>
        <v>1520</v>
      </c>
      <c r="AA69" s="9"/>
      <c r="AB69" s="9"/>
      <c r="AC69" s="9"/>
      <c r="AD69" s="9"/>
      <c r="AE69" s="9"/>
    </row>
    <row r="70" spans="2:32" x14ac:dyDescent="0.25">
      <c r="R70" s="4"/>
      <c r="S70" s="17"/>
      <c r="T70" s="17"/>
      <c r="U70" s="9"/>
      <c r="V70" s="4"/>
      <c r="W70" s="4"/>
      <c r="X70" s="9"/>
      <c r="Y70" s="9" t="s">
        <v>45</v>
      </c>
      <c r="Z70" s="9">
        <v>1940</v>
      </c>
      <c r="AA70" s="9"/>
      <c r="AB70" s="9"/>
      <c r="AC70" s="9"/>
      <c r="AD70" s="9"/>
      <c r="AE70" s="9"/>
    </row>
    <row r="71" spans="2:32" x14ac:dyDescent="0.25">
      <c r="Q71" s="9"/>
      <c r="R71" s="4"/>
      <c r="S71" s="16"/>
      <c r="T71" s="16"/>
      <c r="U71" s="9"/>
      <c r="V71" s="4"/>
      <c r="W71" s="4"/>
      <c r="X71" s="9"/>
      <c r="Y71" s="9"/>
      <c r="Z71" s="9"/>
      <c r="AA71" s="9"/>
      <c r="AB71" s="9"/>
      <c r="AC71" s="9"/>
      <c r="AD71" s="9"/>
      <c r="AE71" s="9"/>
    </row>
    <row r="72" spans="2:32" x14ac:dyDescent="0.25">
      <c r="R72" s="4"/>
      <c r="S72" s="16"/>
      <c r="T72" s="16"/>
      <c r="Y72" s="9" t="s">
        <v>46</v>
      </c>
      <c r="Z72" s="9">
        <v>2360</v>
      </c>
      <c r="AA72" s="9"/>
      <c r="AB72" s="9"/>
      <c r="AC72" s="9"/>
      <c r="AD72" s="9"/>
      <c r="AE72" s="9"/>
    </row>
    <row r="73" spans="2:32" x14ac:dyDescent="0.25">
      <c r="T73" s="5"/>
      <c r="Y73" s="9" t="s">
        <v>47</v>
      </c>
      <c r="Z73" s="9">
        <f>Z66-Z72</f>
        <v>1100</v>
      </c>
      <c r="AA73" s="9"/>
      <c r="AB73" s="9"/>
      <c r="AC73" s="9"/>
      <c r="AD73" s="9"/>
      <c r="AE73" s="9"/>
    </row>
    <row r="74" spans="2:32" x14ac:dyDescent="0.25">
      <c r="T74" s="5"/>
      <c r="Y74" s="9"/>
      <c r="Z74" s="9"/>
      <c r="AA74" s="9"/>
      <c r="AB74" s="9"/>
      <c r="AC74" s="9"/>
      <c r="AD74" s="9"/>
      <c r="AE74" s="9"/>
    </row>
    <row r="75" spans="2:32" x14ac:dyDescent="0.25">
      <c r="T75" s="5"/>
      <c r="Y75" s="9"/>
      <c r="Z75" s="9"/>
      <c r="AA75" s="9"/>
      <c r="AB75" s="9"/>
      <c r="AC75" s="9"/>
      <c r="AD75" s="9"/>
      <c r="AE75" s="9"/>
    </row>
    <row r="76" spans="2:32" x14ac:dyDescent="0.25">
      <c r="T76" s="5"/>
      <c r="Y76" s="43" t="s">
        <v>236</v>
      </c>
      <c r="Z76" s="9">
        <v>3120</v>
      </c>
      <c r="AA76" s="9"/>
      <c r="AB76" s="9"/>
      <c r="AC76" s="9"/>
      <c r="AD76" s="9"/>
      <c r="AE76" s="9"/>
    </row>
    <row r="77" spans="2:32" x14ac:dyDescent="0.25">
      <c r="T77" s="5"/>
      <c r="Y77" s="44" t="s">
        <v>237</v>
      </c>
      <c r="Z77" s="9">
        <f>Z76*1.15</f>
        <v>3587.9999999999995</v>
      </c>
      <c r="AA77" s="9"/>
      <c r="AB77" s="9"/>
      <c r="AC77" s="9"/>
      <c r="AD77" s="9"/>
      <c r="AE77" s="9"/>
    </row>
    <row r="78" spans="2:32" x14ac:dyDescent="0.25">
      <c r="T78" s="5"/>
      <c r="Y78" s="44" t="s">
        <v>238</v>
      </c>
      <c r="Z78" s="9">
        <f>Z76*1.2</f>
        <v>3744</v>
      </c>
      <c r="AA78" s="9"/>
      <c r="AB78" s="9"/>
      <c r="AC78" s="9"/>
      <c r="AD78" s="9"/>
      <c r="AE78" s="9"/>
    </row>
    <row r="79" spans="2:32" x14ac:dyDescent="0.25">
      <c r="T79" s="5"/>
      <c r="Y79" s="44" t="s">
        <v>239</v>
      </c>
      <c r="Z79" s="9">
        <f>Z76*0.84</f>
        <v>2620.7999999999997</v>
      </c>
      <c r="AA79" s="9"/>
      <c r="AB79" s="9"/>
      <c r="AC79" s="9"/>
      <c r="AD79" s="9"/>
      <c r="AE79" s="9"/>
    </row>
    <row r="80" spans="2:32" x14ac:dyDescent="0.25">
      <c r="T80" s="5"/>
      <c r="Y80" s="9"/>
      <c r="Z80" s="9"/>
      <c r="AA80" s="9"/>
      <c r="AB80" s="9"/>
      <c r="AC80" s="9"/>
      <c r="AD80" s="9"/>
      <c r="AE80" s="9"/>
    </row>
    <row r="81" spans="20:20" x14ac:dyDescent="0.25">
      <c r="T81" s="5"/>
    </row>
    <row r="82" spans="20:20" x14ac:dyDescent="0.25">
      <c r="T82" s="5"/>
    </row>
    <row r="83" spans="20:20" x14ac:dyDescent="0.25">
      <c r="T83" s="5"/>
    </row>
    <row r="84" spans="20:20" x14ac:dyDescent="0.25">
      <c r="T84" s="5"/>
    </row>
    <row r="85" spans="20:20" x14ac:dyDescent="0.25">
      <c r="T85" s="5"/>
    </row>
  </sheetData>
  <autoFilter ref="B6:AE62" xr:uid="{65FA6D9B-E0AF-46CD-BA0D-86BB75FE6AB0}"/>
  <hyperlinks>
    <hyperlink ref="P12" r:id="rId1" xr:uid="{BB0D28DF-1737-4AE6-AC50-FD4B667F7E8E}"/>
    <hyperlink ref="P14" r:id="rId2" xr:uid="{D7B80392-9967-4EBA-B9A3-3C0774F44CDD}"/>
    <hyperlink ref="P22" r:id="rId3" xr:uid="{7BB37D03-6623-4DBB-A481-E1C14997DCE2}"/>
    <hyperlink ref="P28" r:id="rId4" xr:uid="{7868A958-E370-46FC-824B-4DE7B09E1207}"/>
    <hyperlink ref="P30" r:id="rId5" xr:uid="{238F91EE-E59C-4480-B33A-1EF790352DF5}"/>
    <hyperlink ref="P33" r:id="rId6" xr:uid="{BB9D1E6A-E0B8-49C3-9A12-C9DC3428B250}"/>
    <hyperlink ref="P50" r:id="rId7" xr:uid="{D28042F5-7E98-45E8-9C5D-1947050FD0B6}"/>
    <hyperlink ref="P53" r:id="rId8" xr:uid="{B675A4D9-FF5B-47EA-8111-53778641A73B}"/>
    <hyperlink ref="P47" r:id="rId9" xr:uid="{3B5E0D0D-EFC8-4EF1-939D-9F80BEAA3E68}"/>
    <hyperlink ref="P46" r:id="rId10" xr:uid="{488E2240-6D37-4817-9A5B-D725192BAEF6}"/>
    <hyperlink ref="P54" r:id="rId11" xr:uid="{6786A34B-8381-4958-888E-47D453682C2B}"/>
    <hyperlink ref="P26" r:id="rId12" xr:uid="{FB09907D-E930-4BC2-A11E-2B907626343A}"/>
  </hyperlinks>
  <pageMargins left="0.7" right="0.7" top="0.75" bottom="0.75" header="0.3" footer="0.3"/>
  <pageSetup paperSize="9" orientation="portrait"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DCA1-0F79-48DA-8619-6128E39F2B66}">
  <sheetPr>
    <tabColor rgb="FFFFFF00"/>
  </sheetPr>
  <dimension ref="B2:AK82"/>
  <sheetViews>
    <sheetView topLeftCell="E3" zoomScale="80" zoomScaleNormal="80" workbookViewId="0">
      <selection activeCell="W68" sqref="W68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132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9" si="1">U7*W7</f>
        <v>0</v>
      </c>
      <c r="Y7" s="26">
        <f>Q7</f>
        <v>0</v>
      </c>
      <c r="Z7" s="12">
        <f t="shared" ref="Z7:Z57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57" si="3">+Y7*AB7*R7</f>
        <v>0</v>
      </c>
      <c r="AD7" s="12">
        <f t="shared" ref="AD7:AD57" si="4">+AC7-X7</f>
        <v>0</v>
      </c>
      <c r="AE7" s="13">
        <f t="shared" ref="AE7:AE57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9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120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11.2</v>
      </c>
      <c r="X15" s="12">
        <f t="shared" si="1"/>
        <v>0</v>
      </c>
      <c r="Y15" s="26">
        <f t="shared" ref="Y15:Y19" si="9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121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 t="shared" si="9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128</v>
      </c>
      <c r="K17" s="4"/>
      <c r="L17" s="4"/>
      <c r="M17" s="4"/>
      <c r="N17" s="4" t="s">
        <v>42</v>
      </c>
      <c r="O17" s="4"/>
      <c r="P17" s="27"/>
      <c r="Q17" s="25">
        <v>319</v>
      </c>
      <c r="R17" s="25">
        <v>1</v>
      </c>
      <c r="S17" s="12">
        <f t="shared" si="0"/>
        <v>319</v>
      </c>
      <c r="T17" s="5">
        <v>0</v>
      </c>
      <c r="U17" s="12">
        <f t="shared" si="6"/>
        <v>319</v>
      </c>
      <c r="V17" s="25" t="s">
        <v>10</v>
      </c>
      <c r="W17" s="11">
        <f>IFERROR(VLOOKUP(V17,Curr!$B$2:$C$13,2,FALSE),0)</f>
        <v>11.2</v>
      </c>
      <c r="X17" s="12">
        <f t="shared" si="1"/>
        <v>3572.7999999999997</v>
      </c>
      <c r="Y17" s="26">
        <f>Q17/0.8</f>
        <v>398.75</v>
      </c>
      <c r="Z17" s="12">
        <f t="shared" si="2"/>
        <v>398.75</v>
      </c>
      <c r="AA17" s="4" t="s">
        <v>10</v>
      </c>
      <c r="AB17" s="11">
        <f>IFERROR(VLOOKUP(AA17,Curr!$B$2:$C$13,2,FALSE),0)</f>
        <v>11.2</v>
      </c>
      <c r="AC17" s="12">
        <f t="shared" si="3"/>
        <v>4466</v>
      </c>
      <c r="AD17" s="12">
        <f t="shared" si="4"/>
        <v>893.20000000000027</v>
      </c>
      <c r="AE17" s="13">
        <f t="shared" si="5"/>
        <v>0.20000000000000007</v>
      </c>
    </row>
    <row r="18" spans="2:31" x14ac:dyDescent="0.25">
      <c r="B18" s="4"/>
      <c r="C18" s="1" t="s">
        <v>68</v>
      </c>
      <c r="D18" s="1" t="s">
        <v>61</v>
      </c>
      <c r="E18" s="3"/>
      <c r="F18" s="3"/>
      <c r="G18" s="24"/>
      <c r="H18" s="24"/>
      <c r="J18" s="1" t="s">
        <v>123</v>
      </c>
      <c r="K18" s="4"/>
      <c r="L18" s="4"/>
      <c r="M18" s="4"/>
      <c r="N18" s="4"/>
      <c r="O18" s="4" t="s">
        <v>42</v>
      </c>
      <c r="P18" s="27"/>
      <c r="Q18" s="25">
        <v>20</v>
      </c>
      <c r="R18" s="25">
        <v>2</v>
      </c>
      <c r="S18" s="12">
        <f t="shared" si="0"/>
        <v>40</v>
      </c>
      <c r="T18" s="5">
        <v>0</v>
      </c>
      <c r="U18" s="12">
        <f t="shared" si="6"/>
        <v>40</v>
      </c>
      <c r="V18" s="25" t="s">
        <v>10</v>
      </c>
      <c r="W18" s="11">
        <f>IFERROR(VLOOKUP(V18,Curr!$B$2:$C$13,2,FALSE),0)</f>
        <v>11.2</v>
      </c>
      <c r="X18" s="12">
        <f t="shared" si="1"/>
        <v>448</v>
      </c>
      <c r="Y18" s="26">
        <f>Q18/0.67</f>
        <v>29.850746268656714</v>
      </c>
      <c r="Z18" s="12">
        <f t="shared" si="2"/>
        <v>59.701492537313428</v>
      </c>
      <c r="AA18" s="4" t="s">
        <v>10</v>
      </c>
      <c r="AB18" s="11">
        <f>IFERROR(VLOOKUP(AA18,Curr!$B$2:$C$13,2,FALSE),0)</f>
        <v>11.2</v>
      </c>
      <c r="AC18" s="12">
        <f t="shared" si="3"/>
        <v>668.65671641791039</v>
      </c>
      <c r="AD18" s="12">
        <f t="shared" si="4"/>
        <v>220.65671641791039</v>
      </c>
      <c r="AE18" s="13">
        <f t="shared" si="5"/>
        <v>0.32999999999999996</v>
      </c>
    </row>
    <row r="19" spans="2:31" x14ac:dyDescent="0.25">
      <c r="B19" s="4"/>
      <c r="C19" s="1" t="s">
        <v>68</v>
      </c>
      <c r="D19" s="1" t="s">
        <v>58</v>
      </c>
      <c r="E19" s="3"/>
      <c r="F19" s="3"/>
      <c r="G19" s="24"/>
      <c r="H19" s="24"/>
      <c r="J19" s="1" t="s">
        <v>122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6"/>
        <v>0</v>
      </c>
      <c r="V19" s="25" t="s">
        <v>10</v>
      </c>
      <c r="W19" s="11">
        <f>IFERROR(VLOOKUP(V19,Curr!$B$2:$C$13,2,FALSE),0)</f>
        <v>11.2</v>
      </c>
      <c r="X19" s="12">
        <f t="shared" si="1"/>
        <v>0</v>
      </c>
      <c r="Y19" s="26">
        <f t="shared" si="9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11.2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ref="S20:S57" si="10">+Q20*R20</f>
        <v>0</v>
      </c>
      <c r="T20" s="5">
        <v>0</v>
      </c>
      <c r="U20" s="12">
        <f t="shared" ref="U20:U57" si="11">S20*(1-T20)</f>
        <v>0</v>
      </c>
      <c r="V20" s="25" t="s">
        <v>10</v>
      </c>
      <c r="W20" s="11">
        <f>IFERROR(VLOOKUP(V20,Curr!$B$2:$C$13,2,FALSE),0)</f>
        <v>11.2</v>
      </c>
      <c r="X20" s="12">
        <f t="shared" ref="X20:X57" si="12">U20*W20</f>
        <v>0</v>
      </c>
      <c r="Y20" s="26">
        <f t="shared" ref="Y20:Y57" si="13">Q20</f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56</v>
      </c>
      <c r="E21" s="3"/>
      <c r="F21" s="3"/>
      <c r="G21" s="24"/>
      <c r="H21" s="24"/>
      <c r="J21" s="1" t="s">
        <v>124</v>
      </c>
      <c r="K21" s="4"/>
      <c r="L21" s="4"/>
      <c r="M21" s="4"/>
      <c r="N21" s="4"/>
      <c r="O21" s="4"/>
      <c r="P21" s="27"/>
      <c r="Q21" s="25">
        <v>0</v>
      </c>
      <c r="R21" s="25">
        <v>0</v>
      </c>
      <c r="S21" s="12">
        <f t="shared" si="10"/>
        <v>0</v>
      </c>
      <c r="T21" s="5">
        <v>0</v>
      </c>
      <c r="U21" s="12">
        <f t="shared" si="11"/>
        <v>0</v>
      </c>
      <c r="V21" s="25" t="s">
        <v>10</v>
      </c>
      <c r="W21" s="11">
        <f>IFERROR(VLOOKUP(V21,Curr!$B$2:$C$13,2,FALSE),0)</f>
        <v>11.2</v>
      </c>
      <c r="X21" s="12">
        <f t="shared" si="12"/>
        <v>0</v>
      </c>
      <c r="Y21" s="26">
        <f t="shared" si="13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11.2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1" x14ac:dyDescent="0.25">
      <c r="B22" s="4"/>
      <c r="C22" s="1" t="s">
        <v>72</v>
      </c>
      <c r="D22" s="1" t="s">
        <v>64</v>
      </c>
      <c r="E22" s="3"/>
      <c r="F22" s="3"/>
      <c r="G22" s="24"/>
      <c r="H22" s="24"/>
      <c r="J22" s="1" t="s">
        <v>125</v>
      </c>
      <c r="K22" s="4"/>
      <c r="L22" s="4"/>
      <c r="M22" s="4"/>
      <c r="N22" s="4" t="s">
        <v>42</v>
      </c>
      <c r="O22" s="4"/>
      <c r="P22" s="33" t="s">
        <v>67</v>
      </c>
      <c r="Q22" s="25">
        <v>37</v>
      </c>
      <c r="R22" s="25">
        <v>1</v>
      </c>
      <c r="S22" s="12">
        <f t="shared" si="10"/>
        <v>37</v>
      </c>
      <c r="T22" s="5">
        <v>0</v>
      </c>
      <c r="U22" s="12">
        <f t="shared" si="11"/>
        <v>37</v>
      </c>
      <c r="V22" s="25" t="s">
        <v>10</v>
      </c>
      <c r="W22" s="11">
        <f>IFERROR(VLOOKUP(V22,Curr!$B$2:$C$13,2,FALSE),0)</f>
        <v>11.2</v>
      </c>
      <c r="X22" s="12">
        <f t="shared" si="12"/>
        <v>414.4</v>
      </c>
      <c r="Y22" s="26">
        <f>Q22/0.79</f>
        <v>46.835443037974684</v>
      </c>
      <c r="Z22" s="12">
        <f t="shared" si="2"/>
        <v>46.835443037974684</v>
      </c>
      <c r="AA22" s="4" t="s">
        <v>10</v>
      </c>
      <c r="AB22" s="11">
        <f>IFERROR(VLOOKUP(AA22,Curr!$B$2:$C$13,2,FALSE),0)</f>
        <v>11.2</v>
      </c>
      <c r="AC22" s="12">
        <f t="shared" si="3"/>
        <v>524.55696202531647</v>
      </c>
      <c r="AD22" s="12">
        <f t="shared" si="4"/>
        <v>110.15696202531649</v>
      </c>
      <c r="AE22" s="13">
        <f t="shared" si="5"/>
        <v>0.21000000000000005</v>
      </c>
    </row>
    <row r="23" spans="2:31" x14ac:dyDescent="0.25">
      <c r="B23" s="4"/>
      <c r="C23" s="1" t="s">
        <v>72</v>
      </c>
      <c r="D23" s="1" t="s">
        <v>56</v>
      </c>
      <c r="E23" s="3"/>
      <c r="F23" s="3"/>
      <c r="G23" s="24"/>
      <c r="H23" s="24"/>
      <c r="J23" s="1" t="s">
        <v>69</v>
      </c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 t="shared" si="10"/>
        <v>0</v>
      </c>
      <c r="T23" s="5">
        <v>0</v>
      </c>
      <c r="U23" s="12">
        <f t="shared" si="11"/>
        <v>0</v>
      </c>
      <c r="V23" s="25" t="s">
        <v>10</v>
      </c>
      <c r="W23" s="11">
        <f>IFERROR(VLOOKUP(V23,Curr!$B$2:$C$13,2,FALSE),0)</f>
        <v>11.2</v>
      </c>
      <c r="X23" s="12">
        <f t="shared" si="12"/>
        <v>0</v>
      </c>
      <c r="Y23" s="26">
        <f>Q23/0.8</f>
        <v>0</v>
      </c>
      <c r="Z23" s="12">
        <f t="shared" si="2"/>
        <v>0</v>
      </c>
      <c r="AA23" s="4" t="s">
        <v>10</v>
      </c>
      <c r="AB23" s="11">
        <f>IFERROR(VLOOKUP(AA23,Curr!$B$2:$C$13,2,FALSE),0)</f>
        <v>11.2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1" x14ac:dyDescent="0.25">
      <c r="B24" s="4"/>
      <c r="C24" s="1" t="s">
        <v>72</v>
      </c>
      <c r="D24" s="1" t="s">
        <v>57</v>
      </c>
      <c r="E24" s="3"/>
      <c r="F24" s="3"/>
      <c r="G24" s="24"/>
      <c r="H24" s="24"/>
      <c r="J24" s="1" t="s">
        <v>135</v>
      </c>
      <c r="K24" s="4"/>
      <c r="L24" s="4"/>
      <c r="M24" s="4"/>
      <c r="N24" s="4" t="s">
        <v>42</v>
      </c>
      <c r="O24" s="4"/>
      <c r="P24" s="33"/>
      <c r="Q24" s="25">
        <f>109*2*2</f>
        <v>436</v>
      </c>
      <c r="R24" s="25">
        <v>1</v>
      </c>
      <c r="S24" s="12">
        <f t="shared" si="10"/>
        <v>436</v>
      </c>
      <c r="T24" s="5">
        <v>0</v>
      </c>
      <c r="U24" s="12">
        <f t="shared" si="11"/>
        <v>436</v>
      </c>
      <c r="V24" s="25" t="s">
        <v>10</v>
      </c>
      <c r="W24" s="11">
        <f>IFERROR(VLOOKUP(V24,Curr!$B$2:$C$13,2,FALSE),0)</f>
        <v>11.2</v>
      </c>
      <c r="X24" s="12">
        <f t="shared" si="12"/>
        <v>4883.2</v>
      </c>
      <c r="Y24" s="26">
        <f>Q24/0.8</f>
        <v>545</v>
      </c>
      <c r="Z24" s="12">
        <f t="shared" si="2"/>
        <v>545</v>
      </c>
      <c r="AA24" s="4" t="s">
        <v>10</v>
      </c>
      <c r="AB24" s="11">
        <f>IFERROR(VLOOKUP(AA24,Curr!$B$2:$C$13,2,FALSE),0)</f>
        <v>11.2</v>
      </c>
      <c r="AC24" s="12">
        <f t="shared" si="3"/>
        <v>6104</v>
      </c>
      <c r="AD24" s="12">
        <f t="shared" si="4"/>
        <v>1220.8000000000002</v>
      </c>
      <c r="AE24" s="13">
        <f t="shared" si="5"/>
        <v>0.20000000000000004</v>
      </c>
    </row>
    <row r="25" spans="2:31" x14ac:dyDescent="0.25">
      <c r="B25" s="4"/>
      <c r="C25" s="1" t="s">
        <v>72</v>
      </c>
      <c r="D25" s="1" t="s">
        <v>58</v>
      </c>
      <c r="E25" s="3"/>
      <c r="F25" s="3"/>
      <c r="G25" s="24"/>
      <c r="H25" s="24"/>
      <c r="J25" s="1" t="s">
        <v>70</v>
      </c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 t="shared" si="10"/>
        <v>0</v>
      </c>
      <c r="T25" s="5">
        <v>0</v>
      </c>
      <c r="U25" s="12">
        <f t="shared" si="11"/>
        <v>0</v>
      </c>
      <c r="V25" s="25" t="s">
        <v>10</v>
      </c>
      <c r="W25" s="11">
        <f>IFERROR(VLOOKUP(V25,Curr!$B$2:$C$13,2,FALSE),0)</f>
        <v>11.2</v>
      </c>
      <c r="X25" s="12">
        <f t="shared" si="12"/>
        <v>0</v>
      </c>
      <c r="Y25" s="26">
        <f t="shared" ref="Y25:Y26" si="14">Q25</f>
        <v>0</v>
      </c>
      <c r="Z25" s="12">
        <f t="shared" si="2"/>
        <v>0</v>
      </c>
      <c r="AA25" s="4" t="s">
        <v>10</v>
      </c>
      <c r="AB25" s="11">
        <f>IFERROR(VLOOKUP(AA25,Curr!$B$2:$C$13,2,FALSE),0)</f>
        <v>11.2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1" x14ac:dyDescent="0.25">
      <c r="B26" s="4"/>
      <c r="C26" s="1" t="s">
        <v>72</v>
      </c>
      <c r="D26" s="1" t="s">
        <v>61</v>
      </c>
      <c r="E26" s="3"/>
      <c r="F26" s="3"/>
      <c r="G26" s="24"/>
      <c r="H26" s="24"/>
      <c r="J26" s="1" t="s">
        <v>222</v>
      </c>
      <c r="K26" s="4"/>
      <c r="L26" s="4"/>
      <c r="M26" s="4"/>
      <c r="N26" s="4"/>
      <c r="O26" s="4" t="s">
        <v>42</v>
      </c>
      <c r="P26" s="33" t="s">
        <v>223</v>
      </c>
      <c r="Q26" s="25">
        <v>109</v>
      </c>
      <c r="R26" s="25">
        <v>2</v>
      </c>
      <c r="S26" s="12">
        <f t="shared" si="10"/>
        <v>218</v>
      </c>
      <c r="T26" s="5">
        <v>0.2</v>
      </c>
      <c r="U26" s="12">
        <f t="shared" si="11"/>
        <v>174.4</v>
      </c>
      <c r="V26" s="25" t="s">
        <v>10</v>
      </c>
      <c r="W26" s="11">
        <f>IFERROR(VLOOKUP(V26,Curr!$B$2:$C$13,2,FALSE),0)</f>
        <v>11.2</v>
      </c>
      <c r="X26" s="12">
        <f t="shared" si="12"/>
        <v>1953.28</v>
      </c>
      <c r="Y26" s="26">
        <f t="shared" si="14"/>
        <v>109</v>
      </c>
      <c r="Z26" s="12">
        <f t="shared" si="2"/>
        <v>218</v>
      </c>
      <c r="AA26" s="4" t="s">
        <v>10</v>
      </c>
      <c r="AB26" s="11">
        <f>IFERROR(VLOOKUP(AA26,Curr!$B$2:$C$13,2,FALSE),0)</f>
        <v>11.2</v>
      </c>
      <c r="AC26" s="12">
        <f t="shared" si="3"/>
        <v>2441.6</v>
      </c>
      <c r="AD26" s="12">
        <f t="shared" si="4"/>
        <v>488.31999999999994</v>
      </c>
      <c r="AE26" s="13">
        <f t="shared" si="5"/>
        <v>0.19999999999999998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10"/>
        <v>0</v>
      </c>
      <c r="T27" s="5">
        <v>0</v>
      </c>
      <c r="U27" s="12">
        <f t="shared" si="11"/>
        <v>0</v>
      </c>
      <c r="V27" s="25" t="s">
        <v>10</v>
      </c>
      <c r="W27" s="11">
        <f>IFERROR(VLOOKUP(V27,Curr!$B$2:$C$13,2,FALSE),0)</f>
        <v>11.2</v>
      </c>
      <c r="X27" s="12">
        <f t="shared" si="12"/>
        <v>0</v>
      </c>
      <c r="Y27" s="26">
        <f t="shared" si="13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77</v>
      </c>
      <c r="D28" s="1" t="s">
        <v>61</v>
      </c>
      <c r="E28" s="3"/>
      <c r="F28" s="3"/>
      <c r="G28" s="24"/>
      <c r="H28" s="24"/>
      <c r="J28" s="1" t="s">
        <v>73</v>
      </c>
      <c r="K28" s="4"/>
      <c r="L28" s="4"/>
      <c r="M28" s="4"/>
      <c r="N28" s="4"/>
      <c r="O28" s="4" t="s">
        <v>42</v>
      </c>
      <c r="P28" s="33" t="s">
        <v>74</v>
      </c>
      <c r="Q28" s="25">
        <v>188</v>
      </c>
      <c r="R28" s="25">
        <v>2</v>
      </c>
      <c r="S28" s="12">
        <f t="shared" si="10"/>
        <v>376</v>
      </c>
      <c r="T28" s="5">
        <v>0.2</v>
      </c>
      <c r="U28" s="12">
        <f t="shared" si="11"/>
        <v>300.8</v>
      </c>
      <c r="V28" s="25" t="s">
        <v>10</v>
      </c>
      <c r="W28" s="11">
        <f>IFERROR(VLOOKUP(V28,Curr!$B$2:$C$13,2,FALSE),0)</f>
        <v>11.2</v>
      </c>
      <c r="X28" s="12">
        <f t="shared" si="12"/>
        <v>3368.96</v>
      </c>
      <c r="Y28" s="26">
        <f t="shared" si="13"/>
        <v>188</v>
      </c>
      <c r="Z28" s="12">
        <f t="shared" si="2"/>
        <v>376</v>
      </c>
      <c r="AA28" s="4" t="s">
        <v>10</v>
      </c>
      <c r="AB28" s="11">
        <f>IFERROR(VLOOKUP(AA28,Curr!$B$2:$C$13,2,FALSE),0)</f>
        <v>11.2</v>
      </c>
      <c r="AC28" s="12">
        <f t="shared" si="3"/>
        <v>4211.2</v>
      </c>
      <c r="AD28" s="12">
        <f t="shared" si="4"/>
        <v>842.23999999999978</v>
      </c>
      <c r="AE28" s="13">
        <f t="shared" si="5"/>
        <v>0.19999999999999996</v>
      </c>
    </row>
    <row r="29" spans="2:31" x14ac:dyDescent="0.25">
      <c r="B29" s="4"/>
      <c r="C29" s="1" t="s">
        <v>77</v>
      </c>
      <c r="D29" s="1" t="s">
        <v>58</v>
      </c>
      <c r="E29" s="3"/>
      <c r="F29" s="3"/>
      <c r="G29" s="24"/>
      <c r="H29" s="24"/>
      <c r="J29" s="1" t="s">
        <v>70</v>
      </c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10"/>
        <v>0</v>
      </c>
      <c r="T29" s="5">
        <v>0</v>
      </c>
      <c r="U29" s="12">
        <f t="shared" si="11"/>
        <v>0</v>
      </c>
      <c r="V29" s="25" t="s">
        <v>10</v>
      </c>
      <c r="W29" s="11">
        <f>IFERROR(VLOOKUP(V29,Curr!$B$2:$C$13,2,FALSE),0)</f>
        <v>11.2</v>
      </c>
      <c r="X29" s="12">
        <f t="shared" si="12"/>
        <v>0</v>
      </c>
      <c r="Y29" s="26">
        <f t="shared" si="13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11.2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77</v>
      </c>
      <c r="D30" s="1" t="s">
        <v>61</v>
      </c>
      <c r="E30" s="3"/>
      <c r="F30" s="3"/>
      <c r="G30" s="24"/>
      <c r="H30" s="24"/>
      <c r="J30" s="1" t="s">
        <v>75</v>
      </c>
      <c r="K30" s="4"/>
      <c r="L30" s="4"/>
      <c r="M30" s="4"/>
      <c r="N30" s="4"/>
      <c r="O30" s="4" t="s">
        <v>42</v>
      </c>
      <c r="P30" s="33" t="s">
        <v>76</v>
      </c>
      <c r="Q30" s="25">
        <v>89</v>
      </c>
      <c r="R30" s="25">
        <v>2</v>
      </c>
      <c r="S30" s="12">
        <f t="shared" si="10"/>
        <v>178</v>
      </c>
      <c r="T30" s="5">
        <v>0.2</v>
      </c>
      <c r="U30" s="12">
        <f t="shared" si="11"/>
        <v>142.4</v>
      </c>
      <c r="V30" s="25" t="s">
        <v>10</v>
      </c>
      <c r="W30" s="11">
        <f>IFERROR(VLOOKUP(V30,Curr!$B$2:$C$13,2,FALSE),0)</f>
        <v>11.2</v>
      </c>
      <c r="X30" s="12">
        <f t="shared" si="12"/>
        <v>1594.8799999999999</v>
      </c>
      <c r="Y30" s="26">
        <f t="shared" si="13"/>
        <v>89</v>
      </c>
      <c r="Z30" s="12">
        <f t="shared" si="2"/>
        <v>178</v>
      </c>
      <c r="AA30" s="4" t="s">
        <v>10</v>
      </c>
      <c r="AB30" s="11">
        <f>IFERROR(VLOOKUP(AA30,Curr!$B$2:$C$13,2,FALSE),0)</f>
        <v>11.2</v>
      </c>
      <c r="AC30" s="12">
        <f t="shared" si="3"/>
        <v>1993.6</v>
      </c>
      <c r="AD30" s="12">
        <f t="shared" si="4"/>
        <v>398.72</v>
      </c>
      <c r="AE30" s="13">
        <f t="shared" si="5"/>
        <v>0.2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/>
      <c r="R31" s="25"/>
      <c r="S31" s="12">
        <f t="shared" si="10"/>
        <v>0</v>
      </c>
      <c r="T31" s="5">
        <v>0</v>
      </c>
      <c r="U31" s="12">
        <f t="shared" si="11"/>
        <v>0</v>
      </c>
      <c r="V31" s="25" t="s">
        <v>10</v>
      </c>
      <c r="W31" s="11">
        <f>IFERROR(VLOOKUP(V31,Curr!$B$2:$C$13,2,FALSE),0)</f>
        <v>11.2</v>
      </c>
      <c r="X31" s="12">
        <f t="shared" si="12"/>
        <v>0</v>
      </c>
      <c r="Y31" s="26">
        <f t="shared" si="13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11.2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C32" s="1" t="s">
        <v>80</v>
      </c>
      <c r="D32" s="1" t="s">
        <v>56</v>
      </c>
      <c r="E32" s="3"/>
      <c r="F32" s="3"/>
      <c r="G32" s="24"/>
      <c r="H32" s="24"/>
      <c r="J32" s="1" t="s">
        <v>84</v>
      </c>
      <c r="K32" s="4"/>
      <c r="L32" s="4"/>
      <c r="M32" s="4"/>
      <c r="N32" s="4"/>
      <c r="O32" s="4"/>
      <c r="P32" s="33"/>
      <c r="Q32" s="25">
        <v>0</v>
      </c>
      <c r="R32" s="25">
        <v>0</v>
      </c>
      <c r="S32" s="12">
        <f t="shared" si="10"/>
        <v>0</v>
      </c>
      <c r="T32" s="5">
        <v>0</v>
      </c>
      <c r="U32" s="12">
        <f t="shared" si="11"/>
        <v>0</v>
      </c>
      <c r="V32" s="25" t="s">
        <v>10</v>
      </c>
      <c r="W32" s="11">
        <f>IFERROR(VLOOKUP(V32,Curr!$B$2:$C$13,2,FALSE),0)</f>
        <v>11.2</v>
      </c>
      <c r="X32" s="12">
        <f t="shared" si="12"/>
        <v>0</v>
      </c>
      <c r="Y32" s="26">
        <f t="shared" si="13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11.2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C33" s="1" t="s">
        <v>80</v>
      </c>
      <c r="D33" s="1" t="s">
        <v>81</v>
      </c>
      <c r="E33" s="3"/>
      <c r="F33" s="3"/>
      <c r="G33" s="24"/>
      <c r="H33" s="24"/>
      <c r="J33" s="1" t="s">
        <v>85</v>
      </c>
      <c r="K33" s="4"/>
      <c r="L33" s="4"/>
      <c r="M33" s="4"/>
      <c r="N33" s="4" t="s">
        <v>42</v>
      </c>
      <c r="O33" s="4"/>
      <c r="P33" s="33" t="s">
        <v>86</v>
      </c>
      <c r="Q33" s="25">
        <v>50</v>
      </c>
      <c r="R33" s="25">
        <v>2</v>
      </c>
      <c r="S33" s="12">
        <f t="shared" si="10"/>
        <v>100</v>
      </c>
      <c r="T33" s="5">
        <v>0</v>
      </c>
      <c r="U33" s="12">
        <f t="shared" si="11"/>
        <v>100</v>
      </c>
      <c r="V33" s="25" t="s">
        <v>10</v>
      </c>
      <c r="W33" s="11">
        <f>IFERROR(VLOOKUP(V33,Curr!$B$2:$C$13,2,FALSE),0)</f>
        <v>11.2</v>
      </c>
      <c r="X33" s="12">
        <f t="shared" si="12"/>
        <v>1120</v>
      </c>
      <c r="Y33" s="26">
        <f>Q33/0.8</f>
        <v>62.5</v>
      </c>
      <c r="Z33" s="12">
        <f t="shared" si="2"/>
        <v>125</v>
      </c>
      <c r="AA33" s="4" t="s">
        <v>10</v>
      </c>
      <c r="AB33" s="11">
        <f>IFERROR(VLOOKUP(AA33,Curr!$B$2:$C$13,2,FALSE),0)</f>
        <v>11.2</v>
      </c>
      <c r="AC33" s="12">
        <f t="shared" si="3"/>
        <v>1400</v>
      </c>
      <c r="AD33" s="12">
        <f t="shared" si="4"/>
        <v>280</v>
      </c>
      <c r="AE33" s="13">
        <f t="shared" si="5"/>
        <v>0.2</v>
      </c>
    </row>
    <row r="34" spans="2:31" x14ac:dyDescent="0.25">
      <c r="B34" s="4"/>
      <c r="C34" s="1" t="s">
        <v>80</v>
      </c>
      <c r="D34" s="1" t="s">
        <v>57</v>
      </c>
      <c r="E34" s="3"/>
      <c r="F34" s="3"/>
      <c r="G34" s="24"/>
      <c r="H34" s="24"/>
      <c r="J34" s="1" t="s">
        <v>88</v>
      </c>
      <c r="K34" s="4"/>
      <c r="L34" s="4"/>
      <c r="M34" s="4"/>
      <c r="N34" s="4" t="s">
        <v>42</v>
      </c>
      <c r="O34" s="4"/>
      <c r="P34" s="27"/>
      <c r="Q34" s="25">
        <f>58+58+538</f>
        <v>654</v>
      </c>
      <c r="R34" s="25">
        <v>1</v>
      </c>
      <c r="S34" s="12">
        <f t="shared" si="10"/>
        <v>654</v>
      </c>
      <c r="T34" s="5">
        <v>0</v>
      </c>
      <c r="U34" s="12">
        <f t="shared" si="11"/>
        <v>654</v>
      </c>
      <c r="V34" s="25" t="s">
        <v>10</v>
      </c>
      <c r="W34" s="11">
        <f>IFERROR(VLOOKUP(V34,Curr!$B$2:$C$13,2,FALSE),0)</f>
        <v>11.2</v>
      </c>
      <c r="X34" s="12">
        <f t="shared" si="12"/>
        <v>7324.7999999999993</v>
      </c>
      <c r="Y34" s="26">
        <f>Q34/0.8</f>
        <v>817.5</v>
      </c>
      <c r="Z34" s="12">
        <f t="shared" si="2"/>
        <v>817.5</v>
      </c>
      <c r="AA34" s="4" t="s">
        <v>10</v>
      </c>
      <c r="AB34" s="11">
        <f>IFERROR(VLOOKUP(AA34,Curr!$B$2:$C$13,2,FALSE),0)</f>
        <v>11.2</v>
      </c>
      <c r="AC34" s="12">
        <f t="shared" si="3"/>
        <v>9156</v>
      </c>
      <c r="AD34" s="12">
        <f t="shared" si="4"/>
        <v>1831.2000000000007</v>
      </c>
      <c r="AE34" s="13">
        <f t="shared" si="5"/>
        <v>0.20000000000000007</v>
      </c>
    </row>
    <row r="35" spans="2:31" x14ac:dyDescent="0.25">
      <c r="B35" s="4"/>
      <c r="C35" s="1" t="s">
        <v>80</v>
      </c>
      <c r="D35" s="1" t="s">
        <v>61</v>
      </c>
      <c r="E35" s="3"/>
      <c r="F35" s="3"/>
      <c r="G35" s="24"/>
      <c r="H35" s="24"/>
      <c r="J35" s="1" t="s">
        <v>87</v>
      </c>
      <c r="K35" s="4"/>
      <c r="L35" s="4"/>
      <c r="M35" s="4"/>
      <c r="N35" s="4" t="s">
        <v>42</v>
      </c>
      <c r="O35" s="4"/>
      <c r="P35" s="27"/>
      <c r="Q35" s="25">
        <v>111</v>
      </c>
      <c r="R35" s="25">
        <v>2</v>
      </c>
      <c r="S35" s="12">
        <f t="shared" si="10"/>
        <v>222</v>
      </c>
      <c r="T35" s="5">
        <v>0</v>
      </c>
      <c r="U35" s="12">
        <f t="shared" si="11"/>
        <v>222</v>
      </c>
      <c r="V35" s="25" t="s">
        <v>10</v>
      </c>
      <c r="W35" s="11">
        <f>IFERROR(VLOOKUP(V35,Curr!$B$2:$C$13,2,FALSE),0)</f>
        <v>11.2</v>
      </c>
      <c r="X35" s="12">
        <f t="shared" si="12"/>
        <v>2486.3999999999996</v>
      </c>
      <c r="Y35" s="26">
        <f>Q35/0.8</f>
        <v>138.75</v>
      </c>
      <c r="Z35" s="12">
        <f t="shared" si="2"/>
        <v>277.5</v>
      </c>
      <c r="AA35" s="4" t="s">
        <v>10</v>
      </c>
      <c r="AB35" s="11">
        <f>IFERROR(VLOOKUP(AA35,Curr!$B$2:$C$13,2,FALSE),0)</f>
        <v>11.2</v>
      </c>
      <c r="AC35" s="12">
        <f t="shared" si="3"/>
        <v>3108</v>
      </c>
      <c r="AD35" s="12">
        <f t="shared" si="4"/>
        <v>621.60000000000036</v>
      </c>
      <c r="AE35" s="13">
        <f t="shared" si="5"/>
        <v>0.20000000000000012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0"/>
        <v>0</v>
      </c>
      <c r="T36" s="5">
        <v>0</v>
      </c>
      <c r="U36" s="12">
        <f t="shared" si="11"/>
        <v>0</v>
      </c>
      <c r="V36" s="25" t="s">
        <v>10</v>
      </c>
      <c r="W36" s="11">
        <f>IFERROR(VLOOKUP(V36,Curr!$B$2:$C$13,2,FALSE),0)</f>
        <v>11.2</v>
      </c>
      <c r="X36" s="12">
        <f t="shared" si="12"/>
        <v>0</v>
      </c>
      <c r="Y36" s="26">
        <f t="shared" si="13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C37" s="1" t="s">
        <v>82</v>
      </c>
      <c r="D37" s="1" t="s">
        <v>56</v>
      </c>
      <c r="E37" s="3"/>
      <c r="F37" s="3"/>
      <c r="G37" s="24"/>
      <c r="H37" s="24"/>
      <c r="J37" s="1" t="s">
        <v>168</v>
      </c>
      <c r="K37" s="4"/>
      <c r="L37" s="4"/>
      <c r="M37" s="4"/>
      <c r="N37" s="4" t="s">
        <v>42</v>
      </c>
      <c r="O37" s="4"/>
      <c r="P37" s="27"/>
      <c r="Q37" s="25">
        <v>49</v>
      </c>
      <c r="R37" s="25">
        <v>2</v>
      </c>
      <c r="S37" s="12">
        <f t="shared" si="10"/>
        <v>98</v>
      </c>
      <c r="T37" s="5">
        <v>0</v>
      </c>
      <c r="U37" s="12">
        <f t="shared" si="11"/>
        <v>98</v>
      </c>
      <c r="V37" s="25" t="s">
        <v>10</v>
      </c>
      <c r="W37" s="11">
        <f>IFERROR(VLOOKUP(V37,Curr!$B$2:$C$13,2,FALSE),0)</f>
        <v>11.2</v>
      </c>
      <c r="X37" s="12">
        <f t="shared" si="12"/>
        <v>1097.5999999999999</v>
      </c>
      <c r="Y37" s="26">
        <f>Q37/0.805</f>
        <v>60.869565217391298</v>
      </c>
      <c r="Z37" s="12">
        <f t="shared" si="2"/>
        <v>121.7391304347826</v>
      </c>
      <c r="AA37" s="4" t="s">
        <v>10</v>
      </c>
      <c r="AB37" s="11">
        <f>IFERROR(VLOOKUP(AA37,Curr!$B$2:$C$13,2,FALSE),0)</f>
        <v>11.2</v>
      </c>
      <c r="AC37" s="12">
        <f t="shared" si="3"/>
        <v>1363.478260869565</v>
      </c>
      <c r="AD37" s="12">
        <f t="shared" si="4"/>
        <v>265.87826086956511</v>
      </c>
      <c r="AE37" s="13">
        <f t="shared" si="5"/>
        <v>0.19499999999999995</v>
      </c>
    </row>
    <row r="38" spans="2:31" x14ac:dyDescent="0.25">
      <c r="B38" s="4"/>
      <c r="C38" s="1" t="s">
        <v>82</v>
      </c>
      <c r="D38" s="1" t="s">
        <v>83</v>
      </c>
      <c r="E38" s="3"/>
      <c r="F38" s="3"/>
      <c r="G38" s="24"/>
      <c r="H38" s="24"/>
      <c r="J38" s="1" t="s">
        <v>89</v>
      </c>
      <c r="K38" s="4"/>
      <c r="L38" s="4"/>
      <c r="M38" s="4"/>
      <c r="N38" s="4"/>
      <c r="O38" s="4"/>
      <c r="P38" s="33"/>
      <c r="Q38" s="25">
        <v>0</v>
      </c>
      <c r="R38" s="25">
        <v>0</v>
      </c>
      <c r="S38" s="12">
        <f t="shared" si="10"/>
        <v>0</v>
      </c>
      <c r="T38" s="5">
        <v>0</v>
      </c>
      <c r="U38" s="12">
        <f t="shared" si="11"/>
        <v>0</v>
      </c>
      <c r="V38" s="25" t="s">
        <v>10</v>
      </c>
      <c r="W38" s="11">
        <f>IFERROR(VLOOKUP(V38,Curr!$B$2:$C$13,2,FALSE),0)</f>
        <v>11.2</v>
      </c>
      <c r="X38" s="12">
        <f t="shared" si="12"/>
        <v>0</v>
      </c>
      <c r="Y38" s="26">
        <f t="shared" ref="Y38" si="15">Q38</f>
        <v>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33"/>
      <c r="Q39" s="25"/>
      <c r="R39" s="25"/>
      <c r="S39" s="12">
        <f t="shared" si="10"/>
        <v>0</v>
      </c>
      <c r="T39" s="5">
        <v>0</v>
      </c>
      <c r="U39" s="12">
        <f t="shared" si="11"/>
        <v>0</v>
      </c>
      <c r="V39" s="25" t="s">
        <v>10</v>
      </c>
      <c r="W39" s="11">
        <f>IFERROR(VLOOKUP(V39,Curr!$B$2:$C$13,2,FALSE),0)</f>
        <v>11.2</v>
      </c>
      <c r="X39" s="12">
        <f t="shared" si="12"/>
        <v>0</v>
      </c>
      <c r="Y39" s="26">
        <f t="shared" si="13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/>
      <c r="R40" s="25"/>
      <c r="S40" s="12">
        <f t="shared" si="10"/>
        <v>0</v>
      </c>
      <c r="T40" s="5">
        <v>0</v>
      </c>
      <c r="U40" s="12">
        <f t="shared" si="11"/>
        <v>0</v>
      </c>
      <c r="V40" s="25" t="s">
        <v>10</v>
      </c>
      <c r="W40" s="11">
        <f>IFERROR(VLOOKUP(V40,Curr!$B$2:$C$13,2,FALSE),0)</f>
        <v>11.2</v>
      </c>
      <c r="X40" s="12">
        <f t="shared" si="12"/>
        <v>0</v>
      </c>
      <c r="Y40" s="26">
        <f t="shared" si="13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C41" s="1" t="s">
        <v>54</v>
      </c>
      <c r="D41" s="1" t="s">
        <v>97</v>
      </c>
      <c r="E41" s="3"/>
      <c r="F41" s="3"/>
      <c r="G41" s="24"/>
      <c r="H41" s="24"/>
      <c r="J41" s="1" t="s">
        <v>90</v>
      </c>
      <c r="K41" s="4"/>
      <c r="L41" s="4"/>
      <c r="M41" s="4"/>
      <c r="N41" s="4"/>
      <c r="O41" s="4" t="s">
        <v>42</v>
      </c>
      <c r="P41" s="27"/>
      <c r="Q41" s="25">
        <v>80</v>
      </c>
      <c r="R41" s="25">
        <v>0</v>
      </c>
      <c r="S41" s="12">
        <f t="shared" si="10"/>
        <v>0</v>
      </c>
      <c r="T41" s="5">
        <v>0</v>
      </c>
      <c r="U41" s="12">
        <f t="shared" si="11"/>
        <v>0</v>
      </c>
      <c r="V41" s="25" t="s">
        <v>10</v>
      </c>
      <c r="W41" s="11">
        <f>IFERROR(VLOOKUP(V41,Curr!$B$2:$C$13,2,FALSE),0)</f>
        <v>11.2</v>
      </c>
      <c r="X41" s="12">
        <f t="shared" si="12"/>
        <v>0</v>
      </c>
      <c r="Y41" s="26">
        <f>Q41/0.8</f>
        <v>100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60</v>
      </c>
      <c r="D42" s="1" t="s">
        <v>97</v>
      </c>
      <c r="E42" s="3"/>
      <c r="F42" s="3"/>
      <c r="G42" s="24"/>
      <c r="H42" s="24"/>
      <c r="J42" s="1" t="s">
        <v>95</v>
      </c>
      <c r="K42" s="4"/>
      <c r="L42" s="4"/>
      <c r="M42" s="4"/>
      <c r="N42" s="4"/>
      <c r="O42" s="4" t="s">
        <v>42</v>
      </c>
      <c r="P42" s="33"/>
      <c r="Q42" s="25">
        <v>60</v>
      </c>
      <c r="R42" s="25">
        <v>0</v>
      </c>
      <c r="S42" s="12">
        <f t="shared" si="10"/>
        <v>0</v>
      </c>
      <c r="T42" s="5">
        <v>0</v>
      </c>
      <c r="U42" s="12">
        <f t="shared" si="11"/>
        <v>0</v>
      </c>
      <c r="V42" s="25" t="s">
        <v>10</v>
      </c>
      <c r="W42" s="11">
        <f>IFERROR(VLOOKUP(V42,Curr!$B$2:$C$13,2,FALSE),0)</f>
        <v>11.2</v>
      </c>
      <c r="X42" s="12">
        <f t="shared" si="12"/>
        <v>0</v>
      </c>
      <c r="Y42" s="26">
        <f>Q42/0.75</f>
        <v>80</v>
      </c>
      <c r="Z42" s="12">
        <f t="shared" si="2"/>
        <v>0</v>
      </c>
      <c r="AA42" s="4" t="s">
        <v>10</v>
      </c>
      <c r="AB42" s="11">
        <f>IFERROR(VLOOKUP(AA42,Curr!$B$2:$C$13,2,FALSE),0)</f>
        <v>11.2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C43" s="1" t="s">
        <v>72</v>
      </c>
      <c r="D43" s="1" t="s">
        <v>97</v>
      </c>
      <c r="E43" s="3"/>
      <c r="F43" s="3"/>
      <c r="G43" s="24"/>
      <c r="H43" s="24"/>
      <c r="J43" s="1" t="s">
        <v>96</v>
      </c>
      <c r="K43" s="4"/>
      <c r="L43" s="4"/>
      <c r="M43" s="4"/>
      <c r="N43" s="4"/>
      <c r="O43" s="4" t="s">
        <v>42</v>
      </c>
      <c r="P43" s="27"/>
      <c r="Q43" s="25">
        <v>40</v>
      </c>
      <c r="R43" s="25">
        <v>0</v>
      </c>
      <c r="S43" s="12">
        <f t="shared" si="10"/>
        <v>0</v>
      </c>
      <c r="T43" s="5">
        <v>0</v>
      </c>
      <c r="U43" s="12">
        <f t="shared" si="11"/>
        <v>0</v>
      </c>
      <c r="V43" s="25" t="s">
        <v>10</v>
      </c>
      <c r="W43" s="11">
        <f>IFERROR(VLOOKUP(V43,Curr!$B$2:$C$13,2,FALSE),0)</f>
        <v>11.2</v>
      </c>
      <c r="X43" s="12">
        <f t="shared" si="12"/>
        <v>0</v>
      </c>
      <c r="Y43" s="26">
        <f>Q43/0.665</f>
        <v>60.150375939849624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C44" s="1" t="s">
        <v>80</v>
      </c>
      <c r="D44" s="1" t="s">
        <v>97</v>
      </c>
      <c r="E44" s="3"/>
      <c r="F44" s="3"/>
      <c r="G44" s="24"/>
      <c r="H44" s="24"/>
      <c r="J44" s="1" t="s">
        <v>106</v>
      </c>
      <c r="K44" s="4"/>
      <c r="L44" s="4"/>
      <c r="M44" s="4"/>
      <c r="N44" s="4"/>
      <c r="O44" s="4" t="s">
        <v>42</v>
      </c>
      <c r="P44" s="27"/>
      <c r="Q44" s="25">
        <v>40</v>
      </c>
      <c r="R44" s="25">
        <v>0</v>
      </c>
      <c r="S44" s="12">
        <f t="shared" si="10"/>
        <v>0</v>
      </c>
      <c r="T44" s="5">
        <v>0</v>
      </c>
      <c r="U44" s="12">
        <f t="shared" si="11"/>
        <v>0</v>
      </c>
      <c r="V44" s="25" t="s">
        <v>10</v>
      </c>
      <c r="W44" s="11">
        <f>IFERROR(VLOOKUP(V44,Curr!$B$2:$C$13,2,FALSE),0)</f>
        <v>11.2</v>
      </c>
      <c r="X44" s="12">
        <f t="shared" si="12"/>
        <v>0</v>
      </c>
      <c r="Y44" s="26">
        <f>Q44/0.665</f>
        <v>60.150375939849624</v>
      </c>
      <c r="Z44" s="12">
        <f t="shared" si="2"/>
        <v>0</v>
      </c>
      <c r="AA44" s="4" t="s">
        <v>10</v>
      </c>
      <c r="AB44" s="11">
        <f>IFERROR(VLOOKUP(AA44,Curr!$B$2:$C$13,2,FALSE),0)</f>
        <v>11.2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/>
      <c r="R45" s="25"/>
      <c r="S45" s="12">
        <f t="shared" si="10"/>
        <v>0</v>
      </c>
      <c r="T45" s="5">
        <v>0</v>
      </c>
      <c r="U45" s="12">
        <f t="shared" si="11"/>
        <v>0</v>
      </c>
      <c r="V45" s="25" t="s">
        <v>10</v>
      </c>
      <c r="W45" s="11">
        <f>IFERROR(VLOOKUP(V45,Curr!$B$2:$C$13,2,FALSE),0)</f>
        <v>11.2</v>
      </c>
      <c r="X45" s="12">
        <f t="shared" si="12"/>
        <v>0</v>
      </c>
      <c r="Y45" s="26">
        <f t="shared" si="13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/>
      <c r="R46" s="25"/>
      <c r="S46" s="12">
        <f t="shared" si="10"/>
        <v>0</v>
      </c>
      <c r="T46" s="5">
        <v>0</v>
      </c>
      <c r="U46" s="12">
        <f t="shared" si="11"/>
        <v>0</v>
      </c>
      <c r="V46" s="25" t="s">
        <v>10</v>
      </c>
      <c r="W46" s="11">
        <f>IFERROR(VLOOKUP(V46,Curr!$B$2:$C$13,2,FALSE),0)</f>
        <v>11.2</v>
      </c>
      <c r="X46" s="12">
        <f t="shared" si="12"/>
        <v>0</v>
      </c>
      <c r="Y46" s="26">
        <f t="shared" si="13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60</v>
      </c>
      <c r="D47" s="1" t="s">
        <v>98</v>
      </c>
      <c r="E47" s="3"/>
      <c r="F47" s="3"/>
      <c r="G47" s="24"/>
      <c r="H47" s="24"/>
      <c r="J47" s="1" t="s">
        <v>91</v>
      </c>
      <c r="K47" s="4"/>
      <c r="L47" s="4"/>
      <c r="M47" s="4"/>
      <c r="N47" s="4"/>
      <c r="O47" s="4" t="s">
        <v>42</v>
      </c>
      <c r="P47" s="29" t="s">
        <v>92</v>
      </c>
      <c r="Q47" s="25">
        <f>(40+40)+(50*2)</f>
        <v>180</v>
      </c>
      <c r="R47" s="25">
        <v>0</v>
      </c>
      <c r="S47" s="12">
        <f t="shared" si="10"/>
        <v>0</v>
      </c>
      <c r="T47" s="5">
        <v>0</v>
      </c>
      <c r="U47" s="12">
        <f t="shared" si="11"/>
        <v>0</v>
      </c>
      <c r="V47" s="25" t="s">
        <v>10</v>
      </c>
      <c r="W47" s="11">
        <f>IFERROR(VLOOKUP(V47,Curr!$B$2:$C$13,2,FALSE),0)</f>
        <v>11.2</v>
      </c>
      <c r="X47" s="12">
        <f t="shared" si="12"/>
        <v>0</v>
      </c>
      <c r="Y47" s="26">
        <f>Q47/0.8</f>
        <v>225</v>
      </c>
      <c r="Z47" s="12">
        <f t="shared" si="2"/>
        <v>0</v>
      </c>
      <c r="AA47" s="4" t="s">
        <v>10</v>
      </c>
      <c r="AB47" s="11">
        <f>IFERROR(VLOOKUP(AA47,Curr!$B$2:$C$13,2,FALSE),0)</f>
        <v>11.2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C48" s="1" t="s">
        <v>60</v>
      </c>
      <c r="D48" s="1" t="s">
        <v>98</v>
      </c>
      <c r="E48" s="3"/>
      <c r="F48" s="3"/>
      <c r="G48" s="24"/>
      <c r="H48" s="24"/>
      <c r="J48" s="1" t="s">
        <v>93</v>
      </c>
      <c r="K48" s="4"/>
      <c r="L48" s="4"/>
      <c r="M48" s="4"/>
      <c r="N48" s="4"/>
      <c r="O48" s="4" t="s">
        <v>42</v>
      </c>
      <c r="P48" s="33" t="s">
        <v>94</v>
      </c>
      <c r="Q48" s="25">
        <v>25</v>
      </c>
      <c r="R48" s="25">
        <v>0</v>
      </c>
      <c r="S48" s="12">
        <f t="shared" si="10"/>
        <v>0</v>
      </c>
      <c r="T48" s="5">
        <v>0</v>
      </c>
      <c r="U48" s="12">
        <f t="shared" si="11"/>
        <v>0</v>
      </c>
      <c r="V48" s="25" t="s">
        <v>10</v>
      </c>
      <c r="W48" s="11">
        <f>IFERROR(VLOOKUP(V48,Curr!$B$2:$C$13,2,FALSE),0)</f>
        <v>11.2</v>
      </c>
      <c r="X48" s="12">
        <f t="shared" si="12"/>
        <v>0</v>
      </c>
      <c r="Y48" s="26">
        <f>Q48/0.62</f>
        <v>40.322580645161288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C49" s="1" t="s">
        <v>68</v>
      </c>
      <c r="D49" s="1" t="s">
        <v>98</v>
      </c>
      <c r="E49" s="3"/>
      <c r="F49" s="3"/>
      <c r="G49" s="24"/>
      <c r="H49" s="24"/>
      <c r="J49" s="1" t="s">
        <v>130</v>
      </c>
      <c r="K49" s="4"/>
      <c r="L49" s="4"/>
      <c r="M49" s="4"/>
      <c r="N49" s="4"/>
      <c r="O49" s="4" t="s">
        <v>42</v>
      </c>
      <c r="P49" s="27"/>
      <c r="Q49" s="25">
        <v>315</v>
      </c>
      <c r="R49" s="25">
        <v>0</v>
      </c>
      <c r="S49" s="12">
        <f t="shared" si="10"/>
        <v>0</v>
      </c>
      <c r="T49" s="5">
        <v>0</v>
      </c>
      <c r="U49" s="12">
        <f t="shared" si="11"/>
        <v>0</v>
      </c>
      <c r="V49" s="25" t="s">
        <v>10</v>
      </c>
      <c r="W49" s="11">
        <f>IFERROR(VLOOKUP(V49,Curr!$B$2:$C$13,2,FALSE),0)</f>
        <v>11.2</v>
      </c>
      <c r="X49" s="12">
        <f t="shared" si="12"/>
        <v>0</v>
      </c>
      <c r="Y49" s="26">
        <f>Q49/0.85</f>
        <v>370.58823529411768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C50" s="1" t="s">
        <v>77</v>
      </c>
      <c r="D50" s="1" t="s">
        <v>98</v>
      </c>
      <c r="E50" s="3"/>
      <c r="F50" s="3"/>
      <c r="G50" s="24"/>
      <c r="H50" s="24"/>
      <c r="J50" s="1" t="s">
        <v>99</v>
      </c>
      <c r="K50" s="4"/>
      <c r="L50" s="4"/>
      <c r="M50" s="4"/>
      <c r="N50" s="4"/>
      <c r="O50" s="4" t="s">
        <v>42</v>
      </c>
      <c r="P50" s="33" t="s">
        <v>100</v>
      </c>
      <c r="Q50" s="25">
        <v>252</v>
      </c>
      <c r="R50" s="25">
        <v>0</v>
      </c>
      <c r="S50" s="12">
        <f t="shared" si="10"/>
        <v>0</v>
      </c>
      <c r="T50" s="5">
        <v>0.2</v>
      </c>
      <c r="U50" s="12">
        <f t="shared" si="11"/>
        <v>0</v>
      </c>
      <c r="V50" s="25" t="s">
        <v>10</v>
      </c>
      <c r="W50" s="11">
        <f>IFERROR(VLOOKUP(V50,Curr!$B$2:$C$13,2,FALSE),0)</f>
        <v>11.2</v>
      </c>
      <c r="X50" s="12">
        <f t="shared" si="12"/>
        <v>0</v>
      </c>
      <c r="Y50" s="26">
        <f t="shared" ref="Y50" si="16">Q50</f>
        <v>252</v>
      </c>
      <c r="Z50" s="12">
        <f t="shared" si="2"/>
        <v>0</v>
      </c>
      <c r="AA50" s="4" t="s">
        <v>10</v>
      </c>
      <c r="AB50" s="11">
        <f>IFERROR(VLOOKUP(AA50,Curr!$B$2:$C$13,2,FALSE),0)</f>
        <v>11.2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10"/>
        <v>0</v>
      </c>
      <c r="T51" s="5">
        <v>0</v>
      </c>
      <c r="U51" s="12">
        <f t="shared" si="11"/>
        <v>0</v>
      </c>
      <c r="V51" s="25" t="s">
        <v>10</v>
      </c>
      <c r="W51" s="11">
        <f>IFERROR(VLOOKUP(V51,Curr!$B$2:$C$13,2,FALSE),0)</f>
        <v>11.2</v>
      </c>
      <c r="X51" s="12">
        <f t="shared" si="12"/>
        <v>0</v>
      </c>
      <c r="Y51" s="26">
        <f t="shared" si="13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10"/>
        <v>0</v>
      </c>
      <c r="T52" s="5">
        <v>0</v>
      </c>
      <c r="U52" s="12">
        <f t="shared" si="11"/>
        <v>0</v>
      </c>
      <c r="V52" s="25" t="s">
        <v>10</v>
      </c>
      <c r="W52" s="11">
        <f>IFERROR(VLOOKUP(V52,Curr!$B$2:$C$13,2,FALSE),0)</f>
        <v>11.2</v>
      </c>
      <c r="X52" s="12">
        <f t="shared" si="12"/>
        <v>0</v>
      </c>
      <c r="Y52" s="26">
        <f t="shared" si="13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11.2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/>
      <c r="R53" s="25"/>
      <c r="S53" s="12">
        <f t="shared" si="10"/>
        <v>0</v>
      </c>
      <c r="T53" s="5">
        <v>0</v>
      </c>
      <c r="U53" s="12">
        <f t="shared" si="11"/>
        <v>0</v>
      </c>
      <c r="V53" s="25" t="s">
        <v>10</v>
      </c>
      <c r="W53" s="11">
        <f>IFERROR(VLOOKUP(V53,Curr!$B$2:$C$13,2,FALSE),0)</f>
        <v>11.2</v>
      </c>
      <c r="X53" s="12">
        <f t="shared" si="12"/>
        <v>0</v>
      </c>
      <c r="Y53" s="26">
        <f t="shared" si="13"/>
        <v>0</v>
      </c>
      <c r="Z53" s="12">
        <f t="shared" si="2"/>
        <v>0</v>
      </c>
      <c r="AA53" s="4" t="s">
        <v>10</v>
      </c>
      <c r="AB53" s="11">
        <f>IFERROR(VLOOKUP(AA53,Curr!$B$2:$C$13,2,FALSE),0)</f>
        <v>11.2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10"/>
        <v>0</v>
      </c>
      <c r="T54" s="5">
        <v>0</v>
      </c>
      <c r="U54" s="12">
        <f t="shared" si="11"/>
        <v>0</v>
      </c>
      <c r="V54" s="25" t="s">
        <v>10</v>
      </c>
      <c r="W54" s="11">
        <f>IFERROR(VLOOKUP(V54,Curr!$B$2:$C$13,2,FALSE),0)</f>
        <v>11.2</v>
      </c>
      <c r="X54" s="12">
        <f t="shared" si="12"/>
        <v>0</v>
      </c>
      <c r="Y54" s="26">
        <f t="shared" si="13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11.2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10"/>
        <v>0</v>
      </c>
      <c r="T55" s="5">
        <v>0</v>
      </c>
      <c r="U55" s="12">
        <f t="shared" si="11"/>
        <v>0</v>
      </c>
      <c r="V55" s="25" t="s">
        <v>10</v>
      </c>
      <c r="W55" s="11">
        <f>IFERROR(VLOOKUP(V55,Curr!$B$2:$C$13,2,FALSE),0)</f>
        <v>11.2</v>
      </c>
      <c r="X55" s="12">
        <f t="shared" si="12"/>
        <v>0</v>
      </c>
      <c r="Y55" s="26">
        <f t="shared" si="13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11.2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10"/>
        <v>0</v>
      </c>
      <c r="T56" s="5">
        <v>0</v>
      </c>
      <c r="U56" s="12">
        <f t="shared" si="11"/>
        <v>0</v>
      </c>
      <c r="V56" s="25" t="s">
        <v>10</v>
      </c>
      <c r="W56" s="11">
        <f>IFERROR(VLOOKUP(V56,Curr!$B$2:$C$13,2,FALSE),0)</f>
        <v>11.2</v>
      </c>
      <c r="X56" s="12">
        <f t="shared" si="12"/>
        <v>0</v>
      </c>
      <c r="Y56" s="26">
        <f t="shared" si="13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11.2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6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/>
      <c r="R57" s="25"/>
      <c r="S57" s="12">
        <f t="shared" si="10"/>
        <v>0</v>
      </c>
      <c r="T57" s="5">
        <v>0</v>
      </c>
      <c r="U57" s="12">
        <f t="shared" si="11"/>
        <v>0</v>
      </c>
      <c r="V57" s="25" t="s">
        <v>10</v>
      </c>
      <c r="W57" s="11">
        <f>IFERROR(VLOOKUP(V57,Curr!$B$2:$C$13,2,FALSE),0)</f>
        <v>11.2</v>
      </c>
      <c r="X57" s="12">
        <f t="shared" si="12"/>
        <v>0</v>
      </c>
      <c r="Y57" s="26">
        <f t="shared" si="13"/>
        <v>0</v>
      </c>
      <c r="Z57" s="12">
        <f t="shared" si="2"/>
        <v>0</v>
      </c>
      <c r="AA57" s="4" t="s">
        <v>10</v>
      </c>
      <c r="AB57" s="11">
        <f>IFERROR(VLOOKUP(AA57,Curr!$B$2:$C$13,2,FALSE),0)</f>
        <v>11.2</v>
      </c>
      <c r="AC57" s="12">
        <f t="shared" si="3"/>
        <v>0</v>
      </c>
      <c r="AD57" s="12">
        <f t="shared" si="4"/>
        <v>0</v>
      </c>
      <c r="AE57" s="13">
        <f t="shared" si="5"/>
        <v>0</v>
      </c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4"/>
      <c r="P58" s="22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2:36" x14ac:dyDescent="0.25">
      <c r="B59" s="14" t="s">
        <v>18</v>
      </c>
      <c r="C59" s="14"/>
      <c r="D59" s="28" t="s">
        <v>42</v>
      </c>
      <c r="E59" s="30" t="s">
        <v>42</v>
      </c>
      <c r="F59" s="30" t="s">
        <v>42</v>
      </c>
      <c r="G59" s="30" t="s">
        <v>42</v>
      </c>
      <c r="H59" s="30" t="s">
        <v>42</v>
      </c>
      <c r="I59" s="28" t="s">
        <v>42</v>
      </c>
      <c r="J59" s="28" t="s">
        <v>42</v>
      </c>
      <c r="K59" s="28" t="s">
        <v>42</v>
      </c>
      <c r="L59" s="28" t="s">
        <v>42</v>
      </c>
      <c r="M59" s="28" t="s">
        <v>42</v>
      </c>
      <c r="N59" s="28" t="s">
        <v>42</v>
      </c>
      <c r="O59" s="28" t="s">
        <v>42</v>
      </c>
      <c r="P59" s="28" t="s">
        <v>42</v>
      </c>
      <c r="Q59" s="31" t="s">
        <v>42</v>
      </c>
      <c r="R59" s="28" t="s">
        <v>42</v>
      </c>
      <c r="S59" s="32" t="s">
        <v>42</v>
      </c>
      <c r="T59" s="28" t="s">
        <v>42</v>
      </c>
      <c r="U59" s="32" t="s">
        <v>42</v>
      </c>
      <c r="V59" s="28" t="s">
        <v>42</v>
      </c>
      <c r="W59" s="28" t="s">
        <v>42</v>
      </c>
      <c r="X59" s="32" t="s">
        <v>42</v>
      </c>
      <c r="Y59" s="32" t="s">
        <v>42</v>
      </c>
      <c r="Z59" s="15">
        <f>SUM(Z7:Z57)</f>
        <v>3671.7015046065617</v>
      </c>
      <c r="AA59" s="14"/>
      <c r="AB59" s="14"/>
      <c r="AC59" s="15">
        <f>SUM(AC7:AC57)</f>
        <v>41123.056851593501</v>
      </c>
      <c r="AD59" s="15">
        <f>SUM(AD7:AD57)</f>
        <v>8490.7368515934959</v>
      </c>
      <c r="AE59" s="21">
        <f t="shared" ref="AE59" si="17">IFERROR(AD59/AC59,0)</f>
        <v>0.20647144209719623</v>
      </c>
      <c r="AF59" s="15">
        <f>SUM(AF8:AF58)</f>
        <v>0</v>
      </c>
      <c r="AG59" s="15">
        <f>SUM(AG8:AG58)</f>
        <v>0</v>
      </c>
      <c r="AH59" s="15">
        <f>SUM(AH8:AH58)</f>
        <v>0</v>
      </c>
      <c r="AI59" s="15">
        <f>SUM(AI8:AI58)</f>
        <v>0</v>
      </c>
      <c r="AJ59" s="15">
        <f>SUM(AJ8:AJ58)</f>
        <v>0</v>
      </c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Q60" s="4"/>
      <c r="R60" s="4"/>
      <c r="S60" s="4"/>
      <c r="T60" s="4"/>
      <c r="U60" s="4"/>
      <c r="V60" s="4"/>
      <c r="W60" s="4"/>
      <c r="X60" s="4"/>
      <c r="Y60" s="9"/>
      <c r="Z60" s="9"/>
      <c r="AA60" s="9"/>
      <c r="AB60" s="9"/>
      <c r="AC60" s="9"/>
      <c r="AD60" s="9"/>
      <c r="AE60" s="9"/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4"/>
      <c r="Q61" s="9"/>
      <c r="R61" s="9"/>
      <c r="S61" s="9"/>
      <c r="T61" s="9"/>
      <c r="U61" s="9"/>
      <c r="V61" s="9"/>
      <c r="W61" s="9"/>
      <c r="X61" s="23"/>
      <c r="Y61" s="34" t="s">
        <v>103</v>
      </c>
      <c r="Z61" s="34">
        <v>2800</v>
      </c>
      <c r="AA61" s="9"/>
      <c r="AB61" s="9"/>
      <c r="AC61" s="9"/>
      <c r="AD61" s="9"/>
      <c r="AE61" s="9"/>
    </row>
    <row r="62" spans="2:36" x14ac:dyDescent="0.25">
      <c r="B62" s="4"/>
      <c r="E62" s="3"/>
      <c r="F62" s="3"/>
      <c r="G62" s="3"/>
      <c r="H62" s="3"/>
      <c r="L62" s="4"/>
      <c r="M62" s="4"/>
      <c r="N62" s="4"/>
      <c r="O62" s="4"/>
      <c r="Q62" s="9"/>
      <c r="R62" s="9"/>
      <c r="S62" s="9"/>
      <c r="T62" s="9"/>
      <c r="U62" s="9"/>
      <c r="V62" s="9"/>
      <c r="W62" s="9"/>
      <c r="X62" s="9"/>
      <c r="Y62" s="35" t="s">
        <v>104</v>
      </c>
      <c r="Z62" s="34">
        <f>Y9+Y14+Y22+Y24</f>
        <v>1029.3354430379748</v>
      </c>
      <c r="AA62" s="9"/>
      <c r="AB62" s="9"/>
      <c r="AC62" s="9"/>
      <c r="AD62" s="9"/>
      <c r="AE62" s="9"/>
      <c r="AF62" s="18"/>
    </row>
    <row r="63" spans="2:36" x14ac:dyDescent="0.25">
      <c r="B63" s="4"/>
      <c r="E63" s="3"/>
      <c r="F63" s="3"/>
      <c r="G63" s="3"/>
      <c r="H63" s="3"/>
      <c r="I63" s="19"/>
      <c r="L63" s="4"/>
      <c r="M63" s="4"/>
      <c r="N63" s="4"/>
      <c r="O63" s="20"/>
      <c r="Q63" s="20"/>
      <c r="R63" s="20"/>
      <c r="S63" s="20"/>
      <c r="T63" s="20"/>
      <c r="U63" s="20"/>
      <c r="V63" s="20"/>
      <c r="W63" s="20"/>
      <c r="X63" s="20"/>
      <c r="Y63" s="34" t="s">
        <v>105</v>
      </c>
      <c r="Z63" s="34">
        <v>4120</v>
      </c>
      <c r="AA63" s="9"/>
      <c r="AB63" s="9"/>
      <c r="AC63" s="9"/>
      <c r="AD63" s="9"/>
      <c r="AE63" s="9"/>
      <c r="AF63" s="18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20"/>
      <c r="Q64" s="20"/>
      <c r="R64" s="20"/>
      <c r="S64" s="20"/>
      <c r="T64" s="20"/>
      <c r="U64" s="20"/>
      <c r="V64" s="20"/>
      <c r="W64" s="20"/>
      <c r="X64" s="20"/>
      <c r="Y64" s="34" t="s">
        <v>43</v>
      </c>
      <c r="Z64" s="34">
        <f>Z63/2</f>
        <v>2060</v>
      </c>
      <c r="AA64" s="9"/>
      <c r="AB64" s="9"/>
      <c r="AC64" s="9"/>
      <c r="AD64" s="9"/>
      <c r="AE64" s="9"/>
      <c r="AF64" s="18"/>
    </row>
    <row r="65" spans="2:32" x14ac:dyDescent="0.25">
      <c r="B65" s="4"/>
      <c r="E65" s="3"/>
      <c r="F65" s="3"/>
      <c r="G65" s="3"/>
      <c r="H65" s="3"/>
      <c r="L65" s="4"/>
      <c r="M65" s="4"/>
      <c r="N65" s="4"/>
      <c r="O65" s="4"/>
      <c r="Q65" s="9"/>
      <c r="R65" s="9"/>
      <c r="S65" s="9"/>
      <c r="T65" s="9"/>
      <c r="U65" s="9"/>
      <c r="V65" s="9"/>
      <c r="W65" s="9"/>
      <c r="X65" s="9"/>
      <c r="Y65" s="1"/>
      <c r="Z65" s="1"/>
      <c r="AA65" s="9"/>
      <c r="AB65" s="9"/>
      <c r="AC65" s="9"/>
      <c r="AD65" s="9"/>
      <c r="AE65" s="9"/>
      <c r="AF65" s="18"/>
    </row>
    <row r="66" spans="2:32" x14ac:dyDescent="0.25">
      <c r="F66" s="1"/>
      <c r="G66" s="1"/>
      <c r="H66" s="1"/>
      <c r="J66" s="1" t="s">
        <v>32</v>
      </c>
      <c r="Q66" s="9"/>
      <c r="R66" s="4"/>
      <c r="S66" s="9"/>
      <c r="T66" s="5"/>
      <c r="U66" s="9"/>
      <c r="V66" s="4"/>
      <c r="W66" s="4"/>
      <c r="X66" s="9"/>
      <c r="Y66" s="9" t="s">
        <v>44</v>
      </c>
      <c r="Z66" s="9">
        <f>Z63-Z67</f>
        <v>1760</v>
      </c>
      <c r="AA66" s="9"/>
      <c r="AB66" s="9"/>
      <c r="AC66" s="9"/>
      <c r="AD66" s="9"/>
      <c r="AE66" s="9"/>
    </row>
    <row r="67" spans="2:32" x14ac:dyDescent="0.25">
      <c r="R67" s="4"/>
      <c r="S67" s="17"/>
      <c r="T67" s="17"/>
      <c r="U67" s="9"/>
      <c r="V67" s="4"/>
      <c r="W67" s="4"/>
      <c r="X67" s="9"/>
      <c r="Y67" s="9" t="s">
        <v>45</v>
      </c>
      <c r="Z67" s="9">
        <v>2360</v>
      </c>
      <c r="AA67" s="9"/>
      <c r="AB67" s="9"/>
      <c r="AC67" s="9"/>
      <c r="AD67" s="9"/>
      <c r="AE67" s="9"/>
    </row>
    <row r="68" spans="2:32" x14ac:dyDescent="0.25">
      <c r="Q68" s="9"/>
      <c r="R68" s="4"/>
      <c r="S68" s="16"/>
      <c r="T68" s="16"/>
      <c r="U68" s="9"/>
      <c r="V68" s="4"/>
      <c r="W68" s="4"/>
      <c r="X68" s="9"/>
      <c r="Y68" s="9"/>
      <c r="Z68" s="9"/>
      <c r="AA68" s="9"/>
      <c r="AB68" s="9"/>
      <c r="AC68" s="9"/>
      <c r="AD68" s="9"/>
      <c r="AE68" s="9"/>
    </row>
    <row r="69" spans="2:32" x14ac:dyDescent="0.25">
      <c r="R69" s="4"/>
      <c r="S69" s="16"/>
      <c r="T69" s="16"/>
      <c r="Y69" s="9" t="s">
        <v>46</v>
      </c>
      <c r="Z69" s="9">
        <v>2360</v>
      </c>
      <c r="AA69" s="9"/>
      <c r="AB69" s="9"/>
      <c r="AC69" s="9"/>
      <c r="AD69" s="9"/>
      <c r="AE69" s="9"/>
    </row>
    <row r="70" spans="2:32" x14ac:dyDescent="0.25">
      <c r="T70" s="5"/>
      <c r="Y70" s="9" t="s">
        <v>47</v>
      </c>
      <c r="Z70" s="9">
        <f>Z63-Z69</f>
        <v>1760</v>
      </c>
      <c r="AA70" s="9"/>
      <c r="AB70" s="9"/>
      <c r="AC70" s="9"/>
      <c r="AD70" s="9"/>
      <c r="AE70" s="9"/>
    </row>
    <row r="71" spans="2:32" x14ac:dyDescent="0.25">
      <c r="T71" s="5"/>
      <c r="Y71" s="9"/>
      <c r="Z71" s="9"/>
      <c r="AA71" s="9"/>
      <c r="AB71" s="9"/>
      <c r="AC71" s="9"/>
      <c r="AD71" s="9"/>
      <c r="AE71" s="9"/>
    </row>
    <row r="72" spans="2:32" x14ac:dyDescent="0.25">
      <c r="T72" s="5"/>
      <c r="Y72" s="9"/>
      <c r="Z72" s="9"/>
      <c r="AA72" s="9"/>
      <c r="AB72" s="9"/>
      <c r="AC72" s="9"/>
      <c r="AD72" s="9"/>
      <c r="AE72" s="9"/>
    </row>
    <row r="73" spans="2:32" x14ac:dyDescent="0.25">
      <c r="T73" s="5"/>
      <c r="Y73" s="43" t="s">
        <v>236</v>
      </c>
      <c r="Z73" s="9">
        <v>3680</v>
      </c>
      <c r="AA73" s="9"/>
      <c r="AB73" s="9"/>
      <c r="AC73" s="9"/>
      <c r="AD73" s="9"/>
      <c r="AE73" s="9"/>
    </row>
    <row r="74" spans="2:32" x14ac:dyDescent="0.25">
      <c r="T74" s="5"/>
      <c r="Y74" s="44" t="s">
        <v>237</v>
      </c>
      <c r="Z74" s="9">
        <f>Z73*1.15</f>
        <v>4232</v>
      </c>
      <c r="AA74" s="9"/>
      <c r="AB74" s="9"/>
      <c r="AC74" s="9"/>
      <c r="AD74" s="9"/>
      <c r="AE74" s="9"/>
    </row>
    <row r="75" spans="2:32" x14ac:dyDescent="0.25">
      <c r="T75" s="5"/>
      <c r="Y75" s="44" t="s">
        <v>238</v>
      </c>
      <c r="Z75" s="9">
        <f>Z73*1.2</f>
        <v>4416</v>
      </c>
      <c r="AA75" s="9"/>
      <c r="AB75" s="9"/>
      <c r="AC75" s="9"/>
      <c r="AD75" s="9"/>
      <c r="AE75" s="9"/>
    </row>
    <row r="76" spans="2:32" x14ac:dyDescent="0.25">
      <c r="T76" s="5"/>
      <c r="Y76" s="44" t="s">
        <v>239</v>
      </c>
      <c r="Z76" s="9">
        <f>Z73*0.84</f>
        <v>3091.2</v>
      </c>
      <c r="AA76" s="9"/>
      <c r="AB76" s="9"/>
      <c r="AC76" s="9"/>
      <c r="AD76" s="9"/>
      <c r="AE76" s="9"/>
    </row>
    <row r="77" spans="2:32" x14ac:dyDescent="0.25">
      <c r="T77" s="5"/>
      <c r="Y77" s="9"/>
      <c r="Z77" s="9"/>
      <c r="AA77" s="9"/>
      <c r="AB77" s="9"/>
      <c r="AC77" s="9"/>
      <c r="AD77" s="9"/>
      <c r="AE77" s="9"/>
    </row>
    <row r="78" spans="2:32" x14ac:dyDescent="0.25">
      <c r="T78" s="5"/>
    </row>
    <row r="79" spans="2:32" x14ac:dyDescent="0.25">
      <c r="T79" s="5"/>
    </row>
    <row r="80" spans="2:32" x14ac:dyDescent="0.25">
      <c r="T80" s="5"/>
    </row>
    <row r="81" spans="20:20" x14ac:dyDescent="0.25">
      <c r="T81" s="5"/>
    </row>
    <row r="82" spans="20:20" x14ac:dyDescent="0.25">
      <c r="T82" s="5"/>
    </row>
  </sheetData>
  <autoFilter ref="B6:AE59" xr:uid="{65FA6D9B-E0AF-46CD-BA0D-86BB75FE6AB0}"/>
  <hyperlinks>
    <hyperlink ref="P12" r:id="rId1" xr:uid="{3174AC18-2A7F-4FC5-A0E5-A99E9947C886}"/>
    <hyperlink ref="P14" r:id="rId2" xr:uid="{A200E1FB-C1D6-4D59-9993-C06D75DE880E}"/>
    <hyperlink ref="P22" r:id="rId3" xr:uid="{320BF4EA-116E-42B8-847E-EEAF274C74F0}"/>
    <hyperlink ref="P28" r:id="rId4" xr:uid="{6E1763F5-A006-4441-823C-F24ED70DCE81}"/>
    <hyperlink ref="P30" r:id="rId5" xr:uid="{742B4080-414B-4813-9F27-989B3345965B}"/>
    <hyperlink ref="P33" r:id="rId6" xr:uid="{0F1D552F-0660-4C01-8108-953F31EC9EB9}"/>
    <hyperlink ref="P47" r:id="rId7" xr:uid="{E101DD2B-CA04-461A-B55F-1320E22C66D5}"/>
    <hyperlink ref="P50" r:id="rId8" xr:uid="{83C5CFA2-5A2E-41AA-B136-38E550636DAB}"/>
    <hyperlink ref="P26" r:id="rId9" xr:uid="{65BE9B0D-1957-4921-96AD-BC30BA6A484A}"/>
  </hyperlinks>
  <pageMargins left="0.7" right="0.7" top="0.75" bottom="0.75" header="0.3" footer="0.3"/>
  <pageSetup paperSize="9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B8E3-20B0-42FC-86EA-CBDE19365C46}">
  <sheetPr>
    <tabColor rgb="FFFFFF00"/>
  </sheetPr>
  <dimension ref="B2:AK80"/>
  <sheetViews>
    <sheetView topLeftCell="D6" zoomScale="80" zoomScaleNormal="80" workbookViewId="0">
      <selection activeCell="T30" sqref="T30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133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9" si="1">U7*W7</f>
        <v>0</v>
      </c>
      <c r="Y7" s="26">
        <f>Q7</f>
        <v>0</v>
      </c>
      <c r="Z7" s="12">
        <f t="shared" ref="Z7:Z55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55" si="3">+Y7*AB7*R7</f>
        <v>0</v>
      </c>
      <c r="AD7" s="12">
        <f t="shared" ref="AD7:AD55" si="4">+AC7-X7</f>
        <v>0</v>
      </c>
      <c r="AE7" s="13">
        <f t="shared" ref="AE7:AE55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9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66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11.2</v>
      </c>
      <c r="X15" s="12">
        <f t="shared" si="1"/>
        <v>0</v>
      </c>
      <c r="Y15" s="26">
        <f t="shared" ref="Y15" si="9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>Q16/0.8</f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136</v>
      </c>
      <c r="K17" s="4"/>
      <c r="L17" s="4"/>
      <c r="M17" s="4"/>
      <c r="N17" s="4" t="s">
        <v>42</v>
      </c>
      <c r="O17" s="4"/>
      <c r="P17" s="33"/>
      <c r="Q17" s="25">
        <f>109*2</f>
        <v>218</v>
      </c>
      <c r="R17" s="25">
        <v>1</v>
      </c>
      <c r="S17" s="12">
        <f t="shared" si="0"/>
        <v>218</v>
      </c>
      <c r="T17" s="5">
        <v>0</v>
      </c>
      <c r="U17" s="12">
        <f t="shared" si="6"/>
        <v>218</v>
      </c>
      <c r="V17" s="25" t="s">
        <v>10</v>
      </c>
      <c r="W17" s="11">
        <f>IFERROR(VLOOKUP(V17,Curr!$B$2:$C$13,2,FALSE),0)</f>
        <v>11.2</v>
      </c>
      <c r="X17" s="12">
        <f t="shared" si="1"/>
        <v>2441.6</v>
      </c>
      <c r="Y17" s="26">
        <f>Q17/0.8</f>
        <v>272.5</v>
      </c>
      <c r="Z17" s="12">
        <f t="shared" si="2"/>
        <v>272.5</v>
      </c>
      <c r="AA17" s="4" t="s">
        <v>10</v>
      </c>
      <c r="AB17" s="11">
        <f>IFERROR(VLOOKUP(AA17,Curr!$B$2:$C$13,2,FALSE),0)</f>
        <v>11.2</v>
      </c>
      <c r="AC17" s="12">
        <f t="shared" si="3"/>
        <v>3052</v>
      </c>
      <c r="AD17" s="12">
        <f t="shared" si="4"/>
        <v>610.40000000000009</v>
      </c>
      <c r="AE17" s="13">
        <f t="shared" si="5"/>
        <v>0.20000000000000004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11.2</v>
      </c>
      <c r="X18" s="12">
        <f t="shared" si="1"/>
        <v>0</v>
      </c>
      <c r="Y18" s="26">
        <f t="shared" ref="Y18:Y19" si="10">Q18</f>
        <v>0</v>
      </c>
      <c r="Z18" s="12">
        <f t="shared" si="2"/>
        <v>0</v>
      </c>
      <c r="AA18" s="4" t="s">
        <v>10</v>
      </c>
      <c r="AB18" s="11">
        <f>IFERROR(VLOOKUP(AA18,Curr!$B$2:$C$13,2,FALSE),0)</f>
        <v>11.2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222</v>
      </c>
      <c r="K19" s="4"/>
      <c r="L19" s="4"/>
      <c r="M19" s="4"/>
      <c r="N19" s="4"/>
      <c r="O19" s="4" t="s">
        <v>42</v>
      </c>
      <c r="P19" s="33" t="s">
        <v>223</v>
      </c>
      <c r="Q19" s="25">
        <v>109</v>
      </c>
      <c r="R19" s="25">
        <v>2</v>
      </c>
      <c r="S19" s="12">
        <f t="shared" si="0"/>
        <v>218</v>
      </c>
      <c r="T19" s="5">
        <v>0.2</v>
      </c>
      <c r="U19" s="12">
        <f t="shared" si="6"/>
        <v>174.4</v>
      </c>
      <c r="V19" s="25" t="s">
        <v>10</v>
      </c>
      <c r="W19" s="11">
        <f>IFERROR(VLOOKUP(V19,Curr!$B$2:$C$13,2,FALSE),0)</f>
        <v>11.2</v>
      </c>
      <c r="X19" s="12">
        <f t="shared" si="1"/>
        <v>1953.28</v>
      </c>
      <c r="Y19" s="26">
        <f t="shared" si="10"/>
        <v>109</v>
      </c>
      <c r="Z19" s="12">
        <f t="shared" si="2"/>
        <v>218</v>
      </c>
      <c r="AA19" s="4" t="s">
        <v>10</v>
      </c>
      <c r="AB19" s="11">
        <f>IFERROR(VLOOKUP(AA19,Curr!$B$2:$C$13,2,FALSE),0)</f>
        <v>11.2</v>
      </c>
      <c r="AC19" s="12">
        <f t="shared" si="3"/>
        <v>2441.6</v>
      </c>
      <c r="AD19" s="12">
        <f t="shared" si="4"/>
        <v>488.31999999999994</v>
      </c>
      <c r="AE19" s="13">
        <f t="shared" si="5"/>
        <v>0.19999999999999998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ref="S20:S55" si="11">+Q20*R20</f>
        <v>0</v>
      </c>
      <c r="T20" s="5">
        <v>0</v>
      </c>
      <c r="U20" s="12">
        <f t="shared" ref="U20:U55" si="12">S20*(1-T20)</f>
        <v>0</v>
      </c>
      <c r="V20" s="25" t="s">
        <v>10</v>
      </c>
      <c r="W20" s="11">
        <f>IFERROR(VLOOKUP(V20,Curr!$B$2:$C$13,2,FALSE),0)</f>
        <v>11.2</v>
      </c>
      <c r="X20" s="12">
        <f t="shared" ref="X20:X55" si="13">U20*W20</f>
        <v>0</v>
      </c>
      <c r="Y20" s="26">
        <f t="shared" ref="Y20:Y55" si="14">Q20</f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137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11"/>
        <v>376</v>
      </c>
      <c r="T21" s="5">
        <v>0.2</v>
      </c>
      <c r="U21" s="12">
        <f t="shared" si="12"/>
        <v>300.8</v>
      </c>
      <c r="V21" s="25" t="s">
        <v>10</v>
      </c>
      <c r="W21" s="11">
        <f>IFERROR(VLOOKUP(V21,Curr!$B$2:$C$13,2,FALSE),0)</f>
        <v>11.2</v>
      </c>
      <c r="X21" s="12">
        <f t="shared" si="13"/>
        <v>3368.96</v>
      </c>
      <c r="Y21" s="26">
        <f t="shared" si="14"/>
        <v>188</v>
      </c>
      <c r="Z21" s="12">
        <f t="shared" si="2"/>
        <v>376</v>
      </c>
      <c r="AA21" s="4" t="s">
        <v>10</v>
      </c>
      <c r="AB21" s="11">
        <f>IFERROR(VLOOKUP(AA21,Curr!$B$2:$C$13,2,FALSE),0)</f>
        <v>11.2</v>
      </c>
      <c r="AC21" s="12">
        <f t="shared" si="3"/>
        <v>4211.2</v>
      </c>
      <c r="AD21" s="12">
        <f t="shared" si="4"/>
        <v>842.23999999999978</v>
      </c>
      <c r="AE21" s="13">
        <f t="shared" si="5"/>
        <v>0.19999999999999996</v>
      </c>
    </row>
    <row r="22" spans="2:31" x14ac:dyDescent="0.25">
      <c r="B22" s="4"/>
      <c r="C22" s="1" t="s">
        <v>72</v>
      </c>
      <c r="D22" s="1" t="s">
        <v>56</v>
      </c>
      <c r="E22" s="3"/>
      <c r="F22" s="3"/>
      <c r="G22" s="24"/>
      <c r="H22" s="24"/>
      <c r="J22" s="1" t="s">
        <v>84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11"/>
        <v>0</v>
      </c>
      <c r="T22" s="5">
        <v>0</v>
      </c>
      <c r="U22" s="12">
        <f t="shared" si="12"/>
        <v>0</v>
      </c>
      <c r="V22" s="25" t="s">
        <v>10</v>
      </c>
      <c r="W22" s="11">
        <f>IFERROR(VLOOKUP(V22,Curr!$B$2:$C$13,2,FALSE),0)</f>
        <v>11.2</v>
      </c>
      <c r="X22" s="12">
        <f t="shared" si="13"/>
        <v>0</v>
      </c>
      <c r="Y22" s="26">
        <f t="shared" si="14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11.2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C23" s="1" t="s">
        <v>72</v>
      </c>
      <c r="D23" s="1" t="s">
        <v>81</v>
      </c>
      <c r="E23" s="3"/>
      <c r="F23" s="3"/>
      <c r="G23" s="24"/>
      <c r="H23" s="24"/>
      <c r="J23" s="1" t="s">
        <v>138</v>
      </c>
      <c r="K23" s="4"/>
      <c r="L23" s="4"/>
      <c r="M23" s="4"/>
      <c r="N23" s="4" t="s">
        <v>42</v>
      </c>
      <c r="O23" s="4"/>
      <c r="P23" s="33" t="s">
        <v>86</v>
      </c>
      <c r="Q23" s="25">
        <v>32</v>
      </c>
      <c r="R23" s="25">
        <v>2</v>
      </c>
      <c r="S23" s="12">
        <f t="shared" si="11"/>
        <v>64</v>
      </c>
      <c r="T23" s="5">
        <v>0</v>
      </c>
      <c r="U23" s="12">
        <f t="shared" si="12"/>
        <v>64</v>
      </c>
      <c r="V23" s="25" t="s">
        <v>10</v>
      </c>
      <c r="W23" s="11">
        <f>IFERROR(VLOOKUP(V23,Curr!$B$2:$C$13,2,FALSE),0)</f>
        <v>11.2</v>
      </c>
      <c r="X23" s="12">
        <f t="shared" si="13"/>
        <v>716.8</v>
      </c>
      <c r="Y23" s="26">
        <f t="shared" ref="Y23" si="15">Q23/0.8</f>
        <v>40</v>
      </c>
      <c r="Z23" s="12">
        <f t="shared" si="2"/>
        <v>80</v>
      </c>
      <c r="AA23" s="4" t="s">
        <v>10</v>
      </c>
      <c r="AB23" s="11">
        <f>IFERROR(VLOOKUP(AA23,Curr!$B$2:$C$13,2,FALSE),0)</f>
        <v>11.2</v>
      </c>
      <c r="AC23" s="12">
        <f t="shared" si="3"/>
        <v>896</v>
      </c>
      <c r="AD23" s="12">
        <f t="shared" si="4"/>
        <v>179.20000000000005</v>
      </c>
      <c r="AE23" s="13">
        <f t="shared" si="5"/>
        <v>0.20000000000000004</v>
      </c>
    </row>
    <row r="24" spans="2:31" x14ac:dyDescent="0.25">
      <c r="B24" s="4"/>
      <c r="C24" s="1" t="s">
        <v>72</v>
      </c>
      <c r="D24" s="1" t="s">
        <v>56</v>
      </c>
      <c r="E24" s="3"/>
      <c r="F24" s="3"/>
      <c r="G24" s="24"/>
      <c r="H24" s="24"/>
      <c r="J24" s="1" t="s">
        <v>139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11"/>
        <v>0</v>
      </c>
      <c r="T24" s="5">
        <v>0</v>
      </c>
      <c r="U24" s="12">
        <f t="shared" si="12"/>
        <v>0</v>
      </c>
      <c r="V24" s="25" t="s">
        <v>10</v>
      </c>
      <c r="W24" s="11">
        <f>IFERROR(VLOOKUP(V24,Curr!$B$2:$C$13,2,FALSE),0)</f>
        <v>11.2</v>
      </c>
      <c r="X24" s="12">
        <f t="shared" si="13"/>
        <v>0</v>
      </c>
      <c r="Y24" s="26">
        <f t="shared" si="14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11.2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72</v>
      </c>
      <c r="D25" s="1" t="s">
        <v>57</v>
      </c>
      <c r="E25" s="3"/>
      <c r="F25" s="3"/>
      <c r="G25" s="24"/>
      <c r="H25" s="24"/>
      <c r="J25" s="1" t="s">
        <v>140</v>
      </c>
      <c r="K25" s="4"/>
      <c r="L25" s="4"/>
      <c r="M25" s="4"/>
      <c r="N25" s="4" t="s">
        <v>42</v>
      </c>
      <c r="O25" s="4"/>
      <c r="P25" s="33"/>
      <c r="Q25" s="25">
        <v>300</v>
      </c>
      <c r="R25" s="25">
        <v>1</v>
      </c>
      <c r="S25" s="12">
        <f t="shared" si="11"/>
        <v>300</v>
      </c>
      <c r="T25" s="5">
        <v>0</v>
      </c>
      <c r="U25" s="12">
        <f t="shared" si="12"/>
        <v>300</v>
      </c>
      <c r="V25" s="25" t="s">
        <v>10</v>
      </c>
      <c r="W25" s="11">
        <f>IFERROR(VLOOKUP(V25,Curr!$B$2:$C$13,2,FALSE),0)</f>
        <v>11.2</v>
      </c>
      <c r="X25" s="12">
        <f t="shared" si="13"/>
        <v>3360</v>
      </c>
      <c r="Y25" s="26">
        <f>Q25/0.8</f>
        <v>375</v>
      </c>
      <c r="Z25" s="12">
        <f t="shared" si="2"/>
        <v>375</v>
      </c>
      <c r="AA25" s="4" t="s">
        <v>10</v>
      </c>
      <c r="AB25" s="11">
        <f>IFERROR(VLOOKUP(AA25,Curr!$B$2:$C$13,2,FALSE),0)</f>
        <v>11.2</v>
      </c>
      <c r="AC25" s="12">
        <f t="shared" si="3"/>
        <v>4200</v>
      </c>
      <c r="AD25" s="12">
        <f t="shared" si="4"/>
        <v>840</v>
      </c>
      <c r="AE25" s="13">
        <f t="shared" si="5"/>
        <v>0.2</v>
      </c>
    </row>
    <row r="26" spans="2:31" x14ac:dyDescent="0.25">
      <c r="B26" s="4"/>
      <c r="C26" s="1" t="s">
        <v>72</v>
      </c>
      <c r="D26" s="1" t="s">
        <v>58</v>
      </c>
      <c r="E26" s="3"/>
      <c r="F26" s="3"/>
      <c r="G26" s="24"/>
      <c r="H26" s="24"/>
      <c r="J26" s="1" t="s">
        <v>141</v>
      </c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11"/>
        <v>0</v>
      </c>
      <c r="T26" s="5">
        <v>0</v>
      </c>
      <c r="U26" s="12">
        <f t="shared" si="12"/>
        <v>0</v>
      </c>
      <c r="V26" s="25" t="s">
        <v>10</v>
      </c>
      <c r="W26" s="11">
        <f>IFERROR(VLOOKUP(V26,Curr!$B$2:$C$13,2,FALSE),0)</f>
        <v>11.2</v>
      </c>
      <c r="X26" s="12">
        <f t="shared" si="13"/>
        <v>0</v>
      </c>
      <c r="Y26" s="26">
        <f t="shared" si="14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11.2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33"/>
      <c r="Q27" s="25"/>
      <c r="R27" s="25"/>
      <c r="S27" s="12">
        <f t="shared" si="11"/>
        <v>0</v>
      </c>
      <c r="T27" s="5">
        <v>0</v>
      </c>
      <c r="U27" s="12">
        <f t="shared" si="12"/>
        <v>0</v>
      </c>
      <c r="V27" s="25" t="s">
        <v>10</v>
      </c>
      <c r="W27" s="11">
        <f>IFERROR(VLOOKUP(V27,Curr!$B$2:$C$13,2,FALSE),0)</f>
        <v>11.2</v>
      </c>
      <c r="X27" s="12">
        <f t="shared" si="13"/>
        <v>0</v>
      </c>
      <c r="Y27" s="26">
        <f t="shared" si="14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77</v>
      </c>
      <c r="D28" s="1" t="s">
        <v>58</v>
      </c>
      <c r="E28" s="3"/>
      <c r="F28" s="3"/>
      <c r="G28" s="24"/>
      <c r="H28" s="24"/>
      <c r="J28" s="1" t="s">
        <v>141</v>
      </c>
      <c r="K28" s="4"/>
      <c r="L28" s="4"/>
      <c r="M28" s="4"/>
      <c r="N28" s="4"/>
      <c r="O28" s="4"/>
      <c r="P28" s="29"/>
      <c r="Q28" s="25">
        <v>0</v>
      </c>
      <c r="R28" s="25">
        <v>0</v>
      </c>
      <c r="S28" s="12">
        <f t="shared" si="11"/>
        <v>0</v>
      </c>
      <c r="T28" s="5">
        <v>0</v>
      </c>
      <c r="U28" s="12">
        <f t="shared" si="12"/>
        <v>0</v>
      </c>
      <c r="V28" s="25" t="s">
        <v>10</v>
      </c>
      <c r="W28" s="11">
        <f>IFERROR(VLOOKUP(V28,Curr!$B$2:$C$13,2,FALSE),0)</f>
        <v>11.2</v>
      </c>
      <c r="X28" s="12">
        <f t="shared" si="13"/>
        <v>0</v>
      </c>
      <c r="Y28" s="26">
        <f t="shared" si="14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11.2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1" x14ac:dyDescent="0.25">
      <c r="B29" s="4"/>
      <c r="C29" s="1" t="s">
        <v>77</v>
      </c>
      <c r="D29" s="1" t="s">
        <v>61</v>
      </c>
      <c r="E29" s="3"/>
      <c r="F29" s="3"/>
      <c r="G29" s="24"/>
      <c r="H29" s="24"/>
      <c r="J29" s="1" t="s">
        <v>142</v>
      </c>
      <c r="K29" s="4"/>
      <c r="L29" s="4"/>
      <c r="M29" s="4"/>
      <c r="N29" s="4"/>
      <c r="O29" s="4" t="s">
        <v>42</v>
      </c>
      <c r="P29" s="33" t="s">
        <v>143</v>
      </c>
      <c r="Q29" s="25">
        <v>120</v>
      </c>
      <c r="R29" s="25">
        <v>2</v>
      </c>
      <c r="S29" s="12">
        <f t="shared" si="11"/>
        <v>240</v>
      </c>
      <c r="T29" s="5">
        <v>0.2</v>
      </c>
      <c r="U29" s="12">
        <f t="shared" si="12"/>
        <v>192</v>
      </c>
      <c r="V29" s="25" t="s">
        <v>10</v>
      </c>
      <c r="W29" s="11">
        <f>IFERROR(VLOOKUP(V29,Curr!$B$2:$C$13,2,FALSE),0)</f>
        <v>11.2</v>
      </c>
      <c r="X29" s="12">
        <f t="shared" si="13"/>
        <v>2150.3999999999996</v>
      </c>
      <c r="Y29" s="26">
        <f t="shared" si="14"/>
        <v>120</v>
      </c>
      <c r="Z29" s="12">
        <f t="shared" si="2"/>
        <v>240</v>
      </c>
      <c r="AA29" s="4" t="s">
        <v>10</v>
      </c>
      <c r="AB29" s="11">
        <f>IFERROR(VLOOKUP(AA29,Curr!$B$2:$C$13,2,FALSE),0)</f>
        <v>11.2</v>
      </c>
      <c r="AC29" s="12">
        <f t="shared" si="3"/>
        <v>2688</v>
      </c>
      <c r="AD29" s="12">
        <f t="shared" si="4"/>
        <v>537.60000000000036</v>
      </c>
      <c r="AE29" s="13">
        <f t="shared" si="5"/>
        <v>0.20000000000000012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27"/>
      <c r="Q30" s="25"/>
      <c r="R30" s="25"/>
      <c r="S30" s="12">
        <f t="shared" si="11"/>
        <v>0</v>
      </c>
      <c r="T30" s="5">
        <v>0</v>
      </c>
      <c r="U30" s="12">
        <f t="shared" si="12"/>
        <v>0</v>
      </c>
      <c r="V30" s="25" t="s">
        <v>10</v>
      </c>
      <c r="W30" s="11">
        <f>IFERROR(VLOOKUP(V30,Curr!$B$2:$C$13,2,FALSE),0)</f>
        <v>11.2</v>
      </c>
      <c r="X30" s="12">
        <f t="shared" si="13"/>
        <v>0</v>
      </c>
      <c r="Y30" s="26">
        <f t="shared" si="14"/>
        <v>0</v>
      </c>
      <c r="Z30" s="12">
        <f t="shared" si="2"/>
        <v>0</v>
      </c>
      <c r="AA30" s="4" t="s">
        <v>10</v>
      </c>
      <c r="AB30" s="11">
        <f>IFERROR(VLOOKUP(AA30,Curr!$B$2:$C$13,2,FALSE),0)</f>
        <v>11.2</v>
      </c>
      <c r="AC30" s="12">
        <f t="shared" si="3"/>
        <v>0</v>
      </c>
      <c r="AD30" s="12">
        <f t="shared" si="4"/>
        <v>0</v>
      </c>
      <c r="AE30" s="13">
        <f t="shared" si="5"/>
        <v>0</v>
      </c>
    </row>
    <row r="31" spans="2:31" x14ac:dyDescent="0.25">
      <c r="B31" s="4"/>
      <c r="C31" s="1" t="s">
        <v>80</v>
      </c>
      <c r="D31" s="1" t="s">
        <v>56</v>
      </c>
      <c r="E31" s="3"/>
      <c r="F31" s="3"/>
      <c r="G31" s="24"/>
      <c r="H31" s="24"/>
      <c r="J31" s="1" t="s">
        <v>145</v>
      </c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11"/>
        <v>0</v>
      </c>
      <c r="T31" s="5">
        <v>0</v>
      </c>
      <c r="U31" s="12">
        <f t="shared" si="12"/>
        <v>0</v>
      </c>
      <c r="V31" s="25" t="s">
        <v>10</v>
      </c>
      <c r="W31" s="11">
        <f>IFERROR(VLOOKUP(V31,Curr!$B$2:$C$13,2,FALSE),0)</f>
        <v>11.2</v>
      </c>
      <c r="X31" s="12">
        <f t="shared" si="13"/>
        <v>0</v>
      </c>
      <c r="Y31" s="26">
        <f t="shared" si="14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11.2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C32" s="1" t="s">
        <v>80</v>
      </c>
      <c r="D32" s="1" t="s">
        <v>81</v>
      </c>
      <c r="E32" s="3"/>
      <c r="F32" s="3"/>
      <c r="G32" s="24"/>
      <c r="H32" s="24"/>
      <c r="J32" s="1" t="s">
        <v>144</v>
      </c>
      <c r="K32" s="4"/>
      <c r="L32" s="4"/>
      <c r="M32" s="4"/>
      <c r="N32" s="4" t="s">
        <v>42</v>
      </c>
      <c r="O32" s="4"/>
      <c r="P32" s="27"/>
      <c r="Q32" s="25">
        <v>9</v>
      </c>
      <c r="R32" s="25">
        <v>2</v>
      </c>
      <c r="S32" s="12">
        <f t="shared" si="11"/>
        <v>18</v>
      </c>
      <c r="T32" s="5">
        <v>0</v>
      </c>
      <c r="U32" s="12">
        <f t="shared" si="12"/>
        <v>18</v>
      </c>
      <c r="V32" s="25" t="s">
        <v>10</v>
      </c>
      <c r="W32" s="11">
        <f>IFERROR(VLOOKUP(V32,Curr!$B$2:$C$13,2,FALSE),0)</f>
        <v>11.2</v>
      </c>
      <c r="X32" s="12">
        <f t="shared" si="13"/>
        <v>201.6</v>
      </c>
      <c r="Y32" s="26">
        <f>Q32/0.5</f>
        <v>18</v>
      </c>
      <c r="Z32" s="12">
        <f t="shared" si="2"/>
        <v>36</v>
      </c>
      <c r="AA32" s="4" t="s">
        <v>10</v>
      </c>
      <c r="AB32" s="11">
        <f>IFERROR(VLOOKUP(AA32,Curr!$B$2:$C$13,2,FALSE),0)</f>
        <v>11.2</v>
      </c>
      <c r="AC32" s="12">
        <f t="shared" si="3"/>
        <v>403.2</v>
      </c>
      <c r="AD32" s="12">
        <f t="shared" si="4"/>
        <v>201.6</v>
      </c>
      <c r="AE32" s="13">
        <f t="shared" si="5"/>
        <v>0.5</v>
      </c>
    </row>
    <row r="33" spans="2:31" x14ac:dyDescent="0.25">
      <c r="B33" s="4"/>
      <c r="C33" s="1" t="s">
        <v>80</v>
      </c>
      <c r="D33" s="1" t="s">
        <v>57</v>
      </c>
      <c r="E33" s="3"/>
      <c r="F33" s="3"/>
      <c r="G33" s="24"/>
      <c r="H33" s="24"/>
      <c r="J33" s="1" t="s">
        <v>146</v>
      </c>
      <c r="K33" s="4"/>
      <c r="L33" s="4"/>
      <c r="M33" s="4"/>
      <c r="N33" s="4" t="s">
        <v>42</v>
      </c>
      <c r="O33" s="4"/>
      <c r="P33" s="33"/>
      <c r="Q33" s="25">
        <v>517</v>
      </c>
      <c r="R33" s="25">
        <v>1</v>
      </c>
      <c r="S33" s="12">
        <f t="shared" si="11"/>
        <v>517</v>
      </c>
      <c r="T33" s="5">
        <v>0</v>
      </c>
      <c r="U33" s="12">
        <f t="shared" si="12"/>
        <v>517</v>
      </c>
      <c r="V33" s="25" t="s">
        <v>10</v>
      </c>
      <c r="W33" s="11">
        <f>IFERROR(VLOOKUP(V33,Curr!$B$2:$C$13,2,FALSE),0)</f>
        <v>11.2</v>
      </c>
      <c r="X33" s="12">
        <f t="shared" si="13"/>
        <v>5790.4</v>
      </c>
      <c r="Y33" s="26">
        <f>Q33/0.8</f>
        <v>646.25</v>
      </c>
      <c r="Z33" s="12">
        <f t="shared" si="2"/>
        <v>646.25</v>
      </c>
      <c r="AA33" s="4" t="s">
        <v>10</v>
      </c>
      <c r="AB33" s="11">
        <f>IFERROR(VLOOKUP(AA33,Curr!$B$2:$C$13,2,FALSE),0)</f>
        <v>11.2</v>
      </c>
      <c r="AC33" s="12">
        <f t="shared" si="3"/>
        <v>7237.9999999999991</v>
      </c>
      <c r="AD33" s="12">
        <f t="shared" si="4"/>
        <v>1447.5999999999995</v>
      </c>
      <c r="AE33" s="13">
        <f t="shared" si="5"/>
        <v>0.19999999999999996</v>
      </c>
    </row>
    <row r="34" spans="2:31" x14ac:dyDescent="0.25">
      <c r="B34" s="4"/>
      <c r="C34" s="1" t="s">
        <v>80</v>
      </c>
      <c r="D34" s="1" t="s">
        <v>58</v>
      </c>
      <c r="E34" s="3"/>
      <c r="F34" s="3"/>
      <c r="G34" s="24"/>
      <c r="H34" s="24"/>
      <c r="J34" s="1" t="s">
        <v>149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11"/>
        <v>0</v>
      </c>
      <c r="T34" s="5">
        <v>0</v>
      </c>
      <c r="U34" s="12">
        <f t="shared" si="12"/>
        <v>0</v>
      </c>
      <c r="V34" s="25" t="s">
        <v>10</v>
      </c>
      <c r="W34" s="11">
        <f>IFERROR(VLOOKUP(V34,Curr!$B$2:$C$13,2,FALSE),0)</f>
        <v>11.2</v>
      </c>
      <c r="X34" s="12">
        <f t="shared" si="13"/>
        <v>0</v>
      </c>
      <c r="Y34" s="26">
        <f t="shared" si="14"/>
        <v>0</v>
      </c>
      <c r="Z34" s="12">
        <f t="shared" si="2"/>
        <v>0</v>
      </c>
      <c r="AA34" s="4" t="s">
        <v>10</v>
      </c>
      <c r="AB34" s="11">
        <f>IFERROR(VLOOKUP(AA34,Curr!$B$2:$C$13,2,FALSE),0)</f>
        <v>11.2</v>
      </c>
      <c r="AC34" s="12">
        <f t="shared" si="3"/>
        <v>0</v>
      </c>
      <c r="AD34" s="12">
        <f t="shared" si="4"/>
        <v>0</v>
      </c>
      <c r="AE34" s="13">
        <f t="shared" si="5"/>
        <v>0</v>
      </c>
    </row>
    <row r="35" spans="2:31" x14ac:dyDescent="0.25">
      <c r="B35" s="4"/>
      <c r="C35" s="1" t="s">
        <v>80</v>
      </c>
      <c r="D35" s="1" t="s">
        <v>61</v>
      </c>
      <c r="E35" s="3"/>
      <c r="F35" s="3"/>
      <c r="G35" s="24"/>
      <c r="H35" s="24"/>
      <c r="J35" s="1" t="s">
        <v>147</v>
      </c>
      <c r="K35" s="4"/>
      <c r="L35" s="4"/>
      <c r="M35" s="4"/>
      <c r="N35" s="4"/>
      <c r="O35" s="4" t="s">
        <v>42</v>
      </c>
      <c r="P35" s="33" t="s">
        <v>148</v>
      </c>
      <c r="Q35" s="25">
        <v>149</v>
      </c>
      <c r="R35" s="25">
        <v>2</v>
      </c>
      <c r="S35" s="12">
        <f t="shared" si="11"/>
        <v>298</v>
      </c>
      <c r="T35" s="5">
        <v>0.2</v>
      </c>
      <c r="U35" s="12">
        <f t="shared" si="12"/>
        <v>238.4</v>
      </c>
      <c r="V35" s="25" t="s">
        <v>10</v>
      </c>
      <c r="W35" s="11">
        <f>IFERROR(VLOOKUP(V35,Curr!$B$2:$C$13,2,FALSE),0)</f>
        <v>11.2</v>
      </c>
      <c r="X35" s="12">
        <f t="shared" si="13"/>
        <v>2670.08</v>
      </c>
      <c r="Y35" s="26">
        <f t="shared" si="14"/>
        <v>149</v>
      </c>
      <c r="Z35" s="12">
        <f t="shared" si="2"/>
        <v>298</v>
      </c>
      <c r="AA35" s="4" t="s">
        <v>10</v>
      </c>
      <c r="AB35" s="11">
        <f>IFERROR(VLOOKUP(AA35,Curr!$B$2:$C$13,2,FALSE),0)</f>
        <v>11.2</v>
      </c>
      <c r="AC35" s="12">
        <f t="shared" si="3"/>
        <v>3337.6</v>
      </c>
      <c r="AD35" s="12">
        <f t="shared" si="4"/>
        <v>667.52</v>
      </c>
      <c r="AE35" s="13">
        <f t="shared" si="5"/>
        <v>0.2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1"/>
        <v>0</v>
      </c>
      <c r="T36" s="5">
        <v>0</v>
      </c>
      <c r="U36" s="12">
        <f t="shared" si="12"/>
        <v>0</v>
      </c>
      <c r="V36" s="25" t="s">
        <v>10</v>
      </c>
      <c r="W36" s="11">
        <f>IFERROR(VLOOKUP(V36,Curr!$B$2:$C$13,2,FALSE),0)</f>
        <v>11.2</v>
      </c>
      <c r="X36" s="12">
        <f t="shared" si="13"/>
        <v>0</v>
      </c>
      <c r="Y36" s="26">
        <f t="shared" si="14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C37" s="1" t="s">
        <v>82</v>
      </c>
      <c r="D37" s="1" t="s">
        <v>56</v>
      </c>
      <c r="E37" s="3"/>
      <c r="F37" s="3"/>
      <c r="G37" s="24"/>
      <c r="H37" s="24"/>
      <c r="J37" s="1" t="s">
        <v>150</v>
      </c>
      <c r="K37" s="4"/>
      <c r="L37" s="4"/>
      <c r="M37" s="4"/>
      <c r="N37" s="4" t="s">
        <v>42</v>
      </c>
      <c r="O37" s="4"/>
      <c r="P37" s="27"/>
      <c r="Q37" s="25">
        <v>35</v>
      </c>
      <c r="R37" s="25">
        <v>2</v>
      </c>
      <c r="S37" s="12">
        <f t="shared" si="11"/>
        <v>70</v>
      </c>
      <c r="T37" s="5">
        <v>0</v>
      </c>
      <c r="U37" s="12">
        <f t="shared" si="12"/>
        <v>70</v>
      </c>
      <c r="V37" s="25" t="s">
        <v>10</v>
      </c>
      <c r="W37" s="11">
        <f>IFERROR(VLOOKUP(V37,Curr!$B$2:$C$13,2,FALSE),0)</f>
        <v>11.2</v>
      </c>
      <c r="X37" s="12">
        <f t="shared" si="13"/>
        <v>784</v>
      </c>
      <c r="Y37" s="26">
        <f>Q37/0.8</f>
        <v>43.75</v>
      </c>
      <c r="Z37" s="12">
        <f t="shared" si="2"/>
        <v>87.5</v>
      </c>
      <c r="AA37" s="4" t="s">
        <v>10</v>
      </c>
      <c r="AB37" s="11">
        <f>IFERROR(VLOOKUP(AA37,Curr!$B$2:$C$13,2,FALSE),0)</f>
        <v>11.2</v>
      </c>
      <c r="AC37" s="12">
        <f t="shared" si="3"/>
        <v>979.99999999999989</v>
      </c>
      <c r="AD37" s="12">
        <f t="shared" si="4"/>
        <v>195.99999999999989</v>
      </c>
      <c r="AE37" s="13">
        <f t="shared" si="5"/>
        <v>0.1999999999999999</v>
      </c>
    </row>
    <row r="38" spans="2:31" x14ac:dyDescent="0.25">
      <c r="B38" s="4"/>
      <c r="C38" s="1" t="s">
        <v>82</v>
      </c>
      <c r="D38" s="1" t="s">
        <v>83</v>
      </c>
      <c r="E38" s="3"/>
      <c r="F38" s="3"/>
      <c r="G38" s="24"/>
      <c r="H38" s="24"/>
      <c r="J38" s="1" t="s">
        <v>127</v>
      </c>
      <c r="K38" s="4"/>
      <c r="L38" s="4"/>
      <c r="M38" s="4"/>
      <c r="N38" s="4"/>
      <c r="O38" s="4"/>
      <c r="P38" s="33"/>
      <c r="Q38" s="25">
        <v>0</v>
      </c>
      <c r="R38" s="25">
        <v>0</v>
      </c>
      <c r="S38" s="12">
        <f t="shared" si="11"/>
        <v>0</v>
      </c>
      <c r="T38" s="5">
        <v>0</v>
      </c>
      <c r="U38" s="12">
        <f t="shared" si="12"/>
        <v>0</v>
      </c>
      <c r="V38" s="25" t="s">
        <v>10</v>
      </c>
      <c r="W38" s="11">
        <f>IFERROR(VLOOKUP(V38,Curr!$B$2:$C$13,2,FALSE),0)</f>
        <v>11.2</v>
      </c>
      <c r="X38" s="12">
        <f t="shared" si="13"/>
        <v>0</v>
      </c>
      <c r="Y38" s="26">
        <f t="shared" si="14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11"/>
        <v>0</v>
      </c>
      <c r="T39" s="5">
        <v>0</v>
      </c>
      <c r="U39" s="12">
        <f t="shared" si="12"/>
        <v>0</v>
      </c>
      <c r="V39" s="25" t="s">
        <v>10</v>
      </c>
      <c r="W39" s="11">
        <f>IFERROR(VLOOKUP(V39,Curr!$B$2:$C$13,2,FALSE),0)</f>
        <v>11.2</v>
      </c>
      <c r="X39" s="12">
        <f t="shared" si="13"/>
        <v>0</v>
      </c>
      <c r="Y39" s="26">
        <f t="shared" si="14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33"/>
      <c r="Q40" s="25"/>
      <c r="R40" s="25"/>
      <c r="S40" s="12">
        <f t="shared" si="11"/>
        <v>0</v>
      </c>
      <c r="T40" s="5">
        <v>0</v>
      </c>
      <c r="U40" s="12">
        <f t="shared" si="12"/>
        <v>0</v>
      </c>
      <c r="V40" s="25" t="s">
        <v>10</v>
      </c>
      <c r="W40" s="11">
        <f>IFERROR(VLOOKUP(V40,Curr!$B$2:$C$13,2,FALSE),0)</f>
        <v>11.2</v>
      </c>
      <c r="X40" s="12">
        <f t="shared" si="13"/>
        <v>0</v>
      </c>
      <c r="Y40" s="26">
        <f t="shared" si="14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C41" s="1" t="s">
        <v>54</v>
      </c>
      <c r="D41" s="1" t="s">
        <v>97</v>
      </c>
      <c r="E41" s="3"/>
      <c r="F41" s="3"/>
      <c r="G41" s="24"/>
      <c r="H41" s="24"/>
      <c r="J41" s="1" t="s">
        <v>90</v>
      </c>
      <c r="K41" s="4"/>
      <c r="L41" s="4"/>
      <c r="M41" s="4"/>
      <c r="N41" s="4"/>
      <c r="O41" s="4" t="s">
        <v>42</v>
      </c>
      <c r="P41" s="27"/>
      <c r="Q41" s="25">
        <v>80</v>
      </c>
      <c r="R41" s="25">
        <v>0</v>
      </c>
      <c r="S41" s="12">
        <f t="shared" si="11"/>
        <v>0</v>
      </c>
      <c r="T41" s="5">
        <v>0</v>
      </c>
      <c r="U41" s="12">
        <f t="shared" si="12"/>
        <v>0</v>
      </c>
      <c r="V41" s="25" t="s">
        <v>10</v>
      </c>
      <c r="W41" s="11">
        <f>IFERROR(VLOOKUP(V41,Curr!$B$2:$C$13,2,FALSE),0)</f>
        <v>11.2</v>
      </c>
      <c r="X41" s="12">
        <f t="shared" si="13"/>
        <v>0</v>
      </c>
      <c r="Y41" s="26">
        <f>Q41/0.8</f>
        <v>100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60</v>
      </c>
      <c r="D42" s="1" t="s">
        <v>97</v>
      </c>
      <c r="E42" s="3"/>
      <c r="F42" s="3"/>
      <c r="G42" s="24"/>
      <c r="H42" s="24"/>
      <c r="J42" s="1" t="s">
        <v>95</v>
      </c>
      <c r="K42" s="4"/>
      <c r="L42" s="4"/>
      <c r="M42" s="4"/>
      <c r="N42" s="4"/>
      <c r="O42" s="4" t="s">
        <v>42</v>
      </c>
      <c r="P42" s="33"/>
      <c r="Q42" s="25">
        <v>60</v>
      </c>
      <c r="R42" s="25">
        <v>0</v>
      </c>
      <c r="S42" s="12">
        <f t="shared" si="11"/>
        <v>0</v>
      </c>
      <c r="T42" s="5">
        <v>0</v>
      </c>
      <c r="U42" s="12">
        <f t="shared" si="12"/>
        <v>0</v>
      </c>
      <c r="V42" s="25" t="s">
        <v>10</v>
      </c>
      <c r="W42" s="11">
        <f>IFERROR(VLOOKUP(V42,Curr!$B$2:$C$13,2,FALSE),0)</f>
        <v>11.2</v>
      </c>
      <c r="X42" s="12">
        <f t="shared" si="13"/>
        <v>0</v>
      </c>
      <c r="Y42" s="26">
        <f>Q42/0.75</f>
        <v>80</v>
      </c>
      <c r="Z42" s="12">
        <f t="shared" si="2"/>
        <v>0</v>
      </c>
      <c r="AA42" s="4" t="s">
        <v>10</v>
      </c>
      <c r="AB42" s="11">
        <f>IFERROR(VLOOKUP(AA42,Curr!$B$2:$C$13,2,FALSE),0)</f>
        <v>11.2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C43" s="1" t="s">
        <v>68</v>
      </c>
      <c r="D43" s="1" t="s">
        <v>97</v>
      </c>
      <c r="E43" s="3"/>
      <c r="F43" s="3"/>
      <c r="G43" s="24"/>
      <c r="H43" s="24"/>
      <c r="J43" s="1" t="s">
        <v>96</v>
      </c>
      <c r="K43" s="4"/>
      <c r="L43" s="4"/>
      <c r="M43" s="4"/>
      <c r="N43" s="4"/>
      <c r="O43" s="4" t="s">
        <v>42</v>
      </c>
      <c r="P43" s="27"/>
      <c r="Q43" s="25">
        <v>40</v>
      </c>
      <c r="R43" s="25">
        <v>0</v>
      </c>
      <c r="S43" s="12">
        <f t="shared" si="11"/>
        <v>0</v>
      </c>
      <c r="T43" s="5">
        <v>0</v>
      </c>
      <c r="U43" s="12">
        <f t="shared" si="12"/>
        <v>0</v>
      </c>
      <c r="V43" s="25" t="s">
        <v>10</v>
      </c>
      <c r="W43" s="11">
        <f>IFERROR(VLOOKUP(V43,Curr!$B$2:$C$13,2,FALSE),0)</f>
        <v>11.2</v>
      </c>
      <c r="X43" s="12">
        <f t="shared" si="13"/>
        <v>0</v>
      </c>
      <c r="Y43" s="26">
        <f>Q43/0.665</f>
        <v>60.150375939849624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C44" s="1" t="s">
        <v>72</v>
      </c>
      <c r="D44" s="1" t="s">
        <v>97</v>
      </c>
      <c r="E44" s="3"/>
      <c r="F44" s="3"/>
      <c r="G44" s="24"/>
      <c r="H44" s="24"/>
      <c r="J44" s="1" t="s">
        <v>106</v>
      </c>
      <c r="K44" s="4"/>
      <c r="L44" s="4"/>
      <c r="M44" s="4"/>
      <c r="N44" s="4"/>
      <c r="O44" s="4" t="s">
        <v>42</v>
      </c>
      <c r="P44" s="27"/>
      <c r="Q44" s="25">
        <v>40</v>
      </c>
      <c r="R44" s="25">
        <v>0</v>
      </c>
      <c r="S44" s="12">
        <f t="shared" si="11"/>
        <v>0</v>
      </c>
      <c r="T44" s="5">
        <v>0</v>
      </c>
      <c r="U44" s="12">
        <f t="shared" si="12"/>
        <v>0</v>
      </c>
      <c r="V44" s="25" t="s">
        <v>10</v>
      </c>
      <c r="W44" s="11">
        <f>IFERROR(VLOOKUP(V44,Curr!$B$2:$C$13,2,FALSE),0)</f>
        <v>11.2</v>
      </c>
      <c r="X44" s="12">
        <f t="shared" si="13"/>
        <v>0</v>
      </c>
      <c r="Y44" s="26">
        <f>Q44/0.665</f>
        <v>60.150375939849624</v>
      </c>
      <c r="Z44" s="12">
        <f t="shared" si="2"/>
        <v>0</v>
      </c>
      <c r="AA44" s="4" t="s">
        <v>10</v>
      </c>
      <c r="AB44" s="11">
        <f>IFERROR(VLOOKUP(AA44,Curr!$B$2:$C$13,2,FALSE),0)</f>
        <v>11.2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/>
      <c r="R45" s="25"/>
      <c r="S45" s="12">
        <f t="shared" si="11"/>
        <v>0</v>
      </c>
      <c r="T45" s="5">
        <v>0</v>
      </c>
      <c r="U45" s="12">
        <f t="shared" si="12"/>
        <v>0</v>
      </c>
      <c r="V45" s="25" t="s">
        <v>10</v>
      </c>
      <c r="W45" s="11">
        <f>IFERROR(VLOOKUP(V45,Curr!$B$2:$C$13,2,FALSE),0)</f>
        <v>11.2</v>
      </c>
      <c r="X45" s="12">
        <f t="shared" si="13"/>
        <v>0</v>
      </c>
      <c r="Y45" s="26">
        <f t="shared" si="14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/>
      <c r="R46" s="25"/>
      <c r="S46" s="12">
        <f t="shared" si="11"/>
        <v>0</v>
      </c>
      <c r="T46" s="5">
        <v>0</v>
      </c>
      <c r="U46" s="12">
        <f t="shared" si="12"/>
        <v>0</v>
      </c>
      <c r="V46" s="25" t="s">
        <v>10</v>
      </c>
      <c r="W46" s="11">
        <f>IFERROR(VLOOKUP(V46,Curr!$B$2:$C$13,2,FALSE),0)</f>
        <v>11.2</v>
      </c>
      <c r="X46" s="12">
        <f t="shared" si="13"/>
        <v>0</v>
      </c>
      <c r="Y46" s="26">
        <f t="shared" si="14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60</v>
      </c>
      <c r="D47" s="1" t="s">
        <v>98</v>
      </c>
      <c r="E47" s="3"/>
      <c r="F47" s="3"/>
      <c r="G47" s="24"/>
      <c r="H47" s="24"/>
      <c r="J47" s="1" t="s">
        <v>91</v>
      </c>
      <c r="K47" s="4"/>
      <c r="L47" s="4"/>
      <c r="M47" s="4"/>
      <c r="N47" s="4"/>
      <c r="O47" s="4" t="s">
        <v>42</v>
      </c>
      <c r="P47" s="29" t="s">
        <v>92</v>
      </c>
      <c r="Q47" s="25">
        <f>(40+40)+(50*2)</f>
        <v>180</v>
      </c>
      <c r="R47" s="25">
        <v>0</v>
      </c>
      <c r="S47" s="12">
        <f t="shared" si="11"/>
        <v>0</v>
      </c>
      <c r="T47" s="5">
        <v>0</v>
      </c>
      <c r="U47" s="12">
        <f t="shared" si="12"/>
        <v>0</v>
      </c>
      <c r="V47" s="25" t="s">
        <v>10</v>
      </c>
      <c r="W47" s="11">
        <f>IFERROR(VLOOKUP(V47,Curr!$B$2:$C$13,2,FALSE),0)</f>
        <v>11.2</v>
      </c>
      <c r="X47" s="12">
        <f t="shared" si="13"/>
        <v>0</v>
      </c>
      <c r="Y47" s="26">
        <f>Q47/0.8</f>
        <v>225</v>
      </c>
      <c r="Z47" s="12">
        <f t="shared" si="2"/>
        <v>0</v>
      </c>
      <c r="AA47" s="4" t="s">
        <v>10</v>
      </c>
      <c r="AB47" s="11">
        <f>IFERROR(VLOOKUP(AA47,Curr!$B$2:$C$13,2,FALSE),0)</f>
        <v>11.2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C48" s="1" t="s">
        <v>60</v>
      </c>
      <c r="D48" s="1" t="s">
        <v>98</v>
      </c>
      <c r="E48" s="3"/>
      <c r="F48" s="3"/>
      <c r="G48" s="24"/>
      <c r="H48" s="24"/>
      <c r="J48" s="1" t="s">
        <v>93</v>
      </c>
      <c r="K48" s="4"/>
      <c r="L48" s="4"/>
      <c r="M48" s="4"/>
      <c r="N48" s="4"/>
      <c r="O48" s="4" t="s">
        <v>42</v>
      </c>
      <c r="P48" s="33" t="s">
        <v>94</v>
      </c>
      <c r="Q48" s="25">
        <v>25</v>
      </c>
      <c r="R48" s="25">
        <v>0</v>
      </c>
      <c r="S48" s="12">
        <f t="shared" si="11"/>
        <v>0</v>
      </c>
      <c r="T48" s="5">
        <v>0</v>
      </c>
      <c r="U48" s="12">
        <f t="shared" si="12"/>
        <v>0</v>
      </c>
      <c r="V48" s="25" t="s">
        <v>10</v>
      </c>
      <c r="W48" s="11">
        <f>IFERROR(VLOOKUP(V48,Curr!$B$2:$C$13,2,FALSE),0)</f>
        <v>11.2</v>
      </c>
      <c r="X48" s="12">
        <f t="shared" si="13"/>
        <v>0</v>
      </c>
      <c r="Y48" s="26">
        <f>Q48/0.62</f>
        <v>40.322580645161288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/>
      <c r="R49" s="25"/>
      <c r="S49" s="12">
        <f t="shared" si="11"/>
        <v>0</v>
      </c>
      <c r="T49" s="5">
        <v>0</v>
      </c>
      <c r="U49" s="12">
        <f t="shared" si="12"/>
        <v>0</v>
      </c>
      <c r="V49" s="25" t="s">
        <v>10</v>
      </c>
      <c r="W49" s="11">
        <f>IFERROR(VLOOKUP(V49,Curr!$B$2:$C$13,2,FALSE),0)</f>
        <v>11.2</v>
      </c>
      <c r="X49" s="12">
        <f t="shared" si="13"/>
        <v>0</v>
      </c>
      <c r="Y49" s="26">
        <f t="shared" si="14"/>
        <v>0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11"/>
        <v>0</v>
      </c>
      <c r="T50" s="5">
        <v>0</v>
      </c>
      <c r="U50" s="12">
        <f t="shared" si="12"/>
        <v>0</v>
      </c>
      <c r="V50" s="25" t="s">
        <v>10</v>
      </c>
      <c r="W50" s="11">
        <f>IFERROR(VLOOKUP(V50,Curr!$B$2:$C$13,2,FALSE),0)</f>
        <v>11.2</v>
      </c>
      <c r="X50" s="12">
        <f t="shared" si="13"/>
        <v>0</v>
      </c>
      <c r="Y50" s="26">
        <f t="shared" si="14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11.2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11"/>
        <v>0</v>
      </c>
      <c r="T51" s="5">
        <v>0</v>
      </c>
      <c r="U51" s="12">
        <f t="shared" si="12"/>
        <v>0</v>
      </c>
      <c r="V51" s="25" t="s">
        <v>10</v>
      </c>
      <c r="W51" s="11">
        <f>IFERROR(VLOOKUP(V51,Curr!$B$2:$C$13,2,FALSE),0)</f>
        <v>11.2</v>
      </c>
      <c r="X51" s="12">
        <f t="shared" si="13"/>
        <v>0</v>
      </c>
      <c r="Y51" s="26">
        <f t="shared" si="14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11"/>
        <v>0</v>
      </c>
      <c r="T52" s="5">
        <v>0</v>
      </c>
      <c r="U52" s="12">
        <f t="shared" si="12"/>
        <v>0</v>
      </c>
      <c r="V52" s="25" t="s">
        <v>10</v>
      </c>
      <c r="W52" s="11">
        <f>IFERROR(VLOOKUP(V52,Curr!$B$2:$C$13,2,FALSE),0)</f>
        <v>11.2</v>
      </c>
      <c r="X52" s="12">
        <f t="shared" si="13"/>
        <v>0</v>
      </c>
      <c r="Y52" s="26">
        <f t="shared" si="14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11.2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/>
      <c r="R53" s="25"/>
      <c r="S53" s="12">
        <f t="shared" si="11"/>
        <v>0</v>
      </c>
      <c r="T53" s="5">
        <v>0</v>
      </c>
      <c r="U53" s="12">
        <f t="shared" si="12"/>
        <v>0</v>
      </c>
      <c r="V53" s="25" t="s">
        <v>10</v>
      </c>
      <c r="W53" s="11">
        <f>IFERROR(VLOOKUP(V53,Curr!$B$2:$C$13,2,FALSE),0)</f>
        <v>11.2</v>
      </c>
      <c r="X53" s="12">
        <f t="shared" si="13"/>
        <v>0</v>
      </c>
      <c r="Y53" s="26">
        <f t="shared" si="14"/>
        <v>0</v>
      </c>
      <c r="Z53" s="12">
        <f t="shared" si="2"/>
        <v>0</v>
      </c>
      <c r="AA53" s="4" t="s">
        <v>10</v>
      </c>
      <c r="AB53" s="11">
        <f>IFERROR(VLOOKUP(AA53,Curr!$B$2:$C$13,2,FALSE),0)</f>
        <v>11.2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11"/>
        <v>0</v>
      </c>
      <c r="T54" s="5">
        <v>0</v>
      </c>
      <c r="U54" s="12">
        <f t="shared" si="12"/>
        <v>0</v>
      </c>
      <c r="V54" s="25" t="s">
        <v>10</v>
      </c>
      <c r="W54" s="11">
        <f>IFERROR(VLOOKUP(V54,Curr!$B$2:$C$13,2,FALSE),0)</f>
        <v>11.2</v>
      </c>
      <c r="X54" s="12">
        <f t="shared" si="13"/>
        <v>0</v>
      </c>
      <c r="Y54" s="26">
        <f t="shared" si="14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11.2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11"/>
        <v>0</v>
      </c>
      <c r="T55" s="5">
        <v>0</v>
      </c>
      <c r="U55" s="12">
        <f t="shared" si="12"/>
        <v>0</v>
      </c>
      <c r="V55" s="25" t="s">
        <v>10</v>
      </c>
      <c r="W55" s="11">
        <f>IFERROR(VLOOKUP(V55,Curr!$B$2:$C$13,2,FALSE),0)</f>
        <v>11.2</v>
      </c>
      <c r="X55" s="12">
        <f t="shared" si="13"/>
        <v>0</v>
      </c>
      <c r="Y55" s="26">
        <f t="shared" si="14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11.2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6" x14ac:dyDescent="0.25">
      <c r="B56" s="4"/>
      <c r="E56" s="3"/>
      <c r="F56" s="3"/>
      <c r="G56" s="3"/>
      <c r="H56" s="3"/>
      <c r="L56" s="4"/>
      <c r="M56" s="4"/>
      <c r="N56" s="4"/>
      <c r="O56" s="4"/>
      <c r="P56" s="22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2:36" x14ac:dyDescent="0.25">
      <c r="B57" s="14" t="s">
        <v>18</v>
      </c>
      <c r="C57" s="14"/>
      <c r="D57" s="28" t="s">
        <v>42</v>
      </c>
      <c r="E57" s="30" t="s">
        <v>42</v>
      </c>
      <c r="F57" s="30" t="s">
        <v>42</v>
      </c>
      <c r="G57" s="30" t="s">
        <v>42</v>
      </c>
      <c r="H57" s="30" t="s">
        <v>42</v>
      </c>
      <c r="I57" s="28" t="s">
        <v>42</v>
      </c>
      <c r="J57" s="28" t="s">
        <v>42</v>
      </c>
      <c r="K57" s="28" t="s">
        <v>42</v>
      </c>
      <c r="L57" s="28" t="s">
        <v>42</v>
      </c>
      <c r="M57" s="28" t="s">
        <v>42</v>
      </c>
      <c r="N57" s="28" t="s">
        <v>42</v>
      </c>
      <c r="O57" s="28" t="s">
        <v>42</v>
      </c>
      <c r="P57" s="28" t="s">
        <v>42</v>
      </c>
      <c r="Q57" s="31" t="s">
        <v>42</v>
      </c>
      <c r="R57" s="28" t="s">
        <v>42</v>
      </c>
      <c r="S57" s="32" t="s">
        <v>42</v>
      </c>
      <c r="T57" s="28" t="s">
        <v>42</v>
      </c>
      <c r="U57" s="32" t="s">
        <v>42</v>
      </c>
      <c r="V57" s="28" t="s">
        <v>42</v>
      </c>
      <c r="W57" s="28" t="s">
        <v>42</v>
      </c>
      <c r="X57" s="32" t="s">
        <v>42</v>
      </c>
      <c r="Y57" s="32" t="s">
        <v>42</v>
      </c>
      <c r="Z57" s="15">
        <f>SUM(Z7:Z55)</f>
        <v>3136.9254385964914</v>
      </c>
      <c r="AA57" s="14"/>
      <c r="AB57" s="14"/>
      <c r="AC57" s="15">
        <f>SUM(AC7:AC55)</f>
        <v>35133.564912280701</v>
      </c>
      <c r="AD57" s="15">
        <f>SUM(AD7:AD55)</f>
        <v>7328.4449122807018</v>
      </c>
      <c r="AE57" s="21">
        <f t="shared" ref="AE57" si="16">IFERROR(AD57/AC57,0)</f>
        <v>0.20858813873792503</v>
      </c>
      <c r="AF57" s="15">
        <f>SUM(AF8:AF56)</f>
        <v>0</v>
      </c>
      <c r="AG57" s="15">
        <f>SUM(AG8:AG56)</f>
        <v>0</v>
      </c>
      <c r="AH57" s="15">
        <f>SUM(AH8:AH56)</f>
        <v>0</v>
      </c>
      <c r="AI57" s="15">
        <f>SUM(AI8:AI56)</f>
        <v>0</v>
      </c>
      <c r="AJ57" s="15">
        <f>SUM(AJ8:AJ56)</f>
        <v>0</v>
      </c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4"/>
      <c r="Q58" s="4"/>
      <c r="R58" s="4"/>
      <c r="S58" s="4"/>
      <c r="T58" s="4"/>
      <c r="U58" s="4"/>
      <c r="V58" s="4"/>
      <c r="W58" s="4"/>
      <c r="X58" s="4"/>
      <c r="Y58" s="9"/>
      <c r="Z58" s="9"/>
      <c r="AA58" s="9"/>
      <c r="AB58" s="9"/>
      <c r="AC58" s="9"/>
      <c r="AD58" s="9"/>
      <c r="AE58" s="9"/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9"/>
      <c r="R59" s="9"/>
      <c r="S59" s="9"/>
      <c r="T59" s="9"/>
      <c r="U59" s="9"/>
      <c r="V59" s="9"/>
      <c r="W59" s="9"/>
      <c r="X59" s="23"/>
      <c r="Y59" s="34" t="s">
        <v>103</v>
      </c>
      <c r="Z59" s="34">
        <v>2020</v>
      </c>
      <c r="AA59" s="9"/>
      <c r="AB59" s="9"/>
      <c r="AC59" s="9"/>
      <c r="AD59" s="9"/>
      <c r="AE59" s="9"/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Q60" s="9"/>
      <c r="R60" s="9"/>
      <c r="S60" s="9"/>
      <c r="T60" s="9"/>
      <c r="U60" s="9"/>
      <c r="V60" s="9"/>
      <c r="W60" s="9"/>
      <c r="X60" s="9"/>
      <c r="Y60" s="35" t="s">
        <v>104</v>
      </c>
      <c r="Z60" s="34">
        <f>Y9+Y14+Y17+Y25</f>
        <v>1085</v>
      </c>
      <c r="AA60" s="9"/>
      <c r="AB60" s="9"/>
      <c r="AC60" s="9"/>
      <c r="AD60" s="9"/>
      <c r="AE60" s="9"/>
      <c r="AF60" s="18"/>
    </row>
    <row r="61" spans="2:36" x14ac:dyDescent="0.25">
      <c r="B61" s="4"/>
      <c r="E61" s="3"/>
      <c r="F61" s="3"/>
      <c r="G61" s="3"/>
      <c r="H61" s="3"/>
      <c r="I61" s="19"/>
      <c r="L61" s="4"/>
      <c r="M61" s="4"/>
      <c r="N61" s="4"/>
      <c r="O61" s="20"/>
      <c r="Q61" s="20"/>
      <c r="R61" s="20"/>
      <c r="S61" s="20"/>
      <c r="T61" s="20"/>
      <c r="U61" s="20"/>
      <c r="V61" s="20"/>
      <c r="W61" s="20"/>
      <c r="X61" s="20"/>
      <c r="Y61" s="34" t="s">
        <v>105</v>
      </c>
      <c r="Z61" s="34">
        <v>3580</v>
      </c>
      <c r="AA61" s="9"/>
      <c r="AB61" s="9"/>
      <c r="AC61" s="9"/>
      <c r="AD61" s="9"/>
      <c r="AE61" s="9"/>
      <c r="AF61" s="18"/>
    </row>
    <row r="62" spans="2:36" x14ac:dyDescent="0.25">
      <c r="B62" s="4"/>
      <c r="E62" s="3"/>
      <c r="F62" s="3"/>
      <c r="G62" s="3"/>
      <c r="H62" s="3"/>
      <c r="L62" s="4"/>
      <c r="M62" s="4"/>
      <c r="N62" s="4"/>
      <c r="O62" s="20"/>
      <c r="Q62" s="20"/>
      <c r="R62" s="20"/>
      <c r="S62" s="20"/>
      <c r="T62" s="20"/>
      <c r="U62" s="20"/>
      <c r="V62" s="20"/>
      <c r="W62" s="20"/>
      <c r="X62" s="20"/>
      <c r="Y62" s="34" t="s">
        <v>43</v>
      </c>
      <c r="Z62" s="34">
        <f>Z61/2</f>
        <v>1790</v>
      </c>
      <c r="AA62" s="9"/>
      <c r="AB62" s="9"/>
      <c r="AC62" s="9"/>
      <c r="AD62" s="9"/>
      <c r="AE62" s="9"/>
      <c r="AF62" s="18"/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4"/>
      <c r="Q63" s="9"/>
      <c r="R63" s="9"/>
      <c r="S63" s="9"/>
      <c r="T63" s="9"/>
      <c r="U63" s="9"/>
      <c r="V63" s="9"/>
      <c r="W63" s="9"/>
      <c r="X63" s="9"/>
      <c r="Y63" s="1"/>
      <c r="Z63" s="1"/>
      <c r="AA63" s="9"/>
      <c r="AB63" s="9"/>
      <c r="AC63" s="9"/>
      <c r="AD63" s="9"/>
      <c r="AE63" s="9"/>
      <c r="AF63" s="18"/>
    </row>
    <row r="64" spans="2:36" x14ac:dyDescent="0.25">
      <c r="F64" s="1"/>
      <c r="G64" s="1"/>
      <c r="H64" s="1"/>
      <c r="J64" s="1" t="s">
        <v>32</v>
      </c>
      <c r="Q64" s="9"/>
      <c r="R64" s="4"/>
      <c r="S64" s="9"/>
      <c r="T64" s="5"/>
      <c r="U64" s="9"/>
      <c r="V64" s="4"/>
      <c r="W64" s="4"/>
      <c r="X64" s="9"/>
      <c r="Y64" s="9" t="s">
        <v>44</v>
      </c>
      <c r="Z64" s="9">
        <f>Z61-Z65</f>
        <v>1820</v>
      </c>
      <c r="AA64" s="9"/>
      <c r="AB64" s="9"/>
      <c r="AC64" s="9"/>
      <c r="AD64" s="9"/>
      <c r="AE64" s="9"/>
    </row>
    <row r="65" spans="17:31" x14ac:dyDescent="0.25">
      <c r="R65" s="4"/>
      <c r="S65" s="17"/>
      <c r="T65" s="17"/>
      <c r="U65" s="9"/>
      <c r="V65" s="4"/>
      <c r="W65" s="4"/>
      <c r="X65" s="9"/>
      <c r="Y65" s="9" t="s">
        <v>45</v>
      </c>
      <c r="Z65" s="9">
        <v>1760</v>
      </c>
      <c r="AA65" s="9"/>
      <c r="AB65" s="9"/>
      <c r="AC65" s="9"/>
      <c r="AD65" s="9"/>
      <c r="AE65" s="9"/>
    </row>
    <row r="66" spans="17:31" x14ac:dyDescent="0.25">
      <c r="Q66" s="9"/>
      <c r="R66" s="4"/>
      <c r="S66" s="16"/>
      <c r="T66" s="16"/>
      <c r="U66" s="9"/>
      <c r="V66" s="4"/>
      <c r="W66" s="4"/>
      <c r="X66" s="9"/>
      <c r="Y66" s="9"/>
      <c r="Z66" s="9"/>
      <c r="AA66" s="9"/>
      <c r="AB66" s="9"/>
      <c r="AC66" s="9"/>
      <c r="AD66" s="9"/>
      <c r="AE66" s="9"/>
    </row>
    <row r="67" spans="17:31" x14ac:dyDescent="0.25">
      <c r="R67" s="4"/>
      <c r="S67" s="16"/>
      <c r="T67" s="16"/>
      <c r="Y67" s="9" t="s">
        <v>46</v>
      </c>
      <c r="Z67" s="9">
        <v>1760</v>
      </c>
      <c r="AA67" s="9"/>
      <c r="AB67" s="9"/>
      <c r="AC67" s="9"/>
      <c r="AD67" s="9"/>
      <c r="AE67" s="9"/>
    </row>
    <row r="68" spans="17:31" x14ac:dyDescent="0.25">
      <c r="T68" s="5"/>
      <c r="Y68" s="9" t="s">
        <v>47</v>
      </c>
      <c r="Z68" s="9">
        <f>Z61-Z67</f>
        <v>1820</v>
      </c>
      <c r="AA68" s="9"/>
      <c r="AB68" s="9"/>
      <c r="AC68" s="9"/>
      <c r="AD68" s="9"/>
      <c r="AE68" s="9"/>
    </row>
    <row r="69" spans="17:31" x14ac:dyDescent="0.25">
      <c r="T69" s="5"/>
      <c r="Y69" s="9"/>
      <c r="Z69" s="9"/>
      <c r="AA69" s="9"/>
      <c r="AB69" s="9"/>
      <c r="AC69" s="9"/>
      <c r="AD69" s="9"/>
      <c r="AE69" s="9"/>
    </row>
    <row r="70" spans="17:31" x14ac:dyDescent="0.25">
      <c r="T70" s="5"/>
      <c r="Y70" s="9"/>
      <c r="Z70" s="9"/>
      <c r="AA70" s="9"/>
      <c r="AB70" s="9"/>
      <c r="AC70" s="9"/>
      <c r="AD70" s="9"/>
      <c r="AE70" s="9"/>
    </row>
    <row r="71" spans="17:31" x14ac:dyDescent="0.25">
      <c r="T71" s="5"/>
      <c r="Y71" s="43" t="s">
        <v>236</v>
      </c>
      <c r="Z71" s="9">
        <v>3140</v>
      </c>
      <c r="AA71" s="9"/>
      <c r="AB71" s="9"/>
      <c r="AC71" s="9"/>
      <c r="AD71" s="9"/>
      <c r="AE71" s="9"/>
    </row>
    <row r="72" spans="17:31" x14ac:dyDescent="0.25">
      <c r="T72" s="5"/>
      <c r="Y72" s="44" t="s">
        <v>237</v>
      </c>
      <c r="Z72" s="9">
        <f>Z71*1.15</f>
        <v>3610.9999999999995</v>
      </c>
      <c r="AA72" s="9"/>
      <c r="AB72" s="9"/>
      <c r="AC72" s="9"/>
      <c r="AD72" s="9"/>
      <c r="AE72" s="9"/>
    </row>
    <row r="73" spans="17:31" x14ac:dyDescent="0.25">
      <c r="T73" s="5"/>
      <c r="Y73" s="44" t="s">
        <v>238</v>
      </c>
      <c r="Z73" s="9">
        <f>Z71*1.2</f>
        <v>3768</v>
      </c>
      <c r="AA73" s="9"/>
      <c r="AB73" s="9"/>
      <c r="AC73" s="9"/>
      <c r="AD73" s="9"/>
      <c r="AE73" s="9"/>
    </row>
    <row r="74" spans="17:31" x14ac:dyDescent="0.25">
      <c r="T74" s="5"/>
      <c r="Y74" s="44" t="s">
        <v>239</v>
      </c>
      <c r="Z74" s="9">
        <f>Z71*0.84</f>
        <v>2637.6</v>
      </c>
      <c r="AA74" s="9"/>
      <c r="AB74" s="9"/>
      <c r="AC74" s="9"/>
      <c r="AD74" s="9"/>
      <c r="AE74" s="9"/>
    </row>
    <row r="75" spans="17:31" x14ac:dyDescent="0.25">
      <c r="T75" s="5"/>
      <c r="Y75" s="9"/>
      <c r="Z75" s="9"/>
      <c r="AA75" s="9"/>
      <c r="AB75" s="9"/>
      <c r="AC75" s="9"/>
      <c r="AD75" s="9"/>
      <c r="AE75" s="9"/>
    </row>
    <row r="76" spans="17:31" x14ac:dyDescent="0.25">
      <c r="T76" s="5"/>
    </row>
    <row r="77" spans="17:31" x14ac:dyDescent="0.25">
      <c r="T77" s="5"/>
    </row>
    <row r="78" spans="17:31" x14ac:dyDescent="0.25">
      <c r="T78" s="5"/>
    </row>
    <row r="79" spans="17:31" x14ac:dyDescent="0.25">
      <c r="T79" s="5"/>
    </row>
    <row r="80" spans="17:31" x14ac:dyDescent="0.25">
      <c r="T80" s="5"/>
    </row>
  </sheetData>
  <autoFilter ref="B6:AE57" xr:uid="{65FA6D9B-E0AF-46CD-BA0D-86BB75FE6AB0}"/>
  <hyperlinks>
    <hyperlink ref="P12" r:id="rId1" xr:uid="{13D5B315-08EA-474C-831C-8E41EB60D8A6}"/>
    <hyperlink ref="P14" r:id="rId2" xr:uid="{1CDF8963-D6D6-4EFB-BB9D-8812AE7A1AF8}"/>
    <hyperlink ref="P21" r:id="rId3" xr:uid="{72BC22E5-A58B-41D3-AC44-4222EF8CEE43}"/>
    <hyperlink ref="P23" r:id="rId4" xr:uid="{0417476F-96BC-4E06-907E-AC1960E387B6}"/>
    <hyperlink ref="P29" r:id="rId5" xr:uid="{4DF634BF-098A-41F4-AC16-44CB0ECF2E2D}"/>
    <hyperlink ref="P47" r:id="rId6" xr:uid="{29AAC099-BBFB-4EB6-96AB-0C892B45B911}"/>
    <hyperlink ref="P19" r:id="rId7" xr:uid="{83CA515E-608C-4F51-8F1A-E7797299AE99}"/>
  </hyperlinks>
  <pageMargins left="0.7" right="0.7" top="0.75" bottom="0.75" header="0.3" footer="0.3"/>
  <pageSetup paperSize="9" orientation="portrait" r:id="rId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C7CA-BF6C-477C-BFA9-6D0748B72506}">
  <sheetPr>
    <tabColor rgb="FFFFFF00"/>
  </sheetPr>
  <dimension ref="B2:AK81"/>
  <sheetViews>
    <sheetView topLeftCell="A3" zoomScale="80" zoomScaleNormal="80" workbookViewId="0">
      <selection activeCell="Z73" sqref="Z73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134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9" si="1">U7*W7</f>
        <v>0</v>
      </c>
      <c r="Y7" s="26">
        <f>Q7</f>
        <v>0</v>
      </c>
      <c r="Z7" s="12">
        <f t="shared" ref="Z7:Z56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56" si="3">+Y7*AB7*R7</f>
        <v>0</v>
      </c>
      <c r="AD7" s="12">
        <f t="shared" ref="AD7:AD56" si="4">+AC7-X7</f>
        <v>0</v>
      </c>
      <c r="AE7" s="13">
        <f t="shared" ref="AE7:AE56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9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6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Q12/0.57</f>
        <v>35.087719298245617</v>
      </c>
      <c r="Z12" s="12">
        <f t="shared" si="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3"/>
        <v>785.96491228070181</v>
      </c>
      <c r="AD12" s="12">
        <f t="shared" si="4"/>
        <v>337.96491228070181</v>
      </c>
      <c r="AE12" s="13">
        <f t="shared" si="5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6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ref="Y13" si="8">Q13</f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66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0"/>
        <v>200</v>
      </c>
      <c r="T14" s="5">
        <v>0</v>
      </c>
      <c r="U14" s="12">
        <f t="shared" si="6"/>
        <v>200</v>
      </c>
      <c r="V14" s="25" t="s">
        <v>10</v>
      </c>
      <c r="W14" s="11">
        <f>IFERROR(VLOOKUP(V14,Curr!$B$2:$C$13,2,FALSE),0)</f>
        <v>11.2</v>
      </c>
      <c r="X14" s="12">
        <f t="shared" si="1"/>
        <v>2240</v>
      </c>
      <c r="Y14" s="26">
        <f>Q14/0.8</f>
        <v>250</v>
      </c>
      <c r="Z14" s="12">
        <f t="shared" si="2"/>
        <v>250</v>
      </c>
      <c r="AA14" s="4" t="s">
        <v>10</v>
      </c>
      <c r="AB14" s="11">
        <f>IFERROR(VLOOKUP(AA14,Curr!$B$2:$C$13,2,FALSE),0)</f>
        <v>11.2</v>
      </c>
      <c r="AC14" s="12">
        <f t="shared" si="3"/>
        <v>2800</v>
      </c>
      <c r="AD14" s="12">
        <f t="shared" si="4"/>
        <v>560</v>
      </c>
      <c r="AE14" s="13">
        <f t="shared" si="5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0"/>
        <v>0</v>
      </c>
      <c r="T15" s="5">
        <v>0</v>
      </c>
      <c r="U15" s="12">
        <f t="shared" si="6"/>
        <v>0</v>
      </c>
      <c r="V15" s="25" t="s">
        <v>10</v>
      </c>
      <c r="W15" s="11">
        <f>IFERROR(VLOOKUP(V15,Curr!$B$2:$C$13,2,FALSE),0)</f>
        <v>11.2</v>
      </c>
      <c r="X15" s="12">
        <f t="shared" si="1"/>
        <v>0</v>
      </c>
      <c r="Y15" s="26">
        <f t="shared" ref="Y15" si="9">Q15</f>
        <v>0</v>
      </c>
      <c r="Z15" s="12">
        <f t="shared" si="2"/>
        <v>0</v>
      </c>
      <c r="AA15" s="4" t="s">
        <v>10</v>
      </c>
      <c r="AB15" s="11">
        <f>IFERROR(VLOOKUP(AA15,Curr!$B$2:$C$13,2,FALSE),0)</f>
        <v>11.2</v>
      </c>
      <c r="AC15" s="12">
        <f t="shared" si="3"/>
        <v>0</v>
      </c>
      <c r="AD15" s="12">
        <f t="shared" si="4"/>
        <v>0</v>
      </c>
      <c r="AE15" s="13">
        <f t="shared" si="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6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>Q16/0.8</f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136</v>
      </c>
      <c r="K17" s="4"/>
      <c r="L17" s="4"/>
      <c r="M17" s="4"/>
      <c r="N17" s="4" t="s">
        <v>42</v>
      </c>
      <c r="O17" s="4"/>
      <c r="P17" s="33"/>
      <c r="Q17" s="25">
        <f>109*2</f>
        <v>218</v>
      </c>
      <c r="R17" s="25">
        <v>1</v>
      </c>
      <c r="S17" s="12">
        <f t="shared" si="0"/>
        <v>218</v>
      </c>
      <c r="T17" s="5">
        <v>0</v>
      </c>
      <c r="U17" s="12">
        <f t="shared" si="6"/>
        <v>218</v>
      </c>
      <c r="V17" s="25" t="s">
        <v>10</v>
      </c>
      <c r="W17" s="11">
        <f>IFERROR(VLOOKUP(V17,Curr!$B$2:$C$13,2,FALSE),0)</f>
        <v>11.2</v>
      </c>
      <c r="X17" s="12">
        <f t="shared" si="1"/>
        <v>2441.6</v>
      </c>
      <c r="Y17" s="26">
        <f>Q17/0.8</f>
        <v>272.5</v>
      </c>
      <c r="Z17" s="12">
        <f t="shared" si="2"/>
        <v>272.5</v>
      </c>
      <c r="AA17" s="4" t="s">
        <v>10</v>
      </c>
      <c r="AB17" s="11">
        <f>IFERROR(VLOOKUP(AA17,Curr!$B$2:$C$13,2,FALSE),0)</f>
        <v>11.2</v>
      </c>
      <c r="AC17" s="12">
        <f t="shared" si="3"/>
        <v>3052</v>
      </c>
      <c r="AD17" s="12">
        <f t="shared" si="4"/>
        <v>610.40000000000009</v>
      </c>
      <c r="AE17" s="13">
        <f t="shared" si="5"/>
        <v>0.20000000000000004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0"/>
        <v>0</v>
      </c>
      <c r="T18" s="5">
        <v>0</v>
      </c>
      <c r="U18" s="12">
        <f t="shared" si="6"/>
        <v>0</v>
      </c>
      <c r="V18" s="25" t="s">
        <v>10</v>
      </c>
      <c r="W18" s="11">
        <f>IFERROR(VLOOKUP(V18,Curr!$B$2:$C$13,2,FALSE),0)</f>
        <v>11.2</v>
      </c>
      <c r="X18" s="12">
        <f t="shared" si="1"/>
        <v>0</v>
      </c>
      <c r="Y18" s="26">
        <f t="shared" ref="Y18:Y19" si="10">Q18</f>
        <v>0</v>
      </c>
      <c r="Z18" s="12">
        <f t="shared" si="2"/>
        <v>0</v>
      </c>
      <c r="AA18" s="4" t="s">
        <v>10</v>
      </c>
      <c r="AB18" s="11">
        <f>IFERROR(VLOOKUP(AA18,Curr!$B$2:$C$13,2,FALSE),0)</f>
        <v>11.2</v>
      </c>
      <c r="AC18" s="12">
        <f t="shared" si="3"/>
        <v>0</v>
      </c>
      <c r="AD18" s="12">
        <f t="shared" si="4"/>
        <v>0</v>
      </c>
      <c r="AE18" s="13">
        <f t="shared" si="5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222</v>
      </c>
      <c r="K19" s="4"/>
      <c r="L19" s="4"/>
      <c r="M19" s="4"/>
      <c r="N19" s="4"/>
      <c r="O19" s="4" t="s">
        <v>42</v>
      </c>
      <c r="P19" s="33" t="s">
        <v>223</v>
      </c>
      <c r="Q19" s="25">
        <v>109</v>
      </c>
      <c r="R19" s="25">
        <v>2</v>
      </c>
      <c r="S19" s="12">
        <f t="shared" si="0"/>
        <v>218</v>
      </c>
      <c r="T19" s="5">
        <v>0.2</v>
      </c>
      <c r="U19" s="12">
        <f t="shared" si="6"/>
        <v>174.4</v>
      </c>
      <c r="V19" s="25" t="s">
        <v>10</v>
      </c>
      <c r="W19" s="11">
        <f>IFERROR(VLOOKUP(V19,Curr!$B$2:$C$13,2,FALSE),0)</f>
        <v>11.2</v>
      </c>
      <c r="X19" s="12">
        <f t="shared" si="1"/>
        <v>1953.28</v>
      </c>
      <c r="Y19" s="26">
        <f t="shared" si="10"/>
        <v>109</v>
      </c>
      <c r="Z19" s="12">
        <f t="shared" si="2"/>
        <v>218</v>
      </c>
      <c r="AA19" s="4" t="s">
        <v>10</v>
      </c>
      <c r="AB19" s="11">
        <f>IFERROR(VLOOKUP(AA19,Curr!$B$2:$C$13,2,FALSE),0)</f>
        <v>11.2</v>
      </c>
      <c r="AC19" s="12">
        <f t="shared" si="3"/>
        <v>2441.6</v>
      </c>
      <c r="AD19" s="12">
        <f t="shared" si="4"/>
        <v>488.31999999999994</v>
      </c>
      <c r="AE19" s="13">
        <f t="shared" si="5"/>
        <v>0.19999999999999998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ref="S20:S56" si="11">+Q20*R20</f>
        <v>0</v>
      </c>
      <c r="T20" s="5">
        <v>0</v>
      </c>
      <c r="U20" s="12">
        <f t="shared" ref="U20:U56" si="12">S20*(1-T20)</f>
        <v>0</v>
      </c>
      <c r="V20" s="25" t="s">
        <v>10</v>
      </c>
      <c r="W20" s="11">
        <f>IFERROR(VLOOKUP(V20,Curr!$B$2:$C$13,2,FALSE),0)</f>
        <v>11.2</v>
      </c>
      <c r="X20" s="12">
        <f t="shared" ref="X20:X56" si="13">U20*W20</f>
        <v>0</v>
      </c>
      <c r="Y20" s="26">
        <f t="shared" ref="Y20:Y56" si="14">Q20</f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137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11"/>
        <v>376</v>
      </c>
      <c r="T21" s="5">
        <v>0.2</v>
      </c>
      <c r="U21" s="12">
        <f t="shared" si="12"/>
        <v>300.8</v>
      </c>
      <c r="V21" s="25" t="s">
        <v>10</v>
      </c>
      <c r="W21" s="11">
        <f>IFERROR(VLOOKUP(V21,Curr!$B$2:$C$13,2,FALSE),0)</f>
        <v>11.2</v>
      </c>
      <c r="X21" s="12">
        <f t="shared" si="13"/>
        <v>3368.96</v>
      </c>
      <c r="Y21" s="26">
        <f t="shared" si="14"/>
        <v>188</v>
      </c>
      <c r="Z21" s="12">
        <f t="shared" si="2"/>
        <v>376</v>
      </c>
      <c r="AA21" s="4" t="s">
        <v>10</v>
      </c>
      <c r="AB21" s="11">
        <f>IFERROR(VLOOKUP(AA21,Curr!$B$2:$C$13,2,FALSE),0)</f>
        <v>11.2</v>
      </c>
      <c r="AC21" s="12">
        <f t="shared" si="3"/>
        <v>4211.2</v>
      </c>
      <c r="AD21" s="12">
        <f t="shared" si="4"/>
        <v>842.23999999999978</v>
      </c>
      <c r="AE21" s="13">
        <f t="shared" si="5"/>
        <v>0.19999999999999996</v>
      </c>
    </row>
    <row r="22" spans="2:31" x14ac:dyDescent="0.25">
      <c r="B22" s="4"/>
      <c r="C22" s="1" t="s">
        <v>72</v>
      </c>
      <c r="D22" s="1" t="s">
        <v>56</v>
      </c>
      <c r="E22" s="3"/>
      <c r="F22" s="3"/>
      <c r="G22" s="24"/>
      <c r="H22" s="24"/>
      <c r="J22" s="1" t="s">
        <v>84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11"/>
        <v>0</v>
      </c>
      <c r="T22" s="5">
        <v>0</v>
      </c>
      <c r="U22" s="12">
        <f t="shared" si="12"/>
        <v>0</v>
      </c>
      <c r="V22" s="25" t="s">
        <v>10</v>
      </c>
      <c r="W22" s="11">
        <f>IFERROR(VLOOKUP(V22,Curr!$B$2:$C$13,2,FALSE),0)</f>
        <v>11.2</v>
      </c>
      <c r="X22" s="12">
        <f t="shared" si="13"/>
        <v>0</v>
      </c>
      <c r="Y22" s="26">
        <f t="shared" si="14"/>
        <v>0</v>
      </c>
      <c r="Z22" s="12">
        <f t="shared" si="2"/>
        <v>0</v>
      </c>
      <c r="AA22" s="4" t="s">
        <v>10</v>
      </c>
      <c r="AB22" s="11">
        <f>IFERROR(VLOOKUP(AA22,Curr!$B$2:$C$13,2,FALSE),0)</f>
        <v>11.2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1" x14ac:dyDescent="0.25">
      <c r="B23" s="4"/>
      <c r="C23" s="1" t="s">
        <v>72</v>
      </c>
      <c r="D23" s="1" t="s">
        <v>81</v>
      </c>
      <c r="E23" s="3"/>
      <c r="F23" s="3"/>
      <c r="G23" s="24"/>
      <c r="H23" s="24"/>
      <c r="J23" s="1" t="s">
        <v>151</v>
      </c>
      <c r="K23" s="4"/>
      <c r="L23" s="4"/>
      <c r="M23" s="4"/>
      <c r="N23" s="4" t="s">
        <v>42</v>
      </c>
      <c r="O23" s="4"/>
      <c r="P23" s="33" t="s">
        <v>86</v>
      </c>
      <c r="Q23" s="25">
        <v>28</v>
      </c>
      <c r="R23" s="25">
        <v>2</v>
      </c>
      <c r="S23" s="12">
        <f t="shared" si="11"/>
        <v>56</v>
      </c>
      <c r="T23" s="5">
        <v>0</v>
      </c>
      <c r="U23" s="12">
        <f t="shared" si="12"/>
        <v>56</v>
      </c>
      <c r="V23" s="25" t="s">
        <v>10</v>
      </c>
      <c r="W23" s="11">
        <f>IFERROR(VLOOKUP(V23,Curr!$B$2:$C$13,2,FALSE),0)</f>
        <v>11.2</v>
      </c>
      <c r="X23" s="12">
        <f t="shared" si="13"/>
        <v>627.19999999999993</v>
      </c>
      <c r="Y23" s="26">
        <f t="shared" ref="Y23" si="15">Q23/0.8</f>
        <v>35</v>
      </c>
      <c r="Z23" s="12">
        <f t="shared" si="2"/>
        <v>70</v>
      </c>
      <c r="AA23" s="4" t="s">
        <v>10</v>
      </c>
      <c r="AB23" s="11">
        <f>IFERROR(VLOOKUP(AA23,Curr!$B$2:$C$13,2,FALSE),0)</f>
        <v>11.2</v>
      </c>
      <c r="AC23" s="12">
        <f t="shared" si="3"/>
        <v>784</v>
      </c>
      <c r="AD23" s="12">
        <f t="shared" si="4"/>
        <v>156.80000000000007</v>
      </c>
      <c r="AE23" s="13">
        <f t="shared" si="5"/>
        <v>0.20000000000000009</v>
      </c>
    </row>
    <row r="24" spans="2:31" x14ac:dyDescent="0.25">
      <c r="B24" s="4"/>
      <c r="C24" s="1" t="s">
        <v>72</v>
      </c>
      <c r="D24" s="1" t="s">
        <v>56</v>
      </c>
      <c r="E24" s="3"/>
      <c r="F24" s="3"/>
      <c r="G24" s="24"/>
      <c r="H24" s="24"/>
      <c r="J24" s="1" t="s">
        <v>152</v>
      </c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 t="shared" si="11"/>
        <v>0</v>
      </c>
      <c r="T24" s="5">
        <v>0</v>
      </c>
      <c r="U24" s="12">
        <f t="shared" si="12"/>
        <v>0</v>
      </c>
      <c r="V24" s="25" t="s">
        <v>10</v>
      </c>
      <c r="W24" s="11">
        <f>IFERROR(VLOOKUP(V24,Curr!$B$2:$C$13,2,FALSE),0)</f>
        <v>11.2</v>
      </c>
      <c r="X24" s="12">
        <f t="shared" si="13"/>
        <v>0</v>
      </c>
      <c r="Y24" s="26">
        <f t="shared" si="14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11.2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1" x14ac:dyDescent="0.25">
      <c r="B25" s="4"/>
      <c r="C25" s="1" t="s">
        <v>72</v>
      </c>
      <c r="D25" s="1" t="s">
        <v>57</v>
      </c>
      <c r="E25" s="3"/>
      <c r="F25" s="3"/>
      <c r="G25" s="24"/>
      <c r="H25" s="24"/>
      <c r="J25" s="1" t="s">
        <v>154</v>
      </c>
      <c r="K25" s="4"/>
      <c r="L25" s="4"/>
      <c r="M25" s="4"/>
      <c r="N25" s="4" t="s">
        <v>42</v>
      </c>
      <c r="O25" s="4"/>
      <c r="P25" s="27"/>
      <c r="Q25" s="25">
        <v>400</v>
      </c>
      <c r="R25" s="25">
        <v>1</v>
      </c>
      <c r="S25" s="12">
        <f t="shared" si="11"/>
        <v>400</v>
      </c>
      <c r="T25" s="5">
        <v>0</v>
      </c>
      <c r="U25" s="12">
        <f t="shared" si="12"/>
        <v>400</v>
      </c>
      <c r="V25" s="25" t="s">
        <v>10</v>
      </c>
      <c r="W25" s="11">
        <f>IFERROR(VLOOKUP(V25,Curr!$B$2:$C$13,2,FALSE),0)</f>
        <v>11.2</v>
      </c>
      <c r="X25" s="12">
        <f t="shared" si="13"/>
        <v>4480</v>
      </c>
      <c r="Y25" s="26">
        <f>Q25/0.8</f>
        <v>500</v>
      </c>
      <c r="Z25" s="12">
        <f t="shared" si="2"/>
        <v>500</v>
      </c>
      <c r="AA25" s="4" t="s">
        <v>10</v>
      </c>
      <c r="AB25" s="11">
        <f>IFERROR(VLOOKUP(AA25,Curr!$B$2:$C$13,2,FALSE),0)</f>
        <v>11.2</v>
      </c>
      <c r="AC25" s="12">
        <f t="shared" si="3"/>
        <v>5600</v>
      </c>
      <c r="AD25" s="12">
        <f t="shared" si="4"/>
        <v>1120</v>
      </c>
      <c r="AE25" s="13">
        <f t="shared" si="5"/>
        <v>0.2</v>
      </c>
    </row>
    <row r="26" spans="2:31" x14ac:dyDescent="0.25">
      <c r="B26" s="4"/>
      <c r="C26" s="1" t="s">
        <v>72</v>
      </c>
      <c r="D26" s="1" t="s">
        <v>58</v>
      </c>
      <c r="E26" s="3"/>
      <c r="F26" s="3"/>
      <c r="G26" s="24"/>
      <c r="H26" s="24"/>
      <c r="J26" s="1" t="s">
        <v>153</v>
      </c>
      <c r="K26" s="4"/>
      <c r="L26" s="4"/>
      <c r="M26" s="4"/>
      <c r="N26" s="4"/>
      <c r="O26" s="4"/>
      <c r="P26" s="27"/>
      <c r="Q26" s="25">
        <v>0</v>
      </c>
      <c r="R26" s="25">
        <v>0</v>
      </c>
      <c r="S26" s="12">
        <f t="shared" si="11"/>
        <v>0</v>
      </c>
      <c r="T26" s="5">
        <v>0</v>
      </c>
      <c r="U26" s="12">
        <f t="shared" si="12"/>
        <v>0</v>
      </c>
      <c r="V26" s="25" t="s">
        <v>10</v>
      </c>
      <c r="W26" s="11">
        <f>IFERROR(VLOOKUP(V26,Curr!$B$2:$C$13,2,FALSE),0)</f>
        <v>11.2</v>
      </c>
      <c r="X26" s="12">
        <f t="shared" si="13"/>
        <v>0</v>
      </c>
      <c r="Y26" s="26">
        <f t="shared" si="14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11.2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11"/>
        <v>0</v>
      </c>
      <c r="T27" s="5">
        <v>0</v>
      </c>
      <c r="U27" s="12">
        <f t="shared" si="12"/>
        <v>0</v>
      </c>
      <c r="V27" s="25" t="s">
        <v>10</v>
      </c>
      <c r="W27" s="11">
        <f>IFERROR(VLOOKUP(V27,Curr!$B$2:$C$13,2,FALSE),0)</f>
        <v>11.2</v>
      </c>
      <c r="X27" s="12">
        <f t="shared" si="13"/>
        <v>0</v>
      </c>
      <c r="Y27" s="26">
        <f t="shared" si="14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1" x14ac:dyDescent="0.25">
      <c r="B28" s="4"/>
      <c r="C28" s="1" t="s">
        <v>77</v>
      </c>
      <c r="D28" s="1" t="s">
        <v>61</v>
      </c>
      <c r="E28" s="3"/>
      <c r="F28" s="3"/>
      <c r="G28" s="24"/>
      <c r="H28" s="24"/>
      <c r="J28" s="1" t="s">
        <v>157</v>
      </c>
      <c r="K28" s="4"/>
      <c r="L28" s="4"/>
      <c r="M28" s="4"/>
      <c r="N28" s="4"/>
      <c r="O28" s="4" t="s">
        <v>42</v>
      </c>
      <c r="P28" s="33" t="s">
        <v>158</v>
      </c>
      <c r="Q28" s="25">
        <v>109</v>
      </c>
      <c r="R28" s="25">
        <v>2</v>
      </c>
      <c r="S28" s="12">
        <f t="shared" si="11"/>
        <v>218</v>
      </c>
      <c r="T28" s="5">
        <v>0.2</v>
      </c>
      <c r="U28" s="12">
        <f t="shared" si="12"/>
        <v>174.4</v>
      </c>
      <c r="V28" s="25" t="s">
        <v>10</v>
      </c>
      <c r="W28" s="11">
        <f>IFERROR(VLOOKUP(V28,Curr!$B$2:$C$13,2,FALSE),0)</f>
        <v>11.2</v>
      </c>
      <c r="X28" s="12">
        <f t="shared" si="13"/>
        <v>1953.28</v>
      </c>
      <c r="Y28" s="26">
        <f t="shared" si="14"/>
        <v>109</v>
      </c>
      <c r="Z28" s="12">
        <f t="shared" si="2"/>
        <v>218</v>
      </c>
      <c r="AA28" s="4" t="s">
        <v>10</v>
      </c>
      <c r="AB28" s="11">
        <f>IFERROR(VLOOKUP(AA28,Curr!$B$2:$C$13,2,FALSE),0)</f>
        <v>11.2</v>
      </c>
      <c r="AC28" s="12">
        <f t="shared" si="3"/>
        <v>2441.6</v>
      </c>
      <c r="AD28" s="12">
        <f t="shared" si="4"/>
        <v>488.31999999999994</v>
      </c>
      <c r="AE28" s="13">
        <f t="shared" si="5"/>
        <v>0.19999999999999998</v>
      </c>
    </row>
    <row r="29" spans="2:31" x14ac:dyDescent="0.25">
      <c r="B29" s="4"/>
      <c r="C29" s="1" t="s">
        <v>77</v>
      </c>
      <c r="D29" s="1" t="s">
        <v>58</v>
      </c>
      <c r="E29" s="3"/>
      <c r="F29" s="3"/>
      <c r="G29" s="24"/>
      <c r="H29" s="24"/>
      <c r="J29" s="1" t="s">
        <v>153</v>
      </c>
      <c r="K29" s="4"/>
      <c r="L29" s="4"/>
      <c r="M29" s="4"/>
      <c r="N29" s="4"/>
      <c r="O29" s="4"/>
      <c r="P29" s="29"/>
      <c r="Q29" s="25">
        <v>0</v>
      </c>
      <c r="R29" s="25">
        <v>0</v>
      </c>
      <c r="S29" s="12">
        <f t="shared" si="11"/>
        <v>0</v>
      </c>
      <c r="T29" s="5">
        <v>0</v>
      </c>
      <c r="U29" s="12">
        <f t="shared" si="12"/>
        <v>0</v>
      </c>
      <c r="V29" s="25" t="s">
        <v>10</v>
      </c>
      <c r="W29" s="11">
        <f>IFERROR(VLOOKUP(V29,Curr!$B$2:$C$13,2,FALSE),0)</f>
        <v>11.2</v>
      </c>
      <c r="X29" s="12">
        <f t="shared" si="13"/>
        <v>0</v>
      </c>
      <c r="Y29" s="26">
        <f t="shared" si="14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11.2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1" x14ac:dyDescent="0.25">
      <c r="B30" s="4"/>
      <c r="C30" s="1" t="s">
        <v>77</v>
      </c>
      <c r="D30" s="1" t="s">
        <v>61</v>
      </c>
      <c r="E30" s="3"/>
      <c r="F30" s="3"/>
      <c r="G30" s="24"/>
      <c r="H30" s="24"/>
      <c r="J30" s="1" t="s">
        <v>155</v>
      </c>
      <c r="K30" s="4"/>
      <c r="L30" s="4"/>
      <c r="M30" s="4"/>
      <c r="N30" s="4"/>
      <c r="O30" s="4" t="s">
        <v>42</v>
      </c>
      <c r="P30" s="33" t="s">
        <v>156</v>
      </c>
      <c r="Q30" s="25">
        <v>99</v>
      </c>
      <c r="R30" s="25">
        <v>2</v>
      </c>
      <c r="S30" s="12">
        <f t="shared" si="11"/>
        <v>198</v>
      </c>
      <c r="T30" s="5">
        <v>0.2</v>
      </c>
      <c r="U30" s="12">
        <f t="shared" si="12"/>
        <v>158.4</v>
      </c>
      <c r="V30" s="25" t="s">
        <v>10</v>
      </c>
      <c r="W30" s="11">
        <f>IFERROR(VLOOKUP(V30,Curr!$B$2:$C$13,2,FALSE),0)</f>
        <v>11.2</v>
      </c>
      <c r="X30" s="12">
        <f t="shared" si="13"/>
        <v>1774.08</v>
      </c>
      <c r="Y30" s="26">
        <f t="shared" si="14"/>
        <v>99</v>
      </c>
      <c r="Z30" s="12">
        <f t="shared" si="2"/>
        <v>198</v>
      </c>
      <c r="AA30" s="4" t="s">
        <v>10</v>
      </c>
      <c r="AB30" s="11">
        <f>IFERROR(VLOOKUP(AA30,Curr!$B$2:$C$13,2,FALSE),0)</f>
        <v>11.2</v>
      </c>
      <c r="AC30" s="12">
        <f t="shared" si="3"/>
        <v>2217.6</v>
      </c>
      <c r="AD30" s="12">
        <f t="shared" si="4"/>
        <v>443.52</v>
      </c>
      <c r="AE30" s="13">
        <f t="shared" si="5"/>
        <v>0.2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/>
      <c r="R31" s="25"/>
      <c r="S31" s="12">
        <f t="shared" si="11"/>
        <v>0</v>
      </c>
      <c r="T31" s="5">
        <v>0</v>
      </c>
      <c r="U31" s="12">
        <f t="shared" si="12"/>
        <v>0</v>
      </c>
      <c r="V31" s="25" t="s">
        <v>10</v>
      </c>
      <c r="W31" s="11">
        <f>IFERROR(VLOOKUP(V31,Curr!$B$2:$C$13,2,FALSE),0)</f>
        <v>11.2</v>
      </c>
      <c r="X31" s="12">
        <f t="shared" si="13"/>
        <v>0</v>
      </c>
      <c r="Y31" s="26">
        <f t="shared" si="14"/>
        <v>0</v>
      </c>
      <c r="Z31" s="12">
        <f t="shared" si="2"/>
        <v>0</v>
      </c>
      <c r="AA31" s="4" t="s">
        <v>10</v>
      </c>
      <c r="AB31" s="11">
        <f>IFERROR(VLOOKUP(AA31,Curr!$B$2:$C$13,2,FALSE),0)</f>
        <v>11.2</v>
      </c>
      <c r="AC31" s="12">
        <f t="shared" si="3"/>
        <v>0</v>
      </c>
      <c r="AD31" s="12">
        <f t="shared" si="4"/>
        <v>0</v>
      </c>
      <c r="AE31" s="13">
        <f t="shared" si="5"/>
        <v>0</v>
      </c>
    </row>
    <row r="32" spans="2:31" x14ac:dyDescent="0.25">
      <c r="B32" s="4"/>
      <c r="C32" s="1" t="s">
        <v>80</v>
      </c>
      <c r="D32" s="1" t="s">
        <v>58</v>
      </c>
      <c r="E32" s="3"/>
      <c r="F32" s="3"/>
      <c r="G32" s="24"/>
      <c r="H32" s="24"/>
      <c r="J32" s="1" t="s">
        <v>153</v>
      </c>
      <c r="K32" s="4"/>
      <c r="L32" s="4"/>
      <c r="M32" s="4"/>
      <c r="N32" s="4"/>
      <c r="O32" s="4"/>
      <c r="P32" s="33"/>
      <c r="Q32" s="25">
        <v>0</v>
      </c>
      <c r="R32" s="25">
        <v>0</v>
      </c>
      <c r="S32" s="12">
        <f t="shared" si="11"/>
        <v>0</v>
      </c>
      <c r="T32" s="5">
        <v>0</v>
      </c>
      <c r="U32" s="12">
        <f t="shared" si="12"/>
        <v>0</v>
      </c>
      <c r="V32" s="25" t="s">
        <v>10</v>
      </c>
      <c r="W32" s="11">
        <f>IFERROR(VLOOKUP(V32,Curr!$B$2:$C$13,2,FALSE),0)</f>
        <v>11.2</v>
      </c>
      <c r="X32" s="12">
        <f t="shared" si="13"/>
        <v>0</v>
      </c>
      <c r="Y32" s="26">
        <f t="shared" si="14"/>
        <v>0</v>
      </c>
      <c r="Z32" s="12">
        <f t="shared" si="2"/>
        <v>0</v>
      </c>
      <c r="AA32" s="4" t="s">
        <v>10</v>
      </c>
      <c r="AB32" s="11">
        <f>IFERROR(VLOOKUP(AA32,Curr!$B$2:$C$13,2,FALSE),0)</f>
        <v>11.2</v>
      </c>
      <c r="AC32" s="12">
        <f t="shared" si="3"/>
        <v>0</v>
      </c>
      <c r="AD32" s="12">
        <f t="shared" si="4"/>
        <v>0</v>
      </c>
      <c r="AE32" s="13">
        <f t="shared" si="5"/>
        <v>0</v>
      </c>
    </row>
    <row r="33" spans="2:31" x14ac:dyDescent="0.25">
      <c r="B33" s="4"/>
      <c r="C33" s="1" t="s">
        <v>80</v>
      </c>
      <c r="D33" s="1" t="s">
        <v>56</v>
      </c>
      <c r="E33" s="3"/>
      <c r="F33" s="3"/>
      <c r="G33" s="24"/>
      <c r="H33" s="24"/>
      <c r="J33" s="1" t="s">
        <v>160</v>
      </c>
      <c r="K33" s="4"/>
      <c r="L33" s="4"/>
      <c r="M33" s="4"/>
      <c r="N33" s="4"/>
      <c r="O33" s="4" t="s">
        <v>42</v>
      </c>
      <c r="P33" s="33" t="s">
        <v>235</v>
      </c>
      <c r="Q33" s="25">
        <v>50</v>
      </c>
      <c r="R33" s="25">
        <v>1</v>
      </c>
      <c r="S33" s="12">
        <f t="shared" si="11"/>
        <v>50</v>
      </c>
      <c r="T33" s="5">
        <v>0</v>
      </c>
      <c r="U33" s="12">
        <f t="shared" si="12"/>
        <v>50</v>
      </c>
      <c r="V33" s="25" t="s">
        <v>10</v>
      </c>
      <c r="W33" s="11">
        <f>IFERROR(VLOOKUP(V33,Curr!$B$2:$C$13,2,FALSE),0)</f>
        <v>11.2</v>
      </c>
      <c r="X33" s="12">
        <f t="shared" si="13"/>
        <v>560</v>
      </c>
      <c r="Y33" s="26">
        <f>Q33/0.77</f>
        <v>64.935064935064929</v>
      </c>
      <c r="Z33" s="12">
        <f t="shared" si="2"/>
        <v>64.935064935064929</v>
      </c>
      <c r="AA33" s="4" t="s">
        <v>10</v>
      </c>
      <c r="AB33" s="11">
        <f>IFERROR(VLOOKUP(AA33,Curr!$B$2:$C$13,2,FALSE),0)</f>
        <v>11.2</v>
      </c>
      <c r="AC33" s="12">
        <f t="shared" si="3"/>
        <v>727.27272727272714</v>
      </c>
      <c r="AD33" s="12">
        <f t="shared" si="4"/>
        <v>167.27272727272714</v>
      </c>
      <c r="AE33" s="13">
        <f t="shared" si="5"/>
        <v>0.22999999999999987</v>
      </c>
    </row>
    <row r="34" spans="2:31" x14ac:dyDescent="0.25">
      <c r="B34" s="4"/>
      <c r="C34" s="1" t="s">
        <v>80</v>
      </c>
      <c r="D34" s="1" t="s">
        <v>57</v>
      </c>
      <c r="E34" s="3"/>
      <c r="F34" s="3"/>
      <c r="G34" s="24"/>
      <c r="H34" s="24"/>
      <c r="J34" s="1" t="s">
        <v>159</v>
      </c>
      <c r="K34" s="4"/>
      <c r="L34" s="4"/>
      <c r="M34" s="4"/>
      <c r="N34" s="4" t="s">
        <v>42</v>
      </c>
      <c r="O34" s="4"/>
      <c r="P34" s="27"/>
      <c r="Q34" s="25">
        <v>517</v>
      </c>
      <c r="R34" s="25">
        <v>1</v>
      </c>
      <c r="S34" s="12">
        <f t="shared" si="11"/>
        <v>517</v>
      </c>
      <c r="T34" s="5">
        <v>0</v>
      </c>
      <c r="U34" s="12">
        <f t="shared" si="12"/>
        <v>517</v>
      </c>
      <c r="V34" s="25" t="s">
        <v>10</v>
      </c>
      <c r="W34" s="11">
        <f>IFERROR(VLOOKUP(V34,Curr!$B$2:$C$13,2,FALSE),0)</f>
        <v>11.2</v>
      </c>
      <c r="X34" s="12">
        <f t="shared" si="13"/>
        <v>5790.4</v>
      </c>
      <c r="Y34" s="26">
        <f>Q34/0.8</f>
        <v>646.25</v>
      </c>
      <c r="Z34" s="12">
        <f t="shared" si="2"/>
        <v>646.25</v>
      </c>
      <c r="AA34" s="4" t="s">
        <v>10</v>
      </c>
      <c r="AB34" s="11">
        <f>IFERROR(VLOOKUP(AA34,Curr!$B$2:$C$13,2,FALSE),0)</f>
        <v>11.2</v>
      </c>
      <c r="AC34" s="12">
        <f t="shared" si="3"/>
        <v>7237.9999999999991</v>
      </c>
      <c r="AD34" s="12">
        <f t="shared" si="4"/>
        <v>1447.5999999999995</v>
      </c>
      <c r="AE34" s="13">
        <f t="shared" si="5"/>
        <v>0.19999999999999996</v>
      </c>
    </row>
    <row r="35" spans="2:31" x14ac:dyDescent="0.25">
      <c r="B35" s="4"/>
      <c r="C35" s="1" t="s">
        <v>80</v>
      </c>
      <c r="D35" s="1" t="s">
        <v>58</v>
      </c>
      <c r="E35" s="3"/>
      <c r="F35" s="3"/>
      <c r="G35" s="24"/>
      <c r="H35" s="24"/>
      <c r="J35" s="1" t="s">
        <v>153</v>
      </c>
      <c r="K35" s="4"/>
      <c r="L35" s="4"/>
      <c r="M35" s="4"/>
      <c r="N35" s="4"/>
      <c r="O35" s="4"/>
      <c r="P35" s="33"/>
      <c r="Q35" s="25">
        <v>0</v>
      </c>
      <c r="R35" s="25">
        <v>0</v>
      </c>
      <c r="S35" s="12">
        <f t="shared" si="11"/>
        <v>0</v>
      </c>
      <c r="T35" s="5">
        <v>0</v>
      </c>
      <c r="U35" s="12">
        <f t="shared" si="12"/>
        <v>0</v>
      </c>
      <c r="V35" s="25" t="s">
        <v>10</v>
      </c>
      <c r="W35" s="11">
        <f>IFERROR(VLOOKUP(V35,Curr!$B$2:$C$13,2,FALSE),0)</f>
        <v>11.2</v>
      </c>
      <c r="X35" s="12">
        <f t="shared" si="13"/>
        <v>0</v>
      </c>
      <c r="Y35" s="26">
        <f t="shared" si="14"/>
        <v>0</v>
      </c>
      <c r="Z35" s="12">
        <f t="shared" si="2"/>
        <v>0</v>
      </c>
      <c r="AA35" s="4" t="s">
        <v>10</v>
      </c>
      <c r="AB35" s="11">
        <f>IFERROR(VLOOKUP(AA35,Curr!$B$2:$C$13,2,FALSE),0)</f>
        <v>11.2</v>
      </c>
      <c r="AC35" s="12">
        <f t="shared" si="3"/>
        <v>0</v>
      </c>
      <c r="AD35" s="12">
        <f t="shared" si="4"/>
        <v>0</v>
      </c>
      <c r="AE35" s="13">
        <f t="shared" si="5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1"/>
        <v>0</v>
      </c>
      <c r="T36" s="5">
        <v>0</v>
      </c>
      <c r="U36" s="12">
        <f t="shared" si="12"/>
        <v>0</v>
      </c>
      <c r="V36" s="25" t="s">
        <v>10</v>
      </c>
      <c r="W36" s="11">
        <f>IFERROR(VLOOKUP(V36,Curr!$B$2:$C$13,2,FALSE),0)</f>
        <v>11.2</v>
      </c>
      <c r="X36" s="12">
        <f t="shared" si="13"/>
        <v>0</v>
      </c>
      <c r="Y36" s="26">
        <f t="shared" si="14"/>
        <v>0</v>
      </c>
      <c r="Z36" s="12">
        <f t="shared" si="2"/>
        <v>0</v>
      </c>
      <c r="AA36" s="4" t="s">
        <v>10</v>
      </c>
      <c r="AB36" s="11">
        <f>IFERROR(VLOOKUP(AA36,Curr!$B$2:$C$13,2,FALSE),0)</f>
        <v>11.2</v>
      </c>
      <c r="AC36" s="12">
        <f t="shared" si="3"/>
        <v>0</v>
      </c>
      <c r="AD36" s="12">
        <f t="shared" si="4"/>
        <v>0</v>
      </c>
      <c r="AE36" s="13">
        <f t="shared" si="5"/>
        <v>0</v>
      </c>
    </row>
    <row r="37" spans="2:31" x14ac:dyDescent="0.25">
      <c r="B37" s="4"/>
      <c r="C37" s="1" t="s">
        <v>82</v>
      </c>
      <c r="D37" s="1" t="s">
        <v>56</v>
      </c>
      <c r="E37" s="3"/>
      <c r="F37" s="3"/>
      <c r="G37" s="24"/>
      <c r="H37" s="24"/>
      <c r="J37" s="1" t="s">
        <v>164</v>
      </c>
      <c r="K37" s="4"/>
      <c r="L37" s="4"/>
      <c r="M37" s="4"/>
      <c r="N37" s="4"/>
      <c r="O37" s="4" t="s">
        <v>42</v>
      </c>
      <c r="P37" s="27"/>
      <c r="Q37" s="25">
        <v>50</v>
      </c>
      <c r="R37" s="25">
        <v>1</v>
      </c>
      <c r="S37" s="12">
        <f t="shared" ref="S37" si="16">+Q37*R37</f>
        <v>50</v>
      </c>
      <c r="T37" s="5">
        <v>0</v>
      </c>
      <c r="U37" s="12">
        <f t="shared" ref="U37" si="17">S37*(1-T37)</f>
        <v>50</v>
      </c>
      <c r="V37" s="25" t="s">
        <v>10</v>
      </c>
      <c r="W37" s="11">
        <f>IFERROR(VLOOKUP(V37,Curr!$B$2:$C$13,2,FALSE),0)</f>
        <v>11.2</v>
      </c>
      <c r="X37" s="12">
        <f t="shared" ref="X37" si="18">U37*W37</f>
        <v>560</v>
      </c>
      <c r="Y37" s="26">
        <f>Q37/0.77</f>
        <v>64.935064935064929</v>
      </c>
      <c r="Z37" s="12">
        <f t="shared" si="2"/>
        <v>64.935064935064929</v>
      </c>
      <c r="AA37" s="4" t="s">
        <v>10</v>
      </c>
      <c r="AB37" s="11">
        <f>IFERROR(VLOOKUP(AA37,Curr!$B$2:$C$13,2,FALSE),0)</f>
        <v>11.2</v>
      </c>
      <c r="AC37" s="12">
        <f t="shared" si="3"/>
        <v>727.27272727272714</v>
      </c>
      <c r="AD37" s="12">
        <f t="shared" si="4"/>
        <v>167.27272727272714</v>
      </c>
      <c r="AE37" s="13">
        <f t="shared" si="5"/>
        <v>0.22999999999999987</v>
      </c>
    </row>
    <row r="38" spans="2:31" x14ac:dyDescent="0.25">
      <c r="B38" s="4"/>
      <c r="C38" s="1" t="s">
        <v>82</v>
      </c>
      <c r="D38" s="1" t="s">
        <v>83</v>
      </c>
      <c r="E38" s="3"/>
      <c r="F38" s="3"/>
      <c r="G38" s="24"/>
      <c r="H38" s="24"/>
      <c r="J38" s="1" t="s">
        <v>163</v>
      </c>
      <c r="K38" s="4"/>
      <c r="L38" s="4"/>
      <c r="M38" s="4"/>
      <c r="N38" s="4"/>
      <c r="O38" s="4"/>
      <c r="P38" s="33"/>
      <c r="Q38" s="25">
        <v>0</v>
      </c>
      <c r="R38" s="25">
        <v>0</v>
      </c>
      <c r="S38" s="12">
        <f t="shared" si="11"/>
        <v>0</v>
      </c>
      <c r="T38" s="5">
        <v>0</v>
      </c>
      <c r="U38" s="12">
        <f t="shared" si="12"/>
        <v>0</v>
      </c>
      <c r="V38" s="25" t="s">
        <v>10</v>
      </c>
      <c r="W38" s="11">
        <f>IFERROR(VLOOKUP(V38,Curr!$B$2:$C$13,2,FALSE),0)</f>
        <v>11.2</v>
      </c>
      <c r="X38" s="12">
        <f t="shared" si="13"/>
        <v>0</v>
      </c>
      <c r="Y38" s="26">
        <f t="shared" si="14"/>
        <v>0</v>
      </c>
      <c r="Z38" s="12">
        <f t="shared" si="2"/>
        <v>0</v>
      </c>
      <c r="AA38" s="4" t="s">
        <v>10</v>
      </c>
      <c r="AB38" s="11">
        <f>IFERROR(VLOOKUP(AA38,Curr!$B$2:$C$13,2,FALSE),0)</f>
        <v>11.2</v>
      </c>
      <c r="AC38" s="12">
        <f t="shared" si="3"/>
        <v>0</v>
      </c>
      <c r="AD38" s="12">
        <f t="shared" si="4"/>
        <v>0</v>
      </c>
      <c r="AE38" s="13">
        <f t="shared" si="5"/>
        <v>0</v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11"/>
        <v>0</v>
      </c>
      <c r="T39" s="5">
        <v>0</v>
      </c>
      <c r="U39" s="12">
        <f t="shared" si="12"/>
        <v>0</v>
      </c>
      <c r="V39" s="25" t="s">
        <v>10</v>
      </c>
      <c r="W39" s="11">
        <f>IFERROR(VLOOKUP(V39,Curr!$B$2:$C$13,2,FALSE),0)</f>
        <v>11.2</v>
      </c>
      <c r="X39" s="12">
        <f t="shared" si="13"/>
        <v>0</v>
      </c>
      <c r="Y39" s="26">
        <f t="shared" si="14"/>
        <v>0</v>
      </c>
      <c r="Z39" s="12">
        <f t="shared" si="2"/>
        <v>0</v>
      </c>
      <c r="AA39" s="4" t="s">
        <v>10</v>
      </c>
      <c r="AB39" s="11">
        <f>IFERROR(VLOOKUP(AA39,Curr!$B$2:$C$13,2,FALSE),0)</f>
        <v>11.2</v>
      </c>
      <c r="AC39" s="12">
        <f t="shared" si="3"/>
        <v>0</v>
      </c>
      <c r="AD39" s="12">
        <f t="shared" si="4"/>
        <v>0</v>
      </c>
      <c r="AE39" s="13">
        <f t="shared" si="5"/>
        <v>0</v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33"/>
      <c r="Q40" s="25"/>
      <c r="R40" s="25"/>
      <c r="S40" s="12">
        <f t="shared" si="11"/>
        <v>0</v>
      </c>
      <c r="T40" s="5">
        <v>0</v>
      </c>
      <c r="U40" s="12">
        <f t="shared" si="12"/>
        <v>0</v>
      </c>
      <c r="V40" s="25" t="s">
        <v>10</v>
      </c>
      <c r="W40" s="11">
        <f>IFERROR(VLOOKUP(V40,Curr!$B$2:$C$13,2,FALSE),0)</f>
        <v>11.2</v>
      </c>
      <c r="X40" s="12">
        <f t="shared" si="13"/>
        <v>0</v>
      </c>
      <c r="Y40" s="26">
        <f t="shared" si="14"/>
        <v>0</v>
      </c>
      <c r="Z40" s="12">
        <f t="shared" si="2"/>
        <v>0</v>
      </c>
      <c r="AA40" s="4" t="s">
        <v>10</v>
      </c>
      <c r="AB40" s="11">
        <f>IFERROR(VLOOKUP(AA40,Curr!$B$2:$C$13,2,FALSE),0)</f>
        <v>11.2</v>
      </c>
      <c r="AC40" s="12">
        <f t="shared" si="3"/>
        <v>0</v>
      </c>
      <c r="AD40" s="12">
        <f t="shared" si="4"/>
        <v>0</v>
      </c>
      <c r="AE40" s="13">
        <f t="shared" si="5"/>
        <v>0</v>
      </c>
    </row>
    <row r="41" spans="2:31" x14ac:dyDescent="0.25">
      <c r="B41" s="4"/>
      <c r="C41" s="1" t="s">
        <v>54</v>
      </c>
      <c r="D41" s="1" t="s">
        <v>97</v>
      </c>
      <c r="E41" s="3"/>
      <c r="F41" s="3"/>
      <c r="G41" s="24"/>
      <c r="H41" s="24"/>
      <c r="J41" s="1" t="s">
        <v>90</v>
      </c>
      <c r="K41" s="4"/>
      <c r="L41" s="4"/>
      <c r="M41" s="4"/>
      <c r="N41" s="4"/>
      <c r="O41" s="4" t="s">
        <v>42</v>
      </c>
      <c r="P41" s="27"/>
      <c r="Q41" s="25">
        <v>80</v>
      </c>
      <c r="R41" s="25">
        <v>0</v>
      </c>
      <c r="S41" s="12">
        <f t="shared" si="11"/>
        <v>0</v>
      </c>
      <c r="T41" s="5">
        <v>0</v>
      </c>
      <c r="U41" s="12">
        <f t="shared" si="12"/>
        <v>0</v>
      </c>
      <c r="V41" s="25" t="s">
        <v>10</v>
      </c>
      <c r="W41" s="11">
        <f>IFERROR(VLOOKUP(V41,Curr!$B$2:$C$13,2,FALSE),0)</f>
        <v>11.2</v>
      </c>
      <c r="X41" s="12">
        <f t="shared" si="13"/>
        <v>0</v>
      </c>
      <c r="Y41" s="26">
        <f>Q41/0.8</f>
        <v>100</v>
      </c>
      <c r="Z41" s="12">
        <f t="shared" si="2"/>
        <v>0</v>
      </c>
      <c r="AA41" s="4" t="s">
        <v>10</v>
      </c>
      <c r="AB41" s="11">
        <f>IFERROR(VLOOKUP(AA41,Curr!$B$2:$C$13,2,FALSE),0)</f>
        <v>11.2</v>
      </c>
      <c r="AC41" s="12">
        <f t="shared" si="3"/>
        <v>0</v>
      </c>
      <c r="AD41" s="12">
        <f t="shared" si="4"/>
        <v>0</v>
      </c>
      <c r="AE41" s="13">
        <f t="shared" si="5"/>
        <v>0</v>
      </c>
    </row>
    <row r="42" spans="2:31" x14ac:dyDescent="0.25">
      <c r="B42" s="4"/>
      <c r="C42" s="1" t="s">
        <v>60</v>
      </c>
      <c r="D42" s="1" t="s">
        <v>97</v>
      </c>
      <c r="E42" s="3"/>
      <c r="F42" s="3"/>
      <c r="G42" s="24"/>
      <c r="H42" s="24"/>
      <c r="J42" s="1" t="s">
        <v>95</v>
      </c>
      <c r="K42" s="4"/>
      <c r="L42" s="4"/>
      <c r="M42" s="4"/>
      <c r="N42" s="4"/>
      <c r="O42" s="4" t="s">
        <v>42</v>
      </c>
      <c r="P42" s="33"/>
      <c r="Q42" s="25">
        <v>60</v>
      </c>
      <c r="R42" s="25">
        <v>0</v>
      </c>
      <c r="S42" s="12">
        <f t="shared" si="11"/>
        <v>0</v>
      </c>
      <c r="T42" s="5">
        <v>0</v>
      </c>
      <c r="U42" s="12">
        <f t="shared" si="12"/>
        <v>0</v>
      </c>
      <c r="V42" s="25" t="s">
        <v>10</v>
      </c>
      <c r="W42" s="11">
        <f>IFERROR(VLOOKUP(V42,Curr!$B$2:$C$13,2,FALSE),0)</f>
        <v>11.2</v>
      </c>
      <c r="X42" s="12">
        <f t="shared" si="13"/>
        <v>0</v>
      </c>
      <c r="Y42" s="26">
        <f>Q42/0.75</f>
        <v>80</v>
      </c>
      <c r="Z42" s="12">
        <f t="shared" si="2"/>
        <v>0</v>
      </c>
      <c r="AA42" s="4" t="s">
        <v>10</v>
      </c>
      <c r="AB42" s="11">
        <f>IFERROR(VLOOKUP(AA42,Curr!$B$2:$C$13,2,FALSE),0)</f>
        <v>11.2</v>
      </c>
      <c r="AC42" s="12">
        <f t="shared" si="3"/>
        <v>0</v>
      </c>
      <c r="AD42" s="12">
        <f t="shared" si="4"/>
        <v>0</v>
      </c>
      <c r="AE42" s="13">
        <f t="shared" si="5"/>
        <v>0</v>
      </c>
    </row>
    <row r="43" spans="2:31" x14ac:dyDescent="0.25">
      <c r="B43" s="4"/>
      <c r="C43" s="1" t="s">
        <v>68</v>
      </c>
      <c r="D43" s="1" t="s">
        <v>97</v>
      </c>
      <c r="E43" s="3"/>
      <c r="F43" s="3"/>
      <c r="G43" s="24"/>
      <c r="H43" s="24"/>
      <c r="J43" s="1" t="s">
        <v>96</v>
      </c>
      <c r="K43" s="4"/>
      <c r="L43" s="4"/>
      <c r="M43" s="4"/>
      <c r="N43" s="4"/>
      <c r="O43" s="4" t="s">
        <v>42</v>
      </c>
      <c r="P43" s="27"/>
      <c r="Q43" s="25">
        <v>40</v>
      </c>
      <c r="R43" s="25">
        <v>0</v>
      </c>
      <c r="S43" s="12">
        <f t="shared" si="11"/>
        <v>0</v>
      </c>
      <c r="T43" s="5">
        <v>0</v>
      </c>
      <c r="U43" s="12">
        <f t="shared" si="12"/>
        <v>0</v>
      </c>
      <c r="V43" s="25" t="s">
        <v>10</v>
      </c>
      <c r="W43" s="11">
        <f>IFERROR(VLOOKUP(V43,Curr!$B$2:$C$13,2,FALSE),0)</f>
        <v>11.2</v>
      </c>
      <c r="X43" s="12">
        <f t="shared" si="13"/>
        <v>0</v>
      </c>
      <c r="Y43" s="26">
        <f>Q43/0.665</f>
        <v>60.150375939849624</v>
      </c>
      <c r="Z43" s="12">
        <f t="shared" si="2"/>
        <v>0</v>
      </c>
      <c r="AA43" s="4" t="s">
        <v>10</v>
      </c>
      <c r="AB43" s="11">
        <f>IFERROR(VLOOKUP(AA43,Curr!$B$2:$C$13,2,FALSE),0)</f>
        <v>11.2</v>
      </c>
      <c r="AC43" s="12">
        <f t="shared" si="3"/>
        <v>0</v>
      </c>
      <c r="AD43" s="12">
        <f t="shared" si="4"/>
        <v>0</v>
      </c>
      <c r="AE43" s="13">
        <f t="shared" si="5"/>
        <v>0</v>
      </c>
    </row>
    <row r="44" spans="2:31" x14ac:dyDescent="0.25">
      <c r="B44" s="4"/>
      <c r="C44" s="1" t="s">
        <v>72</v>
      </c>
      <c r="D44" s="1" t="s">
        <v>97</v>
      </c>
      <c r="E44" s="3"/>
      <c r="F44" s="3"/>
      <c r="G44" s="24"/>
      <c r="H44" s="24"/>
      <c r="J44" s="1" t="s">
        <v>106</v>
      </c>
      <c r="K44" s="4"/>
      <c r="L44" s="4"/>
      <c r="M44" s="4"/>
      <c r="N44" s="4"/>
      <c r="O44" s="4" t="s">
        <v>42</v>
      </c>
      <c r="P44" s="27"/>
      <c r="Q44" s="25">
        <v>40</v>
      </c>
      <c r="R44" s="25">
        <v>0</v>
      </c>
      <c r="S44" s="12">
        <f t="shared" si="11"/>
        <v>0</v>
      </c>
      <c r="T44" s="5">
        <v>0</v>
      </c>
      <c r="U44" s="12">
        <f t="shared" si="12"/>
        <v>0</v>
      </c>
      <c r="V44" s="25" t="s">
        <v>10</v>
      </c>
      <c r="W44" s="11">
        <f>IFERROR(VLOOKUP(V44,Curr!$B$2:$C$13,2,FALSE),0)</f>
        <v>11.2</v>
      </c>
      <c r="X44" s="12">
        <f t="shared" si="13"/>
        <v>0</v>
      </c>
      <c r="Y44" s="26">
        <f>Q44/0.665</f>
        <v>60.150375939849624</v>
      </c>
      <c r="Z44" s="12">
        <f t="shared" si="2"/>
        <v>0</v>
      </c>
      <c r="AA44" s="4" t="s">
        <v>10</v>
      </c>
      <c r="AB44" s="11">
        <f>IFERROR(VLOOKUP(AA44,Curr!$B$2:$C$13,2,FALSE),0)</f>
        <v>11.2</v>
      </c>
      <c r="AC44" s="12">
        <f t="shared" si="3"/>
        <v>0</v>
      </c>
      <c r="AD44" s="12">
        <f t="shared" si="4"/>
        <v>0</v>
      </c>
      <c r="AE44" s="13">
        <f t="shared" si="5"/>
        <v>0</v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27"/>
      <c r="Q45" s="25"/>
      <c r="R45" s="25"/>
      <c r="S45" s="12">
        <f t="shared" si="11"/>
        <v>0</v>
      </c>
      <c r="T45" s="5">
        <v>0</v>
      </c>
      <c r="U45" s="12">
        <f t="shared" si="12"/>
        <v>0</v>
      </c>
      <c r="V45" s="25" t="s">
        <v>10</v>
      </c>
      <c r="W45" s="11">
        <f>IFERROR(VLOOKUP(V45,Curr!$B$2:$C$13,2,FALSE),0)</f>
        <v>11.2</v>
      </c>
      <c r="X45" s="12">
        <f t="shared" si="13"/>
        <v>0</v>
      </c>
      <c r="Y45" s="26">
        <f t="shared" si="14"/>
        <v>0</v>
      </c>
      <c r="Z45" s="12">
        <f t="shared" si="2"/>
        <v>0</v>
      </c>
      <c r="AA45" s="4" t="s">
        <v>10</v>
      </c>
      <c r="AB45" s="11">
        <f>IFERROR(VLOOKUP(AA45,Curr!$B$2:$C$13,2,FALSE),0)</f>
        <v>11.2</v>
      </c>
      <c r="AC45" s="12">
        <f t="shared" si="3"/>
        <v>0</v>
      </c>
      <c r="AD45" s="12">
        <f t="shared" si="4"/>
        <v>0</v>
      </c>
      <c r="AE45" s="13">
        <f t="shared" si="5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/>
      <c r="R46" s="25"/>
      <c r="S46" s="12">
        <f t="shared" si="11"/>
        <v>0</v>
      </c>
      <c r="T46" s="5">
        <v>0</v>
      </c>
      <c r="U46" s="12">
        <f t="shared" si="12"/>
        <v>0</v>
      </c>
      <c r="V46" s="25" t="s">
        <v>10</v>
      </c>
      <c r="W46" s="11">
        <f>IFERROR(VLOOKUP(V46,Curr!$B$2:$C$13,2,FALSE),0)</f>
        <v>11.2</v>
      </c>
      <c r="X46" s="12">
        <f t="shared" si="13"/>
        <v>0</v>
      </c>
      <c r="Y46" s="26">
        <f t="shared" si="14"/>
        <v>0</v>
      </c>
      <c r="Z46" s="12">
        <f t="shared" si="2"/>
        <v>0</v>
      </c>
      <c r="AA46" s="4" t="s">
        <v>10</v>
      </c>
      <c r="AB46" s="11">
        <f>IFERROR(VLOOKUP(AA46,Curr!$B$2:$C$13,2,FALSE),0)</f>
        <v>11.2</v>
      </c>
      <c r="AC46" s="12">
        <f t="shared" si="3"/>
        <v>0</v>
      </c>
      <c r="AD46" s="12">
        <f t="shared" si="4"/>
        <v>0</v>
      </c>
      <c r="AE46" s="13">
        <f t="shared" si="5"/>
        <v>0</v>
      </c>
    </row>
    <row r="47" spans="2:31" x14ac:dyDescent="0.25">
      <c r="B47" s="4"/>
      <c r="C47" s="1" t="s">
        <v>60</v>
      </c>
      <c r="D47" s="1" t="s">
        <v>98</v>
      </c>
      <c r="E47" s="3"/>
      <c r="F47" s="3"/>
      <c r="G47" s="24"/>
      <c r="H47" s="24"/>
      <c r="J47" s="1" t="s">
        <v>91</v>
      </c>
      <c r="K47" s="4"/>
      <c r="L47" s="4"/>
      <c r="M47" s="4"/>
      <c r="N47" s="4"/>
      <c r="O47" s="4" t="s">
        <v>42</v>
      </c>
      <c r="P47" s="29" t="s">
        <v>92</v>
      </c>
      <c r="Q47" s="25">
        <f>(40+40)+(50*2)</f>
        <v>180</v>
      </c>
      <c r="R47" s="25">
        <v>0</v>
      </c>
      <c r="S47" s="12">
        <f t="shared" si="11"/>
        <v>0</v>
      </c>
      <c r="T47" s="5">
        <v>0</v>
      </c>
      <c r="U47" s="12">
        <f t="shared" si="12"/>
        <v>0</v>
      </c>
      <c r="V47" s="25" t="s">
        <v>10</v>
      </c>
      <c r="W47" s="11">
        <f>IFERROR(VLOOKUP(V47,Curr!$B$2:$C$13,2,FALSE),0)</f>
        <v>11.2</v>
      </c>
      <c r="X47" s="12">
        <f t="shared" si="13"/>
        <v>0</v>
      </c>
      <c r="Y47" s="26">
        <f>Q47/0.8</f>
        <v>225</v>
      </c>
      <c r="Z47" s="12">
        <f t="shared" si="2"/>
        <v>0</v>
      </c>
      <c r="AA47" s="4" t="s">
        <v>10</v>
      </c>
      <c r="AB47" s="11">
        <f>IFERROR(VLOOKUP(AA47,Curr!$B$2:$C$13,2,FALSE),0)</f>
        <v>11.2</v>
      </c>
      <c r="AC47" s="12">
        <f t="shared" si="3"/>
        <v>0</v>
      </c>
      <c r="AD47" s="12">
        <f t="shared" si="4"/>
        <v>0</v>
      </c>
      <c r="AE47" s="13">
        <f t="shared" si="5"/>
        <v>0</v>
      </c>
    </row>
    <row r="48" spans="2:31" x14ac:dyDescent="0.25">
      <c r="B48" s="4"/>
      <c r="C48" s="1" t="s">
        <v>60</v>
      </c>
      <c r="D48" s="1" t="s">
        <v>98</v>
      </c>
      <c r="E48" s="3"/>
      <c r="F48" s="3"/>
      <c r="G48" s="24"/>
      <c r="H48" s="24"/>
      <c r="J48" s="1" t="s">
        <v>93</v>
      </c>
      <c r="K48" s="4"/>
      <c r="L48" s="4"/>
      <c r="M48" s="4"/>
      <c r="N48" s="4"/>
      <c r="O48" s="4" t="s">
        <v>42</v>
      </c>
      <c r="P48" s="33" t="s">
        <v>94</v>
      </c>
      <c r="Q48" s="25">
        <v>25</v>
      </c>
      <c r="R48" s="25">
        <v>0</v>
      </c>
      <c r="S48" s="12">
        <f t="shared" si="11"/>
        <v>0</v>
      </c>
      <c r="T48" s="5">
        <v>0</v>
      </c>
      <c r="U48" s="12">
        <f t="shared" si="12"/>
        <v>0</v>
      </c>
      <c r="V48" s="25" t="s">
        <v>10</v>
      </c>
      <c r="W48" s="11">
        <f>IFERROR(VLOOKUP(V48,Curr!$B$2:$C$13,2,FALSE),0)</f>
        <v>11.2</v>
      </c>
      <c r="X48" s="12">
        <f t="shared" si="13"/>
        <v>0</v>
      </c>
      <c r="Y48" s="26">
        <f>Q48/0.62</f>
        <v>40.322580645161288</v>
      </c>
      <c r="Z48" s="12">
        <f t="shared" si="2"/>
        <v>0</v>
      </c>
      <c r="AA48" s="4" t="s">
        <v>10</v>
      </c>
      <c r="AB48" s="11">
        <f>IFERROR(VLOOKUP(AA48,Curr!$B$2:$C$13,2,FALSE),0)</f>
        <v>11.2</v>
      </c>
      <c r="AC48" s="12">
        <f t="shared" si="3"/>
        <v>0</v>
      </c>
      <c r="AD48" s="12">
        <f t="shared" si="4"/>
        <v>0</v>
      </c>
      <c r="AE48" s="13">
        <f t="shared" si="5"/>
        <v>0</v>
      </c>
    </row>
    <row r="49" spans="2:36" x14ac:dyDescent="0.25">
      <c r="B49" s="4"/>
      <c r="C49" s="1" t="s">
        <v>80</v>
      </c>
      <c r="D49" s="1" t="s">
        <v>98</v>
      </c>
      <c r="E49" s="3"/>
      <c r="F49" s="3"/>
      <c r="G49" s="24"/>
      <c r="H49" s="24"/>
      <c r="J49" s="1" t="s">
        <v>161</v>
      </c>
      <c r="K49" s="4"/>
      <c r="L49" s="4"/>
      <c r="M49" s="4"/>
      <c r="N49" s="4"/>
      <c r="O49" s="4"/>
      <c r="P49" s="33" t="s">
        <v>162</v>
      </c>
      <c r="Q49" s="25">
        <v>99</v>
      </c>
      <c r="R49" s="25">
        <v>0</v>
      </c>
      <c r="S49" s="12">
        <f t="shared" si="11"/>
        <v>0</v>
      </c>
      <c r="T49" s="5">
        <v>0.2</v>
      </c>
      <c r="U49" s="12">
        <f t="shared" si="12"/>
        <v>0</v>
      </c>
      <c r="V49" s="25" t="s">
        <v>10</v>
      </c>
      <c r="W49" s="11">
        <f>IFERROR(VLOOKUP(V49,Curr!$B$2:$C$13,2,FALSE),0)</f>
        <v>11.2</v>
      </c>
      <c r="X49" s="12">
        <f t="shared" si="13"/>
        <v>0</v>
      </c>
      <c r="Y49" s="26">
        <f t="shared" ref="Y49" si="19">Q49</f>
        <v>99</v>
      </c>
      <c r="Z49" s="12">
        <f t="shared" si="2"/>
        <v>0</v>
      </c>
      <c r="AA49" s="4" t="s">
        <v>10</v>
      </c>
      <c r="AB49" s="11">
        <f>IFERROR(VLOOKUP(AA49,Curr!$B$2:$C$13,2,FALSE),0)</f>
        <v>11.2</v>
      </c>
      <c r="AC49" s="12">
        <f t="shared" si="3"/>
        <v>0</v>
      </c>
      <c r="AD49" s="12">
        <f t="shared" si="4"/>
        <v>0</v>
      </c>
      <c r="AE49" s="13">
        <f t="shared" si="5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11"/>
        <v>0</v>
      </c>
      <c r="T50" s="5">
        <v>0</v>
      </c>
      <c r="U50" s="12">
        <f t="shared" si="12"/>
        <v>0</v>
      </c>
      <c r="V50" s="25" t="s">
        <v>10</v>
      </c>
      <c r="W50" s="11">
        <f>IFERROR(VLOOKUP(V50,Curr!$B$2:$C$13,2,FALSE),0)</f>
        <v>11.2</v>
      </c>
      <c r="X50" s="12">
        <f t="shared" si="13"/>
        <v>0</v>
      </c>
      <c r="Y50" s="26">
        <f t="shared" si="14"/>
        <v>0</v>
      </c>
      <c r="Z50" s="12">
        <f t="shared" si="2"/>
        <v>0</v>
      </c>
      <c r="AA50" s="4" t="s">
        <v>10</v>
      </c>
      <c r="AB50" s="11">
        <f>IFERROR(VLOOKUP(AA50,Curr!$B$2:$C$13,2,FALSE),0)</f>
        <v>11.2</v>
      </c>
      <c r="AC50" s="12">
        <f t="shared" si="3"/>
        <v>0</v>
      </c>
      <c r="AD50" s="12">
        <f t="shared" si="4"/>
        <v>0</v>
      </c>
      <c r="AE50" s="13">
        <f t="shared" si="5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11"/>
        <v>0</v>
      </c>
      <c r="T51" s="5">
        <v>0</v>
      </c>
      <c r="U51" s="12">
        <f t="shared" si="12"/>
        <v>0</v>
      </c>
      <c r="V51" s="25" t="s">
        <v>10</v>
      </c>
      <c r="W51" s="11">
        <f>IFERROR(VLOOKUP(V51,Curr!$B$2:$C$13,2,FALSE),0)</f>
        <v>11.2</v>
      </c>
      <c r="X51" s="12">
        <f t="shared" si="13"/>
        <v>0</v>
      </c>
      <c r="Y51" s="26">
        <f t="shared" si="14"/>
        <v>0</v>
      </c>
      <c r="Z51" s="12">
        <f t="shared" si="2"/>
        <v>0</v>
      </c>
      <c r="AA51" s="4" t="s">
        <v>10</v>
      </c>
      <c r="AB51" s="11">
        <f>IFERROR(VLOOKUP(AA51,Curr!$B$2:$C$13,2,FALSE),0)</f>
        <v>11.2</v>
      </c>
      <c r="AC51" s="12">
        <f t="shared" si="3"/>
        <v>0</v>
      </c>
      <c r="AD51" s="12">
        <f t="shared" si="4"/>
        <v>0</v>
      </c>
      <c r="AE51" s="13">
        <f t="shared" si="5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11"/>
        <v>0</v>
      </c>
      <c r="T52" s="5">
        <v>0</v>
      </c>
      <c r="U52" s="12">
        <f t="shared" si="12"/>
        <v>0</v>
      </c>
      <c r="V52" s="25" t="s">
        <v>10</v>
      </c>
      <c r="W52" s="11">
        <f>IFERROR(VLOOKUP(V52,Curr!$B$2:$C$13,2,FALSE),0)</f>
        <v>11.2</v>
      </c>
      <c r="X52" s="12">
        <f t="shared" si="13"/>
        <v>0</v>
      </c>
      <c r="Y52" s="26">
        <f t="shared" si="14"/>
        <v>0</v>
      </c>
      <c r="Z52" s="12">
        <f t="shared" si="2"/>
        <v>0</v>
      </c>
      <c r="AA52" s="4" t="s">
        <v>10</v>
      </c>
      <c r="AB52" s="11">
        <f>IFERROR(VLOOKUP(AA52,Curr!$B$2:$C$13,2,FALSE),0)</f>
        <v>11.2</v>
      </c>
      <c r="AC52" s="12">
        <f t="shared" si="3"/>
        <v>0</v>
      </c>
      <c r="AD52" s="12">
        <f t="shared" si="4"/>
        <v>0</v>
      </c>
      <c r="AE52" s="13">
        <f t="shared" si="5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33"/>
      <c r="Q53" s="25"/>
      <c r="R53" s="25"/>
      <c r="S53" s="12">
        <f t="shared" ref="S53" si="20">+Q53*R53</f>
        <v>0</v>
      </c>
      <c r="T53" s="5">
        <v>0</v>
      </c>
      <c r="U53" s="12">
        <f t="shared" ref="U53" si="21">S53*(1-T53)</f>
        <v>0</v>
      </c>
      <c r="V53" s="25" t="s">
        <v>10</v>
      </c>
      <c r="W53" s="11">
        <f>IFERROR(VLOOKUP(V53,Curr!$B$2:$C$13,2,FALSE),0)</f>
        <v>11.2</v>
      </c>
      <c r="X53" s="12">
        <f t="shared" ref="X53" si="22">U53*W53</f>
        <v>0</v>
      </c>
      <c r="Y53" s="26">
        <f t="shared" ref="Y53" si="23">Q53</f>
        <v>0</v>
      </c>
      <c r="Z53" s="12">
        <f t="shared" si="2"/>
        <v>0</v>
      </c>
      <c r="AA53" s="4" t="s">
        <v>10</v>
      </c>
      <c r="AB53" s="11">
        <f>IFERROR(VLOOKUP(AA53,Curr!$B$2:$C$13,2,FALSE),0)</f>
        <v>11.2</v>
      </c>
      <c r="AC53" s="12">
        <f t="shared" si="3"/>
        <v>0</v>
      </c>
      <c r="AD53" s="12">
        <f t="shared" si="4"/>
        <v>0</v>
      </c>
      <c r="AE53" s="13">
        <f t="shared" si="5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11"/>
        <v>0</v>
      </c>
      <c r="T54" s="5">
        <v>0</v>
      </c>
      <c r="U54" s="12">
        <f t="shared" si="12"/>
        <v>0</v>
      </c>
      <c r="V54" s="25" t="s">
        <v>10</v>
      </c>
      <c r="W54" s="11">
        <f>IFERROR(VLOOKUP(V54,Curr!$B$2:$C$13,2,FALSE),0)</f>
        <v>11.2</v>
      </c>
      <c r="X54" s="12">
        <f t="shared" si="13"/>
        <v>0</v>
      </c>
      <c r="Y54" s="26">
        <f t="shared" si="14"/>
        <v>0</v>
      </c>
      <c r="Z54" s="12">
        <f t="shared" si="2"/>
        <v>0</v>
      </c>
      <c r="AA54" s="4" t="s">
        <v>10</v>
      </c>
      <c r="AB54" s="11">
        <f>IFERROR(VLOOKUP(AA54,Curr!$B$2:$C$13,2,FALSE),0)</f>
        <v>11.2</v>
      </c>
      <c r="AC54" s="12">
        <f t="shared" si="3"/>
        <v>0</v>
      </c>
      <c r="AD54" s="12">
        <f t="shared" si="4"/>
        <v>0</v>
      </c>
      <c r="AE54" s="13">
        <f t="shared" si="5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11"/>
        <v>0</v>
      </c>
      <c r="T55" s="5">
        <v>0</v>
      </c>
      <c r="U55" s="12">
        <f t="shared" si="12"/>
        <v>0</v>
      </c>
      <c r="V55" s="25" t="s">
        <v>10</v>
      </c>
      <c r="W55" s="11">
        <f>IFERROR(VLOOKUP(V55,Curr!$B$2:$C$13,2,FALSE),0)</f>
        <v>11.2</v>
      </c>
      <c r="X55" s="12">
        <f t="shared" si="13"/>
        <v>0</v>
      </c>
      <c r="Y55" s="26">
        <f t="shared" si="14"/>
        <v>0</v>
      </c>
      <c r="Z55" s="12">
        <f t="shared" si="2"/>
        <v>0</v>
      </c>
      <c r="AA55" s="4" t="s">
        <v>10</v>
      </c>
      <c r="AB55" s="11">
        <f>IFERROR(VLOOKUP(AA55,Curr!$B$2:$C$13,2,FALSE),0)</f>
        <v>11.2</v>
      </c>
      <c r="AC55" s="12">
        <f t="shared" si="3"/>
        <v>0</v>
      </c>
      <c r="AD55" s="12">
        <f t="shared" si="4"/>
        <v>0</v>
      </c>
      <c r="AE55" s="13">
        <f t="shared" si="5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11"/>
        <v>0</v>
      </c>
      <c r="T56" s="5">
        <v>0</v>
      </c>
      <c r="U56" s="12">
        <f t="shared" si="12"/>
        <v>0</v>
      </c>
      <c r="V56" s="25" t="s">
        <v>10</v>
      </c>
      <c r="W56" s="11">
        <f>IFERROR(VLOOKUP(V56,Curr!$B$2:$C$13,2,FALSE),0)</f>
        <v>11.2</v>
      </c>
      <c r="X56" s="12">
        <f t="shared" si="13"/>
        <v>0</v>
      </c>
      <c r="Y56" s="26">
        <f t="shared" si="14"/>
        <v>0</v>
      </c>
      <c r="Z56" s="12">
        <f t="shared" si="2"/>
        <v>0</v>
      </c>
      <c r="AA56" s="4" t="s">
        <v>10</v>
      </c>
      <c r="AB56" s="11">
        <f>IFERROR(VLOOKUP(AA56,Curr!$B$2:$C$13,2,FALSE),0)</f>
        <v>11.2</v>
      </c>
      <c r="AC56" s="12">
        <f t="shared" si="3"/>
        <v>0</v>
      </c>
      <c r="AD56" s="12">
        <f t="shared" si="4"/>
        <v>0</v>
      </c>
      <c r="AE56" s="13">
        <f t="shared" si="5"/>
        <v>0</v>
      </c>
    </row>
    <row r="57" spans="2:36" x14ac:dyDescent="0.25">
      <c r="B57" s="4"/>
      <c r="E57" s="3"/>
      <c r="F57" s="3"/>
      <c r="G57" s="3"/>
      <c r="H57" s="3"/>
      <c r="L57" s="4"/>
      <c r="M57" s="4"/>
      <c r="N57" s="4"/>
      <c r="O57" s="4"/>
      <c r="P57" s="22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6" x14ac:dyDescent="0.25">
      <c r="B58" s="14" t="s">
        <v>18</v>
      </c>
      <c r="C58" s="14"/>
      <c r="D58" s="28" t="s">
        <v>42</v>
      </c>
      <c r="E58" s="30" t="s">
        <v>42</v>
      </c>
      <c r="F58" s="30" t="s">
        <v>42</v>
      </c>
      <c r="G58" s="30" t="s">
        <v>42</v>
      </c>
      <c r="H58" s="30" t="s">
        <v>42</v>
      </c>
      <c r="I58" s="28" t="s">
        <v>42</v>
      </c>
      <c r="J58" s="28" t="s">
        <v>42</v>
      </c>
      <c r="K58" s="28" t="s">
        <v>42</v>
      </c>
      <c r="L58" s="28" t="s">
        <v>42</v>
      </c>
      <c r="M58" s="28" t="s">
        <v>42</v>
      </c>
      <c r="N58" s="28" t="s">
        <v>42</v>
      </c>
      <c r="O58" s="28" t="s">
        <v>42</v>
      </c>
      <c r="P58" s="28" t="s">
        <v>42</v>
      </c>
      <c r="Q58" s="31" t="s">
        <v>42</v>
      </c>
      <c r="R58" s="28" t="s">
        <v>42</v>
      </c>
      <c r="S58" s="32" t="s">
        <v>42</v>
      </c>
      <c r="T58" s="28" t="s">
        <v>42</v>
      </c>
      <c r="U58" s="32" t="s">
        <v>42</v>
      </c>
      <c r="V58" s="28" t="s">
        <v>42</v>
      </c>
      <c r="W58" s="28" t="s">
        <v>42</v>
      </c>
      <c r="X58" s="32" t="s">
        <v>42</v>
      </c>
      <c r="Y58" s="32" t="s">
        <v>42</v>
      </c>
      <c r="Z58" s="15">
        <f>SUM(Z7:Z56)</f>
        <v>3136.2955684666213</v>
      </c>
      <c r="AA58" s="14"/>
      <c r="AB58" s="14"/>
      <c r="AC58" s="15">
        <f>SUM(AC7:AC56)</f>
        <v>35126.510366826151</v>
      </c>
      <c r="AD58" s="15">
        <f>SUM(AD7:AD56)</f>
        <v>7249.7103668261543</v>
      </c>
      <c r="AE58" s="21">
        <f t="shared" ref="AE58" si="24">IFERROR(AD58/AC58,0)</f>
        <v>0.20638857350523659</v>
      </c>
      <c r="AF58" s="15">
        <f>SUM(AF8:AF57)</f>
        <v>0</v>
      </c>
      <c r="AG58" s="15">
        <f>SUM(AG8:AG57)</f>
        <v>0</v>
      </c>
      <c r="AH58" s="15">
        <f>SUM(AH8:AH57)</f>
        <v>0</v>
      </c>
      <c r="AI58" s="15">
        <f>SUM(AI8:AI57)</f>
        <v>0</v>
      </c>
      <c r="AJ58" s="15">
        <f>SUM(AJ8:AJ57)</f>
        <v>0</v>
      </c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4"/>
      <c r="R59" s="4"/>
      <c r="S59" s="4"/>
      <c r="T59" s="4"/>
      <c r="U59" s="4"/>
      <c r="V59" s="4"/>
      <c r="W59" s="4"/>
      <c r="X59" s="4"/>
      <c r="Y59" s="9"/>
      <c r="Z59" s="9"/>
      <c r="AA59" s="9"/>
      <c r="AB59" s="9"/>
      <c r="AC59" s="9"/>
      <c r="AD59" s="9"/>
      <c r="AE59" s="9"/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Q60" s="9"/>
      <c r="R60" s="9"/>
      <c r="S60" s="9"/>
      <c r="T60" s="9"/>
      <c r="U60" s="9"/>
      <c r="V60" s="9"/>
      <c r="W60" s="9"/>
      <c r="X60" s="23"/>
      <c r="Y60" s="34" t="s">
        <v>103</v>
      </c>
      <c r="Z60" s="34">
        <v>1890</v>
      </c>
      <c r="AA60" s="9"/>
      <c r="AB60" s="9"/>
      <c r="AC60" s="9"/>
      <c r="AD60" s="9"/>
      <c r="AE60" s="9"/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4"/>
      <c r="Q61" s="9"/>
      <c r="R61" s="9"/>
      <c r="S61" s="9"/>
      <c r="T61" s="9"/>
      <c r="U61" s="9"/>
      <c r="V61" s="9"/>
      <c r="W61" s="9"/>
      <c r="X61" s="9"/>
      <c r="Y61" s="35" t="s">
        <v>104</v>
      </c>
      <c r="Z61" s="34">
        <f>Y9+Y14+Y17+Y25</f>
        <v>1210</v>
      </c>
      <c r="AA61" s="9"/>
      <c r="AB61" s="9"/>
      <c r="AC61" s="9"/>
      <c r="AD61" s="9"/>
      <c r="AE61" s="9"/>
      <c r="AF61" s="18"/>
    </row>
    <row r="62" spans="2:36" x14ac:dyDescent="0.25">
      <c r="B62" s="4"/>
      <c r="E62" s="3"/>
      <c r="F62" s="3"/>
      <c r="G62" s="3"/>
      <c r="H62" s="3"/>
      <c r="I62" s="19"/>
      <c r="L62" s="4"/>
      <c r="M62" s="4"/>
      <c r="N62" s="4"/>
      <c r="O62" s="20"/>
      <c r="Q62" s="20"/>
      <c r="R62" s="20"/>
      <c r="S62" s="20"/>
      <c r="T62" s="20"/>
      <c r="U62" s="20"/>
      <c r="V62" s="20"/>
      <c r="W62" s="20"/>
      <c r="X62" s="20"/>
      <c r="Y62" s="34" t="s">
        <v>105</v>
      </c>
      <c r="Z62" s="34">
        <v>3860</v>
      </c>
      <c r="AA62" s="9"/>
      <c r="AB62" s="9"/>
      <c r="AC62" s="9"/>
      <c r="AD62" s="9"/>
      <c r="AE62" s="9"/>
      <c r="AF62" s="18"/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20"/>
      <c r="Q63" s="20"/>
      <c r="R63" s="20"/>
      <c r="S63" s="20"/>
      <c r="T63" s="20"/>
      <c r="U63" s="20"/>
      <c r="V63" s="20"/>
      <c r="W63" s="20"/>
      <c r="X63" s="20"/>
      <c r="Y63" s="34" t="s">
        <v>43</v>
      </c>
      <c r="Z63" s="34">
        <f>Z62/2</f>
        <v>1930</v>
      </c>
      <c r="AA63" s="9"/>
      <c r="AB63" s="9"/>
      <c r="AC63" s="9"/>
      <c r="AD63" s="9"/>
      <c r="AE63" s="9"/>
      <c r="AF63" s="18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4"/>
      <c r="Q64" s="9"/>
      <c r="R64" s="9"/>
      <c r="S64" s="9"/>
      <c r="T64" s="9"/>
      <c r="U64" s="9"/>
      <c r="V64" s="9"/>
      <c r="W64" s="9"/>
      <c r="X64" s="9"/>
      <c r="Y64" s="1"/>
      <c r="Z64" s="1"/>
      <c r="AA64" s="9"/>
      <c r="AB64" s="9"/>
      <c r="AC64" s="9"/>
      <c r="AD64" s="9"/>
      <c r="AE64" s="9"/>
      <c r="AF64" s="18"/>
    </row>
    <row r="65" spans="6:31" x14ac:dyDescent="0.25">
      <c r="F65" s="1"/>
      <c r="G65" s="1"/>
      <c r="H65" s="1"/>
      <c r="J65" s="1" t="s">
        <v>32</v>
      </c>
      <c r="Q65" s="9"/>
      <c r="R65" s="4"/>
      <c r="S65" s="9"/>
      <c r="T65" s="5"/>
      <c r="U65" s="9"/>
      <c r="V65" s="4"/>
      <c r="W65" s="4"/>
      <c r="X65" s="9"/>
      <c r="Y65" s="9" t="s">
        <v>44</v>
      </c>
      <c r="Z65" s="9">
        <f>Z62-Z66</f>
        <v>1840</v>
      </c>
      <c r="AA65" s="9"/>
      <c r="AB65" s="9"/>
      <c r="AC65" s="9"/>
      <c r="AD65" s="9"/>
      <c r="AE65" s="9"/>
    </row>
    <row r="66" spans="6:31" x14ac:dyDescent="0.25">
      <c r="R66" s="4"/>
      <c r="S66" s="17"/>
      <c r="T66" s="17"/>
      <c r="U66" s="9"/>
      <c r="V66" s="4"/>
      <c r="W66" s="4"/>
      <c r="X66" s="9"/>
      <c r="Y66" s="9" t="s">
        <v>45</v>
      </c>
      <c r="Z66" s="9">
        <v>2020</v>
      </c>
      <c r="AA66" s="9"/>
      <c r="AB66" s="9"/>
      <c r="AC66" s="9"/>
      <c r="AD66" s="9"/>
      <c r="AE66" s="9"/>
    </row>
    <row r="67" spans="6:31" x14ac:dyDescent="0.25">
      <c r="Q67" s="9"/>
      <c r="R67" s="4"/>
      <c r="S67" s="16"/>
      <c r="T67" s="16"/>
      <c r="U67" s="9"/>
      <c r="V67" s="4"/>
      <c r="W67" s="4"/>
      <c r="X67" s="9"/>
      <c r="Y67" s="9"/>
      <c r="Z67" s="9"/>
      <c r="AA67" s="9"/>
      <c r="AB67" s="9"/>
      <c r="AC67" s="9"/>
      <c r="AD67" s="9"/>
      <c r="AE67" s="9"/>
    </row>
    <row r="68" spans="6:31" x14ac:dyDescent="0.25">
      <c r="R68" s="4"/>
      <c r="S68" s="16"/>
      <c r="T68" s="16"/>
      <c r="Y68" s="9" t="s">
        <v>46</v>
      </c>
      <c r="Z68" s="9">
        <v>2020</v>
      </c>
      <c r="AA68" s="9"/>
      <c r="AB68" s="9"/>
      <c r="AC68" s="9"/>
      <c r="AD68" s="9"/>
      <c r="AE68" s="9"/>
    </row>
    <row r="69" spans="6:31" x14ac:dyDescent="0.25">
      <c r="T69" s="5"/>
      <c r="Y69" s="9" t="s">
        <v>47</v>
      </c>
      <c r="Z69" s="9">
        <f>Z62-Z68</f>
        <v>1840</v>
      </c>
      <c r="AA69" s="9"/>
      <c r="AB69" s="9"/>
      <c r="AC69" s="9"/>
      <c r="AD69" s="9"/>
      <c r="AE69" s="9"/>
    </row>
    <row r="70" spans="6:31" x14ac:dyDescent="0.25">
      <c r="T70" s="5"/>
      <c r="Y70" s="9"/>
      <c r="Z70" s="9"/>
      <c r="AA70" s="9"/>
      <c r="AB70" s="9"/>
      <c r="AC70" s="9"/>
      <c r="AD70" s="9"/>
      <c r="AE70" s="9"/>
    </row>
    <row r="71" spans="6:31" x14ac:dyDescent="0.25">
      <c r="T71" s="5"/>
      <c r="Y71" s="9"/>
      <c r="Z71" s="9"/>
      <c r="AA71" s="9"/>
      <c r="AB71" s="9"/>
      <c r="AC71" s="9"/>
      <c r="AD71" s="9"/>
      <c r="AE71" s="9"/>
    </row>
    <row r="72" spans="6:31" x14ac:dyDescent="0.25">
      <c r="T72" s="5"/>
      <c r="Y72" s="43" t="s">
        <v>236</v>
      </c>
      <c r="Z72" s="9">
        <v>3140</v>
      </c>
      <c r="AA72" s="9"/>
      <c r="AB72" s="9"/>
      <c r="AC72" s="9"/>
      <c r="AD72" s="9"/>
      <c r="AE72" s="9"/>
    </row>
    <row r="73" spans="6:31" x14ac:dyDescent="0.25">
      <c r="T73" s="5"/>
      <c r="Y73" s="44" t="s">
        <v>237</v>
      </c>
      <c r="Z73" s="9">
        <f>Z72*1.15</f>
        <v>3610.9999999999995</v>
      </c>
      <c r="AA73" s="9"/>
      <c r="AB73" s="9"/>
      <c r="AC73" s="9"/>
      <c r="AD73" s="9"/>
      <c r="AE73" s="9"/>
    </row>
    <row r="74" spans="6:31" x14ac:dyDescent="0.25">
      <c r="T74" s="5"/>
      <c r="Y74" s="44" t="s">
        <v>238</v>
      </c>
      <c r="Z74" s="9">
        <f>Z72*1.2</f>
        <v>3768</v>
      </c>
      <c r="AA74" s="9"/>
      <c r="AB74" s="9"/>
      <c r="AC74" s="9"/>
      <c r="AD74" s="9"/>
      <c r="AE74" s="9"/>
    </row>
    <row r="75" spans="6:31" x14ac:dyDescent="0.25">
      <c r="T75" s="5"/>
      <c r="Y75" s="44" t="s">
        <v>239</v>
      </c>
      <c r="Z75" s="9">
        <f>Z72*0.84</f>
        <v>2637.6</v>
      </c>
      <c r="AA75" s="9"/>
      <c r="AB75" s="9"/>
      <c r="AC75" s="9"/>
      <c r="AD75" s="9"/>
      <c r="AE75" s="9"/>
    </row>
    <row r="76" spans="6:31" x14ac:dyDescent="0.25">
      <c r="T76" s="5"/>
      <c r="Y76" s="9"/>
      <c r="Z76" s="9"/>
      <c r="AA76" s="9"/>
      <c r="AB76" s="9"/>
      <c r="AC76" s="9"/>
      <c r="AD76" s="9"/>
      <c r="AE76" s="9"/>
    </row>
    <row r="77" spans="6:31" x14ac:dyDescent="0.25">
      <c r="T77" s="5"/>
    </row>
    <row r="78" spans="6:31" x14ac:dyDescent="0.25">
      <c r="T78" s="5"/>
    </row>
    <row r="79" spans="6:31" x14ac:dyDescent="0.25">
      <c r="T79" s="5"/>
    </row>
    <row r="80" spans="6:31" x14ac:dyDescent="0.25">
      <c r="T80" s="5"/>
    </row>
    <row r="81" spans="20:20" x14ac:dyDescent="0.25">
      <c r="T81" s="5"/>
    </row>
  </sheetData>
  <autoFilter ref="B6:AE58" xr:uid="{65FA6D9B-E0AF-46CD-BA0D-86BB75FE6AB0}"/>
  <hyperlinks>
    <hyperlink ref="P12" r:id="rId1" xr:uid="{048C986C-8F87-40A4-9180-3E83B057E400}"/>
    <hyperlink ref="P14" r:id="rId2" xr:uid="{36117A76-1DAB-4FBB-8F80-11E577F1BAFF}"/>
    <hyperlink ref="P21" r:id="rId3" xr:uid="{A5296876-DFEF-44E2-873B-0809D3CD6763}"/>
    <hyperlink ref="P23" r:id="rId4" xr:uid="{D5BDDB81-8318-4F4C-96DB-3B7999DCEFB3}"/>
    <hyperlink ref="P30" r:id="rId5" xr:uid="{806DBFE7-3BC3-4BF9-9A4C-D248AA8FCF56}"/>
    <hyperlink ref="P28" r:id="rId6" xr:uid="{FBBCAEE5-8BE4-4ECD-9182-F86D533606CC}"/>
    <hyperlink ref="P47" r:id="rId7" xr:uid="{32380638-1F43-4C53-8D74-06DE12CD064A}"/>
    <hyperlink ref="P49" r:id="rId8" xr:uid="{9BB7DD1A-AA6B-4707-9D7B-19F2BCE06C61}"/>
    <hyperlink ref="P33" r:id="rId9" xr:uid="{7F333FDA-7089-411D-893E-3DD2B91D9E00}"/>
    <hyperlink ref="P19" r:id="rId10" xr:uid="{AB573247-AA9F-40EC-A87E-0FEF9173D9FB}"/>
  </hyperlinks>
  <pageMargins left="0.7" right="0.7" top="0.75" bottom="0.75" header="0.3" footer="0.3"/>
  <pageSetup paperSize="9"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BCFE-1417-4E00-AB7B-9084F6CE8C12}">
  <sheetPr>
    <tabColor rgb="FFFFFF00"/>
  </sheetPr>
  <dimension ref="B2:AK79"/>
  <sheetViews>
    <sheetView topLeftCell="A6" zoomScale="80" zoomScaleNormal="80" workbookViewId="0">
      <selection activeCell="J21" sqref="J21:Y2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176</v>
      </c>
    </row>
    <row r="3" spans="2:36" x14ac:dyDescent="0.25">
      <c r="B3" s="2" t="s">
        <v>48</v>
      </c>
    </row>
    <row r="4" spans="2:36" x14ac:dyDescent="0.25">
      <c r="B4" s="2" t="s">
        <v>170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0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0" si="1">U7*W7</f>
        <v>0</v>
      </c>
      <c r="Y7" s="26">
        <f>Q7</f>
        <v>0</v>
      </c>
      <c r="Z7" s="12">
        <f t="shared" ref="Z7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" si="3">+Y7*AB7*R7</f>
        <v>0</v>
      </c>
      <c r="AD7" s="12">
        <f t="shared" ref="AD7" si="4">+AC7-X7</f>
        <v>0</v>
      </c>
      <c r="AE7" s="13">
        <f t="shared" ref="AE7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0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ref="Z8:Z54" si="7">+Y8*R8</f>
        <v>0</v>
      </c>
      <c r="AA8" s="4" t="s">
        <v>10</v>
      </c>
      <c r="AB8" s="11">
        <f>IFERROR(VLOOKUP(AA8,Curr!$B$2:$C$13,2,FALSE),0)</f>
        <v>11.2</v>
      </c>
      <c r="AC8" s="12">
        <f t="shared" ref="AC8:AC54" si="8">+Y8*AB8*R8</f>
        <v>0</v>
      </c>
      <c r="AD8" s="12">
        <f t="shared" ref="AD8:AD54" si="9">+AC8-X8</f>
        <v>0</v>
      </c>
      <c r="AE8" s="13">
        <f t="shared" ref="AE8:AE54" si="10">IFERROR(AD8/AC8,0)</f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171</v>
      </c>
      <c r="K9" s="4"/>
      <c r="L9" s="4"/>
      <c r="M9" s="4"/>
      <c r="N9" s="4"/>
      <c r="O9" s="4" t="s">
        <v>42</v>
      </c>
      <c r="P9" s="33"/>
      <c r="Q9" s="25">
        <v>125</v>
      </c>
      <c r="R9" s="25">
        <v>1</v>
      </c>
      <c r="S9" s="12">
        <f t="shared" si="0"/>
        <v>125</v>
      </c>
      <c r="T9" s="5">
        <v>0</v>
      </c>
      <c r="U9" s="12">
        <f t="shared" si="6"/>
        <v>125</v>
      </c>
      <c r="V9" s="25" t="s">
        <v>10</v>
      </c>
      <c r="W9" s="11">
        <f>IFERROR(VLOOKUP(V9,Curr!$B$2:$C$13,2,FALSE),0)</f>
        <v>11.2</v>
      </c>
      <c r="X9" s="12">
        <f t="shared" si="1"/>
        <v>1400</v>
      </c>
      <c r="Y9" s="26">
        <f>Q9/0.8</f>
        <v>156.25</v>
      </c>
      <c r="Z9" s="12">
        <f t="shared" si="7"/>
        <v>156.25</v>
      </c>
      <c r="AA9" s="4" t="s">
        <v>10</v>
      </c>
      <c r="AB9" s="11">
        <f>IFERROR(VLOOKUP(AA9,Curr!$B$2:$C$13,2,FALSE),0)</f>
        <v>11.2</v>
      </c>
      <c r="AC9" s="12">
        <f t="shared" si="8"/>
        <v>1750</v>
      </c>
      <c r="AD9" s="12">
        <f t="shared" si="9"/>
        <v>350</v>
      </c>
      <c r="AE9" s="13">
        <f t="shared" si="10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" si="11">Q10</f>
        <v>0</v>
      </c>
      <c r="Z10" s="12">
        <f t="shared" si="7"/>
        <v>0</v>
      </c>
      <c r="AA10" s="4" t="s">
        <v>10</v>
      </c>
      <c r="AB10" s="11">
        <f>IFERROR(VLOOKUP(AA10,Curr!$B$2:$C$13,2,FALSE),0)</f>
        <v>11.2</v>
      </c>
      <c r="AC10" s="12">
        <f t="shared" si="8"/>
        <v>0</v>
      </c>
      <c r="AD10" s="12">
        <f t="shared" si="9"/>
        <v>0</v>
      </c>
      <c r="AE10" s="13">
        <f t="shared" si="10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ref="S11:S54" si="12">+Q11*R11</f>
        <v>0</v>
      </c>
      <c r="T11" s="5">
        <v>0</v>
      </c>
      <c r="U11" s="12">
        <f t="shared" ref="U11:U54" si="13">S11*(1-T11)</f>
        <v>0</v>
      </c>
      <c r="V11" s="25" t="s">
        <v>10</v>
      </c>
      <c r="W11" s="11">
        <f>IFERROR(VLOOKUP(V11,Curr!$B$2:$C$13,2,FALSE),0)</f>
        <v>11.2</v>
      </c>
      <c r="X11" s="12">
        <f t="shared" ref="X11:X54" si="14">U11*W11</f>
        <v>0</v>
      </c>
      <c r="Y11" s="26">
        <f t="shared" ref="Y11:Y54" si="15">Q11</f>
        <v>0</v>
      </c>
      <c r="Z11" s="12">
        <f t="shared" si="7"/>
        <v>0</v>
      </c>
      <c r="AA11" s="4" t="s">
        <v>10</v>
      </c>
      <c r="AB11" s="11">
        <f>IFERROR(VLOOKUP(AA11,Curr!$B$2:$C$13,2,FALSE),0)</f>
        <v>11.2</v>
      </c>
      <c r="AC11" s="12">
        <f t="shared" si="8"/>
        <v>0</v>
      </c>
      <c r="AD11" s="12">
        <f t="shared" si="9"/>
        <v>0</v>
      </c>
      <c r="AE11" s="13">
        <f t="shared" si="10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12"/>
        <v>40</v>
      </c>
      <c r="T12" s="5">
        <v>0</v>
      </c>
      <c r="U12" s="12">
        <f t="shared" si="13"/>
        <v>40</v>
      </c>
      <c r="V12" s="25" t="s">
        <v>10</v>
      </c>
      <c r="W12" s="11">
        <f>IFERROR(VLOOKUP(V12,Curr!$B$2:$C$13,2,FALSE),0)</f>
        <v>11.2</v>
      </c>
      <c r="X12" s="12">
        <f t="shared" si="14"/>
        <v>448</v>
      </c>
      <c r="Y12" s="26">
        <f>Q12/0.57</f>
        <v>35.087719298245617</v>
      </c>
      <c r="Z12" s="12">
        <f t="shared" si="7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8"/>
        <v>785.96491228070181</v>
      </c>
      <c r="AD12" s="12">
        <f t="shared" si="9"/>
        <v>337.96491228070181</v>
      </c>
      <c r="AE12" s="13">
        <f t="shared" si="10"/>
        <v>0.43000000000000005</v>
      </c>
    </row>
    <row r="13" spans="2:36" x14ac:dyDescent="0.25">
      <c r="B13" s="4"/>
      <c r="C13" s="1" t="s">
        <v>60</v>
      </c>
      <c r="D13" s="1" t="s">
        <v>56</v>
      </c>
      <c r="E13" s="3"/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12"/>
        <v>0</v>
      </c>
      <c r="T13" s="5">
        <v>0</v>
      </c>
      <c r="U13" s="12">
        <f t="shared" si="13"/>
        <v>0</v>
      </c>
      <c r="V13" s="25" t="s">
        <v>10</v>
      </c>
      <c r="W13" s="11">
        <f>IFERROR(VLOOKUP(V13,Curr!$B$2:$C$13,2,FALSE),0)</f>
        <v>11.2</v>
      </c>
      <c r="X13" s="12">
        <f t="shared" si="14"/>
        <v>0</v>
      </c>
      <c r="Y13" s="26">
        <f t="shared" ref="Y13" si="16">Q13</f>
        <v>0</v>
      </c>
      <c r="Z13" s="12">
        <f t="shared" si="7"/>
        <v>0</v>
      </c>
      <c r="AA13" s="4" t="s">
        <v>10</v>
      </c>
      <c r="AB13" s="11">
        <f>IFERROR(VLOOKUP(AA13,Curr!$B$2:$C$13,2,FALSE),0)</f>
        <v>11.2</v>
      </c>
      <c r="AC13" s="12">
        <f t="shared" si="8"/>
        <v>0</v>
      </c>
      <c r="AD13" s="12">
        <f t="shared" si="9"/>
        <v>0</v>
      </c>
      <c r="AE13" s="13">
        <f t="shared" si="10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172</v>
      </c>
      <c r="K14" s="4"/>
      <c r="L14" s="4"/>
      <c r="M14" s="4"/>
      <c r="N14" s="4" t="s">
        <v>42</v>
      </c>
      <c r="O14" s="4"/>
      <c r="P14" s="33" t="s">
        <v>67</v>
      </c>
      <c r="Q14" s="25">
        <v>225</v>
      </c>
      <c r="R14" s="25">
        <v>1</v>
      </c>
      <c r="S14" s="12">
        <f t="shared" si="12"/>
        <v>225</v>
      </c>
      <c r="T14" s="5">
        <v>0</v>
      </c>
      <c r="U14" s="12">
        <f t="shared" si="13"/>
        <v>225</v>
      </c>
      <c r="V14" s="25" t="s">
        <v>10</v>
      </c>
      <c r="W14" s="11">
        <f>IFERROR(VLOOKUP(V14,Curr!$B$2:$C$13,2,FALSE),0)</f>
        <v>11.2</v>
      </c>
      <c r="X14" s="12">
        <f t="shared" si="14"/>
        <v>2520</v>
      </c>
      <c r="Y14" s="26">
        <f>Q14/0.8</f>
        <v>281.25</v>
      </c>
      <c r="Z14" s="12">
        <f t="shared" si="7"/>
        <v>281.25</v>
      </c>
      <c r="AA14" s="4" t="s">
        <v>10</v>
      </c>
      <c r="AB14" s="11">
        <f>IFERROR(VLOOKUP(AA14,Curr!$B$2:$C$13,2,FALSE),0)</f>
        <v>11.2</v>
      </c>
      <c r="AC14" s="12">
        <f t="shared" si="8"/>
        <v>3150</v>
      </c>
      <c r="AD14" s="12">
        <f t="shared" si="9"/>
        <v>630</v>
      </c>
      <c r="AE14" s="13">
        <f t="shared" si="10"/>
        <v>0.2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12"/>
        <v>0</v>
      </c>
      <c r="T15" s="5">
        <v>0</v>
      </c>
      <c r="U15" s="12">
        <f t="shared" si="13"/>
        <v>0</v>
      </c>
      <c r="V15" s="25" t="s">
        <v>10</v>
      </c>
      <c r="W15" s="11">
        <f>IFERROR(VLOOKUP(V15,Curr!$B$2:$C$13,2,FALSE),0)</f>
        <v>11.2</v>
      </c>
      <c r="X15" s="12">
        <f t="shared" si="14"/>
        <v>0</v>
      </c>
      <c r="Y15" s="26">
        <f t="shared" si="15"/>
        <v>0</v>
      </c>
      <c r="Z15" s="12">
        <f t="shared" si="7"/>
        <v>0</v>
      </c>
      <c r="AA15" s="4" t="s">
        <v>10</v>
      </c>
      <c r="AB15" s="11">
        <f>IFERROR(VLOOKUP(AA15,Curr!$B$2:$C$13,2,FALSE),0)</f>
        <v>11.2</v>
      </c>
      <c r="AC15" s="12">
        <f t="shared" si="8"/>
        <v>0</v>
      </c>
      <c r="AD15" s="12">
        <f t="shared" si="9"/>
        <v>0</v>
      </c>
      <c r="AE15" s="13">
        <f t="shared" si="10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12"/>
        <v>0</v>
      </c>
      <c r="T16" s="5">
        <v>0</v>
      </c>
      <c r="U16" s="12">
        <f t="shared" si="13"/>
        <v>0</v>
      </c>
      <c r="V16" s="25" t="s">
        <v>10</v>
      </c>
      <c r="W16" s="11">
        <f>IFERROR(VLOOKUP(V16,Curr!$B$2:$C$13,2,FALSE),0)</f>
        <v>11.2</v>
      </c>
      <c r="X16" s="12">
        <f t="shared" si="14"/>
        <v>0</v>
      </c>
      <c r="Y16" s="26">
        <f>Q16/0.8</f>
        <v>0</v>
      </c>
      <c r="Z16" s="12">
        <f t="shared" si="7"/>
        <v>0</v>
      </c>
      <c r="AA16" s="4" t="s">
        <v>10</v>
      </c>
      <c r="AB16" s="11">
        <f>IFERROR(VLOOKUP(AA16,Curr!$B$2:$C$13,2,FALSE),0)</f>
        <v>11.2</v>
      </c>
      <c r="AC16" s="12">
        <f t="shared" si="8"/>
        <v>0</v>
      </c>
      <c r="AD16" s="12">
        <f t="shared" si="9"/>
        <v>0</v>
      </c>
      <c r="AE16" s="13">
        <f t="shared" si="10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173</v>
      </c>
      <c r="K17" s="4"/>
      <c r="L17" s="4"/>
      <c r="M17" s="4"/>
      <c r="N17" s="4" t="s">
        <v>42</v>
      </c>
      <c r="O17" s="4"/>
      <c r="P17" s="33"/>
      <c r="Q17" s="25">
        <f>109*2*2</f>
        <v>436</v>
      </c>
      <c r="R17" s="25">
        <v>1</v>
      </c>
      <c r="S17" s="12">
        <f t="shared" si="12"/>
        <v>436</v>
      </c>
      <c r="T17" s="5">
        <v>0</v>
      </c>
      <c r="U17" s="12">
        <f t="shared" si="13"/>
        <v>436</v>
      </c>
      <c r="V17" s="25" t="s">
        <v>10</v>
      </c>
      <c r="W17" s="11">
        <f>IFERROR(VLOOKUP(V17,Curr!$B$2:$C$13,2,FALSE),0)</f>
        <v>11.2</v>
      </c>
      <c r="X17" s="12">
        <f t="shared" si="14"/>
        <v>4883.2</v>
      </c>
      <c r="Y17" s="26">
        <f>Q17/0.8</f>
        <v>545</v>
      </c>
      <c r="Z17" s="12">
        <f t="shared" si="7"/>
        <v>545</v>
      </c>
      <c r="AA17" s="4" t="s">
        <v>10</v>
      </c>
      <c r="AB17" s="11">
        <f>IFERROR(VLOOKUP(AA17,Curr!$B$2:$C$13,2,FALSE),0)</f>
        <v>11.2</v>
      </c>
      <c r="AC17" s="12">
        <f t="shared" si="8"/>
        <v>6104</v>
      </c>
      <c r="AD17" s="12">
        <f t="shared" si="9"/>
        <v>1220.8000000000002</v>
      </c>
      <c r="AE17" s="13">
        <f t="shared" si="10"/>
        <v>0.20000000000000004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12"/>
        <v>0</v>
      </c>
      <c r="T18" s="5">
        <v>0</v>
      </c>
      <c r="U18" s="12">
        <f t="shared" si="13"/>
        <v>0</v>
      </c>
      <c r="V18" s="25" t="s">
        <v>10</v>
      </c>
      <c r="W18" s="11">
        <f>IFERROR(VLOOKUP(V18,Curr!$B$2:$C$13,2,FALSE),0)</f>
        <v>11.2</v>
      </c>
      <c r="X18" s="12">
        <f t="shared" si="14"/>
        <v>0</v>
      </c>
      <c r="Y18" s="26">
        <f t="shared" ref="Y18" si="17">Q18</f>
        <v>0</v>
      </c>
      <c r="Z18" s="12">
        <f t="shared" si="7"/>
        <v>0</v>
      </c>
      <c r="AA18" s="4" t="s">
        <v>10</v>
      </c>
      <c r="AB18" s="11">
        <f>IFERROR(VLOOKUP(AA18,Curr!$B$2:$C$13,2,FALSE),0)</f>
        <v>11.2</v>
      </c>
      <c r="AC18" s="12">
        <f t="shared" si="8"/>
        <v>0</v>
      </c>
      <c r="AD18" s="12">
        <f t="shared" si="9"/>
        <v>0</v>
      </c>
      <c r="AE18" s="13">
        <f t="shared" si="10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75</v>
      </c>
      <c r="K19" s="4"/>
      <c r="L19" s="4"/>
      <c r="M19" s="4"/>
      <c r="N19" s="4"/>
      <c r="O19" s="4" t="s">
        <v>42</v>
      </c>
      <c r="P19" s="33" t="s">
        <v>76</v>
      </c>
      <c r="Q19" s="25">
        <v>89</v>
      </c>
      <c r="R19" s="25">
        <v>2</v>
      </c>
      <c r="S19" s="12">
        <f t="shared" si="12"/>
        <v>178</v>
      </c>
      <c r="T19" s="5">
        <v>0.2</v>
      </c>
      <c r="U19" s="12">
        <f t="shared" si="13"/>
        <v>142.4</v>
      </c>
      <c r="V19" s="25" t="s">
        <v>10</v>
      </c>
      <c r="W19" s="11">
        <f>IFERROR(VLOOKUP(V19,Curr!$B$2:$C$13,2,FALSE),0)</f>
        <v>11.2</v>
      </c>
      <c r="X19" s="12">
        <f t="shared" si="14"/>
        <v>1594.8799999999999</v>
      </c>
      <c r="Y19" s="26">
        <f>Q19/0.9</f>
        <v>98.888888888888886</v>
      </c>
      <c r="Z19" s="12">
        <f t="shared" si="7"/>
        <v>197.77777777777777</v>
      </c>
      <c r="AA19" s="4" t="s">
        <v>10</v>
      </c>
      <c r="AB19" s="11">
        <f>IFERROR(VLOOKUP(AA19,Curr!$B$2:$C$13,2,FALSE),0)</f>
        <v>11.2</v>
      </c>
      <c r="AC19" s="12">
        <f t="shared" si="8"/>
        <v>2215.1111111111109</v>
      </c>
      <c r="AD19" s="12">
        <f t="shared" si="9"/>
        <v>620.23111111111098</v>
      </c>
      <c r="AE19" s="13">
        <f t="shared" si="10"/>
        <v>0.27999999999999997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12"/>
        <v>0</v>
      </c>
      <c r="T20" s="5">
        <v>0</v>
      </c>
      <c r="U20" s="12">
        <f t="shared" si="13"/>
        <v>0</v>
      </c>
      <c r="V20" s="25" t="s">
        <v>10</v>
      </c>
      <c r="W20" s="11">
        <f>IFERROR(VLOOKUP(V20,Curr!$B$2:$C$13,2,FALSE),0)</f>
        <v>11.2</v>
      </c>
      <c r="X20" s="12">
        <f t="shared" si="14"/>
        <v>0</v>
      </c>
      <c r="Y20" s="26">
        <f t="shared" si="15"/>
        <v>0</v>
      </c>
      <c r="Z20" s="12">
        <f t="shared" si="7"/>
        <v>0</v>
      </c>
      <c r="AA20" s="4" t="s">
        <v>10</v>
      </c>
      <c r="AB20" s="11">
        <f>IFERROR(VLOOKUP(AA20,Curr!$B$2:$C$13,2,FALSE),0)</f>
        <v>11.2</v>
      </c>
      <c r="AC20" s="12">
        <f t="shared" si="8"/>
        <v>0</v>
      </c>
      <c r="AD20" s="12">
        <f t="shared" si="9"/>
        <v>0</v>
      </c>
      <c r="AE20" s="13">
        <f t="shared" si="10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73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12"/>
        <v>376</v>
      </c>
      <c r="T21" s="5">
        <v>0.2</v>
      </c>
      <c r="U21" s="12">
        <f t="shared" si="13"/>
        <v>300.8</v>
      </c>
      <c r="V21" s="25" t="s">
        <v>10</v>
      </c>
      <c r="W21" s="11">
        <f>IFERROR(VLOOKUP(V21,Curr!$B$2:$C$13,2,FALSE),0)</f>
        <v>11.2</v>
      </c>
      <c r="X21" s="12">
        <f t="shared" si="14"/>
        <v>3368.96</v>
      </c>
      <c r="Y21" s="26">
        <f>Q21/0.9</f>
        <v>208.88888888888889</v>
      </c>
      <c r="Z21" s="12">
        <f t="shared" si="7"/>
        <v>417.77777777777777</v>
      </c>
      <c r="AA21" s="4" t="s">
        <v>10</v>
      </c>
      <c r="AB21" s="11">
        <f>IFERROR(VLOOKUP(AA21,Curr!$B$2:$C$13,2,FALSE),0)</f>
        <v>11.2</v>
      </c>
      <c r="AC21" s="12">
        <f t="shared" si="8"/>
        <v>4679.1111111111104</v>
      </c>
      <c r="AD21" s="12">
        <f t="shared" si="9"/>
        <v>1310.1511111111104</v>
      </c>
      <c r="AE21" s="13">
        <f t="shared" si="10"/>
        <v>0.27999999999999986</v>
      </c>
    </row>
    <row r="22" spans="2:31" x14ac:dyDescent="0.25">
      <c r="B22" s="4"/>
      <c r="C22" s="1" t="s">
        <v>72</v>
      </c>
      <c r="D22" s="1" t="s">
        <v>58</v>
      </c>
      <c r="E22" s="3"/>
      <c r="F22" s="3"/>
      <c r="G22" s="24"/>
      <c r="H22" s="24"/>
      <c r="J22" s="1" t="s">
        <v>70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12"/>
        <v>0</v>
      </c>
      <c r="T22" s="5">
        <v>0</v>
      </c>
      <c r="U22" s="12">
        <f t="shared" si="13"/>
        <v>0</v>
      </c>
      <c r="V22" s="25" t="s">
        <v>10</v>
      </c>
      <c r="W22" s="11">
        <f>IFERROR(VLOOKUP(V22,Curr!$B$2:$C$13,2,FALSE),0)</f>
        <v>11.2</v>
      </c>
      <c r="X22" s="12">
        <f t="shared" si="14"/>
        <v>0</v>
      </c>
      <c r="Y22" s="26">
        <f t="shared" si="15"/>
        <v>0</v>
      </c>
      <c r="Z22" s="12">
        <f t="shared" si="7"/>
        <v>0</v>
      </c>
      <c r="AA22" s="4" t="s">
        <v>10</v>
      </c>
      <c r="AB22" s="11">
        <f>IFERROR(VLOOKUP(AA22,Curr!$B$2:$C$13,2,FALSE),0)</f>
        <v>11.2</v>
      </c>
      <c r="AC22" s="12">
        <f t="shared" si="8"/>
        <v>0</v>
      </c>
      <c r="AD22" s="12">
        <f t="shared" si="9"/>
        <v>0</v>
      </c>
      <c r="AE22" s="13">
        <f t="shared" si="10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27"/>
      <c r="Q23" s="25"/>
      <c r="R23" s="25"/>
      <c r="S23" s="12">
        <f t="shared" si="12"/>
        <v>0</v>
      </c>
      <c r="T23" s="5">
        <v>0</v>
      </c>
      <c r="U23" s="12">
        <f t="shared" si="13"/>
        <v>0</v>
      </c>
      <c r="V23" s="25" t="s">
        <v>10</v>
      </c>
      <c r="W23" s="11">
        <f>IFERROR(VLOOKUP(V23,Curr!$B$2:$C$13,2,FALSE),0)</f>
        <v>11.2</v>
      </c>
      <c r="X23" s="12">
        <f t="shared" si="14"/>
        <v>0</v>
      </c>
      <c r="Y23" s="26">
        <f t="shared" si="15"/>
        <v>0</v>
      </c>
      <c r="Z23" s="12">
        <f t="shared" si="7"/>
        <v>0</v>
      </c>
      <c r="AA23" s="4" t="s">
        <v>10</v>
      </c>
      <c r="AB23" s="11">
        <f>IFERROR(VLOOKUP(AA23,Curr!$B$2:$C$13,2,FALSE),0)</f>
        <v>11.2</v>
      </c>
      <c r="AC23" s="12">
        <f t="shared" si="8"/>
        <v>0</v>
      </c>
      <c r="AD23" s="12">
        <f t="shared" si="9"/>
        <v>0</v>
      </c>
      <c r="AE23" s="13">
        <f t="shared" si="10"/>
        <v>0</v>
      </c>
    </row>
    <row r="24" spans="2:31" x14ac:dyDescent="0.25">
      <c r="B24" s="4"/>
      <c r="C24" s="1" t="s">
        <v>77</v>
      </c>
      <c r="D24" s="1" t="s">
        <v>56</v>
      </c>
      <c r="E24" s="3"/>
      <c r="F24" s="3"/>
      <c r="G24" s="24"/>
      <c r="H24" s="24"/>
      <c r="J24" s="1" t="s">
        <v>84</v>
      </c>
      <c r="K24" s="4"/>
      <c r="L24" s="4"/>
      <c r="M24" s="4"/>
      <c r="N24" s="4"/>
      <c r="O24" s="4"/>
      <c r="P24" s="33"/>
      <c r="Q24" s="25">
        <v>0</v>
      </c>
      <c r="R24" s="25">
        <v>0</v>
      </c>
      <c r="S24" s="12">
        <f t="shared" si="12"/>
        <v>0</v>
      </c>
      <c r="T24" s="5">
        <v>0</v>
      </c>
      <c r="U24" s="12">
        <f t="shared" si="13"/>
        <v>0</v>
      </c>
      <c r="V24" s="25" t="s">
        <v>10</v>
      </c>
      <c r="W24" s="11">
        <f>IFERROR(VLOOKUP(V24,Curr!$B$2:$C$13,2,FALSE),0)</f>
        <v>11.2</v>
      </c>
      <c r="X24" s="12">
        <f t="shared" si="14"/>
        <v>0</v>
      </c>
      <c r="Y24" s="26">
        <f t="shared" si="15"/>
        <v>0</v>
      </c>
      <c r="Z24" s="12">
        <f t="shared" si="7"/>
        <v>0</v>
      </c>
      <c r="AA24" s="4" t="s">
        <v>10</v>
      </c>
      <c r="AB24" s="11">
        <f>IFERROR(VLOOKUP(AA24,Curr!$B$2:$C$13,2,FALSE),0)</f>
        <v>11.2</v>
      </c>
      <c r="AC24" s="12">
        <f t="shared" si="8"/>
        <v>0</v>
      </c>
      <c r="AD24" s="12">
        <f t="shared" si="9"/>
        <v>0</v>
      </c>
      <c r="AE24" s="13">
        <f t="shared" si="10"/>
        <v>0</v>
      </c>
    </row>
    <row r="25" spans="2:31" x14ac:dyDescent="0.25">
      <c r="B25" s="4"/>
      <c r="C25" s="1" t="s">
        <v>77</v>
      </c>
      <c r="D25" s="1" t="s">
        <v>81</v>
      </c>
      <c r="E25" s="3"/>
      <c r="F25" s="3"/>
      <c r="G25" s="24"/>
      <c r="H25" s="24"/>
      <c r="J25" s="1" t="s">
        <v>108</v>
      </c>
      <c r="K25" s="4"/>
      <c r="L25" s="4"/>
      <c r="M25" s="4"/>
      <c r="N25" s="4" t="s">
        <v>42</v>
      </c>
      <c r="O25" s="4"/>
      <c r="P25" s="33" t="s">
        <v>86</v>
      </c>
      <c r="Q25" s="25">
        <v>50</v>
      </c>
      <c r="R25" s="25">
        <v>2</v>
      </c>
      <c r="S25" s="12">
        <f t="shared" si="12"/>
        <v>100</v>
      </c>
      <c r="T25" s="5">
        <v>0</v>
      </c>
      <c r="U25" s="12">
        <f t="shared" si="13"/>
        <v>100</v>
      </c>
      <c r="V25" s="25" t="s">
        <v>10</v>
      </c>
      <c r="W25" s="11">
        <f>IFERROR(VLOOKUP(V25,Curr!$B$2:$C$13,2,FALSE),0)</f>
        <v>11.2</v>
      </c>
      <c r="X25" s="12">
        <f t="shared" si="14"/>
        <v>1120</v>
      </c>
      <c r="Y25" s="26">
        <f t="shared" ref="Y25" si="18">Q25/0.8</f>
        <v>62.5</v>
      </c>
      <c r="Z25" s="12">
        <f t="shared" si="7"/>
        <v>125</v>
      </c>
      <c r="AA25" s="4" t="s">
        <v>10</v>
      </c>
      <c r="AB25" s="11">
        <f>IFERROR(VLOOKUP(AA25,Curr!$B$2:$C$13,2,FALSE),0)</f>
        <v>11.2</v>
      </c>
      <c r="AC25" s="12">
        <f t="shared" si="8"/>
        <v>1400</v>
      </c>
      <c r="AD25" s="12">
        <f t="shared" si="9"/>
        <v>280</v>
      </c>
      <c r="AE25" s="13">
        <f t="shared" si="10"/>
        <v>0.2</v>
      </c>
    </row>
    <row r="26" spans="2:31" x14ac:dyDescent="0.25">
      <c r="B26" s="4"/>
      <c r="C26" s="1" t="s">
        <v>77</v>
      </c>
      <c r="D26" s="1" t="s">
        <v>56</v>
      </c>
      <c r="E26" s="3"/>
      <c r="F26" s="3"/>
      <c r="G26" s="24"/>
      <c r="H26" s="24"/>
      <c r="J26" s="1" t="s">
        <v>110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12"/>
        <v>0</v>
      </c>
      <c r="T26" s="5">
        <v>0</v>
      </c>
      <c r="U26" s="12">
        <f t="shared" si="13"/>
        <v>0</v>
      </c>
      <c r="V26" s="25" t="s">
        <v>10</v>
      </c>
      <c r="W26" s="11">
        <f>IFERROR(VLOOKUP(V26,Curr!$B$2:$C$13,2,FALSE),0)</f>
        <v>11.2</v>
      </c>
      <c r="X26" s="12">
        <f t="shared" si="14"/>
        <v>0</v>
      </c>
      <c r="Y26" s="26">
        <f t="shared" ref="Y26:Y28" si="19">Q26</f>
        <v>0</v>
      </c>
      <c r="Z26" s="12">
        <f t="shared" si="7"/>
        <v>0</v>
      </c>
      <c r="AA26" s="4" t="s">
        <v>10</v>
      </c>
      <c r="AB26" s="11">
        <f>IFERROR(VLOOKUP(AA26,Curr!$B$2:$C$13,2,FALSE),0)</f>
        <v>11.2</v>
      </c>
      <c r="AC26" s="12">
        <f t="shared" si="8"/>
        <v>0</v>
      </c>
      <c r="AD26" s="12">
        <f t="shared" si="9"/>
        <v>0</v>
      </c>
      <c r="AE26" s="13">
        <f t="shared" si="10"/>
        <v>0</v>
      </c>
    </row>
    <row r="27" spans="2:31" x14ac:dyDescent="0.25">
      <c r="B27" s="4"/>
      <c r="C27" s="1" t="s">
        <v>77</v>
      </c>
      <c r="D27" s="1" t="s">
        <v>57</v>
      </c>
      <c r="E27" s="3"/>
      <c r="F27" s="3"/>
      <c r="G27" s="24"/>
      <c r="H27" s="24"/>
      <c r="J27" s="1" t="s">
        <v>219</v>
      </c>
      <c r="K27" s="4"/>
      <c r="L27" s="4"/>
      <c r="M27" s="4"/>
      <c r="N27" s="4" t="s">
        <v>42</v>
      </c>
      <c r="O27" s="4"/>
      <c r="P27" s="27"/>
      <c r="Q27" s="25">
        <v>250</v>
      </c>
      <c r="R27" s="25">
        <v>1</v>
      </c>
      <c r="S27" s="12">
        <f t="shared" si="12"/>
        <v>250</v>
      </c>
      <c r="T27" s="5">
        <v>0</v>
      </c>
      <c r="U27" s="12">
        <f t="shared" si="13"/>
        <v>250</v>
      </c>
      <c r="V27" s="25" t="s">
        <v>10</v>
      </c>
      <c r="W27" s="11">
        <f>IFERROR(VLOOKUP(V27,Curr!$B$2:$C$13,2,FALSE),0)</f>
        <v>11.2</v>
      </c>
      <c r="X27" s="12">
        <f t="shared" si="14"/>
        <v>2800</v>
      </c>
      <c r="Y27" s="26">
        <f>Q27/0.8</f>
        <v>312.5</v>
      </c>
      <c r="Z27" s="12">
        <f t="shared" si="7"/>
        <v>312.5</v>
      </c>
      <c r="AA27" s="4" t="s">
        <v>10</v>
      </c>
      <c r="AB27" s="11">
        <f>IFERROR(VLOOKUP(AA27,Curr!$B$2:$C$13,2,FALSE),0)</f>
        <v>11.2</v>
      </c>
      <c r="AC27" s="12">
        <f t="shared" si="8"/>
        <v>3500</v>
      </c>
      <c r="AD27" s="12">
        <f t="shared" si="9"/>
        <v>700</v>
      </c>
      <c r="AE27" s="13">
        <f t="shared" si="10"/>
        <v>0.2</v>
      </c>
    </row>
    <row r="28" spans="2:31" x14ac:dyDescent="0.25">
      <c r="B28" s="4"/>
      <c r="C28" s="1" t="s">
        <v>77</v>
      </c>
      <c r="D28" s="1" t="s">
        <v>58</v>
      </c>
      <c r="E28" s="3"/>
      <c r="F28" s="3"/>
      <c r="G28" s="24"/>
      <c r="H28" s="24"/>
      <c r="J28" s="1" t="s">
        <v>109</v>
      </c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12"/>
        <v>0</v>
      </c>
      <c r="T28" s="5">
        <v>0</v>
      </c>
      <c r="U28" s="12">
        <f t="shared" si="13"/>
        <v>0</v>
      </c>
      <c r="V28" s="25" t="s">
        <v>10</v>
      </c>
      <c r="W28" s="11">
        <f>IFERROR(VLOOKUP(V28,Curr!$B$2:$C$13,2,FALSE),0)</f>
        <v>11.2</v>
      </c>
      <c r="X28" s="12">
        <f t="shared" si="14"/>
        <v>0</v>
      </c>
      <c r="Y28" s="26">
        <f t="shared" si="19"/>
        <v>0</v>
      </c>
      <c r="Z28" s="12">
        <f t="shared" si="7"/>
        <v>0</v>
      </c>
      <c r="AA28" s="4" t="s">
        <v>10</v>
      </c>
      <c r="AB28" s="11">
        <f>IFERROR(VLOOKUP(AA28,Curr!$B$2:$C$13,2,FALSE),0)</f>
        <v>11.2</v>
      </c>
      <c r="AC28" s="12">
        <f t="shared" si="8"/>
        <v>0</v>
      </c>
      <c r="AD28" s="12">
        <f t="shared" si="9"/>
        <v>0</v>
      </c>
      <c r="AE28" s="13">
        <f t="shared" si="10"/>
        <v>0</v>
      </c>
    </row>
    <row r="29" spans="2:31" x14ac:dyDescent="0.25">
      <c r="B29" s="4"/>
      <c r="C29" s="1" t="s">
        <v>77</v>
      </c>
      <c r="D29" s="1" t="s">
        <v>61</v>
      </c>
      <c r="E29" s="3"/>
      <c r="F29" s="3"/>
      <c r="G29" s="24"/>
      <c r="H29" s="24"/>
      <c r="J29" s="1" t="s">
        <v>115</v>
      </c>
      <c r="K29" s="4"/>
      <c r="L29" s="4"/>
      <c r="M29" s="4"/>
      <c r="N29" s="4"/>
      <c r="O29" s="4" t="s">
        <v>42</v>
      </c>
      <c r="P29" s="33" t="s">
        <v>116</v>
      </c>
      <c r="Q29" s="25">
        <v>115</v>
      </c>
      <c r="R29" s="25">
        <v>2</v>
      </c>
      <c r="S29" s="12">
        <f t="shared" si="12"/>
        <v>230</v>
      </c>
      <c r="T29" s="5">
        <v>0.2</v>
      </c>
      <c r="U29" s="12">
        <f t="shared" si="13"/>
        <v>184</v>
      </c>
      <c r="V29" s="25" t="s">
        <v>10</v>
      </c>
      <c r="W29" s="11">
        <f>IFERROR(VLOOKUP(V29,Curr!$B$2:$C$13,2,FALSE),0)</f>
        <v>11.2</v>
      </c>
      <c r="X29" s="12">
        <f t="shared" si="14"/>
        <v>2060.7999999999997</v>
      </c>
      <c r="Y29" s="26">
        <f>Q29/0.9</f>
        <v>127.77777777777777</v>
      </c>
      <c r="Z29" s="12">
        <f t="shared" ref="Z29" si="20">+Y29*R29</f>
        <v>255.55555555555554</v>
      </c>
      <c r="AA29" s="4" t="s">
        <v>10</v>
      </c>
      <c r="AB29" s="11">
        <f>IFERROR(VLOOKUP(AA29,Curr!$B$2:$C$13,2,FALSE),0)</f>
        <v>11.2</v>
      </c>
      <c r="AC29" s="12">
        <f t="shared" ref="AC29" si="21">+Y29*AB29*R29</f>
        <v>2862.2222222222217</v>
      </c>
      <c r="AD29" s="12">
        <f t="shared" ref="AD29" si="22">+AC29-X29</f>
        <v>801.42222222222199</v>
      </c>
      <c r="AE29" s="13">
        <f t="shared" ref="AE29" si="23">IFERROR(AD29/AC29,0)</f>
        <v>0.27999999999999997</v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33"/>
      <c r="Q30" s="25"/>
      <c r="R30" s="25"/>
      <c r="S30" s="12">
        <f t="shared" si="12"/>
        <v>0</v>
      </c>
      <c r="T30" s="5">
        <v>0</v>
      </c>
      <c r="U30" s="12">
        <f t="shared" si="13"/>
        <v>0</v>
      </c>
      <c r="V30" s="25" t="s">
        <v>10</v>
      </c>
      <c r="W30" s="11">
        <f>IFERROR(VLOOKUP(V30,Curr!$B$2:$C$13,2,FALSE),0)</f>
        <v>11.2</v>
      </c>
      <c r="X30" s="12">
        <f t="shared" si="14"/>
        <v>0</v>
      </c>
      <c r="Y30" s="26">
        <f t="shared" si="15"/>
        <v>0</v>
      </c>
      <c r="Z30" s="12">
        <f t="shared" si="7"/>
        <v>0</v>
      </c>
      <c r="AA30" s="4" t="s">
        <v>10</v>
      </c>
      <c r="AB30" s="11">
        <f>IFERROR(VLOOKUP(AA30,Curr!$B$2:$C$13,2,FALSE),0)</f>
        <v>11.2</v>
      </c>
      <c r="AC30" s="12">
        <f t="shared" si="8"/>
        <v>0</v>
      </c>
      <c r="AD30" s="12">
        <f t="shared" si="9"/>
        <v>0</v>
      </c>
      <c r="AE30" s="13">
        <f t="shared" si="10"/>
        <v>0</v>
      </c>
    </row>
    <row r="31" spans="2:31" x14ac:dyDescent="0.25">
      <c r="B31" s="4"/>
      <c r="C31" s="1" t="s">
        <v>80</v>
      </c>
      <c r="D31" s="1" t="s">
        <v>58</v>
      </c>
      <c r="E31" s="3"/>
      <c r="F31" s="3"/>
      <c r="G31" s="24"/>
      <c r="H31" s="24"/>
      <c r="J31" s="1" t="s">
        <v>109</v>
      </c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 t="shared" si="12"/>
        <v>0</v>
      </c>
      <c r="T31" s="5">
        <v>0</v>
      </c>
      <c r="U31" s="12">
        <f t="shared" si="13"/>
        <v>0</v>
      </c>
      <c r="V31" s="25" t="s">
        <v>10</v>
      </c>
      <c r="W31" s="11">
        <f>IFERROR(VLOOKUP(V31,Curr!$B$2:$C$13,2,FALSE),0)</f>
        <v>11.2</v>
      </c>
      <c r="X31" s="12">
        <f t="shared" si="14"/>
        <v>0</v>
      </c>
      <c r="Y31" s="26">
        <f t="shared" si="15"/>
        <v>0</v>
      </c>
      <c r="Z31" s="12">
        <f t="shared" si="7"/>
        <v>0</v>
      </c>
      <c r="AA31" s="4" t="s">
        <v>10</v>
      </c>
      <c r="AB31" s="11">
        <f>IFERROR(VLOOKUP(AA31,Curr!$B$2:$C$13,2,FALSE),0)</f>
        <v>11.2</v>
      </c>
      <c r="AC31" s="12">
        <f t="shared" si="8"/>
        <v>0</v>
      </c>
      <c r="AD31" s="12">
        <f t="shared" si="9"/>
        <v>0</v>
      </c>
      <c r="AE31" s="13">
        <f t="shared" si="10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/>
      <c r="R32" s="25"/>
      <c r="S32" s="12">
        <f t="shared" si="12"/>
        <v>0</v>
      </c>
      <c r="T32" s="5">
        <v>0</v>
      </c>
      <c r="U32" s="12">
        <f t="shared" si="13"/>
        <v>0</v>
      </c>
      <c r="V32" s="25" t="s">
        <v>10</v>
      </c>
      <c r="W32" s="11">
        <f>IFERROR(VLOOKUP(V32,Curr!$B$2:$C$13,2,FALSE),0)</f>
        <v>11.2</v>
      </c>
      <c r="X32" s="12">
        <f t="shared" si="14"/>
        <v>0</v>
      </c>
      <c r="Y32" s="26">
        <f t="shared" si="15"/>
        <v>0</v>
      </c>
      <c r="Z32" s="12">
        <f t="shared" si="7"/>
        <v>0</v>
      </c>
      <c r="AA32" s="4" t="s">
        <v>10</v>
      </c>
      <c r="AB32" s="11">
        <f>IFERROR(VLOOKUP(AA32,Curr!$B$2:$C$13,2,FALSE),0)</f>
        <v>11.2</v>
      </c>
      <c r="AC32" s="12">
        <f t="shared" si="8"/>
        <v>0</v>
      </c>
      <c r="AD32" s="12">
        <f t="shared" si="9"/>
        <v>0</v>
      </c>
      <c r="AE32" s="13">
        <f t="shared" si="10"/>
        <v>0</v>
      </c>
    </row>
    <row r="33" spans="2:31" x14ac:dyDescent="0.25">
      <c r="B33" s="4"/>
      <c r="C33" s="1" t="s">
        <v>82</v>
      </c>
      <c r="D33" s="1" t="s">
        <v>56</v>
      </c>
      <c r="E33" s="3"/>
      <c r="F33" s="3"/>
      <c r="G33" s="24"/>
      <c r="H33" s="24"/>
      <c r="J33" s="1" t="s">
        <v>111</v>
      </c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12"/>
        <v>0</v>
      </c>
      <c r="T33" s="5">
        <v>0</v>
      </c>
      <c r="U33" s="12">
        <f t="shared" si="13"/>
        <v>0</v>
      </c>
      <c r="V33" s="25" t="s">
        <v>10</v>
      </c>
      <c r="W33" s="11">
        <f>IFERROR(VLOOKUP(V33,Curr!$B$2:$C$13,2,FALSE),0)</f>
        <v>11.2</v>
      </c>
      <c r="X33" s="12">
        <f t="shared" si="14"/>
        <v>0</v>
      </c>
      <c r="Y33" s="26">
        <f>Q33/0.8</f>
        <v>0</v>
      </c>
      <c r="Z33" s="12">
        <f t="shared" si="7"/>
        <v>0</v>
      </c>
      <c r="AA33" s="4" t="s">
        <v>10</v>
      </c>
      <c r="AB33" s="11">
        <f>IFERROR(VLOOKUP(AA33,Curr!$B$2:$C$13,2,FALSE),0)</f>
        <v>11.2</v>
      </c>
      <c r="AC33" s="12">
        <f t="shared" si="8"/>
        <v>0</v>
      </c>
      <c r="AD33" s="12">
        <f t="shared" si="9"/>
        <v>0</v>
      </c>
      <c r="AE33" s="13">
        <f t="shared" si="10"/>
        <v>0</v>
      </c>
    </row>
    <row r="34" spans="2:31" x14ac:dyDescent="0.25">
      <c r="B34" s="4"/>
      <c r="C34" s="1" t="s">
        <v>82</v>
      </c>
      <c r="D34" s="1" t="s">
        <v>83</v>
      </c>
      <c r="E34" s="3"/>
      <c r="F34" s="3"/>
      <c r="G34" s="24"/>
      <c r="H34" s="24"/>
      <c r="J34" s="1" t="s">
        <v>89</v>
      </c>
      <c r="K34" s="4"/>
      <c r="L34" s="4"/>
      <c r="M34" s="4"/>
      <c r="N34" s="4"/>
      <c r="O34" s="4"/>
      <c r="P34" s="27"/>
      <c r="Q34" s="25">
        <v>0</v>
      </c>
      <c r="R34" s="25">
        <v>0</v>
      </c>
      <c r="S34" s="12">
        <f t="shared" si="12"/>
        <v>0</v>
      </c>
      <c r="T34" s="5">
        <v>0</v>
      </c>
      <c r="U34" s="12">
        <f t="shared" si="13"/>
        <v>0</v>
      </c>
      <c r="V34" s="25" t="s">
        <v>10</v>
      </c>
      <c r="W34" s="11">
        <f>IFERROR(VLOOKUP(V34,Curr!$B$2:$C$13,2,FALSE),0)</f>
        <v>11.2</v>
      </c>
      <c r="X34" s="12">
        <f t="shared" si="14"/>
        <v>0</v>
      </c>
      <c r="Y34" s="26">
        <f t="shared" ref="Y34" si="24">Q34</f>
        <v>0</v>
      </c>
      <c r="Z34" s="12">
        <f t="shared" si="7"/>
        <v>0</v>
      </c>
      <c r="AA34" s="4" t="s">
        <v>10</v>
      </c>
      <c r="AB34" s="11">
        <f>IFERROR(VLOOKUP(AA34,Curr!$B$2:$C$13,2,FALSE),0)</f>
        <v>11.2</v>
      </c>
      <c r="AC34" s="12">
        <f t="shared" si="8"/>
        <v>0</v>
      </c>
      <c r="AD34" s="12">
        <f t="shared" si="9"/>
        <v>0</v>
      </c>
      <c r="AE34" s="13">
        <f t="shared" si="10"/>
        <v>0</v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12"/>
        <v>0</v>
      </c>
      <c r="T35" s="5">
        <v>0</v>
      </c>
      <c r="U35" s="12">
        <f t="shared" si="13"/>
        <v>0</v>
      </c>
      <c r="V35" s="25" t="s">
        <v>10</v>
      </c>
      <c r="W35" s="11">
        <f>IFERROR(VLOOKUP(V35,Curr!$B$2:$C$13,2,FALSE),0)</f>
        <v>11.2</v>
      </c>
      <c r="X35" s="12">
        <f t="shared" si="14"/>
        <v>0</v>
      </c>
      <c r="Y35" s="26">
        <f t="shared" si="15"/>
        <v>0</v>
      </c>
      <c r="Z35" s="12">
        <f t="shared" si="7"/>
        <v>0</v>
      </c>
      <c r="AA35" s="4" t="s">
        <v>10</v>
      </c>
      <c r="AB35" s="11">
        <f>IFERROR(VLOOKUP(AA35,Curr!$B$2:$C$13,2,FALSE),0)</f>
        <v>11.2</v>
      </c>
      <c r="AC35" s="12">
        <f t="shared" si="8"/>
        <v>0</v>
      </c>
      <c r="AD35" s="12">
        <f t="shared" si="9"/>
        <v>0</v>
      </c>
      <c r="AE35" s="13">
        <f t="shared" si="10"/>
        <v>0</v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2"/>
        <v>0</v>
      </c>
      <c r="T36" s="5">
        <v>0</v>
      </c>
      <c r="U36" s="12">
        <f t="shared" si="13"/>
        <v>0</v>
      </c>
      <c r="V36" s="25" t="s">
        <v>10</v>
      </c>
      <c r="W36" s="11">
        <f>IFERROR(VLOOKUP(V36,Curr!$B$2:$C$13,2,FALSE),0)</f>
        <v>11.2</v>
      </c>
      <c r="X36" s="12">
        <f t="shared" si="14"/>
        <v>0</v>
      </c>
      <c r="Y36" s="26">
        <f t="shared" si="15"/>
        <v>0</v>
      </c>
      <c r="Z36" s="12">
        <f t="shared" si="7"/>
        <v>0</v>
      </c>
      <c r="AA36" s="4" t="s">
        <v>10</v>
      </c>
      <c r="AB36" s="11">
        <f>IFERROR(VLOOKUP(AA36,Curr!$B$2:$C$13,2,FALSE),0)</f>
        <v>11.2</v>
      </c>
      <c r="AC36" s="12">
        <f t="shared" si="8"/>
        <v>0</v>
      </c>
      <c r="AD36" s="12">
        <f t="shared" si="9"/>
        <v>0</v>
      </c>
      <c r="AE36" s="13">
        <f t="shared" si="10"/>
        <v>0</v>
      </c>
    </row>
    <row r="37" spans="2:31" x14ac:dyDescent="0.25">
      <c r="B37" s="4"/>
      <c r="C37" s="1" t="s">
        <v>54</v>
      </c>
      <c r="D37" s="1" t="s">
        <v>97</v>
      </c>
      <c r="E37" s="3"/>
      <c r="F37" s="3"/>
      <c r="G37" s="24"/>
      <c r="H37" s="24"/>
      <c r="J37" s="1" t="s">
        <v>90</v>
      </c>
      <c r="K37" s="4"/>
      <c r="L37" s="4"/>
      <c r="M37" s="4"/>
      <c r="N37" s="4"/>
      <c r="O37" s="4" t="s">
        <v>42</v>
      </c>
      <c r="P37" s="27"/>
      <c r="Q37" s="25">
        <v>80</v>
      </c>
      <c r="R37" s="25">
        <v>0</v>
      </c>
      <c r="S37" s="12">
        <f t="shared" si="12"/>
        <v>0</v>
      </c>
      <c r="T37" s="5">
        <v>0</v>
      </c>
      <c r="U37" s="12">
        <f t="shared" si="13"/>
        <v>0</v>
      </c>
      <c r="V37" s="25" t="s">
        <v>10</v>
      </c>
      <c r="W37" s="11">
        <f>IFERROR(VLOOKUP(V37,Curr!$B$2:$C$13,2,FALSE),0)</f>
        <v>11.2</v>
      </c>
      <c r="X37" s="12">
        <f t="shared" si="14"/>
        <v>0</v>
      </c>
      <c r="Y37" s="26">
        <f>Q37/0.8</f>
        <v>100</v>
      </c>
      <c r="Z37" s="12">
        <f t="shared" si="7"/>
        <v>0</v>
      </c>
      <c r="AA37" s="4" t="s">
        <v>10</v>
      </c>
      <c r="AB37" s="11">
        <f>IFERROR(VLOOKUP(AA37,Curr!$B$2:$C$13,2,FALSE),0)</f>
        <v>11.2</v>
      </c>
      <c r="AC37" s="12">
        <f t="shared" si="8"/>
        <v>0</v>
      </c>
      <c r="AD37" s="12">
        <f t="shared" si="9"/>
        <v>0</v>
      </c>
      <c r="AE37" s="13">
        <f t="shared" si="10"/>
        <v>0</v>
      </c>
    </row>
    <row r="38" spans="2:31" x14ac:dyDescent="0.25">
      <c r="B38" s="4"/>
      <c r="C38" s="1" t="s">
        <v>60</v>
      </c>
      <c r="D38" s="1" t="s">
        <v>97</v>
      </c>
      <c r="E38" s="3"/>
      <c r="F38" s="3"/>
      <c r="G38" s="24"/>
      <c r="H38" s="24"/>
      <c r="J38" s="1" t="s">
        <v>95</v>
      </c>
      <c r="K38" s="4"/>
      <c r="L38" s="4"/>
      <c r="M38" s="4"/>
      <c r="N38" s="4"/>
      <c r="O38" s="4" t="s">
        <v>42</v>
      </c>
      <c r="P38" s="33"/>
      <c r="Q38" s="25">
        <v>60</v>
      </c>
      <c r="R38" s="25">
        <v>0</v>
      </c>
      <c r="S38" s="12">
        <f t="shared" si="12"/>
        <v>0</v>
      </c>
      <c r="T38" s="5">
        <v>0</v>
      </c>
      <c r="U38" s="12">
        <f t="shared" si="13"/>
        <v>0</v>
      </c>
      <c r="V38" s="25" t="s">
        <v>10</v>
      </c>
      <c r="W38" s="11">
        <f>IFERROR(VLOOKUP(V38,Curr!$B$2:$C$13,2,FALSE),0)</f>
        <v>11.2</v>
      </c>
      <c r="X38" s="12">
        <f t="shared" si="14"/>
        <v>0</v>
      </c>
      <c r="Y38" s="26">
        <f>Q38/0.75</f>
        <v>80</v>
      </c>
      <c r="Z38" s="12">
        <f t="shared" si="7"/>
        <v>0</v>
      </c>
      <c r="AA38" s="4" t="s">
        <v>10</v>
      </c>
      <c r="AB38" s="11">
        <f>IFERROR(VLOOKUP(AA38,Curr!$B$2:$C$13,2,FALSE),0)</f>
        <v>11.2</v>
      </c>
      <c r="AC38" s="12">
        <f t="shared" si="8"/>
        <v>0</v>
      </c>
      <c r="AD38" s="12">
        <f t="shared" si="9"/>
        <v>0</v>
      </c>
      <c r="AE38" s="13">
        <f t="shared" si="10"/>
        <v>0</v>
      </c>
    </row>
    <row r="39" spans="2:31" x14ac:dyDescent="0.25">
      <c r="B39" s="4"/>
      <c r="C39" s="1" t="s">
        <v>68</v>
      </c>
      <c r="D39" s="1" t="s">
        <v>97</v>
      </c>
      <c r="E39" s="3"/>
      <c r="F39" s="3"/>
      <c r="G39" s="24"/>
      <c r="H39" s="24"/>
      <c r="J39" s="1" t="s">
        <v>96</v>
      </c>
      <c r="K39" s="4"/>
      <c r="L39" s="4"/>
      <c r="M39" s="4"/>
      <c r="N39" s="4"/>
      <c r="O39" s="4" t="s">
        <v>42</v>
      </c>
      <c r="P39" s="27"/>
      <c r="Q39" s="25">
        <v>40</v>
      </c>
      <c r="R39" s="25">
        <v>0</v>
      </c>
      <c r="S39" s="12">
        <f t="shared" si="12"/>
        <v>0</v>
      </c>
      <c r="T39" s="5">
        <v>0</v>
      </c>
      <c r="U39" s="12">
        <f t="shared" si="13"/>
        <v>0</v>
      </c>
      <c r="V39" s="25" t="s">
        <v>10</v>
      </c>
      <c r="W39" s="11">
        <f>IFERROR(VLOOKUP(V39,Curr!$B$2:$C$13,2,FALSE),0)</f>
        <v>11.2</v>
      </c>
      <c r="X39" s="12">
        <f t="shared" si="14"/>
        <v>0</v>
      </c>
      <c r="Y39" s="26">
        <f>Q39/0.665</f>
        <v>60.150375939849624</v>
      </c>
      <c r="Z39" s="12">
        <f t="shared" si="7"/>
        <v>0</v>
      </c>
      <c r="AA39" s="4" t="s">
        <v>10</v>
      </c>
      <c r="AB39" s="11">
        <f>IFERROR(VLOOKUP(AA39,Curr!$B$2:$C$13,2,FALSE),0)</f>
        <v>11.2</v>
      </c>
      <c r="AC39" s="12">
        <f t="shared" si="8"/>
        <v>0</v>
      </c>
      <c r="AD39" s="12">
        <f t="shared" si="9"/>
        <v>0</v>
      </c>
      <c r="AE39" s="13">
        <f t="shared" si="10"/>
        <v>0</v>
      </c>
    </row>
    <row r="40" spans="2:31" x14ac:dyDescent="0.25">
      <c r="B40" s="4"/>
      <c r="C40" s="1" t="s">
        <v>77</v>
      </c>
      <c r="D40" s="1" t="s">
        <v>97</v>
      </c>
      <c r="E40" s="3"/>
      <c r="F40" s="3"/>
      <c r="G40" s="24"/>
      <c r="H40" s="24"/>
      <c r="J40" s="1" t="s">
        <v>106</v>
      </c>
      <c r="K40" s="4"/>
      <c r="L40" s="4"/>
      <c r="M40" s="4"/>
      <c r="N40" s="4"/>
      <c r="O40" s="4" t="s">
        <v>42</v>
      </c>
      <c r="P40" s="27"/>
      <c r="Q40" s="25">
        <v>40</v>
      </c>
      <c r="R40" s="25">
        <v>0</v>
      </c>
      <c r="S40" s="12">
        <f t="shared" si="12"/>
        <v>0</v>
      </c>
      <c r="T40" s="5">
        <v>0</v>
      </c>
      <c r="U40" s="12">
        <f t="shared" si="13"/>
        <v>0</v>
      </c>
      <c r="V40" s="25" t="s">
        <v>10</v>
      </c>
      <c r="W40" s="11">
        <f>IFERROR(VLOOKUP(V40,Curr!$B$2:$C$13,2,FALSE),0)</f>
        <v>11.2</v>
      </c>
      <c r="X40" s="12">
        <f t="shared" si="14"/>
        <v>0</v>
      </c>
      <c r="Y40" s="26">
        <f>Q40/0.665</f>
        <v>60.150375939849624</v>
      </c>
      <c r="Z40" s="12">
        <f t="shared" si="7"/>
        <v>0</v>
      </c>
      <c r="AA40" s="4" t="s">
        <v>10</v>
      </c>
      <c r="AB40" s="11">
        <f>IFERROR(VLOOKUP(AA40,Curr!$B$2:$C$13,2,FALSE),0)</f>
        <v>11.2</v>
      </c>
      <c r="AC40" s="12">
        <f t="shared" si="8"/>
        <v>0</v>
      </c>
      <c r="AD40" s="12">
        <f t="shared" si="9"/>
        <v>0</v>
      </c>
      <c r="AE40" s="13">
        <f t="shared" si="10"/>
        <v>0</v>
      </c>
    </row>
    <row r="41" spans="2:31" x14ac:dyDescent="0.25">
      <c r="B41" s="4"/>
      <c r="C41" s="1" t="s">
        <v>80</v>
      </c>
      <c r="D41" s="1" t="s">
        <v>97</v>
      </c>
      <c r="E41" s="3"/>
      <c r="F41" s="3"/>
      <c r="G41" s="24"/>
      <c r="H41" s="24"/>
      <c r="J41" s="1" t="s">
        <v>113</v>
      </c>
      <c r="K41" s="4"/>
      <c r="L41" s="4"/>
      <c r="M41" s="4"/>
      <c r="N41" s="4"/>
      <c r="O41" s="4"/>
      <c r="P41" s="33" t="s">
        <v>118</v>
      </c>
      <c r="Q41" s="25">
        <v>35</v>
      </c>
      <c r="R41" s="25">
        <v>0</v>
      </c>
      <c r="S41" s="12">
        <f t="shared" si="12"/>
        <v>0</v>
      </c>
      <c r="T41" s="5">
        <v>0</v>
      </c>
      <c r="U41" s="12">
        <f t="shared" si="13"/>
        <v>0</v>
      </c>
      <c r="V41" s="25" t="s">
        <v>10</v>
      </c>
      <c r="W41" s="11">
        <f>IFERROR(VLOOKUP(V41,Curr!$B$2:$C$13,2,FALSE),0)</f>
        <v>11.2</v>
      </c>
      <c r="X41" s="12">
        <f t="shared" si="14"/>
        <v>0</v>
      </c>
      <c r="Y41" s="26">
        <f>Q41/0.785</f>
        <v>44.585987261146492</v>
      </c>
      <c r="Z41" s="12">
        <f t="shared" si="7"/>
        <v>0</v>
      </c>
      <c r="AA41" s="4" t="s">
        <v>10</v>
      </c>
      <c r="AB41" s="11">
        <f>IFERROR(VLOOKUP(AA41,Curr!$B$2:$C$13,2,FALSE),0)</f>
        <v>11.2</v>
      </c>
      <c r="AC41" s="12">
        <f t="shared" si="8"/>
        <v>0</v>
      </c>
      <c r="AD41" s="12">
        <f t="shared" si="9"/>
        <v>0</v>
      </c>
      <c r="AE41" s="13">
        <f t="shared" si="10"/>
        <v>0</v>
      </c>
    </row>
    <row r="42" spans="2:31" x14ac:dyDescent="0.25">
      <c r="B42" s="4"/>
      <c r="C42" s="1" t="s">
        <v>82</v>
      </c>
      <c r="D42" s="1" t="s">
        <v>97</v>
      </c>
      <c r="E42" s="3"/>
      <c r="F42" s="3"/>
      <c r="G42" s="24"/>
      <c r="H42" s="24"/>
      <c r="J42" s="1" t="s">
        <v>114</v>
      </c>
      <c r="K42" s="4"/>
      <c r="L42" s="4"/>
      <c r="M42" s="4"/>
      <c r="N42" s="4"/>
      <c r="O42" s="4"/>
      <c r="P42" s="33" t="s">
        <v>117</v>
      </c>
      <c r="Q42" s="25">
        <v>90</v>
      </c>
      <c r="R42" s="25">
        <v>0</v>
      </c>
      <c r="S42" s="12">
        <f t="shared" si="12"/>
        <v>0</v>
      </c>
      <c r="T42" s="5">
        <v>0</v>
      </c>
      <c r="U42" s="12">
        <f t="shared" si="13"/>
        <v>0</v>
      </c>
      <c r="V42" s="25" t="s">
        <v>10</v>
      </c>
      <c r="W42" s="11">
        <f>IFERROR(VLOOKUP(V42,Curr!$B$2:$C$13,2,FALSE),0)</f>
        <v>11.2</v>
      </c>
      <c r="X42" s="12">
        <f t="shared" si="14"/>
        <v>0</v>
      </c>
      <c r="Y42" s="26">
        <f>Q42/0.785</f>
        <v>114.64968152866241</v>
      </c>
      <c r="Z42" s="12">
        <f t="shared" si="7"/>
        <v>0</v>
      </c>
      <c r="AA42" s="4" t="s">
        <v>10</v>
      </c>
      <c r="AB42" s="11">
        <f>IFERROR(VLOOKUP(AA42,Curr!$B$2:$C$13,2,FALSE),0)</f>
        <v>11.2</v>
      </c>
      <c r="AC42" s="12">
        <f t="shared" si="8"/>
        <v>0</v>
      </c>
      <c r="AD42" s="12">
        <f t="shared" si="9"/>
        <v>0</v>
      </c>
      <c r="AE42" s="13">
        <f t="shared" si="10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/>
      <c r="R43" s="25"/>
      <c r="S43" s="12">
        <f t="shared" si="12"/>
        <v>0</v>
      </c>
      <c r="T43" s="5">
        <v>0</v>
      </c>
      <c r="U43" s="12">
        <f t="shared" si="13"/>
        <v>0</v>
      </c>
      <c r="V43" s="25" t="s">
        <v>10</v>
      </c>
      <c r="W43" s="11">
        <f>IFERROR(VLOOKUP(V43,Curr!$B$2:$C$13,2,FALSE),0)</f>
        <v>11.2</v>
      </c>
      <c r="X43" s="12">
        <f t="shared" si="14"/>
        <v>0</v>
      </c>
      <c r="Y43" s="26">
        <f t="shared" si="15"/>
        <v>0</v>
      </c>
      <c r="Z43" s="12">
        <f t="shared" si="7"/>
        <v>0</v>
      </c>
      <c r="AA43" s="4" t="s">
        <v>10</v>
      </c>
      <c r="AB43" s="11">
        <f>IFERROR(VLOOKUP(AA43,Curr!$B$2:$C$13,2,FALSE),0)</f>
        <v>11.2</v>
      </c>
      <c r="AC43" s="12">
        <f t="shared" si="8"/>
        <v>0</v>
      </c>
      <c r="AD43" s="12">
        <f t="shared" si="9"/>
        <v>0</v>
      </c>
      <c r="AE43" s="13">
        <f t="shared" si="10"/>
        <v>0</v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/>
      <c r="R44" s="25"/>
      <c r="S44" s="12">
        <f t="shared" si="12"/>
        <v>0</v>
      </c>
      <c r="T44" s="5">
        <v>0</v>
      </c>
      <c r="U44" s="12">
        <f t="shared" si="13"/>
        <v>0</v>
      </c>
      <c r="V44" s="25" t="s">
        <v>10</v>
      </c>
      <c r="W44" s="11">
        <f>IFERROR(VLOOKUP(V44,Curr!$B$2:$C$13,2,FALSE),0)</f>
        <v>11.2</v>
      </c>
      <c r="X44" s="12">
        <f t="shared" si="14"/>
        <v>0</v>
      </c>
      <c r="Y44" s="26">
        <f t="shared" si="15"/>
        <v>0</v>
      </c>
      <c r="Z44" s="12">
        <f t="shared" si="7"/>
        <v>0</v>
      </c>
      <c r="AA44" s="4" t="s">
        <v>10</v>
      </c>
      <c r="AB44" s="11">
        <f>IFERROR(VLOOKUP(AA44,Curr!$B$2:$C$13,2,FALSE),0)</f>
        <v>11.2</v>
      </c>
      <c r="AC44" s="12">
        <f t="shared" si="8"/>
        <v>0</v>
      </c>
      <c r="AD44" s="12">
        <f t="shared" si="9"/>
        <v>0</v>
      </c>
      <c r="AE44" s="13">
        <f t="shared" si="10"/>
        <v>0</v>
      </c>
    </row>
    <row r="45" spans="2:31" x14ac:dyDescent="0.25">
      <c r="B45" s="4"/>
      <c r="C45" s="1" t="s">
        <v>60</v>
      </c>
      <c r="D45" s="1" t="s">
        <v>98</v>
      </c>
      <c r="E45" s="3"/>
      <c r="F45" s="3"/>
      <c r="G45" s="24"/>
      <c r="H45" s="24"/>
      <c r="J45" s="1" t="s">
        <v>91</v>
      </c>
      <c r="K45" s="4"/>
      <c r="L45" s="4"/>
      <c r="M45" s="4"/>
      <c r="N45" s="4"/>
      <c r="O45" s="4" t="s">
        <v>42</v>
      </c>
      <c r="P45" s="29" t="s">
        <v>92</v>
      </c>
      <c r="Q45" s="25">
        <f>(40+40)+(50*2)</f>
        <v>180</v>
      </c>
      <c r="R45" s="25">
        <v>0</v>
      </c>
      <c r="S45" s="12">
        <f t="shared" si="12"/>
        <v>0</v>
      </c>
      <c r="T45" s="5">
        <v>0</v>
      </c>
      <c r="U45" s="12">
        <f t="shared" si="13"/>
        <v>0</v>
      </c>
      <c r="V45" s="25" t="s">
        <v>10</v>
      </c>
      <c r="W45" s="11">
        <f>IFERROR(VLOOKUP(V45,Curr!$B$2:$C$13,2,FALSE),0)</f>
        <v>11.2</v>
      </c>
      <c r="X45" s="12">
        <f t="shared" si="14"/>
        <v>0</v>
      </c>
      <c r="Y45" s="26">
        <f>Q45/0.8</f>
        <v>225</v>
      </c>
      <c r="Z45" s="12">
        <f t="shared" si="7"/>
        <v>0</v>
      </c>
      <c r="AA45" s="4" t="s">
        <v>10</v>
      </c>
      <c r="AB45" s="11">
        <f>IFERROR(VLOOKUP(AA45,Curr!$B$2:$C$13,2,FALSE),0)</f>
        <v>11.2</v>
      </c>
      <c r="AC45" s="12">
        <f t="shared" si="8"/>
        <v>0</v>
      </c>
      <c r="AD45" s="12">
        <f t="shared" si="9"/>
        <v>0</v>
      </c>
      <c r="AE45" s="13">
        <f t="shared" si="10"/>
        <v>0</v>
      </c>
    </row>
    <row r="46" spans="2:31" x14ac:dyDescent="0.25">
      <c r="B46" s="4"/>
      <c r="C46" s="1" t="s">
        <v>60</v>
      </c>
      <c r="D46" s="1" t="s">
        <v>98</v>
      </c>
      <c r="E46" s="3"/>
      <c r="F46" s="3"/>
      <c r="G46" s="24"/>
      <c r="H46" s="24"/>
      <c r="J46" s="1" t="s">
        <v>93</v>
      </c>
      <c r="K46" s="4"/>
      <c r="L46" s="4"/>
      <c r="M46" s="4"/>
      <c r="N46" s="4"/>
      <c r="O46" s="4" t="s">
        <v>42</v>
      </c>
      <c r="P46" s="33" t="s">
        <v>94</v>
      </c>
      <c r="Q46" s="25">
        <v>25</v>
      </c>
      <c r="R46" s="25">
        <v>0</v>
      </c>
      <c r="S46" s="12">
        <f t="shared" si="12"/>
        <v>0</v>
      </c>
      <c r="T46" s="5">
        <v>0</v>
      </c>
      <c r="U46" s="12">
        <f t="shared" si="13"/>
        <v>0</v>
      </c>
      <c r="V46" s="25" t="s">
        <v>10</v>
      </c>
      <c r="W46" s="11">
        <f>IFERROR(VLOOKUP(V46,Curr!$B$2:$C$13,2,FALSE),0)</f>
        <v>11.2</v>
      </c>
      <c r="X46" s="12">
        <f t="shared" si="14"/>
        <v>0</v>
      </c>
      <c r="Y46" s="26">
        <f>Q46/0.62</f>
        <v>40.322580645161288</v>
      </c>
      <c r="Z46" s="12">
        <f t="shared" si="7"/>
        <v>0</v>
      </c>
      <c r="AA46" s="4" t="s">
        <v>10</v>
      </c>
      <c r="AB46" s="11">
        <f>IFERROR(VLOOKUP(AA46,Curr!$B$2:$C$13,2,FALSE),0)</f>
        <v>11.2</v>
      </c>
      <c r="AC46" s="12">
        <f t="shared" si="8"/>
        <v>0</v>
      </c>
      <c r="AD46" s="12">
        <f t="shared" si="9"/>
        <v>0</v>
      </c>
      <c r="AE46" s="13">
        <f t="shared" si="10"/>
        <v>0</v>
      </c>
    </row>
    <row r="47" spans="2:31" x14ac:dyDescent="0.25">
      <c r="B47" s="4"/>
      <c r="C47" s="1" t="s">
        <v>72</v>
      </c>
      <c r="D47" s="1" t="s">
        <v>98</v>
      </c>
      <c r="E47" s="3"/>
      <c r="F47" s="3"/>
      <c r="G47" s="24"/>
      <c r="H47" s="24"/>
      <c r="J47" s="1" t="s">
        <v>99</v>
      </c>
      <c r="K47" s="4"/>
      <c r="L47" s="4"/>
      <c r="M47" s="4"/>
      <c r="N47" s="4"/>
      <c r="O47" s="4" t="s">
        <v>42</v>
      </c>
      <c r="P47" s="33" t="s">
        <v>100</v>
      </c>
      <c r="Q47" s="25">
        <v>252</v>
      </c>
      <c r="R47" s="25">
        <v>0</v>
      </c>
      <c r="S47" s="12">
        <f t="shared" si="12"/>
        <v>0</v>
      </c>
      <c r="T47" s="5">
        <v>0.2</v>
      </c>
      <c r="U47" s="12">
        <f t="shared" si="13"/>
        <v>0</v>
      </c>
      <c r="V47" s="25" t="s">
        <v>10</v>
      </c>
      <c r="W47" s="11">
        <f>IFERROR(VLOOKUP(V47,Curr!$B$2:$C$13,2,FALSE),0)</f>
        <v>11.2</v>
      </c>
      <c r="X47" s="12">
        <f t="shared" si="14"/>
        <v>0</v>
      </c>
      <c r="Y47" s="26">
        <f t="shared" ref="Y47" si="25">Q47</f>
        <v>252</v>
      </c>
      <c r="Z47" s="12">
        <f t="shared" si="7"/>
        <v>0</v>
      </c>
      <c r="AA47" s="4" t="s">
        <v>10</v>
      </c>
      <c r="AB47" s="11">
        <f>IFERROR(VLOOKUP(AA47,Curr!$B$2:$C$13,2,FALSE),0)</f>
        <v>11.2</v>
      </c>
      <c r="AC47" s="12">
        <f t="shared" si="8"/>
        <v>0</v>
      </c>
      <c r="AD47" s="12">
        <f t="shared" si="9"/>
        <v>0</v>
      </c>
      <c r="AE47" s="13">
        <f t="shared" si="10"/>
        <v>0</v>
      </c>
    </row>
    <row r="48" spans="2:31" x14ac:dyDescent="0.25">
      <c r="B48" s="4"/>
      <c r="C48" s="1" t="s">
        <v>72</v>
      </c>
      <c r="D48" s="1" t="s">
        <v>178</v>
      </c>
      <c r="E48" s="3"/>
      <c r="F48" s="3"/>
      <c r="G48" s="24"/>
      <c r="H48" s="24"/>
      <c r="J48" s="1" t="s">
        <v>174</v>
      </c>
      <c r="K48" s="4"/>
      <c r="L48" s="4"/>
      <c r="M48" s="4"/>
      <c r="N48" s="4"/>
      <c r="O48" s="4" t="s">
        <v>42</v>
      </c>
      <c r="P48" s="33" t="s">
        <v>175</v>
      </c>
      <c r="Q48" s="25">
        <v>72</v>
      </c>
      <c r="R48" s="25">
        <v>0</v>
      </c>
      <c r="S48" s="12">
        <f t="shared" si="12"/>
        <v>0</v>
      </c>
      <c r="T48" s="5">
        <v>0.2</v>
      </c>
      <c r="U48" s="12">
        <f t="shared" si="13"/>
        <v>0</v>
      </c>
      <c r="V48" s="25" t="s">
        <v>10</v>
      </c>
      <c r="W48" s="11">
        <f>IFERROR(VLOOKUP(V48,Curr!$B$2:$C$13,2,FALSE),0)</f>
        <v>11.2</v>
      </c>
      <c r="X48" s="12">
        <f t="shared" si="14"/>
        <v>0</v>
      </c>
      <c r="Y48" s="26">
        <f t="shared" si="15"/>
        <v>72</v>
      </c>
      <c r="Z48" s="12">
        <f t="shared" si="7"/>
        <v>0</v>
      </c>
      <c r="AA48" s="4" t="s">
        <v>10</v>
      </c>
      <c r="AB48" s="11">
        <f>IFERROR(VLOOKUP(AA48,Curr!$B$2:$C$13,2,FALSE),0)</f>
        <v>11.2</v>
      </c>
      <c r="AC48" s="12">
        <f t="shared" si="8"/>
        <v>0</v>
      </c>
      <c r="AD48" s="12">
        <f t="shared" si="9"/>
        <v>0</v>
      </c>
      <c r="AE48" s="13">
        <f t="shared" si="10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27"/>
      <c r="Q49" s="25"/>
      <c r="R49" s="25"/>
      <c r="S49" s="12">
        <f t="shared" si="12"/>
        <v>0</v>
      </c>
      <c r="T49" s="5">
        <v>0</v>
      </c>
      <c r="U49" s="12">
        <f t="shared" si="13"/>
        <v>0</v>
      </c>
      <c r="V49" s="25" t="s">
        <v>10</v>
      </c>
      <c r="W49" s="11">
        <f>IFERROR(VLOOKUP(V49,Curr!$B$2:$C$13,2,FALSE),0)</f>
        <v>11.2</v>
      </c>
      <c r="X49" s="12">
        <f t="shared" si="14"/>
        <v>0</v>
      </c>
      <c r="Y49" s="26">
        <f t="shared" si="15"/>
        <v>0</v>
      </c>
      <c r="Z49" s="12">
        <f t="shared" si="7"/>
        <v>0</v>
      </c>
      <c r="AA49" s="4" t="s">
        <v>10</v>
      </c>
      <c r="AB49" s="11">
        <f>IFERROR(VLOOKUP(AA49,Curr!$B$2:$C$13,2,FALSE),0)</f>
        <v>11.2</v>
      </c>
      <c r="AC49" s="12">
        <f t="shared" si="8"/>
        <v>0</v>
      </c>
      <c r="AD49" s="12">
        <f t="shared" si="9"/>
        <v>0</v>
      </c>
      <c r="AE49" s="13">
        <f t="shared" si="10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12"/>
        <v>0</v>
      </c>
      <c r="T50" s="5">
        <v>0</v>
      </c>
      <c r="U50" s="12">
        <f t="shared" si="13"/>
        <v>0</v>
      </c>
      <c r="V50" s="25" t="s">
        <v>10</v>
      </c>
      <c r="W50" s="11">
        <f>IFERROR(VLOOKUP(V50,Curr!$B$2:$C$13,2,FALSE),0)</f>
        <v>11.2</v>
      </c>
      <c r="X50" s="12">
        <f t="shared" si="14"/>
        <v>0</v>
      </c>
      <c r="Y50" s="26">
        <f t="shared" si="15"/>
        <v>0</v>
      </c>
      <c r="Z50" s="12">
        <f t="shared" si="7"/>
        <v>0</v>
      </c>
      <c r="AA50" s="4" t="s">
        <v>10</v>
      </c>
      <c r="AB50" s="11">
        <f>IFERROR(VLOOKUP(AA50,Curr!$B$2:$C$13,2,FALSE),0)</f>
        <v>11.2</v>
      </c>
      <c r="AC50" s="12">
        <f t="shared" si="8"/>
        <v>0</v>
      </c>
      <c r="AD50" s="12">
        <f t="shared" si="9"/>
        <v>0</v>
      </c>
      <c r="AE50" s="13">
        <f t="shared" si="10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33"/>
      <c r="Q51" s="25"/>
      <c r="R51" s="25"/>
      <c r="S51" s="12">
        <f t="shared" si="12"/>
        <v>0</v>
      </c>
      <c r="T51" s="5">
        <v>0</v>
      </c>
      <c r="U51" s="12">
        <f t="shared" si="13"/>
        <v>0</v>
      </c>
      <c r="V51" s="25" t="s">
        <v>10</v>
      </c>
      <c r="W51" s="11">
        <f>IFERROR(VLOOKUP(V51,Curr!$B$2:$C$13,2,FALSE),0)</f>
        <v>11.2</v>
      </c>
      <c r="X51" s="12">
        <f t="shared" si="14"/>
        <v>0</v>
      </c>
      <c r="Y51" s="26">
        <f t="shared" si="15"/>
        <v>0</v>
      </c>
      <c r="Z51" s="12">
        <f t="shared" si="7"/>
        <v>0</v>
      </c>
      <c r="AA51" s="4" t="s">
        <v>10</v>
      </c>
      <c r="AB51" s="11">
        <f>IFERROR(VLOOKUP(AA51,Curr!$B$2:$C$13,2,FALSE),0)</f>
        <v>11.2</v>
      </c>
      <c r="AC51" s="12">
        <f t="shared" si="8"/>
        <v>0</v>
      </c>
      <c r="AD51" s="12">
        <f t="shared" si="9"/>
        <v>0</v>
      </c>
      <c r="AE51" s="13">
        <f t="shared" si="10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12"/>
        <v>0</v>
      </c>
      <c r="T52" s="5">
        <v>0</v>
      </c>
      <c r="U52" s="12">
        <f t="shared" si="13"/>
        <v>0</v>
      </c>
      <c r="V52" s="25" t="s">
        <v>10</v>
      </c>
      <c r="W52" s="11">
        <f>IFERROR(VLOOKUP(V52,Curr!$B$2:$C$13,2,FALSE),0)</f>
        <v>11.2</v>
      </c>
      <c r="X52" s="12">
        <f t="shared" si="14"/>
        <v>0</v>
      </c>
      <c r="Y52" s="26">
        <f t="shared" si="15"/>
        <v>0</v>
      </c>
      <c r="Z52" s="12">
        <f t="shared" si="7"/>
        <v>0</v>
      </c>
      <c r="AA52" s="4" t="s">
        <v>10</v>
      </c>
      <c r="AB52" s="11">
        <f>IFERROR(VLOOKUP(AA52,Curr!$B$2:$C$13,2,FALSE),0)</f>
        <v>11.2</v>
      </c>
      <c r="AC52" s="12">
        <f t="shared" si="8"/>
        <v>0</v>
      </c>
      <c r="AD52" s="12">
        <f t="shared" si="9"/>
        <v>0</v>
      </c>
      <c r="AE52" s="13">
        <f t="shared" si="10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/>
      <c r="R53" s="25"/>
      <c r="S53" s="12">
        <f t="shared" si="12"/>
        <v>0</v>
      </c>
      <c r="T53" s="5">
        <v>0</v>
      </c>
      <c r="U53" s="12">
        <f t="shared" si="13"/>
        <v>0</v>
      </c>
      <c r="V53" s="25" t="s">
        <v>10</v>
      </c>
      <c r="W53" s="11">
        <f>IFERROR(VLOOKUP(V53,Curr!$B$2:$C$13,2,FALSE),0)</f>
        <v>11.2</v>
      </c>
      <c r="X53" s="12">
        <f t="shared" si="14"/>
        <v>0</v>
      </c>
      <c r="Y53" s="26">
        <f t="shared" si="15"/>
        <v>0</v>
      </c>
      <c r="Z53" s="12">
        <f t="shared" si="7"/>
        <v>0</v>
      </c>
      <c r="AA53" s="4" t="s">
        <v>10</v>
      </c>
      <c r="AB53" s="11">
        <f>IFERROR(VLOOKUP(AA53,Curr!$B$2:$C$13,2,FALSE),0)</f>
        <v>11.2</v>
      </c>
      <c r="AC53" s="12">
        <f t="shared" si="8"/>
        <v>0</v>
      </c>
      <c r="AD53" s="12">
        <f t="shared" si="9"/>
        <v>0</v>
      </c>
      <c r="AE53" s="13">
        <f t="shared" si="10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12"/>
        <v>0</v>
      </c>
      <c r="T54" s="5">
        <v>0</v>
      </c>
      <c r="U54" s="12">
        <f t="shared" si="13"/>
        <v>0</v>
      </c>
      <c r="V54" s="25" t="s">
        <v>10</v>
      </c>
      <c r="W54" s="11">
        <f>IFERROR(VLOOKUP(V54,Curr!$B$2:$C$13,2,FALSE),0)</f>
        <v>11.2</v>
      </c>
      <c r="X54" s="12">
        <f t="shared" si="14"/>
        <v>0</v>
      </c>
      <c r="Y54" s="26">
        <f t="shared" si="15"/>
        <v>0</v>
      </c>
      <c r="Z54" s="12">
        <f t="shared" si="7"/>
        <v>0</v>
      </c>
      <c r="AA54" s="4" t="s">
        <v>10</v>
      </c>
      <c r="AB54" s="11">
        <f>IFERROR(VLOOKUP(AA54,Curr!$B$2:$C$13,2,FALSE),0)</f>
        <v>11.2</v>
      </c>
      <c r="AC54" s="12">
        <f t="shared" si="8"/>
        <v>0</v>
      </c>
      <c r="AD54" s="12">
        <f t="shared" si="9"/>
        <v>0</v>
      </c>
      <c r="AE54" s="13">
        <f t="shared" si="10"/>
        <v>0</v>
      </c>
    </row>
    <row r="55" spans="2:36" x14ac:dyDescent="0.25">
      <c r="B55" s="4"/>
      <c r="E55" s="3"/>
      <c r="F55" s="3"/>
      <c r="G55" s="3"/>
      <c r="H55" s="3"/>
      <c r="L55" s="4"/>
      <c r="M55" s="4"/>
      <c r="N55" s="4"/>
      <c r="O55" s="4"/>
      <c r="P55" s="22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2:36" x14ac:dyDescent="0.25">
      <c r="B56" s="14" t="s">
        <v>18</v>
      </c>
      <c r="C56" s="14"/>
      <c r="D56" s="28" t="s">
        <v>42</v>
      </c>
      <c r="E56" s="30" t="s">
        <v>42</v>
      </c>
      <c r="F56" s="30" t="s">
        <v>42</v>
      </c>
      <c r="G56" s="30" t="s">
        <v>42</v>
      </c>
      <c r="H56" s="30" t="s">
        <v>42</v>
      </c>
      <c r="I56" s="28" t="s">
        <v>42</v>
      </c>
      <c r="J56" s="28" t="s">
        <v>42</v>
      </c>
      <c r="K56" s="28" t="s">
        <v>42</v>
      </c>
      <c r="L56" s="28" t="s">
        <v>42</v>
      </c>
      <c r="M56" s="28" t="s">
        <v>42</v>
      </c>
      <c r="N56" s="28" t="s">
        <v>42</v>
      </c>
      <c r="O56" s="28" t="s">
        <v>42</v>
      </c>
      <c r="P56" s="28" t="s">
        <v>42</v>
      </c>
      <c r="Q56" s="31" t="s">
        <v>42</v>
      </c>
      <c r="R56" s="28" t="s">
        <v>42</v>
      </c>
      <c r="S56" s="32" t="s">
        <v>42</v>
      </c>
      <c r="T56" s="28" t="s">
        <v>42</v>
      </c>
      <c r="U56" s="32" t="s">
        <v>42</v>
      </c>
      <c r="V56" s="28" t="s">
        <v>42</v>
      </c>
      <c r="W56" s="28" t="s">
        <v>42</v>
      </c>
      <c r="X56" s="32" t="s">
        <v>42</v>
      </c>
      <c r="Y56" s="32" t="s">
        <v>42</v>
      </c>
      <c r="Z56" s="15">
        <f>SUM(Z7:Z54)</f>
        <v>2361.2865497076027</v>
      </c>
      <c r="AA56" s="14"/>
      <c r="AB56" s="14"/>
      <c r="AC56" s="15">
        <f>SUM(AC7:AC54)</f>
        <v>26446.409356725148</v>
      </c>
      <c r="AD56" s="15">
        <f>SUM(AD7:AD54)</f>
        <v>6250.5693567251456</v>
      </c>
      <c r="AE56" s="21">
        <f t="shared" ref="AE56" si="26">IFERROR(AD56/AC56,0)</f>
        <v>0.23634850661251172</v>
      </c>
      <c r="AF56" s="15">
        <f>SUM(AF8:AF55)</f>
        <v>0</v>
      </c>
      <c r="AG56" s="15">
        <f>SUM(AG8:AG55)</f>
        <v>0</v>
      </c>
      <c r="AH56" s="15">
        <f>SUM(AH8:AH55)</f>
        <v>0</v>
      </c>
      <c r="AI56" s="15">
        <f>SUM(AI8:AI55)</f>
        <v>0</v>
      </c>
      <c r="AJ56" s="15">
        <f>SUM(AJ8:AJ55)</f>
        <v>0</v>
      </c>
    </row>
    <row r="57" spans="2:36" x14ac:dyDescent="0.25">
      <c r="B57" s="4"/>
      <c r="E57" s="3"/>
      <c r="F57" s="3"/>
      <c r="G57" s="3"/>
      <c r="H57" s="3"/>
      <c r="L57" s="4"/>
      <c r="M57" s="4"/>
      <c r="N57" s="4"/>
      <c r="O57" s="4"/>
      <c r="Q57" s="4"/>
      <c r="R57" s="4"/>
      <c r="S57" s="4"/>
      <c r="T57" s="4"/>
      <c r="U57" s="4"/>
      <c r="V57" s="4"/>
      <c r="W57" s="4"/>
      <c r="X57" s="4"/>
      <c r="Y57" s="9"/>
      <c r="Z57" s="9"/>
      <c r="AA57" s="9"/>
      <c r="AB57" s="9"/>
      <c r="AC57" s="9"/>
      <c r="AD57" s="9"/>
      <c r="AE57" s="9"/>
    </row>
    <row r="58" spans="2:36" x14ac:dyDescent="0.25">
      <c r="B58" s="4"/>
      <c r="E58" s="3"/>
      <c r="F58" s="3"/>
      <c r="G58" s="3"/>
      <c r="H58" s="3"/>
      <c r="L58" s="4"/>
      <c r="M58" s="4"/>
      <c r="N58" s="4"/>
      <c r="O58" s="4"/>
      <c r="Q58" s="9"/>
      <c r="R58" s="9"/>
      <c r="S58" s="9"/>
      <c r="T58" s="9"/>
      <c r="U58" s="9"/>
      <c r="V58" s="9"/>
      <c r="W58" s="9"/>
      <c r="X58" s="23"/>
      <c r="Y58" s="34" t="s">
        <v>103</v>
      </c>
      <c r="Z58" s="34"/>
      <c r="AA58" s="9"/>
      <c r="AB58" s="9"/>
      <c r="AC58" s="9"/>
      <c r="AD58" s="9"/>
      <c r="AE58" s="9"/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9"/>
      <c r="R59" s="9"/>
      <c r="S59" s="9"/>
      <c r="T59" s="9"/>
      <c r="U59" s="9"/>
      <c r="V59" s="9"/>
      <c r="W59" s="9"/>
      <c r="X59" s="9"/>
      <c r="Y59" s="35" t="s">
        <v>104</v>
      </c>
      <c r="Z59" s="34">
        <f>Z9+Z14+Z17+Z27</f>
        <v>1295</v>
      </c>
      <c r="AA59" s="9"/>
      <c r="AB59" s="9"/>
      <c r="AC59" s="9"/>
      <c r="AD59" s="9"/>
      <c r="AE59" s="9"/>
      <c r="AF59" s="18"/>
    </row>
    <row r="60" spans="2:36" x14ac:dyDescent="0.25">
      <c r="B60" s="4"/>
      <c r="E60" s="3"/>
      <c r="F60" s="3"/>
      <c r="G60" s="3"/>
      <c r="H60" s="3"/>
      <c r="I60" s="19"/>
      <c r="L60" s="4"/>
      <c r="M60" s="4"/>
      <c r="N60" s="4"/>
      <c r="O60" s="20"/>
      <c r="Q60" s="20"/>
      <c r="R60" s="20"/>
      <c r="S60" s="20"/>
      <c r="T60" s="20"/>
      <c r="U60" s="20"/>
      <c r="V60" s="20"/>
      <c r="W60" s="20"/>
      <c r="X60" s="20"/>
      <c r="Y60" s="34" t="s">
        <v>105</v>
      </c>
      <c r="Z60" s="34">
        <v>3120</v>
      </c>
      <c r="AA60" s="9"/>
      <c r="AB60" s="9"/>
      <c r="AC60" s="9"/>
      <c r="AD60" s="9"/>
      <c r="AE60" s="9"/>
      <c r="AF60" s="18"/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20"/>
      <c r="Q61" s="20"/>
      <c r="R61" s="20"/>
      <c r="S61" s="20"/>
      <c r="T61" s="20"/>
      <c r="U61" s="20"/>
      <c r="V61" s="20"/>
      <c r="W61" s="20"/>
      <c r="X61" s="20"/>
      <c r="Y61" s="34" t="s">
        <v>43</v>
      </c>
      <c r="Z61" s="34">
        <f>Z60/2</f>
        <v>1560</v>
      </c>
      <c r="AA61" s="9"/>
      <c r="AB61" s="9"/>
      <c r="AC61" s="9"/>
      <c r="AD61" s="9"/>
      <c r="AE61" s="9"/>
      <c r="AF61" s="18"/>
    </row>
    <row r="62" spans="2:36" x14ac:dyDescent="0.25">
      <c r="B62" s="4"/>
      <c r="E62" s="3"/>
      <c r="F62" s="3"/>
      <c r="G62" s="3"/>
      <c r="H62" s="3"/>
      <c r="L62" s="4"/>
      <c r="M62" s="4"/>
      <c r="N62" s="4"/>
      <c r="O62" s="4"/>
      <c r="Q62" s="9"/>
      <c r="R62" s="9"/>
      <c r="S62" s="9"/>
      <c r="T62" s="9"/>
      <c r="U62" s="9"/>
      <c r="V62" s="9"/>
      <c r="W62" s="9"/>
      <c r="X62" s="9"/>
      <c r="Y62" s="1"/>
      <c r="Z62" s="1"/>
      <c r="AA62" s="9"/>
      <c r="AB62" s="9"/>
      <c r="AC62" s="9"/>
      <c r="AD62" s="9"/>
      <c r="AE62" s="9"/>
      <c r="AF62" s="18"/>
    </row>
    <row r="63" spans="2:36" x14ac:dyDescent="0.25">
      <c r="F63" s="1"/>
      <c r="G63" s="1"/>
      <c r="H63" s="1"/>
      <c r="J63" s="1" t="s">
        <v>32</v>
      </c>
      <c r="Q63" s="9"/>
      <c r="R63" s="4"/>
      <c r="S63" s="9"/>
      <c r="T63" s="5"/>
      <c r="U63" s="9"/>
      <c r="V63" s="4"/>
      <c r="W63" s="4"/>
      <c r="X63" s="9"/>
      <c r="Y63" s="9" t="s">
        <v>44</v>
      </c>
      <c r="Z63" s="9">
        <f>Z60-Z64</f>
        <v>3120</v>
      </c>
      <c r="AA63" s="9"/>
      <c r="AB63" s="9"/>
      <c r="AC63" s="9"/>
      <c r="AD63" s="9"/>
      <c r="AE63" s="9"/>
    </row>
    <row r="64" spans="2:36" x14ac:dyDescent="0.25">
      <c r="R64" s="4"/>
      <c r="S64" s="17"/>
      <c r="T64" s="17"/>
      <c r="U64" s="9"/>
      <c r="V64" s="4"/>
      <c r="W64" s="4"/>
      <c r="X64" s="9"/>
      <c r="Y64" s="9" t="s">
        <v>45</v>
      </c>
      <c r="Z64" s="9"/>
      <c r="AA64" s="9"/>
      <c r="AB64" s="9"/>
      <c r="AC64" s="9"/>
      <c r="AD64" s="9"/>
      <c r="AE64" s="9"/>
    </row>
    <row r="65" spans="17:31" x14ac:dyDescent="0.25">
      <c r="Q65" s="9"/>
      <c r="R65" s="4"/>
      <c r="S65" s="16"/>
      <c r="T65" s="16"/>
      <c r="U65" s="9"/>
      <c r="V65" s="4"/>
      <c r="W65" s="4"/>
      <c r="X65" s="9"/>
      <c r="Y65" s="9"/>
      <c r="Z65" s="9"/>
      <c r="AA65" s="9"/>
      <c r="AB65" s="9"/>
      <c r="AC65" s="9"/>
      <c r="AD65" s="9"/>
      <c r="AE65" s="9"/>
    </row>
    <row r="66" spans="17:31" x14ac:dyDescent="0.25">
      <c r="R66" s="4"/>
      <c r="S66" s="16"/>
      <c r="T66" s="16"/>
      <c r="Y66" s="9" t="s">
        <v>46</v>
      </c>
      <c r="Z66" s="9">
        <f>Z60*0.3</f>
        <v>936</v>
      </c>
      <c r="AA66" s="9"/>
      <c r="AB66" s="9"/>
      <c r="AC66" s="9"/>
      <c r="AD66" s="9"/>
      <c r="AE66" s="9"/>
    </row>
    <row r="67" spans="17:31" x14ac:dyDescent="0.25">
      <c r="T67" s="5"/>
      <c r="Y67" s="9" t="s">
        <v>47</v>
      </c>
      <c r="Z67" s="9">
        <f>Z60-Z66</f>
        <v>2184</v>
      </c>
      <c r="AA67" s="9"/>
      <c r="AB67" s="9"/>
      <c r="AC67" s="9"/>
      <c r="AD67" s="9"/>
      <c r="AE67" s="9"/>
    </row>
    <row r="68" spans="17:31" x14ac:dyDescent="0.25">
      <c r="T68" s="5"/>
      <c r="Y68" s="9"/>
      <c r="Z68" s="9"/>
      <c r="AA68" s="9"/>
      <c r="AB68" s="9"/>
      <c r="AC68" s="9"/>
      <c r="AD68" s="9"/>
      <c r="AE68" s="9"/>
    </row>
    <row r="69" spans="17:31" x14ac:dyDescent="0.25">
      <c r="T69" s="5"/>
      <c r="Y69" s="9"/>
      <c r="Z69" s="9"/>
      <c r="AA69" s="9"/>
      <c r="AB69" s="9"/>
      <c r="AC69" s="9"/>
      <c r="AD69" s="9"/>
      <c r="AE69" s="9"/>
    </row>
    <row r="70" spans="17:31" x14ac:dyDescent="0.25">
      <c r="T70" s="5"/>
      <c r="Y70" s="43" t="s">
        <v>236</v>
      </c>
      <c r="Z70" s="9">
        <v>2360</v>
      </c>
      <c r="AA70" s="9"/>
      <c r="AB70" s="9"/>
      <c r="AC70" s="9"/>
      <c r="AD70" s="9"/>
      <c r="AE70" s="9"/>
    </row>
    <row r="71" spans="17:31" x14ac:dyDescent="0.25">
      <c r="T71" s="5"/>
      <c r="Y71" s="44" t="s">
        <v>237</v>
      </c>
      <c r="Z71" s="9">
        <f>Z70*1.15</f>
        <v>2714</v>
      </c>
      <c r="AA71" s="9"/>
      <c r="AB71" s="9"/>
      <c r="AC71" s="9"/>
      <c r="AD71" s="9"/>
      <c r="AE71" s="9"/>
    </row>
    <row r="72" spans="17:31" x14ac:dyDescent="0.25">
      <c r="T72" s="5"/>
      <c r="Y72" s="44" t="s">
        <v>238</v>
      </c>
      <c r="Z72" s="9">
        <f>Z70*1.2</f>
        <v>2832</v>
      </c>
      <c r="AA72" s="9"/>
      <c r="AB72" s="9"/>
      <c r="AC72" s="9"/>
      <c r="AD72" s="9"/>
      <c r="AE72" s="9"/>
    </row>
    <row r="73" spans="17:31" x14ac:dyDescent="0.25">
      <c r="T73" s="5"/>
      <c r="Y73" s="44" t="s">
        <v>239</v>
      </c>
      <c r="Z73" s="9">
        <f>Z70*0.84</f>
        <v>1982.3999999999999</v>
      </c>
      <c r="AA73" s="9"/>
      <c r="AB73" s="9"/>
      <c r="AC73" s="9"/>
      <c r="AD73" s="9"/>
      <c r="AE73" s="9"/>
    </row>
    <row r="74" spans="17:31" x14ac:dyDescent="0.25">
      <c r="T74" s="5"/>
      <c r="Y74" s="9"/>
      <c r="Z74" s="9"/>
      <c r="AA74" s="9"/>
      <c r="AB74" s="9"/>
      <c r="AC74" s="9"/>
      <c r="AD74" s="9"/>
      <c r="AE74" s="9"/>
    </row>
    <row r="75" spans="17:31" x14ac:dyDescent="0.25">
      <c r="T75" s="5"/>
    </row>
    <row r="76" spans="17:31" x14ac:dyDescent="0.25">
      <c r="T76" s="5"/>
    </row>
    <row r="77" spans="17:31" x14ac:dyDescent="0.25">
      <c r="T77" s="5"/>
    </row>
    <row r="78" spans="17:31" x14ac:dyDescent="0.25">
      <c r="T78" s="5"/>
    </row>
    <row r="79" spans="17:31" x14ac:dyDescent="0.25">
      <c r="T79" s="5"/>
    </row>
  </sheetData>
  <autoFilter ref="B6:AE56" xr:uid="{65FA6D9B-E0AF-46CD-BA0D-86BB75FE6AB0}"/>
  <hyperlinks>
    <hyperlink ref="P12" r:id="rId1" xr:uid="{49843A6C-5F70-4097-94A2-705CA0E087E0}"/>
    <hyperlink ref="P14" r:id="rId2" xr:uid="{E7C2C02A-A39E-41C9-AB85-09AECE8C8C1D}"/>
    <hyperlink ref="P19" r:id="rId3" xr:uid="{D3F56FB6-804B-4936-87A5-314570A52A38}"/>
    <hyperlink ref="P21" r:id="rId4" xr:uid="{734EE1B5-767F-4D2F-88EA-4D23FE88A1EC}"/>
    <hyperlink ref="P25" r:id="rId5" xr:uid="{05920FDE-B875-4B07-99B4-2578A0DCB60F}"/>
    <hyperlink ref="P29" r:id="rId6" xr:uid="{44E42C27-3753-4B15-8C46-7467EF95D612}"/>
    <hyperlink ref="P42" r:id="rId7" xr:uid="{2A04A208-C829-4018-B875-6508F1109599}"/>
    <hyperlink ref="P41" r:id="rId8" xr:uid="{73A3DC17-3975-4548-8312-3742AE7404F8}"/>
    <hyperlink ref="P48" r:id="rId9" xr:uid="{3D79D751-1152-4C5A-8B85-614DEE24A32C}"/>
    <hyperlink ref="P45" r:id="rId10" xr:uid="{98510D6B-3190-46E3-A367-99D96E2A33C8}"/>
    <hyperlink ref="P47" r:id="rId11" xr:uid="{0B0E6C38-04B1-45AB-983C-EF5A6B0E7FAE}"/>
  </hyperlinks>
  <pageMargins left="0.7" right="0.7" top="0.75" bottom="0.75" header="0.3" footer="0.3"/>
  <pageSetup paperSize="9" orientation="portrait" r:id="rId1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7132-36D9-42E7-8889-BB698D34D9D9}">
  <sheetPr>
    <tabColor rgb="FFFFFF00"/>
  </sheetPr>
  <dimension ref="B3:AK64"/>
  <sheetViews>
    <sheetView zoomScale="80" zoomScaleNormal="80" workbookViewId="0">
      <selection activeCell="Q14" sqref="Q14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3" spans="2:36" x14ac:dyDescent="0.25">
      <c r="B3" s="2" t="s">
        <v>48</v>
      </c>
    </row>
    <row r="4" spans="2:36" x14ac:dyDescent="0.25">
      <c r="B4" s="2" t="s">
        <v>170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3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3" si="1">U7*W7</f>
        <v>0</v>
      </c>
      <c r="Y7" s="26">
        <f>Q7</f>
        <v>0</v>
      </c>
      <c r="Z7" s="12">
        <f t="shared" ref="Z7:Z11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11" si="3">+Y7*AB7*R7</f>
        <v>0</v>
      </c>
      <c r="AD7" s="12">
        <f t="shared" ref="AD7:AD11" si="4">+AC7-X7</f>
        <v>0</v>
      </c>
      <c r="AE7" s="13">
        <f t="shared" ref="AE7:AE11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90</v>
      </c>
      <c r="K8" s="4"/>
      <c r="L8" s="4"/>
      <c r="M8" s="4"/>
      <c r="N8" s="4"/>
      <c r="O8" s="4"/>
      <c r="P8" s="27"/>
      <c r="Q8" s="25">
        <v>80</v>
      </c>
      <c r="R8" s="25">
        <v>1</v>
      </c>
      <c r="S8" s="12">
        <f t="shared" si="0"/>
        <v>80</v>
      </c>
      <c r="T8" s="5">
        <v>0</v>
      </c>
      <c r="U8" s="12">
        <f t="shared" ref="U8:U13" si="6">S8*(1-T8)</f>
        <v>80</v>
      </c>
      <c r="V8" s="25" t="s">
        <v>10</v>
      </c>
      <c r="W8" s="11">
        <f>IFERROR(VLOOKUP(V8,Curr!$B$2:$C$13,2,FALSE),0)</f>
        <v>11.2</v>
      </c>
      <c r="X8" s="12">
        <f t="shared" si="1"/>
        <v>896</v>
      </c>
      <c r="Y8" s="26">
        <f>Q8/0.8</f>
        <v>100</v>
      </c>
      <c r="Z8" s="12">
        <f t="shared" si="2"/>
        <v>100</v>
      </c>
      <c r="AA8" s="4" t="s">
        <v>10</v>
      </c>
      <c r="AB8" s="11">
        <f>IFERROR(VLOOKUP(AA8,Curr!$B$2:$C$13,2,FALSE),0)</f>
        <v>11.2</v>
      </c>
      <c r="AC8" s="12">
        <f t="shared" si="3"/>
        <v>1120</v>
      </c>
      <c r="AD8" s="12">
        <f t="shared" si="4"/>
        <v>224</v>
      </c>
      <c r="AE8" s="13">
        <f t="shared" si="5"/>
        <v>0.2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11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6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7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220</v>
      </c>
      <c r="K12" s="4"/>
      <c r="L12" s="4"/>
      <c r="M12" s="4"/>
      <c r="N12" s="4"/>
      <c r="O12" s="4" t="s">
        <v>42</v>
      </c>
      <c r="P12" s="29" t="s">
        <v>92</v>
      </c>
      <c r="Q12" s="25">
        <f>(40+40)+(50*2)</f>
        <v>180</v>
      </c>
      <c r="R12" s="25">
        <v>1</v>
      </c>
      <c r="S12" s="12">
        <f t="shared" si="0"/>
        <v>180</v>
      </c>
      <c r="T12" s="5">
        <v>0</v>
      </c>
      <c r="U12" s="12">
        <f t="shared" si="6"/>
        <v>180</v>
      </c>
      <c r="V12" s="25" t="s">
        <v>10</v>
      </c>
      <c r="W12" s="11">
        <f>IFERROR(VLOOKUP(V12,Curr!$B$2:$C$13,2,FALSE),0)</f>
        <v>11.2</v>
      </c>
      <c r="X12" s="12">
        <f t="shared" si="1"/>
        <v>2015.9999999999998</v>
      </c>
      <c r="Y12" s="26">
        <f>Q12/0.8</f>
        <v>225</v>
      </c>
      <c r="Z12" s="12">
        <f t="shared" ref="Z12:Z39" si="8">+Y12*R12</f>
        <v>225</v>
      </c>
      <c r="AA12" s="4" t="s">
        <v>10</v>
      </c>
      <c r="AB12" s="11">
        <f>IFERROR(VLOOKUP(AA12,Curr!$B$2:$C$13,2,FALSE),0)</f>
        <v>11.2</v>
      </c>
      <c r="AC12" s="12">
        <f t="shared" ref="AC12:AC39" si="9">+Y12*AB12*R12</f>
        <v>2520</v>
      </c>
      <c r="AD12" s="12">
        <f t="shared" ref="AD12:AD39" si="10">+AC12-X12</f>
        <v>504.00000000000023</v>
      </c>
      <c r="AE12" s="13">
        <f t="shared" ref="AE12:AE39" si="11">IFERROR(AD12/AC12,0)</f>
        <v>0.20000000000000009</v>
      </c>
    </row>
    <row r="13" spans="2:36" x14ac:dyDescent="0.25">
      <c r="B13" s="4"/>
      <c r="C13" s="1" t="s">
        <v>60</v>
      </c>
      <c r="D13" s="1" t="s">
        <v>61</v>
      </c>
      <c r="F13" s="3"/>
      <c r="G13" s="24"/>
      <c r="H13" s="24"/>
      <c r="J13" s="1" t="s">
        <v>93</v>
      </c>
      <c r="K13" s="4"/>
      <c r="L13" s="4"/>
      <c r="M13" s="4"/>
      <c r="N13" s="4"/>
      <c r="O13" s="4" t="s">
        <v>42</v>
      </c>
      <c r="P13" s="33" t="s">
        <v>94</v>
      </c>
      <c r="Q13" s="25">
        <v>25</v>
      </c>
      <c r="R13" s="25">
        <v>2</v>
      </c>
      <c r="S13" s="12">
        <f t="shared" si="0"/>
        <v>50</v>
      </c>
      <c r="T13" s="5">
        <v>0</v>
      </c>
      <c r="U13" s="12">
        <f t="shared" si="6"/>
        <v>50</v>
      </c>
      <c r="V13" s="25" t="s">
        <v>10</v>
      </c>
      <c r="W13" s="11">
        <f>IFERROR(VLOOKUP(V13,Curr!$B$2:$C$13,2,FALSE),0)</f>
        <v>11.2</v>
      </c>
      <c r="X13" s="12">
        <f t="shared" si="1"/>
        <v>560</v>
      </c>
      <c r="Y13" s="26">
        <f>Q13/0.62</f>
        <v>40.322580645161288</v>
      </c>
      <c r="Z13" s="12">
        <f t="shared" si="8"/>
        <v>80.645161290322577</v>
      </c>
      <c r="AA13" s="4" t="s">
        <v>10</v>
      </c>
      <c r="AB13" s="11">
        <f>IFERROR(VLOOKUP(AA13,Curr!$B$2:$C$13,2,FALSE),0)</f>
        <v>11.2</v>
      </c>
      <c r="AC13" s="12">
        <f t="shared" si="9"/>
        <v>903.22580645161281</v>
      </c>
      <c r="AD13" s="12">
        <f t="shared" si="10"/>
        <v>343.22580645161281</v>
      </c>
      <c r="AE13" s="13">
        <f t="shared" si="11"/>
        <v>0.37999999999999995</v>
      </c>
    </row>
    <row r="14" spans="2:36" x14ac:dyDescent="0.25">
      <c r="B14" s="4"/>
      <c r="C14" s="1" t="s">
        <v>60</v>
      </c>
      <c r="D14" s="1" t="s">
        <v>56</v>
      </c>
      <c r="E14" s="3"/>
      <c r="F14" s="3"/>
      <c r="G14" s="24"/>
      <c r="H14" s="24"/>
      <c r="J14" s="1" t="s">
        <v>95</v>
      </c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 t="shared" ref="S14:S39" si="12">+Q14*R14</f>
        <v>0</v>
      </c>
      <c r="T14" s="5">
        <v>0</v>
      </c>
      <c r="U14" s="12">
        <f t="shared" ref="U14:U39" si="13">S14*(1-T14)</f>
        <v>0</v>
      </c>
      <c r="V14" s="25" t="s">
        <v>10</v>
      </c>
      <c r="W14" s="11">
        <f>IFERROR(VLOOKUP(V14,Curr!$B$2:$C$13,2,FALSE),0)</f>
        <v>11.2</v>
      </c>
      <c r="X14" s="12">
        <f t="shared" ref="X14:X39" si="14">U14*W14</f>
        <v>0</v>
      </c>
      <c r="Y14" s="26">
        <f t="shared" ref="Y14:Y39" si="15">Q14</f>
        <v>0</v>
      </c>
      <c r="Z14" s="12">
        <f t="shared" si="8"/>
        <v>0</v>
      </c>
      <c r="AA14" s="4" t="s">
        <v>10</v>
      </c>
      <c r="AB14" s="11">
        <f>IFERROR(VLOOKUP(AA14,Curr!$B$2:$C$13,2,FALSE),0)</f>
        <v>11.2</v>
      </c>
      <c r="AC14" s="12">
        <f t="shared" si="9"/>
        <v>0</v>
      </c>
      <c r="AD14" s="12">
        <f t="shared" si="10"/>
        <v>0</v>
      </c>
      <c r="AE14" s="13">
        <f t="shared" si="11"/>
        <v>0</v>
      </c>
    </row>
    <row r="15" spans="2:36" x14ac:dyDescent="0.25">
      <c r="B15" s="4"/>
      <c r="C15" s="1" t="s">
        <v>60</v>
      </c>
      <c r="D15" s="1" t="s">
        <v>64</v>
      </c>
      <c r="E15" s="3"/>
      <c r="F15" s="3"/>
      <c r="G15" s="24"/>
      <c r="H15" s="24"/>
      <c r="J15" s="1" t="s">
        <v>66</v>
      </c>
      <c r="K15" s="4"/>
      <c r="L15" s="4"/>
      <c r="M15" s="4"/>
      <c r="N15" s="4" t="s">
        <v>42</v>
      </c>
      <c r="O15" s="4"/>
      <c r="P15" s="33" t="s">
        <v>67</v>
      </c>
      <c r="Q15" s="25">
        <v>250</v>
      </c>
      <c r="R15" s="25">
        <v>1</v>
      </c>
      <c r="S15" s="12">
        <f t="shared" si="12"/>
        <v>250</v>
      </c>
      <c r="T15" s="5">
        <v>0</v>
      </c>
      <c r="U15" s="12">
        <f t="shared" si="13"/>
        <v>250</v>
      </c>
      <c r="V15" s="25" t="s">
        <v>10</v>
      </c>
      <c r="W15" s="11">
        <f>IFERROR(VLOOKUP(V15,Curr!$B$2:$C$13,2,FALSE),0)</f>
        <v>11.2</v>
      </c>
      <c r="X15" s="12">
        <f t="shared" si="14"/>
        <v>2800</v>
      </c>
      <c r="Y15" s="26">
        <f>Q15/0.8</f>
        <v>312.5</v>
      </c>
      <c r="Z15" s="12">
        <f t="shared" si="8"/>
        <v>312.5</v>
      </c>
      <c r="AA15" s="4" t="s">
        <v>10</v>
      </c>
      <c r="AB15" s="11">
        <f>IFERROR(VLOOKUP(AA15,Curr!$B$2:$C$13,2,FALSE),0)</f>
        <v>11.2</v>
      </c>
      <c r="AC15" s="12">
        <f t="shared" si="9"/>
        <v>3500</v>
      </c>
      <c r="AD15" s="12">
        <f t="shared" si="10"/>
        <v>700</v>
      </c>
      <c r="AE15" s="13">
        <f t="shared" si="11"/>
        <v>0.2</v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27"/>
      <c r="Q16" s="25"/>
      <c r="R16" s="25"/>
      <c r="S16" s="12">
        <f t="shared" si="12"/>
        <v>0</v>
      </c>
      <c r="T16" s="5">
        <v>0</v>
      </c>
      <c r="U16" s="12">
        <f t="shared" si="13"/>
        <v>0</v>
      </c>
      <c r="V16" s="25" t="s">
        <v>10</v>
      </c>
      <c r="W16" s="11">
        <f>IFERROR(VLOOKUP(V16,Curr!$B$2:$C$13,2,FALSE),0)</f>
        <v>11.2</v>
      </c>
      <c r="X16" s="12">
        <f t="shared" si="14"/>
        <v>0</v>
      </c>
      <c r="Y16" s="26">
        <f t="shared" si="15"/>
        <v>0</v>
      </c>
      <c r="Z16" s="12">
        <f t="shared" si="8"/>
        <v>0</v>
      </c>
      <c r="AA16" s="4" t="s">
        <v>10</v>
      </c>
      <c r="AB16" s="11">
        <f>IFERROR(VLOOKUP(AA16,Curr!$B$2:$C$13,2,FALSE),0)</f>
        <v>11.2</v>
      </c>
      <c r="AC16" s="12">
        <f t="shared" si="9"/>
        <v>0</v>
      </c>
      <c r="AD16" s="12">
        <f t="shared" si="10"/>
        <v>0</v>
      </c>
      <c r="AE16" s="13">
        <f t="shared" si="11"/>
        <v>0</v>
      </c>
    </row>
    <row r="17" spans="2:31" x14ac:dyDescent="0.25">
      <c r="B17" s="4"/>
      <c r="C17" s="1" t="s">
        <v>68</v>
      </c>
      <c r="D17" s="1" t="s">
        <v>56</v>
      </c>
      <c r="E17" s="3"/>
      <c r="F17" s="3"/>
      <c r="G17" s="24"/>
      <c r="H17" s="24"/>
      <c r="J17" s="1" t="s">
        <v>96</v>
      </c>
      <c r="K17" s="4"/>
      <c r="L17" s="4"/>
      <c r="M17" s="4"/>
      <c r="N17" s="4"/>
      <c r="O17" s="4"/>
      <c r="P17" s="27"/>
      <c r="Q17" s="25">
        <v>40</v>
      </c>
      <c r="R17" s="25">
        <v>1</v>
      </c>
      <c r="S17" s="12">
        <f t="shared" si="12"/>
        <v>40</v>
      </c>
      <c r="T17" s="5">
        <v>0</v>
      </c>
      <c r="U17" s="12">
        <f t="shared" si="13"/>
        <v>40</v>
      </c>
      <c r="V17" s="25" t="s">
        <v>10</v>
      </c>
      <c r="W17" s="11">
        <f>IFERROR(VLOOKUP(V17,Curr!$B$2:$C$13,2,FALSE),0)</f>
        <v>11.2</v>
      </c>
      <c r="X17" s="12">
        <f t="shared" si="14"/>
        <v>448</v>
      </c>
      <c r="Y17" s="26">
        <f>Q17/0.67</f>
        <v>59.701492537313428</v>
      </c>
      <c r="Z17" s="12">
        <f t="shared" si="8"/>
        <v>59.701492537313428</v>
      </c>
      <c r="AA17" s="4" t="s">
        <v>10</v>
      </c>
      <c r="AB17" s="11">
        <f>IFERROR(VLOOKUP(AA17,Curr!$B$2:$C$13,2,FALSE),0)</f>
        <v>11.2</v>
      </c>
      <c r="AC17" s="12">
        <f t="shared" si="9"/>
        <v>668.65671641791039</v>
      </c>
      <c r="AD17" s="12">
        <f t="shared" si="10"/>
        <v>220.65671641791039</v>
      </c>
      <c r="AE17" s="13">
        <f t="shared" si="11"/>
        <v>0.32999999999999996</v>
      </c>
    </row>
    <row r="18" spans="2:31" x14ac:dyDescent="0.25">
      <c r="B18" s="4"/>
      <c r="C18" s="1" t="s">
        <v>68</v>
      </c>
      <c r="D18" s="1" t="s">
        <v>57</v>
      </c>
      <c r="E18" s="3"/>
      <c r="F18" s="3"/>
      <c r="G18" s="24"/>
      <c r="H18" s="24"/>
      <c r="J18" s="1" t="s">
        <v>221</v>
      </c>
      <c r="K18" s="4"/>
      <c r="L18" s="4"/>
      <c r="M18" s="4"/>
      <c r="N18" s="4"/>
      <c r="O18" s="4"/>
      <c r="P18" s="33"/>
      <c r="Q18" s="25">
        <f>109*2*3</f>
        <v>654</v>
      </c>
      <c r="R18" s="25">
        <v>1</v>
      </c>
      <c r="S18" s="12">
        <f t="shared" si="12"/>
        <v>654</v>
      </c>
      <c r="T18" s="5">
        <v>0</v>
      </c>
      <c r="U18" s="12">
        <f t="shared" si="13"/>
        <v>654</v>
      </c>
      <c r="V18" s="25" t="s">
        <v>10</v>
      </c>
      <c r="W18" s="11">
        <f>IFERROR(VLOOKUP(V18,Curr!$B$2:$C$13,2,FALSE),0)</f>
        <v>11.2</v>
      </c>
      <c r="X18" s="12">
        <f t="shared" si="14"/>
        <v>7324.7999999999993</v>
      </c>
      <c r="Y18" s="26">
        <f>Q18/0.8</f>
        <v>817.5</v>
      </c>
      <c r="Z18" s="12">
        <f t="shared" si="8"/>
        <v>817.5</v>
      </c>
      <c r="AA18" s="4" t="s">
        <v>10</v>
      </c>
      <c r="AB18" s="11">
        <f>IFERROR(VLOOKUP(AA18,Curr!$B$2:$C$13,2,FALSE),0)</f>
        <v>11.2</v>
      </c>
      <c r="AC18" s="12">
        <f t="shared" si="9"/>
        <v>9156</v>
      </c>
      <c r="AD18" s="12">
        <f t="shared" si="10"/>
        <v>1831.2000000000007</v>
      </c>
      <c r="AE18" s="13">
        <f t="shared" si="11"/>
        <v>0.20000000000000007</v>
      </c>
    </row>
    <row r="19" spans="2:31" x14ac:dyDescent="0.25">
      <c r="B19" s="4"/>
      <c r="C19" s="1" t="s">
        <v>68</v>
      </c>
      <c r="D19" s="1" t="s">
        <v>58</v>
      </c>
      <c r="E19" s="3"/>
      <c r="F19" s="3"/>
      <c r="G19" s="24"/>
      <c r="H19" s="24"/>
      <c r="J19" s="1" t="s">
        <v>70</v>
      </c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 t="shared" si="12"/>
        <v>0</v>
      </c>
      <c r="T19" s="5">
        <v>0</v>
      </c>
      <c r="U19" s="12">
        <f t="shared" si="13"/>
        <v>0</v>
      </c>
      <c r="V19" s="25" t="s">
        <v>10</v>
      </c>
      <c r="W19" s="11">
        <f>IFERROR(VLOOKUP(V19,Curr!$B$2:$C$13,2,FALSE),0)</f>
        <v>11.2</v>
      </c>
      <c r="X19" s="12">
        <f t="shared" si="14"/>
        <v>0</v>
      </c>
      <c r="Y19" s="26">
        <f t="shared" ref="Y19:Y20" si="16">Q19</f>
        <v>0</v>
      </c>
      <c r="Z19" s="12">
        <f t="shared" si="8"/>
        <v>0</v>
      </c>
      <c r="AA19" s="4" t="s">
        <v>10</v>
      </c>
      <c r="AB19" s="11">
        <f>IFERROR(VLOOKUP(AA19,Curr!$B$2:$C$13,2,FALSE),0)</f>
        <v>11.2</v>
      </c>
      <c r="AC19" s="12">
        <f t="shared" si="9"/>
        <v>0</v>
      </c>
      <c r="AD19" s="12">
        <f t="shared" si="10"/>
        <v>0</v>
      </c>
      <c r="AE19" s="13">
        <f t="shared" si="11"/>
        <v>0</v>
      </c>
    </row>
    <row r="20" spans="2:31" x14ac:dyDescent="0.25">
      <c r="B20" s="4"/>
      <c r="C20" s="1" t="s">
        <v>68</v>
      </c>
      <c r="D20" s="1" t="s">
        <v>61</v>
      </c>
      <c r="E20" s="3"/>
      <c r="F20" s="3"/>
      <c r="G20" s="24"/>
      <c r="H20" s="24"/>
      <c r="J20" s="1" t="s">
        <v>222</v>
      </c>
      <c r="K20" s="4"/>
      <c r="L20" s="4"/>
      <c r="M20" s="4"/>
      <c r="N20" s="4"/>
      <c r="O20" s="4" t="s">
        <v>42</v>
      </c>
      <c r="P20" s="33" t="s">
        <v>223</v>
      </c>
      <c r="Q20" s="25">
        <v>109</v>
      </c>
      <c r="R20" s="25">
        <v>2</v>
      </c>
      <c r="S20" s="12">
        <f t="shared" si="12"/>
        <v>218</v>
      </c>
      <c r="T20" s="5">
        <v>0.2</v>
      </c>
      <c r="U20" s="12">
        <f t="shared" si="13"/>
        <v>174.4</v>
      </c>
      <c r="V20" s="25" t="s">
        <v>10</v>
      </c>
      <c r="W20" s="11">
        <f>IFERROR(VLOOKUP(V20,Curr!$B$2:$C$13,2,FALSE),0)</f>
        <v>11.2</v>
      </c>
      <c r="X20" s="12">
        <f t="shared" si="14"/>
        <v>1953.28</v>
      </c>
      <c r="Y20" s="26">
        <f t="shared" si="16"/>
        <v>109</v>
      </c>
      <c r="Z20" s="12">
        <f t="shared" si="8"/>
        <v>218</v>
      </c>
      <c r="AA20" s="4" t="s">
        <v>10</v>
      </c>
      <c r="AB20" s="11">
        <f>IFERROR(VLOOKUP(AA20,Curr!$B$2:$C$13,2,FALSE),0)</f>
        <v>11.2</v>
      </c>
      <c r="AC20" s="12">
        <f t="shared" si="9"/>
        <v>2441.6</v>
      </c>
      <c r="AD20" s="12">
        <f t="shared" si="10"/>
        <v>488.31999999999994</v>
      </c>
      <c r="AE20" s="13">
        <f t="shared" si="11"/>
        <v>0.19999999999999998</v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 t="s">
        <v>42</v>
      </c>
      <c r="P21" s="33"/>
      <c r="Q21" s="25"/>
      <c r="R21" s="25"/>
      <c r="S21" s="12">
        <f t="shared" si="12"/>
        <v>0</v>
      </c>
      <c r="T21" s="5">
        <v>0</v>
      </c>
      <c r="U21" s="12">
        <f t="shared" si="13"/>
        <v>0</v>
      </c>
      <c r="V21" s="25" t="s">
        <v>10</v>
      </c>
      <c r="W21" s="11">
        <f>IFERROR(VLOOKUP(V21,Curr!$B$2:$C$13,2,FALSE),0)</f>
        <v>11.2</v>
      </c>
      <c r="X21" s="12">
        <f t="shared" si="14"/>
        <v>0</v>
      </c>
      <c r="Y21" s="26">
        <f t="shared" si="15"/>
        <v>0</v>
      </c>
      <c r="Z21" s="12">
        <f t="shared" si="8"/>
        <v>0</v>
      </c>
      <c r="AA21" s="4" t="s">
        <v>10</v>
      </c>
      <c r="AB21" s="11">
        <f>IFERROR(VLOOKUP(AA21,Curr!$B$2:$C$13,2,FALSE),0)</f>
        <v>11.2</v>
      </c>
      <c r="AC21" s="12">
        <f t="shared" si="9"/>
        <v>0</v>
      </c>
      <c r="AD21" s="12">
        <f t="shared" si="10"/>
        <v>0</v>
      </c>
      <c r="AE21" s="13">
        <f t="shared" si="11"/>
        <v>0</v>
      </c>
    </row>
    <row r="22" spans="2:31" x14ac:dyDescent="0.25">
      <c r="B22" s="4"/>
      <c r="C22" s="1" t="s">
        <v>72</v>
      </c>
      <c r="D22" s="1" t="s">
        <v>61</v>
      </c>
      <c r="E22" s="3"/>
      <c r="F22" s="3"/>
      <c r="G22" s="24"/>
      <c r="H22" s="24"/>
      <c r="J22" s="1" t="s">
        <v>224</v>
      </c>
      <c r="K22" s="4"/>
      <c r="L22" s="4"/>
      <c r="M22" s="4"/>
      <c r="N22" s="4"/>
      <c r="O22" s="4" t="s">
        <v>42</v>
      </c>
      <c r="P22" s="33" t="s">
        <v>100</v>
      </c>
      <c r="Q22" s="25">
        <v>252</v>
      </c>
      <c r="R22" s="25">
        <v>2</v>
      </c>
      <c r="S22" s="12">
        <f t="shared" si="12"/>
        <v>504</v>
      </c>
      <c r="T22" s="5">
        <v>0.2</v>
      </c>
      <c r="U22" s="12">
        <f t="shared" si="13"/>
        <v>403.20000000000005</v>
      </c>
      <c r="V22" s="25" t="s">
        <v>10</v>
      </c>
      <c r="W22" s="11">
        <f>IFERROR(VLOOKUP(V22,Curr!$B$2:$C$13,2,FALSE),0)</f>
        <v>11.2</v>
      </c>
      <c r="X22" s="12">
        <f t="shared" si="14"/>
        <v>4515.84</v>
      </c>
      <c r="Y22" s="26">
        <f t="shared" si="15"/>
        <v>252</v>
      </c>
      <c r="Z22" s="12">
        <f t="shared" si="8"/>
        <v>504</v>
      </c>
      <c r="AA22" s="4" t="s">
        <v>10</v>
      </c>
      <c r="AB22" s="11">
        <f>IFERROR(VLOOKUP(AA22,Curr!$B$2:$C$13,2,FALSE),0)</f>
        <v>11.2</v>
      </c>
      <c r="AC22" s="12">
        <f t="shared" si="9"/>
        <v>5644.7999999999993</v>
      </c>
      <c r="AD22" s="12">
        <f t="shared" si="10"/>
        <v>1128.9599999999991</v>
      </c>
      <c r="AE22" s="13">
        <f t="shared" si="11"/>
        <v>0.19999999999999987</v>
      </c>
    </row>
    <row r="23" spans="2:31" x14ac:dyDescent="0.25">
      <c r="B23" s="4"/>
      <c r="C23" s="1" t="s">
        <v>72</v>
      </c>
      <c r="D23" s="1" t="s">
        <v>58</v>
      </c>
      <c r="E23" s="3"/>
      <c r="F23" s="3"/>
      <c r="G23" s="24"/>
      <c r="H23" s="24"/>
      <c r="J23" s="1" t="s">
        <v>70</v>
      </c>
      <c r="K23" s="4"/>
      <c r="L23" s="4"/>
      <c r="M23" s="4"/>
      <c r="N23" s="4"/>
      <c r="O23" s="4" t="s">
        <v>42</v>
      </c>
      <c r="P23" s="33"/>
      <c r="Q23" s="25">
        <v>0</v>
      </c>
      <c r="R23" s="25">
        <v>0</v>
      </c>
      <c r="S23" s="12">
        <f t="shared" si="12"/>
        <v>0</v>
      </c>
      <c r="T23" s="5">
        <v>0.2</v>
      </c>
      <c r="U23" s="12">
        <f t="shared" si="13"/>
        <v>0</v>
      </c>
      <c r="V23" s="25" t="s">
        <v>10</v>
      </c>
      <c r="W23" s="11">
        <f>IFERROR(VLOOKUP(V23,Curr!$B$2:$C$13,2,FALSE),0)</f>
        <v>11.2</v>
      </c>
      <c r="X23" s="12">
        <f t="shared" si="14"/>
        <v>0</v>
      </c>
      <c r="Y23" s="26">
        <f t="shared" si="15"/>
        <v>0</v>
      </c>
      <c r="Z23" s="12">
        <f t="shared" si="8"/>
        <v>0</v>
      </c>
      <c r="AA23" s="4" t="s">
        <v>10</v>
      </c>
      <c r="AB23" s="11">
        <f>IFERROR(VLOOKUP(AA23,Curr!$B$2:$C$13,2,FALSE),0)</f>
        <v>11.2</v>
      </c>
      <c r="AC23" s="12">
        <f t="shared" si="9"/>
        <v>0</v>
      </c>
      <c r="AD23" s="12">
        <f t="shared" si="10"/>
        <v>0</v>
      </c>
      <c r="AE23" s="13">
        <f t="shared" si="11"/>
        <v>0</v>
      </c>
    </row>
    <row r="24" spans="2:31" x14ac:dyDescent="0.25">
      <c r="B24" s="4"/>
      <c r="C24" s="1" t="s">
        <v>72</v>
      </c>
      <c r="D24" s="1" t="s">
        <v>61</v>
      </c>
      <c r="E24" s="3"/>
      <c r="F24" s="3"/>
      <c r="G24" s="24"/>
      <c r="H24" s="24"/>
      <c r="J24" s="1" t="s">
        <v>165</v>
      </c>
      <c r="K24" s="4"/>
      <c r="L24" s="4"/>
      <c r="M24" s="4"/>
      <c r="N24" s="4"/>
      <c r="O24" s="4" t="s">
        <v>42</v>
      </c>
      <c r="P24" s="33" t="s">
        <v>148</v>
      </c>
      <c r="Q24" s="25">
        <v>149</v>
      </c>
      <c r="R24" s="25">
        <v>2</v>
      </c>
      <c r="S24" s="12">
        <f t="shared" si="12"/>
        <v>298</v>
      </c>
      <c r="T24" s="5">
        <v>0.2</v>
      </c>
      <c r="U24" s="12">
        <f t="shared" si="13"/>
        <v>238.4</v>
      </c>
      <c r="V24" s="25" t="s">
        <v>10</v>
      </c>
      <c r="W24" s="11">
        <f>IFERROR(VLOOKUP(V24,Curr!$B$2:$C$13,2,FALSE),0)</f>
        <v>11.2</v>
      </c>
      <c r="X24" s="12">
        <f t="shared" si="14"/>
        <v>2670.08</v>
      </c>
      <c r="Y24" s="26">
        <f t="shared" si="15"/>
        <v>149</v>
      </c>
      <c r="Z24" s="12">
        <f t="shared" si="8"/>
        <v>298</v>
      </c>
      <c r="AA24" s="4" t="s">
        <v>10</v>
      </c>
      <c r="AB24" s="11">
        <f>IFERROR(VLOOKUP(AA24,Curr!$B$2:$C$13,2,FALSE),0)</f>
        <v>11.2</v>
      </c>
      <c r="AC24" s="12">
        <f t="shared" si="9"/>
        <v>3337.6</v>
      </c>
      <c r="AD24" s="12">
        <f t="shared" si="10"/>
        <v>667.52</v>
      </c>
      <c r="AE24" s="13">
        <f t="shared" si="11"/>
        <v>0.2</v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/>
      <c r="R25" s="25"/>
      <c r="S25" s="12">
        <f t="shared" si="12"/>
        <v>0</v>
      </c>
      <c r="T25" s="5">
        <v>0</v>
      </c>
      <c r="U25" s="12">
        <f t="shared" si="13"/>
        <v>0</v>
      </c>
      <c r="V25" s="25" t="s">
        <v>10</v>
      </c>
      <c r="W25" s="11">
        <f>IFERROR(VLOOKUP(V25,Curr!$B$2:$C$13,2,FALSE),0)</f>
        <v>11.2</v>
      </c>
      <c r="X25" s="12">
        <f t="shared" si="14"/>
        <v>0</v>
      </c>
      <c r="Y25" s="26">
        <f t="shared" si="15"/>
        <v>0</v>
      </c>
      <c r="Z25" s="12">
        <f t="shared" si="8"/>
        <v>0</v>
      </c>
      <c r="AA25" s="4" t="s">
        <v>10</v>
      </c>
      <c r="AB25" s="11">
        <f>IFERROR(VLOOKUP(AA25,Curr!$B$2:$C$13,2,FALSE),0)</f>
        <v>11.2</v>
      </c>
      <c r="AC25" s="12">
        <f t="shared" si="9"/>
        <v>0</v>
      </c>
      <c r="AD25" s="12">
        <f t="shared" si="10"/>
        <v>0</v>
      </c>
      <c r="AE25" s="13">
        <f t="shared" si="11"/>
        <v>0</v>
      </c>
    </row>
    <row r="26" spans="2:31" x14ac:dyDescent="0.25">
      <c r="B26" s="4"/>
      <c r="C26" s="1" t="s">
        <v>77</v>
      </c>
      <c r="D26" s="1" t="s">
        <v>61</v>
      </c>
      <c r="E26" s="3"/>
      <c r="F26" s="3"/>
      <c r="G26" s="24"/>
      <c r="H26" s="24"/>
      <c r="J26" s="1" t="s">
        <v>101</v>
      </c>
      <c r="K26" s="4"/>
      <c r="L26" s="4"/>
      <c r="M26" s="4"/>
      <c r="N26" s="4"/>
      <c r="O26" s="4" t="s">
        <v>42</v>
      </c>
      <c r="P26" s="33" t="s">
        <v>102</v>
      </c>
      <c r="Q26" s="25">
        <v>500</v>
      </c>
      <c r="R26" s="25">
        <v>2</v>
      </c>
      <c r="S26" s="12">
        <f t="shared" si="12"/>
        <v>1000</v>
      </c>
      <c r="T26" s="5">
        <v>0.12</v>
      </c>
      <c r="U26" s="12">
        <f t="shared" si="13"/>
        <v>880</v>
      </c>
      <c r="V26" s="25" t="s">
        <v>10</v>
      </c>
      <c r="W26" s="11">
        <f>IFERROR(VLOOKUP(V26,Curr!$B$2:$C$13,2,FALSE),0)</f>
        <v>11.2</v>
      </c>
      <c r="X26" s="12">
        <f t="shared" si="14"/>
        <v>9856</v>
      </c>
      <c r="Y26" s="26">
        <f>Q26/0.9</f>
        <v>555.55555555555554</v>
      </c>
      <c r="Z26" s="12">
        <f t="shared" si="8"/>
        <v>1111.1111111111111</v>
      </c>
      <c r="AA26" s="4" t="s">
        <v>10</v>
      </c>
      <c r="AB26" s="11">
        <f>IFERROR(VLOOKUP(AA26,Curr!$B$2:$C$13,2,FALSE),0)</f>
        <v>11.2</v>
      </c>
      <c r="AC26" s="12">
        <f t="shared" si="9"/>
        <v>12444.444444444443</v>
      </c>
      <c r="AD26" s="12">
        <f t="shared" si="10"/>
        <v>2588.4444444444434</v>
      </c>
      <c r="AE26" s="13">
        <f t="shared" si="11"/>
        <v>0.20799999999999993</v>
      </c>
    </row>
    <row r="27" spans="2:31" x14ac:dyDescent="0.25">
      <c r="B27" s="4"/>
      <c r="C27" s="1" t="s">
        <v>77</v>
      </c>
      <c r="D27" s="1" t="s">
        <v>58</v>
      </c>
      <c r="E27" s="3"/>
      <c r="F27" s="3"/>
      <c r="G27" s="24"/>
      <c r="H27" s="24"/>
      <c r="J27" s="1" t="s">
        <v>70</v>
      </c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 t="shared" si="12"/>
        <v>0</v>
      </c>
      <c r="T27" s="5">
        <v>0</v>
      </c>
      <c r="U27" s="12">
        <f t="shared" si="13"/>
        <v>0</v>
      </c>
      <c r="V27" s="25" t="s">
        <v>10</v>
      </c>
      <c r="W27" s="11">
        <f>IFERROR(VLOOKUP(V27,Curr!$B$2:$C$13,2,FALSE),0)</f>
        <v>11.2</v>
      </c>
      <c r="X27" s="12">
        <f t="shared" si="14"/>
        <v>0</v>
      </c>
      <c r="Y27" s="26">
        <f t="shared" si="15"/>
        <v>0</v>
      </c>
      <c r="Z27" s="12">
        <f t="shared" si="8"/>
        <v>0</v>
      </c>
      <c r="AA27" s="4" t="s">
        <v>10</v>
      </c>
      <c r="AB27" s="11">
        <f>IFERROR(VLOOKUP(AA27,Curr!$B$2:$C$13,2,FALSE),0)</f>
        <v>11.2</v>
      </c>
      <c r="AC27" s="12">
        <f t="shared" si="9"/>
        <v>0</v>
      </c>
      <c r="AD27" s="12">
        <f t="shared" si="10"/>
        <v>0</v>
      </c>
      <c r="AE27" s="13">
        <f t="shared" si="11"/>
        <v>0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/>
      <c r="R28" s="25"/>
      <c r="S28" s="12">
        <f t="shared" si="12"/>
        <v>0</v>
      </c>
      <c r="T28" s="5">
        <v>0</v>
      </c>
      <c r="U28" s="12">
        <f t="shared" si="13"/>
        <v>0</v>
      </c>
      <c r="V28" s="25" t="s">
        <v>10</v>
      </c>
      <c r="W28" s="11">
        <f>IFERROR(VLOOKUP(V28,Curr!$B$2:$C$13,2,FALSE),0)</f>
        <v>11.2</v>
      </c>
      <c r="X28" s="12">
        <f t="shared" si="14"/>
        <v>0</v>
      </c>
      <c r="Y28" s="26">
        <f t="shared" si="15"/>
        <v>0</v>
      </c>
      <c r="Z28" s="12">
        <f t="shared" si="8"/>
        <v>0</v>
      </c>
      <c r="AA28" s="4" t="s">
        <v>10</v>
      </c>
      <c r="AB28" s="11">
        <f>IFERROR(VLOOKUP(AA28,Curr!$B$2:$C$13,2,FALSE),0)</f>
        <v>11.2</v>
      </c>
      <c r="AC28" s="12">
        <f t="shared" si="9"/>
        <v>0</v>
      </c>
      <c r="AD28" s="12">
        <f t="shared" si="10"/>
        <v>0</v>
      </c>
      <c r="AE28" s="13">
        <f t="shared" si="11"/>
        <v>0</v>
      </c>
    </row>
    <row r="29" spans="2:31" x14ac:dyDescent="0.25">
      <c r="B29" s="4"/>
      <c r="C29" s="1" t="s">
        <v>80</v>
      </c>
      <c r="D29" s="1" t="s">
        <v>56</v>
      </c>
      <c r="E29" s="3"/>
      <c r="F29" s="3"/>
      <c r="G29" s="24"/>
      <c r="H29" s="24"/>
      <c r="J29" s="1" t="s">
        <v>84</v>
      </c>
      <c r="K29" s="4"/>
      <c r="L29" s="4"/>
      <c r="M29" s="4"/>
      <c r="N29" s="4"/>
      <c r="O29" s="4"/>
      <c r="P29" s="33"/>
      <c r="Q29" s="25">
        <v>0</v>
      </c>
      <c r="R29" s="25">
        <v>0</v>
      </c>
      <c r="S29" s="12">
        <f t="shared" si="12"/>
        <v>0</v>
      </c>
      <c r="T29" s="5">
        <v>0</v>
      </c>
      <c r="U29" s="12">
        <f t="shared" si="13"/>
        <v>0</v>
      </c>
      <c r="V29" s="25" t="s">
        <v>10</v>
      </c>
      <c r="W29" s="11">
        <f>IFERROR(VLOOKUP(V29,Curr!$B$2:$C$13,2,FALSE),0)</f>
        <v>11.2</v>
      </c>
      <c r="X29" s="12">
        <f t="shared" si="14"/>
        <v>0</v>
      </c>
      <c r="Y29" s="26">
        <f t="shared" si="15"/>
        <v>0</v>
      </c>
      <c r="Z29" s="12">
        <f t="shared" si="8"/>
        <v>0</v>
      </c>
      <c r="AA29" s="4" t="s">
        <v>10</v>
      </c>
      <c r="AB29" s="11">
        <f>IFERROR(VLOOKUP(AA29,Curr!$B$2:$C$13,2,FALSE),0)</f>
        <v>11.2</v>
      </c>
      <c r="AC29" s="12">
        <f t="shared" si="9"/>
        <v>0</v>
      </c>
      <c r="AD29" s="12">
        <f t="shared" si="10"/>
        <v>0</v>
      </c>
      <c r="AE29" s="13">
        <f t="shared" si="11"/>
        <v>0</v>
      </c>
    </row>
    <row r="30" spans="2:31" x14ac:dyDescent="0.25">
      <c r="B30" s="4"/>
      <c r="C30" s="1" t="s">
        <v>80</v>
      </c>
      <c r="D30" s="1" t="s">
        <v>81</v>
      </c>
      <c r="E30" s="3"/>
      <c r="F30" s="3"/>
      <c r="G30" s="24"/>
      <c r="H30" s="24"/>
      <c r="J30" s="1" t="s">
        <v>85</v>
      </c>
      <c r="K30" s="4"/>
      <c r="L30" s="4"/>
      <c r="M30" s="4"/>
      <c r="N30" s="4" t="s">
        <v>42</v>
      </c>
      <c r="O30" s="4"/>
      <c r="P30" s="33" t="s">
        <v>86</v>
      </c>
      <c r="Q30" s="25">
        <v>50</v>
      </c>
      <c r="R30" s="25">
        <v>2</v>
      </c>
      <c r="S30" s="12">
        <f t="shared" si="12"/>
        <v>100</v>
      </c>
      <c r="T30" s="5">
        <v>0</v>
      </c>
      <c r="U30" s="12">
        <f t="shared" si="13"/>
        <v>100</v>
      </c>
      <c r="V30" s="25" t="s">
        <v>10</v>
      </c>
      <c r="W30" s="11">
        <f>IFERROR(VLOOKUP(V30,Curr!$B$2:$C$13,2,FALSE),0)</f>
        <v>11.2</v>
      </c>
      <c r="X30" s="12">
        <f t="shared" si="14"/>
        <v>1120</v>
      </c>
      <c r="Y30" s="26">
        <f>Q30/0.8</f>
        <v>62.5</v>
      </c>
      <c r="Z30" s="12">
        <f t="shared" si="8"/>
        <v>125</v>
      </c>
      <c r="AA30" s="4" t="s">
        <v>10</v>
      </c>
      <c r="AB30" s="11">
        <f>IFERROR(VLOOKUP(AA30,Curr!$B$2:$C$13,2,FALSE),0)</f>
        <v>11.2</v>
      </c>
      <c r="AC30" s="12">
        <f t="shared" si="9"/>
        <v>1400</v>
      </c>
      <c r="AD30" s="12">
        <f t="shared" si="10"/>
        <v>280</v>
      </c>
      <c r="AE30" s="13">
        <f t="shared" si="11"/>
        <v>0.2</v>
      </c>
    </row>
    <row r="31" spans="2:31" x14ac:dyDescent="0.25">
      <c r="B31" s="4"/>
      <c r="C31" s="1" t="s">
        <v>80</v>
      </c>
      <c r="D31" s="1" t="s">
        <v>57</v>
      </c>
      <c r="E31" s="3"/>
      <c r="F31" s="3"/>
      <c r="G31" s="24"/>
      <c r="H31" s="24"/>
      <c r="J31" s="1" t="s">
        <v>88</v>
      </c>
      <c r="K31" s="4"/>
      <c r="L31" s="4"/>
      <c r="M31" s="4"/>
      <c r="N31" s="4" t="s">
        <v>42</v>
      </c>
      <c r="O31" s="4"/>
      <c r="P31" s="27"/>
      <c r="Q31" s="25">
        <f>58+58+538</f>
        <v>654</v>
      </c>
      <c r="R31" s="25">
        <v>1</v>
      </c>
      <c r="S31" s="12">
        <f t="shared" si="12"/>
        <v>654</v>
      </c>
      <c r="T31" s="5">
        <v>0</v>
      </c>
      <c r="U31" s="12">
        <f t="shared" si="13"/>
        <v>654</v>
      </c>
      <c r="V31" s="25" t="s">
        <v>10</v>
      </c>
      <c r="W31" s="11">
        <f>IFERROR(VLOOKUP(V31,Curr!$B$2:$C$13,2,FALSE),0)</f>
        <v>11.2</v>
      </c>
      <c r="X31" s="12">
        <f t="shared" si="14"/>
        <v>7324.7999999999993</v>
      </c>
      <c r="Y31" s="26">
        <f>Q31/0.8</f>
        <v>817.5</v>
      </c>
      <c r="Z31" s="12">
        <f t="shared" si="8"/>
        <v>817.5</v>
      </c>
      <c r="AA31" s="4" t="s">
        <v>10</v>
      </c>
      <c r="AB31" s="11">
        <f>IFERROR(VLOOKUP(AA31,Curr!$B$2:$C$13,2,FALSE),0)</f>
        <v>11.2</v>
      </c>
      <c r="AC31" s="12">
        <f t="shared" si="9"/>
        <v>9156</v>
      </c>
      <c r="AD31" s="12">
        <f t="shared" si="10"/>
        <v>1831.2000000000007</v>
      </c>
      <c r="AE31" s="13">
        <f t="shared" si="11"/>
        <v>0.20000000000000007</v>
      </c>
    </row>
    <row r="32" spans="2:31" x14ac:dyDescent="0.25">
      <c r="B32" s="4"/>
      <c r="C32" s="1" t="s">
        <v>80</v>
      </c>
      <c r="D32" s="1" t="s">
        <v>61</v>
      </c>
      <c r="E32" s="3"/>
      <c r="F32" s="3"/>
      <c r="G32" s="24"/>
      <c r="H32" s="24"/>
      <c r="J32" s="1" t="s">
        <v>87</v>
      </c>
      <c r="K32" s="4"/>
      <c r="L32" s="4"/>
      <c r="M32" s="4"/>
      <c r="N32" s="4" t="s">
        <v>42</v>
      </c>
      <c r="O32" s="4"/>
      <c r="P32" s="27"/>
      <c r="Q32" s="25">
        <v>111</v>
      </c>
      <c r="R32" s="25">
        <v>2</v>
      </c>
      <c r="S32" s="12">
        <f t="shared" si="12"/>
        <v>222</v>
      </c>
      <c r="T32" s="5">
        <v>0</v>
      </c>
      <c r="U32" s="12">
        <f t="shared" si="13"/>
        <v>222</v>
      </c>
      <c r="V32" s="25" t="s">
        <v>10</v>
      </c>
      <c r="W32" s="11">
        <f>IFERROR(VLOOKUP(V32,Curr!$B$2:$C$13,2,FALSE),0)</f>
        <v>11.2</v>
      </c>
      <c r="X32" s="12">
        <f t="shared" si="14"/>
        <v>2486.3999999999996</v>
      </c>
      <c r="Y32" s="26">
        <f>Q32/0.8</f>
        <v>138.75</v>
      </c>
      <c r="Z32" s="12">
        <f t="shared" si="8"/>
        <v>277.5</v>
      </c>
      <c r="AA32" s="4" t="s">
        <v>10</v>
      </c>
      <c r="AB32" s="11">
        <f>IFERROR(VLOOKUP(AA32,Curr!$B$2:$C$13,2,FALSE),0)</f>
        <v>11.2</v>
      </c>
      <c r="AC32" s="12">
        <f t="shared" si="9"/>
        <v>3108</v>
      </c>
      <c r="AD32" s="12">
        <f t="shared" si="10"/>
        <v>621.60000000000036</v>
      </c>
      <c r="AE32" s="13">
        <f t="shared" si="11"/>
        <v>0.20000000000000012</v>
      </c>
    </row>
    <row r="33" spans="2:36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/>
      <c r="R33" s="25"/>
      <c r="S33" s="12">
        <f t="shared" si="12"/>
        <v>0</v>
      </c>
      <c r="T33" s="5">
        <v>0</v>
      </c>
      <c r="U33" s="12">
        <f t="shared" si="13"/>
        <v>0</v>
      </c>
      <c r="V33" s="25" t="s">
        <v>10</v>
      </c>
      <c r="W33" s="11">
        <f>IFERROR(VLOOKUP(V33,Curr!$B$2:$C$13,2,FALSE),0)</f>
        <v>11.2</v>
      </c>
      <c r="X33" s="12">
        <f t="shared" si="14"/>
        <v>0</v>
      </c>
      <c r="Y33" s="26">
        <f t="shared" si="15"/>
        <v>0</v>
      </c>
      <c r="Z33" s="12">
        <f t="shared" si="8"/>
        <v>0</v>
      </c>
      <c r="AA33" s="4" t="s">
        <v>10</v>
      </c>
      <c r="AB33" s="11">
        <f>IFERROR(VLOOKUP(AA33,Curr!$B$2:$C$13,2,FALSE),0)</f>
        <v>11.2</v>
      </c>
      <c r="AC33" s="12">
        <f t="shared" si="9"/>
        <v>0</v>
      </c>
      <c r="AD33" s="12">
        <f t="shared" si="10"/>
        <v>0</v>
      </c>
      <c r="AE33" s="13">
        <f t="shared" si="11"/>
        <v>0</v>
      </c>
    </row>
    <row r="34" spans="2:36" x14ac:dyDescent="0.25">
      <c r="B34" s="4"/>
      <c r="C34" s="1" t="s">
        <v>82</v>
      </c>
      <c r="D34" s="1" t="s">
        <v>56</v>
      </c>
      <c r="E34" s="3"/>
      <c r="F34" s="3"/>
      <c r="G34" s="24"/>
      <c r="H34" s="24"/>
      <c r="J34" s="1" t="s">
        <v>168</v>
      </c>
      <c r="K34" s="4"/>
      <c r="L34" s="4"/>
      <c r="M34" s="4"/>
      <c r="N34" s="4" t="s">
        <v>42</v>
      </c>
      <c r="O34" s="4"/>
      <c r="P34" s="27"/>
      <c r="Q34" s="25">
        <v>49</v>
      </c>
      <c r="R34" s="25">
        <v>2</v>
      </c>
      <c r="S34" s="12">
        <f t="shared" si="12"/>
        <v>98</v>
      </c>
      <c r="T34" s="5">
        <v>0</v>
      </c>
      <c r="U34" s="12">
        <f t="shared" si="13"/>
        <v>98</v>
      </c>
      <c r="V34" s="25" t="s">
        <v>10</v>
      </c>
      <c r="W34" s="11">
        <f>IFERROR(VLOOKUP(V34,Curr!$B$2:$C$13,2,FALSE),0)</f>
        <v>11.2</v>
      </c>
      <c r="X34" s="12">
        <f t="shared" si="14"/>
        <v>1097.5999999999999</v>
      </c>
      <c r="Y34" s="26">
        <f>Q34/0.805</f>
        <v>60.869565217391298</v>
      </c>
      <c r="Z34" s="12">
        <f t="shared" si="8"/>
        <v>121.7391304347826</v>
      </c>
      <c r="AA34" s="4" t="s">
        <v>10</v>
      </c>
      <c r="AB34" s="11">
        <f>IFERROR(VLOOKUP(AA34,Curr!$B$2:$C$13,2,FALSE),0)</f>
        <v>11.2</v>
      </c>
      <c r="AC34" s="12">
        <f t="shared" si="9"/>
        <v>1363.478260869565</v>
      </c>
      <c r="AD34" s="12">
        <f t="shared" si="10"/>
        <v>265.87826086956511</v>
      </c>
      <c r="AE34" s="13">
        <f t="shared" si="11"/>
        <v>0.19499999999999995</v>
      </c>
    </row>
    <row r="35" spans="2:36" x14ac:dyDescent="0.25">
      <c r="B35" s="4"/>
      <c r="C35" s="1" t="s">
        <v>82</v>
      </c>
      <c r="D35" s="1" t="s">
        <v>83</v>
      </c>
      <c r="E35" s="3"/>
      <c r="F35" s="3"/>
      <c r="G35" s="24"/>
      <c r="H35" s="24"/>
      <c r="J35" s="1" t="s">
        <v>89</v>
      </c>
      <c r="K35" s="4"/>
      <c r="L35" s="4"/>
      <c r="M35" s="4"/>
      <c r="N35" s="4"/>
      <c r="O35" s="4"/>
      <c r="P35" s="33"/>
      <c r="Q35" s="25">
        <v>0</v>
      </c>
      <c r="R35" s="25">
        <v>0</v>
      </c>
      <c r="S35" s="12">
        <f t="shared" si="12"/>
        <v>0</v>
      </c>
      <c r="T35" s="5">
        <v>0</v>
      </c>
      <c r="U35" s="12">
        <f t="shared" si="13"/>
        <v>0</v>
      </c>
      <c r="V35" s="25" t="s">
        <v>10</v>
      </c>
      <c r="W35" s="11">
        <f>IFERROR(VLOOKUP(V35,Curr!$B$2:$C$13,2,FALSE),0)</f>
        <v>11.2</v>
      </c>
      <c r="X35" s="12">
        <f t="shared" si="14"/>
        <v>0</v>
      </c>
      <c r="Y35" s="26">
        <f t="shared" si="15"/>
        <v>0</v>
      </c>
      <c r="Z35" s="12">
        <f t="shared" si="8"/>
        <v>0</v>
      </c>
      <c r="AA35" s="4" t="s">
        <v>10</v>
      </c>
      <c r="AB35" s="11">
        <f>IFERROR(VLOOKUP(AA35,Curr!$B$2:$C$13,2,FALSE),0)</f>
        <v>11.2</v>
      </c>
      <c r="AC35" s="12">
        <f t="shared" si="9"/>
        <v>0</v>
      </c>
      <c r="AD35" s="12">
        <f t="shared" si="10"/>
        <v>0</v>
      </c>
      <c r="AE35" s="13">
        <f t="shared" si="11"/>
        <v>0</v>
      </c>
    </row>
    <row r="36" spans="2:36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12"/>
        <v>0</v>
      </c>
      <c r="T36" s="5">
        <v>0</v>
      </c>
      <c r="U36" s="12">
        <f t="shared" si="13"/>
        <v>0</v>
      </c>
      <c r="V36" s="25" t="s">
        <v>10</v>
      </c>
      <c r="W36" s="11">
        <f>IFERROR(VLOOKUP(V36,Curr!$B$2:$C$13,2,FALSE),0)</f>
        <v>11.2</v>
      </c>
      <c r="X36" s="12">
        <f t="shared" si="14"/>
        <v>0</v>
      </c>
      <c r="Y36" s="26">
        <f t="shared" si="15"/>
        <v>0</v>
      </c>
      <c r="Z36" s="12">
        <f t="shared" si="8"/>
        <v>0</v>
      </c>
      <c r="AA36" s="4" t="s">
        <v>10</v>
      </c>
      <c r="AB36" s="11">
        <f>IFERROR(VLOOKUP(AA36,Curr!$B$2:$C$13,2,FALSE),0)</f>
        <v>11.2</v>
      </c>
      <c r="AC36" s="12">
        <f t="shared" si="9"/>
        <v>0</v>
      </c>
      <c r="AD36" s="12">
        <f t="shared" si="10"/>
        <v>0</v>
      </c>
      <c r="AE36" s="13">
        <f t="shared" si="11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/>
      <c r="R37" s="25"/>
      <c r="S37" s="12">
        <f t="shared" si="12"/>
        <v>0</v>
      </c>
      <c r="T37" s="5">
        <v>0</v>
      </c>
      <c r="U37" s="12">
        <f t="shared" si="13"/>
        <v>0</v>
      </c>
      <c r="V37" s="25" t="s">
        <v>10</v>
      </c>
      <c r="W37" s="11">
        <f>IFERROR(VLOOKUP(V37,Curr!$B$2:$C$13,2,FALSE),0)</f>
        <v>11.2</v>
      </c>
      <c r="X37" s="12">
        <f t="shared" si="14"/>
        <v>0</v>
      </c>
      <c r="Y37" s="26">
        <f t="shared" si="15"/>
        <v>0</v>
      </c>
      <c r="Z37" s="12">
        <f t="shared" si="8"/>
        <v>0</v>
      </c>
      <c r="AA37" s="4" t="s">
        <v>10</v>
      </c>
      <c r="AB37" s="11">
        <f>IFERROR(VLOOKUP(AA37,Curr!$B$2:$C$13,2,FALSE),0)</f>
        <v>11.2</v>
      </c>
      <c r="AC37" s="12">
        <f t="shared" si="9"/>
        <v>0</v>
      </c>
      <c r="AD37" s="12">
        <f t="shared" si="10"/>
        <v>0</v>
      </c>
      <c r="AE37" s="13">
        <f t="shared" si="11"/>
        <v>0</v>
      </c>
    </row>
    <row r="38" spans="2:36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33"/>
      <c r="Q38" s="25"/>
      <c r="R38" s="25"/>
      <c r="S38" s="12">
        <f t="shared" si="12"/>
        <v>0</v>
      </c>
      <c r="T38" s="5">
        <v>0</v>
      </c>
      <c r="U38" s="12">
        <f t="shared" si="13"/>
        <v>0</v>
      </c>
      <c r="V38" s="25" t="s">
        <v>10</v>
      </c>
      <c r="W38" s="11">
        <f>IFERROR(VLOOKUP(V38,Curr!$B$2:$C$13,2,FALSE),0)</f>
        <v>11.2</v>
      </c>
      <c r="X38" s="12">
        <f t="shared" si="14"/>
        <v>0</v>
      </c>
      <c r="Y38" s="26">
        <f t="shared" si="15"/>
        <v>0</v>
      </c>
      <c r="Z38" s="12">
        <f t="shared" si="8"/>
        <v>0</v>
      </c>
      <c r="AA38" s="4" t="s">
        <v>10</v>
      </c>
      <c r="AB38" s="11">
        <f>IFERROR(VLOOKUP(AA38,Curr!$B$2:$C$13,2,FALSE),0)</f>
        <v>11.2</v>
      </c>
      <c r="AC38" s="12">
        <f t="shared" si="9"/>
        <v>0</v>
      </c>
      <c r="AD38" s="12">
        <f t="shared" si="10"/>
        <v>0</v>
      </c>
      <c r="AE38" s="13">
        <f t="shared" si="11"/>
        <v>0</v>
      </c>
    </row>
    <row r="39" spans="2:36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27"/>
      <c r="Q39" s="25"/>
      <c r="R39" s="25"/>
      <c r="S39" s="12">
        <f t="shared" si="12"/>
        <v>0</v>
      </c>
      <c r="T39" s="5">
        <v>0</v>
      </c>
      <c r="U39" s="12">
        <f t="shared" si="13"/>
        <v>0</v>
      </c>
      <c r="V39" s="25" t="s">
        <v>10</v>
      </c>
      <c r="W39" s="11">
        <f>IFERROR(VLOOKUP(V39,Curr!$B$2:$C$13,2,FALSE),0)</f>
        <v>11.2</v>
      </c>
      <c r="X39" s="12">
        <f t="shared" si="14"/>
        <v>0</v>
      </c>
      <c r="Y39" s="26">
        <f t="shared" si="15"/>
        <v>0</v>
      </c>
      <c r="Z39" s="12">
        <f t="shared" si="8"/>
        <v>0</v>
      </c>
      <c r="AA39" s="4" t="s">
        <v>10</v>
      </c>
      <c r="AB39" s="11">
        <f>IFERROR(VLOOKUP(AA39,Curr!$B$2:$C$13,2,FALSE),0)</f>
        <v>11.2</v>
      </c>
      <c r="AC39" s="12">
        <f t="shared" si="9"/>
        <v>0</v>
      </c>
      <c r="AD39" s="12">
        <f t="shared" si="10"/>
        <v>0</v>
      </c>
      <c r="AE39" s="13">
        <f t="shared" si="11"/>
        <v>0</v>
      </c>
    </row>
    <row r="40" spans="2:36" x14ac:dyDescent="0.25">
      <c r="B40" s="4"/>
      <c r="E40" s="3"/>
      <c r="F40" s="3"/>
      <c r="G40" s="3"/>
      <c r="H40" s="3"/>
      <c r="L40" s="4"/>
      <c r="M40" s="4"/>
      <c r="N40" s="4"/>
      <c r="O40" s="4"/>
      <c r="P40" s="22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6" x14ac:dyDescent="0.25">
      <c r="B41" s="14" t="s">
        <v>18</v>
      </c>
      <c r="C41" s="14"/>
      <c r="D41" s="28" t="s">
        <v>42</v>
      </c>
      <c r="E41" s="30" t="s">
        <v>42</v>
      </c>
      <c r="F41" s="30" t="s">
        <v>42</v>
      </c>
      <c r="G41" s="30" t="s">
        <v>42</v>
      </c>
      <c r="H41" s="30" t="s">
        <v>42</v>
      </c>
      <c r="I41" s="28" t="s">
        <v>42</v>
      </c>
      <c r="J41" s="28" t="s">
        <v>42</v>
      </c>
      <c r="K41" s="28" t="s">
        <v>42</v>
      </c>
      <c r="L41" s="28" t="s">
        <v>42</v>
      </c>
      <c r="M41" s="28" t="s">
        <v>42</v>
      </c>
      <c r="N41" s="28" t="s">
        <v>42</v>
      </c>
      <c r="O41" s="28" t="s">
        <v>42</v>
      </c>
      <c r="P41" s="28" t="s">
        <v>42</v>
      </c>
      <c r="Q41" s="31" t="s">
        <v>42</v>
      </c>
      <c r="R41" s="28" t="s">
        <v>42</v>
      </c>
      <c r="S41" s="32" t="s">
        <v>42</v>
      </c>
      <c r="T41" s="28" t="s">
        <v>42</v>
      </c>
      <c r="U41" s="32" t="s">
        <v>42</v>
      </c>
      <c r="V41" s="28" t="s">
        <v>42</v>
      </c>
      <c r="W41" s="28" t="s">
        <v>42</v>
      </c>
      <c r="X41" s="32" t="s">
        <v>42</v>
      </c>
      <c r="Y41" s="32" t="s">
        <v>42</v>
      </c>
      <c r="Z41" s="15">
        <f>SUM(Z7:Z39)</f>
        <v>5255.6968953735304</v>
      </c>
      <c r="AA41" s="14"/>
      <c r="AB41" s="14"/>
      <c r="AC41" s="15">
        <f>SUM(AC7:AC39)</f>
        <v>58863.805228183533</v>
      </c>
      <c r="AD41" s="15">
        <f>SUM(AD7:AD39)</f>
        <v>12115.005228183534</v>
      </c>
      <c r="AE41" s="21">
        <f t="shared" ref="AE41" si="17">IFERROR(AD41/AC41,0)</f>
        <v>0.20581417020561496</v>
      </c>
      <c r="AF41" s="15">
        <f>SUM(AF8:AF40)</f>
        <v>0</v>
      </c>
      <c r="AG41" s="15">
        <f>SUM(AG8:AG40)</f>
        <v>0</v>
      </c>
      <c r="AH41" s="15">
        <f>SUM(AH8:AH40)</f>
        <v>0</v>
      </c>
      <c r="AI41" s="15">
        <f>SUM(AI8:AI40)</f>
        <v>0</v>
      </c>
      <c r="AJ41" s="15">
        <f>SUM(AJ8:AJ40)</f>
        <v>0</v>
      </c>
    </row>
    <row r="42" spans="2:36" x14ac:dyDescent="0.25">
      <c r="B42" s="4"/>
      <c r="E42" s="3"/>
      <c r="F42" s="3"/>
      <c r="G42" s="3"/>
      <c r="H42" s="3"/>
      <c r="L42" s="4"/>
      <c r="M42" s="4"/>
      <c r="N42" s="4"/>
      <c r="O42" s="4"/>
      <c r="Q42" s="4"/>
      <c r="R42" s="4"/>
      <c r="S42" s="4"/>
      <c r="T42" s="4"/>
      <c r="U42" s="4"/>
      <c r="V42" s="4"/>
      <c r="W42" s="4"/>
      <c r="X42" s="4"/>
      <c r="Y42" s="9"/>
      <c r="Z42" s="9"/>
      <c r="AA42" s="9"/>
      <c r="AB42" s="9"/>
      <c r="AC42" s="9"/>
      <c r="AD42" s="9"/>
      <c r="AE42" s="9"/>
    </row>
    <row r="43" spans="2:36" x14ac:dyDescent="0.25">
      <c r="B43" s="4"/>
      <c r="E43" s="3"/>
      <c r="F43" s="3"/>
      <c r="G43" s="3"/>
      <c r="H43" s="3"/>
      <c r="L43" s="4"/>
      <c r="M43" s="4"/>
      <c r="N43" s="4"/>
      <c r="O43" s="4"/>
      <c r="Q43" s="9"/>
      <c r="R43" s="9"/>
      <c r="S43" s="9"/>
      <c r="T43" s="9"/>
      <c r="U43" s="9"/>
      <c r="V43" s="9"/>
      <c r="W43" s="9"/>
      <c r="X43" s="23"/>
      <c r="Y43" s="34" t="s">
        <v>103</v>
      </c>
      <c r="Z43" s="34">
        <f>Z8+Z12+Z13+Z17+Z20+Z22+Z24+Z26+Z30+Z31+Z32+Z34</f>
        <v>3938.1968953735295</v>
      </c>
      <c r="AA43" s="9"/>
      <c r="AB43" s="9"/>
      <c r="AC43" s="9"/>
      <c r="AD43" s="9"/>
      <c r="AE43" s="9"/>
    </row>
    <row r="44" spans="2:36" x14ac:dyDescent="0.25">
      <c r="B44" s="4"/>
      <c r="E44" s="3"/>
      <c r="F44" s="3"/>
      <c r="G44" s="3"/>
      <c r="H44" s="3"/>
      <c r="L44" s="4"/>
      <c r="M44" s="4"/>
      <c r="N44" s="4"/>
      <c r="O44" s="4"/>
      <c r="Q44" s="9"/>
      <c r="R44" s="9"/>
      <c r="S44" s="9"/>
      <c r="T44" s="9"/>
      <c r="U44" s="9"/>
      <c r="V44" s="9"/>
      <c r="W44" s="9"/>
      <c r="X44" s="9"/>
      <c r="Y44" s="35" t="s">
        <v>104</v>
      </c>
      <c r="Z44" s="34">
        <f>Z9+Z15+Z18</f>
        <v>1317.5</v>
      </c>
      <c r="AA44" s="9"/>
      <c r="AB44" s="9"/>
      <c r="AC44" s="9"/>
      <c r="AD44" s="9"/>
      <c r="AE44" s="9"/>
      <c r="AF44" s="18"/>
    </row>
    <row r="45" spans="2:36" x14ac:dyDescent="0.25">
      <c r="B45" s="4"/>
      <c r="E45" s="3"/>
      <c r="F45" s="3"/>
      <c r="G45" s="3"/>
      <c r="H45" s="3"/>
      <c r="I45" s="19"/>
      <c r="L45" s="4"/>
      <c r="M45" s="4"/>
      <c r="N45" s="4"/>
      <c r="O45" s="20"/>
      <c r="Q45" s="20"/>
      <c r="R45" s="20"/>
      <c r="S45" s="20"/>
      <c r="T45" s="20"/>
      <c r="U45" s="20"/>
      <c r="V45" s="20"/>
      <c r="W45" s="20"/>
      <c r="X45" s="20"/>
      <c r="Y45" s="34" t="s">
        <v>105</v>
      </c>
      <c r="Z45" s="34">
        <v>6220</v>
      </c>
      <c r="AA45" s="9"/>
      <c r="AB45" s="9"/>
      <c r="AC45" s="9"/>
      <c r="AD45" s="9"/>
      <c r="AE45" s="9"/>
      <c r="AF45" s="18"/>
    </row>
    <row r="46" spans="2:36" x14ac:dyDescent="0.25">
      <c r="B46" s="4"/>
      <c r="E46" s="3"/>
      <c r="F46" s="3"/>
      <c r="G46" s="3"/>
      <c r="H46" s="3"/>
      <c r="L46" s="4"/>
      <c r="M46" s="4"/>
      <c r="N46" s="4"/>
      <c r="O46" s="20"/>
      <c r="Q46" s="20"/>
      <c r="R46" s="20"/>
      <c r="S46" s="20"/>
      <c r="T46" s="20"/>
      <c r="U46" s="20"/>
      <c r="V46" s="20"/>
      <c r="W46" s="20"/>
      <c r="X46" s="20"/>
      <c r="Y46" s="34" t="s">
        <v>43</v>
      </c>
      <c r="Z46" s="34">
        <f>Z45/2</f>
        <v>3110</v>
      </c>
      <c r="AA46" s="9"/>
      <c r="AB46" s="9"/>
      <c r="AC46" s="9"/>
      <c r="AD46" s="9"/>
      <c r="AE46" s="9"/>
      <c r="AF46" s="18"/>
    </row>
    <row r="47" spans="2:36" x14ac:dyDescent="0.25">
      <c r="B47" s="4"/>
      <c r="E47" s="3"/>
      <c r="F47" s="3"/>
      <c r="G47" s="3"/>
      <c r="H47" s="3"/>
      <c r="L47" s="4"/>
      <c r="M47" s="4"/>
      <c r="N47" s="4"/>
      <c r="O47" s="4"/>
      <c r="Q47" s="9"/>
      <c r="R47" s="9"/>
      <c r="S47" s="9"/>
      <c r="T47" s="9"/>
      <c r="U47" s="9"/>
      <c r="V47" s="9"/>
      <c r="W47" s="9"/>
      <c r="X47" s="9"/>
      <c r="Y47" s="1"/>
      <c r="Z47" s="1"/>
      <c r="AA47" s="9"/>
      <c r="AB47" s="9"/>
      <c r="AC47" s="9"/>
      <c r="AD47" s="9"/>
      <c r="AE47" s="9"/>
      <c r="AF47" s="18"/>
    </row>
    <row r="48" spans="2:36" x14ac:dyDescent="0.25">
      <c r="F48" s="1"/>
      <c r="G48" s="1"/>
      <c r="H48" s="1"/>
      <c r="J48" s="1" t="s">
        <v>32</v>
      </c>
      <c r="Q48" s="9"/>
      <c r="R48" s="4"/>
      <c r="S48" s="9"/>
      <c r="T48" s="5"/>
      <c r="U48" s="9"/>
      <c r="V48" s="4"/>
      <c r="W48" s="4"/>
      <c r="X48" s="9"/>
      <c r="Y48" s="9" t="s">
        <v>44</v>
      </c>
      <c r="Z48" s="9">
        <f>Z45-Z49</f>
        <v>6220</v>
      </c>
      <c r="AA48" s="9"/>
      <c r="AB48" s="9"/>
      <c r="AC48" s="9"/>
      <c r="AD48" s="9"/>
      <c r="AE48" s="9"/>
    </row>
    <row r="49" spans="17:31" x14ac:dyDescent="0.25">
      <c r="R49" s="4"/>
      <c r="S49" s="17"/>
      <c r="T49" s="17"/>
      <c r="U49" s="9"/>
      <c r="V49" s="4"/>
      <c r="W49" s="4"/>
      <c r="X49" s="9"/>
      <c r="Y49" s="9" t="s">
        <v>45</v>
      </c>
      <c r="Z49" s="9"/>
      <c r="AA49" s="9"/>
      <c r="AB49" s="9"/>
      <c r="AC49" s="9"/>
      <c r="AD49" s="9"/>
      <c r="AE49" s="9"/>
    </row>
    <row r="50" spans="17:31" x14ac:dyDescent="0.25">
      <c r="Q50" s="9"/>
      <c r="R50" s="4"/>
      <c r="S50" s="16"/>
      <c r="T50" s="16"/>
      <c r="U50" s="9"/>
      <c r="V50" s="4"/>
      <c r="W50" s="4"/>
      <c r="X50" s="9"/>
      <c r="Y50" s="9"/>
      <c r="Z50" s="9"/>
      <c r="AA50" s="9"/>
      <c r="AB50" s="9"/>
      <c r="AC50" s="9"/>
      <c r="AD50" s="9"/>
      <c r="AE50" s="9"/>
    </row>
    <row r="51" spans="17:31" x14ac:dyDescent="0.25">
      <c r="R51" s="4"/>
      <c r="S51" s="16"/>
      <c r="T51" s="16"/>
      <c r="Y51" s="9" t="s">
        <v>46</v>
      </c>
      <c r="Z51" s="9">
        <f>Z45*0.3</f>
        <v>1866</v>
      </c>
      <c r="AA51" s="9"/>
      <c r="AB51" s="9"/>
      <c r="AC51" s="9"/>
      <c r="AD51" s="9"/>
      <c r="AE51" s="9"/>
    </row>
    <row r="52" spans="17:31" x14ac:dyDescent="0.25">
      <c r="T52" s="5"/>
      <c r="Y52" s="9" t="s">
        <v>47</v>
      </c>
      <c r="Z52" s="9">
        <f>Z45-Z51</f>
        <v>4354</v>
      </c>
      <c r="AA52" s="9"/>
      <c r="AB52" s="9"/>
      <c r="AC52" s="9"/>
      <c r="AD52" s="9"/>
      <c r="AE52" s="9"/>
    </row>
    <row r="53" spans="17:31" x14ac:dyDescent="0.25">
      <c r="T53" s="5"/>
      <c r="Y53" s="9"/>
      <c r="Z53" s="9"/>
      <c r="AA53" s="9"/>
      <c r="AB53" s="9"/>
      <c r="AC53" s="9"/>
      <c r="AD53" s="9"/>
      <c r="AE53" s="9"/>
    </row>
    <row r="54" spans="17:31" x14ac:dyDescent="0.25">
      <c r="T54" s="5"/>
      <c r="Y54" s="9"/>
      <c r="Z54" s="9"/>
      <c r="AA54" s="9"/>
      <c r="AB54" s="9"/>
      <c r="AC54" s="9"/>
      <c r="AD54" s="9"/>
      <c r="AE54" s="9"/>
    </row>
    <row r="55" spans="17:31" x14ac:dyDescent="0.25">
      <c r="T55" s="5"/>
      <c r="Y55" s="43" t="s">
        <v>236</v>
      </c>
      <c r="Z55" s="9">
        <v>5260</v>
      </c>
      <c r="AA55" s="9"/>
      <c r="AB55" s="9"/>
      <c r="AC55" s="9"/>
      <c r="AD55" s="9"/>
      <c r="AE55" s="9"/>
    </row>
    <row r="56" spans="17:31" x14ac:dyDescent="0.25">
      <c r="T56" s="5"/>
      <c r="Y56" s="44" t="s">
        <v>237</v>
      </c>
      <c r="Z56" s="9">
        <f>Z55*1.15</f>
        <v>6048.9999999999991</v>
      </c>
      <c r="AA56" s="9"/>
      <c r="AB56" s="9"/>
      <c r="AC56" s="9"/>
      <c r="AD56" s="9"/>
      <c r="AE56" s="9"/>
    </row>
    <row r="57" spans="17:31" x14ac:dyDescent="0.25">
      <c r="T57" s="5"/>
      <c r="Y57" s="44" t="s">
        <v>238</v>
      </c>
      <c r="Z57" s="9">
        <f>Z55*1.2</f>
        <v>6312</v>
      </c>
      <c r="AA57" s="9"/>
      <c r="AB57" s="9"/>
      <c r="AC57" s="9"/>
      <c r="AD57" s="9"/>
      <c r="AE57" s="9"/>
    </row>
    <row r="58" spans="17:31" x14ac:dyDescent="0.25">
      <c r="T58" s="5"/>
      <c r="Y58" s="44" t="s">
        <v>239</v>
      </c>
      <c r="Z58" s="9">
        <f>Z55*0.84</f>
        <v>4418.3999999999996</v>
      </c>
      <c r="AA58" s="9"/>
      <c r="AB58" s="9"/>
      <c r="AC58" s="9"/>
      <c r="AD58" s="9"/>
      <c r="AE58" s="9"/>
    </row>
    <row r="59" spans="17:31" x14ac:dyDescent="0.25">
      <c r="T59" s="5"/>
      <c r="Y59" s="9"/>
      <c r="Z59" s="9"/>
      <c r="AA59" s="9"/>
      <c r="AB59" s="9"/>
      <c r="AC59" s="9"/>
      <c r="AD59" s="9"/>
      <c r="AE59" s="9"/>
    </row>
    <row r="60" spans="17:31" x14ac:dyDescent="0.25">
      <c r="T60" s="5"/>
    </row>
    <row r="61" spans="17:31" x14ac:dyDescent="0.25">
      <c r="T61" s="5"/>
    </row>
    <row r="62" spans="17:31" x14ac:dyDescent="0.25">
      <c r="T62" s="5"/>
    </row>
    <row r="63" spans="17:31" x14ac:dyDescent="0.25">
      <c r="T63" s="5"/>
    </row>
    <row r="64" spans="17:31" x14ac:dyDescent="0.25">
      <c r="T64" s="5"/>
    </row>
  </sheetData>
  <autoFilter ref="B6:AE41" xr:uid="{65FA6D9B-E0AF-46CD-BA0D-86BB75FE6AB0}"/>
  <hyperlinks>
    <hyperlink ref="P12" r:id="rId1" xr:uid="{8C77881C-73E1-47B1-AAFF-69DF8C60CCA4}"/>
    <hyperlink ref="P15" r:id="rId2" xr:uid="{80F5C9E7-5F39-4CAB-8107-A46D4A2760D5}"/>
    <hyperlink ref="P20" r:id="rId3" xr:uid="{D16C6C8C-DE0A-45B3-BC9B-588D0704F0C9}"/>
    <hyperlink ref="P22" r:id="rId4" xr:uid="{C1140364-E891-4478-ADB3-2DF0E8F58C85}"/>
    <hyperlink ref="P26" r:id="rId5" xr:uid="{0B33D6C6-5259-49AD-B148-4DF0BA12D728}"/>
    <hyperlink ref="P30" r:id="rId6" xr:uid="{A62156F8-D959-4590-ADB7-57DE4CDCBD75}"/>
  </hyperlinks>
  <pageMargins left="0.7" right="0.7" top="0.75" bottom="0.75" header="0.3" footer="0.3"/>
  <pageSetup paperSize="9" orientation="portrait"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3234-AD93-47C8-B7A3-EB390FE06D87}">
  <sheetPr>
    <tabColor rgb="FFFFFF00"/>
  </sheetPr>
  <dimension ref="B2:AK62"/>
  <sheetViews>
    <sheetView tabSelected="1" zoomScale="80" zoomScaleNormal="80" workbookViewId="0">
      <selection activeCell="J22" sqref="J22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4" width="11.7109375" style="1" hidden="1" customWidth="1" outlineLevel="1"/>
    <col min="15" max="15" width="50.4257812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246</v>
      </c>
    </row>
    <row r="3" spans="2:36" x14ac:dyDescent="0.25">
      <c r="B3" s="2" t="s">
        <v>48</v>
      </c>
    </row>
    <row r="4" spans="2:36" x14ac:dyDescent="0.25">
      <c r="B4" s="2" t="s">
        <v>170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10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10" si="1">U7*W7</f>
        <v>0</v>
      </c>
      <c r="Y7" s="26">
        <f>Q7</f>
        <v>0</v>
      </c>
      <c r="Z7" s="12">
        <f t="shared" ref="Z7:Z10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10" si="3">+Y7*AB7*R7</f>
        <v>0</v>
      </c>
      <c r="AD7" s="12">
        <f t="shared" ref="AD7:AD10" si="4">+AC7-X7</f>
        <v>0</v>
      </c>
      <c r="AE7" s="13">
        <f t="shared" ref="AE7:AE10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ref="U8:U10" si="6">S8*(1-T8)</f>
        <v>0</v>
      </c>
      <c r="V8" s="25" t="s">
        <v>10</v>
      </c>
      <c r="W8" s="11">
        <f>IFERROR(VLOOKUP(V8,Curr!$B$2:$C$13,2,FALSE),0)</f>
        <v>11.2</v>
      </c>
      <c r="X8" s="12">
        <f t="shared" si="1"/>
        <v>0</v>
      </c>
      <c r="Y8" s="26">
        <f>Q8/0.8</f>
        <v>0</v>
      </c>
      <c r="Z8" s="12">
        <f t="shared" si="2"/>
        <v>0</v>
      </c>
      <c r="AA8" s="4" t="s">
        <v>10</v>
      </c>
      <c r="AB8" s="11">
        <f>IFERROR(VLOOKUP(AA8,Curr!$B$2:$C$13,2,FALSE),0)</f>
        <v>11.2</v>
      </c>
      <c r="AC8" s="12">
        <f t="shared" si="3"/>
        <v>0</v>
      </c>
      <c r="AD8" s="12">
        <f t="shared" si="4"/>
        <v>0</v>
      </c>
      <c r="AE8" s="13">
        <f t="shared" si="5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59</v>
      </c>
      <c r="K9" s="4"/>
      <c r="L9" s="4"/>
      <c r="M9" s="4"/>
      <c r="N9" s="4"/>
      <c r="O9" s="4" t="s">
        <v>42</v>
      </c>
      <c r="P9" s="33"/>
      <c r="Q9" s="25">
        <v>150</v>
      </c>
      <c r="R9" s="25">
        <v>1</v>
      </c>
      <c r="S9" s="12">
        <f t="shared" si="0"/>
        <v>150</v>
      </c>
      <c r="T9" s="5">
        <v>0</v>
      </c>
      <c r="U9" s="12">
        <f t="shared" si="6"/>
        <v>150</v>
      </c>
      <c r="V9" s="25" t="s">
        <v>10</v>
      </c>
      <c r="W9" s="11">
        <f>IFERROR(VLOOKUP(V9,Curr!$B$2:$C$13,2,FALSE),0)</f>
        <v>11.2</v>
      </c>
      <c r="X9" s="12">
        <f t="shared" si="1"/>
        <v>1680</v>
      </c>
      <c r="Y9" s="26">
        <f>Q9/0.8</f>
        <v>187.5</v>
      </c>
      <c r="Z9" s="12">
        <f t="shared" si="2"/>
        <v>187.5</v>
      </c>
      <c r="AA9" s="4" t="s">
        <v>10</v>
      </c>
      <c r="AB9" s="11">
        <f>IFERROR(VLOOKUP(AA9,Curr!$B$2:$C$13,2,FALSE),0)</f>
        <v>11.2</v>
      </c>
      <c r="AC9" s="12">
        <f t="shared" si="3"/>
        <v>2100</v>
      </c>
      <c r="AD9" s="12">
        <f t="shared" si="4"/>
        <v>420</v>
      </c>
      <c r="AE9" s="13">
        <f t="shared" si="5"/>
        <v>0.2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6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" si="7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ref="S11:S37" si="8">+Q11*R11</f>
        <v>0</v>
      </c>
      <c r="T11" s="5">
        <v>0</v>
      </c>
      <c r="U11" s="12">
        <f t="shared" ref="U11:U37" si="9">S11*(1-T11)</f>
        <v>0</v>
      </c>
      <c r="V11" s="25" t="s">
        <v>10</v>
      </c>
      <c r="W11" s="11">
        <f>IFERROR(VLOOKUP(V11,Curr!$B$2:$C$13,2,FALSE),0)</f>
        <v>11.2</v>
      </c>
      <c r="X11" s="12">
        <f t="shared" ref="X11:X37" si="10">U11*W11</f>
        <v>0</v>
      </c>
      <c r="Y11" s="26">
        <f t="shared" ref="Y11:Y37" si="11">Q11</f>
        <v>0</v>
      </c>
      <c r="Z11" s="12">
        <f t="shared" ref="Z11:Z37" si="12">+Y11*R11</f>
        <v>0</v>
      </c>
      <c r="AA11" s="4" t="s">
        <v>10</v>
      </c>
      <c r="AB11" s="11">
        <f>IFERROR(VLOOKUP(AA11,Curr!$B$2:$C$13,2,FALSE),0)</f>
        <v>11.2</v>
      </c>
      <c r="AC11" s="12">
        <f t="shared" ref="AC11:AC37" si="13">+Y11*AB11*R11</f>
        <v>0</v>
      </c>
      <c r="AD11" s="12">
        <f t="shared" ref="AD11:AD37" si="14">+AC11-X11</f>
        <v>0</v>
      </c>
      <c r="AE11" s="13">
        <f t="shared" ref="AE11:AE37" si="15">IFERROR(AD11/AC11,0)</f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8"/>
        <v>40</v>
      </c>
      <c r="T12" s="5">
        <v>0</v>
      </c>
      <c r="U12" s="12">
        <f t="shared" si="9"/>
        <v>40</v>
      </c>
      <c r="V12" s="25" t="s">
        <v>10</v>
      </c>
      <c r="W12" s="11">
        <f>IFERROR(VLOOKUP(V12,Curr!$B$2:$C$13,2,FALSE),0)</f>
        <v>11.2</v>
      </c>
      <c r="X12" s="12">
        <f t="shared" si="10"/>
        <v>448</v>
      </c>
      <c r="Y12" s="26">
        <f>Q12/0.57</f>
        <v>35.087719298245617</v>
      </c>
      <c r="Z12" s="12">
        <f t="shared" si="12"/>
        <v>70.175438596491233</v>
      </c>
      <c r="AA12" s="4" t="s">
        <v>10</v>
      </c>
      <c r="AB12" s="11">
        <f>IFERROR(VLOOKUP(AA12,Curr!$B$2:$C$13,2,FALSE),0)</f>
        <v>11.2</v>
      </c>
      <c r="AC12" s="12">
        <f t="shared" si="13"/>
        <v>785.96491228070181</v>
      </c>
      <c r="AD12" s="12">
        <f t="shared" si="14"/>
        <v>337.96491228070181</v>
      </c>
      <c r="AE12" s="13">
        <f t="shared" si="15"/>
        <v>0.43000000000000005</v>
      </c>
    </row>
    <row r="13" spans="2:36" x14ac:dyDescent="0.25">
      <c r="B13" s="4"/>
      <c r="C13" s="1" t="s">
        <v>60</v>
      </c>
      <c r="D13" s="1" t="s">
        <v>56</v>
      </c>
      <c r="F13" s="3"/>
      <c r="G13" s="24"/>
      <c r="H13" s="24"/>
      <c r="J13" s="1" t="s">
        <v>65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8"/>
        <v>0</v>
      </c>
      <c r="T13" s="5">
        <v>0</v>
      </c>
      <c r="U13" s="12">
        <f t="shared" si="9"/>
        <v>0</v>
      </c>
      <c r="V13" s="25" t="s">
        <v>10</v>
      </c>
      <c r="W13" s="11">
        <f>IFERROR(VLOOKUP(V13,Curr!$B$2:$C$13,2,FALSE),0)</f>
        <v>11.2</v>
      </c>
      <c r="X13" s="12">
        <f t="shared" si="10"/>
        <v>0</v>
      </c>
      <c r="Y13" s="26">
        <f t="shared" ref="Y13:Y14" si="16">Q13</f>
        <v>0</v>
      </c>
      <c r="Z13" s="12">
        <f t="shared" si="12"/>
        <v>0</v>
      </c>
      <c r="AA13" s="4" t="s">
        <v>10</v>
      </c>
      <c r="AB13" s="11">
        <f>IFERROR(VLOOKUP(AA13,Curr!$B$2:$C$13,2,FALSE),0)</f>
        <v>11.2</v>
      </c>
      <c r="AC13" s="12">
        <f t="shared" si="13"/>
        <v>0</v>
      </c>
      <c r="AD13" s="12">
        <f t="shared" si="14"/>
        <v>0</v>
      </c>
      <c r="AE13" s="13">
        <f t="shared" si="15"/>
        <v>0</v>
      </c>
    </row>
    <row r="14" spans="2:36" x14ac:dyDescent="0.25">
      <c r="B14" s="4"/>
      <c r="C14" s="1" t="s">
        <v>60</v>
      </c>
      <c r="D14" s="1" t="s">
        <v>64</v>
      </c>
      <c r="E14" s="3"/>
      <c r="F14" s="3"/>
      <c r="G14" s="24"/>
      <c r="H14" s="24"/>
      <c r="J14" s="1" t="s">
        <v>66</v>
      </c>
      <c r="K14" s="4"/>
      <c r="L14" s="4"/>
      <c r="M14" s="4"/>
      <c r="N14" s="4" t="s">
        <v>42</v>
      </c>
      <c r="O14" s="4"/>
      <c r="P14" s="33" t="s">
        <v>67</v>
      </c>
      <c r="Q14" s="25">
        <v>200</v>
      </c>
      <c r="R14" s="25">
        <v>1</v>
      </c>
      <c r="S14" s="12">
        <f t="shared" si="8"/>
        <v>200</v>
      </c>
      <c r="T14" s="5">
        <v>0</v>
      </c>
      <c r="U14" s="12">
        <f t="shared" si="9"/>
        <v>200</v>
      </c>
      <c r="V14" s="25" t="s">
        <v>10</v>
      </c>
      <c r="W14" s="11">
        <f>IFERROR(VLOOKUP(V14,Curr!$B$2:$C$13,2,FALSE),0)</f>
        <v>11.2</v>
      </c>
      <c r="X14" s="12">
        <f t="shared" si="10"/>
        <v>2240</v>
      </c>
      <c r="Y14" s="26">
        <f>Q14/0.85</f>
        <v>235.29411764705884</v>
      </c>
      <c r="Z14" s="12">
        <f t="shared" si="12"/>
        <v>235.29411764705884</v>
      </c>
      <c r="AA14" s="4" t="s">
        <v>10</v>
      </c>
      <c r="AB14" s="11">
        <f>IFERROR(VLOOKUP(AA14,Curr!$B$2:$C$13,2,FALSE),0)</f>
        <v>11.2</v>
      </c>
      <c r="AC14" s="12">
        <f t="shared" si="13"/>
        <v>2635.294117647059</v>
      </c>
      <c r="AD14" s="12">
        <f t="shared" si="14"/>
        <v>395.29411764705901</v>
      </c>
      <c r="AE14" s="13">
        <f t="shared" si="15"/>
        <v>0.15000000000000005</v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/>
      <c r="R15" s="25"/>
      <c r="S15" s="12">
        <f t="shared" si="8"/>
        <v>0</v>
      </c>
      <c r="T15" s="5">
        <v>0</v>
      </c>
      <c r="U15" s="12">
        <f t="shared" si="9"/>
        <v>0</v>
      </c>
      <c r="V15" s="25" t="s">
        <v>10</v>
      </c>
      <c r="W15" s="11">
        <f>IFERROR(VLOOKUP(V15,Curr!$B$2:$C$13,2,FALSE),0)</f>
        <v>11.2</v>
      </c>
      <c r="X15" s="12">
        <f t="shared" si="10"/>
        <v>0</v>
      </c>
      <c r="Y15" s="26">
        <f t="shared" si="11"/>
        <v>0</v>
      </c>
      <c r="Z15" s="12">
        <f t="shared" si="12"/>
        <v>0</v>
      </c>
      <c r="AA15" s="4" t="s">
        <v>10</v>
      </c>
      <c r="AB15" s="11">
        <f>IFERROR(VLOOKUP(AA15,Curr!$B$2:$C$13,2,FALSE),0)</f>
        <v>11.2</v>
      </c>
      <c r="AC15" s="12">
        <f t="shared" si="13"/>
        <v>0</v>
      </c>
      <c r="AD15" s="12">
        <f t="shared" si="14"/>
        <v>0</v>
      </c>
      <c r="AE15" s="13">
        <f t="shared" si="15"/>
        <v>0</v>
      </c>
    </row>
    <row r="16" spans="2:36" x14ac:dyDescent="0.25">
      <c r="B16" s="4"/>
      <c r="C16" s="1" t="s">
        <v>68</v>
      </c>
      <c r="D16" s="1" t="s">
        <v>56</v>
      </c>
      <c r="E16" s="3"/>
      <c r="F16" s="3"/>
      <c r="G16" s="24"/>
      <c r="H16" s="24"/>
      <c r="J16" s="1" t="s">
        <v>69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8"/>
        <v>0</v>
      </c>
      <c r="T16" s="5">
        <v>0</v>
      </c>
      <c r="U16" s="12">
        <f t="shared" si="9"/>
        <v>0</v>
      </c>
      <c r="V16" s="25" t="s">
        <v>10</v>
      </c>
      <c r="W16" s="11">
        <f>IFERROR(VLOOKUP(V16,Curr!$B$2:$C$13,2,FALSE),0)</f>
        <v>11.2</v>
      </c>
      <c r="X16" s="12">
        <f t="shared" si="10"/>
        <v>0</v>
      </c>
      <c r="Y16" s="26">
        <f>Q16/0.8</f>
        <v>0</v>
      </c>
      <c r="Z16" s="12">
        <f t="shared" si="12"/>
        <v>0</v>
      </c>
      <c r="AA16" s="4" t="s">
        <v>10</v>
      </c>
      <c r="AB16" s="11">
        <f>IFERROR(VLOOKUP(AA16,Curr!$B$2:$C$13,2,FALSE),0)</f>
        <v>11.2</v>
      </c>
      <c r="AC16" s="12">
        <f t="shared" si="13"/>
        <v>0</v>
      </c>
      <c r="AD16" s="12">
        <f t="shared" si="14"/>
        <v>0</v>
      </c>
      <c r="AE16" s="13">
        <f t="shared" si="15"/>
        <v>0</v>
      </c>
    </row>
    <row r="17" spans="2:31" x14ac:dyDescent="0.25">
      <c r="B17" s="4"/>
      <c r="C17" s="1" t="s">
        <v>68</v>
      </c>
      <c r="D17" s="1" t="s">
        <v>57</v>
      </c>
      <c r="E17" s="3"/>
      <c r="F17" s="3"/>
      <c r="G17" s="24"/>
      <c r="H17" s="24"/>
      <c r="J17" s="1" t="s">
        <v>173</v>
      </c>
      <c r="K17" s="4"/>
      <c r="L17" s="4"/>
      <c r="M17" s="4"/>
      <c r="N17" s="4" t="s">
        <v>42</v>
      </c>
      <c r="O17" s="4"/>
      <c r="P17" s="33"/>
      <c r="Q17" s="25">
        <f>109*2*2</f>
        <v>436</v>
      </c>
      <c r="R17" s="25">
        <v>1</v>
      </c>
      <c r="S17" s="12">
        <f t="shared" si="8"/>
        <v>436</v>
      </c>
      <c r="T17" s="5">
        <v>0</v>
      </c>
      <c r="U17" s="12">
        <f t="shared" si="9"/>
        <v>436</v>
      </c>
      <c r="V17" s="25" t="s">
        <v>10</v>
      </c>
      <c r="W17" s="11">
        <f>IFERROR(VLOOKUP(V17,Curr!$B$2:$C$13,2,FALSE),0)</f>
        <v>11.2</v>
      </c>
      <c r="X17" s="12">
        <f t="shared" si="10"/>
        <v>4883.2</v>
      </c>
      <c r="Y17" s="26">
        <f>Q17/0.8</f>
        <v>545</v>
      </c>
      <c r="Z17" s="12">
        <f t="shared" si="12"/>
        <v>545</v>
      </c>
      <c r="AA17" s="4" t="s">
        <v>10</v>
      </c>
      <c r="AB17" s="11">
        <f>IFERROR(VLOOKUP(AA17,Curr!$B$2:$C$13,2,FALSE),0)</f>
        <v>11.2</v>
      </c>
      <c r="AC17" s="12">
        <f t="shared" si="13"/>
        <v>6104</v>
      </c>
      <c r="AD17" s="12">
        <f t="shared" si="14"/>
        <v>1220.8000000000002</v>
      </c>
      <c r="AE17" s="13">
        <f t="shared" si="15"/>
        <v>0.20000000000000004</v>
      </c>
    </row>
    <row r="18" spans="2:31" x14ac:dyDescent="0.25">
      <c r="B18" s="4"/>
      <c r="C18" s="1" t="s">
        <v>68</v>
      </c>
      <c r="D18" s="1" t="s">
        <v>58</v>
      </c>
      <c r="E18" s="3"/>
      <c r="F18" s="3"/>
      <c r="G18" s="24"/>
      <c r="H18" s="24"/>
      <c r="J18" s="1" t="s">
        <v>70</v>
      </c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 t="shared" si="8"/>
        <v>0</v>
      </c>
      <c r="T18" s="5">
        <v>0</v>
      </c>
      <c r="U18" s="12">
        <f t="shared" si="9"/>
        <v>0</v>
      </c>
      <c r="V18" s="25" t="s">
        <v>10</v>
      </c>
      <c r="W18" s="11">
        <f>IFERROR(VLOOKUP(V18,Curr!$B$2:$C$13,2,FALSE),0)</f>
        <v>11.2</v>
      </c>
      <c r="X18" s="12">
        <f t="shared" si="10"/>
        <v>0</v>
      </c>
      <c r="Y18" s="26">
        <f t="shared" ref="Y18:Y19" si="17">Q18</f>
        <v>0</v>
      </c>
      <c r="Z18" s="12">
        <f t="shared" si="12"/>
        <v>0</v>
      </c>
      <c r="AA18" s="4" t="s">
        <v>10</v>
      </c>
      <c r="AB18" s="11">
        <f>IFERROR(VLOOKUP(AA18,Curr!$B$2:$C$13,2,FALSE),0)</f>
        <v>11.2</v>
      </c>
      <c r="AC18" s="12">
        <f t="shared" si="13"/>
        <v>0</v>
      </c>
      <c r="AD18" s="12">
        <f t="shared" si="14"/>
        <v>0</v>
      </c>
      <c r="AE18" s="13">
        <f t="shared" si="15"/>
        <v>0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222</v>
      </c>
      <c r="K19" s="4"/>
      <c r="L19" s="4"/>
      <c r="M19" s="4"/>
      <c r="N19" s="4"/>
      <c r="O19" s="4" t="s">
        <v>42</v>
      </c>
      <c r="P19" s="33" t="s">
        <v>223</v>
      </c>
      <c r="Q19" s="25">
        <v>109</v>
      </c>
      <c r="R19" s="25">
        <v>2</v>
      </c>
      <c r="S19" s="12">
        <f t="shared" si="8"/>
        <v>218</v>
      </c>
      <c r="T19" s="5">
        <v>0.2</v>
      </c>
      <c r="U19" s="12">
        <f t="shared" si="9"/>
        <v>174.4</v>
      </c>
      <c r="V19" s="25" t="s">
        <v>10</v>
      </c>
      <c r="W19" s="11">
        <f>IFERROR(VLOOKUP(V19,Curr!$B$2:$C$13,2,FALSE),0)</f>
        <v>11.2</v>
      </c>
      <c r="X19" s="12">
        <f t="shared" si="10"/>
        <v>1953.28</v>
      </c>
      <c r="Y19" s="26">
        <f t="shared" si="17"/>
        <v>109</v>
      </c>
      <c r="Z19" s="12">
        <f t="shared" si="12"/>
        <v>218</v>
      </c>
      <c r="AA19" s="4" t="s">
        <v>10</v>
      </c>
      <c r="AB19" s="11">
        <f>IFERROR(VLOOKUP(AA19,Curr!$B$2:$C$13,2,FALSE),0)</f>
        <v>11.2</v>
      </c>
      <c r="AC19" s="12">
        <f t="shared" si="13"/>
        <v>2441.6</v>
      </c>
      <c r="AD19" s="12">
        <f t="shared" si="14"/>
        <v>488.31999999999994</v>
      </c>
      <c r="AE19" s="13">
        <f t="shared" si="15"/>
        <v>0.19999999999999998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 t="s">
        <v>42</v>
      </c>
      <c r="P20" s="33"/>
      <c r="Q20" s="25"/>
      <c r="R20" s="25"/>
      <c r="S20" s="12">
        <f t="shared" si="8"/>
        <v>0</v>
      </c>
      <c r="T20" s="5">
        <v>0</v>
      </c>
      <c r="U20" s="12">
        <f t="shared" si="9"/>
        <v>0</v>
      </c>
      <c r="V20" s="25" t="s">
        <v>10</v>
      </c>
      <c r="W20" s="11">
        <f>IFERROR(VLOOKUP(V20,Curr!$B$2:$C$13,2,FALSE),0)</f>
        <v>11.2</v>
      </c>
      <c r="X20" s="12">
        <f t="shared" si="10"/>
        <v>0</v>
      </c>
      <c r="Y20" s="26">
        <f t="shared" si="11"/>
        <v>0</v>
      </c>
      <c r="Z20" s="12">
        <f t="shared" si="12"/>
        <v>0</v>
      </c>
      <c r="AA20" s="4" t="s">
        <v>10</v>
      </c>
      <c r="AB20" s="11">
        <f>IFERROR(VLOOKUP(AA20,Curr!$B$2:$C$13,2,FALSE),0)</f>
        <v>11.2</v>
      </c>
      <c r="AC20" s="12">
        <f t="shared" si="13"/>
        <v>0</v>
      </c>
      <c r="AD20" s="12">
        <f t="shared" si="14"/>
        <v>0</v>
      </c>
      <c r="AE20" s="13">
        <f t="shared" si="15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73</v>
      </c>
      <c r="K21" s="4"/>
      <c r="L21" s="4"/>
      <c r="M21" s="4"/>
      <c r="N21" s="4"/>
      <c r="O21" s="4" t="s">
        <v>42</v>
      </c>
      <c r="P21" s="33" t="s">
        <v>74</v>
      </c>
      <c r="Q21" s="25">
        <v>188</v>
      </c>
      <c r="R21" s="25">
        <v>2</v>
      </c>
      <c r="S21" s="12">
        <f t="shared" si="8"/>
        <v>376</v>
      </c>
      <c r="T21" s="5">
        <v>0.2</v>
      </c>
      <c r="U21" s="12">
        <f t="shared" si="9"/>
        <v>300.8</v>
      </c>
      <c r="V21" s="25" t="s">
        <v>10</v>
      </c>
      <c r="W21" s="11">
        <f>IFERROR(VLOOKUP(V21,Curr!$B$2:$C$13,2,FALSE),0)</f>
        <v>11.2</v>
      </c>
      <c r="X21" s="12">
        <f t="shared" si="10"/>
        <v>3368.96</v>
      </c>
      <c r="Y21" s="26">
        <f>Q21/0.9</f>
        <v>208.88888888888889</v>
      </c>
      <c r="Z21" s="12">
        <f t="shared" si="12"/>
        <v>417.77777777777777</v>
      </c>
      <c r="AA21" s="4" t="s">
        <v>10</v>
      </c>
      <c r="AB21" s="11">
        <f>IFERROR(VLOOKUP(AA21,Curr!$B$2:$C$13,2,FALSE),0)</f>
        <v>11.2</v>
      </c>
      <c r="AC21" s="12">
        <f t="shared" si="13"/>
        <v>4679.1111111111104</v>
      </c>
      <c r="AD21" s="12">
        <f t="shared" si="14"/>
        <v>1310.1511111111104</v>
      </c>
      <c r="AE21" s="13">
        <f t="shared" si="15"/>
        <v>0.27999999999999986</v>
      </c>
    </row>
    <row r="22" spans="2:31" x14ac:dyDescent="0.25">
      <c r="B22" s="4"/>
      <c r="C22" s="1" t="s">
        <v>72</v>
      </c>
      <c r="D22" s="1" t="s">
        <v>58</v>
      </c>
      <c r="E22" s="3"/>
      <c r="F22" s="3"/>
      <c r="G22" s="24"/>
      <c r="H22" s="24"/>
      <c r="J22" s="1" t="s">
        <v>70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8"/>
        <v>0</v>
      </c>
      <c r="T22" s="5">
        <v>0</v>
      </c>
      <c r="U22" s="12">
        <f t="shared" si="9"/>
        <v>0</v>
      </c>
      <c r="V22" s="25" t="s">
        <v>10</v>
      </c>
      <c r="W22" s="11">
        <f>IFERROR(VLOOKUP(V22,Curr!$B$2:$C$13,2,FALSE),0)</f>
        <v>11.2</v>
      </c>
      <c r="X22" s="12">
        <f t="shared" si="10"/>
        <v>0</v>
      </c>
      <c r="Y22" s="26">
        <f t="shared" ref="Y22" si="18">Q22</f>
        <v>0</v>
      </c>
      <c r="Z22" s="12">
        <f t="shared" si="12"/>
        <v>0</v>
      </c>
      <c r="AA22" s="4" t="s">
        <v>10</v>
      </c>
      <c r="AB22" s="11">
        <f>IFERROR(VLOOKUP(AA22,Curr!$B$2:$C$13,2,FALSE),0)</f>
        <v>11.2</v>
      </c>
      <c r="AC22" s="12">
        <f t="shared" si="13"/>
        <v>0</v>
      </c>
      <c r="AD22" s="12">
        <f t="shared" si="14"/>
        <v>0</v>
      </c>
      <c r="AE22" s="13">
        <f t="shared" si="15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27"/>
      <c r="Q23" s="25"/>
      <c r="R23" s="25"/>
      <c r="S23" s="12">
        <f t="shared" si="8"/>
        <v>0</v>
      </c>
      <c r="T23" s="5">
        <v>0</v>
      </c>
      <c r="U23" s="12">
        <f t="shared" si="9"/>
        <v>0</v>
      </c>
      <c r="V23" s="25" t="s">
        <v>10</v>
      </c>
      <c r="W23" s="11">
        <f>IFERROR(VLOOKUP(V23,Curr!$B$2:$C$13,2,FALSE),0)</f>
        <v>11.2</v>
      </c>
      <c r="X23" s="12">
        <f t="shared" si="10"/>
        <v>0</v>
      </c>
      <c r="Y23" s="26">
        <f t="shared" si="11"/>
        <v>0</v>
      </c>
      <c r="Z23" s="12">
        <f t="shared" si="12"/>
        <v>0</v>
      </c>
      <c r="AA23" s="4" t="s">
        <v>10</v>
      </c>
      <c r="AB23" s="11">
        <f>IFERROR(VLOOKUP(AA23,Curr!$B$2:$C$13,2,FALSE),0)</f>
        <v>11.2</v>
      </c>
      <c r="AC23" s="12">
        <f t="shared" si="13"/>
        <v>0</v>
      </c>
      <c r="AD23" s="12">
        <f t="shared" si="14"/>
        <v>0</v>
      </c>
      <c r="AE23" s="13">
        <f t="shared" si="15"/>
        <v>0</v>
      </c>
    </row>
    <row r="24" spans="2:31" x14ac:dyDescent="0.25">
      <c r="B24" s="4"/>
      <c r="C24" s="1" t="s">
        <v>77</v>
      </c>
      <c r="D24" s="1" t="s">
        <v>56</v>
      </c>
      <c r="E24" s="3"/>
      <c r="F24" s="3"/>
      <c r="G24" s="24"/>
      <c r="H24" s="24"/>
      <c r="J24" s="1" t="s">
        <v>84</v>
      </c>
      <c r="K24" s="4"/>
      <c r="L24" s="4"/>
      <c r="M24" s="4"/>
      <c r="N24" s="4"/>
      <c r="O24" s="4"/>
      <c r="P24" s="33"/>
      <c r="Q24" s="25">
        <v>0</v>
      </c>
      <c r="R24" s="25">
        <v>0</v>
      </c>
      <c r="S24" s="12">
        <f t="shared" si="8"/>
        <v>0</v>
      </c>
      <c r="T24" s="5">
        <v>0</v>
      </c>
      <c r="U24" s="12">
        <f t="shared" si="9"/>
        <v>0</v>
      </c>
      <c r="V24" s="25" t="s">
        <v>10</v>
      </c>
      <c r="W24" s="11">
        <f>IFERROR(VLOOKUP(V24,Curr!$B$2:$C$13,2,FALSE),0)</f>
        <v>11.2</v>
      </c>
      <c r="X24" s="12">
        <f t="shared" si="10"/>
        <v>0</v>
      </c>
      <c r="Y24" s="26">
        <f t="shared" si="11"/>
        <v>0</v>
      </c>
      <c r="Z24" s="12">
        <f t="shared" si="12"/>
        <v>0</v>
      </c>
      <c r="AA24" s="4" t="s">
        <v>10</v>
      </c>
      <c r="AB24" s="11">
        <f>IFERROR(VLOOKUP(AA24,Curr!$B$2:$C$13,2,FALSE),0)</f>
        <v>11.2</v>
      </c>
      <c r="AC24" s="12">
        <f t="shared" si="13"/>
        <v>0</v>
      </c>
      <c r="AD24" s="12">
        <f t="shared" si="14"/>
        <v>0</v>
      </c>
      <c r="AE24" s="13">
        <f t="shared" si="15"/>
        <v>0</v>
      </c>
    </row>
    <row r="25" spans="2:31" x14ac:dyDescent="0.25">
      <c r="B25" s="4"/>
      <c r="C25" s="1" t="s">
        <v>77</v>
      </c>
      <c r="D25" s="1" t="s">
        <v>81</v>
      </c>
      <c r="E25" s="3"/>
      <c r="F25" s="3"/>
      <c r="G25" s="24"/>
      <c r="H25" s="24"/>
      <c r="J25" s="1" t="s">
        <v>85</v>
      </c>
      <c r="K25" s="4"/>
      <c r="L25" s="4"/>
      <c r="M25" s="4"/>
      <c r="N25" s="4" t="s">
        <v>42</v>
      </c>
      <c r="O25" s="4"/>
      <c r="P25" s="33" t="s">
        <v>86</v>
      </c>
      <c r="Q25" s="25">
        <v>50</v>
      </c>
      <c r="R25" s="25">
        <v>2</v>
      </c>
      <c r="S25" s="12">
        <f t="shared" si="8"/>
        <v>100</v>
      </c>
      <c r="T25" s="5">
        <v>0</v>
      </c>
      <c r="U25" s="12">
        <f t="shared" si="9"/>
        <v>100</v>
      </c>
      <c r="V25" s="25" t="s">
        <v>10</v>
      </c>
      <c r="W25" s="11">
        <f>IFERROR(VLOOKUP(V25,Curr!$B$2:$C$13,2,FALSE),0)</f>
        <v>11.2</v>
      </c>
      <c r="X25" s="12">
        <f t="shared" si="10"/>
        <v>1120</v>
      </c>
      <c r="Y25" s="26">
        <f>Q25/0.75</f>
        <v>66.666666666666671</v>
      </c>
      <c r="Z25" s="12">
        <f t="shared" si="12"/>
        <v>133.33333333333334</v>
      </c>
      <c r="AA25" s="4" t="s">
        <v>10</v>
      </c>
      <c r="AB25" s="11">
        <f>IFERROR(VLOOKUP(AA25,Curr!$B$2:$C$13,2,FALSE),0)</f>
        <v>11.2</v>
      </c>
      <c r="AC25" s="12">
        <f t="shared" si="13"/>
        <v>1493.3333333333333</v>
      </c>
      <c r="AD25" s="12">
        <f t="shared" si="14"/>
        <v>373.33333333333326</v>
      </c>
      <c r="AE25" s="13">
        <f t="shared" si="15"/>
        <v>0.24999999999999997</v>
      </c>
    </row>
    <row r="26" spans="2:31" x14ac:dyDescent="0.25">
      <c r="B26" s="4"/>
      <c r="C26" s="1" t="s">
        <v>77</v>
      </c>
      <c r="D26" s="1" t="s">
        <v>57</v>
      </c>
      <c r="E26" s="3"/>
      <c r="F26" s="3"/>
      <c r="G26" s="24"/>
      <c r="H26" s="24"/>
      <c r="J26" s="1" t="s">
        <v>88</v>
      </c>
      <c r="K26" s="4"/>
      <c r="L26" s="4"/>
      <c r="M26" s="4"/>
      <c r="N26" s="4" t="s">
        <v>42</v>
      </c>
      <c r="O26" s="4"/>
      <c r="P26" s="27"/>
      <c r="Q26" s="25">
        <f>58+58+538</f>
        <v>654</v>
      </c>
      <c r="R26" s="25">
        <v>1</v>
      </c>
      <c r="S26" s="12">
        <f t="shared" si="8"/>
        <v>654</v>
      </c>
      <c r="T26" s="5">
        <v>0</v>
      </c>
      <c r="U26" s="12">
        <f t="shared" si="9"/>
        <v>654</v>
      </c>
      <c r="V26" s="25" t="s">
        <v>10</v>
      </c>
      <c r="W26" s="11">
        <f>IFERROR(VLOOKUP(V26,Curr!$B$2:$C$13,2,FALSE),0)</f>
        <v>11.2</v>
      </c>
      <c r="X26" s="12">
        <f t="shared" si="10"/>
        <v>7324.7999999999993</v>
      </c>
      <c r="Y26" s="26">
        <f>Q26/0.7</f>
        <v>934.28571428571433</v>
      </c>
      <c r="Z26" s="12">
        <f t="shared" si="12"/>
        <v>934.28571428571433</v>
      </c>
      <c r="AA26" s="4" t="s">
        <v>10</v>
      </c>
      <c r="AB26" s="11">
        <f>IFERROR(VLOOKUP(AA26,Curr!$B$2:$C$13,2,FALSE),0)</f>
        <v>11.2</v>
      </c>
      <c r="AC26" s="12">
        <f t="shared" si="13"/>
        <v>10464</v>
      </c>
      <c r="AD26" s="12">
        <f t="shared" si="14"/>
        <v>3139.2000000000007</v>
      </c>
      <c r="AE26" s="13">
        <f t="shared" si="15"/>
        <v>0.30000000000000004</v>
      </c>
    </row>
    <row r="27" spans="2:31" x14ac:dyDescent="0.25">
      <c r="B27" s="4"/>
      <c r="C27" s="1" t="s">
        <v>77</v>
      </c>
      <c r="D27" s="1" t="s">
        <v>61</v>
      </c>
      <c r="E27" s="3"/>
      <c r="F27" s="3"/>
      <c r="G27" s="24"/>
      <c r="H27" s="24"/>
      <c r="J27" s="1" t="s">
        <v>87</v>
      </c>
      <c r="K27" s="4"/>
      <c r="L27" s="4"/>
      <c r="M27" s="4"/>
      <c r="N27" s="4" t="s">
        <v>42</v>
      </c>
      <c r="O27" s="4"/>
      <c r="P27" s="27"/>
      <c r="Q27" s="25">
        <v>111</v>
      </c>
      <c r="R27" s="25">
        <v>2</v>
      </c>
      <c r="S27" s="12">
        <f t="shared" si="8"/>
        <v>222</v>
      </c>
      <c r="T27" s="5">
        <v>0</v>
      </c>
      <c r="U27" s="12">
        <f t="shared" si="9"/>
        <v>222</v>
      </c>
      <c r="V27" s="25" t="s">
        <v>10</v>
      </c>
      <c r="W27" s="11">
        <f>IFERROR(VLOOKUP(V27,Curr!$B$2:$C$13,2,FALSE),0)</f>
        <v>11.2</v>
      </c>
      <c r="X27" s="12">
        <f t="shared" si="10"/>
        <v>2486.3999999999996</v>
      </c>
      <c r="Y27" s="26">
        <f>Q27/0.8</f>
        <v>138.75</v>
      </c>
      <c r="Z27" s="12">
        <f t="shared" si="12"/>
        <v>277.5</v>
      </c>
      <c r="AA27" s="4" t="s">
        <v>10</v>
      </c>
      <c r="AB27" s="11">
        <f>IFERROR(VLOOKUP(AA27,Curr!$B$2:$C$13,2,FALSE),0)</f>
        <v>11.2</v>
      </c>
      <c r="AC27" s="12">
        <f t="shared" si="13"/>
        <v>3108</v>
      </c>
      <c r="AD27" s="12">
        <f t="shared" si="14"/>
        <v>621.60000000000036</v>
      </c>
      <c r="AE27" s="13">
        <f t="shared" si="15"/>
        <v>0.20000000000000012</v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27"/>
      <c r="Q28" s="25"/>
      <c r="R28" s="25"/>
      <c r="S28" s="12">
        <f t="shared" si="8"/>
        <v>0</v>
      </c>
      <c r="T28" s="5">
        <v>0</v>
      </c>
      <c r="U28" s="12">
        <f t="shared" si="9"/>
        <v>0</v>
      </c>
      <c r="V28" s="25" t="s">
        <v>10</v>
      </c>
      <c r="W28" s="11">
        <f>IFERROR(VLOOKUP(V28,Curr!$B$2:$C$13,2,FALSE),0)</f>
        <v>11.2</v>
      </c>
      <c r="X28" s="12">
        <f t="shared" si="10"/>
        <v>0</v>
      </c>
      <c r="Y28" s="26">
        <f t="shared" si="11"/>
        <v>0</v>
      </c>
      <c r="Z28" s="12">
        <f t="shared" si="12"/>
        <v>0</v>
      </c>
      <c r="AA28" s="4" t="s">
        <v>10</v>
      </c>
      <c r="AB28" s="11">
        <f>IFERROR(VLOOKUP(AA28,Curr!$B$2:$C$13,2,FALSE),0)</f>
        <v>11.2</v>
      </c>
      <c r="AC28" s="12">
        <f t="shared" si="13"/>
        <v>0</v>
      </c>
      <c r="AD28" s="12">
        <f t="shared" si="14"/>
        <v>0</v>
      </c>
      <c r="AE28" s="13">
        <f t="shared" si="15"/>
        <v>0</v>
      </c>
    </row>
    <row r="29" spans="2:31" x14ac:dyDescent="0.25">
      <c r="B29" s="4"/>
      <c r="C29" s="1" t="s">
        <v>80</v>
      </c>
      <c r="D29" s="1" t="s">
        <v>56</v>
      </c>
      <c r="E29" s="3"/>
      <c r="F29" s="3"/>
      <c r="G29" s="24"/>
      <c r="H29" s="24"/>
      <c r="J29" s="1" t="s">
        <v>168</v>
      </c>
      <c r="K29" s="4"/>
      <c r="L29" s="4"/>
      <c r="M29" s="4"/>
      <c r="N29" s="4" t="s">
        <v>42</v>
      </c>
      <c r="O29" s="4"/>
      <c r="P29" s="27"/>
      <c r="Q29" s="25">
        <v>49</v>
      </c>
      <c r="R29" s="25">
        <v>2</v>
      </c>
      <c r="S29" s="12">
        <f t="shared" si="8"/>
        <v>98</v>
      </c>
      <c r="T29" s="5">
        <v>0</v>
      </c>
      <c r="U29" s="12">
        <f t="shared" si="9"/>
        <v>98</v>
      </c>
      <c r="V29" s="25" t="s">
        <v>10</v>
      </c>
      <c r="W29" s="11">
        <f>IFERROR(VLOOKUP(V29,Curr!$B$2:$C$13,2,FALSE),0)</f>
        <v>11.2</v>
      </c>
      <c r="X29" s="12">
        <f t="shared" si="10"/>
        <v>1097.5999999999999</v>
      </c>
      <c r="Y29" s="26">
        <f>Q29/0.7</f>
        <v>70</v>
      </c>
      <c r="Z29" s="12">
        <f t="shared" si="12"/>
        <v>140</v>
      </c>
      <c r="AA29" s="4" t="s">
        <v>10</v>
      </c>
      <c r="AB29" s="11">
        <f>IFERROR(VLOOKUP(AA29,Curr!$B$2:$C$13,2,FALSE),0)</f>
        <v>11.2</v>
      </c>
      <c r="AC29" s="12">
        <f t="shared" si="13"/>
        <v>1568</v>
      </c>
      <c r="AD29" s="12">
        <f t="shared" si="14"/>
        <v>470.40000000000009</v>
      </c>
      <c r="AE29" s="13">
        <f t="shared" si="15"/>
        <v>0.30000000000000004</v>
      </c>
    </row>
    <row r="30" spans="2:31" x14ac:dyDescent="0.25">
      <c r="B30" s="4"/>
      <c r="C30" s="1" t="s">
        <v>80</v>
      </c>
      <c r="D30" s="1" t="s">
        <v>83</v>
      </c>
      <c r="E30" s="3"/>
      <c r="F30" s="3"/>
      <c r="G30" s="24"/>
      <c r="H30" s="24"/>
      <c r="J30" s="1" t="s">
        <v>89</v>
      </c>
      <c r="K30" s="4"/>
      <c r="L30" s="4"/>
      <c r="M30" s="4"/>
      <c r="N30" s="4"/>
      <c r="O30" s="4"/>
      <c r="P30" s="33"/>
      <c r="Q30" s="25">
        <v>0</v>
      </c>
      <c r="R30" s="25">
        <v>0</v>
      </c>
      <c r="S30" s="12">
        <f t="shared" si="8"/>
        <v>0</v>
      </c>
      <c r="T30" s="5">
        <v>0</v>
      </c>
      <c r="U30" s="12">
        <f t="shared" si="9"/>
        <v>0</v>
      </c>
      <c r="V30" s="25" t="s">
        <v>10</v>
      </c>
      <c r="W30" s="11">
        <f>IFERROR(VLOOKUP(V30,Curr!$B$2:$C$13,2,FALSE),0)</f>
        <v>11.2</v>
      </c>
      <c r="X30" s="12">
        <f t="shared" si="10"/>
        <v>0</v>
      </c>
      <c r="Y30" s="26">
        <f t="shared" si="11"/>
        <v>0</v>
      </c>
      <c r="Z30" s="12">
        <f t="shared" si="12"/>
        <v>0</v>
      </c>
      <c r="AA30" s="4" t="s">
        <v>10</v>
      </c>
      <c r="AB30" s="11">
        <f>IFERROR(VLOOKUP(AA30,Curr!$B$2:$C$13,2,FALSE),0)</f>
        <v>11.2</v>
      </c>
      <c r="AC30" s="12">
        <f t="shared" si="13"/>
        <v>0</v>
      </c>
      <c r="AD30" s="12">
        <f t="shared" si="14"/>
        <v>0</v>
      </c>
      <c r="AE30" s="13">
        <f t="shared" si="15"/>
        <v>0</v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/>
      <c r="R31" s="25"/>
      <c r="S31" s="12">
        <f t="shared" si="8"/>
        <v>0</v>
      </c>
      <c r="T31" s="5">
        <v>0</v>
      </c>
      <c r="U31" s="12">
        <f t="shared" si="9"/>
        <v>0</v>
      </c>
      <c r="V31" s="25" t="s">
        <v>10</v>
      </c>
      <c r="W31" s="11">
        <f>IFERROR(VLOOKUP(V31,Curr!$B$2:$C$13,2,FALSE),0)</f>
        <v>11.2</v>
      </c>
      <c r="X31" s="12">
        <f t="shared" si="10"/>
        <v>0</v>
      </c>
      <c r="Y31" s="26">
        <f t="shared" si="11"/>
        <v>0</v>
      </c>
      <c r="Z31" s="12">
        <f t="shared" si="12"/>
        <v>0</v>
      </c>
      <c r="AA31" s="4" t="s">
        <v>10</v>
      </c>
      <c r="AB31" s="11">
        <f>IFERROR(VLOOKUP(AA31,Curr!$B$2:$C$13,2,FALSE),0)</f>
        <v>11.2</v>
      </c>
      <c r="AC31" s="12">
        <f t="shared" si="13"/>
        <v>0</v>
      </c>
      <c r="AD31" s="12">
        <f t="shared" si="14"/>
        <v>0</v>
      </c>
      <c r="AE31" s="13">
        <f t="shared" si="15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 t="s">
        <v>42</v>
      </c>
      <c r="O32" s="4"/>
      <c r="P32" s="27"/>
      <c r="Q32" s="25"/>
      <c r="R32" s="25"/>
      <c r="S32" s="12">
        <f t="shared" si="8"/>
        <v>0</v>
      </c>
      <c r="T32" s="5">
        <v>0</v>
      </c>
      <c r="U32" s="12">
        <f t="shared" si="9"/>
        <v>0</v>
      </c>
      <c r="V32" s="25" t="s">
        <v>10</v>
      </c>
      <c r="W32" s="11">
        <f>IFERROR(VLOOKUP(V32,Curr!$B$2:$C$13,2,FALSE),0)</f>
        <v>11.2</v>
      </c>
      <c r="X32" s="12">
        <f t="shared" si="10"/>
        <v>0</v>
      </c>
      <c r="Y32" s="26">
        <f t="shared" si="11"/>
        <v>0</v>
      </c>
      <c r="Z32" s="12">
        <f t="shared" si="12"/>
        <v>0</v>
      </c>
      <c r="AA32" s="4" t="s">
        <v>10</v>
      </c>
      <c r="AB32" s="11">
        <f>IFERROR(VLOOKUP(AA32,Curr!$B$2:$C$13,2,FALSE),0)</f>
        <v>11.2</v>
      </c>
      <c r="AC32" s="12">
        <f t="shared" si="13"/>
        <v>0</v>
      </c>
      <c r="AD32" s="12">
        <f t="shared" si="14"/>
        <v>0</v>
      </c>
      <c r="AE32" s="13">
        <f t="shared" si="15"/>
        <v>0</v>
      </c>
    </row>
    <row r="33" spans="2:36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33"/>
      <c r="Q33" s="25"/>
      <c r="R33" s="25"/>
      <c r="S33" s="12">
        <f t="shared" si="8"/>
        <v>0</v>
      </c>
      <c r="T33" s="5">
        <v>0</v>
      </c>
      <c r="U33" s="12">
        <f t="shared" si="9"/>
        <v>0</v>
      </c>
      <c r="V33" s="25" t="s">
        <v>10</v>
      </c>
      <c r="W33" s="11">
        <f>IFERROR(VLOOKUP(V33,Curr!$B$2:$C$13,2,FALSE),0)</f>
        <v>11.2</v>
      </c>
      <c r="X33" s="12">
        <f t="shared" si="10"/>
        <v>0</v>
      </c>
      <c r="Y33" s="26">
        <f t="shared" si="11"/>
        <v>0</v>
      </c>
      <c r="Z33" s="12">
        <f t="shared" si="12"/>
        <v>0</v>
      </c>
      <c r="AA33" s="4" t="s">
        <v>10</v>
      </c>
      <c r="AB33" s="11">
        <f>IFERROR(VLOOKUP(AA33,Curr!$B$2:$C$13,2,FALSE),0)</f>
        <v>11.2</v>
      </c>
      <c r="AC33" s="12">
        <f t="shared" si="13"/>
        <v>0</v>
      </c>
      <c r="AD33" s="12">
        <f t="shared" si="14"/>
        <v>0</v>
      </c>
      <c r="AE33" s="13">
        <f t="shared" si="15"/>
        <v>0</v>
      </c>
    </row>
    <row r="34" spans="2:36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/>
      <c r="R34" s="25"/>
      <c r="S34" s="12">
        <f t="shared" si="8"/>
        <v>0</v>
      </c>
      <c r="T34" s="5">
        <v>0</v>
      </c>
      <c r="U34" s="12">
        <f t="shared" si="9"/>
        <v>0</v>
      </c>
      <c r="V34" s="25" t="s">
        <v>10</v>
      </c>
      <c r="W34" s="11">
        <f>IFERROR(VLOOKUP(V34,Curr!$B$2:$C$13,2,FALSE),0)</f>
        <v>11.2</v>
      </c>
      <c r="X34" s="12">
        <f t="shared" si="10"/>
        <v>0</v>
      </c>
      <c r="Y34" s="26">
        <f t="shared" si="11"/>
        <v>0</v>
      </c>
      <c r="Z34" s="12">
        <f t="shared" si="12"/>
        <v>0</v>
      </c>
      <c r="AA34" s="4" t="s">
        <v>10</v>
      </c>
      <c r="AB34" s="11">
        <f>IFERROR(VLOOKUP(AA34,Curr!$B$2:$C$13,2,FALSE),0)</f>
        <v>11.2</v>
      </c>
      <c r="AC34" s="12">
        <f t="shared" si="13"/>
        <v>0</v>
      </c>
      <c r="AD34" s="12">
        <f t="shared" si="14"/>
        <v>0</v>
      </c>
      <c r="AE34" s="13">
        <f t="shared" si="15"/>
        <v>0</v>
      </c>
    </row>
    <row r="35" spans="2:36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/>
      <c r="R35" s="25"/>
      <c r="S35" s="12">
        <f t="shared" si="8"/>
        <v>0</v>
      </c>
      <c r="T35" s="5">
        <v>0</v>
      </c>
      <c r="U35" s="12">
        <f t="shared" si="9"/>
        <v>0</v>
      </c>
      <c r="V35" s="25" t="s">
        <v>10</v>
      </c>
      <c r="W35" s="11">
        <f>IFERROR(VLOOKUP(V35,Curr!$B$2:$C$13,2,FALSE),0)</f>
        <v>11.2</v>
      </c>
      <c r="X35" s="12">
        <f t="shared" si="10"/>
        <v>0</v>
      </c>
      <c r="Y35" s="26">
        <f t="shared" si="11"/>
        <v>0</v>
      </c>
      <c r="Z35" s="12">
        <f t="shared" si="12"/>
        <v>0</v>
      </c>
      <c r="AA35" s="4" t="s">
        <v>10</v>
      </c>
      <c r="AB35" s="11">
        <f>IFERROR(VLOOKUP(AA35,Curr!$B$2:$C$13,2,FALSE),0)</f>
        <v>11.2</v>
      </c>
      <c r="AC35" s="12">
        <f t="shared" si="13"/>
        <v>0</v>
      </c>
      <c r="AD35" s="12">
        <f t="shared" si="14"/>
        <v>0</v>
      </c>
      <c r="AE35" s="13">
        <f t="shared" si="15"/>
        <v>0</v>
      </c>
    </row>
    <row r="36" spans="2:36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/>
      <c r="R36" s="25"/>
      <c r="S36" s="12">
        <f t="shared" si="8"/>
        <v>0</v>
      </c>
      <c r="T36" s="5">
        <v>0</v>
      </c>
      <c r="U36" s="12">
        <f t="shared" si="9"/>
        <v>0</v>
      </c>
      <c r="V36" s="25" t="s">
        <v>10</v>
      </c>
      <c r="W36" s="11">
        <f>IFERROR(VLOOKUP(V36,Curr!$B$2:$C$13,2,FALSE),0)</f>
        <v>11.2</v>
      </c>
      <c r="X36" s="12">
        <f t="shared" si="10"/>
        <v>0</v>
      </c>
      <c r="Y36" s="26">
        <f t="shared" si="11"/>
        <v>0</v>
      </c>
      <c r="Z36" s="12">
        <f t="shared" si="12"/>
        <v>0</v>
      </c>
      <c r="AA36" s="4" t="s">
        <v>10</v>
      </c>
      <c r="AB36" s="11">
        <f>IFERROR(VLOOKUP(AA36,Curr!$B$2:$C$13,2,FALSE),0)</f>
        <v>11.2</v>
      </c>
      <c r="AC36" s="12">
        <f t="shared" si="13"/>
        <v>0</v>
      </c>
      <c r="AD36" s="12">
        <f t="shared" si="14"/>
        <v>0</v>
      </c>
      <c r="AE36" s="13">
        <f t="shared" si="15"/>
        <v>0</v>
      </c>
    </row>
    <row r="37" spans="2:36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27"/>
      <c r="Q37" s="25"/>
      <c r="R37" s="25"/>
      <c r="S37" s="12">
        <f t="shared" si="8"/>
        <v>0</v>
      </c>
      <c r="T37" s="5">
        <v>0</v>
      </c>
      <c r="U37" s="12">
        <f t="shared" si="9"/>
        <v>0</v>
      </c>
      <c r="V37" s="25" t="s">
        <v>10</v>
      </c>
      <c r="W37" s="11">
        <f>IFERROR(VLOOKUP(V37,Curr!$B$2:$C$13,2,FALSE),0)</f>
        <v>11.2</v>
      </c>
      <c r="X37" s="12">
        <f t="shared" si="10"/>
        <v>0</v>
      </c>
      <c r="Y37" s="26">
        <f t="shared" si="11"/>
        <v>0</v>
      </c>
      <c r="Z37" s="12">
        <f t="shared" si="12"/>
        <v>0</v>
      </c>
      <c r="AA37" s="4" t="s">
        <v>10</v>
      </c>
      <c r="AB37" s="11">
        <f>IFERROR(VLOOKUP(AA37,Curr!$B$2:$C$13,2,FALSE),0)</f>
        <v>11.2</v>
      </c>
      <c r="AC37" s="12">
        <f t="shared" si="13"/>
        <v>0</v>
      </c>
      <c r="AD37" s="12">
        <f t="shared" si="14"/>
        <v>0</v>
      </c>
      <c r="AE37" s="13">
        <f t="shared" si="15"/>
        <v>0</v>
      </c>
    </row>
    <row r="38" spans="2:36" x14ac:dyDescent="0.25">
      <c r="B38" s="4"/>
      <c r="E38" s="3"/>
      <c r="F38" s="3"/>
      <c r="G38" s="3"/>
      <c r="H38" s="3"/>
      <c r="L38" s="4"/>
      <c r="M38" s="4"/>
      <c r="N38" s="4"/>
      <c r="O38" s="4"/>
      <c r="P38" s="2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6" x14ac:dyDescent="0.25">
      <c r="B39" s="14" t="s">
        <v>18</v>
      </c>
      <c r="C39" s="14"/>
      <c r="D39" s="28" t="s">
        <v>42</v>
      </c>
      <c r="E39" s="30" t="s">
        <v>42</v>
      </c>
      <c r="F39" s="30" t="s">
        <v>42</v>
      </c>
      <c r="G39" s="30" t="s">
        <v>42</v>
      </c>
      <c r="H39" s="30" t="s">
        <v>42</v>
      </c>
      <c r="I39" s="28" t="s">
        <v>42</v>
      </c>
      <c r="J39" s="28" t="s">
        <v>42</v>
      </c>
      <c r="K39" s="28" t="s">
        <v>42</v>
      </c>
      <c r="L39" s="28" t="s">
        <v>42</v>
      </c>
      <c r="M39" s="28" t="s">
        <v>42</v>
      </c>
      <c r="N39" s="28" t="s">
        <v>42</v>
      </c>
      <c r="O39" s="28" t="s">
        <v>42</v>
      </c>
      <c r="P39" s="28" t="s">
        <v>42</v>
      </c>
      <c r="Q39" s="31" t="s">
        <v>42</v>
      </c>
      <c r="R39" s="28" t="s">
        <v>42</v>
      </c>
      <c r="S39" s="32" t="s">
        <v>42</v>
      </c>
      <c r="T39" s="28" t="s">
        <v>42</v>
      </c>
      <c r="U39" s="32" t="s">
        <v>42</v>
      </c>
      <c r="V39" s="28" t="s">
        <v>42</v>
      </c>
      <c r="W39" s="28" t="s">
        <v>42</v>
      </c>
      <c r="X39" s="32" t="s">
        <v>42</v>
      </c>
      <c r="Y39" s="32" t="s">
        <v>42</v>
      </c>
      <c r="Z39" s="15">
        <f>SUM(Z7:Z37)</f>
        <v>3158.8663816403755</v>
      </c>
      <c r="AA39" s="14"/>
      <c r="AB39" s="14"/>
      <c r="AC39" s="15">
        <f>SUM(AC7:AC37)</f>
        <v>35379.303474372209</v>
      </c>
      <c r="AD39" s="15">
        <f>SUM(AD7:AD37)</f>
        <v>8777.0634743722057</v>
      </c>
      <c r="AE39" s="21">
        <f t="shared" ref="AE39" si="19">IFERROR(AD39/AC39,0)</f>
        <v>0.2480846882904314</v>
      </c>
      <c r="AF39" s="15">
        <f>SUM(AF8:AF38)</f>
        <v>0</v>
      </c>
      <c r="AG39" s="15">
        <f>SUM(AG8:AG38)</f>
        <v>0</v>
      </c>
      <c r="AH39" s="15">
        <f>SUM(AH8:AH38)</f>
        <v>0</v>
      </c>
      <c r="AI39" s="15">
        <f>SUM(AI8:AI38)</f>
        <v>0</v>
      </c>
      <c r="AJ39" s="15">
        <f>SUM(AJ8:AJ38)</f>
        <v>0</v>
      </c>
    </row>
    <row r="40" spans="2:36" x14ac:dyDescent="0.25">
      <c r="B40" s="4"/>
      <c r="E40" s="3"/>
      <c r="F40" s="3"/>
      <c r="G40" s="3"/>
      <c r="H40" s="3"/>
      <c r="L40" s="4"/>
      <c r="M40" s="4"/>
      <c r="N40" s="4"/>
      <c r="O40" s="4"/>
      <c r="Q40" s="4"/>
      <c r="R40" s="4"/>
      <c r="S40" s="4"/>
      <c r="T40" s="4"/>
      <c r="U40" s="4"/>
      <c r="V40" s="4"/>
      <c r="W40" s="4"/>
      <c r="X40" s="4"/>
      <c r="Y40" s="9"/>
      <c r="Z40" s="9"/>
      <c r="AA40" s="9"/>
      <c r="AB40" s="9"/>
      <c r="AC40" s="9"/>
      <c r="AD40" s="9"/>
      <c r="AE40" s="9"/>
    </row>
    <row r="41" spans="2:36" x14ac:dyDescent="0.25">
      <c r="B41" s="4"/>
      <c r="E41" s="3"/>
      <c r="F41" s="3"/>
      <c r="G41" s="3"/>
      <c r="H41" s="3"/>
      <c r="L41" s="4"/>
      <c r="M41" s="4"/>
      <c r="N41" s="4"/>
      <c r="O41" s="4"/>
      <c r="Q41" s="9"/>
      <c r="R41" s="9"/>
      <c r="S41" s="9"/>
      <c r="T41" s="9"/>
      <c r="U41" s="9"/>
      <c r="V41" s="9"/>
      <c r="W41" s="9"/>
      <c r="X41" s="23"/>
      <c r="Y41" s="34"/>
      <c r="Z41" s="34"/>
      <c r="AA41" s="9"/>
      <c r="AB41" s="9"/>
      <c r="AC41" s="9"/>
      <c r="AD41" s="9"/>
      <c r="AE41" s="9"/>
    </row>
    <row r="42" spans="2:36" x14ac:dyDescent="0.25">
      <c r="B42" s="4"/>
      <c r="E42" s="3"/>
      <c r="F42" s="3"/>
      <c r="G42" s="3"/>
      <c r="H42" s="3"/>
      <c r="L42" s="4"/>
      <c r="M42" s="4"/>
      <c r="N42" s="4"/>
      <c r="O42" s="4"/>
      <c r="Q42" s="9"/>
      <c r="R42" s="9"/>
      <c r="S42" s="9"/>
      <c r="T42" s="9"/>
      <c r="U42" s="9"/>
      <c r="V42" s="9"/>
      <c r="W42" s="9"/>
      <c r="X42" s="9"/>
      <c r="Y42" s="35"/>
      <c r="Z42" s="34"/>
      <c r="AA42" s="9"/>
      <c r="AB42" s="9"/>
      <c r="AC42" s="9"/>
      <c r="AD42" s="9"/>
      <c r="AE42" s="9"/>
      <c r="AF42" s="18"/>
    </row>
    <row r="43" spans="2:36" x14ac:dyDescent="0.25">
      <c r="B43" s="4"/>
      <c r="E43" s="3"/>
      <c r="F43" s="3"/>
      <c r="G43" s="3"/>
      <c r="H43" s="3"/>
      <c r="I43" s="19"/>
      <c r="L43" s="4"/>
      <c r="M43" s="4"/>
      <c r="N43" s="4"/>
      <c r="O43" s="20"/>
      <c r="Q43" s="20"/>
      <c r="R43" s="20"/>
      <c r="S43" s="20"/>
      <c r="T43" s="20"/>
      <c r="U43" s="20"/>
      <c r="V43" s="20"/>
      <c r="W43" s="20"/>
      <c r="X43" s="20"/>
      <c r="Y43" s="34" t="s">
        <v>105</v>
      </c>
      <c r="Z43" s="34">
        <v>3020</v>
      </c>
      <c r="AA43" s="9"/>
      <c r="AB43" s="9"/>
      <c r="AC43" s="9"/>
      <c r="AD43" s="9"/>
      <c r="AE43" s="9"/>
      <c r="AF43" s="18"/>
    </row>
    <row r="44" spans="2:36" x14ac:dyDescent="0.25">
      <c r="B44" s="4"/>
      <c r="E44" s="3"/>
      <c r="F44" s="3"/>
      <c r="G44" s="3"/>
      <c r="H44" s="3"/>
      <c r="L44" s="4"/>
      <c r="M44" s="4"/>
      <c r="N44" s="4"/>
      <c r="O44" s="20"/>
      <c r="Q44" s="20"/>
      <c r="R44" s="20"/>
      <c r="S44" s="20"/>
      <c r="T44" s="20"/>
      <c r="U44" s="20"/>
      <c r="V44" s="20"/>
      <c r="W44" s="20"/>
      <c r="X44" s="20"/>
      <c r="Y44" s="34" t="s">
        <v>43</v>
      </c>
      <c r="Z44" s="34">
        <f>Z43/2</f>
        <v>1510</v>
      </c>
      <c r="AA44" s="9"/>
      <c r="AB44" s="9"/>
      <c r="AC44" s="9"/>
      <c r="AD44" s="9"/>
      <c r="AE44" s="9"/>
      <c r="AF44" s="18"/>
    </row>
    <row r="45" spans="2:36" x14ac:dyDescent="0.25">
      <c r="B45" s="4"/>
      <c r="E45" s="3"/>
      <c r="F45" s="3"/>
      <c r="G45" s="3"/>
      <c r="H45" s="3"/>
      <c r="L45" s="4"/>
      <c r="M45" s="4"/>
      <c r="N45" s="4"/>
      <c r="O45" s="4"/>
      <c r="Q45" s="9"/>
      <c r="R45" s="9"/>
      <c r="S45" s="9"/>
      <c r="T45" s="9"/>
      <c r="U45" s="9"/>
      <c r="V45" s="9"/>
      <c r="W45" s="9"/>
      <c r="X45" s="9"/>
      <c r="Y45" s="1"/>
      <c r="Z45" s="1"/>
      <c r="AA45" s="9"/>
      <c r="AB45" s="9"/>
      <c r="AC45" s="9"/>
      <c r="AD45" s="9"/>
      <c r="AE45" s="9"/>
      <c r="AF45" s="18"/>
    </row>
    <row r="46" spans="2:36" x14ac:dyDescent="0.25">
      <c r="F46" s="1"/>
      <c r="G46" s="1"/>
      <c r="H46" s="1"/>
      <c r="J46" s="1" t="s">
        <v>32</v>
      </c>
      <c r="Q46" s="9"/>
      <c r="R46" s="4"/>
      <c r="S46" s="9"/>
      <c r="T46" s="5"/>
      <c r="U46" s="9"/>
      <c r="V46" s="4"/>
      <c r="W46" s="4"/>
      <c r="X46" s="9"/>
      <c r="Y46" s="9" t="s">
        <v>44</v>
      </c>
      <c r="Z46" s="9">
        <f>Z43-Z47</f>
        <v>3020</v>
      </c>
      <c r="AA46" s="9"/>
      <c r="AB46" s="9"/>
      <c r="AC46" s="9"/>
      <c r="AD46" s="9"/>
      <c r="AE46" s="9"/>
    </row>
    <row r="47" spans="2:36" x14ac:dyDescent="0.25">
      <c r="R47" s="4"/>
      <c r="S47" s="17"/>
      <c r="T47" s="17"/>
      <c r="U47" s="9"/>
      <c r="V47" s="4"/>
      <c r="W47" s="4"/>
      <c r="X47" s="9"/>
      <c r="Y47" s="9" t="s">
        <v>45</v>
      </c>
      <c r="Z47" s="9"/>
      <c r="AA47" s="9"/>
      <c r="AB47" s="9"/>
      <c r="AC47" s="9"/>
      <c r="AD47" s="9"/>
      <c r="AE47" s="9"/>
    </row>
    <row r="48" spans="2:36" x14ac:dyDescent="0.25">
      <c r="Q48" s="9"/>
      <c r="R48" s="4"/>
      <c r="S48" s="16"/>
      <c r="T48" s="16"/>
      <c r="U48" s="9"/>
      <c r="V48" s="4"/>
      <c r="W48" s="4"/>
      <c r="X48" s="9"/>
      <c r="Y48" s="9"/>
      <c r="Z48" s="9"/>
      <c r="AA48" s="9"/>
      <c r="AB48" s="9"/>
      <c r="AC48" s="9"/>
      <c r="AD48" s="9"/>
      <c r="AE48" s="9"/>
    </row>
    <row r="49" spans="18:31" x14ac:dyDescent="0.25">
      <c r="R49" s="4"/>
      <c r="S49" s="16"/>
      <c r="T49" s="16"/>
      <c r="Y49" s="9" t="s">
        <v>46</v>
      </c>
      <c r="Z49" s="9">
        <f>Z43*0.3</f>
        <v>906</v>
      </c>
      <c r="AA49" s="9"/>
      <c r="AB49" s="9"/>
      <c r="AC49" s="9"/>
      <c r="AD49" s="9"/>
      <c r="AE49" s="9"/>
    </row>
    <row r="50" spans="18:31" x14ac:dyDescent="0.25">
      <c r="T50" s="5"/>
      <c r="Y50" s="9" t="s">
        <v>47</v>
      </c>
      <c r="Z50" s="9">
        <f>Z43-Z49</f>
        <v>2114</v>
      </c>
      <c r="AA50" s="9"/>
      <c r="AB50" s="9"/>
      <c r="AC50" s="9"/>
      <c r="AD50" s="9"/>
      <c r="AE50" s="9"/>
    </row>
    <row r="51" spans="18:31" x14ac:dyDescent="0.25">
      <c r="T51" s="5"/>
      <c r="Y51" s="9"/>
      <c r="Z51" s="9"/>
      <c r="AA51" s="9"/>
      <c r="AB51" s="9"/>
      <c r="AC51" s="9"/>
      <c r="AD51" s="9"/>
      <c r="AE51" s="9"/>
    </row>
    <row r="52" spans="18:31" x14ac:dyDescent="0.25">
      <c r="T52" s="5"/>
      <c r="Y52" s="9"/>
      <c r="Z52" s="9"/>
      <c r="AA52" s="9"/>
      <c r="AB52" s="9"/>
      <c r="AC52" s="9"/>
      <c r="AD52" s="9"/>
      <c r="AE52" s="9"/>
    </row>
    <row r="53" spans="18:31" x14ac:dyDescent="0.25">
      <c r="T53" s="5"/>
      <c r="Y53" s="43" t="s">
        <v>236</v>
      </c>
      <c r="Z53" s="9">
        <v>3160</v>
      </c>
      <c r="AA53" s="9"/>
      <c r="AB53" s="9"/>
      <c r="AC53" s="9"/>
      <c r="AD53" s="9"/>
      <c r="AE53" s="9"/>
    </row>
    <row r="54" spans="18:31" x14ac:dyDescent="0.25">
      <c r="T54" s="5"/>
      <c r="Y54" s="44" t="s">
        <v>237</v>
      </c>
      <c r="Z54" s="9">
        <f>Z53*1.15</f>
        <v>3633.9999999999995</v>
      </c>
      <c r="AA54" s="9"/>
      <c r="AB54" s="9"/>
      <c r="AC54" s="9"/>
      <c r="AD54" s="9"/>
      <c r="AE54" s="9"/>
    </row>
    <row r="55" spans="18:31" x14ac:dyDescent="0.25">
      <c r="T55" s="5"/>
      <c r="Y55" s="44" t="s">
        <v>238</v>
      </c>
      <c r="Z55" s="9">
        <f>Z53*1.2</f>
        <v>3792</v>
      </c>
      <c r="AA55" s="9"/>
      <c r="AB55" s="9"/>
      <c r="AC55" s="9"/>
      <c r="AD55" s="9"/>
      <c r="AE55" s="9"/>
    </row>
    <row r="56" spans="18:31" x14ac:dyDescent="0.25">
      <c r="T56" s="5"/>
      <c r="Y56" s="44" t="s">
        <v>239</v>
      </c>
      <c r="Z56" s="9">
        <f>Z53*0.84</f>
        <v>2654.4</v>
      </c>
      <c r="AA56" s="9"/>
      <c r="AB56" s="9"/>
      <c r="AC56" s="9"/>
      <c r="AD56" s="9"/>
      <c r="AE56" s="9"/>
    </row>
    <row r="57" spans="18:31" x14ac:dyDescent="0.25">
      <c r="T57" s="5"/>
      <c r="Y57" s="9"/>
      <c r="Z57" s="9"/>
      <c r="AA57" s="9"/>
      <c r="AB57" s="9"/>
      <c r="AC57" s="9"/>
      <c r="AD57" s="9"/>
      <c r="AE57" s="9"/>
    </row>
    <row r="58" spans="18:31" x14ac:dyDescent="0.25">
      <c r="T58" s="5"/>
    </row>
    <row r="59" spans="18:31" x14ac:dyDescent="0.25">
      <c r="T59" s="5"/>
    </row>
    <row r="60" spans="18:31" x14ac:dyDescent="0.25">
      <c r="T60" s="5"/>
    </row>
    <row r="61" spans="18:31" x14ac:dyDescent="0.25">
      <c r="T61" s="5"/>
    </row>
    <row r="62" spans="18:31" x14ac:dyDescent="0.25">
      <c r="T62" s="5"/>
    </row>
  </sheetData>
  <autoFilter ref="B6:AE39" xr:uid="{65FA6D9B-E0AF-46CD-BA0D-86BB75FE6AB0}"/>
  <hyperlinks>
    <hyperlink ref="P12" r:id="rId1" xr:uid="{DDEC6C92-2744-4179-9B7F-6ED468A65574}"/>
    <hyperlink ref="P14" r:id="rId2" xr:uid="{4441F6C7-F8FB-415A-8C03-C9A19FB92436}"/>
    <hyperlink ref="P19" r:id="rId3" xr:uid="{41FBAAB0-7478-4A22-8845-D5FF26368586}"/>
    <hyperlink ref="P21" r:id="rId4" xr:uid="{C61DE9A5-F7FE-480E-88D5-C6CF6F6D8FFE}"/>
    <hyperlink ref="P25" r:id="rId5" xr:uid="{114BA4EE-3897-4C91-A241-F5673D907C60}"/>
  </hyperlinks>
  <pageMargins left="0.7" right="0.7" top="0.75" bottom="0.75" header="0.3" footer="0.3"/>
  <pageSetup paperSize="9" orientation="portrait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BD7B-5B74-4AB6-B4A3-9C9578DF3150}">
  <sheetPr>
    <tabColor rgb="FFFFFF00"/>
  </sheetPr>
  <dimension ref="B2:AK81"/>
  <sheetViews>
    <sheetView zoomScale="80" zoomScaleNormal="80" workbookViewId="0">
      <selection activeCell="J21" sqref="J21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177</v>
      </c>
    </row>
    <row r="3" spans="2:36" x14ac:dyDescent="0.25">
      <c r="B3" s="2" t="s">
        <v>48</v>
      </c>
    </row>
    <row r="4" spans="2:36" x14ac:dyDescent="0.25">
      <c r="B4" s="2" t="s">
        <v>179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24"/>
      <c r="H7" s="24"/>
      <c r="J7" s="1" t="s">
        <v>51</v>
      </c>
      <c r="K7" s="4"/>
      <c r="L7" s="4"/>
      <c r="M7" s="4"/>
      <c r="N7" s="4"/>
      <c r="O7" s="4"/>
      <c r="P7" s="29"/>
      <c r="Q7" s="25">
        <v>0</v>
      </c>
      <c r="R7" s="25">
        <v>0</v>
      </c>
      <c r="S7" s="12">
        <f t="shared" ref="S7:S45" si="0">+Q7*R7</f>
        <v>0</v>
      </c>
      <c r="T7" s="5">
        <v>0</v>
      </c>
      <c r="U7" s="12">
        <f t="shared" ref="U7:U45" si="1">S7*(1-T7)</f>
        <v>0</v>
      </c>
      <c r="V7" s="25" t="s">
        <v>10</v>
      </c>
      <c r="W7" s="11">
        <f>IFERROR(VLOOKUP(V7,[1]Curr!$B$2:$C$13,2,FALSE),0)</f>
        <v>11.3</v>
      </c>
      <c r="X7" s="12">
        <f t="shared" ref="X7:X45" si="2">U7*W7</f>
        <v>0</v>
      </c>
      <c r="Y7" s="26">
        <f t="shared" ref="Y7:Y45" si="3">Q7</f>
        <v>0</v>
      </c>
      <c r="Z7" s="12">
        <f t="shared" ref="Z7:Z56" si="4">+Y7*R7</f>
        <v>0</v>
      </c>
      <c r="AA7" s="4" t="s">
        <v>10</v>
      </c>
      <c r="AB7" s="11">
        <f>IFERROR(VLOOKUP(AA7,Curr!$B$2:$C$13,2,FALSE),0)</f>
        <v>11.2</v>
      </c>
      <c r="AC7" s="12">
        <f t="shared" ref="AC7:AC56" si="5">+Y7*AB7*R7</f>
        <v>0</v>
      </c>
      <c r="AD7" s="12">
        <f t="shared" ref="AD7:AD56" si="6">+AC7-X7</f>
        <v>0</v>
      </c>
      <c r="AE7" s="13">
        <f t="shared" ref="AE7:AE56" si="7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52</v>
      </c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 t="shared" si="0"/>
        <v>0</v>
      </c>
      <c r="T8" s="5">
        <v>0</v>
      </c>
      <c r="U8" s="12">
        <f t="shared" si="1"/>
        <v>0</v>
      </c>
      <c r="V8" s="25" t="s">
        <v>10</v>
      </c>
      <c r="W8" s="11">
        <f>IFERROR(VLOOKUP(V8,[1]Curr!$B$2:$C$13,2,FALSE),0)</f>
        <v>11.3</v>
      </c>
      <c r="X8" s="12">
        <f t="shared" si="2"/>
        <v>0</v>
      </c>
      <c r="Y8" s="26">
        <f t="shared" si="3"/>
        <v>0</v>
      </c>
      <c r="Z8" s="12">
        <f t="shared" si="4"/>
        <v>0</v>
      </c>
      <c r="AA8" s="4" t="s">
        <v>10</v>
      </c>
      <c r="AB8" s="11">
        <f>IFERROR(VLOOKUP(AA8,Curr!$B$2:$C$13,2,FALSE),0)</f>
        <v>11.2</v>
      </c>
      <c r="AC8" s="12">
        <f t="shared" si="5"/>
        <v>0</v>
      </c>
      <c r="AD8" s="12">
        <f t="shared" si="6"/>
        <v>0</v>
      </c>
      <c r="AE8" s="13">
        <f t="shared" si="7"/>
        <v>0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180</v>
      </c>
      <c r="K9" s="4"/>
      <c r="L9" s="4"/>
      <c r="M9" s="4"/>
      <c r="N9" s="4"/>
      <c r="O9" s="4"/>
      <c r="P9" s="33" t="s">
        <v>181</v>
      </c>
      <c r="Q9" s="25">
        <v>200</v>
      </c>
      <c r="R9" s="25">
        <v>1</v>
      </c>
      <c r="S9" s="12">
        <f t="shared" si="0"/>
        <v>200</v>
      </c>
      <c r="T9" s="5">
        <v>0</v>
      </c>
      <c r="U9" s="12">
        <f t="shared" si="1"/>
        <v>200</v>
      </c>
      <c r="V9" s="25" t="s">
        <v>10</v>
      </c>
      <c r="W9" s="11">
        <f>IFERROR(VLOOKUP(V9,[1]Curr!$B$2:$C$13,2,FALSE),0)</f>
        <v>11.3</v>
      </c>
      <c r="X9" s="12">
        <f t="shared" si="2"/>
        <v>2260</v>
      </c>
      <c r="Y9" s="26">
        <f>Q9/0.8</f>
        <v>250</v>
      </c>
      <c r="Z9" s="12">
        <f t="shared" si="4"/>
        <v>250</v>
      </c>
      <c r="AA9" s="4" t="s">
        <v>10</v>
      </c>
      <c r="AB9" s="11">
        <f>IFERROR(VLOOKUP(AA9,Curr!$B$2:$C$13,2,FALSE),0)</f>
        <v>11.2</v>
      </c>
      <c r="AC9" s="12">
        <f t="shared" si="5"/>
        <v>2800</v>
      </c>
      <c r="AD9" s="12">
        <f t="shared" si="6"/>
        <v>540</v>
      </c>
      <c r="AE9" s="13">
        <f t="shared" si="7"/>
        <v>0.19285714285714287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1"/>
        <v>0</v>
      </c>
      <c r="V10" s="25" t="s">
        <v>10</v>
      </c>
      <c r="W10" s="11">
        <f>IFERROR(VLOOKUP(V10,[1]Curr!$B$2:$C$13,2,FALSE),0)</f>
        <v>11.3</v>
      </c>
      <c r="X10" s="12">
        <f t="shared" si="2"/>
        <v>0</v>
      </c>
      <c r="Y10" s="26">
        <f t="shared" si="3"/>
        <v>0</v>
      </c>
      <c r="Z10" s="12">
        <f t="shared" si="4"/>
        <v>0</v>
      </c>
      <c r="AA10" s="4" t="s">
        <v>10</v>
      </c>
      <c r="AB10" s="11">
        <f>IFERROR(VLOOKUP(AA10,Curr!$B$2:$C$13,2,FALSE),0)</f>
        <v>11.2</v>
      </c>
      <c r="AC10" s="12">
        <f t="shared" si="5"/>
        <v>0</v>
      </c>
      <c r="AD10" s="12">
        <f t="shared" si="6"/>
        <v>0</v>
      </c>
      <c r="AE10" s="13">
        <f t="shared" si="7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33"/>
      <c r="Q11" s="25"/>
      <c r="R11" s="25"/>
      <c r="S11" s="12">
        <f t="shared" si="0"/>
        <v>0</v>
      </c>
      <c r="T11" s="5">
        <v>0</v>
      </c>
      <c r="U11" s="12">
        <f t="shared" si="1"/>
        <v>0</v>
      </c>
      <c r="V11" s="25" t="s">
        <v>10</v>
      </c>
      <c r="W11" s="11">
        <f>IFERROR(VLOOKUP(V11,[1]Curr!$B$2:$C$13,2,FALSE),0)</f>
        <v>11.3</v>
      </c>
      <c r="X11" s="12">
        <f t="shared" si="2"/>
        <v>0</v>
      </c>
      <c r="Y11" s="26">
        <f t="shared" si="3"/>
        <v>0</v>
      </c>
      <c r="Z11" s="12">
        <f t="shared" si="4"/>
        <v>0</v>
      </c>
      <c r="AA11" s="4" t="s">
        <v>10</v>
      </c>
      <c r="AB11" s="11">
        <f>IFERROR(VLOOKUP(AA11,Curr!$B$2:$C$13,2,FALSE),0)</f>
        <v>11.2</v>
      </c>
      <c r="AC11" s="12">
        <f t="shared" si="5"/>
        <v>0</v>
      </c>
      <c r="AD11" s="12">
        <f t="shared" si="6"/>
        <v>0</v>
      </c>
      <c r="AE11" s="13">
        <f t="shared" si="7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182</v>
      </c>
      <c r="K12" s="4"/>
      <c r="L12" s="4"/>
      <c r="M12" s="4"/>
      <c r="N12" s="4"/>
      <c r="O12" s="4"/>
      <c r="P12" s="29" t="s">
        <v>183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1"/>
        <v>40</v>
      </c>
      <c r="V12" s="25" t="s">
        <v>10</v>
      </c>
      <c r="W12" s="11">
        <f>IFERROR(VLOOKUP(V12,[1]Curr!$B$2:$C$13,2,FALSE),0)</f>
        <v>11.3</v>
      </c>
      <c r="X12" s="12">
        <f t="shared" si="2"/>
        <v>452</v>
      </c>
      <c r="Y12" s="26">
        <f>Q12/0.6</f>
        <v>33.333333333333336</v>
      </c>
      <c r="Z12" s="12">
        <f t="shared" si="4"/>
        <v>66.666666666666671</v>
      </c>
      <c r="AA12" s="4" t="s">
        <v>10</v>
      </c>
      <c r="AB12" s="11">
        <f>IFERROR(VLOOKUP(AA12,Curr!$B$2:$C$13,2,FALSE),0)</f>
        <v>11.2</v>
      </c>
      <c r="AC12" s="12">
        <f t="shared" si="5"/>
        <v>746.66666666666663</v>
      </c>
      <c r="AD12" s="12">
        <f t="shared" si="6"/>
        <v>294.66666666666663</v>
      </c>
      <c r="AE12" s="13">
        <f t="shared" si="7"/>
        <v>0.39464285714285713</v>
      </c>
    </row>
    <row r="13" spans="2:36" x14ac:dyDescent="0.25">
      <c r="B13" s="4"/>
      <c r="C13" s="1" t="s">
        <v>60</v>
      </c>
      <c r="D13" s="1" t="s">
        <v>58</v>
      </c>
      <c r="E13" s="3"/>
      <c r="F13" s="3"/>
      <c r="G13" s="24"/>
      <c r="H13" s="24"/>
      <c r="J13" s="1" t="s">
        <v>53</v>
      </c>
      <c r="K13" s="4"/>
      <c r="L13" s="4"/>
      <c r="M13" s="4"/>
      <c r="N13" s="4"/>
      <c r="O13" s="4"/>
      <c r="P13" s="29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1"/>
        <v>0</v>
      </c>
      <c r="V13" s="25" t="s">
        <v>10</v>
      </c>
      <c r="W13" s="11">
        <f>IFERROR(VLOOKUP(V13,[1]Curr!$B$2:$C$13,2,FALSE),0)</f>
        <v>11.3</v>
      </c>
      <c r="X13" s="12">
        <f t="shared" si="2"/>
        <v>0</v>
      </c>
      <c r="Y13" s="26">
        <f t="shared" si="3"/>
        <v>0</v>
      </c>
      <c r="Z13" s="12">
        <f t="shared" si="4"/>
        <v>0</v>
      </c>
      <c r="AA13" s="4" t="s">
        <v>10</v>
      </c>
      <c r="AB13" s="11">
        <f>IFERROR(VLOOKUP(AA13,Curr!$B$2:$C$13,2,FALSE),0)</f>
        <v>11.2</v>
      </c>
      <c r="AC13" s="12">
        <f t="shared" si="5"/>
        <v>0</v>
      </c>
      <c r="AD13" s="12">
        <f t="shared" si="6"/>
        <v>0</v>
      </c>
      <c r="AE13" s="13">
        <f t="shared" si="7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29"/>
      <c r="Q14" s="25"/>
      <c r="R14" s="25"/>
      <c r="S14" s="12">
        <f t="shared" si="0"/>
        <v>0</v>
      </c>
      <c r="T14" s="5">
        <v>0</v>
      </c>
      <c r="U14" s="12">
        <f t="shared" si="1"/>
        <v>0</v>
      </c>
      <c r="V14" s="25" t="s">
        <v>10</v>
      </c>
      <c r="W14" s="11">
        <f>IFERROR(VLOOKUP(V14,[1]Curr!$B$2:$C$13,2,FALSE),0)</f>
        <v>11.3</v>
      </c>
      <c r="X14" s="12">
        <f t="shared" si="2"/>
        <v>0</v>
      </c>
      <c r="Y14" s="26">
        <f t="shared" si="3"/>
        <v>0</v>
      </c>
      <c r="Z14" s="12">
        <f t="shared" si="4"/>
        <v>0</v>
      </c>
      <c r="AA14" s="4" t="s">
        <v>10</v>
      </c>
      <c r="AB14" s="11">
        <f>IFERROR(VLOOKUP(AA14,Curr!$B$2:$C$13,2,FALSE),0)</f>
        <v>11.2</v>
      </c>
      <c r="AC14" s="12">
        <f t="shared" si="5"/>
        <v>0</v>
      </c>
      <c r="AD14" s="12">
        <f t="shared" si="6"/>
        <v>0</v>
      </c>
      <c r="AE14" s="13">
        <f t="shared" si="7"/>
        <v>0</v>
      </c>
    </row>
    <row r="15" spans="2:36" x14ac:dyDescent="0.25">
      <c r="B15" s="4"/>
      <c r="C15" s="1" t="s">
        <v>68</v>
      </c>
      <c r="D15" s="1" t="s">
        <v>56</v>
      </c>
      <c r="E15" s="3"/>
      <c r="F15" s="3"/>
      <c r="G15" s="24"/>
      <c r="H15" s="24"/>
      <c r="J15" s="1" t="s">
        <v>184</v>
      </c>
      <c r="K15" s="4"/>
      <c r="L15" s="4"/>
      <c r="M15" s="4"/>
      <c r="N15" s="4"/>
      <c r="O15" s="4"/>
      <c r="P15" s="27"/>
      <c r="Q15" s="25">
        <v>0</v>
      </c>
      <c r="R15" s="25">
        <v>0</v>
      </c>
      <c r="S15" s="12">
        <f t="shared" si="0"/>
        <v>0</v>
      </c>
      <c r="T15" s="5">
        <v>0</v>
      </c>
      <c r="U15" s="12">
        <f t="shared" si="1"/>
        <v>0</v>
      </c>
      <c r="V15" s="25" t="s">
        <v>10</v>
      </c>
      <c r="W15" s="11">
        <f>IFERROR(VLOOKUP(V15,[1]Curr!$B$2:$C$13,2,FALSE),0)</f>
        <v>11.3</v>
      </c>
      <c r="X15" s="12">
        <f t="shared" si="2"/>
        <v>0</v>
      </c>
      <c r="Y15" s="26">
        <f t="shared" si="3"/>
        <v>0</v>
      </c>
      <c r="Z15" s="12">
        <f t="shared" si="4"/>
        <v>0</v>
      </c>
      <c r="AA15" s="4" t="s">
        <v>10</v>
      </c>
      <c r="AB15" s="11">
        <f>IFERROR(VLOOKUP(AA15,Curr!$B$2:$C$13,2,FALSE),0)</f>
        <v>11.2</v>
      </c>
      <c r="AC15" s="12">
        <f t="shared" si="5"/>
        <v>0</v>
      </c>
      <c r="AD15" s="12">
        <f t="shared" si="6"/>
        <v>0</v>
      </c>
      <c r="AE15" s="13">
        <f t="shared" si="7"/>
        <v>0</v>
      </c>
    </row>
    <row r="16" spans="2:36" x14ac:dyDescent="0.25">
      <c r="B16" s="4"/>
      <c r="C16" s="1" t="s">
        <v>68</v>
      </c>
      <c r="D16" s="1" t="s">
        <v>64</v>
      </c>
      <c r="E16" s="3"/>
      <c r="F16" s="3"/>
      <c r="G16" s="24"/>
      <c r="H16" s="24"/>
      <c r="J16" s="1" t="s">
        <v>185</v>
      </c>
      <c r="K16" s="4"/>
      <c r="L16" s="4"/>
      <c r="M16" s="4"/>
      <c r="N16" s="4"/>
      <c r="O16" s="4"/>
      <c r="P16" s="33" t="s">
        <v>186</v>
      </c>
      <c r="Q16" s="25">
        <v>120</v>
      </c>
      <c r="R16" s="25">
        <v>1</v>
      </c>
      <c r="S16" s="12">
        <f t="shared" si="0"/>
        <v>120</v>
      </c>
      <c r="T16" s="5">
        <v>0</v>
      </c>
      <c r="U16" s="12">
        <f t="shared" si="1"/>
        <v>120</v>
      </c>
      <c r="V16" s="25" t="s">
        <v>10</v>
      </c>
      <c r="W16" s="11">
        <f>IFERROR(VLOOKUP(V16,[1]Curr!$B$2:$C$13,2,FALSE),0)</f>
        <v>11.3</v>
      </c>
      <c r="X16" s="12">
        <f t="shared" si="2"/>
        <v>1356</v>
      </c>
      <c r="Y16" s="26">
        <f>Q16/0.8</f>
        <v>150</v>
      </c>
      <c r="Z16" s="12">
        <f t="shared" si="4"/>
        <v>150</v>
      </c>
      <c r="AA16" s="4" t="s">
        <v>10</v>
      </c>
      <c r="AB16" s="11">
        <f>IFERROR(VLOOKUP(AA16,Curr!$B$2:$C$13,2,FALSE),0)</f>
        <v>11.2</v>
      </c>
      <c r="AC16" s="12">
        <f t="shared" si="5"/>
        <v>1680</v>
      </c>
      <c r="AD16" s="12">
        <f t="shared" si="6"/>
        <v>324</v>
      </c>
      <c r="AE16" s="13">
        <f t="shared" si="7"/>
        <v>0.19285714285714287</v>
      </c>
    </row>
    <row r="17" spans="2:31" x14ac:dyDescent="0.25">
      <c r="B17" s="4"/>
      <c r="C17" s="1" t="s">
        <v>68</v>
      </c>
      <c r="D17" s="1" t="s">
        <v>56</v>
      </c>
      <c r="E17" s="3"/>
      <c r="F17" s="3"/>
      <c r="G17" s="24"/>
      <c r="H17" s="24"/>
      <c r="J17" s="1" t="s">
        <v>187</v>
      </c>
      <c r="K17" s="4"/>
      <c r="L17" s="4"/>
      <c r="M17" s="4"/>
      <c r="N17" s="4"/>
      <c r="O17" s="4"/>
      <c r="P17" s="33"/>
      <c r="Q17" s="25">
        <v>0</v>
      </c>
      <c r="R17" s="25">
        <v>0</v>
      </c>
      <c r="S17" s="12">
        <f t="shared" si="0"/>
        <v>0</v>
      </c>
      <c r="T17" s="5">
        <v>0</v>
      </c>
      <c r="U17" s="12">
        <f t="shared" si="1"/>
        <v>0</v>
      </c>
      <c r="V17" s="25" t="s">
        <v>10</v>
      </c>
      <c r="W17" s="11">
        <f>IFERROR(VLOOKUP(V17,[1]Curr!$B$2:$C$13,2,FALSE),0)</f>
        <v>11.3</v>
      </c>
      <c r="X17" s="12">
        <f t="shared" si="2"/>
        <v>0</v>
      </c>
      <c r="Y17" s="26">
        <f t="shared" si="3"/>
        <v>0</v>
      </c>
      <c r="Z17" s="12">
        <f t="shared" si="4"/>
        <v>0</v>
      </c>
      <c r="AA17" s="4" t="s">
        <v>10</v>
      </c>
      <c r="AB17" s="11">
        <f>IFERROR(VLOOKUP(AA17,Curr!$B$2:$C$13,2,FALSE),0)</f>
        <v>11.2</v>
      </c>
      <c r="AC17" s="12">
        <f t="shared" si="5"/>
        <v>0</v>
      </c>
      <c r="AD17" s="12">
        <f t="shared" si="6"/>
        <v>0</v>
      </c>
      <c r="AE17" s="13">
        <f t="shared" si="7"/>
        <v>0</v>
      </c>
    </row>
    <row r="18" spans="2:31" x14ac:dyDescent="0.25">
      <c r="B18" s="4"/>
      <c r="C18" s="1" t="s">
        <v>68</v>
      </c>
      <c r="D18" s="1" t="s">
        <v>57</v>
      </c>
      <c r="E18" s="3"/>
      <c r="F18" s="3"/>
      <c r="G18" s="24"/>
      <c r="H18" s="24"/>
      <c r="J18" s="1" t="s">
        <v>188</v>
      </c>
      <c r="K18" s="4"/>
      <c r="L18" s="4"/>
      <c r="M18" s="4"/>
      <c r="N18" s="4"/>
      <c r="O18" s="4"/>
      <c r="P18" s="33"/>
      <c r="Q18" s="25">
        <v>250</v>
      </c>
      <c r="R18" s="25">
        <v>1</v>
      </c>
      <c r="S18" s="12">
        <f t="shared" si="0"/>
        <v>250</v>
      </c>
      <c r="T18" s="5">
        <v>0</v>
      </c>
      <c r="U18" s="12">
        <f t="shared" si="1"/>
        <v>250</v>
      </c>
      <c r="V18" s="25" t="s">
        <v>10</v>
      </c>
      <c r="W18" s="11">
        <f>IFERROR(VLOOKUP(V18,[1]Curr!$B$2:$C$13,2,FALSE),0)</f>
        <v>11.3</v>
      </c>
      <c r="X18" s="12">
        <f t="shared" si="2"/>
        <v>2825</v>
      </c>
      <c r="Y18" s="26">
        <f t="shared" si="3"/>
        <v>250</v>
      </c>
      <c r="Z18" s="12">
        <f t="shared" si="4"/>
        <v>250</v>
      </c>
      <c r="AA18" s="4" t="s">
        <v>10</v>
      </c>
      <c r="AB18" s="11">
        <f>IFERROR(VLOOKUP(AA18,Curr!$B$2:$C$13,2,FALSE),0)</f>
        <v>11.2</v>
      </c>
      <c r="AC18" s="12">
        <f t="shared" si="5"/>
        <v>2800</v>
      </c>
      <c r="AD18" s="12">
        <f t="shared" si="6"/>
        <v>-25</v>
      </c>
      <c r="AE18" s="13">
        <f t="shared" si="7"/>
        <v>-8.9285714285714281E-3</v>
      </c>
    </row>
    <row r="19" spans="2:31" x14ac:dyDescent="0.25">
      <c r="B19" s="4"/>
      <c r="C19" s="1" t="s">
        <v>68</v>
      </c>
      <c r="D19" s="1" t="s">
        <v>61</v>
      </c>
      <c r="E19" s="3"/>
      <c r="F19" s="3"/>
      <c r="G19" s="24"/>
      <c r="H19" s="24"/>
      <c r="J19" s="1" t="s">
        <v>189</v>
      </c>
      <c r="K19" s="4"/>
      <c r="L19" s="4"/>
      <c r="M19" s="4"/>
      <c r="N19" s="4"/>
      <c r="O19" s="4"/>
      <c r="P19" s="33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1"/>
        <v>0</v>
      </c>
      <c r="V19" s="25" t="s">
        <v>10</v>
      </c>
      <c r="W19" s="11">
        <f>IFERROR(VLOOKUP(V19,[1]Curr!$B$2:$C$13,2,FALSE),0)</f>
        <v>11.3</v>
      </c>
      <c r="X19" s="12">
        <f t="shared" si="2"/>
        <v>0</v>
      </c>
      <c r="Y19" s="26">
        <f t="shared" si="3"/>
        <v>0</v>
      </c>
      <c r="Z19" s="12">
        <f t="shared" si="4"/>
        <v>0</v>
      </c>
      <c r="AA19" s="4" t="s">
        <v>10</v>
      </c>
      <c r="AB19" s="11">
        <f>IFERROR(VLOOKUP(AA19,Curr!$B$2:$C$13,2,FALSE),0)</f>
        <v>11.2</v>
      </c>
      <c r="AC19" s="12">
        <f t="shared" si="5"/>
        <v>0</v>
      </c>
      <c r="AD19" s="12">
        <f t="shared" si="6"/>
        <v>0</v>
      </c>
      <c r="AE19" s="13">
        <f t="shared" si="7"/>
        <v>0</v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33"/>
      <c r="Q20" s="25"/>
      <c r="R20" s="25"/>
      <c r="S20" s="12">
        <f t="shared" si="0"/>
        <v>0</v>
      </c>
      <c r="T20" s="5">
        <v>0</v>
      </c>
      <c r="U20" s="12">
        <f t="shared" si="1"/>
        <v>0</v>
      </c>
      <c r="V20" s="25" t="s">
        <v>10</v>
      </c>
      <c r="W20" s="11">
        <f>IFERROR(VLOOKUP(V20,[1]Curr!$B$2:$C$13,2,FALSE),0)</f>
        <v>11.3</v>
      </c>
      <c r="X20" s="12">
        <f t="shared" si="2"/>
        <v>0</v>
      </c>
      <c r="Y20" s="26">
        <f t="shared" si="3"/>
        <v>0</v>
      </c>
      <c r="Z20" s="12">
        <f t="shared" si="4"/>
        <v>0</v>
      </c>
      <c r="AA20" s="4" t="s">
        <v>10</v>
      </c>
      <c r="AB20" s="11">
        <f>IFERROR(VLOOKUP(AA20,Curr!$B$2:$C$13,2,FALSE),0)</f>
        <v>11.2</v>
      </c>
      <c r="AC20" s="12">
        <f t="shared" si="5"/>
        <v>0</v>
      </c>
      <c r="AD20" s="12">
        <f t="shared" si="6"/>
        <v>0</v>
      </c>
      <c r="AE20" s="13">
        <f t="shared" si="7"/>
        <v>0</v>
      </c>
    </row>
    <row r="21" spans="2:31" x14ac:dyDescent="0.25">
      <c r="B21" s="4"/>
      <c r="C21" s="1" t="s">
        <v>72</v>
      </c>
      <c r="D21" s="1" t="s">
        <v>61</v>
      </c>
      <c r="E21" s="3"/>
      <c r="F21" s="3"/>
      <c r="G21" s="24"/>
      <c r="H21" s="24"/>
      <c r="J21" s="1" t="s">
        <v>190</v>
      </c>
      <c r="K21" s="4"/>
      <c r="L21" s="4"/>
      <c r="M21" s="4"/>
      <c r="N21" s="4"/>
      <c r="O21" s="4"/>
      <c r="P21" s="33" t="s">
        <v>191</v>
      </c>
      <c r="Q21" s="25">
        <v>39</v>
      </c>
      <c r="R21" s="25">
        <v>2</v>
      </c>
      <c r="S21" s="12">
        <f t="shared" si="0"/>
        <v>78</v>
      </c>
      <c r="T21" s="5">
        <v>0</v>
      </c>
      <c r="U21" s="12">
        <f t="shared" si="1"/>
        <v>78</v>
      </c>
      <c r="V21" s="25" t="s">
        <v>10</v>
      </c>
      <c r="W21" s="11">
        <f>IFERROR(VLOOKUP(V21,[1]Curr!$B$2:$C$13,2,FALSE),0)</f>
        <v>11.3</v>
      </c>
      <c r="X21" s="12">
        <f t="shared" si="2"/>
        <v>881.40000000000009</v>
      </c>
      <c r="Y21" s="26">
        <f>Q21/0.6</f>
        <v>65</v>
      </c>
      <c r="Z21" s="12">
        <f t="shared" si="4"/>
        <v>130</v>
      </c>
      <c r="AA21" s="4" t="s">
        <v>10</v>
      </c>
      <c r="AB21" s="11">
        <f>IFERROR(VLOOKUP(AA21,Curr!$B$2:$C$13,2,FALSE),0)</f>
        <v>11.2</v>
      </c>
      <c r="AC21" s="12">
        <f t="shared" si="5"/>
        <v>1456</v>
      </c>
      <c r="AD21" s="12">
        <f t="shared" si="6"/>
        <v>574.59999999999991</v>
      </c>
      <c r="AE21" s="13">
        <f t="shared" si="7"/>
        <v>0.39464285714285707</v>
      </c>
    </row>
    <row r="22" spans="2:31" x14ac:dyDescent="0.25">
      <c r="B22" s="4"/>
      <c r="C22" s="1" t="s">
        <v>72</v>
      </c>
      <c r="D22" s="1" t="s">
        <v>58</v>
      </c>
      <c r="E22" s="3"/>
      <c r="F22" s="3"/>
      <c r="G22" s="24"/>
      <c r="H22" s="24"/>
      <c r="J22" s="1" t="s">
        <v>189</v>
      </c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 t="shared" si="0"/>
        <v>0</v>
      </c>
      <c r="T22" s="5">
        <v>0</v>
      </c>
      <c r="U22" s="12">
        <f t="shared" si="1"/>
        <v>0</v>
      </c>
      <c r="V22" s="25" t="s">
        <v>10</v>
      </c>
      <c r="W22" s="11">
        <f>IFERROR(VLOOKUP(V22,[1]Curr!$B$2:$C$13,2,FALSE),0)</f>
        <v>11.3</v>
      </c>
      <c r="X22" s="12">
        <f t="shared" si="2"/>
        <v>0</v>
      </c>
      <c r="Y22" s="26">
        <f t="shared" si="3"/>
        <v>0</v>
      </c>
      <c r="Z22" s="12">
        <f t="shared" si="4"/>
        <v>0</v>
      </c>
      <c r="AA22" s="4" t="s">
        <v>10</v>
      </c>
      <c r="AB22" s="11">
        <f>IFERROR(VLOOKUP(AA22,Curr!$B$2:$C$13,2,FALSE),0)</f>
        <v>11.2</v>
      </c>
      <c r="AC22" s="12">
        <f t="shared" si="5"/>
        <v>0</v>
      </c>
      <c r="AD22" s="12">
        <f t="shared" si="6"/>
        <v>0</v>
      </c>
      <c r="AE22" s="13">
        <f t="shared" si="7"/>
        <v>0</v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33"/>
      <c r="Q23" s="25"/>
      <c r="R23" s="25"/>
      <c r="S23" s="12">
        <f t="shared" si="0"/>
        <v>0</v>
      </c>
      <c r="T23" s="5">
        <v>0</v>
      </c>
      <c r="U23" s="12">
        <f t="shared" si="1"/>
        <v>0</v>
      </c>
      <c r="V23" s="25" t="s">
        <v>10</v>
      </c>
      <c r="W23" s="11">
        <f>IFERROR(VLOOKUP(V23,[1]Curr!$B$2:$C$13,2,FALSE),0)</f>
        <v>11.3</v>
      </c>
      <c r="X23" s="12">
        <f t="shared" si="2"/>
        <v>0</v>
      </c>
      <c r="Y23" s="26">
        <f t="shared" si="3"/>
        <v>0</v>
      </c>
      <c r="Z23" s="12">
        <f t="shared" si="4"/>
        <v>0</v>
      </c>
      <c r="AA23" s="4" t="s">
        <v>10</v>
      </c>
      <c r="AB23" s="11">
        <f>IFERROR(VLOOKUP(AA23,Curr!$B$2:$C$13,2,FALSE),0)</f>
        <v>11.2</v>
      </c>
      <c r="AC23" s="12">
        <f t="shared" si="5"/>
        <v>0</v>
      </c>
      <c r="AD23" s="12">
        <f t="shared" si="6"/>
        <v>0</v>
      </c>
      <c r="AE23" s="13">
        <f t="shared" si="7"/>
        <v>0</v>
      </c>
    </row>
    <row r="24" spans="2:31" x14ac:dyDescent="0.25">
      <c r="B24" s="4"/>
      <c r="C24" s="1" t="s">
        <v>77</v>
      </c>
      <c r="D24" s="1" t="s">
        <v>56</v>
      </c>
      <c r="E24" s="3"/>
      <c r="F24" s="3"/>
      <c r="G24" s="24"/>
      <c r="H24" s="24"/>
      <c r="J24" s="1" t="s">
        <v>192</v>
      </c>
      <c r="K24" s="4"/>
      <c r="L24" s="4"/>
      <c r="M24" s="4"/>
      <c r="N24" s="4"/>
      <c r="O24" s="4"/>
      <c r="P24" s="33"/>
      <c r="Q24" s="25">
        <v>0</v>
      </c>
      <c r="R24" s="25">
        <v>0</v>
      </c>
      <c r="S24" s="12">
        <f t="shared" si="0"/>
        <v>0</v>
      </c>
      <c r="T24" s="5">
        <v>0</v>
      </c>
      <c r="U24" s="12">
        <f t="shared" si="1"/>
        <v>0</v>
      </c>
      <c r="V24" s="25" t="s">
        <v>10</v>
      </c>
      <c r="W24" s="11">
        <f>IFERROR(VLOOKUP(V24,[1]Curr!$B$2:$C$13,2,FALSE),0)</f>
        <v>11.3</v>
      </c>
      <c r="X24" s="12">
        <f t="shared" si="2"/>
        <v>0</v>
      </c>
      <c r="Y24" s="26">
        <f t="shared" si="3"/>
        <v>0</v>
      </c>
      <c r="Z24" s="12">
        <f t="shared" si="4"/>
        <v>0</v>
      </c>
      <c r="AA24" s="4" t="s">
        <v>10</v>
      </c>
      <c r="AB24" s="11">
        <f>IFERROR(VLOOKUP(AA24,Curr!$B$2:$C$13,2,FALSE),0)</f>
        <v>11.2</v>
      </c>
      <c r="AC24" s="12">
        <f t="shared" si="5"/>
        <v>0</v>
      </c>
      <c r="AD24" s="12">
        <f t="shared" si="6"/>
        <v>0</v>
      </c>
      <c r="AE24" s="13">
        <f t="shared" si="7"/>
        <v>0</v>
      </c>
    </row>
    <row r="25" spans="2:31" x14ac:dyDescent="0.25">
      <c r="B25" s="4"/>
      <c r="C25" s="1" t="s">
        <v>77</v>
      </c>
      <c r="D25" s="1" t="s">
        <v>81</v>
      </c>
      <c r="E25" s="3"/>
      <c r="F25" s="3"/>
      <c r="G25" s="24"/>
      <c r="H25" s="24"/>
      <c r="J25" s="1" t="s">
        <v>193</v>
      </c>
      <c r="K25" s="4"/>
      <c r="L25" s="4"/>
      <c r="M25" s="4"/>
      <c r="N25" s="4"/>
      <c r="O25" s="4"/>
      <c r="P25" s="33" t="s">
        <v>194</v>
      </c>
      <c r="Q25" s="25">
        <v>32</v>
      </c>
      <c r="R25" s="25">
        <v>2</v>
      </c>
      <c r="S25" s="12">
        <f t="shared" si="0"/>
        <v>64</v>
      </c>
      <c r="T25" s="5">
        <v>0</v>
      </c>
      <c r="U25" s="12">
        <f t="shared" si="1"/>
        <v>64</v>
      </c>
      <c r="V25" s="25" t="s">
        <v>10</v>
      </c>
      <c r="W25" s="11">
        <f>IFERROR(VLOOKUP(V25,[1]Curr!$B$2:$C$13,2,FALSE),0)</f>
        <v>11.3</v>
      </c>
      <c r="X25" s="12">
        <f t="shared" si="2"/>
        <v>723.2</v>
      </c>
      <c r="Y25" s="26">
        <f>Q25/0.8</f>
        <v>40</v>
      </c>
      <c r="Z25" s="12">
        <f t="shared" si="4"/>
        <v>80</v>
      </c>
      <c r="AA25" s="4" t="s">
        <v>10</v>
      </c>
      <c r="AB25" s="11">
        <f>IFERROR(VLOOKUP(AA25,Curr!$B$2:$C$13,2,FALSE),0)</f>
        <v>11.2</v>
      </c>
      <c r="AC25" s="12">
        <f t="shared" si="5"/>
        <v>896</v>
      </c>
      <c r="AD25" s="12">
        <f t="shared" si="6"/>
        <v>172.79999999999995</v>
      </c>
      <c r="AE25" s="13">
        <f t="shared" si="7"/>
        <v>0.19285714285714281</v>
      </c>
    </row>
    <row r="26" spans="2:31" x14ac:dyDescent="0.25">
      <c r="B26" s="4"/>
      <c r="C26" s="1" t="s">
        <v>77</v>
      </c>
      <c r="D26" s="1" t="s">
        <v>56</v>
      </c>
      <c r="E26" s="3"/>
      <c r="F26" s="3"/>
      <c r="G26" s="24"/>
      <c r="H26" s="24"/>
      <c r="J26" s="1" t="s">
        <v>195</v>
      </c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 t="shared" si="0"/>
        <v>0</v>
      </c>
      <c r="T26" s="5">
        <v>0</v>
      </c>
      <c r="U26" s="12">
        <f t="shared" si="1"/>
        <v>0</v>
      </c>
      <c r="V26" s="25" t="s">
        <v>10</v>
      </c>
      <c r="W26" s="11">
        <f>IFERROR(VLOOKUP(V26,[1]Curr!$B$2:$C$13,2,FALSE),0)</f>
        <v>11.3</v>
      </c>
      <c r="X26" s="12">
        <f t="shared" si="2"/>
        <v>0</v>
      </c>
      <c r="Y26" s="26">
        <f t="shared" si="3"/>
        <v>0</v>
      </c>
      <c r="Z26" s="12">
        <f t="shared" si="4"/>
        <v>0</v>
      </c>
      <c r="AA26" s="4" t="s">
        <v>10</v>
      </c>
      <c r="AB26" s="11">
        <f>IFERROR(VLOOKUP(AA26,Curr!$B$2:$C$13,2,FALSE),0)</f>
        <v>11.2</v>
      </c>
      <c r="AC26" s="12">
        <f t="shared" si="5"/>
        <v>0</v>
      </c>
      <c r="AD26" s="12">
        <f t="shared" si="6"/>
        <v>0</v>
      </c>
      <c r="AE26" s="13">
        <f t="shared" si="7"/>
        <v>0</v>
      </c>
    </row>
    <row r="27" spans="2:31" x14ac:dyDescent="0.25">
      <c r="B27" s="4"/>
      <c r="C27" s="1" t="s">
        <v>77</v>
      </c>
      <c r="D27" s="1" t="s">
        <v>57</v>
      </c>
      <c r="E27" s="3"/>
      <c r="F27" s="3"/>
      <c r="G27" s="24"/>
      <c r="H27" s="24"/>
      <c r="J27" s="1" t="s">
        <v>196</v>
      </c>
      <c r="K27" s="4"/>
      <c r="L27" s="4"/>
      <c r="M27" s="4"/>
      <c r="N27" s="4"/>
      <c r="O27" s="4"/>
      <c r="P27" s="27"/>
      <c r="Q27" s="25">
        <v>400</v>
      </c>
      <c r="R27" s="25">
        <v>1</v>
      </c>
      <c r="S27" s="12">
        <f t="shared" si="0"/>
        <v>400</v>
      </c>
      <c r="T27" s="5">
        <v>0</v>
      </c>
      <c r="U27" s="12">
        <f t="shared" si="1"/>
        <v>400</v>
      </c>
      <c r="V27" s="25" t="s">
        <v>10</v>
      </c>
      <c r="W27" s="11">
        <f>IFERROR(VLOOKUP(V27,[1]Curr!$B$2:$C$13,2,FALSE),0)</f>
        <v>11.3</v>
      </c>
      <c r="X27" s="12">
        <f t="shared" si="2"/>
        <v>4520</v>
      </c>
      <c r="Y27" s="26">
        <f>Q27/0.8</f>
        <v>500</v>
      </c>
      <c r="Z27" s="12">
        <f t="shared" si="4"/>
        <v>500</v>
      </c>
      <c r="AA27" s="4" t="s">
        <v>10</v>
      </c>
      <c r="AB27" s="11">
        <f>IFERROR(VLOOKUP(AA27,Curr!$B$2:$C$13,2,FALSE),0)</f>
        <v>11.2</v>
      </c>
      <c r="AC27" s="12">
        <f t="shared" si="5"/>
        <v>5600</v>
      </c>
      <c r="AD27" s="12">
        <f t="shared" si="6"/>
        <v>1080</v>
      </c>
      <c r="AE27" s="13">
        <f t="shared" si="7"/>
        <v>0.19285714285714287</v>
      </c>
    </row>
    <row r="28" spans="2:31" x14ac:dyDescent="0.25">
      <c r="B28" s="4"/>
      <c r="C28" s="1" t="s">
        <v>77</v>
      </c>
      <c r="D28" s="1" t="s">
        <v>61</v>
      </c>
      <c r="E28" s="3"/>
      <c r="F28" s="3"/>
      <c r="G28" s="24"/>
      <c r="H28" s="24"/>
      <c r="J28" s="1" t="s">
        <v>197</v>
      </c>
      <c r="K28" s="4"/>
      <c r="L28" s="4"/>
      <c r="M28" s="4"/>
      <c r="N28" s="4"/>
      <c r="O28" s="4"/>
      <c r="P28" s="27"/>
      <c r="Q28" s="25">
        <v>0</v>
      </c>
      <c r="R28" s="25">
        <v>0</v>
      </c>
      <c r="S28" s="12">
        <f t="shared" si="0"/>
        <v>0</v>
      </c>
      <c r="T28" s="5">
        <v>0</v>
      </c>
      <c r="U28" s="12">
        <f t="shared" si="1"/>
        <v>0</v>
      </c>
      <c r="V28" s="25" t="s">
        <v>10</v>
      </c>
      <c r="W28" s="11">
        <f>IFERROR(VLOOKUP(V28,[1]Curr!$B$2:$C$13,2,FALSE),0)</f>
        <v>11.3</v>
      </c>
      <c r="X28" s="12">
        <f t="shared" si="2"/>
        <v>0</v>
      </c>
      <c r="Y28" s="26">
        <f t="shared" si="3"/>
        <v>0</v>
      </c>
      <c r="Z28" s="12">
        <f t="shared" si="4"/>
        <v>0</v>
      </c>
      <c r="AA28" s="4" t="s">
        <v>10</v>
      </c>
      <c r="AB28" s="11">
        <f>IFERROR(VLOOKUP(AA28,Curr!$B$2:$C$13,2,FALSE),0)</f>
        <v>11.2</v>
      </c>
      <c r="AC28" s="12">
        <f t="shared" si="5"/>
        <v>0</v>
      </c>
      <c r="AD28" s="12">
        <f t="shared" si="6"/>
        <v>0</v>
      </c>
      <c r="AE28" s="13">
        <f t="shared" si="7"/>
        <v>0</v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27"/>
      <c r="Q29" s="25"/>
      <c r="R29" s="25"/>
      <c r="S29" s="12">
        <f t="shared" si="0"/>
        <v>0</v>
      </c>
      <c r="T29" s="5">
        <v>0</v>
      </c>
      <c r="U29" s="12">
        <f t="shared" si="1"/>
        <v>0</v>
      </c>
      <c r="V29" s="25" t="s">
        <v>10</v>
      </c>
      <c r="W29" s="11">
        <f>IFERROR(VLOOKUP(V29,[1]Curr!$B$2:$C$13,2,FALSE),0)</f>
        <v>11.3</v>
      </c>
      <c r="X29" s="12">
        <f t="shared" si="2"/>
        <v>0</v>
      </c>
      <c r="Y29" s="26">
        <f t="shared" si="3"/>
        <v>0</v>
      </c>
      <c r="Z29" s="12">
        <f t="shared" si="4"/>
        <v>0</v>
      </c>
      <c r="AA29" s="4" t="s">
        <v>10</v>
      </c>
      <c r="AB29" s="11">
        <f>IFERROR(VLOOKUP(AA29,Curr!$B$2:$C$13,2,FALSE),0)</f>
        <v>11.2</v>
      </c>
      <c r="AC29" s="12">
        <f t="shared" si="5"/>
        <v>0</v>
      </c>
      <c r="AD29" s="12">
        <f t="shared" si="6"/>
        <v>0</v>
      </c>
      <c r="AE29" s="13">
        <f t="shared" si="7"/>
        <v>0</v>
      </c>
    </row>
    <row r="30" spans="2:31" x14ac:dyDescent="0.25">
      <c r="B30" s="4"/>
      <c r="C30" s="1" t="s">
        <v>80</v>
      </c>
      <c r="D30" s="1" t="s">
        <v>61</v>
      </c>
      <c r="E30" s="3"/>
      <c r="F30" s="3"/>
      <c r="G30" s="24"/>
      <c r="H30" s="24"/>
      <c r="J30" s="1" t="s">
        <v>198</v>
      </c>
      <c r="K30" s="4"/>
      <c r="L30" s="4"/>
      <c r="M30" s="4"/>
      <c r="N30" s="4"/>
      <c r="O30" s="4"/>
      <c r="P30" s="27"/>
      <c r="Q30" s="25">
        <v>0</v>
      </c>
      <c r="R30" s="25">
        <v>0</v>
      </c>
      <c r="S30" s="12">
        <f t="shared" si="0"/>
        <v>0</v>
      </c>
      <c r="T30" s="5">
        <v>0</v>
      </c>
      <c r="U30" s="12">
        <f t="shared" si="1"/>
        <v>0</v>
      </c>
      <c r="V30" s="25" t="s">
        <v>10</v>
      </c>
      <c r="W30" s="11">
        <f>IFERROR(VLOOKUP(V30,[1]Curr!$B$2:$C$13,2,FALSE),0)</f>
        <v>11.3</v>
      </c>
      <c r="X30" s="12">
        <f t="shared" si="2"/>
        <v>0</v>
      </c>
      <c r="Y30" s="26">
        <f t="shared" si="3"/>
        <v>0</v>
      </c>
      <c r="Z30" s="12">
        <f t="shared" si="4"/>
        <v>0</v>
      </c>
      <c r="AA30" s="4" t="s">
        <v>10</v>
      </c>
      <c r="AB30" s="11">
        <f>IFERROR(VLOOKUP(AA30,Curr!$B$2:$C$13,2,FALSE),0)</f>
        <v>11.2</v>
      </c>
      <c r="AC30" s="12">
        <f t="shared" si="5"/>
        <v>0</v>
      </c>
      <c r="AD30" s="12">
        <f t="shared" si="6"/>
        <v>0</v>
      </c>
      <c r="AE30" s="13">
        <f t="shared" si="7"/>
        <v>0</v>
      </c>
    </row>
    <row r="31" spans="2:31" x14ac:dyDescent="0.25">
      <c r="B31" s="4"/>
      <c r="C31" s="1" t="s">
        <v>80</v>
      </c>
      <c r="D31" s="1" t="s">
        <v>58</v>
      </c>
      <c r="E31" s="3"/>
      <c r="F31" s="3"/>
      <c r="G31" s="24"/>
      <c r="H31" s="24"/>
      <c r="J31" s="1" t="s">
        <v>199</v>
      </c>
      <c r="K31" s="4"/>
      <c r="L31" s="4"/>
      <c r="M31" s="4"/>
      <c r="N31" s="4"/>
      <c r="O31" s="4"/>
      <c r="P31" s="33"/>
      <c r="Q31" s="25">
        <v>0</v>
      </c>
      <c r="R31" s="25">
        <v>0</v>
      </c>
      <c r="S31" s="12">
        <f t="shared" si="0"/>
        <v>0</v>
      </c>
      <c r="T31" s="5">
        <v>0</v>
      </c>
      <c r="U31" s="12">
        <f t="shared" si="1"/>
        <v>0</v>
      </c>
      <c r="V31" s="25" t="s">
        <v>10</v>
      </c>
      <c r="W31" s="11">
        <f>IFERROR(VLOOKUP(V31,[1]Curr!$B$2:$C$13,2,FALSE),0)</f>
        <v>11.3</v>
      </c>
      <c r="X31" s="12">
        <f t="shared" si="2"/>
        <v>0</v>
      </c>
      <c r="Y31" s="26">
        <f t="shared" si="3"/>
        <v>0</v>
      </c>
      <c r="Z31" s="12">
        <f t="shared" si="4"/>
        <v>0</v>
      </c>
      <c r="AA31" s="4" t="s">
        <v>10</v>
      </c>
      <c r="AB31" s="11">
        <f>IFERROR(VLOOKUP(AA31,Curr!$B$2:$C$13,2,FALSE),0)</f>
        <v>11.2</v>
      </c>
      <c r="AC31" s="12">
        <f t="shared" si="5"/>
        <v>0</v>
      </c>
      <c r="AD31" s="12">
        <f t="shared" si="6"/>
        <v>0</v>
      </c>
      <c r="AE31" s="13">
        <f t="shared" si="7"/>
        <v>0</v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9"/>
      <c r="Q32" s="25"/>
      <c r="R32" s="25"/>
      <c r="S32" s="12">
        <f t="shared" si="0"/>
        <v>0</v>
      </c>
      <c r="T32" s="5">
        <v>0</v>
      </c>
      <c r="U32" s="12">
        <f t="shared" si="1"/>
        <v>0</v>
      </c>
      <c r="V32" s="25" t="s">
        <v>10</v>
      </c>
      <c r="W32" s="11">
        <f>IFERROR(VLOOKUP(V32,[1]Curr!$B$2:$C$13,2,FALSE),0)</f>
        <v>11.3</v>
      </c>
      <c r="X32" s="12">
        <f t="shared" si="2"/>
        <v>0</v>
      </c>
      <c r="Y32" s="26">
        <f t="shared" si="3"/>
        <v>0</v>
      </c>
      <c r="Z32" s="12">
        <f t="shared" si="4"/>
        <v>0</v>
      </c>
      <c r="AA32" s="4" t="s">
        <v>10</v>
      </c>
      <c r="AB32" s="11">
        <f>IFERROR(VLOOKUP(AA32,Curr!$B$2:$C$13,2,FALSE),0)</f>
        <v>11.2</v>
      </c>
      <c r="AC32" s="12">
        <f t="shared" si="5"/>
        <v>0</v>
      </c>
      <c r="AD32" s="12">
        <f t="shared" si="6"/>
        <v>0</v>
      </c>
      <c r="AE32" s="13">
        <f t="shared" si="7"/>
        <v>0</v>
      </c>
    </row>
    <row r="33" spans="2:31" x14ac:dyDescent="0.25">
      <c r="B33" s="4"/>
      <c r="C33" s="1" t="s">
        <v>82</v>
      </c>
      <c r="D33" s="1" t="s">
        <v>56</v>
      </c>
      <c r="E33" s="3"/>
      <c r="F33" s="3"/>
      <c r="G33" s="24"/>
      <c r="H33" s="24"/>
      <c r="J33" s="1" t="s">
        <v>200</v>
      </c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 t="shared" si="0"/>
        <v>0</v>
      </c>
      <c r="T33" s="5">
        <v>0</v>
      </c>
      <c r="U33" s="12">
        <f t="shared" si="1"/>
        <v>0</v>
      </c>
      <c r="V33" s="25" t="s">
        <v>10</v>
      </c>
      <c r="W33" s="11">
        <f>IFERROR(VLOOKUP(V33,[1]Curr!$B$2:$C$13,2,FALSE),0)</f>
        <v>11.3</v>
      </c>
      <c r="X33" s="12">
        <f t="shared" si="2"/>
        <v>0</v>
      </c>
      <c r="Y33" s="26">
        <f t="shared" si="3"/>
        <v>0</v>
      </c>
      <c r="Z33" s="12">
        <f t="shared" si="4"/>
        <v>0</v>
      </c>
      <c r="AA33" s="4" t="s">
        <v>10</v>
      </c>
      <c r="AB33" s="11">
        <f>IFERROR(VLOOKUP(AA33,Curr!$B$2:$C$13,2,FALSE),0)</f>
        <v>11.2</v>
      </c>
      <c r="AC33" s="12">
        <f t="shared" si="5"/>
        <v>0</v>
      </c>
      <c r="AD33" s="12">
        <f t="shared" si="6"/>
        <v>0</v>
      </c>
      <c r="AE33" s="13">
        <f t="shared" si="7"/>
        <v>0</v>
      </c>
    </row>
    <row r="34" spans="2:31" x14ac:dyDescent="0.25">
      <c r="B34" s="4"/>
      <c r="C34" s="1" t="s">
        <v>82</v>
      </c>
      <c r="D34" s="1" t="s">
        <v>81</v>
      </c>
      <c r="E34" s="3"/>
      <c r="F34" s="3"/>
      <c r="G34" s="24"/>
      <c r="H34" s="24"/>
      <c r="J34" s="1" t="s">
        <v>201</v>
      </c>
      <c r="K34" s="4"/>
      <c r="L34" s="4"/>
      <c r="M34" s="27" t="s">
        <v>202</v>
      </c>
      <c r="N34" s="4"/>
      <c r="O34" s="4"/>
      <c r="P34" s="33" t="s">
        <v>203</v>
      </c>
      <c r="Q34" s="25">
        <v>44</v>
      </c>
      <c r="R34" s="25">
        <v>2</v>
      </c>
      <c r="S34" s="12">
        <f t="shared" si="0"/>
        <v>88</v>
      </c>
      <c r="T34" s="5">
        <v>0</v>
      </c>
      <c r="U34" s="12">
        <f t="shared" si="1"/>
        <v>88</v>
      </c>
      <c r="V34" s="25" t="s">
        <v>10</v>
      </c>
      <c r="W34" s="11">
        <f>IFERROR(VLOOKUP(V34,[1]Curr!$B$2:$C$13,2,FALSE),0)</f>
        <v>11.3</v>
      </c>
      <c r="X34" s="12">
        <f t="shared" si="2"/>
        <v>994.40000000000009</v>
      </c>
      <c r="Y34" s="26">
        <f>Q34/0.8</f>
        <v>55</v>
      </c>
      <c r="Z34" s="12">
        <f t="shared" si="4"/>
        <v>110</v>
      </c>
      <c r="AA34" s="4" t="s">
        <v>10</v>
      </c>
      <c r="AB34" s="11">
        <f>IFERROR(VLOOKUP(AA34,Curr!$B$2:$C$13,2,FALSE),0)</f>
        <v>11.2</v>
      </c>
      <c r="AC34" s="12">
        <f t="shared" si="5"/>
        <v>1232</v>
      </c>
      <c r="AD34" s="12">
        <f t="shared" si="6"/>
        <v>237.59999999999991</v>
      </c>
      <c r="AE34" s="13">
        <f t="shared" si="7"/>
        <v>0.19285714285714278</v>
      </c>
    </row>
    <row r="35" spans="2:31" x14ac:dyDescent="0.25">
      <c r="B35" s="4"/>
      <c r="C35" s="1" t="s">
        <v>82</v>
      </c>
      <c r="D35" s="1" t="s">
        <v>56</v>
      </c>
      <c r="E35" s="3"/>
      <c r="F35" s="3"/>
      <c r="G35" s="24"/>
      <c r="H35" s="24"/>
      <c r="J35" s="1" t="s">
        <v>204</v>
      </c>
      <c r="K35" s="4"/>
      <c r="L35" s="4"/>
      <c r="N35" s="4"/>
      <c r="O35" s="4"/>
      <c r="P35" s="27"/>
      <c r="Q35" s="25">
        <v>0</v>
      </c>
      <c r="R35" s="25">
        <v>0</v>
      </c>
      <c r="S35" s="12">
        <f t="shared" si="0"/>
        <v>0</v>
      </c>
      <c r="T35" s="5">
        <v>0</v>
      </c>
      <c r="U35" s="12">
        <f t="shared" si="1"/>
        <v>0</v>
      </c>
      <c r="V35" s="25" t="s">
        <v>10</v>
      </c>
      <c r="W35" s="11">
        <f>IFERROR(VLOOKUP(V35,[1]Curr!$B$2:$C$13,2,FALSE),0)</f>
        <v>11.3</v>
      </c>
      <c r="X35" s="12">
        <f t="shared" si="2"/>
        <v>0</v>
      </c>
      <c r="Y35" s="26">
        <f t="shared" si="3"/>
        <v>0</v>
      </c>
      <c r="Z35" s="12">
        <f t="shared" si="4"/>
        <v>0</v>
      </c>
      <c r="AA35" s="4" t="s">
        <v>10</v>
      </c>
      <c r="AB35" s="11">
        <f>IFERROR(VLOOKUP(AA35,Curr!$B$2:$C$13,2,FALSE),0)</f>
        <v>11.2</v>
      </c>
      <c r="AC35" s="12">
        <f t="shared" si="5"/>
        <v>0</v>
      </c>
      <c r="AD35" s="12">
        <f t="shared" si="6"/>
        <v>0</v>
      </c>
      <c r="AE35" s="13">
        <f t="shared" si="7"/>
        <v>0</v>
      </c>
    </row>
    <row r="36" spans="2:31" x14ac:dyDescent="0.25">
      <c r="B36" s="4"/>
      <c r="C36" s="1" t="s">
        <v>82</v>
      </c>
      <c r="D36" s="1" t="s">
        <v>57</v>
      </c>
      <c r="E36" s="3"/>
      <c r="F36" s="3"/>
      <c r="G36" s="24"/>
      <c r="H36" s="24"/>
      <c r="J36" s="1" t="s">
        <v>205</v>
      </c>
      <c r="K36" s="4"/>
      <c r="L36" s="4"/>
      <c r="M36" s="4"/>
      <c r="N36" s="4"/>
      <c r="O36" s="4"/>
      <c r="P36" s="33" t="s">
        <v>206</v>
      </c>
      <c r="Q36" s="25">
        <v>0</v>
      </c>
      <c r="R36" s="25">
        <v>0</v>
      </c>
      <c r="S36" s="12">
        <f t="shared" si="0"/>
        <v>0</v>
      </c>
      <c r="T36" s="5">
        <v>0</v>
      </c>
      <c r="U36" s="12">
        <f t="shared" si="1"/>
        <v>0</v>
      </c>
      <c r="V36" s="25" t="s">
        <v>10</v>
      </c>
      <c r="W36" s="11">
        <f>IFERROR(VLOOKUP(V36,[1]Curr!$B$2:$C$13,2,FALSE),0)</f>
        <v>11.3</v>
      </c>
      <c r="X36" s="12">
        <f t="shared" si="2"/>
        <v>0</v>
      </c>
      <c r="Y36" s="26">
        <f t="shared" si="3"/>
        <v>0</v>
      </c>
      <c r="Z36" s="12">
        <f t="shared" si="4"/>
        <v>0</v>
      </c>
      <c r="AA36" s="4" t="s">
        <v>10</v>
      </c>
      <c r="AB36" s="11">
        <f>IFERROR(VLOOKUP(AA36,Curr!$B$2:$C$13,2,FALSE),0)</f>
        <v>11.2</v>
      </c>
      <c r="AC36" s="12">
        <f t="shared" si="5"/>
        <v>0</v>
      </c>
      <c r="AD36" s="12">
        <f t="shared" si="6"/>
        <v>0</v>
      </c>
      <c r="AE36" s="13">
        <f t="shared" si="7"/>
        <v>0</v>
      </c>
    </row>
    <row r="37" spans="2:31" x14ac:dyDescent="0.25">
      <c r="B37" s="4"/>
      <c r="C37" s="1" t="s">
        <v>82</v>
      </c>
      <c r="D37" s="1" t="s">
        <v>58</v>
      </c>
      <c r="E37" s="3"/>
      <c r="F37" s="3"/>
      <c r="G37" s="24"/>
      <c r="H37" s="24"/>
      <c r="J37" s="1" t="s">
        <v>207</v>
      </c>
      <c r="K37" s="4"/>
      <c r="L37" s="4"/>
      <c r="M37" s="4"/>
      <c r="N37" s="4"/>
      <c r="O37" s="4"/>
      <c r="P37" s="33"/>
      <c r="Q37" s="25">
        <v>0</v>
      </c>
      <c r="R37" s="25">
        <v>0</v>
      </c>
      <c r="S37" s="12">
        <f t="shared" si="0"/>
        <v>0</v>
      </c>
      <c r="T37" s="5">
        <v>0</v>
      </c>
      <c r="U37" s="12">
        <f t="shared" si="1"/>
        <v>0</v>
      </c>
      <c r="V37" s="25" t="s">
        <v>10</v>
      </c>
      <c r="W37" s="11">
        <f>IFERROR(VLOOKUP(V37,[1]Curr!$B$2:$C$13,2,FALSE),0)</f>
        <v>11.3</v>
      </c>
      <c r="X37" s="12">
        <f t="shared" si="2"/>
        <v>0</v>
      </c>
      <c r="Y37" s="26">
        <f t="shared" si="3"/>
        <v>0</v>
      </c>
      <c r="Z37" s="12">
        <f t="shared" si="4"/>
        <v>0</v>
      </c>
      <c r="AA37" s="4" t="s">
        <v>10</v>
      </c>
      <c r="AB37" s="11">
        <f>IFERROR(VLOOKUP(AA37,Curr!$B$2:$C$13,2,FALSE),0)</f>
        <v>11.2</v>
      </c>
      <c r="AC37" s="12">
        <f t="shared" si="5"/>
        <v>0</v>
      </c>
      <c r="AD37" s="12">
        <f t="shared" si="6"/>
        <v>0</v>
      </c>
      <c r="AE37" s="13">
        <f t="shared" si="7"/>
        <v>0</v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 t="shared" si="0"/>
        <v>0</v>
      </c>
      <c r="T38" s="5">
        <v>0</v>
      </c>
      <c r="U38" s="12">
        <f t="shared" si="1"/>
        <v>0</v>
      </c>
      <c r="V38" s="25" t="s">
        <v>10</v>
      </c>
      <c r="W38" s="11">
        <f>IFERROR(VLOOKUP(V38,[1]Curr!$B$2:$C$13,2,FALSE),0)</f>
        <v>11.3</v>
      </c>
      <c r="X38" s="12">
        <f t="shared" si="2"/>
        <v>0</v>
      </c>
      <c r="Y38" s="26">
        <f t="shared" si="3"/>
        <v>0</v>
      </c>
      <c r="Z38" s="12">
        <f t="shared" si="4"/>
        <v>0</v>
      </c>
      <c r="AA38" s="4" t="s">
        <v>10</v>
      </c>
      <c r="AB38" s="11">
        <f>IFERROR(VLOOKUP(AA38,Curr!$B$2:$C$13,2,FALSE),0)</f>
        <v>11.2</v>
      </c>
      <c r="AC38" s="12">
        <f t="shared" si="5"/>
        <v>0</v>
      </c>
      <c r="AD38" s="12">
        <f t="shared" si="6"/>
        <v>0</v>
      </c>
      <c r="AE38" s="13">
        <f t="shared" si="7"/>
        <v>0</v>
      </c>
    </row>
    <row r="39" spans="2:31" x14ac:dyDescent="0.25">
      <c r="B39" s="4"/>
      <c r="C39" s="1" t="s">
        <v>208</v>
      </c>
      <c r="D39" s="1" t="s">
        <v>81</v>
      </c>
      <c r="E39" s="3"/>
      <c r="F39" s="3"/>
      <c r="G39" s="24"/>
      <c r="H39" s="24"/>
      <c r="J39" s="1" t="s">
        <v>209</v>
      </c>
      <c r="K39" s="4"/>
      <c r="L39" s="4"/>
      <c r="M39" s="4"/>
      <c r="N39" s="4"/>
      <c r="O39" s="4"/>
      <c r="P39" s="27"/>
      <c r="Q39" s="25">
        <v>25</v>
      </c>
      <c r="R39" s="25">
        <v>2</v>
      </c>
      <c r="S39" s="12">
        <f t="shared" si="0"/>
        <v>50</v>
      </c>
      <c r="T39" s="5">
        <v>0</v>
      </c>
      <c r="U39" s="12">
        <f t="shared" si="1"/>
        <v>50</v>
      </c>
      <c r="V39" s="25" t="s">
        <v>10</v>
      </c>
      <c r="W39" s="11">
        <f>IFERROR(VLOOKUP(V39,[1]Curr!$B$2:$C$13,2,FALSE),0)</f>
        <v>11.3</v>
      </c>
      <c r="X39" s="12">
        <f t="shared" si="2"/>
        <v>565</v>
      </c>
      <c r="Y39" s="26">
        <f>Q39/0.8</f>
        <v>31.25</v>
      </c>
      <c r="Z39" s="12">
        <f t="shared" si="4"/>
        <v>62.5</v>
      </c>
      <c r="AA39" s="4" t="s">
        <v>10</v>
      </c>
      <c r="AB39" s="11">
        <f>IFERROR(VLOOKUP(AA39,Curr!$B$2:$C$13,2,FALSE),0)</f>
        <v>11.2</v>
      </c>
      <c r="AC39" s="12">
        <f t="shared" si="5"/>
        <v>700</v>
      </c>
      <c r="AD39" s="12">
        <f t="shared" si="6"/>
        <v>135</v>
      </c>
      <c r="AE39" s="13">
        <f t="shared" si="7"/>
        <v>0.19285714285714287</v>
      </c>
    </row>
    <row r="40" spans="2:31" x14ac:dyDescent="0.25">
      <c r="B40" s="4"/>
      <c r="C40" s="1" t="s">
        <v>208</v>
      </c>
      <c r="D40" s="1" t="s">
        <v>61</v>
      </c>
      <c r="E40" s="3"/>
      <c r="F40" s="3"/>
      <c r="G40" s="24"/>
      <c r="H40" s="24"/>
      <c r="K40" s="4"/>
      <c r="L40" s="4"/>
      <c r="M40" s="4"/>
      <c r="N40" s="4"/>
      <c r="O40" s="4"/>
      <c r="P40" s="33" t="s">
        <v>210</v>
      </c>
      <c r="Q40" s="25">
        <v>99</v>
      </c>
      <c r="R40" s="25">
        <v>2</v>
      </c>
      <c r="S40" s="12">
        <f t="shared" si="0"/>
        <v>198</v>
      </c>
      <c r="T40" s="5">
        <v>0.2</v>
      </c>
      <c r="U40" s="12">
        <f t="shared" si="1"/>
        <v>158.4</v>
      </c>
      <c r="V40" s="25" t="s">
        <v>10</v>
      </c>
      <c r="W40" s="11">
        <f>IFERROR(VLOOKUP(V40,[1]Curr!$B$2:$C$13,2,FALSE),0)</f>
        <v>11.3</v>
      </c>
      <c r="X40" s="12">
        <f t="shared" si="2"/>
        <v>1789.92</v>
      </c>
      <c r="Y40" s="26">
        <f t="shared" ref="Y40:Y44" si="8">Q40</f>
        <v>99</v>
      </c>
      <c r="Z40" s="12">
        <f t="shared" si="4"/>
        <v>198</v>
      </c>
      <c r="AA40" s="4" t="s">
        <v>10</v>
      </c>
      <c r="AB40" s="11">
        <f>IFERROR(VLOOKUP(AA40,Curr!$B$2:$C$13,2,FALSE),0)</f>
        <v>11.2</v>
      </c>
      <c r="AC40" s="12">
        <f t="shared" si="5"/>
        <v>2217.6</v>
      </c>
      <c r="AD40" s="12">
        <f t="shared" si="6"/>
        <v>427.67999999999984</v>
      </c>
      <c r="AE40" s="13">
        <f t="shared" si="7"/>
        <v>0.19285714285714278</v>
      </c>
    </row>
    <row r="41" spans="2:31" x14ac:dyDescent="0.25">
      <c r="B41" s="4"/>
      <c r="C41" s="1" t="s">
        <v>208</v>
      </c>
      <c r="D41" s="1" t="s">
        <v>81</v>
      </c>
      <c r="E41" s="3"/>
      <c r="F41" s="3"/>
      <c r="G41" s="24"/>
      <c r="H41" s="24"/>
      <c r="J41" s="1" t="s">
        <v>211</v>
      </c>
      <c r="K41" s="4"/>
      <c r="L41" s="4"/>
      <c r="M41" s="27" t="s">
        <v>202</v>
      </c>
      <c r="N41" s="4"/>
      <c r="O41" s="4"/>
      <c r="P41" s="27"/>
      <c r="Q41" s="25">
        <v>25</v>
      </c>
      <c r="R41" s="25">
        <v>2</v>
      </c>
      <c r="S41" s="12">
        <f t="shared" si="0"/>
        <v>50</v>
      </c>
      <c r="T41" s="5">
        <v>0</v>
      </c>
      <c r="U41" s="12">
        <f t="shared" si="1"/>
        <v>50</v>
      </c>
      <c r="V41" s="25" t="s">
        <v>10</v>
      </c>
      <c r="W41" s="11">
        <f>IFERROR(VLOOKUP(V41,[1]Curr!$B$2:$C$13,2,FALSE),0)</f>
        <v>11.3</v>
      </c>
      <c r="X41" s="12">
        <f t="shared" si="2"/>
        <v>565</v>
      </c>
      <c r="Y41" s="26">
        <f>Q41/0.8</f>
        <v>31.25</v>
      </c>
      <c r="Z41" s="12">
        <f t="shared" si="4"/>
        <v>62.5</v>
      </c>
      <c r="AA41" s="4" t="s">
        <v>10</v>
      </c>
      <c r="AB41" s="11">
        <f>IFERROR(VLOOKUP(AA41,Curr!$B$2:$C$13,2,FALSE),0)</f>
        <v>11.2</v>
      </c>
      <c r="AC41" s="12">
        <f t="shared" si="5"/>
        <v>700</v>
      </c>
      <c r="AD41" s="12">
        <f t="shared" si="6"/>
        <v>135</v>
      </c>
      <c r="AE41" s="13">
        <f t="shared" si="7"/>
        <v>0.19285714285714287</v>
      </c>
    </row>
    <row r="42" spans="2:31" x14ac:dyDescent="0.25">
      <c r="B42" s="4"/>
      <c r="C42" s="1" t="s">
        <v>208</v>
      </c>
      <c r="D42" s="1" t="s">
        <v>57</v>
      </c>
      <c r="E42" s="3"/>
      <c r="F42" s="3"/>
      <c r="G42" s="24"/>
      <c r="H42" s="24"/>
      <c r="J42" s="1" t="s">
        <v>212</v>
      </c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 t="shared" si="0"/>
        <v>0</v>
      </c>
      <c r="T42" s="5">
        <v>0</v>
      </c>
      <c r="U42" s="12">
        <f t="shared" si="1"/>
        <v>0</v>
      </c>
      <c r="V42" s="25" t="s">
        <v>10</v>
      </c>
      <c r="W42" s="11">
        <f>IFERROR(VLOOKUP(V42,[1]Curr!$B$2:$C$13,2,FALSE),0)</f>
        <v>11.3</v>
      </c>
      <c r="X42" s="12">
        <f t="shared" si="2"/>
        <v>0</v>
      </c>
      <c r="Y42" s="26">
        <f t="shared" si="8"/>
        <v>0</v>
      </c>
      <c r="Z42" s="12">
        <f t="shared" si="4"/>
        <v>0</v>
      </c>
      <c r="AA42" s="4" t="s">
        <v>10</v>
      </c>
      <c r="AB42" s="11">
        <f>IFERROR(VLOOKUP(AA42,Curr!$B$2:$C$13,2,FALSE),0)</f>
        <v>11.2</v>
      </c>
      <c r="AC42" s="12">
        <f t="shared" si="5"/>
        <v>0</v>
      </c>
      <c r="AD42" s="12">
        <f t="shared" si="6"/>
        <v>0</v>
      </c>
      <c r="AE42" s="13">
        <f t="shared" si="7"/>
        <v>0</v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/>
      <c r="R43" s="25"/>
      <c r="S43" s="12">
        <f t="shared" si="0"/>
        <v>0</v>
      </c>
      <c r="T43" s="5">
        <v>0</v>
      </c>
      <c r="U43" s="12">
        <f t="shared" si="1"/>
        <v>0</v>
      </c>
      <c r="V43" s="25" t="s">
        <v>10</v>
      </c>
      <c r="W43" s="11">
        <f>IFERROR(VLOOKUP(V43,[1]Curr!$B$2:$C$13,2,FALSE),0)</f>
        <v>11.3</v>
      </c>
      <c r="X43" s="12">
        <f t="shared" si="2"/>
        <v>0</v>
      </c>
      <c r="Y43" s="26">
        <f t="shared" si="8"/>
        <v>0</v>
      </c>
      <c r="Z43" s="12">
        <f t="shared" si="4"/>
        <v>0</v>
      </c>
      <c r="AA43" s="4" t="s">
        <v>10</v>
      </c>
      <c r="AB43" s="11">
        <f>IFERROR(VLOOKUP(AA43,Curr!$B$2:$C$13,2,FALSE),0)</f>
        <v>11.2</v>
      </c>
      <c r="AC43" s="12">
        <f t="shared" si="5"/>
        <v>0</v>
      </c>
      <c r="AD43" s="12">
        <f t="shared" si="6"/>
        <v>0</v>
      </c>
      <c r="AE43" s="13">
        <f t="shared" si="7"/>
        <v>0</v>
      </c>
    </row>
    <row r="44" spans="2:31" x14ac:dyDescent="0.25">
      <c r="B44" s="4"/>
      <c r="C44" s="1" t="s">
        <v>213</v>
      </c>
      <c r="D44" s="1" t="s">
        <v>81</v>
      </c>
      <c r="E44" s="3"/>
      <c r="F44" s="3"/>
      <c r="G44" s="24"/>
      <c r="H44" s="24"/>
      <c r="J44" s="1" t="s">
        <v>214</v>
      </c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 t="shared" si="0"/>
        <v>0</v>
      </c>
      <c r="T44" s="5">
        <v>0</v>
      </c>
      <c r="U44" s="12">
        <f t="shared" si="1"/>
        <v>0</v>
      </c>
      <c r="V44" s="25" t="s">
        <v>10</v>
      </c>
      <c r="W44" s="11">
        <f>IFERROR(VLOOKUP(V44,[1]Curr!$B$2:$C$13,2,FALSE),0)</f>
        <v>11.3</v>
      </c>
      <c r="X44" s="12">
        <f t="shared" si="2"/>
        <v>0</v>
      </c>
      <c r="Y44" s="26">
        <f t="shared" si="8"/>
        <v>0</v>
      </c>
      <c r="Z44" s="12">
        <f t="shared" si="4"/>
        <v>0</v>
      </c>
      <c r="AA44" s="4" t="s">
        <v>10</v>
      </c>
      <c r="AB44" s="11">
        <f>IFERROR(VLOOKUP(AA44,Curr!$B$2:$C$13,2,FALSE),0)</f>
        <v>11.2</v>
      </c>
      <c r="AC44" s="12">
        <f t="shared" si="5"/>
        <v>0</v>
      </c>
      <c r="AD44" s="12">
        <f t="shared" si="6"/>
        <v>0</v>
      </c>
      <c r="AE44" s="13">
        <f t="shared" si="7"/>
        <v>0</v>
      </c>
    </row>
    <row r="45" spans="2:31" x14ac:dyDescent="0.25">
      <c r="B45" s="4"/>
      <c r="C45" s="1" t="s">
        <v>213</v>
      </c>
      <c r="D45" s="1" t="s">
        <v>83</v>
      </c>
      <c r="E45" s="3"/>
      <c r="F45" s="3"/>
      <c r="G45" s="24"/>
      <c r="H45" s="24"/>
      <c r="J45" s="1" t="s">
        <v>215</v>
      </c>
      <c r="K45" s="4"/>
      <c r="L45" s="4"/>
      <c r="M45" s="4"/>
      <c r="N45" s="4"/>
      <c r="O45" s="4"/>
      <c r="P45" s="33"/>
      <c r="Q45" s="25">
        <v>0</v>
      </c>
      <c r="R45" s="25">
        <v>0</v>
      </c>
      <c r="S45" s="12">
        <f t="shared" si="0"/>
        <v>0</v>
      </c>
      <c r="T45" s="5">
        <v>0</v>
      </c>
      <c r="U45" s="12">
        <f t="shared" si="1"/>
        <v>0</v>
      </c>
      <c r="V45" s="25" t="s">
        <v>10</v>
      </c>
      <c r="W45" s="11">
        <f>IFERROR(VLOOKUP(V45,[1]Curr!$B$2:$C$13,2,FALSE),0)</f>
        <v>11.3</v>
      </c>
      <c r="X45" s="12">
        <f t="shared" si="2"/>
        <v>0</v>
      </c>
      <c r="Y45" s="26">
        <f t="shared" si="3"/>
        <v>0</v>
      </c>
      <c r="Z45" s="12">
        <f t="shared" si="4"/>
        <v>0</v>
      </c>
      <c r="AA45" s="4" t="s">
        <v>10</v>
      </c>
      <c r="AB45" s="11">
        <f>IFERROR(VLOOKUP(AA45,Curr!$B$2:$C$13,2,FALSE),0)</f>
        <v>11.2</v>
      </c>
      <c r="AC45" s="12">
        <f t="shared" si="5"/>
        <v>0</v>
      </c>
      <c r="AD45" s="12">
        <f t="shared" si="6"/>
        <v>0</v>
      </c>
      <c r="AE45" s="13">
        <f t="shared" si="7"/>
        <v>0</v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/>
      <c r="R46" s="25"/>
      <c r="S46" s="12">
        <f t="shared" ref="S46:S56" si="9">+Q46*R46</f>
        <v>0</v>
      </c>
      <c r="T46" s="5">
        <v>0</v>
      </c>
      <c r="U46" s="12">
        <f t="shared" ref="U46:U56" si="10">S46*(1-T46)</f>
        <v>0</v>
      </c>
      <c r="V46" s="25" t="s">
        <v>10</v>
      </c>
      <c r="W46" s="11">
        <f>IFERROR(VLOOKUP(V46,[1]Curr!$B$2:$C$13,2,FALSE),0)</f>
        <v>11.3</v>
      </c>
      <c r="X46" s="12">
        <f t="shared" ref="X46:X56" si="11">U46*W46</f>
        <v>0</v>
      </c>
      <c r="Y46" s="26">
        <f t="shared" ref="Y46:Y56" si="12">Q46</f>
        <v>0</v>
      </c>
      <c r="Z46" s="12">
        <f t="shared" si="4"/>
        <v>0</v>
      </c>
      <c r="AA46" s="4" t="s">
        <v>10</v>
      </c>
      <c r="AB46" s="11">
        <f>IFERROR(VLOOKUP(AA46,Curr!$B$2:$C$13,2,FALSE),0)</f>
        <v>11.2</v>
      </c>
      <c r="AC46" s="12">
        <f t="shared" si="5"/>
        <v>0</v>
      </c>
      <c r="AD46" s="12">
        <f t="shared" si="6"/>
        <v>0</v>
      </c>
      <c r="AE46" s="13">
        <f t="shared" si="7"/>
        <v>0</v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9"/>
      <c r="Q47" s="25"/>
      <c r="R47" s="25"/>
      <c r="S47" s="12">
        <f t="shared" si="9"/>
        <v>0</v>
      </c>
      <c r="T47" s="5">
        <v>0</v>
      </c>
      <c r="U47" s="12">
        <f t="shared" si="10"/>
        <v>0</v>
      </c>
      <c r="V47" s="25" t="s">
        <v>10</v>
      </c>
      <c r="W47" s="11">
        <f>IFERROR(VLOOKUP(V47,[1]Curr!$B$2:$C$13,2,FALSE),0)</f>
        <v>11.3</v>
      </c>
      <c r="X47" s="12">
        <f t="shared" si="11"/>
        <v>0</v>
      </c>
      <c r="Y47" s="26">
        <f t="shared" si="12"/>
        <v>0</v>
      </c>
      <c r="Z47" s="12">
        <f t="shared" si="4"/>
        <v>0</v>
      </c>
      <c r="AA47" s="4" t="s">
        <v>10</v>
      </c>
      <c r="AB47" s="11">
        <f>IFERROR(VLOOKUP(AA47,Curr!$B$2:$C$13,2,FALSE),0)</f>
        <v>11.2</v>
      </c>
      <c r="AC47" s="12">
        <f t="shared" si="5"/>
        <v>0</v>
      </c>
      <c r="AD47" s="12">
        <f t="shared" si="6"/>
        <v>0</v>
      </c>
      <c r="AE47" s="13">
        <f t="shared" si="7"/>
        <v>0</v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33"/>
      <c r="Q48" s="25"/>
      <c r="R48" s="25"/>
      <c r="S48" s="12">
        <f t="shared" si="9"/>
        <v>0</v>
      </c>
      <c r="T48" s="5">
        <v>0</v>
      </c>
      <c r="U48" s="12">
        <f t="shared" si="10"/>
        <v>0</v>
      </c>
      <c r="V48" s="25" t="s">
        <v>10</v>
      </c>
      <c r="W48" s="11">
        <f>IFERROR(VLOOKUP(V48,[1]Curr!$B$2:$C$13,2,FALSE),0)</f>
        <v>11.3</v>
      </c>
      <c r="X48" s="12">
        <f t="shared" si="11"/>
        <v>0</v>
      </c>
      <c r="Y48" s="26">
        <f t="shared" si="12"/>
        <v>0</v>
      </c>
      <c r="Z48" s="12">
        <f t="shared" si="4"/>
        <v>0</v>
      </c>
      <c r="AA48" s="4" t="s">
        <v>10</v>
      </c>
      <c r="AB48" s="11">
        <f>IFERROR(VLOOKUP(AA48,Curr!$B$2:$C$13,2,FALSE),0)</f>
        <v>11.2</v>
      </c>
      <c r="AC48" s="12">
        <f t="shared" si="5"/>
        <v>0</v>
      </c>
      <c r="AD48" s="12">
        <f t="shared" si="6"/>
        <v>0</v>
      </c>
      <c r="AE48" s="13">
        <f t="shared" si="7"/>
        <v>0</v>
      </c>
    </row>
    <row r="49" spans="2:36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33"/>
      <c r="Q49" s="25"/>
      <c r="R49" s="25"/>
      <c r="S49" s="12">
        <f t="shared" si="9"/>
        <v>0</v>
      </c>
      <c r="T49" s="5">
        <v>0</v>
      </c>
      <c r="U49" s="12">
        <f t="shared" si="10"/>
        <v>0</v>
      </c>
      <c r="V49" s="25" t="s">
        <v>10</v>
      </c>
      <c r="W49" s="11">
        <f>IFERROR(VLOOKUP(V49,[1]Curr!$B$2:$C$13,2,FALSE),0)</f>
        <v>11.3</v>
      </c>
      <c r="X49" s="12">
        <f t="shared" si="11"/>
        <v>0</v>
      </c>
      <c r="Y49" s="26">
        <f t="shared" si="12"/>
        <v>0</v>
      </c>
      <c r="Z49" s="12">
        <f t="shared" si="4"/>
        <v>0</v>
      </c>
      <c r="AA49" s="4" t="s">
        <v>10</v>
      </c>
      <c r="AB49" s="11">
        <f>IFERROR(VLOOKUP(AA49,Curr!$B$2:$C$13,2,FALSE),0)</f>
        <v>11.2</v>
      </c>
      <c r="AC49" s="12">
        <f t="shared" si="5"/>
        <v>0</v>
      </c>
      <c r="AD49" s="12">
        <f t="shared" si="6"/>
        <v>0</v>
      </c>
      <c r="AE49" s="13">
        <f t="shared" si="7"/>
        <v>0</v>
      </c>
    </row>
    <row r="50" spans="2:36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/>
      <c r="R50" s="25"/>
      <c r="S50" s="12">
        <f t="shared" si="9"/>
        <v>0</v>
      </c>
      <c r="T50" s="5">
        <v>0</v>
      </c>
      <c r="U50" s="12">
        <f t="shared" si="10"/>
        <v>0</v>
      </c>
      <c r="V50" s="25" t="s">
        <v>10</v>
      </c>
      <c r="W50" s="11">
        <f>IFERROR(VLOOKUP(V50,[1]Curr!$B$2:$C$13,2,FALSE),0)</f>
        <v>11.3</v>
      </c>
      <c r="X50" s="12">
        <f t="shared" si="11"/>
        <v>0</v>
      </c>
      <c r="Y50" s="26">
        <f t="shared" si="12"/>
        <v>0</v>
      </c>
      <c r="Z50" s="12">
        <f t="shared" si="4"/>
        <v>0</v>
      </c>
      <c r="AA50" s="4" t="s">
        <v>10</v>
      </c>
      <c r="AB50" s="11">
        <f>IFERROR(VLOOKUP(AA50,Curr!$B$2:$C$13,2,FALSE),0)</f>
        <v>11.2</v>
      </c>
      <c r="AC50" s="12">
        <f t="shared" si="5"/>
        <v>0</v>
      </c>
      <c r="AD50" s="12">
        <f t="shared" si="6"/>
        <v>0</v>
      </c>
      <c r="AE50" s="13">
        <f t="shared" si="7"/>
        <v>0</v>
      </c>
    </row>
    <row r="51" spans="2:36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/>
      <c r="R51" s="25"/>
      <c r="S51" s="12">
        <f t="shared" si="9"/>
        <v>0</v>
      </c>
      <c r="T51" s="5">
        <v>0</v>
      </c>
      <c r="U51" s="12">
        <f t="shared" si="10"/>
        <v>0</v>
      </c>
      <c r="V51" s="25" t="s">
        <v>10</v>
      </c>
      <c r="W51" s="11">
        <f>IFERROR(VLOOKUP(V51,[1]Curr!$B$2:$C$13,2,FALSE),0)</f>
        <v>11.3</v>
      </c>
      <c r="X51" s="12">
        <f t="shared" si="11"/>
        <v>0</v>
      </c>
      <c r="Y51" s="26">
        <f t="shared" si="12"/>
        <v>0</v>
      </c>
      <c r="Z51" s="12">
        <f t="shared" si="4"/>
        <v>0</v>
      </c>
      <c r="AA51" s="4" t="s">
        <v>10</v>
      </c>
      <c r="AB51" s="11">
        <f>IFERROR(VLOOKUP(AA51,Curr!$B$2:$C$13,2,FALSE),0)</f>
        <v>11.2</v>
      </c>
      <c r="AC51" s="12">
        <f t="shared" si="5"/>
        <v>0</v>
      </c>
      <c r="AD51" s="12">
        <f t="shared" si="6"/>
        <v>0</v>
      </c>
      <c r="AE51" s="13">
        <f t="shared" si="7"/>
        <v>0</v>
      </c>
    </row>
    <row r="52" spans="2:36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/>
      <c r="R52" s="25"/>
      <c r="S52" s="12">
        <f t="shared" si="9"/>
        <v>0</v>
      </c>
      <c r="T52" s="5">
        <v>0</v>
      </c>
      <c r="U52" s="12">
        <f t="shared" si="10"/>
        <v>0</v>
      </c>
      <c r="V52" s="25" t="s">
        <v>10</v>
      </c>
      <c r="W52" s="11">
        <f>IFERROR(VLOOKUP(V52,[1]Curr!$B$2:$C$13,2,FALSE),0)</f>
        <v>11.3</v>
      </c>
      <c r="X52" s="12">
        <f t="shared" si="11"/>
        <v>0</v>
      </c>
      <c r="Y52" s="26">
        <f t="shared" si="12"/>
        <v>0</v>
      </c>
      <c r="Z52" s="12">
        <f t="shared" si="4"/>
        <v>0</v>
      </c>
      <c r="AA52" s="4" t="s">
        <v>10</v>
      </c>
      <c r="AB52" s="11">
        <f>IFERROR(VLOOKUP(AA52,Curr!$B$2:$C$13,2,FALSE),0)</f>
        <v>11.2</v>
      </c>
      <c r="AC52" s="12">
        <f t="shared" si="5"/>
        <v>0</v>
      </c>
      <c r="AD52" s="12">
        <f t="shared" si="6"/>
        <v>0</v>
      </c>
      <c r="AE52" s="13">
        <f t="shared" si="7"/>
        <v>0</v>
      </c>
    </row>
    <row r="53" spans="2:36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33"/>
      <c r="Q53" s="25"/>
      <c r="R53" s="25"/>
      <c r="S53" s="12">
        <f t="shared" si="9"/>
        <v>0</v>
      </c>
      <c r="T53" s="5">
        <v>0</v>
      </c>
      <c r="U53" s="12">
        <f t="shared" si="10"/>
        <v>0</v>
      </c>
      <c r="V53" s="25" t="s">
        <v>10</v>
      </c>
      <c r="W53" s="11">
        <f>IFERROR(VLOOKUP(V53,[1]Curr!$B$2:$C$13,2,FALSE),0)</f>
        <v>11.3</v>
      </c>
      <c r="X53" s="12">
        <f t="shared" si="11"/>
        <v>0</v>
      </c>
      <c r="Y53" s="26">
        <f t="shared" si="12"/>
        <v>0</v>
      </c>
      <c r="Z53" s="12">
        <f t="shared" si="4"/>
        <v>0</v>
      </c>
      <c r="AA53" s="4" t="s">
        <v>10</v>
      </c>
      <c r="AB53" s="11">
        <f>IFERROR(VLOOKUP(AA53,Curr!$B$2:$C$13,2,FALSE),0)</f>
        <v>11.2</v>
      </c>
      <c r="AC53" s="12">
        <f t="shared" si="5"/>
        <v>0</v>
      </c>
      <c r="AD53" s="12">
        <f t="shared" si="6"/>
        <v>0</v>
      </c>
      <c r="AE53" s="13">
        <f t="shared" si="7"/>
        <v>0</v>
      </c>
    </row>
    <row r="54" spans="2:36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/>
      <c r="R54" s="25"/>
      <c r="S54" s="12">
        <f t="shared" si="9"/>
        <v>0</v>
      </c>
      <c r="T54" s="5">
        <v>0</v>
      </c>
      <c r="U54" s="12">
        <f t="shared" si="10"/>
        <v>0</v>
      </c>
      <c r="V54" s="25" t="s">
        <v>10</v>
      </c>
      <c r="W54" s="11">
        <f>IFERROR(VLOOKUP(V54,[1]Curr!$B$2:$C$13,2,FALSE),0)</f>
        <v>11.3</v>
      </c>
      <c r="X54" s="12">
        <f t="shared" si="11"/>
        <v>0</v>
      </c>
      <c r="Y54" s="26">
        <f t="shared" si="12"/>
        <v>0</v>
      </c>
      <c r="Z54" s="12">
        <f t="shared" si="4"/>
        <v>0</v>
      </c>
      <c r="AA54" s="4" t="s">
        <v>10</v>
      </c>
      <c r="AB54" s="11">
        <f>IFERROR(VLOOKUP(AA54,Curr!$B$2:$C$13,2,FALSE),0)</f>
        <v>11.2</v>
      </c>
      <c r="AC54" s="12">
        <f t="shared" si="5"/>
        <v>0</v>
      </c>
      <c r="AD54" s="12">
        <f t="shared" si="6"/>
        <v>0</v>
      </c>
      <c r="AE54" s="13">
        <f t="shared" si="7"/>
        <v>0</v>
      </c>
    </row>
    <row r="55" spans="2:36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/>
      <c r="R55" s="25"/>
      <c r="S55" s="12">
        <f t="shared" si="9"/>
        <v>0</v>
      </c>
      <c r="T55" s="5">
        <v>0</v>
      </c>
      <c r="U55" s="12">
        <f t="shared" si="10"/>
        <v>0</v>
      </c>
      <c r="V55" s="25" t="s">
        <v>10</v>
      </c>
      <c r="W55" s="11">
        <f>IFERROR(VLOOKUP(V55,[1]Curr!$B$2:$C$13,2,FALSE),0)</f>
        <v>11.3</v>
      </c>
      <c r="X55" s="12">
        <f t="shared" si="11"/>
        <v>0</v>
      </c>
      <c r="Y55" s="26">
        <f t="shared" si="12"/>
        <v>0</v>
      </c>
      <c r="Z55" s="12">
        <f t="shared" si="4"/>
        <v>0</v>
      </c>
      <c r="AA55" s="4" t="s">
        <v>10</v>
      </c>
      <c r="AB55" s="11">
        <f>IFERROR(VLOOKUP(AA55,Curr!$B$2:$C$13,2,FALSE),0)</f>
        <v>11.2</v>
      </c>
      <c r="AC55" s="12">
        <f t="shared" si="5"/>
        <v>0</v>
      </c>
      <c r="AD55" s="12">
        <f t="shared" si="6"/>
        <v>0</v>
      </c>
      <c r="AE55" s="13">
        <f t="shared" si="7"/>
        <v>0</v>
      </c>
    </row>
    <row r="56" spans="2:36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/>
      <c r="R56" s="25"/>
      <c r="S56" s="12">
        <f t="shared" si="9"/>
        <v>0</v>
      </c>
      <c r="T56" s="5">
        <v>0</v>
      </c>
      <c r="U56" s="12">
        <f t="shared" si="10"/>
        <v>0</v>
      </c>
      <c r="V56" s="25" t="s">
        <v>10</v>
      </c>
      <c r="W56" s="11">
        <f>IFERROR(VLOOKUP(V56,[1]Curr!$B$2:$C$13,2,FALSE),0)</f>
        <v>11.3</v>
      </c>
      <c r="X56" s="12">
        <f t="shared" si="11"/>
        <v>0</v>
      </c>
      <c r="Y56" s="26">
        <f t="shared" si="12"/>
        <v>0</v>
      </c>
      <c r="Z56" s="12">
        <f t="shared" si="4"/>
        <v>0</v>
      </c>
      <c r="AA56" s="4" t="s">
        <v>10</v>
      </c>
      <c r="AB56" s="11">
        <f>IFERROR(VLOOKUP(AA56,Curr!$B$2:$C$13,2,FALSE),0)</f>
        <v>11.2</v>
      </c>
      <c r="AC56" s="12">
        <f t="shared" si="5"/>
        <v>0</v>
      </c>
      <c r="AD56" s="12">
        <f t="shared" si="6"/>
        <v>0</v>
      </c>
      <c r="AE56" s="13">
        <f t="shared" si="7"/>
        <v>0</v>
      </c>
    </row>
    <row r="57" spans="2:36" x14ac:dyDescent="0.25">
      <c r="B57" s="4"/>
      <c r="E57" s="3"/>
      <c r="F57" s="3"/>
      <c r="G57" s="3"/>
      <c r="H57" s="3"/>
      <c r="L57" s="4"/>
      <c r="M57" s="4"/>
      <c r="N57" s="4"/>
      <c r="O57" s="4"/>
      <c r="P57" s="22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6" x14ac:dyDescent="0.25">
      <c r="B58" s="14" t="s">
        <v>18</v>
      </c>
      <c r="C58" s="14"/>
      <c r="D58" s="28" t="s">
        <v>42</v>
      </c>
      <c r="E58" s="30" t="s">
        <v>42</v>
      </c>
      <c r="F58" s="30" t="s">
        <v>42</v>
      </c>
      <c r="G58" s="30" t="s">
        <v>42</v>
      </c>
      <c r="H58" s="30" t="s">
        <v>42</v>
      </c>
      <c r="I58" s="28" t="s">
        <v>42</v>
      </c>
      <c r="J58" s="28" t="s">
        <v>42</v>
      </c>
      <c r="K58" s="28" t="s">
        <v>42</v>
      </c>
      <c r="L58" s="28" t="s">
        <v>42</v>
      </c>
      <c r="M58" s="28" t="s">
        <v>42</v>
      </c>
      <c r="N58" s="28" t="s">
        <v>42</v>
      </c>
      <c r="O58" s="28" t="s">
        <v>42</v>
      </c>
      <c r="P58" s="28" t="s">
        <v>42</v>
      </c>
      <c r="Q58" s="31" t="s">
        <v>42</v>
      </c>
      <c r="R58" s="28" t="s">
        <v>42</v>
      </c>
      <c r="S58" s="32" t="s">
        <v>42</v>
      </c>
      <c r="T58" s="28" t="s">
        <v>42</v>
      </c>
      <c r="U58" s="32" t="s">
        <v>42</v>
      </c>
      <c r="V58" s="28" t="s">
        <v>42</v>
      </c>
      <c r="W58" s="28" t="s">
        <v>42</v>
      </c>
      <c r="X58" s="32" t="s">
        <v>42</v>
      </c>
      <c r="Y58" s="32" t="s">
        <v>42</v>
      </c>
      <c r="Z58" s="15">
        <f>SUM(Z7:Z56)</f>
        <v>1859.6666666666667</v>
      </c>
      <c r="AA58" s="14"/>
      <c r="AB58" s="14"/>
      <c r="AC58" s="15">
        <f>SUM(AC7:AC56)</f>
        <v>20828.266666666663</v>
      </c>
      <c r="AD58" s="15">
        <f>SUM(AD7:AD56)</f>
        <v>3896.3466666666664</v>
      </c>
      <c r="AE58" s="21">
        <f t="shared" ref="AE58" si="13">IFERROR(AD58/AC58,0)</f>
        <v>0.18707013545694315</v>
      </c>
      <c r="AF58" s="15">
        <f>SUM(AF8:AF57)</f>
        <v>0</v>
      </c>
      <c r="AG58" s="15">
        <f>SUM(AG8:AG57)</f>
        <v>0</v>
      </c>
      <c r="AH58" s="15">
        <f>SUM(AH8:AH57)</f>
        <v>0</v>
      </c>
      <c r="AI58" s="15">
        <f>SUM(AI8:AI57)</f>
        <v>0</v>
      </c>
      <c r="AJ58" s="15">
        <f>SUM(AJ8:AJ57)</f>
        <v>0</v>
      </c>
    </row>
    <row r="59" spans="2:36" x14ac:dyDescent="0.25">
      <c r="B59" s="4"/>
      <c r="E59" s="3"/>
      <c r="F59" s="3"/>
      <c r="G59" s="3"/>
      <c r="H59" s="3"/>
      <c r="L59" s="4"/>
      <c r="M59" s="4"/>
      <c r="N59" s="4"/>
      <c r="O59" s="4"/>
      <c r="Q59" s="4"/>
      <c r="R59" s="4"/>
      <c r="S59" s="4"/>
      <c r="T59" s="4"/>
      <c r="U59" s="4"/>
      <c r="V59" s="4"/>
      <c r="W59" s="4"/>
      <c r="X59" s="4"/>
      <c r="Y59" s="9"/>
      <c r="Z59" s="9"/>
      <c r="AA59" s="9"/>
      <c r="AB59" s="9"/>
      <c r="AC59" s="9"/>
      <c r="AD59" s="9"/>
      <c r="AE59" s="9"/>
    </row>
    <row r="60" spans="2:36" x14ac:dyDescent="0.25">
      <c r="B60" s="4"/>
      <c r="E60" s="3"/>
      <c r="F60" s="3"/>
      <c r="G60" s="3"/>
      <c r="H60" s="3"/>
      <c r="L60" s="4"/>
      <c r="M60" s="4"/>
      <c r="N60" s="4"/>
      <c r="O60" s="4"/>
      <c r="Q60" s="9"/>
      <c r="R60" s="9"/>
      <c r="S60" s="9"/>
      <c r="T60" s="9"/>
      <c r="U60" s="9"/>
      <c r="V60" s="9"/>
      <c r="W60" s="9"/>
      <c r="X60" s="23"/>
      <c r="Y60" s="34" t="s">
        <v>103</v>
      </c>
      <c r="Z60" s="34">
        <v>1890</v>
      </c>
      <c r="AA60" s="9"/>
      <c r="AB60" s="9"/>
      <c r="AC60" s="9"/>
      <c r="AD60" s="9"/>
      <c r="AE60" s="9"/>
    </row>
    <row r="61" spans="2:36" x14ac:dyDescent="0.25">
      <c r="B61" s="4"/>
      <c r="E61" s="3"/>
      <c r="F61" s="3"/>
      <c r="G61" s="3"/>
      <c r="H61" s="3"/>
      <c r="L61" s="4"/>
      <c r="M61" s="4"/>
      <c r="N61" s="4"/>
      <c r="O61" s="4"/>
      <c r="Q61" s="9"/>
      <c r="R61" s="9"/>
      <c r="S61" s="9"/>
      <c r="T61" s="9"/>
      <c r="U61" s="9"/>
      <c r="V61" s="9"/>
      <c r="W61" s="9"/>
      <c r="X61" s="9"/>
      <c r="Y61" s="35" t="s">
        <v>104</v>
      </c>
      <c r="Z61" s="34">
        <f>Y9+Y14+Y17+Y25</f>
        <v>290</v>
      </c>
      <c r="AA61" s="9"/>
      <c r="AB61" s="9"/>
      <c r="AC61" s="9"/>
      <c r="AD61" s="9"/>
      <c r="AE61" s="9"/>
      <c r="AF61" s="18"/>
    </row>
    <row r="62" spans="2:36" x14ac:dyDescent="0.25">
      <c r="B62" s="4"/>
      <c r="E62" s="3"/>
      <c r="F62" s="3"/>
      <c r="G62" s="3"/>
      <c r="H62" s="3"/>
      <c r="I62" s="19"/>
      <c r="L62" s="4"/>
      <c r="M62" s="4"/>
      <c r="N62" s="4"/>
      <c r="O62" s="20"/>
      <c r="Q62" s="20"/>
      <c r="R62" s="20"/>
      <c r="S62" s="20"/>
      <c r="T62" s="20"/>
      <c r="U62" s="20"/>
      <c r="V62" s="20"/>
      <c r="W62" s="20"/>
      <c r="X62" s="20"/>
      <c r="Y62" s="34" t="s">
        <v>105</v>
      </c>
      <c r="Z62" s="34">
        <v>3860</v>
      </c>
      <c r="AA62" s="9"/>
      <c r="AB62" s="9"/>
      <c r="AC62" s="9"/>
      <c r="AD62" s="9"/>
      <c r="AE62" s="9"/>
      <c r="AF62" s="18"/>
    </row>
    <row r="63" spans="2:36" x14ac:dyDescent="0.25">
      <c r="B63" s="4"/>
      <c r="E63" s="3"/>
      <c r="F63" s="3"/>
      <c r="G63" s="3"/>
      <c r="H63" s="3"/>
      <c r="L63" s="4"/>
      <c r="M63" s="4"/>
      <c r="N63" s="4"/>
      <c r="O63" s="20"/>
      <c r="Q63" s="20"/>
      <c r="R63" s="20"/>
      <c r="S63" s="20"/>
      <c r="T63" s="20"/>
      <c r="U63" s="20"/>
      <c r="V63" s="20"/>
      <c r="W63" s="20"/>
      <c r="X63" s="20"/>
      <c r="Y63" s="34" t="s">
        <v>43</v>
      </c>
      <c r="Z63" s="34">
        <f>Z62/2</f>
        <v>1930</v>
      </c>
      <c r="AA63" s="9"/>
      <c r="AB63" s="9"/>
      <c r="AC63" s="9"/>
      <c r="AD63" s="9"/>
      <c r="AE63" s="9"/>
      <c r="AF63" s="18"/>
    </row>
    <row r="64" spans="2:36" x14ac:dyDescent="0.25">
      <c r="B64" s="4"/>
      <c r="E64" s="3"/>
      <c r="F64" s="3"/>
      <c r="G64" s="3"/>
      <c r="H64" s="3"/>
      <c r="L64" s="4"/>
      <c r="M64" s="4"/>
      <c r="N64" s="4"/>
      <c r="O64" s="4"/>
      <c r="Q64" s="9"/>
      <c r="R64" s="9"/>
      <c r="S64" s="9"/>
      <c r="T64" s="9"/>
      <c r="U64" s="9"/>
      <c r="V64" s="9"/>
      <c r="W64" s="9"/>
      <c r="X64" s="9"/>
      <c r="Y64" s="1"/>
      <c r="Z64" s="1"/>
      <c r="AA64" s="9"/>
      <c r="AB64" s="9"/>
      <c r="AC64" s="9"/>
      <c r="AD64" s="9"/>
      <c r="AE64" s="9"/>
      <c r="AF64" s="18"/>
    </row>
    <row r="65" spans="6:31" x14ac:dyDescent="0.25">
      <c r="F65" s="1"/>
      <c r="G65" s="1"/>
      <c r="H65" s="1"/>
      <c r="J65" s="1" t="s">
        <v>32</v>
      </c>
      <c r="Q65" s="9"/>
      <c r="R65" s="4"/>
      <c r="S65" s="9"/>
      <c r="T65" s="5"/>
      <c r="U65" s="9"/>
      <c r="V65" s="4"/>
      <c r="W65" s="4"/>
      <c r="X65" s="9"/>
      <c r="Y65" s="9" t="s">
        <v>44</v>
      </c>
      <c r="Z65" s="9">
        <f>Z62-Z66</f>
        <v>1840</v>
      </c>
      <c r="AA65" s="9"/>
      <c r="AB65" s="9"/>
      <c r="AC65" s="9"/>
      <c r="AD65" s="9"/>
      <c r="AE65" s="9"/>
    </row>
    <row r="66" spans="6:31" x14ac:dyDescent="0.25">
      <c r="R66" s="4"/>
      <c r="S66" s="17"/>
      <c r="T66" s="17"/>
      <c r="U66" s="9"/>
      <c r="V66" s="4"/>
      <c r="W66" s="4"/>
      <c r="X66" s="9"/>
      <c r="Y66" s="9" t="s">
        <v>45</v>
      </c>
      <c r="Z66" s="9">
        <v>2020</v>
      </c>
      <c r="AA66" s="9"/>
      <c r="AB66" s="9"/>
      <c r="AC66" s="9"/>
      <c r="AD66" s="9"/>
      <c r="AE66" s="9"/>
    </row>
    <row r="67" spans="6:31" x14ac:dyDescent="0.25">
      <c r="Q67" s="9"/>
      <c r="R67" s="4"/>
      <c r="S67" s="16"/>
      <c r="T67" s="16"/>
      <c r="U67" s="9"/>
      <c r="V67" s="4"/>
      <c r="W67" s="4"/>
      <c r="X67" s="9"/>
      <c r="Y67" s="9"/>
      <c r="Z67" s="9"/>
      <c r="AA67" s="9"/>
      <c r="AB67" s="9"/>
      <c r="AC67" s="9"/>
      <c r="AD67" s="9"/>
      <c r="AE67" s="9"/>
    </row>
    <row r="68" spans="6:31" x14ac:dyDescent="0.25">
      <c r="R68" s="4"/>
      <c r="S68" s="16"/>
      <c r="T68" s="16"/>
      <c r="Y68" s="9" t="s">
        <v>46</v>
      </c>
      <c r="Z68" s="9">
        <v>2020</v>
      </c>
      <c r="AA68" s="9"/>
      <c r="AB68" s="9"/>
      <c r="AC68" s="9"/>
      <c r="AD68" s="9"/>
      <c r="AE68" s="9"/>
    </row>
    <row r="69" spans="6:31" x14ac:dyDescent="0.25">
      <c r="T69" s="5"/>
      <c r="Y69" s="9" t="s">
        <v>47</v>
      </c>
      <c r="Z69" s="9">
        <f>Z62-Z68</f>
        <v>1840</v>
      </c>
      <c r="AA69" s="9"/>
      <c r="AB69" s="9"/>
      <c r="AC69" s="9"/>
      <c r="AD69" s="9"/>
      <c r="AE69" s="9"/>
    </row>
    <row r="70" spans="6:31" x14ac:dyDescent="0.25">
      <c r="T70" s="5"/>
      <c r="Y70" s="9"/>
      <c r="Z70" s="9"/>
      <c r="AA70" s="9"/>
      <c r="AB70" s="9"/>
      <c r="AC70" s="9"/>
      <c r="AD70" s="9"/>
      <c r="AE70" s="9"/>
    </row>
    <row r="71" spans="6:31" x14ac:dyDescent="0.25">
      <c r="T71" s="5"/>
      <c r="Y71" s="9"/>
      <c r="Z71" s="9"/>
      <c r="AA71" s="9"/>
      <c r="AB71" s="9"/>
      <c r="AC71" s="9"/>
      <c r="AD71" s="9"/>
      <c r="AE71" s="9"/>
    </row>
    <row r="72" spans="6:31" x14ac:dyDescent="0.25">
      <c r="T72" s="5"/>
      <c r="Y72" s="43" t="s">
        <v>236</v>
      </c>
      <c r="Z72" s="1">
        <v>3640</v>
      </c>
      <c r="AA72" s="9"/>
      <c r="AB72" s="9"/>
      <c r="AC72" s="9"/>
      <c r="AD72" s="9"/>
      <c r="AE72" s="9"/>
    </row>
    <row r="73" spans="6:31" x14ac:dyDescent="0.25">
      <c r="T73" s="5"/>
      <c r="Y73" s="44" t="s">
        <v>237</v>
      </c>
      <c r="Z73" s="9">
        <f>Z72*1.15</f>
        <v>4186</v>
      </c>
      <c r="AA73" s="9"/>
      <c r="AB73" s="9"/>
      <c r="AC73" s="9"/>
      <c r="AD73" s="9"/>
      <c r="AE73" s="9"/>
    </row>
    <row r="74" spans="6:31" x14ac:dyDescent="0.25">
      <c r="T74" s="5"/>
      <c r="Y74" s="44" t="s">
        <v>238</v>
      </c>
      <c r="Z74" s="9">
        <f>Z72*1.2</f>
        <v>4368</v>
      </c>
      <c r="AA74" s="9"/>
      <c r="AB74" s="9"/>
      <c r="AC74" s="9"/>
      <c r="AD74" s="9"/>
      <c r="AE74" s="9"/>
    </row>
    <row r="75" spans="6:31" x14ac:dyDescent="0.25">
      <c r="T75" s="5"/>
      <c r="Y75" s="44" t="s">
        <v>239</v>
      </c>
      <c r="Z75" s="9">
        <f>Z72*0.84</f>
        <v>3057.6</v>
      </c>
      <c r="AA75" s="9"/>
      <c r="AB75" s="9"/>
      <c r="AC75" s="9"/>
      <c r="AD75" s="9"/>
      <c r="AE75" s="9"/>
    </row>
    <row r="76" spans="6:31" x14ac:dyDescent="0.25">
      <c r="T76" s="5"/>
      <c r="Y76" s="9"/>
      <c r="Z76" s="9"/>
      <c r="AA76" s="9"/>
      <c r="AB76" s="9"/>
      <c r="AC76" s="9"/>
      <c r="AD76" s="9"/>
      <c r="AE76" s="9"/>
    </row>
    <row r="77" spans="6:31" x14ac:dyDescent="0.25">
      <c r="T77" s="5"/>
    </row>
    <row r="78" spans="6:31" x14ac:dyDescent="0.25">
      <c r="T78" s="5"/>
    </row>
    <row r="79" spans="6:31" x14ac:dyDescent="0.25">
      <c r="T79" s="5"/>
    </row>
    <row r="80" spans="6:31" x14ac:dyDescent="0.25">
      <c r="T80" s="5"/>
    </row>
    <row r="81" spans="20:20" x14ac:dyDescent="0.25">
      <c r="T81" s="5"/>
    </row>
  </sheetData>
  <autoFilter ref="B6:AE58" xr:uid="{65FA6D9B-E0AF-46CD-BA0D-86BB75FE6AB0}"/>
  <hyperlinks>
    <hyperlink ref="P25" r:id="rId1" location="breadcrumb" xr:uid="{36ABF10C-49D7-4EA0-98D0-13FA60F2834E}"/>
    <hyperlink ref="P34" r:id="rId2" location="breadcrumb" xr:uid="{84946149-3651-4A6B-BCE2-23CACBAC5CE7}"/>
    <hyperlink ref="P40" r:id="rId3" xr:uid="{C53A3D83-CA15-483A-8C2A-9052E360BA0C}"/>
    <hyperlink ref="P12" r:id="rId4" xr:uid="{57084460-E318-4E1B-AC60-9D9EE8A3FB8B}"/>
    <hyperlink ref="P16" r:id="rId5" display="https://www.vr.fi/en/single-ticket-outbound-journey-details?ref=header&amp;from=HKI&amp;to=OL&amp;passengers[0][key]=bee300e7-26be-456d-bd16-24b527ed4222&amp;passengers[0][type]=ADULT&amp;passengers[1][key]=733f0973-90a7-438d-9d3d-5b8fc13d8d54&amp;passengers[1][type]=ADULT&amp;outboundDate=2025-12-25&amp;saleId=d09c336e-1b59-4988-82d1-f95512719c11" xr:uid="{7B16DD89-A869-4094-91FC-A21E8CED5559}"/>
    <hyperlink ref="P9" r:id="rId6" display="https://app.hotelbeds.com/hotels/search?productType=HOTEL&amp;destinationTab=Helsinki&amp;destination=HEL&amp;check_in=24-12-2025&amp;check_out=26-12-2025&amp;occupancy=2~0&amp;packaging=true&amp;createdTime=2025-11-11T09:45:35.831Z&amp;BOARD_GROUP=HD,HD2,MP,MP1&amp;CANCELLATION_FEE=NO_FEES_UNTIL&amp;results=20&amp;sortBy=DEFAULT&amp;field=RANKING&amp;direction=ASCENDING&amp;idAvailability=6bb1a663-0e7b-426c-a2d6-80b942a471b4" xr:uid="{8D2D38C9-2C75-4EFB-9791-0EED98F68448}"/>
    <hyperlink ref="P36" r:id="rId7" xr:uid="{3EE33418-2DE5-4BFC-A5DE-ADC3F369F92B}"/>
    <hyperlink ref="P21" r:id="rId8" xr:uid="{A8587A0B-5B0E-482C-BD56-FDCDE52DDA78}"/>
  </hyperlinks>
  <pageMargins left="0.7" right="0.7" top="0.75" bottom="0.75" header="0.3" footer="0.3"/>
  <pageSetup paperSize="9" orientation="portrait" r:id="rId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54F7-CFC2-462A-A962-1F17C0CFF1BD}">
  <sheetPr>
    <tabColor rgb="FFFFFF00"/>
  </sheetPr>
  <dimension ref="B2:AK54"/>
  <sheetViews>
    <sheetView zoomScale="85" zoomScaleNormal="85" workbookViewId="0">
      <selection activeCell="J15" sqref="J15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241</v>
      </c>
    </row>
    <row r="3" spans="2:36" x14ac:dyDescent="0.25">
      <c r="B3" s="2" t="s">
        <v>48</v>
      </c>
    </row>
    <row r="4" spans="2:36" x14ac:dyDescent="0.25">
      <c r="B4" s="2" t="s">
        <v>49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C7" s="1" t="s">
        <v>54</v>
      </c>
      <c r="D7" s="1" t="s">
        <v>55</v>
      </c>
      <c r="E7" s="3"/>
      <c r="F7" s="3"/>
      <c r="G7" s="3"/>
      <c r="H7" s="3"/>
      <c r="J7" s="1" t="s">
        <v>51</v>
      </c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 t="shared" ref="S7:S29" si="0">+Q7*R7</f>
        <v>0</v>
      </c>
      <c r="T7" s="5">
        <v>0</v>
      </c>
      <c r="U7" s="12">
        <f>S7*(1-T7)</f>
        <v>0</v>
      </c>
      <c r="V7" s="25" t="s">
        <v>10</v>
      </c>
      <c r="W7" s="11">
        <f>IFERROR(VLOOKUP(V7,Curr!$B$2:$C$13,2,FALSE),0)</f>
        <v>11.2</v>
      </c>
      <c r="X7" s="12">
        <f t="shared" ref="X7:X29" si="1">U7*W7</f>
        <v>0</v>
      </c>
      <c r="Y7" s="26">
        <f>Q7</f>
        <v>0</v>
      </c>
      <c r="Z7" s="12">
        <f t="shared" ref="Z7:Z29" si="2">+Y7*R7</f>
        <v>0</v>
      </c>
      <c r="AA7" s="4" t="s">
        <v>10</v>
      </c>
      <c r="AB7" s="11">
        <f>IFERROR(VLOOKUP(AA7,Curr!$B$2:$C$13,2,FALSE),0)</f>
        <v>11.2</v>
      </c>
      <c r="AC7" s="12">
        <f t="shared" ref="AC7:AC29" si="3">+Y7*AB7*R7</f>
        <v>0</v>
      </c>
      <c r="AD7" s="12">
        <f t="shared" ref="AD7:AD29" si="4">+AC7-X7</f>
        <v>0</v>
      </c>
      <c r="AE7" s="13">
        <f t="shared" ref="AE7:AE29" si="5">IFERROR(AD7/AC7,0)</f>
        <v>0</v>
      </c>
    </row>
    <row r="8" spans="2:36" x14ac:dyDescent="0.25">
      <c r="B8" s="4"/>
      <c r="C8" s="1" t="s">
        <v>54</v>
      </c>
      <c r="D8" s="1" t="s">
        <v>56</v>
      </c>
      <c r="E8" s="3"/>
      <c r="F8" s="3"/>
      <c r="G8" s="24"/>
      <c r="H8" s="24"/>
      <c r="J8" s="1" t="s">
        <v>90</v>
      </c>
      <c r="K8" s="4"/>
      <c r="L8" s="4"/>
      <c r="M8" s="4"/>
      <c r="N8" s="4"/>
      <c r="O8" s="4"/>
      <c r="P8" s="27"/>
      <c r="Q8" s="25">
        <v>80</v>
      </c>
      <c r="R8" s="25">
        <v>1</v>
      </c>
      <c r="S8" s="12">
        <f t="shared" ref="S8" si="6">+Q8*R8</f>
        <v>80</v>
      </c>
      <c r="T8" s="5">
        <v>0</v>
      </c>
      <c r="U8" s="12">
        <f t="shared" ref="U8" si="7">S8*(1-T8)</f>
        <v>80</v>
      </c>
      <c r="V8" s="25" t="s">
        <v>10</v>
      </c>
      <c r="W8" s="11">
        <f>IFERROR(VLOOKUP(V8,Curr!$B$2:$C$13,2,FALSE),0)</f>
        <v>11.2</v>
      </c>
      <c r="X8" s="12">
        <f t="shared" ref="X8" si="8">U8*W8</f>
        <v>896</v>
      </c>
      <c r="Y8" s="26">
        <f>Q8/0.6</f>
        <v>133.33333333333334</v>
      </c>
      <c r="Z8" s="12">
        <f t="shared" si="2"/>
        <v>133.33333333333334</v>
      </c>
      <c r="AA8" s="4" t="s">
        <v>10</v>
      </c>
      <c r="AB8" s="11">
        <f>IFERROR(VLOOKUP(AA8,Curr!$B$2:$C$13,2,FALSE),0)</f>
        <v>11.2</v>
      </c>
      <c r="AC8" s="12">
        <f t="shared" si="3"/>
        <v>1493.3333333333333</v>
      </c>
      <c r="AD8" s="12">
        <f t="shared" si="4"/>
        <v>597.33333333333326</v>
      </c>
      <c r="AE8" s="13">
        <f t="shared" si="5"/>
        <v>0.39999999999999997</v>
      </c>
    </row>
    <row r="9" spans="2:36" x14ac:dyDescent="0.25">
      <c r="B9" s="4"/>
      <c r="C9" s="1" t="s">
        <v>54</v>
      </c>
      <c r="D9" s="1" t="s">
        <v>57</v>
      </c>
      <c r="E9" s="3"/>
      <c r="F9" s="3"/>
      <c r="G9" s="24"/>
      <c r="H9" s="24"/>
      <c r="J9" s="1" t="s">
        <v>245</v>
      </c>
      <c r="K9" s="4"/>
      <c r="L9" s="4"/>
      <c r="M9" s="4"/>
      <c r="N9" s="4"/>
      <c r="O9" s="4"/>
      <c r="P9" s="33"/>
      <c r="Q9" s="25">
        <v>500</v>
      </c>
      <c r="R9" s="25">
        <v>1</v>
      </c>
      <c r="S9" s="12">
        <f t="shared" si="0"/>
        <v>500</v>
      </c>
      <c r="T9" s="5">
        <v>0</v>
      </c>
      <c r="U9" s="12">
        <f t="shared" ref="U9:U29" si="9">S9*(1-T9)</f>
        <v>500</v>
      </c>
      <c r="V9" s="25" t="s">
        <v>10</v>
      </c>
      <c r="W9" s="11">
        <f>IFERROR(VLOOKUP(V9,Curr!$B$2:$C$13,2,FALSE),0)</f>
        <v>11.2</v>
      </c>
      <c r="X9" s="12">
        <f t="shared" si="1"/>
        <v>5600</v>
      </c>
      <c r="Y9" s="26">
        <f>Q9/0.7</f>
        <v>714.28571428571433</v>
      </c>
      <c r="Z9" s="12">
        <f t="shared" si="2"/>
        <v>714.28571428571433</v>
      </c>
      <c r="AA9" s="4" t="s">
        <v>10</v>
      </c>
      <c r="AB9" s="11">
        <f>IFERROR(VLOOKUP(AA9,Curr!$B$2:$C$13,2,FALSE),0)</f>
        <v>11.2</v>
      </c>
      <c r="AC9" s="12">
        <f t="shared" si="3"/>
        <v>8000</v>
      </c>
      <c r="AD9" s="12">
        <f t="shared" si="4"/>
        <v>2400</v>
      </c>
      <c r="AE9" s="13">
        <f t="shared" si="5"/>
        <v>0.3</v>
      </c>
    </row>
    <row r="10" spans="2:36" x14ac:dyDescent="0.25">
      <c r="B10" s="4"/>
      <c r="C10" s="1" t="s">
        <v>54</v>
      </c>
      <c r="D10" s="1" t="s">
        <v>58</v>
      </c>
      <c r="E10" s="3"/>
      <c r="F10" s="3"/>
      <c r="G10" s="24"/>
      <c r="H10" s="24"/>
      <c r="J10" s="1" t="s">
        <v>53</v>
      </c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 t="shared" si="0"/>
        <v>0</v>
      </c>
      <c r="T10" s="5">
        <v>0</v>
      </c>
      <c r="U10" s="12">
        <f t="shared" si="9"/>
        <v>0</v>
      </c>
      <c r="V10" s="25" t="s">
        <v>10</v>
      </c>
      <c r="W10" s="11">
        <f>IFERROR(VLOOKUP(V10,Curr!$B$2:$C$13,2,FALSE),0)</f>
        <v>11.2</v>
      </c>
      <c r="X10" s="12">
        <f t="shared" si="1"/>
        <v>0</v>
      </c>
      <c r="Y10" s="26">
        <f t="shared" ref="Y10:Y29" si="10">Q10</f>
        <v>0</v>
      </c>
      <c r="Z10" s="12">
        <f t="shared" si="2"/>
        <v>0</v>
      </c>
      <c r="AA10" s="4" t="s">
        <v>10</v>
      </c>
      <c r="AB10" s="11">
        <f>IFERROR(VLOOKUP(AA10,Curr!$B$2:$C$13,2,FALSE),0)</f>
        <v>11.2</v>
      </c>
      <c r="AC10" s="12">
        <f t="shared" si="3"/>
        <v>0</v>
      </c>
      <c r="AD10" s="12">
        <f t="shared" si="4"/>
        <v>0</v>
      </c>
      <c r="AE10" s="13">
        <f t="shared" si="5"/>
        <v>0</v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/>
      <c r="R11" s="25"/>
      <c r="S11" s="12">
        <f t="shared" si="0"/>
        <v>0</v>
      </c>
      <c r="T11" s="5">
        <v>0</v>
      </c>
      <c r="U11" s="12">
        <f t="shared" si="9"/>
        <v>0</v>
      </c>
      <c r="V11" s="25" t="s">
        <v>10</v>
      </c>
      <c r="W11" s="11">
        <f>IFERROR(VLOOKUP(V11,Curr!$B$2:$C$13,2,FALSE),0)</f>
        <v>11.2</v>
      </c>
      <c r="X11" s="12">
        <f t="shared" si="1"/>
        <v>0</v>
      </c>
      <c r="Y11" s="26">
        <f t="shared" si="10"/>
        <v>0</v>
      </c>
      <c r="Z11" s="12">
        <f t="shared" si="2"/>
        <v>0</v>
      </c>
      <c r="AA11" s="4" t="s">
        <v>10</v>
      </c>
      <c r="AB11" s="11">
        <f>IFERROR(VLOOKUP(AA11,Curr!$B$2:$C$13,2,FALSE),0)</f>
        <v>11.2</v>
      </c>
      <c r="AC11" s="12">
        <f t="shared" si="3"/>
        <v>0</v>
      </c>
      <c r="AD11" s="12">
        <f t="shared" si="4"/>
        <v>0</v>
      </c>
      <c r="AE11" s="13">
        <f t="shared" si="5"/>
        <v>0</v>
      </c>
    </row>
    <row r="12" spans="2:36" x14ac:dyDescent="0.25">
      <c r="B12" s="4"/>
      <c r="C12" s="1" t="s">
        <v>60</v>
      </c>
      <c r="D12" s="1" t="s">
        <v>61</v>
      </c>
      <c r="E12" s="3"/>
      <c r="F12" s="3"/>
      <c r="G12" s="24"/>
      <c r="H12" s="24"/>
      <c r="J12" s="1" t="s">
        <v>62</v>
      </c>
      <c r="K12" s="4"/>
      <c r="L12" s="4"/>
      <c r="M12" s="4"/>
      <c r="N12" s="4"/>
      <c r="O12" s="4" t="s">
        <v>42</v>
      </c>
      <c r="P12" s="33" t="s">
        <v>63</v>
      </c>
      <c r="Q12" s="25">
        <v>20</v>
      </c>
      <c r="R12" s="25">
        <v>2</v>
      </c>
      <c r="S12" s="12">
        <f t="shared" si="0"/>
        <v>40</v>
      </c>
      <c r="T12" s="5">
        <v>0</v>
      </c>
      <c r="U12" s="12">
        <f t="shared" si="9"/>
        <v>40</v>
      </c>
      <c r="V12" s="25" t="s">
        <v>10</v>
      </c>
      <c r="W12" s="11">
        <f>IFERROR(VLOOKUP(V12,Curr!$B$2:$C$13,2,FALSE),0)</f>
        <v>11.2</v>
      </c>
      <c r="X12" s="12">
        <f t="shared" si="1"/>
        <v>448</v>
      </c>
      <c r="Y12" s="26">
        <f>Q12/0.5</f>
        <v>40</v>
      </c>
      <c r="Z12" s="12">
        <f t="shared" si="2"/>
        <v>80</v>
      </c>
      <c r="AA12" s="4" t="s">
        <v>10</v>
      </c>
      <c r="AB12" s="11">
        <f>IFERROR(VLOOKUP(AA12,Curr!$B$2:$C$13,2,FALSE),0)</f>
        <v>11.2</v>
      </c>
      <c r="AC12" s="12">
        <f t="shared" si="3"/>
        <v>896</v>
      </c>
      <c r="AD12" s="12">
        <f t="shared" si="4"/>
        <v>448</v>
      </c>
      <c r="AE12" s="13">
        <f t="shared" si="5"/>
        <v>0.5</v>
      </c>
    </row>
    <row r="13" spans="2:36" x14ac:dyDescent="0.25">
      <c r="B13" s="4"/>
      <c r="C13" s="1" t="s">
        <v>60</v>
      </c>
      <c r="D13" s="1" t="s">
        <v>58</v>
      </c>
      <c r="E13" s="3"/>
      <c r="F13" s="3"/>
      <c r="G13" s="24"/>
      <c r="H13" s="24"/>
      <c r="J13" s="1" t="s">
        <v>53</v>
      </c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 t="shared" si="0"/>
        <v>0</v>
      </c>
      <c r="T13" s="5">
        <v>0</v>
      </c>
      <c r="U13" s="12">
        <f t="shared" si="9"/>
        <v>0</v>
      </c>
      <c r="V13" s="25" t="s">
        <v>10</v>
      </c>
      <c r="W13" s="11">
        <f>IFERROR(VLOOKUP(V13,Curr!$B$2:$C$13,2,FALSE),0)</f>
        <v>11.2</v>
      </c>
      <c r="X13" s="12">
        <f t="shared" si="1"/>
        <v>0</v>
      </c>
      <c r="Y13" s="26">
        <f t="shared" si="10"/>
        <v>0</v>
      </c>
      <c r="Z13" s="12">
        <f t="shared" si="2"/>
        <v>0</v>
      </c>
      <c r="AA13" s="4" t="s">
        <v>10</v>
      </c>
      <c r="AB13" s="11">
        <f>IFERROR(VLOOKUP(AA13,Curr!$B$2:$C$13,2,FALSE),0)</f>
        <v>11.2</v>
      </c>
      <c r="AC13" s="12">
        <f t="shared" si="3"/>
        <v>0</v>
      </c>
      <c r="AD13" s="12">
        <f t="shared" si="4"/>
        <v>0</v>
      </c>
      <c r="AE13" s="13">
        <f t="shared" si="5"/>
        <v>0</v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33"/>
      <c r="Q14" s="25"/>
      <c r="R14" s="25"/>
      <c r="S14" s="12">
        <f t="shared" si="0"/>
        <v>0</v>
      </c>
      <c r="T14" s="5">
        <v>0</v>
      </c>
      <c r="U14" s="12">
        <f t="shared" si="9"/>
        <v>0</v>
      </c>
      <c r="V14" s="25" t="s">
        <v>10</v>
      </c>
      <c r="W14" s="11">
        <f>IFERROR(VLOOKUP(V14,Curr!$B$2:$C$13,2,FALSE),0)</f>
        <v>11.2</v>
      </c>
      <c r="X14" s="12">
        <f t="shared" si="1"/>
        <v>0</v>
      </c>
      <c r="Y14" s="26">
        <f t="shared" si="10"/>
        <v>0</v>
      </c>
      <c r="Z14" s="12">
        <f t="shared" si="2"/>
        <v>0</v>
      </c>
      <c r="AA14" s="4" t="s">
        <v>10</v>
      </c>
      <c r="AB14" s="11">
        <f>IFERROR(VLOOKUP(AA14,Curr!$B$2:$C$13,2,FALSE),0)</f>
        <v>11.2</v>
      </c>
      <c r="AC14" s="12">
        <f t="shared" si="3"/>
        <v>0</v>
      </c>
      <c r="AD14" s="12">
        <f t="shared" si="4"/>
        <v>0</v>
      </c>
      <c r="AE14" s="13">
        <f t="shared" si="5"/>
        <v>0</v>
      </c>
    </row>
    <row r="15" spans="2:36" x14ac:dyDescent="0.25">
      <c r="B15" s="4"/>
      <c r="C15" s="1" t="s">
        <v>68</v>
      </c>
      <c r="D15" s="1" t="s">
        <v>61</v>
      </c>
      <c r="E15" s="3"/>
      <c r="F15" s="3"/>
      <c r="G15" s="24"/>
      <c r="H15" s="24"/>
      <c r="J15" s="1" t="s">
        <v>244</v>
      </c>
      <c r="K15" s="4"/>
      <c r="L15" s="4"/>
      <c r="M15" s="4"/>
      <c r="N15" s="4"/>
      <c r="O15" s="4" t="s">
        <v>42</v>
      </c>
      <c r="P15" s="29" t="s">
        <v>92</v>
      </c>
      <c r="Q15" s="25">
        <f>(40+40)+(50*2)</f>
        <v>180</v>
      </c>
      <c r="R15" s="25">
        <v>1</v>
      </c>
      <c r="S15" s="12">
        <f t="shared" si="0"/>
        <v>180</v>
      </c>
      <c r="T15" s="5">
        <v>0</v>
      </c>
      <c r="U15" s="12">
        <f t="shared" si="9"/>
        <v>180</v>
      </c>
      <c r="V15" s="25" t="s">
        <v>10</v>
      </c>
      <c r="W15" s="11">
        <f>IFERROR(VLOOKUP(V15,Curr!$B$2:$C$13,2,FALSE),0)</f>
        <v>11.2</v>
      </c>
      <c r="X15" s="12">
        <f t="shared" si="1"/>
        <v>2015.9999999999998</v>
      </c>
      <c r="Y15" s="26">
        <f>Q15/0.5</f>
        <v>360</v>
      </c>
      <c r="Z15" s="12">
        <f t="shared" si="2"/>
        <v>360</v>
      </c>
      <c r="AA15" s="4" t="s">
        <v>10</v>
      </c>
      <c r="AB15" s="11">
        <f>IFERROR(VLOOKUP(AA15,Curr!$B$2:$C$13,2,FALSE),0)</f>
        <v>11.2</v>
      </c>
      <c r="AC15" s="12">
        <f t="shared" si="3"/>
        <v>4031.9999999999995</v>
      </c>
      <c r="AD15" s="12">
        <f t="shared" si="4"/>
        <v>2015.9999999999998</v>
      </c>
      <c r="AE15" s="13">
        <f t="shared" si="5"/>
        <v>0.5</v>
      </c>
    </row>
    <row r="16" spans="2:36" x14ac:dyDescent="0.25">
      <c r="B16" s="4"/>
      <c r="C16" s="1" t="s">
        <v>68</v>
      </c>
      <c r="D16" s="1" t="s">
        <v>58</v>
      </c>
      <c r="E16" s="3"/>
      <c r="F16" s="3"/>
      <c r="G16" s="24"/>
      <c r="H16" s="24"/>
      <c r="J16" s="1" t="s">
        <v>53</v>
      </c>
      <c r="K16" s="4"/>
      <c r="L16" s="4"/>
      <c r="M16" s="4"/>
      <c r="N16" s="4"/>
      <c r="O16" s="4"/>
      <c r="P16" s="27"/>
      <c r="Q16" s="25">
        <v>0</v>
      </c>
      <c r="R16" s="25">
        <v>0</v>
      </c>
      <c r="S16" s="12">
        <f t="shared" si="0"/>
        <v>0</v>
      </c>
      <c r="T16" s="5">
        <v>0</v>
      </c>
      <c r="U16" s="12">
        <f t="shared" si="9"/>
        <v>0</v>
      </c>
      <c r="V16" s="25" t="s">
        <v>10</v>
      </c>
      <c r="W16" s="11">
        <f>IFERROR(VLOOKUP(V16,Curr!$B$2:$C$13,2,FALSE),0)</f>
        <v>11.2</v>
      </c>
      <c r="X16" s="12">
        <f t="shared" si="1"/>
        <v>0</v>
      </c>
      <c r="Y16" s="26">
        <f t="shared" si="10"/>
        <v>0</v>
      </c>
      <c r="Z16" s="12">
        <f t="shared" si="2"/>
        <v>0</v>
      </c>
      <c r="AA16" s="4" t="s">
        <v>10</v>
      </c>
      <c r="AB16" s="11">
        <f>IFERROR(VLOOKUP(AA16,Curr!$B$2:$C$13,2,FALSE),0)</f>
        <v>11.2</v>
      </c>
      <c r="AC16" s="12">
        <f t="shared" si="3"/>
        <v>0</v>
      </c>
      <c r="AD16" s="12">
        <f t="shared" si="4"/>
        <v>0</v>
      </c>
      <c r="AE16" s="13">
        <f t="shared" si="5"/>
        <v>0</v>
      </c>
    </row>
    <row r="17" spans="2:36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33"/>
      <c r="Q17" s="25"/>
      <c r="R17" s="25"/>
      <c r="S17" s="12">
        <f t="shared" si="0"/>
        <v>0</v>
      </c>
      <c r="T17" s="5">
        <v>0</v>
      </c>
      <c r="U17" s="12">
        <f t="shared" si="9"/>
        <v>0</v>
      </c>
      <c r="V17" s="25" t="s">
        <v>10</v>
      </c>
      <c r="W17" s="11">
        <f>IFERROR(VLOOKUP(V17,Curr!$B$2:$C$13,2,FALSE),0)</f>
        <v>11.2</v>
      </c>
      <c r="X17" s="12">
        <f t="shared" si="1"/>
        <v>0</v>
      </c>
      <c r="Y17" s="26">
        <f t="shared" si="10"/>
        <v>0</v>
      </c>
      <c r="Z17" s="12">
        <f t="shared" si="2"/>
        <v>0</v>
      </c>
      <c r="AA17" s="4" t="s">
        <v>10</v>
      </c>
      <c r="AB17" s="11">
        <f>IFERROR(VLOOKUP(AA17,Curr!$B$2:$C$13,2,FALSE),0)</f>
        <v>11.2</v>
      </c>
      <c r="AC17" s="12">
        <f t="shared" si="3"/>
        <v>0</v>
      </c>
      <c r="AD17" s="12">
        <f t="shared" si="4"/>
        <v>0</v>
      </c>
      <c r="AE17" s="13">
        <f t="shared" si="5"/>
        <v>0</v>
      </c>
    </row>
    <row r="18" spans="2:36" x14ac:dyDescent="0.25">
      <c r="B18" s="4"/>
      <c r="C18" s="1" t="s">
        <v>72</v>
      </c>
      <c r="D18" s="1" t="s">
        <v>56</v>
      </c>
      <c r="E18" s="3"/>
      <c r="F18" s="3"/>
      <c r="G18" s="24"/>
      <c r="H18" s="24"/>
      <c r="J18" s="1" t="s">
        <v>242</v>
      </c>
      <c r="K18" s="4"/>
      <c r="L18" s="4"/>
      <c r="M18" s="4"/>
      <c r="N18" s="4"/>
      <c r="O18" s="4"/>
      <c r="P18" s="27"/>
      <c r="Q18" s="25">
        <v>80</v>
      </c>
      <c r="R18" s="25">
        <v>1</v>
      </c>
      <c r="S18" s="12">
        <f t="shared" si="0"/>
        <v>80</v>
      </c>
      <c r="T18" s="5">
        <v>0</v>
      </c>
      <c r="U18" s="12">
        <f t="shared" si="9"/>
        <v>80</v>
      </c>
      <c r="V18" s="25" t="s">
        <v>10</v>
      </c>
      <c r="W18" s="11">
        <f>IFERROR(VLOOKUP(V18,Curr!$B$2:$C$13,2,FALSE),0)</f>
        <v>11.2</v>
      </c>
      <c r="X18" s="12">
        <f t="shared" si="1"/>
        <v>896</v>
      </c>
      <c r="Y18" s="26">
        <f>Q18/0.6</f>
        <v>133.33333333333334</v>
      </c>
      <c r="Z18" s="12">
        <f t="shared" si="2"/>
        <v>133.33333333333334</v>
      </c>
      <c r="AA18" s="4" t="s">
        <v>10</v>
      </c>
      <c r="AB18" s="11">
        <f>IFERROR(VLOOKUP(AA18,Curr!$B$2:$C$13,2,FALSE),0)</f>
        <v>11.2</v>
      </c>
      <c r="AC18" s="12">
        <f t="shared" si="3"/>
        <v>1493.3333333333333</v>
      </c>
      <c r="AD18" s="12">
        <f t="shared" si="4"/>
        <v>597.33333333333326</v>
      </c>
      <c r="AE18" s="13">
        <f t="shared" si="5"/>
        <v>0.39999999999999997</v>
      </c>
    </row>
    <row r="19" spans="2:36" x14ac:dyDescent="0.25">
      <c r="B19" s="4"/>
      <c r="C19" s="1" t="s">
        <v>72</v>
      </c>
      <c r="D19" s="1" t="s">
        <v>83</v>
      </c>
      <c r="E19" s="3"/>
      <c r="F19" s="3"/>
      <c r="G19" s="24"/>
      <c r="H19" s="24"/>
      <c r="J19" s="1" t="s">
        <v>243</v>
      </c>
      <c r="K19" s="4"/>
      <c r="L19" s="4"/>
      <c r="M19" s="4"/>
      <c r="N19" s="4"/>
      <c r="O19" s="4"/>
      <c r="P19" s="33"/>
      <c r="Q19" s="25">
        <v>0</v>
      </c>
      <c r="R19" s="25">
        <v>0</v>
      </c>
      <c r="S19" s="12">
        <f t="shared" si="0"/>
        <v>0</v>
      </c>
      <c r="T19" s="5">
        <v>0</v>
      </c>
      <c r="U19" s="12">
        <f t="shared" si="9"/>
        <v>0</v>
      </c>
      <c r="V19" s="25" t="s">
        <v>10</v>
      </c>
      <c r="W19" s="11">
        <f>IFERROR(VLOOKUP(V19,Curr!$B$2:$C$13,2,FALSE),0)</f>
        <v>11.2</v>
      </c>
      <c r="X19" s="12">
        <f t="shared" si="1"/>
        <v>0</v>
      </c>
      <c r="Y19" s="26">
        <f t="shared" si="10"/>
        <v>0</v>
      </c>
      <c r="Z19" s="12">
        <f t="shared" si="2"/>
        <v>0</v>
      </c>
      <c r="AA19" s="4" t="s">
        <v>10</v>
      </c>
      <c r="AB19" s="11">
        <f>IFERROR(VLOOKUP(AA19,Curr!$B$2:$C$13,2,FALSE),0)</f>
        <v>11.2</v>
      </c>
      <c r="AC19" s="12">
        <f t="shared" si="3"/>
        <v>0</v>
      </c>
      <c r="AD19" s="12">
        <f t="shared" si="4"/>
        <v>0</v>
      </c>
      <c r="AE19" s="13">
        <f t="shared" si="5"/>
        <v>0</v>
      </c>
    </row>
    <row r="20" spans="2:36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/>
      <c r="R20" s="25"/>
      <c r="S20" s="12">
        <f t="shared" si="0"/>
        <v>0</v>
      </c>
      <c r="T20" s="5">
        <v>0</v>
      </c>
      <c r="U20" s="12">
        <f t="shared" si="9"/>
        <v>0</v>
      </c>
      <c r="V20" s="25" t="s">
        <v>10</v>
      </c>
      <c r="W20" s="11">
        <f>IFERROR(VLOOKUP(V20,Curr!$B$2:$C$13,2,FALSE),0)</f>
        <v>11.2</v>
      </c>
      <c r="X20" s="12">
        <f t="shared" si="1"/>
        <v>0</v>
      </c>
      <c r="Y20" s="26">
        <f t="shared" si="10"/>
        <v>0</v>
      </c>
      <c r="Z20" s="12">
        <f t="shared" si="2"/>
        <v>0</v>
      </c>
      <c r="AA20" s="4" t="s">
        <v>10</v>
      </c>
      <c r="AB20" s="11">
        <f>IFERROR(VLOOKUP(AA20,Curr!$B$2:$C$13,2,FALSE),0)</f>
        <v>11.2</v>
      </c>
      <c r="AC20" s="12">
        <f t="shared" si="3"/>
        <v>0</v>
      </c>
      <c r="AD20" s="12">
        <f t="shared" si="4"/>
        <v>0</v>
      </c>
      <c r="AE20" s="13">
        <f t="shared" si="5"/>
        <v>0</v>
      </c>
    </row>
    <row r="21" spans="2:36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33"/>
      <c r="Q21" s="25"/>
      <c r="R21" s="25"/>
      <c r="S21" s="12">
        <f t="shared" si="0"/>
        <v>0</v>
      </c>
      <c r="T21" s="5">
        <v>0</v>
      </c>
      <c r="U21" s="12">
        <f t="shared" si="9"/>
        <v>0</v>
      </c>
      <c r="V21" s="25" t="s">
        <v>10</v>
      </c>
      <c r="W21" s="11">
        <f>IFERROR(VLOOKUP(V21,Curr!$B$2:$C$13,2,FALSE),0)</f>
        <v>11.2</v>
      </c>
      <c r="X21" s="12">
        <f t="shared" si="1"/>
        <v>0</v>
      </c>
      <c r="Y21" s="26">
        <f t="shared" si="10"/>
        <v>0</v>
      </c>
      <c r="Z21" s="12">
        <f t="shared" si="2"/>
        <v>0</v>
      </c>
      <c r="AA21" s="4" t="s">
        <v>10</v>
      </c>
      <c r="AB21" s="11">
        <f>IFERROR(VLOOKUP(AA21,Curr!$B$2:$C$13,2,FALSE),0)</f>
        <v>11.2</v>
      </c>
      <c r="AC21" s="12">
        <f t="shared" si="3"/>
        <v>0</v>
      </c>
      <c r="AD21" s="12">
        <f t="shared" si="4"/>
        <v>0</v>
      </c>
      <c r="AE21" s="13">
        <f t="shared" si="5"/>
        <v>0</v>
      </c>
    </row>
    <row r="22" spans="2:36" x14ac:dyDescent="0.25">
      <c r="B22" s="4"/>
      <c r="C22" s="1" t="s">
        <v>68</v>
      </c>
      <c r="D22" s="1" t="s">
        <v>98</v>
      </c>
      <c r="E22" s="3"/>
      <c r="F22" s="3"/>
      <c r="G22" s="24"/>
      <c r="H22" s="24"/>
      <c r="J22" s="1" t="s">
        <v>220</v>
      </c>
      <c r="K22" s="4"/>
      <c r="L22" s="4"/>
      <c r="M22" s="4"/>
      <c r="N22" s="4"/>
      <c r="O22" s="4" t="s">
        <v>42</v>
      </c>
      <c r="P22" s="29" t="s">
        <v>92</v>
      </c>
      <c r="Q22" s="25">
        <f>(40+40)+(50*2)</f>
        <v>180</v>
      </c>
      <c r="R22" s="25">
        <v>0</v>
      </c>
      <c r="S22" s="12">
        <f t="shared" si="0"/>
        <v>0</v>
      </c>
      <c r="T22" s="5">
        <v>0</v>
      </c>
      <c r="U22" s="12">
        <f t="shared" si="9"/>
        <v>0</v>
      </c>
      <c r="V22" s="25" t="s">
        <v>10</v>
      </c>
      <c r="W22" s="11">
        <f>IFERROR(VLOOKUP(V22,Curr!$B$2:$C$13,2,FALSE),0)</f>
        <v>11.2</v>
      </c>
      <c r="X22" s="12">
        <f t="shared" si="1"/>
        <v>0</v>
      </c>
      <c r="Y22" s="26">
        <f t="shared" si="10"/>
        <v>180</v>
      </c>
      <c r="Z22" s="12">
        <f t="shared" si="2"/>
        <v>0</v>
      </c>
      <c r="AA22" s="4" t="s">
        <v>10</v>
      </c>
      <c r="AB22" s="11">
        <f>IFERROR(VLOOKUP(AA22,Curr!$B$2:$C$13,2,FALSE),0)</f>
        <v>11.2</v>
      </c>
      <c r="AC22" s="12">
        <f t="shared" si="3"/>
        <v>0</v>
      </c>
      <c r="AD22" s="12">
        <f t="shared" si="4"/>
        <v>0</v>
      </c>
      <c r="AE22" s="13">
        <f t="shared" si="5"/>
        <v>0</v>
      </c>
    </row>
    <row r="23" spans="2:36" x14ac:dyDescent="0.25">
      <c r="B23" s="4"/>
      <c r="C23" s="1" t="s">
        <v>68</v>
      </c>
      <c r="D23" s="1" t="s">
        <v>98</v>
      </c>
      <c r="E23" s="3"/>
      <c r="F23" s="3"/>
      <c r="G23" s="24"/>
      <c r="H23" s="24"/>
      <c r="J23" s="1" t="s">
        <v>93</v>
      </c>
      <c r="K23" s="4"/>
      <c r="L23" s="4"/>
      <c r="M23" s="4"/>
      <c r="N23" s="4"/>
      <c r="O23" s="4" t="s">
        <v>42</v>
      </c>
      <c r="P23" s="33" t="s">
        <v>94</v>
      </c>
      <c r="Q23" s="25">
        <v>25</v>
      </c>
      <c r="R23" s="25">
        <v>0</v>
      </c>
      <c r="S23" s="12">
        <f t="shared" si="0"/>
        <v>0</v>
      </c>
      <c r="T23" s="5">
        <v>0</v>
      </c>
      <c r="U23" s="12">
        <f t="shared" si="9"/>
        <v>0</v>
      </c>
      <c r="V23" s="25" t="s">
        <v>10</v>
      </c>
      <c r="W23" s="11">
        <f>IFERROR(VLOOKUP(V23,Curr!$B$2:$C$13,2,FALSE),0)</f>
        <v>11.2</v>
      </c>
      <c r="X23" s="12">
        <f t="shared" si="1"/>
        <v>0</v>
      </c>
      <c r="Y23" s="26">
        <f t="shared" si="10"/>
        <v>25</v>
      </c>
      <c r="Z23" s="12">
        <f t="shared" si="2"/>
        <v>0</v>
      </c>
      <c r="AA23" s="4" t="s">
        <v>10</v>
      </c>
      <c r="AB23" s="11">
        <f>IFERROR(VLOOKUP(AA23,Curr!$B$2:$C$13,2,FALSE),0)</f>
        <v>11.2</v>
      </c>
      <c r="AC23" s="12">
        <f t="shared" si="3"/>
        <v>0</v>
      </c>
      <c r="AD23" s="12">
        <f t="shared" si="4"/>
        <v>0</v>
      </c>
      <c r="AE23" s="13">
        <f t="shared" si="5"/>
        <v>0</v>
      </c>
    </row>
    <row r="24" spans="2:36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/>
      <c r="R24" s="25"/>
      <c r="S24" s="12">
        <f t="shared" si="0"/>
        <v>0</v>
      </c>
      <c r="T24" s="5">
        <v>0</v>
      </c>
      <c r="U24" s="12">
        <f t="shared" si="9"/>
        <v>0</v>
      </c>
      <c r="V24" s="25" t="s">
        <v>10</v>
      </c>
      <c r="W24" s="11">
        <f>IFERROR(VLOOKUP(V24,Curr!$B$2:$C$13,2,FALSE),0)</f>
        <v>11.2</v>
      </c>
      <c r="X24" s="12">
        <f t="shared" si="1"/>
        <v>0</v>
      </c>
      <c r="Y24" s="26">
        <f t="shared" si="10"/>
        <v>0</v>
      </c>
      <c r="Z24" s="12">
        <f t="shared" si="2"/>
        <v>0</v>
      </c>
      <c r="AA24" s="4" t="s">
        <v>10</v>
      </c>
      <c r="AB24" s="11">
        <f>IFERROR(VLOOKUP(AA24,Curr!$B$2:$C$13,2,FALSE),0)</f>
        <v>11.2</v>
      </c>
      <c r="AC24" s="12">
        <f t="shared" si="3"/>
        <v>0</v>
      </c>
      <c r="AD24" s="12">
        <f t="shared" si="4"/>
        <v>0</v>
      </c>
      <c r="AE24" s="13">
        <f t="shared" si="5"/>
        <v>0</v>
      </c>
    </row>
    <row r="25" spans="2:36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33"/>
      <c r="Q25" s="25"/>
      <c r="R25" s="25"/>
      <c r="S25" s="12">
        <f t="shared" si="0"/>
        <v>0</v>
      </c>
      <c r="T25" s="5">
        <v>0</v>
      </c>
      <c r="U25" s="12">
        <f t="shared" si="9"/>
        <v>0</v>
      </c>
      <c r="V25" s="25" t="s">
        <v>10</v>
      </c>
      <c r="W25" s="11">
        <f>IFERROR(VLOOKUP(V25,Curr!$B$2:$C$13,2,FALSE),0)</f>
        <v>11.2</v>
      </c>
      <c r="X25" s="12">
        <f t="shared" si="1"/>
        <v>0</v>
      </c>
      <c r="Y25" s="26">
        <f t="shared" si="10"/>
        <v>0</v>
      </c>
      <c r="Z25" s="12">
        <f t="shared" si="2"/>
        <v>0</v>
      </c>
      <c r="AA25" s="4" t="s">
        <v>10</v>
      </c>
      <c r="AB25" s="11">
        <f>IFERROR(VLOOKUP(AA25,Curr!$B$2:$C$13,2,FALSE),0)</f>
        <v>11.2</v>
      </c>
      <c r="AC25" s="12">
        <f t="shared" si="3"/>
        <v>0</v>
      </c>
      <c r="AD25" s="12">
        <f t="shared" si="4"/>
        <v>0</v>
      </c>
      <c r="AE25" s="13">
        <f t="shared" si="5"/>
        <v>0</v>
      </c>
    </row>
    <row r="26" spans="2:36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33"/>
      <c r="Q26" s="25"/>
      <c r="R26" s="25"/>
      <c r="S26" s="12">
        <f t="shared" si="0"/>
        <v>0</v>
      </c>
      <c r="T26" s="5">
        <v>0</v>
      </c>
      <c r="U26" s="12">
        <f t="shared" si="9"/>
        <v>0</v>
      </c>
      <c r="V26" s="25" t="s">
        <v>10</v>
      </c>
      <c r="W26" s="11">
        <f>IFERROR(VLOOKUP(V26,Curr!$B$2:$C$13,2,FALSE),0)</f>
        <v>11.2</v>
      </c>
      <c r="X26" s="12">
        <f t="shared" si="1"/>
        <v>0</v>
      </c>
      <c r="Y26" s="26">
        <f t="shared" si="10"/>
        <v>0</v>
      </c>
      <c r="Z26" s="12">
        <f t="shared" si="2"/>
        <v>0</v>
      </c>
      <c r="AA26" s="4" t="s">
        <v>10</v>
      </c>
      <c r="AB26" s="11">
        <f>IFERROR(VLOOKUP(AA26,Curr!$B$2:$C$13,2,FALSE),0)</f>
        <v>11.2</v>
      </c>
      <c r="AC26" s="12">
        <f t="shared" si="3"/>
        <v>0</v>
      </c>
      <c r="AD26" s="12">
        <f t="shared" si="4"/>
        <v>0</v>
      </c>
      <c r="AE26" s="13">
        <f t="shared" si="5"/>
        <v>0</v>
      </c>
    </row>
    <row r="27" spans="2:36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/>
      <c r="R27" s="25"/>
      <c r="S27" s="12">
        <f t="shared" si="0"/>
        <v>0</v>
      </c>
      <c r="T27" s="5">
        <v>0</v>
      </c>
      <c r="U27" s="12">
        <f t="shared" si="9"/>
        <v>0</v>
      </c>
      <c r="V27" s="25" t="s">
        <v>10</v>
      </c>
      <c r="W27" s="11">
        <f>IFERROR(VLOOKUP(V27,Curr!$B$2:$C$13,2,FALSE),0)</f>
        <v>11.2</v>
      </c>
      <c r="X27" s="12">
        <f t="shared" si="1"/>
        <v>0</v>
      </c>
      <c r="Y27" s="26">
        <f t="shared" si="10"/>
        <v>0</v>
      </c>
      <c r="Z27" s="12">
        <f t="shared" si="2"/>
        <v>0</v>
      </c>
      <c r="AA27" s="4" t="s">
        <v>10</v>
      </c>
      <c r="AB27" s="11">
        <f>IFERROR(VLOOKUP(AA27,Curr!$B$2:$C$13,2,FALSE),0)</f>
        <v>11.2</v>
      </c>
      <c r="AC27" s="12">
        <f t="shared" si="3"/>
        <v>0</v>
      </c>
      <c r="AD27" s="12">
        <f t="shared" si="4"/>
        <v>0</v>
      </c>
      <c r="AE27" s="13">
        <f t="shared" si="5"/>
        <v>0</v>
      </c>
    </row>
    <row r="28" spans="2:36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/>
      <c r="R28" s="25"/>
      <c r="S28" s="12">
        <f t="shared" si="0"/>
        <v>0</v>
      </c>
      <c r="T28" s="5">
        <v>0</v>
      </c>
      <c r="U28" s="12">
        <f t="shared" si="9"/>
        <v>0</v>
      </c>
      <c r="V28" s="25" t="s">
        <v>10</v>
      </c>
      <c r="W28" s="11">
        <f>IFERROR(VLOOKUP(V28,Curr!$B$2:$C$13,2,FALSE),0)</f>
        <v>11.2</v>
      </c>
      <c r="X28" s="12">
        <f t="shared" si="1"/>
        <v>0</v>
      </c>
      <c r="Y28" s="26">
        <f t="shared" si="10"/>
        <v>0</v>
      </c>
      <c r="Z28" s="12">
        <f t="shared" si="2"/>
        <v>0</v>
      </c>
      <c r="AA28" s="4" t="s">
        <v>10</v>
      </c>
      <c r="AB28" s="11">
        <f>IFERROR(VLOOKUP(AA28,Curr!$B$2:$C$13,2,FALSE),0)</f>
        <v>11.2</v>
      </c>
      <c r="AC28" s="12">
        <f t="shared" si="3"/>
        <v>0</v>
      </c>
      <c r="AD28" s="12">
        <f t="shared" si="4"/>
        <v>0</v>
      </c>
      <c r="AE28" s="13">
        <f t="shared" si="5"/>
        <v>0</v>
      </c>
    </row>
    <row r="29" spans="2:36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33"/>
      <c r="Q29" s="25"/>
      <c r="R29" s="25"/>
      <c r="S29" s="12">
        <f t="shared" si="0"/>
        <v>0</v>
      </c>
      <c r="T29" s="5">
        <v>0</v>
      </c>
      <c r="U29" s="12">
        <f t="shared" si="9"/>
        <v>0</v>
      </c>
      <c r="V29" s="25" t="s">
        <v>10</v>
      </c>
      <c r="W29" s="11">
        <f>IFERROR(VLOOKUP(V29,Curr!$B$2:$C$13,2,FALSE),0)</f>
        <v>11.2</v>
      </c>
      <c r="X29" s="12">
        <f t="shared" si="1"/>
        <v>0</v>
      </c>
      <c r="Y29" s="26">
        <f t="shared" si="10"/>
        <v>0</v>
      </c>
      <c r="Z29" s="12">
        <f t="shared" si="2"/>
        <v>0</v>
      </c>
      <c r="AA29" s="4" t="s">
        <v>10</v>
      </c>
      <c r="AB29" s="11">
        <f>IFERROR(VLOOKUP(AA29,Curr!$B$2:$C$13,2,FALSE),0)</f>
        <v>11.2</v>
      </c>
      <c r="AC29" s="12">
        <f t="shared" si="3"/>
        <v>0</v>
      </c>
      <c r="AD29" s="12">
        <f t="shared" si="4"/>
        <v>0</v>
      </c>
      <c r="AE29" s="13">
        <f t="shared" si="5"/>
        <v>0</v>
      </c>
    </row>
    <row r="30" spans="2:36" x14ac:dyDescent="0.25">
      <c r="B30" s="4"/>
      <c r="E30" s="3"/>
      <c r="F30" s="3"/>
      <c r="G30" s="3"/>
      <c r="H30" s="3"/>
      <c r="L30" s="4"/>
      <c r="M30" s="4"/>
      <c r="N30" s="4"/>
      <c r="O30" s="4"/>
      <c r="P30" s="22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36" x14ac:dyDescent="0.25">
      <c r="B31" s="14" t="s">
        <v>18</v>
      </c>
      <c r="C31" s="14"/>
      <c r="D31" s="28" t="s">
        <v>42</v>
      </c>
      <c r="E31" s="30" t="s">
        <v>42</v>
      </c>
      <c r="F31" s="30" t="s">
        <v>42</v>
      </c>
      <c r="G31" s="30" t="s">
        <v>42</v>
      </c>
      <c r="H31" s="30" t="s">
        <v>42</v>
      </c>
      <c r="I31" s="28" t="s">
        <v>42</v>
      </c>
      <c r="J31" s="28" t="s">
        <v>42</v>
      </c>
      <c r="K31" s="28" t="s">
        <v>42</v>
      </c>
      <c r="L31" s="28" t="s">
        <v>42</v>
      </c>
      <c r="M31" s="28" t="s">
        <v>42</v>
      </c>
      <c r="N31" s="28" t="s">
        <v>42</v>
      </c>
      <c r="O31" s="28" t="s">
        <v>42</v>
      </c>
      <c r="P31" s="28" t="s">
        <v>42</v>
      </c>
      <c r="Q31" s="31" t="s">
        <v>42</v>
      </c>
      <c r="R31" s="28" t="s">
        <v>42</v>
      </c>
      <c r="S31" s="32" t="s">
        <v>42</v>
      </c>
      <c r="T31" s="28" t="s">
        <v>42</v>
      </c>
      <c r="U31" s="32" t="s">
        <v>42</v>
      </c>
      <c r="V31" s="28" t="s">
        <v>42</v>
      </c>
      <c r="W31" s="28" t="s">
        <v>42</v>
      </c>
      <c r="X31" s="32" t="s">
        <v>42</v>
      </c>
      <c r="Y31" s="32" t="s">
        <v>42</v>
      </c>
      <c r="Z31" s="15">
        <f>SUM(Z7:Z29)</f>
        <v>1420.952380952381</v>
      </c>
      <c r="AA31" s="14"/>
      <c r="AB31" s="14"/>
      <c r="AC31" s="15">
        <f>SUM(AC7:AC29)</f>
        <v>15914.666666666668</v>
      </c>
      <c r="AD31" s="15">
        <f>SUM(AD7:AD29)</f>
        <v>6058.6666666666661</v>
      </c>
      <c r="AE31" s="21">
        <f t="shared" ref="AE31" si="11">IFERROR(AD31/AC31,0)</f>
        <v>0.38069705093833772</v>
      </c>
      <c r="AF31" s="15">
        <f>SUM(AF8:AF30)</f>
        <v>0</v>
      </c>
      <c r="AG31" s="15">
        <f>SUM(AG8:AG30)</f>
        <v>0</v>
      </c>
      <c r="AH31" s="15">
        <f>SUM(AH8:AH30)</f>
        <v>0</v>
      </c>
      <c r="AI31" s="15">
        <f>SUM(AI8:AI30)</f>
        <v>0</v>
      </c>
      <c r="AJ31" s="15">
        <f>SUM(AJ8:AJ30)</f>
        <v>0</v>
      </c>
    </row>
    <row r="32" spans="2:36" x14ac:dyDescent="0.25">
      <c r="B32" s="4"/>
      <c r="E32" s="3"/>
      <c r="F32" s="3"/>
      <c r="G32" s="3"/>
      <c r="H32" s="3"/>
      <c r="L32" s="4"/>
      <c r="M32" s="4"/>
      <c r="N32" s="4"/>
      <c r="O32" s="4"/>
      <c r="Q32" s="4"/>
      <c r="R32" s="4"/>
      <c r="S32" s="4"/>
      <c r="T32" s="4"/>
      <c r="U32" s="4"/>
      <c r="V32" s="4"/>
      <c r="W32" s="4"/>
      <c r="X32" s="4"/>
      <c r="Y32" s="9"/>
      <c r="Z32" s="9"/>
      <c r="AA32" s="9"/>
      <c r="AB32" s="9"/>
      <c r="AC32" s="9"/>
      <c r="AD32" s="9"/>
      <c r="AE32" s="9"/>
    </row>
    <row r="33" spans="2:32" x14ac:dyDescent="0.25">
      <c r="B33" s="4"/>
      <c r="E33" s="3"/>
      <c r="F33" s="3"/>
      <c r="G33" s="3"/>
      <c r="H33" s="3"/>
      <c r="L33" s="4"/>
      <c r="M33" s="4"/>
      <c r="N33" s="4"/>
      <c r="O33" s="4"/>
      <c r="Q33" s="9"/>
      <c r="R33" s="9"/>
      <c r="S33" s="9"/>
      <c r="T33" s="9"/>
      <c r="U33" s="9"/>
      <c r="V33" s="9"/>
      <c r="W33" s="9"/>
      <c r="X33" s="23"/>
      <c r="Y33" s="34" t="s">
        <v>103</v>
      </c>
      <c r="Z33" s="34"/>
      <c r="AA33" s="9"/>
      <c r="AB33" s="9"/>
      <c r="AC33" s="9"/>
      <c r="AD33" s="9"/>
      <c r="AE33" s="9"/>
    </row>
    <row r="34" spans="2:32" x14ac:dyDescent="0.25">
      <c r="B34" s="4"/>
      <c r="E34" s="3"/>
      <c r="F34" s="3"/>
      <c r="G34" s="3"/>
      <c r="H34" s="3"/>
      <c r="L34" s="4"/>
      <c r="M34" s="4"/>
      <c r="N34" s="4"/>
      <c r="O34" s="4"/>
      <c r="Q34" s="9"/>
      <c r="R34" s="9"/>
      <c r="S34" s="9"/>
      <c r="T34" s="9"/>
      <c r="U34" s="9"/>
      <c r="V34" s="9"/>
      <c r="W34" s="9"/>
      <c r="X34" s="9"/>
      <c r="Y34" s="35" t="s">
        <v>104</v>
      </c>
      <c r="Z34" s="34"/>
      <c r="AA34" s="9"/>
      <c r="AB34" s="9"/>
      <c r="AC34" s="9"/>
      <c r="AD34" s="9"/>
      <c r="AE34" s="9"/>
      <c r="AF34" s="18"/>
    </row>
    <row r="35" spans="2:32" x14ac:dyDescent="0.25">
      <c r="B35" s="4"/>
      <c r="E35" s="3"/>
      <c r="F35" s="3"/>
      <c r="G35" s="3"/>
      <c r="H35" s="3"/>
      <c r="I35" s="19"/>
      <c r="L35" s="4"/>
      <c r="M35" s="4"/>
      <c r="N35" s="4"/>
      <c r="O35" s="20"/>
      <c r="Q35" s="20"/>
      <c r="R35" s="20"/>
      <c r="S35" s="20"/>
      <c r="T35" s="20"/>
      <c r="U35" s="20"/>
      <c r="V35" s="20"/>
      <c r="W35" s="20"/>
      <c r="X35" s="20"/>
      <c r="Y35" s="34" t="s">
        <v>105</v>
      </c>
      <c r="Z35" s="34">
        <v>1420</v>
      </c>
      <c r="AA35" s="9"/>
      <c r="AB35" s="9"/>
      <c r="AC35" s="9"/>
      <c r="AD35" s="9"/>
      <c r="AE35" s="9"/>
      <c r="AF35" s="18"/>
    </row>
    <row r="36" spans="2:32" x14ac:dyDescent="0.25">
      <c r="B36" s="4"/>
      <c r="E36" s="3"/>
      <c r="F36" s="3"/>
      <c r="G36" s="3"/>
      <c r="H36" s="3"/>
      <c r="L36" s="4"/>
      <c r="M36" s="4"/>
      <c r="N36" s="4"/>
      <c r="O36" s="20"/>
      <c r="Q36" s="20"/>
      <c r="R36" s="20"/>
      <c r="S36" s="20"/>
      <c r="T36" s="20"/>
      <c r="U36" s="20"/>
      <c r="V36" s="20"/>
      <c r="W36" s="20"/>
      <c r="X36" s="20"/>
      <c r="Y36" s="34" t="s">
        <v>43</v>
      </c>
      <c r="Z36" s="34">
        <f>Z35/2</f>
        <v>710</v>
      </c>
      <c r="AA36" s="9"/>
      <c r="AB36" s="9"/>
      <c r="AC36" s="9"/>
      <c r="AD36" s="9"/>
      <c r="AE36" s="9"/>
      <c r="AF36" s="18"/>
    </row>
    <row r="37" spans="2:32" x14ac:dyDescent="0.25">
      <c r="B37" s="4"/>
      <c r="E37" s="3"/>
      <c r="F37" s="3"/>
      <c r="G37" s="3"/>
      <c r="H37" s="3"/>
      <c r="L37" s="4"/>
      <c r="M37" s="4"/>
      <c r="N37" s="4"/>
      <c r="O37" s="4"/>
      <c r="Q37" s="9"/>
      <c r="R37" s="9"/>
      <c r="S37" s="9"/>
      <c r="T37" s="9"/>
      <c r="U37" s="9"/>
      <c r="V37" s="9"/>
      <c r="W37" s="9"/>
      <c r="X37" s="9"/>
      <c r="Y37" s="1"/>
      <c r="Z37" s="1"/>
      <c r="AA37" s="9"/>
      <c r="AB37" s="9"/>
      <c r="AC37" s="9"/>
      <c r="AD37" s="9"/>
      <c r="AE37" s="9"/>
      <c r="AF37" s="18"/>
    </row>
    <row r="38" spans="2:32" x14ac:dyDescent="0.25">
      <c r="F38" s="1"/>
      <c r="G38" s="1"/>
      <c r="H38" s="1"/>
      <c r="J38" s="1" t="s">
        <v>32</v>
      </c>
      <c r="Q38" s="9"/>
      <c r="R38" s="4"/>
      <c r="S38" s="9"/>
      <c r="T38" s="5"/>
      <c r="U38" s="9"/>
      <c r="V38" s="4"/>
      <c r="W38" s="4"/>
      <c r="X38" s="9"/>
      <c r="Y38" s="9"/>
      <c r="Z38" s="9"/>
      <c r="AA38" s="9"/>
      <c r="AB38" s="9"/>
      <c r="AC38" s="9"/>
      <c r="AD38" s="9"/>
      <c r="AE38" s="9"/>
    </row>
    <row r="39" spans="2:32" x14ac:dyDescent="0.25">
      <c r="R39" s="4"/>
      <c r="S39" s="17"/>
      <c r="T39" s="17"/>
      <c r="U39" s="9"/>
      <c r="V39" s="4"/>
      <c r="W39" s="4"/>
      <c r="X39" s="9"/>
      <c r="Y39" s="9"/>
      <c r="Z39" s="9"/>
      <c r="AA39" s="9"/>
      <c r="AB39" s="9"/>
      <c r="AC39" s="9"/>
      <c r="AD39" s="9"/>
      <c r="AE39" s="9"/>
    </row>
    <row r="40" spans="2:32" x14ac:dyDescent="0.25">
      <c r="Q40" s="9"/>
      <c r="R40" s="4"/>
      <c r="S40" s="16"/>
      <c r="T40" s="16"/>
      <c r="U40" s="9"/>
      <c r="V40" s="4"/>
      <c r="W40" s="4"/>
      <c r="X40" s="9"/>
      <c r="Y40" s="9"/>
      <c r="Z40" s="9"/>
      <c r="AA40" s="9"/>
      <c r="AB40" s="9"/>
      <c r="AC40" s="9"/>
      <c r="AD40" s="9"/>
      <c r="AE40" s="9"/>
    </row>
    <row r="41" spans="2:32" x14ac:dyDescent="0.25">
      <c r="R41" s="4"/>
      <c r="S41" s="16"/>
      <c r="T41" s="16"/>
      <c r="Y41" s="9"/>
      <c r="Z41" s="9"/>
      <c r="AA41" s="9"/>
      <c r="AB41" s="9"/>
      <c r="AC41" s="9"/>
      <c r="AD41" s="9"/>
      <c r="AE41" s="9"/>
    </row>
    <row r="42" spans="2:32" x14ac:dyDescent="0.25">
      <c r="T42" s="5"/>
      <c r="Y42" s="9"/>
      <c r="Z42" s="9"/>
      <c r="AA42" s="9"/>
      <c r="AB42" s="9"/>
      <c r="AC42" s="9"/>
      <c r="AD42" s="9"/>
      <c r="AE42" s="9"/>
    </row>
    <row r="43" spans="2:32" x14ac:dyDescent="0.25">
      <c r="T43" s="5"/>
      <c r="AA43" s="9"/>
      <c r="AB43" s="9"/>
      <c r="AC43" s="9"/>
      <c r="AD43" s="9"/>
      <c r="AE43" s="9"/>
    </row>
    <row r="44" spans="2:32" x14ac:dyDescent="0.25">
      <c r="T44" s="5"/>
      <c r="Y44" s="43" t="s">
        <v>236</v>
      </c>
      <c r="Z44" s="9">
        <v>1420</v>
      </c>
      <c r="AA44" s="9"/>
      <c r="AB44" s="9"/>
      <c r="AC44" s="9"/>
      <c r="AD44" s="9"/>
      <c r="AE44" s="9"/>
    </row>
    <row r="45" spans="2:32" x14ac:dyDescent="0.25">
      <c r="T45" s="5"/>
      <c r="Y45" s="44" t="s">
        <v>237</v>
      </c>
      <c r="Z45" s="9">
        <f>Z44*1.15</f>
        <v>1632.9999999999998</v>
      </c>
      <c r="AA45" s="9"/>
      <c r="AB45" s="9"/>
      <c r="AC45" s="9"/>
      <c r="AD45" s="9"/>
      <c r="AE45" s="9"/>
    </row>
    <row r="46" spans="2:32" x14ac:dyDescent="0.25">
      <c r="T46" s="5"/>
      <c r="Y46" s="44" t="s">
        <v>238</v>
      </c>
      <c r="Z46" s="9">
        <f>Z44*1.2</f>
        <v>1704</v>
      </c>
      <c r="AA46" s="9"/>
      <c r="AB46" s="9"/>
      <c r="AC46" s="9"/>
      <c r="AD46" s="9"/>
      <c r="AE46" s="9"/>
    </row>
    <row r="47" spans="2:32" x14ac:dyDescent="0.25">
      <c r="T47" s="5"/>
      <c r="Y47" s="44" t="s">
        <v>239</v>
      </c>
      <c r="Z47" s="9">
        <f>Z44*0.84</f>
        <v>1192.8</v>
      </c>
      <c r="AA47" s="9"/>
      <c r="AB47" s="9"/>
      <c r="AC47" s="9"/>
      <c r="AD47" s="9"/>
      <c r="AE47" s="9"/>
    </row>
    <row r="48" spans="2:32" x14ac:dyDescent="0.25">
      <c r="T48" s="5"/>
      <c r="Y48" s="9"/>
      <c r="Z48" s="9"/>
      <c r="AA48" s="9"/>
      <c r="AB48" s="9"/>
      <c r="AC48" s="9"/>
      <c r="AD48" s="9"/>
      <c r="AE48" s="9"/>
    </row>
    <row r="49" spans="20:31" x14ac:dyDescent="0.25">
      <c r="T49" s="5"/>
      <c r="Y49" s="9"/>
      <c r="Z49" s="9"/>
      <c r="AA49" s="9"/>
      <c r="AB49" s="9"/>
      <c r="AC49" s="9"/>
      <c r="AD49" s="9"/>
      <c r="AE49" s="9"/>
    </row>
    <row r="50" spans="20:31" x14ac:dyDescent="0.25">
      <c r="T50" s="5"/>
    </row>
    <row r="51" spans="20:31" x14ac:dyDescent="0.25">
      <c r="T51" s="5"/>
    </row>
    <row r="52" spans="20:31" x14ac:dyDescent="0.25">
      <c r="T52" s="5"/>
    </row>
    <row r="53" spans="20:31" x14ac:dyDescent="0.25">
      <c r="T53" s="5"/>
    </row>
    <row r="54" spans="20:31" x14ac:dyDescent="0.25">
      <c r="T54" s="5"/>
    </row>
  </sheetData>
  <autoFilter ref="B6:AE31" xr:uid="{65FA6D9B-E0AF-46CD-BA0D-86BB75FE6AB0}"/>
  <hyperlinks>
    <hyperlink ref="P15" r:id="rId1" xr:uid="{B70809D0-2313-42F6-8A27-343C931CA284}"/>
    <hyperlink ref="P12" r:id="rId2" xr:uid="{7BF31CDE-9F15-40E3-A4FF-D41A1FFD2C25}"/>
    <hyperlink ref="P22" r:id="rId3" xr:uid="{656889B4-460D-4004-A926-0B1BA35985A1}"/>
    <hyperlink ref="P23" r:id="rId4" xr:uid="{11A0CD55-FA4A-4371-AA32-F2BAFEBF1E14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23EF72DA63D44FA2A28E00AC11E8EE" ma:contentTypeVersion="18" ma:contentTypeDescription="Opprett et nytt dokument." ma:contentTypeScope="" ma:versionID="0e7978918f7ba2b56dd79afad014a1ed">
  <xsd:schema xmlns:xsd="http://www.w3.org/2001/XMLSchema" xmlns:xs="http://www.w3.org/2001/XMLSchema" xmlns:p="http://schemas.microsoft.com/office/2006/metadata/properties" xmlns:ns2="9b6e2739-bd71-49a7-afc4-e179dfe94dc1" xmlns:ns3="2b30070a-7262-4d8b-a938-b3248c635664" targetNamespace="http://schemas.microsoft.com/office/2006/metadata/properties" ma:root="true" ma:fieldsID="c48e0c1802030b8740a8f4de73b33bbb" ns2:_="" ns3:_="">
    <xsd:import namespace="9b6e2739-bd71-49a7-afc4-e179dfe94dc1"/>
    <xsd:import namespace="2b30070a-7262-4d8b-a938-b3248c635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e2739-bd71-49a7-afc4-e179dfe94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cfc72ce7-c435-4f97-944d-94ae49e3d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70a-7262-4d8b-a938-b3248c63566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66e5a3-2fe4-433c-87fb-0dc58561f75a}" ma:internalName="TaxCatchAll" ma:showField="CatchAllData" ma:web="2b30070a-7262-4d8b-a938-b3248c635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e2739-bd71-49a7-afc4-e179dfe94dc1">
      <Terms xmlns="http://schemas.microsoft.com/office/infopath/2007/PartnerControls"/>
    </lcf76f155ced4ddcb4097134ff3c332f>
    <TaxCatchAll xmlns="2b30070a-7262-4d8b-a938-b3248c635664" xsi:nil="true"/>
  </documentManagement>
</p:properties>
</file>

<file path=customXml/itemProps1.xml><?xml version="1.0" encoding="utf-8"?>
<ds:datastoreItem xmlns:ds="http://schemas.openxmlformats.org/officeDocument/2006/customXml" ds:itemID="{A477E57D-ABDD-4DAE-B3A5-315ED7FE90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83956-6198-441D-88CE-2DAC6C9C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e2739-bd71-49a7-afc4-e179dfe94dc1"/>
    <ds:schemaRef ds:uri="2b30070a-7262-4d8b-a938-b3248c635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692FD7-DCDA-4048-8BCD-FC2D85C5421C}">
  <ds:schemaRefs>
    <ds:schemaRef ds:uri="http://schemas.microsoft.com/office/2006/metadata/properties"/>
    <ds:schemaRef ds:uri="http://schemas.microsoft.com/office/infopath/2007/PartnerControls"/>
    <ds:schemaRef ds:uri="9b6e2739-bd71-49a7-afc4-e179dfe94dc1"/>
    <ds:schemaRef ds:uri="2b30070a-7262-4d8b-a938-b3248c6356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Curr</vt:lpstr>
      <vt:lpstr>Overview</vt:lpstr>
      <vt:lpstr>MAL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Andre Olsen</dc:creator>
  <cp:lastModifiedBy>Dennis Kålen</cp:lastModifiedBy>
  <dcterms:created xsi:type="dcterms:W3CDTF">2023-07-31T16:02:03Z</dcterms:created>
  <dcterms:modified xsi:type="dcterms:W3CDTF">2026-04-21T11:25:16Z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0x0101001123EF72DA63D44FA2A28E00AC11E8EE</vt:lpwstr>
  </property>
  <property fmtid="{D5CDD505-2E9C-101B-9397-08002B2CF9AE}" pid="3" name="MediaServiceImageTags">
    <vt:lpwstr/>
  </property>
</Properties>
</file>