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nnisKålen\Desktop\Itineraries\Standard Itineraries\Iceland\"/>
    </mc:Choice>
  </mc:AlternateContent>
  <xr:revisionPtr revIDLastSave="0" documentId="13_ncr:1_{5741CBCF-7A4F-43A0-9AC4-22B41C83FED6}" xr6:coauthVersionLast="47" xr6:coauthVersionMax="47" xr10:uidLastSave="{00000000-0000-0000-0000-000000000000}"/>
  <bookViews>
    <workbookView xWindow="-120" yWindow="-120" windowWidth="29040" windowHeight="15720" tabRatio="1000" firstSheet="1" activeTab="16" xr2:uid="{F0120B8F-C750-4EFC-83CE-D7DAB56C8915}"/>
  </bookViews>
  <sheets>
    <sheet name="Curr" sheetId="5" r:id="rId1"/>
    <sheet name="Oversikt" sheetId="36" r:id="rId2"/>
    <sheet name="5D SD" sheetId="6" r:id="rId3"/>
    <sheet name="6D SD" sheetId="7" r:id="rId4"/>
    <sheet name="7D SD" sheetId="8" r:id="rId5"/>
    <sheet name="8D SD" sheetId="9" r:id="rId6"/>
    <sheet name="10D SD" sheetId="10" r:id="rId7"/>
    <sheet name="5D GTS" sheetId="11" r:id="rId8"/>
    <sheet name="6D GTS" sheetId="12" r:id="rId9"/>
    <sheet name="7D GTS" sheetId="13" r:id="rId10"/>
    <sheet name="8D GTS" sheetId="14" r:id="rId11"/>
    <sheet name="10D GTS" sheetId="15" r:id="rId12"/>
    <sheet name="5D GTW" sheetId="16" r:id="rId13"/>
    <sheet name="6D GTW" sheetId="17" r:id="rId14"/>
    <sheet name="7D GTW" sheetId="18" r:id="rId15"/>
    <sheet name="8D GTW" sheetId="19" r:id="rId16"/>
    <sheet name="10D GTW" sheetId="20" r:id="rId17"/>
    <sheet name="5D RS" sheetId="21" r:id="rId18"/>
    <sheet name="6D RS" sheetId="22" r:id="rId19"/>
    <sheet name="7D RS" sheetId="23" r:id="rId20"/>
    <sheet name="8D RS" sheetId="24" r:id="rId21"/>
    <sheet name="5D RW" sheetId="25" r:id="rId22"/>
    <sheet name="6D RW" sheetId="26" r:id="rId23"/>
    <sheet name="7D RW" sheetId="27" r:id="rId24"/>
    <sheet name="8D RW" sheetId="28" r:id="rId25"/>
    <sheet name="Kalk (24)" sheetId="29" r:id="rId26"/>
    <sheet name="Kalk (25)" sheetId="30" r:id="rId27"/>
    <sheet name="Kalk (26)" sheetId="31" r:id="rId28"/>
    <sheet name="Kalk (27)" sheetId="32" r:id="rId29"/>
    <sheet name="Kalk (28)" sheetId="33" r:id="rId30"/>
    <sheet name="Kalk (29)" sheetId="34" r:id="rId31"/>
    <sheet name="Kalk (30)" sheetId="35" r:id="rId32"/>
  </sheets>
  <externalReferences>
    <externalReference r:id="rId33"/>
  </externalReferences>
  <definedNames>
    <definedName name="_xlnm._FilterDatabase" localSheetId="11" hidden="1">'10D GTS'!$B$6:$AE$62</definedName>
    <definedName name="_xlnm._FilterDatabase" localSheetId="16" hidden="1">'10D GTW'!$B$6:$AE$62</definedName>
    <definedName name="_xlnm._FilterDatabase" localSheetId="6" hidden="1">'10D SD'!$B$6:$AE$66</definedName>
    <definedName name="_xlnm._FilterDatabase" localSheetId="7" hidden="1">'5D GTS'!$B$6:$AE$43</definedName>
    <definedName name="_xlnm._FilterDatabase" localSheetId="12" hidden="1">'5D GTW'!$B$6:$AE$47</definedName>
    <definedName name="_xlnm._FilterDatabase" localSheetId="17" hidden="1">'5D RS'!$B$6:$AE$45</definedName>
    <definedName name="_xlnm._FilterDatabase" localSheetId="21" hidden="1">'5D RW'!$B$6:$AE$44</definedName>
    <definedName name="_xlnm._FilterDatabase" localSheetId="2" hidden="1">'5D SD'!$B$6:$AE$51</definedName>
    <definedName name="_xlnm._FilterDatabase" localSheetId="8" hidden="1">'6D GTS'!$B$6:$AE$52</definedName>
    <definedName name="_xlnm._FilterDatabase" localSheetId="13" hidden="1">'6D GTW'!$B$6:$AE$50</definedName>
    <definedName name="_xlnm._FilterDatabase" localSheetId="18" hidden="1">'6D RS'!$B$6:$AE$48</definedName>
    <definedName name="_xlnm._FilterDatabase" localSheetId="22" hidden="1">'6D RW'!$B$6:$AE$52</definedName>
    <definedName name="_xlnm._FilterDatabase" localSheetId="3" hidden="1">'6D SD'!$B$6:$AE$51</definedName>
    <definedName name="_xlnm._FilterDatabase" localSheetId="9" hidden="1">'7D GTS'!$B$6:$AE$57</definedName>
    <definedName name="_xlnm._FilterDatabase" localSheetId="14" hidden="1">'7D GTW'!$B$6:$AE$51</definedName>
    <definedName name="_xlnm._FilterDatabase" localSheetId="19" hidden="1">'7D RS'!$B$6:$AE$53</definedName>
    <definedName name="_xlnm._FilterDatabase" localSheetId="23" hidden="1">'7D RW'!$B$6:$AE$55</definedName>
    <definedName name="_xlnm._FilterDatabase" localSheetId="4" hidden="1">'7D SD'!$B$6:$AE$51</definedName>
    <definedName name="_xlnm._FilterDatabase" localSheetId="10" hidden="1">'8D GTS'!$B$6:$AE$59</definedName>
    <definedName name="_xlnm._FilterDatabase" localSheetId="15" hidden="1">'8D GTW'!$B$6:$AE$58</definedName>
    <definedName name="_xlnm._FilterDatabase" localSheetId="20" hidden="1">'8D RS'!$B$6:$AE$53</definedName>
    <definedName name="_xlnm._FilterDatabase" localSheetId="24" hidden="1">'8D RW'!$B$6:$AE$52</definedName>
    <definedName name="_xlnm._FilterDatabase" localSheetId="5" hidden="1">'8D SD'!$B$6:$AE$58</definedName>
    <definedName name="_xlnm._FilterDatabase" localSheetId="25" hidden="1">'Kalk (24)'!$B$6:$AE$101</definedName>
    <definedName name="_xlnm._FilterDatabase" localSheetId="26" hidden="1">'Kalk (25)'!$B$6:$AE$101</definedName>
    <definedName name="_xlnm._FilterDatabase" localSheetId="27" hidden="1">'Kalk (26)'!$B$6:$AE$101</definedName>
    <definedName name="_xlnm._FilterDatabase" localSheetId="28" hidden="1">'Kalk (27)'!$B$6:$AE$101</definedName>
    <definedName name="_xlnm._FilterDatabase" localSheetId="29" hidden="1">'Kalk (28)'!$B$6:$AE$101</definedName>
    <definedName name="_xlnm._FilterDatabase" localSheetId="30" hidden="1">'Kalk (29)'!$B$6:$AE$101</definedName>
    <definedName name="_xlnm._FilterDatabase" localSheetId="31" hidden="1">'Kalk (30)'!$B$6:$AE$101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9" i="8" l="1"/>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W14" i="8"/>
  <c r="W13" i="8"/>
  <c r="W12" i="8"/>
  <c r="W11" i="8"/>
  <c r="W10" i="8"/>
  <c r="W9" i="8"/>
  <c r="W8" i="8"/>
  <c r="W49" i="7"/>
  <c r="W48" i="7"/>
  <c r="W47" i="7"/>
  <c r="W46" i="7"/>
  <c r="W45" i="7"/>
  <c r="W44" i="7"/>
  <c r="W43" i="7"/>
  <c r="W42" i="7"/>
  <c r="W41" i="7"/>
  <c r="W40" i="7"/>
  <c r="W39" i="7"/>
  <c r="W38" i="7"/>
  <c r="W37" i="7"/>
  <c r="W36" i="7"/>
  <c r="W35" i="7"/>
  <c r="W34" i="7"/>
  <c r="W33" i="7"/>
  <c r="W32" i="7"/>
  <c r="W31" i="7"/>
  <c r="W30" i="7"/>
  <c r="W29" i="7"/>
  <c r="W28" i="7"/>
  <c r="W27" i="7"/>
  <c r="W26" i="7"/>
  <c r="W25" i="7"/>
  <c r="W24" i="7"/>
  <c r="W23" i="7"/>
  <c r="W22" i="7"/>
  <c r="W21" i="7"/>
  <c r="W20" i="7"/>
  <c r="W19" i="7"/>
  <c r="W18" i="7"/>
  <c r="W17" i="7"/>
  <c r="W16" i="7"/>
  <c r="W15" i="7"/>
  <c r="W14" i="7"/>
  <c r="W13" i="7"/>
  <c r="W12" i="7"/>
  <c r="W11" i="7"/>
  <c r="W10" i="7"/>
  <c r="W9" i="7"/>
  <c r="W8" i="7"/>
  <c r="W56" i="9"/>
  <c r="W55" i="9"/>
  <c r="W54" i="9"/>
  <c r="W53" i="9"/>
  <c r="W52" i="9"/>
  <c r="W51" i="9"/>
  <c r="W50" i="9"/>
  <c r="W49" i="9"/>
  <c r="W48" i="9"/>
  <c r="W47" i="9"/>
  <c r="W46" i="9"/>
  <c r="W45" i="9"/>
  <c r="W44" i="9"/>
  <c r="W43" i="9"/>
  <c r="W42" i="9"/>
  <c r="W41" i="9"/>
  <c r="W40" i="9"/>
  <c r="W39" i="9"/>
  <c r="W38" i="9"/>
  <c r="W37" i="9"/>
  <c r="W36" i="9"/>
  <c r="W35" i="9"/>
  <c r="W34" i="9"/>
  <c r="W33" i="9"/>
  <c r="W32" i="9"/>
  <c r="W31" i="9"/>
  <c r="W30" i="9"/>
  <c r="W29" i="9"/>
  <c r="W28" i="9"/>
  <c r="W27" i="9"/>
  <c r="W26" i="9"/>
  <c r="W25" i="9"/>
  <c r="W24" i="9"/>
  <c r="W23" i="9"/>
  <c r="W22" i="9"/>
  <c r="W21" i="9"/>
  <c r="W20" i="9"/>
  <c r="W19" i="9"/>
  <c r="W18" i="9"/>
  <c r="W17" i="9"/>
  <c r="W16" i="9"/>
  <c r="W15" i="9"/>
  <c r="W14" i="9"/>
  <c r="W13" i="9"/>
  <c r="W12" i="9"/>
  <c r="W11" i="9"/>
  <c r="W10" i="9"/>
  <c r="W9" i="9"/>
  <c r="W8" i="9"/>
  <c r="W41" i="11"/>
  <c r="W40" i="11"/>
  <c r="W39" i="11"/>
  <c r="W38" i="11"/>
  <c r="W37" i="11"/>
  <c r="W36" i="11"/>
  <c r="W35" i="11"/>
  <c r="W34" i="11"/>
  <c r="W33" i="11"/>
  <c r="W32" i="11"/>
  <c r="W31" i="11"/>
  <c r="W30" i="11"/>
  <c r="W29" i="11"/>
  <c r="W28" i="11"/>
  <c r="W27" i="11"/>
  <c r="W26" i="11"/>
  <c r="W25" i="11"/>
  <c r="W24" i="11"/>
  <c r="W23" i="11"/>
  <c r="W22" i="11"/>
  <c r="W21" i="11"/>
  <c r="W20" i="11"/>
  <c r="W19" i="11"/>
  <c r="W18" i="11"/>
  <c r="W17" i="11"/>
  <c r="W16" i="11"/>
  <c r="W15" i="11"/>
  <c r="W14" i="11"/>
  <c r="W13" i="11"/>
  <c r="W12" i="11"/>
  <c r="W11" i="11"/>
  <c r="W10" i="11"/>
  <c r="W9" i="11"/>
  <c r="W8" i="11"/>
  <c r="W50" i="12"/>
  <c r="W49" i="12"/>
  <c r="W48" i="12"/>
  <c r="W47" i="12"/>
  <c r="W46" i="12"/>
  <c r="W45" i="12"/>
  <c r="W44" i="12"/>
  <c r="W43" i="12"/>
  <c r="W42" i="12"/>
  <c r="W41" i="12"/>
  <c r="W40" i="12"/>
  <c r="W39" i="12"/>
  <c r="W38" i="12"/>
  <c r="W37" i="12"/>
  <c r="W36" i="12"/>
  <c r="W35" i="12"/>
  <c r="W34" i="12"/>
  <c r="W33" i="12"/>
  <c r="W32" i="12"/>
  <c r="W31" i="12"/>
  <c r="W30" i="12"/>
  <c r="W29" i="12"/>
  <c r="W28" i="12"/>
  <c r="W27" i="12"/>
  <c r="W26" i="12"/>
  <c r="W25" i="12"/>
  <c r="W24" i="12"/>
  <c r="W23" i="12"/>
  <c r="W22" i="12"/>
  <c r="W21" i="12"/>
  <c r="W20" i="12"/>
  <c r="W19" i="12"/>
  <c r="W18" i="12"/>
  <c r="W17" i="12"/>
  <c r="W16" i="12"/>
  <c r="W15" i="12"/>
  <c r="W14" i="12"/>
  <c r="W13" i="12"/>
  <c r="W12" i="12"/>
  <c r="W11" i="12"/>
  <c r="W10" i="12"/>
  <c r="W9" i="12"/>
  <c r="W8" i="12"/>
  <c r="W55" i="13"/>
  <c r="W54" i="13"/>
  <c r="W53" i="13"/>
  <c r="W52" i="13"/>
  <c r="W51" i="13"/>
  <c r="W50" i="13"/>
  <c r="W49" i="13"/>
  <c r="W48" i="13"/>
  <c r="W47" i="13"/>
  <c r="W46" i="13"/>
  <c r="W45" i="13"/>
  <c r="W44" i="13"/>
  <c r="W43" i="13"/>
  <c r="W42" i="13"/>
  <c r="W41" i="13"/>
  <c r="W40" i="13"/>
  <c r="W39" i="13"/>
  <c r="W38" i="13"/>
  <c r="W37" i="13"/>
  <c r="W36" i="13"/>
  <c r="W35" i="13"/>
  <c r="W34" i="13"/>
  <c r="W33" i="13"/>
  <c r="W32" i="13"/>
  <c r="W31" i="13"/>
  <c r="W30" i="13"/>
  <c r="W29" i="13"/>
  <c r="W28" i="13"/>
  <c r="W27" i="13"/>
  <c r="W26" i="13"/>
  <c r="W25" i="13"/>
  <c r="W24" i="13"/>
  <c r="W23" i="13"/>
  <c r="W22" i="13"/>
  <c r="W21" i="13"/>
  <c r="W20" i="13"/>
  <c r="W19" i="13"/>
  <c r="W18" i="13"/>
  <c r="W17" i="13"/>
  <c r="W16" i="13"/>
  <c r="W15" i="13"/>
  <c r="W14" i="13"/>
  <c r="W13" i="13"/>
  <c r="W12" i="13"/>
  <c r="W11" i="13"/>
  <c r="W10" i="13"/>
  <c r="W9" i="13"/>
  <c r="W8" i="13"/>
  <c r="W57" i="14"/>
  <c r="W56" i="14"/>
  <c r="W55" i="14"/>
  <c r="W54" i="14"/>
  <c r="W53" i="14"/>
  <c r="W52" i="14"/>
  <c r="W51" i="14"/>
  <c r="W50" i="14"/>
  <c r="W49" i="14"/>
  <c r="W48" i="14"/>
  <c r="W47" i="14"/>
  <c r="W46" i="14"/>
  <c r="W45" i="14"/>
  <c r="W44" i="14"/>
  <c r="W43" i="14"/>
  <c r="W42" i="14"/>
  <c r="W41"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W11" i="14"/>
  <c r="W10" i="14"/>
  <c r="W9" i="14"/>
  <c r="W8" i="14"/>
  <c r="W60" i="15"/>
  <c r="W59" i="15"/>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W12" i="15"/>
  <c r="W11" i="15"/>
  <c r="W10" i="15"/>
  <c r="W9" i="15"/>
  <c r="W8" i="15"/>
  <c r="W45" i="16"/>
  <c r="W44" i="16"/>
  <c r="W43" i="16"/>
  <c r="W42" i="16"/>
  <c r="W41" i="16"/>
  <c r="W40" i="16"/>
  <c r="W39" i="16"/>
  <c r="W38" i="16"/>
  <c r="W37" i="16"/>
  <c r="W36" i="16"/>
  <c r="W35" i="16"/>
  <c r="W34" i="16"/>
  <c r="W33" i="16"/>
  <c r="W32" i="16"/>
  <c r="W31" i="16"/>
  <c r="W30" i="16"/>
  <c r="W29" i="16"/>
  <c r="W28" i="16"/>
  <c r="W27" i="16"/>
  <c r="W26" i="16"/>
  <c r="W25" i="16"/>
  <c r="W24" i="16"/>
  <c r="W23" i="16"/>
  <c r="W22" i="16"/>
  <c r="W21" i="16"/>
  <c r="W20" i="16"/>
  <c r="W19" i="16"/>
  <c r="W18" i="16"/>
  <c r="W17" i="16"/>
  <c r="W16" i="16"/>
  <c r="W15" i="16"/>
  <c r="W14" i="16"/>
  <c r="W13" i="16"/>
  <c r="W12" i="16"/>
  <c r="W11" i="16"/>
  <c r="W10" i="16"/>
  <c r="W9" i="16"/>
  <c r="W8" i="16"/>
  <c r="W48" i="17"/>
  <c r="W47" i="17"/>
  <c r="W46" i="17"/>
  <c r="W45" i="17"/>
  <c r="W44" i="17"/>
  <c r="W43" i="17"/>
  <c r="W42" i="17"/>
  <c r="W41" i="17"/>
  <c r="W40" i="17"/>
  <c r="W39" i="17"/>
  <c r="W38" i="17"/>
  <c r="W37" i="17"/>
  <c r="W36" i="17"/>
  <c r="W35" i="17"/>
  <c r="W34" i="17"/>
  <c r="W33" i="17"/>
  <c r="W32" i="17"/>
  <c r="W31" i="17"/>
  <c r="W30" i="17"/>
  <c r="W29" i="17"/>
  <c r="W28" i="17"/>
  <c r="W27" i="17"/>
  <c r="W26" i="17"/>
  <c r="W25" i="17"/>
  <c r="W24" i="17"/>
  <c r="W23" i="17"/>
  <c r="W22" i="17"/>
  <c r="W21" i="17"/>
  <c r="W20" i="17"/>
  <c r="W19" i="17"/>
  <c r="W18" i="17"/>
  <c r="W17" i="17"/>
  <c r="W16" i="17"/>
  <c r="W15" i="17"/>
  <c r="W14" i="17"/>
  <c r="W13" i="17"/>
  <c r="W12" i="17"/>
  <c r="W11" i="17"/>
  <c r="W10" i="17"/>
  <c r="W9" i="17"/>
  <c r="W8" i="17"/>
  <c r="W49" i="18"/>
  <c r="W48" i="18"/>
  <c r="W47" i="18"/>
  <c r="W46" i="18"/>
  <c r="W45" i="18"/>
  <c r="W44" i="18"/>
  <c r="W43" i="18"/>
  <c r="W42" i="18"/>
  <c r="W41" i="18"/>
  <c r="W40" i="18"/>
  <c r="W39" i="18"/>
  <c r="W38" i="18"/>
  <c r="W37" i="18"/>
  <c r="W36" i="18"/>
  <c r="W35" i="18"/>
  <c r="W34" i="18"/>
  <c r="W33" i="18"/>
  <c r="W32" i="18"/>
  <c r="W31" i="18"/>
  <c r="W30" i="18"/>
  <c r="W29" i="18"/>
  <c r="W28" i="18"/>
  <c r="W27" i="18"/>
  <c r="W26" i="18"/>
  <c r="W25" i="18"/>
  <c r="W24" i="18"/>
  <c r="W23" i="18"/>
  <c r="W22" i="18"/>
  <c r="W21" i="18"/>
  <c r="W20" i="18"/>
  <c r="W19" i="18"/>
  <c r="W18" i="18"/>
  <c r="W17" i="18"/>
  <c r="W16" i="18"/>
  <c r="W15" i="18"/>
  <c r="W14" i="18"/>
  <c r="W13" i="18"/>
  <c r="W12" i="18"/>
  <c r="W11" i="18"/>
  <c r="W10" i="18"/>
  <c r="W9" i="18"/>
  <c r="W8" i="18"/>
  <c r="W56" i="19"/>
  <c r="W55" i="19"/>
  <c r="W54" i="19"/>
  <c r="W53" i="19"/>
  <c r="W52" i="19"/>
  <c r="W51" i="19"/>
  <c r="W50" i="19"/>
  <c r="W49" i="19"/>
  <c r="W48" i="19"/>
  <c r="W47" i="19"/>
  <c r="W46" i="19"/>
  <c r="W45" i="19"/>
  <c r="W44" i="19"/>
  <c r="W43" i="19"/>
  <c r="W42" i="19"/>
  <c r="W41" i="19"/>
  <c r="W40" i="19"/>
  <c r="W39" i="19"/>
  <c r="W38" i="19"/>
  <c r="W37" i="19"/>
  <c r="W36" i="19"/>
  <c r="W35" i="19"/>
  <c r="W34" i="19"/>
  <c r="W33" i="19"/>
  <c r="W32" i="19"/>
  <c r="W31" i="19"/>
  <c r="W30" i="19"/>
  <c r="W29" i="19"/>
  <c r="W28" i="19"/>
  <c r="W27" i="19"/>
  <c r="W26" i="19"/>
  <c r="W25" i="19"/>
  <c r="W24" i="19"/>
  <c r="W23" i="19"/>
  <c r="W22" i="19"/>
  <c r="W21" i="19"/>
  <c r="W20" i="19"/>
  <c r="W19" i="19"/>
  <c r="W18" i="19"/>
  <c r="W17" i="19"/>
  <c r="W16" i="19"/>
  <c r="W15" i="19"/>
  <c r="W14" i="19"/>
  <c r="W13" i="19"/>
  <c r="W12" i="19"/>
  <c r="W11" i="19"/>
  <c r="W10" i="19"/>
  <c r="W9" i="19"/>
  <c r="W8" i="19"/>
  <c r="W60" i="20"/>
  <c r="W59" i="20"/>
  <c r="W58" i="20"/>
  <c r="W57" i="20"/>
  <c r="W56" i="20"/>
  <c r="W55" i="20"/>
  <c r="W54" i="20"/>
  <c r="W53" i="20"/>
  <c r="W52" i="20"/>
  <c r="W51" i="20"/>
  <c r="W50" i="20"/>
  <c r="W49" i="20"/>
  <c r="W48" i="20"/>
  <c r="W47" i="20"/>
  <c r="W46" i="20"/>
  <c r="W45" i="20"/>
  <c r="W44" i="20"/>
  <c r="W43" i="20"/>
  <c r="W42" i="20"/>
  <c r="W41" i="20"/>
  <c r="W40" i="20"/>
  <c r="W39" i="20"/>
  <c r="W38" i="20"/>
  <c r="W37" i="20"/>
  <c r="W36" i="20"/>
  <c r="W35" i="20"/>
  <c r="W34" i="20"/>
  <c r="W33" i="20"/>
  <c r="W32" i="20"/>
  <c r="W31" i="20"/>
  <c r="W30" i="20"/>
  <c r="W29" i="20"/>
  <c r="W28" i="20"/>
  <c r="W27" i="20"/>
  <c r="W26" i="20"/>
  <c r="W25" i="20"/>
  <c r="W24" i="20"/>
  <c r="W23" i="20"/>
  <c r="W22" i="20"/>
  <c r="W21" i="20"/>
  <c r="W20" i="20"/>
  <c r="W19" i="20"/>
  <c r="W18" i="20"/>
  <c r="W17" i="20"/>
  <c r="W16" i="20"/>
  <c r="W15" i="20"/>
  <c r="W14" i="20"/>
  <c r="W13" i="20"/>
  <c r="W12" i="20"/>
  <c r="W11" i="20"/>
  <c r="W10" i="20"/>
  <c r="W9" i="20"/>
  <c r="W8" i="20"/>
  <c r="W43" i="21"/>
  <c r="W42" i="21"/>
  <c r="W41" i="21"/>
  <c r="W40" i="21"/>
  <c r="W39" i="21"/>
  <c r="W38" i="21"/>
  <c r="W37" i="21"/>
  <c r="W36" i="21"/>
  <c r="W35" i="21"/>
  <c r="W34" i="21"/>
  <c r="W33" i="21"/>
  <c r="W32" i="21"/>
  <c r="W31" i="21"/>
  <c r="W30" i="21"/>
  <c r="W29" i="21"/>
  <c r="W28" i="21"/>
  <c r="W27" i="21"/>
  <c r="W26" i="21"/>
  <c r="W25" i="21"/>
  <c r="W24" i="21"/>
  <c r="W23" i="21"/>
  <c r="W22" i="21"/>
  <c r="W21" i="21"/>
  <c r="W20" i="21"/>
  <c r="W19" i="21"/>
  <c r="W18" i="21"/>
  <c r="W17" i="21"/>
  <c r="W16" i="21"/>
  <c r="W15" i="21"/>
  <c r="W14" i="21"/>
  <c r="W13" i="21"/>
  <c r="W12" i="21"/>
  <c r="W11" i="21"/>
  <c r="W10" i="21"/>
  <c r="W9" i="21"/>
  <c r="W8" i="21"/>
  <c r="W46" i="22"/>
  <c r="W45" i="22"/>
  <c r="W44" i="22"/>
  <c r="W43" i="22"/>
  <c r="W42" i="22"/>
  <c r="W41" i="22"/>
  <c r="W40" i="22"/>
  <c r="W39" i="22"/>
  <c r="W38" i="22"/>
  <c r="W37" i="22"/>
  <c r="W36" i="22"/>
  <c r="W35" i="22"/>
  <c r="W34" i="22"/>
  <c r="W33" i="22"/>
  <c r="W32" i="22"/>
  <c r="W31" i="22"/>
  <c r="W30" i="22"/>
  <c r="W29" i="22"/>
  <c r="W28" i="22"/>
  <c r="W27" i="22"/>
  <c r="W26" i="22"/>
  <c r="W25" i="22"/>
  <c r="W24" i="22"/>
  <c r="W23" i="22"/>
  <c r="W22" i="22"/>
  <c r="W21" i="22"/>
  <c r="W20" i="22"/>
  <c r="W19" i="22"/>
  <c r="W18" i="22"/>
  <c r="W17" i="22"/>
  <c r="W16" i="22"/>
  <c r="W15" i="22"/>
  <c r="W14" i="22"/>
  <c r="W13" i="22"/>
  <c r="W12" i="22"/>
  <c r="W11" i="22"/>
  <c r="W10" i="22"/>
  <c r="W9" i="22"/>
  <c r="W8" i="22"/>
  <c r="W51" i="23"/>
  <c r="W50" i="23"/>
  <c r="W49" i="23"/>
  <c r="W48" i="23"/>
  <c r="W47" i="23"/>
  <c r="W46" i="23"/>
  <c r="W45" i="23"/>
  <c r="W44" i="23"/>
  <c r="W43" i="23"/>
  <c r="W42" i="23"/>
  <c r="W41" i="23"/>
  <c r="W40" i="23"/>
  <c r="W39" i="23"/>
  <c r="W38" i="23"/>
  <c r="W37" i="23"/>
  <c r="W36" i="23"/>
  <c r="W35" i="23"/>
  <c r="W34" i="23"/>
  <c r="W33" i="23"/>
  <c r="W32" i="23"/>
  <c r="W31" i="23"/>
  <c r="W30" i="23"/>
  <c r="W29" i="23"/>
  <c r="W28" i="23"/>
  <c r="W27" i="23"/>
  <c r="W26" i="23"/>
  <c r="W25" i="23"/>
  <c r="W24" i="23"/>
  <c r="W23" i="23"/>
  <c r="W22" i="23"/>
  <c r="W21" i="23"/>
  <c r="W20" i="23"/>
  <c r="W19" i="23"/>
  <c r="W18" i="23"/>
  <c r="W17" i="23"/>
  <c r="W16" i="23"/>
  <c r="W15" i="23"/>
  <c r="W14" i="23"/>
  <c r="W13" i="23"/>
  <c r="W12" i="23"/>
  <c r="W11" i="23"/>
  <c r="W10" i="23"/>
  <c r="W9" i="23"/>
  <c r="W8" i="23"/>
  <c r="W51" i="24"/>
  <c r="W50" i="24"/>
  <c r="W49" i="24"/>
  <c r="W48" i="24"/>
  <c r="W47" i="24"/>
  <c r="W46" i="24"/>
  <c r="W45" i="24"/>
  <c r="W44" i="24"/>
  <c r="W43" i="24"/>
  <c r="W42" i="24"/>
  <c r="W41" i="24"/>
  <c r="W40" i="24"/>
  <c r="W39" i="24"/>
  <c r="W38" i="24"/>
  <c r="W37" i="24"/>
  <c r="W36" i="24"/>
  <c r="W35" i="24"/>
  <c r="W34" i="24"/>
  <c r="W33" i="24"/>
  <c r="W32" i="24"/>
  <c r="W31" i="24"/>
  <c r="W30" i="24"/>
  <c r="W29" i="24"/>
  <c r="W28" i="24"/>
  <c r="W27" i="24"/>
  <c r="W26" i="24"/>
  <c r="W25" i="24"/>
  <c r="W24" i="24"/>
  <c r="W23" i="24"/>
  <c r="W22" i="24"/>
  <c r="W21" i="24"/>
  <c r="W20" i="24"/>
  <c r="W19" i="24"/>
  <c r="W18" i="24"/>
  <c r="W17" i="24"/>
  <c r="W16" i="24"/>
  <c r="W15" i="24"/>
  <c r="W14" i="24"/>
  <c r="W13" i="24"/>
  <c r="W12" i="24"/>
  <c r="W11" i="24"/>
  <c r="W10" i="24"/>
  <c r="W9" i="24"/>
  <c r="W8" i="24"/>
  <c r="W42" i="25"/>
  <c r="W41" i="25"/>
  <c r="W40" i="25"/>
  <c r="W39" i="25"/>
  <c r="W38" i="25"/>
  <c r="W37" i="25"/>
  <c r="W36" i="25"/>
  <c r="W35" i="25"/>
  <c r="W34" i="25"/>
  <c r="W33" i="25"/>
  <c r="W32" i="25"/>
  <c r="W31" i="25"/>
  <c r="W30" i="25"/>
  <c r="W29" i="25"/>
  <c r="W28" i="25"/>
  <c r="W27" i="25"/>
  <c r="W26" i="25"/>
  <c r="W25" i="25"/>
  <c r="W24" i="25"/>
  <c r="W23" i="25"/>
  <c r="W22" i="25"/>
  <c r="W21" i="25"/>
  <c r="W20" i="25"/>
  <c r="W19" i="25"/>
  <c r="W18" i="25"/>
  <c r="W17" i="25"/>
  <c r="W16" i="25"/>
  <c r="W15" i="25"/>
  <c r="W14" i="25"/>
  <c r="W13" i="25"/>
  <c r="W12" i="25"/>
  <c r="W11" i="25"/>
  <c r="W10" i="25"/>
  <c r="W9" i="25"/>
  <c r="W8" i="25"/>
  <c r="W50" i="26"/>
  <c r="W49" i="26"/>
  <c r="W48" i="26"/>
  <c r="W47" i="26"/>
  <c r="W46" i="26"/>
  <c r="W45" i="26"/>
  <c r="W44" i="26"/>
  <c r="W43" i="26"/>
  <c r="W42" i="26"/>
  <c r="W41" i="26"/>
  <c r="W40" i="26"/>
  <c r="W39" i="26"/>
  <c r="W38" i="26"/>
  <c r="W37" i="26"/>
  <c r="W36" i="26"/>
  <c r="W35" i="26"/>
  <c r="W34" i="26"/>
  <c r="W33" i="26"/>
  <c r="W32" i="26"/>
  <c r="W31" i="26"/>
  <c r="W30" i="26"/>
  <c r="W29" i="26"/>
  <c r="W28" i="26"/>
  <c r="W27" i="26"/>
  <c r="W26" i="26"/>
  <c r="W25" i="26"/>
  <c r="W24" i="26"/>
  <c r="W23" i="26"/>
  <c r="W22" i="26"/>
  <c r="W21" i="26"/>
  <c r="W20" i="26"/>
  <c r="W19" i="26"/>
  <c r="W18" i="26"/>
  <c r="W17" i="26"/>
  <c r="W16" i="26"/>
  <c r="W15" i="26"/>
  <c r="W14" i="26"/>
  <c r="W13" i="26"/>
  <c r="W12" i="26"/>
  <c r="W11" i="26"/>
  <c r="W10" i="26"/>
  <c r="W9" i="26"/>
  <c r="W8" i="26"/>
  <c r="W53" i="27"/>
  <c r="W52" i="27"/>
  <c r="W51" i="27"/>
  <c r="W50" i="27"/>
  <c r="W49" i="27"/>
  <c r="W48" i="27"/>
  <c r="W47" i="27"/>
  <c r="W46" i="27"/>
  <c r="W45" i="27"/>
  <c r="W44" i="27"/>
  <c r="W43" i="27"/>
  <c r="W42" i="27"/>
  <c r="W41" i="27"/>
  <c r="W40" i="27"/>
  <c r="W39" i="27"/>
  <c r="W38" i="27"/>
  <c r="W37" i="27"/>
  <c r="W36" i="27"/>
  <c r="W35" i="27"/>
  <c r="W34" i="27"/>
  <c r="W33" i="27"/>
  <c r="W32" i="27"/>
  <c r="W31" i="27"/>
  <c r="W30" i="27"/>
  <c r="W29" i="27"/>
  <c r="W28" i="27"/>
  <c r="W27" i="27"/>
  <c r="W26" i="27"/>
  <c r="W25" i="27"/>
  <c r="W24" i="27"/>
  <c r="W23" i="27"/>
  <c r="W22" i="27"/>
  <c r="W21" i="27"/>
  <c r="W20" i="27"/>
  <c r="W19" i="27"/>
  <c r="W18" i="27"/>
  <c r="W17" i="27"/>
  <c r="W16" i="27"/>
  <c r="W15" i="27"/>
  <c r="W14" i="27"/>
  <c r="W13" i="27"/>
  <c r="W12" i="27"/>
  <c r="W11" i="27"/>
  <c r="W10" i="27"/>
  <c r="W9" i="27"/>
  <c r="W8" i="27"/>
  <c r="W50" i="28"/>
  <c r="W49" i="28"/>
  <c r="W48" i="28"/>
  <c r="W47" i="28"/>
  <c r="W46" i="28"/>
  <c r="W45" i="28"/>
  <c r="W44" i="28"/>
  <c r="W43" i="28"/>
  <c r="W42" i="28"/>
  <c r="W41" i="28"/>
  <c r="W40" i="28"/>
  <c r="W39" i="28"/>
  <c r="W38" i="28"/>
  <c r="W37" i="28"/>
  <c r="W36" i="28"/>
  <c r="W35" i="28"/>
  <c r="W34" i="28"/>
  <c r="W33" i="28"/>
  <c r="W32" i="28"/>
  <c r="W31" i="28"/>
  <c r="W30" i="28"/>
  <c r="W29" i="28"/>
  <c r="W28" i="28"/>
  <c r="W27" i="28"/>
  <c r="W26" i="28"/>
  <c r="W25" i="28"/>
  <c r="W24" i="28"/>
  <c r="W23" i="28"/>
  <c r="W22" i="28"/>
  <c r="W21" i="28"/>
  <c r="W20" i="28"/>
  <c r="W19" i="28"/>
  <c r="W18" i="28"/>
  <c r="W17" i="28"/>
  <c r="W16" i="28"/>
  <c r="W15" i="28"/>
  <c r="W14" i="28"/>
  <c r="W13" i="28"/>
  <c r="W12" i="28"/>
  <c r="W11" i="28"/>
  <c r="W10" i="28"/>
  <c r="W9" i="28"/>
  <c r="W8" i="28"/>
  <c r="W7" i="28"/>
  <c r="W7" i="27"/>
  <c r="W7" i="26"/>
  <c r="W7" i="25"/>
  <c r="W7" i="24"/>
  <c r="W7" i="23"/>
  <c r="W7" i="22"/>
  <c r="W7" i="21"/>
  <c r="W7" i="20"/>
  <c r="W7" i="19"/>
  <c r="W7" i="18"/>
  <c r="W7" i="17"/>
  <c r="W7" i="16"/>
  <c r="W7" i="15"/>
  <c r="W7" i="14"/>
  <c r="W7" i="13"/>
  <c r="W7" i="12"/>
  <c r="W7" i="11"/>
  <c r="W7" i="9"/>
  <c r="W7" i="7"/>
  <c r="W7" i="8"/>
  <c r="W49" i="6"/>
  <c r="W48" i="6"/>
  <c r="W47" i="6"/>
  <c r="W46" i="6"/>
  <c r="W45" i="6"/>
  <c r="W44" i="6"/>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AA56" i="28"/>
  <c r="AA59" i="27"/>
  <c r="AA56" i="26"/>
  <c r="AA48" i="25"/>
  <c r="Z59" i="24"/>
  <c r="Z59" i="23"/>
  <c r="Z54" i="22"/>
  <c r="Z51" i="21"/>
  <c r="Z54" i="8"/>
  <c r="Z54" i="6"/>
  <c r="Z74" i="10" l="1"/>
  <c r="Z75" i="10" s="1"/>
  <c r="Z69" i="9"/>
  <c r="Z68" i="9"/>
  <c r="Z66" i="9"/>
  <c r="Z67" i="9" s="1"/>
  <c r="Z59" i="8"/>
  <c r="Z60" i="8" s="1"/>
  <c r="Z62" i="7"/>
  <c r="Z61" i="7"/>
  <c r="Z59" i="7"/>
  <c r="Z60" i="7" s="1"/>
  <c r="Z59" i="6"/>
  <c r="Z62" i="6" s="1"/>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Y12" i="20"/>
  <c r="Y12" i="19"/>
  <c r="Y12" i="18"/>
  <c r="Y12" i="17"/>
  <c r="Y12" i="16"/>
  <c r="Y12" i="15"/>
  <c r="Y12" i="14"/>
  <c r="Y12" i="13"/>
  <c r="Y12" i="12"/>
  <c r="Y12" i="11"/>
  <c r="Z76" i="10" l="1"/>
  <c r="Z77" i="10"/>
  <c r="Z61" i="6"/>
  <c r="Z60" i="6"/>
  <c r="Z62" i="8"/>
  <c r="Z61" i="8"/>
  <c r="Z46" i="25"/>
  <c r="Z54" i="26"/>
  <c r="Z57" i="27"/>
  <c r="Z54" i="28"/>
  <c r="Y43" i="28"/>
  <c r="S43" i="28"/>
  <c r="U43" i="28" s="1"/>
  <c r="Y42" i="28"/>
  <c r="S42" i="28"/>
  <c r="U42" i="28" s="1"/>
  <c r="Y41" i="28"/>
  <c r="S41" i="28"/>
  <c r="U41" i="28" s="1"/>
  <c r="Y40" i="27"/>
  <c r="S40" i="27"/>
  <c r="U40" i="27" s="1"/>
  <c r="Y39" i="27"/>
  <c r="S39" i="27"/>
  <c r="U39" i="27" s="1"/>
  <c r="Y38" i="27"/>
  <c r="S38" i="27"/>
  <c r="U38" i="27" s="1"/>
  <c r="Y37" i="26"/>
  <c r="S37" i="26"/>
  <c r="U37" i="26" s="1"/>
  <c r="Y36" i="26"/>
  <c r="S36" i="26"/>
  <c r="U36" i="26" s="1"/>
  <c r="Y35" i="26"/>
  <c r="S35" i="26"/>
  <c r="U35" i="26" s="1"/>
  <c r="Y34" i="25"/>
  <c r="S34" i="25"/>
  <c r="U34" i="25" s="1"/>
  <c r="Y33" i="25"/>
  <c r="S33" i="25"/>
  <c r="U33" i="25" s="1"/>
  <c r="Y32" i="25"/>
  <c r="U32" i="25"/>
  <c r="S32" i="25"/>
  <c r="Y43" i="24"/>
  <c r="S43" i="24"/>
  <c r="U43" i="24" s="1"/>
  <c r="Y42" i="24"/>
  <c r="S42" i="24"/>
  <c r="U42" i="24" s="1"/>
  <c r="Y41" i="24"/>
  <c r="X41" i="24"/>
  <c r="U41" i="24"/>
  <c r="S41" i="24"/>
  <c r="Y40" i="23"/>
  <c r="S40" i="23"/>
  <c r="U40" i="23" s="1"/>
  <c r="Y39" i="23"/>
  <c r="S39" i="23"/>
  <c r="U39" i="23" s="1"/>
  <c r="Y38" i="23"/>
  <c r="U38" i="23"/>
  <c r="S38" i="23"/>
  <c r="Y37" i="22"/>
  <c r="S37" i="22"/>
  <c r="U37" i="22" s="1"/>
  <c r="Y36" i="22"/>
  <c r="S36" i="22"/>
  <c r="U36" i="22" s="1"/>
  <c r="X36" i="22" s="1"/>
  <c r="Y35" i="22"/>
  <c r="U35" i="22"/>
  <c r="S35" i="22"/>
  <c r="Y44" i="28"/>
  <c r="S44" i="28"/>
  <c r="U44" i="28" s="1"/>
  <c r="Y40" i="28"/>
  <c r="U40" i="28"/>
  <c r="S40" i="28"/>
  <c r="Y39" i="28"/>
  <c r="S39" i="28"/>
  <c r="U39" i="28" s="1"/>
  <c r="Y38" i="28"/>
  <c r="S38" i="28"/>
  <c r="U38" i="28" s="1"/>
  <c r="Y37" i="28"/>
  <c r="S37" i="28"/>
  <c r="U37" i="28" s="1"/>
  <c r="Y36" i="28"/>
  <c r="S36" i="28"/>
  <c r="U36" i="28" s="1"/>
  <c r="Y35" i="28"/>
  <c r="S35" i="28"/>
  <c r="U35" i="28" s="1"/>
  <c r="Y34" i="28"/>
  <c r="S34" i="28"/>
  <c r="U34" i="28" s="1"/>
  <c r="Y33" i="28"/>
  <c r="S33" i="28"/>
  <c r="U33" i="28" s="1"/>
  <c r="Y32" i="28"/>
  <c r="U32" i="28"/>
  <c r="S32" i="28"/>
  <c r="Y31" i="28"/>
  <c r="S31" i="28"/>
  <c r="U31" i="28" s="1"/>
  <c r="Y30" i="28"/>
  <c r="S30" i="28"/>
  <c r="U30" i="28" s="1"/>
  <c r="Y29" i="28"/>
  <c r="S29" i="28"/>
  <c r="U29" i="28" s="1"/>
  <c r="Y28" i="28"/>
  <c r="S28" i="28"/>
  <c r="U28" i="28" s="1"/>
  <c r="X28" i="28" s="1"/>
  <c r="Y27" i="28"/>
  <c r="S27" i="28"/>
  <c r="U27" i="28" s="1"/>
  <c r="Y26" i="28"/>
  <c r="S26" i="28"/>
  <c r="U26" i="28" s="1"/>
  <c r="Y25" i="28"/>
  <c r="S25" i="28"/>
  <c r="U25" i="28" s="1"/>
  <c r="Y24" i="28"/>
  <c r="S24" i="28"/>
  <c r="U24" i="28" s="1"/>
  <c r="Y23" i="28"/>
  <c r="S23" i="28"/>
  <c r="U23" i="28" s="1"/>
  <c r="Y22" i="28"/>
  <c r="S22" i="28"/>
  <c r="U22" i="28" s="1"/>
  <c r="Y21" i="28"/>
  <c r="S21" i="28"/>
  <c r="U21" i="28" s="1"/>
  <c r="Y20" i="28"/>
  <c r="S20" i="28"/>
  <c r="U20" i="28" s="1"/>
  <c r="Y19" i="28"/>
  <c r="S19" i="28"/>
  <c r="U19" i="28" s="1"/>
  <c r="Y18" i="28"/>
  <c r="S18" i="28"/>
  <c r="U18" i="28" s="1"/>
  <c r="Y17" i="28"/>
  <c r="S17" i="28"/>
  <c r="U17" i="28" s="1"/>
  <c r="Y16" i="28"/>
  <c r="U16" i="28"/>
  <c r="S16" i="28"/>
  <c r="Y15" i="28"/>
  <c r="S15" i="28"/>
  <c r="U15" i="28" s="1"/>
  <c r="Y14" i="28"/>
  <c r="S14" i="28"/>
  <c r="U14" i="28" s="1"/>
  <c r="Y13" i="28"/>
  <c r="S13" i="28"/>
  <c r="U13" i="28" s="1"/>
  <c r="Y12" i="28"/>
  <c r="S12" i="28"/>
  <c r="U12" i="28" s="1"/>
  <c r="Y11" i="28"/>
  <c r="S11" i="28"/>
  <c r="U11" i="28" s="1"/>
  <c r="Y10" i="28"/>
  <c r="S10" i="28"/>
  <c r="U10" i="28" s="1"/>
  <c r="Y9" i="28"/>
  <c r="S9" i="28"/>
  <c r="U9" i="28" s="1"/>
  <c r="Y8" i="28"/>
  <c r="S8" i="28"/>
  <c r="U8" i="28" s="1"/>
  <c r="Y7" i="28"/>
  <c r="S7" i="28"/>
  <c r="U7" i="28" s="1"/>
  <c r="Y41" i="27"/>
  <c r="S41" i="27"/>
  <c r="U41" i="27" s="1"/>
  <c r="Y37" i="27"/>
  <c r="S37" i="27"/>
  <c r="U37" i="27" s="1"/>
  <c r="Y36" i="27"/>
  <c r="S36" i="27"/>
  <c r="U36" i="27" s="1"/>
  <c r="Y35" i="27"/>
  <c r="S35" i="27"/>
  <c r="U35" i="27" s="1"/>
  <c r="Y34" i="27"/>
  <c r="S34" i="27"/>
  <c r="U34" i="27" s="1"/>
  <c r="Y33" i="27"/>
  <c r="S33" i="27"/>
  <c r="U33" i="27" s="1"/>
  <c r="Y32" i="27"/>
  <c r="S32" i="27"/>
  <c r="U32" i="27" s="1"/>
  <c r="Y31" i="27"/>
  <c r="S31" i="27"/>
  <c r="U31" i="27" s="1"/>
  <c r="Y30" i="27"/>
  <c r="S30" i="27"/>
  <c r="U30" i="27" s="1"/>
  <c r="Y29" i="27"/>
  <c r="U29" i="27"/>
  <c r="S29" i="27"/>
  <c r="Y28" i="27"/>
  <c r="S28" i="27"/>
  <c r="U28" i="27" s="1"/>
  <c r="Y27" i="27"/>
  <c r="S27" i="27"/>
  <c r="U27" i="27" s="1"/>
  <c r="Y26" i="27"/>
  <c r="S26" i="27"/>
  <c r="U26" i="27" s="1"/>
  <c r="Y25" i="27"/>
  <c r="S25" i="27"/>
  <c r="U25" i="27" s="1"/>
  <c r="Y24" i="27"/>
  <c r="S24" i="27"/>
  <c r="U24" i="27" s="1"/>
  <c r="Y23" i="27"/>
  <c r="S23" i="27"/>
  <c r="U23" i="27" s="1"/>
  <c r="Y22" i="27"/>
  <c r="U22" i="27"/>
  <c r="S22" i="27"/>
  <c r="Y21" i="27"/>
  <c r="S21" i="27"/>
  <c r="U21" i="27" s="1"/>
  <c r="Y20" i="27"/>
  <c r="U20" i="27"/>
  <c r="S20" i="27"/>
  <c r="Y19" i="27"/>
  <c r="S19" i="27"/>
  <c r="U19" i="27" s="1"/>
  <c r="Y18" i="27"/>
  <c r="S18" i="27"/>
  <c r="U18" i="27" s="1"/>
  <c r="Y17" i="27"/>
  <c r="S17" i="27"/>
  <c r="U17" i="27" s="1"/>
  <c r="Y16" i="27"/>
  <c r="S16" i="27"/>
  <c r="U16" i="27" s="1"/>
  <c r="Y15" i="27"/>
  <c r="S15" i="27"/>
  <c r="U15" i="27" s="1"/>
  <c r="Y14" i="27"/>
  <c r="U14" i="27"/>
  <c r="S14" i="27"/>
  <c r="Y13" i="27"/>
  <c r="S13" i="27"/>
  <c r="U13" i="27" s="1"/>
  <c r="Y12" i="27"/>
  <c r="U12" i="27"/>
  <c r="S12" i="27"/>
  <c r="Y11" i="27"/>
  <c r="S11" i="27"/>
  <c r="U11" i="27" s="1"/>
  <c r="Y10" i="27"/>
  <c r="S10" i="27"/>
  <c r="U10" i="27" s="1"/>
  <c r="Y9" i="27"/>
  <c r="S9" i="27"/>
  <c r="U9" i="27" s="1"/>
  <c r="Y8" i="27"/>
  <c r="S8" i="27"/>
  <c r="U8" i="27" s="1"/>
  <c r="Y7" i="27"/>
  <c r="S7" i="27"/>
  <c r="U7" i="27" s="1"/>
  <c r="Y38" i="26"/>
  <c r="S38" i="26"/>
  <c r="U38" i="26" s="1"/>
  <c r="Y34" i="26"/>
  <c r="S34" i="26"/>
  <c r="U34" i="26" s="1"/>
  <c r="Y33" i="26"/>
  <c r="S33" i="26"/>
  <c r="U33" i="26" s="1"/>
  <c r="Y32" i="26"/>
  <c r="S32" i="26"/>
  <c r="U32" i="26" s="1"/>
  <c r="Y31" i="26"/>
  <c r="S31" i="26"/>
  <c r="U31" i="26" s="1"/>
  <c r="Y30" i="26"/>
  <c r="S30" i="26"/>
  <c r="U30" i="26" s="1"/>
  <c r="Y29" i="26"/>
  <c r="S29" i="26"/>
  <c r="U29" i="26" s="1"/>
  <c r="Y28" i="26"/>
  <c r="S28" i="26"/>
  <c r="U28" i="26" s="1"/>
  <c r="Y27" i="26"/>
  <c r="S27" i="26"/>
  <c r="U27" i="26" s="1"/>
  <c r="Y26" i="26"/>
  <c r="S26" i="26"/>
  <c r="U26" i="26" s="1"/>
  <c r="Y25" i="26"/>
  <c r="S25" i="26"/>
  <c r="U25" i="26" s="1"/>
  <c r="Y24" i="26"/>
  <c r="S24" i="26"/>
  <c r="U24" i="26" s="1"/>
  <c r="Y23" i="26"/>
  <c r="S23" i="26"/>
  <c r="U23" i="26" s="1"/>
  <c r="Y22" i="26"/>
  <c r="S22" i="26"/>
  <c r="U22" i="26" s="1"/>
  <c r="Y21" i="26"/>
  <c r="S21" i="26"/>
  <c r="U21" i="26" s="1"/>
  <c r="Y20" i="26"/>
  <c r="S20" i="26"/>
  <c r="U20" i="26" s="1"/>
  <c r="Y19" i="26"/>
  <c r="S19" i="26"/>
  <c r="U19" i="26" s="1"/>
  <c r="Y18" i="26"/>
  <c r="S18" i="26"/>
  <c r="U18" i="26" s="1"/>
  <c r="Y17" i="26"/>
  <c r="S17" i="26"/>
  <c r="U17" i="26" s="1"/>
  <c r="Y16" i="26"/>
  <c r="S16" i="26"/>
  <c r="U16" i="26" s="1"/>
  <c r="Y15" i="26"/>
  <c r="S15" i="26"/>
  <c r="U15" i="26" s="1"/>
  <c r="Y14" i="26"/>
  <c r="S14" i="26"/>
  <c r="U14" i="26" s="1"/>
  <c r="Y13" i="26"/>
  <c r="S13" i="26"/>
  <c r="U13" i="26" s="1"/>
  <c r="Y12" i="26"/>
  <c r="S12" i="26"/>
  <c r="U12" i="26" s="1"/>
  <c r="Y11" i="26"/>
  <c r="S11" i="26"/>
  <c r="U11" i="26" s="1"/>
  <c r="Y10" i="26"/>
  <c r="S10" i="26"/>
  <c r="U10" i="26" s="1"/>
  <c r="Y9" i="26"/>
  <c r="S9" i="26"/>
  <c r="U9" i="26" s="1"/>
  <c r="Y8" i="26"/>
  <c r="S8" i="26"/>
  <c r="U8" i="26" s="1"/>
  <c r="Y7" i="26"/>
  <c r="S7" i="26"/>
  <c r="U7" i="26" s="1"/>
  <c r="Y19" i="25"/>
  <c r="S19" i="25"/>
  <c r="U19" i="25" s="1"/>
  <c r="Y14" i="21"/>
  <c r="S14" i="21"/>
  <c r="U14" i="21" s="1"/>
  <c r="Y35" i="25"/>
  <c r="S35" i="25"/>
  <c r="U35" i="25" s="1"/>
  <c r="Y31" i="25"/>
  <c r="S31" i="25"/>
  <c r="U31" i="25" s="1"/>
  <c r="Y30" i="25"/>
  <c r="S30" i="25"/>
  <c r="U30" i="25" s="1"/>
  <c r="Y29" i="25"/>
  <c r="S29" i="25"/>
  <c r="U29" i="25" s="1"/>
  <c r="Y28" i="25"/>
  <c r="S28" i="25"/>
  <c r="U28" i="25" s="1"/>
  <c r="Y27" i="25"/>
  <c r="S27" i="25"/>
  <c r="U27" i="25" s="1"/>
  <c r="Y26" i="25"/>
  <c r="S26" i="25"/>
  <c r="U26" i="25" s="1"/>
  <c r="Y25" i="25"/>
  <c r="S25" i="25"/>
  <c r="U25" i="25" s="1"/>
  <c r="Y24" i="25"/>
  <c r="S24" i="25"/>
  <c r="U24" i="25" s="1"/>
  <c r="Y23" i="25"/>
  <c r="S23" i="25"/>
  <c r="U23" i="25" s="1"/>
  <c r="Y22" i="25"/>
  <c r="S22" i="25"/>
  <c r="U22" i="25" s="1"/>
  <c r="Y21" i="25"/>
  <c r="S21" i="25"/>
  <c r="U21" i="25" s="1"/>
  <c r="Y20" i="25"/>
  <c r="S20" i="25"/>
  <c r="U20" i="25" s="1"/>
  <c r="Y18" i="25"/>
  <c r="S18" i="25"/>
  <c r="U18" i="25" s="1"/>
  <c r="Y17" i="25"/>
  <c r="S17" i="25"/>
  <c r="U17" i="25" s="1"/>
  <c r="Y16" i="25"/>
  <c r="S16" i="25"/>
  <c r="U16" i="25" s="1"/>
  <c r="Y15" i="25"/>
  <c r="S15" i="25"/>
  <c r="U15" i="25" s="1"/>
  <c r="Y14" i="25"/>
  <c r="S14" i="25"/>
  <c r="U14" i="25" s="1"/>
  <c r="Y13" i="25"/>
  <c r="S13" i="25"/>
  <c r="U13" i="25" s="1"/>
  <c r="Y12" i="25"/>
  <c r="S12" i="25"/>
  <c r="U12" i="25" s="1"/>
  <c r="Y11" i="25"/>
  <c r="S11" i="25"/>
  <c r="U11" i="25" s="1"/>
  <c r="Y10" i="25"/>
  <c r="S10" i="25"/>
  <c r="U10" i="25" s="1"/>
  <c r="Y9" i="25"/>
  <c r="S9" i="25"/>
  <c r="U9" i="25" s="1"/>
  <c r="Y8" i="25"/>
  <c r="S8" i="25"/>
  <c r="U8" i="25" s="1"/>
  <c r="Y7" i="25"/>
  <c r="S7" i="25"/>
  <c r="U7" i="25" s="1"/>
  <c r="S36" i="25"/>
  <c r="U36" i="25" s="1"/>
  <c r="Y36" i="25"/>
  <c r="Z55" i="24"/>
  <c r="Z55" i="23"/>
  <c r="Z50" i="22"/>
  <c r="Y34" i="9"/>
  <c r="S34" i="9"/>
  <c r="U34" i="9" s="1"/>
  <c r="Y30" i="9"/>
  <c r="S30" i="9"/>
  <c r="U30" i="9" s="1"/>
  <c r="Y26" i="9"/>
  <c r="S26" i="9"/>
  <c r="U26" i="9" s="1"/>
  <c r="Y22" i="9"/>
  <c r="S22" i="9"/>
  <c r="U22" i="9" s="1"/>
  <c r="Y18" i="9"/>
  <c r="S18" i="9"/>
  <c r="U18" i="9" s="1"/>
  <c r="Y14" i="9"/>
  <c r="S14" i="9"/>
  <c r="U14" i="9" s="1"/>
  <c r="Y10" i="9"/>
  <c r="S10" i="9"/>
  <c r="U10" i="9" s="1"/>
  <c r="Y42" i="10"/>
  <c r="S42" i="10"/>
  <c r="U42" i="10" s="1"/>
  <c r="Y38" i="10"/>
  <c r="S38" i="10"/>
  <c r="U38" i="10" s="1"/>
  <c r="Y34" i="10"/>
  <c r="S34" i="10"/>
  <c r="U34" i="10" s="1"/>
  <c r="Y30" i="10"/>
  <c r="S30" i="10"/>
  <c r="U30" i="10" s="1"/>
  <c r="Y26" i="10"/>
  <c r="S26" i="10"/>
  <c r="U26" i="10" s="1"/>
  <c r="Y22" i="10"/>
  <c r="S22" i="10"/>
  <c r="U22" i="10" s="1"/>
  <c r="Y18" i="10"/>
  <c r="S18" i="10"/>
  <c r="U18" i="10" s="1"/>
  <c r="Y10" i="10"/>
  <c r="S10" i="10"/>
  <c r="U10" i="10" s="1"/>
  <c r="Y14" i="10"/>
  <c r="Y58" i="10"/>
  <c r="U58" i="10"/>
  <c r="S58" i="10"/>
  <c r="Y57" i="10"/>
  <c r="X57" i="10"/>
  <c r="U57" i="10"/>
  <c r="S57" i="10"/>
  <c r="Y56" i="10"/>
  <c r="S56" i="10"/>
  <c r="U56" i="10" s="1"/>
  <c r="Y55" i="10"/>
  <c r="S55" i="10"/>
  <c r="U55" i="10" s="1"/>
  <c r="Y54" i="10"/>
  <c r="S54" i="10"/>
  <c r="U54" i="10" s="1"/>
  <c r="Y53" i="10"/>
  <c r="S53" i="10"/>
  <c r="U53" i="10" s="1"/>
  <c r="Y52" i="10"/>
  <c r="Z52" i="10" s="1"/>
  <c r="S52" i="10"/>
  <c r="U52" i="10" s="1"/>
  <c r="Y51" i="10"/>
  <c r="U51" i="10"/>
  <c r="S51" i="10"/>
  <c r="Y50" i="10"/>
  <c r="U50" i="10"/>
  <c r="S50" i="10"/>
  <c r="AB56" i="10"/>
  <c r="AC56" i="10" s="1"/>
  <c r="Z56" i="10"/>
  <c r="AB55" i="10"/>
  <c r="AC55" i="10"/>
  <c r="AB54" i="10"/>
  <c r="AC54" i="10" s="1"/>
  <c r="Z54" i="10"/>
  <c r="AB53" i="10"/>
  <c r="AC53" i="10"/>
  <c r="AB52" i="10"/>
  <c r="Y50" i="9"/>
  <c r="S50" i="9"/>
  <c r="U50" i="9" s="1"/>
  <c r="Y49" i="9"/>
  <c r="AC49" i="9" s="1"/>
  <c r="S49" i="9"/>
  <c r="U49" i="9" s="1"/>
  <c r="Y48" i="9"/>
  <c r="S48" i="9"/>
  <c r="U48" i="9" s="1"/>
  <c r="X48" i="9" s="1"/>
  <c r="Y47" i="9"/>
  <c r="Z47" i="9" s="1"/>
  <c r="U47" i="9"/>
  <c r="S47" i="9"/>
  <c r="Y46" i="9"/>
  <c r="U46" i="9"/>
  <c r="S46" i="9"/>
  <c r="Y45" i="9"/>
  <c r="S45" i="9"/>
  <c r="U45" i="9" s="1"/>
  <c r="Y44" i="9"/>
  <c r="AC44" i="9" s="1"/>
  <c r="S44" i="9"/>
  <c r="U44" i="9" s="1"/>
  <c r="Y43" i="9"/>
  <c r="S43" i="9"/>
  <c r="U43" i="9" s="1"/>
  <c r="Y42" i="9"/>
  <c r="S42" i="9"/>
  <c r="U42" i="9" s="1"/>
  <c r="AB50" i="9"/>
  <c r="AC50" i="9" s="1"/>
  <c r="Z50" i="9"/>
  <c r="AB49" i="9"/>
  <c r="AB48" i="9"/>
  <c r="Z48" i="9"/>
  <c r="AB47" i="9"/>
  <c r="AB46" i="9"/>
  <c r="AC46" i="9" s="1"/>
  <c r="AB45" i="9"/>
  <c r="AC45" i="9" s="1"/>
  <c r="AB44" i="9"/>
  <c r="S51" i="9"/>
  <c r="U51" i="9" s="1"/>
  <c r="Y51" i="9"/>
  <c r="S52" i="9"/>
  <c r="U52" i="9" s="1"/>
  <c r="Y52" i="9"/>
  <c r="S53" i="9"/>
  <c r="U53" i="9" s="1"/>
  <c r="Y53" i="9"/>
  <c r="S54" i="9"/>
  <c r="U54" i="9" s="1"/>
  <c r="Y54" i="9"/>
  <c r="S55" i="9"/>
  <c r="U55" i="9" s="1"/>
  <c r="Y55" i="9"/>
  <c r="S56" i="9"/>
  <c r="U56" i="9"/>
  <c r="Y56" i="9"/>
  <c r="X58" i="10" l="1"/>
  <c r="X34" i="9"/>
  <c r="X51" i="10"/>
  <c r="X30" i="28"/>
  <c r="X38" i="10"/>
  <c r="X14" i="25"/>
  <c r="X22" i="10"/>
  <c r="X37" i="27"/>
  <c r="X39" i="23"/>
  <c r="X31" i="25"/>
  <c r="X10" i="9"/>
  <c r="X25" i="25"/>
  <c r="X14" i="21"/>
  <c r="X13" i="26"/>
  <c r="X21" i="26"/>
  <c r="X29" i="26"/>
  <c r="X8" i="27"/>
  <c r="X13" i="27"/>
  <c r="X18" i="27"/>
  <c r="X28" i="27"/>
  <c r="X35" i="28"/>
  <c r="X33" i="28"/>
  <c r="X26" i="9"/>
  <c r="X50" i="9"/>
  <c r="AD50" i="9" s="1"/>
  <c r="AE50" i="9" s="1"/>
  <c r="X53" i="10"/>
  <c r="AD53" i="10" s="1"/>
  <c r="AE53" i="10" s="1"/>
  <c r="X40" i="28"/>
  <c r="X45" i="9"/>
  <c r="AD45" i="9" s="1"/>
  <c r="AE45" i="9" s="1"/>
  <c r="X47" i="9"/>
  <c r="X26" i="10"/>
  <c r="X34" i="10"/>
  <c r="X30" i="9"/>
  <c r="X10" i="26"/>
  <c r="X18" i="26"/>
  <c r="X26" i="26"/>
  <c r="X34" i="26"/>
  <c r="X15" i="27"/>
  <c r="X20" i="27"/>
  <c r="X25" i="27"/>
  <c r="X30" i="27"/>
  <c r="X41" i="27"/>
  <c r="X35" i="22"/>
  <c r="X40" i="23"/>
  <c r="X33" i="25"/>
  <c r="X20" i="25"/>
  <c r="X28" i="25"/>
  <c r="X8" i="26"/>
  <c r="X11" i="27"/>
  <c r="X23" i="27"/>
  <c r="X36" i="27"/>
  <c r="X39" i="27"/>
  <c r="X46" i="9"/>
  <c r="AD46" i="9" s="1"/>
  <c r="AE46" i="9" s="1"/>
  <c r="X26" i="25"/>
  <c r="X9" i="27"/>
  <c r="X43" i="9"/>
  <c r="X56" i="10"/>
  <c r="AD56" i="10" s="1"/>
  <c r="AE56" i="10" s="1"/>
  <c r="X18" i="10"/>
  <c r="X22" i="9"/>
  <c r="X12" i="28"/>
  <c r="X17" i="28"/>
  <c r="X38" i="23"/>
  <c r="X43" i="24"/>
  <c r="X36" i="26"/>
  <c r="X11" i="26"/>
  <c r="X19" i="26"/>
  <c r="X27" i="26"/>
  <c r="X38" i="26"/>
  <c r="X16" i="27"/>
  <c r="X21" i="27"/>
  <c r="X7" i="28"/>
  <c r="X54" i="10"/>
  <c r="X30" i="10"/>
  <c r="X14" i="9"/>
  <c r="X9" i="25"/>
  <c r="X14" i="26"/>
  <c r="X22" i="26"/>
  <c r="X30" i="26"/>
  <c r="X10" i="28"/>
  <c r="X23" i="28"/>
  <c r="X31" i="28"/>
  <c r="X36" i="28"/>
  <c r="X44" i="28"/>
  <c r="X44" i="9"/>
  <c r="AD44" i="9" s="1"/>
  <c r="AE44" i="9" s="1"/>
  <c r="X9" i="26"/>
  <c r="X17" i="26"/>
  <c r="X25" i="26"/>
  <c r="X33" i="26"/>
  <c r="X14" i="27"/>
  <c r="X13" i="28"/>
  <c r="X18" i="28"/>
  <c r="X49" i="9"/>
  <c r="AD49" i="9" s="1"/>
  <c r="AE49" i="9" s="1"/>
  <c r="X52" i="10"/>
  <c r="X42" i="10"/>
  <c r="X12" i="26"/>
  <c r="X20" i="26"/>
  <c r="X28" i="26"/>
  <c r="X7" i="27"/>
  <c r="X12" i="27"/>
  <c r="X32" i="27"/>
  <c r="X8" i="28"/>
  <c r="X29" i="28"/>
  <c r="X34" i="28"/>
  <c r="X37" i="22"/>
  <c r="X32" i="25"/>
  <c r="X42" i="9"/>
  <c r="X50" i="10"/>
  <c r="X55" i="10"/>
  <c r="AD55" i="10" s="1"/>
  <c r="AE55" i="10" s="1"/>
  <c r="X10" i="10"/>
  <c r="X18" i="9"/>
  <c r="X7" i="26"/>
  <c r="X23" i="26"/>
  <c r="X22" i="27"/>
  <c r="X35" i="27"/>
  <c r="X11" i="28"/>
  <c r="X16" i="28"/>
  <c r="X24" i="28"/>
  <c r="X42" i="24"/>
  <c r="X35" i="26"/>
  <c r="X34" i="25"/>
  <c r="X21" i="25"/>
  <c r="X10" i="25"/>
  <c r="X16" i="26"/>
  <c r="X32" i="26"/>
  <c r="X24" i="26"/>
  <c r="X15" i="26"/>
  <c r="X31" i="26"/>
  <c r="X37" i="26"/>
  <c r="X19" i="27"/>
  <c r="X26" i="27"/>
  <c r="X33" i="27"/>
  <c r="X40" i="27"/>
  <c r="X10" i="27"/>
  <c r="X17" i="27"/>
  <c r="X24" i="27"/>
  <c r="X31" i="27"/>
  <c r="X38" i="27"/>
  <c r="X27" i="27"/>
  <c r="X29" i="27"/>
  <c r="X34" i="27"/>
  <c r="X21" i="28"/>
  <c r="X26" i="28"/>
  <c r="X39" i="28"/>
  <c r="X42" i="28"/>
  <c r="X14" i="28"/>
  <c r="X19" i="28"/>
  <c r="X37" i="28"/>
  <c r="X9" i="28"/>
  <c r="X22" i="28"/>
  <c r="X27" i="28"/>
  <c r="X32" i="28"/>
  <c r="X43" i="28"/>
  <c r="X15" i="28"/>
  <c r="X20" i="28"/>
  <c r="X25" i="28"/>
  <c r="X38" i="28"/>
  <c r="X41" i="28"/>
  <c r="X36" i="25"/>
  <c r="X7" i="25"/>
  <c r="X12" i="25"/>
  <c r="X17" i="25"/>
  <c r="X13" i="25"/>
  <c r="X18" i="25"/>
  <c r="X29" i="25"/>
  <c r="X19" i="25"/>
  <c r="X16" i="25"/>
  <c r="X11" i="25"/>
  <c r="X8" i="25"/>
  <c r="X23" i="25"/>
  <c r="X30" i="25"/>
  <c r="X35" i="25"/>
  <c r="X15" i="25"/>
  <c r="X22" i="25"/>
  <c r="X24" i="25"/>
  <c r="X27" i="25"/>
  <c r="AD54" i="10"/>
  <c r="AE54" i="10" s="1"/>
  <c r="Z55" i="10"/>
  <c r="AC52" i="10"/>
  <c r="Z53" i="10"/>
  <c r="AC47" i="9"/>
  <c r="Z44" i="9"/>
  <c r="Z45" i="9"/>
  <c r="AC48" i="9"/>
  <c r="AD48" i="9" s="1"/>
  <c r="AE48" i="9" s="1"/>
  <c r="Z49" i="9"/>
  <c r="Z46" i="9"/>
  <c r="X53" i="9"/>
  <c r="X55" i="9"/>
  <c r="X52" i="9"/>
  <c r="X54" i="9"/>
  <c r="X56" i="9"/>
  <c r="X51" i="9"/>
  <c r="Y30" i="8"/>
  <c r="S30" i="8"/>
  <c r="U30" i="8" s="1"/>
  <c r="Y26" i="8"/>
  <c r="S26" i="8"/>
  <c r="U26" i="8" s="1"/>
  <c r="Y22" i="8"/>
  <c r="S22" i="8"/>
  <c r="U22" i="8" s="1"/>
  <c r="Y18" i="8"/>
  <c r="S18" i="8"/>
  <c r="U18" i="8" s="1"/>
  <c r="Y14" i="8"/>
  <c r="S14" i="8"/>
  <c r="U14" i="8" s="1"/>
  <c r="Y10" i="8"/>
  <c r="Y8" i="6"/>
  <c r="Y10" i="6"/>
  <c r="Y14" i="6"/>
  <c r="Y18" i="6"/>
  <c r="Y22" i="6"/>
  <c r="Y10" i="7"/>
  <c r="Y14" i="7"/>
  <c r="Y18" i="7"/>
  <c r="Y22" i="7"/>
  <c r="Y26" i="7"/>
  <c r="Y46" i="8"/>
  <c r="S46" i="8"/>
  <c r="U46" i="8" s="1"/>
  <c r="Y45" i="8"/>
  <c r="X45" i="8"/>
  <c r="U45" i="8"/>
  <c r="S45" i="8"/>
  <c r="Y37" i="7"/>
  <c r="S37" i="7"/>
  <c r="U37" i="7" s="1"/>
  <c r="Y42" i="7"/>
  <c r="S42" i="7"/>
  <c r="U42" i="7" s="1"/>
  <c r="Y41" i="7"/>
  <c r="S41" i="7"/>
  <c r="U41" i="7" s="1"/>
  <c r="Y42" i="8"/>
  <c r="S42" i="8"/>
  <c r="U42" i="8" s="1"/>
  <c r="Y41" i="8"/>
  <c r="S41" i="8"/>
  <c r="U41" i="8" s="1"/>
  <c r="Y40" i="8"/>
  <c r="U40" i="8"/>
  <c r="S40" i="8"/>
  <c r="Y39" i="8"/>
  <c r="U39" i="8"/>
  <c r="S39" i="8"/>
  <c r="Y38" i="8"/>
  <c r="U38" i="8"/>
  <c r="S38" i="8"/>
  <c r="Y38" i="7"/>
  <c r="S38" i="7"/>
  <c r="U38" i="7" s="1"/>
  <c r="Y36" i="7"/>
  <c r="U36" i="7"/>
  <c r="S36" i="7"/>
  <c r="Y35" i="7"/>
  <c r="U35" i="7"/>
  <c r="S35" i="7"/>
  <c r="Y34" i="7"/>
  <c r="X34" i="7"/>
  <c r="U34" i="7"/>
  <c r="S34" i="7"/>
  <c r="Y37" i="6"/>
  <c r="Y49" i="6"/>
  <c r="Y36" i="6"/>
  <c r="S36" i="6"/>
  <c r="U36" i="6" s="1"/>
  <c r="Z112" i="35"/>
  <c r="Z111" i="35"/>
  <c r="Z108" i="35"/>
  <c r="Z111" i="34"/>
  <c r="Z112" i="34" s="1"/>
  <c r="Z108" i="34"/>
  <c r="Z111" i="33"/>
  <c r="Z112" i="33" s="1"/>
  <c r="Z108" i="33"/>
  <c r="Z111" i="32"/>
  <c r="Z112" i="32" s="1"/>
  <c r="Z108" i="32"/>
  <c r="Z112" i="31"/>
  <c r="Z111" i="31"/>
  <c r="Z108" i="31"/>
  <c r="Z111" i="30"/>
  <c r="Z112" i="30" s="1"/>
  <c r="Z108" i="30"/>
  <c r="Z111" i="29"/>
  <c r="Z112" i="29" s="1"/>
  <c r="Z108" i="29"/>
  <c r="Z62" i="28"/>
  <c r="Z63" i="28" s="1"/>
  <c r="Z59" i="28"/>
  <c r="Z65" i="27"/>
  <c r="Z66" i="27" s="1"/>
  <c r="Z62" i="27"/>
  <c r="Z62" i="26"/>
  <c r="Z63" i="26" s="1"/>
  <c r="Z59" i="26"/>
  <c r="Z54" i="25"/>
  <c r="Z55" i="25" s="1"/>
  <c r="Z51" i="25"/>
  <c r="Z72" i="20"/>
  <c r="Z73" i="20" s="1"/>
  <c r="Z69" i="20"/>
  <c r="Z68" i="19"/>
  <c r="Z69" i="19" s="1"/>
  <c r="Z65" i="19"/>
  <c r="Z61" i="18"/>
  <c r="Z62" i="18" s="1"/>
  <c r="Z58" i="18"/>
  <c r="Z60" i="17"/>
  <c r="Z61" i="17" s="1"/>
  <c r="Z57" i="17"/>
  <c r="Z57" i="16"/>
  <c r="Z58" i="16" s="1"/>
  <c r="Z54" i="16"/>
  <c r="Z72" i="15"/>
  <c r="Z73" i="15" s="1"/>
  <c r="Z69" i="15"/>
  <c r="Z69" i="14"/>
  <c r="Z70" i="14" s="1"/>
  <c r="Z66" i="14"/>
  <c r="Z67" i="13"/>
  <c r="Z68" i="13" s="1"/>
  <c r="Z64" i="13"/>
  <c r="Z62" i="12"/>
  <c r="Z63" i="12" s="1"/>
  <c r="Z59" i="12"/>
  <c r="Z53" i="11"/>
  <c r="Z54" i="11" s="1"/>
  <c r="Z50" i="11"/>
  <c r="AB31" i="6"/>
  <c r="Y31" i="6"/>
  <c r="S31" i="6"/>
  <c r="U31" i="6" s="1"/>
  <c r="Y30" i="6"/>
  <c r="S30" i="6"/>
  <c r="U30" i="6" s="1"/>
  <c r="Y33" i="6"/>
  <c r="S33" i="6"/>
  <c r="U33" i="6" s="1"/>
  <c r="Z106" i="35"/>
  <c r="Z104" i="35"/>
  <c r="Z106" i="34"/>
  <c r="Z104" i="34"/>
  <c r="Z106" i="33"/>
  <c r="Z104" i="33"/>
  <c r="Z106" i="32"/>
  <c r="Z104" i="32"/>
  <c r="Z106" i="31"/>
  <c r="Z104" i="31"/>
  <c r="Z106" i="30"/>
  <c r="Z104" i="30"/>
  <c r="Z106" i="29"/>
  <c r="Z104" i="29"/>
  <c r="Z57" i="28"/>
  <c r="Z60" i="27"/>
  <c r="Z57" i="26"/>
  <c r="Z49" i="25"/>
  <c r="Z58" i="24"/>
  <c r="Z58" i="23"/>
  <c r="Z53" i="22"/>
  <c r="Z50" i="21"/>
  <c r="Z67" i="20"/>
  <c r="Z63" i="19"/>
  <c r="Z56" i="18"/>
  <c r="Z55" i="17"/>
  <c r="Z52" i="16"/>
  <c r="Z67" i="15"/>
  <c r="Z64" i="14"/>
  <c r="Z62" i="13"/>
  <c r="Z57" i="12"/>
  <c r="Z48" i="11"/>
  <c r="Z71" i="10"/>
  <c r="Z63" i="9"/>
  <c r="Z56" i="8"/>
  <c r="Z56" i="7"/>
  <c r="Z56" i="6"/>
  <c r="X41" i="8" l="1"/>
  <c r="X36" i="7"/>
  <c r="AD47" i="9"/>
  <c r="AE47" i="9" s="1"/>
  <c r="X36" i="6"/>
  <c r="AD52" i="10"/>
  <c r="AE52" i="10" s="1"/>
  <c r="X30" i="8"/>
  <c r="X38" i="7"/>
  <c r="X39" i="8"/>
  <c r="X42" i="7"/>
  <c r="X42" i="8"/>
  <c r="X41" i="7"/>
  <c r="X26" i="8"/>
  <c r="X38" i="8"/>
  <c r="X18" i="8"/>
  <c r="X40" i="8"/>
  <c r="X35" i="7"/>
  <c r="X22" i="8"/>
  <c r="X37" i="7"/>
  <c r="X46" i="8"/>
  <c r="X14" i="8"/>
  <c r="X31" i="6"/>
  <c r="AD31" i="6" s="1"/>
  <c r="AE31" i="6" s="1"/>
  <c r="AC31" i="6"/>
  <c r="Z31" i="6"/>
  <c r="X30" i="6"/>
  <c r="X33" i="6"/>
  <c r="Y23" i="24"/>
  <c r="S23" i="24"/>
  <c r="U23" i="24" s="1"/>
  <c r="Y22" i="24"/>
  <c r="S22" i="24"/>
  <c r="U22" i="24" s="1"/>
  <c r="Y38" i="24"/>
  <c r="S38" i="24"/>
  <c r="U38" i="24" s="1"/>
  <c r="Y37" i="24"/>
  <c r="S37" i="24"/>
  <c r="U37" i="24" s="1"/>
  <c r="Y36" i="24"/>
  <c r="S36" i="24"/>
  <c r="U36" i="24" s="1"/>
  <c r="Y35" i="24"/>
  <c r="X35" i="24"/>
  <c r="U35" i="24"/>
  <c r="S35" i="24"/>
  <c r="S34" i="24"/>
  <c r="U34" i="24"/>
  <c r="Y34" i="24"/>
  <c r="Y32" i="24"/>
  <c r="S32" i="24"/>
  <c r="U32" i="24" s="1"/>
  <c r="Y31" i="24"/>
  <c r="S31" i="24"/>
  <c r="U31" i="24" s="1"/>
  <c r="Y30" i="24"/>
  <c r="S30" i="24"/>
  <c r="U30" i="24" s="1"/>
  <c r="Y29" i="24"/>
  <c r="S29" i="24"/>
  <c r="U29" i="24" s="1"/>
  <c r="Y28" i="24"/>
  <c r="S28" i="24"/>
  <c r="U28" i="24" s="1"/>
  <c r="Y35" i="23"/>
  <c r="S35" i="23"/>
  <c r="U35" i="23" s="1"/>
  <c r="Y34" i="23"/>
  <c r="S34" i="23"/>
  <c r="U34" i="23" s="1"/>
  <c r="Y33" i="23"/>
  <c r="S33" i="23"/>
  <c r="U33" i="23" s="1"/>
  <c r="Y32" i="23"/>
  <c r="S32" i="23"/>
  <c r="U32" i="23" s="1"/>
  <c r="Y29" i="23"/>
  <c r="S29" i="23"/>
  <c r="U29" i="23" s="1"/>
  <c r="Y28" i="23"/>
  <c r="S28" i="23"/>
  <c r="U28" i="23" s="1"/>
  <c r="Y27" i="23"/>
  <c r="S27" i="23"/>
  <c r="U27" i="23" s="1"/>
  <c r="Y26" i="23"/>
  <c r="S26" i="23"/>
  <c r="U26" i="23" s="1"/>
  <c r="Y25" i="23"/>
  <c r="U25" i="23"/>
  <c r="S25" i="23"/>
  <c r="Y20" i="24"/>
  <c r="S20" i="24"/>
  <c r="U20" i="24" s="1"/>
  <c r="Y19" i="24"/>
  <c r="S19" i="24"/>
  <c r="U19" i="24" s="1"/>
  <c r="Y18" i="24"/>
  <c r="S18" i="24"/>
  <c r="U18" i="24" s="1"/>
  <c r="Y17" i="24"/>
  <c r="U17" i="24"/>
  <c r="S17" i="24"/>
  <c r="Y16" i="24"/>
  <c r="S16" i="24"/>
  <c r="U16" i="24" s="1"/>
  <c r="Y15" i="24"/>
  <c r="U15" i="24"/>
  <c r="S15" i="24"/>
  <c r="Y14" i="24"/>
  <c r="S14" i="24"/>
  <c r="U14" i="24" s="1"/>
  <c r="Y13" i="24"/>
  <c r="S13" i="24"/>
  <c r="U13" i="24" s="1"/>
  <c r="Y12" i="24"/>
  <c r="S12" i="24"/>
  <c r="U12" i="24" s="1"/>
  <c r="Y11" i="24"/>
  <c r="S11" i="24"/>
  <c r="U11" i="24" s="1"/>
  <c r="Y10" i="24"/>
  <c r="S10" i="24"/>
  <c r="U10" i="24" s="1"/>
  <c r="Y9" i="24"/>
  <c r="S9" i="24"/>
  <c r="U9" i="24" s="1"/>
  <c r="Y8" i="24"/>
  <c r="S8" i="24"/>
  <c r="U8" i="24" s="1"/>
  <c r="Y7" i="24"/>
  <c r="S7" i="24"/>
  <c r="U7" i="24" s="1"/>
  <c r="Y20" i="23"/>
  <c r="S20" i="23"/>
  <c r="U20" i="23" s="1"/>
  <c r="Y19" i="23"/>
  <c r="S19" i="23"/>
  <c r="U19" i="23" s="1"/>
  <c r="Y18" i="23"/>
  <c r="S18" i="23"/>
  <c r="U18" i="23" s="1"/>
  <c r="Y17" i="23"/>
  <c r="S17" i="23"/>
  <c r="U17" i="23" s="1"/>
  <c r="Y16" i="23"/>
  <c r="S16" i="23"/>
  <c r="U16" i="23" s="1"/>
  <c r="Y15" i="23"/>
  <c r="S15" i="23"/>
  <c r="U15" i="23" s="1"/>
  <c r="Y14" i="23"/>
  <c r="S14" i="23"/>
  <c r="U14" i="23" s="1"/>
  <c r="Y13" i="23"/>
  <c r="S13" i="23"/>
  <c r="U13" i="23" s="1"/>
  <c r="Y12" i="23"/>
  <c r="S12" i="23"/>
  <c r="U12" i="23" s="1"/>
  <c r="Y11" i="23"/>
  <c r="S11" i="23"/>
  <c r="U11" i="23" s="1"/>
  <c r="Y10" i="23"/>
  <c r="S10" i="23"/>
  <c r="U10" i="23" s="1"/>
  <c r="Y9" i="23"/>
  <c r="S9" i="23"/>
  <c r="U9" i="23" s="1"/>
  <c r="Y8" i="23"/>
  <c r="S8" i="23"/>
  <c r="U8" i="23" s="1"/>
  <c r="Y7" i="23"/>
  <c r="S7" i="23"/>
  <c r="U7" i="23" s="1"/>
  <c r="Y32" i="22"/>
  <c r="S32" i="22"/>
  <c r="U32" i="22" s="1"/>
  <c r="Y31" i="22"/>
  <c r="S31" i="22"/>
  <c r="U31" i="22" s="1"/>
  <c r="Y30" i="22"/>
  <c r="S30" i="22"/>
  <c r="U30" i="22" s="1"/>
  <c r="Y29" i="22"/>
  <c r="S29" i="22"/>
  <c r="U29" i="22" s="1"/>
  <c r="Y26" i="22"/>
  <c r="S26" i="22"/>
  <c r="U26" i="22" s="1"/>
  <c r="Y25" i="22"/>
  <c r="S25" i="22"/>
  <c r="U25" i="22" s="1"/>
  <c r="Y24" i="22"/>
  <c r="S24" i="22"/>
  <c r="U24" i="22" s="1"/>
  <c r="Y23" i="22"/>
  <c r="S23" i="22"/>
  <c r="U23" i="22" s="1"/>
  <c r="Y22" i="22"/>
  <c r="S22" i="22"/>
  <c r="U22" i="22" s="1"/>
  <c r="X29" i="22" l="1"/>
  <c r="X19" i="23"/>
  <c r="X7" i="23"/>
  <c r="X15" i="23"/>
  <c r="X30" i="24"/>
  <c r="X25" i="22"/>
  <c r="X9" i="23"/>
  <c r="X16" i="24"/>
  <c r="X19" i="24"/>
  <c r="X26" i="22"/>
  <c r="X12" i="24"/>
  <c r="X36" i="24"/>
  <c r="X31" i="22"/>
  <c r="X13" i="23"/>
  <c r="X7" i="24"/>
  <c r="X26" i="23"/>
  <c r="X28" i="24"/>
  <c r="X24" i="22"/>
  <c r="X16" i="23"/>
  <c r="X10" i="24"/>
  <c r="X20" i="24"/>
  <c r="X34" i="24"/>
  <c r="X22" i="22"/>
  <c r="X32" i="22"/>
  <c r="X8" i="24"/>
  <c r="X18" i="24"/>
  <c r="X29" i="24"/>
  <c r="X30" i="22"/>
  <c r="X20" i="23"/>
  <c r="X14" i="24"/>
  <c r="X8" i="23"/>
  <c r="X29" i="23"/>
  <c r="X14" i="23"/>
  <c r="X12" i="23"/>
  <c r="X17" i="23"/>
  <c r="X32" i="23"/>
  <c r="X25" i="23"/>
  <c r="X33" i="23"/>
  <c r="X10" i="23"/>
  <c r="X27" i="23"/>
  <c r="X34" i="23"/>
  <c r="X11" i="23"/>
  <c r="X18" i="23"/>
  <c r="X28" i="23"/>
  <c r="X35" i="23"/>
  <c r="X23" i="22"/>
  <c r="X11" i="24"/>
  <c r="X22" i="24"/>
  <c r="X37" i="24"/>
  <c r="X13" i="24"/>
  <c r="X23" i="24"/>
  <c r="X31" i="24"/>
  <c r="X15" i="24"/>
  <c r="X17" i="24"/>
  <c r="X32" i="24"/>
  <c r="X38" i="24"/>
  <c r="X9" i="24"/>
  <c r="Y29" i="21"/>
  <c r="S29" i="21"/>
  <c r="U29" i="21" s="1"/>
  <c r="Y28" i="21"/>
  <c r="S28" i="21"/>
  <c r="U28" i="21" s="1"/>
  <c r="Y27" i="21"/>
  <c r="S27" i="21"/>
  <c r="U27" i="21" s="1"/>
  <c r="Y26" i="21"/>
  <c r="S26" i="21"/>
  <c r="U26" i="21" s="1"/>
  <c r="Y23" i="21"/>
  <c r="S23" i="21"/>
  <c r="U23" i="21" s="1"/>
  <c r="Y22" i="21"/>
  <c r="S22" i="21"/>
  <c r="U22" i="21" s="1"/>
  <c r="Y19" i="21"/>
  <c r="S19" i="21"/>
  <c r="U19" i="21" s="1"/>
  <c r="Y16" i="21"/>
  <c r="S16" i="21"/>
  <c r="U16" i="21" s="1"/>
  <c r="Y12" i="21"/>
  <c r="Z12" i="21" s="1"/>
  <c r="S12" i="21"/>
  <c r="U12" i="21" s="1"/>
  <c r="AB12" i="21"/>
  <c r="AC12" i="21" s="1"/>
  <c r="S13" i="21"/>
  <c r="U13" i="21" s="1"/>
  <c r="Y13" i="21"/>
  <c r="Z13" i="21" s="1"/>
  <c r="AB13" i="21"/>
  <c r="AC13" i="21" s="1"/>
  <c r="Z14" i="21"/>
  <c r="Z47" i="21" s="1"/>
  <c r="AB14" i="21"/>
  <c r="Y21" i="22"/>
  <c r="S21" i="22"/>
  <c r="U21" i="22" s="1"/>
  <c r="Y20" i="22"/>
  <c r="S20" i="22"/>
  <c r="U20" i="22" s="1"/>
  <c r="Y19" i="22"/>
  <c r="S19" i="22"/>
  <c r="U19" i="22" s="1"/>
  <c r="Y18" i="22"/>
  <c r="U18" i="22"/>
  <c r="S18" i="22"/>
  <c r="Y17" i="22"/>
  <c r="S17" i="22"/>
  <c r="U17" i="22" s="1"/>
  <c r="Y16" i="22"/>
  <c r="S16" i="22"/>
  <c r="U16" i="22" s="1"/>
  <c r="Y15" i="22"/>
  <c r="S15" i="22"/>
  <c r="U15" i="22" s="1"/>
  <c r="Y14" i="22"/>
  <c r="U14" i="22"/>
  <c r="S14" i="22"/>
  <c r="Y13" i="22"/>
  <c r="S13" i="22"/>
  <c r="U13" i="22" s="1"/>
  <c r="Y12" i="22"/>
  <c r="S12" i="22"/>
  <c r="U12" i="22" s="1"/>
  <c r="Y11" i="22"/>
  <c r="S11" i="22"/>
  <c r="U11" i="22" s="1"/>
  <c r="Y10" i="22"/>
  <c r="S10" i="22"/>
  <c r="U10" i="22" s="1"/>
  <c r="Y9" i="22"/>
  <c r="S9" i="22"/>
  <c r="U9" i="22" s="1"/>
  <c r="Y8" i="22"/>
  <c r="S8" i="22"/>
  <c r="U8" i="22" s="1"/>
  <c r="Y7" i="22"/>
  <c r="S7" i="22"/>
  <c r="U7" i="22" s="1"/>
  <c r="X23" i="21" l="1"/>
  <c r="X18" i="22"/>
  <c r="X12" i="21"/>
  <c r="X16" i="21"/>
  <c r="X11" i="22"/>
  <c r="X10" i="22"/>
  <c r="X15" i="22"/>
  <c r="X20" i="22"/>
  <c r="X8" i="22"/>
  <c r="X13" i="22"/>
  <c r="X19" i="22"/>
  <c r="X21" i="22"/>
  <c r="X29" i="21"/>
  <c r="X22" i="21"/>
  <c r="AC14" i="21"/>
  <c r="X28" i="21"/>
  <c r="X26" i="21"/>
  <c r="X7" i="22"/>
  <c r="X9" i="22"/>
  <c r="X16" i="22"/>
  <c r="X27" i="21"/>
  <c r="X12" i="22"/>
  <c r="X14" i="22"/>
  <c r="X13" i="21"/>
  <c r="AD13" i="21" s="1"/>
  <c r="AE13" i="21" s="1"/>
  <c r="X17" i="22"/>
  <c r="X19" i="21"/>
  <c r="AD12" i="21"/>
  <c r="AE12" i="21" s="1"/>
  <c r="Y10" i="21"/>
  <c r="S10" i="21"/>
  <c r="U10" i="21" s="1"/>
  <c r="Y9" i="21"/>
  <c r="S9" i="21"/>
  <c r="U9" i="21" s="1"/>
  <c r="Y8" i="21"/>
  <c r="S8" i="21"/>
  <c r="U8" i="21" s="1"/>
  <c r="Y7" i="21"/>
  <c r="S7" i="21"/>
  <c r="U7" i="21" s="1"/>
  <c r="Y51" i="20"/>
  <c r="S51" i="20"/>
  <c r="U51" i="20" s="1"/>
  <c r="Y50" i="20"/>
  <c r="S50" i="20"/>
  <c r="U50" i="20" s="1"/>
  <c r="Y49" i="20"/>
  <c r="S49" i="20"/>
  <c r="U49" i="20" s="1"/>
  <c r="Y48" i="20"/>
  <c r="S48" i="20"/>
  <c r="U48" i="20" s="1"/>
  <c r="Y47" i="20"/>
  <c r="U47" i="20"/>
  <c r="S47" i="20"/>
  <c r="Y46" i="20"/>
  <c r="S46" i="20"/>
  <c r="U46" i="20" s="1"/>
  <c r="Y45" i="20"/>
  <c r="S45" i="20"/>
  <c r="U45" i="20" s="1"/>
  <c r="Y44" i="20"/>
  <c r="S44" i="20"/>
  <c r="U44" i="20" s="1"/>
  <c r="Y43" i="20"/>
  <c r="S43" i="20"/>
  <c r="U43" i="20" s="1"/>
  <c r="Y42" i="20"/>
  <c r="S42" i="20"/>
  <c r="U42" i="20" s="1"/>
  <c r="Y41" i="20"/>
  <c r="S41" i="20"/>
  <c r="U41" i="20" s="1"/>
  <c r="Y40" i="20"/>
  <c r="S40" i="20"/>
  <c r="U40" i="20" s="1"/>
  <c r="Y39" i="20"/>
  <c r="S39" i="20"/>
  <c r="U39" i="20" s="1"/>
  <c r="Y38" i="20"/>
  <c r="S38" i="20"/>
  <c r="U38" i="20" s="1"/>
  <c r="Y37" i="20"/>
  <c r="S37" i="20"/>
  <c r="U37" i="20" s="1"/>
  <c r="Y36" i="20"/>
  <c r="S36" i="20"/>
  <c r="U36" i="20" s="1"/>
  <c r="Y35" i="20"/>
  <c r="S35" i="20"/>
  <c r="U35" i="20" s="1"/>
  <c r="Y33" i="20"/>
  <c r="S33" i="20"/>
  <c r="U33" i="20" s="1"/>
  <c r="Y32" i="20"/>
  <c r="S32" i="20"/>
  <c r="U32" i="20" s="1"/>
  <c r="Y31" i="20"/>
  <c r="S31" i="20"/>
  <c r="U31" i="20" s="1"/>
  <c r="Y30" i="20"/>
  <c r="U30" i="20"/>
  <c r="S30" i="20"/>
  <c r="Y29" i="20"/>
  <c r="S29" i="20"/>
  <c r="U29" i="20" s="1"/>
  <c r="Y28" i="20"/>
  <c r="S28" i="20"/>
  <c r="U28" i="20" s="1"/>
  <c r="Y27" i="20"/>
  <c r="S27" i="20"/>
  <c r="U27" i="20" s="1"/>
  <c r="Y26" i="20"/>
  <c r="S26" i="20"/>
  <c r="U26" i="20" s="1"/>
  <c r="Y25" i="20"/>
  <c r="S25" i="20"/>
  <c r="U25" i="20" s="1"/>
  <c r="Y24" i="20"/>
  <c r="S24" i="20"/>
  <c r="U24" i="20" s="1"/>
  <c r="Y23" i="20"/>
  <c r="S23" i="20"/>
  <c r="U23" i="20" s="1"/>
  <c r="Y22" i="20"/>
  <c r="S22" i="20"/>
  <c r="U22" i="20" s="1"/>
  <c r="Y21" i="20"/>
  <c r="S21" i="20"/>
  <c r="U21" i="20" s="1"/>
  <c r="Y20" i="20"/>
  <c r="S20" i="20"/>
  <c r="U20" i="20" s="1"/>
  <c r="Y19" i="20"/>
  <c r="S19" i="20"/>
  <c r="U19" i="20" s="1"/>
  <c r="Y18" i="20"/>
  <c r="S18" i="20"/>
  <c r="U18" i="20" s="1"/>
  <c r="Y17" i="20"/>
  <c r="S17" i="20"/>
  <c r="U17" i="20" s="1"/>
  <c r="Y16" i="20"/>
  <c r="S16" i="20"/>
  <c r="U16" i="20" s="1"/>
  <c r="Y15" i="20"/>
  <c r="S15" i="20"/>
  <c r="U15" i="20" s="1"/>
  <c r="Y14" i="20"/>
  <c r="S14" i="20"/>
  <c r="U14" i="20" s="1"/>
  <c r="Y13" i="20"/>
  <c r="S13" i="20"/>
  <c r="U13" i="20" s="1"/>
  <c r="S12" i="20"/>
  <c r="U12" i="20" s="1"/>
  <c r="Y46" i="19"/>
  <c r="S46" i="19"/>
  <c r="U46" i="19" s="1"/>
  <c r="Y45" i="19"/>
  <c r="S45" i="19"/>
  <c r="U45" i="19" s="1"/>
  <c r="Y44" i="19"/>
  <c r="S44" i="19"/>
  <c r="U44" i="19" s="1"/>
  <c r="Y43" i="19"/>
  <c r="S43" i="19"/>
  <c r="U43" i="19" s="1"/>
  <c r="Y42" i="19"/>
  <c r="U42" i="19"/>
  <c r="S42" i="19"/>
  <c r="Y41" i="19"/>
  <c r="S41" i="19"/>
  <c r="U41" i="19" s="1"/>
  <c r="Y40" i="19"/>
  <c r="S40" i="19"/>
  <c r="U40" i="19" s="1"/>
  <c r="Y39" i="19"/>
  <c r="S39" i="19"/>
  <c r="U39" i="19" s="1"/>
  <c r="Y38" i="19"/>
  <c r="S38" i="19"/>
  <c r="U38" i="19" s="1"/>
  <c r="Y37" i="19"/>
  <c r="S37" i="19"/>
  <c r="U37" i="19" s="1"/>
  <c r="Y36" i="19"/>
  <c r="S36" i="19"/>
  <c r="U36" i="19" s="1"/>
  <c r="Y35" i="19"/>
  <c r="S35" i="19"/>
  <c r="U35" i="19" s="1"/>
  <c r="Y34" i="19"/>
  <c r="S34" i="19"/>
  <c r="U34" i="19" s="1"/>
  <c r="Y33" i="19"/>
  <c r="S33" i="19"/>
  <c r="U33" i="19" s="1"/>
  <c r="Y32" i="19"/>
  <c r="S32" i="19"/>
  <c r="U32" i="19" s="1"/>
  <c r="Y31" i="19"/>
  <c r="S31" i="19"/>
  <c r="U31" i="19" s="1"/>
  <c r="Y28" i="19"/>
  <c r="S28" i="19"/>
  <c r="U28" i="19" s="1"/>
  <c r="Y27" i="19"/>
  <c r="U27" i="19"/>
  <c r="S27" i="19"/>
  <c r="Y26" i="19"/>
  <c r="S26" i="19"/>
  <c r="U26" i="19" s="1"/>
  <c r="Y25" i="19"/>
  <c r="S25" i="19"/>
  <c r="U25" i="19" s="1"/>
  <c r="Y24" i="19"/>
  <c r="S24" i="19"/>
  <c r="U24" i="19" s="1"/>
  <c r="Y23" i="19"/>
  <c r="S23" i="19"/>
  <c r="U23" i="19" s="1"/>
  <c r="Y22" i="19"/>
  <c r="S22" i="19"/>
  <c r="U22" i="19" s="1"/>
  <c r="Y21" i="19"/>
  <c r="S21" i="19"/>
  <c r="U21" i="19" s="1"/>
  <c r="Y20" i="19"/>
  <c r="S20" i="19"/>
  <c r="U20" i="19" s="1"/>
  <c r="Y19" i="19"/>
  <c r="S19" i="19"/>
  <c r="U19" i="19" s="1"/>
  <c r="Y18" i="19"/>
  <c r="S18" i="19"/>
  <c r="U18" i="19" s="1"/>
  <c r="Y17" i="19"/>
  <c r="S17" i="19"/>
  <c r="U17" i="19" s="1"/>
  <c r="Y16" i="19"/>
  <c r="S16" i="19"/>
  <c r="U16" i="19" s="1"/>
  <c r="Y15" i="19"/>
  <c r="S15" i="19"/>
  <c r="U15" i="19" s="1"/>
  <c r="Y14" i="19"/>
  <c r="S14" i="19"/>
  <c r="U14" i="19" s="1"/>
  <c r="Y13" i="19"/>
  <c r="U13" i="19"/>
  <c r="S13" i="19"/>
  <c r="S12" i="19"/>
  <c r="U12" i="19" s="1"/>
  <c r="Y42" i="18"/>
  <c r="S42" i="18"/>
  <c r="U42" i="18" s="1"/>
  <c r="Y41" i="18"/>
  <c r="S41" i="18"/>
  <c r="U41" i="18" s="1"/>
  <c r="Y40" i="18"/>
  <c r="S40" i="18"/>
  <c r="U40" i="18" s="1"/>
  <c r="Y39" i="18"/>
  <c r="S39" i="18"/>
  <c r="U39" i="18" s="1"/>
  <c r="Y38" i="18"/>
  <c r="S38" i="18"/>
  <c r="U38" i="18" s="1"/>
  <c r="Y37" i="18"/>
  <c r="S37" i="18"/>
  <c r="U37" i="18" s="1"/>
  <c r="Y36" i="18"/>
  <c r="S36" i="18"/>
  <c r="U36" i="18" s="1"/>
  <c r="Y35" i="18"/>
  <c r="S35" i="18"/>
  <c r="U35" i="18" s="1"/>
  <c r="Y34" i="18"/>
  <c r="S34" i="18"/>
  <c r="U34" i="18" s="1"/>
  <c r="Y33" i="18"/>
  <c r="S33" i="18"/>
  <c r="U33" i="18" s="1"/>
  <c r="Y32" i="18"/>
  <c r="S32" i="18"/>
  <c r="U32" i="18" s="1"/>
  <c r="Y31" i="18"/>
  <c r="S31" i="18"/>
  <c r="U31" i="18" s="1"/>
  <c r="Y30" i="18"/>
  <c r="S30" i="18"/>
  <c r="U30" i="18" s="1"/>
  <c r="Y29" i="18"/>
  <c r="S29" i="18"/>
  <c r="U29" i="18" s="1"/>
  <c r="Y40" i="17"/>
  <c r="S40" i="17"/>
  <c r="U40" i="17" s="1"/>
  <c r="Y39" i="17"/>
  <c r="S39" i="17"/>
  <c r="U39" i="17" s="1"/>
  <c r="Y38" i="17"/>
  <c r="S38" i="17"/>
  <c r="U38" i="17" s="1"/>
  <c r="Y37" i="17"/>
  <c r="S37" i="17"/>
  <c r="U37" i="17" s="1"/>
  <c r="Y36" i="17"/>
  <c r="S36" i="17"/>
  <c r="U36" i="17" s="1"/>
  <c r="Y35" i="17"/>
  <c r="S35" i="17"/>
  <c r="U35" i="17" s="1"/>
  <c r="Y34" i="17"/>
  <c r="S34" i="17"/>
  <c r="U34" i="17" s="1"/>
  <c r="Y33" i="17"/>
  <c r="S33" i="17"/>
  <c r="U33" i="17" s="1"/>
  <c r="Y32" i="17"/>
  <c r="S32" i="17"/>
  <c r="U32" i="17" s="1"/>
  <c r="Y31" i="17"/>
  <c r="S31" i="17"/>
  <c r="U31" i="17" s="1"/>
  <c r="Y30" i="17"/>
  <c r="S30" i="17"/>
  <c r="U30" i="17" s="1"/>
  <c r="Y29" i="17"/>
  <c r="S29" i="17"/>
  <c r="U29" i="17" s="1"/>
  <c r="Y28" i="17"/>
  <c r="S28" i="17"/>
  <c r="U28" i="17" s="1"/>
  <c r="Y27" i="17"/>
  <c r="S27" i="17"/>
  <c r="U27" i="17" s="1"/>
  <c r="Y24" i="17"/>
  <c r="S24" i="17"/>
  <c r="U24" i="17" s="1"/>
  <c r="Y23" i="17"/>
  <c r="S23" i="17"/>
  <c r="U23" i="17" s="1"/>
  <c r="Y22" i="17"/>
  <c r="S22" i="17"/>
  <c r="U22" i="17" s="1"/>
  <c r="Y21" i="17"/>
  <c r="U21" i="17"/>
  <c r="S21" i="17"/>
  <c r="Y20" i="17"/>
  <c r="S20" i="17"/>
  <c r="U20" i="17" s="1"/>
  <c r="Y19" i="17"/>
  <c r="S19" i="17"/>
  <c r="U19" i="17" s="1"/>
  <c r="Y18" i="17"/>
  <c r="S18" i="17"/>
  <c r="U18" i="17" s="1"/>
  <c r="Y17" i="17"/>
  <c r="S17" i="17"/>
  <c r="U17" i="17" s="1"/>
  <c r="Y16" i="17"/>
  <c r="S16" i="17"/>
  <c r="U16" i="17" s="1"/>
  <c r="Y15" i="17"/>
  <c r="S15" i="17"/>
  <c r="U15" i="17" s="1"/>
  <c r="Y14" i="17"/>
  <c r="S14" i="17"/>
  <c r="U14" i="17" s="1"/>
  <c r="Y13" i="17"/>
  <c r="S13" i="17"/>
  <c r="U13" i="17" s="1"/>
  <c r="S12" i="17"/>
  <c r="U12" i="17" s="1"/>
  <c r="Y38" i="16"/>
  <c r="S38" i="16"/>
  <c r="U38" i="16" s="1"/>
  <c r="Y37" i="16"/>
  <c r="S37" i="16"/>
  <c r="U37" i="16" s="1"/>
  <c r="Y36" i="16"/>
  <c r="S36" i="16"/>
  <c r="U36" i="16" s="1"/>
  <c r="Y35" i="16"/>
  <c r="S35" i="16"/>
  <c r="U35" i="16" s="1"/>
  <c r="Y34" i="16"/>
  <c r="S34" i="16"/>
  <c r="U34" i="16" s="1"/>
  <c r="Y33" i="16"/>
  <c r="S33" i="16"/>
  <c r="U33" i="16" s="1"/>
  <c r="Y32" i="16"/>
  <c r="S32" i="16"/>
  <c r="U32" i="16" s="1"/>
  <c r="Y31" i="16"/>
  <c r="S31" i="16"/>
  <c r="U31" i="16" s="1"/>
  <c r="Y30" i="16"/>
  <c r="S30" i="16"/>
  <c r="U30" i="16" s="1"/>
  <c r="Y29" i="16"/>
  <c r="S29" i="16"/>
  <c r="U29" i="16" s="1"/>
  <c r="Y28" i="16"/>
  <c r="S28" i="16"/>
  <c r="U28" i="16" s="1"/>
  <c r="Y27" i="16"/>
  <c r="S27" i="16"/>
  <c r="U27" i="16" s="1"/>
  <c r="Y26" i="16"/>
  <c r="S26" i="16"/>
  <c r="U26" i="16" s="1"/>
  <c r="Y25" i="16"/>
  <c r="S25" i="16"/>
  <c r="U25" i="16" s="1"/>
  <c r="Y22" i="16"/>
  <c r="S22" i="16"/>
  <c r="U22" i="16" s="1"/>
  <c r="Y21" i="16"/>
  <c r="U21" i="16"/>
  <c r="S21" i="16"/>
  <c r="Y20" i="16"/>
  <c r="S20" i="16"/>
  <c r="U20" i="16" s="1"/>
  <c r="Y19" i="16"/>
  <c r="S19" i="16"/>
  <c r="U19" i="16" s="1"/>
  <c r="Y18" i="16"/>
  <c r="S18" i="16"/>
  <c r="U18" i="16" s="1"/>
  <c r="Y17" i="16"/>
  <c r="S17" i="16"/>
  <c r="U17" i="16" s="1"/>
  <c r="Y16" i="16"/>
  <c r="U16" i="16"/>
  <c r="S16" i="16"/>
  <c r="Y15" i="16"/>
  <c r="S15" i="16"/>
  <c r="U15" i="16" s="1"/>
  <c r="Y14" i="16"/>
  <c r="S14" i="16"/>
  <c r="U14" i="16" s="1"/>
  <c r="Y13" i="16"/>
  <c r="S13" i="16"/>
  <c r="U13" i="16" s="1"/>
  <c r="S12" i="16"/>
  <c r="U12" i="16" s="1"/>
  <c r="Y31" i="11"/>
  <c r="AC31" i="11" s="1"/>
  <c r="S31" i="11"/>
  <c r="U31" i="11" s="1"/>
  <c r="Y33" i="12"/>
  <c r="S33" i="12"/>
  <c r="U33" i="12" s="1"/>
  <c r="Y35" i="13"/>
  <c r="S35" i="13"/>
  <c r="U35" i="13" s="1"/>
  <c r="Y37" i="14"/>
  <c r="S37" i="14"/>
  <c r="U37" i="14" s="1"/>
  <c r="AB40" i="15"/>
  <c r="Y40" i="15"/>
  <c r="S40" i="15"/>
  <c r="U40" i="15" s="1"/>
  <c r="AB37" i="14"/>
  <c r="AB35" i="13"/>
  <c r="Z35" i="13"/>
  <c r="AB33" i="12"/>
  <c r="AB31" i="11"/>
  <c r="Z31" i="11"/>
  <c r="Y51" i="15"/>
  <c r="S51" i="15"/>
  <c r="U51" i="15" s="1"/>
  <c r="Y50" i="15"/>
  <c r="S50" i="15"/>
  <c r="U50" i="15" s="1"/>
  <c r="Y49" i="15"/>
  <c r="S49" i="15"/>
  <c r="U49" i="15" s="1"/>
  <c r="Y48" i="15"/>
  <c r="S48" i="15"/>
  <c r="U48" i="15" s="1"/>
  <c r="Y45" i="15"/>
  <c r="S45" i="15"/>
  <c r="U45" i="15" s="1"/>
  <c r="Y44" i="15"/>
  <c r="Y43" i="15"/>
  <c r="S43" i="15"/>
  <c r="U43" i="15" s="1"/>
  <c r="Y42" i="15"/>
  <c r="S42" i="15"/>
  <c r="U42" i="15" s="1"/>
  <c r="Y38" i="15"/>
  <c r="S38" i="15"/>
  <c r="U38" i="15" s="1"/>
  <c r="Y37" i="15"/>
  <c r="S37" i="15"/>
  <c r="U37" i="15" s="1"/>
  <c r="Y36" i="15"/>
  <c r="S36" i="15"/>
  <c r="U36" i="15" s="1"/>
  <c r="Y35" i="15"/>
  <c r="S35" i="15"/>
  <c r="U35" i="15" s="1"/>
  <c r="Y29" i="15"/>
  <c r="S29" i="15"/>
  <c r="U29" i="15" s="1"/>
  <c r="Y28" i="15"/>
  <c r="S28" i="15"/>
  <c r="U28" i="15" s="1"/>
  <c r="S30" i="15"/>
  <c r="U30" i="15" s="1"/>
  <c r="Y30" i="15"/>
  <c r="Y32" i="15"/>
  <c r="S32" i="15"/>
  <c r="U32" i="15" s="1"/>
  <c r="Y31" i="15"/>
  <c r="S31" i="15"/>
  <c r="U31" i="15" s="1"/>
  <c r="Y27" i="15"/>
  <c r="S27" i="15"/>
  <c r="U27" i="15" s="1"/>
  <c r="Y26" i="15"/>
  <c r="S26" i="15"/>
  <c r="U26" i="15" s="1"/>
  <c r="Y25" i="15"/>
  <c r="S25" i="15"/>
  <c r="U25" i="15" s="1"/>
  <c r="Y24" i="15"/>
  <c r="S24" i="15"/>
  <c r="U24" i="15" s="1"/>
  <c r="Y23" i="15"/>
  <c r="S23" i="15"/>
  <c r="U23" i="15" s="1"/>
  <c r="Y22" i="15"/>
  <c r="S22" i="15"/>
  <c r="U22" i="15" s="1"/>
  <c r="Y21" i="15"/>
  <c r="S21" i="15"/>
  <c r="U21" i="15" s="1"/>
  <c r="Y20" i="15"/>
  <c r="S20" i="15"/>
  <c r="U20" i="15" s="1"/>
  <c r="Y19" i="15"/>
  <c r="S19" i="15"/>
  <c r="U19" i="15" s="1"/>
  <c r="Y18" i="15"/>
  <c r="S18" i="15"/>
  <c r="U18" i="15" s="1"/>
  <c r="Y17" i="15"/>
  <c r="S17" i="15"/>
  <c r="U17" i="15" s="1"/>
  <c r="Y16" i="15"/>
  <c r="S16" i="15"/>
  <c r="U16" i="15" s="1"/>
  <c r="Y15" i="15"/>
  <c r="S15" i="15"/>
  <c r="U15" i="15" s="1"/>
  <c r="Y14" i="15"/>
  <c r="S14" i="15"/>
  <c r="U14" i="15" s="1"/>
  <c r="Y13" i="15"/>
  <c r="S13" i="15"/>
  <c r="U13" i="15" s="1"/>
  <c r="S12" i="15"/>
  <c r="U12" i="15" s="1"/>
  <c r="Y46" i="14"/>
  <c r="S46" i="14"/>
  <c r="U46" i="14" s="1"/>
  <c r="Y45" i="14"/>
  <c r="S45" i="14"/>
  <c r="U45" i="14" s="1"/>
  <c r="Y44" i="14"/>
  <c r="S44" i="14"/>
  <c r="U44" i="14" s="1"/>
  <c r="Y43" i="14"/>
  <c r="S43" i="14"/>
  <c r="U43" i="14" s="1"/>
  <c r="Y40" i="14"/>
  <c r="S40" i="14"/>
  <c r="U40" i="14" s="1"/>
  <c r="S42" i="14"/>
  <c r="U42" i="14" s="1"/>
  <c r="Y42" i="14"/>
  <c r="Y39" i="14"/>
  <c r="S39" i="14"/>
  <c r="U39" i="14" s="1"/>
  <c r="Y38" i="14"/>
  <c r="S38" i="14"/>
  <c r="U38" i="14" s="1"/>
  <c r="Y34" i="14"/>
  <c r="S34" i="14"/>
  <c r="U34" i="14" s="1"/>
  <c r="Y33" i="14"/>
  <c r="S33" i="14"/>
  <c r="U33" i="14" s="1"/>
  <c r="Y32" i="14"/>
  <c r="S32" i="14"/>
  <c r="U32" i="14" s="1"/>
  <c r="Y31" i="14"/>
  <c r="S31" i="14"/>
  <c r="U31" i="14" s="1"/>
  <c r="Y28" i="14"/>
  <c r="S28" i="14"/>
  <c r="U28" i="14" s="1"/>
  <c r="Y27" i="14"/>
  <c r="S27" i="14"/>
  <c r="U27" i="14" s="1"/>
  <c r="Y26" i="14"/>
  <c r="S26" i="14"/>
  <c r="U26" i="14" s="1"/>
  <c r="Y25" i="14"/>
  <c r="S25" i="14"/>
  <c r="U25" i="14" s="1"/>
  <c r="Y24" i="14"/>
  <c r="S24" i="14"/>
  <c r="U24" i="14" s="1"/>
  <c r="Y23" i="14"/>
  <c r="S23" i="14"/>
  <c r="U23" i="14" s="1"/>
  <c r="Y22" i="14"/>
  <c r="S22" i="14"/>
  <c r="U22" i="14" s="1"/>
  <c r="Y21" i="14"/>
  <c r="S21" i="14"/>
  <c r="U21" i="14" s="1"/>
  <c r="Y20" i="14"/>
  <c r="S20" i="14"/>
  <c r="U20" i="14" s="1"/>
  <c r="Y19" i="14"/>
  <c r="S19" i="14"/>
  <c r="U19" i="14" s="1"/>
  <c r="Y18" i="14"/>
  <c r="S18" i="14"/>
  <c r="U18" i="14" s="1"/>
  <c r="Y17" i="14"/>
  <c r="S17" i="14"/>
  <c r="U17" i="14" s="1"/>
  <c r="Y16" i="14"/>
  <c r="S16" i="14"/>
  <c r="U16" i="14" s="1"/>
  <c r="Y15" i="14"/>
  <c r="S15" i="14"/>
  <c r="U15" i="14" s="1"/>
  <c r="Y14" i="14"/>
  <c r="S14" i="14"/>
  <c r="U14" i="14" s="1"/>
  <c r="Y13" i="14"/>
  <c r="S13" i="14"/>
  <c r="U13" i="14" s="1"/>
  <c r="S12" i="14"/>
  <c r="U12" i="14" s="1"/>
  <c r="Y28" i="18"/>
  <c r="S28" i="18"/>
  <c r="U28" i="18" s="1"/>
  <c r="Y27" i="18"/>
  <c r="S27" i="18"/>
  <c r="U27" i="18" s="1"/>
  <c r="Y26" i="18"/>
  <c r="S26" i="18"/>
  <c r="U26" i="18" s="1"/>
  <c r="Y25" i="18"/>
  <c r="S25" i="18"/>
  <c r="U25" i="18" s="1"/>
  <c r="Y24" i="18"/>
  <c r="S24" i="18"/>
  <c r="U24" i="18" s="1"/>
  <c r="Y23" i="18"/>
  <c r="S23" i="18"/>
  <c r="U23" i="18" s="1"/>
  <c r="Y22" i="18"/>
  <c r="S22" i="18"/>
  <c r="U22" i="18" s="1"/>
  <c r="Y21" i="18"/>
  <c r="S21" i="18"/>
  <c r="U21" i="18" s="1"/>
  <c r="Y20" i="18"/>
  <c r="S20" i="18"/>
  <c r="U20" i="18" s="1"/>
  <c r="Y19" i="18"/>
  <c r="S19" i="18"/>
  <c r="U19" i="18" s="1"/>
  <c r="Y18" i="18"/>
  <c r="S18" i="18"/>
  <c r="U18" i="18" s="1"/>
  <c r="Y17" i="18"/>
  <c r="S17" i="18"/>
  <c r="U17" i="18" s="1"/>
  <c r="Y16" i="18"/>
  <c r="S16" i="18"/>
  <c r="U16" i="18" s="1"/>
  <c r="Y15" i="18"/>
  <c r="S15" i="18"/>
  <c r="U15" i="18" s="1"/>
  <c r="Y14" i="18"/>
  <c r="S14" i="18"/>
  <c r="U14" i="18" s="1"/>
  <c r="Y13" i="18"/>
  <c r="S13" i="18"/>
  <c r="U13" i="18" s="1"/>
  <c r="S12" i="18"/>
  <c r="U12" i="18" s="1"/>
  <c r="Y11" i="18"/>
  <c r="S11" i="18"/>
  <c r="U11" i="18" s="1"/>
  <c r="Y10" i="18"/>
  <c r="S10" i="18"/>
  <c r="U10" i="18" s="1"/>
  <c r="Y9" i="18"/>
  <c r="S9" i="18"/>
  <c r="U9" i="18" s="1"/>
  <c r="Y8" i="18"/>
  <c r="S8" i="18"/>
  <c r="U8" i="18" s="1"/>
  <c r="Y7" i="18"/>
  <c r="S7" i="18"/>
  <c r="U7" i="18" s="1"/>
  <c r="Y43" i="13"/>
  <c r="S43" i="13"/>
  <c r="U43" i="13" s="1"/>
  <c r="Y40" i="13"/>
  <c r="S40" i="13"/>
  <c r="U40" i="13" s="1"/>
  <c r="Y37" i="13"/>
  <c r="S37" i="13"/>
  <c r="U37" i="13" s="1"/>
  <c r="Y36" i="13"/>
  <c r="S36" i="13"/>
  <c r="U36" i="13" s="1"/>
  <c r="Y32" i="13"/>
  <c r="S32" i="13"/>
  <c r="U32" i="13" s="1"/>
  <c r="Y31" i="13"/>
  <c r="S31" i="13"/>
  <c r="U31" i="13" s="1"/>
  <c r="Y30" i="13"/>
  <c r="S30" i="13"/>
  <c r="U30" i="13" s="1"/>
  <c r="Y29" i="13"/>
  <c r="S29" i="13"/>
  <c r="U29" i="13" s="1"/>
  <c r="Y26" i="13"/>
  <c r="S26" i="13"/>
  <c r="U26" i="13" s="1"/>
  <c r="Y25" i="13"/>
  <c r="S25" i="13"/>
  <c r="U25" i="13" s="1"/>
  <c r="Y24" i="13"/>
  <c r="S24" i="13"/>
  <c r="U24" i="13" s="1"/>
  <c r="Y23" i="13"/>
  <c r="S23" i="13"/>
  <c r="U23" i="13" s="1"/>
  <c r="Y22" i="13"/>
  <c r="S22" i="13"/>
  <c r="U22" i="13" s="1"/>
  <c r="Y21" i="13"/>
  <c r="S21" i="13"/>
  <c r="U21" i="13" s="1"/>
  <c r="Y20" i="13"/>
  <c r="S20" i="13"/>
  <c r="U20" i="13" s="1"/>
  <c r="Y19" i="13"/>
  <c r="S19" i="13"/>
  <c r="U19" i="13" s="1"/>
  <c r="Y18" i="13"/>
  <c r="S18" i="13"/>
  <c r="U18" i="13" s="1"/>
  <c r="Y17" i="13"/>
  <c r="S17" i="13"/>
  <c r="U17" i="13" s="1"/>
  <c r="Y16" i="13"/>
  <c r="S16" i="13"/>
  <c r="U16" i="13" s="1"/>
  <c r="Y15" i="13"/>
  <c r="S15" i="13"/>
  <c r="U15" i="13" s="1"/>
  <c r="Y14" i="13"/>
  <c r="S14" i="13"/>
  <c r="U14" i="13" s="1"/>
  <c r="Y13" i="13"/>
  <c r="S13" i="13"/>
  <c r="U13" i="13" s="1"/>
  <c r="S12" i="13"/>
  <c r="U12" i="13" s="1"/>
  <c r="Y41" i="12"/>
  <c r="S41" i="12"/>
  <c r="U41" i="12" s="1"/>
  <c r="Y38" i="12"/>
  <c r="S38" i="12"/>
  <c r="U38" i="12" s="1"/>
  <c r="Y35" i="12"/>
  <c r="S35" i="12"/>
  <c r="U35" i="12" s="1"/>
  <c r="Y34" i="12"/>
  <c r="S34" i="12"/>
  <c r="U34" i="12" s="1"/>
  <c r="Y30" i="12"/>
  <c r="U30" i="12"/>
  <c r="S30" i="12"/>
  <c r="Y29" i="12"/>
  <c r="S29" i="12"/>
  <c r="U29" i="12" s="1"/>
  <c r="Y28" i="12"/>
  <c r="S28" i="12"/>
  <c r="U28" i="12" s="1"/>
  <c r="Y27" i="12"/>
  <c r="S27" i="12"/>
  <c r="U27" i="12" s="1"/>
  <c r="Y24" i="12"/>
  <c r="S24" i="12"/>
  <c r="U24" i="12" s="1"/>
  <c r="Y23" i="12"/>
  <c r="S23" i="12"/>
  <c r="U23" i="12" s="1"/>
  <c r="Y22" i="12"/>
  <c r="S22" i="12"/>
  <c r="U22" i="12" s="1"/>
  <c r="Y21" i="12"/>
  <c r="S21" i="12"/>
  <c r="U21" i="12" s="1"/>
  <c r="Y20" i="12"/>
  <c r="S20" i="12"/>
  <c r="U20" i="12" s="1"/>
  <c r="Y19" i="12"/>
  <c r="S19" i="12"/>
  <c r="U19" i="12" s="1"/>
  <c r="Y18" i="12"/>
  <c r="S18" i="12"/>
  <c r="U18" i="12" s="1"/>
  <c r="Y17" i="12"/>
  <c r="S17" i="12"/>
  <c r="U17" i="12" s="1"/>
  <c r="Y16" i="12"/>
  <c r="S16" i="12"/>
  <c r="U16" i="12" s="1"/>
  <c r="Y15" i="12"/>
  <c r="S15" i="12"/>
  <c r="U15" i="12" s="1"/>
  <c r="Y14" i="12"/>
  <c r="S14" i="12"/>
  <c r="U14" i="12" s="1"/>
  <c r="Y13" i="12"/>
  <c r="S13" i="12"/>
  <c r="U13" i="12" s="1"/>
  <c r="S12" i="12"/>
  <c r="U12" i="12" s="1"/>
  <c r="Y39" i="11"/>
  <c r="Y10" i="20"/>
  <c r="S10" i="20"/>
  <c r="U10" i="20" s="1"/>
  <c r="Y9" i="20"/>
  <c r="S9" i="20"/>
  <c r="U9" i="20" s="1"/>
  <c r="Y8" i="20"/>
  <c r="S8" i="20"/>
  <c r="U8" i="20" s="1"/>
  <c r="Y7" i="20"/>
  <c r="S7" i="20"/>
  <c r="U7" i="20" s="1"/>
  <c r="Y10" i="19"/>
  <c r="S10" i="19"/>
  <c r="U10" i="19" s="1"/>
  <c r="Y9" i="19"/>
  <c r="S9" i="19"/>
  <c r="U9" i="19" s="1"/>
  <c r="Y8" i="19"/>
  <c r="S8" i="19"/>
  <c r="U8" i="19" s="1"/>
  <c r="Y7" i="19"/>
  <c r="S7" i="19"/>
  <c r="U7" i="19" s="1"/>
  <c r="Y10" i="17"/>
  <c r="S10" i="17"/>
  <c r="U10" i="17" s="1"/>
  <c r="Y9" i="17"/>
  <c r="S9" i="17"/>
  <c r="U9" i="17" s="1"/>
  <c r="Y8" i="17"/>
  <c r="S8" i="17"/>
  <c r="U8" i="17" s="1"/>
  <c r="Y7" i="17"/>
  <c r="S7" i="17"/>
  <c r="U7" i="17" s="1"/>
  <c r="Y10" i="16"/>
  <c r="S10" i="16"/>
  <c r="U10" i="16" s="1"/>
  <c r="Y9" i="16"/>
  <c r="S9" i="16"/>
  <c r="U9" i="16" s="1"/>
  <c r="Y8" i="16"/>
  <c r="S8" i="16"/>
  <c r="U8" i="16" s="1"/>
  <c r="Y7" i="16"/>
  <c r="S7" i="16"/>
  <c r="U7" i="16" s="1"/>
  <c r="Y10" i="15"/>
  <c r="S10" i="15"/>
  <c r="U10" i="15" s="1"/>
  <c r="Y9" i="15"/>
  <c r="S9" i="15"/>
  <c r="U9" i="15" s="1"/>
  <c r="Y8" i="15"/>
  <c r="S8" i="15"/>
  <c r="U8" i="15" s="1"/>
  <c r="Y7" i="15"/>
  <c r="S7" i="15"/>
  <c r="U7" i="15" s="1"/>
  <c r="Y10" i="14"/>
  <c r="S10" i="14"/>
  <c r="U10" i="14" s="1"/>
  <c r="Y9" i="14"/>
  <c r="S9" i="14"/>
  <c r="U9" i="14" s="1"/>
  <c r="Y8" i="14"/>
  <c r="S8" i="14"/>
  <c r="U8" i="14" s="1"/>
  <c r="Y7" i="14"/>
  <c r="S7" i="14"/>
  <c r="U7" i="14" s="1"/>
  <c r="Y10" i="13"/>
  <c r="S10" i="13"/>
  <c r="U10" i="13" s="1"/>
  <c r="Y9" i="13"/>
  <c r="S9" i="13"/>
  <c r="U9" i="13" s="1"/>
  <c r="Y8" i="13"/>
  <c r="S8" i="13"/>
  <c r="U8" i="13" s="1"/>
  <c r="Y7" i="13"/>
  <c r="S7" i="13"/>
  <c r="U7" i="13" s="1"/>
  <c r="Y10" i="12"/>
  <c r="S10" i="12"/>
  <c r="U10" i="12" s="1"/>
  <c r="Y9" i="12"/>
  <c r="S9" i="12"/>
  <c r="U9" i="12" s="1"/>
  <c r="Y8" i="12"/>
  <c r="S8" i="12"/>
  <c r="U8" i="12" s="1"/>
  <c r="Y7" i="12"/>
  <c r="S7" i="12"/>
  <c r="U7" i="12" s="1"/>
  <c r="AB34" i="11"/>
  <c r="Y34" i="11"/>
  <c r="S34" i="11"/>
  <c r="U34" i="11" s="1"/>
  <c r="Y36" i="11"/>
  <c r="S36" i="11"/>
  <c r="U36" i="11" s="1"/>
  <c r="AB30" i="11"/>
  <c r="Y30" i="11"/>
  <c r="Z30" i="11" s="1"/>
  <c r="S30" i="11"/>
  <c r="U30" i="11" s="1"/>
  <c r="AB29" i="11"/>
  <c r="Y29" i="11"/>
  <c r="S29" i="11"/>
  <c r="U29" i="11" s="1"/>
  <c r="Y32" i="11"/>
  <c r="Y22" i="11"/>
  <c r="S22" i="11"/>
  <c r="U22" i="11" s="1"/>
  <c r="Y21" i="11"/>
  <c r="S21" i="11"/>
  <c r="U21" i="11" s="1"/>
  <c r="Y20" i="11"/>
  <c r="S20" i="11"/>
  <c r="U20" i="11" s="1"/>
  <c r="Y19" i="11"/>
  <c r="S19" i="11"/>
  <c r="U19" i="11" s="1"/>
  <c r="Y18" i="11"/>
  <c r="S18" i="11"/>
  <c r="U18" i="11" s="1"/>
  <c r="Y17" i="11"/>
  <c r="S17" i="11"/>
  <c r="U17" i="11" s="1"/>
  <c r="Y16" i="11"/>
  <c r="S16" i="11"/>
  <c r="U16" i="11" s="1"/>
  <c r="Y15" i="11"/>
  <c r="S15" i="11"/>
  <c r="U15" i="11" s="1"/>
  <c r="Y14" i="11"/>
  <c r="S14" i="11"/>
  <c r="U14" i="11" s="1"/>
  <c r="Y13" i="11"/>
  <c r="S13" i="11"/>
  <c r="U13" i="11" s="1"/>
  <c r="S12" i="11"/>
  <c r="U12" i="11" s="1"/>
  <c r="Y11" i="11"/>
  <c r="S11" i="11"/>
  <c r="U11" i="11" s="1"/>
  <c r="Y10" i="11"/>
  <c r="S10" i="11"/>
  <c r="U10" i="11" s="1"/>
  <c r="Y9" i="11"/>
  <c r="S9" i="11"/>
  <c r="U9" i="11" s="1"/>
  <c r="Y8" i="11"/>
  <c r="S8" i="11"/>
  <c r="U8" i="11" s="1"/>
  <c r="Y7" i="11"/>
  <c r="S7" i="11"/>
  <c r="U7" i="11" s="1"/>
  <c r="Y35" i="10"/>
  <c r="S35" i="10"/>
  <c r="U35" i="10" s="1"/>
  <c r="Y31" i="10"/>
  <c r="S31" i="10"/>
  <c r="U31" i="10" s="1"/>
  <c r="Y27" i="10"/>
  <c r="S27" i="10"/>
  <c r="U27" i="10" s="1"/>
  <c r="S43" i="10"/>
  <c r="U43" i="10" s="1"/>
  <c r="S41" i="10"/>
  <c r="U41" i="10" s="1"/>
  <c r="Y47" i="10"/>
  <c r="S47" i="10"/>
  <c r="U47" i="10" s="1"/>
  <c r="Y46" i="10"/>
  <c r="S46" i="10"/>
  <c r="U46" i="10" s="1"/>
  <c r="Y45" i="10"/>
  <c r="S45" i="10"/>
  <c r="U45" i="10" s="1"/>
  <c r="Y23" i="10"/>
  <c r="S23" i="10"/>
  <c r="U23" i="10" s="1"/>
  <c r="Y21" i="10"/>
  <c r="S21" i="10"/>
  <c r="U21" i="10" s="1"/>
  <c r="Y20" i="10"/>
  <c r="S20" i="10"/>
  <c r="U20" i="10" s="1"/>
  <c r="Y19" i="10"/>
  <c r="S19" i="10"/>
  <c r="U19" i="10" s="1"/>
  <c r="Y17" i="10"/>
  <c r="S17" i="10"/>
  <c r="U17" i="10" s="1"/>
  <c r="Y16" i="10"/>
  <c r="S16" i="10"/>
  <c r="U16" i="10" s="1"/>
  <c r="Y15" i="10"/>
  <c r="S15" i="10"/>
  <c r="U15" i="10" s="1"/>
  <c r="S14" i="10"/>
  <c r="U14" i="10" s="1"/>
  <c r="Y13" i="10"/>
  <c r="S13" i="10"/>
  <c r="U13" i="10" s="1"/>
  <c r="Y12" i="10"/>
  <c r="S12" i="10"/>
  <c r="U12" i="10" s="1"/>
  <c r="Y11" i="10"/>
  <c r="S11" i="10"/>
  <c r="U11" i="10" s="1"/>
  <c r="Y9" i="10"/>
  <c r="S9" i="10"/>
  <c r="U9" i="10" s="1"/>
  <c r="Y8" i="10"/>
  <c r="S8" i="10"/>
  <c r="U8" i="10" s="1"/>
  <c r="Y7" i="10"/>
  <c r="S7" i="10"/>
  <c r="U7" i="10" s="1"/>
  <c r="Y39" i="9"/>
  <c r="S39" i="9"/>
  <c r="U39" i="9" s="1"/>
  <c r="Y38" i="9"/>
  <c r="S38" i="9"/>
  <c r="U38" i="9" s="1"/>
  <c r="Y37" i="9"/>
  <c r="S37" i="9"/>
  <c r="U37" i="9" s="1"/>
  <c r="Y36" i="9"/>
  <c r="S36" i="9"/>
  <c r="U36" i="9" s="1"/>
  <c r="Y35" i="9"/>
  <c r="S35" i="9"/>
  <c r="U35" i="9" s="1"/>
  <c r="Y27" i="9"/>
  <c r="S27" i="9"/>
  <c r="U27" i="9" s="1"/>
  <c r="Y25" i="9"/>
  <c r="S25" i="9"/>
  <c r="U25" i="9" s="1"/>
  <c r="Y24" i="9"/>
  <c r="S24" i="9"/>
  <c r="U24" i="9" s="1"/>
  <c r="Y23" i="9"/>
  <c r="S23" i="9"/>
  <c r="U23" i="9" s="1"/>
  <c r="Y21" i="9"/>
  <c r="S21" i="9"/>
  <c r="U21" i="9" s="1"/>
  <c r="Y20" i="9"/>
  <c r="S20" i="9"/>
  <c r="U20" i="9" s="1"/>
  <c r="Y19" i="9"/>
  <c r="S19" i="9"/>
  <c r="U19" i="9" s="1"/>
  <c r="Y17" i="9"/>
  <c r="S17" i="9"/>
  <c r="U17" i="9" s="1"/>
  <c r="Y16" i="9"/>
  <c r="S16" i="9"/>
  <c r="U16" i="9" s="1"/>
  <c r="Y15" i="9"/>
  <c r="S15" i="9"/>
  <c r="U15" i="9" s="1"/>
  <c r="Y13" i="9"/>
  <c r="S13" i="9"/>
  <c r="U13" i="9" s="1"/>
  <c r="AC37" i="14" l="1"/>
  <c r="AC35" i="13"/>
  <c r="AC40" i="15"/>
  <c r="AC33" i="12"/>
  <c r="X26" i="13"/>
  <c r="X36" i="18"/>
  <c r="X35" i="19"/>
  <c r="X33" i="12"/>
  <c r="AD33" i="12" s="1"/>
  <c r="AE33" i="12" s="1"/>
  <c r="X18" i="19"/>
  <c r="X40" i="19"/>
  <c r="X45" i="19"/>
  <c r="X28" i="20"/>
  <c r="X39" i="20"/>
  <c r="X21" i="9"/>
  <c r="X37" i="9"/>
  <c r="X14" i="10"/>
  <c r="X9" i="11"/>
  <c r="X10" i="20"/>
  <c r="X18" i="20"/>
  <c r="X20" i="10"/>
  <c r="X7" i="19"/>
  <c r="X14" i="16"/>
  <c r="X19" i="16"/>
  <c r="X22" i="17"/>
  <c r="X29" i="17"/>
  <c r="X35" i="18"/>
  <c r="X24" i="19"/>
  <c r="X31" i="19"/>
  <c r="X19" i="20"/>
  <c r="X24" i="20"/>
  <c r="X48" i="20"/>
  <c r="X8" i="12"/>
  <c r="X9" i="20"/>
  <c r="X30" i="12"/>
  <c r="X17" i="14"/>
  <c r="X25" i="14"/>
  <c r="X40" i="15"/>
  <c r="X18" i="17"/>
  <c r="X33" i="18"/>
  <c r="X20" i="19"/>
  <c r="X22" i="19"/>
  <c r="X27" i="19"/>
  <c r="X12" i="20"/>
  <c r="X17" i="20"/>
  <c r="X22" i="20"/>
  <c r="X9" i="14"/>
  <c r="AD14" i="21"/>
  <c r="AE14" i="21" s="1"/>
  <c r="X19" i="9"/>
  <c r="X35" i="9"/>
  <c r="X27" i="10"/>
  <c r="X7" i="14"/>
  <c r="X8" i="20"/>
  <c r="X29" i="13"/>
  <c r="X16" i="14"/>
  <c r="X31" i="11"/>
  <c r="AD31" i="11" s="1"/>
  <c r="AE31" i="11" s="1"/>
  <c r="X17" i="17"/>
  <c r="X34" i="17"/>
  <c r="X37" i="18"/>
  <c r="X19" i="19"/>
  <c r="X41" i="19"/>
  <c r="X21" i="20"/>
  <c r="X29" i="20"/>
  <c r="X40" i="20"/>
  <c r="X13" i="10"/>
  <c r="X9" i="17"/>
  <c r="X23" i="9"/>
  <c r="X9" i="10"/>
  <c r="X19" i="10"/>
  <c r="X35" i="10"/>
  <c r="X22" i="11"/>
  <c r="X30" i="11"/>
  <c r="X10" i="13"/>
  <c r="X10" i="17"/>
  <c r="X7" i="20"/>
  <c r="X16" i="12"/>
  <c r="X16" i="13"/>
  <c r="X31" i="13"/>
  <c r="X34" i="18"/>
  <c r="X13" i="19"/>
  <c r="X28" i="19"/>
  <c r="X37" i="20"/>
  <c r="X47" i="20"/>
  <c r="X7" i="21"/>
  <c r="X10" i="21"/>
  <c r="X12" i="10"/>
  <c r="X17" i="10"/>
  <c r="X31" i="10"/>
  <c r="X9" i="19"/>
  <c r="X19" i="13"/>
  <c r="X12" i="18"/>
  <c r="X22" i="18"/>
  <c r="X31" i="14"/>
  <c r="X37" i="14"/>
  <c r="X31" i="17"/>
  <c r="X36" i="17"/>
  <c r="X29" i="18"/>
  <c r="X42" i="18"/>
  <c r="X16" i="19"/>
  <c r="X21" i="19"/>
  <c r="X26" i="19"/>
  <c r="X33" i="19"/>
  <c r="X38" i="19"/>
  <c r="X43" i="19"/>
  <c r="X13" i="20"/>
  <c r="X26" i="20"/>
  <c r="X31" i="20"/>
  <c r="X45" i="20"/>
  <c r="X46" i="10"/>
  <c r="X10" i="14"/>
  <c r="X17" i="12"/>
  <c r="X27" i="12"/>
  <c r="X10" i="18"/>
  <c r="X40" i="18"/>
  <c r="X14" i="19"/>
  <c r="X38" i="20"/>
  <c r="X12" i="12"/>
  <c r="X25" i="13"/>
  <c r="X40" i="13"/>
  <c r="X17" i="15"/>
  <c r="X35" i="13"/>
  <c r="AD35" i="13" s="1"/>
  <c r="AE35" i="13" s="1"/>
  <c r="X37" i="17"/>
  <c r="X30" i="18"/>
  <c r="X12" i="19"/>
  <c r="X14" i="20"/>
  <c r="X27" i="20"/>
  <c r="X32" i="20"/>
  <c r="X46" i="20"/>
  <c r="X36" i="9"/>
  <c r="X11" i="10"/>
  <c r="X15" i="13"/>
  <c r="X38" i="14"/>
  <c r="X13" i="9"/>
  <c r="X15" i="9"/>
  <c r="X25" i="9"/>
  <c r="X16" i="10"/>
  <c r="X21" i="10"/>
  <c r="X47" i="10"/>
  <c r="X34" i="11"/>
  <c r="X7" i="17"/>
  <c r="X8" i="19"/>
  <c r="X18" i="12"/>
  <c r="X18" i="13"/>
  <c r="X23" i="13"/>
  <c r="X11" i="18"/>
  <c r="X16" i="18"/>
  <c r="X12" i="14"/>
  <c r="X13" i="17"/>
  <c r="X23" i="17"/>
  <c r="X30" i="17"/>
  <c r="X41" i="18"/>
  <c r="X25" i="19"/>
  <c r="X42" i="19"/>
  <c r="X20" i="20"/>
  <c r="X25" i="20"/>
  <c r="X30" i="20"/>
  <c r="X44" i="20"/>
  <c r="X9" i="21"/>
  <c r="X8" i="21"/>
  <c r="X16" i="20"/>
  <c r="X23" i="20"/>
  <c r="X36" i="20"/>
  <c r="X43" i="20"/>
  <c r="X50" i="20"/>
  <c r="X33" i="20"/>
  <c r="X41" i="20"/>
  <c r="X51" i="20"/>
  <c r="X15" i="20"/>
  <c r="X35" i="20"/>
  <c r="X42" i="20"/>
  <c r="X49" i="20"/>
  <c r="X10" i="19"/>
  <c r="X36" i="19"/>
  <c r="X17" i="19"/>
  <c r="X23" i="19"/>
  <c r="X32" i="19"/>
  <c r="X34" i="19"/>
  <c r="X39" i="19"/>
  <c r="X46" i="19"/>
  <c r="X15" i="19"/>
  <c r="X37" i="19"/>
  <c r="X44" i="19"/>
  <c r="X20" i="18"/>
  <c r="X38" i="18"/>
  <c r="X28" i="18"/>
  <c r="X32" i="18"/>
  <c r="X39" i="18"/>
  <c r="X31" i="18"/>
  <c r="X21" i="18"/>
  <c r="X20" i="17"/>
  <c r="X27" i="17"/>
  <c r="X8" i="17"/>
  <c r="X32" i="17"/>
  <c r="X16" i="17"/>
  <c r="X35" i="17"/>
  <c r="X28" i="17"/>
  <c r="X33" i="17"/>
  <c r="X24" i="17"/>
  <c r="X38" i="17"/>
  <c r="X15" i="17"/>
  <c r="X14" i="17"/>
  <c r="X12" i="17"/>
  <c r="X19" i="17"/>
  <c r="X21" i="17"/>
  <c r="X39" i="17"/>
  <c r="X40" i="17"/>
  <c r="X30" i="16"/>
  <c r="X25" i="16"/>
  <c r="X32" i="16"/>
  <c r="X9" i="16"/>
  <c r="X15" i="16"/>
  <c r="X20" i="16"/>
  <c r="X34" i="16"/>
  <c r="X37" i="16"/>
  <c r="X10" i="16"/>
  <c r="X27" i="16"/>
  <c r="X13" i="16"/>
  <c r="X35" i="16"/>
  <c r="X28" i="16"/>
  <c r="X33" i="16"/>
  <c r="X21" i="16"/>
  <c r="X31" i="16"/>
  <c r="X12" i="16"/>
  <c r="X16" i="16"/>
  <c r="X7" i="16"/>
  <c r="X17" i="16"/>
  <c r="X22" i="16"/>
  <c r="X26" i="16"/>
  <c r="X38" i="16"/>
  <c r="X18" i="16"/>
  <c r="X29" i="16"/>
  <c r="X36" i="16"/>
  <c r="X8" i="16"/>
  <c r="Z40" i="15"/>
  <c r="X27" i="15"/>
  <c r="X30" i="15"/>
  <c r="X9" i="15"/>
  <c r="X18" i="15"/>
  <c r="X21" i="15"/>
  <c r="X13" i="15"/>
  <c r="X23" i="15"/>
  <c r="X28" i="15"/>
  <c r="X19" i="15"/>
  <c r="X36" i="15"/>
  <c r="X45" i="15"/>
  <c r="X14" i="15"/>
  <c r="X29" i="15"/>
  <c r="X42" i="15"/>
  <c r="X50" i="15"/>
  <c r="Z37" i="14"/>
  <c r="Z33" i="12"/>
  <c r="X7" i="15"/>
  <c r="X16" i="15"/>
  <c r="X26" i="15"/>
  <c r="X25" i="15"/>
  <c r="X22" i="14"/>
  <c r="X42" i="14"/>
  <c r="X8" i="14"/>
  <c r="X15" i="14"/>
  <c r="X28" i="14"/>
  <c r="X40" i="14"/>
  <c r="X13" i="14"/>
  <c r="X21" i="14"/>
  <c r="X39" i="14"/>
  <c r="X9" i="13"/>
  <c r="X13" i="13"/>
  <c r="X21" i="13"/>
  <c r="X36" i="13"/>
  <c r="X37" i="13"/>
  <c r="X12" i="13"/>
  <c r="X20" i="13"/>
  <c r="X32" i="13"/>
  <c r="X13" i="12"/>
  <c r="X21" i="12"/>
  <c r="X28" i="12"/>
  <c r="X38" i="12"/>
  <c r="X19" i="12"/>
  <c r="X34" i="12"/>
  <c r="X22" i="12"/>
  <c r="X29" i="12"/>
  <c r="X41" i="12"/>
  <c r="X7" i="12"/>
  <c r="X20" i="12"/>
  <c r="X35" i="12"/>
  <c r="AC34" i="11"/>
  <c r="Z34" i="11"/>
  <c r="X29" i="11"/>
  <c r="X19" i="11"/>
  <c r="X20" i="15"/>
  <c r="X31" i="15"/>
  <c r="X48" i="15"/>
  <c r="X10" i="15"/>
  <c r="X35" i="15"/>
  <c r="X37" i="15"/>
  <c r="X43" i="15"/>
  <c r="X51" i="15"/>
  <c r="X12" i="15"/>
  <c r="X8" i="15"/>
  <c r="X15" i="15"/>
  <c r="X22" i="15"/>
  <c r="X24" i="15"/>
  <c r="X32" i="15"/>
  <c r="X38" i="15"/>
  <c r="X49" i="15"/>
  <c r="X14" i="14"/>
  <c r="X19" i="14"/>
  <c r="X26" i="14"/>
  <c r="X33" i="14"/>
  <c r="X45" i="14"/>
  <c r="X24" i="14"/>
  <c r="X43" i="14"/>
  <c r="X20" i="14"/>
  <c r="X27" i="14"/>
  <c r="X34" i="14"/>
  <c r="X46" i="14"/>
  <c r="X18" i="14"/>
  <c r="X23" i="14"/>
  <c r="X32" i="14"/>
  <c r="X44" i="14"/>
  <c r="X15" i="18"/>
  <c r="X26" i="18"/>
  <c r="X14" i="18"/>
  <c r="X17" i="18"/>
  <c r="X27" i="18"/>
  <c r="X8" i="18"/>
  <c r="X24" i="18"/>
  <c r="X13" i="18"/>
  <c r="X18" i="18"/>
  <c r="X7" i="18"/>
  <c r="X9" i="18"/>
  <c r="X25" i="18"/>
  <c r="X23" i="18"/>
  <c r="X19" i="18"/>
  <c r="X8" i="13"/>
  <c r="X30" i="13"/>
  <c r="X14" i="13"/>
  <c r="X7" i="13"/>
  <c r="X17" i="13"/>
  <c r="X24" i="13"/>
  <c r="X43" i="13"/>
  <c r="X22" i="13"/>
  <c r="X10" i="12"/>
  <c r="X14" i="12"/>
  <c r="X24" i="12"/>
  <c r="X15" i="12"/>
  <c r="X9" i="12"/>
  <c r="X23" i="12"/>
  <c r="X12" i="11"/>
  <c r="X13" i="11"/>
  <c r="X7" i="11"/>
  <c r="AC30" i="11"/>
  <c r="X36" i="11"/>
  <c r="AC29" i="11"/>
  <c r="Z29" i="11"/>
  <c r="X14" i="11"/>
  <c r="X10" i="11"/>
  <c r="X8" i="11"/>
  <c r="X15" i="11"/>
  <c r="X17" i="11"/>
  <c r="X20" i="11"/>
  <c r="X11" i="11"/>
  <c r="X18" i="11"/>
  <c r="X21" i="11"/>
  <c r="X16" i="11"/>
  <c r="X7" i="10"/>
  <c r="X23" i="10"/>
  <c r="X43" i="10"/>
  <c r="X8" i="10"/>
  <c r="X45" i="10"/>
  <c r="X15" i="10"/>
  <c r="X41" i="10"/>
  <c r="X16" i="9"/>
  <c r="X38" i="9"/>
  <c r="X39" i="9"/>
  <c r="X17" i="9"/>
  <c r="X24" i="9"/>
  <c r="X20" i="9"/>
  <c r="X27" i="9"/>
  <c r="Y31" i="8"/>
  <c r="S31" i="8"/>
  <c r="U31" i="8" s="1"/>
  <c r="Y19" i="8"/>
  <c r="U19" i="8"/>
  <c r="S19" i="8"/>
  <c r="Z18" i="8"/>
  <c r="Y17" i="8"/>
  <c r="S17" i="8"/>
  <c r="U17" i="8" s="1"/>
  <c r="Y16" i="8"/>
  <c r="U16" i="8"/>
  <c r="S16" i="8"/>
  <c r="Y15" i="8"/>
  <c r="U15" i="8"/>
  <c r="S15" i="8"/>
  <c r="Y13" i="8"/>
  <c r="S13" i="8"/>
  <c r="U13" i="8" s="1"/>
  <c r="Y12" i="8"/>
  <c r="U12" i="8"/>
  <c r="S12" i="8"/>
  <c r="Y11" i="8"/>
  <c r="S11" i="8"/>
  <c r="U11" i="8" s="1"/>
  <c r="Z10" i="8"/>
  <c r="S10" i="8"/>
  <c r="U10" i="8" s="1"/>
  <c r="Y9" i="8"/>
  <c r="S9" i="8"/>
  <c r="U9" i="8" s="1"/>
  <c r="Y8" i="8"/>
  <c r="S8" i="8"/>
  <c r="U8" i="8" s="1"/>
  <c r="Y7" i="8"/>
  <c r="U7" i="8"/>
  <c r="S7" i="8"/>
  <c r="Y31" i="7"/>
  <c r="S31" i="7"/>
  <c r="U31" i="7" s="1"/>
  <c r="Y30" i="7"/>
  <c r="S30" i="7"/>
  <c r="U30" i="7" s="1"/>
  <c r="S29" i="7"/>
  <c r="U29" i="7" s="1"/>
  <c r="Y29" i="7"/>
  <c r="Y19" i="7"/>
  <c r="S19" i="7"/>
  <c r="U19" i="7" s="1"/>
  <c r="S18" i="7"/>
  <c r="U18" i="7" s="1"/>
  <c r="Y17" i="7"/>
  <c r="S17" i="7"/>
  <c r="U17" i="7" s="1"/>
  <c r="Y16" i="7"/>
  <c r="S16" i="7"/>
  <c r="U16" i="7" s="1"/>
  <c r="Y15" i="7"/>
  <c r="U15" i="7"/>
  <c r="S15" i="7"/>
  <c r="S14" i="7"/>
  <c r="U14" i="7" s="1"/>
  <c r="Y13" i="7"/>
  <c r="S13" i="7"/>
  <c r="U13" i="7" s="1"/>
  <c r="Y12" i="7"/>
  <c r="S12" i="7"/>
  <c r="U12" i="7" s="1"/>
  <c r="Y11" i="7"/>
  <c r="S11" i="7"/>
  <c r="U11" i="7" s="1"/>
  <c r="S10" i="7"/>
  <c r="U10" i="7" s="1"/>
  <c r="Y9" i="7"/>
  <c r="S9" i="7"/>
  <c r="U9" i="7" s="1"/>
  <c r="Y8" i="7"/>
  <c r="S8" i="7"/>
  <c r="U8" i="7" s="1"/>
  <c r="Y7" i="7"/>
  <c r="U7" i="7"/>
  <c r="S7" i="7"/>
  <c r="Y11" i="9"/>
  <c r="Z11" i="9" s="1"/>
  <c r="S11" i="9"/>
  <c r="U11" i="9" s="1"/>
  <c r="Y9" i="9"/>
  <c r="S9" i="9"/>
  <c r="U9" i="9" s="1"/>
  <c r="Y8" i="9"/>
  <c r="S8" i="9"/>
  <c r="U8" i="9" s="1"/>
  <c r="Y7" i="9"/>
  <c r="S7" i="9"/>
  <c r="U7" i="9" s="1"/>
  <c r="Z10" i="6"/>
  <c r="S10" i="6"/>
  <c r="U10" i="6" s="1"/>
  <c r="S8" i="6"/>
  <c r="U8" i="6" s="1"/>
  <c r="AJ101" i="35"/>
  <c r="AI101" i="35"/>
  <c r="AH101" i="35"/>
  <c r="AG101" i="35"/>
  <c r="AF101" i="35"/>
  <c r="AB99" i="35"/>
  <c r="AC99" i="35" s="1"/>
  <c r="Y99" i="35"/>
  <c r="Z99" i="35" s="1"/>
  <c r="W99" i="35"/>
  <c r="S99" i="35"/>
  <c r="U99" i="35" s="1"/>
  <c r="AB98" i="35"/>
  <c r="Y98" i="35"/>
  <c r="W98" i="35"/>
  <c r="S98" i="35"/>
  <c r="U98" i="35" s="1"/>
  <c r="AB97" i="35"/>
  <c r="Y97" i="35"/>
  <c r="W97" i="35"/>
  <c r="S97" i="35"/>
  <c r="U97" i="35" s="1"/>
  <c r="AB96" i="35"/>
  <c r="Y96" i="35"/>
  <c r="W96" i="35"/>
  <c r="S96" i="35"/>
  <c r="U96" i="35" s="1"/>
  <c r="AB95" i="35"/>
  <c r="Y95" i="35"/>
  <c r="W95" i="35"/>
  <c r="S95" i="35"/>
  <c r="U95" i="35" s="1"/>
  <c r="AB94" i="35"/>
  <c r="Y94" i="35"/>
  <c r="W94" i="35"/>
  <c r="S94" i="35"/>
  <c r="U94" i="35" s="1"/>
  <c r="AB93" i="35"/>
  <c r="Y93" i="35"/>
  <c r="W93" i="35"/>
  <c r="S93" i="35"/>
  <c r="U93" i="35" s="1"/>
  <c r="AB92" i="35"/>
  <c r="Y92" i="35"/>
  <c r="W92" i="35"/>
  <c r="U92" i="35"/>
  <c r="S92" i="35"/>
  <c r="AB91" i="35"/>
  <c r="Y91" i="35"/>
  <c r="Z91" i="35" s="1"/>
  <c r="W91" i="35"/>
  <c r="X91" i="35" s="1"/>
  <c r="S91" i="35"/>
  <c r="U91" i="35" s="1"/>
  <c r="AB90" i="35"/>
  <c r="Y90" i="35"/>
  <c r="AC90" i="35" s="1"/>
  <c r="W90" i="35"/>
  <c r="S90" i="35"/>
  <c r="U90" i="35" s="1"/>
  <c r="AB89" i="35"/>
  <c r="Y89" i="35"/>
  <c r="Z89" i="35" s="1"/>
  <c r="W89" i="35"/>
  <c r="X89" i="35" s="1"/>
  <c r="S89" i="35"/>
  <c r="U89" i="35" s="1"/>
  <c r="AB88" i="35"/>
  <c r="Z88" i="35"/>
  <c r="Y88" i="35"/>
  <c r="AC88" i="35" s="1"/>
  <c r="W88" i="35"/>
  <c r="U88" i="35"/>
  <c r="S88" i="35"/>
  <c r="AB87" i="35"/>
  <c r="Y87" i="35"/>
  <c r="Z87" i="35" s="1"/>
  <c r="W87" i="35"/>
  <c r="S87" i="35"/>
  <c r="U87" i="35" s="1"/>
  <c r="AB86" i="35"/>
  <c r="Y86" i="35"/>
  <c r="W86" i="35"/>
  <c r="S86" i="35"/>
  <c r="U86" i="35" s="1"/>
  <c r="AB85" i="35"/>
  <c r="AC85" i="35" s="1"/>
  <c r="Y85" i="35"/>
  <c r="Z85" i="35" s="1"/>
  <c r="W85" i="35"/>
  <c r="S85" i="35"/>
  <c r="U85" i="35" s="1"/>
  <c r="AB84" i="35"/>
  <c r="Y84" i="35"/>
  <c r="W84" i="35"/>
  <c r="S84" i="35"/>
  <c r="U84" i="35" s="1"/>
  <c r="AB83" i="35"/>
  <c r="AC83" i="35" s="1"/>
  <c r="Y83" i="35"/>
  <c r="Z83" i="35" s="1"/>
  <c r="W83" i="35"/>
  <c r="S83" i="35"/>
  <c r="U83" i="35" s="1"/>
  <c r="AB82" i="35"/>
  <c r="Z82" i="35"/>
  <c r="Y82" i="35"/>
  <c r="W82" i="35"/>
  <c r="U82" i="35"/>
  <c r="S82" i="35"/>
  <c r="AB81" i="35"/>
  <c r="AC81" i="35" s="1"/>
  <c r="Y81" i="35"/>
  <c r="Z81" i="35" s="1"/>
  <c r="W81" i="35"/>
  <c r="S81" i="35"/>
  <c r="U81" i="35" s="1"/>
  <c r="AB80" i="35"/>
  <c r="Y80" i="35"/>
  <c r="W80" i="35"/>
  <c r="S80" i="35"/>
  <c r="U80" i="35" s="1"/>
  <c r="AB79" i="35"/>
  <c r="AC79" i="35" s="1"/>
  <c r="Y79" i="35"/>
  <c r="Z79" i="35" s="1"/>
  <c r="W79" i="35"/>
  <c r="X79" i="35" s="1"/>
  <c r="S79" i="35"/>
  <c r="U79" i="35" s="1"/>
  <c r="AB78" i="35"/>
  <c r="Z78" i="35"/>
  <c r="Y78" i="35"/>
  <c r="W78" i="35"/>
  <c r="S78" i="35"/>
  <c r="U78" i="35" s="1"/>
  <c r="AB77" i="35"/>
  <c r="Y77" i="35"/>
  <c r="Z77" i="35" s="1"/>
  <c r="W77" i="35"/>
  <c r="X77" i="35" s="1"/>
  <c r="S77" i="35"/>
  <c r="U77" i="35" s="1"/>
  <c r="AB76" i="35"/>
  <c r="Y76" i="35"/>
  <c r="AC76" i="35" s="1"/>
  <c r="W76" i="35"/>
  <c r="U76" i="35"/>
  <c r="S76" i="35"/>
  <c r="AB75" i="35"/>
  <c r="Y75" i="35"/>
  <c r="Z75" i="35" s="1"/>
  <c r="W75" i="35"/>
  <c r="X75" i="35" s="1"/>
  <c r="S75" i="35"/>
  <c r="U75" i="35" s="1"/>
  <c r="AB74" i="35"/>
  <c r="Y74" i="35"/>
  <c r="AC74" i="35" s="1"/>
  <c r="W74" i="35"/>
  <c r="S74" i="35"/>
  <c r="U74" i="35" s="1"/>
  <c r="AB73" i="35"/>
  <c r="AC73" i="35" s="1"/>
  <c r="Y73" i="35"/>
  <c r="Z73" i="35" s="1"/>
  <c r="W73" i="35"/>
  <c r="X73" i="35" s="1"/>
  <c r="S73" i="35"/>
  <c r="U73" i="35" s="1"/>
  <c r="AB72" i="35"/>
  <c r="Z72" i="35"/>
  <c r="Y72" i="35"/>
  <c r="W72" i="35"/>
  <c r="U72" i="35"/>
  <c r="S72" i="35"/>
  <c r="AB71" i="35"/>
  <c r="Y71" i="35"/>
  <c r="Z71" i="35" s="1"/>
  <c r="W71" i="35"/>
  <c r="S71" i="35"/>
  <c r="U71" i="35" s="1"/>
  <c r="AB70" i="35"/>
  <c r="Y70" i="35"/>
  <c r="W70" i="35"/>
  <c r="S70" i="35"/>
  <c r="U70" i="35" s="1"/>
  <c r="AC69" i="35"/>
  <c r="AB69" i="35"/>
  <c r="Y69" i="35"/>
  <c r="Z69" i="35" s="1"/>
  <c r="W69" i="35"/>
  <c r="S69" i="35"/>
  <c r="U69" i="35" s="1"/>
  <c r="AB68" i="35"/>
  <c r="Y68" i="35"/>
  <c r="W68" i="35"/>
  <c r="S68" i="35"/>
  <c r="U68" i="35" s="1"/>
  <c r="AB67" i="35"/>
  <c r="AC67" i="35" s="1"/>
  <c r="Y67" i="35"/>
  <c r="Z67" i="35" s="1"/>
  <c r="W67" i="35"/>
  <c r="S67" i="35"/>
  <c r="U67" i="35" s="1"/>
  <c r="AB66" i="35"/>
  <c r="Z66" i="35"/>
  <c r="Y66" i="35"/>
  <c r="W66" i="35"/>
  <c r="U66" i="35"/>
  <c r="S66" i="35"/>
  <c r="AB65" i="35"/>
  <c r="AC65" i="35" s="1"/>
  <c r="Y65" i="35"/>
  <c r="Z65" i="35" s="1"/>
  <c r="W65" i="35"/>
  <c r="S65" i="35"/>
  <c r="U65" i="35" s="1"/>
  <c r="AB64" i="35"/>
  <c r="Y64" i="35"/>
  <c r="W64" i="35"/>
  <c r="S64" i="35"/>
  <c r="U64" i="35" s="1"/>
  <c r="AB63" i="35"/>
  <c r="AC63" i="35" s="1"/>
  <c r="Y63" i="35"/>
  <c r="Z63" i="35" s="1"/>
  <c r="W63" i="35"/>
  <c r="X63" i="35" s="1"/>
  <c r="S63" i="35"/>
  <c r="U63" i="35" s="1"/>
  <c r="AB62" i="35"/>
  <c r="Z62" i="35"/>
  <c r="Y62" i="35"/>
  <c r="W62" i="35"/>
  <c r="S62" i="35"/>
  <c r="U62" i="35" s="1"/>
  <c r="AB61" i="35"/>
  <c r="Y61" i="35"/>
  <c r="Z61" i="35" s="1"/>
  <c r="W61" i="35"/>
  <c r="X61" i="35" s="1"/>
  <c r="S61" i="35"/>
  <c r="U61" i="35" s="1"/>
  <c r="AB60" i="35"/>
  <c r="Y60" i="35"/>
  <c r="AC60" i="35" s="1"/>
  <c r="W60" i="35"/>
  <c r="U60" i="35"/>
  <c r="S60" i="35"/>
  <c r="AB59" i="35"/>
  <c r="Y59" i="35"/>
  <c r="Z59" i="35" s="1"/>
  <c r="W59" i="35"/>
  <c r="X59" i="35" s="1"/>
  <c r="S59" i="35"/>
  <c r="U59" i="35" s="1"/>
  <c r="AB58" i="35"/>
  <c r="Y58" i="35"/>
  <c r="AC58" i="35" s="1"/>
  <c r="W58" i="35"/>
  <c r="S58" i="35"/>
  <c r="U58" i="35" s="1"/>
  <c r="AB57" i="35"/>
  <c r="Y57" i="35"/>
  <c r="Z57" i="35" s="1"/>
  <c r="W57" i="35"/>
  <c r="X57" i="35" s="1"/>
  <c r="S57" i="35"/>
  <c r="U57" i="35" s="1"/>
  <c r="AB56" i="35"/>
  <c r="Z56" i="35"/>
  <c r="Y56" i="35"/>
  <c r="W56" i="35"/>
  <c r="U56" i="35"/>
  <c r="S56" i="35"/>
  <c r="AB55" i="35"/>
  <c r="Y55" i="35"/>
  <c r="Z55" i="35" s="1"/>
  <c r="W55" i="35"/>
  <c r="S55" i="35"/>
  <c r="U55" i="35" s="1"/>
  <c r="AB54" i="35"/>
  <c r="Y54" i="35"/>
  <c r="W54" i="35"/>
  <c r="S54" i="35"/>
  <c r="U54" i="35" s="1"/>
  <c r="AC53" i="35"/>
  <c r="AB53" i="35"/>
  <c r="Y53" i="35"/>
  <c r="Z53" i="35" s="1"/>
  <c r="W53" i="35"/>
  <c r="S53" i="35"/>
  <c r="U53" i="35" s="1"/>
  <c r="AB52" i="35"/>
  <c r="Y52" i="35"/>
  <c r="W52" i="35"/>
  <c r="S52" i="35"/>
  <c r="U52" i="35" s="1"/>
  <c r="AB51" i="35"/>
  <c r="AC51" i="35" s="1"/>
  <c r="Y51" i="35"/>
  <c r="Z51" i="35" s="1"/>
  <c r="W51" i="35"/>
  <c r="S51" i="35"/>
  <c r="U51" i="35" s="1"/>
  <c r="AB50" i="35"/>
  <c r="Z50" i="35"/>
  <c r="Y50" i="35"/>
  <c r="W50" i="35"/>
  <c r="U50" i="35"/>
  <c r="S50" i="35"/>
  <c r="AB49" i="35"/>
  <c r="AC49" i="35" s="1"/>
  <c r="Y49" i="35"/>
  <c r="Z49" i="35" s="1"/>
  <c r="W49" i="35"/>
  <c r="S49" i="35"/>
  <c r="U49" i="35" s="1"/>
  <c r="AB48" i="35"/>
  <c r="Y48" i="35"/>
  <c r="W48" i="35"/>
  <c r="S48" i="35"/>
  <c r="U48" i="35" s="1"/>
  <c r="AB47" i="35"/>
  <c r="AC47" i="35" s="1"/>
  <c r="Y47" i="35"/>
  <c r="Z47" i="35" s="1"/>
  <c r="W47" i="35"/>
  <c r="X47" i="35" s="1"/>
  <c r="S47" i="35"/>
  <c r="U47" i="35" s="1"/>
  <c r="AB46" i="35"/>
  <c r="Z46" i="35"/>
  <c r="Y46" i="35"/>
  <c r="W46" i="35"/>
  <c r="S46" i="35"/>
  <c r="U46" i="35" s="1"/>
  <c r="AB45" i="35"/>
  <c r="Y45" i="35"/>
  <c r="Z45" i="35" s="1"/>
  <c r="W45" i="35"/>
  <c r="S45" i="35"/>
  <c r="U45" i="35" s="1"/>
  <c r="AB44" i="35"/>
  <c r="Y44" i="35"/>
  <c r="W44" i="35"/>
  <c r="U44" i="35"/>
  <c r="S44" i="35"/>
  <c r="AB43" i="35"/>
  <c r="Y43" i="35"/>
  <c r="Z43" i="35" s="1"/>
  <c r="W43" i="35"/>
  <c r="X43" i="35" s="1"/>
  <c r="S43" i="35"/>
  <c r="U43" i="35" s="1"/>
  <c r="AB42" i="35"/>
  <c r="Y42" i="35"/>
  <c r="AC42" i="35" s="1"/>
  <c r="W42" i="35"/>
  <c r="S42" i="35"/>
  <c r="U42" i="35" s="1"/>
  <c r="AB41" i="35"/>
  <c r="AC41" i="35" s="1"/>
  <c r="Y41" i="35"/>
  <c r="Z41" i="35" s="1"/>
  <c r="W41" i="35"/>
  <c r="X41" i="35" s="1"/>
  <c r="S41" i="35"/>
  <c r="U41" i="35" s="1"/>
  <c r="AB40" i="35"/>
  <c r="Z40" i="35"/>
  <c r="Y40" i="35"/>
  <c r="W40" i="35"/>
  <c r="U40" i="35"/>
  <c r="S40" i="35"/>
  <c r="AB39" i="35"/>
  <c r="Y39" i="35"/>
  <c r="Z39" i="35" s="1"/>
  <c r="W39" i="35"/>
  <c r="S39" i="35"/>
  <c r="U39" i="35" s="1"/>
  <c r="AB38" i="35"/>
  <c r="Y38" i="35"/>
  <c r="W38" i="35"/>
  <c r="S38" i="35"/>
  <c r="U38" i="35" s="1"/>
  <c r="AC37" i="35"/>
  <c r="AB37" i="35"/>
  <c r="Y37" i="35"/>
  <c r="Z37" i="35" s="1"/>
  <c r="W37" i="35"/>
  <c r="S37" i="35"/>
  <c r="U37" i="35" s="1"/>
  <c r="AB36" i="35"/>
  <c r="Y36" i="35"/>
  <c r="W36" i="35"/>
  <c r="S36" i="35"/>
  <c r="U36" i="35" s="1"/>
  <c r="AB35" i="35"/>
  <c r="AC35" i="35" s="1"/>
  <c r="Y35" i="35"/>
  <c r="Z35" i="35" s="1"/>
  <c r="W35" i="35"/>
  <c r="X35" i="35" s="1"/>
  <c r="S35" i="35"/>
  <c r="U35" i="35" s="1"/>
  <c r="AB34" i="35"/>
  <c r="Z34" i="35"/>
  <c r="Y34" i="35"/>
  <c r="W34" i="35"/>
  <c r="U34" i="35"/>
  <c r="S34" i="35"/>
  <c r="AB33" i="35"/>
  <c r="AC33" i="35" s="1"/>
  <c r="Y33" i="35"/>
  <c r="Z33" i="35" s="1"/>
  <c r="W33" i="35"/>
  <c r="S33" i="35"/>
  <c r="U33" i="35" s="1"/>
  <c r="AB32" i="35"/>
  <c r="Y32" i="35"/>
  <c r="W32" i="35"/>
  <c r="U32" i="35"/>
  <c r="S32" i="35"/>
  <c r="AB31" i="35"/>
  <c r="Y31" i="35"/>
  <c r="AC31" i="35" s="1"/>
  <c r="W31" i="35"/>
  <c r="S31" i="35"/>
  <c r="U31" i="35" s="1"/>
  <c r="AB30" i="35"/>
  <c r="Z30" i="35"/>
  <c r="Y30" i="35"/>
  <c r="AC30" i="35" s="1"/>
  <c r="W30" i="35"/>
  <c r="S30" i="35"/>
  <c r="U30" i="35" s="1"/>
  <c r="AB29" i="35"/>
  <c r="Y29" i="35"/>
  <c r="AC29" i="35" s="1"/>
  <c r="W29" i="35"/>
  <c r="S29" i="35"/>
  <c r="U29" i="35" s="1"/>
  <c r="AB28" i="35"/>
  <c r="AC28" i="35" s="1"/>
  <c r="Y28" i="35"/>
  <c r="Z28" i="35" s="1"/>
  <c r="W28" i="35"/>
  <c r="U28" i="35"/>
  <c r="S28" i="35"/>
  <c r="AB27" i="35"/>
  <c r="Y27" i="35"/>
  <c r="W27" i="35"/>
  <c r="S27" i="35"/>
  <c r="U27" i="35" s="1"/>
  <c r="AB26" i="35"/>
  <c r="Z26" i="35"/>
  <c r="Y26" i="35"/>
  <c r="W26" i="35"/>
  <c r="S26" i="35"/>
  <c r="U26" i="35" s="1"/>
  <c r="AB25" i="35"/>
  <c r="Y25" i="35"/>
  <c r="W25" i="35"/>
  <c r="S25" i="35"/>
  <c r="U25" i="35" s="1"/>
  <c r="AB24" i="35"/>
  <c r="AC24" i="35" s="1"/>
  <c r="Y24" i="35"/>
  <c r="Z24" i="35" s="1"/>
  <c r="W24" i="35"/>
  <c r="U24" i="35"/>
  <c r="S24" i="35"/>
  <c r="AB23" i="35"/>
  <c r="Y23" i="35"/>
  <c r="W23" i="35"/>
  <c r="S23" i="35"/>
  <c r="U23" i="35" s="1"/>
  <c r="AB22" i="35"/>
  <c r="Z22" i="35"/>
  <c r="Y22" i="35"/>
  <c r="AC22" i="35" s="1"/>
  <c r="W22" i="35"/>
  <c r="S22" i="35"/>
  <c r="U22" i="35" s="1"/>
  <c r="AB21" i="35"/>
  <c r="Y21" i="35"/>
  <c r="AC21" i="35" s="1"/>
  <c r="W21" i="35"/>
  <c r="S21" i="35"/>
  <c r="U21" i="35" s="1"/>
  <c r="AB20" i="35"/>
  <c r="AC20" i="35" s="1"/>
  <c r="Y20" i="35"/>
  <c r="Z20" i="35" s="1"/>
  <c r="W20" i="35"/>
  <c r="U20" i="35"/>
  <c r="S20" i="35"/>
  <c r="AB19" i="35"/>
  <c r="Y19" i="35"/>
  <c r="AC19" i="35" s="1"/>
  <c r="W19" i="35"/>
  <c r="S19" i="35"/>
  <c r="U19" i="35" s="1"/>
  <c r="AB18" i="35"/>
  <c r="Z18" i="35"/>
  <c r="Y18" i="35"/>
  <c r="W18" i="35"/>
  <c r="S18" i="35"/>
  <c r="U18" i="35" s="1"/>
  <c r="AB17" i="35"/>
  <c r="Y17" i="35"/>
  <c r="W17" i="35"/>
  <c r="S17" i="35"/>
  <c r="U17" i="35" s="1"/>
  <c r="AB16" i="35"/>
  <c r="AC16" i="35" s="1"/>
  <c r="Y16" i="35"/>
  <c r="Z16" i="35" s="1"/>
  <c r="W16" i="35"/>
  <c r="U16" i="35"/>
  <c r="S16" i="35"/>
  <c r="AB15" i="35"/>
  <c r="Y15" i="35"/>
  <c r="AC15" i="35" s="1"/>
  <c r="W15" i="35"/>
  <c r="S15" i="35"/>
  <c r="U15" i="35" s="1"/>
  <c r="AB14" i="35"/>
  <c r="Z14" i="35"/>
  <c r="Y14" i="35"/>
  <c r="AC14" i="35" s="1"/>
  <c r="W14" i="35"/>
  <c r="S14" i="35"/>
  <c r="U14" i="35" s="1"/>
  <c r="AB13" i="35"/>
  <c r="Y13" i="35"/>
  <c r="AC13" i="35" s="1"/>
  <c r="W13" i="35"/>
  <c r="S13" i="35"/>
  <c r="U13" i="35" s="1"/>
  <c r="AB12" i="35"/>
  <c r="AC12" i="35" s="1"/>
  <c r="Y12" i="35"/>
  <c r="Z12" i="35" s="1"/>
  <c r="W12" i="35"/>
  <c r="U12" i="35"/>
  <c r="S12" i="35"/>
  <c r="AB11" i="35"/>
  <c r="Y11" i="35"/>
  <c r="W11" i="35"/>
  <c r="S11" i="35"/>
  <c r="U11" i="35" s="1"/>
  <c r="AB10" i="35"/>
  <c r="Z10" i="35"/>
  <c r="Y10" i="35"/>
  <c r="W10" i="35"/>
  <c r="S10" i="35"/>
  <c r="U10" i="35" s="1"/>
  <c r="AB9" i="35"/>
  <c r="Y9" i="35"/>
  <c r="W9" i="35"/>
  <c r="S9" i="35"/>
  <c r="U9" i="35" s="1"/>
  <c r="AB8" i="35"/>
  <c r="AC8" i="35" s="1"/>
  <c r="Y8" i="35"/>
  <c r="Z8" i="35" s="1"/>
  <c r="W8" i="35"/>
  <c r="U8" i="35"/>
  <c r="S8" i="35"/>
  <c r="AB7" i="35"/>
  <c r="Y7" i="35"/>
  <c r="W7" i="35"/>
  <c r="S7" i="35"/>
  <c r="U7" i="35" s="1"/>
  <c r="AJ101" i="34"/>
  <c r="AI101" i="34"/>
  <c r="AH101" i="34"/>
  <c r="AG101" i="34"/>
  <c r="AF101" i="34"/>
  <c r="AB99" i="34"/>
  <c r="Y99" i="34"/>
  <c r="AC99" i="34" s="1"/>
  <c r="W99" i="34"/>
  <c r="U99" i="34"/>
  <c r="S99" i="34"/>
  <c r="AB98" i="34"/>
  <c r="Z98" i="34"/>
  <c r="Y98" i="34"/>
  <c r="W98" i="34"/>
  <c r="S98" i="34"/>
  <c r="U98" i="34" s="1"/>
  <c r="AC97" i="34"/>
  <c r="AB97" i="34"/>
  <c r="Z97" i="34"/>
  <c r="Y97" i="34"/>
  <c r="W97" i="34"/>
  <c r="S97" i="34"/>
  <c r="U97" i="34" s="1"/>
  <c r="AB96" i="34"/>
  <c r="AC96" i="34" s="1"/>
  <c r="Y96" i="34"/>
  <c r="Z96" i="34" s="1"/>
  <c r="W96" i="34"/>
  <c r="U96" i="34"/>
  <c r="S96" i="34"/>
  <c r="AB95" i="34"/>
  <c r="Y95" i="34"/>
  <c r="W95" i="34"/>
  <c r="S95" i="34"/>
  <c r="U95" i="34" s="1"/>
  <c r="AB94" i="34"/>
  <c r="Z94" i="34"/>
  <c r="Y94" i="34"/>
  <c r="W94" i="34"/>
  <c r="X94" i="34" s="1"/>
  <c r="S94" i="34"/>
  <c r="U94" i="34" s="1"/>
  <c r="AB93" i="34"/>
  <c r="Z93" i="34"/>
  <c r="Y93" i="34"/>
  <c r="AC93" i="34" s="1"/>
  <c r="W93" i="34"/>
  <c r="S93" i="34"/>
  <c r="U93" i="34" s="1"/>
  <c r="AB92" i="34"/>
  <c r="AC92" i="34" s="1"/>
  <c r="Y92" i="34"/>
  <c r="Z92" i="34" s="1"/>
  <c r="W92" i="34"/>
  <c r="U92" i="34"/>
  <c r="S92" i="34"/>
  <c r="AB91" i="34"/>
  <c r="Y91" i="34"/>
  <c r="AC91" i="34" s="1"/>
  <c r="W91" i="34"/>
  <c r="S91" i="34"/>
  <c r="U91" i="34" s="1"/>
  <c r="AB90" i="34"/>
  <c r="Z90" i="34"/>
  <c r="Y90" i="34"/>
  <c r="W90" i="34"/>
  <c r="S90" i="34"/>
  <c r="U90" i="34" s="1"/>
  <c r="AB89" i="34"/>
  <c r="Z89" i="34"/>
  <c r="Y89" i="34"/>
  <c r="W89" i="34"/>
  <c r="S89" i="34"/>
  <c r="U89" i="34" s="1"/>
  <c r="AC88" i="34"/>
  <c r="AB88" i="34"/>
  <c r="Y88" i="34"/>
  <c r="Z88" i="34" s="1"/>
  <c r="W88" i="34"/>
  <c r="U88" i="34"/>
  <c r="S88" i="34"/>
  <c r="AB87" i="34"/>
  <c r="Y87" i="34"/>
  <c r="AC87" i="34" s="1"/>
  <c r="W87" i="34"/>
  <c r="X87" i="34" s="1"/>
  <c r="U87" i="34"/>
  <c r="S87" i="34"/>
  <c r="AB86" i="34"/>
  <c r="Z86" i="34"/>
  <c r="Y86" i="34"/>
  <c r="W86" i="34"/>
  <c r="X86" i="34" s="1"/>
  <c r="S86" i="34"/>
  <c r="U86" i="34" s="1"/>
  <c r="AB85" i="34"/>
  <c r="Z85" i="34"/>
  <c r="Y85" i="34"/>
  <c r="W85" i="34"/>
  <c r="S85" i="34"/>
  <c r="U85" i="34" s="1"/>
  <c r="AB84" i="34"/>
  <c r="Y84" i="34"/>
  <c r="Z84" i="34" s="1"/>
  <c r="W84" i="34"/>
  <c r="U84" i="34"/>
  <c r="S84" i="34"/>
  <c r="AB83" i="34"/>
  <c r="Y83" i="34"/>
  <c r="W83" i="34"/>
  <c r="S83" i="34"/>
  <c r="U83" i="34" s="1"/>
  <c r="AB82" i="34"/>
  <c r="Y82" i="34"/>
  <c r="W82" i="34"/>
  <c r="S82" i="34"/>
  <c r="U82" i="34" s="1"/>
  <c r="AB81" i="34"/>
  <c r="AC81" i="34" s="1"/>
  <c r="Y81" i="34"/>
  <c r="Z81" i="34" s="1"/>
  <c r="W81" i="34"/>
  <c r="S81" i="34"/>
  <c r="U81" i="34" s="1"/>
  <c r="AC80" i="34"/>
  <c r="AB80" i="34"/>
  <c r="Y80" i="34"/>
  <c r="Z80" i="34" s="1"/>
  <c r="W80" i="34"/>
  <c r="S80" i="34"/>
  <c r="U80" i="34" s="1"/>
  <c r="AB79" i="34"/>
  <c r="Y79" i="34"/>
  <c r="W79" i="34"/>
  <c r="S79" i="34"/>
  <c r="U79" i="34" s="1"/>
  <c r="AB78" i="34"/>
  <c r="Z78" i="34"/>
  <c r="Y78" i="34"/>
  <c r="W78" i="34"/>
  <c r="S78" i="34"/>
  <c r="U78" i="34" s="1"/>
  <c r="AB77" i="34"/>
  <c r="Z77" i="34"/>
  <c r="Y77" i="34"/>
  <c r="AC77" i="34" s="1"/>
  <c r="W77" i="34"/>
  <c r="S77" i="34"/>
  <c r="U77" i="34" s="1"/>
  <c r="AB76" i="34"/>
  <c r="Y76" i="34"/>
  <c r="Z76" i="34" s="1"/>
  <c r="W76" i="34"/>
  <c r="S76" i="34"/>
  <c r="U76" i="34" s="1"/>
  <c r="AB75" i="34"/>
  <c r="Y75" i="34"/>
  <c r="W75" i="34"/>
  <c r="S75" i="34"/>
  <c r="U75" i="34" s="1"/>
  <c r="AB74" i="34"/>
  <c r="Y74" i="34"/>
  <c r="AC74" i="34" s="1"/>
  <c r="W74" i="34"/>
  <c r="X74" i="34" s="1"/>
  <c r="S74" i="34"/>
  <c r="U74" i="34" s="1"/>
  <c r="AB73" i="34"/>
  <c r="Y73" i="34"/>
  <c r="AC73" i="34" s="1"/>
  <c r="W73" i="34"/>
  <c r="S73" i="34"/>
  <c r="U73" i="34" s="1"/>
  <c r="AB72" i="34"/>
  <c r="Y72" i="34"/>
  <c r="Z72" i="34" s="1"/>
  <c r="W72" i="34"/>
  <c r="U72" i="34"/>
  <c r="S72" i="34"/>
  <c r="AB71" i="34"/>
  <c r="Y71" i="34"/>
  <c r="W71" i="34"/>
  <c r="U71" i="34"/>
  <c r="S71" i="34"/>
  <c r="AB70" i="34"/>
  <c r="Y70" i="34"/>
  <c r="W70" i="34"/>
  <c r="S70" i="34"/>
  <c r="U70" i="34" s="1"/>
  <c r="AB69" i="34"/>
  <c r="Y69" i="34"/>
  <c r="W69" i="34"/>
  <c r="S69" i="34"/>
  <c r="U69" i="34" s="1"/>
  <c r="AB68" i="34"/>
  <c r="Y68" i="34"/>
  <c r="Z68" i="34" s="1"/>
  <c r="W68" i="34"/>
  <c r="S68" i="34"/>
  <c r="U68" i="34" s="1"/>
  <c r="AB67" i="34"/>
  <c r="Y67" i="34"/>
  <c r="W67" i="34"/>
  <c r="S67" i="34"/>
  <c r="U67" i="34" s="1"/>
  <c r="AB66" i="34"/>
  <c r="Y66" i="34"/>
  <c r="W66" i="34"/>
  <c r="S66" i="34"/>
  <c r="U66" i="34" s="1"/>
  <c r="AC65" i="34"/>
  <c r="AB65" i="34"/>
  <c r="Y65" i="34"/>
  <c r="Z65" i="34" s="1"/>
  <c r="W65" i="34"/>
  <c r="S65" i="34"/>
  <c r="U65" i="34" s="1"/>
  <c r="AB64" i="34"/>
  <c r="AC64" i="34" s="1"/>
  <c r="Y64" i="34"/>
  <c r="Z64" i="34" s="1"/>
  <c r="W64" i="34"/>
  <c r="S64" i="34"/>
  <c r="U64" i="34" s="1"/>
  <c r="AB63" i="34"/>
  <c r="Y63" i="34"/>
  <c r="W63" i="34"/>
  <c r="S63" i="34"/>
  <c r="U63" i="34" s="1"/>
  <c r="AB62" i="34"/>
  <c r="Z62" i="34"/>
  <c r="Y62" i="34"/>
  <c r="W62" i="34"/>
  <c r="S62" i="34"/>
  <c r="U62" i="34" s="1"/>
  <c r="AB61" i="34"/>
  <c r="Z61" i="34"/>
  <c r="Y61" i="34"/>
  <c r="W61" i="34"/>
  <c r="S61" i="34"/>
  <c r="U61" i="34" s="1"/>
  <c r="AB60" i="34"/>
  <c r="Y60" i="34"/>
  <c r="Z60" i="34" s="1"/>
  <c r="W60" i="34"/>
  <c r="S60" i="34"/>
  <c r="U60" i="34" s="1"/>
  <c r="AB59" i="34"/>
  <c r="Y59" i="34"/>
  <c r="W59" i="34"/>
  <c r="S59" i="34"/>
  <c r="U59" i="34" s="1"/>
  <c r="AB58" i="34"/>
  <c r="Y58" i="34"/>
  <c r="W58" i="34"/>
  <c r="X58" i="34" s="1"/>
  <c r="S58" i="34"/>
  <c r="U58" i="34" s="1"/>
  <c r="AB57" i="34"/>
  <c r="Y57" i="34"/>
  <c r="W57" i="34"/>
  <c r="S57" i="34"/>
  <c r="U57" i="34" s="1"/>
  <c r="AB56" i="34"/>
  <c r="Y56" i="34"/>
  <c r="Z56" i="34" s="1"/>
  <c r="W56" i="34"/>
  <c r="U56" i="34"/>
  <c r="S56" i="34"/>
  <c r="AB55" i="34"/>
  <c r="Y55" i="34"/>
  <c r="W55" i="34"/>
  <c r="U55" i="34"/>
  <c r="S55" i="34"/>
  <c r="AB54" i="34"/>
  <c r="Y54" i="34"/>
  <c r="AC54" i="34" s="1"/>
  <c r="W54" i="34"/>
  <c r="S54" i="34"/>
  <c r="U54" i="34" s="1"/>
  <c r="AB53" i="34"/>
  <c r="Y53" i="34"/>
  <c r="AC53" i="34" s="1"/>
  <c r="W53" i="34"/>
  <c r="S53" i="34"/>
  <c r="U53" i="34" s="1"/>
  <c r="AB52" i="34"/>
  <c r="AC52" i="34" s="1"/>
  <c r="Y52" i="34"/>
  <c r="Z52" i="34" s="1"/>
  <c r="W52" i="34"/>
  <c r="S52" i="34"/>
  <c r="U52" i="34" s="1"/>
  <c r="AB51" i="34"/>
  <c r="Y51" i="34"/>
  <c r="W51" i="34"/>
  <c r="S51" i="34"/>
  <c r="U51" i="34" s="1"/>
  <c r="AB50" i="34"/>
  <c r="Y50" i="34"/>
  <c r="W50" i="34"/>
  <c r="S50" i="34"/>
  <c r="U50" i="34" s="1"/>
  <c r="AB49" i="34"/>
  <c r="AC49" i="34" s="1"/>
  <c r="Y49" i="34"/>
  <c r="Z49" i="34" s="1"/>
  <c r="W49" i="34"/>
  <c r="S49" i="34"/>
  <c r="U49" i="34" s="1"/>
  <c r="AB48" i="34"/>
  <c r="AC48" i="34" s="1"/>
  <c r="Y48" i="34"/>
  <c r="Z48" i="34" s="1"/>
  <c r="W48" i="34"/>
  <c r="S48" i="34"/>
  <c r="U48" i="34" s="1"/>
  <c r="AB47" i="34"/>
  <c r="Y47" i="34"/>
  <c r="W47" i="34"/>
  <c r="S47" i="34"/>
  <c r="U47" i="34" s="1"/>
  <c r="AB46" i="34"/>
  <c r="Z46" i="34"/>
  <c r="Y46" i="34"/>
  <c r="W46" i="34"/>
  <c r="X46" i="34" s="1"/>
  <c r="S46" i="34"/>
  <c r="U46" i="34" s="1"/>
  <c r="AB45" i="34"/>
  <c r="Z45" i="34"/>
  <c r="Y45" i="34"/>
  <c r="AC45" i="34" s="1"/>
  <c r="W45" i="34"/>
  <c r="S45" i="34"/>
  <c r="U45" i="34" s="1"/>
  <c r="AB44" i="34"/>
  <c r="Y44" i="34"/>
  <c r="Z44" i="34" s="1"/>
  <c r="W44" i="34"/>
  <c r="S44" i="34"/>
  <c r="U44" i="34" s="1"/>
  <c r="AB43" i="34"/>
  <c r="Y43" i="34"/>
  <c r="W43" i="34"/>
  <c r="S43" i="34"/>
  <c r="U43" i="34" s="1"/>
  <c r="AB42" i="34"/>
  <c r="Y42" i="34"/>
  <c r="AC42" i="34" s="1"/>
  <c r="W42" i="34"/>
  <c r="X42" i="34" s="1"/>
  <c r="S42" i="34"/>
  <c r="U42" i="34" s="1"/>
  <c r="AB41" i="34"/>
  <c r="Y41" i="34"/>
  <c r="AC41" i="34" s="1"/>
  <c r="W41" i="34"/>
  <c r="S41" i="34"/>
  <c r="U41" i="34" s="1"/>
  <c r="AB40" i="34"/>
  <c r="Y40" i="34"/>
  <c r="Z40" i="34" s="1"/>
  <c r="W40" i="34"/>
  <c r="U40" i="34"/>
  <c r="S40" i="34"/>
  <c r="AB39" i="34"/>
  <c r="Y39" i="34"/>
  <c r="W39" i="34"/>
  <c r="U39" i="34"/>
  <c r="S39" i="34"/>
  <c r="AB38" i="34"/>
  <c r="Y38" i="34"/>
  <c r="W38" i="34"/>
  <c r="S38" i="34"/>
  <c r="U38" i="34" s="1"/>
  <c r="AB37" i="34"/>
  <c r="Y37" i="34"/>
  <c r="W37" i="34"/>
  <c r="S37" i="34"/>
  <c r="U37" i="34" s="1"/>
  <c r="AB36" i="34"/>
  <c r="AC36" i="34" s="1"/>
  <c r="Y36" i="34"/>
  <c r="Z36" i="34" s="1"/>
  <c r="W36" i="34"/>
  <c r="S36" i="34"/>
  <c r="U36" i="34" s="1"/>
  <c r="AB35" i="34"/>
  <c r="Y35" i="34"/>
  <c r="W35" i="34"/>
  <c r="S35" i="34"/>
  <c r="U35" i="34" s="1"/>
  <c r="AB34" i="34"/>
  <c r="Y34" i="34"/>
  <c r="W34" i="34"/>
  <c r="S34" i="34"/>
  <c r="U34" i="34" s="1"/>
  <c r="AC33" i="34"/>
  <c r="AB33" i="34"/>
  <c r="Y33" i="34"/>
  <c r="Z33" i="34" s="1"/>
  <c r="W33" i="34"/>
  <c r="S33" i="34"/>
  <c r="U33" i="34" s="1"/>
  <c r="AB32" i="34"/>
  <c r="AC32" i="34" s="1"/>
  <c r="Y32" i="34"/>
  <c r="Z32" i="34" s="1"/>
  <c r="W32" i="34"/>
  <c r="S32" i="34"/>
  <c r="U32" i="34" s="1"/>
  <c r="AB31" i="34"/>
  <c r="Y31" i="34"/>
  <c r="AC31" i="34" s="1"/>
  <c r="W31" i="34"/>
  <c r="U31" i="34"/>
  <c r="S31" i="34"/>
  <c r="AB30" i="34"/>
  <c r="Y30" i="34"/>
  <c r="AC30" i="34" s="1"/>
  <c r="W30" i="34"/>
  <c r="S30" i="34"/>
  <c r="U30" i="34" s="1"/>
  <c r="AB29" i="34"/>
  <c r="Z29" i="34"/>
  <c r="Y29" i="34"/>
  <c r="W29" i="34"/>
  <c r="S29" i="34"/>
  <c r="U29" i="34" s="1"/>
  <c r="AC28" i="34"/>
  <c r="AB28" i="34"/>
  <c r="Y28" i="34"/>
  <c r="Z28" i="34" s="1"/>
  <c r="W28" i="34"/>
  <c r="S28" i="34"/>
  <c r="U28" i="34" s="1"/>
  <c r="AB27" i="34"/>
  <c r="Y27" i="34"/>
  <c r="AC27" i="34" s="1"/>
  <c r="W27" i="34"/>
  <c r="U27" i="34"/>
  <c r="S27" i="34"/>
  <c r="AB26" i="34"/>
  <c r="Y26" i="34"/>
  <c r="AC26" i="34" s="1"/>
  <c r="W26" i="34"/>
  <c r="S26" i="34"/>
  <c r="U26" i="34" s="1"/>
  <c r="AB25" i="34"/>
  <c r="Z25" i="34"/>
  <c r="Y25" i="34"/>
  <c r="AC25" i="34" s="1"/>
  <c r="W25" i="34"/>
  <c r="S25" i="34"/>
  <c r="U25" i="34" s="1"/>
  <c r="AC24" i="34"/>
  <c r="AB24" i="34"/>
  <c r="Y24" i="34"/>
  <c r="Z24" i="34" s="1"/>
  <c r="W24" i="34"/>
  <c r="S24" i="34"/>
  <c r="U24" i="34" s="1"/>
  <c r="AB23" i="34"/>
  <c r="Y23" i="34"/>
  <c r="W23" i="34"/>
  <c r="U23" i="34"/>
  <c r="S23" i="34"/>
  <c r="AB22" i="34"/>
  <c r="Y22" i="34"/>
  <c r="AC22" i="34" s="1"/>
  <c r="W22" i="34"/>
  <c r="S22" i="34"/>
  <c r="U22" i="34" s="1"/>
  <c r="AB21" i="34"/>
  <c r="Z21" i="34"/>
  <c r="Y21" i="34"/>
  <c r="AC21" i="34" s="1"/>
  <c r="W21" i="34"/>
  <c r="S21" i="34"/>
  <c r="U21" i="34" s="1"/>
  <c r="AB20" i="34"/>
  <c r="AC20" i="34" s="1"/>
  <c r="Y20" i="34"/>
  <c r="Z20" i="34" s="1"/>
  <c r="W20" i="34"/>
  <c r="S20" i="34"/>
  <c r="U20" i="34" s="1"/>
  <c r="AB19" i="34"/>
  <c r="Y19" i="34"/>
  <c r="W19" i="34"/>
  <c r="U19" i="34"/>
  <c r="S19" i="34"/>
  <c r="AB18" i="34"/>
  <c r="Y18" i="34"/>
  <c r="W18" i="34"/>
  <c r="S18" i="34"/>
  <c r="U18" i="34" s="1"/>
  <c r="AB17" i="34"/>
  <c r="Z17" i="34"/>
  <c r="Y17" i="34"/>
  <c r="W17" i="34"/>
  <c r="S17" i="34"/>
  <c r="U17" i="34" s="1"/>
  <c r="AB16" i="34"/>
  <c r="AC16" i="34" s="1"/>
  <c r="Y16" i="34"/>
  <c r="Z16" i="34" s="1"/>
  <c r="W16" i="34"/>
  <c r="S16" i="34"/>
  <c r="U16" i="34" s="1"/>
  <c r="AB15" i="34"/>
  <c r="Y15" i="34"/>
  <c r="AC15" i="34" s="1"/>
  <c r="W15" i="34"/>
  <c r="U15" i="34"/>
  <c r="S15" i="34"/>
  <c r="AB14" i="34"/>
  <c r="Y14" i="34"/>
  <c r="W14" i="34"/>
  <c r="S14" i="34"/>
  <c r="U14" i="34" s="1"/>
  <c r="AB13" i="34"/>
  <c r="Z13" i="34"/>
  <c r="Y13" i="34"/>
  <c r="W13" i="34"/>
  <c r="S13" i="34"/>
  <c r="U13" i="34" s="1"/>
  <c r="AC12" i="34"/>
  <c r="AB12" i="34"/>
  <c r="Y12" i="34"/>
  <c r="Z12" i="34" s="1"/>
  <c r="W12" i="34"/>
  <c r="S12" i="34"/>
  <c r="U12" i="34" s="1"/>
  <c r="AB11" i="34"/>
  <c r="Y11" i="34"/>
  <c r="AC11" i="34" s="1"/>
  <c r="W11" i="34"/>
  <c r="U11" i="34"/>
  <c r="S11" i="34"/>
  <c r="AB10" i="34"/>
  <c r="Y10" i="34"/>
  <c r="AC10" i="34" s="1"/>
  <c r="W10" i="34"/>
  <c r="S10" i="34"/>
  <c r="U10" i="34" s="1"/>
  <c r="AB9" i="34"/>
  <c r="Z9" i="34"/>
  <c r="Y9" i="34"/>
  <c r="W9" i="34"/>
  <c r="S9" i="34"/>
  <c r="U9" i="34" s="1"/>
  <c r="AB8" i="34"/>
  <c r="AC8" i="34" s="1"/>
  <c r="Y8" i="34"/>
  <c r="Z8" i="34" s="1"/>
  <c r="W8" i="34"/>
  <c r="S8" i="34"/>
  <c r="U8" i="34" s="1"/>
  <c r="AB7" i="34"/>
  <c r="Y7" i="34"/>
  <c r="W7" i="34"/>
  <c r="U7" i="34"/>
  <c r="S7" i="34"/>
  <c r="AJ101" i="33"/>
  <c r="AI101" i="33"/>
  <c r="AH101" i="33"/>
  <c r="AG101" i="33"/>
  <c r="AF101" i="33"/>
  <c r="AB99" i="33"/>
  <c r="Y99" i="33"/>
  <c r="AC99" i="33" s="1"/>
  <c r="W99" i="33"/>
  <c r="U99" i="33"/>
  <c r="S99" i="33"/>
  <c r="AB98" i="33"/>
  <c r="Z98" i="33"/>
  <c r="Y98" i="33"/>
  <c r="W98" i="33"/>
  <c r="X98" i="33" s="1"/>
  <c r="S98" i="33"/>
  <c r="U98" i="33" s="1"/>
  <c r="AC97" i="33"/>
  <c r="AB97" i="33"/>
  <c r="Z97" i="33"/>
  <c r="Y97" i="33"/>
  <c r="W97" i="33"/>
  <c r="S97" i="33"/>
  <c r="U97" i="33" s="1"/>
  <c r="AB96" i="33"/>
  <c r="AC96" i="33" s="1"/>
  <c r="Y96" i="33"/>
  <c r="Z96" i="33" s="1"/>
  <c r="W96" i="33"/>
  <c r="U96" i="33"/>
  <c r="S96" i="33"/>
  <c r="AB95" i="33"/>
  <c r="Y95" i="33"/>
  <c r="W95" i="33"/>
  <c r="S95" i="33"/>
  <c r="U95" i="33" s="1"/>
  <c r="AB94" i="33"/>
  <c r="Z94" i="33"/>
  <c r="Y94" i="33"/>
  <c r="W94" i="33"/>
  <c r="X94" i="33" s="1"/>
  <c r="S94" i="33"/>
  <c r="U94" i="33" s="1"/>
  <c r="AB93" i="33"/>
  <c r="Y93" i="33"/>
  <c r="W93" i="33"/>
  <c r="S93" i="33"/>
  <c r="U93" i="33" s="1"/>
  <c r="AC92" i="33"/>
  <c r="AB92" i="33"/>
  <c r="Y92" i="33"/>
  <c r="Z92" i="33" s="1"/>
  <c r="W92" i="33"/>
  <c r="U92" i="33"/>
  <c r="S92" i="33"/>
  <c r="AB91" i="33"/>
  <c r="Y91" i="33"/>
  <c r="AC91" i="33" s="1"/>
  <c r="W91" i="33"/>
  <c r="U91" i="33"/>
  <c r="S91" i="33"/>
  <c r="AB90" i="33"/>
  <c r="Z90" i="33"/>
  <c r="Y90" i="33"/>
  <c r="W90" i="33"/>
  <c r="S90" i="33"/>
  <c r="U90" i="33" s="1"/>
  <c r="AB89" i="33"/>
  <c r="Z89" i="33"/>
  <c r="Y89" i="33"/>
  <c r="W89" i="33"/>
  <c r="S89" i="33"/>
  <c r="U89" i="33" s="1"/>
  <c r="AB88" i="33"/>
  <c r="Y88" i="33"/>
  <c r="Z88" i="33" s="1"/>
  <c r="W88" i="33"/>
  <c r="U88" i="33"/>
  <c r="S88" i="33"/>
  <c r="AB87" i="33"/>
  <c r="Y87" i="33"/>
  <c r="W87" i="33"/>
  <c r="X87" i="33" s="1"/>
  <c r="U87" i="33"/>
  <c r="S87" i="33"/>
  <c r="AB86" i="33"/>
  <c r="Z86" i="33"/>
  <c r="Y86" i="33"/>
  <c r="W86" i="33"/>
  <c r="X86" i="33" s="1"/>
  <c r="S86" i="33"/>
  <c r="U86" i="33" s="1"/>
  <c r="AB85" i="33"/>
  <c r="Z85" i="33"/>
  <c r="Y85" i="33"/>
  <c r="AC85" i="33" s="1"/>
  <c r="W85" i="33"/>
  <c r="S85" i="33"/>
  <c r="U85" i="33" s="1"/>
  <c r="AB84" i="33"/>
  <c r="Y84" i="33"/>
  <c r="Z84" i="33" s="1"/>
  <c r="W84" i="33"/>
  <c r="U84" i="33"/>
  <c r="S84" i="33"/>
  <c r="AB83" i="33"/>
  <c r="Y83" i="33"/>
  <c r="W83" i="33"/>
  <c r="U83" i="33"/>
  <c r="S83" i="33"/>
  <c r="AB82" i="33"/>
  <c r="Z82" i="33"/>
  <c r="Y82" i="33"/>
  <c r="W82" i="33"/>
  <c r="S82" i="33"/>
  <c r="U82" i="33" s="1"/>
  <c r="AC81" i="33"/>
  <c r="AB81" i="33"/>
  <c r="Z81" i="33"/>
  <c r="Y81" i="33"/>
  <c r="W81" i="33"/>
  <c r="S81" i="33"/>
  <c r="U81" i="33" s="1"/>
  <c r="AB80" i="33"/>
  <c r="AC80" i="33" s="1"/>
  <c r="Y80" i="33"/>
  <c r="Z80" i="33" s="1"/>
  <c r="W80" i="33"/>
  <c r="U80" i="33"/>
  <c r="S80" i="33"/>
  <c r="AB79" i="33"/>
  <c r="Y79" i="33"/>
  <c r="W79" i="33"/>
  <c r="U79" i="33"/>
  <c r="S79" i="33"/>
  <c r="AB78" i="33"/>
  <c r="Z78" i="33"/>
  <c r="Y78" i="33"/>
  <c r="W78" i="33"/>
  <c r="S78" i="33"/>
  <c r="U78" i="33" s="1"/>
  <c r="AB77" i="33"/>
  <c r="AC77" i="33" s="1"/>
  <c r="Z77" i="33"/>
  <c r="Y77" i="33"/>
  <c r="W77" i="33"/>
  <c r="S77" i="33"/>
  <c r="U77" i="33" s="1"/>
  <c r="AC76" i="33"/>
  <c r="AB76" i="33"/>
  <c r="Y76" i="33"/>
  <c r="Z76" i="33" s="1"/>
  <c r="W76" i="33"/>
  <c r="S76" i="33"/>
  <c r="U76" i="33" s="1"/>
  <c r="AB75" i="33"/>
  <c r="Y75" i="33"/>
  <c r="W75" i="33"/>
  <c r="S75" i="33"/>
  <c r="U75" i="33" s="1"/>
  <c r="AB74" i="33"/>
  <c r="Z74" i="33"/>
  <c r="Y74" i="33"/>
  <c r="AC74" i="33" s="1"/>
  <c r="W74" i="33"/>
  <c r="X74" i="33" s="1"/>
  <c r="S74" i="33"/>
  <c r="U74" i="33" s="1"/>
  <c r="AB73" i="33"/>
  <c r="Z73" i="33"/>
  <c r="Y73" i="33"/>
  <c r="W73" i="33"/>
  <c r="S73" i="33"/>
  <c r="U73" i="33" s="1"/>
  <c r="AB72" i="33"/>
  <c r="Y72" i="33"/>
  <c r="Z72" i="33" s="1"/>
  <c r="W72" i="33"/>
  <c r="U72" i="33"/>
  <c r="S72" i="33"/>
  <c r="AB71" i="33"/>
  <c r="Y71" i="33"/>
  <c r="W71" i="33"/>
  <c r="X71" i="33" s="1"/>
  <c r="U71" i="33"/>
  <c r="S71" i="33"/>
  <c r="AB70" i="33"/>
  <c r="Z70" i="33"/>
  <c r="Y70" i="33"/>
  <c r="W70" i="33"/>
  <c r="X70" i="33" s="1"/>
  <c r="S70" i="33"/>
  <c r="U70" i="33" s="1"/>
  <c r="AB69" i="33"/>
  <c r="AC69" i="33" s="1"/>
  <c r="Z69" i="33"/>
  <c r="Y69" i="33"/>
  <c r="W69" i="33"/>
  <c r="S69" i="33"/>
  <c r="U69" i="33" s="1"/>
  <c r="AB68" i="33"/>
  <c r="Y68" i="33"/>
  <c r="Z68" i="33" s="1"/>
  <c r="W68" i="33"/>
  <c r="U68" i="33"/>
  <c r="S68" i="33"/>
  <c r="AB67" i="33"/>
  <c r="Y67" i="33"/>
  <c r="W67" i="33"/>
  <c r="U67" i="33"/>
  <c r="S67" i="33"/>
  <c r="AB66" i="33"/>
  <c r="Y66" i="33"/>
  <c r="AC66" i="33" s="1"/>
  <c r="W66" i="33"/>
  <c r="S66" i="33"/>
  <c r="U66" i="33" s="1"/>
  <c r="AB65" i="33"/>
  <c r="AC65" i="33" s="1"/>
  <c r="Y65" i="33"/>
  <c r="Z65" i="33" s="1"/>
  <c r="W65" i="33"/>
  <c r="S65" i="33"/>
  <c r="U65" i="33" s="1"/>
  <c r="AB64" i="33"/>
  <c r="AC64" i="33" s="1"/>
  <c r="Y64" i="33"/>
  <c r="Z64" i="33" s="1"/>
  <c r="W64" i="33"/>
  <c r="S64" i="33"/>
  <c r="U64" i="33" s="1"/>
  <c r="AB63" i="33"/>
  <c r="Y63" i="33"/>
  <c r="W63" i="33"/>
  <c r="S63" i="33"/>
  <c r="U63" i="33" s="1"/>
  <c r="AB62" i="33"/>
  <c r="Z62" i="33"/>
  <c r="Y62" i="33"/>
  <c r="W62" i="33"/>
  <c r="S62" i="33"/>
  <c r="U62" i="33" s="1"/>
  <c r="AC61" i="33"/>
  <c r="AB61" i="33"/>
  <c r="Z61" i="33"/>
  <c r="Y61" i="33"/>
  <c r="W61" i="33"/>
  <c r="S61" i="33"/>
  <c r="U61" i="33" s="1"/>
  <c r="AB60" i="33"/>
  <c r="AC60" i="33" s="1"/>
  <c r="Y60" i="33"/>
  <c r="Z60" i="33" s="1"/>
  <c r="W60" i="33"/>
  <c r="S60" i="33"/>
  <c r="U60" i="33" s="1"/>
  <c r="AB59" i="33"/>
  <c r="Y59" i="33"/>
  <c r="W59" i="33"/>
  <c r="S59" i="33"/>
  <c r="U59" i="33" s="1"/>
  <c r="AB58" i="33"/>
  <c r="Z58" i="33"/>
  <c r="Y58" i="33"/>
  <c r="W58" i="33"/>
  <c r="X58" i="33" s="1"/>
  <c r="S58" i="33"/>
  <c r="U58" i="33" s="1"/>
  <c r="AB57" i="33"/>
  <c r="Z57" i="33"/>
  <c r="Y57" i="33"/>
  <c r="W57" i="33"/>
  <c r="S57" i="33"/>
  <c r="U57" i="33" s="1"/>
  <c r="AB56" i="33"/>
  <c r="Y56" i="33"/>
  <c r="Z56" i="33" s="1"/>
  <c r="W56" i="33"/>
  <c r="U56" i="33"/>
  <c r="S56" i="33"/>
  <c r="AB55" i="33"/>
  <c r="Y55" i="33"/>
  <c r="W55" i="33"/>
  <c r="X55" i="33" s="1"/>
  <c r="U55" i="33"/>
  <c r="S55" i="33"/>
  <c r="AB54" i="33"/>
  <c r="Y54" i="33"/>
  <c r="AC54" i="33" s="1"/>
  <c r="W54" i="33"/>
  <c r="X54" i="33" s="1"/>
  <c r="S54" i="33"/>
  <c r="U54" i="33" s="1"/>
  <c r="AB53" i="33"/>
  <c r="Y53" i="33"/>
  <c r="W53" i="33"/>
  <c r="S53" i="33"/>
  <c r="U53" i="33" s="1"/>
  <c r="AB52" i="33"/>
  <c r="Y52" i="33"/>
  <c r="Z52" i="33" s="1"/>
  <c r="W52" i="33"/>
  <c r="U52" i="33"/>
  <c r="S52" i="33"/>
  <c r="AB51" i="33"/>
  <c r="Y51" i="33"/>
  <c r="W51" i="33"/>
  <c r="U51" i="33"/>
  <c r="S51" i="33"/>
  <c r="AB50" i="33"/>
  <c r="Y50" i="33"/>
  <c r="AC50" i="33" s="1"/>
  <c r="W50" i="33"/>
  <c r="S50" i="33"/>
  <c r="U50" i="33" s="1"/>
  <c r="AB49" i="33"/>
  <c r="AC49" i="33" s="1"/>
  <c r="Y49" i="33"/>
  <c r="Z49" i="33" s="1"/>
  <c r="W49" i="33"/>
  <c r="S49" i="33"/>
  <c r="U49" i="33" s="1"/>
  <c r="AB48" i="33"/>
  <c r="AC48" i="33" s="1"/>
  <c r="Y48" i="33"/>
  <c r="Z48" i="33" s="1"/>
  <c r="W48" i="33"/>
  <c r="S48" i="33"/>
  <c r="U48" i="33" s="1"/>
  <c r="AB47" i="33"/>
  <c r="Y47" i="33"/>
  <c r="W47" i="33"/>
  <c r="S47" i="33"/>
  <c r="U47" i="33" s="1"/>
  <c r="AB46" i="33"/>
  <c r="Z46" i="33"/>
  <c r="Y46" i="33"/>
  <c r="W46" i="33"/>
  <c r="S46" i="33"/>
  <c r="U46" i="33" s="1"/>
  <c r="AC45" i="33"/>
  <c r="AB45" i="33"/>
  <c r="Z45" i="33"/>
  <c r="Y45" i="33"/>
  <c r="W45" i="33"/>
  <c r="S45" i="33"/>
  <c r="U45" i="33" s="1"/>
  <c r="AB44" i="33"/>
  <c r="AC44" i="33" s="1"/>
  <c r="Y44" i="33"/>
  <c r="Z44" i="33" s="1"/>
  <c r="W44" i="33"/>
  <c r="S44" i="33"/>
  <c r="U44" i="33" s="1"/>
  <c r="AB43" i="33"/>
  <c r="Y43" i="33"/>
  <c r="W43" i="33"/>
  <c r="S43" i="33"/>
  <c r="U43" i="33" s="1"/>
  <c r="AB42" i="33"/>
  <c r="Z42" i="33"/>
  <c r="Y42" i="33"/>
  <c r="W42" i="33"/>
  <c r="X42" i="33" s="1"/>
  <c r="S42" i="33"/>
  <c r="U42" i="33" s="1"/>
  <c r="AB41" i="33"/>
  <c r="Z41" i="33"/>
  <c r="Y41" i="33"/>
  <c r="W41" i="33"/>
  <c r="S41" i="33"/>
  <c r="U41" i="33" s="1"/>
  <c r="AB40" i="33"/>
  <c r="Y40" i="33"/>
  <c r="Z40" i="33" s="1"/>
  <c r="W40" i="33"/>
  <c r="U40" i="33"/>
  <c r="S40" i="33"/>
  <c r="AB39" i="33"/>
  <c r="Y39" i="33"/>
  <c r="W39" i="33"/>
  <c r="X39" i="33" s="1"/>
  <c r="U39" i="33"/>
  <c r="S39" i="33"/>
  <c r="AB38" i="33"/>
  <c r="Y38" i="33"/>
  <c r="W38" i="33"/>
  <c r="X38" i="33" s="1"/>
  <c r="S38" i="33"/>
  <c r="U38" i="33" s="1"/>
  <c r="AB37" i="33"/>
  <c r="Y37" i="33"/>
  <c r="AC37" i="33" s="1"/>
  <c r="W37" i="33"/>
  <c r="S37" i="33"/>
  <c r="U37" i="33" s="1"/>
  <c r="AB36" i="33"/>
  <c r="Y36" i="33"/>
  <c r="Z36" i="33" s="1"/>
  <c r="W36" i="33"/>
  <c r="U36" i="33"/>
  <c r="S36" i="33"/>
  <c r="AB35" i="33"/>
  <c r="Y35" i="33"/>
  <c r="W35" i="33"/>
  <c r="U35" i="33"/>
  <c r="S35" i="33"/>
  <c r="AB34" i="33"/>
  <c r="Y34" i="33"/>
  <c r="AC34" i="33" s="1"/>
  <c r="W34" i="33"/>
  <c r="S34" i="33"/>
  <c r="U34" i="33" s="1"/>
  <c r="AB33" i="33"/>
  <c r="AC33" i="33" s="1"/>
  <c r="Y33" i="33"/>
  <c r="Z33" i="33" s="1"/>
  <c r="W33" i="33"/>
  <c r="S33" i="33"/>
  <c r="U33" i="33" s="1"/>
  <c r="AB32" i="33"/>
  <c r="AC32" i="33" s="1"/>
  <c r="Y32" i="33"/>
  <c r="Z32" i="33" s="1"/>
  <c r="W32" i="33"/>
  <c r="U32" i="33"/>
  <c r="S32" i="33"/>
  <c r="AB31" i="33"/>
  <c r="Y31" i="33"/>
  <c r="W31" i="33"/>
  <c r="X31" i="33" s="1"/>
  <c r="U31" i="33"/>
  <c r="S31" i="33"/>
  <c r="AB30" i="33"/>
  <c r="Z30" i="33"/>
  <c r="Y30" i="33"/>
  <c r="AC30" i="33" s="1"/>
  <c r="W30" i="33"/>
  <c r="S30" i="33"/>
  <c r="U30" i="33" s="1"/>
  <c r="AB29" i="33"/>
  <c r="AC29" i="33" s="1"/>
  <c r="Z29" i="33"/>
  <c r="Y29" i="33"/>
  <c r="W29" i="33"/>
  <c r="S29" i="33"/>
  <c r="U29" i="33" s="1"/>
  <c r="AC28" i="33"/>
  <c r="AB28" i="33"/>
  <c r="Y28" i="33"/>
  <c r="Z28" i="33" s="1"/>
  <c r="W28" i="33"/>
  <c r="U28" i="33"/>
  <c r="S28" i="33"/>
  <c r="AB27" i="33"/>
  <c r="Y27" i="33"/>
  <c r="AC27" i="33" s="1"/>
  <c r="W27" i="33"/>
  <c r="X27" i="33" s="1"/>
  <c r="U27" i="33"/>
  <c r="S27" i="33"/>
  <c r="AB26" i="33"/>
  <c r="Z26" i="33"/>
  <c r="Y26" i="33"/>
  <c r="W26" i="33"/>
  <c r="S26" i="33"/>
  <c r="U26" i="33" s="1"/>
  <c r="AC25" i="33"/>
  <c r="AB25" i="33"/>
  <c r="Z25" i="33"/>
  <c r="Y25" i="33"/>
  <c r="W25" i="33"/>
  <c r="S25" i="33"/>
  <c r="U25" i="33" s="1"/>
  <c r="AB24" i="33"/>
  <c r="AC24" i="33" s="1"/>
  <c r="Y24" i="33"/>
  <c r="Z24" i="33" s="1"/>
  <c r="W24" i="33"/>
  <c r="U24" i="33"/>
  <c r="S24" i="33"/>
  <c r="AB23" i="33"/>
  <c r="Y23" i="33"/>
  <c r="W23" i="33"/>
  <c r="X23" i="33" s="1"/>
  <c r="U23" i="33"/>
  <c r="S23" i="33"/>
  <c r="AB22" i="33"/>
  <c r="Z22" i="33"/>
  <c r="Y22" i="33"/>
  <c r="AC22" i="33" s="1"/>
  <c r="W22" i="33"/>
  <c r="S22" i="33"/>
  <c r="U22" i="33" s="1"/>
  <c r="AB21" i="33"/>
  <c r="AC21" i="33" s="1"/>
  <c r="Z21" i="33"/>
  <c r="Y21" i="33"/>
  <c r="W21" i="33"/>
  <c r="S21" i="33"/>
  <c r="U21" i="33" s="1"/>
  <c r="AC20" i="33"/>
  <c r="AB20" i="33"/>
  <c r="Y20" i="33"/>
  <c r="Z20" i="33" s="1"/>
  <c r="W20" i="33"/>
  <c r="U20" i="33"/>
  <c r="S20" i="33"/>
  <c r="AB19" i="33"/>
  <c r="Y19" i="33"/>
  <c r="AC19" i="33" s="1"/>
  <c r="W19" i="33"/>
  <c r="X19" i="33" s="1"/>
  <c r="U19" i="33"/>
  <c r="S19" i="33"/>
  <c r="AB18" i="33"/>
  <c r="Z18" i="33"/>
  <c r="Y18" i="33"/>
  <c r="W18" i="33"/>
  <c r="S18" i="33"/>
  <c r="U18" i="33" s="1"/>
  <c r="AC17" i="33"/>
  <c r="AB17" i="33"/>
  <c r="Z17" i="33"/>
  <c r="Y17" i="33"/>
  <c r="W17" i="33"/>
  <c r="S17" i="33"/>
  <c r="U17" i="33" s="1"/>
  <c r="AB16" i="33"/>
  <c r="AC16" i="33" s="1"/>
  <c r="Y16" i="33"/>
  <c r="Z16" i="33" s="1"/>
  <c r="W16" i="33"/>
  <c r="U16" i="33"/>
  <c r="S16" i="33"/>
  <c r="AB15" i="33"/>
  <c r="Y15" i="33"/>
  <c r="W15" i="33"/>
  <c r="X15" i="33" s="1"/>
  <c r="U15" i="33"/>
  <c r="S15" i="33"/>
  <c r="AB14" i="33"/>
  <c r="Z14" i="33"/>
  <c r="Y14" i="33"/>
  <c r="AC14" i="33" s="1"/>
  <c r="W14" i="33"/>
  <c r="S14" i="33"/>
  <c r="U14" i="33" s="1"/>
  <c r="AB13" i="33"/>
  <c r="AC13" i="33" s="1"/>
  <c r="Z13" i="33"/>
  <c r="Y13" i="33"/>
  <c r="W13" i="33"/>
  <c r="S13" i="33"/>
  <c r="U13" i="33" s="1"/>
  <c r="AC12" i="33"/>
  <c r="AB12" i="33"/>
  <c r="Y12" i="33"/>
  <c r="Z12" i="33" s="1"/>
  <c r="W12" i="33"/>
  <c r="U12" i="33"/>
  <c r="S12" i="33"/>
  <c r="AB11" i="33"/>
  <c r="Y11" i="33"/>
  <c r="AC11" i="33" s="1"/>
  <c r="W11" i="33"/>
  <c r="X11" i="33" s="1"/>
  <c r="U11" i="33"/>
  <c r="S11" i="33"/>
  <c r="AB10" i="33"/>
  <c r="Z10" i="33"/>
  <c r="Y10" i="33"/>
  <c r="W10" i="33"/>
  <c r="S10" i="33"/>
  <c r="U10" i="33" s="1"/>
  <c r="AB9" i="33"/>
  <c r="AC9" i="33" s="1"/>
  <c r="Z9" i="33"/>
  <c r="Y9" i="33"/>
  <c r="W9" i="33"/>
  <c r="S9" i="33"/>
  <c r="U9" i="33" s="1"/>
  <c r="AB8" i="33"/>
  <c r="AC8" i="33" s="1"/>
  <c r="Y8" i="33"/>
  <c r="Z8" i="33" s="1"/>
  <c r="W8" i="33"/>
  <c r="U8" i="33"/>
  <c r="S8" i="33"/>
  <c r="AB7" i="33"/>
  <c r="Y7" i="33"/>
  <c r="W7" i="33"/>
  <c r="X7" i="33" s="1"/>
  <c r="U7" i="33"/>
  <c r="S7" i="33"/>
  <c r="AJ101" i="32"/>
  <c r="AI101" i="32"/>
  <c r="AH101" i="32"/>
  <c r="AG101" i="32"/>
  <c r="AF101" i="32"/>
  <c r="AB99" i="32"/>
  <c r="AC99" i="32" s="1"/>
  <c r="Y99" i="32"/>
  <c r="Z99" i="32" s="1"/>
  <c r="W99" i="32"/>
  <c r="X99" i="32" s="1"/>
  <c r="S99" i="32"/>
  <c r="U99" i="32" s="1"/>
  <c r="AB98" i="32"/>
  <c r="Z98" i="32"/>
  <c r="Y98" i="32"/>
  <c r="AC98" i="32" s="1"/>
  <c r="W98" i="32"/>
  <c r="U98" i="32"/>
  <c r="S98" i="32"/>
  <c r="AB97" i="32"/>
  <c r="AC97" i="32" s="1"/>
  <c r="Y97" i="32"/>
  <c r="Z97" i="32" s="1"/>
  <c r="W97" i="32"/>
  <c r="X97" i="32" s="1"/>
  <c r="S97" i="32"/>
  <c r="U97" i="32" s="1"/>
  <c r="AB96" i="32"/>
  <c r="Z96" i="32"/>
  <c r="Y96" i="32"/>
  <c r="W96" i="32"/>
  <c r="U96" i="32"/>
  <c r="S96" i="32"/>
  <c r="AB95" i="32"/>
  <c r="Y95" i="32"/>
  <c r="Z95" i="32" s="1"/>
  <c r="W95" i="32"/>
  <c r="S95" i="32"/>
  <c r="U95" i="32" s="1"/>
  <c r="AB94" i="32"/>
  <c r="Y94" i="32"/>
  <c r="AC94" i="32" s="1"/>
  <c r="W94" i="32"/>
  <c r="U94" i="32"/>
  <c r="S94" i="32"/>
  <c r="AB93" i="32"/>
  <c r="AC93" i="32" s="1"/>
  <c r="Y93" i="32"/>
  <c r="Z93" i="32" s="1"/>
  <c r="W93" i="32"/>
  <c r="S93" i="32"/>
  <c r="U93" i="32" s="1"/>
  <c r="AB92" i="32"/>
  <c r="Y92" i="32"/>
  <c r="W92" i="32"/>
  <c r="S92" i="32"/>
  <c r="U92" i="32" s="1"/>
  <c r="AB91" i="32"/>
  <c r="AC91" i="32" s="1"/>
  <c r="Y91" i="32"/>
  <c r="Z91" i="32" s="1"/>
  <c r="W91" i="32"/>
  <c r="X91" i="32" s="1"/>
  <c r="S91" i="32"/>
  <c r="U91" i="32" s="1"/>
  <c r="AB90" i="32"/>
  <c r="Z90" i="32"/>
  <c r="Y90" i="32"/>
  <c r="W90" i="32"/>
  <c r="U90" i="32"/>
  <c r="S90" i="32"/>
  <c r="AB89" i="32"/>
  <c r="AC89" i="32" s="1"/>
  <c r="Y89" i="32"/>
  <c r="Z89" i="32" s="1"/>
  <c r="W89" i="32"/>
  <c r="S89" i="32"/>
  <c r="U89" i="32" s="1"/>
  <c r="AB88" i="32"/>
  <c r="Y88" i="32"/>
  <c r="W88" i="32"/>
  <c r="S88" i="32"/>
  <c r="U88" i="32" s="1"/>
  <c r="AC87" i="32"/>
  <c r="AB87" i="32"/>
  <c r="Y87" i="32"/>
  <c r="Z87" i="32" s="1"/>
  <c r="W87" i="32"/>
  <c r="X87" i="32" s="1"/>
  <c r="S87" i="32"/>
  <c r="U87" i="32" s="1"/>
  <c r="AB86" i="32"/>
  <c r="Z86" i="32"/>
  <c r="Y86" i="32"/>
  <c r="W86" i="32"/>
  <c r="S86" i="32"/>
  <c r="U86" i="32" s="1"/>
  <c r="AB85" i="32"/>
  <c r="Y85" i="32"/>
  <c r="Z85" i="32" s="1"/>
  <c r="W85" i="32"/>
  <c r="X85" i="32" s="1"/>
  <c r="S85" i="32"/>
  <c r="U85" i="32" s="1"/>
  <c r="AB84" i="32"/>
  <c r="Z84" i="32"/>
  <c r="Y84" i="32"/>
  <c r="AC84" i="32" s="1"/>
  <c r="W84" i="32"/>
  <c r="U84" i="32"/>
  <c r="S84" i="32"/>
  <c r="AB83" i="32"/>
  <c r="Y83" i="32"/>
  <c r="Z83" i="32" s="1"/>
  <c r="W83" i="32"/>
  <c r="X83" i="32" s="1"/>
  <c r="S83" i="32"/>
  <c r="U83" i="32" s="1"/>
  <c r="AB82" i="32"/>
  <c r="Y82" i="32"/>
  <c r="W82" i="32"/>
  <c r="S82" i="32"/>
  <c r="U82" i="32" s="1"/>
  <c r="AB81" i="32"/>
  <c r="AC81" i="32" s="1"/>
  <c r="Y81" i="32"/>
  <c r="Z81" i="32" s="1"/>
  <c r="W81" i="32"/>
  <c r="X81" i="32" s="1"/>
  <c r="S81" i="32"/>
  <c r="U81" i="32" s="1"/>
  <c r="AB80" i="32"/>
  <c r="Z80" i="32"/>
  <c r="Y80" i="32"/>
  <c r="W80" i="32"/>
  <c r="U80" i="32"/>
  <c r="S80" i="32"/>
  <c r="AB79" i="32"/>
  <c r="Y79" i="32"/>
  <c r="Z79" i="32" s="1"/>
  <c r="W79" i="32"/>
  <c r="S79" i="32"/>
  <c r="U79" i="32" s="1"/>
  <c r="AB78" i="32"/>
  <c r="Y78" i="32"/>
  <c r="W78" i="32"/>
  <c r="U78" i="32"/>
  <c r="S78" i="32"/>
  <c r="AB77" i="32"/>
  <c r="AC77" i="32" s="1"/>
  <c r="Y77" i="32"/>
  <c r="Z77" i="32" s="1"/>
  <c r="W77" i="32"/>
  <c r="S77" i="32"/>
  <c r="U77" i="32" s="1"/>
  <c r="AB76" i="32"/>
  <c r="Y76" i="32"/>
  <c r="W76" i="32"/>
  <c r="S76" i="32"/>
  <c r="U76" i="32" s="1"/>
  <c r="AB75" i="32"/>
  <c r="AC75" i="32" s="1"/>
  <c r="Y75" i="32"/>
  <c r="Z75" i="32" s="1"/>
  <c r="W75" i="32"/>
  <c r="X75" i="32" s="1"/>
  <c r="S75" i="32"/>
  <c r="U75" i="32" s="1"/>
  <c r="AB74" i="32"/>
  <c r="Z74" i="32"/>
  <c r="Y74" i="32"/>
  <c r="W74" i="32"/>
  <c r="U74" i="32"/>
  <c r="S74" i="32"/>
  <c r="AB73" i="32"/>
  <c r="AC73" i="32" s="1"/>
  <c r="Y73" i="32"/>
  <c r="Z73" i="32" s="1"/>
  <c r="W73" i="32"/>
  <c r="S73" i="32"/>
  <c r="U73" i="32" s="1"/>
  <c r="AB72" i="32"/>
  <c r="Z72" i="32"/>
  <c r="Y72" i="32"/>
  <c r="W72" i="32"/>
  <c r="S72" i="32"/>
  <c r="U72" i="32" s="1"/>
  <c r="AB71" i="32"/>
  <c r="AC71" i="32" s="1"/>
  <c r="Y71" i="32"/>
  <c r="Z71" i="32" s="1"/>
  <c r="W71" i="32"/>
  <c r="X71" i="32" s="1"/>
  <c r="S71" i="32"/>
  <c r="U71" i="32" s="1"/>
  <c r="AB70" i="32"/>
  <c r="Z70" i="32"/>
  <c r="Y70" i="32"/>
  <c r="W70" i="32"/>
  <c r="S70" i="32"/>
  <c r="U70" i="32" s="1"/>
  <c r="AB69" i="32"/>
  <c r="Y69" i="32"/>
  <c r="Z69" i="32" s="1"/>
  <c r="W69" i="32"/>
  <c r="X69" i="32" s="1"/>
  <c r="S69" i="32"/>
  <c r="U69" i="32" s="1"/>
  <c r="AB68" i="32"/>
  <c r="Z68" i="32"/>
  <c r="Y68" i="32"/>
  <c r="AC68" i="32" s="1"/>
  <c r="W68" i="32"/>
  <c r="U68" i="32"/>
  <c r="S68" i="32"/>
  <c r="AB67" i="32"/>
  <c r="Y67" i="32"/>
  <c r="Z67" i="32" s="1"/>
  <c r="W67" i="32"/>
  <c r="X67" i="32" s="1"/>
  <c r="S67" i="32"/>
  <c r="U67" i="32" s="1"/>
  <c r="AB66" i="32"/>
  <c r="Y66" i="32"/>
  <c r="AC66" i="32" s="1"/>
  <c r="W66" i="32"/>
  <c r="S66" i="32"/>
  <c r="U66" i="32" s="1"/>
  <c r="AB65" i="32"/>
  <c r="AC65" i="32" s="1"/>
  <c r="Y65" i="32"/>
  <c r="Z65" i="32" s="1"/>
  <c r="W65" i="32"/>
  <c r="X65" i="32" s="1"/>
  <c r="S65" i="32"/>
  <c r="U65" i="32" s="1"/>
  <c r="AB64" i="32"/>
  <c r="Z64" i="32"/>
  <c r="Y64" i="32"/>
  <c r="W64" i="32"/>
  <c r="U64" i="32"/>
  <c r="S64" i="32"/>
  <c r="AB63" i="32"/>
  <c r="Y63" i="32"/>
  <c r="Z63" i="32" s="1"/>
  <c r="W63" i="32"/>
  <c r="S63" i="32"/>
  <c r="U63" i="32" s="1"/>
  <c r="AB62" i="32"/>
  <c r="Y62" i="32"/>
  <c r="W62" i="32"/>
  <c r="U62" i="32"/>
  <c r="S62" i="32"/>
  <c r="AB61" i="32"/>
  <c r="AC61" i="32" s="1"/>
  <c r="Y61" i="32"/>
  <c r="Z61" i="32" s="1"/>
  <c r="W61" i="32"/>
  <c r="S61" i="32"/>
  <c r="U61" i="32" s="1"/>
  <c r="AB60" i="32"/>
  <c r="Y60" i="32"/>
  <c r="W60" i="32"/>
  <c r="S60" i="32"/>
  <c r="U60" i="32" s="1"/>
  <c r="AB59" i="32"/>
  <c r="AC59" i="32" s="1"/>
  <c r="Y59" i="32"/>
  <c r="Z59" i="32" s="1"/>
  <c r="W59" i="32"/>
  <c r="X59" i="32" s="1"/>
  <c r="S59" i="32"/>
  <c r="U59" i="32" s="1"/>
  <c r="AB58" i="32"/>
  <c r="Z58" i="32"/>
  <c r="Y58" i="32"/>
  <c r="W58" i="32"/>
  <c r="U58" i="32"/>
  <c r="S58" i="32"/>
  <c r="AB57" i="32"/>
  <c r="AC57" i="32" s="1"/>
  <c r="Y57" i="32"/>
  <c r="Z57" i="32" s="1"/>
  <c r="W57" i="32"/>
  <c r="S57" i="32"/>
  <c r="U57" i="32" s="1"/>
  <c r="AB56" i="32"/>
  <c r="Z56" i="32"/>
  <c r="Y56" i="32"/>
  <c r="W56" i="32"/>
  <c r="S56" i="32"/>
  <c r="U56" i="32" s="1"/>
  <c r="AC55" i="32"/>
  <c r="AB55" i="32"/>
  <c r="Y55" i="32"/>
  <c r="Z55" i="32" s="1"/>
  <c r="W55" i="32"/>
  <c r="X55" i="32" s="1"/>
  <c r="S55" i="32"/>
  <c r="U55" i="32" s="1"/>
  <c r="AB54" i="32"/>
  <c r="Z54" i="32"/>
  <c r="Y54" i="32"/>
  <c r="W54" i="32"/>
  <c r="S54" i="32"/>
  <c r="U54" i="32" s="1"/>
  <c r="AB53" i="32"/>
  <c r="Y53" i="32"/>
  <c r="Z53" i="32" s="1"/>
  <c r="W53" i="32"/>
  <c r="X53" i="32" s="1"/>
  <c r="S53" i="32"/>
  <c r="U53" i="32" s="1"/>
  <c r="AB52" i="32"/>
  <c r="Z52" i="32"/>
  <c r="Y52" i="32"/>
  <c r="AC52" i="32" s="1"/>
  <c r="W52" i="32"/>
  <c r="U52" i="32"/>
  <c r="S52" i="32"/>
  <c r="AB51" i="32"/>
  <c r="Y51" i="32"/>
  <c r="Z51" i="32" s="1"/>
  <c r="W51" i="32"/>
  <c r="X51" i="32" s="1"/>
  <c r="S51" i="32"/>
  <c r="U51" i="32" s="1"/>
  <c r="AB50" i="32"/>
  <c r="Y50" i="32"/>
  <c r="W50" i="32"/>
  <c r="U50" i="32"/>
  <c r="S50" i="32"/>
  <c r="AB49" i="32"/>
  <c r="AC49" i="32" s="1"/>
  <c r="Y49" i="32"/>
  <c r="Z49" i="32" s="1"/>
  <c r="W49" i="32"/>
  <c r="X49" i="32" s="1"/>
  <c r="S49" i="32"/>
  <c r="U49" i="32" s="1"/>
  <c r="AB48" i="32"/>
  <c r="Z48" i="32"/>
  <c r="Y48" i="32"/>
  <c r="W48" i="32"/>
  <c r="S48" i="32"/>
  <c r="U48" i="32" s="1"/>
  <c r="AB47" i="32"/>
  <c r="Y47" i="32"/>
  <c r="Z47" i="32" s="1"/>
  <c r="W47" i="32"/>
  <c r="S47" i="32"/>
  <c r="U47" i="32" s="1"/>
  <c r="AB46" i="32"/>
  <c r="Y46" i="32"/>
  <c r="W46" i="32"/>
  <c r="U46" i="32"/>
  <c r="S46" i="32"/>
  <c r="AB45" i="32"/>
  <c r="AC45" i="32" s="1"/>
  <c r="Y45" i="32"/>
  <c r="Z45" i="32" s="1"/>
  <c r="W45" i="32"/>
  <c r="S45" i="32"/>
  <c r="U45" i="32" s="1"/>
  <c r="AB44" i="32"/>
  <c r="Y44" i="32"/>
  <c r="W44" i="32"/>
  <c r="S44" i="32"/>
  <c r="U44" i="32" s="1"/>
  <c r="AC43" i="32"/>
  <c r="AB43" i="32"/>
  <c r="Y43" i="32"/>
  <c r="Z43" i="32" s="1"/>
  <c r="W43" i="32"/>
  <c r="X43" i="32" s="1"/>
  <c r="S43" i="32"/>
  <c r="U43" i="32" s="1"/>
  <c r="AB42" i="32"/>
  <c r="Z42" i="32"/>
  <c r="Y42" i="32"/>
  <c r="W42" i="32"/>
  <c r="U42" i="32"/>
  <c r="S42" i="32"/>
  <c r="AB41" i="32"/>
  <c r="AC41" i="32" s="1"/>
  <c r="Y41" i="32"/>
  <c r="Z41" i="32" s="1"/>
  <c r="W41" i="32"/>
  <c r="S41" i="32"/>
  <c r="U41" i="32" s="1"/>
  <c r="AB40" i="32"/>
  <c r="Z40" i="32"/>
  <c r="Y40" i="32"/>
  <c r="W40" i="32"/>
  <c r="S40" i="32"/>
  <c r="U40" i="32" s="1"/>
  <c r="AB39" i="32"/>
  <c r="AC39" i="32" s="1"/>
  <c r="Y39" i="32"/>
  <c r="Z39" i="32" s="1"/>
  <c r="W39" i="32"/>
  <c r="X39" i="32" s="1"/>
  <c r="S39" i="32"/>
  <c r="U39" i="32" s="1"/>
  <c r="AB38" i="32"/>
  <c r="Y38" i="32"/>
  <c r="Z38" i="32" s="1"/>
  <c r="W38" i="32"/>
  <c r="S38" i="32"/>
  <c r="U38" i="32" s="1"/>
  <c r="AB37" i="32"/>
  <c r="Y37" i="32"/>
  <c r="Z37" i="32" s="1"/>
  <c r="W37" i="32"/>
  <c r="X37" i="32" s="1"/>
  <c r="S37" i="32"/>
  <c r="U37" i="32" s="1"/>
  <c r="AB36" i="32"/>
  <c r="Z36" i="32"/>
  <c r="Y36" i="32"/>
  <c r="W36" i="32"/>
  <c r="U36" i="32"/>
  <c r="S36" i="32"/>
  <c r="AB35" i="32"/>
  <c r="Y35" i="32"/>
  <c r="Z35" i="32" s="1"/>
  <c r="W35" i="32"/>
  <c r="X35" i="32" s="1"/>
  <c r="S35" i="32"/>
  <c r="U35" i="32" s="1"/>
  <c r="AB34" i="32"/>
  <c r="Y34" i="32"/>
  <c r="AC34" i="32" s="1"/>
  <c r="W34" i="32"/>
  <c r="U34" i="32"/>
  <c r="S34" i="32"/>
  <c r="AB33" i="32"/>
  <c r="AC33" i="32" s="1"/>
  <c r="Y33" i="32"/>
  <c r="Z33" i="32" s="1"/>
  <c r="W33" i="32"/>
  <c r="X33" i="32" s="1"/>
  <c r="S33" i="32"/>
  <c r="U33" i="32" s="1"/>
  <c r="AB32" i="32"/>
  <c r="Z32" i="32"/>
  <c r="Y32" i="32"/>
  <c r="W32" i="32"/>
  <c r="X32" i="32" s="1"/>
  <c r="U32" i="32"/>
  <c r="S32" i="32"/>
  <c r="AB31" i="32"/>
  <c r="Z31" i="32"/>
  <c r="Y31" i="32"/>
  <c r="AC31" i="32" s="1"/>
  <c r="W31" i="32"/>
  <c r="S31" i="32"/>
  <c r="U31" i="32" s="1"/>
  <c r="AB30" i="32"/>
  <c r="AC30" i="32" s="1"/>
  <c r="Z30" i="32"/>
  <c r="Y30" i="32"/>
  <c r="W30" i="32"/>
  <c r="U30" i="32"/>
  <c r="S30" i="32"/>
  <c r="AB29" i="32"/>
  <c r="AC29" i="32" s="1"/>
  <c r="Y29" i="32"/>
  <c r="Z29" i="32" s="1"/>
  <c r="W29" i="32"/>
  <c r="U29" i="32"/>
  <c r="S29" i="32"/>
  <c r="AB28" i="32"/>
  <c r="Z28" i="32"/>
  <c r="Y28" i="32"/>
  <c r="W28" i="32"/>
  <c r="X28" i="32" s="1"/>
  <c r="U28" i="32"/>
  <c r="S28" i="32"/>
  <c r="AB27" i="32"/>
  <c r="Z27" i="32"/>
  <c r="Y27" i="32"/>
  <c r="AC27" i="32" s="1"/>
  <c r="W27" i="32"/>
  <c r="S27" i="32"/>
  <c r="U27" i="32" s="1"/>
  <c r="AB26" i="32"/>
  <c r="AC26" i="32" s="1"/>
  <c r="Z26" i="32"/>
  <c r="Y26" i="32"/>
  <c r="W26" i="32"/>
  <c r="U26" i="32"/>
  <c r="S26" i="32"/>
  <c r="AB25" i="32"/>
  <c r="AC25" i="32" s="1"/>
  <c r="Y25" i="32"/>
  <c r="Z25" i="32" s="1"/>
  <c r="W25" i="32"/>
  <c r="U25" i="32"/>
  <c r="S25" i="32"/>
  <c r="AB24" i="32"/>
  <c r="Z24" i="32"/>
  <c r="Y24" i="32"/>
  <c r="W24" i="32"/>
  <c r="X24" i="32" s="1"/>
  <c r="U24" i="32"/>
  <c r="S24" i="32"/>
  <c r="AB23" i="32"/>
  <c r="Z23" i="32"/>
  <c r="Y23" i="32"/>
  <c r="AC23" i="32" s="1"/>
  <c r="W23" i="32"/>
  <c r="S23" i="32"/>
  <c r="U23" i="32" s="1"/>
  <c r="AB22" i="32"/>
  <c r="AC22" i="32" s="1"/>
  <c r="Z22" i="32"/>
  <c r="Y22" i="32"/>
  <c r="W22" i="32"/>
  <c r="U22" i="32"/>
  <c r="S22" i="32"/>
  <c r="AB21" i="32"/>
  <c r="AC21" i="32" s="1"/>
  <c r="Y21" i="32"/>
  <c r="Z21" i="32" s="1"/>
  <c r="W21" i="32"/>
  <c r="U21" i="32"/>
  <c r="S21" i="32"/>
  <c r="AB20" i="32"/>
  <c r="Z20" i="32"/>
  <c r="Y20" i="32"/>
  <c r="W20" i="32"/>
  <c r="X20" i="32" s="1"/>
  <c r="U20" i="32"/>
  <c r="S20" i="32"/>
  <c r="AB19" i="32"/>
  <c r="Z19" i="32"/>
  <c r="Y19" i="32"/>
  <c r="AC19" i="32" s="1"/>
  <c r="W19" i="32"/>
  <c r="S19" i="32"/>
  <c r="U19" i="32" s="1"/>
  <c r="AB18" i="32"/>
  <c r="AC18" i="32" s="1"/>
  <c r="Z18" i="32"/>
  <c r="Y18" i="32"/>
  <c r="W18" i="32"/>
  <c r="U18" i="32"/>
  <c r="S18" i="32"/>
  <c r="AB17" i="32"/>
  <c r="AC17" i="32" s="1"/>
  <c r="Y17" i="32"/>
  <c r="Z17" i="32" s="1"/>
  <c r="W17" i="32"/>
  <c r="U17" i="32"/>
  <c r="S17" i="32"/>
  <c r="AB16" i="32"/>
  <c r="Z16" i="32"/>
  <c r="Y16" i="32"/>
  <c r="W16" i="32"/>
  <c r="X16" i="32" s="1"/>
  <c r="U16" i="32"/>
  <c r="S16" i="32"/>
  <c r="AB15" i="32"/>
  <c r="Z15" i="32"/>
  <c r="Y15" i="32"/>
  <c r="AC15" i="32" s="1"/>
  <c r="W15" i="32"/>
  <c r="S15" i="32"/>
  <c r="U15" i="32" s="1"/>
  <c r="AB14" i="32"/>
  <c r="AC14" i="32" s="1"/>
  <c r="Z14" i="32"/>
  <c r="Y14" i="32"/>
  <c r="W14" i="32"/>
  <c r="U14" i="32"/>
  <c r="S14" i="32"/>
  <c r="AB13" i="32"/>
  <c r="AC13" i="32" s="1"/>
  <c r="Y13" i="32"/>
  <c r="Z13" i="32" s="1"/>
  <c r="W13" i="32"/>
  <c r="U13" i="32"/>
  <c r="S13" i="32"/>
  <c r="AB12" i="32"/>
  <c r="Z12" i="32"/>
  <c r="Y12" i="32"/>
  <c r="W12" i="32"/>
  <c r="X12" i="32" s="1"/>
  <c r="U12" i="32"/>
  <c r="S12" i="32"/>
  <c r="AB11" i="32"/>
  <c r="Z11" i="32"/>
  <c r="Y11" i="32"/>
  <c r="AC11" i="32" s="1"/>
  <c r="W11" i="32"/>
  <c r="S11" i="32"/>
  <c r="U11" i="32" s="1"/>
  <c r="AB10" i="32"/>
  <c r="AC10" i="32" s="1"/>
  <c r="Z10" i="32"/>
  <c r="Y10" i="32"/>
  <c r="W10" i="32"/>
  <c r="U10" i="32"/>
  <c r="S10" i="32"/>
  <c r="AB9" i="32"/>
  <c r="AC9" i="32" s="1"/>
  <c r="Y9" i="32"/>
  <c r="Z9" i="32" s="1"/>
  <c r="W9" i="32"/>
  <c r="U9" i="32"/>
  <c r="S9" i="32"/>
  <c r="AB8" i="32"/>
  <c r="Z8" i="32"/>
  <c r="Y8" i="32"/>
  <c r="W8" i="32"/>
  <c r="X8" i="32" s="1"/>
  <c r="U8" i="32"/>
  <c r="S8" i="32"/>
  <c r="AB7" i="32"/>
  <c r="Z7" i="32"/>
  <c r="Y7" i="32"/>
  <c r="AC7" i="32" s="1"/>
  <c r="W7" i="32"/>
  <c r="S7" i="32"/>
  <c r="U7" i="32" s="1"/>
  <c r="AJ101" i="31"/>
  <c r="AI101" i="31"/>
  <c r="AH101" i="31"/>
  <c r="AG101" i="31"/>
  <c r="AF101" i="31"/>
  <c r="AB99" i="31"/>
  <c r="Y99" i="31"/>
  <c r="AC99" i="31" s="1"/>
  <c r="W99" i="31"/>
  <c r="U99" i="31"/>
  <c r="S99" i="31"/>
  <c r="AB98" i="31"/>
  <c r="Y98" i="31"/>
  <c r="W98" i="31"/>
  <c r="S98" i="31"/>
  <c r="U98" i="31" s="1"/>
  <c r="AB97" i="31"/>
  <c r="Z97" i="31"/>
  <c r="Y97" i="31"/>
  <c r="W97" i="31"/>
  <c r="S97" i="31"/>
  <c r="U97" i="31" s="1"/>
  <c r="AC96" i="31"/>
  <c r="AB96" i="31"/>
  <c r="Y96" i="31"/>
  <c r="Z96" i="31" s="1"/>
  <c r="W96" i="31"/>
  <c r="S96" i="31"/>
  <c r="U96" i="31" s="1"/>
  <c r="AB95" i="31"/>
  <c r="Y95" i="31"/>
  <c r="AC95" i="31" s="1"/>
  <c r="W95" i="31"/>
  <c r="U95" i="31"/>
  <c r="S95" i="31"/>
  <c r="AB94" i="31"/>
  <c r="Y94" i="31"/>
  <c r="W94" i="31"/>
  <c r="X94" i="31" s="1"/>
  <c r="S94" i="31"/>
  <c r="U94" i="31" s="1"/>
  <c r="AB93" i="31"/>
  <c r="Z93" i="31"/>
  <c r="Y93" i="31"/>
  <c r="W93" i="31"/>
  <c r="S93" i="31"/>
  <c r="U93" i="31" s="1"/>
  <c r="AC92" i="31"/>
  <c r="AB92" i="31"/>
  <c r="Y92" i="31"/>
  <c r="Z92" i="31" s="1"/>
  <c r="W92" i="31"/>
  <c r="S92" i="31"/>
  <c r="U92" i="31" s="1"/>
  <c r="AB91" i="31"/>
  <c r="Y91" i="31"/>
  <c r="W91" i="31"/>
  <c r="U91" i="31"/>
  <c r="S91" i="31"/>
  <c r="AB90" i="31"/>
  <c r="Y90" i="31"/>
  <c r="W90" i="31"/>
  <c r="S90" i="31"/>
  <c r="U90" i="31" s="1"/>
  <c r="AB89" i="31"/>
  <c r="Z89" i="31"/>
  <c r="Y89" i="31"/>
  <c r="AC89" i="31" s="1"/>
  <c r="W89" i="31"/>
  <c r="S89" i="31"/>
  <c r="U89" i="31" s="1"/>
  <c r="AC88" i="31"/>
  <c r="AB88" i="31"/>
  <c r="Y88" i="31"/>
  <c r="Z88" i="31" s="1"/>
  <c r="W88" i="31"/>
  <c r="S88" i="31"/>
  <c r="U88" i="31" s="1"/>
  <c r="AB87" i="31"/>
  <c r="Y87" i="31"/>
  <c r="W87" i="31"/>
  <c r="U87" i="31"/>
  <c r="S87" i="31"/>
  <c r="AB86" i="31"/>
  <c r="Y86" i="31"/>
  <c r="W86" i="31"/>
  <c r="X86" i="31" s="1"/>
  <c r="S86" i="31"/>
  <c r="U86" i="31" s="1"/>
  <c r="AB85" i="31"/>
  <c r="Y85" i="31"/>
  <c r="AC85" i="31" s="1"/>
  <c r="W85" i="31"/>
  <c r="S85" i="31"/>
  <c r="U85" i="31" s="1"/>
  <c r="AB84" i="31"/>
  <c r="AC84" i="31" s="1"/>
  <c r="Y84" i="31"/>
  <c r="Z84" i="31" s="1"/>
  <c r="W84" i="31"/>
  <c r="S84" i="31"/>
  <c r="U84" i="31" s="1"/>
  <c r="AB83" i="31"/>
  <c r="Y83" i="31"/>
  <c r="W83" i="31"/>
  <c r="U83" i="31"/>
  <c r="S83" i="31"/>
  <c r="AB82" i="31"/>
  <c r="Y82" i="31"/>
  <c r="W82" i="31"/>
  <c r="S82" i="31"/>
  <c r="U82" i="31" s="1"/>
  <c r="AB81" i="31"/>
  <c r="Z81" i="31"/>
  <c r="Y81" i="31"/>
  <c r="W81" i="31"/>
  <c r="S81" i="31"/>
  <c r="U81" i="31" s="1"/>
  <c r="AB80" i="31"/>
  <c r="AC80" i="31" s="1"/>
  <c r="Y80" i="31"/>
  <c r="Z80" i="31" s="1"/>
  <c r="W80" i="31"/>
  <c r="S80" i="31"/>
  <c r="U80" i="31" s="1"/>
  <c r="AB79" i="31"/>
  <c r="Y79" i="31"/>
  <c r="W79" i="31"/>
  <c r="S79" i="31"/>
  <c r="U79" i="31" s="1"/>
  <c r="AB78" i="31"/>
  <c r="Y78" i="31"/>
  <c r="W78" i="31"/>
  <c r="X78" i="31" s="1"/>
  <c r="S78" i="31"/>
  <c r="U78" i="31" s="1"/>
  <c r="AB77" i="31"/>
  <c r="Y77" i="31"/>
  <c r="W77" i="31"/>
  <c r="S77" i="31"/>
  <c r="U77" i="31" s="1"/>
  <c r="AB76" i="31"/>
  <c r="Y76" i="31"/>
  <c r="Z76" i="31" s="1"/>
  <c r="W76" i="31"/>
  <c r="S76" i="31"/>
  <c r="U76" i="31" s="1"/>
  <c r="AB75" i="31"/>
  <c r="Y75" i="31"/>
  <c r="W75" i="31"/>
  <c r="U75" i="31"/>
  <c r="S75" i="31"/>
  <c r="AB74" i="31"/>
  <c r="Y74" i="31"/>
  <c r="W74" i="31"/>
  <c r="X74" i="31" s="1"/>
  <c r="S74" i="31"/>
  <c r="U74" i="31" s="1"/>
  <c r="AB73" i="31"/>
  <c r="Z73" i="31"/>
  <c r="Y73" i="31"/>
  <c r="AC73" i="31" s="1"/>
  <c r="W73" i="31"/>
  <c r="S73" i="31"/>
  <c r="U73" i="31" s="1"/>
  <c r="AB72" i="31"/>
  <c r="Y72" i="31"/>
  <c r="Z72" i="31" s="1"/>
  <c r="W72" i="31"/>
  <c r="S72" i="31"/>
  <c r="U72" i="31" s="1"/>
  <c r="AB71" i="31"/>
  <c r="Y71" i="31"/>
  <c r="W71" i="31"/>
  <c r="S71" i="31"/>
  <c r="U71" i="31" s="1"/>
  <c r="AB70" i="31"/>
  <c r="Y70" i="31"/>
  <c r="W70" i="31"/>
  <c r="S70" i="31"/>
  <c r="U70" i="31" s="1"/>
  <c r="AB69" i="31"/>
  <c r="Z69" i="31"/>
  <c r="Y69" i="31"/>
  <c r="W69" i="31"/>
  <c r="S69" i="31"/>
  <c r="U69" i="31" s="1"/>
  <c r="AB68" i="31"/>
  <c r="Y68" i="31"/>
  <c r="Z68" i="31" s="1"/>
  <c r="W68" i="31"/>
  <c r="S68" i="31"/>
  <c r="U68" i="31" s="1"/>
  <c r="AB67" i="31"/>
  <c r="Y67" i="31"/>
  <c r="W67" i="31"/>
  <c r="U67" i="31"/>
  <c r="S67" i="31"/>
  <c r="AB66" i="31"/>
  <c r="Y66" i="31"/>
  <c r="W66" i="31"/>
  <c r="S66" i="31"/>
  <c r="U66" i="31" s="1"/>
  <c r="AB65" i="31"/>
  <c r="Y65" i="31"/>
  <c r="W65" i="31"/>
  <c r="S65" i="31"/>
  <c r="U65" i="31" s="1"/>
  <c r="AB64" i="31"/>
  <c r="Y64" i="31"/>
  <c r="Z64" i="31" s="1"/>
  <c r="W64" i="31"/>
  <c r="S64" i="31"/>
  <c r="U64" i="31" s="1"/>
  <c r="AB63" i="31"/>
  <c r="Y63" i="31"/>
  <c r="W63" i="31"/>
  <c r="U63" i="31"/>
  <c r="S63" i="31"/>
  <c r="AB62" i="31"/>
  <c r="Y62" i="31"/>
  <c r="W62" i="31"/>
  <c r="S62" i="31"/>
  <c r="U62" i="31" s="1"/>
  <c r="AB61" i="31"/>
  <c r="Z61" i="31"/>
  <c r="Y61" i="31"/>
  <c r="W61" i="31"/>
  <c r="S61" i="31"/>
  <c r="U61" i="31" s="1"/>
  <c r="AB60" i="31"/>
  <c r="AC60" i="31" s="1"/>
  <c r="Y60" i="31"/>
  <c r="Z60" i="31" s="1"/>
  <c r="W60" i="31"/>
  <c r="S60" i="31"/>
  <c r="U60" i="31" s="1"/>
  <c r="AB59" i="31"/>
  <c r="Y59" i="31"/>
  <c r="W59" i="31"/>
  <c r="S59" i="31"/>
  <c r="U59" i="31" s="1"/>
  <c r="AB58" i="31"/>
  <c r="Y58" i="31"/>
  <c r="W58" i="31"/>
  <c r="S58" i="31"/>
  <c r="U58" i="31" s="1"/>
  <c r="AB57" i="31"/>
  <c r="Z57" i="31"/>
  <c r="Y57" i="31"/>
  <c r="W57" i="31"/>
  <c r="S57" i="31"/>
  <c r="U57" i="31" s="1"/>
  <c r="AB56" i="31"/>
  <c r="Y56" i="31"/>
  <c r="Z56" i="31" s="1"/>
  <c r="W56" i="31"/>
  <c r="S56" i="31"/>
  <c r="U56" i="31" s="1"/>
  <c r="AB55" i="31"/>
  <c r="Y55" i="31"/>
  <c r="W55" i="31"/>
  <c r="U55" i="31"/>
  <c r="S55" i="31"/>
  <c r="AB54" i="31"/>
  <c r="Y54" i="31"/>
  <c r="W54" i="31"/>
  <c r="X54" i="31" s="1"/>
  <c r="S54" i="31"/>
  <c r="U54" i="31" s="1"/>
  <c r="AB53" i="31"/>
  <c r="Y53" i="31"/>
  <c r="W53" i="31"/>
  <c r="S53" i="31"/>
  <c r="U53" i="31" s="1"/>
  <c r="AB52" i="31"/>
  <c r="AC52" i="31" s="1"/>
  <c r="Y52" i="31"/>
  <c r="Z52" i="31" s="1"/>
  <c r="W52" i="31"/>
  <c r="S52" i="31"/>
  <c r="U52" i="31" s="1"/>
  <c r="AB51" i="31"/>
  <c r="Y51" i="31"/>
  <c r="W51" i="31"/>
  <c r="U51" i="31"/>
  <c r="S51" i="31"/>
  <c r="AB50" i="31"/>
  <c r="Y50" i="31"/>
  <c r="W50" i="31"/>
  <c r="S50" i="31"/>
  <c r="U50" i="31" s="1"/>
  <c r="AB49" i="31"/>
  <c r="Z49" i="31"/>
  <c r="Y49" i="31"/>
  <c r="AC49" i="31" s="1"/>
  <c r="W49" i="31"/>
  <c r="S49" i="31"/>
  <c r="U49" i="31" s="1"/>
  <c r="AC48" i="31"/>
  <c r="AB48" i="31"/>
  <c r="Y48" i="31"/>
  <c r="Z48" i="31" s="1"/>
  <c r="W48" i="31"/>
  <c r="S48" i="31"/>
  <c r="U48" i="31" s="1"/>
  <c r="AB47" i="31"/>
  <c r="Y47" i="31"/>
  <c r="W47" i="31"/>
  <c r="S47" i="31"/>
  <c r="U47" i="31" s="1"/>
  <c r="AB46" i="31"/>
  <c r="Y46" i="31"/>
  <c r="W46" i="31"/>
  <c r="X46" i="31" s="1"/>
  <c r="S46" i="31"/>
  <c r="U46" i="31" s="1"/>
  <c r="AB45" i="31"/>
  <c r="Y45" i="31"/>
  <c r="W45" i="31"/>
  <c r="S45" i="31"/>
  <c r="U45" i="31" s="1"/>
  <c r="AB44" i="31"/>
  <c r="Y44" i="31"/>
  <c r="Z44" i="31" s="1"/>
  <c r="W44" i="31"/>
  <c r="S44" i="31"/>
  <c r="U44" i="31" s="1"/>
  <c r="AB43" i="31"/>
  <c r="Y43" i="31"/>
  <c r="W43" i="31"/>
  <c r="U43" i="31"/>
  <c r="S43" i="31"/>
  <c r="AB42" i="31"/>
  <c r="Y42" i="31"/>
  <c r="W42" i="31"/>
  <c r="X42" i="31" s="1"/>
  <c r="S42" i="31"/>
  <c r="U42" i="31" s="1"/>
  <c r="AB41" i="31"/>
  <c r="Z41" i="31"/>
  <c r="Y41" i="31"/>
  <c r="AC41" i="31" s="1"/>
  <c r="W41" i="31"/>
  <c r="S41" i="31"/>
  <c r="U41" i="31" s="1"/>
  <c r="AB40" i="31"/>
  <c r="Y40" i="31"/>
  <c r="Z40" i="31" s="1"/>
  <c r="W40" i="31"/>
  <c r="S40" i="31"/>
  <c r="U40" i="31" s="1"/>
  <c r="AB39" i="31"/>
  <c r="Y39" i="31"/>
  <c r="W39" i="31"/>
  <c r="S39" i="31"/>
  <c r="U39" i="31" s="1"/>
  <c r="AB38" i="31"/>
  <c r="Y38" i="31"/>
  <c r="W38" i="31"/>
  <c r="S38" i="31"/>
  <c r="U38" i="31" s="1"/>
  <c r="AB37" i="31"/>
  <c r="Z37" i="31"/>
  <c r="Y37" i="31"/>
  <c r="W37" i="31"/>
  <c r="S37" i="31"/>
  <c r="U37" i="31" s="1"/>
  <c r="AB36" i="31"/>
  <c r="Y36" i="31"/>
  <c r="Z36" i="31" s="1"/>
  <c r="W36" i="31"/>
  <c r="S36" i="31"/>
  <c r="U36" i="31" s="1"/>
  <c r="AB35" i="31"/>
  <c r="Y35" i="31"/>
  <c r="W35" i="31"/>
  <c r="U35" i="31"/>
  <c r="S35" i="31"/>
  <c r="AB34" i="31"/>
  <c r="Y34" i="31"/>
  <c r="W34" i="31"/>
  <c r="S34" i="31"/>
  <c r="U34" i="31" s="1"/>
  <c r="AB33" i="31"/>
  <c r="Y33" i="31"/>
  <c r="W33" i="31"/>
  <c r="S33" i="31"/>
  <c r="U33" i="31" s="1"/>
  <c r="AB32" i="31"/>
  <c r="Z32" i="31"/>
  <c r="Y32" i="31"/>
  <c r="W32" i="31"/>
  <c r="S32" i="31"/>
  <c r="U32" i="31" s="1"/>
  <c r="AB31" i="31"/>
  <c r="AC31" i="31" s="1"/>
  <c r="Z31" i="31"/>
  <c r="Y31" i="31"/>
  <c r="W31" i="31"/>
  <c r="S31" i="31"/>
  <c r="U31" i="31" s="1"/>
  <c r="AC30" i="31"/>
  <c r="AB30" i="31"/>
  <c r="Y30" i="31"/>
  <c r="Z30" i="31" s="1"/>
  <c r="W30" i="31"/>
  <c r="U30" i="31"/>
  <c r="S30" i="31"/>
  <c r="AB29" i="31"/>
  <c r="Y29" i="31"/>
  <c r="W29" i="31"/>
  <c r="U29" i="31"/>
  <c r="S29" i="31"/>
  <c r="AB28" i="31"/>
  <c r="Z28" i="31"/>
  <c r="Y28" i="31"/>
  <c r="AC28" i="31" s="1"/>
  <c r="W28" i="31"/>
  <c r="S28" i="31"/>
  <c r="U28" i="31" s="1"/>
  <c r="AC27" i="31"/>
  <c r="AB27" i="31"/>
  <c r="Z27" i="31"/>
  <c r="Y27" i="31"/>
  <c r="W27" i="31"/>
  <c r="S27" i="31"/>
  <c r="U27" i="31" s="1"/>
  <c r="AB26" i="31"/>
  <c r="AC26" i="31" s="1"/>
  <c r="Y26" i="31"/>
  <c r="Z26" i="31" s="1"/>
  <c r="W26" i="31"/>
  <c r="S26" i="31"/>
  <c r="U26" i="31" s="1"/>
  <c r="AB25" i="31"/>
  <c r="Y25" i="31"/>
  <c r="AC25" i="31" s="1"/>
  <c r="W25" i="31"/>
  <c r="U25" i="31"/>
  <c r="S25" i="31"/>
  <c r="AB24" i="31"/>
  <c r="Y24" i="31"/>
  <c r="W24" i="31"/>
  <c r="S24" i="31"/>
  <c r="U24" i="31" s="1"/>
  <c r="AB23" i="31"/>
  <c r="AC23" i="31" s="1"/>
  <c r="Z23" i="31"/>
  <c r="Y23" i="31"/>
  <c r="W23" i="31"/>
  <c r="S23" i="31"/>
  <c r="U23" i="31" s="1"/>
  <c r="AC22" i="31"/>
  <c r="AB22" i="31"/>
  <c r="Y22" i="31"/>
  <c r="Z22" i="31" s="1"/>
  <c r="W22" i="31"/>
  <c r="S22" i="31"/>
  <c r="U22" i="31" s="1"/>
  <c r="AB21" i="31"/>
  <c r="Y21" i="31"/>
  <c r="W21" i="31"/>
  <c r="U21" i="31"/>
  <c r="S21" i="31"/>
  <c r="AB20" i="31"/>
  <c r="Y20" i="31"/>
  <c r="AC20" i="31" s="1"/>
  <c r="W20" i="31"/>
  <c r="S20" i="31"/>
  <c r="U20" i="31" s="1"/>
  <c r="AB19" i="31"/>
  <c r="AC19" i="31" s="1"/>
  <c r="Z19" i="31"/>
  <c r="Y19" i="31"/>
  <c r="W19" i="31"/>
  <c r="S19" i="31"/>
  <c r="U19" i="31" s="1"/>
  <c r="AB18" i="31"/>
  <c r="AC18" i="31" s="1"/>
  <c r="Y18" i="31"/>
  <c r="Z18" i="31" s="1"/>
  <c r="W18" i="31"/>
  <c r="S18" i="31"/>
  <c r="U18" i="31" s="1"/>
  <c r="AB17" i="31"/>
  <c r="Y17" i="31"/>
  <c r="W17" i="31"/>
  <c r="U17" i="31"/>
  <c r="S17" i="31"/>
  <c r="AB16" i="31"/>
  <c r="Y16" i="31"/>
  <c r="W16" i="31"/>
  <c r="S16" i="31"/>
  <c r="U16" i="31" s="1"/>
  <c r="AB15" i="31"/>
  <c r="AC15" i="31" s="1"/>
  <c r="Z15" i="31"/>
  <c r="Y15" i="31"/>
  <c r="W15" i="31"/>
  <c r="S15" i="31"/>
  <c r="U15" i="31" s="1"/>
  <c r="AB14" i="31"/>
  <c r="AC14" i="31" s="1"/>
  <c r="Y14" i="31"/>
  <c r="Z14" i="31" s="1"/>
  <c r="W14" i="31"/>
  <c r="S14" i="31"/>
  <c r="U14" i="31" s="1"/>
  <c r="AB13" i="31"/>
  <c r="Y13" i="31"/>
  <c r="AC13" i="31" s="1"/>
  <c r="W13" i="31"/>
  <c r="U13" i="31"/>
  <c r="S13" i="31"/>
  <c r="AB12" i="31"/>
  <c r="Y12" i="31"/>
  <c r="W12" i="31"/>
  <c r="S12" i="31"/>
  <c r="U12" i="31" s="1"/>
  <c r="AB11" i="31"/>
  <c r="AC11" i="31" s="1"/>
  <c r="Z11" i="31"/>
  <c r="Y11" i="31"/>
  <c r="W11" i="31"/>
  <c r="S11" i="31"/>
  <c r="U11" i="31" s="1"/>
  <c r="AB10" i="31"/>
  <c r="AC10" i="31" s="1"/>
  <c r="Y10" i="31"/>
  <c r="Z10" i="31" s="1"/>
  <c r="W10" i="31"/>
  <c r="S10" i="31"/>
  <c r="U10" i="31" s="1"/>
  <c r="AB9" i="31"/>
  <c r="Y9" i="31"/>
  <c r="AC9" i="31" s="1"/>
  <c r="W9" i="31"/>
  <c r="U9" i="31"/>
  <c r="S9" i="31"/>
  <c r="AB8" i="31"/>
  <c r="Y8" i="31"/>
  <c r="AC8" i="31" s="1"/>
  <c r="W8" i="31"/>
  <c r="S8" i="31"/>
  <c r="U8" i="31" s="1"/>
  <c r="AB7" i="31"/>
  <c r="AC7" i="31" s="1"/>
  <c r="Z7" i="31"/>
  <c r="Y7" i="31"/>
  <c r="W7" i="31"/>
  <c r="S7" i="31"/>
  <c r="U7" i="31" s="1"/>
  <c r="AJ101" i="30"/>
  <c r="AI101" i="30"/>
  <c r="AH101" i="30"/>
  <c r="AG101" i="30"/>
  <c r="AF101" i="30"/>
  <c r="AB99" i="30"/>
  <c r="AC99" i="30" s="1"/>
  <c r="Y99" i="30"/>
  <c r="Z99" i="30" s="1"/>
  <c r="W99" i="30"/>
  <c r="U99" i="30"/>
  <c r="S99" i="30"/>
  <c r="AB98" i="30"/>
  <c r="Y98" i="30"/>
  <c r="AC98" i="30" s="1"/>
  <c r="W98" i="30"/>
  <c r="X98" i="30" s="1"/>
  <c r="S98" i="30"/>
  <c r="U98" i="30" s="1"/>
  <c r="AB97" i="30"/>
  <c r="Z97" i="30"/>
  <c r="Y97" i="30"/>
  <c r="AC97" i="30" s="1"/>
  <c r="W97" i="30"/>
  <c r="S97" i="30"/>
  <c r="U97" i="30" s="1"/>
  <c r="AC96" i="30"/>
  <c r="AB96" i="30"/>
  <c r="Y96" i="30"/>
  <c r="Z96" i="30" s="1"/>
  <c r="W96" i="30"/>
  <c r="S96" i="30"/>
  <c r="U96" i="30" s="1"/>
  <c r="AB95" i="30"/>
  <c r="Y95" i="30"/>
  <c r="AC95" i="30" s="1"/>
  <c r="W95" i="30"/>
  <c r="U95" i="30"/>
  <c r="S95" i="30"/>
  <c r="AB94" i="30"/>
  <c r="Y94" i="30"/>
  <c r="W94" i="30"/>
  <c r="X94" i="30" s="1"/>
  <c r="S94" i="30"/>
  <c r="U94" i="30" s="1"/>
  <c r="AB93" i="30"/>
  <c r="Z93" i="30"/>
  <c r="Y93" i="30"/>
  <c r="AC93" i="30" s="1"/>
  <c r="W93" i="30"/>
  <c r="S93" i="30"/>
  <c r="U93" i="30" s="1"/>
  <c r="AB92" i="30"/>
  <c r="AC92" i="30" s="1"/>
  <c r="Y92" i="30"/>
  <c r="Z92" i="30" s="1"/>
  <c r="W92" i="30"/>
  <c r="S92" i="30"/>
  <c r="U92" i="30" s="1"/>
  <c r="AB91" i="30"/>
  <c r="Y91" i="30"/>
  <c r="W91" i="30"/>
  <c r="U91" i="30"/>
  <c r="S91" i="30"/>
  <c r="AB90" i="30"/>
  <c r="Y90" i="30"/>
  <c r="AC90" i="30" s="1"/>
  <c r="W90" i="30"/>
  <c r="S90" i="30"/>
  <c r="U90" i="30" s="1"/>
  <c r="AB89" i="30"/>
  <c r="Z89" i="30"/>
  <c r="Y89" i="30"/>
  <c r="W89" i="30"/>
  <c r="S89" i="30"/>
  <c r="U89" i="30" s="1"/>
  <c r="AC88" i="30"/>
  <c r="AB88" i="30"/>
  <c r="Y88" i="30"/>
  <c r="Z88" i="30" s="1"/>
  <c r="W88" i="30"/>
  <c r="S88" i="30"/>
  <c r="U88" i="30" s="1"/>
  <c r="AB87" i="30"/>
  <c r="Y87" i="30"/>
  <c r="AC87" i="30" s="1"/>
  <c r="W87" i="30"/>
  <c r="U87" i="30"/>
  <c r="S87" i="30"/>
  <c r="AB86" i="30"/>
  <c r="Y86" i="30"/>
  <c r="W86" i="30"/>
  <c r="S86" i="30"/>
  <c r="U86" i="30" s="1"/>
  <c r="AB85" i="30"/>
  <c r="Z85" i="30"/>
  <c r="Y85" i="30"/>
  <c r="AC85" i="30" s="1"/>
  <c r="W85" i="30"/>
  <c r="S85" i="30"/>
  <c r="U85" i="30" s="1"/>
  <c r="AB84" i="30"/>
  <c r="AC84" i="30" s="1"/>
  <c r="Y84" i="30"/>
  <c r="Z84" i="30" s="1"/>
  <c r="W84" i="30"/>
  <c r="S84" i="30"/>
  <c r="U84" i="30" s="1"/>
  <c r="AB83" i="30"/>
  <c r="Y83" i="30"/>
  <c r="W83" i="30"/>
  <c r="U83" i="30"/>
  <c r="S83" i="30"/>
  <c r="AB82" i="30"/>
  <c r="Y82" i="30"/>
  <c r="W82" i="30"/>
  <c r="X82" i="30" s="1"/>
  <c r="S82" i="30"/>
  <c r="U82" i="30" s="1"/>
  <c r="AB81" i="30"/>
  <c r="Z81" i="30"/>
  <c r="Y81" i="30"/>
  <c r="W81" i="30"/>
  <c r="S81" i="30"/>
  <c r="U81" i="30" s="1"/>
  <c r="AB80" i="30"/>
  <c r="Y80" i="30"/>
  <c r="Z80" i="30" s="1"/>
  <c r="W80" i="30"/>
  <c r="S80" i="30"/>
  <c r="U80" i="30" s="1"/>
  <c r="AB79" i="30"/>
  <c r="Y79" i="30"/>
  <c r="W79" i="30"/>
  <c r="U79" i="30"/>
  <c r="S79" i="30"/>
  <c r="AB78" i="30"/>
  <c r="Y78" i="30"/>
  <c r="W78" i="30"/>
  <c r="X78" i="30" s="1"/>
  <c r="S78" i="30"/>
  <c r="U78" i="30" s="1"/>
  <c r="AB77" i="30"/>
  <c r="Z77" i="30"/>
  <c r="Y77" i="30"/>
  <c r="W77" i="30"/>
  <c r="S77" i="30"/>
  <c r="U77" i="30" s="1"/>
  <c r="AB76" i="30"/>
  <c r="Y76" i="30"/>
  <c r="Z76" i="30" s="1"/>
  <c r="W76" i="30"/>
  <c r="S76" i="30"/>
  <c r="U76" i="30" s="1"/>
  <c r="AB75" i="30"/>
  <c r="Y75" i="30"/>
  <c r="W75" i="30"/>
  <c r="U75" i="30"/>
  <c r="S75" i="30"/>
  <c r="AB74" i="30"/>
  <c r="Y74" i="30"/>
  <c r="W74" i="30"/>
  <c r="X74" i="30" s="1"/>
  <c r="S74" i="30"/>
  <c r="U74" i="30" s="1"/>
  <c r="AB73" i="30"/>
  <c r="Y73" i="30"/>
  <c r="AC73" i="30" s="1"/>
  <c r="W73" i="30"/>
  <c r="S73" i="30"/>
  <c r="U73" i="30" s="1"/>
  <c r="AB72" i="30"/>
  <c r="AC72" i="30" s="1"/>
  <c r="Y72" i="30"/>
  <c r="Z72" i="30" s="1"/>
  <c r="W72" i="30"/>
  <c r="S72" i="30"/>
  <c r="U72" i="30" s="1"/>
  <c r="AB71" i="30"/>
  <c r="Y71" i="30"/>
  <c r="W71" i="30"/>
  <c r="U71" i="30"/>
  <c r="S71" i="30"/>
  <c r="AB70" i="30"/>
  <c r="Y70" i="30"/>
  <c r="W70" i="30"/>
  <c r="S70" i="30"/>
  <c r="U70" i="30" s="1"/>
  <c r="AB69" i="30"/>
  <c r="Z69" i="30"/>
  <c r="Y69" i="30"/>
  <c r="W69" i="30"/>
  <c r="S69" i="30"/>
  <c r="U69" i="30" s="1"/>
  <c r="AB68" i="30"/>
  <c r="AC68" i="30" s="1"/>
  <c r="Y68" i="30"/>
  <c r="Z68" i="30" s="1"/>
  <c r="W68" i="30"/>
  <c r="S68" i="30"/>
  <c r="U68" i="30" s="1"/>
  <c r="AB67" i="30"/>
  <c r="Y67" i="30"/>
  <c r="W67" i="30"/>
  <c r="S67" i="30"/>
  <c r="U67" i="30" s="1"/>
  <c r="AB66" i="30"/>
  <c r="Y66" i="30"/>
  <c r="W66" i="30"/>
  <c r="X66" i="30" s="1"/>
  <c r="S66" i="30"/>
  <c r="U66" i="30" s="1"/>
  <c r="AB65" i="30"/>
  <c r="Y65" i="30"/>
  <c r="AC65" i="30" s="1"/>
  <c r="W65" i="30"/>
  <c r="S65" i="30"/>
  <c r="U65" i="30" s="1"/>
  <c r="AB64" i="30"/>
  <c r="Y64" i="30"/>
  <c r="Z64" i="30" s="1"/>
  <c r="W64" i="30"/>
  <c r="S64" i="30"/>
  <c r="U64" i="30" s="1"/>
  <c r="AB63" i="30"/>
  <c r="Y63" i="30"/>
  <c r="W63" i="30"/>
  <c r="U63" i="30"/>
  <c r="S63" i="30"/>
  <c r="AB62" i="30"/>
  <c r="Y62" i="30"/>
  <c r="W62" i="30"/>
  <c r="X62" i="30" s="1"/>
  <c r="S62" i="30"/>
  <c r="U62" i="30" s="1"/>
  <c r="AB61" i="30"/>
  <c r="Z61" i="30"/>
  <c r="Y61" i="30"/>
  <c r="W61" i="30"/>
  <c r="S61" i="30"/>
  <c r="U61" i="30" s="1"/>
  <c r="AB60" i="30"/>
  <c r="Y60" i="30"/>
  <c r="Z60" i="30" s="1"/>
  <c r="W60" i="30"/>
  <c r="S60" i="30"/>
  <c r="U60" i="30" s="1"/>
  <c r="AB59" i="30"/>
  <c r="Y59" i="30"/>
  <c r="W59" i="30"/>
  <c r="S59" i="30"/>
  <c r="U59" i="30" s="1"/>
  <c r="AB58" i="30"/>
  <c r="Y58" i="30"/>
  <c r="W58" i="30"/>
  <c r="S58" i="30"/>
  <c r="U58" i="30" s="1"/>
  <c r="AB57" i="30"/>
  <c r="Y57" i="30"/>
  <c r="W57" i="30"/>
  <c r="S57" i="30"/>
  <c r="U57" i="30" s="1"/>
  <c r="AB56" i="30"/>
  <c r="Y56" i="30"/>
  <c r="Z56" i="30" s="1"/>
  <c r="W56" i="30"/>
  <c r="S56" i="30"/>
  <c r="U56" i="30" s="1"/>
  <c r="AB55" i="30"/>
  <c r="Y55" i="30"/>
  <c r="W55" i="30"/>
  <c r="U55" i="30"/>
  <c r="S55" i="30"/>
  <c r="AB54" i="30"/>
  <c r="Y54" i="30"/>
  <c r="W54" i="30"/>
  <c r="S54" i="30"/>
  <c r="U54" i="30" s="1"/>
  <c r="AB53" i="30"/>
  <c r="Y53" i="30"/>
  <c r="W53" i="30"/>
  <c r="S53" i="30"/>
  <c r="U53" i="30" s="1"/>
  <c r="AB52" i="30"/>
  <c r="AC52" i="30" s="1"/>
  <c r="Y52" i="30"/>
  <c r="Z52" i="30" s="1"/>
  <c r="W52" i="30"/>
  <c r="S52" i="30"/>
  <c r="U52" i="30" s="1"/>
  <c r="AB51" i="30"/>
  <c r="Y51" i="30"/>
  <c r="W51" i="30"/>
  <c r="S51" i="30"/>
  <c r="U51" i="30" s="1"/>
  <c r="AB50" i="30"/>
  <c r="Y50" i="30"/>
  <c r="W50" i="30"/>
  <c r="S50" i="30"/>
  <c r="U50" i="30" s="1"/>
  <c r="AB49" i="30"/>
  <c r="Z49" i="30"/>
  <c r="Y49" i="30"/>
  <c r="W49" i="30"/>
  <c r="S49" i="30"/>
  <c r="U49" i="30" s="1"/>
  <c r="AB48" i="30"/>
  <c r="AC48" i="30" s="1"/>
  <c r="Y48" i="30"/>
  <c r="Z48" i="30" s="1"/>
  <c r="W48" i="30"/>
  <c r="S48" i="30"/>
  <c r="U48" i="30" s="1"/>
  <c r="AB47" i="30"/>
  <c r="Y47" i="30"/>
  <c r="W47" i="30"/>
  <c r="S47" i="30"/>
  <c r="U47" i="30" s="1"/>
  <c r="AB46" i="30"/>
  <c r="Y46" i="30"/>
  <c r="W46" i="30"/>
  <c r="X46" i="30" s="1"/>
  <c r="S46" i="30"/>
  <c r="U46" i="30" s="1"/>
  <c r="AB45" i="30"/>
  <c r="Z45" i="30"/>
  <c r="Y45" i="30"/>
  <c r="W45" i="30"/>
  <c r="S45" i="30"/>
  <c r="U45" i="30" s="1"/>
  <c r="AB44" i="30"/>
  <c r="Y44" i="30"/>
  <c r="Z44" i="30" s="1"/>
  <c r="W44" i="30"/>
  <c r="S44" i="30"/>
  <c r="U44" i="30" s="1"/>
  <c r="AB43" i="30"/>
  <c r="Y43" i="30"/>
  <c r="W43" i="30"/>
  <c r="U43" i="30"/>
  <c r="S43" i="30"/>
  <c r="AB42" i="30"/>
  <c r="Y42" i="30"/>
  <c r="W42" i="30"/>
  <c r="X42" i="30" s="1"/>
  <c r="S42" i="30"/>
  <c r="U42" i="30" s="1"/>
  <c r="AB41" i="30"/>
  <c r="Y41" i="30"/>
  <c r="W41" i="30"/>
  <c r="S41" i="30"/>
  <c r="U41" i="30" s="1"/>
  <c r="AB40" i="30"/>
  <c r="AC40" i="30" s="1"/>
  <c r="Y40" i="30"/>
  <c r="Z40" i="30" s="1"/>
  <c r="W40" i="30"/>
  <c r="S40" i="30"/>
  <c r="U40" i="30" s="1"/>
  <c r="AB39" i="30"/>
  <c r="Y39" i="30"/>
  <c r="W39" i="30"/>
  <c r="U39" i="30"/>
  <c r="S39" i="30"/>
  <c r="AB38" i="30"/>
  <c r="Y38" i="30"/>
  <c r="W38" i="30"/>
  <c r="S38" i="30"/>
  <c r="U38" i="30" s="1"/>
  <c r="AB37" i="30"/>
  <c r="Y37" i="30"/>
  <c r="AC37" i="30" s="1"/>
  <c r="W37" i="30"/>
  <c r="S37" i="30"/>
  <c r="U37" i="30" s="1"/>
  <c r="AB36" i="30"/>
  <c r="AC36" i="30" s="1"/>
  <c r="Y36" i="30"/>
  <c r="Z36" i="30" s="1"/>
  <c r="W36" i="30"/>
  <c r="S36" i="30"/>
  <c r="U36" i="30" s="1"/>
  <c r="AB35" i="30"/>
  <c r="Y35" i="30"/>
  <c r="W35" i="30"/>
  <c r="S35" i="30"/>
  <c r="U35" i="30" s="1"/>
  <c r="AB34" i="30"/>
  <c r="Y34" i="30"/>
  <c r="W34" i="30"/>
  <c r="X34" i="30" s="1"/>
  <c r="S34" i="30"/>
  <c r="U34" i="30" s="1"/>
  <c r="AB33" i="30"/>
  <c r="Y33" i="30"/>
  <c r="W33" i="30"/>
  <c r="S33" i="30"/>
  <c r="U33" i="30" s="1"/>
  <c r="AB32" i="30"/>
  <c r="Z32" i="30"/>
  <c r="Y32" i="30"/>
  <c r="AC32" i="30" s="1"/>
  <c r="W32" i="30"/>
  <c r="X32" i="30" s="1"/>
  <c r="U32" i="30"/>
  <c r="S32" i="30"/>
  <c r="AB31" i="30"/>
  <c r="AC31" i="30" s="1"/>
  <c r="Z31" i="30"/>
  <c r="Y31" i="30"/>
  <c r="W31" i="30"/>
  <c r="X31" i="30" s="1"/>
  <c r="U31" i="30"/>
  <c r="S31" i="30"/>
  <c r="AC30" i="30"/>
  <c r="AB30" i="30"/>
  <c r="Y30" i="30"/>
  <c r="Z30" i="30" s="1"/>
  <c r="W30" i="30"/>
  <c r="S30" i="30"/>
  <c r="U30" i="30" s="1"/>
  <c r="AB29" i="30"/>
  <c r="AC29" i="30" s="1"/>
  <c r="Z29" i="30"/>
  <c r="Y29" i="30"/>
  <c r="W29" i="30"/>
  <c r="U29" i="30"/>
  <c r="S29" i="30"/>
  <c r="AB28" i="30"/>
  <c r="Y28" i="30"/>
  <c r="AC28" i="30" s="1"/>
  <c r="W28" i="30"/>
  <c r="S28" i="30"/>
  <c r="U28" i="30" s="1"/>
  <c r="AB27" i="30"/>
  <c r="AC27" i="30" s="1"/>
  <c r="Z27" i="30"/>
  <c r="Y27" i="30"/>
  <c r="W27" i="30"/>
  <c r="X27" i="30" s="1"/>
  <c r="U27" i="30"/>
  <c r="S27" i="30"/>
  <c r="AB26" i="30"/>
  <c r="AC26" i="30" s="1"/>
  <c r="Y26" i="30"/>
  <c r="Z26" i="30" s="1"/>
  <c r="W26" i="30"/>
  <c r="S26" i="30"/>
  <c r="U26" i="30" s="1"/>
  <c r="AB25" i="30"/>
  <c r="AC25" i="30" s="1"/>
  <c r="Z25" i="30"/>
  <c r="Y25" i="30"/>
  <c r="W25" i="30"/>
  <c r="U25" i="30"/>
  <c r="S25" i="30"/>
  <c r="AB24" i="30"/>
  <c r="Y24" i="30"/>
  <c r="W24" i="30"/>
  <c r="S24" i="30"/>
  <c r="U24" i="30" s="1"/>
  <c r="AB23" i="30"/>
  <c r="AC23" i="30" s="1"/>
  <c r="Z23" i="30"/>
  <c r="Y23" i="30"/>
  <c r="W23" i="30"/>
  <c r="X23" i="30" s="1"/>
  <c r="U23" i="30"/>
  <c r="S23" i="30"/>
  <c r="AC22" i="30"/>
  <c r="AB22" i="30"/>
  <c r="Y22" i="30"/>
  <c r="Z22" i="30" s="1"/>
  <c r="W22" i="30"/>
  <c r="S22" i="30"/>
  <c r="U22" i="30" s="1"/>
  <c r="AB21" i="30"/>
  <c r="AC21" i="30" s="1"/>
  <c r="Z21" i="30"/>
  <c r="Y21" i="30"/>
  <c r="W21" i="30"/>
  <c r="U21" i="30"/>
  <c r="S21" i="30"/>
  <c r="AB20" i="30"/>
  <c r="Y20" i="30"/>
  <c r="AC20" i="30" s="1"/>
  <c r="W20" i="30"/>
  <c r="S20" i="30"/>
  <c r="U20" i="30" s="1"/>
  <c r="AB19" i="30"/>
  <c r="AC19" i="30" s="1"/>
  <c r="Z19" i="30"/>
  <c r="Y19" i="30"/>
  <c r="W19" i="30"/>
  <c r="X19" i="30" s="1"/>
  <c r="U19" i="30"/>
  <c r="S19" i="30"/>
  <c r="AB18" i="30"/>
  <c r="AC18" i="30" s="1"/>
  <c r="Y18" i="30"/>
  <c r="Z18" i="30" s="1"/>
  <c r="W18" i="30"/>
  <c r="S18" i="30"/>
  <c r="U18" i="30" s="1"/>
  <c r="AB17" i="30"/>
  <c r="AC17" i="30" s="1"/>
  <c r="Z17" i="30"/>
  <c r="Y17" i="30"/>
  <c r="W17" i="30"/>
  <c r="U17" i="30"/>
  <c r="S17" i="30"/>
  <c r="AB16" i="30"/>
  <c r="Y16" i="30"/>
  <c r="W16" i="30"/>
  <c r="S16" i="30"/>
  <c r="U16" i="30" s="1"/>
  <c r="AB15" i="30"/>
  <c r="Z15" i="30"/>
  <c r="Y15" i="30"/>
  <c r="AC15" i="30" s="1"/>
  <c r="W15" i="30"/>
  <c r="S15" i="30"/>
  <c r="U15" i="30" s="1"/>
  <c r="AB14" i="30"/>
  <c r="AC14" i="30" s="1"/>
  <c r="Y14" i="30"/>
  <c r="Z14" i="30" s="1"/>
  <c r="W14" i="30"/>
  <c r="S14" i="30"/>
  <c r="U14" i="30" s="1"/>
  <c r="AB13" i="30"/>
  <c r="AC13" i="30" s="1"/>
  <c r="Y13" i="30"/>
  <c r="Z13" i="30" s="1"/>
  <c r="W13" i="30"/>
  <c r="U13" i="30"/>
  <c r="S13" i="30"/>
  <c r="AB12" i="30"/>
  <c r="Y12" i="30"/>
  <c r="AC12" i="30" s="1"/>
  <c r="W12" i="30"/>
  <c r="S12" i="30"/>
  <c r="U12" i="30" s="1"/>
  <c r="AB11" i="30"/>
  <c r="Z11" i="30"/>
  <c r="Y11" i="30"/>
  <c r="W11" i="30"/>
  <c r="S11" i="30"/>
  <c r="U11" i="30" s="1"/>
  <c r="AC10" i="30"/>
  <c r="AB10" i="30"/>
  <c r="Y10" i="30"/>
  <c r="Z10" i="30" s="1"/>
  <c r="W10" i="30"/>
  <c r="S10" i="30"/>
  <c r="U10" i="30" s="1"/>
  <c r="AB9" i="30"/>
  <c r="AC9" i="30" s="1"/>
  <c r="Y9" i="30"/>
  <c r="Z9" i="30" s="1"/>
  <c r="W9" i="30"/>
  <c r="U9" i="30"/>
  <c r="S9" i="30"/>
  <c r="AB8" i="30"/>
  <c r="Y8" i="30"/>
  <c r="W8" i="30"/>
  <c r="S8" i="30"/>
  <c r="U8" i="30" s="1"/>
  <c r="AB7" i="30"/>
  <c r="Z7" i="30"/>
  <c r="Y7" i="30"/>
  <c r="AC7" i="30" s="1"/>
  <c r="W7" i="30"/>
  <c r="S7" i="30"/>
  <c r="U7" i="30" s="1"/>
  <c r="AJ101" i="29"/>
  <c r="AI101" i="29"/>
  <c r="AH101" i="29"/>
  <c r="AG101" i="29"/>
  <c r="AF101" i="29"/>
  <c r="AB99" i="29"/>
  <c r="Y99" i="29"/>
  <c r="W99" i="29"/>
  <c r="U99" i="29"/>
  <c r="S99" i="29"/>
  <c r="AB98" i="29"/>
  <c r="Y98" i="29"/>
  <c r="W98" i="29"/>
  <c r="S98" i="29"/>
  <c r="U98" i="29" s="1"/>
  <c r="AB97" i="29"/>
  <c r="Z97" i="29"/>
  <c r="Y97" i="29"/>
  <c r="W97" i="29"/>
  <c r="S97" i="29"/>
  <c r="U97" i="29" s="1"/>
  <c r="AB96" i="29"/>
  <c r="AC96" i="29" s="1"/>
  <c r="Y96" i="29"/>
  <c r="Z96" i="29" s="1"/>
  <c r="W96" i="29"/>
  <c r="S96" i="29"/>
  <c r="U96" i="29" s="1"/>
  <c r="AB95" i="29"/>
  <c r="Y95" i="29"/>
  <c r="AC95" i="29" s="1"/>
  <c r="W95" i="29"/>
  <c r="U95" i="29"/>
  <c r="S95" i="29"/>
  <c r="AB94" i="29"/>
  <c r="Y94" i="29"/>
  <c r="W94" i="29"/>
  <c r="X94" i="29" s="1"/>
  <c r="S94" i="29"/>
  <c r="U94" i="29" s="1"/>
  <c r="AB93" i="29"/>
  <c r="Z93" i="29"/>
  <c r="Y93" i="29"/>
  <c r="AC93" i="29" s="1"/>
  <c r="W93" i="29"/>
  <c r="S93" i="29"/>
  <c r="U93" i="29" s="1"/>
  <c r="AB92" i="29"/>
  <c r="AC92" i="29" s="1"/>
  <c r="Y92" i="29"/>
  <c r="Z92" i="29" s="1"/>
  <c r="W92" i="29"/>
  <c r="S92" i="29"/>
  <c r="U92" i="29" s="1"/>
  <c r="AB91" i="29"/>
  <c r="Y91" i="29"/>
  <c r="AC91" i="29" s="1"/>
  <c r="W91" i="29"/>
  <c r="U91" i="29"/>
  <c r="S91" i="29"/>
  <c r="AB90" i="29"/>
  <c r="Y90" i="29"/>
  <c r="W90" i="29"/>
  <c r="S90" i="29"/>
  <c r="U90" i="29" s="1"/>
  <c r="AB89" i="29"/>
  <c r="Z89" i="29"/>
  <c r="Y89" i="29"/>
  <c r="W89" i="29"/>
  <c r="S89" i="29"/>
  <c r="U89" i="29" s="1"/>
  <c r="AC88" i="29"/>
  <c r="AB88" i="29"/>
  <c r="Y88" i="29"/>
  <c r="Z88" i="29" s="1"/>
  <c r="W88" i="29"/>
  <c r="S88" i="29"/>
  <c r="U88" i="29" s="1"/>
  <c r="AB87" i="29"/>
  <c r="Y87" i="29"/>
  <c r="AC87" i="29" s="1"/>
  <c r="W87" i="29"/>
  <c r="U87" i="29"/>
  <c r="S87" i="29"/>
  <c r="AB86" i="29"/>
  <c r="Y86" i="29"/>
  <c r="W86" i="29"/>
  <c r="S86" i="29"/>
  <c r="U86" i="29" s="1"/>
  <c r="AB85" i="29"/>
  <c r="Z85" i="29"/>
  <c r="Y85" i="29"/>
  <c r="W85" i="29"/>
  <c r="S85" i="29"/>
  <c r="U85" i="29" s="1"/>
  <c r="AB84" i="29"/>
  <c r="Y84" i="29"/>
  <c r="Z84" i="29" s="1"/>
  <c r="W84" i="29"/>
  <c r="S84" i="29"/>
  <c r="U84" i="29" s="1"/>
  <c r="AB83" i="29"/>
  <c r="Y83" i="29"/>
  <c r="AC83" i="29" s="1"/>
  <c r="W83" i="29"/>
  <c r="U83" i="29"/>
  <c r="S83" i="29"/>
  <c r="AB82" i="29"/>
  <c r="Y82" i="29"/>
  <c r="W82" i="29"/>
  <c r="S82" i="29"/>
  <c r="U82" i="29" s="1"/>
  <c r="AB81" i="29"/>
  <c r="Z81" i="29"/>
  <c r="Y81" i="29"/>
  <c r="W81" i="29"/>
  <c r="S81" i="29"/>
  <c r="U81" i="29" s="1"/>
  <c r="AB80" i="29"/>
  <c r="Y80" i="29"/>
  <c r="Z80" i="29" s="1"/>
  <c r="W80" i="29"/>
  <c r="S80" i="29"/>
  <c r="U80" i="29" s="1"/>
  <c r="AB79" i="29"/>
  <c r="Y79" i="29"/>
  <c r="W79" i="29"/>
  <c r="U79" i="29"/>
  <c r="S79" i="29"/>
  <c r="AB78" i="29"/>
  <c r="Y78" i="29"/>
  <c r="W78" i="29"/>
  <c r="S78" i="29"/>
  <c r="U78" i="29" s="1"/>
  <c r="AB77" i="29"/>
  <c r="Y77" i="29"/>
  <c r="W77" i="29"/>
  <c r="S77" i="29"/>
  <c r="U77" i="29" s="1"/>
  <c r="AB76" i="29"/>
  <c r="AC76" i="29" s="1"/>
  <c r="Y76" i="29"/>
  <c r="Z76" i="29" s="1"/>
  <c r="W76" i="29"/>
  <c r="S76" i="29"/>
  <c r="U76" i="29" s="1"/>
  <c r="AB75" i="29"/>
  <c r="Y75" i="29"/>
  <c r="W75" i="29"/>
  <c r="U75" i="29"/>
  <c r="S75" i="29"/>
  <c r="AB74" i="29"/>
  <c r="Y74" i="29"/>
  <c r="W74" i="29"/>
  <c r="S74" i="29"/>
  <c r="U74" i="29" s="1"/>
  <c r="AB73" i="29"/>
  <c r="Z73" i="29"/>
  <c r="Y73" i="29"/>
  <c r="W73" i="29"/>
  <c r="S73" i="29"/>
  <c r="U73" i="29" s="1"/>
  <c r="AC72" i="29"/>
  <c r="AB72" i="29"/>
  <c r="Y72" i="29"/>
  <c r="Z72" i="29" s="1"/>
  <c r="W72" i="29"/>
  <c r="S72" i="29"/>
  <c r="U72" i="29" s="1"/>
  <c r="AB71" i="29"/>
  <c r="Y71" i="29"/>
  <c r="W71" i="29"/>
  <c r="S71" i="29"/>
  <c r="U71" i="29" s="1"/>
  <c r="AB70" i="29"/>
  <c r="Y70" i="29"/>
  <c r="W70" i="29"/>
  <c r="X70" i="29" s="1"/>
  <c r="S70" i="29"/>
  <c r="U70" i="29" s="1"/>
  <c r="AB69" i="29"/>
  <c r="Y69" i="29"/>
  <c r="AC69" i="29" s="1"/>
  <c r="W69" i="29"/>
  <c r="S69" i="29"/>
  <c r="U69" i="29" s="1"/>
  <c r="AB68" i="29"/>
  <c r="AC68" i="29" s="1"/>
  <c r="Y68" i="29"/>
  <c r="Z68" i="29" s="1"/>
  <c r="W68" i="29"/>
  <c r="S68" i="29"/>
  <c r="U68" i="29" s="1"/>
  <c r="AB67" i="29"/>
  <c r="Y67" i="29"/>
  <c r="W67" i="29"/>
  <c r="U67" i="29"/>
  <c r="S67" i="29"/>
  <c r="AB66" i="29"/>
  <c r="Y66" i="29"/>
  <c r="W66" i="29"/>
  <c r="X66" i="29" s="1"/>
  <c r="S66" i="29"/>
  <c r="U66" i="29" s="1"/>
  <c r="AB65" i="29"/>
  <c r="Y65" i="29"/>
  <c r="AC65" i="29" s="1"/>
  <c r="W65" i="29"/>
  <c r="S65" i="29"/>
  <c r="U65" i="29" s="1"/>
  <c r="AB64" i="29"/>
  <c r="Y64" i="29"/>
  <c r="Z64" i="29" s="1"/>
  <c r="W64" i="29"/>
  <c r="S64" i="29"/>
  <c r="U64" i="29" s="1"/>
  <c r="AB63" i="29"/>
  <c r="Y63" i="29"/>
  <c r="W63" i="29"/>
  <c r="S63" i="29"/>
  <c r="U63" i="29" s="1"/>
  <c r="AB62" i="29"/>
  <c r="Y62" i="29"/>
  <c r="W62" i="29"/>
  <c r="X62" i="29" s="1"/>
  <c r="S62" i="29"/>
  <c r="U62" i="29" s="1"/>
  <c r="AB61" i="29"/>
  <c r="Y61" i="29"/>
  <c r="AC61" i="29" s="1"/>
  <c r="W61" i="29"/>
  <c r="S61" i="29"/>
  <c r="U61" i="29" s="1"/>
  <c r="AB60" i="29"/>
  <c r="Y60" i="29"/>
  <c r="Z60" i="29" s="1"/>
  <c r="W60" i="29"/>
  <c r="S60" i="29"/>
  <c r="U60" i="29" s="1"/>
  <c r="AB59" i="29"/>
  <c r="Y59" i="29"/>
  <c r="W59" i="29"/>
  <c r="S59" i="29"/>
  <c r="U59" i="29" s="1"/>
  <c r="AB58" i="29"/>
  <c r="Y58" i="29"/>
  <c r="W58" i="29"/>
  <c r="S58" i="29"/>
  <c r="U58" i="29" s="1"/>
  <c r="AB57" i="29"/>
  <c r="Y57" i="29"/>
  <c r="AC57" i="29" s="1"/>
  <c r="W57" i="29"/>
  <c r="S57" i="29"/>
  <c r="U57" i="29" s="1"/>
  <c r="AB56" i="29"/>
  <c r="Y56" i="29"/>
  <c r="Z56" i="29" s="1"/>
  <c r="W56" i="29"/>
  <c r="S56" i="29"/>
  <c r="U56" i="29" s="1"/>
  <c r="AB55" i="29"/>
  <c r="Y55" i="29"/>
  <c r="W55" i="29"/>
  <c r="S55" i="29"/>
  <c r="U55" i="29" s="1"/>
  <c r="AB54" i="29"/>
  <c r="Y54" i="29"/>
  <c r="W54" i="29"/>
  <c r="S54" i="29"/>
  <c r="U54" i="29" s="1"/>
  <c r="AB53" i="29"/>
  <c r="Z53" i="29"/>
  <c r="Y53" i="29"/>
  <c r="W53" i="29"/>
  <c r="S53" i="29"/>
  <c r="U53" i="29" s="1"/>
  <c r="AB52" i="29"/>
  <c r="Y52" i="29"/>
  <c r="Z52" i="29" s="1"/>
  <c r="W52" i="29"/>
  <c r="S52" i="29"/>
  <c r="U52" i="29" s="1"/>
  <c r="AB51" i="29"/>
  <c r="Y51" i="29"/>
  <c r="W51" i="29"/>
  <c r="S51" i="29"/>
  <c r="U51" i="29" s="1"/>
  <c r="AB50" i="29"/>
  <c r="Y50" i="29"/>
  <c r="W50" i="29"/>
  <c r="S50" i="29"/>
  <c r="U50" i="29" s="1"/>
  <c r="AB49" i="29"/>
  <c r="Z49" i="29"/>
  <c r="Y49" i="29"/>
  <c r="W49" i="29"/>
  <c r="S49" i="29"/>
  <c r="U49" i="29" s="1"/>
  <c r="AB48" i="29"/>
  <c r="Y48" i="29"/>
  <c r="Z48" i="29" s="1"/>
  <c r="W48" i="29"/>
  <c r="S48" i="29"/>
  <c r="U48" i="29" s="1"/>
  <c r="AB47" i="29"/>
  <c r="Y47" i="29"/>
  <c r="W47" i="29"/>
  <c r="U47" i="29"/>
  <c r="S47" i="29"/>
  <c r="AB46" i="29"/>
  <c r="Y46" i="29"/>
  <c r="W46" i="29"/>
  <c r="S46" i="29"/>
  <c r="U46" i="29" s="1"/>
  <c r="AB45" i="29"/>
  <c r="Y45" i="29"/>
  <c r="W45" i="29"/>
  <c r="S45" i="29"/>
  <c r="U45" i="29" s="1"/>
  <c r="AB44" i="29"/>
  <c r="AC44" i="29" s="1"/>
  <c r="Y44" i="29"/>
  <c r="Z44" i="29" s="1"/>
  <c r="W44" i="29"/>
  <c r="S44" i="29"/>
  <c r="U44" i="29" s="1"/>
  <c r="AB43" i="29"/>
  <c r="Y43" i="29"/>
  <c r="W43" i="29"/>
  <c r="U43" i="29"/>
  <c r="S43" i="29"/>
  <c r="AB42" i="29"/>
  <c r="Y42" i="29"/>
  <c r="W42" i="29"/>
  <c r="S42" i="29"/>
  <c r="U42" i="29" s="1"/>
  <c r="AB41" i="29"/>
  <c r="Y41" i="29"/>
  <c r="AC41" i="29" s="1"/>
  <c r="W41" i="29"/>
  <c r="S41" i="29"/>
  <c r="U41" i="29" s="1"/>
  <c r="AB40" i="29"/>
  <c r="AC40" i="29" s="1"/>
  <c r="Y40" i="29"/>
  <c r="Z40" i="29" s="1"/>
  <c r="W40" i="29"/>
  <c r="S40" i="29"/>
  <c r="U40" i="29" s="1"/>
  <c r="AB39" i="29"/>
  <c r="Y39" i="29"/>
  <c r="W39" i="29"/>
  <c r="S39" i="29"/>
  <c r="U39" i="29" s="1"/>
  <c r="AB38" i="29"/>
  <c r="Y38" i="29"/>
  <c r="W38" i="29"/>
  <c r="X38" i="29" s="1"/>
  <c r="S38" i="29"/>
  <c r="U38" i="29" s="1"/>
  <c r="AB37" i="29"/>
  <c r="Y37" i="29"/>
  <c r="W37" i="29"/>
  <c r="S37" i="29"/>
  <c r="U37" i="29" s="1"/>
  <c r="AC36" i="29"/>
  <c r="AB36" i="29"/>
  <c r="Y36" i="29"/>
  <c r="Z36" i="29" s="1"/>
  <c r="W36" i="29"/>
  <c r="S36" i="29"/>
  <c r="U36" i="29" s="1"/>
  <c r="AB35" i="29"/>
  <c r="Y35" i="29"/>
  <c r="W35" i="29"/>
  <c r="S35" i="29"/>
  <c r="U35" i="29" s="1"/>
  <c r="AB34" i="29"/>
  <c r="Y34" i="29"/>
  <c r="W34" i="29"/>
  <c r="X34" i="29" s="1"/>
  <c r="S34" i="29"/>
  <c r="U34" i="29" s="1"/>
  <c r="AB33" i="29"/>
  <c r="Y33" i="29"/>
  <c r="AC33" i="29" s="1"/>
  <c r="W33" i="29"/>
  <c r="S33" i="29"/>
  <c r="U33" i="29" s="1"/>
  <c r="AB32" i="29"/>
  <c r="Y32" i="29"/>
  <c r="AC32" i="29" s="1"/>
  <c r="W32" i="29"/>
  <c r="U32" i="29"/>
  <c r="S32" i="29"/>
  <c r="AB31" i="29"/>
  <c r="Y31" i="29"/>
  <c r="W31" i="29"/>
  <c r="S31" i="29"/>
  <c r="U31" i="29" s="1"/>
  <c r="AB30" i="29"/>
  <c r="AC30" i="29" s="1"/>
  <c r="Z30" i="29"/>
  <c r="Y30" i="29"/>
  <c r="W30" i="29"/>
  <c r="S30" i="29"/>
  <c r="U30" i="29" s="1"/>
  <c r="AB29" i="29"/>
  <c r="AC29" i="29" s="1"/>
  <c r="Y29" i="29"/>
  <c r="Z29" i="29" s="1"/>
  <c r="W29" i="29"/>
  <c r="S29" i="29"/>
  <c r="U29" i="29" s="1"/>
  <c r="AB28" i="29"/>
  <c r="Y28" i="29"/>
  <c r="W28" i="29"/>
  <c r="U28" i="29"/>
  <c r="S28" i="29"/>
  <c r="AB27" i="29"/>
  <c r="Y27" i="29"/>
  <c r="AC27" i="29" s="1"/>
  <c r="W27" i="29"/>
  <c r="S27" i="29"/>
  <c r="U27" i="29" s="1"/>
  <c r="AB26" i="29"/>
  <c r="AC26" i="29" s="1"/>
  <c r="Z26" i="29"/>
  <c r="Y26" i="29"/>
  <c r="W26" i="29"/>
  <c r="S26" i="29"/>
  <c r="U26" i="29" s="1"/>
  <c r="AB25" i="29"/>
  <c r="AC25" i="29" s="1"/>
  <c r="Y25" i="29"/>
  <c r="Z25" i="29" s="1"/>
  <c r="W25" i="29"/>
  <c r="S25" i="29"/>
  <c r="U25" i="29" s="1"/>
  <c r="AB24" i="29"/>
  <c r="Y24" i="29"/>
  <c r="AC24" i="29" s="1"/>
  <c r="W24" i="29"/>
  <c r="U24" i="29"/>
  <c r="S24" i="29"/>
  <c r="AB23" i="29"/>
  <c r="Y23" i="29"/>
  <c r="W23" i="29"/>
  <c r="S23" i="29"/>
  <c r="U23" i="29" s="1"/>
  <c r="AB22" i="29"/>
  <c r="AC22" i="29" s="1"/>
  <c r="Z22" i="29"/>
  <c r="Y22" i="29"/>
  <c r="W22" i="29"/>
  <c r="S22" i="29"/>
  <c r="U22" i="29" s="1"/>
  <c r="AB21" i="29"/>
  <c r="AC21" i="29" s="1"/>
  <c r="Y21" i="29"/>
  <c r="Z21" i="29" s="1"/>
  <c r="W21" i="29"/>
  <c r="S21" i="29"/>
  <c r="U21" i="29" s="1"/>
  <c r="AB20" i="29"/>
  <c r="Y20" i="29"/>
  <c r="AC20" i="29" s="1"/>
  <c r="W20" i="29"/>
  <c r="U20" i="29"/>
  <c r="S20" i="29"/>
  <c r="AB19" i="29"/>
  <c r="Y19" i="29"/>
  <c r="AC19" i="29" s="1"/>
  <c r="W19" i="29"/>
  <c r="S19" i="29"/>
  <c r="U19" i="29" s="1"/>
  <c r="AB18" i="29"/>
  <c r="AC18" i="29" s="1"/>
  <c r="Z18" i="29"/>
  <c r="Y18" i="29"/>
  <c r="W18" i="29"/>
  <c r="S18" i="29"/>
  <c r="U18" i="29" s="1"/>
  <c r="AC17" i="29"/>
  <c r="AB17" i="29"/>
  <c r="Y17" i="29"/>
  <c r="Z17" i="29" s="1"/>
  <c r="W17" i="29"/>
  <c r="S17" i="29"/>
  <c r="U17" i="29" s="1"/>
  <c r="AB16" i="29"/>
  <c r="Y16" i="29"/>
  <c r="AC16" i="29" s="1"/>
  <c r="W16" i="29"/>
  <c r="U16" i="29"/>
  <c r="S16" i="29"/>
  <c r="AB15" i="29"/>
  <c r="Y15" i="29"/>
  <c r="AC15" i="29" s="1"/>
  <c r="W15" i="29"/>
  <c r="S15" i="29"/>
  <c r="U15" i="29" s="1"/>
  <c r="AB14" i="29"/>
  <c r="AC14" i="29" s="1"/>
  <c r="Z14" i="29"/>
  <c r="Y14" i="29"/>
  <c r="W14" i="29"/>
  <c r="S14" i="29"/>
  <c r="U14" i="29" s="1"/>
  <c r="AB13" i="29"/>
  <c r="AC13" i="29" s="1"/>
  <c r="Y13" i="29"/>
  <c r="Z13" i="29" s="1"/>
  <c r="W13" i="29"/>
  <c r="S13" i="29"/>
  <c r="U13" i="29" s="1"/>
  <c r="AB12" i="29"/>
  <c r="Y12" i="29"/>
  <c r="W12" i="29"/>
  <c r="U12" i="29"/>
  <c r="S12" i="29"/>
  <c r="AB11" i="29"/>
  <c r="Y11" i="29"/>
  <c r="AC11" i="29" s="1"/>
  <c r="W11" i="29"/>
  <c r="S11" i="29"/>
  <c r="U11" i="29" s="1"/>
  <c r="AB10" i="29"/>
  <c r="AC10" i="29" s="1"/>
  <c r="Z10" i="29"/>
  <c r="Y10" i="29"/>
  <c r="W10" i="29"/>
  <c r="S10" i="29"/>
  <c r="U10" i="29" s="1"/>
  <c r="AC9" i="29"/>
  <c r="AB9" i="29"/>
  <c r="Y9" i="29"/>
  <c r="Z9" i="29" s="1"/>
  <c r="W9" i="29"/>
  <c r="S9" i="29"/>
  <c r="U9" i="29" s="1"/>
  <c r="AB8" i="29"/>
  <c r="Y8" i="29"/>
  <c r="AC8" i="29" s="1"/>
  <c r="W8" i="29"/>
  <c r="U8" i="29"/>
  <c r="S8" i="29"/>
  <c r="AB7" i="29"/>
  <c r="Y7" i="29"/>
  <c r="W7" i="29"/>
  <c r="S7" i="29"/>
  <c r="U7" i="29" s="1"/>
  <c r="AJ52" i="28"/>
  <c r="AI52" i="28"/>
  <c r="AH52" i="28"/>
  <c r="AG52" i="28"/>
  <c r="AF52" i="28"/>
  <c r="AB50" i="28"/>
  <c r="Y50" i="28"/>
  <c r="Z50" i="28" s="1"/>
  <c r="S50" i="28"/>
  <c r="U50" i="28" s="1"/>
  <c r="AB49" i="28"/>
  <c r="Y49" i="28"/>
  <c r="Z49" i="28" s="1"/>
  <c r="S49" i="28"/>
  <c r="U49" i="28" s="1"/>
  <c r="AB48" i="28"/>
  <c r="Y48" i="28"/>
  <c r="Z48" i="28" s="1"/>
  <c r="S48" i="28"/>
  <c r="U48" i="28" s="1"/>
  <c r="AB47" i="28"/>
  <c r="Y47" i="28"/>
  <c r="S47" i="28"/>
  <c r="U47" i="28" s="1"/>
  <c r="AB46" i="28"/>
  <c r="Y46" i="28"/>
  <c r="S46" i="28"/>
  <c r="U46" i="28" s="1"/>
  <c r="AB45" i="28"/>
  <c r="Y45" i="28"/>
  <c r="S45" i="28"/>
  <c r="U45" i="28" s="1"/>
  <c r="AB44" i="28"/>
  <c r="Z44" i="28"/>
  <c r="AB43" i="28"/>
  <c r="AB42" i="28"/>
  <c r="AB41" i="28"/>
  <c r="AC41" i="28" s="1"/>
  <c r="Z41" i="28"/>
  <c r="AB40" i="28"/>
  <c r="AC40" i="28" s="1"/>
  <c r="Z40" i="28"/>
  <c r="AB39" i="28"/>
  <c r="AB38" i="28"/>
  <c r="AC38" i="28" s="1"/>
  <c r="AB37" i="28"/>
  <c r="Z37" i="28"/>
  <c r="AB36" i="28"/>
  <c r="Z36" i="28"/>
  <c r="AB35" i="28"/>
  <c r="AB34" i="28"/>
  <c r="Z34" i="28"/>
  <c r="AB33" i="28"/>
  <c r="Z33" i="28"/>
  <c r="AC33" i="28"/>
  <c r="AB32" i="28"/>
  <c r="AC32" i="28" s="1"/>
  <c r="Z32" i="28"/>
  <c r="AB31" i="28"/>
  <c r="AC31" i="28" s="1"/>
  <c r="AB30" i="28"/>
  <c r="AC30" i="28" s="1"/>
  <c r="Z30" i="28"/>
  <c r="AB29" i="28"/>
  <c r="AC29" i="28" s="1"/>
  <c r="AB28" i="28"/>
  <c r="AC28" i="28" s="1"/>
  <c r="Z28" i="28"/>
  <c r="AB27" i="28"/>
  <c r="Z27" i="28"/>
  <c r="AB26" i="28"/>
  <c r="AC26" i="28" s="1"/>
  <c r="Z26" i="28"/>
  <c r="AB25" i="28"/>
  <c r="AC25" i="28" s="1"/>
  <c r="AB24" i="28"/>
  <c r="AC24" i="28" s="1"/>
  <c r="Z24" i="28"/>
  <c r="AB23" i="28"/>
  <c r="Z23" i="28"/>
  <c r="AB22" i="28"/>
  <c r="AC22" i="28" s="1"/>
  <c r="Z22" i="28"/>
  <c r="AB21" i="28"/>
  <c r="AC21" i="28"/>
  <c r="AB20" i="28"/>
  <c r="AC20" i="28" s="1"/>
  <c r="Z20" i="28"/>
  <c r="AB19" i="28"/>
  <c r="Z19" i="28"/>
  <c r="AB18" i="28"/>
  <c r="AC18" i="28" s="1"/>
  <c r="Z18" i="28"/>
  <c r="AB17" i="28"/>
  <c r="AC17" i="28" s="1"/>
  <c r="AB16" i="28"/>
  <c r="AC16" i="28" s="1"/>
  <c r="Z16" i="28"/>
  <c r="AB15" i="28"/>
  <c r="Z15" i="28"/>
  <c r="AB14" i="28"/>
  <c r="AC14" i="28" s="1"/>
  <c r="Z14" i="28"/>
  <c r="AB13" i="28"/>
  <c r="AC13" i="28"/>
  <c r="AB12" i="28"/>
  <c r="Z12" i="28"/>
  <c r="AC12" i="28"/>
  <c r="AB11" i="28"/>
  <c r="AC11" i="28"/>
  <c r="AB10" i="28"/>
  <c r="AC10" i="28" s="1"/>
  <c r="Z10" i="28"/>
  <c r="AB9" i="28"/>
  <c r="AC9" i="28" s="1"/>
  <c r="AB8" i="28"/>
  <c r="AC8" i="28" s="1"/>
  <c r="Z8" i="28"/>
  <c r="AB7" i="28"/>
  <c r="AC7" i="28" s="1"/>
  <c r="AJ55" i="27"/>
  <c r="AI55" i="27"/>
  <c r="AH55" i="27"/>
  <c r="AG55" i="27"/>
  <c r="AF55" i="27"/>
  <c r="AB53" i="27"/>
  <c r="Y53" i="27"/>
  <c r="S53" i="27"/>
  <c r="U53" i="27" s="1"/>
  <c r="AB52" i="27"/>
  <c r="AC52" i="27" s="1"/>
  <c r="Y52" i="27"/>
  <c r="Z52" i="27" s="1"/>
  <c r="S52" i="27"/>
  <c r="U52" i="27" s="1"/>
  <c r="AB51" i="27"/>
  <c r="Y51" i="27"/>
  <c r="S51" i="27"/>
  <c r="U51" i="27" s="1"/>
  <c r="AB50" i="27"/>
  <c r="Y50" i="27"/>
  <c r="S50" i="27"/>
  <c r="U50" i="27" s="1"/>
  <c r="AB49" i="27"/>
  <c r="Y49" i="27"/>
  <c r="S49" i="27"/>
  <c r="U49" i="27" s="1"/>
  <c r="AB48" i="27"/>
  <c r="Y48" i="27"/>
  <c r="Z48" i="27" s="1"/>
  <c r="S48" i="27"/>
  <c r="U48" i="27" s="1"/>
  <c r="AB47" i="27"/>
  <c r="Y47" i="27"/>
  <c r="S47" i="27"/>
  <c r="U47" i="27" s="1"/>
  <c r="AB46" i="27"/>
  <c r="Y46" i="27"/>
  <c r="S46" i="27"/>
  <c r="U46" i="27" s="1"/>
  <c r="AB45" i="27"/>
  <c r="Y45" i="27"/>
  <c r="S45" i="27"/>
  <c r="U45" i="27" s="1"/>
  <c r="AB44" i="27"/>
  <c r="Y44" i="27"/>
  <c r="Z44" i="27" s="1"/>
  <c r="S44" i="27"/>
  <c r="U44" i="27" s="1"/>
  <c r="AB43" i="27"/>
  <c r="Y43" i="27"/>
  <c r="S43" i="27"/>
  <c r="U43" i="27" s="1"/>
  <c r="AB42" i="27"/>
  <c r="Y42" i="27"/>
  <c r="S42" i="27"/>
  <c r="U42" i="27" s="1"/>
  <c r="AB41" i="27"/>
  <c r="Z41" i="27"/>
  <c r="AB40" i="27"/>
  <c r="Z40" i="27"/>
  <c r="AB39" i="27"/>
  <c r="AB38" i="27"/>
  <c r="AB37" i="27"/>
  <c r="AC37" i="27" s="1"/>
  <c r="Z37" i="27"/>
  <c r="AB36" i="27"/>
  <c r="AC36" i="27" s="1"/>
  <c r="Z36" i="27"/>
  <c r="AB35" i="27"/>
  <c r="AB34" i="27"/>
  <c r="Z34" i="27"/>
  <c r="AB33" i="27"/>
  <c r="AC33" i="27" s="1"/>
  <c r="Z33" i="27"/>
  <c r="AB32" i="27"/>
  <c r="AC32" i="27" s="1"/>
  <c r="Z32" i="27"/>
  <c r="AB31" i="27"/>
  <c r="AC31" i="27" s="1"/>
  <c r="Z31" i="27"/>
  <c r="AB30" i="27"/>
  <c r="Z30" i="27"/>
  <c r="AC30" i="27"/>
  <c r="AB29" i="27"/>
  <c r="AC29" i="27" s="1"/>
  <c r="AB28" i="27"/>
  <c r="AC28" i="27" s="1"/>
  <c r="Z28" i="27"/>
  <c r="AC27" i="27"/>
  <c r="AB27" i="27"/>
  <c r="Z27" i="27"/>
  <c r="AB26" i="27"/>
  <c r="AC26" i="27" s="1"/>
  <c r="Z26" i="27"/>
  <c r="AB25" i="27"/>
  <c r="AC25" i="27" s="1"/>
  <c r="AB24" i="27"/>
  <c r="AC24" i="27" s="1"/>
  <c r="Z24" i="27"/>
  <c r="AB23" i="27"/>
  <c r="AC23" i="27" s="1"/>
  <c r="Z23" i="27"/>
  <c r="AB22" i="27"/>
  <c r="AC22" i="27" s="1"/>
  <c r="Z22" i="27"/>
  <c r="AB21" i="27"/>
  <c r="AC21" i="27" s="1"/>
  <c r="AB20" i="27"/>
  <c r="AC20" i="27" s="1"/>
  <c r="Z20" i="27"/>
  <c r="AB19" i="27"/>
  <c r="AC19" i="27" s="1"/>
  <c r="Z19" i="27"/>
  <c r="AB18" i="27"/>
  <c r="AC18" i="27" s="1"/>
  <c r="Z18" i="27"/>
  <c r="AB17" i="27"/>
  <c r="AC17" i="27" s="1"/>
  <c r="AB16" i="27"/>
  <c r="AC16" i="27" s="1"/>
  <c r="Z16" i="27"/>
  <c r="AB15" i="27"/>
  <c r="AC15" i="27" s="1"/>
  <c r="Z15" i="27"/>
  <c r="AB14" i="27"/>
  <c r="AC14" i="27" s="1"/>
  <c r="Z14" i="27"/>
  <c r="AB13" i="27"/>
  <c r="AC13" i="27"/>
  <c r="AB12" i="27"/>
  <c r="Z12" i="27"/>
  <c r="AC12" i="27"/>
  <c r="AC11" i="27"/>
  <c r="AB11" i="27"/>
  <c r="Z11" i="27"/>
  <c r="AB10" i="27"/>
  <c r="AC10" i="27" s="1"/>
  <c r="Z10" i="27"/>
  <c r="AB9" i="27"/>
  <c r="AC9" i="27"/>
  <c r="AB8" i="27"/>
  <c r="AC8" i="27" s="1"/>
  <c r="Z8" i="27"/>
  <c r="AB7" i="27"/>
  <c r="AC7" i="27" s="1"/>
  <c r="Z7" i="27"/>
  <c r="AJ52" i="26"/>
  <c r="AI52" i="26"/>
  <c r="AH52" i="26"/>
  <c r="AG52" i="26"/>
  <c r="AF52" i="26"/>
  <c r="AB50" i="26"/>
  <c r="Y50" i="26"/>
  <c r="S50" i="26"/>
  <c r="U50" i="26" s="1"/>
  <c r="AB49" i="26"/>
  <c r="Z49" i="26"/>
  <c r="Y49" i="26"/>
  <c r="S49" i="26"/>
  <c r="U49" i="26" s="1"/>
  <c r="AB48" i="26"/>
  <c r="AC48" i="26" s="1"/>
  <c r="Y48" i="26"/>
  <c r="Z48" i="26" s="1"/>
  <c r="S48" i="26"/>
  <c r="U48" i="26" s="1"/>
  <c r="AB47" i="26"/>
  <c r="Y47" i="26"/>
  <c r="Z47" i="26" s="1"/>
  <c r="S47" i="26"/>
  <c r="U47" i="26" s="1"/>
  <c r="AB46" i="26"/>
  <c r="Y46" i="26"/>
  <c r="S46" i="26"/>
  <c r="U46" i="26" s="1"/>
  <c r="AB45" i="26"/>
  <c r="Y45" i="26"/>
  <c r="S45" i="26"/>
  <c r="U45" i="26" s="1"/>
  <c r="AB44" i="26"/>
  <c r="Y44" i="26"/>
  <c r="Z44" i="26" s="1"/>
  <c r="S44" i="26"/>
  <c r="U44" i="26" s="1"/>
  <c r="AB43" i="26"/>
  <c r="Y43" i="26"/>
  <c r="Z43" i="26" s="1"/>
  <c r="S43" i="26"/>
  <c r="U43" i="26" s="1"/>
  <c r="AB42" i="26"/>
  <c r="Y42" i="26"/>
  <c r="S42" i="26"/>
  <c r="U42" i="26" s="1"/>
  <c r="AB41" i="26"/>
  <c r="Y41" i="26"/>
  <c r="Z41" i="26" s="1"/>
  <c r="X41" i="26"/>
  <c r="S41" i="26"/>
  <c r="U41" i="26" s="1"/>
  <c r="AB40" i="26"/>
  <c r="Y40" i="26"/>
  <c r="AC40" i="26" s="1"/>
  <c r="S40" i="26"/>
  <c r="U40" i="26" s="1"/>
  <c r="AB39" i="26"/>
  <c r="Y39" i="26"/>
  <c r="Z39" i="26" s="1"/>
  <c r="S39" i="26"/>
  <c r="U39" i="26" s="1"/>
  <c r="AB38" i="26"/>
  <c r="AB37" i="26"/>
  <c r="AC37" i="26" s="1"/>
  <c r="AB36" i="26"/>
  <c r="AC36" i="26" s="1"/>
  <c r="Z36" i="26"/>
  <c r="AB35" i="26"/>
  <c r="AC35" i="26" s="1"/>
  <c r="Z35" i="26"/>
  <c r="AB34" i="26"/>
  <c r="AB33" i="26"/>
  <c r="Z33" i="26"/>
  <c r="AB32" i="26"/>
  <c r="AC32" i="26" s="1"/>
  <c r="Z32" i="26"/>
  <c r="AB31" i="26"/>
  <c r="AC31" i="26" s="1"/>
  <c r="Z31" i="26"/>
  <c r="AB30" i="26"/>
  <c r="AC30" i="26" s="1"/>
  <c r="Z30" i="26"/>
  <c r="AB29" i="26"/>
  <c r="Z29" i="26"/>
  <c r="AB28" i="26"/>
  <c r="AC28" i="26" s="1"/>
  <c r="Z28" i="26"/>
  <c r="AB27" i="26"/>
  <c r="AC27" i="26" s="1"/>
  <c r="Z27" i="26"/>
  <c r="AB26" i="26"/>
  <c r="AC26" i="26" s="1"/>
  <c r="Z26" i="26"/>
  <c r="AB25" i="26"/>
  <c r="Z25" i="26"/>
  <c r="AB24" i="26"/>
  <c r="AC24" i="26" s="1"/>
  <c r="Z24" i="26"/>
  <c r="AB23" i="26"/>
  <c r="AC23" i="26" s="1"/>
  <c r="Z23" i="26"/>
  <c r="AB22" i="26"/>
  <c r="AC22" i="26" s="1"/>
  <c r="Z22" i="26"/>
  <c r="AB21" i="26"/>
  <c r="Z21" i="26"/>
  <c r="AB20" i="26"/>
  <c r="AC20" i="26" s="1"/>
  <c r="Z20" i="26"/>
  <c r="AB19" i="26"/>
  <c r="AC19" i="26" s="1"/>
  <c r="Z19" i="26"/>
  <c r="AB18" i="26"/>
  <c r="AC18" i="26" s="1"/>
  <c r="Z18" i="26"/>
  <c r="AB17" i="26"/>
  <c r="Z17" i="26"/>
  <c r="AB16" i="26"/>
  <c r="AC16" i="26" s="1"/>
  <c r="Z16" i="26"/>
  <c r="AC15" i="26"/>
  <c r="AB15" i="26"/>
  <c r="Z15" i="26"/>
  <c r="AB14" i="26"/>
  <c r="AC14" i="26" s="1"/>
  <c r="Z14" i="26"/>
  <c r="AB13" i="26"/>
  <c r="Z13" i="26"/>
  <c r="AB12" i="26"/>
  <c r="AC12" i="26" s="1"/>
  <c r="Z12" i="26"/>
  <c r="AB11" i="26"/>
  <c r="AC11" i="26" s="1"/>
  <c r="Z11" i="26"/>
  <c r="AB10" i="26"/>
  <c r="AC10" i="26" s="1"/>
  <c r="Z10" i="26"/>
  <c r="AB9" i="26"/>
  <c r="Z9" i="26"/>
  <c r="Z55" i="26" s="1"/>
  <c r="AB8" i="26"/>
  <c r="AC8" i="26" s="1"/>
  <c r="Z8" i="26"/>
  <c r="AB7" i="26"/>
  <c r="AC7" i="26" s="1"/>
  <c r="Z7" i="26"/>
  <c r="AJ44" i="25"/>
  <c r="AI44" i="25"/>
  <c r="AH44" i="25"/>
  <c r="AG44" i="25"/>
  <c r="AF44" i="25"/>
  <c r="AB42" i="25"/>
  <c r="Y42" i="25"/>
  <c r="S42" i="25"/>
  <c r="U42" i="25" s="1"/>
  <c r="AB41" i="25"/>
  <c r="Y41" i="25"/>
  <c r="Z41" i="25" s="1"/>
  <c r="S41" i="25"/>
  <c r="U41" i="25" s="1"/>
  <c r="AB40" i="25"/>
  <c r="Y40" i="25"/>
  <c r="Z40" i="25" s="1"/>
  <c r="S40" i="25"/>
  <c r="U40" i="25" s="1"/>
  <c r="AB39" i="25"/>
  <c r="Y39" i="25"/>
  <c r="S39" i="25"/>
  <c r="U39" i="25" s="1"/>
  <c r="AB38" i="25"/>
  <c r="Y38" i="25"/>
  <c r="S38" i="25"/>
  <c r="U38" i="25" s="1"/>
  <c r="AB37" i="25"/>
  <c r="Y37" i="25"/>
  <c r="S37" i="25"/>
  <c r="U37" i="25" s="1"/>
  <c r="AB36" i="25"/>
  <c r="AC36" i="25" s="1"/>
  <c r="Z36" i="25"/>
  <c r="AB35" i="25"/>
  <c r="AB34" i="25"/>
  <c r="AB33" i="25"/>
  <c r="AC33" i="25" s="1"/>
  <c r="AB32" i="25"/>
  <c r="AC32" i="25" s="1"/>
  <c r="Z32" i="25"/>
  <c r="AB31" i="25"/>
  <c r="AC31" i="25" s="1"/>
  <c r="AB30" i="25"/>
  <c r="AC30" i="25" s="1"/>
  <c r="AB29" i="25"/>
  <c r="AC29" i="25" s="1"/>
  <c r="Z29" i="25"/>
  <c r="AB28" i="25"/>
  <c r="AC28" i="25" s="1"/>
  <c r="Z28" i="25"/>
  <c r="AB27" i="25"/>
  <c r="AC27" i="25" s="1"/>
  <c r="AB26" i="25"/>
  <c r="Z26" i="25"/>
  <c r="AB25" i="25"/>
  <c r="AC25" i="25" s="1"/>
  <c r="Z25" i="25"/>
  <c r="AB24" i="25"/>
  <c r="AC24" i="25" s="1"/>
  <c r="Z24" i="25"/>
  <c r="AB23" i="25"/>
  <c r="AC23" i="25" s="1"/>
  <c r="AB22" i="25"/>
  <c r="Z22" i="25"/>
  <c r="AB21" i="25"/>
  <c r="AC21" i="25" s="1"/>
  <c r="Z21" i="25"/>
  <c r="AB20" i="25"/>
  <c r="AC20" i="25" s="1"/>
  <c r="Z20" i="25"/>
  <c r="AB19" i="25"/>
  <c r="AC19" i="25" s="1"/>
  <c r="AD19" i="25" s="1"/>
  <c r="AE19" i="25" s="1"/>
  <c r="AB18" i="25"/>
  <c r="Z18" i="25"/>
  <c r="AB17" i="25"/>
  <c r="AC17" i="25" s="1"/>
  <c r="Z17" i="25"/>
  <c r="AB16" i="25"/>
  <c r="AC16" i="25" s="1"/>
  <c r="Z16" i="25"/>
  <c r="AB15" i="25"/>
  <c r="AC15" i="25" s="1"/>
  <c r="AB14" i="25"/>
  <c r="Z14" i="25"/>
  <c r="AB13" i="25"/>
  <c r="AC13" i="25" s="1"/>
  <c r="Z13" i="25"/>
  <c r="AB12" i="25"/>
  <c r="AC12" i="25" s="1"/>
  <c r="Z12" i="25"/>
  <c r="AB11" i="25"/>
  <c r="AC11" i="25" s="1"/>
  <c r="AB10" i="25"/>
  <c r="Z10" i="25"/>
  <c r="AB9" i="25"/>
  <c r="AC9" i="25" s="1"/>
  <c r="Z9" i="25"/>
  <c r="Z47" i="25" s="1"/>
  <c r="AB8" i="25"/>
  <c r="AC8" i="25" s="1"/>
  <c r="Z8" i="25"/>
  <c r="AB7" i="25"/>
  <c r="AC7" i="25" s="1"/>
  <c r="AJ53" i="24"/>
  <c r="AI53" i="24"/>
  <c r="AH53" i="24"/>
  <c r="AG53" i="24"/>
  <c r="AF53" i="24"/>
  <c r="AB51" i="24"/>
  <c r="Y51" i="24"/>
  <c r="Z51" i="24" s="1"/>
  <c r="S51" i="24"/>
  <c r="U51" i="24" s="1"/>
  <c r="AB50" i="24"/>
  <c r="Y50" i="24"/>
  <c r="S50" i="24"/>
  <c r="U50" i="24" s="1"/>
  <c r="AB49" i="24"/>
  <c r="Y49" i="24"/>
  <c r="S49" i="24"/>
  <c r="U49" i="24" s="1"/>
  <c r="AB48" i="24"/>
  <c r="Y48" i="24"/>
  <c r="Z48" i="24" s="1"/>
  <c r="U48" i="24"/>
  <c r="S48" i="24"/>
  <c r="AB47" i="24"/>
  <c r="Z47" i="24"/>
  <c r="Y47" i="24"/>
  <c r="S47" i="24"/>
  <c r="U47" i="24" s="1"/>
  <c r="AB46" i="24"/>
  <c r="AC46" i="24" s="1"/>
  <c r="Y46" i="24"/>
  <c r="Z46" i="24" s="1"/>
  <c r="X46" i="24"/>
  <c r="S46" i="24"/>
  <c r="U46" i="24" s="1"/>
  <c r="AB45" i="24"/>
  <c r="Y45" i="24"/>
  <c r="Z45" i="24" s="1"/>
  <c r="S45" i="24"/>
  <c r="U45" i="24" s="1"/>
  <c r="AB44" i="24"/>
  <c r="Y44" i="24"/>
  <c r="Z44" i="24" s="1"/>
  <c r="S44" i="24"/>
  <c r="U44" i="24" s="1"/>
  <c r="AB43" i="24"/>
  <c r="AC43" i="24"/>
  <c r="AB42" i="24"/>
  <c r="Z42" i="24"/>
  <c r="AB41" i="24"/>
  <c r="AC41" i="24" s="1"/>
  <c r="Z41" i="24"/>
  <c r="AB40" i="24"/>
  <c r="Y40" i="24"/>
  <c r="Z40" i="24" s="1"/>
  <c r="S40" i="24"/>
  <c r="U40" i="24" s="1"/>
  <c r="AB39" i="24"/>
  <c r="Y39" i="24"/>
  <c r="S39" i="24"/>
  <c r="U39" i="24" s="1"/>
  <c r="AB38" i="24"/>
  <c r="Z38" i="24"/>
  <c r="AB37" i="24"/>
  <c r="AC37" i="24" s="1"/>
  <c r="Z37" i="24"/>
  <c r="AB36" i="24"/>
  <c r="AC36" i="24" s="1"/>
  <c r="Z36" i="24"/>
  <c r="AB35" i="24"/>
  <c r="Z35" i="24"/>
  <c r="AB34" i="24"/>
  <c r="AC34" i="24" s="1"/>
  <c r="Z34" i="24"/>
  <c r="AB33" i="24"/>
  <c r="Z33" i="24"/>
  <c r="Y33" i="24"/>
  <c r="S33" i="24"/>
  <c r="U33" i="24" s="1"/>
  <c r="AB32" i="24"/>
  <c r="AC32" i="24" s="1"/>
  <c r="Z32" i="24"/>
  <c r="AB31" i="24"/>
  <c r="AC31" i="24" s="1"/>
  <c r="AB30" i="24"/>
  <c r="AC30" i="24" s="1"/>
  <c r="Z30" i="24"/>
  <c r="AB29" i="24"/>
  <c r="AC29" i="24" s="1"/>
  <c r="Z29" i="24"/>
  <c r="AB28" i="24"/>
  <c r="AC28" i="24" s="1"/>
  <c r="Z28" i="24"/>
  <c r="AB27" i="24"/>
  <c r="Y27" i="24"/>
  <c r="S27" i="24"/>
  <c r="U27" i="24" s="1"/>
  <c r="AB26" i="24"/>
  <c r="Y26" i="24"/>
  <c r="S26" i="24"/>
  <c r="U26" i="24" s="1"/>
  <c r="AB25" i="24"/>
  <c r="Y25" i="24"/>
  <c r="Z25" i="24" s="1"/>
  <c r="S25" i="24"/>
  <c r="U25" i="24" s="1"/>
  <c r="AB24" i="24"/>
  <c r="Y24" i="24"/>
  <c r="AC24" i="24" s="1"/>
  <c r="S24" i="24"/>
  <c r="U24" i="24" s="1"/>
  <c r="AB23" i="24"/>
  <c r="AC23" i="24" s="1"/>
  <c r="AB22" i="24"/>
  <c r="AC22" i="24" s="1"/>
  <c r="Z22" i="24"/>
  <c r="AB21" i="24"/>
  <c r="AC21" i="24" s="1"/>
  <c r="Y21" i="24"/>
  <c r="Z21" i="24" s="1"/>
  <c r="S21" i="24"/>
  <c r="U21" i="24" s="1"/>
  <c r="AB20" i="24"/>
  <c r="AC20" i="24" s="1"/>
  <c r="AB19" i="24"/>
  <c r="AC19" i="24" s="1"/>
  <c r="AB18" i="24"/>
  <c r="Z18" i="24"/>
  <c r="AC18" i="24"/>
  <c r="AB17" i="24"/>
  <c r="AC17" i="24" s="1"/>
  <c r="Z17" i="24"/>
  <c r="AB16" i="24"/>
  <c r="AC16" i="24" s="1"/>
  <c r="AB15" i="24"/>
  <c r="AC15" i="24" s="1"/>
  <c r="AB14" i="24"/>
  <c r="AC14" i="24" s="1"/>
  <c r="Z14" i="24"/>
  <c r="AB13" i="24"/>
  <c r="AC13" i="24" s="1"/>
  <c r="Z13" i="24"/>
  <c r="AB12" i="24"/>
  <c r="AC12" i="24" s="1"/>
  <c r="AB11" i="24"/>
  <c r="AC11" i="24" s="1"/>
  <c r="AB10" i="24"/>
  <c r="AC10" i="24" s="1"/>
  <c r="Z10" i="24"/>
  <c r="AB9" i="24"/>
  <c r="AC9" i="24" s="1"/>
  <c r="Z9" i="24"/>
  <c r="Z56" i="24" s="1"/>
  <c r="AB8" i="24"/>
  <c r="AC8" i="24" s="1"/>
  <c r="AB7" i="24"/>
  <c r="AC7" i="24" s="1"/>
  <c r="AJ53" i="23"/>
  <c r="AI53" i="23"/>
  <c r="AH53" i="23"/>
  <c r="AG53" i="23"/>
  <c r="AF53" i="23"/>
  <c r="AB51" i="23"/>
  <c r="Y51" i="23"/>
  <c r="Z51" i="23" s="1"/>
  <c r="S51" i="23"/>
  <c r="U51" i="23" s="1"/>
  <c r="AB50" i="23"/>
  <c r="Y50" i="23"/>
  <c r="Z50" i="23" s="1"/>
  <c r="S50" i="23"/>
  <c r="U50" i="23" s="1"/>
  <c r="AB49" i="23"/>
  <c r="AC49" i="23" s="1"/>
  <c r="Y49" i="23"/>
  <c r="Z49" i="23" s="1"/>
  <c r="S49" i="23"/>
  <c r="U49" i="23" s="1"/>
  <c r="AB48" i="23"/>
  <c r="Y48" i="23"/>
  <c r="AC48" i="23" s="1"/>
  <c r="S48" i="23"/>
  <c r="U48" i="23" s="1"/>
  <c r="AB47" i="23"/>
  <c r="Y47" i="23"/>
  <c r="Z47" i="23" s="1"/>
  <c r="S47" i="23"/>
  <c r="U47" i="23" s="1"/>
  <c r="AB46" i="23"/>
  <c r="Y46" i="23"/>
  <c r="S46" i="23"/>
  <c r="U46" i="23" s="1"/>
  <c r="AB45" i="23"/>
  <c r="Y45" i="23"/>
  <c r="Z45" i="23" s="1"/>
  <c r="X45" i="23"/>
  <c r="S45" i="23"/>
  <c r="U45" i="23" s="1"/>
  <c r="AB44" i="23"/>
  <c r="Y44" i="23"/>
  <c r="S44" i="23"/>
  <c r="U44" i="23" s="1"/>
  <c r="AB43" i="23"/>
  <c r="Y43" i="23"/>
  <c r="Z43" i="23" s="1"/>
  <c r="S43" i="23"/>
  <c r="U43" i="23" s="1"/>
  <c r="AB42" i="23"/>
  <c r="Y42" i="23"/>
  <c r="S42" i="23"/>
  <c r="U42" i="23" s="1"/>
  <c r="AB41" i="23"/>
  <c r="Y41" i="23"/>
  <c r="S41" i="23"/>
  <c r="U41" i="23" s="1"/>
  <c r="AB40" i="23"/>
  <c r="AB39" i="23"/>
  <c r="Z39" i="23"/>
  <c r="AB38" i="23"/>
  <c r="AB37" i="23"/>
  <c r="Y37" i="23"/>
  <c r="Z37" i="23" s="1"/>
  <c r="S37" i="23"/>
  <c r="U37" i="23" s="1"/>
  <c r="AB36" i="23"/>
  <c r="Y36" i="23"/>
  <c r="Z36" i="23" s="1"/>
  <c r="S36" i="23"/>
  <c r="U36" i="23" s="1"/>
  <c r="AB35" i="23"/>
  <c r="AC35" i="23" s="1"/>
  <c r="Z35" i="23"/>
  <c r="AB34" i="23"/>
  <c r="AC34" i="23" s="1"/>
  <c r="AB33" i="23"/>
  <c r="AC33" i="23" s="1"/>
  <c r="Z33" i="23"/>
  <c r="AB32" i="23"/>
  <c r="AC32" i="23" s="1"/>
  <c r="AB31" i="23"/>
  <c r="Y31" i="23"/>
  <c r="S31" i="23"/>
  <c r="U31" i="23" s="1"/>
  <c r="AB30" i="23"/>
  <c r="Y30" i="23"/>
  <c r="S30" i="23"/>
  <c r="U30" i="23" s="1"/>
  <c r="AB29" i="23"/>
  <c r="AC29" i="23" s="1"/>
  <c r="Z29" i="23"/>
  <c r="AB28" i="23"/>
  <c r="AC28" i="23" s="1"/>
  <c r="AB27" i="23"/>
  <c r="AC27" i="23" s="1"/>
  <c r="AB26" i="23"/>
  <c r="AC26" i="23" s="1"/>
  <c r="Z26" i="23"/>
  <c r="AB25" i="23"/>
  <c r="AC25" i="23" s="1"/>
  <c r="Z25" i="23"/>
  <c r="AB24" i="23"/>
  <c r="Y24" i="23"/>
  <c r="AC24" i="23" s="1"/>
  <c r="S24" i="23"/>
  <c r="U24" i="23" s="1"/>
  <c r="AB23" i="23"/>
  <c r="Y23" i="23"/>
  <c r="S23" i="23"/>
  <c r="U23" i="23" s="1"/>
  <c r="AB22" i="23"/>
  <c r="Y22" i="23"/>
  <c r="AC22" i="23" s="1"/>
  <c r="S22" i="23"/>
  <c r="U22" i="23" s="1"/>
  <c r="AB21" i="23"/>
  <c r="Y21" i="23"/>
  <c r="Z21" i="23" s="1"/>
  <c r="S21" i="23"/>
  <c r="U21" i="23" s="1"/>
  <c r="AB20" i="23"/>
  <c r="AC20" i="23"/>
  <c r="AB19" i="23"/>
  <c r="AC19" i="23" s="1"/>
  <c r="AB18" i="23"/>
  <c r="AC18" i="23" s="1"/>
  <c r="Z18" i="23"/>
  <c r="AB17" i="23"/>
  <c r="AC17" i="23" s="1"/>
  <c r="Z17" i="23"/>
  <c r="AB16" i="23"/>
  <c r="AC16" i="23" s="1"/>
  <c r="AB15" i="23"/>
  <c r="AC15" i="23" s="1"/>
  <c r="AB14" i="23"/>
  <c r="AC14" i="23" s="1"/>
  <c r="Z14" i="23"/>
  <c r="AB13" i="23"/>
  <c r="AC13" i="23" s="1"/>
  <c r="Z13" i="23"/>
  <c r="AB12" i="23"/>
  <c r="AC12" i="23" s="1"/>
  <c r="AB11" i="23"/>
  <c r="AC11" i="23" s="1"/>
  <c r="AB10" i="23"/>
  <c r="AC10" i="23" s="1"/>
  <c r="Z10" i="23"/>
  <c r="AB9" i="23"/>
  <c r="AC9" i="23" s="1"/>
  <c r="Z9" i="23"/>
  <c r="Z56" i="23" s="1"/>
  <c r="AB8" i="23"/>
  <c r="AC8" i="23" s="1"/>
  <c r="AB7" i="23"/>
  <c r="AC7" i="23" s="1"/>
  <c r="AJ48" i="22"/>
  <c r="AI48" i="22"/>
  <c r="AH48" i="22"/>
  <c r="AG48" i="22"/>
  <c r="AF48" i="22"/>
  <c r="AB46" i="22"/>
  <c r="Y46" i="22"/>
  <c r="S46" i="22"/>
  <c r="U46" i="22" s="1"/>
  <c r="AB45" i="22"/>
  <c r="Y45" i="22"/>
  <c r="S45" i="22"/>
  <c r="U45" i="22" s="1"/>
  <c r="AB44" i="22"/>
  <c r="Y44" i="22"/>
  <c r="S44" i="22"/>
  <c r="U44" i="22" s="1"/>
  <c r="AB43" i="22"/>
  <c r="Y43" i="22"/>
  <c r="S43" i="22"/>
  <c r="U43" i="22" s="1"/>
  <c r="AB42" i="22"/>
  <c r="Y42" i="22"/>
  <c r="S42" i="22"/>
  <c r="U42" i="22" s="1"/>
  <c r="AB41" i="22"/>
  <c r="Y41" i="22"/>
  <c r="S41" i="22"/>
  <c r="U41" i="22" s="1"/>
  <c r="AB40" i="22"/>
  <c r="Y40" i="22"/>
  <c r="S40" i="22"/>
  <c r="U40" i="22" s="1"/>
  <c r="AB39" i="22"/>
  <c r="Y39" i="22"/>
  <c r="S39" i="22"/>
  <c r="U39" i="22" s="1"/>
  <c r="AB38" i="22"/>
  <c r="Y38" i="22"/>
  <c r="S38" i="22"/>
  <c r="U38" i="22" s="1"/>
  <c r="AC37" i="22"/>
  <c r="AB37" i="22"/>
  <c r="Z37" i="22"/>
  <c r="AB36" i="22"/>
  <c r="AB35" i="22"/>
  <c r="AB34" i="22"/>
  <c r="Y34" i="22"/>
  <c r="Z34" i="22" s="1"/>
  <c r="S34" i="22"/>
  <c r="U34" i="22" s="1"/>
  <c r="AB33" i="22"/>
  <c r="Y33" i="22"/>
  <c r="Z33" i="22" s="1"/>
  <c r="S33" i="22"/>
  <c r="U33" i="22" s="1"/>
  <c r="AB32" i="22"/>
  <c r="Z32" i="22"/>
  <c r="AB31" i="22"/>
  <c r="AC31" i="22"/>
  <c r="AB30" i="22"/>
  <c r="AC30" i="22"/>
  <c r="AB29" i="22"/>
  <c r="AC29" i="22"/>
  <c r="AB28" i="22"/>
  <c r="Z28" i="22"/>
  <c r="Y28" i="22"/>
  <c r="S28" i="22"/>
  <c r="U28" i="22" s="1"/>
  <c r="AB27" i="22"/>
  <c r="Y27" i="22"/>
  <c r="S27" i="22"/>
  <c r="U27" i="22" s="1"/>
  <c r="AB26" i="22"/>
  <c r="AC26" i="22" s="1"/>
  <c r="AB25" i="22"/>
  <c r="AC25" i="22" s="1"/>
  <c r="AB24" i="22"/>
  <c r="AC24" i="22" s="1"/>
  <c r="Z24" i="22"/>
  <c r="AB23" i="22"/>
  <c r="AC23" i="22" s="1"/>
  <c r="AB22" i="22"/>
  <c r="AC22" i="22" s="1"/>
  <c r="AB21" i="22"/>
  <c r="AC21" i="22" s="1"/>
  <c r="AB20" i="22"/>
  <c r="AC20" i="22" s="1"/>
  <c r="Z20" i="22"/>
  <c r="AB19" i="22"/>
  <c r="AC19" i="22" s="1"/>
  <c r="AB18" i="22"/>
  <c r="AC18" i="22" s="1"/>
  <c r="AB17" i="22"/>
  <c r="AC17" i="22" s="1"/>
  <c r="AB16" i="22"/>
  <c r="AC16" i="22" s="1"/>
  <c r="Z16" i="22"/>
  <c r="AB15" i="22"/>
  <c r="AC15" i="22" s="1"/>
  <c r="AB14" i="22"/>
  <c r="AC14" i="22" s="1"/>
  <c r="AB13" i="22"/>
  <c r="AC13" i="22" s="1"/>
  <c r="AB12" i="22"/>
  <c r="AC12" i="22" s="1"/>
  <c r="Z12" i="22"/>
  <c r="AB11" i="22"/>
  <c r="AC11" i="22" s="1"/>
  <c r="AB10" i="22"/>
  <c r="AC10" i="22" s="1"/>
  <c r="AB9" i="22"/>
  <c r="AC9" i="22" s="1"/>
  <c r="AB8" i="22"/>
  <c r="AC8" i="22" s="1"/>
  <c r="Z8" i="22"/>
  <c r="AB7" i="22"/>
  <c r="AC7" i="22" s="1"/>
  <c r="AJ45" i="21"/>
  <c r="AI45" i="21"/>
  <c r="AH45" i="21"/>
  <c r="AG45" i="21"/>
  <c r="AF45" i="21"/>
  <c r="AB43" i="21"/>
  <c r="Y43" i="21"/>
  <c r="Z43" i="21" s="1"/>
  <c r="U43" i="21"/>
  <c r="S43" i="21"/>
  <c r="AB42" i="21"/>
  <c r="Y42" i="21"/>
  <c r="S42" i="21"/>
  <c r="U42" i="21" s="1"/>
  <c r="AB41" i="21"/>
  <c r="Y41" i="21"/>
  <c r="X41" i="21"/>
  <c r="S41" i="21"/>
  <c r="U41" i="21" s="1"/>
  <c r="AB40" i="21"/>
  <c r="Y40" i="21"/>
  <c r="S40" i="21"/>
  <c r="U40" i="21" s="1"/>
  <c r="AB39" i="21"/>
  <c r="Y39" i="21"/>
  <c r="Z39" i="21" s="1"/>
  <c r="S39" i="21"/>
  <c r="U39" i="21" s="1"/>
  <c r="AB38" i="21"/>
  <c r="Y38" i="21"/>
  <c r="S38" i="21"/>
  <c r="U38" i="21" s="1"/>
  <c r="AB37" i="21"/>
  <c r="Y37" i="21"/>
  <c r="S37" i="21"/>
  <c r="U37" i="21" s="1"/>
  <c r="AB36" i="21"/>
  <c r="Y36" i="21"/>
  <c r="Z36" i="21" s="1"/>
  <c r="S36" i="21"/>
  <c r="U36" i="21" s="1"/>
  <c r="AB35" i="21"/>
  <c r="Y35" i="21"/>
  <c r="Z35" i="21" s="1"/>
  <c r="S35" i="21"/>
  <c r="U35" i="21" s="1"/>
  <c r="AB34" i="21"/>
  <c r="Y34" i="21"/>
  <c r="S34" i="21"/>
  <c r="U34" i="21" s="1"/>
  <c r="AB33" i="21"/>
  <c r="Y33" i="21"/>
  <c r="Z33" i="21" s="1"/>
  <c r="S33" i="21"/>
  <c r="U33" i="21" s="1"/>
  <c r="AB32" i="21"/>
  <c r="Y32" i="21"/>
  <c r="Z32" i="21" s="1"/>
  <c r="S32" i="21"/>
  <c r="U32" i="21" s="1"/>
  <c r="AB31" i="21"/>
  <c r="Y31" i="21"/>
  <c r="S31" i="21"/>
  <c r="U31" i="21" s="1"/>
  <c r="AB30" i="21"/>
  <c r="Y30" i="21"/>
  <c r="S30" i="21"/>
  <c r="U30" i="21" s="1"/>
  <c r="AB29" i="21"/>
  <c r="AC29" i="21"/>
  <c r="AB28" i="21"/>
  <c r="Z28" i="21"/>
  <c r="AB27" i="21"/>
  <c r="Z27" i="21"/>
  <c r="AB26" i="21"/>
  <c r="Z26" i="21"/>
  <c r="AB25" i="21"/>
  <c r="Y25" i="21"/>
  <c r="Z25" i="21" s="1"/>
  <c r="S25" i="21"/>
  <c r="U25" i="21" s="1"/>
  <c r="AB24" i="21"/>
  <c r="Y24" i="21"/>
  <c r="Z24" i="21" s="1"/>
  <c r="S24" i="21"/>
  <c r="U24" i="21" s="1"/>
  <c r="AB23" i="21"/>
  <c r="Z23" i="21"/>
  <c r="AB22" i="21"/>
  <c r="Z22" i="21"/>
  <c r="AB21" i="21"/>
  <c r="Y21" i="21"/>
  <c r="Z21" i="21" s="1"/>
  <c r="S21" i="21"/>
  <c r="U21" i="21" s="1"/>
  <c r="AB20" i="21"/>
  <c r="Y20" i="21"/>
  <c r="Z20" i="21" s="1"/>
  <c r="S20" i="21"/>
  <c r="U20" i="21" s="1"/>
  <c r="AB19" i="21"/>
  <c r="Z19" i="21"/>
  <c r="AB18" i="21"/>
  <c r="Y18" i="21"/>
  <c r="Z18" i="21" s="1"/>
  <c r="S18" i="21"/>
  <c r="U18" i="21" s="1"/>
  <c r="AB17" i="21"/>
  <c r="Y17" i="21"/>
  <c r="Z17" i="21" s="1"/>
  <c r="S17" i="21"/>
  <c r="U17" i="21" s="1"/>
  <c r="AB16" i="21"/>
  <c r="Z16" i="21"/>
  <c r="AB15" i="21"/>
  <c r="Y15" i="21"/>
  <c r="Z15" i="21" s="1"/>
  <c r="S15" i="21"/>
  <c r="U15" i="21" s="1"/>
  <c r="AB11" i="21"/>
  <c r="Y11" i="21"/>
  <c r="Z11" i="21" s="1"/>
  <c r="S11" i="21"/>
  <c r="U11" i="21" s="1"/>
  <c r="AB10" i="21"/>
  <c r="AC10" i="21" s="1"/>
  <c r="Z10" i="21"/>
  <c r="AB9" i="21"/>
  <c r="Z9" i="21"/>
  <c r="Z48" i="21" s="1"/>
  <c r="AB8" i="21"/>
  <c r="AC8" i="21" s="1"/>
  <c r="Z8" i="21"/>
  <c r="AB7" i="21"/>
  <c r="AC7" i="21" s="1"/>
  <c r="Z7" i="21"/>
  <c r="AJ62" i="20"/>
  <c r="AI62" i="20"/>
  <c r="AH62" i="20"/>
  <c r="AG62" i="20"/>
  <c r="AF62" i="20"/>
  <c r="AB60" i="20"/>
  <c r="Y60" i="20"/>
  <c r="Z60" i="20" s="1"/>
  <c r="S60" i="20"/>
  <c r="U60" i="20" s="1"/>
  <c r="AB59" i="20"/>
  <c r="Y59" i="20"/>
  <c r="S59" i="20"/>
  <c r="U59" i="20" s="1"/>
  <c r="AB58" i="20"/>
  <c r="Y58" i="20"/>
  <c r="S58" i="20"/>
  <c r="U58" i="20" s="1"/>
  <c r="AB57" i="20"/>
  <c r="Y57" i="20"/>
  <c r="S57" i="20"/>
  <c r="U57" i="20" s="1"/>
  <c r="AB56" i="20"/>
  <c r="Y56" i="20"/>
  <c r="Z56" i="20" s="1"/>
  <c r="S56" i="20"/>
  <c r="U56" i="20" s="1"/>
  <c r="AB55" i="20"/>
  <c r="Y55" i="20"/>
  <c r="S55" i="20"/>
  <c r="U55" i="20" s="1"/>
  <c r="AB54" i="20"/>
  <c r="Y54" i="20"/>
  <c r="S54" i="20"/>
  <c r="U54" i="20" s="1"/>
  <c r="AB53" i="20"/>
  <c r="Y53" i="20"/>
  <c r="Z53" i="20" s="1"/>
  <c r="S53" i="20"/>
  <c r="U53" i="20" s="1"/>
  <c r="AB52" i="20"/>
  <c r="Y52" i="20"/>
  <c r="Z52" i="20" s="1"/>
  <c r="S52" i="20"/>
  <c r="U52" i="20" s="1"/>
  <c r="AB51" i="20"/>
  <c r="AB50" i="20"/>
  <c r="AB49" i="20"/>
  <c r="AB48" i="20"/>
  <c r="AC48" i="20" s="1"/>
  <c r="Z48" i="20"/>
  <c r="AB47" i="20"/>
  <c r="AB46" i="20"/>
  <c r="AB45" i="20"/>
  <c r="Z45" i="20"/>
  <c r="AB44" i="20"/>
  <c r="AC44" i="20" s="1"/>
  <c r="Z44" i="20"/>
  <c r="AB43" i="20"/>
  <c r="AB42" i="20"/>
  <c r="AB41" i="20"/>
  <c r="Z41" i="20"/>
  <c r="AB40" i="20"/>
  <c r="AC40" i="20" s="1"/>
  <c r="Z40" i="20"/>
  <c r="AB39" i="20"/>
  <c r="AB38" i="20"/>
  <c r="AB37" i="20"/>
  <c r="AC37" i="20"/>
  <c r="AB36" i="20"/>
  <c r="AC36" i="20" s="1"/>
  <c r="Z36" i="20"/>
  <c r="AB35" i="20"/>
  <c r="AB34" i="20"/>
  <c r="Y34" i="20"/>
  <c r="S34" i="20"/>
  <c r="U34" i="20" s="1"/>
  <c r="AB33" i="20"/>
  <c r="AC33" i="20" s="1"/>
  <c r="AB32" i="20"/>
  <c r="AC32" i="20" s="1"/>
  <c r="AB31" i="20"/>
  <c r="AC31" i="20" s="1"/>
  <c r="Z31" i="20"/>
  <c r="AB30" i="20"/>
  <c r="AC30" i="20" s="1"/>
  <c r="Z30" i="20"/>
  <c r="AB29" i="20"/>
  <c r="AC29" i="20" s="1"/>
  <c r="Z29" i="20"/>
  <c r="AB28" i="20"/>
  <c r="AC28" i="20" s="1"/>
  <c r="AB27" i="20"/>
  <c r="AC27" i="20" s="1"/>
  <c r="Z27" i="20"/>
  <c r="AB26" i="20"/>
  <c r="AC26" i="20" s="1"/>
  <c r="Z26" i="20"/>
  <c r="AC25" i="20"/>
  <c r="AB25" i="20"/>
  <c r="Z25" i="20"/>
  <c r="AB24" i="20"/>
  <c r="AC24" i="20" s="1"/>
  <c r="AB23" i="20"/>
  <c r="Z23" i="20"/>
  <c r="AC23" i="20"/>
  <c r="AB22" i="20"/>
  <c r="AC22" i="20" s="1"/>
  <c r="Z22" i="20"/>
  <c r="AB21" i="20"/>
  <c r="AC21" i="20" s="1"/>
  <c r="Z21" i="20"/>
  <c r="AB20" i="20"/>
  <c r="AC20" i="20" s="1"/>
  <c r="AB19" i="20"/>
  <c r="AC19" i="20" s="1"/>
  <c r="Z19" i="20"/>
  <c r="AB18" i="20"/>
  <c r="AC18" i="20" s="1"/>
  <c r="Z18" i="20"/>
  <c r="AB17" i="20"/>
  <c r="AC17" i="20" s="1"/>
  <c r="Z17" i="20"/>
  <c r="AB16" i="20"/>
  <c r="AC16" i="20" s="1"/>
  <c r="AB15" i="20"/>
  <c r="AC15" i="20" s="1"/>
  <c r="Z15" i="20"/>
  <c r="AB14" i="20"/>
  <c r="AC14" i="20" s="1"/>
  <c r="Z14" i="20"/>
  <c r="AB13" i="20"/>
  <c r="AC13" i="20" s="1"/>
  <c r="Z13" i="20"/>
  <c r="AB12" i="20"/>
  <c r="AC12" i="20" s="1"/>
  <c r="AB11" i="20"/>
  <c r="Y11" i="20"/>
  <c r="S11" i="20"/>
  <c r="U11" i="20" s="1"/>
  <c r="AB10" i="20"/>
  <c r="AC10" i="20" s="1"/>
  <c r="Z10" i="20"/>
  <c r="AB9" i="20"/>
  <c r="AC9" i="20" s="1"/>
  <c r="AD9" i="20" s="1"/>
  <c r="AE9" i="20" s="1"/>
  <c r="Z9" i="20"/>
  <c r="AB8" i="20"/>
  <c r="AC8" i="20" s="1"/>
  <c r="AB7" i="20"/>
  <c r="AC7" i="20" s="1"/>
  <c r="Z7" i="20"/>
  <c r="AJ58" i="19"/>
  <c r="AI58" i="19"/>
  <c r="AH58" i="19"/>
  <c r="AG58" i="19"/>
  <c r="AF58" i="19"/>
  <c r="AB56" i="19"/>
  <c r="Y56" i="19"/>
  <c r="S56" i="19"/>
  <c r="U56" i="19" s="1"/>
  <c r="AB55" i="19"/>
  <c r="Y55" i="19"/>
  <c r="Z55" i="19" s="1"/>
  <c r="S55" i="19"/>
  <c r="U55" i="19" s="1"/>
  <c r="AB54" i="19"/>
  <c r="Y54" i="19"/>
  <c r="S54" i="19"/>
  <c r="U54" i="19" s="1"/>
  <c r="AB53" i="19"/>
  <c r="Y53" i="19"/>
  <c r="Z53" i="19" s="1"/>
  <c r="S53" i="19"/>
  <c r="U53" i="19" s="1"/>
  <c r="X53" i="19" s="1"/>
  <c r="AB52" i="19"/>
  <c r="Y52" i="19"/>
  <c r="S52" i="19"/>
  <c r="U52" i="19" s="1"/>
  <c r="AB51" i="19"/>
  <c r="AC51" i="19" s="1"/>
  <c r="Y51" i="19"/>
  <c r="Z51" i="19" s="1"/>
  <c r="S51" i="19"/>
  <c r="U51" i="19" s="1"/>
  <c r="AB50" i="19"/>
  <c r="Y50" i="19"/>
  <c r="U50" i="19"/>
  <c r="S50" i="19"/>
  <c r="AB49" i="19"/>
  <c r="Y49" i="19"/>
  <c r="S49" i="19"/>
  <c r="U49" i="19" s="1"/>
  <c r="AB48" i="19"/>
  <c r="Y48" i="19"/>
  <c r="S48" i="19"/>
  <c r="U48" i="19" s="1"/>
  <c r="AB47" i="19"/>
  <c r="Y47" i="19"/>
  <c r="Z47" i="19" s="1"/>
  <c r="S47" i="19"/>
  <c r="U47" i="19" s="1"/>
  <c r="AB46" i="19"/>
  <c r="AC46" i="19" s="1"/>
  <c r="Z46" i="19"/>
  <c r="AB45" i="19"/>
  <c r="AC45" i="19" s="1"/>
  <c r="Z45" i="19"/>
  <c r="AB44" i="19"/>
  <c r="AC44" i="19" s="1"/>
  <c r="AB43" i="19"/>
  <c r="Z43" i="19"/>
  <c r="AB42" i="19"/>
  <c r="AC42" i="19" s="1"/>
  <c r="AB41" i="19"/>
  <c r="AC41" i="19" s="1"/>
  <c r="Z41" i="19"/>
  <c r="AB40" i="19"/>
  <c r="AC40" i="19" s="1"/>
  <c r="Z40" i="19"/>
  <c r="AB39" i="19"/>
  <c r="AC39" i="19" s="1"/>
  <c r="Z39" i="19"/>
  <c r="AB38" i="19"/>
  <c r="Z38" i="19"/>
  <c r="AB37" i="19"/>
  <c r="AC37" i="19" s="1"/>
  <c r="AB36" i="19"/>
  <c r="AC36" i="19" s="1"/>
  <c r="Z36" i="19"/>
  <c r="AB35" i="19"/>
  <c r="Z35" i="19"/>
  <c r="AB34" i="19"/>
  <c r="Z34" i="19"/>
  <c r="AB33" i="19"/>
  <c r="AC33" i="19" s="1"/>
  <c r="AB32" i="19"/>
  <c r="Z32" i="19"/>
  <c r="AB31" i="19"/>
  <c r="AC31" i="19" s="1"/>
  <c r="Z31" i="19"/>
  <c r="AB30" i="19"/>
  <c r="Y30" i="19"/>
  <c r="S30" i="19"/>
  <c r="U30" i="19" s="1"/>
  <c r="AB29" i="19"/>
  <c r="Y29" i="19"/>
  <c r="S29" i="19"/>
  <c r="U29" i="19" s="1"/>
  <c r="AB28" i="19"/>
  <c r="AC28" i="19" s="1"/>
  <c r="AB27" i="19"/>
  <c r="AC27" i="19" s="1"/>
  <c r="Z27" i="19"/>
  <c r="AB26" i="19"/>
  <c r="AC26" i="19" s="1"/>
  <c r="AB25" i="19"/>
  <c r="AC25" i="19"/>
  <c r="AB24" i="19"/>
  <c r="Z24" i="19"/>
  <c r="AB23" i="19"/>
  <c r="AC23" i="19" s="1"/>
  <c r="Z23" i="19"/>
  <c r="AB22" i="19"/>
  <c r="AC22" i="19" s="1"/>
  <c r="AB21" i="19"/>
  <c r="AC21" i="19" s="1"/>
  <c r="AB20" i="19"/>
  <c r="AC20" i="19" s="1"/>
  <c r="AB19" i="19"/>
  <c r="AC19" i="19" s="1"/>
  <c r="Z19" i="19"/>
  <c r="AB18" i="19"/>
  <c r="AC18" i="19" s="1"/>
  <c r="AB17" i="19"/>
  <c r="AC17" i="19" s="1"/>
  <c r="AB16" i="19"/>
  <c r="AC16" i="19"/>
  <c r="AB15" i="19"/>
  <c r="AC15" i="19" s="1"/>
  <c r="Z15" i="19"/>
  <c r="AB14" i="19"/>
  <c r="AC14" i="19" s="1"/>
  <c r="AB13" i="19"/>
  <c r="AC13" i="19" s="1"/>
  <c r="AB12" i="19"/>
  <c r="Z12" i="19"/>
  <c r="Z60" i="19" s="1"/>
  <c r="AB11" i="19"/>
  <c r="Y11" i="19"/>
  <c r="Z11" i="19" s="1"/>
  <c r="S11" i="19"/>
  <c r="U11" i="19" s="1"/>
  <c r="AB10" i="19"/>
  <c r="AC10" i="19" s="1"/>
  <c r="AB9" i="19"/>
  <c r="AC9" i="19"/>
  <c r="AB8" i="19"/>
  <c r="Z8" i="19"/>
  <c r="AB7" i="19"/>
  <c r="AC7" i="19" s="1"/>
  <c r="Z7" i="19"/>
  <c r="AJ51" i="18"/>
  <c r="AI51" i="18"/>
  <c r="AH51" i="18"/>
  <c r="AG51" i="18"/>
  <c r="AF51" i="18"/>
  <c r="AB49" i="18"/>
  <c r="Y49" i="18"/>
  <c r="Z49" i="18" s="1"/>
  <c r="S49" i="18"/>
  <c r="U49" i="18" s="1"/>
  <c r="AB48" i="18"/>
  <c r="Y48" i="18"/>
  <c r="S48" i="18"/>
  <c r="U48" i="18" s="1"/>
  <c r="AB47" i="18"/>
  <c r="Y47" i="18"/>
  <c r="Z47" i="18" s="1"/>
  <c r="X47" i="18"/>
  <c r="S47" i="18"/>
  <c r="U47" i="18" s="1"/>
  <c r="AB46" i="18"/>
  <c r="Y46" i="18"/>
  <c r="Z46" i="18" s="1"/>
  <c r="S46" i="18"/>
  <c r="U46" i="18" s="1"/>
  <c r="AB45" i="18"/>
  <c r="Y45" i="18"/>
  <c r="Z45" i="18" s="1"/>
  <c r="S45" i="18"/>
  <c r="U45" i="18" s="1"/>
  <c r="AB44" i="18"/>
  <c r="Y44" i="18"/>
  <c r="S44" i="18"/>
  <c r="U44" i="18" s="1"/>
  <c r="AB43" i="18"/>
  <c r="Y43" i="18"/>
  <c r="Z43" i="18" s="1"/>
  <c r="S43" i="18"/>
  <c r="U43" i="18" s="1"/>
  <c r="AB42" i="18"/>
  <c r="Z42" i="18"/>
  <c r="AB41" i="18"/>
  <c r="Z41" i="18"/>
  <c r="AB40" i="18"/>
  <c r="AC40" i="18" s="1"/>
  <c r="AB39" i="18"/>
  <c r="AC39" i="18"/>
  <c r="AB38" i="18"/>
  <c r="Z38" i="18"/>
  <c r="AB37" i="18"/>
  <c r="Z37" i="18"/>
  <c r="AB36" i="18"/>
  <c r="Z36" i="18"/>
  <c r="AB35" i="18"/>
  <c r="AC35" i="18" s="1"/>
  <c r="Z35" i="18"/>
  <c r="AB34" i="18"/>
  <c r="Z34" i="18"/>
  <c r="AB33" i="18"/>
  <c r="AC33" i="18" s="1"/>
  <c r="Z33" i="18"/>
  <c r="AB32" i="18"/>
  <c r="AC32" i="18"/>
  <c r="AB31" i="18"/>
  <c r="AC31" i="18" s="1"/>
  <c r="AB30" i="18"/>
  <c r="AC30" i="18" s="1"/>
  <c r="Z30" i="18"/>
  <c r="AB29" i="18"/>
  <c r="AC29" i="18" s="1"/>
  <c r="Z29" i="18"/>
  <c r="AB28" i="18"/>
  <c r="AC28" i="18" s="1"/>
  <c r="AB27" i="18"/>
  <c r="AC27" i="18" s="1"/>
  <c r="AB26" i="18"/>
  <c r="AC26" i="18" s="1"/>
  <c r="Z26" i="18"/>
  <c r="AB25" i="18"/>
  <c r="AC25" i="18" s="1"/>
  <c r="Z25" i="18"/>
  <c r="AB24" i="18"/>
  <c r="AC24" i="18" s="1"/>
  <c r="AB23" i="18"/>
  <c r="AC23" i="18" s="1"/>
  <c r="AB22" i="18"/>
  <c r="AC22" i="18" s="1"/>
  <c r="Z22" i="18"/>
  <c r="AB21" i="18"/>
  <c r="AC21" i="18" s="1"/>
  <c r="Z21" i="18"/>
  <c r="AB20" i="18"/>
  <c r="AC20" i="18" s="1"/>
  <c r="AB19" i="18"/>
  <c r="Z19" i="18"/>
  <c r="AB18" i="18"/>
  <c r="AC18" i="18" s="1"/>
  <c r="Z18" i="18"/>
  <c r="AB17" i="18"/>
  <c r="AC17" i="18" s="1"/>
  <c r="Z17" i="18"/>
  <c r="AB16" i="18"/>
  <c r="AC16" i="18" s="1"/>
  <c r="AB15" i="18"/>
  <c r="AC15" i="18" s="1"/>
  <c r="AB14" i="18"/>
  <c r="AC14" i="18" s="1"/>
  <c r="Z14" i="18"/>
  <c r="AB13" i="18"/>
  <c r="AC13" i="18" s="1"/>
  <c r="Z13" i="18"/>
  <c r="AB12" i="18"/>
  <c r="AC12" i="18" s="1"/>
  <c r="AB11" i="18"/>
  <c r="AC11" i="18" s="1"/>
  <c r="AB10" i="18"/>
  <c r="AC10" i="18" s="1"/>
  <c r="Z10" i="18"/>
  <c r="AB9" i="18"/>
  <c r="AC9" i="18" s="1"/>
  <c r="Z9" i="18"/>
  <c r="AB8" i="18"/>
  <c r="AC8" i="18" s="1"/>
  <c r="AB7" i="18"/>
  <c r="AC7" i="18" s="1"/>
  <c r="AJ50" i="17"/>
  <c r="AI50" i="17"/>
  <c r="AH50" i="17"/>
  <c r="AG50" i="17"/>
  <c r="AF50" i="17"/>
  <c r="AB48" i="17"/>
  <c r="Y48" i="17"/>
  <c r="S48" i="17"/>
  <c r="U48" i="17" s="1"/>
  <c r="AB47" i="17"/>
  <c r="Y47" i="17"/>
  <c r="Z47" i="17" s="1"/>
  <c r="S47" i="17"/>
  <c r="U47" i="17" s="1"/>
  <c r="AB46" i="17"/>
  <c r="Y46" i="17"/>
  <c r="S46" i="17"/>
  <c r="U46" i="17" s="1"/>
  <c r="AB45" i="17"/>
  <c r="Y45" i="17"/>
  <c r="Z45" i="17" s="1"/>
  <c r="S45" i="17"/>
  <c r="U45" i="17" s="1"/>
  <c r="AB44" i="17"/>
  <c r="Y44" i="17"/>
  <c r="S44" i="17"/>
  <c r="U44" i="17" s="1"/>
  <c r="AB43" i="17"/>
  <c r="Y43" i="17"/>
  <c r="Z43" i="17" s="1"/>
  <c r="S43" i="17"/>
  <c r="U43" i="17" s="1"/>
  <c r="AB42" i="17"/>
  <c r="Y42" i="17"/>
  <c r="S42" i="17"/>
  <c r="U42" i="17" s="1"/>
  <c r="AB41" i="17"/>
  <c r="Y41" i="17"/>
  <c r="Z41" i="17" s="1"/>
  <c r="S41" i="17"/>
  <c r="U41" i="17" s="1"/>
  <c r="AB40" i="17"/>
  <c r="AC40" i="17" s="1"/>
  <c r="Z40" i="17"/>
  <c r="AB39" i="17"/>
  <c r="Z39" i="17"/>
  <c r="AB38" i="17"/>
  <c r="Z38" i="17"/>
  <c r="AB37" i="17"/>
  <c r="Z37" i="17"/>
  <c r="AB36" i="17"/>
  <c r="AC36" i="17" s="1"/>
  <c r="Z36" i="17"/>
  <c r="AB35" i="17"/>
  <c r="AC35" i="17" s="1"/>
  <c r="Z35" i="17"/>
  <c r="AB34" i="17"/>
  <c r="AC34" i="17" s="1"/>
  <c r="Z34" i="17"/>
  <c r="AB33" i="17"/>
  <c r="AC33" i="17" s="1"/>
  <c r="AB32" i="17"/>
  <c r="AC32" i="17" s="1"/>
  <c r="Z32" i="17"/>
  <c r="AB31" i="17"/>
  <c r="AC31" i="17" s="1"/>
  <c r="Z31" i="17"/>
  <c r="AB30" i="17"/>
  <c r="AC30" i="17" s="1"/>
  <c r="Z30" i="17"/>
  <c r="AB29" i="17"/>
  <c r="AC29" i="17" s="1"/>
  <c r="AB28" i="17"/>
  <c r="AC28" i="17" s="1"/>
  <c r="Z28" i="17"/>
  <c r="AB27" i="17"/>
  <c r="AC27" i="17" s="1"/>
  <c r="Z27" i="17"/>
  <c r="AB26" i="17"/>
  <c r="Y26" i="17"/>
  <c r="Z26" i="17" s="1"/>
  <c r="S26" i="17"/>
  <c r="U26" i="17" s="1"/>
  <c r="AB25" i="17"/>
  <c r="Y25" i="17"/>
  <c r="S25" i="17"/>
  <c r="U25" i="17" s="1"/>
  <c r="AB24" i="17"/>
  <c r="AC24" i="17" s="1"/>
  <c r="Z24" i="17"/>
  <c r="AB23" i="17"/>
  <c r="AC23" i="17" s="1"/>
  <c r="Z23" i="17"/>
  <c r="AB22" i="17"/>
  <c r="AC22" i="17" s="1"/>
  <c r="Z22" i="17"/>
  <c r="AB21" i="17"/>
  <c r="AC21" i="17" s="1"/>
  <c r="AB20" i="17"/>
  <c r="AC20" i="17" s="1"/>
  <c r="Z20" i="17"/>
  <c r="AB19" i="17"/>
  <c r="AC19" i="17" s="1"/>
  <c r="Z19" i="17"/>
  <c r="AB18" i="17"/>
  <c r="AC18" i="17" s="1"/>
  <c r="Z18" i="17"/>
  <c r="AB17" i="17"/>
  <c r="AC17" i="17" s="1"/>
  <c r="AB16" i="17"/>
  <c r="AC16" i="17" s="1"/>
  <c r="Z16" i="17"/>
  <c r="AB15" i="17"/>
  <c r="AC15" i="17" s="1"/>
  <c r="Z15" i="17"/>
  <c r="AB14" i="17"/>
  <c r="AC14" i="17" s="1"/>
  <c r="Z14" i="17"/>
  <c r="AB13" i="17"/>
  <c r="AC13" i="17" s="1"/>
  <c r="AB12" i="17"/>
  <c r="AC12" i="17" s="1"/>
  <c r="Z12" i="17"/>
  <c r="Z52" i="17" s="1"/>
  <c r="AB11" i="17"/>
  <c r="Y11" i="17"/>
  <c r="Z11" i="17" s="1"/>
  <c r="S11" i="17"/>
  <c r="U11" i="17" s="1"/>
  <c r="AB10" i="17"/>
  <c r="AC10" i="17" s="1"/>
  <c r="Z10" i="17"/>
  <c r="AB9" i="17"/>
  <c r="AC9" i="17" s="1"/>
  <c r="AB8" i="17"/>
  <c r="AC8" i="17" s="1"/>
  <c r="Z8" i="17"/>
  <c r="AB7" i="17"/>
  <c r="AC7" i="17" s="1"/>
  <c r="Z7" i="17"/>
  <c r="AJ47" i="16"/>
  <c r="AI47" i="16"/>
  <c r="AH47" i="16"/>
  <c r="AG47" i="16"/>
  <c r="AF47" i="16"/>
  <c r="AB45" i="16"/>
  <c r="Y45" i="16"/>
  <c r="S45" i="16"/>
  <c r="U45" i="16" s="1"/>
  <c r="AB44" i="16"/>
  <c r="Y44" i="16"/>
  <c r="Z44" i="16" s="1"/>
  <c r="S44" i="16"/>
  <c r="U44" i="16" s="1"/>
  <c r="AB43" i="16"/>
  <c r="Y43" i="16"/>
  <c r="S43" i="16"/>
  <c r="U43" i="16" s="1"/>
  <c r="AB42" i="16"/>
  <c r="Y42" i="16"/>
  <c r="S42" i="16"/>
  <c r="U42" i="16" s="1"/>
  <c r="AB41" i="16"/>
  <c r="Y41" i="16"/>
  <c r="S41" i="16"/>
  <c r="U41" i="16" s="1"/>
  <c r="AB40" i="16"/>
  <c r="Y40" i="16"/>
  <c r="Z40" i="16" s="1"/>
  <c r="S40" i="16"/>
  <c r="U40" i="16" s="1"/>
  <c r="AB39" i="16"/>
  <c r="Y39" i="16"/>
  <c r="S39" i="16"/>
  <c r="U39" i="16" s="1"/>
  <c r="AB38" i="16"/>
  <c r="AB37" i="16"/>
  <c r="Z37" i="16"/>
  <c r="AB36" i="16"/>
  <c r="Z36" i="16"/>
  <c r="AB35" i="16"/>
  <c r="AB34" i="16"/>
  <c r="AB33" i="16"/>
  <c r="AB32" i="16"/>
  <c r="Z32" i="16"/>
  <c r="AB31" i="16"/>
  <c r="AB30" i="16"/>
  <c r="AC30" i="16" s="1"/>
  <c r="AB29" i="16"/>
  <c r="Z29" i="16"/>
  <c r="AB28" i="16"/>
  <c r="AB27" i="16"/>
  <c r="AB26" i="16"/>
  <c r="AB25" i="16"/>
  <c r="Z25" i="16"/>
  <c r="AB24" i="16"/>
  <c r="Y24" i="16"/>
  <c r="S24" i="16"/>
  <c r="U24" i="16" s="1"/>
  <c r="AB23" i="16"/>
  <c r="Y23" i="16"/>
  <c r="S23" i="16"/>
  <c r="U23" i="16" s="1"/>
  <c r="AB22" i="16"/>
  <c r="Z22" i="16"/>
  <c r="AB21" i="16"/>
  <c r="AC21" i="16" s="1"/>
  <c r="AB20" i="16"/>
  <c r="Z20" i="16"/>
  <c r="AB19" i="16"/>
  <c r="AC19" i="16" s="1"/>
  <c r="Z19" i="16"/>
  <c r="AB18" i="16"/>
  <c r="Z18" i="16"/>
  <c r="AB17" i="16"/>
  <c r="AC17" i="16" s="1"/>
  <c r="AB16" i="16"/>
  <c r="AC16" i="16" s="1"/>
  <c r="AB15" i="16"/>
  <c r="AC15" i="16" s="1"/>
  <c r="Z15" i="16"/>
  <c r="AB14" i="16"/>
  <c r="Z14" i="16"/>
  <c r="AB13" i="16"/>
  <c r="AC13" i="16" s="1"/>
  <c r="AB12" i="16"/>
  <c r="AC12" i="16" s="1"/>
  <c r="AB11" i="16"/>
  <c r="Y11" i="16"/>
  <c r="Z11" i="16" s="1"/>
  <c r="S11" i="16"/>
  <c r="U11" i="16" s="1"/>
  <c r="AB10" i="16"/>
  <c r="Z10" i="16"/>
  <c r="AB9" i="16"/>
  <c r="AC9" i="16" s="1"/>
  <c r="AB8" i="16"/>
  <c r="Z8" i="16"/>
  <c r="AB7" i="16"/>
  <c r="AC7" i="16" s="1"/>
  <c r="Z7" i="16"/>
  <c r="AJ62" i="15"/>
  <c r="AI62" i="15"/>
  <c r="AH62" i="15"/>
  <c r="AG62" i="15"/>
  <c r="AF62" i="15"/>
  <c r="AB60" i="15"/>
  <c r="Y60" i="15"/>
  <c r="Z60" i="15" s="1"/>
  <c r="S60" i="15"/>
  <c r="U60" i="15" s="1"/>
  <c r="AB59" i="15"/>
  <c r="Y59" i="15"/>
  <c r="Z59" i="15" s="1"/>
  <c r="S59" i="15"/>
  <c r="U59" i="15" s="1"/>
  <c r="AB58" i="15"/>
  <c r="Y58" i="15"/>
  <c r="Z58" i="15" s="1"/>
  <c r="S58" i="15"/>
  <c r="U58" i="15" s="1"/>
  <c r="AB57" i="15"/>
  <c r="Y57" i="15"/>
  <c r="S57" i="15"/>
  <c r="U57" i="15" s="1"/>
  <c r="AB56" i="15"/>
  <c r="Y56" i="15"/>
  <c r="Z56" i="15" s="1"/>
  <c r="S56" i="15"/>
  <c r="U56" i="15" s="1"/>
  <c r="AB55" i="15"/>
  <c r="Y55" i="15"/>
  <c r="Z55" i="15" s="1"/>
  <c r="S55" i="15"/>
  <c r="U55" i="15" s="1"/>
  <c r="AB54" i="15"/>
  <c r="Y54" i="15"/>
  <c r="Z54" i="15" s="1"/>
  <c r="S54" i="15"/>
  <c r="U54" i="15" s="1"/>
  <c r="AB53" i="15"/>
  <c r="Y53" i="15"/>
  <c r="S53" i="15"/>
  <c r="U53" i="15" s="1"/>
  <c r="AB52" i="15"/>
  <c r="Y52" i="15"/>
  <c r="Z52" i="15" s="1"/>
  <c r="S52" i="15"/>
  <c r="U52" i="15" s="1"/>
  <c r="AB51" i="15"/>
  <c r="AC51" i="15" s="1"/>
  <c r="AB50" i="15"/>
  <c r="AC50" i="15" s="1"/>
  <c r="Z50" i="15"/>
  <c r="AB49" i="15"/>
  <c r="Z49" i="15"/>
  <c r="AB48" i="15"/>
  <c r="Z48" i="15"/>
  <c r="AB47" i="15"/>
  <c r="Y47" i="15"/>
  <c r="S47" i="15"/>
  <c r="U47" i="15" s="1"/>
  <c r="AB46" i="15"/>
  <c r="Y46" i="15"/>
  <c r="Z46" i="15" s="1"/>
  <c r="S46" i="15"/>
  <c r="U46" i="15" s="1"/>
  <c r="AB45" i="15"/>
  <c r="AC45" i="15" s="1"/>
  <c r="AB44" i="15"/>
  <c r="AC44" i="15" s="1"/>
  <c r="Z44" i="15"/>
  <c r="S44" i="15"/>
  <c r="U44" i="15" s="1"/>
  <c r="AB43" i="15"/>
  <c r="Z43" i="15"/>
  <c r="AB42" i="15"/>
  <c r="AC42" i="15" s="1"/>
  <c r="Z42" i="15"/>
  <c r="AB41" i="15"/>
  <c r="Y41" i="15"/>
  <c r="S41" i="15"/>
  <c r="U41" i="15" s="1"/>
  <c r="AB39" i="15"/>
  <c r="Y39" i="15"/>
  <c r="Z39" i="15" s="1"/>
  <c r="S39" i="15"/>
  <c r="U39" i="15" s="1"/>
  <c r="AB38" i="15"/>
  <c r="Z38" i="15"/>
  <c r="AB37" i="15"/>
  <c r="Z37" i="15"/>
  <c r="AB36" i="15"/>
  <c r="AC36" i="15" s="1"/>
  <c r="AB35" i="15"/>
  <c r="Z35" i="15"/>
  <c r="AB34" i="15"/>
  <c r="Y34" i="15"/>
  <c r="S34" i="15"/>
  <c r="U34" i="15" s="1"/>
  <c r="AB33" i="15"/>
  <c r="Y33" i="15"/>
  <c r="Z33" i="15" s="1"/>
  <c r="S33" i="15"/>
  <c r="U33" i="15" s="1"/>
  <c r="AB32" i="15"/>
  <c r="Z32" i="15"/>
  <c r="AB31" i="15"/>
  <c r="AC31" i="15" s="1"/>
  <c r="AB30" i="15"/>
  <c r="AC30" i="15" s="1"/>
  <c r="Z30" i="15"/>
  <c r="AB29" i="15"/>
  <c r="AC29" i="15" s="1"/>
  <c r="AB28" i="15"/>
  <c r="AC28" i="15" s="1"/>
  <c r="Z28" i="15"/>
  <c r="AB27" i="15"/>
  <c r="AC27" i="15" s="1"/>
  <c r="AB26" i="15"/>
  <c r="Z26" i="15"/>
  <c r="AB25" i="15"/>
  <c r="AC25" i="15" s="1"/>
  <c r="AB24" i="15"/>
  <c r="AC24" i="15" s="1"/>
  <c r="Z24" i="15"/>
  <c r="AB23" i="15"/>
  <c r="AC23" i="15" s="1"/>
  <c r="AB22" i="15"/>
  <c r="Z22" i="15"/>
  <c r="AB21" i="15"/>
  <c r="AC21" i="15" s="1"/>
  <c r="AB20" i="15"/>
  <c r="AC20" i="15" s="1"/>
  <c r="AB19" i="15"/>
  <c r="AC19" i="15" s="1"/>
  <c r="AB18" i="15"/>
  <c r="Z18" i="15"/>
  <c r="AB17" i="15"/>
  <c r="AC17" i="15" s="1"/>
  <c r="AB16" i="15"/>
  <c r="AC16" i="15" s="1"/>
  <c r="AB15" i="15"/>
  <c r="AC15" i="15" s="1"/>
  <c r="AB14" i="15"/>
  <c r="Z14" i="15"/>
  <c r="AB13" i="15"/>
  <c r="AC13" i="15" s="1"/>
  <c r="AB12" i="15"/>
  <c r="AC12" i="15"/>
  <c r="AB11" i="15"/>
  <c r="Y11" i="15"/>
  <c r="S11" i="15"/>
  <c r="U11" i="15" s="1"/>
  <c r="AB10" i="15"/>
  <c r="Z10" i="15"/>
  <c r="AB9" i="15"/>
  <c r="AC9" i="15" s="1"/>
  <c r="AB8" i="15"/>
  <c r="AC8" i="15" s="1"/>
  <c r="AB7" i="15"/>
  <c r="AC7" i="15" s="1"/>
  <c r="AJ59" i="14"/>
  <c r="AI59" i="14"/>
  <c r="AH59" i="14"/>
  <c r="AG59" i="14"/>
  <c r="AF59" i="14"/>
  <c r="AB57" i="14"/>
  <c r="Y57" i="14"/>
  <c r="Z57" i="14" s="1"/>
  <c r="S57" i="14"/>
  <c r="U57" i="14" s="1"/>
  <c r="AB56" i="14"/>
  <c r="Y56" i="14"/>
  <c r="S56" i="14"/>
  <c r="U56" i="14" s="1"/>
  <c r="AB55" i="14"/>
  <c r="Y55" i="14"/>
  <c r="Z55" i="14" s="1"/>
  <c r="S55" i="14"/>
  <c r="U55" i="14" s="1"/>
  <c r="AB54" i="14"/>
  <c r="Y54" i="14"/>
  <c r="S54" i="14"/>
  <c r="U54" i="14" s="1"/>
  <c r="AB53" i="14"/>
  <c r="Y53" i="14"/>
  <c r="Z53" i="14" s="1"/>
  <c r="S53" i="14"/>
  <c r="U53" i="14" s="1"/>
  <c r="AB52" i="14"/>
  <c r="Y52" i="14"/>
  <c r="Z52" i="14" s="1"/>
  <c r="S52" i="14"/>
  <c r="U52" i="14" s="1"/>
  <c r="AB51" i="14"/>
  <c r="Y51" i="14"/>
  <c r="Z51" i="14" s="1"/>
  <c r="S51" i="14"/>
  <c r="U51" i="14" s="1"/>
  <c r="AB50" i="14"/>
  <c r="Y50" i="14"/>
  <c r="S50" i="14"/>
  <c r="U50" i="14" s="1"/>
  <c r="AB49" i="14"/>
  <c r="Y49" i="14"/>
  <c r="Z49" i="14" s="1"/>
  <c r="S49" i="14"/>
  <c r="U49" i="14" s="1"/>
  <c r="AB48" i="14"/>
  <c r="Y48" i="14"/>
  <c r="AC48" i="14" s="1"/>
  <c r="S48" i="14"/>
  <c r="U48" i="14" s="1"/>
  <c r="AB47" i="14"/>
  <c r="Y47" i="14"/>
  <c r="Z47" i="14" s="1"/>
  <c r="S47" i="14"/>
  <c r="U47" i="14" s="1"/>
  <c r="AB46" i="14"/>
  <c r="Z46" i="14"/>
  <c r="AB45" i="14"/>
  <c r="AC45" i="14" s="1"/>
  <c r="Z45" i="14"/>
  <c r="AB44" i="14"/>
  <c r="Z44" i="14"/>
  <c r="AB43" i="14"/>
  <c r="Z43" i="14"/>
  <c r="AB42" i="14"/>
  <c r="Z42" i="14"/>
  <c r="AB41" i="14"/>
  <c r="Y41" i="14"/>
  <c r="Z41" i="14" s="1"/>
  <c r="S41" i="14"/>
  <c r="U41" i="14" s="1"/>
  <c r="AB40" i="14"/>
  <c r="AC40" i="14" s="1"/>
  <c r="AB39" i="14"/>
  <c r="Z39" i="14"/>
  <c r="AB38" i="14"/>
  <c r="AC38" i="14" s="1"/>
  <c r="AB36" i="14"/>
  <c r="Y36" i="14"/>
  <c r="Z36" i="14" s="1"/>
  <c r="S36" i="14"/>
  <c r="U36" i="14" s="1"/>
  <c r="AB35" i="14"/>
  <c r="Y35" i="14"/>
  <c r="Z35" i="14" s="1"/>
  <c r="S35" i="14"/>
  <c r="U35" i="14" s="1"/>
  <c r="AB34" i="14"/>
  <c r="Z34" i="14"/>
  <c r="AB33" i="14"/>
  <c r="AC33" i="14" s="1"/>
  <c r="Z33" i="14"/>
  <c r="AB32" i="14"/>
  <c r="AC32" i="14" s="1"/>
  <c r="Z32" i="14"/>
  <c r="AB31" i="14"/>
  <c r="AC31" i="14" s="1"/>
  <c r="AB30" i="14"/>
  <c r="Y30" i="14"/>
  <c r="S30" i="14"/>
  <c r="U30" i="14" s="1"/>
  <c r="AB29" i="14"/>
  <c r="Y29" i="14"/>
  <c r="Z29" i="14" s="1"/>
  <c r="S29" i="14"/>
  <c r="U29" i="14" s="1"/>
  <c r="AB28" i="14"/>
  <c r="AC28" i="14" s="1"/>
  <c r="Z28" i="14"/>
  <c r="AB27" i="14"/>
  <c r="AC27" i="14" s="1"/>
  <c r="AB26" i="14"/>
  <c r="AC26" i="14" s="1"/>
  <c r="Z26" i="14"/>
  <c r="AB25" i="14"/>
  <c r="AC25" i="14" s="1"/>
  <c r="Z25" i="14"/>
  <c r="AB24" i="14"/>
  <c r="AC24" i="14" s="1"/>
  <c r="Z24" i="14"/>
  <c r="AB23" i="14"/>
  <c r="AC23" i="14" s="1"/>
  <c r="AB22" i="14"/>
  <c r="AC22" i="14" s="1"/>
  <c r="Z22" i="14"/>
  <c r="AB21" i="14"/>
  <c r="AC21" i="14" s="1"/>
  <c r="Z21" i="14"/>
  <c r="AB20" i="14"/>
  <c r="AC20" i="14" s="1"/>
  <c r="Z20" i="14"/>
  <c r="AB19" i="14"/>
  <c r="AC19" i="14" s="1"/>
  <c r="AB18" i="14"/>
  <c r="AC18" i="14" s="1"/>
  <c r="Z18" i="14"/>
  <c r="AB17" i="14"/>
  <c r="AC17" i="14" s="1"/>
  <c r="Z17" i="14"/>
  <c r="AB16" i="14"/>
  <c r="AC16" i="14" s="1"/>
  <c r="Z16" i="14"/>
  <c r="AB15" i="14"/>
  <c r="AC15" i="14" s="1"/>
  <c r="AB14" i="14"/>
  <c r="AC14" i="14" s="1"/>
  <c r="Z14" i="14"/>
  <c r="AB13" i="14"/>
  <c r="AC13" i="14" s="1"/>
  <c r="Z13" i="14"/>
  <c r="AB12" i="14"/>
  <c r="AC12" i="14" s="1"/>
  <c r="Z12" i="14"/>
  <c r="Z61" i="14" s="1"/>
  <c r="AB11" i="14"/>
  <c r="Y11" i="14"/>
  <c r="S11" i="14"/>
  <c r="U11" i="14" s="1"/>
  <c r="AB10" i="14"/>
  <c r="AC10" i="14" s="1"/>
  <c r="Z10" i="14"/>
  <c r="AB9" i="14"/>
  <c r="AC9" i="14" s="1"/>
  <c r="Z9" i="14"/>
  <c r="Z62" i="14" s="1"/>
  <c r="AB8" i="14"/>
  <c r="AC8" i="14" s="1"/>
  <c r="Z8" i="14"/>
  <c r="AB7" i="14"/>
  <c r="AC7" i="14" s="1"/>
  <c r="AJ57" i="13"/>
  <c r="AI57" i="13"/>
  <c r="AH57" i="13"/>
  <c r="AG57" i="13"/>
  <c r="AF57" i="13"/>
  <c r="AB55" i="13"/>
  <c r="Y55" i="13"/>
  <c r="S55" i="13"/>
  <c r="U55" i="13" s="1"/>
  <c r="AB54" i="13"/>
  <c r="Y54" i="13"/>
  <c r="S54" i="13"/>
  <c r="U54" i="13" s="1"/>
  <c r="AB53" i="13"/>
  <c r="Y53" i="13"/>
  <c r="Z53" i="13" s="1"/>
  <c r="S53" i="13"/>
  <c r="U53" i="13" s="1"/>
  <c r="AB52" i="13"/>
  <c r="Y52" i="13"/>
  <c r="Z52" i="13" s="1"/>
  <c r="S52" i="13"/>
  <c r="U52" i="13" s="1"/>
  <c r="AB51" i="13"/>
  <c r="Y51" i="13"/>
  <c r="S51" i="13"/>
  <c r="U51" i="13" s="1"/>
  <c r="AB50" i="13"/>
  <c r="Y50" i="13"/>
  <c r="S50" i="13"/>
  <c r="U50" i="13" s="1"/>
  <c r="AB49" i="13"/>
  <c r="Y49" i="13"/>
  <c r="S49" i="13"/>
  <c r="U49" i="13" s="1"/>
  <c r="AB48" i="13"/>
  <c r="Y48" i="13"/>
  <c r="Z48" i="13" s="1"/>
  <c r="S48" i="13"/>
  <c r="U48" i="13" s="1"/>
  <c r="AB47" i="13"/>
  <c r="Y47" i="13"/>
  <c r="S47" i="13"/>
  <c r="U47" i="13" s="1"/>
  <c r="AB46" i="13"/>
  <c r="Y46" i="13"/>
  <c r="Z46" i="13" s="1"/>
  <c r="S46" i="13"/>
  <c r="U46" i="13" s="1"/>
  <c r="AB45" i="13"/>
  <c r="Y45" i="13"/>
  <c r="S45" i="13"/>
  <c r="U45" i="13" s="1"/>
  <c r="AB44" i="13"/>
  <c r="Y44" i="13"/>
  <c r="Z44" i="13" s="1"/>
  <c r="S44" i="13"/>
  <c r="U44" i="13" s="1"/>
  <c r="AB43" i="13"/>
  <c r="AB42" i="13"/>
  <c r="Y42" i="13"/>
  <c r="S42" i="13"/>
  <c r="U42" i="13" s="1"/>
  <c r="AB41" i="13"/>
  <c r="Y41" i="13"/>
  <c r="S41" i="13"/>
  <c r="U41" i="13" s="1"/>
  <c r="AB40" i="13"/>
  <c r="AC40" i="13" s="1"/>
  <c r="Z40" i="13"/>
  <c r="AB39" i="13"/>
  <c r="Y39" i="13"/>
  <c r="S39" i="13"/>
  <c r="U39" i="13" s="1"/>
  <c r="AB38" i="13"/>
  <c r="Y38" i="13"/>
  <c r="S38" i="13"/>
  <c r="U38" i="13" s="1"/>
  <c r="AB37" i="13"/>
  <c r="AC37" i="13" s="1"/>
  <c r="Z37" i="13"/>
  <c r="AB36" i="13"/>
  <c r="AC36" i="13" s="1"/>
  <c r="Z36" i="13"/>
  <c r="AB34" i="13"/>
  <c r="Y34" i="13"/>
  <c r="S34" i="13"/>
  <c r="U34" i="13" s="1"/>
  <c r="AB33" i="13"/>
  <c r="Y33" i="13"/>
  <c r="S33" i="13"/>
  <c r="U33" i="13" s="1"/>
  <c r="AB32" i="13"/>
  <c r="AC32" i="13" s="1"/>
  <c r="AB31" i="13"/>
  <c r="AC31" i="13" s="1"/>
  <c r="Z31" i="13"/>
  <c r="AB30" i="13"/>
  <c r="AC30" i="13" s="1"/>
  <c r="AB29" i="13"/>
  <c r="AC29" i="13" s="1"/>
  <c r="Z29" i="13"/>
  <c r="AB28" i="13"/>
  <c r="Y28" i="13"/>
  <c r="S28" i="13"/>
  <c r="U28" i="13" s="1"/>
  <c r="AB27" i="13"/>
  <c r="Y27" i="13"/>
  <c r="Z27" i="13" s="1"/>
  <c r="U27" i="13"/>
  <c r="S27" i="13"/>
  <c r="AB26" i="13"/>
  <c r="AC26" i="13" s="1"/>
  <c r="AD26" i="13" s="1"/>
  <c r="AE26" i="13" s="1"/>
  <c r="AB25" i="13"/>
  <c r="AC25" i="13" s="1"/>
  <c r="Z25" i="13"/>
  <c r="AB24" i="13"/>
  <c r="AC24" i="13" s="1"/>
  <c r="AB23" i="13"/>
  <c r="AC23" i="13" s="1"/>
  <c r="Z23" i="13"/>
  <c r="AB22" i="13"/>
  <c r="AC22" i="13" s="1"/>
  <c r="AB21" i="13"/>
  <c r="AC21" i="13" s="1"/>
  <c r="Z21" i="13"/>
  <c r="AB20" i="13"/>
  <c r="AC20" i="13" s="1"/>
  <c r="AB19" i="13"/>
  <c r="AC19" i="13" s="1"/>
  <c r="Z19" i="13"/>
  <c r="AB18" i="13"/>
  <c r="AC18" i="13" s="1"/>
  <c r="AB17" i="13"/>
  <c r="AC17" i="13" s="1"/>
  <c r="Z17" i="13"/>
  <c r="AB16" i="13"/>
  <c r="AC16" i="13" s="1"/>
  <c r="AB15" i="13"/>
  <c r="AC15" i="13" s="1"/>
  <c r="Z15" i="13"/>
  <c r="AB14" i="13"/>
  <c r="AC14" i="13" s="1"/>
  <c r="AB13" i="13"/>
  <c r="AC13" i="13" s="1"/>
  <c r="Z13" i="13"/>
  <c r="AB12" i="13"/>
  <c r="AC12" i="13" s="1"/>
  <c r="AB11" i="13"/>
  <c r="Y11" i="13"/>
  <c r="Z11" i="13" s="1"/>
  <c r="S11" i="13"/>
  <c r="U11" i="13" s="1"/>
  <c r="AB10" i="13"/>
  <c r="AC10" i="13" s="1"/>
  <c r="AB9" i="13"/>
  <c r="AC9" i="13" s="1"/>
  <c r="Z9" i="13"/>
  <c r="AB8" i="13"/>
  <c r="AC8" i="13" s="1"/>
  <c r="AB7" i="13"/>
  <c r="AC7" i="13" s="1"/>
  <c r="Z7" i="13"/>
  <c r="AJ52" i="12"/>
  <c r="AI52" i="12"/>
  <c r="AH52" i="12"/>
  <c r="AG52" i="12"/>
  <c r="AF52" i="12"/>
  <c r="AB50" i="12"/>
  <c r="Y50" i="12"/>
  <c r="S50" i="12"/>
  <c r="U50" i="12" s="1"/>
  <c r="AB49" i="12"/>
  <c r="Y49" i="12"/>
  <c r="Z49" i="12" s="1"/>
  <c r="S49" i="12"/>
  <c r="U49" i="12" s="1"/>
  <c r="AB48" i="12"/>
  <c r="Y48" i="12"/>
  <c r="S48" i="12"/>
  <c r="U48" i="12" s="1"/>
  <c r="AB47" i="12"/>
  <c r="Y47" i="12"/>
  <c r="S47" i="12"/>
  <c r="U47" i="12" s="1"/>
  <c r="AB46" i="12"/>
  <c r="Y46" i="12"/>
  <c r="Z46" i="12" s="1"/>
  <c r="S46" i="12"/>
  <c r="U46" i="12" s="1"/>
  <c r="AB45" i="12"/>
  <c r="Y45" i="12"/>
  <c r="Z45" i="12" s="1"/>
  <c r="S45" i="12"/>
  <c r="U45" i="12" s="1"/>
  <c r="AB44" i="12"/>
  <c r="Y44" i="12"/>
  <c r="S44" i="12"/>
  <c r="U44" i="12" s="1"/>
  <c r="AB43" i="12"/>
  <c r="Y43" i="12"/>
  <c r="S43" i="12"/>
  <c r="U43" i="12" s="1"/>
  <c r="AB42" i="12"/>
  <c r="Y42" i="12"/>
  <c r="S42" i="12"/>
  <c r="U42" i="12" s="1"/>
  <c r="AB41" i="12"/>
  <c r="Z41" i="12"/>
  <c r="AB40" i="12"/>
  <c r="Y40" i="12"/>
  <c r="S40" i="12"/>
  <c r="U40" i="12" s="1"/>
  <c r="AB39" i="12"/>
  <c r="Y39" i="12"/>
  <c r="S39" i="12"/>
  <c r="U39" i="12" s="1"/>
  <c r="AB38" i="12"/>
  <c r="AC38" i="12" s="1"/>
  <c r="Z38" i="12"/>
  <c r="AB37" i="12"/>
  <c r="Y37" i="12"/>
  <c r="Z37" i="12" s="1"/>
  <c r="S37" i="12"/>
  <c r="U37" i="12" s="1"/>
  <c r="AB36" i="12"/>
  <c r="Y36" i="12"/>
  <c r="S36" i="12"/>
  <c r="U36" i="12" s="1"/>
  <c r="AB35" i="12"/>
  <c r="AB34" i="12"/>
  <c r="AC34" i="12" s="1"/>
  <c r="AB32" i="12"/>
  <c r="Y32" i="12"/>
  <c r="S32" i="12"/>
  <c r="U32" i="12" s="1"/>
  <c r="AB31" i="12"/>
  <c r="Y31" i="12"/>
  <c r="S31" i="12"/>
  <c r="U31" i="12" s="1"/>
  <c r="AB30" i="12"/>
  <c r="AC30" i="12" s="1"/>
  <c r="AB29" i="12"/>
  <c r="AC29" i="12" s="1"/>
  <c r="Z29" i="12"/>
  <c r="AB28" i="12"/>
  <c r="AC28" i="12" s="1"/>
  <c r="Z28" i="12"/>
  <c r="AB27" i="12"/>
  <c r="AC27" i="12" s="1"/>
  <c r="Z27" i="12"/>
  <c r="AB26" i="12"/>
  <c r="Y26" i="12"/>
  <c r="S26" i="12"/>
  <c r="U26" i="12" s="1"/>
  <c r="AB25" i="12"/>
  <c r="Y25" i="12"/>
  <c r="Z25" i="12" s="1"/>
  <c r="S25" i="12"/>
  <c r="U25" i="12" s="1"/>
  <c r="AC24" i="12"/>
  <c r="AB24" i="12"/>
  <c r="Z24" i="12"/>
  <c r="AB23" i="12"/>
  <c r="AC23" i="12" s="1"/>
  <c r="Z23" i="12"/>
  <c r="AB22" i="12"/>
  <c r="AC22" i="12" s="1"/>
  <c r="AB21" i="12"/>
  <c r="AC21" i="12" s="1"/>
  <c r="Z21" i="12"/>
  <c r="AC20" i="12"/>
  <c r="AB20" i="12"/>
  <c r="Z20" i="12"/>
  <c r="AB19" i="12"/>
  <c r="AC19" i="12" s="1"/>
  <c r="Z19" i="12"/>
  <c r="AB18" i="12"/>
  <c r="AC18" i="12" s="1"/>
  <c r="AB17" i="12"/>
  <c r="Z17" i="12"/>
  <c r="AC17" i="12"/>
  <c r="AB16" i="12"/>
  <c r="AC16" i="12" s="1"/>
  <c r="Z16" i="12"/>
  <c r="AB15" i="12"/>
  <c r="AC15" i="12" s="1"/>
  <c r="Z15" i="12"/>
  <c r="AB14" i="12"/>
  <c r="AC14" i="12" s="1"/>
  <c r="AB13" i="12"/>
  <c r="AC13" i="12" s="1"/>
  <c r="Z13" i="12"/>
  <c r="AB12" i="12"/>
  <c r="AC12" i="12" s="1"/>
  <c r="Z12" i="12"/>
  <c r="Z54" i="12" s="1"/>
  <c r="AB11" i="12"/>
  <c r="Y11" i="12"/>
  <c r="S11" i="12"/>
  <c r="U11" i="12" s="1"/>
  <c r="AB10" i="12"/>
  <c r="AC10" i="12" s="1"/>
  <c r="AB9" i="12"/>
  <c r="AC9" i="12" s="1"/>
  <c r="Z9" i="12"/>
  <c r="Z55" i="12" s="1"/>
  <c r="AB8" i="12"/>
  <c r="AC8" i="12" s="1"/>
  <c r="Z8" i="12"/>
  <c r="AB7" i="12"/>
  <c r="AC7" i="12" s="1"/>
  <c r="Z7" i="12"/>
  <c r="AJ43" i="11"/>
  <c r="AI43" i="11"/>
  <c r="AH43" i="11"/>
  <c r="AG43" i="11"/>
  <c r="AF43" i="11"/>
  <c r="AB41" i="11"/>
  <c r="Y41" i="11"/>
  <c r="S41" i="11"/>
  <c r="U41" i="11" s="1"/>
  <c r="AB40" i="11"/>
  <c r="Y40" i="11"/>
  <c r="S40" i="11"/>
  <c r="U40" i="11" s="1"/>
  <c r="AB39" i="11"/>
  <c r="S39" i="11"/>
  <c r="U39" i="11" s="1"/>
  <c r="AB38" i="11"/>
  <c r="Y38" i="11"/>
  <c r="S38" i="11"/>
  <c r="U38" i="11" s="1"/>
  <c r="AB37" i="11"/>
  <c r="Y37" i="11"/>
  <c r="S37" i="11"/>
  <c r="U37" i="11" s="1"/>
  <c r="AB36" i="11"/>
  <c r="AB35" i="11"/>
  <c r="Y35" i="11"/>
  <c r="S35" i="11"/>
  <c r="U35" i="11" s="1"/>
  <c r="AB33" i="11"/>
  <c r="Y33" i="11"/>
  <c r="Z33" i="11" s="1"/>
  <c r="S33" i="11"/>
  <c r="U33" i="11" s="1"/>
  <c r="AB32" i="11"/>
  <c r="AC32" i="11" s="1"/>
  <c r="S32" i="11"/>
  <c r="U32" i="11" s="1"/>
  <c r="AB28" i="11"/>
  <c r="Y28" i="11"/>
  <c r="S28" i="11"/>
  <c r="U28" i="11" s="1"/>
  <c r="AB27" i="11"/>
  <c r="Y27" i="11"/>
  <c r="S27" i="11"/>
  <c r="U27" i="11" s="1"/>
  <c r="AB26" i="11"/>
  <c r="Y26" i="11"/>
  <c r="Z26" i="11" s="1"/>
  <c r="S26" i="11"/>
  <c r="U26" i="11" s="1"/>
  <c r="AB25" i="11"/>
  <c r="Y25" i="11"/>
  <c r="S25" i="11"/>
  <c r="U25" i="11" s="1"/>
  <c r="AB24" i="11"/>
  <c r="Y24" i="11"/>
  <c r="S24" i="11"/>
  <c r="U24" i="11" s="1"/>
  <c r="AB23" i="11"/>
  <c r="Y23" i="11"/>
  <c r="Z23" i="11" s="1"/>
  <c r="S23" i="11"/>
  <c r="U23" i="11" s="1"/>
  <c r="AB22" i="11"/>
  <c r="AC22" i="11" s="1"/>
  <c r="Z22" i="11"/>
  <c r="AB21" i="11"/>
  <c r="AC21" i="11" s="1"/>
  <c r="AB20" i="11"/>
  <c r="AC20" i="11" s="1"/>
  <c r="AB19" i="11"/>
  <c r="AC19" i="11" s="1"/>
  <c r="Z19" i="11"/>
  <c r="AB18" i="11"/>
  <c r="AC18" i="11" s="1"/>
  <c r="Z18" i="11"/>
  <c r="AB17" i="11"/>
  <c r="AC17" i="11" s="1"/>
  <c r="AB16" i="11"/>
  <c r="AC16" i="11" s="1"/>
  <c r="AB15" i="11"/>
  <c r="AC15" i="11" s="1"/>
  <c r="AB14" i="11"/>
  <c r="Z14" i="11"/>
  <c r="AB13" i="11"/>
  <c r="AC13" i="11" s="1"/>
  <c r="AB12" i="11"/>
  <c r="AC12" i="11" s="1"/>
  <c r="AB11" i="11"/>
  <c r="AC11" i="11" s="1"/>
  <c r="AB10" i="11"/>
  <c r="Z10" i="11"/>
  <c r="AB9" i="11"/>
  <c r="AC9" i="11" s="1"/>
  <c r="AB8" i="11"/>
  <c r="AC8" i="11" s="1"/>
  <c r="AB7" i="11"/>
  <c r="AC7" i="11" s="1"/>
  <c r="AJ66" i="10"/>
  <c r="AI66" i="10"/>
  <c r="AH66" i="10"/>
  <c r="AG66" i="10"/>
  <c r="AF66" i="10"/>
  <c r="AB64" i="10"/>
  <c r="Y64" i="10"/>
  <c r="Z64" i="10" s="1"/>
  <c r="S64" i="10"/>
  <c r="U64" i="10" s="1"/>
  <c r="AB63" i="10"/>
  <c r="Y63" i="10"/>
  <c r="Z63" i="10" s="1"/>
  <c r="S63" i="10"/>
  <c r="U63" i="10" s="1"/>
  <c r="AB62" i="10"/>
  <c r="Y62" i="10"/>
  <c r="S62" i="10"/>
  <c r="U62" i="10" s="1"/>
  <c r="AB61" i="10"/>
  <c r="Y61" i="10"/>
  <c r="S61" i="10"/>
  <c r="U61" i="10" s="1"/>
  <c r="AB60" i="10"/>
  <c r="Y60" i="10"/>
  <c r="S60" i="10"/>
  <c r="U60" i="10" s="1"/>
  <c r="AB59" i="10"/>
  <c r="Y59" i="10"/>
  <c r="Z59" i="10" s="1"/>
  <c r="S59" i="10"/>
  <c r="U59" i="10" s="1"/>
  <c r="AB58" i="10"/>
  <c r="AB57" i="10"/>
  <c r="Z57" i="10"/>
  <c r="AB51" i="10"/>
  <c r="AB50" i="10"/>
  <c r="Z50" i="10"/>
  <c r="AB49" i="10"/>
  <c r="Y49" i="10"/>
  <c r="S49" i="10"/>
  <c r="U49" i="10" s="1"/>
  <c r="AB48" i="10"/>
  <c r="Y48" i="10"/>
  <c r="S48" i="10"/>
  <c r="U48" i="10" s="1"/>
  <c r="AB47" i="10"/>
  <c r="AC47" i="10" s="1"/>
  <c r="Z47" i="10"/>
  <c r="AB46" i="10"/>
  <c r="AC46" i="10" s="1"/>
  <c r="Z46" i="10"/>
  <c r="AB45" i="10"/>
  <c r="Z45" i="10"/>
  <c r="AB44" i="10"/>
  <c r="Y44" i="10"/>
  <c r="S44" i="10"/>
  <c r="U44" i="10" s="1"/>
  <c r="AB43" i="10"/>
  <c r="Y43" i="10"/>
  <c r="AB42" i="10"/>
  <c r="Z42" i="10"/>
  <c r="AB41" i="10"/>
  <c r="Y41" i="10"/>
  <c r="Z41" i="10" s="1"/>
  <c r="AB40" i="10"/>
  <c r="Y40" i="10"/>
  <c r="S40" i="10"/>
  <c r="U40" i="10" s="1"/>
  <c r="AB39" i="10"/>
  <c r="Y39" i="10"/>
  <c r="S39" i="10"/>
  <c r="U39" i="10" s="1"/>
  <c r="AB38" i="10"/>
  <c r="AB37" i="10"/>
  <c r="Y37" i="10"/>
  <c r="Z37" i="10" s="1"/>
  <c r="S37" i="10"/>
  <c r="U37" i="10" s="1"/>
  <c r="AB36" i="10"/>
  <c r="Y36" i="10"/>
  <c r="Z36" i="10" s="1"/>
  <c r="S36" i="10"/>
  <c r="U36" i="10" s="1"/>
  <c r="AB35" i="10"/>
  <c r="AC35" i="10" s="1"/>
  <c r="Z35" i="10"/>
  <c r="AB34" i="10"/>
  <c r="Z34" i="10"/>
  <c r="AB33" i="10"/>
  <c r="Y33" i="10"/>
  <c r="S33" i="10"/>
  <c r="U33" i="10" s="1"/>
  <c r="AB32" i="10"/>
  <c r="Y32" i="10"/>
  <c r="S32" i="10"/>
  <c r="U32" i="10" s="1"/>
  <c r="AB31" i="10"/>
  <c r="AB30" i="10"/>
  <c r="Z30" i="10"/>
  <c r="AB29" i="10"/>
  <c r="Y29" i="10"/>
  <c r="S29" i="10"/>
  <c r="U29" i="10" s="1"/>
  <c r="AB28" i="10"/>
  <c r="Y28" i="10"/>
  <c r="S28" i="10"/>
  <c r="U28" i="10" s="1"/>
  <c r="AB27" i="10"/>
  <c r="AB26" i="10"/>
  <c r="Z26" i="10"/>
  <c r="AB25" i="10"/>
  <c r="Y25" i="10"/>
  <c r="S25" i="10"/>
  <c r="U25" i="10" s="1"/>
  <c r="AB24" i="10"/>
  <c r="Y24" i="10"/>
  <c r="S24" i="10"/>
  <c r="U24" i="10" s="1"/>
  <c r="AB23" i="10"/>
  <c r="AB22" i="10"/>
  <c r="Z22" i="10"/>
  <c r="AB21" i="10"/>
  <c r="AC21" i="10" s="1"/>
  <c r="Z21" i="10"/>
  <c r="AB20" i="10"/>
  <c r="AC20" i="10" s="1"/>
  <c r="AB19" i="10"/>
  <c r="AB18" i="10"/>
  <c r="Z18" i="10"/>
  <c r="AB17" i="10"/>
  <c r="AC17" i="10" s="1"/>
  <c r="Z17" i="10"/>
  <c r="AB16" i="10"/>
  <c r="AC16" i="10" s="1"/>
  <c r="AB15" i="10"/>
  <c r="AB14" i="10"/>
  <c r="Z14" i="10"/>
  <c r="AB13" i="10"/>
  <c r="AC13" i="10" s="1"/>
  <c r="Z13" i="10"/>
  <c r="AB12" i="10"/>
  <c r="AC12" i="10" s="1"/>
  <c r="AB11" i="10"/>
  <c r="AB10" i="10"/>
  <c r="Z10" i="10"/>
  <c r="AB9" i="10"/>
  <c r="AC9" i="10" s="1"/>
  <c r="Z9" i="10"/>
  <c r="AB8" i="10"/>
  <c r="AC8" i="10" s="1"/>
  <c r="AB7" i="10"/>
  <c r="AJ58" i="9"/>
  <c r="AI58" i="9"/>
  <c r="AH58" i="9"/>
  <c r="AG58" i="9"/>
  <c r="AF58" i="9"/>
  <c r="AB56" i="9"/>
  <c r="AB55" i="9"/>
  <c r="AB54" i="9"/>
  <c r="Z54" i="9"/>
  <c r="AB53" i="9"/>
  <c r="AB52" i="9"/>
  <c r="AB51" i="9"/>
  <c r="AB43" i="9"/>
  <c r="Z43" i="9"/>
  <c r="AB42" i="9"/>
  <c r="AB41" i="9"/>
  <c r="Y41" i="9"/>
  <c r="S41" i="9"/>
  <c r="U41" i="9" s="1"/>
  <c r="AB40" i="9"/>
  <c r="Y40" i="9"/>
  <c r="Z40" i="9" s="1"/>
  <c r="S40" i="9"/>
  <c r="U40" i="9" s="1"/>
  <c r="AB39" i="9"/>
  <c r="AC39" i="9" s="1"/>
  <c r="Z39" i="9"/>
  <c r="AB38" i="9"/>
  <c r="AB37" i="9"/>
  <c r="Z37" i="9"/>
  <c r="AB36" i="9"/>
  <c r="AC36" i="9" s="1"/>
  <c r="Z36" i="9"/>
  <c r="AB35" i="9"/>
  <c r="AB34" i="9"/>
  <c r="AB33" i="9"/>
  <c r="Y33" i="9"/>
  <c r="S33" i="9"/>
  <c r="U33" i="9" s="1"/>
  <c r="AB32" i="9"/>
  <c r="Y32" i="9"/>
  <c r="S32" i="9"/>
  <c r="U32" i="9" s="1"/>
  <c r="AB31" i="9"/>
  <c r="Y31" i="9"/>
  <c r="Z31" i="9" s="1"/>
  <c r="S31" i="9"/>
  <c r="U31" i="9" s="1"/>
  <c r="AB30" i="9"/>
  <c r="Z30" i="9"/>
  <c r="AB29" i="9"/>
  <c r="Y29" i="9"/>
  <c r="S29" i="9"/>
  <c r="U29" i="9" s="1"/>
  <c r="AB28" i="9"/>
  <c r="Y28" i="9"/>
  <c r="S28" i="9"/>
  <c r="U28" i="9" s="1"/>
  <c r="AB27" i="9"/>
  <c r="AC27" i="9" s="1"/>
  <c r="Z27" i="9"/>
  <c r="AB26" i="9"/>
  <c r="AC26" i="9" s="1"/>
  <c r="Z26" i="9"/>
  <c r="AB25" i="9"/>
  <c r="AB24" i="9"/>
  <c r="AC24" i="9"/>
  <c r="AB23" i="9"/>
  <c r="AC23" i="9" s="1"/>
  <c r="Z23" i="9"/>
  <c r="AB22" i="9"/>
  <c r="AC22" i="9" s="1"/>
  <c r="Z22" i="9"/>
  <c r="AB21" i="9"/>
  <c r="AB20" i="9"/>
  <c r="AB19" i="9"/>
  <c r="AC19" i="9" s="1"/>
  <c r="Z19" i="9"/>
  <c r="AB18" i="9"/>
  <c r="AC18" i="9" s="1"/>
  <c r="Z18" i="9"/>
  <c r="AB17" i="9"/>
  <c r="AB16" i="9"/>
  <c r="AC16" i="9" s="1"/>
  <c r="AB15" i="9"/>
  <c r="AC15" i="9" s="1"/>
  <c r="Z15" i="9"/>
  <c r="AB14" i="9"/>
  <c r="Z14" i="9"/>
  <c r="AB13" i="9"/>
  <c r="AB12" i="9"/>
  <c r="Y12" i="9"/>
  <c r="S12" i="9"/>
  <c r="U12" i="9" s="1"/>
  <c r="AB11" i="9"/>
  <c r="AB10" i="9"/>
  <c r="Z10" i="9"/>
  <c r="AB9" i="9"/>
  <c r="AB8" i="9"/>
  <c r="AB7" i="9"/>
  <c r="Z7" i="9"/>
  <c r="AJ51" i="8"/>
  <c r="AI51" i="8"/>
  <c r="AH51" i="8"/>
  <c r="AG51" i="8"/>
  <c r="AF51" i="8"/>
  <c r="AB49" i="8"/>
  <c r="Y49" i="8"/>
  <c r="S49" i="8"/>
  <c r="U49" i="8" s="1"/>
  <c r="AB48" i="8"/>
  <c r="Y48" i="8"/>
  <c r="Z48" i="8" s="1"/>
  <c r="S48" i="8"/>
  <c r="U48" i="8" s="1"/>
  <c r="AB47" i="8"/>
  <c r="Y47" i="8"/>
  <c r="Z47" i="8" s="1"/>
  <c r="S47" i="8"/>
  <c r="U47" i="8" s="1"/>
  <c r="AB46" i="8"/>
  <c r="AB45" i="8"/>
  <c r="Z45" i="8"/>
  <c r="AB44" i="8"/>
  <c r="Y44" i="8"/>
  <c r="S44" i="8"/>
  <c r="U44" i="8" s="1"/>
  <c r="AB43" i="8"/>
  <c r="AC43" i="8" s="1"/>
  <c r="Y43" i="8"/>
  <c r="Z43" i="8" s="1"/>
  <c r="S43" i="8"/>
  <c r="U43" i="8" s="1"/>
  <c r="AB42" i="8"/>
  <c r="AB41" i="8"/>
  <c r="Z41" i="8"/>
  <c r="AB40" i="8"/>
  <c r="AB39" i="8"/>
  <c r="AB38" i="8"/>
  <c r="AB37" i="8"/>
  <c r="Y37" i="8"/>
  <c r="S37" i="8"/>
  <c r="U37" i="8" s="1"/>
  <c r="AB36" i="8"/>
  <c r="Y36" i="8"/>
  <c r="AC36" i="8" s="1"/>
  <c r="S36" i="8"/>
  <c r="U36" i="8" s="1"/>
  <c r="AB35" i="8"/>
  <c r="AC35" i="8" s="1"/>
  <c r="Y35" i="8"/>
  <c r="Z35" i="8" s="1"/>
  <c r="U35" i="8"/>
  <c r="S35" i="8"/>
  <c r="AB34" i="8"/>
  <c r="Y34" i="8"/>
  <c r="U34" i="8"/>
  <c r="S34" i="8"/>
  <c r="AB33" i="8"/>
  <c r="Y33" i="8"/>
  <c r="S33" i="8"/>
  <c r="U33" i="8" s="1"/>
  <c r="AB32" i="8"/>
  <c r="Y32" i="8"/>
  <c r="Z32" i="8" s="1"/>
  <c r="S32" i="8"/>
  <c r="U32" i="8" s="1"/>
  <c r="AB31" i="8"/>
  <c r="AC31" i="8" s="1"/>
  <c r="AB30" i="8"/>
  <c r="AC30" i="8" s="1"/>
  <c r="Z30" i="8"/>
  <c r="AB29" i="8"/>
  <c r="AC29" i="8" s="1"/>
  <c r="Z29" i="8"/>
  <c r="Y29" i="8"/>
  <c r="S29" i="8"/>
  <c r="U29" i="8" s="1"/>
  <c r="AB28" i="8"/>
  <c r="Y28" i="8"/>
  <c r="Z28" i="8" s="1"/>
  <c r="S28" i="8"/>
  <c r="U28" i="8" s="1"/>
  <c r="AB27" i="8"/>
  <c r="Y27" i="8"/>
  <c r="X27" i="8"/>
  <c r="U27" i="8"/>
  <c r="S27" i="8"/>
  <c r="AB26" i="8"/>
  <c r="AC26" i="8"/>
  <c r="AB25" i="8"/>
  <c r="AC25" i="8" s="1"/>
  <c r="Y25" i="8"/>
  <c r="Z25" i="8" s="1"/>
  <c r="S25" i="8"/>
  <c r="U25" i="8" s="1"/>
  <c r="AB24" i="8"/>
  <c r="Y24" i="8"/>
  <c r="Z24" i="8" s="1"/>
  <c r="S24" i="8"/>
  <c r="U24" i="8" s="1"/>
  <c r="AB23" i="8"/>
  <c r="Y23" i="8"/>
  <c r="AC23" i="8" s="1"/>
  <c r="U23" i="8"/>
  <c r="S23" i="8"/>
  <c r="AB22" i="8"/>
  <c r="Z22" i="8"/>
  <c r="AB21" i="8"/>
  <c r="Y21" i="8"/>
  <c r="AC21" i="8" s="1"/>
  <c r="S21" i="8"/>
  <c r="U21" i="8" s="1"/>
  <c r="AB20" i="8"/>
  <c r="Y20" i="8"/>
  <c r="Z20" i="8" s="1"/>
  <c r="S20" i="8"/>
  <c r="U20" i="8" s="1"/>
  <c r="AB19" i="8"/>
  <c r="AC19" i="8"/>
  <c r="AB18" i="8"/>
  <c r="AB17" i="8"/>
  <c r="AC17" i="8" s="1"/>
  <c r="Z17" i="8"/>
  <c r="AB16" i="8"/>
  <c r="AC16" i="8" s="1"/>
  <c r="Z16" i="8"/>
  <c r="AB15" i="8"/>
  <c r="AC15" i="8" s="1"/>
  <c r="AB14" i="8"/>
  <c r="AC14" i="8" s="1"/>
  <c r="Z14" i="8"/>
  <c r="AB13" i="8"/>
  <c r="AB12" i="8"/>
  <c r="Z12" i="8"/>
  <c r="AB11" i="8"/>
  <c r="AC11" i="8" s="1"/>
  <c r="AB10" i="8"/>
  <c r="AB9" i="8"/>
  <c r="AC9" i="8" s="1"/>
  <c r="Z9" i="8"/>
  <c r="AB8" i="8"/>
  <c r="Z8" i="8"/>
  <c r="AB7" i="8"/>
  <c r="AJ51" i="7"/>
  <c r="AI51" i="7"/>
  <c r="AH51" i="7"/>
  <c r="AG51" i="7"/>
  <c r="AF51" i="7"/>
  <c r="AB49" i="7"/>
  <c r="Y49" i="7"/>
  <c r="Z49" i="7" s="1"/>
  <c r="S49" i="7"/>
  <c r="U49" i="7" s="1"/>
  <c r="AB48" i="7"/>
  <c r="Y48" i="7"/>
  <c r="S48" i="7"/>
  <c r="U48" i="7" s="1"/>
  <c r="AB47" i="7"/>
  <c r="Y47" i="7"/>
  <c r="S47" i="7"/>
  <c r="U47" i="7" s="1"/>
  <c r="AB46" i="7"/>
  <c r="Y46" i="7"/>
  <c r="S46" i="7"/>
  <c r="U46" i="7" s="1"/>
  <c r="AB45" i="7"/>
  <c r="Y45" i="7"/>
  <c r="S45" i="7"/>
  <c r="U45" i="7" s="1"/>
  <c r="AB44" i="7"/>
  <c r="Y44" i="7"/>
  <c r="Z44" i="7" s="1"/>
  <c r="S44" i="7"/>
  <c r="U44" i="7" s="1"/>
  <c r="AB43" i="7"/>
  <c r="Y43" i="7"/>
  <c r="S43" i="7"/>
  <c r="U43" i="7" s="1"/>
  <c r="AB42" i="7"/>
  <c r="AB41" i="7"/>
  <c r="AC41" i="7"/>
  <c r="AB40" i="7"/>
  <c r="Y40" i="7"/>
  <c r="Z40" i="7" s="1"/>
  <c r="S40" i="7"/>
  <c r="U40" i="7" s="1"/>
  <c r="AB39" i="7"/>
  <c r="Y39" i="7"/>
  <c r="S39" i="7"/>
  <c r="U39" i="7" s="1"/>
  <c r="AB38" i="7"/>
  <c r="AB37" i="7"/>
  <c r="Z37" i="7"/>
  <c r="AB36" i="7"/>
  <c r="Z36" i="7"/>
  <c r="AB35" i="7"/>
  <c r="AB34" i="7"/>
  <c r="Z34" i="7"/>
  <c r="AB33" i="7"/>
  <c r="Y33" i="7"/>
  <c r="AC33" i="7" s="1"/>
  <c r="S33" i="7"/>
  <c r="U33" i="7" s="1"/>
  <c r="AB32" i="7"/>
  <c r="Y32" i="7"/>
  <c r="Z32" i="7" s="1"/>
  <c r="S32" i="7"/>
  <c r="U32" i="7" s="1"/>
  <c r="AB31" i="7"/>
  <c r="AC31" i="7" s="1"/>
  <c r="Z31" i="7"/>
  <c r="AB30" i="7"/>
  <c r="AC30" i="7" s="1"/>
  <c r="AB29" i="7"/>
  <c r="AB28" i="7"/>
  <c r="Y28" i="7"/>
  <c r="Z28" i="7" s="1"/>
  <c r="S28" i="7"/>
  <c r="U28" i="7" s="1"/>
  <c r="AB27" i="7"/>
  <c r="AC27" i="7" s="1"/>
  <c r="Y27" i="7"/>
  <c r="Z27" i="7" s="1"/>
  <c r="S27" i="7"/>
  <c r="U27" i="7" s="1"/>
  <c r="AB26" i="7"/>
  <c r="AC26" i="7"/>
  <c r="S26" i="7"/>
  <c r="U26" i="7" s="1"/>
  <c r="AB25" i="7"/>
  <c r="Y25" i="7"/>
  <c r="X25" i="7"/>
  <c r="S25" i="7"/>
  <c r="U25" i="7" s="1"/>
  <c r="AB24" i="7"/>
  <c r="Y24" i="7"/>
  <c r="Z24" i="7" s="1"/>
  <c r="S24" i="7"/>
  <c r="U24" i="7" s="1"/>
  <c r="AB23" i="7"/>
  <c r="Y23" i="7"/>
  <c r="Z23" i="7" s="1"/>
  <c r="S23" i="7"/>
  <c r="U23" i="7" s="1"/>
  <c r="AB22" i="7"/>
  <c r="S22" i="7"/>
  <c r="U22" i="7" s="1"/>
  <c r="AB21" i="7"/>
  <c r="Y21" i="7"/>
  <c r="S21" i="7"/>
  <c r="U21" i="7" s="1"/>
  <c r="AB20" i="7"/>
  <c r="Z20" i="7"/>
  <c r="Y20" i="7"/>
  <c r="S20" i="7"/>
  <c r="U20" i="7" s="1"/>
  <c r="AB19" i="7"/>
  <c r="AC19" i="7" s="1"/>
  <c r="Z19" i="7"/>
  <c r="AB18" i="7"/>
  <c r="AB17" i="7"/>
  <c r="AB16" i="7"/>
  <c r="Z16" i="7"/>
  <c r="AC16" i="7"/>
  <c r="AB15" i="7"/>
  <c r="AC15" i="7" s="1"/>
  <c r="Z15" i="7"/>
  <c r="AB14" i="7"/>
  <c r="AB13" i="7"/>
  <c r="AB12" i="7"/>
  <c r="AC12" i="7" s="1"/>
  <c r="AB11" i="7"/>
  <c r="AC11" i="7" s="1"/>
  <c r="Z11" i="7"/>
  <c r="AB10" i="7"/>
  <c r="AB9" i="7"/>
  <c r="AB8" i="7"/>
  <c r="AB7" i="7"/>
  <c r="AC7" i="7" s="1"/>
  <c r="Z7" i="7"/>
  <c r="S11" i="6"/>
  <c r="U11" i="6" s="1"/>
  <c r="Y11" i="6"/>
  <c r="Z11" i="6" s="1"/>
  <c r="AB11" i="6"/>
  <c r="S12" i="6"/>
  <c r="U12" i="6" s="1"/>
  <c r="Y12" i="6"/>
  <c r="Z12" i="6" s="1"/>
  <c r="AB12" i="6"/>
  <c r="S13" i="6"/>
  <c r="U13" i="6" s="1"/>
  <c r="Y13" i="6"/>
  <c r="Z13" i="6" s="1"/>
  <c r="AB13" i="6"/>
  <c r="S14" i="6"/>
  <c r="U14" i="6" s="1"/>
  <c r="Z14" i="6"/>
  <c r="AB14" i="6"/>
  <c r="S15" i="6"/>
  <c r="U15" i="6" s="1"/>
  <c r="Y15" i="6"/>
  <c r="Z15" i="6" s="1"/>
  <c r="AB15" i="6"/>
  <c r="S16" i="6"/>
  <c r="U16" i="6" s="1"/>
  <c r="Y16" i="6"/>
  <c r="AB16" i="6"/>
  <c r="S17" i="6"/>
  <c r="U17" i="6" s="1"/>
  <c r="Y17" i="6"/>
  <c r="Z17" i="6" s="1"/>
  <c r="AB17" i="6"/>
  <c r="S18" i="6"/>
  <c r="U18" i="6" s="1"/>
  <c r="Z18" i="6"/>
  <c r="AB18" i="6"/>
  <c r="S19" i="6"/>
  <c r="U19" i="6" s="1"/>
  <c r="Y19" i="6"/>
  <c r="AB19" i="6"/>
  <c r="S20" i="6"/>
  <c r="U20" i="6" s="1"/>
  <c r="Y20" i="6"/>
  <c r="Z20" i="6" s="1"/>
  <c r="AB20" i="6"/>
  <c r="S21" i="6"/>
  <c r="U21" i="6" s="1"/>
  <c r="Y21" i="6"/>
  <c r="Z21" i="6" s="1"/>
  <c r="AB21" i="6"/>
  <c r="S22" i="6"/>
  <c r="U22" i="6" s="1"/>
  <c r="Z22" i="6"/>
  <c r="AB22" i="6"/>
  <c r="S23" i="6"/>
  <c r="U23" i="6" s="1"/>
  <c r="Y23" i="6"/>
  <c r="Z23" i="6" s="1"/>
  <c r="AB23" i="6"/>
  <c r="S24" i="6"/>
  <c r="U24" i="6" s="1"/>
  <c r="Y24" i="6"/>
  <c r="AB24" i="6"/>
  <c r="S25" i="6"/>
  <c r="U25" i="6" s="1"/>
  <c r="Y25" i="6"/>
  <c r="Z25" i="6" s="1"/>
  <c r="AB25" i="6"/>
  <c r="S26" i="6"/>
  <c r="U26" i="6" s="1"/>
  <c r="Y26" i="6"/>
  <c r="Z26" i="6" s="1"/>
  <c r="AB26" i="6"/>
  <c r="S27" i="6"/>
  <c r="U27" i="6" s="1"/>
  <c r="Y27" i="6"/>
  <c r="Z27" i="6" s="1"/>
  <c r="AB27" i="6"/>
  <c r="S28" i="6"/>
  <c r="U28" i="6" s="1"/>
  <c r="Y28" i="6"/>
  <c r="Z28" i="6" s="1"/>
  <c r="AB28" i="6"/>
  <c r="S29" i="6"/>
  <c r="U29" i="6" s="1"/>
  <c r="Y29" i="6"/>
  <c r="Z29" i="6" s="1"/>
  <c r="AB29" i="6"/>
  <c r="Z30" i="6"/>
  <c r="AB30" i="6"/>
  <c r="S32" i="6"/>
  <c r="U32" i="6" s="1"/>
  <c r="Y32" i="6"/>
  <c r="Z32" i="6" s="1"/>
  <c r="AB32" i="6"/>
  <c r="Z33" i="6"/>
  <c r="AB33" i="6"/>
  <c r="S34" i="6"/>
  <c r="U34" i="6" s="1"/>
  <c r="Y34" i="6"/>
  <c r="Z34" i="6" s="1"/>
  <c r="AB34" i="6"/>
  <c r="S35" i="6"/>
  <c r="U35" i="6" s="1"/>
  <c r="Y35" i="6"/>
  <c r="Z35" i="6" s="1"/>
  <c r="AB35" i="6"/>
  <c r="Z36" i="6"/>
  <c r="AB36" i="6"/>
  <c r="S37" i="6"/>
  <c r="U37" i="6" s="1"/>
  <c r="Z37" i="6"/>
  <c r="AB37" i="6"/>
  <c r="S38" i="6"/>
  <c r="U38" i="6" s="1"/>
  <c r="Y38" i="6"/>
  <c r="Z38" i="6" s="1"/>
  <c r="AB38" i="6"/>
  <c r="S39" i="6"/>
  <c r="U39" i="6" s="1"/>
  <c r="Y39" i="6"/>
  <c r="Z39" i="6" s="1"/>
  <c r="AB39" i="6"/>
  <c r="S40" i="6"/>
  <c r="U40" i="6" s="1"/>
  <c r="Y40" i="6"/>
  <c r="AB40" i="6"/>
  <c r="S41" i="6"/>
  <c r="U41" i="6" s="1"/>
  <c r="Y41" i="6"/>
  <c r="Z41" i="6" s="1"/>
  <c r="AB41" i="6"/>
  <c r="S42" i="6"/>
  <c r="U42" i="6" s="1"/>
  <c r="Y42" i="6"/>
  <c r="Z42" i="6" s="1"/>
  <c r="AB42" i="6"/>
  <c r="S43" i="6"/>
  <c r="U43" i="6" s="1"/>
  <c r="Y43" i="6"/>
  <c r="Z43" i="6" s="1"/>
  <c r="AB43" i="6"/>
  <c r="S44" i="6"/>
  <c r="U44" i="6" s="1"/>
  <c r="Y44" i="6"/>
  <c r="Z44" i="6" s="1"/>
  <c r="AB44" i="6"/>
  <c r="S45" i="6"/>
  <c r="U45" i="6" s="1"/>
  <c r="Y45" i="6"/>
  <c r="AB45" i="6"/>
  <c r="S46" i="6"/>
  <c r="U46" i="6" s="1"/>
  <c r="Y46" i="6"/>
  <c r="Z46" i="6" s="1"/>
  <c r="AB46" i="6"/>
  <c r="S47" i="6"/>
  <c r="U47" i="6" s="1"/>
  <c r="Y47" i="6"/>
  <c r="Z47" i="6" s="1"/>
  <c r="AB47" i="6"/>
  <c r="S48" i="6"/>
  <c r="U48" i="6" s="1"/>
  <c r="Y48" i="6"/>
  <c r="Z48" i="6" s="1"/>
  <c r="AB48" i="6"/>
  <c r="S49" i="6"/>
  <c r="U49" i="6" s="1"/>
  <c r="AB49" i="6"/>
  <c r="Z8" i="6"/>
  <c r="AB8" i="6"/>
  <c r="S9" i="6"/>
  <c r="U9" i="6" s="1"/>
  <c r="Y9" i="6"/>
  <c r="AB9" i="6"/>
  <c r="AB10" i="6"/>
  <c r="AC44" i="17" l="1"/>
  <c r="AD40" i="15"/>
  <c r="AE40" i="15" s="1"/>
  <c r="AC47" i="14"/>
  <c r="AC50" i="14"/>
  <c r="AC53" i="14"/>
  <c r="AD37" i="14"/>
  <c r="AE37" i="14" s="1"/>
  <c r="AC29" i="14"/>
  <c r="AC36" i="14"/>
  <c r="AC11" i="13"/>
  <c r="AC28" i="13"/>
  <c r="AD21" i="12"/>
  <c r="AE21" i="12" s="1"/>
  <c r="AD13" i="20"/>
  <c r="AE13" i="20" s="1"/>
  <c r="AC23" i="29"/>
  <c r="AC28" i="29"/>
  <c r="AC37" i="29"/>
  <c r="AC73" i="29"/>
  <c r="AC99" i="29"/>
  <c r="AC41" i="30"/>
  <c r="AC69" i="30"/>
  <c r="AC83" i="30"/>
  <c r="AC16" i="31"/>
  <c r="AC21" i="31"/>
  <c r="AC29" i="31"/>
  <c r="AC32" i="31"/>
  <c r="AC62" i="32"/>
  <c r="AC57" i="33"/>
  <c r="AC89" i="33"/>
  <c r="AC12" i="8"/>
  <c r="AC45" i="31"/>
  <c r="AC65" i="31"/>
  <c r="AC87" i="31"/>
  <c r="AC8" i="32"/>
  <c r="AC12" i="32"/>
  <c r="AC16" i="32"/>
  <c r="AC20" i="32"/>
  <c r="AC24" i="32"/>
  <c r="AD24" i="32" s="1"/>
  <c r="AE24" i="32" s="1"/>
  <c r="AC28" i="32"/>
  <c r="AC7" i="33"/>
  <c r="AC10" i="33"/>
  <c r="AC23" i="33"/>
  <c r="AC26" i="33"/>
  <c r="AC42" i="33"/>
  <c r="AC94" i="33"/>
  <c r="AC13" i="34"/>
  <c r="AC18" i="34"/>
  <c r="AC23" i="34"/>
  <c r="AC37" i="34"/>
  <c r="AC57" i="34"/>
  <c r="AC61" i="34"/>
  <c r="AC70" i="34"/>
  <c r="AC86" i="34"/>
  <c r="AC89" i="34"/>
  <c r="AC94" i="34"/>
  <c r="AC10" i="35"/>
  <c r="AC17" i="35"/>
  <c r="AC26" i="35"/>
  <c r="AC38" i="35"/>
  <c r="AC54" i="35"/>
  <c r="AC70" i="35"/>
  <c r="AC86" i="35"/>
  <c r="AD30" i="11"/>
  <c r="AE30" i="11" s="1"/>
  <c r="AC48" i="19"/>
  <c r="AC33" i="24"/>
  <c r="AC39" i="24"/>
  <c r="AC7" i="29"/>
  <c r="AC12" i="29"/>
  <c r="AC11" i="30"/>
  <c r="AC16" i="30"/>
  <c r="AC53" i="30"/>
  <c r="AC89" i="30"/>
  <c r="AC94" i="30"/>
  <c r="AC53" i="31"/>
  <c r="AC91" i="31"/>
  <c r="AC36" i="32"/>
  <c r="AC46" i="32"/>
  <c r="AC78" i="32"/>
  <c r="AC41" i="33"/>
  <c r="AC17" i="34"/>
  <c r="AC85" i="34"/>
  <c r="AC7" i="35"/>
  <c r="AC23" i="35"/>
  <c r="AC44" i="35"/>
  <c r="AC8" i="7"/>
  <c r="AC44" i="8"/>
  <c r="AC11" i="20"/>
  <c r="AC12" i="31"/>
  <c r="AC17" i="31"/>
  <c r="AC33" i="31"/>
  <c r="AC77" i="31"/>
  <c r="AC93" i="31"/>
  <c r="AC15" i="33"/>
  <c r="AD15" i="33" s="1"/>
  <c r="AE15" i="33" s="1"/>
  <c r="AC18" i="33"/>
  <c r="AC31" i="33"/>
  <c r="AC58" i="33"/>
  <c r="AC82" i="33"/>
  <c r="AC90" i="33"/>
  <c r="AC93" i="33"/>
  <c r="AC98" i="33"/>
  <c r="AC7" i="34"/>
  <c r="AC29" i="34"/>
  <c r="AC38" i="34"/>
  <c r="AC58" i="34"/>
  <c r="AC69" i="34"/>
  <c r="AC98" i="34"/>
  <c r="AC9" i="35"/>
  <c r="AC18" i="35"/>
  <c r="AC25" i="35"/>
  <c r="AC30" i="19"/>
  <c r="AC31" i="29"/>
  <c r="AC97" i="29"/>
  <c r="AC8" i="30"/>
  <c r="AC24" i="30"/>
  <c r="AC33" i="30"/>
  <c r="AC86" i="30"/>
  <c r="AC91" i="30"/>
  <c r="AC24" i="31"/>
  <c r="AC81" i="31"/>
  <c r="AC50" i="32"/>
  <c r="AC82" i="32"/>
  <c r="AC53" i="33"/>
  <c r="AC73" i="33"/>
  <c r="AC95" i="33"/>
  <c r="AC9" i="34"/>
  <c r="AC14" i="34"/>
  <c r="AC19" i="34"/>
  <c r="AC90" i="34"/>
  <c r="AC95" i="34"/>
  <c r="AC11" i="35"/>
  <c r="AC27" i="35"/>
  <c r="AD34" i="11"/>
  <c r="AE34" i="11" s="1"/>
  <c r="Z54" i="18"/>
  <c r="AD20" i="12"/>
  <c r="AE20" i="12" s="1"/>
  <c r="X24" i="33"/>
  <c r="AD24" i="33" s="1"/>
  <c r="AE24" i="33" s="1"/>
  <c r="AD36" i="9"/>
  <c r="AE36" i="9" s="1"/>
  <c r="AD23" i="12"/>
  <c r="AE23" i="12" s="1"/>
  <c r="AD28" i="12"/>
  <c r="AE28" i="12" s="1"/>
  <c r="AD10" i="13"/>
  <c r="AE10" i="13" s="1"/>
  <c r="AD29" i="18"/>
  <c r="AE29" i="18" s="1"/>
  <c r="AD11" i="18"/>
  <c r="AE11" i="18" s="1"/>
  <c r="AD23" i="9"/>
  <c r="AE23" i="9" s="1"/>
  <c r="AD14" i="18"/>
  <c r="AE14" i="18" s="1"/>
  <c r="AD27" i="20"/>
  <c r="AE27" i="20" s="1"/>
  <c r="AD10" i="14"/>
  <c r="AE10" i="14" s="1"/>
  <c r="AD24" i="20"/>
  <c r="AE24" i="20" s="1"/>
  <c r="AD20" i="18"/>
  <c r="AE20" i="18" s="1"/>
  <c r="X94" i="32"/>
  <c r="AD94" i="32" s="1"/>
  <c r="AE94" i="32" s="1"/>
  <c r="X8" i="29"/>
  <c r="AD8" i="29" s="1"/>
  <c r="AE8" i="29" s="1"/>
  <c r="X41" i="29"/>
  <c r="AD41" i="29" s="1"/>
  <c r="AE41" i="29" s="1"/>
  <c r="X54" i="29"/>
  <c r="X56" i="29"/>
  <c r="X58" i="29"/>
  <c r="X60" i="29"/>
  <c r="X83" i="30"/>
  <c r="X86" i="32"/>
  <c r="X9" i="34"/>
  <c r="AD9" i="34" s="1"/>
  <c r="AE9" i="34" s="1"/>
  <c r="X14" i="34"/>
  <c r="AD14" i="34" s="1"/>
  <c r="AE14" i="34" s="1"/>
  <c r="X19" i="34"/>
  <c r="AD19" i="34" s="1"/>
  <c r="AE19" i="34" s="1"/>
  <c r="X62" i="34"/>
  <c r="X87" i="30"/>
  <c r="AC45" i="26"/>
  <c r="X45" i="26"/>
  <c r="AD45" i="26" s="1"/>
  <c r="AE45" i="26" s="1"/>
  <c r="Z40" i="26"/>
  <c r="AC47" i="26"/>
  <c r="X42" i="26"/>
  <c r="AC45" i="27"/>
  <c r="AC49" i="27"/>
  <c r="X42" i="27"/>
  <c r="Z45" i="27"/>
  <c r="X46" i="27"/>
  <c r="AC44" i="27"/>
  <c r="AC48" i="27"/>
  <c r="AC45" i="28"/>
  <c r="AC46" i="28"/>
  <c r="AC49" i="28"/>
  <c r="X50" i="28"/>
  <c r="AC40" i="25"/>
  <c r="AC25" i="10"/>
  <c r="AC57" i="10"/>
  <c r="AC29" i="10"/>
  <c r="AC28" i="10"/>
  <c r="Z25" i="10"/>
  <c r="AC43" i="10"/>
  <c r="AC61" i="10"/>
  <c r="Z29" i="10"/>
  <c r="AC32" i="10"/>
  <c r="AC40" i="10"/>
  <c r="AC41" i="9"/>
  <c r="AC32" i="9"/>
  <c r="AC30" i="9"/>
  <c r="X33" i="9"/>
  <c r="X55" i="19"/>
  <c r="AD12" i="20"/>
  <c r="AE12" i="20" s="1"/>
  <c r="X45" i="30"/>
  <c r="X56" i="30"/>
  <c r="AD30" i="15"/>
  <c r="AE30" i="15" s="1"/>
  <c r="AD11" i="28"/>
  <c r="AE11" i="28" s="1"/>
  <c r="X31" i="32"/>
  <c r="AD31" i="32" s="1"/>
  <c r="AE31" i="32" s="1"/>
  <c r="AD19" i="9"/>
  <c r="AE19" i="9" s="1"/>
  <c r="X33" i="10"/>
  <c r="AD35" i="10"/>
  <c r="AE35" i="10" s="1"/>
  <c r="X48" i="10"/>
  <c r="AD28" i="27"/>
  <c r="AE28" i="27" s="1"/>
  <c r="AD51" i="15"/>
  <c r="AE51" i="15" s="1"/>
  <c r="X52" i="19"/>
  <c r="X30" i="30"/>
  <c r="AD30" i="30" s="1"/>
  <c r="AE30" i="30" s="1"/>
  <c r="X88" i="31"/>
  <c r="X93" i="31"/>
  <c r="X30" i="32"/>
  <c r="AD30" i="32" s="1"/>
  <c r="AE30" i="32" s="1"/>
  <c r="AD12" i="12"/>
  <c r="AE12" i="12" s="1"/>
  <c r="X51" i="14"/>
  <c r="X72" i="35"/>
  <c r="AC8" i="8"/>
  <c r="X14" i="7"/>
  <c r="X36" i="10"/>
  <c r="AD20" i="25"/>
  <c r="AE20" i="25" s="1"/>
  <c r="X49" i="26"/>
  <c r="X10" i="30"/>
  <c r="AD10" i="30" s="1"/>
  <c r="AE10" i="30" s="1"/>
  <c r="X15" i="30"/>
  <c r="AD15" i="30" s="1"/>
  <c r="AE15" i="30" s="1"/>
  <c r="X50" i="32"/>
  <c r="AD50" i="32" s="1"/>
  <c r="AE50" i="32" s="1"/>
  <c r="AD32" i="20"/>
  <c r="AE32" i="20" s="1"/>
  <c r="AD15" i="14"/>
  <c r="AE15" i="14" s="1"/>
  <c r="X45" i="27"/>
  <c r="X47" i="28"/>
  <c r="X49" i="28"/>
  <c r="X51" i="30"/>
  <c r="X61" i="31"/>
  <c r="X70" i="31"/>
  <c r="X34" i="32"/>
  <c r="AD34" i="32" s="1"/>
  <c r="AE34" i="32" s="1"/>
  <c r="AC30" i="23"/>
  <c r="AC44" i="23"/>
  <c r="Z30" i="23"/>
  <c r="AC41" i="23"/>
  <c r="X47" i="23"/>
  <c r="AC39" i="23"/>
  <c r="AC23" i="23"/>
  <c r="AC38" i="23"/>
  <c r="AC43" i="23"/>
  <c r="AC31" i="23"/>
  <c r="AC40" i="23"/>
  <c r="AC42" i="23"/>
  <c r="Z48" i="23"/>
  <c r="AC45" i="23"/>
  <c r="AD45" i="23" s="1"/>
  <c r="AE45" i="23" s="1"/>
  <c r="Z44" i="23"/>
  <c r="AC47" i="23"/>
  <c r="AC51" i="23"/>
  <c r="AC38" i="22"/>
  <c r="AC27" i="22"/>
  <c r="X33" i="21"/>
  <c r="AC33" i="22"/>
  <c r="X41" i="23"/>
  <c r="Z41" i="23"/>
  <c r="AC50" i="24"/>
  <c r="AC25" i="24"/>
  <c r="AC27" i="24"/>
  <c r="Z43" i="24"/>
  <c r="AC42" i="24"/>
  <c r="AC49" i="24"/>
  <c r="AC26" i="24"/>
  <c r="X25" i="24"/>
  <c r="AD25" i="24" s="1"/>
  <c r="AE25" i="24" s="1"/>
  <c r="Z26" i="24"/>
  <c r="X50" i="24"/>
  <c r="AC45" i="24"/>
  <c r="X51" i="24"/>
  <c r="Z22" i="23"/>
  <c r="AC40" i="24"/>
  <c r="X40" i="24"/>
  <c r="AC36" i="23"/>
  <c r="X37" i="23"/>
  <c r="AD37" i="23" s="1"/>
  <c r="AE37" i="23" s="1"/>
  <c r="AC37" i="23"/>
  <c r="AC21" i="23"/>
  <c r="AC28" i="22"/>
  <c r="X33" i="24"/>
  <c r="AD33" i="24" s="1"/>
  <c r="AE33" i="24" s="1"/>
  <c r="X39" i="24"/>
  <c r="AD39" i="24" s="1"/>
  <c r="AE39" i="24" s="1"/>
  <c r="AD25" i="25"/>
  <c r="AE25" i="25" s="1"/>
  <c r="X37" i="25"/>
  <c r="AD15" i="26"/>
  <c r="AE15" i="26" s="1"/>
  <c r="X72" i="30"/>
  <c r="AD72" i="30" s="1"/>
  <c r="AE72" i="30" s="1"/>
  <c r="X54" i="32"/>
  <c r="X13" i="33"/>
  <c r="AD13" i="33" s="1"/>
  <c r="AE13" i="33" s="1"/>
  <c r="X45" i="33"/>
  <c r="AD45" i="33" s="1"/>
  <c r="AE45" i="33" s="1"/>
  <c r="AD47" i="35"/>
  <c r="AE47" i="35" s="1"/>
  <c r="X51" i="35"/>
  <c r="X53" i="35"/>
  <c r="AD53" i="35" s="1"/>
  <c r="AE53" i="35" s="1"/>
  <c r="X13" i="8"/>
  <c r="AD13" i="8" s="1"/>
  <c r="AE13" i="8" s="1"/>
  <c r="AD30" i="8"/>
  <c r="AE30" i="8" s="1"/>
  <c r="AD16" i="12"/>
  <c r="AE16" i="12" s="1"/>
  <c r="AD35" i="17"/>
  <c r="AE35" i="17" s="1"/>
  <c r="X27" i="24"/>
  <c r="AD23" i="27"/>
  <c r="AE23" i="27" s="1"/>
  <c r="AD29" i="27"/>
  <c r="AE29" i="27" s="1"/>
  <c r="X47" i="29"/>
  <c r="X28" i="8"/>
  <c r="X25" i="17"/>
  <c r="AD30" i="18"/>
  <c r="AE30" i="18" s="1"/>
  <c r="AD46" i="19"/>
  <c r="AE46" i="19" s="1"/>
  <c r="AD18" i="26"/>
  <c r="AE18" i="26" s="1"/>
  <c r="AD35" i="26"/>
  <c r="AE35" i="26" s="1"/>
  <c r="AD17" i="28"/>
  <c r="AE17" i="28" s="1"/>
  <c r="X46" i="28"/>
  <c r="AD46" i="28" s="1"/>
  <c r="AE46" i="28" s="1"/>
  <c r="X48" i="28"/>
  <c r="X79" i="29"/>
  <c r="X88" i="29"/>
  <c r="AD88" i="29" s="1"/>
  <c r="AE88" i="29" s="1"/>
  <c r="X15" i="31"/>
  <c r="X20" i="31"/>
  <c r="AD20" i="31" s="1"/>
  <c r="AE20" i="31" s="1"/>
  <c r="X25" i="31"/>
  <c r="AD25" i="31" s="1"/>
  <c r="AE25" i="31" s="1"/>
  <c r="X38" i="31"/>
  <c r="X37" i="10"/>
  <c r="X44" i="10"/>
  <c r="X24" i="23"/>
  <c r="AD24" i="23" s="1"/>
  <c r="AE24" i="23" s="1"/>
  <c r="AD34" i="23"/>
  <c r="AE34" i="23" s="1"/>
  <c r="X22" i="32"/>
  <c r="AD22" i="32" s="1"/>
  <c r="AE22" i="32" s="1"/>
  <c r="X78" i="33"/>
  <c r="X76" i="34"/>
  <c r="X83" i="34"/>
  <c r="X44" i="23"/>
  <c r="X38" i="25"/>
  <c r="AD19" i="27"/>
  <c r="AE19" i="27" s="1"/>
  <c r="AD21" i="28"/>
  <c r="AE21" i="28" s="1"/>
  <c r="AD33" i="28"/>
  <c r="AE33" i="28" s="1"/>
  <c r="X44" i="29"/>
  <c r="AD44" i="29" s="1"/>
  <c r="AE44" i="29" s="1"/>
  <c r="X46" i="29"/>
  <c r="X63" i="29"/>
  <c r="X65" i="29"/>
  <c r="AD65" i="29" s="1"/>
  <c r="AE65" i="29" s="1"/>
  <c r="X36" i="30"/>
  <c r="AD36" i="30" s="1"/>
  <c r="AE36" i="30" s="1"/>
  <c r="X93" i="34"/>
  <c r="AD93" i="34" s="1"/>
  <c r="AE93" i="34" s="1"/>
  <c r="AD13" i="18"/>
  <c r="AE13" i="18" s="1"/>
  <c r="X36" i="23"/>
  <c r="X11" i="29"/>
  <c r="AD11" i="29" s="1"/>
  <c r="AE11" i="29" s="1"/>
  <c r="X76" i="29"/>
  <c r="AD76" i="29" s="1"/>
  <c r="AE76" i="29" s="1"/>
  <c r="X78" i="29"/>
  <c r="X92" i="29"/>
  <c r="AD92" i="29" s="1"/>
  <c r="AE92" i="29" s="1"/>
  <c r="X28" i="30"/>
  <c r="AD28" i="30" s="1"/>
  <c r="AE28" i="30" s="1"/>
  <c r="X97" i="30"/>
  <c r="AD97" i="30" s="1"/>
  <c r="AE97" i="30" s="1"/>
  <c r="X21" i="32"/>
  <c r="AD21" i="32" s="1"/>
  <c r="AE21" i="32" s="1"/>
  <c r="X58" i="32"/>
  <c r="X70" i="32"/>
  <c r="X73" i="32"/>
  <c r="AD73" i="32" s="1"/>
  <c r="AE73" i="32" s="1"/>
  <c r="AD99" i="32"/>
  <c r="AE99" i="32" s="1"/>
  <c r="X84" i="35"/>
  <c r="X30" i="7"/>
  <c r="AD30" i="7" s="1"/>
  <c r="AE30" i="7" s="1"/>
  <c r="X19" i="8"/>
  <c r="AD19" i="8" s="1"/>
  <c r="AE19" i="8" s="1"/>
  <c r="AC23" i="21"/>
  <c r="X38" i="21"/>
  <c r="X42" i="21"/>
  <c r="AC30" i="21"/>
  <c r="AC32" i="21"/>
  <c r="AC36" i="21"/>
  <c r="AC31" i="21"/>
  <c r="AD32" i="25"/>
  <c r="AE32" i="25" s="1"/>
  <c r="X41" i="25"/>
  <c r="X46" i="26"/>
  <c r="X48" i="26"/>
  <c r="AD48" i="26" s="1"/>
  <c r="AE48" i="26" s="1"/>
  <c r="AD8" i="27"/>
  <c r="AE8" i="27" s="1"/>
  <c r="X27" i="29"/>
  <c r="X32" i="29"/>
  <c r="AD32" i="29" s="1"/>
  <c r="AE32" i="29" s="1"/>
  <c r="X49" i="30"/>
  <c r="X64" i="30"/>
  <c r="X73" i="30"/>
  <c r="AD73" i="30" s="1"/>
  <c r="AE73" i="30" s="1"/>
  <c r="X57" i="32"/>
  <c r="AD57" i="32" s="1"/>
  <c r="AE57" i="32" s="1"/>
  <c r="AD91" i="32"/>
  <c r="AE91" i="32" s="1"/>
  <c r="AD23" i="33"/>
  <c r="AE23" i="33" s="1"/>
  <c r="X61" i="33"/>
  <c r="AD61" i="33" s="1"/>
  <c r="AE61" i="33" s="1"/>
  <c r="AD87" i="34"/>
  <c r="AE87" i="34" s="1"/>
  <c r="X11" i="35"/>
  <c r="AD11" i="35" s="1"/>
  <c r="AE11" i="35" s="1"/>
  <c r="X27" i="35"/>
  <c r="AD28" i="32"/>
  <c r="AE28" i="32" s="1"/>
  <c r="AD33" i="32"/>
  <c r="AE33" i="32" s="1"/>
  <c r="AD19" i="33"/>
  <c r="AE19" i="33" s="1"/>
  <c r="X60" i="10"/>
  <c r="X35" i="21"/>
  <c r="AD9" i="22"/>
  <c r="AE9" i="22" s="1"/>
  <c r="AD25" i="22"/>
  <c r="AE25" i="22" s="1"/>
  <c r="AD29" i="22"/>
  <c r="AE29" i="22" s="1"/>
  <c r="AD33" i="23"/>
  <c r="AE33" i="23" s="1"/>
  <c r="X46" i="23"/>
  <c r="AD12" i="24"/>
  <c r="AE12" i="24" s="1"/>
  <c r="X21" i="24"/>
  <c r="AD21" i="24" s="1"/>
  <c r="AE21" i="24" s="1"/>
  <c r="X26" i="24"/>
  <c r="AD41" i="24"/>
  <c r="AE41" i="24" s="1"/>
  <c r="X44" i="24"/>
  <c r="AD22" i="26"/>
  <c r="AE22" i="26" s="1"/>
  <c r="AD27" i="26"/>
  <c r="AE27" i="26" s="1"/>
  <c r="AD7" i="28"/>
  <c r="X9" i="29"/>
  <c r="AD9" i="29" s="1"/>
  <c r="AE9" i="29" s="1"/>
  <c r="X14" i="29"/>
  <c r="AD14" i="29" s="1"/>
  <c r="AE14" i="29" s="1"/>
  <c r="X19" i="29"/>
  <c r="AD19" i="29" s="1"/>
  <c r="AE19" i="29" s="1"/>
  <c r="X24" i="29"/>
  <c r="AD24" i="29" s="1"/>
  <c r="AE24" i="29" s="1"/>
  <c r="X96" i="29"/>
  <c r="AD96" i="29" s="1"/>
  <c r="AE96" i="29" s="1"/>
  <c r="X8" i="30"/>
  <c r="AD8" i="30" s="1"/>
  <c r="AE8" i="30" s="1"/>
  <c r="X13" i="30"/>
  <c r="AD13" i="30" s="1"/>
  <c r="AE13" i="30" s="1"/>
  <c r="X18" i="30"/>
  <c r="AD18" i="30" s="1"/>
  <c r="AE18" i="30" s="1"/>
  <c r="X21" i="30"/>
  <c r="AD21" i="30" s="1"/>
  <c r="AE21" i="30" s="1"/>
  <c r="X24" i="30"/>
  <c r="AD24" i="30" s="1"/>
  <c r="AE24" i="30" s="1"/>
  <c r="X59" i="30"/>
  <c r="X61" i="30"/>
  <c r="X13" i="32"/>
  <c r="AD13" i="32" s="1"/>
  <c r="AE13" i="32" s="1"/>
  <c r="X10" i="33"/>
  <c r="X17" i="33"/>
  <c r="AD17" i="33" s="1"/>
  <c r="AE17" i="33" s="1"/>
  <c r="X28" i="33"/>
  <c r="AD28" i="33" s="1"/>
  <c r="AE28" i="33" s="1"/>
  <c r="X47" i="34"/>
  <c r="X56" i="34"/>
  <c r="X65" i="34"/>
  <c r="AD65" i="34" s="1"/>
  <c r="AE65" i="34" s="1"/>
  <c r="X96" i="34"/>
  <c r="AD96" i="34" s="1"/>
  <c r="AE96" i="34" s="1"/>
  <c r="X99" i="34"/>
  <c r="X15" i="35"/>
  <c r="AD15" i="35" s="1"/>
  <c r="AE15" i="35" s="1"/>
  <c r="X31" i="35"/>
  <c r="AD31" i="35" s="1"/>
  <c r="AE31" i="35" s="1"/>
  <c r="X36" i="35"/>
  <c r="AD79" i="35"/>
  <c r="AE79" i="35" s="1"/>
  <c r="X23" i="8"/>
  <c r="AD23" i="8" s="1"/>
  <c r="AE23" i="8" s="1"/>
  <c r="AD31" i="22"/>
  <c r="AE31" i="22" s="1"/>
  <c r="X38" i="22"/>
  <c r="X40" i="22"/>
  <c r="X44" i="22"/>
  <c r="AD17" i="23"/>
  <c r="AE17" i="23" s="1"/>
  <c r="X22" i="23"/>
  <c r="AD22" i="23" s="1"/>
  <c r="AE22" i="23" s="1"/>
  <c r="AD27" i="23"/>
  <c r="AE27" i="23" s="1"/>
  <c r="AD32" i="23"/>
  <c r="AE32" i="23" s="1"/>
  <c r="AD22" i="27"/>
  <c r="AE22" i="27" s="1"/>
  <c r="AD25" i="27"/>
  <c r="AE25" i="27" s="1"/>
  <c r="X27" i="7"/>
  <c r="AD27" i="7" s="1"/>
  <c r="AE27" i="7" s="1"/>
  <c r="X47" i="7"/>
  <c r="AD7" i="23"/>
  <c r="X49" i="24"/>
  <c r="AD49" i="24" s="1"/>
  <c r="AE49" i="24" s="1"/>
  <c r="X47" i="26"/>
  <c r="AD15" i="27"/>
  <c r="AE15" i="27" s="1"/>
  <c r="X47" i="27"/>
  <c r="X93" i="29"/>
  <c r="AD93" i="29" s="1"/>
  <c r="AE93" i="29" s="1"/>
  <c r="AD58" i="33"/>
  <c r="AE58" i="33" s="1"/>
  <c r="AD41" i="35"/>
  <c r="AE41" i="35" s="1"/>
  <c r="X8" i="9"/>
  <c r="AD29" i="11"/>
  <c r="AE29" i="11" s="1"/>
  <c r="AD9" i="27"/>
  <c r="AE9" i="27" s="1"/>
  <c r="AD12" i="27"/>
  <c r="AE12" i="27" s="1"/>
  <c r="AD13" i="28"/>
  <c r="AE13" i="28" s="1"/>
  <c r="AD29" i="28"/>
  <c r="AE29" i="28" s="1"/>
  <c r="AD38" i="28"/>
  <c r="AE38" i="28" s="1"/>
  <c r="X13" i="29"/>
  <c r="X18" i="29"/>
  <c r="AD18" i="29" s="1"/>
  <c r="AE18" i="29" s="1"/>
  <c r="X23" i="29"/>
  <c r="AD23" i="29" s="1"/>
  <c r="AE23" i="29" s="1"/>
  <c r="X28" i="29"/>
  <c r="AD28" i="29" s="1"/>
  <c r="AE28" i="29" s="1"/>
  <c r="X35" i="29"/>
  <c r="X7" i="30"/>
  <c r="AD7" i="30" s="1"/>
  <c r="X12" i="30"/>
  <c r="AD12" i="30" s="1"/>
  <c r="AE12" i="30" s="1"/>
  <c r="X17" i="30"/>
  <c r="AD17" i="30" s="1"/>
  <c r="AE17" i="30" s="1"/>
  <c r="X20" i="30"/>
  <c r="AD20" i="30" s="1"/>
  <c r="AE20" i="30" s="1"/>
  <c r="X41" i="30"/>
  <c r="AD41" i="30" s="1"/>
  <c r="AE41" i="30" s="1"/>
  <c r="X88" i="30"/>
  <c r="AD88" i="30" s="1"/>
  <c r="AE88" i="30" s="1"/>
  <c r="X93" i="30"/>
  <c r="AD93" i="30" s="1"/>
  <c r="AE93" i="30" s="1"/>
  <c r="AD94" i="30"/>
  <c r="AE94" i="30" s="1"/>
  <c r="X8" i="31"/>
  <c r="AD8" i="31" s="1"/>
  <c r="AE8" i="31" s="1"/>
  <c r="X13" i="31"/>
  <c r="AD13" i="31" s="1"/>
  <c r="AE13" i="31" s="1"/>
  <c r="X28" i="31"/>
  <c r="AD28" i="31" s="1"/>
  <c r="AE28" i="31" s="1"/>
  <c r="X31" i="31"/>
  <c r="AD31" i="31" s="1"/>
  <c r="AE31" i="31" s="1"/>
  <c r="X43" i="31"/>
  <c r="X47" i="31"/>
  <c r="X90" i="31"/>
  <c r="X7" i="32"/>
  <c r="AD7" i="32" s="1"/>
  <c r="X68" i="32"/>
  <c r="AD68" i="32" s="1"/>
  <c r="AE68" i="32" s="1"/>
  <c r="X76" i="32"/>
  <c r="X93" i="32"/>
  <c r="AD93" i="32" s="1"/>
  <c r="AE93" i="32" s="1"/>
  <c r="AD42" i="33"/>
  <c r="AE42" i="33" s="1"/>
  <c r="AD74" i="33"/>
  <c r="AE74" i="33" s="1"/>
  <c r="X82" i="33"/>
  <c r="AD82" i="33" s="1"/>
  <c r="AE82" i="33" s="1"/>
  <c r="X91" i="33"/>
  <c r="AD91" i="33" s="1"/>
  <c r="AE91" i="33" s="1"/>
  <c r="X99" i="33"/>
  <c r="AD99" i="33" s="1"/>
  <c r="AE99" i="33" s="1"/>
  <c r="X11" i="34"/>
  <c r="AD11" i="34" s="1"/>
  <c r="AE11" i="34" s="1"/>
  <c r="X65" i="35"/>
  <c r="AD65" i="35" s="1"/>
  <c r="AE65" i="35" s="1"/>
  <c r="X70" i="35"/>
  <c r="X82" i="35"/>
  <c r="X32" i="8"/>
  <c r="X47" i="8"/>
  <c r="AD47" i="8" s="1"/>
  <c r="AE47" i="8" s="1"/>
  <c r="X49" i="8"/>
  <c r="X59" i="10"/>
  <c r="X29" i="19"/>
  <c r="X17" i="21"/>
  <c r="X32" i="21"/>
  <c r="AD31" i="25"/>
  <c r="AE31" i="25" s="1"/>
  <c r="X25" i="29"/>
  <c r="AD25" i="29" s="1"/>
  <c r="AE25" i="29" s="1"/>
  <c r="X30" i="29"/>
  <c r="AD30" i="29" s="1"/>
  <c r="AE30" i="29" s="1"/>
  <c r="AD31" i="33"/>
  <c r="AE31" i="33" s="1"/>
  <c r="X20" i="7"/>
  <c r="AD20" i="7" s="1"/>
  <c r="AE20" i="7" s="1"/>
  <c r="X45" i="13"/>
  <c r="X47" i="13"/>
  <c r="X46" i="17"/>
  <c r="AD16" i="22"/>
  <c r="AE16" i="22" s="1"/>
  <c r="X39" i="22"/>
  <c r="X41" i="22"/>
  <c r="X43" i="22"/>
  <c r="AD19" i="23"/>
  <c r="AE19" i="23" s="1"/>
  <c r="AD20" i="32"/>
  <c r="AE20" i="32" s="1"/>
  <c r="AD27" i="33"/>
  <c r="AE27" i="33" s="1"/>
  <c r="AD54" i="33"/>
  <c r="AE54" i="33" s="1"/>
  <c r="AC16" i="21"/>
  <c r="AD16" i="21" s="1"/>
  <c r="AE16" i="21" s="1"/>
  <c r="AC35" i="21"/>
  <c r="AC37" i="21"/>
  <c r="Z31" i="21"/>
  <c r="AC27" i="21"/>
  <c r="AD29" i="21"/>
  <c r="AE29" i="21" s="1"/>
  <c r="Z30" i="21"/>
  <c r="AC39" i="21"/>
  <c r="AC41" i="21"/>
  <c r="AD41" i="21" s="1"/>
  <c r="AE41" i="21" s="1"/>
  <c r="Z29" i="21"/>
  <c r="AC19" i="21"/>
  <c r="AD19" i="21" s="1"/>
  <c r="AE19" i="21" s="1"/>
  <c r="AC21" i="21"/>
  <c r="AC40" i="21"/>
  <c r="X21" i="21"/>
  <c r="AC22" i="21"/>
  <c r="AD22" i="21" s="1"/>
  <c r="AE22" i="21" s="1"/>
  <c r="AC18" i="21"/>
  <c r="AC15" i="21"/>
  <c r="AC25" i="21"/>
  <c r="X25" i="21"/>
  <c r="AC26" i="21"/>
  <c r="AC11" i="21"/>
  <c r="X54" i="20"/>
  <c r="X56" i="20"/>
  <c r="X58" i="20"/>
  <c r="X34" i="20"/>
  <c r="AC52" i="20"/>
  <c r="X11" i="19"/>
  <c r="AC29" i="19"/>
  <c r="X50" i="19"/>
  <c r="AC55" i="19"/>
  <c r="X47" i="19"/>
  <c r="AC52" i="19"/>
  <c r="AC54" i="19"/>
  <c r="AC49" i="19"/>
  <c r="AC56" i="19"/>
  <c r="X49" i="19"/>
  <c r="AD49" i="19" s="1"/>
  <c r="AE49" i="19" s="1"/>
  <c r="Z49" i="19"/>
  <c r="Z52" i="19"/>
  <c r="X54" i="19"/>
  <c r="Z56" i="19"/>
  <c r="Z29" i="19"/>
  <c r="Z44" i="17"/>
  <c r="X43" i="17"/>
  <c r="X45" i="17"/>
  <c r="X41" i="17"/>
  <c r="AC47" i="17"/>
  <c r="X48" i="17"/>
  <c r="AC48" i="17"/>
  <c r="AC43" i="17"/>
  <c r="AC25" i="17"/>
  <c r="AC26" i="17"/>
  <c r="AC41" i="16"/>
  <c r="AC45" i="16"/>
  <c r="AC44" i="16"/>
  <c r="X40" i="16"/>
  <c r="X23" i="16"/>
  <c r="AC29" i="16"/>
  <c r="AD29" i="16" s="1"/>
  <c r="AE29" i="16" s="1"/>
  <c r="Z45" i="16"/>
  <c r="AC26" i="16"/>
  <c r="AC33" i="16"/>
  <c r="AD33" i="16" s="1"/>
  <c r="AE33" i="16" s="1"/>
  <c r="X39" i="16"/>
  <c r="AC40" i="16"/>
  <c r="AD23" i="15"/>
  <c r="AE23" i="15" s="1"/>
  <c r="X60" i="15"/>
  <c r="X41" i="15"/>
  <c r="X34" i="15"/>
  <c r="X35" i="14"/>
  <c r="X56" i="14"/>
  <c r="AC53" i="13"/>
  <c r="AC41" i="13"/>
  <c r="X46" i="13"/>
  <c r="AC48" i="13"/>
  <c r="X34" i="13"/>
  <c r="X38" i="13"/>
  <c r="X55" i="13"/>
  <c r="X36" i="12"/>
  <c r="AC11" i="12"/>
  <c r="X39" i="12"/>
  <c r="X25" i="12"/>
  <c r="AC32" i="12"/>
  <c r="AC11" i="16"/>
  <c r="AC11" i="17"/>
  <c r="AC11" i="19"/>
  <c r="Z11" i="20"/>
  <c r="AC34" i="15"/>
  <c r="X56" i="15"/>
  <c r="X47" i="15"/>
  <c r="X11" i="15"/>
  <c r="AC47" i="15"/>
  <c r="X53" i="15"/>
  <c r="X55" i="15"/>
  <c r="AC11" i="15"/>
  <c r="AC39" i="15"/>
  <c r="X46" i="15"/>
  <c r="AC53" i="15"/>
  <c r="AC58" i="15"/>
  <c r="X52" i="15"/>
  <c r="X54" i="15"/>
  <c r="AC60" i="15"/>
  <c r="AC56" i="15"/>
  <c r="Z47" i="15"/>
  <c r="X44" i="15"/>
  <c r="AD44" i="15" s="1"/>
  <c r="AE44" i="15" s="1"/>
  <c r="AC33" i="15"/>
  <c r="X33" i="15"/>
  <c r="AD33" i="15" s="1"/>
  <c r="AE33" i="15" s="1"/>
  <c r="Z50" i="14"/>
  <c r="X47" i="14"/>
  <c r="AC54" i="14"/>
  <c r="AC56" i="14"/>
  <c r="X53" i="14"/>
  <c r="AD53" i="14" s="1"/>
  <c r="AE53" i="14" s="1"/>
  <c r="AC11" i="14"/>
  <c r="X48" i="14"/>
  <c r="AD48" i="14" s="1"/>
  <c r="AE48" i="14" s="1"/>
  <c r="X50" i="14"/>
  <c r="AD50" i="14" s="1"/>
  <c r="AE50" i="14" s="1"/>
  <c r="AC30" i="14"/>
  <c r="X55" i="14"/>
  <c r="X57" i="14"/>
  <c r="AD56" i="14"/>
  <c r="AE56" i="14" s="1"/>
  <c r="AC43" i="14"/>
  <c r="X41" i="14"/>
  <c r="X11" i="14"/>
  <c r="X36" i="14"/>
  <c r="AD36" i="14" s="1"/>
  <c r="AE36" i="14" s="1"/>
  <c r="Z30" i="14"/>
  <c r="AD27" i="18"/>
  <c r="AE27" i="18" s="1"/>
  <c r="X44" i="18"/>
  <c r="X49" i="18"/>
  <c r="AC45" i="18"/>
  <c r="AC42" i="18"/>
  <c r="AD42" i="18" s="1"/>
  <c r="AE42" i="18" s="1"/>
  <c r="AC43" i="18"/>
  <c r="X46" i="18"/>
  <c r="AD46" i="18" s="1"/>
  <c r="AE46" i="18" s="1"/>
  <c r="AC41" i="18"/>
  <c r="AD41" i="18" s="1"/>
  <c r="AE41" i="18" s="1"/>
  <c r="AC46" i="18"/>
  <c r="X48" i="18"/>
  <c r="AC48" i="18"/>
  <c r="AC47" i="18"/>
  <c r="AD47" i="18" s="1"/>
  <c r="AE47" i="18" s="1"/>
  <c r="AC27" i="13"/>
  <c r="AC33" i="13"/>
  <c r="AC50" i="13"/>
  <c r="AC45" i="13"/>
  <c r="AC49" i="13"/>
  <c r="X44" i="13"/>
  <c r="X50" i="13"/>
  <c r="AC52" i="13"/>
  <c r="Z45" i="13"/>
  <c r="X42" i="13"/>
  <c r="X33" i="13"/>
  <c r="AD33" i="13" s="1"/>
  <c r="AE33" i="13" s="1"/>
  <c r="X42" i="12"/>
  <c r="X48" i="12"/>
  <c r="Z11" i="12"/>
  <c r="X26" i="12"/>
  <c r="AC31" i="12"/>
  <c r="AC50" i="12"/>
  <c r="AC26" i="12"/>
  <c r="X32" i="12"/>
  <c r="AD32" i="12" s="1"/>
  <c r="AE32" i="12" s="1"/>
  <c r="X47" i="12"/>
  <c r="Z50" i="12"/>
  <c r="AC49" i="12"/>
  <c r="X43" i="12"/>
  <c r="AC37" i="12"/>
  <c r="Z32" i="12"/>
  <c r="Z31" i="12"/>
  <c r="AC25" i="12"/>
  <c r="AC28" i="11"/>
  <c r="AC25" i="11"/>
  <c r="AC27" i="11"/>
  <c r="AC35" i="11"/>
  <c r="X28" i="11"/>
  <c r="X33" i="11"/>
  <c r="X23" i="11"/>
  <c r="AC23" i="11"/>
  <c r="AC26" i="11"/>
  <c r="AC36" i="11"/>
  <c r="AD36" i="11" s="1"/>
  <c r="AE36" i="11" s="1"/>
  <c r="Z35" i="11"/>
  <c r="AC24" i="11"/>
  <c r="AC33" i="11"/>
  <c r="Z27" i="11"/>
  <c r="X29" i="10"/>
  <c r="AC33" i="10"/>
  <c r="AC48" i="10"/>
  <c r="X63" i="10"/>
  <c r="AC24" i="10"/>
  <c r="X40" i="10"/>
  <c r="X49" i="10"/>
  <c r="Z61" i="10"/>
  <c r="X28" i="10"/>
  <c r="AC51" i="10"/>
  <c r="X62" i="10"/>
  <c r="X64" i="10"/>
  <c r="X39" i="10"/>
  <c r="AC44" i="10"/>
  <c r="AC58" i="10"/>
  <c r="AC60" i="10"/>
  <c r="AC64" i="10"/>
  <c r="AC63" i="10"/>
  <c r="X61" i="10"/>
  <c r="Z48" i="10"/>
  <c r="AC36" i="10"/>
  <c r="X28" i="9"/>
  <c r="AC31" i="9"/>
  <c r="X12" i="9"/>
  <c r="X32" i="9"/>
  <c r="AC43" i="9"/>
  <c r="AD43" i="9" s="1"/>
  <c r="AE43" i="9" s="1"/>
  <c r="AC54" i="9"/>
  <c r="AD54" i="9" s="1"/>
  <c r="AE54" i="9" s="1"/>
  <c r="Z21" i="8"/>
  <c r="AC27" i="8"/>
  <c r="X44" i="8"/>
  <c r="X15" i="8"/>
  <c r="AD15" i="8" s="1"/>
  <c r="AE15" i="8" s="1"/>
  <c r="AC33" i="8"/>
  <c r="AC40" i="8"/>
  <c r="AC49" i="8"/>
  <c r="AC13" i="8"/>
  <c r="Z26" i="8"/>
  <c r="AC37" i="8"/>
  <c r="Z44" i="8"/>
  <c r="X7" i="8"/>
  <c r="AC22" i="8"/>
  <c r="AD22" i="8" s="1"/>
  <c r="AE22" i="8" s="1"/>
  <c r="X31" i="8"/>
  <c r="AD31" i="8" s="1"/>
  <c r="AE31" i="8" s="1"/>
  <c r="AC28" i="8"/>
  <c r="AC32" i="8"/>
  <c r="AC47" i="8"/>
  <c r="Z40" i="8"/>
  <c r="AC48" i="8"/>
  <c r="X43" i="7"/>
  <c r="X11" i="7"/>
  <c r="AD11" i="7" s="1"/>
  <c r="AE11" i="7" s="1"/>
  <c r="X15" i="7"/>
  <c r="X31" i="7"/>
  <c r="X32" i="7"/>
  <c r="AC20" i="7"/>
  <c r="AC23" i="7"/>
  <c r="AC42" i="7"/>
  <c r="X33" i="7"/>
  <c r="AD33" i="7" s="1"/>
  <c r="AE33" i="7" s="1"/>
  <c r="AC37" i="7"/>
  <c r="AD37" i="7" s="1"/>
  <c r="AE37" i="7" s="1"/>
  <c r="AC36" i="7"/>
  <c r="AD36" i="7" s="1"/>
  <c r="AE36" i="7" s="1"/>
  <c r="X46" i="7"/>
  <c r="X41" i="9"/>
  <c r="AC40" i="9"/>
  <c r="X39" i="7"/>
  <c r="X48" i="7"/>
  <c r="X25" i="8"/>
  <c r="AD25" i="8" s="1"/>
  <c r="AE25" i="8" s="1"/>
  <c r="X35" i="8"/>
  <c r="AD35" i="8" s="1"/>
  <c r="AE35" i="8" s="1"/>
  <c r="X37" i="8"/>
  <c r="X48" i="8"/>
  <c r="AD48" i="8" s="1"/>
  <c r="AE48" i="8" s="1"/>
  <c r="X24" i="10"/>
  <c r="X41" i="11"/>
  <c r="X11" i="12"/>
  <c r="AD17" i="12"/>
  <c r="AE17" i="12" s="1"/>
  <c r="AD12" i="13"/>
  <c r="AE12" i="13" s="1"/>
  <c r="X28" i="13"/>
  <c r="AD28" i="13" s="1"/>
  <c r="AE28" i="13" s="1"/>
  <c r="X49" i="13"/>
  <c r="X51" i="13"/>
  <c r="X53" i="13"/>
  <c r="AD19" i="14"/>
  <c r="AE19" i="14" s="1"/>
  <c r="X39" i="15"/>
  <c r="X57" i="15"/>
  <c r="AD29" i="17"/>
  <c r="AE29" i="17" s="1"/>
  <c r="AD7" i="26"/>
  <c r="AE7" i="26" s="1"/>
  <c r="AD21" i="13"/>
  <c r="AE21" i="13" s="1"/>
  <c r="AD23" i="14"/>
  <c r="AE23" i="14" s="1"/>
  <c r="AD25" i="15"/>
  <c r="AE25" i="15" s="1"/>
  <c r="AD14" i="12"/>
  <c r="AE14" i="12" s="1"/>
  <c r="X22" i="7"/>
  <c r="X21" i="8"/>
  <c r="AD21" i="8" s="1"/>
  <c r="AE21" i="8" s="1"/>
  <c r="X34" i="8"/>
  <c r="AD27" i="9"/>
  <c r="AE27" i="9" s="1"/>
  <c r="X29" i="9"/>
  <c r="AD21" i="10"/>
  <c r="AE21" i="10" s="1"/>
  <c r="X25" i="11"/>
  <c r="AD10" i="12"/>
  <c r="AE10" i="12" s="1"/>
  <c r="AD19" i="13"/>
  <c r="AE19" i="13" s="1"/>
  <c r="X39" i="13"/>
  <c r="AD40" i="13"/>
  <c r="AE40" i="13" s="1"/>
  <c r="X48" i="13"/>
  <c r="AD9" i="14"/>
  <c r="AE9" i="14" s="1"/>
  <c r="AD20" i="14"/>
  <c r="AE20" i="14" s="1"/>
  <c r="AD22" i="14"/>
  <c r="AE22" i="14" s="1"/>
  <c r="AD25" i="14"/>
  <c r="AE25" i="14" s="1"/>
  <c r="AD27" i="14"/>
  <c r="AE27" i="14" s="1"/>
  <c r="AD28" i="14"/>
  <c r="AE28" i="14" s="1"/>
  <c r="X30" i="14"/>
  <c r="AD30" i="14" s="1"/>
  <c r="AE30" i="14" s="1"/>
  <c r="AD38" i="14"/>
  <c r="AE38" i="14" s="1"/>
  <c r="X52" i="14"/>
  <c r="AD27" i="15"/>
  <c r="AE27" i="15" s="1"/>
  <c r="AD45" i="15"/>
  <c r="AE45" i="15" s="1"/>
  <c r="AD19" i="17"/>
  <c r="AE19" i="17" s="1"/>
  <c r="X24" i="7"/>
  <c r="X40" i="7"/>
  <c r="X49" i="7"/>
  <c r="X24" i="8"/>
  <c r="AD18" i="9"/>
  <c r="AE18" i="9" s="1"/>
  <c r="X31" i="9"/>
  <c r="X25" i="10"/>
  <c r="X32" i="10"/>
  <c r="AD22" i="11"/>
  <c r="AE22" i="11" s="1"/>
  <c r="X27" i="11"/>
  <c r="AD19" i="12"/>
  <c r="AE19" i="12" s="1"/>
  <c r="AD22" i="12"/>
  <c r="AE22" i="12" s="1"/>
  <c r="AD24" i="12"/>
  <c r="AE24" i="12" s="1"/>
  <c r="AD29" i="12"/>
  <c r="AE29" i="12" s="1"/>
  <c r="X31" i="12"/>
  <c r="X44" i="12"/>
  <c r="AD9" i="13"/>
  <c r="AE9" i="13" s="1"/>
  <c r="X11" i="13"/>
  <c r="AD11" i="13" s="1"/>
  <c r="AE11" i="13" s="1"/>
  <c r="AD16" i="13"/>
  <c r="AE16" i="13" s="1"/>
  <c r="AD25" i="13"/>
  <c r="AE25" i="13" s="1"/>
  <c r="X27" i="13"/>
  <c r="AD32" i="13"/>
  <c r="AE32" i="13" s="1"/>
  <c r="X52" i="13"/>
  <c r="X54" i="13"/>
  <c r="AD26" i="14"/>
  <c r="AE26" i="14" s="1"/>
  <c r="X29" i="14"/>
  <c r="AD31" i="14"/>
  <c r="AE31" i="14" s="1"/>
  <c r="AD50" i="15"/>
  <c r="AE50" i="15" s="1"/>
  <c r="AD24" i="18"/>
  <c r="AE24" i="18" s="1"/>
  <c r="X56" i="19"/>
  <c r="AD30" i="12"/>
  <c r="AE30" i="12" s="1"/>
  <c r="AD18" i="14"/>
  <c r="AE18" i="14" s="1"/>
  <c r="AD16" i="9"/>
  <c r="AE16" i="9" s="1"/>
  <c r="AD17" i="10"/>
  <c r="AE17" i="10" s="1"/>
  <c r="AD18" i="11"/>
  <c r="AE18" i="11" s="1"/>
  <c r="AD20" i="11"/>
  <c r="AE20" i="11" s="1"/>
  <c r="AD13" i="12"/>
  <c r="AE13" i="12" s="1"/>
  <c r="AD18" i="13"/>
  <c r="AE18" i="13" s="1"/>
  <c r="AD37" i="13"/>
  <c r="AE37" i="13" s="1"/>
  <c r="AD33" i="14"/>
  <c r="AE33" i="14" s="1"/>
  <c r="AD40" i="14"/>
  <c r="AE40" i="14" s="1"/>
  <c r="AD45" i="14"/>
  <c r="AE45" i="14" s="1"/>
  <c r="X49" i="14"/>
  <c r="X54" i="14"/>
  <c r="AD54" i="14" s="1"/>
  <c r="AE54" i="14" s="1"/>
  <c r="AD36" i="15"/>
  <c r="AE36" i="15" s="1"/>
  <c r="AD25" i="20"/>
  <c r="AE25" i="20" s="1"/>
  <c r="X15" i="21"/>
  <c r="X43" i="23"/>
  <c r="AD43" i="23" s="1"/>
  <c r="AE43" i="23" s="1"/>
  <c r="X51" i="23"/>
  <c r="AD8" i="25"/>
  <c r="AE8" i="25" s="1"/>
  <c r="AD13" i="25"/>
  <c r="AE13" i="25" s="1"/>
  <c r="X21" i="7"/>
  <c r="AD26" i="8"/>
  <c r="AE26" i="8" s="1"/>
  <c r="X29" i="8"/>
  <c r="AD29" i="8" s="1"/>
  <c r="AE29" i="8" s="1"/>
  <c r="X33" i="8"/>
  <c r="X43" i="8"/>
  <c r="AD43" i="8" s="1"/>
  <c r="AE43" i="8" s="1"/>
  <c r="AD39" i="9"/>
  <c r="AE39" i="9" s="1"/>
  <c r="X24" i="11"/>
  <c r="X32" i="11"/>
  <c r="AD32" i="11" s="1"/>
  <c r="AE32" i="11" s="1"/>
  <c r="X50" i="12"/>
  <c r="AD13" i="13"/>
  <c r="AE13" i="13" s="1"/>
  <c r="AD20" i="13"/>
  <c r="AE20" i="13" s="1"/>
  <c r="AD29" i="13"/>
  <c r="AE29" i="13" s="1"/>
  <c r="AD12" i="16"/>
  <c r="AE12" i="16" s="1"/>
  <c r="AD16" i="16"/>
  <c r="AE16" i="16" s="1"/>
  <c r="X23" i="7"/>
  <c r="X28" i="7"/>
  <c r="X20" i="8"/>
  <c r="X40" i="9"/>
  <c r="AD13" i="10"/>
  <c r="AE13" i="10" s="1"/>
  <c r="X26" i="11"/>
  <c r="AD26" i="11" s="1"/>
  <c r="AE26" i="11" s="1"/>
  <c r="X35" i="11"/>
  <c r="AD15" i="12"/>
  <c r="AE15" i="12" s="1"/>
  <c r="AD18" i="12"/>
  <c r="AE18" i="12" s="1"/>
  <c r="AD22" i="13"/>
  <c r="AE22" i="13" s="1"/>
  <c r="AD14" i="14"/>
  <c r="AE14" i="14" s="1"/>
  <c r="AD18" i="22"/>
  <c r="AE18" i="22" s="1"/>
  <c r="X42" i="16"/>
  <c r="X11" i="17"/>
  <c r="AD16" i="17"/>
  <c r="AE16" i="17" s="1"/>
  <c r="AD28" i="17"/>
  <c r="AE28" i="17" s="1"/>
  <c r="AD22" i="18"/>
  <c r="AE22" i="18" s="1"/>
  <c r="X51" i="19"/>
  <c r="AD51" i="19" s="1"/>
  <c r="AE51" i="19" s="1"/>
  <c r="AD17" i="20"/>
  <c r="AE17" i="20" s="1"/>
  <c r="AD28" i="20"/>
  <c r="AE28" i="20" s="1"/>
  <c r="X59" i="20"/>
  <c r="X20" i="21"/>
  <c r="X36" i="21"/>
  <c r="AD14" i="22"/>
  <c r="AE14" i="22" s="1"/>
  <c r="AD20" i="22"/>
  <c r="AE20" i="22" s="1"/>
  <c r="AD23" i="22"/>
  <c r="AE23" i="22" s="1"/>
  <c r="X27" i="22"/>
  <c r="AD27" i="22" s="1"/>
  <c r="AE27" i="22" s="1"/>
  <c r="AD30" i="22"/>
  <c r="AE30" i="22" s="1"/>
  <c r="X34" i="22"/>
  <c r="AD8" i="23"/>
  <c r="AE8" i="23" s="1"/>
  <c r="AD25" i="23"/>
  <c r="AE25" i="23" s="1"/>
  <c r="X30" i="23"/>
  <c r="AD30" i="23" s="1"/>
  <c r="AE30" i="23" s="1"/>
  <c r="X49" i="23"/>
  <c r="AD49" i="23" s="1"/>
  <c r="AE49" i="23" s="1"/>
  <c r="AD13" i="24"/>
  <c r="AE13" i="24" s="1"/>
  <c r="AD18" i="24"/>
  <c r="AE18" i="24" s="1"/>
  <c r="AD28" i="24"/>
  <c r="AE28" i="24" s="1"/>
  <c r="AD28" i="25"/>
  <c r="AE28" i="25" s="1"/>
  <c r="AD33" i="25"/>
  <c r="AE33" i="25" s="1"/>
  <c r="X42" i="25"/>
  <c r="AD19" i="26"/>
  <c r="AE19" i="26" s="1"/>
  <c r="AD28" i="26"/>
  <c r="AE28" i="26" s="1"/>
  <c r="AD37" i="26"/>
  <c r="AE37" i="26" s="1"/>
  <c r="X39" i="26"/>
  <c r="AD27" i="27"/>
  <c r="AE27" i="27" s="1"/>
  <c r="AD30" i="27"/>
  <c r="AE30" i="27" s="1"/>
  <c r="AD33" i="27"/>
  <c r="AE33" i="27" s="1"/>
  <c r="AD36" i="27"/>
  <c r="AE36" i="27" s="1"/>
  <c r="X43" i="27"/>
  <c r="X52" i="27"/>
  <c r="AD52" i="27" s="1"/>
  <c r="AE52" i="27" s="1"/>
  <c r="AD24" i="17"/>
  <c r="AE24" i="17" s="1"/>
  <c r="AD8" i="18"/>
  <c r="AE8" i="18" s="1"/>
  <c r="AD31" i="20"/>
  <c r="AE31" i="20" s="1"/>
  <c r="AD8" i="24"/>
  <c r="AE8" i="24" s="1"/>
  <c r="AD43" i="24"/>
  <c r="AE43" i="24" s="1"/>
  <c r="AD18" i="27"/>
  <c r="AE18" i="27" s="1"/>
  <c r="AD21" i="27"/>
  <c r="AE21" i="27" s="1"/>
  <c r="AD24" i="27"/>
  <c r="AE24" i="27" s="1"/>
  <c r="X41" i="16"/>
  <c r="AD41" i="16" s="1"/>
  <c r="AE41" i="16" s="1"/>
  <c r="X43" i="16"/>
  <c r="AD8" i="17"/>
  <c r="AE8" i="17" s="1"/>
  <c r="AD13" i="17"/>
  <c r="AE13" i="17" s="1"/>
  <c r="AD21" i="17"/>
  <c r="AE21" i="17" s="1"/>
  <c r="AD39" i="18"/>
  <c r="AE39" i="18" s="1"/>
  <c r="AD9" i="19"/>
  <c r="AE9" i="19" s="1"/>
  <c r="AD13" i="19"/>
  <c r="AE13" i="19" s="1"/>
  <c r="AD17" i="19"/>
  <c r="AE17" i="19" s="1"/>
  <c r="AD21" i="19"/>
  <c r="AE21" i="19" s="1"/>
  <c r="AD25" i="19"/>
  <c r="AE25" i="19" s="1"/>
  <c r="AD40" i="19"/>
  <c r="AE40" i="19" s="1"/>
  <c r="AD42" i="19"/>
  <c r="AE42" i="19" s="1"/>
  <c r="AD15" i="20"/>
  <c r="AE15" i="20" s="1"/>
  <c r="AD20" i="20"/>
  <c r="AE20" i="20" s="1"/>
  <c r="AD48" i="20"/>
  <c r="AE48" i="20" s="1"/>
  <c r="AD12" i="22"/>
  <c r="AE12" i="22" s="1"/>
  <c r="AD15" i="22"/>
  <c r="AE15" i="22" s="1"/>
  <c r="AD22" i="22"/>
  <c r="AE22" i="22" s="1"/>
  <c r="X28" i="22"/>
  <c r="AD28" i="22" s="1"/>
  <c r="AE28" i="22" s="1"/>
  <c r="AD9" i="23"/>
  <c r="AE9" i="23" s="1"/>
  <c r="AD14" i="23"/>
  <c r="AE14" i="23" s="1"/>
  <c r="AD34" i="24"/>
  <c r="AE34" i="24" s="1"/>
  <c r="AD37" i="24"/>
  <c r="AE37" i="24" s="1"/>
  <c r="AD42" i="24"/>
  <c r="AE42" i="24" s="1"/>
  <c r="X11" i="16"/>
  <c r="AD12" i="17"/>
  <c r="AE12" i="17" s="1"/>
  <c r="AD17" i="17"/>
  <c r="AE17" i="17" s="1"/>
  <c r="X26" i="17"/>
  <c r="AD36" i="17"/>
  <c r="AE36" i="17" s="1"/>
  <c r="AD9" i="18"/>
  <c r="AE9" i="18" s="1"/>
  <c r="AD25" i="18"/>
  <c r="AE25" i="18" s="1"/>
  <c r="X43" i="18"/>
  <c r="AD15" i="19"/>
  <c r="AE15" i="19" s="1"/>
  <c r="AD19" i="19"/>
  <c r="AE19" i="19" s="1"/>
  <c r="AD23" i="19"/>
  <c r="AE23" i="19" s="1"/>
  <c r="AD27" i="19"/>
  <c r="AE27" i="19" s="1"/>
  <c r="X11" i="20"/>
  <c r="AD11" i="20" s="1"/>
  <c r="AE11" i="20" s="1"/>
  <c r="AD16" i="20"/>
  <c r="AE16" i="20" s="1"/>
  <c r="AD36" i="20"/>
  <c r="AE36" i="20" s="1"/>
  <c r="X18" i="21"/>
  <c r="X24" i="21"/>
  <c r="X37" i="21"/>
  <c r="AD17" i="22"/>
  <c r="AE17" i="22" s="1"/>
  <c r="AD37" i="22"/>
  <c r="AE37" i="22" s="1"/>
  <c r="AD12" i="23"/>
  <c r="AE12" i="23" s="1"/>
  <c r="X21" i="23"/>
  <c r="AD21" i="23" s="1"/>
  <c r="AE21" i="23" s="1"/>
  <c r="AD26" i="23"/>
  <c r="AE26" i="23" s="1"/>
  <c r="X31" i="23"/>
  <c r="AD31" i="23" s="1"/>
  <c r="AE31" i="23" s="1"/>
  <c r="AD35" i="23"/>
  <c r="AE35" i="23" s="1"/>
  <c r="AD39" i="23"/>
  <c r="AE39" i="23" s="1"/>
  <c r="X42" i="23"/>
  <c r="AD42" i="23" s="1"/>
  <c r="AE42" i="23" s="1"/>
  <c r="X50" i="23"/>
  <c r="AD19" i="24"/>
  <c r="AE19" i="24" s="1"/>
  <c r="X24" i="24"/>
  <c r="AD24" i="24" s="1"/>
  <c r="AE24" i="24" s="1"/>
  <c r="AD36" i="24"/>
  <c r="AE36" i="24" s="1"/>
  <c r="AD46" i="24"/>
  <c r="AE46" i="24" s="1"/>
  <c r="X48" i="24"/>
  <c r="AD24" i="25"/>
  <c r="AE24" i="25" s="1"/>
  <c r="AD29" i="25"/>
  <c r="AE29" i="25" s="1"/>
  <c r="AD36" i="25"/>
  <c r="AE36" i="25" s="1"/>
  <c r="AD16" i="26"/>
  <c r="AE16" i="26" s="1"/>
  <c r="AD23" i="26"/>
  <c r="AE23" i="26" s="1"/>
  <c r="AD26" i="27"/>
  <c r="AE26" i="27" s="1"/>
  <c r="AD32" i="27"/>
  <c r="AE32" i="27" s="1"/>
  <c r="AD31" i="17"/>
  <c r="AE31" i="17" s="1"/>
  <c r="X42" i="17"/>
  <c r="X47" i="17"/>
  <c r="AD18" i="18"/>
  <c r="AE18" i="18" s="1"/>
  <c r="AD40" i="18"/>
  <c r="AE40" i="18" s="1"/>
  <c r="X45" i="18"/>
  <c r="AD44" i="19"/>
  <c r="AE44" i="19" s="1"/>
  <c r="AD30" i="20"/>
  <c r="AE30" i="20" s="1"/>
  <c r="AD33" i="20"/>
  <c r="AE33" i="20" s="1"/>
  <c r="AD10" i="21"/>
  <c r="AE10" i="21" s="1"/>
  <c r="X31" i="21"/>
  <c r="AD9" i="25"/>
  <c r="AE9" i="25" s="1"/>
  <c r="AD11" i="26"/>
  <c r="AE11" i="26" s="1"/>
  <c r="X58" i="15"/>
  <c r="X24" i="16"/>
  <c r="AD14" i="17"/>
  <c r="AE14" i="17" s="1"/>
  <c r="AD22" i="17"/>
  <c r="AE22" i="17" s="1"/>
  <c r="X44" i="17"/>
  <c r="AD44" i="17" s="1"/>
  <c r="AE44" i="17" s="1"/>
  <c r="X30" i="19"/>
  <c r="AD31" i="19"/>
  <c r="AE31" i="19" s="1"/>
  <c r="AD33" i="19"/>
  <c r="AE33" i="19" s="1"/>
  <c r="AD39" i="19"/>
  <c r="AE39" i="19" s="1"/>
  <c r="AD41" i="19"/>
  <c r="AE41" i="19" s="1"/>
  <c r="X48" i="19"/>
  <c r="AD8" i="20"/>
  <c r="AE8" i="20" s="1"/>
  <c r="AD10" i="20"/>
  <c r="AE10" i="20" s="1"/>
  <c r="AD21" i="20"/>
  <c r="AE21" i="20" s="1"/>
  <c r="AD23" i="20"/>
  <c r="AE23" i="20" s="1"/>
  <c r="AD26" i="20"/>
  <c r="AE26" i="20" s="1"/>
  <c r="X55" i="20"/>
  <c r="X57" i="20"/>
  <c r="X11" i="21"/>
  <c r="X30" i="21"/>
  <c r="X34" i="21"/>
  <c r="X39" i="21"/>
  <c r="AD16" i="25"/>
  <c r="AE16" i="25" s="1"/>
  <c r="AD21" i="25"/>
  <c r="AE21" i="25" s="1"/>
  <c r="AD8" i="26"/>
  <c r="AE8" i="26" s="1"/>
  <c r="AD31" i="26"/>
  <c r="AE31" i="26" s="1"/>
  <c r="X50" i="27"/>
  <c r="X10" i="29"/>
  <c r="AD10" i="29" s="1"/>
  <c r="AE10" i="29" s="1"/>
  <c r="X15" i="29"/>
  <c r="AD15" i="29" s="1"/>
  <c r="AE15" i="29" s="1"/>
  <c r="X20" i="29"/>
  <c r="AD20" i="29" s="1"/>
  <c r="AE20" i="29" s="1"/>
  <c r="X37" i="29"/>
  <c r="AD37" i="29" s="1"/>
  <c r="AE37" i="29" s="1"/>
  <c r="X39" i="29"/>
  <c r="X50" i="29"/>
  <c r="X67" i="29"/>
  <c r="X74" i="29"/>
  <c r="X83" i="29"/>
  <c r="AD83" i="29" s="1"/>
  <c r="AE83" i="29" s="1"/>
  <c r="X90" i="29"/>
  <c r="X98" i="29"/>
  <c r="AD19" i="30"/>
  <c r="AE19" i="30" s="1"/>
  <c r="X26" i="30"/>
  <c r="AD26" i="30" s="1"/>
  <c r="AE26" i="30" s="1"/>
  <c r="X29" i="30"/>
  <c r="AD29" i="30" s="1"/>
  <c r="AE29" i="30" s="1"/>
  <c r="X70" i="30"/>
  <c r="X92" i="30"/>
  <c r="AD92" i="30" s="1"/>
  <c r="AE92" i="30" s="1"/>
  <c r="X95" i="30"/>
  <c r="AD95" i="30" s="1"/>
  <c r="AE95" i="30" s="1"/>
  <c r="X22" i="31"/>
  <c r="X27" i="31"/>
  <c r="AD27" i="31" s="1"/>
  <c r="AE27" i="31" s="1"/>
  <c r="X85" i="31"/>
  <c r="AD85" i="31" s="1"/>
  <c r="AE85" i="31" s="1"/>
  <c r="AD93" i="31"/>
  <c r="AE93" i="31" s="1"/>
  <c r="AD43" i="32"/>
  <c r="AE43" i="32" s="1"/>
  <c r="X78" i="32"/>
  <c r="AD87" i="32"/>
  <c r="AE87" i="32" s="1"/>
  <c r="AD97" i="32"/>
  <c r="AE97" i="32" s="1"/>
  <c r="X9" i="33"/>
  <c r="AD9" i="33" s="1"/>
  <c r="AE9" i="33" s="1"/>
  <c r="X20" i="33"/>
  <c r="AD20" i="33" s="1"/>
  <c r="AE20" i="33" s="1"/>
  <c r="X34" i="33"/>
  <c r="AD34" i="33" s="1"/>
  <c r="AE34" i="33" s="1"/>
  <c r="X50" i="33"/>
  <c r="AD50" i="33" s="1"/>
  <c r="AE50" i="33" s="1"/>
  <c r="X66" i="33"/>
  <c r="AD66" i="33" s="1"/>
  <c r="AE66" i="33" s="1"/>
  <c r="X77" i="33"/>
  <c r="AD77" i="33" s="1"/>
  <c r="AE77" i="33" s="1"/>
  <c r="X90" i="33"/>
  <c r="AD90" i="33" s="1"/>
  <c r="AE90" i="33" s="1"/>
  <c r="X96" i="33"/>
  <c r="AD96" i="33" s="1"/>
  <c r="AE96" i="33" s="1"/>
  <c r="X28" i="34"/>
  <c r="AD28" i="34" s="1"/>
  <c r="AE28" i="34" s="1"/>
  <c r="X33" i="34"/>
  <c r="AD33" i="34" s="1"/>
  <c r="AE33" i="34" s="1"/>
  <c r="X44" i="34"/>
  <c r="X51" i="34"/>
  <c r="X53" i="34"/>
  <c r="AD53" i="34" s="1"/>
  <c r="AE53" i="34" s="1"/>
  <c r="X71" i="34"/>
  <c r="AD74" i="34"/>
  <c r="AE74" i="34" s="1"/>
  <c r="X80" i="34"/>
  <c r="AD80" i="34" s="1"/>
  <c r="AE80" i="34" s="1"/>
  <c r="X88" i="34"/>
  <c r="AD88" i="34" s="1"/>
  <c r="AE88" i="34" s="1"/>
  <c r="AD63" i="35"/>
  <c r="AE63" i="35" s="1"/>
  <c r="X67" i="35"/>
  <c r="AD67" i="35" s="1"/>
  <c r="AE67" i="35" s="1"/>
  <c r="X69" i="35"/>
  <c r="AD69" i="35" s="1"/>
  <c r="AE69" i="35" s="1"/>
  <c r="X88" i="35"/>
  <c r="AD88" i="35" s="1"/>
  <c r="AE88" i="35" s="1"/>
  <c r="X10" i="6"/>
  <c r="X7" i="7"/>
  <c r="AD7" i="7" s="1"/>
  <c r="X9" i="8"/>
  <c r="AD9" i="8" s="1"/>
  <c r="AE9" i="8" s="1"/>
  <c r="AD10" i="28"/>
  <c r="AE10" i="28" s="1"/>
  <c r="AD12" i="28"/>
  <c r="AE12" i="28" s="1"/>
  <c r="AD26" i="28"/>
  <c r="AE26" i="28" s="1"/>
  <c r="AD28" i="28"/>
  <c r="AE28" i="28" s="1"/>
  <c r="X17" i="29"/>
  <c r="AD17" i="29" s="1"/>
  <c r="AE17" i="29" s="1"/>
  <c r="X22" i="29"/>
  <c r="AD22" i="29" s="1"/>
  <c r="AE22" i="29" s="1"/>
  <c r="X7" i="31"/>
  <c r="AD7" i="31" s="1"/>
  <c r="X12" i="31"/>
  <c r="X17" i="31"/>
  <c r="AD17" i="31" s="1"/>
  <c r="AE17" i="31" s="1"/>
  <c r="X30" i="31"/>
  <c r="AD30" i="31" s="1"/>
  <c r="AE30" i="31" s="1"/>
  <c r="X53" i="31"/>
  <c r="AD53" i="31" s="1"/>
  <c r="AE53" i="31" s="1"/>
  <c r="X58" i="31"/>
  <c r="X67" i="31"/>
  <c r="X76" i="31"/>
  <c r="X92" i="31"/>
  <c r="AD92" i="31" s="1"/>
  <c r="AE92" i="31" s="1"/>
  <c r="AD8" i="32"/>
  <c r="AE8" i="32" s="1"/>
  <c r="X11" i="32"/>
  <c r="AD11" i="32" s="1"/>
  <c r="AE11" i="32" s="1"/>
  <c r="X25" i="32"/>
  <c r="AD25" i="32" s="1"/>
  <c r="AE25" i="32" s="1"/>
  <c r="X44" i="32"/>
  <c r="X62" i="32"/>
  <c r="AD62" i="32" s="1"/>
  <c r="AE62" i="32" s="1"/>
  <c r="AD71" i="32"/>
  <c r="AE71" i="32" s="1"/>
  <c r="X88" i="32"/>
  <c r="X16" i="33"/>
  <c r="AD16" i="33" s="1"/>
  <c r="AE16" i="33" s="1"/>
  <c r="X30" i="33"/>
  <c r="AD30" i="33" s="1"/>
  <c r="AE30" i="33" s="1"/>
  <c r="X44" i="33"/>
  <c r="AD44" i="33" s="1"/>
  <c r="AE44" i="33" s="1"/>
  <c r="X47" i="33"/>
  <c r="X60" i="33"/>
  <c r="AD60" i="33" s="1"/>
  <c r="AE60" i="33" s="1"/>
  <c r="X63" i="33"/>
  <c r="X80" i="33"/>
  <c r="AD80" i="33" s="1"/>
  <c r="AE80" i="33" s="1"/>
  <c r="X84" i="33"/>
  <c r="X93" i="33"/>
  <c r="AD93" i="33" s="1"/>
  <c r="AE93" i="33" s="1"/>
  <c r="X8" i="34"/>
  <c r="AD8" i="34" s="1"/>
  <c r="AE8" i="34" s="1"/>
  <c r="X13" i="34"/>
  <c r="AD13" i="34" s="1"/>
  <c r="AE13" i="34" s="1"/>
  <c r="X18" i="34"/>
  <c r="AD18" i="34" s="1"/>
  <c r="AE18" i="34" s="1"/>
  <c r="X23" i="34"/>
  <c r="AD23" i="34" s="1"/>
  <c r="AE23" i="34" s="1"/>
  <c r="X35" i="34"/>
  <c r="X37" i="34"/>
  <c r="AD37" i="34" s="1"/>
  <c r="AE37" i="34" s="1"/>
  <c r="X55" i="34"/>
  <c r="AD58" i="34"/>
  <c r="AE58" i="34" s="1"/>
  <c r="X64" i="34"/>
  <c r="X8" i="35"/>
  <c r="AD8" i="35" s="1"/>
  <c r="AE8" i="35" s="1"/>
  <c r="X10" i="35"/>
  <c r="AD10" i="35" s="1"/>
  <c r="AE10" i="35" s="1"/>
  <c r="X17" i="35"/>
  <c r="AD17" i="35" s="1"/>
  <c r="AE17" i="35" s="1"/>
  <c r="X24" i="35"/>
  <c r="AD24" i="35" s="1"/>
  <c r="AE24" i="35" s="1"/>
  <c r="X26" i="35"/>
  <c r="AD26" i="35" s="1"/>
  <c r="AE26" i="35" s="1"/>
  <c r="X33" i="35"/>
  <c r="AD33" i="35" s="1"/>
  <c r="AE33" i="35" s="1"/>
  <c r="X38" i="35"/>
  <c r="AD38" i="35" s="1"/>
  <c r="AE38" i="35" s="1"/>
  <c r="X45" i="35"/>
  <c r="X50" i="35"/>
  <c r="AD51" i="35"/>
  <c r="AE51" i="35" s="1"/>
  <c r="X64" i="35"/>
  <c r="X71" i="35"/>
  <c r="X76" i="35"/>
  <c r="AD76" i="35" s="1"/>
  <c r="AE76" i="35" s="1"/>
  <c r="X78" i="35"/>
  <c r="X90" i="35"/>
  <c r="AD90" i="35" s="1"/>
  <c r="AE90" i="35" s="1"/>
  <c r="X12" i="7"/>
  <c r="AD12" i="7" s="1"/>
  <c r="AE12" i="7" s="1"/>
  <c r="X16" i="7"/>
  <c r="AD16" i="7" s="1"/>
  <c r="AE16" i="7" s="1"/>
  <c r="AD14" i="8"/>
  <c r="AE14" i="8" s="1"/>
  <c r="X16" i="8"/>
  <c r="AD16" i="8" s="1"/>
  <c r="AE16" i="8" s="1"/>
  <c r="X7" i="29"/>
  <c r="AD7" i="29" s="1"/>
  <c r="X12" i="29"/>
  <c r="AD12" i="29" s="1"/>
  <c r="AE12" i="29" s="1"/>
  <c r="AD13" i="29"/>
  <c r="AE13" i="29" s="1"/>
  <c r="X29" i="29"/>
  <c r="AD29" i="29" s="1"/>
  <c r="AE29" i="29" s="1"/>
  <c r="X36" i="29"/>
  <c r="AD36" i="29" s="1"/>
  <c r="AE36" i="29" s="1"/>
  <c r="X45" i="29"/>
  <c r="X64" i="29"/>
  <c r="X69" i="29"/>
  <c r="AD69" i="29" s="1"/>
  <c r="AE69" i="29" s="1"/>
  <c r="X71" i="29"/>
  <c r="X87" i="29"/>
  <c r="AD87" i="29" s="1"/>
  <c r="AE87" i="29" s="1"/>
  <c r="X14" i="30"/>
  <c r="AD14" i="30" s="1"/>
  <c r="AE14" i="30" s="1"/>
  <c r="X50" i="30"/>
  <c r="X54" i="30"/>
  <c r="X63" i="30"/>
  <c r="X65" i="30"/>
  <c r="AD65" i="30" s="1"/>
  <c r="AE65" i="30" s="1"/>
  <c r="X67" i="30"/>
  <c r="X84" i="30"/>
  <c r="AD84" i="30" s="1"/>
  <c r="AE84" i="30" s="1"/>
  <c r="X89" i="30"/>
  <c r="AD89" i="30" s="1"/>
  <c r="AE89" i="30" s="1"/>
  <c r="X14" i="31"/>
  <c r="AD14" i="31" s="1"/>
  <c r="AE14" i="31" s="1"/>
  <c r="X19" i="31"/>
  <c r="AD19" i="31" s="1"/>
  <c r="AE19" i="31" s="1"/>
  <c r="X24" i="31"/>
  <c r="AD24" i="31" s="1"/>
  <c r="AE24" i="31" s="1"/>
  <c r="X35" i="31"/>
  <c r="X44" i="31"/>
  <c r="X71" i="31"/>
  <c r="X73" i="31"/>
  <c r="AD73" i="31" s="1"/>
  <c r="AE73" i="31" s="1"/>
  <c r="AD88" i="31"/>
  <c r="AE88" i="31" s="1"/>
  <c r="X97" i="31"/>
  <c r="AD12" i="32"/>
  <c r="AE12" i="32" s="1"/>
  <c r="X15" i="32"/>
  <c r="AD15" i="32" s="1"/>
  <c r="AE15" i="32" s="1"/>
  <c r="X29" i="32"/>
  <c r="AD29" i="32" s="1"/>
  <c r="AE29" i="32" s="1"/>
  <c r="X41" i="32"/>
  <c r="AD41" i="32" s="1"/>
  <c r="AE41" i="32" s="1"/>
  <c r="AD55" i="32"/>
  <c r="AE55" i="32" s="1"/>
  <c r="X72" i="32"/>
  <c r="X77" i="32"/>
  <c r="AD77" i="32" s="1"/>
  <c r="AE77" i="32" s="1"/>
  <c r="AD81" i="32"/>
  <c r="AE81" i="32" s="1"/>
  <c r="X95" i="32"/>
  <c r="X98" i="32"/>
  <c r="AD98" i="32" s="1"/>
  <c r="AE98" i="32" s="1"/>
  <c r="X12" i="33"/>
  <c r="AD12" i="33" s="1"/>
  <c r="AE12" i="33" s="1"/>
  <c r="X26" i="33"/>
  <c r="AD26" i="33" s="1"/>
  <c r="AE26" i="33" s="1"/>
  <c r="X33" i="33"/>
  <c r="AD33" i="33" s="1"/>
  <c r="AE33" i="33" s="1"/>
  <c r="X36" i="33"/>
  <c r="X49" i="33"/>
  <c r="AD49" i="33" s="1"/>
  <c r="AE49" i="33" s="1"/>
  <c r="X52" i="33"/>
  <c r="X65" i="33"/>
  <c r="AD65" i="33" s="1"/>
  <c r="AE65" i="33" s="1"/>
  <c r="X68" i="33"/>
  <c r="X20" i="34"/>
  <c r="AD20" i="34" s="1"/>
  <c r="AE20" i="34" s="1"/>
  <c r="X25" i="34"/>
  <c r="AD25" i="34" s="1"/>
  <c r="AE25" i="34" s="1"/>
  <c r="X30" i="34"/>
  <c r="AD30" i="34" s="1"/>
  <c r="AE30" i="34" s="1"/>
  <c r="X39" i="34"/>
  <c r="AD42" i="34"/>
  <c r="AE42" i="34" s="1"/>
  <c r="X48" i="34"/>
  <c r="AD48" i="34" s="1"/>
  <c r="AE48" i="34" s="1"/>
  <c r="X75" i="34"/>
  <c r="X77" i="34"/>
  <c r="AD77" i="34" s="1"/>
  <c r="AE77" i="34" s="1"/>
  <c r="X82" i="34"/>
  <c r="X90" i="34"/>
  <c r="AD90" i="34" s="1"/>
  <c r="AE90" i="34" s="1"/>
  <c r="X98" i="34"/>
  <c r="AD98" i="34" s="1"/>
  <c r="AE98" i="34" s="1"/>
  <c r="X19" i="35"/>
  <c r="AD19" i="35" s="1"/>
  <c r="AE19" i="35" s="1"/>
  <c r="X40" i="35"/>
  <c r="X52" i="35"/>
  <c r="X83" i="35"/>
  <c r="AD83" i="35" s="1"/>
  <c r="AE83" i="35" s="1"/>
  <c r="X85" i="35"/>
  <c r="AD85" i="35" s="1"/>
  <c r="AE85" i="35" s="1"/>
  <c r="X10" i="7"/>
  <c r="X19" i="7"/>
  <c r="AD19" i="7" s="1"/>
  <c r="AE19" i="7" s="1"/>
  <c r="X49" i="29"/>
  <c r="X73" i="29"/>
  <c r="AD73" i="29" s="1"/>
  <c r="AE73" i="29" s="1"/>
  <c r="X82" i="29"/>
  <c r="X89" i="29"/>
  <c r="X97" i="29"/>
  <c r="AD97" i="29" s="1"/>
  <c r="AE97" i="29" s="1"/>
  <c r="X9" i="30"/>
  <c r="AD9" i="30" s="1"/>
  <c r="AE9" i="30" s="1"/>
  <c r="X22" i="30"/>
  <c r="AD22" i="30" s="1"/>
  <c r="AE22" i="30" s="1"/>
  <c r="X25" i="30"/>
  <c r="AD25" i="30" s="1"/>
  <c r="AE25" i="30" s="1"/>
  <c r="X58" i="30"/>
  <c r="X79" i="30"/>
  <c r="AD87" i="30"/>
  <c r="AE87" i="30" s="1"/>
  <c r="X9" i="31"/>
  <c r="AD9" i="31" s="1"/>
  <c r="AE9" i="31" s="1"/>
  <c r="X26" i="31"/>
  <c r="AD26" i="31" s="1"/>
  <c r="AE26" i="31" s="1"/>
  <c r="X39" i="31"/>
  <c r="X41" i="31"/>
  <c r="AD41" i="31" s="1"/>
  <c r="AE41" i="31" s="1"/>
  <c r="X62" i="31"/>
  <c r="X82" i="31"/>
  <c r="X89" i="31"/>
  <c r="AD89" i="31" s="1"/>
  <c r="AE89" i="31" s="1"/>
  <c r="X10" i="32"/>
  <c r="AD10" i="32" s="1"/>
  <c r="AE10" i="32" s="1"/>
  <c r="AD16" i="32"/>
  <c r="AE16" i="32" s="1"/>
  <c r="X19" i="32"/>
  <c r="AD19" i="32" s="1"/>
  <c r="AE19" i="32" s="1"/>
  <c r="X38" i="32"/>
  <c r="X46" i="32"/>
  <c r="AD46" i="32" s="1"/>
  <c r="AE46" i="32" s="1"/>
  <c r="X48" i="32"/>
  <c r="X56" i="32"/>
  <c r="X61" i="32"/>
  <c r="AD61" i="32" s="1"/>
  <c r="AE61" i="32" s="1"/>
  <c r="AD65" i="32"/>
  <c r="AE65" i="32" s="1"/>
  <c r="X82" i="32"/>
  <c r="AD82" i="32" s="1"/>
  <c r="AE82" i="32" s="1"/>
  <c r="X90" i="32"/>
  <c r="X8" i="33"/>
  <c r="AD8" i="33" s="1"/>
  <c r="AE8" i="33" s="1"/>
  <c r="X22" i="33"/>
  <c r="AD22" i="33" s="1"/>
  <c r="AE22" i="33" s="1"/>
  <c r="X29" i="33"/>
  <c r="AD29" i="33" s="1"/>
  <c r="AE29" i="33" s="1"/>
  <c r="X76" i="33"/>
  <c r="AD76" i="33" s="1"/>
  <c r="AE76" i="33" s="1"/>
  <c r="X92" i="33"/>
  <c r="AD92" i="33" s="1"/>
  <c r="AE92" i="33" s="1"/>
  <c r="X95" i="33"/>
  <c r="AD95" i="33" s="1"/>
  <c r="AE95" i="33" s="1"/>
  <c r="X10" i="34"/>
  <c r="AD10" i="34" s="1"/>
  <c r="AE10" i="34" s="1"/>
  <c r="X15" i="34"/>
  <c r="AD15" i="34" s="1"/>
  <c r="AE15" i="34" s="1"/>
  <c r="X32" i="34"/>
  <c r="AD32" i="34" s="1"/>
  <c r="AE32" i="34" s="1"/>
  <c r="X59" i="34"/>
  <c r="X61" i="34"/>
  <c r="AD61" i="34" s="1"/>
  <c r="AE61" i="34" s="1"/>
  <c r="X66" i="34"/>
  <c r="X68" i="34"/>
  <c r="X70" i="34"/>
  <c r="AD70" i="34" s="1"/>
  <c r="AE70" i="34" s="1"/>
  <c r="X95" i="34"/>
  <c r="AD95" i="34" s="1"/>
  <c r="AE95" i="34" s="1"/>
  <c r="X12" i="35"/>
  <c r="AD12" i="35" s="1"/>
  <c r="AE12" i="35" s="1"/>
  <c r="X14" i="35"/>
  <c r="AD14" i="35" s="1"/>
  <c r="AE14" i="35" s="1"/>
  <c r="X21" i="35"/>
  <c r="AD21" i="35" s="1"/>
  <c r="AE21" i="35" s="1"/>
  <c r="X28" i="35"/>
  <c r="AD28" i="35" s="1"/>
  <c r="AE28" i="35" s="1"/>
  <c r="X30" i="35"/>
  <c r="AD30" i="35" s="1"/>
  <c r="AE30" i="35" s="1"/>
  <c r="X42" i="35"/>
  <c r="AD42" i="35" s="1"/>
  <c r="AE42" i="35" s="1"/>
  <c r="X49" i="35"/>
  <c r="AD49" i="35" s="1"/>
  <c r="AE49" i="35" s="1"/>
  <c r="X54" i="35"/>
  <c r="AD54" i="35" s="1"/>
  <c r="AE54" i="35" s="1"/>
  <c r="X66" i="35"/>
  <c r="X80" i="35"/>
  <c r="X87" i="35"/>
  <c r="X92" i="35"/>
  <c r="X94" i="35"/>
  <c r="X96" i="35"/>
  <c r="X98" i="35"/>
  <c r="X7" i="9"/>
  <c r="X11" i="9"/>
  <c r="X10" i="8"/>
  <c r="X12" i="8"/>
  <c r="AD12" i="8" s="1"/>
  <c r="AE12" i="8" s="1"/>
  <c r="X21" i="29"/>
  <c r="AD21" i="29" s="1"/>
  <c r="AE21" i="29" s="1"/>
  <c r="X26" i="29"/>
  <c r="AD26" i="29" s="1"/>
  <c r="AE26" i="29" s="1"/>
  <c r="X31" i="29"/>
  <c r="AD31" i="29" s="1"/>
  <c r="AE31" i="29" s="1"/>
  <c r="X40" i="29"/>
  <c r="AD40" i="29" s="1"/>
  <c r="AE40" i="29" s="1"/>
  <c r="X51" i="29"/>
  <c r="X53" i="29"/>
  <c r="X68" i="29"/>
  <c r="AD68" i="29" s="1"/>
  <c r="AE68" i="29" s="1"/>
  <c r="X84" i="29"/>
  <c r="X11" i="30"/>
  <c r="AD11" i="30" s="1"/>
  <c r="AE11" i="30" s="1"/>
  <c r="X16" i="30"/>
  <c r="AD32" i="30"/>
  <c r="AE32" i="30" s="1"/>
  <c r="X38" i="30"/>
  <c r="X47" i="30"/>
  <c r="X86" i="30"/>
  <c r="AD86" i="30" s="1"/>
  <c r="AE86" i="30" s="1"/>
  <c r="X91" i="30"/>
  <c r="AD91" i="30" s="1"/>
  <c r="AE91" i="30" s="1"/>
  <c r="X96" i="30"/>
  <c r="AD96" i="30" s="1"/>
  <c r="AE96" i="30" s="1"/>
  <c r="X99" i="30"/>
  <c r="AD99" i="30" s="1"/>
  <c r="AE99" i="30" s="1"/>
  <c r="X11" i="31"/>
  <c r="AD11" i="31" s="1"/>
  <c r="AE11" i="31" s="1"/>
  <c r="X16" i="31"/>
  <c r="AD16" i="31" s="1"/>
  <c r="AE16" i="31" s="1"/>
  <c r="X21" i="31"/>
  <c r="AD21" i="31" s="1"/>
  <c r="AE21" i="31" s="1"/>
  <c r="X29" i="31"/>
  <c r="AD29" i="31" s="1"/>
  <c r="AE29" i="31" s="1"/>
  <c r="X32" i="31"/>
  <c r="AD32" i="31" s="1"/>
  <c r="AE32" i="31" s="1"/>
  <c r="X50" i="31"/>
  <c r="X55" i="31"/>
  <c r="X64" i="31"/>
  <c r="X66" i="31"/>
  <c r="X84" i="31"/>
  <c r="AD84" i="31" s="1"/>
  <c r="AE84" i="31" s="1"/>
  <c r="X14" i="32"/>
  <c r="AD14" i="32" s="1"/>
  <c r="AE14" i="32" s="1"/>
  <c r="X23" i="32"/>
  <c r="AD23" i="32" s="1"/>
  <c r="AE23" i="32" s="1"/>
  <c r="AD39" i="32"/>
  <c r="AE39" i="32" s="1"/>
  <c r="AD49" i="32"/>
  <c r="AE49" i="32" s="1"/>
  <c r="X66" i="32"/>
  <c r="AD66" i="32" s="1"/>
  <c r="AE66" i="32" s="1"/>
  <c r="X79" i="32"/>
  <c r="X92" i="32"/>
  <c r="X18" i="33"/>
  <c r="X25" i="33"/>
  <c r="AD25" i="33" s="1"/>
  <c r="AE25" i="33" s="1"/>
  <c r="X46" i="33"/>
  <c r="X62" i="33"/>
  <c r="X79" i="33"/>
  <c r="X83" i="33"/>
  <c r="X97" i="33"/>
  <c r="AD97" i="33" s="1"/>
  <c r="AE97" i="33" s="1"/>
  <c r="X12" i="34"/>
  <c r="AD12" i="34" s="1"/>
  <c r="AE12" i="34" s="1"/>
  <c r="X17" i="34"/>
  <c r="AD17" i="34" s="1"/>
  <c r="AE17" i="34" s="1"/>
  <c r="X22" i="34"/>
  <c r="AD22" i="34" s="1"/>
  <c r="AE22" i="34" s="1"/>
  <c r="X27" i="34"/>
  <c r="AD27" i="34" s="1"/>
  <c r="AE27" i="34" s="1"/>
  <c r="X43" i="34"/>
  <c r="X45" i="34"/>
  <c r="AD45" i="34" s="1"/>
  <c r="AE45" i="34" s="1"/>
  <c r="X50" i="34"/>
  <c r="X52" i="34"/>
  <c r="AD52" i="34" s="1"/>
  <c r="AE52" i="34" s="1"/>
  <c r="X54" i="34"/>
  <c r="AD54" i="34" s="1"/>
  <c r="AE54" i="34" s="1"/>
  <c r="X79" i="34"/>
  <c r="X92" i="34"/>
  <c r="AD92" i="34" s="1"/>
  <c r="AE92" i="34" s="1"/>
  <c r="X97" i="34"/>
  <c r="AD97" i="34" s="1"/>
  <c r="AE97" i="34" s="1"/>
  <c r="X7" i="35"/>
  <c r="AD7" i="35" s="1"/>
  <c r="X23" i="35"/>
  <c r="AD23" i="35" s="1"/>
  <c r="AE23" i="35" s="1"/>
  <c r="X37" i="35"/>
  <c r="AD37" i="35" s="1"/>
  <c r="AE37" i="35" s="1"/>
  <c r="X56" i="35"/>
  <c r="X68" i="35"/>
  <c r="X8" i="6"/>
  <c r="X9" i="9"/>
  <c r="X8" i="7"/>
  <c r="AD8" i="7" s="1"/>
  <c r="AE8" i="7" s="1"/>
  <c r="X13" i="7"/>
  <c r="X17" i="7"/>
  <c r="X17" i="8"/>
  <c r="AD17" i="8" s="1"/>
  <c r="AE17" i="8" s="1"/>
  <c r="AD24" i="26"/>
  <c r="AE24" i="26" s="1"/>
  <c r="AD41" i="28"/>
  <c r="AE41" i="28" s="1"/>
  <c r="X16" i="29"/>
  <c r="AD16" i="29" s="1"/>
  <c r="AE16" i="29" s="1"/>
  <c r="X33" i="29"/>
  <c r="AD33" i="29" s="1"/>
  <c r="AE33" i="29" s="1"/>
  <c r="X42" i="29"/>
  <c r="X55" i="29"/>
  <c r="X59" i="29"/>
  <c r="X77" i="29"/>
  <c r="X86" i="29"/>
  <c r="X40" i="30"/>
  <c r="AD40" i="30" s="1"/>
  <c r="AE40" i="30" s="1"/>
  <c r="X18" i="31"/>
  <c r="AD18" i="31" s="1"/>
  <c r="AE18" i="31" s="1"/>
  <c r="X23" i="31"/>
  <c r="AD23" i="31" s="1"/>
  <c r="AE23" i="31" s="1"/>
  <c r="X34" i="31"/>
  <c r="X52" i="31"/>
  <c r="AD52" i="31" s="1"/>
  <c r="AE52" i="31" s="1"/>
  <c r="X59" i="31"/>
  <c r="X75" i="31"/>
  <c r="X77" i="31"/>
  <c r="AD77" i="31" s="1"/>
  <c r="AE77" i="31" s="1"/>
  <c r="X79" i="31"/>
  <c r="X96" i="31"/>
  <c r="AD96" i="31" s="1"/>
  <c r="AE96" i="31" s="1"/>
  <c r="X9" i="32"/>
  <c r="AD9" i="32" s="1"/>
  <c r="AE9" i="32" s="1"/>
  <c r="X18" i="32"/>
  <c r="AD18" i="32" s="1"/>
  <c r="AE18" i="32" s="1"/>
  <c r="X27" i="32"/>
  <c r="AD27" i="32" s="1"/>
  <c r="AE27" i="32" s="1"/>
  <c r="X40" i="32"/>
  <c r="X45" i="32"/>
  <c r="AD45" i="32" s="1"/>
  <c r="AE45" i="32" s="1"/>
  <c r="X63" i="32"/>
  <c r="X74" i="32"/>
  <c r="X84" i="32"/>
  <c r="AD84" i="32" s="1"/>
  <c r="AE84" i="32" s="1"/>
  <c r="X89" i="32"/>
  <c r="AD89" i="32" s="1"/>
  <c r="AE89" i="32" s="1"/>
  <c r="X14" i="33"/>
  <c r="AD14" i="33" s="1"/>
  <c r="AE14" i="33" s="1"/>
  <c r="X21" i="33"/>
  <c r="AD21" i="33" s="1"/>
  <c r="AE21" i="33" s="1"/>
  <c r="X32" i="33"/>
  <c r="AD32" i="33" s="1"/>
  <c r="AE32" i="33" s="1"/>
  <c r="X35" i="33"/>
  <c r="X43" i="33"/>
  <c r="X48" i="33"/>
  <c r="AD48" i="33" s="1"/>
  <c r="AE48" i="33" s="1"/>
  <c r="X51" i="33"/>
  <c r="X59" i="33"/>
  <c r="X64" i="33"/>
  <c r="AD64" i="33" s="1"/>
  <c r="AE64" i="33" s="1"/>
  <c r="X67" i="33"/>
  <c r="X7" i="34"/>
  <c r="AD7" i="34" s="1"/>
  <c r="X24" i="34"/>
  <c r="AD24" i="34" s="1"/>
  <c r="AE24" i="34" s="1"/>
  <c r="X29" i="34"/>
  <c r="X34" i="34"/>
  <c r="X36" i="34"/>
  <c r="AD36" i="34" s="1"/>
  <c r="AE36" i="34" s="1"/>
  <c r="X38" i="34"/>
  <c r="AD38" i="34" s="1"/>
  <c r="AE38" i="34" s="1"/>
  <c r="X63" i="34"/>
  <c r="AD64" i="34"/>
  <c r="AE64" i="34" s="1"/>
  <c r="X72" i="34"/>
  <c r="X81" i="34"/>
  <c r="AD81" i="34" s="1"/>
  <c r="AE81" i="34" s="1"/>
  <c r="X89" i="34"/>
  <c r="X9" i="35"/>
  <c r="AD9" i="35" s="1"/>
  <c r="AE9" i="35" s="1"/>
  <c r="X16" i="35"/>
  <c r="AD16" i="35" s="1"/>
  <c r="AE16" i="35" s="1"/>
  <c r="X18" i="35"/>
  <c r="AD18" i="35" s="1"/>
  <c r="AE18" i="35" s="1"/>
  <c r="X25" i="35"/>
  <c r="AD25" i="35" s="1"/>
  <c r="AE25" i="35" s="1"/>
  <c r="X32" i="35"/>
  <c r="X39" i="35"/>
  <c r="X44" i="35"/>
  <c r="AD44" i="35" s="1"/>
  <c r="AE44" i="35" s="1"/>
  <c r="X46" i="35"/>
  <c r="X58" i="35"/>
  <c r="AD58" i="35" s="1"/>
  <c r="AE58" i="35" s="1"/>
  <c r="X8" i="8"/>
  <c r="AD13" i="23"/>
  <c r="AE13" i="23" s="1"/>
  <c r="AD18" i="23"/>
  <c r="AE18" i="23" s="1"/>
  <c r="X23" i="23"/>
  <c r="AD28" i="23"/>
  <c r="AE28" i="23" s="1"/>
  <c r="AD29" i="23"/>
  <c r="AE29" i="23" s="1"/>
  <c r="AD14" i="24"/>
  <c r="AE14" i="24" s="1"/>
  <c r="AD17" i="24"/>
  <c r="AE17" i="24" s="1"/>
  <c r="AD32" i="24"/>
  <c r="AE32" i="24" s="1"/>
  <c r="X47" i="24"/>
  <c r="AD12" i="25"/>
  <c r="AE12" i="25" s="1"/>
  <c r="AD12" i="26"/>
  <c r="AE12" i="26" s="1"/>
  <c r="X40" i="26"/>
  <c r="AD40" i="26" s="1"/>
  <c r="AE40" i="26" s="1"/>
  <c r="X50" i="26"/>
  <c r="AD7" i="27"/>
  <c r="AD10" i="27"/>
  <c r="AE10" i="27" s="1"/>
  <c r="AD13" i="27"/>
  <c r="AE13" i="27" s="1"/>
  <c r="AD16" i="27"/>
  <c r="AE16" i="27" s="1"/>
  <c r="X48" i="27"/>
  <c r="AD8" i="28"/>
  <c r="AE8" i="28" s="1"/>
  <c r="AD22" i="28"/>
  <c r="AE22" i="28" s="1"/>
  <c r="AD24" i="28"/>
  <c r="AE24" i="28" s="1"/>
  <c r="AD31" i="28"/>
  <c r="AE31" i="28" s="1"/>
  <c r="AD31" i="30"/>
  <c r="AE31" i="30" s="1"/>
  <c r="X33" i="30"/>
  <c r="AD33" i="30" s="1"/>
  <c r="AE33" i="30" s="1"/>
  <c r="X35" i="30"/>
  <c r="X55" i="30"/>
  <c r="X85" i="30"/>
  <c r="AD85" i="30" s="1"/>
  <c r="AE85" i="30" s="1"/>
  <c r="X90" i="30"/>
  <c r="AD90" i="30" s="1"/>
  <c r="AE90" i="30" s="1"/>
  <c r="X10" i="31"/>
  <c r="AD10" i="31" s="1"/>
  <c r="AE10" i="31" s="1"/>
  <c r="X98" i="31"/>
  <c r="X17" i="32"/>
  <c r="AD17" i="32" s="1"/>
  <c r="AE17" i="32" s="1"/>
  <c r="X26" i="32"/>
  <c r="AD26" i="32" s="1"/>
  <c r="AE26" i="32" s="1"/>
  <c r="X42" i="32"/>
  <c r="X47" i="32"/>
  <c r="X60" i="32"/>
  <c r="X96" i="32"/>
  <c r="AD11" i="33"/>
  <c r="AE11" i="33" s="1"/>
  <c r="X75" i="33"/>
  <c r="X88" i="33"/>
  <c r="X16" i="34"/>
  <c r="AD16" i="34" s="1"/>
  <c r="AE16" i="34" s="1"/>
  <c r="X21" i="34"/>
  <c r="AD21" i="34" s="1"/>
  <c r="AE21" i="34" s="1"/>
  <c r="X26" i="34"/>
  <c r="AD26" i="34" s="1"/>
  <c r="AE26" i="34" s="1"/>
  <c r="X31" i="34"/>
  <c r="AD31" i="34" s="1"/>
  <c r="AE31" i="34" s="1"/>
  <c r="X40" i="34"/>
  <c r="X49" i="34"/>
  <c r="AD49" i="34" s="1"/>
  <c r="AE49" i="34" s="1"/>
  <c r="X60" i="34"/>
  <c r="X67" i="34"/>
  <c r="X69" i="34"/>
  <c r="AD69" i="34" s="1"/>
  <c r="AE69" i="34" s="1"/>
  <c r="X78" i="34"/>
  <c r="X85" i="34"/>
  <c r="AD85" i="34" s="1"/>
  <c r="AE85" i="34" s="1"/>
  <c r="X91" i="34"/>
  <c r="AD91" i="34" s="1"/>
  <c r="AE91" i="34" s="1"/>
  <c r="X13" i="35"/>
  <c r="AD13" i="35" s="1"/>
  <c r="AE13" i="35" s="1"/>
  <c r="X20" i="35"/>
  <c r="AD20" i="35" s="1"/>
  <c r="AE20" i="35" s="1"/>
  <c r="X22" i="35"/>
  <c r="AD22" i="35" s="1"/>
  <c r="AE22" i="35" s="1"/>
  <c r="X29" i="35"/>
  <c r="AD29" i="35" s="1"/>
  <c r="AE29" i="35" s="1"/>
  <c r="X34" i="35"/>
  <c r="X48" i="35"/>
  <c r="X55" i="35"/>
  <c r="X60" i="35"/>
  <c r="AD60" i="35" s="1"/>
  <c r="AE60" i="35" s="1"/>
  <c r="X62" i="35"/>
  <c r="X74" i="35"/>
  <c r="AD74" i="35" s="1"/>
  <c r="AE74" i="35" s="1"/>
  <c r="X81" i="35"/>
  <c r="AD81" i="35" s="1"/>
  <c r="AE81" i="35" s="1"/>
  <c r="X86" i="35"/>
  <c r="X93" i="35"/>
  <c r="X95" i="35"/>
  <c r="X97" i="35"/>
  <c r="X99" i="35"/>
  <c r="AD99" i="35" s="1"/>
  <c r="AE99" i="35" s="1"/>
  <c r="X9" i="7"/>
  <c r="X18" i="7"/>
  <c r="X29" i="7"/>
  <c r="X11" i="8"/>
  <c r="AD11" i="8" s="1"/>
  <c r="AE11" i="8" s="1"/>
  <c r="AC20" i="8"/>
  <c r="AC24" i="8"/>
  <c r="AC10" i="8"/>
  <c r="AC18" i="8"/>
  <c r="Z13" i="8"/>
  <c r="AD31" i="7"/>
  <c r="AE31" i="7" s="1"/>
  <c r="Z33" i="7"/>
  <c r="AD15" i="7"/>
  <c r="AE15" i="7" s="1"/>
  <c r="AD9" i="10"/>
  <c r="AE9" i="10" s="1"/>
  <c r="AD73" i="35"/>
  <c r="AE73" i="35" s="1"/>
  <c r="AD35" i="35"/>
  <c r="AE35" i="35" s="1"/>
  <c r="AD70" i="35"/>
  <c r="AE70" i="35" s="1"/>
  <c r="Z9" i="35"/>
  <c r="Z13" i="35"/>
  <c r="Z17" i="35"/>
  <c r="Z21" i="35"/>
  <c r="Z25" i="35"/>
  <c r="Z29" i="35"/>
  <c r="Z44" i="35"/>
  <c r="Z60" i="35"/>
  <c r="Z76" i="35"/>
  <c r="AC40" i="35"/>
  <c r="Z42" i="35"/>
  <c r="AC45" i="35"/>
  <c r="AC56" i="35"/>
  <c r="Z58" i="35"/>
  <c r="AC61" i="35"/>
  <c r="AD61" i="35" s="1"/>
  <c r="AE61" i="35" s="1"/>
  <c r="AC72" i="35"/>
  <c r="Z74" i="35"/>
  <c r="AC77" i="35"/>
  <c r="AD77" i="35" s="1"/>
  <c r="AE77" i="35" s="1"/>
  <c r="Z90" i="35"/>
  <c r="AC97" i="35"/>
  <c r="Z97" i="35"/>
  <c r="AC43" i="35"/>
  <c r="AD43" i="35" s="1"/>
  <c r="AE43" i="35" s="1"/>
  <c r="AC59" i="35"/>
  <c r="AD59" i="35" s="1"/>
  <c r="AE59" i="35" s="1"/>
  <c r="AC75" i="35"/>
  <c r="AD75" i="35" s="1"/>
  <c r="AE75" i="35" s="1"/>
  <c r="AC91" i="35"/>
  <c r="AD91" i="35" s="1"/>
  <c r="AE91" i="35" s="1"/>
  <c r="AC94" i="35"/>
  <c r="Z94" i="35"/>
  <c r="AC95" i="35"/>
  <c r="Z95" i="35"/>
  <c r="AC36" i="35"/>
  <c r="Z38" i="35"/>
  <c r="AC52" i="35"/>
  <c r="Z54" i="35"/>
  <c r="AC57" i="35"/>
  <c r="AD57" i="35" s="1"/>
  <c r="AE57" i="35" s="1"/>
  <c r="AC68" i="35"/>
  <c r="Z70" i="35"/>
  <c r="AC84" i="35"/>
  <c r="Z86" i="35"/>
  <c r="AC89" i="35"/>
  <c r="AD89" i="35" s="1"/>
  <c r="AE89" i="35" s="1"/>
  <c r="Z7" i="35"/>
  <c r="Z11" i="35"/>
  <c r="Z15" i="35"/>
  <c r="Z19" i="35"/>
  <c r="Z23" i="35"/>
  <c r="Z27" i="35"/>
  <c r="Z31" i="35"/>
  <c r="AC34" i="35"/>
  <c r="Z36" i="35"/>
  <c r="AC39" i="35"/>
  <c r="AC50" i="35"/>
  <c r="Z52" i="35"/>
  <c r="AC55" i="35"/>
  <c r="AC66" i="35"/>
  <c r="Z68" i="35"/>
  <c r="AC71" i="35"/>
  <c r="AC82" i="35"/>
  <c r="Z84" i="35"/>
  <c r="AC87" i="35"/>
  <c r="Z96" i="35"/>
  <c r="AC96" i="35"/>
  <c r="Z92" i="35"/>
  <c r="AC92" i="35"/>
  <c r="AC32" i="35"/>
  <c r="AC48" i="35"/>
  <c r="AC64" i="35"/>
  <c r="AD64" i="35" s="1"/>
  <c r="AE64" i="35" s="1"/>
  <c r="AC80" i="35"/>
  <c r="AC93" i="35"/>
  <c r="Z93" i="35"/>
  <c r="AC98" i="35"/>
  <c r="Z98" i="35"/>
  <c r="Z32" i="35"/>
  <c r="AC46" i="35"/>
  <c r="Z48" i="35"/>
  <c r="AC62" i="35"/>
  <c r="Z64" i="35"/>
  <c r="AC78" i="35"/>
  <c r="Z80" i="35"/>
  <c r="AD86" i="34"/>
  <c r="AE86" i="34" s="1"/>
  <c r="AD99" i="34"/>
  <c r="AE99" i="34" s="1"/>
  <c r="AC75" i="34"/>
  <c r="Z75" i="34"/>
  <c r="Z10" i="34"/>
  <c r="Z14" i="34"/>
  <c r="Z18" i="34"/>
  <c r="Z22" i="34"/>
  <c r="Z26" i="34"/>
  <c r="Z30" i="34"/>
  <c r="Z41" i="34"/>
  <c r="Z42" i="34"/>
  <c r="AC44" i="34"/>
  <c r="Z57" i="34"/>
  <c r="Z58" i="34"/>
  <c r="AC60" i="34"/>
  <c r="Z73" i="34"/>
  <c r="Z74" i="34"/>
  <c r="AC76" i="34"/>
  <c r="X84" i="34"/>
  <c r="AC39" i="34"/>
  <c r="Z39" i="34"/>
  <c r="AC55" i="34"/>
  <c r="Z55" i="34"/>
  <c r="AC71" i="34"/>
  <c r="Z71" i="34"/>
  <c r="Z7" i="34"/>
  <c r="Z11" i="34"/>
  <c r="Z15" i="34"/>
  <c r="Z19" i="34"/>
  <c r="Z23" i="34"/>
  <c r="Z27" i="34"/>
  <c r="Z31" i="34"/>
  <c r="Z37" i="34"/>
  <c r="Z38" i="34"/>
  <c r="AC40" i="34"/>
  <c r="Z53" i="34"/>
  <c r="Z54" i="34"/>
  <c r="AC56" i="34"/>
  <c r="Z69" i="34"/>
  <c r="Z70" i="34"/>
  <c r="AC72" i="34"/>
  <c r="AC34" i="34"/>
  <c r="AC35" i="34"/>
  <c r="Z35" i="34"/>
  <c r="AC50" i="34"/>
  <c r="AC51" i="34"/>
  <c r="Z51" i="34"/>
  <c r="AC66" i="34"/>
  <c r="AC67" i="34"/>
  <c r="Z67" i="34"/>
  <c r="AC82" i="34"/>
  <c r="AC83" i="34"/>
  <c r="AD83" i="34" s="1"/>
  <c r="AE83" i="34" s="1"/>
  <c r="Z83" i="34"/>
  <c r="AC43" i="34"/>
  <c r="Z43" i="34"/>
  <c r="AC59" i="34"/>
  <c r="Z59" i="34"/>
  <c r="Z34" i="34"/>
  <c r="Z50" i="34"/>
  <c r="Z66" i="34"/>
  <c r="AC68" i="34"/>
  <c r="Z82" i="34"/>
  <c r="AC84" i="34"/>
  <c r="AD94" i="34"/>
  <c r="AE94" i="34" s="1"/>
  <c r="X41" i="34"/>
  <c r="AD41" i="34" s="1"/>
  <c r="AE41" i="34" s="1"/>
  <c r="AC46" i="34"/>
  <c r="AD46" i="34" s="1"/>
  <c r="AE46" i="34" s="1"/>
  <c r="AC47" i="34"/>
  <c r="Z47" i="34"/>
  <c r="X57" i="34"/>
  <c r="AD57" i="34" s="1"/>
  <c r="AE57" i="34" s="1"/>
  <c r="AC62" i="34"/>
  <c r="AD62" i="34" s="1"/>
  <c r="AE62" i="34" s="1"/>
  <c r="AC63" i="34"/>
  <c r="Z63" i="34"/>
  <c r="X73" i="34"/>
  <c r="AD73" i="34" s="1"/>
  <c r="AE73" i="34" s="1"/>
  <c r="AC78" i="34"/>
  <c r="AC79" i="34"/>
  <c r="Z79" i="34"/>
  <c r="Z87" i="34"/>
  <c r="Z91" i="34"/>
  <c r="Z95" i="34"/>
  <c r="Z99" i="34"/>
  <c r="AD7" i="33"/>
  <c r="AD10" i="33"/>
  <c r="AE10" i="33" s="1"/>
  <c r="AC38" i="33"/>
  <c r="AD38" i="33" s="1"/>
  <c r="AE38" i="33" s="1"/>
  <c r="AC39" i="33"/>
  <c r="AD39" i="33" s="1"/>
  <c r="AE39" i="33" s="1"/>
  <c r="Z39" i="33"/>
  <c r="AC55" i="33"/>
  <c r="AD55" i="33" s="1"/>
  <c r="AE55" i="33" s="1"/>
  <c r="Z55" i="33"/>
  <c r="AC70" i="33"/>
  <c r="AD70" i="33" s="1"/>
  <c r="AE70" i="33" s="1"/>
  <c r="AC71" i="33"/>
  <c r="AD71" i="33" s="1"/>
  <c r="AE71" i="33" s="1"/>
  <c r="Z71" i="33"/>
  <c r="X81" i="33"/>
  <c r="AD81" i="33" s="1"/>
  <c r="AE81" i="33" s="1"/>
  <c r="AC86" i="33"/>
  <c r="AD86" i="33" s="1"/>
  <c r="AE86" i="33" s="1"/>
  <c r="AC87" i="33"/>
  <c r="AD87" i="33" s="1"/>
  <c r="AE87" i="33" s="1"/>
  <c r="Z87" i="33"/>
  <c r="AD94" i="33"/>
  <c r="AE94" i="33" s="1"/>
  <c r="Z7" i="33"/>
  <c r="Z11" i="33"/>
  <c r="Z15" i="33"/>
  <c r="Z19" i="33"/>
  <c r="Z23" i="33"/>
  <c r="Z27" i="33"/>
  <c r="Z31" i="33"/>
  <c r="Z37" i="33"/>
  <c r="Z38" i="33"/>
  <c r="AC40" i="33"/>
  <c r="Z53" i="33"/>
  <c r="Z54" i="33"/>
  <c r="AC56" i="33"/>
  <c r="AC72" i="33"/>
  <c r="AC88" i="33"/>
  <c r="AC35" i="33"/>
  <c r="Z35" i="33"/>
  <c r="AC51" i="33"/>
  <c r="Z51" i="33"/>
  <c r="AC67" i="33"/>
  <c r="Z67" i="33"/>
  <c r="AC83" i="33"/>
  <c r="Z83" i="33"/>
  <c r="Z93" i="33"/>
  <c r="Z34" i="33"/>
  <c r="AC36" i="33"/>
  <c r="Z50" i="33"/>
  <c r="AC52" i="33"/>
  <c r="Z66" i="33"/>
  <c r="AC68" i="33"/>
  <c r="AC84" i="33"/>
  <c r="X89" i="33"/>
  <c r="AD89" i="33" s="1"/>
  <c r="AE89" i="33" s="1"/>
  <c r="AD98" i="33"/>
  <c r="AE98" i="33" s="1"/>
  <c r="X41" i="33"/>
  <c r="AD41" i="33" s="1"/>
  <c r="AE41" i="33" s="1"/>
  <c r="AC46" i="33"/>
  <c r="AC47" i="33"/>
  <c r="Z47" i="33"/>
  <c r="X57" i="33"/>
  <c r="AD57" i="33" s="1"/>
  <c r="AE57" i="33" s="1"/>
  <c r="AC62" i="33"/>
  <c r="AC63" i="33"/>
  <c r="Z63" i="33"/>
  <c r="X73" i="33"/>
  <c r="AD73" i="33" s="1"/>
  <c r="AE73" i="33" s="1"/>
  <c r="AC78" i="33"/>
  <c r="AC79" i="33"/>
  <c r="Z79" i="33"/>
  <c r="X40" i="33"/>
  <c r="X56" i="33"/>
  <c r="X72" i="33"/>
  <c r="X37" i="33"/>
  <c r="AD37" i="33" s="1"/>
  <c r="AE37" i="33" s="1"/>
  <c r="AC43" i="33"/>
  <c r="Z43" i="33"/>
  <c r="X53" i="33"/>
  <c r="AD53" i="33" s="1"/>
  <c r="AE53" i="33" s="1"/>
  <c r="AC59" i="33"/>
  <c r="Z59" i="33"/>
  <c r="X69" i="33"/>
  <c r="AD69" i="33" s="1"/>
  <c r="AE69" i="33" s="1"/>
  <c r="AC75" i="33"/>
  <c r="Z75" i="33"/>
  <c r="X85" i="33"/>
  <c r="AD85" i="33" s="1"/>
  <c r="AE85" i="33" s="1"/>
  <c r="Z91" i="33"/>
  <c r="Z95" i="33"/>
  <c r="Z99" i="33"/>
  <c r="AD75" i="32"/>
  <c r="AE75" i="32" s="1"/>
  <c r="AD59" i="32"/>
  <c r="AE59" i="32" s="1"/>
  <c r="X64" i="32"/>
  <c r="X80" i="32"/>
  <c r="AC32" i="32"/>
  <c r="AD32" i="32" s="1"/>
  <c r="AE32" i="32" s="1"/>
  <c r="Z34" i="32"/>
  <c r="AC37" i="32"/>
  <c r="AD37" i="32" s="1"/>
  <c r="AE37" i="32" s="1"/>
  <c r="AC48" i="32"/>
  <c r="Z50" i="32"/>
  <c r="AC53" i="32"/>
  <c r="AD53" i="32" s="1"/>
  <c r="AE53" i="32" s="1"/>
  <c r="AC64" i="32"/>
  <c r="Z66" i="32"/>
  <c r="AC69" i="32"/>
  <c r="AD69" i="32" s="1"/>
  <c r="AE69" i="32" s="1"/>
  <c r="AC80" i="32"/>
  <c r="Z82" i="32"/>
  <c r="AC85" i="32"/>
  <c r="AD85" i="32" s="1"/>
  <c r="AE85" i="32" s="1"/>
  <c r="AC96" i="32"/>
  <c r="AC35" i="32"/>
  <c r="AD35" i="32" s="1"/>
  <c r="AE35" i="32" s="1"/>
  <c r="AC51" i="32"/>
  <c r="AD51" i="32" s="1"/>
  <c r="AE51" i="32" s="1"/>
  <c r="AC67" i="32"/>
  <c r="AD67" i="32" s="1"/>
  <c r="AE67" i="32" s="1"/>
  <c r="AC83" i="32"/>
  <c r="AD83" i="32" s="1"/>
  <c r="AE83" i="32" s="1"/>
  <c r="AC44" i="32"/>
  <c r="Z46" i="32"/>
  <c r="AC60" i="32"/>
  <c r="Z62" i="32"/>
  <c r="AC76" i="32"/>
  <c r="Z78" i="32"/>
  <c r="AC92" i="32"/>
  <c r="Z94" i="32"/>
  <c r="AC42" i="32"/>
  <c r="Z44" i="32"/>
  <c r="Z101" i="32" s="1"/>
  <c r="AC47" i="32"/>
  <c r="AC58" i="32"/>
  <c r="AD58" i="32" s="1"/>
  <c r="AE58" i="32" s="1"/>
  <c r="Z60" i="32"/>
  <c r="AC63" i="32"/>
  <c r="AC74" i="32"/>
  <c r="Z76" i="32"/>
  <c r="AC79" i="32"/>
  <c r="AC90" i="32"/>
  <c r="Z92" i="32"/>
  <c r="AC95" i="32"/>
  <c r="X36" i="32"/>
  <c r="AD36" i="32" s="1"/>
  <c r="AE36" i="32" s="1"/>
  <c r="AC40" i="32"/>
  <c r="X52" i="32"/>
  <c r="AD52" i="32" s="1"/>
  <c r="AE52" i="32" s="1"/>
  <c r="AC56" i="32"/>
  <c r="AC72" i="32"/>
  <c r="AC88" i="32"/>
  <c r="AC38" i="32"/>
  <c r="AC54" i="32"/>
  <c r="AD54" i="32" s="1"/>
  <c r="AE54" i="32" s="1"/>
  <c r="AC70" i="32"/>
  <c r="AC86" i="32"/>
  <c r="Z88" i="32"/>
  <c r="AD12" i="31"/>
  <c r="AE12" i="31" s="1"/>
  <c r="AD15" i="31"/>
  <c r="AE15" i="31" s="1"/>
  <c r="AD22" i="31"/>
  <c r="AE22" i="31" s="1"/>
  <c r="AC70" i="31"/>
  <c r="Z70" i="31"/>
  <c r="Z33" i="31"/>
  <c r="X36" i="31"/>
  <c r="AC37" i="31"/>
  <c r="AC42" i="31"/>
  <c r="AD42" i="31" s="1"/>
  <c r="AE42" i="31" s="1"/>
  <c r="Z42" i="31"/>
  <c r="X45" i="31"/>
  <c r="AD45" i="31" s="1"/>
  <c r="AE45" i="31" s="1"/>
  <c r="AC51" i="31"/>
  <c r="Z51" i="31"/>
  <c r="Z65" i="31"/>
  <c r="X68" i="31"/>
  <c r="AC69" i="31"/>
  <c r="AC74" i="31"/>
  <c r="AD74" i="31" s="1"/>
  <c r="AE74" i="31" s="1"/>
  <c r="Z74" i="31"/>
  <c r="AC83" i="31"/>
  <c r="Z83" i="31"/>
  <c r="AC94" i="31"/>
  <c r="AD94" i="31" s="1"/>
  <c r="AE94" i="31" s="1"/>
  <c r="Z94" i="31"/>
  <c r="AC97" i="31"/>
  <c r="AC38" i="31"/>
  <c r="AD38" i="31" s="1"/>
  <c r="AE38" i="31" s="1"/>
  <c r="Z38" i="31"/>
  <c r="AC47" i="31"/>
  <c r="Z47" i="31"/>
  <c r="AC79" i="31"/>
  <c r="Z79" i="31"/>
  <c r="Z8" i="31"/>
  <c r="Z101" i="31" s="1"/>
  <c r="Z12" i="31"/>
  <c r="Z16" i="31"/>
  <c r="Z20" i="31"/>
  <c r="Z24" i="31"/>
  <c r="X40" i="31"/>
  <c r="AC46" i="31"/>
  <c r="AD46" i="31" s="1"/>
  <c r="AE46" i="31" s="1"/>
  <c r="Z46" i="31"/>
  <c r="X49" i="31"/>
  <c r="AD49" i="31" s="1"/>
  <c r="AE49" i="31" s="1"/>
  <c r="AC55" i="31"/>
  <c r="Z55" i="31"/>
  <c r="AC56" i="31"/>
  <c r="X63" i="31"/>
  <c r="X72" i="31"/>
  <c r="AC78" i="31"/>
  <c r="AD78" i="31" s="1"/>
  <c r="AE78" i="31" s="1"/>
  <c r="Z78" i="31"/>
  <c r="X81" i="31"/>
  <c r="AD81" i="31" s="1"/>
  <c r="AE81" i="31" s="1"/>
  <c r="X99" i="31"/>
  <c r="AD99" i="31" s="1"/>
  <c r="AE99" i="31" s="1"/>
  <c r="AC50" i="31"/>
  <c r="Z50" i="31"/>
  <c r="Z9" i="31"/>
  <c r="Z13" i="31"/>
  <c r="Z17" i="31"/>
  <c r="Z21" i="31"/>
  <c r="Z25" i="31"/>
  <c r="Z29" i="31"/>
  <c r="Z45" i="31"/>
  <c r="X48" i="31"/>
  <c r="AD48" i="31" s="1"/>
  <c r="AE48" i="31" s="1"/>
  <c r="AC54" i="31"/>
  <c r="AD54" i="31" s="1"/>
  <c r="AE54" i="31" s="1"/>
  <c r="Z54" i="31"/>
  <c r="X57" i="31"/>
  <c r="AC63" i="31"/>
  <c r="Z63" i="31"/>
  <c r="AC64" i="31"/>
  <c r="Z77" i="31"/>
  <c r="X80" i="31"/>
  <c r="AD80" i="31" s="1"/>
  <c r="AE80" i="31" s="1"/>
  <c r="AC86" i="31"/>
  <c r="AD86" i="31" s="1"/>
  <c r="AE86" i="31" s="1"/>
  <c r="Z86" i="31"/>
  <c r="X95" i="31"/>
  <c r="AD95" i="31" s="1"/>
  <c r="AE95" i="31" s="1"/>
  <c r="AC59" i="31"/>
  <c r="Z59" i="31"/>
  <c r="AC35" i="31"/>
  <c r="Z35" i="31"/>
  <c r="AC36" i="31"/>
  <c r="AC58" i="31"/>
  <c r="Z58" i="31"/>
  <c r="AC67" i="31"/>
  <c r="Z67" i="31"/>
  <c r="AC68" i="31"/>
  <c r="AC82" i="31"/>
  <c r="Z82" i="31"/>
  <c r="AC90" i="31"/>
  <c r="Z90" i="31"/>
  <c r="X33" i="31"/>
  <c r="AD33" i="31" s="1"/>
  <c r="AE33" i="31" s="1"/>
  <c r="AC39" i="31"/>
  <c r="Z39" i="31"/>
  <c r="AC40" i="31"/>
  <c r="Z53" i="31"/>
  <c r="X56" i="31"/>
  <c r="AC57" i="31"/>
  <c r="AC62" i="31"/>
  <c r="Z62" i="31"/>
  <c r="X65" i="31"/>
  <c r="AD65" i="31" s="1"/>
  <c r="AE65" i="31" s="1"/>
  <c r="AC71" i="31"/>
  <c r="Z71" i="31"/>
  <c r="AC72" i="31"/>
  <c r="Z85" i="31"/>
  <c r="X91" i="31"/>
  <c r="AD91" i="31" s="1"/>
  <c r="AE91" i="31" s="1"/>
  <c r="AC34" i="31"/>
  <c r="Z34" i="31"/>
  <c r="X37" i="31"/>
  <c r="AC43" i="31"/>
  <c r="Z43" i="31"/>
  <c r="AC44" i="31"/>
  <c r="X51" i="31"/>
  <c r="X60" i="31"/>
  <c r="AD60" i="31" s="1"/>
  <c r="AE60" i="31" s="1"/>
  <c r="AC61" i="31"/>
  <c r="AC66" i="31"/>
  <c r="Z66" i="31"/>
  <c r="X69" i="31"/>
  <c r="AC75" i="31"/>
  <c r="Z75" i="31"/>
  <c r="AC76" i="31"/>
  <c r="AD76" i="31" s="1"/>
  <c r="AE76" i="31" s="1"/>
  <c r="X83" i="31"/>
  <c r="X87" i="31"/>
  <c r="AD87" i="31" s="1"/>
  <c r="AE87" i="31" s="1"/>
  <c r="AC98" i="31"/>
  <c r="Z98" i="31"/>
  <c r="Z87" i="31"/>
  <c r="Z91" i="31"/>
  <c r="Z95" i="31"/>
  <c r="Z99" i="31"/>
  <c r="AD27" i="30"/>
  <c r="AE27" i="30" s="1"/>
  <c r="AD23" i="30"/>
  <c r="AE23" i="30" s="1"/>
  <c r="AC38" i="30"/>
  <c r="Z38" i="30"/>
  <c r="AC70" i="30"/>
  <c r="Z70" i="30"/>
  <c r="Z33" i="30"/>
  <c r="Z101" i="30" s="1"/>
  <c r="AC42" i="30"/>
  <c r="AD42" i="30" s="1"/>
  <c r="AE42" i="30" s="1"/>
  <c r="Z42" i="30"/>
  <c r="AC51" i="30"/>
  <c r="Z51" i="30"/>
  <c r="Z65" i="30"/>
  <c r="X68" i="30"/>
  <c r="AD68" i="30" s="1"/>
  <c r="AE68" i="30" s="1"/>
  <c r="AC74" i="30"/>
  <c r="AD74" i="30" s="1"/>
  <c r="AE74" i="30" s="1"/>
  <c r="Z74" i="30"/>
  <c r="X77" i="30"/>
  <c r="X81" i="30"/>
  <c r="AC47" i="30"/>
  <c r="Z47" i="30"/>
  <c r="AC79" i="30"/>
  <c r="Z79" i="30"/>
  <c r="Z8" i="30"/>
  <c r="Z12" i="30"/>
  <c r="Z16" i="30"/>
  <c r="Z20" i="30"/>
  <c r="Z24" i="30"/>
  <c r="Z28" i="30"/>
  <c r="Z37" i="30"/>
  <c r="AC46" i="30"/>
  <c r="AD46" i="30" s="1"/>
  <c r="AE46" i="30" s="1"/>
  <c r="Z46" i="30"/>
  <c r="AC55" i="30"/>
  <c r="Z55" i="30"/>
  <c r="AC56" i="30"/>
  <c r="AC78" i="30"/>
  <c r="AD78" i="30" s="1"/>
  <c r="AE78" i="30" s="1"/>
  <c r="Z78" i="30"/>
  <c r="AC82" i="30"/>
  <c r="AD82" i="30" s="1"/>
  <c r="AE82" i="30" s="1"/>
  <c r="Z82" i="30"/>
  <c r="Z41" i="30"/>
  <c r="X44" i="30"/>
  <c r="AC45" i="30"/>
  <c r="AC50" i="30"/>
  <c r="Z50" i="30"/>
  <c r="X53" i="30"/>
  <c r="AD53" i="30" s="1"/>
  <c r="AE53" i="30" s="1"/>
  <c r="AC59" i="30"/>
  <c r="Z59" i="30"/>
  <c r="AC60" i="30"/>
  <c r="Z73" i="30"/>
  <c r="X76" i="30"/>
  <c r="AC77" i="30"/>
  <c r="X80" i="30"/>
  <c r="AC81" i="30"/>
  <c r="X39" i="30"/>
  <c r="X48" i="30"/>
  <c r="AD48" i="30" s="1"/>
  <c r="AE48" i="30" s="1"/>
  <c r="AC49" i="30"/>
  <c r="AC54" i="30"/>
  <c r="Z54" i="30"/>
  <c r="X57" i="30"/>
  <c r="AC63" i="30"/>
  <c r="Z63" i="30"/>
  <c r="AC64" i="30"/>
  <c r="X71" i="30"/>
  <c r="AC35" i="30"/>
  <c r="Z35" i="30"/>
  <c r="X43" i="30"/>
  <c r="X52" i="30"/>
  <c r="AD52" i="30" s="1"/>
  <c r="AE52" i="30" s="1"/>
  <c r="AC58" i="30"/>
  <c r="Z58" i="30"/>
  <c r="AC67" i="30"/>
  <c r="Z67" i="30"/>
  <c r="X75" i="30"/>
  <c r="AC39" i="30"/>
  <c r="Z39" i="30"/>
  <c r="Z53" i="30"/>
  <c r="AC57" i="30"/>
  <c r="AC62" i="30"/>
  <c r="AD62" i="30" s="1"/>
  <c r="AE62" i="30" s="1"/>
  <c r="Z62" i="30"/>
  <c r="AC71" i="30"/>
  <c r="Z71" i="30"/>
  <c r="AC34" i="30"/>
  <c r="AD34" i="30" s="1"/>
  <c r="AE34" i="30" s="1"/>
  <c r="Z34" i="30"/>
  <c r="X37" i="30"/>
  <c r="AD37" i="30" s="1"/>
  <c r="AE37" i="30" s="1"/>
  <c r="AC43" i="30"/>
  <c r="Z43" i="30"/>
  <c r="AC44" i="30"/>
  <c r="Z57" i="30"/>
  <c r="X60" i="30"/>
  <c r="AC61" i="30"/>
  <c r="AC66" i="30"/>
  <c r="AD66" i="30" s="1"/>
  <c r="AE66" i="30" s="1"/>
  <c r="Z66" i="30"/>
  <c r="X69" i="30"/>
  <c r="AD69" i="30" s="1"/>
  <c r="AE69" i="30" s="1"/>
  <c r="AC75" i="30"/>
  <c r="Z75" i="30"/>
  <c r="AC76" i="30"/>
  <c r="AC80" i="30"/>
  <c r="AD98" i="30"/>
  <c r="AE98" i="30" s="1"/>
  <c r="Z86" i="30"/>
  <c r="Z90" i="30"/>
  <c r="Z94" i="30"/>
  <c r="Z98" i="30"/>
  <c r="Z83" i="30"/>
  <c r="Z87" i="30"/>
  <c r="Z91" i="30"/>
  <c r="Z95" i="30"/>
  <c r="AD27" i="29"/>
  <c r="AE27" i="29" s="1"/>
  <c r="Z7" i="29"/>
  <c r="Z11" i="29"/>
  <c r="Z15" i="29"/>
  <c r="Z19" i="29"/>
  <c r="Z23" i="29"/>
  <c r="Z27" i="29"/>
  <c r="Z31" i="29"/>
  <c r="AC38" i="29"/>
  <c r="AD38" i="29" s="1"/>
  <c r="AE38" i="29" s="1"/>
  <c r="Z38" i="29"/>
  <c r="AC47" i="29"/>
  <c r="Z47" i="29"/>
  <c r="AC48" i="29"/>
  <c r="Z61" i="29"/>
  <c r="AC70" i="29"/>
  <c r="AD70" i="29" s="1"/>
  <c r="AE70" i="29" s="1"/>
  <c r="Z70" i="29"/>
  <c r="AC79" i="29"/>
  <c r="Z79" i="29"/>
  <c r="AC80" i="29"/>
  <c r="AC84" i="29"/>
  <c r="X99" i="29"/>
  <c r="AD99" i="29" s="1"/>
  <c r="AE99" i="29" s="1"/>
  <c r="AC34" i="29"/>
  <c r="AD34" i="29" s="1"/>
  <c r="AE34" i="29" s="1"/>
  <c r="Z34" i="29"/>
  <c r="AC75" i="29"/>
  <c r="Z75" i="29"/>
  <c r="Z33" i="29"/>
  <c r="AC42" i="29"/>
  <c r="Z42" i="29"/>
  <c r="AC51" i="29"/>
  <c r="Z51" i="29"/>
  <c r="AC52" i="29"/>
  <c r="Z65" i="29"/>
  <c r="AC74" i="29"/>
  <c r="Z74" i="29"/>
  <c r="AC90" i="29"/>
  <c r="Z90" i="29"/>
  <c r="AC66" i="29"/>
  <c r="AD66" i="29" s="1"/>
  <c r="AE66" i="29" s="1"/>
  <c r="Z66" i="29"/>
  <c r="Z8" i="29"/>
  <c r="Z12" i="29"/>
  <c r="Z16" i="29"/>
  <c r="Z20" i="29"/>
  <c r="Z24" i="29"/>
  <c r="Z28" i="29"/>
  <c r="Z32" i="29"/>
  <c r="Z37" i="29"/>
  <c r="AC46" i="29"/>
  <c r="Z46" i="29"/>
  <c r="AC55" i="29"/>
  <c r="Z55" i="29"/>
  <c r="AC56" i="29"/>
  <c r="AD56" i="29" s="1"/>
  <c r="AE56" i="29" s="1"/>
  <c r="Z69" i="29"/>
  <c r="X72" i="29"/>
  <c r="AD72" i="29" s="1"/>
  <c r="AE72" i="29" s="1"/>
  <c r="AC78" i="29"/>
  <c r="AD78" i="29" s="1"/>
  <c r="AE78" i="29" s="1"/>
  <c r="Z78" i="29"/>
  <c r="X81" i="29"/>
  <c r="X85" i="29"/>
  <c r="AC86" i="29"/>
  <c r="Z86" i="29"/>
  <c r="X95" i="29"/>
  <c r="AD95" i="29" s="1"/>
  <c r="AE95" i="29" s="1"/>
  <c r="Z41" i="29"/>
  <c r="AC45" i="29"/>
  <c r="AC50" i="29"/>
  <c r="Z50" i="29"/>
  <c r="AC59" i="29"/>
  <c r="Z59" i="29"/>
  <c r="AC60" i="29"/>
  <c r="AC77" i="29"/>
  <c r="AC82" i="29"/>
  <c r="Z82" i="29"/>
  <c r="AC89" i="29"/>
  <c r="AC39" i="29"/>
  <c r="Z39" i="29"/>
  <c r="AC62" i="29"/>
  <c r="AD62" i="29" s="1"/>
  <c r="AE62" i="29" s="1"/>
  <c r="Z62" i="29"/>
  <c r="AC71" i="29"/>
  <c r="Z71" i="29"/>
  <c r="AC94" i="29"/>
  <c r="AD94" i="29" s="1"/>
  <c r="AE94" i="29" s="1"/>
  <c r="Z94" i="29"/>
  <c r="Z45" i="29"/>
  <c r="X48" i="29"/>
  <c r="AC49" i="29"/>
  <c r="AC54" i="29"/>
  <c r="Z54" i="29"/>
  <c r="X57" i="29"/>
  <c r="AD57" i="29" s="1"/>
  <c r="AE57" i="29" s="1"/>
  <c r="AC63" i="29"/>
  <c r="Z63" i="29"/>
  <c r="AC64" i="29"/>
  <c r="Z77" i="29"/>
  <c r="X80" i="29"/>
  <c r="AC81" i="29"/>
  <c r="AC85" i="29"/>
  <c r="X91" i="29"/>
  <c r="AD91" i="29" s="1"/>
  <c r="AE91" i="29" s="1"/>
  <c r="AC43" i="29"/>
  <c r="Z43" i="29"/>
  <c r="Z57" i="29"/>
  <c r="AC35" i="29"/>
  <c r="Z35" i="29"/>
  <c r="X43" i="29"/>
  <c r="X52" i="29"/>
  <c r="AC53" i="29"/>
  <c r="AC58" i="29"/>
  <c r="AD58" i="29" s="1"/>
  <c r="AE58" i="29" s="1"/>
  <c r="Z58" i="29"/>
  <c r="X61" i="29"/>
  <c r="AD61" i="29" s="1"/>
  <c r="AE61" i="29" s="1"/>
  <c r="AC67" i="29"/>
  <c r="Z67" i="29"/>
  <c r="X75" i="29"/>
  <c r="AC98" i="29"/>
  <c r="AD98" i="29" s="1"/>
  <c r="AE98" i="29" s="1"/>
  <c r="Z98" i="29"/>
  <c r="Z83" i="29"/>
  <c r="Z87" i="29"/>
  <c r="Z91" i="29"/>
  <c r="Z95" i="29"/>
  <c r="Z99" i="29"/>
  <c r="AD16" i="28"/>
  <c r="AE16" i="28" s="1"/>
  <c r="AD32" i="28"/>
  <c r="AE32" i="28" s="1"/>
  <c r="AD9" i="28"/>
  <c r="AE9" i="28" s="1"/>
  <c r="AD14" i="28"/>
  <c r="AE14" i="28" s="1"/>
  <c r="AD25" i="28"/>
  <c r="AE25" i="28" s="1"/>
  <c r="AD30" i="28"/>
  <c r="AE30" i="28" s="1"/>
  <c r="AD20" i="28"/>
  <c r="AE20" i="28" s="1"/>
  <c r="AD18" i="28"/>
  <c r="AE18" i="28" s="1"/>
  <c r="AD40" i="28"/>
  <c r="AE40" i="28" s="1"/>
  <c r="Z7" i="28"/>
  <c r="Z11" i="28"/>
  <c r="Z38" i="28"/>
  <c r="AC34" i="28"/>
  <c r="AD34" i="28" s="1"/>
  <c r="AE34" i="28" s="1"/>
  <c r="AC35" i="28"/>
  <c r="AD35" i="28" s="1"/>
  <c r="AE35" i="28" s="1"/>
  <c r="Z35" i="28"/>
  <c r="X45" i="28"/>
  <c r="AD45" i="28" s="1"/>
  <c r="AE45" i="28" s="1"/>
  <c r="AC50" i="28"/>
  <c r="AC39" i="28"/>
  <c r="AD39" i="28" s="1"/>
  <c r="AE39" i="28" s="1"/>
  <c r="Z39" i="28"/>
  <c r="Z31" i="28"/>
  <c r="AC15" i="28"/>
  <c r="AC19" i="28"/>
  <c r="AC23" i="28"/>
  <c r="AD23" i="28" s="1"/>
  <c r="AE23" i="28" s="1"/>
  <c r="AC27" i="28"/>
  <c r="AD27" i="28" s="1"/>
  <c r="AE27" i="28" s="1"/>
  <c r="AC36" i="28"/>
  <c r="AD36" i="28" s="1"/>
  <c r="AE36" i="28" s="1"/>
  <c r="AC37" i="28"/>
  <c r="AD37" i="28" s="1"/>
  <c r="AE37" i="28" s="1"/>
  <c r="AC47" i="28"/>
  <c r="Z47" i="28"/>
  <c r="Z9" i="28"/>
  <c r="Z55" i="28" s="1"/>
  <c r="Z13" i="28"/>
  <c r="Z17" i="28"/>
  <c r="Z21" i="28"/>
  <c r="Z25" i="28"/>
  <c r="Z29" i="28"/>
  <c r="Z45" i="28"/>
  <c r="Z46" i="28"/>
  <c r="AC48" i="28"/>
  <c r="AC42" i="28"/>
  <c r="AC43" i="28"/>
  <c r="AD43" i="28" s="1"/>
  <c r="AE43" i="28" s="1"/>
  <c r="Z43" i="28"/>
  <c r="Z42" i="28"/>
  <c r="AC44" i="28"/>
  <c r="AD44" i="28" s="1"/>
  <c r="AE44" i="28" s="1"/>
  <c r="AD14" i="27"/>
  <c r="AE14" i="27" s="1"/>
  <c r="AD17" i="27"/>
  <c r="AE17" i="27" s="1"/>
  <c r="AD20" i="27"/>
  <c r="AE20" i="27" s="1"/>
  <c r="AD11" i="27"/>
  <c r="AE11" i="27" s="1"/>
  <c r="AD31" i="27"/>
  <c r="AE31" i="27" s="1"/>
  <c r="Z9" i="27"/>
  <c r="Z58" i="27" s="1"/>
  <c r="Z13" i="27"/>
  <c r="Z17" i="27"/>
  <c r="Z21" i="27"/>
  <c r="Z25" i="27"/>
  <c r="Z29" i="27"/>
  <c r="AC41" i="27"/>
  <c r="AC46" i="27"/>
  <c r="Z46" i="27"/>
  <c r="X49" i="27"/>
  <c r="AD37" i="27"/>
  <c r="AE37" i="27" s="1"/>
  <c r="X44" i="27"/>
  <c r="AD44" i="27" s="1"/>
  <c r="AE44" i="27" s="1"/>
  <c r="AC50" i="27"/>
  <c r="Z50" i="27"/>
  <c r="X53" i="27"/>
  <c r="AC51" i="27"/>
  <c r="Z51" i="27"/>
  <c r="AC38" i="27"/>
  <c r="AD38" i="27" s="1"/>
  <c r="AE38" i="27" s="1"/>
  <c r="AC39" i="27"/>
  <c r="Z39" i="27"/>
  <c r="Z49" i="27"/>
  <c r="AC53" i="27"/>
  <c r="AC42" i="27"/>
  <c r="Z42" i="27"/>
  <c r="Z38" i="27"/>
  <c r="AC40" i="27"/>
  <c r="AD40" i="27" s="1"/>
  <c r="AE40" i="27" s="1"/>
  <c r="Z53" i="27"/>
  <c r="AC47" i="27"/>
  <c r="Z47" i="27"/>
  <c r="AC34" i="27"/>
  <c r="AC35" i="27"/>
  <c r="AD35" i="27" s="1"/>
  <c r="AE35" i="27" s="1"/>
  <c r="Z35" i="27"/>
  <c r="AC43" i="27"/>
  <c r="Z43" i="27"/>
  <c r="X51" i="27"/>
  <c r="AD30" i="26"/>
  <c r="AE30" i="26" s="1"/>
  <c r="AD26" i="26"/>
  <c r="AE26" i="26" s="1"/>
  <c r="AD14" i="26"/>
  <c r="AE14" i="26" s="1"/>
  <c r="AD32" i="26"/>
  <c r="AE32" i="26" s="1"/>
  <c r="AD20" i="26"/>
  <c r="AE20" i="26" s="1"/>
  <c r="AD10" i="26"/>
  <c r="AE10" i="26" s="1"/>
  <c r="AD36" i="26"/>
  <c r="AE36" i="26" s="1"/>
  <c r="AC41" i="26"/>
  <c r="AD41" i="26" s="1"/>
  <c r="AE41" i="26" s="1"/>
  <c r="AC42" i="26"/>
  <c r="Z42" i="26"/>
  <c r="AC9" i="26"/>
  <c r="AC13" i="26"/>
  <c r="AD13" i="26" s="1"/>
  <c r="AE13" i="26" s="1"/>
  <c r="AC17" i="26"/>
  <c r="AD17" i="26" s="1"/>
  <c r="AE17" i="26" s="1"/>
  <c r="AC21" i="26"/>
  <c r="AC25" i="26"/>
  <c r="AC29" i="26"/>
  <c r="AD29" i="26" s="1"/>
  <c r="AE29" i="26" s="1"/>
  <c r="AC43" i="26"/>
  <c r="AC44" i="26"/>
  <c r="Z45" i="26"/>
  <c r="AC38" i="26"/>
  <c r="AD38" i="26" s="1"/>
  <c r="AE38" i="26" s="1"/>
  <c r="Z38" i="26"/>
  <c r="Z37" i="26"/>
  <c r="AC39" i="26"/>
  <c r="AC33" i="26"/>
  <c r="AD33" i="26" s="1"/>
  <c r="AE33" i="26" s="1"/>
  <c r="AC34" i="26"/>
  <c r="Z34" i="26"/>
  <c r="X44" i="26"/>
  <c r="AC49" i="26"/>
  <c r="AC50" i="26"/>
  <c r="Z50" i="26"/>
  <c r="AC46" i="26"/>
  <c r="Z46" i="26"/>
  <c r="X43" i="26"/>
  <c r="AD11" i="25"/>
  <c r="AE11" i="25" s="1"/>
  <c r="AD23" i="25"/>
  <c r="AE23" i="25" s="1"/>
  <c r="AD30" i="25"/>
  <c r="AE30" i="25" s="1"/>
  <c r="AD15" i="25"/>
  <c r="AE15" i="25" s="1"/>
  <c r="AD27" i="25"/>
  <c r="AE27" i="25" s="1"/>
  <c r="AD7" i="25"/>
  <c r="AD17" i="25"/>
  <c r="AE17" i="25" s="1"/>
  <c r="X39" i="25"/>
  <c r="AC34" i="25"/>
  <c r="AD34" i="25" s="1"/>
  <c r="AE34" i="25" s="1"/>
  <c r="Z34" i="25"/>
  <c r="Z30" i="25"/>
  <c r="AC39" i="25"/>
  <c r="Z39" i="25"/>
  <c r="Z7" i="25"/>
  <c r="AC10" i="25"/>
  <c r="Z11" i="25"/>
  <c r="AC14" i="25"/>
  <c r="Z15" i="25"/>
  <c r="AC18" i="25"/>
  <c r="AD18" i="25" s="1"/>
  <c r="AE18" i="25" s="1"/>
  <c r="Z19" i="25"/>
  <c r="AC22" i="25"/>
  <c r="Z23" i="25"/>
  <c r="AC26" i="25"/>
  <c r="Z27" i="25"/>
  <c r="Z31" i="25"/>
  <c r="AC38" i="25"/>
  <c r="Z38" i="25"/>
  <c r="Z33" i="25"/>
  <c r="AC37" i="25"/>
  <c r="AC42" i="25"/>
  <c r="Z42" i="25"/>
  <c r="AC35" i="25"/>
  <c r="Z35" i="25"/>
  <c r="Z37" i="25"/>
  <c r="X40" i="25"/>
  <c r="AD40" i="25" s="1"/>
  <c r="AE40" i="25" s="1"/>
  <c r="AC41" i="25"/>
  <c r="AD9" i="24"/>
  <c r="AE9" i="24" s="1"/>
  <c r="AD11" i="24"/>
  <c r="AE11" i="24" s="1"/>
  <c r="AD16" i="24"/>
  <c r="AE16" i="24" s="1"/>
  <c r="AD29" i="24"/>
  <c r="AE29" i="24" s="1"/>
  <c r="AD23" i="24"/>
  <c r="AE23" i="24" s="1"/>
  <c r="AD31" i="24"/>
  <c r="AE31" i="24" s="1"/>
  <c r="AD10" i="24"/>
  <c r="AE10" i="24" s="1"/>
  <c r="AD15" i="24"/>
  <c r="AE15" i="24" s="1"/>
  <c r="AD20" i="24"/>
  <c r="AE20" i="24" s="1"/>
  <c r="AD22" i="24"/>
  <c r="AE22" i="24" s="1"/>
  <c r="AD27" i="24"/>
  <c r="AE27" i="24" s="1"/>
  <c r="AD30" i="24"/>
  <c r="AE30" i="24" s="1"/>
  <c r="AD7" i="24"/>
  <c r="Z49" i="24"/>
  <c r="Z7" i="24"/>
  <c r="Z11" i="24"/>
  <c r="Z15" i="24"/>
  <c r="Z19" i="24"/>
  <c r="Z23" i="24"/>
  <c r="Z27" i="24"/>
  <c r="Z31" i="24"/>
  <c r="Z39" i="24"/>
  <c r="AC48" i="24"/>
  <c r="Z50" i="24"/>
  <c r="AC51" i="24"/>
  <c r="AC38" i="24"/>
  <c r="X45" i="24"/>
  <c r="AD45" i="24" s="1"/>
  <c r="AE45" i="24" s="1"/>
  <c r="Z8" i="24"/>
  <c r="Z12" i="24"/>
  <c r="Z16" i="24"/>
  <c r="Z20" i="24"/>
  <c r="Z24" i="24"/>
  <c r="AC35" i="24"/>
  <c r="AD35" i="24" s="1"/>
  <c r="AE35" i="24" s="1"/>
  <c r="AC44" i="24"/>
  <c r="AC47" i="24"/>
  <c r="AD11" i="23"/>
  <c r="AE11" i="23" s="1"/>
  <c r="AD16" i="23"/>
  <c r="AE16" i="23" s="1"/>
  <c r="AD10" i="23"/>
  <c r="AE10" i="23" s="1"/>
  <c r="AD15" i="23"/>
  <c r="AE15" i="23" s="1"/>
  <c r="AD20" i="23"/>
  <c r="AE20" i="23" s="1"/>
  <c r="Z7" i="23"/>
  <c r="Z11" i="23"/>
  <c r="Z15" i="23"/>
  <c r="Z19" i="23"/>
  <c r="Z23" i="23"/>
  <c r="Z27" i="23"/>
  <c r="Z31" i="23"/>
  <c r="Z40" i="23"/>
  <c r="Z8" i="23"/>
  <c r="Z12" i="23"/>
  <c r="Z16" i="23"/>
  <c r="Z20" i="23"/>
  <c r="Z24" i="23"/>
  <c r="Z28" i="23"/>
  <c r="Z32" i="23"/>
  <c r="Z42" i="23"/>
  <c r="X48" i="23"/>
  <c r="AD48" i="23" s="1"/>
  <c r="AE48" i="23" s="1"/>
  <c r="Z34" i="23"/>
  <c r="AC46" i="23"/>
  <c r="AD46" i="23" s="1"/>
  <c r="AE46" i="23" s="1"/>
  <c r="Z46" i="23"/>
  <c r="Z38" i="23"/>
  <c r="AC50" i="23"/>
  <c r="AD13" i="22"/>
  <c r="AE13" i="22" s="1"/>
  <c r="AD8" i="22"/>
  <c r="AE8" i="22" s="1"/>
  <c r="AD10" i="22"/>
  <c r="AE10" i="22" s="1"/>
  <c r="AD19" i="22"/>
  <c r="AE19" i="22" s="1"/>
  <c r="AD24" i="22"/>
  <c r="AE24" i="22" s="1"/>
  <c r="AD26" i="22"/>
  <c r="AE26" i="22" s="1"/>
  <c r="AD21" i="22"/>
  <c r="AE21" i="22" s="1"/>
  <c r="AD7" i="22"/>
  <c r="AD11" i="22"/>
  <c r="AE11" i="22" s="1"/>
  <c r="Z9" i="22"/>
  <c r="Z51" i="22" s="1"/>
  <c r="Z13" i="22"/>
  <c r="Z17" i="22"/>
  <c r="Z21" i="22"/>
  <c r="Z25" i="22"/>
  <c r="Z29" i="22"/>
  <c r="AC42" i="22"/>
  <c r="Z42" i="22"/>
  <c r="AC35" i="22"/>
  <c r="AD35" i="22" s="1"/>
  <c r="AE35" i="22" s="1"/>
  <c r="Z35" i="22"/>
  <c r="AC39" i="22"/>
  <c r="AD39" i="22" s="1"/>
  <c r="AE39" i="22" s="1"/>
  <c r="Z39" i="22"/>
  <c r="Z10" i="22"/>
  <c r="Z14" i="22"/>
  <c r="Z18" i="22"/>
  <c r="Z22" i="22"/>
  <c r="Z26" i="22"/>
  <c r="Z30" i="22"/>
  <c r="X33" i="22"/>
  <c r="AD33" i="22" s="1"/>
  <c r="AE33" i="22" s="1"/>
  <c r="AC34" i="22"/>
  <c r="Z44" i="22"/>
  <c r="AC44" i="22"/>
  <c r="X46" i="22"/>
  <c r="AC41" i="22"/>
  <c r="Z41" i="22"/>
  <c r="Z7" i="22"/>
  <c r="Z11" i="22"/>
  <c r="Z15" i="22"/>
  <c r="Z19" i="22"/>
  <c r="Z23" i="22"/>
  <c r="Z27" i="22"/>
  <c r="Z31" i="22"/>
  <c r="Z38" i="22"/>
  <c r="AC46" i="22"/>
  <c r="Z46" i="22"/>
  <c r="Z36" i="22"/>
  <c r="AC36" i="22"/>
  <c r="AC45" i="22"/>
  <c r="Z45" i="22"/>
  <c r="AC32" i="22"/>
  <c r="AD32" i="22" s="1"/>
  <c r="AE32" i="22" s="1"/>
  <c r="AC43" i="22"/>
  <c r="Z43" i="22"/>
  <c r="X45" i="22"/>
  <c r="Z40" i="22"/>
  <c r="AC40" i="22"/>
  <c r="X42" i="22"/>
  <c r="AD7" i="21"/>
  <c r="AD23" i="21"/>
  <c r="AE23" i="21" s="1"/>
  <c r="AD8" i="21"/>
  <c r="AE8" i="21" s="1"/>
  <c r="Z40" i="21"/>
  <c r="Z41" i="21"/>
  <c r="AC43" i="21"/>
  <c r="AC42" i="21"/>
  <c r="Z42" i="21"/>
  <c r="AC9" i="21"/>
  <c r="AC17" i="21"/>
  <c r="AC20" i="21"/>
  <c r="AC24" i="21"/>
  <c r="AC28" i="21"/>
  <c r="AD28" i="21" s="1"/>
  <c r="AE28" i="21" s="1"/>
  <c r="AC38" i="21"/>
  <c r="Z38" i="21"/>
  <c r="Z37" i="21"/>
  <c r="AC33" i="21"/>
  <c r="AC34" i="21"/>
  <c r="Z34" i="21"/>
  <c r="X43" i="21"/>
  <c r="X40" i="21"/>
  <c r="AD19" i="20"/>
  <c r="AE19" i="20" s="1"/>
  <c r="AD7" i="20"/>
  <c r="AD29" i="20"/>
  <c r="AE29" i="20" s="1"/>
  <c r="AD44" i="20"/>
  <c r="AE44" i="20" s="1"/>
  <c r="AD18" i="20"/>
  <c r="AE18" i="20" s="1"/>
  <c r="AD22" i="20"/>
  <c r="AE22" i="20" s="1"/>
  <c r="AD14" i="20"/>
  <c r="AE14" i="20" s="1"/>
  <c r="Z33" i="20"/>
  <c r="AC42" i="20"/>
  <c r="AD42" i="20" s="1"/>
  <c r="AE42" i="20" s="1"/>
  <c r="Z42" i="20"/>
  <c r="AC51" i="20"/>
  <c r="AD51" i="20" s="1"/>
  <c r="AE51" i="20" s="1"/>
  <c r="Z51" i="20"/>
  <c r="AC47" i="20"/>
  <c r="AD47" i="20" s="1"/>
  <c r="AE47" i="20" s="1"/>
  <c r="Z47" i="20"/>
  <c r="Z8" i="20"/>
  <c r="Z12" i="20"/>
  <c r="Z64" i="20" s="1"/>
  <c r="Z16" i="20"/>
  <c r="Z20" i="20"/>
  <c r="Z24" i="20"/>
  <c r="Z28" i="20"/>
  <c r="Z65" i="20" s="1"/>
  <c r="Z32" i="20"/>
  <c r="Z37" i="20"/>
  <c r="AD40" i="20"/>
  <c r="AE40" i="20" s="1"/>
  <c r="AC41" i="20"/>
  <c r="AD41" i="20" s="1"/>
  <c r="AE41" i="20" s="1"/>
  <c r="AC46" i="20"/>
  <c r="AD46" i="20" s="1"/>
  <c r="AE46" i="20" s="1"/>
  <c r="Z46" i="20"/>
  <c r="AC55" i="20"/>
  <c r="Z55" i="20"/>
  <c r="AC56" i="20"/>
  <c r="AD56" i="20" s="1"/>
  <c r="AE56" i="20" s="1"/>
  <c r="AC38" i="20"/>
  <c r="AD38" i="20" s="1"/>
  <c r="AE38" i="20" s="1"/>
  <c r="Z38" i="20"/>
  <c r="AC45" i="20"/>
  <c r="AD45" i="20" s="1"/>
  <c r="AE45" i="20" s="1"/>
  <c r="AC50" i="20"/>
  <c r="AD50" i="20" s="1"/>
  <c r="AE50" i="20" s="1"/>
  <c r="Z50" i="20"/>
  <c r="X53" i="20"/>
  <c r="AC59" i="20"/>
  <c r="Z59" i="20"/>
  <c r="AC60" i="20"/>
  <c r="AC49" i="20"/>
  <c r="AC54" i="20"/>
  <c r="Z54" i="20"/>
  <c r="AC35" i="20"/>
  <c r="Z35" i="20"/>
  <c r="Z49" i="20"/>
  <c r="X52" i="20"/>
  <c r="AD52" i="20" s="1"/>
  <c r="AE52" i="20" s="1"/>
  <c r="AC53" i="20"/>
  <c r="AC58" i="20"/>
  <c r="Z58" i="20"/>
  <c r="AC39" i="20"/>
  <c r="AD39" i="20" s="1"/>
  <c r="AE39" i="20" s="1"/>
  <c r="Z39" i="20"/>
  <c r="AC57" i="20"/>
  <c r="AC34" i="20"/>
  <c r="Z34" i="20"/>
  <c r="AD37" i="20"/>
  <c r="AE37" i="20" s="1"/>
  <c r="AC43" i="20"/>
  <c r="AD43" i="20" s="1"/>
  <c r="AE43" i="20" s="1"/>
  <c r="Z43" i="20"/>
  <c r="Z57" i="20"/>
  <c r="X60" i="20"/>
  <c r="AD10" i="19"/>
  <c r="AE10" i="19" s="1"/>
  <c r="AD14" i="19"/>
  <c r="AE14" i="19" s="1"/>
  <c r="AD16" i="19"/>
  <c r="AE16" i="19" s="1"/>
  <c r="AD18" i="19"/>
  <c r="AE18" i="19" s="1"/>
  <c r="AD20" i="19"/>
  <c r="AE20" i="19" s="1"/>
  <c r="AD22" i="19"/>
  <c r="AE22" i="19" s="1"/>
  <c r="AD26" i="19"/>
  <c r="AE26" i="19" s="1"/>
  <c r="AD28" i="19"/>
  <c r="AE28" i="19" s="1"/>
  <c r="AD36" i="19"/>
  <c r="AE36" i="19" s="1"/>
  <c r="AD37" i="19"/>
  <c r="AE37" i="19" s="1"/>
  <c r="AD45" i="19"/>
  <c r="AE45" i="19" s="1"/>
  <c r="AD7" i="19"/>
  <c r="Z16" i="19"/>
  <c r="Z33" i="19"/>
  <c r="AC34" i="19"/>
  <c r="AD34" i="19" s="1"/>
  <c r="AE34" i="19" s="1"/>
  <c r="Z44" i="19"/>
  <c r="Z54" i="19"/>
  <c r="Z20" i="19"/>
  <c r="Z28" i="19"/>
  <c r="Z42" i="19"/>
  <c r="AC8" i="19"/>
  <c r="AD8" i="19" s="1"/>
  <c r="AE8" i="19" s="1"/>
  <c r="Z9" i="19"/>
  <c r="Z61" i="19" s="1"/>
  <c r="AC12" i="19"/>
  <c r="AD12" i="19" s="1"/>
  <c r="AE12" i="19" s="1"/>
  <c r="Z13" i="19"/>
  <c r="Z17" i="19"/>
  <c r="Z21" i="19"/>
  <c r="AC24" i="19"/>
  <c r="AD24" i="19" s="1"/>
  <c r="AE24" i="19" s="1"/>
  <c r="Z25" i="19"/>
  <c r="AC32" i="19"/>
  <c r="AD32" i="19" s="1"/>
  <c r="AE32" i="19" s="1"/>
  <c r="AC43" i="19"/>
  <c r="AD43" i="19" s="1"/>
  <c r="AE43" i="19" s="1"/>
  <c r="AC53" i="19"/>
  <c r="AD53" i="19" s="1"/>
  <c r="AE53" i="19" s="1"/>
  <c r="Z10" i="19"/>
  <c r="Z14" i="19"/>
  <c r="Z18" i="19"/>
  <c r="Z22" i="19"/>
  <c r="Z26" i="19"/>
  <c r="Z30" i="19"/>
  <c r="AC35" i="19"/>
  <c r="AD35" i="19" s="1"/>
  <c r="AE35" i="19" s="1"/>
  <c r="Z37" i="19"/>
  <c r="AC38" i="19"/>
  <c r="AD38" i="19" s="1"/>
  <c r="AE38" i="19" s="1"/>
  <c r="Z48" i="19"/>
  <c r="AC47" i="19"/>
  <c r="AC50" i="19"/>
  <c r="Z50" i="19"/>
  <c r="AD15" i="18"/>
  <c r="AE15" i="18" s="1"/>
  <c r="AD31" i="18"/>
  <c r="AE31" i="18" s="1"/>
  <c r="AD35" i="18"/>
  <c r="AE35" i="18" s="1"/>
  <c r="AD10" i="18"/>
  <c r="AE10" i="18" s="1"/>
  <c r="AD12" i="18"/>
  <c r="AE12" i="18" s="1"/>
  <c r="AD17" i="18"/>
  <c r="AE17" i="18" s="1"/>
  <c r="AD26" i="18"/>
  <c r="AE26" i="18" s="1"/>
  <c r="AD28" i="18"/>
  <c r="AE28" i="18" s="1"/>
  <c r="AD33" i="18"/>
  <c r="AE33" i="18" s="1"/>
  <c r="AD7" i="18"/>
  <c r="AD16" i="18"/>
  <c r="AE16" i="18" s="1"/>
  <c r="AD21" i="18"/>
  <c r="AE21" i="18" s="1"/>
  <c r="AD23" i="18"/>
  <c r="AE23" i="18" s="1"/>
  <c r="AD32" i="18"/>
  <c r="AE32" i="18" s="1"/>
  <c r="AC37" i="18"/>
  <c r="AD37" i="18" s="1"/>
  <c r="AE37" i="18" s="1"/>
  <c r="Z39" i="18"/>
  <c r="Z7" i="18"/>
  <c r="Z11" i="18"/>
  <c r="Z15" i="18"/>
  <c r="Z23" i="18"/>
  <c r="Z27" i="18"/>
  <c r="Z31" i="18"/>
  <c r="Z8" i="18"/>
  <c r="Z12" i="18"/>
  <c r="Z53" i="18" s="1"/>
  <c r="Z16" i="18"/>
  <c r="AC19" i="18"/>
  <c r="AD19" i="18" s="1"/>
  <c r="AE19" i="18" s="1"/>
  <c r="Z20" i="18"/>
  <c r="Z24" i="18"/>
  <c r="Z28" i="18"/>
  <c r="Z32" i="18"/>
  <c r="AC38" i="18"/>
  <c r="AD38" i="18" s="1"/>
  <c r="AE38" i="18" s="1"/>
  <c r="Z40" i="18"/>
  <c r="AC49" i="18"/>
  <c r="AC34" i="18"/>
  <c r="AD34" i="18" s="1"/>
  <c r="AE34" i="18" s="1"/>
  <c r="AC44" i="18"/>
  <c r="Z44" i="18"/>
  <c r="Z48" i="18"/>
  <c r="AC36" i="18"/>
  <c r="AD36" i="18" s="1"/>
  <c r="AE36" i="18" s="1"/>
  <c r="AD18" i="17"/>
  <c r="AE18" i="17" s="1"/>
  <c r="AD20" i="17"/>
  <c r="AE20" i="17" s="1"/>
  <c r="AD33" i="17"/>
  <c r="AE33" i="17" s="1"/>
  <c r="AD10" i="17"/>
  <c r="AE10" i="17" s="1"/>
  <c r="AD15" i="17"/>
  <c r="AE15" i="17" s="1"/>
  <c r="AD27" i="17"/>
  <c r="AE27" i="17" s="1"/>
  <c r="AD23" i="17"/>
  <c r="AE23" i="17" s="1"/>
  <c r="AD30" i="17"/>
  <c r="AE30" i="17" s="1"/>
  <c r="AD9" i="17"/>
  <c r="AE9" i="17" s="1"/>
  <c r="AD32" i="17"/>
  <c r="AE32" i="17" s="1"/>
  <c r="AD34" i="17"/>
  <c r="AE34" i="17" s="1"/>
  <c r="AD7" i="17"/>
  <c r="Z33" i="17"/>
  <c r="Z48" i="17"/>
  <c r="Z9" i="17"/>
  <c r="Z53" i="17" s="1"/>
  <c r="Z13" i="17"/>
  <c r="Z17" i="17"/>
  <c r="Z21" i="17"/>
  <c r="Z25" i="17"/>
  <c r="Z29" i="17"/>
  <c r="AD40" i="17"/>
  <c r="AE40" i="17" s="1"/>
  <c r="AC45" i="17"/>
  <c r="AC46" i="17"/>
  <c r="AD46" i="17" s="1"/>
  <c r="AE46" i="17" s="1"/>
  <c r="Z46" i="17"/>
  <c r="AC37" i="17"/>
  <c r="AC41" i="17"/>
  <c r="AC42" i="17"/>
  <c r="Z42" i="17"/>
  <c r="AC38" i="17"/>
  <c r="AD38" i="17" s="1"/>
  <c r="AE38" i="17" s="1"/>
  <c r="AC39" i="17"/>
  <c r="AD39" i="17" s="1"/>
  <c r="AE39" i="17" s="1"/>
  <c r="AD9" i="16"/>
  <c r="AE9" i="16" s="1"/>
  <c r="AD13" i="16"/>
  <c r="AE13" i="16" s="1"/>
  <c r="AD17" i="16"/>
  <c r="AE17" i="16" s="1"/>
  <c r="AD21" i="16"/>
  <c r="AE21" i="16" s="1"/>
  <c r="AD7" i="16"/>
  <c r="AD15" i="16"/>
  <c r="AE15" i="16" s="1"/>
  <c r="AD19" i="16"/>
  <c r="AE19" i="16" s="1"/>
  <c r="Z12" i="16"/>
  <c r="Z49" i="16" s="1"/>
  <c r="Z16" i="16"/>
  <c r="AC10" i="16"/>
  <c r="AD10" i="16" s="1"/>
  <c r="AE10" i="16" s="1"/>
  <c r="AC14" i="16"/>
  <c r="AD14" i="16" s="1"/>
  <c r="AE14" i="16" s="1"/>
  <c r="AC18" i="16"/>
  <c r="AD18" i="16" s="1"/>
  <c r="AE18" i="16" s="1"/>
  <c r="AC22" i="16"/>
  <c r="AD22" i="16" s="1"/>
  <c r="AE22" i="16" s="1"/>
  <c r="AC27" i="16"/>
  <c r="AD27" i="16" s="1"/>
  <c r="AE27" i="16" s="1"/>
  <c r="Z27" i="16"/>
  <c r="AD30" i="16"/>
  <c r="AE30" i="16" s="1"/>
  <c r="AC35" i="16"/>
  <c r="Z35" i="16"/>
  <c r="AC36" i="16"/>
  <c r="Z30" i="16"/>
  <c r="AC38" i="16"/>
  <c r="AD38" i="16" s="1"/>
  <c r="AE38" i="16" s="1"/>
  <c r="Z38" i="16"/>
  <c r="AC31" i="16"/>
  <c r="AD31" i="16" s="1"/>
  <c r="AE31" i="16" s="1"/>
  <c r="Z31" i="16"/>
  <c r="AC8" i="16"/>
  <c r="AD8" i="16" s="1"/>
  <c r="AE8" i="16" s="1"/>
  <c r="Z9" i="16"/>
  <c r="Z50" i="16" s="1"/>
  <c r="Z13" i="16"/>
  <c r="Z17" i="16"/>
  <c r="AC20" i="16"/>
  <c r="Z21" i="16"/>
  <c r="Z33" i="16"/>
  <c r="AC37" i="16"/>
  <c r="AC42" i="16"/>
  <c r="Z42" i="16"/>
  <c r="X45" i="16"/>
  <c r="AC43" i="16"/>
  <c r="Z43" i="16"/>
  <c r="AC24" i="16"/>
  <c r="Z24" i="16"/>
  <c r="AC25" i="16"/>
  <c r="AD25" i="16" s="1"/>
  <c r="AE25" i="16" s="1"/>
  <c r="AC28" i="16"/>
  <c r="Z28" i="16"/>
  <c r="Z41" i="16"/>
  <c r="X44" i="16"/>
  <c r="AD44" i="16" s="1"/>
  <c r="AE44" i="16" s="1"/>
  <c r="AC39" i="16"/>
  <c r="Z39" i="16"/>
  <c r="Z26" i="16"/>
  <c r="AC34" i="16"/>
  <c r="AD34" i="16" s="1"/>
  <c r="AE34" i="16" s="1"/>
  <c r="Z34" i="16"/>
  <c r="AC23" i="16"/>
  <c r="Z23" i="16"/>
  <c r="AC32" i="16"/>
  <c r="AD32" i="16" s="1"/>
  <c r="AE32" i="16" s="1"/>
  <c r="AD8" i="15"/>
  <c r="AE8" i="15" s="1"/>
  <c r="AD12" i="15"/>
  <c r="AE12" i="15" s="1"/>
  <c r="AD16" i="15"/>
  <c r="AE16" i="15" s="1"/>
  <c r="AD20" i="15"/>
  <c r="AE20" i="15" s="1"/>
  <c r="AD29" i="15"/>
  <c r="AE29" i="15" s="1"/>
  <c r="AD24" i="15"/>
  <c r="AE24" i="15" s="1"/>
  <c r="AD31" i="15"/>
  <c r="AE31" i="15" s="1"/>
  <c r="AD42" i="15"/>
  <c r="AE42" i="15" s="1"/>
  <c r="AD28" i="15"/>
  <c r="AE28" i="15" s="1"/>
  <c r="AD7" i="15"/>
  <c r="AD9" i="15"/>
  <c r="AE9" i="15" s="1"/>
  <c r="AD13" i="15"/>
  <c r="AE13" i="15" s="1"/>
  <c r="AD15" i="15"/>
  <c r="AE15" i="15" s="1"/>
  <c r="AD17" i="15"/>
  <c r="AE17" i="15" s="1"/>
  <c r="AD19" i="15"/>
  <c r="AE19" i="15" s="1"/>
  <c r="AD21" i="15"/>
  <c r="AE21" i="15" s="1"/>
  <c r="Z7" i="15"/>
  <c r="AC10" i="15"/>
  <c r="AD10" i="15" s="1"/>
  <c r="AE10" i="15" s="1"/>
  <c r="Z11" i="15"/>
  <c r="AC14" i="15"/>
  <c r="AD14" i="15" s="1"/>
  <c r="AE14" i="15" s="1"/>
  <c r="Z15" i="15"/>
  <c r="AC18" i="15"/>
  <c r="AD18" i="15" s="1"/>
  <c r="AE18" i="15" s="1"/>
  <c r="Z19" i="15"/>
  <c r="AC22" i="15"/>
  <c r="AD22" i="15" s="1"/>
  <c r="AE22" i="15" s="1"/>
  <c r="Z23" i="15"/>
  <c r="AC26" i="15"/>
  <c r="AD26" i="15" s="1"/>
  <c r="AE26" i="15" s="1"/>
  <c r="Z27" i="15"/>
  <c r="Z31" i="15"/>
  <c r="Z36" i="15"/>
  <c r="Z53" i="15"/>
  <c r="AC32" i="15"/>
  <c r="AD32" i="15" s="1"/>
  <c r="AE32" i="15" s="1"/>
  <c r="Z34" i="15"/>
  <c r="AC37" i="15"/>
  <c r="AD37" i="15" s="1"/>
  <c r="AE37" i="15" s="1"/>
  <c r="AC49" i="15"/>
  <c r="AD49" i="15" s="1"/>
  <c r="AE49" i="15" s="1"/>
  <c r="Z51" i="15"/>
  <c r="AC54" i="15"/>
  <c r="Z8" i="15"/>
  <c r="Z12" i="15"/>
  <c r="Z64" i="15" s="1"/>
  <c r="Z16" i="15"/>
  <c r="Z20" i="15"/>
  <c r="AC35" i="15"/>
  <c r="AD35" i="15" s="1"/>
  <c r="AE35" i="15" s="1"/>
  <c r="AC52" i="15"/>
  <c r="X59" i="15"/>
  <c r="Z9" i="15"/>
  <c r="Z65" i="15" s="1"/>
  <c r="Z13" i="15"/>
  <c r="Z17" i="15"/>
  <c r="Z21" i="15"/>
  <c r="Z25" i="15"/>
  <c r="Z29" i="15"/>
  <c r="AC43" i="15"/>
  <c r="Z45" i="15"/>
  <c r="AC48" i="15"/>
  <c r="AD48" i="15" s="1"/>
  <c r="AE48" i="15" s="1"/>
  <c r="AC59" i="15"/>
  <c r="AC41" i="15"/>
  <c r="AD41" i="15" s="1"/>
  <c r="AE41" i="15" s="1"/>
  <c r="AC46" i="15"/>
  <c r="AC57" i="15"/>
  <c r="AC38" i="15"/>
  <c r="AD38" i="15" s="1"/>
  <c r="AE38" i="15" s="1"/>
  <c r="Z41" i="15"/>
  <c r="AC55" i="15"/>
  <c r="Z57" i="15"/>
  <c r="AD16" i="14"/>
  <c r="AE16" i="14" s="1"/>
  <c r="AD21" i="14"/>
  <c r="AE21" i="14" s="1"/>
  <c r="AD7" i="14"/>
  <c r="AD8" i="14"/>
  <c r="AE8" i="14" s="1"/>
  <c r="AD13" i="14"/>
  <c r="AE13" i="14" s="1"/>
  <c r="AD24" i="14"/>
  <c r="AE24" i="14" s="1"/>
  <c r="AD43" i="14"/>
  <c r="AE43" i="14" s="1"/>
  <c r="AD12" i="14"/>
  <c r="AE12" i="14" s="1"/>
  <c r="AD17" i="14"/>
  <c r="AE17" i="14" s="1"/>
  <c r="AD32" i="14"/>
  <c r="AE32" i="14" s="1"/>
  <c r="AC42" i="14"/>
  <c r="AD42" i="14" s="1"/>
  <c r="AE42" i="14" s="1"/>
  <c r="Z56" i="14"/>
  <c r="Z7" i="14"/>
  <c r="Z11" i="14"/>
  <c r="Z15" i="14"/>
  <c r="Z19" i="14"/>
  <c r="Z23" i="14"/>
  <c r="Z27" i="14"/>
  <c r="Z31" i="14"/>
  <c r="AC35" i="14"/>
  <c r="Z38" i="14"/>
  <c r="AC41" i="14"/>
  <c r="AC52" i="14"/>
  <c r="Z54" i="14"/>
  <c r="AC57" i="14"/>
  <c r="AC39" i="14"/>
  <c r="AD39" i="14" s="1"/>
  <c r="AE39" i="14" s="1"/>
  <c r="AC55" i="14"/>
  <c r="Z40" i="14"/>
  <c r="AC34" i="14"/>
  <c r="AD34" i="14" s="1"/>
  <c r="AE34" i="14" s="1"/>
  <c r="AC46" i="14"/>
  <c r="Z48" i="14"/>
  <c r="AC51" i="14"/>
  <c r="AC44" i="14"/>
  <c r="AC49" i="14"/>
  <c r="AD8" i="13"/>
  <c r="AE8" i="13" s="1"/>
  <c r="AD17" i="13"/>
  <c r="AE17" i="13" s="1"/>
  <c r="AD24" i="13"/>
  <c r="AE24" i="13" s="1"/>
  <c r="AD31" i="13"/>
  <c r="AE31" i="13" s="1"/>
  <c r="AD36" i="13"/>
  <c r="AE36" i="13" s="1"/>
  <c r="AD14" i="13"/>
  <c r="AE14" i="13" s="1"/>
  <c r="AD30" i="13"/>
  <c r="AE30" i="13" s="1"/>
  <c r="AD15" i="13"/>
  <c r="AE15" i="13" s="1"/>
  <c r="AD7" i="13"/>
  <c r="AD23" i="13"/>
  <c r="AE23" i="13" s="1"/>
  <c r="Z8" i="13"/>
  <c r="Z12" i="13"/>
  <c r="Z59" i="13" s="1"/>
  <c r="Z16" i="13"/>
  <c r="Z20" i="13"/>
  <c r="Z24" i="13"/>
  <c r="Z28" i="13"/>
  <c r="Z32" i="13"/>
  <c r="Z33" i="13"/>
  <c r="Z49" i="13"/>
  <c r="Z50" i="13"/>
  <c r="AC34" i="13"/>
  <c r="Z34" i="13"/>
  <c r="AC51" i="13"/>
  <c r="AD51" i="13" s="1"/>
  <c r="AE51" i="13" s="1"/>
  <c r="Z51" i="13"/>
  <c r="X41" i="13"/>
  <c r="AC46" i="13"/>
  <c r="AC47" i="13"/>
  <c r="Z47" i="13"/>
  <c r="AC42" i="13"/>
  <c r="AC43" i="13"/>
  <c r="AD43" i="13" s="1"/>
  <c r="AE43" i="13" s="1"/>
  <c r="Z43" i="13"/>
  <c r="Z10" i="13"/>
  <c r="Z14" i="13"/>
  <c r="Z18" i="13"/>
  <c r="Z22" i="13"/>
  <c r="Z60" i="13" s="1"/>
  <c r="Z26" i="13"/>
  <c r="Z30" i="13"/>
  <c r="Z41" i="13"/>
  <c r="Z42" i="13"/>
  <c r="AC44" i="13"/>
  <c r="AC38" i="13"/>
  <c r="AC39" i="13"/>
  <c r="Z39" i="13"/>
  <c r="AC54" i="13"/>
  <c r="AD54" i="13" s="1"/>
  <c r="AE54" i="13" s="1"/>
  <c r="AC55" i="13"/>
  <c r="Z55" i="13"/>
  <c r="Z38" i="13"/>
  <c r="Z54" i="13"/>
  <c r="AD8" i="12"/>
  <c r="AE8" i="12" s="1"/>
  <c r="AD7" i="12"/>
  <c r="AD27" i="12"/>
  <c r="AE27" i="12" s="1"/>
  <c r="AD9" i="12"/>
  <c r="AE9" i="12" s="1"/>
  <c r="AC36" i="12"/>
  <c r="Z36" i="12"/>
  <c r="Z10" i="12"/>
  <c r="Z14" i="12"/>
  <c r="Z18" i="12"/>
  <c r="Z22" i="12"/>
  <c r="Z26" i="12"/>
  <c r="Z30" i="12"/>
  <c r="AD34" i="12"/>
  <c r="AE34" i="12" s="1"/>
  <c r="AC40" i="12"/>
  <c r="Z40" i="12"/>
  <c r="AC41" i="12"/>
  <c r="AD41" i="12" s="1"/>
  <c r="AE41" i="12" s="1"/>
  <c r="AC35" i="12"/>
  <c r="AD35" i="12" s="1"/>
  <c r="AE35" i="12" s="1"/>
  <c r="Z35" i="12"/>
  <c r="AD38" i="12"/>
  <c r="AE38" i="12" s="1"/>
  <c r="AC44" i="12"/>
  <c r="Z44" i="12"/>
  <c r="AC45" i="12"/>
  <c r="Z34" i="12"/>
  <c r="X37" i="12"/>
  <c r="AC43" i="12"/>
  <c r="Z43" i="12"/>
  <c r="X46" i="12"/>
  <c r="AC42" i="12"/>
  <c r="AC47" i="12"/>
  <c r="Z47" i="12"/>
  <c r="AC39" i="12"/>
  <c r="Z39" i="12"/>
  <c r="Z42" i="12"/>
  <c r="X45" i="12"/>
  <c r="AC46" i="12"/>
  <c r="AC48" i="12"/>
  <c r="Z48" i="12"/>
  <c r="X40" i="12"/>
  <c r="X49" i="12"/>
  <c r="AD7" i="11"/>
  <c r="AD9" i="11"/>
  <c r="AE9" i="11" s="1"/>
  <c r="AD11" i="11"/>
  <c r="AE11" i="11" s="1"/>
  <c r="AD13" i="11"/>
  <c r="AE13" i="11" s="1"/>
  <c r="AD15" i="11"/>
  <c r="AE15" i="11" s="1"/>
  <c r="AD17" i="11"/>
  <c r="AE17" i="11" s="1"/>
  <c r="AD19" i="11"/>
  <c r="AE19" i="11" s="1"/>
  <c r="AD21" i="11"/>
  <c r="AE21" i="11" s="1"/>
  <c r="AD8" i="11"/>
  <c r="AE8" i="11" s="1"/>
  <c r="AD12" i="11"/>
  <c r="AE12" i="11" s="1"/>
  <c r="AD16" i="11"/>
  <c r="AE16" i="11" s="1"/>
  <c r="Z7" i="11"/>
  <c r="AC10" i="11"/>
  <c r="AD10" i="11" s="1"/>
  <c r="AE10" i="11" s="1"/>
  <c r="Z11" i="11"/>
  <c r="AC14" i="11"/>
  <c r="AD14" i="11" s="1"/>
  <c r="AE14" i="11" s="1"/>
  <c r="Z15" i="11"/>
  <c r="Z8" i="11"/>
  <c r="Z12" i="11"/>
  <c r="Z45" i="11" s="1"/>
  <c r="Z16" i="11"/>
  <c r="Z20" i="11"/>
  <c r="Z24" i="11"/>
  <c r="Z28" i="11"/>
  <c r="Z36" i="11"/>
  <c r="X38" i="11"/>
  <c r="AC41" i="11"/>
  <c r="Z41" i="11"/>
  <c r="Z9" i="11"/>
  <c r="Z46" i="11" s="1"/>
  <c r="Z13" i="11"/>
  <c r="Z17" i="11"/>
  <c r="Z21" i="11"/>
  <c r="Z25" i="11"/>
  <c r="Z32" i="11"/>
  <c r="AC38" i="11"/>
  <c r="Z38" i="11"/>
  <c r="X40" i="11"/>
  <c r="AC39" i="11"/>
  <c r="Z39" i="11"/>
  <c r="X37" i="11"/>
  <c r="Z40" i="11"/>
  <c r="AC40" i="11"/>
  <c r="AC37" i="11"/>
  <c r="Z37" i="11"/>
  <c r="X39" i="11"/>
  <c r="AC39" i="10"/>
  <c r="Z39" i="10"/>
  <c r="AD47" i="10"/>
  <c r="AE47" i="10" s="1"/>
  <c r="AC49" i="10"/>
  <c r="Z49" i="10"/>
  <c r="Z38" i="10"/>
  <c r="Z69" i="10" s="1"/>
  <c r="AC38" i="10"/>
  <c r="AD43" i="10"/>
  <c r="AE43" i="10" s="1"/>
  <c r="AD12" i="10"/>
  <c r="AE12" i="10" s="1"/>
  <c r="AD8" i="10"/>
  <c r="AE8" i="10" s="1"/>
  <c r="AD20" i="10"/>
  <c r="AE20" i="10" s="1"/>
  <c r="AC7" i="10"/>
  <c r="Z7" i="10"/>
  <c r="AC11" i="10"/>
  <c r="Z11" i="10"/>
  <c r="AC15" i="10"/>
  <c r="AD15" i="10" s="1"/>
  <c r="AE15" i="10" s="1"/>
  <c r="Z15" i="10"/>
  <c r="AC19" i="10"/>
  <c r="AD19" i="10" s="1"/>
  <c r="AE19" i="10" s="1"/>
  <c r="Z19" i="10"/>
  <c r="AC23" i="10"/>
  <c r="AD23" i="10" s="1"/>
  <c r="AE23" i="10" s="1"/>
  <c r="Z23" i="10"/>
  <c r="AC27" i="10"/>
  <c r="AD27" i="10" s="1"/>
  <c r="AE27" i="10" s="1"/>
  <c r="Z27" i="10"/>
  <c r="AC31" i="10"/>
  <c r="AD31" i="10" s="1"/>
  <c r="AE31" i="10" s="1"/>
  <c r="Z31" i="10"/>
  <c r="AD16" i="10"/>
  <c r="AE16" i="10" s="1"/>
  <c r="AC10" i="10"/>
  <c r="AD10" i="10" s="1"/>
  <c r="AE10" i="10" s="1"/>
  <c r="AC14" i="10"/>
  <c r="AD14" i="10" s="1"/>
  <c r="AE14" i="10" s="1"/>
  <c r="AC18" i="10"/>
  <c r="AD18" i="10" s="1"/>
  <c r="AE18" i="10" s="1"/>
  <c r="AC22" i="10"/>
  <c r="AD22" i="10" s="1"/>
  <c r="AE22" i="10" s="1"/>
  <c r="AC26" i="10"/>
  <c r="AD26" i="10" s="1"/>
  <c r="AE26" i="10" s="1"/>
  <c r="AC30" i="10"/>
  <c r="AD30" i="10" s="1"/>
  <c r="AE30" i="10" s="1"/>
  <c r="AD46" i="10"/>
  <c r="AE46" i="10" s="1"/>
  <c r="Z40" i="10"/>
  <c r="AC41" i="10"/>
  <c r="AD41" i="10" s="1"/>
  <c r="AE41" i="10" s="1"/>
  <c r="Z51" i="10"/>
  <c r="Z8" i="10"/>
  <c r="Z12" i="10"/>
  <c r="Z16" i="10"/>
  <c r="Z20" i="10"/>
  <c r="Z24" i="10"/>
  <c r="Z28" i="10"/>
  <c r="Z32" i="10"/>
  <c r="Z43" i="10"/>
  <c r="Z58" i="10"/>
  <c r="Z33" i="10"/>
  <c r="AC42" i="10"/>
  <c r="AD42" i="10" s="1"/>
  <c r="AE42" i="10" s="1"/>
  <c r="Z44" i="10"/>
  <c r="AC45" i="10"/>
  <c r="AD45" i="10" s="1"/>
  <c r="AE45" i="10" s="1"/>
  <c r="Z60" i="10"/>
  <c r="AC59" i="10"/>
  <c r="AC62" i="10"/>
  <c r="AC50" i="10"/>
  <c r="AD50" i="10" s="1"/>
  <c r="AE50" i="10" s="1"/>
  <c r="AC34" i="10"/>
  <c r="AD34" i="10" s="1"/>
  <c r="AE34" i="10" s="1"/>
  <c r="AC37" i="10"/>
  <c r="Z62" i="10"/>
  <c r="AC21" i="9"/>
  <c r="AD21" i="9" s="1"/>
  <c r="AE21" i="9" s="1"/>
  <c r="Z21" i="9"/>
  <c r="AC10" i="9"/>
  <c r="AC14" i="9"/>
  <c r="AD14" i="9" s="1"/>
  <c r="AE14" i="9" s="1"/>
  <c r="AC51" i="9"/>
  <c r="Z51" i="9"/>
  <c r="AC9" i="9"/>
  <c r="Z9" i="9"/>
  <c r="AC13" i="9"/>
  <c r="AD13" i="9" s="1"/>
  <c r="AE13" i="9" s="1"/>
  <c r="Z13" i="9"/>
  <c r="AC17" i="9"/>
  <c r="AD17" i="9" s="1"/>
  <c r="AE17" i="9" s="1"/>
  <c r="Z17" i="9"/>
  <c r="AC53" i="9"/>
  <c r="Z53" i="9"/>
  <c r="AD24" i="9"/>
  <c r="AE24" i="9" s="1"/>
  <c r="AD15" i="9"/>
  <c r="AE15" i="9" s="1"/>
  <c r="AC20" i="9"/>
  <c r="AD20" i="9" s="1"/>
  <c r="AE20" i="9" s="1"/>
  <c r="AC55" i="9"/>
  <c r="AC8" i="9"/>
  <c r="Z8" i="9"/>
  <c r="AC12" i="9"/>
  <c r="Z12" i="9"/>
  <c r="Z35" i="9"/>
  <c r="AC35" i="9"/>
  <c r="AD35" i="9" s="1"/>
  <c r="AE35" i="9" s="1"/>
  <c r="AD26" i="9"/>
  <c r="AE26" i="9" s="1"/>
  <c r="AC52" i="9"/>
  <c r="Z52" i="9"/>
  <c r="AC29" i="9"/>
  <c r="Z29" i="9"/>
  <c r="AC7" i="9"/>
  <c r="AC11" i="9"/>
  <c r="AC25" i="9"/>
  <c r="AD25" i="9" s="1"/>
  <c r="AE25" i="9" s="1"/>
  <c r="Z25" i="9"/>
  <c r="AD22" i="9"/>
  <c r="AE22" i="9" s="1"/>
  <c r="AC28" i="9"/>
  <c r="AD30" i="9"/>
  <c r="AE30" i="9" s="1"/>
  <c r="AC33" i="9"/>
  <c r="AC34" i="9"/>
  <c r="AD34" i="9" s="1"/>
  <c r="AE34" i="9" s="1"/>
  <c r="Z34" i="9"/>
  <c r="Z61" i="9" s="1"/>
  <c r="AC56" i="9"/>
  <c r="Z16" i="9"/>
  <c r="Z20" i="9"/>
  <c r="Z24" i="9"/>
  <c r="Z28" i="9"/>
  <c r="Z32" i="9"/>
  <c r="Z33" i="9"/>
  <c r="Z55" i="9"/>
  <c r="Z56" i="9"/>
  <c r="AC42" i="9"/>
  <c r="Z42" i="9"/>
  <c r="Z41" i="9"/>
  <c r="AC37" i="9"/>
  <c r="AD37" i="9" s="1"/>
  <c r="AE37" i="9" s="1"/>
  <c r="AC38" i="9"/>
  <c r="AD38" i="9" s="1"/>
  <c r="AE38" i="9" s="1"/>
  <c r="Z38" i="9"/>
  <c r="AC7" i="8"/>
  <c r="Z7" i="8"/>
  <c r="AD27" i="8"/>
  <c r="AE27" i="8" s="1"/>
  <c r="Z39" i="8"/>
  <c r="AC39" i="8"/>
  <c r="Z11" i="8"/>
  <c r="Z15" i="8"/>
  <c r="Z19" i="8"/>
  <c r="Z23" i="8"/>
  <c r="Z27" i="8"/>
  <c r="Z31" i="8"/>
  <c r="Z36" i="8"/>
  <c r="Z37" i="8"/>
  <c r="AC34" i="8"/>
  <c r="Z34" i="8"/>
  <c r="AC38" i="8"/>
  <c r="Z38" i="8"/>
  <c r="Z33" i="8"/>
  <c r="Z49" i="8"/>
  <c r="AC45" i="8"/>
  <c r="AD45" i="8" s="1"/>
  <c r="AE45" i="8" s="1"/>
  <c r="AC46" i="8"/>
  <c r="Z46" i="8"/>
  <c r="X36" i="8"/>
  <c r="AD36" i="8" s="1"/>
  <c r="AE36" i="8" s="1"/>
  <c r="AC41" i="8"/>
  <c r="AD41" i="8" s="1"/>
  <c r="AE41" i="8" s="1"/>
  <c r="AC42" i="8"/>
  <c r="AD42" i="8" s="1"/>
  <c r="AE42" i="8" s="1"/>
  <c r="Z42" i="8"/>
  <c r="AC46" i="7"/>
  <c r="AD46" i="7" s="1"/>
  <c r="AE46" i="7" s="1"/>
  <c r="Z46" i="7"/>
  <c r="Z8" i="7"/>
  <c r="Z12" i="7"/>
  <c r="AD41" i="7"/>
  <c r="AE41" i="7" s="1"/>
  <c r="Z48" i="7"/>
  <c r="AC48" i="7"/>
  <c r="AC29" i="7"/>
  <c r="Z29" i="7"/>
  <c r="AC32" i="7"/>
  <c r="AC45" i="7"/>
  <c r="Z45" i="7"/>
  <c r="AC18" i="7"/>
  <c r="Z18" i="7"/>
  <c r="AC25" i="7"/>
  <c r="AD25" i="7" s="1"/>
  <c r="AE25" i="7" s="1"/>
  <c r="Z25" i="7"/>
  <c r="AC28" i="7"/>
  <c r="AC22" i="7"/>
  <c r="Z22" i="7"/>
  <c r="AC10" i="7"/>
  <c r="AD10" i="7" s="1"/>
  <c r="AE10" i="7" s="1"/>
  <c r="Z10" i="7"/>
  <c r="AC14" i="7"/>
  <c r="Z14" i="7"/>
  <c r="AD42" i="7"/>
  <c r="AE42" i="7" s="1"/>
  <c r="X44" i="7"/>
  <c r="AC47" i="7"/>
  <c r="Z47" i="7"/>
  <c r="AC49" i="7"/>
  <c r="AC21" i="7"/>
  <c r="Z21" i="7"/>
  <c r="AC24" i="7"/>
  <c r="AC9" i="7"/>
  <c r="Z9" i="7"/>
  <c r="AC13" i="7"/>
  <c r="Z13" i="7"/>
  <c r="AC17" i="7"/>
  <c r="Z17" i="7"/>
  <c r="X26" i="7"/>
  <c r="AD26" i="7" s="1"/>
  <c r="AE26" i="7" s="1"/>
  <c r="AC43" i="7"/>
  <c r="Z43" i="7"/>
  <c r="Z26" i="7"/>
  <c r="Z30" i="7"/>
  <c r="Z41" i="7"/>
  <c r="Z42" i="7"/>
  <c r="AC44" i="7"/>
  <c r="AC38" i="7"/>
  <c r="AD38" i="7" s="1"/>
  <c r="AE38" i="7" s="1"/>
  <c r="AC39" i="7"/>
  <c r="Z39" i="7"/>
  <c r="Z38" i="7"/>
  <c r="AC40" i="7"/>
  <c r="AC34" i="7"/>
  <c r="AC35" i="7"/>
  <c r="AD35" i="7" s="1"/>
  <c r="AE35" i="7" s="1"/>
  <c r="Z35" i="7"/>
  <c r="X45" i="7"/>
  <c r="AC24" i="6"/>
  <c r="X21" i="6"/>
  <c r="X49" i="6"/>
  <c r="AC30" i="6"/>
  <c r="AC43" i="6"/>
  <c r="X39" i="6"/>
  <c r="X46" i="6"/>
  <c r="AC9" i="6"/>
  <c r="AC39" i="6"/>
  <c r="AC10" i="6"/>
  <c r="AC26" i="6"/>
  <c r="AC15" i="6"/>
  <c r="X25" i="6"/>
  <c r="X9" i="6"/>
  <c r="X45" i="6"/>
  <c r="AC16" i="6"/>
  <c r="AC35" i="6"/>
  <c r="X32" i="6"/>
  <c r="X17" i="6"/>
  <c r="X41" i="6"/>
  <c r="X44" i="6"/>
  <c r="X34" i="6"/>
  <c r="AC23" i="6"/>
  <c r="X15" i="6"/>
  <c r="X12" i="6"/>
  <c r="X26" i="6"/>
  <c r="Z9" i="6"/>
  <c r="AC46" i="6"/>
  <c r="AC14" i="6"/>
  <c r="X28" i="6"/>
  <c r="AC40" i="6"/>
  <c r="X37" i="6"/>
  <c r="AC32" i="6"/>
  <c r="X20" i="6"/>
  <c r="X18" i="6"/>
  <c r="X23" i="6"/>
  <c r="AC19" i="6"/>
  <c r="Z19" i="6"/>
  <c r="Z16" i="6"/>
  <c r="AC11" i="6"/>
  <c r="X48" i="6"/>
  <c r="AC8" i="6"/>
  <c r="X38" i="6"/>
  <c r="AC36" i="6"/>
  <c r="X35" i="6"/>
  <c r="X29" i="6"/>
  <c r="AC20" i="6"/>
  <c r="X19" i="6"/>
  <c r="X16" i="6"/>
  <c r="X13" i="6"/>
  <c r="AC47" i="6"/>
  <c r="AC27" i="6"/>
  <c r="X22" i="6"/>
  <c r="Z40" i="6"/>
  <c r="AC34" i="6"/>
  <c r="Z24" i="6"/>
  <c r="AC18" i="6"/>
  <c r="AC38" i="6"/>
  <c r="X43" i="6"/>
  <c r="AC22" i="6"/>
  <c r="X14" i="6"/>
  <c r="X47" i="6"/>
  <c r="AC42" i="6"/>
  <c r="X40" i="6"/>
  <c r="AC28" i="6"/>
  <c r="X27" i="6"/>
  <c r="X24" i="6"/>
  <c r="AC12" i="6"/>
  <c r="X11" i="6"/>
  <c r="AC48" i="6"/>
  <c r="X42" i="6"/>
  <c r="Z49" i="6"/>
  <c r="AC49" i="6"/>
  <c r="AC44" i="6"/>
  <c r="Z45" i="6"/>
  <c r="AC45" i="6"/>
  <c r="AC41" i="6"/>
  <c r="AC37" i="6"/>
  <c r="AC33" i="6"/>
  <c r="AC29" i="6"/>
  <c r="AC25" i="6"/>
  <c r="AC21" i="6"/>
  <c r="AC17" i="6"/>
  <c r="AC13" i="6"/>
  <c r="AJ51" i="6"/>
  <c r="AI51" i="6"/>
  <c r="AH51" i="6"/>
  <c r="AG51" i="6"/>
  <c r="AF51" i="6"/>
  <c r="AB7" i="6"/>
  <c r="Y7" i="6"/>
  <c r="S7" i="6"/>
  <c r="U7" i="6" s="1"/>
  <c r="AD48" i="19" l="1"/>
  <c r="AE48" i="19" s="1"/>
  <c r="AD45" i="16"/>
  <c r="AE45" i="16" s="1"/>
  <c r="AD29" i="14"/>
  <c r="AE29" i="14" s="1"/>
  <c r="AD47" i="14"/>
  <c r="AE47" i="14" s="1"/>
  <c r="AD49" i="13"/>
  <c r="AE49" i="13" s="1"/>
  <c r="AD48" i="13"/>
  <c r="AE48" i="13" s="1"/>
  <c r="AD45" i="13"/>
  <c r="AE45" i="13" s="1"/>
  <c r="AD11" i="12"/>
  <c r="AE11" i="12" s="1"/>
  <c r="AD37" i="12"/>
  <c r="AE37" i="12" s="1"/>
  <c r="AD33" i="9"/>
  <c r="AE33" i="9" s="1"/>
  <c r="AD59" i="20"/>
  <c r="AE59" i="20" s="1"/>
  <c r="AD47" i="28"/>
  <c r="AE47" i="28" s="1"/>
  <c r="AD50" i="28"/>
  <c r="AE50" i="28" s="1"/>
  <c r="AD41" i="13"/>
  <c r="AE41" i="13" s="1"/>
  <c r="AD78" i="32"/>
  <c r="AE78" i="32" s="1"/>
  <c r="AD44" i="8"/>
  <c r="AE44" i="8" s="1"/>
  <c r="AD47" i="26"/>
  <c r="AE47" i="26" s="1"/>
  <c r="AD11" i="19"/>
  <c r="AE11" i="19" s="1"/>
  <c r="AD47" i="23"/>
  <c r="AE47" i="23" s="1"/>
  <c r="AD83" i="30"/>
  <c r="AE83" i="30" s="1"/>
  <c r="AD18" i="33"/>
  <c r="AE18" i="33" s="1"/>
  <c r="AD53" i="15"/>
  <c r="AE53" i="15" s="1"/>
  <c r="AD32" i="8"/>
  <c r="AE32" i="8" s="1"/>
  <c r="AD33" i="8"/>
  <c r="AE33" i="8" s="1"/>
  <c r="AD31" i="12"/>
  <c r="AE31" i="12" s="1"/>
  <c r="AD53" i="13"/>
  <c r="AE53" i="13" s="1"/>
  <c r="AD41" i="9"/>
  <c r="AE41" i="9" s="1"/>
  <c r="AD36" i="23"/>
  <c r="AE36" i="23" s="1"/>
  <c r="AD55" i="19"/>
  <c r="AE55" i="19" s="1"/>
  <c r="AD86" i="35"/>
  <c r="AE86" i="35" s="1"/>
  <c r="AD16" i="30"/>
  <c r="AE16" i="30" s="1"/>
  <c r="AD89" i="34"/>
  <c r="AE89" i="34" s="1"/>
  <c r="AD29" i="34"/>
  <c r="AE29" i="34" s="1"/>
  <c r="AD30" i="19"/>
  <c r="AE30" i="19" s="1"/>
  <c r="AD47" i="17"/>
  <c r="AE47" i="17" s="1"/>
  <c r="AD56" i="19"/>
  <c r="AE56" i="19" s="1"/>
  <c r="AD27" i="35"/>
  <c r="AE27" i="35" s="1"/>
  <c r="AD37" i="8"/>
  <c r="AE37" i="8" s="1"/>
  <c r="AD28" i="10"/>
  <c r="AE28" i="10" s="1"/>
  <c r="AD25" i="12"/>
  <c r="AE25" i="12" s="1"/>
  <c r="AD48" i="17"/>
  <c r="AE48" i="17" s="1"/>
  <c r="AD8" i="8"/>
  <c r="AE8" i="8" s="1"/>
  <c r="Z54" i="7"/>
  <c r="AD8" i="9"/>
  <c r="AE8" i="9" s="1"/>
  <c r="AD43" i="31"/>
  <c r="AE43" i="31" s="1"/>
  <c r="AD60" i="29"/>
  <c r="AE60" i="29" s="1"/>
  <c r="AD50" i="29"/>
  <c r="AE50" i="29" s="1"/>
  <c r="AD44" i="31"/>
  <c r="AE44" i="31" s="1"/>
  <c r="AD59" i="30"/>
  <c r="AE59" i="30" s="1"/>
  <c r="AD37" i="25"/>
  <c r="AE37" i="25" s="1"/>
  <c r="AD50" i="19"/>
  <c r="AE50" i="19" s="1"/>
  <c r="AD35" i="29"/>
  <c r="AE35" i="29" s="1"/>
  <c r="AD67" i="30"/>
  <c r="AE67" i="30" s="1"/>
  <c r="AD42" i="13"/>
  <c r="AE42" i="13" s="1"/>
  <c r="AD34" i="8"/>
  <c r="AE34" i="8" s="1"/>
  <c r="AD48" i="28"/>
  <c r="AE48" i="28" s="1"/>
  <c r="AD71" i="31"/>
  <c r="AE71" i="31" s="1"/>
  <c r="AD50" i="27"/>
  <c r="AE50" i="27" s="1"/>
  <c r="AD71" i="34"/>
  <c r="AE71" i="34" s="1"/>
  <c r="AD47" i="19"/>
  <c r="AE47" i="19" s="1"/>
  <c r="AD64" i="30"/>
  <c r="AE64" i="30" s="1"/>
  <c r="AD13" i="7"/>
  <c r="AE13" i="7" s="1"/>
  <c r="AD28" i="7"/>
  <c r="AE28" i="7" s="1"/>
  <c r="AD46" i="13"/>
  <c r="AE46" i="13" s="1"/>
  <c r="AD42" i="26"/>
  <c r="AE42" i="26" s="1"/>
  <c r="AD63" i="33"/>
  <c r="AE63" i="33" s="1"/>
  <c r="AD41" i="17"/>
  <c r="AE41" i="17" s="1"/>
  <c r="AD71" i="29"/>
  <c r="AE71" i="29" s="1"/>
  <c r="AD58" i="31"/>
  <c r="AE58" i="31" s="1"/>
  <c r="AD56" i="34"/>
  <c r="AE56" i="34" s="1"/>
  <c r="AD84" i="35"/>
  <c r="AE84" i="35" s="1"/>
  <c r="AD17" i="7"/>
  <c r="AE17" i="7" s="1"/>
  <c r="AD43" i="7"/>
  <c r="AE43" i="7" s="1"/>
  <c r="AD39" i="26"/>
  <c r="AE39" i="26" s="1"/>
  <c r="AD28" i="8"/>
  <c r="AE28" i="8" s="1"/>
  <c r="AD52" i="19"/>
  <c r="AE52" i="19" s="1"/>
  <c r="AD35" i="14"/>
  <c r="AE35" i="14" s="1"/>
  <c r="AD57" i="14"/>
  <c r="AE57" i="14" s="1"/>
  <c r="AD55" i="13"/>
  <c r="AE55" i="13" s="1"/>
  <c r="AD18" i="7"/>
  <c r="AE18" i="7" s="1"/>
  <c r="AD44" i="18"/>
  <c r="AE44" i="18" s="1"/>
  <c r="AD54" i="29"/>
  <c r="AE54" i="29" s="1"/>
  <c r="AD47" i="29"/>
  <c r="AE47" i="29" s="1"/>
  <c r="AD70" i="31"/>
  <c r="AE70" i="31" s="1"/>
  <c r="AD47" i="34"/>
  <c r="AE47" i="34" s="1"/>
  <c r="AD82" i="34"/>
  <c r="AE82" i="34" s="1"/>
  <c r="AD79" i="29"/>
  <c r="AE79" i="29" s="1"/>
  <c r="AD61" i="30"/>
  <c r="AE61" i="30" s="1"/>
  <c r="AD38" i="32"/>
  <c r="AE38" i="32" s="1"/>
  <c r="AD26" i="24"/>
  <c r="AE26" i="24" s="1"/>
  <c r="AD36" i="12"/>
  <c r="AE36" i="12" s="1"/>
  <c r="AD45" i="17"/>
  <c r="AE45" i="17" s="1"/>
  <c r="AD49" i="30"/>
  <c r="AE49" i="30" s="1"/>
  <c r="AD90" i="31"/>
  <c r="AE90" i="31" s="1"/>
  <c r="AD22" i="7"/>
  <c r="AE22" i="7" s="1"/>
  <c r="AD43" i="12"/>
  <c r="AE43" i="12" s="1"/>
  <c r="AD42" i="17"/>
  <c r="AE42" i="17" s="1"/>
  <c r="AD49" i="18"/>
  <c r="AE49" i="18" s="1"/>
  <c r="AD47" i="27"/>
  <c r="AE47" i="27" s="1"/>
  <c r="AD79" i="30"/>
  <c r="AE79" i="30" s="1"/>
  <c r="AD35" i="33"/>
  <c r="AE35" i="33" s="1"/>
  <c r="AD40" i="7"/>
  <c r="AE40" i="7" s="1"/>
  <c r="AD47" i="7"/>
  <c r="AE47" i="7" s="1"/>
  <c r="AD44" i="22"/>
  <c r="AE44" i="22" s="1"/>
  <c r="AD86" i="29"/>
  <c r="AE86" i="29" s="1"/>
  <c r="AD75" i="31"/>
  <c r="AE75" i="31" s="1"/>
  <c r="AD40" i="22"/>
  <c r="AE40" i="22" s="1"/>
  <c r="AD46" i="27"/>
  <c r="AE46" i="27" s="1"/>
  <c r="AD45" i="30"/>
  <c r="AE45" i="30" s="1"/>
  <c r="AD45" i="27"/>
  <c r="AE45" i="27" s="1"/>
  <c r="AD49" i="26"/>
  <c r="AE49" i="26" s="1"/>
  <c r="AD42" i="27"/>
  <c r="AE42" i="27" s="1"/>
  <c r="AD70" i="32"/>
  <c r="AE70" i="32" s="1"/>
  <c r="AD95" i="32"/>
  <c r="AE95" i="32" s="1"/>
  <c r="AD44" i="34"/>
  <c r="AE44" i="34" s="1"/>
  <c r="AD33" i="10"/>
  <c r="AE33" i="10" s="1"/>
  <c r="AD47" i="13"/>
  <c r="AE47" i="13" s="1"/>
  <c r="AD82" i="31"/>
  <c r="AE82" i="31" s="1"/>
  <c r="AD56" i="32"/>
  <c r="AE56" i="32" s="1"/>
  <c r="AD59" i="34"/>
  <c r="AE59" i="34" s="1"/>
  <c r="AD56" i="30"/>
  <c r="AE56" i="30" s="1"/>
  <c r="AD84" i="33"/>
  <c r="AE84" i="33" s="1"/>
  <c r="AD89" i="29"/>
  <c r="AE89" i="29" s="1"/>
  <c r="AD46" i="29"/>
  <c r="AE46" i="29" s="1"/>
  <c r="AD86" i="32"/>
  <c r="AE86" i="32" s="1"/>
  <c r="AD55" i="34"/>
  <c r="AE55" i="34" s="1"/>
  <c r="AD39" i="12"/>
  <c r="AE39" i="12" s="1"/>
  <c r="AD49" i="14"/>
  <c r="AE49" i="14" s="1"/>
  <c r="AD78" i="35"/>
  <c r="AE78" i="35" s="1"/>
  <c r="AD12" i="9"/>
  <c r="AE12" i="9" s="1"/>
  <c r="AD61" i="31"/>
  <c r="AE61" i="31" s="1"/>
  <c r="AD47" i="32"/>
  <c r="AE47" i="32" s="1"/>
  <c r="AD79" i="34"/>
  <c r="AE79" i="34" s="1"/>
  <c r="AD35" i="34"/>
  <c r="AE35" i="34" s="1"/>
  <c r="AD34" i="34"/>
  <c r="AE34" i="34" s="1"/>
  <c r="AD76" i="34"/>
  <c r="AE76" i="34" s="1"/>
  <c r="AD38" i="25"/>
  <c r="AE38" i="25" s="1"/>
  <c r="AD43" i="27"/>
  <c r="AE43" i="27" s="1"/>
  <c r="AD49" i="27"/>
  <c r="AE49" i="27" s="1"/>
  <c r="AD48" i="27"/>
  <c r="AE48" i="27" s="1"/>
  <c r="AD49" i="28"/>
  <c r="AE49" i="28" s="1"/>
  <c r="AD33" i="21"/>
  <c r="AE33" i="21" s="1"/>
  <c r="Z55" i="27"/>
  <c r="H25" i="36" s="1"/>
  <c r="Z52" i="26"/>
  <c r="H24" i="36" s="1"/>
  <c r="AD29" i="10"/>
  <c r="AE29" i="10" s="1"/>
  <c r="AD25" i="10"/>
  <c r="AE25" i="10" s="1"/>
  <c r="AD51" i="10"/>
  <c r="AE51" i="10" s="1"/>
  <c r="AD61" i="10"/>
  <c r="AE61" i="10" s="1"/>
  <c r="AD57" i="10"/>
  <c r="AE57" i="10" s="1"/>
  <c r="AD64" i="10"/>
  <c r="AE64" i="10" s="1"/>
  <c r="AD44" i="10"/>
  <c r="AE44" i="10" s="1"/>
  <c r="AD36" i="10"/>
  <c r="AE36" i="10" s="1"/>
  <c r="AD37" i="10"/>
  <c r="AE37" i="10" s="1"/>
  <c r="AD60" i="10"/>
  <c r="AE60" i="10" s="1"/>
  <c r="AD32" i="10"/>
  <c r="AE32" i="10" s="1"/>
  <c r="AD48" i="10"/>
  <c r="AE48" i="10" s="1"/>
  <c r="AD24" i="10"/>
  <c r="AE24" i="10" s="1"/>
  <c r="AD63" i="10"/>
  <c r="AE63" i="10" s="1"/>
  <c r="AD58" i="10"/>
  <c r="AE58" i="10" s="1"/>
  <c r="AD39" i="10"/>
  <c r="AE39" i="10" s="1"/>
  <c r="AD40" i="10"/>
  <c r="AE40" i="10" s="1"/>
  <c r="AD32" i="9"/>
  <c r="AE32" i="9" s="1"/>
  <c r="AD40" i="9"/>
  <c r="AE40" i="9" s="1"/>
  <c r="AD31" i="9"/>
  <c r="AE31" i="9" s="1"/>
  <c r="AD53" i="9"/>
  <c r="AE53" i="9" s="1"/>
  <c r="AD47" i="12"/>
  <c r="AE47" i="12" s="1"/>
  <c r="AD51" i="14"/>
  <c r="AE51" i="14" s="1"/>
  <c r="AD34" i="20"/>
  <c r="AE34" i="20" s="1"/>
  <c r="AD51" i="30"/>
  <c r="AE51" i="30" s="1"/>
  <c r="AD87" i="35"/>
  <c r="AE87" i="35" s="1"/>
  <c r="AD48" i="12"/>
  <c r="AE48" i="12" s="1"/>
  <c r="AD42" i="12"/>
  <c r="AE42" i="12" s="1"/>
  <c r="AD34" i="13"/>
  <c r="AE34" i="13" s="1"/>
  <c r="AD52" i="14"/>
  <c r="AE52" i="14" s="1"/>
  <c r="AD51" i="24"/>
  <c r="AE51" i="24" s="1"/>
  <c r="AD14" i="25"/>
  <c r="AE14" i="25" s="1"/>
  <c r="AD51" i="29"/>
  <c r="AE51" i="29" s="1"/>
  <c r="AD49" i="8"/>
  <c r="AE49" i="8" s="1"/>
  <c r="AD49" i="7"/>
  <c r="AE49" i="7" s="1"/>
  <c r="AD21" i="26"/>
  <c r="AE21" i="26" s="1"/>
  <c r="AD63" i="34"/>
  <c r="AE63" i="34" s="1"/>
  <c r="AD72" i="35"/>
  <c r="AE72" i="35" s="1"/>
  <c r="AD32" i="7"/>
  <c r="AE32" i="7" s="1"/>
  <c r="AD59" i="10"/>
  <c r="AE59" i="10" s="1"/>
  <c r="AD52" i="15"/>
  <c r="AE52" i="15" s="1"/>
  <c r="AD10" i="25"/>
  <c r="AE10" i="25" s="1"/>
  <c r="AD51" i="34"/>
  <c r="AE51" i="34" s="1"/>
  <c r="AD50" i="30"/>
  <c r="AE50" i="30" s="1"/>
  <c r="AD51" i="9"/>
  <c r="AE51" i="9" s="1"/>
  <c r="AD62" i="10"/>
  <c r="AE62" i="10" s="1"/>
  <c r="AD38" i="10"/>
  <c r="AE38" i="10" s="1"/>
  <c r="AD49" i="29"/>
  <c r="AE49" i="29" s="1"/>
  <c r="AD76" i="32"/>
  <c r="AE76" i="32" s="1"/>
  <c r="AD67" i="29"/>
  <c r="AE67" i="29" s="1"/>
  <c r="AD96" i="32"/>
  <c r="AE96" i="32" s="1"/>
  <c r="AD14" i="7"/>
  <c r="AE14" i="7" s="1"/>
  <c r="AD25" i="26"/>
  <c r="AE25" i="26" s="1"/>
  <c r="AD57" i="30"/>
  <c r="AE57" i="30" s="1"/>
  <c r="AD70" i="30"/>
  <c r="AE70" i="30" s="1"/>
  <c r="AD95" i="35"/>
  <c r="AE95" i="35" s="1"/>
  <c r="AD26" i="25"/>
  <c r="AE26" i="25" s="1"/>
  <c r="AD93" i="35"/>
  <c r="AE93" i="35" s="1"/>
  <c r="AD55" i="20"/>
  <c r="AE55" i="20" s="1"/>
  <c r="AD68" i="33"/>
  <c r="AE68" i="33" s="1"/>
  <c r="AD40" i="23"/>
  <c r="AE40" i="23" s="1"/>
  <c r="AD9" i="26"/>
  <c r="AE9" i="26" s="1"/>
  <c r="AD19" i="28"/>
  <c r="AE19" i="28" s="1"/>
  <c r="AD24" i="16"/>
  <c r="AE24" i="16" s="1"/>
  <c r="AD64" i="29"/>
  <c r="AE64" i="29" s="1"/>
  <c r="AD76" i="30"/>
  <c r="AE76" i="30" s="1"/>
  <c r="AD55" i="30"/>
  <c r="AE55" i="30" s="1"/>
  <c r="AD50" i="31"/>
  <c r="AE50" i="31" s="1"/>
  <c r="AD88" i="32"/>
  <c r="AE88" i="32" s="1"/>
  <c r="AD50" i="24"/>
  <c r="AE50" i="24" s="1"/>
  <c r="AD64" i="31"/>
  <c r="AE64" i="31" s="1"/>
  <c r="AD55" i="31"/>
  <c r="AE55" i="31" s="1"/>
  <c r="AD41" i="23"/>
  <c r="AE41" i="23" s="1"/>
  <c r="AD23" i="23"/>
  <c r="AE23" i="23" s="1"/>
  <c r="AD44" i="23"/>
  <c r="AE44" i="23" s="1"/>
  <c r="AD51" i="23"/>
  <c r="AE51" i="23" s="1"/>
  <c r="AD38" i="23"/>
  <c r="AE38" i="23" s="1"/>
  <c r="AD50" i="23"/>
  <c r="AE50" i="23" s="1"/>
  <c r="AD38" i="22"/>
  <c r="AE38" i="22" s="1"/>
  <c r="AD42" i="22"/>
  <c r="AE42" i="22" s="1"/>
  <c r="AD43" i="22"/>
  <c r="AE43" i="22" s="1"/>
  <c r="AD42" i="21"/>
  <c r="AE42" i="21" s="1"/>
  <c r="AD30" i="21"/>
  <c r="AE30" i="21" s="1"/>
  <c r="AD36" i="21"/>
  <c r="AE36" i="21" s="1"/>
  <c r="AD21" i="21"/>
  <c r="AE21" i="21" s="1"/>
  <c r="AD37" i="21"/>
  <c r="AE37" i="21" s="1"/>
  <c r="AD38" i="21"/>
  <c r="AE38" i="21" s="1"/>
  <c r="AD34" i="21"/>
  <c r="AE34" i="21" s="1"/>
  <c r="AD32" i="21"/>
  <c r="AE32" i="21" s="1"/>
  <c r="AD35" i="21"/>
  <c r="AE35" i="21" s="1"/>
  <c r="AD40" i="24"/>
  <c r="AE40" i="24" s="1"/>
  <c r="AD44" i="24"/>
  <c r="AE44" i="24" s="1"/>
  <c r="AD48" i="24"/>
  <c r="AE48" i="24" s="1"/>
  <c r="AD34" i="22"/>
  <c r="AE34" i="22" s="1"/>
  <c r="AD34" i="7"/>
  <c r="AE34" i="7" s="1"/>
  <c r="AD56" i="9"/>
  <c r="AE56" i="9" s="1"/>
  <c r="AD20" i="21"/>
  <c r="AE20" i="21" s="1"/>
  <c r="AD90" i="29"/>
  <c r="AE90" i="29" s="1"/>
  <c r="AD75" i="30"/>
  <c r="AE75" i="30" s="1"/>
  <c r="AD36" i="31"/>
  <c r="AE36" i="31" s="1"/>
  <c r="AD62" i="35"/>
  <c r="AE62" i="35" s="1"/>
  <c r="AD80" i="35"/>
  <c r="AE80" i="35" s="1"/>
  <c r="AD50" i="35"/>
  <c r="AE50" i="35" s="1"/>
  <c r="AD94" i="35"/>
  <c r="AE94" i="35" s="1"/>
  <c r="AD40" i="35"/>
  <c r="AE40" i="35" s="1"/>
  <c r="AD48" i="32"/>
  <c r="AE48" i="32" s="1"/>
  <c r="AD78" i="34"/>
  <c r="AE78" i="34" s="1"/>
  <c r="AD75" i="34"/>
  <c r="AE75" i="34" s="1"/>
  <c r="AD58" i="20"/>
  <c r="AE58" i="20" s="1"/>
  <c r="AD35" i="25"/>
  <c r="AE35" i="25" s="1"/>
  <c r="AD46" i="26"/>
  <c r="AE46" i="26" s="1"/>
  <c r="AD39" i="29"/>
  <c r="AE39" i="29" s="1"/>
  <c r="AD34" i="35"/>
  <c r="AE34" i="35" s="1"/>
  <c r="AD18" i="8"/>
  <c r="AE18" i="8" s="1"/>
  <c r="AD41" i="27"/>
  <c r="AE41" i="27" s="1"/>
  <c r="AD78" i="33"/>
  <c r="AE78" i="33" s="1"/>
  <c r="AD46" i="33"/>
  <c r="AE46" i="33" s="1"/>
  <c r="AD10" i="8"/>
  <c r="AE10" i="8" s="1"/>
  <c r="AD29" i="9"/>
  <c r="AE29" i="9" s="1"/>
  <c r="AD28" i="9"/>
  <c r="AE28" i="9" s="1"/>
  <c r="AD63" i="29"/>
  <c r="AE63" i="29" s="1"/>
  <c r="AD79" i="31"/>
  <c r="AE79" i="31" s="1"/>
  <c r="AD43" i="33"/>
  <c r="AE43" i="33" s="1"/>
  <c r="AD56" i="35"/>
  <c r="AE56" i="35" s="1"/>
  <c r="AD29" i="19"/>
  <c r="AE29" i="19" s="1"/>
  <c r="AD24" i="7"/>
  <c r="AE24" i="7" s="1"/>
  <c r="AD29" i="7"/>
  <c r="AE29" i="7" s="1"/>
  <c r="AD46" i="8"/>
  <c r="AE46" i="8" s="1"/>
  <c r="AD23" i="16"/>
  <c r="AE23" i="16" s="1"/>
  <c r="AD44" i="7"/>
  <c r="AE44" i="7" s="1"/>
  <c r="AD21" i="7"/>
  <c r="AE21" i="7" s="1"/>
  <c r="AD10" i="9"/>
  <c r="AE10" i="9" s="1"/>
  <c r="AD82" i="29"/>
  <c r="AE82" i="29" s="1"/>
  <c r="AD28" i="11"/>
  <c r="AE28" i="11" s="1"/>
  <c r="AD64" i="32"/>
  <c r="AE64" i="32" s="1"/>
  <c r="AD11" i="17"/>
  <c r="AE11" i="17" s="1"/>
  <c r="AD25" i="17"/>
  <c r="AE25" i="17" s="1"/>
  <c r="AD31" i="21"/>
  <c r="AE31" i="21" s="1"/>
  <c r="AD17" i="21"/>
  <c r="AE17" i="21" s="1"/>
  <c r="AD11" i="21"/>
  <c r="AE11" i="21" s="1"/>
  <c r="AD39" i="21"/>
  <c r="AE39" i="21" s="1"/>
  <c r="AD25" i="21"/>
  <c r="AE25" i="21" s="1"/>
  <c r="AD39" i="13"/>
  <c r="AE39" i="13" s="1"/>
  <c r="AD38" i="13"/>
  <c r="AE38" i="13" s="1"/>
  <c r="AD36" i="22"/>
  <c r="AE36" i="22" s="1"/>
  <c r="AD22" i="25"/>
  <c r="AE22" i="25" s="1"/>
  <c r="AD43" i="30"/>
  <c r="AE43" i="30" s="1"/>
  <c r="AD47" i="31"/>
  <c r="AE47" i="31" s="1"/>
  <c r="AD74" i="32"/>
  <c r="AE74" i="32" s="1"/>
  <c r="AD67" i="33"/>
  <c r="AE67" i="33" s="1"/>
  <c r="AD40" i="34"/>
  <c r="AE40" i="34" s="1"/>
  <c r="AD98" i="35"/>
  <c r="AE98" i="35" s="1"/>
  <c r="AD42" i="9"/>
  <c r="AE42" i="9" s="1"/>
  <c r="AD55" i="14"/>
  <c r="AE55" i="14" s="1"/>
  <c r="AD45" i="29"/>
  <c r="AE45" i="29" s="1"/>
  <c r="AD36" i="33"/>
  <c r="AE36" i="33" s="1"/>
  <c r="AD68" i="35"/>
  <c r="AE68" i="35" s="1"/>
  <c r="AD24" i="8"/>
  <c r="AE24" i="8" s="1"/>
  <c r="AD26" i="12"/>
  <c r="AE26" i="12" s="1"/>
  <c r="AD43" i="17"/>
  <c r="AE43" i="17" s="1"/>
  <c r="AD54" i="19"/>
  <c r="AE54" i="19" s="1"/>
  <c r="AD97" i="31"/>
  <c r="AE97" i="31" s="1"/>
  <c r="AD58" i="15"/>
  <c r="AE58" i="15" s="1"/>
  <c r="AD34" i="26"/>
  <c r="AE34" i="26" s="1"/>
  <c r="AD53" i="29"/>
  <c r="AE53" i="29" s="1"/>
  <c r="AD20" i="8"/>
  <c r="AE20" i="8" s="1"/>
  <c r="AD11" i="9"/>
  <c r="AE11" i="9" s="1"/>
  <c r="AD41" i="25"/>
  <c r="AE41" i="25" s="1"/>
  <c r="AD77" i="29"/>
  <c r="AE77" i="29" s="1"/>
  <c r="AD80" i="30"/>
  <c r="AE80" i="30" s="1"/>
  <c r="AD77" i="30"/>
  <c r="AE77" i="30" s="1"/>
  <c r="AD38" i="30"/>
  <c r="AE38" i="30" s="1"/>
  <c r="AD68" i="31"/>
  <c r="AE68" i="31" s="1"/>
  <c r="AD60" i="32"/>
  <c r="AE60" i="32" s="1"/>
  <c r="AD39" i="35"/>
  <c r="AE39" i="35" s="1"/>
  <c r="AD52" i="13"/>
  <c r="AE52" i="13" s="1"/>
  <c r="AD38" i="24"/>
  <c r="AE38" i="24" s="1"/>
  <c r="AD34" i="27"/>
  <c r="AE34" i="27" s="1"/>
  <c r="AD15" i="28"/>
  <c r="AE15" i="28" s="1"/>
  <c r="AD35" i="30"/>
  <c r="AE35" i="30" s="1"/>
  <c r="AD59" i="31"/>
  <c r="AE59" i="31" s="1"/>
  <c r="AD90" i="32"/>
  <c r="AE90" i="32" s="1"/>
  <c r="AD88" i="33"/>
  <c r="AE88" i="33" s="1"/>
  <c r="AD48" i="35"/>
  <c r="AE48" i="35" s="1"/>
  <c r="AD82" i="35"/>
  <c r="AE82" i="35" s="1"/>
  <c r="AD11" i="14"/>
  <c r="AE11" i="14" s="1"/>
  <c r="AD39" i="30"/>
  <c r="AE39" i="30" s="1"/>
  <c r="AD47" i="24"/>
  <c r="AE47" i="24" s="1"/>
  <c r="AD53" i="27"/>
  <c r="AE53" i="27" s="1"/>
  <c r="AD42" i="28"/>
  <c r="AE42" i="28" s="1"/>
  <c r="AD42" i="29"/>
  <c r="AE42" i="29" s="1"/>
  <c r="AD80" i="29"/>
  <c r="AE80" i="29" s="1"/>
  <c r="AD98" i="31"/>
  <c r="AE98" i="31" s="1"/>
  <c r="AD66" i="31"/>
  <c r="AE66" i="31" s="1"/>
  <c r="AD67" i="31"/>
  <c r="AE67" i="31" s="1"/>
  <c r="AD72" i="32"/>
  <c r="AE72" i="32" s="1"/>
  <c r="AD83" i="33"/>
  <c r="AE83" i="33" s="1"/>
  <c r="AD68" i="34"/>
  <c r="AE68" i="34" s="1"/>
  <c r="AD50" i="34"/>
  <c r="AE50" i="34" s="1"/>
  <c r="AD32" i="35"/>
  <c r="AE32" i="35" s="1"/>
  <c r="AD39" i="15"/>
  <c r="AE39" i="15" s="1"/>
  <c r="AD34" i="15"/>
  <c r="AE34" i="15" s="1"/>
  <c r="AD41" i="22"/>
  <c r="AE41" i="22" s="1"/>
  <c r="AD39" i="34"/>
  <c r="AE39" i="34" s="1"/>
  <c r="AD36" i="35"/>
  <c r="AE36" i="35" s="1"/>
  <c r="AD40" i="21"/>
  <c r="AE40" i="21" s="1"/>
  <c r="Z45" i="21"/>
  <c r="H19" i="36" s="1"/>
  <c r="AD43" i="21"/>
  <c r="AE43" i="21" s="1"/>
  <c r="AD27" i="21"/>
  <c r="AE27" i="21" s="1"/>
  <c r="AD26" i="21"/>
  <c r="AE26" i="21" s="1"/>
  <c r="AD18" i="21"/>
  <c r="AE18" i="21" s="1"/>
  <c r="AD15" i="21"/>
  <c r="AE15" i="21" s="1"/>
  <c r="AD57" i="20"/>
  <c r="AE57" i="20" s="1"/>
  <c r="AD54" i="20"/>
  <c r="AE54" i="20" s="1"/>
  <c r="Z62" i="20"/>
  <c r="H18" i="36" s="1"/>
  <c r="Z58" i="19"/>
  <c r="H17" i="36" s="1"/>
  <c r="AD26" i="17"/>
  <c r="AE26" i="17" s="1"/>
  <c r="AD42" i="16"/>
  <c r="AE42" i="16" s="1"/>
  <c r="AD40" i="16"/>
  <c r="AE40" i="16" s="1"/>
  <c r="AD43" i="16"/>
  <c r="AE43" i="16" s="1"/>
  <c r="AD28" i="16"/>
  <c r="AE28" i="16" s="1"/>
  <c r="AD39" i="16"/>
  <c r="AE39" i="16" s="1"/>
  <c r="AD26" i="16"/>
  <c r="AE26" i="16" s="1"/>
  <c r="AD35" i="16"/>
  <c r="AE35" i="16" s="1"/>
  <c r="Z47" i="16"/>
  <c r="H14" i="36" s="1"/>
  <c r="AD57" i="15"/>
  <c r="AE57" i="15" s="1"/>
  <c r="AD46" i="15"/>
  <c r="AE46" i="15" s="1"/>
  <c r="AD56" i="15"/>
  <c r="AE56" i="15" s="1"/>
  <c r="AD11" i="15"/>
  <c r="AE11" i="15" s="1"/>
  <c r="AD60" i="15"/>
  <c r="AE60" i="15" s="1"/>
  <c r="AD47" i="15"/>
  <c r="AE47" i="15" s="1"/>
  <c r="AD41" i="14"/>
  <c r="AE41" i="14" s="1"/>
  <c r="AD50" i="13"/>
  <c r="AE50" i="13" s="1"/>
  <c r="AD35" i="11"/>
  <c r="AE35" i="11" s="1"/>
  <c r="AD27" i="11"/>
  <c r="AE27" i="11" s="1"/>
  <c r="AD11" i="16"/>
  <c r="AE11" i="16" s="1"/>
  <c r="AD54" i="15"/>
  <c r="AE54" i="15" s="1"/>
  <c r="AD55" i="15"/>
  <c r="AE55" i="15" s="1"/>
  <c r="AD44" i="14"/>
  <c r="AE44" i="14" s="1"/>
  <c r="AD43" i="18"/>
  <c r="AE43" i="18" s="1"/>
  <c r="AD48" i="18"/>
  <c r="AE48" i="18" s="1"/>
  <c r="AD45" i="18"/>
  <c r="AE45" i="18" s="1"/>
  <c r="AD44" i="13"/>
  <c r="AE44" i="13" s="1"/>
  <c r="AD27" i="13"/>
  <c r="AE27" i="13" s="1"/>
  <c r="Z57" i="13"/>
  <c r="H11" i="36" s="1"/>
  <c r="AD45" i="12"/>
  <c r="AE45" i="12" s="1"/>
  <c r="AD44" i="12"/>
  <c r="AE44" i="12" s="1"/>
  <c r="AD50" i="12"/>
  <c r="AE50" i="12" s="1"/>
  <c r="AD49" i="12"/>
  <c r="AE49" i="12" s="1"/>
  <c r="AD46" i="12"/>
  <c r="AE46" i="12" s="1"/>
  <c r="AD40" i="12"/>
  <c r="AE40" i="12" s="1"/>
  <c r="Z50" i="17"/>
  <c r="H15" i="36" s="1"/>
  <c r="Z52" i="12"/>
  <c r="H10" i="36" s="1"/>
  <c r="AD33" i="11"/>
  <c r="AE33" i="11" s="1"/>
  <c r="AD25" i="11"/>
  <c r="AE25" i="11" s="1"/>
  <c r="AD23" i="11"/>
  <c r="AE23" i="11" s="1"/>
  <c r="AD24" i="11"/>
  <c r="AE24" i="11" s="1"/>
  <c r="AD41" i="11"/>
  <c r="AE41" i="11" s="1"/>
  <c r="AD37" i="11"/>
  <c r="AE37" i="11" s="1"/>
  <c r="AD49" i="10"/>
  <c r="AE49" i="10" s="1"/>
  <c r="AD52" i="9"/>
  <c r="AE52" i="9" s="1"/>
  <c r="AD40" i="8"/>
  <c r="AE40" i="8" s="1"/>
  <c r="AD38" i="8"/>
  <c r="AE38" i="8" s="1"/>
  <c r="AD23" i="7"/>
  <c r="AE23" i="7" s="1"/>
  <c r="AD9" i="7"/>
  <c r="AE9" i="7" s="1"/>
  <c r="AD39" i="7"/>
  <c r="AE39" i="7" s="1"/>
  <c r="AD9" i="21"/>
  <c r="AE9" i="21" s="1"/>
  <c r="AD42" i="25"/>
  <c r="AE42" i="25" s="1"/>
  <c r="AD62" i="33"/>
  <c r="AE62" i="33" s="1"/>
  <c r="AD48" i="7"/>
  <c r="AE48" i="7" s="1"/>
  <c r="AD40" i="11"/>
  <c r="AE40" i="11" s="1"/>
  <c r="AD20" i="16"/>
  <c r="AE20" i="16" s="1"/>
  <c r="AD60" i="20"/>
  <c r="AE60" i="20" s="1"/>
  <c r="AD39" i="27"/>
  <c r="AE39" i="27" s="1"/>
  <c r="AD58" i="30"/>
  <c r="AE58" i="30" s="1"/>
  <c r="AD35" i="31"/>
  <c r="AE35" i="31" s="1"/>
  <c r="AD59" i="33"/>
  <c r="AE59" i="33" s="1"/>
  <c r="AD46" i="35"/>
  <c r="AE46" i="35" s="1"/>
  <c r="AD52" i="35"/>
  <c r="AE52" i="35" s="1"/>
  <c r="AD43" i="15"/>
  <c r="AE43" i="15" s="1"/>
  <c r="AD53" i="20"/>
  <c r="AE53" i="20" s="1"/>
  <c r="AD81" i="30"/>
  <c r="AE81" i="30" s="1"/>
  <c r="AD79" i="32"/>
  <c r="AE79" i="32" s="1"/>
  <c r="AD42" i="32"/>
  <c r="AE42" i="32" s="1"/>
  <c r="AD44" i="32"/>
  <c r="AE44" i="32" s="1"/>
  <c r="AD79" i="33"/>
  <c r="AE79" i="33" s="1"/>
  <c r="AD47" i="33"/>
  <c r="AE47" i="33" s="1"/>
  <c r="AD52" i="33"/>
  <c r="AE52" i="33" s="1"/>
  <c r="AD67" i="34"/>
  <c r="AE67" i="34" s="1"/>
  <c r="AD71" i="35"/>
  <c r="AE71" i="35" s="1"/>
  <c r="AD45" i="7"/>
  <c r="AE45" i="7" s="1"/>
  <c r="AD37" i="16"/>
  <c r="AE37" i="16" s="1"/>
  <c r="AD24" i="21"/>
  <c r="AE24" i="21" s="1"/>
  <c r="AD59" i="29"/>
  <c r="AE59" i="29" s="1"/>
  <c r="AD55" i="29"/>
  <c r="AE55" i="29" s="1"/>
  <c r="AD84" i="29"/>
  <c r="AE84" i="29" s="1"/>
  <c r="AD63" i="30"/>
  <c r="AE63" i="30" s="1"/>
  <c r="AD39" i="31"/>
  <c r="AE39" i="31" s="1"/>
  <c r="AD66" i="34"/>
  <c r="AE66" i="34" s="1"/>
  <c r="AD72" i="34"/>
  <c r="AE72" i="34" s="1"/>
  <c r="AD92" i="35"/>
  <c r="AE92" i="35" s="1"/>
  <c r="AD9" i="9"/>
  <c r="AE9" i="9" s="1"/>
  <c r="AD37" i="17"/>
  <c r="AE37" i="17" s="1"/>
  <c r="AD34" i="31"/>
  <c r="AE34" i="31" s="1"/>
  <c r="AD51" i="31"/>
  <c r="AE51" i="31" s="1"/>
  <c r="AD92" i="32"/>
  <c r="AE92" i="32" s="1"/>
  <c r="AD51" i="33"/>
  <c r="AE51" i="33" s="1"/>
  <c r="AD40" i="33"/>
  <c r="AE40" i="33" s="1"/>
  <c r="AD66" i="35"/>
  <c r="AE66" i="35" s="1"/>
  <c r="AD11" i="10"/>
  <c r="AE11" i="10" s="1"/>
  <c r="AD39" i="25"/>
  <c r="AE39" i="25" s="1"/>
  <c r="AD50" i="26"/>
  <c r="AE50" i="26" s="1"/>
  <c r="AD51" i="27"/>
  <c r="AE51" i="27" s="1"/>
  <c r="AD43" i="29"/>
  <c r="AE43" i="29" s="1"/>
  <c r="AD74" i="29"/>
  <c r="AE74" i="29" s="1"/>
  <c r="AD62" i="31"/>
  <c r="AE62" i="31" s="1"/>
  <c r="AD40" i="32"/>
  <c r="AE40" i="32" s="1"/>
  <c r="AD63" i="32"/>
  <c r="AE63" i="32" s="1"/>
  <c r="AD43" i="34"/>
  <c r="AE43" i="34" s="1"/>
  <c r="AD96" i="35"/>
  <c r="AE96" i="35" s="1"/>
  <c r="AD55" i="35"/>
  <c r="AE55" i="35" s="1"/>
  <c r="AD97" i="35"/>
  <c r="AE97" i="35" s="1"/>
  <c r="AD45" i="35"/>
  <c r="AE45" i="35" s="1"/>
  <c r="AD54" i="30"/>
  <c r="AE54" i="30" s="1"/>
  <c r="AD47" i="30"/>
  <c r="AE47" i="30" s="1"/>
  <c r="AD75" i="33"/>
  <c r="AE75" i="33" s="1"/>
  <c r="AD60" i="34"/>
  <c r="AE60" i="34" s="1"/>
  <c r="Z51" i="7"/>
  <c r="H5" i="36" s="1"/>
  <c r="Z58" i="9"/>
  <c r="H7" i="36" s="1"/>
  <c r="Z101" i="35"/>
  <c r="AE7" i="35"/>
  <c r="AC101" i="35"/>
  <c r="Z101" i="34"/>
  <c r="AC101" i="34"/>
  <c r="AD84" i="34"/>
  <c r="AE84" i="34" s="1"/>
  <c r="AE7" i="34"/>
  <c r="AD72" i="33"/>
  <c r="AE72" i="33" s="1"/>
  <c r="AD56" i="33"/>
  <c r="AE56" i="33" s="1"/>
  <c r="AE7" i="33"/>
  <c r="AC101" i="33"/>
  <c r="Z101" i="33"/>
  <c r="AD80" i="32"/>
  <c r="AE80" i="32" s="1"/>
  <c r="AE7" i="32"/>
  <c r="AC101" i="32"/>
  <c r="AD83" i="31"/>
  <c r="AE83" i="31" s="1"/>
  <c r="AD72" i="31"/>
  <c r="AE72" i="31" s="1"/>
  <c r="AD56" i="31"/>
  <c r="AE56" i="31" s="1"/>
  <c r="AD40" i="31"/>
  <c r="AE40" i="31" s="1"/>
  <c r="AE7" i="31"/>
  <c r="AD69" i="31"/>
  <c r="AE69" i="31" s="1"/>
  <c r="AD37" i="31"/>
  <c r="AE37" i="31" s="1"/>
  <c r="AC101" i="31"/>
  <c r="AD57" i="31"/>
  <c r="AE57" i="31" s="1"/>
  <c r="AD63" i="31"/>
  <c r="AE63" i="31" s="1"/>
  <c r="AD71" i="30"/>
  <c r="AE71" i="30" s="1"/>
  <c r="AE7" i="30"/>
  <c r="AD44" i="30"/>
  <c r="AE44" i="30" s="1"/>
  <c r="AC101" i="30"/>
  <c r="AD60" i="30"/>
  <c r="AE60" i="30" s="1"/>
  <c r="AD48" i="29"/>
  <c r="AE48" i="29" s="1"/>
  <c r="Z101" i="29"/>
  <c r="AE7" i="29"/>
  <c r="AD85" i="29"/>
  <c r="AE85" i="29" s="1"/>
  <c r="AD75" i="29"/>
  <c r="AE75" i="29" s="1"/>
  <c r="AC101" i="29"/>
  <c r="AD81" i="29"/>
  <c r="AE81" i="29" s="1"/>
  <c r="AD52" i="29"/>
  <c r="AE52" i="29" s="1"/>
  <c r="Z52" i="28"/>
  <c r="H26" i="36" s="1"/>
  <c r="AE7" i="28"/>
  <c r="AC52" i="28"/>
  <c r="AE7" i="27"/>
  <c r="AC55" i="27"/>
  <c r="AD44" i="26"/>
  <c r="AE44" i="26" s="1"/>
  <c r="AD43" i="26"/>
  <c r="AE43" i="26" s="1"/>
  <c r="AC52" i="26"/>
  <c r="AE7" i="25"/>
  <c r="AC44" i="25"/>
  <c r="Z44" i="25"/>
  <c r="H23" i="36" s="1"/>
  <c r="AE7" i="24"/>
  <c r="AC53" i="24"/>
  <c r="Z53" i="24"/>
  <c r="H22" i="36" s="1"/>
  <c r="AE7" i="23"/>
  <c r="AC53" i="23"/>
  <c r="Z53" i="23"/>
  <c r="H21" i="36" s="1"/>
  <c r="AD45" i="22"/>
  <c r="AE45" i="22" s="1"/>
  <c r="AD46" i="22"/>
  <c r="AE46" i="22" s="1"/>
  <c r="Z48" i="22"/>
  <c r="H20" i="36" s="1"/>
  <c r="AE7" i="22"/>
  <c r="AC48" i="22"/>
  <c r="AC45" i="21"/>
  <c r="AE7" i="21"/>
  <c r="AD49" i="20"/>
  <c r="AE49" i="20" s="1"/>
  <c r="AE7" i="20"/>
  <c r="AD35" i="20"/>
  <c r="AE35" i="20" s="1"/>
  <c r="AC62" i="20"/>
  <c r="AC58" i="19"/>
  <c r="AE7" i="19"/>
  <c r="Z51" i="18"/>
  <c r="H16" i="36" s="1"/>
  <c r="AE7" i="18"/>
  <c r="AC51" i="18"/>
  <c r="AE7" i="17"/>
  <c r="AC50" i="17"/>
  <c r="AC47" i="16"/>
  <c r="AD36" i="16"/>
  <c r="AE36" i="16" s="1"/>
  <c r="AE7" i="16"/>
  <c r="AE7" i="15"/>
  <c r="AC62" i="15"/>
  <c r="Z62" i="15"/>
  <c r="H13" i="36" s="1"/>
  <c r="AD59" i="15"/>
  <c r="AE59" i="15" s="1"/>
  <c r="AE7" i="14"/>
  <c r="AC59" i="14"/>
  <c r="AD46" i="14"/>
  <c r="AE46" i="14" s="1"/>
  <c r="Z59" i="14"/>
  <c r="H12" i="36" s="1"/>
  <c r="AE7" i="13"/>
  <c r="AC57" i="13"/>
  <c r="AE7" i="12"/>
  <c r="AC52" i="12"/>
  <c r="AD39" i="11"/>
  <c r="AE39" i="11" s="1"/>
  <c r="Z43" i="11"/>
  <c r="H9" i="36" s="1"/>
  <c r="AE7" i="11"/>
  <c r="AD38" i="11"/>
  <c r="AE38" i="11" s="1"/>
  <c r="AC43" i="11"/>
  <c r="Z66" i="10"/>
  <c r="H8" i="36" s="1"/>
  <c r="AC66" i="10"/>
  <c r="AD7" i="10"/>
  <c r="AD55" i="9"/>
  <c r="AE55" i="9" s="1"/>
  <c r="AC58" i="9"/>
  <c r="AD7" i="9"/>
  <c r="AD39" i="8"/>
  <c r="AE39" i="8" s="1"/>
  <c r="Z51" i="8"/>
  <c r="H6" i="36" s="1"/>
  <c r="AC51" i="8"/>
  <c r="AD7" i="8"/>
  <c r="AE7" i="7"/>
  <c r="AC51" i="7"/>
  <c r="AD49" i="6"/>
  <c r="AE49" i="6" s="1"/>
  <c r="AD16" i="6"/>
  <c r="AE16" i="6" s="1"/>
  <c r="AD45" i="6"/>
  <c r="AE45" i="6" s="1"/>
  <c r="AD21" i="6"/>
  <c r="AE21" i="6" s="1"/>
  <c r="AD40" i="6"/>
  <c r="AE40" i="6" s="1"/>
  <c r="AD24" i="6"/>
  <c r="AE24" i="6" s="1"/>
  <c r="AD22" i="6"/>
  <c r="AE22" i="6" s="1"/>
  <c r="AD26" i="6"/>
  <c r="AE26" i="6" s="1"/>
  <c r="AD41" i="6"/>
  <c r="AE41" i="6" s="1"/>
  <c r="AD46" i="6"/>
  <c r="AE46" i="6" s="1"/>
  <c r="AD33" i="6"/>
  <c r="AE33" i="6" s="1"/>
  <c r="AD43" i="6"/>
  <c r="AE43" i="6" s="1"/>
  <c r="AD39" i="6"/>
  <c r="AE39" i="6" s="1"/>
  <c r="AD9" i="6"/>
  <c r="AE9" i="6" s="1"/>
  <c r="AD32" i="6"/>
  <c r="AE32" i="6" s="1"/>
  <c r="AD23" i="6"/>
  <c r="AE23" i="6" s="1"/>
  <c r="AD12" i="6"/>
  <c r="AE12" i="6" s="1"/>
  <c r="AD27" i="6"/>
  <c r="AE27" i="6" s="1"/>
  <c r="AD30" i="6"/>
  <c r="AE30" i="6" s="1"/>
  <c r="AD28" i="6"/>
  <c r="AE28" i="6" s="1"/>
  <c r="AD35" i="6"/>
  <c r="AE35" i="6" s="1"/>
  <c r="AD10" i="6"/>
  <c r="AE10" i="6" s="1"/>
  <c r="AD20" i="6"/>
  <c r="AE20" i="6" s="1"/>
  <c r="AD17" i="6"/>
  <c r="AE17" i="6" s="1"/>
  <c r="AD11" i="6"/>
  <c r="AE11" i="6" s="1"/>
  <c r="AD14" i="6"/>
  <c r="AE14" i="6" s="1"/>
  <c r="AD42" i="6"/>
  <c r="AE42" i="6" s="1"/>
  <c r="AD18" i="6"/>
  <c r="AE18" i="6" s="1"/>
  <c r="AD36" i="6"/>
  <c r="AE36" i="6" s="1"/>
  <c r="AD15" i="6"/>
  <c r="AE15" i="6" s="1"/>
  <c r="AD25" i="6"/>
  <c r="AE25" i="6" s="1"/>
  <c r="AD38" i="6"/>
  <c r="AE38" i="6" s="1"/>
  <c r="AC7" i="6"/>
  <c r="AD8" i="6"/>
  <c r="AE8" i="6" s="1"/>
  <c r="AD34" i="6"/>
  <c r="AE34" i="6" s="1"/>
  <c r="AD37" i="6"/>
  <c r="AE37" i="6" s="1"/>
  <c r="AD48" i="6"/>
  <c r="AE48" i="6" s="1"/>
  <c r="AD44" i="6"/>
  <c r="AE44" i="6" s="1"/>
  <c r="AD47" i="6"/>
  <c r="AE47" i="6" s="1"/>
  <c r="AD19" i="6"/>
  <c r="AE19" i="6" s="1"/>
  <c r="AD29" i="6"/>
  <c r="AE29" i="6" s="1"/>
  <c r="AD13" i="6"/>
  <c r="AE13" i="6" s="1"/>
  <c r="X7" i="6"/>
  <c r="Z7" i="6"/>
  <c r="AD58" i="19" l="1"/>
  <c r="AE58" i="19" s="1"/>
  <c r="I17" i="36" s="1"/>
  <c r="AD53" i="23"/>
  <c r="AE53" i="23" s="1"/>
  <c r="I21" i="36" s="1"/>
  <c r="AD53" i="24"/>
  <c r="AE53" i="24" s="1"/>
  <c r="I22" i="36" s="1"/>
  <c r="AD52" i="28"/>
  <c r="AE52" i="28" s="1"/>
  <c r="I26" i="36" s="1"/>
  <c r="AD44" i="25"/>
  <c r="AE44" i="25" s="1"/>
  <c r="I23" i="36" s="1"/>
  <c r="AD101" i="35"/>
  <c r="AE101" i="35" s="1"/>
  <c r="AD62" i="15"/>
  <c r="AE62" i="15" s="1"/>
  <c r="I13" i="36" s="1"/>
  <c r="AD51" i="18"/>
  <c r="AE51" i="18" s="1"/>
  <c r="I16" i="36" s="1"/>
  <c r="AD57" i="13"/>
  <c r="AE57" i="13" s="1"/>
  <c r="I11" i="36" s="1"/>
  <c r="AD51" i="7"/>
  <c r="AE51" i="7" s="1"/>
  <c r="I5" i="36" s="1"/>
  <c r="AD101" i="32"/>
  <c r="AE101" i="32" s="1"/>
  <c r="AD101" i="34"/>
  <c r="AE101" i="34" s="1"/>
  <c r="AD50" i="17"/>
  <c r="AE50" i="17" s="1"/>
  <c r="I15" i="36" s="1"/>
  <c r="AD101" i="30"/>
  <c r="AE101" i="30" s="1"/>
  <c r="AD62" i="20"/>
  <c r="AE62" i="20" s="1"/>
  <c r="I18" i="36" s="1"/>
  <c r="AD47" i="16"/>
  <c r="AE47" i="16" s="1"/>
  <c r="I14" i="36" s="1"/>
  <c r="AD48" i="22"/>
  <c r="AE48" i="22" s="1"/>
  <c r="I20" i="36" s="1"/>
  <c r="AD101" i="33"/>
  <c r="AE101" i="33" s="1"/>
  <c r="AD101" i="31"/>
  <c r="AE101" i="31" s="1"/>
  <c r="AD101" i="29"/>
  <c r="AE101" i="29" s="1"/>
  <c r="AD55" i="27"/>
  <c r="AE55" i="27" s="1"/>
  <c r="I25" i="36" s="1"/>
  <c r="AD52" i="26"/>
  <c r="AE52" i="26" s="1"/>
  <c r="I24" i="36" s="1"/>
  <c r="AD45" i="21"/>
  <c r="AE45" i="21" s="1"/>
  <c r="I19" i="36" s="1"/>
  <c r="AD59" i="14"/>
  <c r="AE59" i="14" s="1"/>
  <c r="I12" i="36" s="1"/>
  <c r="AD52" i="12"/>
  <c r="AE52" i="12" s="1"/>
  <c r="I10" i="36" s="1"/>
  <c r="AD43" i="11"/>
  <c r="AE43" i="11" s="1"/>
  <c r="I9" i="36" s="1"/>
  <c r="AD66" i="10"/>
  <c r="AE66" i="10" s="1"/>
  <c r="I8" i="36" s="1"/>
  <c r="AE7" i="10"/>
  <c r="AD58" i="9"/>
  <c r="AE58" i="9" s="1"/>
  <c r="I7" i="36" s="1"/>
  <c r="AE7" i="9"/>
  <c r="AD51" i="8"/>
  <c r="AE51" i="8" s="1"/>
  <c r="I6" i="36" s="1"/>
  <c r="AE7" i="8"/>
  <c r="AD7" i="6"/>
  <c r="AE7" i="6" s="1"/>
  <c r="AC51" i="6"/>
  <c r="Z51" i="6"/>
  <c r="H4" i="36" s="1"/>
  <c r="AD51" i="6" l="1"/>
  <c r="AE51" i="6" s="1"/>
  <c r="I4" i="36" s="1"/>
</calcChain>
</file>

<file path=xl/sharedStrings.xml><?xml version="1.0" encoding="utf-8"?>
<sst xmlns="http://schemas.openxmlformats.org/spreadsheetml/2006/main" count="7367" uniqueCount="299">
  <si>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</si>
  <si>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</si>
  <si>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</si>
  <si>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</si>
  <si>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</si>
  <si>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</si>
  <si>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</si>
  <si>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</si>
  <si>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</si>
  <si>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</si>
  <si>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</si>
  <si>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</si>
  <si>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</si>
  <si>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</si>
  <si>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</si>
  <si>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</si>
  <si>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</si>
  <si>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</si>
  <si>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</si>
  <si>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</si>
  <si>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</si>
  <si>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</si>
  <si>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</si>
  <si>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</si>
  <si>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</si>
  <si>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</si>
  <si>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</si>
  <si>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</si>
  <si>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</si>
  <si>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</si>
  <si>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</si>
  <si>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</si>
  <si>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</si>
  <si>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</si>
  <si>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</si>
  <si>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</si>
  <si>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</si>
  <si>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</si>
  <si>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</si>
  <si>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</si>
  <si>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</si>
  <si>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</si>
  <si>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</si>
  <si>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 xml:space="preserve">Rooming: </t>
  </si>
  <si>
    <t xml:space="preserve">Pax: </t>
  </si>
  <si>
    <t>PP</t>
  </si>
  <si>
    <t>Ref</t>
  </si>
  <si>
    <t>NoRef</t>
  </si>
  <si>
    <t>Deposit</t>
  </si>
  <si>
    <t>Rest</t>
  </si>
  <si>
    <t xml:space="preserve">Dates: </t>
  </si>
  <si>
    <t>Keflavik: Welcome to Iceland</t>
  </si>
  <si>
    <t>Season: All</t>
  </si>
  <si>
    <t>Pax: 2</t>
  </si>
  <si>
    <t>Rooming: Double</t>
  </si>
  <si>
    <t>Day 1</t>
  </si>
  <si>
    <t>Arrival</t>
  </si>
  <si>
    <t>Car</t>
  </si>
  <si>
    <t>Drive</t>
  </si>
  <si>
    <t>Hotel</t>
  </si>
  <si>
    <t>Leisure</t>
  </si>
  <si>
    <t>Keflavik: Drive to Reykjavik - Driving time: 45 min - 1 hr - Optional Stops: Reykjanes lava fields, Coastal views along Route 41, Faxaflói Bay viewpoints (weather permitting) - Hidden Gems: Small roadside lava formations, Quiet pull-offs with ocean views, Reykjanes Peninsula backroad detours (only if not rushing)</t>
  </si>
  <si>
    <t>Keflavik: Pick up your rental car at the car rental office - A 4x4 will with room for 4 luggages will be provided</t>
  </si>
  <si>
    <t>Reykjavik: Spend time at leisure</t>
  </si>
  <si>
    <t>Reykjavik: Check in to your accommodation for a 1 night stay - Cenrally located 3/4-star hotel - Standard room - breakfast included</t>
  </si>
  <si>
    <t>Day 2</t>
  </si>
  <si>
    <t>Day 3</t>
  </si>
  <si>
    <t>Day 4</t>
  </si>
  <si>
    <t>Reykjavik: Drive to Vik I Myrdal via the Golden Circle - Driving time: 5.5hrs - 6.5hrs - Highlights: Þingvellir National Park, Geysir (Strokkur), Gullfoss, Seljalandsfoss, Skógafoss, Reynisfjara - Hidden Gems: Kerið, Gljúfrabúi, Dyrhólaey coastal viewpoints (weather permitting)</t>
  </si>
  <si>
    <t>Vik i Myrdal: Check in to your accommodation for a 1 night stay - Cenrally located 3/4-star hotel - Standard room - breakfast included</t>
  </si>
  <si>
    <t>Vik i Myrdal: Spend time at leisure</t>
  </si>
  <si>
    <t>Vik i Myrdal: Drive to Höfn - Driving time: 4.5hrs - 5.5 hrs - Highlights: Fjaðrárgljúfur, Skaftafell, Svartifoss, Jökulsárlón, Diamond Beach - Hidden Gems: Moss-covered lava fields of Eldhraun, Svínafellsjökull, Quiet pull-offs along Skeiðarársandur outwash plain</t>
  </si>
  <si>
    <t>Höfn: Check in to your accommodation for a 1 night stay - Cenrally located 3/4-star hotel - Standard room - breakfast included</t>
  </si>
  <si>
    <t>Höfn: Spend time at leisure</t>
  </si>
  <si>
    <t>Höfn: Drive to Selfoss - Driving time: 6hrs - 7hrs - Highlights: Vatnajökull views, Skaftafell, Eldhraun, Skógafoss, Seljalandsfoss - Hidden Gems:  Svínafellsjökull, Gljúfrabúi, Quiet stretches of Skeiðarársandur outwash plains</t>
  </si>
  <si>
    <t>Selfoss: Check in to your accommodation for a 1 night stay - Cenrally located 3/4-star hotel - Standard room - breakfast included</t>
  </si>
  <si>
    <t>Selfoss: Spend time at leisure</t>
  </si>
  <si>
    <t>Day 5</t>
  </si>
  <si>
    <t>Departure</t>
  </si>
  <si>
    <t>Selfoss: Drive to Keflavik Airport - Driving time: 1.5hrs - 2hrs - Highlights: Reykjanes lava landscapes, Reykjanes Peninsula scenery, Coastal views approaching Keflavík - Hidden Gems: Bridge Between Continents, Gunnuhver, Reykjanesviti</t>
  </si>
  <si>
    <t>Keflavik: Deliver your car at the car rental office</t>
  </si>
  <si>
    <t>Keflavik: Departure home</t>
  </si>
  <si>
    <t>Activity</t>
  </si>
  <si>
    <t>Activity Upgrade</t>
  </si>
  <si>
    <t>Höfn: Drive to Myvatn - Driving time: 6.5hrs - 7.5hrs - Highlights: Djúpivogur coastal scenery, Eastfjords mountain passes &amp; fjords, Dettifoss, Lake Mývatn area - Hidden Gems: Eggin í Gleðivík, Stuðlagil Canyon, Hverir</t>
  </si>
  <si>
    <t>Myvatn: Check in to your accommodation for a 1 night stay - Cenrally located 3/4-star hotel - Standard room - breakfast included</t>
  </si>
  <si>
    <t>Myvatn: Spend time at leisure</t>
  </si>
  <si>
    <t>Akureyri: Check in to your accommodation for a 1 night stay - Cenrally located 3/4-star hotel - Standard room - breakfast included</t>
  </si>
  <si>
    <t>Akureyri: Spend time at leisure</t>
  </si>
  <si>
    <t>Myvatn: Drive to Borgarnes via the Diamond Circle - Driving time: 3.5hrs - 4.5hrs - Highlights: Dettifoss, Ásbyrgi, Húsavík, Goðafoss, Hraunfossar, Barnafoss - Hidden Gems: Grjótagjá, Hljóðaklettar, Quiet stretches along Skagafjörður farmland</t>
  </si>
  <si>
    <t>Borgarnes: Spend time at leisure</t>
  </si>
  <si>
    <t>Borgarnes: Check in to your accommodation for a 1 night stay - Cenrally located 3/4-star hotel - Standard room - breakfast included</t>
  </si>
  <si>
    <t>Day 6</t>
  </si>
  <si>
    <t>Borgarnes: Drive to Keflavik Airport - Driving time: 1.5hrs - 2hrs - Highlights: Hvalfjörður coastal drive (Route 47), Mountain and fjord scenery in West Iceland, Reykjanes lava landscapes near Keflavík - Hidden Gems: Glymur (short hike), Quiet pull-offs along Hvalfjörður, Small geothermal areas on the Reykjanes Peninsula</t>
  </si>
  <si>
    <t>Day 7</t>
  </si>
  <si>
    <t>Egilsstaðir: Check in to your accommodation for a 1 night stay - Cenrally located 3/4-star hotel - Standard room - breakfast included</t>
  </si>
  <si>
    <t>Egilsstaðir: Spend time at leisure</t>
  </si>
  <si>
    <t>Höfn: Drive to Egilsstaðir - Driving time: 3.5hrs - 4-5hrs - Highlights: Eastfjords coastal &amp; mountain scenery, Djúpivogur, Fjord crossings and dramatic mountain passes, Lagarfljót - Hidden Gems: Eggin í Gleðivík, Remote Eastfjords viewpoints, Small roadside waterfalls along Route 1</t>
  </si>
  <si>
    <t>Egilsstaðir: Drive to Akureyri, via the Diamond Circle - Driving time: 4.5hrs - 5.5hrs - Highlights: Stuðlagil Canyon, Dettifoss, Ásbyrgi, Goðafoss - Hidden Gems: Hljóðaklettar, Jökulsárgljúfur canyon viewpoints, Quiet stretches near Lake Mývatn</t>
  </si>
  <si>
    <t>Akureyri: Drive to Reykjavik - Driving time: 4.5hrs - 5.5hrs - Highlights: Goðafoss, Skagafjörður valley scenery, Borgarnes, Reykjavík arrival - Hidden Gems: Hraunfossar, Barnafoss, Hvalfjörður scenic coastal route (Route 47)</t>
  </si>
  <si>
    <t>Reykjavik: Drive to Keflavik Airport - Driving time: 45min - 1hrs - Highlights: Reykjanes lava fields, Coastal views toward Faxaflói Bay - Hidden Gems: Small pull-offs with ocean views, Short detours on the Reykjanes Peninsula</t>
  </si>
  <si>
    <t>Day 8</t>
  </si>
  <si>
    <t>Places: Reykjavik 1N - Vik I Myrdal 1N - Hofn 1N - Selfoss 1N</t>
  </si>
  <si>
    <t>Places: Reykjavik 1N - Vik I Myrdal 1N - Hofn 1N - Myvatn 1N - Borgarnes 1N</t>
  </si>
  <si>
    <t>Places: Reykjavik 1N - Vik I Myrdal 1N - Hofn 1N - Egilsstadir 1N - Akureyri 1N - Reykjavik 1N</t>
  </si>
  <si>
    <t>Akureyri: Drive to Snæfellsnes Peninsula - Driving time: 6hrs - 7hrs - Highlights: Skagafjörður valley landscapes, Hvítserkur, Snæfellsjökull National Park, Kirkjufell - Hidden Gems: Arnarstapi cliffs, Lóndrangar, Quiet black-sand beaches on Snæfellsnes’ north coast</t>
  </si>
  <si>
    <t>Snæfellsnes Peninsula: Check in to your accommodation for a 1 night stay - Cenrally located 3/4-star hotel - Standard room - breakfast included</t>
  </si>
  <si>
    <t>Snæfellsnes Peninsula: Spend the evening at leisure</t>
  </si>
  <si>
    <t>Snæfellsnes Peninsula: Drive to Reykjavik - Driving time: 2.5hrs - 3.5hrs - Highlights: Kirkjufell, Arnarstapi, Snæfellsnes coastal scenery, Borgarnes - Hidden Gems: Búðir, Ytri Tunga, Scenic pull-offs along Hvalfjörður (Route 47)</t>
  </si>
  <si>
    <t>Day 9</t>
  </si>
  <si>
    <t>Day 10</t>
  </si>
  <si>
    <t>Egilsstaðir: Drive to Myvatn - Driving time: 3.5hrs - 4.5hrs - Highlights: Möðrudalsöræfi scenery, Dettifoss (west side recommended), Lake Mývatn area - Hidden Gems: Stuðlagil Canyon, Grjótagjá, Hverir</t>
  </si>
  <si>
    <t>Myvatn: Drive to Akureyri - Driving time: 3.5hrs - 4.5hrs - Highlights: Dettifoss, Ásbyrgi, Húsavík, Goðafoss - Hidden Gems: Grjótagjá, Hljóðaklettar, Krafla</t>
  </si>
  <si>
    <t>Akureyri: Drive to Borgarnes - Driving time: 4.5hrs - 5.5hrs - Highlights: Skagafjörður valley scenery, Blönduós, Hraunfossar, Barnafoss - Hidden Gems: Hvitserkur (minor detour north), Quiet farmland viewpoints in Skagafjörður, Scenic pull-offs approaching Borgarfjörður</t>
  </si>
  <si>
    <t>Borgarnes: Drive to Snæfellsnes Peninsula - Driving time: 1.5hrs - 2hrs - Highlights: Ytri Tunga, Búðir, Arnarstapi, Kirkjufell - Hidden Gems: Lóndrangar, Quiet coves along the north coast of Snæfellsnes, Small roadside lava fields and viewpoints</t>
  </si>
  <si>
    <t>Places: Reykjavik 1N - Vik I Myrdal 1N - Hofn 1N - Egilsstadir 1N - Akureyri 1N - Snæfellsnes Pininsula 1N - Reykjavik 1N</t>
  </si>
  <si>
    <t>Places: Reykjavik 1N - Vik I Myrdal 1N - Hofn 1N - Egilsstadir 1N - Myvatn 1N - Akureyri 1N - Borgarnes 1N - Snæfellsnes Pininsula 1N - Reykjavik 1N</t>
  </si>
  <si>
    <t>Transfer</t>
  </si>
  <si>
    <t>Reykjavik: Spend the evening at leisure - Explore the city at your own pace</t>
  </si>
  <si>
    <t>https://booknordics.com/iceland/western-iceland/reykjavik/3-day-summer-minibus-tour-south-coast-glacier-hike-and-golden-circle</t>
  </si>
  <si>
    <t>Group Tour</t>
  </si>
  <si>
    <t>Day 1: The Golden Circle - Thingvellir National Park: visit the place where the two tectonic plates, the North American and the Eurasian plate, are moving away from each other. Few places in the world offer a better and clearer view of this massive geographic activity. Not only is this vast park beautiful to look at, but it is also remarkable geographically, as the ridge that runs through it is comprised of two exposed tectonic plates: the Eurasian and North American plates pull apart here, giving you the unique opportunity to walk between continents.The biggest natural lake in Iceland is also located at Thingvellir National Park and hosts a great variety of fish and bird life. Thingvellir is also an important place for Icelandic national history. At Thingvellir Icelanders founded their parliament in 930 a.d. where the chieftains had their annual meeting every summer. The name “Thingvellir” translates to “Parliament Plains”.  The Geysir geothermal area: it hosts hundreds of colorful hot springs and two geysers hot springs: one is dormant and it's called “Geysir”, that named all the geysers in the world after its name; the other one is called “Strokkur”, which erupts every 5 minutes up to 40 meters. Gullfoss Waterfall: the melting water from Iceland´s second biggest glacier, Langjökull, falls into a deep canyon forming the majestic “Golden Falls”. On a sunny day, you can see the glacier Langjökull in the distance and enjoy a rainbow in the mist of the waterfall, an Instagram blockbuster waiting to happen! Spend your night in a cozy countryside hotel or guesthouse in a room with a private bathroom and breakfast included the next morning. This is included in the price.</t>
  </si>
  <si>
    <t>Day 2: The South Coast - Seljalandsfoss: the adventure begins with the powerful theatrics of Seljalandsfoss. Bring a raincoat and you’ll be able to make the short hike behind the falls. The scene behind the fall and the trembling ground from the power of the falling water makes for an automatic Instagram blockbuster! Skógafoss waterfall: further east along the coast is Skógafoss waterfall. Skógafoss is an incredibly picturesque sight. Tucked in a little gorge, the river Skógá tumbles down a 60 meter cliff before continuing down the landscape towards the Atlantic Ocean. Alongside the gorge a staircase can take you to the shelf above the waterfall for stunning views. See if you can count your steps on your way up. Glacier Hike: We will hike an outlet glacier spawning from one of the largest glaciers in the country. After meeting our highly trained glacier guides and strapping on our safety and glacier equipment, including helmets, harnesses, crampons and ice axes we hike on the ice for an hour and a half. A spectacular experience and opportunity to learn more about this breathtaking and increasingly rare natural phenomena. Spend your night in a cozy countryside hotel or guesthouse in a room with a private bathroom and breakfast included the next morning. This is included in the price.</t>
  </si>
  <si>
    <t>Day 3: Boat ride in The Glacier Lagoon - Jökulsárlón: the Glacier Lagoon is a 200m deep glacial lagoon fed by Breiðamerkurjökull, an outlet glacier of Europe’s largest glacier. Enormous icebergs come from Breiðamerkurjökull all year round so the lagoon is usually filled with ice that floats south. We will bring you on a boat ride (inclided in the price) among the icebergs to explore the lake and maybe spot some seals, sunbathing on the icechunks. Try walking alongside the glacier lagoon enjoying the magnificent views and dead silence of Icelandic nature. The Diamond Beach: on the other side of the road the icebergs from Jökulsárlón glacier lagoon float into the Atlantic Ocean where they are quickly thrown back to shore by the tide and winds. This black sand beach is full of smaller ice rocks in all shapes and sizes, sparkling like diamonds in the daylight. The ice itself comes in all shades of white and blue forming beautiful contrasts, guaranteed to make your Instagram account pop! Reynisfjara, the Black Sand Beach: later, we visit the black sand beach of Reynisfjara where the Atlantic coastline presents massive waves hitting the unique basalt columns in the cliffs above the sand. Rock pillars in the water and the cliffs of Dýrhólaey are seen in the distance. This area of the south is also a paradise for bird lovers, as puffins and dozens of other unique species nest on top of these cliffs in the summertime from June to August. Return to Reykjavik - You can expect to arrive back in Reykjavik around 7.00 pm on day 3, depending on traffic and roads</t>
  </si>
  <si>
    <t>Season: Summer</t>
  </si>
  <si>
    <t xml:space="preserve">Tour: </t>
  </si>
  <si>
    <t>Tour: https://booknordics.com/iceland/western-iceland/reykjavik/3-day-summer-minibus-tour-south-coast-glacier-hike-and-golden-circle</t>
  </si>
  <si>
    <t>Transfer package</t>
  </si>
  <si>
    <t>Single Supplement Fee</t>
  </si>
  <si>
    <t>Day 3: Boat Ride at Jökulsárlón</t>
  </si>
  <si>
    <t>Keflavik: Self transfer to your accommodaiton</t>
  </si>
  <si>
    <t>Keflavik: Private transfer to your accommodaiton</t>
  </si>
  <si>
    <t>Keflavik: Airport Shuttle Bus transfer to your accommodaiton</t>
  </si>
  <si>
    <t>Reykjavik: Self transfer to Keflavik Airport</t>
  </si>
  <si>
    <t>Reykjavik: Private transfer to Keflavik Airport</t>
  </si>
  <si>
    <t>Reykjavik: Airport Shuttle Bus transfer to Keflavik Airport</t>
  </si>
  <si>
    <t>Reykjavik: Spend the evening at leisure</t>
  </si>
  <si>
    <t xml:space="preserve">Reykjavik: Blue Lagoon Comfort Package - Time: 09:00 am - 1:00 pm - Meeting point: Hotel Pick up - Includes: Return transfer, Entrance to the Blue Lagoon, Silica mud mask at the Mask Bar, Use of towel, shampoo, conditioner, and moisturizer, Private locker, Non-alcoholic drink at the in-water bar </t>
  </si>
  <si>
    <t>Extra Hotel Night</t>
  </si>
  <si>
    <t xml:space="preserve">Reykjavik: Add on an extra night in Reykjavik </t>
  </si>
  <si>
    <t>https://booknordics.com/iceland/western-iceland/reykjavik/4-day-summer-minibus-tour-south-coast-golden-circle-snaefellsnes-and-jokulsarlon</t>
  </si>
  <si>
    <t>Day 1: You will be picked up from Reykjavík, between 8am and 8.30. After pick up is completed, off we go for our adventure! After pick up, you will head right away to Iceland’s most famous route: The Golden Circle. You’ll get the chance to experience everything that the area has to offer, including geothermal areas, waterfalls, and our favorite locals. Thingvellir National Park: visit the place where the two tectonic plates, the North American and the Eurasian plate, are moving away from each other. Few places in the world offer a better and clearer view of this massive geographic activity. Not only is this vast park beautiful to look at, but it is also remarkable geographically, as the ridge that runs through it is comprised of two exposed tectonic plates: the Eurasian and North American plates pull apart here, giving you the unique opportunity to walk between continents. The biggest natural lake in Iceland is also located at Thingvellir National Park and hosts a great variety of fish and bird life. Thingvellir is also an important place for Icelandic national history. At Thingvellir Icelanders founded their parliament in 930 a.d. where the chieftains had their annual meeting every summer. The name “Thingvellir” translates to “Parliament Plains”. The Geysir geothermal area: it hosts hundreds of colorful hot springs and two geysers hot springs: one is dormant and it's called “Geysir”, that named all the geysers in the world after its name; the other one is called “Strokkur”, which erupts every 5 minutes up to 40 meters. Gullfoss Waterfall: the melting water from Iceland´s second biggest glacier, Langjökull, falls into a deep canyon forming the majestic “Golden Falls”. On a sunny day, you can see the glacier Langjökull in the distance and enjoy a rainbow in the mist of the waterfall, an Instagram blockbuster waiting to happen! Spend your night in a cozy countryside hotel or guesthouse in a room with a private bathroom and breakfast included the next morning. This is included in the price.</t>
  </si>
  <si>
    <t>Day 2: On the second day you will head towards the South Coast. Seljalandsfoss: the adventure begins with the powerful theatrics of Seljalandsfoss. Bring a raincoat and you’ll be able to make the short hike behind the falls. The scene behind the fall and the trembling ground from the power of the falling water makes for an automatic Instagram blockbuster! Skógafoss waterfall: further east along the coast is Skógafoss waterfall. Skógafoss is an incredibly picturesque sight. Tucked in a little gorge, the river Skógá tumbles down a 60 meter cliff before continuing down the landscape towards the Atlantic Ocean. Alongside the gorge a staircase can take you to the shelf above the waterfall for stunning views. See if you can count your steps on your way up. Glacier Hike: We will hike an outlet glacier spawning from one of the largest glaciers in the country. After meeting our highly trained glacier guides and strapping on our safety and glacier equipment, including helmets, harnesses, crampons and ice axes we hike on the ice for an hour and a half. A spectacular experience and opportunity to learn more about this breathtaking and increasingly rare natural phenomena. Spend your night in a cozy countryside hotel or guesthouse in a room with a private bathroom and breakfast included the next morning. This is included in the price.</t>
  </si>
  <si>
    <t>Day 3: Boat ride in The Glacier Lagoon. Jökulsárlón: the Glacier Lagoon is a 200m deep glacial lagoon fed by Breiðamerkurjökull, an outlet glacier of Europe’s largest glacier. Enormous icebergs come from Breiðamerkurjökull all year round so the lagoon is usually filled with ice that floats south. We will bring you on a boat ride (inclided in the price) among the icebergs to explore the lake and maybe spot some seals, sunbathing on the icechunks. Try walking alongside the glacier lagoon enjoying the magnificent views and dead silence of Icelandic nature. The Diamond Beach: on the other side of the road the icebergs from Jökulsárlón glacier lagoon float into the Atlantic Ocean where they are quickly thrown back to shore by the tide and winds. This black sand beach is full of smaller ice rocks in all shapes and sizes, sparkling like diamonds in the daylight. The ice itself comes in all shades of white and blue forming beautiful contrasts, guaranteed to make your Instagram account pop! Reynisfjara Black Sand Beach: later, we visit the black sand beach of Reynisfjara where the Atlantic coastline presents massive waves hitting the unique basalt columns in the cliffs above the sand. Rock pillars in the water and the cliffs of Dýrhólaey are seen in the distance. This area of the south is also a paradise for bird lovers, as puffins and dozens of other unique species nest on top of these cliffs in the summertime from June to August. Spend your night in a cozy countryside hotel or guesthouse in a room with a private bathroom and breakfast included the next morning. This is included in the price.</t>
  </si>
  <si>
    <t>Day 4: Visit the Snæfelsness peninsula. See Borgarnes, the Ytri Tunga Beach and a Seal Colony, Búðir, Arnarstapi: Fishing Village, Djúpalónssandur, Lóndrangar Basalt Cliffs and of course the iconic Kirkjufell! Ytri Tunga Beach and Seal Colony: Spot-friendly seals on the beautiful sandy beach. Búðakirkja: Visit the picturesque Black Church of Búdir with its historic charm. Arnarstapi Fishing Village: Explore the coastal cliffs and hear tales of Bárður, the half-man half-troll. Lóndrangar and Basalt Cliffs: Marvel at the towering rock pinnacles and seabirds. Djúpalónssandur: Discover the black volcanic sand beach, lifting stones, and shipwreck remains. Kirkjufell and Kirkjufellsfoss Waterfall: Capture the iconic mountain and waterfall in a perfect shot. Return to Reykjavik. You can expect to arrive back in Reykjavik around 19.00 on day 3, depending on traffic and roads</t>
  </si>
  <si>
    <t>Tour: https://booknordics.com/iceland/western-iceland/reykjavik/4-day-summer-minibus-tour-south-coast-golden-circle-snaefellsnes-and-jokulsarlon</t>
  </si>
  <si>
    <t>Reykjavik: Check in to your accommodation for a 1 night stay - Centraly Located 3/4-star hotel - Standard room - breakfast included</t>
  </si>
  <si>
    <t>Tour: https://booknordics.com/iceland/western-iceland/reykjavik/5-day-winter-minibus-tour-blue-ice-cave-snaefellsnes-golden-circle-south-coast-northern-lights</t>
  </si>
  <si>
    <t>Reykjavik: 5-Day Winter Minibus Tour | South Coast, Snæfellsnes, Golden Circle &amp; More - Meeting point: Hotel Pick up - Time: 08:00 am - On this 5-day tour, expore Borgarfjörður Valley, waterfalls, and Viking heritage sites. Discover the wonders of the Snæfellsnes Peninsula, with its lava fields, beaches, and the iconic Snæfellsjökull Glacier. Experience the Golden Circle's famous landmarks, such as Thingvellir National Park, Gullfoss Waterfall, and Geysir. Embark on thrilling adventures along the South Coast, including glacier hikes and visits to Jökulsárlón and the Blue Ice Cave. Includes: Pick-up/drop off in central Reykjavik, Professional, English-speaking guide, Hotel stays with breakfast and private bathroom, Travel in premum vehicle with WiFi on board, Northern Lights Hunt along the way, Small-group, local Iceland experience, Day 1: Borgarfjörður Valley and Waterfalls, Day 1: Viking Heritage of Western Iceland, Day 2: Explore Snaefellsnes Peninsula, Day 3: Iceland's famous Golden Circle, Day 4: South Coast &amp; 3h Glacier Hike, Day 4: Helmet, harness, crampons, ice axe, Day 5: Explore Jökulsárlón &amp; a Blue Ice Cave</t>
  </si>
  <si>
    <t>https://booknordics.com/iceland/western-iceland/reykjavik/5-day-winter-minibus-tour-blue-ice-cave-snaefellsnes-golden-circle-south-coast-northern-lights</t>
  </si>
  <si>
    <t>Day 1 - Borgarfjörður Valley, Waterfalls, and Viking Heritage - We start the tour in West Iceland. You will be picked up in the morning by a guide and a driver and you will be heading straight towards the mountain Esja, which overlooks Reykjavík. Driving along side it you will reach Hvalfjörður fjords, the name of it translates to “whale fjord”. You will enjoy the features of the area, towering snow capped mountains and open fields. You will be able to see an old abandoned naval base, which was occupied by the British during WWII. After Hvalfjörður you will head on to Borgarfjörður, a region filled with historical heritage, Viking sailors reached land and settled there after leaving their homeland.Reykholtsdalur valley is your next location, there you can learn all about the forces of Deildartunguhver, Europe’s most powerful hot spring. From there you will journey to the village of Reykholt, where Snorri Sturluson, the poet, lawmaker and historian used to live during the Middle ages. Snorri wrote many codices that are invaluable records of mythology and the Old Norse language. Not far from there are you will find two very different but equally beautiful waterfalls, Hraunsfossar and Barnafoss. Hraunfossar are a series of streams rushing through dark lava fields and Barnafoss, a bright blue stream speeding through a narrow ravine.You will then head to your accommodation for a restful sleep. Keep an eye out for the magical Aurora at night, especially if the sky is starry and clear.</t>
  </si>
  <si>
    <t>Day 2 - Snaefellsnes Peninsula - Prepare to explore amazing things like, lava fields, dreamy waterfalls, dark caves, black and white beaches, historical locations and the mighty Snæfellsjökull Glacier of the west. The glacier played an important role in the novel Journey to the Centre of the Earth, by Jules Verne, where it was the opening point to a great underground journey. You will have a nice breakfast and then head out for an adventure where you will be exploring the underground. Once you have reached the Snæfellsnes Peninsula you will visit Gerðuberg Cliff, a large basalt column wall. Next you will be able to explore a white sand beach at Ytri-Tunga, which is unusual for Icelandic beaches, most of them have black sand. The sand in Ytri-Tunga is golden and the location is great for spotting seals.The village of Arnarstapi is your next destination, a small fishing village surrounded by basalt ravines and lava pillars. You can see old fisherman landing spots and you can follow a path leading you along the coast with the Atlantic Ocean waves crushing against Gatklettur arch rock. You will head to Djúpalónssandur, a black pebble beach, to get there you will trek through a unique field of lava pillars and rocks, a very special location, unlike anything else. When you reach the beach you can walk on the pebble shore and take in all the incredible features of the location.Afterwards, the iconic Kirkjufell mountain will welcome you with all of its unique features. As you may know, the mountain was featured in the popular series, Game of Thrones and has become one of Icelands most popular sites. On your way back to the capital, you will past Hraunsfjörður, a beautiful fjords surrounded by mountains covered in snow you will be able to see the dark lava field of Berserkjahraun, and your guide will give you some knowledge about the road’s construction.Remember to keep a look out for the magical sight in the sky when it gets dark, the Northern Lights with their unbelievable colours cant wait to put on a show for you. You then will reach your accommodation in Reykjavík in the evening where you can relax, that concludes your journey to West Iceland.</t>
  </si>
  <si>
    <t>Day 3 - The Golden Circle - You will visit the famous Thingvellir National Park, Gullfoss Waterfall, Geysir and the surrounding Geothermal Area. In Thingvellir, Iceland’s first parliament was founded in the year 930 AD. Also, Thingvellir is a UNESCO World Heritage due to its visible tectonic plates on the surface. At Haukadalur Geothermal Area you'll see Strokkur erupting every five to ten minutes, and the original Geysir that has named all geysers worldwide. The Golden Circle has its name from Gullfoss, which means "The Golden Waterfall". Its water from the glacial river Hvítá, rushes down two tiers of a 32 meters fall.</t>
  </si>
  <si>
    <t>Day 4- South Coast &amp; Glacier Hike - The first stop is at Seljalandsfoss waterfall where you can walk behind the tumbling water flow and feel the vibrations of the water hitting the ground. Thirsty? Just open your mouth. Right next to it is the waterfall Gljúfrabúi which snugly tucked in a gorge hidden from most. Gljúfrabúi actually means Canyon Dweller in English. To reach the waterfall, you must first test your balance by bouncing on rocks lying in the river bed. A failure means instant foot wetness and a good laugh by your co-travellers. Skógafoss Prepare to meet the pearl of the South Coast, Skógafoss waterfall. Majestically tucked in a wide gorge, the waterfall tumbles down 60 metres from up above a cliff into a small river, producing a cloud of mist and spray that rainbows like to dance in during sunshine. Try to warm up for the glacier by running up the 527 steps to the top... Your guide will be timing you! Reynisfjara - Black Sand Beach. Heading further east, we visit the black sand beach of Reynisfjara where the Atlantic coastline presents massive waves hitting the unique basalt columns in the cliffs above the sand. Rock pillars in the water and the cliffs of Dýrhólaey are seen in the distance.  Glacier Hike complete our perfect adventure we will hike an outlet glacier spawning from the one of the largest glaciers in the country. After meeting our highly trained glacier guides and strapping on our safety and glacier equipment, including helmets, harnesses, crampons and ice axes we hike on the ice for an hour and a half. A spectacular experience and opportunity to learn more about this breathtaking and increasingly rare natural phenomena.</t>
  </si>
  <si>
    <t>Day 5 - Jökulsárlón &amp; Blue Ice Cave - A 200m deep glacial lake fed by Breiðamerkurjökull, an outlet glacier of Europe’s largest glacier. Fed enormous icebergs all year round the lagoon is usually filled with ice that floats south. We walk alongside the glacier lagoon enjoying the magnificent views and dead silence of Icelandic nature. Diamond Beach On the other side of the road the icebergs from Jökulsárlón glacier lagoon float into the Atlantic Ocean where they are quickly thrown back to shore by the tide and winds. This black sand beach is full of smaller ice rocks in all shapes and sizes, sparkling like diamonds in the daylight. The ice itself comes in all shades of white and blue forming beautiful contrasts, guaranteed to make your Instagram account pop!  And to make the experience even better we end with an Ice cave tour from Jökulsárlón, where you'll meet our guides, hop into our super jeep and take on an amazing journey up the glacier where the blue ice caves are. There you'll enter the unique phenomena which is the blue ice cave. What are you waiting for? Come and join us to check all the fun stuff we can do in the southern region, including glacier hiking!</t>
  </si>
  <si>
    <t>Day 5: Boat Ride at Jökulsárlón</t>
  </si>
  <si>
    <t>https://booknordics.com/iceland/western-iceland/reykjavik/6-day-around-iceland-summer-minibus-tour</t>
  </si>
  <si>
    <t>Day 1 - the Golden Circle - You'll be picked up from Reykjavík, between 8am and 8.30. After pick up, we head right away to Iceland’s most famous route: The Golden Circle. The tour begins with your expert guide leading you through the Golden Circle Route. This is the most popular attraction in Iceland, and it features three main sights: Þingvellir National Park, Gullfoss waterfall, and Geysir geothermal area. Thingvellir National Park: visit the place where the two tectonic plates, the North American and the Eurasian plate, are moving away from each other. Few places in the world offer a better and clearer view of this massive geographic activity. Not only is this vast park beautiful to look at, but it is also remarkable geographically, as the ridge that runs through it is comprised of two exposed tectonic plates: the Eurasian and North American plates pull apart here, giving you the unique opportunity to walk between continents. The largest natural lake in Iceland is located at Thingvellir National Park and hosts a great variety of fish and bird life. Thingvellir is also an important place for Icelandic national history. At Thingvellir, Icelanders founded their parliament in 930 a.d. where the chieftains had their annual meeting every summer. The name “Thingvellir” translates to “Parliament Plains”. The Geysir geothermal area: hosts hundreds of colorful hot springs and two geysers hot springs. One is dormant and is called “Geysir”, that named all the geysers in the world after its name; the other one is called “Strokkur”, which erupts every 5 minutes up to 40 meters. Gullfoss Waterfall: the melting water from Iceland´s second biggest glacier, Langjökull, falls into a deep canyon forming the majestic “Golden Falls”. On a sunny day, you can see the glacier Langjökull in the distance and enjoy a rainbow in the mist of the waterfall, an Instagram blockbuster waiting to happen! Spend your night in a cozy countryside hotel or guesthouse in a room with a private bathroom and breakfast included the next morning. This is included in the price.</t>
  </si>
  <si>
    <t>Day 2 - South Coast &amp; Katla Ice Cave - On your second day, travel along the picturesque South Coast. Your first stops will be at two of Iceland’s most famous waterfalls. The first, Seljalandsfoss, cascades from the great heights of the interior; its unique feature is the small cavern behind it, allowing you to walk completely around it. The next waterfall, Skógarfoss, falls in a broad curtain from the steep highlands and is rumored to have an ancient treasure hidden behind it. On sunny days, more than one rainbow can often be spotted depending on how close you get to its thunderous spray. Visit the amazing Katla ice cave, which is a great way to learn more about glaciers and volcanic eruptions in the history of Iceland. The final attraction for the day is the beautiful black sand beach Reynisfjara, defined not only for its color but its impressive basalt columns and famous sea stacks. You will then head to your accommodation close to the idyllic coastal town of Vík. Spend your night in a cozy countryside hotel or guesthouse in a room with a private bathroom and breakfast included the next morning. This is included in the price.</t>
  </si>
  <si>
    <t>Day 3 - Jökulsarlon &amp; Diamond Beach - Your next destination will be the glacier lagoon Jökulsárlón, with a few stops along the way. Jökulsárlon is formed by the receding glacial tongue Breiðamerkurjökull where huge chunks of ice break away and float lazily out to sea. No iceberg is the same, and each is characterized by different blue and white shades scarred with volcanic ash from historical eruptions. During your visit to the Glacier Lagoon, you'll hop on a boat and sail between the giant icebergs floating around. Before reaching the Glacier Lagoon, we will take you to Skaftafell for a 3-hour glacier hike on the largest glacier in Iceland, Vatnajokull, to enjoy the view from the great heights as well as to feel the icy giant underneath your crampons. It can be cold on the glaciers even in summer, so remember to pack accordingly. As the ancient icy giants make it to sea, some wash up on the adjacent beach, which has been nicknamed Diamond Beach for the glittering chunks of ice that arrive with the surf. Walk beside chunks of ancient glacial ice and marvel at the magical sight at your feet. You will spend the evening close to the Höfn area. Spend your night in a cozy countryside hotel or guesthouse in a room with a private bathroom and breakfast included the next morning. This is included in the price.</t>
  </si>
  <si>
    <t>Day 4 - The Eastfjords - Next, explore the beautiful and remote Eastfjords. Traveling through mountain passes with the ocean to your left, your guide will make a number of stops along this meandering passageway. As well as being known for its dramatic fjords, this area is characterized by its breathtaking beaches, littered with multi-colored pebbles and rocks. The entire region is sparsely populated, but the small communities that exist there live in quaint fishing communities, each with their own idiosyncrasies. Your guide will introduce you to small-town life out in the countryside before heading to the central ‘hub’ of the East, Egilsstaðir. As well as being the largest town in the Eastfjords, it is also close to the largest forest in Iceland, Hallormsstaðaskógar, and Lake Lagafljót, where a legendary water monster is said to reside. You will spend the night in Egilsstaðir. Spend your night in a cozy countryside hotel or guesthouse in a room with a private bathroom and breakfast included the next morning. This is included in the price.</t>
  </si>
  <si>
    <t>Day 5 - Sightseeing to the North East - Make your way north, right across the large and beautiful expanse of Vatnajökull National Park. Your first stop of the day will be the magnificent Dettifoss waterfall, the most powerful in Europe. The spray of this gigantic natural feature can be seen far before you reach the falls itself. Its awe-inspiring character has inspired many movie makers to select this area as a backdrop, including the blockbuster Prometheus. Your next destination is the varied and dynamic Lake Mývatn area, named after the lake (‘Midge Lake’). This area is known for its energetic geothermal activity, and you will get to see this first hand at the Námskarð area, where these forces rise to the surface through steaming mud puddles and fumaroles, and you will have the time to admire the geothermal power of the surrounding area, and enjoy magnificent views. You will then head to the ‘Capital of the North,’ Akureyri. Before you cross the mountain pass to get there, however, you will make a quick stop at the waterfall, Goðafoss. This is a historically famous site in which the old idols of the pagan religion were cast into the water as an act of fealty towards the Christian faith. You will spend the night in Akureyri. Spend your night in a cozy countryside hotel or guesthouse in a room with a private bathroom and breakfast included the next morning. This is included in the price.</t>
  </si>
  <si>
    <t>Day 6 - North Iceland and back to Reykjavik - Time to return to Reykjavik. First, we drive to the beautiful Hauganes village famous for whales and fresh fish! From here you can join an included whale watching tour. Hop aboard a boat in the local harbor and head out to spot these gentle giants. After the whale watching tour, head back to Reykjavik where you arrive around 19:30 hrs / 7.30 pm. You'll have plenty of time on the way to take in the beautiful sights of Iceland and reflect on your incredible journey.</t>
  </si>
  <si>
    <t>Tour: https://booknordics.com/iceland/western-iceland/reykjavik/6-day-around-iceland-summer-minibus-tour</t>
  </si>
  <si>
    <t>Day 4: VÖK Baths Entrance</t>
  </si>
  <si>
    <t>Day 4: Horseback Riding Tour</t>
  </si>
  <si>
    <t>https://booknordics.com/iceland/western-iceland/reykjavik/8-day-around-iceland-summer-minibus-tour</t>
  </si>
  <si>
    <t>Day 1 - The Golden Circle - First, visit Þingvellir National Park where the two tectonic plates, the North American and the Eurasian plates, are moving away from each other. Few places in the world offer a better and clearer view of this massive geographic activity. The biggest natural lake in Iceland is also located at Thingvellir National Park and hosts a great variety of fish and bird life. Thingvellir is furthermore an important place for Icelandic national history. At Thingvellir Icelanders founded their parliament in 930 AD where the chieftains had their annual meeting every summer. From Þingvellir you will drive for a short time to the next attraction which is Geysir geothermal area. There you can see Strokkur hot spring gushing out boiling water every 5 minutes or so. Next up is Gullfoss waterfall (The Golden Falls), one of Iceland's most iconic waterfalls that has a drop of 32 meters over two tocky tiers. On a sunny day, you can see the glacier Langjökull in the distance and enjoy a rainbow in the mist of the waterfall. At the end of the day you will visit Seljalandsfoss waterfall, famous for the pathway all around the waterfall. After a good day of sightseeing, we retreat to our located near the Golden Circle.</t>
  </si>
  <si>
    <t>Day 2: South Coast, Waterfalls and Katla Ice Cave - Your second day includes the beautiful south coast of Iceland. On this day you'll pass by farmlands, rivers and picturesque waterfalls. Throughout the day you'll have the waves of the Atlantic ocean on your right side and there will be plenty stops for taking photographs and exploring the amazing scenery. You'll visit Seljalandsfoss and the powerful Skógarfoss Waterfall, where you can either go right up to the waterfall or hike up the 527 steps to witness the amazing view over the South Coast. Moreover, this tour includes a captivating visit to the awe-inspiring Katla Ice Cave, offering you an unforgettable experience and a Glacier Hike. Spend the night in the South nearby Vik area. The last stop of the day will be Reynisfjara Black Beach where you can breath the ocean air while exploring the extraordinary basalt stacks. The accommodation of day 2 will be in, or close to, the town of Vík.</t>
  </si>
  <si>
    <t>Day 3: Jokulsarlon Glacier Lagoon &amp; Diamond Beach - This day will very likely be one of the highlights of your trip. You'll travel further east along the South Coast, through the desert of Skeiðarársandur, passing another national park, Skaftafell. All the way east, you'll stop at Jökulsárlón glacier lagoon, one of the most iconic locations in Iceland. In Jökulsárlón, marvel at big and small icebergs breaking off from Breiðamerkurjökull glacier floating in the lagoon. If you look really well you might spots some seals that live in the lagoon. On this day you'll have the unique opportunity of taking a boat tour among the icebergs. At the end of the day you'll visit the amazing Diamond Beach where the icebergs previously floating in the Glacier Lagoon have washed up to the beach making small diamonds. This night is spent in the area of Vatnajökull glacier.</t>
  </si>
  <si>
    <t>Day 4: The Eastfjords - Today, continue further east towards the East Fjords of Iceland. The East Fjords is one of the most spectacular and untouched regions of the country. In this area, you will feel peace and tranquillity from nature around you. While driving here you might even spot wild reindeer! There are loads of interesting stops on this day as you head further east, such as the Djúpivogur forests, Lagarfljót lake, the charming fjords of the East and small fishing villages. At the end of the day you can relax in the VÖK Baths. The night will be spent in the Eastfjords area.</t>
  </si>
  <si>
    <t xml:space="preserve">Day 5 - Mývatn and the North East - After breakfast, head north towards Lake Mývatn and the nearby geothermal area. You'll visit Dimmuborgir (Dark Castles) an area that is known for its strange rock formations, some look like a dark fort but others may look like a church. Next you'll visit Stuðlagil Canyon view point and then Dettifoss Waterfall. At the end of the day you can stroll around Akureyri, the capital of the north. </t>
  </si>
  <si>
    <t>Day 6 - The North with Whale Watching - First, we head out to Hauganes, that is the home of only about 140 people, This is a really charming and peaceful village. You can spend some time strolling around the black sand beach or walk on the harbor. Next, you’ll see Dimmuborgir and Goðafoss. You’ll spend the night in Borgarnes. This is before going on a 3h whale watching tour where you'll have the opportunity of seeing Humpback Whales, Minke Whales, Harbour Porpoise and White Beaked Dolphins. These are the most commonly spotted whales around.</t>
  </si>
  <si>
    <t>Day 7 - Snaefellsnes Peninsula - On this day of the Iceland Circle you will explore Snæfellsnes Peninsula with its great surroundings. The first stop of the day will be Gerðuberg cliffs, from there you will go to Ytri-Tunga white sand beach. White beaches are not common in Iceland so this is a really interesting stop. Next stop will be Djúpalónssandur, black pebble beach. Yo get to the beach you will have to walk through a maze of free standing lava pillars. Throughout the day you will have Snæfellsjökull glacier watching over you. Snæfellsjökull was used as the entrance to the center of the earth in Jules Verne's classic sci-fi novel. The last but not at all least stop of the day is the most photographed mountain in Iceland, Kirkjufell. You'll spend the night in the town of Stykkishólmur.</t>
  </si>
  <si>
    <t>Day 8 - West Iceland - On the final day of your 8 days around Iceland you'll explore the valley of Borgarfjörður in West Iceland. The first attraction of the day is Europe's most powerful hot spring, Deildartunguhver, where bailing water is bubbling from the ground, you will feel the heat from the hot steam. Next stop is Reykholt, one of the most important historical locations in Iceland. This was the home of Snorri Sturluson who was one of the most significant figures of the Middle Ages. After leaving Reykholt you will see two waterfalls, Hraunfossar and Barnafoss. Hraunfossar is a series of rivulets that stream through the dark lava field. Barnafoss waterfall is a light blue waterfall that rushes through a narrow gorge. You will have the option of going under the ground and visit the lava cave of Víðgelmir one of Icelands largest lava cave. After exploring Borgarfjörður this 8-day tour has come to an end. You will end the tour in Reykjavík in early evening. We do not recommend flying from Iceland in the evening of the last day in case of any delays due to weather. We rather recommend exploring Reykjavík, the northernmost capital in the world.</t>
  </si>
  <si>
    <t>Reykjavik: 8-Day Summer Tour Around Iceland by Minibus - Meeting point: Hotel Pick up - Time: Between 08:00 am and 8:30 am - Come along on a fantastic summer adventure with this 8 Day Tour around the Ring Road and the Snæfellsnes Peninsula. See the country's most beautiful spots, including Reynisfjara Black Sand Beach, Jökulsárlón Glacier Lagoon, and Dettifoss Waterfall, as they are bathed in everlasting summer light. Includes: Pick-up/drop off in central Reykjavik, Professional, English-speaking guide, Hotel stays with breakfast and private bathroom, Travel in premium vehicle with WiFi on boar, Small-group, local Iceland experience, Day 1: Iceland's famous Golden Circle, Day 2: Explore the South Coast, Day 2: Glacier hike with certified guide and gear, Day 3: Jökulsarlon lagoon &amp; Diamond Beach, Day 3: Boat ride at Glacier Lagoon (May to Sept.), Day 3: Visit to Ice Cave in Skaftafell area, Day 4: Visit to the spectacular East Fjords, Day 5: Lake Myvatn, Godafoss, Dettifoss, Akureyri, Day 6: Hauganes village, Whale watching tour, Day 7: Explore Western Iceland and Borgarnes, Day 8: Explore Snæfellsnes peninsula</t>
  </si>
  <si>
    <t>Reykjavik: 3-Day Summer Minibus Tour | South Coast, Glacier Hike &amp; Golden Circle - Meeting point: Hotel pick-up - Time: Between 08:00 am and 8:30 am - Witness the best of Iceland's natural beauty, geological wonders, and the warmth of Icelandic culture. Hike on top of a glacier, see powerful waterfalls, join a boat tour in Glacier Lagoon, admire Diamond Beach, and be amazed by basalt-rock formations on the Reynisfjara Black Sand Beach. Includes: Pick-up/drop off in central Reykjavik, Professional, English-speaking guide, Hotel stays with breakfast and private bathroom, Travel in premum vehicle with WiFi on board, Small-group, local Iceland experience, Day 1: Visit to Thingvellir National Park, Day 1: Visit to the Geysir geothermal area, Day 1: Visit to Gullfoss waterfall, Day 2: Visit to Seljalandsfoss waterfall, Day 2: Visit to Skogafoss waterfall, Day 2: 3-hr glacier hike with a certified guide, Day 2: Helmet, harness, crampons, ice axe, Day 3: Jökulsárlón Amphibian boat ride, Day 3: Visit to Diamond Beach, Day 3: Visit to Reynisfjara Black Sand Beach, All taxes and fees included</t>
  </si>
  <si>
    <t>Reykjavik: 4-Day Summer Minibus Tour | South Coast, Snæfellsnes &amp; Golden Circle - Meeting point: Hotel Pick up - Time: Between 08:00 am and 8:30 am - Embark on a 4-day tour that combines many of the most essential Icelandic sightseeing tours: the classic Golden Circle, the famous South Coast including Jökulsarlon glacier lagoon and amphibian boat ride, and the mystical Snæfellsnes peninsula. Includes: Pick-up/drop off in central Reykjavik, Professional, English-speaking guide, Hotel stays with breakfast and private bathroom, Travel in premum vehicle with WiFi on board, Small-group, local Iceland experience, Day 1: Visit to Thingvellir National Park, Day 1: Visit to the Geysir geothermal area, Day 1: Visit to Gullfoss waterfall, Day 2: Visit to Seljalandsfoss waterfall, Day 2: Visit to Skogafoss waterfall, Day 2: 3-hr glacier hike with a certified guide, Day 2: Helmet, harness, crampons, ice axe, Day 3: Jökulsárlón Amphibian boat ride, Day 3: Visit to Diamond Beach, Day 3: Visit to Reynisfjara Black Sand Beach, Day 4: Round trip to Snæfelsness peninsula, Day 4: Visit to seal colony and iconic Kirkjufell, Day 4: Visit to Arnarstapi fishing village, All taxes and fees included</t>
  </si>
  <si>
    <t>Reykjavik: 5-Day Winter Minibus Tour | South Coast, Snæfellsnes, Golden Circle &amp; More - Meeting point: Hotel Pick up - Time: Between 08:00 am and 8:30 am - On this 5-day tour, expore Borgarfjörður Valley, waterfalls, and Viking heritage sites. Discover the wonders of the Snæfellsnes Peninsula, with its lava fields, beaches, and the iconic Snæfellsjökull Glacier. Experience the Golden Circle's famous landmarks, such as Thingvellir National Park, Gullfoss Waterfall, and Geysir. Embark on thrilling adventures along the South Coast, including glacier hikes and visits to Jökulsárlón and the Blue Ice Cave. Includes: Pick-up/drop off in central Reykjavik, Professional, English-speaking guide, Hotel stays with breakfast and private bathroom, Travel in premum vehicle with WiFi on board, Northern Lights Hunt along the way, Small-group, local Iceland experience, Day 1: Borgarfjörður Valley and Waterfalls, Day 1: Viking Heritage of Western Iceland, Day 2: Explore Snaefellsnes Peninsula, Day 3: Iceland's famous Golden Circle, Day 4: South Coast &amp; 3h Glacier Hike, Day 4: Helmet, harness, crampons, ice axe, Day 5: Explore Jökulsárlón &amp; a Blue Ice Cave</t>
  </si>
  <si>
    <t>Reykjavik: 6-Day Summer Tour Around Iceland by Minibus - Meeting point: Hotel Pick up - Time: Between 08:00 am and 8:30 am - Join this epic 6-day adventure as we drive full circle around Iceland. Discover the land of Fire &amp; Ice in a comfortable, small-group setting. Along the way, experience unique activities like glacier hiking, Katla ice cave, a boat ride among the icebergs in The Glacier Lagoon, whale watching, and much more. Includes: Pick-up/drop off in central Reykjavik, Professional, English-speaking guide, Hotel stays with breakfast and private bathroom, Travel in premum vehicle with WiFi on board, Small-group, local Iceland experience, Day 1: Iceland's famous Golden Circle, Day 2: Explore the South Coast, Day 2: Katla Ice cave tour near Skaftafell, Day 3: Jökulsarlon lagoon &amp; Diamond Beach, Day 3: Amphibian boat ride at Jökulsarlon lagoon, Day 3: Glacier hike with certified guide and gear, Day 4: The Eastfjords and Eigilsstadir, Day 5: Lake Myvatn, Godfoss, Dettifoss, Akureyri, Day 6: Hauganes village, Whale watching tour, All taxes and fees included</t>
  </si>
  <si>
    <t>Day 8: Víðgelmir Lava Cave tour</t>
  </si>
  <si>
    <t>Tour: https://booknordics.com/iceland/western-iceland/reykjavik/8-day-around-iceland-summer-minibus-tour</t>
  </si>
  <si>
    <t>https://booknordics.com/iceland/western-iceland/reykjavik/reykjavik-blue-lagoon-comfort-including-admission</t>
  </si>
  <si>
    <t>Season: Winter</t>
  </si>
  <si>
    <t>Reykjavík: City Walking Tour - Time: 2:00 pm - 5:00 pm - Meeting point: Hallgrímskirkja, Hallgrimstorgi 1 - Includes: Professional, English-speaking guide - Highlights: Hallgrímskirkja, All the major landmarks, Hidden street art &amp; local corners, Iceland in a nutshell</t>
  </si>
  <si>
    <t>Reykjavik: 3-Day Winter Minibus Tour | South Coast, Ice Cave &amp; Golden Circle - Meeting point: Hotel pick-up - Time: 08:00 am - Join us for a three-day adventure with 2 nights accommodation, ice cave tour, glacier hike and high chances of Northern Lights. Experience the amazing Blue Ice Cave, the powerful waterfalls, hike on top of a glacier and admire the Glacier Lagoon and Diamond Beach. Includes: Pick-up/drop off in central Reykjavik, Professional, English-speaking guide, Hotel stays with breakfast and private bathroom, Travel in premum vehicle with WiFi on board, Small-group, local Iceland experience, Day 1: Visit to Thingvellir National Park, Day 1: Visit to the Geysir geothermal area, Day 1: Visit to Gullfoss waterfall, Day 2: Visit to Seljalandsfoss waterfall, Day 2: Visit to Skogafoss waterfall, Day 2: Visit to Reynisfjara Black Sand Beach, Day 3: Jökulsárlón Amphibian boat ride, Day 3: Visit to Diamond Beach &amp; Ice Cave, Day 3 Glacier hike with gear and certified guide, All taxes and fees included</t>
  </si>
  <si>
    <t>https://booknordics.com/iceland/western-iceland/reykjavik/3-day-winter-minibus-tour-south-coast-blue-ice-cave-golden-circle-northern-lights</t>
  </si>
  <si>
    <t>Day 1: The Golden Circle and Northern Lights - Start at 8 am in Reykjavík and head to the famous Golden Circle area. Explore the historic and scenic Thingvellir National Park. Experience the power of Gullfoss waterfall and capture stunning photos. Visit the Geysir geothermal area, see Strokkur geyser erupting, and experience the hot springs. Spend your night in a countryside hotel or guesthouse with private bathroom and breakfast included. Hotels offered vary based on availability, and are typically cozy and local 3-star hotels and guesthouses along the route.</t>
  </si>
  <si>
    <t>Day 2: The South Coast incl. Seljalandsfoss, Skogafoss and Reynisfjara Black Sand Beach - The first stop is at Seljalandsfoss waterfall where you can walk behind the tumbling water flow and feel the vibrations of the water hitting the ground. Thirsty? Just open your mouth. Right next to it is the waterfall Gljúfrabúi which snugly tucked in a gorge hidden from most. Gljúfrabúi actually means Canyon Dweller in English. To reach the waterfall, you must first test your balance by bouncing on rocks lying in the river bed. A failure means instant foot wetness and a good laugh by your co-travellers. Next, meet the pearl of the South Coast, Skógafoss waterfall. Majestically tucked in a wide gorge, the waterfall tumbles down 60 metres from up above a cliff into a small river, producing a cloud of mist and spray that rainbows like to dance in during sunshine. Try to warm up for the glacier by running up the 527 steps to the top... Your guide will be timing you! Heading further east, we visit the black sand beach of Reynisfjara where the Atlantic coastline presents massive waves hitting the unique basalt columns in the cliffs above the sand. Rock pillars in the water and the cliffs of Dýrhólaey are seen in the distance.  Glacier Hike complete our perfect adventure we will hike an outlet glacier spawning from the one of the largest glaciers in the country. After meeting our highly trained glacier guides and strapping on our safety and glacier equipment, including helmets, harnesses, crampons and ice axes we hike on the ice for an hour and a half. A spectacular experience and opportunity to learn more about this breathtaking and increasingly rare natural phenomena.  Spend your night in a countryside hotel or guesthouse with private bathroom and breakfast included. Hotels offered vary based on availability, and are typically cozy and local 3-star hotels and guesthouses along the route.</t>
  </si>
  <si>
    <t>Day 3: The South Coast incl. Jökulsarlon Glacier Lagoon, Diamond Beach and Glacier Hiking and Ice Caving - Jökulsárlón, the Glacier Lagoon, is a 200m deep glacial lake fed by Breiðamerkurjökull, an outlet glacier of Europe’s largest glacier. Fed by enormous icebergs all year round, the lagoon is usually filled with ice that floats south. We give you the opportunity to book a boat ride between the icebergs during summer time and get a closer look of the millenary ice. If boating is not your thing, then we walk alongside the glacier lagoon enjoying the magnificent views and dead silence of Icelandic nature. Diamond Beach: on the other side of the road the icebergs from Jökulsárlón glacier lagoon float into the Atlantic Ocean where they are quickly thrown back to shore by the tide and winds. This black sand beach is full of smaller ice rocks in all shapes and sizes, sparkling like diamonds in the daylight. The ice itself comes in all shades of white and blue forming beautiful contrasts, guaranteed to make your Instagram account pop!  And now the Ice cave tour, where you'll meet our guides, hop into our super jeep and take on an amazing journey up the glacier where the blue ice caves are. There you'll enter the unique phenomena which is the blue ice cave. Head back to Reykjavík, arriving around 8 pm (subject to weather and road conditions).</t>
  </si>
  <si>
    <t>Tour: https://booknordics.com/iceland/western-iceland/reykjavik/3-day-winter-minibus-tour-south-coast-blue-ice-cave-golden-circle-northern-lights</t>
  </si>
  <si>
    <t>Group Tour: Single Supplement Fee (Mandatory for Solo Travelers)</t>
  </si>
  <si>
    <t>Reykjavik: 4-Day Winter Minibus Tour | South Coast, Golden Circle, Ice Cave &amp; More - Meeting point: Hotel pick up - Time: 08:00 am - Experience the best of Western Iceland in this 4-day tour! Explore Snæfellsnes, a hidden gem with glacial mountains, black beaches, and the iconic Snæfellsjökull glacier. Discover Geysir, Gullfoss, and Thingvellir in the Golden Circle. Visit the South Coast with waterfalls and Glacier Lagoon Jökulsárlón. And if lucky, witness the Northern Lights. Includes: Pick-up/drop off in central Reykjavik, Professional, English-speaking guide, Hotel stays with breakfast and private bathroom, Travel in premum vehicle with WiFi on board, Small-group, local Iceland experience, Day 1: Round trip to Snæfelsness peninsula, Day 1: Visit to seal colony and iconic Kirkjufell, Day 1: Visit to Arnarstapi fishing village, Day 2: Visit to Thingvellir National Park, Day 2: Visit to the Geysir geothermal area, Day 2: Visit to Gullfoss waterfall, Day 3: Visit to Seljalandsfoss waterfall, Day 3: Visit to Skogafoss waterfall, Day 3: 3-hr glacier hike with a certified guide, Day 3: Helmet, harness, crampons, ice axe, Day 4: Jökulsárlón Amphibian boat ride, Day 4: Visit to Diamond Beach, Day 4: Visit to Reynisfjara Black Sand Beach, All taxes and fees included</t>
  </si>
  <si>
    <t>https://booknordics.com/iceland/western-iceland/reykjavik/4-day-winter-minibus-tour-blue-ice-cave-south-coast-golden-circle-snaefellsnes-northern-lights</t>
  </si>
  <si>
    <t>Day 1: Snæfellsnes Peninsula - Snæfellsnes Peninsula Hopping through the magnificent and picturesque sites, you’ll see steep glacial-carved mountains, endless black beaches, moss topped lava fields, the amazing Kirkjufell Mountain (Arrowhead Mountain) volcanic craters, sci-fi-esque coastal cliffs topped off by the volcanic glacier Snæfellsjökull where Jules Verne set the beginning of the Journey to the Center of the Earth. Spend your night in a cozy countryside hotel or guesthouse in a room with a private bathroom and breakfast included the next morning. This is included in the price.</t>
  </si>
  <si>
    <t>Day 2: The Golden Circle - The Golden Circle an unforgettable expedition with a small group on the ultimate Golden Circle tour. You will visit the famous Thingvellir National Park, Gullfoss waterfall, Geysir and the surrounding geothermal area. The day also includes a visit to Kerið volcanic crater, and a stop at a traditional Icelandic farm to see and pet some horses and get a taste of home made Icelandic ice cream. Spend your night in a cozy countryside hotel or guesthouse in a room with a private bathroom and breakfast included the next morning. This is included in the price.</t>
  </si>
  <si>
    <t>Day 3: Iceland's Magnificent South Coast - The first stop is at Seljalandsfoss waterfall where you can walk behind the tumbling water flow and feel the vibrations of the water hitting the ground. Thirsty? Just open your mouth. Right next to it is the waterfall Gljúfrabúi which snugly tucked in a gorge hidden from most. Gljúfrabúi actually means Canyon Dweller in English. To reach the waterfall, you must first test your balance by bouncing on rocks lying in the river bed. A failure means instant foot wetness and a good laugh by your co-travellers. Skógafoss: Prepare to meet the pearl of the South Coast, Skógafoss waterfall. Majestically tucked in a wide gorge, the waterfall tumbles down 60 metres from up above a cliff into a small river, producing a cloud of mist and spray that rainbows like to dance in during sunshine. Try to warm up for the glacier by running up the 527 steps to the top... Your guide will be timing you! Reynisfjara - Black Sand Beach: Heading further east, we visit the black sand beach of Reynisfjara where the Atlantic coastline presents massive waves hitting the unique basalt columns in the cliffs above the sand. Rock pillars in the water and the cliffs of Dýrhólaey are seen in the distance. This area of the south is also a paradise for bird lovers, as Puffins and dozens of other unique species nest on top of these cliffs in the summertime from June to August. Spend your night in a cozy countryside hotel or guesthouse in a room with a private bathroom and breakfast included the next morning. This is included in the price.</t>
  </si>
  <si>
    <t>Day 4: Jökulsárlón glacier lagoon and Diamond Beach - We start at Jökulsárlón glacier lagoon, a 200m deep glacial lake fed by Breiðamerkurjökull, an outlet glacier of Europe’s largest glacier. Fed enormous icebergs all year round the lagoon is usually filled with ice that floats south. Tröll Expeditions will give you the opportunity to book a boat ride between the icebergs during summer time and get a closer look of the millenary ice. If boating is not your thing, then we walk alongside the glacier lagoon enjoying the magnificent views and dead silence of Icelandic nature. Diamond Beach: On the other side of the road the icebergs from Jökulsárlón glacier lagoon float into the Atlantic Ocean where they are quickly thrown back to shore by the tide and winds. This black sand beach is full of smaller ice rocks in all shapes and sizes, sparkling like diamonds in the daylight. The ice itself comes in all shades of white and blue forming beautiful contrasts, guaranteed to make your Instagram account pop!  To complete our perfect adventure we will hike an outlet glacier spawning from the one of the largest glaciers in the country. After meeting our highly trained glacier guides and strapping on our safety and glacier equipment, including helmets, harnesses, crampons and ice axes we hike on the ice until we reach the ice caves.A spectacular experience and opportunity to learn more about this breathtaking and increasingly rare natural phenomena. What are you waiting for? Come and join us to check all the fun stuff we can do in the southern region, including glacier hiking! This is the ultimate Icelandic experience with a small group and experienced guide guaranteed. Start your adventure now by booking a date.  Return to Reykjavik. You can expect to arrive back in Reykjavik around 19.00 on day 3, depending on traffic and roads</t>
  </si>
  <si>
    <t>Tour: https://booknordics.com/iceland/western-iceland/reykjavik/4-day-winter-minibus-tour-blue-ice-cave-south-coast-golden-circle-snaefellsnes-northern-lights</t>
  </si>
  <si>
    <t>Reykjavik: 6-Day Winter Tour Around Iceland by Minibus - Meeting point: Hotel pick up - Time: 08:00 am - Join us for an epic 6-day adventure as we drive full circle around Iceland. Discover the land of Fire &amp; Ice in a comfortable, small-group setting. Along the way, experience unique activities like glacier hiking, whale watching, a Katla ice cave tour, and much more. If the weather is on your side, behold the amazing Northern Lights right above your head. Includes: Pick-up/drop off in central Reykjavik, Professional, English-speaking guide, Hotel stays with breakfast and private bathroom, Travel in premum vehicle with WiFi on board, Northern Lights Hunt along the way, Small-group, local Iceland experience, Day 1: Iceland's famour Golden Circle, Day 2: Explore the South Coast, Day 2: Glacier hike with certified guide and gear, Day 3: Jökulsarlon lagoon &amp; Diamond Beach, Day 3: Visit to Ice Cave in Skaftafell area, Day 4: The Eastfjords and Eigilsstadir, Day 5: Lake Myvatn, Godfoss, Dettifoss, Akureyri, Day 6: Hauganes village, Whale watching tour, All taxes and fees included. Note: You'll be stayin in local guesthouses and countryside hotels throughout Iceland. While the actual hotel for each destination is subject to availability, travelers typically stay in Hotel Drangslid, Hotel Hrifunes, Guesthouse Gerdi, Hotel Valaskjalf and Hotel Nordurland.</t>
  </si>
  <si>
    <t>https://booknordics.com/iceland/western-iceland/reykjavik/6-day-around-iceland-winter-minibus-tour</t>
  </si>
  <si>
    <t>Day 1 - The Golden Circle - The first attraction of this 6-day Iceland tour is the well-known Golden Circle, one of Icelands most popular attraction. First, visit Þingvellir National Park where the two tectonic plates, the North American and the Eurasian plates, are moving away from each other. Few places in the world offer a better and clearer view of this massive geographic activity. The biggest natural lake in Iceland is also located at Thingvellir National Park and hosts a great variety of fish and bird life. Thingvellir is furthermore an important place for Icelandic national history. At Thingvellir Icelanders founded their parliament in 930 AD where the chieftains had their annual meeting every summer. From Þingvellir you will drive for a short time to the next attraction which is Geysir geothermal area. There you can see Strokkur hot spring gushing out boiling water every 5 minutes or so. Next up is Gullfoss waterfall (The Golden Falls), one of Iceland's most iconic waterfalls that has a drop of 32 meters over two tocky tiers. On a sunny day, you can see the glacier Langjökull in the distance and enjoy a rainbow in the mist of the waterfall. At the end of the day you will visit Seljalandsfoss waterfall, famous for the pathway all around the waterfall. After a good day of sightseeing, we retreat to our located in southern Iceland. Throughout this tour you'll mostly be staying in countryside hotels that provide good opportunities for witnessing the Northern Lights if the weather allows.</t>
  </si>
  <si>
    <t>Day 2: South Coast, Waterfalls and Glacier Hike - Your second day includes the beautiful south coast of Iceland. On this day you'll pass by farmlands, rivers and picturesque waterfalls. Throughout the day you'll have the waves of the Atlantic ocean on your right side and there will be plenty stops for taking photographs and exploring the amazing scenery. To make this day even more adventurous, you'll start your day with a glacier hike. This tour gives you amazing scenery through crevasses and jagged ridges, incredible surroundings around the glacier and get up close with the blue ice. You'll visit the powerful Skógarfoss Waterfall, where you can either go right up to the waterfall or hike up the 527 steps to witness the amazing view over the South Coast. The last stop of the day will be Reynisfjara beach where you can breath the ocean air while exploring the extraordinary basalt stacks. The accommodation of day 2 will be in, or close to, the town of Vík.</t>
  </si>
  <si>
    <t>Day 3: Jokulsarlon Glacier Lagoon &amp; Ice Caving - This day will very likely be one of the highlights of your trip. You'll travel further east along the South Coast, through the desert of Skeiðarársandur, passing another national park, Skaftafell. All the way east, you'll stop at Jökulsárlón glacier lagoon, one of the most iconic locations in Iceland. In Jökulsárlón, marvel at big and small icebergs breaking off from Breiðamerkurjökull glacier floating in the lagoon. If you look really well you might spots some seals that live in the lagoon. On this day you'll have the unique opportunity of exploring ice caves inside on of Icelands glaciers. Visiting the natural blue ice caves of Breiðarmerkurjökull is one of the bucket list experiences in iceland. At the end of the day you'll visit the amazing Diamond Beach where the icebergs previously floating in the Glacier Lagoon have washed up to the beach making small diamonds. This night is spent in the area of Vatnajökull glacier.</t>
  </si>
  <si>
    <t>Day 4: The Eastfjords - Today, continue further east towards the East Fjords of Iceland. The East Fjords is one of the most spectacular and untouched regions of the country. In this area, you will feel peace and tranquillity from nature around you. While driving here you might even spot wild reindeer!  There are loads of interesting stops on this day as you head further east, such as the Djúpivogur forests, Lagarfljót lake, the charming fjords of the East and small fishing villages. Optional At the end of the day you can relax in the VÖK Baths. The night will be spent in the Eastfjords area.</t>
  </si>
  <si>
    <t xml:space="preserve">Day 5 - Mývatn and the North East - After breakfast, head north towards Lake Mývatn and the nearby geothermal area. You'll visit Dimmuborgir (Dark Castles) an area that is known for its strange rock formations, some look like a dark fort but others may look like a church. Next stop is Námaskarð geothermal area with bubbling mud pools. Icelanders often place dough of bread and bury it in the ground allowing it to bake overnight. The last stop of the day before heading to the overnight accommodation in Akureyri is Goðafoss waterfall. Goðafoss is very rich with beauty and history. At the end of the day you can stroll around Akureyri, the capital of the north. </t>
  </si>
  <si>
    <t>Day 6 - The North with Whale Watching - This is the last day of your 6-day trip around Iceland. Today you will travel from the capital of the north to the capital in the south, Reykjavík with a few stops on the way. First, we head out to Hauganes, that is the home of only about 140 people, it's really charming and peaceful village. You can spend some time strolling around the black sand beach or walk on the harbor. Before going on a 3 hour whale watching tour where you have the opportunity of seeing Humpback Whales, Minke Whales, Harbour Porpoise and White Beaked Dolphins. These species are the most commonly spotted in this area. After that you will head to Reykjavík, when in Reykjavík it's up to you how you want to spend your time there, you could visit the city's museums, go on a whale watching tour, go shopping in downtown Reykjavík for example.  We do not recommend flying from Iceland in the evening of the last day in case of any delays due to weather.</t>
  </si>
  <si>
    <t>Tour: https://booknordics.com/iceland/western-iceland/reykjavik/6-day-around-iceland-winter-minibus-tour</t>
  </si>
  <si>
    <t>Reykjavik: 8-Day Winter Tour Around Iceland by Minibus - Meeting point: Hotel Pick up - Time: 08:00 am - Travel all around Iceland in 8 days and explore this magnificent island country: experience the Reykjavik area, the Golden Circle and Thingvellir National Park, South Iceland, the Black Sand Beach, Jökulsarlon and the Skaftafell region, Eastern Iceland, Northern Iceland with Akureyri and Lake Myvatn, Snæfellsnes Peninsula, Mt. Kirkjufjell and much more. Includes: Pick-up/drop off in central Reykjavik, Professional, English-speaking guide, Hotel stays with breakfast and private bathroom, Travel in premum vehicle with WiFi on board, Northern Lights Hunt along the way, Small-group, local Iceland experience, Day 1: Iceland's famous Golden Circle, Day 2: Explore the South Coast, Day 2: Glacier hike with certified guide and gear, Day 3: Jökulsarlon lagoon &amp; Diamond Beach, Day 3: Visit to Ice Cave in Skaftafell area, Day 4: Visit to the spectacular East Fjords, Day 5: Lake Myvatn, Godfoss, Dettifoss, Akureyri, Day 6: Hauganes village, Whale watching tour, Day 7: Explore Western Iceland and Borgarnes, Day 8: Explore Snæfellsnes peninsula</t>
  </si>
  <si>
    <t>https://booknordics.com/iceland/western-iceland/reykjavik/8-day-around-iceland-winter-minibus-tour</t>
  </si>
  <si>
    <t>Day 1 - The Golden Circle - First, visit Þingvellir National Park where the two tectonic plates, the North American and the Eurasian plates, are moving away from each other. Few places in the world offer a better and clearer view of this massive geographic activity. The biggest natural lake in Iceland is also located at Thingvellir National Park and hosts a great variety of fish and bird life. Thingvellir is furthermore an important place for Icelandic national history. At Thingvellir Icelanders founded their parliament in 930 AD where the chieftains had their annual meeting every summer. From Þingvellir you will drive for a short time to the next attraction which is Geysir geothermal area. There you can see Strokkur hot spring gushing out boiling water every 5 minutes or so. Next up is Gullfoss waterfall (The Golden Falls), one of Iceland's most iconic waterfalls that has a drop of 32 meters over two tocky tiers. On a sunny day, you can see the glacier Langjökull in the distance and enjoy a rainbow in the mist of the waterfall. At the end of the day you will visit Seljalandsfoss waterfall, famous for the pathway all around the waterfall. After a good day of sightseeing, we retreat to our located in southern Iceland. Throughout this tour you'll mostly be staying in countryside hotels that provide good opportunities for witnessing the Northern Lights if the weather allows.</t>
  </si>
  <si>
    <t>Day 4: The Eastfjords - Today, continue further east towards the East Fjords of Iceland. The East Fjords is one of the most spectacular and untouched regions of the country. In this area, you will feel peace and tranquillity from nature around you. While driving here you might even spot wild reindeer!  There are loads of interesting stops on this day as you head further east, such as the Djúpivogur forests, Lagarfljót lake, the charming fjords of the East and small fishing villages. At the end of the day you can relax in the VÖK Baths. The night will be spent in the Eastfjords area.</t>
  </si>
  <si>
    <t xml:space="preserve">Day 6 - The North with Whale Watching - First, we head out to Hauganes, that is the home of only about 140 people, This is a really charming and peaceful village. You can spend some time strolling around the black sand beach or walk on the harbor. Before going on a 3h whale watching tour where you'll have the opportunity of seeing Humpback Whales, Minke Whales, Harbour Porpoise and White Beaked Dolphins. These species are the most commonly spotted in this area.   </t>
  </si>
  <si>
    <t xml:space="preserve">Day 7 - West Iceland - Now you’ll be heading to the West of Iceland to explore stunning attractions such as Deildartunguhver, Europe’s most powerful hot spring, Hraunfossar and Barnafossar waterfalls and Reykholt, which holds a significant historical heritage. You'll spend the night in Borgarnes.  </t>
  </si>
  <si>
    <t>Day 8 - Snæfellnes &amp; West - The final day of your 8-day adventure will be spent in the magnificent Snæfellsnes peninsula in West Iceland. First you’ll visit Djúpalónssandur. Then, the unmissable and iconic mountain Kirkjufell awaits with its picturesque features. At the end of your journey you’ll arrive in Reykjavík in the evening. Expect to be arriving Reykjavik 6.00 to 7.00 pm.</t>
  </si>
  <si>
    <t>Tour: https://booknordics.com/iceland/western-iceland/reykjavik/8-day-around-iceland-winter-minibus-tour</t>
  </si>
  <si>
    <t>Style: Daytours from Reykjavik</t>
  </si>
  <si>
    <t>Reykjavík: Hop-on Hop-off City Sightseeing Tour 24 Hours - Time: Flexible (08:30 am - 5:30 pm) - Meeting point: Hop On Hop Off stop - Includes: Hop-on, Hop-off access for 24 hours, Bus fare with free Wifi, parking fees, Audio guide commentary in 8 languages</t>
  </si>
  <si>
    <t>https://booknordics.com/iceland/western-iceland/reykjavik/hop-on-hop-off-city-sightseeing-24-hours</t>
  </si>
  <si>
    <t>Reykjavik: Classic Whale Watching under the Midnight Sun - Time: 8:30 pm - 11:30 pm - Meeting point: Ægisgarður 5c - Includes: Authorized English - Speaker Guide, Access to our Wildlife Exhibition, Warm overalls are available, Excellent guidance, Onboard WiFi, Lovely mellow music, Entry or admission fee</t>
  </si>
  <si>
    <t>https://booknordics.com/iceland/western-iceland/reykjavik/reykjavik-classic-whales-in-the-midnight-sun</t>
  </si>
  <si>
    <t>Reykjavík: Grand Golden Circle Full-Day Tour - Time: 08:00 am - 5:00 pm - Meeting point: Hotel Pick up - Includes: Roundtrip transportation by minivan/coach, Knowledgeable, English-speaking guide, Kerið volcanic crater incl. admission fee, Gulfoss waterfall aka Golden Falls, Strokkur geyser eruption experience, Thingvellir UNESCO World Heritage site, Free WiFi onboard the vehicle</t>
  </si>
  <si>
    <t>https://booknordics.com/iceland/western-iceland/reykjavik/grand-golden-circle-tour</t>
  </si>
  <si>
    <t>https://booknordics.com/iceland/western-iceland/reykjavik/south-coast-spectacle-small-group-day-tour</t>
  </si>
  <si>
    <t>Reykjavik: South Coast Spectacle - Small Group Day Tour - Time: 09:00 am - 7:00 pm - Meeting point: Hotel Pick up - Includes: Pick-up and drop-off: anywhere in the Reykjavik area, Authorized English - Speaker Guide, Transportation in an air-conditioned minivan, WiFi, Brillant photo opportunities, Visits to Seljalandsfoss &amp; Gljúfrabúi waterfalls, Visit to Skógafoss waterfall, Stop at Vík í Mýrdal village, Reynisfjara black sand beach visit, Storytelling about Icelandic history, folklore, and geology</t>
  </si>
  <si>
    <t>Reykjavík: Small Group Snæfellsnes Peninsula by Minivan - Time: 08:00am - 08:00 pm - Meeting point: Hotel Pick up - Includes: Pick-up/drop off in central of Reykjavík, Professional, English-speaking guide, Small group on a minibus of 18 people, Wi-Fi and Icelandic music on board</t>
  </si>
  <si>
    <t>https://booknordics.com/iceland/western-iceland/reykjavik/snaefellsnes-peninsula-minibus-tour</t>
  </si>
  <si>
    <t>Reykjavík: Fagradalsfjall &amp; Meradalir Volcano Hike - Time: 08:00 am - 5:00 pm - Meeting point: Hotel pick up - Includes: Pick-up/drop-off in central Reykjavik, Experienced, English-speaking guide, Hike to Fagradalsfjall Volcano, Hike through otherwordly Meradalir, Wi-Fi on board transfer vehicle</t>
  </si>
  <si>
    <t>https://www.ratehawk.com/hotel/iceland/reykjavik/?q=6035025&amp;dates=07.06.2026-14.06.2026&amp;guests=2&amp;map=true&amp;meal_types=breakfast.halfBoard.fullBoard.allInclusive&amp;payment=freecancellation&amp;price=one&amp;stars=3.4&amp;sid=fa4f67bd-5a2f-440f-b80d-c09cf33da217</t>
  </si>
  <si>
    <t>Actvity Upgrade</t>
  </si>
  <si>
    <t>https://www.ratehawk.com/hotel/iceland/reykjavik/?q=6035025&amp;dates=07.06.2026-13.06.2026&amp;guests=2&amp;map=true&amp;meal_types=breakfast.halfBoard.fullBoard.allInclusive&amp;payment=freecancellation&amp;price=one&amp;stars=3.4&amp;sid=fa4f67bd-5a2f-440f-b80d-c09cf33da217</t>
  </si>
  <si>
    <t>Reykjavik: Check in to your accommodation for a 5 night stay - Centraly Located 3/4-star hotel - Standard room - breakfast included</t>
  </si>
  <si>
    <t>Reykjavik: Check in to your accommodation for a 6 night stay - Centraly Located 3/4-star hotel - Standard room - breakfast included</t>
  </si>
  <si>
    <t>Reykjavik: Check in to your accommodation for a 7 night stay - Centraly Located 3/4-star hotel - Standard room - breakfast included</t>
  </si>
  <si>
    <t>Fixed</t>
  </si>
  <si>
    <t>Variable</t>
  </si>
  <si>
    <t>Total</t>
  </si>
  <si>
    <t>https://www.ratehawk.com/?sid=5c11424c-1694-4e32-9a64-786852f88adb</t>
  </si>
  <si>
    <t>https://www.ratehawk.com/cars/?route=965846080%2C965846080&amp;date=2026-06-14T09%3A00%2C2026-06-18T18%3A00&amp;age=26%2C69&amp;sid=c2238b01-0af9-4e1e-b966-e14d15ef26da</t>
  </si>
  <si>
    <t>Vik: Katla Ice Cave Super Jeep Tour - Time: 09:30 am - 12:30 pm - Meeting point: Tröll Expeditions Katla Ice Cave - Includes: Super Jeep excursion to Katla Ice Cave, Certified glacier guide and glacier hike, Experienced off-road driver, Ice cave gear: crampons, and helmet</t>
  </si>
  <si>
    <t>https://booknordics.com/iceland/southern-iceland/vik/katla-ice-cave-super-jeep-from-vik</t>
  </si>
  <si>
    <t>Reykjavík: Northern Lights Minibus Tour - Small Group - Time: 8:30 pm - 12:30 am - Meeting point: Hotel pick up - Includes: Pick-up/drop-off in central Reykjavik, Professional, English-speaking guide, Northern lights tour in a small group, Ticket to Aurora Museum Reykjavik, Free Wi-Fi onboard the vehicle, Hot chocolate and refreshments</t>
  </si>
  <si>
    <t>https://booknordics.com/iceland/western-iceland/reykjavik/northern-lights-small-group-minibus-tour</t>
  </si>
  <si>
    <t>https://booknordics.com/iceland/western-iceland/reykjavik/reykjavik-walking-tour-small-group-citywalk</t>
  </si>
  <si>
    <t>Akureyri: Whale Watching Tour - Time: 11:00 am - 1:30 pm - Meeting point: Oddeyrarbót 2, next to the cultural centre HOF in Akureyri - Includes: Whale watching tour approx. 2,5-3 hrs, Knowledgeable, English-speaking guides, Use of warm overalls and blankets, Warm indoor saloom and Free WiFi, Panoramic viewing windows</t>
  </si>
  <si>
    <t>https://booknordics.com/iceland/northern-iceland/akureyri/akureyri-classic-whale-watching</t>
  </si>
  <si>
    <t xml:space="preserve">Keflavik: Pick up your rental car at the car rental office - A 4x4 will with room for 4 luggages will be provided - Includes: Basic Insuarance - Excludes: Deposit </t>
  </si>
  <si>
    <t xml:space="preserve">Reykjavik: Blue Lagoon Comfort Package - Time: Depart to Blue Lagoon from 09:00am to 5:00pm - Return to Reykjavik from 1:15pm to 8:15pm - Meeting point: Hotel Pick up - Includes: Return transfer, Entrance to the Blue Lagoon, Silica mud mask at the Mask Bar, Use of towel, shampoo, conditioner, and moisturizer, Private locker, Non-alcoholic drink at the in-water bar </t>
  </si>
  <si>
    <t>D</t>
  </si>
  <si>
    <t>SD</t>
  </si>
  <si>
    <t>Self Drive</t>
  </si>
  <si>
    <t>GTS</t>
  </si>
  <si>
    <t>Group Tour Summer</t>
  </si>
  <si>
    <t>GTW</t>
  </si>
  <si>
    <t>Group Tour Winter</t>
  </si>
  <si>
    <t>RS</t>
  </si>
  <si>
    <t>Reykjavik Summer</t>
  </si>
  <si>
    <t>RW</t>
  </si>
  <si>
    <t>Reykjavik Winter</t>
  </si>
  <si>
    <t>https://booknordics.com/iceland/western-iceland/reykjavik/flyover-iceland</t>
  </si>
  <si>
    <t>Reykjavík: Immersive Virtual Flight Across Iceland by FlyOver - Time: Flexible - Meeting point: FlyOver Iceland, Fiskislóð 43 - Includes: Entry or admission fee</t>
  </si>
  <si>
    <t>Reykjavik: Sky Lagoon incl. Pure Pass, SPA Ritual &amp; Transfers - Time: 4:00 pm - 6:30 pm - Meeting point: Hotel pick up - Includes: Hotel pick-up/drop-off in Reykjavik, Return transfers to/from Sky Lagoon, Pure pass admission ticket, 7-step SPA ritual at the lagoon, Towel, shower gel and conditioner</t>
  </si>
  <si>
    <t>https://booknordics.com/iceland/western-iceland/reykjavik/sky-lagoon-pure-pass-admission-with-hotel-pick-up-in-reykjavik</t>
  </si>
  <si>
    <t>Reykjavík: Blue Lagoon Premium including admission - Time: Flexible - Meeting point: BSI Bus Terminal - City Center - Includes: Return transfers, Admission to the Blue Lagoon, Silica Mud Mask, Algae Mask, Slippers and use of towel and bathrope, One drink of your choice at the in-water bar, A table reservation with sparkling wine at LAVA Restaurant (if dining), Free Wi-Fi on the bus</t>
  </si>
  <si>
    <t>https://booknordics.com/iceland/western-iceland/reykjavik/reykjavik-blue-lagoon-premium-including-admission</t>
  </si>
  <si>
    <t>Hotel Drangslid (or Similar), Hvita Inn (or Similar), Hótel Höfn (or Similar), Hótel Valaskjálf (or Similar), Hotel Nordurland (or Similar), Hótel Borgarnes (or Similar), Hotel Hafnarfjall (or Similar)</t>
  </si>
  <si>
    <t xml:space="preserve">Hotel Drangslid (or similar), Hrífunes Inn (or similar), Hotel Hofn (or Similar),Hótel Valaskjálf (or Similar), Hotel Nordurland (or Similar), </t>
  </si>
  <si>
    <t>ITIN</t>
  </si>
  <si>
    <t>Cost</t>
  </si>
  <si>
    <t>Margin</t>
  </si>
  <si>
    <t>Page</t>
  </si>
  <si>
    <t>5D SD</t>
  </si>
  <si>
    <t>6D SD</t>
  </si>
  <si>
    <t>7D SD</t>
  </si>
  <si>
    <t>8D SD</t>
  </si>
  <si>
    <t>10D SD</t>
  </si>
  <si>
    <t>5D GTS</t>
  </si>
  <si>
    <t>6D GTS</t>
  </si>
  <si>
    <t>7D GTS</t>
  </si>
  <si>
    <t>8D GTS</t>
  </si>
  <si>
    <t>10D GTS</t>
  </si>
  <si>
    <t>5D GTW</t>
  </si>
  <si>
    <t xml:space="preserve">6D GTW </t>
  </si>
  <si>
    <t>7D GTW</t>
  </si>
  <si>
    <t>8D GTW</t>
  </si>
  <si>
    <t>10D GTW</t>
  </si>
  <si>
    <t>5D RS</t>
  </si>
  <si>
    <t>6D RS</t>
  </si>
  <si>
    <t>7D RS</t>
  </si>
  <si>
    <t>8D RS</t>
  </si>
  <si>
    <t>5D RW</t>
  </si>
  <si>
    <t>6D RW</t>
  </si>
  <si>
    <t>7D RW</t>
  </si>
  <si>
    <t>8D RW</t>
  </si>
  <si>
    <t>Keflavik: Pick up your rental car at the car rental office - A 4x4 will with room for 4 luggages will be provided -  Includes: Unlimited milage, Supplementary liability insurance, Cancellation fee, Collision damage waiver, Fuel information, Theft protection - Fuel Information: The vehicle should be returned with the same amount of fuel as delivered - Deposit not included</t>
  </si>
  <si>
    <t>Shoulder</t>
  </si>
  <si>
    <t>High</t>
  </si>
  <si>
    <t>Peak</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</si>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</sst>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0"/>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2">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xf numFmtId="3" fontId="5" fillId="6" borderId="0" xfId="0" applyNumberFormat="1" applyFont="1" applyFill="1" applyAlignment="1">
      <alignment horizontal="center"/>
    </xf>
    <xf numFmtId="0" fontId="2" fillId="0" borderId="0" xfId="0" applyFont="1" applyAlignment="1">
      <alignment horizontal="right"/>
    </xf>
    <xf numFmtId="0" fontId="0" fillId="0" borderId="0" xfId="0" applyAlignment="1">
      <alignment horizontal="right"/>
    </xf>
    <xf numFmtId="0" fontId="2" fillId="0" borderId="0" xfId="0" applyFont="1"/>
    <xf numFmtId="3" fontId="0" fillId="0" borderId="0" xfId="0" applyNumberFormat="1"/>
    <xf numFmtId="9" fontId="0" fillId="0" borderId="0" xfId="0" applyNumberFormat="1"/>
    <xf numFmtId="3" fontId="0" fillId="2" borderId="0" xfId="0" applyNumberFormat="1" applyFill="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Itinerarys/ITIN-487-Prashant-Mr.Sanjay/Calculation-template-487.xlsx" TargetMode="External"/><Relationship Id="rId2" Type="http://schemas.openxmlformats.org/officeDocument/2006/relationships/externalLinkPath" Target="file:///C:\Users\DennisK&#229;len\Desktop\Itinerarys\ITIN-487-Prashant-Mr.Sanjay\Calculation-template-487.xlsx" TargetMode="External"/><Relationship Id="rId1" Type="http://schemas.openxmlformats.org/officeDocument/2006/relationships/externalLinkPath" Target="/Users/DennisK&#229;len/Desktop/Itinerarys/ITIN-487-Prashant-Mr.Sanjay/Calculation-template-4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rr"/>
      <sheetName val="Calc"/>
      <sheetName val="2x room"/>
      <sheetName val="Calc Tromsø"/>
      <sheetName val="Calc Tromsø 2 x room"/>
    </sheetNames>
    <sheetDataSet>
      <sheetData sheetId="0" refreshError="1">
        <row r="2">
          <cell r="B2" t="str">
            <v>EUR</v>
          </cell>
          <cell r="C2">
            <v>11.3</v>
          </cell>
        </row>
        <row r="3">
          <cell r="B3" t="str">
            <v>SEK</v>
          </cell>
          <cell r="C3">
            <v>1.02</v>
          </cell>
        </row>
        <row r="4">
          <cell r="B4" t="str">
            <v>DKK</v>
          </cell>
          <cell r="C4">
            <v>1.5</v>
          </cell>
        </row>
        <row r="5">
          <cell r="B5" t="str">
            <v>ISK</v>
          </cell>
          <cell r="C5">
            <v>7.4999999999999997E-2</v>
          </cell>
        </row>
        <row r="6">
          <cell r="B6" t="str">
            <v>NOK</v>
          </cell>
          <cell r="C6">
            <v>1</v>
          </cell>
        </row>
        <row r="7">
          <cell r="B7" t="str">
            <v>USD</v>
          </cell>
          <cell r="C7">
            <v>10.6</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booknordics.com/iceland/western-iceland/reykjavik/reykjavik-blue-lagoon-comfort-including-admission" TargetMode="External"/><Relationship Id="rId7" Type="http://schemas.openxmlformats.org/officeDocument/2006/relationships/printerSettings" Target="../printerSettings/printerSettings1.bin"/><Relationship Id="rId2" Type="http://schemas.openxmlformats.org/officeDocument/2006/relationships/hyperlink" Target="https://www.ratehawk.com/cars/?route=965846080%2C965846080&amp;date=2026-06-14T09%3A00%2C2026-06-18T18%3A00&amp;age=26%2C69&amp;sid=c2238b01-0af9-4e1e-b966-e14d15ef26da" TargetMode="External"/><Relationship Id="rId1" Type="http://schemas.openxmlformats.org/officeDocument/2006/relationships/hyperlink" Target="https://www.ratehawk.com/?sid=5c11424c-1694-4e32-9a64-786852f88adb" TargetMode="External"/><Relationship Id="rId6" Type="http://schemas.openxmlformats.org/officeDocument/2006/relationships/hyperlink" Target="https://booknordics.com/iceland/western-iceland/reykjavik/northern-lights-small-group-minibus-tour" TargetMode="External"/><Relationship Id="rId5" Type="http://schemas.openxmlformats.org/officeDocument/2006/relationships/hyperlink" Target="https://booknordics.com/iceland/western-iceland/reykjavik/reykjavik-walking-tour-small-group-citywalk" TargetMode="External"/><Relationship Id="rId4" Type="http://schemas.openxmlformats.org/officeDocument/2006/relationships/hyperlink" Target="https://booknordics.com/iceland/southern-iceland/vik/katla-ice-cave-super-jeep-from-vi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ooknordics.com/iceland/western-iceland/reykjavik/reykjavik-blue-lagoon-comfort-including-admission" TargetMode="External"/><Relationship Id="rId7" Type="http://schemas.openxmlformats.org/officeDocument/2006/relationships/printerSettings" Target="../printerSettings/printerSettings2.bin"/><Relationship Id="rId2" Type="http://schemas.openxmlformats.org/officeDocument/2006/relationships/hyperlink" Target="https://booknordics.com/iceland/western-iceland/reykjavik/reykjavik-walking-tour-small-group-citywalk" TargetMode="External"/><Relationship Id="rId1" Type="http://schemas.openxmlformats.org/officeDocument/2006/relationships/hyperlink" Target="https://booknordics.com/iceland/southern-iceland/vik/katla-ice-cave-super-jeep-from-vik" TargetMode="External"/><Relationship Id="rId6" Type="http://schemas.openxmlformats.org/officeDocument/2006/relationships/hyperlink" Target="https://www.ratehawk.com/?sid=5c11424c-1694-4e32-9a64-786852f88adb" TargetMode="External"/><Relationship Id="rId5" Type="http://schemas.openxmlformats.org/officeDocument/2006/relationships/hyperlink" Target="https://booknordics.com/iceland/northern-iceland/akureyri/akureyri-classic-whale-watching" TargetMode="External"/><Relationship Id="rId4" Type="http://schemas.openxmlformats.org/officeDocument/2006/relationships/hyperlink" Target="https://booknordics.com/iceland/western-iceland/reykjavik/northern-lights-small-group-minibus-tou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7" Type="http://schemas.openxmlformats.org/officeDocument/2006/relationships/printerSettings" Target="../printerSettings/printerSettings3.bin"/><Relationship Id="rId2" Type="http://schemas.openxmlformats.org/officeDocument/2006/relationships/hyperlink" Target="https://booknordics.com/iceland/southern-iceland/vik/katla-ice-cave-super-jeep-from-vik" TargetMode="External"/><Relationship Id="rId1" Type="http://schemas.openxmlformats.org/officeDocument/2006/relationships/hyperlink" Target="https://booknordics.com/iceland/northern-iceland/akureyri/akureyri-classic-whale-watching" TargetMode="External"/><Relationship Id="rId6" Type="http://schemas.openxmlformats.org/officeDocument/2006/relationships/hyperlink" Target="https://www.ratehawk.com/?sid=5c11424c-1694-4e32-9a64-786852f88adb" TargetMode="External"/><Relationship Id="rId5" Type="http://schemas.openxmlformats.org/officeDocument/2006/relationships/hyperlink" Target="https://booknordics.com/iceland/western-iceland/reykjavik/northern-lights-small-group-minibus-tour" TargetMode="External"/><Relationship Id="rId4" Type="http://schemas.openxmlformats.org/officeDocument/2006/relationships/hyperlink" Target="https://booknordics.com/iceland/western-iceland/reykjavik/reykjavik-blue-lagoon-comfort-including-admissio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7" Type="http://schemas.openxmlformats.org/officeDocument/2006/relationships/printerSettings" Target="../printerSettings/printerSettings4.bin"/><Relationship Id="rId2" Type="http://schemas.openxmlformats.org/officeDocument/2006/relationships/hyperlink" Target="https://booknordics.com/iceland/southern-iceland/vik/katla-ice-cave-super-jeep-from-vik" TargetMode="External"/><Relationship Id="rId1" Type="http://schemas.openxmlformats.org/officeDocument/2006/relationships/hyperlink" Target="https://booknordics.com/iceland/northern-iceland/akureyri/akureyri-classic-whale-watching" TargetMode="External"/><Relationship Id="rId6" Type="http://schemas.openxmlformats.org/officeDocument/2006/relationships/hyperlink" Target="https://www.ratehawk.com/?sid=5c11424c-1694-4e32-9a64-786852f88adb" TargetMode="External"/><Relationship Id="rId5" Type="http://schemas.openxmlformats.org/officeDocument/2006/relationships/hyperlink" Target="https://booknordics.com/iceland/western-iceland/reykjavik/northern-lights-small-group-minibus-tour" TargetMode="External"/><Relationship Id="rId4" Type="http://schemas.openxmlformats.org/officeDocument/2006/relationships/hyperlink" Target="https://booknordics.com/iceland/western-iceland/reykjavik/reykjavik-blue-lagoon-comfort-including-admissio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7" Type="http://schemas.openxmlformats.org/officeDocument/2006/relationships/printerSettings" Target="../printerSettings/printerSettings5.bin"/><Relationship Id="rId2" Type="http://schemas.openxmlformats.org/officeDocument/2006/relationships/hyperlink" Target="https://booknordics.com/iceland/southern-iceland/vik/katla-ice-cave-super-jeep-from-vik" TargetMode="External"/><Relationship Id="rId1" Type="http://schemas.openxmlformats.org/officeDocument/2006/relationships/hyperlink" Target="https://booknordics.com/iceland/northern-iceland/akureyri/akureyri-classic-whale-watching" TargetMode="External"/><Relationship Id="rId6" Type="http://schemas.openxmlformats.org/officeDocument/2006/relationships/hyperlink" Target="https://www.ratehawk.com/?sid=5c11424c-1694-4e32-9a64-786852f88adb" TargetMode="External"/><Relationship Id="rId5" Type="http://schemas.openxmlformats.org/officeDocument/2006/relationships/hyperlink" Target="https://booknordics.com/iceland/western-iceland/reykjavik/northern-lights-small-group-minibus-tour" TargetMode="External"/><Relationship Id="rId4" Type="http://schemas.openxmlformats.org/officeDocument/2006/relationships/hyperlink" Target="https://booknordics.com/iceland/western-iceland/reykjavik/reykjavik-blue-lagoon-comfort-including-admissio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3-day-summer-minibus-tour-south-coast-glacier-hike-and-golden-circle" TargetMode="Externa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4-day-summer-minibus-tour-south-coast-golden-circle-snaefellsnes-and-jokulsarlon" TargetMode="External"/><Relationship Id="rId4"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5-day-winter-minibus-tour-blue-ice-cave-snaefellsnes-golden-circle-south-coast-northern-lights" TargetMode="External"/><Relationship Id="rId4"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6-day-around-iceland-summer-minibus-tour" TargetMode="External"/><Relationship Id="rId4"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8-day-around-iceland-summer-minibus-tour" TargetMode="External"/><Relationship Id="rId4"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3-day-winter-minibus-tour-south-coast-blue-ice-cave-golden-circle-northern-lights" TargetMode="External"/><Relationship Id="rId4"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4-day-winter-minibus-tour-blue-ice-cave-south-coast-golden-circle-snaefellsnes-northern-lights" TargetMode="External"/><Relationship Id="rId4"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5-day-winter-minibus-tour-blue-ice-cave-snaefellsnes-golden-circle-south-coast-northern-lights" TargetMode="External"/><Relationship Id="rId4"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6-day-around-iceland-winter-minibus-tour" TargetMode="External"/><Relationship Id="rId4"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hyperlink" Target="https://booknordics.com/iceland/western-iceland/reykjavik/reykjavik-walking-tour-small-group-citywalk" TargetMode="External"/><Relationship Id="rId2" Type="http://schemas.openxmlformats.org/officeDocument/2006/relationships/hyperlink" Target="https://booknordics.com/iceland/western-iceland/reykjavik/reykjavik-blue-lagoon-comfort-including-admission" TargetMode="External"/><Relationship Id="rId1" Type="http://schemas.openxmlformats.org/officeDocument/2006/relationships/hyperlink" Target="https://booknordics.com/iceland/western-iceland/reykjavik/8-day-around-iceland-winter-minibus-tour" TargetMode="External"/><Relationship Id="rId4"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6.bin"/><Relationship Id="rId3" Type="http://schemas.openxmlformats.org/officeDocument/2006/relationships/hyperlink" Target="https://booknordics.com/iceland/western-iceland/reykjavik/reykjavik-blue-lagoon-comfort-including-admission" TargetMode="External"/><Relationship Id="rId7" Type="http://schemas.openxmlformats.org/officeDocument/2006/relationships/hyperlink" Target="https://booknordics.com/iceland/western-iceland/reykjavik/reykjavik-blue-lagoon-premium-including-admission" TargetMode="External"/><Relationship Id="rId2" Type="http://schemas.openxmlformats.org/officeDocument/2006/relationships/hyperlink" Target="https://booknordics.com/iceland/western-iceland/reykjavik/south-coast-spectacle-small-group-day-tour" TargetMode="External"/><Relationship Id="rId1" Type="http://schemas.openxmlformats.org/officeDocument/2006/relationships/hyperlink" Target="https://booknordics.com/iceland/western-iceland/reykjavik/grand-golden-circle-tour" TargetMode="External"/><Relationship Id="rId6" Type="http://schemas.openxmlformats.org/officeDocument/2006/relationships/hyperlink" Target="https://booknordics.com/iceland/western-iceland/reykjavik/sky-lagoon-pure-pass-admission-with-hotel-pick-up-in-reykjavik" TargetMode="External"/><Relationship Id="rId5" Type="http://schemas.openxmlformats.org/officeDocument/2006/relationships/hyperlink" Target="https://booknordics.com/iceland/western-iceland/reykjavik/flyover-iceland" TargetMode="External"/><Relationship Id="rId4" Type="http://schemas.openxmlformats.org/officeDocument/2006/relationships/hyperlink" Target="https://booknordics.com/iceland/western-iceland/reykjavik/northern-lights-small-group-minibus-tour"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booknordics.com/iceland/western-iceland/reykjavik/reykjavik-blue-lagoon-premium-including-admission"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booknordics.com/iceland/western-iceland/reykjavik/sky-lagoon-pure-pass-admission-with-hotel-pick-up-in-reykjavik"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flyover-iceland" TargetMode="External"/><Relationship Id="rId5" Type="http://schemas.openxmlformats.org/officeDocument/2006/relationships/hyperlink" Target="https://booknordics.com/iceland/western-iceland/reykjavik/reykjavik-blue-lagoon-comfort-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8" Type="http://schemas.openxmlformats.org/officeDocument/2006/relationships/hyperlink" Target="https://booknordics.com/iceland/western-iceland/reykjavik/flyover-iceland"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www.ratehawk.com/hotel/iceland/reykjavik/?q=6035025&amp;dates=07.06.2026-13.06.2026&amp;guests=2&amp;map=true&amp;meal_types=breakfast.halfBoard.fullBoard.allInclusive&amp;payment=freecancellation&amp;price=one&amp;stars=3.4&amp;sid=fa4f67bd-5a2f-440f-b80d-c09cf33da217"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snaefellsnes-peninsula-minibus-tour" TargetMode="External"/><Relationship Id="rId11" Type="http://schemas.openxmlformats.org/officeDocument/2006/relationships/printerSettings" Target="../printerSettings/printerSettings18.bin"/><Relationship Id="rId5" Type="http://schemas.openxmlformats.org/officeDocument/2006/relationships/hyperlink" Target="https://booknordics.com/iceland/western-iceland/reykjavik/reykjavik-blue-lagoon-comfort-including-admission" TargetMode="External"/><Relationship Id="rId10" Type="http://schemas.openxmlformats.org/officeDocument/2006/relationships/hyperlink" Target="https://booknordics.com/iceland/western-iceland/reykjavik/reykjavik-blue-lagoon-premium-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hyperlink" Target="https://booknordics.com/iceland/western-iceland/reykjavik/sky-lagoon-pure-pass-admission-with-hotel-pick-up-in-reykjavik"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booknordics.com/iceland/western-iceland/reykjavik/flyover-iceland"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www.ratehawk.com/hotel/iceland/reykjavik/?q=6035025&amp;dates=07.06.2026-14.06.2026&amp;guests=2&amp;map=true&amp;meal_types=breakfast.halfBoard.fullBoard.allInclusive&amp;payment=freecancellation&amp;price=one&amp;stars=3.4&amp;sid=fa4f67bd-5a2f-440f-b80d-c09cf33da217"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snaefellsnes-peninsula-minibus-tour" TargetMode="External"/><Relationship Id="rId11" Type="http://schemas.openxmlformats.org/officeDocument/2006/relationships/printerSettings" Target="../printerSettings/printerSettings19.bin"/><Relationship Id="rId5" Type="http://schemas.openxmlformats.org/officeDocument/2006/relationships/hyperlink" Target="https://booknordics.com/iceland/western-iceland/reykjavik/reykjavik-blue-lagoon-comfort-including-admission" TargetMode="External"/><Relationship Id="rId10" Type="http://schemas.openxmlformats.org/officeDocument/2006/relationships/hyperlink" Target="https://booknordics.com/iceland/western-iceland/reykjavik/reykjavik-blue-lagoon-premium-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hyperlink" Target="https://booknordics.com/iceland/western-iceland/reykjavik/sky-lagoon-pure-pass-admission-with-hotel-pick-up-in-reykjavi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20.bin"/><Relationship Id="rId3" Type="http://schemas.openxmlformats.org/officeDocument/2006/relationships/hyperlink" Target="https://booknordics.com/iceland/western-iceland/reykjavik/south-coast-spectacle-small-group-day-tour" TargetMode="External"/><Relationship Id="rId7" Type="http://schemas.openxmlformats.org/officeDocument/2006/relationships/hyperlink" Target="https://booknordics.com/iceland/western-iceland/reykjavik/reykjavik-blue-lagoon-premium-including-admission" TargetMode="External"/><Relationship Id="rId2" Type="http://schemas.openxmlformats.org/officeDocument/2006/relationships/hyperlink" Target="https://booknordics.com/iceland/western-iceland/reykjavik/grand-golden-circle-tour" TargetMode="External"/><Relationship Id="rId1" Type="http://schemas.openxmlformats.org/officeDocument/2006/relationships/hyperlink" Target="https://booknordics.com/iceland/western-iceland/reykjavik/reykjavik-classic-whales-in-the-midnight-sun" TargetMode="External"/><Relationship Id="rId6" Type="http://schemas.openxmlformats.org/officeDocument/2006/relationships/hyperlink" Target="https://booknordics.com/iceland/western-iceland/reykjavik/sky-lagoon-pure-pass-admission-with-hotel-pick-up-in-reykjavik" TargetMode="External"/><Relationship Id="rId5" Type="http://schemas.openxmlformats.org/officeDocument/2006/relationships/hyperlink" Target="https://booknordics.com/iceland/western-iceland/reykjavik/flyover-iceland" TargetMode="External"/><Relationship Id="rId4" Type="http://schemas.openxmlformats.org/officeDocument/2006/relationships/hyperlink" Target="https://booknordics.com/iceland/western-iceland/reykjavik/reykjavik-blue-lagoon-comfort-including-admission"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booknordics.com/iceland/western-iceland/reykjavik/reykjavik-blue-lagoon-premium-including-admission"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booknordics.com/iceland/western-iceland/reykjavik/sky-lagoon-pure-pass-admission-with-hotel-pick-up-in-reykjavik"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flyover-iceland" TargetMode="External"/><Relationship Id="rId5" Type="http://schemas.openxmlformats.org/officeDocument/2006/relationships/hyperlink" Target="https://booknordics.com/iceland/western-iceland/reykjavik/reykjavik-blue-lagoon-comfort-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8" Type="http://schemas.openxmlformats.org/officeDocument/2006/relationships/hyperlink" Target="https://booknordics.com/iceland/western-iceland/reykjavik/flyover-iceland"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www.ratehawk.com/hotel/iceland/reykjavik/?q=6035025&amp;dates=07.06.2026-13.06.2026&amp;guests=2&amp;map=true&amp;meal_types=breakfast.halfBoard.fullBoard.allInclusive&amp;payment=freecancellation&amp;price=one&amp;stars=3.4&amp;sid=fa4f67bd-5a2f-440f-b80d-c09cf33da217"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snaefellsnes-peninsula-minibus-tour" TargetMode="External"/><Relationship Id="rId11" Type="http://schemas.openxmlformats.org/officeDocument/2006/relationships/printerSettings" Target="../printerSettings/printerSettings22.bin"/><Relationship Id="rId5" Type="http://schemas.openxmlformats.org/officeDocument/2006/relationships/hyperlink" Target="https://booknordics.com/iceland/western-iceland/reykjavik/reykjavik-blue-lagoon-comfort-including-admission" TargetMode="External"/><Relationship Id="rId10" Type="http://schemas.openxmlformats.org/officeDocument/2006/relationships/hyperlink" Target="https://booknordics.com/iceland/western-iceland/reykjavik/reykjavik-blue-lagoon-premium-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hyperlink" Target="https://booknordics.com/iceland/western-iceland/reykjavik/sky-lagoon-pure-pass-admission-with-hotel-pick-up-in-reykjavik"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booknordics.com/iceland/western-iceland/reykjavik/flyover-iceland" TargetMode="External"/><Relationship Id="rId3" Type="http://schemas.openxmlformats.org/officeDocument/2006/relationships/hyperlink" Target="https://booknordics.com/iceland/western-iceland/reykjavik/grand-golden-circle-tour" TargetMode="External"/><Relationship Id="rId7" Type="http://schemas.openxmlformats.org/officeDocument/2006/relationships/hyperlink" Target="https://www.ratehawk.com/hotel/iceland/reykjavik/?q=6035025&amp;dates=07.06.2026-14.06.2026&amp;guests=2&amp;map=true&amp;meal_types=breakfast.halfBoard.fullBoard.allInclusive&amp;payment=freecancellation&amp;price=one&amp;stars=3.4&amp;sid=fa4f67bd-5a2f-440f-b80d-c09cf33da217" TargetMode="External"/><Relationship Id="rId2" Type="http://schemas.openxmlformats.org/officeDocument/2006/relationships/hyperlink" Target="https://booknordics.com/iceland/western-iceland/reykjavik/reykjavik-classic-whales-in-the-midnight-sun" TargetMode="External"/><Relationship Id="rId1" Type="http://schemas.openxmlformats.org/officeDocument/2006/relationships/hyperlink" Target="https://booknordics.com/iceland/western-iceland/reykjavik/hop-on-hop-off-city-sightseeing-24-hours" TargetMode="External"/><Relationship Id="rId6" Type="http://schemas.openxmlformats.org/officeDocument/2006/relationships/hyperlink" Target="https://booknordics.com/iceland/western-iceland/reykjavik/snaefellsnes-peninsula-minibus-tour" TargetMode="External"/><Relationship Id="rId11" Type="http://schemas.openxmlformats.org/officeDocument/2006/relationships/printerSettings" Target="../printerSettings/printerSettings23.bin"/><Relationship Id="rId5" Type="http://schemas.openxmlformats.org/officeDocument/2006/relationships/hyperlink" Target="https://booknordics.com/iceland/western-iceland/reykjavik/reykjavik-blue-lagoon-comfort-including-admission" TargetMode="External"/><Relationship Id="rId10" Type="http://schemas.openxmlformats.org/officeDocument/2006/relationships/hyperlink" Target="https://booknordics.com/iceland/western-iceland/reykjavik/reykjavik-blue-lagoon-premium-including-admission" TargetMode="External"/><Relationship Id="rId4" Type="http://schemas.openxmlformats.org/officeDocument/2006/relationships/hyperlink" Target="https://booknordics.com/iceland/western-iceland/reykjavik/south-coast-spectacle-small-group-day-tour" TargetMode="External"/><Relationship Id="rId9" Type="http://schemas.openxmlformats.org/officeDocument/2006/relationships/hyperlink" Target="https://booknordics.com/iceland/western-iceland/reykjavik/sky-lagoon-pure-pass-admission-with-hotel-pick-up-in-reykjavik"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3" sqref="C3"/>
    </sheetView>
  </sheetViews>
  <sheetFormatPr defaultRowHeight="15" x14ac:dyDescent="0.25"/>
  <cols>
    <col min="1" max="1" width="2.5703125" customWidth="1"/>
  </cols>
  <sheetData>
    <row r="1" spans="2:3" x14ac:dyDescent="0.25">
      <c r="C1" t="s">
        <v>8</v>
      </c>
    </row>
    <row r="2" spans="2:3" x14ac:dyDescent="0.25">
      <c r="B2" t="s">
        <v>10</v>
      </c>
      <c r="C2">
        <v>11</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D8D6-9DA8-404A-A1B4-8556146C3876}">
  <sheetPr>
    <tabColor rgb="FFFFFF00"/>
  </sheetPr>
  <dimension ref="B3:K26"/>
  <sheetViews>
    <sheetView workbookViewId="0">
      <selection activeCell="F19" sqref="F19"/>
    </sheetView>
  </sheetViews>
  <sheetFormatPr defaultRowHeight="15" x14ac:dyDescent="0.25"/>
  <cols>
    <col min="2" max="2" width="13.5703125" bestFit="1" customWidth="1"/>
    <col min="3" max="3" width="19" bestFit="1" customWidth="1"/>
    <col min="7" max="7" width="12.140625" style="37" bestFit="1" customWidth="1"/>
    <col min="9" max="9" width="7.28515625" bestFit="1" customWidth="1"/>
    <col min="10" max="10" width="16" bestFit="1" customWidth="1"/>
  </cols>
  <sheetData>
    <row r="3" spans="2:11" x14ac:dyDescent="0.25">
      <c r="B3" t="s">
        <v>248</v>
      </c>
      <c r="C3" t="s">
        <v>35</v>
      </c>
      <c r="F3" s="36" t="s">
        <v>267</v>
      </c>
      <c r="G3" s="36" t="s">
        <v>270</v>
      </c>
      <c r="H3" s="36" t="s">
        <v>268</v>
      </c>
      <c r="I3" s="36" t="s">
        <v>269</v>
      </c>
      <c r="J3" s="36"/>
      <c r="K3" s="36"/>
    </row>
    <row r="4" spans="2:11" x14ac:dyDescent="0.25">
      <c r="B4" t="s">
        <v>249</v>
      </c>
      <c r="C4" t="s">
        <v>250</v>
      </c>
      <c r="F4" s="38">
        <v>301</v>
      </c>
      <c r="G4" s="37" t="s">
        <v>271</v>
      </c>
      <c r="H4" s="39">
        <f>'5D SD'!Z51</f>
        <v>1468.75</v>
      </c>
      <c r="I4" s="40">
        <f>'5D SD'!AE51</f>
        <v>0.2</v>
      </c>
    </row>
    <row r="5" spans="2:11" x14ac:dyDescent="0.25">
      <c r="B5" t="s">
        <v>251</v>
      </c>
      <c r="C5" t="s">
        <v>252</v>
      </c>
      <c r="F5" s="38">
        <v>302</v>
      </c>
      <c r="G5" s="37" t="s">
        <v>272</v>
      </c>
      <c r="H5" s="39">
        <f>'6D SD'!Z51</f>
        <v>1875</v>
      </c>
      <c r="I5" s="40">
        <f>'6D SD'!AE51</f>
        <v>0.2</v>
      </c>
    </row>
    <row r="6" spans="2:11" x14ac:dyDescent="0.25">
      <c r="B6" t="s">
        <v>253</v>
      </c>
      <c r="C6" t="s">
        <v>254</v>
      </c>
      <c r="F6" s="38">
        <v>303</v>
      </c>
      <c r="G6" s="37" t="s">
        <v>273</v>
      </c>
      <c r="H6" s="39">
        <f>'7D SD'!Z51</f>
        <v>2312.5</v>
      </c>
      <c r="I6" s="40">
        <f>'7D SD'!AE51</f>
        <v>0.2</v>
      </c>
    </row>
    <row r="7" spans="2:11" x14ac:dyDescent="0.25">
      <c r="B7" t="s">
        <v>255</v>
      </c>
      <c r="C7" t="s">
        <v>256</v>
      </c>
      <c r="F7" s="38">
        <v>304</v>
      </c>
      <c r="G7" s="37" t="s">
        <v>274</v>
      </c>
      <c r="H7" s="39">
        <f>'8D SD'!Z58</f>
        <v>2812.5</v>
      </c>
      <c r="I7" s="40">
        <f>'8D SD'!AE58</f>
        <v>0.2</v>
      </c>
    </row>
    <row r="8" spans="2:11" x14ac:dyDescent="0.25">
      <c r="B8" t="s">
        <v>257</v>
      </c>
      <c r="C8" t="s">
        <v>258</v>
      </c>
      <c r="F8" s="38">
        <v>305</v>
      </c>
      <c r="G8" s="37" t="s">
        <v>275</v>
      </c>
      <c r="H8" s="39">
        <f>'10D SD'!Z66</f>
        <v>3500</v>
      </c>
      <c r="I8" s="40">
        <f>'10D SD'!AE66</f>
        <v>0.2</v>
      </c>
    </row>
    <row r="9" spans="2:11" x14ac:dyDescent="0.25">
      <c r="F9" s="38">
        <v>306</v>
      </c>
      <c r="G9" s="37" t="s">
        <v>276</v>
      </c>
      <c r="H9" s="39">
        <f>'5D GTS'!Z43</f>
        <v>2190.0882352941176</v>
      </c>
      <c r="I9" s="40">
        <f>'5D GTS'!AE43</f>
        <v>0.15619838040369044</v>
      </c>
    </row>
    <row r="10" spans="2:11" x14ac:dyDescent="0.25">
      <c r="F10" s="38">
        <v>307</v>
      </c>
      <c r="G10" s="37" t="s">
        <v>277</v>
      </c>
      <c r="H10" s="39">
        <f>'6D GTS'!Z52</f>
        <v>2798.088235294118</v>
      </c>
      <c r="I10" s="40">
        <f>'6D GTS'!AE52</f>
        <v>0.15656698375992009</v>
      </c>
    </row>
    <row r="11" spans="2:11" x14ac:dyDescent="0.25">
      <c r="F11" s="38">
        <v>308</v>
      </c>
      <c r="G11" s="37" t="s">
        <v>278</v>
      </c>
      <c r="H11" s="39">
        <f>'7D GTS'!Z57</f>
        <v>3339.588235294118</v>
      </c>
      <c r="I11" s="40">
        <f>'7D GTS'!AE57</f>
        <v>0.15678227326369926</v>
      </c>
    </row>
    <row r="12" spans="2:11" x14ac:dyDescent="0.25">
      <c r="F12" s="38">
        <v>309</v>
      </c>
      <c r="G12" s="37" t="s">
        <v>279</v>
      </c>
      <c r="H12" s="39">
        <f>'8D GTS'!Z59</f>
        <v>4223.088235294118</v>
      </c>
      <c r="I12" s="40">
        <f>'8D GTS'!AE59</f>
        <v>0.1570150085315318</v>
      </c>
    </row>
    <row r="13" spans="2:11" x14ac:dyDescent="0.25">
      <c r="F13" s="38">
        <v>310</v>
      </c>
      <c r="G13" s="37" t="s">
        <v>280</v>
      </c>
      <c r="H13" s="39">
        <f>'10D GTS'!Z62</f>
        <v>5159.7882352941169</v>
      </c>
      <c r="I13" s="40">
        <f>'10D GTS'!AE62</f>
        <v>0.15717471305251912</v>
      </c>
    </row>
    <row r="14" spans="2:11" x14ac:dyDescent="0.25">
      <c r="F14" s="38">
        <v>311</v>
      </c>
      <c r="G14" s="37" t="s">
        <v>281</v>
      </c>
      <c r="H14" s="39">
        <f>'5D GTW'!Z47</f>
        <v>2133.0882352941176</v>
      </c>
      <c r="I14" s="40">
        <f>'5D GTW'!AE47</f>
        <v>0.15615305067218202</v>
      </c>
    </row>
    <row r="15" spans="2:11" x14ac:dyDescent="0.25">
      <c r="F15" s="38">
        <v>312</v>
      </c>
      <c r="G15" s="37" t="s">
        <v>282</v>
      </c>
      <c r="H15" s="39">
        <f>'6D GTW'!Z50</f>
        <v>2581.4882352941181</v>
      </c>
      <c r="I15" s="40">
        <f>'6D GTW'!AE50</f>
        <v>0.15645557851945865</v>
      </c>
    </row>
    <row r="16" spans="2:11" x14ac:dyDescent="0.25">
      <c r="F16" s="38">
        <v>313</v>
      </c>
      <c r="G16" s="37" t="s">
        <v>283</v>
      </c>
      <c r="H16" s="39">
        <f>'7D GTW'!Z51</f>
        <v>3339.588235294118</v>
      </c>
      <c r="I16" s="40">
        <f>'7D GTW'!AE51</f>
        <v>0.15678227326369926</v>
      </c>
    </row>
    <row r="17" spans="6:9" x14ac:dyDescent="0.25">
      <c r="F17" s="38">
        <v>314</v>
      </c>
      <c r="G17" s="37" t="s">
        <v>284</v>
      </c>
      <c r="H17" s="39">
        <f>'8D GTW'!Z58</f>
        <v>4213.588235294118</v>
      </c>
      <c r="I17" s="40">
        <f>'8D GTW'!AE58</f>
        <v>0.15701302508690368</v>
      </c>
    </row>
    <row r="18" spans="6:9" x14ac:dyDescent="0.25">
      <c r="F18" s="38">
        <v>315</v>
      </c>
      <c r="G18" s="37" t="s">
        <v>285</v>
      </c>
      <c r="H18" s="39">
        <f>'10D GTW'!Z62</f>
        <v>4878.5882352941171</v>
      </c>
      <c r="I18" s="40">
        <f>'10D GTW'!AE62</f>
        <v>0.15713321115076684</v>
      </c>
    </row>
    <row r="19" spans="6:9" x14ac:dyDescent="0.25">
      <c r="F19" s="38">
        <v>316</v>
      </c>
      <c r="G19" s="37" t="s">
        <v>286</v>
      </c>
      <c r="H19" s="39">
        <f>'5D RS'!Z45</f>
        <v>2130.4705882352941</v>
      </c>
      <c r="I19" s="40">
        <f>'5D RS'!AE45</f>
        <v>0.18712794742945496</v>
      </c>
    </row>
    <row r="20" spans="6:9" x14ac:dyDescent="0.25">
      <c r="F20" s="38">
        <v>317</v>
      </c>
      <c r="G20" s="37" t="s">
        <v>287</v>
      </c>
      <c r="H20" s="39">
        <f>'6D RS'!Z48</f>
        <v>2461.7647058823532</v>
      </c>
      <c r="I20" s="40">
        <f>'6D RS'!AE48</f>
        <v>0.18448745519713264</v>
      </c>
    </row>
    <row r="21" spans="6:9" x14ac:dyDescent="0.25">
      <c r="F21" s="38">
        <v>318</v>
      </c>
      <c r="G21" s="37" t="s">
        <v>288</v>
      </c>
      <c r="H21" s="39">
        <f>'7D RS'!Z53</f>
        <v>2937.0588235294117</v>
      </c>
      <c r="I21" s="40">
        <f>'7D RS'!AE53</f>
        <v>0.18707790907270172</v>
      </c>
    </row>
    <row r="22" spans="6:9" x14ac:dyDescent="0.25">
      <c r="F22" s="38">
        <v>319</v>
      </c>
      <c r="G22" s="37" t="s">
        <v>289</v>
      </c>
      <c r="H22" s="39">
        <f>'8D RS'!Z53</f>
        <v>3376.3529411764707</v>
      </c>
      <c r="I22" s="40">
        <f>'8D RS'!AE53</f>
        <v>0.18829575943412669</v>
      </c>
    </row>
    <row r="23" spans="6:9" x14ac:dyDescent="0.25">
      <c r="F23" s="38">
        <v>320</v>
      </c>
      <c r="G23" s="37" t="s">
        <v>290</v>
      </c>
      <c r="H23" s="39">
        <f>'5D RW'!Z44</f>
        <v>1797.5294117647059</v>
      </c>
      <c r="I23" s="40">
        <f>'5D RW'!AE44</f>
        <v>0.19511748151057004</v>
      </c>
    </row>
    <row r="24" spans="6:9" x14ac:dyDescent="0.25">
      <c r="F24" s="38">
        <v>321</v>
      </c>
      <c r="G24" s="37" t="s">
        <v>291</v>
      </c>
      <c r="H24" s="39">
        <f>'6D RW'!Z52</f>
        <v>2108.8235294117649</v>
      </c>
      <c r="I24" s="40">
        <f>'6D RW'!AE52</f>
        <v>0.19025941422594136</v>
      </c>
    </row>
    <row r="25" spans="6:9" x14ac:dyDescent="0.25">
      <c r="F25" s="38">
        <v>322</v>
      </c>
      <c r="G25" s="37" t="s">
        <v>292</v>
      </c>
      <c r="H25" s="39">
        <f>'7D RW'!Z55</f>
        <v>2584.1176470588234</v>
      </c>
      <c r="I25" s="40">
        <f>'7D RW'!AE55</f>
        <v>0.19214204416116551</v>
      </c>
    </row>
    <row r="26" spans="6:9" x14ac:dyDescent="0.25">
      <c r="F26" s="38">
        <v>323</v>
      </c>
      <c r="G26" s="37" t="s">
        <v>293</v>
      </c>
      <c r="H26" s="39">
        <f>'8D RW'!Z52</f>
        <v>3023.4117647058824</v>
      </c>
      <c r="I26" s="40">
        <f>'8D RW'!AE52</f>
        <v>0.19276625549632281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1:AK74"/>
  <sheetViews>
    <sheetView zoomScale="80" zoomScaleNormal="80" workbookViewId="0">
      <selection activeCell="J10" sqref="J1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52</v>
      </c>
    </row>
    <row r="2" spans="2:36" x14ac:dyDescent="0.25">
      <c r="B2" s="2" t="s">
        <v>102</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8" si="0">+Q7*R7</f>
        <v>0</v>
      </c>
      <c r="T7" s="5">
        <v>0</v>
      </c>
      <c r="U7" s="12">
        <f>S7*(1-T7)</f>
        <v>0</v>
      </c>
      <c r="V7" s="25" t="s">
        <v>10</v>
      </c>
      <c r="W7" s="11">
        <f>IFERROR(VLOOKUP(V7,Curr!$B$2:$C$13,2,FALSE),0)</f>
        <v>11</v>
      </c>
      <c r="X7" s="12">
        <f t="shared" ref="X7:X8" si="1">U7*W7</f>
        <v>0</v>
      </c>
      <c r="Y7" s="26">
        <f>Q7</f>
        <v>0</v>
      </c>
      <c r="Z7" s="12">
        <f t="shared" ref="Z7" si="2">+Y7*R7</f>
        <v>0</v>
      </c>
      <c r="AA7" s="4" t="s">
        <v>10</v>
      </c>
      <c r="AB7" s="11">
        <f>IFERROR(VLOOKUP(AA7,Curr!$B$2:$C$13,2,FALSE),0)</f>
        <v>11</v>
      </c>
      <c r="AC7" s="12">
        <f t="shared" ref="AC7" si="3">+Y7*AB7*R7</f>
        <v>0</v>
      </c>
      <c r="AD7" s="12">
        <f t="shared" ref="AD7" si="4">+AC7-X7</f>
        <v>0</v>
      </c>
      <c r="AE7" s="13">
        <f t="shared" ref="AE7" si="5">IFERROR(AD7/AC7,0)</f>
        <v>0</v>
      </c>
    </row>
    <row r="8" spans="2:36" x14ac:dyDescent="0.25">
      <c r="B8" s="4"/>
      <c r="C8" s="1" t="s">
        <v>55</v>
      </c>
      <c r="D8" s="1" t="s">
        <v>57</v>
      </c>
      <c r="E8" s="3"/>
      <c r="F8" s="3"/>
      <c r="G8" s="24"/>
      <c r="H8" s="24"/>
      <c r="J8" s="1" t="s">
        <v>246</v>
      </c>
      <c r="K8" s="4"/>
      <c r="L8" s="4"/>
      <c r="M8" s="4"/>
      <c r="N8" s="4"/>
      <c r="O8" s="4"/>
      <c r="P8" s="33" t="s">
        <v>238</v>
      </c>
      <c r="Q8" s="25">
        <v>300</v>
      </c>
      <c r="R8" s="25">
        <v>1</v>
      </c>
      <c r="S8" s="12">
        <f t="shared" si="0"/>
        <v>300</v>
      </c>
      <c r="T8" s="5">
        <v>0</v>
      </c>
      <c r="U8" s="12">
        <f t="shared" ref="U8" si="6">S8*(1-T8)</f>
        <v>300</v>
      </c>
      <c r="V8" s="25" t="s">
        <v>10</v>
      </c>
      <c r="W8" s="11">
        <f>IFERROR(VLOOKUP(V8,Curr!$B$2:$C$13,2,FALSE),0)</f>
        <v>11</v>
      </c>
      <c r="X8" s="12">
        <f t="shared" si="1"/>
        <v>3300</v>
      </c>
      <c r="Y8" s="26">
        <f>Q8/0.8</f>
        <v>375</v>
      </c>
      <c r="Z8" s="12">
        <f t="shared" ref="Z8:Z11" si="7">+Y8*R8</f>
        <v>375</v>
      </c>
      <c r="AA8" s="4" t="s">
        <v>10</v>
      </c>
      <c r="AB8" s="11">
        <f>IFERROR(VLOOKUP(AA8,Curr!$B$2:$C$13,2,FALSE),0)</f>
        <v>11</v>
      </c>
      <c r="AC8" s="12">
        <f t="shared" ref="AC8:AC11" si="8">+Y8*AB8*R8</f>
        <v>4125</v>
      </c>
      <c r="AD8" s="12">
        <f t="shared" ref="AD8:AD11" si="9">+AC8-X8</f>
        <v>825</v>
      </c>
      <c r="AE8" s="13">
        <f t="shared" ref="AE8:AE11" si="10">IFERROR(AD8/AC8,0)</f>
        <v>0.2</v>
      </c>
    </row>
    <row r="9" spans="2:36" x14ac:dyDescent="0.25">
      <c r="B9" s="4"/>
      <c r="C9" s="1" t="s">
        <v>55</v>
      </c>
      <c r="D9" s="1" t="s">
        <v>58</v>
      </c>
      <c r="E9" s="3"/>
      <c r="F9" s="3"/>
      <c r="G9" s="24"/>
      <c r="H9" s="24"/>
      <c r="J9" s="1" t="s">
        <v>61</v>
      </c>
      <c r="K9" s="4"/>
      <c r="L9" s="4"/>
      <c r="M9" s="4"/>
      <c r="N9" s="4"/>
      <c r="O9" s="4"/>
      <c r="P9" s="33"/>
      <c r="Q9" s="25">
        <v>0</v>
      </c>
      <c r="R9" s="25">
        <v>0</v>
      </c>
      <c r="S9" s="12">
        <f t="shared" ref="S9:S11" si="11">+Q9*R9</f>
        <v>0</v>
      </c>
      <c r="T9" s="5">
        <v>0</v>
      </c>
      <c r="U9" s="12">
        <f t="shared" ref="U9:U11" si="12">S9*(1-T9)</f>
        <v>0</v>
      </c>
      <c r="V9" s="25" t="s">
        <v>10</v>
      </c>
      <c r="W9" s="11">
        <f>IFERROR(VLOOKUP(V9,Curr!$B$2:$C$13,2,FALSE),0)</f>
        <v>11</v>
      </c>
      <c r="X9" s="12">
        <f t="shared" ref="X9:X11" si="13">U9*W9</f>
        <v>0</v>
      </c>
      <c r="Y9" s="26">
        <f t="shared" ref="Y9:Y11" si="14">Q9</f>
        <v>0</v>
      </c>
      <c r="Z9" s="12">
        <f t="shared" si="7"/>
        <v>0</v>
      </c>
      <c r="AA9" s="4" t="s">
        <v>10</v>
      </c>
      <c r="AB9" s="11">
        <f>IFERROR(VLOOKUP(AA9,Curr!$B$2:$C$13,2,FALSE),0)</f>
        <v>11</v>
      </c>
      <c r="AC9" s="12">
        <f t="shared" si="8"/>
        <v>0</v>
      </c>
      <c r="AD9" s="12">
        <f t="shared" si="9"/>
        <v>0</v>
      </c>
      <c r="AE9" s="13">
        <f t="shared" si="10"/>
        <v>0</v>
      </c>
    </row>
    <row r="10" spans="2:36" x14ac:dyDescent="0.25">
      <c r="B10" s="4"/>
      <c r="C10" s="1" t="s">
        <v>55</v>
      </c>
      <c r="D10" s="1" t="s">
        <v>59</v>
      </c>
      <c r="E10" s="3"/>
      <c r="F10" s="3"/>
      <c r="G10" s="24"/>
      <c r="H10" s="24"/>
      <c r="J10" s="1" t="s">
        <v>64</v>
      </c>
      <c r="K10" s="4"/>
      <c r="L10" s="4"/>
      <c r="M10" s="4"/>
      <c r="N10" s="4"/>
      <c r="O10" s="4"/>
      <c r="P10" s="33" t="s">
        <v>237</v>
      </c>
      <c r="Q10" s="25">
        <v>200</v>
      </c>
      <c r="R10" s="25">
        <v>1</v>
      </c>
      <c r="S10" s="12">
        <f t="shared" si="11"/>
        <v>200</v>
      </c>
      <c r="T10" s="5">
        <v>0</v>
      </c>
      <c r="U10" s="12">
        <f t="shared" si="12"/>
        <v>200</v>
      </c>
      <c r="V10" s="25" t="s">
        <v>10</v>
      </c>
      <c r="W10" s="11">
        <f>IFERROR(VLOOKUP(V10,Curr!$B$2:$C$13,2,FALSE),0)</f>
        <v>11</v>
      </c>
      <c r="X10" s="12">
        <f t="shared" si="13"/>
        <v>2200</v>
      </c>
      <c r="Y10" s="26">
        <f>Q10/0.8</f>
        <v>250</v>
      </c>
      <c r="Z10" s="12">
        <f t="shared" si="7"/>
        <v>250</v>
      </c>
      <c r="AA10" s="4" t="s">
        <v>10</v>
      </c>
      <c r="AB10" s="11">
        <f>IFERROR(VLOOKUP(AA10,Curr!$B$2:$C$13,2,FALSE),0)</f>
        <v>11</v>
      </c>
      <c r="AC10" s="12">
        <f t="shared" si="8"/>
        <v>2750</v>
      </c>
      <c r="AD10" s="12">
        <f t="shared" si="9"/>
        <v>550</v>
      </c>
      <c r="AE10" s="13">
        <f t="shared" si="10"/>
        <v>0.2</v>
      </c>
    </row>
    <row r="11" spans="2:36" x14ac:dyDescent="0.25">
      <c r="B11" s="4"/>
      <c r="C11" s="1" t="s">
        <v>55</v>
      </c>
      <c r="D11" s="1" t="s">
        <v>60</v>
      </c>
      <c r="E11" s="3"/>
      <c r="F11" s="3"/>
      <c r="G11" s="24"/>
      <c r="H11" s="24"/>
      <c r="J11" s="1" t="s">
        <v>63</v>
      </c>
      <c r="K11" s="4"/>
      <c r="L11" s="4"/>
      <c r="M11" s="4"/>
      <c r="N11" s="4"/>
      <c r="O11" s="4"/>
      <c r="P11" s="27"/>
      <c r="Q11" s="25">
        <v>0</v>
      </c>
      <c r="R11" s="25">
        <v>0</v>
      </c>
      <c r="S11" s="12">
        <f t="shared" si="11"/>
        <v>0</v>
      </c>
      <c r="T11" s="5">
        <v>0</v>
      </c>
      <c r="U11" s="12">
        <f t="shared" si="12"/>
        <v>0</v>
      </c>
      <c r="V11" s="25" t="s">
        <v>10</v>
      </c>
      <c r="W11" s="11">
        <f>IFERROR(VLOOKUP(V11,Curr!$B$2:$C$13,2,FALSE),0)</f>
        <v>11</v>
      </c>
      <c r="X11" s="12">
        <f t="shared" si="13"/>
        <v>0</v>
      </c>
      <c r="Y11" s="26">
        <f t="shared" si="14"/>
        <v>0</v>
      </c>
      <c r="Z11" s="12">
        <f t="shared" si="7"/>
        <v>0</v>
      </c>
      <c r="AA11" s="4" t="s">
        <v>10</v>
      </c>
      <c r="AB11" s="11">
        <f>IFERROR(VLOOKUP(AA11,Curr!$B$2:$C$13,2,FALSE),0)</f>
        <v>11</v>
      </c>
      <c r="AC11" s="12">
        <f t="shared" si="8"/>
        <v>0</v>
      </c>
      <c r="AD11" s="12">
        <f t="shared" si="9"/>
        <v>0</v>
      </c>
      <c r="AE11" s="13">
        <f t="shared" si="10"/>
        <v>0</v>
      </c>
    </row>
    <row r="12" spans="2:36" x14ac:dyDescent="0.25">
      <c r="B12" s="4"/>
      <c r="E12" s="3"/>
      <c r="F12" s="3"/>
      <c r="G12" s="24"/>
      <c r="H12" s="24"/>
      <c r="K12" s="4"/>
      <c r="L12" s="4"/>
      <c r="M12" s="4"/>
      <c r="N12" s="4"/>
      <c r="O12" s="4"/>
      <c r="P12" s="33"/>
      <c r="Q12" s="25"/>
      <c r="R12" s="25"/>
      <c r="S12" s="12">
        <f t="shared" ref="S12:S49" si="15">+Q12*R12</f>
        <v>0</v>
      </c>
      <c r="T12" s="5">
        <v>0</v>
      </c>
      <c r="U12" s="12">
        <f t="shared" ref="U12:U49" si="16">S12*(1-T12)</f>
        <v>0</v>
      </c>
      <c r="V12" s="25" t="s">
        <v>10</v>
      </c>
      <c r="W12" s="11">
        <f>IFERROR(VLOOKUP(V12,Curr!$B$2:$C$13,2,FALSE),0)</f>
        <v>11</v>
      </c>
      <c r="X12" s="12">
        <f t="shared" ref="X12:X49" si="17">U12*W12</f>
        <v>0</v>
      </c>
      <c r="Y12" s="26">
        <f t="shared" ref="Y12:Y49" si="18">Q12</f>
        <v>0</v>
      </c>
      <c r="Z12" s="12">
        <f t="shared" ref="Z12:Z49" si="19">+Y12*R12</f>
        <v>0</v>
      </c>
      <c r="AA12" s="4" t="s">
        <v>10</v>
      </c>
      <c r="AB12" s="11">
        <f>IFERROR(VLOOKUP(AA12,Curr!$B$2:$C$13,2,FALSE),0)</f>
        <v>11</v>
      </c>
      <c r="AC12" s="12">
        <f t="shared" ref="AC12:AC49" si="20">+Y12*AB12*R12</f>
        <v>0</v>
      </c>
      <c r="AD12" s="12">
        <f t="shared" ref="AD12:AD49" si="21">+AC12-X12</f>
        <v>0</v>
      </c>
      <c r="AE12" s="13">
        <f t="shared" ref="AE12:AE49" si="22">IFERROR(AD12/AC12,0)</f>
        <v>0</v>
      </c>
    </row>
    <row r="13" spans="2:36" x14ac:dyDescent="0.25">
      <c r="B13" s="4"/>
      <c r="C13" s="1" t="s">
        <v>65</v>
      </c>
      <c r="D13" s="1" t="s">
        <v>58</v>
      </c>
      <c r="E13" s="3"/>
      <c r="F13" s="3"/>
      <c r="G13" s="24"/>
      <c r="H13" s="24"/>
      <c r="J13" s="1" t="s">
        <v>68</v>
      </c>
      <c r="K13" s="4"/>
      <c r="L13" s="4"/>
      <c r="M13" s="4"/>
      <c r="N13" s="4"/>
      <c r="O13" s="4"/>
      <c r="P13" s="27"/>
      <c r="Q13" s="25">
        <v>0</v>
      </c>
      <c r="R13" s="25">
        <v>0</v>
      </c>
      <c r="S13" s="12">
        <f t="shared" si="15"/>
        <v>0</v>
      </c>
      <c r="T13" s="5">
        <v>0</v>
      </c>
      <c r="U13" s="12">
        <f t="shared" si="16"/>
        <v>0</v>
      </c>
      <c r="V13" s="25" t="s">
        <v>10</v>
      </c>
      <c r="W13" s="11">
        <f>IFERROR(VLOOKUP(V13,Curr!$B$2:$C$13,2,FALSE),0)</f>
        <v>11</v>
      </c>
      <c r="X13" s="12">
        <f t="shared" si="17"/>
        <v>0</v>
      </c>
      <c r="Y13" s="26">
        <f t="shared" si="18"/>
        <v>0</v>
      </c>
      <c r="Z13" s="12">
        <f t="shared" si="19"/>
        <v>0</v>
      </c>
      <c r="AA13" s="4" t="s">
        <v>10</v>
      </c>
      <c r="AB13" s="11">
        <f>IFERROR(VLOOKUP(AA13,Curr!$B$2:$C$13,2,FALSE),0)</f>
        <v>11</v>
      </c>
      <c r="AC13" s="12">
        <f t="shared" si="20"/>
        <v>0</v>
      </c>
      <c r="AD13" s="12">
        <f t="shared" si="21"/>
        <v>0</v>
      </c>
      <c r="AE13" s="13">
        <f t="shared" si="22"/>
        <v>0</v>
      </c>
    </row>
    <row r="14" spans="2:36" x14ac:dyDescent="0.25">
      <c r="B14" s="4"/>
      <c r="C14" s="1" t="s">
        <v>65</v>
      </c>
      <c r="D14" s="1" t="s">
        <v>59</v>
      </c>
      <c r="E14" s="3"/>
      <c r="F14" s="3"/>
      <c r="G14" s="24"/>
      <c r="H14" s="24"/>
      <c r="J14" s="1" t="s">
        <v>69</v>
      </c>
      <c r="K14" s="4"/>
      <c r="L14" s="4"/>
      <c r="M14" s="4"/>
      <c r="N14" s="4"/>
      <c r="O14" s="4"/>
      <c r="P14" s="33"/>
      <c r="Q14" s="25">
        <v>250</v>
      </c>
      <c r="R14" s="25">
        <v>1</v>
      </c>
      <c r="S14" s="12">
        <f t="shared" si="15"/>
        <v>250</v>
      </c>
      <c r="T14" s="5">
        <v>0</v>
      </c>
      <c r="U14" s="12">
        <f t="shared" si="16"/>
        <v>250</v>
      </c>
      <c r="V14" s="25" t="s">
        <v>10</v>
      </c>
      <c r="W14" s="11">
        <f>IFERROR(VLOOKUP(V14,Curr!$B$2:$C$13,2,FALSE),0)</f>
        <v>11</v>
      </c>
      <c r="X14" s="12">
        <f t="shared" si="17"/>
        <v>2750</v>
      </c>
      <c r="Y14" s="26">
        <f>Q14/0.8</f>
        <v>312.5</v>
      </c>
      <c r="Z14" s="12">
        <f t="shared" si="19"/>
        <v>312.5</v>
      </c>
      <c r="AA14" s="4" t="s">
        <v>10</v>
      </c>
      <c r="AB14" s="11">
        <f>IFERROR(VLOOKUP(AA14,Curr!$B$2:$C$13,2,FALSE),0)</f>
        <v>11</v>
      </c>
      <c r="AC14" s="12">
        <f t="shared" si="20"/>
        <v>3437.5</v>
      </c>
      <c r="AD14" s="12">
        <f t="shared" si="21"/>
        <v>687.5</v>
      </c>
      <c r="AE14" s="13">
        <f t="shared" si="22"/>
        <v>0.2</v>
      </c>
    </row>
    <row r="15" spans="2:36" x14ac:dyDescent="0.25">
      <c r="B15" s="4"/>
      <c r="C15" s="1" t="s">
        <v>65</v>
      </c>
      <c r="D15" s="1" t="s">
        <v>60</v>
      </c>
      <c r="E15" s="3"/>
      <c r="F15" s="3"/>
      <c r="G15" s="24"/>
      <c r="H15" s="24"/>
      <c r="J15" s="1" t="s">
        <v>70</v>
      </c>
      <c r="K15" s="4"/>
      <c r="L15" s="4"/>
      <c r="M15" s="4"/>
      <c r="N15" s="4"/>
      <c r="O15" s="4"/>
      <c r="P15" s="27"/>
      <c r="Q15" s="25">
        <v>0</v>
      </c>
      <c r="R15" s="25">
        <v>0</v>
      </c>
      <c r="S15" s="12">
        <f t="shared" si="15"/>
        <v>0</v>
      </c>
      <c r="T15" s="5">
        <v>0</v>
      </c>
      <c r="U15" s="12">
        <f t="shared" si="16"/>
        <v>0</v>
      </c>
      <c r="V15" s="25" t="s">
        <v>10</v>
      </c>
      <c r="W15" s="11">
        <f>IFERROR(VLOOKUP(V15,Curr!$B$2:$C$13,2,FALSE),0)</f>
        <v>11</v>
      </c>
      <c r="X15" s="12">
        <f t="shared" si="17"/>
        <v>0</v>
      </c>
      <c r="Y15" s="26">
        <f t="shared" si="18"/>
        <v>0</v>
      </c>
      <c r="Z15" s="12">
        <f t="shared" si="19"/>
        <v>0</v>
      </c>
      <c r="AA15" s="4" t="s">
        <v>10</v>
      </c>
      <c r="AB15" s="11">
        <f>IFERROR(VLOOKUP(AA15,Curr!$B$2:$C$13,2,FALSE),0)</f>
        <v>11</v>
      </c>
      <c r="AC15" s="12">
        <f t="shared" si="20"/>
        <v>0</v>
      </c>
      <c r="AD15" s="12">
        <f t="shared" si="21"/>
        <v>0</v>
      </c>
      <c r="AE15" s="13">
        <f t="shared" si="22"/>
        <v>0</v>
      </c>
    </row>
    <row r="16" spans="2:36" x14ac:dyDescent="0.25">
      <c r="B16" s="4"/>
      <c r="E16" s="3"/>
      <c r="F16" s="3"/>
      <c r="G16" s="24"/>
      <c r="H16" s="24"/>
      <c r="K16" s="4"/>
      <c r="L16" s="4"/>
      <c r="M16" s="4"/>
      <c r="N16" s="4"/>
      <c r="O16" s="4"/>
      <c r="P16" s="33"/>
      <c r="Q16" s="25"/>
      <c r="R16" s="25"/>
      <c r="S16" s="12">
        <f t="shared" si="15"/>
        <v>0</v>
      </c>
      <c r="T16" s="5">
        <v>0</v>
      </c>
      <c r="U16" s="12">
        <f t="shared" si="16"/>
        <v>0</v>
      </c>
      <c r="V16" s="25" t="s">
        <v>10</v>
      </c>
      <c r="W16" s="11">
        <f>IFERROR(VLOOKUP(V16,Curr!$B$2:$C$13,2,FALSE),0)</f>
        <v>11</v>
      </c>
      <c r="X16" s="12">
        <f t="shared" si="17"/>
        <v>0</v>
      </c>
      <c r="Y16" s="26">
        <f t="shared" si="18"/>
        <v>0</v>
      </c>
      <c r="Z16" s="12">
        <f t="shared" si="19"/>
        <v>0</v>
      </c>
      <c r="AA16" s="4" t="s">
        <v>10</v>
      </c>
      <c r="AB16" s="11">
        <f>IFERROR(VLOOKUP(AA16,Curr!$B$2:$C$13,2,FALSE),0)</f>
        <v>11</v>
      </c>
      <c r="AC16" s="12">
        <f t="shared" si="20"/>
        <v>0</v>
      </c>
      <c r="AD16" s="12">
        <f t="shared" si="21"/>
        <v>0</v>
      </c>
      <c r="AE16" s="13">
        <f t="shared" si="22"/>
        <v>0</v>
      </c>
    </row>
    <row r="17" spans="2:31" x14ac:dyDescent="0.25">
      <c r="B17" s="4"/>
      <c r="C17" s="1" t="s">
        <v>66</v>
      </c>
      <c r="D17" s="1" t="s">
        <v>58</v>
      </c>
      <c r="E17" s="3"/>
      <c r="F17" s="3"/>
      <c r="G17" s="24"/>
      <c r="H17" s="24"/>
      <c r="J17" s="1" t="s">
        <v>71</v>
      </c>
      <c r="K17" s="4"/>
      <c r="L17" s="4"/>
      <c r="M17" s="4"/>
      <c r="N17" s="4"/>
      <c r="O17" s="4"/>
      <c r="P17" s="29"/>
      <c r="Q17" s="25">
        <v>0</v>
      </c>
      <c r="R17" s="25">
        <v>0</v>
      </c>
      <c r="S17" s="12">
        <f t="shared" si="15"/>
        <v>0</v>
      </c>
      <c r="T17" s="5">
        <v>0</v>
      </c>
      <c r="U17" s="12">
        <f t="shared" si="16"/>
        <v>0</v>
      </c>
      <c r="V17" s="25" t="s">
        <v>10</v>
      </c>
      <c r="W17" s="11">
        <f>IFERROR(VLOOKUP(V17,Curr!$B$2:$C$13,2,FALSE),0)</f>
        <v>11</v>
      </c>
      <c r="X17" s="12">
        <f t="shared" si="17"/>
        <v>0</v>
      </c>
      <c r="Y17" s="26">
        <f t="shared" si="18"/>
        <v>0</v>
      </c>
      <c r="Z17" s="12">
        <f t="shared" si="19"/>
        <v>0</v>
      </c>
      <c r="AA17" s="4" t="s">
        <v>10</v>
      </c>
      <c r="AB17" s="11">
        <f>IFERROR(VLOOKUP(AA17,Curr!$B$2:$C$13,2,FALSE),0)</f>
        <v>11</v>
      </c>
      <c r="AC17" s="12">
        <f t="shared" si="20"/>
        <v>0</v>
      </c>
      <c r="AD17" s="12">
        <f t="shared" si="21"/>
        <v>0</v>
      </c>
      <c r="AE17" s="13">
        <f t="shared" si="22"/>
        <v>0</v>
      </c>
    </row>
    <row r="18" spans="2:31" x14ac:dyDescent="0.25">
      <c r="B18" s="4"/>
      <c r="C18" s="1" t="s">
        <v>66</v>
      </c>
      <c r="D18" s="1" t="s">
        <v>59</v>
      </c>
      <c r="E18" s="3"/>
      <c r="F18" s="3"/>
      <c r="G18" s="24"/>
      <c r="H18" s="24"/>
      <c r="J18" s="1" t="s">
        <v>72</v>
      </c>
      <c r="K18" s="4"/>
      <c r="L18" s="4"/>
      <c r="M18" s="4"/>
      <c r="N18" s="4"/>
      <c r="O18" s="4"/>
      <c r="P18" s="27"/>
      <c r="Q18" s="25">
        <v>200</v>
      </c>
      <c r="R18" s="25">
        <v>1</v>
      </c>
      <c r="S18" s="12">
        <f t="shared" si="15"/>
        <v>200</v>
      </c>
      <c r="T18" s="5">
        <v>0</v>
      </c>
      <c r="U18" s="12">
        <f t="shared" si="16"/>
        <v>200</v>
      </c>
      <c r="V18" s="25" t="s">
        <v>10</v>
      </c>
      <c r="W18" s="11">
        <f>IFERROR(VLOOKUP(V18,Curr!$B$2:$C$13,2,FALSE),0)</f>
        <v>11</v>
      </c>
      <c r="X18" s="12">
        <f t="shared" si="17"/>
        <v>2200</v>
      </c>
      <c r="Y18" s="26">
        <f>Q18/0.8</f>
        <v>250</v>
      </c>
      <c r="Z18" s="12">
        <f t="shared" si="19"/>
        <v>250</v>
      </c>
      <c r="AA18" s="4" t="s">
        <v>10</v>
      </c>
      <c r="AB18" s="11">
        <f>IFERROR(VLOOKUP(AA18,Curr!$B$2:$C$13,2,FALSE),0)</f>
        <v>11</v>
      </c>
      <c r="AC18" s="12">
        <f t="shared" si="20"/>
        <v>2750</v>
      </c>
      <c r="AD18" s="12">
        <f t="shared" si="21"/>
        <v>550</v>
      </c>
      <c r="AE18" s="13">
        <f t="shared" si="22"/>
        <v>0.2</v>
      </c>
    </row>
    <row r="19" spans="2:31" x14ac:dyDescent="0.25">
      <c r="B19" s="4"/>
      <c r="C19" s="1" t="s">
        <v>66</v>
      </c>
      <c r="D19" s="1" t="s">
        <v>60</v>
      </c>
      <c r="E19" s="3"/>
      <c r="F19" s="3"/>
      <c r="G19" s="24"/>
      <c r="H19" s="24"/>
      <c r="J19" s="1" t="s">
        <v>73</v>
      </c>
      <c r="K19" s="4"/>
      <c r="L19" s="4"/>
      <c r="M19" s="4"/>
      <c r="N19" s="4"/>
      <c r="O19" s="4"/>
      <c r="P19" s="27"/>
      <c r="Q19" s="25">
        <v>0</v>
      </c>
      <c r="R19" s="25">
        <v>0</v>
      </c>
      <c r="S19" s="12">
        <f t="shared" si="15"/>
        <v>0</v>
      </c>
      <c r="T19" s="5">
        <v>0</v>
      </c>
      <c r="U19" s="12">
        <f t="shared" si="16"/>
        <v>0</v>
      </c>
      <c r="V19" s="25" t="s">
        <v>10</v>
      </c>
      <c r="W19" s="11">
        <f>IFERROR(VLOOKUP(V19,Curr!$B$2:$C$13,2,FALSE),0)</f>
        <v>11</v>
      </c>
      <c r="X19" s="12">
        <f t="shared" si="17"/>
        <v>0</v>
      </c>
      <c r="Y19" s="26">
        <f t="shared" si="18"/>
        <v>0</v>
      </c>
      <c r="Z19" s="12">
        <f t="shared" si="19"/>
        <v>0</v>
      </c>
      <c r="AA19" s="4" t="s">
        <v>10</v>
      </c>
      <c r="AB19" s="11">
        <f>IFERROR(VLOOKUP(AA19,Curr!$B$2:$C$13,2,FALSE),0)</f>
        <v>11</v>
      </c>
      <c r="AC19" s="12">
        <f t="shared" si="20"/>
        <v>0</v>
      </c>
      <c r="AD19" s="12">
        <f t="shared" si="21"/>
        <v>0</v>
      </c>
      <c r="AE19" s="13">
        <f t="shared" si="22"/>
        <v>0</v>
      </c>
    </row>
    <row r="20" spans="2:31" x14ac:dyDescent="0.25">
      <c r="B20" s="4"/>
      <c r="E20" s="3"/>
      <c r="F20" s="3"/>
      <c r="G20" s="24"/>
      <c r="H20" s="24"/>
      <c r="K20" s="4"/>
      <c r="L20" s="4"/>
      <c r="M20" s="4"/>
      <c r="N20" s="4"/>
      <c r="O20" s="4"/>
      <c r="P20" s="27"/>
      <c r="Q20" s="25"/>
      <c r="R20" s="25"/>
      <c r="S20" s="12">
        <f t="shared" si="15"/>
        <v>0</v>
      </c>
      <c r="T20" s="5">
        <v>0</v>
      </c>
      <c r="U20" s="12">
        <f t="shared" si="16"/>
        <v>0</v>
      </c>
      <c r="V20" s="25" t="s">
        <v>10</v>
      </c>
      <c r="W20" s="11">
        <f>IFERROR(VLOOKUP(V20,Curr!$B$2:$C$13,2,FALSE),0)</f>
        <v>11</v>
      </c>
      <c r="X20" s="12">
        <f t="shared" si="17"/>
        <v>0</v>
      </c>
      <c r="Y20" s="26">
        <f t="shared" si="18"/>
        <v>0</v>
      </c>
      <c r="Z20" s="12">
        <f t="shared" si="19"/>
        <v>0</v>
      </c>
      <c r="AA20" s="4" t="s">
        <v>10</v>
      </c>
      <c r="AB20" s="11">
        <f>IFERROR(VLOOKUP(AA20,Curr!$B$2:$C$13,2,FALSE),0)</f>
        <v>11</v>
      </c>
      <c r="AC20" s="12">
        <f t="shared" si="20"/>
        <v>0</v>
      </c>
      <c r="AD20" s="12">
        <f t="shared" si="21"/>
        <v>0</v>
      </c>
      <c r="AE20" s="13">
        <f t="shared" si="22"/>
        <v>0</v>
      </c>
    </row>
    <row r="21" spans="2:31" x14ac:dyDescent="0.25">
      <c r="B21" s="4"/>
      <c r="C21" s="1" t="s">
        <v>67</v>
      </c>
      <c r="D21" s="1" t="s">
        <v>58</v>
      </c>
      <c r="E21" s="3"/>
      <c r="F21" s="3"/>
      <c r="G21" s="24"/>
      <c r="H21" s="24"/>
      <c r="J21" s="1" t="s">
        <v>74</v>
      </c>
      <c r="K21" s="4"/>
      <c r="L21" s="4"/>
      <c r="M21" s="4"/>
      <c r="N21" s="4"/>
      <c r="O21" s="4"/>
      <c r="P21" s="33"/>
      <c r="Q21" s="25">
        <v>0</v>
      </c>
      <c r="R21" s="25">
        <v>0</v>
      </c>
      <c r="S21" s="12">
        <f t="shared" si="15"/>
        <v>0</v>
      </c>
      <c r="T21" s="5">
        <v>0</v>
      </c>
      <c r="U21" s="12">
        <f t="shared" si="16"/>
        <v>0</v>
      </c>
      <c r="V21" s="25" t="s">
        <v>10</v>
      </c>
      <c r="W21" s="11">
        <f>IFERROR(VLOOKUP(V21,Curr!$B$2:$C$13,2,FALSE),0)</f>
        <v>11</v>
      </c>
      <c r="X21" s="12">
        <f t="shared" si="17"/>
        <v>0</v>
      </c>
      <c r="Y21" s="26">
        <f t="shared" si="18"/>
        <v>0</v>
      </c>
      <c r="Z21" s="12">
        <f t="shared" si="19"/>
        <v>0</v>
      </c>
      <c r="AA21" s="4" t="s">
        <v>10</v>
      </c>
      <c r="AB21" s="11">
        <f>IFERROR(VLOOKUP(AA21,Curr!$B$2:$C$13,2,FALSE),0)</f>
        <v>11</v>
      </c>
      <c r="AC21" s="12">
        <f t="shared" si="20"/>
        <v>0</v>
      </c>
      <c r="AD21" s="12">
        <f t="shared" si="21"/>
        <v>0</v>
      </c>
      <c r="AE21" s="13">
        <f t="shared" si="22"/>
        <v>0</v>
      </c>
    </row>
    <row r="22" spans="2:31" x14ac:dyDescent="0.25">
      <c r="B22" s="4"/>
      <c r="C22" s="1" t="s">
        <v>67</v>
      </c>
      <c r="D22" s="1" t="s">
        <v>59</v>
      </c>
      <c r="E22" s="3"/>
      <c r="F22" s="3"/>
      <c r="G22" s="24"/>
      <c r="H22" s="24"/>
      <c r="J22" s="1" t="s">
        <v>75</v>
      </c>
      <c r="K22" s="4"/>
      <c r="L22" s="4"/>
      <c r="M22" s="4"/>
      <c r="N22" s="4"/>
      <c r="O22" s="4"/>
      <c r="P22" s="33"/>
      <c r="Q22" s="25">
        <v>225</v>
      </c>
      <c r="R22" s="25">
        <v>1</v>
      </c>
      <c r="S22" s="12">
        <f t="shared" si="15"/>
        <v>225</v>
      </c>
      <c r="T22" s="5">
        <v>0</v>
      </c>
      <c r="U22" s="12">
        <f t="shared" si="16"/>
        <v>225</v>
      </c>
      <c r="V22" s="25" t="s">
        <v>10</v>
      </c>
      <c r="W22" s="11">
        <f>IFERROR(VLOOKUP(V22,Curr!$B$2:$C$13,2,FALSE),0)</f>
        <v>11</v>
      </c>
      <c r="X22" s="12">
        <f t="shared" si="17"/>
        <v>2475</v>
      </c>
      <c r="Y22" s="26">
        <f>Q22/0.8</f>
        <v>281.25</v>
      </c>
      <c r="Z22" s="12">
        <f t="shared" si="19"/>
        <v>281.25</v>
      </c>
      <c r="AA22" s="4" t="s">
        <v>10</v>
      </c>
      <c r="AB22" s="11">
        <f>IFERROR(VLOOKUP(AA22,Curr!$B$2:$C$13,2,FALSE),0)</f>
        <v>11</v>
      </c>
      <c r="AC22" s="12">
        <f t="shared" si="20"/>
        <v>3093.75</v>
      </c>
      <c r="AD22" s="12">
        <f t="shared" si="21"/>
        <v>618.75</v>
      </c>
      <c r="AE22" s="13">
        <f t="shared" si="22"/>
        <v>0.2</v>
      </c>
    </row>
    <row r="23" spans="2:31" x14ac:dyDescent="0.25">
      <c r="B23" s="4"/>
      <c r="C23" s="1" t="s">
        <v>67</v>
      </c>
      <c r="D23" s="1" t="s">
        <v>60</v>
      </c>
      <c r="E23" s="3"/>
      <c r="F23" s="3"/>
      <c r="G23" s="24"/>
      <c r="H23" s="24"/>
      <c r="J23" s="1" t="s">
        <v>76</v>
      </c>
      <c r="K23" s="4"/>
      <c r="L23" s="4"/>
      <c r="M23" s="4"/>
      <c r="N23" s="4"/>
      <c r="O23" s="4"/>
      <c r="P23" s="27"/>
      <c r="Q23" s="25">
        <v>0</v>
      </c>
      <c r="R23" s="25">
        <v>0</v>
      </c>
      <c r="S23" s="12">
        <f t="shared" si="15"/>
        <v>0</v>
      </c>
      <c r="T23" s="5">
        <v>0</v>
      </c>
      <c r="U23" s="12">
        <f t="shared" si="16"/>
        <v>0</v>
      </c>
      <c r="V23" s="25" t="s">
        <v>10</v>
      </c>
      <c r="W23" s="11">
        <f>IFERROR(VLOOKUP(V23,Curr!$B$2:$C$13,2,FALSE),0)</f>
        <v>11</v>
      </c>
      <c r="X23" s="12">
        <f t="shared" si="17"/>
        <v>0</v>
      </c>
      <c r="Y23" s="26">
        <f t="shared" si="18"/>
        <v>0</v>
      </c>
      <c r="Z23" s="12">
        <f t="shared" si="19"/>
        <v>0</v>
      </c>
      <c r="AA23" s="4" t="s">
        <v>10</v>
      </c>
      <c r="AB23" s="11">
        <f>IFERROR(VLOOKUP(AA23,Curr!$B$2:$C$13,2,FALSE),0)</f>
        <v>11</v>
      </c>
      <c r="AC23" s="12">
        <f t="shared" si="20"/>
        <v>0</v>
      </c>
      <c r="AD23" s="12">
        <f t="shared" si="21"/>
        <v>0</v>
      </c>
      <c r="AE23" s="13">
        <f t="shared" si="22"/>
        <v>0</v>
      </c>
    </row>
    <row r="24" spans="2:31" x14ac:dyDescent="0.25">
      <c r="B24" s="4"/>
      <c r="E24" s="3"/>
      <c r="F24" s="3"/>
      <c r="G24" s="24"/>
      <c r="H24" s="24"/>
      <c r="K24" s="4"/>
      <c r="L24" s="4"/>
      <c r="M24" s="4"/>
      <c r="N24" s="4"/>
      <c r="O24" s="4"/>
      <c r="P24" s="27"/>
      <c r="Q24" s="25"/>
      <c r="R24" s="25"/>
      <c r="S24" s="12">
        <f t="shared" si="15"/>
        <v>0</v>
      </c>
      <c r="T24" s="5">
        <v>0</v>
      </c>
      <c r="U24" s="12">
        <f t="shared" si="16"/>
        <v>0</v>
      </c>
      <c r="V24" s="25" t="s">
        <v>10</v>
      </c>
      <c r="W24" s="11">
        <f>IFERROR(VLOOKUP(V24,Curr!$B$2:$C$13,2,FALSE),0)</f>
        <v>11</v>
      </c>
      <c r="X24" s="12">
        <f t="shared" si="17"/>
        <v>0</v>
      </c>
      <c r="Y24" s="26">
        <f t="shared" si="18"/>
        <v>0</v>
      </c>
      <c r="Z24" s="12">
        <f t="shared" si="19"/>
        <v>0</v>
      </c>
      <c r="AA24" s="4" t="s">
        <v>10</v>
      </c>
      <c r="AB24" s="11">
        <f>IFERROR(VLOOKUP(AA24,Curr!$B$2:$C$13,2,FALSE),0)</f>
        <v>11</v>
      </c>
      <c r="AC24" s="12">
        <f t="shared" si="20"/>
        <v>0</v>
      </c>
      <c r="AD24" s="12">
        <f t="shared" si="21"/>
        <v>0</v>
      </c>
      <c r="AE24" s="13">
        <f t="shared" si="22"/>
        <v>0</v>
      </c>
    </row>
    <row r="25" spans="2:31" x14ac:dyDescent="0.25">
      <c r="B25" s="4"/>
      <c r="C25" s="1" t="s">
        <v>77</v>
      </c>
      <c r="D25" s="1" t="s">
        <v>58</v>
      </c>
      <c r="E25" s="3"/>
      <c r="F25" s="3"/>
      <c r="G25" s="24"/>
      <c r="H25" s="24"/>
      <c r="J25" s="1" t="s">
        <v>79</v>
      </c>
      <c r="K25" s="4"/>
      <c r="L25" s="4"/>
      <c r="M25" s="4"/>
      <c r="N25" s="4"/>
      <c r="O25" s="4"/>
      <c r="P25" s="27"/>
      <c r="Q25" s="25">
        <v>0</v>
      </c>
      <c r="R25" s="25">
        <v>0</v>
      </c>
      <c r="S25" s="12">
        <f t="shared" si="15"/>
        <v>0</v>
      </c>
      <c r="T25" s="5">
        <v>0</v>
      </c>
      <c r="U25" s="12">
        <f t="shared" si="16"/>
        <v>0</v>
      </c>
      <c r="V25" s="25" t="s">
        <v>10</v>
      </c>
      <c r="W25" s="11">
        <f>IFERROR(VLOOKUP(V25,Curr!$B$2:$C$13,2,FALSE),0)</f>
        <v>11</v>
      </c>
      <c r="X25" s="12">
        <f t="shared" si="17"/>
        <v>0</v>
      </c>
      <c r="Y25" s="26">
        <f t="shared" si="18"/>
        <v>0</v>
      </c>
      <c r="Z25" s="12">
        <f t="shared" si="19"/>
        <v>0</v>
      </c>
      <c r="AA25" s="4" t="s">
        <v>10</v>
      </c>
      <c r="AB25" s="11">
        <f>IFERROR(VLOOKUP(AA25,Curr!$B$2:$C$13,2,FALSE),0)</f>
        <v>11</v>
      </c>
      <c r="AC25" s="12">
        <f t="shared" si="20"/>
        <v>0</v>
      </c>
      <c r="AD25" s="12">
        <f t="shared" si="21"/>
        <v>0</v>
      </c>
      <c r="AE25" s="13">
        <f t="shared" si="22"/>
        <v>0</v>
      </c>
    </row>
    <row r="26" spans="2:31" x14ac:dyDescent="0.25">
      <c r="B26" s="4"/>
      <c r="C26" s="1" t="s">
        <v>77</v>
      </c>
      <c r="D26" s="1" t="s">
        <v>57</v>
      </c>
      <c r="E26" s="3"/>
      <c r="F26" s="3"/>
      <c r="G26" s="24"/>
      <c r="H26" s="24"/>
      <c r="J26" s="1" t="s">
        <v>80</v>
      </c>
      <c r="K26" s="4"/>
      <c r="L26" s="4"/>
      <c r="M26" s="4"/>
      <c r="N26" s="4"/>
      <c r="O26" s="4"/>
      <c r="P26" s="33"/>
      <c r="Q26" s="25">
        <v>0</v>
      </c>
      <c r="R26" s="25">
        <v>0</v>
      </c>
      <c r="S26" s="12">
        <f t="shared" si="15"/>
        <v>0</v>
      </c>
      <c r="T26" s="5">
        <v>0</v>
      </c>
      <c r="U26" s="12">
        <f t="shared" si="16"/>
        <v>0</v>
      </c>
      <c r="V26" s="25" t="s">
        <v>10</v>
      </c>
      <c r="W26" s="11">
        <f>IFERROR(VLOOKUP(V26,Curr!$B$2:$C$13,2,FALSE),0)</f>
        <v>11</v>
      </c>
      <c r="X26" s="12">
        <f t="shared" si="17"/>
        <v>0</v>
      </c>
      <c r="Y26" s="26">
        <f t="shared" si="18"/>
        <v>0</v>
      </c>
      <c r="Z26" s="12">
        <f t="shared" si="19"/>
        <v>0</v>
      </c>
      <c r="AA26" s="4" t="s">
        <v>10</v>
      </c>
      <c r="AB26" s="11">
        <f>IFERROR(VLOOKUP(AA26,Curr!$B$2:$C$13,2,FALSE),0)</f>
        <v>11</v>
      </c>
      <c r="AC26" s="12">
        <f t="shared" si="20"/>
        <v>0</v>
      </c>
      <c r="AD26" s="12">
        <f t="shared" si="21"/>
        <v>0</v>
      </c>
      <c r="AE26" s="13">
        <f t="shared" si="22"/>
        <v>0</v>
      </c>
    </row>
    <row r="27" spans="2:31" x14ac:dyDescent="0.25">
      <c r="B27" s="4"/>
      <c r="C27" s="1" t="s">
        <v>77</v>
      </c>
      <c r="D27" s="1" t="s">
        <v>78</v>
      </c>
      <c r="E27" s="3"/>
      <c r="F27" s="3"/>
      <c r="G27" s="24"/>
      <c r="H27" s="24"/>
      <c r="J27" s="1" t="s">
        <v>81</v>
      </c>
      <c r="K27" s="4"/>
      <c r="L27" s="4"/>
      <c r="M27" s="4"/>
      <c r="N27" s="4"/>
      <c r="O27" s="4"/>
      <c r="P27" s="27"/>
      <c r="Q27" s="25">
        <v>0</v>
      </c>
      <c r="R27" s="25">
        <v>0</v>
      </c>
      <c r="S27" s="12">
        <f t="shared" si="15"/>
        <v>0</v>
      </c>
      <c r="T27" s="5">
        <v>0</v>
      </c>
      <c r="U27" s="12">
        <f t="shared" si="16"/>
        <v>0</v>
      </c>
      <c r="V27" s="25" t="s">
        <v>10</v>
      </c>
      <c r="W27" s="11">
        <f>IFERROR(VLOOKUP(V27,Curr!$B$2:$C$13,2,FALSE),0)</f>
        <v>11</v>
      </c>
      <c r="X27" s="12">
        <f t="shared" si="17"/>
        <v>0</v>
      </c>
      <c r="Y27" s="26">
        <f t="shared" si="18"/>
        <v>0</v>
      </c>
      <c r="Z27" s="12">
        <f t="shared" si="19"/>
        <v>0</v>
      </c>
      <c r="AA27" s="4" t="s">
        <v>10</v>
      </c>
      <c r="AB27" s="11">
        <f>IFERROR(VLOOKUP(AA27,Curr!$B$2:$C$13,2,FALSE),0)</f>
        <v>11</v>
      </c>
      <c r="AC27" s="12">
        <f t="shared" si="20"/>
        <v>0</v>
      </c>
      <c r="AD27" s="12">
        <f t="shared" si="21"/>
        <v>0</v>
      </c>
      <c r="AE27" s="13">
        <f t="shared" si="22"/>
        <v>0</v>
      </c>
    </row>
    <row r="28" spans="2:31" x14ac:dyDescent="0.25">
      <c r="B28" s="4"/>
      <c r="E28" s="3"/>
      <c r="F28" s="3"/>
      <c r="G28" s="24"/>
      <c r="H28" s="24"/>
      <c r="K28" s="4"/>
      <c r="L28" s="4"/>
      <c r="M28" s="4"/>
      <c r="N28" s="4"/>
      <c r="O28" s="4"/>
      <c r="P28" s="33"/>
      <c r="Q28" s="25"/>
      <c r="R28" s="25"/>
      <c r="S28" s="12">
        <f t="shared" si="15"/>
        <v>0</v>
      </c>
      <c r="T28" s="5">
        <v>0</v>
      </c>
      <c r="U28" s="12">
        <f t="shared" si="16"/>
        <v>0</v>
      </c>
      <c r="V28" s="25" t="s">
        <v>10</v>
      </c>
      <c r="W28" s="11">
        <f>IFERROR(VLOOKUP(V28,Curr!$B$2:$C$13,2,FALSE),0)</f>
        <v>11</v>
      </c>
      <c r="X28" s="12">
        <f t="shared" si="17"/>
        <v>0</v>
      </c>
      <c r="Y28" s="26">
        <f t="shared" si="18"/>
        <v>0</v>
      </c>
      <c r="Z28" s="12">
        <f t="shared" si="19"/>
        <v>0</v>
      </c>
      <c r="AA28" s="4" t="s">
        <v>10</v>
      </c>
      <c r="AB28" s="11">
        <f>IFERROR(VLOOKUP(AA28,Curr!$B$2:$C$13,2,FALSE),0)</f>
        <v>11</v>
      </c>
      <c r="AC28" s="12">
        <f t="shared" si="20"/>
        <v>0</v>
      </c>
      <c r="AD28" s="12">
        <f t="shared" si="21"/>
        <v>0</v>
      </c>
      <c r="AE28" s="13">
        <f t="shared" si="22"/>
        <v>0</v>
      </c>
    </row>
    <row r="29" spans="2:31" x14ac:dyDescent="0.25">
      <c r="B29" s="4"/>
      <c r="E29" s="3"/>
      <c r="F29" s="3"/>
      <c r="G29" s="24"/>
      <c r="H29" s="24"/>
      <c r="K29" s="4"/>
      <c r="L29" s="4"/>
      <c r="M29" s="4"/>
      <c r="N29" s="4"/>
      <c r="O29" s="4"/>
      <c r="P29" s="29"/>
      <c r="Q29" s="25"/>
      <c r="R29" s="25"/>
      <c r="S29" s="12">
        <f t="shared" si="15"/>
        <v>0</v>
      </c>
      <c r="T29" s="5">
        <v>0</v>
      </c>
      <c r="U29" s="12">
        <f t="shared" si="16"/>
        <v>0</v>
      </c>
      <c r="V29" s="25" t="s">
        <v>10</v>
      </c>
      <c r="W29" s="11">
        <f>IFERROR(VLOOKUP(V29,Curr!$B$2:$C$13,2,FALSE),0)</f>
        <v>11</v>
      </c>
      <c r="X29" s="12">
        <f t="shared" si="17"/>
        <v>0</v>
      </c>
      <c r="Y29" s="26">
        <f t="shared" si="18"/>
        <v>0</v>
      </c>
      <c r="Z29" s="12">
        <f t="shared" si="19"/>
        <v>0</v>
      </c>
      <c r="AA29" s="4" t="s">
        <v>10</v>
      </c>
      <c r="AB29" s="11">
        <f>IFERROR(VLOOKUP(AA29,Curr!$B$2:$C$13,2,FALSE),0)</f>
        <v>11</v>
      </c>
      <c r="AC29" s="12">
        <f t="shared" si="20"/>
        <v>0</v>
      </c>
      <c r="AD29" s="12">
        <f t="shared" si="21"/>
        <v>0</v>
      </c>
      <c r="AE29" s="13">
        <f t="shared" si="22"/>
        <v>0</v>
      </c>
    </row>
    <row r="30" spans="2:31" x14ac:dyDescent="0.25">
      <c r="B30" s="4"/>
      <c r="C30" s="1" t="s">
        <v>55</v>
      </c>
      <c r="D30" s="1" t="s">
        <v>83</v>
      </c>
      <c r="E30" s="3"/>
      <c r="F30" s="3"/>
      <c r="G30" s="24"/>
      <c r="H30" s="24"/>
      <c r="J30" s="1" t="s">
        <v>184</v>
      </c>
      <c r="K30" s="4"/>
      <c r="L30" s="4"/>
      <c r="M30" s="4"/>
      <c r="N30" s="4"/>
      <c r="O30" s="4"/>
      <c r="P30" s="33" t="s">
        <v>243</v>
      </c>
      <c r="Q30" s="25">
        <v>37</v>
      </c>
      <c r="R30" s="25">
        <v>0</v>
      </c>
      <c r="S30" s="12">
        <f t="shared" si="15"/>
        <v>0</v>
      </c>
      <c r="T30" s="5">
        <v>0.2</v>
      </c>
      <c r="U30" s="12">
        <f t="shared" si="16"/>
        <v>0</v>
      </c>
      <c r="V30" s="25" t="s">
        <v>10</v>
      </c>
      <c r="W30" s="11">
        <f>IFERROR(VLOOKUP(V30,Curr!$B$2:$C$13,2,FALSE),0)</f>
        <v>11</v>
      </c>
      <c r="X30" s="12">
        <f t="shared" si="17"/>
        <v>0</v>
      </c>
      <c r="Y30" s="26">
        <f t="shared" si="18"/>
        <v>37</v>
      </c>
      <c r="Z30" s="12">
        <f t="shared" si="19"/>
        <v>0</v>
      </c>
      <c r="AA30" s="4" t="s">
        <v>10</v>
      </c>
      <c r="AB30" s="11">
        <f>IFERROR(VLOOKUP(AA30,Curr!$B$2:$C$13,2,FALSE),0)</f>
        <v>11</v>
      </c>
      <c r="AC30" s="12">
        <f t="shared" si="20"/>
        <v>0</v>
      </c>
      <c r="AD30" s="12">
        <f t="shared" si="21"/>
        <v>0</v>
      </c>
      <c r="AE30" s="13">
        <f t="shared" si="22"/>
        <v>0</v>
      </c>
    </row>
    <row r="31" spans="2:31" x14ac:dyDescent="0.25">
      <c r="B31" s="4"/>
      <c r="C31" s="1" t="s">
        <v>55</v>
      </c>
      <c r="D31" s="1" t="s">
        <v>83</v>
      </c>
      <c r="E31" s="3"/>
      <c r="F31" s="3"/>
      <c r="G31" s="24"/>
      <c r="H31" s="24"/>
      <c r="J31" s="1" t="s">
        <v>241</v>
      </c>
      <c r="K31" s="4"/>
      <c r="L31" s="4"/>
      <c r="M31" s="4"/>
      <c r="N31" s="4"/>
      <c r="O31" s="4"/>
      <c r="P31" s="33" t="s">
        <v>242</v>
      </c>
      <c r="Q31" s="25">
        <v>89</v>
      </c>
      <c r="R31" s="25">
        <v>0</v>
      </c>
      <c r="S31" s="12">
        <f t="shared" ref="S31" si="23">+Q31*R31</f>
        <v>0</v>
      </c>
      <c r="T31" s="5">
        <v>0.25</v>
      </c>
      <c r="U31" s="12">
        <f t="shared" ref="U31" si="24">S31*(1-T31)</f>
        <v>0</v>
      </c>
      <c r="V31" s="25" t="s">
        <v>10</v>
      </c>
      <c r="W31" s="11">
        <f>IFERROR(VLOOKUP(V31,Curr!$B$2:$C$13,2,FALSE),0)</f>
        <v>11</v>
      </c>
      <c r="X31" s="12">
        <f t="shared" ref="X31" si="25">U31*W31</f>
        <v>0</v>
      </c>
      <c r="Y31" s="26">
        <f t="shared" ref="Y31" si="26">Q31</f>
        <v>89</v>
      </c>
      <c r="Z31" s="12">
        <f t="shared" ref="Z31" si="27">+Y31*R31</f>
        <v>0</v>
      </c>
      <c r="AA31" s="4" t="s">
        <v>10</v>
      </c>
      <c r="AB31" s="11">
        <f>IFERROR(VLOOKUP(AA31,Curr!$B$2:$C$13,2,FALSE),0)</f>
        <v>11</v>
      </c>
      <c r="AC31" s="12">
        <f t="shared" ref="AC31" si="28">+Y31*AB31*R31</f>
        <v>0</v>
      </c>
      <c r="AD31" s="12">
        <f t="shared" ref="AD31" si="29">+AC31-X31</f>
        <v>0</v>
      </c>
      <c r="AE31" s="13">
        <f t="shared" ref="AE31" si="30">IFERROR(AD31/AC31,0)</f>
        <v>0</v>
      </c>
    </row>
    <row r="32" spans="2:31" x14ac:dyDescent="0.25">
      <c r="B32" s="4"/>
      <c r="C32" s="1" t="s">
        <v>66</v>
      </c>
      <c r="D32" s="1" t="s">
        <v>83</v>
      </c>
      <c r="E32" s="3"/>
      <c r="F32" s="3"/>
      <c r="G32" s="24"/>
      <c r="H32" s="24"/>
      <c r="J32" s="1" t="s">
        <v>239</v>
      </c>
      <c r="K32" s="4"/>
      <c r="L32" s="4"/>
      <c r="M32" s="4"/>
      <c r="N32" s="4"/>
      <c r="O32" s="4"/>
      <c r="P32" s="33" t="s">
        <v>240</v>
      </c>
      <c r="Q32" s="25">
        <v>205</v>
      </c>
      <c r="R32" s="25">
        <v>0</v>
      </c>
      <c r="S32" s="12">
        <f t="shared" si="15"/>
        <v>0</v>
      </c>
      <c r="T32" s="5">
        <v>0</v>
      </c>
      <c r="U32" s="12">
        <f t="shared" si="16"/>
        <v>0</v>
      </c>
      <c r="V32" s="25" t="s">
        <v>10</v>
      </c>
      <c r="W32" s="11">
        <f>IFERROR(VLOOKUP(V32,Curr!$B$2:$C$13,2,FALSE),0)</f>
        <v>11</v>
      </c>
      <c r="X32" s="12">
        <f t="shared" si="17"/>
        <v>0</v>
      </c>
      <c r="Y32" s="26">
        <f t="shared" si="18"/>
        <v>205</v>
      </c>
      <c r="Z32" s="12">
        <f t="shared" si="19"/>
        <v>0</v>
      </c>
      <c r="AA32" s="4" t="s">
        <v>10</v>
      </c>
      <c r="AB32" s="11">
        <f>IFERROR(VLOOKUP(AA32,Curr!$B$2:$C$13,2,FALSE),0)</f>
        <v>11</v>
      </c>
      <c r="AC32" s="12">
        <f t="shared" si="20"/>
        <v>0</v>
      </c>
      <c r="AD32" s="12">
        <f t="shared" si="21"/>
        <v>0</v>
      </c>
      <c r="AE32" s="13">
        <f t="shared" si="22"/>
        <v>0</v>
      </c>
    </row>
    <row r="33" spans="2:31" x14ac:dyDescent="0.25">
      <c r="B33" s="4"/>
      <c r="C33" s="1" t="s">
        <v>77</v>
      </c>
      <c r="D33" s="1" t="s">
        <v>83</v>
      </c>
      <c r="E33" s="3"/>
      <c r="F33" s="3"/>
      <c r="G33" s="24"/>
      <c r="H33" s="24"/>
      <c r="J33" s="1" t="s">
        <v>137</v>
      </c>
      <c r="K33" s="4"/>
      <c r="L33" s="4"/>
      <c r="M33" s="4"/>
      <c r="N33" s="4"/>
      <c r="O33" s="4"/>
      <c r="P33" s="33" t="s">
        <v>182</v>
      </c>
      <c r="Q33" s="25">
        <v>163</v>
      </c>
      <c r="R33" s="25">
        <v>0</v>
      </c>
      <c r="S33" s="12">
        <f t="shared" si="15"/>
        <v>0</v>
      </c>
      <c r="T33" s="5">
        <v>0.2</v>
      </c>
      <c r="U33" s="12">
        <f t="shared" si="16"/>
        <v>0</v>
      </c>
      <c r="V33" s="25" t="s">
        <v>10</v>
      </c>
      <c r="W33" s="11">
        <f>IFERROR(VLOOKUP(V33,Curr!$B$2:$C$13,2,FALSE),0)</f>
        <v>11</v>
      </c>
      <c r="X33" s="12">
        <f t="shared" si="17"/>
        <v>0</v>
      </c>
      <c r="Y33" s="26">
        <f t="shared" si="18"/>
        <v>163</v>
      </c>
      <c r="Z33" s="12">
        <f t="shared" si="19"/>
        <v>0</v>
      </c>
      <c r="AA33" s="4" t="s">
        <v>10</v>
      </c>
      <c r="AB33" s="11">
        <f>IFERROR(VLOOKUP(AA33,Curr!$B$2:$C$13,2,FALSE),0)</f>
        <v>11</v>
      </c>
      <c r="AC33" s="12">
        <f t="shared" si="20"/>
        <v>0</v>
      </c>
      <c r="AD33" s="12">
        <f t="shared" si="21"/>
        <v>0</v>
      </c>
      <c r="AE33" s="13">
        <f t="shared" si="22"/>
        <v>0</v>
      </c>
    </row>
    <row r="34" spans="2:31" x14ac:dyDescent="0.25">
      <c r="B34" s="4"/>
      <c r="E34" s="3"/>
      <c r="F34" s="3"/>
      <c r="G34" s="24"/>
      <c r="H34" s="24"/>
      <c r="K34" s="4"/>
      <c r="L34" s="4"/>
      <c r="M34" s="4"/>
      <c r="N34" s="4"/>
      <c r="O34" s="4"/>
      <c r="P34" s="33"/>
      <c r="Q34" s="25"/>
      <c r="R34" s="25"/>
      <c r="S34" s="12">
        <f t="shared" si="15"/>
        <v>0</v>
      </c>
      <c r="T34" s="5">
        <v>0</v>
      </c>
      <c r="U34" s="12">
        <f t="shared" si="16"/>
        <v>0</v>
      </c>
      <c r="V34" s="25" t="s">
        <v>10</v>
      </c>
      <c r="W34" s="11">
        <f>IFERROR(VLOOKUP(V34,Curr!$B$2:$C$13,2,FALSE),0)</f>
        <v>11</v>
      </c>
      <c r="X34" s="12">
        <f t="shared" si="17"/>
        <v>0</v>
      </c>
      <c r="Y34" s="26">
        <f t="shared" si="18"/>
        <v>0</v>
      </c>
      <c r="Z34" s="12">
        <f t="shared" si="19"/>
        <v>0</v>
      </c>
      <c r="AA34" s="4" t="s">
        <v>10</v>
      </c>
      <c r="AB34" s="11">
        <f>IFERROR(VLOOKUP(AA34,Curr!$B$2:$C$13,2,FALSE),0)</f>
        <v>11</v>
      </c>
      <c r="AC34" s="12">
        <f t="shared" si="20"/>
        <v>0</v>
      </c>
      <c r="AD34" s="12">
        <f t="shared" si="21"/>
        <v>0</v>
      </c>
      <c r="AE34" s="13">
        <f t="shared" si="22"/>
        <v>0</v>
      </c>
    </row>
    <row r="35" spans="2:31" x14ac:dyDescent="0.25">
      <c r="B35" s="4"/>
      <c r="E35" s="3"/>
      <c r="F35" s="3"/>
      <c r="G35" s="24"/>
      <c r="H35" s="24"/>
      <c r="K35" s="4"/>
      <c r="L35" s="4"/>
      <c r="M35" s="4"/>
      <c r="N35" s="4"/>
      <c r="O35" s="4"/>
      <c r="P35" s="27"/>
      <c r="Q35" s="25"/>
      <c r="R35" s="25"/>
      <c r="S35" s="12">
        <f t="shared" si="15"/>
        <v>0</v>
      </c>
      <c r="T35" s="5">
        <v>0</v>
      </c>
      <c r="U35" s="12">
        <f t="shared" si="16"/>
        <v>0</v>
      </c>
      <c r="V35" s="25" t="s">
        <v>10</v>
      </c>
      <c r="W35" s="11">
        <f>IFERROR(VLOOKUP(V35,Curr!$B$2:$C$13,2,FALSE),0)</f>
        <v>11</v>
      </c>
      <c r="X35" s="12">
        <f t="shared" si="17"/>
        <v>0</v>
      </c>
      <c r="Y35" s="26">
        <f t="shared" si="18"/>
        <v>0</v>
      </c>
      <c r="Z35" s="12">
        <f t="shared" si="19"/>
        <v>0</v>
      </c>
      <c r="AA35" s="4" t="s">
        <v>10</v>
      </c>
      <c r="AB35" s="11">
        <f>IFERROR(VLOOKUP(AA35,Curr!$B$2:$C$13,2,FALSE),0)</f>
        <v>11</v>
      </c>
      <c r="AC35" s="12">
        <f t="shared" si="20"/>
        <v>0</v>
      </c>
      <c r="AD35" s="12">
        <f t="shared" si="21"/>
        <v>0</v>
      </c>
      <c r="AE35" s="13">
        <f t="shared" si="22"/>
        <v>0</v>
      </c>
    </row>
    <row r="36" spans="2:31" x14ac:dyDescent="0.25">
      <c r="B36" s="4"/>
      <c r="C36" s="1" t="s">
        <v>55</v>
      </c>
      <c r="D36" s="1" t="s">
        <v>138</v>
      </c>
      <c r="E36" s="3"/>
      <c r="F36" s="3"/>
      <c r="G36" s="24"/>
      <c r="H36" s="24"/>
      <c r="J36" s="1" t="s">
        <v>139</v>
      </c>
      <c r="K36" s="4"/>
      <c r="L36" s="4"/>
      <c r="M36" s="4"/>
      <c r="N36" s="4"/>
      <c r="O36" s="4"/>
      <c r="P36" s="27"/>
      <c r="Q36" s="25">
        <v>225</v>
      </c>
      <c r="R36" s="25">
        <v>0</v>
      </c>
      <c r="S36" s="12">
        <f t="shared" si="15"/>
        <v>0</v>
      </c>
      <c r="T36" s="5">
        <v>0</v>
      </c>
      <c r="U36" s="12">
        <f t="shared" si="16"/>
        <v>0</v>
      </c>
      <c r="V36" s="25" t="s">
        <v>10</v>
      </c>
      <c r="W36" s="11">
        <f>IFERROR(VLOOKUP(V36,Curr!$B$2:$C$13,2,FALSE),0)</f>
        <v>11</v>
      </c>
      <c r="X36" s="12">
        <f t="shared" si="17"/>
        <v>0</v>
      </c>
      <c r="Y36" s="26">
        <f>Q36/0.85</f>
        <v>264.70588235294116</v>
      </c>
      <c r="Z36" s="12">
        <f t="shared" si="19"/>
        <v>0</v>
      </c>
      <c r="AA36" s="4" t="s">
        <v>10</v>
      </c>
      <c r="AB36" s="11">
        <f>IFERROR(VLOOKUP(AA36,Curr!$B$2:$C$13,2,FALSE),0)</f>
        <v>11</v>
      </c>
      <c r="AC36" s="12">
        <f t="shared" si="20"/>
        <v>0</v>
      </c>
      <c r="AD36" s="12">
        <f t="shared" si="21"/>
        <v>0</v>
      </c>
      <c r="AE36" s="13">
        <f t="shared" si="22"/>
        <v>0</v>
      </c>
    </row>
    <row r="37" spans="2:31" x14ac:dyDescent="0.25">
      <c r="B37" s="4"/>
      <c r="C37" s="1" t="s">
        <v>77</v>
      </c>
      <c r="D37" s="1" t="s">
        <v>138</v>
      </c>
      <c r="E37" s="3"/>
      <c r="F37" s="3"/>
      <c r="G37" s="24"/>
      <c r="H37" s="24"/>
      <c r="J37" s="1" t="s">
        <v>139</v>
      </c>
      <c r="K37" s="4"/>
      <c r="L37" s="4"/>
      <c r="M37" s="4"/>
      <c r="N37" s="4"/>
      <c r="O37" s="4"/>
      <c r="P37" s="33"/>
      <c r="Q37" s="25">
        <v>225</v>
      </c>
      <c r="R37" s="25">
        <v>0</v>
      </c>
      <c r="S37" s="12">
        <f t="shared" si="15"/>
        <v>0</v>
      </c>
      <c r="T37" s="5">
        <v>0</v>
      </c>
      <c r="U37" s="12">
        <f t="shared" si="16"/>
        <v>0</v>
      </c>
      <c r="V37" s="25" t="s">
        <v>10</v>
      </c>
      <c r="W37" s="11">
        <f>IFERROR(VLOOKUP(V37,Curr!$B$2:$C$13,2,FALSE),0)</f>
        <v>11</v>
      </c>
      <c r="X37" s="12">
        <f t="shared" si="17"/>
        <v>0</v>
      </c>
      <c r="Y37" s="26">
        <f>Q37/0.85</f>
        <v>264.70588235294116</v>
      </c>
      <c r="Z37" s="12">
        <f t="shared" si="19"/>
        <v>0</v>
      </c>
      <c r="AA37" s="4" t="s">
        <v>10</v>
      </c>
      <c r="AB37" s="11">
        <f>IFERROR(VLOOKUP(AA37,Curr!$B$2:$C$13,2,FALSE),0)</f>
        <v>11</v>
      </c>
      <c r="AC37" s="12">
        <f t="shared" si="20"/>
        <v>0</v>
      </c>
      <c r="AD37" s="12">
        <f t="shared" si="21"/>
        <v>0</v>
      </c>
      <c r="AE37" s="13">
        <f t="shared" si="22"/>
        <v>0</v>
      </c>
    </row>
    <row r="38" spans="2:31" x14ac:dyDescent="0.25">
      <c r="B38" s="4"/>
      <c r="E38" s="3"/>
      <c r="F38" s="3"/>
      <c r="G38" s="24"/>
      <c r="H38" s="24"/>
      <c r="K38" s="4"/>
      <c r="L38" s="4"/>
      <c r="M38" s="4"/>
      <c r="N38" s="4"/>
      <c r="O38" s="4"/>
      <c r="P38" s="27"/>
      <c r="Q38" s="25"/>
      <c r="R38" s="25"/>
      <c r="S38" s="12">
        <f t="shared" si="15"/>
        <v>0</v>
      </c>
      <c r="T38" s="5">
        <v>0</v>
      </c>
      <c r="U38" s="12">
        <f t="shared" si="16"/>
        <v>0</v>
      </c>
      <c r="V38" s="25" t="s">
        <v>10</v>
      </c>
      <c r="W38" s="11">
        <f>IFERROR(VLOOKUP(V38,Curr!$B$2:$C$13,2,FALSE),0)</f>
        <v>11</v>
      </c>
      <c r="X38" s="12">
        <f t="shared" si="17"/>
        <v>0</v>
      </c>
      <c r="Y38" s="26">
        <f t="shared" si="18"/>
        <v>0</v>
      </c>
      <c r="Z38" s="12">
        <f t="shared" si="19"/>
        <v>0</v>
      </c>
      <c r="AA38" s="4" t="s">
        <v>10</v>
      </c>
      <c r="AB38" s="11">
        <f>IFERROR(VLOOKUP(AA38,Curr!$B$2:$C$13,2,FALSE),0)</f>
        <v>11</v>
      </c>
      <c r="AC38" s="12">
        <f t="shared" si="20"/>
        <v>0</v>
      </c>
      <c r="AD38" s="12">
        <f t="shared" si="21"/>
        <v>0</v>
      </c>
      <c r="AE38" s="13">
        <f t="shared" si="22"/>
        <v>0</v>
      </c>
    </row>
    <row r="39" spans="2:31" x14ac:dyDescent="0.25">
      <c r="B39" s="4"/>
      <c r="E39" s="3"/>
      <c r="F39" s="3"/>
      <c r="G39" s="24"/>
      <c r="H39" s="24"/>
      <c r="K39" s="4"/>
      <c r="L39" s="4"/>
      <c r="M39" s="4"/>
      <c r="N39" s="4"/>
      <c r="O39" s="4"/>
      <c r="P39" s="33"/>
      <c r="Q39" s="25"/>
      <c r="R39" s="25"/>
      <c r="S39" s="12">
        <f t="shared" si="15"/>
        <v>0</v>
      </c>
      <c r="T39" s="5">
        <v>0</v>
      </c>
      <c r="U39" s="12">
        <f t="shared" si="16"/>
        <v>0</v>
      </c>
      <c r="V39" s="25" t="s">
        <v>10</v>
      </c>
      <c r="W39" s="11">
        <f>IFERROR(VLOOKUP(V39,Curr!$B$2:$C$13,2,FALSE),0)</f>
        <v>11</v>
      </c>
      <c r="X39" s="12">
        <f t="shared" si="17"/>
        <v>0</v>
      </c>
      <c r="Y39" s="26">
        <f t="shared" si="18"/>
        <v>0</v>
      </c>
      <c r="Z39" s="12">
        <f t="shared" si="19"/>
        <v>0</v>
      </c>
      <c r="AA39" s="4" t="s">
        <v>10</v>
      </c>
      <c r="AB39" s="11">
        <f>IFERROR(VLOOKUP(AA39,Curr!$B$2:$C$13,2,FALSE),0)</f>
        <v>11</v>
      </c>
      <c r="AC39" s="12">
        <f t="shared" si="20"/>
        <v>0</v>
      </c>
      <c r="AD39" s="12">
        <f t="shared" si="21"/>
        <v>0</v>
      </c>
      <c r="AE39" s="13">
        <f t="shared" si="22"/>
        <v>0</v>
      </c>
    </row>
    <row r="40" spans="2:31" x14ac:dyDescent="0.25">
      <c r="B40" s="4"/>
      <c r="E40" s="3"/>
      <c r="F40" s="3"/>
      <c r="G40" s="24"/>
      <c r="H40" s="24"/>
      <c r="K40" s="4"/>
      <c r="L40" s="4"/>
      <c r="M40" s="4"/>
      <c r="N40" s="4"/>
      <c r="O40" s="4"/>
      <c r="P40" s="27"/>
      <c r="Q40" s="25"/>
      <c r="R40" s="25"/>
      <c r="S40" s="12">
        <f t="shared" si="15"/>
        <v>0</v>
      </c>
      <c r="T40" s="5">
        <v>0</v>
      </c>
      <c r="U40" s="12">
        <f t="shared" si="16"/>
        <v>0</v>
      </c>
      <c r="V40" s="25" t="s">
        <v>10</v>
      </c>
      <c r="W40" s="11">
        <f>IFERROR(VLOOKUP(V40,Curr!$B$2:$C$13,2,FALSE),0)</f>
        <v>11</v>
      </c>
      <c r="X40" s="12">
        <f t="shared" si="17"/>
        <v>0</v>
      </c>
      <c r="Y40" s="26">
        <f t="shared" si="18"/>
        <v>0</v>
      </c>
      <c r="Z40" s="12">
        <f t="shared" si="19"/>
        <v>0</v>
      </c>
      <c r="AA40" s="4" t="s">
        <v>10</v>
      </c>
      <c r="AB40" s="11">
        <f>IFERROR(VLOOKUP(AA40,Curr!$B$2:$C$13,2,FALSE),0)</f>
        <v>11</v>
      </c>
      <c r="AC40" s="12">
        <f t="shared" si="20"/>
        <v>0</v>
      </c>
      <c r="AD40" s="12">
        <f t="shared" si="21"/>
        <v>0</v>
      </c>
      <c r="AE40" s="13">
        <f t="shared" si="22"/>
        <v>0</v>
      </c>
    </row>
    <row r="41" spans="2:31" x14ac:dyDescent="0.25">
      <c r="B41" s="4"/>
      <c r="E41" s="3"/>
      <c r="F41" s="3"/>
      <c r="G41" s="24"/>
      <c r="H41" s="24"/>
      <c r="K41" s="4"/>
      <c r="L41" s="4"/>
      <c r="M41" s="4"/>
      <c r="N41" s="4"/>
      <c r="O41" s="4"/>
      <c r="P41" s="33"/>
      <c r="Q41" s="25"/>
      <c r="R41" s="25"/>
      <c r="S41" s="12">
        <f t="shared" si="15"/>
        <v>0</v>
      </c>
      <c r="T41" s="5">
        <v>0</v>
      </c>
      <c r="U41" s="12">
        <f t="shared" si="16"/>
        <v>0</v>
      </c>
      <c r="V41" s="25" t="s">
        <v>10</v>
      </c>
      <c r="W41" s="11">
        <f>IFERROR(VLOOKUP(V41,Curr!$B$2:$C$13,2,FALSE),0)</f>
        <v>11</v>
      </c>
      <c r="X41" s="12">
        <f t="shared" si="17"/>
        <v>0</v>
      </c>
      <c r="Y41" s="26">
        <f t="shared" si="18"/>
        <v>0</v>
      </c>
      <c r="Z41" s="12">
        <f t="shared" si="19"/>
        <v>0</v>
      </c>
      <c r="AA41" s="4" t="s">
        <v>10</v>
      </c>
      <c r="AB41" s="11">
        <f>IFERROR(VLOOKUP(AA41,Curr!$B$2:$C$13,2,FALSE),0)</f>
        <v>11</v>
      </c>
      <c r="AC41" s="12">
        <f t="shared" si="20"/>
        <v>0</v>
      </c>
      <c r="AD41" s="12">
        <f t="shared" si="21"/>
        <v>0</v>
      </c>
      <c r="AE41" s="13">
        <f t="shared" si="22"/>
        <v>0</v>
      </c>
    </row>
    <row r="42" spans="2:31" x14ac:dyDescent="0.25">
      <c r="B42" s="4"/>
      <c r="E42" s="3"/>
      <c r="F42" s="3"/>
      <c r="G42" s="24"/>
      <c r="H42" s="24"/>
      <c r="K42" s="4"/>
      <c r="L42" s="4"/>
      <c r="M42" s="4"/>
      <c r="N42" s="4"/>
      <c r="O42" s="4"/>
      <c r="P42" s="27"/>
      <c r="Q42" s="25"/>
      <c r="R42" s="25"/>
      <c r="S42" s="12">
        <f t="shared" si="15"/>
        <v>0</v>
      </c>
      <c r="T42" s="5">
        <v>0</v>
      </c>
      <c r="U42" s="12">
        <f t="shared" si="16"/>
        <v>0</v>
      </c>
      <c r="V42" s="25" t="s">
        <v>10</v>
      </c>
      <c r="W42" s="11">
        <f>IFERROR(VLOOKUP(V42,Curr!$B$2:$C$13,2,FALSE),0)</f>
        <v>11</v>
      </c>
      <c r="X42" s="12">
        <f t="shared" si="17"/>
        <v>0</v>
      </c>
      <c r="Y42" s="26">
        <f t="shared" si="18"/>
        <v>0</v>
      </c>
      <c r="Z42" s="12">
        <f t="shared" si="19"/>
        <v>0</v>
      </c>
      <c r="AA42" s="4" t="s">
        <v>10</v>
      </c>
      <c r="AB42" s="11">
        <f>IFERROR(VLOOKUP(AA42,Curr!$B$2:$C$13,2,FALSE),0)</f>
        <v>11</v>
      </c>
      <c r="AC42" s="12">
        <f t="shared" si="20"/>
        <v>0</v>
      </c>
      <c r="AD42" s="12">
        <f t="shared" si="21"/>
        <v>0</v>
      </c>
      <c r="AE42" s="13">
        <f t="shared" si="22"/>
        <v>0</v>
      </c>
    </row>
    <row r="43" spans="2:31" x14ac:dyDescent="0.25">
      <c r="B43" s="4"/>
      <c r="E43" s="3"/>
      <c r="F43" s="3"/>
      <c r="G43" s="24"/>
      <c r="H43" s="24"/>
      <c r="K43" s="4"/>
      <c r="L43" s="4"/>
      <c r="M43" s="4"/>
      <c r="N43" s="4"/>
      <c r="O43" s="4"/>
      <c r="P43" s="27"/>
      <c r="Q43" s="25"/>
      <c r="R43" s="25"/>
      <c r="S43" s="12">
        <f t="shared" si="15"/>
        <v>0</v>
      </c>
      <c r="T43" s="5">
        <v>0</v>
      </c>
      <c r="U43" s="12">
        <f t="shared" si="16"/>
        <v>0</v>
      </c>
      <c r="V43" s="25" t="s">
        <v>10</v>
      </c>
      <c r="W43" s="11">
        <f>IFERROR(VLOOKUP(V43,Curr!$B$2:$C$13,2,FALSE),0)</f>
        <v>11</v>
      </c>
      <c r="X43" s="12">
        <f t="shared" si="17"/>
        <v>0</v>
      </c>
      <c r="Y43" s="26">
        <f t="shared" si="18"/>
        <v>0</v>
      </c>
      <c r="Z43" s="12">
        <f t="shared" si="19"/>
        <v>0</v>
      </c>
      <c r="AA43" s="4" t="s">
        <v>10</v>
      </c>
      <c r="AB43" s="11">
        <f>IFERROR(VLOOKUP(AA43,Curr!$B$2:$C$13,2,FALSE),0)</f>
        <v>11</v>
      </c>
      <c r="AC43" s="12">
        <f t="shared" si="20"/>
        <v>0</v>
      </c>
      <c r="AD43" s="12">
        <f t="shared" si="21"/>
        <v>0</v>
      </c>
      <c r="AE43" s="13">
        <f t="shared" si="22"/>
        <v>0</v>
      </c>
    </row>
    <row r="44" spans="2:31" x14ac:dyDescent="0.25">
      <c r="B44" s="4"/>
      <c r="E44" s="3"/>
      <c r="F44" s="3"/>
      <c r="G44" s="24"/>
      <c r="H44" s="24"/>
      <c r="K44" s="4"/>
      <c r="L44" s="4"/>
      <c r="M44" s="4"/>
      <c r="N44" s="4"/>
      <c r="O44" s="4"/>
      <c r="P44" s="27"/>
      <c r="Q44" s="25"/>
      <c r="R44" s="25"/>
      <c r="S44" s="12">
        <f t="shared" si="15"/>
        <v>0</v>
      </c>
      <c r="T44" s="5">
        <v>0</v>
      </c>
      <c r="U44" s="12">
        <f t="shared" si="16"/>
        <v>0</v>
      </c>
      <c r="V44" s="25" t="s">
        <v>10</v>
      </c>
      <c r="W44" s="11">
        <f>IFERROR(VLOOKUP(V44,Curr!$B$2:$C$13,2,FALSE),0)</f>
        <v>11</v>
      </c>
      <c r="X44" s="12">
        <f t="shared" si="17"/>
        <v>0</v>
      </c>
      <c r="Y44" s="26">
        <f t="shared" si="18"/>
        <v>0</v>
      </c>
      <c r="Z44" s="12">
        <f t="shared" si="19"/>
        <v>0</v>
      </c>
      <c r="AA44" s="4" t="s">
        <v>10</v>
      </c>
      <c r="AB44" s="11">
        <f>IFERROR(VLOOKUP(AA44,Curr!$B$2:$C$13,2,FALSE),0)</f>
        <v>11</v>
      </c>
      <c r="AC44" s="12">
        <f t="shared" si="20"/>
        <v>0</v>
      </c>
      <c r="AD44" s="12">
        <f t="shared" si="21"/>
        <v>0</v>
      </c>
      <c r="AE44" s="13">
        <f t="shared" si="22"/>
        <v>0</v>
      </c>
    </row>
    <row r="45" spans="2:31" x14ac:dyDescent="0.25">
      <c r="B45" s="4"/>
      <c r="E45" s="3"/>
      <c r="F45" s="3"/>
      <c r="G45" s="24"/>
      <c r="H45" s="24"/>
      <c r="K45" s="4"/>
      <c r="L45" s="4"/>
      <c r="M45" s="4"/>
      <c r="N45" s="4"/>
      <c r="O45" s="4"/>
      <c r="P45" s="33"/>
      <c r="Q45" s="25"/>
      <c r="R45" s="25"/>
      <c r="S45" s="12">
        <f t="shared" si="15"/>
        <v>0</v>
      </c>
      <c r="T45" s="5">
        <v>0</v>
      </c>
      <c r="U45" s="12">
        <f t="shared" si="16"/>
        <v>0</v>
      </c>
      <c r="V45" s="25" t="s">
        <v>10</v>
      </c>
      <c r="W45" s="11">
        <f>IFERROR(VLOOKUP(V45,Curr!$B$2:$C$13,2,FALSE),0)</f>
        <v>11</v>
      </c>
      <c r="X45" s="12">
        <f t="shared" si="17"/>
        <v>0</v>
      </c>
      <c r="Y45" s="26">
        <f t="shared" si="18"/>
        <v>0</v>
      </c>
      <c r="Z45" s="12">
        <f t="shared" si="19"/>
        <v>0</v>
      </c>
      <c r="AA45" s="4" t="s">
        <v>10</v>
      </c>
      <c r="AB45" s="11">
        <f>IFERROR(VLOOKUP(AA45,Curr!$B$2:$C$13,2,FALSE),0)</f>
        <v>11</v>
      </c>
      <c r="AC45" s="12">
        <f t="shared" si="20"/>
        <v>0</v>
      </c>
      <c r="AD45" s="12">
        <f t="shared" si="21"/>
        <v>0</v>
      </c>
      <c r="AE45" s="13">
        <f t="shared" si="22"/>
        <v>0</v>
      </c>
    </row>
    <row r="46" spans="2:31" x14ac:dyDescent="0.25">
      <c r="B46" s="4"/>
      <c r="E46" s="3"/>
      <c r="F46" s="3"/>
      <c r="G46" s="24"/>
      <c r="H46" s="24"/>
      <c r="K46" s="4"/>
      <c r="L46" s="4"/>
      <c r="M46" s="4"/>
      <c r="N46" s="4"/>
      <c r="O46" s="4"/>
      <c r="P46" s="27"/>
      <c r="Q46" s="25"/>
      <c r="R46" s="25"/>
      <c r="S46" s="12">
        <f t="shared" si="15"/>
        <v>0</v>
      </c>
      <c r="T46" s="5">
        <v>0</v>
      </c>
      <c r="U46" s="12">
        <f t="shared" si="16"/>
        <v>0</v>
      </c>
      <c r="V46" s="25" t="s">
        <v>10</v>
      </c>
      <c r="W46" s="11">
        <f>IFERROR(VLOOKUP(V46,Curr!$B$2:$C$13,2,FALSE),0)</f>
        <v>11</v>
      </c>
      <c r="X46" s="12">
        <f t="shared" si="17"/>
        <v>0</v>
      </c>
      <c r="Y46" s="26">
        <f t="shared" si="18"/>
        <v>0</v>
      </c>
      <c r="Z46" s="12">
        <f t="shared" si="19"/>
        <v>0</v>
      </c>
      <c r="AA46" s="4" t="s">
        <v>10</v>
      </c>
      <c r="AB46" s="11">
        <f>IFERROR(VLOOKUP(AA46,Curr!$B$2:$C$13,2,FALSE),0)</f>
        <v>11</v>
      </c>
      <c r="AC46" s="12">
        <f t="shared" si="20"/>
        <v>0</v>
      </c>
      <c r="AD46" s="12">
        <f t="shared" si="21"/>
        <v>0</v>
      </c>
      <c r="AE46" s="13">
        <f t="shared" si="22"/>
        <v>0</v>
      </c>
    </row>
    <row r="47" spans="2:31" x14ac:dyDescent="0.25">
      <c r="B47" s="4"/>
      <c r="E47" s="3"/>
      <c r="F47" s="3"/>
      <c r="G47" s="24"/>
      <c r="H47" s="24"/>
      <c r="K47" s="4"/>
      <c r="L47" s="4"/>
      <c r="M47" s="4"/>
      <c r="N47" s="4"/>
      <c r="O47" s="4"/>
      <c r="P47" s="27"/>
      <c r="Q47" s="25"/>
      <c r="R47" s="25"/>
      <c r="S47" s="12">
        <f t="shared" si="15"/>
        <v>0</v>
      </c>
      <c r="T47" s="5">
        <v>0</v>
      </c>
      <c r="U47" s="12">
        <f t="shared" si="16"/>
        <v>0</v>
      </c>
      <c r="V47" s="25" t="s">
        <v>10</v>
      </c>
      <c r="W47" s="11">
        <f>IFERROR(VLOOKUP(V47,Curr!$B$2:$C$13,2,FALSE),0)</f>
        <v>11</v>
      </c>
      <c r="X47" s="12">
        <f t="shared" si="17"/>
        <v>0</v>
      </c>
      <c r="Y47" s="26">
        <f t="shared" si="18"/>
        <v>0</v>
      </c>
      <c r="Z47" s="12">
        <f t="shared" si="19"/>
        <v>0</v>
      </c>
      <c r="AA47" s="4" t="s">
        <v>10</v>
      </c>
      <c r="AB47" s="11">
        <f>IFERROR(VLOOKUP(AA47,Curr!$B$2:$C$13,2,FALSE),0)</f>
        <v>11</v>
      </c>
      <c r="AC47" s="12">
        <f t="shared" si="20"/>
        <v>0</v>
      </c>
      <c r="AD47" s="12">
        <f t="shared" si="21"/>
        <v>0</v>
      </c>
      <c r="AE47" s="13">
        <f t="shared" si="22"/>
        <v>0</v>
      </c>
    </row>
    <row r="48" spans="2:31" x14ac:dyDescent="0.25">
      <c r="B48" s="4"/>
      <c r="E48" s="3"/>
      <c r="F48" s="3"/>
      <c r="G48" s="24"/>
      <c r="H48" s="24"/>
      <c r="K48" s="4"/>
      <c r="L48" s="4"/>
      <c r="M48" s="4"/>
      <c r="N48" s="4"/>
      <c r="O48" s="4"/>
      <c r="P48" s="27"/>
      <c r="Q48" s="25"/>
      <c r="R48" s="25"/>
      <c r="S48" s="12">
        <f t="shared" si="15"/>
        <v>0</v>
      </c>
      <c r="T48" s="5">
        <v>0</v>
      </c>
      <c r="U48" s="12">
        <f t="shared" si="16"/>
        <v>0</v>
      </c>
      <c r="V48" s="25" t="s">
        <v>10</v>
      </c>
      <c r="W48" s="11">
        <f>IFERROR(VLOOKUP(V48,Curr!$B$2:$C$13,2,FALSE),0)</f>
        <v>11</v>
      </c>
      <c r="X48" s="12">
        <f t="shared" si="17"/>
        <v>0</v>
      </c>
      <c r="Y48" s="26">
        <f t="shared" si="18"/>
        <v>0</v>
      </c>
      <c r="Z48" s="12">
        <f t="shared" si="19"/>
        <v>0</v>
      </c>
      <c r="AA48" s="4" t="s">
        <v>10</v>
      </c>
      <c r="AB48" s="11">
        <f>IFERROR(VLOOKUP(AA48,Curr!$B$2:$C$13,2,FALSE),0)</f>
        <v>11</v>
      </c>
      <c r="AC48" s="12">
        <f t="shared" si="20"/>
        <v>0</v>
      </c>
      <c r="AD48" s="12">
        <f t="shared" si="21"/>
        <v>0</v>
      </c>
      <c r="AE48" s="13">
        <f t="shared" si="22"/>
        <v>0</v>
      </c>
    </row>
    <row r="49" spans="2:36" x14ac:dyDescent="0.25">
      <c r="B49" s="4"/>
      <c r="E49" s="3"/>
      <c r="F49" s="3"/>
      <c r="G49" s="24"/>
      <c r="H49" s="24"/>
      <c r="K49" s="4"/>
      <c r="L49" s="4"/>
      <c r="M49" s="4"/>
      <c r="N49" s="4"/>
      <c r="O49" s="4"/>
      <c r="P49" s="33"/>
      <c r="Q49" s="25"/>
      <c r="R49" s="25"/>
      <c r="S49" s="12">
        <f t="shared" si="15"/>
        <v>0</v>
      </c>
      <c r="T49" s="5">
        <v>0</v>
      </c>
      <c r="U49" s="12">
        <f t="shared" si="16"/>
        <v>0</v>
      </c>
      <c r="V49" s="25" t="s">
        <v>10</v>
      </c>
      <c r="W49" s="11">
        <f>IFERROR(VLOOKUP(V49,Curr!$B$2:$C$13,2,FALSE),0)</f>
        <v>11</v>
      </c>
      <c r="X49" s="12">
        <f t="shared" si="17"/>
        <v>0</v>
      </c>
      <c r="Y49" s="26">
        <f t="shared" si="18"/>
        <v>0</v>
      </c>
      <c r="Z49" s="12">
        <f t="shared" si="19"/>
        <v>0</v>
      </c>
      <c r="AA49" s="4" t="s">
        <v>10</v>
      </c>
      <c r="AB49" s="11">
        <f>IFERROR(VLOOKUP(AA49,Curr!$B$2:$C$13,2,FALSE),0)</f>
        <v>11</v>
      </c>
      <c r="AC49" s="12">
        <f t="shared" si="20"/>
        <v>0</v>
      </c>
      <c r="AD49" s="12">
        <f t="shared" si="21"/>
        <v>0</v>
      </c>
      <c r="AE49" s="13">
        <f t="shared" si="22"/>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1468.75</v>
      </c>
      <c r="AA51" s="14"/>
      <c r="AB51" s="14"/>
      <c r="AC51" s="15">
        <f>SUM(AC7:AC49)</f>
        <v>16156.25</v>
      </c>
      <c r="AD51" s="15">
        <f>SUM(AD7:AD49)</f>
        <v>3231.25</v>
      </c>
      <c r="AE51" s="21">
        <f t="shared" ref="AE51" si="31">IFERROR(AD51/AC51,0)</f>
        <v>0.2</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234</v>
      </c>
      <c r="Z53" s="34">
        <v>0</v>
      </c>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235</v>
      </c>
      <c r="Z54" s="34">
        <f>Z8+Z10+Z14+Z18+Z22</f>
        <v>1468.75</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236</v>
      </c>
      <c r="Z55" s="34">
        <v>1480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45</v>
      </c>
      <c r="Z56" s="34">
        <f>Z55/2</f>
        <v>740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c r="Z58" s="9"/>
      <c r="AA58" s="9"/>
      <c r="AB58" s="9"/>
      <c r="AC58" s="9"/>
      <c r="AD58" s="9"/>
      <c r="AE58" s="9"/>
    </row>
    <row r="59" spans="2:36" x14ac:dyDescent="0.25">
      <c r="R59" s="4"/>
      <c r="S59" s="17"/>
      <c r="T59" s="17"/>
      <c r="U59" s="9"/>
      <c r="V59" s="4"/>
      <c r="W59" s="4"/>
      <c r="X59" s="9"/>
      <c r="Y59" s="41" t="s">
        <v>295</v>
      </c>
      <c r="Z59" s="9">
        <f>Z55</f>
        <v>1480</v>
      </c>
      <c r="AA59" s="9"/>
      <c r="AB59" s="9"/>
      <c r="AC59" s="9"/>
      <c r="AD59" s="9"/>
      <c r="AE59" s="9"/>
    </row>
    <row r="60" spans="2:36" x14ac:dyDescent="0.25">
      <c r="Q60" s="9"/>
      <c r="R60" s="4"/>
      <c r="S60" s="16"/>
      <c r="T60" s="16"/>
      <c r="U60" s="9"/>
      <c r="V60" s="4"/>
      <c r="W60" s="4"/>
      <c r="X60" s="9"/>
      <c r="Y60" s="41" t="s">
        <v>296</v>
      </c>
      <c r="Z60" s="9">
        <f>Z59*1.2</f>
        <v>1776</v>
      </c>
      <c r="AA60" s="9"/>
      <c r="AB60" s="9"/>
      <c r="AC60" s="9"/>
      <c r="AD60" s="9"/>
      <c r="AE60" s="9"/>
    </row>
    <row r="61" spans="2:36" x14ac:dyDescent="0.25">
      <c r="R61" s="4"/>
      <c r="S61" s="16"/>
      <c r="T61" s="16"/>
      <c r="Y61" s="41" t="s">
        <v>297</v>
      </c>
      <c r="Z61" s="9">
        <f>Z59*1.4</f>
        <v>2072</v>
      </c>
      <c r="AA61" s="9"/>
      <c r="AB61" s="9"/>
      <c r="AC61" s="9"/>
      <c r="AD61" s="9"/>
      <c r="AE61" s="9"/>
    </row>
    <row r="62" spans="2:36" x14ac:dyDescent="0.25">
      <c r="T62" s="5"/>
      <c r="Y62" s="41" t="s">
        <v>298</v>
      </c>
      <c r="Z62" s="9">
        <f>Z59*0.7</f>
        <v>1036</v>
      </c>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10" r:id="rId1" xr:uid="{CC454F30-F2CC-4AE5-A6EA-8E3283A9A635}"/>
    <hyperlink ref="P8" r:id="rId2" xr:uid="{062EA576-BE32-4E27-BA82-8D5C60D34C0B}"/>
    <hyperlink ref="P33" r:id="rId3" xr:uid="{5B8BFA40-F6F6-4606-B2C5-8AAB6B53E2EF}"/>
    <hyperlink ref="P32" r:id="rId4" xr:uid="{81A04D79-2E65-46D7-BE44-A35431E04C59}"/>
    <hyperlink ref="P30" r:id="rId5" xr:uid="{60DEFD8D-001F-4C23-B6D4-E97BCA93FFD2}"/>
    <hyperlink ref="P31" r:id="rId6" xr:uid="{114BF10C-D6B8-42B2-880C-77FBFCF7D2F7}"/>
  </hyperlinks>
  <pageMargins left="0.7" right="0.7" top="0.75" bottom="0.75" header="0.3" footer="0.3"/>
  <pageSetup paperSize="9"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9087-A7D9-4C9C-8979-05C0E0AD67B8}">
  <sheetPr>
    <tabColor rgb="FFFFFF00"/>
  </sheetPr>
  <dimension ref="B1:AK74"/>
  <sheetViews>
    <sheetView zoomScale="80" zoomScaleNormal="80" workbookViewId="0">
      <selection activeCell="J19" sqref="J1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52</v>
      </c>
    </row>
    <row r="2" spans="2:36" x14ac:dyDescent="0.25">
      <c r="B2" s="2" t="s">
        <v>103</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19" si="0">+Q7*R7</f>
        <v>0</v>
      </c>
      <c r="T7" s="5">
        <v>0</v>
      </c>
      <c r="U7" s="12">
        <f>S7*(1-T7)</f>
        <v>0</v>
      </c>
      <c r="V7" s="25" t="s">
        <v>10</v>
      </c>
      <c r="W7" s="11">
        <f>IFERROR(VLOOKUP(V7,Curr!$B$2:$C$13,2,FALSE),0)</f>
        <v>11</v>
      </c>
      <c r="X7" s="12">
        <f t="shared" ref="X7:X19" si="1">U7*W7</f>
        <v>0</v>
      </c>
      <c r="Y7" s="26">
        <f>Q7</f>
        <v>0</v>
      </c>
      <c r="Z7" s="12">
        <f t="shared" ref="Z7:Z49" si="2">+Y7*R7</f>
        <v>0</v>
      </c>
      <c r="AA7" s="4" t="s">
        <v>10</v>
      </c>
      <c r="AB7" s="11">
        <f>IFERROR(VLOOKUP(AA7,Curr!$B$2:$C$13,2,FALSE),0)</f>
        <v>11</v>
      </c>
      <c r="AC7" s="12">
        <f t="shared" ref="AC7:AC49" si="3">+Y7*AB7*R7</f>
        <v>0</v>
      </c>
      <c r="AD7" s="12">
        <f t="shared" ref="AD7:AD49" si="4">+AC7-X7</f>
        <v>0</v>
      </c>
      <c r="AE7" s="13">
        <f t="shared" ref="AE7:AE49" si="5">IFERROR(AD7/AC7,0)</f>
        <v>0</v>
      </c>
    </row>
    <row r="8" spans="2:36" x14ac:dyDescent="0.25">
      <c r="B8" s="4"/>
      <c r="C8" s="1" t="s">
        <v>55</v>
      </c>
      <c r="D8" s="1" t="s">
        <v>57</v>
      </c>
      <c r="E8" s="3"/>
      <c r="F8" s="3"/>
      <c r="G8" s="24"/>
      <c r="H8" s="24"/>
      <c r="J8" s="1" t="s">
        <v>246</v>
      </c>
      <c r="K8" s="4"/>
      <c r="L8" s="4"/>
      <c r="M8" s="4"/>
      <c r="N8" s="4"/>
      <c r="O8" s="4"/>
      <c r="P8" s="27"/>
      <c r="Q8" s="25">
        <v>450</v>
      </c>
      <c r="R8" s="25">
        <v>1</v>
      </c>
      <c r="S8" s="12">
        <f t="shared" si="0"/>
        <v>450</v>
      </c>
      <c r="T8" s="5">
        <v>0</v>
      </c>
      <c r="U8" s="12">
        <f t="shared" ref="U8:U19" si="6">S8*(1-T8)</f>
        <v>450</v>
      </c>
      <c r="V8" s="25" t="s">
        <v>10</v>
      </c>
      <c r="W8" s="11">
        <f>IFERROR(VLOOKUP(V8,Curr!$B$2:$C$13,2,FALSE),0)</f>
        <v>11</v>
      </c>
      <c r="X8" s="12">
        <f t="shared" si="1"/>
        <v>4950</v>
      </c>
      <c r="Y8" s="26">
        <f>Q8/0.8</f>
        <v>562.5</v>
      </c>
      <c r="Z8" s="12">
        <f t="shared" si="2"/>
        <v>562.5</v>
      </c>
      <c r="AA8" s="4" t="s">
        <v>10</v>
      </c>
      <c r="AB8" s="11">
        <f>IFERROR(VLOOKUP(AA8,Curr!$B$2:$C$13,2,FALSE),0)</f>
        <v>11</v>
      </c>
      <c r="AC8" s="12">
        <f t="shared" si="3"/>
        <v>6187.5</v>
      </c>
      <c r="AD8" s="12">
        <f t="shared" si="4"/>
        <v>1237.5</v>
      </c>
      <c r="AE8" s="13">
        <f t="shared" si="5"/>
        <v>0.2</v>
      </c>
    </row>
    <row r="9" spans="2:36" x14ac:dyDescent="0.25">
      <c r="B9" s="4"/>
      <c r="C9" s="1" t="s">
        <v>55</v>
      </c>
      <c r="D9" s="1" t="s">
        <v>58</v>
      </c>
      <c r="E9" s="3"/>
      <c r="F9" s="3"/>
      <c r="G9" s="24"/>
      <c r="H9" s="24"/>
      <c r="J9" s="1" t="s">
        <v>61</v>
      </c>
      <c r="K9" s="4"/>
      <c r="L9" s="4"/>
      <c r="M9" s="4"/>
      <c r="N9" s="4"/>
      <c r="O9" s="4"/>
      <c r="P9" s="33"/>
      <c r="Q9" s="25">
        <v>0</v>
      </c>
      <c r="R9" s="25">
        <v>0</v>
      </c>
      <c r="S9" s="12">
        <f t="shared" si="0"/>
        <v>0</v>
      </c>
      <c r="T9" s="5">
        <v>0</v>
      </c>
      <c r="U9" s="12">
        <f t="shared" si="6"/>
        <v>0</v>
      </c>
      <c r="V9" s="25" t="s">
        <v>10</v>
      </c>
      <c r="W9" s="11">
        <f>IFERROR(VLOOKUP(V9,Curr!$B$2:$C$13,2,FALSE),0)</f>
        <v>11</v>
      </c>
      <c r="X9" s="12">
        <f t="shared" si="1"/>
        <v>0</v>
      </c>
      <c r="Y9" s="26">
        <f t="shared" ref="Y9:Y19" si="7">Q9</f>
        <v>0</v>
      </c>
      <c r="Z9" s="12">
        <f t="shared" si="2"/>
        <v>0</v>
      </c>
      <c r="AA9" s="4" t="s">
        <v>10</v>
      </c>
      <c r="AB9" s="11">
        <f>IFERROR(VLOOKUP(AA9,Curr!$B$2:$C$13,2,FALSE),0)</f>
        <v>11</v>
      </c>
      <c r="AC9" s="12">
        <f t="shared" si="3"/>
        <v>0</v>
      </c>
      <c r="AD9" s="12">
        <f t="shared" si="4"/>
        <v>0</v>
      </c>
      <c r="AE9" s="13">
        <f t="shared" si="5"/>
        <v>0</v>
      </c>
    </row>
    <row r="10" spans="2:36" x14ac:dyDescent="0.25">
      <c r="B10" s="4"/>
      <c r="C10" s="1" t="s">
        <v>55</v>
      </c>
      <c r="D10" s="1" t="s">
        <v>59</v>
      </c>
      <c r="E10" s="3"/>
      <c r="F10" s="3"/>
      <c r="G10" s="24"/>
      <c r="H10" s="24"/>
      <c r="J10" s="1" t="s">
        <v>64</v>
      </c>
      <c r="K10" s="4"/>
      <c r="L10" s="4"/>
      <c r="M10" s="4"/>
      <c r="N10" s="4"/>
      <c r="O10" s="4"/>
      <c r="P10" s="33" t="s">
        <v>237</v>
      </c>
      <c r="Q10" s="25">
        <v>200</v>
      </c>
      <c r="R10" s="25">
        <v>1</v>
      </c>
      <c r="S10" s="12">
        <f t="shared" si="0"/>
        <v>200</v>
      </c>
      <c r="T10" s="5">
        <v>0</v>
      </c>
      <c r="U10" s="12">
        <f t="shared" si="6"/>
        <v>200</v>
      </c>
      <c r="V10" s="25" t="s">
        <v>10</v>
      </c>
      <c r="W10" s="11">
        <f>IFERROR(VLOOKUP(V10,Curr!$B$2:$C$13,2,FALSE),0)</f>
        <v>11</v>
      </c>
      <c r="X10" s="12">
        <f t="shared" si="1"/>
        <v>2200</v>
      </c>
      <c r="Y10" s="26">
        <f>Q10/0.8</f>
        <v>250</v>
      </c>
      <c r="Z10" s="12">
        <f t="shared" si="2"/>
        <v>250</v>
      </c>
      <c r="AA10" s="4" t="s">
        <v>10</v>
      </c>
      <c r="AB10" s="11">
        <f>IFERROR(VLOOKUP(AA10,Curr!$B$2:$C$13,2,FALSE),0)</f>
        <v>11</v>
      </c>
      <c r="AC10" s="12">
        <f t="shared" si="3"/>
        <v>2750</v>
      </c>
      <c r="AD10" s="12">
        <f t="shared" si="4"/>
        <v>550</v>
      </c>
      <c r="AE10" s="13">
        <f t="shared" si="5"/>
        <v>0.2</v>
      </c>
    </row>
    <row r="11" spans="2:36" x14ac:dyDescent="0.25">
      <c r="B11" s="4"/>
      <c r="C11" s="1" t="s">
        <v>55</v>
      </c>
      <c r="D11" s="1" t="s">
        <v>60</v>
      </c>
      <c r="E11" s="3"/>
      <c r="F11" s="3"/>
      <c r="G11" s="24"/>
      <c r="H11" s="24"/>
      <c r="J11" s="1" t="s">
        <v>63</v>
      </c>
      <c r="K11" s="4"/>
      <c r="L11" s="4"/>
      <c r="M11" s="4"/>
      <c r="N11" s="4"/>
      <c r="O11" s="4"/>
      <c r="P11" s="27"/>
      <c r="Q11" s="25">
        <v>0</v>
      </c>
      <c r="R11" s="25">
        <v>0</v>
      </c>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c r="R12" s="25"/>
      <c r="S12" s="12">
        <f t="shared" si="0"/>
        <v>0</v>
      </c>
      <c r="T12" s="5">
        <v>0</v>
      </c>
      <c r="U12" s="12">
        <f t="shared" si="6"/>
        <v>0</v>
      </c>
      <c r="V12" s="25" t="s">
        <v>10</v>
      </c>
      <c r="W12" s="11">
        <f>IFERROR(VLOOKUP(V12,Curr!$B$2:$C$13,2,FALSE),0)</f>
        <v>11</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C13" s="1" t="s">
        <v>65</v>
      </c>
      <c r="D13" s="1" t="s">
        <v>58</v>
      </c>
      <c r="E13" s="3"/>
      <c r="F13" s="3"/>
      <c r="G13" s="24"/>
      <c r="H13" s="24"/>
      <c r="J13" s="1" t="s">
        <v>68</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59</v>
      </c>
      <c r="E14" s="3"/>
      <c r="F14" s="3"/>
      <c r="G14" s="24"/>
      <c r="H14" s="24"/>
      <c r="J14" s="1" t="s">
        <v>69</v>
      </c>
      <c r="K14" s="4"/>
      <c r="L14" s="4"/>
      <c r="M14" s="4"/>
      <c r="N14" s="4"/>
      <c r="O14" s="4"/>
      <c r="P14" s="33"/>
      <c r="Q14" s="25">
        <v>250</v>
      </c>
      <c r="R14" s="25">
        <v>1</v>
      </c>
      <c r="S14" s="12">
        <f t="shared" si="0"/>
        <v>250</v>
      </c>
      <c r="T14" s="5">
        <v>0</v>
      </c>
      <c r="U14" s="12">
        <f t="shared" si="6"/>
        <v>250</v>
      </c>
      <c r="V14" s="25" t="s">
        <v>10</v>
      </c>
      <c r="W14" s="11">
        <f>IFERROR(VLOOKUP(V14,Curr!$B$2:$C$13,2,FALSE),0)</f>
        <v>11</v>
      </c>
      <c r="X14" s="12">
        <f t="shared" si="1"/>
        <v>2750</v>
      </c>
      <c r="Y14" s="26">
        <f>Q14/0.8</f>
        <v>312.5</v>
      </c>
      <c r="Z14" s="12">
        <f t="shared" si="2"/>
        <v>312.5</v>
      </c>
      <c r="AA14" s="4" t="s">
        <v>10</v>
      </c>
      <c r="AB14" s="11">
        <f>IFERROR(VLOOKUP(AA14,Curr!$B$2:$C$13,2,FALSE),0)</f>
        <v>11</v>
      </c>
      <c r="AC14" s="12">
        <f t="shared" si="3"/>
        <v>3437.5</v>
      </c>
      <c r="AD14" s="12">
        <f t="shared" si="4"/>
        <v>687.5</v>
      </c>
      <c r="AE14" s="13">
        <f t="shared" si="5"/>
        <v>0.2</v>
      </c>
    </row>
    <row r="15" spans="2:36" x14ac:dyDescent="0.25">
      <c r="B15" s="4"/>
      <c r="C15" s="1" t="s">
        <v>65</v>
      </c>
      <c r="D15" s="1" t="s">
        <v>60</v>
      </c>
      <c r="E15" s="3"/>
      <c r="F15" s="3"/>
      <c r="G15" s="24"/>
      <c r="H15" s="24"/>
      <c r="J15" s="1" t="s">
        <v>70</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c r="R16" s="25"/>
      <c r="S16" s="12">
        <f t="shared" si="0"/>
        <v>0</v>
      </c>
      <c r="T16" s="5">
        <v>0</v>
      </c>
      <c r="U16" s="12">
        <f t="shared" si="6"/>
        <v>0</v>
      </c>
      <c r="V16" s="25" t="s">
        <v>10</v>
      </c>
      <c r="W16" s="11">
        <f>IFERROR(VLOOKUP(V16,Curr!$B$2:$C$13,2,FALSE),0)</f>
        <v>11</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C17" s="1" t="s">
        <v>66</v>
      </c>
      <c r="D17" s="1" t="s">
        <v>58</v>
      </c>
      <c r="E17" s="3"/>
      <c r="F17" s="3"/>
      <c r="G17" s="24"/>
      <c r="H17" s="24"/>
      <c r="J17" s="1" t="s">
        <v>71</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C18" s="1" t="s">
        <v>66</v>
      </c>
      <c r="D18" s="1" t="s">
        <v>59</v>
      </c>
      <c r="E18" s="3"/>
      <c r="F18" s="3"/>
      <c r="G18" s="24"/>
      <c r="H18" s="24"/>
      <c r="J18" s="1" t="s">
        <v>72</v>
      </c>
      <c r="K18" s="4"/>
      <c r="L18" s="4"/>
      <c r="M18" s="4"/>
      <c r="N18" s="4"/>
      <c r="O18" s="4"/>
      <c r="P18" s="27"/>
      <c r="Q18" s="25">
        <v>200</v>
      </c>
      <c r="R18" s="25">
        <v>1</v>
      </c>
      <c r="S18" s="12">
        <f t="shared" si="0"/>
        <v>200</v>
      </c>
      <c r="T18" s="5">
        <v>0</v>
      </c>
      <c r="U18" s="12">
        <f t="shared" si="6"/>
        <v>200</v>
      </c>
      <c r="V18" s="25" t="s">
        <v>10</v>
      </c>
      <c r="W18" s="11">
        <f>IFERROR(VLOOKUP(V18,Curr!$B$2:$C$13,2,FALSE),0)</f>
        <v>11</v>
      </c>
      <c r="X18" s="12">
        <f t="shared" si="1"/>
        <v>2200</v>
      </c>
      <c r="Y18" s="26">
        <f>Q18/0.8</f>
        <v>250</v>
      </c>
      <c r="Z18" s="12">
        <f t="shared" si="2"/>
        <v>250</v>
      </c>
      <c r="AA18" s="4" t="s">
        <v>10</v>
      </c>
      <c r="AB18" s="11">
        <f>IFERROR(VLOOKUP(AA18,Curr!$B$2:$C$13,2,FALSE),0)</f>
        <v>11</v>
      </c>
      <c r="AC18" s="12">
        <f t="shared" si="3"/>
        <v>2750</v>
      </c>
      <c r="AD18" s="12">
        <f t="shared" si="4"/>
        <v>550</v>
      </c>
      <c r="AE18" s="13">
        <f t="shared" si="5"/>
        <v>0.2</v>
      </c>
    </row>
    <row r="19" spans="2:31" x14ac:dyDescent="0.25">
      <c r="B19" s="4"/>
      <c r="C19" s="1" t="s">
        <v>66</v>
      </c>
      <c r="D19" s="1" t="s">
        <v>60</v>
      </c>
      <c r="E19" s="3"/>
      <c r="F19" s="3"/>
      <c r="G19" s="24"/>
      <c r="H19" s="24"/>
      <c r="J19" s="1" t="s">
        <v>73</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c r="R20" s="25"/>
      <c r="S20" s="12">
        <f t="shared" ref="S20:S49" si="8">+Q20*R20</f>
        <v>0</v>
      </c>
      <c r="T20" s="5">
        <v>0</v>
      </c>
      <c r="U20" s="12">
        <f t="shared" ref="U20:U49" si="9">S20*(1-T20)</f>
        <v>0</v>
      </c>
      <c r="V20" s="25" t="s">
        <v>10</v>
      </c>
      <c r="W20" s="11">
        <f>IFERROR(VLOOKUP(V20,Curr!$B$2:$C$13,2,FALSE),0)</f>
        <v>11</v>
      </c>
      <c r="X20" s="12">
        <f t="shared" ref="X20:X49" si="10">U20*W20</f>
        <v>0</v>
      </c>
      <c r="Y20" s="26">
        <f t="shared" ref="Y20:Y49" si="11">Q20</f>
        <v>0</v>
      </c>
      <c r="Z20" s="12">
        <f t="shared" si="2"/>
        <v>0</v>
      </c>
      <c r="AA20" s="4" t="s">
        <v>10</v>
      </c>
      <c r="AB20" s="11">
        <f>IFERROR(VLOOKUP(AA20,Curr!$B$2:$C$13,2,FALSE),0)</f>
        <v>11</v>
      </c>
      <c r="AC20" s="12">
        <f t="shared" si="3"/>
        <v>0</v>
      </c>
      <c r="AD20" s="12">
        <f t="shared" si="4"/>
        <v>0</v>
      </c>
      <c r="AE20" s="13">
        <f t="shared" si="5"/>
        <v>0</v>
      </c>
    </row>
    <row r="21" spans="2:31" x14ac:dyDescent="0.25">
      <c r="B21" s="4"/>
      <c r="C21" s="1" t="s">
        <v>67</v>
      </c>
      <c r="D21" s="1" t="s">
        <v>58</v>
      </c>
      <c r="E21" s="3"/>
      <c r="F21" s="3"/>
      <c r="G21" s="24"/>
      <c r="H21" s="24"/>
      <c r="J21" s="1" t="s">
        <v>84</v>
      </c>
      <c r="K21" s="4"/>
      <c r="L21" s="4"/>
      <c r="M21" s="4"/>
      <c r="N21" s="4"/>
      <c r="O21" s="4"/>
      <c r="P21" s="33"/>
      <c r="Q21" s="25">
        <v>0</v>
      </c>
      <c r="R21" s="25">
        <v>0</v>
      </c>
      <c r="S21" s="12">
        <f t="shared" si="8"/>
        <v>0</v>
      </c>
      <c r="T21" s="5">
        <v>0</v>
      </c>
      <c r="U21" s="12">
        <f t="shared" si="9"/>
        <v>0</v>
      </c>
      <c r="V21" s="25" t="s">
        <v>10</v>
      </c>
      <c r="W21" s="11">
        <f>IFERROR(VLOOKUP(V21,Curr!$B$2:$C$13,2,FALSE),0)</f>
        <v>11</v>
      </c>
      <c r="X21" s="12">
        <f t="shared" si="10"/>
        <v>0</v>
      </c>
      <c r="Y21" s="26">
        <f t="shared" si="11"/>
        <v>0</v>
      </c>
      <c r="Z21" s="12">
        <f t="shared" si="2"/>
        <v>0</v>
      </c>
      <c r="AA21" s="4" t="s">
        <v>10</v>
      </c>
      <c r="AB21" s="11">
        <f>IFERROR(VLOOKUP(AA21,Curr!$B$2:$C$13,2,FALSE),0)</f>
        <v>11</v>
      </c>
      <c r="AC21" s="12">
        <f t="shared" si="3"/>
        <v>0</v>
      </c>
      <c r="AD21" s="12">
        <f t="shared" si="4"/>
        <v>0</v>
      </c>
      <c r="AE21" s="13">
        <f t="shared" si="5"/>
        <v>0</v>
      </c>
    </row>
    <row r="22" spans="2:31" x14ac:dyDescent="0.25">
      <c r="B22" s="4"/>
      <c r="C22" s="1" t="s">
        <v>67</v>
      </c>
      <c r="D22" s="1" t="s">
        <v>59</v>
      </c>
      <c r="E22" s="3"/>
      <c r="F22" s="3"/>
      <c r="G22" s="24"/>
      <c r="H22" s="24"/>
      <c r="J22" s="1" t="s">
        <v>85</v>
      </c>
      <c r="K22" s="4"/>
      <c r="L22" s="4"/>
      <c r="M22" s="4"/>
      <c r="N22" s="4"/>
      <c r="O22" s="4"/>
      <c r="P22" s="33"/>
      <c r="Q22" s="25">
        <v>225</v>
      </c>
      <c r="R22" s="25">
        <v>1</v>
      </c>
      <c r="S22" s="12">
        <f t="shared" si="8"/>
        <v>225</v>
      </c>
      <c r="T22" s="5">
        <v>0</v>
      </c>
      <c r="U22" s="12">
        <f t="shared" si="9"/>
        <v>225</v>
      </c>
      <c r="V22" s="25" t="s">
        <v>10</v>
      </c>
      <c r="W22" s="11">
        <f>IFERROR(VLOOKUP(V22,Curr!$B$2:$C$13,2,FALSE),0)</f>
        <v>11</v>
      </c>
      <c r="X22" s="12">
        <f t="shared" si="10"/>
        <v>2475</v>
      </c>
      <c r="Y22" s="26">
        <f>Q22/0.8</f>
        <v>281.25</v>
      </c>
      <c r="Z22" s="12">
        <f t="shared" si="2"/>
        <v>281.25</v>
      </c>
      <c r="AA22" s="4" t="s">
        <v>10</v>
      </c>
      <c r="AB22" s="11">
        <f>IFERROR(VLOOKUP(AA22,Curr!$B$2:$C$13,2,FALSE),0)</f>
        <v>11</v>
      </c>
      <c r="AC22" s="12">
        <f t="shared" si="3"/>
        <v>3093.75</v>
      </c>
      <c r="AD22" s="12">
        <f t="shared" si="4"/>
        <v>618.75</v>
      </c>
      <c r="AE22" s="13">
        <f t="shared" si="5"/>
        <v>0.2</v>
      </c>
    </row>
    <row r="23" spans="2:31" x14ac:dyDescent="0.25">
      <c r="B23" s="4"/>
      <c r="C23" s="1" t="s">
        <v>67</v>
      </c>
      <c r="D23" s="1" t="s">
        <v>60</v>
      </c>
      <c r="E23" s="3"/>
      <c r="F23" s="3"/>
      <c r="G23" s="24"/>
      <c r="H23" s="24"/>
      <c r="J23" s="1" t="s">
        <v>86</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77</v>
      </c>
      <c r="D25" s="1" t="s">
        <v>58</v>
      </c>
      <c r="E25" s="3"/>
      <c r="F25" s="3"/>
      <c r="G25" s="24"/>
      <c r="H25" s="24"/>
      <c r="J25" s="1" t="s">
        <v>89</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1"/>
        <v>0</v>
      </c>
      <c r="Z25" s="12">
        <f t="shared" si="2"/>
        <v>0</v>
      </c>
      <c r="AA25" s="4" t="s">
        <v>10</v>
      </c>
      <c r="AB25" s="11">
        <f>IFERROR(VLOOKUP(AA25,Curr!$B$2:$C$13,2,FALSE),0)</f>
        <v>11</v>
      </c>
      <c r="AC25" s="12">
        <f t="shared" si="3"/>
        <v>0</v>
      </c>
      <c r="AD25" s="12">
        <f t="shared" si="4"/>
        <v>0</v>
      </c>
      <c r="AE25" s="13">
        <f t="shared" si="5"/>
        <v>0</v>
      </c>
    </row>
    <row r="26" spans="2:31" x14ac:dyDescent="0.25">
      <c r="B26" s="4"/>
      <c r="C26" s="1" t="s">
        <v>77</v>
      </c>
      <c r="D26" s="1" t="s">
        <v>59</v>
      </c>
      <c r="E26" s="3"/>
      <c r="F26" s="3"/>
      <c r="G26" s="24"/>
      <c r="H26" s="24"/>
      <c r="J26" s="1" t="s">
        <v>91</v>
      </c>
      <c r="K26" s="4"/>
      <c r="L26" s="4"/>
      <c r="M26" s="4"/>
      <c r="N26" s="4"/>
      <c r="O26" s="4"/>
      <c r="P26" s="33"/>
      <c r="Q26" s="25">
        <v>175</v>
      </c>
      <c r="R26" s="25">
        <v>1</v>
      </c>
      <c r="S26" s="12">
        <f t="shared" si="8"/>
        <v>175</v>
      </c>
      <c r="T26" s="5">
        <v>0</v>
      </c>
      <c r="U26" s="12">
        <f t="shared" si="9"/>
        <v>175</v>
      </c>
      <c r="V26" s="25" t="s">
        <v>10</v>
      </c>
      <c r="W26" s="11">
        <f>IFERROR(VLOOKUP(V26,Curr!$B$2:$C$13,2,FALSE),0)</f>
        <v>11</v>
      </c>
      <c r="X26" s="12">
        <f t="shared" si="10"/>
        <v>1925</v>
      </c>
      <c r="Y26" s="26">
        <f>Q26/0.8</f>
        <v>218.75</v>
      </c>
      <c r="Z26" s="12">
        <f t="shared" si="2"/>
        <v>218.75</v>
      </c>
      <c r="AA26" s="4" t="s">
        <v>10</v>
      </c>
      <c r="AB26" s="11">
        <f>IFERROR(VLOOKUP(AA26,Curr!$B$2:$C$13,2,FALSE),0)</f>
        <v>11</v>
      </c>
      <c r="AC26" s="12">
        <f t="shared" si="3"/>
        <v>2406.25</v>
      </c>
      <c r="AD26" s="12">
        <f t="shared" si="4"/>
        <v>481.25</v>
      </c>
      <c r="AE26" s="13">
        <f t="shared" si="5"/>
        <v>0.2</v>
      </c>
    </row>
    <row r="27" spans="2:31" x14ac:dyDescent="0.25">
      <c r="B27" s="4"/>
      <c r="C27" s="1" t="s">
        <v>77</v>
      </c>
      <c r="D27" s="1" t="s">
        <v>60</v>
      </c>
      <c r="E27" s="3"/>
      <c r="F27" s="3"/>
      <c r="G27" s="24"/>
      <c r="H27" s="24"/>
      <c r="J27" s="1" t="s">
        <v>90</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1"/>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8"/>
        <v>0</v>
      </c>
      <c r="T28" s="5">
        <v>0</v>
      </c>
      <c r="U28" s="12">
        <f t="shared" si="9"/>
        <v>0</v>
      </c>
      <c r="V28" s="25" t="s">
        <v>10</v>
      </c>
      <c r="W28" s="11">
        <f>IFERROR(VLOOKUP(V28,Curr!$B$2:$C$13,2,FALSE),0)</f>
        <v>11</v>
      </c>
      <c r="X28" s="12">
        <f t="shared" si="10"/>
        <v>0</v>
      </c>
      <c r="Y28" s="26">
        <f t="shared" si="11"/>
        <v>0</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58</v>
      </c>
      <c r="E29" s="3"/>
      <c r="F29" s="3"/>
      <c r="G29" s="24"/>
      <c r="H29" s="24"/>
      <c r="J29" s="1" t="s">
        <v>93</v>
      </c>
      <c r="K29" s="4"/>
      <c r="L29" s="4"/>
      <c r="M29" s="4"/>
      <c r="N29" s="4"/>
      <c r="O29" s="4"/>
      <c r="P29" s="29"/>
      <c r="Q29" s="25">
        <v>0</v>
      </c>
      <c r="R29" s="25">
        <v>0</v>
      </c>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57</v>
      </c>
      <c r="E30" s="3"/>
      <c r="F30" s="3"/>
      <c r="G30" s="24"/>
      <c r="H30" s="24"/>
      <c r="J30" s="1" t="s">
        <v>80</v>
      </c>
      <c r="K30" s="4"/>
      <c r="L30" s="4"/>
      <c r="M30" s="4"/>
      <c r="N30" s="4"/>
      <c r="O30" s="4"/>
      <c r="P30" s="33"/>
      <c r="Q30" s="25">
        <v>0</v>
      </c>
      <c r="R30" s="25">
        <v>0</v>
      </c>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C31" s="1" t="s">
        <v>92</v>
      </c>
      <c r="D31" s="1" t="s">
        <v>78</v>
      </c>
      <c r="E31" s="3"/>
      <c r="F31" s="3"/>
      <c r="G31" s="24"/>
      <c r="H31" s="24"/>
      <c r="J31" s="1" t="s">
        <v>81</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c r="R32" s="25"/>
      <c r="S32" s="12">
        <f t="shared" si="8"/>
        <v>0</v>
      </c>
      <c r="T32" s="5">
        <v>0</v>
      </c>
      <c r="U32" s="12">
        <f t="shared" si="9"/>
        <v>0</v>
      </c>
      <c r="V32" s="25" t="s">
        <v>10</v>
      </c>
      <c r="W32" s="11">
        <f>IFERROR(VLOOKUP(V32,Curr!$B$2:$C$13,2,FALSE),0)</f>
        <v>11</v>
      </c>
      <c r="X32" s="12">
        <f t="shared" si="10"/>
        <v>0</v>
      </c>
      <c r="Y32" s="26">
        <f t="shared" si="11"/>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1" x14ac:dyDescent="0.25">
      <c r="B34" s="4"/>
      <c r="C34" s="1" t="s">
        <v>55</v>
      </c>
      <c r="D34" s="1" t="s">
        <v>83</v>
      </c>
      <c r="E34" s="3"/>
      <c r="F34" s="3"/>
      <c r="G34" s="24"/>
      <c r="H34" s="24"/>
      <c r="J34" s="1" t="s">
        <v>184</v>
      </c>
      <c r="K34" s="4"/>
      <c r="L34" s="4"/>
      <c r="M34" s="4"/>
      <c r="N34" s="4"/>
      <c r="O34" s="4"/>
      <c r="P34" s="33" t="s">
        <v>243</v>
      </c>
      <c r="Q34" s="25">
        <v>37</v>
      </c>
      <c r="R34" s="25">
        <v>0</v>
      </c>
      <c r="S34" s="12">
        <f t="shared" si="8"/>
        <v>0</v>
      </c>
      <c r="T34" s="5">
        <v>0.2</v>
      </c>
      <c r="U34" s="12">
        <f t="shared" si="9"/>
        <v>0</v>
      </c>
      <c r="V34" s="25" t="s">
        <v>10</v>
      </c>
      <c r="W34" s="11">
        <f>IFERROR(VLOOKUP(V34,Curr!$B$2:$C$13,2,FALSE),0)</f>
        <v>11</v>
      </c>
      <c r="X34" s="12">
        <f t="shared" si="10"/>
        <v>0</v>
      </c>
      <c r="Y34" s="26">
        <f t="shared" si="11"/>
        <v>37</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83</v>
      </c>
      <c r="E35" s="3"/>
      <c r="F35" s="3"/>
      <c r="G35" s="24"/>
      <c r="H35" s="24"/>
      <c r="J35" s="1" t="s">
        <v>241</v>
      </c>
      <c r="K35" s="4"/>
      <c r="L35" s="4"/>
      <c r="M35" s="4"/>
      <c r="N35" s="4"/>
      <c r="O35" s="4"/>
      <c r="P35" s="33" t="s">
        <v>242</v>
      </c>
      <c r="Q35" s="25">
        <v>89</v>
      </c>
      <c r="R35" s="25">
        <v>0</v>
      </c>
      <c r="S35" s="12">
        <f t="shared" si="8"/>
        <v>0</v>
      </c>
      <c r="T35" s="5">
        <v>0.25</v>
      </c>
      <c r="U35" s="12">
        <f t="shared" si="9"/>
        <v>0</v>
      </c>
      <c r="V35" s="25" t="s">
        <v>10</v>
      </c>
      <c r="W35" s="11">
        <f>IFERROR(VLOOKUP(V35,Curr!$B$2:$C$13,2,FALSE),0)</f>
        <v>11</v>
      </c>
      <c r="X35" s="12">
        <f t="shared" si="10"/>
        <v>0</v>
      </c>
      <c r="Y35" s="26">
        <f t="shared" si="11"/>
        <v>89</v>
      </c>
      <c r="Z35" s="12">
        <f t="shared" si="2"/>
        <v>0</v>
      </c>
      <c r="AA35" s="4" t="s">
        <v>10</v>
      </c>
      <c r="AB35" s="11">
        <f>IFERROR(VLOOKUP(AA35,Curr!$B$2:$C$13,2,FALSE),0)</f>
        <v>11</v>
      </c>
      <c r="AC35" s="12">
        <f t="shared" si="3"/>
        <v>0</v>
      </c>
      <c r="AD35" s="12">
        <f t="shared" si="4"/>
        <v>0</v>
      </c>
      <c r="AE35" s="13">
        <f t="shared" si="5"/>
        <v>0</v>
      </c>
    </row>
    <row r="36" spans="2:31" x14ac:dyDescent="0.25">
      <c r="B36" s="4"/>
      <c r="C36" s="1" t="s">
        <v>66</v>
      </c>
      <c r="D36" s="1" t="s">
        <v>83</v>
      </c>
      <c r="E36" s="3"/>
      <c r="F36" s="3"/>
      <c r="G36" s="24"/>
      <c r="H36" s="24"/>
      <c r="J36" s="1" t="s">
        <v>239</v>
      </c>
      <c r="K36" s="4"/>
      <c r="L36" s="4"/>
      <c r="M36" s="4"/>
      <c r="N36" s="4"/>
      <c r="O36" s="4"/>
      <c r="P36" s="33" t="s">
        <v>240</v>
      </c>
      <c r="Q36" s="25">
        <v>205</v>
      </c>
      <c r="R36" s="25">
        <v>0</v>
      </c>
      <c r="S36" s="12">
        <f t="shared" si="8"/>
        <v>0</v>
      </c>
      <c r="T36" s="5">
        <v>0</v>
      </c>
      <c r="U36" s="12">
        <f t="shared" si="9"/>
        <v>0</v>
      </c>
      <c r="V36" s="25" t="s">
        <v>10</v>
      </c>
      <c r="W36" s="11">
        <f>IFERROR(VLOOKUP(V36,Curr!$B$2:$C$13,2,FALSE),0)</f>
        <v>11</v>
      </c>
      <c r="X36" s="12">
        <f t="shared" si="10"/>
        <v>0</v>
      </c>
      <c r="Y36" s="26">
        <f t="shared" si="11"/>
        <v>205</v>
      </c>
      <c r="Z36" s="12">
        <f t="shared" si="2"/>
        <v>0</v>
      </c>
      <c r="AA36" s="4" t="s">
        <v>10</v>
      </c>
      <c r="AB36" s="11">
        <f>IFERROR(VLOOKUP(AA36,Curr!$B$2:$C$13,2,FALSE),0)</f>
        <v>11</v>
      </c>
      <c r="AC36" s="12">
        <f t="shared" si="3"/>
        <v>0</v>
      </c>
      <c r="AD36" s="12">
        <f t="shared" si="4"/>
        <v>0</v>
      </c>
      <c r="AE36" s="13">
        <f t="shared" si="5"/>
        <v>0</v>
      </c>
    </row>
    <row r="37" spans="2:31" x14ac:dyDescent="0.25">
      <c r="B37" s="4"/>
      <c r="C37" s="1" t="s">
        <v>77</v>
      </c>
      <c r="D37" s="1" t="s">
        <v>83</v>
      </c>
      <c r="E37" s="3"/>
      <c r="F37" s="3"/>
      <c r="G37" s="24"/>
      <c r="H37" s="24"/>
      <c r="J37" s="1" t="s">
        <v>244</v>
      </c>
      <c r="K37" s="4"/>
      <c r="L37" s="4"/>
      <c r="M37" s="4"/>
      <c r="N37" s="4"/>
      <c r="O37" s="4"/>
      <c r="P37" s="33" t="s">
        <v>245</v>
      </c>
      <c r="Q37" s="25">
        <v>99</v>
      </c>
      <c r="R37" s="25">
        <v>0</v>
      </c>
      <c r="S37" s="12">
        <f t="shared" si="8"/>
        <v>0</v>
      </c>
      <c r="T37" s="5">
        <v>0.25</v>
      </c>
      <c r="U37" s="12">
        <f t="shared" si="9"/>
        <v>0</v>
      </c>
      <c r="V37" s="25" t="s">
        <v>10</v>
      </c>
      <c r="W37" s="11">
        <f>IFERROR(VLOOKUP(V37,Curr!$B$2:$C$13,2,FALSE),0)</f>
        <v>11</v>
      </c>
      <c r="X37" s="12">
        <f t="shared" si="10"/>
        <v>0</v>
      </c>
      <c r="Y37" s="26">
        <f t="shared" si="11"/>
        <v>99</v>
      </c>
      <c r="Z37" s="12">
        <f t="shared" si="2"/>
        <v>0</v>
      </c>
      <c r="AA37" s="4" t="s">
        <v>10</v>
      </c>
      <c r="AB37" s="11">
        <f>IFERROR(VLOOKUP(AA37,Curr!$B$2:$C$13,2,FALSE),0)</f>
        <v>11</v>
      </c>
      <c r="AC37" s="12">
        <f t="shared" si="3"/>
        <v>0</v>
      </c>
      <c r="AD37" s="12">
        <f t="shared" si="4"/>
        <v>0</v>
      </c>
      <c r="AE37" s="13">
        <f t="shared" si="5"/>
        <v>0</v>
      </c>
    </row>
    <row r="38" spans="2:31" x14ac:dyDescent="0.25">
      <c r="B38" s="4"/>
      <c r="C38" s="1" t="s">
        <v>92</v>
      </c>
      <c r="D38" s="1" t="s">
        <v>83</v>
      </c>
      <c r="E38" s="3"/>
      <c r="F38" s="3"/>
      <c r="G38" s="24"/>
      <c r="H38" s="24"/>
      <c r="J38" s="1" t="s">
        <v>137</v>
      </c>
      <c r="K38" s="4"/>
      <c r="L38" s="4"/>
      <c r="M38" s="4"/>
      <c r="N38" s="4"/>
      <c r="O38" s="4"/>
      <c r="P38" s="33" t="s">
        <v>182</v>
      </c>
      <c r="Q38" s="25">
        <v>163</v>
      </c>
      <c r="R38" s="25">
        <v>0</v>
      </c>
      <c r="S38" s="12">
        <f t="shared" ref="S38" si="12">+Q38*R38</f>
        <v>0</v>
      </c>
      <c r="T38" s="5">
        <v>0.2</v>
      </c>
      <c r="U38" s="12">
        <f t="shared" ref="U38" si="13">S38*(1-T38)</f>
        <v>0</v>
      </c>
      <c r="V38" s="25" t="s">
        <v>10</v>
      </c>
      <c r="W38" s="11">
        <f>IFERROR(VLOOKUP(V38,Curr!$B$2:$C$13,2,FALSE),0)</f>
        <v>11</v>
      </c>
      <c r="X38" s="12">
        <f t="shared" ref="X38" si="14">U38*W38</f>
        <v>0</v>
      </c>
      <c r="Y38" s="26">
        <f t="shared" ref="Y38" si="15">Q38</f>
        <v>163</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C41" s="1" t="s">
        <v>55</v>
      </c>
      <c r="D41" s="1" t="s">
        <v>138</v>
      </c>
      <c r="E41" s="3"/>
      <c r="F41" s="3"/>
      <c r="G41" s="24"/>
      <c r="H41" s="24"/>
      <c r="J41" s="1" t="s">
        <v>139</v>
      </c>
      <c r="K41" s="4"/>
      <c r="L41" s="4"/>
      <c r="M41" s="4"/>
      <c r="N41" s="4"/>
      <c r="O41" s="4"/>
      <c r="P41" s="27"/>
      <c r="Q41" s="25">
        <v>225</v>
      </c>
      <c r="R41" s="25">
        <v>0</v>
      </c>
      <c r="S41" s="12">
        <f t="shared" si="8"/>
        <v>0</v>
      </c>
      <c r="T41" s="5">
        <v>0</v>
      </c>
      <c r="U41" s="12">
        <f t="shared" si="9"/>
        <v>0</v>
      </c>
      <c r="V41" s="25" t="s">
        <v>10</v>
      </c>
      <c r="W41" s="11">
        <f>IFERROR(VLOOKUP(V41,Curr!$B$2:$C$13,2,FALSE),0)</f>
        <v>11</v>
      </c>
      <c r="X41" s="12">
        <f t="shared" si="10"/>
        <v>0</v>
      </c>
      <c r="Y41" s="26">
        <f>Q41/0.85</f>
        <v>264.70588235294116</v>
      </c>
      <c r="Z41" s="12">
        <f t="shared" si="2"/>
        <v>0</v>
      </c>
      <c r="AA41" s="4" t="s">
        <v>10</v>
      </c>
      <c r="AB41" s="11">
        <f>IFERROR(VLOOKUP(AA41,Curr!$B$2:$C$13,2,FALSE),0)</f>
        <v>11</v>
      </c>
      <c r="AC41" s="12">
        <f t="shared" si="3"/>
        <v>0</v>
      </c>
      <c r="AD41" s="12">
        <f t="shared" si="4"/>
        <v>0</v>
      </c>
      <c r="AE41" s="13">
        <f t="shared" si="5"/>
        <v>0</v>
      </c>
    </row>
    <row r="42" spans="2:31" x14ac:dyDescent="0.25">
      <c r="B42" s="4"/>
      <c r="C42" s="1" t="s">
        <v>92</v>
      </c>
      <c r="D42" s="1" t="s">
        <v>138</v>
      </c>
      <c r="E42" s="3"/>
      <c r="F42" s="3"/>
      <c r="G42" s="24"/>
      <c r="H42" s="24"/>
      <c r="J42" s="1" t="s">
        <v>139</v>
      </c>
      <c r="K42" s="4"/>
      <c r="L42" s="4"/>
      <c r="M42" s="4"/>
      <c r="N42" s="4"/>
      <c r="O42" s="4"/>
      <c r="P42" s="33"/>
      <c r="Q42" s="25">
        <v>225</v>
      </c>
      <c r="R42" s="25">
        <v>0</v>
      </c>
      <c r="S42" s="12">
        <f t="shared" si="8"/>
        <v>0</v>
      </c>
      <c r="T42" s="5">
        <v>0</v>
      </c>
      <c r="U42" s="12">
        <f t="shared" si="9"/>
        <v>0</v>
      </c>
      <c r="V42" s="25" t="s">
        <v>10</v>
      </c>
      <c r="W42" s="11">
        <f>IFERROR(VLOOKUP(V42,Curr!$B$2:$C$13,2,FALSE),0)</f>
        <v>11</v>
      </c>
      <c r="X42" s="12">
        <f t="shared" si="10"/>
        <v>0</v>
      </c>
      <c r="Y42" s="26">
        <f>Q42/0.85</f>
        <v>264.70588235294116</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1875</v>
      </c>
      <c r="AA51" s="14"/>
      <c r="AB51" s="14"/>
      <c r="AC51" s="15">
        <f>SUM(AC7:AC49)</f>
        <v>20625</v>
      </c>
      <c r="AD51" s="15">
        <f>SUM(AD7:AD49)</f>
        <v>4125</v>
      </c>
      <c r="AE51" s="21">
        <f t="shared" ref="AE51" si="16">IFERROR(AD51/AC51,0)</f>
        <v>0.2</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234</v>
      </c>
      <c r="Z53" s="34">
        <v>0</v>
      </c>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235</v>
      </c>
      <c r="Z54" s="34">
        <f>Z8+Z10+Z14+Z18+Z22+Z26</f>
        <v>1875</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236</v>
      </c>
      <c r="Z55" s="34">
        <v>1880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45</v>
      </c>
      <c r="Z56" s="34">
        <f>Z55/2</f>
        <v>940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c r="Z58" s="9"/>
      <c r="AA58" s="9"/>
      <c r="AB58" s="9"/>
      <c r="AC58" s="9"/>
      <c r="AD58" s="9"/>
      <c r="AE58" s="9"/>
    </row>
    <row r="59" spans="2:36" x14ac:dyDescent="0.25">
      <c r="R59" s="4"/>
      <c r="S59" s="17"/>
      <c r="T59" s="17"/>
      <c r="U59" s="9"/>
      <c r="V59" s="4"/>
      <c r="W59" s="4"/>
      <c r="X59" s="9"/>
      <c r="Y59" s="41" t="s">
        <v>295</v>
      </c>
      <c r="Z59" s="9">
        <f>Z55</f>
        <v>1880</v>
      </c>
      <c r="AA59" s="9"/>
      <c r="AB59" s="9"/>
      <c r="AC59" s="9"/>
      <c r="AD59" s="9"/>
      <c r="AE59" s="9"/>
    </row>
    <row r="60" spans="2:36" x14ac:dyDescent="0.25">
      <c r="Q60" s="9"/>
      <c r="R60" s="4"/>
      <c r="S60" s="16"/>
      <c r="T60" s="16"/>
      <c r="U60" s="9"/>
      <c r="V60" s="4"/>
      <c r="W60" s="4"/>
      <c r="X60" s="9"/>
      <c r="Y60" s="41" t="s">
        <v>296</v>
      </c>
      <c r="Z60" s="9">
        <f>Z59*1.2</f>
        <v>2256</v>
      </c>
      <c r="AA60" s="9"/>
      <c r="AB60" s="9"/>
      <c r="AC60" s="9"/>
      <c r="AD60" s="9"/>
      <c r="AE60" s="9"/>
    </row>
    <row r="61" spans="2:36" x14ac:dyDescent="0.25">
      <c r="R61" s="4"/>
      <c r="S61" s="16"/>
      <c r="T61" s="16"/>
      <c r="Y61" s="41" t="s">
        <v>297</v>
      </c>
      <c r="Z61" s="9">
        <f>Z59*1.4</f>
        <v>2632</v>
      </c>
      <c r="AA61" s="9"/>
      <c r="AB61" s="9"/>
      <c r="AC61" s="9"/>
      <c r="AD61" s="9"/>
      <c r="AE61" s="9"/>
    </row>
    <row r="62" spans="2:36" x14ac:dyDescent="0.25">
      <c r="T62" s="5"/>
      <c r="Y62" s="41" t="s">
        <v>298</v>
      </c>
      <c r="Z62" s="9">
        <f>Z59*0.7</f>
        <v>1316</v>
      </c>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36" r:id="rId1" xr:uid="{C15C2FDF-CF68-4CF7-A519-22B4DAF5E095}"/>
    <hyperlink ref="P34" r:id="rId2" xr:uid="{4425D3B4-DD89-4D35-89AE-574062E714C6}"/>
    <hyperlink ref="P38" r:id="rId3" xr:uid="{D4F77178-805A-4532-963B-BBD382AC552C}"/>
    <hyperlink ref="P35" r:id="rId4" xr:uid="{B508D39C-E374-4061-AC60-EEE3925A2EA6}"/>
    <hyperlink ref="P37" r:id="rId5" xr:uid="{063A0224-63C2-4534-9DB0-43EC49AD0235}"/>
    <hyperlink ref="P10" r:id="rId6" xr:uid="{283E7050-6137-43EE-8C0F-38C8DE2A54CF}"/>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BB93-594F-4D41-8BE3-14098849E74A}">
  <sheetPr>
    <tabColor rgb="FFFFFF00"/>
  </sheetPr>
  <dimension ref="B1:AK74"/>
  <sheetViews>
    <sheetView topLeftCell="A4" zoomScale="80" zoomScaleNormal="80" workbookViewId="0">
      <selection activeCell="J21" sqref="J2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52</v>
      </c>
    </row>
    <row r="2" spans="2:36" x14ac:dyDescent="0.25">
      <c r="B2" s="2" t="s">
        <v>104</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19" si="0">+Q7*R7</f>
        <v>0</v>
      </c>
      <c r="T7" s="5">
        <v>0</v>
      </c>
      <c r="U7" s="12">
        <f>S7*(1-T7)</f>
        <v>0</v>
      </c>
      <c r="V7" s="25" t="s">
        <v>10</v>
      </c>
      <c r="W7" s="11">
        <f>IFERROR(VLOOKUP(V7,Curr!$B$2:$C$13,2,FALSE),0)</f>
        <v>11</v>
      </c>
      <c r="X7" s="12">
        <f t="shared" ref="X7:X19" si="1">U7*W7</f>
        <v>0</v>
      </c>
      <c r="Y7" s="26">
        <f>Q7</f>
        <v>0</v>
      </c>
      <c r="Z7" s="12">
        <f t="shared" ref="Z7:Z49" si="2">+Y7*R7</f>
        <v>0</v>
      </c>
      <c r="AA7" s="4" t="s">
        <v>10</v>
      </c>
      <c r="AB7" s="11">
        <f>IFERROR(VLOOKUP(AA7,Curr!$B$2:$C$13,2,FALSE),0)</f>
        <v>11</v>
      </c>
      <c r="AC7" s="12">
        <f t="shared" ref="AC7:AC49" si="3">+Y7*AB7*R7</f>
        <v>0</v>
      </c>
      <c r="AD7" s="12">
        <f t="shared" ref="AD7:AD49" si="4">+AC7-X7</f>
        <v>0</v>
      </c>
      <c r="AE7" s="13">
        <f t="shared" ref="AE7:AE49" si="5">IFERROR(AD7/AC7,0)</f>
        <v>0</v>
      </c>
    </row>
    <row r="8" spans="2:36" x14ac:dyDescent="0.25">
      <c r="B8" s="4"/>
      <c r="C8" s="1" t="s">
        <v>55</v>
      </c>
      <c r="D8" s="1" t="s">
        <v>57</v>
      </c>
      <c r="E8" s="3"/>
      <c r="F8" s="3"/>
      <c r="G8" s="24"/>
      <c r="H8" s="24"/>
      <c r="J8" s="1" t="s">
        <v>246</v>
      </c>
      <c r="K8" s="4"/>
      <c r="L8" s="4"/>
      <c r="M8" s="4"/>
      <c r="N8" s="4"/>
      <c r="O8" s="4"/>
      <c r="P8" s="27"/>
      <c r="Q8" s="25">
        <v>550</v>
      </c>
      <c r="R8" s="25">
        <v>1</v>
      </c>
      <c r="S8" s="12">
        <f t="shared" si="0"/>
        <v>550</v>
      </c>
      <c r="T8" s="5">
        <v>0</v>
      </c>
      <c r="U8" s="12">
        <f t="shared" ref="U8:U19" si="6">S8*(1-T8)</f>
        <v>550</v>
      </c>
      <c r="V8" s="25" t="s">
        <v>10</v>
      </c>
      <c r="W8" s="11">
        <f>IFERROR(VLOOKUP(V8,Curr!$B$2:$C$13,2,FALSE),0)</f>
        <v>11</v>
      </c>
      <c r="X8" s="12">
        <f t="shared" si="1"/>
        <v>6050</v>
      </c>
      <c r="Y8" s="26">
        <f>Q8/0.8</f>
        <v>687.5</v>
      </c>
      <c r="Z8" s="12">
        <f t="shared" si="2"/>
        <v>687.5</v>
      </c>
      <c r="AA8" s="4" t="s">
        <v>10</v>
      </c>
      <c r="AB8" s="11">
        <f>IFERROR(VLOOKUP(AA8,Curr!$B$2:$C$13,2,FALSE),0)</f>
        <v>11</v>
      </c>
      <c r="AC8" s="12">
        <f t="shared" si="3"/>
        <v>7562.5</v>
      </c>
      <c r="AD8" s="12">
        <f t="shared" si="4"/>
        <v>1512.5</v>
      </c>
      <c r="AE8" s="13">
        <f t="shared" si="5"/>
        <v>0.2</v>
      </c>
    </row>
    <row r="9" spans="2:36" x14ac:dyDescent="0.25">
      <c r="B9" s="4"/>
      <c r="C9" s="1" t="s">
        <v>55</v>
      </c>
      <c r="D9" s="1" t="s">
        <v>58</v>
      </c>
      <c r="E9" s="3"/>
      <c r="F9" s="3"/>
      <c r="G9" s="24"/>
      <c r="H9" s="24"/>
      <c r="J9" s="1" t="s">
        <v>61</v>
      </c>
      <c r="K9" s="4"/>
      <c r="L9" s="4"/>
      <c r="M9" s="4"/>
      <c r="N9" s="4"/>
      <c r="O9" s="4"/>
      <c r="P9" s="33"/>
      <c r="Q9" s="25">
        <v>0</v>
      </c>
      <c r="R9" s="25">
        <v>0</v>
      </c>
      <c r="S9" s="12">
        <f t="shared" si="0"/>
        <v>0</v>
      </c>
      <c r="T9" s="5">
        <v>0</v>
      </c>
      <c r="U9" s="12">
        <f t="shared" si="6"/>
        <v>0</v>
      </c>
      <c r="V9" s="25" t="s">
        <v>10</v>
      </c>
      <c r="W9" s="11">
        <f>IFERROR(VLOOKUP(V9,Curr!$B$2:$C$13,2,FALSE),0)</f>
        <v>11</v>
      </c>
      <c r="X9" s="12">
        <f t="shared" si="1"/>
        <v>0</v>
      </c>
      <c r="Y9" s="26">
        <f t="shared" ref="Y9:Y19" si="7">Q9</f>
        <v>0</v>
      </c>
      <c r="Z9" s="12">
        <f t="shared" si="2"/>
        <v>0</v>
      </c>
      <c r="AA9" s="4" t="s">
        <v>10</v>
      </c>
      <c r="AB9" s="11">
        <f>IFERROR(VLOOKUP(AA9,Curr!$B$2:$C$13,2,FALSE),0)</f>
        <v>11</v>
      </c>
      <c r="AC9" s="12">
        <f t="shared" si="3"/>
        <v>0</v>
      </c>
      <c r="AD9" s="12">
        <f t="shared" si="4"/>
        <v>0</v>
      </c>
      <c r="AE9" s="13">
        <f t="shared" si="5"/>
        <v>0</v>
      </c>
    </row>
    <row r="10" spans="2:36" x14ac:dyDescent="0.25">
      <c r="B10" s="4"/>
      <c r="C10" s="1" t="s">
        <v>55</v>
      </c>
      <c r="D10" s="1" t="s">
        <v>59</v>
      </c>
      <c r="E10" s="3"/>
      <c r="F10" s="3"/>
      <c r="G10" s="24"/>
      <c r="H10" s="24"/>
      <c r="J10" s="1" t="s">
        <v>64</v>
      </c>
      <c r="K10" s="4"/>
      <c r="L10" s="4"/>
      <c r="M10" s="4"/>
      <c r="N10" s="4"/>
      <c r="O10" s="4"/>
      <c r="P10" s="33" t="s">
        <v>237</v>
      </c>
      <c r="Q10" s="25">
        <v>200</v>
      </c>
      <c r="R10" s="25">
        <v>1</v>
      </c>
      <c r="S10" s="12">
        <f t="shared" si="0"/>
        <v>200</v>
      </c>
      <c r="T10" s="5">
        <v>0</v>
      </c>
      <c r="U10" s="12">
        <f t="shared" si="6"/>
        <v>200</v>
      </c>
      <c r="V10" s="25" t="s">
        <v>10</v>
      </c>
      <c r="W10" s="11">
        <f>IFERROR(VLOOKUP(V10,Curr!$B$2:$C$13,2,FALSE),0)</f>
        <v>11</v>
      </c>
      <c r="X10" s="12">
        <f t="shared" si="1"/>
        <v>2200</v>
      </c>
      <c r="Y10" s="26">
        <f>Q10/0.8</f>
        <v>250</v>
      </c>
      <c r="Z10" s="12">
        <f t="shared" si="2"/>
        <v>250</v>
      </c>
      <c r="AA10" s="4" t="s">
        <v>10</v>
      </c>
      <c r="AB10" s="11">
        <f>IFERROR(VLOOKUP(AA10,Curr!$B$2:$C$13,2,FALSE),0)</f>
        <v>11</v>
      </c>
      <c r="AC10" s="12">
        <f t="shared" si="3"/>
        <v>2750</v>
      </c>
      <c r="AD10" s="12">
        <f t="shared" si="4"/>
        <v>550</v>
      </c>
      <c r="AE10" s="13">
        <f t="shared" si="5"/>
        <v>0.2</v>
      </c>
    </row>
    <row r="11" spans="2:36" x14ac:dyDescent="0.25">
      <c r="B11" s="4"/>
      <c r="C11" s="1" t="s">
        <v>55</v>
      </c>
      <c r="D11" s="1" t="s">
        <v>60</v>
      </c>
      <c r="E11" s="3"/>
      <c r="F11" s="3"/>
      <c r="G11" s="24"/>
      <c r="H11" s="24"/>
      <c r="J11" s="1" t="s">
        <v>63</v>
      </c>
      <c r="K11" s="4"/>
      <c r="L11" s="4"/>
      <c r="M11" s="4"/>
      <c r="N11" s="4"/>
      <c r="O11" s="4"/>
      <c r="P11" s="27"/>
      <c r="Q11" s="25">
        <v>0</v>
      </c>
      <c r="R11" s="25">
        <v>0</v>
      </c>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c r="R12" s="25"/>
      <c r="S12" s="12">
        <f t="shared" si="0"/>
        <v>0</v>
      </c>
      <c r="T12" s="5">
        <v>0</v>
      </c>
      <c r="U12" s="12">
        <f t="shared" si="6"/>
        <v>0</v>
      </c>
      <c r="V12" s="25" t="s">
        <v>10</v>
      </c>
      <c r="W12" s="11">
        <f>IFERROR(VLOOKUP(V12,Curr!$B$2:$C$13,2,FALSE),0)</f>
        <v>11</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C13" s="1" t="s">
        <v>65</v>
      </c>
      <c r="D13" s="1" t="s">
        <v>58</v>
      </c>
      <c r="E13" s="3"/>
      <c r="F13" s="3"/>
      <c r="G13" s="24"/>
      <c r="H13" s="24"/>
      <c r="J13" s="1" t="s">
        <v>68</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59</v>
      </c>
      <c r="E14" s="3"/>
      <c r="F14" s="3"/>
      <c r="G14" s="24"/>
      <c r="H14" s="24"/>
      <c r="J14" s="1" t="s">
        <v>69</v>
      </c>
      <c r="K14" s="4"/>
      <c r="L14" s="4"/>
      <c r="M14" s="4"/>
      <c r="N14" s="4"/>
      <c r="O14" s="4"/>
      <c r="P14" s="33"/>
      <c r="Q14" s="25">
        <v>250</v>
      </c>
      <c r="R14" s="25">
        <v>1</v>
      </c>
      <c r="S14" s="12">
        <f t="shared" ref="S14" si="8">+Q14*R14</f>
        <v>250</v>
      </c>
      <c r="T14" s="5">
        <v>0</v>
      </c>
      <c r="U14" s="12">
        <f t="shared" ref="U14" si="9">S14*(1-T14)</f>
        <v>250</v>
      </c>
      <c r="V14" s="25" t="s">
        <v>10</v>
      </c>
      <c r="W14" s="11">
        <f>IFERROR(VLOOKUP(V14,Curr!$B$2:$C$13,2,FALSE),0)</f>
        <v>11</v>
      </c>
      <c r="X14" s="12">
        <f t="shared" ref="X14" si="10">U14*W14</f>
        <v>2750</v>
      </c>
      <c r="Y14" s="26">
        <f>Q14/0.8</f>
        <v>312.5</v>
      </c>
      <c r="Z14" s="12">
        <f t="shared" si="2"/>
        <v>312.5</v>
      </c>
      <c r="AA14" s="4" t="s">
        <v>10</v>
      </c>
      <c r="AB14" s="11">
        <f>IFERROR(VLOOKUP(AA14,Curr!$B$2:$C$13,2,FALSE),0)</f>
        <v>11</v>
      </c>
      <c r="AC14" s="12">
        <f t="shared" si="3"/>
        <v>3437.5</v>
      </c>
      <c r="AD14" s="12">
        <f t="shared" si="4"/>
        <v>687.5</v>
      </c>
      <c r="AE14" s="13">
        <f t="shared" si="5"/>
        <v>0.2</v>
      </c>
    </row>
    <row r="15" spans="2:36" x14ac:dyDescent="0.25">
      <c r="B15" s="4"/>
      <c r="C15" s="1" t="s">
        <v>65</v>
      </c>
      <c r="D15" s="1" t="s">
        <v>60</v>
      </c>
      <c r="E15" s="3"/>
      <c r="F15" s="3"/>
      <c r="G15" s="24"/>
      <c r="H15" s="24"/>
      <c r="J15" s="1" t="s">
        <v>70</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c r="R16" s="25"/>
      <c r="S16" s="12">
        <f t="shared" si="0"/>
        <v>0</v>
      </c>
      <c r="T16" s="5">
        <v>0</v>
      </c>
      <c r="U16" s="12">
        <f t="shared" si="6"/>
        <v>0</v>
      </c>
      <c r="V16" s="25" t="s">
        <v>10</v>
      </c>
      <c r="W16" s="11">
        <f>IFERROR(VLOOKUP(V16,Curr!$B$2:$C$13,2,FALSE),0)</f>
        <v>11</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C17" s="1" t="s">
        <v>66</v>
      </c>
      <c r="D17" s="1" t="s">
        <v>58</v>
      </c>
      <c r="E17" s="3"/>
      <c r="F17" s="3"/>
      <c r="G17" s="24"/>
      <c r="H17" s="24"/>
      <c r="J17" s="1" t="s">
        <v>71</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C18" s="1" t="s">
        <v>66</v>
      </c>
      <c r="D18" s="1" t="s">
        <v>59</v>
      </c>
      <c r="E18" s="3"/>
      <c r="F18" s="3"/>
      <c r="G18" s="24"/>
      <c r="H18" s="24"/>
      <c r="J18" s="1" t="s">
        <v>72</v>
      </c>
      <c r="K18" s="4"/>
      <c r="L18" s="4"/>
      <c r="M18" s="4"/>
      <c r="N18" s="4"/>
      <c r="O18" s="4"/>
      <c r="P18" s="27"/>
      <c r="Q18" s="25">
        <v>200</v>
      </c>
      <c r="R18" s="25">
        <v>1</v>
      </c>
      <c r="S18" s="12">
        <f t="shared" ref="S18" si="11">+Q18*R18</f>
        <v>200</v>
      </c>
      <c r="T18" s="5">
        <v>0</v>
      </c>
      <c r="U18" s="12">
        <f t="shared" ref="U18" si="12">S18*(1-T18)</f>
        <v>200</v>
      </c>
      <c r="V18" s="25" t="s">
        <v>10</v>
      </c>
      <c r="W18" s="11">
        <f>IFERROR(VLOOKUP(V18,Curr!$B$2:$C$13,2,FALSE),0)</f>
        <v>11</v>
      </c>
      <c r="X18" s="12">
        <f t="shared" ref="X18" si="13">U18*W18</f>
        <v>2200</v>
      </c>
      <c r="Y18" s="26">
        <f>Q18/0.8</f>
        <v>250</v>
      </c>
      <c r="Z18" s="12">
        <f t="shared" si="2"/>
        <v>250</v>
      </c>
      <c r="AA18" s="4" t="s">
        <v>10</v>
      </c>
      <c r="AB18" s="11">
        <f>IFERROR(VLOOKUP(AA18,Curr!$B$2:$C$13,2,FALSE),0)</f>
        <v>11</v>
      </c>
      <c r="AC18" s="12">
        <f t="shared" si="3"/>
        <v>2750</v>
      </c>
      <c r="AD18" s="12">
        <f t="shared" si="4"/>
        <v>550</v>
      </c>
      <c r="AE18" s="13">
        <f t="shared" si="5"/>
        <v>0.2</v>
      </c>
    </row>
    <row r="19" spans="2:31" x14ac:dyDescent="0.25">
      <c r="B19" s="4"/>
      <c r="C19" s="1" t="s">
        <v>66</v>
      </c>
      <c r="D19" s="1" t="s">
        <v>60</v>
      </c>
      <c r="E19" s="3"/>
      <c r="F19" s="3"/>
      <c r="G19" s="24"/>
      <c r="H19" s="24"/>
      <c r="J19" s="1" t="s">
        <v>73</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c r="R20" s="25"/>
      <c r="S20" s="12">
        <f t="shared" ref="S20:S49" si="14">+Q20*R20</f>
        <v>0</v>
      </c>
      <c r="T20" s="5">
        <v>0</v>
      </c>
      <c r="U20" s="12">
        <f t="shared" ref="U20:U49" si="15">S20*(1-T20)</f>
        <v>0</v>
      </c>
      <c r="V20" s="25" t="s">
        <v>10</v>
      </c>
      <c r="W20" s="11">
        <f>IFERROR(VLOOKUP(V20,Curr!$B$2:$C$13,2,FALSE),0)</f>
        <v>11</v>
      </c>
      <c r="X20" s="12">
        <f t="shared" ref="X20:X49" si="16">U20*W20</f>
        <v>0</v>
      </c>
      <c r="Y20" s="26">
        <f t="shared" ref="Y20:Y49" si="17">Q20</f>
        <v>0</v>
      </c>
      <c r="Z20" s="12">
        <f t="shared" si="2"/>
        <v>0</v>
      </c>
      <c r="AA20" s="4" t="s">
        <v>10</v>
      </c>
      <c r="AB20" s="11">
        <f>IFERROR(VLOOKUP(AA20,Curr!$B$2:$C$13,2,FALSE),0)</f>
        <v>11</v>
      </c>
      <c r="AC20" s="12">
        <f t="shared" si="3"/>
        <v>0</v>
      </c>
      <c r="AD20" s="12">
        <f t="shared" si="4"/>
        <v>0</v>
      </c>
      <c r="AE20" s="13">
        <f t="shared" si="5"/>
        <v>0</v>
      </c>
    </row>
    <row r="21" spans="2:31" x14ac:dyDescent="0.25">
      <c r="B21" s="4"/>
      <c r="C21" s="1" t="s">
        <v>67</v>
      </c>
      <c r="D21" s="1" t="s">
        <v>58</v>
      </c>
      <c r="E21" s="3"/>
      <c r="F21" s="3"/>
      <c r="G21" s="24"/>
      <c r="H21" s="24"/>
      <c r="J21" s="1" t="s">
        <v>97</v>
      </c>
      <c r="K21" s="4"/>
      <c r="L21" s="4"/>
      <c r="M21" s="4"/>
      <c r="N21" s="4"/>
      <c r="O21" s="4"/>
      <c r="P21" s="33"/>
      <c r="Q21" s="25">
        <v>0</v>
      </c>
      <c r="R21" s="25">
        <v>0</v>
      </c>
      <c r="S21" s="12">
        <f t="shared" si="14"/>
        <v>0</v>
      </c>
      <c r="T21" s="5">
        <v>0</v>
      </c>
      <c r="U21" s="12">
        <f t="shared" si="15"/>
        <v>0</v>
      </c>
      <c r="V21" s="25" t="s">
        <v>10</v>
      </c>
      <c r="W21" s="11">
        <f>IFERROR(VLOOKUP(V21,Curr!$B$2:$C$13,2,FALSE),0)</f>
        <v>11</v>
      </c>
      <c r="X21" s="12">
        <f t="shared" si="16"/>
        <v>0</v>
      </c>
      <c r="Y21" s="26">
        <f t="shared" si="17"/>
        <v>0</v>
      </c>
      <c r="Z21" s="12">
        <f t="shared" si="2"/>
        <v>0</v>
      </c>
      <c r="AA21" s="4" t="s">
        <v>10</v>
      </c>
      <c r="AB21" s="11">
        <f>IFERROR(VLOOKUP(AA21,Curr!$B$2:$C$13,2,FALSE),0)</f>
        <v>11</v>
      </c>
      <c r="AC21" s="12">
        <f t="shared" si="3"/>
        <v>0</v>
      </c>
      <c r="AD21" s="12">
        <f t="shared" si="4"/>
        <v>0</v>
      </c>
      <c r="AE21" s="13">
        <f t="shared" si="5"/>
        <v>0</v>
      </c>
    </row>
    <row r="22" spans="2:31" x14ac:dyDescent="0.25">
      <c r="B22" s="4"/>
      <c r="C22" s="1" t="s">
        <v>67</v>
      </c>
      <c r="D22" s="1" t="s">
        <v>59</v>
      </c>
      <c r="E22" s="3"/>
      <c r="F22" s="3"/>
      <c r="G22" s="24"/>
      <c r="H22" s="24"/>
      <c r="J22" s="1" t="s">
        <v>95</v>
      </c>
      <c r="K22" s="4"/>
      <c r="L22" s="4"/>
      <c r="M22" s="4"/>
      <c r="N22" s="4"/>
      <c r="O22" s="4"/>
      <c r="P22" s="33"/>
      <c r="Q22" s="25">
        <v>250</v>
      </c>
      <c r="R22" s="25">
        <v>1</v>
      </c>
      <c r="S22" s="12">
        <f t="shared" si="14"/>
        <v>250</v>
      </c>
      <c r="T22" s="5">
        <v>0</v>
      </c>
      <c r="U22" s="12">
        <f t="shared" si="15"/>
        <v>250</v>
      </c>
      <c r="V22" s="25" t="s">
        <v>10</v>
      </c>
      <c r="W22" s="11">
        <f>IFERROR(VLOOKUP(V22,Curr!$B$2:$C$13,2,FALSE),0)</f>
        <v>11</v>
      </c>
      <c r="X22" s="12">
        <f t="shared" si="16"/>
        <v>2750</v>
      </c>
      <c r="Y22" s="26">
        <f>Q22/0.8</f>
        <v>312.5</v>
      </c>
      <c r="Z22" s="12">
        <f t="shared" si="2"/>
        <v>312.5</v>
      </c>
      <c r="AA22" s="4" t="s">
        <v>10</v>
      </c>
      <c r="AB22" s="11">
        <f>IFERROR(VLOOKUP(AA22,Curr!$B$2:$C$13,2,FALSE),0)</f>
        <v>11</v>
      </c>
      <c r="AC22" s="12">
        <f t="shared" si="3"/>
        <v>3437.5</v>
      </c>
      <c r="AD22" s="12">
        <f t="shared" si="4"/>
        <v>687.5</v>
      </c>
      <c r="AE22" s="13">
        <f t="shared" si="5"/>
        <v>0.2</v>
      </c>
    </row>
    <row r="23" spans="2:31" x14ac:dyDescent="0.25">
      <c r="B23" s="4"/>
      <c r="C23" s="1" t="s">
        <v>67</v>
      </c>
      <c r="D23" s="1" t="s">
        <v>60</v>
      </c>
      <c r="E23" s="3"/>
      <c r="F23" s="3"/>
      <c r="G23" s="24"/>
      <c r="H23" s="24"/>
      <c r="J23" s="1" t="s">
        <v>96</v>
      </c>
      <c r="K23" s="4"/>
      <c r="L23" s="4"/>
      <c r="M23" s="4"/>
      <c r="N23" s="4"/>
      <c r="O23" s="4"/>
      <c r="P23" s="27"/>
      <c r="Q23" s="25">
        <v>0</v>
      </c>
      <c r="R23" s="25">
        <v>0</v>
      </c>
      <c r="S23" s="12">
        <f t="shared" si="14"/>
        <v>0</v>
      </c>
      <c r="T23" s="5">
        <v>0</v>
      </c>
      <c r="U23" s="12">
        <f t="shared" si="15"/>
        <v>0</v>
      </c>
      <c r="V23" s="25" t="s">
        <v>10</v>
      </c>
      <c r="W23" s="11">
        <f>IFERROR(VLOOKUP(V23,Curr!$B$2:$C$13,2,FALSE),0)</f>
        <v>11</v>
      </c>
      <c r="X23" s="12">
        <f t="shared" si="16"/>
        <v>0</v>
      </c>
      <c r="Y23" s="26">
        <f t="shared" si="1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14"/>
        <v>0</v>
      </c>
      <c r="T24" s="5">
        <v>0</v>
      </c>
      <c r="U24" s="12">
        <f t="shared" si="15"/>
        <v>0</v>
      </c>
      <c r="V24" s="25" t="s">
        <v>10</v>
      </c>
      <c r="W24" s="11">
        <f>IFERROR(VLOOKUP(V24,Curr!$B$2:$C$13,2,FALSE),0)</f>
        <v>11</v>
      </c>
      <c r="X24" s="12">
        <f t="shared" si="16"/>
        <v>0</v>
      </c>
      <c r="Y24" s="26">
        <f t="shared" si="17"/>
        <v>0</v>
      </c>
      <c r="Z24" s="12">
        <f t="shared" si="2"/>
        <v>0</v>
      </c>
      <c r="AA24" s="4" t="s">
        <v>10</v>
      </c>
      <c r="AB24" s="11">
        <f>IFERROR(VLOOKUP(AA24,Curr!$B$2:$C$13,2,FALSE),0)</f>
        <v>11</v>
      </c>
      <c r="AC24" s="12">
        <f t="shared" si="3"/>
        <v>0</v>
      </c>
      <c r="AD24" s="12">
        <f t="shared" si="4"/>
        <v>0</v>
      </c>
      <c r="AE24" s="13">
        <f t="shared" si="5"/>
        <v>0</v>
      </c>
    </row>
    <row r="25" spans="2:31" x14ac:dyDescent="0.25">
      <c r="B25" s="4"/>
      <c r="C25" s="1" t="s">
        <v>77</v>
      </c>
      <c r="D25" s="1" t="s">
        <v>58</v>
      </c>
      <c r="E25" s="3"/>
      <c r="F25" s="3"/>
      <c r="G25" s="24"/>
      <c r="H25" s="24"/>
      <c r="J25" s="1" t="s">
        <v>98</v>
      </c>
      <c r="K25" s="4"/>
      <c r="L25" s="4"/>
      <c r="M25" s="4"/>
      <c r="N25" s="4"/>
      <c r="O25" s="4"/>
      <c r="P25" s="27"/>
      <c r="Q25" s="25">
        <v>0</v>
      </c>
      <c r="R25" s="25">
        <v>0</v>
      </c>
      <c r="S25" s="12">
        <f t="shared" si="14"/>
        <v>0</v>
      </c>
      <c r="T25" s="5">
        <v>0</v>
      </c>
      <c r="U25" s="12">
        <f t="shared" si="15"/>
        <v>0</v>
      </c>
      <c r="V25" s="25" t="s">
        <v>10</v>
      </c>
      <c r="W25" s="11">
        <f>IFERROR(VLOOKUP(V25,Curr!$B$2:$C$13,2,FALSE),0)</f>
        <v>11</v>
      </c>
      <c r="X25" s="12">
        <f t="shared" si="16"/>
        <v>0</v>
      </c>
      <c r="Y25" s="26">
        <f t="shared" si="17"/>
        <v>0</v>
      </c>
      <c r="Z25" s="12">
        <f t="shared" si="2"/>
        <v>0</v>
      </c>
      <c r="AA25" s="4" t="s">
        <v>10</v>
      </c>
      <c r="AB25" s="11">
        <f>IFERROR(VLOOKUP(AA25,Curr!$B$2:$C$13,2,FALSE),0)</f>
        <v>11</v>
      </c>
      <c r="AC25" s="12">
        <f t="shared" si="3"/>
        <v>0</v>
      </c>
      <c r="AD25" s="12">
        <f t="shared" si="4"/>
        <v>0</v>
      </c>
      <c r="AE25" s="13">
        <f t="shared" si="5"/>
        <v>0</v>
      </c>
    </row>
    <row r="26" spans="2:31" x14ac:dyDescent="0.25">
      <c r="B26" s="4"/>
      <c r="C26" s="1" t="s">
        <v>77</v>
      </c>
      <c r="D26" s="1" t="s">
        <v>59</v>
      </c>
      <c r="E26" s="3"/>
      <c r="F26" s="3"/>
      <c r="G26" s="24"/>
      <c r="H26" s="24"/>
      <c r="J26" s="1" t="s">
        <v>87</v>
      </c>
      <c r="K26" s="4"/>
      <c r="L26" s="4"/>
      <c r="M26" s="4"/>
      <c r="N26" s="4"/>
      <c r="O26" s="4"/>
      <c r="P26" s="33"/>
      <c r="Q26" s="25">
        <v>200</v>
      </c>
      <c r="R26" s="25">
        <v>1</v>
      </c>
      <c r="S26" s="12">
        <f t="shared" si="14"/>
        <v>200</v>
      </c>
      <c r="T26" s="5">
        <v>0</v>
      </c>
      <c r="U26" s="12">
        <f t="shared" si="15"/>
        <v>200</v>
      </c>
      <c r="V26" s="25" t="s">
        <v>10</v>
      </c>
      <c r="W26" s="11">
        <f>IFERROR(VLOOKUP(V26,Curr!$B$2:$C$13,2,FALSE),0)</f>
        <v>11</v>
      </c>
      <c r="X26" s="12">
        <f t="shared" si="16"/>
        <v>2200</v>
      </c>
      <c r="Y26" s="26">
        <f>Q26/0.8</f>
        <v>250</v>
      </c>
      <c r="Z26" s="12">
        <f t="shared" si="2"/>
        <v>250</v>
      </c>
      <c r="AA26" s="4" t="s">
        <v>10</v>
      </c>
      <c r="AB26" s="11">
        <f>IFERROR(VLOOKUP(AA26,Curr!$B$2:$C$13,2,FALSE),0)</f>
        <v>11</v>
      </c>
      <c r="AC26" s="12">
        <f t="shared" si="3"/>
        <v>2750</v>
      </c>
      <c r="AD26" s="12">
        <f t="shared" si="4"/>
        <v>550</v>
      </c>
      <c r="AE26" s="13">
        <f t="shared" si="5"/>
        <v>0.2</v>
      </c>
    </row>
    <row r="27" spans="2:31" x14ac:dyDescent="0.25">
      <c r="B27" s="4"/>
      <c r="C27" s="1" t="s">
        <v>77</v>
      </c>
      <c r="D27" s="1" t="s">
        <v>60</v>
      </c>
      <c r="E27" s="3"/>
      <c r="F27" s="3"/>
      <c r="G27" s="24"/>
      <c r="H27" s="24"/>
      <c r="J27" s="1" t="s">
        <v>88</v>
      </c>
      <c r="K27" s="4"/>
      <c r="L27" s="4"/>
      <c r="M27" s="4"/>
      <c r="N27" s="4"/>
      <c r="O27" s="4"/>
      <c r="P27" s="27"/>
      <c r="Q27" s="25">
        <v>0</v>
      </c>
      <c r="R27" s="25">
        <v>0</v>
      </c>
      <c r="S27" s="12">
        <f t="shared" si="14"/>
        <v>0</v>
      </c>
      <c r="T27" s="5">
        <v>0</v>
      </c>
      <c r="U27" s="12">
        <f t="shared" si="15"/>
        <v>0</v>
      </c>
      <c r="V27" s="25" t="s">
        <v>10</v>
      </c>
      <c r="W27" s="11">
        <f>IFERROR(VLOOKUP(V27,Curr!$B$2:$C$13,2,FALSE),0)</f>
        <v>11</v>
      </c>
      <c r="X27" s="12">
        <f t="shared" si="16"/>
        <v>0</v>
      </c>
      <c r="Y27" s="26">
        <f t="shared" si="1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14"/>
        <v>0</v>
      </c>
      <c r="T28" s="5">
        <v>0</v>
      </c>
      <c r="U28" s="12">
        <f t="shared" si="15"/>
        <v>0</v>
      </c>
      <c r="V28" s="25" t="s">
        <v>10</v>
      </c>
      <c r="W28" s="11">
        <f>IFERROR(VLOOKUP(V28,Curr!$B$2:$C$13,2,FALSE),0)</f>
        <v>11</v>
      </c>
      <c r="X28" s="12">
        <f t="shared" si="16"/>
        <v>0</v>
      </c>
      <c r="Y28" s="26">
        <f t="shared" si="17"/>
        <v>0</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58</v>
      </c>
      <c r="E29" s="3"/>
      <c r="F29" s="3"/>
      <c r="G29" s="24"/>
      <c r="H29" s="24"/>
      <c r="J29" s="1" t="s">
        <v>99</v>
      </c>
      <c r="K29" s="4"/>
      <c r="L29" s="4"/>
      <c r="M29" s="4"/>
      <c r="N29" s="4"/>
      <c r="O29" s="4"/>
      <c r="P29" s="29"/>
      <c r="Q29" s="25">
        <v>0</v>
      </c>
      <c r="R29" s="25">
        <v>0</v>
      </c>
      <c r="S29" s="12">
        <f t="shared" si="14"/>
        <v>0</v>
      </c>
      <c r="T29" s="5">
        <v>0</v>
      </c>
      <c r="U29" s="12">
        <f t="shared" si="15"/>
        <v>0</v>
      </c>
      <c r="V29" s="25" t="s">
        <v>10</v>
      </c>
      <c r="W29" s="11">
        <f>IFERROR(VLOOKUP(V29,Curr!$B$2:$C$13,2,FALSE),0)</f>
        <v>11</v>
      </c>
      <c r="X29" s="12">
        <f t="shared" si="16"/>
        <v>0</v>
      </c>
      <c r="Y29" s="26">
        <f t="shared" si="17"/>
        <v>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59</v>
      </c>
      <c r="E30" s="3"/>
      <c r="F30" s="3"/>
      <c r="G30" s="24"/>
      <c r="H30" s="24"/>
      <c r="J30" s="1" t="s">
        <v>64</v>
      </c>
      <c r="K30" s="4"/>
      <c r="L30" s="4"/>
      <c r="M30" s="4"/>
      <c r="N30" s="4"/>
      <c r="O30" s="4"/>
      <c r="P30" s="27"/>
      <c r="Q30" s="25">
        <v>200</v>
      </c>
      <c r="R30" s="25">
        <v>1</v>
      </c>
      <c r="S30" s="12">
        <f t="shared" si="14"/>
        <v>200</v>
      </c>
      <c r="T30" s="5">
        <v>0</v>
      </c>
      <c r="U30" s="12">
        <f t="shared" si="15"/>
        <v>200</v>
      </c>
      <c r="V30" s="25" t="s">
        <v>10</v>
      </c>
      <c r="W30" s="11">
        <f>IFERROR(VLOOKUP(V30,Curr!$B$2:$C$13,2,FALSE),0)</f>
        <v>11</v>
      </c>
      <c r="X30" s="12">
        <f t="shared" si="16"/>
        <v>2200</v>
      </c>
      <c r="Y30" s="26">
        <f>Q30/0.8</f>
        <v>250</v>
      </c>
      <c r="Z30" s="12">
        <f t="shared" si="2"/>
        <v>250</v>
      </c>
      <c r="AA30" s="4" t="s">
        <v>10</v>
      </c>
      <c r="AB30" s="11">
        <f>IFERROR(VLOOKUP(AA30,Curr!$B$2:$C$13,2,FALSE),0)</f>
        <v>11</v>
      </c>
      <c r="AC30" s="12">
        <f t="shared" si="3"/>
        <v>2750</v>
      </c>
      <c r="AD30" s="12">
        <f t="shared" si="4"/>
        <v>550</v>
      </c>
      <c r="AE30" s="13">
        <f t="shared" si="5"/>
        <v>0.2</v>
      </c>
    </row>
    <row r="31" spans="2:31" x14ac:dyDescent="0.25">
      <c r="B31" s="4"/>
      <c r="C31" s="1" t="s">
        <v>92</v>
      </c>
      <c r="D31" s="1" t="s">
        <v>60</v>
      </c>
      <c r="E31" s="3"/>
      <c r="F31" s="3"/>
      <c r="G31" s="24"/>
      <c r="H31" s="24"/>
      <c r="J31" s="1" t="s">
        <v>63</v>
      </c>
      <c r="K31" s="4"/>
      <c r="L31" s="4"/>
      <c r="M31" s="4"/>
      <c r="N31" s="4"/>
      <c r="O31" s="4"/>
      <c r="P31" s="27"/>
      <c r="Q31" s="25">
        <v>0</v>
      </c>
      <c r="R31" s="25">
        <v>0</v>
      </c>
      <c r="S31" s="12">
        <f t="shared" si="14"/>
        <v>0</v>
      </c>
      <c r="T31" s="5">
        <v>0</v>
      </c>
      <c r="U31" s="12">
        <f t="shared" si="15"/>
        <v>0</v>
      </c>
      <c r="V31" s="25" t="s">
        <v>10</v>
      </c>
      <c r="W31" s="11">
        <f>IFERROR(VLOOKUP(V31,Curr!$B$2:$C$13,2,FALSE),0)</f>
        <v>11</v>
      </c>
      <c r="X31" s="12">
        <f t="shared" si="16"/>
        <v>0</v>
      </c>
      <c r="Y31" s="26">
        <f t="shared" ref="Y31" si="18">Q31</f>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c r="R32" s="25"/>
      <c r="S32" s="12">
        <f t="shared" si="14"/>
        <v>0</v>
      </c>
      <c r="T32" s="5">
        <v>0</v>
      </c>
      <c r="U32" s="12">
        <f t="shared" si="15"/>
        <v>0</v>
      </c>
      <c r="V32" s="25" t="s">
        <v>10</v>
      </c>
      <c r="W32" s="11">
        <f>IFERROR(VLOOKUP(V32,Curr!$B$2:$C$13,2,FALSE),0)</f>
        <v>11</v>
      </c>
      <c r="X32" s="12">
        <f t="shared" si="16"/>
        <v>0</v>
      </c>
      <c r="Y32" s="26">
        <f t="shared" si="17"/>
        <v>0</v>
      </c>
      <c r="Z32" s="12">
        <f t="shared" si="2"/>
        <v>0</v>
      </c>
      <c r="AA32" s="4" t="s">
        <v>10</v>
      </c>
      <c r="AB32" s="11">
        <f>IFERROR(VLOOKUP(AA32,Curr!$B$2:$C$13,2,FALSE),0)</f>
        <v>11</v>
      </c>
      <c r="AC32" s="12">
        <f t="shared" si="3"/>
        <v>0</v>
      </c>
      <c r="AD32" s="12">
        <f t="shared" si="4"/>
        <v>0</v>
      </c>
      <c r="AE32" s="13">
        <f t="shared" si="5"/>
        <v>0</v>
      </c>
    </row>
    <row r="33" spans="2:31" x14ac:dyDescent="0.25">
      <c r="B33" s="4"/>
      <c r="C33" s="1" t="s">
        <v>94</v>
      </c>
      <c r="D33" s="1" t="s">
        <v>58</v>
      </c>
      <c r="E33" s="3"/>
      <c r="F33" s="3"/>
      <c r="G33" s="24"/>
      <c r="H33" s="24"/>
      <c r="J33" s="1" t="s">
        <v>100</v>
      </c>
      <c r="K33" s="4"/>
      <c r="L33" s="4"/>
      <c r="M33" s="4"/>
      <c r="N33" s="4"/>
      <c r="O33" s="4"/>
      <c r="P33" s="27"/>
      <c r="Q33" s="25">
        <v>0</v>
      </c>
      <c r="R33" s="25">
        <v>0</v>
      </c>
      <c r="S33" s="12">
        <f t="shared" si="14"/>
        <v>0</v>
      </c>
      <c r="T33" s="5">
        <v>0</v>
      </c>
      <c r="U33" s="12">
        <f t="shared" si="15"/>
        <v>0</v>
      </c>
      <c r="V33" s="25" t="s">
        <v>10</v>
      </c>
      <c r="W33" s="11">
        <f>IFERROR(VLOOKUP(V33,Curr!$B$2:$C$13,2,FALSE),0)</f>
        <v>11</v>
      </c>
      <c r="X33" s="12">
        <f t="shared" si="16"/>
        <v>0</v>
      </c>
      <c r="Y33" s="26">
        <f t="shared" si="17"/>
        <v>0</v>
      </c>
      <c r="Z33" s="12">
        <f t="shared" si="2"/>
        <v>0</v>
      </c>
      <c r="AA33" s="4" t="s">
        <v>10</v>
      </c>
      <c r="AB33" s="11">
        <f>IFERROR(VLOOKUP(AA33,Curr!$B$2:$C$13,2,FALSE),0)</f>
        <v>11</v>
      </c>
      <c r="AC33" s="12">
        <f t="shared" si="3"/>
        <v>0</v>
      </c>
      <c r="AD33" s="12">
        <f t="shared" si="4"/>
        <v>0</v>
      </c>
      <c r="AE33" s="13">
        <f t="shared" si="5"/>
        <v>0</v>
      </c>
    </row>
    <row r="34" spans="2:31" x14ac:dyDescent="0.25">
      <c r="B34" s="4"/>
      <c r="C34" s="1" t="s">
        <v>94</v>
      </c>
      <c r="D34" s="1" t="s">
        <v>57</v>
      </c>
      <c r="E34" s="3"/>
      <c r="F34" s="3"/>
      <c r="G34" s="24"/>
      <c r="H34" s="24"/>
      <c r="J34" s="1" t="s">
        <v>80</v>
      </c>
      <c r="K34" s="4"/>
      <c r="L34" s="4"/>
      <c r="M34" s="4"/>
      <c r="N34" s="4"/>
      <c r="O34" s="4"/>
      <c r="P34" s="33"/>
      <c r="Q34" s="25">
        <v>0</v>
      </c>
      <c r="R34" s="25">
        <v>0</v>
      </c>
      <c r="S34" s="12">
        <f t="shared" si="14"/>
        <v>0</v>
      </c>
      <c r="T34" s="5">
        <v>0</v>
      </c>
      <c r="U34" s="12">
        <f t="shared" si="15"/>
        <v>0</v>
      </c>
      <c r="V34" s="25" t="s">
        <v>10</v>
      </c>
      <c r="W34" s="11">
        <f>IFERROR(VLOOKUP(V34,Curr!$B$2:$C$13,2,FALSE),0)</f>
        <v>11</v>
      </c>
      <c r="X34" s="12">
        <f t="shared" si="16"/>
        <v>0</v>
      </c>
      <c r="Y34" s="26">
        <f t="shared" si="17"/>
        <v>0</v>
      </c>
      <c r="Z34" s="12">
        <f t="shared" si="2"/>
        <v>0</v>
      </c>
      <c r="AA34" s="4" t="s">
        <v>10</v>
      </c>
      <c r="AB34" s="11">
        <f>IFERROR(VLOOKUP(AA34,Curr!$B$2:$C$13,2,FALSE),0)</f>
        <v>11</v>
      </c>
      <c r="AC34" s="12">
        <f t="shared" si="3"/>
        <v>0</v>
      </c>
      <c r="AD34" s="12">
        <f t="shared" si="4"/>
        <v>0</v>
      </c>
      <c r="AE34" s="13">
        <f t="shared" si="5"/>
        <v>0</v>
      </c>
    </row>
    <row r="35" spans="2:31" x14ac:dyDescent="0.25">
      <c r="B35" s="4"/>
      <c r="C35" s="1" t="s">
        <v>94</v>
      </c>
      <c r="D35" s="1" t="s">
        <v>78</v>
      </c>
      <c r="E35" s="3"/>
      <c r="F35" s="3"/>
      <c r="G35" s="24"/>
      <c r="H35" s="24"/>
      <c r="J35" s="1" t="s">
        <v>81</v>
      </c>
      <c r="K35" s="4"/>
      <c r="L35" s="4"/>
      <c r="M35" s="4"/>
      <c r="N35" s="4"/>
      <c r="O35" s="4"/>
      <c r="P35" s="27"/>
      <c r="Q35" s="25">
        <v>0</v>
      </c>
      <c r="R35" s="25">
        <v>0</v>
      </c>
      <c r="S35" s="12">
        <f t="shared" si="14"/>
        <v>0</v>
      </c>
      <c r="T35" s="5">
        <v>0</v>
      </c>
      <c r="U35" s="12">
        <f t="shared" si="15"/>
        <v>0</v>
      </c>
      <c r="V35" s="25" t="s">
        <v>10</v>
      </c>
      <c r="W35" s="11">
        <f>IFERROR(VLOOKUP(V35,Curr!$B$2:$C$13,2,FALSE),0)</f>
        <v>11</v>
      </c>
      <c r="X35" s="12">
        <f t="shared" si="16"/>
        <v>0</v>
      </c>
      <c r="Y35" s="26">
        <f t="shared" si="1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c r="R36" s="25"/>
      <c r="S36" s="12">
        <f t="shared" si="14"/>
        <v>0</v>
      </c>
      <c r="T36" s="5">
        <v>0</v>
      </c>
      <c r="U36" s="12">
        <f t="shared" si="15"/>
        <v>0</v>
      </c>
      <c r="V36" s="25" t="s">
        <v>10</v>
      </c>
      <c r="W36" s="11">
        <f>IFERROR(VLOOKUP(V36,Curr!$B$2:$C$13,2,FALSE),0)</f>
        <v>11</v>
      </c>
      <c r="X36" s="12">
        <f t="shared" si="16"/>
        <v>0</v>
      </c>
      <c r="Y36" s="26">
        <f t="shared" si="1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c r="R37" s="25"/>
      <c r="S37" s="12">
        <f t="shared" si="14"/>
        <v>0</v>
      </c>
      <c r="T37" s="5">
        <v>0</v>
      </c>
      <c r="U37" s="12">
        <f t="shared" si="15"/>
        <v>0</v>
      </c>
      <c r="V37" s="25" t="s">
        <v>10</v>
      </c>
      <c r="W37" s="11">
        <f>IFERROR(VLOOKUP(V37,Curr!$B$2:$C$13,2,FALSE),0)</f>
        <v>11</v>
      </c>
      <c r="X37" s="12">
        <f t="shared" si="16"/>
        <v>0</v>
      </c>
      <c r="Y37" s="26">
        <f t="shared" si="17"/>
        <v>0</v>
      </c>
      <c r="Z37" s="12">
        <f t="shared" si="2"/>
        <v>0</v>
      </c>
      <c r="AA37" s="4" t="s">
        <v>10</v>
      </c>
      <c r="AB37" s="11">
        <f>IFERROR(VLOOKUP(AA37,Curr!$B$2:$C$13,2,FALSE),0)</f>
        <v>11</v>
      </c>
      <c r="AC37" s="12">
        <f t="shared" si="3"/>
        <v>0</v>
      </c>
      <c r="AD37" s="12">
        <f t="shared" si="4"/>
        <v>0</v>
      </c>
      <c r="AE37" s="13">
        <f t="shared" si="5"/>
        <v>0</v>
      </c>
    </row>
    <row r="38" spans="2:31" x14ac:dyDescent="0.25">
      <c r="B38" s="4"/>
      <c r="C38" s="1" t="s">
        <v>55</v>
      </c>
      <c r="D38" s="1" t="s">
        <v>83</v>
      </c>
      <c r="E38" s="3"/>
      <c r="F38" s="3"/>
      <c r="G38" s="24"/>
      <c r="H38" s="24"/>
      <c r="J38" s="1" t="s">
        <v>184</v>
      </c>
      <c r="K38" s="4"/>
      <c r="L38" s="4"/>
      <c r="M38" s="4"/>
      <c r="N38" s="4"/>
      <c r="O38" s="4"/>
      <c r="P38" s="33" t="s">
        <v>243</v>
      </c>
      <c r="Q38" s="25">
        <v>37</v>
      </c>
      <c r="R38" s="25">
        <v>0</v>
      </c>
      <c r="S38" s="12">
        <f t="shared" si="14"/>
        <v>0</v>
      </c>
      <c r="T38" s="5">
        <v>0.2</v>
      </c>
      <c r="U38" s="12">
        <f t="shared" si="15"/>
        <v>0</v>
      </c>
      <c r="V38" s="25" t="s">
        <v>10</v>
      </c>
      <c r="W38" s="11">
        <f>IFERROR(VLOOKUP(V38,Curr!$B$2:$C$13,2,FALSE),0)</f>
        <v>11</v>
      </c>
      <c r="X38" s="12">
        <f t="shared" si="16"/>
        <v>0</v>
      </c>
      <c r="Y38" s="26">
        <f t="shared" si="17"/>
        <v>37</v>
      </c>
      <c r="Z38" s="12">
        <f t="shared" si="2"/>
        <v>0</v>
      </c>
      <c r="AA38" s="4" t="s">
        <v>10</v>
      </c>
      <c r="AB38" s="11">
        <f>IFERROR(VLOOKUP(AA38,Curr!$B$2:$C$13,2,FALSE),0)</f>
        <v>11</v>
      </c>
      <c r="AC38" s="12">
        <f t="shared" si="3"/>
        <v>0</v>
      </c>
      <c r="AD38" s="12">
        <f t="shared" si="4"/>
        <v>0</v>
      </c>
      <c r="AE38" s="13">
        <f t="shared" si="5"/>
        <v>0</v>
      </c>
    </row>
    <row r="39" spans="2:31" x14ac:dyDescent="0.25">
      <c r="B39" s="4"/>
      <c r="C39" s="1" t="s">
        <v>55</v>
      </c>
      <c r="D39" s="1" t="s">
        <v>83</v>
      </c>
      <c r="E39" s="3"/>
      <c r="F39" s="3"/>
      <c r="G39" s="24"/>
      <c r="H39" s="24"/>
      <c r="J39" s="1" t="s">
        <v>241</v>
      </c>
      <c r="K39" s="4"/>
      <c r="L39" s="4"/>
      <c r="M39" s="4"/>
      <c r="N39" s="4"/>
      <c r="O39" s="4"/>
      <c r="P39" s="33" t="s">
        <v>242</v>
      </c>
      <c r="Q39" s="25">
        <v>89</v>
      </c>
      <c r="R39" s="25">
        <v>0</v>
      </c>
      <c r="S39" s="12">
        <f t="shared" si="14"/>
        <v>0</v>
      </c>
      <c r="T39" s="5">
        <v>0.25</v>
      </c>
      <c r="U39" s="12">
        <f t="shared" si="15"/>
        <v>0</v>
      </c>
      <c r="V39" s="25" t="s">
        <v>10</v>
      </c>
      <c r="W39" s="11">
        <f>IFERROR(VLOOKUP(V39,Curr!$B$2:$C$13,2,FALSE),0)</f>
        <v>11</v>
      </c>
      <c r="X39" s="12">
        <f t="shared" si="16"/>
        <v>0</v>
      </c>
      <c r="Y39" s="26">
        <f t="shared" si="17"/>
        <v>89</v>
      </c>
      <c r="Z39" s="12">
        <f t="shared" si="2"/>
        <v>0</v>
      </c>
      <c r="AA39" s="4" t="s">
        <v>10</v>
      </c>
      <c r="AB39" s="11">
        <f>IFERROR(VLOOKUP(AA39,Curr!$B$2:$C$13,2,FALSE),0)</f>
        <v>11</v>
      </c>
      <c r="AC39" s="12">
        <f t="shared" si="3"/>
        <v>0</v>
      </c>
      <c r="AD39" s="12">
        <f t="shared" si="4"/>
        <v>0</v>
      </c>
      <c r="AE39" s="13">
        <f t="shared" si="5"/>
        <v>0</v>
      </c>
    </row>
    <row r="40" spans="2:31" x14ac:dyDescent="0.25">
      <c r="B40" s="4"/>
      <c r="C40" s="1" t="s">
        <v>66</v>
      </c>
      <c r="D40" s="1" t="s">
        <v>83</v>
      </c>
      <c r="E40" s="3"/>
      <c r="F40" s="3"/>
      <c r="G40" s="24"/>
      <c r="H40" s="24"/>
      <c r="J40" s="1" t="s">
        <v>239</v>
      </c>
      <c r="K40" s="4"/>
      <c r="L40" s="4"/>
      <c r="M40" s="4"/>
      <c r="N40" s="4"/>
      <c r="O40" s="4"/>
      <c r="P40" s="33" t="s">
        <v>240</v>
      </c>
      <c r="Q40" s="25">
        <v>205</v>
      </c>
      <c r="R40" s="25">
        <v>0</v>
      </c>
      <c r="S40" s="12">
        <f t="shared" si="14"/>
        <v>0</v>
      </c>
      <c r="T40" s="5">
        <v>0</v>
      </c>
      <c r="U40" s="12">
        <f t="shared" si="15"/>
        <v>0</v>
      </c>
      <c r="V40" s="25" t="s">
        <v>10</v>
      </c>
      <c r="W40" s="11">
        <f>IFERROR(VLOOKUP(V40,Curr!$B$2:$C$13,2,FALSE),0)</f>
        <v>11</v>
      </c>
      <c r="X40" s="12">
        <f t="shared" si="16"/>
        <v>0</v>
      </c>
      <c r="Y40" s="26">
        <f t="shared" si="17"/>
        <v>205</v>
      </c>
      <c r="Z40" s="12">
        <f t="shared" si="2"/>
        <v>0</v>
      </c>
      <c r="AA40" s="4" t="s">
        <v>10</v>
      </c>
      <c r="AB40" s="11">
        <f>IFERROR(VLOOKUP(AA40,Curr!$B$2:$C$13,2,FALSE),0)</f>
        <v>11</v>
      </c>
      <c r="AC40" s="12">
        <f t="shared" si="3"/>
        <v>0</v>
      </c>
      <c r="AD40" s="12">
        <f t="shared" si="4"/>
        <v>0</v>
      </c>
      <c r="AE40" s="13">
        <f t="shared" si="5"/>
        <v>0</v>
      </c>
    </row>
    <row r="41" spans="2:31" x14ac:dyDescent="0.25">
      <c r="B41" s="4"/>
      <c r="C41" s="1" t="s">
        <v>92</v>
      </c>
      <c r="D41" s="1" t="s">
        <v>83</v>
      </c>
      <c r="E41" s="3"/>
      <c r="F41" s="3"/>
      <c r="G41" s="24"/>
      <c r="H41" s="24"/>
      <c r="J41" s="1" t="s">
        <v>244</v>
      </c>
      <c r="K41" s="4"/>
      <c r="L41" s="4"/>
      <c r="M41" s="4"/>
      <c r="N41" s="4"/>
      <c r="O41" s="4"/>
      <c r="P41" s="33" t="s">
        <v>245</v>
      </c>
      <c r="Q41" s="25">
        <v>99</v>
      </c>
      <c r="R41" s="25">
        <v>0</v>
      </c>
      <c r="S41" s="12">
        <f t="shared" si="14"/>
        <v>0</v>
      </c>
      <c r="T41" s="5">
        <v>0.25</v>
      </c>
      <c r="U41" s="12">
        <f t="shared" si="15"/>
        <v>0</v>
      </c>
      <c r="V41" s="25" t="s">
        <v>10</v>
      </c>
      <c r="W41" s="11">
        <f>IFERROR(VLOOKUP(V41,Curr!$B$2:$C$13,2,FALSE),0)</f>
        <v>11</v>
      </c>
      <c r="X41" s="12">
        <f t="shared" si="16"/>
        <v>0</v>
      </c>
      <c r="Y41" s="26">
        <f t="shared" si="17"/>
        <v>99</v>
      </c>
      <c r="Z41" s="12">
        <f t="shared" si="2"/>
        <v>0</v>
      </c>
      <c r="AA41" s="4" t="s">
        <v>10</v>
      </c>
      <c r="AB41" s="11">
        <f>IFERROR(VLOOKUP(AA41,Curr!$B$2:$C$13,2,FALSE),0)</f>
        <v>11</v>
      </c>
      <c r="AC41" s="12">
        <f t="shared" si="3"/>
        <v>0</v>
      </c>
      <c r="AD41" s="12">
        <f t="shared" si="4"/>
        <v>0</v>
      </c>
      <c r="AE41" s="13">
        <f t="shared" si="5"/>
        <v>0</v>
      </c>
    </row>
    <row r="42" spans="2:31" x14ac:dyDescent="0.25">
      <c r="B42" s="4"/>
      <c r="C42" s="1" t="s">
        <v>94</v>
      </c>
      <c r="D42" s="1" t="s">
        <v>83</v>
      </c>
      <c r="E42" s="3"/>
      <c r="F42" s="3"/>
      <c r="G42" s="24"/>
      <c r="H42" s="24"/>
      <c r="J42" s="1" t="s">
        <v>137</v>
      </c>
      <c r="K42" s="4"/>
      <c r="L42" s="4"/>
      <c r="M42" s="4"/>
      <c r="N42" s="4"/>
      <c r="O42" s="4"/>
      <c r="P42" s="33" t="s">
        <v>182</v>
      </c>
      <c r="Q42" s="25">
        <v>163</v>
      </c>
      <c r="R42" s="25">
        <v>0</v>
      </c>
      <c r="S42" s="12">
        <f t="shared" si="14"/>
        <v>0</v>
      </c>
      <c r="T42" s="5">
        <v>0.2</v>
      </c>
      <c r="U42" s="12">
        <f t="shared" si="15"/>
        <v>0</v>
      </c>
      <c r="V42" s="25" t="s">
        <v>10</v>
      </c>
      <c r="W42" s="11">
        <f>IFERROR(VLOOKUP(V42,Curr!$B$2:$C$13,2,FALSE),0)</f>
        <v>11</v>
      </c>
      <c r="X42" s="12">
        <f t="shared" si="16"/>
        <v>0</v>
      </c>
      <c r="Y42" s="26">
        <f t="shared" si="17"/>
        <v>163</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14"/>
        <v>0</v>
      </c>
      <c r="T43" s="5">
        <v>0</v>
      </c>
      <c r="U43" s="12">
        <f t="shared" si="15"/>
        <v>0</v>
      </c>
      <c r="V43" s="25" t="s">
        <v>10</v>
      </c>
      <c r="W43" s="11">
        <f>IFERROR(VLOOKUP(V43,Curr!$B$2:$C$13,2,FALSE),0)</f>
        <v>11</v>
      </c>
      <c r="X43" s="12">
        <f t="shared" si="16"/>
        <v>0</v>
      </c>
      <c r="Y43" s="26">
        <f t="shared" si="1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14"/>
        <v>0</v>
      </c>
      <c r="T44" s="5">
        <v>0</v>
      </c>
      <c r="U44" s="12">
        <f t="shared" si="15"/>
        <v>0</v>
      </c>
      <c r="V44" s="25" t="s">
        <v>10</v>
      </c>
      <c r="W44" s="11">
        <f>IFERROR(VLOOKUP(V44,Curr!$B$2:$C$13,2,FALSE),0)</f>
        <v>11</v>
      </c>
      <c r="X44" s="12">
        <f t="shared" si="16"/>
        <v>0</v>
      </c>
      <c r="Y44" s="26">
        <f t="shared" si="17"/>
        <v>0</v>
      </c>
      <c r="Z44" s="12">
        <f t="shared" si="2"/>
        <v>0</v>
      </c>
      <c r="AA44" s="4" t="s">
        <v>10</v>
      </c>
      <c r="AB44" s="11">
        <f>IFERROR(VLOOKUP(AA44,Curr!$B$2:$C$13,2,FALSE),0)</f>
        <v>11</v>
      </c>
      <c r="AC44" s="12">
        <f t="shared" si="3"/>
        <v>0</v>
      </c>
      <c r="AD44" s="12">
        <f t="shared" si="4"/>
        <v>0</v>
      </c>
      <c r="AE44" s="13">
        <f t="shared" si="5"/>
        <v>0</v>
      </c>
    </row>
    <row r="45" spans="2:31" x14ac:dyDescent="0.25">
      <c r="B45" s="4"/>
      <c r="C45" s="1" t="s">
        <v>55</v>
      </c>
      <c r="D45" s="1" t="s">
        <v>138</v>
      </c>
      <c r="E45" s="3"/>
      <c r="F45" s="3"/>
      <c r="G45" s="24"/>
      <c r="H45" s="24"/>
      <c r="J45" s="1" t="s">
        <v>139</v>
      </c>
      <c r="K45" s="4"/>
      <c r="L45" s="4"/>
      <c r="M45" s="4"/>
      <c r="N45" s="4"/>
      <c r="O45" s="4"/>
      <c r="P45" s="27"/>
      <c r="Q45" s="25">
        <v>225</v>
      </c>
      <c r="R45" s="25">
        <v>0</v>
      </c>
      <c r="S45" s="12">
        <f t="shared" si="14"/>
        <v>0</v>
      </c>
      <c r="T45" s="5">
        <v>0</v>
      </c>
      <c r="U45" s="12">
        <f t="shared" si="15"/>
        <v>0</v>
      </c>
      <c r="V45" s="25" t="s">
        <v>10</v>
      </c>
      <c r="W45" s="11">
        <f>IFERROR(VLOOKUP(V45,Curr!$B$2:$C$13,2,FALSE),0)</f>
        <v>11</v>
      </c>
      <c r="X45" s="12">
        <f t="shared" si="16"/>
        <v>0</v>
      </c>
      <c r="Y45" s="26">
        <f>Q45/0.85</f>
        <v>264.70588235294116</v>
      </c>
      <c r="Z45" s="12">
        <f t="shared" si="2"/>
        <v>0</v>
      </c>
      <c r="AA45" s="4" t="s">
        <v>10</v>
      </c>
      <c r="AB45" s="11">
        <f>IFERROR(VLOOKUP(AA45,Curr!$B$2:$C$13,2,FALSE),0)</f>
        <v>11</v>
      </c>
      <c r="AC45" s="12">
        <f t="shared" si="3"/>
        <v>0</v>
      </c>
      <c r="AD45" s="12">
        <f t="shared" si="4"/>
        <v>0</v>
      </c>
      <c r="AE45" s="13">
        <f t="shared" si="5"/>
        <v>0</v>
      </c>
    </row>
    <row r="46" spans="2:31" x14ac:dyDescent="0.25">
      <c r="B46" s="4"/>
      <c r="C46" s="1" t="s">
        <v>94</v>
      </c>
      <c r="D46" s="1" t="s">
        <v>138</v>
      </c>
      <c r="E46" s="3"/>
      <c r="F46" s="3"/>
      <c r="G46" s="24"/>
      <c r="H46" s="24"/>
      <c r="J46" s="1" t="s">
        <v>139</v>
      </c>
      <c r="K46" s="4"/>
      <c r="L46" s="4"/>
      <c r="M46" s="4"/>
      <c r="N46" s="4"/>
      <c r="O46" s="4"/>
      <c r="P46" s="33"/>
      <c r="Q46" s="25">
        <v>225</v>
      </c>
      <c r="R46" s="25">
        <v>0</v>
      </c>
      <c r="S46" s="12">
        <f t="shared" si="14"/>
        <v>0</v>
      </c>
      <c r="T46" s="5">
        <v>0</v>
      </c>
      <c r="U46" s="12">
        <f t="shared" si="15"/>
        <v>0</v>
      </c>
      <c r="V46" s="25" t="s">
        <v>10</v>
      </c>
      <c r="W46" s="11">
        <f>IFERROR(VLOOKUP(V46,Curr!$B$2:$C$13,2,FALSE),0)</f>
        <v>11</v>
      </c>
      <c r="X46" s="12">
        <f t="shared" si="16"/>
        <v>0</v>
      </c>
      <c r="Y46" s="26">
        <f>Q46/0.85</f>
        <v>264.70588235294116</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14"/>
        <v>0</v>
      </c>
      <c r="T47" s="5">
        <v>0</v>
      </c>
      <c r="U47" s="12">
        <f t="shared" si="15"/>
        <v>0</v>
      </c>
      <c r="V47" s="25" t="s">
        <v>10</v>
      </c>
      <c r="W47" s="11">
        <f>IFERROR(VLOOKUP(V47,Curr!$B$2:$C$13,2,FALSE),0)</f>
        <v>11</v>
      </c>
      <c r="X47" s="12">
        <f t="shared" si="16"/>
        <v>0</v>
      </c>
      <c r="Y47" s="26">
        <f t="shared" si="1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14"/>
        <v>0</v>
      </c>
      <c r="T48" s="5">
        <v>0</v>
      </c>
      <c r="U48" s="12">
        <f t="shared" si="15"/>
        <v>0</v>
      </c>
      <c r="V48" s="25" t="s">
        <v>10</v>
      </c>
      <c r="W48" s="11">
        <f>IFERROR(VLOOKUP(V48,Curr!$B$2:$C$13,2,FALSE),0)</f>
        <v>11</v>
      </c>
      <c r="X48" s="12">
        <f t="shared" si="16"/>
        <v>0</v>
      </c>
      <c r="Y48" s="26">
        <f t="shared" si="17"/>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14"/>
        <v>0</v>
      </c>
      <c r="T49" s="5">
        <v>0</v>
      </c>
      <c r="U49" s="12">
        <f t="shared" si="15"/>
        <v>0</v>
      </c>
      <c r="V49" s="25" t="s">
        <v>10</v>
      </c>
      <c r="W49" s="11">
        <f>IFERROR(VLOOKUP(V49,Curr!$B$2:$C$13,2,FALSE),0)</f>
        <v>11</v>
      </c>
      <c r="X49" s="12">
        <f t="shared" si="16"/>
        <v>0</v>
      </c>
      <c r="Y49" s="26">
        <f t="shared" si="17"/>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2312.5</v>
      </c>
      <c r="AA51" s="14"/>
      <c r="AB51" s="14"/>
      <c r="AC51" s="15">
        <f>SUM(AC7:AC49)</f>
        <v>25437.5</v>
      </c>
      <c r="AD51" s="15">
        <f>SUM(AD7:AD49)</f>
        <v>5087.5</v>
      </c>
      <c r="AE51" s="21">
        <f t="shared" ref="AE51" si="19">IFERROR(AD51/AC51,0)</f>
        <v>0.2</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234</v>
      </c>
      <c r="Z53" s="34">
        <v>0</v>
      </c>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235</v>
      </c>
      <c r="Z54" s="34">
        <f>Z8+Z10+Z14+Z18+Z22+Z26+Z30</f>
        <v>2312.5</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236</v>
      </c>
      <c r="Z55" s="34">
        <v>2320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45</v>
      </c>
      <c r="Z56" s="34">
        <f>Z55/2</f>
        <v>1160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c r="Z58" s="9"/>
      <c r="AA58" s="9"/>
      <c r="AB58" s="9"/>
      <c r="AC58" s="9"/>
      <c r="AD58" s="9"/>
      <c r="AE58" s="9"/>
    </row>
    <row r="59" spans="2:36" x14ac:dyDescent="0.25">
      <c r="R59" s="4"/>
      <c r="S59" s="17"/>
      <c r="T59" s="17"/>
      <c r="U59" s="9"/>
      <c r="V59" s="4"/>
      <c r="W59" s="4"/>
      <c r="X59" s="9"/>
      <c r="Y59" s="41" t="s">
        <v>295</v>
      </c>
      <c r="Z59" s="9">
        <f>Z55</f>
        <v>2320</v>
      </c>
      <c r="AA59" s="9"/>
      <c r="AB59" s="9"/>
      <c r="AC59" s="9"/>
      <c r="AD59" s="9"/>
      <c r="AE59" s="9"/>
    </row>
    <row r="60" spans="2:36" x14ac:dyDescent="0.25">
      <c r="Q60" s="9"/>
      <c r="R60" s="4"/>
      <c r="S60" s="16"/>
      <c r="T60" s="16"/>
      <c r="U60" s="9"/>
      <c r="V60" s="4"/>
      <c r="W60" s="4"/>
      <c r="X60" s="9"/>
      <c r="Y60" s="41" t="s">
        <v>296</v>
      </c>
      <c r="Z60" s="9">
        <f>Z59*1.2</f>
        <v>2784</v>
      </c>
      <c r="AA60" s="9"/>
      <c r="AB60" s="9"/>
      <c r="AC60" s="9"/>
      <c r="AD60" s="9"/>
      <c r="AE60" s="9"/>
    </row>
    <row r="61" spans="2:36" x14ac:dyDescent="0.25">
      <c r="R61" s="4"/>
      <c r="S61" s="16"/>
      <c r="T61" s="16"/>
      <c r="Y61" s="41" t="s">
        <v>297</v>
      </c>
      <c r="Z61" s="9">
        <f>Z59*1.4</f>
        <v>3248</v>
      </c>
      <c r="AA61" s="9"/>
      <c r="AB61" s="9"/>
      <c r="AC61" s="9"/>
      <c r="AD61" s="9"/>
      <c r="AE61" s="9"/>
    </row>
    <row r="62" spans="2:36" x14ac:dyDescent="0.25">
      <c r="T62" s="5"/>
      <c r="Y62" s="41" t="s">
        <v>298</v>
      </c>
      <c r="Z62" s="9">
        <f>Z59*0.7</f>
        <v>1624</v>
      </c>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41" r:id="rId1" xr:uid="{38080CFB-399F-47C2-879E-78295CA0D938}"/>
    <hyperlink ref="P40" r:id="rId2" xr:uid="{B6229758-BCDE-4FB5-9D0F-228EAC6E0F65}"/>
    <hyperlink ref="P38" r:id="rId3" xr:uid="{616D8BF7-A2E7-46BC-B6DA-7B38FD9916FF}"/>
    <hyperlink ref="P42" r:id="rId4" xr:uid="{25B9C0A1-C76A-4976-BC63-E290E8EEAAE3}"/>
    <hyperlink ref="P39" r:id="rId5" xr:uid="{25DA66C7-2538-4A79-AE11-592274BFD5B3}"/>
    <hyperlink ref="P10" r:id="rId6" xr:uid="{F583BF5F-CDC9-4BB4-8E9F-86A6FB679E64}"/>
  </hyperlinks>
  <pageMargins left="0.7" right="0.7" top="0.75" bottom="0.75" header="0.3" footer="0.3"/>
  <pageSetup paperSize="9"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68CD-B2E1-48D9-8F84-28A8107703FA}">
  <sheetPr>
    <tabColor rgb="FFFFFF00"/>
  </sheetPr>
  <dimension ref="B1:AK81"/>
  <sheetViews>
    <sheetView topLeftCell="A6" zoomScale="80" zoomScaleNormal="80" workbookViewId="0">
      <selection activeCell="J25" sqref="J2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52</v>
      </c>
    </row>
    <row r="2" spans="2:36" x14ac:dyDescent="0.25">
      <c r="B2" s="2" t="s">
        <v>115</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11" si="0">+Q7*R7</f>
        <v>0</v>
      </c>
      <c r="T7" s="5">
        <v>0</v>
      </c>
      <c r="U7" s="12">
        <f>S7*(1-T7)</f>
        <v>0</v>
      </c>
      <c r="V7" s="25" t="s">
        <v>10</v>
      </c>
      <c r="W7" s="11">
        <f>IFERROR(VLOOKUP(V7,Curr!$B$2:$C$13,2,FALSE),0)</f>
        <v>11</v>
      </c>
      <c r="X7" s="12">
        <f t="shared" ref="X7:X11" si="1">U7*W7</f>
        <v>0</v>
      </c>
      <c r="Y7" s="26">
        <f>Q7</f>
        <v>0</v>
      </c>
      <c r="Z7" s="12">
        <f t="shared" ref="Z7:Z56" si="2">+Y7*R7</f>
        <v>0</v>
      </c>
      <c r="AA7" s="4" t="s">
        <v>10</v>
      </c>
      <c r="AB7" s="11">
        <f>IFERROR(VLOOKUP(AA7,Curr!$B$2:$C$13,2,FALSE),0)</f>
        <v>11</v>
      </c>
      <c r="AC7" s="12">
        <f t="shared" ref="AC7:AC56" si="3">+Y7*AB7*R7</f>
        <v>0</v>
      </c>
      <c r="AD7" s="12">
        <f t="shared" ref="AD7:AD56" si="4">+AC7-X7</f>
        <v>0</v>
      </c>
      <c r="AE7" s="13">
        <f t="shared" ref="AE7:AE56" si="5">IFERROR(AD7/AC7,0)</f>
        <v>0</v>
      </c>
    </row>
    <row r="8" spans="2:36" x14ac:dyDescent="0.25">
      <c r="B8" s="4"/>
      <c r="C8" s="1" t="s">
        <v>55</v>
      </c>
      <c r="D8" s="1" t="s">
        <v>57</v>
      </c>
      <c r="E8" s="3"/>
      <c r="F8" s="3"/>
      <c r="G8" s="24"/>
      <c r="H8" s="24"/>
      <c r="J8" s="1" t="s">
        <v>62</v>
      </c>
      <c r="K8" s="4"/>
      <c r="L8" s="4"/>
      <c r="M8" s="4"/>
      <c r="N8" s="4"/>
      <c r="O8" s="4"/>
      <c r="P8" s="27"/>
      <c r="Q8" s="25">
        <v>650</v>
      </c>
      <c r="R8" s="25">
        <v>1</v>
      </c>
      <c r="S8" s="12">
        <f t="shared" si="0"/>
        <v>650</v>
      </c>
      <c r="T8" s="5">
        <v>0</v>
      </c>
      <c r="U8" s="12">
        <f t="shared" ref="U8:U11" si="6">S8*(1-T8)</f>
        <v>650</v>
      </c>
      <c r="V8" s="25" t="s">
        <v>10</v>
      </c>
      <c r="W8" s="11">
        <f>IFERROR(VLOOKUP(V8,Curr!$B$2:$C$13,2,FALSE),0)</f>
        <v>11</v>
      </c>
      <c r="X8" s="12">
        <f t="shared" si="1"/>
        <v>7150</v>
      </c>
      <c r="Y8" s="26">
        <f>Q8/0.8</f>
        <v>812.5</v>
      </c>
      <c r="Z8" s="12">
        <f t="shared" si="2"/>
        <v>812.5</v>
      </c>
      <c r="AA8" s="4" t="s">
        <v>10</v>
      </c>
      <c r="AB8" s="11">
        <f>IFERROR(VLOOKUP(AA8,Curr!$B$2:$C$13,2,FALSE),0)</f>
        <v>11</v>
      </c>
      <c r="AC8" s="12">
        <f t="shared" si="3"/>
        <v>8937.5</v>
      </c>
      <c r="AD8" s="12">
        <f t="shared" si="4"/>
        <v>1787.5</v>
      </c>
      <c r="AE8" s="13">
        <f t="shared" si="5"/>
        <v>0.2</v>
      </c>
    </row>
    <row r="9" spans="2:36" x14ac:dyDescent="0.25">
      <c r="B9" s="4"/>
      <c r="C9" s="1" t="s">
        <v>55</v>
      </c>
      <c r="D9" s="1" t="s">
        <v>58</v>
      </c>
      <c r="E9" s="3"/>
      <c r="F9" s="3"/>
      <c r="G9" s="24"/>
      <c r="H9" s="24"/>
      <c r="J9" s="1" t="s">
        <v>61</v>
      </c>
      <c r="K9" s="4"/>
      <c r="L9" s="4"/>
      <c r="M9" s="4"/>
      <c r="N9" s="4"/>
      <c r="O9" s="4"/>
      <c r="P9" s="33"/>
      <c r="Q9" s="25">
        <v>0</v>
      </c>
      <c r="R9" s="25">
        <v>0</v>
      </c>
      <c r="S9" s="12">
        <f t="shared" si="0"/>
        <v>0</v>
      </c>
      <c r="T9" s="5">
        <v>0</v>
      </c>
      <c r="U9" s="12">
        <f t="shared" si="6"/>
        <v>0</v>
      </c>
      <c r="V9" s="25" t="s">
        <v>10</v>
      </c>
      <c r="W9" s="11">
        <f>IFERROR(VLOOKUP(V9,Curr!$B$2:$C$13,2,FALSE),0)</f>
        <v>11</v>
      </c>
      <c r="X9" s="12">
        <f t="shared" si="1"/>
        <v>0</v>
      </c>
      <c r="Y9" s="26">
        <f t="shared" ref="Y9:Y11" si="7">Q9</f>
        <v>0</v>
      </c>
      <c r="Z9" s="12">
        <f t="shared" si="2"/>
        <v>0</v>
      </c>
      <c r="AA9" s="4" t="s">
        <v>10</v>
      </c>
      <c r="AB9" s="11">
        <f>IFERROR(VLOOKUP(AA9,Curr!$B$2:$C$13,2,FALSE),0)</f>
        <v>11</v>
      </c>
      <c r="AC9" s="12">
        <f t="shared" si="3"/>
        <v>0</v>
      </c>
      <c r="AD9" s="12">
        <f t="shared" si="4"/>
        <v>0</v>
      </c>
      <c r="AE9" s="13">
        <f t="shared" si="5"/>
        <v>0</v>
      </c>
    </row>
    <row r="10" spans="2:36" x14ac:dyDescent="0.25">
      <c r="B10" s="4"/>
      <c r="C10" s="1" t="s">
        <v>55</v>
      </c>
      <c r="D10" s="1" t="s">
        <v>59</v>
      </c>
      <c r="E10" s="3"/>
      <c r="F10" s="3"/>
      <c r="G10" s="24"/>
      <c r="H10" s="24"/>
      <c r="J10" s="1" t="s">
        <v>64</v>
      </c>
      <c r="K10" s="4"/>
      <c r="L10" s="4"/>
      <c r="M10" s="4"/>
      <c r="N10" s="4"/>
      <c r="O10" s="4"/>
      <c r="P10" s="33" t="s">
        <v>237</v>
      </c>
      <c r="Q10" s="25">
        <v>200</v>
      </c>
      <c r="R10" s="25">
        <v>1</v>
      </c>
      <c r="S10" s="12">
        <f t="shared" si="0"/>
        <v>200</v>
      </c>
      <c r="T10" s="5">
        <v>0</v>
      </c>
      <c r="U10" s="12">
        <f t="shared" si="6"/>
        <v>200</v>
      </c>
      <c r="V10" s="25" t="s">
        <v>10</v>
      </c>
      <c r="W10" s="11">
        <f>IFERROR(VLOOKUP(V10,Curr!$B$2:$C$13,2,FALSE),0)</f>
        <v>11</v>
      </c>
      <c r="X10" s="12">
        <f t="shared" si="1"/>
        <v>2200</v>
      </c>
      <c r="Y10" s="26">
        <f>Q10/0.8</f>
        <v>250</v>
      </c>
      <c r="Z10" s="12">
        <f t="shared" si="2"/>
        <v>250</v>
      </c>
      <c r="AA10" s="4" t="s">
        <v>10</v>
      </c>
      <c r="AB10" s="11">
        <f>IFERROR(VLOOKUP(AA10,Curr!$B$2:$C$13,2,FALSE),0)</f>
        <v>11</v>
      </c>
      <c r="AC10" s="12">
        <f t="shared" si="3"/>
        <v>2750</v>
      </c>
      <c r="AD10" s="12">
        <f t="shared" si="4"/>
        <v>550</v>
      </c>
      <c r="AE10" s="13">
        <f t="shared" si="5"/>
        <v>0.2</v>
      </c>
    </row>
    <row r="11" spans="2:36" x14ac:dyDescent="0.25">
      <c r="B11" s="4"/>
      <c r="C11" s="1" t="s">
        <v>55</v>
      </c>
      <c r="D11" s="1" t="s">
        <v>60</v>
      </c>
      <c r="E11" s="3"/>
      <c r="F11" s="3"/>
      <c r="G11" s="24"/>
      <c r="H11" s="24"/>
      <c r="J11" s="1" t="s">
        <v>63</v>
      </c>
      <c r="K11" s="4"/>
      <c r="L11" s="4"/>
      <c r="M11" s="4"/>
      <c r="N11" s="4"/>
      <c r="O11" s="4"/>
      <c r="P11" s="27"/>
      <c r="Q11" s="25">
        <v>0</v>
      </c>
      <c r="R11" s="25">
        <v>0</v>
      </c>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c r="R12" s="25"/>
      <c r="S12" s="12">
        <f t="shared" ref="S12:S56" si="8">+Q12*R12</f>
        <v>0</v>
      </c>
      <c r="T12" s="5">
        <v>0</v>
      </c>
      <c r="U12" s="12">
        <f t="shared" ref="U12:U56" si="9">S12*(1-T12)</f>
        <v>0</v>
      </c>
      <c r="V12" s="25" t="s">
        <v>10</v>
      </c>
      <c r="W12" s="11">
        <f>IFERROR(VLOOKUP(V12,Curr!$B$2:$C$13,2,FALSE),0)</f>
        <v>11</v>
      </c>
      <c r="X12" s="12">
        <f t="shared" ref="X12:X56" si="10">U12*W12</f>
        <v>0</v>
      </c>
      <c r="Y12" s="26">
        <f t="shared" ref="Y12:Y56" si="11">Q12</f>
        <v>0</v>
      </c>
      <c r="Z12" s="12">
        <f t="shared" si="2"/>
        <v>0</v>
      </c>
      <c r="AA12" s="4" t="s">
        <v>10</v>
      </c>
      <c r="AB12" s="11">
        <f>IFERROR(VLOOKUP(AA12,Curr!$B$2:$C$13,2,FALSE),0)</f>
        <v>11</v>
      </c>
      <c r="AC12" s="12">
        <f t="shared" si="3"/>
        <v>0</v>
      </c>
      <c r="AD12" s="12">
        <f t="shared" si="4"/>
        <v>0</v>
      </c>
      <c r="AE12" s="13">
        <f t="shared" si="5"/>
        <v>0</v>
      </c>
    </row>
    <row r="13" spans="2:36" x14ac:dyDescent="0.25">
      <c r="B13" s="4"/>
      <c r="C13" s="1" t="s">
        <v>65</v>
      </c>
      <c r="D13" s="1" t="s">
        <v>58</v>
      </c>
      <c r="E13" s="3"/>
      <c r="F13" s="3"/>
      <c r="G13" s="24"/>
      <c r="H13" s="24"/>
      <c r="J13" s="1" t="s">
        <v>68</v>
      </c>
      <c r="K13" s="4"/>
      <c r="L13" s="4"/>
      <c r="M13" s="4"/>
      <c r="N13" s="4"/>
      <c r="O13" s="4"/>
      <c r="P13" s="27"/>
      <c r="Q13" s="25">
        <v>0</v>
      </c>
      <c r="R13" s="25">
        <v>0</v>
      </c>
      <c r="S13" s="12">
        <f t="shared" si="8"/>
        <v>0</v>
      </c>
      <c r="T13" s="5">
        <v>0</v>
      </c>
      <c r="U13" s="12">
        <f t="shared" si="9"/>
        <v>0</v>
      </c>
      <c r="V13" s="25" t="s">
        <v>10</v>
      </c>
      <c r="W13" s="11">
        <f>IFERROR(VLOOKUP(V13,Curr!$B$2:$C$13,2,FALSE),0)</f>
        <v>11</v>
      </c>
      <c r="X13" s="12">
        <f t="shared" si="10"/>
        <v>0</v>
      </c>
      <c r="Y13" s="26">
        <f t="shared" si="11"/>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59</v>
      </c>
      <c r="E14" s="3"/>
      <c r="F14" s="3"/>
      <c r="G14" s="24"/>
      <c r="H14" s="24"/>
      <c r="J14" s="1" t="s">
        <v>69</v>
      </c>
      <c r="K14" s="4"/>
      <c r="L14" s="4"/>
      <c r="M14" s="4"/>
      <c r="N14" s="4"/>
      <c r="O14" s="4"/>
      <c r="P14" s="33"/>
      <c r="Q14" s="25">
        <v>250</v>
      </c>
      <c r="R14" s="25">
        <v>1</v>
      </c>
      <c r="S14" s="12">
        <f t="shared" si="8"/>
        <v>250</v>
      </c>
      <c r="T14" s="5">
        <v>0</v>
      </c>
      <c r="U14" s="12">
        <f t="shared" si="9"/>
        <v>250</v>
      </c>
      <c r="V14" s="25" t="s">
        <v>10</v>
      </c>
      <c r="W14" s="11">
        <f>IFERROR(VLOOKUP(V14,Curr!$B$2:$C$13,2,FALSE),0)</f>
        <v>11</v>
      </c>
      <c r="X14" s="12">
        <f t="shared" si="10"/>
        <v>2750</v>
      </c>
      <c r="Y14" s="26">
        <f>Q14/0.8</f>
        <v>312.5</v>
      </c>
      <c r="Z14" s="12">
        <f t="shared" si="2"/>
        <v>312.5</v>
      </c>
      <c r="AA14" s="4" t="s">
        <v>10</v>
      </c>
      <c r="AB14" s="11">
        <f>IFERROR(VLOOKUP(AA14,Curr!$B$2:$C$13,2,FALSE),0)</f>
        <v>11</v>
      </c>
      <c r="AC14" s="12">
        <f t="shared" si="3"/>
        <v>3437.5</v>
      </c>
      <c r="AD14" s="12">
        <f t="shared" si="4"/>
        <v>687.5</v>
      </c>
      <c r="AE14" s="13">
        <f t="shared" si="5"/>
        <v>0.2</v>
      </c>
    </row>
    <row r="15" spans="2:36" x14ac:dyDescent="0.25">
      <c r="B15" s="4"/>
      <c r="C15" s="1" t="s">
        <v>65</v>
      </c>
      <c r="D15" s="1" t="s">
        <v>60</v>
      </c>
      <c r="E15" s="3"/>
      <c r="F15" s="3"/>
      <c r="G15" s="24"/>
      <c r="H15" s="24"/>
      <c r="J15" s="1" t="s">
        <v>70</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1"/>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c r="R16" s="25"/>
      <c r="S16" s="12">
        <f t="shared" si="8"/>
        <v>0</v>
      </c>
      <c r="T16" s="5">
        <v>0</v>
      </c>
      <c r="U16" s="12">
        <f t="shared" si="9"/>
        <v>0</v>
      </c>
      <c r="V16" s="25" t="s">
        <v>10</v>
      </c>
      <c r="W16" s="11">
        <f>IFERROR(VLOOKUP(V16,Curr!$B$2:$C$13,2,FALSE),0)</f>
        <v>11</v>
      </c>
      <c r="X16" s="12">
        <f t="shared" si="10"/>
        <v>0</v>
      </c>
      <c r="Y16" s="26">
        <f t="shared" si="11"/>
        <v>0</v>
      </c>
      <c r="Z16" s="12">
        <f t="shared" si="2"/>
        <v>0</v>
      </c>
      <c r="AA16" s="4" t="s">
        <v>10</v>
      </c>
      <c r="AB16" s="11">
        <f>IFERROR(VLOOKUP(AA16,Curr!$B$2:$C$13,2,FALSE),0)</f>
        <v>11</v>
      </c>
      <c r="AC16" s="12">
        <f t="shared" si="3"/>
        <v>0</v>
      </c>
      <c r="AD16" s="12">
        <f t="shared" si="4"/>
        <v>0</v>
      </c>
      <c r="AE16" s="13">
        <f t="shared" si="5"/>
        <v>0</v>
      </c>
    </row>
    <row r="17" spans="2:31" x14ac:dyDescent="0.25">
      <c r="B17" s="4"/>
      <c r="C17" s="1" t="s">
        <v>66</v>
      </c>
      <c r="D17" s="1" t="s">
        <v>58</v>
      </c>
      <c r="E17" s="3"/>
      <c r="F17" s="3"/>
      <c r="G17" s="24"/>
      <c r="H17" s="24"/>
      <c r="J17" s="1" t="s">
        <v>71</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1"/>
        <v>0</v>
      </c>
      <c r="Z17" s="12">
        <f t="shared" si="2"/>
        <v>0</v>
      </c>
      <c r="AA17" s="4" t="s">
        <v>10</v>
      </c>
      <c r="AB17" s="11">
        <f>IFERROR(VLOOKUP(AA17,Curr!$B$2:$C$13,2,FALSE),0)</f>
        <v>11</v>
      </c>
      <c r="AC17" s="12">
        <f t="shared" si="3"/>
        <v>0</v>
      </c>
      <c r="AD17" s="12">
        <f t="shared" si="4"/>
        <v>0</v>
      </c>
      <c r="AE17" s="13">
        <f t="shared" si="5"/>
        <v>0</v>
      </c>
    </row>
    <row r="18" spans="2:31" x14ac:dyDescent="0.25">
      <c r="B18" s="4"/>
      <c r="C18" s="1" t="s">
        <v>66</v>
      </c>
      <c r="D18" s="1" t="s">
        <v>59</v>
      </c>
      <c r="E18" s="3"/>
      <c r="F18" s="3"/>
      <c r="G18" s="24"/>
      <c r="H18" s="24"/>
      <c r="J18" s="1" t="s">
        <v>72</v>
      </c>
      <c r="K18" s="4"/>
      <c r="L18" s="4"/>
      <c r="M18" s="4"/>
      <c r="N18" s="4"/>
      <c r="O18" s="4"/>
      <c r="P18" s="27"/>
      <c r="Q18" s="25">
        <v>200</v>
      </c>
      <c r="R18" s="25">
        <v>1</v>
      </c>
      <c r="S18" s="12">
        <f t="shared" si="8"/>
        <v>200</v>
      </c>
      <c r="T18" s="5">
        <v>0</v>
      </c>
      <c r="U18" s="12">
        <f t="shared" si="9"/>
        <v>200</v>
      </c>
      <c r="V18" s="25" t="s">
        <v>10</v>
      </c>
      <c r="W18" s="11">
        <f>IFERROR(VLOOKUP(V18,Curr!$B$2:$C$13,2,FALSE),0)</f>
        <v>11</v>
      </c>
      <c r="X18" s="12">
        <f t="shared" si="10"/>
        <v>2200</v>
      </c>
      <c r="Y18" s="26">
        <f>Q18/0.8</f>
        <v>250</v>
      </c>
      <c r="Z18" s="12">
        <f t="shared" si="2"/>
        <v>250</v>
      </c>
      <c r="AA18" s="4" t="s">
        <v>10</v>
      </c>
      <c r="AB18" s="11">
        <f>IFERROR(VLOOKUP(AA18,Curr!$B$2:$C$13,2,FALSE),0)</f>
        <v>11</v>
      </c>
      <c r="AC18" s="12">
        <f t="shared" si="3"/>
        <v>2750</v>
      </c>
      <c r="AD18" s="12">
        <f t="shared" si="4"/>
        <v>550</v>
      </c>
      <c r="AE18" s="13">
        <f t="shared" si="5"/>
        <v>0.2</v>
      </c>
    </row>
    <row r="19" spans="2:31" x14ac:dyDescent="0.25">
      <c r="B19" s="4"/>
      <c r="C19" s="1" t="s">
        <v>66</v>
      </c>
      <c r="D19" s="1" t="s">
        <v>60</v>
      </c>
      <c r="E19" s="3"/>
      <c r="F19" s="3"/>
      <c r="G19" s="24"/>
      <c r="H19" s="24"/>
      <c r="J19" s="1" t="s">
        <v>73</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1"/>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1"/>
        <v>0</v>
      </c>
      <c r="Z20" s="12">
        <f t="shared" si="2"/>
        <v>0</v>
      </c>
      <c r="AA20" s="4" t="s">
        <v>10</v>
      </c>
      <c r="AB20" s="11">
        <f>IFERROR(VLOOKUP(AA20,Curr!$B$2:$C$13,2,FALSE),0)</f>
        <v>11</v>
      </c>
      <c r="AC20" s="12">
        <f t="shared" si="3"/>
        <v>0</v>
      </c>
      <c r="AD20" s="12">
        <f t="shared" si="4"/>
        <v>0</v>
      </c>
      <c r="AE20" s="13">
        <f t="shared" si="5"/>
        <v>0</v>
      </c>
    </row>
    <row r="21" spans="2:31" x14ac:dyDescent="0.25">
      <c r="B21" s="4"/>
      <c r="C21" s="1" t="s">
        <v>67</v>
      </c>
      <c r="D21" s="1" t="s">
        <v>58</v>
      </c>
      <c r="E21" s="3"/>
      <c r="F21" s="3"/>
      <c r="G21" s="24"/>
      <c r="H21" s="24"/>
      <c r="J21" s="1" t="s">
        <v>97</v>
      </c>
      <c r="K21" s="4"/>
      <c r="L21" s="4"/>
      <c r="M21" s="4"/>
      <c r="N21" s="4"/>
      <c r="O21" s="4"/>
      <c r="P21" s="33"/>
      <c r="Q21" s="25">
        <v>0</v>
      </c>
      <c r="R21" s="25">
        <v>0</v>
      </c>
      <c r="S21" s="12">
        <f t="shared" si="8"/>
        <v>0</v>
      </c>
      <c r="T21" s="5">
        <v>0</v>
      </c>
      <c r="U21" s="12">
        <f t="shared" si="9"/>
        <v>0</v>
      </c>
      <c r="V21" s="25" t="s">
        <v>10</v>
      </c>
      <c r="W21" s="11">
        <f>IFERROR(VLOOKUP(V21,Curr!$B$2:$C$13,2,FALSE),0)</f>
        <v>11</v>
      </c>
      <c r="X21" s="12">
        <f t="shared" si="10"/>
        <v>0</v>
      </c>
      <c r="Y21" s="26">
        <f t="shared" si="11"/>
        <v>0</v>
      </c>
      <c r="Z21" s="12">
        <f t="shared" si="2"/>
        <v>0</v>
      </c>
      <c r="AA21" s="4" t="s">
        <v>10</v>
      </c>
      <c r="AB21" s="11">
        <f>IFERROR(VLOOKUP(AA21,Curr!$B$2:$C$13,2,FALSE),0)</f>
        <v>11</v>
      </c>
      <c r="AC21" s="12">
        <f t="shared" si="3"/>
        <v>0</v>
      </c>
      <c r="AD21" s="12">
        <f t="shared" si="4"/>
        <v>0</v>
      </c>
      <c r="AE21" s="13">
        <f t="shared" si="5"/>
        <v>0</v>
      </c>
    </row>
    <row r="22" spans="2:31" x14ac:dyDescent="0.25">
      <c r="B22" s="4"/>
      <c r="C22" s="1" t="s">
        <v>67</v>
      </c>
      <c r="D22" s="1" t="s">
        <v>59</v>
      </c>
      <c r="E22" s="3"/>
      <c r="F22" s="3"/>
      <c r="G22" s="24"/>
      <c r="H22" s="24"/>
      <c r="J22" s="1" t="s">
        <v>95</v>
      </c>
      <c r="K22" s="4"/>
      <c r="L22" s="4"/>
      <c r="M22" s="4"/>
      <c r="N22" s="4"/>
      <c r="O22" s="4"/>
      <c r="P22" s="33"/>
      <c r="Q22" s="25">
        <v>250</v>
      </c>
      <c r="R22" s="25">
        <v>1</v>
      </c>
      <c r="S22" s="12">
        <f t="shared" si="8"/>
        <v>250</v>
      </c>
      <c r="T22" s="5">
        <v>0</v>
      </c>
      <c r="U22" s="12">
        <f t="shared" si="9"/>
        <v>250</v>
      </c>
      <c r="V22" s="25" t="s">
        <v>10</v>
      </c>
      <c r="W22" s="11">
        <f>IFERROR(VLOOKUP(V22,Curr!$B$2:$C$13,2,FALSE),0)</f>
        <v>11</v>
      </c>
      <c r="X22" s="12">
        <f t="shared" si="10"/>
        <v>2750</v>
      </c>
      <c r="Y22" s="26">
        <f>Q22/0.8</f>
        <v>312.5</v>
      </c>
      <c r="Z22" s="12">
        <f t="shared" si="2"/>
        <v>312.5</v>
      </c>
      <c r="AA22" s="4" t="s">
        <v>10</v>
      </c>
      <c r="AB22" s="11">
        <f>IFERROR(VLOOKUP(AA22,Curr!$B$2:$C$13,2,FALSE),0)</f>
        <v>11</v>
      </c>
      <c r="AC22" s="12">
        <f t="shared" si="3"/>
        <v>3437.5</v>
      </c>
      <c r="AD22" s="12">
        <f t="shared" si="4"/>
        <v>687.5</v>
      </c>
      <c r="AE22" s="13">
        <f t="shared" si="5"/>
        <v>0.2</v>
      </c>
    </row>
    <row r="23" spans="2:31" x14ac:dyDescent="0.25">
      <c r="B23" s="4"/>
      <c r="C23" s="1" t="s">
        <v>67</v>
      </c>
      <c r="D23" s="1" t="s">
        <v>60</v>
      </c>
      <c r="E23" s="3"/>
      <c r="F23" s="3"/>
      <c r="G23" s="24"/>
      <c r="H23" s="24"/>
      <c r="J23" s="1" t="s">
        <v>96</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77</v>
      </c>
      <c r="D25" s="1" t="s">
        <v>58</v>
      </c>
      <c r="E25" s="3"/>
      <c r="F25" s="3"/>
      <c r="G25" s="24"/>
      <c r="H25" s="24"/>
      <c r="J25" s="1" t="s">
        <v>98</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1"/>
        <v>0</v>
      </c>
      <c r="Z25" s="12">
        <f t="shared" si="2"/>
        <v>0</v>
      </c>
      <c r="AA25" s="4" t="s">
        <v>10</v>
      </c>
      <c r="AB25" s="11">
        <f>IFERROR(VLOOKUP(AA25,Curr!$B$2:$C$13,2,FALSE),0)</f>
        <v>11</v>
      </c>
      <c r="AC25" s="12">
        <f t="shared" si="3"/>
        <v>0</v>
      </c>
      <c r="AD25" s="12">
        <f t="shared" si="4"/>
        <v>0</v>
      </c>
      <c r="AE25" s="13">
        <f t="shared" si="5"/>
        <v>0</v>
      </c>
    </row>
    <row r="26" spans="2:31" x14ac:dyDescent="0.25">
      <c r="B26" s="4"/>
      <c r="C26" s="1" t="s">
        <v>77</v>
      </c>
      <c r="D26" s="1" t="s">
        <v>59</v>
      </c>
      <c r="E26" s="3"/>
      <c r="F26" s="3"/>
      <c r="G26" s="24"/>
      <c r="H26" s="24"/>
      <c r="J26" s="1" t="s">
        <v>87</v>
      </c>
      <c r="K26" s="4"/>
      <c r="L26" s="4"/>
      <c r="M26" s="4"/>
      <c r="N26" s="4"/>
      <c r="O26" s="4"/>
      <c r="P26" s="33"/>
      <c r="Q26" s="25">
        <v>200</v>
      </c>
      <c r="R26" s="25">
        <v>1</v>
      </c>
      <c r="S26" s="12">
        <f t="shared" si="8"/>
        <v>200</v>
      </c>
      <c r="T26" s="5">
        <v>0</v>
      </c>
      <c r="U26" s="12">
        <f t="shared" si="9"/>
        <v>200</v>
      </c>
      <c r="V26" s="25" t="s">
        <v>10</v>
      </c>
      <c r="W26" s="11">
        <f>IFERROR(VLOOKUP(V26,Curr!$B$2:$C$13,2,FALSE),0)</f>
        <v>11</v>
      </c>
      <c r="X26" s="12">
        <f t="shared" si="10"/>
        <v>2200</v>
      </c>
      <c r="Y26" s="26">
        <f>Q26/0.8</f>
        <v>250</v>
      </c>
      <c r="Z26" s="12">
        <f t="shared" si="2"/>
        <v>250</v>
      </c>
      <c r="AA26" s="4" t="s">
        <v>10</v>
      </c>
      <c r="AB26" s="11">
        <f>IFERROR(VLOOKUP(AA26,Curr!$B$2:$C$13,2,FALSE),0)</f>
        <v>11</v>
      </c>
      <c r="AC26" s="12">
        <f t="shared" si="3"/>
        <v>2750</v>
      </c>
      <c r="AD26" s="12">
        <f t="shared" si="4"/>
        <v>550</v>
      </c>
      <c r="AE26" s="13">
        <f t="shared" si="5"/>
        <v>0.2</v>
      </c>
    </row>
    <row r="27" spans="2:31" x14ac:dyDescent="0.25">
      <c r="B27" s="4"/>
      <c r="C27" s="1" t="s">
        <v>77</v>
      </c>
      <c r="D27" s="1" t="s">
        <v>60</v>
      </c>
      <c r="E27" s="3"/>
      <c r="F27" s="3"/>
      <c r="G27" s="24"/>
      <c r="H27" s="24"/>
      <c r="J27" s="1" t="s">
        <v>88</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1"/>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8"/>
        <v>0</v>
      </c>
      <c r="T28" s="5">
        <v>0</v>
      </c>
      <c r="U28" s="12">
        <f t="shared" si="9"/>
        <v>0</v>
      </c>
      <c r="V28" s="25" t="s">
        <v>10</v>
      </c>
      <c r="W28" s="11">
        <f>IFERROR(VLOOKUP(V28,Curr!$B$2:$C$13,2,FALSE),0)</f>
        <v>11</v>
      </c>
      <c r="X28" s="12">
        <f t="shared" si="10"/>
        <v>0</v>
      </c>
      <c r="Y28" s="26">
        <f t="shared" si="11"/>
        <v>0</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58</v>
      </c>
      <c r="E29" s="3"/>
      <c r="F29" s="3"/>
      <c r="G29" s="24"/>
      <c r="H29" s="24"/>
      <c r="J29" s="1" t="s">
        <v>105</v>
      </c>
      <c r="K29" s="4"/>
      <c r="L29" s="4"/>
      <c r="M29" s="4"/>
      <c r="N29" s="4"/>
      <c r="O29" s="4"/>
      <c r="P29" s="29"/>
      <c r="Q29" s="25">
        <v>0</v>
      </c>
      <c r="R29" s="25">
        <v>0</v>
      </c>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59</v>
      </c>
      <c r="E30" s="3"/>
      <c r="F30" s="3"/>
      <c r="G30" s="24"/>
      <c r="H30" s="24"/>
      <c r="J30" s="1" t="s">
        <v>106</v>
      </c>
      <c r="K30" s="4"/>
      <c r="L30" s="4"/>
      <c r="M30" s="4"/>
      <c r="N30" s="4"/>
      <c r="O30" s="4"/>
      <c r="P30" s="33"/>
      <c r="Q30" s="25">
        <v>300</v>
      </c>
      <c r="R30" s="25">
        <v>1</v>
      </c>
      <c r="S30" s="12">
        <f t="shared" ref="S30" si="12">+Q30*R30</f>
        <v>300</v>
      </c>
      <c r="T30" s="5">
        <v>0</v>
      </c>
      <c r="U30" s="12">
        <f t="shared" ref="U30" si="13">S30*(1-T30)</f>
        <v>300</v>
      </c>
      <c r="V30" s="25" t="s">
        <v>10</v>
      </c>
      <c r="W30" s="11">
        <f>IFERROR(VLOOKUP(V30,Curr!$B$2:$C$13,2,FALSE),0)</f>
        <v>11</v>
      </c>
      <c r="X30" s="12">
        <f t="shared" ref="X30" si="14">U30*W30</f>
        <v>3300</v>
      </c>
      <c r="Y30" s="26">
        <f>Q30/0.8</f>
        <v>375</v>
      </c>
      <c r="Z30" s="12">
        <f t="shared" si="2"/>
        <v>375</v>
      </c>
      <c r="AA30" s="4" t="s">
        <v>10</v>
      </c>
      <c r="AB30" s="11">
        <f>IFERROR(VLOOKUP(AA30,Curr!$B$2:$C$13,2,FALSE),0)</f>
        <v>11</v>
      </c>
      <c r="AC30" s="12">
        <f t="shared" si="3"/>
        <v>4125</v>
      </c>
      <c r="AD30" s="12">
        <f t="shared" si="4"/>
        <v>825</v>
      </c>
      <c r="AE30" s="13">
        <f t="shared" si="5"/>
        <v>0.2</v>
      </c>
    </row>
    <row r="31" spans="2:31" x14ac:dyDescent="0.25">
      <c r="B31" s="4"/>
      <c r="C31" s="1" t="s">
        <v>92</v>
      </c>
      <c r="D31" s="1" t="s">
        <v>60</v>
      </c>
      <c r="E31" s="3"/>
      <c r="F31" s="3"/>
      <c r="G31" s="24"/>
      <c r="H31" s="24"/>
      <c r="J31" s="1" t="s">
        <v>107</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c r="R32" s="25"/>
      <c r="S32" s="12">
        <f t="shared" si="8"/>
        <v>0</v>
      </c>
      <c r="T32" s="5">
        <v>0</v>
      </c>
      <c r="U32" s="12">
        <f t="shared" si="9"/>
        <v>0</v>
      </c>
      <c r="V32" s="25" t="s">
        <v>10</v>
      </c>
      <c r="W32" s="11">
        <f>IFERROR(VLOOKUP(V32,Curr!$B$2:$C$13,2,FALSE),0)</f>
        <v>11</v>
      </c>
      <c r="X32" s="12">
        <f t="shared" si="10"/>
        <v>0</v>
      </c>
      <c r="Y32" s="26">
        <f t="shared" si="11"/>
        <v>0</v>
      </c>
      <c r="Z32" s="12">
        <f t="shared" si="2"/>
        <v>0</v>
      </c>
      <c r="AA32" s="4" t="s">
        <v>10</v>
      </c>
      <c r="AB32" s="11">
        <f>IFERROR(VLOOKUP(AA32,Curr!$B$2:$C$13,2,FALSE),0)</f>
        <v>11</v>
      </c>
      <c r="AC32" s="12">
        <f t="shared" si="3"/>
        <v>0</v>
      </c>
      <c r="AD32" s="12">
        <f t="shared" si="4"/>
        <v>0</v>
      </c>
      <c r="AE32" s="13">
        <f t="shared" si="5"/>
        <v>0</v>
      </c>
    </row>
    <row r="33" spans="2:31" x14ac:dyDescent="0.25">
      <c r="B33" s="4"/>
      <c r="C33" s="1" t="s">
        <v>94</v>
      </c>
      <c r="D33" s="1" t="s">
        <v>58</v>
      </c>
      <c r="E33" s="3"/>
      <c r="F33" s="3"/>
      <c r="G33" s="24"/>
      <c r="H33" s="24"/>
      <c r="J33" s="1" t="s">
        <v>108</v>
      </c>
      <c r="K33" s="4"/>
      <c r="L33" s="4"/>
      <c r="M33" s="4"/>
      <c r="N33" s="4"/>
      <c r="O33" s="4"/>
      <c r="P33" s="27"/>
      <c r="Q33" s="25">
        <v>0</v>
      </c>
      <c r="R33" s="25">
        <v>0</v>
      </c>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1" x14ac:dyDescent="0.25">
      <c r="B34" s="4"/>
      <c r="C34" s="1" t="s">
        <v>94</v>
      </c>
      <c r="D34" s="1" t="s">
        <v>59</v>
      </c>
      <c r="E34" s="3"/>
      <c r="F34" s="3"/>
      <c r="G34" s="24"/>
      <c r="H34" s="24"/>
      <c r="J34" s="1" t="s">
        <v>64</v>
      </c>
      <c r="K34" s="4"/>
      <c r="L34" s="4"/>
      <c r="M34" s="4"/>
      <c r="N34" s="4"/>
      <c r="O34" s="4"/>
      <c r="P34" s="27"/>
      <c r="Q34" s="25">
        <v>200</v>
      </c>
      <c r="R34" s="25">
        <v>1</v>
      </c>
      <c r="S34" s="12">
        <f t="shared" si="8"/>
        <v>200</v>
      </c>
      <c r="T34" s="5">
        <v>0</v>
      </c>
      <c r="U34" s="12">
        <f t="shared" si="9"/>
        <v>200</v>
      </c>
      <c r="V34" s="25" t="s">
        <v>10</v>
      </c>
      <c r="W34" s="11">
        <f>IFERROR(VLOOKUP(V34,Curr!$B$2:$C$13,2,FALSE),0)</f>
        <v>11</v>
      </c>
      <c r="X34" s="12">
        <f t="shared" si="10"/>
        <v>2200</v>
      </c>
      <c r="Y34" s="26">
        <f>Q34/0.8</f>
        <v>250</v>
      </c>
      <c r="Z34" s="12">
        <f t="shared" si="2"/>
        <v>250</v>
      </c>
      <c r="AA34" s="4" t="s">
        <v>10</v>
      </c>
      <c r="AB34" s="11">
        <f>IFERROR(VLOOKUP(AA34,Curr!$B$2:$C$13,2,FALSE),0)</f>
        <v>11</v>
      </c>
      <c r="AC34" s="12">
        <f t="shared" si="3"/>
        <v>2750</v>
      </c>
      <c r="AD34" s="12">
        <f t="shared" si="4"/>
        <v>550</v>
      </c>
      <c r="AE34" s="13">
        <f t="shared" si="5"/>
        <v>0.2</v>
      </c>
    </row>
    <row r="35" spans="2:31" x14ac:dyDescent="0.25">
      <c r="B35" s="4"/>
      <c r="C35" s="1" t="s">
        <v>94</v>
      </c>
      <c r="D35" s="1" t="s">
        <v>60</v>
      </c>
      <c r="E35" s="3"/>
      <c r="F35" s="3"/>
      <c r="G35" s="24"/>
      <c r="H35" s="24"/>
      <c r="J35" s="1" t="s">
        <v>63</v>
      </c>
      <c r="K35" s="4"/>
      <c r="L35" s="4"/>
      <c r="M35" s="4"/>
      <c r="N35" s="4"/>
      <c r="O35" s="4"/>
      <c r="P35" s="27"/>
      <c r="Q35" s="25">
        <v>0</v>
      </c>
      <c r="R35" s="25">
        <v>0</v>
      </c>
      <c r="S35" s="12">
        <f t="shared" si="8"/>
        <v>0</v>
      </c>
      <c r="T35" s="5">
        <v>0</v>
      </c>
      <c r="U35" s="12">
        <f t="shared" si="9"/>
        <v>0</v>
      </c>
      <c r="V35" s="25" t="s">
        <v>10</v>
      </c>
      <c r="W35" s="11">
        <f>IFERROR(VLOOKUP(V35,Curr!$B$2:$C$13,2,FALSE),0)</f>
        <v>11</v>
      </c>
      <c r="X35" s="12">
        <f t="shared" si="10"/>
        <v>0</v>
      </c>
      <c r="Y35" s="26">
        <f t="shared" ref="Y35:Y39" si="15">Q35</f>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27"/>
      <c r="Q36" s="25"/>
      <c r="R36" s="25"/>
      <c r="S36" s="12">
        <f t="shared" si="8"/>
        <v>0</v>
      </c>
      <c r="T36" s="5">
        <v>0</v>
      </c>
      <c r="U36" s="12">
        <f t="shared" si="9"/>
        <v>0</v>
      </c>
      <c r="V36" s="25" t="s">
        <v>10</v>
      </c>
      <c r="W36" s="11">
        <f>IFERROR(VLOOKUP(V36,Curr!$B$2:$C$13,2,FALSE),0)</f>
        <v>11</v>
      </c>
      <c r="X36" s="12">
        <f t="shared" si="10"/>
        <v>0</v>
      </c>
      <c r="Y36" s="26">
        <f t="shared" si="15"/>
        <v>0</v>
      </c>
      <c r="Z36" s="12">
        <f t="shared" si="2"/>
        <v>0</v>
      </c>
      <c r="AA36" s="4" t="s">
        <v>10</v>
      </c>
      <c r="AB36" s="11">
        <f>IFERROR(VLOOKUP(AA36,Curr!$B$2:$C$13,2,FALSE),0)</f>
        <v>11</v>
      </c>
      <c r="AC36" s="12">
        <f t="shared" si="3"/>
        <v>0</v>
      </c>
      <c r="AD36" s="12">
        <f t="shared" si="4"/>
        <v>0</v>
      </c>
      <c r="AE36" s="13">
        <f t="shared" si="5"/>
        <v>0</v>
      </c>
    </row>
    <row r="37" spans="2:31" x14ac:dyDescent="0.25">
      <c r="B37" s="4"/>
      <c r="C37" s="1" t="s">
        <v>101</v>
      </c>
      <c r="D37" s="1" t="s">
        <v>58</v>
      </c>
      <c r="E37" s="3"/>
      <c r="F37" s="3"/>
      <c r="G37" s="24"/>
      <c r="H37" s="24"/>
      <c r="J37" s="1" t="s">
        <v>100</v>
      </c>
      <c r="K37" s="4"/>
      <c r="L37" s="4"/>
      <c r="M37" s="4"/>
      <c r="N37" s="4"/>
      <c r="O37" s="4"/>
      <c r="P37" s="27"/>
      <c r="Q37" s="25">
        <v>0</v>
      </c>
      <c r="R37" s="25">
        <v>0</v>
      </c>
      <c r="S37" s="12">
        <f t="shared" si="8"/>
        <v>0</v>
      </c>
      <c r="T37" s="5">
        <v>0</v>
      </c>
      <c r="U37" s="12">
        <f t="shared" si="9"/>
        <v>0</v>
      </c>
      <c r="V37" s="25" t="s">
        <v>10</v>
      </c>
      <c r="W37" s="11">
        <f>IFERROR(VLOOKUP(V37,Curr!$B$2:$C$13,2,FALSE),0)</f>
        <v>11</v>
      </c>
      <c r="X37" s="12">
        <f t="shared" si="10"/>
        <v>0</v>
      </c>
      <c r="Y37" s="26">
        <f t="shared" si="15"/>
        <v>0</v>
      </c>
      <c r="Z37" s="12">
        <f t="shared" si="2"/>
        <v>0</v>
      </c>
      <c r="AA37" s="4" t="s">
        <v>10</v>
      </c>
      <c r="AB37" s="11">
        <f>IFERROR(VLOOKUP(AA37,Curr!$B$2:$C$13,2,FALSE),0)</f>
        <v>11</v>
      </c>
      <c r="AC37" s="12">
        <f t="shared" si="3"/>
        <v>0</v>
      </c>
      <c r="AD37" s="12">
        <f t="shared" si="4"/>
        <v>0</v>
      </c>
      <c r="AE37" s="13">
        <f t="shared" si="5"/>
        <v>0</v>
      </c>
    </row>
    <row r="38" spans="2:31" x14ac:dyDescent="0.25">
      <c r="B38" s="4"/>
      <c r="C38" s="1" t="s">
        <v>101</v>
      </c>
      <c r="D38" s="1" t="s">
        <v>57</v>
      </c>
      <c r="E38" s="3"/>
      <c r="F38" s="3"/>
      <c r="G38" s="24"/>
      <c r="H38" s="24"/>
      <c r="J38" s="1" t="s">
        <v>80</v>
      </c>
      <c r="K38" s="4"/>
      <c r="L38" s="4"/>
      <c r="M38" s="4"/>
      <c r="N38" s="4"/>
      <c r="O38" s="4"/>
      <c r="P38" s="33"/>
      <c r="Q38" s="25">
        <v>0</v>
      </c>
      <c r="R38" s="25">
        <v>0</v>
      </c>
      <c r="S38" s="12">
        <f t="shared" si="8"/>
        <v>0</v>
      </c>
      <c r="T38" s="5">
        <v>0</v>
      </c>
      <c r="U38" s="12">
        <f t="shared" si="9"/>
        <v>0</v>
      </c>
      <c r="V38" s="25" t="s">
        <v>10</v>
      </c>
      <c r="W38" s="11">
        <f>IFERROR(VLOOKUP(V38,Curr!$B$2:$C$13,2,FALSE),0)</f>
        <v>11</v>
      </c>
      <c r="X38" s="12">
        <f t="shared" si="10"/>
        <v>0</v>
      </c>
      <c r="Y38" s="26">
        <f t="shared" si="15"/>
        <v>0</v>
      </c>
      <c r="Z38" s="12">
        <f t="shared" si="2"/>
        <v>0</v>
      </c>
      <c r="AA38" s="4" t="s">
        <v>10</v>
      </c>
      <c r="AB38" s="11">
        <f>IFERROR(VLOOKUP(AA38,Curr!$B$2:$C$13,2,FALSE),0)</f>
        <v>11</v>
      </c>
      <c r="AC38" s="12">
        <f t="shared" si="3"/>
        <v>0</v>
      </c>
      <c r="AD38" s="12">
        <f t="shared" si="4"/>
        <v>0</v>
      </c>
      <c r="AE38" s="13">
        <f t="shared" si="5"/>
        <v>0</v>
      </c>
    </row>
    <row r="39" spans="2:31" x14ac:dyDescent="0.25">
      <c r="B39" s="4"/>
      <c r="C39" s="1" t="s">
        <v>101</v>
      </c>
      <c r="D39" s="1" t="s">
        <v>78</v>
      </c>
      <c r="E39" s="3"/>
      <c r="F39" s="3"/>
      <c r="G39" s="24"/>
      <c r="H39" s="24"/>
      <c r="J39" s="1" t="s">
        <v>81</v>
      </c>
      <c r="K39" s="4"/>
      <c r="L39" s="4"/>
      <c r="M39" s="4"/>
      <c r="N39" s="4"/>
      <c r="O39" s="4"/>
      <c r="P39" s="27"/>
      <c r="Q39" s="25">
        <v>0</v>
      </c>
      <c r="R39" s="25">
        <v>0</v>
      </c>
      <c r="S39" s="12">
        <f t="shared" si="8"/>
        <v>0</v>
      </c>
      <c r="T39" s="5">
        <v>0</v>
      </c>
      <c r="U39" s="12">
        <f t="shared" si="9"/>
        <v>0</v>
      </c>
      <c r="V39" s="25" t="s">
        <v>10</v>
      </c>
      <c r="W39" s="11">
        <f>IFERROR(VLOOKUP(V39,Curr!$B$2:$C$13,2,FALSE),0)</f>
        <v>11</v>
      </c>
      <c r="X39" s="12">
        <f t="shared" si="10"/>
        <v>0</v>
      </c>
      <c r="Y39" s="26">
        <f t="shared" si="15"/>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x14ac:dyDescent="0.25">
      <c r="B42" s="4"/>
      <c r="C42" s="1" t="s">
        <v>55</v>
      </c>
      <c r="D42" s="1" t="s">
        <v>83</v>
      </c>
      <c r="E42" s="3"/>
      <c r="F42" s="3"/>
      <c r="G42" s="24"/>
      <c r="H42" s="24"/>
      <c r="J42" s="1" t="s">
        <v>184</v>
      </c>
      <c r="K42" s="4"/>
      <c r="L42" s="4"/>
      <c r="M42" s="4"/>
      <c r="N42" s="4"/>
      <c r="O42" s="4"/>
      <c r="P42" s="33" t="s">
        <v>243</v>
      </c>
      <c r="Q42" s="25">
        <v>37</v>
      </c>
      <c r="R42" s="25">
        <v>0</v>
      </c>
      <c r="S42" s="12">
        <f t="shared" si="8"/>
        <v>0</v>
      </c>
      <c r="T42" s="5">
        <v>0.2</v>
      </c>
      <c r="U42" s="12">
        <f t="shared" si="9"/>
        <v>0</v>
      </c>
      <c r="V42" s="25" t="s">
        <v>10</v>
      </c>
      <c r="W42" s="11">
        <f>IFERROR(VLOOKUP(V42,Curr!$B$2:$C$13,2,FALSE),0)</f>
        <v>11</v>
      </c>
      <c r="X42" s="12">
        <f t="shared" si="10"/>
        <v>0</v>
      </c>
      <c r="Y42" s="26">
        <f t="shared" si="11"/>
        <v>37</v>
      </c>
      <c r="Z42" s="12">
        <f t="shared" si="2"/>
        <v>0</v>
      </c>
      <c r="AA42" s="4" t="s">
        <v>10</v>
      </c>
      <c r="AB42" s="11">
        <f>IFERROR(VLOOKUP(AA42,Curr!$B$2:$C$13,2,FALSE),0)</f>
        <v>11</v>
      </c>
      <c r="AC42" s="12">
        <f t="shared" si="3"/>
        <v>0</v>
      </c>
      <c r="AD42" s="12">
        <f t="shared" si="4"/>
        <v>0</v>
      </c>
      <c r="AE42" s="13">
        <f t="shared" si="5"/>
        <v>0</v>
      </c>
    </row>
    <row r="43" spans="2:31" x14ac:dyDescent="0.25">
      <c r="B43" s="4"/>
      <c r="C43" s="1" t="s">
        <v>55</v>
      </c>
      <c r="D43" s="1" t="s">
        <v>83</v>
      </c>
      <c r="E43" s="3"/>
      <c r="F43" s="3"/>
      <c r="G43" s="24"/>
      <c r="H43" s="24"/>
      <c r="J43" s="1" t="s">
        <v>241</v>
      </c>
      <c r="K43" s="4"/>
      <c r="L43" s="4"/>
      <c r="M43" s="4"/>
      <c r="N43" s="4"/>
      <c r="O43" s="4"/>
      <c r="P43" s="33" t="s">
        <v>242</v>
      </c>
      <c r="Q43" s="25">
        <v>89</v>
      </c>
      <c r="R43" s="25">
        <v>0</v>
      </c>
      <c r="S43" s="12">
        <f t="shared" si="8"/>
        <v>0</v>
      </c>
      <c r="T43" s="5">
        <v>0.25</v>
      </c>
      <c r="U43" s="12">
        <f t="shared" si="9"/>
        <v>0</v>
      </c>
      <c r="V43" s="25" t="s">
        <v>10</v>
      </c>
      <c r="W43" s="11">
        <f>IFERROR(VLOOKUP(V43,Curr!$B$2:$C$13,2,FALSE),0)</f>
        <v>11</v>
      </c>
      <c r="X43" s="12">
        <f t="shared" si="10"/>
        <v>0</v>
      </c>
      <c r="Y43" s="26">
        <f t="shared" si="11"/>
        <v>89</v>
      </c>
      <c r="Z43" s="12">
        <f t="shared" si="2"/>
        <v>0</v>
      </c>
      <c r="AA43" s="4" t="s">
        <v>10</v>
      </c>
      <c r="AB43" s="11">
        <f>IFERROR(VLOOKUP(AA43,Curr!$B$2:$C$13,2,FALSE),0)</f>
        <v>11</v>
      </c>
      <c r="AC43" s="12">
        <f t="shared" si="3"/>
        <v>0</v>
      </c>
      <c r="AD43" s="12">
        <f t="shared" si="4"/>
        <v>0</v>
      </c>
      <c r="AE43" s="13">
        <f t="shared" si="5"/>
        <v>0</v>
      </c>
    </row>
    <row r="44" spans="2:31" x14ac:dyDescent="0.25">
      <c r="B44" s="4"/>
      <c r="C44" s="1" t="s">
        <v>66</v>
      </c>
      <c r="D44" s="1" t="s">
        <v>83</v>
      </c>
      <c r="E44" s="3"/>
      <c r="F44" s="3"/>
      <c r="G44" s="24"/>
      <c r="H44" s="24"/>
      <c r="J44" s="1" t="s">
        <v>239</v>
      </c>
      <c r="K44" s="4"/>
      <c r="L44" s="4"/>
      <c r="M44" s="4"/>
      <c r="N44" s="4"/>
      <c r="O44" s="4"/>
      <c r="P44" s="33" t="s">
        <v>240</v>
      </c>
      <c r="Q44" s="25">
        <v>205</v>
      </c>
      <c r="R44" s="25">
        <v>0</v>
      </c>
      <c r="S44" s="12">
        <f t="shared" si="8"/>
        <v>0</v>
      </c>
      <c r="T44" s="5">
        <v>0</v>
      </c>
      <c r="U44" s="12">
        <f t="shared" si="9"/>
        <v>0</v>
      </c>
      <c r="V44" s="25" t="s">
        <v>10</v>
      </c>
      <c r="W44" s="11">
        <f>IFERROR(VLOOKUP(V44,Curr!$B$2:$C$13,2,FALSE),0)</f>
        <v>11</v>
      </c>
      <c r="X44" s="12">
        <f t="shared" si="10"/>
        <v>0</v>
      </c>
      <c r="Y44" s="26">
        <f t="shared" si="11"/>
        <v>205</v>
      </c>
      <c r="Z44" s="12">
        <f t="shared" ref="Z44:Z50" si="16">+Y44*R44</f>
        <v>0</v>
      </c>
      <c r="AA44" s="4" t="s">
        <v>10</v>
      </c>
      <c r="AB44" s="11">
        <f>IFERROR(VLOOKUP(AA44,Curr!$B$2:$C$13,2,FALSE),0)</f>
        <v>11</v>
      </c>
      <c r="AC44" s="12">
        <f t="shared" ref="AC44:AC50" si="17">+Y44*AB44*R44</f>
        <v>0</v>
      </c>
      <c r="AD44" s="12">
        <f t="shared" ref="AD44:AD50" si="18">+AC44-X44</f>
        <v>0</v>
      </c>
      <c r="AE44" s="13">
        <f t="shared" ref="AE44:AE50" si="19">IFERROR(AD44/AC44,0)</f>
        <v>0</v>
      </c>
    </row>
    <row r="45" spans="2:31" x14ac:dyDescent="0.25">
      <c r="B45" s="4"/>
      <c r="C45" s="1" t="s">
        <v>92</v>
      </c>
      <c r="D45" s="1" t="s">
        <v>83</v>
      </c>
      <c r="E45" s="3"/>
      <c r="F45" s="3"/>
      <c r="G45" s="24"/>
      <c r="H45" s="24"/>
      <c r="J45" s="1" t="s">
        <v>244</v>
      </c>
      <c r="K45" s="4"/>
      <c r="L45" s="4"/>
      <c r="M45" s="4"/>
      <c r="N45" s="4"/>
      <c r="O45" s="4"/>
      <c r="P45" s="33" t="s">
        <v>245</v>
      </c>
      <c r="Q45" s="25">
        <v>99</v>
      </c>
      <c r="R45" s="25">
        <v>0</v>
      </c>
      <c r="S45" s="12">
        <f t="shared" si="8"/>
        <v>0</v>
      </c>
      <c r="T45" s="5">
        <v>0.25</v>
      </c>
      <c r="U45" s="12">
        <f t="shared" si="9"/>
        <v>0</v>
      </c>
      <c r="V45" s="25" t="s">
        <v>10</v>
      </c>
      <c r="W45" s="11">
        <f>IFERROR(VLOOKUP(V45,Curr!$B$2:$C$13,2,FALSE),0)</f>
        <v>11</v>
      </c>
      <c r="X45" s="12">
        <f t="shared" si="10"/>
        <v>0</v>
      </c>
      <c r="Y45" s="26">
        <f t="shared" si="11"/>
        <v>99</v>
      </c>
      <c r="Z45" s="12">
        <f t="shared" si="16"/>
        <v>0</v>
      </c>
      <c r="AA45" s="4" t="s">
        <v>10</v>
      </c>
      <c r="AB45" s="11">
        <f>IFERROR(VLOOKUP(AA45,Curr!$B$2:$C$13,2,FALSE),0)</f>
        <v>11</v>
      </c>
      <c r="AC45" s="12">
        <f t="shared" si="17"/>
        <v>0</v>
      </c>
      <c r="AD45" s="12">
        <f t="shared" si="18"/>
        <v>0</v>
      </c>
      <c r="AE45" s="13">
        <f t="shared" si="19"/>
        <v>0</v>
      </c>
    </row>
    <row r="46" spans="2:31" x14ac:dyDescent="0.25">
      <c r="B46" s="4"/>
      <c r="C46" s="1" t="s">
        <v>101</v>
      </c>
      <c r="D46" s="1" t="s">
        <v>83</v>
      </c>
      <c r="E46" s="3"/>
      <c r="F46" s="3"/>
      <c r="G46" s="24"/>
      <c r="H46" s="24"/>
      <c r="J46" s="1" t="s">
        <v>137</v>
      </c>
      <c r="K46" s="4"/>
      <c r="L46" s="4"/>
      <c r="M46" s="4"/>
      <c r="N46" s="4"/>
      <c r="O46" s="4"/>
      <c r="P46" s="33" t="s">
        <v>182</v>
      </c>
      <c r="Q46" s="25">
        <v>163</v>
      </c>
      <c r="R46" s="25">
        <v>0</v>
      </c>
      <c r="S46" s="12">
        <f t="shared" si="8"/>
        <v>0</v>
      </c>
      <c r="T46" s="5">
        <v>0.2</v>
      </c>
      <c r="U46" s="12">
        <f t="shared" si="9"/>
        <v>0</v>
      </c>
      <c r="V46" s="25" t="s">
        <v>10</v>
      </c>
      <c r="W46" s="11">
        <f>IFERROR(VLOOKUP(V46,Curr!$B$2:$C$13,2,FALSE),0)</f>
        <v>11</v>
      </c>
      <c r="X46" s="12">
        <f t="shared" si="10"/>
        <v>0</v>
      </c>
      <c r="Y46" s="26">
        <f t="shared" si="11"/>
        <v>163</v>
      </c>
      <c r="Z46" s="12">
        <f t="shared" si="16"/>
        <v>0</v>
      </c>
      <c r="AA46" s="4" t="s">
        <v>10</v>
      </c>
      <c r="AB46" s="11">
        <f>IFERROR(VLOOKUP(AA46,Curr!$B$2:$C$13,2,FALSE),0)</f>
        <v>11</v>
      </c>
      <c r="AC46" s="12">
        <f t="shared" si="17"/>
        <v>0</v>
      </c>
      <c r="AD46" s="12">
        <f t="shared" si="18"/>
        <v>0</v>
      </c>
      <c r="AE46" s="13">
        <f t="shared" si="19"/>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16"/>
        <v>0</v>
      </c>
      <c r="AA47" s="4" t="s">
        <v>10</v>
      </c>
      <c r="AB47" s="11">
        <f>IFERROR(VLOOKUP(AA47,Curr!$B$2:$C$13,2,FALSE),0)</f>
        <v>11</v>
      </c>
      <c r="AC47" s="12">
        <f t="shared" si="17"/>
        <v>0</v>
      </c>
      <c r="AD47" s="12">
        <f t="shared" si="18"/>
        <v>0</v>
      </c>
      <c r="AE47" s="13">
        <f t="shared" si="19"/>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16"/>
        <v>0</v>
      </c>
      <c r="AA48" s="4" t="s">
        <v>10</v>
      </c>
      <c r="AB48" s="11">
        <f>IFERROR(VLOOKUP(AA48,Curr!$B$2:$C$13,2,FALSE),0)</f>
        <v>11</v>
      </c>
      <c r="AC48" s="12">
        <f t="shared" si="17"/>
        <v>0</v>
      </c>
      <c r="AD48" s="12">
        <f t="shared" si="18"/>
        <v>0</v>
      </c>
      <c r="AE48" s="13">
        <f t="shared" si="19"/>
        <v>0</v>
      </c>
    </row>
    <row r="49" spans="2:36" x14ac:dyDescent="0.25">
      <c r="B49" s="4"/>
      <c r="C49" s="1" t="s">
        <v>55</v>
      </c>
      <c r="D49" s="1" t="s">
        <v>138</v>
      </c>
      <c r="E49" s="3"/>
      <c r="F49" s="3"/>
      <c r="G49" s="24"/>
      <c r="H49" s="24"/>
      <c r="J49" s="1" t="s">
        <v>139</v>
      </c>
      <c r="K49" s="4"/>
      <c r="L49" s="4"/>
      <c r="M49" s="4"/>
      <c r="N49" s="4"/>
      <c r="O49" s="4"/>
      <c r="P49" s="27"/>
      <c r="Q49" s="25">
        <v>225</v>
      </c>
      <c r="R49" s="25">
        <v>0</v>
      </c>
      <c r="S49" s="12">
        <f t="shared" si="8"/>
        <v>0</v>
      </c>
      <c r="T49" s="5">
        <v>0</v>
      </c>
      <c r="U49" s="12">
        <f t="shared" si="9"/>
        <v>0</v>
      </c>
      <c r="V49" s="25" t="s">
        <v>10</v>
      </c>
      <c r="W49" s="11">
        <f>IFERROR(VLOOKUP(V49,Curr!$B$2:$C$13,2,FALSE),0)</f>
        <v>11</v>
      </c>
      <c r="X49" s="12">
        <f t="shared" si="10"/>
        <v>0</v>
      </c>
      <c r="Y49" s="26">
        <f>Q49/0.85</f>
        <v>264.70588235294116</v>
      </c>
      <c r="Z49" s="12">
        <f t="shared" si="16"/>
        <v>0</v>
      </c>
      <c r="AA49" s="4" t="s">
        <v>10</v>
      </c>
      <c r="AB49" s="11">
        <f>IFERROR(VLOOKUP(AA49,Curr!$B$2:$C$13,2,FALSE),0)</f>
        <v>11</v>
      </c>
      <c r="AC49" s="12">
        <f t="shared" si="17"/>
        <v>0</v>
      </c>
      <c r="AD49" s="12">
        <f t="shared" si="18"/>
        <v>0</v>
      </c>
      <c r="AE49" s="13">
        <f t="shared" si="19"/>
        <v>0</v>
      </c>
    </row>
    <row r="50" spans="2:36" x14ac:dyDescent="0.25">
      <c r="B50" s="4"/>
      <c r="C50" s="1" t="s">
        <v>101</v>
      </c>
      <c r="D50" s="1" t="s">
        <v>138</v>
      </c>
      <c r="E50" s="3"/>
      <c r="F50" s="3"/>
      <c r="G50" s="24"/>
      <c r="H50" s="24"/>
      <c r="J50" s="1" t="s">
        <v>139</v>
      </c>
      <c r="K50" s="4"/>
      <c r="L50" s="4"/>
      <c r="M50" s="4"/>
      <c r="N50" s="4"/>
      <c r="O50" s="4"/>
      <c r="P50" s="33"/>
      <c r="Q50" s="25">
        <v>225</v>
      </c>
      <c r="R50" s="25">
        <v>0</v>
      </c>
      <c r="S50" s="12">
        <f t="shared" si="8"/>
        <v>0</v>
      </c>
      <c r="T50" s="5">
        <v>0</v>
      </c>
      <c r="U50" s="12">
        <f t="shared" si="9"/>
        <v>0</v>
      </c>
      <c r="V50" s="25" t="s">
        <v>10</v>
      </c>
      <c r="W50" s="11">
        <f>IFERROR(VLOOKUP(V50,Curr!$B$2:$C$13,2,FALSE),0)</f>
        <v>11</v>
      </c>
      <c r="X50" s="12">
        <f t="shared" si="10"/>
        <v>0</v>
      </c>
      <c r="Y50" s="26">
        <f>Q50/0.85</f>
        <v>264.70588235294116</v>
      </c>
      <c r="Z50" s="12">
        <f t="shared" si="16"/>
        <v>0</v>
      </c>
      <c r="AA50" s="4" t="s">
        <v>10</v>
      </c>
      <c r="AB50" s="11">
        <f>IFERROR(VLOOKUP(AA50,Curr!$B$2:$C$13,2,FALSE),0)</f>
        <v>11</v>
      </c>
      <c r="AC50" s="12">
        <f t="shared" si="17"/>
        <v>0</v>
      </c>
      <c r="AD50" s="12">
        <f t="shared" si="18"/>
        <v>0</v>
      </c>
      <c r="AE50" s="13">
        <f t="shared" si="19"/>
        <v>0</v>
      </c>
    </row>
    <row r="51" spans="2:36"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x14ac:dyDescent="0.25">
      <c r="B52" s="4"/>
      <c r="E52" s="3"/>
      <c r="F52" s="3"/>
      <c r="G52" s="24"/>
      <c r="H52" s="24"/>
      <c r="K52" s="4"/>
      <c r="L52" s="4"/>
      <c r="M52" s="4"/>
      <c r="N52" s="4"/>
      <c r="O52" s="4"/>
      <c r="P52" s="33"/>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x14ac:dyDescent="0.25">
      <c r="B56" s="4"/>
      <c r="E56" s="3"/>
      <c r="F56" s="3"/>
      <c r="G56" s="24"/>
      <c r="H56" s="24"/>
      <c r="K56" s="4"/>
      <c r="L56" s="4"/>
      <c r="M56" s="4"/>
      <c r="N56" s="4"/>
      <c r="O56" s="4"/>
      <c r="P56" s="33"/>
      <c r="Q56" s="25"/>
      <c r="R56" s="25"/>
      <c r="S56" s="12">
        <f t="shared" si="8"/>
        <v>0</v>
      </c>
      <c r="T56" s="5">
        <v>0</v>
      </c>
      <c r="U56" s="12">
        <f t="shared" si="9"/>
        <v>0</v>
      </c>
      <c r="V56" s="25" t="s">
        <v>10</v>
      </c>
      <c r="W56" s="11">
        <f>IFERROR(VLOOKUP(V56,Curr!$B$2:$C$13,2,FALSE),0)</f>
        <v>11</v>
      </c>
      <c r="X56" s="12">
        <f t="shared" si="10"/>
        <v>0</v>
      </c>
      <c r="Y56" s="26">
        <f t="shared" si="11"/>
        <v>0</v>
      </c>
      <c r="Z56" s="12">
        <f t="shared" si="2"/>
        <v>0</v>
      </c>
      <c r="AA56" s="4" t="s">
        <v>10</v>
      </c>
      <c r="AB56" s="11">
        <f>IFERROR(VLOOKUP(AA56,Curr!$B$2:$C$13,2,FALSE),0)</f>
        <v>11</v>
      </c>
      <c r="AC56" s="12">
        <f t="shared" si="3"/>
        <v>0</v>
      </c>
      <c r="AD56" s="12">
        <f t="shared" si="4"/>
        <v>0</v>
      </c>
      <c r="AE56" s="13">
        <f t="shared" si="5"/>
        <v>0</v>
      </c>
    </row>
    <row r="57" spans="2:36" x14ac:dyDescent="0.25">
      <c r="B57" s="4"/>
      <c r="E57" s="3"/>
      <c r="F57" s="3"/>
      <c r="G57" s="3"/>
      <c r="H57" s="3"/>
      <c r="L57" s="4"/>
      <c r="M57" s="4"/>
      <c r="N57" s="4"/>
      <c r="O57" s="4"/>
      <c r="P57" s="22"/>
      <c r="Q57" s="4"/>
      <c r="R57" s="4"/>
      <c r="S57" s="4"/>
      <c r="T57" s="4"/>
      <c r="U57" s="4"/>
      <c r="V57" s="4"/>
      <c r="W57" s="4"/>
      <c r="X57" s="4"/>
      <c r="Y57" s="4"/>
      <c r="Z57" s="4"/>
      <c r="AA57" s="4"/>
      <c r="AB57" s="4"/>
      <c r="AC57" s="4"/>
      <c r="AD57" s="4"/>
      <c r="AE57" s="4"/>
      <c r="AF57" s="4"/>
    </row>
    <row r="58" spans="2:36" x14ac:dyDescent="0.25">
      <c r="B58" s="14" t="s">
        <v>18</v>
      </c>
      <c r="C58" s="14"/>
      <c r="D58" s="28" t="s">
        <v>42</v>
      </c>
      <c r="E58" s="30" t="s">
        <v>42</v>
      </c>
      <c r="F58" s="30" t="s">
        <v>42</v>
      </c>
      <c r="G58" s="30" t="s">
        <v>42</v>
      </c>
      <c r="H58" s="30" t="s">
        <v>42</v>
      </c>
      <c r="I58" s="28" t="s">
        <v>42</v>
      </c>
      <c r="J58" s="28" t="s">
        <v>42</v>
      </c>
      <c r="K58" s="28" t="s">
        <v>42</v>
      </c>
      <c r="L58" s="28" t="s">
        <v>42</v>
      </c>
      <c r="M58" s="28" t="s">
        <v>42</v>
      </c>
      <c r="N58" s="28" t="s">
        <v>42</v>
      </c>
      <c r="O58" s="28" t="s">
        <v>42</v>
      </c>
      <c r="P58" s="28" t="s">
        <v>42</v>
      </c>
      <c r="Q58" s="31" t="s">
        <v>42</v>
      </c>
      <c r="R58" s="28" t="s">
        <v>42</v>
      </c>
      <c r="S58" s="32" t="s">
        <v>42</v>
      </c>
      <c r="T58" s="28" t="s">
        <v>42</v>
      </c>
      <c r="U58" s="32" t="s">
        <v>42</v>
      </c>
      <c r="V58" s="28" t="s">
        <v>42</v>
      </c>
      <c r="W58" s="28" t="s">
        <v>42</v>
      </c>
      <c r="X58" s="32" t="s">
        <v>42</v>
      </c>
      <c r="Y58" s="32" t="s">
        <v>42</v>
      </c>
      <c r="Z58" s="15">
        <f>SUM(Z7:Z56)</f>
        <v>2812.5</v>
      </c>
      <c r="AA58" s="14"/>
      <c r="AB58" s="14"/>
      <c r="AC58" s="15">
        <f>SUM(AC7:AC56)</f>
        <v>30937.5</v>
      </c>
      <c r="AD58" s="15">
        <f>SUM(AD7:AD56)</f>
        <v>6187.5</v>
      </c>
      <c r="AE58" s="21">
        <f t="shared" ref="AE58" si="20">IFERROR(AD58/AC58,0)</f>
        <v>0.2</v>
      </c>
      <c r="AF58" s="15">
        <f>SUM(AF8:AF57)</f>
        <v>0</v>
      </c>
      <c r="AG58" s="15">
        <f>SUM(AG8:AG57)</f>
        <v>0</v>
      </c>
      <c r="AH58" s="15">
        <f>SUM(AH8:AH57)</f>
        <v>0</v>
      </c>
      <c r="AI58" s="15">
        <f>SUM(AI8:AI57)</f>
        <v>0</v>
      </c>
      <c r="AJ58" s="15">
        <f>SUM(AJ8:AJ57)</f>
        <v>0</v>
      </c>
    </row>
    <row r="59" spans="2:36" x14ac:dyDescent="0.25">
      <c r="B59" s="4"/>
      <c r="E59" s="3"/>
      <c r="F59" s="3"/>
      <c r="G59" s="3"/>
      <c r="H59" s="3"/>
      <c r="L59" s="4"/>
      <c r="M59" s="4"/>
      <c r="N59" s="4"/>
      <c r="O59" s="4"/>
      <c r="Q59" s="4"/>
      <c r="R59" s="4"/>
      <c r="S59" s="4"/>
      <c r="T59" s="4"/>
      <c r="U59" s="4"/>
      <c r="V59" s="4"/>
      <c r="W59" s="4"/>
      <c r="X59" s="4"/>
      <c r="Y59" s="9"/>
      <c r="Z59" s="9"/>
      <c r="AA59" s="9"/>
      <c r="AB59" s="9"/>
      <c r="AC59" s="9"/>
      <c r="AD59" s="9"/>
      <c r="AE59" s="9"/>
    </row>
    <row r="60" spans="2:36" x14ac:dyDescent="0.25">
      <c r="B60" s="4"/>
      <c r="E60" s="3"/>
      <c r="F60" s="3"/>
      <c r="G60" s="3"/>
      <c r="H60" s="3"/>
      <c r="L60" s="4"/>
      <c r="M60" s="4"/>
      <c r="N60" s="4"/>
      <c r="O60" s="4"/>
      <c r="Q60" s="9"/>
      <c r="R60" s="9"/>
      <c r="S60" s="9"/>
      <c r="T60" s="9"/>
      <c r="U60" s="9"/>
      <c r="V60" s="9"/>
      <c r="W60" s="9"/>
      <c r="X60" s="23"/>
      <c r="Y60" s="34" t="s">
        <v>234</v>
      </c>
      <c r="Z60" s="34">
        <v>0</v>
      </c>
      <c r="AA60" s="9"/>
      <c r="AB60" s="9"/>
      <c r="AC60" s="9"/>
      <c r="AD60" s="9"/>
      <c r="AE60" s="9"/>
    </row>
    <row r="61" spans="2:36" x14ac:dyDescent="0.25">
      <c r="B61" s="4"/>
      <c r="E61" s="3"/>
      <c r="F61" s="3"/>
      <c r="G61" s="3"/>
      <c r="H61" s="3"/>
      <c r="L61" s="4"/>
      <c r="M61" s="4"/>
      <c r="N61" s="4"/>
      <c r="O61" s="4"/>
      <c r="Q61" s="9"/>
      <c r="R61" s="9"/>
      <c r="S61" s="9"/>
      <c r="T61" s="9"/>
      <c r="U61" s="9"/>
      <c r="V61" s="9"/>
      <c r="W61" s="9"/>
      <c r="X61" s="9"/>
      <c r="Y61" s="35" t="s">
        <v>235</v>
      </c>
      <c r="Z61" s="34">
        <f>Z8+Z10+Z14+Z18+Z22+Z26+Z30+Z34</f>
        <v>2812.5</v>
      </c>
      <c r="AA61" s="9"/>
      <c r="AB61" s="9"/>
      <c r="AC61" s="9"/>
      <c r="AD61" s="9"/>
      <c r="AE61" s="9"/>
      <c r="AF61" s="18"/>
    </row>
    <row r="62" spans="2:36" x14ac:dyDescent="0.25">
      <c r="B62" s="4"/>
      <c r="E62" s="3"/>
      <c r="F62" s="3"/>
      <c r="G62" s="3"/>
      <c r="H62" s="3"/>
      <c r="I62" s="19"/>
      <c r="L62" s="4"/>
      <c r="M62" s="4"/>
      <c r="N62" s="4"/>
      <c r="O62" s="20"/>
      <c r="Q62" s="20"/>
      <c r="R62" s="20"/>
      <c r="S62" s="20"/>
      <c r="T62" s="20"/>
      <c r="U62" s="20"/>
      <c r="V62" s="20"/>
      <c r="W62" s="20"/>
      <c r="X62" s="20"/>
      <c r="Y62" s="34" t="s">
        <v>236</v>
      </c>
      <c r="Z62" s="34">
        <v>2820</v>
      </c>
      <c r="AA62" s="9"/>
      <c r="AB62" s="9"/>
      <c r="AC62" s="9"/>
      <c r="AD62" s="9"/>
      <c r="AE62" s="9"/>
      <c r="AF62" s="18"/>
    </row>
    <row r="63" spans="2:36" x14ac:dyDescent="0.25">
      <c r="B63" s="4"/>
      <c r="E63" s="3"/>
      <c r="F63" s="3"/>
      <c r="G63" s="3"/>
      <c r="H63" s="3"/>
      <c r="L63" s="4"/>
      <c r="M63" s="4"/>
      <c r="N63" s="4"/>
      <c r="O63" s="20"/>
      <c r="Q63" s="20"/>
      <c r="R63" s="20"/>
      <c r="S63" s="20"/>
      <c r="T63" s="20"/>
      <c r="U63" s="20"/>
      <c r="V63" s="20"/>
      <c r="W63" s="20"/>
      <c r="X63" s="20"/>
      <c r="Y63" s="34" t="s">
        <v>45</v>
      </c>
      <c r="Z63" s="34">
        <f>Z62/2</f>
        <v>1410</v>
      </c>
      <c r="AA63" s="9"/>
      <c r="AB63" s="9"/>
      <c r="AC63" s="9"/>
      <c r="AD63" s="9"/>
      <c r="AE63" s="9"/>
      <c r="AF63" s="18"/>
    </row>
    <row r="64" spans="2:36" x14ac:dyDescent="0.25">
      <c r="B64" s="4"/>
      <c r="E64" s="3"/>
      <c r="F64" s="3"/>
      <c r="G64" s="3"/>
      <c r="H64" s="3"/>
      <c r="L64" s="4"/>
      <c r="M64" s="4"/>
      <c r="N64" s="4"/>
      <c r="O64" s="4"/>
      <c r="Q64" s="9"/>
      <c r="R64" s="9"/>
      <c r="S64" s="9"/>
      <c r="T64" s="9"/>
      <c r="U64" s="9"/>
      <c r="V64" s="9"/>
      <c r="W64" s="9"/>
      <c r="X64" s="9"/>
      <c r="Y64" s="1"/>
      <c r="Z64" s="1"/>
      <c r="AA64" s="9"/>
      <c r="AB64" s="9"/>
      <c r="AC64" s="9"/>
      <c r="AD64" s="9"/>
      <c r="AE64" s="9"/>
      <c r="AF64" s="18"/>
    </row>
    <row r="65" spans="6:31" x14ac:dyDescent="0.25">
      <c r="F65" s="1"/>
      <c r="G65" s="1"/>
      <c r="H65" s="1"/>
      <c r="J65" s="1" t="s">
        <v>32</v>
      </c>
      <c r="Q65" s="9"/>
      <c r="R65" s="4"/>
      <c r="S65" s="9"/>
      <c r="T65" s="5"/>
      <c r="U65" s="9"/>
      <c r="V65" s="4"/>
      <c r="W65" s="4"/>
      <c r="X65" s="9"/>
      <c r="Y65" s="9"/>
      <c r="Z65" s="9"/>
      <c r="AA65" s="9"/>
      <c r="AB65" s="9"/>
      <c r="AC65" s="9"/>
      <c r="AD65" s="9"/>
      <c r="AE65" s="9"/>
    </row>
    <row r="66" spans="6:31" x14ac:dyDescent="0.25">
      <c r="R66" s="4"/>
      <c r="S66" s="17"/>
      <c r="T66" s="17"/>
      <c r="U66" s="9"/>
      <c r="V66" s="4"/>
      <c r="W66" s="4"/>
      <c r="X66" s="9"/>
      <c r="Y66" s="41" t="s">
        <v>295</v>
      </c>
      <c r="Z66" s="9">
        <f>Z62</f>
        <v>2820</v>
      </c>
      <c r="AA66" s="9"/>
      <c r="AB66" s="9"/>
      <c r="AC66" s="9"/>
      <c r="AD66" s="9"/>
      <c r="AE66" s="9"/>
    </row>
    <row r="67" spans="6:31" x14ac:dyDescent="0.25">
      <c r="Q67" s="9"/>
      <c r="R67" s="4"/>
      <c r="S67" s="16"/>
      <c r="T67" s="16"/>
      <c r="U67" s="9"/>
      <c r="V67" s="4"/>
      <c r="W67" s="4"/>
      <c r="X67" s="9"/>
      <c r="Y67" s="41" t="s">
        <v>296</v>
      </c>
      <c r="Z67" s="9">
        <f>Z66*1.2</f>
        <v>3384</v>
      </c>
      <c r="AA67" s="9"/>
      <c r="AB67" s="9"/>
      <c r="AC67" s="9"/>
      <c r="AD67" s="9"/>
      <c r="AE67" s="9"/>
    </row>
    <row r="68" spans="6:31" x14ac:dyDescent="0.25">
      <c r="R68" s="4"/>
      <c r="S68" s="16"/>
      <c r="T68" s="16"/>
      <c r="Y68" s="41" t="s">
        <v>297</v>
      </c>
      <c r="Z68" s="9">
        <f>Z66*1.4</f>
        <v>3947.9999999999995</v>
      </c>
      <c r="AA68" s="9"/>
      <c r="AB68" s="9"/>
      <c r="AC68" s="9"/>
      <c r="AD68" s="9"/>
      <c r="AE68" s="9"/>
    </row>
    <row r="69" spans="6:31" x14ac:dyDescent="0.25">
      <c r="T69" s="5"/>
      <c r="Y69" s="41" t="s">
        <v>298</v>
      </c>
      <c r="Z69" s="9">
        <f>Z66*0.7</f>
        <v>1973.9999999999998</v>
      </c>
      <c r="AA69" s="9"/>
      <c r="AB69" s="9"/>
      <c r="AC69" s="9"/>
      <c r="AD69" s="9"/>
      <c r="AE69" s="9"/>
    </row>
    <row r="70" spans="6:31" x14ac:dyDescent="0.25">
      <c r="T70" s="5"/>
      <c r="Y70" s="9"/>
      <c r="Z70" s="9"/>
      <c r="AA70" s="9"/>
      <c r="AB70" s="9"/>
      <c r="AC70" s="9"/>
      <c r="AD70" s="9"/>
      <c r="AE70" s="9"/>
    </row>
    <row r="71" spans="6:31" x14ac:dyDescent="0.25">
      <c r="T71" s="5"/>
      <c r="Y71" s="9"/>
      <c r="Z71" s="9"/>
      <c r="AA71" s="9"/>
      <c r="AB71" s="9"/>
      <c r="AC71" s="9"/>
      <c r="AD71" s="9"/>
      <c r="AE71" s="9"/>
    </row>
    <row r="72" spans="6:31" x14ac:dyDescent="0.25">
      <c r="T72" s="5"/>
      <c r="Y72" s="9"/>
      <c r="Z72" s="9"/>
      <c r="AA72" s="9"/>
      <c r="AB72" s="9"/>
      <c r="AC72" s="9"/>
      <c r="AD72" s="9"/>
      <c r="AE72" s="9"/>
    </row>
    <row r="73" spans="6:31" x14ac:dyDescent="0.25">
      <c r="T73" s="5"/>
      <c r="Y73" s="9"/>
      <c r="Z73" s="9"/>
      <c r="AA73" s="9"/>
      <c r="AB73" s="9"/>
      <c r="AC73" s="9"/>
      <c r="AD73" s="9"/>
      <c r="AE73" s="9"/>
    </row>
    <row r="74" spans="6:31" x14ac:dyDescent="0.25">
      <c r="T74" s="5"/>
      <c r="Y74" s="9"/>
      <c r="Z74" s="9"/>
      <c r="AA74" s="9"/>
      <c r="AB74" s="9"/>
      <c r="AC74" s="9"/>
      <c r="AD74" s="9"/>
      <c r="AE74" s="9"/>
    </row>
    <row r="75" spans="6:31" x14ac:dyDescent="0.25">
      <c r="T75" s="5"/>
      <c r="Y75" s="9"/>
      <c r="Z75" s="9"/>
      <c r="AA75" s="9"/>
      <c r="AB75" s="9"/>
      <c r="AC75" s="9"/>
      <c r="AD75" s="9"/>
      <c r="AE75" s="9"/>
    </row>
    <row r="76" spans="6:31" x14ac:dyDescent="0.25">
      <c r="T76" s="5"/>
      <c r="Y76" s="9"/>
      <c r="Z76" s="9"/>
      <c r="AA76" s="9"/>
      <c r="AB76" s="9"/>
      <c r="AC76" s="9"/>
      <c r="AD76" s="9"/>
      <c r="AE76" s="9"/>
    </row>
    <row r="77" spans="6:31" x14ac:dyDescent="0.25">
      <c r="T77" s="5"/>
    </row>
    <row r="78" spans="6:31" x14ac:dyDescent="0.25">
      <c r="T78" s="5"/>
    </row>
    <row r="79" spans="6:31" x14ac:dyDescent="0.25">
      <c r="T79" s="5"/>
    </row>
    <row r="80" spans="6:31" x14ac:dyDescent="0.25">
      <c r="T80" s="5"/>
    </row>
    <row r="81" spans="20:20" x14ac:dyDescent="0.25">
      <c r="T81" s="5"/>
    </row>
  </sheetData>
  <autoFilter ref="B6:AE58" xr:uid="{65FA6D9B-E0AF-46CD-BA0D-86BB75FE6AB0}"/>
  <hyperlinks>
    <hyperlink ref="P45" r:id="rId1" xr:uid="{14984B25-7860-4AAC-A961-445E2F4B6C3F}"/>
    <hyperlink ref="P44" r:id="rId2" xr:uid="{A4905ABB-FB04-46E2-A482-27BD72207449}"/>
    <hyperlink ref="P42" r:id="rId3" xr:uid="{0D819DDF-7AB0-4913-8FD5-8BFDB387BBE5}"/>
    <hyperlink ref="P46" r:id="rId4" xr:uid="{D96EF99E-F4A7-40CE-ACD5-9A9C38DABD4D}"/>
    <hyperlink ref="P43" r:id="rId5" xr:uid="{579B7EBC-EF76-472A-B7F2-E35EFE8DF9C9}"/>
    <hyperlink ref="P10" r:id="rId6" xr:uid="{1C9296BF-2F26-4E4F-9FED-70A3D4618BAE}"/>
  </hyperlinks>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46B8-AC70-448E-BE69-C34CB8671DB2}">
  <sheetPr>
    <tabColor rgb="FFFFFF00"/>
  </sheetPr>
  <dimension ref="B1:AK89"/>
  <sheetViews>
    <sheetView topLeftCell="A6" zoomScale="80" zoomScaleNormal="80" workbookViewId="0">
      <selection activeCell="J11" sqref="J1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52</v>
      </c>
    </row>
    <row r="2" spans="2:36" x14ac:dyDescent="0.25">
      <c r="B2" s="2" t="s">
        <v>116</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23" si="0">+Q7*R7</f>
        <v>0</v>
      </c>
      <c r="T7" s="5">
        <v>0</v>
      </c>
      <c r="U7" s="12">
        <f>S7*(1-T7)</f>
        <v>0</v>
      </c>
      <c r="V7" s="25" t="s">
        <v>10</v>
      </c>
      <c r="W7" s="11">
        <f>IFERROR(VLOOKUP(V7,Curr!$B$2:$C$13,2,FALSE),0)</f>
        <v>11</v>
      </c>
      <c r="X7" s="12">
        <f t="shared" ref="X7:X23" si="1">U7*W7</f>
        <v>0</v>
      </c>
      <c r="Y7" s="26">
        <f>Q7</f>
        <v>0</v>
      </c>
      <c r="Z7" s="12">
        <f t="shared" ref="Z7:Z64" si="2">+Y7*R7</f>
        <v>0</v>
      </c>
      <c r="AA7" s="4" t="s">
        <v>10</v>
      </c>
      <c r="AB7" s="11">
        <f>IFERROR(VLOOKUP(AA7,Curr!$B$2:$C$13,2,FALSE),0)</f>
        <v>11</v>
      </c>
      <c r="AC7" s="12">
        <f t="shared" ref="AC7:AC64" si="3">+Y7*AB7*R7</f>
        <v>0</v>
      </c>
      <c r="AD7" s="12">
        <f t="shared" ref="AD7:AD64" si="4">+AC7-X7</f>
        <v>0</v>
      </c>
      <c r="AE7" s="13">
        <f t="shared" ref="AE7:AE64" si="5">IFERROR(AD7/AC7,0)</f>
        <v>0</v>
      </c>
    </row>
    <row r="8" spans="2:36" x14ac:dyDescent="0.25">
      <c r="B8" s="4"/>
      <c r="C8" s="1" t="s">
        <v>55</v>
      </c>
      <c r="D8" s="1" t="s">
        <v>57</v>
      </c>
      <c r="E8" s="3"/>
      <c r="F8" s="3"/>
      <c r="G8" s="24"/>
      <c r="H8" s="24"/>
      <c r="J8" s="1" t="s">
        <v>294</v>
      </c>
      <c r="K8" s="4"/>
      <c r="L8" s="4"/>
      <c r="M8" s="4"/>
      <c r="N8" s="4"/>
      <c r="O8" s="4"/>
      <c r="P8" s="27"/>
      <c r="Q8" s="25">
        <v>800</v>
      </c>
      <c r="R8" s="25">
        <v>1</v>
      </c>
      <c r="S8" s="12">
        <f t="shared" si="0"/>
        <v>800</v>
      </c>
      <c r="T8" s="5">
        <v>0</v>
      </c>
      <c r="U8" s="12">
        <f t="shared" ref="U8:U23" si="6">S8*(1-T8)</f>
        <v>800</v>
      </c>
      <c r="V8" s="25" t="s">
        <v>10</v>
      </c>
      <c r="W8" s="11">
        <f>IFERROR(VLOOKUP(V8,Curr!$B$2:$C$13,2,FALSE),0)</f>
        <v>11</v>
      </c>
      <c r="X8" s="12">
        <f t="shared" si="1"/>
        <v>8800</v>
      </c>
      <c r="Y8" s="26">
        <f>Q8/0.8</f>
        <v>1000</v>
      </c>
      <c r="Z8" s="12">
        <f t="shared" si="2"/>
        <v>1000</v>
      </c>
      <c r="AA8" s="4" t="s">
        <v>10</v>
      </c>
      <c r="AB8" s="11">
        <f>IFERROR(VLOOKUP(AA8,Curr!$B$2:$C$13,2,FALSE),0)</f>
        <v>11</v>
      </c>
      <c r="AC8" s="12">
        <f t="shared" si="3"/>
        <v>11000</v>
      </c>
      <c r="AD8" s="12">
        <f t="shared" si="4"/>
        <v>2200</v>
      </c>
      <c r="AE8" s="13">
        <f t="shared" si="5"/>
        <v>0.2</v>
      </c>
    </row>
    <row r="9" spans="2:36" x14ac:dyDescent="0.25">
      <c r="B9" s="4"/>
      <c r="C9" s="1" t="s">
        <v>55</v>
      </c>
      <c r="D9" s="1" t="s">
        <v>58</v>
      </c>
      <c r="E9" s="3"/>
      <c r="F9" s="3"/>
      <c r="G9" s="24"/>
      <c r="H9" s="24"/>
      <c r="J9" s="1" t="s">
        <v>61</v>
      </c>
      <c r="K9" s="4"/>
      <c r="L9" s="4"/>
      <c r="M9" s="4"/>
      <c r="N9" s="4"/>
      <c r="O9" s="4"/>
      <c r="P9" s="33"/>
      <c r="Q9" s="25">
        <v>0</v>
      </c>
      <c r="R9" s="25">
        <v>0</v>
      </c>
      <c r="S9" s="12">
        <f t="shared" si="0"/>
        <v>0</v>
      </c>
      <c r="T9" s="5">
        <v>0</v>
      </c>
      <c r="U9" s="12">
        <f t="shared" si="6"/>
        <v>0</v>
      </c>
      <c r="V9" s="25" t="s">
        <v>10</v>
      </c>
      <c r="W9" s="11">
        <f>IFERROR(VLOOKUP(V9,Curr!$B$2:$C$13,2,FALSE),0)</f>
        <v>11</v>
      </c>
      <c r="X9" s="12">
        <f t="shared" si="1"/>
        <v>0</v>
      </c>
      <c r="Y9" s="26">
        <f t="shared" ref="Y9:Y23" si="7">Q9</f>
        <v>0</v>
      </c>
      <c r="Z9" s="12">
        <f t="shared" si="2"/>
        <v>0</v>
      </c>
      <c r="AA9" s="4" t="s">
        <v>10</v>
      </c>
      <c r="AB9" s="11">
        <f>IFERROR(VLOOKUP(AA9,Curr!$B$2:$C$13,2,FALSE),0)</f>
        <v>11</v>
      </c>
      <c r="AC9" s="12">
        <f t="shared" si="3"/>
        <v>0</v>
      </c>
      <c r="AD9" s="12">
        <f t="shared" si="4"/>
        <v>0</v>
      </c>
      <c r="AE9" s="13">
        <f t="shared" si="5"/>
        <v>0</v>
      </c>
    </row>
    <row r="10" spans="2:36" x14ac:dyDescent="0.25">
      <c r="B10" s="4"/>
      <c r="C10" s="1" t="s">
        <v>55</v>
      </c>
      <c r="D10" s="1" t="s">
        <v>59</v>
      </c>
      <c r="E10" s="3"/>
      <c r="F10" s="3"/>
      <c r="G10" s="24"/>
      <c r="H10" s="24"/>
      <c r="J10" s="1" t="s">
        <v>64</v>
      </c>
      <c r="K10" s="4"/>
      <c r="L10" s="4"/>
      <c r="M10" s="4"/>
      <c r="N10" s="4"/>
      <c r="O10" s="4"/>
      <c r="P10" s="33" t="s">
        <v>237</v>
      </c>
      <c r="Q10" s="25">
        <v>200</v>
      </c>
      <c r="R10" s="25">
        <v>1</v>
      </c>
      <c r="S10" s="12">
        <f t="shared" ref="S10" si="8">+Q10*R10</f>
        <v>200</v>
      </c>
      <c r="T10" s="5">
        <v>0</v>
      </c>
      <c r="U10" s="12">
        <f t="shared" ref="U10" si="9">S10*(1-T10)</f>
        <v>200</v>
      </c>
      <c r="V10" s="25" t="s">
        <v>10</v>
      </c>
      <c r="W10" s="11">
        <f>IFERROR(VLOOKUP(V10,Curr!$B$2:$C$13,2,FALSE),0)</f>
        <v>11</v>
      </c>
      <c r="X10" s="12">
        <f t="shared" ref="X10" si="10">U10*W10</f>
        <v>2200</v>
      </c>
      <c r="Y10" s="26">
        <f>Q10/0.8</f>
        <v>250</v>
      </c>
      <c r="Z10" s="12">
        <f t="shared" si="2"/>
        <v>250</v>
      </c>
      <c r="AA10" s="4" t="s">
        <v>10</v>
      </c>
      <c r="AB10" s="11">
        <f>IFERROR(VLOOKUP(AA10,Curr!$B$2:$C$13,2,FALSE),0)</f>
        <v>11</v>
      </c>
      <c r="AC10" s="12">
        <f t="shared" si="3"/>
        <v>2750</v>
      </c>
      <c r="AD10" s="12">
        <f t="shared" si="4"/>
        <v>550</v>
      </c>
      <c r="AE10" s="13">
        <f t="shared" si="5"/>
        <v>0.2</v>
      </c>
    </row>
    <row r="11" spans="2:36" x14ac:dyDescent="0.25">
      <c r="B11" s="4"/>
      <c r="C11" s="1" t="s">
        <v>55</v>
      </c>
      <c r="D11" s="1" t="s">
        <v>60</v>
      </c>
      <c r="E11" s="3"/>
      <c r="F11" s="3"/>
      <c r="G11" s="24"/>
      <c r="H11" s="24"/>
      <c r="J11" s="1" t="s">
        <v>63</v>
      </c>
      <c r="K11" s="4"/>
      <c r="L11" s="4"/>
      <c r="M11" s="4"/>
      <c r="N11" s="4"/>
      <c r="O11" s="4"/>
      <c r="P11" s="27"/>
      <c r="Q11" s="25">
        <v>0</v>
      </c>
      <c r="R11" s="25">
        <v>0</v>
      </c>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c r="R12" s="25"/>
      <c r="S12" s="12">
        <f t="shared" si="0"/>
        <v>0</v>
      </c>
      <c r="T12" s="5">
        <v>0</v>
      </c>
      <c r="U12" s="12">
        <f t="shared" si="6"/>
        <v>0</v>
      </c>
      <c r="V12" s="25" t="s">
        <v>10</v>
      </c>
      <c r="W12" s="11">
        <f>IFERROR(VLOOKUP(V12,Curr!$B$2:$C$13,2,FALSE),0)</f>
        <v>11</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C13" s="1" t="s">
        <v>65</v>
      </c>
      <c r="D13" s="1" t="s">
        <v>58</v>
      </c>
      <c r="E13" s="3"/>
      <c r="F13" s="3"/>
      <c r="G13" s="24"/>
      <c r="H13" s="24"/>
      <c r="J13" s="1" t="s">
        <v>68</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59</v>
      </c>
      <c r="E14" s="3"/>
      <c r="F14" s="3"/>
      <c r="G14" s="24"/>
      <c r="H14" s="24"/>
      <c r="J14" s="1" t="s">
        <v>69</v>
      </c>
      <c r="K14" s="4"/>
      <c r="L14" s="4"/>
      <c r="M14" s="4"/>
      <c r="N14" s="4"/>
      <c r="O14" s="4"/>
      <c r="P14" s="33"/>
      <c r="Q14" s="25">
        <v>250</v>
      </c>
      <c r="R14" s="25">
        <v>1</v>
      </c>
      <c r="S14" s="12">
        <f t="shared" si="0"/>
        <v>250</v>
      </c>
      <c r="T14" s="5">
        <v>0</v>
      </c>
      <c r="U14" s="12">
        <f t="shared" si="6"/>
        <v>250</v>
      </c>
      <c r="V14" s="25" t="s">
        <v>10</v>
      </c>
      <c r="W14" s="11">
        <f>IFERROR(VLOOKUP(V14,Curr!$B$2:$C$13,2,FALSE),0)</f>
        <v>11</v>
      </c>
      <c r="X14" s="12">
        <f t="shared" si="1"/>
        <v>2750</v>
      </c>
      <c r="Y14" s="26">
        <f>Q14/0.8</f>
        <v>312.5</v>
      </c>
      <c r="Z14" s="12">
        <f t="shared" si="2"/>
        <v>312.5</v>
      </c>
      <c r="AA14" s="4" t="s">
        <v>10</v>
      </c>
      <c r="AB14" s="11">
        <f>IFERROR(VLOOKUP(AA14,Curr!$B$2:$C$13,2,FALSE),0)</f>
        <v>11</v>
      </c>
      <c r="AC14" s="12">
        <f t="shared" si="3"/>
        <v>3437.5</v>
      </c>
      <c r="AD14" s="12">
        <f t="shared" si="4"/>
        <v>687.5</v>
      </c>
      <c r="AE14" s="13">
        <f t="shared" si="5"/>
        <v>0.2</v>
      </c>
    </row>
    <row r="15" spans="2:36" x14ac:dyDescent="0.25">
      <c r="B15" s="4"/>
      <c r="C15" s="1" t="s">
        <v>65</v>
      </c>
      <c r="D15" s="1" t="s">
        <v>60</v>
      </c>
      <c r="E15" s="3"/>
      <c r="F15" s="3"/>
      <c r="G15" s="24"/>
      <c r="H15" s="24"/>
      <c r="J15" s="1" t="s">
        <v>70</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c r="R16" s="25"/>
      <c r="S16" s="12">
        <f t="shared" si="0"/>
        <v>0</v>
      </c>
      <c r="T16" s="5">
        <v>0</v>
      </c>
      <c r="U16" s="12">
        <f t="shared" si="6"/>
        <v>0</v>
      </c>
      <c r="V16" s="25" t="s">
        <v>10</v>
      </c>
      <c r="W16" s="11">
        <f>IFERROR(VLOOKUP(V16,Curr!$B$2:$C$13,2,FALSE),0)</f>
        <v>11</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C17" s="1" t="s">
        <v>66</v>
      </c>
      <c r="D17" s="1" t="s">
        <v>58</v>
      </c>
      <c r="E17" s="3"/>
      <c r="F17" s="3"/>
      <c r="G17" s="24"/>
      <c r="H17" s="24"/>
      <c r="J17" s="1" t="s">
        <v>71</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C18" s="1" t="s">
        <v>66</v>
      </c>
      <c r="D18" s="1" t="s">
        <v>59</v>
      </c>
      <c r="E18" s="3"/>
      <c r="F18" s="3"/>
      <c r="G18" s="24"/>
      <c r="H18" s="24"/>
      <c r="J18" s="1" t="s">
        <v>72</v>
      </c>
      <c r="K18" s="4"/>
      <c r="L18" s="4"/>
      <c r="M18" s="4"/>
      <c r="N18" s="4"/>
      <c r="O18" s="4"/>
      <c r="P18" s="27"/>
      <c r="Q18" s="25">
        <v>200</v>
      </c>
      <c r="R18" s="25">
        <v>1</v>
      </c>
      <c r="S18" s="12">
        <f t="shared" ref="S18" si="11">+Q18*R18</f>
        <v>200</v>
      </c>
      <c r="T18" s="5">
        <v>0</v>
      </c>
      <c r="U18" s="12">
        <f t="shared" ref="U18" si="12">S18*(1-T18)</f>
        <v>200</v>
      </c>
      <c r="V18" s="25" t="s">
        <v>10</v>
      </c>
      <c r="W18" s="11">
        <f>IFERROR(VLOOKUP(V18,Curr!$B$2:$C$13,2,FALSE),0)</f>
        <v>11</v>
      </c>
      <c r="X18" s="12">
        <f t="shared" ref="X18" si="13">U18*W18</f>
        <v>2200</v>
      </c>
      <c r="Y18" s="26">
        <f>Q18/0.8</f>
        <v>250</v>
      </c>
      <c r="Z18" s="12">
        <f t="shared" si="2"/>
        <v>250</v>
      </c>
      <c r="AA18" s="4" t="s">
        <v>10</v>
      </c>
      <c r="AB18" s="11">
        <f>IFERROR(VLOOKUP(AA18,Curr!$B$2:$C$13,2,FALSE),0)</f>
        <v>11</v>
      </c>
      <c r="AC18" s="12">
        <f t="shared" si="3"/>
        <v>2750</v>
      </c>
      <c r="AD18" s="12">
        <f t="shared" si="4"/>
        <v>550</v>
      </c>
      <c r="AE18" s="13">
        <f t="shared" si="5"/>
        <v>0.2</v>
      </c>
    </row>
    <row r="19" spans="2:31" x14ac:dyDescent="0.25">
      <c r="B19" s="4"/>
      <c r="C19" s="1" t="s">
        <v>66</v>
      </c>
      <c r="D19" s="1" t="s">
        <v>60</v>
      </c>
      <c r="E19" s="3"/>
      <c r="F19" s="3"/>
      <c r="G19" s="24"/>
      <c r="H19" s="24"/>
      <c r="J19" s="1" t="s">
        <v>73</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C21" s="1" t="s">
        <v>67</v>
      </c>
      <c r="D21" s="1" t="s">
        <v>58</v>
      </c>
      <c r="E21" s="3"/>
      <c r="F21" s="3"/>
      <c r="G21" s="24"/>
      <c r="H21" s="24"/>
      <c r="J21" s="1" t="s">
        <v>97</v>
      </c>
      <c r="K21" s="4"/>
      <c r="L21" s="4"/>
      <c r="M21" s="4"/>
      <c r="N21" s="4"/>
      <c r="O21" s="4"/>
      <c r="P21" s="33"/>
      <c r="Q21" s="25">
        <v>0</v>
      </c>
      <c r="R21" s="25">
        <v>0</v>
      </c>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67</v>
      </c>
      <c r="D22" s="1" t="s">
        <v>59</v>
      </c>
      <c r="E22" s="3"/>
      <c r="F22" s="3"/>
      <c r="G22" s="24"/>
      <c r="H22" s="24"/>
      <c r="J22" s="1" t="s">
        <v>95</v>
      </c>
      <c r="K22" s="4"/>
      <c r="L22" s="4"/>
      <c r="M22" s="4"/>
      <c r="N22" s="4"/>
      <c r="O22" s="4"/>
      <c r="P22" s="33"/>
      <c r="Q22" s="25">
        <v>250</v>
      </c>
      <c r="R22" s="25">
        <v>1</v>
      </c>
      <c r="S22" s="12">
        <f t="shared" ref="S22" si="14">+Q22*R22</f>
        <v>250</v>
      </c>
      <c r="T22" s="5">
        <v>0</v>
      </c>
      <c r="U22" s="12">
        <f t="shared" ref="U22" si="15">S22*(1-T22)</f>
        <v>250</v>
      </c>
      <c r="V22" s="25" t="s">
        <v>10</v>
      </c>
      <c r="W22" s="11">
        <f>IFERROR(VLOOKUP(V22,Curr!$B$2:$C$13,2,FALSE),0)</f>
        <v>11</v>
      </c>
      <c r="X22" s="12">
        <f t="shared" ref="X22" si="16">U22*W22</f>
        <v>2750</v>
      </c>
      <c r="Y22" s="26">
        <f>Q22/0.8</f>
        <v>312.5</v>
      </c>
      <c r="Z22" s="12">
        <f t="shared" si="2"/>
        <v>312.5</v>
      </c>
      <c r="AA22" s="4" t="s">
        <v>10</v>
      </c>
      <c r="AB22" s="11">
        <f>IFERROR(VLOOKUP(AA22,Curr!$B$2:$C$13,2,FALSE),0)</f>
        <v>11</v>
      </c>
      <c r="AC22" s="12">
        <f t="shared" si="3"/>
        <v>3437.5</v>
      </c>
      <c r="AD22" s="12">
        <f t="shared" si="4"/>
        <v>687.5</v>
      </c>
      <c r="AE22" s="13">
        <f t="shared" si="5"/>
        <v>0.2</v>
      </c>
    </row>
    <row r="23" spans="2:31" x14ac:dyDescent="0.25">
      <c r="B23" s="4"/>
      <c r="C23" s="1" t="s">
        <v>67</v>
      </c>
      <c r="D23" s="1" t="s">
        <v>60</v>
      </c>
      <c r="E23" s="3"/>
      <c r="F23" s="3"/>
      <c r="G23" s="24"/>
      <c r="H23" s="24"/>
      <c r="J23" s="1" t="s">
        <v>96</v>
      </c>
      <c r="K23" s="4"/>
      <c r="L23" s="4"/>
      <c r="M23" s="4"/>
      <c r="N23" s="4"/>
      <c r="O23" s="4"/>
      <c r="P23" s="27"/>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ref="S24:S64" si="17">+Q24*R24</f>
        <v>0</v>
      </c>
      <c r="T24" s="5">
        <v>0</v>
      </c>
      <c r="U24" s="12">
        <f t="shared" ref="U24:U64" si="18">S24*(1-T24)</f>
        <v>0</v>
      </c>
      <c r="V24" s="25" t="s">
        <v>10</v>
      </c>
      <c r="W24" s="11">
        <f>IFERROR(VLOOKUP(V24,Curr!$B$2:$C$13,2,FALSE),0)</f>
        <v>11</v>
      </c>
      <c r="X24" s="12">
        <f t="shared" ref="X24:X64" si="19">U24*W24</f>
        <v>0</v>
      </c>
      <c r="Y24" s="26">
        <f t="shared" ref="Y24:Y64" si="20">Q24</f>
        <v>0</v>
      </c>
      <c r="Z24" s="12">
        <f t="shared" si="2"/>
        <v>0</v>
      </c>
      <c r="AA24" s="4" t="s">
        <v>10</v>
      </c>
      <c r="AB24" s="11">
        <f>IFERROR(VLOOKUP(AA24,Curr!$B$2:$C$13,2,FALSE),0)</f>
        <v>11</v>
      </c>
      <c r="AC24" s="12">
        <f t="shared" si="3"/>
        <v>0</v>
      </c>
      <c r="AD24" s="12">
        <f t="shared" si="4"/>
        <v>0</v>
      </c>
      <c r="AE24" s="13">
        <f t="shared" si="5"/>
        <v>0</v>
      </c>
    </row>
    <row r="25" spans="2:31" x14ac:dyDescent="0.25">
      <c r="B25" s="4"/>
      <c r="C25" s="1" t="s">
        <v>77</v>
      </c>
      <c r="D25" s="1" t="s">
        <v>58</v>
      </c>
      <c r="E25" s="3"/>
      <c r="F25" s="3"/>
      <c r="G25" s="24"/>
      <c r="H25" s="24"/>
      <c r="J25" s="1" t="s">
        <v>111</v>
      </c>
      <c r="K25" s="4"/>
      <c r="L25" s="4"/>
      <c r="M25" s="4"/>
      <c r="N25" s="4"/>
      <c r="O25" s="4"/>
      <c r="P25" s="27"/>
      <c r="Q25" s="25">
        <v>0</v>
      </c>
      <c r="R25" s="25">
        <v>0</v>
      </c>
      <c r="S25" s="12">
        <f t="shared" si="17"/>
        <v>0</v>
      </c>
      <c r="T25" s="5">
        <v>0</v>
      </c>
      <c r="U25" s="12">
        <f t="shared" si="18"/>
        <v>0</v>
      </c>
      <c r="V25" s="25" t="s">
        <v>10</v>
      </c>
      <c r="W25" s="11">
        <f>IFERROR(VLOOKUP(V25,Curr!$B$2:$C$13,2,FALSE),0)</f>
        <v>11</v>
      </c>
      <c r="X25" s="12">
        <f t="shared" si="19"/>
        <v>0</v>
      </c>
      <c r="Y25" s="26">
        <f t="shared" si="20"/>
        <v>0</v>
      </c>
      <c r="Z25" s="12">
        <f t="shared" si="2"/>
        <v>0</v>
      </c>
      <c r="AA25" s="4" t="s">
        <v>10</v>
      </c>
      <c r="AB25" s="11">
        <f>IFERROR(VLOOKUP(AA25,Curr!$B$2:$C$13,2,FALSE),0)</f>
        <v>11</v>
      </c>
      <c r="AC25" s="12">
        <f t="shared" si="3"/>
        <v>0</v>
      </c>
      <c r="AD25" s="12">
        <f t="shared" si="4"/>
        <v>0</v>
      </c>
      <c r="AE25" s="13">
        <f t="shared" si="5"/>
        <v>0</v>
      </c>
    </row>
    <row r="26" spans="2:31" x14ac:dyDescent="0.25">
      <c r="B26" s="4"/>
      <c r="C26" s="1" t="s">
        <v>77</v>
      </c>
      <c r="D26" s="1" t="s">
        <v>59</v>
      </c>
      <c r="E26" s="3"/>
      <c r="F26" s="3"/>
      <c r="G26" s="24"/>
      <c r="H26" s="24"/>
      <c r="J26" s="1" t="s">
        <v>85</v>
      </c>
      <c r="K26" s="4"/>
      <c r="L26" s="4"/>
      <c r="M26" s="4"/>
      <c r="N26" s="4"/>
      <c r="O26" s="4"/>
      <c r="P26" s="33"/>
      <c r="Q26" s="25">
        <v>225</v>
      </c>
      <c r="R26" s="25">
        <v>1</v>
      </c>
      <c r="S26" s="12">
        <f t="shared" si="17"/>
        <v>225</v>
      </c>
      <c r="T26" s="5">
        <v>0</v>
      </c>
      <c r="U26" s="12">
        <f t="shared" si="18"/>
        <v>225</v>
      </c>
      <c r="V26" s="25" t="s">
        <v>10</v>
      </c>
      <c r="W26" s="11">
        <f>IFERROR(VLOOKUP(V26,Curr!$B$2:$C$13,2,FALSE),0)</f>
        <v>11</v>
      </c>
      <c r="X26" s="12">
        <f t="shared" si="19"/>
        <v>2475</v>
      </c>
      <c r="Y26" s="26">
        <f>Q26/0.8</f>
        <v>281.25</v>
      </c>
      <c r="Z26" s="12">
        <f t="shared" si="2"/>
        <v>281.25</v>
      </c>
      <c r="AA26" s="4" t="s">
        <v>10</v>
      </c>
      <c r="AB26" s="11">
        <f>IFERROR(VLOOKUP(AA26,Curr!$B$2:$C$13,2,FALSE),0)</f>
        <v>11</v>
      </c>
      <c r="AC26" s="12">
        <f t="shared" si="3"/>
        <v>3093.75</v>
      </c>
      <c r="AD26" s="12">
        <f t="shared" si="4"/>
        <v>618.75</v>
      </c>
      <c r="AE26" s="13">
        <f t="shared" si="5"/>
        <v>0.2</v>
      </c>
    </row>
    <row r="27" spans="2:31" x14ac:dyDescent="0.25">
      <c r="B27" s="4"/>
      <c r="C27" s="1" t="s">
        <v>77</v>
      </c>
      <c r="D27" s="1" t="s">
        <v>60</v>
      </c>
      <c r="E27" s="3"/>
      <c r="F27" s="3"/>
      <c r="G27" s="24"/>
      <c r="H27" s="24"/>
      <c r="J27" s="1" t="s">
        <v>86</v>
      </c>
      <c r="K27" s="4"/>
      <c r="L27" s="4"/>
      <c r="M27" s="4"/>
      <c r="N27" s="4"/>
      <c r="O27" s="4"/>
      <c r="P27" s="27"/>
      <c r="Q27" s="25">
        <v>0</v>
      </c>
      <c r="R27" s="25">
        <v>0</v>
      </c>
      <c r="S27" s="12">
        <f t="shared" si="17"/>
        <v>0</v>
      </c>
      <c r="T27" s="5">
        <v>0</v>
      </c>
      <c r="U27" s="12">
        <f t="shared" si="18"/>
        <v>0</v>
      </c>
      <c r="V27" s="25" t="s">
        <v>10</v>
      </c>
      <c r="W27" s="11">
        <f>IFERROR(VLOOKUP(V27,Curr!$B$2:$C$13,2,FALSE),0)</f>
        <v>11</v>
      </c>
      <c r="X27" s="12">
        <f t="shared" si="19"/>
        <v>0</v>
      </c>
      <c r="Y27" s="26">
        <f t="shared" si="20"/>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17"/>
        <v>0</v>
      </c>
      <c r="T28" s="5">
        <v>0</v>
      </c>
      <c r="U28" s="12">
        <f t="shared" si="18"/>
        <v>0</v>
      </c>
      <c r="V28" s="25" t="s">
        <v>10</v>
      </c>
      <c r="W28" s="11">
        <f>IFERROR(VLOOKUP(V28,Curr!$B$2:$C$13,2,FALSE),0)</f>
        <v>11</v>
      </c>
      <c r="X28" s="12">
        <f t="shared" si="19"/>
        <v>0</v>
      </c>
      <c r="Y28" s="26">
        <f t="shared" si="20"/>
        <v>0</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58</v>
      </c>
      <c r="E29" s="3"/>
      <c r="F29" s="3"/>
      <c r="G29" s="24"/>
      <c r="H29" s="24"/>
      <c r="J29" s="1" t="s">
        <v>112</v>
      </c>
      <c r="K29" s="4"/>
      <c r="L29" s="4"/>
      <c r="M29" s="4"/>
      <c r="N29" s="4"/>
      <c r="O29" s="4"/>
      <c r="P29" s="29"/>
      <c r="Q29" s="25">
        <v>0</v>
      </c>
      <c r="R29" s="25">
        <v>0</v>
      </c>
      <c r="S29" s="12">
        <f t="shared" si="17"/>
        <v>0</v>
      </c>
      <c r="T29" s="5">
        <v>0</v>
      </c>
      <c r="U29" s="12">
        <f t="shared" si="18"/>
        <v>0</v>
      </c>
      <c r="V29" s="25" t="s">
        <v>10</v>
      </c>
      <c r="W29" s="11">
        <f>IFERROR(VLOOKUP(V29,Curr!$B$2:$C$13,2,FALSE),0)</f>
        <v>11</v>
      </c>
      <c r="X29" s="12">
        <f t="shared" si="19"/>
        <v>0</v>
      </c>
      <c r="Y29" s="26">
        <f t="shared" si="20"/>
        <v>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59</v>
      </c>
      <c r="E30" s="3"/>
      <c r="F30" s="3"/>
      <c r="G30" s="24"/>
      <c r="H30" s="24"/>
      <c r="J30" s="1" t="s">
        <v>87</v>
      </c>
      <c r="K30" s="4"/>
      <c r="L30" s="4"/>
      <c r="M30" s="4"/>
      <c r="N30" s="4"/>
      <c r="O30" s="4"/>
      <c r="P30" s="33"/>
      <c r="Q30" s="25">
        <v>200</v>
      </c>
      <c r="R30" s="25">
        <v>1</v>
      </c>
      <c r="S30" s="12">
        <f t="shared" si="17"/>
        <v>200</v>
      </c>
      <c r="T30" s="5">
        <v>0</v>
      </c>
      <c r="U30" s="12">
        <f t="shared" si="18"/>
        <v>200</v>
      </c>
      <c r="V30" s="25" t="s">
        <v>10</v>
      </c>
      <c r="W30" s="11">
        <f>IFERROR(VLOOKUP(V30,Curr!$B$2:$C$13,2,FALSE),0)</f>
        <v>11</v>
      </c>
      <c r="X30" s="12">
        <f t="shared" si="19"/>
        <v>2200</v>
      </c>
      <c r="Y30" s="26">
        <f>Q30/0.8</f>
        <v>250</v>
      </c>
      <c r="Z30" s="12">
        <f t="shared" si="2"/>
        <v>250</v>
      </c>
      <c r="AA30" s="4" t="s">
        <v>10</v>
      </c>
      <c r="AB30" s="11">
        <f>IFERROR(VLOOKUP(AA30,Curr!$B$2:$C$13,2,FALSE),0)</f>
        <v>11</v>
      </c>
      <c r="AC30" s="12">
        <f t="shared" si="3"/>
        <v>2750</v>
      </c>
      <c r="AD30" s="12">
        <f t="shared" si="4"/>
        <v>550</v>
      </c>
      <c r="AE30" s="13">
        <f t="shared" si="5"/>
        <v>0.2</v>
      </c>
    </row>
    <row r="31" spans="2:31" x14ac:dyDescent="0.25">
      <c r="B31" s="4"/>
      <c r="C31" s="1" t="s">
        <v>92</v>
      </c>
      <c r="D31" s="1" t="s">
        <v>60</v>
      </c>
      <c r="E31" s="3"/>
      <c r="F31" s="3"/>
      <c r="G31" s="24"/>
      <c r="H31" s="24"/>
      <c r="J31" s="1" t="s">
        <v>88</v>
      </c>
      <c r="K31" s="4"/>
      <c r="L31" s="4"/>
      <c r="M31" s="4"/>
      <c r="N31" s="4"/>
      <c r="O31" s="4"/>
      <c r="P31" s="27"/>
      <c r="Q31" s="25">
        <v>0</v>
      </c>
      <c r="R31" s="25">
        <v>0</v>
      </c>
      <c r="S31" s="12">
        <f t="shared" si="17"/>
        <v>0</v>
      </c>
      <c r="T31" s="5">
        <v>0</v>
      </c>
      <c r="U31" s="12">
        <f t="shared" si="18"/>
        <v>0</v>
      </c>
      <c r="V31" s="25" t="s">
        <v>10</v>
      </c>
      <c r="W31" s="11">
        <f>IFERROR(VLOOKUP(V31,Curr!$B$2:$C$13,2,FALSE),0)</f>
        <v>11</v>
      </c>
      <c r="X31" s="12">
        <f t="shared" si="19"/>
        <v>0</v>
      </c>
      <c r="Y31" s="26">
        <f t="shared" si="20"/>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c r="R32" s="25"/>
      <c r="S32" s="12">
        <f t="shared" si="17"/>
        <v>0</v>
      </c>
      <c r="T32" s="5">
        <v>0</v>
      </c>
      <c r="U32" s="12">
        <f t="shared" si="18"/>
        <v>0</v>
      </c>
      <c r="V32" s="25" t="s">
        <v>10</v>
      </c>
      <c r="W32" s="11">
        <f>IFERROR(VLOOKUP(V32,Curr!$B$2:$C$13,2,FALSE),0)</f>
        <v>11</v>
      </c>
      <c r="X32" s="12">
        <f t="shared" si="19"/>
        <v>0</v>
      </c>
      <c r="Y32" s="26">
        <f t="shared" si="20"/>
        <v>0</v>
      </c>
      <c r="Z32" s="12">
        <f t="shared" si="2"/>
        <v>0</v>
      </c>
      <c r="AA32" s="4" t="s">
        <v>10</v>
      </c>
      <c r="AB32" s="11">
        <f>IFERROR(VLOOKUP(AA32,Curr!$B$2:$C$13,2,FALSE),0)</f>
        <v>11</v>
      </c>
      <c r="AC32" s="12">
        <f t="shared" si="3"/>
        <v>0</v>
      </c>
      <c r="AD32" s="12">
        <f t="shared" si="4"/>
        <v>0</v>
      </c>
      <c r="AE32" s="13">
        <f t="shared" si="5"/>
        <v>0</v>
      </c>
    </row>
    <row r="33" spans="2:31" x14ac:dyDescent="0.25">
      <c r="B33" s="4"/>
      <c r="C33" s="1" t="s">
        <v>94</v>
      </c>
      <c r="D33" s="1" t="s">
        <v>58</v>
      </c>
      <c r="E33" s="3"/>
      <c r="F33" s="3"/>
      <c r="G33" s="24"/>
      <c r="H33" s="24"/>
      <c r="J33" s="1" t="s">
        <v>113</v>
      </c>
      <c r="K33" s="4"/>
      <c r="L33" s="4"/>
      <c r="M33" s="4"/>
      <c r="N33" s="4"/>
      <c r="O33" s="4"/>
      <c r="P33" s="27"/>
      <c r="Q33" s="25">
        <v>0</v>
      </c>
      <c r="R33" s="25">
        <v>0</v>
      </c>
      <c r="S33" s="12">
        <f t="shared" si="17"/>
        <v>0</v>
      </c>
      <c r="T33" s="5">
        <v>0</v>
      </c>
      <c r="U33" s="12">
        <f t="shared" si="18"/>
        <v>0</v>
      </c>
      <c r="V33" s="25" t="s">
        <v>10</v>
      </c>
      <c r="W33" s="11">
        <f>IFERROR(VLOOKUP(V33,Curr!$B$2:$C$13,2,FALSE),0)</f>
        <v>11</v>
      </c>
      <c r="X33" s="12">
        <f t="shared" si="19"/>
        <v>0</v>
      </c>
      <c r="Y33" s="26">
        <f t="shared" si="20"/>
        <v>0</v>
      </c>
      <c r="Z33" s="12">
        <f t="shared" si="2"/>
        <v>0</v>
      </c>
      <c r="AA33" s="4" t="s">
        <v>10</v>
      </c>
      <c r="AB33" s="11">
        <f>IFERROR(VLOOKUP(AA33,Curr!$B$2:$C$13,2,FALSE),0)</f>
        <v>11</v>
      </c>
      <c r="AC33" s="12">
        <f t="shared" si="3"/>
        <v>0</v>
      </c>
      <c r="AD33" s="12">
        <f t="shared" si="4"/>
        <v>0</v>
      </c>
      <c r="AE33" s="13">
        <f t="shared" si="5"/>
        <v>0</v>
      </c>
    </row>
    <row r="34" spans="2:31" x14ac:dyDescent="0.25">
      <c r="B34" s="4"/>
      <c r="C34" s="1" t="s">
        <v>94</v>
      </c>
      <c r="D34" s="1" t="s">
        <v>59</v>
      </c>
      <c r="E34" s="3"/>
      <c r="F34" s="3"/>
      <c r="G34" s="24"/>
      <c r="H34" s="24"/>
      <c r="J34" s="1" t="s">
        <v>91</v>
      </c>
      <c r="K34" s="4"/>
      <c r="L34" s="4"/>
      <c r="M34" s="4"/>
      <c r="N34" s="4"/>
      <c r="O34" s="4"/>
      <c r="P34" s="33"/>
      <c r="Q34" s="25">
        <v>175</v>
      </c>
      <c r="R34" s="25">
        <v>1</v>
      </c>
      <c r="S34" s="12">
        <f t="shared" si="17"/>
        <v>175</v>
      </c>
      <c r="T34" s="5">
        <v>0</v>
      </c>
      <c r="U34" s="12">
        <f t="shared" si="18"/>
        <v>175</v>
      </c>
      <c r="V34" s="25" t="s">
        <v>10</v>
      </c>
      <c r="W34" s="11">
        <f>IFERROR(VLOOKUP(V34,Curr!$B$2:$C$13,2,FALSE),0)</f>
        <v>11</v>
      </c>
      <c r="X34" s="12">
        <f t="shared" si="19"/>
        <v>1925</v>
      </c>
      <c r="Y34" s="26">
        <f>Q34/0.8</f>
        <v>218.75</v>
      </c>
      <c r="Z34" s="12">
        <f t="shared" si="2"/>
        <v>218.75</v>
      </c>
      <c r="AA34" s="4" t="s">
        <v>10</v>
      </c>
      <c r="AB34" s="11">
        <f>IFERROR(VLOOKUP(AA34,Curr!$B$2:$C$13,2,FALSE),0)</f>
        <v>11</v>
      </c>
      <c r="AC34" s="12">
        <f t="shared" si="3"/>
        <v>2406.25</v>
      </c>
      <c r="AD34" s="12">
        <f t="shared" si="4"/>
        <v>481.25</v>
      </c>
      <c r="AE34" s="13">
        <f t="shared" si="5"/>
        <v>0.2</v>
      </c>
    </row>
    <row r="35" spans="2:31" x14ac:dyDescent="0.25">
      <c r="B35" s="4"/>
      <c r="C35" s="1" t="s">
        <v>94</v>
      </c>
      <c r="D35" s="1" t="s">
        <v>60</v>
      </c>
      <c r="E35" s="3"/>
      <c r="F35" s="3"/>
      <c r="G35" s="24"/>
      <c r="H35" s="24"/>
      <c r="J35" s="1" t="s">
        <v>90</v>
      </c>
      <c r="K35" s="4"/>
      <c r="L35" s="4"/>
      <c r="M35" s="4"/>
      <c r="N35" s="4"/>
      <c r="O35" s="4"/>
      <c r="P35" s="27"/>
      <c r="Q35" s="25">
        <v>0</v>
      </c>
      <c r="R35" s="25">
        <v>0</v>
      </c>
      <c r="S35" s="12">
        <f t="shared" si="17"/>
        <v>0</v>
      </c>
      <c r="T35" s="5">
        <v>0</v>
      </c>
      <c r="U35" s="12">
        <f t="shared" si="18"/>
        <v>0</v>
      </c>
      <c r="V35" s="25" t="s">
        <v>10</v>
      </c>
      <c r="W35" s="11">
        <f>IFERROR(VLOOKUP(V35,Curr!$B$2:$C$13,2,FALSE),0)</f>
        <v>11</v>
      </c>
      <c r="X35" s="12">
        <f t="shared" si="19"/>
        <v>0</v>
      </c>
      <c r="Y35" s="26">
        <f t="shared" si="20"/>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c r="R36" s="25"/>
      <c r="S36" s="12">
        <f t="shared" si="17"/>
        <v>0</v>
      </c>
      <c r="T36" s="5">
        <v>0</v>
      </c>
      <c r="U36" s="12">
        <f t="shared" si="18"/>
        <v>0</v>
      </c>
      <c r="V36" s="25" t="s">
        <v>10</v>
      </c>
      <c r="W36" s="11">
        <f>IFERROR(VLOOKUP(V36,Curr!$B$2:$C$13,2,FALSE),0)</f>
        <v>11</v>
      </c>
      <c r="X36" s="12">
        <f t="shared" si="19"/>
        <v>0</v>
      </c>
      <c r="Y36" s="26">
        <f t="shared" si="20"/>
        <v>0</v>
      </c>
      <c r="Z36" s="12">
        <f t="shared" si="2"/>
        <v>0</v>
      </c>
      <c r="AA36" s="4" t="s">
        <v>10</v>
      </c>
      <c r="AB36" s="11">
        <f>IFERROR(VLOOKUP(AA36,Curr!$B$2:$C$13,2,FALSE),0)</f>
        <v>11</v>
      </c>
      <c r="AC36" s="12">
        <f t="shared" si="3"/>
        <v>0</v>
      </c>
      <c r="AD36" s="12">
        <f t="shared" si="4"/>
        <v>0</v>
      </c>
      <c r="AE36" s="13">
        <f t="shared" si="5"/>
        <v>0</v>
      </c>
    </row>
    <row r="37" spans="2:31" x14ac:dyDescent="0.25">
      <c r="B37" s="4"/>
      <c r="C37" s="1" t="s">
        <v>101</v>
      </c>
      <c r="D37" s="1" t="s">
        <v>58</v>
      </c>
      <c r="E37" s="3"/>
      <c r="F37" s="3"/>
      <c r="G37" s="24"/>
      <c r="H37" s="24"/>
      <c r="J37" s="1" t="s">
        <v>114</v>
      </c>
      <c r="K37" s="4"/>
      <c r="L37" s="4"/>
      <c r="M37" s="4"/>
      <c r="N37" s="4"/>
      <c r="O37" s="4"/>
      <c r="P37" s="33"/>
      <c r="Q37" s="25">
        <v>0</v>
      </c>
      <c r="R37" s="25">
        <v>0</v>
      </c>
      <c r="S37" s="12">
        <f t="shared" si="17"/>
        <v>0</v>
      </c>
      <c r="T37" s="5">
        <v>0</v>
      </c>
      <c r="U37" s="12">
        <f t="shared" si="18"/>
        <v>0</v>
      </c>
      <c r="V37" s="25" t="s">
        <v>10</v>
      </c>
      <c r="W37" s="11">
        <f>IFERROR(VLOOKUP(V37,Curr!$B$2:$C$13,2,FALSE),0)</f>
        <v>11</v>
      </c>
      <c r="X37" s="12">
        <f t="shared" si="19"/>
        <v>0</v>
      </c>
      <c r="Y37" s="26">
        <f t="shared" si="20"/>
        <v>0</v>
      </c>
      <c r="Z37" s="12">
        <f t="shared" si="2"/>
        <v>0</v>
      </c>
      <c r="AA37" s="4" t="s">
        <v>10</v>
      </c>
      <c r="AB37" s="11">
        <f>IFERROR(VLOOKUP(AA37,Curr!$B$2:$C$13,2,FALSE),0)</f>
        <v>11</v>
      </c>
      <c r="AC37" s="12">
        <f t="shared" si="3"/>
        <v>0</v>
      </c>
      <c r="AD37" s="12">
        <f t="shared" si="4"/>
        <v>0</v>
      </c>
      <c r="AE37" s="13">
        <f t="shared" si="5"/>
        <v>0</v>
      </c>
    </row>
    <row r="38" spans="2:31" x14ac:dyDescent="0.25">
      <c r="B38" s="4"/>
      <c r="C38" s="1" t="s">
        <v>101</v>
      </c>
      <c r="D38" s="1" t="s">
        <v>59</v>
      </c>
      <c r="E38" s="3"/>
      <c r="F38" s="3"/>
      <c r="G38" s="24"/>
      <c r="H38" s="24"/>
      <c r="J38" s="1" t="s">
        <v>106</v>
      </c>
      <c r="K38" s="4"/>
      <c r="L38" s="4"/>
      <c r="M38" s="4"/>
      <c r="N38" s="4"/>
      <c r="O38" s="4"/>
      <c r="P38" s="27"/>
      <c r="Q38" s="25">
        <v>300</v>
      </c>
      <c r="R38" s="25">
        <v>1</v>
      </c>
      <c r="S38" s="12">
        <f t="shared" si="17"/>
        <v>300</v>
      </c>
      <c r="T38" s="5">
        <v>0</v>
      </c>
      <c r="U38" s="12">
        <f t="shared" si="18"/>
        <v>300</v>
      </c>
      <c r="V38" s="25" t="s">
        <v>10</v>
      </c>
      <c r="W38" s="11">
        <f>IFERROR(VLOOKUP(V38,Curr!$B$2:$C$13,2,FALSE),0)</f>
        <v>11</v>
      </c>
      <c r="X38" s="12">
        <f t="shared" si="19"/>
        <v>3300</v>
      </c>
      <c r="Y38" s="26">
        <f>Q38/0.8</f>
        <v>375</v>
      </c>
      <c r="Z38" s="12">
        <f t="shared" si="2"/>
        <v>375</v>
      </c>
      <c r="AA38" s="4" t="s">
        <v>10</v>
      </c>
      <c r="AB38" s="11">
        <f>IFERROR(VLOOKUP(AA38,Curr!$B$2:$C$13,2,FALSE),0)</f>
        <v>11</v>
      </c>
      <c r="AC38" s="12">
        <f t="shared" si="3"/>
        <v>4125</v>
      </c>
      <c r="AD38" s="12">
        <f t="shared" si="4"/>
        <v>825</v>
      </c>
      <c r="AE38" s="13">
        <f t="shared" si="5"/>
        <v>0.2</v>
      </c>
    </row>
    <row r="39" spans="2:31" x14ac:dyDescent="0.25">
      <c r="B39" s="4"/>
      <c r="C39" s="1" t="s">
        <v>101</v>
      </c>
      <c r="D39" s="1" t="s">
        <v>60</v>
      </c>
      <c r="E39" s="3"/>
      <c r="F39" s="3"/>
      <c r="G39" s="24"/>
      <c r="H39" s="24"/>
      <c r="J39" s="1" t="s">
        <v>107</v>
      </c>
      <c r="K39" s="4"/>
      <c r="L39" s="4"/>
      <c r="M39" s="4"/>
      <c r="N39" s="4"/>
      <c r="O39" s="4"/>
      <c r="P39" s="33"/>
      <c r="Q39" s="25">
        <v>0</v>
      </c>
      <c r="R39" s="25">
        <v>0</v>
      </c>
      <c r="S39" s="12">
        <f t="shared" si="17"/>
        <v>0</v>
      </c>
      <c r="T39" s="5">
        <v>0</v>
      </c>
      <c r="U39" s="12">
        <f t="shared" si="18"/>
        <v>0</v>
      </c>
      <c r="V39" s="25" t="s">
        <v>10</v>
      </c>
      <c r="W39" s="11">
        <f>IFERROR(VLOOKUP(V39,Curr!$B$2:$C$13,2,FALSE),0)</f>
        <v>11</v>
      </c>
      <c r="X39" s="12">
        <f t="shared" si="19"/>
        <v>0</v>
      </c>
      <c r="Y39" s="26">
        <f t="shared" si="20"/>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17"/>
        <v>0</v>
      </c>
      <c r="T40" s="5">
        <v>0</v>
      </c>
      <c r="U40" s="12">
        <f t="shared" si="18"/>
        <v>0</v>
      </c>
      <c r="V40" s="25" t="s">
        <v>10</v>
      </c>
      <c r="W40" s="11">
        <f>IFERROR(VLOOKUP(V40,Curr!$B$2:$C$13,2,FALSE),0)</f>
        <v>11</v>
      </c>
      <c r="X40" s="12">
        <f t="shared" si="19"/>
        <v>0</v>
      </c>
      <c r="Y40" s="26">
        <f t="shared" si="20"/>
        <v>0</v>
      </c>
      <c r="Z40" s="12">
        <f t="shared" si="2"/>
        <v>0</v>
      </c>
      <c r="AA40" s="4" t="s">
        <v>10</v>
      </c>
      <c r="AB40" s="11">
        <f>IFERROR(VLOOKUP(AA40,Curr!$B$2:$C$13,2,FALSE),0)</f>
        <v>11</v>
      </c>
      <c r="AC40" s="12">
        <f t="shared" si="3"/>
        <v>0</v>
      </c>
      <c r="AD40" s="12">
        <f t="shared" si="4"/>
        <v>0</v>
      </c>
      <c r="AE40" s="13">
        <f t="shared" si="5"/>
        <v>0</v>
      </c>
    </row>
    <row r="41" spans="2:31" x14ac:dyDescent="0.25">
      <c r="B41" s="4"/>
      <c r="C41" s="1" t="s">
        <v>109</v>
      </c>
      <c r="D41" s="1" t="s">
        <v>58</v>
      </c>
      <c r="E41" s="3"/>
      <c r="F41" s="3"/>
      <c r="G41" s="24"/>
      <c r="H41" s="24"/>
      <c r="J41" s="1" t="s">
        <v>108</v>
      </c>
      <c r="K41" s="4"/>
      <c r="L41" s="4"/>
      <c r="M41" s="4"/>
      <c r="N41" s="4"/>
      <c r="O41" s="4"/>
      <c r="P41" s="27"/>
      <c r="Q41" s="25">
        <v>0</v>
      </c>
      <c r="R41" s="25">
        <v>0</v>
      </c>
      <c r="S41" s="12">
        <f t="shared" si="17"/>
        <v>0</v>
      </c>
      <c r="T41" s="5">
        <v>0</v>
      </c>
      <c r="U41" s="12">
        <f t="shared" si="18"/>
        <v>0</v>
      </c>
      <c r="V41" s="25" t="s">
        <v>10</v>
      </c>
      <c r="W41" s="11">
        <f>IFERROR(VLOOKUP(V41,Curr!$B$2:$C$13,2,FALSE),0)</f>
        <v>11</v>
      </c>
      <c r="X41" s="12">
        <f t="shared" si="19"/>
        <v>0</v>
      </c>
      <c r="Y41" s="26">
        <f t="shared" si="20"/>
        <v>0</v>
      </c>
      <c r="Z41" s="12">
        <f t="shared" si="2"/>
        <v>0</v>
      </c>
      <c r="AA41" s="4" t="s">
        <v>10</v>
      </c>
      <c r="AB41" s="11">
        <f>IFERROR(VLOOKUP(AA41,Curr!$B$2:$C$13,2,FALSE),0)</f>
        <v>11</v>
      </c>
      <c r="AC41" s="12">
        <f t="shared" si="3"/>
        <v>0</v>
      </c>
      <c r="AD41" s="12">
        <f t="shared" si="4"/>
        <v>0</v>
      </c>
      <c r="AE41" s="13">
        <f t="shared" si="5"/>
        <v>0</v>
      </c>
    </row>
    <row r="42" spans="2:31" x14ac:dyDescent="0.25">
      <c r="B42" s="4"/>
      <c r="C42" s="1" t="s">
        <v>109</v>
      </c>
      <c r="D42" s="1" t="s">
        <v>59</v>
      </c>
      <c r="E42" s="3"/>
      <c r="F42" s="3"/>
      <c r="G42" s="24"/>
      <c r="H42" s="24"/>
      <c r="J42" s="1" t="s">
        <v>64</v>
      </c>
      <c r="K42" s="4"/>
      <c r="L42" s="4"/>
      <c r="M42" s="4"/>
      <c r="N42" s="4"/>
      <c r="O42" s="4"/>
      <c r="P42" s="27"/>
      <c r="Q42" s="25">
        <v>200</v>
      </c>
      <c r="R42" s="25">
        <v>1</v>
      </c>
      <c r="S42" s="12">
        <f t="shared" si="17"/>
        <v>200</v>
      </c>
      <c r="T42" s="5">
        <v>0</v>
      </c>
      <c r="U42" s="12">
        <f t="shared" si="18"/>
        <v>200</v>
      </c>
      <c r="V42" s="25" t="s">
        <v>10</v>
      </c>
      <c r="W42" s="11">
        <f>IFERROR(VLOOKUP(V42,Curr!$B$2:$C$13,2,FALSE),0)</f>
        <v>11</v>
      </c>
      <c r="X42" s="12">
        <f t="shared" si="19"/>
        <v>2200</v>
      </c>
      <c r="Y42" s="26">
        <f>Q42/0.8</f>
        <v>250</v>
      </c>
      <c r="Z42" s="12">
        <f t="shared" si="2"/>
        <v>250</v>
      </c>
      <c r="AA42" s="4" t="s">
        <v>10</v>
      </c>
      <c r="AB42" s="11">
        <f>IFERROR(VLOOKUP(AA42,Curr!$B$2:$C$13,2,FALSE),0)</f>
        <v>11</v>
      </c>
      <c r="AC42" s="12">
        <f t="shared" si="3"/>
        <v>2750</v>
      </c>
      <c r="AD42" s="12">
        <f t="shared" si="4"/>
        <v>550</v>
      </c>
      <c r="AE42" s="13">
        <f t="shared" si="5"/>
        <v>0.2</v>
      </c>
    </row>
    <row r="43" spans="2:31" x14ac:dyDescent="0.25">
      <c r="B43" s="4"/>
      <c r="C43" s="1" t="s">
        <v>109</v>
      </c>
      <c r="D43" s="1" t="s">
        <v>60</v>
      </c>
      <c r="E43" s="3"/>
      <c r="F43" s="3"/>
      <c r="G43" s="24"/>
      <c r="H43" s="24"/>
      <c r="J43" s="1" t="s">
        <v>63</v>
      </c>
      <c r="K43" s="4"/>
      <c r="L43" s="4"/>
      <c r="M43" s="4"/>
      <c r="N43" s="4"/>
      <c r="O43" s="4"/>
      <c r="P43" s="27"/>
      <c r="Q43" s="25">
        <v>0</v>
      </c>
      <c r="R43" s="25">
        <v>0</v>
      </c>
      <c r="S43" s="12">
        <f t="shared" si="17"/>
        <v>0</v>
      </c>
      <c r="T43" s="5">
        <v>0</v>
      </c>
      <c r="U43" s="12">
        <f t="shared" si="18"/>
        <v>0</v>
      </c>
      <c r="V43" s="25" t="s">
        <v>10</v>
      </c>
      <c r="W43" s="11">
        <f>IFERROR(VLOOKUP(V43,Curr!$B$2:$C$13,2,FALSE),0)</f>
        <v>11</v>
      </c>
      <c r="X43" s="12">
        <f t="shared" si="19"/>
        <v>0</v>
      </c>
      <c r="Y43" s="26">
        <f t="shared" si="20"/>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17"/>
        <v>0</v>
      </c>
      <c r="T44" s="5">
        <v>0</v>
      </c>
      <c r="U44" s="12">
        <f t="shared" si="18"/>
        <v>0</v>
      </c>
      <c r="V44" s="25" t="s">
        <v>10</v>
      </c>
      <c r="W44" s="11">
        <f>IFERROR(VLOOKUP(V44,Curr!$B$2:$C$13,2,FALSE),0)</f>
        <v>11</v>
      </c>
      <c r="X44" s="12">
        <f t="shared" si="19"/>
        <v>0</v>
      </c>
      <c r="Y44" s="26">
        <f t="shared" si="20"/>
        <v>0</v>
      </c>
      <c r="Z44" s="12">
        <f t="shared" si="2"/>
        <v>0</v>
      </c>
      <c r="AA44" s="4" t="s">
        <v>10</v>
      </c>
      <c r="AB44" s="11">
        <f>IFERROR(VLOOKUP(AA44,Curr!$B$2:$C$13,2,FALSE),0)</f>
        <v>11</v>
      </c>
      <c r="AC44" s="12">
        <f t="shared" si="3"/>
        <v>0</v>
      </c>
      <c r="AD44" s="12">
        <f t="shared" si="4"/>
        <v>0</v>
      </c>
      <c r="AE44" s="13">
        <f t="shared" si="5"/>
        <v>0</v>
      </c>
    </row>
    <row r="45" spans="2:31" x14ac:dyDescent="0.25">
      <c r="B45" s="4"/>
      <c r="C45" s="1" t="s">
        <v>110</v>
      </c>
      <c r="D45" s="1" t="s">
        <v>58</v>
      </c>
      <c r="E45" s="3"/>
      <c r="F45" s="3"/>
      <c r="G45" s="24"/>
      <c r="H45" s="24"/>
      <c r="J45" s="1" t="s">
        <v>100</v>
      </c>
      <c r="K45" s="4"/>
      <c r="L45" s="4"/>
      <c r="M45" s="4"/>
      <c r="N45" s="4"/>
      <c r="O45" s="4"/>
      <c r="P45" s="27"/>
      <c r="Q45" s="25">
        <v>0</v>
      </c>
      <c r="R45" s="25">
        <v>0</v>
      </c>
      <c r="S45" s="12">
        <f t="shared" si="17"/>
        <v>0</v>
      </c>
      <c r="T45" s="5">
        <v>0</v>
      </c>
      <c r="U45" s="12">
        <f t="shared" si="18"/>
        <v>0</v>
      </c>
      <c r="V45" s="25" t="s">
        <v>10</v>
      </c>
      <c r="W45" s="11">
        <f>IFERROR(VLOOKUP(V45,Curr!$B$2:$C$13,2,FALSE),0)</f>
        <v>11</v>
      </c>
      <c r="X45" s="12">
        <f t="shared" si="19"/>
        <v>0</v>
      </c>
      <c r="Y45" s="26">
        <f t="shared" si="20"/>
        <v>0</v>
      </c>
      <c r="Z45" s="12">
        <f t="shared" si="2"/>
        <v>0</v>
      </c>
      <c r="AA45" s="4" t="s">
        <v>10</v>
      </c>
      <c r="AB45" s="11">
        <f>IFERROR(VLOOKUP(AA45,Curr!$B$2:$C$13,2,FALSE),0)</f>
        <v>11</v>
      </c>
      <c r="AC45" s="12">
        <f t="shared" si="3"/>
        <v>0</v>
      </c>
      <c r="AD45" s="12">
        <f t="shared" si="4"/>
        <v>0</v>
      </c>
      <c r="AE45" s="13">
        <f t="shared" si="5"/>
        <v>0</v>
      </c>
    </row>
    <row r="46" spans="2:31" x14ac:dyDescent="0.25">
      <c r="B46" s="4"/>
      <c r="C46" s="1" t="s">
        <v>110</v>
      </c>
      <c r="D46" s="1" t="s">
        <v>57</v>
      </c>
      <c r="E46" s="3"/>
      <c r="F46" s="3"/>
      <c r="G46" s="24"/>
      <c r="H46" s="24"/>
      <c r="J46" s="1" t="s">
        <v>80</v>
      </c>
      <c r="K46" s="4"/>
      <c r="L46" s="4"/>
      <c r="M46" s="4"/>
      <c r="N46" s="4"/>
      <c r="O46" s="4"/>
      <c r="P46" s="33"/>
      <c r="Q46" s="25">
        <v>0</v>
      </c>
      <c r="R46" s="25">
        <v>0</v>
      </c>
      <c r="S46" s="12">
        <f t="shared" si="17"/>
        <v>0</v>
      </c>
      <c r="T46" s="5">
        <v>0</v>
      </c>
      <c r="U46" s="12">
        <f t="shared" si="18"/>
        <v>0</v>
      </c>
      <c r="V46" s="25" t="s">
        <v>10</v>
      </c>
      <c r="W46" s="11">
        <f>IFERROR(VLOOKUP(V46,Curr!$B$2:$C$13,2,FALSE),0)</f>
        <v>11</v>
      </c>
      <c r="X46" s="12">
        <f t="shared" si="19"/>
        <v>0</v>
      </c>
      <c r="Y46" s="26">
        <f t="shared" si="20"/>
        <v>0</v>
      </c>
      <c r="Z46" s="12">
        <f t="shared" si="2"/>
        <v>0</v>
      </c>
      <c r="AA46" s="4" t="s">
        <v>10</v>
      </c>
      <c r="AB46" s="11">
        <f>IFERROR(VLOOKUP(AA46,Curr!$B$2:$C$13,2,FALSE),0)</f>
        <v>11</v>
      </c>
      <c r="AC46" s="12">
        <f t="shared" si="3"/>
        <v>0</v>
      </c>
      <c r="AD46" s="12">
        <f t="shared" si="4"/>
        <v>0</v>
      </c>
      <c r="AE46" s="13">
        <f t="shared" si="5"/>
        <v>0</v>
      </c>
    </row>
    <row r="47" spans="2:31" x14ac:dyDescent="0.25">
      <c r="B47" s="4"/>
      <c r="C47" s="1" t="s">
        <v>110</v>
      </c>
      <c r="D47" s="1" t="s">
        <v>78</v>
      </c>
      <c r="E47" s="3"/>
      <c r="F47" s="3"/>
      <c r="G47" s="24"/>
      <c r="H47" s="24"/>
      <c r="J47" s="1" t="s">
        <v>81</v>
      </c>
      <c r="K47" s="4"/>
      <c r="L47" s="4"/>
      <c r="M47" s="4"/>
      <c r="N47" s="4"/>
      <c r="O47" s="4"/>
      <c r="P47" s="27"/>
      <c r="Q47" s="25">
        <v>0</v>
      </c>
      <c r="R47" s="25">
        <v>0</v>
      </c>
      <c r="S47" s="12">
        <f t="shared" si="17"/>
        <v>0</v>
      </c>
      <c r="T47" s="5">
        <v>0</v>
      </c>
      <c r="U47" s="12">
        <f t="shared" si="18"/>
        <v>0</v>
      </c>
      <c r="V47" s="25" t="s">
        <v>10</v>
      </c>
      <c r="W47" s="11">
        <f>IFERROR(VLOOKUP(V47,Curr!$B$2:$C$13,2,FALSE),0)</f>
        <v>11</v>
      </c>
      <c r="X47" s="12">
        <f t="shared" si="19"/>
        <v>0</v>
      </c>
      <c r="Y47" s="26">
        <f t="shared" si="20"/>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17"/>
        <v>0</v>
      </c>
      <c r="T48" s="5">
        <v>0</v>
      </c>
      <c r="U48" s="12">
        <f t="shared" si="18"/>
        <v>0</v>
      </c>
      <c r="V48" s="25" t="s">
        <v>10</v>
      </c>
      <c r="W48" s="11">
        <f>IFERROR(VLOOKUP(V48,Curr!$B$2:$C$13,2,FALSE),0)</f>
        <v>11</v>
      </c>
      <c r="X48" s="12">
        <f t="shared" si="19"/>
        <v>0</v>
      </c>
      <c r="Y48" s="26">
        <f t="shared" si="20"/>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c r="R49" s="25"/>
      <c r="S49" s="12">
        <f t="shared" si="17"/>
        <v>0</v>
      </c>
      <c r="T49" s="5">
        <v>0</v>
      </c>
      <c r="U49" s="12">
        <f t="shared" si="18"/>
        <v>0</v>
      </c>
      <c r="V49" s="25" t="s">
        <v>10</v>
      </c>
      <c r="W49" s="11">
        <f>IFERROR(VLOOKUP(V49,Curr!$B$2:$C$13,2,FALSE),0)</f>
        <v>11</v>
      </c>
      <c r="X49" s="12">
        <f t="shared" si="19"/>
        <v>0</v>
      </c>
      <c r="Y49" s="26">
        <f t="shared" si="20"/>
        <v>0</v>
      </c>
      <c r="Z49" s="12">
        <f t="shared" si="2"/>
        <v>0</v>
      </c>
      <c r="AA49" s="4" t="s">
        <v>10</v>
      </c>
      <c r="AB49" s="11">
        <f>IFERROR(VLOOKUP(AA49,Curr!$B$2:$C$13,2,FALSE),0)</f>
        <v>11</v>
      </c>
      <c r="AC49" s="12">
        <f t="shared" si="3"/>
        <v>0</v>
      </c>
      <c r="AD49" s="12">
        <f t="shared" si="4"/>
        <v>0</v>
      </c>
      <c r="AE49" s="13">
        <f t="shared" si="5"/>
        <v>0</v>
      </c>
    </row>
    <row r="50" spans="2:31" x14ac:dyDescent="0.25">
      <c r="B50" s="4"/>
      <c r="C50" s="1" t="s">
        <v>55</v>
      </c>
      <c r="D50" s="1" t="s">
        <v>83</v>
      </c>
      <c r="E50" s="3"/>
      <c r="F50" s="3"/>
      <c r="G50" s="24"/>
      <c r="H50" s="24"/>
      <c r="J50" s="1" t="s">
        <v>184</v>
      </c>
      <c r="K50" s="4"/>
      <c r="L50" s="4"/>
      <c r="M50" s="4"/>
      <c r="N50" s="4"/>
      <c r="O50" s="4"/>
      <c r="P50" s="33" t="s">
        <v>243</v>
      </c>
      <c r="Q50" s="25">
        <v>37</v>
      </c>
      <c r="R50" s="25">
        <v>0</v>
      </c>
      <c r="S50" s="12">
        <f t="shared" si="17"/>
        <v>0</v>
      </c>
      <c r="T50" s="5">
        <v>0.2</v>
      </c>
      <c r="U50" s="12">
        <f t="shared" si="18"/>
        <v>0</v>
      </c>
      <c r="V50" s="25" t="s">
        <v>10</v>
      </c>
      <c r="W50" s="11">
        <f>IFERROR(VLOOKUP(V50,Curr!$B$2:$C$13,2,FALSE),0)</f>
        <v>11</v>
      </c>
      <c r="X50" s="12">
        <f t="shared" si="19"/>
        <v>0</v>
      </c>
      <c r="Y50" s="26">
        <f t="shared" si="20"/>
        <v>37</v>
      </c>
      <c r="Z50" s="12">
        <f t="shared" si="2"/>
        <v>0</v>
      </c>
      <c r="AA50" s="4" t="s">
        <v>10</v>
      </c>
      <c r="AB50" s="11">
        <f>IFERROR(VLOOKUP(AA50,Curr!$B$2:$C$13,2,FALSE),0)</f>
        <v>11</v>
      </c>
      <c r="AC50" s="12">
        <f t="shared" si="3"/>
        <v>0</v>
      </c>
      <c r="AD50" s="12">
        <f t="shared" si="4"/>
        <v>0</v>
      </c>
      <c r="AE50" s="13">
        <f t="shared" si="5"/>
        <v>0</v>
      </c>
    </row>
    <row r="51" spans="2:31" x14ac:dyDescent="0.25">
      <c r="B51" s="4"/>
      <c r="C51" s="1" t="s">
        <v>55</v>
      </c>
      <c r="D51" s="1" t="s">
        <v>83</v>
      </c>
      <c r="E51" s="3"/>
      <c r="F51" s="3"/>
      <c r="G51" s="24"/>
      <c r="H51" s="24"/>
      <c r="J51" s="1" t="s">
        <v>241</v>
      </c>
      <c r="K51" s="4"/>
      <c r="L51" s="4"/>
      <c r="M51" s="4"/>
      <c r="N51" s="4"/>
      <c r="O51" s="4"/>
      <c r="P51" s="33" t="s">
        <v>242</v>
      </c>
      <c r="Q51" s="25">
        <v>89</v>
      </c>
      <c r="R51" s="25">
        <v>0</v>
      </c>
      <c r="S51" s="12">
        <f t="shared" si="17"/>
        <v>0</v>
      </c>
      <c r="T51" s="5">
        <v>0.25</v>
      </c>
      <c r="U51" s="12">
        <f t="shared" si="18"/>
        <v>0</v>
      </c>
      <c r="V51" s="25" t="s">
        <v>10</v>
      </c>
      <c r="W51" s="11">
        <f>IFERROR(VLOOKUP(V51,Curr!$B$2:$C$13,2,FALSE),0)</f>
        <v>11</v>
      </c>
      <c r="X51" s="12">
        <f t="shared" si="19"/>
        <v>0</v>
      </c>
      <c r="Y51" s="26">
        <f t="shared" si="20"/>
        <v>89</v>
      </c>
      <c r="Z51" s="12">
        <f t="shared" si="2"/>
        <v>0</v>
      </c>
      <c r="AA51" s="4" t="s">
        <v>10</v>
      </c>
      <c r="AB51" s="11">
        <f>IFERROR(VLOOKUP(AA51,Curr!$B$2:$C$13,2,FALSE),0)</f>
        <v>11</v>
      </c>
      <c r="AC51" s="12">
        <f t="shared" si="3"/>
        <v>0</v>
      </c>
      <c r="AD51" s="12">
        <f t="shared" si="4"/>
        <v>0</v>
      </c>
      <c r="AE51" s="13">
        <f t="shared" si="5"/>
        <v>0</v>
      </c>
    </row>
    <row r="52" spans="2:31" x14ac:dyDescent="0.25">
      <c r="B52" s="4"/>
      <c r="C52" s="1" t="s">
        <v>66</v>
      </c>
      <c r="D52" s="1" t="s">
        <v>83</v>
      </c>
      <c r="E52" s="3"/>
      <c r="F52" s="3"/>
      <c r="G52" s="24"/>
      <c r="H52" s="24"/>
      <c r="J52" s="1" t="s">
        <v>239</v>
      </c>
      <c r="K52" s="4"/>
      <c r="L52" s="4"/>
      <c r="M52" s="4"/>
      <c r="N52" s="4"/>
      <c r="O52" s="4"/>
      <c r="P52" s="33" t="s">
        <v>240</v>
      </c>
      <c r="Q52" s="25">
        <v>205</v>
      </c>
      <c r="R52" s="25">
        <v>0</v>
      </c>
      <c r="S52" s="12">
        <f t="shared" si="17"/>
        <v>0</v>
      </c>
      <c r="T52" s="5">
        <v>0</v>
      </c>
      <c r="U52" s="12">
        <f t="shared" si="18"/>
        <v>0</v>
      </c>
      <c r="V52" s="25" t="s">
        <v>10</v>
      </c>
      <c r="W52" s="11">
        <f>IFERROR(VLOOKUP(V52,Curr!$B$2:$C$13,2,FALSE),0)</f>
        <v>11</v>
      </c>
      <c r="X52" s="12">
        <f t="shared" si="19"/>
        <v>0</v>
      </c>
      <c r="Y52" s="26">
        <f t="shared" si="20"/>
        <v>205</v>
      </c>
      <c r="Z52" s="12">
        <f t="shared" ref="Z52:Z56" si="21">+Y52*R52</f>
        <v>0</v>
      </c>
      <c r="AA52" s="4" t="s">
        <v>10</v>
      </c>
      <c r="AB52" s="11">
        <f>IFERROR(VLOOKUP(AA52,Curr!$B$2:$C$13,2,FALSE),0)</f>
        <v>11</v>
      </c>
      <c r="AC52" s="12">
        <f t="shared" ref="AC52:AC56" si="22">+Y52*AB52*R52</f>
        <v>0</v>
      </c>
      <c r="AD52" s="12">
        <f t="shared" ref="AD52:AD56" si="23">+AC52-X52</f>
        <v>0</v>
      </c>
      <c r="AE52" s="13">
        <f t="shared" ref="AE52:AE56" si="24">IFERROR(AD52/AC52,0)</f>
        <v>0</v>
      </c>
    </row>
    <row r="53" spans="2:31" x14ac:dyDescent="0.25">
      <c r="B53" s="4"/>
      <c r="C53" s="1" t="s">
        <v>92</v>
      </c>
      <c r="D53" s="1" t="s">
        <v>83</v>
      </c>
      <c r="E53" s="3"/>
      <c r="F53" s="3"/>
      <c r="G53" s="24"/>
      <c r="H53" s="24"/>
      <c r="J53" s="1" t="s">
        <v>244</v>
      </c>
      <c r="K53" s="4"/>
      <c r="L53" s="4"/>
      <c r="M53" s="4"/>
      <c r="N53" s="4"/>
      <c r="O53" s="4"/>
      <c r="P53" s="33" t="s">
        <v>245</v>
      </c>
      <c r="Q53" s="25">
        <v>99</v>
      </c>
      <c r="R53" s="25">
        <v>0</v>
      </c>
      <c r="S53" s="12">
        <f t="shared" si="17"/>
        <v>0</v>
      </c>
      <c r="T53" s="5">
        <v>0.25</v>
      </c>
      <c r="U53" s="12">
        <f t="shared" si="18"/>
        <v>0</v>
      </c>
      <c r="V53" s="25" t="s">
        <v>10</v>
      </c>
      <c r="W53" s="11">
        <f>IFERROR(VLOOKUP(V53,Curr!$B$2:$C$13,2,FALSE),0)</f>
        <v>11</v>
      </c>
      <c r="X53" s="12">
        <f t="shared" si="19"/>
        <v>0</v>
      </c>
      <c r="Y53" s="26">
        <f t="shared" si="20"/>
        <v>99</v>
      </c>
      <c r="Z53" s="12">
        <f t="shared" si="21"/>
        <v>0</v>
      </c>
      <c r="AA53" s="4" t="s">
        <v>10</v>
      </c>
      <c r="AB53" s="11">
        <f>IFERROR(VLOOKUP(AA53,Curr!$B$2:$C$13,2,FALSE),0)</f>
        <v>11</v>
      </c>
      <c r="AC53" s="12">
        <f t="shared" si="22"/>
        <v>0</v>
      </c>
      <c r="AD53" s="12">
        <f t="shared" si="23"/>
        <v>0</v>
      </c>
      <c r="AE53" s="13">
        <f t="shared" si="24"/>
        <v>0</v>
      </c>
    </row>
    <row r="54" spans="2:31" x14ac:dyDescent="0.25">
      <c r="B54" s="4"/>
      <c r="C54" s="1" t="s">
        <v>110</v>
      </c>
      <c r="D54" s="1" t="s">
        <v>83</v>
      </c>
      <c r="E54" s="3"/>
      <c r="F54" s="3"/>
      <c r="G54" s="24"/>
      <c r="H54" s="24"/>
      <c r="J54" s="1" t="s">
        <v>137</v>
      </c>
      <c r="K54" s="4"/>
      <c r="L54" s="4"/>
      <c r="M54" s="4"/>
      <c r="N54" s="4"/>
      <c r="O54" s="4"/>
      <c r="P54" s="33" t="s">
        <v>182</v>
      </c>
      <c r="Q54" s="25">
        <v>163</v>
      </c>
      <c r="R54" s="25">
        <v>0</v>
      </c>
      <c r="S54" s="12">
        <f t="shared" si="17"/>
        <v>0</v>
      </c>
      <c r="T54" s="5">
        <v>0.2</v>
      </c>
      <c r="U54" s="12">
        <f t="shared" si="18"/>
        <v>0</v>
      </c>
      <c r="V54" s="25" t="s">
        <v>10</v>
      </c>
      <c r="W54" s="11">
        <f>IFERROR(VLOOKUP(V54,Curr!$B$2:$C$13,2,FALSE),0)</f>
        <v>11</v>
      </c>
      <c r="X54" s="12">
        <f t="shared" si="19"/>
        <v>0</v>
      </c>
      <c r="Y54" s="26">
        <f t="shared" si="20"/>
        <v>163</v>
      </c>
      <c r="Z54" s="12">
        <f t="shared" si="21"/>
        <v>0</v>
      </c>
      <c r="AA54" s="4" t="s">
        <v>10</v>
      </c>
      <c r="AB54" s="11">
        <f>IFERROR(VLOOKUP(AA54,Curr!$B$2:$C$13,2,FALSE),0)</f>
        <v>11</v>
      </c>
      <c r="AC54" s="12">
        <f t="shared" si="22"/>
        <v>0</v>
      </c>
      <c r="AD54" s="12">
        <f t="shared" si="23"/>
        <v>0</v>
      </c>
      <c r="AE54" s="13">
        <f t="shared" si="24"/>
        <v>0</v>
      </c>
    </row>
    <row r="55" spans="2:31" x14ac:dyDescent="0.25">
      <c r="B55" s="4"/>
      <c r="E55" s="3"/>
      <c r="F55" s="3"/>
      <c r="G55" s="24"/>
      <c r="H55" s="24"/>
      <c r="K55" s="4"/>
      <c r="L55" s="4"/>
      <c r="M55" s="4"/>
      <c r="N55" s="4"/>
      <c r="O55" s="4"/>
      <c r="P55" s="27"/>
      <c r="Q55" s="25"/>
      <c r="R55" s="25"/>
      <c r="S55" s="12">
        <f t="shared" si="17"/>
        <v>0</v>
      </c>
      <c r="T55" s="5">
        <v>0</v>
      </c>
      <c r="U55" s="12">
        <f t="shared" si="18"/>
        <v>0</v>
      </c>
      <c r="V55" s="25" t="s">
        <v>10</v>
      </c>
      <c r="W55" s="11">
        <f>IFERROR(VLOOKUP(V55,Curr!$B$2:$C$13,2,FALSE),0)</f>
        <v>11</v>
      </c>
      <c r="X55" s="12">
        <f t="shared" si="19"/>
        <v>0</v>
      </c>
      <c r="Y55" s="26">
        <f t="shared" si="20"/>
        <v>0</v>
      </c>
      <c r="Z55" s="12">
        <f t="shared" si="21"/>
        <v>0</v>
      </c>
      <c r="AA55" s="4" t="s">
        <v>10</v>
      </c>
      <c r="AB55" s="11">
        <f>IFERROR(VLOOKUP(AA55,Curr!$B$2:$C$13,2,FALSE),0)</f>
        <v>11</v>
      </c>
      <c r="AC55" s="12">
        <f t="shared" si="22"/>
        <v>0</v>
      </c>
      <c r="AD55" s="12">
        <f t="shared" si="23"/>
        <v>0</v>
      </c>
      <c r="AE55" s="13">
        <f t="shared" si="24"/>
        <v>0</v>
      </c>
    </row>
    <row r="56" spans="2:31" x14ac:dyDescent="0.25">
      <c r="B56" s="4"/>
      <c r="E56" s="3"/>
      <c r="F56" s="3"/>
      <c r="G56" s="24"/>
      <c r="H56" s="24"/>
      <c r="K56" s="4"/>
      <c r="L56" s="4"/>
      <c r="M56" s="4"/>
      <c r="N56" s="4"/>
      <c r="O56" s="4"/>
      <c r="P56" s="27"/>
      <c r="Q56" s="25"/>
      <c r="R56" s="25"/>
      <c r="S56" s="12">
        <f t="shared" si="17"/>
        <v>0</v>
      </c>
      <c r="T56" s="5">
        <v>0</v>
      </c>
      <c r="U56" s="12">
        <f t="shared" si="18"/>
        <v>0</v>
      </c>
      <c r="V56" s="25" t="s">
        <v>10</v>
      </c>
      <c r="W56" s="11">
        <f>IFERROR(VLOOKUP(V56,Curr!$B$2:$C$13,2,FALSE),0)</f>
        <v>11</v>
      </c>
      <c r="X56" s="12">
        <f t="shared" si="19"/>
        <v>0</v>
      </c>
      <c r="Y56" s="26">
        <f t="shared" si="20"/>
        <v>0</v>
      </c>
      <c r="Z56" s="12">
        <f t="shared" si="21"/>
        <v>0</v>
      </c>
      <c r="AA56" s="4" t="s">
        <v>10</v>
      </c>
      <c r="AB56" s="11">
        <f>IFERROR(VLOOKUP(AA56,Curr!$B$2:$C$13,2,FALSE),0)</f>
        <v>11</v>
      </c>
      <c r="AC56" s="12">
        <f t="shared" si="22"/>
        <v>0</v>
      </c>
      <c r="AD56" s="12">
        <f t="shared" si="23"/>
        <v>0</v>
      </c>
      <c r="AE56" s="13">
        <f t="shared" si="24"/>
        <v>0</v>
      </c>
    </row>
    <row r="57" spans="2:31" x14ac:dyDescent="0.25">
      <c r="B57" s="4"/>
      <c r="C57" s="1" t="s">
        <v>55</v>
      </c>
      <c r="D57" s="1" t="s">
        <v>138</v>
      </c>
      <c r="E57" s="3"/>
      <c r="F57" s="3"/>
      <c r="G57" s="24"/>
      <c r="H57" s="24"/>
      <c r="J57" s="1" t="s">
        <v>139</v>
      </c>
      <c r="K57" s="4"/>
      <c r="L57" s="4"/>
      <c r="M57" s="4"/>
      <c r="N57" s="4"/>
      <c r="O57" s="4"/>
      <c r="P57" s="27"/>
      <c r="Q57" s="25">
        <v>225</v>
      </c>
      <c r="R57" s="25">
        <v>0</v>
      </c>
      <c r="S57" s="12">
        <f t="shared" si="17"/>
        <v>0</v>
      </c>
      <c r="T57" s="5">
        <v>0</v>
      </c>
      <c r="U57" s="12">
        <f t="shared" si="18"/>
        <v>0</v>
      </c>
      <c r="V57" s="25" t="s">
        <v>10</v>
      </c>
      <c r="W57" s="11">
        <f>IFERROR(VLOOKUP(V57,Curr!$B$2:$C$13,2,FALSE),0)</f>
        <v>11</v>
      </c>
      <c r="X57" s="12">
        <f t="shared" si="19"/>
        <v>0</v>
      </c>
      <c r="Y57" s="26">
        <f>Q57/0.85</f>
        <v>264.70588235294116</v>
      </c>
      <c r="Z57" s="12">
        <f t="shared" si="2"/>
        <v>0</v>
      </c>
      <c r="AA57" s="4" t="s">
        <v>10</v>
      </c>
      <c r="AB57" s="11">
        <f>IFERROR(VLOOKUP(AA57,Curr!$B$2:$C$13,2,FALSE),0)</f>
        <v>11</v>
      </c>
      <c r="AC57" s="12">
        <f t="shared" si="3"/>
        <v>0</v>
      </c>
      <c r="AD57" s="12">
        <f t="shared" si="4"/>
        <v>0</v>
      </c>
      <c r="AE57" s="13">
        <f t="shared" si="5"/>
        <v>0</v>
      </c>
    </row>
    <row r="58" spans="2:31" x14ac:dyDescent="0.25">
      <c r="B58" s="4"/>
      <c r="C58" s="1" t="s">
        <v>110</v>
      </c>
      <c r="D58" s="1" t="s">
        <v>138</v>
      </c>
      <c r="E58" s="3"/>
      <c r="F58" s="3"/>
      <c r="G58" s="24"/>
      <c r="H58" s="24"/>
      <c r="J58" s="1" t="s">
        <v>139</v>
      </c>
      <c r="K58" s="4"/>
      <c r="L58" s="4"/>
      <c r="M58" s="4"/>
      <c r="N58" s="4"/>
      <c r="O58" s="4"/>
      <c r="P58" s="33"/>
      <c r="Q58" s="25">
        <v>225</v>
      </c>
      <c r="R58" s="25">
        <v>0</v>
      </c>
      <c r="S58" s="12">
        <f t="shared" si="17"/>
        <v>0</v>
      </c>
      <c r="T58" s="5">
        <v>0</v>
      </c>
      <c r="U58" s="12">
        <f t="shared" si="18"/>
        <v>0</v>
      </c>
      <c r="V58" s="25" t="s">
        <v>10</v>
      </c>
      <c r="W58" s="11">
        <f>IFERROR(VLOOKUP(V58,Curr!$B$2:$C$13,2,FALSE),0)</f>
        <v>11</v>
      </c>
      <c r="X58" s="12">
        <f t="shared" si="19"/>
        <v>0</v>
      </c>
      <c r="Y58" s="26">
        <f>Q58/0.85</f>
        <v>264.70588235294116</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c r="R59" s="25"/>
      <c r="S59" s="12">
        <f t="shared" si="17"/>
        <v>0</v>
      </c>
      <c r="T59" s="5">
        <v>0</v>
      </c>
      <c r="U59" s="12">
        <f t="shared" si="18"/>
        <v>0</v>
      </c>
      <c r="V59" s="25" t="s">
        <v>10</v>
      </c>
      <c r="W59" s="11">
        <f>IFERROR(VLOOKUP(V59,Curr!$B$2:$C$13,2,FALSE),0)</f>
        <v>11</v>
      </c>
      <c r="X59" s="12">
        <f t="shared" si="19"/>
        <v>0</v>
      </c>
      <c r="Y59" s="26">
        <f t="shared" si="20"/>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c r="R60" s="25"/>
      <c r="S60" s="12">
        <f t="shared" si="17"/>
        <v>0</v>
      </c>
      <c r="T60" s="5">
        <v>0</v>
      </c>
      <c r="U60" s="12">
        <f t="shared" si="18"/>
        <v>0</v>
      </c>
      <c r="V60" s="25" t="s">
        <v>10</v>
      </c>
      <c r="W60" s="11">
        <f>IFERROR(VLOOKUP(V60,Curr!$B$2:$C$13,2,FALSE),0)</f>
        <v>11</v>
      </c>
      <c r="X60" s="12">
        <f t="shared" si="19"/>
        <v>0</v>
      </c>
      <c r="Y60" s="26">
        <f t="shared" si="20"/>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c r="R61" s="25"/>
      <c r="S61" s="12">
        <f t="shared" si="17"/>
        <v>0</v>
      </c>
      <c r="T61" s="5">
        <v>0</v>
      </c>
      <c r="U61" s="12">
        <f t="shared" si="18"/>
        <v>0</v>
      </c>
      <c r="V61" s="25" t="s">
        <v>10</v>
      </c>
      <c r="W61" s="11">
        <f>IFERROR(VLOOKUP(V61,Curr!$B$2:$C$13,2,FALSE),0)</f>
        <v>11</v>
      </c>
      <c r="X61" s="12">
        <f t="shared" si="19"/>
        <v>0</v>
      </c>
      <c r="Y61" s="26">
        <f t="shared" si="20"/>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c r="R62" s="25"/>
      <c r="S62" s="12">
        <f t="shared" si="17"/>
        <v>0</v>
      </c>
      <c r="T62" s="5">
        <v>0</v>
      </c>
      <c r="U62" s="12">
        <f t="shared" si="18"/>
        <v>0</v>
      </c>
      <c r="V62" s="25" t="s">
        <v>10</v>
      </c>
      <c r="W62" s="11">
        <f>IFERROR(VLOOKUP(V62,Curr!$B$2:$C$13,2,FALSE),0)</f>
        <v>11</v>
      </c>
      <c r="X62" s="12">
        <f t="shared" si="19"/>
        <v>0</v>
      </c>
      <c r="Y62" s="26">
        <f t="shared" si="20"/>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c r="R63" s="25"/>
      <c r="S63" s="12">
        <f t="shared" si="17"/>
        <v>0</v>
      </c>
      <c r="T63" s="5">
        <v>0</v>
      </c>
      <c r="U63" s="12">
        <f t="shared" si="18"/>
        <v>0</v>
      </c>
      <c r="V63" s="25" t="s">
        <v>10</v>
      </c>
      <c r="W63" s="11">
        <f>IFERROR(VLOOKUP(V63,Curr!$B$2:$C$13,2,FALSE),0)</f>
        <v>11</v>
      </c>
      <c r="X63" s="12">
        <f t="shared" si="19"/>
        <v>0</v>
      </c>
      <c r="Y63" s="26">
        <f t="shared" si="20"/>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c r="R64" s="25"/>
      <c r="S64" s="12">
        <f t="shared" si="17"/>
        <v>0</v>
      </c>
      <c r="T64" s="5">
        <v>0</v>
      </c>
      <c r="U64" s="12">
        <f t="shared" si="18"/>
        <v>0</v>
      </c>
      <c r="V64" s="25" t="s">
        <v>10</v>
      </c>
      <c r="W64" s="11">
        <f>IFERROR(VLOOKUP(V64,Curr!$B$2:$C$13,2,FALSE),0)</f>
        <v>11</v>
      </c>
      <c r="X64" s="12">
        <f t="shared" si="19"/>
        <v>0</v>
      </c>
      <c r="Y64" s="26">
        <f t="shared" si="20"/>
        <v>0</v>
      </c>
      <c r="Z64" s="12">
        <f t="shared" si="2"/>
        <v>0</v>
      </c>
      <c r="AA64" s="4" t="s">
        <v>10</v>
      </c>
      <c r="AB64" s="11">
        <f>IFERROR(VLOOKUP(AA64,Curr!$B$2:$C$13,2,FALSE),0)</f>
        <v>11</v>
      </c>
      <c r="AC64" s="12">
        <f t="shared" si="3"/>
        <v>0</v>
      </c>
      <c r="AD64" s="12">
        <f t="shared" si="4"/>
        <v>0</v>
      </c>
      <c r="AE64" s="13">
        <f t="shared" si="5"/>
        <v>0</v>
      </c>
    </row>
    <row r="65" spans="2:36" x14ac:dyDescent="0.25">
      <c r="B65" s="4"/>
      <c r="E65" s="3"/>
      <c r="F65" s="3"/>
      <c r="G65" s="3"/>
      <c r="H65" s="3"/>
      <c r="L65" s="4"/>
      <c r="M65" s="4"/>
      <c r="N65" s="4"/>
      <c r="O65" s="4"/>
      <c r="P65" s="22"/>
      <c r="Q65" s="4"/>
      <c r="R65" s="4"/>
      <c r="S65" s="4"/>
      <c r="T65" s="4"/>
      <c r="U65" s="4"/>
      <c r="V65" s="4"/>
      <c r="W65" s="4"/>
      <c r="X65" s="4"/>
      <c r="Y65" s="4"/>
      <c r="Z65" s="4"/>
      <c r="AA65" s="4"/>
      <c r="AB65" s="4"/>
      <c r="AC65" s="4"/>
      <c r="AD65" s="4"/>
      <c r="AE65" s="4"/>
      <c r="AF65" s="4"/>
    </row>
    <row r="66" spans="2:36" x14ac:dyDescent="0.25">
      <c r="B66" s="14" t="s">
        <v>18</v>
      </c>
      <c r="C66" s="14"/>
      <c r="D66" s="28" t="s">
        <v>42</v>
      </c>
      <c r="E66" s="30" t="s">
        <v>42</v>
      </c>
      <c r="F66" s="30" t="s">
        <v>42</v>
      </c>
      <c r="G66" s="30" t="s">
        <v>42</v>
      </c>
      <c r="H66" s="30" t="s">
        <v>42</v>
      </c>
      <c r="I66" s="28" t="s">
        <v>42</v>
      </c>
      <c r="J66" s="28" t="s">
        <v>42</v>
      </c>
      <c r="K66" s="28" t="s">
        <v>42</v>
      </c>
      <c r="L66" s="28" t="s">
        <v>42</v>
      </c>
      <c r="M66" s="28" t="s">
        <v>42</v>
      </c>
      <c r="N66" s="28" t="s">
        <v>42</v>
      </c>
      <c r="O66" s="28" t="s">
        <v>42</v>
      </c>
      <c r="P66" s="28" t="s">
        <v>42</v>
      </c>
      <c r="Q66" s="31" t="s">
        <v>42</v>
      </c>
      <c r="R66" s="28" t="s">
        <v>42</v>
      </c>
      <c r="S66" s="32" t="s">
        <v>42</v>
      </c>
      <c r="T66" s="28" t="s">
        <v>42</v>
      </c>
      <c r="U66" s="32" t="s">
        <v>42</v>
      </c>
      <c r="V66" s="28" t="s">
        <v>42</v>
      </c>
      <c r="W66" s="28" t="s">
        <v>42</v>
      </c>
      <c r="X66" s="32" t="s">
        <v>42</v>
      </c>
      <c r="Y66" s="32" t="s">
        <v>42</v>
      </c>
      <c r="Z66" s="15">
        <f>SUM(Z7:Z64)</f>
        <v>3500</v>
      </c>
      <c r="AA66" s="14"/>
      <c r="AB66" s="14"/>
      <c r="AC66" s="15">
        <f>SUM(AC7:AC64)</f>
        <v>38500</v>
      </c>
      <c r="AD66" s="15">
        <f>SUM(AD7:AD64)</f>
        <v>7700</v>
      </c>
      <c r="AE66" s="21">
        <f t="shared" ref="AE66" si="25">IFERROR(AD66/AC66,0)</f>
        <v>0.2</v>
      </c>
      <c r="AF66" s="15">
        <f>SUM(AF8:AF65)</f>
        <v>0</v>
      </c>
      <c r="AG66" s="15">
        <f>SUM(AG8:AG65)</f>
        <v>0</v>
      </c>
      <c r="AH66" s="15">
        <f>SUM(AH8:AH65)</f>
        <v>0</v>
      </c>
      <c r="AI66" s="15">
        <f>SUM(AI8:AI65)</f>
        <v>0</v>
      </c>
      <c r="AJ66" s="15">
        <f>SUM(AJ8:AJ65)</f>
        <v>0</v>
      </c>
    </row>
    <row r="67" spans="2:36" x14ac:dyDescent="0.25">
      <c r="B67" s="4"/>
      <c r="E67" s="3"/>
      <c r="F67" s="3"/>
      <c r="G67" s="3"/>
      <c r="H67" s="3"/>
      <c r="L67" s="4"/>
      <c r="M67" s="4"/>
      <c r="N67" s="4"/>
      <c r="O67" s="4"/>
      <c r="Q67" s="4"/>
      <c r="R67" s="4"/>
      <c r="S67" s="4"/>
      <c r="T67" s="4"/>
      <c r="U67" s="4"/>
      <c r="V67" s="4"/>
      <c r="W67" s="4"/>
      <c r="X67" s="4"/>
      <c r="Y67" s="9"/>
      <c r="Z67" s="9"/>
      <c r="AA67" s="9"/>
      <c r="AB67" s="9"/>
      <c r="AC67" s="9"/>
      <c r="AD67" s="9"/>
      <c r="AE67" s="9"/>
    </row>
    <row r="68" spans="2:36" x14ac:dyDescent="0.25">
      <c r="B68" s="4"/>
      <c r="E68" s="3"/>
      <c r="F68" s="3"/>
      <c r="G68" s="3"/>
      <c r="H68" s="3"/>
      <c r="L68" s="4"/>
      <c r="M68" s="4"/>
      <c r="N68" s="4"/>
      <c r="O68" s="4"/>
      <c r="Q68" s="9"/>
      <c r="R68" s="9"/>
      <c r="S68" s="9"/>
      <c r="T68" s="9"/>
      <c r="U68" s="9"/>
      <c r="V68" s="9"/>
      <c r="W68" s="9"/>
      <c r="X68" s="23"/>
      <c r="Y68" s="34" t="s">
        <v>234</v>
      </c>
      <c r="Z68" s="34">
        <v>0</v>
      </c>
      <c r="AA68" s="9"/>
      <c r="AB68" s="9"/>
      <c r="AC68" s="9"/>
      <c r="AD68" s="9"/>
      <c r="AE68" s="9"/>
    </row>
    <row r="69" spans="2:36" x14ac:dyDescent="0.25">
      <c r="B69" s="4"/>
      <c r="E69" s="3"/>
      <c r="F69" s="3"/>
      <c r="G69" s="3"/>
      <c r="H69" s="3"/>
      <c r="L69" s="4"/>
      <c r="M69" s="4"/>
      <c r="N69" s="4"/>
      <c r="O69" s="4"/>
      <c r="Q69" s="9"/>
      <c r="R69" s="9"/>
      <c r="S69" s="9"/>
      <c r="T69" s="9"/>
      <c r="U69" s="9"/>
      <c r="V69" s="9"/>
      <c r="W69" s="9"/>
      <c r="X69" s="9"/>
      <c r="Y69" s="35" t="s">
        <v>235</v>
      </c>
      <c r="Z69" s="34">
        <f>Z8+Z10+Z14+Z18+Z22+Z26+Z30+Z34+Z38+Z42</f>
        <v>3500</v>
      </c>
      <c r="AA69" s="9"/>
      <c r="AB69" s="9"/>
      <c r="AC69" s="9"/>
      <c r="AD69" s="9"/>
      <c r="AE69" s="9"/>
      <c r="AF69" s="18"/>
    </row>
    <row r="70" spans="2:36" x14ac:dyDescent="0.25">
      <c r="B70" s="4"/>
      <c r="E70" s="3"/>
      <c r="F70" s="3"/>
      <c r="G70" s="3"/>
      <c r="H70" s="3"/>
      <c r="I70" s="19"/>
      <c r="L70" s="4"/>
      <c r="M70" s="4"/>
      <c r="N70" s="4"/>
      <c r="O70" s="20"/>
      <c r="Q70" s="20"/>
      <c r="R70" s="20"/>
      <c r="S70" s="20"/>
      <c r="T70" s="20"/>
      <c r="U70" s="20"/>
      <c r="V70" s="20"/>
      <c r="W70" s="20"/>
      <c r="X70" s="20"/>
      <c r="Y70" s="34" t="s">
        <v>236</v>
      </c>
      <c r="Z70" s="34">
        <v>3520</v>
      </c>
      <c r="AA70" s="9"/>
      <c r="AB70" s="9"/>
      <c r="AC70" s="9"/>
      <c r="AD70" s="9"/>
      <c r="AE70" s="9"/>
      <c r="AF70" s="18"/>
    </row>
    <row r="71" spans="2:36" x14ac:dyDescent="0.25">
      <c r="B71" s="4"/>
      <c r="E71" s="3"/>
      <c r="F71" s="3"/>
      <c r="G71" s="3"/>
      <c r="H71" s="3"/>
      <c r="L71" s="4"/>
      <c r="M71" s="4"/>
      <c r="N71" s="4"/>
      <c r="O71" s="20"/>
      <c r="Q71" s="20"/>
      <c r="R71" s="20"/>
      <c r="S71" s="20"/>
      <c r="T71" s="20"/>
      <c r="U71" s="20"/>
      <c r="V71" s="20"/>
      <c r="W71" s="20"/>
      <c r="X71" s="20"/>
      <c r="Y71" s="34" t="s">
        <v>45</v>
      </c>
      <c r="Z71" s="34">
        <f>Z70/2</f>
        <v>1760</v>
      </c>
      <c r="AA71" s="9"/>
      <c r="AB71" s="9"/>
      <c r="AC71" s="9"/>
      <c r="AD71" s="9"/>
      <c r="AE71" s="9"/>
      <c r="AF71" s="18"/>
    </row>
    <row r="72" spans="2:36" x14ac:dyDescent="0.25">
      <c r="B72" s="4"/>
      <c r="E72" s="3"/>
      <c r="F72" s="3"/>
      <c r="G72" s="3"/>
      <c r="H72" s="3"/>
      <c r="L72" s="4"/>
      <c r="M72" s="4"/>
      <c r="N72" s="4"/>
      <c r="O72" s="4"/>
      <c r="Q72" s="9"/>
      <c r="R72" s="9"/>
      <c r="S72" s="9"/>
      <c r="T72" s="9"/>
      <c r="U72" s="9"/>
      <c r="V72" s="9"/>
      <c r="W72" s="9"/>
      <c r="X72" s="9"/>
      <c r="Y72" s="1"/>
      <c r="Z72" s="1"/>
      <c r="AA72" s="9"/>
      <c r="AB72" s="9"/>
      <c r="AC72" s="9"/>
      <c r="AD72" s="9"/>
      <c r="AE72" s="9"/>
      <c r="AF72" s="18"/>
    </row>
    <row r="73" spans="2:36" x14ac:dyDescent="0.25">
      <c r="F73" s="1"/>
      <c r="G73" s="1"/>
      <c r="H73" s="1"/>
      <c r="J73" s="1" t="s">
        <v>32</v>
      </c>
      <c r="Q73" s="9"/>
      <c r="R73" s="4"/>
      <c r="S73" s="9"/>
      <c r="T73" s="5"/>
      <c r="U73" s="9"/>
      <c r="V73" s="4"/>
      <c r="W73" s="4"/>
      <c r="X73" s="9"/>
      <c r="Y73" s="9"/>
      <c r="Z73" s="9"/>
      <c r="AA73" s="9"/>
      <c r="AB73" s="9"/>
      <c r="AC73" s="9"/>
      <c r="AD73" s="9"/>
      <c r="AE73" s="9"/>
    </row>
    <row r="74" spans="2:36" x14ac:dyDescent="0.25">
      <c r="R74" s="4"/>
      <c r="S74" s="17"/>
      <c r="T74" s="17"/>
      <c r="U74" s="9"/>
      <c r="V74" s="4"/>
      <c r="W74" s="4"/>
      <c r="X74" s="9"/>
      <c r="Y74" s="41" t="s">
        <v>295</v>
      </c>
      <c r="Z74" s="9">
        <f>Z70</f>
        <v>3520</v>
      </c>
      <c r="AA74" s="9"/>
      <c r="AB74" s="9"/>
      <c r="AC74" s="9"/>
      <c r="AD74" s="9"/>
      <c r="AE74" s="9"/>
    </row>
    <row r="75" spans="2:36" x14ac:dyDescent="0.25">
      <c r="Q75" s="9"/>
      <c r="R75" s="4"/>
      <c r="S75" s="16"/>
      <c r="T75" s="16"/>
      <c r="U75" s="9"/>
      <c r="V75" s="4"/>
      <c r="W75" s="4"/>
      <c r="X75" s="9"/>
      <c r="Y75" s="41" t="s">
        <v>296</v>
      </c>
      <c r="Z75" s="9">
        <f>Z74*1.2</f>
        <v>4224</v>
      </c>
      <c r="AA75" s="9"/>
      <c r="AB75" s="9"/>
      <c r="AC75" s="9"/>
      <c r="AD75" s="9"/>
      <c r="AE75" s="9"/>
    </row>
    <row r="76" spans="2:36" x14ac:dyDescent="0.25">
      <c r="R76" s="4"/>
      <c r="S76" s="16"/>
      <c r="T76" s="16"/>
      <c r="Y76" s="41" t="s">
        <v>297</v>
      </c>
      <c r="Z76" s="9">
        <f>Z74*1.4</f>
        <v>4928</v>
      </c>
      <c r="AA76" s="9"/>
      <c r="AB76" s="9"/>
      <c r="AC76" s="9"/>
      <c r="AD76" s="9"/>
      <c r="AE76" s="9"/>
    </row>
    <row r="77" spans="2:36" x14ac:dyDescent="0.25">
      <c r="T77" s="5"/>
      <c r="Y77" s="41" t="s">
        <v>298</v>
      </c>
      <c r="Z77" s="9">
        <f>Z74*0.7</f>
        <v>2464</v>
      </c>
      <c r="AA77" s="9"/>
      <c r="AB77" s="9"/>
      <c r="AC77" s="9"/>
      <c r="AD77" s="9"/>
      <c r="AE77" s="9"/>
    </row>
    <row r="78" spans="2:36" x14ac:dyDescent="0.25">
      <c r="T78" s="5"/>
      <c r="Y78" s="9"/>
      <c r="Z78" s="9"/>
      <c r="AA78" s="9"/>
      <c r="AB78" s="9"/>
      <c r="AC78" s="9"/>
      <c r="AD78" s="9"/>
      <c r="AE78" s="9"/>
    </row>
    <row r="79" spans="2:36" x14ac:dyDescent="0.25">
      <c r="T79" s="5"/>
      <c r="Y79" s="9"/>
      <c r="Z79" s="9"/>
      <c r="AA79" s="9"/>
      <c r="AB79" s="9"/>
      <c r="AC79" s="9"/>
      <c r="AD79" s="9"/>
      <c r="AE79" s="9"/>
    </row>
    <row r="80" spans="2:36" x14ac:dyDescent="0.25">
      <c r="T80" s="5"/>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row>
    <row r="86" spans="20:31" x14ac:dyDescent="0.25">
      <c r="T86" s="5"/>
    </row>
    <row r="87" spans="20:31" x14ac:dyDescent="0.25">
      <c r="T87" s="5"/>
    </row>
    <row r="88" spans="20:31" x14ac:dyDescent="0.25">
      <c r="T88" s="5"/>
    </row>
    <row r="89" spans="20:31" x14ac:dyDescent="0.25">
      <c r="T89" s="5"/>
    </row>
  </sheetData>
  <autoFilter ref="B6:AE66" xr:uid="{65FA6D9B-E0AF-46CD-BA0D-86BB75FE6AB0}"/>
  <hyperlinks>
    <hyperlink ref="P53" r:id="rId1" xr:uid="{EAD2AF53-B8B7-4F45-B0AE-44397512BFE9}"/>
    <hyperlink ref="P52" r:id="rId2" xr:uid="{98877DE1-FE5A-466D-8741-B203CF82A439}"/>
    <hyperlink ref="P50" r:id="rId3" xr:uid="{4E849CDB-3AD0-4601-A393-8907DB8C91BE}"/>
    <hyperlink ref="P54" r:id="rId4" xr:uid="{0B98585E-2D13-4D25-A3BD-B7BC59978D04}"/>
    <hyperlink ref="P51" r:id="rId5" xr:uid="{EA4C14DE-3840-4FE9-AE82-80EA593F370C}"/>
    <hyperlink ref="P10" r:id="rId6" xr:uid="{27EE0AF0-5AFC-45FB-BA60-8E2AF915212C}"/>
  </hyperlinks>
  <pageMargins left="0.7" right="0.7" top="0.75" bottom="0.75" header="0.3" footer="0.3"/>
  <pageSetup paperSize="9"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5106-9478-442B-80E7-BFB3D6475E11}">
  <sheetPr filterMode="1">
    <tabColor rgb="FFFFFF00"/>
  </sheetPr>
  <dimension ref="B1:AK66"/>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126</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22" si="0">+Q7*R7</f>
        <v>0</v>
      </c>
      <c r="T7" s="5">
        <v>0</v>
      </c>
      <c r="U7" s="12">
        <f>S7*(1-T7)</f>
        <v>0</v>
      </c>
      <c r="V7" s="25" t="s">
        <v>10</v>
      </c>
      <c r="W7" s="11">
        <f>IFERROR(VLOOKUP(V7,Curr!$B$2:$C$13,2,FALSE),0)</f>
        <v>11</v>
      </c>
      <c r="X7" s="12">
        <f t="shared" ref="X7:X22" si="1">U7*W7</f>
        <v>0</v>
      </c>
      <c r="Y7" s="26">
        <f>Q7</f>
        <v>0</v>
      </c>
      <c r="Z7" s="12">
        <f t="shared" ref="Z7:Z41" si="2">+Y7*R7</f>
        <v>0</v>
      </c>
      <c r="AA7" s="4" t="s">
        <v>10</v>
      </c>
      <c r="AB7" s="11">
        <f>IFERROR(VLOOKUP(AA7,Curr!$B$2:$C$13,2,FALSE),0)</f>
        <v>11</v>
      </c>
      <c r="AC7" s="12">
        <f t="shared" ref="AC7:AC41" si="3">+Y7*AB7*R7</f>
        <v>0</v>
      </c>
      <c r="AD7" s="12">
        <f t="shared" ref="AD7:AD41" si="4">+AC7-X7</f>
        <v>0</v>
      </c>
      <c r="AE7" s="13">
        <f t="shared" ref="AE7:AE41"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22" si="6">S8*(1-T8)</f>
        <v>0</v>
      </c>
      <c r="V8" s="25" t="s">
        <v>10</v>
      </c>
      <c r="W8" s="11">
        <f>IFERROR(VLOOKUP(V8,Curr!$B$2:$C$13,2,FALSE),0)</f>
        <v>11</v>
      </c>
      <c r="X8" s="12">
        <f t="shared" si="1"/>
        <v>0</v>
      </c>
      <c r="Y8" s="26">
        <f t="shared" ref="Y8:Y22"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176</v>
      </c>
      <c r="K12" s="4"/>
      <c r="L12" s="4"/>
      <c r="M12" s="4"/>
      <c r="N12" s="4"/>
      <c r="O12" s="4"/>
      <c r="P12" s="33" t="s">
        <v>119</v>
      </c>
      <c r="Q12" s="25">
        <v>905</v>
      </c>
      <c r="R12" s="25">
        <v>2</v>
      </c>
      <c r="S12" s="12">
        <f t="shared" si="0"/>
        <v>1810</v>
      </c>
      <c r="T12" s="5">
        <v>0.2</v>
      </c>
      <c r="U12" s="12">
        <f t="shared" si="6"/>
        <v>1448</v>
      </c>
      <c r="V12" s="25" t="s">
        <v>10</v>
      </c>
      <c r="W12" s="11">
        <f>IFERROR(VLOOKUP(V12,Curr!$B$2:$C$13,2,FALSE),0)</f>
        <v>11</v>
      </c>
      <c r="X12" s="12">
        <f t="shared" si="1"/>
        <v>15928</v>
      </c>
      <c r="Y12" s="26">
        <f>Q12*0.95</f>
        <v>859.75</v>
      </c>
      <c r="Z12" s="12">
        <f t="shared" si="2"/>
        <v>1719.5</v>
      </c>
      <c r="AA12" s="4" t="s">
        <v>10</v>
      </c>
      <c r="AB12" s="11">
        <f>IFERROR(VLOOKUP(AA12,Curr!$B$2:$C$13,2,FALSE),0)</f>
        <v>11</v>
      </c>
      <c r="AC12" s="12">
        <f t="shared" si="3"/>
        <v>18914.5</v>
      </c>
      <c r="AD12" s="12">
        <f t="shared" si="4"/>
        <v>2986.5</v>
      </c>
      <c r="AE12" s="13">
        <f t="shared" si="5"/>
        <v>0.15789473684210525</v>
      </c>
    </row>
    <row r="13" spans="2:36" x14ac:dyDescent="0.25">
      <c r="B13" s="4"/>
      <c r="C13" s="1" t="s">
        <v>65</v>
      </c>
      <c r="D13" s="1" t="s">
        <v>120</v>
      </c>
      <c r="E13" s="1"/>
      <c r="F13" s="1"/>
      <c r="G13" s="24"/>
      <c r="H13" s="24"/>
      <c r="J13" s="1" t="s">
        <v>121</v>
      </c>
      <c r="K13" s="4"/>
      <c r="L13" s="4"/>
      <c r="M13" s="4"/>
      <c r="N13" s="4"/>
      <c r="O13" s="4"/>
      <c r="P13" s="29"/>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0"/>
        <v>0</v>
      </c>
      <c r="T14" s="5">
        <v>0</v>
      </c>
      <c r="U14" s="12">
        <f t="shared" si="6"/>
        <v>0</v>
      </c>
      <c r="V14" s="25" t="s">
        <v>10</v>
      </c>
      <c r="W14" s="11">
        <f>IFERROR(VLOOKUP(V14,Curr!$B$2:$C$13,2,FALSE),0)</f>
        <v>11</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122</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0"/>
        <v>0</v>
      </c>
      <c r="T16" s="5">
        <v>0</v>
      </c>
      <c r="U16" s="12">
        <f t="shared" si="6"/>
        <v>0</v>
      </c>
      <c r="V16" s="25" t="s">
        <v>10</v>
      </c>
      <c r="W16" s="11">
        <f>IFERROR(VLOOKUP(V16,Curr!$B$2:$C$13,2,FALSE),0)</f>
        <v>11</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123</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C18" s="1" t="s">
        <v>67</v>
      </c>
      <c r="D18" s="1" t="s">
        <v>59</v>
      </c>
      <c r="E18" s="1"/>
      <c r="F18" s="1"/>
      <c r="G18" s="24"/>
      <c r="H18" s="24"/>
      <c r="J18" s="1" t="s">
        <v>146</v>
      </c>
      <c r="K18" s="4"/>
      <c r="L18" s="4"/>
      <c r="M18" s="4"/>
      <c r="N18" s="4"/>
      <c r="O18" s="4"/>
      <c r="P18" s="27"/>
      <c r="Q18" s="25">
        <v>200</v>
      </c>
      <c r="R18" s="25">
        <v>1</v>
      </c>
      <c r="S18" s="12">
        <f t="shared" si="0"/>
        <v>200</v>
      </c>
      <c r="T18" s="5">
        <v>0</v>
      </c>
      <c r="U18" s="12">
        <f t="shared" si="6"/>
        <v>200</v>
      </c>
      <c r="V18" s="25" t="s">
        <v>10</v>
      </c>
      <c r="W18" s="11">
        <f>IFERROR(VLOOKUP(V18,Curr!$B$2:$C$13,2,FALSE),0)</f>
        <v>11</v>
      </c>
      <c r="X18" s="12">
        <f t="shared" si="1"/>
        <v>2200</v>
      </c>
      <c r="Y18" s="26">
        <f>Q18/0.85</f>
        <v>235.29411764705884</v>
      </c>
      <c r="Z18" s="12">
        <f t="shared" si="2"/>
        <v>235.29411764705884</v>
      </c>
      <c r="AA18" s="4" t="s">
        <v>10</v>
      </c>
      <c r="AB18" s="11">
        <f>IFERROR(VLOOKUP(AA18,Curr!$B$2:$C$13,2,FALSE),0)</f>
        <v>11</v>
      </c>
      <c r="AC18" s="12">
        <f t="shared" si="3"/>
        <v>2588.2352941176473</v>
      </c>
      <c r="AD18" s="12">
        <f t="shared" si="4"/>
        <v>388.2352941176473</v>
      </c>
      <c r="AE18" s="13">
        <f t="shared" si="5"/>
        <v>0.15000000000000008</v>
      </c>
    </row>
    <row r="19" spans="2:31" x14ac:dyDescent="0.25">
      <c r="B19" s="4"/>
      <c r="C19" s="1" t="s">
        <v>67</v>
      </c>
      <c r="D19" s="1" t="s">
        <v>60</v>
      </c>
      <c r="E19" s="3"/>
      <c r="F19" s="3"/>
      <c r="G19" s="24"/>
      <c r="H19" s="24"/>
      <c r="J19" s="1" t="s">
        <v>136</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C21" s="1" t="s">
        <v>77</v>
      </c>
      <c r="D21" s="1" t="s">
        <v>117</v>
      </c>
      <c r="E21" s="3"/>
      <c r="F21" s="3"/>
      <c r="G21" s="24"/>
      <c r="H21" s="24"/>
      <c r="J21" s="1" t="s">
        <v>133</v>
      </c>
      <c r="K21" s="4"/>
      <c r="L21" s="4"/>
      <c r="M21" s="4"/>
      <c r="N21" s="4"/>
      <c r="O21" s="4"/>
      <c r="P21" s="27"/>
      <c r="Q21" s="25">
        <v>0</v>
      </c>
      <c r="R21" s="25">
        <v>0</v>
      </c>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78</v>
      </c>
      <c r="E22" s="3"/>
      <c r="F22" s="3"/>
      <c r="G22" s="24"/>
      <c r="H22" s="24"/>
      <c r="J22" s="1" t="s">
        <v>81</v>
      </c>
      <c r="K22" s="4"/>
      <c r="L22" s="4"/>
      <c r="M22" s="4"/>
      <c r="N22" s="4"/>
      <c r="O22" s="4"/>
      <c r="P22" s="27"/>
      <c r="Q22" s="25">
        <v>0</v>
      </c>
      <c r="R22" s="25">
        <v>0</v>
      </c>
      <c r="S22" s="12">
        <f t="shared" si="0"/>
        <v>0</v>
      </c>
      <c r="T22" s="5">
        <v>0</v>
      </c>
      <c r="U22" s="12">
        <f t="shared" si="6"/>
        <v>0</v>
      </c>
      <c r="V22" s="25" t="s">
        <v>10</v>
      </c>
      <c r="W22" s="11">
        <f>IFERROR(VLOOKUP(V22,Curr!$B$2:$C$13,2,FALSE),0)</f>
        <v>11</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hidden="1" x14ac:dyDescent="0.25">
      <c r="B23" s="4"/>
      <c r="E23" s="3"/>
      <c r="F23" s="3"/>
      <c r="G23" s="24"/>
      <c r="H23" s="24"/>
      <c r="K23" s="4"/>
      <c r="L23" s="4"/>
      <c r="M23" s="4"/>
      <c r="N23" s="4"/>
      <c r="O23" s="4"/>
      <c r="P23" s="27"/>
      <c r="Q23" s="25"/>
      <c r="R23" s="25"/>
      <c r="S23" s="12">
        <f t="shared" ref="S23:S41" si="8">+Q23*R23</f>
        <v>0</v>
      </c>
      <c r="T23" s="5">
        <v>0</v>
      </c>
      <c r="U23" s="12">
        <f t="shared" ref="U23:U41" si="9">S23*(1-T23)</f>
        <v>0</v>
      </c>
      <c r="V23" s="25" t="s">
        <v>10</v>
      </c>
      <c r="W23" s="11">
        <f>IFERROR(VLOOKUP(V23,Curr!$B$2:$C$13,2,FALSE),0)</f>
        <v>11</v>
      </c>
      <c r="X23" s="12">
        <f t="shared" ref="X23:X41" si="10">U23*W23</f>
        <v>0</v>
      </c>
      <c r="Y23" s="26">
        <f t="shared" ref="Y23:Y41" si="11">Q23</f>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55</v>
      </c>
      <c r="D25" s="1" t="s">
        <v>127</v>
      </c>
      <c r="E25" s="3"/>
      <c r="F25" s="3"/>
      <c r="G25" s="24"/>
      <c r="H25" s="24"/>
      <c r="J25" s="1" t="s">
        <v>131</v>
      </c>
      <c r="K25" s="4"/>
      <c r="L25" s="4"/>
      <c r="M25" s="4"/>
      <c r="N25" s="4"/>
      <c r="O25" s="4"/>
      <c r="P25" s="27"/>
      <c r="Q25" s="25">
        <v>160</v>
      </c>
      <c r="R25" s="25">
        <v>0</v>
      </c>
      <c r="S25" s="12">
        <f t="shared" si="8"/>
        <v>0</v>
      </c>
      <c r="T25" s="5">
        <v>0.2</v>
      </c>
      <c r="U25" s="12">
        <f t="shared" si="9"/>
        <v>0</v>
      </c>
      <c r="V25" s="25" t="s">
        <v>10</v>
      </c>
      <c r="W25" s="11">
        <f>IFERROR(VLOOKUP(V25,Curr!$B$2:$C$13,2,FALSE),0)</f>
        <v>11</v>
      </c>
      <c r="X25" s="12">
        <f t="shared" si="10"/>
        <v>0</v>
      </c>
      <c r="Y25" s="26">
        <f t="shared" si="11"/>
        <v>160</v>
      </c>
      <c r="Z25" s="12">
        <f t="shared" si="2"/>
        <v>0</v>
      </c>
      <c r="AA25" s="4" t="s">
        <v>10</v>
      </c>
      <c r="AB25" s="11">
        <f>IFERROR(VLOOKUP(AA25,Curr!$B$2:$C$13,2,FALSE),0)</f>
        <v>11</v>
      </c>
      <c r="AC25" s="12">
        <f t="shared" si="3"/>
        <v>0</v>
      </c>
      <c r="AD25" s="12">
        <f t="shared" si="4"/>
        <v>0</v>
      </c>
      <c r="AE25" s="13">
        <f t="shared" si="5"/>
        <v>0</v>
      </c>
    </row>
    <row r="26" spans="2:31" x14ac:dyDescent="0.25">
      <c r="B26" s="4"/>
      <c r="C26" s="1" t="s">
        <v>55</v>
      </c>
      <c r="D26" s="1" t="s">
        <v>127</v>
      </c>
      <c r="E26" s="3"/>
      <c r="F26" s="3"/>
      <c r="G26" s="24"/>
      <c r="H26" s="24"/>
      <c r="J26" s="1" t="s">
        <v>132</v>
      </c>
      <c r="K26" s="4"/>
      <c r="L26" s="4"/>
      <c r="M26" s="4"/>
      <c r="N26" s="4"/>
      <c r="O26" s="4"/>
      <c r="P26" s="33"/>
      <c r="Q26" s="25">
        <v>39</v>
      </c>
      <c r="R26" s="25">
        <v>0</v>
      </c>
      <c r="S26" s="12">
        <f t="shared" si="8"/>
        <v>0</v>
      </c>
      <c r="T26" s="5">
        <v>0.2</v>
      </c>
      <c r="U26" s="12">
        <f t="shared" si="9"/>
        <v>0</v>
      </c>
      <c r="V26" s="25" t="s">
        <v>10</v>
      </c>
      <c r="W26" s="11">
        <f>IFERROR(VLOOKUP(V26,Curr!$B$2:$C$13,2,FALSE),0)</f>
        <v>11</v>
      </c>
      <c r="X26" s="12">
        <f t="shared" si="10"/>
        <v>0</v>
      </c>
      <c r="Y26" s="26">
        <f t="shared" si="11"/>
        <v>39</v>
      </c>
      <c r="Z26" s="12">
        <f t="shared" si="2"/>
        <v>0</v>
      </c>
      <c r="AA26" s="4" t="s">
        <v>10</v>
      </c>
      <c r="AB26" s="11">
        <f>IFERROR(VLOOKUP(AA26,Curr!$B$2:$C$13,2,FALSE),0)</f>
        <v>11</v>
      </c>
      <c r="AC26" s="12">
        <f t="shared" si="3"/>
        <v>0</v>
      </c>
      <c r="AD26" s="12">
        <f t="shared" si="4"/>
        <v>0</v>
      </c>
      <c r="AE26" s="13">
        <f t="shared" si="5"/>
        <v>0</v>
      </c>
    </row>
    <row r="27" spans="2:31" x14ac:dyDescent="0.25">
      <c r="B27" s="4"/>
      <c r="C27" s="1" t="s">
        <v>77</v>
      </c>
      <c r="D27" s="1" t="s">
        <v>127</v>
      </c>
      <c r="E27" s="3"/>
      <c r="F27" s="3"/>
      <c r="G27" s="24"/>
      <c r="H27" s="24"/>
      <c r="J27" s="1" t="s">
        <v>134</v>
      </c>
      <c r="K27" s="4"/>
      <c r="L27" s="4"/>
      <c r="M27" s="4"/>
      <c r="N27" s="4"/>
      <c r="O27" s="4"/>
      <c r="P27" s="27"/>
      <c r="Q27" s="25">
        <v>160</v>
      </c>
      <c r="R27" s="25">
        <v>0</v>
      </c>
      <c r="S27" s="12">
        <f t="shared" si="8"/>
        <v>0</v>
      </c>
      <c r="T27" s="5">
        <v>0.2</v>
      </c>
      <c r="U27" s="12">
        <f t="shared" si="9"/>
        <v>0</v>
      </c>
      <c r="V27" s="25" t="s">
        <v>10</v>
      </c>
      <c r="W27" s="11">
        <f>IFERROR(VLOOKUP(V27,Curr!$B$2:$C$13,2,FALSE),0)</f>
        <v>11</v>
      </c>
      <c r="X27" s="12">
        <f t="shared" si="10"/>
        <v>0</v>
      </c>
      <c r="Y27" s="26">
        <f t="shared" si="11"/>
        <v>160</v>
      </c>
      <c r="Z27" s="12">
        <f t="shared" si="2"/>
        <v>0</v>
      </c>
      <c r="AA27" s="4" t="s">
        <v>10</v>
      </c>
      <c r="AB27" s="11">
        <f>IFERROR(VLOOKUP(AA27,Curr!$B$2:$C$13,2,FALSE),0)</f>
        <v>11</v>
      </c>
      <c r="AC27" s="12">
        <f t="shared" si="3"/>
        <v>0</v>
      </c>
      <c r="AD27" s="12">
        <f t="shared" si="4"/>
        <v>0</v>
      </c>
      <c r="AE27" s="13">
        <f t="shared" si="5"/>
        <v>0</v>
      </c>
    </row>
    <row r="28" spans="2:31" x14ac:dyDescent="0.25">
      <c r="B28" s="4"/>
      <c r="C28" s="1" t="s">
        <v>77</v>
      </c>
      <c r="D28" s="1" t="s">
        <v>127</v>
      </c>
      <c r="E28" s="3"/>
      <c r="F28" s="3"/>
      <c r="G28" s="24"/>
      <c r="H28" s="24"/>
      <c r="J28" s="1" t="s">
        <v>135</v>
      </c>
      <c r="K28" s="4"/>
      <c r="L28" s="4"/>
      <c r="M28" s="4"/>
      <c r="N28" s="4"/>
      <c r="O28" s="4"/>
      <c r="P28" s="33"/>
      <c r="Q28" s="25">
        <v>39</v>
      </c>
      <c r="R28" s="25">
        <v>0</v>
      </c>
      <c r="S28" s="12">
        <f t="shared" si="8"/>
        <v>0</v>
      </c>
      <c r="T28" s="5">
        <v>0.2</v>
      </c>
      <c r="U28" s="12">
        <f t="shared" si="9"/>
        <v>0</v>
      </c>
      <c r="V28" s="25" t="s">
        <v>10</v>
      </c>
      <c r="W28" s="11">
        <f>IFERROR(VLOOKUP(V28,Curr!$B$2:$C$13,2,FALSE),0)</f>
        <v>11</v>
      </c>
      <c r="X28" s="12">
        <f t="shared" si="10"/>
        <v>0</v>
      </c>
      <c r="Y28" s="26">
        <f t="shared" si="11"/>
        <v>39</v>
      </c>
      <c r="Z28" s="12">
        <f t="shared" si="2"/>
        <v>0</v>
      </c>
      <c r="AA28" s="4" t="s">
        <v>10</v>
      </c>
      <c r="AB28" s="11">
        <f>IFERROR(VLOOKUP(AA28,Curr!$B$2:$C$13,2,FALSE),0)</f>
        <v>11</v>
      </c>
      <c r="AC28" s="12">
        <f t="shared" si="3"/>
        <v>0</v>
      </c>
      <c r="AD28" s="12">
        <f t="shared" si="4"/>
        <v>0</v>
      </c>
      <c r="AE28" s="13">
        <f t="shared" si="5"/>
        <v>0</v>
      </c>
    </row>
    <row r="29" spans="2:31" hidden="1" x14ac:dyDescent="0.25">
      <c r="B29" s="4"/>
      <c r="E29" s="3"/>
      <c r="F29" s="3"/>
      <c r="G29" s="24"/>
      <c r="H29" s="24"/>
      <c r="K29" s="4"/>
      <c r="L29" s="4"/>
      <c r="M29" s="4"/>
      <c r="N29" s="4"/>
      <c r="O29" s="4"/>
      <c r="P29" s="33"/>
      <c r="Q29" s="25"/>
      <c r="R29" s="25"/>
      <c r="S29" s="12">
        <f t="shared" ref="S29:S31" si="12">+Q29*R29</f>
        <v>0</v>
      </c>
      <c r="T29" s="5">
        <v>0</v>
      </c>
      <c r="U29" s="12">
        <f t="shared" ref="U29:U31" si="13">S29*(1-T29)</f>
        <v>0</v>
      </c>
      <c r="V29" s="25" t="s">
        <v>10</v>
      </c>
      <c r="W29" s="11">
        <f>IFERROR(VLOOKUP(V29,Curr!$B$2:$C$13,2,FALSE),0)</f>
        <v>11</v>
      </c>
      <c r="X29" s="12">
        <f t="shared" ref="X29:X31" si="14">U29*W29</f>
        <v>0</v>
      </c>
      <c r="Y29" s="26">
        <f t="shared" ref="Y29:Y31" si="15">Q29</f>
        <v>0</v>
      </c>
      <c r="Z29" s="12">
        <f t="shared" ref="Z29:Z30" si="16">+Y29*R29</f>
        <v>0</v>
      </c>
      <c r="AA29" s="4" t="s">
        <v>10</v>
      </c>
      <c r="AB29" s="11">
        <f>IFERROR(VLOOKUP(AA29,Curr!$B$2:$C$13,2,FALSE),0)</f>
        <v>11</v>
      </c>
      <c r="AC29" s="12">
        <f t="shared" ref="AC29:AC30" si="17">+Y29*AB29*R29</f>
        <v>0</v>
      </c>
      <c r="AD29" s="12">
        <f t="shared" ref="AD29:AD30" si="18">+AC29-X29</f>
        <v>0</v>
      </c>
      <c r="AE29" s="13">
        <f t="shared" ref="AE29:AE30" si="19">IFERROR(AD29/AC29,0)</f>
        <v>0</v>
      </c>
    </row>
    <row r="30" spans="2:31" hidden="1" x14ac:dyDescent="0.25">
      <c r="B30" s="4"/>
      <c r="E30" s="3"/>
      <c r="F30" s="3"/>
      <c r="G30" s="24"/>
      <c r="H30" s="24"/>
      <c r="K30" s="4"/>
      <c r="L30" s="4"/>
      <c r="M30" s="4"/>
      <c r="N30" s="4"/>
      <c r="O30" s="4"/>
      <c r="P30" s="33"/>
      <c r="Q30" s="25"/>
      <c r="R30" s="25"/>
      <c r="S30" s="12">
        <f t="shared" si="12"/>
        <v>0</v>
      </c>
      <c r="T30" s="5">
        <v>0</v>
      </c>
      <c r="U30" s="12">
        <f t="shared" si="13"/>
        <v>0</v>
      </c>
      <c r="V30" s="25" t="s">
        <v>10</v>
      </c>
      <c r="W30" s="11">
        <f>IFERROR(VLOOKUP(V30,Curr!$B$2:$C$13,2,FALSE),0)</f>
        <v>11</v>
      </c>
      <c r="X30" s="12">
        <f t="shared" si="14"/>
        <v>0</v>
      </c>
      <c r="Y30" s="26">
        <f t="shared" si="15"/>
        <v>0</v>
      </c>
      <c r="Z30" s="12">
        <f t="shared" si="16"/>
        <v>0</v>
      </c>
      <c r="AA30" s="4" t="s">
        <v>10</v>
      </c>
      <c r="AB30" s="11">
        <f>IFERROR(VLOOKUP(AA30,Curr!$B$2:$C$13,2,FALSE),0)</f>
        <v>11</v>
      </c>
      <c r="AC30" s="12">
        <f t="shared" si="17"/>
        <v>0</v>
      </c>
      <c r="AD30" s="12">
        <f t="shared" si="18"/>
        <v>0</v>
      </c>
      <c r="AE30" s="13">
        <f t="shared" si="19"/>
        <v>0</v>
      </c>
    </row>
    <row r="31" spans="2:31" x14ac:dyDescent="0.25">
      <c r="B31" s="4"/>
      <c r="C31" s="1" t="s">
        <v>55</v>
      </c>
      <c r="D31" s="1" t="s">
        <v>83</v>
      </c>
      <c r="E31" s="3"/>
      <c r="F31" s="3"/>
      <c r="G31" s="24"/>
      <c r="H31" s="24"/>
      <c r="J31" s="1" t="s">
        <v>184</v>
      </c>
      <c r="K31" s="4"/>
      <c r="L31" s="4"/>
      <c r="M31" s="4"/>
      <c r="N31" s="4"/>
      <c r="O31" s="4"/>
      <c r="P31" s="33" t="s">
        <v>243</v>
      </c>
      <c r="Q31" s="25">
        <v>37</v>
      </c>
      <c r="R31" s="25">
        <v>0</v>
      </c>
      <c r="S31" s="12">
        <f t="shared" si="12"/>
        <v>0</v>
      </c>
      <c r="T31" s="5">
        <v>0.2</v>
      </c>
      <c r="U31" s="12">
        <f t="shared" si="13"/>
        <v>0</v>
      </c>
      <c r="V31" s="25" t="s">
        <v>10</v>
      </c>
      <c r="W31" s="11">
        <f>IFERROR(VLOOKUP(V31,Curr!$B$2:$C$13,2,FALSE),0)</f>
        <v>11</v>
      </c>
      <c r="X31" s="12">
        <f t="shared" si="14"/>
        <v>0</v>
      </c>
      <c r="Y31" s="26">
        <f t="shared" si="15"/>
        <v>37</v>
      </c>
      <c r="Z31" s="12">
        <f t="shared" ref="Z31" si="20">+Y31*R31</f>
        <v>0</v>
      </c>
      <c r="AA31" s="4" t="s">
        <v>10</v>
      </c>
      <c r="AB31" s="11">
        <f>IFERROR(VLOOKUP(AA31,Curr!$B$2:$C$13,2,FALSE),0)</f>
        <v>11</v>
      </c>
      <c r="AC31" s="12">
        <f t="shared" ref="AC31" si="21">+Y31*AB31*R31</f>
        <v>0</v>
      </c>
      <c r="AD31" s="12">
        <f t="shared" ref="AD31" si="22">+AC31-X31</f>
        <v>0</v>
      </c>
      <c r="AE31" s="13">
        <f t="shared" ref="AE31" si="23">IFERROR(AD31/AC31,0)</f>
        <v>0</v>
      </c>
    </row>
    <row r="32" spans="2:31" x14ac:dyDescent="0.25">
      <c r="B32" s="4"/>
      <c r="C32" s="1" t="s">
        <v>66</v>
      </c>
      <c r="D32" s="1" t="s">
        <v>83</v>
      </c>
      <c r="J32" s="1" t="s">
        <v>129</v>
      </c>
      <c r="K32" s="4"/>
      <c r="L32" s="4"/>
      <c r="M32" s="4"/>
      <c r="N32" s="4"/>
      <c r="O32" s="4"/>
      <c r="P32" s="29"/>
      <c r="Q32" s="25">
        <v>50</v>
      </c>
      <c r="R32" s="25">
        <v>0</v>
      </c>
      <c r="S32" s="12">
        <f t="shared" si="8"/>
        <v>0</v>
      </c>
      <c r="T32" s="5">
        <v>0</v>
      </c>
      <c r="U32" s="12">
        <f t="shared" si="9"/>
        <v>0</v>
      </c>
      <c r="V32" s="25" t="s">
        <v>10</v>
      </c>
      <c r="W32" s="11">
        <f>IFERROR(VLOOKUP(V32,Curr!$B$2:$C$13,2,FALSE),0)</f>
        <v>11</v>
      </c>
      <c r="X32" s="12">
        <f t="shared" si="10"/>
        <v>0</v>
      </c>
      <c r="Y32" s="26">
        <f>Q32/0.8</f>
        <v>62.5</v>
      </c>
      <c r="Z32" s="12">
        <f t="shared" si="2"/>
        <v>0</v>
      </c>
      <c r="AA32" s="4" t="s">
        <v>10</v>
      </c>
      <c r="AB32" s="11">
        <f>IFERROR(VLOOKUP(AA32,Curr!$B$2:$C$13,2,FALSE),0)</f>
        <v>11</v>
      </c>
      <c r="AC32" s="12">
        <f t="shared" si="3"/>
        <v>0</v>
      </c>
      <c r="AD32" s="12">
        <f t="shared" si="4"/>
        <v>0</v>
      </c>
      <c r="AE32" s="13">
        <f t="shared" si="5"/>
        <v>0</v>
      </c>
    </row>
    <row r="33" spans="2:36" x14ac:dyDescent="0.25">
      <c r="B33" s="4"/>
      <c r="C33" s="1" t="s">
        <v>77</v>
      </c>
      <c r="D33" s="1" t="s">
        <v>83</v>
      </c>
      <c r="E33" s="3"/>
      <c r="F33" s="3"/>
      <c r="G33" s="24"/>
      <c r="H33" s="24"/>
      <c r="J33" s="1" t="s">
        <v>137</v>
      </c>
      <c r="K33" s="4"/>
      <c r="L33" s="4"/>
      <c r="M33" s="4"/>
      <c r="N33" s="4"/>
      <c r="O33" s="4"/>
      <c r="P33" s="33" t="s">
        <v>182</v>
      </c>
      <c r="Q33" s="25">
        <v>163</v>
      </c>
      <c r="R33" s="25">
        <v>0</v>
      </c>
      <c r="S33" s="12">
        <f t="shared" si="8"/>
        <v>0</v>
      </c>
      <c r="T33" s="5">
        <v>0.2</v>
      </c>
      <c r="U33" s="12">
        <f t="shared" si="9"/>
        <v>0</v>
      </c>
      <c r="V33" s="25" t="s">
        <v>10</v>
      </c>
      <c r="W33" s="11">
        <f>IFERROR(VLOOKUP(V33,Curr!$B$2:$C$13,2,FALSE),0)</f>
        <v>11</v>
      </c>
      <c r="X33" s="12">
        <f t="shared" si="10"/>
        <v>0</v>
      </c>
      <c r="Y33" s="26">
        <f t="shared" si="11"/>
        <v>163</v>
      </c>
      <c r="Z33" s="12">
        <f t="shared" si="2"/>
        <v>0</v>
      </c>
      <c r="AA33" s="4" t="s">
        <v>10</v>
      </c>
      <c r="AB33" s="11">
        <f>IFERROR(VLOOKUP(AA33,Curr!$B$2:$C$13,2,FALSE),0)</f>
        <v>11</v>
      </c>
      <c r="AC33" s="12">
        <f t="shared" si="3"/>
        <v>0</v>
      </c>
      <c r="AD33" s="12">
        <f t="shared" si="4"/>
        <v>0</v>
      </c>
      <c r="AE33" s="13">
        <f t="shared" si="5"/>
        <v>0</v>
      </c>
    </row>
    <row r="34" spans="2:36" hidden="1" x14ac:dyDescent="0.25">
      <c r="B34" s="4"/>
      <c r="E34" s="3"/>
      <c r="F34" s="3"/>
      <c r="G34" s="24"/>
      <c r="H34" s="24"/>
      <c r="K34" s="4"/>
      <c r="L34" s="4"/>
      <c r="M34" s="4"/>
      <c r="N34" s="4"/>
      <c r="O34" s="4"/>
      <c r="P34" s="33"/>
      <c r="Q34" s="25"/>
      <c r="R34" s="25"/>
      <c r="S34" s="12">
        <f t="shared" ref="S34" si="24">+Q34*R34</f>
        <v>0</v>
      </c>
      <c r="T34" s="5">
        <v>0</v>
      </c>
      <c r="U34" s="12">
        <f t="shared" ref="U34" si="25">S34*(1-T34)</f>
        <v>0</v>
      </c>
      <c r="V34" s="25" t="s">
        <v>10</v>
      </c>
      <c r="W34" s="11">
        <f>IFERROR(VLOOKUP(V34,Curr!$B$2:$C$13,2,FALSE),0)</f>
        <v>11</v>
      </c>
      <c r="X34" s="12">
        <f t="shared" ref="X34" si="26">U34*W34</f>
        <v>0</v>
      </c>
      <c r="Y34" s="26">
        <f t="shared" ref="Y34" si="27">Q34</f>
        <v>0</v>
      </c>
      <c r="Z34" s="12">
        <f t="shared" ref="Z34" si="28">+Y34*R34</f>
        <v>0</v>
      </c>
      <c r="AA34" s="4" t="s">
        <v>10</v>
      </c>
      <c r="AB34" s="11">
        <f>IFERROR(VLOOKUP(AA34,Curr!$B$2:$C$13,2,FALSE),0)</f>
        <v>11</v>
      </c>
      <c r="AC34" s="12">
        <f t="shared" ref="AC34" si="29">+Y34*AB34*R34</f>
        <v>0</v>
      </c>
      <c r="AD34" s="12">
        <f t="shared" ref="AD34" si="30">+AC34-X34</f>
        <v>0</v>
      </c>
      <c r="AE34" s="13">
        <f t="shared" ref="AE34" si="31">IFERROR(AD34/AC34,0)</f>
        <v>0</v>
      </c>
    </row>
    <row r="35" spans="2:36" hidden="1"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2"/>
        <v>0</v>
      </c>
      <c r="AA35" s="4" t="s">
        <v>10</v>
      </c>
      <c r="AB35" s="11">
        <f>IFERROR(VLOOKUP(AA35,Curr!$B$2:$C$13,2,FALSE),0)</f>
        <v>11</v>
      </c>
      <c r="AC35" s="12">
        <f t="shared" si="3"/>
        <v>0</v>
      </c>
      <c r="AD35" s="12">
        <f t="shared" si="4"/>
        <v>0</v>
      </c>
      <c r="AE35" s="13">
        <f t="shared" si="5"/>
        <v>0</v>
      </c>
    </row>
    <row r="36" spans="2:36" x14ac:dyDescent="0.25">
      <c r="B36" s="4"/>
      <c r="C36" s="1" t="s">
        <v>65</v>
      </c>
      <c r="D36" s="1" t="s">
        <v>128</v>
      </c>
      <c r="E36" s="3"/>
      <c r="F36" s="3"/>
      <c r="G36" s="24"/>
      <c r="H36" s="24"/>
      <c r="J36" s="1" t="s">
        <v>191</v>
      </c>
      <c r="K36" s="4"/>
      <c r="L36" s="4"/>
      <c r="M36" s="4"/>
      <c r="N36" s="4"/>
      <c r="O36" s="4"/>
      <c r="P36" s="27"/>
      <c r="Q36" s="25">
        <v>153</v>
      </c>
      <c r="R36" s="25">
        <v>0</v>
      </c>
      <c r="S36" s="12">
        <f t="shared" ref="S36" si="32">+Q36*R36</f>
        <v>0</v>
      </c>
      <c r="T36" s="5">
        <v>0</v>
      </c>
      <c r="U36" s="12">
        <f t="shared" ref="U36" si="33">S36*(1-T36)</f>
        <v>0</v>
      </c>
      <c r="V36" s="25" t="s">
        <v>10</v>
      </c>
      <c r="W36" s="11">
        <f>IFERROR(VLOOKUP(V36,Curr!$B$2:$C$13,2,FALSE),0)</f>
        <v>11</v>
      </c>
      <c r="X36" s="12">
        <f t="shared" ref="X36" si="34">U36*W36</f>
        <v>0</v>
      </c>
      <c r="Y36" s="26">
        <f>Q36/0.8</f>
        <v>191.25</v>
      </c>
      <c r="Z36" s="12">
        <f t="shared" si="2"/>
        <v>0</v>
      </c>
      <c r="AA36" s="4" t="s">
        <v>10</v>
      </c>
      <c r="AB36" s="11">
        <f>IFERROR(VLOOKUP(AA36,Curr!$B$2:$C$13,2,FALSE),0)</f>
        <v>11</v>
      </c>
      <c r="AC36" s="12">
        <f t="shared" si="3"/>
        <v>0</v>
      </c>
      <c r="AD36" s="12">
        <f t="shared" si="4"/>
        <v>0</v>
      </c>
      <c r="AE36" s="13">
        <f t="shared" si="5"/>
        <v>0</v>
      </c>
    </row>
    <row r="37" spans="2:36" hidden="1" x14ac:dyDescent="0.25">
      <c r="B37" s="4"/>
      <c r="E37" s="3"/>
      <c r="F37" s="3"/>
      <c r="G37" s="24"/>
      <c r="H37" s="24"/>
      <c r="K37" s="4"/>
      <c r="L37" s="4"/>
      <c r="M37" s="4"/>
      <c r="N37" s="4"/>
      <c r="O37" s="4"/>
      <c r="P37" s="27"/>
      <c r="Q37" s="25"/>
      <c r="R37" s="25"/>
      <c r="S37" s="12">
        <f t="shared" si="8"/>
        <v>0</v>
      </c>
      <c r="T37" s="5">
        <v>0</v>
      </c>
      <c r="U37" s="12">
        <f t="shared" si="9"/>
        <v>0</v>
      </c>
      <c r="V37" s="25" t="s">
        <v>10</v>
      </c>
      <c r="W37" s="11">
        <f>IFERROR(VLOOKUP(V37,Curr!$B$2:$C$13,2,FALSE),0)</f>
        <v>11</v>
      </c>
      <c r="X37" s="12">
        <f t="shared" si="10"/>
        <v>0</v>
      </c>
      <c r="Y37" s="26">
        <f t="shared" si="11"/>
        <v>0</v>
      </c>
      <c r="Z37" s="12">
        <f t="shared" si="2"/>
        <v>0</v>
      </c>
      <c r="AA37" s="4" t="s">
        <v>10</v>
      </c>
      <c r="AB37" s="11">
        <f>IFERROR(VLOOKUP(AA37,Curr!$B$2:$C$13,2,FALSE),0)</f>
        <v>11</v>
      </c>
      <c r="AC37" s="12">
        <f t="shared" si="3"/>
        <v>0</v>
      </c>
      <c r="AD37" s="12">
        <f t="shared" si="4"/>
        <v>0</v>
      </c>
      <c r="AE37" s="13">
        <f t="shared" si="5"/>
        <v>0</v>
      </c>
    </row>
    <row r="38" spans="2:36" hidden="1" x14ac:dyDescent="0.25">
      <c r="B38" s="4"/>
      <c r="E38" s="3"/>
      <c r="F38" s="3"/>
      <c r="G38" s="24"/>
      <c r="H38" s="24"/>
      <c r="K38" s="4"/>
      <c r="L38" s="4"/>
      <c r="M38" s="4"/>
      <c r="N38" s="4"/>
      <c r="O38" s="4"/>
      <c r="P38" s="33"/>
      <c r="Q38" s="25"/>
      <c r="R38" s="25"/>
      <c r="S38" s="12">
        <f t="shared" si="8"/>
        <v>0</v>
      </c>
      <c r="T38" s="5">
        <v>0</v>
      </c>
      <c r="U38" s="12">
        <f t="shared" si="9"/>
        <v>0</v>
      </c>
      <c r="V38" s="25" t="s">
        <v>10</v>
      </c>
      <c r="W38" s="11">
        <f>IFERROR(VLOOKUP(V38,Curr!$B$2:$C$13,2,FALSE),0)</f>
        <v>11</v>
      </c>
      <c r="X38" s="12">
        <f t="shared" si="10"/>
        <v>0</v>
      </c>
      <c r="Y38" s="26">
        <f t="shared" si="11"/>
        <v>0</v>
      </c>
      <c r="Z38" s="12">
        <f t="shared" si="2"/>
        <v>0</v>
      </c>
      <c r="AA38" s="4" t="s">
        <v>10</v>
      </c>
      <c r="AB38" s="11">
        <f>IFERROR(VLOOKUP(AA38,Curr!$B$2:$C$13,2,FALSE),0)</f>
        <v>11</v>
      </c>
      <c r="AC38" s="12">
        <f t="shared" si="3"/>
        <v>0</v>
      </c>
      <c r="AD38" s="12">
        <f t="shared" si="4"/>
        <v>0</v>
      </c>
      <c r="AE38" s="13">
        <f t="shared" si="5"/>
        <v>0</v>
      </c>
    </row>
    <row r="39" spans="2:36" x14ac:dyDescent="0.25">
      <c r="B39" s="4"/>
      <c r="C39" s="1" t="s">
        <v>77</v>
      </c>
      <c r="D39" s="1" t="s">
        <v>138</v>
      </c>
      <c r="E39" s="3"/>
      <c r="F39" s="3"/>
      <c r="G39" s="24"/>
      <c r="H39" s="24"/>
      <c r="J39" s="1" t="s">
        <v>139</v>
      </c>
      <c r="K39" s="4"/>
      <c r="L39" s="4"/>
      <c r="M39" s="4"/>
      <c r="N39" s="4"/>
      <c r="O39" s="4"/>
      <c r="P39" s="27"/>
      <c r="Q39" s="25">
        <v>225</v>
      </c>
      <c r="R39" s="25">
        <v>0</v>
      </c>
      <c r="S39" s="12">
        <f t="shared" si="8"/>
        <v>0</v>
      </c>
      <c r="T39" s="5">
        <v>0</v>
      </c>
      <c r="U39" s="12">
        <f t="shared" si="9"/>
        <v>0</v>
      </c>
      <c r="V39" s="25" t="s">
        <v>10</v>
      </c>
      <c r="W39" s="11">
        <f>IFERROR(VLOOKUP(V39,Curr!$B$2:$C$13,2,FALSE),0)</f>
        <v>11</v>
      </c>
      <c r="X39" s="12">
        <f t="shared" si="10"/>
        <v>0</v>
      </c>
      <c r="Y39" s="26">
        <f>Q39/0.85</f>
        <v>264.70588235294116</v>
      </c>
      <c r="Z39" s="12">
        <f t="shared" si="2"/>
        <v>0</v>
      </c>
      <c r="AA39" s="4" t="s">
        <v>10</v>
      </c>
      <c r="AB39" s="11">
        <f>IFERROR(VLOOKUP(AA39,Curr!$B$2:$C$13,2,FALSE),0)</f>
        <v>11</v>
      </c>
      <c r="AC39" s="12">
        <f t="shared" si="3"/>
        <v>0</v>
      </c>
      <c r="AD39" s="12">
        <f t="shared" si="4"/>
        <v>0</v>
      </c>
      <c r="AE39" s="13">
        <f t="shared" si="5"/>
        <v>0</v>
      </c>
    </row>
    <row r="40" spans="2:36" hidden="1"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6" hidden="1" x14ac:dyDescent="0.25">
      <c r="B41" s="4"/>
      <c r="E41" s="3"/>
      <c r="F41" s="3"/>
      <c r="G41" s="24"/>
      <c r="H41" s="24"/>
      <c r="K41" s="4"/>
      <c r="L41" s="4"/>
      <c r="M41" s="4"/>
      <c r="N41" s="4"/>
      <c r="O41" s="4"/>
      <c r="P41" s="33"/>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6" hidden="1" x14ac:dyDescent="0.25">
      <c r="B42" s="4"/>
      <c r="E42" s="3"/>
      <c r="F42" s="3"/>
      <c r="G42" s="3"/>
      <c r="H42" s="3"/>
      <c r="L42" s="4"/>
      <c r="M42" s="4"/>
      <c r="N42" s="4"/>
      <c r="O42" s="4"/>
      <c r="P42" s="22"/>
      <c r="Q42" s="4"/>
      <c r="R42" s="4"/>
      <c r="S42" s="4"/>
      <c r="T42" s="4"/>
      <c r="U42" s="4"/>
      <c r="V42" s="4"/>
      <c r="W42" s="4"/>
      <c r="X42" s="4"/>
      <c r="Y42" s="4"/>
      <c r="Z42" s="4"/>
      <c r="AA42" s="4"/>
      <c r="AB42" s="4"/>
      <c r="AC42" s="4"/>
      <c r="AD42" s="4"/>
      <c r="AE42" s="4"/>
      <c r="AF42" s="4"/>
    </row>
    <row r="43" spans="2:36" x14ac:dyDescent="0.25">
      <c r="B43" s="14" t="s">
        <v>18</v>
      </c>
      <c r="C43" s="14"/>
      <c r="D43" s="28" t="s">
        <v>42</v>
      </c>
      <c r="E43" s="30" t="s">
        <v>42</v>
      </c>
      <c r="F43" s="30" t="s">
        <v>42</v>
      </c>
      <c r="G43" s="30" t="s">
        <v>42</v>
      </c>
      <c r="H43" s="30" t="s">
        <v>42</v>
      </c>
      <c r="I43" s="28" t="s">
        <v>42</v>
      </c>
      <c r="J43" s="28" t="s">
        <v>42</v>
      </c>
      <c r="K43" s="28" t="s">
        <v>42</v>
      </c>
      <c r="L43" s="28" t="s">
        <v>42</v>
      </c>
      <c r="M43" s="28" t="s">
        <v>42</v>
      </c>
      <c r="N43" s="28" t="s">
        <v>42</v>
      </c>
      <c r="O43" s="28" t="s">
        <v>42</v>
      </c>
      <c r="P43" s="28" t="s">
        <v>42</v>
      </c>
      <c r="Q43" s="31" t="s">
        <v>42</v>
      </c>
      <c r="R43" s="28" t="s">
        <v>42</v>
      </c>
      <c r="S43" s="32" t="s">
        <v>42</v>
      </c>
      <c r="T43" s="28" t="s">
        <v>42</v>
      </c>
      <c r="U43" s="32" t="s">
        <v>42</v>
      </c>
      <c r="V43" s="28" t="s">
        <v>42</v>
      </c>
      <c r="W43" s="28" t="s">
        <v>42</v>
      </c>
      <c r="X43" s="32" t="s">
        <v>42</v>
      </c>
      <c r="Y43" s="32" t="s">
        <v>42</v>
      </c>
      <c r="Z43" s="15">
        <f>SUM(Z7:Z41)</f>
        <v>2190.0882352941176</v>
      </c>
      <c r="AA43" s="14"/>
      <c r="AB43" s="14"/>
      <c r="AC43" s="15">
        <f>SUM(AC7:AC41)</f>
        <v>24090.970588235294</v>
      </c>
      <c r="AD43" s="15">
        <f>SUM(AD7:AD41)</f>
        <v>3762.9705882352946</v>
      </c>
      <c r="AE43" s="21">
        <f t="shared" ref="AE43" si="35">IFERROR(AD43/AC43,0)</f>
        <v>0.15619838040369044</v>
      </c>
      <c r="AF43" s="15">
        <f>SUM(AF8:AF42)</f>
        <v>0</v>
      </c>
      <c r="AG43" s="15">
        <f>SUM(AG8:AG42)</f>
        <v>0</v>
      </c>
      <c r="AH43" s="15">
        <f>SUM(AH8:AH42)</f>
        <v>0</v>
      </c>
      <c r="AI43" s="15">
        <f>SUM(AI8:AI42)</f>
        <v>0</v>
      </c>
      <c r="AJ43" s="15">
        <f>SUM(AJ8:AJ42)</f>
        <v>0</v>
      </c>
    </row>
    <row r="44" spans="2:36" x14ac:dyDescent="0.25">
      <c r="B44" s="4"/>
      <c r="E44" s="3"/>
      <c r="F44" s="3"/>
      <c r="G44" s="3"/>
      <c r="H44" s="3"/>
      <c r="L44" s="4"/>
      <c r="M44" s="4"/>
      <c r="N44" s="4"/>
      <c r="O44" s="4"/>
      <c r="Q44" s="4"/>
      <c r="R44" s="4"/>
      <c r="S44" s="4"/>
      <c r="T44" s="4"/>
      <c r="U44" s="4"/>
      <c r="V44" s="4"/>
      <c r="W44" s="4"/>
      <c r="X44" s="4"/>
      <c r="Y44" s="9"/>
      <c r="Z44" s="9"/>
      <c r="AA44" s="9"/>
      <c r="AB44" s="9"/>
      <c r="AC44" s="9"/>
      <c r="AD44" s="9"/>
      <c r="AE44" s="9"/>
    </row>
    <row r="45" spans="2:36" x14ac:dyDescent="0.25">
      <c r="B45" s="4"/>
      <c r="E45" s="3"/>
      <c r="F45" s="3"/>
      <c r="G45" s="3"/>
      <c r="H45" s="3"/>
      <c r="L45" s="4"/>
      <c r="M45" s="4"/>
      <c r="N45" s="4"/>
      <c r="O45" s="4"/>
      <c r="Q45" s="9"/>
      <c r="R45" s="9"/>
      <c r="S45" s="9"/>
      <c r="T45" s="9"/>
      <c r="U45" s="9"/>
      <c r="V45" s="9"/>
      <c r="W45" s="9"/>
      <c r="X45" s="23"/>
      <c r="Y45" s="34" t="s">
        <v>234</v>
      </c>
      <c r="Z45" s="34">
        <f>Z12</f>
        <v>1719.5</v>
      </c>
      <c r="AA45" s="9"/>
      <c r="AB45" s="9"/>
      <c r="AC45" s="9"/>
      <c r="AD45" s="9"/>
      <c r="AE45" s="9"/>
    </row>
    <row r="46" spans="2:36" x14ac:dyDescent="0.25">
      <c r="B46" s="4"/>
      <c r="E46" s="3"/>
      <c r="F46" s="3"/>
      <c r="G46" s="3"/>
      <c r="H46" s="3"/>
      <c r="L46" s="4"/>
      <c r="M46" s="4"/>
      <c r="N46" s="4"/>
      <c r="O46" s="4"/>
      <c r="Q46" s="9"/>
      <c r="R46" s="9"/>
      <c r="S46" s="9"/>
      <c r="T46" s="9"/>
      <c r="U46" s="9"/>
      <c r="V46" s="9"/>
      <c r="W46" s="9"/>
      <c r="X46" s="9"/>
      <c r="Y46" s="35" t="s">
        <v>235</v>
      </c>
      <c r="Z46" s="34">
        <f>Z9+Z18</f>
        <v>470.58823529411768</v>
      </c>
      <c r="AA46" s="9"/>
      <c r="AB46" s="9"/>
      <c r="AC46" s="9"/>
      <c r="AD46" s="9"/>
      <c r="AE46" s="9"/>
      <c r="AF46" s="18"/>
    </row>
    <row r="47" spans="2:36" x14ac:dyDescent="0.25">
      <c r="B47" s="4"/>
      <c r="E47" s="3"/>
      <c r="F47" s="3"/>
      <c r="G47" s="3"/>
      <c r="H47" s="3"/>
      <c r="I47" s="19"/>
      <c r="L47" s="4"/>
      <c r="M47" s="4"/>
      <c r="N47" s="4"/>
      <c r="O47" s="20"/>
      <c r="Q47" s="20"/>
      <c r="R47" s="20"/>
      <c r="S47" s="20"/>
      <c r="T47" s="20"/>
      <c r="U47" s="20"/>
      <c r="V47" s="20"/>
      <c r="W47" s="20"/>
      <c r="X47" s="20"/>
      <c r="Y47" s="34" t="s">
        <v>236</v>
      </c>
      <c r="Z47" s="34">
        <v>2160</v>
      </c>
      <c r="AA47" s="9"/>
      <c r="AB47" s="9"/>
      <c r="AC47" s="9"/>
      <c r="AD47" s="9"/>
      <c r="AE47" s="9"/>
      <c r="AF47" s="18"/>
    </row>
    <row r="48" spans="2:36" x14ac:dyDescent="0.25">
      <c r="B48" s="4"/>
      <c r="E48" s="3"/>
      <c r="F48" s="3"/>
      <c r="G48" s="3"/>
      <c r="H48" s="3"/>
      <c r="L48" s="4"/>
      <c r="M48" s="4"/>
      <c r="N48" s="4"/>
      <c r="O48" s="20"/>
      <c r="Q48" s="20"/>
      <c r="R48" s="20"/>
      <c r="S48" s="20"/>
      <c r="T48" s="20"/>
      <c r="U48" s="20"/>
      <c r="V48" s="20"/>
      <c r="W48" s="20"/>
      <c r="X48" s="20"/>
      <c r="Y48" s="34" t="s">
        <v>45</v>
      </c>
      <c r="Z48" s="34">
        <f>Z47/2</f>
        <v>1080</v>
      </c>
      <c r="AA48" s="9"/>
      <c r="AB48" s="9"/>
      <c r="AC48" s="9"/>
      <c r="AD48" s="9"/>
      <c r="AE48" s="9"/>
      <c r="AF48" s="18"/>
    </row>
    <row r="49" spans="2:32" x14ac:dyDescent="0.25">
      <c r="B49" s="4"/>
      <c r="E49" s="3"/>
      <c r="F49" s="3"/>
      <c r="G49" s="3"/>
      <c r="H49" s="3"/>
      <c r="L49" s="4"/>
      <c r="M49" s="4"/>
      <c r="N49" s="4"/>
      <c r="O49" s="4"/>
      <c r="Q49" s="9"/>
      <c r="R49" s="9"/>
      <c r="S49" s="9"/>
      <c r="T49" s="9"/>
      <c r="U49" s="9"/>
      <c r="V49" s="9"/>
      <c r="W49" s="9"/>
      <c r="X49" s="9"/>
      <c r="Y49" s="1"/>
      <c r="Z49" s="1"/>
      <c r="AA49" s="9"/>
      <c r="AB49" s="9"/>
      <c r="AC49" s="9"/>
      <c r="AD49" s="9"/>
      <c r="AE49" s="9"/>
      <c r="AF49" s="18"/>
    </row>
    <row r="50" spans="2:32" x14ac:dyDescent="0.25">
      <c r="F50" s="1"/>
      <c r="G50" s="1"/>
      <c r="H50" s="1"/>
      <c r="J50" s="1" t="s">
        <v>32</v>
      </c>
      <c r="Q50" s="9"/>
      <c r="R50" s="4"/>
      <c r="S50" s="9"/>
      <c r="T50" s="5"/>
      <c r="U50" s="9"/>
      <c r="V50" s="4"/>
      <c r="W50" s="4"/>
      <c r="X50" s="9"/>
      <c r="Y50" s="9" t="s">
        <v>46</v>
      </c>
      <c r="Z50" s="9">
        <f>Z47-Z51</f>
        <v>2160</v>
      </c>
      <c r="AA50" s="9"/>
      <c r="AB50" s="9"/>
      <c r="AC50" s="9"/>
      <c r="AD50" s="9"/>
      <c r="AE50" s="9"/>
    </row>
    <row r="51" spans="2:32" x14ac:dyDescent="0.25">
      <c r="R51" s="4"/>
      <c r="S51" s="17"/>
      <c r="T51" s="17"/>
      <c r="U51" s="9"/>
      <c r="V51" s="4"/>
      <c r="W51" s="4"/>
      <c r="X51" s="9"/>
      <c r="Y51" s="9" t="s">
        <v>47</v>
      </c>
      <c r="Z51" s="9">
        <v>0</v>
      </c>
      <c r="AA51" s="9"/>
      <c r="AB51" s="9"/>
      <c r="AC51" s="9"/>
      <c r="AD51" s="9"/>
      <c r="AE51" s="9"/>
    </row>
    <row r="52" spans="2:32" x14ac:dyDescent="0.25">
      <c r="Q52" s="9"/>
      <c r="R52" s="4"/>
      <c r="S52" s="16"/>
      <c r="T52" s="16"/>
      <c r="U52" s="9"/>
      <c r="V52" s="4"/>
      <c r="W52" s="4"/>
      <c r="X52" s="9"/>
      <c r="Y52" s="9"/>
      <c r="Z52" s="9"/>
      <c r="AA52" s="9"/>
      <c r="AB52" s="9"/>
      <c r="AC52" s="9"/>
      <c r="AD52" s="9"/>
      <c r="AE52" s="9"/>
    </row>
    <row r="53" spans="2:32" x14ac:dyDescent="0.25">
      <c r="R53" s="4"/>
      <c r="S53" s="16"/>
      <c r="T53" s="16"/>
      <c r="Y53" s="9" t="s">
        <v>48</v>
      </c>
      <c r="Z53" s="9">
        <f>Z47*0.3</f>
        <v>648</v>
      </c>
      <c r="AA53" s="9"/>
      <c r="AB53" s="9"/>
      <c r="AC53" s="9"/>
      <c r="AD53" s="9"/>
      <c r="AE53" s="9"/>
    </row>
    <row r="54" spans="2:32" x14ac:dyDescent="0.25">
      <c r="T54" s="5"/>
      <c r="Y54" s="9" t="s">
        <v>49</v>
      </c>
      <c r="Z54" s="9">
        <f>Z47-Z53</f>
        <v>1512</v>
      </c>
      <c r="AA54" s="9"/>
      <c r="AB54" s="9"/>
      <c r="AC54" s="9"/>
      <c r="AD54" s="9"/>
      <c r="AE54" s="9"/>
    </row>
    <row r="55" spans="2:32" x14ac:dyDescent="0.25">
      <c r="T55" s="5"/>
      <c r="Y55" s="9"/>
      <c r="Z55" s="9"/>
      <c r="AA55" s="9"/>
      <c r="AB55" s="9"/>
      <c r="AC55" s="9"/>
      <c r="AD55" s="9"/>
      <c r="AE55" s="9"/>
    </row>
    <row r="56" spans="2:32" x14ac:dyDescent="0.25">
      <c r="T56" s="5"/>
      <c r="Y56" s="9"/>
      <c r="Z56" s="9"/>
      <c r="AA56" s="9"/>
      <c r="AB56" s="9"/>
      <c r="AC56" s="9"/>
      <c r="AD56" s="9"/>
      <c r="AE56" s="9"/>
    </row>
    <row r="57" spans="2:32" x14ac:dyDescent="0.25">
      <c r="T57" s="5"/>
      <c r="Y57" s="9"/>
      <c r="Z57" s="9"/>
      <c r="AA57" s="9"/>
      <c r="AB57" s="9"/>
      <c r="AC57" s="9"/>
      <c r="AD57" s="9"/>
      <c r="AE57" s="9"/>
    </row>
    <row r="58" spans="2:32" x14ac:dyDescent="0.25">
      <c r="T58" s="5"/>
      <c r="Y58" s="9"/>
      <c r="Z58" s="9"/>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row>
    <row r="63" spans="2:32" x14ac:dyDescent="0.25">
      <c r="T63" s="5"/>
    </row>
    <row r="64" spans="2:32" x14ac:dyDescent="0.25">
      <c r="T64" s="5"/>
    </row>
    <row r="65" spans="20:20" x14ac:dyDescent="0.25">
      <c r="T65" s="5"/>
    </row>
    <row r="66" spans="20:20" x14ac:dyDescent="0.25">
      <c r="T66" s="5"/>
    </row>
  </sheetData>
  <autoFilter ref="B6:AE43" xr:uid="{65FA6D9B-E0AF-46CD-BA0D-86BB75FE6AB0}">
    <filterColumn colId="8">
      <customFilters>
        <customFilter operator="notEqual" val=" "/>
      </customFilters>
    </filterColumn>
  </autoFilter>
  <hyperlinks>
    <hyperlink ref="P12" r:id="rId1" xr:uid="{D59EB2C1-EF77-40C8-94D5-5203211EB94E}"/>
    <hyperlink ref="P33" r:id="rId2" xr:uid="{33CC25D6-85D6-492C-BA00-B986750D53E1}"/>
    <hyperlink ref="P31" r:id="rId3" xr:uid="{C4160154-D500-4CA7-A1E0-F9D96B6E1130}"/>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5D68-1C84-4230-9556-EC554E76AC7C}">
  <sheetPr filterMode="1">
    <tabColor rgb="FFFFFF00"/>
  </sheetPr>
  <dimension ref="B1:AK75"/>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145</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50" si="2">+Y7*R7</f>
        <v>0</v>
      </c>
      <c r="AA7" s="4" t="s">
        <v>10</v>
      </c>
      <c r="AB7" s="11">
        <f>IFERROR(VLOOKUP(AA7,Curr!$B$2:$C$13,2,FALSE),0)</f>
        <v>11</v>
      </c>
      <c r="AC7" s="12">
        <f t="shared" ref="AC7:AC50" si="3">+Y7*AB7*R7</f>
        <v>0</v>
      </c>
      <c r="AD7" s="12">
        <f t="shared" ref="AD7:AD50" si="4">+AC7-X7</f>
        <v>0</v>
      </c>
      <c r="AE7" s="13">
        <f t="shared" ref="AE7:AE50"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v>0</v>
      </c>
      <c r="R11" s="25">
        <v>0</v>
      </c>
      <c r="S11" s="12">
        <f t="shared" ref="S11:S50" si="8">+Q11*R11</f>
        <v>0</v>
      </c>
      <c r="T11" s="5">
        <v>0</v>
      </c>
      <c r="U11" s="12">
        <f t="shared" ref="U11:U50" si="9">S11*(1-T11)</f>
        <v>0</v>
      </c>
      <c r="V11" s="25" t="s">
        <v>10</v>
      </c>
      <c r="W11" s="11">
        <f>IFERROR(VLOOKUP(V11,Curr!$B$2:$C$13,2,FALSE),0)</f>
        <v>11</v>
      </c>
      <c r="X11" s="12">
        <f t="shared" ref="X11:X50" si="10">U11*W11</f>
        <v>0</v>
      </c>
      <c r="Y11" s="26">
        <f t="shared" ref="Y11:Y50"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177</v>
      </c>
      <c r="K12" s="4"/>
      <c r="L12" s="4"/>
      <c r="M12" s="4"/>
      <c r="N12" s="4"/>
      <c r="O12" s="4"/>
      <c r="P12" s="33" t="s">
        <v>140</v>
      </c>
      <c r="Q12" s="25">
        <v>1225</v>
      </c>
      <c r="R12" s="25">
        <v>2</v>
      </c>
      <c r="S12" s="12">
        <f t="shared" si="8"/>
        <v>2450</v>
      </c>
      <c r="T12" s="5">
        <v>0.2</v>
      </c>
      <c r="U12" s="12">
        <f t="shared" si="9"/>
        <v>1960</v>
      </c>
      <c r="V12" s="25" t="s">
        <v>10</v>
      </c>
      <c r="W12" s="11">
        <f>IFERROR(VLOOKUP(V12,Curr!$B$2:$C$13,2,FALSE),0)</f>
        <v>11</v>
      </c>
      <c r="X12" s="12">
        <f t="shared" si="10"/>
        <v>21560</v>
      </c>
      <c r="Y12" s="26">
        <f>Q12*0.95</f>
        <v>1163.75</v>
      </c>
      <c r="Z12" s="12">
        <f t="shared" si="2"/>
        <v>2327.5</v>
      </c>
      <c r="AA12" s="4" t="s">
        <v>10</v>
      </c>
      <c r="AB12" s="11">
        <f>IFERROR(VLOOKUP(AA12,Curr!$B$2:$C$13,2,FALSE),0)</f>
        <v>11</v>
      </c>
      <c r="AC12" s="12">
        <f t="shared" si="3"/>
        <v>25602.5</v>
      </c>
      <c r="AD12" s="12">
        <f t="shared" si="4"/>
        <v>4042.5</v>
      </c>
      <c r="AE12" s="13">
        <f t="shared" si="5"/>
        <v>0.15789473684210525</v>
      </c>
    </row>
    <row r="13" spans="2:36" x14ac:dyDescent="0.25">
      <c r="B13" s="4"/>
      <c r="C13" s="1" t="s">
        <v>65</v>
      </c>
      <c r="D13" s="1" t="s">
        <v>120</v>
      </c>
      <c r="E13" s="3"/>
      <c r="F13" s="3"/>
      <c r="G13" s="24"/>
      <c r="H13" s="24"/>
      <c r="J13" s="1" t="s">
        <v>141</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4"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142</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143</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144</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x14ac:dyDescent="0.25">
      <c r="B20" s="4"/>
      <c r="C20" s="1" t="s">
        <v>77</v>
      </c>
      <c r="D20" s="1" t="s">
        <v>59</v>
      </c>
      <c r="E20" s="3"/>
      <c r="F20" s="3"/>
      <c r="G20" s="24"/>
      <c r="H20" s="24"/>
      <c r="J20" s="1" t="s">
        <v>146</v>
      </c>
      <c r="K20" s="4"/>
      <c r="L20" s="4"/>
      <c r="M20" s="4"/>
      <c r="N20" s="4"/>
      <c r="O20" s="4"/>
      <c r="P20" s="27"/>
      <c r="Q20" s="25">
        <v>200</v>
      </c>
      <c r="R20" s="25">
        <v>1</v>
      </c>
      <c r="S20" s="12">
        <f t="shared" si="8"/>
        <v>200</v>
      </c>
      <c r="T20" s="5">
        <v>0</v>
      </c>
      <c r="U20" s="12">
        <f t="shared" si="9"/>
        <v>200</v>
      </c>
      <c r="V20" s="25" t="s">
        <v>10</v>
      </c>
      <c r="W20" s="11">
        <f>IFERROR(VLOOKUP(V20,Curr!$B$2:$C$13,2,FALSE),0)</f>
        <v>11</v>
      </c>
      <c r="X20" s="12">
        <f t="shared" si="10"/>
        <v>2200</v>
      </c>
      <c r="Y20" s="26">
        <f>Q20/0.85</f>
        <v>235.29411764705884</v>
      </c>
      <c r="Z20" s="12">
        <f t="shared" si="2"/>
        <v>235.29411764705884</v>
      </c>
      <c r="AA20" s="4" t="s">
        <v>10</v>
      </c>
      <c r="AB20" s="11">
        <f>IFERROR(VLOOKUP(AA20,Curr!$B$2:$C$13,2,FALSE),0)</f>
        <v>11</v>
      </c>
      <c r="AC20" s="12">
        <f t="shared" si="3"/>
        <v>2588.2352941176473</v>
      </c>
      <c r="AD20" s="12">
        <f t="shared" si="4"/>
        <v>388.2352941176473</v>
      </c>
      <c r="AE20" s="13">
        <f t="shared" si="5"/>
        <v>0.15000000000000008</v>
      </c>
    </row>
    <row r="21" spans="2:31" x14ac:dyDescent="0.25">
      <c r="B21" s="4"/>
      <c r="C21" s="1" t="s">
        <v>77</v>
      </c>
      <c r="D21" s="1" t="s">
        <v>60</v>
      </c>
      <c r="E21" s="3"/>
      <c r="F21" s="3"/>
      <c r="G21" s="24"/>
      <c r="H21" s="24"/>
      <c r="J21" s="1" t="s">
        <v>136</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92</v>
      </c>
      <c r="D23" s="1" t="s">
        <v>117</v>
      </c>
      <c r="E23" s="3"/>
      <c r="F23" s="3"/>
      <c r="G23" s="24"/>
      <c r="H23" s="24"/>
      <c r="J23" s="1" t="s">
        <v>133</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x14ac:dyDescent="0.25">
      <c r="B24" s="4"/>
      <c r="C24" s="1" t="s">
        <v>92</v>
      </c>
      <c r="D24" s="1" t="s">
        <v>78</v>
      </c>
      <c r="E24" s="3"/>
      <c r="F24" s="3"/>
      <c r="G24" s="24"/>
      <c r="H24" s="24"/>
      <c r="J24" s="1" t="s">
        <v>81</v>
      </c>
      <c r="K24" s="4"/>
      <c r="L24" s="4"/>
      <c r="M24" s="4"/>
      <c r="N24" s="4"/>
      <c r="O24" s="4"/>
      <c r="P24" s="27"/>
      <c r="Q24" s="25">
        <v>0</v>
      </c>
      <c r="R24" s="25">
        <v>0</v>
      </c>
      <c r="S24" s="12">
        <f t="shared" si="8"/>
        <v>0</v>
      </c>
      <c r="T24" s="5">
        <v>0</v>
      </c>
      <c r="U24" s="12">
        <f t="shared" si="9"/>
        <v>0</v>
      </c>
      <c r="V24" s="25" t="s">
        <v>10</v>
      </c>
      <c r="W24" s="11">
        <f>IFERROR(VLOOKUP(V24,Curr!$B$2:$C$13,2,FALSE),0)</f>
        <v>11</v>
      </c>
      <c r="X24" s="12">
        <f t="shared" si="10"/>
        <v>0</v>
      </c>
      <c r="Y24" s="26">
        <f t="shared" si="12"/>
        <v>0</v>
      </c>
      <c r="Z24" s="12">
        <f t="shared" si="2"/>
        <v>0</v>
      </c>
      <c r="AA24" s="4" t="s">
        <v>10</v>
      </c>
      <c r="AB24" s="11">
        <f>IFERROR(VLOOKUP(AA24,Curr!$B$2:$C$13,2,FALSE),0)</f>
        <v>11</v>
      </c>
      <c r="AC24" s="12">
        <f t="shared" si="3"/>
        <v>0</v>
      </c>
      <c r="AD24" s="12">
        <f t="shared" si="4"/>
        <v>0</v>
      </c>
      <c r="AE24" s="13">
        <f t="shared" si="5"/>
        <v>0</v>
      </c>
    </row>
    <row r="25" spans="2:31" hidden="1" x14ac:dyDescent="0.25">
      <c r="B25" s="4"/>
      <c r="E25" s="3"/>
      <c r="F25" s="3"/>
      <c r="G25" s="24"/>
      <c r="H25" s="24"/>
      <c r="K25" s="4"/>
      <c r="L25" s="4"/>
      <c r="M25" s="4"/>
      <c r="N25" s="4"/>
      <c r="O25" s="4"/>
      <c r="P25" s="27"/>
      <c r="Q25" s="25"/>
      <c r="R25" s="25"/>
      <c r="S25" s="12">
        <f t="shared" si="8"/>
        <v>0</v>
      </c>
      <c r="T25" s="5">
        <v>0</v>
      </c>
      <c r="U25" s="12">
        <f t="shared" si="9"/>
        <v>0</v>
      </c>
      <c r="V25" s="25" t="s">
        <v>10</v>
      </c>
      <c r="W25" s="11">
        <f>IFERROR(VLOOKUP(V25,Curr!$B$2:$C$13,2,FALSE),0)</f>
        <v>11</v>
      </c>
      <c r="X25" s="12">
        <f t="shared" si="10"/>
        <v>0</v>
      </c>
      <c r="Y25" s="26">
        <f t="shared" si="11"/>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33"/>
      <c r="Q26" s="25"/>
      <c r="R26" s="25"/>
      <c r="S26" s="12">
        <f t="shared" si="8"/>
        <v>0</v>
      </c>
      <c r="T26" s="5">
        <v>0</v>
      </c>
      <c r="U26" s="12">
        <f t="shared" si="9"/>
        <v>0</v>
      </c>
      <c r="V26" s="25" t="s">
        <v>10</v>
      </c>
      <c r="W26" s="11">
        <f>IFERROR(VLOOKUP(V26,Curr!$B$2:$C$13,2,FALSE),0)</f>
        <v>11</v>
      </c>
      <c r="X26" s="12">
        <f t="shared" si="10"/>
        <v>0</v>
      </c>
      <c r="Y26" s="26">
        <f t="shared" si="11"/>
        <v>0</v>
      </c>
      <c r="Z26" s="12">
        <f t="shared" si="2"/>
        <v>0</v>
      </c>
      <c r="AA26" s="4" t="s">
        <v>10</v>
      </c>
      <c r="AB26" s="11">
        <f>IFERROR(VLOOKUP(AA26,Curr!$B$2:$C$13,2,FALSE),0)</f>
        <v>11</v>
      </c>
      <c r="AC26" s="12">
        <f t="shared" si="3"/>
        <v>0</v>
      </c>
      <c r="AD26" s="12">
        <f t="shared" si="4"/>
        <v>0</v>
      </c>
      <c r="AE26" s="13">
        <f t="shared" si="5"/>
        <v>0</v>
      </c>
    </row>
    <row r="27" spans="2:31" x14ac:dyDescent="0.25">
      <c r="B27" s="4"/>
      <c r="C27" s="1" t="s">
        <v>55</v>
      </c>
      <c r="D27" s="1" t="s">
        <v>127</v>
      </c>
      <c r="E27" s="3"/>
      <c r="F27" s="3"/>
      <c r="G27" s="24"/>
      <c r="H27" s="24"/>
      <c r="J27" s="1" t="s">
        <v>131</v>
      </c>
      <c r="K27" s="4"/>
      <c r="L27" s="4"/>
      <c r="M27" s="4"/>
      <c r="N27" s="4"/>
      <c r="O27" s="4"/>
      <c r="P27" s="27"/>
      <c r="Q27" s="25">
        <v>160</v>
      </c>
      <c r="R27" s="25">
        <v>0</v>
      </c>
      <c r="S27" s="12">
        <f t="shared" si="8"/>
        <v>0</v>
      </c>
      <c r="T27" s="5">
        <v>0.2</v>
      </c>
      <c r="U27" s="12">
        <f t="shared" si="9"/>
        <v>0</v>
      </c>
      <c r="V27" s="25" t="s">
        <v>10</v>
      </c>
      <c r="W27" s="11">
        <f>IFERROR(VLOOKUP(V27,Curr!$B$2:$C$13,2,FALSE),0)</f>
        <v>11</v>
      </c>
      <c r="X27" s="12">
        <f t="shared" si="10"/>
        <v>0</v>
      </c>
      <c r="Y27" s="26">
        <f t="shared" si="11"/>
        <v>160</v>
      </c>
      <c r="Z27" s="12">
        <f t="shared" si="2"/>
        <v>0</v>
      </c>
      <c r="AA27" s="4" t="s">
        <v>10</v>
      </c>
      <c r="AB27" s="11">
        <f>IFERROR(VLOOKUP(AA27,Curr!$B$2:$C$13,2,FALSE),0)</f>
        <v>11</v>
      </c>
      <c r="AC27" s="12">
        <f t="shared" si="3"/>
        <v>0</v>
      </c>
      <c r="AD27" s="12">
        <f t="shared" si="4"/>
        <v>0</v>
      </c>
      <c r="AE27" s="13">
        <f t="shared" si="5"/>
        <v>0</v>
      </c>
    </row>
    <row r="28" spans="2:31" x14ac:dyDescent="0.25">
      <c r="B28" s="4"/>
      <c r="C28" s="1" t="s">
        <v>55</v>
      </c>
      <c r="D28" s="1" t="s">
        <v>127</v>
      </c>
      <c r="E28" s="3"/>
      <c r="F28" s="3"/>
      <c r="G28" s="24"/>
      <c r="H28" s="24"/>
      <c r="J28" s="1" t="s">
        <v>132</v>
      </c>
      <c r="K28" s="4"/>
      <c r="L28" s="4"/>
      <c r="M28" s="4"/>
      <c r="N28" s="4"/>
      <c r="O28" s="4"/>
      <c r="P28" s="33"/>
      <c r="Q28" s="25">
        <v>39</v>
      </c>
      <c r="R28" s="25">
        <v>0</v>
      </c>
      <c r="S28" s="12">
        <f t="shared" si="8"/>
        <v>0</v>
      </c>
      <c r="T28" s="5">
        <v>0.2</v>
      </c>
      <c r="U28" s="12">
        <f t="shared" si="9"/>
        <v>0</v>
      </c>
      <c r="V28" s="25" t="s">
        <v>10</v>
      </c>
      <c r="W28" s="11">
        <f>IFERROR(VLOOKUP(V28,Curr!$B$2:$C$13,2,FALSE),0)</f>
        <v>11</v>
      </c>
      <c r="X28" s="12">
        <f t="shared" si="10"/>
        <v>0</v>
      </c>
      <c r="Y28" s="26">
        <f t="shared" si="11"/>
        <v>39</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127</v>
      </c>
      <c r="E29" s="3"/>
      <c r="F29" s="3"/>
      <c r="G29" s="24"/>
      <c r="H29" s="24"/>
      <c r="J29" s="1" t="s">
        <v>134</v>
      </c>
      <c r="K29" s="4"/>
      <c r="L29" s="4"/>
      <c r="M29" s="4"/>
      <c r="N29" s="4"/>
      <c r="O29" s="4"/>
      <c r="P29" s="27"/>
      <c r="Q29" s="25">
        <v>160</v>
      </c>
      <c r="R29" s="25">
        <v>0</v>
      </c>
      <c r="S29" s="12">
        <f t="shared" si="8"/>
        <v>0</v>
      </c>
      <c r="T29" s="5">
        <v>0.2</v>
      </c>
      <c r="U29" s="12">
        <f t="shared" si="9"/>
        <v>0</v>
      </c>
      <c r="V29" s="25" t="s">
        <v>10</v>
      </c>
      <c r="W29" s="11">
        <f>IFERROR(VLOOKUP(V29,Curr!$B$2:$C$13,2,FALSE),0)</f>
        <v>11</v>
      </c>
      <c r="X29" s="12">
        <f t="shared" si="10"/>
        <v>0</v>
      </c>
      <c r="Y29" s="26">
        <f t="shared" si="11"/>
        <v>160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127</v>
      </c>
      <c r="E30" s="3"/>
      <c r="F30" s="3"/>
      <c r="G30" s="24"/>
      <c r="H30" s="24"/>
      <c r="J30" s="1" t="s">
        <v>135</v>
      </c>
      <c r="K30" s="4"/>
      <c r="L30" s="4"/>
      <c r="M30" s="4"/>
      <c r="N30" s="4"/>
      <c r="O30" s="4"/>
      <c r="P30" s="33"/>
      <c r="Q30" s="25">
        <v>39</v>
      </c>
      <c r="R30" s="25">
        <v>0</v>
      </c>
      <c r="S30" s="12">
        <f t="shared" si="8"/>
        <v>0</v>
      </c>
      <c r="T30" s="5">
        <v>0.2</v>
      </c>
      <c r="U30" s="12">
        <f t="shared" si="9"/>
        <v>0</v>
      </c>
      <c r="V30" s="25" t="s">
        <v>10</v>
      </c>
      <c r="W30" s="11">
        <f>IFERROR(VLOOKUP(V30,Curr!$B$2:$C$13,2,FALSE),0)</f>
        <v>11</v>
      </c>
      <c r="X30" s="12">
        <f t="shared" si="10"/>
        <v>0</v>
      </c>
      <c r="Y30" s="26">
        <f t="shared" si="11"/>
        <v>39</v>
      </c>
      <c r="Z30" s="12">
        <f t="shared" si="2"/>
        <v>0</v>
      </c>
      <c r="AA30" s="4" t="s">
        <v>10</v>
      </c>
      <c r="AB30" s="11">
        <f>IFERROR(VLOOKUP(AA30,Curr!$B$2:$C$13,2,FALSE),0)</f>
        <v>11</v>
      </c>
      <c r="AC30" s="12">
        <f t="shared" si="3"/>
        <v>0</v>
      </c>
      <c r="AD30" s="12">
        <f t="shared" si="4"/>
        <v>0</v>
      </c>
      <c r="AE30" s="13">
        <f t="shared" si="5"/>
        <v>0</v>
      </c>
    </row>
    <row r="31" spans="2:31" hidden="1" x14ac:dyDescent="0.25">
      <c r="B31" s="4"/>
      <c r="E31" s="3"/>
      <c r="F31" s="3"/>
      <c r="G31" s="24"/>
      <c r="H31" s="24"/>
      <c r="K31" s="4"/>
      <c r="L31" s="4"/>
      <c r="M31" s="4"/>
      <c r="N31" s="4"/>
      <c r="O31" s="4"/>
      <c r="P31" s="27"/>
      <c r="Q31" s="25"/>
      <c r="R31" s="25"/>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hidden="1" x14ac:dyDescent="0.25">
      <c r="B32" s="4"/>
      <c r="E32" s="3"/>
      <c r="F32" s="3"/>
      <c r="G32" s="24"/>
      <c r="H32" s="24"/>
      <c r="K32" s="4"/>
      <c r="L32" s="4"/>
      <c r="M32" s="4"/>
      <c r="N32" s="4"/>
      <c r="O32" s="4"/>
      <c r="P32" s="27"/>
      <c r="Q32" s="25"/>
      <c r="R32" s="25"/>
      <c r="S32" s="12">
        <f t="shared" si="8"/>
        <v>0</v>
      </c>
      <c r="T32" s="5">
        <v>0</v>
      </c>
      <c r="U32" s="12">
        <f t="shared" si="9"/>
        <v>0</v>
      </c>
      <c r="V32" s="25" t="s">
        <v>10</v>
      </c>
      <c r="W32" s="11">
        <f>IFERROR(VLOOKUP(V32,Curr!$B$2:$C$13,2,FALSE),0)</f>
        <v>11</v>
      </c>
      <c r="X32" s="12">
        <f t="shared" si="10"/>
        <v>0</v>
      </c>
      <c r="Y32" s="26">
        <f t="shared" si="11"/>
        <v>0</v>
      </c>
      <c r="Z32" s="12">
        <f t="shared" si="2"/>
        <v>0</v>
      </c>
      <c r="AA32" s="4" t="s">
        <v>10</v>
      </c>
      <c r="AB32" s="11">
        <f>IFERROR(VLOOKUP(AA32,Curr!$B$2:$C$13,2,FALSE),0)</f>
        <v>11</v>
      </c>
      <c r="AC32" s="12">
        <f t="shared" si="3"/>
        <v>0</v>
      </c>
      <c r="AD32" s="12">
        <f t="shared" si="4"/>
        <v>0</v>
      </c>
      <c r="AE32" s="13">
        <f t="shared" si="5"/>
        <v>0</v>
      </c>
    </row>
    <row r="33" spans="2:31" x14ac:dyDescent="0.25">
      <c r="B33" s="4"/>
      <c r="C33" s="1" t="s">
        <v>55</v>
      </c>
      <c r="D33" s="1" t="s">
        <v>83</v>
      </c>
      <c r="E33" s="3"/>
      <c r="F33" s="3"/>
      <c r="G33" s="24"/>
      <c r="H33" s="24"/>
      <c r="J33" s="1" t="s">
        <v>184</v>
      </c>
      <c r="K33" s="4"/>
      <c r="L33" s="4"/>
      <c r="M33" s="4"/>
      <c r="N33" s="4"/>
      <c r="O33" s="4"/>
      <c r="P33" s="33" t="s">
        <v>243</v>
      </c>
      <c r="Q33" s="25">
        <v>37</v>
      </c>
      <c r="R33" s="25">
        <v>0</v>
      </c>
      <c r="S33" s="12">
        <f t="shared" si="8"/>
        <v>0</v>
      </c>
      <c r="T33" s="5">
        <v>0.2</v>
      </c>
      <c r="U33" s="12">
        <f t="shared" si="9"/>
        <v>0</v>
      </c>
      <c r="V33" s="25" t="s">
        <v>10</v>
      </c>
      <c r="W33" s="11">
        <f>IFERROR(VLOOKUP(V33,Curr!$B$2:$C$13,2,FALSE),0)</f>
        <v>11</v>
      </c>
      <c r="X33" s="12">
        <f t="shared" si="10"/>
        <v>0</v>
      </c>
      <c r="Y33" s="26">
        <f t="shared" si="11"/>
        <v>37</v>
      </c>
      <c r="Z33" s="12">
        <f t="shared" ref="Z33" si="13">+Y33*R33</f>
        <v>0</v>
      </c>
      <c r="AA33" s="4" t="s">
        <v>10</v>
      </c>
      <c r="AB33" s="11">
        <f>IFERROR(VLOOKUP(AA33,Curr!$B$2:$C$13,2,FALSE),0)</f>
        <v>11</v>
      </c>
      <c r="AC33" s="12">
        <f t="shared" ref="AC33" si="14">+Y33*AB33*R33</f>
        <v>0</v>
      </c>
      <c r="AD33" s="12">
        <f t="shared" ref="AD33" si="15">+AC33-X33</f>
        <v>0</v>
      </c>
      <c r="AE33" s="13">
        <f t="shared" ref="AE33" si="16">IFERROR(AD33/AC33,0)</f>
        <v>0</v>
      </c>
    </row>
    <row r="34" spans="2:31" x14ac:dyDescent="0.25">
      <c r="B34" s="4"/>
      <c r="C34" s="1" t="s">
        <v>66</v>
      </c>
      <c r="D34" s="1" t="s">
        <v>83</v>
      </c>
      <c r="J34" s="1" t="s">
        <v>129</v>
      </c>
      <c r="K34" s="4"/>
      <c r="L34" s="4"/>
      <c r="M34" s="4"/>
      <c r="N34" s="4"/>
      <c r="O34" s="4"/>
      <c r="P34" s="29"/>
      <c r="Q34" s="25">
        <v>50</v>
      </c>
      <c r="R34" s="25">
        <v>0</v>
      </c>
      <c r="S34" s="12">
        <f t="shared" si="8"/>
        <v>0</v>
      </c>
      <c r="T34" s="5">
        <v>0</v>
      </c>
      <c r="U34" s="12">
        <f t="shared" si="9"/>
        <v>0</v>
      </c>
      <c r="V34" s="25" t="s">
        <v>10</v>
      </c>
      <c r="W34" s="11">
        <f>IFERROR(VLOOKUP(V34,Curr!$B$2:$C$13,2,FALSE),0)</f>
        <v>11</v>
      </c>
      <c r="X34" s="12">
        <f t="shared" si="10"/>
        <v>0</v>
      </c>
      <c r="Y34" s="26">
        <f>Q34/0.8</f>
        <v>62.5</v>
      </c>
      <c r="Z34" s="12">
        <f t="shared" si="2"/>
        <v>0</v>
      </c>
      <c r="AA34" s="4" t="s">
        <v>10</v>
      </c>
      <c r="AB34" s="11">
        <f>IFERROR(VLOOKUP(AA34,Curr!$B$2:$C$13,2,FALSE),0)</f>
        <v>11</v>
      </c>
      <c r="AC34" s="12">
        <f t="shared" si="3"/>
        <v>0</v>
      </c>
      <c r="AD34" s="12">
        <f t="shared" si="4"/>
        <v>0</v>
      </c>
      <c r="AE34" s="13">
        <f t="shared" si="5"/>
        <v>0</v>
      </c>
    </row>
    <row r="35" spans="2:31" x14ac:dyDescent="0.25">
      <c r="B35" s="4"/>
      <c r="C35" s="1" t="s">
        <v>92</v>
      </c>
      <c r="D35" s="1" t="s">
        <v>83</v>
      </c>
      <c r="E35" s="3"/>
      <c r="F35" s="3"/>
      <c r="G35" s="24"/>
      <c r="H35" s="24"/>
      <c r="J35" s="1" t="s">
        <v>137</v>
      </c>
      <c r="K35" s="4"/>
      <c r="L35" s="4"/>
      <c r="M35" s="4"/>
      <c r="N35" s="4"/>
      <c r="O35" s="4"/>
      <c r="P35" s="33" t="s">
        <v>182</v>
      </c>
      <c r="Q35" s="25">
        <v>163</v>
      </c>
      <c r="R35" s="25">
        <v>0</v>
      </c>
      <c r="S35" s="12">
        <f t="shared" si="8"/>
        <v>0</v>
      </c>
      <c r="T35" s="5">
        <v>0.2</v>
      </c>
      <c r="U35" s="12">
        <f t="shared" si="9"/>
        <v>0</v>
      </c>
      <c r="V35" s="25" t="s">
        <v>10</v>
      </c>
      <c r="W35" s="11">
        <f>IFERROR(VLOOKUP(V35,Curr!$B$2:$C$13,2,FALSE),0)</f>
        <v>11</v>
      </c>
      <c r="X35" s="12">
        <f t="shared" si="10"/>
        <v>0</v>
      </c>
      <c r="Y35" s="26">
        <f t="shared" ref="Y35" si="17">Q35</f>
        <v>163</v>
      </c>
      <c r="Z35" s="12">
        <f t="shared" si="2"/>
        <v>0</v>
      </c>
      <c r="AA35" s="4" t="s">
        <v>10</v>
      </c>
      <c r="AB35" s="11">
        <f>IFERROR(VLOOKUP(AA35,Curr!$B$2:$C$13,2,FALSE),0)</f>
        <v>11</v>
      </c>
      <c r="AC35" s="12">
        <f t="shared" si="3"/>
        <v>0</v>
      </c>
      <c r="AD35" s="12">
        <f t="shared" si="4"/>
        <v>0</v>
      </c>
      <c r="AE35" s="13">
        <f t="shared" si="5"/>
        <v>0</v>
      </c>
    </row>
    <row r="36" spans="2:31" hidden="1" x14ac:dyDescent="0.25">
      <c r="B36" s="4"/>
      <c r="E36" s="3"/>
      <c r="F36" s="3"/>
      <c r="G36" s="24"/>
      <c r="H36" s="24"/>
      <c r="K36" s="4"/>
      <c r="L36" s="4"/>
      <c r="M36" s="4"/>
      <c r="N36" s="4"/>
      <c r="O36" s="4"/>
      <c r="P36" s="27"/>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1" hidden="1" x14ac:dyDescent="0.25">
      <c r="B37" s="4"/>
      <c r="E37" s="3"/>
      <c r="F37" s="3"/>
      <c r="G37" s="24"/>
      <c r="H37" s="24"/>
      <c r="K37" s="4"/>
      <c r="L37" s="4"/>
      <c r="M37" s="4"/>
      <c r="N37" s="4"/>
      <c r="O37" s="4"/>
      <c r="P37" s="33"/>
      <c r="Q37" s="25"/>
      <c r="R37" s="25"/>
      <c r="S37" s="12">
        <f t="shared" si="8"/>
        <v>0</v>
      </c>
      <c r="T37" s="5">
        <v>0</v>
      </c>
      <c r="U37" s="12">
        <f t="shared" si="9"/>
        <v>0</v>
      </c>
      <c r="V37" s="25" t="s">
        <v>10</v>
      </c>
      <c r="W37" s="11">
        <f>IFERROR(VLOOKUP(V37,Curr!$B$2:$C$13,2,FALSE),0)</f>
        <v>11</v>
      </c>
      <c r="X37" s="12">
        <f t="shared" si="10"/>
        <v>0</v>
      </c>
      <c r="Y37" s="26">
        <f t="shared" si="11"/>
        <v>0</v>
      </c>
      <c r="Z37" s="12">
        <f t="shared" si="2"/>
        <v>0</v>
      </c>
      <c r="AA37" s="4" t="s">
        <v>10</v>
      </c>
      <c r="AB37" s="11">
        <f>IFERROR(VLOOKUP(AA37,Curr!$B$2:$C$13,2,FALSE),0)</f>
        <v>11</v>
      </c>
      <c r="AC37" s="12">
        <f t="shared" si="3"/>
        <v>0</v>
      </c>
      <c r="AD37" s="12">
        <f t="shared" si="4"/>
        <v>0</v>
      </c>
      <c r="AE37" s="13">
        <f t="shared" si="5"/>
        <v>0</v>
      </c>
    </row>
    <row r="38" spans="2:31" x14ac:dyDescent="0.25">
      <c r="B38" s="4"/>
      <c r="C38" s="1" t="s">
        <v>65</v>
      </c>
      <c r="D38" s="1" t="s">
        <v>128</v>
      </c>
      <c r="E38" s="3"/>
      <c r="F38" s="3"/>
      <c r="G38" s="24"/>
      <c r="H38" s="24"/>
      <c r="J38" s="1" t="s">
        <v>191</v>
      </c>
      <c r="K38" s="4"/>
      <c r="L38" s="4"/>
      <c r="M38" s="4"/>
      <c r="N38" s="4"/>
      <c r="O38" s="4"/>
      <c r="P38" s="27"/>
      <c r="Q38" s="25">
        <v>230</v>
      </c>
      <c r="R38" s="25">
        <v>0</v>
      </c>
      <c r="S38" s="12">
        <f t="shared" si="8"/>
        <v>0</v>
      </c>
      <c r="T38" s="5">
        <v>0</v>
      </c>
      <c r="U38" s="12">
        <f t="shared" si="9"/>
        <v>0</v>
      </c>
      <c r="V38" s="25" t="s">
        <v>10</v>
      </c>
      <c r="W38" s="11">
        <f>IFERROR(VLOOKUP(V38,Curr!$B$2:$C$13,2,FALSE),0)</f>
        <v>11</v>
      </c>
      <c r="X38" s="12">
        <f t="shared" si="10"/>
        <v>0</v>
      </c>
      <c r="Y38" s="26">
        <f>Q38/0.8</f>
        <v>287.5</v>
      </c>
      <c r="Z38" s="12">
        <f t="shared" si="2"/>
        <v>0</v>
      </c>
      <c r="AA38" s="4" t="s">
        <v>10</v>
      </c>
      <c r="AB38" s="11">
        <f>IFERROR(VLOOKUP(AA38,Curr!$B$2:$C$13,2,FALSE),0)</f>
        <v>11</v>
      </c>
      <c r="AC38" s="12">
        <f t="shared" si="3"/>
        <v>0</v>
      </c>
      <c r="AD38" s="12">
        <f t="shared" si="4"/>
        <v>0</v>
      </c>
      <c r="AE38" s="13">
        <f t="shared" si="5"/>
        <v>0</v>
      </c>
    </row>
    <row r="39" spans="2:31" hidden="1" x14ac:dyDescent="0.25">
      <c r="B39" s="4"/>
      <c r="E39" s="3"/>
      <c r="F39" s="3"/>
      <c r="G39" s="24"/>
      <c r="H39" s="24"/>
      <c r="K39" s="4"/>
      <c r="L39" s="4"/>
      <c r="M39" s="4"/>
      <c r="N39" s="4"/>
      <c r="O39" s="4"/>
      <c r="P39" s="27"/>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hidden="1"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C41" s="1" t="s">
        <v>92</v>
      </c>
      <c r="D41" s="1" t="s">
        <v>138</v>
      </c>
      <c r="E41" s="3"/>
      <c r="F41" s="3"/>
      <c r="G41" s="24"/>
      <c r="H41" s="24"/>
      <c r="J41" s="1" t="s">
        <v>139</v>
      </c>
      <c r="K41" s="4"/>
      <c r="L41" s="4"/>
      <c r="M41" s="4"/>
      <c r="N41" s="4"/>
      <c r="O41" s="4"/>
      <c r="P41" s="27"/>
      <c r="Q41" s="25">
        <v>225</v>
      </c>
      <c r="R41" s="25">
        <v>0</v>
      </c>
      <c r="S41" s="12">
        <f t="shared" si="8"/>
        <v>0</v>
      </c>
      <c r="T41" s="5">
        <v>0</v>
      </c>
      <c r="U41" s="12">
        <f t="shared" si="9"/>
        <v>0</v>
      </c>
      <c r="V41" s="25" t="s">
        <v>10</v>
      </c>
      <c r="W41" s="11">
        <f>IFERROR(VLOOKUP(V41,Curr!$B$2:$C$13,2,FALSE),0)</f>
        <v>11</v>
      </c>
      <c r="X41" s="12">
        <f t="shared" si="10"/>
        <v>0</v>
      </c>
      <c r="Y41" s="26">
        <f>Q41/0.85</f>
        <v>264.70588235294116</v>
      </c>
      <c r="Z41" s="12">
        <f t="shared" si="2"/>
        <v>0</v>
      </c>
      <c r="AA41" s="4" t="s">
        <v>10</v>
      </c>
      <c r="AB41" s="11">
        <f>IFERROR(VLOOKUP(AA41,Curr!$B$2:$C$13,2,FALSE),0)</f>
        <v>11</v>
      </c>
      <c r="AC41" s="12">
        <f t="shared" si="3"/>
        <v>0</v>
      </c>
      <c r="AD41" s="12">
        <f t="shared" si="4"/>
        <v>0</v>
      </c>
      <c r="AE41" s="13">
        <f t="shared" si="5"/>
        <v>0</v>
      </c>
    </row>
    <row r="42" spans="2:31" hidden="1" x14ac:dyDescent="0.25">
      <c r="B42" s="4"/>
      <c r="E42" s="3"/>
      <c r="F42" s="3"/>
      <c r="G42" s="24"/>
      <c r="H42" s="24"/>
      <c r="K42" s="4"/>
      <c r="L42" s="4"/>
      <c r="M42" s="4"/>
      <c r="N42" s="4"/>
      <c r="O42" s="4"/>
      <c r="P42" s="33"/>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hidden="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33"/>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33"/>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hidden="1" x14ac:dyDescent="0.25">
      <c r="B51" s="4"/>
      <c r="E51" s="3"/>
      <c r="F51" s="3"/>
      <c r="G51" s="3"/>
      <c r="H51" s="3"/>
      <c r="L51" s="4"/>
      <c r="M51" s="4"/>
      <c r="N51" s="4"/>
      <c r="O51" s="4"/>
      <c r="P51" s="22"/>
      <c r="Q51" s="4"/>
      <c r="R51" s="4"/>
      <c r="S51" s="4"/>
      <c r="T51" s="4"/>
      <c r="U51" s="4"/>
      <c r="V51" s="4"/>
      <c r="W51" s="4"/>
      <c r="X51" s="4"/>
      <c r="Y51" s="4"/>
      <c r="Z51" s="4"/>
      <c r="AA51" s="4"/>
      <c r="AB51" s="4"/>
      <c r="AC51" s="4"/>
      <c r="AD51" s="4"/>
      <c r="AE51" s="4"/>
      <c r="AF51" s="4"/>
    </row>
    <row r="52" spans="2:36" x14ac:dyDescent="0.25">
      <c r="B52" s="14" t="s">
        <v>18</v>
      </c>
      <c r="C52" s="14"/>
      <c r="D52" s="28" t="s">
        <v>42</v>
      </c>
      <c r="E52" s="30" t="s">
        <v>42</v>
      </c>
      <c r="F52" s="30" t="s">
        <v>42</v>
      </c>
      <c r="G52" s="30" t="s">
        <v>42</v>
      </c>
      <c r="H52" s="30" t="s">
        <v>42</v>
      </c>
      <c r="I52" s="28" t="s">
        <v>42</v>
      </c>
      <c r="J52" s="28" t="s">
        <v>42</v>
      </c>
      <c r="K52" s="28" t="s">
        <v>42</v>
      </c>
      <c r="L52" s="28" t="s">
        <v>42</v>
      </c>
      <c r="M52" s="28" t="s">
        <v>42</v>
      </c>
      <c r="N52" s="28" t="s">
        <v>42</v>
      </c>
      <c r="O52" s="28" t="s">
        <v>42</v>
      </c>
      <c r="P52" s="28" t="s">
        <v>42</v>
      </c>
      <c r="Q52" s="31" t="s">
        <v>42</v>
      </c>
      <c r="R52" s="28" t="s">
        <v>42</v>
      </c>
      <c r="S52" s="32" t="s">
        <v>42</v>
      </c>
      <c r="T52" s="28" t="s">
        <v>42</v>
      </c>
      <c r="U52" s="32" t="s">
        <v>42</v>
      </c>
      <c r="V52" s="28" t="s">
        <v>42</v>
      </c>
      <c r="W52" s="28" t="s">
        <v>42</v>
      </c>
      <c r="X52" s="32" t="s">
        <v>42</v>
      </c>
      <c r="Y52" s="32" t="s">
        <v>42</v>
      </c>
      <c r="Z52" s="15">
        <f>SUM(Z7:Z50)</f>
        <v>2798.088235294118</v>
      </c>
      <c r="AA52" s="14"/>
      <c r="AB52" s="14"/>
      <c r="AC52" s="15">
        <f>SUM(AC7:AC50)</f>
        <v>30778.970588235294</v>
      </c>
      <c r="AD52" s="15">
        <f>SUM(AD7:AD50)</f>
        <v>4818.9705882352937</v>
      </c>
      <c r="AE52" s="21">
        <f t="shared" ref="AE52" si="18">IFERROR(AD52/AC52,0)</f>
        <v>0.15656698375992009</v>
      </c>
      <c r="AF52" s="15">
        <f>SUM(AF8:AF51)</f>
        <v>0</v>
      </c>
      <c r="AG52" s="15">
        <f>SUM(AG8:AG51)</f>
        <v>0</v>
      </c>
      <c r="AH52" s="15">
        <f>SUM(AH8:AH51)</f>
        <v>0</v>
      </c>
      <c r="AI52" s="15">
        <f>SUM(AI8:AI51)</f>
        <v>0</v>
      </c>
      <c r="AJ52" s="15">
        <f>SUM(AJ8:AJ51)</f>
        <v>0</v>
      </c>
    </row>
    <row r="53" spans="2:36" x14ac:dyDescent="0.25">
      <c r="B53" s="4"/>
      <c r="E53" s="3"/>
      <c r="F53" s="3"/>
      <c r="G53" s="3"/>
      <c r="H53" s="3"/>
      <c r="L53" s="4"/>
      <c r="M53" s="4"/>
      <c r="N53" s="4"/>
      <c r="O53" s="4"/>
      <c r="Q53" s="4"/>
      <c r="R53" s="4"/>
      <c r="S53" s="4"/>
      <c r="T53" s="4"/>
      <c r="U53" s="4"/>
      <c r="V53" s="4"/>
      <c r="W53" s="4"/>
      <c r="X53" s="4"/>
      <c r="Y53" s="9"/>
      <c r="Z53" s="9"/>
      <c r="AA53" s="9"/>
      <c r="AB53" s="9"/>
      <c r="AC53" s="9"/>
      <c r="AD53" s="9"/>
      <c r="AE53" s="9"/>
    </row>
    <row r="54" spans="2:36" x14ac:dyDescent="0.25">
      <c r="B54" s="4"/>
      <c r="E54" s="3"/>
      <c r="F54" s="3"/>
      <c r="G54" s="3"/>
      <c r="H54" s="3"/>
      <c r="L54" s="4"/>
      <c r="M54" s="4"/>
      <c r="N54" s="4"/>
      <c r="O54" s="4"/>
      <c r="Q54" s="9"/>
      <c r="R54" s="9"/>
      <c r="S54" s="9"/>
      <c r="T54" s="9"/>
      <c r="U54" s="9"/>
      <c r="V54" s="9"/>
      <c r="W54" s="9"/>
      <c r="X54" s="23"/>
      <c r="Y54" s="34" t="s">
        <v>234</v>
      </c>
      <c r="Z54" s="34">
        <f>Z12</f>
        <v>2327.5</v>
      </c>
      <c r="AA54" s="9"/>
      <c r="AB54" s="9"/>
      <c r="AC54" s="9"/>
      <c r="AD54" s="9"/>
      <c r="AE54" s="9"/>
    </row>
    <row r="55" spans="2:36" x14ac:dyDescent="0.25">
      <c r="B55" s="4"/>
      <c r="E55" s="3"/>
      <c r="F55" s="3"/>
      <c r="G55" s="3"/>
      <c r="H55" s="3"/>
      <c r="L55" s="4"/>
      <c r="M55" s="4"/>
      <c r="N55" s="4"/>
      <c r="O55" s="4"/>
      <c r="Q55" s="9"/>
      <c r="R55" s="9"/>
      <c r="S55" s="9"/>
      <c r="T55" s="9"/>
      <c r="U55" s="9"/>
      <c r="V55" s="9"/>
      <c r="W55" s="9"/>
      <c r="X55" s="9"/>
      <c r="Y55" s="35" t="s">
        <v>235</v>
      </c>
      <c r="Z55" s="34">
        <f>Z9+Z20</f>
        <v>470.58823529411768</v>
      </c>
      <c r="AA55" s="9"/>
      <c r="AB55" s="9"/>
      <c r="AC55" s="9"/>
      <c r="AD55" s="9"/>
      <c r="AE55" s="9"/>
      <c r="AF55" s="18"/>
    </row>
    <row r="56" spans="2:36" x14ac:dyDescent="0.25">
      <c r="B56" s="4"/>
      <c r="E56" s="3"/>
      <c r="F56" s="3"/>
      <c r="G56" s="3"/>
      <c r="H56" s="3"/>
      <c r="I56" s="19"/>
      <c r="L56" s="4"/>
      <c r="M56" s="4"/>
      <c r="N56" s="4"/>
      <c r="O56" s="20"/>
      <c r="Q56" s="20"/>
      <c r="R56" s="20"/>
      <c r="S56" s="20"/>
      <c r="T56" s="20"/>
      <c r="U56" s="20"/>
      <c r="V56" s="20"/>
      <c r="W56" s="20"/>
      <c r="X56" s="20"/>
      <c r="Y56" s="34" t="s">
        <v>236</v>
      </c>
      <c r="Z56" s="34">
        <v>2780</v>
      </c>
      <c r="AA56" s="9"/>
      <c r="AB56" s="9"/>
      <c r="AC56" s="9"/>
      <c r="AD56" s="9"/>
      <c r="AE56" s="9"/>
      <c r="AF56" s="18"/>
    </row>
    <row r="57" spans="2:36" x14ac:dyDescent="0.25">
      <c r="B57" s="4"/>
      <c r="E57" s="3"/>
      <c r="F57" s="3"/>
      <c r="G57" s="3"/>
      <c r="H57" s="3"/>
      <c r="L57" s="4"/>
      <c r="M57" s="4"/>
      <c r="N57" s="4"/>
      <c r="O57" s="20"/>
      <c r="Q57" s="20"/>
      <c r="R57" s="20"/>
      <c r="S57" s="20"/>
      <c r="T57" s="20"/>
      <c r="U57" s="20"/>
      <c r="V57" s="20"/>
      <c r="W57" s="20"/>
      <c r="X57" s="20"/>
      <c r="Y57" s="34" t="s">
        <v>45</v>
      </c>
      <c r="Z57" s="34">
        <f>Z56/2</f>
        <v>1390</v>
      </c>
      <c r="AA57" s="9"/>
      <c r="AB57" s="9"/>
      <c r="AC57" s="9"/>
      <c r="AD57" s="9"/>
      <c r="AE57" s="9"/>
      <c r="AF57" s="18"/>
    </row>
    <row r="58" spans="2:36" x14ac:dyDescent="0.25">
      <c r="B58" s="4"/>
      <c r="E58" s="3"/>
      <c r="F58" s="3"/>
      <c r="G58" s="3"/>
      <c r="H58" s="3"/>
      <c r="L58" s="4"/>
      <c r="M58" s="4"/>
      <c r="N58" s="4"/>
      <c r="O58" s="4"/>
      <c r="Q58" s="9"/>
      <c r="R58" s="9"/>
      <c r="S58" s="9"/>
      <c r="T58" s="9"/>
      <c r="U58" s="9"/>
      <c r="V58" s="9"/>
      <c r="W58" s="9"/>
      <c r="X58" s="9"/>
      <c r="Y58" s="1"/>
      <c r="Z58" s="1"/>
      <c r="AA58" s="9"/>
      <c r="AB58" s="9"/>
      <c r="AC58" s="9"/>
      <c r="AD58" s="9"/>
      <c r="AE58" s="9"/>
      <c r="AF58" s="18"/>
    </row>
    <row r="59" spans="2:36" x14ac:dyDescent="0.25">
      <c r="F59" s="1"/>
      <c r="G59" s="1"/>
      <c r="H59" s="1"/>
      <c r="J59" s="1" t="s">
        <v>32</v>
      </c>
      <c r="Q59" s="9"/>
      <c r="R59" s="4"/>
      <c r="S59" s="9"/>
      <c r="T59" s="5"/>
      <c r="U59" s="9"/>
      <c r="V59" s="4"/>
      <c r="W59" s="4"/>
      <c r="X59" s="9"/>
      <c r="Y59" s="9" t="s">
        <v>46</v>
      </c>
      <c r="Z59" s="9">
        <f>Z56-Z60</f>
        <v>2780</v>
      </c>
      <c r="AA59" s="9"/>
      <c r="AB59" s="9"/>
      <c r="AC59" s="9"/>
      <c r="AD59" s="9"/>
      <c r="AE59" s="9"/>
    </row>
    <row r="60" spans="2:36" x14ac:dyDescent="0.25">
      <c r="R60" s="4"/>
      <c r="S60" s="17"/>
      <c r="T60" s="17"/>
      <c r="U60" s="9"/>
      <c r="V60" s="4"/>
      <c r="W60" s="4"/>
      <c r="X60" s="9"/>
      <c r="Y60" s="9" t="s">
        <v>47</v>
      </c>
      <c r="Z60" s="9">
        <v>0</v>
      </c>
      <c r="AA60" s="9"/>
      <c r="AB60" s="9"/>
      <c r="AC60" s="9"/>
      <c r="AD60" s="9"/>
      <c r="AE60" s="9"/>
    </row>
    <row r="61" spans="2:36" x14ac:dyDescent="0.25">
      <c r="Q61" s="9"/>
      <c r="R61" s="4"/>
      <c r="S61" s="16"/>
      <c r="T61" s="16"/>
      <c r="U61" s="9"/>
      <c r="V61" s="4"/>
      <c r="W61" s="4"/>
      <c r="X61" s="9"/>
      <c r="Y61" s="9"/>
      <c r="Z61" s="9"/>
      <c r="AA61" s="9"/>
      <c r="AB61" s="9"/>
      <c r="AC61" s="9"/>
      <c r="AD61" s="9"/>
      <c r="AE61" s="9"/>
    </row>
    <row r="62" spans="2:36" x14ac:dyDescent="0.25">
      <c r="R62" s="4"/>
      <c r="S62" s="16"/>
      <c r="T62" s="16"/>
      <c r="Y62" s="9" t="s">
        <v>48</v>
      </c>
      <c r="Z62" s="9">
        <f>Z56*0.3</f>
        <v>834</v>
      </c>
      <c r="AA62" s="9"/>
      <c r="AB62" s="9"/>
      <c r="AC62" s="9"/>
      <c r="AD62" s="9"/>
      <c r="AE62" s="9"/>
    </row>
    <row r="63" spans="2:36" x14ac:dyDescent="0.25">
      <c r="T63" s="5"/>
      <c r="Y63" s="9" t="s">
        <v>49</v>
      </c>
      <c r="Z63" s="9">
        <f>Z56-Z62</f>
        <v>1946</v>
      </c>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c r="Y70" s="9"/>
      <c r="Z70" s="9"/>
      <c r="AA70" s="9"/>
      <c r="AB70" s="9"/>
      <c r="AC70" s="9"/>
      <c r="AD70" s="9"/>
      <c r="AE70" s="9"/>
    </row>
    <row r="71" spans="20:31" x14ac:dyDescent="0.25">
      <c r="T71" s="5"/>
    </row>
    <row r="72" spans="20:31" x14ac:dyDescent="0.25">
      <c r="T72" s="5"/>
    </row>
    <row r="73" spans="20:31" x14ac:dyDescent="0.25">
      <c r="T73" s="5"/>
    </row>
    <row r="74" spans="20:31" x14ac:dyDescent="0.25">
      <c r="T74" s="5"/>
    </row>
    <row r="75" spans="20:31" x14ac:dyDescent="0.25">
      <c r="T75" s="5"/>
    </row>
  </sheetData>
  <autoFilter ref="B6:AE52" xr:uid="{65FA6D9B-E0AF-46CD-BA0D-86BB75FE6AB0}">
    <filterColumn colId="8">
      <customFilters>
        <customFilter operator="notEqual" val=" "/>
      </customFilters>
    </filterColumn>
  </autoFilter>
  <hyperlinks>
    <hyperlink ref="P12" r:id="rId1" xr:uid="{110BC55B-03D6-4110-93AA-46ACD8D741CB}"/>
    <hyperlink ref="P35" r:id="rId2" xr:uid="{CEABF591-FD83-4D3A-995F-C04A1BFE2B92}"/>
    <hyperlink ref="P33" r:id="rId3" xr:uid="{65E51472-6982-4FE8-8BDC-2EB1415EA34E}"/>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C1D76-0467-4122-82AC-3FA94634E4F2}">
  <sheetPr filterMode="1">
    <tabColor rgb="FFFFFF00"/>
  </sheetPr>
  <dimension ref="B1:AK80"/>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147</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55" si="2">+Y7*R7</f>
        <v>0</v>
      </c>
      <c r="AA7" s="4" t="s">
        <v>10</v>
      </c>
      <c r="AB7" s="11">
        <f>IFERROR(VLOOKUP(AA7,Curr!$B$2:$C$13,2,FALSE),0)</f>
        <v>11</v>
      </c>
      <c r="AC7" s="12">
        <f t="shared" ref="AC7:AC55" si="3">+Y7*AB7*R7</f>
        <v>0</v>
      </c>
      <c r="AD7" s="12">
        <f t="shared" ref="AD7:AD55" si="4">+AC7-X7</f>
        <v>0</v>
      </c>
      <c r="AE7" s="13">
        <f t="shared" ref="AE7:AE55"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55" si="8">+Q11*R11</f>
        <v>0</v>
      </c>
      <c r="T11" s="5">
        <v>0</v>
      </c>
      <c r="U11" s="12">
        <f t="shared" ref="U11:U55" si="9">S11*(1-T11)</f>
        <v>0</v>
      </c>
      <c r="V11" s="25" t="s">
        <v>10</v>
      </c>
      <c r="W11" s="11">
        <f>IFERROR(VLOOKUP(V11,Curr!$B$2:$C$13,2,FALSE),0)</f>
        <v>11</v>
      </c>
      <c r="X11" s="12">
        <f t="shared" ref="X11:X55" si="10">U11*W11</f>
        <v>0</v>
      </c>
      <c r="Y11" s="26">
        <f t="shared" ref="Y11:Y55"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178</v>
      </c>
      <c r="K12" s="4"/>
      <c r="L12" s="4"/>
      <c r="M12" s="4"/>
      <c r="N12" s="4"/>
      <c r="O12" s="4"/>
      <c r="P12" s="33" t="s">
        <v>149</v>
      </c>
      <c r="Q12" s="25">
        <v>1510</v>
      </c>
      <c r="R12" s="25">
        <v>2</v>
      </c>
      <c r="S12" s="12">
        <f t="shared" si="8"/>
        <v>3020</v>
      </c>
      <c r="T12" s="5">
        <v>0.2</v>
      </c>
      <c r="U12" s="12">
        <f t="shared" si="9"/>
        <v>2416</v>
      </c>
      <c r="V12" s="25" t="s">
        <v>10</v>
      </c>
      <c r="W12" s="11">
        <f>IFERROR(VLOOKUP(V12,Curr!$B$2:$C$13,2,FALSE),0)</f>
        <v>11</v>
      </c>
      <c r="X12" s="12">
        <f t="shared" si="10"/>
        <v>26576</v>
      </c>
      <c r="Y12" s="26">
        <f>Q12*0.95</f>
        <v>1434.5</v>
      </c>
      <c r="Z12" s="12">
        <f t="shared" si="2"/>
        <v>2869</v>
      </c>
      <c r="AA12" s="4" t="s">
        <v>10</v>
      </c>
      <c r="AB12" s="11">
        <f>IFERROR(VLOOKUP(AA12,Curr!$B$2:$C$13,2,FALSE),0)</f>
        <v>11</v>
      </c>
      <c r="AC12" s="12">
        <f t="shared" si="3"/>
        <v>31559</v>
      </c>
      <c r="AD12" s="12">
        <f t="shared" si="4"/>
        <v>4983</v>
      </c>
      <c r="AE12" s="13">
        <f t="shared" si="5"/>
        <v>0.15789473684210525</v>
      </c>
    </row>
    <row r="13" spans="2:36" x14ac:dyDescent="0.25">
      <c r="B13" s="4"/>
      <c r="C13" s="1" t="s">
        <v>65</v>
      </c>
      <c r="D13" s="1" t="s">
        <v>120</v>
      </c>
      <c r="E13" s="3"/>
      <c r="F13" s="3"/>
      <c r="G13" s="24"/>
      <c r="H13" s="24"/>
      <c r="J13" s="1" t="s">
        <v>150</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6"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151</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152</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153</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154</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x14ac:dyDescent="0.25">
      <c r="B22" s="4"/>
      <c r="C22" s="1" t="s">
        <v>92</v>
      </c>
      <c r="D22" s="1" t="s">
        <v>59</v>
      </c>
      <c r="E22" s="3"/>
      <c r="F22" s="3"/>
      <c r="G22" s="24"/>
      <c r="H22" s="24"/>
      <c r="J22" s="1" t="s">
        <v>146</v>
      </c>
      <c r="K22" s="4"/>
      <c r="L22" s="4"/>
      <c r="M22" s="4"/>
      <c r="N22" s="4"/>
      <c r="O22" s="4"/>
      <c r="P22" s="27"/>
      <c r="Q22" s="25">
        <v>200</v>
      </c>
      <c r="R22" s="25">
        <v>1</v>
      </c>
      <c r="S22" s="12">
        <f t="shared" si="8"/>
        <v>200</v>
      </c>
      <c r="T22" s="5">
        <v>0</v>
      </c>
      <c r="U22" s="12">
        <f t="shared" si="9"/>
        <v>200</v>
      </c>
      <c r="V22" s="25" t="s">
        <v>10</v>
      </c>
      <c r="W22" s="11">
        <f>IFERROR(VLOOKUP(V22,Curr!$B$2:$C$13,2,FALSE),0)</f>
        <v>11</v>
      </c>
      <c r="X22" s="12">
        <f t="shared" si="10"/>
        <v>2200</v>
      </c>
      <c r="Y22" s="26">
        <f>Q22/0.85</f>
        <v>235.29411764705884</v>
      </c>
      <c r="Z22" s="12">
        <f t="shared" si="2"/>
        <v>235.29411764705884</v>
      </c>
      <c r="AA22" s="4" t="s">
        <v>10</v>
      </c>
      <c r="AB22" s="11">
        <f>IFERROR(VLOOKUP(AA22,Curr!$B$2:$C$13,2,FALSE),0)</f>
        <v>11</v>
      </c>
      <c r="AC22" s="12">
        <f t="shared" si="3"/>
        <v>2588.2352941176473</v>
      </c>
      <c r="AD22" s="12">
        <f t="shared" si="4"/>
        <v>388.2352941176473</v>
      </c>
      <c r="AE22" s="13">
        <f t="shared" si="5"/>
        <v>0.15000000000000008</v>
      </c>
    </row>
    <row r="23" spans="2:31" x14ac:dyDescent="0.25">
      <c r="B23" s="4"/>
      <c r="C23" s="1" t="s">
        <v>92</v>
      </c>
      <c r="D23" s="1" t="s">
        <v>60</v>
      </c>
      <c r="E23" s="3"/>
      <c r="F23" s="3"/>
      <c r="G23" s="24"/>
      <c r="H23" s="24"/>
      <c r="J23" s="1" t="s">
        <v>136</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2"/>
        <v>0</v>
      </c>
      <c r="Z24" s="12">
        <f t="shared" si="2"/>
        <v>0</v>
      </c>
      <c r="AA24" s="4" t="s">
        <v>10</v>
      </c>
      <c r="AB24" s="11">
        <f>IFERROR(VLOOKUP(AA24,Curr!$B$2:$C$13,2,FALSE),0)</f>
        <v>11</v>
      </c>
      <c r="AC24" s="12">
        <f t="shared" si="3"/>
        <v>0</v>
      </c>
      <c r="AD24" s="12">
        <f t="shared" si="4"/>
        <v>0</v>
      </c>
      <c r="AE24" s="13">
        <f t="shared" si="5"/>
        <v>0</v>
      </c>
    </row>
    <row r="25" spans="2:31" x14ac:dyDescent="0.25">
      <c r="B25" s="4"/>
      <c r="C25" s="1" t="s">
        <v>94</v>
      </c>
      <c r="D25" s="1" t="s">
        <v>117</v>
      </c>
      <c r="E25" s="3"/>
      <c r="F25" s="3"/>
      <c r="G25" s="24"/>
      <c r="H25" s="24"/>
      <c r="J25" s="1" t="s">
        <v>133</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2"/>
        <v>0</v>
      </c>
      <c r="Z25" s="12">
        <f t="shared" si="2"/>
        <v>0</v>
      </c>
      <c r="AA25" s="4" t="s">
        <v>10</v>
      </c>
      <c r="AB25" s="11">
        <f>IFERROR(VLOOKUP(AA25,Curr!$B$2:$C$13,2,FALSE),0)</f>
        <v>11</v>
      </c>
      <c r="AC25" s="12">
        <f t="shared" si="3"/>
        <v>0</v>
      </c>
      <c r="AD25" s="12">
        <f t="shared" si="4"/>
        <v>0</v>
      </c>
      <c r="AE25" s="13">
        <f t="shared" si="5"/>
        <v>0</v>
      </c>
    </row>
    <row r="26" spans="2:31" x14ac:dyDescent="0.25">
      <c r="B26" s="4"/>
      <c r="C26" s="1" t="s">
        <v>94</v>
      </c>
      <c r="D26" s="1" t="s">
        <v>78</v>
      </c>
      <c r="E26" s="3"/>
      <c r="F26" s="3"/>
      <c r="G26" s="24"/>
      <c r="H26" s="24"/>
      <c r="J26" s="1" t="s">
        <v>81</v>
      </c>
      <c r="K26" s="4"/>
      <c r="L26" s="4"/>
      <c r="M26" s="4"/>
      <c r="N26" s="4"/>
      <c r="O26" s="4"/>
      <c r="P26" s="27"/>
      <c r="Q26" s="25">
        <v>0</v>
      </c>
      <c r="R26" s="25">
        <v>0</v>
      </c>
      <c r="S26" s="12">
        <f t="shared" si="8"/>
        <v>0</v>
      </c>
      <c r="T26" s="5">
        <v>0</v>
      </c>
      <c r="U26" s="12">
        <f t="shared" si="9"/>
        <v>0</v>
      </c>
      <c r="V26" s="25" t="s">
        <v>10</v>
      </c>
      <c r="W26" s="11">
        <f>IFERROR(VLOOKUP(V26,Curr!$B$2:$C$13,2,FALSE),0)</f>
        <v>11</v>
      </c>
      <c r="X26" s="12">
        <f t="shared" si="10"/>
        <v>0</v>
      </c>
      <c r="Y26" s="26">
        <f t="shared" si="12"/>
        <v>0</v>
      </c>
      <c r="Z26" s="12">
        <f t="shared" si="2"/>
        <v>0</v>
      </c>
      <c r="AA26" s="4" t="s">
        <v>10</v>
      </c>
      <c r="AB26" s="11">
        <f>IFERROR(VLOOKUP(AA26,Curr!$B$2:$C$13,2,FALSE),0)</f>
        <v>11</v>
      </c>
      <c r="AC26" s="12">
        <f t="shared" si="3"/>
        <v>0</v>
      </c>
      <c r="AD26" s="12">
        <f t="shared" si="4"/>
        <v>0</v>
      </c>
      <c r="AE26" s="13">
        <f t="shared" si="5"/>
        <v>0</v>
      </c>
    </row>
    <row r="27" spans="2:31" hidden="1" x14ac:dyDescent="0.25">
      <c r="B27" s="4"/>
      <c r="E27" s="3"/>
      <c r="F27" s="3"/>
      <c r="G27" s="24"/>
      <c r="H27" s="24"/>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1"/>
        <v>0</v>
      </c>
      <c r="Z27" s="12">
        <f t="shared" si="2"/>
        <v>0</v>
      </c>
      <c r="AA27" s="4" t="s">
        <v>10</v>
      </c>
      <c r="AB27" s="11">
        <f>IFERROR(VLOOKUP(AA27,Curr!$B$2:$C$13,2,FALSE),0)</f>
        <v>11</v>
      </c>
      <c r="AC27" s="12">
        <f t="shared" si="3"/>
        <v>0</v>
      </c>
      <c r="AD27" s="12">
        <f t="shared" si="4"/>
        <v>0</v>
      </c>
      <c r="AE27" s="13">
        <f t="shared" si="5"/>
        <v>0</v>
      </c>
    </row>
    <row r="28" spans="2:31" hidden="1" x14ac:dyDescent="0.25">
      <c r="B28" s="4"/>
      <c r="E28" s="3"/>
      <c r="F28" s="3"/>
      <c r="G28" s="24"/>
      <c r="H28" s="24"/>
      <c r="K28" s="4"/>
      <c r="L28" s="4"/>
      <c r="M28" s="4"/>
      <c r="N28" s="4"/>
      <c r="O28" s="4"/>
      <c r="P28" s="33"/>
      <c r="Q28" s="25">
        <v>0</v>
      </c>
      <c r="R28" s="25">
        <v>0</v>
      </c>
      <c r="S28" s="12">
        <f t="shared" si="8"/>
        <v>0</v>
      </c>
      <c r="T28" s="5">
        <v>0</v>
      </c>
      <c r="U28" s="12">
        <f t="shared" si="9"/>
        <v>0</v>
      </c>
      <c r="V28" s="25" t="s">
        <v>10</v>
      </c>
      <c r="W28" s="11">
        <f>IFERROR(VLOOKUP(V28,Curr!$B$2:$C$13,2,FALSE),0)</f>
        <v>11</v>
      </c>
      <c r="X28" s="12">
        <f t="shared" si="10"/>
        <v>0</v>
      </c>
      <c r="Y28" s="26">
        <f t="shared" si="11"/>
        <v>0</v>
      </c>
      <c r="Z28" s="12">
        <f t="shared" si="2"/>
        <v>0</v>
      </c>
      <c r="AA28" s="4" t="s">
        <v>10</v>
      </c>
      <c r="AB28" s="11">
        <f>IFERROR(VLOOKUP(AA28,Curr!$B$2:$C$13,2,FALSE),0)</f>
        <v>11</v>
      </c>
      <c r="AC28" s="12">
        <f t="shared" si="3"/>
        <v>0</v>
      </c>
      <c r="AD28" s="12">
        <f t="shared" si="4"/>
        <v>0</v>
      </c>
      <c r="AE28" s="13">
        <f t="shared" si="5"/>
        <v>0</v>
      </c>
    </row>
    <row r="29" spans="2:31" x14ac:dyDescent="0.25">
      <c r="B29" s="4"/>
      <c r="C29" s="1" t="s">
        <v>55</v>
      </c>
      <c r="D29" s="1" t="s">
        <v>127</v>
      </c>
      <c r="E29" s="3"/>
      <c r="F29" s="3"/>
      <c r="G29" s="24"/>
      <c r="H29" s="24"/>
      <c r="J29" s="1" t="s">
        <v>131</v>
      </c>
      <c r="K29" s="4"/>
      <c r="L29" s="4"/>
      <c r="M29" s="4"/>
      <c r="N29" s="4"/>
      <c r="O29" s="4"/>
      <c r="P29" s="27"/>
      <c r="Q29" s="25">
        <v>160</v>
      </c>
      <c r="R29" s="25">
        <v>0</v>
      </c>
      <c r="S29" s="12">
        <f t="shared" si="8"/>
        <v>0</v>
      </c>
      <c r="T29" s="5">
        <v>0.2</v>
      </c>
      <c r="U29" s="12">
        <f t="shared" si="9"/>
        <v>0</v>
      </c>
      <c r="V29" s="25" t="s">
        <v>10</v>
      </c>
      <c r="W29" s="11">
        <f>IFERROR(VLOOKUP(V29,Curr!$B$2:$C$13,2,FALSE),0)</f>
        <v>11</v>
      </c>
      <c r="X29" s="12">
        <f t="shared" si="10"/>
        <v>0</v>
      </c>
      <c r="Y29" s="26">
        <f t="shared" si="11"/>
        <v>160</v>
      </c>
      <c r="Z29" s="12">
        <f t="shared" si="2"/>
        <v>0</v>
      </c>
      <c r="AA29" s="4" t="s">
        <v>10</v>
      </c>
      <c r="AB29" s="11">
        <f>IFERROR(VLOOKUP(AA29,Curr!$B$2:$C$13,2,FALSE),0)</f>
        <v>11</v>
      </c>
      <c r="AC29" s="12">
        <f t="shared" si="3"/>
        <v>0</v>
      </c>
      <c r="AD29" s="12">
        <f t="shared" si="4"/>
        <v>0</v>
      </c>
      <c r="AE29" s="13">
        <f t="shared" si="5"/>
        <v>0</v>
      </c>
    </row>
    <row r="30" spans="2:31" x14ac:dyDescent="0.25">
      <c r="B30" s="4"/>
      <c r="C30" s="1" t="s">
        <v>55</v>
      </c>
      <c r="D30" s="1" t="s">
        <v>127</v>
      </c>
      <c r="E30" s="3"/>
      <c r="F30" s="3"/>
      <c r="G30" s="24"/>
      <c r="H30" s="24"/>
      <c r="J30" s="1" t="s">
        <v>132</v>
      </c>
      <c r="K30" s="4"/>
      <c r="L30" s="4"/>
      <c r="M30" s="4"/>
      <c r="N30" s="4"/>
      <c r="O30" s="4"/>
      <c r="P30" s="33"/>
      <c r="Q30" s="25">
        <v>39</v>
      </c>
      <c r="R30" s="25">
        <v>0</v>
      </c>
      <c r="S30" s="12">
        <f t="shared" si="8"/>
        <v>0</v>
      </c>
      <c r="T30" s="5">
        <v>0.2</v>
      </c>
      <c r="U30" s="12">
        <f t="shared" si="9"/>
        <v>0</v>
      </c>
      <c r="V30" s="25" t="s">
        <v>10</v>
      </c>
      <c r="W30" s="11">
        <f>IFERROR(VLOOKUP(V30,Curr!$B$2:$C$13,2,FALSE),0)</f>
        <v>11</v>
      </c>
      <c r="X30" s="12">
        <f t="shared" si="10"/>
        <v>0</v>
      </c>
      <c r="Y30" s="26">
        <f t="shared" si="11"/>
        <v>39</v>
      </c>
      <c r="Z30" s="12">
        <f t="shared" si="2"/>
        <v>0</v>
      </c>
      <c r="AA30" s="4" t="s">
        <v>10</v>
      </c>
      <c r="AB30" s="11">
        <f>IFERROR(VLOOKUP(AA30,Curr!$B$2:$C$13,2,FALSE),0)</f>
        <v>11</v>
      </c>
      <c r="AC30" s="12">
        <f t="shared" si="3"/>
        <v>0</v>
      </c>
      <c r="AD30" s="12">
        <f t="shared" si="4"/>
        <v>0</v>
      </c>
      <c r="AE30" s="13">
        <f t="shared" si="5"/>
        <v>0</v>
      </c>
    </row>
    <row r="31" spans="2:31" x14ac:dyDescent="0.25">
      <c r="B31" s="4"/>
      <c r="C31" s="1" t="s">
        <v>94</v>
      </c>
      <c r="D31" s="1" t="s">
        <v>127</v>
      </c>
      <c r="E31" s="3"/>
      <c r="F31" s="3"/>
      <c r="G31" s="24"/>
      <c r="H31" s="24"/>
      <c r="J31" s="1" t="s">
        <v>134</v>
      </c>
      <c r="K31" s="4"/>
      <c r="L31" s="4"/>
      <c r="M31" s="4"/>
      <c r="N31" s="4"/>
      <c r="O31" s="4"/>
      <c r="P31" s="27"/>
      <c r="Q31" s="25">
        <v>160</v>
      </c>
      <c r="R31" s="25">
        <v>0</v>
      </c>
      <c r="S31" s="12">
        <f t="shared" si="8"/>
        <v>0</v>
      </c>
      <c r="T31" s="5">
        <v>0.2</v>
      </c>
      <c r="U31" s="12">
        <f t="shared" si="9"/>
        <v>0</v>
      </c>
      <c r="V31" s="25" t="s">
        <v>10</v>
      </c>
      <c r="W31" s="11">
        <f>IFERROR(VLOOKUP(V31,Curr!$B$2:$C$13,2,FALSE),0)</f>
        <v>11</v>
      </c>
      <c r="X31" s="12">
        <f t="shared" si="10"/>
        <v>0</v>
      </c>
      <c r="Y31" s="26">
        <f t="shared" si="11"/>
        <v>160</v>
      </c>
      <c r="Z31" s="12">
        <f t="shared" si="2"/>
        <v>0</v>
      </c>
      <c r="AA31" s="4" t="s">
        <v>10</v>
      </c>
      <c r="AB31" s="11">
        <f>IFERROR(VLOOKUP(AA31,Curr!$B$2:$C$13,2,FALSE),0)</f>
        <v>11</v>
      </c>
      <c r="AC31" s="12">
        <f t="shared" si="3"/>
        <v>0</v>
      </c>
      <c r="AD31" s="12">
        <f t="shared" si="4"/>
        <v>0</v>
      </c>
      <c r="AE31" s="13">
        <f t="shared" si="5"/>
        <v>0</v>
      </c>
    </row>
    <row r="32" spans="2:31" x14ac:dyDescent="0.25">
      <c r="B32" s="4"/>
      <c r="C32" s="1" t="s">
        <v>94</v>
      </c>
      <c r="D32" s="1" t="s">
        <v>127</v>
      </c>
      <c r="E32" s="3"/>
      <c r="F32" s="3"/>
      <c r="G32" s="24"/>
      <c r="H32" s="24"/>
      <c r="J32" s="1" t="s">
        <v>135</v>
      </c>
      <c r="K32" s="4"/>
      <c r="L32" s="4"/>
      <c r="M32" s="4"/>
      <c r="N32" s="4"/>
      <c r="O32" s="4"/>
      <c r="P32" s="33"/>
      <c r="Q32" s="25">
        <v>39</v>
      </c>
      <c r="R32" s="25">
        <v>0</v>
      </c>
      <c r="S32" s="12">
        <f t="shared" si="8"/>
        <v>0</v>
      </c>
      <c r="T32" s="5">
        <v>0.2</v>
      </c>
      <c r="U32" s="12">
        <f t="shared" si="9"/>
        <v>0</v>
      </c>
      <c r="V32" s="25" t="s">
        <v>10</v>
      </c>
      <c r="W32" s="11">
        <f>IFERROR(VLOOKUP(V32,Curr!$B$2:$C$13,2,FALSE),0)</f>
        <v>11</v>
      </c>
      <c r="X32" s="12">
        <f t="shared" si="10"/>
        <v>0</v>
      </c>
      <c r="Y32" s="26">
        <f t="shared" si="11"/>
        <v>39</v>
      </c>
      <c r="Z32" s="12">
        <f t="shared" si="2"/>
        <v>0</v>
      </c>
      <c r="AA32" s="4" t="s">
        <v>10</v>
      </c>
      <c r="AB32" s="11">
        <f>IFERROR(VLOOKUP(AA32,Curr!$B$2:$C$13,2,FALSE),0)</f>
        <v>11</v>
      </c>
      <c r="AC32" s="12">
        <f t="shared" si="3"/>
        <v>0</v>
      </c>
      <c r="AD32" s="12">
        <f t="shared" si="4"/>
        <v>0</v>
      </c>
      <c r="AE32" s="13">
        <f t="shared" si="5"/>
        <v>0</v>
      </c>
    </row>
    <row r="33" spans="2:31" hidden="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1" hidden="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83</v>
      </c>
      <c r="E35" s="3"/>
      <c r="F35" s="3"/>
      <c r="G35" s="24"/>
      <c r="H35" s="24"/>
      <c r="J35" s="1" t="s">
        <v>184</v>
      </c>
      <c r="K35" s="4"/>
      <c r="L35" s="4"/>
      <c r="M35" s="4"/>
      <c r="N35" s="4"/>
      <c r="O35" s="4"/>
      <c r="P35" s="33" t="s">
        <v>243</v>
      </c>
      <c r="Q35" s="25">
        <v>37</v>
      </c>
      <c r="R35" s="25">
        <v>0</v>
      </c>
      <c r="S35" s="12">
        <f t="shared" si="8"/>
        <v>0</v>
      </c>
      <c r="T35" s="5">
        <v>0.2</v>
      </c>
      <c r="U35" s="12">
        <f t="shared" si="9"/>
        <v>0</v>
      </c>
      <c r="V35" s="25" t="s">
        <v>10</v>
      </c>
      <c r="W35" s="11">
        <f>IFERROR(VLOOKUP(V35,Curr!$B$2:$C$13,2,FALSE),0)</f>
        <v>11</v>
      </c>
      <c r="X35" s="12">
        <f t="shared" si="10"/>
        <v>0</v>
      </c>
      <c r="Y35" s="26">
        <f t="shared" si="11"/>
        <v>37</v>
      </c>
      <c r="Z35" s="12">
        <f t="shared" ref="Z35" si="13">+Y35*R35</f>
        <v>0</v>
      </c>
      <c r="AA35" s="4" t="s">
        <v>10</v>
      </c>
      <c r="AB35" s="11">
        <f>IFERROR(VLOOKUP(AA35,Curr!$B$2:$C$13,2,FALSE),0)</f>
        <v>11</v>
      </c>
      <c r="AC35" s="12">
        <f t="shared" ref="AC35" si="14">+Y35*AB35*R35</f>
        <v>0</v>
      </c>
      <c r="AD35" s="12">
        <f t="shared" ref="AD35" si="15">+AC35-X35</f>
        <v>0</v>
      </c>
      <c r="AE35" s="13">
        <f t="shared" ref="AE35" si="16">IFERROR(AD35/AC35,0)</f>
        <v>0</v>
      </c>
    </row>
    <row r="36" spans="2:31" x14ac:dyDescent="0.25">
      <c r="B36" s="4"/>
      <c r="C36" s="1" t="s">
        <v>66</v>
      </c>
      <c r="D36" s="1" t="s">
        <v>83</v>
      </c>
      <c r="J36" s="1" t="s">
        <v>155</v>
      </c>
      <c r="K36" s="4"/>
      <c r="L36" s="4"/>
      <c r="M36" s="4"/>
      <c r="N36" s="4"/>
      <c r="O36" s="4"/>
      <c r="P36" s="29"/>
      <c r="Q36" s="25">
        <v>50</v>
      </c>
      <c r="R36" s="25">
        <v>0</v>
      </c>
      <c r="S36" s="12">
        <f t="shared" si="8"/>
        <v>0</v>
      </c>
      <c r="T36" s="5">
        <v>0</v>
      </c>
      <c r="U36" s="12">
        <f t="shared" si="9"/>
        <v>0</v>
      </c>
      <c r="V36" s="25" t="s">
        <v>10</v>
      </c>
      <c r="W36" s="11">
        <f>IFERROR(VLOOKUP(V36,Curr!$B$2:$C$13,2,FALSE),0)</f>
        <v>11</v>
      </c>
      <c r="X36" s="12">
        <f t="shared" si="10"/>
        <v>0</v>
      </c>
      <c r="Y36" s="26">
        <f>Q36/0.8</f>
        <v>62.5</v>
      </c>
      <c r="Z36" s="12">
        <f t="shared" si="2"/>
        <v>0</v>
      </c>
      <c r="AA36" s="4" t="s">
        <v>10</v>
      </c>
      <c r="AB36" s="11">
        <f>IFERROR(VLOOKUP(AA36,Curr!$B$2:$C$13,2,FALSE),0)</f>
        <v>11</v>
      </c>
      <c r="AC36" s="12">
        <f t="shared" si="3"/>
        <v>0</v>
      </c>
      <c r="AD36" s="12">
        <f t="shared" si="4"/>
        <v>0</v>
      </c>
      <c r="AE36" s="13">
        <f t="shared" si="5"/>
        <v>0</v>
      </c>
    </row>
    <row r="37" spans="2:31" x14ac:dyDescent="0.25">
      <c r="B37" s="4"/>
      <c r="C37" s="1" t="s">
        <v>92</v>
      </c>
      <c r="D37" s="1" t="s">
        <v>83</v>
      </c>
      <c r="E37" s="3"/>
      <c r="F37" s="3"/>
      <c r="G37" s="24"/>
      <c r="H37" s="24"/>
      <c r="J37" s="1" t="s">
        <v>137</v>
      </c>
      <c r="K37" s="4"/>
      <c r="L37" s="4"/>
      <c r="M37" s="4"/>
      <c r="N37" s="4"/>
      <c r="O37" s="4"/>
      <c r="P37" s="33" t="s">
        <v>182</v>
      </c>
      <c r="Q37" s="25">
        <v>163</v>
      </c>
      <c r="R37" s="25">
        <v>0</v>
      </c>
      <c r="S37" s="12">
        <f t="shared" si="8"/>
        <v>0</v>
      </c>
      <c r="T37" s="5">
        <v>0.2</v>
      </c>
      <c r="U37" s="12">
        <f t="shared" si="9"/>
        <v>0</v>
      </c>
      <c r="V37" s="25" t="s">
        <v>10</v>
      </c>
      <c r="W37" s="11">
        <f>IFERROR(VLOOKUP(V37,Curr!$B$2:$C$13,2,FALSE),0)</f>
        <v>11</v>
      </c>
      <c r="X37" s="12">
        <f t="shared" si="10"/>
        <v>0</v>
      </c>
      <c r="Y37" s="26">
        <f t="shared" ref="Y37" si="17">Q37</f>
        <v>163</v>
      </c>
      <c r="Z37" s="12">
        <f t="shared" si="2"/>
        <v>0</v>
      </c>
      <c r="AA37" s="4" t="s">
        <v>10</v>
      </c>
      <c r="AB37" s="11">
        <f>IFERROR(VLOOKUP(AA37,Curr!$B$2:$C$13,2,FALSE),0)</f>
        <v>11</v>
      </c>
      <c r="AC37" s="12">
        <f t="shared" si="3"/>
        <v>0</v>
      </c>
      <c r="AD37" s="12">
        <f t="shared" si="4"/>
        <v>0</v>
      </c>
      <c r="AE37" s="13">
        <f t="shared" si="5"/>
        <v>0</v>
      </c>
    </row>
    <row r="38" spans="2:31" hidden="1" x14ac:dyDescent="0.25">
      <c r="B38" s="4"/>
      <c r="E38" s="3"/>
      <c r="F38" s="3"/>
      <c r="G38" s="24"/>
      <c r="H38" s="24"/>
      <c r="K38" s="4"/>
      <c r="L38" s="4"/>
      <c r="M38" s="4"/>
      <c r="N38" s="4"/>
      <c r="O38" s="4"/>
      <c r="P38" s="33"/>
      <c r="Q38" s="25"/>
      <c r="R38" s="25"/>
      <c r="S38" s="12">
        <f t="shared" si="8"/>
        <v>0</v>
      </c>
      <c r="T38" s="5">
        <v>0</v>
      </c>
      <c r="U38" s="12">
        <f t="shared" si="9"/>
        <v>0</v>
      </c>
      <c r="V38" s="25" t="s">
        <v>10</v>
      </c>
      <c r="W38" s="11">
        <f>IFERROR(VLOOKUP(V38,Curr!$B$2:$C$13,2,FALSE),0)</f>
        <v>11</v>
      </c>
      <c r="X38" s="12">
        <f t="shared" si="10"/>
        <v>0</v>
      </c>
      <c r="Y38" s="26">
        <f t="shared" si="11"/>
        <v>0</v>
      </c>
      <c r="Z38" s="12">
        <f t="shared" si="2"/>
        <v>0</v>
      </c>
      <c r="AA38" s="4" t="s">
        <v>10</v>
      </c>
      <c r="AB38" s="11">
        <f>IFERROR(VLOOKUP(AA38,Curr!$B$2:$C$13,2,FALSE),0)</f>
        <v>11</v>
      </c>
      <c r="AC38" s="12">
        <f t="shared" si="3"/>
        <v>0</v>
      </c>
      <c r="AD38" s="12">
        <f t="shared" si="4"/>
        <v>0</v>
      </c>
      <c r="AE38" s="13">
        <f t="shared" si="5"/>
        <v>0</v>
      </c>
    </row>
    <row r="39" spans="2:31" hidden="1" x14ac:dyDescent="0.25">
      <c r="B39" s="4"/>
      <c r="E39" s="3"/>
      <c r="F39" s="3"/>
      <c r="G39" s="24"/>
      <c r="H39" s="24"/>
      <c r="K39" s="4"/>
      <c r="L39" s="4"/>
      <c r="M39" s="4"/>
      <c r="N39" s="4"/>
      <c r="O39" s="4"/>
      <c r="P39" s="27"/>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x14ac:dyDescent="0.25">
      <c r="B40" s="4"/>
      <c r="C40" s="1" t="s">
        <v>65</v>
      </c>
      <c r="D40" s="1" t="s">
        <v>128</v>
      </c>
      <c r="E40" s="3"/>
      <c r="F40" s="3"/>
      <c r="G40" s="24"/>
      <c r="H40" s="24"/>
      <c r="J40" s="1" t="s">
        <v>191</v>
      </c>
      <c r="K40" s="4"/>
      <c r="L40" s="4"/>
      <c r="M40" s="4"/>
      <c r="N40" s="4"/>
      <c r="O40" s="4"/>
      <c r="P40" s="27"/>
      <c r="Q40" s="25">
        <v>310</v>
      </c>
      <c r="R40" s="25">
        <v>0</v>
      </c>
      <c r="S40" s="12">
        <f t="shared" si="8"/>
        <v>0</v>
      </c>
      <c r="T40" s="5">
        <v>0</v>
      </c>
      <c r="U40" s="12">
        <f t="shared" si="9"/>
        <v>0</v>
      </c>
      <c r="V40" s="25" t="s">
        <v>10</v>
      </c>
      <c r="W40" s="11">
        <f>IFERROR(VLOOKUP(V40,Curr!$B$2:$C$13,2,FALSE),0)</f>
        <v>11</v>
      </c>
      <c r="X40" s="12">
        <f t="shared" si="10"/>
        <v>0</v>
      </c>
      <c r="Y40" s="26">
        <f>Q40/0.8</f>
        <v>387.5</v>
      </c>
      <c r="Z40" s="12">
        <f t="shared" si="2"/>
        <v>0</v>
      </c>
      <c r="AA40" s="4" t="s">
        <v>10</v>
      </c>
      <c r="AB40" s="11">
        <f>IFERROR(VLOOKUP(AA40,Curr!$B$2:$C$13,2,FALSE),0)</f>
        <v>11</v>
      </c>
      <c r="AC40" s="12">
        <f t="shared" si="3"/>
        <v>0</v>
      </c>
      <c r="AD40" s="12">
        <f t="shared" si="4"/>
        <v>0</v>
      </c>
      <c r="AE40" s="13">
        <f t="shared" si="5"/>
        <v>0</v>
      </c>
    </row>
    <row r="41" spans="2:31" hidden="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hidden="1" x14ac:dyDescent="0.25">
      <c r="B42" s="4"/>
      <c r="E42" s="3"/>
      <c r="F42" s="3"/>
      <c r="G42" s="24"/>
      <c r="H42" s="24"/>
      <c r="K42" s="4"/>
      <c r="L42" s="4"/>
      <c r="M42" s="4"/>
      <c r="N42" s="4"/>
      <c r="O42" s="4"/>
      <c r="P42" s="33"/>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x14ac:dyDescent="0.25">
      <c r="B43" s="4"/>
      <c r="C43" s="1" t="s">
        <v>94</v>
      </c>
      <c r="D43" s="1" t="s">
        <v>138</v>
      </c>
      <c r="E43" s="3"/>
      <c r="F43" s="3"/>
      <c r="G43" s="24"/>
      <c r="H43" s="24"/>
      <c r="J43" s="1" t="s">
        <v>139</v>
      </c>
      <c r="K43" s="4"/>
      <c r="L43" s="4"/>
      <c r="M43" s="4"/>
      <c r="N43" s="4"/>
      <c r="O43" s="4"/>
      <c r="P43" s="27"/>
      <c r="Q43" s="25">
        <v>225</v>
      </c>
      <c r="R43" s="25">
        <v>0</v>
      </c>
      <c r="S43" s="12">
        <f t="shared" si="8"/>
        <v>0</v>
      </c>
      <c r="T43" s="5">
        <v>0</v>
      </c>
      <c r="U43" s="12">
        <f t="shared" si="9"/>
        <v>0</v>
      </c>
      <c r="V43" s="25" t="s">
        <v>10</v>
      </c>
      <c r="W43" s="11">
        <f>IFERROR(VLOOKUP(V43,Curr!$B$2:$C$13,2,FALSE),0)</f>
        <v>11</v>
      </c>
      <c r="X43" s="12">
        <f t="shared" si="10"/>
        <v>0</v>
      </c>
      <c r="Y43" s="26">
        <f>Q43/0.85</f>
        <v>264.70588235294116</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33"/>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33"/>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hidden="1"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hidden="1"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hidden="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hidden="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hidden="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hidden="1" x14ac:dyDescent="0.25">
      <c r="B56" s="4"/>
      <c r="E56" s="3"/>
      <c r="F56" s="3"/>
      <c r="G56" s="3"/>
      <c r="H56" s="3"/>
      <c r="L56" s="4"/>
      <c r="M56" s="4"/>
      <c r="N56" s="4"/>
      <c r="O56" s="4"/>
      <c r="P56" s="22"/>
      <c r="Q56" s="4"/>
      <c r="R56" s="4"/>
      <c r="S56" s="4"/>
      <c r="T56" s="4"/>
      <c r="U56" s="4"/>
      <c r="V56" s="4"/>
      <c r="W56" s="4"/>
      <c r="X56" s="4"/>
      <c r="Y56" s="4"/>
      <c r="Z56" s="4"/>
      <c r="AA56" s="4"/>
      <c r="AB56" s="4"/>
      <c r="AC56" s="4"/>
      <c r="AD56" s="4"/>
      <c r="AE56" s="4"/>
      <c r="AF56" s="4"/>
    </row>
    <row r="57" spans="2:36" x14ac:dyDescent="0.25">
      <c r="B57" s="14" t="s">
        <v>18</v>
      </c>
      <c r="C57" s="14"/>
      <c r="D57" s="28" t="s">
        <v>42</v>
      </c>
      <c r="E57" s="30" t="s">
        <v>42</v>
      </c>
      <c r="F57" s="30" t="s">
        <v>42</v>
      </c>
      <c r="G57" s="30" t="s">
        <v>42</v>
      </c>
      <c r="H57" s="30" t="s">
        <v>42</v>
      </c>
      <c r="I57" s="28" t="s">
        <v>42</v>
      </c>
      <c r="J57" s="28" t="s">
        <v>42</v>
      </c>
      <c r="K57" s="28" t="s">
        <v>42</v>
      </c>
      <c r="L57" s="28" t="s">
        <v>42</v>
      </c>
      <c r="M57" s="28" t="s">
        <v>42</v>
      </c>
      <c r="N57" s="28" t="s">
        <v>42</v>
      </c>
      <c r="O57" s="28" t="s">
        <v>42</v>
      </c>
      <c r="P57" s="28" t="s">
        <v>42</v>
      </c>
      <c r="Q57" s="31" t="s">
        <v>42</v>
      </c>
      <c r="R57" s="28" t="s">
        <v>42</v>
      </c>
      <c r="S57" s="32" t="s">
        <v>42</v>
      </c>
      <c r="T57" s="28" t="s">
        <v>42</v>
      </c>
      <c r="U57" s="32" t="s">
        <v>42</v>
      </c>
      <c r="V57" s="28" t="s">
        <v>42</v>
      </c>
      <c r="W57" s="28" t="s">
        <v>42</v>
      </c>
      <c r="X57" s="32" t="s">
        <v>42</v>
      </c>
      <c r="Y57" s="32" t="s">
        <v>42</v>
      </c>
      <c r="Z57" s="15">
        <f>SUM(Z7:Z55)</f>
        <v>3339.588235294118</v>
      </c>
      <c r="AA57" s="14"/>
      <c r="AB57" s="14"/>
      <c r="AC57" s="15">
        <f>SUM(AC7:AC55)</f>
        <v>36735.470588235301</v>
      </c>
      <c r="AD57" s="15">
        <f>SUM(AD7:AD55)</f>
        <v>5759.4705882352937</v>
      </c>
      <c r="AE57" s="21">
        <f t="shared" ref="AE57" si="18">IFERROR(AD57/AC57,0)</f>
        <v>0.15678227326369926</v>
      </c>
      <c r="AF57" s="15">
        <f>SUM(AF8:AF56)</f>
        <v>0</v>
      </c>
      <c r="AG57" s="15">
        <f>SUM(AG8:AG56)</f>
        <v>0</v>
      </c>
      <c r="AH57" s="15">
        <f>SUM(AH8:AH56)</f>
        <v>0</v>
      </c>
      <c r="AI57" s="15">
        <f>SUM(AI8:AI56)</f>
        <v>0</v>
      </c>
      <c r="AJ57" s="15">
        <f>SUM(AJ8:AJ56)</f>
        <v>0</v>
      </c>
    </row>
    <row r="58" spans="2:36" x14ac:dyDescent="0.25">
      <c r="B58" s="4"/>
      <c r="E58" s="3"/>
      <c r="F58" s="3"/>
      <c r="G58" s="3"/>
      <c r="H58" s="3"/>
      <c r="L58" s="4"/>
      <c r="M58" s="4"/>
      <c r="N58" s="4"/>
      <c r="O58" s="4"/>
      <c r="Q58" s="4"/>
      <c r="R58" s="4"/>
      <c r="S58" s="4"/>
      <c r="T58" s="4"/>
      <c r="U58" s="4"/>
      <c r="V58" s="4"/>
      <c r="W58" s="4"/>
      <c r="X58" s="4"/>
      <c r="Y58" s="9"/>
      <c r="Z58" s="9"/>
      <c r="AA58" s="9"/>
      <c r="AB58" s="9"/>
      <c r="AC58" s="9"/>
      <c r="AD58" s="9"/>
      <c r="AE58" s="9"/>
    </row>
    <row r="59" spans="2:36" x14ac:dyDescent="0.25">
      <c r="B59" s="4"/>
      <c r="E59" s="3"/>
      <c r="F59" s="3"/>
      <c r="G59" s="3"/>
      <c r="H59" s="3"/>
      <c r="L59" s="4"/>
      <c r="M59" s="4"/>
      <c r="N59" s="4"/>
      <c r="O59" s="4"/>
      <c r="Q59" s="9"/>
      <c r="R59" s="9"/>
      <c r="S59" s="9"/>
      <c r="T59" s="9"/>
      <c r="U59" s="9"/>
      <c r="V59" s="9"/>
      <c r="W59" s="9"/>
      <c r="X59" s="23"/>
      <c r="Y59" s="34" t="s">
        <v>234</v>
      </c>
      <c r="Z59" s="34">
        <f>Z12</f>
        <v>2869</v>
      </c>
      <c r="AA59" s="9"/>
      <c r="AB59" s="9"/>
      <c r="AC59" s="9"/>
      <c r="AD59" s="9"/>
      <c r="AE59" s="9"/>
    </row>
    <row r="60" spans="2:36" x14ac:dyDescent="0.25">
      <c r="B60" s="4"/>
      <c r="E60" s="3"/>
      <c r="F60" s="3"/>
      <c r="G60" s="3"/>
      <c r="H60" s="3"/>
      <c r="L60" s="4"/>
      <c r="M60" s="4"/>
      <c r="N60" s="4"/>
      <c r="O60" s="4"/>
      <c r="Q60" s="9"/>
      <c r="R60" s="9"/>
      <c r="S60" s="9"/>
      <c r="T60" s="9"/>
      <c r="U60" s="9"/>
      <c r="V60" s="9"/>
      <c r="W60" s="9"/>
      <c r="X60" s="9"/>
      <c r="Y60" s="35" t="s">
        <v>235</v>
      </c>
      <c r="Z60" s="34">
        <f>Z9+Z22</f>
        <v>470.58823529411768</v>
      </c>
      <c r="AA60" s="9"/>
      <c r="AB60" s="9"/>
      <c r="AC60" s="9"/>
      <c r="AD60" s="9"/>
      <c r="AE60" s="9"/>
      <c r="AF60" s="18"/>
    </row>
    <row r="61" spans="2:36" x14ac:dyDescent="0.25">
      <c r="B61" s="4"/>
      <c r="E61" s="3"/>
      <c r="F61" s="3"/>
      <c r="G61" s="3"/>
      <c r="H61" s="3"/>
      <c r="I61" s="19"/>
      <c r="L61" s="4"/>
      <c r="M61" s="4"/>
      <c r="N61" s="4"/>
      <c r="O61" s="20"/>
      <c r="Q61" s="20"/>
      <c r="R61" s="20"/>
      <c r="S61" s="20"/>
      <c r="T61" s="20"/>
      <c r="U61" s="20"/>
      <c r="V61" s="20"/>
      <c r="W61" s="20"/>
      <c r="X61" s="20"/>
      <c r="Y61" s="34" t="s">
        <v>236</v>
      </c>
      <c r="Z61" s="34">
        <v>3340</v>
      </c>
      <c r="AA61" s="9"/>
      <c r="AB61" s="9"/>
      <c r="AC61" s="9"/>
      <c r="AD61" s="9"/>
      <c r="AE61" s="9"/>
      <c r="AF61" s="18"/>
    </row>
    <row r="62" spans="2:36" x14ac:dyDescent="0.25">
      <c r="B62" s="4"/>
      <c r="E62" s="3"/>
      <c r="F62" s="3"/>
      <c r="G62" s="3"/>
      <c r="H62" s="3"/>
      <c r="L62" s="4"/>
      <c r="M62" s="4"/>
      <c r="N62" s="4"/>
      <c r="O62" s="20"/>
      <c r="Q62" s="20"/>
      <c r="R62" s="20"/>
      <c r="S62" s="20"/>
      <c r="T62" s="20"/>
      <c r="U62" s="20"/>
      <c r="V62" s="20"/>
      <c r="W62" s="20"/>
      <c r="X62" s="20"/>
      <c r="Y62" s="34" t="s">
        <v>45</v>
      </c>
      <c r="Z62" s="34">
        <f>Z61/2</f>
        <v>1670</v>
      </c>
      <c r="AA62" s="9"/>
      <c r="AB62" s="9"/>
      <c r="AC62" s="9"/>
      <c r="AD62" s="9"/>
      <c r="AE62" s="9"/>
      <c r="AF62" s="18"/>
    </row>
    <row r="63" spans="2:36" x14ac:dyDescent="0.25">
      <c r="B63" s="4"/>
      <c r="E63" s="3"/>
      <c r="F63" s="3"/>
      <c r="G63" s="3"/>
      <c r="H63" s="3"/>
      <c r="L63" s="4"/>
      <c r="M63" s="4"/>
      <c r="N63" s="4"/>
      <c r="O63" s="4"/>
      <c r="Q63" s="9"/>
      <c r="R63" s="9"/>
      <c r="S63" s="9"/>
      <c r="T63" s="9"/>
      <c r="U63" s="9"/>
      <c r="V63" s="9"/>
      <c r="W63" s="9"/>
      <c r="X63" s="9"/>
      <c r="Y63" s="1"/>
      <c r="Z63" s="1"/>
      <c r="AA63" s="9"/>
      <c r="AB63" s="9"/>
      <c r="AC63" s="9"/>
      <c r="AD63" s="9"/>
      <c r="AE63" s="9"/>
      <c r="AF63" s="18"/>
    </row>
    <row r="64" spans="2:36" x14ac:dyDescent="0.25">
      <c r="F64" s="1"/>
      <c r="G64" s="1"/>
      <c r="H64" s="1"/>
      <c r="J64" s="1" t="s">
        <v>32</v>
      </c>
      <c r="Q64" s="9"/>
      <c r="R64" s="4"/>
      <c r="S64" s="9"/>
      <c r="T64" s="5"/>
      <c r="U64" s="9"/>
      <c r="V64" s="4"/>
      <c r="W64" s="4"/>
      <c r="X64" s="9"/>
      <c r="Y64" s="9" t="s">
        <v>46</v>
      </c>
      <c r="Z64" s="9">
        <f>Z61-Z65</f>
        <v>3340</v>
      </c>
      <c r="AA64" s="9"/>
      <c r="AB64" s="9"/>
      <c r="AC64" s="9"/>
      <c r="AD64" s="9"/>
      <c r="AE64" s="9"/>
    </row>
    <row r="65" spans="17:31" x14ac:dyDescent="0.25">
      <c r="R65" s="4"/>
      <c r="S65" s="17"/>
      <c r="T65" s="17"/>
      <c r="U65" s="9"/>
      <c r="V65" s="4"/>
      <c r="W65" s="4"/>
      <c r="X65" s="9"/>
      <c r="Y65" s="9" t="s">
        <v>47</v>
      </c>
      <c r="Z65" s="9">
        <v>0</v>
      </c>
      <c r="AA65" s="9"/>
      <c r="AB65" s="9"/>
      <c r="AC65" s="9"/>
      <c r="AD65" s="9"/>
      <c r="AE65" s="9"/>
    </row>
    <row r="66" spans="17:31" x14ac:dyDescent="0.25">
      <c r="Q66" s="9"/>
      <c r="R66" s="4"/>
      <c r="S66" s="16"/>
      <c r="T66" s="16"/>
      <c r="U66" s="9"/>
      <c r="V66" s="4"/>
      <c r="W66" s="4"/>
      <c r="X66" s="9"/>
      <c r="Y66" s="9"/>
      <c r="Z66" s="9"/>
      <c r="AA66" s="9"/>
      <c r="AB66" s="9"/>
      <c r="AC66" s="9"/>
      <c r="AD66" s="9"/>
      <c r="AE66" s="9"/>
    </row>
    <row r="67" spans="17:31" x14ac:dyDescent="0.25">
      <c r="R67" s="4"/>
      <c r="S67" s="16"/>
      <c r="T67" s="16"/>
      <c r="Y67" s="9" t="s">
        <v>48</v>
      </c>
      <c r="Z67" s="9">
        <f>Z61*0.3</f>
        <v>1002</v>
      </c>
      <c r="AA67" s="9"/>
      <c r="AB67" s="9"/>
      <c r="AC67" s="9"/>
      <c r="AD67" s="9"/>
      <c r="AE67" s="9"/>
    </row>
    <row r="68" spans="17:31" x14ac:dyDescent="0.25">
      <c r="T68" s="5"/>
      <c r="Y68" s="9" t="s">
        <v>49</v>
      </c>
      <c r="Z68" s="9">
        <f>Z61-Z67</f>
        <v>2338</v>
      </c>
      <c r="AA68" s="9"/>
      <c r="AB68" s="9"/>
      <c r="AC68" s="9"/>
      <c r="AD68" s="9"/>
      <c r="AE68" s="9"/>
    </row>
    <row r="69" spans="17:31" x14ac:dyDescent="0.25">
      <c r="T69" s="5"/>
      <c r="Y69" s="9"/>
      <c r="Z69" s="9"/>
      <c r="AA69" s="9"/>
      <c r="AB69" s="9"/>
      <c r="AC69" s="9"/>
      <c r="AD69" s="9"/>
      <c r="AE69" s="9"/>
    </row>
    <row r="70" spans="17:31" x14ac:dyDescent="0.25">
      <c r="T70" s="5"/>
      <c r="Y70" s="9"/>
      <c r="Z70" s="9"/>
      <c r="AA70" s="9"/>
      <c r="AB70" s="9"/>
      <c r="AC70" s="9"/>
      <c r="AD70" s="9"/>
      <c r="AE70" s="9"/>
    </row>
    <row r="71" spans="17:31" x14ac:dyDescent="0.25">
      <c r="T71" s="5"/>
      <c r="Y71" s="9"/>
      <c r="Z71" s="9"/>
      <c r="AA71" s="9"/>
      <c r="AB71" s="9"/>
      <c r="AC71" s="9"/>
      <c r="AD71" s="9"/>
      <c r="AE71" s="9"/>
    </row>
    <row r="72" spans="17:31" x14ac:dyDescent="0.25">
      <c r="T72" s="5"/>
      <c r="Y72" s="9"/>
      <c r="Z72" s="9"/>
      <c r="AA72" s="9"/>
      <c r="AB72" s="9"/>
      <c r="AC72" s="9"/>
      <c r="AD72" s="9"/>
      <c r="AE72" s="9"/>
    </row>
    <row r="73" spans="17:31" x14ac:dyDescent="0.25">
      <c r="T73" s="5"/>
      <c r="Y73" s="9"/>
      <c r="Z73" s="9"/>
      <c r="AA73" s="9"/>
      <c r="AB73" s="9"/>
      <c r="AC73" s="9"/>
      <c r="AD73" s="9"/>
      <c r="AE73" s="9"/>
    </row>
    <row r="74" spans="17:31" x14ac:dyDescent="0.25">
      <c r="T74" s="5"/>
      <c r="Y74" s="9"/>
      <c r="Z74" s="9"/>
      <c r="AA74" s="9"/>
      <c r="AB74" s="9"/>
      <c r="AC74" s="9"/>
      <c r="AD74" s="9"/>
      <c r="AE74" s="9"/>
    </row>
    <row r="75" spans="17:31" x14ac:dyDescent="0.25">
      <c r="T75" s="5"/>
      <c r="Y75" s="9"/>
      <c r="Z75" s="9"/>
      <c r="AA75" s="9"/>
      <c r="AB75" s="9"/>
      <c r="AC75" s="9"/>
      <c r="AD75" s="9"/>
      <c r="AE75" s="9"/>
    </row>
    <row r="76" spans="17:31" x14ac:dyDescent="0.25">
      <c r="T76" s="5"/>
    </row>
    <row r="77" spans="17:31" x14ac:dyDescent="0.25">
      <c r="T77" s="5"/>
    </row>
    <row r="78" spans="17:31" x14ac:dyDescent="0.25">
      <c r="T78" s="5"/>
    </row>
    <row r="79" spans="17:31" x14ac:dyDescent="0.25">
      <c r="T79" s="5"/>
    </row>
    <row r="80" spans="17:31" x14ac:dyDescent="0.25">
      <c r="T80" s="5"/>
    </row>
  </sheetData>
  <autoFilter ref="B6:AE57" xr:uid="{65FA6D9B-E0AF-46CD-BA0D-86BB75FE6AB0}">
    <filterColumn colId="8">
      <customFilters>
        <customFilter operator="notEqual" val=" "/>
      </customFilters>
    </filterColumn>
  </autoFilter>
  <hyperlinks>
    <hyperlink ref="P12" r:id="rId1" xr:uid="{59660B36-2C94-494A-A633-CEBD7E1C6D78}"/>
    <hyperlink ref="P37" r:id="rId2" xr:uid="{6A5B17AA-87D0-4246-92BB-0E7686E4D30E}"/>
    <hyperlink ref="P35" r:id="rId3" xr:uid="{991D7799-8740-409F-8656-19EDDBFDA61B}"/>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146F-70D8-4FEB-BD8E-0D38A3EE0517}">
  <sheetPr filterMode="1">
    <tabColor rgb="FFFFFF00"/>
  </sheetPr>
  <dimension ref="B1:AK82"/>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163</v>
      </c>
    </row>
    <row r="3" spans="2:36" x14ac:dyDescent="0.25">
      <c r="B3" s="2" t="s">
        <v>53</v>
      </c>
    </row>
    <row r="4" spans="2:36" x14ac:dyDescent="0.25">
      <c r="B4" s="2" t="s">
        <v>265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57" si="2">+Y7*R7</f>
        <v>0</v>
      </c>
      <c r="AA7" s="4" t="s">
        <v>10</v>
      </c>
      <c r="AB7" s="11">
        <f>IFERROR(VLOOKUP(AA7,Curr!$B$2:$C$13,2,FALSE),0)</f>
        <v>11</v>
      </c>
      <c r="AC7" s="12">
        <f t="shared" ref="AC7:AC57" si="3">+Y7*AB7*R7</f>
        <v>0</v>
      </c>
      <c r="AD7" s="12">
        <f t="shared" ref="AD7:AD57" si="4">+AC7-X7</f>
        <v>0</v>
      </c>
      <c r="AE7" s="13">
        <f t="shared" ref="AE7:AE57"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57" si="8">+Q11*R11</f>
        <v>0</v>
      </c>
      <c r="T11" s="5">
        <v>0</v>
      </c>
      <c r="U11" s="12">
        <f t="shared" ref="U11:U57" si="9">S11*(1-T11)</f>
        <v>0</v>
      </c>
      <c r="V11" s="25" t="s">
        <v>10</v>
      </c>
      <c r="W11" s="11">
        <f>IFERROR(VLOOKUP(V11,Curr!$B$2:$C$13,2,FALSE),0)</f>
        <v>11</v>
      </c>
      <c r="X11" s="12">
        <f t="shared" ref="X11:X57" si="10">U11*W11</f>
        <v>0</v>
      </c>
      <c r="Y11" s="26">
        <f t="shared" ref="Y11:Y57"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179</v>
      </c>
      <c r="K12" s="4"/>
      <c r="L12" s="4"/>
      <c r="M12" s="4"/>
      <c r="N12" s="4"/>
      <c r="O12" s="4"/>
      <c r="P12" s="33" t="s">
        <v>156</v>
      </c>
      <c r="Q12" s="25">
        <v>1975</v>
      </c>
      <c r="R12" s="25">
        <v>2</v>
      </c>
      <c r="S12" s="12">
        <f t="shared" si="8"/>
        <v>3950</v>
      </c>
      <c r="T12" s="5">
        <v>0.2</v>
      </c>
      <c r="U12" s="12">
        <f t="shared" si="9"/>
        <v>3160</v>
      </c>
      <c r="V12" s="25" t="s">
        <v>10</v>
      </c>
      <c r="W12" s="11">
        <f>IFERROR(VLOOKUP(V12,Curr!$B$2:$C$13,2,FALSE),0)</f>
        <v>11</v>
      </c>
      <c r="X12" s="12">
        <f t="shared" si="10"/>
        <v>34760</v>
      </c>
      <c r="Y12" s="26">
        <f>Q12*0.95</f>
        <v>1876.25</v>
      </c>
      <c r="Z12" s="12">
        <f t="shared" si="2"/>
        <v>3752.5</v>
      </c>
      <c r="AA12" s="4" t="s">
        <v>10</v>
      </c>
      <c r="AB12" s="11">
        <f>IFERROR(VLOOKUP(AA12,Curr!$B$2:$C$13,2,FALSE),0)</f>
        <v>11</v>
      </c>
      <c r="AC12" s="12">
        <f t="shared" si="3"/>
        <v>41277.5</v>
      </c>
      <c r="AD12" s="12">
        <f t="shared" si="4"/>
        <v>6517.5</v>
      </c>
      <c r="AE12" s="13">
        <f t="shared" si="5"/>
        <v>0.15789473684210525</v>
      </c>
    </row>
    <row r="13" spans="2:36" x14ac:dyDescent="0.25">
      <c r="B13" s="4"/>
      <c r="C13" s="1" t="s">
        <v>65</v>
      </c>
      <c r="D13" s="1" t="s">
        <v>120</v>
      </c>
      <c r="E13" s="3"/>
      <c r="F13" s="3"/>
      <c r="G13" s="24"/>
      <c r="H13" s="24"/>
      <c r="J13" s="1" t="s">
        <v>157</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8"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158</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159</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160</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161</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94</v>
      </c>
      <c r="D23" s="1" t="s">
        <v>120</v>
      </c>
      <c r="E23" s="3"/>
      <c r="F23" s="3"/>
      <c r="G23" s="24"/>
      <c r="H23" s="24"/>
      <c r="J23" s="1" t="s">
        <v>162</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x14ac:dyDescent="0.25">
      <c r="B24" s="4"/>
      <c r="C24" s="1" t="s">
        <v>94</v>
      </c>
      <c r="D24" s="1" t="s">
        <v>59</v>
      </c>
      <c r="E24" s="3"/>
      <c r="F24" s="3"/>
      <c r="G24" s="24"/>
      <c r="H24" s="24"/>
      <c r="J24" s="1" t="s">
        <v>146</v>
      </c>
      <c r="K24" s="4"/>
      <c r="L24" s="4"/>
      <c r="M24" s="4"/>
      <c r="N24" s="4"/>
      <c r="O24" s="4"/>
      <c r="P24" s="27"/>
      <c r="Q24" s="25">
        <v>200</v>
      </c>
      <c r="R24" s="25">
        <v>1</v>
      </c>
      <c r="S24" s="12">
        <f t="shared" si="8"/>
        <v>200</v>
      </c>
      <c r="T24" s="5">
        <v>0</v>
      </c>
      <c r="U24" s="12">
        <f t="shared" si="9"/>
        <v>200</v>
      </c>
      <c r="V24" s="25" t="s">
        <v>10</v>
      </c>
      <c r="W24" s="11">
        <f>IFERROR(VLOOKUP(V24,Curr!$B$2:$C$13,2,FALSE),0)</f>
        <v>11</v>
      </c>
      <c r="X24" s="12">
        <f t="shared" si="10"/>
        <v>2200</v>
      </c>
      <c r="Y24" s="26">
        <f>Q24/0.85</f>
        <v>235.29411764705884</v>
      </c>
      <c r="Z24" s="12">
        <f t="shared" si="2"/>
        <v>235.29411764705884</v>
      </c>
      <c r="AA24" s="4" t="s">
        <v>10</v>
      </c>
      <c r="AB24" s="11">
        <f>IFERROR(VLOOKUP(AA24,Curr!$B$2:$C$13,2,FALSE),0)</f>
        <v>11</v>
      </c>
      <c r="AC24" s="12">
        <f t="shared" si="3"/>
        <v>2588.2352941176473</v>
      </c>
      <c r="AD24" s="12">
        <f t="shared" si="4"/>
        <v>388.2352941176473</v>
      </c>
      <c r="AE24" s="13">
        <f t="shared" si="5"/>
        <v>0.15000000000000008</v>
      </c>
    </row>
    <row r="25" spans="2:31" x14ac:dyDescent="0.25">
      <c r="B25" s="4"/>
      <c r="C25" s="1" t="s">
        <v>94</v>
      </c>
      <c r="D25" s="1" t="s">
        <v>60</v>
      </c>
      <c r="E25" s="3"/>
      <c r="F25" s="3"/>
      <c r="G25" s="24"/>
      <c r="H25" s="24"/>
      <c r="J25" s="1" t="s">
        <v>136</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2"/>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v>
      </c>
      <c r="X26" s="12">
        <f t="shared" si="10"/>
        <v>0</v>
      </c>
      <c r="Y26" s="26">
        <f t="shared" si="12"/>
        <v>0</v>
      </c>
      <c r="Z26" s="12">
        <f t="shared" si="2"/>
        <v>0</v>
      </c>
      <c r="AA26" s="4" t="s">
        <v>10</v>
      </c>
      <c r="AB26" s="11">
        <f>IFERROR(VLOOKUP(AA26,Curr!$B$2:$C$13,2,FALSE),0)</f>
        <v>11</v>
      </c>
      <c r="AC26" s="12">
        <f t="shared" si="3"/>
        <v>0</v>
      </c>
      <c r="AD26" s="12">
        <f t="shared" si="4"/>
        <v>0</v>
      </c>
      <c r="AE26" s="13">
        <f t="shared" si="5"/>
        <v>0</v>
      </c>
    </row>
    <row r="27" spans="2:31" x14ac:dyDescent="0.25">
      <c r="B27" s="4"/>
      <c r="C27" s="1" t="s">
        <v>101</v>
      </c>
      <c r="D27" s="1" t="s">
        <v>117</v>
      </c>
      <c r="E27" s="3"/>
      <c r="F27" s="3"/>
      <c r="G27" s="24"/>
      <c r="H27" s="24"/>
      <c r="J27" s="1" t="s">
        <v>133</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2"/>
        <v>0</v>
      </c>
      <c r="Z27" s="12">
        <f t="shared" si="2"/>
        <v>0</v>
      </c>
      <c r="AA27" s="4" t="s">
        <v>10</v>
      </c>
      <c r="AB27" s="11">
        <f>IFERROR(VLOOKUP(AA27,Curr!$B$2:$C$13,2,FALSE),0)</f>
        <v>11</v>
      </c>
      <c r="AC27" s="12">
        <f t="shared" si="3"/>
        <v>0</v>
      </c>
      <c r="AD27" s="12">
        <f t="shared" si="4"/>
        <v>0</v>
      </c>
      <c r="AE27" s="13">
        <f t="shared" si="5"/>
        <v>0</v>
      </c>
    </row>
    <row r="28" spans="2:31" x14ac:dyDescent="0.25">
      <c r="B28" s="4"/>
      <c r="C28" s="1" t="s">
        <v>101</v>
      </c>
      <c r="D28" s="1" t="s">
        <v>78</v>
      </c>
      <c r="E28" s="3"/>
      <c r="F28" s="3"/>
      <c r="G28" s="24"/>
      <c r="H28" s="24"/>
      <c r="J28" s="1" t="s">
        <v>81</v>
      </c>
      <c r="K28" s="4"/>
      <c r="L28" s="4"/>
      <c r="M28" s="4"/>
      <c r="N28" s="4"/>
      <c r="O28" s="4"/>
      <c r="P28" s="27"/>
      <c r="Q28" s="25">
        <v>0</v>
      </c>
      <c r="R28" s="25">
        <v>0</v>
      </c>
      <c r="S28" s="12">
        <f t="shared" si="8"/>
        <v>0</v>
      </c>
      <c r="T28" s="5">
        <v>0</v>
      </c>
      <c r="U28" s="12">
        <f t="shared" si="9"/>
        <v>0</v>
      </c>
      <c r="V28" s="25" t="s">
        <v>10</v>
      </c>
      <c r="W28" s="11">
        <f>IFERROR(VLOOKUP(V28,Curr!$B$2:$C$13,2,FALSE),0)</f>
        <v>11</v>
      </c>
      <c r="X28" s="12">
        <f t="shared" si="10"/>
        <v>0</v>
      </c>
      <c r="Y28" s="26">
        <f t="shared" si="12"/>
        <v>0</v>
      </c>
      <c r="Z28" s="12">
        <f t="shared" si="2"/>
        <v>0</v>
      </c>
      <c r="AA28" s="4" t="s">
        <v>10</v>
      </c>
      <c r="AB28" s="11">
        <f>IFERROR(VLOOKUP(AA28,Curr!$B$2:$C$13,2,FALSE),0)</f>
        <v>11</v>
      </c>
      <c r="AC28" s="12">
        <f t="shared" si="3"/>
        <v>0</v>
      </c>
      <c r="AD28" s="12">
        <f t="shared" si="4"/>
        <v>0</v>
      </c>
      <c r="AE28" s="13">
        <f t="shared" si="5"/>
        <v>0</v>
      </c>
    </row>
    <row r="29" spans="2:31" hidden="1" x14ac:dyDescent="0.25">
      <c r="B29" s="4"/>
      <c r="E29" s="3"/>
      <c r="F29" s="3"/>
      <c r="G29" s="24"/>
      <c r="H29" s="24"/>
      <c r="K29" s="4"/>
      <c r="L29" s="4"/>
      <c r="M29" s="4"/>
      <c r="N29" s="4"/>
      <c r="O29" s="4"/>
      <c r="P29" s="29"/>
      <c r="Q29" s="25"/>
      <c r="R29" s="25"/>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hidden="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C31" s="1" t="s">
        <v>55</v>
      </c>
      <c r="D31" s="1" t="s">
        <v>127</v>
      </c>
      <c r="E31" s="3"/>
      <c r="F31" s="3"/>
      <c r="G31" s="24"/>
      <c r="H31" s="24"/>
      <c r="J31" s="1" t="s">
        <v>131</v>
      </c>
      <c r="K31" s="4"/>
      <c r="L31" s="4"/>
      <c r="M31" s="4"/>
      <c r="N31" s="4"/>
      <c r="O31" s="4"/>
      <c r="P31" s="27"/>
      <c r="Q31" s="25">
        <v>160</v>
      </c>
      <c r="R31" s="25">
        <v>0</v>
      </c>
      <c r="S31" s="12">
        <f t="shared" si="8"/>
        <v>0</v>
      </c>
      <c r="T31" s="5">
        <v>0.2</v>
      </c>
      <c r="U31" s="12">
        <f t="shared" si="9"/>
        <v>0</v>
      </c>
      <c r="V31" s="25" t="s">
        <v>10</v>
      </c>
      <c r="W31" s="11">
        <f>IFERROR(VLOOKUP(V31,Curr!$B$2:$C$13,2,FALSE),0)</f>
        <v>11</v>
      </c>
      <c r="X31" s="12">
        <f t="shared" si="10"/>
        <v>0</v>
      </c>
      <c r="Y31" s="26">
        <f t="shared" si="11"/>
        <v>160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127</v>
      </c>
      <c r="E32" s="3"/>
      <c r="F32" s="3"/>
      <c r="G32" s="24"/>
      <c r="H32" s="24"/>
      <c r="J32" s="1" t="s">
        <v>132</v>
      </c>
      <c r="K32" s="4"/>
      <c r="L32" s="4"/>
      <c r="M32" s="4"/>
      <c r="N32" s="4"/>
      <c r="O32" s="4"/>
      <c r="P32" s="33"/>
      <c r="Q32" s="25">
        <v>39</v>
      </c>
      <c r="R32" s="25">
        <v>0</v>
      </c>
      <c r="S32" s="12">
        <f t="shared" si="8"/>
        <v>0</v>
      </c>
      <c r="T32" s="5">
        <v>0.2</v>
      </c>
      <c r="U32" s="12">
        <f t="shared" si="9"/>
        <v>0</v>
      </c>
      <c r="V32" s="25" t="s">
        <v>10</v>
      </c>
      <c r="W32" s="11">
        <f>IFERROR(VLOOKUP(V32,Curr!$B$2:$C$13,2,FALSE),0)</f>
        <v>11</v>
      </c>
      <c r="X32" s="12">
        <f t="shared" si="10"/>
        <v>0</v>
      </c>
      <c r="Y32" s="26">
        <f t="shared" si="11"/>
        <v>39</v>
      </c>
      <c r="Z32" s="12">
        <f t="shared" si="2"/>
        <v>0</v>
      </c>
      <c r="AA32" s="4" t="s">
        <v>10</v>
      </c>
      <c r="AB32" s="11">
        <f>IFERROR(VLOOKUP(AA32,Curr!$B$2:$C$13,2,FALSE),0)</f>
        <v>11</v>
      </c>
      <c r="AC32" s="12">
        <f t="shared" si="3"/>
        <v>0</v>
      </c>
      <c r="AD32" s="12">
        <f t="shared" si="4"/>
        <v>0</v>
      </c>
      <c r="AE32" s="13">
        <f t="shared" si="5"/>
        <v>0</v>
      </c>
    </row>
    <row r="33" spans="2:31" x14ac:dyDescent="0.25">
      <c r="B33" s="4"/>
      <c r="C33" s="1" t="s">
        <v>101</v>
      </c>
      <c r="D33" s="1" t="s">
        <v>127</v>
      </c>
      <c r="E33" s="3"/>
      <c r="F33" s="3"/>
      <c r="G33" s="24"/>
      <c r="H33" s="24"/>
      <c r="J33" s="1" t="s">
        <v>134</v>
      </c>
      <c r="K33" s="4"/>
      <c r="L33" s="4"/>
      <c r="M33" s="4"/>
      <c r="N33" s="4"/>
      <c r="O33" s="4"/>
      <c r="P33" s="27"/>
      <c r="Q33" s="25">
        <v>160</v>
      </c>
      <c r="R33" s="25">
        <v>0</v>
      </c>
      <c r="S33" s="12">
        <f t="shared" si="8"/>
        <v>0</v>
      </c>
      <c r="T33" s="5">
        <v>0.2</v>
      </c>
      <c r="U33" s="12">
        <f t="shared" si="9"/>
        <v>0</v>
      </c>
      <c r="V33" s="25" t="s">
        <v>10</v>
      </c>
      <c r="W33" s="11">
        <f>IFERROR(VLOOKUP(V33,Curr!$B$2:$C$13,2,FALSE),0)</f>
        <v>11</v>
      </c>
      <c r="X33" s="12">
        <f t="shared" si="10"/>
        <v>0</v>
      </c>
      <c r="Y33" s="26">
        <f t="shared" si="11"/>
        <v>160</v>
      </c>
      <c r="Z33" s="12">
        <f t="shared" si="2"/>
        <v>0</v>
      </c>
      <c r="AA33" s="4" t="s">
        <v>10</v>
      </c>
      <c r="AB33" s="11">
        <f>IFERROR(VLOOKUP(AA33,Curr!$B$2:$C$13,2,FALSE),0)</f>
        <v>11</v>
      </c>
      <c r="AC33" s="12">
        <f t="shared" si="3"/>
        <v>0</v>
      </c>
      <c r="AD33" s="12">
        <f t="shared" si="4"/>
        <v>0</v>
      </c>
      <c r="AE33" s="13">
        <f t="shared" si="5"/>
        <v>0</v>
      </c>
    </row>
    <row r="34" spans="2:31" x14ac:dyDescent="0.25">
      <c r="B34" s="4"/>
      <c r="C34" s="1" t="s">
        <v>101</v>
      </c>
      <c r="D34" s="1" t="s">
        <v>127</v>
      </c>
      <c r="E34" s="3"/>
      <c r="F34" s="3"/>
      <c r="G34" s="24"/>
      <c r="H34" s="24"/>
      <c r="J34" s="1" t="s">
        <v>135</v>
      </c>
      <c r="K34" s="4"/>
      <c r="L34" s="4"/>
      <c r="M34" s="4"/>
      <c r="N34" s="4"/>
      <c r="O34" s="4"/>
      <c r="P34" s="33"/>
      <c r="Q34" s="25">
        <v>39</v>
      </c>
      <c r="R34" s="25">
        <v>0</v>
      </c>
      <c r="S34" s="12">
        <f t="shared" si="8"/>
        <v>0</v>
      </c>
      <c r="T34" s="5">
        <v>0.2</v>
      </c>
      <c r="U34" s="12">
        <f t="shared" si="9"/>
        <v>0</v>
      </c>
      <c r="V34" s="25" t="s">
        <v>10</v>
      </c>
      <c r="W34" s="11">
        <f>IFERROR(VLOOKUP(V34,Curr!$B$2:$C$13,2,FALSE),0)</f>
        <v>11</v>
      </c>
      <c r="X34" s="12">
        <f t="shared" si="10"/>
        <v>0</v>
      </c>
      <c r="Y34" s="26">
        <f t="shared" si="11"/>
        <v>39</v>
      </c>
      <c r="Z34" s="12">
        <f t="shared" si="2"/>
        <v>0</v>
      </c>
      <c r="AA34" s="4" t="s">
        <v>10</v>
      </c>
      <c r="AB34" s="11">
        <f>IFERROR(VLOOKUP(AA34,Curr!$B$2:$C$13,2,FALSE),0)</f>
        <v>11</v>
      </c>
      <c r="AC34" s="12">
        <f t="shared" si="3"/>
        <v>0</v>
      </c>
      <c r="AD34" s="12">
        <f t="shared" si="4"/>
        <v>0</v>
      </c>
      <c r="AE34" s="13">
        <f t="shared" si="5"/>
        <v>0</v>
      </c>
    </row>
    <row r="35" spans="2:31" hidden="1"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2"/>
        <v>0</v>
      </c>
      <c r="AA35" s="4" t="s">
        <v>10</v>
      </c>
      <c r="AB35" s="11">
        <f>IFERROR(VLOOKUP(AA35,Curr!$B$2:$C$13,2,FALSE),0)</f>
        <v>11</v>
      </c>
      <c r="AC35" s="12">
        <f t="shared" si="3"/>
        <v>0</v>
      </c>
      <c r="AD35" s="12">
        <f t="shared" si="4"/>
        <v>0</v>
      </c>
      <c r="AE35" s="13">
        <f t="shared" si="5"/>
        <v>0</v>
      </c>
    </row>
    <row r="36" spans="2:31" hidden="1"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1" x14ac:dyDescent="0.25">
      <c r="B37" s="4"/>
      <c r="C37" s="1" t="s">
        <v>55</v>
      </c>
      <c r="D37" s="1" t="s">
        <v>83</v>
      </c>
      <c r="E37" s="3"/>
      <c r="F37" s="3"/>
      <c r="G37" s="24"/>
      <c r="H37" s="24"/>
      <c r="J37" s="1" t="s">
        <v>184</v>
      </c>
      <c r="K37" s="4"/>
      <c r="L37" s="4"/>
      <c r="M37" s="4"/>
      <c r="N37" s="4"/>
      <c r="O37" s="4"/>
      <c r="P37" s="33" t="s">
        <v>243</v>
      </c>
      <c r="Q37" s="25">
        <v>37</v>
      </c>
      <c r="R37" s="25">
        <v>0</v>
      </c>
      <c r="S37" s="12">
        <f t="shared" si="8"/>
        <v>0</v>
      </c>
      <c r="T37" s="5">
        <v>0.2</v>
      </c>
      <c r="U37" s="12">
        <f t="shared" si="9"/>
        <v>0</v>
      </c>
      <c r="V37" s="25" t="s">
        <v>10</v>
      </c>
      <c r="W37" s="11">
        <f>IFERROR(VLOOKUP(V37,Curr!$B$2:$C$13,2,FALSE),0)</f>
        <v>11</v>
      </c>
      <c r="X37" s="12">
        <f t="shared" si="10"/>
        <v>0</v>
      </c>
      <c r="Y37" s="26">
        <f t="shared" si="11"/>
        <v>37</v>
      </c>
      <c r="Z37" s="12">
        <f t="shared" ref="Z37" si="13">+Y37*R37</f>
        <v>0</v>
      </c>
      <c r="AA37" s="4" t="s">
        <v>10</v>
      </c>
      <c r="AB37" s="11">
        <f>IFERROR(VLOOKUP(AA37,Curr!$B$2:$C$13,2,FALSE),0)</f>
        <v>11</v>
      </c>
      <c r="AC37" s="12">
        <f t="shared" ref="AC37" si="14">+Y37*AB37*R37</f>
        <v>0</v>
      </c>
      <c r="AD37" s="12">
        <f t="shared" ref="AD37" si="15">+AC37-X37</f>
        <v>0</v>
      </c>
      <c r="AE37" s="13">
        <f t="shared" ref="AE37" si="16">IFERROR(AD37/AC37,0)</f>
        <v>0</v>
      </c>
    </row>
    <row r="38" spans="2:31" x14ac:dyDescent="0.25">
      <c r="B38" s="4"/>
      <c r="C38" s="1" t="s">
        <v>67</v>
      </c>
      <c r="D38" s="1" t="s">
        <v>83</v>
      </c>
      <c r="J38" s="1" t="s">
        <v>165</v>
      </c>
      <c r="K38" s="4"/>
      <c r="L38" s="4"/>
      <c r="M38" s="4"/>
      <c r="N38" s="4"/>
      <c r="O38" s="4"/>
      <c r="P38" s="29"/>
      <c r="Q38" s="25">
        <v>127</v>
      </c>
      <c r="R38" s="25">
        <v>0</v>
      </c>
      <c r="S38" s="12">
        <f t="shared" si="8"/>
        <v>0</v>
      </c>
      <c r="T38" s="5">
        <v>0</v>
      </c>
      <c r="U38" s="12">
        <f t="shared" si="9"/>
        <v>0</v>
      </c>
      <c r="V38" s="25" t="s">
        <v>10</v>
      </c>
      <c r="W38" s="11">
        <f>IFERROR(VLOOKUP(V38,Curr!$B$2:$C$13,2,FALSE),0)</f>
        <v>11</v>
      </c>
      <c r="X38" s="12">
        <f t="shared" si="10"/>
        <v>0</v>
      </c>
      <c r="Y38" s="26">
        <f>Q38/0.8</f>
        <v>158.75</v>
      </c>
      <c r="Z38" s="12">
        <f t="shared" si="2"/>
        <v>0</v>
      </c>
      <c r="AA38" s="4" t="s">
        <v>10</v>
      </c>
      <c r="AB38" s="11">
        <f>IFERROR(VLOOKUP(AA38,Curr!$B$2:$C$13,2,FALSE),0)</f>
        <v>11</v>
      </c>
      <c r="AC38" s="12">
        <f t="shared" si="3"/>
        <v>0</v>
      </c>
      <c r="AD38" s="12">
        <f t="shared" si="4"/>
        <v>0</v>
      </c>
      <c r="AE38" s="13">
        <f t="shared" si="5"/>
        <v>0</v>
      </c>
    </row>
    <row r="39" spans="2:31" x14ac:dyDescent="0.25">
      <c r="B39" s="4"/>
      <c r="C39" s="1" t="s">
        <v>67</v>
      </c>
      <c r="D39" s="1" t="s">
        <v>83</v>
      </c>
      <c r="E39" s="3"/>
      <c r="F39" s="3"/>
      <c r="G39" s="24"/>
      <c r="H39" s="24"/>
      <c r="J39" s="1" t="s">
        <v>164</v>
      </c>
      <c r="K39" s="4"/>
      <c r="L39" s="4"/>
      <c r="M39" s="4"/>
      <c r="N39" s="4"/>
      <c r="O39" s="4"/>
      <c r="P39" s="33"/>
      <c r="Q39" s="25">
        <v>55</v>
      </c>
      <c r="R39" s="25">
        <v>0</v>
      </c>
      <c r="S39" s="12">
        <f t="shared" si="8"/>
        <v>0</v>
      </c>
      <c r="T39" s="5">
        <v>0</v>
      </c>
      <c r="U39" s="12">
        <f t="shared" si="9"/>
        <v>0</v>
      </c>
      <c r="V39" s="25" t="s">
        <v>10</v>
      </c>
      <c r="W39" s="11">
        <f>IFERROR(VLOOKUP(V39,Curr!$B$2:$C$13,2,FALSE),0)</f>
        <v>11</v>
      </c>
      <c r="X39" s="12">
        <f t="shared" si="10"/>
        <v>0</v>
      </c>
      <c r="Y39" s="26">
        <f>Q39/0.8</f>
        <v>68.75</v>
      </c>
      <c r="Z39" s="12">
        <f t="shared" si="2"/>
        <v>0</v>
      </c>
      <c r="AA39" s="4" t="s">
        <v>10</v>
      </c>
      <c r="AB39" s="11">
        <f>IFERROR(VLOOKUP(AA39,Curr!$B$2:$C$13,2,FALSE),0)</f>
        <v>11</v>
      </c>
      <c r="AC39" s="12">
        <f t="shared" si="3"/>
        <v>0</v>
      </c>
      <c r="AD39" s="12">
        <f t="shared" si="4"/>
        <v>0</v>
      </c>
      <c r="AE39" s="13">
        <f t="shared" si="5"/>
        <v>0</v>
      </c>
    </row>
    <row r="40" spans="2:31" x14ac:dyDescent="0.25">
      <c r="B40" s="4"/>
      <c r="C40" s="1" t="s">
        <v>101</v>
      </c>
      <c r="D40" s="1" t="s">
        <v>83</v>
      </c>
      <c r="E40" s="3"/>
      <c r="F40" s="3"/>
      <c r="G40" s="24"/>
      <c r="H40" s="24"/>
      <c r="J40" s="1" t="s">
        <v>137</v>
      </c>
      <c r="K40" s="4"/>
      <c r="L40" s="4"/>
      <c r="M40" s="4"/>
      <c r="N40" s="4"/>
      <c r="O40" s="4"/>
      <c r="P40" s="33" t="s">
        <v>182</v>
      </c>
      <c r="Q40" s="25">
        <v>163</v>
      </c>
      <c r="R40" s="25">
        <v>0</v>
      </c>
      <c r="S40" s="12">
        <f t="shared" si="8"/>
        <v>0</v>
      </c>
      <c r="T40" s="5">
        <v>0.2</v>
      </c>
      <c r="U40" s="12">
        <f t="shared" si="9"/>
        <v>0</v>
      </c>
      <c r="V40" s="25" t="s">
        <v>10</v>
      </c>
      <c r="W40" s="11">
        <f>IFERROR(VLOOKUP(V40,Curr!$B$2:$C$13,2,FALSE),0)</f>
        <v>11</v>
      </c>
      <c r="X40" s="12">
        <f t="shared" si="10"/>
        <v>0</v>
      </c>
      <c r="Y40" s="26">
        <f t="shared" ref="Y40" si="17">Q40</f>
        <v>163</v>
      </c>
      <c r="Z40" s="12">
        <f t="shared" si="2"/>
        <v>0</v>
      </c>
      <c r="AA40" s="4" t="s">
        <v>10</v>
      </c>
      <c r="AB40" s="11">
        <f>IFERROR(VLOOKUP(AA40,Curr!$B$2:$C$13,2,FALSE),0)</f>
        <v>11</v>
      </c>
      <c r="AC40" s="12">
        <f t="shared" si="3"/>
        <v>0</v>
      </c>
      <c r="AD40" s="12">
        <f t="shared" si="4"/>
        <v>0</v>
      </c>
      <c r="AE40" s="13">
        <f t="shared" si="5"/>
        <v>0</v>
      </c>
    </row>
    <row r="41" spans="2:31" hidden="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hidden="1" x14ac:dyDescent="0.25">
      <c r="B42" s="4"/>
      <c r="E42" s="3"/>
      <c r="F42" s="3"/>
      <c r="G42" s="24"/>
      <c r="H42" s="24"/>
      <c r="K42" s="4"/>
      <c r="L42" s="4"/>
      <c r="M42" s="4"/>
      <c r="N42" s="4"/>
      <c r="O42" s="4"/>
      <c r="P42" s="33"/>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x14ac:dyDescent="0.25">
      <c r="B43" s="4"/>
      <c r="C43" s="1" t="s">
        <v>65</v>
      </c>
      <c r="D43" s="1" t="s">
        <v>128</v>
      </c>
      <c r="E43" s="3"/>
      <c r="F43" s="3"/>
      <c r="G43" s="24"/>
      <c r="H43" s="24"/>
      <c r="J43" s="1" t="s">
        <v>191</v>
      </c>
      <c r="K43" s="4"/>
      <c r="L43" s="4"/>
      <c r="M43" s="4"/>
      <c r="N43" s="4"/>
      <c r="O43" s="4"/>
      <c r="P43" s="27"/>
      <c r="Q43" s="25">
        <v>385</v>
      </c>
      <c r="R43" s="25">
        <v>0</v>
      </c>
      <c r="S43" s="12">
        <f t="shared" si="8"/>
        <v>0</v>
      </c>
      <c r="T43" s="5">
        <v>0</v>
      </c>
      <c r="U43" s="12">
        <f t="shared" si="9"/>
        <v>0</v>
      </c>
      <c r="V43" s="25" t="s">
        <v>10</v>
      </c>
      <c r="W43" s="11">
        <f>IFERROR(VLOOKUP(V43,Curr!$B$2:$C$13,2,FALSE),0)</f>
        <v>11</v>
      </c>
      <c r="X43" s="12">
        <f t="shared" si="10"/>
        <v>0</v>
      </c>
      <c r="Y43" s="26">
        <f>Q43/0.8</f>
        <v>481.25</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ref="Y44:Y45" si="18">Q44</f>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8"/>
        <v>0</v>
      </c>
      <c r="Z45" s="12">
        <f t="shared" si="2"/>
        <v>0</v>
      </c>
      <c r="AA45" s="4" t="s">
        <v>10</v>
      </c>
      <c r="AB45" s="11">
        <f>IFERROR(VLOOKUP(AA45,Curr!$B$2:$C$13,2,FALSE),0)</f>
        <v>11</v>
      </c>
      <c r="AC45" s="12">
        <f t="shared" si="3"/>
        <v>0</v>
      </c>
      <c r="AD45" s="12">
        <f t="shared" si="4"/>
        <v>0</v>
      </c>
      <c r="AE45" s="13">
        <f t="shared" si="5"/>
        <v>0</v>
      </c>
    </row>
    <row r="46" spans="2:31" x14ac:dyDescent="0.25">
      <c r="B46" s="4"/>
      <c r="C46" s="1" t="s">
        <v>101</v>
      </c>
      <c r="D46" s="1" t="s">
        <v>138</v>
      </c>
      <c r="E46" s="3"/>
      <c r="F46" s="3"/>
      <c r="G46" s="24"/>
      <c r="H46" s="24"/>
      <c r="J46" s="1" t="s">
        <v>139</v>
      </c>
      <c r="K46" s="4"/>
      <c r="L46" s="4"/>
      <c r="M46" s="4"/>
      <c r="N46" s="4"/>
      <c r="O46" s="4"/>
      <c r="P46" s="27"/>
      <c r="Q46" s="25">
        <v>225</v>
      </c>
      <c r="R46" s="25">
        <v>0</v>
      </c>
      <c r="S46" s="12">
        <f t="shared" si="8"/>
        <v>0</v>
      </c>
      <c r="T46" s="5">
        <v>0</v>
      </c>
      <c r="U46" s="12">
        <f t="shared" si="9"/>
        <v>0</v>
      </c>
      <c r="V46" s="25" t="s">
        <v>10</v>
      </c>
      <c r="W46" s="11">
        <f>IFERROR(VLOOKUP(V46,Curr!$B$2:$C$13,2,FALSE),0)</f>
        <v>11</v>
      </c>
      <c r="X46" s="12">
        <f t="shared" si="10"/>
        <v>0</v>
      </c>
      <c r="Y46" s="26">
        <f>Q46/0.85</f>
        <v>264.70588235294116</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33"/>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hidden="1"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hidden="1"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hidden="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hidden="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hidden="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hidden="1"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v>
      </c>
      <c r="X56" s="12">
        <f t="shared" si="10"/>
        <v>0</v>
      </c>
      <c r="Y56" s="26">
        <f t="shared" si="11"/>
        <v>0</v>
      </c>
      <c r="Z56" s="12">
        <f t="shared" si="2"/>
        <v>0</v>
      </c>
      <c r="AA56" s="4" t="s">
        <v>10</v>
      </c>
      <c r="AB56" s="11">
        <f>IFERROR(VLOOKUP(AA56,Curr!$B$2:$C$13,2,FALSE),0)</f>
        <v>11</v>
      </c>
      <c r="AC56" s="12">
        <f t="shared" si="3"/>
        <v>0</v>
      </c>
      <c r="AD56" s="12">
        <f t="shared" si="4"/>
        <v>0</v>
      </c>
      <c r="AE56" s="13">
        <f t="shared" si="5"/>
        <v>0</v>
      </c>
    </row>
    <row r="57" spans="2:36" hidden="1"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v>
      </c>
      <c r="X57" s="12">
        <f t="shared" si="10"/>
        <v>0</v>
      </c>
      <c r="Y57" s="26">
        <f t="shared" si="11"/>
        <v>0</v>
      </c>
      <c r="Z57" s="12">
        <f t="shared" si="2"/>
        <v>0</v>
      </c>
      <c r="AA57" s="4" t="s">
        <v>10</v>
      </c>
      <c r="AB57" s="11">
        <f>IFERROR(VLOOKUP(AA57,Curr!$B$2:$C$13,2,FALSE),0)</f>
        <v>11</v>
      </c>
      <c r="AC57" s="12">
        <f t="shared" si="3"/>
        <v>0</v>
      </c>
      <c r="AD57" s="12">
        <f t="shared" si="4"/>
        <v>0</v>
      </c>
      <c r="AE57" s="13">
        <f t="shared" si="5"/>
        <v>0</v>
      </c>
    </row>
    <row r="58" spans="2:36" hidden="1" x14ac:dyDescent="0.25">
      <c r="B58" s="4"/>
      <c r="E58" s="3"/>
      <c r="F58" s="3"/>
      <c r="G58" s="3"/>
      <c r="H58" s="3"/>
      <c r="L58" s="4"/>
      <c r="M58" s="4"/>
      <c r="N58" s="4"/>
      <c r="O58" s="4"/>
      <c r="P58" s="22"/>
      <c r="Q58" s="4"/>
      <c r="R58" s="4"/>
      <c r="S58" s="4"/>
      <c r="T58" s="4"/>
      <c r="U58" s="4"/>
      <c r="V58" s="4"/>
      <c r="W58" s="4"/>
      <c r="X58" s="4"/>
      <c r="Y58" s="4"/>
      <c r="Z58" s="4"/>
      <c r="AA58" s="4"/>
      <c r="AB58" s="4"/>
      <c r="AC58" s="4"/>
      <c r="AD58" s="4"/>
      <c r="AE58" s="4"/>
      <c r="AF58" s="4"/>
    </row>
    <row r="59" spans="2:36" x14ac:dyDescent="0.25">
      <c r="B59" s="14" t="s">
        <v>18</v>
      </c>
      <c r="C59" s="14"/>
      <c r="D59" s="28" t="s">
        <v>42</v>
      </c>
      <c r="E59" s="30" t="s">
        <v>42</v>
      </c>
      <c r="F59" s="30" t="s">
        <v>42</v>
      </c>
      <c r="G59" s="30" t="s">
        <v>42</v>
      </c>
      <c r="H59" s="30" t="s">
        <v>42</v>
      </c>
      <c r="I59" s="28" t="s">
        <v>42</v>
      </c>
      <c r="J59" s="28" t="s">
        <v>42</v>
      </c>
      <c r="K59" s="28" t="s">
        <v>42</v>
      </c>
      <c r="L59" s="28" t="s">
        <v>42</v>
      </c>
      <c r="M59" s="28" t="s">
        <v>42</v>
      </c>
      <c r="N59" s="28" t="s">
        <v>42</v>
      </c>
      <c r="O59" s="28" t="s">
        <v>42</v>
      </c>
      <c r="P59" s="28" t="s">
        <v>42</v>
      </c>
      <c r="Q59" s="31" t="s">
        <v>42</v>
      </c>
      <c r="R59" s="28" t="s">
        <v>42</v>
      </c>
      <c r="S59" s="32" t="s">
        <v>42</v>
      </c>
      <c r="T59" s="28" t="s">
        <v>42</v>
      </c>
      <c r="U59" s="32" t="s">
        <v>42</v>
      </c>
      <c r="V59" s="28" t="s">
        <v>42</v>
      </c>
      <c r="W59" s="28" t="s">
        <v>42</v>
      </c>
      <c r="X59" s="32" t="s">
        <v>42</v>
      </c>
      <c r="Y59" s="32" t="s">
        <v>42</v>
      </c>
      <c r="Z59" s="15">
        <f>SUM(Z7:Z57)</f>
        <v>4223.088235294118</v>
      </c>
      <c r="AA59" s="14"/>
      <c r="AB59" s="14"/>
      <c r="AC59" s="15">
        <f>SUM(AC7:AC57)</f>
        <v>46453.970588235301</v>
      </c>
      <c r="AD59" s="15">
        <f>SUM(AD7:AD57)</f>
        <v>7293.9705882352937</v>
      </c>
      <c r="AE59" s="21">
        <f t="shared" ref="AE59" si="19">IFERROR(AD59/AC59,0)</f>
        <v>0.1570150085315318</v>
      </c>
      <c r="AF59" s="15">
        <f>SUM(AF8:AF58)</f>
        <v>0</v>
      </c>
      <c r="AG59" s="15">
        <f>SUM(AG8:AG58)</f>
        <v>0</v>
      </c>
      <c r="AH59" s="15">
        <f>SUM(AH8:AH58)</f>
        <v>0</v>
      </c>
      <c r="AI59" s="15">
        <f>SUM(AI8:AI58)</f>
        <v>0</v>
      </c>
      <c r="AJ59" s="15">
        <f>SUM(AJ8:AJ58)</f>
        <v>0</v>
      </c>
    </row>
    <row r="60" spans="2:36" x14ac:dyDescent="0.25">
      <c r="B60" s="4"/>
      <c r="E60" s="3"/>
      <c r="F60" s="3"/>
      <c r="G60" s="3"/>
      <c r="H60" s="3"/>
      <c r="L60" s="4"/>
      <c r="M60" s="4"/>
      <c r="N60" s="4"/>
      <c r="O60" s="4"/>
      <c r="Q60" s="4"/>
      <c r="R60" s="4"/>
      <c r="S60" s="4"/>
      <c r="T60" s="4"/>
      <c r="U60" s="4"/>
      <c r="V60" s="4"/>
      <c r="W60" s="4"/>
      <c r="X60" s="4"/>
      <c r="Y60" s="9"/>
      <c r="Z60" s="9"/>
      <c r="AA60" s="9"/>
      <c r="AB60" s="9"/>
      <c r="AC60" s="9"/>
      <c r="AD60" s="9"/>
      <c r="AE60" s="9"/>
    </row>
    <row r="61" spans="2:36" x14ac:dyDescent="0.25">
      <c r="B61" s="4"/>
      <c r="E61" s="3"/>
      <c r="F61" s="3"/>
      <c r="G61" s="3"/>
      <c r="H61" s="3"/>
      <c r="L61" s="4"/>
      <c r="M61" s="4"/>
      <c r="N61" s="4"/>
      <c r="O61" s="4"/>
      <c r="Q61" s="9"/>
      <c r="R61" s="9"/>
      <c r="S61" s="9"/>
      <c r="T61" s="9"/>
      <c r="U61" s="9"/>
      <c r="V61" s="9"/>
      <c r="W61" s="9"/>
      <c r="X61" s="23"/>
      <c r="Y61" s="34" t="s">
        <v>234</v>
      </c>
      <c r="Z61" s="34">
        <f>Z12</f>
        <v>3752.5</v>
      </c>
      <c r="AA61" s="9"/>
      <c r="AB61" s="9"/>
      <c r="AC61" s="9"/>
      <c r="AD61" s="9"/>
      <c r="AE61" s="9"/>
    </row>
    <row r="62" spans="2:36" x14ac:dyDescent="0.25">
      <c r="B62" s="4"/>
      <c r="E62" s="3"/>
      <c r="F62" s="3"/>
      <c r="G62" s="3"/>
      <c r="H62" s="3"/>
      <c r="L62" s="4"/>
      <c r="M62" s="4"/>
      <c r="N62" s="4"/>
      <c r="O62" s="4"/>
      <c r="Q62" s="9"/>
      <c r="R62" s="9"/>
      <c r="S62" s="9"/>
      <c r="T62" s="9"/>
      <c r="U62" s="9"/>
      <c r="V62" s="9"/>
      <c r="W62" s="9"/>
      <c r="X62" s="9"/>
      <c r="Y62" s="35" t="s">
        <v>235</v>
      </c>
      <c r="Z62" s="34">
        <f>Z9+Z24</f>
        <v>470.58823529411768</v>
      </c>
      <c r="AA62" s="9"/>
      <c r="AB62" s="9"/>
      <c r="AC62" s="9"/>
      <c r="AD62" s="9"/>
      <c r="AE62" s="9"/>
      <c r="AF62" s="18"/>
    </row>
    <row r="63" spans="2:36" x14ac:dyDescent="0.25">
      <c r="B63" s="4"/>
      <c r="E63" s="3"/>
      <c r="F63" s="3"/>
      <c r="G63" s="3"/>
      <c r="H63" s="3"/>
      <c r="I63" s="19"/>
      <c r="L63" s="4"/>
      <c r="M63" s="4"/>
      <c r="N63" s="4"/>
      <c r="O63" s="20"/>
      <c r="Q63" s="20"/>
      <c r="R63" s="20"/>
      <c r="S63" s="20"/>
      <c r="T63" s="20"/>
      <c r="U63" s="20"/>
      <c r="V63" s="20"/>
      <c r="W63" s="20"/>
      <c r="X63" s="20"/>
      <c r="Y63" s="34" t="s">
        <v>236</v>
      </c>
      <c r="Z63" s="34">
        <v>4220</v>
      </c>
      <c r="AA63" s="9"/>
      <c r="AB63" s="9"/>
      <c r="AC63" s="9"/>
      <c r="AD63" s="9"/>
      <c r="AE63" s="9"/>
      <c r="AF63" s="18"/>
    </row>
    <row r="64" spans="2:36" x14ac:dyDescent="0.25">
      <c r="B64" s="4"/>
      <c r="E64" s="3"/>
      <c r="F64" s="3"/>
      <c r="G64" s="3"/>
      <c r="H64" s="3"/>
      <c r="L64" s="4"/>
      <c r="M64" s="4"/>
      <c r="N64" s="4"/>
      <c r="O64" s="20"/>
      <c r="Q64" s="20"/>
      <c r="R64" s="20"/>
      <c r="S64" s="20"/>
      <c r="T64" s="20"/>
      <c r="U64" s="20"/>
      <c r="V64" s="20"/>
      <c r="W64" s="20"/>
      <c r="X64" s="20"/>
      <c r="Y64" s="34" t="s">
        <v>45</v>
      </c>
      <c r="Z64" s="34">
        <f>Z63/2</f>
        <v>2110</v>
      </c>
      <c r="AA64" s="9"/>
      <c r="AB64" s="9"/>
      <c r="AC64" s="9"/>
      <c r="AD64" s="9"/>
      <c r="AE64" s="9"/>
      <c r="AF64" s="18"/>
    </row>
    <row r="65" spans="2:32" x14ac:dyDescent="0.25">
      <c r="B65" s="4"/>
      <c r="E65" s="3"/>
      <c r="F65" s="3"/>
      <c r="G65" s="3"/>
      <c r="H65" s="3"/>
      <c r="L65" s="4"/>
      <c r="M65" s="4"/>
      <c r="N65" s="4"/>
      <c r="O65" s="4"/>
      <c r="Q65" s="9"/>
      <c r="R65" s="9"/>
      <c r="S65" s="9"/>
      <c r="T65" s="9"/>
      <c r="U65" s="9"/>
      <c r="V65" s="9"/>
      <c r="W65" s="9"/>
      <c r="X65" s="9"/>
      <c r="Y65" s="1"/>
      <c r="Z65" s="1"/>
      <c r="AA65" s="9"/>
      <c r="AB65" s="9"/>
      <c r="AC65" s="9"/>
      <c r="AD65" s="9"/>
      <c r="AE65" s="9"/>
      <c r="AF65" s="18"/>
    </row>
    <row r="66" spans="2:32" x14ac:dyDescent="0.25">
      <c r="F66" s="1"/>
      <c r="G66" s="1"/>
      <c r="H66" s="1"/>
      <c r="J66" s="1" t="s">
        <v>32</v>
      </c>
      <c r="Q66" s="9"/>
      <c r="R66" s="4"/>
      <c r="S66" s="9"/>
      <c r="T66" s="5"/>
      <c r="U66" s="9"/>
      <c r="V66" s="4"/>
      <c r="W66" s="4"/>
      <c r="X66" s="9"/>
      <c r="Y66" s="9" t="s">
        <v>46</v>
      </c>
      <c r="Z66" s="9">
        <f>Z63-Z67</f>
        <v>4220</v>
      </c>
      <c r="AA66" s="9"/>
      <c r="AB66" s="9"/>
      <c r="AC66" s="9"/>
      <c r="AD66" s="9"/>
      <c r="AE66" s="9"/>
    </row>
    <row r="67" spans="2:32" x14ac:dyDescent="0.25">
      <c r="R67" s="4"/>
      <c r="S67" s="17"/>
      <c r="T67" s="17"/>
      <c r="U67" s="9"/>
      <c r="V67" s="4"/>
      <c r="W67" s="4"/>
      <c r="X67" s="9"/>
      <c r="Y67" s="9" t="s">
        <v>47</v>
      </c>
      <c r="Z67" s="9">
        <v>0</v>
      </c>
      <c r="AA67" s="9"/>
      <c r="AB67" s="9"/>
      <c r="AC67" s="9"/>
      <c r="AD67" s="9"/>
      <c r="AE67" s="9"/>
    </row>
    <row r="68" spans="2:32" x14ac:dyDescent="0.25">
      <c r="Q68" s="9"/>
      <c r="R68" s="4"/>
      <c r="S68" s="16"/>
      <c r="T68" s="16"/>
      <c r="U68" s="9"/>
      <c r="V68" s="4"/>
      <c r="W68" s="4"/>
      <c r="X68" s="9"/>
      <c r="Y68" s="9"/>
      <c r="Z68" s="9"/>
      <c r="AA68" s="9"/>
      <c r="AB68" s="9"/>
      <c r="AC68" s="9"/>
      <c r="AD68" s="9"/>
      <c r="AE68" s="9"/>
    </row>
    <row r="69" spans="2:32" x14ac:dyDescent="0.25">
      <c r="R69" s="4"/>
      <c r="S69" s="16"/>
      <c r="T69" s="16"/>
      <c r="Y69" s="9" t="s">
        <v>48</v>
      </c>
      <c r="Z69" s="9">
        <f>Z63*0.3</f>
        <v>1266</v>
      </c>
      <c r="AA69" s="9"/>
      <c r="AB69" s="9"/>
      <c r="AC69" s="9"/>
      <c r="AD69" s="9"/>
      <c r="AE69" s="9"/>
    </row>
    <row r="70" spans="2:32" x14ac:dyDescent="0.25">
      <c r="T70" s="5"/>
      <c r="Y70" s="9" t="s">
        <v>49</v>
      </c>
      <c r="Z70" s="9">
        <f>Z63-Z69</f>
        <v>2954</v>
      </c>
      <c r="AA70" s="9"/>
      <c r="AB70" s="9"/>
      <c r="AC70" s="9"/>
      <c r="AD70" s="9"/>
      <c r="AE70" s="9"/>
    </row>
    <row r="71" spans="2:32" x14ac:dyDescent="0.25">
      <c r="T71" s="5"/>
      <c r="Y71" s="9"/>
      <c r="Z71" s="9"/>
      <c r="AA71" s="9"/>
      <c r="AB71" s="9"/>
      <c r="AC71" s="9"/>
      <c r="AD71" s="9"/>
      <c r="AE71" s="9"/>
    </row>
    <row r="72" spans="2:32" x14ac:dyDescent="0.25">
      <c r="T72" s="5"/>
      <c r="Y72" s="9"/>
      <c r="Z72" s="9"/>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row>
    <row r="79" spans="2:32" x14ac:dyDescent="0.25">
      <c r="T79" s="5"/>
    </row>
    <row r="80" spans="2:32" x14ac:dyDescent="0.25">
      <c r="T80" s="5"/>
    </row>
    <row r="81" spans="20:20" x14ac:dyDescent="0.25">
      <c r="T81" s="5"/>
    </row>
    <row r="82" spans="20:20" x14ac:dyDescent="0.25">
      <c r="T82" s="5"/>
    </row>
  </sheetData>
  <autoFilter ref="B6:AE59" xr:uid="{65FA6D9B-E0AF-46CD-BA0D-86BB75FE6AB0}">
    <filterColumn colId="8">
      <customFilters>
        <customFilter operator="notEqual" val=" "/>
      </customFilters>
    </filterColumn>
  </autoFilter>
  <hyperlinks>
    <hyperlink ref="P12" r:id="rId1" xr:uid="{FE604E6A-61DD-40EC-A79E-0A5C348842A2}"/>
    <hyperlink ref="P40" r:id="rId2" xr:uid="{CD069981-3C05-4019-895D-31F428934A0B}"/>
    <hyperlink ref="P37" r:id="rId3" xr:uid="{E3601ED3-F2A0-4C22-AE98-BA443F4576D0}"/>
  </hyperlinks>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2C50-3B25-4F53-AB37-8402D32B198E}">
  <sheetPr filterMode="1">
    <tabColor rgb="FFFFFF00"/>
  </sheetPr>
  <dimension ref="B1:AK85"/>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181</v>
      </c>
    </row>
    <row r="3" spans="2:36" x14ac:dyDescent="0.25">
      <c r="B3" s="2" t="s">
        <v>53</v>
      </c>
    </row>
    <row r="4" spans="2:36" x14ac:dyDescent="0.25">
      <c r="B4" s="2" t="s">
        <v>265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60" si="2">+Y7*R7</f>
        <v>0</v>
      </c>
      <c r="AA7" s="4" t="s">
        <v>10</v>
      </c>
      <c r="AB7" s="11">
        <f>IFERROR(VLOOKUP(AA7,Curr!$B$2:$C$13,2,FALSE),0)</f>
        <v>11</v>
      </c>
      <c r="AC7" s="12">
        <f t="shared" ref="AC7:AC60" si="3">+Y7*AB7*R7</f>
        <v>0</v>
      </c>
      <c r="AD7" s="12">
        <f t="shared" ref="AD7:AD60" si="4">+AC7-X7</f>
        <v>0</v>
      </c>
      <c r="AE7" s="13">
        <f t="shared" ref="AE7:AE60"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60" si="8">+Q11*R11</f>
        <v>0</v>
      </c>
      <c r="T11" s="5">
        <v>0</v>
      </c>
      <c r="U11" s="12">
        <f t="shared" ref="U11:U60" si="9">S11*(1-T11)</f>
        <v>0</v>
      </c>
      <c r="V11" s="25" t="s">
        <v>10</v>
      </c>
      <c r="W11" s="11">
        <f>IFERROR(VLOOKUP(V11,Curr!$B$2:$C$13,2,FALSE),0)</f>
        <v>11</v>
      </c>
      <c r="X11" s="12">
        <f t="shared" ref="X11:X60" si="10">U11*W11</f>
        <v>0</v>
      </c>
      <c r="Y11" s="26">
        <f t="shared" ref="Y11:Y60"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175</v>
      </c>
      <c r="K12" s="4"/>
      <c r="L12" s="4"/>
      <c r="M12" s="4"/>
      <c r="N12" s="4"/>
      <c r="O12" s="4"/>
      <c r="P12" s="33" t="s">
        <v>166</v>
      </c>
      <c r="Q12" s="25">
        <v>2468</v>
      </c>
      <c r="R12" s="25">
        <v>2</v>
      </c>
      <c r="S12" s="12">
        <f t="shared" si="8"/>
        <v>4936</v>
      </c>
      <c r="T12" s="5">
        <v>0.2</v>
      </c>
      <c r="U12" s="12">
        <f t="shared" si="9"/>
        <v>3948.8</v>
      </c>
      <c r="V12" s="25" t="s">
        <v>10</v>
      </c>
      <c r="W12" s="11">
        <f>IFERROR(VLOOKUP(V12,Curr!$B$2:$C$13,2,FALSE),0)</f>
        <v>11</v>
      </c>
      <c r="X12" s="12">
        <f t="shared" si="10"/>
        <v>43436.800000000003</v>
      </c>
      <c r="Y12" s="26">
        <f>Q12*0.95</f>
        <v>2344.6</v>
      </c>
      <c r="Z12" s="12">
        <f t="shared" si="2"/>
        <v>4689.2</v>
      </c>
      <c r="AA12" s="4" t="s">
        <v>10</v>
      </c>
      <c r="AB12" s="11">
        <f>IFERROR(VLOOKUP(AA12,Curr!$B$2:$C$13,2,FALSE),0)</f>
        <v>11</v>
      </c>
      <c r="AC12" s="12">
        <f t="shared" si="3"/>
        <v>51581.2</v>
      </c>
      <c r="AD12" s="12">
        <f t="shared" si="4"/>
        <v>8144.3999999999942</v>
      </c>
      <c r="AE12" s="13">
        <f t="shared" si="5"/>
        <v>0.15789473684210517</v>
      </c>
    </row>
    <row r="13" spans="2:36" x14ac:dyDescent="0.25">
      <c r="B13" s="4"/>
      <c r="C13" s="1" t="s">
        <v>65</v>
      </c>
      <c r="D13" s="1" t="s">
        <v>120</v>
      </c>
      <c r="E13" s="3"/>
      <c r="F13" s="3"/>
      <c r="G13" s="24"/>
      <c r="H13" s="24"/>
      <c r="J13" s="1" t="s">
        <v>167</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32"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168</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169</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170</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171</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94</v>
      </c>
      <c r="D23" s="1" t="s">
        <v>120</v>
      </c>
      <c r="E23" s="3"/>
      <c r="F23" s="3"/>
      <c r="G23" s="24"/>
      <c r="H23" s="24"/>
      <c r="J23" s="1" t="s">
        <v>172</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2"/>
        <v>0</v>
      </c>
      <c r="Z24" s="12">
        <f t="shared" si="2"/>
        <v>0</v>
      </c>
      <c r="AA24" s="4" t="s">
        <v>10</v>
      </c>
      <c r="AB24" s="11">
        <f>IFERROR(VLOOKUP(AA24,Curr!$B$2:$C$13,2,FALSE),0)</f>
        <v>11</v>
      </c>
      <c r="AC24" s="12">
        <f t="shared" si="3"/>
        <v>0</v>
      </c>
      <c r="AD24" s="12">
        <f t="shared" si="4"/>
        <v>0</v>
      </c>
      <c r="AE24" s="13">
        <f t="shared" si="5"/>
        <v>0</v>
      </c>
    </row>
    <row r="25" spans="2:31" x14ac:dyDescent="0.25">
      <c r="B25" s="4"/>
      <c r="C25" s="1" t="s">
        <v>101</v>
      </c>
      <c r="D25" s="1" t="s">
        <v>120</v>
      </c>
      <c r="E25" s="3"/>
      <c r="F25" s="3"/>
      <c r="G25" s="24"/>
      <c r="H25" s="24"/>
      <c r="J25" s="1" t="s">
        <v>173</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2"/>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v>
      </c>
      <c r="X26" s="12">
        <f t="shared" si="10"/>
        <v>0</v>
      </c>
      <c r="Y26" s="26">
        <f t="shared" si="12"/>
        <v>0</v>
      </c>
      <c r="Z26" s="12">
        <f t="shared" si="2"/>
        <v>0</v>
      </c>
      <c r="AA26" s="4" t="s">
        <v>10</v>
      </c>
      <c r="AB26" s="11">
        <f>IFERROR(VLOOKUP(AA26,Curr!$B$2:$C$13,2,FALSE),0)</f>
        <v>11</v>
      </c>
      <c r="AC26" s="12">
        <f t="shared" si="3"/>
        <v>0</v>
      </c>
      <c r="AD26" s="12">
        <f t="shared" si="4"/>
        <v>0</v>
      </c>
      <c r="AE26" s="13">
        <f t="shared" si="5"/>
        <v>0</v>
      </c>
    </row>
    <row r="27" spans="2:31" x14ac:dyDescent="0.25">
      <c r="B27" s="4"/>
      <c r="C27" s="1" t="s">
        <v>109</v>
      </c>
      <c r="D27" s="1" t="s">
        <v>120</v>
      </c>
      <c r="E27" s="3"/>
      <c r="F27" s="3"/>
      <c r="G27" s="24"/>
      <c r="H27" s="24"/>
      <c r="J27" s="1" t="s">
        <v>174</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2"/>
        <v>0</v>
      </c>
      <c r="Z27" s="12">
        <f t="shared" si="2"/>
        <v>0</v>
      </c>
      <c r="AA27" s="4" t="s">
        <v>10</v>
      </c>
      <c r="AB27" s="11">
        <f>IFERROR(VLOOKUP(AA27,Curr!$B$2:$C$13,2,FALSE),0)</f>
        <v>11</v>
      </c>
      <c r="AC27" s="12">
        <f t="shared" si="3"/>
        <v>0</v>
      </c>
      <c r="AD27" s="12">
        <f t="shared" si="4"/>
        <v>0</v>
      </c>
      <c r="AE27" s="13">
        <f t="shared" si="5"/>
        <v>0</v>
      </c>
    </row>
    <row r="28" spans="2:31" x14ac:dyDescent="0.25">
      <c r="B28" s="4"/>
      <c r="C28" s="1" t="s">
        <v>109</v>
      </c>
      <c r="D28" s="1" t="s">
        <v>59</v>
      </c>
      <c r="E28" s="3"/>
      <c r="F28" s="3"/>
      <c r="G28" s="24"/>
      <c r="H28" s="24"/>
      <c r="J28" s="1" t="s">
        <v>146</v>
      </c>
      <c r="K28" s="4"/>
      <c r="L28" s="4"/>
      <c r="M28" s="4"/>
      <c r="N28" s="4"/>
      <c r="O28" s="4"/>
      <c r="P28" s="27"/>
      <c r="Q28" s="25">
        <v>200</v>
      </c>
      <c r="R28" s="25">
        <v>1</v>
      </c>
      <c r="S28" s="12">
        <f t="shared" si="8"/>
        <v>200</v>
      </c>
      <c r="T28" s="5">
        <v>0</v>
      </c>
      <c r="U28" s="12">
        <f t="shared" si="9"/>
        <v>200</v>
      </c>
      <c r="V28" s="25" t="s">
        <v>10</v>
      </c>
      <c r="W28" s="11">
        <f>IFERROR(VLOOKUP(V28,Curr!$B$2:$C$13,2,FALSE),0)</f>
        <v>11</v>
      </c>
      <c r="X28" s="12">
        <f t="shared" si="10"/>
        <v>2200</v>
      </c>
      <c r="Y28" s="26">
        <f>Q28/0.85</f>
        <v>235.29411764705884</v>
      </c>
      <c r="Z28" s="12">
        <f t="shared" si="2"/>
        <v>235.29411764705884</v>
      </c>
      <c r="AA28" s="4" t="s">
        <v>10</v>
      </c>
      <c r="AB28" s="11">
        <f>IFERROR(VLOOKUP(AA28,Curr!$B$2:$C$13,2,FALSE),0)</f>
        <v>11</v>
      </c>
      <c r="AC28" s="12">
        <f t="shared" si="3"/>
        <v>2588.2352941176473</v>
      </c>
      <c r="AD28" s="12">
        <f t="shared" si="4"/>
        <v>388.2352941176473</v>
      </c>
      <c r="AE28" s="13">
        <f t="shared" si="5"/>
        <v>0.15000000000000008</v>
      </c>
    </row>
    <row r="29" spans="2:31" x14ac:dyDescent="0.25">
      <c r="B29" s="4"/>
      <c r="C29" s="1" t="s">
        <v>109</v>
      </c>
      <c r="D29" s="1" t="s">
        <v>60</v>
      </c>
      <c r="E29" s="3"/>
      <c r="F29" s="3"/>
      <c r="G29" s="24"/>
      <c r="H29" s="24"/>
      <c r="J29" s="1" t="s">
        <v>136</v>
      </c>
      <c r="K29" s="4"/>
      <c r="L29" s="4"/>
      <c r="M29" s="4"/>
      <c r="N29" s="4"/>
      <c r="O29" s="4"/>
      <c r="P29" s="27"/>
      <c r="Q29" s="25">
        <v>0</v>
      </c>
      <c r="R29" s="25">
        <v>0</v>
      </c>
      <c r="S29" s="12">
        <f t="shared" si="8"/>
        <v>0</v>
      </c>
      <c r="T29" s="5">
        <v>0</v>
      </c>
      <c r="U29" s="12">
        <f t="shared" si="9"/>
        <v>0</v>
      </c>
      <c r="V29" s="25" t="s">
        <v>10</v>
      </c>
      <c r="W29" s="11">
        <f>IFERROR(VLOOKUP(V29,Curr!$B$2:$C$13,2,FALSE),0)</f>
        <v>11</v>
      </c>
      <c r="X29" s="12">
        <f t="shared" si="10"/>
        <v>0</v>
      </c>
      <c r="Y29" s="26">
        <f t="shared" ref="Y29" si="13">Q29</f>
        <v>0</v>
      </c>
      <c r="Z29" s="12">
        <f t="shared" si="2"/>
        <v>0</v>
      </c>
      <c r="AA29" s="4" t="s">
        <v>10</v>
      </c>
      <c r="AB29" s="11">
        <f>IFERROR(VLOOKUP(AA29,Curr!$B$2:$C$13,2,FALSE),0)</f>
        <v>11</v>
      </c>
      <c r="AC29" s="12">
        <f t="shared" si="3"/>
        <v>0</v>
      </c>
      <c r="AD29" s="12">
        <f t="shared" si="4"/>
        <v>0</v>
      </c>
      <c r="AE29" s="13">
        <f t="shared" si="5"/>
        <v>0</v>
      </c>
    </row>
    <row r="30" spans="2:31" hidden="1" x14ac:dyDescent="0.25">
      <c r="B30" s="4"/>
      <c r="E30" s="3"/>
      <c r="F30" s="3"/>
      <c r="G30" s="24"/>
      <c r="H30" s="24"/>
      <c r="K30" s="4"/>
      <c r="L30" s="4"/>
      <c r="M30" s="4"/>
      <c r="N30" s="4"/>
      <c r="O30" s="4"/>
      <c r="P30" s="27"/>
      <c r="Q30" s="25"/>
      <c r="R30" s="25"/>
      <c r="S30" s="12">
        <f t="shared" si="8"/>
        <v>0</v>
      </c>
      <c r="T30" s="5">
        <v>0</v>
      </c>
      <c r="U30" s="12">
        <f t="shared" si="9"/>
        <v>0</v>
      </c>
      <c r="V30" s="25" t="s">
        <v>10</v>
      </c>
      <c r="W30" s="11">
        <f>IFERROR(VLOOKUP(V30,Curr!$B$2:$C$13,2,FALSE),0)</f>
        <v>11</v>
      </c>
      <c r="X30" s="12">
        <f t="shared" si="10"/>
        <v>0</v>
      </c>
      <c r="Y30" s="26">
        <f t="shared" si="12"/>
        <v>0</v>
      </c>
      <c r="Z30" s="12">
        <f t="shared" si="2"/>
        <v>0</v>
      </c>
      <c r="AA30" s="4" t="s">
        <v>10</v>
      </c>
      <c r="AB30" s="11">
        <f>IFERROR(VLOOKUP(AA30,Curr!$B$2:$C$13,2,FALSE),0)</f>
        <v>11</v>
      </c>
      <c r="AC30" s="12">
        <f t="shared" si="3"/>
        <v>0</v>
      </c>
      <c r="AD30" s="12">
        <f t="shared" si="4"/>
        <v>0</v>
      </c>
      <c r="AE30" s="13">
        <f t="shared" si="5"/>
        <v>0</v>
      </c>
    </row>
    <row r="31" spans="2:31" x14ac:dyDescent="0.25">
      <c r="B31" s="4"/>
      <c r="C31" s="1" t="s">
        <v>110</v>
      </c>
      <c r="D31" s="1" t="s">
        <v>117</v>
      </c>
      <c r="E31" s="3"/>
      <c r="F31" s="3"/>
      <c r="G31" s="24"/>
      <c r="H31" s="24"/>
      <c r="J31" s="1" t="s">
        <v>133</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2"/>
        <v>0</v>
      </c>
      <c r="Z31" s="12">
        <f t="shared" si="2"/>
        <v>0</v>
      </c>
      <c r="AA31" s="4" t="s">
        <v>10</v>
      </c>
      <c r="AB31" s="11">
        <f>IFERROR(VLOOKUP(AA31,Curr!$B$2:$C$13,2,FALSE),0)</f>
        <v>11</v>
      </c>
      <c r="AC31" s="12">
        <f t="shared" si="3"/>
        <v>0</v>
      </c>
      <c r="AD31" s="12">
        <f t="shared" si="4"/>
        <v>0</v>
      </c>
      <c r="AE31" s="13">
        <f t="shared" si="5"/>
        <v>0</v>
      </c>
    </row>
    <row r="32" spans="2:31" x14ac:dyDescent="0.25">
      <c r="B32" s="4"/>
      <c r="C32" s="1" t="s">
        <v>110</v>
      </c>
      <c r="D32" s="1" t="s">
        <v>78</v>
      </c>
      <c r="E32" s="3"/>
      <c r="F32" s="3"/>
      <c r="G32" s="24"/>
      <c r="H32" s="24"/>
      <c r="J32" s="1" t="s">
        <v>81</v>
      </c>
      <c r="K32" s="4"/>
      <c r="L32" s="4"/>
      <c r="M32" s="4"/>
      <c r="N32" s="4"/>
      <c r="O32" s="4"/>
      <c r="P32" s="27"/>
      <c r="Q32" s="25">
        <v>0</v>
      </c>
      <c r="R32" s="25">
        <v>0</v>
      </c>
      <c r="S32" s="12">
        <f t="shared" si="8"/>
        <v>0</v>
      </c>
      <c r="T32" s="5">
        <v>0</v>
      </c>
      <c r="U32" s="12">
        <f t="shared" si="9"/>
        <v>0</v>
      </c>
      <c r="V32" s="25" t="s">
        <v>10</v>
      </c>
      <c r="W32" s="11">
        <f>IFERROR(VLOOKUP(V32,Curr!$B$2:$C$13,2,FALSE),0)</f>
        <v>11</v>
      </c>
      <c r="X32" s="12">
        <f t="shared" si="10"/>
        <v>0</v>
      </c>
      <c r="Y32" s="26">
        <f t="shared" si="12"/>
        <v>0</v>
      </c>
      <c r="Z32" s="12">
        <f t="shared" si="2"/>
        <v>0</v>
      </c>
      <c r="AA32" s="4" t="s">
        <v>10</v>
      </c>
      <c r="AB32" s="11">
        <f>IFERROR(VLOOKUP(AA32,Curr!$B$2:$C$13,2,FALSE),0)</f>
        <v>11</v>
      </c>
      <c r="AC32" s="12">
        <f t="shared" si="3"/>
        <v>0</v>
      </c>
      <c r="AD32" s="12">
        <f t="shared" si="4"/>
        <v>0</v>
      </c>
      <c r="AE32" s="13">
        <f t="shared" si="5"/>
        <v>0</v>
      </c>
    </row>
    <row r="33" spans="2:31" hidden="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1" hidden="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127</v>
      </c>
      <c r="E35" s="3"/>
      <c r="F35" s="3"/>
      <c r="G35" s="24"/>
      <c r="H35" s="24"/>
      <c r="J35" s="1" t="s">
        <v>131</v>
      </c>
      <c r="K35" s="4"/>
      <c r="L35" s="4"/>
      <c r="M35" s="4"/>
      <c r="N35" s="4"/>
      <c r="O35" s="4"/>
      <c r="P35" s="27"/>
      <c r="Q35" s="25">
        <v>160</v>
      </c>
      <c r="R35" s="25">
        <v>0</v>
      </c>
      <c r="S35" s="12">
        <f t="shared" si="8"/>
        <v>0</v>
      </c>
      <c r="T35" s="5">
        <v>0.2</v>
      </c>
      <c r="U35" s="12">
        <f t="shared" si="9"/>
        <v>0</v>
      </c>
      <c r="V35" s="25" t="s">
        <v>10</v>
      </c>
      <c r="W35" s="11">
        <f>IFERROR(VLOOKUP(V35,Curr!$B$2:$C$13,2,FALSE),0)</f>
        <v>11</v>
      </c>
      <c r="X35" s="12">
        <f t="shared" si="10"/>
        <v>0</v>
      </c>
      <c r="Y35" s="26">
        <f t="shared" si="11"/>
        <v>160</v>
      </c>
      <c r="Z35" s="12">
        <f t="shared" si="2"/>
        <v>0</v>
      </c>
      <c r="AA35" s="4" t="s">
        <v>10</v>
      </c>
      <c r="AB35" s="11">
        <f>IFERROR(VLOOKUP(AA35,Curr!$B$2:$C$13,2,FALSE),0)</f>
        <v>11</v>
      </c>
      <c r="AC35" s="12">
        <f t="shared" si="3"/>
        <v>0</v>
      </c>
      <c r="AD35" s="12">
        <f t="shared" si="4"/>
        <v>0</v>
      </c>
      <c r="AE35" s="13">
        <f t="shared" si="5"/>
        <v>0</v>
      </c>
    </row>
    <row r="36" spans="2:31" x14ac:dyDescent="0.25">
      <c r="B36" s="4"/>
      <c r="C36" s="1" t="s">
        <v>55</v>
      </c>
      <c r="D36" s="1" t="s">
        <v>127</v>
      </c>
      <c r="E36" s="3"/>
      <c r="F36" s="3"/>
      <c r="G36" s="24"/>
      <c r="H36" s="24"/>
      <c r="J36" s="1" t="s">
        <v>132</v>
      </c>
      <c r="K36" s="4"/>
      <c r="L36" s="4"/>
      <c r="M36" s="4"/>
      <c r="N36" s="4"/>
      <c r="O36" s="4"/>
      <c r="P36" s="33"/>
      <c r="Q36" s="25">
        <v>39</v>
      </c>
      <c r="R36" s="25">
        <v>0</v>
      </c>
      <c r="S36" s="12">
        <f t="shared" si="8"/>
        <v>0</v>
      </c>
      <c r="T36" s="5">
        <v>0.2</v>
      </c>
      <c r="U36" s="12">
        <f t="shared" si="9"/>
        <v>0</v>
      </c>
      <c r="V36" s="25" t="s">
        <v>10</v>
      </c>
      <c r="W36" s="11">
        <f>IFERROR(VLOOKUP(V36,Curr!$B$2:$C$13,2,FALSE),0)</f>
        <v>11</v>
      </c>
      <c r="X36" s="12">
        <f t="shared" si="10"/>
        <v>0</v>
      </c>
      <c r="Y36" s="26">
        <f t="shared" si="11"/>
        <v>39</v>
      </c>
      <c r="Z36" s="12">
        <f t="shared" si="2"/>
        <v>0</v>
      </c>
      <c r="AA36" s="4" t="s">
        <v>10</v>
      </c>
      <c r="AB36" s="11">
        <f>IFERROR(VLOOKUP(AA36,Curr!$B$2:$C$13,2,FALSE),0)</f>
        <v>11</v>
      </c>
      <c r="AC36" s="12">
        <f t="shared" si="3"/>
        <v>0</v>
      </c>
      <c r="AD36" s="12">
        <f t="shared" si="4"/>
        <v>0</v>
      </c>
      <c r="AE36" s="13">
        <f t="shared" si="5"/>
        <v>0</v>
      </c>
    </row>
    <row r="37" spans="2:31" x14ac:dyDescent="0.25">
      <c r="B37" s="4"/>
      <c r="C37" s="1" t="s">
        <v>110</v>
      </c>
      <c r="D37" s="1" t="s">
        <v>127</v>
      </c>
      <c r="E37" s="3"/>
      <c r="F37" s="3"/>
      <c r="G37" s="24"/>
      <c r="H37" s="24"/>
      <c r="J37" s="1" t="s">
        <v>134</v>
      </c>
      <c r="K37" s="4"/>
      <c r="L37" s="4"/>
      <c r="M37" s="4"/>
      <c r="N37" s="4"/>
      <c r="O37" s="4"/>
      <c r="P37" s="27"/>
      <c r="Q37" s="25">
        <v>160</v>
      </c>
      <c r="R37" s="25">
        <v>0</v>
      </c>
      <c r="S37" s="12">
        <f t="shared" si="8"/>
        <v>0</v>
      </c>
      <c r="T37" s="5">
        <v>0.2</v>
      </c>
      <c r="U37" s="12">
        <f t="shared" si="9"/>
        <v>0</v>
      </c>
      <c r="V37" s="25" t="s">
        <v>10</v>
      </c>
      <c r="W37" s="11">
        <f>IFERROR(VLOOKUP(V37,Curr!$B$2:$C$13,2,FALSE),0)</f>
        <v>11</v>
      </c>
      <c r="X37" s="12">
        <f t="shared" si="10"/>
        <v>0</v>
      </c>
      <c r="Y37" s="26">
        <f t="shared" si="11"/>
        <v>160</v>
      </c>
      <c r="Z37" s="12">
        <f t="shared" si="2"/>
        <v>0</v>
      </c>
      <c r="AA37" s="4" t="s">
        <v>10</v>
      </c>
      <c r="AB37" s="11">
        <f>IFERROR(VLOOKUP(AA37,Curr!$B$2:$C$13,2,FALSE),0)</f>
        <v>11</v>
      </c>
      <c r="AC37" s="12">
        <f t="shared" si="3"/>
        <v>0</v>
      </c>
      <c r="AD37" s="12">
        <f t="shared" si="4"/>
        <v>0</v>
      </c>
      <c r="AE37" s="13">
        <f t="shared" si="5"/>
        <v>0</v>
      </c>
    </row>
    <row r="38" spans="2:31" x14ac:dyDescent="0.25">
      <c r="B38" s="4"/>
      <c r="C38" s="1" t="s">
        <v>110</v>
      </c>
      <c r="D38" s="1" t="s">
        <v>127</v>
      </c>
      <c r="E38" s="3"/>
      <c r="F38" s="3"/>
      <c r="G38" s="24"/>
      <c r="H38" s="24"/>
      <c r="J38" s="1" t="s">
        <v>135</v>
      </c>
      <c r="K38" s="4"/>
      <c r="L38" s="4"/>
      <c r="M38" s="4"/>
      <c r="N38" s="4"/>
      <c r="O38" s="4"/>
      <c r="P38" s="33"/>
      <c r="Q38" s="25">
        <v>39</v>
      </c>
      <c r="R38" s="25">
        <v>0</v>
      </c>
      <c r="S38" s="12">
        <f t="shared" si="8"/>
        <v>0</v>
      </c>
      <c r="T38" s="5">
        <v>0.2</v>
      </c>
      <c r="U38" s="12">
        <f t="shared" si="9"/>
        <v>0</v>
      </c>
      <c r="V38" s="25" t="s">
        <v>10</v>
      </c>
      <c r="W38" s="11">
        <f>IFERROR(VLOOKUP(V38,Curr!$B$2:$C$13,2,FALSE),0)</f>
        <v>11</v>
      </c>
      <c r="X38" s="12">
        <f t="shared" si="10"/>
        <v>0</v>
      </c>
      <c r="Y38" s="26">
        <f t="shared" si="11"/>
        <v>39</v>
      </c>
      <c r="Z38" s="12">
        <f t="shared" si="2"/>
        <v>0</v>
      </c>
      <c r="AA38" s="4" t="s">
        <v>10</v>
      </c>
      <c r="AB38" s="11">
        <f>IFERROR(VLOOKUP(AA38,Curr!$B$2:$C$13,2,FALSE),0)</f>
        <v>11</v>
      </c>
      <c r="AC38" s="12">
        <f t="shared" si="3"/>
        <v>0</v>
      </c>
      <c r="AD38" s="12">
        <f t="shared" si="4"/>
        <v>0</v>
      </c>
      <c r="AE38" s="13">
        <f t="shared" si="5"/>
        <v>0</v>
      </c>
    </row>
    <row r="39" spans="2:31" hidden="1"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hidden="1" x14ac:dyDescent="0.25">
      <c r="B40" s="4"/>
      <c r="E40" s="3"/>
      <c r="F40" s="3"/>
      <c r="G40" s="24"/>
      <c r="H40" s="24"/>
      <c r="K40" s="4"/>
      <c r="L40" s="4"/>
      <c r="M40" s="4"/>
      <c r="N40" s="4"/>
      <c r="O40" s="4"/>
      <c r="P40" s="33"/>
      <c r="Q40" s="25"/>
      <c r="R40" s="25"/>
      <c r="S40" s="12">
        <f t="shared" ref="S40" si="14">+Q40*R40</f>
        <v>0</v>
      </c>
      <c r="T40" s="5">
        <v>0</v>
      </c>
      <c r="U40" s="12">
        <f t="shared" ref="U40" si="15">S40*(1-T40)</f>
        <v>0</v>
      </c>
      <c r="V40" s="25" t="s">
        <v>10</v>
      </c>
      <c r="W40" s="11">
        <f>IFERROR(VLOOKUP(V40,Curr!$B$2:$C$13,2,FALSE),0)</f>
        <v>11</v>
      </c>
      <c r="X40" s="12">
        <f t="shared" ref="X40" si="16">U40*W40</f>
        <v>0</v>
      </c>
      <c r="Y40" s="26">
        <f t="shared" ref="Y40" si="17">Q40</f>
        <v>0</v>
      </c>
      <c r="Z40" s="12">
        <f t="shared" ref="Z40" si="18">+Y40*R40</f>
        <v>0</v>
      </c>
      <c r="AA40" s="4" t="s">
        <v>10</v>
      </c>
      <c r="AB40" s="11">
        <f>IFERROR(VLOOKUP(AA40,Curr!$B$2:$C$13,2,FALSE),0)</f>
        <v>11</v>
      </c>
      <c r="AC40" s="12">
        <f t="shared" ref="AC40" si="19">+Y40*AB40*R40</f>
        <v>0</v>
      </c>
      <c r="AD40" s="12">
        <f t="shared" ref="AD40" si="20">+AC40-X40</f>
        <v>0</v>
      </c>
      <c r="AE40" s="13">
        <f t="shared" ref="AE40" si="21">IFERROR(AD40/AC40,0)</f>
        <v>0</v>
      </c>
    </row>
    <row r="41" spans="2:31" x14ac:dyDescent="0.25">
      <c r="B41" s="4"/>
      <c r="C41" s="1" t="s">
        <v>55</v>
      </c>
      <c r="D41" s="1" t="s">
        <v>83</v>
      </c>
      <c r="E41" s="3"/>
      <c r="F41" s="3"/>
      <c r="G41" s="24"/>
      <c r="H41" s="24"/>
      <c r="J41" s="1" t="s">
        <v>184</v>
      </c>
      <c r="K41" s="4"/>
      <c r="L41" s="4"/>
      <c r="M41" s="4"/>
      <c r="N41" s="4"/>
      <c r="O41" s="4"/>
      <c r="P41" s="33" t="s">
        <v>243</v>
      </c>
      <c r="Q41" s="25">
        <v>37</v>
      </c>
      <c r="R41" s="25">
        <v>0</v>
      </c>
      <c r="S41" s="12">
        <f t="shared" si="8"/>
        <v>0</v>
      </c>
      <c r="T41" s="5">
        <v>0.2</v>
      </c>
      <c r="U41" s="12">
        <f t="shared" si="9"/>
        <v>0</v>
      </c>
      <c r="V41" s="25" t="s">
        <v>10</v>
      </c>
      <c r="W41" s="11">
        <f>IFERROR(VLOOKUP(V41,Curr!$B$2:$C$13,2,FALSE),0)</f>
        <v>11</v>
      </c>
      <c r="X41" s="12">
        <f t="shared" si="10"/>
        <v>0</v>
      </c>
      <c r="Y41" s="26">
        <f t="shared" si="11"/>
        <v>37</v>
      </c>
      <c r="Z41" s="12">
        <f t="shared" si="2"/>
        <v>0</v>
      </c>
      <c r="AA41" s="4" t="s">
        <v>10</v>
      </c>
      <c r="AB41" s="11">
        <f>IFERROR(VLOOKUP(AA41,Curr!$B$2:$C$13,2,FALSE),0)</f>
        <v>11</v>
      </c>
      <c r="AC41" s="12">
        <f t="shared" si="3"/>
        <v>0</v>
      </c>
      <c r="AD41" s="12">
        <f t="shared" si="4"/>
        <v>0</v>
      </c>
      <c r="AE41" s="13">
        <f t="shared" si="5"/>
        <v>0</v>
      </c>
    </row>
    <row r="42" spans="2:31" x14ac:dyDescent="0.25">
      <c r="B42" s="4"/>
      <c r="C42" s="1" t="s">
        <v>67</v>
      </c>
      <c r="D42" s="1" t="s">
        <v>83</v>
      </c>
      <c r="J42" s="1" t="s">
        <v>165</v>
      </c>
      <c r="K42" s="4"/>
      <c r="L42" s="4"/>
      <c r="M42" s="4"/>
      <c r="N42" s="4"/>
      <c r="O42" s="4"/>
      <c r="P42" s="29"/>
      <c r="Q42" s="25">
        <v>127</v>
      </c>
      <c r="R42" s="25">
        <v>0</v>
      </c>
      <c r="S42" s="12">
        <f t="shared" si="8"/>
        <v>0</v>
      </c>
      <c r="T42" s="5">
        <v>0</v>
      </c>
      <c r="U42" s="12">
        <f t="shared" si="9"/>
        <v>0</v>
      </c>
      <c r="V42" s="25" t="s">
        <v>10</v>
      </c>
      <c r="W42" s="11">
        <f>IFERROR(VLOOKUP(V42,Curr!$B$2:$C$13,2,FALSE),0)</f>
        <v>11</v>
      </c>
      <c r="X42" s="12">
        <f t="shared" si="10"/>
        <v>0</v>
      </c>
      <c r="Y42" s="26">
        <f>Q42/0.8</f>
        <v>158.75</v>
      </c>
      <c r="Z42" s="12">
        <f t="shared" si="2"/>
        <v>0</v>
      </c>
      <c r="AA42" s="4" t="s">
        <v>10</v>
      </c>
      <c r="AB42" s="11">
        <f>IFERROR(VLOOKUP(AA42,Curr!$B$2:$C$13,2,FALSE),0)</f>
        <v>11</v>
      </c>
      <c r="AC42" s="12">
        <f t="shared" si="3"/>
        <v>0</v>
      </c>
      <c r="AD42" s="12">
        <f t="shared" si="4"/>
        <v>0</v>
      </c>
      <c r="AE42" s="13">
        <f t="shared" si="5"/>
        <v>0</v>
      </c>
    </row>
    <row r="43" spans="2:31" x14ac:dyDescent="0.25">
      <c r="B43" s="4"/>
      <c r="C43" s="1" t="s">
        <v>67</v>
      </c>
      <c r="D43" s="1" t="s">
        <v>83</v>
      </c>
      <c r="E43" s="3"/>
      <c r="F43" s="3"/>
      <c r="G43" s="24"/>
      <c r="H43" s="24"/>
      <c r="J43" s="1" t="s">
        <v>164</v>
      </c>
      <c r="K43" s="4"/>
      <c r="L43" s="4"/>
      <c r="M43" s="4"/>
      <c r="N43" s="4"/>
      <c r="O43" s="4"/>
      <c r="P43" s="33"/>
      <c r="Q43" s="25">
        <v>55</v>
      </c>
      <c r="R43" s="25">
        <v>0</v>
      </c>
      <c r="S43" s="12">
        <f t="shared" si="8"/>
        <v>0</v>
      </c>
      <c r="T43" s="5">
        <v>0</v>
      </c>
      <c r="U43" s="12">
        <f t="shared" si="9"/>
        <v>0</v>
      </c>
      <c r="V43" s="25" t="s">
        <v>10</v>
      </c>
      <c r="W43" s="11">
        <f>IFERROR(VLOOKUP(V43,Curr!$B$2:$C$13,2,FALSE),0)</f>
        <v>11</v>
      </c>
      <c r="X43" s="12">
        <f t="shared" si="10"/>
        <v>0</v>
      </c>
      <c r="Y43" s="26">
        <f>Q43/0.8</f>
        <v>68.75</v>
      </c>
      <c r="Z43" s="12">
        <f t="shared" si="2"/>
        <v>0</v>
      </c>
      <c r="AA43" s="4" t="s">
        <v>10</v>
      </c>
      <c r="AB43" s="11">
        <f>IFERROR(VLOOKUP(AA43,Curr!$B$2:$C$13,2,FALSE),0)</f>
        <v>11</v>
      </c>
      <c r="AC43" s="12">
        <f t="shared" si="3"/>
        <v>0</v>
      </c>
      <c r="AD43" s="12">
        <f t="shared" si="4"/>
        <v>0</v>
      </c>
      <c r="AE43" s="13">
        <f t="shared" si="5"/>
        <v>0</v>
      </c>
    </row>
    <row r="44" spans="2:31" x14ac:dyDescent="0.25">
      <c r="B44" s="4"/>
      <c r="C44" s="1" t="s">
        <v>101</v>
      </c>
      <c r="D44" s="1" t="s">
        <v>83</v>
      </c>
      <c r="E44" s="3"/>
      <c r="F44" s="3"/>
      <c r="G44" s="24"/>
      <c r="H44" s="24"/>
      <c r="J44" s="1" t="s">
        <v>180</v>
      </c>
      <c r="K44" s="4"/>
      <c r="L44" s="4"/>
      <c r="M44" s="4"/>
      <c r="N44" s="4"/>
      <c r="O44" s="4"/>
      <c r="P44" s="27"/>
      <c r="Q44" s="25">
        <v>60</v>
      </c>
      <c r="R44" s="25">
        <v>0</v>
      </c>
      <c r="S44" s="12">
        <f t="shared" si="8"/>
        <v>0</v>
      </c>
      <c r="T44" s="5">
        <v>0</v>
      </c>
      <c r="U44" s="12">
        <f t="shared" si="9"/>
        <v>0</v>
      </c>
      <c r="V44" s="25" t="s">
        <v>10</v>
      </c>
      <c r="W44" s="11">
        <f>IFERROR(VLOOKUP(V44,Curr!$B$2:$C$13,2,FALSE),0)</f>
        <v>11</v>
      </c>
      <c r="X44" s="12">
        <f t="shared" si="10"/>
        <v>0</v>
      </c>
      <c r="Y44" s="26">
        <f>Q44/0.8</f>
        <v>75</v>
      </c>
      <c r="Z44" s="12">
        <f t="shared" si="2"/>
        <v>0</v>
      </c>
      <c r="AA44" s="4" t="s">
        <v>10</v>
      </c>
      <c r="AB44" s="11">
        <f>IFERROR(VLOOKUP(AA44,Curr!$B$2:$C$13,2,FALSE),0)</f>
        <v>11</v>
      </c>
      <c r="AC44" s="12">
        <f t="shared" si="3"/>
        <v>0</v>
      </c>
      <c r="AD44" s="12">
        <f t="shared" si="4"/>
        <v>0</v>
      </c>
      <c r="AE44" s="13">
        <f t="shared" si="5"/>
        <v>0</v>
      </c>
    </row>
    <row r="45" spans="2:31" x14ac:dyDescent="0.25">
      <c r="B45" s="4"/>
      <c r="C45" s="1" t="s">
        <v>110</v>
      </c>
      <c r="D45" s="1" t="s">
        <v>83</v>
      </c>
      <c r="E45" s="3"/>
      <c r="F45" s="3"/>
      <c r="G45" s="24"/>
      <c r="H45" s="24"/>
      <c r="J45" s="1" t="s">
        <v>137</v>
      </c>
      <c r="K45" s="4"/>
      <c r="L45" s="4"/>
      <c r="M45" s="4"/>
      <c r="N45" s="4"/>
      <c r="O45" s="4"/>
      <c r="P45" s="33" t="s">
        <v>182</v>
      </c>
      <c r="Q45" s="25">
        <v>163</v>
      </c>
      <c r="R45" s="25">
        <v>0</v>
      </c>
      <c r="S45" s="12">
        <f t="shared" si="8"/>
        <v>0</v>
      </c>
      <c r="T45" s="5">
        <v>0.2</v>
      </c>
      <c r="U45" s="12">
        <f t="shared" si="9"/>
        <v>0</v>
      </c>
      <c r="V45" s="25" t="s">
        <v>10</v>
      </c>
      <c r="W45" s="11">
        <f>IFERROR(VLOOKUP(V45,Curr!$B$2:$C$13,2,FALSE),0)</f>
        <v>11</v>
      </c>
      <c r="X45" s="12">
        <f t="shared" si="10"/>
        <v>0</v>
      </c>
      <c r="Y45" s="26">
        <f t="shared" ref="Y45" si="22">Q45</f>
        <v>163</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33"/>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C48" s="1" t="s">
        <v>65</v>
      </c>
      <c r="D48" s="1" t="s">
        <v>128</v>
      </c>
      <c r="E48" s="3"/>
      <c r="F48" s="3"/>
      <c r="G48" s="24"/>
      <c r="H48" s="24"/>
      <c r="J48" s="1" t="s">
        <v>191</v>
      </c>
      <c r="K48" s="4"/>
      <c r="L48" s="4"/>
      <c r="M48" s="4"/>
      <c r="N48" s="4"/>
      <c r="O48" s="4"/>
      <c r="P48" s="27"/>
      <c r="Q48" s="25">
        <v>540</v>
      </c>
      <c r="R48" s="25">
        <v>0</v>
      </c>
      <c r="S48" s="12">
        <f t="shared" si="8"/>
        <v>0</v>
      </c>
      <c r="T48" s="5">
        <v>0</v>
      </c>
      <c r="U48" s="12">
        <f t="shared" si="9"/>
        <v>0</v>
      </c>
      <c r="V48" s="25" t="s">
        <v>10</v>
      </c>
      <c r="W48" s="11">
        <f>IFERROR(VLOOKUP(V48,Curr!$B$2:$C$13,2,FALSE),0)</f>
        <v>11</v>
      </c>
      <c r="X48" s="12">
        <f t="shared" si="10"/>
        <v>0</v>
      </c>
      <c r="Y48" s="26">
        <f>Q48/0.8</f>
        <v>675</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ref="Y49:Y50" si="23">Q49</f>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33"/>
      <c r="Q50" s="25"/>
      <c r="R50" s="25"/>
      <c r="S50" s="12">
        <f t="shared" si="8"/>
        <v>0</v>
      </c>
      <c r="T50" s="5">
        <v>0</v>
      </c>
      <c r="U50" s="12">
        <f t="shared" si="9"/>
        <v>0</v>
      </c>
      <c r="V50" s="25" t="s">
        <v>10</v>
      </c>
      <c r="W50" s="11">
        <f>IFERROR(VLOOKUP(V50,Curr!$B$2:$C$13,2,FALSE),0)</f>
        <v>11</v>
      </c>
      <c r="X50" s="12">
        <f t="shared" si="10"/>
        <v>0</v>
      </c>
      <c r="Y50" s="26">
        <f t="shared" si="23"/>
        <v>0</v>
      </c>
      <c r="Z50" s="12">
        <f t="shared" si="2"/>
        <v>0</v>
      </c>
      <c r="AA50" s="4" t="s">
        <v>10</v>
      </c>
      <c r="AB50" s="11">
        <f>IFERROR(VLOOKUP(AA50,Curr!$B$2:$C$13,2,FALSE),0)</f>
        <v>11</v>
      </c>
      <c r="AC50" s="12">
        <f t="shared" si="3"/>
        <v>0</v>
      </c>
      <c r="AD50" s="12">
        <f t="shared" si="4"/>
        <v>0</v>
      </c>
      <c r="AE50" s="13">
        <f t="shared" si="5"/>
        <v>0</v>
      </c>
    </row>
    <row r="51" spans="2:36" x14ac:dyDescent="0.25">
      <c r="B51" s="4"/>
      <c r="C51" s="1" t="s">
        <v>110</v>
      </c>
      <c r="D51" s="1" t="s">
        <v>138</v>
      </c>
      <c r="E51" s="3"/>
      <c r="F51" s="3"/>
      <c r="G51" s="24"/>
      <c r="H51" s="24"/>
      <c r="J51" s="1" t="s">
        <v>139</v>
      </c>
      <c r="K51" s="4"/>
      <c r="L51" s="4"/>
      <c r="M51" s="4"/>
      <c r="N51" s="4"/>
      <c r="O51" s="4"/>
      <c r="P51" s="27"/>
      <c r="Q51" s="25">
        <v>225</v>
      </c>
      <c r="R51" s="25">
        <v>0</v>
      </c>
      <c r="S51" s="12">
        <f t="shared" si="8"/>
        <v>0</v>
      </c>
      <c r="T51" s="5">
        <v>0</v>
      </c>
      <c r="U51" s="12">
        <f t="shared" si="9"/>
        <v>0</v>
      </c>
      <c r="V51" s="25" t="s">
        <v>10</v>
      </c>
      <c r="W51" s="11">
        <f>IFERROR(VLOOKUP(V51,Curr!$B$2:$C$13,2,FALSE),0)</f>
        <v>11</v>
      </c>
      <c r="X51" s="12">
        <f t="shared" si="10"/>
        <v>0</v>
      </c>
      <c r="Y51" s="26">
        <f>Q51/0.85</f>
        <v>264.70588235294116</v>
      </c>
      <c r="Z51" s="12">
        <f t="shared" si="2"/>
        <v>0</v>
      </c>
      <c r="AA51" s="4" t="s">
        <v>10</v>
      </c>
      <c r="AB51" s="11">
        <f>IFERROR(VLOOKUP(AA51,Curr!$B$2:$C$13,2,FALSE),0)</f>
        <v>11</v>
      </c>
      <c r="AC51" s="12">
        <f t="shared" si="3"/>
        <v>0</v>
      </c>
      <c r="AD51" s="12">
        <f t="shared" si="4"/>
        <v>0</v>
      </c>
      <c r="AE51" s="13">
        <f t="shared" si="5"/>
        <v>0</v>
      </c>
    </row>
    <row r="52" spans="2:36" hidden="1"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hidden="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hidden="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hidden="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hidden="1"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v>
      </c>
      <c r="X56" s="12">
        <f t="shared" si="10"/>
        <v>0</v>
      </c>
      <c r="Y56" s="26">
        <f t="shared" si="11"/>
        <v>0</v>
      </c>
      <c r="Z56" s="12">
        <f t="shared" si="2"/>
        <v>0</v>
      </c>
      <c r="AA56" s="4" t="s">
        <v>10</v>
      </c>
      <c r="AB56" s="11">
        <f>IFERROR(VLOOKUP(AA56,Curr!$B$2:$C$13,2,FALSE),0)</f>
        <v>11</v>
      </c>
      <c r="AC56" s="12">
        <f t="shared" si="3"/>
        <v>0</v>
      </c>
      <c r="AD56" s="12">
        <f t="shared" si="4"/>
        <v>0</v>
      </c>
      <c r="AE56" s="13">
        <f t="shared" si="5"/>
        <v>0</v>
      </c>
    </row>
    <row r="57" spans="2:36" hidden="1"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v>
      </c>
      <c r="X57" s="12">
        <f t="shared" si="10"/>
        <v>0</v>
      </c>
      <c r="Y57" s="26">
        <f t="shared" si="11"/>
        <v>0</v>
      </c>
      <c r="Z57" s="12">
        <f t="shared" si="2"/>
        <v>0</v>
      </c>
      <c r="AA57" s="4" t="s">
        <v>10</v>
      </c>
      <c r="AB57" s="11">
        <f>IFERROR(VLOOKUP(AA57,Curr!$B$2:$C$13,2,FALSE),0)</f>
        <v>11</v>
      </c>
      <c r="AC57" s="12">
        <f t="shared" si="3"/>
        <v>0</v>
      </c>
      <c r="AD57" s="12">
        <f t="shared" si="4"/>
        <v>0</v>
      </c>
      <c r="AE57" s="13">
        <f t="shared" si="5"/>
        <v>0</v>
      </c>
    </row>
    <row r="58" spans="2:36" hidden="1" x14ac:dyDescent="0.25">
      <c r="B58" s="4"/>
      <c r="E58" s="3"/>
      <c r="F58" s="3"/>
      <c r="G58" s="24"/>
      <c r="H58" s="24"/>
      <c r="K58" s="4"/>
      <c r="L58" s="4"/>
      <c r="M58" s="4"/>
      <c r="N58" s="4"/>
      <c r="O58" s="4"/>
      <c r="P58" s="27"/>
      <c r="Q58" s="25"/>
      <c r="R58" s="25"/>
      <c r="S58" s="12">
        <f t="shared" si="8"/>
        <v>0</v>
      </c>
      <c r="T58" s="5">
        <v>0</v>
      </c>
      <c r="U58" s="12">
        <f t="shared" si="9"/>
        <v>0</v>
      </c>
      <c r="V58" s="25" t="s">
        <v>10</v>
      </c>
      <c r="W58" s="11">
        <f>IFERROR(VLOOKUP(V58,Curr!$B$2:$C$13,2,FALSE),0)</f>
        <v>11</v>
      </c>
      <c r="X58" s="12">
        <f t="shared" si="10"/>
        <v>0</v>
      </c>
      <c r="Y58" s="26">
        <f t="shared" si="11"/>
        <v>0</v>
      </c>
      <c r="Z58" s="12">
        <f t="shared" si="2"/>
        <v>0</v>
      </c>
      <c r="AA58" s="4" t="s">
        <v>10</v>
      </c>
      <c r="AB58" s="11">
        <f>IFERROR(VLOOKUP(AA58,Curr!$B$2:$C$13,2,FALSE),0)</f>
        <v>11</v>
      </c>
      <c r="AC58" s="12">
        <f t="shared" si="3"/>
        <v>0</v>
      </c>
      <c r="AD58" s="12">
        <f t="shared" si="4"/>
        <v>0</v>
      </c>
      <c r="AE58" s="13">
        <f t="shared" si="5"/>
        <v>0</v>
      </c>
    </row>
    <row r="59" spans="2:36" hidden="1" x14ac:dyDescent="0.25">
      <c r="B59" s="4"/>
      <c r="E59" s="3"/>
      <c r="F59" s="3"/>
      <c r="G59" s="24"/>
      <c r="H59" s="24"/>
      <c r="K59" s="4"/>
      <c r="L59" s="4"/>
      <c r="M59" s="4"/>
      <c r="N59" s="4"/>
      <c r="O59" s="4"/>
      <c r="P59" s="27"/>
      <c r="Q59" s="25"/>
      <c r="R59" s="25"/>
      <c r="S59" s="12">
        <f t="shared" si="8"/>
        <v>0</v>
      </c>
      <c r="T59" s="5">
        <v>0</v>
      </c>
      <c r="U59" s="12">
        <f t="shared" si="9"/>
        <v>0</v>
      </c>
      <c r="V59" s="25" t="s">
        <v>10</v>
      </c>
      <c r="W59" s="11">
        <f>IFERROR(VLOOKUP(V59,Curr!$B$2:$C$13,2,FALSE),0)</f>
        <v>11</v>
      </c>
      <c r="X59" s="12">
        <f t="shared" si="10"/>
        <v>0</v>
      </c>
      <c r="Y59" s="26">
        <f t="shared" si="11"/>
        <v>0</v>
      </c>
      <c r="Z59" s="12">
        <f t="shared" si="2"/>
        <v>0</v>
      </c>
      <c r="AA59" s="4" t="s">
        <v>10</v>
      </c>
      <c r="AB59" s="11">
        <f>IFERROR(VLOOKUP(AA59,Curr!$B$2:$C$13,2,FALSE),0)</f>
        <v>11</v>
      </c>
      <c r="AC59" s="12">
        <f t="shared" si="3"/>
        <v>0</v>
      </c>
      <c r="AD59" s="12">
        <f t="shared" si="4"/>
        <v>0</v>
      </c>
      <c r="AE59" s="13">
        <f t="shared" si="5"/>
        <v>0</v>
      </c>
    </row>
    <row r="60" spans="2:36" hidden="1" x14ac:dyDescent="0.25">
      <c r="B60" s="4"/>
      <c r="E60" s="3"/>
      <c r="F60" s="3"/>
      <c r="G60" s="24"/>
      <c r="H60" s="24"/>
      <c r="K60" s="4"/>
      <c r="L60" s="4"/>
      <c r="M60" s="4"/>
      <c r="N60" s="4"/>
      <c r="O60" s="4"/>
      <c r="P60" s="27"/>
      <c r="Q60" s="25"/>
      <c r="R60" s="25"/>
      <c r="S60" s="12">
        <f t="shared" si="8"/>
        <v>0</v>
      </c>
      <c r="T60" s="5">
        <v>0</v>
      </c>
      <c r="U60" s="12">
        <f t="shared" si="9"/>
        <v>0</v>
      </c>
      <c r="V60" s="25" t="s">
        <v>10</v>
      </c>
      <c r="W60" s="11">
        <f>IFERROR(VLOOKUP(V60,Curr!$B$2:$C$13,2,FALSE),0)</f>
        <v>11</v>
      </c>
      <c r="X60" s="12">
        <f t="shared" si="10"/>
        <v>0</v>
      </c>
      <c r="Y60" s="26">
        <f t="shared" si="11"/>
        <v>0</v>
      </c>
      <c r="Z60" s="12">
        <f t="shared" si="2"/>
        <v>0</v>
      </c>
      <c r="AA60" s="4" t="s">
        <v>10</v>
      </c>
      <c r="AB60" s="11">
        <f>IFERROR(VLOOKUP(AA60,Curr!$B$2:$C$13,2,FALSE),0)</f>
        <v>11</v>
      </c>
      <c r="AC60" s="12">
        <f t="shared" si="3"/>
        <v>0</v>
      </c>
      <c r="AD60" s="12">
        <f t="shared" si="4"/>
        <v>0</v>
      </c>
      <c r="AE60" s="13">
        <f t="shared" si="5"/>
        <v>0</v>
      </c>
    </row>
    <row r="61" spans="2:36" hidden="1" x14ac:dyDescent="0.25">
      <c r="B61" s="4"/>
      <c r="E61" s="3"/>
      <c r="F61" s="3"/>
      <c r="G61" s="3"/>
      <c r="H61" s="3"/>
      <c r="L61" s="4"/>
      <c r="M61" s="4"/>
      <c r="N61" s="4"/>
      <c r="O61" s="4"/>
      <c r="P61" s="22"/>
      <c r="Q61" s="4"/>
      <c r="R61" s="4"/>
      <c r="S61" s="4"/>
      <c r="T61" s="4"/>
      <c r="U61" s="4"/>
      <c r="V61" s="4"/>
      <c r="W61" s="4"/>
      <c r="X61" s="4"/>
      <c r="Y61" s="4"/>
      <c r="Z61" s="4"/>
      <c r="AA61" s="4"/>
      <c r="AB61" s="4"/>
      <c r="AC61" s="4"/>
      <c r="AD61" s="4"/>
      <c r="AE61" s="4"/>
      <c r="AF61" s="4"/>
    </row>
    <row r="62" spans="2:36" x14ac:dyDescent="0.25">
      <c r="B62" s="14" t="s">
        <v>18</v>
      </c>
      <c r="C62" s="14"/>
      <c r="D62" s="28" t="s">
        <v>42</v>
      </c>
      <c r="E62" s="30" t="s">
        <v>42</v>
      </c>
      <c r="F62" s="30" t="s">
        <v>42</v>
      </c>
      <c r="G62" s="30" t="s">
        <v>42</v>
      </c>
      <c r="H62" s="30" t="s">
        <v>42</v>
      </c>
      <c r="I62" s="28" t="s">
        <v>42</v>
      </c>
      <c r="J62" s="28" t="s">
        <v>42</v>
      </c>
      <c r="K62" s="28" t="s">
        <v>42</v>
      </c>
      <c r="L62" s="28" t="s">
        <v>42</v>
      </c>
      <c r="M62" s="28" t="s">
        <v>42</v>
      </c>
      <c r="N62" s="28" t="s">
        <v>42</v>
      </c>
      <c r="O62" s="28" t="s">
        <v>42</v>
      </c>
      <c r="P62" s="28" t="s">
        <v>42</v>
      </c>
      <c r="Q62" s="31" t="s">
        <v>42</v>
      </c>
      <c r="R62" s="28" t="s">
        <v>42</v>
      </c>
      <c r="S62" s="32" t="s">
        <v>42</v>
      </c>
      <c r="T62" s="28" t="s">
        <v>42</v>
      </c>
      <c r="U62" s="32" t="s">
        <v>42</v>
      </c>
      <c r="V62" s="28" t="s">
        <v>42</v>
      </c>
      <c r="W62" s="28" t="s">
        <v>42</v>
      </c>
      <c r="X62" s="32" t="s">
        <v>42</v>
      </c>
      <c r="Y62" s="32" t="s">
        <v>42</v>
      </c>
      <c r="Z62" s="15">
        <f>SUM(Z7:Z60)</f>
        <v>5159.7882352941169</v>
      </c>
      <c r="AA62" s="14"/>
      <c r="AB62" s="14"/>
      <c r="AC62" s="15">
        <f>SUM(AC7:AC60)</f>
        <v>56757.670588235298</v>
      </c>
      <c r="AD62" s="15">
        <f>SUM(AD7:AD60)</f>
        <v>8920.8705882352879</v>
      </c>
      <c r="AE62" s="21">
        <f t="shared" ref="AE62" si="24">IFERROR(AD62/AC62,0)</f>
        <v>0.15717471305251912</v>
      </c>
      <c r="AF62" s="15">
        <f>SUM(AF8:AF61)</f>
        <v>0</v>
      </c>
      <c r="AG62" s="15">
        <f>SUM(AG8:AG61)</f>
        <v>0</v>
      </c>
      <c r="AH62" s="15">
        <f>SUM(AH8:AH61)</f>
        <v>0</v>
      </c>
      <c r="AI62" s="15">
        <f>SUM(AI8:AI61)</f>
        <v>0</v>
      </c>
      <c r="AJ62" s="15">
        <f>SUM(AJ8:AJ61)</f>
        <v>0</v>
      </c>
    </row>
    <row r="63" spans="2:36" x14ac:dyDescent="0.25">
      <c r="B63" s="4"/>
      <c r="E63" s="3"/>
      <c r="F63" s="3"/>
      <c r="G63" s="3"/>
      <c r="H63" s="3"/>
      <c r="L63" s="4"/>
      <c r="M63" s="4"/>
      <c r="N63" s="4"/>
      <c r="O63" s="4"/>
      <c r="Q63" s="4"/>
      <c r="R63" s="4"/>
      <c r="S63" s="4"/>
      <c r="T63" s="4"/>
      <c r="U63" s="4"/>
      <c r="V63" s="4"/>
      <c r="W63" s="4"/>
      <c r="X63" s="4"/>
      <c r="Y63" s="9"/>
      <c r="Z63" s="9"/>
      <c r="AA63" s="9"/>
      <c r="AB63" s="9"/>
      <c r="AC63" s="9"/>
      <c r="AD63" s="9"/>
      <c r="AE63" s="9"/>
    </row>
    <row r="64" spans="2:36" x14ac:dyDescent="0.25">
      <c r="B64" s="4"/>
      <c r="E64" s="3"/>
      <c r="F64" s="3"/>
      <c r="G64" s="3"/>
      <c r="H64" s="3"/>
      <c r="L64" s="4"/>
      <c r="M64" s="4"/>
      <c r="N64" s="4"/>
      <c r="O64" s="4"/>
      <c r="Q64" s="9"/>
      <c r="R64" s="9"/>
      <c r="S64" s="9"/>
      <c r="T64" s="9"/>
      <c r="U64" s="9"/>
      <c r="V64" s="9"/>
      <c r="W64" s="9"/>
      <c r="X64" s="23"/>
      <c r="Y64" s="34" t="s">
        <v>234</v>
      </c>
      <c r="Z64" s="34">
        <f>Z12</f>
        <v>4689.2</v>
      </c>
      <c r="AA64" s="9"/>
      <c r="AB64" s="9"/>
      <c r="AC64" s="9"/>
      <c r="AD64" s="9"/>
      <c r="AE64" s="9"/>
    </row>
    <row r="65" spans="2:32" x14ac:dyDescent="0.25">
      <c r="B65" s="4"/>
      <c r="E65" s="3"/>
      <c r="F65" s="3"/>
      <c r="G65" s="3"/>
      <c r="H65" s="3"/>
      <c r="L65" s="4"/>
      <c r="M65" s="4"/>
      <c r="N65" s="4"/>
      <c r="O65" s="4"/>
      <c r="Q65" s="9"/>
      <c r="R65" s="9"/>
      <c r="S65" s="9"/>
      <c r="T65" s="9"/>
      <c r="U65" s="9"/>
      <c r="V65" s="9"/>
      <c r="W65" s="9"/>
      <c r="X65" s="9"/>
      <c r="Y65" s="35" t="s">
        <v>235</v>
      </c>
      <c r="Z65" s="34">
        <f>Z9+Z28</f>
        <v>470.58823529411768</v>
      </c>
      <c r="AA65" s="9"/>
      <c r="AB65" s="9"/>
      <c r="AC65" s="9"/>
      <c r="AD65" s="9"/>
      <c r="AE65" s="9"/>
      <c r="AF65" s="18"/>
    </row>
    <row r="66" spans="2:32" x14ac:dyDescent="0.25">
      <c r="B66" s="4"/>
      <c r="E66" s="3"/>
      <c r="F66" s="3"/>
      <c r="G66" s="3"/>
      <c r="H66" s="3"/>
      <c r="I66" s="19"/>
      <c r="L66" s="4"/>
      <c r="M66" s="4"/>
      <c r="N66" s="4"/>
      <c r="O66" s="20"/>
      <c r="Q66" s="20"/>
      <c r="R66" s="20"/>
      <c r="S66" s="20"/>
      <c r="T66" s="20"/>
      <c r="U66" s="20"/>
      <c r="V66" s="20"/>
      <c r="W66" s="20"/>
      <c r="X66" s="20"/>
      <c r="Y66" s="34" t="s">
        <v>236</v>
      </c>
      <c r="Z66" s="34">
        <v>5160</v>
      </c>
      <c r="AA66" s="9"/>
      <c r="AB66" s="9"/>
      <c r="AC66" s="9"/>
      <c r="AD66" s="9"/>
      <c r="AE66" s="9"/>
      <c r="AF66" s="18"/>
    </row>
    <row r="67" spans="2:32" x14ac:dyDescent="0.25">
      <c r="B67" s="4"/>
      <c r="E67" s="3"/>
      <c r="F67" s="3"/>
      <c r="G67" s="3"/>
      <c r="H67" s="3"/>
      <c r="L67" s="4"/>
      <c r="M67" s="4"/>
      <c r="N67" s="4"/>
      <c r="O67" s="20"/>
      <c r="Q67" s="20"/>
      <c r="R67" s="20"/>
      <c r="S67" s="20"/>
      <c r="T67" s="20"/>
      <c r="U67" s="20"/>
      <c r="V67" s="20"/>
      <c r="W67" s="20"/>
      <c r="X67" s="20"/>
      <c r="Y67" s="34" t="s">
        <v>45</v>
      </c>
      <c r="Z67" s="34">
        <f>Z66/2</f>
        <v>2580</v>
      </c>
      <c r="AA67" s="9"/>
      <c r="AB67" s="9"/>
      <c r="AC67" s="9"/>
      <c r="AD67" s="9"/>
      <c r="AE67" s="9"/>
      <c r="AF67" s="18"/>
    </row>
    <row r="68" spans="2:32" x14ac:dyDescent="0.25">
      <c r="B68" s="4"/>
      <c r="E68" s="3"/>
      <c r="F68" s="3"/>
      <c r="G68" s="3"/>
      <c r="H68" s="3"/>
      <c r="L68" s="4"/>
      <c r="M68" s="4"/>
      <c r="N68" s="4"/>
      <c r="O68" s="4"/>
      <c r="Q68" s="9"/>
      <c r="R68" s="9"/>
      <c r="S68" s="9"/>
      <c r="T68" s="9"/>
      <c r="U68" s="9"/>
      <c r="V68" s="9"/>
      <c r="W68" s="9"/>
      <c r="X68" s="9"/>
      <c r="Y68" s="1"/>
      <c r="Z68" s="1"/>
      <c r="AA68" s="9"/>
      <c r="AB68" s="9"/>
      <c r="AC68" s="9"/>
      <c r="AD68" s="9"/>
      <c r="AE68" s="9"/>
      <c r="AF68" s="18"/>
    </row>
    <row r="69" spans="2:32" x14ac:dyDescent="0.25">
      <c r="F69" s="1"/>
      <c r="G69" s="1"/>
      <c r="H69" s="1"/>
      <c r="J69" s="1" t="s">
        <v>32</v>
      </c>
      <c r="Q69" s="9"/>
      <c r="R69" s="4"/>
      <c r="S69" s="9"/>
      <c r="T69" s="5"/>
      <c r="U69" s="9"/>
      <c r="V69" s="4"/>
      <c r="W69" s="4"/>
      <c r="X69" s="9"/>
      <c r="Y69" s="9" t="s">
        <v>46</v>
      </c>
      <c r="Z69" s="9">
        <f>Z66-Z70</f>
        <v>5160</v>
      </c>
      <c r="AA69" s="9"/>
      <c r="AB69" s="9"/>
      <c r="AC69" s="9"/>
      <c r="AD69" s="9"/>
      <c r="AE69" s="9"/>
    </row>
    <row r="70" spans="2:32" x14ac:dyDescent="0.25">
      <c r="R70" s="4"/>
      <c r="S70" s="17"/>
      <c r="T70" s="17"/>
      <c r="U70" s="9"/>
      <c r="V70" s="4"/>
      <c r="W70" s="4"/>
      <c r="X70" s="9"/>
      <c r="Y70" s="9" t="s">
        <v>47</v>
      </c>
      <c r="Z70" s="9">
        <v>0</v>
      </c>
      <c r="AA70" s="9"/>
      <c r="AB70" s="9"/>
      <c r="AC70" s="9"/>
      <c r="AD70" s="9"/>
      <c r="AE70" s="9"/>
    </row>
    <row r="71" spans="2:32" x14ac:dyDescent="0.25">
      <c r="Q71" s="9"/>
      <c r="R71" s="4"/>
      <c r="S71" s="16"/>
      <c r="T71" s="16"/>
      <c r="U71" s="9"/>
      <c r="V71" s="4"/>
      <c r="W71" s="4"/>
      <c r="X71" s="9"/>
      <c r="Y71" s="9"/>
      <c r="Z71" s="9"/>
      <c r="AA71" s="9"/>
      <c r="AB71" s="9"/>
      <c r="AC71" s="9"/>
      <c r="AD71" s="9"/>
      <c r="AE71" s="9"/>
    </row>
    <row r="72" spans="2:32" x14ac:dyDescent="0.25">
      <c r="R72" s="4"/>
      <c r="S72" s="16"/>
      <c r="T72" s="16"/>
      <c r="Y72" s="9" t="s">
        <v>48</v>
      </c>
      <c r="Z72" s="9">
        <f>Z66*0.3</f>
        <v>1548</v>
      </c>
      <c r="AA72" s="9"/>
      <c r="AB72" s="9"/>
      <c r="AC72" s="9"/>
      <c r="AD72" s="9"/>
      <c r="AE72" s="9"/>
    </row>
    <row r="73" spans="2:32" x14ac:dyDescent="0.25">
      <c r="T73" s="5"/>
      <c r="Y73" s="9" t="s">
        <v>49</v>
      </c>
      <c r="Z73" s="9">
        <f>Z66-Z72</f>
        <v>3612</v>
      </c>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20" x14ac:dyDescent="0.25">
      <c r="T81" s="5"/>
    </row>
    <row r="82" spans="20:20" x14ac:dyDescent="0.25">
      <c r="T82" s="5"/>
    </row>
    <row r="83" spans="20:20" x14ac:dyDescent="0.25">
      <c r="T83" s="5"/>
    </row>
    <row r="84" spans="20:20" x14ac:dyDescent="0.25">
      <c r="T84" s="5"/>
    </row>
    <row r="85" spans="20:20" x14ac:dyDescent="0.25">
      <c r="T85" s="5"/>
    </row>
  </sheetData>
  <autoFilter ref="B6:AE62" xr:uid="{65FA6D9B-E0AF-46CD-BA0D-86BB75FE6AB0}">
    <filterColumn colId="8">
      <customFilters>
        <customFilter operator="notEqual" val=" "/>
      </customFilters>
    </filterColumn>
  </autoFilter>
  <hyperlinks>
    <hyperlink ref="P12" r:id="rId1" xr:uid="{D58638D7-4BE6-49E7-9736-531BFD28D826}"/>
    <hyperlink ref="P45" r:id="rId2" xr:uid="{32A500EE-021B-4358-91D2-EE377F373DE1}"/>
    <hyperlink ref="P41" r:id="rId3" xr:uid="{9198E4D3-D074-40C9-AB65-B354DA0B35A8}"/>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E9D28-661B-4FFC-8EC9-9A469D05AE7C}">
  <sheetPr filterMode="1">
    <tabColor rgb="FFFFFF00"/>
  </sheetPr>
  <dimension ref="B1:AK70"/>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183</v>
      </c>
    </row>
    <row r="2" spans="2:36" x14ac:dyDescent="0.25">
      <c r="B2" s="2" t="s">
        <v>190</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45" si="2">+Y7*R7</f>
        <v>0</v>
      </c>
      <c r="AA7" s="4" t="s">
        <v>10</v>
      </c>
      <c r="AB7" s="11">
        <f>IFERROR(VLOOKUP(AA7,Curr!$B$2:$C$13,2,FALSE),0)</f>
        <v>11</v>
      </c>
      <c r="AC7" s="12">
        <f t="shared" ref="AC7:AC45" si="3">+Y7*AB7*R7</f>
        <v>0</v>
      </c>
      <c r="AD7" s="12">
        <f t="shared" ref="AD7:AD45" si="4">+AC7-X7</f>
        <v>0</v>
      </c>
      <c r="AE7" s="13">
        <f t="shared" ref="AE7:AE45"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45" si="8">+Q11*R11</f>
        <v>0</v>
      </c>
      <c r="T11" s="5">
        <v>0</v>
      </c>
      <c r="U11" s="12">
        <f t="shared" ref="U11:U45" si="9">S11*(1-T11)</f>
        <v>0</v>
      </c>
      <c r="V11" s="25" t="s">
        <v>10</v>
      </c>
      <c r="W11" s="11">
        <f>IFERROR(VLOOKUP(V11,Curr!$B$2:$C$13,2,FALSE),0)</f>
        <v>11</v>
      </c>
      <c r="X11" s="12">
        <f t="shared" ref="X11:X45" si="10">U11*W11</f>
        <v>0</v>
      </c>
      <c r="Y11" s="26">
        <f t="shared" ref="Y11:Y45"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185</v>
      </c>
      <c r="K12" s="4"/>
      <c r="L12" s="4"/>
      <c r="M12" s="4"/>
      <c r="N12" s="4"/>
      <c r="O12" s="4"/>
      <c r="P12" s="33" t="s">
        <v>186</v>
      </c>
      <c r="Q12" s="25">
        <v>875</v>
      </c>
      <c r="R12" s="25">
        <v>2</v>
      </c>
      <c r="S12" s="12">
        <f t="shared" si="8"/>
        <v>1750</v>
      </c>
      <c r="T12" s="5">
        <v>0.2</v>
      </c>
      <c r="U12" s="12">
        <f t="shared" si="9"/>
        <v>1400</v>
      </c>
      <c r="V12" s="25" t="s">
        <v>10</v>
      </c>
      <c r="W12" s="11">
        <f>IFERROR(VLOOKUP(V12,Curr!$B$2:$C$13,2,FALSE),0)</f>
        <v>11</v>
      </c>
      <c r="X12" s="12">
        <f t="shared" si="10"/>
        <v>15400</v>
      </c>
      <c r="Y12" s="26">
        <f>Q12*0.95</f>
        <v>831.25</v>
      </c>
      <c r="Z12" s="12">
        <f t="shared" si="2"/>
        <v>1662.5</v>
      </c>
      <c r="AA12" s="4" t="s">
        <v>10</v>
      </c>
      <c r="AB12" s="11">
        <f>IFERROR(VLOOKUP(AA12,Curr!$B$2:$C$13,2,FALSE),0)</f>
        <v>11</v>
      </c>
      <c r="AC12" s="12">
        <f t="shared" si="3"/>
        <v>18287.5</v>
      </c>
      <c r="AD12" s="12">
        <f t="shared" si="4"/>
        <v>2887.5</v>
      </c>
      <c r="AE12" s="13">
        <f t="shared" si="5"/>
        <v>0.15789473684210525</v>
      </c>
    </row>
    <row r="13" spans="2:36" x14ac:dyDescent="0.25">
      <c r="B13" s="4"/>
      <c r="C13" s="1" t="s">
        <v>65</v>
      </c>
      <c r="D13" s="1" t="s">
        <v>120</v>
      </c>
      <c r="E13" s="1"/>
      <c r="F13" s="1"/>
      <c r="G13" s="24"/>
      <c r="H13" s="24"/>
      <c r="J13" s="1" t="s">
        <v>187</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2"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188</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189</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x14ac:dyDescent="0.25">
      <c r="B18" s="4"/>
      <c r="C18" s="1" t="s">
        <v>67</v>
      </c>
      <c r="D18" s="1" t="s">
        <v>59</v>
      </c>
      <c r="E18" s="1"/>
      <c r="F18" s="1"/>
      <c r="G18" s="24"/>
      <c r="H18" s="24"/>
      <c r="J18" s="1" t="s">
        <v>146</v>
      </c>
      <c r="K18" s="4"/>
      <c r="L18" s="4"/>
      <c r="M18" s="4"/>
      <c r="N18" s="4"/>
      <c r="O18" s="4"/>
      <c r="P18" s="27"/>
      <c r="Q18" s="25">
        <v>200</v>
      </c>
      <c r="R18" s="25">
        <v>1</v>
      </c>
      <c r="S18" s="12">
        <f t="shared" si="8"/>
        <v>200</v>
      </c>
      <c r="T18" s="5">
        <v>0</v>
      </c>
      <c r="U18" s="12">
        <f t="shared" si="9"/>
        <v>200</v>
      </c>
      <c r="V18" s="25" t="s">
        <v>10</v>
      </c>
      <c r="W18" s="11">
        <f>IFERROR(VLOOKUP(V18,Curr!$B$2:$C$13,2,FALSE),0)</f>
        <v>11</v>
      </c>
      <c r="X18" s="12">
        <f t="shared" si="10"/>
        <v>2200</v>
      </c>
      <c r="Y18" s="26">
        <f>Q18/0.85</f>
        <v>235.29411764705884</v>
      </c>
      <c r="Z18" s="12">
        <f t="shared" si="2"/>
        <v>235.29411764705884</v>
      </c>
      <c r="AA18" s="4" t="s">
        <v>10</v>
      </c>
      <c r="AB18" s="11">
        <f>IFERROR(VLOOKUP(AA18,Curr!$B$2:$C$13,2,FALSE),0)</f>
        <v>11</v>
      </c>
      <c r="AC18" s="12">
        <f t="shared" si="3"/>
        <v>2588.2352941176473</v>
      </c>
      <c r="AD18" s="12">
        <f t="shared" si="4"/>
        <v>388.2352941176473</v>
      </c>
      <c r="AE18" s="13">
        <f t="shared" si="5"/>
        <v>0.15000000000000008</v>
      </c>
    </row>
    <row r="19" spans="2:31" x14ac:dyDescent="0.25">
      <c r="B19" s="4"/>
      <c r="C19" s="1" t="s">
        <v>67</v>
      </c>
      <c r="D19" s="1" t="s">
        <v>60</v>
      </c>
      <c r="E19" s="3"/>
      <c r="F19" s="3"/>
      <c r="G19" s="24"/>
      <c r="H19" s="24"/>
      <c r="J19" s="1" t="s">
        <v>118</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77</v>
      </c>
      <c r="D21" s="1" t="s">
        <v>117</v>
      </c>
      <c r="E21" s="3"/>
      <c r="F21" s="3"/>
      <c r="G21" s="24"/>
      <c r="H21" s="24"/>
      <c r="J21" s="1" t="s">
        <v>133</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78</v>
      </c>
      <c r="E22" s="3"/>
      <c r="F22" s="3"/>
      <c r="G22" s="24"/>
      <c r="H22" s="24"/>
      <c r="J22" s="1" t="s">
        <v>81</v>
      </c>
      <c r="K22" s="4"/>
      <c r="L22" s="4"/>
      <c r="M22" s="4"/>
      <c r="N22" s="4"/>
      <c r="O22" s="4"/>
      <c r="P22" s="27"/>
      <c r="Q22" s="25">
        <v>0</v>
      </c>
      <c r="R22" s="25">
        <v>0</v>
      </c>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hidden="1" x14ac:dyDescent="0.25">
      <c r="B23" s="4"/>
      <c r="E23" s="3"/>
      <c r="F23" s="3"/>
      <c r="G23" s="24"/>
      <c r="H23" s="24"/>
      <c r="K23" s="4"/>
      <c r="L23" s="4"/>
      <c r="M23" s="4"/>
      <c r="N23" s="4"/>
      <c r="O23" s="4"/>
      <c r="P23" s="33"/>
      <c r="Q23" s="25"/>
      <c r="R23" s="25"/>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55</v>
      </c>
      <c r="D25" s="1" t="s">
        <v>127</v>
      </c>
      <c r="E25" s="3"/>
      <c r="F25" s="3"/>
      <c r="G25" s="24"/>
      <c r="H25" s="24"/>
      <c r="J25" s="1" t="s">
        <v>131</v>
      </c>
      <c r="K25" s="4"/>
      <c r="L25" s="4"/>
      <c r="M25" s="4"/>
      <c r="N25" s="4"/>
      <c r="O25" s="4"/>
      <c r="P25" s="27"/>
      <c r="Q25" s="25">
        <v>160</v>
      </c>
      <c r="R25" s="25">
        <v>0</v>
      </c>
      <c r="S25" s="12">
        <f t="shared" si="8"/>
        <v>0</v>
      </c>
      <c r="T25" s="5">
        <v>0.2</v>
      </c>
      <c r="U25" s="12">
        <f t="shared" si="9"/>
        <v>0</v>
      </c>
      <c r="V25" s="25" t="s">
        <v>10</v>
      </c>
      <c r="W25" s="11">
        <f>IFERROR(VLOOKUP(V25,Curr!$B$2:$C$13,2,FALSE),0)</f>
        <v>11</v>
      </c>
      <c r="X25" s="12">
        <f t="shared" si="10"/>
        <v>0</v>
      </c>
      <c r="Y25" s="26">
        <f t="shared" si="11"/>
        <v>160</v>
      </c>
      <c r="Z25" s="12">
        <f t="shared" si="2"/>
        <v>0</v>
      </c>
      <c r="AA25" s="4" t="s">
        <v>10</v>
      </c>
      <c r="AB25" s="11">
        <f>IFERROR(VLOOKUP(AA25,Curr!$B$2:$C$13,2,FALSE),0)</f>
        <v>11</v>
      </c>
      <c r="AC25" s="12">
        <f t="shared" si="3"/>
        <v>0</v>
      </c>
      <c r="AD25" s="12">
        <f t="shared" si="4"/>
        <v>0</v>
      </c>
      <c r="AE25" s="13">
        <f t="shared" si="5"/>
        <v>0</v>
      </c>
    </row>
    <row r="26" spans="2:31" x14ac:dyDescent="0.25">
      <c r="B26" s="4"/>
      <c r="C26" s="1" t="s">
        <v>55</v>
      </c>
      <c r="D26" s="1" t="s">
        <v>127</v>
      </c>
      <c r="E26" s="3"/>
      <c r="F26" s="3"/>
      <c r="G26" s="24"/>
      <c r="H26" s="24"/>
      <c r="J26" s="1" t="s">
        <v>132</v>
      </c>
      <c r="K26" s="4"/>
      <c r="L26" s="4"/>
      <c r="M26" s="4"/>
      <c r="N26" s="4"/>
      <c r="O26" s="4"/>
      <c r="P26" s="33"/>
      <c r="Q26" s="25">
        <v>39</v>
      </c>
      <c r="R26" s="25">
        <v>0</v>
      </c>
      <c r="S26" s="12">
        <f t="shared" si="8"/>
        <v>0</v>
      </c>
      <c r="T26" s="5">
        <v>0.2</v>
      </c>
      <c r="U26" s="12">
        <f t="shared" si="9"/>
        <v>0</v>
      </c>
      <c r="V26" s="25" t="s">
        <v>10</v>
      </c>
      <c r="W26" s="11">
        <f>IFERROR(VLOOKUP(V26,Curr!$B$2:$C$13,2,FALSE),0)</f>
        <v>11</v>
      </c>
      <c r="X26" s="12">
        <f t="shared" si="10"/>
        <v>0</v>
      </c>
      <c r="Y26" s="26">
        <f t="shared" si="11"/>
        <v>39</v>
      </c>
      <c r="Z26" s="12">
        <f t="shared" si="2"/>
        <v>0</v>
      </c>
      <c r="AA26" s="4" t="s">
        <v>10</v>
      </c>
      <c r="AB26" s="11">
        <f>IFERROR(VLOOKUP(AA26,Curr!$B$2:$C$13,2,FALSE),0)</f>
        <v>11</v>
      </c>
      <c r="AC26" s="12">
        <f t="shared" si="3"/>
        <v>0</v>
      </c>
      <c r="AD26" s="12">
        <f t="shared" si="4"/>
        <v>0</v>
      </c>
      <c r="AE26" s="13">
        <f t="shared" si="5"/>
        <v>0</v>
      </c>
    </row>
    <row r="27" spans="2:31" x14ac:dyDescent="0.25">
      <c r="B27" s="4"/>
      <c r="C27" s="1" t="s">
        <v>77</v>
      </c>
      <c r="D27" s="1" t="s">
        <v>127</v>
      </c>
      <c r="E27" s="3"/>
      <c r="F27" s="3"/>
      <c r="G27" s="24"/>
      <c r="H27" s="24"/>
      <c r="J27" s="1" t="s">
        <v>134</v>
      </c>
      <c r="K27" s="4"/>
      <c r="L27" s="4"/>
      <c r="M27" s="4"/>
      <c r="N27" s="4"/>
      <c r="O27" s="4"/>
      <c r="P27" s="27"/>
      <c r="Q27" s="25">
        <v>160</v>
      </c>
      <c r="R27" s="25">
        <v>0</v>
      </c>
      <c r="S27" s="12">
        <f t="shared" si="8"/>
        <v>0</v>
      </c>
      <c r="T27" s="5">
        <v>0.2</v>
      </c>
      <c r="U27" s="12">
        <f t="shared" si="9"/>
        <v>0</v>
      </c>
      <c r="V27" s="25" t="s">
        <v>10</v>
      </c>
      <c r="W27" s="11">
        <f>IFERROR(VLOOKUP(V27,Curr!$B$2:$C$13,2,FALSE),0)</f>
        <v>11</v>
      </c>
      <c r="X27" s="12">
        <f t="shared" si="10"/>
        <v>0</v>
      </c>
      <c r="Y27" s="26">
        <f t="shared" si="11"/>
        <v>160</v>
      </c>
      <c r="Z27" s="12">
        <f t="shared" si="2"/>
        <v>0</v>
      </c>
      <c r="AA27" s="4" t="s">
        <v>10</v>
      </c>
      <c r="AB27" s="11">
        <f>IFERROR(VLOOKUP(AA27,Curr!$B$2:$C$13,2,FALSE),0)</f>
        <v>11</v>
      </c>
      <c r="AC27" s="12">
        <f t="shared" si="3"/>
        <v>0</v>
      </c>
      <c r="AD27" s="12">
        <f t="shared" si="4"/>
        <v>0</v>
      </c>
      <c r="AE27" s="13">
        <f t="shared" si="5"/>
        <v>0</v>
      </c>
    </row>
    <row r="28" spans="2:31" x14ac:dyDescent="0.25">
      <c r="B28" s="4"/>
      <c r="C28" s="1" t="s">
        <v>77</v>
      </c>
      <c r="D28" s="1" t="s">
        <v>127</v>
      </c>
      <c r="E28" s="3"/>
      <c r="F28" s="3"/>
      <c r="G28" s="24"/>
      <c r="H28" s="24"/>
      <c r="J28" s="1" t="s">
        <v>135</v>
      </c>
      <c r="K28" s="4"/>
      <c r="L28" s="4"/>
      <c r="M28" s="4"/>
      <c r="N28" s="4"/>
      <c r="O28" s="4"/>
      <c r="P28" s="33"/>
      <c r="Q28" s="25">
        <v>39</v>
      </c>
      <c r="R28" s="25">
        <v>0</v>
      </c>
      <c r="S28" s="12">
        <f t="shared" si="8"/>
        <v>0</v>
      </c>
      <c r="T28" s="5">
        <v>0.2</v>
      </c>
      <c r="U28" s="12">
        <f t="shared" si="9"/>
        <v>0</v>
      </c>
      <c r="V28" s="25" t="s">
        <v>10</v>
      </c>
      <c r="W28" s="11">
        <f>IFERROR(VLOOKUP(V28,Curr!$B$2:$C$13,2,FALSE),0)</f>
        <v>11</v>
      </c>
      <c r="X28" s="12">
        <f t="shared" si="10"/>
        <v>0</v>
      </c>
      <c r="Y28" s="26">
        <f t="shared" si="11"/>
        <v>39</v>
      </c>
      <c r="Z28" s="12">
        <f t="shared" si="2"/>
        <v>0</v>
      </c>
      <c r="AA28" s="4" t="s">
        <v>10</v>
      </c>
      <c r="AB28" s="11">
        <f>IFERROR(VLOOKUP(AA28,Curr!$B$2:$C$13,2,FALSE),0)</f>
        <v>11</v>
      </c>
      <c r="AC28" s="12">
        <f t="shared" si="3"/>
        <v>0</v>
      </c>
      <c r="AD28" s="12">
        <f t="shared" si="4"/>
        <v>0</v>
      </c>
      <c r="AE28" s="13">
        <f t="shared" si="5"/>
        <v>0</v>
      </c>
    </row>
    <row r="29" spans="2:31" hidden="1" x14ac:dyDescent="0.25">
      <c r="B29" s="4"/>
      <c r="E29" s="3"/>
      <c r="F29" s="3"/>
      <c r="G29" s="24"/>
      <c r="H29" s="24"/>
      <c r="K29" s="4"/>
      <c r="L29" s="4"/>
      <c r="M29" s="4"/>
      <c r="N29" s="4"/>
      <c r="O29" s="4"/>
      <c r="P29" s="33"/>
      <c r="Q29" s="25"/>
      <c r="R29" s="25"/>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hidden="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C31" s="1" t="s">
        <v>55</v>
      </c>
      <c r="D31" s="1" t="s">
        <v>83</v>
      </c>
      <c r="E31" s="3"/>
      <c r="F31" s="3"/>
      <c r="G31" s="24"/>
      <c r="H31" s="24"/>
      <c r="J31" s="1" t="s">
        <v>184</v>
      </c>
      <c r="K31" s="4"/>
      <c r="L31" s="4"/>
      <c r="M31" s="4"/>
      <c r="N31" s="4"/>
      <c r="O31" s="4"/>
      <c r="P31" s="33" t="s">
        <v>243</v>
      </c>
      <c r="Q31" s="25">
        <v>37</v>
      </c>
      <c r="R31" s="25">
        <v>0</v>
      </c>
      <c r="S31" s="12">
        <f t="shared" si="8"/>
        <v>0</v>
      </c>
      <c r="T31" s="5">
        <v>0.2</v>
      </c>
      <c r="U31" s="12">
        <f t="shared" si="9"/>
        <v>0</v>
      </c>
      <c r="V31" s="25" t="s">
        <v>10</v>
      </c>
      <c r="W31" s="11">
        <f>IFERROR(VLOOKUP(V31,Curr!$B$2:$C$13,2,FALSE),0)</f>
        <v>11</v>
      </c>
      <c r="X31" s="12">
        <f t="shared" si="10"/>
        <v>0</v>
      </c>
      <c r="Y31" s="26">
        <f t="shared" si="11"/>
        <v>37</v>
      </c>
      <c r="Z31" s="12">
        <f t="shared" si="2"/>
        <v>0</v>
      </c>
      <c r="AA31" s="4" t="s">
        <v>10</v>
      </c>
      <c r="AB31" s="11">
        <f>IFERROR(VLOOKUP(AA31,Curr!$B$2:$C$13,2,FALSE),0)</f>
        <v>11</v>
      </c>
      <c r="AC31" s="12">
        <f t="shared" si="3"/>
        <v>0</v>
      </c>
      <c r="AD31" s="12">
        <f t="shared" si="4"/>
        <v>0</v>
      </c>
      <c r="AE31" s="13">
        <f t="shared" si="5"/>
        <v>0</v>
      </c>
    </row>
    <row r="32" spans="2:31" x14ac:dyDescent="0.25">
      <c r="B32" s="4"/>
      <c r="C32" s="1" t="s">
        <v>77</v>
      </c>
      <c r="D32" s="1" t="s">
        <v>83</v>
      </c>
      <c r="E32" s="3"/>
      <c r="F32" s="3"/>
      <c r="G32" s="24"/>
      <c r="H32" s="24"/>
      <c r="J32" s="1" t="s">
        <v>137</v>
      </c>
      <c r="K32" s="4"/>
      <c r="L32" s="4"/>
      <c r="M32" s="4"/>
      <c r="N32" s="4"/>
      <c r="O32" s="4"/>
      <c r="P32" s="33" t="s">
        <v>182</v>
      </c>
      <c r="Q32" s="25">
        <v>163</v>
      </c>
      <c r="R32" s="25">
        <v>0</v>
      </c>
      <c r="S32" s="12">
        <f t="shared" si="8"/>
        <v>0</v>
      </c>
      <c r="T32" s="5">
        <v>0.2</v>
      </c>
      <c r="U32" s="12">
        <f t="shared" si="9"/>
        <v>0</v>
      </c>
      <c r="V32" s="25" t="s">
        <v>10</v>
      </c>
      <c r="W32" s="11">
        <f>IFERROR(VLOOKUP(V32,Curr!$B$2:$C$13,2,FALSE),0)</f>
        <v>11</v>
      </c>
      <c r="X32" s="12">
        <f t="shared" si="10"/>
        <v>0</v>
      </c>
      <c r="Y32" s="26">
        <f t="shared" si="11"/>
        <v>163</v>
      </c>
      <c r="Z32" s="12">
        <f t="shared" si="2"/>
        <v>0</v>
      </c>
      <c r="AA32" s="4" t="s">
        <v>10</v>
      </c>
      <c r="AB32" s="11">
        <f>IFERROR(VLOOKUP(AA32,Curr!$B$2:$C$13,2,FALSE),0)</f>
        <v>11</v>
      </c>
      <c r="AC32" s="12">
        <f t="shared" si="3"/>
        <v>0</v>
      </c>
      <c r="AD32" s="12">
        <f t="shared" si="4"/>
        <v>0</v>
      </c>
      <c r="AE32" s="13">
        <f t="shared" si="5"/>
        <v>0</v>
      </c>
    </row>
    <row r="33" spans="2:36" hidden="1" x14ac:dyDescent="0.25">
      <c r="B33" s="4"/>
      <c r="E33" s="3"/>
      <c r="F33" s="3"/>
      <c r="G33" s="24"/>
      <c r="H33" s="24"/>
      <c r="K33" s="4"/>
      <c r="L33" s="4"/>
      <c r="M33" s="4"/>
      <c r="N33" s="4"/>
      <c r="O33" s="4"/>
      <c r="P33" s="33"/>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6" hidden="1" x14ac:dyDescent="0.25">
      <c r="B34" s="4"/>
      <c r="E34" s="3"/>
      <c r="F34" s="3"/>
      <c r="G34" s="24"/>
      <c r="H34" s="24"/>
      <c r="K34" s="4"/>
      <c r="L34" s="4"/>
      <c r="M34" s="4"/>
      <c r="N34" s="4"/>
      <c r="O34" s="4"/>
      <c r="P34" s="27"/>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6" x14ac:dyDescent="0.25">
      <c r="B35" s="4"/>
      <c r="C35" s="1" t="s">
        <v>65</v>
      </c>
      <c r="D35" s="1" t="s">
        <v>128</v>
      </c>
      <c r="E35" s="3"/>
      <c r="F35" s="3"/>
      <c r="G35" s="24"/>
      <c r="H35" s="24"/>
      <c r="J35" s="1" t="s">
        <v>191</v>
      </c>
      <c r="K35" s="4"/>
      <c r="L35" s="4"/>
      <c r="M35" s="4"/>
      <c r="N35" s="4"/>
      <c r="O35" s="4"/>
      <c r="P35" s="27"/>
      <c r="Q35" s="25">
        <v>153</v>
      </c>
      <c r="R35" s="25">
        <v>0</v>
      </c>
      <c r="S35" s="12">
        <f t="shared" si="8"/>
        <v>0</v>
      </c>
      <c r="T35" s="5">
        <v>0</v>
      </c>
      <c r="U35" s="12">
        <f t="shared" si="9"/>
        <v>0</v>
      </c>
      <c r="V35" s="25" t="s">
        <v>10</v>
      </c>
      <c r="W35" s="11">
        <f>IFERROR(VLOOKUP(V35,Curr!$B$2:$C$13,2,FALSE),0)</f>
        <v>11</v>
      </c>
      <c r="X35" s="12">
        <f t="shared" si="10"/>
        <v>0</v>
      </c>
      <c r="Y35" s="26">
        <f>Q35/0.8</f>
        <v>191.25</v>
      </c>
      <c r="Z35" s="12">
        <f t="shared" si="2"/>
        <v>0</v>
      </c>
      <c r="AA35" s="4" t="s">
        <v>10</v>
      </c>
      <c r="AB35" s="11">
        <f>IFERROR(VLOOKUP(AA35,Curr!$B$2:$C$13,2,FALSE),0)</f>
        <v>11</v>
      </c>
      <c r="AC35" s="12">
        <f t="shared" si="3"/>
        <v>0</v>
      </c>
      <c r="AD35" s="12">
        <f t="shared" si="4"/>
        <v>0</v>
      </c>
      <c r="AE35" s="13">
        <f t="shared" si="5"/>
        <v>0</v>
      </c>
    </row>
    <row r="36" spans="2:36" hidden="1" x14ac:dyDescent="0.25">
      <c r="B36" s="4"/>
      <c r="E36" s="3"/>
      <c r="F36" s="3"/>
      <c r="G36" s="24"/>
      <c r="H36" s="24"/>
      <c r="K36" s="4"/>
      <c r="L36" s="4"/>
      <c r="M36" s="4"/>
      <c r="N36" s="4"/>
      <c r="O36" s="4"/>
      <c r="P36" s="27"/>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6" hidden="1" x14ac:dyDescent="0.25">
      <c r="B37" s="4"/>
      <c r="E37" s="3"/>
      <c r="F37" s="3"/>
      <c r="G37" s="24"/>
      <c r="H37" s="24"/>
      <c r="K37" s="4"/>
      <c r="L37" s="4"/>
      <c r="M37" s="4"/>
      <c r="N37" s="4"/>
      <c r="O37" s="4"/>
      <c r="P37" s="33"/>
      <c r="Q37" s="25"/>
      <c r="R37" s="25"/>
      <c r="S37" s="12">
        <f t="shared" si="8"/>
        <v>0</v>
      </c>
      <c r="T37" s="5">
        <v>0</v>
      </c>
      <c r="U37" s="12">
        <f t="shared" si="9"/>
        <v>0</v>
      </c>
      <c r="V37" s="25" t="s">
        <v>10</v>
      </c>
      <c r="W37" s="11">
        <f>IFERROR(VLOOKUP(V37,Curr!$B$2:$C$13,2,FALSE),0)</f>
        <v>11</v>
      </c>
      <c r="X37" s="12">
        <f t="shared" si="10"/>
        <v>0</v>
      </c>
      <c r="Y37" s="26">
        <f t="shared" si="11"/>
        <v>0</v>
      </c>
      <c r="Z37" s="12">
        <f t="shared" si="2"/>
        <v>0</v>
      </c>
      <c r="AA37" s="4" t="s">
        <v>10</v>
      </c>
      <c r="AB37" s="11">
        <f>IFERROR(VLOOKUP(AA37,Curr!$B$2:$C$13,2,FALSE),0)</f>
        <v>11</v>
      </c>
      <c r="AC37" s="12">
        <f t="shared" si="3"/>
        <v>0</v>
      </c>
      <c r="AD37" s="12">
        <f t="shared" si="4"/>
        <v>0</v>
      </c>
      <c r="AE37" s="13">
        <f t="shared" si="5"/>
        <v>0</v>
      </c>
    </row>
    <row r="38" spans="2:36" x14ac:dyDescent="0.25">
      <c r="B38" s="4"/>
      <c r="C38" s="1" t="s">
        <v>77</v>
      </c>
      <c r="D38" s="1" t="s">
        <v>138</v>
      </c>
      <c r="E38" s="3"/>
      <c r="F38" s="3"/>
      <c r="G38" s="24"/>
      <c r="H38" s="24"/>
      <c r="J38" s="1" t="s">
        <v>139</v>
      </c>
      <c r="K38" s="4"/>
      <c r="L38" s="4"/>
      <c r="M38" s="4"/>
      <c r="N38" s="4"/>
      <c r="O38" s="4"/>
      <c r="P38" s="27"/>
      <c r="Q38" s="25">
        <v>225</v>
      </c>
      <c r="R38" s="25">
        <v>0</v>
      </c>
      <c r="S38" s="12">
        <f t="shared" si="8"/>
        <v>0</v>
      </c>
      <c r="T38" s="5">
        <v>0</v>
      </c>
      <c r="U38" s="12">
        <f t="shared" si="9"/>
        <v>0</v>
      </c>
      <c r="V38" s="25" t="s">
        <v>10</v>
      </c>
      <c r="W38" s="11">
        <f>IFERROR(VLOOKUP(V38,Curr!$B$2:$C$13,2,FALSE),0)</f>
        <v>11</v>
      </c>
      <c r="X38" s="12">
        <f t="shared" si="10"/>
        <v>0</v>
      </c>
      <c r="Y38" s="26">
        <f>Q38/0.85</f>
        <v>264.70588235294116</v>
      </c>
      <c r="Z38" s="12">
        <f t="shared" si="2"/>
        <v>0</v>
      </c>
      <c r="AA38" s="4" t="s">
        <v>10</v>
      </c>
      <c r="AB38" s="11">
        <f>IFERROR(VLOOKUP(AA38,Curr!$B$2:$C$13,2,FALSE),0)</f>
        <v>11</v>
      </c>
      <c r="AC38" s="12">
        <f t="shared" si="3"/>
        <v>0</v>
      </c>
      <c r="AD38" s="12">
        <f t="shared" si="4"/>
        <v>0</v>
      </c>
      <c r="AE38" s="13">
        <f t="shared" si="5"/>
        <v>0</v>
      </c>
    </row>
    <row r="39" spans="2:36" hidden="1" x14ac:dyDescent="0.25">
      <c r="B39" s="4"/>
      <c r="E39" s="3"/>
      <c r="F39" s="3"/>
      <c r="G39" s="24"/>
      <c r="H39" s="24"/>
      <c r="K39" s="4"/>
      <c r="L39" s="4"/>
      <c r="M39" s="4"/>
      <c r="N39" s="4"/>
      <c r="O39" s="4"/>
      <c r="P39" s="27"/>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6" hidden="1"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6" hidden="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6" hidden="1"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6" hidden="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6" hidden="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6" hidden="1"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6" hidden="1" x14ac:dyDescent="0.25">
      <c r="B46" s="4"/>
      <c r="E46" s="3"/>
      <c r="F46" s="3"/>
      <c r="G46" s="3"/>
      <c r="H46" s="3"/>
      <c r="L46" s="4"/>
      <c r="M46" s="4"/>
      <c r="N46" s="4"/>
      <c r="O46" s="4"/>
      <c r="P46" s="22"/>
      <c r="Q46" s="4"/>
      <c r="R46" s="4"/>
      <c r="S46" s="4"/>
      <c r="T46" s="4"/>
      <c r="U46" s="4"/>
      <c r="V46" s="4"/>
      <c r="W46" s="4"/>
      <c r="X46" s="4"/>
      <c r="Y46" s="4"/>
      <c r="Z46" s="4"/>
      <c r="AA46" s="4"/>
      <c r="AB46" s="4"/>
      <c r="AC46" s="4"/>
      <c r="AD46" s="4"/>
      <c r="AE46" s="4"/>
      <c r="AF46" s="4"/>
    </row>
    <row r="47" spans="2:36" x14ac:dyDescent="0.25">
      <c r="B47" s="14" t="s">
        <v>18</v>
      </c>
      <c r="C47" s="14"/>
      <c r="D47" s="28" t="s">
        <v>42</v>
      </c>
      <c r="E47" s="30" t="s">
        <v>42</v>
      </c>
      <c r="F47" s="30" t="s">
        <v>42</v>
      </c>
      <c r="G47" s="30" t="s">
        <v>42</v>
      </c>
      <c r="H47" s="30" t="s">
        <v>42</v>
      </c>
      <c r="I47" s="28" t="s">
        <v>42</v>
      </c>
      <c r="J47" s="28" t="s">
        <v>42</v>
      </c>
      <c r="K47" s="28" t="s">
        <v>42</v>
      </c>
      <c r="L47" s="28" t="s">
        <v>42</v>
      </c>
      <c r="M47" s="28" t="s">
        <v>42</v>
      </c>
      <c r="N47" s="28" t="s">
        <v>42</v>
      </c>
      <c r="O47" s="28" t="s">
        <v>42</v>
      </c>
      <c r="P47" s="28" t="s">
        <v>42</v>
      </c>
      <c r="Q47" s="31" t="s">
        <v>42</v>
      </c>
      <c r="R47" s="28" t="s">
        <v>42</v>
      </c>
      <c r="S47" s="32" t="s">
        <v>42</v>
      </c>
      <c r="T47" s="28" t="s">
        <v>42</v>
      </c>
      <c r="U47" s="32" t="s">
        <v>42</v>
      </c>
      <c r="V47" s="28" t="s">
        <v>42</v>
      </c>
      <c r="W47" s="28" t="s">
        <v>42</v>
      </c>
      <c r="X47" s="32" t="s">
        <v>42</v>
      </c>
      <c r="Y47" s="32" t="s">
        <v>42</v>
      </c>
      <c r="Z47" s="15">
        <f>SUM(Z7:Z45)</f>
        <v>2133.0882352941176</v>
      </c>
      <c r="AA47" s="14"/>
      <c r="AB47" s="14"/>
      <c r="AC47" s="15">
        <f>SUM(AC7:AC45)</f>
        <v>23463.970588235294</v>
      </c>
      <c r="AD47" s="15">
        <f>SUM(AD7:AD45)</f>
        <v>3663.9705882352946</v>
      </c>
      <c r="AE47" s="21">
        <f t="shared" ref="AE47" si="13">IFERROR(AD47/AC47,0)</f>
        <v>0.15615305067218202</v>
      </c>
      <c r="AF47" s="15">
        <f>SUM(AF8:AF46)</f>
        <v>0</v>
      </c>
      <c r="AG47" s="15">
        <f>SUM(AG8:AG46)</f>
        <v>0</v>
      </c>
      <c r="AH47" s="15">
        <f>SUM(AH8:AH46)</f>
        <v>0</v>
      </c>
      <c r="AI47" s="15">
        <f>SUM(AI8:AI46)</f>
        <v>0</v>
      </c>
      <c r="AJ47" s="15">
        <f>SUM(AJ8:AJ46)</f>
        <v>0</v>
      </c>
    </row>
    <row r="48" spans="2:36" x14ac:dyDescent="0.25">
      <c r="B48" s="4"/>
      <c r="E48" s="3"/>
      <c r="F48" s="3"/>
      <c r="G48" s="3"/>
      <c r="H48" s="3"/>
      <c r="L48" s="4"/>
      <c r="M48" s="4"/>
      <c r="N48" s="4"/>
      <c r="O48" s="4"/>
      <c r="Q48" s="4"/>
      <c r="R48" s="4"/>
      <c r="S48" s="4"/>
      <c r="T48" s="4"/>
      <c r="U48" s="4"/>
      <c r="V48" s="4"/>
      <c r="W48" s="4"/>
      <c r="X48" s="4"/>
      <c r="Y48" s="9"/>
      <c r="Z48" s="9"/>
      <c r="AA48" s="9"/>
      <c r="AB48" s="9"/>
      <c r="AC48" s="9"/>
      <c r="AD48" s="9"/>
      <c r="AE48" s="9"/>
    </row>
    <row r="49" spans="2:32" x14ac:dyDescent="0.25">
      <c r="B49" s="4"/>
      <c r="E49" s="3"/>
      <c r="F49" s="3"/>
      <c r="G49" s="3"/>
      <c r="H49" s="3"/>
      <c r="L49" s="4"/>
      <c r="M49" s="4"/>
      <c r="N49" s="4"/>
      <c r="O49" s="4"/>
      <c r="Q49" s="9"/>
      <c r="R49" s="9"/>
      <c r="S49" s="9"/>
      <c r="T49" s="9"/>
      <c r="U49" s="9"/>
      <c r="V49" s="9"/>
      <c r="W49" s="9"/>
      <c r="X49" s="23"/>
      <c r="Y49" s="34" t="s">
        <v>234</v>
      </c>
      <c r="Z49" s="34">
        <f>Z12</f>
        <v>1662.5</v>
      </c>
      <c r="AA49" s="9"/>
      <c r="AB49" s="9"/>
      <c r="AC49" s="9"/>
      <c r="AD49" s="9"/>
      <c r="AE49" s="9"/>
    </row>
    <row r="50" spans="2:32" x14ac:dyDescent="0.25">
      <c r="B50" s="4"/>
      <c r="E50" s="3"/>
      <c r="F50" s="3"/>
      <c r="G50" s="3"/>
      <c r="H50" s="3"/>
      <c r="L50" s="4"/>
      <c r="M50" s="4"/>
      <c r="N50" s="4"/>
      <c r="O50" s="4"/>
      <c r="Q50" s="9"/>
      <c r="R50" s="9"/>
      <c r="S50" s="9"/>
      <c r="T50" s="9"/>
      <c r="U50" s="9"/>
      <c r="V50" s="9"/>
      <c r="W50" s="9"/>
      <c r="X50" s="9"/>
      <c r="Y50" s="35" t="s">
        <v>235</v>
      </c>
      <c r="Z50" s="34">
        <f>Z9+Z18</f>
        <v>470.58823529411768</v>
      </c>
      <c r="AA50" s="9"/>
      <c r="AB50" s="9"/>
      <c r="AC50" s="9"/>
      <c r="AD50" s="9"/>
      <c r="AE50" s="9"/>
      <c r="AF50" s="18"/>
    </row>
    <row r="51" spans="2:32" x14ac:dyDescent="0.25">
      <c r="B51" s="4"/>
      <c r="E51" s="3"/>
      <c r="F51" s="3"/>
      <c r="G51" s="3"/>
      <c r="H51" s="3"/>
      <c r="I51" s="19"/>
      <c r="L51" s="4"/>
      <c r="M51" s="4"/>
      <c r="N51" s="4"/>
      <c r="O51" s="20"/>
      <c r="Q51" s="20"/>
      <c r="R51" s="20"/>
      <c r="S51" s="20"/>
      <c r="T51" s="20"/>
      <c r="U51" s="20"/>
      <c r="V51" s="20"/>
      <c r="W51" s="20"/>
      <c r="X51" s="20"/>
      <c r="Y51" s="34" t="s">
        <v>236</v>
      </c>
      <c r="Z51" s="34">
        <v>2120</v>
      </c>
      <c r="AA51" s="9"/>
      <c r="AB51" s="9"/>
      <c r="AC51" s="9"/>
      <c r="AD51" s="9"/>
      <c r="AE51" s="9"/>
      <c r="AF51" s="18"/>
    </row>
    <row r="52" spans="2:32" x14ac:dyDescent="0.25">
      <c r="B52" s="4"/>
      <c r="E52" s="3"/>
      <c r="F52" s="3"/>
      <c r="G52" s="3"/>
      <c r="H52" s="3"/>
      <c r="L52" s="4"/>
      <c r="M52" s="4"/>
      <c r="N52" s="4"/>
      <c r="O52" s="20"/>
      <c r="Q52" s="20"/>
      <c r="R52" s="20"/>
      <c r="S52" s="20"/>
      <c r="T52" s="20"/>
      <c r="U52" s="20"/>
      <c r="V52" s="20"/>
      <c r="W52" s="20"/>
      <c r="X52" s="20"/>
      <c r="Y52" s="34" t="s">
        <v>45</v>
      </c>
      <c r="Z52" s="34">
        <f>Z51/2</f>
        <v>1060</v>
      </c>
      <c r="AA52" s="9"/>
      <c r="AB52" s="9"/>
      <c r="AC52" s="9"/>
      <c r="AD52" s="9"/>
      <c r="AE52" s="9"/>
      <c r="AF52" s="18"/>
    </row>
    <row r="53" spans="2:32" x14ac:dyDescent="0.25">
      <c r="B53" s="4"/>
      <c r="E53" s="3"/>
      <c r="F53" s="3"/>
      <c r="G53" s="3"/>
      <c r="H53" s="3"/>
      <c r="L53" s="4"/>
      <c r="M53" s="4"/>
      <c r="N53" s="4"/>
      <c r="O53" s="4"/>
      <c r="Q53" s="9"/>
      <c r="R53" s="9"/>
      <c r="S53" s="9"/>
      <c r="T53" s="9"/>
      <c r="U53" s="9"/>
      <c r="V53" s="9"/>
      <c r="W53" s="9"/>
      <c r="X53" s="9"/>
      <c r="Y53" s="1"/>
      <c r="Z53" s="1"/>
      <c r="AA53" s="9"/>
      <c r="AB53" s="9"/>
      <c r="AC53" s="9"/>
      <c r="AD53" s="9"/>
      <c r="AE53" s="9"/>
      <c r="AF53" s="18"/>
    </row>
    <row r="54" spans="2:32" x14ac:dyDescent="0.25">
      <c r="F54" s="1"/>
      <c r="G54" s="1"/>
      <c r="H54" s="1"/>
      <c r="J54" s="1" t="s">
        <v>32</v>
      </c>
      <c r="Q54" s="9"/>
      <c r="R54" s="4"/>
      <c r="S54" s="9"/>
      <c r="T54" s="5"/>
      <c r="U54" s="9"/>
      <c r="V54" s="4"/>
      <c r="W54" s="4"/>
      <c r="X54" s="9"/>
      <c r="Y54" s="9" t="s">
        <v>46</v>
      </c>
      <c r="Z54" s="9">
        <f>Z51-Z55</f>
        <v>2120</v>
      </c>
      <c r="AA54" s="9"/>
      <c r="AB54" s="9"/>
      <c r="AC54" s="9"/>
      <c r="AD54" s="9"/>
      <c r="AE54" s="9"/>
    </row>
    <row r="55" spans="2:32" x14ac:dyDescent="0.25">
      <c r="R55" s="4"/>
      <c r="S55" s="17"/>
      <c r="T55" s="17"/>
      <c r="U55" s="9"/>
      <c r="V55" s="4"/>
      <c r="W55" s="4"/>
      <c r="X55" s="9"/>
      <c r="Y55" s="9" t="s">
        <v>47</v>
      </c>
      <c r="Z55" s="9">
        <v>0</v>
      </c>
      <c r="AA55" s="9"/>
      <c r="AB55" s="9"/>
      <c r="AC55" s="9"/>
      <c r="AD55" s="9"/>
      <c r="AE55" s="9"/>
    </row>
    <row r="56" spans="2:32" x14ac:dyDescent="0.25">
      <c r="Q56" s="9"/>
      <c r="R56" s="4"/>
      <c r="S56" s="16"/>
      <c r="T56" s="16"/>
      <c r="U56" s="9"/>
      <c r="V56" s="4"/>
      <c r="W56" s="4"/>
      <c r="X56" s="9"/>
      <c r="Y56" s="9"/>
      <c r="Z56" s="9"/>
      <c r="AA56" s="9"/>
      <c r="AB56" s="9"/>
      <c r="AC56" s="9"/>
      <c r="AD56" s="9"/>
      <c r="AE56" s="9"/>
    </row>
    <row r="57" spans="2:32" x14ac:dyDescent="0.25">
      <c r="R57" s="4"/>
      <c r="S57" s="16"/>
      <c r="T57" s="16"/>
      <c r="Y57" s="9" t="s">
        <v>48</v>
      </c>
      <c r="Z57" s="9">
        <f>Z51*0.3</f>
        <v>636</v>
      </c>
      <c r="AA57" s="9"/>
      <c r="AB57" s="9"/>
      <c r="AC57" s="9"/>
      <c r="AD57" s="9"/>
      <c r="AE57" s="9"/>
    </row>
    <row r="58" spans="2:32" x14ac:dyDescent="0.25">
      <c r="T58" s="5"/>
      <c r="Y58" s="9" t="s">
        <v>49</v>
      </c>
      <c r="Z58" s="9">
        <f>Z51-Z57</f>
        <v>1484</v>
      </c>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c r="Y62" s="9"/>
      <c r="Z62" s="9"/>
      <c r="AA62" s="9"/>
      <c r="AB62" s="9"/>
      <c r="AC62" s="9"/>
      <c r="AD62" s="9"/>
      <c r="AE62" s="9"/>
    </row>
    <row r="63" spans="2:32" x14ac:dyDescent="0.25">
      <c r="T63" s="5"/>
      <c r="Y63" s="9"/>
      <c r="Z63" s="9"/>
      <c r="AA63" s="9"/>
      <c r="AB63" s="9"/>
      <c r="AC63" s="9"/>
      <c r="AD63" s="9"/>
      <c r="AE63" s="9"/>
    </row>
    <row r="64" spans="2:32" x14ac:dyDescent="0.25">
      <c r="T64" s="5"/>
      <c r="Y64" s="9"/>
      <c r="Z64" s="9"/>
      <c r="AA64" s="9"/>
      <c r="AB64" s="9"/>
      <c r="AC64" s="9"/>
      <c r="AD64" s="9"/>
      <c r="AE64" s="9"/>
    </row>
    <row r="65" spans="20:31" x14ac:dyDescent="0.25">
      <c r="T65" s="5"/>
      <c r="Y65" s="9"/>
      <c r="Z65" s="9"/>
      <c r="AA65" s="9"/>
      <c r="AB65" s="9"/>
      <c r="AC65" s="9"/>
      <c r="AD65" s="9"/>
      <c r="AE65" s="9"/>
    </row>
    <row r="66" spans="20:31" x14ac:dyDescent="0.25">
      <c r="T66" s="5"/>
    </row>
    <row r="67" spans="20:31" x14ac:dyDescent="0.25">
      <c r="T67" s="5"/>
    </row>
    <row r="68" spans="20:31" x14ac:dyDescent="0.25">
      <c r="T68" s="5"/>
    </row>
    <row r="69" spans="20:31" x14ac:dyDescent="0.25">
      <c r="T69" s="5"/>
    </row>
    <row r="70" spans="20:31" x14ac:dyDescent="0.25">
      <c r="T70" s="5"/>
    </row>
  </sheetData>
  <autoFilter ref="B6:AE47" xr:uid="{65FA6D9B-E0AF-46CD-BA0D-86BB75FE6AB0}">
    <filterColumn colId="8">
      <customFilters>
        <customFilter operator="notEqual" val=" "/>
      </customFilters>
    </filterColumn>
  </autoFilter>
  <hyperlinks>
    <hyperlink ref="P12" r:id="rId1" xr:uid="{772DAD67-B81F-4818-A16E-0822AD62953A}"/>
    <hyperlink ref="P32" r:id="rId2" xr:uid="{9A9F3252-4B91-4305-B4FB-18A95991C35C}"/>
    <hyperlink ref="P31" r:id="rId3" xr:uid="{00F71E79-F04A-4215-8263-298920AD2F05}"/>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3AFE-7175-4E3C-81BB-3513117A74B1}">
  <sheetPr filterMode="1">
    <tabColor rgb="FFFFFF00"/>
  </sheetPr>
  <dimension ref="B1:AK73"/>
  <sheetViews>
    <sheetView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183</v>
      </c>
    </row>
    <row r="2" spans="2:36" x14ac:dyDescent="0.25">
      <c r="B2" s="2" t="s">
        <v>198</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48" si="2">+Y7*R7</f>
        <v>0</v>
      </c>
      <c r="AA7" s="4" t="s">
        <v>10</v>
      </c>
      <c r="AB7" s="11">
        <f>IFERROR(VLOOKUP(AA7,Curr!$B$2:$C$13,2,FALSE),0)</f>
        <v>11</v>
      </c>
      <c r="AC7" s="12">
        <f t="shared" ref="AC7:AC48" si="3">+Y7*AB7*R7</f>
        <v>0</v>
      </c>
      <c r="AD7" s="12">
        <f t="shared" ref="AD7:AD48" si="4">+AC7-X7</f>
        <v>0</v>
      </c>
      <c r="AE7" s="13">
        <f t="shared" ref="AE7:AE48"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48" si="8">+Q11*R11</f>
        <v>0</v>
      </c>
      <c r="T11" s="5">
        <v>0</v>
      </c>
      <c r="U11" s="12">
        <f t="shared" ref="U11:U48" si="9">S11*(1-T11)</f>
        <v>0</v>
      </c>
      <c r="V11" s="25" t="s">
        <v>10</v>
      </c>
      <c r="W11" s="11">
        <f>IFERROR(VLOOKUP(V11,Curr!$B$2:$C$13,2,FALSE),0)</f>
        <v>11</v>
      </c>
      <c r="X11" s="12">
        <f t="shared" ref="X11:X48" si="10">U11*W11</f>
        <v>0</v>
      </c>
      <c r="Y11" s="26">
        <f t="shared" ref="Y11:Y48"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192</v>
      </c>
      <c r="K12" s="4"/>
      <c r="L12" s="4"/>
      <c r="M12" s="4"/>
      <c r="N12" s="4"/>
      <c r="O12" s="4"/>
      <c r="P12" s="33" t="s">
        <v>193</v>
      </c>
      <c r="Q12" s="25">
        <v>1111</v>
      </c>
      <c r="R12" s="25">
        <v>2</v>
      </c>
      <c r="S12" s="12">
        <f t="shared" si="8"/>
        <v>2222</v>
      </c>
      <c r="T12" s="5">
        <v>0.2</v>
      </c>
      <c r="U12" s="12">
        <f t="shared" si="9"/>
        <v>1777.6000000000001</v>
      </c>
      <c r="V12" s="25" t="s">
        <v>10</v>
      </c>
      <c r="W12" s="11">
        <f>IFERROR(VLOOKUP(V12,Curr!$B$2:$C$13,2,FALSE),0)</f>
        <v>11</v>
      </c>
      <c r="X12" s="12">
        <f t="shared" si="10"/>
        <v>19553.600000000002</v>
      </c>
      <c r="Y12" s="26">
        <f>Q12*0.95</f>
        <v>1055.45</v>
      </c>
      <c r="Z12" s="12">
        <f t="shared" si="2"/>
        <v>2110.9</v>
      </c>
      <c r="AA12" s="4" t="s">
        <v>10</v>
      </c>
      <c r="AB12" s="11">
        <f>IFERROR(VLOOKUP(AA12,Curr!$B$2:$C$13,2,FALSE),0)</f>
        <v>11</v>
      </c>
      <c r="AC12" s="12">
        <f t="shared" si="3"/>
        <v>23219.9</v>
      </c>
      <c r="AD12" s="12">
        <f t="shared" si="4"/>
        <v>3666.2999999999993</v>
      </c>
      <c r="AE12" s="13">
        <f t="shared" si="5"/>
        <v>0.15789473684210523</v>
      </c>
    </row>
    <row r="13" spans="2:36" x14ac:dyDescent="0.25">
      <c r="B13" s="4"/>
      <c r="C13" s="1" t="s">
        <v>65</v>
      </c>
      <c r="D13" s="1" t="s">
        <v>120</v>
      </c>
      <c r="E13" s="3"/>
      <c r="F13" s="3"/>
      <c r="G13" s="24"/>
      <c r="H13" s="24"/>
      <c r="J13" s="1" t="s">
        <v>194</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4"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195</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196</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197</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x14ac:dyDescent="0.25">
      <c r="B20" s="4"/>
      <c r="C20" s="1" t="s">
        <v>77</v>
      </c>
      <c r="D20" s="1" t="s">
        <v>59</v>
      </c>
      <c r="E20" s="3"/>
      <c r="F20" s="3"/>
      <c r="G20" s="24"/>
      <c r="H20" s="24"/>
      <c r="J20" s="1" t="s">
        <v>146</v>
      </c>
      <c r="K20" s="4"/>
      <c r="L20" s="4"/>
      <c r="M20" s="4"/>
      <c r="N20" s="4"/>
      <c r="O20" s="4"/>
      <c r="P20" s="27"/>
      <c r="Q20" s="25">
        <v>200</v>
      </c>
      <c r="R20" s="25">
        <v>1</v>
      </c>
      <c r="S20" s="12">
        <f t="shared" si="8"/>
        <v>200</v>
      </c>
      <c r="T20" s="5">
        <v>0</v>
      </c>
      <c r="U20" s="12">
        <f t="shared" si="9"/>
        <v>200</v>
      </c>
      <c r="V20" s="25" t="s">
        <v>10</v>
      </c>
      <c r="W20" s="11">
        <f>IFERROR(VLOOKUP(V20,Curr!$B$2:$C$13,2,FALSE),0)</f>
        <v>11</v>
      </c>
      <c r="X20" s="12">
        <f t="shared" si="10"/>
        <v>2200</v>
      </c>
      <c r="Y20" s="26">
        <f>Q20/0.85</f>
        <v>235.29411764705884</v>
      </c>
      <c r="Z20" s="12">
        <f t="shared" si="2"/>
        <v>235.29411764705884</v>
      </c>
      <c r="AA20" s="4" t="s">
        <v>10</v>
      </c>
      <c r="AB20" s="11">
        <f>IFERROR(VLOOKUP(AA20,Curr!$B$2:$C$13,2,FALSE),0)</f>
        <v>11</v>
      </c>
      <c r="AC20" s="12">
        <f t="shared" si="3"/>
        <v>2588.2352941176473</v>
      </c>
      <c r="AD20" s="12">
        <f t="shared" si="4"/>
        <v>388.2352941176473</v>
      </c>
      <c r="AE20" s="13">
        <f t="shared" si="5"/>
        <v>0.15000000000000008</v>
      </c>
    </row>
    <row r="21" spans="2:31" x14ac:dyDescent="0.25">
      <c r="B21" s="4"/>
      <c r="C21" s="1" t="s">
        <v>77</v>
      </c>
      <c r="D21" s="1" t="s">
        <v>60</v>
      </c>
      <c r="E21" s="3"/>
      <c r="F21" s="3"/>
      <c r="G21" s="24"/>
      <c r="H21" s="24"/>
      <c r="J21" s="1" t="s">
        <v>118</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92</v>
      </c>
      <c r="D23" s="1" t="s">
        <v>117</v>
      </c>
      <c r="E23" s="3"/>
      <c r="F23" s="3"/>
      <c r="G23" s="24"/>
      <c r="H23" s="24"/>
      <c r="J23" s="1" t="s">
        <v>133</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x14ac:dyDescent="0.25">
      <c r="B24" s="4"/>
      <c r="C24" s="1" t="s">
        <v>92</v>
      </c>
      <c r="D24" s="1" t="s">
        <v>78</v>
      </c>
      <c r="E24" s="3"/>
      <c r="F24" s="3"/>
      <c r="G24" s="24"/>
      <c r="H24" s="24"/>
      <c r="J24" s="1" t="s">
        <v>81</v>
      </c>
      <c r="K24" s="4"/>
      <c r="L24" s="4"/>
      <c r="M24" s="4"/>
      <c r="N24" s="4"/>
      <c r="O24" s="4"/>
      <c r="P24" s="27"/>
      <c r="Q24" s="25">
        <v>0</v>
      </c>
      <c r="R24" s="25">
        <v>0</v>
      </c>
      <c r="S24" s="12">
        <f t="shared" si="8"/>
        <v>0</v>
      </c>
      <c r="T24" s="5">
        <v>0</v>
      </c>
      <c r="U24" s="12">
        <f t="shared" si="9"/>
        <v>0</v>
      </c>
      <c r="V24" s="25" t="s">
        <v>10</v>
      </c>
      <c r="W24" s="11">
        <f>IFERROR(VLOOKUP(V24,Curr!$B$2:$C$13,2,FALSE),0)</f>
        <v>11</v>
      </c>
      <c r="X24" s="12">
        <f t="shared" si="10"/>
        <v>0</v>
      </c>
      <c r="Y24" s="26">
        <f t="shared" si="12"/>
        <v>0</v>
      </c>
      <c r="Z24" s="12">
        <f t="shared" si="2"/>
        <v>0</v>
      </c>
      <c r="AA24" s="4" t="s">
        <v>10</v>
      </c>
      <c r="AB24" s="11">
        <f>IFERROR(VLOOKUP(AA24,Curr!$B$2:$C$13,2,FALSE),0)</f>
        <v>11</v>
      </c>
      <c r="AC24" s="12">
        <f t="shared" si="3"/>
        <v>0</v>
      </c>
      <c r="AD24" s="12">
        <f t="shared" si="4"/>
        <v>0</v>
      </c>
      <c r="AE24" s="13">
        <f t="shared" si="5"/>
        <v>0</v>
      </c>
    </row>
    <row r="25" spans="2:31" hidden="1" x14ac:dyDescent="0.25">
      <c r="B25" s="4"/>
      <c r="E25" s="3"/>
      <c r="F25" s="3"/>
      <c r="G25" s="24"/>
      <c r="H25" s="24"/>
      <c r="K25" s="4"/>
      <c r="L25" s="4"/>
      <c r="M25" s="4"/>
      <c r="N25" s="4"/>
      <c r="O25" s="4"/>
      <c r="P25" s="27"/>
      <c r="Q25" s="25"/>
      <c r="R25" s="25"/>
      <c r="S25" s="12">
        <f t="shared" si="8"/>
        <v>0</v>
      </c>
      <c r="T25" s="5">
        <v>0</v>
      </c>
      <c r="U25" s="12">
        <f t="shared" si="9"/>
        <v>0</v>
      </c>
      <c r="V25" s="25" t="s">
        <v>10</v>
      </c>
      <c r="W25" s="11">
        <f>IFERROR(VLOOKUP(V25,Curr!$B$2:$C$13,2,FALSE),0)</f>
        <v>11</v>
      </c>
      <c r="X25" s="12">
        <f t="shared" si="10"/>
        <v>0</v>
      </c>
      <c r="Y25" s="26">
        <f t="shared" si="11"/>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33"/>
      <c r="Q26" s="25"/>
      <c r="R26" s="25"/>
      <c r="S26" s="12">
        <f t="shared" si="8"/>
        <v>0</v>
      </c>
      <c r="T26" s="5">
        <v>0</v>
      </c>
      <c r="U26" s="12">
        <f t="shared" si="9"/>
        <v>0</v>
      </c>
      <c r="V26" s="25" t="s">
        <v>10</v>
      </c>
      <c r="W26" s="11">
        <f>IFERROR(VLOOKUP(V26,Curr!$B$2:$C$13,2,FALSE),0)</f>
        <v>11</v>
      </c>
      <c r="X26" s="12">
        <f t="shared" si="10"/>
        <v>0</v>
      </c>
      <c r="Y26" s="26">
        <f t="shared" si="11"/>
        <v>0</v>
      </c>
      <c r="Z26" s="12">
        <f t="shared" si="2"/>
        <v>0</v>
      </c>
      <c r="AA26" s="4" t="s">
        <v>10</v>
      </c>
      <c r="AB26" s="11">
        <f>IFERROR(VLOOKUP(AA26,Curr!$B$2:$C$13,2,FALSE),0)</f>
        <v>11</v>
      </c>
      <c r="AC26" s="12">
        <f t="shared" si="3"/>
        <v>0</v>
      </c>
      <c r="AD26" s="12">
        <f t="shared" si="4"/>
        <v>0</v>
      </c>
      <c r="AE26" s="13">
        <f t="shared" si="5"/>
        <v>0</v>
      </c>
    </row>
    <row r="27" spans="2:31" x14ac:dyDescent="0.25">
      <c r="B27" s="4"/>
      <c r="C27" s="1" t="s">
        <v>55</v>
      </c>
      <c r="D27" s="1" t="s">
        <v>127</v>
      </c>
      <c r="E27" s="3"/>
      <c r="F27" s="3"/>
      <c r="G27" s="24"/>
      <c r="H27" s="24"/>
      <c r="J27" s="1" t="s">
        <v>131</v>
      </c>
      <c r="K27" s="4"/>
      <c r="L27" s="4"/>
      <c r="M27" s="4"/>
      <c r="N27" s="4"/>
      <c r="O27" s="4"/>
      <c r="P27" s="27"/>
      <c r="Q27" s="25">
        <v>160</v>
      </c>
      <c r="R27" s="25">
        <v>0</v>
      </c>
      <c r="S27" s="12">
        <f t="shared" si="8"/>
        <v>0</v>
      </c>
      <c r="T27" s="5">
        <v>0.2</v>
      </c>
      <c r="U27" s="12">
        <f t="shared" si="9"/>
        <v>0</v>
      </c>
      <c r="V27" s="25" t="s">
        <v>10</v>
      </c>
      <c r="W27" s="11">
        <f>IFERROR(VLOOKUP(V27,Curr!$B$2:$C$13,2,FALSE),0)</f>
        <v>11</v>
      </c>
      <c r="X27" s="12">
        <f t="shared" si="10"/>
        <v>0</v>
      </c>
      <c r="Y27" s="26">
        <f t="shared" si="11"/>
        <v>160</v>
      </c>
      <c r="Z27" s="12">
        <f t="shared" si="2"/>
        <v>0</v>
      </c>
      <c r="AA27" s="4" t="s">
        <v>10</v>
      </c>
      <c r="AB27" s="11">
        <f>IFERROR(VLOOKUP(AA27,Curr!$B$2:$C$13,2,FALSE),0)</f>
        <v>11</v>
      </c>
      <c r="AC27" s="12">
        <f t="shared" si="3"/>
        <v>0</v>
      </c>
      <c r="AD27" s="12">
        <f t="shared" si="4"/>
        <v>0</v>
      </c>
      <c r="AE27" s="13">
        <f t="shared" si="5"/>
        <v>0</v>
      </c>
    </row>
    <row r="28" spans="2:31" x14ac:dyDescent="0.25">
      <c r="B28" s="4"/>
      <c r="C28" s="1" t="s">
        <v>55</v>
      </c>
      <c r="D28" s="1" t="s">
        <v>127</v>
      </c>
      <c r="E28" s="3"/>
      <c r="F28" s="3"/>
      <c r="G28" s="24"/>
      <c r="H28" s="24"/>
      <c r="J28" s="1" t="s">
        <v>132</v>
      </c>
      <c r="K28" s="4"/>
      <c r="L28" s="4"/>
      <c r="M28" s="4"/>
      <c r="N28" s="4"/>
      <c r="O28" s="4"/>
      <c r="P28" s="33"/>
      <c r="Q28" s="25">
        <v>39</v>
      </c>
      <c r="R28" s="25">
        <v>0</v>
      </c>
      <c r="S28" s="12">
        <f t="shared" si="8"/>
        <v>0</v>
      </c>
      <c r="T28" s="5">
        <v>0.2</v>
      </c>
      <c r="U28" s="12">
        <f t="shared" si="9"/>
        <v>0</v>
      </c>
      <c r="V28" s="25" t="s">
        <v>10</v>
      </c>
      <c r="W28" s="11">
        <f>IFERROR(VLOOKUP(V28,Curr!$B$2:$C$13,2,FALSE),0)</f>
        <v>11</v>
      </c>
      <c r="X28" s="12">
        <f t="shared" si="10"/>
        <v>0</v>
      </c>
      <c r="Y28" s="26">
        <f t="shared" si="11"/>
        <v>39</v>
      </c>
      <c r="Z28" s="12">
        <f t="shared" si="2"/>
        <v>0</v>
      </c>
      <c r="AA28" s="4" t="s">
        <v>10</v>
      </c>
      <c r="AB28" s="11">
        <f>IFERROR(VLOOKUP(AA28,Curr!$B$2:$C$13,2,FALSE),0)</f>
        <v>11</v>
      </c>
      <c r="AC28" s="12">
        <f t="shared" si="3"/>
        <v>0</v>
      </c>
      <c r="AD28" s="12">
        <f t="shared" si="4"/>
        <v>0</v>
      </c>
      <c r="AE28" s="13">
        <f t="shared" si="5"/>
        <v>0</v>
      </c>
    </row>
    <row r="29" spans="2:31" x14ac:dyDescent="0.25">
      <c r="B29" s="4"/>
      <c r="C29" s="1" t="s">
        <v>92</v>
      </c>
      <c r="D29" s="1" t="s">
        <v>127</v>
      </c>
      <c r="E29" s="3"/>
      <c r="F29" s="3"/>
      <c r="G29" s="24"/>
      <c r="H29" s="24"/>
      <c r="J29" s="1" t="s">
        <v>134</v>
      </c>
      <c r="K29" s="4"/>
      <c r="L29" s="4"/>
      <c r="M29" s="4"/>
      <c r="N29" s="4"/>
      <c r="O29" s="4"/>
      <c r="P29" s="27"/>
      <c r="Q29" s="25">
        <v>160</v>
      </c>
      <c r="R29" s="25">
        <v>0</v>
      </c>
      <c r="S29" s="12">
        <f t="shared" si="8"/>
        <v>0</v>
      </c>
      <c r="T29" s="5">
        <v>0.2</v>
      </c>
      <c r="U29" s="12">
        <f t="shared" si="9"/>
        <v>0</v>
      </c>
      <c r="V29" s="25" t="s">
        <v>10</v>
      </c>
      <c r="W29" s="11">
        <f>IFERROR(VLOOKUP(V29,Curr!$B$2:$C$13,2,FALSE),0)</f>
        <v>11</v>
      </c>
      <c r="X29" s="12">
        <f t="shared" si="10"/>
        <v>0</v>
      </c>
      <c r="Y29" s="26">
        <f t="shared" si="11"/>
        <v>160</v>
      </c>
      <c r="Z29" s="12">
        <f t="shared" si="2"/>
        <v>0</v>
      </c>
      <c r="AA29" s="4" t="s">
        <v>10</v>
      </c>
      <c r="AB29" s="11">
        <f>IFERROR(VLOOKUP(AA29,Curr!$B$2:$C$13,2,FALSE),0)</f>
        <v>11</v>
      </c>
      <c r="AC29" s="12">
        <f t="shared" si="3"/>
        <v>0</v>
      </c>
      <c r="AD29" s="12">
        <f t="shared" si="4"/>
        <v>0</v>
      </c>
      <c r="AE29" s="13">
        <f t="shared" si="5"/>
        <v>0</v>
      </c>
    </row>
    <row r="30" spans="2:31" x14ac:dyDescent="0.25">
      <c r="B30" s="4"/>
      <c r="C30" s="1" t="s">
        <v>92</v>
      </c>
      <c r="D30" s="1" t="s">
        <v>127</v>
      </c>
      <c r="E30" s="3"/>
      <c r="F30" s="3"/>
      <c r="G30" s="24"/>
      <c r="H30" s="24"/>
      <c r="J30" s="1" t="s">
        <v>135</v>
      </c>
      <c r="K30" s="4"/>
      <c r="L30" s="4"/>
      <c r="M30" s="4"/>
      <c r="N30" s="4"/>
      <c r="O30" s="4"/>
      <c r="P30" s="33"/>
      <c r="Q30" s="25">
        <v>39</v>
      </c>
      <c r="R30" s="25">
        <v>0</v>
      </c>
      <c r="S30" s="12">
        <f t="shared" si="8"/>
        <v>0</v>
      </c>
      <c r="T30" s="5">
        <v>0.2</v>
      </c>
      <c r="U30" s="12">
        <f t="shared" si="9"/>
        <v>0</v>
      </c>
      <c r="V30" s="25" t="s">
        <v>10</v>
      </c>
      <c r="W30" s="11">
        <f>IFERROR(VLOOKUP(V30,Curr!$B$2:$C$13,2,FALSE),0)</f>
        <v>11</v>
      </c>
      <c r="X30" s="12">
        <f t="shared" si="10"/>
        <v>0</v>
      </c>
      <c r="Y30" s="26">
        <f t="shared" si="11"/>
        <v>39</v>
      </c>
      <c r="Z30" s="12">
        <f t="shared" si="2"/>
        <v>0</v>
      </c>
      <c r="AA30" s="4" t="s">
        <v>10</v>
      </c>
      <c r="AB30" s="11">
        <f>IFERROR(VLOOKUP(AA30,Curr!$B$2:$C$13,2,FALSE),0)</f>
        <v>11</v>
      </c>
      <c r="AC30" s="12">
        <f t="shared" si="3"/>
        <v>0</v>
      </c>
      <c r="AD30" s="12">
        <f t="shared" si="4"/>
        <v>0</v>
      </c>
      <c r="AE30" s="13">
        <f t="shared" si="5"/>
        <v>0</v>
      </c>
    </row>
    <row r="31" spans="2:31" hidden="1" x14ac:dyDescent="0.25">
      <c r="B31" s="4"/>
      <c r="E31" s="3"/>
      <c r="F31" s="3"/>
      <c r="G31" s="24"/>
      <c r="H31" s="24"/>
      <c r="K31" s="4"/>
      <c r="L31" s="4"/>
      <c r="M31" s="4"/>
      <c r="N31" s="4"/>
      <c r="O31" s="4"/>
      <c r="P31" s="27"/>
      <c r="Q31" s="25"/>
      <c r="R31" s="25"/>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hidden="1" x14ac:dyDescent="0.25">
      <c r="B32" s="4"/>
      <c r="E32" s="3"/>
      <c r="F32" s="3"/>
      <c r="G32" s="24"/>
      <c r="H32" s="24"/>
      <c r="K32" s="4"/>
      <c r="L32" s="4"/>
      <c r="M32" s="4"/>
      <c r="N32" s="4"/>
      <c r="O32" s="4"/>
      <c r="P32" s="27"/>
      <c r="Q32" s="25"/>
      <c r="R32" s="25"/>
      <c r="S32" s="12">
        <f t="shared" si="8"/>
        <v>0</v>
      </c>
      <c r="T32" s="5">
        <v>0</v>
      </c>
      <c r="U32" s="12">
        <f t="shared" si="9"/>
        <v>0</v>
      </c>
      <c r="V32" s="25" t="s">
        <v>10</v>
      </c>
      <c r="W32" s="11">
        <f>IFERROR(VLOOKUP(V32,Curr!$B$2:$C$13,2,FALSE),0)</f>
        <v>11</v>
      </c>
      <c r="X32" s="12">
        <f t="shared" si="10"/>
        <v>0</v>
      </c>
      <c r="Y32" s="26">
        <f t="shared" si="11"/>
        <v>0</v>
      </c>
      <c r="Z32" s="12">
        <f t="shared" si="2"/>
        <v>0</v>
      </c>
      <c r="AA32" s="4" t="s">
        <v>10</v>
      </c>
      <c r="AB32" s="11">
        <f>IFERROR(VLOOKUP(AA32,Curr!$B$2:$C$13,2,FALSE),0)</f>
        <v>11</v>
      </c>
      <c r="AC32" s="12">
        <f t="shared" si="3"/>
        <v>0</v>
      </c>
      <c r="AD32" s="12">
        <f t="shared" si="4"/>
        <v>0</v>
      </c>
      <c r="AE32" s="13">
        <f t="shared" si="5"/>
        <v>0</v>
      </c>
    </row>
    <row r="33" spans="2:31" x14ac:dyDescent="0.25">
      <c r="B33" s="4"/>
      <c r="C33" s="1" t="s">
        <v>55</v>
      </c>
      <c r="D33" s="1" t="s">
        <v>83</v>
      </c>
      <c r="E33" s="3"/>
      <c r="F33" s="3"/>
      <c r="G33" s="24"/>
      <c r="H33" s="24"/>
      <c r="J33" s="1" t="s">
        <v>184</v>
      </c>
      <c r="K33" s="4"/>
      <c r="L33" s="4"/>
      <c r="M33" s="4"/>
      <c r="N33" s="4"/>
      <c r="O33" s="4"/>
      <c r="P33" s="33" t="s">
        <v>243</v>
      </c>
      <c r="Q33" s="25">
        <v>37</v>
      </c>
      <c r="R33" s="25">
        <v>0</v>
      </c>
      <c r="S33" s="12">
        <f t="shared" si="8"/>
        <v>0</v>
      </c>
      <c r="T33" s="5">
        <v>0.2</v>
      </c>
      <c r="U33" s="12">
        <f t="shared" si="9"/>
        <v>0</v>
      </c>
      <c r="V33" s="25" t="s">
        <v>10</v>
      </c>
      <c r="W33" s="11">
        <f>IFERROR(VLOOKUP(V33,Curr!$B$2:$C$13,2,FALSE),0)</f>
        <v>11</v>
      </c>
      <c r="X33" s="12">
        <f t="shared" si="10"/>
        <v>0</v>
      </c>
      <c r="Y33" s="26">
        <f t="shared" si="11"/>
        <v>37</v>
      </c>
      <c r="Z33" s="12">
        <f t="shared" si="2"/>
        <v>0</v>
      </c>
      <c r="AA33" s="4" t="s">
        <v>10</v>
      </c>
      <c r="AB33" s="11">
        <f>IFERROR(VLOOKUP(AA33,Curr!$B$2:$C$13,2,FALSE),0)</f>
        <v>11</v>
      </c>
      <c r="AC33" s="12">
        <f t="shared" si="3"/>
        <v>0</v>
      </c>
      <c r="AD33" s="12">
        <f t="shared" si="4"/>
        <v>0</v>
      </c>
      <c r="AE33" s="13">
        <f t="shared" si="5"/>
        <v>0</v>
      </c>
    </row>
    <row r="34" spans="2:31" x14ac:dyDescent="0.25">
      <c r="B34" s="4"/>
      <c r="C34" s="1" t="s">
        <v>92</v>
      </c>
      <c r="D34" s="1" t="s">
        <v>83</v>
      </c>
      <c r="E34" s="3"/>
      <c r="F34" s="3"/>
      <c r="G34" s="24"/>
      <c r="H34" s="24"/>
      <c r="J34" s="1" t="s">
        <v>137</v>
      </c>
      <c r="K34" s="4"/>
      <c r="L34" s="4"/>
      <c r="M34" s="4"/>
      <c r="N34" s="4"/>
      <c r="O34" s="4"/>
      <c r="P34" s="33" t="s">
        <v>182</v>
      </c>
      <c r="Q34" s="25">
        <v>163</v>
      </c>
      <c r="R34" s="25">
        <v>0</v>
      </c>
      <c r="S34" s="12">
        <f t="shared" si="8"/>
        <v>0</v>
      </c>
      <c r="T34" s="5">
        <v>0.2</v>
      </c>
      <c r="U34" s="12">
        <f t="shared" si="9"/>
        <v>0</v>
      </c>
      <c r="V34" s="25" t="s">
        <v>10</v>
      </c>
      <c r="W34" s="11">
        <f>IFERROR(VLOOKUP(V34,Curr!$B$2:$C$13,2,FALSE),0)</f>
        <v>11</v>
      </c>
      <c r="X34" s="12">
        <f t="shared" si="10"/>
        <v>0</v>
      </c>
      <c r="Y34" s="26">
        <f t="shared" ref="Y34" si="13">Q34</f>
        <v>163</v>
      </c>
      <c r="Z34" s="12">
        <f t="shared" si="2"/>
        <v>0</v>
      </c>
      <c r="AA34" s="4" t="s">
        <v>10</v>
      </c>
      <c r="AB34" s="11">
        <f>IFERROR(VLOOKUP(AA34,Curr!$B$2:$C$13,2,FALSE),0)</f>
        <v>11</v>
      </c>
      <c r="AC34" s="12">
        <f t="shared" si="3"/>
        <v>0</v>
      </c>
      <c r="AD34" s="12">
        <f t="shared" si="4"/>
        <v>0</v>
      </c>
      <c r="AE34" s="13">
        <f t="shared" si="5"/>
        <v>0</v>
      </c>
    </row>
    <row r="35" spans="2:31" hidden="1"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2"/>
        <v>0</v>
      </c>
      <c r="AA35" s="4" t="s">
        <v>10</v>
      </c>
      <c r="AB35" s="11">
        <f>IFERROR(VLOOKUP(AA35,Curr!$B$2:$C$13,2,FALSE),0)</f>
        <v>11</v>
      </c>
      <c r="AC35" s="12">
        <f t="shared" si="3"/>
        <v>0</v>
      </c>
      <c r="AD35" s="12">
        <f t="shared" si="4"/>
        <v>0</v>
      </c>
      <c r="AE35" s="13">
        <f t="shared" si="5"/>
        <v>0</v>
      </c>
    </row>
    <row r="36" spans="2:31" hidden="1"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1" x14ac:dyDescent="0.25">
      <c r="B37" s="4"/>
      <c r="C37" s="1" t="s">
        <v>65</v>
      </c>
      <c r="D37" s="1" t="s">
        <v>128</v>
      </c>
      <c r="E37" s="3"/>
      <c r="F37" s="3"/>
      <c r="G37" s="24"/>
      <c r="H37" s="24"/>
      <c r="J37" s="1" t="s">
        <v>191</v>
      </c>
      <c r="K37" s="4"/>
      <c r="L37" s="4"/>
      <c r="M37" s="4"/>
      <c r="N37" s="4"/>
      <c r="O37" s="4"/>
      <c r="P37" s="27"/>
      <c r="Q37" s="25">
        <v>230</v>
      </c>
      <c r="R37" s="25">
        <v>0</v>
      </c>
      <c r="S37" s="12">
        <f t="shared" si="8"/>
        <v>0</v>
      </c>
      <c r="T37" s="5">
        <v>0</v>
      </c>
      <c r="U37" s="12">
        <f t="shared" si="9"/>
        <v>0</v>
      </c>
      <c r="V37" s="25" t="s">
        <v>10</v>
      </c>
      <c r="W37" s="11">
        <f>IFERROR(VLOOKUP(V37,Curr!$B$2:$C$13,2,FALSE),0)</f>
        <v>11</v>
      </c>
      <c r="X37" s="12">
        <f t="shared" si="10"/>
        <v>0</v>
      </c>
      <c r="Y37" s="26">
        <f>Q37/0.8</f>
        <v>287.5</v>
      </c>
      <c r="Z37" s="12">
        <f t="shared" si="2"/>
        <v>0</v>
      </c>
      <c r="AA37" s="4" t="s">
        <v>10</v>
      </c>
      <c r="AB37" s="11">
        <f>IFERROR(VLOOKUP(AA37,Curr!$B$2:$C$13,2,FALSE),0)</f>
        <v>11</v>
      </c>
      <c r="AC37" s="12">
        <f t="shared" si="3"/>
        <v>0</v>
      </c>
      <c r="AD37" s="12">
        <f t="shared" si="4"/>
        <v>0</v>
      </c>
      <c r="AE37" s="13">
        <f t="shared" si="5"/>
        <v>0</v>
      </c>
    </row>
    <row r="38" spans="2:31" hidden="1" x14ac:dyDescent="0.25">
      <c r="B38" s="4"/>
      <c r="E38" s="3"/>
      <c r="F38" s="3"/>
      <c r="G38" s="24"/>
      <c r="H38" s="24"/>
      <c r="K38" s="4"/>
      <c r="L38" s="4"/>
      <c r="M38" s="4"/>
      <c r="N38" s="4"/>
      <c r="O38" s="4"/>
      <c r="P38" s="27"/>
      <c r="Q38" s="25"/>
      <c r="R38" s="25"/>
      <c r="S38" s="12">
        <f t="shared" si="8"/>
        <v>0</v>
      </c>
      <c r="T38" s="5">
        <v>0</v>
      </c>
      <c r="U38" s="12">
        <f t="shared" si="9"/>
        <v>0</v>
      </c>
      <c r="V38" s="25" t="s">
        <v>10</v>
      </c>
      <c r="W38" s="11">
        <f>IFERROR(VLOOKUP(V38,Curr!$B$2:$C$13,2,FALSE),0)</f>
        <v>11</v>
      </c>
      <c r="X38" s="12">
        <f t="shared" si="10"/>
        <v>0</v>
      </c>
      <c r="Y38" s="26">
        <f t="shared" si="11"/>
        <v>0</v>
      </c>
      <c r="Z38" s="12">
        <f t="shared" si="2"/>
        <v>0</v>
      </c>
      <c r="AA38" s="4" t="s">
        <v>10</v>
      </c>
      <c r="AB38" s="11">
        <f>IFERROR(VLOOKUP(AA38,Curr!$B$2:$C$13,2,FALSE),0)</f>
        <v>11</v>
      </c>
      <c r="AC38" s="12">
        <f t="shared" si="3"/>
        <v>0</v>
      </c>
      <c r="AD38" s="12">
        <f t="shared" si="4"/>
        <v>0</v>
      </c>
      <c r="AE38" s="13">
        <f t="shared" si="5"/>
        <v>0</v>
      </c>
    </row>
    <row r="39" spans="2:31" hidden="1"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x14ac:dyDescent="0.25">
      <c r="B40" s="4"/>
      <c r="C40" s="1" t="s">
        <v>92</v>
      </c>
      <c r="D40" s="1" t="s">
        <v>138</v>
      </c>
      <c r="E40" s="3"/>
      <c r="F40" s="3"/>
      <c r="G40" s="24"/>
      <c r="H40" s="24"/>
      <c r="J40" s="1" t="s">
        <v>139</v>
      </c>
      <c r="K40" s="4"/>
      <c r="L40" s="4"/>
      <c r="M40" s="4"/>
      <c r="N40" s="4"/>
      <c r="O40" s="4"/>
      <c r="P40" s="27"/>
      <c r="Q40" s="25">
        <v>230</v>
      </c>
      <c r="R40" s="25">
        <v>0</v>
      </c>
      <c r="S40" s="12">
        <f t="shared" si="8"/>
        <v>0</v>
      </c>
      <c r="T40" s="5">
        <v>0</v>
      </c>
      <c r="U40" s="12">
        <f t="shared" si="9"/>
        <v>0</v>
      </c>
      <c r="V40" s="25" t="s">
        <v>10</v>
      </c>
      <c r="W40" s="11">
        <f>IFERROR(VLOOKUP(V40,Curr!$B$2:$C$13,2,FALSE),0)</f>
        <v>11</v>
      </c>
      <c r="X40" s="12">
        <f t="shared" si="10"/>
        <v>0</v>
      </c>
      <c r="Y40" s="26">
        <f>Q40/0.85</f>
        <v>270.58823529411768</v>
      </c>
      <c r="Z40" s="12">
        <f t="shared" si="2"/>
        <v>0</v>
      </c>
      <c r="AA40" s="4" t="s">
        <v>10</v>
      </c>
      <c r="AB40" s="11">
        <f>IFERROR(VLOOKUP(AA40,Curr!$B$2:$C$13,2,FALSE),0)</f>
        <v>11</v>
      </c>
      <c r="AC40" s="12">
        <f t="shared" si="3"/>
        <v>0</v>
      </c>
      <c r="AD40" s="12">
        <f t="shared" si="4"/>
        <v>0</v>
      </c>
      <c r="AE40" s="13">
        <f t="shared" si="5"/>
        <v>0</v>
      </c>
    </row>
    <row r="41" spans="2:31" hidden="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hidden="1"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hidden="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33"/>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27"/>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33"/>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3"/>
      <c r="H49" s="3"/>
      <c r="L49" s="4"/>
      <c r="M49" s="4"/>
      <c r="N49" s="4"/>
      <c r="O49" s="4"/>
      <c r="P49" s="22"/>
      <c r="Q49" s="4"/>
      <c r="R49" s="4"/>
      <c r="S49" s="4"/>
      <c r="T49" s="4"/>
      <c r="U49" s="4"/>
      <c r="V49" s="4"/>
      <c r="W49" s="4"/>
      <c r="X49" s="4"/>
      <c r="Y49" s="4"/>
      <c r="Z49" s="4"/>
      <c r="AA49" s="4"/>
      <c r="AB49" s="4"/>
      <c r="AC49" s="4"/>
      <c r="AD49" s="4"/>
      <c r="AE49" s="4"/>
      <c r="AF49" s="4"/>
    </row>
    <row r="50" spans="2:36" x14ac:dyDescent="0.25">
      <c r="B50" s="14" t="s">
        <v>18</v>
      </c>
      <c r="C50" s="14"/>
      <c r="D50" s="28" t="s">
        <v>42</v>
      </c>
      <c r="E50" s="30" t="s">
        <v>42</v>
      </c>
      <c r="F50" s="30" t="s">
        <v>42</v>
      </c>
      <c r="G50" s="30" t="s">
        <v>42</v>
      </c>
      <c r="H50" s="30" t="s">
        <v>42</v>
      </c>
      <c r="I50" s="28" t="s">
        <v>42</v>
      </c>
      <c r="J50" s="28" t="s">
        <v>42</v>
      </c>
      <c r="K50" s="28" t="s">
        <v>42</v>
      </c>
      <c r="L50" s="28" t="s">
        <v>42</v>
      </c>
      <c r="M50" s="28" t="s">
        <v>42</v>
      </c>
      <c r="N50" s="28" t="s">
        <v>42</v>
      </c>
      <c r="O50" s="28" t="s">
        <v>42</v>
      </c>
      <c r="P50" s="28" t="s">
        <v>42</v>
      </c>
      <c r="Q50" s="31" t="s">
        <v>42</v>
      </c>
      <c r="R50" s="28" t="s">
        <v>42</v>
      </c>
      <c r="S50" s="32" t="s">
        <v>42</v>
      </c>
      <c r="T50" s="28" t="s">
        <v>42</v>
      </c>
      <c r="U50" s="32" t="s">
        <v>42</v>
      </c>
      <c r="V50" s="28" t="s">
        <v>42</v>
      </c>
      <c r="W50" s="28" t="s">
        <v>42</v>
      </c>
      <c r="X50" s="32" t="s">
        <v>42</v>
      </c>
      <c r="Y50" s="32" t="s">
        <v>42</v>
      </c>
      <c r="Z50" s="15">
        <f>SUM(Z7:Z48)</f>
        <v>2581.4882352941181</v>
      </c>
      <c r="AA50" s="14"/>
      <c r="AB50" s="14"/>
      <c r="AC50" s="15">
        <f>SUM(AC7:AC48)</f>
        <v>28396.370588235295</v>
      </c>
      <c r="AD50" s="15">
        <f>SUM(AD7:AD48)</f>
        <v>4442.7705882352939</v>
      </c>
      <c r="AE50" s="21">
        <f t="shared" ref="AE50" si="14">IFERROR(AD50/AC50,0)</f>
        <v>0.15645557851945865</v>
      </c>
      <c r="AF50" s="15">
        <f>SUM(AF8:AF49)</f>
        <v>0</v>
      </c>
      <c r="AG50" s="15">
        <f>SUM(AG8:AG49)</f>
        <v>0</v>
      </c>
      <c r="AH50" s="15">
        <f>SUM(AH8:AH49)</f>
        <v>0</v>
      </c>
      <c r="AI50" s="15">
        <f>SUM(AI8:AI49)</f>
        <v>0</v>
      </c>
      <c r="AJ50" s="15">
        <f>SUM(AJ8:AJ49)</f>
        <v>0</v>
      </c>
    </row>
    <row r="51" spans="2:36" x14ac:dyDescent="0.25">
      <c r="B51" s="4"/>
      <c r="E51" s="3"/>
      <c r="F51" s="3"/>
      <c r="G51" s="3"/>
      <c r="H51" s="3"/>
      <c r="L51" s="4"/>
      <c r="M51" s="4"/>
      <c r="N51" s="4"/>
      <c r="O51" s="4"/>
      <c r="Q51" s="4"/>
      <c r="R51" s="4"/>
      <c r="S51" s="4"/>
      <c r="T51" s="4"/>
      <c r="U51" s="4"/>
      <c r="V51" s="4"/>
      <c r="W51" s="4"/>
      <c r="X51" s="4"/>
      <c r="Y51" s="9"/>
      <c r="Z51" s="9"/>
      <c r="AA51" s="9"/>
      <c r="AB51" s="9"/>
      <c r="AC51" s="9"/>
      <c r="AD51" s="9"/>
      <c r="AE51" s="9"/>
    </row>
    <row r="52" spans="2:36" x14ac:dyDescent="0.25">
      <c r="B52" s="4"/>
      <c r="E52" s="3"/>
      <c r="F52" s="3"/>
      <c r="G52" s="3"/>
      <c r="H52" s="3"/>
      <c r="L52" s="4"/>
      <c r="M52" s="4"/>
      <c r="N52" s="4"/>
      <c r="O52" s="4"/>
      <c r="Q52" s="9"/>
      <c r="R52" s="9"/>
      <c r="S52" s="9"/>
      <c r="T52" s="9"/>
      <c r="U52" s="9"/>
      <c r="V52" s="9"/>
      <c r="W52" s="9"/>
      <c r="X52" s="23"/>
      <c r="Y52" s="34" t="s">
        <v>234</v>
      </c>
      <c r="Z52" s="34">
        <f>Z12</f>
        <v>2110.9</v>
      </c>
      <c r="AA52" s="9"/>
      <c r="AB52" s="9"/>
      <c r="AC52" s="9"/>
      <c r="AD52" s="9"/>
      <c r="AE52" s="9"/>
    </row>
    <row r="53" spans="2:36" x14ac:dyDescent="0.25">
      <c r="B53" s="4"/>
      <c r="E53" s="3"/>
      <c r="F53" s="3"/>
      <c r="G53" s="3"/>
      <c r="H53" s="3"/>
      <c r="L53" s="4"/>
      <c r="M53" s="4"/>
      <c r="N53" s="4"/>
      <c r="O53" s="4"/>
      <c r="Q53" s="9"/>
      <c r="R53" s="9"/>
      <c r="S53" s="9"/>
      <c r="T53" s="9"/>
      <c r="U53" s="9"/>
      <c r="V53" s="9"/>
      <c r="W53" s="9"/>
      <c r="X53" s="9"/>
      <c r="Y53" s="35" t="s">
        <v>235</v>
      </c>
      <c r="Z53" s="34">
        <f>Z9+Z20</f>
        <v>470.58823529411768</v>
      </c>
      <c r="AA53" s="9"/>
      <c r="AB53" s="9"/>
      <c r="AC53" s="9"/>
      <c r="AD53" s="9"/>
      <c r="AE53" s="9"/>
      <c r="AF53" s="18"/>
    </row>
    <row r="54" spans="2:36" x14ac:dyDescent="0.25">
      <c r="B54" s="4"/>
      <c r="E54" s="3"/>
      <c r="F54" s="3"/>
      <c r="G54" s="3"/>
      <c r="H54" s="3"/>
      <c r="I54" s="19"/>
      <c r="L54" s="4"/>
      <c r="M54" s="4"/>
      <c r="N54" s="4"/>
      <c r="O54" s="20"/>
      <c r="Q54" s="20"/>
      <c r="R54" s="20"/>
      <c r="S54" s="20"/>
      <c r="T54" s="20"/>
      <c r="U54" s="20"/>
      <c r="V54" s="20"/>
      <c r="W54" s="20"/>
      <c r="X54" s="20"/>
      <c r="Y54" s="34" t="s">
        <v>236</v>
      </c>
      <c r="Z54" s="34">
        <v>2580</v>
      </c>
      <c r="AA54" s="9"/>
      <c r="AB54" s="9"/>
      <c r="AC54" s="9"/>
      <c r="AD54" s="9"/>
      <c r="AE54" s="9"/>
      <c r="AF54" s="18"/>
    </row>
    <row r="55" spans="2:36" x14ac:dyDescent="0.25">
      <c r="B55" s="4"/>
      <c r="E55" s="3"/>
      <c r="F55" s="3"/>
      <c r="G55" s="3"/>
      <c r="H55" s="3"/>
      <c r="L55" s="4"/>
      <c r="M55" s="4"/>
      <c r="N55" s="4"/>
      <c r="O55" s="20"/>
      <c r="Q55" s="20"/>
      <c r="R55" s="20"/>
      <c r="S55" s="20"/>
      <c r="T55" s="20"/>
      <c r="U55" s="20"/>
      <c r="V55" s="20"/>
      <c r="W55" s="20"/>
      <c r="X55" s="20"/>
      <c r="Y55" s="34" t="s">
        <v>45</v>
      </c>
      <c r="Z55" s="34">
        <f>Z54/2</f>
        <v>1290</v>
      </c>
      <c r="AA55" s="9"/>
      <c r="AB55" s="9"/>
      <c r="AC55" s="9"/>
      <c r="AD55" s="9"/>
      <c r="AE55" s="9"/>
      <c r="AF55" s="18"/>
    </row>
    <row r="56" spans="2:36" x14ac:dyDescent="0.25">
      <c r="B56" s="4"/>
      <c r="E56" s="3"/>
      <c r="F56" s="3"/>
      <c r="G56" s="3"/>
      <c r="H56" s="3"/>
      <c r="L56" s="4"/>
      <c r="M56" s="4"/>
      <c r="N56" s="4"/>
      <c r="O56" s="4"/>
      <c r="Q56" s="9"/>
      <c r="R56" s="9"/>
      <c r="S56" s="9"/>
      <c r="T56" s="9"/>
      <c r="U56" s="9"/>
      <c r="V56" s="9"/>
      <c r="W56" s="9"/>
      <c r="X56" s="9"/>
      <c r="Y56" s="1"/>
      <c r="Z56" s="1"/>
      <c r="AA56" s="9"/>
      <c r="AB56" s="9"/>
      <c r="AC56" s="9"/>
      <c r="AD56" s="9"/>
      <c r="AE56" s="9"/>
      <c r="AF56" s="18"/>
    </row>
    <row r="57" spans="2:36" x14ac:dyDescent="0.25">
      <c r="F57" s="1"/>
      <c r="G57" s="1"/>
      <c r="H57" s="1"/>
      <c r="J57" s="1" t="s">
        <v>32</v>
      </c>
      <c r="Q57" s="9"/>
      <c r="R57" s="4"/>
      <c r="S57" s="9"/>
      <c r="T57" s="5"/>
      <c r="U57" s="9"/>
      <c r="V57" s="4"/>
      <c r="W57" s="4"/>
      <c r="X57" s="9"/>
      <c r="Y57" s="9" t="s">
        <v>46</v>
      </c>
      <c r="Z57" s="9">
        <f>Z54-Z58</f>
        <v>2580</v>
      </c>
      <c r="AA57" s="9"/>
      <c r="AB57" s="9"/>
      <c r="AC57" s="9"/>
      <c r="AD57" s="9"/>
      <c r="AE57" s="9"/>
    </row>
    <row r="58" spans="2:36" x14ac:dyDescent="0.25">
      <c r="R58" s="4"/>
      <c r="S58" s="17"/>
      <c r="T58" s="17"/>
      <c r="U58" s="9"/>
      <c r="V58" s="4"/>
      <c r="W58" s="4"/>
      <c r="X58" s="9"/>
      <c r="Y58" s="9" t="s">
        <v>47</v>
      </c>
      <c r="Z58" s="9">
        <v>0</v>
      </c>
      <c r="AA58" s="9"/>
      <c r="AB58" s="9"/>
      <c r="AC58" s="9"/>
      <c r="AD58" s="9"/>
      <c r="AE58" s="9"/>
    </row>
    <row r="59" spans="2:36" x14ac:dyDescent="0.25">
      <c r="Q59" s="9"/>
      <c r="R59" s="4"/>
      <c r="S59" s="16"/>
      <c r="T59" s="16"/>
      <c r="U59" s="9"/>
      <c r="V59" s="4"/>
      <c r="W59" s="4"/>
      <c r="X59" s="9"/>
      <c r="Y59" s="9"/>
      <c r="Z59" s="9"/>
      <c r="AA59" s="9"/>
      <c r="AB59" s="9"/>
      <c r="AC59" s="9"/>
      <c r="AD59" s="9"/>
      <c r="AE59" s="9"/>
    </row>
    <row r="60" spans="2:36" x14ac:dyDescent="0.25">
      <c r="R60" s="4"/>
      <c r="S60" s="16"/>
      <c r="T60" s="16"/>
      <c r="Y60" s="9" t="s">
        <v>48</v>
      </c>
      <c r="Z60" s="9">
        <f>Z54*0.3</f>
        <v>774</v>
      </c>
      <c r="AA60" s="9"/>
      <c r="AB60" s="9"/>
      <c r="AC60" s="9"/>
      <c r="AD60" s="9"/>
      <c r="AE60" s="9"/>
    </row>
    <row r="61" spans="2:36" x14ac:dyDescent="0.25">
      <c r="T61" s="5"/>
      <c r="Y61" s="9" t="s">
        <v>49</v>
      </c>
      <c r="Z61" s="9">
        <f>Z54-Z60</f>
        <v>1806</v>
      </c>
      <c r="AA61" s="9"/>
      <c r="AB61" s="9"/>
      <c r="AC61" s="9"/>
      <c r="AD61" s="9"/>
      <c r="AE61" s="9"/>
    </row>
    <row r="62" spans="2:36" x14ac:dyDescent="0.25">
      <c r="T62" s="5"/>
      <c r="Y62" s="9"/>
      <c r="Z62" s="9"/>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row>
    <row r="70" spans="20:31" x14ac:dyDescent="0.25">
      <c r="T70" s="5"/>
    </row>
    <row r="71" spans="20:31" x14ac:dyDescent="0.25">
      <c r="T71" s="5"/>
    </row>
    <row r="72" spans="20:31" x14ac:dyDescent="0.25">
      <c r="T72" s="5"/>
    </row>
    <row r="73" spans="20:31" x14ac:dyDescent="0.25">
      <c r="T73" s="5"/>
    </row>
  </sheetData>
  <autoFilter ref="B6:AE50" xr:uid="{65FA6D9B-E0AF-46CD-BA0D-86BB75FE6AB0}">
    <filterColumn colId="8">
      <customFilters>
        <customFilter operator="notEqual" val=" "/>
      </customFilters>
    </filterColumn>
  </autoFilter>
  <hyperlinks>
    <hyperlink ref="P12" r:id="rId1" xr:uid="{8F7A9E70-71BC-4143-9422-9F06C07EBB18}"/>
    <hyperlink ref="P34" r:id="rId2" xr:uid="{EDC4B670-F803-4B91-9703-94C99D063C41}"/>
    <hyperlink ref="P33" r:id="rId3" xr:uid="{C2D5A23A-4753-4132-BAC7-998C9CF6593B}"/>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014D-0793-4FF6-99CB-3B4E1474F9CC}">
  <sheetPr filterMode="1">
    <tabColor rgb="FFFFFF00"/>
  </sheetPr>
  <dimension ref="B1:AK74"/>
  <sheetViews>
    <sheetView zoomScale="80" zoomScaleNormal="80" workbookViewId="0">
      <selection activeCell="J39" sqref="J3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183</v>
      </c>
    </row>
    <row r="2" spans="2:36" x14ac:dyDescent="0.25">
      <c r="B2" s="2" t="s">
        <v>125</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42" si="0">+Q7*R7</f>
        <v>0</v>
      </c>
      <c r="T7" s="5">
        <v>0</v>
      </c>
      <c r="U7" s="12">
        <f>S7*(1-T7)</f>
        <v>0</v>
      </c>
      <c r="V7" s="25" t="s">
        <v>10</v>
      </c>
      <c r="W7" s="11">
        <f>IFERROR(VLOOKUP(V7,Curr!$B$2:$C$13,2,FALSE),0)</f>
        <v>11</v>
      </c>
      <c r="X7" s="12">
        <f t="shared" ref="X7:X42" si="1">U7*W7</f>
        <v>0</v>
      </c>
      <c r="Y7" s="26">
        <f>Q7</f>
        <v>0</v>
      </c>
      <c r="Z7" s="12">
        <f t="shared" ref="Z7:Z49" si="2">+Y7*R7</f>
        <v>0</v>
      </c>
      <c r="AA7" s="4" t="s">
        <v>10</v>
      </c>
      <c r="AB7" s="11">
        <f>IFERROR(VLOOKUP(AA7,Curr!$B$2:$C$13,2,FALSE),0)</f>
        <v>11</v>
      </c>
      <c r="AC7" s="12">
        <f t="shared" ref="AC7:AC49" si="3">+Y7*AB7*R7</f>
        <v>0</v>
      </c>
      <c r="AD7" s="12">
        <f t="shared" ref="AD7:AD49" si="4">+AC7-X7</f>
        <v>0</v>
      </c>
      <c r="AE7" s="13">
        <f t="shared" ref="AE7:AE49"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42" si="6">S8*(1-T8)</f>
        <v>0</v>
      </c>
      <c r="V8" s="25" t="s">
        <v>10</v>
      </c>
      <c r="W8" s="11">
        <f>IFERROR(VLOOKUP(V8,Curr!$B$2:$C$13,2,FALSE),0)</f>
        <v>11</v>
      </c>
      <c r="X8" s="12">
        <f t="shared" si="1"/>
        <v>0</v>
      </c>
      <c r="Y8" s="26">
        <f t="shared" ref="Y8:Y41"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148</v>
      </c>
      <c r="K12" s="4"/>
      <c r="L12" s="4"/>
      <c r="M12" s="4"/>
      <c r="N12" s="4"/>
      <c r="O12" s="4"/>
      <c r="P12" s="33" t="s">
        <v>149</v>
      </c>
      <c r="Q12" s="25">
        <v>1510</v>
      </c>
      <c r="R12" s="25">
        <v>2</v>
      </c>
      <c r="S12" s="12">
        <f t="shared" si="0"/>
        <v>3020</v>
      </c>
      <c r="T12" s="5">
        <v>0.2</v>
      </c>
      <c r="U12" s="12">
        <f t="shared" si="6"/>
        <v>2416</v>
      </c>
      <c r="V12" s="25" t="s">
        <v>10</v>
      </c>
      <c r="W12" s="11">
        <f>IFERROR(VLOOKUP(V12,Curr!$B$2:$C$13,2,FALSE),0)</f>
        <v>11</v>
      </c>
      <c r="X12" s="12">
        <f t="shared" si="1"/>
        <v>26576</v>
      </c>
      <c r="Y12" s="26">
        <f>Q12*0.95</f>
        <v>1434.5</v>
      </c>
      <c r="Z12" s="12">
        <f t="shared" si="2"/>
        <v>2869</v>
      </c>
      <c r="AA12" s="4" t="s">
        <v>10</v>
      </c>
      <c r="AB12" s="11">
        <f>IFERROR(VLOOKUP(AA12,Curr!$B$2:$C$13,2,FALSE),0)</f>
        <v>11</v>
      </c>
      <c r="AC12" s="12">
        <f t="shared" si="3"/>
        <v>31559</v>
      </c>
      <c r="AD12" s="12">
        <f t="shared" si="4"/>
        <v>4983</v>
      </c>
      <c r="AE12" s="13">
        <f t="shared" si="5"/>
        <v>0.15789473684210525</v>
      </c>
    </row>
    <row r="13" spans="2:36" x14ac:dyDescent="0.25">
      <c r="B13" s="4"/>
      <c r="C13" s="1" t="s">
        <v>65</v>
      </c>
      <c r="D13" s="1" t="s">
        <v>120</v>
      </c>
      <c r="E13" s="3"/>
      <c r="F13" s="3"/>
      <c r="G13" s="24"/>
      <c r="H13" s="24"/>
      <c r="J13" s="1" t="s">
        <v>150</v>
      </c>
      <c r="K13" s="4"/>
      <c r="L13" s="4"/>
      <c r="M13" s="4"/>
      <c r="N13" s="4"/>
      <c r="O13" s="4"/>
      <c r="P13" s="29"/>
      <c r="Q13" s="25">
        <v>0</v>
      </c>
      <c r="R13" s="25">
        <v>0</v>
      </c>
      <c r="S13" s="12">
        <f t="shared" si="0"/>
        <v>0</v>
      </c>
      <c r="T13" s="5">
        <v>0</v>
      </c>
      <c r="U13" s="12">
        <f t="shared" si="6"/>
        <v>0</v>
      </c>
      <c r="V13" s="25" t="s">
        <v>10</v>
      </c>
      <c r="W13" s="11">
        <f>IFERROR(VLOOKUP(V13,Curr!$B$2:$C$13,2,FALSE),0)</f>
        <v>11</v>
      </c>
      <c r="X13" s="12">
        <f t="shared" si="1"/>
        <v>0</v>
      </c>
      <c r="Y13" s="26">
        <f t="shared" ref="Y13:Y26" si="8">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0"/>
        <v>0</v>
      </c>
      <c r="T14" s="5">
        <v>0</v>
      </c>
      <c r="U14" s="12">
        <f t="shared" si="6"/>
        <v>0</v>
      </c>
      <c r="V14" s="25" t="s">
        <v>10</v>
      </c>
      <c r="W14" s="11">
        <f>IFERROR(VLOOKUP(V14,Curr!$B$2:$C$13,2,FALSE),0)</f>
        <v>11</v>
      </c>
      <c r="X14" s="12">
        <f t="shared" si="1"/>
        <v>0</v>
      </c>
      <c r="Y14" s="26">
        <f t="shared" si="8"/>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151</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8"/>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0"/>
        <v>0</v>
      </c>
      <c r="T16" s="5">
        <v>0</v>
      </c>
      <c r="U16" s="12">
        <f t="shared" si="6"/>
        <v>0</v>
      </c>
      <c r="V16" s="25" t="s">
        <v>10</v>
      </c>
      <c r="W16" s="11">
        <f>IFERROR(VLOOKUP(V16,Curr!$B$2:$C$13,2,FALSE),0)</f>
        <v>11</v>
      </c>
      <c r="X16" s="12">
        <f t="shared" si="1"/>
        <v>0</v>
      </c>
      <c r="Y16" s="26">
        <f t="shared" si="8"/>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152</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8"/>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8"/>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153</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8"/>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IFERROR(VLOOKUP(V20,Curr!$B$2:$C$13,2,FALSE),0)</f>
        <v>11</v>
      </c>
      <c r="X20" s="12">
        <f t="shared" si="1"/>
        <v>0</v>
      </c>
      <c r="Y20" s="26">
        <f t="shared" si="8"/>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154</v>
      </c>
      <c r="K21" s="4"/>
      <c r="L21" s="4"/>
      <c r="M21" s="4"/>
      <c r="N21" s="4"/>
      <c r="O21" s="4"/>
      <c r="P21" s="27"/>
      <c r="Q21" s="25">
        <v>0</v>
      </c>
      <c r="R21" s="25">
        <v>0</v>
      </c>
      <c r="S21" s="12">
        <f t="shared" si="0"/>
        <v>0</v>
      </c>
      <c r="T21" s="5">
        <v>0</v>
      </c>
      <c r="U21" s="12">
        <f t="shared" si="6"/>
        <v>0</v>
      </c>
      <c r="V21" s="25" t="s">
        <v>10</v>
      </c>
      <c r="W21" s="11">
        <f>IFERROR(VLOOKUP(V21,Curr!$B$2:$C$13,2,FALSE),0)</f>
        <v>11</v>
      </c>
      <c r="X21" s="12">
        <f t="shared" si="1"/>
        <v>0</v>
      </c>
      <c r="Y21" s="26">
        <f t="shared" si="8"/>
        <v>0</v>
      </c>
      <c r="Z21" s="12">
        <f t="shared" si="2"/>
        <v>0</v>
      </c>
      <c r="AA21" s="4" t="s">
        <v>10</v>
      </c>
      <c r="AB21" s="11">
        <f>IFERROR(VLOOKUP(AA21,Curr!$B$2:$C$13,2,FALSE),0)</f>
        <v>11</v>
      </c>
      <c r="AC21" s="12">
        <f t="shared" si="3"/>
        <v>0</v>
      </c>
      <c r="AD21" s="12">
        <f t="shared" si="4"/>
        <v>0</v>
      </c>
      <c r="AE21" s="13">
        <f t="shared" si="5"/>
        <v>0</v>
      </c>
    </row>
    <row r="22" spans="2:31" x14ac:dyDescent="0.25">
      <c r="B22" s="4"/>
      <c r="C22" s="1" t="s">
        <v>92</v>
      </c>
      <c r="D22" s="1" t="s">
        <v>59</v>
      </c>
      <c r="E22" s="3"/>
      <c r="F22" s="3"/>
      <c r="G22" s="24"/>
      <c r="H22" s="24"/>
      <c r="J22" s="1" t="s">
        <v>146</v>
      </c>
      <c r="K22" s="4"/>
      <c r="L22" s="4"/>
      <c r="M22" s="4"/>
      <c r="N22" s="4"/>
      <c r="O22" s="4"/>
      <c r="P22" s="27"/>
      <c r="Q22" s="25">
        <v>200</v>
      </c>
      <c r="R22" s="25">
        <v>1</v>
      </c>
      <c r="S22" s="12">
        <f t="shared" si="0"/>
        <v>200</v>
      </c>
      <c r="T22" s="5">
        <v>0</v>
      </c>
      <c r="U22" s="12">
        <f t="shared" si="6"/>
        <v>200</v>
      </c>
      <c r="V22" s="25" t="s">
        <v>10</v>
      </c>
      <c r="W22" s="11">
        <f>IFERROR(VLOOKUP(V22,Curr!$B$2:$C$13,2,FALSE),0)</f>
        <v>11</v>
      </c>
      <c r="X22" s="12">
        <f t="shared" si="1"/>
        <v>2200</v>
      </c>
      <c r="Y22" s="26">
        <f>Q22/0.85</f>
        <v>235.29411764705884</v>
      </c>
      <c r="Z22" s="12">
        <f t="shared" si="2"/>
        <v>235.29411764705884</v>
      </c>
      <c r="AA22" s="4" t="s">
        <v>10</v>
      </c>
      <c r="AB22" s="11">
        <f>IFERROR(VLOOKUP(AA22,Curr!$B$2:$C$13,2,FALSE),0)</f>
        <v>11</v>
      </c>
      <c r="AC22" s="12">
        <f t="shared" si="3"/>
        <v>2588.2352941176473</v>
      </c>
      <c r="AD22" s="12">
        <f t="shared" si="4"/>
        <v>388.2352941176473</v>
      </c>
      <c r="AE22" s="13">
        <f t="shared" si="5"/>
        <v>0.15000000000000008</v>
      </c>
    </row>
    <row r="23" spans="2:31" x14ac:dyDescent="0.25">
      <c r="B23" s="4"/>
      <c r="C23" s="1" t="s">
        <v>92</v>
      </c>
      <c r="D23" s="1" t="s">
        <v>60</v>
      </c>
      <c r="E23" s="3"/>
      <c r="F23" s="3"/>
      <c r="G23" s="24"/>
      <c r="H23" s="24"/>
      <c r="J23" s="1" t="s">
        <v>118</v>
      </c>
      <c r="K23" s="4"/>
      <c r="L23" s="4"/>
      <c r="M23" s="4"/>
      <c r="N23" s="4"/>
      <c r="O23" s="4"/>
      <c r="P23" s="29"/>
      <c r="Q23" s="25">
        <v>0</v>
      </c>
      <c r="R23" s="25">
        <v>0</v>
      </c>
      <c r="S23" s="12">
        <f t="shared" si="0"/>
        <v>0</v>
      </c>
      <c r="T23" s="5">
        <v>0</v>
      </c>
      <c r="U23" s="12">
        <f t="shared" si="6"/>
        <v>0</v>
      </c>
      <c r="V23" s="25" t="s">
        <v>10</v>
      </c>
      <c r="W23" s="11">
        <f>IFERROR(VLOOKUP(V23,Curr!$B$2:$C$13,2,FALSE),0)</f>
        <v>11</v>
      </c>
      <c r="X23" s="12">
        <f t="shared" si="1"/>
        <v>0</v>
      </c>
      <c r="Y23" s="26">
        <f t="shared" si="8"/>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IFERROR(VLOOKUP(V24,Curr!$B$2:$C$13,2,FALSE),0)</f>
        <v>11</v>
      </c>
      <c r="X24" s="12">
        <f t="shared" si="1"/>
        <v>0</v>
      </c>
      <c r="Y24" s="26">
        <f t="shared" si="8"/>
        <v>0</v>
      </c>
      <c r="Z24" s="12">
        <f t="shared" si="2"/>
        <v>0</v>
      </c>
      <c r="AA24" s="4" t="s">
        <v>10</v>
      </c>
      <c r="AB24" s="11">
        <f>IFERROR(VLOOKUP(AA24,Curr!$B$2:$C$13,2,FALSE),0)</f>
        <v>11</v>
      </c>
      <c r="AC24" s="12">
        <f t="shared" si="3"/>
        <v>0</v>
      </c>
      <c r="AD24" s="12">
        <f t="shared" si="4"/>
        <v>0</v>
      </c>
      <c r="AE24" s="13">
        <f t="shared" si="5"/>
        <v>0</v>
      </c>
    </row>
    <row r="25" spans="2:31" x14ac:dyDescent="0.25">
      <c r="B25" s="4"/>
      <c r="C25" s="1" t="s">
        <v>94</v>
      </c>
      <c r="D25" s="1" t="s">
        <v>117</v>
      </c>
      <c r="E25" s="3"/>
      <c r="F25" s="3"/>
      <c r="G25" s="24"/>
      <c r="H25" s="24"/>
      <c r="J25" s="1" t="s">
        <v>133</v>
      </c>
      <c r="K25" s="4"/>
      <c r="L25" s="4"/>
      <c r="M25" s="4"/>
      <c r="N25" s="4"/>
      <c r="O25" s="4"/>
      <c r="P25" s="27"/>
      <c r="Q25" s="25">
        <v>0</v>
      </c>
      <c r="R25" s="25">
        <v>0</v>
      </c>
      <c r="S25" s="12">
        <f t="shared" si="0"/>
        <v>0</v>
      </c>
      <c r="T25" s="5">
        <v>0</v>
      </c>
      <c r="U25" s="12">
        <f t="shared" si="6"/>
        <v>0</v>
      </c>
      <c r="V25" s="25" t="s">
        <v>10</v>
      </c>
      <c r="W25" s="11">
        <f>IFERROR(VLOOKUP(V25,Curr!$B$2:$C$13,2,FALSE),0)</f>
        <v>11</v>
      </c>
      <c r="X25" s="12">
        <f t="shared" si="1"/>
        <v>0</v>
      </c>
      <c r="Y25" s="26">
        <f t="shared" si="8"/>
        <v>0</v>
      </c>
      <c r="Z25" s="12">
        <f t="shared" si="2"/>
        <v>0</v>
      </c>
      <c r="AA25" s="4" t="s">
        <v>10</v>
      </c>
      <c r="AB25" s="11">
        <f>IFERROR(VLOOKUP(AA25,Curr!$B$2:$C$13,2,FALSE),0)</f>
        <v>11</v>
      </c>
      <c r="AC25" s="12">
        <f t="shared" si="3"/>
        <v>0</v>
      </c>
      <c r="AD25" s="12">
        <f t="shared" si="4"/>
        <v>0</v>
      </c>
      <c r="AE25" s="13">
        <f t="shared" si="5"/>
        <v>0</v>
      </c>
    </row>
    <row r="26" spans="2:31" x14ac:dyDescent="0.25">
      <c r="B26" s="4"/>
      <c r="C26" s="1" t="s">
        <v>94</v>
      </c>
      <c r="D26" s="1" t="s">
        <v>78</v>
      </c>
      <c r="E26" s="3"/>
      <c r="F26" s="3"/>
      <c r="G26" s="24"/>
      <c r="H26" s="24"/>
      <c r="J26" s="1" t="s">
        <v>81</v>
      </c>
      <c r="K26" s="4"/>
      <c r="L26" s="4"/>
      <c r="M26" s="4"/>
      <c r="N26" s="4"/>
      <c r="O26" s="4"/>
      <c r="P26" s="27"/>
      <c r="Q26" s="25">
        <v>0</v>
      </c>
      <c r="R26" s="25">
        <v>0</v>
      </c>
      <c r="S26" s="12">
        <f t="shared" si="0"/>
        <v>0</v>
      </c>
      <c r="T26" s="5">
        <v>0</v>
      </c>
      <c r="U26" s="12">
        <f t="shared" si="6"/>
        <v>0</v>
      </c>
      <c r="V26" s="25" t="s">
        <v>10</v>
      </c>
      <c r="W26" s="11">
        <f>IFERROR(VLOOKUP(V26,Curr!$B$2:$C$13,2,FALSE),0)</f>
        <v>11</v>
      </c>
      <c r="X26" s="12">
        <f t="shared" si="1"/>
        <v>0</v>
      </c>
      <c r="Y26" s="26">
        <f t="shared" si="8"/>
        <v>0</v>
      </c>
      <c r="Z26" s="12">
        <f t="shared" si="2"/>
        <v>0</v>
      </c>
      <c r="AA26" s="4" t="s">
        <v>10</v>
      </c>
      <c r="AB26" s="11">
        <f>IFERROR(VLOOKUP(AA26,Curr!$B$2:$C$13,2,FALSE),0)</f>
        <v>11</v>
      </c>
      <c r="AC26" s="12">
        <f t="shared" si="3"/>
        <v>0</v>
      </c>
      <c r="AD26" s="12">
        <f t="shared" si="4"/>
        <v>0</v>
      </c>
      <c r="AE26" s="13">
        <f t="shared" si="5"/>
        <v>0</v>
      </c>
    </row>
    <row r="27" spans="2:31" hidden="1" x14ac:dyDescent="0.25">
      <c r="B27" s="4"/>
      <c r="E27" s="3"/>
      <c r="F27" s="3"/>
      <c r="G27" s="24"/>
      <c r="H27" s="24"/>
      <c r="K27" s="4"/>
      <c r="L27" s="4"/>
      <c r="M27" s="4"/>
      <c r="N27" s="4"/>
      <c r="O27" s="4"/>
      <c r="P27" s="27"/>
      <c r="Q27" s="25"/>
      <c r="R27" s="25"/>
      <c r="S27" s="12">
        <f t="shared" si="0"/>
        <v>0</v>
      </c>
      <c r="T27" s="5">
        <v>0</v>
      </c>
      <c r="U27" s="12">
        <f t="shared" si="6"/>
        <v>0</v>
      </c>
      <c r="V27" s="25" t="s">
        <v>10</v>
      </c>
      <c r="W27" s="11">
        <f>IFERROR(VLOOKUP(V27,Curr!$B$2:$C$13,2,FALSE),0)</f>
        <v>11</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hidden="1" x14ac:dyDescent="0.25">
      <c r="B28" s="4"/>
      <c r="E28" s="3"/>
      <c r="F28" s="3"/>
      <c r="G28" s="24"/>
      <c r="H28" s="24"/>
      <c r="K28" s="4"/>
      <c r="L28" s="4"/>
      <c r="M28" s="4"/>
      <c r="N28" s="4"/>
      <c r="O28" s="4"/>
      <c r="P28" s="33"/>
      <c r="Q28" s="25"/>
      <c r="R28" s="25"/>
      <c r="S28" s="12">
        <f t="shared" si="0"/>
        <v>0</v>
      </c>
      <c r="T28" s="5">
        <v>0</v>
      </c>
      <c r="U28" s="12">
        <f t="shared" si="6"/>
        <v>0</v>
      </c>
      <c r="V28" s="25" t="s">
        <v>10</v>
      </c>
      <c r="W28" s="11">
        <f>IFERROR(VLOOKUP(V28,Curr!$B$2:$C$13,2,FALSE),0)</f>
        <v>11</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C29" s="1" t="s">
        <v>55</v>
      </c>
      <c r="D29" s="1" t="s">
        <v>127</v>
      </c>
      <c r="E29" s="3"/>
      <c r="F29" s="3"/>
      <c r="G29" s="24"/>
      <c r="H29" s="24"/>
      <c r="J29" s="1" t="s">
        <v>131</v>
      </c>
      <c r="K29" s="4"/>
      <c r="L29" s="4"/>
      <c r="M29" s="4"/>
      <c r="N29" s="4"/>
      <c r="O29" s="4"/>
      <c r="P29" s="27"/>
      <c r="Q29" s="25">
        <v>160</v>
      </c>
      <c r="R29" s="25">
        <v>0</v>
      </c>
      <c r="S29" s="12">
        <f t="shared" si="0"/>
        <v>0</v>
      </c>
      <c r="T29" s="5">
        <v>0.2</v>
      </c>
      <c r="U29" s="12">
        <f t="shared" si="6"/>
        <v>0</v>
      </c>
      <c r="V29" s="25" t="s">
        <v>10</v>
      </c>
      <c r="W29" s="11">
        <f>IFERROR(VLOOKUP(V29,Curr!$B$2:$C$13,2,FALSE),0)</f>
        <v>11</v>
      </c>
      <c r="X29" s="12">
        <f t="shared" si="1"/>
        <v>0</v>
      </c>
      <c r="Y29" s="26">
        <f t="shared" si="7"/>
        <v>160</v>
      </c>
      <c r="Z29" s="12">
        <f t="shared" si="2"/>
        <v>0</v>
      </c>
      <c r="AA29" s="4" t="s">
        <v>10</v>
      </c>
      <c r="AB29" s="11">
        <f>IFERROR(VLOOKUP(AA29,Curr!$B$2:$C$13,2,FALSE),0)</f>
        <v>11</v>
      </c>
      <c r="AC29" s="12">
        <f t="shared" si="3"/>
        <v>0</v>
      </c>
      <c r="AD29" s="12">
        <f t="shared" si="4"/>
        <v>0</v>
      </c>
      <c r="AE29" s="13">
        <f t="shared" si="5"/>
        <v>0</v>
      </c>
    </row>
    <row r="30" spans="2:31" x14ac:dyDescent="0.25">
      <c r="B30" s="4"/>
      <c r="C30" s="1" t="s">
        <v>55</v>
      </c>
      <c r="D30" s="1" t="s">
        <v>127</v>
      </c>
      <c r="E30" s="3"/>
      <c r="F30" s="3"/>
      <c r="G30" s="24"/>
      <c r="H30" s="24"/>
      <c r="J30" s="1" t="s">
        <v>132</v>
      </c>
      <c r="K30" s="4"/>
      <c r="L30" s="4"/>
      <c r="M30" s="4"/>
      <c r="N30" s="4"/>
      <c r="O30" s="4"/>
      <c r="P30" s="33"/>
      <c r="Q30" s="25">
        <v>39</v>
      </c>
      <c r="R30" s="25">
        <v>0</v>
      </c>
      <c r="S30" s="12">
        <f t="shared" si="0"/>
        <v>0</v>
      </c>
      <c r="T30" s="5">
        <v>0.2</v>
      </c>
      <c r="U30" s="12">
        <f t="shared" si="6"/>
        <v>0</v>
      </c>
      <c r="V30" s="25" t="s">
        <v>10</v>
      </c>
      <c r="W30" s="11">
        <f>IFERROR(VLOOKUP(V30,Curr!$B$2:$C$13,2,FALSE),0)</f>
        <v>11</v>
      </c>
      <c r="X30" s="12">
        <f t="shared" si="1"/>
        <v>0</v>
      </c>
      <c r="Y30" s="26">
        <f t="shared" si="7"/>
        <v>39</v>
      </c>
      <c r="Z30" s="12">
        <f t="shared" si="2"/>
        <v>0</v>
      </c>
      <c r="AA30" s="4" t="s">
        <v>10</v>
      </c>
      <c r="AB30" s="11">
        <f>IFERROR(VLOOKUP(AA30,Curr!$B$2:$C$13,2,FALSE),0)</f>
        <v>11</v>
      </c>
      <c r="AC30" s="12">
        <f t="shared" si="3"/>
        <v>0</v>
      </c>
      <c r="AD30" s="12">
        <f t="shared" si="4"/>
        <v>0</v>
      </c>
      <c r="AE30" s="13">
        <f t="shared" si="5"/>
        <v>0</v>
      </c>
    </row>
    <row r="31" spans="2:31" x14ac:dyDescent="0.25">
      <c r="B31" s="4"/>
      <c r="C31" s="1" t="s">
        <v>94</v>
      </c>
      <c r="D31" s="1" t="s">
        <v>127</v>
      </c>
      <c r="E31" s="3"/>
      <c r="F31" s="3"/>
      <c r="G31" s="24"/>
      <c r="H31" s="24"/>
      <c r="J31" s="1" t="s">
        <v>134</v>
      </c>
      <c r="K31" s="4"/>
      <c r="L31" s="4"/>
      <c r="M31" s="4"/>
      <c r="N31" s="4"/>
      <c r="O31" s="4"/>
      <c r="P31" s="27"/>
      <c r="Q31" s="25">
        <v>160</v>
      </c>
      <c r="R31" s="25">
        <v>0</v>
      </c>
      <c r="S31" s="12">
        <f t="shared" si="0"/>
        <v>0</v>
      </c>
      <c r="T31" s="5">
        <v>0.2</v>
      </c>
      <c r="U31" s="12">
        <f t="shared" si="6"/>
        <v>0</v>
      </c>
      <c r="V31" s="25" t="s">
        <v>10</v>
      </c>
      <c r="W31" s="11">
        <f>IFERROR(VLOOKUP(V31,Curr!$B$2:$C$13,2,FALSE),0)</f>
        <v>11</v>
      </c>
      <c r="X31" s="12">
        <f t="shared" si="1"/>
        <v>0</v>
      </c>
      <c r="Y31" s="26">
        <f t="shared" si="7"/>
        <v>160</v>
      </c>
      <c r="Z31" s="12">
        <f t="shared" si="2"/>
        <v>0</v>
      </c>
      <c r="AA31" s="4" t="s">
        <v>10</v>
      </c>
      <c r="AB31" s="11">
        <f>IFERROR(VLOOKUP(AA31,Curr!$B$2:$C$13,2,FALSE),0)</f>
        <v>11</v>
      </c>
      <c r="AC31" s="12">
        <f t="shared" si="3"/>
        <v>0</v>
      </c>
      <c r="AD31" s="12">
        <f t="shared" si="4"/>
        <v>0</v>
      </c>
      <c r="AE31" s="13">
        <f t="shared" si="5"/>
        <v>0</v>
      </c>
    </row>
    <row r="32" spans="2:31" x14ac:dyDescent="0.25">
      <c r="B32" s="4"/>
      <c r="C32" s="1" t="s">
        <v>94</v>
      </c>
      <c r="D32" s="1" t="s">
        <v>127</v>
      </c>
      <c r="E32" s="3"/>
      <c r="F32" s="3"/>
      <c r="G32" s="24"/>
      <c r="H32" s="24"/>
      <c r="J32" s="1" t="s">
        <v>135</v>
      </c>
      <c r="K32" s="4"/>
      <c r="L32" s="4"/>
      <c r="M32" s="4"/>
      <c r="N32" s="4"/>
      <c r="O32" s="4"/>
      <c r="P32" s="33"/>
      <c r="Q32" s="25">
        <v>39</v>
      </c>
      <c r="R32" s="25">
        <v>0</v>
      </c>
      <c r="S32" s="12">
        <f t="shared" si="0"/>
        <v>0</v>
      </c>
      <c r="T32" s="5">
        <v>0.2</v>
      </c>
      <c r="U32" s="12">
        <f t="shared" si="6"/>
        <v>0</v>
      </c>
      <c r="V32" s="25" t="s">
        <v>10</v>
      </c>
      <c r="W32" s="11">
        <f>IFERROR(VLOOKUP(V32,Curr!$B$2:$C$13,2,FALSE),0)</f>
        <v>11</v>
      </c>
      <c r="X32" s="12">
        <f t="shared" si="1"/>
        <v>0</v>
      </c>
      <c r="Y32" s="26">
        <f t="shared" si="7"/>
        <v>39</v>
      </c>
      <c r="Z32" s="12">
        <f t="shared" si="2"/>
        <v>0</v>
      </c>
      <c r="AA32" s="4" t="s">
        <v>10</v>
      </c>
      <c r="AB32" s="11">
        <f>IFERROR(VLOOKUP(AA32,Curr!$B$2:$C$13,2,FALSE),0)</f>
        <v>11</v>
      </c>
      <c r="AC32" s="12">
        <f t="shared" si="3"/>
        <v>0</v>
      </c>
      <c r="AD32" s="12">
        <f t="shared" si="4"/>
        <v>0</v>
      </c>
      <c r="AE32" s="13">
        <f t="shared" si="5"/>
        <v>0</v>
      </c>
    </row>
    <row r="33" spans="2:31" hidden="1" x14ac:dyDescent="0.25">
      <c r="B33" s="4"/>
      <c r="E33" s="3"/>
      <c r="F33" s="3"/>
      <c r="G33" s="24"/>
      <c r="H33" s="24"/>
      <c r="K33" s="4"/>
      <c r="L33" s="4"/>
      <c r="M33" s="4"/>
      <c r="N33" s="4"/>
      <c r="O33" s="4"/>
      <c r="P33" s="27"/>
      <c r="Q33" s="25"/>
      <c r="R33" s="25"/>
      <c r="S33" s="12">
        <f t="shared" si="0"/>
        <v>0</v>
      </c>
      <c r="T33" s="5">
        <v>0</v>
      </c>
      <c r="U33" s="12">
        <f t="shared" si="6"/>
        <v>0</v>
      </c>
      <c r="V33" s="25" t="s">
        <v>10</v>
      </c>
      <c r="W33" s="11">
        <f>IFERROR(VLOOKUP(V33,Curr!$B$2:$C$13,2,FALSE),0)</f>
        <v>11</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hidden="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IFERROR(VLOOKUP(V34,Curr!$B$2:$C$13,2,FALSE),0)</f>
        <v>11</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83</v>
      </c>
      <c r="E35" s="3"/>
      <c r="F35" s="3"/>
      <c r="G35" s="24"/>
      <c r="H35" s="24"/>
      <c r="J35" s="1" t="s">
        <v>184</v>
      </c>
      <c r="K35" s="4"/>
      <c r="L35" s="4"/>
      <c r="M35" s="4"/>
      <c r="N35" s="4"/>
      <c r="O35" s="4"/>
      <c r="P35" s="33" t="s">
        <v>243</v>
      </c>
      <c r="Q35" s="25">
        <v>37</v>
      </c>
      <c r="R35" s="25">
        <v>0</v>
      </c>
      <c r="S35" s="12">
        <f t="shared" si="0"/>
        <v>0</v>
      </c>
      <c r="T35" s="5">
        <v>0.2</v>
      </c>
      <c r="U35" s="12">
        <f t="shared" si="6"/>
        <v>0</v>
      </c>
      <c r="V35" s="25" t="s">
        <v>10</v>
      </c>
      <c r="W35" s="11">
        <f>IFERROR(VLOOKUP(V35,Curr!$B$2:$C$13,2,FALSE),0)</f>
        <v>11</v>
      </c>
      <c r="X35" s="12">
        <f t="shared" si="1"/>
        <v>0</v>
      </c>
      <c r="Y35" s="26">
        <f t="shared" si="7"/>
        <v>37</v>
      </c>
      <c r="Z35" s="12">
        <f t="shared" si="2"/>
        <v>0</v>
      </c>
      <c r="AA35" s="4" t="s">
        <v>10</v>
      </c>
      <c r="AB35" s="11">
        <f>IFERROR(VLOOKUP(AA35,Curr!$B$2:$C$13,2,FALSE),0)</f>
        <v>11</v>
      </c>
      <c r="AC35" s="12">
        <f t="shared" si="3"/>
        <v>0</v>
      </c>
      <c r="AD35" s="12">
        <f t="shared" si="4"/>
        <v>0</v>
      </c>
      <c r="AE35" s="13">
        <f t="shared" si="5"/>
        <v>0</v>
      </c>
    </row>
    <row r="36" spans="2:31" x14ac:dyDescent="0.25">
      <c r="B36" s="4"/>
      <c r="C36" s="1" t="s">
        <v>92</v>
      </c>
      <c r="D36" s="1" t="s">
        <v>83</v>
      </c>
      <c r="E36" s="3"/>
      <c r="F36" s="3"/>
      <c r="G36" s="24"/>
      <c r="H36" s="24"/>
      <c r="J36" s="1" t="s">
        <v>137</v>
      </c>
      <c r="K36" s="4"/>
      <c r="L36" s="4"/>
      <c r="M36" s="4"/>
      <c r="N36" s="4"/>
      <c r="O36" s="4"/>
      <c r="P36" s="33" t="s">
        <v>182</v>
      </c>
      <c r="Q36" s="25">
        <v>163</v>
      </c>
      <c r="R36" s="25">
        <v>0</v>
      </c>
      <c r="S36" s="12">
        <f t="shared" si="0"/>
        <v>0</v>
      </c>
      <c r="T36" s="5">
        <v>0.2</v>
      </c>
      <c r="U36" s="12">
        <f t="shared" si="6"/>
        <v>0</v>
      </c>
      <c r="V36" s="25" t="s">
        <v>10</v>
      </c>
      <c r="W36" s="11">
        <f>IFERROR(VLOOKUP(V36,Curr!$B$2:$C$13,2,FALSE),0)</f>
        <v>11</v>
      </c>
      <c r="X36" s="12">
        <f t="shared" si="1"/>
        <v>0</v>
      </c>
      <c r="Y36" s="26">
        <f t="shared" ref="Y36" si="9">Q36</f>
        <v>163</v>
      </c>
      <c r="Z36" s="12">
        <f t="shared" si="2"/>
        <v>0</v>
      </c>
      <c r="AA36" s="4" t="s">
        <v>10</v>
      </c>
      <c r="AB36" s="11">
        <f>IFERROR(VLOOKUP(AA36,Curr!$B$2:$C$13,2,FALSE),0)</f>
        <v>11</v>
      </c>
      <c r="AC36" s="12">
        <f t="shared" si="3"/>
        <v>0</v>
      </c>
      <c r="AD36" s="12">
        <f t="shared" si="4"/>
        <v>0</v>
      </c>
      <c r="AE36" s="13">
        <f t="shared" si="5"/>
        <v>0</v>
      </c>
    </row>
    <row r="37" spans="2:31" hidden="1" x14ac:dyDescent="0.25">
      <c r="B37" s="4"/>
      <c r="E37" s="3"/>
      <c r="F37" s="3"/>
      <c r="G37" s="24"/>
      <c r="H37" s="24"/>
      <c r="K37" s="4"/>
      <c r="L37" s="4"/>
      <c r="M37" s="4"/>
      <c r="N37" s="4"/>
      <c r="O37" s="4"/>
      <c r="P37" s="33"/>
      <c r="Q37" s="25"/>
      <c r="R37" s="25"/>
      <c r="S37" s="12">
        <f t="shared" si="0"/>
        <v>0</v>
      </c>
      <c r="T37" s="5">
        <v>0</v>
      </c>
      <c r="U37" s="12">
        <f t="shared" si="6"/>
        <v>0</v>
      </c>
      <c r="V37" s="25" t="s">
        <v>10</v>
      </c>
      <c r="W37" s="11">
        <f>IFERROR(VLOOKUP(V37,Curr!$B$2:$C$13,2,FALSE),0)</f>
        <v>11</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hidden="1" x14ac:dyDescent="0.25">
      <c r="B38" s="4"/>
      <c r="E38" s="3"/>
      <c r="F38" s="3"/>
      <c r="G38" s="24"/>
      <c r="H38" s="24"/>
      <c r="K38" s="4"/>
      <c r="L38" s="4"/>
      <c r="M38" s="4"/>
      <c r="N38" s="4"/>
      <c r="O38" s="4"/>
      <c r="P38" s="27"/>
      <c r="Q38" s="25"/>
      <c r="R38" s="25"/>
      <c r="S38" s="12">
        <f t="shared" si="0"/>
        <v>0</v>
      </c>
      <c r="T38" s="5">
        <v>0</v>
      </c>
      <c r="U38" s="12">
        <f t="shared" si="6"/>
        <v>0</v>
      </c>
      <c r="V38" s="25" t="s">
        <v>10</v>
      </c>
      <c r="W38" s="11">
        <f>IFERROR(VLOOKUP(V38,Curr!$B$2:$C$13,2,FALSE),0)</f>
        <v>11</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C39" s="1" t="s">
        <v>65</v>
      </c>
      <c r="D39" s="1" t="s">
        <v>128</v>
      </c>
      <c r="E39" s="3"/>
      <c r="F39" s="3"/>
      <c r="G39" s="24"/>
      <c r="H39" s="24"/>
      <c r="J39" s="1" t="s">
        <v>191</v>
      </c>
      <c r="K39" s="4"/>
      <c r="L39" s="4"/>
      <c r="M39" s="4"/>
      <c r="N39" s="4"/>
      <c r="O39" s="4"/>
      <c r="P39" s="27"/>
      <c r="Q39" s="25">
        <v>310</v>
      </c>
      <c r="R39" s="25">
        <v>0</v>
      </c>
      <c r="S39" s="12">
        <f t="shared" si="0"/>
        <v>0</v>
      </c>
      <c r="T39" s="5">
        <v>0</v>
      </c>
      <c r="U39" s="12">
        <f t="shared" si="6"/>
        <v>0</v>
      </c>
      <c r="V39" s="25" t="s">
        <v>10</v>
      </c>
      <c r="W39" s="11">
        <f>IFERROR(VLOOKUP(V39,Curr!$B$2:$C$13,2,FALSE),0)</f>
        <v>11</v>
      </c>
      <c r="X39" s="12">
        <f t="shared" si="1"/>
        <v>0</v>
      </c>
      <c r="Y39" s="26">
        <f>Q39/0.8</f>
        <v>387.5</v>
      </c>
      <c r="Z39" s="12">
        <f t="shared" si="2"/>
        <v>0</v>
      </c>
      <c r="AA39" s="4" t="s">
        <v>10</v>
      </c>
      <c r="AB39" s="11">
        <f>IFERROR(VLOOKUP(AA39,Curr!$B$2:$C$13,2,FALSE),0)</f>
        <v>11</v>
      </c>
      <c r="AC39" s="12">
        <f t="shared" si="3"/>
        <v>0</v>
      </c>
      <c r="AD39" s="12">
        <f t="shared" si="4"/>
        <v>0</v>
      </c>
      <c r="AE39" s="13">
        <f t="shared" si="5"/>
        <v>0</v>
      </c>
    </row>
    <row r="40" spans="2:31" hidden="1" x14ac:dyDescent="0.25">
      <c r="B40" s="4"/>
      <c r="E40" s="3"/>
      <c r="F40" s="3"/>
      <c r="G40" s="24"/>
      <c r="H40" s="24"/>
      <c r="K40" s="4"/>
      <c r="L40" s="4"/>
      <c r="M40" s="4"/>
      <c r="N40" s="4"/>
      <c r="O40" s="4"/>
      <c r="P40" s="27"/>
      <c r="Q40" s="25"/>
      <c r="R40" s="25"/>
      <c r="S40" s="12">
        <f t="shared" si="0"/>
        <v>0</v>
      </c>
      <c r="T40" s="5">
        <v>0</v>
      </c>
      <c r="U40" s="12">
        <f t="shared" si="6"/>
        <v>0</v>
      </c>
      <c r="V40" s="25" t="s">
        <v>10</v>
      </c>
      <c r="W40" s="11">
        <f>IFERROR(VLOOKUP(V40,Curr!$B$2:$C$13,2,FALSE),0)</f>
        <v>11</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hidden="1" x14ac:dyDescent="0.25">
      <c r="B41" s="4"/>
      <c r="E41" s="3"/>
      <c r="F41" s="3"/>
      <c r="G41" s="24"/>
      <c r="H41" s="24"/>
      <c r="K41" s="4"/>
      <c r="L41" s="4"/>
      <c r="M41" s="4"/>
      <c r="N41" s="4"/>
      <c r="O41" s="4"/>
      <c r="P41" s="33"/>
      <c r="Q41" s="25"/>
      <c r="R41" s="25"/>
      <c r="S41" s="12">
        <f t="shared" si="0"/>
        <v>0</v>
      </c>
      <c r="T41" s="5">
        <v>0</v>
      </c>
      <c r="U41" s="12">
        <f t="shared" si="6"/>
        <v>0</v>
      </c>
      <c r="V41" s="25" t="s">
        <v>10</v>
      </c>
      <c r="W41" s="11">
        <f>IFERROR(VLOOKUP(V41,Curr!$B$2:$C$13,2,FALSE),0)</f>
        <v>11</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C42" s="1" t="s">
        <v>94</v>
      </c>
      <c r="D42" s="1" t="s">
        <v>138</v>
      </c>
      <c r="E42" s="3"/>
      <c r="F42" s="3"/>
      <c r="G42" s="24"/>
      <c r="H42" s="24"/>
      <c r="J42" s="1" t="s">
        <v>139</v>
      </c>
      <c r="K42" s="4"/>
      <c r="L42" s="4"/>
      <c r="M42" s="4"/>
      <c r="N42" s="4"/>
      <c r="O42" s="4"/>
      <c r="P42" s="27"/>
      <c r="Q42" s="25">
        <v>225</v>
      </c>
      <c r="R42" s="25">
        <v>0</v>
      </c>
      <c r="S42" s="12">
        <f t="shared" si="0"/>
        <v>0</v>
      </c>
      <c r="T42" s="5">
        <v>0</v>
      </c>
      <c r="U42" s="12">
        <f t="shared" si="6"/>
        <v>0</v>
      </c>
      <c r="V42" s="25" t="s">
        <v>10</v>
      </c>
      <c r="W42" s="11">
        <f>IFERROR(VLOOKUP(V42,Curr!$B$2:$C$13,2,FALSE),0)</f>
        <v>11</v>
      </c>
      <c r="X42" s="12">
        <f t="shared" si="1"/>
        <v>0</v>
      </c>
      <c r="Y42" s="26">
        <f>Q42/0.85</f>
        <v>264.70588235294116</v>
      </c>
      <c r="Z42" s="12">
        <f t="shared" si="2"/>
        <v>0</v>
      </c>
      <c r="AA42" s="4" t="s">
        <v>10</v>
      </c>
      <c r="AB42" s="11">
        <f>IFERROR(VLOOKUP(AA42,Curr!$B$2:$C$13,2,FALSE),0)</f>
        <v>11</v>
      </c>
      <c r="AC42" s="12">
        <f t="shared" si="3"/>
        <v>0</v>
      </c>
      <c r="AD42" s="12">
        <f t="shared" si="4"/>
        <v>0</v>
      </c>
      <c r="AE42" s="13">
        <f t="shared" si="5"/>
        <v>0</v>
      </c>
    </row>
    <row r="43" spans="2:31" hidden="1" x14ac:dyDescent="0.25">
      <c r="B43" s="4"/>
      <c r="E43" s="3"/>
      <c r="F43" s="3"/>
      <c r="G43" s="24"/>
      <c r="H43" s="24"/>
      <c r="K43" s="4"/>
      <c r="L43" s="4"/>
      <c r="M43" s="4"/>
      <c r="N43" s="4"/>
      <c r="O43" s="4"/>
      <c r="P43" s="33"/>
      <c r="Q43" s="25"/>
      <c r="R43" s="25"/>
      <c r="S43" s="12">
        <f t="shared" ref="S43:S49" si="10">+Q43*R43</f>
        <v>0</v>
      </c>
      <c r="T43" s="5">
        <v>0</v>
      </c>
      <c r="U43" s="12">
        <f t="shared" ref="U43:U49" si="11">S43*(1-T43)</f>
        <v>0</v>
      </c>
      <c r="V43" s="25" t="s">
        <v>10</v>
      </c>
      <c r="W43" s="11">
        <f>IFERROR(VLOOKUP(V43,Curr!$B$2:$C$13,2,FALSE),0)</f>
        <v>11</v>
      </c>
      <c r="X43" s="12">
        <f t="shared" ref="X43:X49" si="12">U43*W43</f>
        <v>0</v>
      </c>
      <c r="Y43" s="26">
        <f t="shared" ref="Y43:Y49" si="13">Q43</f>
        <v>0</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27"/>
      <c r="Q44" s="25"/>
      <c r="R44" s="25"/>
      <c r="S44" s="12">
        <f t="shared" si="10"/>
        <v>0</v>
      </c>
      <c r="T44" s="5">
        <v>0</v>
      </c>
      <c r="U44" s="12">
        <f t="shared" si="11"/>
        <v>0</v>
      </c>
      <c r="V44" s="25" t="s">
        <v>10</v>
      </c>
      <c r="W44" s="11">
        <f>IFERROR(VLOOKUP(V44,Curr!$B$2:$C$13,2,FALSE),0)</f>
        <v>11</v>
      </c>
      <c r="X44" s="12">
        <f t="shared" si="12"/>
        <v>0</v>
      </c>
      <c r="Y44" s="26">
        <f t="shared" si="13"/>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27"/>
      <c r="Q45" s="25"/>
      <c r="R45" s="25"/>
      <c r="S45" s="12">
        <f t="shared" si="10"/>
        <v>0</v>
      </c>
      <c r="T45" s="5">
        <v>0</v>
      </c>
      <c r="U45" s="12">
        <f t="shared" si="11"/>
        <v>0</v>
      </c>
      <c r="V45" s="25" t="s">
        <v>10</v>
      </c>
      <c r="W45" s="11">
        <f>IFERROR(VLOOKUP(V45,Curr!$B$2:$C$13,2,FALSE),0)</f>
        <v>11</v>
      </c>
      <c r="X45" s="12">
        <f t="shared" si="12"/>
        <v>0</v>
      </c>
      <c r="Y45" s="26">
        <f t="shared" si="13"/>
        <v>0</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27"/>
      <c r="Q46" s="25"/>
      <c r="R46" s="25"/>
      <c r="S46" s="12">
        <f t="shared" si="10"/>
        <v>0</v>
      </c>
      <c r="T46" s="5">
        <v>0</v>
      </c>
      <c r="U46" s="12">
        <f t="shared" si="11"/>
        <v>0</v>
      </c>
      <c r="V46" s="25" t="s">
        <v>10</v>
      </c>
      <c r="W46" s="11">
        <f>IFERROR(VLOOKUP(V46,Curr!$B$2:$C$13,2,FALSE),0)</f>
        <v>11</v>
      </c>
      <c r="X46" s="12">
        <f t="shared" si="12"/>
        <v>0</v>
      </c>
      <c r="Y46" s="26">
        <f t="shared" si="13"/>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33"/>
      <c r="Q47" s="25"/>
      <c r="R47" s="25"/>
      <c r="S47" s="12">
        <f t="shared" si="10"/>
        <v>0</v>
      </c>
      <c r="T47" s="5">
        <v>0</v>
      </c>
      <c r="U47" s="12">
        <f t="shared" si="11"/>
        <v>0</v>
      </c>
      <c r="V47" s="25" t="s">
        <v>10</v>
      </c>
      <c r="W47" s="11">
        <f>IFERROR(VLOOKUP(V47,Curr!$B$2:$C$13,2,FALSE),0)</f>
        <v>11</v>
      </c>
      <c r="X47" s="12">
        <f t="shared" si="12"/>
        <v>0</v>
      </c>
      <c r="Y47" s="26">
        <f t="shared" si="13"/>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27"/>
      <c r="Q48" s="25"/>
      <c r="R48" s="25"/>
      <c r="S48" s="12">
        <f t="shared" si="10"/>
        <v>0</v>
      </c>
      <c r="T48" s="5">
        <v>0</v>
      </c>
      <c r="U48" s="12">
        <f t="shared" si="11"/>
        <v>0</v>
      </c>
      <c r="V48" s="25" t="s">
        <v>10</v>
      </c>
      <c r="W48" s="11">
        <f>IFERROR(VLOOKUP(V48,Curr!$B$2:$C$13,2,FALSE),0)</f>
        <v>11</v>
      </c>
      <c r="X48" s="12">
        <f t="shared" si="12"/>
        <v>0</v>
      </c>
      <c r="Y48" s="26">
        <f t="shared" si="13"/>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10"/>
        <v>0</v>
      </c>
      <c r="T49" s="5">
        <v>0</v>
      </c>
      <c r="U49" s="12">
        <f t="shared" si="11"/>
        <v>0</v>
      </c>
      <c r="V49" s="25" t="s">
        <v>10</v>
      </c>
      <c r="W49" s="11">
        <f>IFERROR(VLOOKUP(V49,Curr!$B$2:$C$13,2,FALSE),0)</f>
        <v>11</v>
      </c>
      <c r="X49" s="12">
        <f t="shared" si="12"/>
        <v>0</v>
      </c>
      <c r="Y49" s="26">
        <f t="shared" si="13"/>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3339.588235294118</v>
      </c>
      <c r="AA51" s="14"/>
      <c r="AB51" s="14"/>
      <c r="AC51" s="15">
        <f>SUM(AC7:AC49)</f>
        <v>36735.470588235301</v>
      </c>
      <c r="AD51" s="15">
        <f>SUM(AD7:AD49)</f>
        <v>5759.4705882352937</v>
      </c>
      <c r="AE51" s="21">
        <f t="shared" ref="AE51" si="14">IFERROR(AD51/AC51,0)</f>
        <v>0.15678227326369926</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234</v>
      </c>
      <c r="Z53" s="34">
        <f>Z12</f>
        <v>2869</v>
      </c>
      <c r="AA53" s="9"/>
      <c r="AB53" s="9"/>
      <c r="AC53" s="9"/>
      <c r="AD53" s="9"/>
      <c r="AE53" s="9"/>
    </row>
    <row r="54" spans="2:36" x14ac:dyDescent="0.25">
      <c r="B54" s="4"/>
      <c r="E54" s="3"/>
      <c r="F54" s="3"/>
      <c r="G54" s="3"/>
      <c r="H54" s="3"/>
      <c r="L54" s="4"/>
      <c r="M54" s="4"/>
      <c r="N54" s="4"/>
      <c r="O54" s="4"/>
      <c r="Q54" s="9"/>
      <c r="R54" s="9"/>
      <c r="S54" s="9"/>
      <c r="T54" s="9"/>
      <c r="U54" s="9"/>
      <c r="V54" s="9"/>
      <c r="W54" s="9"/>
      <c r="X54" s="9"/>
      <c r="Y54" s="35" t="s">
        <v>235</v>
      </c>
      <c r="Z54" s="34">
        <f>Z9+Z22</f>
        <v>470.58823529411768</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34" t="s">
        <v>236</v>
      </c>
      <c r="Z55" s="34">
        <v>3340</v>
      </c>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34" t="s">
        <v>45</v>
      </c>
      <c r="Z56" s="34">
        <f>Z55/2</f>
        <v>1670</v>
      </c>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1"/>
      <c r="Z57" s="1"/>
      <c r="AA57" s="9"/>
      <c r="AB57" s="9"/>
      <c r="AC57" s="9"/>
      <c r="AD57" s="9"/>
      <c r="AE57" s="9"/>
      <c r="AF57" s="18"/>
    </row>
    <row r="58" spans="2:36" x14ac:dyDescent="0.25">
      <c r="F58" s="1"/>
      <c r="G58" s="1"/>
      <c r="H58" s="1"/>
      <c r="J58" s="1" t="s">
        <v>32</v>
      </c>
      <c r="Q58" s="9"/>
      <c r="R58" s="4"/>
      <c r="S58" s="9"/>
      <c r="T58" s="5"/>
      <c r="U58" s="9"/>
      <c r="V58" s="4"/>
      <c r="W58" s="4"/>
      <c r="X58" s="9"/>
      <c r="Y58" s="9" t="s">
        <v>46</v>
      </c>
      <c r="Z58" s="9">
        <f>Z55-Z59</f>
        <v>3340</v>
      </c>
      <c r="AA58" s="9"/>
      <c r="AB58" s="9"/>
      <c r="AC58" s="9"/>
      <c r="AD58" s="9"/>
      <c r="AE58" s="9"/>
    </row>
    <row r="59" spans="2:36" x14ac:dyDescent="0.25">
      <c r="R59" s="4"/>
      <c r="S59" s="17"/>
      <c r="T59" s="17"/>
      <c r="U59" s="9"/>
      <c r="V59" s="4"/>
      <c r="W59" s="4"/>
      <c r="X59" s="9"/>
      <c r="Y59" s="9" t="s">
        <v>47</v>
      </c>
      <c r="Z59" s="9">
        <v>0</v>
      </c>
      <c r="AA59" s="9"/>
      <c r="AB59" s="9"/>
      <c r="AC59" s="9"/>
      <c r="AD59" s="9"/>
      <c r="AE59" s="9"/>
    </row>
    <row r="60" spans="2:36" x14ac:dyDescent="0.25">
      <c r="Q60" s="9"/>
      <c r="R60" s="4"/>
      <c r="S60" s="16"/>
      <c r="T60" s="16"/>
      <c r="U60" s="9"/>
      <c r="V60" s="4"/>
      <c r="W60" s="4"/>
      <c r="X60" s="9"/>
      <c r="Y60" s="9"/>
      <c r="Z60" s="9"/>
      <c r="AA60" s="9"/>
      <c r="AB60" s="9"/>
      <c r="AC60" s="9"/>
      <c r="AD60" s="9"/>
      <c r="AE60" s="9"/>
    </row>
    <row r="61" spans="2:36" x14ac:dyDescent="0.25">
      <c r="R61" s="4"/>
      <c r="S61" s="16"/>
      <c r="T61" s="16"/>
      <c r="Y61" s="9" t="s">
        <v>48</v>
      </c>
      <c r="Z61" s="9">
        <f>Z55*0.3</f>
        <v>1002</v>
      </c>
      <c r="AA61" s="9"/>
      <c r="AB61" s="9"/>
      <c r="AC61" s="9"/>
      <c r="AD61" s="9"/>
      <c r="AE61" s="9"/>
    </row>
    <row r="62" spans="2:36" x14ac:dyDescent="0.25">
      <c r="T62" s="5"/>
      <c r="Y62" s="9" t="s">
        <v>49</v>
      </c>
      <c r="Z62" s="9">
        <f>Z55-Z61</f>
        <v>2338</v>
      </c>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filterColumn colId="8">
      <customFilters>
        <customFilter operator="notEqual" val=" "/>
      </customFilters>
    </filterColumn>
  </autoFilter>
  <hyperlinks>
    <hyperlink ref="P12" r:id="rId1" xr:uid="{DB30D8C4-51E2-4697-B491-5C546E03D2AF}"/>
    <hyperlink ref="P36" r:id="rId2" xr:uid="{FBB91845-44F6-476B-8711-DFA0E2635905}"/>
    <hyperlink ref="P35" r:id="rId3" xr:uid="{80011B80-FB98-4AD8-849A-4675CD2C53D1}"/>
  </hyperlinks>
  <pageMargins left="0.7" right="0.7" top="0.75" bottom="0.75" header="0.3" footer="0.3"/>
  <pageSetup paperSize="9"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1F58-2C85-4EEE-B61C-18D278B4F26C}">
  <sheetPr filterMode="1">
    <tabColor rgb="FFFFFF00"/>
  </sheetPr>
  <dimension ref="B1:AK81"/>
  <sheetViews>
    <sheetView zoomScale="80" zoomScaleNormal="80" workbookViewId="0">
      <selection activeCell="J43" sqref="J43"/>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183</v>
      </c>
    </row>
    <row r="2" spans="2:36" x14ac:dyDescent="0.25">
      <c r="B2" s="2" t="s">
        <v>207</v>
      </c>
    </row>
    <row r="3" spans="2:36" x14ac:dyDescent="0.25">
      <c r="B3" s="2" t="s">
        <v>53</v>
      </c>
    </row>
    <row r="4" spans="2:36" x14ac:dyDescent="0.25">
      <c r="B4" s="2" t="s">
        <v>266</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56" si="2">+Y7*R7</f>
        <v>0</v>
      </c>
      <c r="AA7" s="4" t="s">
        <v>10</v>
      </c>
      <c r="AB7" s="11">
        <f>IFERROR(VLOOKUP(AA7,Curr!$B$2:$C$13,2,FALSE),0)</f>
        <v>11</v>
      </c>
      <c r="AC7" s="12">
        <f t="shared" ref="AC7:AC56" si="3">+Y7*AB7*R7</f>
        <v>0</v>
      </c>
      <c r="AD7" s="12">
        <f t="shared" ref="AD7:AD56" si="4">+AC7-X7</f>
        <v>0</v>
      </c>
      <c r="AE7" s="13">
        <f t="shared" ref="AE7:AE56"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56" si="8">+Q11*R11</f>
        <v>0</v>
      </c>
      <c r="T11" s="5">
        <v>0</v>
      </c>
      <c r="U11" s="12">
        <f t="shared" ref="U11:U56" si="9">S11*(1-T11)</f>
        <v>0</v>
      </c>
      <c r="V11" s="25" t="s">
        <v>10</v>
      </c>
      <c r="W11" s="11">
        <f>IFERROR(VLOOKUP(V11,Curr!$B$2:$C$13,2,FALSE),0)</f>
        <v>11</v>
      </c>
      <c r="X11" s="12">
        <f t="shared" ref="X11:X56" si="10">U11*W11</f>
        <v>0</v>
      </c>
      <c r="Y11" s="26">
        <f t="shared" ref="Y11:Y56"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199</v>
      </c>
      <c r="K12" s="4"/>
      <c r="L12" s="4"/>
      <c r="M12" s="4"/>
      <c r="N12" s="4"/>
      <c r="O12" s="4"/>
      <c r="P12" s="33" t="s">
        <v>200</v>
      </c>
      <c r="Q12" s="25">
        <v>1970</v>
      </c>
      <c r="R12" s="25">
        <v>2</v>
      </c>
      <c r="S12" s="12">
        <f t="shared" si="8"/>
        <v>3940</v>
      </c>
      <c r="T12" s="5">
        <v>0.2</v>
      </c>
      <c r="U12" s="12">
        <f t="shared" si="9"/>
        <v>3152</v>
      </c>
      <c r="V12" s="25" t="s">
        <v>10</v>
      </c>
      <c r="W12" s="11">
        <f>IFERROR(VLOOKUP(V12,Curr!$B$2:$C$13,2,FALSE),0)</f>
        <v>11</v>
      </c>
      <c r="X12" s="12">
        <f t="shared" si="10"/>
        <v>34672</v>
      </c>
      <c r="Y12" s="26">
        <f>Q12*0.95</f>
        <v>1871.5</v>
      </c>
      <c r="Z12" s="12">
        <f t="shared" si="2"/>
        <v>3743</v>
      </c>
      <c r="AA12" s="4" t="s">
        <v>10</v>
      </c>
      <c r="AB12" s="11">
        <f>IFERROR(VLOOKUP(AA12,Curr!$B$2:$C$13,2,FALSE),0)</f>
        <v>11</v>
      </c>
      <c r="AC12" s="12">
        <f t="shared" si="3"/>
        <v>41173</v>
      </c>
      <c r="AD12" s="12">
        <f t="shared" si="4"/>
        <v>6501</v>
      </c>
      <c r="AE12" s="13">
        <f t="shared" si="5"/>
        <v>0.15789473684210525</v>
      </c>
    </row>
    <row r="13" spans="2:36" x14ac:dyDescent="0.25">
      <c r="B13" s="4"/>
      <c r="C13" s="1" t="s">
        <v>65</v>
      </c>
      <c r="D13" s="1" t="s">
        <v>120</v>
      </c>
      <c r="E13" s="3"/>
      <c r="F13" s="3"/>
      <c r="G13" s="24"/>
      <c r="H13" s="24"/>
      <c r="J13" s="1" t="s">
        <v>201</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28"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202</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203</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204</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205</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94</v>
      </c>
      <c r="D23" s="1" t="s">
        <v>120</v>
      </c>
      <c r="E23" s="3"/>
      <c r="F23" s="3"/>
      <c r="G23" s="24"/>
      <c r="H23" s="24"/>
      <c r="J23" s="1" t="s">
        <v>206</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x14ac:dyDescent="0.25">
      <c r="B24" s="4"/>
      <c r="C24" s="1" t="s">
        <v>94</v>
      </c>
      <c r="D24" s="1" t="s">
        <v>59</v>
      </c>
      <c r="E24" s="3"/>
      <c r="F24" s="3"/>
      <c r="G24" s="24"/>
      <c r="H24" s="24"/>
      <c r="J24" s="1" t="s">
        <v>146</v>
      </c>
      <c r="K24" s="4"/>
      <c r="L24" s="4"/>
      <c r="M24" s="4"/>
      <c r="N24" s="4"/>
      <c r="O24" s="4"/>
      <c r="P24" s="27"/>
      <c r="Q24" s="25">
        <v>200</v>
      </c>
      <c r="R24" s="25">
        <v>1</v>
      </c>
      <c r="S24" s="12">
        <f t="shared" si="8"/>
        <v>200</v>
      </c>
      <c r="T24" s="5">
        <v>0</v>
      </c>
      <c r="U24" s="12">
        <f t="shared" si="9"/>
        <v>200</v>
      </c>
      <c r="V24" s="25" t="s">
        <v>10</v>
      </c>
      <c r="W24" s="11">
        <f>IFERROR(VLOOKUP(V24,Curr!$B$2:$C$13,2,FALSE),0)</f>
        <v>11</v>
      </c>
      <c r="X24" s="12">
        <f t="shared" si="10"/>
        <v>2200</v>
      </c>
      <c r="Y24" s="26">
        <f>Q24/0.85</f>
        <v>235.29411764705884</v>
      </c>
      <c r="Z24" s="12">
        <f t="shared" si="2"/>
        <v>235.29411764705884</v>
      </c>
      <c r="AA24" s="4" t="s">
        <v>10</v>
      </c>
      <c r="AB24" s="11">
        <f>IFERROR(VLOOKUP(AA24,Curr!$B$2:$C$13,2,FALSE),0)</f>
        <v>11</v>
      </c>
      <c r="AC24" s="12">
        <f t="shared" si="3"/>
        <v>2588.2352941176473</v>
      </c>
      <c r="AD24" s="12">
        <f t="shared" si="4"/>
        <v>388.2352941176473</v>
      </c>
      <c r="AE24" s="13">
        <f t="shared" si="5"/>
        <v>0.15000000000000008</v>
      </c>
    </row>
    <row r="25" spans="2:31" x14ac:dyDescent="0.25">
      <c r="B25" s="4"/>
      <c r="C25" s="1" t="s">
        <v>94</v>
      </c>
      <c r="D25" s="1" t="s">
        <v>60</v>
      </c>
      <c r="E25" s="3"/>
      <c r="F25" s="3"/>
      <c r="G25" s="24"/>
      <c r="H25" s="24"/>
      <c r="J25" s="1" t="s">
        <v>118</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2"/>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v>
      </c>
      <c r="X26" s="12">
        <f t="shared" si="10"/>
        <v>0</v>
      </c>
      <c r="Y26" s="26">
        <f t="shared" si="12"/>
        <v>0</v>
      </c>
      <c r="Z26" s="12">
        <f t="shared" si="2"/>
        <v>0</v>
      </c>
      <c r="AA26" s="4" t="s">
        <v>10</v>
      </c>
      <c r="AB26" s="11">
        <f>IFERROR(VLOOKUP(AA26,Curr!$B$2:$C$13,2,FALSE),0)</f>
        <v>11</v>
      </c>
      <c r="AC26" s="12">
        <f t="shared" si="3"/>
        <v>0</v>
      </c>
      <c r="AD26" s="12">
        <f t="shared" si="4"/>
        <v>0</v>
      </c>
      <c r="AE26" s="13">
        <f t="shared" si="5"/>
        <v>0</v>
      </c>
    </row>
    <row r="27" spans="2:31" x14ac:dyDescent="0.25">
      <c r="B27" s="4"/>
      <c r="C27" s="1" t="s">
        <v>101</v>
      </c>
      <c r="D27" s="1" t="s">
        <v>117</v>
      </c>
      <c r="E27" s="3"/>
      <c r="F27" s="3"/>
      <c r="G27" s="24"/>
      <c r="H27" s="24"/>
      <c r="J27" s="1" t="s">
        <v>133</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2"/>
        <v>0</v>
      </c>
      <c r="Z27" s="12">
        <f t="shared" si="2"/>
        <v>0</v>
      </c>
      <c r="AA27" s="4" t="s">
        <v>10</v>
      </c>
      <c r="AB27" s="11">
        <f>IFERROR(VLOOKUP(AA27,Curr!$B$2:$C$13,2,FALSE),0)</f>
        <v>11</v>
      </c>
      <c r="AC27" s="12">
        <f t="shared" si="3"/>
        <v>0</v>
      </c>
      <c r="AD27" s="12">
        <f t="shared" si="4"/>
        <v>0</v>
      </c>
      <c r="AE27" s="13">
        <f t="shared" si="5"/>
        <v>0</v>
      </c>
    </row>
    <row r="28" spans="2:31" x14ac:dyDescent="0.25">
      <c r="B28" s="4"/>
      <c r="C28" s="1" t="s">
        <v>101</v>
      </c>
      <c r="D28" s="1" t="s">
        <v>78</v>
      </c>
      <c r="E28" s="3"/>
      <c r="F28" s="3"/>
      <c r="G28" s="24"/>
      <c r="H28" s="24"/>
      <c r="J28" s="1" t="s">
        <v>81</v>
      </c>
      <c r="K28" s="4"/>
      <c r="L28" s="4"/>
      <c r="M28" s="4"/>
      <c r="N28" s="4"/>
      <c r="O28" s="4"/>
      <c r="P28" s="27"/>
      <c r="Q28" s="25">
        <v>0</v>
      </c>
      <c r="R28" s="25">
        <v>0</v>
      </c>
      <c r="S28" s="12">
        <f t="shared" si="8"/>
        <v>0</v>
      </c>
      <c r="T28" s="5">
        <v>0</v>
      </c>
      <c r="U28" s="12">
        <f t="shared" si="9"/>
        <v>0</v>
      </c>
      <c r="V28" s="25" t="s">
        <v>10</v>
      </c>
      <c r="W28" s="11">
        <f>IFERROR(VLOOKUP(V28,Curr!$B$2:$C$13,2,FALSE),0)</f>
        <v>11</v>
      </c>
      <c r="X28" s="12">
        <f t="shared" si="10"/>
        <v>0</v>
      </c>
      <c r="Y28" s="26">
        <f t="shared" si="12"/>
        <v>0</v>
      </c>
      <c r="Z28" s="12">
        <f t="shared" si="2"/>
        <v>0</v>
      </c>
      <c r="AA28" s="4" t="s">
        <v>10</v>
      </c>
      <c r="AB28" s="11">
        <f>IFERROR(VLOOKUP(AA28,Curr!$B$2:$C$13,2,FALSE),0)</f>
        <v>11</v>
      </c>
      <c r="AC28" s="12">
        <f t="shared" si="3"/>
        <v>0</v>
      </c>
      <c r="AD28" s="12">
        <f t="shared" si="4"/>
        <v>0</v>
      </c>
      <c r="AE28" s="13">
        <f t="shared" si="5"/>
        <v>0</v>
      </c>
    </row>
    <row r="29" spans="2:31" hidden="1" x14ac:dyDescent="0.25">
      <c r="B29" s="4"/>
      <c r="E29" s="3"/>
      <c r="F29" s="3"/>
      <c r="G29" s="24"/>
      <c r="H29" s="24"/>
      <c r="K29" s="4"/>
      <c r="L29" s="4"/>
      <c r="M29" s="4"/>
      <c r="N29" s="4"/>
      <c r="O29" s="4"/>
      <c r="P29" s="29"/>
      <c r="Q29" s="25"/>
      <c r="R29" s="25"/>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hidden="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C31" s="1" t="s">
        <v>55</v>
      </c>
      <c r="D31" s="1" t="s">
        <v>127</v>
      </c>
      <c r="E31" s="3"/>
      <c r="F31" s="3"/>
      <c r="G31" s="24"/>
      <c r="H31" s="24"/>
      <c r="J31" s="1" t="s">
        <v>131</v>
      </c>
      <c r="K31" s="4"/>
      <c r="L31" s="4"/>
      <c r="M31" s="4"/>
      <c r="N31" s="4"/>
      <c r="O31" s="4"/>
      <c r="P31" s="27"/>
      <c r="Q31" s="25">
        <v>160</v>
      </c>
      <c r="R31" s="25">
        <v>0</v>
      </c>
      <c r="S31" s="12">
        <f t="shared" si="8"/>
        <v>0</v>
      </c>
      <c r="T31" s="5">
        <v>0.2</v>
      </c>
      <c r="U31" s="12">
        <f t="shared" si="9"/>
        <v>0</v>
      </c>
      <c r="V31" s="25" t="s">
        <v>10</v>
      </c>
      <c r="W31" s="11">
        <f>IFERROR(VLOOKUP(V31,Curr!$B$2:$C$13,2,FALSE),0)</f>
        <v>11</v>
      </c>
      <c r="X31" s="12">
        <f t="shared" si="10"/>
        <v>0</v>
      </c>
      <c r="Y31" s="26">
        <f t="shared" si="11"/>
        <v>160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127</v>
      </c>
      <c r="E32" s="3"/>
      <c r="F32" s="3"/>
      <c r="G32" s="24"/>
      <c r="H32" s="24"/>
      <c r="J32" s="1" t="s">
        <v>132</v>
      </c>
      <c r="K32" s="4"/>
      <c r="L32" s="4"/>
      <c r="M32" s="4"/>
      <c r="N32" s="4"/>
      <c r="O32" s="4"/>
      <c r="P32" s="33"/>
      <c r="Q32" s="25">
        <v>39</v>
      </c>
      <c r="R32" s="25">
        <v>0</v>
      </c>
      <c r="S32" s="12">
        <f t="shared" si="8"/>
        <v>0</v>
      </c>
      <c r="T32" s="5">
        <v>0.2</v>
      </c>
      <c r="U32" s="12">
        <f t="shared" si="9"/>
        <v>0</v>
      </c>
      <c r="V32" s="25" t="s">
        <v>10</v>
      </c>
      <c r="W32" s="11">
        <f>IFERROR(VLOOKUP(V32,Curr!$B$2:$C$13,2,FALSE),0)</f>
        <v>11</v>
      </c>
      <c r="X32" s="12">
        <f t="shared" si="10"/>
        <v>0</v>
      </c>
      <c r="Y32" s="26">
        <f t="shared" si="11"/>
        <v>39</v>
      </c>
      <c r="Z32" s="12">
        <f t="shared" si="2"/>
        <v>0</v>
      </c>
      <c r="AA32" s="4" t="s">
        <v>10</v>
      </c>
      <c r="AB32" s="11">
        <f>IFERROR(VLOOKUP(AA32,Curr!$B$2:$C$13,2,FALSE),0)</f>
        <v>11</v>
      </c>
      <c r="AC32" s="12">
        <f t="shared" si="3"/>
        <v>0</v>
      </c>
      <c r="AD32" s="12">
        <f t="shared" si="4"/>
        <v>0</v>
      </c>
      <c r="AE32" s="13">
        <f t="shared" si="5"/>
        <v>0</v>
      </c>
    </row>
    <row r="33" spans="2:31" x14ac:dyDescent="0.25">
      <c r="B33" s="4"/>
      <c r="C33" s="1" t="s">
        <v>101</v>
      </c>
      <c r="D33" s="1" t="s">
        <v>127</v>
      </c>
      <c r="E33" s="3"/>
      <c r="F33" s="3"/>
      <c r="G33" s="24"/>
      <c r="H33" s="24"/>
      <c r="J33" s="1" t="s">
        <v>134</v>
      </c>
      <c r="K33" s="4"/>
      <c r="L33" s="4"/>
      <c r="M33" s="4"/>
      <c r="N33" s="4"/>
      <c r="O33" s="4"/>
      <c r="P33" s="27"/>
      <c r="Q33" s="25">
        <v>160</v>
      </c>
      <c r="R33" s="25">
        <v>0</v>
      </c>
      <c r="S33" s="12">
        <f t="shared" si="8"/>
        <v>0</v>
      </c>
      <c r="T33" s="5">
        <v>0.2</v>
      </c>
      <c r="U33" s="12">
        <f t="shared" si="9"/>
        <v>0</v>
      </c>
      <c r="V33" s="25" t="s">
        <v>10</v>
      </c>
      <c r="W33" s="11">
        <f>IFERROR(VLOOKUP(V33,Curr!$B$2:$C$13,2,FALSE),0)</f>
        <v>11</v>
      </c>
      <c r="X33" s="12">
        <f t="shared" si="10"/>
        <v>0</v>
      </c>
      <c r="Y33" s="26">
        <f t="shared" si="11"/>
        <v>160</v>
      </c>
      <c r="Z33" s="12">
        <f t="shared" si="2"/>
        <v>0</v>
      </c>
      <c r="AA33" s="4" t="s">
        <v>10</v>
      </c>
      <c r="AB33" s="11">
        <f>IFERROR(VLOOKUP(AA33,Curr!$B$2:$C$13,2,FALSE),0)</f>
        <v>11</v>
      </c>
      <c r="AC33" s="12">
        <f t="shared" si="3"/>
        <v>0</v>
      </c>
      <c r="AD33" s="12">
        <f t="shared" si="4"/>
        <v>0</v>
      </c>
      <c r="AE33" s="13">
        <f t="shared" si="5"/>
        <v>0</v>
      </c>
    </row>
    <row r="34" spans="2:31" x14ac:dyDescent="0.25">
      <c r="B34" s="4"/>
      <c r="C34" s="1" t="s">
        <v>101</v>
      </c>
      <c r="D34" s="1" t="s">
        <v>127</v>
      </c>
      <c r="E34" s="3"/>
      <c r="F34" s="3"/>
      <c r="G34" s="24"/>
      <c r="H34" s="24"/>
      <c r="J34" s="1" t="s">
        <v>135</v>
      </c>
      <c r="K34" s="4"/>
      <c r="L34" s="4"/>
      <c r="M34" s="4"/>
      <c r="N34" s="4"/>
      <c r="O34" s="4"/>
      <c r="P34" s="33"/>
      <c r="Q34" s="25">
        <v>39</v>
      </c>
      <c r="R34" s="25">
        <v>0</v>
      </c>
      <c r="S34" s="12">
        <f t="shared" si="8"/>
        <v>0</v>
      </c>
      <c r="T34" s="5">
        <v>0.2</v>
      </c>
      <c r="U34" s="12">
        <f t="shared" si="9"/>
        <v>0</v>
      </c>
      <c r="V34" s="25" t="s">
        <v>10</v>
      </c>
      <c r="W34" s="11">
        <f>IFERROR(VLOOKUP(V34,Curr!$B$2:$C$13,2,FALSE),0)</f>
        <v>11</v>
      </c>
      <c r="X34" s="12">
        <f t="shared" si="10"/>
        <v>0</v>
      </c>
      <c r="Y34" s="26">
        <f t="shared" si="11"/>
        <v>39</v>
      </c>
      <c r="Z34" s="12">
        <f t="shared" si="2"/>
        <v>0</v>
      </c>
      <c r="AA34" s="4" t="s">
        <v>10</v>
      </c>
      <c r="AB34" s="11">
        <f>IFERROR(VLOOKUP(AA34,Curr!$B$2:$C$13,2,FALSE),0)</f>
        <v>11</v>
      </c>
      <c r="AC34" s="12">
        <f t="shared" si="3"/>
        <v>0</v>
      </c>
      <c r="AD34" s="12">
        <f t="shared" si="4"/>
        <v>0</v>
      </c>
      <c r="AE34" s="13">
        <f t="shared" si="5"/>
        <v>0</v>
      </c>
    </row>
    <row r="35" spans="2:31" hidden="1"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2"/>
        <v>0</v>
      </c>
      <c r="AA35" s="4" t="s">
        <v>10</v>
      </c>
      <c r="AB35" s="11">
        <f>IFERROR(VLOOKUP(AA35,Curr!$B$2:$C$13,2,FALSE),0)</f>
        <v>11</v>
      </c>
      <c r="AC35" s="12">
        <f t="shared" si="3"/>
        <v>0</v>
      </c>
      <c r="AD35" s="12">
        <f t="shared" si="4"/>
        <v>0</v>
      </c>
      <c r="AE35" s="13">
        <f t="shared" si="5"/>
        <v>0</v>
      </c>
    </row>
    <row r="36" spans="2:31" hidden="1"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1" x14ac:dyDescent="0.25">
      <c r="B37" s="4"/>
      <c r="C37" s="1" t="s">
        <v>55</v>
      </c>
      <c r="D37" s="1" t="s">
        <v>83</v>
      </c>
      <c r="E37" s="3"/>
      <c r="F37" s="3"/>
      <c r="G37" s="24"/>
      <c r="H37" s="24"/>
      <c r="J37" s="1" t="s">
        <v>184</v>
      </c>
      <c r="K37" s="4"/>
      <c r="L37" s="4"/>
      <c r="M37" s="4"/>
      <c r="N37" s="4"/>
      <c r="O37" s="4"/>
      <c r="P37" s="33" t="s">
        <v>243</v>
      </c>
      <c r="Q37" s="25">
        <v>37</v>
      </c>
      <c r="R37" s="25">
        <v>0</v>
      </c>
      <c r="S37" s="12">
        <f t="shared" si="8"/>
        <v>0</v>
      </c>
      <c r="T37" s="5">
        <v>0.2</v>
      </c>
      <c r="U37" s="12">
        <f t="shared" si="9"/>
        <v>0</v>
      </c>
      <c r="V37" s="25" t="s">
        <v>10</v>
      </c>
      <c r="W37" s="11">
        <f>IFERROR(VLOOKUP(V37,Curr!$B$2:$C$13,2,FALSE),0)</f>
        <v>11</v>
      </c>
      <c r="X37" s="12">
        <f t="shared" si="10"/>
        <v>0</v>
      </c>
      <c r="Y37" s="26">
        <f t="shared" si="11"/>
        <v>37</v>
      </c>
      <c r="Z37" s="12">
        <f t="shared" si="2"/>
        <v>0</v>
      </c>
      <c r="AA37" s="4" t="s">
        <v>10</v>
      </c>
      <c r="AB37" s="11">
        <f>IFERROR(VLOOKUP(AA37,Curr!$B$2:$C$13,2,FALSE),0)</f>
        <v>11</v>
      </c>
      <c r="AC37" s="12">
        <f t="shared" si="3"/>
        <v>0</v>
      </c>
      <c r="AD37" s="12">
        <f t="shared" si="4"/>
        <v>0</v>
      </c>
      <c r="AE37" s="13">
        <f t="shared" si="5"/>
        <v>0</v>
      </c>
    </row>
    <row r="38" spans="2:31" x14ac:dyDescent="0.25">
      <c r="B38" s="4"/>
      <c r="C38" s="1" t="s">
        <v>67</v>
      </c>
      <c r="D38" s="1" t="s">
        <v>83</v>
      </c>
      <c r="J38" s="1" t="s">
        <v>165</v>
      </c>
      <c r="K38" s="4"/>
      <c r="L38" s="4"/>
      <c r="M38" s="4"/>
      <c r="N38" s="4"/>
      <c r="O38" s="4"/>
      <c r="P38" s="29"/>
      <c r="Q38" s="25">
        <v>127</v>
      </c>
      <c r="R38" s="25">
        <v>0</v>
      </c>
      <c r="S38" s="12">
        <f t="shared" si="8"/>
        <v>0</v>
      </c>
      <c r="T38" s="5">
        <v>0</v>
      </c>
      <c r="U38" s="12">
        <f t="shared" si="9"/>
        <v>0</v>
      </c>
      <c r="V38" s="25" t="s">
        <v>10</v>
      </c>
      <c r="W38" s="11">
        <f>IFERROR(VLOOKUP(V38,Curr!$B$2:$C$13,2,FALSE),0)</f>
        <v>11</v>
      </c>
      <c r="X38" s="12">
        <f t="shared" si="10"/>
        <v>0</v>
      </c>
      <c r="Y38" s="26">
        <f>Q38/0.8</f>
        <v>158.75</v>
      </c>
      <c r="Z38" s="12">
        <f t="shared" si="2"/>
        <v>0</v>
      </c>
      <c r="AA38" s="4" t="s">
        <v>10</v>
      </c>
      <c r="AB38" s="11">
        <f>IFERROR(VLOOKUP(AA38,Curr!$B$2:$C$13,2,FALSE),0)</f>
        <v>11</v>
      </c>
      <c r="AC38" s="12">
        <f t="shared" si="3"/>
        <v>0</v>
      </c>
      <c r="AD38" s="12">
        <f t="shared" si="4"/>
        <v>0</v>
      </c>
      <c r="AE38" s="13">
        <f t="shared" si="5"/>
        <v>0</v>
      </c>
    </row>
    <row r="39" spans="2:31" x14ac:dyDescent="0.25">
      <c r="B39" s="4"/>
      <c r="C39" s="1" t="s">
        <v>67</v>
      </c>
      <c r="D39" s="1" t="s">
        <v>83</v>
      </c>
      <c r="E39" s="3"/>
      <c r="F39" s="3"/>
      <c r="G39" s="24"/>
      <c r="H39" s="24"/>
      <c r="J39" s="1" t="s">
        <v>164</v>
      </c>
      <c r="K39" s="4"/>
      <c r="L39" s="4"/>
      <c r="M39" s="4"/>
      <c r="N39" s="4"/>
      <c r="O39" s="4"/>
      <c r="P39" s="33"/>
      <c r="Q39" s="25">
        <v>55</v>
      </c>
      <c r="R39" s="25">
        <v>0</v>
      </c>
      <c r="S39" s="12">
        <f t="shared" si="8"/>
        <v>0</v>
      </c>
      <c r="T39" s="5">
        <v>0</v>
      </c>
      <c r="U39" s="12">
        <f t="shared" si="9"/>
        <v>0</v>
      </c>
      <c r="V39" s="25" t="s">
        <v>10</v>
      </c>
      <c r="W39" s="11">
        <f>IFERROR(VLOOKUP(V39,Curr!$B$2:$C$13,2,FALSE),0)</f>
        <v>11</v>
      </c>
      <c r="X39" s="12">
        <f t="shared" si="10"/>
        <v>0</v>
      </c>
      <c r="Y39" s="26">
        <f>Q39/0.8</f>
        <v>68.75</v>
      </c>
      <c r="Z39" s="12">
        <f t="shared" si="2"/>
        <v>0</v>
      </c>
      <c r="AA39" s="4" t="s">
        <v>10</v>
      </c>
      <c r="AB39" s="11">
        <f>IFERROR(VLOOKUP(AA39,Curr!$B$2:$C$13,2,FALSE),0)</f>
        <v>11</v>
      </c>
      <c r="AC39" s="12">
        <f t="shared" si="3"/>
        <v>0</v>
      </c>
      <c r="AD39" s="12">
        <f t="shared" si="4"/>
        <v>0</v>
      </c>
      <c r="AE39" s="13">
        <f t="shared" si="5"/>
        <v>0</v>
      </c>
    </row>
    <row r="40" spans="2:31" x14ac:dyDescent="0.25">
      <c r="B40" s="4"/>
      <c r="C40" s="1" t="s">
        <v>101</v>
      </c>
      <c r="D40" s="1" t="s">
        <v>83</v>
      </c>
      <c r="E40" s="3"/>
      <c r="F40" s="3"/>
      <c r="G40" s="24"/>
      <c r="H40" s="24"/>
      <c r="J40" s="1" t="s">
        <v>137</v>
      </c>
      <c r="K40" s="4"/>
      <c r="L40" s="4"/>
      <c r="M40" s="4"/>
      <c r="N40" s="4"/>
      <c r="O40" s="4"/>
      <c r="P40" s="33" t="s">
        <v>182</v>
      </c>
      <c r="Q40" s="25">
        <v>163</v>
      </c>
      <c r="R40" s="25">
        <v>0</v>
      </c>
      <c r="S40" s="12">
        <f t="shared" si="8"/>
        <v>0</v>
      </c>
      <c r="T40" s="5">
        <v>0.2</v>
      </c>
      <c r="U40" s="12">
        <f t="shared" si="9"/>
        <v>0</v>
      </c>
      <c r="V40" s="25" t="s">
        <v>10</v>
      </c>
      <c r="W40" s="11">
        <f>IFERROR(VLOOKUP(V40,Curr!$B$2:$C$13,2,FALSE),0)</f>
        <v>11</v>
      </c>
      <c r="X40" s="12">
        <f t="shared" si="10"/>
        <v>0</v>
      </c>
      <c r="Y40" s="26">
        <f t="shared" ref="Y40" si="13">Q40</f>
        <v>163</v>
      </c>
      <c r="Z40" s="12">
        <f t="shared" si="2"/>
        <v>0</v>
      </c>
      <c r="AA40" s="4" t="s">
        <v>10</v>
      </c>
      <c r="AB40" s="11">
        <f>IFERROR(VLOOKUP(AA40,Curr!$B$2:$C$13,2,FALSE),0)</f>
        <v>11</v>
      </c>
      <c r="AC40" s="12">
        <f t="shared" si="3"/>
        <v>0</v>
      </c>
      <c r="AD40" s="12">
        <f t="shared" si="4"/>
        <v>0</v>
      </c>
      <c r="AE40" s="13">
        <f t="shared" si="5"/>
        <v>0</v>
      </c>
    </row>
    <row r="41" spans="2:31" hidden="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hidden="1" x14ac:dyDescent="0.25">
      <c r="B42" s="4"/>
      <c r="E42" s="3"/>
      <c r="F42" s="3"/>
      <c r="G42" s="24"/>
      <c r="H42" s="24"/>
      <c r="K42" s="4"/>
      <c r="L42" s="4"/>
      <c r="M42" s="4"/>
      <c r="N42" s="4"/>
      <c r="O42" s="4"/>
      <c r="P42" s="33"/>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x14ac:dyDescent="0.25">
      <c r="B43" s="4"/>
      <c r="C43" s="1" t="s">
        <v>65</v>
      </c>
      <c r="D43" s="1" t="s">
        <v>128</v>
      </c>
      <c r="E43" s="3"/>
      <c r="F43" s="3"/>
      <c r="G43" s="24"/>
      <c r="H43" s="24"/>
      <c r="J43" s="1" t="s">
        <v>191</v>
      </c>
      <c r="K43" s="4"/>
      <c r="L43" s="4"/>
      <c r="M43" s="4"/>
      <c r="N43" s="4"/>
      <c r="O43" s="4"/>
      <c r="P43" s="27"/>
      <c r="Q43" s="25">
        <v>385</v>
      </c>
      <c r="R43" s="25">
        <v>0</v>
      </c>
      <c r="S43" s="12">
        <f t="shared" si="8"/>
        <v>0</v>
      </c>
      <c r="T43" s="5">
        <v>0</v>
      </c>
      <c r="U43" s="12">
        <f t="shared" si="9"/>
        <v>0</v>
      </c>
      <c r="V43" s="25" t="s">
        <v>10</v>
      </c>
      <c r="W43" s="11">
        <f>IFERROR(VLOOKUP(V43,Curr!$B$2:$C$13,2,FALSE),0)</f>
        <v>11</v>
      </c>
      <c r="X43" s="12">
        <f t="shared" si="10"/>
        <v>0</v>
      </c>
      <c r="Y43" s="26">
        <f>Q43/0.8</f>
        <v>481.25</v>
      </c>
      <c r="Z43" s="12">
        <f t="shared" si="2"/>
        <v>0</v>
      </c>
      <c r="AA43" s="4" t="s">
        <v>10</v>
      </c>
      <c r="AB43" s="11">
        <f>IFERROR(VLOOKUP(AA43,Curr!$B$2:$C$13,2,FALSE),0)</f>
        <v>11</v>
      </c>
      <c r="AC43" s="12">
        <f t="shared" si="3"/>
        <v>0</v>
      </c>
      <c r="AD43" s="12">
        <f t="shared" si="4"/>
        <v>0</v>
      </c>
      <c r="AE43" s="13">
        <f t="shared" si="5"/>
        <v>0</v>
      </c>
    </row>
    <row r="44" spans="2:31" hidden="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ref="Y44:Y45" si="14">Q44</f>
        <v>0</v>
      </c>
      <c r="Z44" s="12">
        <f t="shared" si="2"/>
        <v>0</v>
      </c>
      <c r="AA44" s="4" t="s">
        <v>10</v>
      </c>
      <c r="AB44" s="11">
        <f>IFERROR(VLOOKUP(AA44,Curr!$B$2:$C$13,2,FALSE),0)</f>
        <v>11</v>
      </c>
      <c r="AC44" s="12">
        <f t="shared" si="3"/>
        <v>0</v>
      </c>
      <c r="AD44" s="12">
        <f t="shared" si="4"/>
        <v>0</v>
      </c>
      <c r="AE44" s="13">
        <f t="shared" si="5"/>
        <v>0</v>
      </c>
    </row>
    <row r="45" spans="2:31" hidden="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4"/>
        <v>0</v>
      </c>
      <c r="Z45" s="12">
        <f t="shared" si="2"/>
        <v>0</v>
      </c>
      <c r="AA45" s="4" t="s">
        <v>10</v>
      </c>
      <c r="AB45" s="11">
        <f>IFERROR(VLOOKUP(AA45,Curr!$B$2:$C$13,2,FALSE),0)</f>
        <v>11</v>
      </c>
      <c r="AC45" s="12">
        <f t="shared" si="3"/>
        <v>0</v>
      </c>
      <c r="AD45" s="12">
        <f t="shared" si="4"/>
        <v>0</v>
      </c>
      <c r="AE45" s="13">
        <f t="shared" si="5"/>
        <v>0</v>
      </c>
    </row>
    <row r="46" spans="2:31" x14ac:dyDescent="0.25">
      <c r="B46" s="4"/>
      <c r="C46" s="1" t="s">
        <v>101</v>
      </c>
      <c r="D46" s="1" t="s">
        <v>138</v>
      </c>
      <c r="E46" s="3"/>
      <c r="F46" s="3"/>
      <c r="G46" s="24"/>
      <c r="H46" s="24"/>
      <c r="J46" s="1" t="s">
        <v>139</v>
      </c>
      <c r="K46" s="4"/>
      <c r="L46" s="4"/>
      <c r="M46" s="4"/>
      <c r="N46" s="4"/>
      <c r="O46" s="4"/>
      <c r="P46" s="27"/>
      <c r="Q46" s="25">
        <v>225</v>
      </c>
      <c r="R46" s="25">
        <v>0</v>
      </c>
      <c r="S46" s="12">
        <f t="shared" si="8"/>
        <v>0</v>
      </c>
      <c r="T46" s="5">
        <v>0</v>
      </c>
      <c r="U46" s="12">
        <f t="shared" si="9"/>
        <v>0</v>
      </c>
      <c r="V46" s="25" t="s">
        <v>10</v>
      </c>
      <c r="W46" s="11">
        <f>IFERROR(VLOOKUP(V46,Curr!$B$2:$C$13,2,FALSE),0)</f>
        <v>11</v>
      </c>
      <c r="X46" s="12">
        <f t="shared" si="10"/>
        <v>0</v>
      </c>
      <c r="Y46" s="26">
        <f>Q46/0.85</f>
        <v>264.70588235294116</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hidden="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hidden="1"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hidden="1"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hidden="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hidden="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hidden="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hidden="1"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v>
      </c>
      <c r="X56" s="12">
        <f t="shared" si="10"/>
        <v>0</v>
      </c>
      <c r="Y56" s="26">
        <f t="shared" si="11"/>
        <v>0</v>
      </c>
      <c r="Z56" s="12">
        <f t="shared" si="2"/>
        <v>0</v>
      </c>
      <c r="AA56" s="4" t="s">
        <v>10</v>
      </c>
      <c r="AB56" s="11">
        <f>IFERROR(VLOOKUP(AA56,Curr!$B$2:$C$13,2,FALSE),0)</f>
        <v>11</v>
      </c>
      <c r="AC56" s="12">
        <f t="shared" si="3"/>
        <v>0</v>
      </c>
      <c r="AD56" s="12">
        <f t="shared" si="4"/>
        <v>0</v>
      </c>
      <c r="AE56" s="13">
        <f t="shared" si="5"/>
        <v>0</v>
      </c>
    </row>
    <row r="57" spans="2:36" hidden="1" x14ac:dyDescent="0.25">
      <c r="B57" s="4"/>
      <c r="E57" s="3"/>
      <c r="F57" s="3"/>
      <c r="G57" s="3"/>
      <c r="H57" s="3"/>
      <c r="L57" s="4"/>
      <c r="M57" s="4"/>
      <c r="N57" s="4"/>
      <c r="O57" s="4"/>
      <c r="P57" s="22"/>
      <c r="Q57" s="4"/>
      <c r="R57" s="4"/>
      <c r="S57" s="4"/>
      <c r="T57" s="4"/>
      <c r="U57" s="4"/>
      <c r="V57" s="4"/>
      <c r="W57" s="4"/>
      <c r="X57" s="4"/>
      <c r="Y57" s="4"/>
      <c r="Z57" s="4"/>
      <c r="AA57" s="4"/>
      <c r="AB57" s="4"/>
      <c r="AC57" s="4"/>
      <c r="AD57" s="4"/>
      <c r="AE57" s="4"/>
      <c r="AF57" s="4"/>
    </row>
    <row r="58" spans="2:36" x14ac:dyDescent="0.25">
      <c r="B58" s="14" t="s">
        <v>18</v>
      </c>
      <c r="C58" s="14"/>
      <c r="D58" s="28" t="s">
        <v>42</v>
      </c>
      <c r="E58" s="30" t="s">
        <v>42</v>
      </c>
      <c r="F58" s="30" t="s">
        <v>42</v>
      </c>
      <c r="G58" s="30" t="s">
        <v>42</v>
      </c>
      <c r="H58" s="30" t="s">
        <v>42</v>
      </c>
      <c r="I58" s="28" t="s">
        <v>42</v>
      </c>
      <c r="J58" s="28" t="s">
        <v>42</v>
      </c>
      <c r="K58" s="28" t="s">
        <v>42</v>
      </c>
      <c r="L58" s="28" t="s">
        <v>42</v>
      </c>
      <c r="M58" s="28" t="s">
        <v>42</v>
      </c>
      <c r="N58" s="28" t="s">
        <v>42</v>
      </c>
      <c r="O58" s="28" t="s">
        <v>42</v>
      </c>
      <c r="P58" s="28" t="s">
        <v>42</v>
      </c>
      <c r="Q58" s="31" t="s">
        <v>42</v>
      </c>
      <c r="R58" s="28" t="s">
        <v>42</v>
      </c>
      <c r="S58" s="32" t="s">
        <v>42</v>
      </c>
      <c r="T58" s="28" t="s">
        <v>42</v>
      </c>
      <c r="U58" s="32" t="s">
        <v>42</v>
      </c>
      <c r="V58" s="28" t="s">
        <v>42</v>
      </c>
      <c r="W58" s="28" t="s">
        <v>42</v>
      </c>
      <c r="X58" s="32" t="s">
        <v>42</v>
      </c>
      <c r="Y58" s="32" t="s">
        <v>42</v>
      </c>
      <c r="Z58" s="15">
        <f>SUM(Z7:Z56)</f>
        <v>4213.588235294118</v>
      </c>
      <c r="AA58" s="14"/>
      <c r="AB58" s="14"/>
      <c r="AC58" s="15">
        <f>SUM(AC7:AC56)</f>
        <v>46349.470588235301</v>
      </c>
      <c r="AD58" s="15">
        <f>SUM(AD7:AD56)</f>
        <v>7277.4705882352937</v>
      </c>
      <c r="AE58" s="21">
        <f t="shared" ref="AE58" si="15">IFERROR(AD58/AC58,0)</f>
        <v>0.15701302508690368</v>
      </c>
      <c r="AF58" s="15">
        <f>SUM(AF8:AF57)</f>
        <v>0</v>
      </c>
      <c r="AG58" s="15">
        <f>SUM(AG8:AG57)</f>
        <v>0</v>
      </c>
      <c r="AH58" s="15">
        <f>SUM(AH8:AH57)</f>
        <v>0</v>
      </c>
      <c r="AI58" s="15">
        <f>SUM(AI8:AI57)</f>
        <v>0</v>
      </c>
      <c r="AJ58" s="15">
        <f>SUM(AJ8:AJ57)</f>
        <v>0</v>
      </c>
    </row>
    <row r="59" spans="2:36" x14ac:dyDescent="0.25">
      <c r="B59" s="4"/>
      <c r="E59" s="3"/>
      <c r="F59" s="3"/>
      <c r="G59" s="3"/>
      <c r="H59" s="3"/>
      <c r="L59" s="4"/>
      <c r="M59" s="4"/>
      <c r="N59" s="4"/>
      <c r="O59" s="4"/>
      <c r="Q59" s="4"/>
      <c r="R59" s="4"/>
      <c r="S59" s="4"/>
      <c r="T59" s="4"/>
      <c r="U59" s="4"/>
      <c r="V59" s="4"/>
      <c r="W59" s="4"/>
      <c r="X59" s="4"/>
      <c r="Y59" s="9"/>
      <c r="Z59" s="9"/>
      <c r="AA59" s="9"/>
      <c r="AB59" s="9"/>
      <c r="AC59" s="9"/>
      <c r="AD59" s="9"/>
      <c r="AE59" s="9"/>
    </row>
    <row r="60" spans="2:36" x14ac:dyDescent="0.25">
      <c r="B60" s="4"/>
      <c r="E60" s="3"/>
      <c r="F60" s="3"/>
      <c r="G60" s="3"/>
      <c r="H60" s="3"/>
      <c r="L60" s="4"/>
      <c r="M60" s="4"/>
      <c r="N60" s="4"/>
      <c r="O60" s="4"/>
      <c r="Q60" s="9"/>
      <c r="R60" s="9"/>
      <c r="S60" s="9"/>
      <c r="T60" s="9"/>
      <c r="U60" s="9"/>
      <c r="V60" s="9"/>
      <c r="W60" s="9"/>
      <c r="X60" s="23"/>
      <c r="Y60" s="34" t="s">
        <v>234</v>
      </c>
      <c r="Z60" s="34">
        <f>Z12</f>
        <v>3743</v>
      </c>
      <c r="AA60" s="9"/>
      <c r="AB60" s="9"/>
      <c r="AC60" s="9"/>
      <c r="AD60" s="9"/>
      <c r="AE60" s="9"/>
    </row>
    <row r="61" spans="2:36" x14ac:dyDescent="0.25">
      <c r="B61" s="4"/>
      <c r="E61" s="3"/>
      <c r="F61" s="3"/>
      <c r="G61" s="3"/>
      <c r="H61" s="3"/>
      <c r="L61" s="4"/>
      <c r="M61" s="4"/>
      <c r="N61" s="4"/>
      <c r="O61" s="4"/>
      <c r="Q61" s="9"/>
      <c r="R61" s="9"/>
      <c r="S61" s="9"/>
      <c r="T61" s="9"/>
      <c r="U61" s="9"/>
      <c r="V61" s="9"/>
      <c r="W61" s="9"/>
      <c r="X61" s="9"/>
      <c r="Y61" s="35" t="s">
        <v>235</v>
      </c>
      <c r="Z61" s="34">
        <f>Z9+Z24</f>
        <v>470.58823529411768</v>
      </c>
      <c r="AA61" s="9"/>
      <c r="AB61" s="9"/>
      <c r="AC61" s="9"/>
      <c r="AD61" s="9"/>
      <c r="AE61" s="9"/>
      <c r="AF61" s="18"/>
    </row>
    <row r="62" spans="2:36" x14ac:dyDescent="0.25">
      <c r="B62" s="4"/>
      <c r="E62" s="3"/>
      <c r="F62" s="3"/>
      <c r="G62" s="3"/>
      <c r="H62" s="3"/>
      <c r="I62" s="19"/>
      <c r="L62" s="4"/>
      <c r="M62" s="4"/>
      <c r="N62" s="4"/>
      <c r="O62" s="20"/>
      <c r="Q62" s="20"/>
      <c r="R62" s="20"/>
      <c r="S62" s="20"/>
      <c r="T62" s="20"/>
      <c r="U62" s="20"/>
      <c r="V62" s="20"/>
      <c r="W62" s="20"/>
      <c r="X62" s="20"/>
      <c r="Y62" s="34" t="s">
        <v>236</v>
      </c>
      <c r="Z62" s="34">
        <v>4220</v>
      </c>
      <c r="AA62" s="9"/>
      <c r="AB62" s="9"/>
      <c r="AC62" s="9"/>
      <c r="AD62" s="9"/>
      <c r="AE62" s="9"/>
      <c r="AF62" s="18"/>
    </row>
    <row r="63" spans="2:36" x14ac:dyDescent="0.25">
      <c r="B63" s="4"/>
      <c r="E63" s="3"/>
      <c r="F63" s="3"/>
      <c r="G63" s="3"/>
      <c r="H63" s="3"/>
      <c r="L63" s="4"/>
      <c r="M63" s="4"/>
      <c r="N63" s="4"/>
      <c r="O63" s="20"/>
      <c r="Q63" s="20"/>
      <c r="R63" s="20"/>
      <c r="S63" s="20"/>
      <c r="T63" s="20"/>
      <c r="U63" s="20"/>
      <c r="V63" s="20"/>
      <c r="W63" s="20"/>
      <c r="X63" s="20"/>
      <c r="Y63" s="34" t="s">
        <v>45</v>
      </c>
      <c r="Z63" s="34">
        <f>Z62/2</f>
        <v>2110</v>
      </c>
      <c r="AA63" s="9"/>
      <c r="AB63" s="9"/>
      <c r="AC63" s="9"/>
      <c r="AD63" s="9"/>
      <c r="AE63" s="9"/>
      <c r="AF63" s="18"/>
    </row>
    <row r="64" spans="2:36" x14ac:dyDescent="0.25">
      <c r="B64" s="4"/>
      <c r="E64" s="3"/>
      <c r="F64" s="3"/>
      <c r="G64" s="3"/>
      <c r="H64" s="3"/>
      <c r="L64" s="4"/>
      <c r="M64" s="4"/>
      <c r="N64" s="4"/>
      <c r="O64" s="4"/>
      <c r="Q64" s="9"/>
      <c r="R64" s="9"/>
      <c r="S64" s="9"/>
      <c r="T64" s="9"/>
      <c r="U64" s="9"/>
      <c r="V64" s="9"/>
      <c r="W64" s="9"/>
      <c r="X64" s="9"/>
      <c r="Y64" s="1"/>
      <c r="Z64" s="1"/>
      <c r="AA64" s="9"/>
      <c r="AB64" s="9"/>
      <c r="AC64" s="9"/>
      <c r="AD64" s="9"/>
      <c r="AE64" s="9"/>
      <c r="AF64" s="18"/>
    </row>
    <row r="65" spans="6:31" x14ac:dyDescent="0.25">
      <c r="F65" s="1"/>
      <c r="G65" s="1"/>
      <c r="H65" s="1"/>
      <c r="J65" s="1" t="s">
        <v>32</v>
      </c>
      <c r="Q65" s="9"/>
      <c r="R65" s="4"/>
      <c r="S65" s="9"/>
      <c r="T65" s="5"/>
      <c r="U65" s="9"/>
      <c r="V65" s="4"/>
      <c r="W65" s="4"/>
      <c r="X65" s="9"/>
      <c r="Y65" s="9" t="s">
        <v>46</v>
      </c>
      <c r="Z65" s="9">
        <f>Z62-Z66</f>
        <v>4220</v>
      </c>
      <c r="AA65" s="9"/>
      <c r="AB65" s="9"/>
      <c r="AC65" s="9"/>
      <c r="AD65" s="9"/>
      <c r="AE65" s="9"/>
    </row>
    <row r="66" spans="6:31" x14ac:dyDescent="0.25">
      <c r="R66" s="4"/>
      <c r="S66" s="17"/>
      <c r="T66" s="17"/>
      <c r="U66" s="9"/>
      <c r="V66" s="4"/>
      <c r="W66" s="4"/>
      <c r="X66" s="9"/>
      <c r="Y66" s="9" t="s">
        <v>47</v>
      </c>
      <c r="Z66" s="9">
        <v>0</v>
      </c>
      <c r="AA66" s="9"/>
      <c r="AB66" s="9"/>
      <c r="AC66" s="9"/>
      <c r="AD66" s="9"/>
      <c r="AE66" s="9"/>
    </row>
    <row r="67" spans="6:31" x14ac:dyDescent="0.25">
      <c r="Q67" s="9"/>
      <c r="R67" s="4"/>
      <c r="S67" s="16"/>
      <c r="T67" s="16"/>
      <c r="U67" s="9"/>
      <c r="V67" s="4"/>
      <c r="W67" s="4"/>
      <c r="X67" s="9"/>
      <c r="Y67" s="9"/>
      <c r="Z67" s="9"/>
      <c r="AA67" s="9"/>
      <c r="AB67" s="9"/>
      <c r="AC67" s="9"/>
      <c r="AD67" s="9"/>
      <c r="AE67" s="9"/>
    </row>
    <row r="68" spans="6:31" x14ac:dyDescent="0.25">
      <c r="R68" s="4"/>
      <c r="S68" s="16"/>
      <c r="T68" s="16"/>
      <c r="Y68" s="9" t="s">
        <v>48</v>
      </c>
      <c r="Z68" s="9">
        <f>Z62*0.3</f>
        <v>1266</v>
      </c>
      <c r="AA68" s="9"/>
      <c r="AB68" s="9"/>
      <c r="AC68" s="9"/>
      <c r="AD68" s="9"/>
      <c r="AE68" s="9"/>
    </row>
    <row r="69" spans="6:31" x14ac:dyDescent="0.25">
      <c r="T69" s="5"/>
      <c r="Y69" s="9" t="s">
        <v>49</v>
      </c>
      <c r="Z69" s="9">
        <f>Z62-Z68</f>
        <v>2954</v>
      </c>
      <c r="AA69" s="9"/>
      <c r="AB69" s="9"/>
      <c r="AC69" s="9"/>
      <c r="AD69" s="9"/>
      <c r="AE69" s="9"/>
    </row>
    <row r="70" spans="6:31" x14ac:dyDescent="0.25">
      <c r="T70" s="5"/>
      <c r="Y70" s="9"/>
      <c r="Z70" s="9"/>
      <c r="AA70" s="9"/>
      <c r="AB70" s="9"/>
      <c r="AC70" s="9"/>
      <c r="AD70" s="9"/>
      <c r="AE70" s="9"/>
    </row>
    <row r="71" spans="6:31" x14ac:dyDescent="0.25">
      <c r="T71" s="5"/>
      <c r="Y71" s="9"/>
      <c r="Z71" s="9"/>
      <c r="AA71" s="9"/>
      <c r="AB71" s="9"/>
      <c r="AC71" s="9"/>
      <c r="AD71" s="9"/>
      <c r="AE71" s="9"/>
    </row>
    <row r="72" spans="6:31" x14ac:dyDescent="0.25">
      <c r="T72" s="5"/>
      <c r="Y72" s="9"/>
      <c r="Z72" s="9"/>
      <c r="AA72" s="9"/>
      <c r="AB72" s="9"/>
      <c r="AC72" s="9"/>
      <c r="AD72" s="9"/>
      <c r="AE72" s="9"/>
    </row>
    <row r="73" spans="6:31" x14ac:dyDescent="0.25">
      <c r="T73" s="5"/>
      <c r="Y73" s="9"/>
      <c r="Z73" s="9"/>
      <c r="AA73" s="9"/>
      <c r="AB73" s="9"/>
      <c r="AC73" s="9"/>
      <c r="AD73" s="9"/>
      <c r="AE73" s="9"/>
    </row>
    <row r="74" spans="6:31" x14ac:dyDescent="0.25">
      <c r="T74" s="5"/>
      <c r="Y74" s="9"/>
      <c r="Z74" s="9"/>
      <c r="AA74" s="9"/>
      <c r="AB74" s="9"/>
      <c r="AC74" s="9"/>
      <c r="AD74" s="9"/>
      <c r="AE74" s="9"/>
    </row>
    <row r="75" spans="6:31" x14ac:dyDescent="0.25">
      <c r="T75" s="5"/>
      <c r="Y75" s="9"/>
      <c r="Z75" s="9"/>
      <c r="AA75" s="9"/>
      <c r="AB75" s="9"/>
      <c r="AC75" s="9"/>
      <c r="AD75" s="9"/>
      <c r="AE75" s="9"/>
    </row>
    <row r="76" spans="6:31" x14ac:dyDescent="0.25">
      <c r="T76" s="5"/>
      <c r="Y76" s="9"/>
      <c r="Z76" s="9"/>
      <c r="AA76" s="9"/>
      <c r="AB76" s="9"/>
      <c r="AC76" s="9"/>
      <c r="AD76" s="9"/>
      <c r="AE76" s="9"/>
    </row>
    <row r="77" spans="6:31" x14ac:dyDescent="0.25">
      <c r="T77" s="5"/>
    </row>
    <row r="78" spans="6:31" x14ac:dyDescent="0.25">
      <c r="T78" s="5"/>
    </row>
    <row r="79" spans="6:31" x14ac:dyDescent="0.25">
      <c r="T79" s="5"/>
    </row>
    <row r="80" spans="6:31" x14ac:dyDescent="0.25">
      <c r="T80" s="5"/>
    </row>
    <row r="81" spans="20:20" x14ac:dyDescent="0.25">
      <c r="T81" s="5"/>
    </row>
  </sheetData>
  <autoFilter ref="B6:AE58" xr:uid="{65FA6D9B-E0AF-46CD-BA0D-86BB75FE6AB0}">
    <filterColumn colId="8">
      <customFilters>
        <customFilter operator="notEqual" val=" "/>
      </customFilters>
    </filterColumn>
  </autoFilter>
  <hyperlinks>
    <hyperlink ref="P12" r:id="rId1" xr:uid="{C4640E67-7575-4588-9CE1-68DD3C21E87D}"/>
    <hyperlink ref="P40" r:id="rId2" xr:uid="{A898D525-03D5-4771-AAB9-2FBE311EDF11}"/>
    <hyperlink ref="P37" r:id="rId3" xr:uid="{7F259E31-78B4-42FA-A3AB-AE57E616A7B4}"/>
  </hyperlinks>
  <pageMargins left="0.7" right="0.7" top="0.75" bottom="0.75" header="0.3" footer="0.3"/>
  <pageSetup paperSize="9"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C0A3-BBEE-4124-A0E3-882B4BA95AC5}">
  <sheetPr filterMode="1">
    <tabColor rgb="FFFFFF00"/>
  </sheetPr>
  <dimension ref="B1:AK85"/>
  <sheetViews>
    <sheetView tabSelected="1" zoomScale="80" zoomScaleNormal="80" workbookViewId="0">
      <selection activeCell="P12" sqref="P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183</v>
      </c>
    </row>
    <row r="2" spans="2:36" x14ac:dyDescent="0.25">
      <c r="B2" s="2" t="s">
        <v>215</v>
      </c>
    </row>
    <row r="3" spans="2:36" x14ac:dyDescent="0.25">
      <c r="B3" s="2" t="s">
        <v>53</v>
      </c>
    </row>
    <row r="4" spans="2:36" x14ac:dyDescent="0.25">
      <c r="B4" s="2" t="s">
        <v>265</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1"/>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60" si="2">+Y7*R7</f>
        <v>0</v>
      </c>
      <c r="AA7" s="4" t="s">
        <v>10</v>
      </c>
      <c r="AB7" s="11">
        <f>IFERROR(VLOOKUP(AA7,Curr!$B$2:$C$13,2,FALSE),0)</f>
        <v>11</v>
      </c>
      <c r="AC7" s="12">
        <f t="shared" ref="AC7:AC60" si="3">+Y7*AB7*R7</f>
        <v>0</v>
      </c>
      <c r="AD7" s="12">
        <f t="shared" ref="AD7:AD60" si="4">+AC7-X7</f>
        <v>0</v>
      </c>
      <c r="AE7" s="13">
        <f t="shared" ref="AE7:AE60" si="5">IFERROR(AD7/AC7,0)</f>
        <v>0</v>
      </c>
    </row>
    <row r="8" spans="2:36" x14ac:dyDescent="0.25">
      <c r="B8" s="4"/>
      <c r="C8" s="1" t="s">
        <v>55</v>
      </c>
      <c r="D8" s="1" t="s">
        <v>117</v>
      </c>
      <c r="E8" s="1"/>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1"/>
      <c r="F9" s="1"/>
      <c r="G9" s="24"/>
      <c r="H9" s="24"/>
      <c r="J9" s="1" t="s">
        <v>146</v>
      </c>
      <c r="K9" s="4"/>
      <c r="L9" s="4"/>
      <c r="M9" s="4"/>
      <c r="N9" s="4"/>
      <c r="O9" s="4"/>
      <c r="P9" s="27"/>
      <c r="Q9" s="25">
        <v>200</v>
      </c>
      <c r="R9" s="25">
        <v>1</v>
      </c>
      <c r="S9" s="12">
        <f t="shared" si="0"/>
        <v>200</v>
      </c>
      <c r="T9" s="5">
        <v>0</v>
      </c>
      <c r="U9" s="12">
        <f t="shared" si="6"/>
        <v>200</v>
      </c>
      <c r="V9" s="25" t="s">
        <v>10</v>
      </c>
      <c r="W9" s="11">
        <f>IFERROR(VLOOKUP(V9,Curr!$B$2:$C$13,2,FALSE),0)</f>
        <v>11</v>
      </c>
      <c r="X9" s="12">
        <f t="shared" si="1"/>
        <v>2200</v>
      </c>
      <c r="Y9" s="26">
        <f>Q9/0.85</f>
        <v>235.29411764705884</v>
      </c>
      <c r="Z9" s="12">
        <f t="shared" si="2"/>
        <v>235.29411764705884</v>
      </c>
      <c r="AA9" s="4" t="s">
        <v>10</v>
      </c>
      <c r="AB9" s="11">
        <f>IFERROR(VLOOKUP(AA9,Curr!$B$2:$C$13,2,FALSE),0)</f>
        <v>11</v>
      </c>
      <c r="AC9" s="12">
        <f t="shared" si="3"/>
        <v>2588.2352941176473</v>
      </c>
      <c r="AD9" s="12">
        <f t="shared" si="4"/>
        <v>388.2352941176473</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hidden="1" x14ac:dyDescent="0.25">
      <c r="B11" s="4"/>
      <c r="E11" s="3"/>
      <c r="F11" s="3"/>
      <c r="G11" s="24"/>
      <c r="H11" s="24"/>
      <c r="K11" s="4"/>
      <c r="L11" s="4"/>
      <c r="M11" s="4"/>
      <c r="N11" s="4"/>
      <c r="O11" s="4"/>
      <c r="P11" s="27"/>
      <c r="Q11" s="25"/>
      <c r="R11" s="25"/>
      <c r="S11" s="12">
        <f t="shared" ref="S11:S60" si="8">+Q11*R11</f>
        <v>0</v>
      </c>
      <c r="T11" s="5">
        <v>0</v>
      </c>
      <c r="U11" s="12">
        <f t="shared" ref="U11:U60" si="9">S11*(1-T11)</f>
        <v>0</v>
      </c>
      <c r="V11" s="25" t="s">
        <v>10</v>
      </c>
      <c r="W11" s="11">
        <f>IFERROR(VLOOKUP(V11,Curr!$B$2:$C$13,2,FALSE),0)</f>
        <v>11</v>
      </c>
      <c r="X11" s="12">
        <f t="shared" ref="X11:X60" si="10">U11*W11</f>
        <v>0</v>
      </c>
      <c r="Y11" s="26">
        <f t="shared" ref="Y11:Y60"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208</v>
      </c>
      <c r="K12" s="4"/>
      <c r="L12" s="4"/>
      <c r="M12" s="4"/>
      <c r="N12" s="4"/>
      <c r="O12" s="4"/>
      <c r="P12" s="33" t="s">
        <v>209</v>
      </c>
      <c r="Q12" s="25">
        <v>2320</v>
      </c>
      <c r="R12" s="25">
        <v>2</v>
      </c>
      <c r="S12" s="12">
        <f t="shared" si="8"/>
        <v>4640</v>
      </c>
      <c r="T12" s="5">
        <v>0.2</v>
      </c>
      <c r="U12" s="12">
        <f t="shared" si="9"/>
        <v>3712</v>
      </c>
      <c r="V12" s="25" t="s">
        <v>10</v>
      </c>
      <c r="W12" s="11">
        <f>IFERROR(VLOOKUP(V12,Curr!$B$2:$C$13,2,FALSE),0)</f>
        <v>11</v>
      </c>
      <c r="X12" s="12">
        <f t="shared" si="10"/>
        <v>40832</v>
      </c>
      <c r="Y12" s="26">
        <f>Q12*0.95</f>
        <v>2204</v>
      </c>
      <c r="Z12" s="12">
        <f t="shared" si="2"/>
        <v>4408</v>
      </c>
      <c r="AA12" s="4" t="s">
        <v>10</v>
      </c>
      <c r="AB12" s="11">
        <f>IFERROR(VLOOKUP(AA12,Curr!$B$2:$C$13,2,FALSE),0)</f>
        <v>11</v>
      </c>
      <c r="AC12" s="12">
        <f t="shared" si="3"/>
        <v>48488</v>
      </c>
      <c r="AD12" s="12">
        <f t="shared" si="4"/>
        <v>7656</v>
      </c>
      <c r="AE12" s="13">
        <f t="shared" si="5"/>
        <v>0.15789473684210525</v>
      </c>
    </row>
    <row r="13" spans="2:36" x14ac:dyDescent="0.25">
      <c r="B13" s="4"/>
      <c r="C13" s="1" t="s">
        <v>65</v>
      </c>
      <c r="D13" s="1" t="s">
        <v>120</v>
      </c>
      <c r="E13" s="3"/>
      <c r="F13" s="3"/>
      <c r="G13" s="24"/>
      <c r="H13" s="24"/>
      <c r="J13" s="1" t="s">
        <v>210</v>
      </c>
      <c r="K13" s="4"/>
      <c r="L13" s="4"/>
      <c r="M13" s="4"/>
      <c r="N13" s="4"/>
      <c r="O13" s="4"/>
      <c r="P13" s="29"/>
      <c r="Q13" s="25">
        <v>0</v>
      </c>
      <c r="R13" s="25">
        <v>0</v>
      </c>
      <c r="S13" s="12">
        <f t="shared" si="8"/>
        <v>0</v>
      </c>
      <c r="T13" s="5">
        <v>0</v>
      </c>
      <c r="U13" s="12">
        <f t="shared" si="9"/>
        <v>0</v>
      </c>
      <c r="V13" s="25" t="s">
        <v>10</v>
      </c>
      <c r="W13" s="11">
        <f>IFERROR(VLOOKUP(V13,Curr!$B$2:$C$13,2,FALSE),0)</f>
        <v>11</v>
      </c>
      <c r="X13" s="12">
        <f t="shared" si="10"/>
        <v>0</v>
      </c>
      <c r="Y13" s="26">
        <f t="shared" ref="Y13:Y33" si="12">Q13</f>
        <v>0</v>
      </c>
      <c r="Z13" s="12">
        <f t="shared" si="2"/>
        <v>0</v>
      </c>
      <c r="AA13" s="4" t="s">
        <v>10</v>
      </c>
      <c r="AB13" s="11">
        <f>IFERROR(VLOOKUP(AA13,Curr!$B$2:$C$13,2,FALSE),0)</f>
        <v>11</v>
      </c>
      <c r="AC13" s="12">
        <f t="shared" si="3"/>
        <v>0</v>
      </c>
      <c r="AD13" s="12">
        <f t="shared" si="4"/>
        <v>0</v>
      </c>
      <c r="AE13" s="13">
        <f t="shared" si="5"/>
        <v>0</v>
      </c>
    </row>
    <row r="14" spans="2:36" hidden="1" x14ac:dyDescent="0.25">
      <c r="B14" s="4"/>
      <c r="E14" s="3"/>
      <c r="F14" s="3"/>
      <c r="G14" s="24"/>
      <c r="H14" s="24"/>
      <c r="K14" s="4"/>
      <c r="L14" s="4"/>
      <c r="M14" s="4"/>
      <c r="N14" s="4"/>
      <c r="O14" s="4"/>
      <c r="P14" s="27"/>
      <c r="Q14" s="25"/>
      <c r="R14" s="25"/>
      <c r="S14" s="12">
        <f t="shared" si="8"/>
        <v>0</v>
      </c>
      <c r="T14" s="5">
        <v>0</v>
      </c>
      <c r="U14" s="12">
        <f t="shared" si="9"/>
        <v>0</v>
      </c>
      <c r="V14" s="25" t="s">
        <v>10</v>
      </c>
      <c r="W14" s="11">
        <f>IFERROR(VLOOKUP(V14,Curr!$B$2:$C$13,2,FALSE),0)</f>
        <v>11</v>
      </c>
      <c r="X14" s="12">
        <f t="shared" si="10"/>
        <v>0</v>
      </c>
      <c r="Y14" s="26">
        <f t="shared" si="12"/>
        <v>0</v>
      </c>
      <c r="Z14" s="12">
        <f t="shared" si="2"/>
        <v>0</v>
      </c>
      <c r="AA14" s="4" t="s">
        <v>10</v>
      </c>
      <c r="AB14" s="11">
        <f>IFERROR(VLOOKUP(AA14,Curr!$B$2:$C$13,2,FALSE),0)</f>
        <v>11</v>
      </c>
      <c r="AC14" s="12">
        <f t="shared" si="3"/>
        <v>0</v>
      </c>
      <c r="AD14" s="12">
        <f t="shared" si="4"/>
        <v>0</v>
      </c>
      <c r="AE14" s="13">
        <f t="shared" si="5"/>
        <v>0</v>
      </c>
    </row>
    <row r="15" spans="2:36" x14ac:dyDescent="0.25">
      <c r="B15" s="4"/>
      <c r="C15" s="1" t="s">
        <v>66</v>
      </c>
      <c r="D15" s="1" t="s">
        <v>120</v>
      </c>
      <c r="E15" s="3"/>
      <c r="F15" s="3"/>
      <c r="G15" s="24"/>
      <c r="H15" s="24"/>
      <c r="J15" s="1" t="s">
        <v>202</v>
      </c>
      <c r="K15" s="4"/>
      <c r="L15" s="4"/>
      <c r="M15" s="4"/>
      <c r="N15" s="4"/>
      <c r="O15" s="4"/>
      <c r="P15" s="27"/>
      <c r="Q15" s="25">
        <v>0</v>
      </c>
      <c r="R15" s="25">
        <v>0</v>
      </c>
      <c r="S15" s="12">
        <f t="shared" si="8"/>
        <v>0</v>
      </c>
      <c r="T15" s="5">
        <v>0</v>
      </c>
      <c r="U15" s="12">
        <f t="shared" si="9"/>
        <v>0</v>
      </c>
      <c r="V15" s="25" t="s">
        <v>10</v>
      </c>
      <c r="W15" s="11">
        <f>IFERROR(VLOOKUP(V15,Curr!$B$2:$C$13,2,FALSE),0)</f>
        <v>11</v>
      </c>
      <c r="X15" s="12">
        <f t="shared" si="10"/>
        <v>0</v>
      </c>
      <c r="Y15" s="26">
        <f t="shared" si="12"/>
        <v>0</v>
      </c>
      <c r="Z15" s="12">
        <f t="shared" si="2"/>
        <v>0</v>
      </c>
      <c r="AA15" s="4" t="s">
        <v>10</v>
      </c>
      <c r="AB15" s="11">
        <f>IFERROR(VLOOKUP(AA15,Curr!$B$2:$C$13,2,FALSE),0)</f>
        <v>11</v>
      </c>
      <c r="AC15" s="12">
        <f t="shared" si="3"/>
        <v>0</v>
      </c>
      <c r="AD15" s="12">
        <f t="shared" si="4"/>
        <v>0</v>
      </c>
      <c r="AE15" s="13">
        <f t="shared" si="5"/>
        <v>0</v>
      </c>
    </row>
    <row r="16" spans="2:36" hidden="1" x14ac:dyDescent="0.25">
      <c r="B16" s="4"/>
      <c r="E16" s="3"/>
      <c r="F16" s="3"/>
      <c r="G16" s="24"/>
      <c r="H16" s="24"/>
      <c r="K16" s="4"/>
      <c r="L16" s="4"/>
      <c r="M16" s="4"/>
      <c r="N16" s="4"/>
      <c r="O16" s="4"/>
      <c r="P16" s="27"/>
      <c r="Q16" s="25"/>
      <c r="R16" s="25"/>
      <c r="S16" s="12">
        <f t="shared" si="8"/>
        <v>0</v>
      </c>
      <c r="T16" s="5">
        <v>0</v>
      </c>
      <c r="U16" s="12">
        <f t="shared" si="9"/>
        <v>0</v>
      </c>
      <c r="V16" s="25" t="s">
        <v>10</v>
      </c>
      <c r="W16" s="11">
        <f>IFERROR(VLOOKUP(V16,Curr!$B$2:$C$13,2,FALSE),0)</f>
        <v>11</v>
      </c>
      <c r="X16" s="12">
        <f t="shared" si="10"/>
        <v>0</v>
      </c>
      <c r="Y16" s="26">
        <f t="shared" si="12"/>
        <v>0</v>
      </c>
      <c r="Z16" s="12">
        <f t="shared" si="2"/>
        <v>0</v>
      </c>
      <c r="AA16" s="4" t="s">
        <v>10</v>
      </c>
      <c r="AB16" s="11">
        <f>IFERROR(VLOOKUP(AA16,Curr!$B$2:$C$13,2,FALSE),0)</f>
        <v>11</v>
      </c>
      <c r="AC16" s="12">
        <f t="shared" si="3"/>
        <v>0</v>
      </c>
      <c r="AD16" s="12">
        <f t="shared" si="4"/>
        <v>0</v>
      </c>
      <c r="AE16" s="13">
        <f t="shared" si="5"/>
        <v>0</v>
      </c>
    </row>
    <row r="17" spans="2:31" x14ac:dyDescent="0.25">
      <c r="B17" s="4"/>
      <c r="C17" s="1" t="s">
        <v>67</v>
      </c>
      <c r="D17" s="1" t="s">
        <v>120</v>
      </c>
      <c r="E17" s="3"/>
      <c r="F17" s="3"/>
      <c r="G17" s="24"/>
      <c r="H17" s="24"/>
      <c r="J17" s="1" t="s">
        <v>203</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2"/>
        <v>0</v>
      </c>
      <c r="Z17" s="12">
        <f t="shared" si="2"/>
        <v>0</v>
      </c>
      <c r="AA17" s="4" t="s">
        <v>10</v>
      </c>
      <c r="AB17" s="11">
        <f>IFERROR(VLOOKUP(AA17,Curr!$B$2:$C$13,2,FALSE),0)</f>
        <v>11</v>
      </c>
      <c r="AC17" s="12">
        <f t="shared" si="3"/>
        <v>0</v>
      </c>
      <c r="AD17" s="12">
        <f t="shared" si="4"/>
        <v>0</v>
      </c>
      <c r="AE17" s="13">
        <f t="shared" si="5"/>
        <v>0</v>
      </c>
    </row>
    <row r="18" spans="2:31" hidden="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2"/>
        <v>0</v>
      </c>
      <c r="Z18" s="12">
        <f t="shared" si="2"/>
        <v>0</v>
      </c>
      <c r="AA18" s="4" t="s">
        <v>10</v>
      </c>
      <c r="AB18" s="11">
        <f>IFERROR(VLOOKUP(AA18,Curr!$B$2:$C$13,2,FALSE),0)</f>
        <v>11</v>
      </c>
      <c r="AC18" s="12">
        <f t="shared" si="3"/>
        <v>0</v>
      </c>
      <c r="AD18" s="12">
        <f t="shared" si="4"/>
        <v>0</v>
      </c>
      <c r="AE18" s="13">
        <f t="shared" si="5"/>
        <v>0</v>
      </c>
    </row>
    <row r="19" spans="2:31" x14ac:dyDescent="0.25">
      <c r="B19" s="4"/>
      <c r="C19" s="1" t="s">
        <v>77</v>
      </c>
      <c r="D19" s="1" t="s">
        <v>120</v>
      </c>
      <c r="E19" s="3"/>
      <c r="F19" s="3"/>
      <c r="G19" s="24"/>
      <c r="H19" s="24"/>
      <c r="J19" s="1" t="s">
        <v>211</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2"/>
        <v>0</v>
      </c>
      <c r="Z19" s="12">
        <f t="shared" si="2"/>
        <v>0</v>
      </c>
      <c r="AA19" s="4" t="s">
        <v>10</v>
      </c>
      <c r="AB19" s="11">
        <f>IFERROR(VLOOKUP(AA19,Curr!$B$2:$C$13,2,FALSE),0)</f>
        <v>11</v>
      </c>
      <c r="AC19" s="12">
        <f t="shared" si="3"/>
        <v>0</v>
      </c>
      <c r="AD19" s="12">
        <f t="shared" si="4"/>
        <v>0</v>
      </c>
      <c r="AE19" s="13">
        <f t="shared" si="5"/>
        <v>0</v>
      </c>
    </row>
    <row r="20" spans="2:31" hidden="1" x14ac:dyDescent="0.25">
      <c r="B20" s="4"/>
      <c r="E20" s="3"/>
      <c r="F20" s="3"/>
      <c r="G20" s="24"/>
      <c r="H20" s="24"/>
      <c r="K20" s="4"/>
      <c r="L20" s="4"/>
      <c r="M20" s="4"/>
      <c r="N20" s="4"/>
      <c r="O20" s="4"/>
      <c r="P20" s="27"/>
      <c r="Q20" s="25"/>
      <c r="R20" s="25"/>
      <c r="S20" s="12">
        <f t="shared" si="8"/>
        <v>0</v>
      </c>
      <c r="T20" s="5">
        <v>0</v>
      </c>
      <c r="U20" s="12">
        <f t="shared" si="9"/>
        <v>0</v>
      </c>
      <c r="V20" s="25" t="s">
        <v>10</v>
      </c>
      <c r="W20" s="11">
        <f>IFERROR(VLOOKUP(V20,Curr!$B$2:$C$13,2,FALSE),0)</f>
        <v>11</v>
      </c>
      <c r="X20" s="12">
        <f t="shared" si="10"/>
        <v>0</v>
      </c>
      <c r="Y20" s="26">
        <f t="shared" si="12"/>
        <v>0</v>
      </c>
      <c r="Z20" s="12">
        <f t="shared" si="2"/>
        <v>0</v>
      </c>
      <c r="AA20" s="4" t="s">
        <v>10</v>
      </c>
      <c r="AB20" s="11">
        <f>IFERROR(VLOOKUP(AA20,Curr!$B$2:$C$13,2,FALSE),0)</f>
        <v>11</v>
      </c>
      <c r="AC20" s="12">
        <f t="shared" si="3"/>
        <v>0</v>
      </c>
      <c r="AD20" s="12">
        <f t="shared" si="4"/>
        <v>0</v>
      </c>
      <c r="AE20" s="13">
        <f t="shared" si="5"/>
        <v>0</v>
      </c>
    </row>
    <row r="21" spans="2:31" x14ac:dyDescent="0.25">
      <c r="B21" s="4"/>
      <c r="C21" s="1" t="s">
        <v>92</v>
      </c>
      <c r="D21" s="1" t="s">
        <v>120</v>
      </c>
      <c r="E21" s="3"/>
      <c r="F21" s="3"/>
      <c r="G21" s="24"/>
      <c r="H21" s="24"/>
      <c r="J21" s="1" t="s">
        <v>205</v>
      </c>
      <c r="K21" s="4"/>
      <c r="L21" s="4"/>
      <c r="M21" s="4"/>
      <c r="N21" s="4"/>
      <c r="O21" s="4"/>
      <c r="P21" s="27"/>
      <c r="Q21" s="25">
        <v>0</v>
      </c>
      <c r="R21" s="25">
        <v>0</v>
      </c>
      <c r="S21" s="12">
        <f t="shared" si="8"/>
        <v>0</v>
      </c>
      <c r="T21" s="5">
        <v>0</v>
      </c>
      <c r="U21" s="12">
        <f t="shared" si="9"/>
        <v>0</v>
      </c>
      <c r="V21" s="25" t="s">
        <v>10</v>
      </c>
      <c r="W21" s="11">
        <f>IFERROR(VLOOKUP(V21,Curr!$B$2:$C$13,2,FALSE),0)</f>
        <v>11</v>
      </c>
      <c r="X21" s="12">
        <f t="shared" si="10"/>
        <v>0</v>
      </c>
      <c r="Y21" s="26">
        <f t="shared" si="12"/>
        <v>0</v>
      </c>
      <c r="Z21" s="12">
        <f t="shared" si="2"/>
        <v>0</v>
      </c>
      <c r="AA21" s="4" t="s">
        <v>10</v>
      </c>
      <c r="AB21" s="11">
        <f>IFERROR(VLOOKUP(AA21,Curr!$B$2:$C$13,2,FALSE),0)</f>
        <v>11</v>
      </c>
      <c r="AC21" s="12">
        <f t="shared" si="3"/>
        <v>0</v>
      </c>
      <c r="AD21" s="12">
        <f t="shared" si="4"/>
        <v>0</v>
      </c>
      <c r="AE21" s="13">
        <f t="shared" si="5"/>
        <v>0</v>
      </c>
    </row>
    <row r="22" spans="2:31" hidden="1" x14ac:dyDescent="0.25">
      <c r="B22" s="4"/>
      <c r="E22" s="3"/>
      <c r="F22" s="3"/>
      <c r="G22" s="24"/>
      <c r="H22" s="24"/>
      <c r="K22" s="4"/>
      <c r="L22" s="4"/>
      <c r="M22" s="4"/>
      <c r="N22" s="4"/>
      <c r="O22" s="4"/>
      <c r="P22" s="27"/>
      <c r="Q22" s="25"/>
      <c r="R22" s="25"/>
      <c r="S22" s="12">
        <f t="shared" si="8"/>
        <v>0</v>
      </c>
      <c r="T22" s="5">
        <v>0</v>
      </c>
      <c r="U22" s="12">
        <f t="shared" si="9"/>
        <v>0</v>
      </c>
      <c r="V22" s="25" t="s">
        <v>10</v>
      </c>
      <c r="W22" s="11">
        <f>IFERROR(VLOOKUP(V22,Curr!$B$2:$C$13,2,FALSE),0)</f>
        <v>11</v>
      </c>
      <c r="X22" s="12">
        <f t="shared" si="10"/>
        <v>0</v>
      </c>
      <c r="Y22" s="26">
        <f t="shared" si="12"/>
        <v>0</v>
      </c>
      <c r="Z22" s="12">
        <f t="shared" si="2"/>
        <v>0</v>
      </c>
      <c r="AA22" s="4" t="s">
        <v>10</v>
      </c>
      <c r="AB22" s="11">
        <f>IFERROR(VLOOKUP(AA22,Curr!$B$2:$C$13,2,FALSE),0)</f>
        <v>11</v>
      </c>
      <c r="AC22" s="12">
        <f t="shared" si="3"/>
        <v>0</v>
      </c>
      <c r="AD22" s="12">
        <f t="shared" si="4"/>
        <v>0</v>
      </c>
      <c r="AE22" s="13">
        <f t="shared" si="5"/>
        <v>0</v>
      </c>
    </row>
    <row r="23" spans="2:31" x14ac:dyDescent="0.25">
      <c r="B23" s="4"/>
      <c r="C23" s="1" t="s">
        <v>94</v>
      </c>
      <c r="D23" s="1" t="s">
        <v>120</v>
      </c>
      <c r="E23" s="3"/>
      <c r="F23" s="3"/>
      <c r="G23" s="24"/>
      <c r="H23" s="24"/>
      <c r="J23" s="1" t="s">
        <v>212</v>
      </c>
      <c r="K23" s="4"/>
      <c r="L23" s="4"/>
      <c r="M23" s="4"/>
      <c r="N23" s="4"/>
      <c r="O23" s="4"/>
      <c r="P23" s="29"/>
      <c r="Q23" s="25">
        <v>0</v>
      </c>
      <c r="R23" s="25">
        <v>0</v>
      </c>
      <c r="S23" s="12">
        <f t="shared" si="8"/>
        <v>0</v>
      </c>
      <c r="T23" s="5">
        <v>0</v>
      </c>
      <c r="U23" s="12">
        <f t="shared" si="9"/>
        <v>0</v>
      </c>
      <c r="V23" s="25" t="s">
        <v>10</v>
      </c>
      <c r="W23" s="11">
        <f>IFERROR(VLOOKUP(V23,Curr!$B$2:$C$13,2,FALSE),0)</f>
        <v>11</v>
      </c>
      <c r="X23" s="12">
        <f t="shared" si="10"/>
        <v>0</v>
      </c>
      <c r="Y23" s="26">
        <f t="shared" si="12"/>
        <v>0</v>
      </c>
      <c r="Z23" s="12">
        <f t="shared" si="2"/>
        <v>0</v>
      </c>
      <c r="AA23" s="4" t="s">
        <v>10</v>
      </c>
      <c r="AB23" s="11">
        <f>IFERROR(VLOOKUP(AA23,Curr!$B$2:$C$13,2,FALSE),0)</f>
        <v>11</v>
      </c>
      <c r="AC23" s="12">
        <f t="shared" si="3"/>
        <v>0</v>
      </c>
      <c r="AD23" s="12">
        <f t="shared" si="4"/>
        <v>0</v>
      </c>
      <c r="AE23" s="13">
        <f t="shared" si="5"/>
        <v>0</v>
      </c>
    </row>
    <row r="24" spans="2:31" hidden="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2"/>
        <v>0</v>
      </c>
      <c r="Z24" s="12">
        <f t="shared" si="2"/>
        <v>0</v>
      </c>
      <c r="AA24" s="4" t="s">
        <v>10</v>
      </c>
      <c r="AB24" s="11">
        <f>IFERROR(VLOOKUP(AA24,Curr!$B$2:$C$13,2,FALSE),0)</f>
        <v>11</v>
      </c>
      <c r="AC24" s="12">
        <f t="shared" si="3"/>
        <v>0</v>
      </c>
      <c r="AD24" s="12">
        <f t="shared" si="4"/>
        <v>0</v>
      </c>
      <c r="AE24" s="13">
        <f t="shared" si="5"/>
        <v>0</v>
      </c>
    </row>
    <row r="25" spans="2:31" x14ac:dyDescent="0.25">
      <c r="B25" s="4"/>
      <c r="C25" s="1" t="s">
        <v>101</v>
      </c>
      <c r="D25" s="1" t="s">
        <v>120</v>
      </c>
      <c r="E25" s="3"/>
      <c r="F25" s="3"/>
      <c r="G25" s="24"/>
      <c r="H25" s="24"/>
      <c r="J25" s="1" t="s">
        <v>213</v>
      </c>
      <c r="K25" s="4"/>
      <c r="L25" s="4"/>
      <c r="M25" s="4"/>
      <c r="N25" s="4"/>
      <c r="O25" s="4"/>
      <c r="P25" s="27"/>
      <c r="Q25" s="25">
        <v>0</v>
      </c>
      <c r="R25" s="25">
        <v>0</v>
      </c>
      <c r="S25" s="12">
        <f t="shared" si="8"/>
        <v>0</v>
      </c>
      <c r="T25" s="5">
        <v>0</v>
      </c>
      <c r="U25" s="12">
        <f t="shared" si="9"/>
        <v>0</v>
      </c>
      <c r="V25" s="25" t="s">
        <v>10</v>
      </c>
      <c r="W25" s="11">
        <f>IFERROR(VLOOKUP(V25,Curr!$B$2:$C$13,2,FALSE),0)</f>
        <v>11</v>
      </c>
      <c r="X25" s="12">
        <f t="shared" si="10"/>
        <v>0</v>
      </c>
      <c r="Y25" s="26">
        <f t="shared" si="12"/>
        <v>0</v>
      </c>
      <c r="Z25" s="12">
        <f t="shared" si="2"/>
        <v>0</v>
      </c>
      <c r="AA25" s="4" t="s">
        <v>10</v>
      </c>
      <c r="AB25" s="11">
        <f>IFERROR(VLOOKUP(AA25,Curr!$B$2:$C$13,2,FALSE),0)</f>
        <v>11</v>
      </c>
      <c r="AC25" s="12">
        <f t="shared" si="3"/>
        <v>0</v>
      </c>
      <c r="AD25" s="12">
        <f t="shared" si="4"/>
        <v>0</v>
      </c>
      <c r="AE25" s="13">
        <f t="shared" si="5"/>
        <v>0</v>
      </c>
    </row>
    <row r="26" spans="2:31" hidden="1" x14ac:dyDescent="0.25">
      <c r="B26" s="4"/>
      <c r="E26" s="3"/>
      <c r="F26" s="3"/>
      <c r="G26" s="24"/>
      <c r="H26" s="24"/>
      <c r="K26" s="4"/>
      <c r="L26" s="4"/>
      <c r="M26" s="4"/>
      <c r="N26" s="4"/>
      <c r="O26" s="4"/>
      <c r="P26" s="27"/>
      <c r="Q26" s="25"/>
      <c r="R26" s="25"/>
      <c r="S26" s="12">
        <f t="shared" si="8"/>
        <v>0</v>
      </c>
      <c r="T26" s="5">
        <v>0</v>
      </c>
      <c r="U26" s="12">
        <f t="shared" si="9"/>
        <v>0</v>
      </c>
      <c r="V26" s="25" t="s">
        <v>10</v>
      </c>
      <c r="W26" s="11">
        <f>IFERROR(VLOOKUP(V26,Curr!$B$2:$C$13,2,FALSE),0)</f>
        <v>11</v>
      </c>
      <c r="X26" s="12">
        <f t="shared" si="10"/>
        <v>0</v>
      </c>
      <c r="Y26" s="26">
        <f t="shared" si="12"/>
        <v>0</v>
      </c>
      <c r="Z26" s="12">
        <f t="shared" si="2"/>
        <v>0</v>
      </c>
      <c r="AA26" s="4" t="s">
        <v>10</v>
      </c>
      <c r="AB26" s="11">
        <f>IFERROR(VLOOKUP(AA26,Curr!$B$2:$C$13,2,FALSE),0)</f>
        <v>11</v>
      </c>
      <c r="AC26" s="12">
        <f t="shared" si="3"/>
        <v>0</v>
      </c>
      <c r="AD26" s="12">
        <f t="shared" si="4"/>
        <v>0</v>
      </c>
      <c r="AE26" s="13">
        <f t="shared" si="5"/>
        <v>0</v>
      </c>
    </row>
    <row r="27" spans="2:31" x14ac:dyDescent="0.25">
      <c r="B27" s="4"/>
      <c r="C27" s="1" t="s">
        <v>109</v>
      </c>
      <c r="D27" s="1" t="s">
        <v>120</v>
      </c>
      <c r="E27" s="3"/>
      <c r="F27" s="3"/>
      <c r="G27" s="24"/>
      <c r="H27" s="24"/>
      <c r="J27" s="1" t="s">
        <v>214</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2"/>
        <v>0</v>
      </c>
      <c r="Z27" s="12">
        <f t="shared" si="2"/>
        <v>0</v>
      </c>
      <c r="AA27" s="4" t="s">
        <v>10</v>
      </c>
      <c r="AB27" s="11">
        <f>IFERROR(VLOOKUP(AA27,Curr!$B$2:$C$13,2,FALSE),0)</f>
        <v>11</v>
      </c>
      <c r="AC27" s="12">
        <f t="shared" si="3"/>
        <v>0</v>
      </c>
      <c r="AD27" s="12">
        <f t="shared" si="4"/>
        <v>0</v>
      </c>
      <c r="AE27" s="13">
        <f t="shared" si="5"/>
        <v>0</v>
      </c>
    </row>
    <row r="28" spans="2:31" x14ac:dyDescent="0.25">
      <c r="B28" s="4"/>
      <c r="C28" s="1" t="s">
        <v>109</v>
      </c>
      <c r="D28" s="1" t="s">
        <v>59</v>
      </c>
      <c r="E28" s="3"/>
      <c r="F28" s="3"/>
      <c r="G28" s="24"/>
      <c r="H28" s="24"/>
      <c r="J28" s="1" t="s">
        <v>146</v>
      </c>
      <c r="K28" s="4"/>
      <c r="L28" s="4"/>
      <c r="M28" s="4"/>
      <c r="N28" s="4"/>
      <c r="O28" s="4"/>
      <c r="P28" s="27"/>
      <c r="Q28" s="25">
        <v>200</v>
      </c>
      <c r="R28" s="25">
        <v>1</v>
      </c>
      <c r="S28" s="12">
        <f t="shared" si="8"/>
        <v>200</v>
      </c>
      <c r="T28" s="5">
        <v>0</v>
      </c>
      <c r="U28" s="12">
        <f t="shared" si="9"/>
        <v>200</v>
      </c>
      <c r="V28" s="25" t="s">
        <v>10</v>
      </c>
      <c r="W28" s="11">
        <f>IFERROR(VLOOKUP(V28,Curr!$B$2:$C$13,2,FALSE),0)</f>
        <v>11</v>
      </c>
      <c r="X28" s="12">
        <f t="shared" si="10"/>
        <v>2200</v>
      </c>
      <c r="Y28" s="26">
        <f>Q28/0.85</f>
        <v>235.29411764705884</v>
      </c>
      <c r="Z28" s="12">
        <f t="shared" si="2"/>
        <v>235.29411764705884</v>
      </c>
      <c r="AA28" s="4" t="s">
        <v>10</v>
      </c>
      <c r="AB28" s="11">
        <f>IFERROR(VLOOKUP(AA28,Curr!$B$2:$C$13,2,FALSE),0)</f>
        <v>11</v>
      </c>
      <c r="AC28" s="12">
        <f t="shared" si="3"/>
        <v>2588.2352941176473</v>
      </c>
      <c r="AD28" s="12">
        <f t="shared" si="4"/>
        <v>388.2352941176473</v>
      </c>
      <c r="AE28" s="13">
        <f t="shared" si="5"/>
        <v>0.15000000000000008</v>
      </c>
    </row>
    <row r="29" spans="2:31" x14ac:dyDescent="0.25">
      <c r="B29" s="4"/>
      <c r="C29" s="1" t="s">
        <v>109</v>
      </c>
      <c r="D29" s="1" t="s">
        <v>60</v>
      </c>
      <c r="E29" s="3"/>
      <c r="F29" s="3"/>
      <c r="G29" s="24"/>
      <c r="H29" s="24"/>
      <c r="J29" s="1" t="s">
        <v>118</v>
      </c>
      <c r="K29" s="4"/>
      <c r="L29" s="4"/>
      <c r="M29" s="4"/>
      <c r="N29" s="4"/>
      <c r="O29" s="4"/>
      <c r="P29" s="29"/>
      <c r="Q29" s="25">
        <v>0</v>
      </c>
      <c r="R29" s="25">
        <v>0</v>
      </c>
      <c r="S29" s="12">
        <f t="shared" si="8"/>
        <v>0</v>
      </c>
      <c r="T29" s="5">
        <v>0</v>
      </c>
      <c r="U29" s="12">
        <f t="shared" si="9"/>
        <v>0</v>
      </c>
      <c r="V29" s="25" t="s">
        <v>10</v>
      </c>
      <c r="W29" s="11">
        <f>IFERROR(VLOOKUP(V29,Curr!$B$2:$C$13,2,FALSE),0)</f>
        <v>11</v>
      </c>
      <c r="X29" s="12">
        <f t="shared" si="10"/>
        <v>0</v>
      </c>
      <c r="Y29" s="26">
        <f t="shared" si="12"/>
        <v>0</v>
      </c>
      <c r="Z29" s="12">
        <f t="shared" si="2"/>
        <v>0</v>
      </c>
      <c r="AA29" s="4" t="s">
        <v>10</v>
      </c>
      <c r="AB29" s="11">
        <f>IFERROR(VLOOKUP(AA29,Curr!$B$2:$C$13,2,FALSE),0)</f>
        <v>11</v>
      </c>
      <c r="AC29" s="12">
        <f t="shared" si="3"/>
        <v>0</v>
      </c>
      <c r="AD29" s="12">
        <f t="shared" si="4"/>
        <v>0</v>
      </c>
      <c r="AE29" s="13">
        <f t="shared" si="5"/>
        <v>0</v>
      </c>
    </row>
    <row r="30" spans="2:31" hidden="1" x14ac:dyDescent="0.25">
      <c r="B30" s="4"/>
      <c r="E30" s="3"/>
      <c r="F30" s="3"/>
      <c r="G30" s="24"/>
      <c r="H30" s="24"/>
      <c r="K30" s="4"/>
      <c r="L30" s="4"/>
      <c r="M30" s="4"/>
      <c r="N30" s="4"/>
      <c r="O30" s="4"/>
      <c r="P30" s="27"/>
      <c r="Q30" s="25"/>
      <c r="R30" s="25"/>
      <c r="S30" s="12">
        <f t="shared" si="8"/>
        <v>0</v>
      </c>
      <c r="T30" s="5">
        <v>0</v>
      </c>
      <c r="U30" s="12">
        <f t="shared" si="9"/>
        <v>0</v>
      </c>
      <c r="V30" s="25" t="s">
        <v>10</v>
      </c>
      <c r="W30" s="11">
        <f>IFERROR(VLOOKUP(V30,Curr!$B$2:$C$13,2,FALSE),0)</f>
        <v>11</v>
      </c>
      <c r="X30" s="12">
        <f t="shared" si="10"/>
        <v>0</v>
      </c>
      <c r="Y30" s="26">
        <f t="shared" si="12"/>
        <v>0</v>
      </c>
      <c r="Z30" s="12">
        <f t="shared" si="2"/>
        <v>0</v>
      </c>
      <c r="AA30" s="4" t="s">
        <v>10</v>
      </c>
      <c r="AB30" s="11">
        <f>IFERROR(VLOOKUP(AA30,Curr!$B$2:$C$13,2,FALSE),0)</f>
        <v>11</v>
      </c>
      <c r="AC30" s="12">
        <f t="shared" si="3"/>
        <v>0</v>
      </c>
      <c r="AD30" s="12">
        <f t="shared" si="4"/>
        <v>0</v>
      </c>
      <c r="AE30" s="13">
        <f t="shared" si="5"/>
        <v>0</v>
      </c>
    </row>
    <row r="31" spans="2:31" x14ac:dyDescent="0.25">
      <c r="B31" s="4"/>
      <c r="C31" s="1" t="s">
        <v>110</v>
      </c>
      <c r="D31" s="1" t="s">
        <v>117</v>
      </c>
      <c r="E31" s="3"/>
      <c r="F31" s="3"/>
      <c r="G31" s="24"/>
      <c r="H31" s="24"/>
      <c r="J31" s="1" t="s">
        <v>133</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2"/>
        <v>0</v>
      </c>
      <c r="Z31" s="12">
        <f t="shared" si="2"/>
        <v>0</v>
      </c>
      <c r="AA31" s="4" t="s">
        <v>10</v>
      </c>
      <c r="AB31" s="11">
        <f>IFERROR(VLOOKUP(AA31,Curr!$B$2:$C$13,2,FALSE),0)</f>
        <v>11</v>
      </c>
      <c r="AC31" s="12">
        <f t="shared" si="3"/>
        <v>0</v>
      </c>
      <c r="AD31" s="12">
        <f t="shared" si="4"/>
        <v>0</v>
      </c>
      <c r="AE31" s="13">
        <f t="shared" si="5"/>
        <v>0</v>
      </c>
    </row>
    <row r="32" spans="2:31" x14ac:dyDescent="0.25">
      <c r="B32" s="4"/>
      <c r="C32" s="1" t="s">
        <v>110</v>
      </c>
      <c r="D32" s="1" t="s">
        <v>78</v>
      </c>
      <c r="E32" s="3"/>
      <c r="F32" s="3"/>
      <c r="G32" s="24"/>
      <c r="H32" s="24"/>
      <c r="J32" s="1" t="s">
        <v>81</v>
      </c>
      <c r="K32" s="4"/>
      <c r="L32" s="4"/>
      <c r="M32" s="4"/>
      <c r="N32" s="4"/>
      <c r="O32" s="4"/>
      <c r="P32" s="27"/>
      <c r="Q32" s="25">
        <v>0</v>
      </c>
      <c r="R32" s="25">
        <v>0</v>
      </c>
      <c r="S32" s="12">
        <f t="shared" si="8"/>
        <v>0</v>
      </c>
      <c r="T32" s="5">
        <v>0</v>
      </c>
      <c r="U32" s="12">
        <f t="shared" si="9"/>
        <v>0</v>
      </c>
      <c r="V32" s="25" t="s">
        <v>10</v>
      </c>
      <c r="W32" s="11">
        <f>IFERROR(VLOOKUP(V32,Curr!$B$2:$C$13,2,FALSE),0)</f>
        <v>11</v>
      </c>
      <c r="X32" s="12">
        <f t="shared" si="10"/>
        <v>0</v>
      </c>
      <c r="Y32" s="26">
        <f t="shared" si="12"/>
        <v>0</v>
      </c>
      <c r="Z32" s="12">
        <f t="shared" si="2"/>
        <v>0</v>
      </c>
      <c r="AA32" s="4" t="s">
        <v>10</v>
      </c>
      <c r="AB32" s="11">
        <f>IFERROR(VLOOKUP(AA32,Curr!$B$2:$C$13,2,FALSE),0)</f>
        <v>11</v>
      </c>
      <c r="AC32" s="12">
        <f t="shared" si="3"/>
        <v>0</v>
      </c>
      <c r="AD32" s="12">
        <f t="shared" si="4"/>
        <v>0</v>
      </c>
      <c r="AE32" s="13">
        <f t="shared" si="5"/>
        <v>0</v>
      </c>
    </row>
    <row r="33" spans="2:31" hidden="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2"/>
        <v>0</v>
      </c>
      <c r="Z33" s="12">
        <f t="shared" si="2"/>
        <v>0</v>
      </c>
      <c r="AA33" s="4" t="s">
        <v>10</v>
      </c>
      <c r="AB33" s="11">
        <f>IFERROR(VLOOKUP(AA33,Curr!$B$2:$C$13,2,FALSE),0)</f>
        <v>11</v>
      </c>
      <c r="AC33" s="12">
        <f t="shared" si="3"/>
        <v>0</v>
      </c>
      <c r="AD33" s="12">
        <f t="shared" si="4"/>
        <v>0</v>
      </c>
      <c r="AE33" s="13">
        <f t="shared" si="5"/>
        <v>0</v>
      </c>
    </row>
    <row r="34" spans="2:31" hidden="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127</v>
      </c>
      <c r="E35" s="3"/>
      <c r="F35" s="3"/>
      <c r="G35" s="24"/>
      <c r="H35" s="24"/>
      <c r="J35" s="1" t="s">
        <v>131</v>
      </c>
      <c r="K35" s="4"/>
      <c r="L35" s="4"/>
      <c r="M35" s="4"/>
      <c r="N35" s="4"/>
      <c r="O35" s="4"/>
      <c r="P35" s="27"/>
      <c r="Q35" s="25">
        <v>160</v>
      </c>
      <c r="R35" s="25">
        <v>0</v>
      </c>
      <c r="S35" s="12">
        <f t="shared" si="8"/>
        <v>0</v>
      </c>
      <c r="T35" s="5">
        <v>0.2</v>
      </c>
      <c r="U35" s="12">
        <f t="shared" si="9"/>
        <v>0</v>
      </c>
      <c r="V35" s="25" t="s">
        <v>10</v>
      </c>
      <c r="W35" s="11">
        <f>IFERROR(VLOOKUP(V35,Curr!$B$2:$C$13,2,FALSE),0)</f>
        <v>11</v>
      </c>
      <c r="X35" s="12">
        <f t="shared" si="10"/>
        <v>0</v>
      </c>
      <c r="Y35" s="26">
        <f t="shared" si="11"/>
        <v>160</v>
      </c>
      <c r="Z35" s="12">
        <f t="shared" si="2"/>
        <v>0</v>
      </c>
      <c r="AA35" s="4" t="s">
        <v>10</v>
      </c>
      <c r="AB35" s="11">
        <f>IFERROR(VLOOKUP(AA35,Curr!$B$2:$C$13,2,FALSE),0)</f>
        <v>11</v>
      </c>
      <c r="AC35" s="12">
        <f t="shared" si="3"/>
        <v>0</v>
      </c>
      <c r="AD35" s="12">
        <f t="shared" si="4"/>
        <v>0</v>
      </c>
      <c r="AE35" s="13">
        <f t="shared" si="5"/>
        <v>0</v>
      </c>
    </row>
    <row r="36" spans="2:31" x14ac:dyDescent="0.25">
      <c r="B36" s="4"/>
      <c r="C36" s="1" t="s">
        <v>55</v>
      </c>
      <c r="D36" s="1" t="s">
        <v>127</v>
      </c>
      <c r="E36" s="3"/>
      <c r="F36" s="3"/>
      <c r="G36" s="24"/>
      <c r="H36" s="24"/>
      <c r="J36" s="1" t="s">
        <v>132</v>
      </c>
      <c r="K36" s="4"/>
      <c r="L36" s="4"/>
      <c r="M36" s="4"/>
      <c r="N36" s="4"/>
      <c r="O36" s="4"/>
      <c r="P36" s="33"/>
      <c r="Q36" s="25">
        <v>39</v>
      </c>
      <c r="R36" s="25">
        <v>0</v>
      </c>
      <c r="S36" s="12">
        <f t="shared" si="8"/>
        <v>0</v>
      </c>
      <c r="T36" s="5">
        <v>0.2</v>
      </c>
      <c r="U36" s="12">
        <f t="shared" si="9"/>
        <v>0</v>
      </c>
      <c r="V36" s="25" t="s">
        <v>10</v>
      </c>
      <c r="W36" s="11">
        <f>IFERROR(VLOOKUP(V36,Curr!$B$2:$C$13,2,FALSE),0)</f>
        <v>11</v>
      </c>
      <c r="X36" s="12">
        <f t="shared" si="10"/>
        <v>0</v>
      </c>
      <c r="Y36" s="26">
        <f t="shared" si="11"/>
        <v>39</v>
      </c>
      <c r="Z36" s="12">
        <f t="shared" si="2"/>
        <v>0</v>
      </c>
      <c r="AA36" s="4" t="s">
        <v>10</v>
      </c>
      <c r="AB36" s="11">
        <f>IFERROR(VLOOKUP(AA36,Curr!$B$2:$C$13,2,FALSE),0)</f>
        <v>11</v>
      </c>
      <c r="AC36" s="12">
        <f t="shared" si="3"/>
        <v>0</v>
      </c>
      <c r="AD36" s="12">
        <f t="shared" si="4"/>
        <v>0</v>
      </c>
      <c r="AE36" s="13">
        <f t="shared" si="5"/>
        <v>0</v>
      </c>
    </row>
    <row r="37" spans="2:31" x14ac:dyDescent="0.25">
      <c r="B37" s="4"/>
      <c r="C37" s="1" t="s">
        <v>110</v>
      </c>
      <c r="D37" s="1" t="s">
        <v>127</v>
      </c>
      <c r="E37" s="3"/>
      <c r="F37" s="3"/>
      <c r="G37" s="24"/>
      <c r="H37" s="24"/>
      <c r="J37" s="1" t="s">
        <v>134</v>
      </c>
      <c r="K37" s="4"/>
      <c r="L37" s="4"/>
      <c r="M37" s="4"/>
      <c r="N37" s="4"/>
      <c r="O37" s="4"/>
      <c r="P37" s="27"/>
      <c r="Q37" s="25">
        <v>160</v>
      </c>
      <c r="R37" s="25">
        <v>0</v>
      </c>
      <c r="S37" s="12">
        <f t="shared" si="8"/>
        <v>0</v>
      </c>
      <c r="T37" s="5">
        <v>0.2</v>
      </c>
      <c r="U37" s="12">
        <f t="shared" si="9"/>
        <v>0</v>
      </c>
      <c r="V37" s="25" t="s">
        <v>10</v>
      </c>
      <c r="W37" s="11">
        <f>IFERROR(VLOOKUP(V37,Curr!$B$2:$C$13,2,FALSE),0)</f>
        <v>11</v>
      </c>
      <c r="X37" s="12">
        <f t="shared" si="10"/>
        <v>0</v>
      </c>
      <c r="Y37" s="26">
        <f t="shared" si="11"/>
        <v>160</v>
      </c>
      <c r="Z37" s="12">
        <f t="shared" si="2"/>
        <v>0</v>
      </c>
      <c r="AA37" s="4" t="s">
        <v>10</v>
      </c>
      <c r="AB37" s="11">
        <f>IFERROR(VLOOKUP(AA37,Curr!$B$2:$C$13,2,FALSE),0)</f>
        <v>11</v>
      </c>
      <c r="AC37" s="12">
        <f t="shared" si="3"/>
        <v>0</v>
      </c>
      <c r="AD37" s="12">
        <f t="shared" si="4"/>
        <v>0</v>
      </c>
      <c r="AE37" s="13">
        <f t="shared" si="5"/>
        <v>0</v>
      </c>
    </row>
    <row r="38" spans="2:31" x14ac:dyDescent="0.25">
      <c r="B38" s="4"/>
      <c r="C38" s="1" t="s">
        <v>110</v>
      </c>
      <c r="D38" s="1" t="s">
        <v>127</v>
      </c>
      <c r="E38" s="3"/>
      <c r="F38" s="3"/>
      <c r="G38" s="24"/>
      <c r="H38" s="24"/>
      <c r="J38" s="1" t="s">
        <v>135</v>
      </c>
      <c r="K38" s="4"/>
      <c r="L38" s="4"/>
      <c r="M38" s="4"/>
      <c r="N38" s="4"/>
      <c r="O38" s="4"/>
      <c r="P38" s="33"/>
      <c r="Q38" s="25">
        <v>39</v>
      </c>
      <c r="R38" s="25">
        <v>0</v>
      </c>
      <c r="S38" s="12">
        <f t="shared" si="8"/>
        <v>0</v>
      </c>
      <c r="T38" s="5">
        <v>0.2</v>
      </c>
      <c r="U38" s="12">
        <f t="shared" si="9"/>
        <v>0</v>
      </c>
      <c r="V38" s="25" t="s">
        <v>10</v>
      </c>
      <c r="W38" s="11">
        <f>IFERROR(VLOOKUP(V38,Curr!$B$2:$C$13,2,FALSE),0)</f>
        <v>11</v>
      </c>
      <c r="X38" s="12">
        <f t="shared" si="10"/>
        <v>0</v>
      </c>
      <c r="Y38" s="26">
        <f t="shared" si="11"/>
        <v>39</v>
      </c>
      <c r="Z38" s="12">
        <f t="shared" si="2"/>
        <v>0</v>
      </c>
      <c r="AA38" s="4" t="s">
        <v>10</v>
      </c>
      <c r="AB38" s="11">
        <f>IFERROR(VLOOKUP(AA38,Curr!$B$2:$C$13,2,FALSE),0)</f>
        <v>11</v>
      </c>
      <c r="AC38" s="12">
        <f t="shared" si="3"/>
        <v>0</v>
      </c>
      <c r="AD38" s="12">
        <f t="shared" si="4"/>
        <v>0</v>
      </c>
      <c r="AE38" s="13">
        <f t="shared" si="5"/>
        <v>0</v>
      </c>
    </row>
    <row r="39" spans="2:31" hidden="1"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hidden="1"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C41" s="1" t="s">
        <v>55</v>
      </c>
      <c r="D41" s="1" t="s">
        <v>83</v>
      </c>
      <c r="E41" s="3"/>
      <c r="F41" s="3"/>
      <c r="G41" s="24"/>
      <c r="H41" s="24"/>
      <c r="J41" s="1" t="s">
        <v>184</v>
      </c>
      <c r="K41" s="4"/>
      <c r="L41" s="4"/>
      <c r="M41" s="4"/>
      <c r="N41" s="4"/>
      <c r="O41" s="4"/>
      <c r="P41" s="33" t="s">
        <v>243</v>
      </c>
      <c r="Q41" s="25">
        <v>37</v>
      </c>
      <c r="R41" s="25">
        <v>0</v>
      </c>
      <c r="S41" s="12">
        <f t="shared" si="8"/>
        <v>0</v>
      </c>
      <c r="T41" s="5">
        <v>0.2</v>
      </c>
      <c r="U41" s="12">
        <f t="shared" si="9"/>
        <v>0</v>
      </c>
      <c r="V41" s="25" t="s">
        <v>10</v>
      </c>
      <c r="W41" s="11">
        <f>IFERROR(VLOOKUP(V41,Curr!$B$2:$C$13,2,FALSE),0)</f>
        <v>11</v>
      </c>
      <c r="X41" s="12">
        <f t="shared" si="10"/>
        <v>0</v>
      </c>
      <c r="Y41" s="26">
        <f t="shared" si="11"/>
        <v>37</v>
      </c>
      <c r="Z41" s="12">
        <f t="shared" si="2"/>
        <v>0</v>
      </c>
      <c r="AA41" s="4" t="s">
        <v>10</v>
      </c>
      <c r="AB41" s="11">
        <f>IFERROR(VLOOKUP(AA41,Curr!$B$2:$C$13,2,FALSE),0)</f>
        <v>11</v>
      </c>
      <c r="AC41" s="12">
        <f t="shared" si="3"/>
        <v>0</v>
      </c>
      <c r="AD41" s="12">
        <f t="shared" si="4"/>
        <v>0</v>
      </c>
      <c r="AE41" s="13">
        <f t="shared" si="5"/>
        <v>0</v>
      </c>
    </row>
    <row r="42" spans="2:31" x14ac:dyDescent="0.25">
      <c r="B42" s="4"/>
      <c r="C42" s="1" t="s">
        <v>67</v>
      </c>
      <c r="D42" s="1" t="s">
        <v>83</v>
      </c>
      <c r="J42" s="1" t="s">
        <v>165</v>
      </c>
      <c r="K42" s="4"/>
      <c r="L42" s="4"/>
      <c r="M42" s="4"/>
      <c r="N42" s="4"/>
      <c r="O42" s="4"/>
      <c r="P42" s="29"/>
      <c r="Q42" s="25">
        <v>127</v>
      </c>
      <c r="R42" s="25">
        <v>0</v>
      </c>
      <c r="S42" s="12">
        <f t="shared" si="8"/>
        <v>0</v>
      </c>
      <c r="T42" s="5">
        <v>0</v>
      </c>
      <c r="U42" s="12">
        <f t="shared" si="9"/>
        <v>0</v>
      </c>
      <c r="V42" s="25" t="s">
        <v>10</v>
      </c>
      <c r="W42" s="11">
        <f>IFERROR(VLOOKUP(V42,Curr!$B$2:$C$13,2,FALSE),0)</f>
        <v>11</v>
      </c>
      <c r="X42" s="12">
        <f t="shared" si="10"/>
        <v>0</v>
      </c>
      <c r="Y42" s="26">
        <f>Q42/0.8</f>
        <v>158.75</v>
      </c>
      <c r="Z42" s="12">
        <f t="shared" si="2"/>
        <v>0</v>
      </c>
      <c r="AA42" s="4" t="s">
        <v>10</v>
      </c>
      <c r="AB42" s="11">
        <f>IFERROR(VLOOKUP(AA42,Curr!$B$2:$C$13,2,FALSE),0)</f>
        <v>11</v>
      </c>
      <c r="AC42" s="12">
        <f t="shared" si="3"/>
        <v>0</v>
      </c>
      <c r="AD42" s="12">
        <f t="shared" si="4"/>
        <v>0</v>
      </c>
      <c r="AE42" s="13">
        <f t="shared" si="5"/>
        <v>0</v>
      </c>
    </row>
    <row r="43" spans="2:31" x14ac:dyDescent="0.25">
      <c r="B43" s="4"/>
      <c r="C43" s="1" t="s">
        <v>67</v>
      </c>
      <c r="D43" s="1" t="s">
        <v>83</v>
      </c>
      <c r="E43" s="3"/>
      <c r="F43" s="3"/>
      <c r="G43" s="24"/>
      <c r="H43" s="24"/>
      <c r="J43" s="1" t="s">
        <v>164</v>
      </c>
      <c r="K43" s="4"/>
      <c r="L43" s="4"/>
      <c r="M43" s="4"/>
      <c r="N43" s="4"/>
      <c r="O43" s="4"/>
      <c r="P43" s="33"/>
      <c r="Q43" s="25">
        <v>55</v>
      </c>
      <c r="R43" s="25">
        <v>0</v>
      </c>
      <c r="S43" s="12">
        <f t="shared" si="8"/>
        <v>0</v>
      </c>
      <c r="T43" s="5">
        <v>0</v>
      </c>
      <c r="U43" s="12">
        <f t="shared" si="9"/>
        <v>0</v>
      </c>
      <c r="V43" s="25" t="s">
        <v>10</v>
      </c>
      <c r="W43" s="11">
        <f>IFERROR(VLOOKUP(V43,Curr!$B$2:$C$13,2,FALSE),0)</f>
        <v>11</v>
      </c>
      <c r="X43" s="12">
        <f t="shared" si="10"/>
        <v>0</v>
      </c>
      <c r="Y43" s="26">
        <f>Q43/0.8</f>
        <v>68.75</v>
      </c>
      <c r="Z43" s="12">
        <f t="shared" si="2"/>
        <v>0</v>
      </c>
      <c r="AA43" s="4" t="s">
        <v>10</v>
      </c>
      <c r="AB43" s="11">
        <f>IFERROR(VLOOKUP(AA43,Curr!$B$2:$C$13,2,FALSE),0)</f>
        <v>11</v>
      </c>
      <c r="AC43" s="12">
        <f t="shared" si="3"/>
        <v>0</v>
      </c>
      <c r="AD43" s="12">
        <f t="shared" si="4"/>
        <v>0</v>
      </c>
      <c r="AE43" s="13">
        <f t="shared" si="5"/>
        <v>0</v>
      </c>
    </row>
    <row r="44" spans="2:31" x14ac:dyDescent="0.25">
      <c r="B44" s="4"/>
      <c r="C44" s="1" t="s">
        <v>101</v>
      </c>
      <c r="D44" s="1" t="s">
        <v>83</v>
      </c>
      <c r="E44" s="3"/>
      <c r="F44" s="3"/>
      <c r="G44" s="24"/>
      <c r="H44" s="24"/>
      <c r="J44" s="1" t="s">
        <v>180</v>
      </c>
      <c r="K44" s="4"/>
      <c r="L44" s="4"/>
      <c r="M44" s="4"/>
      <c r="N44" s="4"/>
      <c r="O44" s="4"/>
      <c r="P44" s="27"/>
      <c r="Q44" s="25">
        <v>60</v>
      </c>
      <c r="R44" s="25">
        <v>0</v>
      </c>
      <c r="S44" s="12">
        <f t="shared" si="8"/>
        <v>0</v>
      </c>
      <c r="T44" s="5">
        <v>0</v>
      </c>
      <c r="U44" s="12">
        <f t="shared" si="9"/>
        <v>0</v>
      </c>
      <c r="V44" s="25" t="s">
        <v>10</v>
      </c>
      <c r="W44" s="11">
        <f>IFERROR(VLOOKUP(V44,Curr!$B$2:$C$13,2,FALSE),0)</f>
        <v>11</v>
      </c>
      <c r="X44" s="12">
        <f t="shared" si="10"/>
        <v>0</v>
      </c>
      <c r="Y44" s="26">
        <f>Q44/0.8</f>
        <v>75</v>
      </c>
      <c r="Z44" s="12">
        <f t="shared" si="2"/>
        <v>0</v>
      </c>
      <c r="AA44" s="4" t="s">
        <v>10</v>
      </c>
      <c r="AB44" s="11">
        <f>IFERROR(VLOOKUP(AA44,Curr!$B$2:$C$13,2,FALSE),0)</f>
        <v>11</v>
      </c>
      <c r="AC44" s="12">
        <f t="shared" si="3"/>
        <v>0</v>
      </c>
      <c r="AD44" s="12">
        <f t="shared" si="4"/>
        <v>0</v>
      </c>
      <c r="AE44" s="13">
        <f t="shared" si="5"/>
        <v>0</v>
      </c>
    </row>
    <row r="45" spans="2:31" x14ac:dyDescent="0.25">
      <c r="B45" s="4"/>
      <c r="C45" s="1" t="s">
        <v>110</v>
      </c>
      <c r="D45" s="1" t="s">
        <v>83</v>
      </c>
      <c r="E45" s="3"/>
      <c r="F45" s="3"/>
      <c r="G45" s="24"/>
      <c r="H45" s="24"/>
      <c r="J45" s="1" t="s">
        <v>137</v>
      </c>
      <c r="K45" s="4"/>
      <c r="L45" s="4"/>
      <c r="M45" s="4"/>
      <c r="N45" s="4"/>
      <c r="O45" s="4"/>
      <c r="P45" s="33" t="s">
        <v>182</v>
      </c>
      <c r="Q45" s="25">
        <v>163</v>
      </c>
      <c r="R45" s="25">
        <v>0</v>
      </c>
      <c r="S45" s="12">
        <f t="shared" si="8"/>
        <v>0</v>
      </c>
      <c r="T45" s="5">
        <v>0.2</v>
      </c>
      <c r="U45" s="12">
        <f t="shared" si="9"/>
        <v>0</v>
      </c>
      <c r="V45" s="25" t="s">
        <v>10</v>
      </c>
      <c r="W45" s="11">
        <f>IFERROR(VLOOKUP(V45,Curr!$B$2:$C$13,2,FALSE),0)</f>
        <v>11</v>
      </c>
      <c r="X45" s="12">
        <f t="shared" si="10"/>
        <v>0</v>
      </c>
      <c r="Y45" s="26">
        <f t="shared" ref="Y45" si="13">Q45</f>
        <v>163</v>
      </c>
      <c r="Z45" s="12">
        <f t="shared" si="2"/>
        <v>0</v>
      </c>
      <c r="AA45" s="4" t="s">
        <v>10</v>
      </c>
      <c r="AB45" s="11">
        <f>IFERROR(VLOOKUP(AA45,Curr!$B$2:$C$13,2,FALSE),0)</f>
        <v>11</v>
      </c>
      <c r="AC45" s="12">
        <f t="shared" si="3"/>
        <v>0</v>
      </c>
      <c r="AD45" s="12">
        <f t="shared" si="4"/>
        <v>0</v>
      </c>
      <c r="AE45" s="13">
        <f t="shared" si="5"/>
        <v>0</v>
      </c>
    </row>
    <row r="46" spans="2:31" hidden="1" x14ac:dyDescent="0.25">
      <c r="B46" s="4"/>
      <c r="E46" s="3"/>
      <c r="F46" s="3"/>
      <c r="G46" s="24"/>
      <c r="H46" s="24"/>
      <c r="K46" s="4"/>
      <c r="L46" s="4"/>
      <c r="M46" s="4"/>
      <c r="N46" s="4"/>
      <c r="O46" s="4"/>
      <c r="P46" s="33"/>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hidden="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C48" s="1" t="s">
        <v>65</v>
      </c>
      <c r="D48" s="1" t="s">
        <v>128</v>
      </c>
      <c r="E48" s="3"/>
      <c r="F48" s="3"/>
      <c r="G48" s="24"/>
      <c r="H48" s="24"/>
      <c r="J48" s="1" t="s">
        <v>191</v>
      </c>
      <c r="K48" s="4"/>
      <c r="L48" s="4"/>
      <c r="M48" s="4"/>
      <c r="N48" s="4"/>
      <c r="O48" s="4"/>
      <c r="P48" s="27"/>
      <c r="Q48" s="25">
        <v>540</v>
      </c>
      <c r="R48" s="25">
        <v>0</v>
      </c>
      <c r="S48" s="12">
        <f t="shared" si="8"/>
        <v>0</v>
      </c>
      <c r="T48" s="5">
        <v>0</v>
      </c>
      <c r="U48" s="12">
        <f t="shared" si="9"/>
        <v>0</v>
      </c>
      <c r="V48" s="25" t="s">
        <v>10</v>
      </c>
      <c r="W48" s="11">
        <f>IFERROR(VLOOKUP(V48,Curr!$B$2:$C$13,2,FALSE),0)</f>
        <v>11</v>
      </c>
      <c r="X48" s="12">
        <f t="shared" si="10"/>
        <v>0</v>
      </c>
      <c r="Y48" s="26">
        <f>Q48/0.8</f>
        <v>675</v>
      </c>
      <c r="Z48" s="12">
        <f t="shared" si="2"/>
        <v>0</v>
      </c>
      <c r="AA48" s="4" t="s">
        <v>10</v>
      </c>
      <c r="AB48" s="11">
        <f>IFERROR(VLOOKUP(AA48,Curr!$B$2:$C$13,2,FALSE),0)</f>
        <v>11</v>
      </c>
      <c r="AC48" s="12">
        <f t="shared" si="3"/>
        <v>0</v>
      </c>
      <c r="AD48" s="12">
        <f t="shared" si="4"/>
        <v>0</v>
      </c>
      <c r="AE48" s="13">
        <f t="shared" si="5"/>
        <v>0</v>
      </c>
    </row>
    <row r="49" spans="2:36" hidden="1"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ref="Y49:Y50" si="14">Q49</f>
        <v>0</v>
      </c>
      <c r="Z49" s="12">
        <f t="shared" si="2"/>
        <v>0</v>
      </c>
      <c r="AA49" s="4" t="s">
        <v>10</v>
      </c>
      <c r="AB49" s="11">
        <f>IFERROR(VLOOKUP(AA49,Curr!$B$2:$C$13,2,FALSE),0)</f>
        <v>11</v>
      </c>
      <c r="AC49" s="12">
        <f t="shared" si="3"/>
        <v>0</v>
      </c>
      <c r="AD49" s="12">
        <f t="shared" si="4"/>
        <v>0</v>
      </c>
      <c r="AE49" s="13">
        <f t="shared" si="5"/>
        <v>0</v>
      </c>
    </row>
    <row r="50" spans="2:36" hidden="1" x14ac:dyDescent="0.25">
      <c r="B50" s="4"/>
      <c r="E50" s="3"/>
      <c r="F50" s="3"/>
      <c r="G50" s="24"/>
      <c r="H50" s="24"/>
      <c r="K50" s="4"/>
      <c r="L50" s="4"/>
      <c r="M50" s="4"/>
      <c r="N50" s="4"/>
      <c r="O50" s="4"/>
      <c r="P50" s="33"/>
      <c r="Q50" s="25"/>
      <c r="R50" s="25"/>
      <c r="S50" s="12">
        <f t="shared" si="8"/>
        <v>0</v>
      </c>
      <c r="T50" s="5">
        <v>0</v>
      </c>
      <c r="U50" s="12">
        <f t="shared" si="9"/>
        <v>0</v>
      </c>
      <c r="V50" s="25" t="s">
        <v>10</v>
      </c>
      <c r="W50" s="11">
        <f>IFERROR(VLOOKUP(V50,Curr!$B$2:$C$13,2,FALSE),0)</f>
        <v>11</v>
      </c>
      <c r="X50" s="12">
        <f t="shared" si="10"/>
        <v>0</v>
      </c>
      <c r="Y50" s="26">
        <f t="shared" si="14"/>
        <v>0</v>
      </c>
      <c r="Z50" s="12">
        <f t="shared" si="2"/>
        <v>0</v>
      </c>
      <c r="AA50" s="4" t="s">
        <v>10</v>
      </c>
      <c r="AB50" s="11">
        <f>IFERROR(VLOOKUP(AA50,Curr!$B$2:$C$13,2,FALSE),0)</f>
        <v>11</v>
      </c>
      <c r="AC50" s="12">
        <f t="shared" si="3"/>
        <v>0</v>
      </c>
      <c r="AD50" s="12">
        <f t="shared" si="4"/>
        <v>0</v>
      </c>
      <c r="AE50" s="13">
        <f t="shared" si="5"/>
        <v>0</v>
      </c>
    </row>
    <row r="51" spans="2:36" x14ac:dyDescent="0.25">
      <c r="B51" s="4"/>
      <c r="C51" s="1" t="s">
        <v>110</v>
      </c>
      <c r="D51" s="1" t="s">
        <v>138</v>
      </c>
      <c r="E51" s="3"/>
      <c r="F51" s="3"/>
      <c r="G51" s="24"/>
      <c r="H51" s="24"/>
      <c r="J51" s="1" t="s">
        <v>139</v>
      </c>
      <c r="K51" s="4"/>
      <c r="L51" s="4"/>
      <c r="M51" s="4"/>
      <c r="N51" s="4"/>
      <c r="O51" s="4"/>
      <c r="P51" s="27"/>
      <c r="Q51" s="25">
        <v>225</v>
      </c>
      <c r="R51" s="25">
        <v>0</v>
      </c>
      <c r="S51" s="12">
        <f t="shared" si="8"/>
        <v>0</v>
      </c>
      <c r="T51" s="5">
        <v>0</v>
      </c>
      <c r="U51" s="12">
        <f t="shared" si="9"/>
        <v>0</v>
      </c>
      <c r="V51" s="25" t="s">
        <v>10</v>
      </c>
      <c r="W51" s="11">
        <f>IFERROR(VLOOKUP(V51,Curr!$B$2:$C$13,2,FALSE),0)</f>
        <v>11</v>
      </c>
      <c r="X51" s="12">
        <f t="shared" si="10"/>
        <v>0</v>
      </c>
      <c r="Y51" s="26">
        <f>Q51/0.85</f>
        <v>264.70588235294116</v>
      </c>
      <c r="Z51" s="12">
        <f t="shared" si="2"/>
        <v>0</v>
      </c>
      <c r="AA51" s="4" t="s">
        <v>10</v>
      </c>
      <c r="AB51" s="11">
        <f>IFERROR(VLOOKUP(AA51,Curr!$B$2:$C$13,2,FALSE),0)</f>
        <v>11</v>
      </c>
      <c r="AC51" s="12">
        <f t="shared" si="3"/>
        <v>0</v>
      </c>
      <c r="AD51" s="12">
        <f t="shared" si="4"/>
        <v>0</v>
      </c>
      <c r="AE51" s="13">
        <f t="shared" si="5"/>
        <v>0</v>
      </c>
    </row>
    <row r="52" spans="2:36" hidden="1"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hidden="1"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hidden="1" x14ac:dyDescent="0.25">
      <c r="B54" s="4"/>
      <c r="E54" s="3"/>
      <c r="F54" s="3"/>
      <c r="G54" s="24"/>
      <c r="H54" s="24"/>
      <c r="K54" s="4"/>
      <c r="L54" s="4"/>
      <c r="M54" s="4"/>
      <c r="N54" s="4"/>
      <c r="O54" s="4"/>
      <c r="P54" s="27"/>
      <c r="Q54" s="25"/>
      <c r="R54" s="25"/>
      <c r="S54" s="12">
        <f t="shared" si="8"/>
        <v>0</v>
      </c>
      <c r="T54" s="5">
        <v>0</v>
      </c>
      <c r="U54" s="12">
        <f t="shared" si="9"/>
        <v>0</v>
      </c>
      <c r="V54" s="25" t="s">
        <v>10</v>
      </c>
      <c r="W54" s="11">
        <f>IFERROR(VLOOKUP(V54,Curr!$B$2:$C$13,2,FALSE),0)</f>
        <v>11</v>
      </c>
      <c r="X54" s="12">
        <f t="shared" si="10"/>
        <v>0</v>
      </c>
      <c r="Y54" s="26">
        <f t="shared" si="11"/>
        <v>0</v>
      </c>
      <c r="Z54" s="12">
        <f t="shared" si="2"/>
        <v>0</v>
      </c>
      <c r="AA54" s="4" t="s">
        <v>10</v>
      </c>
      <c r="AB54" s="11">
        <f>IFERROR(VLOOKUP(AA54,Curr!$B$2:$C$13,2,FALSE),0)</f>
        <v>11</v>
      </c>
      <c r="AC54" s="12">
        <f t="shared" si="3"/>
        <v>0</v>
      </c>
      <c r="AD54" s="12">
        <f t="shared" si="4"/>
        <v>0</v>
      </c>
      <c r="AE54" s="13">
        <f t="shared" si="5"/>
        <v>0</v>
      </c>
    </row>
    <row r="55" spans="2:36" hidden="1"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2"/>
        <v>0</v>
      </c>
      <c r="AA55" s="4" t="s">
        <v>10</v>
      </c>
      <c r="AB55" s="11">
        <f>IFERROR(VLOOKUP(AA55,Curr!$B$2:$C$13,2,FALSE),0)</f>
        <v>11</v>
      </c>
      <c r="AC55" s="12">
        <f t="shared" si="3"/>
        <v>0</v>
      </c>
      <c r="AD55" s="12">
        <f t="shared" si="4"/>
        <v>0</v>
      </c>
      <c r="AE55" s="13">
        <f t="shared" si="5"/>
        <v>0</v>
      </c>
    </row>
    <row r="56" spans="2:36" hidden="1"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v>
      </c>
      <c r="X56" s="12">
        <f t="shared" si="10"/>
        <v>0</v>
      </c>
      <c r="Y56" s="26">
        <f t="shared" si="11"/>
        <v>0</v>
      </c>
      <c r="Z56" s="12">
        <f t="shared" si="2"/>
        <v>0</v>
      </c>
      <c r="AA56" s="4" t="s">
        <v>10</v>
      </c>
      <c r="AB56" s="11">
        <f>IFERROR(VLOOKUP(AA56,Curr!$B$2:$C$13,2,FALSE),0)</f>
        <v>11</v>
      </c>
      <c r="AC56" s="12">
        <f t="shared" si="3"/>
        <v>0</v>
      </c>
      <c r="AD56" s="12">
        <f t="shared" si="4"/>
        <v>0</v>
      </c>
      <c r="AE56" s="13">
        <f t="shared" si="5"/>
        <v>0</v>
      </c>
    </row>
    <row r="57" spans="2:36" hidden="1"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v>
      </c>
      <c r="X57" s="12">
        <f t="shared" si="10"/>
        <v>0</v>
      </c>
      <c r="Y57" s="26">
        <f t="shared" si="11"/>
        <v>0</v>
      </c>
      <c r="Z57" s="12">
        <f t="shared" si="2"/>
        <v>0</v>
      </c>
      <c r="AA57" s="4" t="s">
        <v>10</v>
      </c>
      <c r="AB57" s="11">
        <f>IFERROR(VLOOKUP(AA57,Curr!$B$2:$C$13,2,FALSE),0)</f>
        <v>11</v>
      </c>
      <c r="AC57" s="12">
        <f t="shared" si="3"/>
        <v>0</v>
      </c>
      <c r="AD57" s="12">
        <f t="shared" si="4"/>
        <v>0</v>
      </c>
      <c r="AE57" s="13">
        <f t="shared" si="5"/>
        <v>0</v>
      </c>
    </row>
    <row r="58" spans="2:36" hidden="1" x14ac:dyDescent="0.25">
      <c r="B58" s="4"/>
      <c r="E58" s="3"/>
      <c r="F58" s="3"/>
      <c r="G58" s="24"/>
      <c r="H58" s="24"/>
      <c r="K58" s="4"/>
      <c r="L58" s="4"/>
      <c r="M58" s="4"/>
      <c r="N58" s="4"/>
      <c r="O58" s="4"/>
      <c r="P58" s="27"/>
      <c r="Q58" s="25"/>
      <c r="R58" s="25"/>
      <c r="S58" s="12">
        <f t="shared" si="8"/>
        <v>0</v>
      </c>
      <c r="T58" s="5">
        <v>0</v>
      </c>
      <c r="U58" s="12">
        <f t="shared" si="9"/>
        <v>0</v>
      </c>
      <c r="V58" s="25" t="s">
        <v>10</v>
      </c>
      <c r="W58" s="11">
        <f>IFERROR(VLOOKUP(V58,Curr!$B$2:$C$13,2,FALSE),0)</f>
        <v>11</v>
      </c>
      <c r="X58" s="12">
        <f t="shared" si="10"/>
        <v>0</v>
      </c>
      <c r="Y58" s="26">
        <f t="shared" si="11"/>
        <v>0</v>
      </c>
      <c r="Z58" s="12">
        <f t="shared" si="2"/>
        <v>0</v>
      </c>
      <c r="AA58" s="4" t="s">
        <v>10</v>
      </c>
      <c r="AB58" s="11">
        <f>IFERROR(VLOOKUP(AA58,Curr!$B$2:$C$13,2,FALSE),0)</f>
        <v>11</v>
      </c>
      <c r="AC58" s="12">
        <f t="shared" si="3"/>
        <v>0</v>
      </c>
      <c r="AD58" s="12">
        <f t="shared" si="4"/>
        <v>0</v>
      </c>
      <c r="AE58" s="13">
        <f t="shared" si="5"/>
        <v>0</v>
      </c>
    </row>
    <row r="59" spans="2:36" hidden="1" x14ac:dyDescent="0.25">
      <c r="B59" s="4"/>
      <c r="E59" s="3"/>
      <c r="F59" s="3"/>
      <c r="G59" s="24"/>
      <c r="H59" s="24"/>
      <c r="K59" s="4"/>
      <c r="L59" s="4"/>
      <c r="M59" s="4"/>
      <c r="N59" s="4"/>
      <c r="O59" s="4"/>
      <c r="P59" s="27"/>
      <c r="Q59" s="25"/>
      <c r="R59" s="25"/>
      <c r="S59" s="12">
        <f t="shared" si="8"/>
        <v>0</v>
      </c>
      <c r="T59" s="5">
        <v>0</v>
      </c>
      <c r="U59" s="12">
        <f t="shared" si="9"/>
        <v>0</v>
      </c>
      <c r="V59" s="25" t="s">
        <v>10</v>
      </c>
      <c r="W59" s="11">
        <f>IFERROR(VLOOKUP(V59,Curr!$B$2:$C$13,2,FALSE),0)</f>
        <v>11</v>
      </c>
      <c r="X59" s="12">
        <f t="shared" si="10"/>
        <v>0</v>
      </c>
      <c r="Y59" s="26">
        <f t="shared" si="11"/>
        <v>0</v>
      </c>
      <c r="Z59" s="12">
        <f t="shared" si="2"/>
        <v>0</v>
      </c>
      <c r="AA59" s="4" t="s">
        <v>10</v>
      </c>
      <c r="AB59" s="11">
        <f>IFERROR(VLOOKUP(AA59,Curr!$B$2:$C$13,2,FALSE),0)</f>
        <v>11</v>
      </c>
      <c r="AC59" s="12">
        <f t="shared" si="3"/>
        <v>0</v>
      </c>
      <c r="AD59" s="12">
        <f t="shared" si="4"/>
        <v>0</v>
      </c>
      <c r="AE59" s="13">
        <f t="shared" si="5"/>
        <v>0</v>
      </c>
    </row>
    <row r="60" spans="2:36" hidden="1" x14ac:dyDescent="0.25">
      <c r="B60" s="4"/>
      <c r="E60" s="3"/>
      <c r="F60" s="3"/>
      <c r="G60" s="24"/>
      <c r="H60" s="24"/>
      <c r="K60" s="4"/>
      <c r="L60" s="4"/>
      <c r="M60" s="4"/>
      <c r="N60" s="4"/>
      <c r="O60" s="4"/>
      <c r="P60" s="27"/>
      <c r="Q60" s="25"/>
      <c r="R60" s="25"/>
      <c r="S60" s="12">
        <f t="shared" si="8"/>
        <v>0</v>
      </c>
      <c r="T60" s="5">
        <v>0</v>
      </c>
      <c r="U60" s="12">
        <f t="shared" si="9"/>
        <v>0</v>
      </c>
      <c r="V60" s="25" t="s">
        <v>10</v>
      </c>
      <c r="W60" s="11">
        <f>IFERROR(VLOOKUP(V60,Curr!$B$2:$C$13,2,FALSE),0)</f>
        <v>11</v>
      </c>
      <c r="X60" s="12">
        <f t="shared" si="10"/>
        <v>0</v>
      </c>
      <c r="Y60" s="26">
        <f t="shared" si="11"/>
        <v>0</v>
      </c>
      <c r="Z60" s="12">
        <f t="shared" si="2"/>
        <v>0</v>
      </c>
      <c r="AA60" s="4" t="s">
        <v>10</v>
      </c>
      <c r="AB60" s="11">
        <f>IFERROR(VLOOKUP(AA60,Curr!$B$2:$C$13,2,FALSE),0)</f>
        <v>11</v>
      </c>
      <c r="AC60" s="12">
        <f t="shared" si="3"/>
        <v>0</v>
      </c>
      <c r="AD60" s="12">
        <f t="shared" si="4"/>
        <v>0</v>
      </c>
      <c r="AE60" s="13">
        <f t="shared" si="5"/>
        <v>0</v>
      </c>
    </row>
    <row r="61" spans="2:36" hidden="1" x14ac:dyDescent="0.25">
      <c r="B61" s="4"/>
      <c r="E61" s="3"/>
      <c r="F61" s="3"/>
      <c r="G61" s="3"/>
      <c r="H61" s="3"/>
      <c r="L61" s="4"/>
      <c r="M61" s="4"/>
      <c r="N61" s="4"/>
      <c r="O61" s="4"/>
      <c r="P61" s="22"/>
      <c r="Q61" s="4"/>
      <c r="R61" s="4"/>
      <c r="S61" s="4"/>
      <c r="T61" s="4"/>
      <c r="U61" s="4"/>
      <c r="V61" s="4"/>
      <c r="W61" s="4"/>
      <c r="X61" s="4"/>
      <c r="Y61" s="4"/>
      <c r="Z61" s="4"/>
      <c r="AA61" s="4"/>
      <c r="AB61" s="4"/>
      <c r="AC61" s="4"/>
      <c r="AD61" s="4"/>
      <c r="AE61" s="4"/>
      <c r="AF61" s="4"/>
    </row>
    <row r="62" spans="2:36" x14ac:dyDescent="0.25">
      <c r="B62" s="14" t="s">
        <v>18</v>
      </c>
      <c r="C62" s="14"/>
      <c r="D62" s="28" t="s">
        <v>42</v>
      </c>
      <c r="E62" s="30" t="s">
        <v>42</v>
      </c>
      <c r="F62" s="30" t="s">
        <v>42</v>
      </c>
      <c r="G62" s="30" t="s">
        <v>42</v>
      </c>
      <c r="H62" s="30" t="s">
        <v>42</v>
      </c>
      <c r="I62" s="28" t="s">
        <v>42</v>
      </c>
      <c r="J62" s="28" t="s">
        <v>42</v>
      </c>
      <c r="K62" s="28" t="s">
        <v>42</v>
      </c>
      <c r="L62" s="28" t="s">
        <v>42</v>
      </c>
      <c r="M62" s="28" t="s">
        <v>42</v>
      </c>
      <c r="N62" s="28" t="s">
        <v>42</v>
      </c>
      <c r="O62" s="28" t="s">
        <v>42</v>
      </c>
      <c r="P62" s="28" t="s">
        <v>42</v>
      </c>
      <c r="Q62" s="31" t="s">
        <v>42</v>
      </c>
      <c r="R62" s="28" t="s">
        <v>42</v>
      </c>
      <c r="S62" s="32" t="s">
        <v>42</v>
      </c>
      <c r="T62" s="28" t="s">
        <v>42</v>
      </c>
      <c r="U62" s="32" t="s">
        <v>42</v>
      </c>
      <c r="V62" s="28" t="s">
        <v>42</v>
      </c>
      <c r="W62" s="28" t="s">
        <v>42</v>
      </c>
      <c r="X62" s="32" t="s">
        <v>42</v>
      </c>
      <c r="Y62" s="32" t="s">
        <v>42</v>
      </c>
      <c r="Z62" s="15">
        <f>SUM(Z7:Z60)</f>
        <v>4878.5882352941171</v>
      </c>
      <c r="AA62" s="14"/>
      <c r="AB62" s="14"/>
      <c r="AC62" s="15">
        <f>SUM(AC7:AC60)</f>
        <v>53664.470588235301</v>
      </c>
      <c r="AD62" s="15">
        <f>SUM(AD7:AD60)</f>
        <v>8432.4705882352937</v>
      </c>
      <c r="AE62" s="21">
        <f t="shared" ref="AE62" si="15">IFERROR(AD62/AC62,0)</f>
        <v>0.15713321115076684</v>
      </c>
      <c r="AF62" s="15">
        <f>SUM(AF8:AF61)</f>
        <v>0</v>
      </c>
      <c r="AG62" s="15">
        <f>SUM(AG8:AG61)</f>
        <v>0</v>
      </c>
      <c r="AH62" s="15">
        <f>SUM(AH8:AH61)</f>
        <v>0</v>
      </c>
      <c r="AI62" s="15">
        <f>SUM(AI8:AI61)</f>
        <v>0</v>
      </c>
      <c r="AJ62" s="15">
        <f>SUM(AJ8:AJ61)</f>
        <v>0</v>
      </c>
    </row>
    <row r="63" spans="2:36" x14ac:dyDescent="0.25">
      <c r="B63" s="4"/>
      <c r="E63" s="3"/>
      <c r="F63" s="3"/>
      <c r="G63" s="3"/>
      <c r="H63" s="3"/>
      <c r="L63" s="4"/>
      <c r="M63" s="4"/>
      <c r="N63" s="4"/>
      <c r="O63" s="4"/>
      <c r="Q63" s="4"/>
      <c r="R63" s="4"/>
      <c r="S63" s="4"/>
      <c r="T63" s="4"/>
      <c r="U63" s="4"/>
      <c r="V63" s="4"/>
      <c r="W63" s="4"/>
      <c r="X63" s="4"/>
      <c r="Y63" s="9"/>
      <c r="Z63" s="9"/>
      <c r="AA63" s="9"/>
      <c r="AB63" s="9"/>
      <c r="AC63" s="9"/>
      <c r="AD63" s="9"/>
      <c r="AE63" s="9"/>
    </row>
    <row r="64" spans="2:36" x14ac:dyDescent="0.25">
      <c r="B64" s="4"/>
      <c r="E64" s="3"/>
      <c r="F64" s="3"/>
      <c r="G64" s="3"/>
      <c r="H64" s="3"/>
      <c r="L64" s="4"/>
      <c r="M64" s="4"/>
      <c r="N64" s="4"/>
      <c r="O64" s="4"/>
      <c r="Q64" s="9"/>
      <c r="R64" s="9"/>
      <c r="S64" s="9"/>
      <c r="T64" s="9"/>
      <c r="U64" s="9"/>
      <c r="V64" s="9"/>
      <c r="W64" s="9"/>
      <c r="X64" s="23"/>
      <c r="Y64" s="34" t="s">
        <v>234</v>
      </c>
      <c r="Z64" s="34">
        <f>Z12</f>
        <v>4408</v>
      </c>
      <c r="AA64" s="9"/>
      <c r="AB64" s="9"/>
      <c r="AC64" s="9"/>
      <c r="AD64" s="9"/>
      <c r="AE64" s="9"/>
    </row>
    <row r="65" spans="2:32" x14ac:dyDescent="0.25">
      <c r="B65" s="4"/>
      <c r="E65" s="3"/>
      <c r="F65" s="3"/>
      <c r="G65" s="3"/>
      <c r="H65" s="3"/>
      <c r="L65" s="4"/>
      <c r="M65" s="4"/>
      <c r="N65" s="4"/>
      <c r="O65" s="4"/>
      <c r="Q65" s="9"/>
      <c r="R65" s="9"/>
      <c r="S65" s="9"/>
      <c r="T65" s="9"/>
      <c r="U65" s="9"/>
      <c r="V65" s="9"/>
      <c r="W65" s="9"/>
      <c r="X65" s="9"/>
      <c r="Y65" s="35" t="s">
        <v>235</v>
      </c>
      <c r="Z65" s="34">
        <f>Z9+Z28</f>
        <v>470.58823529411768</v>
      </c>
      <c r="AA65" s="9"/>
      <c r="AB65" s="9"/>
      <c r="AC65" s="9"/>
      <c r="AD65" s="9"/>
      <c r="AE65" s="9"/>
      <c r="AF65" s="18"/>
    </row>
    <row r="66" spans="2:32" x14ac:dyDescent="0.25">
      <c r="B66" s="4"/>
      <c r="E66" s="3"/>
      <c r="F66" s="3"/>
      <c r="G66" s="3"/>
      <c r="H66" s="3"/>
      <c r="I66" s="19"/>
      <c r="L66" s="4"/>
      <c r="M66" s="4"/>
      <c r="N66" s="4"/>
      <c r="O66" s="20"/>
      <c r="Q66" s="20"/>
      <c r="R66" s="20"/>
      <c r="S66" s="20"/>
      <c r="T66" s="20"/>
      <c r="U66" s="20"/>
      <c r="V66" s="20"/>
      <c r="W66" s="20"/>
      <c r="X66" s="20"/>
      <c r="Y66" s="34" t="s">
        <v>236</v>
      </c>
      <c r="Z66" s="34">
        <v>4880</v>
      </c>
      <c r="AA66" s="9"/>
      <c r="AB66" s="9"/>
      <c r="AC66" s="9"/>
      <c r="AD66" s="9"/>
      <c r="AE66" s="9"/>
      <c r="AF66" s="18"/>
    </row>
    <row r="67" spans="2:32" x14ac:dyDescent="0.25">
      <c r="B67" s="4"/>
      <c r="E67" s="3"/>
      <c r="F67" s="3"/>
      <c r="G67" s="3"/>
      <c r="H67" s="3"/>
      <c r="L67" s="4"/>
      <c r="M67" s="4"/>
      <c r="N67" s="4"/>
      <c r="O67" s="20"/>
      <c r="Q67" s="20"/>
      <c r="R67" s="20"/>
      <c r="S67" s="20"/>
      <c r="T67" s="20"/>
      <c r="U67" s="20"/>
      <c r="V67" s="20"/>
      <c r="W67" s="20"/>
      <c r="X67" s="20"/>
      <c r="Y67" s="34" t="s">
        <v>45</v>
      </c>
      <c r="Z67" s="34">
        <f>Z66/2</f>
        <v>2440</v>
      </c>
      <c r="AA67" s="9"/>
      <c r="AB67" s="9"/>
      <c r="AC67" s="9"/>
      <c r="AD67" s="9"/>
      <c r="AE67" s="9"/>
      <c r="AF67" s="18"/>
    </row>
    <row r="68" spans="2:32" x14ac:dyDescent="0.25">
      <c r="B68" s="4"/>
      <c r="E68" s="3"/>
      <c r="F68" s="3"/>
      <c r="G68" s="3"/>
      <c r="H68" s="3"/>
      <c r="L68" s="4"/>
      <c r="M68" s="4"/>
      <c r="N68" s="4"/>
      <c r="O68" s="4"/>
      <c r="Q68" s="9"/>
      <c r="R68" s="9"/>
      <c r="S68" s="9"/>
      <c r="T68" s="9"/>
      <c r="U68" s="9"/>
      <c r="V68" s="9"/>
      <c r="W68" s="9"/>
      <c r="X68" s="9"/>
      <c r="Y68" s="1"/>
      <c r="Z68" s="1"/>
      <c r="AA68" s="9"/>
      <c r="AB68" s="9"/>
      <c r="AC68" s="9"/>
      <c r="AD68" s="9"/>
      <c r="AE68" s="9"/>
      <c r="AF68" s="18"/>
    </row>
    <row r="69" spans="2:32" x14ac:dyDescent="0.25">
      <c r="F69" s="1"/>
      <c r="G69" s="1"/>
      <c r="H69" s="1"/>
      <c r="J69" s="1" t="s">
        <v>32</v>
      </c>
      <c r="Q69" s="9"/>
      <c r="R69" s="4"/>
      <c r="S69" s="9"/>
      <c r="T69" s="5"/>
      <c r="U69" s="9"/>
      <c r="V69" s="4"/>
      <c r="W69" s="4"/>
      <c r="X69" s="9"/>
      <c r="Y69" s="9" t="s">
        <v>46</v>
      </c>
      <c r="Z69" s="9">
        <f>Z66-Z70</f>
        <v>4880</v>
      </c>
      <c r="AA69" s="9"/>
      <c r="AB69" s="9"/>
      <c r="AC69" s="9"/>
      <c r="AD69" s="9"/>
      <c r="AE69" s="9"/>
    </row>
    <row r="70" spans="2:32" x14ac:dyDescent="0.25">
      <c r="R70" s="4"/>
      <c r="S70" s="17"/>
      <c r="T70" s="17"/>
      <c r="U70" s="9"/>
      <c r="V70" s="4"/>
      <c r="W70" s="4"/>
      <c r="X70" s="9"/>
      <c r="Y70" s="9" t="s">
        <v>47</v>
      </c>
      <c r="Z70" s="9">
        <v>0</v>
      </c>
      <c r="AA70" s="9"/>
      <c r="AB70" s="9"/>
      <c r="AC70" s="9"/>
      <c r="AD70" s="9"/>
      <c r="AE70" s="9"/>
    </row>
    <row r="71" spans="2:32" x14ac:dyDescent="0.25">
      <c r="Q71" s="9"/>
      <c r="R71" s="4"/>
      <c r="S71" s="16"/>
      <c r="T71" s="16"/>
      <c r="U71" s="9"/>
      <c r="V71" s="4"/>
      <c r="W71" s="4"/>
      <c r="X71" s="9"/>
      <c r="Y71" s="9"/>
      <c r="Z71" s="9"/>
      <c r="AA71" s="9"/>
      <c r="AB71" s="9"/>
      <c r="AC71" s="9"/>
      <c r="AD71" s="9"/>
      <c r="AE71" s="9"/>
    </row>
    <row r="72" spans="2:32" x14ac:dyDescent="0.25">
      <c r="R72" s="4"/>
      <c r="S72" s="16"/>
      <c r="T72" s="16"/>
      <c r="Y72" s="9" t="s">
        <v>48</v>
      </c>
      <c r="Z72" s="9">
        <f>Z66*0.3</f>
        <v>1464</v>
      </c>
      <c r="AA72" s="9"/>
      <c r="AB72" s="9"/>
      <c r="AC72" s="9"/>
      <c r="AD72" s="9"/>
      <c r="AE72" s="9"/>
    </row>
    <row r="73" spans="2:32" x14ac:dyDescent="0.25">
      <c r="T73" s="5"/>
      <c r="Y73" s="9" t="s">
        <v>49</v>
      </c>
      <c r="Z73" s="9">
        <f>Z66-Z72</f>
        <v>3416</v>
      </c>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20" x14ac:dyDescent="0.25">
      <c r="T81" s="5"/>
    </row>
    <row r="82" spans="20:20" x14ac:dyDescent="0.25">
      <c r="T82" s="5"/>
    </row>
    <row r="83" spans="20:20" x14ac:dyDescent="0.25">
      <c r="T83" s="5"/>
    </row>
    <row r="84" spans="20:20" x14ac:dyDescent="0.25">
      <c r="T84" s="5"/>
    </row>
    <row r="85" spans="20:20" x14ac:dyDescent="0.25">
      <c r="T85" s="5"/>
    </row>
  </sheetData>
  <autoFilter ref="B6:AE62" xr:uid="{65FA6D9B-E0AF-46CD-BA0D-86BB75FE6AB0}">
    <filterColumn colId="8">
      <customFilters>
        <customFilter operator="notEqual" val=" "/>
      </customFilters>
    </filterColumn>
  </autoFilter>
  <hyperlinks>
    <hyperlink ref="P12" r:id="rId1" xr:uid="{1F6CF7FA-A514-484D-BA6D-EB27A72A0904}"/>
    <hyperlink ref="P45" r:id="rId2" xr:uid="{0D399A17-E286-4177-85B0-46398DE80321}"/>
    <hyperlink ref="P41" r:id="rId3" xr:uid="{CE0911F2-67EF-4E33-B0F8-9A4638B4B847}"/>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C526-29C0-48D2-9C50-31F5C04714E9}">
  <sheetPr>
    <tabColor rgb="FFFFFF00"/>
  </sheetPr>
  <dimension ref="B1:AK68"/>
  <sheetViews>
    <sheetView zoomScale="80" zoomScaleNormal="80" workbookViewId="0">
      <selection activeCell="Z29" sqref="Z2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124</v>
      </c>
    </row>
    <row r="2" spans="2:36" x14ac:dyDescent="0.25">
      <c r="B2" s="2" t="s">
        <v>216</v>
      </c>
    </row>
    <row r="3" spans="2:36" x14ac:dyDescent="0.25">
      <c r="B3" s="2" t="s">
        <v>53</v>
      </c>
    </row>
    <row r="4" spans="2:36" x14ac:dyDescent="0.25">
      <c r="B4" s="2" t="s">
        <v>54</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43" si="2">+Y7*R7</f>
        <v>0</v>
      </c>
      <c r="AA7" s="4" t="s">
        <v>10</v>
      </c>
      <c r="AB7" s="11">
        <f>IFERROR(VLOOKUP(AA7,Curr!$B$2:$C$13,2,FALSE),0)</f>
        <v>11</v>
      </c>
      <c r="AC7" s="12">
        <f t="shared" ref="AC7:AC43" si="3">+Y7*AB7*R7</f>
        <v>0</v>
      </c>
      <c r="AD7" s="12">
        <f t="shared" ref="AD7:AD43" si="4">+AC7-X7</f>
        <v>0</v>
      </c>
      <c r="AE7" s="13">
        <f t="shared" ref="AE7:AE43"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 t="shared" ref="Y8:Y1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146</v>
      </c>
      <c r="K9" s="4"/>
      <c r="L9" s="4"/>
      <c r="M9" s="4"/>
      <c r="N9" s="4"/>
      <c r="O9" s="4"/>
      <c r="P9" s="27"/>
      <c r="Q9" s="25">
        <v>1000</v>
      </c>
      <c r="R9" s="25">
        <v>1</v>
      </c>
      <c r="S9" s="12">
        <f t="shared" si="0"/>
        <v>1000</v>
      </c>
      <c r="T9" s="5">
        <v>0</v>
      </c>
      <c r="U9" s="12">
        <f t="shared" si="6"/>
        <v>1000</v>
      </c>
      <c r="V9" s="25" t="s">
        <v>10</v>
      </c>
      <c r="W9" s="11">
        <f>IFERROR(VLOOKUP(V9,Curr!$B$2:$C$13,2,FALSE),0)</f>
        <v>11</v>
      </c>
      <c r="X9" s="12">
        <f t="shared" si="1"/>
        <v>11000</v>
      </c>
      <c r="Y9" s="26">
        <f>Q9/0.85</f>
        <v>1176.4705882352941</v>
      </c>
      <c r="Z9" s="12">
        <f t="shared" si="2"/>
        <v>1176.4705882352941</v>
      </c>
      <c r="AA9" s="4" t="s">
        <v>10</v>
      </c>
      <c r="AB9" s="11">
        <f>IFERROR(VLOOKUP(AA9,Curr!$B$2:$C$13,2,FALSE),0)</f>
        <v>11</v>
      </c>
      <c r="AC9" s="12">
        <f t="shared" si="3"/>
        <v>12941.176470588236</v>
      </c>
      <c r="AD9" s="12">
        <f t="shared" si="4"/>
        <v>1941.176470588236</v>
      </c>
      <c r="AE9" s="13">
        <f t="shared" si="5"/>
        <v>0.15000000000000005</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ref="S11:S43" si="8">+Q11*R11</f>
        <v>0</v>
      </c>
      <c r="T11" s="5">
        <v>0</v>
      </c>
      <c r="U11" s="12">
        <f t="shared" ref="U11:U43" si="9">S11*(1-T11)</f>
        <v>0</v>
      </c>
      <c r="V11" s="25" t="s">
        <v>10</v>
      </c>
      <c r="W11" s="11">
        <f>IFERROR(VLOOKUP(V11,Curr!$B$2:$C$13,2,FALSE),0)</f>
        <v>11</v>
      </c>
      <c r="X11" s="12">
        <f t="shared" ref="X11:X43" si="10">U11*W11</f>
        <v>0</v>
      </c>
      <c r="Y11" s="26">
        <f t="shared" ref="Y11:Y43" si="11">Q11</f>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221</v>
      </c>
      <c r="K12" s="4"/>
      <c r="L12" s="4"/>
      <c r="M12" s="4"/>
      <c r="N12" s="4"/>
      <c r="O12" s="4"/>
      <c r="P12" s="33" t="s">
        <v>222</v>
      </c>
      <c r="Q12" s="25">
        <v>85</v>
      </c>
      <c r="R12" s="25">
        <v>2</v>
      </c>
      <c r="S12" s="12">
        <f t="shared" ref="S12" si="12">+Q12*R12</f>
        <v>170</v>
      </c>
      <c r="T12" s="5">
        <v>0.25</v>
      </c>
      <c r="U12" s="12">
        <f t="shared" ref="U12" si="13">S12*(1-T12)</f>
        <v>127.5</v>
      </c>
      <c r="V12" s="25" t="s">
        <v>10</v>
      </c>
      <c r="W12" s="11">
        <f>IFERROR(VLOOKUP(V12,Curr!$B$2:$C$13,2,FALSE),0)</f>
        <v>11</v>
      </c>
      <c r="X12" s="12">
        <f t="shared" ref="X12" si="14">U12*W12</f>
        <v>1402.5</v>
      </c>
      <c r="Y12" s="26">
        <f t="shared" ref="Y12" si="15">Q12</f>
        <v>85</v>
      </c>
      <c r="Z12" s="12">
        <f t="shared" si="2"/>
        <v>170</v>
      </c>
      <c r="AA12" s="4" t="s">
        <v>10</v>
      </c>
      <c r="AB12" s="11">
        <f>IFERROR(VLOOKUP(AA12,Curr!$B$2:$C$13,2,FALSE),0)</f>
        <v>11</v>
      </c>
      <c r="AC12" s="12">
        <f t="shared" si="3"/>
        <v>1870</v>
      </c>
      <c r="AD12" s="12">
        <f t="shared" si="4"/>
        <v>467.5</v>
      </c>
      <c r="AE12" s="13">
        <f t="shared" si="5"/>
        <v>0.25</v>
      </c>
    </row>
    <row r="13" spans="2:36" x14ac:dyDescent="0.25">
      <c r="B13" s="4"/>
      <c r="C13" s="1" t="s">
        <v>65</v>
      </c>
      <c r="D13" s="1" t="s">
        <v>60</v>
      </c>
      <c r="E13" s="3"/>
      <c r="F13" s="3"/>
      <c r="G13" s="24"/>
      <c r="H13" s="24"/>
      <c r="J13" s="1" t="s">
        <v>136</v>
      </c>
      <c r="K13" s="4"/>
      <c r="L13" s="4"/>
      <c r="M13" s="4"/>
      <c r="N13" s="4"/>
      <c r="O13" s="4"/>
      <c r="P13" s="27"/>
      <c r="Q13" s="25">
        <v>0</v>
      </c>
      <c r="R13" s="25">
        <v>0</v>
      </c>
      <c r="S13" s="12">
        <f t="shared" si="8"/>
        <v>0</v>
      </c>
      <c r="T13" s="5">
        <v>0</v>
      </c>
      <c r="U13" s="12">
        <f t="shared" si="9"/>
        <v>0</v>
      </c>
      <c r="V13" s="25" t="s">
        <v>10</v>
      </c>
      <c r="W13" s="11">
        <f>IFERROR(VLOOKUP(V13,Curr!$B$2:$C$13,2,FALSE),0)</f>
        <v>11</v>
      </c>
      <c r="X13" s="12">
        <f t="shared" si="10"/>
        <v>0</v>
      </c>
      <c r="Y13" s="26">
        <f t="shared" si="11"/>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241</v>
      </c>
      <c r="K14" s="4"/>
      <c r="L14" s="4"/>
      <c r="M14" s="4"/>
      <c r="N14" s="4"/>
      <c r="O14" s="4"/>
      <c r="P14" s="33" t="s">
        <v>242</v>
      </c>
      <c r="Q14" s="25">
        <v>89</v>
      </c>
      <c r="R14" s="25">
        <v>2</v>
      </c>
      <c r="S14" s="12">
        <f t="shared" si="8"/>
        <v>178</v>
      </c>
      <c r="T14" s="5">
        <v>0.25</v>
      </c>
      <c r="U14" s="12">
        <f t="shared" si="9"/>
        <v>133.5</v>
      </c>
      <c r="V14" s="25" t="s">
        <v>10</v>
      </c>
      <c r="W14" s="11">
        <f>IFERROR(VLOOKUP(V14,Curr!$B$2:$C$13,2,FALSE),0)</f>
        <v>11</v>
      </c>
      <c r="X14" s="12">
        <f t="shared" si="10"/>
        <v>1468.5</v>
      </c>
      <c r="Y14" s="26">
        <f t="shared" si="11"/>
        <v>89</v>
      </c>
      <c r="Z14" s="12">
        <f t="shared" si="2"/>
        <v>178</v>
      </c>
      <c r="AA14" s="4" t="s">
        <v>10</v>
      </c>
      <c r="AB14" s="11">
        <f>IFERROR(VLOOKUP(AA14,Curr!$B$2:$C$13,2,FALSE),0)</f>
        <v>11</v>
      </c>
      <c r="AC14" s="12">
        <f t="shared" si="3"/>
        <v>1958</v>
      </c>
      <c r="AD14" s="12">
        <f t="shared" si="4"/>
        <v>489.5</v>
      </c>
      <c r="AE14" s="13">
        <f t="shared" si="5"/>
        <v>0.25</v>
      </c>
    </row>
    <row r="15" spans="2:36" x14ac:dyDescent="0.25">
      <c r="B15" s="4"/>
      <c r="E15" s="3"/>
      <c r="F15" s="3"/>
      <c r="G15" s="24"/>
      <c r="H15" s="24"/>
      <c r="K15" s="4"/>
      <c r="L15" s="4"/>
      <c r="M15" s="4"/>
      <c r="N15" s="4"/>
      <c r="O15" s="4"/>
      <c r="P15" s="27"/>
      <c r="Q15" s="25"/>
      <c r="R15" s="25"/>
      <c r="S15" s="12">
        <f t="shared" si="8"/>
        <v>0</v>
      </c>
      <c r="T15" s="5">
        <v>0</v>
      </c>
      <c r="U15" s="12">
        <f t="shared" si="9"/>
        <v>0</v>
      </c>
      <c r="V15" s="25" t="s">
        <v>10</v>
      </c>
      <c r="W15" s="11">
        <f>IFERROR(VLOOKUP(V15,Curr!$B$2:$C$13,2,FALSE),0)</f>
        <v>11</v>
      </c>
      <c r="X15" s="12">
        <f t="shared" si="10"/>
        <v>0</v>
      </c>
      <c r="Y15" s="26">
        <f t="shared" si="11"/>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224</v>
      </c>
      <c r="K16" s="4"/>
      <c r="L16" s="4"/>
      <c r="M16" s="4"/>
      <c r="N16" s="4"/>
      <c r="O16" s="4"/>
      <c r="P16" s="33" t="s">
        <v>223</v>
      </c>
      <c r="Q16" s="25">
        <v>140</v>
      </c>
      <c r="R16" s="25">
        <v>2</v>
      </c>
      <c r="S16" s="12">
        <f t="shared" ref="S16" si="16">+Q16*R16</f>
        <v>280</v>
      </c>
      <c r="T16" s="5">
        <v>0.25</v>
      </c>
      <c r="U16" s="12">
        <f t="shared" ref="U16" si="17">S16*(1-T16)</f>
        <v>210</v>
      </c>
      <c r="V16" s="25" t="s">
        <v>10</v>
      </c>
      <c r="W16" s="11">
        <f>IFERROR(VLOOKUP(V16,Curr!$B$2:$C$13,2,FALSE),0)</f>
        <v>11</v>
      </c>
      <c r="X16" s="12">
        <f t="shared" ref="X16" si="18">U16*W16</f>
        <v>2310</v>
      </c>
      <c r="Y16" s="26">
        <f t="shared" ref="Y16" si="19">Q16</f>
        <v>140</v>
      </c>
      <c r="Z16" s="12">
        <f t="shared" si="2"/>
        <v>280</v>
      </c>
      <c r="AA16" s="4" t="s">
        <v>10</v>
      </c>
      <c r="AB16" s="11">
        <f>IFERROR(VLOOKUP(AA16,Curr!$B$2:$C$13,2,FALSE),0)</f>
        <v>11</v>
      </c>
      <c r="AC16" s="12">
        <f t="shared" si="3"/>
        <v>3080</v>
      </c>
      <c r="AD16" s="12">
        <f t="shared" si="4"/>
        <v>770</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8"/>
        <v>0</v>
      </c>
      <c r="T17" s="5">
        <v>0</v>
      </c>
      <c r="U17" s="12">
        <f t="shared" si="9"/>
        <v>0</v>
      </c>
      <c r="V17" s="25" t="s">
        <v>10</v>
      </c>
      <c r="W17" s="11">
        <f>IFERROR(VLOOKUP(V17,Curr!$B$2:$C$13,2,FALSE),0)</f>
        <v>11</v>
      </c>
      <c r="X17" s="12">
        <f t="shared" si="10"/>
        <v>0</v>
      </c>
      <c r="Y17" s="26">
        <f t="shared" si="11"/>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1"/>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247</v>
      </c>
      <c r="K19" s="4"/>
      <c r="L19" s="4"/>
      <c r="M19" s="4"/>
      <c r="N19" s="4"/>
      <c r="O19" s="4"/>
      <c r="P19" s="33" t="s">
        <v>182</v>
      </c>
      <c r="Q19" s="25">
        <v>163</v>
      </c>
      <c r="R19" s="25">
        <v>2</v>
      </c>
      <c r="S19" s="12">
        <f t="shared" si="8"/>
        <v>326</v>
      </c>
      <c r="T19" s="5">
        <v>0.2</v>
      </c>
      <c r="U19" s="12">
        <f t="shared" si="9"/>
        <v>260.8</v>
      </c>
      <c r="V19" s="25" t="s">
        <v>10</v>
      </c>
      <c r="W19" s="11">
        <f>IFERROR(VLOOKUP(V19,Curr!$B$2:$C$13,2,FALSE),0)</f>
        <v>11</v>
      </c>
      <c r="X19" s="12">
        <f t="shared" si="10"/>
        <v>2868.8</v>
      </c>
      <c r="Y19" s="26">
        <f t="shared" si="11"/>
        <v>163</v>
      </c>
      <c r="Z19" s="12">
        <f t="shared" si="2"/>
        <v>326</v>
      </c>
      <c r="AA19" s="4" t="s">
        <v>10</v>
      </c>
      <c r="AB19" s="11">
        <f>IFERROR(VLOOKUP(AA19,Curr!$B$2:$C$13,2,FALSE),0)</f>
        <v>11</v>
      </c>
      <c r="AC19" s="12">
        <f t="shared" si="3"/>
        <v>3586</v>
      </c>
      <c r="AD19" s="12">
        <f t="shared" si="4"/>
        <v>717.19999999999982</v>
      </c>
      <c r="AE19" s="13">
        <f t="shared" si="5"/>
        <v>0.19999999999999996</v>
      </c>
    </row>
    <row r="20" spans="2:31" x14ac:dyDescent="0.25">
      <c r="B20" s="4"/>
      <c r="C20" s="1" t="s">
        <v>67</v>
      </c>
      <c r="D20" s="1" t="s">
        <v>60</v>
      </c>
      <c r="E20" s="3"/>
      <c r="F20" s="3"/>
      <c r="G20" s="24"/>
      <c r="H20" s="24"/>
      <c r="J20" s="1" t="s">
        <v>136</v>
      </c>
      <c r="K20" s="4"/>
      <c r="L20" s="4"/>
      <c r="M20" s="4"/>
      <c r="N20" s="4"/>
      <c r="O20" s="4"/>
      <c r="P20" s="33"/>
      <c r="Q20" s="25">
        <v>0</v>
      </c>
      <c r="R20" s="25">
        <v>0</v>
      </c>
      <c r="S20" s="12">
        <f t="shared" si="8"/>
        <v>0</v>
      </c>
      <c r="T20" s="5">
        <v>0</v>
      </c>
      <c r="U20" s="12">
        <f t="shared" si="9"/>
        <v>0</v>
      </c>
      <c r="V20" s="25" t="s">
        <v>10</v>
      </c>
      <c r="W20" s="11">
        <f>IFERROR(VLOOKUP(V20,Curr!$B$2:$C$13,2,FALSE),0)</f>
        <v>11</v>
      </c>
      <c r="X20" s="12">
        <f t="shared" si="10"/>
        <v>0</v>
      </c>
      <c r="Y20" s="26">
        <f t="shared" si="11"/>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8"/>
        <v>0</v>
      </c>
      <c r="T21" s="5">
        <v>0</v>
      </c>
      <c r="U21" s="12">
        <f t="shared" si="9"/>
        <v>0</v>
      </c>
      <c r="V21" s="25" t="s">
        <v>10</v>
      </c>
      <c r="W21" s="11">
        <f>IFERROR(VLOOKUP(V21,Curr!$B$2:$C$13,2,FALSE),0)</f>
        <v>11</v>
      </c>
      <c r="X21" s="12">
        <f t="shared" si="10"/>
        <v>0</v>
      </c>
      <c r="Y21" s="26">
        <f t="shared" si="11"/>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117</v>
      </c>
      <c r="E22" s="3"/>
      <c r="F22" s="3"/>
      <c r="G22" s="24"/>
      <c r="H22" s="24"/>
      <c r="J22" s="1" t="s">
        <v>133</v>
      </c>
      <c r="K22" s="4"/>
      <c r="L22" s="4"/>
      <c r="M22" s="4"/>
      <c r="N22" s="4"/>
      <c r="O22" s="4"/>
      <c r="P22" s="27"/>
      <c r="Q22" s="25">
        <v>0</v>
      </c>
      <c r="R22" s="25">
        <v>0</v>
      </c>
      <c r="S22" s="12">
        <f t="shared" si="8"/>
        <v>0</v>
      </c>
      <c r="T22" s="5">
        <v>0</v>
      </c>
      <c r="U22" s="12">
        <f t="shared" si="9"/>
        <v>0</v>
      </c>
      <c r="V22" s="25" t="s">
        <v>10</v>
      </c>
      <c r="W22" s="11">
        <f>IFERROR(VLOOKUP(V22,Curr!$B$2:$C$13,2,FALSE),0)</f>
        <v>11</v>
      </c>
      <c r="X22" s="12">
        <f t="shared" si="10"/>
        <v>0</v>
      </c>
      <c r="Y22" s="26">
        <f t="shared" si="11"/>
        <v>0</v>
      </c>
      <c r="Z22" s="12">
        <f t="shared" si="2"/>
        <v>0</v>
      </c>
      <c r="AA22" s="4" t="s">
        <v>10</v>
      </c>
      <c r="AB22" s="11">
        <f>IFERROR(VLOOKUP(AA22,Curr!$B$2:$C$13,2,FALSE),0)</f>
        <v>11</v>
      </c>
      <c r="AC22" s="12">
        <f t="shared" si="3"/>
        <v>0</v>
      </c>
      <c r="AD22" s="12">
        <f t="shared" si="4"/>
        <v>0</v>
      </c>
      <c r="AE22" s="13">
        <f t="shared" si="5"/>
        <v>0</v>
      </c>
    </row>
    <row r="23" spans="2:31" x14ac:dyDescent="0.25">
      <c r="B23" s="4"/>
      <c r="C23" s="1" t="s">
        <v>77</v>
      </c>
      <c r="D23" s="1" t="s">
        <v>78</v>
      </c>
      <c r="E23" s="3"/>
      <c r="F23" s="3"/>
      <c r="G23" s="24"/>
      <c r="H23" s="24"/>
      <c r="J23" s="1" t="s">
        <v>81</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33"/>
      <c r="Q25" s="25"/>
      <c r="R25" s="25"/>
      <c r="S25" s="12">
        <f t="shared" si="8"/>
        <v>0</v>
      </c>
      <c r="T25" s="5">
        <v>0</v>
      </c>
      <c r="U25" s="12">
        <f t="shared" si="9"/>
        <v>0</v>
      </c>
      <c r="V25" s="25" t="s">
        <v>10</v>
      </c>
      <c r="W25" s="11">
        <f>IFERROR(VLOOKUP(V25,Curr!$B$2:$C$13,2,FALSE),0)</f>
        <v>11</v>
      </c>
      <c r="X25" s="12">
        <f t="shared" si="10"/>
        <v>0</v>
      </c>
      <c r="Y25" s="26">
        <f t="shared" si="11"/>
        <v>0</v>
      </c>
      <c r="Z25" s="12">
        <f t="shared" si="2"/>
        <v>0</v>
      </c>
      <c r="AA25" s="4" t="s">
        <v>10</v>
      </c>
      <c r="AB25" s="11">
        <f>IFERROR(VLOOKUP(AA25,Curr!$B$2:$C$13,2,FALSE),0)</f>
        <v>11</v>
      </c>
      <c r="AC25" s="12">
        <f t="shared" si="3"/>
        <v>0</v>
      </c>
      <c r="AD25" s="12">
        <f t="shared" si="4"/>
        <v>0</v>
      </c>
      <c r="AE25" s="13">
        <f t="shared" si="5"/>
        <v>0</v>
      </c>
    </row>
    <row r="26" spans="2:31" x14ac:dyDescent="0.25">
      <c r="B26" s="4"/>
      <c r="C26" s="1" t="s">
        <v>55</v>
      </c>
      <c r="D26" s="1" t="s">
        <v>127</v>
      </c>
      <c r="E26" s="3"/>
      <c r="F26" s="3"/>
      <c r="G26" s="24"/>
      <c r="H26" s="24"/>
      <c r="J26" s="1" t="s">
        <v>131</v>
      </c>
      <c r="K26" s="4"/>
      <c r="L26" s="4"/>
      <c r="M26" s="4"/>
      <c r="N26" s="4"/>
      <c r="O26" s="4"/>
      <c r="P26" s="27"/>
      <c r="Q26" s="25">
        <v>160</v>
      </c>
      <c r="R26" s="25">
        <v>0</v>
      </c>
      <c r="S26" s="12">
        <f t="shared" si="8"/>
        <v>0</v>
      </c>
      <c r="T26" s="5">
        <v>0.2</v>
      </c>
      <c r="U26" s="12">
        <f t="shared" si="9"/>
        <v>0</v>
      </c>
      <c r="V26" s="25" t="s">
        <v>10</v>
      </c>
      <c r="W26" s="11">
        <f>IFERROR(VLOOKUP(V26,Curr!$B$2:$C$13,2,FALSE),0)</f>
        <v>11</v>
      </c>
      <c r="X26" s="12">
        <f t="shared" si="10"/>
        <v>0</v>
      </c>
      <c r="Y26" s="26">
        <f t="shared" si="11"/>
        <v>160</v>
      </c>
      <c r="Z26" s="12">
        <f t="shared" si="2"/>
        <v>0</v>
      </c>
      <c r="AA26" s="4" t="s">
        <v>10</v>
      </c>
      <c r="AB26" s="11">
        <f>IFERROR(VLOOKUP(AA26,Curr!$B$2:$C$13,2,FALSE),0)</f>
        <v>11</v>
      </c>
      <c r="AC26" s="12">
        <f t="shared" si="3"/>
        <v>0</v>
      </c>
      <c r="AD26" s="12">
        <f t="shared" si="4"/>
        <v>0</v>
      </c>
      <c r="AE26" s="13">
        <f t="shared" si="5"/>
        <v>0</v>
      </c>
    </row>
    <row r="27" spans="2:31" x14ac:dyDescent="0.25">
      <c r="B27" s="4"/>
      <c r="C27" s="1" t="s">
        <v>55</v>
      </c>
      <c r="D27" s="1" t="s">
        <v>127</v>
      </c>
      <c r="E27" s="3"/>
      <c r="F27" s="3"/>
      <c r="G27" s="24"/>
      <c r="H27" s="24"/>
      <c r="J27" s="1" t="s">
        <v>132</v>
      </c>
      <c r="K27" s="4"/>
      <c r="L27" s="4"/>
      <c r="M27" s="4"/>
      <c r="N27" s="4"/>
      <c r="O27" s="4"/>
      <c r="P27" s="33"/>
      <c r="Q27" s="25">
        <v>39</v>
      </c>
      <c r="R27" s="25">
        <v>0</v>
      </c>
      <c r="S27" s="12">
        <f t="shared" si="8"/>
        <v>0</v>
      </c>
      <c r="T27" s="5">
        <v>0.2</v>
      </c>
      <c r="U27" s="12">
        <f t="shared" si="9"/>
        <v>0</v>
      </c>
      <c r="V27" s="25" t="s">
        <v>10</v>
      </c>
      <c r="W27" s="11">
        <f>IFERROR(VLOOKUP(V27,Curr!$B$2:$C$13,2,FALSE),0)</f>
        <v>11</v>
      </c>
      <c r="X27" s="12">
        <f t="shared" si="10"/>
        <v>0</v>
      </c>
      <c r="Y27" s="26">
        <f t="shared" si="11"/>
        <v>39</v>
      </c>
      <c r="Z27" s="12">
        <f t="shared" si="2"/>
        <v>0</v>
      </c>
      <c r="AA27" s="4" t="s">
        <v>10</v>
      </c>
      <c r="AB27" s="11">
        <f>IFERROR(VLOOKUP(AA27,Curr!$B$2:$C$13,2,FALSE),0)</f>
        <v>11</v>
      </c>
      <c r="AC27" s="12">
        <f t="shared" si="3"/>
        <v>0</v>
      </c>
      <c r="AD27" s="12">
        <f t="shared" si="4"/>
        <v>0</v>
      </c>
      <c r="AE27" s="13">
        <f t="shared" si="5"/>
        <v>0</v>
      </c>
    </row>
    <row r="28" spans="2:31" x14ac:dyDescent="0.25">
      <c r="B28" s="4"/>
      <c r="C28" s="1" t="s">
        <v>77</v>
      </c>
      <c r="D28" s="1" t="s">
        <v>127</v>
      </c>
      <c r="E28" s="3"/>
      <c r="F28" s="3"/>
      <c r="G28" s="24"/>
      <c r="H28" s="24"/>
      <c r="J28" s="1" t="s">
        <v>134</v>
      </c>
      <c r="K28" s="4"/>
      <c r="L28" s="4"/>
      <c r="M28" s="4"/>
      <c r="N28" s="4"/>
      <c r="O28" s="4"/>
      <c r="P28" s="27"/>
      <c r="Q28" s="25">
        <v>160</v>
      </c>
      <c r="R28" s="25">
        <v>0</v>
      </c>
      <c r="S28" s="12">
        <f t="shared" si="8"/>
        <v>0</v>
      </c>
      <c r="T28" s="5">
        <v>0.2</v>
      </c>
      <c r="U28" s="12">
        <f t="shared" si="9"/>
        <v>0</v>
      </c>
      <c r="V28" s="25" t="s">
        <v>10</v>
      </c>
      <c r="W28" s="11">
        <f>IFERROR(VLOOKUP(V28,Curr!$B$2:$C$13,2,FALSE),0)</f>
        <v>11</v>
      </c>
      <c r="X28" s="12">
        <f t="shared" si="10"/>
        <v>0</v>
      </c>
      <c r="Y28" s="26">
        <f t="shared" si="11"/>
        <v>160</v>
      </c>
      <c r="Z28" s="12">
        <f t="shared" si="2"/>
        <v>0</v>
      </c>
      <c r="AA28" s="4" t="s">
        <v>10</v>
      </c>
      <c r="AB28" s="11">
        <f>IFERROR(VLOOKUP(AA28,Curr!$B$2:$C$13,2,FALSE),0)</f>
        <v>11</v>
      </c>
      <c r="AC28" s="12">
        <f t="shared" si="3"/>
        <v>0</v>
      </c>
      <c r="AD28" s="12">
        <f t="shared" si="4"/>
        <v>0</v>
      </c>
      <c r="AE28" s="13">
        <f t="shared" si="5"/>
        <v>0</v>
      </c>
    </row>
    <row r="29" spans="2:31" x14ac:dyDescent="0.25">
      <c r="B29" s="4"/>
      <c r="C29" s="1" t="s">
        <v>77</v>
      </c>
      <c r="D29" s="1" t="s">
        <v>127</v>
      </c>
      <c r="E29" s="3"/>
      <c r="F29" s="3"/>
      <c r="G29" s="24"/>
      <c r="H29" s="24"/>
      <c r="J29" s="1" t="s">
        <v>135</v>
      </c>
      <c r="K29" s="4"/>
      <c r="L29" s="4"/>
      <c r="M29" s="4"/>
      <c r="N29" s="4"/>
      <c r="O29" s="4"/>
      <c r="P29" s="33"/>
      <c r="Q29" s="25">
        <v>39</v>
      </c>
      <c r="R29" s="25">
        <v>0</v>
      </c>
      <c r="S29" s="12">
        <f t="shared" si="8"/>
        <v>0</v>
      </c>
      <c r="T29" s="5">
        <v>0.2</v>
      </c>
      <c r="U29" s="12">
        <f t="shared" si="9"/>
        <v>0</v>
      </c>
      <c r="V29" s="25" t="s">
        <v>10</v>
      </c>
      <c r="W29" s="11">
        <f>IFERROR(VLOOKUP(V29,Curr!$B$2:$C$13,2,FALSE),0)</f>
        <v>11</v>
      </c>
      <c r="X29" s="12">
        <f t="shared" si="10"/>
        <v>0</v>
      </c>
      <c r="Y29" s="26">
        <f t="shared" si="11"/>
        <v>39</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c r="R31" s="25"/>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229</v>
      </c>
      <c r="E32" s="3"/>
      <c r="F32" s="3"/>
      <c r="G32" s="24"/>
      <c r="H32" s="24"/>
      <c r="J32" s="1" t="s">
        <v>260</v>
      </c>
      <c r="K32" s="4"/>
      <c r="L32" s="4"/>
      <c r="M32" s="4"/>
      <c r="N32" s="4"/>
      <c r="O32" s="4"/>
      <c r="P32" s="33" t="s">
        <v>259</v>
      </c>
      <c r="Q32" s="25">
        <v>35</v>
      </c>
      <c r="R32" s="25">
        <v>0</v>
      </c>
      <c r="S32" s="12">
        <f t="shared" si="8"/>
        <v>0</v>
      </c>
      <c r="T32" s="5">
        <v>0.2</v>
      </c>
      <c r="U32" s="12">
        <f t="shared" si="9"/>
        <v>0</v>
      </c>
      <c r="V32" s="25" t="s">
        <v>10</v>
      </c>
      <c r="W32" s="11">
        <f>IFERROR(VLOOKUP(V32,Curr!$B$2:$C$13,2,FALSE),0)</f>
        <v>11</v>
      </c>
      <c r="X32" s="12">
        <f t="shared" si="10"/>
        <v>0</v>
      </c>
      <c r="Y32" s="26">
        <f t="shared" si="11"/>
        <v>35</v>
      </c>
      <c r="Z32" s="12">
        <f t="shared" si="2"/>
        <v>0</v>
      </c>
      <c r="AA32" s="4" t="s">
        <v>10</v>
      </c>
      <c r="AB32" s="11">
        <f>IFERROR(VLOOKUP(AA32,Curr!$B$2:$C$13,2,FALSE),0)</f>
        <v>11</v>
      </c>
      <c r="AC32" s="12">
        <f t="shared" si="3"/>
        <v>0</v>
      </c>
      <c r="AD32" s="12">
        <f t="shared" si="4"/>
        <v>0</v>
      </c>
      <c r="AE32" s="13">
        <f t="shared" si="5"/>
        <v>0</v>
      </c>
    </row>
    <row r="33" spans="2:36" x14ac:dyDescent="0.25">
      <c r="B33" s="4"/>
      <c r="C33" s="1" t="s">
        <v>55</v>
      </c>
      <c r="D33" s="1" t="s">
        <v>229</v>
      </c>
      <c r="E33" s="3"/>
      <c r="F33" s="3"/>
      <c r="G33" s="24"/>
      <c r="H33" s="24"/>
      <c r="J33" s="1" t="s">
        <v>261</v>
      </c>
      <c r="K33" s="4"/>
      <c r="L33" s="4"/>
      <c r="M33" s="4"/>
      <c r="N33" s="4"/>
      <c r="O33" s="4"/>
      <c r="P33" s="33" t="s">
        <v>262</v>
      </c>
      <c r="Q33" s="25">
        <v>109</v>
      </c>
      <c r="R33" s="25">
        <v>0</v>
      </c>
      <c r="S33" s="12">
        <f t="shared" si="8"/>
        <v>0</v>
      </c>
      <c r="T33" s="5">
        <v>0.2</v>
      </c>
      <c r="U33" s="12">
        <f t="shared" si="9"/>
        <v>0</v>
      </c>
      <c r="V33" s="25" t="s">
        <v>10</v>
      </c>
      <c r="W33" s="11">
        <f>IFERROR(VLOOKUP(V33,Curr!$B$2:$C$13,2,FALSE),0)</f>
        <v>11</v>
      </c>
      <c r="X33" s="12">
        <f t="shared" si="10"/>
        <v>0</v>
      </c>
      <c r="Y33" s="26">
        <f t="shared" si="11"/>
        <v>109</v>
      </c>
      <c r="Z33" s="12">
        <f t="shared" si="2"/>
        <v>0</v>
      </c>
      <c r="AA33" s="4" t="s">
        <v>10</v>
      </c>
      <c r="AB33" s="11">
        <f>IFERROR(VLOOKUP(AA33,Curr!$B$2:$C$13,2,FALSE),0)</f>
        <v>11</v>
      </c>
      <c r="AC33" s="12">
        <f t="shared" si="3"/>
        <v>0</v>
      </c>
      <c r="AD33" s="12">
        <f t="shared" si="4"/>
        <v>0</v>
      </c>
      <c r="AE33" s="13">
        <f t="shared" si="5"/>
        <v>0</v>
      </c>
    </row>
    <row r="34" spans="2:36" x14ac:dyDescent="0.25">
      <c r="B34" s="4"/>
      <c r="C34" s="1" t="s">
        <v>67</v>
      </c>
      <c r="D34" s="1" t="s">
        <v>229</v>
      </c>
      <c r="E34" s="3"/>
      <c r="F34" s="3"/>
      <c r="G34" s="24"/>
      <c r="H34" s="24"/>
      <c r="J34" s="1" t="s">
        <v>263</v>
      </c>
      <c r="K34" s="4"/>
      <c r="L34" s="4"/>
      <c r="M34" s="4"/>
      <c r="N34" s="4"/>
      <c r="O34" s="4"/>
      <c r="P34" s="33" t="s">
        <v>264</v>
      </c>
      <c r="Q34" s="25">
        <v>185</v>
      </c>
      <c r="R34" s="25">
        <v>0</v>
      </c>
      <c r="S34" s="12">
        <f t="shared" si="8"/>
        <v>0</v>
      </c>
      <c r="T34" s="5">
        <v>0.2</v>
      </c>
      <c r="U34" s="12">
        <f t="shared" si="9"/>
        <v>0</v>
      </c>
      <c r="V34" s="25" t="s">
        <v>10</v>
      </c>
      <c r="W34" s="11">
        <f>IFERROR(VLOOKUP(V34,Curr!$B$2:$C$13,2,FALSE),0)</f>
        <v>11</v>
      </c>
      <c r="X34" s="12">
        <f t="shared" si="10"/>
        <v>0</v>
      </c>
      <c r="Y34" s="26">
        <f t="shared" si="11"/>
        <v>185</v>
      </c>
      <c r="Z34" s="12">
        <f t="shared" si="2"/>
        <v>0</v>
      </c>
      <c r="AA34" s="4" t="s">
        <v>10</v>
      </c>
      <c r="AB34" s="11">
        <f>IFERROR(VLOOKUP(AA34,Curr!$B$2:$C$13,2,FALSE),0)</f>
        <v>11</v>
      </c>
      <c r="AC34" s="12">
        <f t="shared" si="3"/>
        <v>0</v>
      </c>
      <c r="AD34" s="12">
        <f t="shared" si="4"/>
        <v>0</v>
      </c>
      <c r="AE34" s="13">
        <f t="shared" si="5"/>
        <v>0</v>
      </c>
    </row>
    <row r="35" spans="2:36"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2"/>
        <v>0</v>
      </c>
      <c r="AA35" s="4" t="s">
        <v>10</v>
      </c>
      <c r="AB35" s="11">
        <f>IFERROR(VLOOKUP(AA35,Curr!$B$2:$C$13,2,FALSE),0)</f>
        <v>11</v>
      </c>
      <c r="AC35" s="12">
        <f t="shared" si="3"/>
        <v>0</v>
      </c>
      <c r="AD35" s="12">
        <f t="shared" si="4"/>
        <v>0</v>
      </c>
      <c r="AE35" s="13">
        <f t="shared" si="5"/>
        <v>0</v>
      </c>
    </row>
    <row r="36" spans="2:36"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6" x14ac:dyDescent="0.25">
      <c r="B37" s="4"/>
      <c r="E37" s="3"/>
      <c r="F37" s="3"/>
      <c r="G37" s="24"/>
      <c r="H37" s="24"/>
      <c r="K37" s="4"/>
      <c r="L37" s="4"/>
      <c r="M37" s="4"/>
      <c r="N37" s="4"/>
      <c r="O37" s="4"/>
      <c r="P37" s="27"/>
      <c r="Q37" s="25"/>
      <c r="R37" s="25"/>
      <c r="S37" s="12">
        <f t="shared" si="8"/>
        <v>0</v>
      </c>
      <c r="T37" s="5">
        <v>0</v>
      </c>
      <c r="U37" s="12">
        <f t="shared" si="9"/>
        <v>0</v>
      </c>
      <c r="V37" s="25" t="s">
        <v>10</v>
      </c>
      <c r="W37" s="11">
        <f>IFERROR(VLOOKUP(V37,Curr!$B$2:$C$13,2,FALSE),0)</f>
        <v>11</v>
      </c>
      <c r="X37" s="12">
        <f t="shared" si="10"/>
        <v>0</v>
      </c>
      <c r="Y37" s="26">
        <f t="shared" si="11"/>
        <v>0</v>
      </c>
      <c r="Z37" s="12">
        <f t="shared" si="2"/>
        <v>0</v>
      </c>
      <c r="AA37" s="4" t="s">
        <v>10</v>
      </c>
      <c r="AB37" s="11">
        <f>IFERROR(VLOOKUP(AA37,Curr!$B$2:$C$13,2,FALSE),0)</f>
        <v>11</v>
      </c>
      <c r="AC37" s="12">
        <f t="shared" si="3"/>
        <v>0</v>
      </c>
      <c r="AD37" s="12">
        <f t="shared" si="4"/>
        <v>0</v>
      </c>
      <c r="AE37" s="13">
        <f t="shared" si="5"/>
        <v>0</v>
      </c>
    </row>
    <row r="38" spans="2:36" x14ac:dyDescent="0.25">
      <c r="B38" s="4"/>
      <c r="E38" s="3"/>
      <c r="F38" s="3"/>
      <c r="G38" s="24"/>
      <c r="H38" s="24"/>
      <c r="K38" s="4"/>
      <c r="L38" s="4"/>
      <c r="M38" s="4"/>
      <c r="N38" s="4"/>
      <c r="O38" s="4"/>
      <c r="P38" s="33"/>
      <c r="Q38" s="25"/>
      <c r="R38" s="25"/>
      <c r="S38" s="12">
        <f t="shared" si="8"/>
        <v>0</v>
      </c>
      <c r="T38" s="5">
        <v>0</v>
      </c>
      <c r="U38" s="12">
        <f t="shared" si="9"/>
        <v>0</v>
      </c>
      <c r="V38" s="25" t="s">
        <v>10</v>
      </c>
      <c r="W38" s="11">
        <f>IFERROR(VLOOKUP(V38,Curr!$B$2:$C$13,2,FALSE),0)</f>
        <v>11</v>
      </c>
      <c r="X38" s="12">
        <f t="shared" si="10"/>
        <v>0</v>
      </c>
      <c r="Y38" s="26">
        <f t="shared" si="11"/>
        <v>0</v>
      </c>
      <c r="Z38" s="12">
        <f t="shared" si="2"/>
        <v>0</v>
      </c>
      <c r="AA38" s="4" t="s">
        <v>10</v>
      </c>
      <c r="AB38" s="11">
        <f>IFERROR(VLOOKUP(AA38,Curr!$B$2:$C$13,2,FALSE),0)</f>
        <v>11</v>
      </c>
      <c r="AC38" s="12">
        <f t="shared" si="3"/>
        <v>0</v>
      </c>
      <c r="AD38" s="12">
        <f t="shared" si="4"/>
        <v>0</v>
      </c>
      <c r="AE38" s="13">
        <f t="shared" si="5"/>
        <v>0</v>
      </c>
    </row>
    <row r="39" spans="2:36" x14ac:dyDescent="0.25">
      <c r="B39" s="4"/>
      <c r="E39" s="3"/>
      <c r="F39" s="3"/>
      <c r="G39" s="24"/>
      <c r="H39" s="24"/>
      <c r="K39" s="4"/>
      <c r="L39" s="4"/>
      <c r="M39" s="4"/>
      <c r="N39" s="4"/>
      <c r="O39" s="4"/>
      <c r="P39" s="27"/>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6" x14ac:dyDescent="0.25">
      <c r="B40" s="4"/>
      <c r="E40" s="3"/>
      <c r="F40" s="3"/>
      <c r="G40" s="24"/>
      <c r="H40" s="24"/>
      <c r="K40" s="4"/>
      <c r="L40" s="4"/>
      <c r="M40" s="4"/>
      <c r="N40" s="4"/>
      <c r="O40" s="4"/>
      <c r="P40" s="33"/>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6"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6"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6"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6" x14ac:dyDescent="0.25">
      <c r="B44" s="4"/>
      <c r="E44" s="3"/>
      <c r="F44" s="3"/>
      <c r="G44" s="3"/>
      <c r="H44" s="3"/>
      <c r="L44" s="4"/>
      <c r="M44" s="4"/>
      <c r="N44" s="4"/>
      <c r="O44" s="4"/>
      <c r="P44" s="22"/>
      <c r="Q44" s="4"/>
      <c r="R44" s="4"/>
      <c r="S44" s="4"/>
      <c r="T44" s="4"/>
      <c r="U44" s="4"/>
      <c r="V44" s="4"/>
      <c r="W44" s="4"/>
      <c r="X44" s="4"/>
      <c r="Y44" s="4"/>
      <c r="Z44" s="4"/>
      <c r="AA44" s="4"/>
      <c r="AB44" s="4"/>
      <c r="AC44" s="4"/>
      <c r="AD44" s="4"/>
      <c r="AE44" s="4"/>
      <c r="AF44" s="4"/>
    </row>
    <row r="45" spans="2:36" x14ac:dyDescent="0.25">
      <c r="B45" s="14" t="s">
        <v>18</v>
      </c>
      <c r="C45" s="14"/>
      <c r="D45" s="28" t="s">
        <v>42</v>
      </c>
      <c r="E45" s="30" t="s">
        <v>42</v>
      </c>
      <c r="F45" s="30" t="s">
        <v>42</v>
      </c>
      <c r="G45" s="30" t="s">
        <v>42</v>
      </c>
      <c r="H45" s="30" t="s">
        <v>42</v>
      </c>
      <c r="I45" s="28" t="s">
        <v>42</v>
      </c>
      <c r="J45" s="28" t="s">
        <v>42</v>
      </c>
      <c r="K45" s="28" t="s">
        <v>42</v>
      </c>
      <c r="L45" s="28" t="s">
        <v>42</v>
      </c>
      <c r="M45" s="28" t="s">
        <v>42</v>
      </c>
      <c r="N45" s="28" t="s">
        <v>42</v>
      </c>
      <c r="O45" s="28" t="s">
        <v>42</v>
      </c>
      <c r="P45" s="28" t="s">
        <v>42</v>
      </c>
      <c r="Q45" s="31" t="s">
        <v>42</v>
      </c>
      <c r="R45" s="28" t="s">
        <v>42</v>
      </c>
      <c r="S45" s="32" t="s">
        <v>42</v>
      </c>
      <c r="T45" s="28" t="s">
        <v>42</v>
      </c>
      <c r="U45" s="32" t="s">
        <v>42</v>
      </c>
      <c r="V45" s="28" t="s">
        <v>42</v>
      </c>
      <c r="W45" s="28" t="s">
        <v>42</v>
      </c>
      <c r="X45" s="32" t="s">
        <v>42</v>
      </c>
      <c r="Y45" s="32" t="s">
        <v>42</v>
      </c>
      <c r="Z45" s="15">
        <f>SUM(Z7:Z43)</f>
        <v>2130.4705882352941</v>
      </c>
      <c r="AA45" s="14"/>
      <c r="AB45" s="14"/>
      <c r="AC45" s="15">
        <f>SUM(AC7:AC43)</f>
        <v>23435.176470588238</v>
      </c>
      <c r="AD45" s="15">
        <f>SUM(AD7:AD43)</f>
        <v>4385.3764705882359</v>
      </c>
      <c r="AE45" s="21">
        <f t="shared" ref="AE45" si="20">IFERROR(AD45/AC45,0)</f>
        <v>0.18712794742945496</v>
      </c>
      <c r="AF45" s="15">
        <f>SUM(AF8:AF44)</f>
        <v>0</v>
      </c>
      <c r="AG45" s="15">
        <f>SUM(AG8:AG44)</f>
        <v>0</v>
      </c>
      <c r="AH45" s="15">
        <f>SUM(AH8:AH44)</f>
        <v>0</v>
      </c>
      <c r="AI45" s="15">
        <f>SUM(AI8:AI44)</f>
        <v>0</v>
      </c>
      <c r="AJ45" s="15">
        <f>SUM(AJ8:AJ44)</f>
        <v>0</v>
      </c>
    </row>
    <row r="46" spans="2:36" x14ac:dyDescent="0.25">
      <c r="B46" s="4"/>
      <c r="E46" s="3"/>
      <c r="F46" s="3"/>
      <c r="G46" s="3"/>
      <c r="H46" s="3"/>
      <c r="L46" s="4"/>
      <c r="M46" s="4"/>
      <c r="N46" s="4"/>
      <c r="O46" s="4"/>
      <c r="Q46" s="4"/>
      <c r="R46" s="4"/>
      <c r="S46" s="4"/>
      <c r="T46" s="4"/>
      <c r="U46" s="4"/>
      <c r="V46" s="4"/>
      <c r="W46" s="4"/>
      <c r="X46" s="4"/>
      <c r="Y46" s="9"/>
      <c r="Z46" s="9"/>
      <c r="AA46" s="9"/>
      <c r="AB46" s="9"/>
      <c r="AC46" s="9"/>
      <c r="AD46" s="9"/>
      <c r="AE46" s="9"/>
    </row>
    <row r="47" spans="2:36" x14ac:dyDescent="0.25">
      <c r="B47" s="4"/>
      <c r="E47" s="3"/>
      <c r="F47" s="3"/>
      <c r="G47" s="3"/>
      <c r="H47" s="3"/>
      <c r="L47" s="4"/>
      <c r="M47" s="4"/>
      <c r="N47" s="4"/>
      <c r="O47" s="4"/>
      <c r="Q47" s="9"/>
      <c r="R47" s="9"/>
      <c r="S47" s="9"/>
      <c r="T47" s="9"/>
      <c r="U47" s="9"/>
      <c r="V47" s="9"/>
      <c r="W47" s="9"/>
      <c r="X47" s="23"/>
      <c r="Y47" s="34" t="s">
        <v>234</v>
      </c>
      <c r="Z47" s="34">
        <f>Z12+Z14+Z16+Z19</f>
        <v>954</v>
      </c>
      <c r="AA47" s="9"/>
      <c r="AB47" s="9"/>
      <c r="AC47" s="9"/>
      <c r="AD47" s="9"/>
      <c r="AE47" s="9"/>
    </row>
    <row r="48" spans="2:36" x14ac:dyDescent="0.25">
      <c r="B48" s="4"/>
      <c r="E48" s="3"/>
      <c r="F48" s="3"/>
      <c r="G48" s="3"/>
      <c r="H48" s="3"/>
      <c r="L48" s="4"/>
      <c r="M48" s="4"/>
      <c r="N48" s="4"/>
      <c r="O48" s="4"/>
      <c r="Q48" s="9"/>
      <c r="R48" s="9"/>
      <c r="S48" s="9"/>
      <c r="T48" s="9"/>
      <c r="U48" s="9"/>
      <c r="V48" s="9"/>
      <c r="W48" s="9"/>
      <c r="X48" s="9"/>
      <c r="Y48" s="35" t="s">
        <v>235</v>
      </c>
      <c r="Z48" s="34">
        <f>Z9</f>
        <v>1176.4705882352941</v>
      </c>
      <c r="AA48" s="9"/>
      <c r="AB48" s="9"/>
      <c r="AC48" s="9"/>
      <c r="AD48" s="9"/>
      <c r="AE48" s="9"/>
      <c r="AF48" s="18"/>
    </row>
    <row r="49" spans="2:32" x14ac:dyDescent="0.25">
      <c r="B49" s="4"/>
      <c r="E49" s="3"/>
      <c r="F49" s="3"/>
      <c r="G49" s="3"/>
      <c r="H49" s="3"/>
      <c r="I49" s="19"/>
      <c r="L49" s="4"/>
      <c r="M49" s="4"/>
      <c r="N49" s="4"/>
      <c r="O49" s="20"/>
      <c r="Q49" s="20"/>
      <c r="R49" s="20"/>
      <c r="S49" s="20"/>
      <c r="T49" s="20"/>
      <c r="U49" s="20"/>
      <c r="V49" s="20"/>
      <c r="W49" s="20"/>
      <c r="X49" s="20"/>
      <c r="Y49" s="34" t="s">
        <v>236</v>
      </c>
      <c r="Z49" s="34">
        <v>2140</v>
      </c>
      <c r="AA49" s="9"/>
      <c r="AB49" s="9"/>
      <c r="AC49" s="9"/>
      <c r="AD49" s="9"/>
      <c r="AE49" s="9"/>
      <c r="AF49" s="18"/>
    </row>
    <row r="50" spans="2:32" x14ac:dyDescent="0.25">
      <c r="B50" s="4"/>
      <c r="E50" s="3"/>
      <c r="F50" s="3"/>
      <c r="G50" s="3"/>
      <c r="H50" s="3"/>
      <c r="L50" s="4"/>
      <c r="M50" s="4"/>
      <c r="N50" s="4"/>
      <c r="O50" s="20"/>
      <c r="Q50" s="20"/>
      <c r="R50" s="20"/>
      <c r="S50" s="20"/>
      <c r="T50" s="20"/>
      <c r="U50" s="20"/>
      <c r="V50" s="20"/>
      <c r="W50" s="20"/>
      <c r="X50" s="20"/>
      <c r="Y50" s="34" t="s">
        <v>45</v>
      </c>
      <c r="Z50" s="34">
        <f>Z49/2</f>
        <v>1070</v>
      </c>
      <c r="AA50" s="9"/>
      <c r="AB50" s="9"/>
      <c r="AC50" s="9"/>
      <c r="AD50" s="9"/>
      <c r="AE50" s="9"/>
      <c r="AF50" s="18"/>
    </row>
    <row r="51" spans="2:32" x14ac:dyDescent="0.25">
      <c r="B51" s="4"/>
      <c r="E51" s="3"/>
      <c r="F51" s="3"/>
      <c r="G51" s="3"/>
      <c r="H51" s="3"/>
      <c r="L51" s="4"/>
      <c r="M51" s="4"/>
      <c r="N51" s="4"/>
      <c r="O51" s="4"/>
      <c r="Q51" s="9"/>
      <c r="R51" s="9"/>
      <c r="S51" s="9"/>
      <c r="T51" s="9"/>
      <c r="U51" s="9"/>
      <c r="V51" s="9"/>
      <c r="W51" s="9"/>
      <c r="X51" s="9"/>
      <c r="Y51" s="1" t="s">
        <v>298</v>
      </c>
      <c r="Z51" s="1">
        <f>Z49*0.8</f>
        <v>1712</v>
      </c>
      <c r="AA51" s="9"/>
      <c r="AB51" s="9"/>
      <c r="AC51" s="9"/>
      <c r="AD51" s="9"/>
      <c r="AE51" s="9"/>
      <c r="AF51" s="18"/>
    </row>
    <row r="52" spans="2:32" x14ac:dyDescent="0.25">
      <c r="F52" s="1"/>
      <c r="G52" s="1"/>
      <c r="H52" s="1"/>
      <c r="J52" s="1" t="s">
        <v>32</v>
      </c>
      <c r="Q52" s="9"/>
      <c r="R52" s="4"/>
      <c r="S52" s="9"/>
      <c r="T52" s="5"/>
      <c r="U52" s="9"/>
      <c r="V52" s="4"/>
      <c r="W52" s="4"/>
      <c r="X52" s="9"/>
      <c r="Y52" s="9"/>
      <c r="Z52" s="9"/>
      <c r="AA52" s="9"/>
      <c r="AB52" s="9"/>
      <c r="AC52" s="9"/>
      <c r="AD52" s="9"/>
      <c r="AE52" s="9"/>
    </row>
    <row r="53" spans="2:32" x14ac:dyDescent="0.25">
      <c r="R53" s="4"/>
      <c r="S53" s="17"/>
      <c r="T53" s="17"/>
      <c r="U53" s="9"/>
      <c r="V53" s="4"/>
      <c r="W53" s="4"/>
      <c r="X53" s="9"/>
      <c r="Y53" s="9"/>
      <c r="Z53" s="9"/>
      <c r="AA53" s="9"/>
      <c r="AB53" s="9"/>
      <c r="AC53" s="9"/>
      <c r="AD53" s="9"/>
      <c r="AE53" s="9"/>
    </row>
    <row r="54" spans="2:32" x14ac:dyDescent="0.25">
      <c r="Q54" s="9"/>
      <c r="R54" s="4"/>
      <c r="S54" s="16"/>
      <c r="T54" s="16"/>
      <c r="U54" s="9"/>
      <c r="V54" s="4"/>
      <c r="W54" s="4"/>
      <c r="X54" s="9"/>
      <c r="Y54" s="9"/>
      <c r="Z54" s="9"/>
      <c r="AA54" s="9"/>
      <c r="AB54" s="9"/>
      <c r="AC54" s="9"/>
      <c r="AD54" s="9"/>
      <c r="AE54" s="9"/>
    </row>
    <row r="55" spans="2:32" x14ac:dyDescent="0.25">
      <c r="R55" s="4"/>
      <c r="S55" s="16"/>
      <c r="T55" s="16"/>
      <c r="Y55" s="9"/>
      <c r="Z55" s="9"/>
      <c r="AA55" s="9"/>
      <c r="AB55" s="9"/>
      <c r="AC55" s="9"/>
      <c r="AD55" s="9"/>
      <c r="AE55" s="9"/>
    </row>
    <row r="56" spans="2:32" x14ac:dyDescent="0.25">
      <c r="T56" s="5"/>
      <c r="Y56" s="9"/>
      <c r="Z56" s="9"/>
      <c r="AA56" s="9"/>
      <c r="AB56" s="9"/>
      <c r="AC56" s="9"/>
      <c r="AD56" s="9"/>
      <c r="AE56" s="9"/>
    </row>
    <row r="57" spans="2:32" x14ac:dyDescent="0.25">
      <c r="T57" s="5"/>
      <c r="Y57" s="9"/>
      <c r="Z57" s="9"/>
      <c r="AA57" s="9"/>
      <c r="AB57" s="9"/>
      <c r="AC57" s="9"/>
      <c r="AD57" s="9"/>
      <c r="AE57" s="9"/>
    </row>
    <row r="58" spans="2:32" x14ac:dyDescent="0.25">
      <c r="T58" s="5"/>
      <c r="Y58" s="9"/>
      <c r="Z58" s="9"/>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c r="Y62" s="9"/>
      <c r="Z62" s="9"/>
      <c r="AA62" s="9"/>
      <c r="AB62" s="9"/>
      <c r="AC62" s="9"/>
      <c r="AD62" s="9"/>
      <c r="AE62" s="9"/>
    </row>
    <row r="63" spans="2:32" x14ac:dyDescent="0.25">
      <c r="T63" s="5"/>
      <c r="Y63" s="9"/>
      <c r="Z63" s="9"/>
      <c r="AA63" s="9"/>
      <c r="AB63" s="9"/>
      <c r="AC63" s="9"/>
      <c r="AD63" s="9"/>
      <c r="AE63" s="9"/>
    </row>
    <row r="64" spans="2:32" x14ac:dyDescent="0.25">
      <c r="T64" s="5"/>
    </row>
    <row r="65" spans="20:20" x14ac:dyDescent="0.25">
      <c r="T65" s="5"/>
    </row>
    <row r="66" spans="20:20" x14ac:dyDescent="0.25">
      <c r="T66" s="5"/>
    </row>
    <row r="67" spans="20:20" x14ac:dyDescent="0.25">
      <c r="T67" s="5"/>
    </row>
    <row r="68" spans="20:20" x14ac:dyDescent="0.25">
      <c r="T68" s="5"/>
    </row>
  </sheetData>
  <autoFilter ref="B6:AE45" xr:uid="{65FA6D9B-E0AF-46CD-BA0D-86BB75FE6AB0}"/>
  <hyperlinks>
    <hyperlink ref="P12" r:id="rId1" xr:uid="{5F77E39C-CC84-4B39-9515-4394D6C6B34A}"/>
    <hyperlink ref="P16" r:id="rId2" xr:uid="{E1CC3564-26A2-4EE4-BBAD-D6C0E15BFEEE}"/>
    <hyperlink ref="P19" r:id="rId3" xr:uid="{D2E887CF-53F1-4725-80A4-DDF502A1B6FB}"/>
    <hyperlink ref="P14" r:id="rId4" xr:uid="{4FBE90F4-4720-414F-A373-9BD2ACF385B1}"/>
    <hyperlink ref="P32" r:id="rId5" xr:uid="{78536B75-626F-4B9D-B774-FE0F810DD536}"/>
    <hyperlink ref="P33" r:id="rId6" xr:uid="{612EC30F-B50F-46A7-9056-24C9BF740147}"/>
    <hyperlink ref="P34" r:id="rId7" xr:uid="{F1AACA89-F71F-4CAA-93FC-EAE84CFDAB85}"/>
  </hyperlinks>
  <pageMargins left="0.7" right="0.7" top="0.75" bottom="0.75" header="0.3" footer="0.3"/>
  <pageSetup paperSize="9" orientation="portrait"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5D58-7D3D-4268-B4CF-01F0C2DD8D03}">
  <sheetPr>
    <tabColor rgb="FFFFFF00"/>
  </sheetPr>
  <dimension ref="B2:AK71"/>
  <sheetViews>
    <sheetView zoomScale="80" zoomScaleNormal="80" workbookViewId="0">
      <selection activeCell="W7" sqref="W7:W4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26" si="0">+Q7*R7</f>
        <v>0</v>
      </c>
      <c r="T7" s="5">
        <v>0</v>
      </c>
      <c r="U7" s="12">
        <f>S7*(1-T7)</f>
        <v>0</v>
      </c>
      <c r="V7" s="25" t="s">
        <v>10</v>
      </c>
      <c r="W7" s="11">
        <f>IFERROR(VLOOKUP(V7,Curr!$B$2:$C$13,2,FALSE),0)</f>
        <v>11</v>
      </c>
      <c r="X7" s="12">
        <f t="shared" ref="X7:X26" si="1">U7*W7</f>
        <v>0</v>
      </c>
      <c r="Y7" s="26">
        <f>Q7</f>
        <v>0</v>
      </c>
      <c r="Z7" s="12">
        <f t="shared" ref="Z7:Z46" si="2">+Y7*R7</f>
        <v>0</v>
      </c>
      <c r="AA7" s="4" t="s">
        <v>10</v>
      </c>
      <c r="AB7" s="11">
        <f>IFERROR(VLOOKUP(AA7,Curr!$B$2:$C$13,2,FALSE),0)</f>
        <v>11</v>
      </c>
      <c r="AC7" s="12">
        <f t="shared" ref="AC7:AC46" si="3">+Y7*AB7*R7</f>
        <v>0</v>
      </c>
      <c r="AD7" s="12">
        <f t="shared" ref="AD7:AD46" si="4">+AC7-X7</f>
        <v>0</v>
      </c>
      <c r="AE7" s="13">
        <f t="shared" ref="AE7:AE46"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26" si="6">S8*(1-T8)</f>
        <v>0</v>
      </c>
      <c r="V8" s="25" t="s">
        <v>10</v>
      </c>
      <c r="W8" s="11">
        <f>IFERROR(VLOOKUP(V8,Curr!$B$2:$C$13,2,FALSE),0)</f>
        <v>11</v>
      </c>
      <c r="X8" s="12">
        <f t="shared" si="1"/>
        <v>0</v>
      </c>
      <c r="Y8" s="26">
        <f t="shared" ref="Y8:Y26"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231</v>
      </c>
      <c r="K9" s="4"/>
      <c r="L9" s="4"/>
      <c r="M9" s="4"/>
      <c r="N9" s="4"/>
      <c r="O9" s="4"/>
      <c r="P9" s="27"/>
      <c r="Q9" s="25">
        <v>1200</v>
      </c>
      <c r="R9" s="25">
        <v>1</v>
      </c>
      <c r="S9" s="12">
        <f t="shared" si="0"/>
        <v>1200</v>
      </c>
      <c r="T9" s="5">
        <v>0</v>
      </c>
      <c r="U9" s="12">
        <f t="shared" si="6"/>
        <v>1200</v>
      </c>
      <c r="V9" s="25" t="s">
        <v>10</v>
      </c>
      <c r="W9" s="11">
        <f>IFERROR(VLOOKUP(V9,Curr!$B$2:$C$13,2,FALSE),0)</f>
        <v>11</v>
      </c>
      <c r="X9" s="12">
        <f t="shared" si="1"/>
        <v>13200</v>
      </c>
      <c r="Y9" s="26">
        <f>Q9/0.85</f>
        <v>1411.7647058823529</v>
      </c>
      <c r="Z9" s="12">
        <f t="shared" si="2"/>
        <v>1411.7647058823529</v>
      </c>
      <c r="AA9" s="4" t="s">
        <v>10</v>
      </c>
      <c r="AB9" s="11">
        <f>IFERROR(VLOOKUP(AA9,Curr!$B$2:$C$13,2,FALSE),0)</f>
        <v>11</v>
      </c>
      <c r="AC9" s="12">
        <f t="shared" si="3"/>
        <v>15529.411764705883</v>
      </c>
      <c r="AD9" s="12">
        <f t="shared" si="4"/>
        <v>2329.4117647058829</v>
      </c>
      <c r="AE9" s="13">
        <f t="shared" si="5"/>
        <v>0.15000000000000002</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137</v>
      </c>
      <c r="K22" s="4"/>
      <c r="L22" s="4"/>
      <c r="M22" s="4"/>
      <c r="N22" s="4"/>
      <c r="O22" s="4"/>
      <c r="P22" s="33" t="s">
        <v>182</v>
      </c>
      <c r="Q22" s="25">
        <v>163</v>
      </c>
      <c r="R22" s="25">
        <v>2</v>
      </c>
      <c r="S22" s="12">
        <f t="shared" si="0"/>
        <v>326</v>
      </c>
      <c r="T22" s="5">
        <v>0.2</v>
      </c>
      <c r="U22" s="12">
        <f t="shared" si="6"/>
        <v>260.8</v>
      </c>
      <c r="V22" s="25" t="s">
        <v>10</v>
      </c>
      <c r="W22" s="11">
        <f>IFERROR(VLOOKUP(V22,Curr!$B$2:$C$13,2,FALSE),0)</f>
        <v>11</v>
      </c>
      <c r="X22" s="12">
        <f t="shared" si="1"/>
        <v>2868.8</v>
      </c>
      <c r="Y22" s="26">
        <f t="shared" si="7"/>
        <v>163</v>
      </c>
      <c r="Z22" s="12">
        <f t="shared" si="2"/>
        <v>326</v>
      </c>
      <c r="AA22" s="4" t="s">
        <v>10</v>
      </c>
      <c r="AB22" s="11">
        <f>IFERROR(VLOOKUP(AA22,Curr!$B$2:$C$13,2,FALSE),0)</f>
        <v>11</v>
      </c>
      <c r="AC22" s="12">
        <f t="shared" si="3"/>
        <v>3586</v>
      </c>
      <c r="AD22" s="12">
        <f t="shared" si="4"/>
        <v>717.19999999999982</v>
      </c>
      <c r="AE22" s="13">
        <f t="shared" si="5"/>
        <v>0.19999999999999996</v>
      </c>
    </row>
    <row r="23" spans="2:31" x14ac:dyDescent="0.25">
      <c r="B23" s="4"/>
      <c r="C23" s="1" t="s">
        <v>77</v>
      </c>
      <c r="D23" s="1" t="s">
        <v>60</v>
      </c>
      <c r="E23" s="3"/>
      <c r="F23" s="3"/>
      <c r="G23" s="24"/>
      <c r="H23" s="24"/>
      <c r="J23" s="1" t="s">
        <v>136</v>
      </c>
      <c r="K23" s="4"/>
      <c r="L23" s="4"/>
      <c r="M23" s="4"/>
      <c r="N23" s="4"/>
      <c r="O23" s="4"/>
      <c r="P23" s="33"/>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33"/>
      <c r="Q24" s="25"/>
      <c r="R24" s="25"/>
      <c r="S24" s="12">
        <f t="shared" si="0"/>
        <v>0</v>
      </c>
      <c r="T24" s="5">
        <v>0</v>
      </c>
      <c r="U24" s="12">
        <f t="shared" si="6"/>
        <v>0</v>
      </c>
      <c r="V24" s="25" t="s">
        <v>10</v>
      </c>
      <c r="W24" s="11">
        <f>IFERROR(VLOOKUP(V24,Curr!$B$2:$C$13,2,FALSE),0)</f>
        <v>11</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117</v>
      </c>
      <c r="E25" s="3"/>
      <c r="F25" s="3"/>
      <c r="G25" s="24"/>
      <c r="H25" s="24"/>
      <c r="J25" s="1" t="s">
        <v>133</v>
      </c>
      <c r="K25" s="4"/>
      <c r="L25" s="4"/>
      <c r="M25" s="4"/>
      <c r="N25" s="4"/>
      <c r="O25" s="4"/>
      <c r="P25" s="27"/>
      <c r="Q25" s="25">
        <v>0</v>
      </c>
      <c r="R25" s="25">
        <v>0</v>
      </c>
      <c r="S25" s="12">
        <f t="shared" si="0"/>
        <v>0</v>
      </c>
      <c r="T25" s="5">
        <v>0</v>
      </c>
      <c r="U25" s="12">
        <f t="shared" si="6"/>
        <v>0</v>
      </c>
      <c r="V25" s="25" t="s">
        <v>10</v>
      </c>
      <c r="W25" s="11">
        <f>IFERROR(VLOOKUP(V25,Curr!$B$2:$C$13,2,FALSE),0)</f>
        <v>11</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C26" s="1" t="s">
        <v>92</v>
      </c>
      <c r="D26" s="1" t="s">
        <v>78</v>
      </c>
      <c r="E26" s="3"/>
      <c r="F26" s="3"/>
      <c r="G26" s="24"/>
      <c r="H26" s="24"/>
      <c r="J26" s="1" t="s">
        <v>81</v>
      </c>
      <c r="K26" s="4"/>
      <c r="L26" s="4"/>
      <c r="M26" s="4"/>
      <c r="N26" s="4"/>
      <c r="O26" s="4"/>
      <c r="P26" s="27"/>
      <c r="Q26" s="25">
        <v>0</v>
      </c>
      <c r="R26" s="25">
        <v>0</v>
      </c>
      <c r="S26" s="12">
        <f t="shared" si="0"/>
        <v>0</v>
      </c>
      <c r="T26" s="5">
        <v>0</v>
      </c>
      <c r="U26" s="12">
        <f t="shared" si="6"/>
        <v>0</v>
      </c>
      <c r="V26" s="25" t="s">
        <v>10</v>
      </c>
      <c r="W26" s="11">
        <f>IFERROR(VLOOKUP(V26,Curr!$B$2:$C$13,2,FALSE),0)</f>
        <v>11</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c r="R27" s="25"/>
      <c r="S27" s="12">
        <f t="shared" ref="S27:S46" si="8">+Q27*R27</f>
        <v>0</v>
      </c>
      <c r="T27" s="5">
        <v>0</v>
      </c>
      <c r="U27" s="12">
        <f t="shared" ref="U27:U46" si="9">S27*(1-T27)</f>
        <v>0</v>
      </c>
      <c r="V27" s="25" t="s">
        <v>10</v>
      </c>
      <c r="W27" s="11">
        <f>IFERROR(VLOOKUP(V27,Curr!$B$2:$C$13,2,FALSE),0)</f>
        <v>11</v>
      </c>
      <c r="X27" s="12">
        <f t="shared" ref="X27:X46" si="10">U27*W27</f>
        <v>0</v>
      </c>
      <c r="Y27" s="26">
        <f t="shared" ref="Y27:Y46" si="11">Q27</f>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8"/>
        <v>0</v>
      </c>
      <c r="T28" s="5">
        <v>0</v>
      </c>
      <c r="U28" s="12">
        <f t="shared" si="9"/>
        <v>0</v>
      </c>
      <c r="V28" s="25" t="s">
        <v>10</v>
      </c>
      <c r="W28" s="11">
        <f>IFERROR(VLOOKUP(V28,Curr!$B$2:$C$13,2,FALSE),0)</f>
        <v>11</v>
      </c>
      <c r="X28" s="12">
        <f t="shared" si="10"/>
        <v>0</v>
      </c>
      <c r="Y28" s="26">
        <f t="shared" si="11"/>
        <v>0</v>
      </c>
      <c r="Z28" s="12">
        <f t="shared" si="2"/>
        <v>0</v>
      </c>
      <c r="AA28" s="4" t="s">
        <v>10</v>
      </c>
      <c r="AB28" s="11">
        <f>IFERROR(VLOOKUP(AA28,Curr!$B$2:$C$13,2,FALSE),0)</f>
        <v>11</v>
      </c>
      <c r="AC28" s="12">
        <f t="shared" si="3"/>
        <v>0</v>
      </c>
      <c r="AD28" s="12">
        <f t="shared" si="4"/>
        <v>0</v>
      </c>
      <c r="AE28" s="13">
        <f t="shared" si="5"/>
        <v>0</v>
      </c>
    </row>
    <row r="29" spans="2:31" x14ac:dyDescent="0.25">
      <c r="B29" s="4"/>
      <c r="C29" s="1" t="s">
        <v>55</v>
      </c>
      <c r="D29" s="1" t="s">
        <v>127</v>
      </c>
      <c r="E29" s="3"/>
      <c r="F29" s="3"/>
      <c r="G29" s="24"/>
      <c r="H29" s="24"/>
      <c r="J29" s="1" t="s">
        <v>131</v>
      </c>
      <c r="K29" s="4"/>
      <c r="L29" s="4"/>
      <c r="M29" s="4"/>
      <c r="N29" s="4"/>
      <c r="O29" s="4"/>
      <c r="P29" s="27"/>
      <c r="Q29" s="25">
        <v>160</v>
      </c>
      <c r="R29" s="25">
        <v>0</v>
      </c>
      <c r="S29" s="12">
        <f t="shared" si="8"/>
        <v>0</v>
      </c>
      <c r="T29" s="5">
        <v>0.2</v>
      </c>
      <c r="U29" s="12">
        <f t="shared" si="9"/>
        <v>0</v>
      </c>
      <c r="V29" s="25" t="s">
        <v>10</v>
      </c>
      <c r="W29" s="11">
        <f>IFERROR(VLOOKUP(V29,Curr!$B$2:$C$13,2,FALSE),0)</f>
        <v>11</v>
      </c>
      <c r="X29" s="12">
        <f t="shared" si="10"/>
        <v>0</v>
      </c>
      <c r="Y29" s="26">
        <f t="shared" si="11"/>
        <v>160</v>
      </c>
      <c r="Z29" s="12">
        <f t="shared" si="2"/>
        <v>0</v>
      </c>
      <c r="AA29" s="4" t="s">
        <v>10</v>
      </c>
      <c r="AB29" s="11">
        <f>IFERROR(VLOOKUP(AA29,Curr!$B$2:$C$13,2,FALSE),0)</f>
        <v>11</v>
      </c>
      <c r="AC29" s="12">
        <f t="shared" si="3"/>
        <v>0</v>
      </c>
      <c r="AD29" s="12">
        <f t="shared" si="4"/>
        <v>0</v>
      </c>
      <c r="AE29" s="13">
        <f t="shared" si="5"/>
        <v>0</v>
      </c>
    </row>
    <row r="30" spans="2:31" x14ac:dyDescent="0.25">
      <c r="B30" s="4"/>
      <c r="C30" s="1" t="s">
        <v>55</v>
      </c>
      <c r="D30" s="1" t="s">
        <v>127</v>
      </c>
      <c r="E30" s="3"/>
      <c r="F30" s="3"/>
      <c r="G30" s="24"/>
      <c r="H30" s="24"/>
      <c r="J30" s="1" t="s">
        <v>132</v>
      </c>
      <c r="K30" s="4"/>
      <c r="L30" s="4"/>
      <c r="M30" s="4"/>
      <c r="N30" s="4"/>
      <c r="O30" s="4"/>
      <c r="P30" s="33"/>
      <c r="Q30" s="25">
        <v>39</v>
      </c>
      <c r="R30" s="25">
        <v>0</v>
      </c>
      <c r="S30" s="12">
        <f t="shared" si="8"/>
        <v>0</v>
      </c>
      <c r="T30" s="5">
        <v>0.2</v>
      </c>
      <c r="U30" s="12">
        <f t="shared" si="9"/>
        <v>0</v>
      </c>
      <c r="V30" s="25" t="s">
        <v>10</v>
      </c>
      <c r="W30" s="11">
        <f>IFERROR(VLOOKUP(V30,Curr!$B$2:$C$13,2,FALSE),0)</f>
        <v>11</v>
      </c>
      <c r="X30" s="12">
        <f t="shared" si="10"/>
        <v>0</v>
      </c>
      <c r="Y30" s="26">
        <f t="shared" si="11"/>
        <v>39</v>
      </c>
      <c r="Z30" s="12">
        <f t="shared" si="2"/>
        <v>0</v>
      </c>
      <c r="AA30" s="4" t="s">
        <v>10</v>
      </c>
      <c r="AB30" s="11">
        <f>IFERROR(VLOOKUP(AA30,Curr!$B$2:$C$13,2,FALSE),0)</f>
        <v>11</v>
      </c>
      <c r="AC30" s="12">
        <f t="shared" si="3"/>
        <v>0</v>
      </c>
      <c r="AD30" s="12">
        <f t="shared" si="4"/>
        <v>0</v>
      </c>
      <c r="AE30" s="13">
        <f t="shared" si="5"/>
        <v>0</v>
      </c>
    </row>
    <row r="31" spans="2:31" x14ac:dyDescent="0.25">
      <c r="B31" s="4"/>
      <c r="C31" s="1" t="s">
        <v>92</v>
      </c>
      <c r="D31" s="1" t="s">
        <v>127</v>
      </c>
      <c r="E31" s="3"/>
      <c r="F31" s="3"/>
      <c r="G31" s="24"/>
      <c r="H31" s="24"/>
      <c r="J31" s="1" t="s">
        <v>134</v>
      </c>
      <c r="K31" s="4"/>
      <c r="L31" s="4"/>
      <c r="M31" s="4"/>
      <c r="N31" s="4"/>
      <c r="O31" s="4"/>
      <c r="P31" s="27"/>
      <c r="Q31" s="25">
        <v>160</v>
      </c>
      <c r="R31" s="25">
        <v>0</v>
      </c>
      <c r="S31" s="12">
        <f t="shared" si="8"/>
        <v>0</v>
      </c>
      <c r="T31" s="5">
        <v>0.2</v>
      </c>
      <c r="U31" s="12">
        <f t="shared" si="9"/>
        <v>0</v>
      </c>
      <c r="V31" s="25" t="s">
        <v>10</v>
      </c>
      <c r="W31" s="11">
        <f>IFERROR(VLOOKUP(V31,Curr!$B$2:$C$13,2,FALSE),0)</f>
        <v>11</v>
      </c>
      <c r="X31" s="12">
        <f t="shared" si="10"/>
        <v>0</v>
      </c>
      <c r="Y31" s="26">
        <f t="shared" si="11"/>
        <v>160</v>
      </c>
      <c r="Z31" s="12">
        <f t="shared" si="2"/>
        <v>0</v>
      </c>
      <c r="AA31" s="4" t="s">
        <v>10</v>
      </c>
      <c r="AB31" s="11">
        <f>IFERROR(VLOOKUP(AA31,Curr!$B$2:$C$13,2,FALSE),0)</f>
        <v>11</v>
      </c>
      <c r="AC31" s="12">
        <f t="shared" si="3"/>
        <v>0</v>
      </c>
      <c r="AD31" s="12">
        <f t="shared" si="4"/>
        <v>0</v>
      </c>
      <c r="AE31" s="13">
        <f t="shared" si="5"/>
        <v>0</v>
      </c>
    </row>
    <row r="32" spans="2:31" x14ac:dyDescent="0.25">
      <c r="B32" s="4"/>
      <c r="C32" s="1" t="s">
        <v>92</v>
      </c>
      <c r="D32" s="1" t="s">
        <v>127</v>
      </c>
      <c r="E32" s="3"/>
      <c r="F32" s="3"/>
      <c r="G32" s="24"/>
      <c r="H32" s="24"/>
      <c r="J32" s="1" t="s">
        <v>135</v>
      </c>
      <c r="K32" s="4"/>
      <c r="L32" s="4"/>
      <c r="M32" s="4"/>
      <c r="N32" s="4"/>
      <c r="O32" s="4"/>
      <c r="P32" s="33"/>
      <c r="Q32" s="25">
        <v>39</v>
      </c>
      <c r="R32" s="25">
        <v>0</v>
      </c>
      <c r="S32" s="12">
        <f t="shared" si="8"/>
        <v>0</v>
      </c>
      <c r="T32" s="5">
        <v>0.2</v>
      </c>
      <c r="U32" s="12">
        <f t="shared" si="9"/>
        <v>0</v>
      </c>
      <c r="V32" s="25" t="s">
        <v>10</v>
      </c>
      <c r="W32" s="11">
        <f>IFERROR(VLOOKUP(V32,Curr!$B$2:$C$13,2,FALSE),0)</f>
        <v>11</v>
      </c>
      <c r="X32" s="12">
        <f t="shared" si="10"/>
        <v>0</v>
      </c>
      <c r="Y32" s="26">
        <f t="shared" si="11"/>
        <v>39</v>
      </c>
      <c r="Z32" s="12">
        <f t="shared" si="2"/>
        <v>0</v>
      </c>
      <c r="AA32" s="4" t="s">
        <v>10</v>
      </c>
      <c r="AB32" s="11">
        <f>IFERROR(VLOOKUP(AA32,Curr!$B$2:$C$13,2,FALSE),0)</f>
        <v>11</v>
      </c>
      <c r="AC32" s="12">
        <f t="shared" si="3"/>
        <v>0</v>
      </c>
      <c r="AD32" s="12">
        <f t="shared" si="4"/>
        <v>0</v>
      </c>
      <c r="AE32" s="13">
        <f t="shared" si="5"/>
        <v>0</v>
      </c>
    </row>
    <row r="33" spans="2:36" x14ac:dyDescent="0.25">
      <c r="B33" s="4"/>
      <c r="E33" s="3"/>
      <c r="F33" s="3"/>
      <c r="G33" s="24"/>
      <c r="H33" s="24"/>
      <c r="K33" s="4"/>
      <c r="L33" s="4"/>
      <c r="M33" s="4"/>
      <c r="N33" s="4"/>
      <c r="O33" s="4"/>
      <c r="P33" s="33"/>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6" x14ac:dyDescent="0.25">
      <c r="B34" s="4"/>
      <c r="E34" s="3"/>
      <c r="F34" s="3"/>
      <c r="G34" s="24"/>
      <c r="H34" s="24"/>
      <c r="K34" s="4"/>
      <c r="L34" s="4"/>
      <c r="M34" s="4"/>
      <c r="N34" s="4"/>
      <c r="O34" s="4"/>
      <c r="P34" s="27"/>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6" x14ac:dyDescent="0.25">
      <c r="B35" s="4"/>
      <c r="C35" s="1" t="s">
        <v>55</v>
      </c>
      <c r="D35" s="1" t="s">
        <v>229</v>
      </c>
      <c r="E35" s="3"/>
      <c r="F35" s="3"/>
      <c r="G35" s="24"/>
      <c r="H35" s="24"/>
      <c r="J35" s="1" t="s">
        <v>260</v>
      </c>
      <c r="K35" s="4"/>
      <c r="L35" s="4"/>
      <c r="M35" s="4"/>
      <c r="N35" s="4"/>
      <c r="O35" s="4"/>
      <c r="P35" s="33" t="s">
        <v>259</v>
      </c>
      <c r="Q35" s="25">
        <v>35</v>
      </c>
      <c r="R35" s="25">
        <v>0</v>
      </c>
      <c r="S35" s="12">
        <f t="shared" si="8"/>
        <v>0</v>
      </c>
      <c r="T35" s="5">
        <v>0.2</v>
      </c>
      <c r="U35" s="12">
        <f t="shared" si="9"/>
        <v>0</v>
      </c>
      <c r="V35" s="25" t="s">
        <v>10</v>
      </c>
      <c r="W35" s="11">
        <f>IFERROR(VLOOKUP(V35,Curr!$B$2:$C$13,2,FALSE),0)</f>
        <v>11</v>
      </c>
      <c r="X35" s="12">
        <f t="shared" si="10"/>
        <v>0</v>
      </c>
      <c r="Y35" s="26">
        <f t="shared" si="11"/>
        <v>35</v>
      </c>
      <c r="Z35" s="12">
        <f t="shared" si="2"/>
        <v>0</v>
      </c>
      <c r="AA35" s="4" t="s">
        <v>10</v>
      </c>
      <c r="AB35" s="11">
        <f>IFERROR(VLOOKUP(AA35,Curr!$B$2:$C$13,2,FALSE),0)</f>
        <v>11</v>
      </c>
      <c r="AC35" s="12">
        <f t="shared" si="3"/>
        <v>0</v>
      </c>
      <c r="AD35" s="12">
        <f t="shared" si="4"/>
        <v>0</v>
      </c>
      <c r="AE35" s="13">
        <f t="shared" si="5"/>
        <v>0</v>
      </c>
    </row>
    <row r="36" spans="2:36" x14ac:dyDescent="0.25">
      <c r="B36" s="4"/>
      <c r="C36" s="1" t="s">
        <v>55</v>
      </c>
      <c r="D36" s="1" t="s">
        <v>229</v>
      </c>
      <c r="E36" s="3"/>
      <c r="F36" s="3"/>
      <c r="G36" s="24"/>
      <c r="H36" s="24"/>
      <c r="J36" s="1" t="s">
        <v>261</v>
      </c>
      <c r="K36" s="4"/>
      <c r="L36" s="4"/>
      <c r="M36" s="4"/>
      <c r="N36" s="4"/>
      <c r="O36" s="4"/>
      <c r="P36" s="33" t="s">
        <v>262</v>
      </c>
      <c r="Q36" s="25">
        <v>109</v>
      </c>
      <c r="R36" s="25">
        <v>0</v>
      </c>
      <c r="S36" s="12">
        <f t="shared" si="8"/>
        <v>0</v>
      </c>
      <c r="T36" s="5">
        <v>0.2</v>
      </c>
      <c r="U36" s="12">
        <f t="shared" si="9"/>
        <v>0</v>
      </c>
      <c r="V36" s="25" t="s">
        <v>10</v>
      </c>
      <c r="W36" s="11">
        <f>IFERROR(VLOOKUP(V36,Curr!$B$2:$C$13,2,FALSE),0)</f>
        <v>11</v>
      </c>
      <c r="X36" s="12">
        <f t="shared" si="10"/>
        <v>0</v>
      </c>
      <c r="Y36" s="26">
        <f t="shared" si="11"/>
        <v>109</v>
      </c>
      <c r="Z36" s="12">
        <f t="shared" si="2"/>
        <v>0</v>
      </c>
      <c r="AA36" s="4" t="s">
        <v>10</v>
      </c>
      <c r="AB36" s="11">
        <f>IFERROR(VLOOKUP(AA36,Curr!$B$2:$C$13,2,FALSE),0)</f>
        <v>11</v>
      </c>
      <c r="AC36" s="12">
        <f t="shared" si="3"/>
        <v>0</v>
      </c>
      <c r="AD36" s="12">
        <f t="shared" si="4"/>
        <v>0</v>
      </c>
      <c r="AE36" s="13">
        <f t="shared" si="5"/>
        <v>0</v>
      </c>
    </row>
    <row r="37" spans="2:36" x14ac:dyDescent="0.25">
      <c r="B37" s="4"/>
      <c r="C37" s="1" t="s">
        <v>77</v>
      </c>
      <c r="D37" s="1" t="s">
        <v>229</v>
      </c>
      <c r="E37" s="3"/>
      <c r="F37" s="3"/>
      <c r="G37" s="24"/>
      <c r="H37" s="24"/>
      <c r="J37" s="1" t="s">
        <v>263</v>
      </c>
      <c r="K37" s="4"/>
      <c r="L37" s="4"/>
      <c r="M37" s="4"/>
      <c r="N37" s="4"/>
      <c r="O37" s="4"/>
      <c r="P37" s="33" t="s">
        <v>264</v>
      </c>
      <c r="Q37" s="25">
        <v>185</v>
      </c>
      <c r="R37" s="25">
        <v>0</v>
      </c>
      <c r="S37" s="12">
        <f t="shared" si="8"/>
        <v>0</v>
      </c>
      <c r="T37" s="5">
        <v>0.2</v>
      </c>
      <c r="U37" s="12">
        <f t="shared" si="9"/>
        <v>0</v>
      </c>
      <c r="V37" s="25" t="s">
        <v>10</v>
      </c>
      <c r="W37" s="11">
        <f>IFERROR(VLOOKUP(V37,Curr!$B$2:$C$13,2,FALSE),0)</f>
        <v>11</v>
      </c>
      <c r="X37" s="12">
        <f t="shared" si="10"/>
        <v>0</v>
      </c>
      <c r="Y37" s="26">
        <f t="shared" si="11"/>
        <v>185</v>
      </c>
      <c r="Z37" s="12">
        <f t="shared" si="2"/>
        <v>0</v>
      </c>
      <c r="AA37" s="4" t="s">
        <v>10</v>
      </c>
      <c r="AB37" s="11">
        <f>IFERROR(VLOOKUP(AA37,Curr!$B$2:$C$13,2,FALSE),0)</f>
        <v>11</v>
      </c>
      <c r="AC37" s="12">
        <f t="shared" si="3"/>
        <v>0</v>
      </c>
      <c r="AD37" s="12">
        <f t="shared" si="4"/>
        <v>0</v>
      </c>
      <c r="AE37" s="13">
        <f t="shared" si="5"/>
        <v>0</v>
      </c>
    </row>
    <row r="38" spans="2:36" x14ac:dyDescent="0.25">
      <c r="B38" s="4"/>
      <c r="E38" s="3"/>
      <c r="F38" s="3"/>
      <c r="G38" s="24"/>
      <c r="H38" s="24"/>
      <c r="K38" s="4"/>
      <c r="L38" s="4"/>
      <c r="M38" s="4"/>
      <c r="N38" s="4"/>
      <c r="O38" s="4"/>
      <c r="P38" s="27"/>
      <c r="Q38" s="25"/>
      <c r="R38" s="25"/>
      <c r="S38" s="12">
        <f t="shared" si="8"/>
        <v>0</v>
      </c>
      <c r="T38" s="5">
        <v>0</v>
      </c>
      <c r="U38" s="12">
        <f t="shared" si="9"/>
        <v>0</v>
      </c>
      <c r="V38" s="25" t="s">
        <v>10</v>
      </c>
      <c r="W38" s="11">
        <f>IFERROR(VLOOKUP(V38,Curr!$B$2:$C$13,2,FALSE),0)</f>
        <v>11</v>
      </c>
      <c r="X38" s="12">
        <f t="shared" si="10"/>
        <v>0</v>
      </c>
      <c r="Y38" s="26">
        <f t="shared" si="11"/>
        <v>0</v>
      </c>
      <c r="Z38" s="12">
        <f t="shared" si="2"/>
        <v>0</v>
      </c>
      <c r="AA38" s="4" t="s">
        <v>10</v>
      </c>
      <c r="AB38" s="11">
        <f>IFERROR(VLOOKUP(AA38,Curr!$B$2:$C$13,2,FALSE),0)</f>
        <v>11</v>
      </c>
      <c r="AC38" s="12">
        <f t="shared" si="3"/>
        <v>0</v>
      </c>
      <c r="AD38" s="12">
        <f t="shared" si="4"/>
        <v>0</v>
      </c>
      <c r="AE38" s="13">
        <f t="shared" si="5"/>
        <v>0</v>
      </c>
    </row>
    <row r="39" spans="2:36"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6"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6" x14ac:dyDescent="0.25">
      <c r="B41" s="4"/>
      <c r="E41" s="3"/>
      <c r="F41" s="3"/>
      <c r="G41" s="24"/>
      <c r="H41" s="24"/>
      <c r="K41" s="4"/>
      <c r="L41" s="4"/>
      <c r="M41" s="4"/>
      <c r="N41" s="4"/>
      <c r="O41" s="4"/>
      <c r="P41" s="33"/>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6"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6"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6"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6"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6"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6" x14ac:dyDescent="0.25">
      <c r="B47" s="4"/>
      <c r="E47" s="3"/>
      <c r="F47" s="3"/>
      <c r="G47" s="3"/>
      <c r="H47" s="3"/>
      <c r="L47" s="4"/>
      <c r="M47" s="4"/>
      <c r="N47" s="4"/>
      <c r="O47" s="4"/>
      <c r="P47" s="22"/>
      <c r="Q47" s="4"/>
      <c r="R47" s="4"/>
      <c r="S47" s="4"/>
      <c r="T47" s="4"/>
      <c r="U47" s="4"/>
      <c r="V47" s="4"/>
      <c r="W47" s="4"/>
      <c r="X47" s="4"/>
      <c r="Y47" s="4"/>
      <c r="Z47" s="4"/>
      <c r="AA47" s="4"/>
      <c r="AB47" s="4"/>
      <c r="AC47" s="4"/>
      <c r="AD47" s="4"/>
      <c r="AE47" s="4"/>
      <c r="AF47" s="4"/>
    </row>
    <row r="48" spans="2:36" x14ac:dyDescent="0.25">
      <c r="B48" s="14" t="s">
        <v>18</v>
      </c>
      <c r="C48" s="14"/>
      <c r="D48" s="28" t="s">
        <v>42</v>
      </c>
      <c r="E48" s="30" t="s">
        <v>42</v>
      </c>
      <c r="F48" s="30" t="s">
        <v>42</v>
      </c>
      <c r="G48" s="30" t="s">
        <v>42</v>
      </c>
      <c r="H48" s="30" t="s">
        <v>42</v>
      </c>
      <c r="I48" s="28" t="s">
        <v>42</v>
      </c>
      <c r="J48" s="28" t="s">
        <v>42</v>
      </c>
      <c r="K48" s="28" t="s">
        <v>42</v>
      </c>
      <c r="L48" s="28" t="s">
        <v>42</v>
      </c>
      <c r="M48" s="28" t="s">
        <v>42</v>
      </c>
      <c r="N48" s="28" t="s">
        <v>42</v>
      </c>
      <c r="O48" s="28" t="s">
        <v>42</v>
      </c>
      <c r="P48" s="28" t="s">
        <v>42</v>
      </c>
      <c r="Q48" s="31" t="s">
        <v>42</v>
      </c>
      <c r="R48" s="28" t="s">
        <v>42</v>
      </c>
      <c r="S48" s="32" t="s">
        <v>42</v>
      </c>
      <c r="T48" s="28" t="s">
        <v>42</v>
      </c>
      <c r="U48" s="32" t="s">
        <v>42</v>
      </c>
      <c r="V48" s="28" t="s">
        <v>42</v>
      </c>
      <c r="W48" s="28" t="s">
        <v>42</v>
      </c>
      <c r="X48" s="32" t="s">
        <v>42</v>
      </c>
      <c r="Y48" s="32" t="s">
        <v>42</v>
      </c>
      <c r="Z48" s="15">
        <f>SUM(Z7:Z46)</f>
        <v>2461.7647058823532</v>
      </c>
      <c r="AA48" s="14"/>
      <c r="AB48" s="14"/>
      <c r="AC48" s="15">
        <f>SUM(AC7:AC46)</f>
        <v>27079.411764705881</v>
      </c>
      <c r="AD48" s="15">
        <f>SUM(AD7:AD46)</f>
        <v>4995.8117647058825</v>
      </c>
      <c r="AE48" s="21">
        <f t="shared" ref="AE48" si="12">IFERROR(AD48/AC48,0)</f>
        <v>0.18448745519713264</v>
      </c>
      <c r="AF48" s="15">
        <f>SUM(AF8:AF47)</f>
        <v>0</v>
      </c>
      <c r="AG48" s="15">
        <f>SUM(AG8:AG47)</f>
        <v>0</v>
      </c>
      <c r="AH48" s="15">
        <f>SUM(AH8:AH47)</f>
        <v>0</v>
      </c>
      <c r="AI48" s="15">
        <f>SUM(AI8:AI47)</f>
        <v>0</v>
      </c>
      <c r="AJ48" s="15">
        <f>SUM(AJ8:AJ47)</f>
        <v>0</v>
      </c>
    </row>
    <row r="49" spans="2:32" x14ac:dyDescent="0.25">
      <c r="B49" s="4"/>
      <c r="E49" s="3"/>
      <c r="F49" s="3"/>
      <c r="G49" s="3"/>
      <c r="H49" s="3"/>
      <c r="L49" s="4"/>
      <c r="M49" s="4"/>
      <c r="N49" s="4"/>
      <c r="O49" s="4"/>
      <c r="Q49" s="4"/>
      <c r="R49" s="4"/>
      <c r="S49" s="4"/>
      <c r="T49" s="4"/>
      <c r="U49" s="4"/>
      <c r="V49" s="4"/>
      <c r="W49" s="4"/>
      <c r="X49" s="4"/>
      <c r="Y49" s="9"/>
      <c r="Z49" s="9"/>
      <c r="AA49" s="9"/>
      <c r="AB49" s="9"/>
      <c r="AC49" s="9"/>
      <c r="AD49" s="9"/>
      <c r="AE49" s="9"/>
    </row>
    <row r="50" spans="2:32" x14ac:dyDescent="0.25">
      <c r="B50" s="4"/>
      <c r="E50" s="3"/>
      <c r="F50" s="3"/>
      <c r="G50" s="3"/>
      <c r="H50" s="3"/>
      <c r="L50" s="4"/>
      <c r="M50" s="4"/>
      <c r="N50" s="4"/>
      <c r="O50" s="4"/>
      <c r="Q50" s="9"/>
      <c r="R50" s="9"/>
      <c r="S50" s="9"/>
      <c r="T50" s="9"/>
      <c r="U50" s="9"/>
      <c r="V50" s="9"/>
      <c r="W50" s="9"/>
      <c r="X50" s="23"/>
      <c r="Y50" s="34" t="s">
        <v>234</v>
      </c>
      <c r="Z50" s="34">
        <f>Z12+Z14+Z16+Z19+Z22</f>
        <v>1050</v>
      </c>
      <c r="AA50" s="9"/>
      <c r="AB50" s="9"/>
      <c r="AC50" s="9"/>
      <c r="AD50" s="9"/>
      <c r="AE50" s="9"/>
    </row>
    <row r="51" spans="2:32" x14ac:dyDescent="0.25">
      <c r="B51" s="4"/>
      <c r="E51" s="3"/>
      <c r="F51" s="3"/>
      <c r="G51" s="3"/>
      <c r="H51" s="3"/>
      <c r="L51" s="4"/>
      <c r="M51" s="4"/>
      <c r="N51" s="4"/>
      <c r="O51" s="4"/>
      <c r="Q51" s="9"/>
      <c r="R51" s="9"/>
      <c r="S51" s="9"/>
      <c r="T51" s="9"/>
      <c r="U51" s="9"/>
      <c r="V51" s="9"/>
      <c r="W51" s="9"/>
      <c r="X51" s="9"/>
      <c r="Y51" s="35" t="s">
        <v>235</v>
      </c>
      <c r="Z51" s="34">
        <f>Z9</f>
        <v>1411.7647058823529</v>
      </c>
      <c r="AA51" s="9"/>
      <c r="AB51" s="9"/>
      <c r="AC51" s="9"/>
      <c r="AD51" s="9"/>
      <c r="AE51" s="9"/>
      <c r="AF51" s="18"/>
    </row>
    <row r="52" spans="2:32" x14ac:dyDescent="0.25">
      <c r="B52" s="4"/>
      <c r="E52" s="3"/>
      <c r="F52" s="3"/>
      <c r="G52" s="3"/>
      <c r="H52" s="3"/>
      <c r="I52" s="19"/>
      <c r="L52" s="4"/>
      <c r="M52" s="4"/>
      <c r="N52" s="4"/>
      <c r="O52" s="20"/>
      <c r="Q52" s="20"/>
      <c r="R52" s="20"/>
      <c r="S52" s="20"/>
      <c r="T52" s="20"/>
      <c r="U52" s="20"/>
      <c r="V52" s="20"/>
      <c r="W52" s="20"/>
      <c r="X52" s="20"/>
      <c r="Y52" s="34" t="s">
        <v>236</v>
      </c>
      <c r="Z52" s="34">
        <v>2460</v>
      </c>
      <c r="AA52" s="9"/>
      <c r="AB52" s="9"/>
      <c r="AC52" s="9"/>
      <c r="AD52" s="9"/>
      <c r="AE52" s="9"/>
      <c r="AF52" s="18"/>
    </row>
    <row r="53" spans="2:32" x14ac:dyDescent="0.25">
      <c r="B53" s="4"/>
      <c r="E53" s="3"/>
      <c r="F53" s="3"/>
      <c r="G53" s="3"/>
      <c r="H53" s="3"/>
      <c r="L53" s="4"/>
      <c r="M53" s="4"/>
      <c r="N53" s="4"/>
      <c r="O53" s="20"/>
      <c r="Q53" s="20"/>
      <c r="R53" s="20"/>
      <c r="S53" s="20"/>
      <c r="T53" s="20"/>
      <c r="U53" s="20"/>
      <c r="V53" s="20"/>
      <c r="W53" s="20"/>
      <c r="X53" s="20"/>
      <c r="Y53" s="34" t="s">
        <v>45</v>
      </c>
      <c r="Z53" s="34">
        <f>Z52/2</f>
        <v>1230</v>
      </c>
      <c r="AA53" s="9"/>
      <c r="AB53" s="9"/>
      <c r="AC53" s="9"/>
      <c r="AD53" s="9"/>
      <c r="AE53" s="9"/>
      <c r="AF53" s="18"/>
    </row>
    <row r="54" spans="2:32" x14ac:dyDescent="0.25">
      <c r="B54" s="4"/>
      <c r="E54" s="3"/>
      <c r="F54" s="3"/>
      <c r="G54" s="3"/>
      <c r="H54" s="3"/>
      <c r="L54" s="4"/>
      <c r="M54" s="4"/>
      <c r="N54" s="4"/>
      <c r="O54" s="4"/>
      <c r="Q54" s="9"/>
      <c r="R54" s="9"/>
      <c r="S54" s="9"/>
      <c r="T54" s="9"/>
      <c r="U54" s="9"/>
      <c r="V54" s="9"/>
      <c r="W54" s="9"/>
      <c r="X54" s="9"/>
      <c r="Y54" s="1" t="s">
        <v>298</v>
      </c>
      <c r="Z54" s="1">
        <f>Z52*0.8</f>
        <v>1968</v>
      </c>
      <c r="AA54" s="9"/>
      <c r="AB54" s="9"/>
      <c r="AC54" s="9"/>
      <c r="AD54" s="9"/>
      <c r="AE54" s="9"/>
      <c r="AF54" s="18"/>
    </row>
    <row r="55" spans="2:32" x14ac:dyDescent="0.25">
      <c r="F55" s="1"/>
      <c r="G55" s="1"/>
      <c r="H55" s="1"/>
      <c r="J55" s="1" t="s">
        <v>32</v>
      </c>
      <c r="Q55" s="9"/>
      <c r="R55" s="4"/>
      <c r="S55" s="9"/>
      <c r="T55" s="5"/>
      <c r="U55" s="9"/>
      <c r="V55" s="4"/>
      <c r="W55" s="4"/>
      <c r="X55" s="9"/>
      <c r="Y55" s="9"/>
      <c r="Z55" s="9"/>
      <c r="AA55" s="9"/>
      <c r="AB55" s="9"/>
      <c r="AC55" s="9"/>
      <c r="AD55" s="9"/>
      <c r="AE55" s="9"/>
    </row>
    <row r="56" spans="2:32" x14ac:dyDescent="0.25">
      <c r="R56" s="4"/>
      <c r="S56" s="17"/>
      <c r="T56" s="17"/>
      <c r="U56" s="9"/>
      <c r="V56" s="4"/>
      <c r="W56" s="4"/>
      <c r="X56" s="9"/>
      <c r="Y56" s="9"/>
      <c r="Z56" s="9"/>
      <c r="AA56" s="9"/>
      <c r="AB56" s="9"/>
      <c r="AC56" s="9"/>
      <c r="AD56" s="9"/>
      <c r="AE56" s="9"/>
    </row>
    <row r="57" spans="2:32" x14ac:dyDescent="0.25">
      <c r="Q57" s="9"/>
      <c r="R57" s="4"/>
      <c r="S57" s="16"/>
      <c r="T57" s="16"/>
      <c r="U57" s="9"/>
      <c r="V57" s="4"/>
      <c r="W57" s="4"/>
      <c r="X57" s="9"/>
      <c r="Y57" s="9"/>
      <c r="Z57" s="9"/>
      <c r="AA57" s="9"/>
      <c r="AB57" s="9"/>
      <c r="AC57" s="9"/>
      <c r="AD57" s="9"/>
      <c r="AE57" s="9"/>
    </row>
    <row r="58" spans="2:32" x14ac:dyDescent="0.25">
      <c r="R58" s="4"/>
      <c r="S58" s="16"/>
      <c r="T58" s="16"/>
      <c r="Y58" s="9"/>
      <c r="Z58" s="9"/>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c r="Y62" s="9"/>
      <c r="Z62" s="9"/>
      <c r="AA62" s="9"/>
      <c r="AB62" s="9"/>
      <c r="AC62" s="9"/>
      <c r="AD62" s="9"/>
      <c r="AE62" s="9"/>
    </row>
    <row r="63" spans="2:32" x14ac:dyDescent="0.25">
      <c r="T63" s="5"/>
      <c r="Y63" s="9"/>
      <c r="Z63" s="9"/>
      <c r="AA63" s="9"/>
      <c r="AB63" s="9"/>
      <c r="AC63" s="9"/>
      <c r="AD63" s="9"/>
      <c r="AE63" s="9"/>
    </row>
    <row r="64" spans="2:32"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row>
    <row r="68" spans="20:31" x14ac:dyDescent="0.25">
      <c r="T68" s="5"/>
    </row>
    <row r="69" spans="20:31" x14ac:dyDescent="0.25">
      <c r="T69" s="5"/>
    </row>
    <row r="70" spans="20:31" x14ac:dyDescent="0.25">
      <c r="T70" s="5"/>
    </row>
    <row r="71" spans="20:31" x14ac:dyDescent="0.25">
      <c r="T71" s="5"/>
    </row>
  </sheetData>
  <autoFilter ref="B6:AE48" xr:uid="{65FA6D9B-E0AF-46CD-BA0D-86BB75FE6AB0}"/>
  <hyperlinks>
    <hyperlink ref="P12" r:id="rId1" xr:uid="{B37132EF-68CB-4FBA-BC10-14525A5955E6}"/>
    <hyperlink ref="P14" r:id="rId2" xr:uid="{00A6C7C7-F5E8-43A0-A6F7-FAA609D192E8}"/>
    <hyperlink ref="P16" r:id="rId3" xr:uid="{7F90CED3-C41F-48B0-AF11-56D58A3F1E65}"/>
    <hyperlink ref="P19" r:id="rId4" xr:uid="{A0454A29-A7C1-4988-9ACB-32DF70DA4ACA}"/>
    <hyperlink ref="P22" r:id="rId5" xr:uid="{7CD92273-9D47-443D-88C3-96E0B3E6486D}"/>
    <hyperlink ref="P35" r:id="rId6" xr:uid="{0D7D7102-4295-41FC-859B-4BF729BB8CAB}"/>
    <hyperlink ref="P36" r:id="rId7" xr:uid="{CE437998-1FD6-4AE4-B360-66D81CD2EA6E}"/>
    <hyperlink ref="P37" r:id="rId8" xr:uid="{EB36B227-BBA9-492D-9FED-A1F79CC35AB8}"/>
  </hyperlinks>
  <pageMargins left="0.7" right="0.7" top="0.75" bottom="0.75" header="0.3" footer="0.3"/>
  <pageSetup paperSize="9" orientation="portrait" r:id="rId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CD90-5CAE-4481-8801-88D1A737D2AC}">
  <sheetPr>
    <tabColor rgb="FFFFFF00"/>
  </sheetPr>
  <dimension ref="B2:AK76"/>
  <sheetViews>
    <sheetView zoomScale="80" zoomScaleNormal="80" workbookViewId="0">
      <selection activeCell="W7" sqref="W7:W5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20" si="0">+Q7*R7</f>
        <v>0</v>
      </c>
      <c r="T7" s="5">
        <v>0</v>
      </c>
      <c r="U7" s="12">
        <f>S7*(1-T7)</f>
        <v>0</v>
      </c>
      <c r="V7" s="25" t="s">
        <v>10</v>
      </c>
      <c r="W7" s="11">
        <f>IFERROR(VLOOKUP(V7,Curr!$B$2:$C$13,2,FALSE),0)</f>
        <v>11</v>
      </c>
      <c r="X7" s="12">
        <f t="shared" ref="X7:X20" si="1">U7*W7</f>
        <v>0</v>
      </c>
      <c r="Y7" s="26">
        <f>Q7</f>
        <v>0</v>
      </c>
      <c r="Z7" s="12">
        <f t="shared" ref="Z7:Z51" si="2">+Y7*R7</f>
        <v>0</v>
      </c>
      <c r="AA7" s="4" t="s">
        <v>10</v>
      </c>
      <c r="AB7" s="11">
        <f>IFERROR(VLOOKUP(AA7,Curr!$B$2:$C$13,2,FALSE),0)</f>
        <v>11</v>
      </c>
      <c r="AC7" s="12">
        <f t="shared" ref="AC7:AC51" si="3">+Y7*AB7*R7</f>
        <v>0</v>
      </c>
      <c r="AD7" s="12">
        <f t="shared" ref="AD7:AD51" si="4">+AC7-X7</f>
        <v>0</v>
      </c>
      <c r="AE7" s="13">
        <f t="shared" ref="AE7:AE51"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20" si="6">S8*(1-T8)</f>
        <v>0</v>
      </c>
      <c r="V8" s="25" t="s">
        <v>10</v>
      </c>
      <c r="W8" s="11">
        <f>IFERROR(VLOOKUP(V8,Curr!$B$2:$C$13,2,FALSE),0)</f>
        <v>11</v>
      </c>
      <c r="X8" s="12">
        <f t="shared" si="1"/>
        <v>0</v>
      </c>
      <c r="Y8" s="26">
        <f t="shared" ref="Y8:Y2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232</v>
      </c>
      <c r="K9" s="4"/>
      <c r="L9" s="4"/>
      <c r="M9" s="4"/>
      <c r="N9" s="4"/>
      <c r="O9" s="4"/>
      <c r="P9" s="33" t="s">
        <v>230</v>
      </c>
      <c r="Q9" s="25">
        <v>1400</v>
      </c>
      <c r="R9" s="25">
        <v>1</v>
      </c>
      <c r="S9" s="12">
        <f t="shared" si="0"/>
        <v>1400</v>
      </c>
      <c r="T9" s="5">
        <v>0</v>
      </c>
      <c r="U9" s="12">
        <f t="shared" si="6"/>
        <v>1400</v>
      </c>
      <c r="V9" s="25" t="s">
        <v>10</v>
      </c>
      <c r="W9" s="11">
        <f>IFERROR(VLOOKUP(V9,Curr!$B$2:$C$13,2,FALSE),0)</f>
        <v>11</v>
      </c>
      <c r="X9" s="12">
        <f t="shared" si="1"/>
        <v>15400</v>
      </c>
      <c r="Y9" s="26">
        <f>Q9/0.85</f>
        <v>1647.0588235294117</v>
      </c>
      <c r="Z9" s="12">
        <f t="shared" si="2"/>
        <v>1647.0588235294117</v>
      </c>
      <c r="AA9" s="4" t="s">
        <v>10</v>
      </c>
      <c r="AB9" s="11">
        <f>IFERROR(VLOOKUP(AA9,Curr!$B$2:$C$13,2,FALSE),0)</f>
        <v>11</v>
      </c>
      <c r="AC9" s="12">
        <f t="shared" si="3"/>
        <v>18117.647058823528</v>
      </c>
      <c r="AD9" s="12">
        <f t="shared" si="4"/>
        <v>2717.6470588235279</v>
      </c>
      <c r="AE9" s="13">
        <f t="shared" si="5"/>
        <v>0.14999999999999994</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ref="S21:S51" si="8">+Q21*R21</f>
        <v>0</v>
      </c>
      <c r="T21" s="5">
        <v>0</v>
      </c>
      <c r="U21" s="12">
        <f t="shared" ref="U21:U51" si="9">S21*(1-T21)</f>
        <v>0</v>
      </c>
      <c r="V21" s="25" t="s">
        <v>10</v>
      </c>
      <c r="W21" s="11">
        <f>IFERROR(VLOOKUP(V21,Curr!$B$2:$C$13,2,FALSE),0)</f>
        <v>11</v>
      </c>
      <c r="X21" s="12">
        <f t="shared" ref="X21:X51" si="10">U21*W21</f>
        <v>0</v>
      </c>
      <c r="Y21" s="26">
        <f t="shared" ref="Y21:Y51" si="11">Q21</f>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225</v>
      </c>
      <c r="K22" s="4"/>
      <c r="L22" s="4"/>
      <c r="M22" s="4"/>
      <c r="N22" s="4"/>
      <c r="O22" s="4"/>
      <c r="P22" s="33" t="s">
        <v>226</v>
      </c>
      <c r="Q22" s="25">
        <v>120</v>
      </c>
      <c r="R22" s="25">
        <v>2</v>
      </c>
      <c r="S22" s="12">
        <f t="shared" si="8"/>
        <v>240</v>
      </c>
      <c r="T22" s="5">
        <v>0.25</v>
      </c>
      <c r="U22" s="12">
        <f t="shared" si="9"/>
        <v>180</v>
      </c>
      <c r="V22" s="25" t="s">
        <v>10</v>
      </c>
      <c r="W22" s="11">
        <f>IFERROR(VLOOKUP(V22,Curr!$B$2:$C$13,2,FALSE),0)</f>
        <v>11</v>
      </c>
      <c r="X22" s="12">
        <f t="shared" si="10"/>
        <v>1980</v>
      </c>
      <c r="Y22" s="26">
        <f t="shared" si="11"/>
        <v>120</v>
      </c>
      <c r="Z22" s="12">
        <f t="shared" si="2"/>
        <v>240</v>
      </c>
      <c r="AA22" s="4" t="s">
        <v>10</v>
      </c>
      <c r="AB22" s="11">
        <f>IFERROR(VLOOKUP(AA22,Curr!$B$2:$C$13,2,FALSE),0)</f>
        <v>11</v>
      </c>
      <c r="AC22" s="12">
        <f t="shared" si="3"/>
        <v>2640</v>
      </c>
      <c r="AD22" s="12">
        <f t="shared" si="4"/>
        <v>660</v>
      </c>
      <c r="AE22" s="13">
        <f t="shared" si="5"/>
        <v>0.25</v>
      </c>
    </row>
    <row r="23" spans="2:31" x14ac:dyDescent="0.25">
      <c r="B23" s="4"/>
      <c r="C23" s="1" t="s">
        <v>77</v>
      </c>
      <c r="D23" s="1" t="s">
        <v>60</v>
      </c>
      <c r="E23" s="3"/>
      <c r="F23" s="3"/>
      <c r="G23" s="24"/>
      <c r="H23" s="24"/>
      <c r="J23" s="1" t="s">
        <v>136</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82</v>
      </c>
      <c r="E25" s="3"/>
      <c r="F25" s="3"/>
      <c r="G25" s="24"/>
      <c r="H25" s="24"/>
      <c r="J25" s="1" t="s">
        <v>137</v>
      </c>
      <c r="K25" s="4"/>
      <c r="L25" s="4"/>
      <c r="M25" s="4"/>
      <c r="N25" s="4"/>
      <c r="O25" s="4"/>
      <c r="P25" s="33" t="s">
        <v>182</v>
      </c>
      <c r="Q25" s="25">
        <v>163</v>
      </c>
      <c r="R25" s="25">
        <v>2</v>
      </c>
      <c r="S25" s="12">
        <f t="shared" si="8"/>
        <v>326</v>
      </c>
      <c r="T25" s="5">
        <v>0.2</v>
      </c>
      <c r="U25" s="12">
        <f t="shared" si="9"/>
        <v>260.8</v>
      </c>
      <c r="V25" s="25" t="s">
        <v>10</v>
      </c>
      <c r="W25" s="11">
        <f>IFERROR(VLOOKUP(V25,Curr!$B$2:$C$13,2,FALSE),0)</f>
        <v>11</v>
      </c>
      <c r="X25" s="12">
        <f t="shared" si="10"/>
        <v>2868.8</v>
      </c>
      <c r="Y25" s="26">
        <f t="shared" si="11"/>
        <v>163</v>
      </c>
      <c r="Z25" s="12">
        <f t="shared" si="2"/>
        <v>326</v>
      </c>
      <c r="AA25" s="4" t="s">
        <v>10</v>
      </c>
      <c r="AB25" s="11">
        <f>IFERROR(VLOOKUP(AA25,Curr!$B$2:$C$13,2,FALSE),0)</f>
        <v>11</v>
      </c>
      <c r="AC25" s="12">
        <f t="shared" si="3"/>
        <v>3586</v>
      </c>
      <c r="AD25" s="12">
        <f t="shared" si="4"/>
        <v>717.19999999999982</v>
      </c>
      <c r="AE25" s="13">
        <f t="shared" si="5"/>
        <v>0.19999999999999996</v>
      </c>
    </row>
    <row r="26" spans="2:31" x14ac:dyDescent="0.25">
      <c r="B26" s="4"/>
      <c r="C26" s="1" t="s">
        <v>92</v>
      </c>
      <c r="D26" s="1" t="s">
        <v>60</v>
      </c>
      <c r="E26" s="3"/>
      <c r="F26" s="3"/>
      <c r="G26" s="24"/>
      <c r="H26" s="24"/>
      <c r="J26" s="1" t="s">
        <v>136</v>
      </c>
      <c r="K26" s="4"/>
      <c r="L26" s="4"/>
      <c r="M26" s="4"/>
      <c r="N26" s="4"/>
      <c r="O26" s="4"/>
      <c r="P26" s="33"/>
      <c r="Q26" s="25">
        <v>0</v>
      </c>
      <c r="R26" s="25">
        <v>0</v>
      </c>
      <c r="S26" s="12">
        <f t="shared" si="8"/>
        <v>0</v>
      </c>
      <c r="T26" s="5">
        <v>0</v>
      </c>
      <c r="U26" s="12">
        <f t="shared" si="9"/>
        <v>0</v>
      </c>
      <c r="V26" s="25" t="s">
        <v>10</v>
      </c>
      <c r="W26" s="11">
        <f>IFERROR(VLOOKUP(V26,Curr!$B$2:$C$13,2,FALSE),0)</f>
        <v>11</v>
      </c>
      <c r="X26" s="12">
        <f t="shared" si="10"/>
        <v>0</v>
      </c>
      <c r="Y26" s="26">
        <f t="shared" si="11"/>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33"/>
      <c r="Q27" s="25"/>
      <c r="R27" s="25"/>
      <c r="S27" s="12">
        <f t="shared" si="8"/>
        <v>0</v>
      </c>
      <c r="T27" s="5">
        <v>0</v>
      </c>
      <c r="U27" s="12">
        <f t="shared" si="9"/>
        <v>0</v>
      </c>
      <c r="V27" s="25" t="s">
        <v>10</v>
      </c>
      <c r="W27" s="11">
        <f>IFERROR(VLOOKUP(V27,Curr!$B$2:$C$13,2,FALSE),0)</f>
        <v>11</v>
      </c>
      <c r="X27" s="12">
        <f t="shared" si="10"/>
        <v>0</v>
      </c>
      <c r="Y27" s="26">
        <f t="shared" si="11"/>
        <v>0</v>
      </c>
      <c r="Z27" s="12">
        <f t="shared" si="2"/>
        <v>0</v>
      </c>
      <c r="AA27" s="4" t="s">
        <v>10</v>
      </c>
      <c r="AB27" s="11">
        <f>IFERROR(VLOOKUP(AA27,Curr!$B$2:$C$13,2,FALSE),0)</f>
        <v>11</v>
      </c>
      <c r="AC27" s="12">
        <f t="shared" si="3"/>
        <v>0</v>
      </c>
      <c r="AD27" s="12">
        <f t="shared" si="4"/>
        <v>0</v>
      </c>
      <c r="AE27" s="13">
        <f t="shared" si="5"/>
        <v>0</v>
      </c>
    </row>
    <row r="28" spans="2:31" x14ac:dyDescent="0.25">
      <c r="B28" s="4"/>
      <c r="C28" s="1" t="s">
        <v>94</v>
      </c>
      <c r="D28" s="1" t="s">
        <v>117</v>
      </c>
      <c r="E28" s="3"/>
      <c r="F28" s="3"/>
      <c r="G28" s="24"/>
      <c r="H28" s="24"/>
      <c r="J28" s="1" t="s">
        <v>133</v>
      </c>
      <c r="K28" s="4"/>
      <c r="L28" s="4"/>
      <c r="M28" s="4"/>
      <c r="N28" s="4"/>
      <c r="O28" s="4"/>
      <c r="P28" s="27"/>
      <c r="Q28" s="25">
        <v>0</v>
      </c>
      <c r="R28" s="25">
        <v>0</v>
      </c>
      <c r="S28" s="12">
        <f t="shared" si="8"/>
        <v>0</v>
      </c>
      <c r="T28" s="5">
        <v>0</v>
      </c>
      <c r="U28" s="12">
        <f t="shared" si="9"/>
        <v>0</v>
      </c>
      <c r="V28" s="25" t="s">
        <v>10</v>
      </c>
      <c r="W28" s="11">
        <f>IFERROR(VLOOKUP(V28,Curr!$B$2:$C$13,2,FALSE),0)</f>
        <v>11</v>
      </c>
      <c r="X28" s="12">
        <f t="shared" si="10"/>
        <v>0</v>
      </c>
      <c r="Y28" s="26">
        <f t="shared" si="11"/>
        <v>0</v>
      </c>
      <c r="Z28" s="12">
        <f t="shared" si="2"/>
        <v>0</v>
      </c>
      <c r="AA28" s="4" t="s">
        <v>10</v>
      </c>
      <c r="AB28" s="11">
        <f>IFERROR(VLOOKUP(AA28,Curr!$B$2:$C$13,2,FALSE),0)</f>
        <v>11</v>
      </c>
      <c r="AC28" s="12">
        <f t="shared" si="3"/>
        <v>0</v>
      </c>
      <c r="AD28" s="12">
        <f t="shared" si="4"/>
        <v>0</v>
      </c>
      <c r="AE28" s="13">
        <f t="shared" si="5"/>
        <v>0</v>
      </c>
    </row>
    <row r="29" spans="2:31" x14ac:dyDescent="0.25">
      <c r="B29" s="4"/>
      <c r="C29" s="1" t="s">
        <v>94</v>
      </c>
      <c r="D29" s="1" t="s">
        <v>78</v>
      </c>
      <c r="E29" s="3"/>
      <c r="F29" s="3"/>
      <c r="G29" s="24"/>
      <c r="H29" s="24"/>
      <c r="J29" s="1" t="s">
        <v>81</v>
      </c>
      <c r="K29" s="4"/>
      <c r="L29" s="4"/>
      <c r="M29" s="4"/>
      <c r="N29" s="4"/>
      <c r="O29" s="4"/>
      <c r="P29" s="27"/>
      <c r="Q29" s="25">
        <v>0</v>
      </c>
      <c r="R29" s="25">
        <v>0</v>
      </c>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c r="R31" s="25"/>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127</v>
      </c>
      <c r="E32" s="3"/>
      <c r="F32" s="3"/>
      <c r="G32" s="24"/>
      <c r="H32" s="24"/>
      <c r="J32" s="1" t="s">
        <v>131</v>
      </c>
      <c r="K32" s="4"/>
      <c r="L32" s="4"/>
      <c r="M32" s="4"/>
      <c r="N32" s="4"/>
      <c r="O32" s="4"/>
      <c r="P32" s="27"/>
      <c r="Q32" s="25">
        <v>160</v>
      </c>
      <c r="R32" s="25">
        <v>0</v>
      </c>
      <c r="S32" s="12">
        <f t="shared" si="8"/>
        <v>0</v>
      </c>
      <c r="T32" s="5">
        <v>0.2</v>
      </c>
      <c r="U32" s="12">
        <f t="shared" si="9"/>
        <v>0</v>
      </c>
      <c r="V32" s="25" t="s">
        <v>10</v>
      </c>
      <c r="W32" s="11">
        <f>IFERROR(VLOOKUP(V32,Curr!$B$2:$C$13,2,FALSE),0)</f>
        <v>11</v>
      </c>
      <c r="X32" s="12">
        <f t="shared" si="10"/>
        <v>0</v>
      </c>
      <c r="Y32" s="26">
        <f t="shared" si="11"/>
        <v>160</v>
      </c>
      <c r="Z32" s="12">
        <f t="shared" si="2"/>
        <v>0</v>
      </c>
      <c r="AA32" s="4" t="s">
        <v>10</v>
      </c>
      <c r="AB32" s="11">
        <f>IFERROR(VLOOKUP(AA32,Curr!$B$2:$C$13,2,FALSE),0)</f>
        <v>11</v>
      </c>
      <c r="AC32" s="12">
        <f t="shared" si="3"/>
        <v>0</v>
      </c>
      <c r="AD32" s="12">
        <f t="shared" si="4"/>
        <v>0</v>
      </c>
      <c r="AE32" s="13">
        <f t="shared" si="5"/>
        <v>0</v>
      </c>
    </row>
    <row r="33" spans="2:31" x14ac:dyDescent="0.25">
      <c r="B33" s="4"/>
      <c r="C33" s="1" t="s">
        <v>55</v>
      </c>
      <c r="D33" s="1" t="s">
        <v>127</v>
      </c>
      <c r="E33" s="3"/>
      <c r="F33" s="3"/>
      <c r="G33" s="24"/>
      <c r="H33" s="24"/>
      <c r="J33" s="1" t="s">
        <v>132</v>
      </c>
      <c r="K33" s="4"/>
      <c r="L33" s="4"/>
      <c r="M33" s="4"/>
      <c r="N33" s="4"/>
      <c r="O33" s="4"/>
      <c r="P33" s="33"/>
      <c r="Q33" s="25">
        <v>39</v>
      </c>
      <c r="R33" s="25">
        <v>0</v>
      </c>
      <c r="S33" s="12">
        <f t="shared" si="8"/>
        <v>0</v>
      </c>
      <c r="T33" s="5">
        <v>0.2</v>
      </c>
      <c r="U33" s="12">
        <f t="shared" si="9"/>
        <v>0</v>
      </c>
      <c r="V33" s="25" t="s">
        <v>10</v>
      </c>
      <c r="W33" s="11">
        <f>IFERROR(VLOOKUP(V33,Curr!$B$2:$C$13,2,FALSE),0)</f>
        <v>11</v>
      </c>
      <c r="X33" s="12">
        <f t="shared" si="10"/>
        <v>0</v>
      </c>
      <c r="Y33" s="26">
        <f t="shared" si="11"/>
        <v>39</v>
      </c>
      <c r="Z33" s="12">
        <f t="shared" si="2"/>
        <v>0</v>
      </c>
      <c r="AA33" s="4" t="s">
        <v>10</v>
      </c>
      <c r="AB33" s="11">
        <f>IFERROR(VLOOKUP(AA33,Curr!$B$2:$C$13,2,FALSE),0)</f>
        <v>11</v>
      </c>
      <c r="AC33" s="12">
        <f t="shared" si="3"/>
        <v>0</v>
      </c>
      <c r="AD33" s="12">
        <f t="shared" si="4"/>
        <v>0</v>
      </c>
      <c r="AE33" s="13">
        <f t="shared" si="5"/>
        <v>0</v>
      </c>
    </row>
    <row r="34" spans="2:31" x14ac:dyDescent="0.25">
      <c r="B34" s="4"/>
      <c r="C34" s="1" t="s">
        <v>94</v>
      </c>
      <c r="D34" s="1" t="s">
        <v>127</v>
      </c>
      <c r="E34" s="3"/>
      <c r="F34" s="3"/>
      <c r="G34" s="24"/>
      <c r="H34" s="24"/>
      <c r="J34" s="1" t="s">
        <v>134</v>
      </c>
      <c r="K34" s="4"/>
      <c r="L34" s="4"/>
      <c r="M34" s="4"/>
      <c r="N34" s="4"/>
      <c r="O34" s="4"/>
      <c r="P34" s="27"/>
      <c r="Q34" s="25">
        <v>160</v>
      </c>
      <c r="R34" s="25">
        <v>0</v>
      </c>
      <c r="S34" s="12">
        <f t="shared" si="8"/>
        <v>0</v>
      </c>
      <c r="T34" s="5">
        <v>0.2</v>
      </c>
      <c r="U34" s="12">
        <f t="shared" si="9"/>
        <v>0</v>
      </c>
      <c r="V34" s="25" t="s">
        <v>10</v>
      </c>
      <c r="W34" s="11">
        <f>IFERROR(VLOOKUP(V34,Curr!$B$2:$C$13,2,FALSE),0)</f>
        <v>11</v>
      </c>
      <c r="X34" s="12">
        <f t="shared" si="10"/>
        <v>0</v>
      </c>
      <c r="Y34" s="26">
        <f t="shared" si="11"/>
        <v>160</v>
      </c>
      <c r="Z34" s="12">
        <f t="shared" si="2"/>
        <v>0</v>
      </c>
      <c r="AA34" s="4" t="s">
        <v>10</v>
      </c>
      <c r="AB34" s="11">
        <f>IFERROR(VLOOKUP(AA34,Curr!$B$2:$C$13,2,FALSE),0)</f>
        <v>11</v>
      </c>
      <c r="AC34" s="12">
        <f t="shared" si="3"/>
        <v>0</v>
      </c>
      <c r="AD34" s="12">
        <f t="shared" si="4"/>
        <v>0</v>
      </c>
      <c r="AE34" s="13">
        <f t="shared" si="5"/>
        <v>0</v>
      </c>
    </row>
    <row r="35" spans="2:31" x14ac:dyDescent="0.25">
      <c r="B35" s="4"/>
      <c r="C35" s="1" t="s">
        <v>94</v>
      </c>
      <c r="D35" s="1" t="s">
        <v>127</v>
      </c>
      <c r="E35" s="3"/>
      <c r="F35" s="3"/>
      <c r="G35" s="24"/>
      <c r="H35" s="24"/>
      <c r="J35" s="1" t="s">
        <v>135</v>
      </c>
      <c r="K35" s="4"/>
      <c r="L35" s="4"/>
      <c r="M35" s="4"/>
      <c r="N35" s="4"/>
      <c r="O35" s="4"/>
      <c r="P35" s="33"/>
      <c r="Q35" s="25">
        <v>39</v>
      </c>
      <c r="R35" s="25">
        <v>0</v>
      </c>
      <c r="S35" s="12">
        <f t="shared" si="8"/>
        <v>0</v>
      </c>
      <c r="T35" s="5">
        <v>0.2</v>
      </c>
      <c r="U35" s="12">
        <f t="shared" si="9"/>
        <v>0</v>
      </c>
      <c r="V35" s="25" t="s">
        <v>10</v>
      </c>
      <c r="W35" s="11">
        <f>IFERROR(VLOOKUP(V35,Curr!$B$2:$C$13,2,FALSE),0)</f>
        <v>11</v>
      </c>
      <c r="X35" s="12">
        <f t="shared" si="10"/>
        <v>0</v>
      </c>
      <c r="Y35" s="26">
        <f t="shared" si="11"/>
        <v>39</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27"/>
      <c r="Q37" s="25"/>
      <c r="R37" s="25"/>
      <c r="S37" s="12">
        <f t="shared" si="8"/>
        <v>0</v>
      </c>
      <c r="T37" s="5">
        <v>0</v>
      </c>
      <c r="U37" s="12">
        <f t="shared" si="9"/>
        <v>0</v>
      </c>
      <c r="V37" s="25" t="s">
        <v>10</v>
      </c>
      <c r="W37" s="11">
        <f>IFERROR(VLOOKUP(V37,Curr!$B$2:$C$13,2,FALSE),0)</f>
        <v>11</v>
      </c>
      <c r="X37" s="12">
        <f t="shared" si="10"/>
        <v>0</v>
      </c>
      <c r="Y37" s="26">
        <f t="shared" si="11"/>
        <v>0</v>
      </c>
      <c r="Z37" s="12">
        <f t="shared" si="2"/>
        <v>0</v>
      </c>
      <c r="AA37" s="4" t="s">
        <v>10</v>
      </c>
      <c r="AB37" s="11">
        <f>IFERROR(VLOOKUP(AA37,Curr!$B$2:$C$13,2,FALSE),0)</f>
        <v>11</v>
      </c>
      <c r="AC37" s="12">
        <f t="shared" si="3"/>
        <v>0</v>
      </c>
      <c r="AD37" s="12">
        <f t="shared" si="4"/>
        <v>0</v>
      </c>
      <c r="AE37" s="13">
        <f t="shared" si="5"/>
        <v>0</v>
      </c>
    </row>
    <row r="38" spans="2:31" x14ac:dyDescent="0.25">
      <c r="B38" s="4"/>
      <c r="C38" s="1" t="s">
        <v>55</v>
      </c>
      <c r="D38" s="1" t="s">
        <v>229</v>
      </c>
      <c r="E38" s="3"/>
      <c r="F38" s="3"/>
      <c r="G38" s="24"/>
      <c r="H38" s="24"/>
      <c r="J38" s="1" t="s">
        <v>260</v>
      </c>
      <c r="K38" s="4"/>
      <c r="L38" s="4"/>
      <c r="M38" s="4"/>
      <c r="N38" s="4"/>
      <c r="O38" s="4"/>
      <c r="P38" s="33" t="s">
        <v>259</v>
      </c>
      <c r="Q38" s="25">
        <v>35</v>
      </c>
      <c r="R38" s="25">
        <v>0</v>
      </c>
      <c r="S38" s="12">
        <f t="shared" si="8"/>
        <v>0</v>
      </c>
      <c r="T38" s="5">
        <v>0.2</v>
      </c>
      <c r="U38" s="12">
        <f t="shared" si="9"/>
        <v>0</v>
      </c>
      <c r="V38" s="25" t="s">
        <v>10</v>
      </c>
      <c r="W38" s="11">
        <f>IFERROR(VLOOKUP(V38,Curr!$B$2:$C$13,2,FALSE),0)</f>
        <v>11</v>
      </c>
      <c r="X38" s="12">
        <f t="shared" si="10"/>
        <v>0</v>
      </c>
      <c r="Y38" s="26">
        <f t="shared" si="11"/>
        <v>35</v>
      </c>
      <c r="Z38" s="12">
        <f t="shared" si="2"/>
        <v>0</v>
      </c>
      <c r="AA38" s="4" t="s">
        <v>10</v>
      </c>
      <c r="AB38" s="11">
        <f>IFERROR(VLOOKUP(AA38,Curr!$B$2:$C$13,2,FALSE),0)</f>
        <v>11</v>
      </c>
      <c r="AC38" s="12">
        <f t="shared" si="3"/>
        <v>0</v>
      </c>
      <c r="AD38" s="12">
        <f t="shared" si="4"/>
        <v>0</v>
      </c>
      <c r="AE38" s="13">
        <f t="shared" si="5"/>
        <v>0</v>
      </c>
    </row>
    <row r="39" spans="2:31" x14ac:dyDescent="0.25">
      <c r="B39" s="4"/>
      <c r="C39" s="1" t="s">
        <v>55</v>
      </c>
      <c r="D39" s="1" t="s">
        <v>229</v>
      </c>
      <c r="E39" s="3"/>
      <c r="F39" s="3"/>
      <c r="G39" s="24"/>
      <c r="H39" s="24"/>
      <c r="J39" s="1" t="s">
        <v>261</v>
      </c>
      <c r="K39" s="4"/>
      <c r="L39" s="4"/>
      <c r="M39" s="4"/>
      <c r="N39" s="4"/>
      <c r="O39" s="4"/>
      <c r="P39" s="33" t="s">
        <v>262</v>
      </c>
      <c r="Q39" s="25">
        <v>109</v>
      </c>
      <c r="R39" s="25">
        <v>0</v>
      </c>
      <c r="S39" s="12">
        <f t="shared" si="8"/>
        <v>0</v>
      </c>
      <c r="T39" s="5">
        <v>0.2</v>
      </c>
      <c r="U39" s="12">
        <f t="shared" si="9"/>
        <v>0</v>
      </c>
      <c r="V39" s="25" t="s">
        <v>10</v>
      </c>
      <c r="W39" s="11">
        <f>IFERROR(VLOOKUP(V39,Curr!$B$2:$C$13,2,FALSE),0)</f>
        <v>11</v>
      </c>
      <c r="X39" s="12">
        <f t="shared" si="10"/>
        <v>0</v>
      </c>
      <c r="Y39" s="26">
        <f t="shared" si="11"/>
        <v>109</v>
      </c>
      <c r="Z39" s="12">
        <f t="shared" si="2"/>
        <v>0</v>
      </c>
      <c r="AA39" s="4" t="s">
        <v>10</v>
      </c>
      <c r="AB39" s="11">
        <f>IFERROR(VLOOKUP(AA39,Curr!$B$2:$C$13,2,FALSE),0)</f>
        <v>11</v>
      </c>
      <c r="AC39" s="12">
        <f t="shared" si="3"/>
        <v>0</v>
      </c>
      <c r="AD39" s="12">
        <f t="shared" si="4"/>
        <v>0</v>
      </c>
      <c r="AE39" s="13">
        <f t="shared" si="5"/>
        <v>0</v>
      </c>
    </row>
    <row r="40" spans="2:31" x14ac:dyDescent="0.25">
      <c r="B40" s="4"/>
      <c r="C40" s="1" t="s">
        <v>77</v>
      </c>
      <c r="D40" s="1" t="s">
        <v>229</v>
      </c>
      <c r="E40" s="3"/>
      <c r="F40" s="3"/>
      <c r="G40" s="24"/>
      <c r="H40" s="24"/>
      <c r="J40" s="1" t="s">
        <v>263</v>
      </c>
      <c r="K40" s="4"/>
      <c r="L40" s="4"/>
      <c r="M40" s="4"/>
      <c r="N40" s="4"/>
      <c r="O40" s="4"/>
      <c r="P40" s="33" t="s">
        <v>264</v>
      </c>
      <c r="Q40" s="25">
        <v>185</v>
      </c>
      <c r="R40" s="25">
        <v>0</v>
      </c>
      <c r="S40" s="12">
        <f t="shared" si="8"/>
        <v>0</v>
      </c>
      <c r="T40" s="5">
        <v>0.2</v>
      </c>
      <c r="U40" s="12">
        <f t="shared" si="9"/>
        <v>0</v>
      </c>
      <c r="V40" s="25" t="s">
        <v>10</v>
      </c>
      <c r="W40" s="11">
        <f>IFERROR(VLOOKUP(V40,Curr!$B$2:$C$13,2,FALSE),0)</f>
        <v>11</v>
      </c>
      <c r="X40" s="12">
        <f t="shared" si="10"/>
        <v>0</v>
      </c>
      <c r="Y40" s="26">
        <f t="shared" si="11"/>
        <v>185</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27"/>
      <c r="Q41" s="25">
        <v>0</v>
      </c>
      <c r="R41" s="25">
        <v>0</v>
      </c>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x14ac:dyDescent="0.25">
      <c r="B52" s="4"/>
      <c r="E52" s="3"/>
      <c r="F52" s="3"/>
      <c r="G52" s="3"/>
      <c r="H52" s="3"/>
      <c r="L52" s="4"/>
      <c r="M52" s="4"/>
      <c r="N52" s="4"/>
      <c r="O52" s="4"/>
      <c r="P52" s="22"/>
      <c r="Q52" s="4"/>
      <c r="R52" s="4"/>
      <c r="S52" s="4"/>
      <c r="T52" s="4"/>
      <c r="U52" s="4"/>
      <c r="V52" s="4"/>
      <c r="W52" s="4"/>
      <c r="X52" s="4"/>
      <c r="Y52" s="4"/>
      <c r="Z52" s="4"/>
      <c r="AA52" s="4"/>
      <c r="AB52" s="4"/>
      <c r="AC52" s="4"/>
      <c r="AD52" s="4"/>
      <c r="AE52" s="4"/>
      <c r="AF52" s="4"/>
    </row>
    <row r="53" spans="2:36" x14ac:dyDescent="0.25">
      <c r="B53" s="14" t="s">
        <v>18</v>
      </c>
      <c r="C53" s="14"/>
      <c r="D53" s="28" t="s">
        <v>42</v>
      </c>
      <c r="E53" s="30" t="s">
        <v>42</v>
      </c>
      <c r="F53" s="30" t="s">
        <v>42</v>
      </c>
      <c r="G53" s="30" t="s">
        <v>42</v>
      </c>
      <c r="H53" s="30" t="s">
        <v>42</v>
      </c>
      <c r="I53" s="28" t="s">
        <v>42</v>
      </c>
      <c r="J53" s="28" t="s">
        <v>42</v>
      </c>
      <c r="K53" s="28" t="s">
        <v>42</v>
      </c>
      <c r="L53" s="28" t="s">
        <v>42</v>
      </c>
      <c r="M53" s="28" t="s">
        <v>42</v>
      </c>
      <c r="N53" s="28" t="s">
        <v>42</v>
      </c>
      <c r="O53" s="28" t="s">
        <v>42</v>
      </c>
      <c r="P53" s="28" t="s">
        <v>42</v>
      </c>
      <c r="Q53" s="31" t="s">
        <v>42</v>
      </c>
      <c r="R53" s="28" t="s">
        <v>42</v>
      </c>
      <c r="S53" s="32" t="s">
        <v>42</v>
      </c>
      <c r="T53" s="28" t="s">
        <v>42</v>
      </c>
      <c r="U53" s="32" t="s">
        <v>42</v>
      </c>
      <c r="V53" s="28" t="s">
        <v>42</v>
      </c>
      <c r="W53" s="28" t="s">
        <v>42</v>
      </c>
      <c r="X53" s="32" t="s">
        <v>42</v>
      </c>
      <c r="Y53" s="32" t="s">
        <v>42</v>
      </c>
      <c r="Z53" s="15">
        <f>SUM(Z7:Z51)</f>
        <v>2937.0588235294117</v>
      </c>
      <c r="AA53" s="14"/>
      <c r="AB53" s="14"/>
      <c r="AC53" s="15">
        <f>SUM(AC7:AC51)</f>
        <v>32307.647058823528</v>
      </c>
      <c r="AD53" s="15">
        <f>SUM(AD7:AD51)</f>
        <v>6044.0470588235275</v>
      </c>
      <c r="AE53" s="21">
        <f t="shared" ref="AE53" si="12">IFERROR(AD53/AC53,0)</f>
        <v>0.18707790907270172</v>
      </c>
      <c r="AF53" s="15">
        <f>SUM(AF8:AF52)</f>
        <v>0</v>
      </c>
      <c r="AG53" s="15">
        <f>SUM(AG8:AG52)</f>
        <v>0</v>
      </c>
      <c r="AH53" s="15">
        <f>SUM(AH8:AH52)</f>
        <v>0</v>
      </c>
      <c r="AI53" s="15">
        <f>SUM(AI8:AI52)</f>
        <v>0</v>
      </c>
      <c r="AJ53" s="15">
        <f>SUM(AJ8:AJ52)</f>
        <v>0</v>
      </c>
    </row>
    <row r="54" spans="2:36" x14ac:dyDescent="0.25">
      <c r="B54" s="4"/>
      <c r="E54" s="3"/>
      <c r="F54" s="3"/>
      <c r="G54" s="3"/>
      <c r="H54" s="3"/>
      <c r="L54" s="4"/>
      <c r="M54" s="4"/>
      <c r="N54" s="4"/>
      <c r="O54" s="4"/>
      <c r="Q54" s="4"/>
      <c r="R54" s="4"/>
      <c r="S54" s="4"/>
      <c r="T54" s="4"/>
      <c r="U54" s="4"/>
      <c r="V54" s="4"/>
      <c r="W54" s="4"/>
      <c r="X54" s="4"/>
      <c r="Y54" s="9"/>
      <c r="Z54" s="9"/>
      <c r="AA54" s="9"/>
      <c r="AB54" s="9"/>
      <c r="AC54" s="9"/>
      <c r="AD54" s="9"/>
      <c r="AE54" s="9"/>
    </row>
    <row r="55" spans="2:36" x14ac:dyDescent="0.25">
      <c r="B55" s="4"/>
      <c r="E55" s="3"/>
      <c r="F55" s="3"/>
      <c r="G55" s="3"/>
      <c r="H55" s="3"/>
      <c r="L55" s="4"/>
      <c r="M55" s="4"/>
      <c r="N55" s="4"/>
      <c r="O55" s="4"/>
      <c r="Q55" s="9"/>
      <c r="R55" s="9"/>
      <c r="S55" s="9"/>
      <c r="T55" s="9"/>
      <c r="U55" s="9"/>
      <c r="V55" s="9"/>
      <c r="W55" s="9"/>
      <c r="X55" s="23"/>
      <c r="Y55" s="34" t="s">
        <v>234</v>
      </c>
      <c r="Z55" s="34">
        <f>Z12+Z14+Z16+Z19+Z22+Z25</f>
        <v>1290</v>
      </c>
      <c r="AA55" s="9"/>
      <c r="AB55" s="9"/>
      <c r="AC55" s="9"/>
      <c r="AD55" s="9"/>
      <c r="AE55" s="9"/>
    </row>
    <row r="56" spans="2:36" x14ac:dyDescent="0.25">
      <c r="B56" s="4"/>
      <c r="E56" s="3"/>
      <c r="F56" s="3"/>
      <c r="G56" s="3"/>
      <c r="H56" s="3"/>
      <c r="L56" s="4"/>
      <c r="M56" s="4"/>
      <c r="N56" s="4"/>
      <c r="O56" s="4"/>
      <c r="Q56" s="9"/>
      <c r="R56" s="9"/>
      <c r="S56" s="9"/>
      <c r="T56" s="9"/>
      <c r="U56" s="9"/>
      <c r="V56" s="9"/>
      <c r="W56" s="9"/>
      <c r="X56" s="9"/>
      <c r="Y56" s="35" t="s">
        <v>235</v>
      </c>
      <c r="Z56" s="34">
        <f>Z9</f>
        <v>1647.0588235294117</v>
      </c>
      <c r="AA56" s="9"/>
      <c r="AB56" s="9"/>
      <c r="AC56" s="9"/>
      <c r="AD56" s="9"/>
      <c r="AE56" s="9"/>
      <c r="AF56" s="18"/>
    </row>
    <row r="57" spans="2:36" x14ac:dyDescent="0.25">
      <c r="B57" s="4"/>
      <c r="E57" s="3"/>
      <c r="F57" s="3"/>
      <c r="G57" s="3"/>
      <c r="H57" s="3"/>
      <c r="I57" s="19"/>
      <c r="L57" s="4"/>
      <c r="M57" s="4"/>
      <c r="N57" s="4"/>
      <c r="O57" s="20"/>
      <c r="Q57" s="20"/>
      <c r="R57" s="20"/>
      <c r="S57" s="20"/>
      <c r="T57" s="20"/>
      <c r="U57" s="20"/>
      <c r="V57" s="20"/>
      <c r="W57" s="20"/>
      <c r="X57" s="20"/>
      <c r="Y57" s="34" t="s">
        <v>236</v>
      </c>
      <c r="Z57" s="34">
        <v>2940</v>
      </c>
      <c r="AA57" s="9"/>
      <c r="AB57" s="9"/>
      <c r="AC57" s="9"/>
      <c r="AD57" s="9"/>
      <c r="AE57" s="9"/>
      <c r="AF57" s="18"/>
    </row>
    <row r="58" spans="2:36" x14ac:dyDescent="0.25">
      <c r="B58" s="4"/>
      <c r="E58" s="3"/>
      <c r="F58" s="3"/>
      <c r="G58" s="3"/>
      <c r="H58" s="3"/>
      <c r="L58" s="4"/>
      <c r="M58" s="4"/>
      <c r="N58" s="4"/>
      <c r="O58" s="20"/>
      <c r="Q58" s="20"/>
      <c r="R58" s="20"/>
      <c r="S58" s="20"/>
      <c r="T58" s="20"/>
      <c r="U58" s="20"/>
      <c r="V58" s="20"/>
      <c r="W58" s="20"/>
      <c r="X58" s="20"/>
      <c r="Y58" s="34" t="s">
        <v>45</v>
      </c>
      <c r="Z58" s="34">
        <f>Z57/2</f>
        <v>1470</v>
      </c>
      <c r="AA58" s="9"/>
      <c r="AB58" s="9"/>
      <c r="AC58" s="9"/>
      <c r="AD58" s="9"/>
      <c r="AE58" s="9"/>
      <c r="AF58" s="18"/>
    </row>
    <row r="59" spans="2:36" x14ac:dyDescent="0.25">
      <c r="B59" s="4"/>
      <c r="E59" s="3"/>
      <c r="F59" s="3"/>
      <c r="G59" s="3"/>
      <c r="H59" s="3"/>
      <c r="L59" s="4"/>
      <c r="M59" s="4"/>
      <c r="N59" s="4"/>
      <c r="O59" s="4"/>
      <c r="Q59" s="9"/>
      <c r="R59" s="9"/>
      <c r="S59" s="9"/>
      <c r="T59" s="9"/>
      <c r="U59" s="9"/>
      <c r="V59" s="9"/>
      <c r="W59" s="9"/>
      <c r="X59" s="9"/>
      <c r="Y59" s="1" t="s">
        <v>298</v>
      </c>
      <c r="Z59" s="1">
        <f>Z57*0.8</f>
        <v>2352</v>
      </c>
      <c r="AA59" s="9"/>
      <c r="AB59" s="9"/>
      <c r="AC59" s="9"/>
      <c r="AD59" s="9"/>
      <c r="AE59" s="9"/>
      <c r="AF59" s="18"/>
    </row>
    <row r="60" spans="2:36" x14ac:dyDescent="0.25">
      <c r="F60" s="1"/>
      <c r="G60" s="1"/>
      <c r="H60" s="1"/>
      <c r="J60" s="1" t="s">
        <v>32</v>
      </c>
      <c r="Q60" s="9"/>
      <c r="R60" s="4"/>
      <c r="S60" s="9"/>
      <c r="T60" s="5"/>
      <c r="U60" s="9"/>
      <c r="V60" s="4"/>
      <c r="W60" s="4"/>
      <c r="X60" s="9"/>
      <c r="Y60" s="9"/>
      <c r="Z60" s="9"/>
      <c r="AA60" s="9"/>
      <c r="AB60" s="9"/>
      <c r="AC60" s="9"/>
      <c r="AD60" s="9"/>
      <c r="AE60" s="9"/>
    </row>
    <row r="61" spans="2:36" x14ac:dyDescent="0.25">
      <c r="R61" s="4"/>
      <c r="S61" s="17"/>
      <c r="T61" s="17"/>
      <c r="U61" s="9"/>
      <c r="V61" s="4"/>
      <c r="W61" s="4"/>
      <c r="X61" s="9"/>
      <c r="Y61" s="9"/>
      <c r="Z61" s="9"/>
      <c r="AA61" s="9"/>
      <c r="AB61" s="9"/>
      <c r="AC61" s="9"/>
      <c r="AD61" s="9"/>
      <c r="AE61" s="9"/>
    </row>
    <row r="62" spans="2:36" x14ac:dyDescent="0.25">
      <c r="Q62" s="9"/>
      <c r="R62" s="4"/>
      <c r="S62" s="16"/>
      <c r="T62" s="16"/>
      <c r="U62" s="9"/>
      <c r="V62" s="4"/>
      <c r="W62" s="4"/>
      <c r="X62" s="9"/>
      <c r="Y62" s="9"/>
      <c r="Z62" s="9"/>
      <c r="AA62" s="9"/>
      <c r="AB62" s="9"/>
      <c r="AC62" s="9"/>
      <c r="AD62" s="9"/>
      <c r="AE62" s="9"/>
    </row>
    <row r="63" spans="2:36" x14ac:dyDescent="0.25">
      <c r="R63" s="4"/>
      <c r="S63" s="16"/>
      <c r="T63" s="16"/>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c r="Y70" s="9"/>
      <c r="Z70" s="9"/>
      <c r="AA70" s="9"/>
      <c r="AB70" s="9"/>
      <c r="AC70" s="9"/>
      <c r="AD70" s="9"/>
      <c r="AE70" s="9"/>
    </row>
    <row r="71" spans="20:31" x14ac:dyDescent="0.25">
      <c r="T71" s="5"/>
      <c r="Y71" s="9"/>
      <c r="Z71" s="9"/>
      <c r="AA71" s="9"/>
      <c r="AB71" s="9"/>
      <c r="AC71" s="9"/>
      <c r="AD71" s="9"/>
      <c r="AE71" s="9"/>
    </row>
    <row r="72" spans="20:31" x14ac:dyDescent="0.25">
      <c r="T72" s="5"/>
    </row>
    <row r="73" spans="20:31" x14ac:dyDescent="0.25">
      <c r="T73" s="5"/>
    </row>
    <row r="74" spans="20:31" x14ac:dyDescent="0.25">
      <c r="T74" s="5"/>
    </row>
    <row r="75" spans="20:31" x14ac:dyDescent="0.25">
      <c r="T75" s="5"/>
    </row>
    <row r="76" spans="20:31" x14ac:dyDescent="0.25">
      <c r="T76" s="5"/>
    </row>
  </sheetData>
  <autoFilter ref="B6:AE53" xr:uid="{65FA6D9B-E0AF-46CD-BA0D-86BB75FE6AB0}"/>
  <hyperlinks>
    <hyperlink ref="P12" r:id="rId1" xr:uid="{4489F487-E162-40D2-B267-7511E96CA14D}"/>
    <hyperlink ref="P14" r:id="rId2" xr:uid="{8AACCE07-06DC-45C6-8D69-01A812B946FE}"/>
    <hyperlink ref="P16" r:id="rId3" xr:uid="{7E39FBE1-D91D-4395-B9F0-058D8124D5FB}"/>
    <hyperlink ref="P19" r:id="rId4" xr:uid="{5B8D5A6B-D9F6-4769-BC78-3469C7BB5ED2}"/>
    <hyperlink ref="P25" r:id="rId5" xr:uid="{008CC272-8BC0-4D29-8C63-AEDB5ACF0DE9}"/>
    <hyperlink ref="P22" r:id="rId6" xr:uid="{B84886AD-1438-4F09-9EDA-DA0C3B6AF889}"/>
    <hyperlink ref="P9" r:id="rId7" xr:uid="{7B9A72CD-691B-4872-87EF-3F97EF091F23}"/>
    <hyperlink ref="P38" r:id="rId8" xr:uid="{1BFDC18F-CC0D-4765-A645-B0DC35CC20CB}"/>
    <hyperlink ref="P39" r:id="rId9" xr:uid="{D1E1714F-D55A-42C9-9832-86C3077232BD}"/>
    <hyperlink ref="P40" r:id="rId10" xr:uid="{BDE5BBBC-1E64-4A2E-8009-92B42E8D7785}"/>
  </hyperlinks>
  <pageMargins left="0.7" right="0.7" top="0.75" bottom="0.75" header="0.3" footer="0.3"/>
  <pageSetup paperSize="9" orientation="portrait" r:id="rId1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60D4-FE4D-4AE2-8A84-7D4E7279AE90}">
  <sheetPr>
    <tabColor rgb="FFFFFF00"/>
  </sheetPr>
  <dimension ref="B2:AK76"/>
  <sheetViews>
    <sheetView zoomScale="80" zoomScaleNormal="80" workbookViewId="0">
      <selection activeCell="W7" sqref="W7:W5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20" si="0">+Q7*R7</f>
        <v>0</v>
      </c>
      <c r="T7" s="5">
        <v>0</v>
      </c>
      <c r="U7" s="12">
        <f>S7*(1-T7)</f>
        <v>0</v>
      </c>
      <c r="V7" s="25" t="s">
        <v>10</v>
      </c>
      <c r="W7" s="11">
        <f>IFERROR(VLOOKUP(V7,Curr!$B$2:$C$13,2,FALSE),0)</f>
        <v>11</v>
      </c>
      <c r="X7" s="12">
        <f t="shared" ref="X7:X20" si="1">U7*W7</f>
        <v>0</v>
      </c>
      <c r="Y7" s="26">
        <f>Q7</f>
        <v>0</v>
      </c>
      <c r="Z7" s="12">
        <f t="shared" ref="Z7:Z51" si="2">+Y7*R7</f>
        <v>0</v>
      </c>
      <c r="AA7" s="4" t="s">
        <v>10</v>
      </c>
      <c r="AB7" s="11">
        <f>IFERROR(VLOOKUP(AA7,Curr!$B$2:$C$13,2,FALSE),0)</f>
        <v>11</v>
      </c>
      <c r="AC7" s="12">
        <f t="shared" ref="AC7:AC51" si="3">+Y7*AB7*R7</f>
        <v>0</v>
      </c>
      <c r="AD7" s="12">
        <f t="shared" ref="AD7:AD51" si="4">+AC7-X7</f>
        <v>0</v>
      </c>
      <c r="AE7" s="13">
        <f t="shared" ref="AE7:AE51"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20" si="6">S8*(1-T8)</f>
        <v>0</v>
      </c>
      <c r="V8" s="25" t="s">
        <v>10</v>
      </c>
      <c r="W8" s="11">
        <f>IFERROR(VLOOKUP(V8,Curr!$B$2:$C$13,2,FALSE),0)</f>
        <v>11</v>
      </c>
      <c r="X8" s="12">
        <f t="shared" si="1"/>
        <v>0</v>
      </c>
      <c r="Y8" s="26">
        <f t="shared" ref="Y8:Y20"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233</v>
      </c>
      <c r="K9" s="4"/>
      <c r="L9" s="4"/>
      <c r="M9" s="4"/>
      <c r="N9" s="4"/>
      <c r="O9" s="4"/>
      <c r="P9" s="33" t="s">
        <v>228</v>
      </c>
      <c r="Q9" s="25">
        <v>1600</v>
      </c>
      <c r="R9" s="25">
        <v>1</v>
      </c>
      <c r="S9" s="12">
        <f t="shared" si="0"/>
        <v>1600</v>
      </c>
      <c r="T9" s="5">
        <v>0</v>
      </c>
      <c r="U9" s="12">
        <f t="shared" si="6"/>
        <v>1600</v>
      </c>
      <c r="V9" s="25" t="s">
        <v>10</v>
      </c>
      <c r="W9" s="11">
        <f>IFERROR(VLOOKUP(V9,Curr!$B$2:$C$13,2,FALSE),0)</f>
        <v>11</v>
      </c>
      <c r="X9" s="12">
        <f t="shared" si="1"/>
        <v>17600</v>
      </c>
      <c r="Y9" s="26">
        <f>Q9/0.85</f>
        <v>1882.3529411764707</v>
      </c>
      <c r="Z9" s="12">
        <f t="shared" si="2"/>
        <v>1882.3529411764707</v>
      </c>
      <c r="AA9" s="4" t="s">
        <v>10</v>
      </c>
      <c r="AB9" s="11">
        <f>IFERROR(VLOOKUP(AA9,Curr!$B$2:$C$13,2,FALSE),0)</f>
        <v>11</v>
      </c>
      <c r="AC9" s="12">
        <f t="shared" si="3"/>
        <v>20705.882352941178</v>
      </c>
      <c r="AD9" s="12">
        <f t="shared" si="4"/>
        <v>3105.8823529411784</v>
      </c>
      <c r="AE9" s="13">
        <f t="shared" si="5"/>
        <v>0.15000000000000008</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ref="S21:S51" si="8">+Q21*R21</f>
        <v>0</v>
      </c>
      <c r="T21" s="5">
        <v>0</v>
      </c>
      <c r="U21" s="12">
        <f t="shared" ref="U21:U51" si="9">S21*(1-T21)</f>
        <v>0</v>
      </c>
      <c r="V21" s="25" t="s">
        <v>10</v>
      </c>
      <c r="W21" s="11">
        <f>IFERROR(VLOOKUP(V21,Curr!$B$2:$C$13,2,FALSE),0)</f>
        <v>11</v>
      </c>
      <c r="X21" s="12">
        <f t="shared" ref="X21:X51" si="10">U21*W21</f>
        <v>0</v>
      </c>
      <c r="Y21" s="26">
        <f t="shared" ref="Y21:Y51" si="11">Q21</f>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225</v>
      </c>
      <c r="K22" s="4"/>
      <c r="L22" s="4"/>
      <c r="M22" s="4"/>
      <c r="N22" s="4"/>
      <c r="O22" s="4"/>
      <c r="P22" s="33" t="s">
        <v>226</v>
      </c>
      <c r="Q22" s="25">
        <v>120</v>
      </c>
      <c r="R22" s="25">
        <v>2</v>
      </c>
      <c r="S22" s="12">
        <f t="shared" si="8"/>
        <v>240</v>
      </c>
      <c r="T22" s="5">
        <v>0.25</v>
      </c>
      <c r="U22" s="12">
        <f t="shared" si="9"/>
        <v>180</v>
      </c>
      <c r="V22" s="25" t="s">
        <v>10</v>
      </c>
      <c r="W22" s="11">
        <f>IFERROR(VLOOKUP(V22,Curr!$B$2:$C$13,2,FALSE),0)</f>
        <v>11</v>
      </c>
      <c r="X22" s="12">
        <f t="shared" si="10"/>
        <v>1980</v>
      </c>
      <c r="Y22" s="26">
        <f t="shared" si="11"/>
        <v>120</v>
      </c>
      <c r="Z22" s="12">
        <f t="shared" si="2"/>
        <v>240</v>
      </c>
      <c r="AA22" s="4" t="s">
        <v>10</v>
      </c>
      <c r="AB22" s="11">
        <f>IFERROR(VLOOKUP(AA22,Curr!$B$2:$C$13,2,FALSE),0)</f>
        <v>11</v>
      </c>
      <c r="AC22" s="12">
        <f t="shared" si="3"/>
        <v>2640</v>
      </c>
      <c r="AD22" s="12">
        <f t="shared" si="4"/>
        <v>660</v>
      </c>
      <c r="AE22" s="13">
        <f t="shared" si="5"/>
        <v>0.25</v>
      </c>
    </row>
    <row r="23" spans="2:31" x14ac:dyDescent="0.25">
      <c r="B23" s="4"/>
      <c r="C23" s="1" t="s">
        <v>77</v>
      </c>
      <c r="D23" s="1" t="s">
        <v>60</v>
      </c>
      <c r="E23" s="3"/>
      <c r="F23" s="3"/>
      <c r="G23" s="24"/>
      <c r="H23" s="24"/>
      <c r="J23" s="1" t="s">
        <v>136</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si="11"/>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8"/>
        <v>0</v>
      </c>
      <c r="T24" s="5">
        <v>0</v>
      </c>
      <c r="U24" s="12">
        <f t="shared" si="9"/>
        <v>0</v>
      </c>
      <c r="V24" s="25" t="s">
        <v>10</v>
      </c>
      <c r="W24" s="11">
        <f>IFERROR(VLOOKUP(V24,Curr!$B$2:$C$13,2,FALSE),0)</f>
        <v>11</v>
      </c>
      <c r="X24" s="12">
        <f t="shared" si="10"/>
        <v>0</v>
      </c>
      <c r="Y24" s="26">
        <f t="shared" si="11"/>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82</v>
      </c>
      <c r="E25" s="3"/>
      <c r="F25" s="3"/>
      <c r="G25" s="24"/>
      <c r="H25" s="24"/>
      <c r="J25" s="1" t="s">
        <v>227</v>
      </c>
      <c r="K25" s="4"/>
      <c r="L25" s="4"/>
      <c r="M25" s="4"/>
      <c r="N25" s="4"/>
      <c r="O25" s="4"/>
      <c r="P25" s="27"/>
      <c r="Q25" s="25">
        <v>102</v>
      </c>
      <c r="R25" s="25">
        <v>2</v>
      </c>
      <c r="S25" s="12">
        <f t="shared" si="8"/>
        <v>204</v>
      </c>
      <c r="T25" s="5">
        <v>0.25</v>
      </c>
      <c r="U25" s="12">
        <f t="shared" si="9"/>
        <v>153</v>
      </c>
      <c r="V25" s="25" t="s">
        <v>10</v>
      </c>
      <c r="W25" s="11">
        <f>IFERROR(VLOOKUP(V25,Curr!$B$2:$C$13,2,FALSE),0)</f>
        <v>11</v>
      </c>
      <c r="X25" s="12">
        <f t="shared" si="10"/>
        <v>1683</v>
      </c>
      <c r="Y25" s="26">
        <f t="shared" si="11"/>
        <v>102</v>
      </c>
      <c r="Z25" s="12">
        <f t="shared" si="2"/>
        <v>204</v>
      </c>
      <c r="AA25" s="4" t="s">
        <v>10</v>
      </c>
      <c r="AB25" s="11">
        <f>IFERROR(VLOOKUP(AA25,Curr!$B$2:$C$13,2,FALSE),0)</f>
        <v>11</v>
      </c>
      <c r="AC25" s="12">
        <f t="shared" si="3"/>
        <v>2244</v>
      </c>
      <c r="AD25" s="12">
        <f t="shared" si="4"/>
        <v>561</v>
      </c>
      <c r="AE25" s="13">
        <f t="shared" si="5"/>
        <v>0.25</v>
      </c>
    </row>
    <row r="26" spans="2:31" x14ac:dyDescent="0.25">
      <c r="B26" s="4"/>
      <c r="C26" s="1" t="s">
        <v>92</v>
      </c>
      <c r="D26" s="1" t="s">
        <v>60</v>
      </c>
      <c r="E26" s="3"/>
      <c r="F26" s="3"/>
      <c r="G26" s="24"/>
      <c r="H26" s="24"/>
      <c r="J26" s="1" t="s">
        <v>136</v>
      </c>
      <c r="K26" s="4"/>
      <c r="L26" s="4"/>
      <c r="M26" s="4"/>
      <c r="N26" s="4"/>
      <c r="O26" s="4"/>
      <c r="P26" s="33"/>
      <c r="Q26" s="25">
        <v>0</v>
      </c>
      <c r="R26" s="25">
        <v>0</v>
      </c>
      <c r="S26" s="12">
        <f t="shared" si="8"/>
        <v>0</v>
      </c>
      <c r="T26" s="5">
        <v>0</v>
      </c>
      <c r="U26" s="12">
        <f t="shared" si="9"/>
        <v>0</v>
      </c>
      <c r="V26" s="25" t="s">
        <v>10</v>
      </c>
      <c r="W26" s="11">
        <f>IFERROR(VLOOKUP(V26,Curr!$B$2:$C$13,2,FALSE),0)</f>
        <v>11</v>
      </c>
      <c r="X26" s="12">
        <f t="shared" si="10"/>
        <v>0</v>
      </c>
      <c r="Y26" s="26">
        <f t="shared" si="11"/>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c r="R27" s="25"/>
      <c r="S27" s="12">
        <f t="shared" si="8"/>
        <v>0</v>
      </c>
      <c r="T27" s="5">
        <v>0</v>
      </c>
      <c r="U27" s="12">
        <f t="shared" si="9"/>
        <v>0</v>
      </c>
      <c r="V27" s="25" t="s">
        <v>10</v>
      </c>
      <c r="W27" s="11">
        <f>IFERROR(VLOOKUP(V27,Curr!$B$2:$C$13,2,FALSE),0)</f>
        <v>11</v>
      </c>
      <c r="X27" s="12">
        <f t="shared" si="10"/>
        <v>0</v>
      </c>
      <c r="Y27" s="26">
        <f t="shared" si="11"/>
        <v>0</v>
      </c>
      <c r="Z27" s="12">
        <f t="shared" si="2"/>
        <v>0</v>
      </c>
      <c r="AA27" s="4" t="s">
        <v>10</v>
      </c>
      <c r="AB27" s="11">
        <f>IFERROR(VLOOKUP(AA27,Curr!$B$2:$C$13,2,FALSE),0)</f>
        <v>11</v>
      </c>
      <c r="AC27" s="12">
        <f t="shared" si="3"/>
        <v>0</v>
      </c>
      <c r="AD27" s="12">
        <f t="shared" si="4"/>
        <v>0</v>
      </c>
      <c r="AE27" s="13">
        <f t="shared" si="5"/>
        <v>0</v>
      </c>
    </row>
    <row r="28" spans="2:31" x14ac:dyDescent="0.25">
      <c r="B28" s="4"/>
      <c r="C28" s="1" t="s">
        <v>94</v>
      </c>
      <c r="D28" s="1" t="s">
        <v>82</v>
      </c>
      <c r="E28" s="3"/>
      <c r="F28" s="3"/>
      <c r="G28" s="24"/>
      <c r="H28" s="24"/>
      <c r="J28" s="1" t="s">
        <v>137</v>
      </c>
      <c r="K28" s="4"/>
      <c r="L28" s="4"/>
      <c r="M28" s="4"/>
      <c r="N28" s="4"/>
      <c r="O28" s="4"/>
      <c r="P28" s="33" t="s">
        <v>182</v>
      </c>
      <c r="Q28" s="25">
        <v>163</v>
      </c>
      <c r="R28" s="25">
        <v>2</v>
      </c>
      <c r="S28" s="12">
        <f t="shared" si="8"/>
        <v>326</v>
      </c>
      <c r="T28" s="5">
        <v>0.2</v>
      </c>
      <c r="U28" s="12">
        <f t="shared" si="9"/>
        <v>260.8</v>
      </c>
      <c r="V28" s="25" t="s">
        <v>10</v>
      </c>
      <c r="W28" s="11">
        <f>IFERROR(VLOOKUP(V28,Curr!$B$2:$C$13,2,FALSE),0)</f>
        <v>11</v>
      </c>
      <c r="X28" s="12">
        <f t="shared" si="10"/>
        <v>2868.8</v>
      </c>
      <c r="Y28" s="26">
        <f t="shared" si="11"/>
        <v>163</v>
      </c>
      <c r="Z28" s="12">
        <f t="shared" si="2"/>
        <v>326</v>
      </c>
      <c r="AA28" s="4" t="s">
        <v>10</v>
      </c>
      <c r="AB28" s="11">
        <f>IFERROR(VLOOKUP(AA28,Curr!$B$2:$C$13,2,FALSE),0)</f>
        <v>11</v>
      </c>
      <c r="AC28" s="12">
        <f t="shared" si="3"/>
        <v>3586</v>
      </c>
      <c r="AD28" s="12">
        <f t="shared" si="4"/>
        <v>717.19999999999982</v>
      </c>
      <c r="AE28" s="13">
        <f t="shared" si="5"/>
        <v>0.19999999999999996</v>
      </c>
    </row>
    <row r="29" spans="2:31" x14ac:dyDescent="0.25">
      <c r="B29" s="4"/>
      <c r="C29" s="1" t="s">
        <v>94</v>
      </c>
      <c r="D29" s="1" t="s">
        <v>60</v>
      </c>
      <c r="E29" s="3"/>
      <c r="F29" s="3"/>
      <c r="G29" s="24"/>
      <c r="H29" s="24"/>
      <c r="J29" s="1" t="s">
        <v>136</v>
      </c>
      <c r="K29" s="4"/>
      <c r="L29" s="4"/>
      <c r="M29" s="4"/>
      <c r="N29" s="4"/>
      <c r="O29" s="4"/>
      <c r="P29" s="33"/>
      <c r="Q29" s="25">
        <v>0</v>
      </c>
      <c r="R29" s="25">
        <v>0</v>
      </c>
      <c r="S29" s="12">
        <f t="shared" si="8"/>
        <v>0</v>
      </c>
      <c r="T29" s="5">
        <v>0</v>
      </c>
      <c r="U29" s="12">
        <f t="shared" si="9"/>
        <v>0</v>
      </c>
      <c r="V29" s="25" t="s">
        <v>10</v>
      </c>
      <c r="W29" s="11">
        <f>IFERROR(VLOOKUP(V29,Curr!$B$2:$C$13,2,FALSE),0)</f>
        <v>11</v>
      </c>
      <c r="X29" s="12">
        <f t="shared" si="10"/>
        <v>0</v>
      </c>
      <c r="Y29" s="26">
        <f t="shared" si="11"/>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8"/>
        <v>0</v>
      </c>
      <c r="T30" s="5">
        <v>0</v>
      </c>
      <c r="U30" s="12">
        <f t="shared" si="9"/>
        <v>0</v>
      </c>
      <c r="V30" s="25" t="s">
        <v>10</v>
      </c>
      <c r="W30" s="11">
        <f>IFERROR(VLOOKUP(V30,Curr!$B$2:$C$13,2,FALSE),0)</f>
        <v>11</v>
      </c>
      <c r="X30" s="12">
        <f t="shared" si="10"/>
        <v>0</v>
      </c>
      <c r="Y30" s="26">
        <f t="shared" si="11"/>
        <v>0</v>
      </c>
      <c r="Z30" s="12">
        <f t="shared" si="2"/>
        <v>0</v>
      </c>
      <c r="AA30" s="4" t="s">
        <v>10</v>
      </c>
      <c r="AB30" s="11">
        <f>IFERROR(VLOOKUP(AA30,Curr!$B$2:$C$13,2,FALSE),0)</f>
        <v>11</v>
      </c>
      <c r="AC30" s="12">
        <f t="shared" si="3"/>
        <v>0</v>
      </c>
      <c r="AD30" s="12">
        <f t="shared" si="4"/>
        <v>0</v>
      </c>
      <c r="AE30" s="13">
        <f t="shared" si="5"/>
        <v>0</v>
      </c>
    </row>
    <row r="31" spans="2:31" x14ac:dyDescent="0.25">
      <c r="B31" s="4"/>
      <c r="C31" s="1" t="s">
        <v>101</v>
      </c>
      <c r="D31" s="1" t="s">
        <v>117</v>
      </c>
      <c r="E31" s="3"/>
      <c r="F31" s="3"/>
      <c r="G31" s="24"/>
      <c r="H31" s="24"/>
      <c r="J31" s="1" t="s">
        <v>133</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1"/>
        <v>0</v>
      </c>
      <c r="Z31" s="12">
        <f t="shared" si="2"/>
        <v>0</v>
      </c>
      <c r="AA31" s="4" t="s">
        <v>10</v>
      </c>
      <c r="AB31" s="11">
        <f>IFERROR(VLOOKUP(AA31,Curr!$B$2:$C$13,2,FALSE),0)</f>
        <v>11</v>
      </c>
      <c r="AC31" s="12">
        <f t="shared" si="3"/>
        <v>0</v>
      </c>
      <c r="AD31" s="12">
        <f t="shared" si="4"/>
        <v>0</v>
      </c>
      <c r="AE31" s="13">
        <f t="shared" si="5"/>
        <v>0</v>
      </c>
    </row>
    <row r="32" spans="2:31" x14ac:dyDescent="0.25">
      <c r="B32" s="4"/>
      <c r="C32" s="1" t="s">
        <v>101</v>
      </c>
      <c r="D32" s="1" t="s">
        <v>78</v>
      </c>
      <c r="E32" s="3"/>
      <c r="F32" s="3"/>
      <c r="G32" s="24"/>
      <c r="H32" s="24"/>
      <c r="J32" s="1" t="s">
        <v>81</v>
      </c>
      <c r="K32" s="4"/>
      <c r="L32" s="4"/>
      <c r="M32" s="4"/>
      <c r="N32" s="4"/>
      <c r="O32" s="4"/>
      <c r="P32" s="27"/>
      <c r="Q32" s="25">
        <v>0</v>
      </c>
      <c r="R32" s="25">
        <v>0</v>
      </c>
      <c r="S32" s="12">
        <f t="shared" si="8"/>
        <v>0</v>
      </c>
      <c r="T32" s="5">
        <v>0</v>
      </c>
      <c r="U32" s="12">
        <f t="shared" si="9"/>
        <v>0</v>
      </c>
      <c r="V32" s="25" t="s">
        <v>10</v>
      </c>
      <c r="W32" s="11">
        <f>IFERROR(VLOOKUP(V32,Curr!$B$2:$C$13,2,FALSE),0)</f>
        <v>11</v>
      </c>
      <c r="X32" s="12">
        <f t="shared" si="10"/>
        <v>0</v>
      </c>
      <c r="Y32" s="26">
        <f t="shared" si="11"/>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1"/>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v>
      </c>
      <c r="X34" s="12">
        <f t="shared" si="10"/>
        <v>0</v>
      </c>
      <c r="Y34" s="26">
        <f t="shared" si="11"/>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127</v>
      </c>
      <c r="E35" s="3"/>
      <c r="F35" s="3"/>
      <c r="G35" s="24"/>
      <c r="H35" s="24"/>
      <c r="J35" s="1" t="s">
        <v>131</v>
      </c>
      <c r="K35" s="4"/>
      <c r="L35" s="4"/>
      <c r="M35" s="4"/>
      <c r="N35" s="4"/>
      <c r="O35" s="4"/>
      <c r="P35" s="27"/>
      <c r="Q35" s="25">
        <v>160</v>
      </c>
      <c r="R35" s="25">
        <v>0</v>
      </c>
      <c r="S35" s="12">
        <f t="shared" si="8"/>
        <v>0</v>
      </c>
      <c r="T35" s="5">
        <v>0.2</v>
      </c>
      <c r="U35" s="12">
        <f t="shared" si="9"/>
        <v>0</v>
      </c>
      <c r="V35" s="25" t="s">
        <v>10</v>
      </c>
      <c r="W35" s="11">
        <f>IFERROR(VLOOKUP(V35,Curr!$B$2:$C$13,2,FALSE),0)</f>
        <v>11</v>
      </c>
      <c r="X35" s="12">
        <f t="shared" si="10"/>
        <v>0</v>
      </c>
      <c r="Y35" s="26">
        <f t="shared" si="11"/>
        <v>160</v>
      </c>
      <c r="Z35" s="12">
        <f t="shared" si="2"/>
        <v>0</v>
      </c>
      <c r="AA35" s="4" t="s">
        <v>10</v>
      </c>
      <c r="AB35" s="11">
        <f>IFERROR(VLOOKUP(AA35,Curr!$B$2:$C$13,2,FALSE),0)</f>
        <v>11</v>
      </c>
      <c r="AC35" s="12">
        <f t="shared" si="3"/>
        <v>0</v>
      </c>
      <c r="AD35" s="12">
        <f t="shared" si="4"/>
        <v>0</v>
      </c>
      <c r="AE35" s="13">
        <f t="shared" si="5"/>
        <v>0</v>
      </c>
    </row>
    <row r="36" spans="2:31" x14ac:dyDescent="0.25">
      <c r="B36" s="4"/>
      <c r="C36" s="1" t="s">
        <v>55</v>
      </c>
      <c r="D36" s="1" t="s">
        <v>127</v>
      </c>
      <c r="E36" s="3"/>
      <c r="F36" s="3"/>
      <c r="G36" s="24"/>
      <c r="H36" s="24"/>
      <c r="J36" s="1" t="s">
        <v>132</v>
      </c>
      <c r="K36" s="4"/>
      <c r="L36" s="4"/>
      <c r="M36" s="4"/>
      <c r="N36" s="4"/>
      <c r="O36" s="4"/>
      <c r="P36" s="33"/>
      <c r="Q36" s="25">
        <v>39</v>
      </c>
      <c r="R36" s="25">
        <v>0</v>
      </c>
      <c r="S36" s="12">
        <f t="shared" si="8"/>
        <v>0</v>
      </c>
      <c r="T36" s="5">
        <v>0.2</v>
      </c>
      <c r="U36" s="12">
        <f t="shared" si="9"/>
        <v>0</v>
      </c>
      <c r="V36" s="25" t="s">
        <v>10</v>
      </c>
      <c r="W36" s="11">
        <f>IFERROR(VLOOKUP(V36,Curr!$B$2:$C$13,2,FALSE),0)</f>
        <v>11</v>
      </c>
      <c r="X36" s="12">
        <f t="shared" si="10"/>
        <v>0</v>
      </c>
      <c r="Y36" s="26">
        <f t="shared" si="11"/>
        <v>39</v>
      </c>
      <c r="Z36" s="12">
        <f t="shared" si="2"/>
        <v>0</v>
      </c>
      <c r="AA36" s="4" t="s">
        <v>10</v>
      </c>
      <c r="AB36" s="11">
        <f>IFERROR(VLOOKUP(AA36,Curr!$B$2:$C$13,2,FALSE),0)</f>
        <v>11</v>
      </c>
      <c r="AC36" s="12">
        <f t="shared" si="3"/>
        <v>0</v>
      </c>
      <c r="AD36" s="12">
        <f t="shared" si="4"/>
        <v>0</v>
      </c>
      <c r="AE36" s="13">
        <f t="shared" si="5"/>
        <v>0</v>
      </c>
    </row>
    <row r="37" spans="2:31" x14ac:dyDescent="0.25">
      <c r="B37" s="4"/>
      <c r="C37" s="1" t="s">
        <v>101</v>
      </c>
      <c r="D37" s="1" t="s">
        <v>127</v>
      </c>
      <c r="E37" s="3"/>
      <c r="F37" s="3"/>
      <c r="G37" s="24"/>
      <c r="H37" s="24"/>
      <c r="J37" s="1" t="s">
        <v>134</v>
      </c>
      <c r="K37" s="4"/>
      <c r="L37" s="4"/>
      <c r="M37" s="4"/>
      <c r="N37" s="4"/>
      <c r="O37" s="4"/>
      <c r="P37" s="27"/>
      <c r="Q37" s="25">
        <v>160</v>
      </c>
      <c r="R37" s="25">
        <v>0</v>
      </c>
      <c r="S37" s="12">
        <f t="shared" si="8"/>
        <v>0</v>
      </c>
      <c r="T37" s="5">
        <v>0.2</v>
      </c>
      <c r="U37" s="12">
        <f t="shared" si="9"/>
        <v>0</v>
      </c>
      <c r="V37" s="25" t="s">
        <v>10</v>
      </c>
      <c r="W37" s="11">
        <f>IFERROR(VLOOKUP(V37,Curr!$B$2:$C$13,2,FALSE),0)</f>
        <v>11</v>
      </c>
      <c r="X37" s="12">
        <f t="shared" si="10"/>
        <v>0</v>
      </c>
      <c r="Y37" s="26">
        <f t="shared" si="11"/>
        <v>160</v>
      </c>
      <c r="Z37" s="12">
        <f t="shared" si="2"/>
        <v>0</v>
      </c>
      <c r="AA37" s="4" t="s">
        <v>10</v>
      </c>
      <c r="AB37" s="11">
        <f>IFERROR(VLOOKUP(AA37,Curr!$B$2:$C$13,2,FALSE),0)</f>
        <v>11</v>
      </c>
      <c r="AC37" s="12">
        <f t="shared" si="3"/>
        <v>0</v>
      </c>
      <c r="AD37" s="12">
        <f t="shared" si="4"/>
        <v>0</v>
      </c>
      <c r="AE37" s="13">
        <f t="shared" si="5"/>
        <v>0</v>
      </c>
    </row>
    <row r="38" spans="2:31" x14ac:dyDescent="0.25">
      <c r="B38" s="4"/>
      <c r="C38" s="1" t="s">
        <v>101</v>
      </c>
      <c r="D38" s="1" t="s">
        <v>127</v>
      </c>
      <c r="E38" s="3"/>
      <c r="F38" s="3"/>
      <c r="G38" s="24"/>
      <c r="H38" s="24"/>
      <c r="J38" s="1" t="s">
        <v>135</v>
      </c>
      <c r="K38" s="4"/>
      <c r="L38" s="4"/>
      <c r="M38" s="4"/>
      <c r="N38" s="4"/>
      <c r="O38" s="4"/>
      <c r="P38" s="33"/>
      <c r="Q38" s="25">
        <v>39</v>
      </c>
      <c r="R38" s="25">
        <v>0</v>
      </c>
      <c r="S38" s="12">
        <f t="shared" si="8"/>
        <v>0</v>
      </c>
      <c r="T38" s="5">
        <v>0.2</v>
      </c>
      <c r="U38" s="12">
        <f t="shared" si="9"/>
        <v>0</v>
      </c>
      <c r="V38" s="25" t="s">
        <v>10</v>
      </c>
      <c r="W38" s="11">
        <f>IFERROR(VLOOKUP(V38,Curr!$B$2:$C$13,2,FALSE),0)</f>
        <v>11</v>
      </c>
      <c r="X38" s="12">
        <f t="shared" si="10"/>
        <v>0</v>
      </c>
      <c r="Y38" s="26">
        <f t="shared" si="11"/>
        <v>39</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C41" s="1" t="s">
        <v>55</v>
      </c>
      <c r="D41" s="1" t="s">
        <v>229</v>
      </c>
      <c r="E41" s="3"/>
      <c r="F41" s="3"/>
      <c r="G41" s="24"/>
      <c r="H41" s="24"/>
      <c r="J41" s="1" t="s">
        <v>260</v>
      </c>
      <c r="K41" s="4"/>
      <c r="L41" s="4"/>
      <c r="M41" s="4"/>
      <c r="N41" s="4"/>
      <c r="O41" s="4"/>
      <c r="P41" s="33" t="s">
        <v>259</v>
      </c>
      <c r="Q41" s="25">
        <v>35</v>
      </c>
      <c r="R41" s="25">
        <v>0</v>
      </c>
      <c r="S41" s="12">
        <f t="shared" si="8"/>
        <v>0</v>
      </c>
      <c r="T41" s="5">
        <v>0.2</v>
      </c>
      <c r="U41" s="12">
        <f t="shared" si="9"/>
        <v>0</v>
      </c>
      <c r="V41" s="25" t="s">
        <v>10</v>
      </c>
      <c r="W41" s="11">
        <f>IFERROR(VLOOKUP(V41,Curr!$B$2:$C$13,2,FALSE),0)</f>
        <v>11</v>
      </c>
      <c r="X41" s="12">
        <f t="shared" si="10"/>
        <v>0</v>
      </c>
      <c r="Y41" s="26">
        <f t="shared" si="11"/>
        <v>35</v>
      </c>
      <c r="Z41" s="12">
        <f t="shared" si="2"/>
        <v>0</v>
      </c>
      <c r="AA41" s="4" t="s">
        <v>10</v>
      </c>
      <c r="AB41" s="11">
        <f>IFERROR(VLOOKUP(AA41,Curr!$B$2:$C$13,2,FALSE),0)</f>
        <v>11</v>
      </c>
      <c r="AC41" s="12">
        <f t="shared" si="3"/>
        <v>0</v>
      </c>
      <c r="AD41" s="12">
        <f t="shared" si="4"/>
        <v>0</v>
      </c>
      <c r="AE41" s="13">
        <f t="shared" si="5"/>
        <v>0</v>
      </c>
    </row>
    <row r="42" spans="2:31" x14ac:dyDescent="0.25">
      <c r="B42" s="4"/>
      <c r="C42" s="1" t="s">
        <v>55</v>
      </c>
      <c r="D42" s="1" t="s">
        <v>229</v>
      </c>
      <c r="E42" s="3"/>
      <c r="F42" s="3"/>
      <c r="G42" s="24"/>
      <c r="H42" s="24"/>
      <c r="J42" s="1" t="s">
        <v>261</v>
      </c>
      <c r="K42" s="4"/>
      <c r="L42" s="4"/>
      <c r="M42" s="4"/>
      <c r="N42" s="4"/>
      <c r="O42" s="4"/>
      <c r="P42" s="33" t="s">
        <v>262</v>
      </c>
      <c r="Q42" s="25">
        <v>109</v>
      </c>
      <c r="R42" s="25">
        <v>0</v>
      </c>
      <c r="S42" s="12">
        <f t="shared" si="8"/>
        <v>0</v>
      </c>
      <c r="T42" s="5">
        <v>0.2</v>
      </c>
      <c r="U42" s="12">
        <f t="shared" si="9"/>
        <v>0</v>
      </c>
      <c r="V42" s="25" t="s">
        <v>10</v>
      </c>
      <c r="W42" s="11">
        <f>IFERROR(VLOOKUP(V42,Curr!$B$2:$C$13,2,FALSE),0)</f>
        <v>11</v>
      </c>
      <c r="X42" s="12">
        <f t="shared" si="10"/>
        <v>0</v>
      </c>
      <c r="Y42" s="26">
        <f t="shared" si="11"/>
        <v>109</v>
      </c>
      <c r="Z42" s="12">
        <f t="shared" si="2"/>
        <v>0</v>
      </c>
      <c r="AA42" s="4" t="s">
        <v>10</v>
      </c>
      <c r="AB42" s="11">
        <f>IFERROR(VLOOKUP(AA42,Curr!$B$2:$C$13,2,FALSE),0)</f>
        <v>11</v>
      </c>
      <c r="AC42" s="12">
        <f t="shared" si="3"/>
        <v>0</v>
      </c>
      <c r="AD42" s="12">
        <f t="shared" si="4"/>
        <v>0</v>
      </c>
      <c r="AE42" s="13">
        <f t="shared" si="5"/>
        <v>0</v>
      </c>
    </row>
    <row r="43" spans="2:31" x14ac:dyDescent="0.25">
      <c r="B43" s="4"/>
      <c r="C43" s="1" t="s">
        <v>77</v>
      </c>
      <c r="D43" s="1" t="s">
        <v>229</v>
      </c>
      <c r="E43" s="3"/>
      <c r="F43" s="3"/>
      <c r="G43" s="24"/>
      <c r="H43" s="24"/>
      <c r="J43" s="1" t="s">
        <v>263</v>
      </c>
      <c r="K43" s="4"/>
      <c r="L43" s="4"/>
      <c r="M43" s="4"/>
      <c r="N43" s="4"/>
      <c r="O43" s="4"/>
      <c r="P43" s="33" t="s">
        <v>264</v>
      </c>
      <c r="Q43" s="25">
        <v>185</v>
      </c>
      <c r="R43" s="25">
        <v>0</v>
      </c>
      <c r="S43" s="12">
        <f t="shared" si="8"/>
        <v>0</v>
      </c>
      <c r="T43" s="5">
        <v>0.2</v>
      </c>
      <c r="U43" s="12">
        <f t="shared" si="9"/>
        <v>0</v>
      </c>
      <c r="V43" s="25" t="s">
        <v>10</v>
      </c>
      <c r="W43" s="11">
        <f>IFERROR(VLOOKUP(V43,Curr!$B$2:$C$13,2,FALSE),0)</f>
        <v>11</v>
      </c>
      <c r="X43" s="12">
        <f t="shared" si="10"/>
        <v>0</v>
      </c>
      <c r="Y43" s="26">
        <f t="shared" si="11"/>
        <v>185</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x14ac:dyDescent="0.25">
      <c r="B52" s="4"/>
      <c r="E52" s="3"/>
      <c r="F52" s="3"/>
      <c r="G52" s="3"/>
      <c r="H52" s="3"/>
      <c r="L52" s="4"/>
      <c r="M52" s="4"/>
      <c r="N52" s="4"/>
      <c r="O52" s="4"/>
      <c r="P52" s="22"/>
      <c r="Q52" s="4"/>
      <c r="R52" s="4"/>
      <c r="S52" s="4"/>
      <c r="T52" s="4"/>
      <c r="U52" s="4"/>
      <c r="V52" s="4"/>
      <c r="W52" s="4"/>
      <c r="X52" s="4"/>
      <c r="Y52" s="4"/>
      <c r="Z52" s="4"/>
      <c r="AA52" s="4"/>
      <c r="AB52" s="4"/>
      <c r="AC52" s="4"/>
      <c r="AD52" s="4"/>
      <c r="AE52" s="4"/>
      <c r="AF52" s="4"/>
    </row>
    <row r="53" spans="2:36" x14ac:dyDescent="0.25">
      <c r="B53" s="14" t="s">
        <v>18</v>
      </c>
      <c r="C53" s="14"/>
      <c r="D53" s="28" t="s">
        <v>42</v>
      </c>
      <c r="E53" s="30" t="s">
        <v>42</v>
      </c>
      <c r="F53" s="30" t="s">
        <v>42</v>
      </c>
      <c r="G53" s="30" t="s">
        <v>42</v>
      </c>
      <c r="H53" s="30" t="s">
        <v>42</v>
      </c>
      <c r="I53" s="28" t="s">
        <v>42</v>
      </c>
      <c r="J53" s="28" t="s">
        <v>42</v>
      </c>
      <c r="K53" s="28" t="s">
        <v>42</v>
      </c>
      <c r="L53" s="28" t="s">
        <v>42</v>
      </c>
      <c r="M53" s="28" t="s">
        <v>42</v>
      </c>
      <c r="N53" s="28" t="s">
        <v>42</v>
      </c>
      <c r="O53" s="28" t="s">
        <v>42</v>
      </c>
      <c r="P53" s="28" t="s">
        <v>42</v>
      </c>
      <c r="Q53" s="31" t="s">
        <v>42</v>
      </c>
      <c r="R53" s="28" t="s">
        <v>42</v>
      </c>
      <c r="S53" s="32" t="s">
        <v>42</v>
      </c>
      <c r="T53" s="28" t="s">
        <v>42</v>
      </c>
      <c r="U53" s="32" t="s">
        <v>42</v>
      </c>
      <c r="V53" s="28" t="s">
        <v>42</v>
      </c>
      <c r="W53" s="28" t="s">
        <v>42</v>
      </c>
      <c r="X53" s="32" t="s">
        <v>42</v>
      </c>
      <c r="Y53" s="32" t="s">
        <v>42</v>
      </c>
      <c r="Z53" s="15">
        <f>SUM(Z7:Z51)</f>
        <v>3376.3529411764707</v>
      </c>
      <c r="AA53" s="14"/>
      <c r="AB53" s="14"/>
      <c r="AC53" s="15">
        <f>SUM(AC7:AC51)</f>
        <v>37139.882352941175</v>
      </c>
      <c r="AD53" s="15">
        <f>SUM(AD7:AD51)</f>
        <v>6993.282352941178</v>
      </c>
      <c r="AE53" s="21">
        <f t="shared" ref="AE53" si="12">IFERROR(AD53/AC53,0)</f>
        <v>0.18829575943412669</v>
      </c>
      <c r="AF53" s="15">
        <f>SUM(AF8:AF52)</f>
        <v>0</v>
      </c>
      <c r="AG53" s="15">
        <f>SUM(AG8:AG52)</f>
        <v>0</v>
      </c>
      <c r="AH53" s="15">
        <f>SUM(AH8:AH52)</f>
        <v>0</v>
      </c>
      <c r="AI53" s="15">
        <f>SUM(AI8:AI52)</f>
        <v>0</v>
      </c>
      <c r="AJ53" s="15">
        <f>SUM(AJ8:AJ52)</f>
        <v>0</v>
      </c>
    </row>
    <row r="54" spans="2:36" x14ac:dyDescent="0.25">
      <c r="B54" s="4"/>
      <c r="E54" s="3"/>
      <c r="F54" s="3"/>
      <c r="G54" s="3"/>
      <c r="H54" s="3"/>
      <c r="L54" s="4"/>
      <c r="M54" s="4"/>
      <c r="N54" s="4"/>
      <c r="O54" s="4"/>
      <c r="Q54" s="4"/>
      <c r="R54" s="4"/>
      <c r="S54" s="4"/>
      <c r="T54" s="4"/>
      <c r="U54" s="4"/>
      <c r="V54" s="4"/>
      <c r="W54" s="4"/>
      <c r="X54" s="4"/>
      <c r="Y54" s="9"/>
      <c r="Z54" s="9"/>
      <c r="AA54" s="9"/>
      <c r="AB54" s="9"/>
      <c r="AC54" s="9"/>
      <c r="AD54" s="9"/>
      <c r="AE54" s="9"/>
    </row>
    <row r="55" spans="2:36" x14ac:dyDescent="0.25">
      <c r="B55" s="4"/>
      <c r="E55" s="3"/>
      <c r="F55" s="3"/>
      <c r="G55" s="3"/>
      <c r="H55" s="3"/>
      <c r="L55" s="4"/>
      <c r="M55" s="4"/>
      <c r="N55" s="4"/>
      <c r="O55" s="4"/>
      <c r="Q55" s="9"/>
      <c r="R55" s="9"/>
      <c r="S55" s="9"/>
      <c r="T55" s="9"/>
      <c r="U55" s="9"/>
      <c r="V55" s="9"/>
      <c r="W55" s="9"/>
      <c r="X55" s="23"/>
      <c r="Y55" s="34" t="s">
        <v>234</v>
      </c>
      <c r="Z55" s="34">
        <f>Z12+Z14+Z16+Z19+Z22+Z25+Z28</f>
        <v>1494</v>
      </c>
      <c r="AA55" s="9"/>
      <c r="AB55" s="9"/>
      <c r="AC55" s="9"/>
      <c r="AD55" s="9"/>
      <c r="AE55" s="9"/>
    </row>
    <row r="56" spans="2:36" x14ac:dyDescent="0.25">
      <c r="B56" s="4"/>
      <c r="E56" s="3"/>
      <c r="F56" s="3"/>
      <c r="G56" s="3"/>
      <c r="H56" s="3"/>
      <c r="L56" s="4"/>
      <c r="M56" s="4"/>
      <c r="N56" s="4"/>
      <c r="O56" s="4"/>
      <c r="Q56" s="9"/>
      <c r="R56" s="9"/>
      <c r="S56" s="9"/>
      <c r="T56" s="9"/>
      <c r="U56" s="9"/>
      <c r="V56" s="9"/>
      <c r="W56" s="9"/>
      <c r="X56" s="9"/>
      <c r="Y56" s="35" t="s">
        <v>235</v>
      </c>
      <c r="Z56" s="34">
        <f>Z9</f>
        <v>1882.3529411764707</v>
      </c>
      <c r="AA56" s="9"/>
      <c r="AB56" s="9"/>
      <c r="AC56" s="9"/>
      <c r="AD56" s="9"/>
      <c r="AE56" s="9"/>
      <c r="AF56" s="18"/>
    </row>
    <row r="57" spans="2:36" x14ac:dyDescent="0.25">
      <c r="B57" s="4"/>
      <c r="E57" s="3"/>
      <c r="F57" s="3"/>
      <c r="G57" s="3"/>
      <c r="H57" s="3"/>
      <c r="I57" s="19"/>
      <c r="L57" s="4"/>
      <c r="M57" s="4"/>
      <c r="N57" s="4"/>
      <c r="O57" s="20"/>
      <c r="Q57" s="20"/>
      <c r="R57" s="20"/>
      <c r="S57" s="20"/>
      <c r="T57" s="20"/>
      <c r="U57" s="20"/>
      <c r="V57" s="20"/>
      <c r="W57" s="20"/>
      <c r="X57" s="20"/>
      <c r="Y57" s="34" t="s">
        <v>236</v>
      </c>
      <c r="Z57" s="34">
        <v>3380</v>
      </c>
      <c r="AA57" s="9"/>
      <c r="AB57" s="9"/>
      <c r="AC57" s="9"/>
      <c r="AD57" s="9"/>
      <c r="AE57" s="9"/>
      <c r="AF57" s="18"/>
    </row>
    <row r="58" spans="2:36" x14ac:dyDescent="0.25">
      <c r="B58" s="4"/>
      <c r="E58" s="3"/>
      <c r="F58" s="3"/>
      <c r="G58" s="3"/>
      <c r="H58" s="3"/>
      <c r="L58" s="4"/>
      <c r="M58" s="4"/>
      <c r="N58" s="4"/>
      <c r="O58" s="20"/>
      <c r="Q58" s="20"/>
      <c r="R58" s="20"/>
      <c r="S58" s="20"/>
      <c r="T58" s="20"/>
      <c r="U58" s="20"/>
      <c r="V58" s="20"/>
      <c r="W58" s="20"/>
      <c r="X58" s="20"/>
      <c r="Y58" s="34" t="s">
        <v>45</v>
      </c>
      <c r="Z58" s="34">
        <f>Z57/2</f>
        <v>1690</v>
      </c>
      <c r="AA58" s="9"/>
      <c r="AB58" s="9"/>
      <c r="AC58" s="9"/>
      <c r="AD58" s="9"/>
      <c r="AE58" s="9"/>
      <c r="AF58" s="18"/>
    </row>
    <row r="59" spans="2:36" x14ac:dyDescent="0.25">
      <c r="B59" s="4"/>
      <c r="E59" s="3"/>
      <c r="F59" s="3"/>
      <c r="G59" s="3"/>
      <c r="H59" s="3"/>
      <c r="L59" s="4"/>
      <c r="M59" s="4"/>
      <c r="N59" s="4"/>
      <c r="O59" s="4"/>
      <c r="Q59" s="9"/>
      <c r="R59" s="9"/>
      <c r="S59" s="9"/>
      <c r="T59" s="9"/>
      <c r="U59" s="9"/>
      <c r="V59" s="9"/>
      <c r="W59" s="9"/>
      <c r="X59" s="9"/>
      <c r="Y59" s="1" t="s">
        <v>298</v>
      </c>
      <c r="Z59" s="1">
        <f>Z57*0.8</f>
        <v>2704</v>
      </c>
      <c r="AA59" s="9"/>
      <c r="AB59" s="9"/>
      <c r="AC59" s="9"/>
      <c r="AD59" s="9"/>
      <c r="AE59" s="9"/>
      <c r="AF59" s="18"/>
    </row>
    <row r="60" spans="2:36" x14ac:dyDescent="0.25">
      <c r="F60" s="1"/>
      <c r="G60" s="1"/>
      <c r="H60" s="1"/>
      <c r="J60" s="1" t="s">
        <v>32</v>
      </c>
      <c r="Q60" s="9"/>
      <c r="R60" s="4"/>
      <c r="S60" s="9"/>
      <c r="T60" s="5"/>
      <c r="U60" s="9"/>
      <c r="V60" s="4"/>
      <c r="W60" s="4"/>
      <c r="X60" s="9"/>
      <c r="Y60" s="9"/>
      <c r="Z60" s="9"/>
      <c r="AA60" s="9"/>
      <c r="AB60" s="9"/>
      <c r="AC60" s="9"/>
      <c r="AD60" s="9"/>
      <c r="AE60" s="9"/>
    </row>
    <row r="61" spans="2:36" x14ac:dyDescent="0.25">
      <c r="R61" s="4"/>
      <c r="S61" s="17"/>
      <c r="T61" s="17"/>
      <c r="U61" s="9"/>
      <c r="V61" s="4"/>
      <c r="W61" s="4"/>
      <c r="X61" s="9"/>
      <c r="Y61" s="9"/>
      <c r="Z61" s="9"/>
      <c r="AA61" s="9"/>
      <c r="AB61" s="9"/>
      <c r="AC61" s="9"/>
      <c r="AD61" s="9"/>
      <c r="AE61" s="9"/>
    </row>
    <row r="62" spans="2:36" x14ac:dyDescent="0.25">
      <c r="Q62" s="9"/>
      <c r="R62" s="4"/>
      <c r="S62" s="16"/>
      <c r="T62" s="16"/>
      <c r="U62" s="9"/>
      <c r="V62" s="4"/>
      <c r="W62" s="4"/>
      <c r="X62" s="9"/>
      <c r="Y62" s="9"/>
      <c r="Z62" s="9"/>
      <c r="AA62" s="9"/>
      <c r="AB62" s="9"/>
      <c r="AC62" s="9"/>
      <c r="AD62" s="9"/>
      <c r="AE62" s="9"/>
    </row>
    <row r="63" spans="2:36" x14ac:dyDescent="0.25">
      <c r="R63" s="4"/>
      <c r="S63" s="16"/>
      <c r="T63" s="16"/>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c r="Y70" s="9"/>
      <c r="Z70" s="9"/>
      <c r="AA70" s="9"/>
      <c r="AB70" s="9"/>
      <c r="AC70" s="9"/>
      <c r="AD70" s="9"/>
      <c r="AE70" s="9"/>
    </row>
    <row r="71" spans="20:31" x14ac:dyDescent="0.25">
      <c r="T71" s="5"/>
      <c r="Y71" s="9"/>
      <c r="Z71" s="9"/>
      <c r="AA71" s="9"/>
      <c r="AB71" s="9"/>
      <c r="AC71" s="9"/>
      <c r="AD71" s="9"/>
      <c r="AE71" s="9"/>
    </row>
    <row r="72" spans="20:31" x14ac:dyDescent="0.25">
      <c r="T72" s="5"/>
    </row>
    <row r="73" spans="20:31" x14ac:dyDescent="0.25">
      <c r="T73" s="5"/>
    </row>
    <row r="74" spans="20:31" x14ac:dyDescent="0.25">
      <c r="T74" s="5"/>
    </row>
    <row r="75" spans="20:31" x14ac:dyDescent="0.25">
      <c r="T75" s="5"/>
    </row>
    <row r="76" spans="20:31" x14ac:dyDescent="0.25">
      <c r="T76" s="5"/>
    </row>
  </sheetData>
  <autoFilter ref="B6:AE53" xr:uid="{65FA6D9B-E0AF-46CD-BA0D-86BB75FE6AB0}"/>
  <hyperlinks>
    <hyperlink ref="P12" r:id="rId1" xr:uid="{2795116F-F29F-4338-81F2-9E8B96AC34AE}"/>
    <hyperlink ref="P14" r:id="rId2" xr:uid="{565747B0-A54D-40BC-B43A-E6DF91A4BED4}"/>
    <hyperlink ref="P16" r:id="rId3" xr:uid="{A6586CC5-E470-476F-AB5E-E4B5610802E5}"/>
    <hyperlink ref="P19" r:id="rId4" xr:uid="{11CBF6F6-4948-4DE0-A6C3-BC55337C8E28}"/>
    <hyperlink ref="P28" r:id="rId5" xr:uid="{605F3B49-CEA1-4F88-975F-D2E59497D7A5}"/>
    <hyperlink ref="P22" r:id="rId6" xr:uid="{5F94B9F1-BC41-4918-86D4-AE435E028383}"/>
    <hyperlink ref="P9" r:id="rId7" xr:uid="{52A3ADF0-6B24-4040-98C1-979FDEBCD081}"/>
    <hyperlink ref="P41" r:id="rId8" xr:uid="{F8B9B0D8-A26B-4236-8FA9-021C84937DA0}"/>
    <hyperlink ref="P42" r:id="rId9" xr:uid="{FFC91A98-4BFA-43B2-938B-B930F37F5B73}"/>
    <hyperlink ref="P43" r:id="rId10" xr:uid="{E3B4013B-7B8D-4782-A225-F8CBBC6715B5}"/>
  </hyperlinks>
  <pageMargins left="0.7" right="0.7" top="0.75" bottom="0.75" header="0.3" footer="0.3"/>
  <pageSetup paperSize="9" orientation="portrait" r:id="rId1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D16C-0A34-4F8D-8C8A-B1063D06DF6F}">
  <sheetPr>
    <tabColor rgb="FFFFFF00"/>
  </sheetPr>
  <dimension ref="B2:AK67"/>
  <sheetViews>
    <sheetView zoomScale="80" zoomScaleNormal="80" workbookViewId="0">
      <selection activeCell="W7" sqref="W7:W4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35" si="0">+Q7*R7</f>
        <v>0</v>
      </c>
      <c r="T7" s="5">
        <v>0</v>
      </c>
      <c r="U7" s="12">
        <f>S7*(1-T7)</f>
        <v>0</v>
      </c>
      <c r="V7" s="25" t="s">
        <v>10</v>
      </c>
      <c r="W7" s="11">
        <f>IFERROR(VLOOKUP(V7,Curr!$B$2:$C$13,2,FALSE),0)</f>
        <v>11</v>
      </c>
      <c r="X7" s="12">
        <f t="shared" ref="X7:X35" si="1">U7*W7</f>
        <v>0</v>
      </c>
      <c r="Y7" s="26">
        <f>Q7</f>
        <v>0</v>
      </c>
      <c r="Z7" s="12">
        <f t="shared" ref="Z7:Z42" si="2">+Y7*R7</f>
        <v>0</v>
      </c>
      <c r="AA7" s="4" t="s">
        <v>10</v>
      </c>
      <c r="AB7" s="11">
        <f>IFERROR(VLOOKUP(AA7,Curr!$B$2:$C$13,2,FALSE),0)</f>
        <v>11</v>
      </c>
      <c r="AC7" s="12">
        <f t="shared" ref="AC7:AC42" si="3">+Y7*AB7*R7</f>
        <v>0</v>
      </c>
      <c r="AD7" s="12">
        <f t="shared" ref="AD7:AD42" si="4">+AC7-X7</f>
        <v>0</v>
      </c>
      <c r="AE7" s="13">
        <f t="shared" ref="AE7:AE42"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35" si="6">S8*(1-T8)</f>
        <v>0</v>
      </c>
      <c r="V8" s="25" t="s">
        <v>10</v>
      </c>
      <c r="W8" s="11">
        <f>IFERROR(VLOOKUP(V8,Curr!$B$2:$C$13,2,FALSE),0)</f>
        <v>11</v>
      </c>
      <c r="X8" s="12">
        <f t="shared" si="1"/>
        <v>0</v>
      </c>
      <c r="Y8" s="26">
        <f t="shared" ref="Y8:Y35"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146</v>
      </c>
      <c r="K9" s="4"/>
      <c r="L9" s="4"/>
      <c r="M9" s="4"/>
      <c r="N9" s="4"/>
      <c r="O9" s="4"/>
      <c r="P9" s="27"/>
      <c r="Q9" s="25">
        <v>700</v>
      </c>
      <c r="R9" s="25">
        <v>1</v>
      </c>
      <c r="S9" s="12">
        <f t="shared" si="0"/>
        <v>700</v>
      </c>
      <c r="T9" s="5">
        <v>0</v>
      </c>
      <c r="U9" s="12">
        <f t="shared" si="6"/>
        <v>700</v>
      </c>
      <c r="V9" s="25" t="s">
        <v>10</v>
      </c>
      <c r="W9" s="11">
        <f>IFERROR(VLOOKUP(V9,Curr!$B$2:$C$13,2,FALSE),0)</f>
        <v>11</v>
      </c>
      <c r="X9" s="12">
        <f t="shared" si="1"/>
        <v>7700</v>
      </c>
      <c r="Y9" s="26">
        <f>Q9/0.85</f>
        <v>823.52941176470586</v>
      </c>
      <c r="Z9" s="12">
        <f t="shared" si="2"/>
        <v>823.52941176470586</v>
      </c>
      <c r="AA9" s="4" t="s">
        <v>10</v>
      </c>
      <c r="AB9" s="11">
        <f>IFERROR(VLOOKUP(AA9,Curr!$B$2:$C$13,2,FALSE),0)</f>
        <v>11</v>
      </c>
      <c r="AC9" s="12">
        <f t="shared" si="3"/>
        <v>9058.823529411764</v>
      </c>
      <c r="AD9" s="12">
        <f t="shared" si="4"/>
        <v>1358.823529411764</v>
      </c>
      <c r="AE9" s="13">
        <f t="shared" si="5"/>
        <v>0.14999999999999994</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221</v>
      </c>
      <c r="K12" s="4"/>
      <c r="L12" s="4"/>
      <c r="M12" s="4"/>
      <c r="N12" s="4"/>
      <c r="O12" s="4"/>
      <c r="P12" s="33" t="s">
        <v>222</v>
      </c>
      <c r="Q12" s="25">
        <v>85</v>
      </c>
      <c r="R12" s="25">
        <v>2</v>
      </c>
      <c r="S12" s="12">
        <f t="shared" si="0"/>
        <v>170</v>
      </c>
      <c r="T12" s="5">
        <v>0.25</v>
      </c>
      <c r="U12" s="12">
        <f t="shared" si="6"/>
        <v>127.5</v>
      </c>
      <c r="V12" s="25" t="s">
        <v>10</v>
      </c>
      <c r="W12" s="11">
        <f>IFERROR(VLOOKUP(V12,Curr!$B$2:$C$13,2,FALSE),0)</f>
        <v>11</v>
      </c>
      <c r="X12" s="12">
        <f t="shared" si="1"/>
        <v>1402.5</v>
      </c>
      <c r="Y12" s="26">
        <f t="shared" si="7"/>
        <v>85</v>
      </c>
      <c r="Z12" s="12">
        <f t="shared" si="2"/>
        <v>170</v>
      </c>
      <c r="AA12" s="4" t="s">
        <v>10</v>
      </c>
      <c r="AB12" s="11">
        <f>IFERROR(VLOOKUP(AA12,Curr!$B$2:$C$13,2,FALSE),0)</f>
        <v>11</v>
      </c>
      <c r="AC12" s="12">
        <f t="shared" si="3"/>
        <v>1870</v>
      </c>
      <c r="AD12" s="12">
        <f t="shared" si="4"/>
        <v>467.5</v>
      </c>
      <c r="AE12" s="13">
        <f t="shared" si="5"/>
        <v>0.25</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224</v>
      </c>
      <c r="K16" s="4"/>
      <c r="L16" s="4"/>
      <c r="M16" s="4"/>
      <c r="N16" s="4"/>
      <c r="O16" s="4"/>
      <c r="P16" s="33" t="s">
        <v>223</v>
      </c>
      <c r="Q16" s="25">
        <v>140</v>
      </c>
      <c r="R16" s="25">
        <v>2</v>
      </c>
      <c r="S16" s="12">
        <f t="shared" si="0"/>
        <v>280</v>
      </c>
      <c r="T16" s="5">
        <v>0.25</v>
      </c>
      <c r="U16" s="12">
        <f t="shared" si="6"/>
        <v>210</v>
      </c>
      <c r="V16" s="25" t="s">
        <v>10</v>
      </c>
      <c r="W16" s="11">
        <f>IFERROR(VLOOKUP(V16,Curr!$B$2:$C$13,2,FALSE),0)</f>
        <v>11</v>
      </c>
      <c r="X16" s="12">
        <f t="shared" si="1"/>
        <v>2310</v>
      </c>
      <c r="Y16" s="26">
        <f t="shared" si="7"/>
        <v>140</v>
      </c>
      <c r="Z16" s="12">
        <f t="shared" si="2"/>
        <v>280</v>
      </c>
      <c r="AA16" s="4" t="s">
        <v>10</v>
      </c>
      <c r="AB16" s="11">
        <f>IFERROR(VLOOKUP(AA16,Curr!$B$2:$C$13,2,FALSE),0)</f>
        <v>11</v>
      </c>
      <c r="AC16" s="12">
        <f t="shared" si="3"/>
        <v>3080</v>
      </c>
      <c r="AD16" s="12">
        <f t="shared" si="4"/>
        <v>770</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247</v>
      </c>
      <c r="K19" s="4"/>
      <c r="L19" s="4"/>
      <c r="M19" s="4"/>
      <c r="N19" s="4"/>
      <c r="O19" s="4"/>
      <c r="P19" s="33" t="s">
        <v>182</v>
      </c>
      <c r="Q19" s="25">
        <v>163</v>
      </c>
      <c r="R19" s="25">
        <v>2</v>
      </c>
      <c r="S19" s="12">
        <f t="shared" ref="S19" si="8">+Q19*R19</f>
        <v>326</v>
      </c>
      <c r="T19" s="5">
        <v>0.2</v>
      </c>
      <c r="U19" s="12">
        <f t="shared" ref="U19" si="9">S19*(1-T19)</f>
        <v>260.8</v>
      </c>
      <c r="V19" s="25" t="s">
        <v>10</v>
      </c>
      <c r="W19" s="11">
        <f>IFERROR(VLOOKUP(V19,Curr!$B$2:$C$13,2,FALSE),0)</f>
        <v>11</v>
      </c>
      <c r="X19" s="12">
        <f t="shared" ref="X19" si="10">U19*W19</f>
        <v>2868.8</v>
      </c>
      <c r="Y19" s="26">
        <f t="shared" ref="Y19" si="11">Q19</f>
        <v>163</v>
      </c>
      <c r="Z19" s="12">
        <f t="shared" si="2"/>
        <v>326</v>
      </c>
      <c r="AA19" s="4" t="s">
        <v>10</v>
      </c>
      <c r="AB19" s="11">
        <f>IFERROR(VLOOKUP(AA19,Curr!$B$2:$C$13,2,FALSE),0)</f>
        <v>11</v>
      </c>
      <c r="AC19" s="12">
        <f t="shared" si="3"/>
        <v>3586</v>
      </c>
      <c r="AD19" s="12">
        <f t="shared" si="4"/>
        <v>717.19999999999982</v>
      </c>
      <c r="AE19" s="13">
        <f t="shared" si="5"/>
        <v>0.19999999999999996</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117</v>
      </c>
      <c r="E22" s="3"/>
      <c r="F22" s="3"/>
      <c r="G22" s="24"/>
      <c r="H22" s="24"/>
      <c r="J22" s="1" t="s">
        <v>133</v>
      </c>
      <c r="K22" s="4"/>
      <c r="L22" s="4"/>
      <c r="M22" s="4"/>
      <c r="N22" s="4"/>
      <c r="O22" s="4"/>
      <c r="P22" s="27"/>
      <c r="Q22" s="25">
        <v>0</v>
      </c>
      <c r="R22" s="25">
        <v>0</v>
      </c>
      <c r="S22" s="12">
        <f t="shared" si="0"/>
        <v>0</v>
      </c>
      <c r="T22" s="5">
        <v>0</v>
      </c>
      <c r="U22" s="12">
        <f t="shared" si="6"/>
        <v>0</v>
      </c>
      <c r="V22" s="25" t="s">
        <v>10</v>
      </c>
      <c r="W22" s="11">
        <f>IFERROR(VLOOKUP(V22,Curr!$B$2:$C$13,2,FALSE),0)</f>
        <v>11</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C23" s="1" t="s">
        <v>77</v>
      </c>
      <c r="D23" s="1" t="s">
        <v>78</v>
      </c>
      <c r="E23" s="3"/>
      <c r="F23" s="3"/>
      <c r="G23" s="24"/>
      <c r="H23" s="24"/>
      <c r="J23" s="1" t="s">
        <v>81</v>
      </c>
      <c r="K23" s="4"/>
      <c r="L23" s="4"/>
      <c r="M23" s="4"/>
      <c r="N23" s="4"/>
      <c r="O23" s="4"/>
      <c r="P23" s="27"/>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IFERROR(VLOOKUP(V24,Curr!$B$2:$C$13,2,FALSE),0)</f>
        <v>11</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33"/>
      <c r="Q25" s="25"/>
      <c r="R25" s="25"/>
      <c r="S25" s="12">
        <f t="shared" si="0"/>
        <v>0</v>
      </c>
      <c r="T25" s="5">
        <v>0</v>
      </c>
      <c r="U25" s="12">
        <f t="shared" si="6"/>
        <v>0</v>
      </c>
      <c r="V25" s="25" t="s">
        <v>10</v>
      </c>
      <c r="W25" s="11">
        <f>IFERROR(VLOOKUP(V25,Curr!$B$2:$C$13,2,FALSE),0)</f>
        <v>11</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C26" s="1" t="s">
        <v>55</v>
      </c>
      <c r="D26" s="1" t="s">
        <v>127</v>
      </c>
      <c r="E26" s="3"/>
      <c r="F26" s="3"/>
      <c r="G26" s="24"/>
      <c r="H26" s="24"/>
      <c r="J26" s="1" t="s">
        <v>131</v>
      </c>
      <c r="K26" s="4"/>
      <c r="L26" s="4"/>
      <c r="M26" s="4"/>
      <c r="N26" s="4"/>
      <c r="O26" s="4"/>
      <c r="P26" s="27"/>
      <c r="Q26" s="25">
        <v>160</v>
      </c>
      <c r="R26" s="25">
        <v>0</v>
      </c>
      <c r="S26" s="12">
        <f t="shared" si="0"/>
        <v>0</v>
      </c>
      <c r="T26" s="5">
        <v>0.2</v>
      </c>
      <c r="U26" s="12">
        <f t="shared" si="6"/>
        <v>0</v>
      </c>
      <c r="V26" s="25" t="s">
        <v>10</v>
      </c>
      <c r="W26" s="11">
        <f>IFERROR(VLOOKUP(V26,Curr!$B$2:$C$13,2,FALSE),0)</f>
        <v>11</v>
      </c>
      <c r="X26" s="12">
        <f t="shared" si="1"/>
        <v>0</v>
      </c>
      <c r="Y26" s="26">
        <f t="shared" si="7"/>
        <v>160</v>
      </c>
      <c r="Z26" s="12">
        <f t="shared" si="2"/>
        <v>0</v>
      </c>
      <c r="AA26" s="4" t="s">
        <v>10</v>
      </c>
      <c r="AB26" s="11">
        <f>IFERROR(VLOOKUP(AA26,Curr!$B$2:$C$13,2,FALSE),0)</f>
        <v>11</v>
      </c>
      <c r="AC26" s="12">
        <f t="shared" si="3"/>
        <v>0</v>
      </c>
      <c r="AD26" s="12">
        <f t="shared" si="4"/>
        <v>0</v>
      </c>
      <c r="AE26" s="13">
        <f t="shared" si="5"/>
        <v>0</v>
      </c>
    </row>
    <row r="27" spans="2:31" x14ac:dyDescent="0.25">
      <c r="B27" s="4"/>
      <c r="C27" s="1" t="s">
        <v>55</v>
      </c>
      <c r="D27" s="1" t="s">
        <v>127</v>
      </c>
      <c r="E27" s="3"/>
      <c r="F27" s="3"/>
      <c r="G27" s="24"/>
      <c r="H27" s="24"/>
      <c r="J27" s="1" t="s">
        <v>132</v>
      </c>
      <c r="K27" s="4"/>
      <c r="L27" s="4"/>
      <c r="M27" s="4"/>
      <c r="N27" s="4"/>
      <c r="O27" s="4"/>
      <c r="P27" s="33"/>
      <c r="Q27" s="25">
        <v>39</v>
      </c>
      <c r="R27" s="25">
        <v>0</v>
      </c>
      <c r="S27" s="12">
        <f t="shared" si="0"/>
        <v>0</v>
      </c>
      <c r="T27" s="5">
        <v>0.2</v>
      </c>
      <c r="U27" s="12">
        <f t="shared" si="6"/>
        <v>0</v>
      </c>
      <c r="V27" s="25" t="s">
        <v>10</v>
      </c>
      <c r="W27" s="11">
        <f>IFERROR(VLOOKUP(V27,Curr!$B$2:$C$13,2,FALSE),0)</f>
        <v>11</v>
      </c>
      <c r="X27" s="12">
        <f t="shared" si="1"/>
        <v>0</v>
      </c>
      <c r="Y27" s="26">
        <f t="shared" si="7"/>
        <v>39</v>
      </c>
      <c r="Z27" s="12">
        <f t="shared" si="2"/>
        <v>0</v>
      </c>
      <c r="AA27" s="4" t="s">
        <v>10</v>
      </c>
      <c r="AB27" s="11">
        <f>IFERROR(VLOOKUP(AA27,Curr!$B$2:$C$13,2,FALSE),0)</f>
        <v>11</v>
      </c>
      <c r="AC27" s="12">
        <f t="shared" si="3"/>
        <v>0</v>
      </c>
      <c r="AD27" s="12">
        <f t="shared" si="4"/>
        <v>0</v>
      </c>
      <c r="AE27" s="13">
        <f t="shared" si="5"/>
        <v>0</v>
      </c>
    </row>
    <row r="28" spans="2:31" x14ac:dyDescent="0.25">
      <c r="B28" s="4"/>
      <c r="C28" s="1" t="s">
        <v>77</v>
      </c>
      <c r="D28" s="1" t="s">
        <v>127</v>
      </c>
      <c r="E28" s="3"/>
      <c r="F28" s="3"/>
      <c r="G28" s="24"/>
      <c r="H28" s="24"/>
      <c r="J28" s="1" t="s">
        <v>134</v>
      </c>
      <c r="K28" s="4"/>
      <c r="L28" s="4"/>
      <c r="M28" s="4"/>
      <c r="N28" s="4"/>
      <c r="O28" s="4"/>
      <c r="P28" s="27"/>
      <c r="Q28" s="25">
        <v>160</v>
      </c>
      <c r="R28" s="25">
        <v>0</v>
      </c>
      <c r="S28" s="12">
        <f t="shared" si="0"/>
        <v>0</v>
      </c>
      <c r="T28" s="5">
        <v>0.2</v>
      </c>
      <c r="U28" s="12">
        <f t="shared" si="6"/>
        <v>0</v>
      </c>
      <c r="V28" s="25" t="s">
        <v>10</v>
      </c>
      <c r="W28" s="11">
        <f>IFERROR(VLOOKUP(V28,Curr!$B$2:$C$13,2,FALSE),0)</f>
        <v>11</v>
      </c>
      <c r="X28" s="12">
        <f t="shared" si="1"/>
        <v>0</v>
      </c>
      <c r="Y28" s="26">
        <f t="shared" si="7"/>
        <v>160</v>
      </c>
      <c r="Z28" s="12">
        <f t="shared" si="2"/>
        <v>0</v>
      </c>
      <c r="AA28" s="4" t="s">
        <v>10</v>
      </c>
      <c r="AB28" s="11">
        <f>IFERROR(VLOOKUP(AA28,Curr!$B$2:$C$13,2,FALSE),0)</f>
        <v>11</v>
      </c>
      <c r="AC28" s="12">
        <f t="shared" si="3"/>
        <v>0</v>
      </c>
      <c r="AD28" s="12">
        <f t="shared" si="4"/>
        <v>0</v>
      </c>
      <c r="AE28" s="13">
        <f t="shared" si="5"/>
        <v>0</v>
      </c>
    </row>
    <row r="29" spans="2:31" x14ac:dyDescent="0.25">
      <c r="B29" s="4"/>
      <c r="C29" s="1" t="s">
        <v>77</v>
      </c>
      <c r="D29" s="1" t="s">
        <v>127</v>
      </c>
      <c r="E29" s="3"/>
      <c r="F29" s="3"/>
      <c r="G29" s="24"/>
      <c r="H29" s="24"/>
      <c r="J29" s="1" t="s">
        <v>135</v>
      </c>
      <c r="K29" s="4"/>
      <c r="L29" s="4"/>
      <c r="M29" s="4"/>
      <c r="N29" s="4"/>
      <c r="O29" s="4"/>
      <c r="P29" s="33"/>
      <c r="Q29" s="25">
        <v>39</v>
      </c>
      <c r="R29" s="25">
        <v>0</v>
      </c>
      <c r="S29" s="12">
        <f t="shared" si="0"/>
        <v>0</v>
      </c>
      <c r="T29" s="5">
        <v>0.2</v>
      </c>
      <c r="U29" s="12">
        <f t="shared" si="6"/>
        <v>0</v>
      </c>
      <c r="V29" s="25" t="s">
        <v>10</v>
      </c>
      <c r="W29" s="11">
        <f>IFERROR(VLOOKUP(V29,Curr!$B$2:$C$13,2,FALSE),0)</f>
        <v>11</v>
      </c>
      <c r="X29" s="12">
        <f t="shared" si="1"/>
        <v>0</v>
      </c>
      <c r="Y29" s="26">
        <f t="shared" si="7"/>
        <v>39</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IFERROR(VLOOKUP(V30,Curr!$B$2:$C$13,2,FALSE),0)</f>
        <v>11</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c r="R31" s="25"/>
      <c r="S31" s="12">
        <f t="shared" si="0"/>
        <v>0</v>
      </c>
      <c r="T31" s="5">
        <v>0</v>
      </c>
      <c r="U31" s="12">
        <f t="shared" si="6"/>
        <v>0</v>
      </c>
      <c r="V31" s="25" t="s">
        <v>10</v>
      </c>
      <c r="W31" s="11">
        <f>IFERROR(VLOOKUP(V31,Curr!$B$2:$C$13,2,FALSE),0)</f>
        <v>11</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229</v>
      </c>
      <c r="E32" s="3"/>
      <c r="F32" s="3"/>
      <c r="G32" s="24"/>
      <c r="H32" s="24"/>
      <c r="J32" s="1" t="s">
        <v>260</v>
      </c>
      <c r="K32" s="4"/>
      <c r="L32" s="4"/>
      <c r="M32" s="4"/>
      <c r="N32" s="4"/>
      <c r="O32" s="4"/>
      <c r="P32" s="33" t="s">
        <v>259</v>
      </c>
      <c r="Q32" s="25">
        <v>35</v>
      </c>
      <c r="R32" s="25">
        <v>0</v>
      </c>
      <c r="S32" s="12">
        <f t="shared" si="0"/>
        <v>0</v>
      </c>
      <c r="T32" s="5">
        <v>0.2</v>
      </c>
      <c r="U32" s="12">
        <f t="shared" si="6"/>
        <v>0</v>
      </c>
      <c r="V32" s="25" t="s">
        <v>10</v>
      </c>
      <c r="W32" s="11">
        <f>IFERROR(VLOOKUP(V32,Curr!$B$2:$C$13,2,FALSE),0)</f>
        <v>11</v>
      </c>
      <c r="X32" s="12">
        <f t="shared" si="1"/>
        <v>0</v>
      </c>
      <c r="Y32" s="26">
        <f t="shared" si="7"/>
        <v>35</v>
      </c>
      <c r="Z32" s="12">
        <f t="shared" si="2"/>
        <v>0</v>
      </c>
      <c r="AA32" s="4" t="s">
        <v>10</v>
      </c>
      <c r="AB32" s="11">
        <f>IFERROR(VLOOKUP(AA32,Curr!$B$2:$C$13,2,FALSE),0)</f>
        <v>11</v>
      </c>
      <c r="AC32" s="12">
        <f t="shared" si="3"/>
        <v>0</v>
      </c>
      <c r="AD32" s="12">
        <f t="shared" si="4"/>
        <v>0</v>
      </c>
      <c r="AE32" s="13">
        <f t="shared" si="5"/>
        <v>0</v>
      </c>
    </row>
    <row r="33" spans="2:36" x14ac:dyDescent="0.25">
      <c r="B33" s="4"/>
      <c r="C33" s="1" t="s">
        <v>55</v>
      </c>
      <c r="D33" s="1" t="s">
        <v>229</v>
      </c>
      <c r="E33" s="3"/>
      <c r="F33" s="3"/>
      <c r="G33" s="24"/>
      <c r="H33" s="24"/>
      <c r="J33" s="1" t="s">
        <v>261</v>
      </c>
      <c r="K33" s="4"/>
      <c r="L33" s="4"/>
      <c r="M33" s="4"/>
      <c r="N33" s="4"/>
      <c r="O33" s="4"/>
      <c r="P33" s="33" t="s">
        <v>262</v>
      </c>
      <c r="Q33" s="25">
        <v>109</v>
      </c>
      <c r="R33" s="25">
        <v>0</v>
      </c>
      <c r="S33" s="12">
        <f t="shared" si="0"/>
        <v>0</v>
      </c>
      <c r="T33" s="5">
        <v>0.2</v>
      </c>
      <c r="U33" s="12">
        <f t="shared" si="6"/>
        <v>0</v>
      </c>
      <c r="V33" s="25" t="s">
        <v>10</v>
      </c>
      <c r="W33" s="11">
        <f>IFERROR(VLOOKUP(V33,Curr!$B$2:$C$13,2,FALSE),0)</f>
        <v>11</v>
      </c>
      <c r="X33" s="12">
        <f t="shared" si="1"/>
        <v>0</v>
      </c>
      <c r="Y33" s="26">
        <f t="shared" si="7"/>
        <v>109</v>
      </c>
      <c r="Z33" s="12">
        <f t="shared" si="2"/>
        <v>0</v>
      </c>
      <c r="AA33" s="4" t="s">
        <v>10</v>
      </c>
      <c r="AB33" s="11">
        <f>IFERROR(VLOOKUP(AA33,Curr!$B$2:$C$13,2,FALSE),0)</f>
        <v>11</v>
      </c>
      <c r="AC33" s="12">
        <f t="shared" si="3"/>
        <v>0</v>
      </c>
      <c r="AD33" s="12">
        <f t="shared" si="4"/>
        <v>0</v>
      </c>
      <c r="AE33" s="13">
        <f t="shared" si="5"/>
        <v>0</v>
      </c>
    </row>
    <row r="34" spans="2:36" x14ac:dyDescent="0.25">
      <c r="B34" s="4"/>
      <c r="C34" s="1" t="s">
        <v>67</v>
      </c>
      <c r="D34" s="1" t="s">
        <v>229</v>
      </c>
      <c r="E34" s="3"/>
      <c r="F34" s="3"/>
      <c r="G34" s="24"/>
      <c r="H34" s="24"/>
      <c r="J34" s="1" t="s">
        <v>263</v>
      </c>
      <c r="K34" s="4"/>
      <c r="L34" s="4"/>
      <c r="M34" s="4"/>
      <c r="N34" s="4"/>
      <c r="O34" s="4"/>
      <c r="P34" s="33" t="s">
        <v>264</v>
      </c>
      <c r="Q34" s="25">
        <v>185</v>
      </c>
      <c r="R34" s="25">
        <v>0</v>
      </c>
      <c r="S34" s="12">
        <f t="shared" si="0"/>
        <v>0</v>
      </c>
      <c r="T34" s="5">
        <v>0.2</v>
      </c>
      <c r="U34" s="12">
        <f t="shared" si="6"/>
        <v>0</v>
      </c>
      <c r="V34" s="25" t="s">
        <v>10</v>
      </c>
      <c r="W34" s="11">
        <f>IFERROR(VLOOKUP(V34,Curr!$B$2:$C$13,2,FALSE),0)</f>
        <v>11</v>
      </c>
      <c r="X34" s="12">
        <f t="shared" si="1"/>
        <v>0</v>
      </c>
      <c r="Y34" s="26">
        <f t="shared" si="7"/>
        <v>185</v>
      </c>
      <c r="Z34" s="12">
        <f t="shared" si="2"/>
        <v>0</v>
      </c>
      <c r="AA34" s="4" t="s">
        <v>10</v>
      </c>
      <c r="AB34" s="11">
        <f>IFERROR(VLOOKUP(AA34,Curr!$B$2:$C$13,2,FALSE),0)</f>
        <v>11</v>
      </c>
      <c r="AC34" s="12">
        <f t="shared" si="3"/>
        <v>0</v>
      </c>
      <c r="AD34" s="12">
        <f t="shared" si="4"/>
        <v>0</v>
      </c>
      <c r="AE34" s="13">
        <f t="shared" si="5"/>
        <v>0</v>
      </c>
    </row>
    <row r="35" spans="2:36" x14ac:dyDescent="0.25">
      <c r="B35" s="4"/>
      <c r="E35" s="3"/>
      <c r="F35" s="3"/>
      <c r="G35" s="24"/>
      <c r="H35" s="24"/>
      <c r="K35" s="4"/>
      <c r="L35" s="4"/>
      <c r="M35" s="4"/>
      <c r="N35" s="4"/>
      <c r="O35" s="4"/>
      <c r="P35" s="27"/>
      <c r="Q35" s="25"/>
      <c r="R35" s="25"/>
      <c r="S35" s="12">
        <f t="shared" si="0"/>
        <v>0</v>
      </c>
      <c r="T35" s="5">
        <v>0</v>
      </c>
      <c r="U35" s="12">
        <f t="shared" si="6"/>
        <v>0</v>
      </c>
      <c r="V35" s="25" t="s">
        <v>10</v>
      </c>
      <c r="W35" s="11">
        <f>IFERROR(VLOOKUP(V35,Curr!$B$2:$C$13,2,FALSE),0)</f>
        <v>11</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6" x14ac:dyDescent="0.25">
      <c r="B36" s="4"/>
      <c r="E36" s="3"/>
      <c r="F36" s="3"/>
      <c r="G36" s="24"/>
      <c r="H36" s="24"/>
      <c r="K36" s="4"/>
      <c r="L36" s="4"/>
      <c r="M36" s="4"/>
      <c r="N36" s="4"/>
      <c r="O36" s="4"/>
      <c r="P36" s="33"/>
      <c r="Q36" s="25"/>
      <c r="R36" s="25"/>
      <c r="S36" s="12">
        <f t="shared" ref="S36:S42" si="12">+Q36*R36</f>
        <v>0</v>
      </c>
      <c r="T36" s="5">
        <v>0</v>
      </c>
      <c r="U36" s="12">
        <f t="shared" ref="U36:U42" si="13">S36*(1-T36)</f>
        <v>0</v>
      </c>
      <c r="V36" s="25" t="s">
        <v>10</v>
      </c>
      <c r="W36" s="11">
        <f>IFERROR(VLOOKUP(V36,Curr!$B$2:$C$13,2,FALSE),0)</f>
        <v>11</v>
      </c>
      <c r="X36" s="12">
        <f t="shared" ref="X36:X42" si="14">U36*W36</f>
        <v>0</v>
      </c>
      <c r="Y36" s="26">
        <f t="shared" ref="Y36:Y42" si="15">Q36</f>
        <v>0</v>
      </c>
      <c r="Z36" s="12">
        <f t="shared" si="2"/>
        <v>0</v>
      </c>
      <c r="AA36" s="4" t="s">
        <v>10</v>
      </c>
      <c r="AB36" s="11">
        <f>IFERROR(VLOOKUP(AA36,Curr!$B$2:$C$13,2,FALSE),0)</f>
        <v>11</v>
      </c>
      <c r="AC36" s="12">
        <f t="shared" si="3"/>
        <v>0</v>
      </c>
      <c r="AD36" s="12">
        <f t="shared" si="4"/>
        <v>0</v>
      </c>
      <c r="AE36" s="13">
        <f t="shared" si="5"/>
        <v>0</v>
      </c>
    </row>
    <row r="37" spans="2:36" x14ac:dyDescent="0.25">
      <c r="B37" s="4"/>
      <c r="E37" s="3"/>
      <c r="F37" s="3"/>
      <c r="G37" s="24"/>
      <c r="H37" s="24"/>
      <c r="K37" s="4"/>
      <c r="L37" s="4"/>
      <c r="M37" s="4"/>
      <c r="N37" s="4"/>
      <c r="O37" s="4"/>
      <c r="P37" s="33"/>
      <c r="Q37" s="25"/>
      <c r="R37" s="25"/>
      <c r="S37" s="12">
        <f t="shared" si="12"/>
        <v>0</v>
      </c>
      <c r="T37" s="5">
        <v>0</v>
      </c>
      <c r="U37" s="12">
        <f t="shared" si="13"/>
        <v>0</v>
      </c>
      <c r="V37" s="25" t="s">
        <v>10</v>
      </c>
      <c r="W37" s="11">
        <f>IFERROR(VLOOKUP(V37,Curr!$B$2:$C$13,2,FALSE),0)</f>
        <v>11</v>
      </c>
      <c r="X37" s="12">
        <f t="shared" si="14"/>
        <v>0</v>
      </c>
      <c r="Y37" s="26">
        <f t="shared" si="15"/>
        <v>0</v>
      </c>
      <c r="Z37" s="12">
        <f t="shared" si="2"/>
        <v>0</v>
      </c>
      <c r="AA37" s="4" t="s">
        <v>10</v>
      </c>
      <c r="AB37" s="11">
        <f>IFERROR(VLOOKUP(AA37,Curr!$B$2:$C$13,2,FALSE),0)</f>
        <v>11</v>
      </c>
      <c r="AC37" s="12">
        <f t="shared" si="3"/>
        <v>0</v>
      </c>
      <c r="AD37" s="12">
        <f t="shared" si="4"/>
        <v>0</v>
      </c>
      <c r="AE37" s="13">
        <f t="shared" si="5"/>
        <v>0</v>
      </c>
    </row>
    <row r="38" spans="2:36" x14ac:dyDescent="0.25">
      <c r="B38" s="4"/>
      <c r="E38" s="3"/>
      <c r="F38" s="3"/>
      <c r="G38" s="24"/>
      <c r="H38" s="24"/>
      <c r="K38" s="4"/>
      <c r="L38" s="4"/>
      <c r="M38" s="4"/>
      <c r="N38" s="4"/>
      <c r="O38" s="4"/>
      <c r="P38" s="27"/>
      <c r="Q38" s="25"/>
      <c r="R38" s="25"/>
      <c r="S38" s="12">
        <f t="shared" si="12"/>
        <v>0</v>
      </c>
      <c r="T38" s="5">
        <v>0</v>
      </c>
      <c r="U38" s="12">
        <f t="shared" si="13"/>
        <v>0</v>
      </c>
      <c r="V38" s="25" t="s">
        <v>10</v>
      </c>
      <c r="W38" s="11">
        <f>IFERROR(VLOOKUP(V38,Curr!$B$2:$C$13,2,FALSE),0)</f>
        <v>11</v>
      </c>
      <c r="X38" s="12">
        <f t="shared" si="14"/>
        <v>0</v>
      </c>
      <c r="Y38" s="26">
        <f t="shared" si="15"/>
        <v>0</v>
      </c>
      <c r="Z38" s="12">
        <f t="shared" si="2"/>
        <v>0</v>
      </c>
      <c r="AA38" s="4" t="s">
        <v>10</v>
      </c>
      <c r="AB38" s="11">
        <f>IFERROR(VLOOKUP(AA38,Curr!$B$2:$C$13,2,FALSE),0)</f>
        <v>11</v>
      </c>
      <c r="AC38" s="12">
        <f t="shared" si="3"/>
        <v>0</v>
      </c>
      <c r="AD38" s="12">
        <f t="shared" si="4"/>
        <v>0</v>
      </c>
      <c r="AE38" s="13">
        <f t="shared" si="5"/>
        <v>0</v>
      </c>
    </row>
    <row r="39" spans="2:36" x14ac:dyDescent="0.25">
      <c r="B39" s="4"/>
      <c r="E39" s="3"/>
      <c r="F39" s="3"/>
      <c r="G39" s="24"/>
      <c r="H39" s="24"/>
      <c r="K39" s="4"/>
      <c r="L39" s="4"/>
      <c r="M39" s="4"/>
      <c r="N39" s="4"/>
      <c r="O39" s="4"/>
      <c r="P39" s="33"/>
      <c r="Q39" s="25"/>
      <c r="R39" s="25"/>
      <c r="S39" s="12">
        <f t="shared" si="12"/>
        <v>0</v>
      </c>
      <c r="T39" s="5">
        <v>0</v>
      </c>
      <c r="U39" s="12">
        <f t="shared" si="13"/>
        <v>0</v>
      </c>
      <c r="V39" s="25" t="s">
        <v>10</v>
      </c>
      <c r="W39" s="11">
        <f>IFERROR(VLOOKUP(V39,Curr!$B$2:$C$13,2,FALSE),0)</f>
        <v>11</v>
      </c>
      <c r="X39" s="12">
        <f t="shared" si="14"/>
        <v>0</v>
      </c>
      <c r="Y39" s="26">
        <f t="shared" si="15"/>
        <v>0</v>
      </c>
      <c r="Z39" s="12">
        <f t="shared" si="2"/>
        <v>0</v>
      </c>
      <c r="AA39" s="4" t="s">
        <v>10</v>
      </c>
      <c r="AB39" s="11">
        <f>IFERROR(VLOOKUP(AA39,Curr!$B$2:$C$13,2,FALSE),0)</f>
        <v>11</v>
      </c>
      <c r="AC39" s="12">
        <f t="shared" si="3"/>
        <v>0</v>
      </c>
      <c r="AD39" s="12">
        <f t="shared" si="4"/>
        <v>0</v>
      </c>
      <c r="AE39" s="13">
        <f t="shared" si="5"/>
        <v>0</v>
      </c>
    </row>
    <row r="40" spans="2:36" x14ac:dyDescent="0.25">
      <c r="B40" s="4"/>
      <c r="E40" s="3"/>
      <c r="F40" s="3"/>
      <c r="G40" s="24"/>
      <c r="H40" s="24"/>
      <c r="K40" s="4"/>
      <c r="L40" s="4"/>
      <c r="M40" s="4"/>
      <c r="N40" s="4"/>
      <c r="O40" s="4"/>
      <c r="P40" s="27"/>
      <c r="Q40" s="25"/>
      <c r="R40" s="25"/>
      <c r="S40" s="12">
        <f t="shared" si="12"/>
        <v>0</v>
      </c>
      <c r="T40" s="5">
        <v>0</v>
      </c>
      <c r="U40" s="12">
        <f t="shared" si="13"/>
        <v>0</v>
      </c>
      <c r="V40" s="25" t="s">
        <v>10</v>
      </c>
      <c r="W40" s="11">
        <f>IFERROR(VLOOKUP(V40,Curr!$B$2:$C$13,2,FALSE),0)</f>
        <v>11</v>
      </c>
      <c r="X40" s="12">
        <f t="shared" si="14"/>
        <v>0</v>
      </c>
      <c r="Y40" s="26">
        <f t="shared" si="15"/>
        <v>0</v>
      </c>
      <c r="Z40" s="12">
        <f t="shared" si="2"/>
        <v>0</v>
      </c>
      <c r="AA40" s="4" t="s">
        <v>10</v>
      </c>
      <c r="AB40" s="11">
        <f>IFERROR(VLOOKUP(AA40,Curr!$B$2:$C$13,2,FALSE),0)</f>
        <v>11</v>
      </c>
      <c r="AC40" s="12">
        <f t="shared" si="3"/>
        <v>0</v>
      </c>
      <c r="AD40" s="12">
        <f t="shared" si="4"/>
        <v>0</v>
      </c>
      <c r="AE40" s="13">
        <f t="shared" si="5"/>
        <v>0</v>
      </c>
    </row>
    <row r="41" spans="2:36" x14ac:dyDescent="0.25">
      <c r="B41" s="4"/>
      <c r="E41" s="3"/>
      <c r="F41" s="3"/>
      <c r="G41" s="24"/>
      <c r="H41" s="24"/>
      <c r="K41" s="4"/>
      <c r="L41" s="4"/>
      <c r="M41" s="4"/>
      <c r="N41" s="4"/>
      <c r="O41" s="4"/>
      <c r="P41" s="33"/>
      <c r="Q41" s="25"/>
      <c r="R41" s="25"/>
      <c r="S41" s="12">
        <f t="shared" si="12"/>
        <v>0</v>
      </c>
      <c r="T41" s="5">
        <v>0</v>
      </c>
      <c r="U41" s="12">
        <f t="shared" si="13"/>
        <v>0</v>
      </c>
      <c r="V41" s="25" t="s">
        <v>10</v>
      </c>
      <c r="W41" s="11">
        <f>IFERROR(VLOOKUP(V41,Curr!$B$2:$C$13,2,FALSE),0)</f>
        <v>11</v>
      </c>
      <c r="X41" s="12">
        <f t="shared" si="14"/>
        <v>0</v>
      </c>
      <c r="Y41" s="26">
        <f t="shared" si="15"/>
        <v>0</v>
      </c>
      <c r="Z41" s="12">
        <f t="shared" si="2"/>
        <v>0</v>
      </c>
      <c r="AA41" s="4" t="s">
        <v>10</v>
      </c>
      <c r="AB41" s="11">
        <f>IFERROR(VLOOKUP(AA41,Curr!$B$2:$C$13,2,FALSE),0)</f>
        <v>11</v>
      </c>
      <c r="AC41" s="12">
        <f t="shared" si="3"/>
        <v>0</v>
      </c>
      <c r="AD41" s="12">
        <f t="shared" si="4"/>
        <v>0</v>
      </c>
      <c r="AE41" s="13">
        <f t="shared" si="5"/>
        <v>0</v>
      </c>
    </row>
    <row r="42" spans="2:36" x14ac:dyDescent="0.25">
      <c r="B42" s="4"/>
      <c r="E42" s="3"/>
      <c r="F42" s="3"/>
      <c r="G42" s="24"/>
      <c r="H42" s="24"/>
      <c r="K42" s="4"/>
      <c r="L42" s="4"/>
      <c r="M42" s="4"/>
      <c r="N42" s="4"/>
      <c r="O42" s="4"/>
      <c r="P42" s="27"/>
      <c r="Q42" s="25"/>
      <c r="R42" s="25"/>
      <c r="S42" s="12">
        <f t="shared" si="12"/>
        <v>0</v>
      </c>
      <c r="T42" s="5">
        <v>0</v>
      </c>
      <c r="U42" s="12">
        <f t="shared" si="13"/>
        <v>0</v>
      </c>
      <c r="V42" s="25" t="s">
        <v>10</v>
      </c>
      <c r="W42" s="11">
        <f>IFERROR(VLOOKUP(V42,Curr!$B$2:$C$13,2,FALSE),0)</f>
        <v>11</v>
      </c>
      <c r="X42" s="12">
        <f t="shared" si="14"/>
        <v>0</v>
      </c>
      <c r="Y42" s="26">
        <f t="shared" si="15"/>
        <v>0</v>
      </c>
      <c r="Z42" s="12">
        <f t="shared" si="2"/>
        <v>0</v>
      </c>
      <c r="AA42" s="4" t="s">
        <v>10</v>
      </c>
      <c r="AB42" s="11">
        <f>IFERROR(VLOOKUP(AA42,Curr!$B$2:$C$13,2,FALSE),0)</f>
        <v>11</v>
      </c>
      <c r="AC42" s="12">
        <f t="shared" si="3"/>
        <v>0</v>
      </c>
      <c r="AD42" s="12">
        <f t="shared" si="4"/>
        <v>0</v>
      </c>
      <c r="AE42" s="13">
        <f t="shared" si="5"/>
        <v>0</v>
      </c>
    </row>
    <row r="43" spans="2:36" x14ac:dyDescent="0.25">
      <c r="B43" s="4"/>
      <c r="E43" s="3"/>
      <c r="F43" s="3"/>
      <c r="G43" s="3"/>
      <c r="H43" s="3"/>
      <c r="L43" s="4"/>
      <c r="M43" s="4"/>
      <c r="N43" s="4"/>
      <c r="O43" s="4"/>
      <c r="P43" s="22"/>
      <c r="Q43" s="4"/>
      <c r="R43" s="4"/>
      <c r="S43" s="4"/>
      <c r="T43" s="4"/>
      <c r="U43" s="4"/>
      <c r="V43" s="4"/>
      <c r="W43" s="4"/>
      <c r="X43" s="4"/>
      <c r="Y43" s="4"/>
      <c r="Z43" s="4"/>
      <c r="AA43" s="4"/>
      <c r="AB43" s="4"/>
      <c r="AC43" s="4"/>
      <c r="AD43" s="4"/>
      <c r="AE43" s="4"/>
      <c r="AF43" s="4"/>
    </row>
    <row r="44" spans="2:36" x14ac:dyDescent="0.25">
      <c r="B44" s="14" t="s">
        <v>18</v>
      </c>
      <c r="C44" s="14"/>
      <c r="D44" s="28" t="s">
        <v>42</v>
      </c>
      <c r="E44" s="30" t="s">
        <v>42</v>
      </c>
      <c r="F44" s="30" t="s">
        <v>42</v>
      </c>
      <c r="G44" s="30" t="s">
        <v>42</v>
      </c>
      <c r="H44" s="30" t="s">
        <v>42</v>
      </c>
      <c r="I44" s="28" t="s">
        <v>42</v>
      </c>
      <c r="J44" s="28" t="s">
        <v>42</v>
      </c>
      <c r="K44" s="28" t="s">
        <v>42</v>
      </c>
      <c r="L44" s="28" t="s">
        <v>42</v>
      </c>
      <c r="M44" s="28" t="s">
        <v>42</v>
      </c>
      <c r="N44" s="28" t="s">
        <v>42</v>
      </c>
      <c r="O44" s="28" t="s">
        <v>42</v>
      </c>
      <c r="P44" s="28" t="s">
        <v>42</v>
      </c>
      <c r="Q44" s="31" t="s">
        <v>42</v>
      </c>
      <c r="R44" s="28" t="s">
        <v>42</v>
      </c>
      <c r="S44" s="32" t="s">
        <v>42</v>
      </c>
      <c r="T44" s="28" t="s">
        <v>42</v>
      </c>
      <c r="U44" s="32" t="s">
        <v>42</v>
      </c>
      <c r="V44" s="28" t="s">
        <v>42</v>
      </c>
      <c r="W44" s="28" t="s">
        <v>42</v>
      </c>
      <c r="X44" s="32" t="s">
        <v>42</v>
      </c>
      <c r="Y44" s="32" t="s">
        <v>42</v>
      </c>
      <c r="Z44" s="15">
        <f>SUM(Z7:Z42)</f>
        <v>1797.5294117647059</v>
      </c>
      <c r="AA44" s="14"/>
      <c r="AB44" s="14"/>
      <c r="AC44" s="15">
        <f>SUM(AC7:AC42)</f>
        <v>19772.823529411762</v>
      </c>
      <c r="AD44" s="15">
        <f>SUM(AD7:AD42)</f>
        <v>3858.0235294117638</v>
      </c>
      <c r="AE44" s="21">
        <f t="shared" ref="AE44" si="16">IFERROR(AD44/AC44,0)</f>
        <v>0.19511748151057004</v>
      </c>
      <c r="AF44" s="15">
        <f>SUM(AF8:AF43)</f>
        <v>0</v>
      </c>
      <c r="AG44" s="15">
        <f>SUM(AG8:AG43)</f>
        <v>0</v>
      </c>
      <c r="AH44" s="15">
        <f>SUM(AH8:AH43)</f>
        <v>0</v>
      </c>
      <c r="AI44" s="15">
        <f>SUM(AI8:AI43)</f>
        <v>0</v>
      </c>
      <c r="AJ44" s="15">
        <f>SUM(AJ8:AJ43)</f>
        <v>0</v>
      </c>
    </row>
    <row r="45" spans="2:36" x14ac:dyDescent="0.25">
      <c r="B45" s="4"/>
      <c r="E45" s="3"/>
      <c r="F45" s="3"/>
      <c r="G45" s="3"/>
      <c r="H45" s="3"/>
      <c r="L45" s="4"/>
      <c r="M45" s="4"/>
      <c r="N45" s="4"/>
      <c r="O45" s="4"/>
      <c r="Q45" s="4"/>
      <c r="R45" s="4"/>
      <c r="S45" s="4"/>
      <c r="T45" s="4"/>
      <c r="U45" s="4"/>
      <c r="V45" s="4"/>
      <c r="W45" s="4"/>
      <c r="X45" s="4"/>
      <c r="Y45" s="9"/>
      <c r="Z45" s="9"/>
      <c r="AA45" s="9"/>
      <c r="AB45" s="9"/>
      <c r="AC45" s="9"/>
      <c r="AD45" s="9"/>
      <c r="AE45" s="9"/>
    </row>
    <row r="46" spans="2:36" x14ac:dyDescent="0.25">
      <c r="B46" s="4"/>
      <c r="E46" s="3"/>
      <c r="F46" s="3"/>
      <c r="G46" s="3"/>
      <c r="H46" s="3"/>
      <c r="L46" s="4"/>
      <c r="M46" s="4"/>
      <c r="N46" s="4"/>
      <c r="O46" s="4"/>
      <c r="Q46" s="9"/>
      <c r="R46" s="9"/>
      <c r="S46" s="9"/>
      <c r="T46" s="9"/>
      <c r="U46" s="9"/>
      <c r="V46" s="9"/>
      <c r="W46" s="9"/>
      <c r="X46" s="23"/>
      <c r="Y46" s="34" t="s">
        <v>234</v>
      </c>
      <c r="Z46" s="34">
        <f>Z12+Z14+Z16+Z19</f>
        <v>974</v>
      </c>
      <c r="AA46" s="9"/>
      <c r="AB46" s="9"/>
      <c r="AC46" s="9"/>
      <c r="AD46" s="9"/>
      <c r="AE46" s="9"/>
    </row>
    <row r="47" spans="2:36" x14ac:dyDescent="0.25">
      <c r="B47" s="4"/>
      <c r="E47" s="3"/>
      <c r="F47" s="3"/>
      <c r="G47" s="3"/>
      <c r="H47" s="3"/>
      <c r="L47" s="4"/>
      <c r="M47" s="4"/>
      <c r="N47" s="4"/>
      <c r="O47" s="4"/>
      <c r="Q47" s="9"/>
      <c r="R47" s="9"/>
      <c r="S47" s="9"/>
      <c r="T47" s="9"/>
      <c r="U47" s="9"/>
      <c r="V47" s="9"/>
      <c r="W47" s="9"/>
      <c r="X47" s="9"/>
      <c r="Y47" s="35" t="s">
        <v>235</v>
      </c>
      <c r="Z47" s="34">
        <f>Z9</f>
        <v>823.52941176470586</v>
      </c>
      <c r="AA47" s="9"/>
      <c r="AB47" s="9"/>
      <c r="AC47" s="9"/>
      <c r="AD47" s="9"/>
      <c r="AE47" s="9"/>
      <c r="AF47" s="18"/>
    </row>
    <row r="48" spans="2:36" x14ac:dyDescent="0.25">
      <c r="B48" s="4"/>
      <c r="E48" s="3"/>
      <c r="F48" s="3"/>
      <c r="G48" s="3"/>
      <c r="H48" s="3"/>
      <c r="I48" s="19"/>
      <c r="L48" s="4"/>
      <c r="M48" s="4"/>
      <c r="N48" s="4"/>
      <c r="O48" s="20"/>
      <c r="Q48" s="20"/>
      <c r="R48" s="20"/>
      <c r="S48" s="20"/>
      <c r="T48" s="20"/>
      <c r="U48" s="20"/>
      <c r="V48" s="20"/>
      <c r="W48" s="20"/>
      <c r="X48" s="20"/>
      <c r="Y48" s="34" t="s">
        <v>236</v>
      </c>
      <c r="Z48" s="34">
        <v>1780</v>
      </c>
      <c r="AA48" s="9">
        <f>Z48*0.88</f>
        <v>1566.4</v>
      </c>
      <c r="AB48" s="9"/>
      <c r="AC48" s="9"/>
      <c r="AD48" s="9"/>
      <c r="AE48" s="9"/>
      <c r="AF48" s="18"/>
    </row>
    <row r="49" spans="2:32" x14ac:dyDescent="0.25">
      <c r="B49" s="4"/>
      <c r="E49" s="3"/>
      <c r="F49" s="3"/>
      <c r="G49" s="3"/>
      <c r="H49" s="3"/>
      <c r="L49" s="4"/>
      <c r="M49" s="4"/>
      <c r="N49" s="4"/>
      <c r="O49" s="20"/>
      <c r="Q49" s="20"/>
      <c r="R49" s="20"/>
      <c r="S49" s="20"/>
      <c r="T49" s="20"/>
      <c r="U49" s="20"/>
      <c r="V49" s="20"/>
      <c r="W49" s="20"/>
      <c r="X49" s="20"/>
      <c r="Y49" s="34" t="s">
        <v>45</v>
      </c>
      <c r="Z49" s="34">
        <f>Z48/2</f>
        <v>890</v>
      </c>
      <c r="AA49" s="9"/>
      <c r="AB49" s="9"/>
      <c r="AC49" s="9"/>
      <c r="AD49" s="9"/>
      <c r="AE49" s="9"/>
      <c r="AF49" s="18"/>
    </row>
    <row r="50" spans="2:32" x14ac:dyDescent="0.25">
      <c r="B50" s="4"/>
      <c r="E50" s="3"/>
      <c r="F50" s="3"/>
      <c r="G50" s="3"/>
      <c r="H50" s="3"/>
      <c r="L50" s="4"/>
      <c r="M50" s="4"/>
      <c r="N50" s="4"/>
      <c r="O50" s="4"/>
      <c r="Q50" s="9"/>
      <c r="R50" s="9"/>
      <c r="S50" s="9"/>
      <c r="T50" s="9"/>
      <c r="U50" s="9"/>
      <c r="V50" s="9"/>
      <c r="W50" s="9"/>
      <c r="X50" s="9"/>
      <c r="Y50" s="1"/>
      <c r="Z50" s="1"/>
      <c r="AA50" s="9"/>
      <c r="AB50" s="9"/>
      <c r="AC50" s="9"/>
      <c r="AD50" s="9"/>
      <c r="AE50" s="9"/>
      <c r="AF50" s="18"/>
    </row>
    <row r="51" spans="2:32" x14ac:dyDescent="0.25">
      <c r="F51" s="1"/>
      <c r="G51" s="1"/>
      <c r="H51" s="1"/>
      <c r="J51" s="1" t="s">
        <v>32</v>
      </c>
      <c r="Q51" s="9"/>
      <c r="R51" s="4"/>
      <c r="S51" s="9"/>
      <c r="T51" s="5"/>
      <c r="U51" s="9"/>
      <c r="V51" s="4"/>
      <c r="W51" s="4"/>
      <c r="X51" s="9"/>
      <c r="Y51" s="9" t="s">
        <v>46</v>
      </c>
      <c r="Z51" s="9">
        <f>Z48-Z52</f>
        <v>1780</v>
      </c>
      <c r="AA51" s="9"/>
      <c r="AB51" s="9"/>
      <c r="AC51" s="9"/>
      <c r="AD51" s="9"/>
      <c r="AE51" s="9"/>
    </row>
    <row r="52" spans="2:32" x14ac:dyDescent="0.25">
      <c r="R52" s="4"/>
      <c r="S52" s="17"/>
      <c r="T52" s="17"/>
      <c r="U52" s="9"/>
      <c r="V52" s="4"/>
      <c r="W52" s="4"/>
      <c r="X52" s="9"/>
      <c r="Y52" s="9" t="s">
        <v>47</v>
      </c>
      <c r="Z52" s="9">
        <v>0</v>
      </c>
      <c r="AA52" s="9"/>
      <c r="AB52" s="9"/>
      <c r="AC52" s="9"/>
      <c r="AD52" s="9"/>
      <c r="AE52" s="9"/>
    </row>
    <row r="53" spans="2:32" x14ac:dyDescent="0.25">
      <c r="Q53" s="9"/>
      <c r="R53" s="4"/>
      <c r="S53" s="16"/>
      <c r="T53" s="16"/>
      <c r="U53" s="9"/>
      <c r="V53" s="4"/>
      <c r="W53" s="4"/>
      <c r="X53" s="9"/>
      <c r="Y53" s="9"/>
      <c r="Z53" s="9"/>
      <c r="AA53" s="9"/>
      <c r="AB53" s="9"/>
      <c r="AC53" s="9"/>
      <c r="AD53" s="9"/>
      <c r="AE53" s="9"/>
    </row>
    <row r="54" spans="2:32" x14ac:dyDescent="0.25">
      <c r="R54" s="4"/>
      <c r="S54" s="16"/>
      <c r="T54" s="16"/>
      <c r="Y54" s="9" t="s">
        <v>48</v>
      </c>
      <c r="Z54" s="9">
        <f>Z48*0.3</f>
        <v>534</v>
      </c>
      <c r="AA54" s="9"/>
      <c r="AB54" s="9"/>
      <c r="AC54" s="9"/>
      <c r="AD54" s="9"/>
      <c r="AE54" s="9"/>
    </row>
    <row r="55" spans="2:32" x14ac:dyDescent="0.25">
      <c r="T55" s="5"/>
      <c r="Y55" s="9" t="s">
        <v>49</v>
      </c>
      <c r="Z55" s="9">
        <f>Z48-Z54</f>
        <v>1246</v>
      </c>
      <c r="AA55" s="9"/>
      <c r="AB55" s="9"/>
      <c r="AC55" s="9"/>
      <c r="AD55" s="9"/>
      <c r="AE55" s="9"/>
    </row>
    <row r="56" spans="2:32" x14ac:dyDescent="0.25">
      <c r="T56" s="5"/>
      <c r="Y56" s="9"/>
      <c r="Z56" s="9"/>
      <c r="AA56" s="9"/>
      <c r="AB56" s="9"/>
      <c r="AC56" s="9"/>
      <c r="AD56" s="9"/>
      <c r="AE56" s="9"/>
    </row>
    <row r="57" spans="2:32" x14ac:dyDescent="0.25">
      <c r="T57" s="5"/>
      <c r="Y57" s="9"/>
      <c r="Z57" s="9"/>
      <c r="AA57" s="9"/>
      <c r="AB57" s="9"/>
      <c r="AC57" s="9"/>
      <c r="AD57" s="9"/>
      <c r="AE57" s="9"/>
    </row>
    <row r="58" spans="2:32" x14ac:dyDescent="0.25">
      <c r="T58" s="5"/>
      <c r="Y58" s="9"/>
      <c r="Z58" s="9"/>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c r="Y62" s="9"/>
      <c r="Z62" s="9"/>
      <c r="AA62" s="9"/>
      <c r="AB62" s="9"/>
      <c r="AC62" s="9"/>
      <c r="AD62" s="9"/>
      <c r="AE62" s="9"/>
    </row>
    <row r="63" spans="2:32" x14ac:dyDescent="0.25">
      <c r="T63" s="5"/>
    </row>
    <row r="64" spans="2:32" x14ac:dyDescent="0.25">
      <c r="T64" s="5"/>
    </row>
    <row r="65" spans="20:20" x14ac:dyDescent="0.25">
      <c r="T65" s="5"/>
    </row>
    <row r="66" spans="20:20" x14ac:dyDescent="0.25">
      <c r="T66" s="5"/>
    </row>
    <row r="67" spans="20:20" x14ac:dyDescent="0.25">
      <c r="T67" s="5"/>
    </row>
  </sheetData>
  <autoFilter ref="B6:AE44" xr:uid="{65FA6D9B-E0AF-46CD-BA0D-86BB75FE6AB0}"/>
  <hyperlinks>
    <hyperlink ref="P14" r:id="rId1" xr:uid="{6F5A613E-0A5A-467B-82EF-6EE3BC0AF7A2}"/>
    <hyperlink ref="P12" r:id="rId2" xr:uid="{84D6B6D7-2231-4801-81FC-FC7AED28FB15}"/>
    <hyperlink ref="P16" r:id="rId3" xr:uid="{290DD20B-4D30-425C-BAA2-5638714F7B60}"/>
    <hyperlink ref="P19" r:id="rId4" xr:uid="{9AA92B6A-B1AB-4F72-831F-0113AE890D1E}"/>
    <hyperlink ref="P32" r:id="rId5" xr:uid="{F699E642-8122-4B5C-9AF4-423081B471AA}"/>
    <hyperlink ref="P33" r:id="rId6" xr:uid="{AEA5A1E6-7D56-4D26-82FF-BBF896EB3010}"/>
    <hyperlink ref="P34" r:id="rId7" xr:uid="{872B6B12-2D1B-447C-BA2F-C07722C03F5D}"/>
  </hyperlinks>
  <pageMargins left="0.7" right="0.7" top="0.75" bottom="0.75" header="0.3" footer="0.3"/>
  <pageSetup paperSize="9"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3EF3-B6F2-48B5-9AE6-79A75538A3BA}">
  <sheetPr>
    <tabColor rgb="FFFFFF00"/>
  </sheetPr>
  <dimension ref="B2:AK75"/>
  <sheetViews>
    <sheetView zoomScale="80" zoomScaleNormal="80" workbookViewId="0">
      <selection activeCell="W7" sqref="W7:W5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38" si="0">+Q7*R7</f>
        <v>0</v>
      </c>
      <c r="T7" s="5">
        <v>0</v>
      </c>
      <c r="U7" s="12">
        <f>S7*(1-T7)</f>
        <v>0</v>
      </c>
      <c r="V7" s="25" t="s">
        <v>10</v>
      </c>
      <c r="W7" s="11">
        <f>IFERROR(VLOOKUP(V7,Curr!$B$2:$C$13,2,FALSE),0)</f>
        <v>11</v>
      </c>
      <c r="X7" s="12">
        <f t="shared" ref="X7:X38" si="1">U7*W7</f>
        <v>0</v>
      </c>
      <c r="Y7" s="26">
        <f>Q7</f>
        <v>0</v>
      </c>
      <c r="Z7" s="12">
        <f t="shared" ref="Z7:Z50" si="2">+Y7*R7</f>
        <v>0</v>
      </c>
      <c r="AA7" s="4" t="s">
        <v>10</v>
      </c>
      <c r="AB7" s="11">
        <f>IFERROR(VLOOKUP(AA7,Curr!$B$2:$C$13,2,FALSE),0)</f>
        <v>11</v>
      </c>
      <c r="AC7" s="12">
        <f t="shared" ref="AC7:AC50" si="3">+Y7*AB7*R7</f>
        <v>0</v>
      </c>
      <c r="AD7" s="12">
        <f t="shared" ref="AD7:AD50" si="4">+AC7-X7</f>
        <v>0</v>
      </c>
      <c r="AE7" s="13">
        <f t="shared" ref="AE7:AE50"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38" si="6">S8*(1-T8)</f>
        <v>0</v>
      </c>
      <c r="V8" s="25" t="s">
        <v>10</v>
      </c>
      <c r="W8" s="11">
        <f>IFERROR(VLOOKUP(V8,Curr!$B$2:$C$13,2,FALSE),0)</f>
        <v>11</v>
      </c>
      <c r="X8" s="12">
        <f t="shared" si="1"/>
        <v>0</v>
      </c>
      <c r="Y8" s="26">
        <f t="shared" ref="Y8:Y38"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231</v>
      </c>
      <c r="K9" s="4"/>
      <c r="L9" s="4"/>
      <c r="M9" s="4"/>
      <c r="N9" s="4"/>
      <c r="O9" s="4"/>
      <c r="P9" s="27"/>
      <c r="Q9" s="25">
        <v>900</v>
      </c>
      <c r="R9" s="25">
        <v>1</v>
      </c>
      <c r="S9" s="12">
        <f t="shared" si="0"/>
        <v>900</v>
      </c>
      <c r="T9" s="5">
        <v>0</v>
      </c>
      <c r="U9" s="12">
        <f t="shared" si="6"/>
        <v>900</v>
      </c>
      <c r="V9" s="25" t="s">
        <v>10</v>
      </c>
      <c r="W9" s="11">
        <f>IFERROR(VLOOKUP(V9,Curr!$B$2:$C$13,2,FALSE),0)</f>
        <v>11</v>
      </c>
      <c r="X9" s="12">
        <f t="shared" si="1"/>
        <v>9900</v>
      </c>
      <c r="Y9" s="26">
        <f>Q9/0.85</f>
        <v>1058.8235294117646</v>
      </c>
      <c r="Z9" s="12">
        <f t="shared" si="2"/>
        <v>1058.8235294117646</v>
      </c>
      <c r="AA9" s="4" t="s">
        <v>10</v>
      </c>
      <c r="AB9" s="11">
        <f>IFERROR(VLOOKUP(AA9,Curr!$B$2:$C$13,2,FALSE),0)</f>
        <v>11</v>
      </c>
      <c r="AC9" s="12">
        <f t="shared" si="3"/>
        <v>11647.058823529411</v>
      </c>
      <c r="AD9" s="12">
        <f t="shared" si="4"/>
        <v>1747.0588235294108</v>
      </c>
      <c r="AE9" s="13">
        <f t="shared" si="5"/>
        <v>0.14999999999999994</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137</v>
      </c>
      <c r="K22" s="4"/>
      <c r="L22" s="4"/>
      <c r="M22" s="4"/>
      <c r="N22" s="4"/>
      <c r="O22" s="4"/>
      <c r="P22" s="33" t="s">
        <v>182</v>
      </c>
      <c r="Q22" s="25">
        <v>163</v>
      </c>
      <c r="R22" s="25">
        <v>2</v>
      </c>
      <c r="S22" s="12">
        <f t="shared" si="0"/>
        <v>326</v>
      </c>
      <c r="T22" s="5">
        <v>0.2</v>
      </c>
      <c r="U22" s="12">
        <f t="shared" si="6"/>
        <v>260.8</v>
      </c>
      <c r="V22" s="25" t="s">
        <v>10</v>
      </c>
      <c r="W22" s="11">
        <f>IFERROR(VLOOKUP(V22,Curr!$B$2:$C$13,2,FALSE),0)</f>
        <v>11</v>
      </c>
      <c r="X22" s="12">
        <f t="shared" si="1"/>
        <v>2868.8</v>
      </c>
      <c r="Y22" s="26">
        <f t="shared" si="7"/>
        <v>163</v>
      </c>
      <c r="Z22" s="12">
        <f t="shared" si="2"/>
        <v>326</v>
      </c>
      <c r="AA22" s="4" t="s">
        <v>10</v>
      </c>
      <c r="AB22" s="11">
        <f>IFERROR(VLOOKUP(AA22,Curr!$B$2:$C$13,2,FALSE),0)</f>
        <v>11</v>
      </c>
      <c r="AC22" s="12">
        <f t="shared" si="3"/>
        <v>3586</v>
      </c>
      <c r="AD22" s="12">
        <f t="shared" si="4"/>
        <v>717.19999999999982</v>
      </c>
      <c r="AE22" s="13">
        <f t="shared" si="5"/>
        <v>0.19999999999999996</v>
      </c>
    </row>
    <row r="23" spans="2:31" x14ac:dyDescent="0.25">
      <c r="B23" s="4"/>
      <c r="C23" s="1" t="s">
        <v>77</v>
      </c>
      <c r="D23" s="1" t="s">
        <v>60</v>
      </c>
      <c r="E23" s="3"/>
      <c r="F23" s="3"/>
      <c r="G23" s="24"/>
      <c r="H23" s="24"/>
      <c r="J23" s="1" t="s">
        <v>136</v>
      </c>
      <c r="K23" s="4"/>
      <c r="L23" s="4"/>
      <c r="M23" s="4"/>
      <c r="N23" s="4"/>
      <c r="O23" s="4"/>
      <c r="P23" s="33"/>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33"/>
      <c r="Q24" s="25"/>
      <c r="R24" s="25"/>
      <c r="S24" s="12">
        <f t="shared" si="0"/>
        <v>0</v>
      </c>
      <c r="T24" s="5">
        <v>0</v>
      </c>
      <c r="U24" s="12">
        <f t="shared" si="6"/>
        <v>0</v>
      </c>
      <c r="V24" s="25" t="s">
        <v>10</v>
      </c>
      <c r="W24" s="11">
        <f>IFERROR(VLOOKUP(V24,Curr!$B$2:$C$13,2,FALSE),0)</f>
        <v>11</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117</v>
      </c>
      <c r="E25" s="3"/>
      <c r="F25" s="3"/>
      <c r="G25" s="24"/>
      <c r="H25" s="24"/>
      <c r="J25" s="1" t="s">
        <v>133</v>
      </c>
      <c r="K25" s="4"/>
      <c r="L25" s="4"/>
      <c r="M25" s="4"/>
      <c r="N25" s="4"/>
      <c r="O25" s="4"/>
      <c r="P25" s="27"/>
      <c r="Q25" s="25">
        <v>0</v>
      </c>
      <c r="R25" s="25">
        <v>0</v>
      </c>
      <c r="S25" s="12">
        <f t="shared" si="0"/>
        <v>0</v>
      </c>
      <c r="T25" s="5">
        <v>0</v>
      </c>
      <c r="U25" s="12">
        <f t="shared" si="6"/>
        <v>0</v>
      </c>
      <c r="V25" s="25" t="s">
        <v>10</v>
      </c>
      <c r="W25" s="11">
        <f>IFERROR(VLOOKUP(V25,Curr!$B$2:$C$13,2,FALSE),0)</f>
        <v>11</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C26" s="1" t="s">
        <v>92</v>
      </c>
      <c r="D26" s="1" t="s">
        <v>78</v>
      </c>
      <c r="E26" s="3"/>
      <c r="F26" s="3"/>
      <c r="G26" s="24"/>
      <c r="H26" s="24"/>
      <c r="J26" s="1" t="s">
        <v>81</v>
      </c>
      <c r="K26" s="4"/>
      <c r="L26" s="4"/>
      <c r="M26" s="4"/>
      <c r="N26" s="4"/>
      <c r="O26" s="4"/>
      <c r="P26" s="27"/>
      <c r="Q26" s="25">
        <v>0</v>
      </c>
      <c r="R26" s="25">
        <v>0</v>
      </c>
      <c r="S26" s="12">
        <f t="shared" si="0"/>
        <v>0</v>
      </c>
      <c r="T26" s="5">
        <v>0</v>
      </c>
      <c r="U26" s="12">
        <f t="shared" si="6"/>
        <v>0</v>
      </c>
      <c r="V26" s="25" t="s">
        <v>10</v>
      </c>
      <c r="W26" s="11">
        <f>IFERROR(VLOOKUP(V26,Curr!$B$2:$C$13,2,FALSE),0)</f>
        <v>11</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c r="R27" s="25"/>
      <c r="S27" s="12">
        <f t="shared" si="0"/>
        <v>0</v>
      </c>
      <c r="T27" s="5">
        <v>0</v>
      </c>
      <c r="U27" s="12">
        <f t="shared" si="6"/>
        <v>0</v>
      </c>
      <c r="V27" s="25" t="s">
        <v>10</v>
      </c>
      <c r="W27" s="11">
        <f>IFERROR(VLOOKUP(V27,Curr!$B$2:$C$13,2,FALSE),0)</f>
        <v>11</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c r="R28" s="25"/>
      <c r="S28" s="12">
        <f t="shared" si="0"/>
        <v>0</v>
      </c>
      <c r="T28" s="5">
        <v>0</v>
      </c>
      <c r="U28" s="12">
        <f t="shared" si="6"/>
        <v>0</v>
      </c>
      <c r="V28" s="25" t="s">
        <v>10</v>
      </c>
      <c r="W28" s="11">
        <f>IFERROR(VLOOKUP(V28,Curr!$B$2:$C$13,2,FALSE),0)</f>
        <v>11</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C29" s="1" t="s">
        <v>55</v>
      </c>
      <c r="D29" s="1" t="s">
        <v>127</v>
      </c>
      <c r="E29" s="3"/>
      <c r="F29" s="3"/>
      <c r="G29" s="24"/>
      <c r="H29" s="24"/>
      <c r="J29" s="1" t="s">
        <v>131</v>
      </c>
      <c r="K29" s="4"/>
      <c r="L29" s="4"/>
      <c r="M29" s="4"/>
      <c r="N29" s="4"/>
      <c r="O29" s="4"/>
      <c r="P29" s="27"/>
      <c r="Q29" s="25">
        <v>160</v>
      </c>
      <c r="R29" s="25">
        <v>0</v>
      </c>
      <c r="S29" s="12">
        <f t="shared" si="0"/>
        <v>0</v>
      </c>
      <c r="T29" s="5">
        <v>0.2</v>
      </c>
      <c r="U29" s="12">
        <f t="shared" si="6"/>
        <v>0</v>
      </c>
      <c r="V29" s="25" t="s">
        <v>10</v>
      </c>
      <c r="W29" s="11">
        <f>IFERROR(VLOOKUP(V29,Curr!$B$2:$C$13,2,FALSE),0)</f>
        <v>11</v>
      </c>
      <c r="X29" s="12">
        <f t="shared" si="1"/>
        <v>0</v>
      </c>
      <c r="Y29" s="26">
        <f t="shared" si="7"/>
        <v>160</v>
      </c>
      <c r="Z29" s="12">
        <f t="shared" si="2"/>
        <v>0</v>
      </c>
      <c r="AA29" s="4" t="s">
        <v>10</v>
      </c>
      <c r="AB29" s="11">
        <f>IFERROR(VLOOKUP(AA29,Curr!$B$2:$C$13,2,FALSE),0)</f>
        <v>11</v>
      </c>
      <c r="AC29" s="12">
        <f t="shared" si="3"/>
        <v>0</v>
      </c>
      <c r="AD29" s="12">
        <f t="shared" si="4"/>
        <v>0</v>
      </c>
      <c r="AE29" s="13">
        <f t="shared" si="5"/>
        <v>0</v>
      </c>
    </row>
    <row r="30" spans="2:31" x14ac:dyDescent="0.25">
      <c r="B30" s="4"/>
      <c r="C30" s="1" t="s">
        <v>55</v>
      </c>
      <c r="D30" s="1" t="s">
        <v>127</v>
      </c>
      <c r="E30" s="3"/>
      <c r="F30" s="3"/>
      <c r="G30" s="24"/>
      <c r="H30" s="24"/>
      <c r="J30" s="1" t="s">
        <v>132</v>
      </c>
      <c r="K30" s="4"/>
      <c r="L30" s="4"/>
      <c r="M30" s="4"/>
      <c r="N30" s="4"/>
      <c r="O30" s="4"/>
      <c r="P30" s="33"/>
      <c r="Q30" s="25">
        <v>39</v>
      </c>
      <c r="R30" s="25">
        <v>0</v>
      </c>
      <c r="S30" s="12">
        <f t="shared" si="0"/>
        <v>0</v>
      </c>
      <c r="T30" s="5">
        <v>0.2</v>
      </c>
      <c r="U30" s="12">
        <f t="shared" si="6"/>
        <v>0</v>
      </c>
      <c r="V30" s="25" t="s">
        <v>10</v>
      </c>
      <c r="W30" s="11">
        <f>IFERROR(VLOOKUP(V30,Curr!$B$2:$C$13,2,FALSE),0)</f>
        <v>11</v>
      </c>
      <c r="X30" s="12">
        <f t="shared" si="1"/>
        <v>0</v>
      </c>
      <c r="Y30" s="26">
        <f t="shared" si="7"/>
        <v>39</v>
      </c>
      <c r="Z30" s="12">
        <f t="shared" si="2"/>
        <v>0</v>
      </c>
      <c r="AA30" s="4" t="s">
        <v>10</v>
      </c>
      <c r="AB30" s="11">
        <f>IFERROR(VLOOKUP(AA30,Curr!$B$2:$C$13,2,FALSE),0)</f>
        <v>11</v>
      </c>
      <c r="AC30" s="12">
        <f t="shared" si="3"/>
        <v>0</v>
      </c>
      <c r="AD30" s="12">
        <f t="shared" si="4"/>
        <v>0</v>
      </c>
      <c r="AE30" s="13">
        <f t="shared" si="5"/>
        <v>0</v>
      </c>
    </row>
    <row r="31" spans="2:31" x14ac:dyDescent="0.25">
      <c r="B31" s="4"/>
      <c r="C31" s="1" t="s">
        <v>92</v>
      </c>
      <c r="D31" s="1" t="s">
        <v>127</v>
      </c>
      <c r="E31" s="3"/>
      <c r="F31" s="3"/>
      <c r="G31" s="24"/>
      <c r="H31" s="24"/>
      <c r="J31" s="1" t="s">
        <v>134</v>
      </c>
      <c r="K31" s="4"/>
      <c r="L31" s="4"/>
      <c r="M31" s="4"/>
      <c r="N31" s="4"/>
      <c r="O31" s="4"/>
      <c r="P31" s="27"/>
      <c r="Q31" s="25">
        <v>160</v>
      </c>
      <c r="R31" s="25">
        <v>0</v>
      </c>
      <c r="S31" s="12">
        <f t="shared" si="0"/>
        <v>0</v>
      </c>
      <c r="T31" s="5">
        <v>0.2</v>
      </c>
      <c r="U31" s="12">
        <f t="shared" si="6"/>
        <v>0</v>
      </c>
      <c r="V31" s="25" t="s">
        <v>10</v>
      </c>
      <c r="W31" s="11">
        <f>IFERROR(VLOOKUP(V31,Curr!$B$2:$C$13,2,FALSE),0)</f>
        <v>11</v>
      </c>
      <c r="X31" s="12">
        <f t="shared" si="1"/>
        <v>0</v>
      </c>
      <c r="Y31" s="26">
        <f t="shared" si="7"/>
        <v>160</v>
      </c>
      <c r="Z31" s="12">
        <f t="shared" si="2"/>
        <v>0</v>
      </c>
      <c r="AA31" s="4" t="s">
        <v>10</v>
      </c>
      <c r="AB31" s="11">
        <f>IFERROR(VLOOKUP(AA31,Curr!$B$2:$C$13,2,FALSE),0)</f>
        <v>11</v>
      </c>
      <c r="AC31" s="12">
        <f t="shared" si="3"/>
        <v>0</v>
      </c>
      <c r="AD31" s="12">
        <f t="shared" si="4"/>
        <v>0</v>
      </c>
      <c r="AE31" s="13">
        <f t="shared" si="5"/>
        <v>0</v>
      </c>
    </row>
    <row r="32" spans="2:31" x14ac:dyDescent="0.25">
      <c r="B32" s="4"/>
      <c r="C32" s="1" t="s">
        <v>92</v>
      </c>
      <c r="D32" s="1" t="s">
        <v>127</v>
      </c>
      <c r="E32" s="3"/>
      <c r="F32" s="3"/>
      <c r="G32" s="24"/>
      <c r="H32" s="24"/>
      <c r="J32" s="1" t="s">
        <v>135</v>
      </c>
      <c r="K32" s="4"/>
      <c r="L32" s="4"/>
      <c r="M32" s="4"/>
      <c r="N32" s="4"/>
      <c r="O32" s="4"/>
      <c r="P32" s="33"/>
      <c r="Q32" s="25">
        <v>39</v>
      </c>
      <c r="R32" s="25">
        <v>0</v>
      </c>
      <c r="S32" s="12">
        <f t="shared" si="0"/>
        <v>0</v>
      </c>
      <c r="T32" s="5">
        <v>0.2</v>
      </c>
      <c r="U32" s="12">
        <f t="shared" si="6"/>
        <v>0</v>
      </c>
      <c r="V32" s="25" t="s">
        <v>10</v>
      </c>
      <c r="W32" s="11">
        <f>IFERROR(VLOOKUP(V32,Curr!$B$2:$C$13,2,FALSE),0)</f>
        <v>11</v>
      </c>
      <c r="X32" s="12">
        <f t="shared" si="1"/>
        <v>0</v>
      </c>
      <c r="Y32" s="26">
        <f t="shared" si="7"/>
        <v>39</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33"/>
      <c r="Q33" s="25"/>
      <c r="R33" s="25"/>
      <c r="S33" s="12">
        <f t="shared" si="0"/>
        <v>0</v>
      </c>
      <c r="T33" s="5">
        <v>0</v>
      </c>
      <c r="U33" s="12">
        <f t="shared" si="6"/>
        <v>0</v>
      </c>
      <c r="V33" s="25" t="s">
        <v>10</v>
      </c>
      <c r="W33" s="11">
        <f>IFERROR(VLOOKUP(V33,Curr!$B$2:$C$13,2,FALSE),0)</f>
        <v>11</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27"/>
      <c r="Q34" s="25"/>
      <c r="R34" s="25"/>
      <c r="S34" s="12">
        <f t="shared" si="0"/>
        <v>0</v>
      </c>
      <c r="T34" s="5">
        <v>0</v>
      </c>
      <c r="U34" s="12">
        <f t="shared" si="6"/>
        <v>0</v>
      </c>
      <c r="V34" s="25" t="s">
        <v>10</v>
      </c>
      <c r="W34" s="11">
        <f>IFERROR(VLOOKUP(V34,Curr!$B$2:$C$13,2,FALSE),0)</f>
        <v>11</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229</v>
      </c>
      <c r="E35" s="3"/>
      <c r="F35" s="3"/>
      <c r="G35" s="24"/>
      <c r="H35" s="24"/>
      <c r="J35" s="1" t="s">
        <v>260</v>
      </c>
      <c r="K35" s="4"/>
      <c r="L35" s="4"/>
      <c r="M35" s="4"/>
      <c r="N35" s="4"/>
      <c r="O35" s="4"/>
      <c r="P35" s="33" t="s">
        <v>259</v>
      </c>
      <c r="Q35" s="25">
        <v>35</v>
      </c>
      <c r="R35" s="25">
        <v>0</v>
      </c>
      <c r="S35" s="12">
        <f t="shared" si="0"/>
        <v>0</v>
      </c>
      <c r="T35" s="5">
        <v>0.2</v>
      </c>
      <c r="U35" s="12">
        <f t="shared" si="6"/>
        <v>0</v>
      </c>
      <c r="V35" s="25" t="s">
        <v>10</v>
      </c>
      <c r="W35" s="11">
        <f>IFERROR(VLOOKUP(V35,Curr!$B$2:$C$13,2,FALSE),0)</f>
        <v>11</v>
      </c>
      <c r="X35" s="12">
        <f t="shared" si="1"/>
        <v>0</v>
      </c>
      <c r="Y35" s="26">
        <f t="shared" si="7"/>
        <v>35</v>
      </c>
      <c r="Z35" s="12">
        <f t="shared" si="2"/>
        <v>0</v>
      </c>
      <c r="AA35" s="4" t="s">
        <v>10</v>
      </c>
      <c r="AB35" s="11">
        <f>IFERROR(VLOOKUP(AA35,Curr!$B$2:$C$13,2,FALSE),0)</f>
        <v>11</v>
      </c>
      <c r="AC35" s="12">
        <f t="shared" si="3"/>
        <v>0</v>
      </c>
      <c r="AD35" s="12">
        <f t="shared" si="4"/>
        <v>0</v>
      </c>
      <c r="AE35" s="13">
        <f t="shared" si="5"/>
        <v>0</v>
      </c>
    </row>
    <row r="36" spans="2:31" x14ac:dyDescent="0.25">
      <c r="B36" s="4"/>
      <c r="C36" s="1" t="s">
        <v>55</v>
      </c>
      <c r="D36" s="1" t="s">
        <v>229</v>
      </c>
      <c r="E36" s="3"/>
      <c r="F36" s="3"/>
      <c r="G36" s="24"/>
      <c r="H36" s="24"/>
      <c r="J36" s="1" t="s">
        <v>261</v>
      </c>
      <c r="K36" s="4"/>
      <c r="L36" s="4"/>
      <c r="M36" s="4"/>
      <c r="N36" s="4"/>
      <c r="O36" s="4"/>
      <c r="P36" s="33" t="s">
        <v>262</v>
      </c>
      <c r="Q36" s="25">
        <v>109</v>
      </c>
      <c r="R36" s="25">
        <v>0</v>
      </c>
      <c r="S36" s="12">
        <f t="shared" si="0"/>
        <v>0</v>
      </c>
      <c r="T36" s="5">
        <v>0.2</v>
      </c>
      <c r="U36" s="12">
        <f t="shared" si="6"/>
        <v>0</v>
      </c>
      <c r="V36" s="25" t="s">
        <v>10</v>
      </c>
      <c r="W36" s="11">
        <f>IFERROR(VLOOKUP(V36,Curr!$B$2:$C$13,2,FALSE),0)</f>
        <v>11</v>
      </c>
      <c r="X36" s="12">
        <f t="shared" si="1"/>
        <v>0</v>
      </c>
      <c r="Y36" s="26">
        <f t="shared" si="7"/>
        <v>109</v>
      </c>
      <c r="Z36" s="12">
        <f t="shared" si="2"/>
        <v>0</v>
      </c>
      <c r="AA36" s="4" t="s">
        <v>10</v>
      </c>
      <c r="AB36" s="11">
        <f>IFERROR(VLOOKUP(AA36,Curr!$B$2:$C$13,2,FALSE),0)</f>
        <v>11</v>
      </c>
      <c r="AC36" s="12">
        <f t="shared" si="3"/>
        <v>0</v>
      </c>
      <c r="AD36" s="12">
        <f t="shared" si="4"/>
        <v>0</v>
      </c>
      <c r="AE36" s="13">
        <f t="shared" si="5"/>
        <v>0</v>
      </c>
    </row>
    <row r="37" spans="2:31" x14ac:dyDescent="0.25">
      <c r="B37" s="4"/>
      <c r="C37" s="1" t="s">
        <v>77</v>
      </c>
      <c r="D37" s="1" t="s">
        <v>229</v>
      </c>
      <c r="E37" s="3"/>
      <c r="F37" s="3"/>
      <c r="G37" s="24"/>
      <c r="H37" s="24"/>
      <c r="J37" s="1" t="s">
        <v>263</v>
      </c>
      <c r="K37" s="4"/>
      <c r="L37" s="4"/>
      <c r="M37" s="4"/>
      <c r="N37" s="4"/>
      <c r="O37" s="4"/>
      <c r="P37" s="33" t="s">
        <v>264</v>
      </c>
      <c r="Q37" s="25">
        <v>185</v>
      </c>
      <c r="R37" s="25">
        <v>0</v>
      </c>
      <c r="S37" s="12">
        <f t="shared" si="0"/>
        <v>0</v>
      </c>
      <c r="T37" s="5">
        <v>0.2</v>
      </c>
      <c r="U37" s="12">
        <f t="shared" si="6"/>
        <v>0</v>
      </c>
      <c r="V37" s="25" t="s">
        <v>10</v>
      </c>
      <c r="W37" s="11">
        <f>IFERROR(VLOOKUP(V37,Curr!$B$2:$C$13,2,FALSE),0)</f>
        <v>11</v>
      </c>
      <c r="X37" s="12">
        <f t="shared" si="1"/>
        <v>0</v>
      </c>
      <c r="Y37" s="26">
        <f t="shared" si="7"/>
        <v>185</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c r="R38" s="25"/>
      <c r="S38" s="12">
        <f t="shared" si="0"/>
        <v>0</v>
      </c>
      <c r="T38" s="5">
        <v>0</v>
      </c>
      <c r="U38" s="12">
        <f t="shared" si="6"/>
        <v>0</v>
      </c>
      <c r="V38" s="25" t="s">
        <v>10</v>
      </c>
      <c r="W38" s="11">
        <f>IFERROR(VLOOKUP(V38,Curr!$B$2:$C$13,2,FALSE),0)</f>
        <v>11</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c r="R39" s="25"/>
      <c r="S39" s="12">
        <f t="shared" ref="S39:S50" si="8">+Q39*R39</f>
        <v>0</v>
      </c>
      <c r="T39" s="5">
        <v>0</v>
      </c>
      <c r="U39" s="12">
        <f t="shared" ref="U39:U50" si="9">S39*(1-T39)</f>
        <v>0</v>
      </c>
      <c r="V39" s="25" t="s">
        <v>10</v>
      </c>
      <c r="W39" s="11">
        <f>IFERROR(VLOOKUP(V39,Curr!$B$2:$C$13,2,FALSE),0)</f>
        <v>11</v>
      </c>
      <c r="X39" s="12">
        <f t="shared" ref="X39:X50" si="10">U39*W39</f>
        <v>0</v>
      </c>
      <c r="Y39" s="26">
        <f t="shared" ref="Y39:Y50" si="11">Q39</f>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c r="R41" s="25"/>
      <c r="S41" s="12">
        <f t="shared" si="8"/>
        <v>0</v>
      </c>
      <c r="T41" s="5">
        <v>0</v>
      </c>
      <c r="U41" s="12">
        <f t="shared" si="9"/>
        <v>0</v>
      </c>
      <c r="V41" s="25" t="s">
        <v>10</v>
      </c>
      <c r="W41" s="11">
        <f>IFERROR(VLOOKUP(V41,Curr!$B$2:$C$13,2,FALSE),0)</f>
        <v>11</v>
      </c>
      <c r="X41" s="12">
        <f t="shared" si="10"/>
        <v>0</v>
      </c>
      <c r="Y41" s="26">
        <f t="shared" si="11"/>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x14ac:dyDescent="0.25">
      <c r="B51" s="4"/>
      <c r="E51" s="3"/>
      <c r="F51" s="3"/>
      <c r="G51" s="3"/>
      <c r="H51" s="3"/>
      <c r="L51" s="4"/>
      <c r="M51" s="4"/>
      <c r="N51" s="4"/>
      <c r="O51" s="4"/>
      <c r="P51" s="22"/>
      <c r="Q51" s="4"/>
      <c r="R51" s="4"/>
      <c r="S51" s="4"/>
      <c r="T51" s="4"/>
      <c r="U51" s="4"/>
      <c r="V51" s="4"/>
      <c r="W51" s="4"/>
      <c r="X51" s="4"/>
      <c r="Y51" s="4"/>
      <c r="Z51" s="4"/>
      <c r="AA51" s="4"/>
      <c r="AB51" s="4"/>
      <c r="AC51" s="4"/>
      <c r="AD51" s="4"/>
      <c r="AE51" s="4"/>
      <c r="AF51" s="4"/>
    </row>
    <row r="52" spans="2:36" x14ac:dyDescent="0.25">
      <c r="B52" s="14" t="s">
        <v>18</v>
      </c>
      <c r="C52" s="14"/>
      <c r="D52" s="28" t="s">
        <v>42</v>
      </c>
      <c r="E52" s="30" t="s">
        <v>42</v>
      </c>
      <c r="F52" s="30" t="s">
        <v>42</v>
      </c>
      <c r="G52" s="30" t="s">
        <v>42</v>
      </c>
      <c r="H52" s="30" t="s">
        <v>42</v>
      </c>
      <c r="I52" s="28" t="s">
        <v>42</v>
      </c>
      <c r="J52" s="28" t="s">
        <v>42</v>
      </c>
      <c r="K52" s="28" t="s">
        <v>42</v>
      </c>
      <c r="L52" s="28" t="s">
        <v>42</v>
      </c>
      <c r="M52" s="28" t="s">
        <v>42</v>
      </c>
      <c r="N52" s="28" t="s">
        <v>42</v>
      </c>
      <c r="O52" s="28" t="s">
        <v>42</v>
      </c>
      <c r="P52" s="28" t="s">
        <v>42</v>
      </c>
      <c r="Q52" s="31" t="s">
        <v>42</v>
      </c>
      <c r="R52" s="28" t="s">
        <v>42</v>
      </c>
      <c r="S52" s="32" t="s">
        <v>42</v>
      </c>
      <c r="T52" s="28" t="s">
        <v>42</v>
      </c>
      <c r="U52" s="32" t="s">
        <v>42</v>
      </c>
      <c r="V52" s="28" t="s">
        <v>42</v>
      </c>
      <c r="W52" s="28" t="s">
        <v>42</v>
      </c>
      <c r="X52" s="32" t="s">
        <v>42</v>
      </c>
      <c r="Y52" s="32" t="s">
        <v>42</v>
      </c>
      <c r="Z52" s="15">
        <f>SUM(Z7:Z50)</f>
        <v>2108.8235294117649</v>
      </c>
      <c r="AA52" s="14"/>
      <c r="AB52" s="14"/>
      <c r="AC52" s="15">
        <f>SUM(AC7:AC50)</f>
        <v>23197.058823529413</v>
      </c>
      <c r="AD52" s="15">
        <f>SUM(AD7:AD50)</f>
        <v>4413.4588235294104</v>
      </c>
      <c r="AE52" s="21">
        <f t="shared" ref="AE52" si="12">IFERROR(AD52/AC52,0)</f>
        <v>0.19025941422594136</v>
      </c>
      <c r="AF52" s="15">
        <f>SUM(AF8:AF51)</f>
        <v>0</v>
      </c>
      <c r="AG52" s="15">
        <f>SUM(AG8:AG51)</f>
        <v>0</v>
      </c>
      <c r="AH52" s="15">
        <f>SUM(AH8:AH51)</f>
        <v>0</v>
      </c>
      <c r="AI52" s="15">
        <f>SUM(AI8:AI51)</f>
        <v>0</v>
      </c>
      <c r="AJ52" s="15">
        <f>SUM(AJ8:AJ51)</f>
        <v>0</v>
      </c>
    </row>
    <row r="53" spans="2:36" x14ac:dyDescent="0.25">
      <c r="B53" s="4"/>
      <c r="E53" s="3"/>
      <c r="F53" s="3"/>
      <c r="G53" s="3"/>
      <c r="H53" s="3"/>
      <c r="L53" s="4"/>
      <c r="M53" s="4"/>
      <c r="N53" s="4"/>
      <c r="O53" s="4"/>
      <c r="Q53" s="4"/>
      <c r="R53" s="4"/>
      <c r="S53" s="4"/>
      <c r="T53" s="4"/>
      <c r="U53" s="4"/>
      <c r="V53" s="4"/>
      <c r="W53" s="4"/>
      <c r="X53" s="4"/>
      <c r="Y53" s="9"/>
      <c r="Z53" s="9"/>
      <c r="AA53" s="9"/>
      <c r="AB53" s="9"/>
      <c r="AC53" s="9"/>
      <c r="AD53" s="9"/>
      <c r="AE53" s="9"/>
    </row>
    <row r="54" spans="2:36" x14ac:dyDescent="0.25">
      <c r="B54" s="4"/>
      <c r="E54" s="3"/>
      <c r="F54" s="3"/>
      <c r="G54" s="3"/>
      <c r="H54" s="3"/>
      <c r="L54" s="4"/>
      <c r="M54" s="4"/>
      <c r="N54" s="4"/>
      <c r="O54" s="4"/>
      <c r="Q54" s="9"/>
      <c r="R54" s="9"/>
      <c r="S54" s="9"/>
      <c r="T54" s="9"/>
      <c r="U54" s="9"/>
      <c r="V54" s="9"/>
      <c r="W54" s="9"/>
      <c r="X54" s="23"/>
      <c r="Y54" s="34" t="s">
        <v>234</v>
      </c>
      <c r="Z54" s="34">
        <f>Z12+Z14+Z16+Z19+Z22</f>
        <v>1050</v>
      </c>
      <c r="AA54" s="9"/>
      <c r="AB54" s="9"/>
      <c r="AC54" s="9"/>
      <c r="AD54" s="9"/>
      <c r="AE54" s="9"/>
    </row>
    <row r="55" spans="2:36" x14ac:dyDescent="0.25">
      <c r="B55" s="4"/>
      <c r="E55" s="3"/>
      <c r="F55" s="3"/>
      <c r="G55" s="3"/>
      <c r="H55" s="3"/>
      <c r="L55" s="4"/>
      <c r="M55" s="4"/>
      <c r="N55" s="4"/>
      <c r="O55" s="4"/>
      <c r="Q55" s="9"/>
      <c r="R55" s="9"/>
      <c r="S55" s="9"/>
      <c r="T55" s="9"/>
      <c r="U55" s="9"/>
      <c r="V55" s="9"/>
      <c r="W55" s="9"/>
      <c r="X55" s="9"/>
      <c r="Y55" s="35" t="s">
        <v>235</v>
      </c>
      <c r="Z55" s="34">
        <f>Z9</f>
        <v>1058.8235294117646</v>
      </c>
      <c r="AA55" s="9"/>
      <c r="AB55" s="9"/>
      <c r="AC55" s="9"/>
      <c r="AD55" s="9"/>
      <c r="AE55" s="9"/>
      <c r="AF55" s="18"/>
    </row>
    <row r="56" spans="2:36" x14ac:dyDescent="0.25">
      <c r="B56" s="4"/>
      <c r="E56" s="3"/>
      <c r="F56" s="3"/>
      <c r="G56" s="3"/>
      <c r="H56" s="3"/>
      <c r="I56" s="19"/>
      <c r="L56" s="4"/>
      <c r="M56" s="4"/>
      <c r="N56" s="4"/>
      <c r="O56" s="20"/>
      <c r="Q56" s="20"/>
      <c r="R56" s="20"/>
      <c r="S56" s="20"/>
      <c r="T56" s="20"/>
      <c r="U56" s="20"/>
      <c r="V56" s="20"/>
      <c r="W56" s="20"/>
      <c r="X56" s="20"/>
      <c r="Y56" s="34" t="s">
        <v>236</v>
      </c>
      <c r="Z56" s="34">
        <v>2120</v>
      </c>
      <c r="AA56" s="9">
        <f>Z56*0.88</f>
        <v>1865.6</v>
      </c>
      <c r="AB56" s="9"/>
      <c r="AC56" s="9"/>
      <c r="AD56" s="9"/>
      <c r="AE56" s="9"/>
      <c r="AF56" s="18"/>
    </row>
    <row r="57" spans="2:36" x14ac:dyDescent="0.25">
      <c r="B57" s="4"/>
      <c r="E57" s="3"/>
      <c r="F57" s="3"/>
      <c r="G57" s="3"/>
      <c r="H57" s="3"/>
      <c r="L57" s="4"/>
      <c r="M57" s="4"/>
      <c r="N57" s="4"/>
      <c r="O57" s="20"/>
      <c r="Q57" s="20"/>
      <c r="R57" s="20"/>
      <c r="S57" s="20"/>
      <c r="T57" s="20"/>
      <c r="U57" s="20"/>
      <c r="V57" s="20"/>
      <c r="W57" s="20"/>
      <c r="X57" s="20"/>
      <c r="Y57" s="34" t="s">
        <v>45</v>
      </c>
      <c r="Z57" s="34">
        <f>Z56/2</f>
        <v>1060</v>
      </c>
      <c r="AA57" s="9"/>
      <c r="AB57" s="9"/>
      <c r="AC57" s="9"/>
      <c r="AD57" s="9"/>
      <c r="AE57" s="9"/>
      <c r="AF57" s="18"/>
    </row>
    <row r="58" spans="2:36" x14ac:dyDescent="0.25">
      <c r="B58" s="4"/>
      <c r="E58" s="3"/>
      <c r="F58" s="3"/>
      <c r="G58" s="3"/>
      <c r="H58" s="3"/>
      <c r="L58" s="4"/>
      <c r="M58" s="4"/>
      <c r="N58" s="4"/>
      <c r="O58" s="4"/>
      <c r="Q58" s="9"/>
      <c r="R58" s="9"/>
      <c r="S58" s="9"/>
      <c r="T58" s="9"/>
      <c r="U58" s="9"/>
      <c r="V58" s="9"/>
      <c r="W58" s="9"/>
      <c r="X58" s="9"/>
      <c r="Y58" s="1"/>
      <c r="Z58" s="1"/>
      <c r="AA58" s="9"/>
      <c r="AB58" s="9"/>
      <c r="AC58" s="9"/>
      <c r="AD58" s="9"/>
      <c r="AE58" s="9"/>
      <c r="AF58" s="18"/>
    </row>
    <row r="59" spans="2:36" x14ac:dyDescent="0.25">
      <c r="F59" s="1"/>
      <c r="G59" s="1"/>
      <c r="H59" s="1"/>
      <c r="J59" s="1" t="s">
        <v>32</v>
      </c>
      <c r="Q59" s="9"/>
      <c r="R59" s="4"/>
      <c r="S59" s="9"/>
      <c r="T59" s="5"/>
      <c r="U59" s="9"/>
      <c r="V59" s="4"/>
      <c r="W59" s="4"/>
      <c r="X59" s="9"/>
      <c r="Y59" s="9" t="s">
        <v>46</v>
      </c>
      <c r="Z59" s="9">
        <f>Z56-Z60</f>
        <v>2120</v>
      </c>
      <c r="AA59" s="9"/>
      <c r="AB59" s="9"/>
      <c r="AC59" s="9"/>
      <c r="AD59" s="9"/>
      <c r="AE59" s="9"/>
    </row>
    <row r="60" spans="2:36" x14ac:dyDescent="0.25">
      <c r="R60" s="4"/>
      <c r="S60" s="17"/>
      <c r="T60" s="17"/>
      <c r="U60" s="9"/>
      <c r="V60" s="4"/>
      <c r="W60" s="4"/>
      <c r="X60" s="9"/>
      <c r="Y60" s="9" t="s">
        <v>47</v>
      </c>
      <c r="Z60" s="9">
        <v>0</v>
      </c>
      <c r="AA60" s="9"/>
      <c r="AB60" s="9"/>
      <c r="AC60" s="9"/>
      <c r="AD60" s="9"/>
      <c r="AE60" s="9"/>
    </row>
    <row r="61" spans="2:36" x14ac:dyDescent="0.25">
      <c r="Q61" s="9"/>
      <c r="R61" s="4"/>
      <c r="S61" s="16"/>
      <c r="T61" s="16"/>
      <c r="U61" s="9"/>
      <c r="V61" s="4"/>
      <c r="W61" s="4"/>
      <c r="X61" s="9"/>
      <c r="Y61" s="9"/>
      <c r="Z61" s="9"/>
      <c r="AA61" s="9"/>
      <c r="AB61" s="9"/>
      <c r="AC61" s="9"/>
      <c r="AD61" s="9"/>
      <c r="AE61" s="9"/>
    </row>
    <row r="62" spans="2:36" x14ac:dyDescent="0.25">
      <c r="R62" s="4"/>
      <c r="S62" s="16"/>
      <c r="T62" s="16"/>
      <c r="Y62" s="9" t="s">
        <v>48</v>
      </c>
      <c r="Z62" s="9">
        <f>Z56*0.3</f>
        <v>636</v>
      </c>
      <c r="AA62" s="9"/>
      <c r="AB62" s="9"/>
      <c r="AC62" s="9"/>
      <c r="AD62" s="9"/>
      <c r="AE62" s="9"/>
    </row>
    <row r="63" spans="2:36" x14ac:dyDescent="0.25">
      <c r="T63" s="5"/>
      <c r="Y63" s="9" t="s">
        <v>49</v>
      </c>
      <c r="Z63" s="9">
        <f>Z56-Z62</f>
        <v>1484</v>
      </c>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c r="Y70" s="9"/>
      <c r="Z70" s="9"/>
      <c r="AA70" s="9"/>
      <c r="AB70" s="9"/>
      <c r="AC70" s="9"/>
      <c r="AD70" s="9"/>
      <c r="AE70" s="9"/>
    </row>
    <row r="71" spans="20:31" x14ac:dyDescent="0.25">
      <c r="T71" s="5"/>
    </row>
    <row r="72" spans="20:31" x14ac:dyDescent="0.25">
      <c r="T72" s="5"/>
    </row>
    <row r="73" spans="20:31" x14ac:dyDescent="0.25">
      <c r="T73" s="5"/>
    </row>
    <row r="74" spans="20:31" x14ac:dyDescent="0.25">
      <c r="T74" s="5"/>
    </row>
    <row r="75" spans="20:31" x14ac:dyDescent="0.25">
      <c r="T75" s="5"/>
    </row>
  </sheetData>
  <autoFilter ref="B6:AE52" xr:uid="{65FA6D9B-E0AF-46CD-BA0D-86BB75FE6AB0}"/>
  <hyperlinks>
    <hyperlink ref="P12" r:id="rId1" xr:uid="{9E246A82-9FAA-4503-8E1D-173268CC38E6}"/>
    <hyperlink ref="P14" r:id="rId2" xr:uid="{47C1B4A8-B906-48C2-AD02-E6FF7CCDBAFE}"/>
    <hyperlink ref="P16" r:id="rId3" xr:uid="{EF3C93D7-1D30-4AF4-82FF-F6ECDBC7857D}"/>
    <hyperlink ref="P19" r:id="rId4" xr:uid="{35865604-52AD-429B-BC80-9E935A495B23}"/>
    <hyperlink ref="P22" r:id="rId5" xr:uid="{E1AFF84E-00A0-4DA4-8AF2-EA8395EE5F10}"/>
    <hyperlink ref="P35" r:id="rId6" xr:uid="{D47FB30C-E5A1-449A-AF4E-13BAD9D10FEF}"/>
    <hyperlink ref="P36" r:id="rId7" xr:uid="{6BAC6545-E68C-49C4-A64B-0859215996E0}"/>
    <hyperlink ref="P37" r:id="rId8" xr:uid="{A19D87CC-FA8A-4B0D-A95C-6367B6A72E3C}"/>
  </hyperlinks>
  <pageMargins left="0.7" right="0.7" top="0.75" bottom="0.75" header="0.3" footer="0.3"/>
  <pageSetup paperSize="9" orientation="portrait" r:id="rId9"/>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F6307-BDCA-4AE6-9A85-16A3F1D36868}">
  <sheetPr>
    <tabColor rgb="FFFFFF00"/>
  </sheetPr>
  <dimension ref="B2:AK78"/>
  <sheetViews>
    <sheetView zoomScale="80" zoomScaleNormal="80" workbookViewId="0">
      <selection activeCell="J48" sqref="J48"/>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41" si="0">+Q7*R7</f>
        <v>0</v>
      </c>
      <c r="T7" s="5">
        <v>0</v>
      </c>
      <c r="U7" s="12">
        <f>S7*(1-T7)</f>
        <v>0</v>
      </c>
      <c r="V7" s="25" t="s">
        <v>10</v>
      </c>
      <c r="W7" s="11">
        <f>IFERROR(VLOOKUP(V7,Curr!$B$2:$C$13,2,FALSE),0)</f>
        <v>11</v>
      </c>
      <c r="X7" s="12">
        <f t="shared" ref="X7:X41" si="1">U7*W7</f>
        <v>0</v>
      </c>
      <c r="Y7" s="26">
        <f>Q7</f>
        <v>0</v>
      </c>
      <c r="Z7" s="12">
        <f t="shared" ref="Z7:Z53" si="2">+Y7*R7</f>
        <v>0</v>
      </c>
      <c r="AA7" s="4" t="s">
        <v>10</v>
      </c>
      <c r="AB7" s="11">
        <f>IFERROR(VLOOKUP(AA7,Curr!$B$2:$C$13,2,FALSE),0)</f>
        <v>11</v>
      </c>
      <c r="AC7" s="12">
        <f t="shared" ref="AC7:AC53" si="3">+Y7*AB7*R7</f>
        <v>0</v>
      </c>
      <c r="AD7" s="12">
        <f t="shared" ref="AD7:AD53" si="4">+AC7-X7</f>
        <v>0</v>
      </c>
      <c r="AE7" s="13">
        <f t="shared" ref="AE7:AE53"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41" si="6">S8*(1-T8)</f>
        <v>0</v>
      </c>
      <c r="V8" s="25" t="s">
        <v>10</v>
      </c>
      <c r="W8" s="11">
        <f>IFERROR(VLOOKUP(V8,Curr!$B$2:$C$13,2,FALSE),0)</f>
        <v>11</v>
      </c>
      <c r="X8" s="12">
        <f t="shared" si="1"/>
        <v>0</v>
      </c>
      <c r="Y8" s="26">
        <f t="shared" ref="Y8:Y41"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232</v>
      </c>
      <c r="K9" s="4"/>
      <c r="L9" s="4"/>
      <c r="M9" s="4"/>
      <c r="N9" s="4"/>
      <c r="O9" s="4"/>
      <c r="P9" s="33" t="s">
        <v>230</v>
      </c>
      <c r="Q9" s="25">
        <v>1100</v>
      </c>
      <c r="R9" s="25">
        <v>1</v>
      </c>
      <c r="S9" s="12">
        <f t="shared" si="0"/>
        <v>1100</v>
      </c>
      <c r="T9" s="5">
        <v>0</v>
      </c>
      <c r="U9" s="12">
        <f t="shared" si="6"/>
        <v>1100</v>
      </c>
      <c r="V9" s="25" t="s">
        <v>10</v>
      </c>
      <c r="W9" s="11">
        <f>IFERROR(VLOOKUP(V9,Curr!$B$2:$C$13,2,FALSE),0)</f>
        <v>11</v>
      </c>
      <c r="X9" s="12">
        <f t="shared" si="1"/>
        <v>12100</v>
      </c>
      <c r="Y9" s="26">
        <f>Q9/0.85</f>
        <v>1294.1176470588236</v>
      </c>
      <c r="Z9" s="12">
        <f t="shared" si="2"/>
        <v>1294.1176470588236</v>
      </c>
      <c r="AA9" s="4" t="s">
        <v>10</v>
      </c>
      <c r="AB9" s="11">
        <f>IFERROR(VLOOKUP(AA9,Curr!$B$2:$C$13,2,FALSE),0)</f>
        <v>11</v>
      </c>
      <c r="AC9" s="12">
        <f t="shared" si="3"/>
        <v>14235.294117647059</v>
      </c>
      <c r="AD9" s="12">
        <f t="shared" si="4"/>
        <v>2135.2941176470595</v>
      </c>
      <c r="AE9" s="13">
        <f t="shared" si="5"/>
        <v>0.15000000000000005</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225</v>
      </c>
      <c r="K22" s="4"/>
      <c r="L22" s="4"/>
      <c r="M22" s="4"/>
      <c r="N22" s="4"/>
      <c r="O22" s="4"/>
      <c r="P22" s="33" t="s">
        <v>226</v>
      </c>
      <c r="Q22" s="25">
        <v>120</v>
      </c>
      <c r="R22" s="25">
        <v>2</v>
      </c>
      <c r="S22" s="12">
        <f t="shared" si="0"/>
        <v>240</v>
      </c>
      <c r="T22" s="5">
        <v>0.25</v>
      </c>
      <c r="U22" s="12">
        <f t="shared" si="6"/>
        <v>180</v>
      </c>
      <c r="V22" s="25" t="s">
        <v>10</v>
      </c>
      <c r="W22" s="11">
        <f>IFERROR(VLOOKUP(V22,Curr!$B$2:$C$13,2,FALSE),0)</f>
        <v>11</v>
      </c>
      <c r="X22" s="12">
        <f t="shared" si="1"/>
        <v>1980</v>
      </c>
      <c r="Y22" s="26">
        <f t="shared" si="7"/>
        <v>120</v>
      </c>
      <c r="Z22" s="12">
        <f t="shared" si="2"/>
        <v>240</v>
      </c>
      <c r="AA22" s="4" t="s">
        <v>10</v>
      </c>
      <c r="AB22" s="11">
        <f>IFERROR(VLOOKUP(AA22,Curr!$B$2:$C$13,2,FALSE),0)</f>
        <v>11</v>
      </c>
      <c r="AC22" s="12">
        <f t="shared" si="3"/>
        <v>2640</v>
      </c>
      <c r="AD22" s="12">
        <f t="shared" si="4"/>
        <v>660</v>
      </c>
      <c r="AE22" s="13">
        <f t="shared" si="5"/>
        <v>0.25</v>
      </c>
    </row>
    <row r="23" spans="2:31" x14ac:dyDescent="0.25">
      <c r="B23" s="4"/>
      <c r="C23" s="1" t="s">
        <v>77</v>
      </c>
      <c r="D23" s="1" t="s">
        <v>60</v>
      </c>
      <c r="E23" s="3"/>
      <c r="F23" s="3"/>
      <c r="G23" s="24"/>
      <c r="H23" s="24"/>
      <c r="J23" s="1" t="s">
        <v>136</v>
      </c>
      <c r="K23" s="4"/>
      <c r="L23" s="4"/>
      <c r="M23" s="4"/>
      <c r="N23" s="4"/>
      <c r="O23" s="4"/>
      <c r="P23" s="27"/>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IFERROR(VLOOKUP(V24,Curr!$B$2:$C$13,2,FALSE),0)</f>
        <v>11</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82</v>
      </c>
      <c r="E25" s="3"/>
      <c r="F25" s="3"/>
      <c r="G25" s="24"/>
      <c r="H25" s="24"/>
      <c r="J25" s="1" t="s">
        <v>137</v>
      </c>
      <c r="K25" s="4"/>
      <c r="L25" s="4"/>
      <c r="M25" s="4"/>
      <c r="N25" s="4"/>
      <c r="O25" s="4"/>
      <c r="P25" s="33" t="s">
        <v>182</v>
      </c>
      <c r="Q25" s="25">
        <v>163</v>
      </c>
      <c r="R25" s="25">
        <v>2</v>
      </c>
      <c r="S25" s="12">
        <f t="shared" si="0"/>
        <v>326</v>
      </c>
      <c r="T25" s="5">
        <v>0.2</v>
      </c>
      <c r="U25" s="12">
        <f t="shared" si="6"/>
        <v>260.8</v>
      </c>
      <c r="V25" s="25" t="s">
        <v>10</v>
      </c>
      <c r="W25" s="11">
        <f>IFERROR(VLOOKUP(V25,Curr!$B$2:$C$13,2,FALSE),0)</f>
        <v>11</v>
      </c>
      <c r="X25" s="12">
        <f t="shared" si="1"/>
        <v>2868.8</v>
      </c>
      <c r="Y25" s="26">
        <f t="shared" si="7"/>
        <v>163</v>
      </c>
      <c r="Z25" s="12">
        <f t="shared" si="2"/>
        <v>326</v>
      </c>
      <c r="AA25" s="4" t="s">
        <v>10</v>
      </c>
      <c r="AB25" s="11">
        <f>IFERROR(VLOOKUP(AA25,Curr!$B$2:$C$13,2,FALSE),0)</f>
        <v>11</v>
      </c>
      <c r="AC25" s="12">
        <f t="shared" si="3"/>
        <v>3586</v>
      </c>
      <c r="AD25" s="12">
        <f t="shared" si="4"/>
        <v>717.19999999999982</v>
      </c>
      <c r="AE25" s="13">
        <f t="shared" si="5"/>
        <v>0.19999999999999996</v>
      </c>
    </row>
    <row r="26" spans="2:31" x14ac:dyDescent="0.25">
      <c r="B26" s="4"/>
      <c r="C26" s="1" t="s">
        <v>92</v>
      </c>
      <c r="D26" s="1" t="s">
        <v>60</v>
      </c>
      <c r="E26" s="3"/>
      <c r="F26" s="3"/>
      <c r="G26" s="24"/>
      <c r="H26" s="24"/>
      <c r="J26" s="1" t="s">
        <v>136</v>
      </c>
      <c r="K26" s="4"/>
      <c r="L26" s="4"/>
      <c r="M26" s="4"/>
      <c r="N26" s="4"/>
      <c r="O26" s="4"/>
      <c r="P26" s="33"/>
      <c r="Q26" s="25">
        <v>0</v>
      </c>
      <c r="R26" s="25">
        <v>0</v>
      </c>
      <c r="S26" s="12">
        <f t="shared" si="0"/>
        <v>0</v>
      </c>
      <c r="T26" s="5">
        <v>0</v>
      </c>
      <c r="U26" s="12">
        <f t="shared" si="6"/>
        <v>0</v>
      </c>
      <c r="V26" s="25" t="s">
        <v>10</v>
      </c>
      <c r="W26" s="11">
        <f>IFERROR(VLOOKUP(V26,Curr!$B$2:$C$13,2,FALSE),0)</f>
        <v>11</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33"/>
      <c r="Q27" s="25"/>
      <c r="R27" s="25"/>
      <c r="S27" s="12">
        <f t="shared" si="0"/>
        <v>0</v>
      </c>
      <c r="T27" s="5">
        <v>0</v>
      </c>
      <c r="U27" s="12">
        <f t="shared" si="6"/>
        <v>0</v>
      </c>
      <c r="V27" s="25" t="s">
        <v>10</v>
      </c>
      <c r="W27" s="11">
        <f>IFERROR(VLOOKUP(V27,Curr!$B$2:$C$13,2,FALSE),0)</f>
        <v>11</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C28" s="1" t="s">
        <v>94</v>
      </c>
      <c r="D28" s="1" t="s">
        <v>117</v>
      </c>
      <c r="E28" s="3"/>
      <c r="F28" s="3"/>
      <c r="G28" s="24"/>
      <c r="H28" s="24"/>
      <c r="J28" s="1" t="s">
        <v>133</v>
      </c>
      <c r="K28" s="4"/>
      <c r="L28" s="4"/>
      <c r="M28" s="4"/>
      <c r="N28" s="4"/>
      <c r="O28" s="4"/>
      <c r="P28" s="27"/>
      <c r="Q28" s="25">
        <v>0</v>
      </c>
      <c r="R28" s="25">
        <v>0</v>
      </c>
      <c r="S28" s="12">
        <f t="shared" si="0"/>
        <v>0</v>
      </c>
      <c r="T28" s="5">
        <v>0</v>
      </c>
      <c r="U28" s="12">
        <f t="shared" si="6"/>
        <v>0</v>
      </c>
      <c r="V28" s="25" t="s">
        <v>10</v>
      </c>
      <c r="W28" s="11">
        <f>IFERROR(VLOOKUP(V28,Curr!$B$2:$C$13,2,FALSE),0)</f>
        <v>11</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C29" s="1" t="s">
        <v>94</v>
      </c>
      <c r="D29" s="1" t="s">
        <v>78</v>
      </c>
      <c r="E29" s="3"/>
      <c r="F29" s="3"/>
      <c r="G29" s="24"/>
      <c r="H29" s="24"/>
      <c r="J29" s="1" t="s">
        <v>81</v>
      </c>
      <c r="K29" s="4"/>
      <c r="L29" s="4"/>
      <c r="M29" s="4"/>
      <c r="N29" s="4"/>
      <c r="O29" s="4"/>
      <c r="P29" s="27"/>
      <c r="Q29" s="25">
        <v>0</v>
      </c>
      <c r="R29" s="25">
        <v>0</v>
      </c>
      <c r="S29" s="12">
        <f t="shared" si="0"/>
        <v>0</v>
      </c>
      <c r="T29" s="5">
        <v>0</v>
      </c>
      <c r="U29" s="12">
        <f t="shared" si="6"/>
        <v>0</v>
      </c>
      <c r="V29" s="25" t="s">
        <v>10</v>
      </c>
      <c r="W29" s="11">
        <f>IFERROR(VLOOKUP(V29,Curr!$B$2:$C$13,2,FALSE),0)</f>
        <v>11</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IFERROR(VLOOKUP(V30,Curr!$B$2:$C$13,2,FALSE),0)</f>
        <v>11</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c r="R31" s="25"/>
      <c r="S31" s="12">
        <f t="shared" si="0"/>
        <v>0</v>
      </c>
      <c r="T31" s="5">
        <v>0</v>
      </c>
      <c r="U31" s="12">
        <f t="shared" si="6"/>
        <v>0</v>
      </c>
      <c r="V31" s="25" t="s">
        <v>10</v>
      </c>
      <c r="W31" s="11">
        <f>IFERROR(VLOOKUP(V31,Curr!$B$2:$C$13,2,FALSE),0)</f>
        <v>11</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C32" s="1" t="s">
        <v>55</v>
      </c>
      <c r="D32" s="1" t="s">
        <v>127</v>
      </c>
      <c r="E32" s="3"/>
      <c r="F32" s="3"/>
      <c r="G32" s="24"/>
      <c r="H32" s="24"/>
      <c r="J32" s="1" t="s">
        <v>131</v>
      </c>
      <c r="K32" s="4"/>
      <c r="L32" s="4"/>
      <c r="M32" s="4"/>
      <c r="N32" s="4"/>
      <c r="O32" s="4"/>
      <c r="P32" s="27"/>
      <c r="Q32" s="25">
        <v>160</v>
      </c>
      <c r="R32" s="25">
        <v>0</v>
      </c>
      <c r="S32" s="12">
        <f t="shared" si="0"/>
        <v>0</v>
      </c>
      <c r="T32" s="5">
        <v>0.2</v>
      </c>
      <c r="U32" s="12">
        <f t="shared" si="6"/>
        <v>0</v>
      </c>
      <c r="V32" s="25" t="s">
        <v>10</v>
      </c>
      <c r="W32" s="11">
        <f>IFERROR(VLOOKUP(V32,Curr!$B$2:$C$13,2,FALSE),0)</f>
        <v>11</v>
      </c>
      <c r="X32" s="12">
        <f t="shared" si="1"/>
        <v>0</v>
      </c>
      <c r="Y32" s="26">
        <f t="shared" si="7"/>
        <v>160</v>
      </c>
      <c r="Z32" s="12">
        <f t="shared" si="2"/>
        <v>0</v>
      </c>
      <c r="AA32" s="4" t="s">
        <v>10</v>
      </c>
      <c r="AB32" s="11">
        <f>IFERROR(VLOOKUP(AA32,Curr!$B$2:$C$13,2,FALSE),0)</f>
        <v>11</v>
      </c>
      <c r="AC32" s="12">
        <f t="shared" si="3"/>
        <v>0</v>
      </c>
      <c r="AD32" s="12">
        <f t="shared" si="4"/>
        <v>0</v>
      </c>
      <c r="AE32" s="13">
        <f t="shared" si="5"/>
        <v>0</v>
      </c>
    </row>
    <row r="33" spans="2:31" x14ac:dyDescent="0.25">
      <c r="B33" s="4"/>
      <c r="C33" s="1" t="s">
        <v>55</v>
      </c>
      <c r="D33" s="1" t="s">
        <v>127</v>
      </c>
      <c r="E33" s="3"/>
      <c r="F33" s="3"/>
      <c r="G33" s="24"/>
      <c r="H33" s="24"/>
      <c r="J33" s="1" t="s">
        <v>132</v>
      </c>
      <c r="K33" s="4"/>
      <c r="L33" s="4"/>
      <c r="M33" s="4"/>
      <c r="N33" s="4"/>
      <c r="O33" s="4"/>
      <c r="P33" s="33"/>
      <c r="Q33" s="25">
        <v>39</v>
      </c>
      <c r="R33" s="25">
        <v>0</v>
      </c>
      <c r="S33" s="12">
        <f t="shared" si="0"/>
        <v>0</v>
      </c>
      <c r="T33" s="5">
        <v>0.2</v>
      </c>
      <c r="U33" s="12">
        <f t="shared" si="6"/>
        <v>0</v>
      </c>
      <c r="V33" s="25" t="s">
        <v>10</v>
      </c>
      <c r="W33" s="11">
        <f>IFERROR(VLOOKUP(V33,Curr!$B$2:$C$13,2,FALSE),0)</f>
        <v>11</v>
      </c>
      <c r="X33" s="12">
        <f t="shared" si="1"/>
        <v>0</v>
      </c>
      <c r="Y33" s="26">
        <f t="shared" si="7"/>
        <v>39</v>
      </c>
      <c r="Z33" s="12">
        <f t="shared" si="2"/>
        <v>0</v>
      </c>
      <c r="AA33" s="4" t="s">
        <v>10</v>
      </c>
      <c r="AB33" s="11">
        <f>IFERROR(VLOOKUP(AA33,Curr!$B$2:$C$13,2,FALSE),0)</f>
        <v>11</v>
      </c>
      <c r="AC33" s="12">
        <f t="shared" si="3"/>
        <v>0</v>
      </c>
      <c r="AD33" s="12">
        <f t="shared" si="4"/>
        <v>0</v>
      </c>
      <c r="AE33" s="13">
        <f t="shared" si="5"/>
        <v>0</v>
      </c>
    </row>
    <row r="34" spans="2:31" x14ac:dyDescent="0.25">
      <c r="B34" s="4"/>
      <c r="C34" s="1" t="s">
        <v>94</v>
      </c>
      <c r="D34" s="1" t="s">
        <v>127</v>
      </c>
      <c r="E34" s="3"/>
      <c r="F34" s="3"/>
      <c r="G34" s="24"/>
      <c r="H34" s="24"/>
      <c r="J34" s="1" t="s">
        <v>134</v>
      </c>
      <c r="K34" s="4"/>
      <c r="L34" s="4"/>
      <c r="M34" s="4"/>
      <c r="N34" s="4"/>
      <c r="O34" s="4"/>
      <c r="P34" s="27"/>
      <c r="Q34" s="25">
        <v>160</v>
      </c>
      <c r="R34" s="25">
        <v>0</v>
      </c>
      <c r="S34" s="12">
        <f t="shared" si="0"/>
        <v>0</v>
      </c>
      <c r="T34" s="5">
        <v>0.2</v>
      </c>
      <c r="U34" s="12">
        <f t="shared" si="6"/>
        <v>0</v>
      </c>
      <c r="V34" s="25" t="s">
        <v>10</v>
      </c>
      <c r="W34" s="11">
        <f>IFERROR(VLOOKUP(V34,Curr!$B$2:$C$13,2,FALSE),0)</f>
        <v>11</v>
      </c>
      <c r="X34" s="12">
        <f t="shared" si="1"/>
        <v>0</v>
      </c>
      <c r="Y34" s="26">
        <f t="shared" si="7"/>
        <v>160</v>
      </c>
      <c r="Z34" s="12">
        <f t="shared" si="2"/>
        <v>0</v>
      </c>
      <c r="AA34" s="4" t="s">
        <v>10</v>
      </c>
      <c r="AB34" s="11">
        <f>IFERROR(VLOOKUP(AA34,Curr!$B$2:$C$13,2,FALSE),0)</f>
        <v>11</v>
      </c>
      <c r="AC34" s="12">
        <f t="shared" si="3"/>
        <v>0</v>
      </c>
      <c r="AD34" s="12">
        <f t="shared" si="4"/>
        <v>0</v>
      </c>
      <c r="AE34" s="13">
        <f t="shared" si="5"/>
        <v>0</v>
      </c>
    </row>
    <row r="35" spans="2:31" x14ac:dyDescent="0.25">
      <c r="B35" s="4"/>
      <c r="C35" s="1" t="s">
        <v>94</v>
      </c>
      <c r="D35" s="1" t="s">
        <v>127</v>
      </c>
      <c r="E35" s="3"/>
      <c r="F35" s="3"/>
      <c r="G35" s="24"/>
      <c r="H35" s="24"/>
      <c r="J35" s="1" t="s">
        <v>135</v>
      </c>
      <c r="K35" s="4"/>
      <c r="L35" s="4"/>
      <c r="M35" s="4"/>
      <c r="N35" s="4"/>
      <c r="O35" s="4"/>
      <c r="P35" s="33"/>
      <c r="Q35" s="25">
        <v>39</v>
      </c>
      <c r="R35" s="25">
        <v>0</v>
      </c>
      <c r="S35" s="12">
        <f t="shared" si="0"/>
        <v>0</v>
      </c>
      <c r="T35" s="5">
        <v>0.2</v>
      </c>
      <c r="U35" s="12">
        <f t="shared" si="6"/>
        <v>0</v>
      </c>
      <c r="V35" s="25" t="s">
        <v>10</v>
      </c>
      <c r="W35" s="11">
        <f>IFERROR(VLOOKUP(V35,Curr!$B$2:$C$13,2,FALSE),0)</f>
        <v>11</v>
      </c>
      <c r="X35" s="12">
        <f t="shared" si="1"/>
        <v>0</v>
      </c>
      <c r="Y35" s="26">
        <f t="shared" si="7"/>
        <v>39</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c r="R36" s="25"/>
      <c r="S36" s="12">
        <f t="shared" si="0"/>
        <v>0</v>
      </c>
      <c r="T36" s="5">
        <v>0</v>
      </c>
      <c r="U36" s="12">
        <f t="shared" si="6"/>
        <v>0</v>
      </c>
      <c r="V36" s="25" t="s">
        <v>10</v>
      </c>
      <c r="W36" s="11">
        <f>IFERROR(VLOOKUP(V36,Curr!$B$2:$C$13,2,FALSE),0)</f>
        <v>11</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27"/>
      <c r="Q37" s="25"/>
      <c r="R37" s="25"/>
      <c r="S37" s="12">
        <f t="shared" si="0"/>
        <v>0</v>
      </c>
      <c r="T37" s="5">
        <v>0</v>
      </c>
      <c r="U37" s="12">
        <f t="shared" si="6"/>
        <v>0</v>
      </c>
      <c r="V37" s="25" t="s">
        <v>10</v>
      </c>
      <c r="W37" s="11">
        <f>IFERROR(VLOOKUP(V37,Curr!$B$2:$C$13,2,FALSE),0)</f>
        <v>11</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C38" s="1" t="s">
        <v>55</v>
      </c>
      <c r="D38" s="1" t="s">
        <v>229</v>
      </c>
      <c r="E38" s="3"/>
      <c r="F38" s="3"/>
      <c r="G38" s="24"/>
      <c r="H38" s="24"/>
      <c r="J38" s="1" t="s">
        <v>260</v>
      </c>
      <c r="K38" s="4"/>
      <c r="L38" s="4"/>
      <c r="M38" s="4"/>
      <c r="N38" s="4"/>
      <c r="O38" s="4"/>
      <c r="P38" s="33" t="s">
        <v>259</v>
      </c>
      <c r="Q38" s="25">
        <v>35</v>
      </c>
      <c r="R38" s="25">
        <v>0</v>
      </c>
      <c r="S38" s="12">
        <f t="shared" si="0"/>
        <v>0</v>
      </c>
      <c r="T38" s="5">
        <v>0.2</v>
      </c>
      <c r="U38" s="12">
        <f t="shared" si="6"/>
        <v>0</v>
      </c>
      <c r="V38" s="25" t="s">
        <v>10</v>
      </c>
      <c r="W38" s="11">
        <f>IFERROR(VLOOKUP(V38,Curr!$B$2:$C$13,2,FALSE),0)</f>
        <v>11</v>
      </c>
      <c r="X38" s="12">
        <f t="shared" si="1"/>
        <v>0</v>
      </c>
      <c r="Y38" s="26">
        <f t="shared" si="7"/>
        <v>35</v>
      </c>
      <c r="Z38" s="12">
        <f t="shared" si="2"/>
        <v>0</v>
      </c>
      <c r="AA38" s="4" t="s">
        <v>10</v>
      </c>
      <c r="AB38" s="11">
        <f>IFERROR(VLOOKUP(AA38,Curr!$B$2:$C$13,2,FALSE),0)</f>
        <v>11</v>
      </c>
      <c r="AC38" s="12">
        <f t="shared" si="3"/>
        <v>0</v>
      </c>
      <c r="AD38" s="12">
        <f t="shared" si="4"/>
        <v>0</v>
      </c>
      <c r="AE38" s="13">
        <f t="shared" si="5"/>
        <v>0</v>
      </c>
    </row>
    <row r="39" spans="2:31" x14ac:dyDescent="0.25">
      <c r="B39" s="4"/>
      <c r="C39" s="1" t="s">
        <v>55</v>
      </c>
      <c r="D39" s="1" t="s">
        <v>229</v>
      </c>
      <c r="E39" s="3"/>
      <c r="F39" s="3"/>
      <c r="G39" s="24"/>
      <c r="H39" s="24"/>
      <c r="J39" s="1" t="s">
        <v>261</v>
      </c>
      <c r="K39" s="4"/>
      <c r="L39" s="4"/>
      <c r="M39" s="4"/>
      <c r="N39" s="4"/>
      <c r="O39" s="4"/>
      <c r="P39" s="33" t="s">
        <v>262</v>
      </c>
      <c r="Q39" s="25">
        <v>109</v>
      </c>
      <c r="R39" s="25">
        <v>0</v>
      </c>
      <c r="S39" s="12">
        <f t="shared" si="0"/>
        <v>0</v>
      </c>
      <c r="T39" s="5">
        <v>0.2</v>
      </c>
      <c r="U39" s="12">
        <f t="shared" si="6"/>
        <v>0</v>
      </c>
      <c r="V39" s="25" t="s">
        <v>10</v>
      </c>
      <c r="W39" s="11">
        <f>IFERROR(VLOOKUP(V39,Curr!$B$2:$C$13,2,FALSE),0)</f>
        <v>11</v>
      </c>
      <c r="X39" s="12">
        <f t="shared" si="1"/>
        <v>0</v>
      </c>
      <c r="Y39" s="26">
        <f t="shared" si="7"/>
        <v>109</v>
      </c>
      <c r="Z39" s="12">
        <f t="shared" si="2"/>
        <v>0</v>
      </c>
      <c r="AA39" s="4" t="s">
        <v>10</v>
      </c>
      <c r="AB39" s="11">
        <f>IFERROR(VLOOKUP(AA39,Curr!$B$2:$C$13,2,FALSE),0)</f>
        <v>11</v>
      </c>
      <c r="AC39" s="12">
        <f t="shared" si="3"/>
        <v>0</v>
      </c>
      <c r="AD39" s="12">
        <f t="shared" si="4"/>
        <v>0</v>
      </c>
      <c r="AE39" s="13">
        <f t="shared" si="5"/>
        <v>0</v>
      </c>
    </row>
    <row r="40" spans="2:31" x14ac:dyDescent="0.25">
      <c r="B40" s="4"/>
      <c r="C40" s="1" t="s">
        <v>92</v>
      </c>
      <c r="D40" s="1" t="s">
        <v>229</v>
      </c>
      <c r="E40" s="3"/>
      <c r="F40" s="3"/>
      <c r="G40" s="24"/>
      <c r="H40" s="24"/>
      <c r="J40" s="1" t="s">
        <v>263</v>
      </c>
      <c r="K40" s="4"/>
      <c r="L40" s="4"/>
      <c r="M40" s="4"/>
      <c r="N40" s="4"/>
      <c r="O40" s="4"/>
      <c r="P40" s="33" t="s">
        <v>264</v>
      </c>
      <c r="Q40" s="25">
        <v>185</v>
      </c>
      <c r="R40" s="25">
        <v>0</v>
      </c>
      <c r="S40" s="12">
        <f t="shared" si="0"/>
        <v>0</v>
      </c>
      <c r="T40" s="5">
        <v>0.2</v>
      </c>
      <c r="U40" s="12">
        <f t="shared" si="6"/>
        <v>0</v>
      </c>
      <c r="V40" s="25" t="s">
        <v>10</v>
      </c>
      <c r="W40" s="11">
        <f>IFERROR(VLOOKUP(V40,Curr!$B$2:$C$13,2,FALSE),0)</f>
        <v>11</v>
      </c>
      <c r="X40" s="12">
        <f t="shared" si="1"/>
        <v>0</v>
      </c>
      <c r="Y40" s="26">
        <f t="shared" si="7"/>
        <v>185</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27"/>
      <c r="Q41" s="25"/>
      <c r="R41" s="25"/>
      <c r="S41" s="12">
        <f t="shared" si="0"/>
        <v>0</v>
      </c>
      <c r="T41" s="5">
        <v>0</v>
      </c>
      <c r="U41" s="12">
        <f t="shared" si="6"/>
        <v>0</v>
      </c>
      <c r="V41" s="25" t="s">
        <v>10</v>
      </c>
      <c r="W41" s="11">
        <f>IFERROR(VLOOKUP(V41,Curr!$B$2:$C$13,2,FALSE),0)</f>
        <v>11</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ref="S42:S53" si="8">+Q42*R42</f>
        <v>0</v>
      </c>
      <c r="T42" s="5">
        <v>0</v>
      </c>
      <c r="U42" s="12">
        <f t="shared" ref="U42:U53" si="9">S42*(1-T42)</f>
        <v>0</v>
      </c>
      <c r="V42" s="25" t="s">
        <v>10</v>
      </c>
      <c r="W42" s="11">
        <f>IFERROR(VLOOKUP(V42,Curr!$B$2:$C$13,2,FALSE),0)</f>
        <v>11</v>
      </c>
      <c r="X42" s="12">
        <f t="shared" ref="X42:X53" si="10">U42*W42</f>
        <v>0</v>
      </c>
      <c r="Y42" s="26">
        <f t="shared" ref="Y42:Y53" si="11">Q42</f>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c r="R43" s="25"/>
      <c r="S43" s="12">
        <f t="shared" si="8"/>
        <v>0</v>
      </c>
      <c r="T43" s="5">
        <v>0</v>
      </c>
      <c r="U43" s="12">
        <f t="shared" si="9"/>
        <v>0</v>
      </c>
      <c r="V43" s="25" t="s">
        <v>10</v>
      </c>
      <c r="W43" s="11">
        <f>IFERROR(VLOOKUP(V43,Curr!$B$2:$C$13,2,FALSE),0)</f>
        <v>11</v>
      </c>
      <c r="X43" s="12">
        <f t="shared" si="10"/>
        <v>0</v>
      </c>
      <c r="Y43" s="26">
        <f t="shared" si="11"/>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8"/>
        <v>0</v>
      </c>
      <c r="T44" s="5">
        <v>0</v>
      </c>
      <c r="U44" s="12">
        <f t="shared" si="9"/>
        <v>0</v>
      </c>
      <c r="V44" s="25" t="s">
        <v>10</v>
      </c>
      <c r="W44" s="11">
        <f>IFERROR(VLOOKUP(V44,Curr!$B$2:$C$13,2,FALSE),0)</f>
        <v>11</v>
      </c>
      <c r="X44" s="12">
        <f t="shared" si="10"/>
        <v>0</v>
      </c>
      <c r="Y44" s="26">
        <f t="shared" si="11"/>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8"/>
        <v>0</v>
      </c>
      <c r="T45" s="5">
        <v>0</v>
      </c>
      <c r="U45" s="12">
        <f t="shared" si="9"/>
        <v>0</v>
      </c>
      <c r="V45" s="25" t="s">
        <v>10</v>
      </c>
      <c r="W45" s="11">
        <f>IFERROR(VLOOKUP(V45,Curr!$B$2:$C$13,2,FALSE),0)</f>
        <v>11</v>
      </c>
      <c r="X45" s="12">
        <f t="shared" si="10"/>
        <v>0</v>
      </c>
      <c r="Y45" s="26">
        <f t="shared" si="11"/>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x14ac:dyDescent="0.25">
      <c r="B51" s="4"/>
      <c r="E51" s="3"/>
      <c r="F51" s="3"/>
      <c r="G51" s="24"/>
      <c r="H51" s="24"/>
      <c r="K51" s="4"/>
      <c r="L51" s="4"/>
      <c r="M51" s="4"/>
      <c r="N51" s="4"/>
      <c r="O51" s="4"/>
      <c r="P51" s="27"/>
      <c r="Q51" s="25"/>
      <c r="R51" s="25"/>
      <c r="S51" s="12">
        <f t="shared" si="8"/>
        <v>0</v>
      </c>
      <c r="T51" s="5">
        <v>0</v>
      </c>
      <c r="U51" s="12">
        <f t="shared" si="9"/>
        <v>0</v>
      </c>
      <c r="V51" s="25" t="s">
        <v>10</v>
      </c>
      <c r="W51" s="11">
        <f>IFERROR(VLOOKUP(V51,Curr!$B$2:$C$13,2,FALSE),0)</f>
        <v>11</v>
      </c>
      <c r="X51" s="12">
        <f t="shared" si="10"/>
        <v>0</v>
      </c>
      <c r="Y51" s="26">
        <f t="shared" si="11"/>
        <v>0</v>
      </c>
      <c r="Z51" s="12">
        <f t="shared" si="2"/>
        <v>0</v>
      </c>
      <c r="AA51" s="4" t="s">
        <v>10</v>
      </c>
      <c r="AB51" s="11">
        <f>IFERROR(VLOOKUP(AA51,Curr!$B$2:$C$13,2,FALSE),0)</f>
        <v>11</v>
      </c>
      <c r="AC51" s="12">
        <f t="shared" si="3"/>
        <v>0</v>
      </c>
      <c r="AD51" s="12">
        <f t="shared" si="4"/>
        <v>0</v>
      </c>
      <c r="AE51" s="13">
        <f t="shared" si="5"/>
        <v>0</v>
      </c>
    </row>
    <row r="52" spans="2:36"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2"/>
        <v>0</v>
      </c>
      <c r="AA52" s="4" t="s">
        <v>10</v>
      </c>
      <c r="AB52" s="11">
        <f>IFERROR(VLOOKUP(AA52,Curr!$B$2:$C$13,2,FALSE),0)</f>
        <v>11</v>
      </c>
      <c r="AC52" s="12">
        <f t="shared" si="3"/>
        <v>0</v>
      </c>
      <c r="AD52" s="12">
        <f t="shared" si="4"/>
        <v>0</v>
      </c>
      <c r="AE52" s="13">
        <f t="shared" si="5"/>
        <v>0</v>
      </c>
    </row>
    <row r="53" spans="2:36"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2"/>
        <v>0</v>
      </c>
      <c r="AA53" s="4" t="s">
        <v>10</v>
      </c>
      <c r="AB53" s="11">
        <f>IFERROR(VLOOKUP(AA53,Curr!$B$2:$C$13,2,FALSE),0)</f>
        <v>11</v>
      </c>
      <c r="AC53" s="12">
        <f t="shared" si="3"/>
        <v>0</v>
      </c>
      <c r="AD53" s="12">
        <f t="shared" si="4"/>
        <v>0</v>
      </c>
      <c r="AE53" s="13">
        <f t="shared" si="5"/>
        <v>0</v>
      </c>
    </row>
    <row r="54" spans="2:36" x14ac:dyDescent="0.25">
      <c r="B54" s="4"/>
      <c r="E54" s="3"/>
      <c r="F54" s="3"/>
      <c r="G54" s="3"/>
      <c r="H54" s="3"/>
      <c r="L54" s="4"/>
      <c r="M54" s="4"/>
      <c r="N54" s="4"/>
      <c r="O54" s="4"/>
      <c r="P54" s="22"/>
      <c r="Q54" s="4"/>
      <c r="R54" s="4"/>
      <c r="S54" s="4"/>
      <c r="T54" s="4"/>
      <c r="U54" s="4"/>
      <c r="V54" s="4"/>
      <c r="W54" s="4"/>
      <c r="X54" s="4"/>
      <c r="Y54" s="4"/>
      <c r="Z54" s="4"/>
      <c r="AA54" s="4"/>
      <c r="AB54" s="4"/>
      <c r="AC54" s="4"/>
      <c r="AD54" s="4"/>
      <c r="AE54" s="4"/>
      <c r="AF54" s="4"/>
    </row>
    <row r="55" spans="2:36" x14ac:dyDescent="0.25">
      <c r="B55" s="14" t="s">
        <v>18</v>
      </c>
      <c r="C55" s="14"/>
      <c r="D55" s="28" t="s">
        <v>42</v>
      </c>
      <c r="E55" s="30" t="s">
        <v>42</v>
      </c>
      <c r="F55" s="30" t="s">
        <v>42</v>
      </c>
      <c r="G55" s="30" t="s">
        <v>42</v>
      </c>
      <c r="H55" s="30" t="s">
        <v>42</v>
      </c>
      <c r="I55" s="28" t="s">
        <v>42</v>
      </c>
      <c r="J55" s="28" t="s">
        <v>42</v>
      </c>
      <c r="K55" s="28" t="s">
        <v>42</v>
      </c>
      <c r="L55" s="28" t="s">
        <v>42</v>
      </c>
      <c r="M55" s="28" t="s">
        <v>42</v>
      </c>
      <c r="N55" s="28" t="s">
        <v>42</v>
      </c>
      <c r="O55" s="28" t="s">
        <v>42</v>
      </c>
      <c r="P55" s="28" t="s">
        <v>42</v>
      </c>
      <c r="Q55" s="31" t="s">
        <v>42</v>
      </c>
      <c r="R55" s="28" t="s">
        <v>42</v>
      </c>
      <c r="S55" s="32" t="s">
        <v>42</v>
      </c>
      <c r="T55" s="28" t="s">
        <v>42</v>
      </c>
      <c r="U55" s="32" t="s">
        <v>42</v>
      </c>
      <c r="V55" s="28" t="s">
        <v>42</v>
      </c>
      <c r="W55" s="28" t="s">
        <v>42</v>
      </c>
      <c r="X55" s="32" t="s">
        <v>42</v>
      </c>
      <c r="Y55" s="32" t="s">
        <v>42</v>
      </c>
      <c r="Z55" s="15">
        <f>SUM(Z7:Z53)</f>
        <v>2584.1176470588234</v>
      </c>
      <c r="AA55" s="14"/>
      <c r="AB55" s="14"/>
      <c r="AC55" s="15">
        <f>SUM(AC7:AC53)</f>
        <v>28425.294117647059</v>
      </c>
      <c r="AD55" s="15">
        <f>SUM(AD7:AD53)</f>
        <v>5461.6941176470591</v>
      </c>
      <c r="AE55" s="21">
        <f t="shared" ref="AE55" si="12">IFERROR(AD55/AC55,0)</f>
        <v>0.19214204416116551</v>
      </c>
      <c r="AF55" s="15">
        <f>SUM(AF8:AF54)</f>
        <v>0</v>
      </c>
      <c r="AG55" s="15">
        <f>SUM(AG8:AG54)</f>
        <v>0</v>
      </c>
      <c r="AH55" s="15">
        <f>SUM(AH8:AH54)</f>
        <v>0</v>
      </c>
      <c r="AI55" s="15">
        <f>SUM(AI8:AI54)</f>
        <v>0</v>
      </c>
      <c r="AJ55" s="15">
        <f>SUM(AJ8:AJ54)</f>
        <v>0</v>
      </c>
    </row>
    <row r="56" spans="2:36" x14ac:dyDescent="0.25">
      <c r="B56" s="4"/>
      <c r="E56" s="3"/>
      <c r="F56" s="3"/>
      <c r="G56" s="3"/>
      <c r="H56" s="3"/>
      <c r="L56" s="4"/>
      <c r="M56" s="4"/>
      <c r="N56" s="4"/>
      <c r="O56" s="4"/>
      <c r="Q56" s="4"/>
      <c r="R56" s="4"/>
      <c r="S56" s="4"/>
      <c r="T56" s="4"/>
      <c r="U56" s="4"/>
      <c r="V56" s="4"/>
      <c r="W56" s="4"/>
      <c r="X56" s="4"/>
      <c r="Y56" s="9"/>
      <c r="Z56" s="9"/>
      <c r="AA56" s="9"/>
      <c r="AB56" s="9"/>
      <c r="AC56" s="9"/>
      <c r="AD56" s="9"/>
      <c r="AE56" s="9"/>
    </row>
    <row r="57" spans="2:36" x14ac:dyDescent="0.25">
      <c r="B57" s="4"/>
      <c r="E57" s="3"/>
      <c r="F57" s="3"/>
      <c r="G57" s="3"/>
      <c r="H57" s="3"/>
      <c r="L57" s="4"/>
      <c r="M57" s="4"/>
      <c r="N57" s="4"/>
      <c r="O57" s="4"/>
      <c r="Q57" s="9"/>
      <c r="R57" s="9"/>
      <c r="S57" s="9"/>
      <c r="T57" s="9"/>
      <c r="U57" s="9"/>
      <c r="V57" s="9"/>
      <c r="W57" s="9"/>
      <c r="X57" s="23"/>
      <c r="Y57" s="34" t="s">
        <v>234</v>
      </c>
      <c r="Z57" s="34">
        <f>Z12+Z14+Z16+Z19+Z22+Z25</f>
        <v>1290</v>
      </c>
      <c r="AA57" s="9"/>
      <c r="AB57" s="9"/>
      <c r="AC57" s="9"/>
      <c r="AD57" s="9"/>
      <c r="AE57" s="9"/>
    </row>
    <row r="58" spans="2:36" x14ac:dyDescent="0.25">
      <c r="B58" s="4"/>
      <c r="E58" s="3"/>
      <c r="F58" s="3"/>
      <c r="G58" s="3"/>
      <c r="H58" s="3"/>
      <c r="L58" s="4"/>
      <c r="M58" s="4"/>
      <c r="N58" s="4"/>
      <c r="O58" s="4"/>
      <c r="Q58" s="9"/>
      <c r="R58" s="9"/>
      <c r="S58" s="9"/>
      <c r="T58" s="9"/>
      <c r="U58" s="9"/>
      <c r="V58" s="9"/>
      <c r="W58" s="9"/>
      <c r="X58" s="9"/>
      <c r="Y58" s="35" t="s">
        <v>235</v>
      </c>
      <c r="Z58" s="34">
        <f>Z9</f>
        <v>1294.1176470588236</v>
      </c>
      <c r="AA58" s="9"/>
      <c r="AB58" s="9"/>
      <c r="AC58" s="9"/>
      <c r="AD58" s="9"/>
      <c r="AE58" s="9"/>
      <c r="AF58" s="18"/>
    </row>
    <row r="59" spans="2:36" x14ac:dyDescent="0.25">
      <c r="B59" s="4"/>
      <c r="E59" s="3"/>
      <c r="F59" s="3"/>
      <c r="G59" s="3"/>
      <c r="H59" s="3"/>
      <c r="I59" s="19"/>
      <c r="L59" s="4"/>
      <c r="M59" s="4"/>
      <c r="N59" s="4"/>
      <c r="O59" s="20"/>
      <c r="Q59" s="20"/>
      <c r="R59" s="20"/>
      <c r="S59" s="20"/>
      <c r="T59" s="20"/>
      <c r="U59" s="20"/>
      <c r="V59" s="20"/>
      <c r="W59" s="20"/>
      <c r="X59" s="20"/>
      <c r="Y59" s="34" t="s">
        <v>236</v>
      </c>
      <c r="Z59" s="34">
        <v>2580</v>
      </c>
      <c r="AA59" s="9">
        <f>Z59*0.88</f>
        <v>2270.4</v>
      </c>
      <c r="AB59" s="9"/>
      <c r="AC59" s="9"/>
      <c r="AD59" s="9"/>
      <c r="AE59" s="9"/>
      <c r="AF59" s="18"/>
    </row>
    <row r="60" spans="2:36" x14ac:dyDescent="0.25">
      <c r="B60" s="4"/>
      <c r="E60" s="3"/>
      <c r="F60" s="3"/>
      <c r="G60" s="3"/>
      <c r="H60" s="3"/>
      <c r="L60" s="4"/>
      <c r="M60" s="4"/>
      <c r="N60" s="4"/>
      <c r="O60" s="20"/>
      <c r="Q60" s="20"/>
      <c r="R60" s="20"/>
      <c r="S60" s="20"/>
      <c r="T60" s="20"/>
      <c r="U60" s="20"/>
      <c r="V60" s="20"/>
      <c r="W60" s="20"/>
      <c r="X60" s="20"/>
      <c r="Y60" s="34" t="s">
        <v>45</v>
      </c>
      <c r="Z60" s="34">
        <f>Z59/2</f>
        <v>1290</v>
      </c>
      <c r="AA60" s="9"/>
      <c r="AB60" s="9"/>
      <c r="AC60" s="9"/>
      <c r="AD60" s="9"/>
      <c r="AE60" s="9"/>
      <c r="AF60" s="18"/>
    </row>
    <row r="61" spans="2:36" x14ac:dyDescent="0.25">
      <c r="B61" s="4"/>
      <c r="E61" s="3"/>
      <c r="F61" s="3"/>
      <c r="G61" s="3"/>
      <c r="H61" s="3"/>
      <c r="L61" s="4"/>
      <c r="M61" s="4"/>
      <c r="N61" s="4"/>
      <c r="O61" s="4"/>
      <c r="Q61" s="9"/>
      <c r="R61" s="9"/>
      <c r="S61" s="9"/>
      <c r="T61" s="9"/>
      <c r="U61" s="9"/>
      <c r="V61" s="9"/>
      <c r="W61" s="9"/>
      <c r="X61" s="9"/>
      <c r="Y61" s="1"/>
      <c r="Z61" s="1"/>
      <c r="AA61" s="9"/>
      <c r="AB61" s="9"/>
      <c r="AC61" s="9"/>
      <c r="AD61" s="9"/>
      <c r="AE61" s="9"/>
      <c r="AF61" s="18"/>
    </row>
    <row r="62" spans="2:36" x14ac:dyDescent="0.25">
      <c r="F62" s="1"/>
      <c r="G62" s="1"/>
      <c r="H62" s="1"/>
      <c r="J62" s="1" t="s">
        <v>32</v>
      </c>
      <c r="Q62" s="9"/>
      <c r="R62" s="4"/>
      <c r="S62" s="9"/>
      <c r="T62" s="5"/>
      <c r="U62" s="9"/>
      <c r="V62" s="4"/>
      <c r="W62" s="4"/>
      <c r="X62" s="9"/>
      <c r="Y62" s="9" t="s">
        <v>46</v>
      </c>
      <c r="Z62" s="9">
        <f>Z59-Z63</f>
        <v>2580</v>
      </c>
      <c r="AA62" s="9"/>
      <c r="AB62" s="9"/>
      <c r="AC62" s="9"/>
      <c r="AD62" s="9"/>
      <c r="AE62" s="9"/>
    </row>
    <row r="63" spans="2:36" x14ac:dyDescent="0.25">
      <c r="R63" s="4"/>
      <c r="S63" s="17"/>
      <c r="T63" s="17"/>
      <c r="U63" s="9"/>
      <c r="V63" s="4"/>
      <c r="W63" s="4"/>
      <c r="X63" s="9"/>
      <c r="Y63" s="9" t="s">
        <v>47</v>
      </c>
      <c r="Z63" s="9">
        <v>0</v>
      </c>
      <c r="AA63" s="9"/>
      <c r="AB63" s="9"/>
      <c r="AC63" s="9"/>
      <c r="AD63" s="9"/>
      <c r="AE63" s="9"/>
    </row>
    <row r="64" spans="2:36" x14ac:dyDescent="0.25">
      <c r="Q64" s="9"/>
      <c r="R64" s="4"/>
      <c r="S64" s="16"/>
      <c r="T64" s="16"/>
      <c r="U64" s="9"/>
      <c r="V64" s="4"/>
      <c r="W64" s="4"/>
      <c r="X64" s="9"/>
      <c r="Y64" s="9"/>
      <c r="Z64" s="9"/>
      <c r="AA64" s="9"/>
      <c r="AB64" s="9"/>
      <c r="AC64" s="9"/>
      <c r="AD64" s="9"/>
      <c r="AE64" s="9"/>
    </row>
    <row r="65" spans="18:31" x14ac:dyDescent="0.25">
      <c r="R65" s="4"/>
      <c r="S65" s="16"/>
      <c r="T65" s="16"/>
      <c r="Y65" s="9" t="s">
        <v>48</v>
      </c>
      <c r="Z65" s="9">
        <f>Z59*0.3</f>
        <v>774</v>
      </c>
      <c r="AA65" s="9"/>
      <c r="AB65" s="9"/>
      <c r="AC65" s="9"/>
      <c r="AD65" s="9"/>
      <c r="AE65" s="9"/>
    </row>
    <row r="66" spans="18:31" x14ac:dyDescent="0.25">
      <c r="T66" s="5"/>
      <c r="Y66" s="9" t="s">
        <v>49</v>
      </c>
      <c r="Z66" s="9">
        <f>Z59-Z65</f>
        <v>1806</v>
      </c>
      <c r="AA66" s="9"/>
      <c r="AB66" s="9"/>
      <c r="AC66" s="9"/>
      <c r="AD66" s="9"/>
      <c r="AE66" s="9"/>
    </row>
    <row r="67" spans="18:31" x14ac:dyDescent="0.25">
      <c r="T67" s="5"/>
      <c r="Y67" s="9"/>
      <c r="Z67" s="9"/>
      <c r="AA67" s="9"/>
      <c r="AB67" s="9"/>
      <c r="AC67" s="9"/>
      <c r="AD67" s="9"/>
      <c r="AE67" s="9"/>
    </row>
    <row r="68" spans="18:31" x14ac:dyDescent="0.25">
      <c r="T68" s="5"/>
      <c r="Y68" s="9"/>
      <c r="Z68" s="9"/>
      <c r="AA68" s="9"/>
      <c r="AB68" s="9"/>
      <c r="AC68" s="9"/>
      <c r="AD68" s="9"/>
      <c r="AE68" s="9"/>
    </row>
    <row r="69" spans="18:31" x14ac:dyDescent="0.25">
      <c r="T69" s="5"/>
      <c r="Y69" s="9"/>
      <c r="Z69" s="9"/>
      <c r="AA69" s="9"/>
      <c r="AB69" s="9"/>
      <c r="AC69" s="9"/>
      <c r="AD69" s="9"/>
      <c r="AE69" s="9"/>
    </row>
    <row r="70" spans="18:31" x14ac:dyDescent="0.25">
      <c r="T70" s="5"/>
      <c r="Y70" s="9"/>
      <c r="Z70" s="9"/>
      <c r="AA70" s="9"/>
      <c r="AB70" s="9"/>
      <c r="AC70" s="9"/>
      <c r="AD70" s="9"/>
      <c r="AE70" s="9"/>
    </row>
    <row r="71" spans="18:31" x14ac:dyDescent="0.25">
      <c r="T71" s="5"/>
      <c r="Y71" s="9"/>
      <c r="Z71" s="9"/>
      <c r="AA71" s="9"/>
      <c r="AB71" s="9"/>
      <c r="AC71" s="9"/>
      <c r="AD71" s="9"/>
      <c r="AE71" s="9"/>
    </row>
    <row r="72" spans="18:31" x14ac:dyDescent="0.25">
      <c r="T72" s="5"/>
      <c r="Y72" s="9"/>
      <c r="Z72" s="9"/>
      <c r="AA72" s="9"/>
      <c r="AB72" s="9"/>
      <c r="AC72" s="9"/>
      <c r="AD72" s="9"/>
      <c r="AE72" s="9"/>
    </row>
    <row r="73" spans="18:31" x14ac:dyDescent="0.25">
      <c r="T73" s="5"/>
      <c r="Y73" s="9"/>
      <c r="Z73" s="9"/>
      <c r="AA73" s="9"/>
      <c r="AB73" s="9"/>
      <c r="AC73" s="9"/>
      <c r="AD73" s="9"/>
      <c r="AE73" s="9"/>
    </row>
    <row r="74" spans="18:31" x14ac:dyDescent="0.25">
      <c r="T74" s="5"/>
    </row>
    <row r="75" spans="18:31" x14ac:dyDescent="0.25">
      <c r="T75" s="5"/>
    </row>
    <row r="76" spans="18:31" x14ac:dyDescent="0.25">
      <c r="T76" s="5"/>
    </row>
    <row r="77" spans="18:31" x14ac:dyDescent="0.25">
      <c r="T77" s="5"/>
    </row>
    <row r="78" spans="18:31" x14ac:dyDescent="0.25">
      <c r="T78" s="5"/>
    </row>
  </sheetData>
  <autoFilter ref="B6:AE55" xr:uid="{65FA6D9B-E0AF-46CD-BA0D-86BB75FE6AB0}"/>
  <hyperlinks>
    <hyperlink ref="P12" r:id="rId1" xr:uid="{32E15DD9-A420-4B5F-B6A9-976501C03EEF}"/>
    <hyperlink ref="P14" r:id="rId2" xr:uid="{6C74D50F-EA3F-4497-BD44-111F7C5FDD3D}"/>
    <hyperlink ref="P16" r:id="rId3" xr:uid="{9F819304-5B49-4C2E-B118-7F9C0DB5433C}"/>
    <hyperlink ref="P19" r:id="rId4" xr:uid="{F7E6FE95-E334-46CC-9B04-E176694AE2F3}"/>
    <hyperlink ref="P25" r:id="rId5" xr:uid="{D31DD68C-B879-4F1B-BD88-D67ADAF0D950}"/>
    <hyperlink ref="P22" r:id="rId6" xr:uid="{2C2A2B51-6226-461D-A38E-9842188B66C3}"/>
    <hyperlink ref="P9" r:id="rId7" xr:uid="{26C348AB-0E31-4C57-A683-F0DE5EEEE96E}"/>
    <hyperlink ref="P38" r:id="rId8" xr:uid="{A40ED734-FA57-4DDC-93EF-78582167C8C1}"/>
    <hyperlink ref="P39" r:id="rId9" xr:uid="{F4C80B70-49C3-4F39-A27C-D6430DAFB89F}"/>
    <hyperlink ref="P40" r:id="rId10" xr:uid="{CE53EDB6-0AE2-4FF8-B601-6280D4E78160}"/>
  </hyperlinks>
  <pageMargins left="0.7" right="0.7" top="0.75" bottom="0.75" header="0.3" footer="0.3"/>
  <pageSetup paperSize="9" orientation="portrait" r:id="rId1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6AE4F-569A-4ABF-88D5-7ABAF09D9EDA}">
  <sheetPr>
    <tabColor rgb="FFFFFF00"/>
  </sheetPr>
  <dimension ref="B2:AK75"/>
  <sheetViews>
    <sheetView zoomScale="80" zoomScaleNormal="80" workbookViewId="0">
      <selection activeCell="W7" sqref="W7:W5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55</v>
      </c>
      <c r="D7" s="1" t="s">
        <v>56</v>
      </c>
      <c r="E7" s="3"/>
      <c r="F7" s="3"/>
      <c r="G7" s="3"/>
      <c r="H7" s="3"/>
      <c r="J7" s="1" t="s">
        <v>51</v>
      </c>
      <c r="K7" s="4"/>
      <c r="L7" s="4"/>
      <c r="M7" s="4"/>
      <c r="N7" s="4"/>
      <c r="O7" s="4"/>
      <c r="P7" s="27"/>
      <c r="Q7" s="25">
        <v>0</v>
      </c>
      <c r="R7" s="25">
        <v>0</v>
      </c>
      <c r="S7" s="12">
        <f t="shared" ref="S7:S44" si="0">+Q7*R7</f>
        <v>0</v>
      </c>
      <c r="T7" s="5">
        <v>0</v>
      </c>
      <c r="U7" s="12">
        <f>S7*(1-T7)</f>
        <v>0</v>
      </c>
      <c r="V7" s="25" t="s">
        <v>10</v>
      </c>
      <c r="W7" s="11">
        <f>IFERROR(VLOOKUP(V7,Curr!$B$2:$C$13,2,FALSE),0)</f>
        <v>11</v>
      </c>
      <c r="X7" s="12">
        <f t="shared" ref="X7:X44" si="1">U7*W7</f>
        <v>0</v>
      </c>
      <c r="Y7" s="26">
        <f>Q7</f>
        <v>0</v>
      </c>
      <c r="Z7" s="12">
        <f t="shared" ref="Z7:Z50" si="2">+Y7*R7</f>
        <v>0</v>
      </c>
      <c r="AA7" s="4" t="s">
        <v>10</v>
      </c>
      <c r="AB7" s="11">
        <f>IFERROR(VLOOKUP(AA7,Curr!$B$2:$C$13,2,FALSE),0)</f>
        <v>11</v>
      </c>
      <c r="AC7" s="12">
        <f t="shared" ref="AC7:AC50" si="3">+Y7*AB7*R7</f>
        <v>0</v>
      </c>
      <c r="AD7" s="12">
        <f t="shared" ref="AD7:AD50" si="4">+AC7-X7</f>
        <v>0</v>
      </c>
      <c r="AE7" s="13">
        <f t="shared" ref="AE7:AE50" si="5">IFERROR(AD7/AC7,0)</f>
        <v>0</v>
      </c>
    </row>
    <row r="8" spans="2:36" x14ac:dyDescent="0.25">
      <c r="B8" s="4"/>
      <c r="C8" s="1" t="s">
        <v>55</v>
      </c>
      <c r="D8" s="1" t="s">
        <v>117</v>
      </c>
      <c r="E8" s="3"/>
      <c r="F8" s="3"/>
      <c r="G8" s="24"/>
      <c r="H8" s="24"/>
      <c r="J8" s="1" t="s">
        <v>130</v>
      </c>
      <c r="K8" s="4"/>
      <c r="L8" s="4"/>
      <c r="M8" s="4"/>
      <c r="N8" s="4"/>
      <c r="O8" s="4"/>
      <c r="P8" s="27"/>
      <c r="Q8" s="25">
        <v>0</v>
      </c>
      <c r="R8" s="25">
        <v>0</v>
      </c>
      <c r="S8" s="12">
        <f t="shared" si="0"/>
        <v>0</v>
      </c>
      <c r="T8" s="5">
        <v>0</v>
      </c>
      <c r="U8" s="12">
        <f t="shared" ref="U8:U44" si="6">S8*(1-T8)</f>
        <v>0</v>
      </c>
      <c r="V8" s="25" t="s">
        <v>10</v>
      </c>
      <c r="W8" s="11">
        <f>IFERROR(VLOOKUP(V8,Curr!$B$2:$C$13,2,FALSE),0)</f>
        <v>11</v>
      </c>
      <c r="X8" s="12">
        <f t="shared" si="1"/>
        <v>0</v>
      </c>
      <c r="Y8" s="26">
        <f t="shared" ref="Y8:Y44" si="7">Q8</f>
        <v>0</v>
      </c>
      <c r="Z8" s="12">
        <f t="shared" si="2"/>
        <v>0</v>
      </c>
      <c r="AA8" s="4" t="s">
        <v>10</v>
      </c>
      <c r="AB8" s="11">
        <f>IFERROR(VLOOKUP(AA8,Curr!$B$2:$C$13,2,FALSE),0)</f>
        <v>11</v>
      </c>
      <c r="AC8" s="12">
        <f t="shared" si="3"/>
        <v>0</v>
      </c>
      <c r="AD8" s="12">
        <f t="shared" si="4"/>
        <v>0</v>
      </c>
      <c r="AE8" s="13">
        <f t="shared" si="5"/>
        <v>0</v>
      </c>
    </row>
    <row r="9" spans="2:36" x14ac:dyDescent="0.25">
      <c r="B9" s="4"/>
      <c r="C9" s="1" t="s">
        <v>55</v>
      </c>
      <c r="D9" s="1" t="s">
        <v>59</v>
      </c>
      <c r="E9" s="3"/>
      <c r="F9" s="3"/>
      <c r="G9" s="24"/>
      <c r="H9" s="24"/>
      <c r="J9" s="1" t="s">
        <v>233</v>
      </c>
      <c r="K9" s="4"/>
      <c r="L9" s="4"/>
      <c r="M9" s="4"/>
      <c r="N9" s="4"/>
      <c r="O9" s="4"/>
      <c r="P9" s="33" t="s">
        <v>228</v>
      </c>
      <c r="Q9" s="25">
        <v>1300</v>
      </c>
      <c r="R9" s="25">
        <v>1</v>
      </c>
      <c r="S9" s="12">
        <f t="shared" si="0"/>
        <v>1300</v>
      </c>
      <c r="T9" s="5">
        <v>0</v>
      </c>
      <c r="U9" s="12">
        <f t="shared" si="6"/>
        <v>1300</v>
      </c>
      <c r="V9" s="25" t="s">
        <v>10</v>
      </c>
      <c r="W9" s="11">
        <f>IFERROR(VLOOKUP(V9,Curr!$B$2:$C$13,2,FALSE),0)</f>
        <v>11</v>
      </c>
      <c r="X9" s="12">
        <f t="shared" si="1"/>
        <v>14300</v>
      </c>
      <c r="Y9" s="26">
        <f>Q9/0.85</f>
        <v>1529.4117647058824</v>
      </c>
      <c r="Z9" s="12">
        <f t="shared" si="2"/>
        <v>1529.4117647058824</v>
      </c>
      <c r="AA9" s="4" t="s">
        <v>10</v>
      </c>
      <c r="AB9" s="11">
        <f>IFERROR(VLOOKUP(AA9,Curr!$B$2:$C$13,2,FALSE),0)</f>
        <v>11</v>
      </c>
      <c r="AC9" s="12">
        <f t="shared" si="3"/>
        <v>16823.529411764706</v>
      </c>
      <c r="AD9" s="12">
        <f t="shared" si="4"/>
        <v>2523.5294117647063</v>
      </c>
      <c r="AE9" s="13">
        <f t="shared" si="5"/>
        <v>0.15000000000000002</v>
      </c>
    </row>
    <row r="10" spans="2:36" x14ac:dyDescent="0.25">
      <c r="B10" s="4"/>
      <c r="C10" s="1" t="s">
        <v>55</v>
      </c>
      <c r="D10" s="1" t="s">
        <v>60</v>
      </c>
      <c r="E10" s="3"/>
      <c r="F10" s="3"/>
      <c r="G10" s="24"/>
      <c r="H10" s="24"/>
      <c r="J10" s="1" t="s">
        <v>136</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65</v>
      </c>
      <c r="D12" s="1" t="s">
        <v>82</v>
      </c>
      <c r="E12" s="3"/>
      <c r="F12" s="3"/>
      <c r="G12" s="24"/>
      <c r="H12" s="24"/>
      <c r="J12" s="1" t="s">
        <v>217</v>
      </c>
      <c r="K12" s="4"/>
      <c r="L12" s="4"/>
      <c r="M12" s="4"/>
      <c r="N12" s="4"/>
      <c r="O12" s="4"/>
      <c r="P12" s="33" t="s">
        <v>218</v>
      </c>
      <c r="Q12" s="25">
        <v>38</v>
      </c>
      <c r="R12" s="25">
        <v>2</v>
      </c>
      <c r="S12" s="12">
        <f t="shared" si="0"/>
        <v>76</v>
      </c>
      <c r="T12" s="5">
        <v>0.2</v>
      </c>
      <c r="U12" s="12">
        <f t="shared" si="6"/>
        <v>60.800000000000004</v>
      </c>
      <c r="V12" s="25" t="s">
        <v>10</v>
      </c>
      <c r="W12" s="11">
        <f>IFERROR(VLOOKUP(V12,Curr!$B$2:$C$13,2,FALSE),0)</f>
        <v>11</v>
      </c>
      <c r="X12" s="12">
        <f t="shared" si="1"/>
        <v>668.80000000000007</v>
      </c>
      <c r="Y12" s="26">
        <f t="shared" si="7"/>
        <v>38</v>
      </c>
      <c r="Z12" s="12">
        <f t="shared" si="2"/>
        <v>76</v>
      </c>
      <c r="AA12" s="4" t="s">
        <v>10</v>
      </c>
      <c r="AB12" s="11">
        <f>IFERROR(VLOOKUP(AA12,Curr!$B$2:$C$13,2,FALSE),0)</f>
        <v>11</v>
      </c>
      <c r="AC12" s="12">
        <f t="shared" si="3"/>
        <v>836</v>
      </c>
      <c r="AD12" s="12">
        <f t="shared" si="4"/>
        <v>167.19999999999993</v>
      </c>
      <c r="AE12" s="13">
        <f t="shared" si="5"/>
        <v>0.19999999999999993</v>
      </c>
    </row>
    <row r="13" spans="2:36" x14ac:dyDescent="0.25">
      <c r="B13" s="4"/>
      <c r="C13" s="1" t="s">
        <v>65</v>
      </c>
      <c r="D13" s="1" t="s">
        <v>60</v>
      </c>
      <c r="E13" s="3"/>
      <c r="F13" s="3"/>
      <c r="G13" s="24"/>
      <c r="H13" s="24"/>
      <c r="J13" s="1" t="s">
        <v>136</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C14" s="1" t="s">
        <v>65</v>
      </c>
      <c r="D14" s="1" t="s">
        <v>82</v>
      </c>
      <c r="E14" s="3"/>
      <c r="F14" s="3"/>
      <c r="G14" s="24"/>
      <c r="H14" s="24"/>
      <c r="J14" s="1" t="s">
        <v>219</v>
      </c>
      <c r="K14" s="4"/>
      <c r="L14" s="4"/>
      <c r="M14" s="4"/>
      <c r="N14" s="4"/>
      <c r="O14" s="4"/>
      <c r="P14" s="33" t="s">
        <v>220</v>
      </c>
      <c r="Q14" s="25">
        <v>99</v>
      </c>
      <c r="R14" s="25">
        <v>2</v>
      </c>
      <c r="S14" s="12">
        <f t="shared" si="0"/>
        <v>198</v>
      </c>
      <c r="T14" s="5">
        <v>0.25</v>
      </c>
      <c r="U14" s="12">
        <f t="shared" si="6"/>
        <v>148.5</v>
      </c>
      <c r="V14" s="25" t="s">
        <v>10</v>
      </c>
      <c r="W14" s="11">
        <f>IFERROR(VLOOKUP(V14,Curr!$B$2:$C$13,2,FALSE),0)</f>
        <v>11</v>
      </c>
      <c r="X14" s="12">
        <f t="shared" si="1"/>
        <v>1633.5</v>
      </c>
      <c r="Y14" s="26">
        <f t="shared" si="7"/>
        <v>99</v>
      </c>
      <c r="Z14" s="12">
        <f t="shared" si="2"/>
        <v>198</v>
      </c>
      <c r="AA14" s="4" t="s">
        <v>10</v>
      </c>
      <c r="AB14" s="11">
        <f>IFERROR(VLOOKUP(AA14,Curr!$B$2:$C$13,2,FALSE),0)</f>
        <v>11</v>
      </c>
      <c r="AC14" s="12">
        <f t="shared" si="3"/>
        <v>2178</v>
      </c>
      <c r="AD14" s="12">
        <f t="shared" si="4"/>
        <v>544.5</v>
      </c>
      <c r="AE14" s="13">
        <f t="shared" si="5"/>
        <v>0.25</v>
      </c>
    </row>
    <row r="15" spans="2:36" x14ac:dyDescent="0.25">
      <c r="B15" s="4"/>
      <c r="E15" s="3"/>
      <c r="F15" s="3"/>
      <c r="G15" s="24"/>
      <c r="H15" s="24"/>
      <c r="K15" s="4"/>
      <c r="L15" s="4"/>
      <c r="M15" s="4"/>
      <c r="N15" s="4"/>
      <c r="O15" s="4"/>
      <c r="P15" s="27"/>
      <c r="Q15" s="25"/>
      <c r="R15" s="25"/>
      <c r="S15" s="12">
        <f t="shared" si="0"/>
        <v>0</v>
      </c>
      <c r="T15" s="5">
        <v>0</v>
      </c>
      <c r="U15" s="12">
        <f t="shared" si="6"/>
        <v>0</v>
      </c>
      <c r="V15" s="25" t="s">
        <v>10</v>
      </c>
      <c r="W15" s="11">
        <f>IFERROR(VLOOKUP(V15,Curr!$B$2:$C$13,2,FALSE),0)</f>
        <v>11</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C16" s="1" t="s">
        <v>66</v>
      </c>
      <c r="D16" s="1" t="s">
        <v>82</v>
      </c>
      <c r="E16" s="3"/>
      <c r="F16" s="3"/>
      <c r="G16" s="24"/>
      <c r="H16" s="24"/>
      <c r="J16" s="1" t="s">
        <v>221</v>
      </c>
      <c r="K16" s="4"/>
      <c r="L16" s="4"/>
      <c r="M16" s="4"/>
      <c r="N16" s="4"/>
      <c r="O16" s="4"/>
      <c r="P16" s="33" t="s">
        <v>222</v>
      </c>
      <c r="Q16" s="25">
        <v>85</v>
      </c>
      <c r="R16" s="25">
        <v>2</v>
      </c>
      <c r="S16" s="12">
        <f t="shared" si="0"/>
        <v>170</v>
      </c>
      <c r="T16" s="5">
        <v>0.25</v>
      </c>
      <c r="U16" s="12">
        <f t="shared" si="6"/>
        <v>127.5</v>
      </c>
      <c r="V16" s="25" t="s">
        <v>10</v>
      </c>
      <c r="W16" s="11">
        <f>IFERROR(VLOOKUP(V16,Curr!$B$2:$C$13,2,FALSE),0)</f>
        <v>11</v>
      </c>
      <c r="X16" s="12">
        <f t="shared" si="1"/>
        <v>1402.5</v>
      </c>
      <c r="Y16" s="26">
        <f t="shared" si="7"/>
        <v>85</v>
      </c>
      <c r="Z16" s="12">
        <f t="shared" si="2"/>
        <v>170</v>
      </c>
      <c r="AA16" s="4" t="s">
        <v>10</v>
      </c>
      <c r="AB16" s="11">
        <f>IFERROR(VLOOKUP(AA16,Curr!$B$2:$C$13,2,FALSE),0)</f>
        <v>11</v>
      </c>
      <c r="AC16" s="12">
        <f t="shared" si="3"/>
        <v>1870</v>
      </c>
      <c r="AD16" s="12">
        <f t="shared" si="4"/>
        <v>467.5</v>
      </c>
      <c r="AE16" s="13">
        <f t="shared" si="5"/>
        <v>0.25</v>
      </c>
    </row>
    <row r="17" spans="2:31" x14ac:dyDescent="0.25">
      <c r="B17" s="4"/>
      <c r="C17" s="1" t="s">
        <v>66</v>
      </c>
      <c r="D17" s="1" t="s">
        <v>60</v>
      </c>
      <c r="E17" s="3"/>
      <c r="F17" s="3"/>
      <c r="G17" s="24"/>
      <c r="H17" s="24"/>
      <c r="J17" s="1" t="s">
        <v>136</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c r="R18" s="25"/>
      <c r="S18" s="12">
        <f t="shared" si="0"/>
        <v>0</v>
      </c>
      <c r="T18" s="5">
        <v>0</v>
      </c>
      <c r="U18" s="12">
        <f t="shared" si="6"/>
        <v>0</v>
      </c>
      <c r="V18" s="25" t="s">
        <v>10</v>
      </c>
      <c r="W18" s="11">
        <f>IFERROR(VLOOKUP(V18,Curr!$B$2:$C$13,2,FALSE),0)</f>
        <v>11</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C19" s="1" t="s">
        <v>67</v>
      </c>
      <c r="D19" s="1" t="s">
        <v>82</v>
      </c>
      <c r="E19" s="3"/>
      <c r="F19" s="3"/>
      <c r="G19" s="24"/>
      <c r="H19" s="24"/>
      <c r="J19" s="1" t="s">
        <v>224</v>
      </c>
      <c r="K19" s="4"/>
      <c r="L19" s="4"/>
      <c r="M19" s="4"/>
      <c r="N19" s="4"/>
      <c r="O19" s="4"/>
      <c r="P19" s="33" t="s">
        <v>223</v>
      </c>
      <c r="Q19" s="25">
        <v>140</v>
      </c>
      <c r="R19" s="25">
        <v>2</v>
      </c>
      <c r="S19" s="12">
        <f t="shared" si="0"/>
        <v>280</v>
      </c>
      <c r="T19" s="5">
        <v>0.25</v>
      </c>
      <c r="U19" s="12">
        <f t="shared" si="6"/>
        <v>210</v>
      </c>
      <c r="V19" s="25" t="s">
        <v>10</v>
      </c>
      <c r="W19" s="11">
        <f>IFERROR(VLOOKUP(V19,Curr!$B$2:$C$13,2,FALSE),0)</f>
        <v>11</v>
      </c>
      <c r="X19" s="12">
        <f t="shared" si="1"/>
        <v>2310</v>
      </c>
      <c r="Y19" s="26">
        <f t="shared" si="7"/>
        <v>140</v>
      </c>
      <c r="Z19" s="12">
        <f t="shared" si="2"/>
        <v>280</v>
      </c>
      <c r="AA19" s="4" t="s">
        <v>10</v>
      </c>
      <c r="AB19" s="11">
        <f>IFERROR(VLOOKUP(AA19,Curr!$B$2:$C$13,2,FALSE),0)</f>
        <v>11</v>
      </c>
      <c r="AC19" s="12">
        <f t="shared" si="3"/>
        <v>3080</v>
      </c>
      <c r="AD19" s="12">
        <f t="shared" si="4"/>
        <v>770</v>
      </c>
      <c r="AE19" s="13">
        <f t="shared" si="5"/>
        <v>0.25</v>
      </c>
    </row>
    <row r="20" spans="2:31" x14ac:dyDescent="0.25">
      <c r="B20" s="4"/>
      <c r="C20" s="1" t="s">
        <v>67</v>
      </c>
      <c r="D20" s="1" t="s">
        <v>60</v>
      </c>
      <c r="E20" s="3"/>
      <c r="F20" s="3"/>
      <c r="G20" s="24"/>
      <c r="H20" s="24"/>
      <c r="J20" s="1" t="s">
        <v>136</v>
      </c>
      <c r="K20" s="4"/>
      <c r="L20" s="4"/>
      <c r="M20" s="4"/>
      <c r="N20" s="4"/>
      <c r="O20" s="4"/>
      <c r="P20" s="33"/>
      <c r="Q20" s="25">
        <v>0</v>
      </c>
      <c r="R20" s="25">
        <v>0</v>
      </c>
      <c r="S20" s="12">
        <f t="shared" si="0"/>
        <v>0</v>
      </c>
      <c r="T20" s="5">
        <v>0</v>
      </c>
      <c r="U20" s="12">
        <f t="shared" si="6"/>
        <v>0</v>
      </c>
      <c r="V20" s="25" t="s">
        <v>10</v>
      </c>
      <c r="W20" s="11">
        <f>IFERROR(VLOOKUP(V20,Curr!$B$2:$C$13,2,FALSE),0)</f>
        <v>11</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c r="R21" s="25"/>
      <c r="S21" s="12">
        <f t="shared" si="0"/>
        <v>0</v>
      </c>
      <c r="T21" s="5">
        <v>0</v>
      </c>
      <c r="U21" s="12">
        <f t="shared" si="6"/>
        <v>0</v>
      </c>
      <c r="V21" s="25" t="s">
        <v>10</v>
      </c>
      <c r="W21" s="11">
        <f>IFERROR(VLOOKUP(V21,Curr!$B$2:$C$13,2,FALSE),0)</f>
        <v>11</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C22" s="1" t="s">
        <v>77</v>
      </c>
      <c r="D22" s="1" t="s">
        <v>82</v>
      </c>
      <c r="E22" s="3"/>
      <c r="F22" s="3"/>
      <c r="G22" s="24"/>
      <c r="H22" s="24"/>
      <c r="J22" s="1" t="s">
        <v>225</v>
      </c>
      <c r="K22" s="4"/>
      <c r="L22" s="4"/>
      <c r="M22" s="4"/>
      <c r="N22" s="4"/>
      <c r="O22" s="4"/>
      <c r="P22" s="33" t="s">
        <v>226</v>
      </c>
      <c r="Q22" s="25">
        <v>120</v>
      </c>
      <c r="R22" s="25">
        <v>2</v>
      </c>
      <c r="S22" s="12">
        <f t="shared" si="0"/>
        <v>240</v>
      </c>
      <c r="T22" s="5">
        <v>0.25</v>
      </c>
      <c r="U22" s="12">
        <f t="shared" si="6"/>
        <v>180</v>
      </c>
      <c r="V22" s="25" t="s">
        <v>10</v>
      </c>
      <c r="W22" s="11">
        <f>IFERROR(VLOOKUP(V22,Curr!$B$2:$C$13,2,FALSE),0)</f>
        <v>11</v>
      </c>
      <c r="X22" s="12">
        <f t="shared" si="1"/>
        <v>1980</v>
      </c>
      <c r="Y22" s="26">
        <f t="shared" si="7"/>
        <v>120</v>
      </c>
      <c r="Z22" s="12">
        <f t="shared" si="2"/>
        <v>240</v>
      </c>
      <c r="AA22" s="4" t="s">
        <v>10</v>
      </c>
      <c r="AB22" s="11">
        <f>IFERROR(VLOOKUP(AA22,Curr!$B$2:$C$13,2,FALSE),0)</f>
        <v>11</v>
      </c>
      <c r="AC22" s="12">
        <f t="shared" si="3"/>
        <v>2640</v>
      </c>
      <c r="AD22" s="12">
        <f t="shared" si="4"/>
        <v>660</v>
      </c>
      <c r="AE22" s="13">
        <f t="shared" si="5"/>
        <v>0.25</v>
      </c>
    </row>
    <row r="23" spans="2:31" x14ac:dyDescent="0.25">
      <c r="B23" s="4"/>
      <c r="C23" s="1" t="s">
        <v>77</v>
      </c>
      <c r="D23" s="1" t="s">
        <v>60</v>
      </c>
      <c r="E23" s="3"/>
      <c r="F23" s="3"/>
      <c r="G23" s="24"/>
      <c r="H23" s="24"/>
      <c r="J23" s="1" t="s">
        <v>136</v>
      </c>
      <c r="K23" s="4"/>
      <c r="L23" s="4"/>
      <c r="M23" s="4"/>
      <c r="N23" s="4"/>
      <c r="O23" s="4"/>
      <c r="P23" s="27"/>
      <c r="Q23" s="25">
        <v>0</v>
      </c>
      <c r="R23" s="25">
        <v>0</v>
      </c>
      <c r="S23" s="12">
        <f t="shared" si="0"/>
        <v>0</v>
      </c>
      <c r="T23" s="5">
        <v>0</v>
      </c>
      <c r="U23" s="12">
        <f t="shared" si="6"/>
        <v>0</v>
      </c>
      <c r="V23" s="25" t="s">
        <v>10</v>
      </c>
      <c r="W23" s="11">
        <f>IFERROR(VLOOKUP(V23,Curr!$B$2:$C$13,2,FALSE),0)</f>
        <v>11</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c r="R24" s="25"/>
      <c r="S24" s="12">
        <f t="shared" si="0"/>
        <v>0</v>
      </c>
      <c r="T24" s="5">
        <v>0</v>
      </c>
      <c r="U24" s="12">
        <f t="shared" si="6"/>
        <v>0</v>
      </c>
      <c r="V24" s="25" t="s">
        <v>10</v>
      </c>
      <c r="W24" s="11">
        <f>IFERROR(VLOOKUP(V24,Curr!$B$2:$C$13,2,FALSE),0)</f>
        <v>11</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C25" s="1" t="s">
        <v>92</v>
      </c>
      <c r="D25" s="1" t="s">
        <v>82</v>
      </c>
      <c r="E25" s="3"/>
      <c r="F25" s="3"/>
      <c r="G25" s="24"/>
      <c r="H25" s="24"/>
      <c r="J25" s="1" t="s">
        <v>227</v>
      </c>
      <c r="K25" s="4"/>
      <c r="L25" s="4"/>
      <c r="M25" s="4"/>
      <c r="N25" s="4"/>
      <c r="O25" s="4"/>
      <c r="P25" s="27"/>
      <c r="Q25" s="25">
        <v>102</v>
      </c>
      <c r="R25" s="25">
        <v>2</v>
      </c>
      <c r="S25" s="12">
        <f t="shared" si="0"/>
        <v>204</v>
      </c>
      <c r="T25" s="5">
        <v>0.25</v>
      </c>
      <c r="U25" s="12">
        <f t="shared" si="6"/>
        <v>153</v>
      </c>
      <c r="V25" s="25" t="s">
        <v>10</v>
      </c>
      <c r="W25" s="11">
        <f>IFERROR(VLOOKUP(V25,Curr!$B$2:$C$13,2,FALSE),0)</f>
        <v>11</v>
      </c>
      <c r="X25" s="12">
        <f t="shared" si="1"/>
        <v>1683</v>
      </c>
      <c r="Y25" s="26">
        <f t="shared" si="7"/>
        <v>102</v>
      </c>
      <c r="Z25" s="12">
        <f t="shared" si="2"/>
        <v>204</v>
      </c>
      <c r="AA25" s="4" t="s">
        <v>10</v>
      </c>
      <c r="AB25" s="11">
        <f>IFERROR(VLOOKUP(AA25,Curr!$B$2:$C$13,2,FALSE),0)</f>
        <v>11</v>
      </c>
      <c r="AC25" s="12">
        <f t="shared" si="3"/>
        <v>2244</v>
      </c>
      <c r="AD25" s="12">
        <f t="shared" si="4"/>
        <v>561</v>
      </c>
      <c r="AE25" s="13">
        <f t="shared" si="5"/>
        <v>0.25</v>
      </c>
    </row>
    <row r="26" spans="2:31" x14ac:dyDescent="0.25">
      <c r="B26" s="4"/>
      <c r="C26" s="1" t="s">
        <v>92</v>
      </c>
      <c r="D26" s="1" t="s">
        <v>60</v>
      </c>
      <c r="E26" s="3"/>
      <c r="F26" s="3"/>
      <c r="G26" s="24"/>
      <c r="H26" s="24"/>
      <c r="J26" s="1" t="s">
        <v>136</v>
      </c>
      <c r="K26" s="4"/>
      <c r="L26" s="4"/>
      <c r="M26" s="4"/>
      <c r="N26" s="4"/>
      <c r="O26" s="4"/>
      <c r="P26" s="33"/>
      <c r="Q26" s="25">
        <v>0</v>
      </c>
      <c r="R26" s="25">
        <v>0</v>
      </c>
      <c r="S26" s="12">
        <f t="shared" si="0"/>
        <v>0</v>
      </c>
      <c r="T26" s="5">
        <v>0</v>
      </c>
      <c r="U26" s="12">
        <f t="shared" si="6"/>
        <v>0</v>
      </c>
      <c r="V26" s="25" t="s">
        <v>10</v>
      </c>
      <c r="W26" s="11">
        <f>IFERROR(VLOOKUP(V26,Curr!$B$2:$C$13,2,FALSE),0)</f>
        <v>11</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c r="R27" s="25"/>
      <c r="S27" s="12">
        <f t="shared" si="0"/>
        <v>0</v>
      </c>
      <c r="T27" s="5">
        <v>0</v>
      </c>
      <c r="U27" s="12">
        <f t="shared" si="6"/>
        <v>0</v>
      </c>
      <c r="V27" s="25" t="s">
        <v>10</v>
      </c>
      <c r="W27" s="11">
        <f>IFERROR(VLOOKUP(V27,Curr!$B$2:$C$13,2,FALSE),0)</f>
        <v>11</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C28" s="1" t="s">
        <v>94</v>
      </c>
      <c r="D28" s="1" t="s">
        <v>82</v>
      </c>
      <c r="E28" s="3"/>
      <c r="F28" s="3"/>
      <c r="G28" s="24"/>
      <c r="H28" s="24"/>
      <c r="J28" s="1" t="s">
        <v>137</v>
      </c>
      <c r="K28" s="4"/>
      <c r="L28" s="4"/>
      <c r="M28" s="4"/>
      <c r="N28" s="4"/>
      <c r="O28" s="4"/>
      <c r="P28" s="33" t="s">
        <v>182</v>
      </c>
      <c r="Q28" s="25">
        <v>163</v>
      </c>
      <c r="R28" s="25">
        <v>2</v>
      </c>
      <c r="S28" s="12">
        <f t="shared" si="0"/>
        <v>326</v>
      </c>
      <c r="T28" s="5">
        <v>0.2</v>
      </c>
      <c r="U28" s="12">
        <f t="shared" si="6"/>
        <v>260.8</v>
      </c>
      <c r="V28" s="25" t="s">
        <v>10</v>
      </c>
      <c r="W28" s="11">
        <f>IFERROR(VLOOKUP(V28,Curr!$B$2:$C$13,2,FALSE),0)</f>
        <v>11</v>
      </c>
      <c r="X28" s="12">
        <f t="shared" si="1"/>
        <v>2868.8</v>
      </c>
      <c r="Y28" s="26">
        <f t="shared" si="7"/>
        <v>163</v>
      </c>
      <c r="Z28" s="12">
        <f t="shared" si="2"/>
        <v>326</v>
      </c>
      <c r="AA28" s="4" t="s">
        <v>10</v>
      </c>
      <c r="AB28" s="11">
        <f>IFERROR(VLOOKUP(AA28,Curr!$B$2:$C$13,2,FALSE),0)</f>
        <v>11</v>
      </c>
      <c r="AC28" s="12">
        <f t="shared" si="3"/>
        <v>3586</v>
      </c>
      <c r="AD28" s="12">
        <f t="shared" si="4"/>
        <v>717.19999999999982</v>
      </c>
      <c r="AE28" s="13">
        <f t="shared" si="5"/>
        <v>0.19999999999999996</v>
      </c>
    </row>
    <row r="29" spans="2:31" x14ac:dyDescent="0.25">
      <c r="B29" s="4"/>
      <c r="C29" s="1" t="s">
        <v>94</v>
      </c>
      <c r="D29" s="1" t="s">
        <v>60</v>
      </c>
      <c r="E29" s="3"/>
      <c r="F29" s="3"/>
      <c r="G29" s="24"/>
      <c r="H29" s="24"/>
      <c r="J29" s="1" t="s">
        <v>136</v>
      </c>
      <c r="K29" s="4"/>
      <c r="L29" s="4"/>
      <c r="M29" s="4"/>
      <c r="N29" s="4"/>
      <c r="O29" s="4"/>
      <c r="P29" s="33"/>
      <c r="Q29" s="25">
        <v>0</v>
      </c>
      <c r="R29" s="25">
        <v>0</v>
      </c>
      <c r="S29" s="12">
        <f t="shared" si="0"/>
        <v>0</v>
      </c>
      <c r="T29" s="5">
        <v>0</v>
      </c>
      <c r="U29" s="12">
        <f t="shared" si="6"/>
        <v>0</v>
      </c>
      <c r="V29" s="25" t="s">
        <v>10</v>
      </c>
      <c r="W29" s="11">
        <f>IFERROR(VLOOKUP(V29,Curr!$B$2:$C$13,2,FALSE),0)</f>
        <v>11</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IFERROR(VLOOKUP(V30,Curr!$B$2:$C$13,2,FALSE),0)</f>
        <v>11</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C31" s="1" t="s">
        <v>101</v>
      </c>
      <c r="D31" s="1" t="s">
        <v>117</v>
      </c>
      <c r="E31" s="3"/>
      <c r="F31" s="3"/>
      <c r="G31" s="24"/>
      <c r="H31" s="24"/>
      <c r="J31" s="1" t="s">
        <v>133</v>
      </c>
      <c r="K31" s="4"/>
      <c r="L31" s="4"/>
      <c r="M31" s="4"/>
      <c r="N31" s="4"/>
      <c r="O31" s="4"/>
      <c r="P31" s="27"/>
      <c r="Q31" s="25">
        <v>0</v>
      </c>
      <c r="R31" s="25">
        <v>0</v>
      </c>
      <c r="S31" s="12">
        <f t="shared" si="0"/>
        <v>0</v>
      </c>
      <c r="T31" s="5">
        <v>0</v>
      </c>
      <c r="U31" s="12">
        <f t="shared" si="6"/>
        <v>0</v>
      </c>
      <c r="V31" s="25" t="s">
        <v>10</v>
      </c>
      <c r="W31" s="11">
        <f>IFERROR(VLOOKUP(V31,Curr!$B$2:$C$13,2,FALSE),0)</f>
        <v>11</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C32" s="1" t="s">
        <v>101</v>
      </c>
      <c r="D32" s="1" t="s">
        <v>78</v>
      </c>
      <c r="E32" s="3"/>
      <c r="F32" s="3"/>
      <c r="G32" s="24"/>
      <c r="H32" s="24"/>
      <c r="J32" s="1" t="s">
        <v>81</v>
      </c>
      <c r="K32" s="4"/>
      <c r="L32" s="4"/>
      <c r="M32" s="4"/>
      <c r="N32" s="4"/>
      <c r="O32" s="4"/>
      <c r="P32" s="27"/>
      <c r="Q32" s="25">
        <v>0</v>
      </c>
      <c r="R32" s="25">
        <v>0</v>
      </c>
      <c r="S32" s="12">
        <f t="shared" si="0"/>
        <v>0</v>
      </c>
      <c r="T32" s="5">
        <v>0</v>
      </c>
      <c r="U32" s="12">
        <f t="shared" si="6"/>
        <v>0</v>
      </c>
      <c r="V32" s="25" t="s">
        <v>10</v>
      </c>
      <c r="W32" s="11">
        <f>IFERROR(VLOOKUP(V32,Curr!$B$2:$C$13,2,FALSE),0)</f>
        <v>11</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c r="R33" s="25"/>
      <c r="S33" s="12">
        <f t="shared" si="0"/>
        <v>0</v>
      </c>
      <c r="T33" s="5">
        <v>0</v>
      </c>
      <c r="U33" s="12">
        <f t="shared" si="6"/>
        <v>0</v>
      </c>
      <c r="V33" s="25" t="s">
        <v>10</v>
      </c>
      <c r="W33" s="11">
        <f>IFERROR(VLOOKUP(V33,Curr!$B$2:$C$13,2,FALSE),0)</f>
        <v>11</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c r="R34" s="25"/>
      <c r="S34" s="12">
        <f t="shared" si="0"/>
        <v>0</v>
      </c>
      <c r="T34" s="5">
        <v>0</v>
      </c>
      <c r="U34" s="12">
        <f t="shared" si="6"/>
        <v>0</v>
      </c>
      <c r="V34" s="25" t="s">
        <v>10</v>
      </c>
      <c r="W34" s="11">
        <f>IFERROR(VLOOKUP(V34,Curr!$B$2:$C$13,2,FALSE),0)</f>
        <v>11</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C35" s="1" t="s">
        <v>55</v>
      </c>
      <c r="D35" s="1" t="s">
        <v>127</v>
      </c>
      <c r="E35" s="3"/>
      <c r="F35" s="3"/>
      <c r="G35" s="24"/>
      <c r="H35" s="24"/>
      <c r="J35" s="1" t="s">
        <v>131</v>
      </c>
      <c r="K35" s="4"/>
      <c r="L35" s="4"/>
      <c r="M35" s="4"/>
      <c r="N35" s="4"/>
      <c r="O35" s="4"/>
      <c r="P35" s="27"/>
      <c r="Q35" s="25">
        <v>160</v>
      </c>
      <c r="R35" s="25">
        <v>0</v>
      </c>
      <c r="S35" s="12">
        <f t="shared" si="0"/>
        <v>0</v>
      </c>
      <c r="T35" s="5">
        <v>0.2</v>
      </c>
      <c r="U35" s="12">
        <f t="shared" si="6"/>
        <v>0</v>
      </c>
      <c r="V35" s="25" t="s">
        <v>10</v>
      </c>
      <c r="W35" s="11">
        <f>IFERROR(VLOOKUP(V35,Curr!$B$2:$C$13,2,FALSE),0)</f>
        <v>11</v>
      </c>
      <c r="X35" s="12">
        <f t="shared" si="1"/>
        <v>0</v>
      </c>
      <c r="Y35" s="26">
        <f t="shared" si="7"/>
        <v>160</v>
      </c>
      <c r="Z35" s="12">
        <f t="shared" si="2"/>
        <v>0</v>
      </c>
      <c r="AA35" s="4" t="s">
        <v>10</v>
      </c>
      <c r="AB35" s="11">
        <f>IFERROR(VLOOKUP(AA35,Curr!$B$2:$C$13,2,FALSE),0)</f>
        <v>11</v>
      </c>
      <c r="AC35" s="12">
        <f t="shared" si="3"/>
        <v>0</v>
      </c>
      <c r="AD35" s="12">
        <f t="shared" si="4"/>
        <v>0</v>
      </c>
      <c r="AE35" s="13">
        <f t="shared" si="5"/>
        <v>0</v>
      </c>
    </row>
    <row r="36" spans="2:31" x14ac:dyDescent="0.25">
      <c r="B36" s="4"/>
      <c r="C36" s="1" t="s">
        <v>55</v>
      </c>
      <c r="D36" s="1" t="s">
        <v>127</v>
      </c>
      <c r="E36" s="3"/>
      <c r="F36" s="3"/>
      <c r="G36" s="24"/>
      <c r="H36" s="24"/>
      <c r="J36" s="1" t="s">
        <v>132</v>
      </c>
      <c r="K36" s="4"/>
      <c r="L36" s="4"/>
      <c r="M36" s="4"/>
      <c r="N36" s="4"/>
      <c r="O36" s="4"/>
      <c r="P36" s="33"/>
      <c r="Q36" s="25">
        <v>39</v>
      </c>
      <c r="R36" s="25">
        <v>0</v>
      </c>
      <c r="S36" s="12">
        <f t="shared" si="0"/>
        <v>0</v>
      </c>
      <c r="T36" s="5">
        <v>0.2</v>
      </c>
      <c r="U36" s="12">
        <f t="shared" si="6"/>
        <v>0</v>
      </c>
      <c r="V36" s="25" t="s">
        <v>10</v>
      </c>
      <c r="W36" s="11">
        <f>IFERROR(VLOOKUP(V36,Curr!$B$2:$C$13,2,FALSE),0)</f>
        <v>11</v>
      </c>
      <c r="X36" s="12">
        <f t="shared" si="1"/>
        <v>0</v>
      </c>
      <c r="Y36" s="26">
        <f t="shared" si="7"/>
        <v>39</v>
      </c>
      <c r="Z36" s="12">
        <f t="shared" si="2"/>
        <v>0</v>
      </c>
      <c r="AA36" s="4" t="s">
        <v>10</v>
      </c>
      <c r="AB36" s="11">
        <f>IFERROR(VLOOKUP(AA36,Curr!$B$2:$C$13,2,FALSE),0)</f>
        <v>11</v>
      </c>
      <c r="AC36" s="12">
        <f t="shared" si="3"/>
        <v>0</v>
      </c>
      <c r="AD36" s="12">
        <f t="shared" si="4"/>
        <v>0</v>
      </c>
      <c r="AE36" s="13">
        <f t="shared" si="5"/>
        <v>0</v>
      </c>
    </row>
    <row r="37" spans="2:31" x14ac:dyDescent="0.25">
      <c r="B37" s="4"/>
      <c r="C37" s="1" t="s">
        <v>101</v>
      </c>
      <c r="D37" s="1" t="s">
        <v>127</v>
      </c>
      <c r="E37" s="3"/>
      <c r="F37" s="3"/>
      <c r="G37" s="24"/>
      <c r="H37" s="24"/>
      <c r="J37" s="1" t="s">
        <v>134</v>
      </c>
      <c r="K37" s="4"/>
      <c r="L37" s="4"/>
      <c r="M37" s="4"/>
      <c r="N37" s="4"/>
      <c r="O37" s="4"/>
      <c r="P37" s="27"/>
      <c r="Q37" s="25">
        <v>160</v>
      </c>
      <c r="R37" s="25">
        <v>0</v>
      </c>
      <c r="S37" s="12">
        <f t="shared" si="0"/>
        <v>0</v>
      </c>
      <c r="T37" s="5">
        <v>0.2</v>
      </c>
      <c r="U37" s="12">
        <f t="shared" si="6"/>
        <v>0</v>
      </c>
      <c r="V37" s="25" t="s">
        <v>10</v>
      </c>
      <c r="W37" s="11">
        <f>IFERROR(VLOOKUP(V37,Curr!$B$2:$C$13,2,FALSE),0)</f>
        <v>11</v>
      </c>
      <c r="X37" s="12">
        <f t="shared" si="1"/>
        <v>0</v>
      </c>
      <c r="Y37" s="26">
        <f t="shared" si="7"/>
        <v>160</v>
      </c>
      <c r="Z37" s="12">
        <f t="shared" si="2"/>
        <v>0</v>
      </c>
      <c r="AA37" s="4" t="s">
        <v>10</v>
      </c>
      <c r="AB37" s="11">
        <f>IFERROR(VLOOKUP(AA37,Curr!$B$2:$C$13,2,FALSE),0)</f>
        <v>11</v>
      </c>
      <c r="AC37" s="12">
        <f t="shared" si="3"/>
        <v>0</v>
      </c>
      <c r="AD37" s="12">
        <f t="shared" si="4"/>
        <v>0</v>
      </c>
      <c r="AE37" s="13">
        <f t="shared" si="5"/>
        <v>0</v>
      </c>
    </row>
    <row r="38" spans="2:31" x14ac:dyDescent="0.25">
      <c r="B38" s="4"/>
      <c r="C38" s="1" t="s">
        <v>101</v>
      </c>
      <c r="D38" s="1" t="s">
        <v>127</v>
      </c>
      <c r="E38" s="3"/>
      <c r="F38" s="3"/>
      <c r="G38" s="24"/>
      <c r="H38" s="24"/>
      <c r="J38" s="1" t="s">
        <v>135</v>
      </c>
      <c r="K38" s="4"/>
      <c r="L38" s="4"/>
      <c r="M38" s="4"/>
      <c r="N38" s="4"/>
      <c r="O38" s="4"/>
      <c r="P38" s="33"/>
      <c r="Q38" s="25">
        <v>39</v>
      </c>
      <c r="R38" s="25">
        <v>0</v>
      </c>
      <c r="S38" s="12">
        <f t="shared" si="0"/>
        <v>0</v>
      </c>
      <c r="T38" s="5">
        <v>0.2</v>
      </c>
      <c r="U38" s="12">
        <f t="shared" si="6"/>
        <v>0</v>
      </c>
      <c r="V38" s="25" t="s">
        <v>10</v>
      </c>
      <c r="W38" s="11">
        <f>IFERROR(VLOOKUP(V38,Curr!$B$2:$C$13,2,FALSE),0)</f>
        <v>11</v>
      </c>
      <c r="X38" s="12">
        <f t="shared" si="1"/>
        <v>0</v>
      </c>
      <c r="Y38" s="26">
        <f t="shared" si="7"/>
        <v>39</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c r="R39" s="25"/>
      <c r="S39" s="12">
        <f t="shared" si="0"/>
        <v>0</v>
      </c>
      <c r="T39" s="5">
        <v>0</v>
      </c>
      <c r="U39" s="12">
        <f t="shared" si="6"/>
        <v>0</v>
      </c>
      <c r="V39" s="25" t="s">
        <v>10</v>
      </c>
      <c r="W39" s="11">
        <f>IFERROR(VLOOKUP(V39,Curr!$B$2:$C$13,2,FALSE),0)</f>
        <v>11</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c r="R40" s="25"/>
      <c r="S40" s="12">
        <f t="shared" si="0"/>
        <v>0</v>
      </c>
      <c r="T40" s="5">
        <v>0</v>
      </c>
      <c r="U40" s="12">
        <f t="shared" si="6"/>
        <v>0</v>
      </c>
      <c r="V40" s="25" t="s">
        <v>10</v>
      </c>
      <c r="W40" s="11">
        <f>IFERROR(VLOOKUP(V40,Curr!$B$2:$C$13,2,FALSE),0)</f>
        <v>11</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C41" s="1" t="s">
        <v>55</v>
      </c>
      <c r="D41" s="1" t="s">
        <v>229</v>
      </c>
      <c r="E41" s="3"/>
      <c r="F41" s="3"/>
      <c r="G41" s="24"/>
      <c r="H41" s="24"/>
      <c r="J41" s="1" t="s">
        <v>260</v>
      </c>
      <c r="K41" s="4"/>
      <c r="L41" s="4"/>
      <c r="M41" s="4"/>
      <c r="N41" s="4"/>
      <c r="O41" s="4"/>
      <c r="P41" s="33" t="s">
        <v>259</v>
      </c>
      <c r="Q41" s="25">
        <v>35</v>
      </c>
      <c r="R41" s="25">
        <v>0</v>
      </c>
      <c r="S41" s="12">
        <f t="shared" si="0"/>
        <v>0</v>
      </c>
      <c r="T41" s="5">
        <v>0.2</v>
      </c>
      <c r="U41" s="12">
        <f t="shared" si="6"/>
        <v>0</v>
      </c>
      <c r="V41" s="25" t="s">
        <v>10</v>
      </c>
      <c r="W41" s="11">
        <f>IFERROR(VLOOKUP(V41,Curr!$B$2:$C$13,2,FALSE),0)</f>
        <v>11</v>
      </c>
      <c r="X41" s="12">
        <f t="shared" si="1"/>
        <v>0</v>
      </c>
      <c r="Y41" s="26">
        <f t="shared" si="7"/>
        <v>35</v>
      </c>
      <c r="Z41" s="12">
        <f t="shared" si="2"/>
        <v>0</v>
      </c>
      <c r="AA41" s="4" t="s">
        <v>10</v>
      </c>
      <c r="AB41" s="11">
        <f>IFERROR(VLOOKUP(AA41,Curr!$B$2:$C$13,2,FALSE),0)</f>
        <v>11</v>
      </c>
      <c r="AC41" s="12">
        <f t="shared" si="3"/>
        <v>0</v>
      </c>
      <c r="AD41" s="12">
        <f t="shared" si="4"/>
        <v>0</v>
      </c>
      <c r="AE41" s="13">
        <f t="shared" si="5"/>
        <v>0</v>
      </c>
    </row>
    <row r="42" spans="2:31" x14ac:dyDescent="0.25">
      <c r="B42" s="4"/>
      <c r="C42" s="1" t="s">
        <v>55</v>
      </c>
      <c r="D42" s="1" t="s">
        <v>229</v>
      </c>
      <c r="E42" s="3"/>
      <c r="F42" s="3"/>
      <c r="G42" s="24"/>
      <c r="H42" s="24"/>
      <c r="J42" s="1" t="s">
        <v>261</v>
      </c>
      <c r="K42" s="4"/>
      <c r="L42" s="4"/>
      <c r="M42" s="4"/>
      <c r="N42" s="4"/>
      <c r="O42" s="4"/>
      <c r="P42" s="33" t="s">
        <v>262</v>
      </c>
      <c r="Q42" s="25">
        <v>109</v>
      </c>
      <c r="R42" s="25">
        <v>0</v>
      </c>
      <c r="S42" s="12">
        <f t="shared" si="0"/>
        <v>0</v>
      </c>
      <c r="T42" s="5">
        <v>0.2</v>
      </c>
      <c r="U42" s="12">
        <f t="shared" si="6"/>
        <v>0</v>
      </c>
      <c r="V42" s="25" t="s">
        <v>10</v>
      </c>
      <c r="W42" s="11">
        <f>IFERROR(VLOOKUP(V42,Curr!$B$2:$C$13,2,FALSE),0)</f>
        <v>11</v>
      </c>
      <c r="X42" s="12">
        <f t="shared" si="1"/>
        <v>0</v>
      </c>
      <c r="Y42" s="26">
        <f t="shared" si="7"/>
        <v>109</v>
      </c>
      <c r="Z42" s="12">
        <f t="shared" si="2"/>
        <v>0</v>
      </c>
      <c r="AA42" s="4" t="s">
        <v>10</v>
      </c>
      <c r="AB42" s="11">
        <f>IFERROR(VLOOKUP(AA42,Curr!$B$2:$C$13,2,FALSE),0)</f>
        <v>11</v>
      </c>
      <c r="AC42" s="12">
        <f t="shared" si="3"/>
        <v>0</v>
      </c>
      <c r="AD42" s="12">
        <f t="shared" si="4"/>
        <v>0</v>
      </c>
      <c r="AE42" s="13">
        <f t="shared" si="5"/>
        <v>0</v>
      </c>
    </row>
    <row r="43" spans="2:31" x14ac:dyDescent="0.25">
      <c r="B43" s="4"/>
      <c r="C43" s="1" t="s">
        <v>94</v>
      </c>
      <c r="D43" s="1" t="s">
        <v>229</v>
      </c>
      <c r="E43" s="3"/>
      <c r="F43" s="3"/>
      <c r="G43" s="24"/>
      <c r="H43" s="24"/>
      <c r="J43" s="1" t="s">
        <v>263</v>
      </c>
      <c r="K43" s="4"/>
      <c r="L43" s="4"/>
      <c r="M43" s="4"/>
      <c r="N43" s="4"/>
      <c r="O43" s="4"/>
      <c r="P43" s="33" t="s">
        <v>264</v>
      </c>
      <c r="Q43" s="25">
        <v>185</v>
      </c>
      <c r="R43" s="25">
        <v>0</v>
      </c>
      <c r="S43" s="12">
        <f t="shared" si="0"/>
        <v>0</v>
      </c>
      <c r="T43" s="5">
        <v>0.2</v>
      </c>
      <c r="U43" s="12">
        <f t="shared" si="6"/>
        <v>0</v>
      </c>
      <c r="V43" s="25" t="s">
        <v>10</v>
      </c>
      <c r="W43" s="11">
        <f>IFERROR(VLOOKUP(V43,Curr!$B$2:$C$13,2,FALSE),0)</f>
        <v>11</v>
      </c>
      <c r="X43" s="12">
        <f t="shared" si="1"/>
        <v>0</v>
      </c>
      <c r="Y43" s="26">
        <f t="shared" si="7"/>
        <v>185</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c r="R44" s="25"/>
      <c r="S44" s="12">
        <f t="shared" si="0"/>
        <v>0</v>
      </c>
      <c r="T44" s="5">
        <v>0</v>
      </c>
      <c r="U44" s="12">
        <f t="shared" si="6"/>
        <v>0</v>
      </c>
      <c r="V44" s="25" t="s">
        <v>10</v>
      </c>
      <c r="W44" s="11">
        <f>IFERROR(VLOOKUP(V44,Curr!$B$2:$C$13,2,FALSE),0)</f>
        <v>11</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ref="S45:S50" si="8">+Q45*R45</f>
        <v>0</v>
      </c>
      <c r="T45" s="5">
        <v>0</v>
      </c>
      <c r="U45" s="12">
        <f t="shared" ref="U45:U50" si="9">S45*(1-T45)</f>
        <v>0</v>
      </c>
      <c r="V45" s="25" t="s">
        <v>10</v>
      </c>
      <c r="W45" s="11">
        <f>IFERROR(VLOOKUP(V45,Curr!$B$2:$C$13,2,FALSE),0)</f>
        <v>11</v>
      </c>
      <c r="X45" s="12">
        <f t="shared" ref="X45:X50" si="10">U45*W45</f>
        <v>0</v>
      </c>
      <c r="Y45" s="26">
        <f t="shared" ref="Y45:Y50" si="11">Q45</f>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c r="R46" s="25"/>
      <c r="S46" s="12">
        <f t="shared" si="8"/>
        <v>0</v>
      </c>
      <c r="T46" s="5">
        <v>0</v>
      </c>
      <c r="U46" s="12">
        <f t="shared" si="9"/>
        <v>0</v>
      </c>
      <c r="V46" s="25" t="s">
        <v>10</v>
      </c>
      <c r="W46" s="11">
        <f>IFERROR(VLOOKUP(V46,Curr!$B$2:$C$13,2,FALSE),0)</f>
        <v>11</v>
      </c>
      <c r="X46" s="12">
        <f t="shared" si="10"/>
        <v>0</v>
      </c>
      <c r="Y46" s="26">
        <f t="shared" si="11"/>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c r="R47" s="25"/>
      <c r="S47" s="12">
        <f t="shared" si="8"/>
        <v>0</v>
      </c>
      <c r="T47" s="5">
        <v>0</v>
      </c>
      <c r="U47" s="12">
        <f t="shared" si="9"/>
        <v>0</v>
      </c>
      <c r="V47" s="25" t="s">
        <v>10</v>
      </c>
      <c r="W47" s="11">
        <f>IFERROR(VLOOKUP(V47,Curr!$B$2:$C$13,2,FALSE),0)</f>
        <v>11</v>
      </c>
      <c r="X47" s="12">
        <f t="shared" si="10"/>
        <v>0</v>
      </c>
      <c r="Y47" s="26">
        <f t="shared" si="11"/>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8"/>
        <v>0</v>
      </c>
      <c r="T48" s="5">
        <v>0</v>
      </c>
      <c r="U48" s="12">
        <f t="shared" si="9"/>
        <v>0</v>
      </c>
      <c r="V48" s="25" t="s">
        <v>10</v>
      </c>
      <c r="W48" s="11">
        <f>IFERROR(VLOOKUP(V48,Curr!$B$2:$C$13,2,FALSE),0)</f>
        <v>11</v>
      </c>
      <c r="X48" s="12">
        <f t="shared" si="10"/>
        <v>0</v>
      </c>
      <c r="Y48" s="26">
        <f t="shared" si="11"/>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33"/>
      <c r="Q49" s="25"/>
      <c r="R49" s="25"/>
      <c r="S49" s="12">
        <f t="shared" si="8"/>
        <v>0</v>
      </c>
      <c r="T49" s="5">
        <v>0</v>
      </c>
      <c r="U49" s="12">
        <f t="shared" si="9"/>
        <v>0</v>
      </c>
      <c r="V49" s="25" t="s">
        <v>10</v>
      </c>
      <c r="W49" s="11">
        <f>IFERROR(VLOOKUP(V49,Curr!$B$2:$C$13,2,FALSE),0)</f>
        <v>11</v>
      </c>
      <c r="X49" s="12">
        <f t="shared" si="10"/>
        <v>0</v>
      </c>
      <c r="Y49" s="26">
        <f t="shared" si="11"/>
        <v>0</v>
      </c>
      <c r="Z49" s="12">
        <f t="shared" si="2"/>
        <v>0</v>
      </c>
      <c r="AA49" s="4" t="s">
        <v>10</v>
      </c>
      <c r="AB49" s="11">
        <f>IFERROR(VLOOKUP(AA49,Curr!$B$2:$C$13,2,FALSE),0)</f>
        <v>11</v>
      </c>
      <c r="AC49" s="12">
        <f t="shared" si="3"/>
        <v>0</v>
      </c>
      <c r="AD49" s="12">
        <f t="shared" si="4"/>
        <v>0</v>
      </c>
      <c r="AE49" s="13">
        <f t="shared" si="5"/>
        <v>0</v>
      </c>
    </row>
    <row r="50" spans="2:36" x14ac:dyDescent="0.25">
      <c r="B50" s="4"/>
      <c r="E50" s="3"/>
      <c r="F50" s="3"/>
      <c r="G50" s="24"/>
      <c r="H50" s="24"/>
      <c r="K50" s="4"/>
      <c r="L50" s="4"/>
      <c r="M50" s="4"/>
      <c r="N50" s="4"/>
      <c r="O50" s="4"/>
      <c r="P50" s="27"/>
      <c r="Q50" s="25"/>
      <c r="R50" s="25"/>
      <c r="S50" s="12">
        <f t="shared" si="8"/>
        <v>0</v>
      </c>
      <c r="T50" s="5">
        <v>0</v>
      </c>
      <c r="U50" s="12">
        <f t="shared" si="9"/>
        <v>0</v>
      </c>
      <c r="V50" s="25" t="s">
        <v>10</v>
      </c>
      <c r="W50" s="11">
        <f>IFERROR(VLOOKUP(V50,Curr!$B$2:$C$13,2,FALSE),0)</f>
        <v>11</v>
      </c>
      <c r="X50" s="12">
        <f t="shared" si="10"/>
        <v>0</v>
      </c>
      <c r="Y50" s="26">
        <f t="shared" si="11"/>
        <v>0</v>
      </c>
      <c r="Z50" s="12">
        <f t="shared" si="2"/>
        <v>0</v>
      </c>
      <c r="AA50" s="4" t="s">
        <v>10</v>
      </c>
      <c r="AB50" s="11">
        <f>IFERROR(VLOOKUP(AA50,Curr!$B$2:$C$13,2,FALSE),0)</f>
        <v>11</v>
      </c>
      <c r="AC50" s="12">
        <f t="shared" si="3"/>
        <v>0</v>
      </c>
      <c r="AD50" s="12">
        <f t="shared" si="4"/>
        <v>0</v>
      </c>
      <c r="AE50" s="13">
        <f t="shared" si="5"/>
        <v>0</v>
      </c>
    </row>
    <row r="51" spans="2:36" x14ac:dyDescent="0.25">
      <c r="B51" s="4"/>
      <c r="E51" s="3"/>
      <c r="F51" s="3"/>
      <c r="G51" s="3"/>
      <c r="H51" s="3"/>
      <c r="L51" s="4"/>
      <c r="M51" s="4"/>
      <c r="N51" s="4"/>
      <c r="O51" s="4"/>
      <c r="P51" s="22"/>
      <c r="Q51" s="4"/>
      <c r="R51" s="4"/>
      <c r="S51" s="4"/>
      <c r="T51" s="4"/>
      <c r="U51" s="4"/>
      <c r="V51" s="4"/>
      <c r="W51" s="4"/>
      <c r="X51" s="4"/>
      <c r="Y51" s="4"/>
      <c r="Z51" s="4"/>
      <c r="AA51" s="4"/>
      <c r="AB51" s="4"/>
      <c r="AC51" s="4"/>
      <c r="AD51" s="4"/>
      <c r="AE51" s="4"/>
      <c r="AF51" s="4"/>
    </row>
    <row r="52" spans="2:36" x14ac:dyDescent="0.25">
      <c r="B52" s="14" t="s">
        <v>18</v>
      </c>
      <c r="C52" s="14"/>
      <c r="D52" s="28" t="s">
        <v>42</v>
      </c>
      <c r="E52" s="30" t="s">
        <v>42</v>
      </c>
      <c r="F52" s="30" t="s">
        <v>42</v>
      </c>
      <c r="G52" s="30" t="s">
        <v>42</v>
      </c>
      <c r="H52" s="30" t="s">
        <v>42</v>
      </c>
      <c r="I52" s="28" t="s">
        <v>42</v>
      </c>
      <c r="J52" s="28" t="s">
        <v>42</v>
      </c>
      <c r="K52" s="28" t="s">
        <v>42</v>
      </c>
      <c r="L52" s="28" t="s">
        <v>42</v>
      </c>
      <c r="M52" s="28" t="s">
        <v>42</v>
      </c>
      <c r="N52" s="28" t="s">
        <v>42</v>
      </c>
      <c r="O52" s="28" t="s">
        <v>42</v>
      </c>
      <c r="P52" s="28" t="s">
        <v>42</v>
      </c>
      <c r="Q52" s="31" t="s">
        <v>42</v>
      </c>
      <c r="R52" s="28" t="s">
        <v>42</v>
      </c>
      <c r="S52" s="32" t="s">
        <v>42</v>
      </c>
      <c r="T52" s="28" t="s">
        <v>42</v>
      </c>
      <c r="U52" s="32" t="s">
        <v>42</v>
      </c>
      <c r="V52" s="28" t="s">
        <v>42</v>
      </c>
      <c r="W52" s="28" t="s">
        <v>42</v>
      </c>
      <c r="X52" s="32" t="s">
        <v>42</v>
      </c>
      <c r="Y52" s="32" t="s">
        <v>42</v>
      </c>
      <c r="Z52" s="15">
        <f>SUM(Z7:Z50)</f>
        <v>3023.4117647058824</v>
      </c>
      <c r="AA52" s="14"/>
      <c r="AB52" s="14"/>
      <c r="AC52" s="15">
        <f>SUM(AC7:AC50)</f>
        <v>33257.529411764706</v>
      </c>
      <c r="AD52" s="15">
        <f>SUM(AD7:AD50)</f>
        <v>6410.9294117647059</v>
      </c>
      <c r="AE52" s="21">
        <f t="shared" ref="AE52" si="12">IFERROR(AD52/AC52,0)</f>
        <v>0.19276625549632281</v>
      </c>
      <c r="AF52" s="15">
        <f>SUM(AF8:AF51)</f>
        <v>0</v>
      </c>
      <c r="AG52" s="15">
        <f>SUM(AG8:AG51)</f>
        <v>0</v>
      </c>
      <c r="AH52" s="15">
        <f>SUM(AH8:AH51)</f>
        <v>0</v>
      </c>
      <c r="AI52" s="15">
        <f>SUM(AI8:AI51)</f>
        <v>0</v>
      </c>
      <c r="AJ52" s="15">
        <f>SUM(AJ8:AJ51)</f>
        <v>0</v>
      </c>
    </row>
    <row r="53" spans="2:36" x14ac:dyDescent="0.25">
      <c r="B53" s="4"/>
      <c r="E53" s="3"/>
      <c r="F53" s="3"/>
      <c r="G53" s="3"/>
      <c r="H53" s="3"/>
      <c r="L53" s="4"/>
      <c r="M53" s="4"/>
      <c r="N53" s="4"/>
      <c r="O53" s="4"/>
      <c r="Q53" s="4"/>
      <c r="R53" s="4"/>
      <c r="S53" s="4"/>
      <c r="T53" s="4"/>
      <c r="U53" s="4"/>
      <c r="V53" s="4"/>
      <c r="W53" s="4"/>
      <c r="X53" s="4"/>
      <c r="Y53" s="9"/>
      <c r="Z53" s="9"/>
      <c r="AA53" s="9"/>
      <c r="AB53" s="9"/>
      <c r="AC53" s="9"/>
      <c r="AD53" s="9"/>
      <c r="AE53" s="9"/>
    </row>
    <row r="54" spans="2:36" x14ac:dyDescent="0.25">
      <c r="B54" s="4"/>
      <c r="E54" s="3"/>
      <c r="F54" s="3"/>
      <c r="G54" s="3"/>
      <c r="H54" s="3"/>
      <c r="L54" s="4"/>
      <c r="M54" s="4"/>
      <c r="N54" s="4"/>
      <c r="O54" s="4"/>
      <c r="Q54" s="9"/>
      <c r="R54" s="9"/>
      <c r="S54" s="9"/>
      <c r="T54" s="9"/>
      <c r="U54" s="9"/>
      <c r="V54" s="9"/>
      <c r="W54" s="9"/>
      <c r="X54" s="23"/>
      <c r="Y54" s="34" t="s">
        <v>234</v>
      </c>
      <c r="Z54" s="34">
        <f>Z12+Z14+Z16+Z19+Z22+Z25+Z28</f>
        <v>1494</v>
      </c>
      <c r="AA54" s="9"/>
      <c r="AB54" s="9"/>
      <c r="AC54" s="9"/>
      <c r="AD54" s="9"/>
      <c r="AE54" s="9"/>
    </row>
    <row r="55" spans="2:36" x14ac:dyDescent="0.25">
      <c r="B55" s="4"/>
      <c r="E55" s="3"/>
      <c r="F55" s="3"/>
      <c r="G55" s="3"/>
      <c r="H55" s="3"/>
      <c r="L55" s="4"/>
      <c r="M55" s="4"/>
      <c r="N55" s="4"/>
      <c r="O55" s="4"/>
      <c r="Q55" s="9"/>
      <c r="R55" s="9"/>
      <c r="S55" s="9"/>
      <c r="T55" s="9"/>
      <c r="U55" s="9"/>
      <c r="V55" s="9"/>
      <c r="W55" s="9"/>
      <c r="X55" s="9"/>
      <c r="Y55" s="35" t="s">
        <v>235</v>
      </c>
      <c r="Z55" s="34">
        <f>Z9</f>
        <v>1529.4117647058824</v>
      </c>
      <c r="AA55" s="9"/>
      <c r="AB55" s="9"/>
      <c r="AC55" s="9"/>
      <c r="AD55" s="9"/>
      <c r="AE55" s="9"/>
      <c r="AF55" s="18"/>
    </row>
    <row r="56" spans="2:36" x14ac:dyDescent="0.25">
      <c r="B56" s="4"/>
      <c r="E56" s="3"/>
      <c r="F56" s="3"/>
      <c r="G56" s="3"/>
      <c r="H56" s="3"/>
      <c r="I56" s="19"/>
      <c r="L56" s="4"/>
      <c r="M56" s="4"/>
      <c r="N56" s="4"/>
      <c r="O56" s="20"/>
      <c r="Q56" s="20"/>
      <c r="R56" s="20"/>
      <c r="S56" s="20"/>
      <c r="T56" s="20"/>
      <c r="U56" s="20"/>
      <c r="V56" s="20"/>
      <c r="W56" s="20"/>
      <c r="X56" s="20"/>
      <c r="Y56" s="34" t="s">
        <v>236</v>
      </c>
      <c r="Z56" s="34">
        <v>3020</v>
      </c>
      <c r="AA56" s="9">
        <f>Z56*0.88</f>
        <v>2657.6</v>
      </c>
      <c r="AB56" s="9"/>
      <c r="AC56" s="9"/>
      <c r="AD56" s="9"/>
      <c r="AE56" s="9"/>
      <c r="AF56" s="18"/>
    </row>
    <row r="57" spans="2:36" x14ac:dyDescent="0.25">
      <c r="B57" s="4"/>
      <c r="E57" s="3"/>
      <c r="F57" s="3"/>
      <c r="G57" s="3"/>
      <c r="H57" s="3"/>
      <c r="L57" s="4"/>
      <c r="M57" s="4"/>
      <c r="N57" s="4"/>
      <c r="O57" s="20"/>
      <c r="Q57" s="20"/>
      <c r="R57" s="20"/>
      <c r="S57" s="20"/>
      <c r="T57" s="20"/>
      <c r="U57" s="20"/>
      <c r="V57" s="20"/>
      <c r="W57" s="20"/>
      <c r="X57" s="20"/>
      <c r="Y57" s="34" t="s">
        <v>45</v>
      </c>
      <c r="Z57" s="34">
        <f>Z56/2</f>
        <v>1510</v>
      </c>
      <c r="AA57" s="9"/>
      <c r="AB57" s="9"/>
      <c r="AC57" s="9"/>
      <c r="AD57" s="9"/>
      <c r="AE57" s="9"/>
      <c r="AF57" s="18"/>
    </row>
    <row r="58" spans="2:36" x14ac:dyDescent="0.25">
      <c r="B58" s="4"/>
      <c r="E58" s="3"/>
      <c r="F58" s="3"/>
      <c r="G58" s="3"/>
      <c r="H58" s="3"/>
      <c r="L58" s="4"/>
      <c r="M58" s="4"/>
      <c r="N58" s="4"/>
      <c r="O58" s="4"/>
      <c r="Q58" s="9"/>
      <c r="R58" s="9"/>
      <c r="S58" s="9"/>
      <c r="T58" s="9"/>
      <c r="U58" s="9"/>
      <c r="V58" s="9"/>
      <c r="W58" s="9"/>
      <c r="X58" s="9"/>
      <c r="Y58" s="1"/>
      <c r="Z58" s="1"/>
      <c r="AA58" s="9"/>
      <c r="AB58" s="9"/>
      <c r="AC58" s="9"/>
      <c r="AD58" s="9"/>
      <c r="AE58" s="9"/>
      <c r="AF58" s="18"/>
    </row>
    <row r="59" spans="2:36" x14ac:dyDescent="0.25">
      <c r="F59" s="1"/>
      <c r="G59" s="1"/>
      <c r="H59" s="1"/>
      <c r="J59" s="1" t="s">
        <v>32</v>
      </c>
      <c r="Q59" s="9"/>
      <c r="R59" s="4"/>
      <c r="S59" s="9"/>
      <c r="T59" s="5"/>
      <c r="U59" s="9"/>
      <c r="V59" s="4"/>
      <c r="W59" s="4"/>
      <c r="X59" s="9"/>
      <c r="Y59" s="9" t="s">
        <v>46</v>
      </c>
      <c r="Z59" s="9">
        <f>Z56-Z60</f>
        <v>3020</v>
      </c>
      <c r="AA59" s="9"/>
      <c r="AB59" s="9"/>
      <c r="AC59" s="9"/>
      <c r="AD59" s="9"/>
      <c r="AE59" s="9"/>
    </row>
    <row r="60" spans="2:36" x14ac:dyDescent="0.25">
      <c r="R60" s="4"/>
      <c r="S60" s="17"/>
      <c r="T60" s="17"/>
      <c r="U60" s="9"/>
      <c r="V60" s="4"/>
      <c r="W60" s="4"/>
      <c r="X60" s="9"/>
      <c r="Y60" s="9" t="s">
        <v>47</v>
      </c>
      <c r="Z60" s="9">
        <v>0</v>
      </c>
      <c r="AA60" s="9"/>
      <c r="AB60" s="9"/>
      <c r="AC60" s="9"/>
      <c r="AD60" s="9"/>
      <c r="AE60" s="9"/>
    </row>
    <row r="61" spans="2:36" x14ac:dyDescent="0.25">
      <c r="Q61" s="9"/>
      <c r="R61" s="4"/>
      <c r="S61" s="16"/>
      <c r="T61" s="16"/>
      <c r="U61" s="9"/>
      <c r="V61" s="4"/>
      <c r="W61" s="4"/>
      <c r="X61" s="9"/>
      <c r="Y61" s="9"/>
      <c r="Z61" s="9"/>
      <c r="AA61" s="9"/>
      <c r="AB61" s="9"/>
      <c r="AC61" s="9"/>
      <c r="AD61" s="9"/>
      <c r="AE61" s="9"/>
    </row>
    <row r="62" spans="2:36" x14ac:dyDescent="0.25">
      <c r="R62" s="4"/>
      <c r="S62" s="16"/>
      <c r="T62" s="16"/>
      <c r="Y62" s="9" t="s">
        <v>48</v>
      </c>
      <c r="Z62" s="9">
        <f>Z56*0.3</f>
        <v>906</v>
      </c>
      <c r="AA62" s="9"/>
      <c r="AB62" s="9"/>
      <c r="AC62" s="9"/>
      <c r="AD62" s="9"/>
      <c r="AE62" s="9"/>
    </row>
    <row r="63" spans="2:36" x14ac:dyDescent="0.25">
      <c r="T63" s="5"/>
      <c r="Y63" s="9" t="s">
        <v>49</v>
      </c>
      <c r="Z63" s="9">
        <f>Z56-Z62</f>
        <v>2114</v>
      </c>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c r="Y70" s="9"/>
      <c r="Z70" s="9"/>
      <c r="AA70" s="9"/>
      <c r="AB70" s="9"/>
      <c r="AC70" s="9"/>
      <c r="AD70" s="9"/>
      <c r="AE70" s="9"/>
    </row>
    <row r="71" spans="20:31" x14ac:dyDescent="0.25">
      <c r="T71" s="5"/>
    </row>
    <row r="72" spans="20:31" x14ac:dyDescent="0.25">
      <c r="T72" s="5"/>
    </row>
    <row r="73" spans="20:31" x14ac:dyDescent="0.25">
      <c r="T73" s="5"/>
    </row>
    <row r="74" spans="20:31" x14ac:dyDescent="0.25">
      <c r="T74" s="5"/>
    </row>
    <row r="75" spans="20:31" x14ac:dyDescent="0.25">
      <c r="T75" s="5"/>
    </row>
  </sheetData>
  <autoFilter ref="B6:AE52" xr:uid="{65FA6D9B-E0AF-46CD-BA0D-86BB75FE6AB0}"/>
  <hyperlinks>
    <hyperlink ref="P12" r:id="rId1" xr:uid="{4D462305-6ECA-4CE1-813D-6D17159818A7}"/>
    <hyperlink ref="P14" r:id="rId2" xr:uid="{19F223A4-CD58-4AB9-BD3C-9BC7B2E2BEE6}"/>
    <hyperlink ref="P16" r:id="rId3" xr:uid="{6AC93A15-8887-4417-9181-9BAAAAB3A6D0}"/>
    <hyperlink ref="P19" r:id="rId4" xr:uid="{1562661D-D395-4C42-BB1C-2FD7F23299F2}"/>
    <hyperlink ref="P28" r:id="rId5" xr:uid="{FA5BCB80-9F01-49AC-82E1-D145504B5457}"/>
    <hyperlink ref="P22" r:id="rId6" xr:uid="{4149629C-5FAF-4825-AD17-2EAAFABEA69B}"/>
    <hyperlink ref="P9" r:id="rId7" xr:uid="{456D7362-0034-4288-9BAF-B78FEF531AC0}"/>
    <hyperlink ref="P41" r:id="rId8" xr:uid="{6326E6E3-E7C0-4BDB-8646-23F588BAEDD7}"/>
    <hyperlink ref="P42" r:id="rId9" xr:uid="{34C22CF4-444B-46B8-8956-D5DB91381163}"/>
    <hyperlink ref="P43" r:id="rId10" xr:uid="{FACB4C10-9A33-4D33-90E7-1E6DBDC2980E}"/>
  </hyperlinks>
  <pageMargins left="0.7" right="0.7" top="0.75" bottom="0.75" header="0.3" footer="0.3"/>
  <pageSetup paperSize="9" orientation="portrait" r:id="rId1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AA8B-352C-4E1D-A645-3EB84E09DF96}">
  <sheetPr>
    <tabColor rgb="FFFFFF00"/>
  </sheetPr>
  <dimension ref="B2:AK124"/>
  <sheetViews>
    <sheetView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D408-E17A-4D28-A9A1-4BF98451BD1E}">
  <sheetPr>
    <tabColor rgb="FFFFFF00"/>
  </sheetPr>
  <dimension ref="B2:AK124"/>
  <sheetViews>
    <sheetView topLeftCell="A87"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89F5-E8F8-49F2-9F99-2C0DDD2F5AAD}">
  <sheetPr>
    <tabColor rgb="FFFFFF00"/>
  </sheetPr>
  <dimension ref="B2:AK124"/>
  <sheetViews>
    <sheetView topLeftCell="A78"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13C4-CA91-4922-B445-EC10E6429DA7}">
  <sheetPr>
    <tabColor rgb="FFFFFF00"/>
  </sheetPr>
  <dimension ref="B2:AK124"/>
  <sheetViews>
    <sheetView topLeftCell="A87"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0C879-9C38-474F-BA68-98CE813B6AB2}">
  <sheetPr>
    <tabColor rgb="FFFFFF00"/>
  </sheetPr>
  <dimension ref="B2:AK124"/>
  <sheetViews>
    <sheetView topLeftCell="A81"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9C45-0904-4DA8-8BC9-79EEBAD65F36}">
  <sheetPr>
    <tabColor rgb="FFFFFF00"/>
  </sheetPr>
  <dimension ref="B2:AK124"/>
  <sheetViews>
    <sheetView topLeftCell="A75" zoomScale="80" zoomScaleNormal="80" workbookViewId="0">
      <selection activeCell="Y108" sqref="Y108:Z1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F455-76AE-444F-B4B0-1B800E94ABD1}">
  <sheetPr>
    <tabColor rgb="FFFFFF00"/>
  </sheetPr>
  <dimension ref="B2:AK124"/>
  <sheetViews>
    <sheetView topLeftCell="A57" zoomScale="80" zoomScaleNormal="80" workbookViewId="0">
      <selection activeCell="U109" sqref="U10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50</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234</v>
      </c>
      <c r="Z103" s="34">
        <v>1290</v>
      </c>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5" t="s">
        <v>235</v>
      </c>
      <c r="Z104" s="34">
        <f>Z55+Z61+Z69+Z71</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34" t="s">
        <v>236</v>
      </c>
      <c r="Z105" s="34">
        <v>2920</v>
      </c>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34" t="s">
        <v>45</v>
      </c>
      <c r="Z106" s="34">
        <f>Z105/2</f>
        <v>1460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1"/>
      <c r="Z107" s="1"/>
      <c r="AA107" s="9"/>
      <c r="AB107" s="9"/>
      <c r="AC107" s="9"/>
      <c r="AD107" s="9"/>
      <c r="AE107" s="9"/>
      <c r="AF107" s="18"/>
    </row>
    <row r="108" spans="2:36" x14ac:dyDescent="0.25">
      <c r="F108" s="1"/>
      <c r="G108" s="1"/>
      <c r="H108" s="1"/>
      <c r="J108" s="1" t="s">
        <v>32</v>
      </c>
      <c r="Q108" s="9"/>
      <c r="R108" s="4"/>
      <c r="S108" s="9"/>
      <c r="T108" s="5"/>
      <c r="U108" s="9"/>
      <c r="V108" s="4"/>
      <c r="W108" s="4"/>
      <c r="X108" s="9"/>
      <c r="Y108" s="9" t="s">
        <v>46</v>
      </c>
      <c r="Z108" s="9">
        <f>Z105-Z109</f>
        <v>2920</v>
      </c>
      <c r="AA108" s="9"/>
      <c r="AB108" s="9"/>
      <c r="AC108" s="9"/>
      <c r="AD108" s="9"/>
      <c r="AE108" s="9"/>
    </row>
    <row r="109" spans="2:36" x14ac:dyDescent="0.25">
      <c r="R109" s="4"/>
      <c r="S109" s="17"/>
      <c r="T109" s="17"/>
      <c r="U109" s="9"/>
      <c r="V109" s="4"/>
      <c r="W109" s="4"/>
      <c r="X109" s="9"/>
      <c r="Y109" s="9" t="s">
        <v>47</v>
      </c>
      <c r="Z109" s="9">
        <v>0</v>
      </c>
      <c r="AA109" s="9"/>
      <c r="AB109" s="9"/>
      <c r="AC109" s="9"/>
      <c r="AD109" s="9"/>
      <c r="AE109" s="9"/>
    </row>
    <row r="110" spans="2:36" x14ac:dyDescent="0.25">
      <c r="Q110" s="9"/>
      <c r="R110" s="4"/>
      <c r="S110" s="16"/>
      <c r="T110" s="16"/>
      <c r="U110" s="9"/>
      <c r="V110" s="4"/>
      <c r="W110" s="4"/>
      <c r="X110" s="9"/>
      <c r="Y110" s="9"/>
      <c r="Z110" s="9"/>
      <c r="AA110" s="9"/>
      <c r="AB110" s="9"/>
      <c r="AC110" s="9"/>
      <c r="AD110" s="9"/>
      <c r="AE110" s="9"/>
    </row>
    <row r="111" spans="2:36" x14ac:dyDescent="0.25">
      <c r="R111" s="4"/>
      <c r="S111" s="16"/>
      <c r="T111" s="16"/>
      <c r="Y111" s="9" t="s">
        <v>48</v>
      </c>
      <c r="Z111" s="9">
        <f>Z105*0.3</f>
        <v>876</v>
      </c>
      <c r="AA111" s="9"/>
      <c r="AB111" s="9"/>
      <c r="AC111" s="9"/>
      <c r="AD111" s="9"/>
      <c r="AE111" s="9"/>
    </row>
    <row r="112" spans="2:36" x14ac:dyDescent="0.25">
      <c r="T112" s="5"/>
      <c r="Y112" s="9" t="s">
        <v>49</v>
      </c>
      <c r="Z112" s="9">
        <f>Z105-Z111</f>
        <v>2044</v>
      </c>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3.xml><?xml version="1.0" encoding="utf-8"?>
<ds:datastoreItem xmlns:ds="http://schemas.openxmlformats.org/officeDocument/2006/customXml" ds:itemID="{A477E57D-ABDD-4DAE-B3A5-315ED7FE90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Curr</vt:lpstr>
      <vt:lpstr>Oversikt</vt:lpstr>
      <vt:lpstr>5D SD</vt:lpstr>
      <vt:lpstr>6D SD</vt:lpstr>
      <vt:lpstr>7D SD</vt:lpstr>
      <vt:lpstr>8D SD</vt:lpstr>
      <vt:lpstr>10D SD</vt:lpstr>
      <vt:lpstr>5D GTS</vt:lpstr>
      <vt:lpstr>6D GTS</vt:lpstr>
      <vt:lpstr>7D GTS</vt:lpstr>
      <vt:lpstr>8D GTS</vt:lpstr>
      <vt:lpstr>10D GTS</vt:lpstr>
      <vt:lpstr>5D GTW</vt:lpstr>
      <vt:lpstr>6D GTW</vt:lpstr>
      <vt:lpstr>7D GTW</vt:lpstr>
      <vt:lpstr>8D GTW</vt:lpstr>
      <vt:lpstr>10D GTW</vt:lpstr>
      <vt:lpstr>5D RS</vt:lpstr>
      <vt:lpstr>6D RS</vt:lpstr>
      <vt:lpstr>7D RS</vt:lpstr>
      <vt:lpstr>8D RS</vt:lpstr>
      <vt:lpstr>5D RW</vt:lpstr>
      <vt:lpstr>6D RW</vt:lpstr>
      <vt:lpstr>7D RW</vt:lpstr>
      <vt:lpstr>8D RW</vt:lpstr>
      <vt:lpstr>Kalk (24)</vt:lpstr>
      <vt:lpstr>Kalk (25)</vt:lpstr>
      <vt:lpstr>Kalk (26)</vt:lpstr>
      <vt:lpstr>Kalk (27)</vt:lpstr>
      <vt:lpstr>Kalk (28)</vt:lpstr>
      <vt:lpstr>Kalk (29)</vt:lpstr>
      <vt:lpstr>Kalk (30)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2026-06-16T13:18:57Z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