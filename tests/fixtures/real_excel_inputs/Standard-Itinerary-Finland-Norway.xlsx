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nnisKålen\Desktop\Itineraries\Standard Itineraries\Nordics\Finland Norway\"/>
    </mc:Choice>
  </mc:AlternateContent>
  <xr:revisionPtr revIDLastSave="0" documentId="13_ncr:1_{071E347D-E09D-48FB-AA91-FB2A49442DFD}" xr6:coauthVersionLast="47" xr6:coauthVersionMax="47" xr10:uidLastSave="{00000000-0000-0000-0000-000000000000}"/>
  <bookViews>
    <workbookView xWindow="28680" yWindow="-120" windowWidth="29040" windowHeight="15720" activeTab="15" xr2:uid="{F0120B8F-C750-4EFC-83CE-D7DAB56C8915}"/>
  </bookViews>
  <sheets>
    <sheet name="Curr" sheetId="5" r:id="rId1"/>
    <sheet name="Overview" sheetId="23" r:id="rId2"/>
    <sheet name="1201" sheetId="6" r:id="rId3"/>
    <sheet name="1202" sheetId="14" r:id="rId4"/>
    <sheet name="1203" sheetId="15" r:id="rId5"/>
    <sheet name="1204" sheetId="7" r:id="rId6"/>
    <sheet name="1205" sheetId="17" r:id="rId7"/>
    <sheet name="1206" sheetId="9" r:id="rId8"/>
    <sheet name="1207" sheetId="10" r:id="rId9"/>
    <sheet name="1208" sheetId="13" r:id="rId10"/>
    <sheet name="1209" sheetId="16" r:id="rId11"/>
    <sheet name="1210" sheetId="19" r:id="rId12"/>
    <sheet name="1211" sheetId="11" r:id="rId13"/>
    <sheet name="1212" sheetId="8" r:id="rId14"/>
    <sheet name="1213" sheetId="18" r:id="rId15"/>
    <sheet name="1214" sheetId="12" r:id="rId16"/>
    <sheet name="1215" sheetId="20" r:id="rId17"/>
    <sheet name="1216" sheetId="22" r:id="rId18"/>
  </sheets>
  <externalReferences>
    <externalReference r:id="rId19"/>
    <externalReference r:id="rId20"/>
  </externalReferences>
  <definedNames>
    <definedName name="_xlnm._FilterDatabase" localSheetId="2" hidden="1">'1201'!$B$6:$AE$56</definedName>
    <definedName name="_xlnm._FilterDatabase" localSheetId="3" hidden="1">'1202'!$B$6:$AE$59</definedName>
    <definedName name="_xlnm._FilterDatabase" localSheetId="4" hidden="1">'1203'!$B$6:$AE$68</definedName>
    <definedName name="_xlnm._FilterDatabase" localSheetId="5" hidden="1">'1204'!$B$6:$AE$60</definedName>
    <definedName name="_xlnm._FilterDatabase" localSheetId="6" hidden="1">'1205'!$B$6:$AE$70</definedName>
    <definedName name="_xlnm._FilterDatabase" localSheetId="7" hidden="1">'1206'!$B$6:$AE$63</definedName>
    <definedName name="_xlnm._FilterDatabase" localSheetId="8" hidden="1">'1207'!$B$6:$AE$61</definedName>
    <definedName name="_xlnm._FilterDatabase" localSheetId="9" hidden="1">'1208'!$B$6:$AE$78</definedName>
    <definedName name="_xlnm._FilterDatabase" localSheetId="10" hidden="1">'1209'!$B$6:$AE$80</definedName>
    <definedName name="_xlnm._FilterDatabase" localSheetId="11" hidden="1">'1210'!$B$6:$AE$81</definedName>
    <definedName name="_xlnm._FilterDatabase" localSheetId="12" hidden="1">'1211'!$B$6:$AE$67</definedName>
    <definedName name="_xlnm._FilterDatabase" localSheetId="13" hidden="1">'1212'!$B$6:$AE$73</definedName>
    <definedName name="_xlnm._FilterDatabase" localSheetId="14" hidden="1">'1213'!$B$6:$AE$78</definedName>
    <definedName name="_xlnm._FilterDatabase" localSheetId="15" hidden="1">'1214'!$B$6:$AE$84</definedName>
    <definedName name="_xlnm._FilterDatabase" localSheetId="16" hidden="1">'1215'!$B$6:$AE$101</definedName>
    <definedName name="_xlnm._FilterDatabase" localSheetId="17" hidden="1">'1216'!$B$6:$AE$101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12" l="1"/>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4" i="12"/>
  <c r="Z45" i="12"/>
  <c r="Z46" i="12"/>
  <c r="Z47" i="12"/>
  <c r="Z48" i="12"/>
  <c r="Z49" i="12"/>
  <c r="Z50" i="12"/>
  <c r="Z51" i="12"/>
  <c r="Z52"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X12" i="12"/>
  <c r="X13" i="12"/>
  <c r="X14" i="12"/>
  <c r="X21" i="12"/>
  <c r="X22" i="12"/>
  <c r="X23"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U53" i="12" s="1"/>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Y14" i="18"/>
  <c r="Z8" i="18"/>
  <c r="Z9" i="18"/>
  <c r="Z10" i="18"/>
  <c r="Z11" i="18"/>
  <c r="Z12" i="18"/>
  <c r="Z13" i="18"/>
  <c r="Z14" i="18"/>
  <c r="Z15" i="18"/>
  <c r="Z16" i="18"/>
  <c r="Z17" i="18"/>
  <c r="Z18" i="18"/>
  <c r="Z19" i="18"/>
  <c r="Z20" i="18"/>
  <c r="Z21" i="18"/>
  <c r="Z22" i="18"/>
  <c r="Z23" i="18"/>
  <c r="Z24" i="18"/>
  <c r="Z25" i="18"/>
  <c r="Z26" i="18"/>
  <c r="Z27" i="18"/>
  <c r="Z28" i="18"/>
  <c r="Z29" i="18"/>
  <c r="Z30" i="18"/>
  <c r="Z31" i="18"/>
  <c r="Z32" i="18"/>
  <c r="Z33" i="18"/>
  <c r="Z34" i="18"/>
  <c r="Z35" i="18"/>
  <c r="Z36" i="18"/>
  <c r="Z37" i="18"/>
  <c r="Z38" i="18"/>
  <c r="Z39" i="18"/>
  <c r="Z40" i="18"/>
  <c r="Z41" i="18"/>
  <c r="Z42" i="18"/>
  <c r="Z43" i="18"/>
  <c r="Z44" i="18"/>
  <c r="Z45" i="18"/>
  <c r="Z46" i="18"/>
  <c r="Z47" i="18"/>
  <c r="Z48" i="18"/>
  <c r="Z49" i="18"/>
  <c r="Z50" i="18"/>
  <c r="Z51" i="18"/>
  <c r="Z52" i="18"/>
  <c r="Z53" i="18"/>
  <c r="Z54" i="18"/>
  <c r="Z55" i="18"/>
  <c r="Z56" i="18"/>
  <c r="Z57" i="18"/>
  <c r="Z58" i="18"/>
  <c r="Z59" i="18"/>
  <c r="Z60" i="18"/>
  <c r="Z61" i="18"/>
  <c r="Z62" i="18"/>
  <c r="Z63" i="18"/>
  <c r="Z64" i="18"/>
  <c r="Z65" i="18"/>
  <c r="Z66" i="18"/>
  <c r="Z67" i="18"/>
  <c r="Z68" i="18"/>
  <c r="Z69" i="18"/>
  <c r="Z70" i="18"/>
  <c r="Z71" i="18"/>
  <c r="Z72" i="18"/>
  <c r="Z73" i="18"/>
  <c r="Z74" i="18"/>
  <c r="Z75" i="18"/>
  <c r="Z76" i="18"/>
  <c r="X12" i="18"/>
  <c r="X13" i="18"/>
  <c r="X14" i="18"/>
  <c r="X21" i="18"/>
  <c r="X22" i="18"/>
  <c r="X23" i="18"/>
  <c r="U8" i="18"/>
  <c r="U9" i="18"/>
  <c r="U10" i="18"/>
  <c r="U11" i="18"/>
  <c r="U12" i="18"/>
  <c r="U13" i="18"/>
  <c r="U14" i="18"/>
  <c r="U15" i="18"/>
  <c r="U16" i="18"/>
  <c r="U17" i="18"/>
  <c r="U18" i="18"/>
  <c r="U19" i="18"/>
  <c r="U20" i="18"/>
  <c r="U21" i="18"/>
  <c r="U22" i="18"/>
  <c r="U23" i="18"/>
  <c r="U24" i="18"/>
  <c r="U25" i="18"/>
  <c r="U26" i="18"/>
  <c r="U27" i="18"/>
  <c r="U28" i="18"/>
  <c r="U29" i="18"/>
  <c r="U30" i="18"/>
  <c r="U31" i="18"/>
  <c r="U32" i="18"/>
  <c r="U33" i="18"/>
  <c r="U34" i="18"/>
  <c r="U35" i="18"/>
  <c r="U36" i="18"/>
  <c r="U37" i="18"/>
  <c r="U38" i="18"/>
  <c r="U39" i="18"/>
  <c r="U40" i="18"/>
  <c r="U41" i="18"/>
  <c r="U42" i="18"/>
  <c r="U43" i="18"/>
  <c r="U44" i="18"/>
  <c r="U45" i="18"/>
  <c r="U46" i="18"/>
  <c r="U47" i="18"/>
  <c r="U48" i="18"/>
  <c r="U49" i="18"/>
  <c r="U50" i="18"/>
  <c r="U51" i="18"/>
  <c r="U52" i="18"/>
  <c r="U53" i="18"/>
  <c r="U54" i="18"/>
  <c r="U55" i="18"/>
  <c r="U56" i="18"/>
  <c r="U57" i="18"/>
  <c r="U58" i="18"/>
  <c r="U59" i="18"/>
  <c r="U60" i="18"/>
  <c r="U61" i="18"/>
  <c r="U62" i="18"/>
  <c r="U63" i="18"/>
  <c r="U64" i="18"/>
  <c r="U65" i="18"/>
  <c r="U66" i="18"/>
  <c r="U67" i="18"/>
  <c r="U68" i="18"/>
  <c r="U69" i="18"/>
  <c r="U70" i="18"/>
  <c r="U71" i="18"/>
  <c r="U72" i="18"/>
  <c r="U73" i="18"/>
  <c r="U74" i="18"/>
  <c r="U75" i="18"/>
  <c r="U76" i="18"/>
  <c r="S8" i="18"/>
  <c r="S9" i="18"/>
  <c r="S10" i="18"/>
  <c r="S11" i="18"/>
  <c r="S12" i="18"/>
  <c r="S13" i="18"/>
  <c r="S14" i="18"/>
  <c r="S15" i="18"/>
  <c r="S16" i="18"/>
  <c r="S17" i="18"/>
  <c r="S18" i="18"/>
  <c r="S19" i="18"/>
  <c r="S20" i="18"/>
  <c r="S21" i="18"/>
  <c r="S22" i="18"/>
  <c r="S23" i="18"/>
  <c r="S24" i="18"/>
  <c r="S25" i="18"/>
  <c r="S26" i="18"/>
  <c r="S27" i="18"/>
  <c r="S28" i="18"/>
  <c r="S29" i="18"/>
  <c r="S30" i="18"/>
  <c r="S31" i="18"/>
  <c r="S32" i="18"/>
  <c r="S33" i="18"/>
  <c r="S34" i="18"/>
  <c r="S35" i="18"/>
  <c r="S36" i="18"/>
  <c r="S37" i="18"/>
  <c r="S38" i="18"/>
  <c r="S39" i="18"/>
  <c r="S40" i="18"/>
  <c r="S41" i="18"/>
  <c r="S42" i="18"/>
  <c r="S43" i="18"/>
  <c r="S44" i="18"/>
  <c r="S45" i="18"/>
  <c r="S46" i="18"/>
  <c r="S47" i="18"/>
  <c r="S48" i="18"/>
  <c r="S49" i="18"/>
  <c r="S50" i="18"/>
  <c r="S51" i="18"/>
  <c r="S52" i="18"/>
  <c r="S53" i="18"/>
  <c r="S54" i="18"/>
  <c r="S55" i="18"/>
  <c r="S56" i="18"/>
  <c r="S57" i="18"/>
  <c r="S58" i="18"/>
  <c r="S59" i="18"/>
  <c r="S60" i="18"/>
  <c r="S61" i="18"/>
  <c r="S62" i="18"/>
  <c r="S63" i="18"/>
  <c r="S64" i="18"/>
  <c r="S65" i="18"/>
  <c r="S66" i="18"/>
  <c r="S67" i="18"/>
  <c r="S68" i="18"/>
  <c r="S69" i="18"/>
  <c r="S70" i="18"/>
  <c r="S71" i="18"/>
  <c r="S72" i="18"/>
  <c r="S73" i="18"/>
  <c r="S74" i="18"/>
  <c r="S75" i="18"/>
  <c r="S76" i="18"/>
  <c r="Z8" i="8"/>
  <c r="Z9" i="8"/>
  <c r="Z10" i="8"/>
  <c r="Z11" i="8"/>
  <c r="Z12" i="8"/>
  <c r="Z13" i="8"/>
  <c r="Z14" i="8"/>
  <c r="Z15" i="8"/>
  <c r="Z16" i="8"/>
  <c r="Z17" i="8"/>
  <c r="Z18" i="8"/>
  <c r="Z19" i="8"/>
  <c r="Z20" i="8"/>
  <c r="Z21" i="8"/>
  <c r="Z22" i="8"/>
  <c r="Z23" i="8"/>
  <c r="Z24" i="8"/>
  <c r="Z25" i="8"/>
  <c r="Z26" i="8"/>
  <c r="Z27" i="8"/>
  <c r="Z28" i="8"/>
  <c r="Z29" i="8"/>
  <c r="Z30" i="8"/>
  <c r="Z31" i="8"/>
  <c r="Z32" i="8"/>
  <c r="Z33" i="8"/>
  <c r="Z35" i="8"/>
  <c r="Z36" i="8"/>
  <c r="Z37" i="8"/>
  <c r="Z38" i="8"/>
  <c r="Z39" i="8"/>
  <c r="Z40" i="8"/>
  <c r="Z41" i="8"/>
  <c r="Z42" i="8"/>
  <c r="Z43" i="8"/>
  <c r="Z45" i="8"/>
  <c r="Z46" i="8"/>
  <c r="Z47" i="8"/>
  <c r="Z48" i="8"/>
  <c r="Z49" i="8"/>
  <c r="Z50" i="8"/>
  <c r="Z51" i="8"/>
  <c r="Z52" i="8"/>
  <c r="Z53" i="8"/>
  <c r="Z54" i="8"/>
  <c r="Z55" i="8"/>
  <c r="Z56" i="8"/>
  <c r="Z57" i="8"/>
  <c r="Z58" i="8"/>
  <c r="Z59" i="8"/>
  <c r="Z60" i="8"/>
  <c r="Z61" i="8"/>
  <c r="Z62" i="8"/>
  <c r="Z63" i="8"/>
  <c r="Z64" i="8"/>
  <c r="Z65" i="8"/>
  <c r="Z66" i="8"/>
  <c r="Z67" i="8"/>
  <c r="Z68" i="8"/>
  <c r="Z69" i="8"/>
  <c r="Z70" i="8"/>
  <c r="Z71" i="8"/>
  <c r="X12" i="8"/>
  <c r="U8" i="8"/>
  <c r="U9" i="8"/>
  <c r="U10" i="8"/>
  <c r="U11" i="8"/>
  <c r="U12" i="8"/>
  <c r="U13" i="8"/>
  <c r="U14" i="8"/>
  <c r="U15" i="8"/>
  <c r="U16" i="8"/>
  <c r="U17" i="8"/>
  <c r="U18" i="8"/>
  <c r="U19" i="8"/>
  <c r="U20" i="8"/>
  <c r="U21" i="8"/>
  <c r="U22" i="8"/>
  <c r="U23" i="8"/>
  <c r="U24" i="8"/>
  <c r="U25" i="8"/>
  <c r="U26" i="8"/>
  <c r="U27" i="8"/>
  <c r="U28" i="8"/>
  <c r="U29" i="8"/>
  <c r="U30" i="8"/>
  <c r="U31" i="8"/>
  <c r="U32" i="8"/>
  <c r="U33" i="8"/>
  <c r="U35" i="8"/>
  <c r="U36" i="8"/>
  <c r="U37" i="8"/>
  <c r="U38" i="8"/>
  <c r="U39" i="8"/>
  <c r="U40" i="8"/>
  <c r="U41" i="8"/>
  <c r="U42" i="8"/>
  <c r="U43" i="8"/>
  <c r="U45" i="8"/>
  <c r="U46" i="8"/>
  <c r="U47" i="8"/>
  <c r="U48" i="8"/>
  <c r="U49" i="8"/>
  <c r="U50" i="8"/>
  <c r="U51" i="8"/>
  <c r="U52" i="8"/>
  <c r="U53" i="8"/>
  <c r="U54" i="8"/>
  <c r="U55" i="8"/>
  <c r="U56" i="8"/>
  <c r="U57" i="8"/>
  <c r="U58" i="8"/>
  <c r="U59" i="8"/>
  <c r="U60" i="8"/>
  <c r="U61" i="8"/>
  <c r="U62" i="8"/>
  <c r="U63" i="8"/>
  <c r="U64" i="8"/>
  <c r="U65" i="8"/>
  <c r="U66" i="8"/>
  <c r="U67" i="8"/>
  <c r="U68" i="8"/>
  <c r="U69" i="8"/>
  <c r="U70" i="8"/>
  <c r="U71" i="8"/>
  <c r="S8" i="8"/>
  <c r="S9" i="8"/>
  <c r="S10" i="8"/>
  <c r="S11" i="8"/>
  <c r="S12" i="8"/>
  <c r="S13" i="8"/>
  <c r="S14" i="8"/>
  <c r="S15" i="8"/>
  <c r="S16" i="8"/>
  <c r="S17" i="8"/>
  <c r="S18" i="8"/>
  <c r="S19" i="8"/>
  <c r="S20" i="8"/>
  <c r="S21" i="8"/>
  <c r="S22" i="8"/>
  <c r="S23" i="8"/>
  <c r="S24" i="8"/>
  <c r="S25" i="8"/>
  <c r="S26" i="8"/>
  <c r="S27" i="8"/>
  <c r="S28" i="8"/>
  <c r="S29" i="8"/>
  <c r="S30" i="8"/>
  <c r="S31" i="8"/>
  <c r="S32" i="8"/>
  <c r="S33" i="8"/>
  <c r="S34" i="8"/>
  <c r="U34" i="8" s="1"/>
  <c r="S35" i="8"/>
  <c r="S36" i="8"/>
  <c r="S37" i="8"/>
  <c r="S38" i="8"/>
  <c r="S39" i="8"/>
  <c r="S40" i="8"/>
  <c r="S41" i="8"/>
  <c r="S42" i="8"/>
  <c r="S43" i="8"/>
  <c r="S44" i="8"/>
  <c r="U44" i="8" s="1"/>
  <c r="S45" i="8"/>
  <c r="S46" i="8"/>
  <c r="S47" i="8"/>
  <c r="S48" i="8"/>
  <c r="S49" i="8"/>
  <c r="S50" i="8"/>
  <c r="S51" i="8"/>
  <c r="S52" i="8"/>
  <c r="S53" i="8"/>
  <c r="S54" i="8"/>
  <c r="S55" i="8"/>
  <c r="S56" i="8"/>
  <c r="S57" i="8"/>
  <c r="S58" i="8"/>
  <c r="S59" i="8"/>
  <c r="S60" i="8"/>
  <c r="S61" i="8"/>
  <c r="S62" i="8"/>
  <c r="S63" i="8"/>
  <c r="S64" i="8"/>
  <c r="S65" i="8"/>
  <c r="S66" i="8"/>
  <c r="S67" i="8"/>
  <c r="S68" i="8"/>
  <c r="S69" i="8"/>
  <c r="S70" i="8"/>
  <c r="S71" i="8"/>
  <c r="Z8" i="11"/>
  <c r="Z9" i="11"/>
  <c r="Z10" i="11"/>
  <c r="Z11" i="11"/>
  <c r="Z12" i="11"/>
  <c r="Z13" i="11"/>
  <c r="Z14" i="11"/>
  <c r="Z15" i="11"/>
  <c r="Z16" i="11"/>
  <c r="Z17" i="11"/>
  <c r="Z18" i="11"/>
  <c r="Z19" i="11"/>
  <c r="Z20" i="11"/>
  <c r="Z21" i="11"/>
  <c r="Z22" i="11"/>
  <c r="Z23" i="11"/>
  <c r="Z24" i="11"/>
  <c r="Z25" i="11"/>
  <c r="Z26" i="11"/>
  <c r="Z27" i="11"/>
  <c r="Z28" i="11"/>
  <c r="Z30" i="11"/>
  <c r="Z31" i="11"/>
  <c r="Z32" i="11"/>
  <c r="Z33" i="11"/>
  <c r="Z34" i="11"/>
  <c r="Z35" i="11"/>
  <c r="Z36" i="11"/>
  <c r="Z38" i="11"/>
  <c r="Z39" i="11"/>
  <c r="Z40" i="11"/>
  <c r="Z41" i="11"/>
  <c r="Z42" i="11"/>
  <c r="Z43" i="11"/>
  <c r="Z44" i="11"/>
  <c r="Z45" i="11"/>
  <c r="Z46" i="11"/>
  <c r="Z47" i="11"/>
  <c r="Z48" i="11"/>
  <c r="Z49" i="11"/>
  <c r="Z50" i="11"/>
  <c r="Z51" i="11"/>
  <c r="Z52" i="11"/>
  <c r="Z53" i="11"/>
  <c r="Z54" i="11"/>
  <c r="Z55" i="11"/>
  <c r="Z56" i="11"/>
  <c r="Z57" i="11"/>
  <c r="Z58" i="11"/>
  <c r="Z59" i="11"/>
  <c r="Z60" i="11"/>
  <c r="Z61" i="11"/>
  <c r="Z62" i="11"/>
  <c r="Z63" i="11"/>
  <c r="Z64" i="11"/>
  <c r="Z65" i="11"/>
  <c r="X12" i="11"/>
  <c r="U8" i="11"/>
  <c r="U9" i="11"/>
  <c r="U10" i="11"/>
  <c r="U11" i="11"/>
  <c r="U12" i="11"/>
  <c r="U13" i="11"/>
  <c r="U14" i="11"/>
  <c r="U15" i="11"/>
  <c r="U16" i="11"/>
  <c r="U17" i="11"/>
  <c r="U18" i="11"/>
  <c r="U19" i="11"/>
  <c r="U20" i="11"/>
  <c r="U21" i="11"/>
  <c r="U22" i="11"/>
  <c r="U23" i="11"/>
  <c r="U24" i="11"/>
  <c r="U25" i="11"/>
  <c r="U26" i="11"/>
  <c r="U27" i="11"/>
  <c r="U28" i="11"/>
  <c r="U30" i="11"/>
  <c r="U31" i="11"/>
  <c r="U32" i="11"/>
  <c r="U33" i="11"/>
  <c r="U34" i="11"/>
  <c r="U35" i="11"/>
  <c r="U36" i="11"/>
  <c r="U38" i="11"/>
  <c r="U39" i="11"/>
  <c r="U40" i="11"/>
  <c r="U41" i="11"/>
  <c r="U42" i="11"/>
  <c r="U43" i="11"/>
  <c r="U44" i="11"/>
  <c r="U45" i="11"/>
  <c r="U46" i="11"/>
  <c r="U47" i="11"/>
  <c r="U48" i="11"/>
  <c r="U49" i="11"/>
  <c r="U50" i="11"/>
  <c r="U51" i="11"/>
  <c r="U52" i="11"/>
  <c r="U53" i="11"/>
  <c r="U54" i="11"/>
  <c r="U55" i="11"/>
  <c r="U56" i="11"/>
  <c r="U57" i="11"/>
  <c r="U58" i="11"/>
  <c r="U59" i="11"/>
  <c r="U60" i="11"/>
  <c r="U61" i="11"/>
  <c r="U62" i="11"/>
  <c r="U63" i="11"/>
  <c r="U64" i="11"/>
  <c r="U65" i="11"/>
  <c r="S8" i="11"/>
  <c r="S9" i="11"/>
  <c r="S10" i="11"/>
  <c r="S11" i="11"/>
  <c r="S12" i="11"/>
  <c r="S13" i="11"/>
  <c r="S14" i="11"/>
  <c r="S15" i="11"/>
  <c r="S16" i="11"/>
  <c r="S17" i="11"/>
  <c r="S18" i="11"/>
  <c r="S19" i="11"/>
  <c r="S20" i="11"/>
  <c r="S21" i="11"/>
  <c r="S22" i="11"/>
  <c r="S23" i="11"/>
  <c r="S24" i="11"/>
  <c r="S25" i="11"/>
  <c r="S26" i="11"/>
  <c r="S27" i="11"/>
  <c r="S28" i="11"/>
  <c r="S29" i="11"/>
  <c r="U29" i="11" s="1"/>
  <c r="S30" i="11"/>
  <c r="S31" i="11"/>
  <c r="S32" i="11"/>
  <c r="S33" i="11"/>
  <c r="S34" i="11"/>
  <c r="S35" i="11"/>
  <c r="S36" i="11"/>
  <c r="S37" i="11"/>
  <c r="U37" i="11" s="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Y14" i="19"/>
  <c r="Z14" i="19"/>
  <c r="Z8" i="19"/>
  <c r="Z9" i="19"/>
  <c r="Z10" i="19"/>
  <c r="Z11" i="19"/>
  <c r="Z12" i="19"/>
  <c r="Z13" i="19"/>
  <c r="Z15" i="19"/>
  <c r="Z16" i="19"/>
  <c r="Z17" i="19"/>
  <c r="Z18" i="19"/>
  <c r="Z19" i="19"/>
  <c r="Z20" i="19"/>
  <c r="Z21" i="19"/>
  <c r="Z22" i="19"/>
  <c r="Z23" i="19"/>
  <c r="Z24" i="19"/>
  <c r="Z25" i="19"/>
  <c r="Z26" i="19"/>
  <c r="Z27" i="19"/>
  <c r="Z28" i="19"/>
  <c r="Z29" i="19"/>
  <c r="Z30" i="19"/>
  <c r="Z31" i="19"/>
  <c r="Z32" i="19"/>
  <c r="Z33" i="19"/>
  <c r="Z34" i="19"/>
  <c r="Z35" i="19"/>
  <c r="Z36" i="19"/>
  <c r="Z37" i="19"/>
  <c r="Z38"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X12" i="19"/>
  <c r="X13" i="19"/>
  <c r="X14" i="19"/>
  <c r="X21" i="19"/>
  <c r="X22" i="19"/>
  <c r="X23" i="19"/>
  <c r="U8" i="19"/>
  <c r="U9" i="19"/>
  <c r="U10" i="19"/>
  <c r="U11" i="19"/>
  <c r="U12" i="19"/>
  <c r="U13" i="19"/>
  <c r="U14" i="19"/>
  <c r="U15" i="19"/>
  <c r="U16" i="19"/>
  <c r="U17" i="19"/>
  <c r="U18" i="19"/>
  <c r="U19" i="19"/>
  <c r="U20" i="19"/>
  <c r="U21" i="19"/>
  <c r="U22" i="19"/>
  <c r="U23" i="19"/>
  <c r="U24" i="19"/>
  <c r="U25" i="19"/>
  <c r="U26" i="19"/>
  <c r="U27" i="19"/>
  <c r="U28" i="19"/>
  <c r="U29" i="19"/>
  <c r="U30" i="19"/>
  <c r="U31" i="19"/>
  <c r="U32" i="19"/>
  <c r="U33" i="19"/>
  <c r="U34" i="19"/>
  <c r="U35" i="19"/>
  <c r="U36" i="19"/>
  <c r="U37" i="19"/>
  <c r="U38" i="19"/>
  <c r="U40" i="19"/>
  <c r="U41" i="19"/>
  <c r="U42" i="19"/>
  <c r="U43" i="19"/>
  <c r="U44" i="19"/>
  <c r="U45" i="19"/>
  <c r="U46" i="19"/>
  <c r="U47" i="19"/>
  <c r="U48" i="19"/>
  <c r="U49" i="19"/>
  <c r="U50" i="19"/>
  <c r="U51" i="19"/>
  <c r="U52" i="19"/>
  <c r="U53" i="19"/>
  <c r="U54" i="19"/>
  <c r="U55" i="19"/>
  <c r="U56" i="19"/>
  <c r="U57" i="19"/>
  <c r="U58" i="19"/>
  <c r="U59" i="19"/>
  <c r="U60" i="19"/>
  <c r="U61" i="19"/>
  <c r="U62" i="19"/>
  <c r="U63" i="19"/>
  <c r="U64" i="19"/>
  <c r="U65" i="19"/>
  <c r="U66" i="19"/>
  <c r="U67" i="19"/>
  <c r="U68" i="19"/>
  <c r="U69" i="19"/>
  <c r="U70" i="19"/>
  <c r="U71" i="19"/>
  <c r="U72" i="19"/>
  <c r="U73" i="19"/>
  <c r="U74" i="19"/>
  <c r="U75" i="19"/>
  <c r="U76" i="19"/>
  <c r="U77" i="19"/>
  <c r="U78" i="19"/>
  <c r="U79" i="19"/>
  <c r="S8" i="19"/>
  <c r="S9" i="19"/>
  <c r="S10"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U39" i="19" s="1"/>
  <c r="S40" i="19"/>
  <c r="S41" i="19"/>
  <c r="S42" i="19"/>
  <c r="S43" i="19"/>
  <c r="S44" i="19"/>
  <c r="S45" i="19"/>
  <c r="S46" i="19"/>
  <c r="S47" i="19"/>
  <c r="S48" i="19"/>
  <c r="S49" i="19"/>
  <c r="S50" i="19"/>
  <c r="S51" i="19"/>
  <c r="S52" i="19"/>
  <c r="S53" i="19"/>
  <c r="S54" i="19"/>
  <c r="S55" i="19"/>
  <c r="S56" i="19"/>
  <c r="S57" i="19"/>
  <c r="S58" i="19"/>
  <c r="S59" i="19"/>
  <c r="S60" i="19"/>
  <c r="S61" i="19"/>
  <c r="S62" i="19"/>
  <c r="S63" i="19"/>
  <c r="S64" i="19"/>
  <c r="S65" i="19"/>
  <c r="S66" i="19"/>
  <c r="S67" i="19"/>
  <c r="S68" i="19"/>
  <c r="S69" i="19"/>
  <c r="S70" i="19"/>
  <c r="S71" i="19"/>
  <c r="S72" i="19"/>
  <c r="S73" i="19"/>
  <c r="S74" i="19"/>
  <c r="S75" i="19"/>
  <c r="S76" i="19"/>
  <c r="S77" i="19"/>
  <c r="S78" i="19"/>
  <c r="S79" i="19"/>
  <c r="Y14" i="16"/>
  <c r="Z14" i="16"/>
  <c r="Z8" i="16"/>
  <c r="Z9" i="16"/>
  <c r="Z10" i="16"/>
  <c r="Z11" i="16"/>
  <c r="Z12" i="16"/>
  <c r="Z13"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X12" i="16"/>
  <c r="X13" i="16"/>
  <c r="X14" i="16"/>
  <c r="X21" i="16"/>
  <c r="X22" i="16"/>
  <c r="X23"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Y14" i="13"/>
  <c r="Z14" i="13"/>
  <c r="Z8" i="13"/>
  <c r="Z9" i="13"/>
  <c r="Z10" i="13"/>
  <c r="Z11" i="13"/>
  <c r="Z12" i="13"/>
  <c r="Z13"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4" i="13"/>
  <c r="Z45" i="13"/>
  <c r="Z46" i="13"/>
  <c r="Z47" i="13"/>
  <c r="Z48" i="13"/>
  <c r="Z49" i="13"/>
  <c r="Z50" i="13"/>
  <c r="Z51" i="13"/>
  <c r="Z52" i="13"/>
  <c r="Z53" i="13"/>
  <c r="Z54" i="13"/>
  <c r="Z55" i="13"/>
  <c r="Z56" i="13"/>
  <c r="Z57" i="13"/>
  <c r="Z58" i="13"/>
  <c r="Z59" i="13"/>
  <c r="Z60" i="13"/>
  <c r="Z61" i="13"/>
  <c r="Z62" i="13"/>
  <c r="Z63" i="13"/>
  <c r="Z64" i="13"/>
  <c r="Z65" i="13"/>
  <c r="Z66" i="13"/>
  <c r="Z67" i="13"/>
  <c r="Z68" i="13"/>
  <c r="Z69" i="13"/>
  <c r="Z70" i="13"/>
  <c r="Z71" i="13"/>
  <c r="Z72" i="13"/>
  <c r="Z73" i="13"/>
  <c r="Z74" i="13"/>
  <c r="Z75" i="13"/>
  <c r="Z76" i="13"/>
  <c r="X12" i="13"/>
  <c r="X13" i="13"/>
  <c r="X14" i="13"/>
  <c r="X21" i="13"/>
  <c r="X22" i="13"/>
  <c r="X23"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U43" i="13" s="1"/>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Y9" i="10"/>
  <c r="Z9" i="10" s="1"/>
  <c r="Y19" i="10"/>
  <c r="Z8" i="10"/>
  <c r="Z10" i="10"/>
  <c r="Z11" i="10"/>
  <c r="Z12" i="10"/>
  <c r="Z13" i="10"/>
  <c r="Z14" i="10"/>
  <c r="Z15" i="10"/>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X12" i="10"/>
  <c r="U8" i="10"/>
  <c r="U9" i="10"/>
  <c r="U10" i="10"/>
  <c r="U11" i="10"/>
  <c r="U12" i="10"/>
  <c r="U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S8" i="10"/>
  <c r="S9" i="10"/>
  <c r="S10" i="10"/>
  <c r="S11" i="10"/>
  <c r="S12" i="10"/>
  <c r="S13" i="10"/>
  <c r="S14" i="10"/>
  <c r="S15" i="10"/>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X12"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Z8" i="17"/>
  <c r="Z9" i="17"/>
  <c r="Z10" i="17"/>
  <c r="Z11" i="17"/>
  <c r="Z12" i="17"/>
  <c r="Z13" i="17"/>
  <c r="Z14" i="17"/>
  <c r="Z15" i="17"/>
  <c r="Z16" i="17"/>
  <c r="Z17" i="17"/>
  <c r="Z18" i="17"/>
  <c r="Z19" i="17"/>
  <c r="Z20" i="17"/>
  <c r="Z21" i="17"/>
  <c r="Z22" i="17"/>
  <c r="Z23" i="17"/>
  <c r="Z24" i="17"/>
  <c r="Z25" i="17"/>
  <c r="Z26" i="17"/>
  <c r="Z27" i="17"/>
  <c r="Z28" i="17"/>
  <c r="Z29" i="17"/>
  <c r="Z30" i="17"/>
  <c r="Z31" i="17"/>
  <c r="Z32" i="17"/>
  <c r="Z33" i="17"/>
  <c r="Z34" i="17"/>
  <c r="Z35" i="17"/>
  <c r="Z36" i="17"/>
  <c r="Z37" i="17"/>
  <c r="Z38" i="17"/>
  <c r="Z39" i="17"/>
  <c r="Z40" i="17"/>
  <c r="Z41" i="17"/>
  <c r="Z42" i="17"/>
  <c r="Z43" i="17"/>
  <c r="Z44" i="17"/>
  <c r="Z45" i="17"/>
  <c r="Z46" i="17"/>
  <c r="Z47" i="17"/>
  <c r="Z48" i="17"/>
  <c r="Z49" i="17"/>
  <c r="Z50" i="17"/>
  <c r="Z51" i="17"/>
  <c r="Z52" i="17"/>
  <c r="Z53" i="17"/>
  <c r="Z54" i="17"/>
  <c r="Z55" i="17"/>
  <c r="Z56" i="17"/>
  <c r="Z57" i="17"/>
  <c r="Z58" i="17"/>
  <c r="Z59" i="17"/>
  <c r="Z60" i="17"/>
  <c r="Z61" i="17"/>
  <c r="Z62" i="17"/>
  <c r="Z63" i="17"/>
  <c r="Z64" i="17"/>
  <c r="Z65" i="17"/>
  <c r="Z66" i="17"/>
  <c r="Z67" i="17"/>
  <c r="Z68" i="17"/>
  <c r="X12" i="17"/>
  <c r="X13" i="17"/>
  <c r="X14" i="17"/>
  <c r="X21" i="17"/>
  <c r="X22" i="17"/>
  <c r="X23"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X12" i="7"/>
  <c r="X18"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Y14" i="15"/>
  <c r="X12" i="15"/>
  <c r="X13" i="15"/>
  <c r="X14" i="15"/>
  <c r="X21" i="15"/>
  <c r="X22" i="15"/>
  <c r="X23" i="15"/>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8" i="14"/>
  <c r="S9" i="14"/>
  <c r="U9" i="14" s="1"/>
  <c r="S10" i="14"/>
  <c r="U10" i="14" s="1"/>
  <c r="S11" i="14"/>
  <c r="S12" i="14"/>
  <c r="S13" i="14"/>
  <c r="S14" i="14"/>
  <c r="S15" i="14"/>
  <c r="S16" i="14"/>
  <c r="S17" i="14"/>
  <c r="U17" i="14" s="1"/>
  <c r="S18" i="14"/>
  <c r="U18" i="14" s="1"/>
  <c r="S19" i="14"/>
  <c r="S20" i="14"/>
  <c r="S21" i="14"/>
  <c r="S22" i="14"/>
  <c r="S23" i="14"/>
  <c r="S24" i="14"/>
  <c r="S25" i="14"/>
  <c r="U25" i="14" s="1"/>
  <c r="S26" i="14"/>
  <c r="U26" i="14" s="1"/>
  <c r="S27" i="14"/>
  <c r="S28" i="14"/>
  <c r="S29" i="14"/>
  <c r="S30" i="14"/>
  <c r="S31" i="14"/>
  <c r="S32" i="14"/>
  <c r="S33" i="14"/>
  <c r="U33" i="14" s="1"/>
  <c r="S34" i="14"/>
  <c r="U34" i="14" s="1"/>
  <c r="S35" i="14"/>
  <c r="S36" i="14"/>
  <c r="S37" i="14"/>
  <c r="S38" i="14"/>
  <c r="S39" i="14"/>
  <c r="S40" i="14"/>
  <c r="S41" i="14"/>
  <c r="U41" i="14" s="1"/>
  <c r="S42" i="14"/>
  <c r="U42" i="14" s="1"/>
  <c r="S43" i="14"/>
  <c r="S44" i="14"/>
  <c r="S45" i="14"/>
  <c r="S46" i="14"/>
  <c r="S47" i="14"/>
  <c r="S48" i="14"/>
  <c r="S49" i="14"/>
  <c r="U49" i="14" s="1"/>
  <c r="S50" i="14"/>
  <c r="U50" i="14" s="1"/>
  <c r="S51" i="14"/>
  <c r="S52" i="14"/>
  <c r="S53" i="14"/>
  <c r="S54" i="14"/>
  <c r="S55" i="14"/>
  <c r="S56" i="14"/>
  <c r="S57" i="14"/>
  <c r="U57" i="14" s="1"/>
  <c r="U8" i="14"/>
  <c r="U11" i="14"/>
  <c r="U12" i="14"/>
  <c r="X12" i="14" s="1"/>
  <c r="U13" i="14"/>
  <c r="X13" i="14" s="1"/>
  <c r="U14" i="14"/>
  <c r="U15" i="14"/>
  <c r="U16" i="14"/>
  <c r="U19" i="14"/>
  <c r="U20" i="14"/>
  <c r="U21" i="14"/>
  <c r="X21" i="14" s="1"/>
  <c r="U22" i="14"/>
  <c r="X22" i="14" s="1"/>
  <c r="U23" i="14"/>
  <c r="X23" i="14" s="1"/>
  <c r="U24" i="14"/>
  <c r="U27" i="14"/>
  <c r="U28" i="14"/>
  <c r="U29" i="14"/>
  <c r="U30" i="14"/>
  <c r="U31" i="14"/>
  <c r="U32" i="14"/>
  <c r="U35" i="14"/>
  <c r="U36" i="14"/>
  <c r="U37" i="14"/>
  <c r="U38" i="14"/>
  <c r="U39" i="14"/>
  <c r="U40" i="14"/>
  <c r="U43" i="14"/>
  <c r="U44" i="14"/>
  <c r="U45" i="14"/>
  <c r="U46" i="14"/>
  <c r="U47" i="14"/>
  <c r="U48" i="14"/>
  <c r="U51" i="14"/>
  <c r="U52" i="14"/>
  <c r="U53" i="14"/>
  <c r="U54" i="14"/>
  <c r="U55" i="14"/>
  <c r="U56" i="14"/>
  <c r="Z8" i="14"/>
  <c r="Z9" i="14"/>
  <c r="Z10" i="14"/>
  <c r="Z11" i="14"/>
  <c r="Z12" i="14"/>
  <c r="Z13" i="14"/>
  <c r="Z14" i="14"/>
  <c r="Z15" i="14"/>
  <c r="Z16" i="14"/>
  <c r="Z17" i="14"/>
  <c r="Z18" i="14"/>
  <c r="Z19" i="14"/>
  <c r="Z20" i="14"/>
  <c r="Z21" i="14"/>
  <c r="Z22" i="14"/>
  <c r="Z23" i="14"/>
  <c r="Z24" i="14"/>
  <c r="Z25" i="14"/>
  <c r="Z26" i="14"/>
  <c r="Z27" i="14"/>
  <c r="Z28" i="14"/>
  <c r="Z29" i="14"/>
  <c r="Z30" i="14"/>
  <c r="Z31" i="14"/>
  <c r="Z32" i="14"/>
  <c r="Z33" i="14"/>
  <c r="Z34" i="14"/>
  <c r="Z35" i="14"/>
  <c r="Z36" i="14"/>
  <c r="Z37" i="14"/>
  <c r="Z38" i="14"/>
  <c r="Z39" i="14"/>
  <c r="Z40" i="14"/>
  <c r="Z41" i="14"/>
  <c r="Z42" i="14"/>
  <c r="Z43" i="14"/>
  <c r="Z44" i="14"/>
  <c r="Z45" i="14"/>
  <c r="Z46" i="14"/>
  <c r="Z47" i="14"/>
  <c r="Z48" i="14"/>
  <c r="Z49" i="14"/>
  <c r="Z50" i="14"/>
  <c r="Z51" i="14"/>
  <c r="Z52" i="14"/>
  <c r="Z53" i="14"/>
  <c r="Z54" i="14"/>
  <c r="Z55" i="14"/>
  <c r="Z56" i="14"/>
  <c r="Z57" i="14"/>
  <c r="X14" i="14"/>
  <c r="Y19" i="14"/>
  <c r="Y20" i="14"/>
  <c r="Y21" i="14"/>
  <c r="Y22" i="14"/>
  <c r="Y23" i="14"/>
  <c r="Y14" i="14"/>
  <c r="Y12" i="9"/>
  <c r="Y14" i="17"/>
  <c r="Y13" i="17"/>
  <c r="Y9" i="17"/>
  <c r="Y34" i="9"/>
  <c r="Y39" i="9"/>
  <c r="Y37" i="9"/>
  <c r="Y35" i="7"/>
  <c r="Y36" i="15"/>
  <c r="Z94" i="12"/>
  <c r="Z92" i="12"/>
  <c r="Z93" i="12" s="1"/>
  <c r="Z88" i="18"/>
  <c r="Z87" i="18"/>
  <c r="Z86" i="18"/>
  <c r="Z89" i="18" s="1"/>
  <c r="Z84" i="8"/>
  <c r="Z83" i="8"/>
  <c r="Z81" i="8"/>
  <c r="Z82" i="8" s="1"/>
  <c r="Z77" i="11"/>
  <c r="Z75" i="11"/>
  <c r="Z78" i="11" s="1"/>
  <c r="Z89" i="19"/>
  <c r="Z91" i="19" s="1"/>
  <c r="Z88" i="16"/>
  <c r="Z91" i="16" s="1"/>
  <c r="Z89" i="13"/>
  <c r="Z87" i="13"/>
  <c r="Z86" i="13"/>
  <c r="Z88" i="13" s="1"/>
  <c r="Z69" i="10"/>
  <c r="Z70" i="10" s="1"/>
  <c r="Z74" i="9"/>
  <c r="Z73" i="9"/>
  <c r="Z71" i="9"/>
  <c r="Z72" i="9" s="1"/>
  <c r="Z81" i="17"/>
  <c r="Z80" i="17"/>
  <c r="Z78" i="17"/>
  <c r="Z79" i="17" s="1"/>
  <c r="Z68" i="7"/>
  <c r="Z70" i="7" s="1"/>
  <c r="Z76" i="15"/>
  <c r="Z77" i="15" s="1"/>
  <c r="Z67" i="14"/>
  <c r="Z70" i="14" s="1"/>
  <c r="Z67" i="6"/>
  <c r="Z66" i="6"/>
  <c r="Z65" i="6"/>
  <c r="Z64" i="6"/>
  <c r="Y14" i="6"/>
  <c r="W14" i="6"/>
  <c r="S14" i="6"/>
  <c r="U14" i="6" s="1"/>
  <c r="W19" i="14"/>
  <c r="Y19" i="15"/>
  <c r="W19" i="15"/>
  <c r="X19" i="15" s="1"/>
  <c r="Y14" i="7"/>
  <c r="W14" i="7"/>
  <c r="X14" i="7" s="1"/>
  <c r="Y19" i="17"/>
  <c r="W19" i="17"/>
  <c r="X19" i="17" s="1"/>
  <c r="Y14" i="9"/>
  <c r="W14" i="9"/>
  <c r="X14" i="9" s="1"/>
  <c r="Y14" i="10"/>
  <c r="W14" i="10"/>
  <c r="X14" i="10" s="1"/>
  <c r="Y19" i="13"/>
  <c r="W19" i="13"/>
  <c r="X19" i="13" s="1"/>
  <c r="Y19" i="16"/>
  <c r="W19" i="16"/>
  <c r="X19" i="16" s="1"/>
  <c r="Y19" i="19"/>
  <c r="W19" i="19"/>
  <c r="X19" i="19" s="1"/>
  <c r="Y14" i="11"/>
  <c r="W14" i="11"/>
  <c r="X14" i="11" s="1"/>
  <c r="Y14" i="8"/>
  <c r="W14" i="8"/>
  <c r="X14" i="8" s="1"/>
  <c r="Y19" i="18"/>
  <c r="W19" i="18"/>
  <c r="X19" i="18" s="1"/>
  <c r="Y19" i="12"/>
  <c r="W19" i="12"/>
  <c r="X19" i="12" s="1"/>
  <c r="Y33" i="12"/>
  <c r="W33" i="12"/>
  <c r="X33" i="12" s="1"/>
  <c r="Y33" i="18"/>
  <c r="W33" i="18"/>
  <c r="X33" i="18" s="1"/>
  <c r="Y24" i="8"/>
  <c r="W24" i="8"/>
  <c r="X24" i="8" s="1"/>
  <c r="Y24" i="11"/>
  <c r="W24" i="11"/>
  <c r="X24" i="11" s="1"/>
  <c r="Y33" i="19"/>
  <c r="W33" i="19"/>
  <c r="X33" i="19" s="1"/>
  <c r="Y33" i="16"/>
  <c r="W33" i="16"/>
  <c r="X33" i="16" s="1"/>
  <c r="Y33" i="13"/>
  <c r="W33" i="13"/>
  <c r="X33" i="13" s="1"/>
  <c r="Y24" i="10"/>
  <c r="W24" i="10"/>
  <c r="X24" i="10" s="1"/>
  <c r="Y28" i="6"/>
  <c r="W28" i="6"/>
  <c r="S28" i="6"/>
  <c r="U28" i="6" s="1"/>
  <c r="X14" i="6" l="1"/>
  <c r="X28" i="6"/>
  <c r="X19" i="14"/>
  <c r="Z95" i="12"/>
  <c r="Z76" i="11"/>
  <c r="Z90" i="19"/>
  <c r="Z92" i="19"/>
  <c r="Z78" i="15"/>
  <c r="Z79" i="15"/>
  <c r="Z71" i="7"/>
  <c r="Z89" i="16"/>
  <c r="Z90" i="16"/>
  <c r="Z71" i="10"/>
  <c r="Z72" i="10"/>
  <c r="Z69" i="7"/>
  <c r="Z68" i="14"/>
  <c r="Z69" i="14"/>
  <c r="Y9" i="6" l="1"/>
  <c r="B16" i="23"/>
  <c r="B15" i="23"/>
  <c r="B14" i="23"/>
  <c r="B13" i="23"/>
  <c r="B12" i="23"/>
  <c r="B11" i="23"/>
  <c r="B10" i="23"/>
  <c r="B9" i="23"/>
  <c r="B8" i="23"/>
  <c r="B7" i="23"/>
  <c r="B6" i="23"/>
  <c r="B5" i="23"/>
  <c r="B4" i="23"/>
  <c r="B3" i="23"/>
  <c r="Y77" i="12"/>
  <c r="W77" i="12"/>
  <c r="X77" i="12" s="1"/>
  <c r="Y76" i="12"/>
  <c r="W76" i="12"/>
  <c r="X76" i="12" s="1"/>
  <c r="Y75" i="12"/>
  <c r="W75" i="12"/>
  <c r="X75" i="12" s="1"/>
  <c r="Y74" i="12"/>
  <c r="W74" i="12"/>
  <c r="X74" i="12" s="1"/>
  <c r="Y73" i="12"/>
  <c r="W73" i="12"/>
  <c r="X73" i="12" s="1"/>
  <c r="W72" i="12"/>
  <c r="X72" i="12" s="1"/>
  <c r="Q72" i="12"/>
  <c r="Y69" i="12"/>
  <c r="W69" i="12"/>
  <c r="X69" i="12" s="1"/>
  <c r="Y68" i="12"/>
  <c r="W68" i="12"/>
  <c r="X68" i="12" s="1"/>
  <c r="Y67" i="12"/>
  <c r="W67" i="12"/>
  <c r="X67" i="12" s="1"/>
  <c r="Y66" i="12"/>
  <c r="W66" i="12"/>
  <c r="X66" i="12" s="1"/>
  <c r="Y65" i="12"/>
  <c r="W65" i="12"/>
  <c r="X65" i="12" s="1"/>
  <c r="Y64" i="12"/>
  <c r="W64" i="12"/>
  <c r="X64" i="12" s="1"/>
  <c r="Y63" i="12"/>
  <c r="W63" i="12"/>
  <c r="X63" i="12" s="1"/>
  <c r="Y63" i="18"/>
  <c r="W63" i="18"/>
  <c r="X63" i="18" s="1"/>
  <c r="W62" i="18"/>
  <c r="X62" i="18" s="1"/>
  <c r="Q62" i="18"/>
  <c r="Y67" i="18"/>
  <c r="W67" i="18"/>
  <c r="X67" i="18" s="1"/>
  <c r="Y66" i="18"/>
  <c r="W66" i="18"/>
  <c r="X66" i="18" s="1"/>
  <c r="Y65" i="18"/>
  <c r="AC65" i="18" s="1"/>
  <c r="W65" i="18"/>
  <c r="X65" i="18" s="1"/>
  <c r="Y64" i="18"/>
  <c r="W64" i="18"/>
  <c r="X64" i="18" s="1"/>
  <c r="AB64" i="18"/>
  <c r="AB65" i="18"/>
  <c r="AB66" i="18"/>
  <c r="AB67" i="18"/>
  <c r="Y53" i="18"/>
  <c r="Y59" i="18"/>
  <c r="W59" i="18"/>
  <c r="X59" i="18" s="1"/>
  <c r="Y58" i="18"/>
  <c r="W58" i="18"/>
  <c r="X58" i="18" s="1"/>
  <c r="Y57" i="18"/>
  <c r="W57" i="18"/>
  <c r="X57" i="18" s="1"/>
  <c r="Y56" i="18"/>
  <c r="W56" i="18"/>
  <c r="X56" i="18" s="1"/>
  <c r="Y55" i="18"/>
  <c r="W55" i="18"/>
  <c r="X55" i="18" s="1"/>
  <c r="Y54" i="18"/>
  <c r="W54" i="18"/>
  <c r="X54" i="18" s="1"/>
  <c r="Y72" i="12" l="1"/>
  <c r="Y62" i="18"/>
  <c r="AC64" i="18"/>
  <c r="AD65" i="18"/>
  <c r="AE65" i="18" s="1"/>
  <c r="AC67" i="18"/>
  <c r="AC66" i="18"/>
  <c r="AD66" i="18" l="1"/>
  <c r="AE66" i="18" s="1"/>
  <c r="AD64" i="18"/>
  <c r="AE64" i="18" s="1"/>
  <c r="AD67" i="18"/>
  <c r="AE67" i="18" s="1"/>
  <c r="Y40" i="12"/>
  <c r="W40" i="12"/>
  <c r="X40" i="12" s="1"/>
  <c r="Y36" i="18"/>
  <c r="W36" i="18"/>
  <c r="X36" i="18" s="1"/>
  <c r="Y64" i="8"/>
  <c r="W64" i="8"/>
  <c r="X64" i="8" s="1"/>
  <c r="Y63" i="8"/>
  <c r="W63" i="8"/>
  <c r="X63" i="8" s="1"/>
  <c r="Y62" i="8"/>
  <c r="W62" i="8"/>
  <c r="X62" i="8" s="1"/>
  <c r="Y31" i="8"/>
  <c r="Y59" i="8"/>
  <c r="W59" i="8"/>
  <c r="X59" i="8" s="1"/>
  <c r="Y58" i="8"/>
  <c r="W58" i="8"/>
  <c r="X58" i="8" s="1"/>
  <c r="Y57" i="8"/>
  <c r="W57" i="8"/>
  <c r="X57" i="8" s="1"/>
  <c r="Y56" i="8"/>
  <c r="W56" i="8"/>
  <c r="X56" i="8" s="1"/>
  <c r="Y55" i="8"/>
  <c r="W55" i="8"/>
  <c r="X55" i="8" s="1"/>
  <c r="Y54" i="8"/>
  <c r="W54" i="8"/>
  <c r="X54" i="8" s="1"/>
  <c r="Y54" i="11" l="1"/>
  <c r="W54" i="11"/>
  <c r="X54" i="11" s="1"/>
  <c r="Y53" i="11" l="1"/>
  <c r="W53" i="11"/>
  <c r="X53" i="11" s="1"/>
  <c r="Y52" i="11"/>
  <c r="W52" i="11"/>
  <c r="X52" i="11" s="1"/>
  <c r="Y48" i="11"/>
  <c r="Y47" i="11"/>
  <c r="Y46" i="11"/>
  <c r="Y49" i="11"/>
  <c r="Y27" i="11"/>
  <c r="Y73" i="19"/>
  <c r="W73" i="19"/>
  <c r="X73" i="19" s="1"/>
  <c r="Y72" i="19"/>
  <c r="W72" i="19"/>
  <c r="X72" i="19" s="1"/>
  <c r="Y71" i="19"/>
  <c r="W71" i="19"/>
  <c r="X71" i="19" s="1"/>
  <c r="Y70" i="19"/>
  <c r="W70" i="19"/>
  <c r="X70" i="19" s="1"/>
  <c r="Y69" i="19"/>
  <c r="W69" i="19"/>
  <c r="X69" i="19" s="1"/>
  <c r="Y66" i="19"/>
  <c r="W66" i="19"/>
  <c r="X66" i="19" s="1"/>
  <c r="Y65" i="19"/>
  <c r="W65" i="19"/>
  <c r="X65" i="19" s="1"/>
  <c r="Y64" i="19"/>
  <c r="W64" i="19"/>
  <c r="X64" i="19" s="1"/>
  <c r="Y63" i="19"/>
  <c r="W63" i="19"/>
  <c r="X63" i="19" s="1"/>
  <c r="W62" i="19"/>
  <c r="X62" i="19" s="1"/>
  <c r="Q62" i="19"/>
  <c r="AB57" i="19"/>
  <c r="Y57" i="19"/>
  <c r="W57" i="19"/>
  <c r="X57" i="19" s="1"/>
  <c r="Y71" i="16"/>
  <c r="W71" i="16"/>
  <c r="X71" i="16" s="1"/>
  <c r="Y70" i="16"/>
  <c r="W70" i="16"/>
  <c r="X70" i="16" s="1"/>
  <c r="Y69" i="16"/>
  <c r="W69" i="16"/>
  <c r="X69" i="16" s="1"/>
  <c r="Y68" i="16"/>
  <c r="W68" i="16"/>
  <c r="X68" i="16" s="1"/>
  <c r="Y67" i="16"/>
  <c r="W67" i="16"/>
  <c r="X67" i="16" s="1"/>
  <c r="AB56" i="16"/>
  <c r="Y56" i="16"/>
  <c r="AC56" i="16" s="1"/>
  <c r="W56" i="16"/>
  <c r="X56" i="16" s="1"/>
  <c r="Y64" i="16"/>
  <c r="W64" i="16"/>
  <c r="X64" i="16" s="1"/>
  <c r="Y63" i="16"/>
  <c r="W63" i="16"/>
  <c r="X63" i="16" s="1"/>
  <c r="Y62" i="16"/>
  <c r="W62" i="16"/>
  <c r="X62" i="16" s="1"/>
  <c r="Y61" i="16"/>
  <c r="W61" i="16"/>
  <c r="X61" i="16" s="1"/>
  <c r="W60" i="16"/>
  <c r="X60" i="16" s="1"/>
  <c r="Q60" i="16"/>
  <c r="Y71" i="13"/>
  <c r="W71" i="13"/>
  <c r="X71" i="13" s="1"/>
  <c r="Y70" i="13"/>
  <c r="W70" i="13"/>
  <c r="X70" i="13" s="1"/>
  <c r="Y69" i="13"/>
  <c r="W69" i="13"/>
  <c r="X69" i="13" s="1"/>
  <c r="Y68" i="13"/>
  <c r="W68" i="13"/>
  <c r="X68" i="13" s="1"/>
  <c r="Y67" i="13"/>
  <c r="W67" i="13"/>
  <c r="X67" i="13" s="1"/>
  <c r="Y61" i="13"/>
  <c r="W61" i="13"/>
  <c r="X61" i="13" s="1"/>
  <c r="W60" i="13"/>
  <c r="X60" i="13" s="1"/>
  <c r="Q60" i="13"/>
  <c r="W62" i="13"/>
  <c r="X62" i="13" s="1"/>
  <c r="Y62" i="13"/>
  <c r="W63" i="13"/>
  <c r="X63" i="13" s="1"/>
  <c r="Y63" i="13"/>
  <c r="W64" i="13"/>
  <c r="X64" i="13" s="1"/>
  <c r="Y64" i="13"/>
  <c r="Y54" i="13"/>
  <c r="Y57" i="13"/>
  <c r="Y56" i="13"/>
  <c r="Y55" i="13"/>
  <c r="W57" i="13"/>
  <c r="X57" i="13" s="1"/>
  <c r="W56" i="13"/>
  <c r="X56" i="13" s="1"/>
  <c r="Y59" i="9"/>
  <c r="W59" i="9"/>
  <c r="X59" i="9" s="1"/>
  <c r="Y54" i="10"/>
  <c r="W54" i="10"/>
  <c r="X54" i="10" s="1"/>
  <c r="Y55" i="9"/>
  <c r="Y57" i="9"/>
  <c r="Y56" i="10"/>
  <c r="Y58" i="9"/>
  <c r="W58" i="9"/>
  <c r="X58" i="9" s="1"/>
  <c r="W57" i="9"/>
  <c r="X57" i="9" s="1"/>
  <c r="Y56" i="9"/>
  <c r="W56" i="9"/>
  <c r="X56" i="9" s="1"/>
  <c r="W55" i="9"/>
  <c r="X55" i="9" s="1"/>
  <c r="Y51" i="10"/>
  <c r="W51" i="10"/>
  <c r="X51" i="10" s="1"/>
  <c r="Y50" i="10"/>
  <c r="W50" i="10"/>
  <c r="X50" i="10" s="1"/>
  <c r="Y49" i="10"/>
  <c r="W49" i="10"/>
  <c r="X49" i="10" s="1"/>
  <c r="Y52" i="9"/>
  <c r="Y9" i="8"/>
  <c r="W9" i="8"/>
  <c r="X9" i="8" s="1"/>
  <c r="Y39" i="19"/>
  <c r="Z39" i="19" s="1"/>
  <c r="W39" i="19"/>
  <c r="X39" i="19" s="1"/>
  <c r="Y42" i="16"/>
  <c r="Z42" i="16" s="1"/>
  <c r="W42" i="16"/>
  <c r="X42" i="16" s="1"/>
  <c r="Y43" i="13"/>
  <c r="Z43" i="13" s="1"/>
  <c r="W43" i="13"/>
  <c r="X43" i="13" s="1"/>
  <c r="Y33" i="10"/>
  <c r="W33" i="10"/>
  <c r="X33" i="10" s="1"/>
  <c r="Y49" i="7"/>
  <c r="AC49" i="7" s="1"/>
  <c r="W49" i="7"/>
  <c r="X49" i="7" s="1"/>
  <c r="AB49" i="7"/>
  <c r="Y45" i="6"/>
  <c r="AC45" i="6" s="1"/>
  <c r="W45" i="6"/>
  <c r="S45" i="6"/>
  <c r="U45" i="6" s="1"/>
  <c r="AB45" i="6"/>
  <c r="Y51" i="9"/>
  <c r="W51" i="9"/>
  <c r="X51" i="9" s="1"/>
  <c r="W52" i="9"/>
  <c r="X52" i="9" s="1"/>
  <c r="Y50" i="9"/>
  <c r="W50" i="9"/>
  <c r="X50" i="9" s="1"/>
  <c r="Y57" i="17"/>
  <c r="W57" i="17"/>
  <c r="X57" i="17" s="1"/>
  <c r="Y56" i="17"/>
  <c r="W56" i="17"/>
  <c r="X56" i="17" s="1"/>
  <c r="Y55" i="17"/>
  <c r="W55" i="17"/>
  <c r="X55" i="17" s="1"/>
  <c r="Y54" i="17"/>
  <c r="W54" i="17"/>
  <c r="X54" i="17" s="1"/>
  <c r="Q54" i="17"/>
  <c r="Y50" i="7"/>
  <c r="W50" i="7"/>
  <c r="X50" i="7" s="1"/>
  <c r="Y48" i="7"/>
  <c r="W48" i="7"/>
  <c r="X48" i="7" s="1"/>
  <c r="Y47" i="7"/>
  <c r="W47" i="7"/>
  <c r="X47" i="7" s="1"/>
  <c r="Y55" i="15"/>
  <c r="W55" i="15"/>
  <c r="X55" i="15" s="1"/>
  <c r="Y54" i="15"/>
  <c r="W54" i="15"/>
  <c r="X54" i="15" s="1"/>
  <c r="Y53" i="15"/>
  <c r="W53" i="15"/>
  <c r="X53" i="15" s="1"/>
  <c r="W52" i="15"/>
  <c r="X52" i="15" s="1"/>
  <c r="Q52" i="15"/>
  <c r="Y49" i="14"/>
  <c r="W49" i="14"/>
  <c r="X49" i="14" s="1"/>
  <c r="Y48" i="14"/>
  <c r="W48" i="14"/>
  <c r="X48" i="14" s="1"/>
  <c r="Y47" i="14"/>
  <c r="W47" i="14"/>
  <c r="X47" i="14" s="1"/>
  <c r="Y46" i="14"/>
  <c r="W46" i="14"/>
  <c r="X46" i="14" s="1"/>
  <c r="Q46" i="14"/>
  <c r="W45" i="14"/>
  <c r="X45" i="14" s="1"/>
  <c r="Y45" i="14"/>
  <c r="Y46" i="6"/>
  <c r="W46" i="6"/>
  <c r="S46" i="6"/>
  <c r="U46" i="6" s="1"/>
  <c r="Y44" i="6"/>
  <c r="W44" i="6"/>
  <c r="U44" i="6"/>
  <c r="S44" i="6"/>
  <c r="Y43" i="6"/>
  <c r="Z43" i="6" s="1"/>
  <c r="W43" i="6"/>
  <c r="S43" i="6"/>
  <c r="U43" i="6" s="1"/>
  <c r="X45" i="6" l="1"/>
  <c r="X43" i="6"/>
  <c r="AD49" i="7"/>
  <c r="AE49" i="7" s="1"/>
  <c r="AD56" i="16"/>
  <c r="AE56" i="16" s="1"/>
  <c r="X46" i="6"/>
  <c r="AC57" i="19"/>
  <c r="Y62" i="19"/>
  <c r="Y60" i="16"/>
  <c r="Y60" i="13"/>
  <c r="AD45" i="6"/>
  <c r="AE45" i="6" s="1"/>
  <c r="Z45" i="6"/>
  <c r="X44" i="6"/>
  <c r="Y52" i="15"/>
  <c r="AD57" i="19" l="1"/>
  <c r="AE57" i="19" s="1"/>
  <c r="Y60" i="12"/>
  <c r="W60" i="12"/>
  <c r="X60" i="12" s="1"/>
  <c r="Y59" i="12"/>
  <c r="W59" i="12"/>
  <c r="X59" i="12" s="1"/>
  <c r="Y58" i="12"/>
  <c r="W58" i="12"/>
  <c r="X58" i="12" s="1"/>
  <c r="Y57" i="12"/>
  <c r="W57" i="12"/>
  <c r="X57" i="12" s="1"/>
  <c r="Y56" i="12"/>
  <c r="W56" i="12"/>
  <c r="X56" i="12" s="1"/>
  <c r="Y55" i="12"/>
  <c r="W55" i="12"/>
  <c r="X55" i="12" s="1"/>
  <c r="Y54" i="12"/>
  <c r="W54" i="12"/>
  <c r="X54" i="12" s="1"/>
  <c r="Y53" i="12"/>
  <c r="Z53" i="12" s="1"/>
  <c r="W53" i="12"/>
  <c r="X53" i="12" s="1"/>
  <c r="Y52" i="12"/>
  <c r="W52" i="12"/>
  <c r="X52" i="12" s="1"/>
  <c r="Y51" i="12"/>
  <c r="W51" i="12"/>
  <c r="X51" i="12" s="1"/>
  <c r="Y50" i="12"/>
  <c r="W50" i="12"/>
  <c r="X50" i="12" s="1"/>
  <c r="Y49" i="12"/>
  <c r="W49" i="12"/>
  <c r="X49" i="12" s="1"/>
  <c r="Y48" i="12"/>
  <c r="W48" i="12"/>
  <c r="X48" i="12" s="1"/>
  <c r="Y47" i="12"/>
  <c r="W47" i="12"/>
  <c r="X47" i="12" s="1"/>
  <c r="Y46" i="12"/>
  <c r="W46" i="12"/>
  <c r="X46" i="12" s="1"/>
  <c r="Y45" i="12"/>
  <c r="W45" i="12"/>
  <c r="X45" i="12" s="1"/>
  <c r="Y44" i="12"/>
  <c r="W44" i="12"/>
  <c r="X44" i="12" s="1"/>
  <c r="Y43" i="12"/>
  <c r="Z43" i="12" s="1"/>
  <c r="W43" i="12"/>
  <c r="X43" i="12" s="1"/>
  <c r="Y42" i="12"/>
  <c r="W42" i="12"/>
  <c r="X42" i="12" s="1"/>
  <c r="Y41" i="12"/>
  <c r="W41" i="12"/>
  <c r="X41" i="12" s="1"/>
  <c r="Y39" i="12"/>
  <c r="W39" i="12"/>
  <c r="X39" i="12" s="1"/>
  <c r="Y38" i="12"/>
  <c r="W38" i="12"/>
  <c r="X38" i="12" s="1"/>
  <c r="Y37" i="12"/>
  <c r="W37" i="12"/>
  <c r="X37" i="12" s="1"/>
  <c r="Y36" i="12"/>
  <c r="W36" i="12"/>
  <c r="X36" i="12" s="1"/>
  <c r="Y35" i="12"/>
  <c r="W35" i="12"/>
  <c r="X35" i="12" s="1"/>
  <c r="Y34" i="12"/>
  <c r="W34" i="12"/>
  <c r="X34" i="12" s="1"/>
  <c r="Y32" i="12"/>
  <c r="W32" i="12"/>
  <c r="X32" i="12" s="1"/>
  <c r="Y31" i="12"/>
  <c r="W31" i="12"/>
  <c r="X31" i="12" s="1"/>
  <c r="Y50" i="18"/>
  <c r="W50" i="18"/>
  <c r="X50" i="18" s="1"/>
  <c r="Y49" i="18"/>
  <c r="W49" i="18"/>
  <c r="X49" i="18" s="1"/>
  <c r="Y48" i="18"/>
  <c r="W48" i="18"/>
  <c r="X48" i="18" s="1"/>
  <c r="Y47" i="18"/>
  <c r="W47" i="18"/>
  <c r="X47" i="18" s="1"/>
  <c r="Y46" i="18"/>
  <c r="W46" i="18"/>
  <c r="X46" i="18" s="1"/>
  <c r="Y45" i="18"/>
  <c r="W45" i="18"/>
  <c r="X45" i="18" s="1"/>
  <c r="Y44" i="18"/>
  <c r="W44" i="18"/>
  <c r="X44" i="18" s="1"/>
  <c r="Y43" i="18"/>
  <c r="W43" i="18"/>
  <c r="X43" i="18" s="1"/>
  <c r="Y42" i="18"/>
  <c r="W42" i="18"/>
  <c r="X42" i="18" s="1"/>
  <c r="Y41" i="18"/>
  <c r="W41" i="18"/>
  <c r="X41" i="18" s="1"/>
  <c r="Y40" i="18"/>
  <c r="W40" i="18"/>
  <c r="X40" i="18" s="1"/>
  <c r="Y39" i="18"/>
  <c r="W39" i="18"/>
  <c r="X39" i="18" s="1"/>
  <c r="Y38" i="18"/>
  <c r="W38" i="18"/>
  <c r="X38" i="18" s="1"/>
  <c r="Y37" i="18"/>
  <c r="W37" i="18"/>
  <c r="X37" i="18" s="1"/>
  <c r="Y35" i="18"/>
  <c r="W35" i="18"/>
  <c r="X35" i="18" s="1"/>
  <c r="Y34" i="18"/>
  <c r="W34" i="18"/>
  <c r="X34" i="18" s="1"/>
  <c r="Y32" i="18"/>
  <c r="W32" i="18"/>
  <c r="X32" i="18" s="1"/>
  <c r="Y31" i="18"/>
  <c r="W31" i="18"/>
  <c r="X31" i="18" s="1"/>
  <c r="Y47" i="8"/>
  <c r="W47" i="8"/>
  <c r="X47" i="8" s="1"/>
  <c r="Y51" i="8"/>
  <c r="W51" i="8"/>
  <c r="X51" i="8" s="1"/>
  <c r="Y50" i="8"/>
  <c r="W50" i="8"/>
  <c r="X50" i="8" s="1"/>
  <c r="Y45" i="8"/>
  <c r="W45" i="8"/>
  <c r="X45" i="8" s="1"/>
  <c r="Y44" i="8"/>
  <c r="Z44" i="8" s="1"/>
  <c r="W44" i="8"/>
  <c r="X44" i="8" s="1"/>
  <c r="Y43" i="8"/>
  <c r="W43" i="8"/>
  <c r="X43" i="8" s="1"/>
  <c r="Y42" i="8"/>
  <c r="W42" i="8"/>
  <c r="X42" i="8" s="1"/>
  <c r="Y41" i="8"/>
  <c r="W41" i="8"/>
  <c r="X41" i="8" s="1"/>
  <c r="Y38" i="8"/>
  <c r="W38" i="8"/>
  <c r="X38" i="8" s="1"/>
  <c r="Y37" i="8"/>
  <c r="W37" i="8"/>
  <c r="X37" i="8" s="1"/>
  <c r="Y34" i="8"/>
  <c r="Z34" i="8" s="1"/>
  <c r="W34" i="8"/>
  <c r="X34" i="8" s="1"/>
  <c r="Y33" i="8"/>
  <c r="W33" i="8"/>
  <c r="X33" i="8" s="1"/>
  <c r="Y32" i="8"/>
  <c r="W32" i="8"/>
  <c r="X32" i="8" s="1"/>
  <c r="W31" i="8"/>
  <c r="X31" i="8" s="1"/>
  <c r="Y30" i="8"/>
  <c r="W30" i="8"/>
  <c r="X30" i="8" s="1"/>
  <c r="Y28" i="8"/>
  <c r="W28" i="8"/>
  <c r="X28" i="8" s="1"/>
  <c r="Y27" i="8"/>
  <c r="W27" i="8"/>
  <c r="X27" i="8" s="1"/>
  <c r="Y26" i="8"/>
  <c r="W26" i="8"/>
  <c r="X26" i="8" s="1"/>
  <c r="Y25" i="8"/>
  <c r="W25" i="8"/>
  <c r="X25" i="8" s="1"/>
  <c r="Y23" i="8"/>
  <c r="W23" i="8"/>
  <c r="X23" i="8" s="1"/>
  <c r="Y22" i="8"/>
  <c r="W22" i="8"/>
  <c r="X22" i="8" s="1"/>
  <c r="Y34" i="11"/>
  <c r="W34" i="11"/>
  <c r="X34" i="11" s="1"/>
  <c r="Y35" i="11"/>
  <c r="W35" i="11"/>
  <c r="X35" i="11" s="1"/>
  <c r="Y31" i="11"/>
  <c r="W31" i="11"/>
  <c r="X31" i="11" s="1"/>
  <c r="Y30" i="11"/>
  <c r="W30" i="11"/>
  <c r="X30" i="11" s="1"/>
  <c r="Y29" i="11"/>
  <c r="Z29" i="11" s="1"/>
  <c r="W29" i="11"/>
  <c r="X29" i="11" s="1"/>
  <c r="Y28" i="11"/>
  <c r="W28" i="11"/>
  <c r="X28" i="11" s="1"/>
  <c r="Y38" i="11"/>
  <c r="W38" i="11"/>
  <c r="X38" i="11" s="1"/>
  <c r="Y37" i="11"/>
  <c r="Z37" i="11" s="1"/>
  <c r="W37" i="11"/>
  <c r="X37" i="11" s="1"/>
  <c r="Y36" i="11"/>
  <c r="W36" i="11"/>
  <c r="X36" i="11" s="1"/>
  <c r="Y23" i="11"/>
  <c r="W23" i="11"/>
  <c r="X23" i="11" s="1"/>
  <c r="Y22" i="11"/>
  <c r="W22" i="11"/>
  <c r="X22" i="11" s="1"/>
  <c r="Y59" i="19"/>
  <c r="Y58" i="19"/>
  <c r="W58" i="19"/>
  <c r="X58" i="19" s="1"/>
  <c r="Y56" i="19"/>
  <c r="W56" i="19"/>
  <c r="X56" i="19" s="1"/>
  <c r="Y55" i="19"/>
  <c r="W55" i="19"/>
  <c r="X55" i="19" s="1"/>
  <c r="Y54" i="19"/>
  <c r="W54" i="19"/>
  <c r="X54" i="19" s="1"/>
  <c r="Y47" i="19"/>
  <c r="Y44" i="19"/>
  <c r="W44" i="19"/>
  <c r="X44" i="19" s="1"/>
  <c r="Y43" i="19"/>
  <c r="W43" i="19"/>
  <c r="X43" i="19" s="1"/>
  <c r="Y42" i="19"/>
  <c r="W42" i="19"/>
  <c r="X42" i="19" s="1"/>
  <c r="Y40" i="19"/>
  <c r="W40" i="19"/>
  <c r="X40" i="19" s="1"/>
  <c r="Y38" i="19"/>
  <c r="W38" i="19"/>
  <c r="X38" i="19" s="1"/>
  <c r="Y37" i="19"/>
  <c r="W37" i="19"/>
  <c r="X37" i="19" s="1"/>
  <c r="Y36" i="19"/>
  <c r="W36" i="19"/>
  <c r="X36" i="19" s="1"/>
  <c r="Y32" i="19"/>
  <c r="W32" i="19"/>
  <c r="X32" i="19" s="1"/>
  <c r="Y31" i="19"/>
  <c r="W31" i="19"/>
  <c r="X31" i="19" s="1"/>
  <c r="Y53" i="16"/>
  <c r="Y54" i="16"/>
  <c r="Y55" i="16"/>
  <c r="Y57" i="16"/>
  <c r="Y50" i="16"/>
  <c r="W50" i="16"/>
  <c r="X50" i="16" s="1"/>
  <c r="Y49" i="16"/>
  <c r="W49" i="16"/>
  <c r="X49" i="16" s="1"/>
  <c r="Y48" i="16"/>
  <c r="W48" i="16"/>
  <c r="X48" i="16" s="1"/>
  <c r="Y47" i="16"/>
  <c r="W47" i="16"/>
  <c r="X47" i="16" s="1"/>
  <c r="Y46" i="16"/>
  <c r="W46" i="16"/>
  <c r="X46" i="16" s="1"/>
  <c r="Y45" i="16"/>
  <c r="W45" i="16"/>
  <c r="X45" i="16" s="1"/>
  <c r="Y44" i="16"/>
  <c r="W44" i="16"/>
  <c r="X44" i="16" s="1"/>
  <c r="Y43" i="16"/>
  <c r="W43" i="16"/>
  <c r="X43" i="16" s="1"/>
  <c r="Y41" i="16"/>
  <c r="W41" i="16"/>
  <c r="X41" i="16" s="1"/>
  <c r="Y40" i="16"/>
  <c r="W40" i="16"/>
  <c r="X40" i="16" s="1"/>
  <c r="Y39" i="16"/>
  <c r="W39" i="16"/>
  <c r="X39" i="16" s="1"/>
  <c r="Y38" i="16"/>
  <c r="W38" i="16"/>
  <c r="X38" i="16" s="1"/>
  <c r="Y37" i="16"/>
  <c r="W37" i="16"/>
  <c r="X37" i="16" s="1"/>
  <c r="Y36" i="16"/>
  <c r="W36" i="16"/>
  <c r="X36" i="16" s="1"/>
  <c r="Y35" i="16"/>
  <c r="W35" i="16"/>
  <c r="X35" i="16" s="1"/>
  <c r="Y34" i="16"/>
  <c r="W34" i="16"/>
  <c r="X34" i="16" s="1"/>
  <c r="Y32" i="16"/>
  <c r="W32" i="16"/>
  <c r="X32" i="16" s="1"/>
  <c r="Y31" i="16"/>
  <c r="W31" i="16"/>
  <c r="X31" i="16" s="1"/>
  <c r="Y31" i="13"/>
  <c r="W31" i="13"/>
  <c r="X31" i="13" s="1"/>
  <c r="Y51" i="13"/>
  <c r="W51" i="13"/>
  <c r="X51" i="13" s="1"/>
  <c r="Y50" i="13"/>
  <c r="W50" i="13"/>
  <c r="X50" i="13" s="1"/>
  <c r="Y49" i="13"/>
  <c r="W49" i="13"/>
  <c r="X49" i="13" s="1"/>
  <c r="Y48" i="13"/>
  <c r="W48" i="13"/>
  <c r="X48" i="13" s="1"/>
  <c r="Y47" i="13"/>
  <c r="W47" i="13"/>
  <c r="X47" i="13" s="1"/>
  <c r="Y46" i="13"/>
  <c r="W46" i="13"/>
  <c r="X46" i="13" s="1"/>
  <c r="Y45" i="13"/>
  <c r="W45" i="13"/>
  <c r="X45" i="13" s="1"/>
  <c r="Y44" i="13"/>
  <c r="W44" i="13"/>
  <c r="X44" i="13" s="1"/>
  <c r="Y42" i="13"/>
  <c r="W42" i="13"/>
  <c r="X42" i="13" s="1"/>
  <c r="Y41" i="13"/>
  <c r="W41" i="13"/>
  <c r="X41" i="13" s="1"/>
  <c r="Y40" i="13"/>
  <c r="W40" i="13"/>
  <c r="X40" i="13" s="1"/>
  <c r="Y39" i="13"/>
  <c r="W39" i="13"/>
  <c r="X39" i="13" s="1"/>
  <c r="Y38" i="13"/>
  <c r="W38" i="13"/>
  <c r="X38" i="13" s="1"/>
  <c r="Y37" i="13"/>
  <c r="W37" i="13"/>
  <c r="X37" i="13" s="1"/>
  <c r="Y36" i="13"/>
  <c r="W36" i="13"/>
  <c r="X36" i="13" s="1"/>
  <c r="Y35" i="13"/>
  <c r="W35" i="13"/>
  <c r="X35" i="13" s="1"/>
  <c r="Y34" i="13"/>
  <c r="W34" i="13"/>
  <c r="X34" i="13" s="1"/>
  <c r="Y32" i="13"/>
  <c r="W32" i="13"/>
  <c r="X32" i="13" s="1"/>
  <c r="Y46" i="10"/>
  <c r="W46" i="10"/>
  <c r="X46" i="10" s="1"/>
  <c r="Y45" i="10"/>
  <c r="W45" i="10"/>
  <c r="X45" i="10" s="1"/>
  <c r="Y44" i="10"/>
  <c r="W44" i="10"/>
  <c r="X44" i="10" s="1"/>
  <c r="Y41" i="10"/>
  <c r="W41" i="10"/>
  <c r="X41" i="10" s="1"/>
  <c r="Y40" i="10"/>
  <c r="W40" i="10"/>
  <c r="X40" i="10" s="1"/>
  <c r="Y39" i="10"/>
  <c r="W39" i="10"/>
  <c r="X39" i="10" s="1"/>
  <c r="Y38" i="10"/>
  <c r="W38" i="10"/>
  <c r="X38" i="10" s="1"/>
  <c r="Y37" i="10"/>
  <c r="W37" i="10"/>
  <c r="X37" i="10" s="1"/>
  <c r="Y36" i="10"/>
  <c r="W36" i="10"/>
  <c r="X36" i="10" s="1"/>
  <c r="Y35" i="10"/>
  <c r="W35" i="10"/>
  <c r="X35" i="10" s="1"/>
  <c r="Y34" i="10"/>
  <c r="W34" i="10"/>
  <c r="X34" i="10" s="1"/>
  <c r="Y32" i="10"/>
  <c r="W32" i="10"/>
  <c r="X32" i="10" s="1"/>
  <c r="Y31" i="10"/>
  <c r="W31" i="10"/>
  <c r="X31" i="10" s="1"/>
  <c r="Y30" i="10"/>
  <c r="W30" i="10"/>
  <c r="X30" i="10" s="1"/>
  <c r="Y29" i="10"/>
  <c r="W29" i="10"/>
  <c r="X29" i="10" s="1"/>
  <c r="Y28" i="10"/>
  <c r="W28" i="10"/>
  <c r="X28" i="10" s="1"/>
  <c r="Y27" i="10"/>
  <c r="W27" i="10"/>
  <c r="X27" i="10" s="1"/>
  <c r="Y26" i="10"/>
  <c r="W26" i="10"/>
  <c r="X26" i="10" s="1"/>
  <c r="Y23" i="10"/>
  <c r="W23" i="10"/>
  <c r="X23" i="10" s="1"/>
  <c r="Y22" i="10"/>
  <c r="W22" i="10"/>
  <c r="X22" i="10" s="1"/>
  <c r="Y21" i="10"/>
  <c r="W21" i="10"/>
  <c r="X21" i="10" s="1"/>
  <c r="Y20" i="10"/>
  <c r="W20" i="10"/>
  <c r="X20" i="10" s="1"/>
  <c r="W19" i="10"/>
  <c r="X19" i="10" s="1"/>
  <c r="Y18" i="10"/>
  <c r="W18" i="10"/>
  <c r="X18" i="10" s="1"/>
  <c r="Y17" i="10"/>
  <c r="W17" i="10"/>
  <c r="X17" i="10" s="1"/>
  <c r="Y16" i="10"/>
  <c r="W16" i="10"/>
  <c r="X16" i="10" s="1"/>
  <c r="Y15" i="10"/>
  <c r="W15" i="10"/>
  <c r="X15" i="10" s="1"/>
  <c r="Y13" i="10"/>
  <c r="W13" i="10"/>
  <c r="X13" i="10" s="1"/>
  <c r="Y11" i="10"/>
  <c r="W11" i="10"/>
  <c r="X11" i="10" s="1"/>
  <c r="Y10" i="10"/>
  <c r="W10" i="10"/>
  <c r="X10" i="10" s="1"/>
  <c r="W9" i="10"/>
  <c r="X9" i="10" s="1"/>
  <c r="Y8" i="10"/>
  <c r="W8" i="10"/>
  <c r="X8" i="10" s="1"/>
  <c r="Y7" i="10"/>
  <c r="W7" i="10"/>
  <c r="S7" i="10"/>
  <c r="U7" i="10" s="1"/>
  <c r="Y47" i="9"/>
  <c r="W47" i="9"/>
  <c r="X47" i="9" s="1"/>
  <c r="Y46" i="9"/>
  <c r="W46" i="9"/>
  <c r="X46" i="9" s="1"/>
  <c r="Y45" i="9"/>
  <c r="W45" i="9"/>
  <c r="X45" i="9" s="1"/>
  <c r="Y42" i="9"/>
  <c r="W42" i="9"/>
  <c r="X42" i="9" s="1"/>
  <c r="Y41" i="9"/>
  <c r="W41" i="9"/>
  <c r="X41" i="9" s="1"/>
  <c r="AB41" i="9"/>
  <c r="AB42" i="9"/>
  <c r="W39" i="9"/>
  <c r="X39" i="9" s="1"/>
  <c r="Y38" i="9"/>
  <c r="W38" i="9"/>
  <c r="X38" i="9" s="1"/>
  <c r="W37" i="9"/>
  <c r="X37" i="9" s="1"/>
  <c r="AC42" i="9" l="1"/>
  <c r="AC41" i="9"/>
  <c r="AD41" i="9"/>
  <c r="AE41" i="9" s="1"/>
  <c r="X7" i="10"/>
  <c r="AD42" i="9"/>
  <c r="AE42" i="9" s="1"/>
  <c r="Y35" i="9" l="1"/>
  <c r="W35" i="9"/>
  <c r="X35" i="9" s="1"/>
  <c r="W34" i="9"/>
  <c r="X34" i="9" s="1"/>
  <c r="Y33" i="9"/>
  <c r="W33" i="9"/>
  <c r="X33" i="9" s="1"/>
  <c r="Y32" i="9"/>
  <c r="W32" i="9"/>
  <c r="X32" i="9" s="1"/>
  <c r="Y28" i="9"/>
  <c r="W28" i="9"/>
  <c r="X28" i="9" s="1"/>
  <c r="Y27" i="9"/>
  <c r="W27" i="9"/>
  <c r="X27" i="9" s="1"/>
  <c r="Y26" i="9"/>
  <c r="W26" i="9"/>
  <c r="X26" i="9" s="1"/>
  <c r="Y25" i="9"/>
  <c r="W25" i="9"/>
  <c r="X25" i="9" s="1"/>
  <c r="Y24" i="9"/>
  <c r="W24" i="9"/>
  <c r="X24" i="9" s="1"/>
  <c r="Y23" i="9"/>
  <c r="W23" i="9"/>
  <c r="X23" i="9" s="1"/>
  <c r="Y22" i="9"/>
  <c r="W22" i="9"/>
  <c r="X22" i="9" s="1"/>
  <c r="Y20" i="9"/>
  <c r="W20" i="9"/>
  <c r="X20" i="9" s="1"/>
  <c r="Y19" i="9"/>
  <c r="W19" i="9"/>
  <c r="X19" i="9" s="1"/>
  <c r="Y18" i="9"/>
  <c r="W18" i="9"/>
  <c r="X18" i="9" s="1"/>
  <c r="Y17" i="9"/>
  <c r="W17" i="9"/>
  <c r="X17" i="9" s="1"/>
  <c r="Y16" i="9"/>
  <c r="W16" i="9"/>
  <c r="X16" i="9" s="1"/>
  <c r="Y13" i="9"/>
  <c r="W13" i="9"/>
  <c r="X13" i="9" s="1"/>
  <c r="Y9" i="12"/>
  <c r="W9" i="12"/>
  <c r="X9" i="12" s="1"/>
  <c r="Y9" i="18"/>
  <c r="W9" i="18"/>
  <c r="X9" i="18" s="1"/>
  <c r="Y9" i="19"/>
  <c r="W9" i="19"/>
  <c r="X9" i="19" s="1"/>
  <c r="Y9" i="16"/>
  <c r="W9" i="16"/>
  <c r="X9" i="16" s="1"/>
  <c r="Y9" i="13"/>
  <c r="W9" i="13"/>
  <c r="X9" i="13" s="1"/>
  <c r="W9" i="17"/>
  <c r="X9" i="17" s="1"/>
  <c r="Y9" i="15"/>
  <c r="W9" i="15"/>
  <c r="X9" i="15" s="1"/>
  <c r="Y36" i="17" l="1"/>
  <c r="W36" i="17"/>
  <c r="X36" i="17" s="1"/>
  <c r="Y31" i="7"/>
  <c r="W31" i="7"/>
  <c r="X31" i="7" s="1"/>
  <c r="Z109" i="22" l="1"/>
  <c r="Z110" i="22" s="1"/>
  <c r="Z111" i="22" s="1"/>
  <c r="Z106" i="22"/>
  <c r="Z104" i="22"/>
  <c r="AJ101" i="22"/>
  <c r="AI101" i="22"/>
  <c r="AH101" i="22"/>
  <c r="AG101" i="22"/>
  <c r="AF101" i="22"/>
  <c r="AB99" i="22"/>
  <c r="AC99" i="22" s="1"/>
  <c r="Y99" i="22"/>
  <c r="Z99" i="22" s="1"/>
  <c r="W99" i="22"/>
  <c r="X99" i="22" s="1"/>
  <c r="U99" i="22"/>
  <c r="S99" i="22"/>
  <c r="AB98" i="22"/>
  <c r="Y98" i="22"/>
  <c r="AC98" i="22" s="1"/>
  <c r="W98" i="22"/>
  <c r="S98" i="22"/>
  <c r="U98" i="22" s="1"/>
  <c r="AC97" i="22"/>
  <c r="AB97" i="22"/>
  <c r="Y97" i="22"/>
  <c r="Z97" i="22" s="1"/>
  <c r="W97" i="22"/>
  <c r="S97" i="22"/>
  <c r="U97" i="22" s="1"/>
  <c r="AB96" i="22"/>
  <c r="Y96" i="22"/>
  <c r="W96" i="22"/>
  <c r="S96" i="22"/>
  <c r="U96" i="22" s="1"/>
  <c r="AB95" i="22"/>
  <c r="Y95" i="22"/>
  <c r="W95" i="22"/>
  <c r="X95" i="22" s="1"/>
  <c r="S95" i="22"/>
  <c r="U95" i="22" s="1"/>
  <c r="AB94" i="22"/>
  <c r="Z94" i="22"/>
  <c r="Y94" i="22"/>
  <c r="W94" i="22"/>
  <c r="S94" i="22"/>
  <c r="U94" i="22" s="1"/>
  <c r="AB93" i="22"/>
  <c r="Y93" i="22"/>
  <c r="Z93" i="22" s="1"/>
  <c r="W93" i="22"/>
  <c r="S93" i="22"/>
  <c r="U93" i="22" s="1"/>
  <c r="AB92" i="22"/>
  <c r="Y92" i="22"/>
  <c r="W92" i="22"/>
  <c r="S92" i="22"/>
  <c r="U92" i="22" s="1"/>
  <c r="AB91" i="22"/>
  <c r="Y91" i="22"/>
  <c r="W91" i="22"/>
  <c r="X91" i="22" s="1"/>
  <c r="S91" i="22"/>
  <c r="U91" i="22" s="1"/>
  <c r="AB90" i="22"/>
  <c r="Z90" i="22"/>
  <c r="Y90" i="22"/>
  <c r="W90" i="22"/>
  <c r="X90" i="22" s="1"/>
  <c r="S90" i="22"/>
  <c r="U90" i="22" s="1"/>
  <c r="AB89" i="22"/>
  <c r="AC89" i="22" s="1"/>
  <c r="Z89" i="22"/>
  <c r="Y89" i="22"/>
  <c r="W89" i="22"/>
  <c r="S89" i="22"/>
  <c r="U89" i="22" s="1"/>
  <c r="AB88" i="22"/>
  <c r="AC88" i="22" s="1"/>
  <c r="Y88" i="22"/>
  <c r="Z88" i="22" s="1"/>
  <c r="W88" i="22"/>
  <c r="S88" i="22"/>
  <c r="U88" i="22" s="1"/>
  <c r="AB87" i="22"/>
  <c r="Y87" i="22"/>
  <c r="W87" i="22"/>
  <c r="S87" i="22"/>
  <c r="U87" i="22" s="1"/>
  <c r="AB86" i="22"/>
  <c r="Y86" i="22"/>
  <c r="AC86" i="22" s="1"/>
  <c r="W86" i="22"/>
  <c r="S86" i="22"/>
  <c r="U86" i="22" s="1"/>
  <c r="AB85" i="22"/>
  <c r="Y85" i="22"/>
  <c r="AC85" i="22" s="1"/>
  <c r="W85" i="22"/>
  <c r="S85" i="22"/>
  <c r="U85" i="22" s="1"/>
  <c r="AB84" i="22"/>
  <c r="Y84" i="22"/>
  <c r="Z84" i="22" s="1"/>
  <c r="W84" i="22"/>
  <c r="U84" i="22"/>
  <c r="S84" i="22"/>
  <c r="AB83" i="22"/>
  <c r="Y83" i="22"/>
  <c r="W83" i="22"/>
  <c r="X83" i="22" s="1"/>
  <c r="U83" i="22"/>
  <c r="S83" i="22"/>
  <c r="AB82" i="22"/>
  <c r="Z82" i="22"/>
  <c r="Y82" i="22"/>
  <c r="W82" i="22"/>
  <c r="X82" i="22" s="1"/>
  <c r="S82" i="22"/>
  <c r="U82" i="22" s="1"/>
  <c r="AB81" i="22"/>
  <c r="AC81" i="22" s="1"/>
  <c r="Z81" i="22"/>
  <c r="Y81" i="22"/>
  <c r="W81" i="22"/>
  <c r="S81" i="22"/>
  <c r="U81" i="22" s="1"/>
  <c r="AB80" i="22"/>
  <c r="AC80" i="22" s="1"/>
  <c r="Y80" i="22"/>
  <c r="Z80" i="22" s="1"/>
  <c r="W80" i="22"/>
  <c r="S80" i="22"/>
  <c r="U80" i="22" s="1"/>
  <c r="AB79" i="22"/>
  <c r="Y79" i="22"/>
  <c r="W79" i="22"/>
  <c r="S79" i="22"/>
  <c r="U79" i="22" s="1"/>
  <c r="AB78" i="22"/>
  <c r="Y78" i="22"/>
  <c r="AC78" i="22" s="1"/>
  <c r="W78" i="22"/>
  <c r="S78" i="22"/>
  <c r="U78" i="22" s="1"/>
  <c r="AB77" i="22"/>
  <c r="Y77" i="22"/>
  <c r="AC77" i="22" s="1"/>
  <c r="W77" i="22"/>
  <c r="S77" i="22"/>
  <c r="U77" i="22" s="1"/>
  <c r="AB76" i="22"/>
  <c r="Y76" i="22"/>
  <c r="Z76" i="22" s="1"/>
  <c r="W76" i="22"/>
  <c r="U76" i="22"/>
  <c r="S76" i="22"/>
  <c r="AB75" i="22"/>
  <c r="Y75" i="22"/>
  <c r="W75" i="22"/>
  <c r="X75" i="22" s="1"/>
  <c r="U75" i="22"/>
  <c r="S75" i="22"/>
  <c r="AB74" i="22"/>
  <c r="Z74" i="22"/>
  <c r="Y74" i="22"/>
  <c r="W74" i="22"/>
  <c r="X74" i="22" s="1"/>
  <c r="S74" i="22"/>
  <c r="U74" i="22" s="1"/>
  <c r="AB73" i="22"/>
  <c r="AC73" i="22" s="1"/>
  <c r="Z73" i="22"/>
  <c r="Y73" i="22"/>
  <c r="W73" i="22"/>
  <c r="S73" i="22"/>
  <c r="U73" i="22" s="1"/>
  <c r="AB72" i="22"/>
  <c r="AC72" i="22" s="1"/>
  <c r="Y72" i="22"/>
  <c r="Z72" i="22" s="1"/>
  <c r="W72" i="22"/>
  <c r="S72" i="22"/>
  <c r="U72" i="22" s="1"/>
  <c r="AB71" i="22"/>
  <c r="Y71" i="22"/>
  <c r="W71" i="22"/>
  <c r="S71" i="22"/>
  <c r="U71" i="22" s="1"/>
  <c r="AB70" i="22"/>
  <c r="Y70" i="22"/>
  <c r="AC70" i="22" s="1"/>
  <c r="W70" i="22"/>
  <c r="S70" i="22"/>
  <c r="U70" i="22" s="1"/>
  <c r="AB69" i="22"/>
  <c r="Y69" i="22"/>
  <c r="AC69" i="22" s="1"/>
  <c r="W69" i="22"/>
  <c r="S69" i="22"/>
  <c r="U69" i="22" s="1"/>
  <c r="AB68" i="22"/>
  <c r="Y68" i="22"/>
  <c r="Z68" i="22" s="1"/>
  <c r="W68" i="22"/>
  <c r="U68" i="22"/>
  <c r="S68" i="22"/>
  <c r="AB67" i="22"/>
  <c r="Y67" i="22"/>
  <c r="W67" i="22"/>
  <c r="X67" i="22" s="1"/>
  <c r="U67" i="22"/>
  <c r="S67" i="22"/>
  <c r="AB66" i="22"/>
  <c r="Z66" i="22"/>
  <c r="Y66" i="22"/>
  <c r="W66" i="22"/>
  <c r="X66" i="22" s="1"/>
  <c r="S66" i="22"/>
  <c r="U66" i="22" s="1"/>
  <c r="AB65" i="22"/>
  <c r="AC65" i="22" s="1"/>
  <c r="Z65" i="22"/>
  <c r="Y65" i="22"/>
  <c r="W65" i="22"/>
  <c r="S65" i="22"/>
  <c r="U65" i="22" s="1"/>
  <c r="AB64" i="22"/>
  <c r="AC64" i="22" s="1"/>
  <c r="Y64" i="22"/>
  <c r="Z64" i="22" s="1"/>
  <c r="W64" i="22"/>
  <c r="S64" i="22"/>
  <c r="U64" i="22" s="1"/>
  <c r="AB63" i="22"/>
  <c r="Y63" i="22"/>
  <c r="W63" i="22"/>
  <c r="S63" i="22"/>
  <c r="U63" i="22" s="1"/>
  <c r="AB62" i="22"/>
  <c r="Y62" i="22"/>
  <c r="AC62" i="22" s="1"/>
  <c r="W62" i="22"/>
  <c r="S62" i="22"/>
  <c r="U62" i="22" s="1"/>
  <c r="AB61" i="22"/>
  <c r="Y61" i="22"/>
  <c r="AC61" i="22" s="1"/>
  <c r="W61" i="22"/>
  <c r="S61" i="22"/>
  <c r="U61" i="22" s="1"/>
  <c r="AB60" i="22"/>
  <c r="Y60" i="22"/>
  <c r="Z60" i="22" s="1"/>
  <c r="W60" i="22"/>
  <c r="U60" i="22"/>
  <c r="S60" i="22"/>
  <c r="AB59" i="22"/>
  <c r="Y59" i="22"/>
  <c r="W59" i="22"/>
  <c r="X59" i="22" s="1"/>
  <c r="U59" i="22"/>
  <c r="S59" i="22"/>
  <c r="AB58" i="22"/>
  <c r="Z58" i="22"/>
  <c r="Y58" i="22"/>
  <c r="W58" i="22"/>
  <c r="X58" i="22" s="1"/>
  <c r="S58" i="22"/>
  <c r="U58" i="22" s="1"/>
  <c r="AB57" i="22"/>
  <c r="AC57" i="22" s="1"/>
  <c r="Z57" i="22"/>
  <c r="Y57" i="22"/>
  <c r="W57" i="22"/>
  <c r="S57" i="22"/>
  <c r="U57" i="22" s="1"/>
  <c r="AB56" i="22"/>
  <c r="AC56" i="22" s="1"/>
  <c r="Y56" i="22"/>
  <c r="Z56" i="22" s="1"/>
  <c r="W56" i="22"/>
  <c r="S56" i="22"/>
  <c r="U56" i="22" s="1"/>
  <c r="AB55" i="22"/>
  <c r="Y55" i="22"/>
  <c r="W55" i="22"/>
  <c r="S55" i="22"/>
  <c r="U55" i="22" s="1"/>
  <c r="AB54" i="22"/>
  <c r="Y54" i="22"/>
  <c r="W54" i="22"/>
  <c r="S54" i="22"/>
  <c r="U54" i="22" s="1"/>
  <c r="AB53" i="22"/>
  <c r="Y53" i="22"/>
  <c r="W53" i="22"/>
  <c r="S53" i="22"/>
  <c r="U53" i="22" s="1"/>
  <c r="AB52" i="22"/>
  <c r="Y52" i="22"/>
  <c r="Z52" i="22" s="1"/>
  <c r="W52" i="22"/>
  <c r="U52" i="22"/>
  <c r="S52" i="22"/>
  <c r="AB51" i="22"/>
  <c r="Y51" i="22"/>
  <c r="W51" i="22"/>
  <c r="X51" i="22" s="1"/>
  <c r="U51" i="22"/>
  <c r="S51" i="22"/>
  <c r="AB50" i="22"/>
  <c r="Z50" i="22"/>
  <c r="Y50" i="22"/>
  <c r="W50" i="22"/>
  <c r="X50" i="22" s="1"/>
  <c r="S50" i="22"/>
  <c r="U50" i="22" s="1"/>
  <c r="AB49" i="22"/>
  <c r="AC49" i="22" s="1"/>
  <c r="Z49" i="22"/>
  <c r="Y49" i="22"/>
  <c r="W49" i="22"/>
  <c r="S49" i="22"/>
  <c r="U49" i="22" s="1"/>
  <c r="AB48" i="22"/>
  <c r="AC48" i="22" s="1"/>
  <c r="Y48" i="22"/>
  <c r="Z48" i="22" s="1"/>
  <c r="W48" i="22"/>
  <c r="S48" i="22"/>
  <c r="U48" i="22" s="1"/>
  <c r="AB47" i="22"/>
  <c r="Y47" i="22"/>
  <c r="W47" i="22"/>
  <c r="S47" i="22"/>
  <c r="U47" i="22" s="1"/>
  <c r="AB46" i="22"/>
  <c r="Y46" i="22"/>
  <c r="W46" i="22"/>
  <c r="S46" i="22"/>
  <c r="U46" i="22" s="1"/>
  <c r="AB45" i="22"/>
  <c r="Y45" i="22"/>
  <c r="W45" i="22"/>
  <c r="S45" i="22"/>
  <c r="U45" i="22" s="1"/>
  <c r="AB44" i="22"/>
  <c r="Y44" i="22"/>
  <c r="Z44" i="22" s="1"/>
  <c r="W44" i="22"/>
  <c r="U44" i="22"/>
  <c r="S44" i="22"/>
  <c r="AB43" i="22"/>
  <c r="Y43" i="22"/>
  <c r="W43" i="22"/>
  <c r="X43" i="22" s="1"/>
  <c r="U43" i="22"/>
  <c r="S43" i="22"/>
  <c r="AB42" i="22"/>
  <c r="Z42" i="22"/>
  <c r="Y42" i="22"/>
  <c r="W42" i="22"/>
  <c r="X42" i="22" s="1"/>
  <c r="S42" i="22"/>
  <c r="U42" i="22" s="1"/>
  <c r="AB41" i="22"/>
  <c r="AC41" i="22" s="1"/>
  <c r="Z41" i="22"/>
  <c r="Y41" i="22"/>
  <c r="W41" i="22"/>
  <c r="S41" i="22"/>
  <c r="U41" i="22" s="1"/>
  <c r="AB40" i="22"/>
  <c r="AC40" i="22" s="1"/>
  <c r="Y40" i="22"/>
  <c r="Z40" i="22" s="1"/>
  <c r="W40" i="22"/>
  <c r="S40" i="22"/>
  <c r="U40" i="22" s="1"/>
  <c r="AB39" i="22"/>
  <c r="Y39" i="22"/>
  <c r="W39" i="22"/>
  <c r="S39" i="22"/>
  <c r="U39" i="22" s="1"/>
  <c r="AB38" i="22"/>
  <c r="Y38" i="22"/>
  <c r="W38" i="22"/>
  <c r="S38" i="22"/>
  <c r="U38" i="22" s="1"/>
  <c r="AB37" i="22"/>
  <c r="Y37" i="22"/>
  <c r="W37" i="22"/>
  <c r="S37" i="22"/>
  <c r="U37" i="22" s="1"/>
  <c r="AB36" i="22"/>
  <c r="Y36" i="22"/>
  <c r="Z36" i="22" s="1"/>
  <c r="W36" i="22"/>
  <c r="U36" i="22"/>
  <c r="S36" i="22"/>
  <c r="AB35" i="22"/>
  <c r="Y35" i="22"/>
  <c r="W35" i="22"/>
  <c r="X35" i="22" s="1"/>
  <c r="U35" i="22"/>
  <c r="S35" i="22"/>
  <c r="AB34" i="22"/>
  <c r="Z34" i="22"/>
  <c r="Y34" i="22"/>
  <c r="W34" i="22"/>
  <c r="X34" i="22" s="1"/>
  <c r="S34" i="22"/>
  <c r="U34" i="22" s="1"/>
  <c r="AB33" i="22"/>
  <c r="AC33" i="22" s="1"/>
  <c r="Z33" i="22"/>
  <c r="Y33" i="22"/>
  <c r="W33" i="22"/>
  <c r="S33" i="22"/>
  <c r="U33" i="22" s="1"/>
  <c r="AB32" i="22"/>
  <c r="AC32" i="22" s="1"/>
  <c r="Z32" i="22"/>
  <c r="Y32" i="22"/>
  <c r="W32" i="22"/>
  <c r="X32" i="22" s="1"/>
  <c r="U32" i="22"/>
  <c r="S32" i="22"/>
  <c r="AB31" i="22"/>
  <c r="Y31" i="22"/>
  <c r="W31" i="22"/>
  <c r="S31" i="22"/>
  <c r="U31" i="22" s="1"/>
  <c r="AB30" i="22"/>
  <c r="AC30" i="22" s="1"/>
  <c r="Z30" i="22"/>
  <c r="Y30" i="22"/>
  <c r="W30" i="22"/>
  <c r="X30" i="22" s="1"/>
  <c r="U30" i="22"/>
  <c r="S30" i="22"/>
  <c r="AB29" i="22"/>
  <c r="Y29" i="22"/>
  <c r="W29" i="22"/>
  <c r="S29" i="22"/>
  <c r="U29" i="22" s="1"/>
  <c r="AB28" i="22"/>
  <c r="AC28" i="22" s="1"/>
  <c r="Z28" i="22"/>
  <c r="Y28" i="22"/>
  <c r="W28" i="22"/>
  <c r="X28" i="22" s="1"/>
  <c r="U28" i="22"/>
  <c r="S28" i="22"/>
  <c r="AB27" i="22"/>
  <c r="Y27" i="22"/>
  <c r="W27" i="22"/>
  <c r="S27" i="22"/>
  <c r="U27" i="22" s="1"/>
  <c r="AB26" i="22"/>
  <c r="AC26" i="22" s="1"/>
  <c r="Z26" i="22"/>
  <c r="Y26" i="22"/>
  <c r="W26" i="22"/>
  <c r="X26" i="22" s="1"/>
  <c r="U26" i="22"/>
  <c r="S26" i="22"/>
  <c r="AB25" i="22"/>
  <c r="Y25" i="22"/>
  <c r="W25" i="22"/>
  <c r="S25" i="22"/>
  <c r="U25" i="22" s="1"/>
  <c r="AB24" i="22"/>
  <c r="AC24" i="22" s="1"/>
  <c r="Z24" i="22"/>
  <c r="Y24" i="22"/>
  <c r="W24" i="22"/>
  <c r="X24" i="22" s="1"/>
  <c r="U24" i="22"/>
  <c r="S24" i="22"/>
  <c r="AB23" i="22"/>
  <c r="Y23" i="22"/>
  <c r="W23" i="22"/>
  <c r="S23" i="22"/>
  <c r="U23" i="22" s="1"/>
  <c r="AB22" i="22"/>
  <c r="AC22" i="22" s="1"/>
  <c r="Z22" i="22"/>
  <c r="Y22" i="22"/>
  <c r="W22" i="22"/>
  <c r="X22" i="22" s="1"/>
  <c r="U22" i="22"/>
  <c r="S22" i="22"/>
  <c r="AB21" i="22"/>
  <c r="Y21" i="22"/>
  <c r="W21" i="22"/>
  <c r="S21" i="22"/>
  <c r="U21" i="22" s="1"/>
  <c r="AB20" i="22"/>
  <c r="AC20" i="22" s="1"/>
  <c r="Z20" i="22"/>
  <c r="Y20" i="22"/>
  <c r="W20" i="22"/>
  <c r="X20" i="22" s="1"/>
  <c r="U20" i="22"/>
  <c r="S20" i="22"/>
  <c r="AB19" i="22"/>
  <c r="Y19" i="22"/>
  <c r="W19" i="22"/>
  <c r="S19" i="22"/>
  <c r="U19" i="22" s="1"/>
  <c r="AB18" i="22"/>
  <c r="AC18" i="22" s="1"/>
  <c r="Z18" i="22"/>
  <c r="Y18" i="22"/>
  <c r="W18" i="22"/>
  <c r="X18" i="22" s="1"/>
  <c r="U18" i="22"/>
  <c r="S18" i="22"/>
  <c r="AB17" i="22"/>
  <c r="Y17" i="22"/>
  <c r="W17" i="22"/>
  <c r="S17" i="22"/>
  <c r="U17" i="22" s="1"/>
  <c r="AB16" i="22"/>
  <c r="AC16" i="22" s="1"/>
  <c r="Z16" i="22"/>
  <c r="Y16" i="22"/>
  <c r="W16" i="22"/>
  <c r="X16" i="22" s="1"/>
  <c r="U16" i="22"/>
  <c r="S16" i="22"/>
  <c r="AB15" i="22"/>
  <c r="Y15" i="22"/>
  <c r="W15" i="22"/>
  <c r="S15" i="22"/>
  <c r="U15" i="22" s="1"/>
  <c r="AB14" i="22"/>
  <c r="AC14" i="22" s="1"/>
  <c r="Z14" i="22"/>
  <c r="Y14" i="22"/>
  <c r="W14" i="22"/>
  <c r="X14" i="22" s="1"/>
  <c r="U14" i="22"/>
  <c r="S14" i="22"/>
  <c r="AB13" i="22"/>
  <c r="Y13" i="22"/>
  <c r="W13" i="22"/>
  <c r="S13" i="22"/>
  <c r="U13" i="22" s="1"/>
  <c r="AB12" i="22"/>
  <c r="AC12" i="22" s="1"/>
  <c r="Z12" i="22"/>
  <c r="Y12" i="22"/>
  <c r="W12" i="22"/>
  <c r="X12" i="22" s="1"/>
  <c r="U12" i="22"/>
  <c r="S12" i="22"/>
  <c r="AB11" i="22"/>
  <c r="Y11" i="22"/>
  <c r="W11" i="22"/>
  <c r="S11" i="22"/>
  <c r="U11" i="22" s="1"/>
  <c r="AB10" i="22"/>
  <c r="AC10" i="22" s="1"/>
  <c r="Z10" i="22"/>
  <c r="Y10" i="22"/>
  <c r="W10" i="22"/>
  <c r="X10" i="22" s="1"/>
  <c r="U10" i="22"/>
  <c r="S10" i="22"/>
  <c r="AB9" i="22"/>
  <c r="Y9" i="22"/>
  <c r="W9" i="22"/>
  <c r="S9" i="22"/>
  <c r="U9" i="22" s="1"/>
  <c r="AB8" i="22"/>
  <c r="AC8" i="22" s="1"/>
  <c r="Z8" i="22"/>
  <c r="Y8" i="22"/>
  <c r="W8" i="22"/>
  <c r="X8" i="22" s="1"/>
  <c r="U8" i="22"/>
  <c r="S8" i="22"/>
  <c r="AB7" i="22"/>
  <c r="Y7" i="22"/>
  <c r="W7" i="22"/>
  <c r="S7" i="22"/>
  <c r="U7" i="22" s="1"/>
  <c r="Y43" i="7"/>
  <c r="W43" i="7"/>
  <c r="X43" i="7" s="1"/>
  <c r="Y42" i="7"/>
  <c r="W42" i="7"/>
  <c r="X42" i="7" s="1"/>
  <c r="Y51" i="17"/>
  <c r="W51" i="17"/>
  <c r="X51" i="17" s="1"/>
  <c r="Y50" i="17"/>
  <c r="W50" i="17"/>
  <c r="X50" i="17" s="1"/>
  <c r="Y49" i="17"/>
  <c r="W49" i="17"/>
  <c r="X49" i="17" s="1"/>
  <c r="Y48" i="17"/>
  <c r="W48" i="17"/>
  <c r="X48" i="17" s="1"/>
  <c r="Y47" i="17"/>
  <c r="W47" i="17"/>
  <c r="X47" i="17" s="1"/>
  <c r="Y46" i="17"/>
  <c r="W46" i="17"/>
  <c r="X46" i="17" s="1"/>
  <c r="Y45" i="17"/>
  <c r="W45" i="17"/>
  <c r="X45" i="17" s="1"/>
  <c r="Y44" i="17"/>
  <c r="W44" i="17"/>
  <c r="X44" i="17" s="1"/>
  <c r="Y43" i="17"/>
  <c r="W43" i="17"/>
  <c r="X43" i="17" s="1"/>
  <c r="Y42" i="17"/>
  <c r="W42" i="17"/>
  <c r="X42" i="17" s="1"/>
  <c r="Y41" i="17"/>
  <c r="W41" i="17"/>
  <c r="X41" i="17" s="1"/>
  <c r="Y40" i="17"/>
  <c r="W40" i="17"/>
  <c r="X40" i="17" s="1"/>
  <c r="Y39" i="17"/>
  <c r="W39" i="17"/>
  <c r="X39" i="17" s="1"/>
  <c r="Y38" i="17"/>
  <c r="W38" i="17"/>
  <c r="X38" i="17" s="1"/>
  <c r="Y37" i="17"/>
  <c r="W37" i="17"/>
  <c r="X37" i="17" s="1"/>
  <c r="Y35" i="17"/>
  <c r="W35" i="17"/>
  <c r="X35" i="17" s="1"/>
  <c r="Y34" i="17"/>
  <c r="W34" i="17"/>
  <c r="X34" i="17" s="1"/>
  <c r="Y33" i="17"/>
  <c r="W33" i="17"/>
  <c r="X33" i="17" s="1"/>
  <c r="Y32" i="17"/>
  <c r="W32" i="17"/>
  <c r="X32" i="17" s="1"/>
  <c r="Y31" i="17"/>
  <c r="W31" i="17"/>
  <c r="X31" i="17" s="1"/>
  <c r="Y44" i="7"/>
  <c r="W44" i="7"/>
  <c r="X44" i="7" s="1"/>
  <c r="Y39" i="7"/>
  <c r="W39" i="7"/>
  <c r="X39" i="7" s="1"/>
  <c r="Y38" i="7"/>
  <c r="W38" i="7"/>
  <c r="X38" i="7" s="1"/>
  <c r="Y28" i="7"/>
  <c r="W28" i="7"/>
  <c r="X28" i="7" s="1"/>
  <c r="Y27" i="7"/>
  <c r="W27" i="7"/>
  <c r="X27" i="7" s="1"/>
  <c r="Y26" i="7"/>
  <c r="W26" i="7"/>
  <c r="X26" i="7" s="1"/>
  <c r="Y24" i="7"/>
  <c r="W24" i="7"/>
  <c r="X24" i="7" s="1"/>
  <c r="Y23" i="7"/>
  <c r="W23" i="7"/>
  <c r="X23" i="7" s="1"/>
  <c r="Y22" i="7"/>
  <c r="W22" i="7"/>
  <c r="X22" i="7" s="1"/>
  <c r="Y21" i="7"/>
  <c r="W21" i="7"/>
  <c r="X21" i="7" s="1"/>
  <c r="Y20" i="7"/>
  <c r="W20" i="7"/>
  <c r="X20" i="7" s="1"/>
  <c r="Y19" i="7"/>
  <c r="W19" i="7"/>
  <c r="X19" i="7" s="1"/>
  <c r="Y17" i="7"/>
  <c r="W17" i="7"/>
  <c r="X17" i="7" s="1"/>
  <c r="Y16" i="7"/>
  <c r="W16" i="7"/>
  <c r="X16" i="7" s="1"/>
  <c r="Y15" i="7"/>
  <c r="W15" i="7"/>
  <c r="X15" i="7" s="1"/>
  <c r="Y13" i="7"/>
  <c r="W13" i="7"/>
  <c r="X13" i="7" s="1"/>
  <c r="Y48" i="15"/>
  <c r="W48" i="15"/>
  <c r="X48" i="15" s="1"/>
  <c r="Y47" i="15"/>
  <c r="W47" i="15"/>
  <c r="X47" i="15" s="1"/>
  <c r="Y46" i="15"/>
  <c r="W46" i="15"/>
  <c r="X46" i="15" s="1"/>
  <c r="Y45" i="15"/>
  <c r="W45" i="15"/>
  <c r="X45" i="15" s="1"/>
  <c r="Y44" i="15"/>
  <c r="W44" i="15"/>
  <c r="X44" i="15" s="1"/>
  <c r="Y38" i="15"/>
  <c r="Y40" i="15"/>
  <c r="W40" i="15"/>
  <c r="X40" i="15" s="1"/>
  <c r="Y39" i="15"/>
  <c r="W39" i="15"/>
  <c r="X39" i="15" s="1"/>
  <c r="Y33" i="15"/>
  <c r="W33" i="15"/>
  <c r="X33" i="15" s="1"/>
  <c r="Y32" i="15"/>
  <c r="W32" i="15"/>
  <c r="X32" i="15" s="1"/>
  <c r="Y31" i="15"/>
  <c r="W31" i="15"/>
  <c r="X31" i="15" s="1"/>
  <c r="Y39" i="14"/>
  <c r="Y40" i="14"/>
  <c r="Y41" i="14"/>
  <c r="Y42" i="14"/>
  <c r="Y43" i="14"/>
  <c r="X27" i="22" l="1"/>
  <c r="X15" i="22"/>
  <c r="X23" i="22"/>
  <c r="X11" i="22"/>
  <c r="AD26" i="22"/>
  <c r="AE26" i="22" s="1"/>
  <c r="X19" i="22"/>
  <c r="X94" i="22"/>
  <c r="X9" i="22"/>
  <c r="X17" i="22"/>
  <c r="X25" i="22"/>
  <c r="X33" i="22"/>
  <c r="AD33" i="22" s="1"/>
  <c r="AE33" i="22" s="1"/>
  <c r="X38" i="22"/>
  <c r="X40" i="22"/>
  <c r="AD40" i="22" s="1"/>
  <c r="AE40" i="22" s="1"/>
  <c r="X47" i="22"/>
  <c r="X49" i="22"/>
  <c r="AD49" i="22" s="1"/>
  <c r="AE49" i="22" s="1"/>
  <c r="X54" i="22"/>
  <c r="X56" i="22"/>
  <c r="X63" i="22"/>
  <c r="X65" i="22"/>
  <c r="AD65" i="22" s="1"/>
  <c r="AE65" i="22" s="1"/>
  <c r="X70" i="22"/>
  <c r="AD70" i="22" s="1"/>
  <c r="AE70" i="22" s="1"/>
  <c r="X72" i="22"/>
  <c r="AD72" i="22" s="1"/>
  <c r="AE72" i="22" s="1"/>
  <c r="X79" i="22"/>
  <c r="X81" i="22"/>
  <c r="AD81" i="22" s="1"/>
  <c r="AE81" i="22" s="1"/>
  <c r="X86" i="22"/>
  <c r="AD86" i="22" s="1"/>
  <c r="AE86" i="22" s="1"/>
  <c r="X88" i="22"/>
  <c r="X97" i="22"/>
  <c r="AD97" i="22" s="1"/>
  <c r="AE97" i="22" s="1"/>
  <c r="X92" i="22"/>
  <c r="X7" i="22"/>
  <c r="X31" i="22"/>
  <c r="AD10" i="22"/>
  <c r="AE10" i="22" s="1"/>
  <c r="X13" i="22"/>
  <c r="X21" i="22"/>
  <c r="X29" i="22"/>
  <c r="X39" i="22"/>
  <c r="X41" i="22"/>
  <c r="AD41" i="22" s="1"/>
  <c r="AE41" i="22" s="1"/>
  <c r="X46" i="22"/>
  <c r="X48" i="22"/>
  <c r="AD48" i="22" s="1"/>
  <c r="AE48" i="22" s="1"/>
  <c r="X55" i="22"/>
  <c r="X57" i="22"/>
  <c r="AD57" i="22" s="1"/>
  <c r="AE57" i="22" s="1"/>
  <c r="X62" i="22"/>
  <c r="AD62" i="22" s="1"/>
  <c r="AE62" i="22" s="1"/>
  <c r="X64" i="22"/>
  <c r="AD64" i="22" s="1"/>
  <c r="AE64" i="22" s="1"/>
  <c r="X71" i="22"/>
  <c r="X73" i="22"/>
  <c r="AD73" i="22" s="1"/>
  <c r="AE73" i="22" s="1"/>
  <c r="X78" i="22"/>
  <c r="AD78" i="22" s="1"/>
  <c r="AE78" i="22" s="1"/>
  <c r="X80" i="22"/>
  <c r="AD80" i="22" s="1"/>
  <c r="AE80" i="22" s="1"/>
  <c r="X87" i="22"/>
  <c r="X89" i="22"/>
  <c r="AD89" i="22" s="1"/>
  <c r="AE89" i="22" s="1"/>
  <c r="X96" i="22"/>
  <c r="AD28" i="22"/>
  <c r="AE28" i="22" s="1"/>
  <c r="AD14" i="22"/>
  <c r="AE14" i="22" s="1"/>
  <c r="AD22" i="22"/>
  <c r="AE22" i="22" s="1"/>
  <c r="AD30" i="22"/>
  <c r="AE30" i="22" s="1"/>
  <c r="X98" i="22"/>
  <c r="AD98" i="22" s="1"/>
  <c r="AE98" i="22" s="1"/>
  <c r="AD99" i="22"/>
  <c r="AE99" i="22" s="1"/>
  <c r="AD12" i="22"/>
  <c r="AE12" i="22" s="1"/>
  <c r="AC29" i="22"/>
  <c r="Z29" i="22"/>
  <c r="AC9" i="22"/>
  <c r="Z9" i="22"/>
  <c r="AC25" i="22"/>
  <c r="Z25" i="22"/>
  <c r="AC15" i="22"/>
  <c r="AD15" i="22" s="1"/>
  <c r="AE15" i="22" s="1"/>
  <c r="Z15" i="22"/>
  <c r="AD16" i="22"/>
  <c r="AE16" i="22" s="1"/>
  <c r="AC31" i="22"/>
  <c r="Z31" i="22"/>
  <c r="AD32" i="22"/>
  <c r="AE32" i="22" s="1"/>
  <c r="AC45" i="22"/>
  <c r="Z45" i="22"/>
  <c r="AC21" i="22"/>
  <c r="Z21" i="22"/>
  <c r="AC11" i="22"/>
  <c r="Z11" i="22"/>
  <c r="AC27" i="22"/>
  <c r="Z27" i="22"/>
  <c r="AC39" i="22"/>
  <c r="Z39" i="22"/>
  <c r="AC54" i="22"/>
  <c r="Z54" i="22"/>
  <c r="AC17" i="22"/>
  <c r="AD17" i="22" s="1"/>
  <c r="AE17" i="22" s="1"/>
  <c r="Z17" i="22"/>
  <c r="AD18" i="22"/>
  <c r="AE18" i="22" s="1"/>
  <c r="AD56" i="22"/>
  <c r="AE56" i="22" s="1"/>
  <c r="AD88" i="22"/>
  <c r="AE88" i="22" s="1"/>
  <c r="AC37" i="22"/>
  <c r="Z37" i="22"/>
  <c r="AC47" i="22"/>
  <c r="Z47" i="22"/>
  <c r="AC7" i="22"/>
  <c r="Z7" i="22"/>
  <c r="AD8" i="22"/>
  <c r="AE8" i="22" s="1"/>
  <c r="AC23" i="22"/>
  <c r="AD23" i="22" s="1"/>
  <c r="AE23" i="22" s="1"/>
  <c r="Z23" i="22"/>
  <c r="AD24" i="22"/>
  <c r="AE24" i="22" s="1"/>
  <c r="AC13" i="22"/>
  <c r="Z13" i="22"/>
  <c r="AC46" i="22"/>
  <c r="Z46" i="22"/>
  <c r="AC19" i="22"/>
  <c r="Z19" i="22"/>
  <c r="AD20" i="22"/>
  <c r="AE20" i="22" s="1"/>
  <c r="AC38" i="22"/>
  <c r="Z38" i="22"/>
  <c r="AC53" i="22"/>
  <c r="Z53" i="22"/>
  <c r="AC55" i="22"/>
  <c r="Z55" i="22"/>
  <c r="AC87" i="22"/>
  <c r="Z87" i="22"/>
  <c r="Z70" i="22"/>
  <c r="Z85" i="22"/>
  <c r="Z86" i="22"/>
  <c r="Z98" i="22"/>
  <c r="AC34" i="22"/>
  <c r="AD34" i="22" s="1"/>
  <c r="AE34" i="22" s="1"/>
  <c r="AC35" i="22"/>
  <c r="AD35" i="22" s="1"/>
  <c r="AE35" i="22" s="1"/>
  <c r="Z35" i="22"/>
  <c r="X45" i="22"/>
  <c r="AC50" i="22"/>
  <c r="AD50" i="22" s="1"/>
  <c r="AE50" i="22" s="1"/>
  <c r="AC51" i="22"/>
  <c r="AD51" i="22" s="1"/>
  <c r="AE51" i="22" s="1"/>
  <c r="Z51" i="22"/>
  <c r="X61" i="22"/>
  <c r="AD61" i="22" s="1"/>
  <c r="AE61" i="22" s="1"/>
  <c r="AC66" i="22"/>
  <c r="AD66" i="22" s="1"/>
  <c r="AE66" i="22" s="1"/>
  <c r="AC67" i="22"/>
  <c r="AD67" i="22" s="1"/>
  <c r="AE67" i="22" s="1"/>
  <c r="Z67" i="22"/>
  <c r="X77" i="22"/>
  <c r="AD77" i="22" s="1"/>
  <c r="AE77" i="22" s="1"/>
  <c r="AC82" i="22"/>
  <c r="AD82" i="22" s="1"/>
  <c r="AE82" i="22" s="1"/>
  <c r="AC83" i="22"/>
  <c r="AD83" i="22" s="1"/>
  <c r="AE83" i="22" s="1"/>
  <c r="Z83" i="22"/>
  <c r="AC71" i="22"/>
  <c r="Z71" i="22"/>
  <c r="Z69" i="22"/>
  <c r="AC36" i="22"/>
  <c r="X44" i="22"/>
  <c r="AC52" i="22"/>
  <c r="X60" i="22"/>
  <c r="AC68" i="22"/>
  <c r="X76" i="22"/>
  <c r="AC84" i="22"/>
  <c r="Z92" i="22"/>
  <c r="AC92" i="22"/>
  <c r="AC93" i="22"/>
  <c r="AC63" i="22"/>
  <c r="AD63" i="22" s="1"/>
  <c r="AE63" i="22" s="1"/>
  <c r="Z63" i="22"/>
  <c r="AC79" i="22"/>
  <c r="Z79" i="22"/>
  <c r="Z96" i="22"/>
  <c r="AC96" i="22"/>
  <c r="Z61" i="22"/>
  <c r="Z62" i="22"/>
  <c r="Z77" i="22"/>
  <c r="Z78" i="22"/>
  <c r="AC91" i="22"/>
  <c r="AD91" i="22" s="1"/>
  <c r="AE91" i="22" s="1"/>
  <c r="Z91" i="22"/>
  <c r="X37" i="22"/>
  <c r="AC42" i="22"/>
  <c r="AD42" i="22" s="1"/>
  <c r="AE42" i="22" s="1"/>
  <c r="AC43" i="22"/>
  <c r="AD43" i="22" s="1"/>
  <c r="AE43" i="22" s="1"/>
  <c r="Z43" i="22"/>
  <c r="X53" i="22"/>
  <c r="AC58" i="22"/>
  <c r="AD58" i="22" s="1"/>
  <c r="AE58" i="22" s="1"/>
  <c r="AC59" i="22"/>
  <c r="AD59" i="22" s="1"/>
  <c r="AE59" i="22" s="1"/>
  <c r="Z59" i="22"/>
  <c r="X69" i="22"/>
  <c r="AD69" i="22" s="1"/>
  <c r="AE69" i="22" s="1"/>
  <c r="AC74" i="22"/>
  <c r="AD74" i="22" s="1"/>
  <c r="AE74" i="22" s="1"/>
  <c r="AC75" i="22"/>
  <c r="AD75" i="22" s="1"/>
  <c r="AE75" i="22" s="1"/>
  <c r="Z75" i="22"/>
  <c r="X85" i="22"/>
  <c r="AD85" i="22" s="1"/>
  <c r="AE85" i="22" s="1"/>
  <c r="AC90" i="22"/>
  <c r="AD90" i="22" s="1"/>
  <c r="AE90" i="22" s="1"/>
  <c r="AC95" i="22"/>
  <c r="AD95" i="22" s="1"/>
  <c r="AE95" i="22" s="1"/>
  <c r="Z95" i="22"/>
  <c r="X36" i="22"/>
  <c r="AC44" i="22"/>
  <c r="X52" i="22"/>
  <c r="AC60" i="22"/>
  <c r="X68" i="22"/>
  <c r="AC76" i="22"/>
  <c r="X84" i="22"/>
  <c r="X93" i="22"/>
  <c r="AC94" i="22"/>
  <c r="AD27" i="22" l="1"/>
  <c r="AE27" i="22" s="1"/>
  <c r="AD19" i="22"/>
  <c r="AE19" i="22" s="1"/>
  <c r="AD11" i="22"/>
  <c r="AE11" i="22" s="1"/>
  <c r="AD71" i="22"/>
  <c r="AE71" i="22" s="1"/>
  <c r="AD79" i="22"/>
  <c r="AE79" i="22" s="1"/>
  <c r="AD94" i="22"/>
  <c r="AE94" i="22" s="1"/>
  <c r="AD47" i="22"/>
  <c r="AE47" i="22" s="1"/>
  <c r="AD13" i="22"/>
  <c r="AE13" i="22" s="1"/>
  <c r="AD87" i="22"/>
  <c r="AE87" i="22" s="1"/>
  <c r="AD29" i="22"/>
  <c r="AE29" i="22" s="1"/>
  <c r="AD25" i="22"/>
  <c r="AE25" i="22" s="1"/>
  <c r="AD46" i="22"/>
  <c r="AE46" i="22" s="1"/>
  <c r="AD9" i="22"/>
  <c r="AE9" i="22" s="1"/>
  <c r="AD55" i="22"/>
  <c r="AE55" i="22" s="1"/>
  <c r="AD54" i="22"/>
  <c r="AE54" i="22" s="1"/>
  <c r="AD68" i="22"/>
  <c r="AE68" i="22" s="1"/>
  <c r="AD38" i="22"/>
  <c r="AE38" i="22" s="1"/>
  <c r="AD92" i="22"/>
  <c r="AE92" i="22" s="1"/>
  <c r="AD31" i="22"/>
  <c r="AE31" i="22" s="1"/>
  <c r="AD96" i="22"/>
  <c r="AE96" i="22" s="1"/>
  <c r="AD52" i="22"/>
  <c r="AE52" i="22" s="1"/>
  <c r="AD60" i="22"/>
  <c r="AE60" i="22" s="1"/>
  <c r="AD21" i="22"/>
  <c r="AE21" i="22" s="1"/>
  <c r="AD44" i="22"/>
  <c r="AE44" i="22" s="1"/>
  <c r="AD39" i="22"/>
  <c r="AE39" i="22" s="1"/>
  <c r="AD45" i="22"/>
  <c r="AE45" i="22" s="1"/>
  <c r="AC101" i="22"/>
  <c r="AD7" i="22"/>
  <c r="AD84" i="22"/>
  <c r="AE84" i="22" s="1"/>
  <c r="AD37" i="22"/>
  <c r="AE37" i="22" s="1"/>
  <c r="AD76" i="22"/>
  <c r="AE76" i="22" s="1"/>
  <c r="AD93" i="22"/>
  <c r="AE93" i="22" s="1"/>
  <c r="AD36" i="22"/>
  <c r="AE36" i="22" s="1"/>
  <c r="AD53" i="22"/>
  <c r="AE53" i="22" s="1"/>
  <c r="Z101" i="22"/>
  <c r="Y36" i="14"/>
  <c r="W36" i="14"/>
  <c r="X36" i="14" s="1"/>
  <c r="Y35" i="14"/>
  <c r="W35" i="14"/>
  <c r="X35" i="14" s="1"/>
  <c r="Y34" i="14"/>
  <c r="W34" i="14"/>
  <c r="X34" i="14" s="1"/>
  <c r="Y33" i="14"/>
  <c r="W33" i="14"/>
  <c r="X33" i="14" s="1"/>
  <c r="Y32" i="14"/>
  <c r="W32" i="14"/>
  <c r="X32" i="14" s="1"/>
  <c r="Y31" i="14"/>
  <c r="W31" i="14"/>
  <c r="X31" i="14" s="1"/>
  <c r="AD101" i="22" l="1"/>
  <c r="AE101" i="22" s="1"/>
  <c r="AE7" i="22"/>
  <c r="Y38" i="6" l="1"/>
  <c r="Y39" i="6"/>
  <c r="Y40" i="6"/>
  <c r="Y16" i="6"/>
  <c r="W16" i="6"/>
  <c r="U16" i="6"/>
  <c r="S16" i="6"/>
  <c r="Y30" i="6"/>
  <c r="W30" i="6"/>
  <c r="S30" i="6"/>
  <c r="U30" i="6" s="1"/>
  <c r="Y29" i="18"/>
  <c r="W29" i="18"/>
  <c r="X29" i="18" s="1"/>
  <c r="Y28" i="18"/>
  <c r="W28" i="18"/>
  <c r="X28" i="18" s="1"/>
  <c r="Y27" i="18"/>
  <c r="W27" i="18"/>
  <c r="X27" i="18" s="1"/>
  <c r="Y26" i="18"/>
  <c r="W26" i="18"/>
  <c r="X26" i="18" s="1"/>
  <c r="Y25" i="18"/>
  <c r="W25" i="18"/>
  <c r="X25" i="18" s="1"/>
  <c r="Y29" i="12"/>
  <c r="W29" i="12"/>
  <c r="X29" i="12" s="1"/>
  <c r="Y28" i="12"/>
  <c r="W28" i="12"/>
  <c r="X28" i="12" s="1"/>
  <c r="Y27" i="12"/>
  <c r="W27" i="12"/>
  <c r="X27" i="12" s="1"/>
  <c r="Y26" i="12"/>
  <c r="W26" i="12"/>
  <c r="X26" i="12" s="1"/>
  <c r="Y25" i="12"/>
  <c r="W25" i="12"/>
  <c r="X25" i="12" s="1"/>
  <c r="Y20" i="8"/>
  <c r="W20" i="8"/>
  <c r="X20" i="8" s="1"/>
  <c r="Y19" i="8"/>
  <c r="W19" i="8"/>
  <c r="X19" i="8" s="1"/>
  <c r="Y18" i="8"/>
  <c r="W18" i="8"/>
  <c r="X18" i="8" s="1"/>
  <c r="Y17" i="8"/>
  <c r="W17" i="8"/>
  <c r="X17" i="8" s="1"/>
  <c r="Y16" i="8"/>
  <c r="W16" i="8"/>
  <c r="X16" i="8" s="1"/>
  <c r="Y20" i="11"/>
  <c r="W20" i="11"/>
  <c r="X20" i="11" s="1"/>
  <c r="Y19" i="11"/>
  <c r="W19" i="11"/>
  <c r="X19" i="11" s="1"/>
  <c r="Y18" i="11"/>
  <c r="W18" i="11"/>
  <c r="X18" i="11" s="1"/>
  <c r="Y17" i="11"/>
  <c r="W17" i="11"/>
  <c r="X17" i="11" s="1"/>
  <c r="Y16" i="11"/>
  <c r="W16" i="11"/>
  <c r="X16" i="11" s="1"/>
  <c r="Y29" i="19"/>
  <c r="W29" i="19"/>
  <c r="X29" i="19" s="1"/>
  <c r="Y28" i="19"/>
  <c r="W28" i="19"/>
  <c r="X28" i="19" s="1"/>
  <c r="Y27" i="19"/>
  <c r="W27" i="19"/>
  <c r="X27" i="19" s="1"/>
  <c r="Y26" i="19"/>
  <c r="W26" i="19"/>
  <c r="X26" i="19" s="1"/>
  <c r="Y25" i="19"/>
  <c r="W25" i="19"/>
  <c r="X25" i="19" s="1"/>
  <c r="Y29" i="16"/>
  <c r="W29" i="16"/>
  <c r="X29" i="16" s="1"/>
  <c r="Y28" i="16"/>
  <c r="W28" i="16"/>
  <c r="X28" i="16" s="1"/>
  <c r="Y27" i="16"/>
  <c r="W27" i="16"/>
  <c r="X27" i="16" s="1"/>
  <c r="Y26" i="16"/>
  <c r="W26" i="16"/>
  <c r="X26" i="16" s="1"/>
  <c r="Y25" i="16"/>
  <c r="W25" i="16"/>
  <c r="X25" i="16" s="1"/>
  <c r="Y29" i="13"/>
  <c r="W29" i="13"/>
  <c r="X29" i="13" s="1"/>
  <c r="Y28" i="13"/>
  <c r="W28" i="13"/>
  <c r="X28" i="13" s="1"/>
  <c r="Y27" i="13"/>
  <c r="W27" i="13"/>
  <c r="X27" i="13" s="1"/>
  <c r="Y26" i="13"/>
  <c r="W26" i="13"/>
  <c r="X26" i="13" s="1"/>
  <c r="Y25" i="13"/>
  <c r="W25" i="13"/>
  <c r="X25" i="13" s="1"/>
  <c r="Y29" i="17"/>
  <c r="W29" i="17"/>
  <c r="X29" i="17" s="1"/>
  <c r="Y28" i="17"/>
  <c r="W28" i="17"/>
  <c r="X28" i="17" s="1"/>
  <c r="Y27" i="17"/>
  <c r="W27" i="17"/>
  <c r="X27" i="17" s="1"/>
  <c r="Y26" i="17"/>
  <c r="W26" i="17"/>
  <c r="X26" i="17" s="1"/>
  <c r="Y25" i="17"/>
  <c r="W25" i="17"/>
  <c r="X25" i="17" s="1"/>
  <c r="Y29" i="15"/>
  <c r="W29" i="15"/>
  <c r="X29" i="15" s="1"/>
  <c r="Y28" i="15"/>
  <c r="W28" i="15"/>
  <c r="X28" i="15" s="1"/>
  <c r="Y27" i="15"/>
  <c r="W27" i="15"/>
  <c r="X27" i="15" s="1"/>
  <c r="Y26" i="15"/>
  <c r="W26" i="15"/>
  <c r="X26" i="15" s="1"/>
  <c r="Y25" i="15"/>
  <c r="W25" i="15"/>
  <c r="X25" i="15" s="1"/>
  <c r="Y29" i="14"/>
  <c r="W29" i="14"/>
  <c r="X29" i="14" s="1"/>
  <c r="Y28" i="14"/>
  <c r="W28" i="14"/>
  <c r="X28" i="14" s="1"/>
  <c r="Y27" i="14"/>
  <c r="W27" i="14"/>
  <c r="X27" i="14" s="1"/>
  <c r="Y26" i="14"/>
  <c r="AC26" i="14" s="1"/>
  <c r="W26" i="14"/>
  <c r="X26" i="14" s="1"/>
  <c r="Y25" i="14"/>
  <c r="W25" i="14"/>
  <c r="X25" i="14" s="1"/>
  <c r="AB25" i="14"/>
  <c r="AB26" i="14"/>
  <c r="AB27" i="14"/>
  <c r="AB28" i="14"/>
  <c r="AB29" i="14"/>
  <c r="AC29" i="14" s="1"/>
  <c r="AD26" i="14" l="1"/>
  <c r="AE26" i="14" s="1"/>
  <c r="AD29" i="14"/>
  <c r="AE29" i="14" s="1"/>
  <c r="X16" i="6"/>
  <c r="X30" i="6"/>
  <c r="AC28" i="14"/>
  <c r="AC25" i="14"/>
  <c r="AC27" i="14"/>
  <c r="AD25" i="14" l="1"/>
  <c r="AE25" i="14" s="1"/>
  <c r="AD28" i="14"/>
  <c r="AE28" i="14" s="1"/>
  <c r="AD27" i="14"/>
  <c r="AE27" i="14" s="1"/>
  <c r="Y23" i="6" l="1"/>
  <c r="Y15" i="8"/>
  <c r="W15" i="8"/>
  <c r="X15" i="8" s="1"/>
  <c r="Y13" i="8"/>
  <c r="W13" i="8"/>
  <c r="X13" i="8" s="1"/>
  <c r="Y13" i="11"/>
  <c r="W13" i="11"/>
  <c r="X13" i="11" s="1"/>
  <c r="S17" i="6"/>
  <c r="U17" i="6" s="1"/>
  <c r="W17" i="6"/>
  <c r="Y17" i="6"/>
  <c r="Y18" i="12"/>
  <c r="W18" i="12"/>
  <c r="X18" i="12" s="1"/>
  <c r="Y17" i="12"/>
  <c r="W17" i="12"/>
  <c r="X17" i="12" s="1"/>
  <c r="Y16" i="12"/>
  <c r="W16" i="12"/>
  <c r="X16" i="12" s="1"/>
  <c r="Y18" i="18"/>
  <c r="W18" i="18"/>
  <c r="X18" i="18" s="1"/>
  <c r="Y17" i="18"/>
  <c r="W17" i="18"/>
  <c r="X17" i="18" s="1"/>
  <c r="Y16" i="18"/>
  <c r="W16" i="18"/>
  <c r="X16" i="18" s="1"/>
  <c r="W15" i="11"/>
  <c r="X15" i="11" s="1"/>
  <c r="Y15" i="11"/>
  <c r="Y18" i="19"/>
  <c r="W18" i="19"/>
  <c r="X18" i="19" s="1"/>
  <c r="Y17" i="19"/>
  <c r="W17" i="19"/>
  <c r="X17" i="19" s="1"/>
  <c r="Y16" i="19"/>
  <c r="W16" i="19"/>
  <c r="X16" i="19" s="1"/>
  <c r="Y18" i="16"/>
  <c r="W18" i="16"/>
  <c r="X18" i="16" s="1"/>
  <c r="Y17" i="16"/>
  <c r="W17" i="16"/>
  <c r="X17" i="16" s="1"/>
  <c r="Y16" i="16"/>
  <c r="W16" i="16"/>
  <c r="X16" i="16" s="1"/>
  <c r="Y18" i="13"/>
  <c r="W18" i="13"/>
  <c r="X18" i="13" s="1"/>
  <c r="Y17" i="13"/>
  <c r="W17" i="13"/>
  <c r="X17" i="13" s="1"/>
  <c r="Y16" i="13"/>
  <c r="W16" i="13"/>
  <c r="X16" i="13" s="1"/>
  <c r="Y18" i="17"/>
  <c r="W18" i="17"/>
  <c r="X18" i="17" s="1"/>
  <c r="Y17" i="17"/>
  <c r="W17" i="17"/>
  <c r="X17" i="17" s="1"/>
  <c r="Y16" i="17"/>
  <c r="W16" i="17"/>
  <c r="X16" i="17" s="1"/>
  <c r="Y18" i="15"/>
  <c r="W18" i="15"/>
  <c r="X18" i="15" s="1"/>
  <c r="Y17" i="15"/>
  <c r="W17" i="15"/>
  <c r="X17" i="15" s="1"/>
  <c r="Y16" i="15"/>
  <c r="W16" i="15"/>
  <c r="X16" i="15" s="1"/>
  <c r="Y18" i="14"/>
  <c r="W18" i="14"/>
  <c r="X18" i="14" s="1"/>
  <c r="Y17" i="14"/>
  <c r="W17" i="14"/>
  <c r="X17" i="14" s="1"/>
  <c r="Y16" i="14"/>
  <c r="W16" i="14"/>
  <c r="X16" i="14" s="1"/>
  <c r="Y32" i="6"/>
  <c r="W32" i="6"/>
  <c r="S32" i="6"/>
  <c r="U32" i="6" s="1"/>
  <c r="S31" i="6"/>
  <c r="U31" i="6" s="1"/>
  <c r="W31" i="6"/>
  <c r="Y31" i="6"/>
  <c r="AB20" i="6"/>
  <c r="AC20" i="6" s="1"/>
  <c r="Y20" i="6"/>
  <c r="Z20" i="6" s="1"/>
  <c r="W20" i="6"/>
  <c r="S20" i="6"/>
  <c r="U20" i="6" s="1"/>
  <c r="Y26" i="6"/>
  <c r="W26" i="6"/>
  <c r="S26" i="6"/>
  <c r="U26" i="6" s="1"/>
  <c r="Y21" i="6"/>
  <c r="W21" i="6"/>
  <c r="S21" i="6"/>
  <c r="U21" i="6" s="1"/>
  <c r="Y10" i="14"/>
  <c r="W10" i="14"/>
  <c r="X10" i="14" s="1"/>
  <c r="Y9" i="14"/>
  <c r="W9" i="14"/>
  <c r="X9" i="14" s="1"/>
  <c r="Y8" i="14"/>
  <c r="W8" i="14"/>
  <c r="X8" i="14" s="1"/>
  <c r="Y7" i="14"/>
  <c r="W7" i="14"/>
  <c r="U7" i="14"/>
  <c r="S7" i="14"/>
  <c r="Y10" i="15"/>
  <c r="W10" i="15"/>
  <c r="X10" i="15" s="1"/>
  <c r="Y8" i="15"/>
  <c r="W8" i="15"/>
  <c r="X8" i="15" s="1"/>
  <c r="Y7" i="15"/>
  <c r="W7" i="15"/>
  <c r="S7" i="15"/>
  <c r="U7" i="15" s="1"/>
  <c r="Y10" i="17"/>
  <c r="W10" i="17"/>
  <c r="X10" i="17" s="1"/>
  <c r="Y8" i="17"/>
  <c r="W8" i="17"/>
  <c r="X8" i="17" s="1"/>
  <c r="Y7" i="17"/>
  <c r="W7" i="17"/>
  <c r="S7" i="17"/>
  <c r="U7" i="17" s="1"/>
  <c r="Y10" i="13"/>
  <c r="W10" i="13"/>
  <c r="X10" i="13" s="1"/>
  <c r="Y8" i="13"/>
  <c r="W8" i="13"/>
  <c r="X8" i="13" s="1"/>
  <c r="Y7" i="13"/>
  <c r="W7" i="13"/>
  <c r="U7" i="13"/>
  <c r="S7" i="13"/>
  <c r="Y10" i="16"/>
  <c r="W10" i="16"/>
  <c r="X10" i="16" s="1"/>
  <c r="Y8" i="16"/>
  <c r="W8" i="16"/>
  <c r="X8" i="16" s="1"/>
  <c r="Y7" i="16"/>
  <c r="W7" i="16"/>
  <c r="S7" i="16"/>
  <c r="U7" i="16" s="1"/>
  <c r="Y10" i="19"/>
  <c r="W10" i="19"/>
  <c r="X10" i="19" s="1"/>
  <c r="Y8" i="19"/>
  <c r="W8" i="19"/>
  <c r="X8" i="19" s="1"/>
  <c r="Y7" i="19"/>
  <c r="W7" i="19"/>
  <c r="S7" i="19"/>
  <c r="U7" i="19" s="1"/>
  <c r="Y10" i="18"/>
  <c r="W10" i="18"/>
  <c r="X10" i="18" s="1"/>
  <c r="Y8" i="18"/>
  <c r="W8" i="18"/>
  <c r="X8" i="18" s="1"/>
  <c r="Y7" i="18"/>
  <c r="W7" i="18"/>
  <c r="S7" i="18"/>
  <c r="U7" i="18" s="1"/>
  <c r="Y10" i="12"/>
  <c r="W10" i="12"/>
  <c r="X10" i="12" s="1"/>
  <c r="Y8" i="12"/>
  <c r="W8" i="12"/>
  <c r="X8" i="12" s="1"/>
  <c r="Y7" i="12"/>
  <c r="W7" i="12"/>
  <c r="S7" i="12"/>
  <c r="U7" i="12" s="1"/>
  <c r="Y10" i="8"/>
  <c r="W10" i="8"/>
  <c r="X10" i="8" s="1"/>
  <c r="Y8" i="8"/>
  <c r="W8" i="8"/>
  <c r="X8" i="8" s="1"/>
  <c r="Y7" i="8"/>
  <c r="W7" i="8"/>
  <c r="S7" i="8"/>
  <c r="U7" i="8" s="1"/>
  <c r="Y10" i="11"/>
  <c r="W10" i="11"/>
  <c r="X10" i="11" s="1"/>
  <c r="Y9" i="11"/>
  <c r="W9" i="11"/>
  <c r="X9" i="11" s="1"/>
  <c r="Y8" i="11"/>
  <c r="W8" i="11"/>
  <c r="X8" i="11" s="1"/>
  <c r="Y7" i="11"/>
  <c r="W7" i="11"/>
  <c r="S7" i="11"/>
  <c r="U7" i="11" s="1"/>
  <c r="Y10" i="9"/>
  <c r="W10" i="9"/>
  <c r="X10" i="9" s="1"/>
  <c r="Y9" i="9"/>
  <c r="W9" i="9"/>
  <c r="X9" i="9" s="1"/>
  <c r="Y8" i="9"/>
  <c r="W8" i="9"/>
  <c r="X8" i="9" s="1"/>
  <c r="Y7" i="9"/>
  <c r="W7" i="9"/>
  <c r="S7" i="9"/>
  <c r="U7" i="9" s="1"/>
  <c r="Y10" i="7"/>
  <c r="W10" i="7"/>
  <c r="X10" i="7" s="1"/>
  <c r="Y9" i="7"/>
  <c r="W9" i="7"/>
  <c r="X9" i="7" s="1"/>
  <c r="Y8" i="7"/>
  <c r="W8" i="7"/>
  <c r="X8" i="7" s="1"/>
  <c r="Y7" i="7"/>
  <c r="W7" i="7"/>
  <c r="S7" i="7"/>
  <c r="U7" i="7" s="1"/>
  <c r="Y10" i="6"/>
  <c r="W10" i="6"/>
  <c r="S10" i="6"/>
  <c r="U10" i="6" s="1"/>
  <c r="W9" i="6"/>
  <c r="S9" i="6"/>
  <c r="Y8" i="6"/>
  <c r="W8" i="6"/>
  <c r="S8" i="6"/>
  <c r="U8" i="6" s="1"/>
  <c r="Y7" i="6"/>
  <c r="W7" i="6"/>
  <c r="S7" i="6"/>
  <c r="U7" i="6" s="1"/>
  <c r="X7" i="12" l="1"/>
  <c r="X7" i="13"/>
  <c r="U9" i="6"/>
  <c r="X9" i="6" s="1"/>
  <c r="X7" i="17"/>
  <c r="X7" i="7"/>
  <c r="X7" i="8"/>
  <c r="X7" i="18"/>
  <c r="X17" i="6"/>
  <c r="X7" i="6"/>
  <c r="X7" i="11"/>
  <c r="X7" i="19"/>
  <c r="X7" i="16"/>
  <c r="X7" i="14"/>
  <c r="X31" i="6"/>
  <c r="X20" i="6"/>
  <c r="AD20" i="6" s="1"/>
  <c r="AE20" i="6" s="1"/>
  <c r="X32" i="6"/>
  <c r="X7" i="15"/>
  <c r="X7" i="9"/>
  <c r="X10" i="6"/>
  <c r="X26" i="6"/>
  <c r="X8" i="6"/>
  <c r="X21" i="6"/>
  <c r="Z110" i="20" l="1"/>
  <c r="Z111" i="20" s="1"/>
  <c r="Z109" i="20"/>
  <c r="Z106" i="20"/>
  <c r="Z104" i="20"/>
  <c r="AJ101" i="20"/>
  <c r="AI101" i="20"/>
  <c r="AH101" i="20"/>
  <c r="AG101" i="20"/>
  <c r="AF101" i="20"/>
  <c r="AB99" i="20"/>
  <c r="AC99" i="20" s="1"/>
  <c r="Y99" i="20"/>
  <c r="Z99" i="20" s="1"/>
  <c r="W99" i="20"/>
  <c r="S99" i="20"/>
  <c r="U99" i="20" s="1"/>
  <c r="AB98" i="20"/>
  <c r="Y98" i="20"/>
  <c r="W98" i="20"/>
  <c r="U98" i="20"/>
  <c r="S98" i="20"/>
  <c r="AB97" i="20"/>
  <c r="Y97" i="20"/>
  <c r="Z97" i="20" s="1"/>
  <c r="W97" i="20"/>
  <c r="X97" i="20" s="1"/>
  <c r="S97" i="20"/>
  <c r="U97" i="20" s="1"/>
  <c r="AB96" i="20"/>
  <c r="Y96" i="20"/>
  <c r="AC96" i="20" s="1"/>
  <c r="W96" i="20"/>
  <c r="U96" i="20"/>
  <c r="S96" i="20"/>
  <c r="AB95" i="20"/>
  <c r="AC95" i="20" s="1"/>
  <c r="Y95" i="20"/>
  <c r="Z95" i="20" s="1"/>
  <c r="W95" i="20"/>
  <c r="S95" i="20"/>
  <c r="U95" i="20" s="1"/>
  <c r="AB94" i="20"/>
  <c r="Y94" i="20"/>
  <c r="AC94" i="20" s="1"/>
  <c r="W94" i="20"/>
  <c r="S94" i="20"/>
  <c r="U94" i="20" s="1"/>
  <c r="AB93" i="20"/>
  <c r="AC93" i="20" s="1"/>
  <c r="Y93" i="20"/>
  <c r="Z93" i="20" s="1"/>
  <c r="W93" i="20"/>
  <c r="S93" i="20"/>
  <c r="U93" i="20" s="1"/>
  <c r="AB92" i="20"/>
  <c r="Z92" i="20"/>
  <c r="Y92" i="20"/>
  <c r="W92" i="20"/>
  <c r="S92" i="20"/>
  <c r="U92" i="20" s="1"/>
  <c r="AC91" i="20"/>
  <c r="AB91" i="20"/>
  <c r="Y91" i="20"/>
  <c r="Z91" i="20" s="1"/>
  <c r="W91" i="20"/>
  <c r="S91" i="20"/>
  <c r="U91" i="20" s="1"/>
  <c r="AB90" i="20"/>
  <c r="Y90" i="20"/>
  <c r="W90" i="20"/>
  <c r="S90" i="20"/>
  <c r="U90" i="20" s="1"/>
  <c r="AB89" i="20"/>
  <c r="AC89" i="20" s="1"/>
  <c r="Y89" i="20"/>
  <c r="Z89" i="20" s="1"/>
  <c r="W89" i="20"/>
  <c r="X89" i="20" s="1"/>
  <c r="S89" i="20"/>
  <c r="U89" i="20" s="1"/>
  <c r="AB88" i="20"/>
  <c r="Z88" i="20"/>
  <c r="Y88" i="20"/>
  <c r="W88" i="20"/>
  <c r="S88" i="20"/>
  <c r="U88" i="20" s="1"/>
  <c r="AB87" i="20"/>
  <c r="Y87" i="20"/>
  <c r="W87" i="20"/>
  <c r="X87" i="20" s="1"/>
  <c r="S87" i="20"/>
  <c r="U87" i="20" s="1"/>
  <c r="AB86" i="20"/>
  <c r="Y86" i="20"/>
  <c r="W86" i="20"/>
  <c r="U86" i="20"/>
  <c r="S86" i="20"/>
  <c r="AB85" i="20"/>
  <c r="Y85" i="20"/>
  <c r="Z85" i="20" s="1"/>
  <c r="W85" i="20"/>
  <c r="X85" i="20" s="1"/>
  <c r="S85" i="20"/>
  <c r="U85" i="20" s="1"/>
  <c r="AB84" i="20"/>
  <c r="Y84" i="20"/>
  <c r="AC84" i="20" s="1"/>
  <c r="W84" i="20"/>
  <c r="S84" i="20"/>
  <c r="U84" i="20" s="1"/>
  <c r="AB83" i="20"/>
  <c r="Y83" i="20"/>
  <c r="Z83" i="20" s="1"/>
  <c r="W83" i="20"/>
  <c r="X83" i="20" s="1"/>
  <c r="S83" i="20"/>
  <c r="U83" i="20" s="1"/>
  <c r="AB82" i="20"/>
  <c r="Y82" i="20"/>
  <c r="AC82" i="20" s="1"/>
  <c r="W82" i="20"/>
  <c r="U82" i="20"/>
  <c r="S82" i="20"/>
  <c r="AB81" i="20"/>
  <c r="Y81" i="20"/>
  <c r="Z81" i="20" s="1"/>
  <c r="W81" i="20"/>
  <c r="S81" i="20"/>
  <c r="U81" i="20" s="1"/>
  <c r="AB80" i="20"/>
  <c r="Y80" i="20"/>
  <c r="AC80" i="20" s="1"/>
  <c r="W80" i="20"/>
  <c r="S80" i="20"/>
  <c r="U80" i="20" s="1"/>
  <c r="AC79" i="20"/>
  <c r="AB79" i="20"/>
  <c r="Y79" i="20"/>
  <c r="Z79" i="20" s="1"/>
  <c r="W79" i="20"/>
  <c r="S79" i="20"/>
  <c r="U79" i="20" s="1"/>
  <c r="AB78" i="20"/>
  <c r="Y78" i="20"/>
  <c r="W78" i="20"/>
  <c r="S78" i="20"/>
  <c r="U78" i="20" s="1"/>
  <c r="AB77" i="20"/>
  <c r="AC77" i="20" s="1"/>
  <c r="Y77" i="20"/>
  <c r="Z77" i="20" s="1"/>
  <c r="W77" i="20"/>
  <c r="S77" i="20"/>
  <c r="U77" i="20" s="1"/>
  <c r="AB76" i="20"/>
  <c r="Z76" i="20"/>
  <c r="Y76" i="20"/>
  <c r="W76" i="20"/>
  <c r="S76" i="20"/>
  <c r="U76" i="20" s="1"/>
  <c r="AC75" i="20"/>
  <c r="AB75" i="20"/>
  <c r="Y75" i="20"/>
  <c r="Z75" i="20" s="1"/>
  <c r="W75" i="20"/>
  <c r="S75" i="20"/>
  <c r="U75" i="20" s="1"/>
  <c r="AB74" i="20"/>
  <c r="Y74" i="20"/>
  <c r="W74" i="20"/>
  <c r="S74" i="20"/>
  <c r="U74" i="20" s="1"/>
  <c r="AB73" i="20"/>
  <c r="AC73" i="20" s="1"/>
  <c r="Y73" i="20"/>
  <c r="Z73" i="20" s="1"/>
  <c r="W73" i="20"/>
  <c r="X73" i="20" s="1"/>
  <c r="S73" i="20"/>
  <c r="U73" i="20" s="1"/>
  <c r="AB72" i="20"/>
  <c r="Z72" i="20"/>
  <c r="Y72" i="20"/>
  <c r="W72" i="20"/>
  <c r="S72" i="20"/>
  <c r="U72" i="20" s="1"/>
  <c r="AB71" i="20"/>
  <c r="Y71" i="20"/>
  <c r="W71" i="20"/>
  <c r="X71" i="20" s="1"/>
  <c r="S71" i="20"/>
  <c r="U71" i="20" s="1"/>
  <c r="AB70" i="20"/>
  <c r="Y70" i="20"/>
  <c r="W70" i="20"/>
  <c r="U70" i="20"/>
  <c r="S70" i="20"/>
  <c r="AB69" i="20"/>
  <c r="Y69" i="20"/>
  <c r="Z69" i="20" s="1"/>
  <c r="W69" i="20"/>
  <c r="X69" i="20" s="1"/>
  <c r="S69" i="20"/>
  <c r="U69" i="20" s="1"/>
  <c r="AB68" i="20"/>
  <c r="Y68" i="20"/>
  <c r="AC68" i="20" s="1"/>
  <c r="W68" i="20"/>
  <c r="S68" i="20"/>
  <c r="U68" i="20" s="1"/>
  <c r="AB67" i="20"/>
  <c r="Y67" i="20"/>
  <c r="Z67" i="20" s="1"/>
  <c r="W67" i="20"/>
  <c r="X67" i="20" s="1"/>
  <c r="S67" i="20"/>
  <c r="U67" i="20" s="1"/>
  <c r="AB66" i="20"/>
  <c r="Y66" i="20"/>
  <c r="AC66" i="20" s="1"/>
  <c r="W66" i="20"/>
  <c r="U66" i="20"/>
  <c r="S66" i="20"/>
  <c r="AB65" i="20"/>
  <c r="Y65" i="20"/>
  <c r="Z65" i="20" s="1"/>
  <c r="W65" i="20"/>
  <c r="S65" i="20"/>
  <c r="U65" i="20" s="1"/>
  <c r="AB64" i="20"/>
  <c r="Y64" i="20"/>
  <c r="AC64" i="20" s="1"/>
  <c r="W64" i="20"/>
  <c r="S64" i="20"/>
  <c r="U64" i="20" s="1"/>
  <c r="AC63" i="20"/>
  <c r="AB63" i="20"/>
  <c r="Y63" i="20"/>
  <c r="Z63" i="20" s="1"/>
  <c r="W63" i="20"/>
  <c r="S63" i="20"/>
  <c r="U63" i="20" s="1"/>
  <c r="AB62" i="20"/>
  <c r="Y62" i="20"/>
  <c r="W62" i="20"/>
  <c r="S62" i="20"/>
  <c r="U62" i="20" s="1"/>
  <c r="AB61" i="20"/>
  <c r="AC61" i="20" s="1"/>
  <c r="Y61" i="20"/>
  <c r="Z61" i="20" s="1"/>
  <c r="W61" i="20"/>
  <c r="S61" i="20"/>
  <c r="U61" i="20" s="1"/>
  <c r="AB60" i="20"/>
  <c r="Z60" i="20"/>
  <c r="Y60" i="20"/>
  <c r="W60" i="20"/>
  <c r="S60" i="20"/>
  <c r="U60" i="20" s="1"/>
  <c r="AC59" i="20"/>
  <c r="AB59" i="20"/>
  <c r="Y59" i="20"/>
  <c r="Z59" i="20" s="1"/>
  <c r="W59" i="20"/>
  <c r="S59" i="20"/>
  <c r="U59" i="20" s="1"/>
  <c r="AB58" i="20"/>
  <c r="Y58" i="20"/>
  <c r="W58" i="20"/>
  <c r="U58" i="20"/>
  <c r="S58" i="20"/>
  <c r="AB57" i="20"/>
  <c r="AC57" i="20" s="1"/>
  <c r="Y57" i="20"/>
  <c r="Z57" i="20" s="1"/>
  <c r="W57" i="20"/>
  <c r="X57" i="20" s="1"/>
  <c r="S57" i="20"/>
  <c r="U57" i="20" s="1"/>
  <c r="AB56" i="20"/>
  <c r="Z56" i="20"/>
  <c r="Y56" i="20"/>
  <c r="W56" i="20"/>
  <c r="S56" i="20"/>
  <c r="U56" i="20" s="1"/>
  <c r="AB55" i="20"/>
  <c r="Y55" i="20"/>
  <c r="W55" i="20"/>
  <c r="X55" i="20" s="1"/>
  <c r="S55" i="20"/>
  <c r="U55" i="20" s="1"/>
  <c r="AB54" i="20"/>
  <c r="Y54" i="20"/>
  <c r="AC54" i="20" s="1"/>
  <c r="W54" i="20"/>
  <c r="U54" i="20"/>
  <c r="S54" i="20"/>
  <c r="AB53" i="20"/>
  <c r="Y53" i="20"/>
  <c r="Z53" i="20" s="1"/>
  <c r="W53" i="20"/>
  <c r="X53" i="20" s="1"/>
  <c r="S53" i="20"/>
  <c r="U53" i="20" s="1"/>
  <c r="AB52" i="20"/>
  <c r="Y52" i="20"/>
  <c r="W52" i="20"/>
  <c r="S52" i="20"/>
  <c r="U52" i="20" s="1"/>
  <c r="AB51" i="20"/>
  <c r="Y51" i="20"/>
  <c r="Z51" i="20" s="1"/>
  <c r="W51" i="20"/>
  <c r="X51" i="20" s="1"/>
  <c r="S51" i="20"/>
  <c r="U51" i="20" s="1"/>
  <c r="AB50" i="20"/>
  <c r="Y50" i="20"/>
  <c r="AC50" i="20" s="1"/>
  <c r="W50" i="20"/>
  <c r="U50" i="20"/>
  <c r="S50" i="20"/>
  <c r="AB49" i="20"/>
  <c r="Y49" i="20"/>
  <c r="Z49" i="20" s="1"/>
  <c r="W49" i="20"/>
  <c r="S49" i="20"/>
  <c r="U49" i="20" s="1"/>
  <c r="AB48" i="20"/>
  <c r="Z48" i="20"/>
  <c r="Y48" i="20"/>
  <c r="W48" i="20"/>
  <c r="S48" i="20"/>
  <c r="U48" i="20" s="1"/>
  <c r="AC47" i="20"/>
  <c r="AB47" i="20"/>
  <c r="Y47" i="20"/>
  <c r="Z47" i="20" s="1"/>
  <c r="W47" i="20"/>
  <c r="S47" i="20"/>
  <c r="U47" i="20" s="1"/>
  <c r="AB46" i="20"/>
  <c r="Z46" i="20"/>
  <c r="Y46" i="20"/>
  <c r="W46" i="20"/>
  <c r="S46" i="20"/>
  <c r="U46" i="20" s="1"/>
  <c r="AB45" i="20"/>
  <c r="Y45" i="20"/>
  <c r="Z45" i="20" s="1"/>
  <c r="W45" i="20"/>
  <c r="S45" i="20"/>
  <c r="U45" i="20" s="1"/>
  <c r="AB44" i="20"/>
  <c r="Z44" i="20"/>
  <c r="Y44" i="20"/>
  <c r="W44" i="20"/>
  <c r="S44" i="20"/>
  <c r="U44" i="20" s="1"/>
  <c r="AC43" i="20"/>
  <c r="AB43" i="20"/>
  <c r="Y43" i="20"/>
  <c r="Z43" i="20" s="1"/>
  <c r="W43" i="20"/>
  <c r="S43" i="20"/>
  <c r="U43" i="20" s="1"/>
  <c r="AB42" i="20"/>
  <c r="Y42" i="20"/>
  <c r="W42" i="20"/>
  <c r="S42" i="20"/>
  <c r="U42" i="20" s="1"/>
  <c r="AB41" i="20"/>
  <c r="AC41" i="20" s="1"/>
  <c r="Y41" i="20"/>
  <c r="Z41" i="20" s="1"/>
  <c r="W41" i="20"/>
  <c r="X41" i="20" s="1"/>
  <c r="S41" i="20"/>
  <c r="U41" i="20" s="1"/>
  <c r="AB40" i="20"/>
  <c r="Z40" i="20"/>
  <c r="Y40" i="20"/>
  <c r="W40" i="20"/>
  <c r="S40" i="20"/>
  <c r="U40" i="20" s="1"/>
  <c r="AB39" i="20"/>
  <c r="Y39" i="20"/>
  <c r="W39" i="20"/>
  <c r="S39" i="20"/>
  <c r="U39" i="20" s="1"/>
  <c r="AB38" i="20"/>
  <c r="Y38" i="20"/>
  <c r="AC38" i="20" s="1"/>
  <c r="W38" i="20"/>
  <c r="U38" i="20"/>
  <c r="S38" i="20"/>
  <c r="AB37" i="20"/>
  <c r="Y37" i="20"/>
  <c r="W37" i="20"/>
  <c r="X37" i="20" s="1"/>
  <c r="S37" i="20"/>
  <c r="U37" i="20" s="1"/>
  <c r="AB36" i="20"/>
  <c r="Y36" i="20"/>
  <c r="W36" i="20"/>
  <c r="S36" i="20"/>
  <c r="U36" i="20" s="1"/>
  <c r="AB35" i="20"/>
  <c r="Y35" i="20"/>
  <c r="Z35" i="20" s="1"/>
  <c r="W35" i="20"/>
  <c r="X35" i="20" s="1"/>
  <c r="S35" i="20"/>
  <c r="U35" i="20" s="1"/>
  <c r="AB34" i="20"/>
  <c r="Y34" i="20"/>
  <c r="AC34" i="20" s="1"/>
  <c r="W34" i="20"/>
  <c r="U34" i="20"/>
  <c r="S34" i="20"/>
  <c r="AB33" i="20"/>
  <c r="Y33" i="20"/>
  <c r="Z33" i="20" s="1"/>
  <c r="W33" i="20"/>
  <c r="S33" i="20"/>
  <c r="U33" i="20" s="1"/>
  <c r="AB32" i="20"/>
  <c r="Y32" i="20"/>
  <c r="AC32" i="20" s="1"/>
  <c r="W32" i="20"/>
  <c r="U32" i="20"/>
  <c r="S32" i="20"/>
  <c r="AB31" i="20"/>
  <c r="Y31" i="20"/>
  <c r="W31" i="20"/>
  <c r="X31" i="20" s="1"/>
  <c r="U31" i="20"/>
  <c r="S31" i="20"/>
  <c r="AB30" i="20"/>
  <c r="AC30" i="20" s="1"/>
  <c r="Z30" i="20"/>
  <c r="Y30" i="20"/>
  <c r="W30" i="20"/>
  <c r="S30" i="20"/>
  <c r="U30" i="20" s="1"/>
  <c r="AC29" i="20"/>
  <c r="AB29" i="20"/>
  <c r="Z29" i="20"/>
  <c r="Y29" i="20"/>
  <c r="W29" i="20"/>
  <c r="S29" i="20"/>
  <c r="U29" i="20" s="1"/>
  <c r="AC28" i="20"/>
  <c r="AB28" i="20"/>
  <c r="Y28" i="20"/>
  <c r="Z28" i="20" s="1"/>
  <c r="W28" i="20"/>
  <c r="U28" i="20"/>
  <c r="S28" i="20"/>
  <c r="AB27" i="20"/>
  <c r="Y27" i="20"/>
  <c r="W27" i="20"/>
  <c r="X27" i="20" s="1"/>
  <c r="U27" i="20"/>
  <c r="S27" i="20"/>
  <c r="AB26" i="20"/>
  <c r="AC26" i="20" s="1"/>
  <c r="Z26" i="20"/>
  <c r="Y26" i="20"/>
  <c r="W26" i="20"/>
  <c r="S26" i="20"/>
  <c r="U26" i="20" s="1"/>
  <c r="AC25" i="20"/>
  <c r="AB25" i="20"/>
  <c r="Z25" i="20"/>
  <c r="Y25" i="20"/>
  <c r="W25" i="20"/>
  <c r="S25" i="20"/>
  <c r="U25" i="20" s="1"/>
  <c r="AB24" i="20"/>
  <c r="Y24" i="20"/>
  <c r="AC24" i="20" s="1"/>
  <c r="W24" i="20"/>
  <c r="U24" i="20"/>
  <c r="S24" i="20"/>
  <c r="AB23" i="20"/>
  <c r="Y23" i="20"/>
  <c r="W23" i="20"/>
  <c r="S23" i="20"/>
  <c r="U23" i="20" s="1"/>
  <c r="AB22" i="20"/>
  <c r="AC22" i="20" s="1"/>
  <c r="Z22" i="20"/>
  <c r="Y22" i="20"/>
  <c r="W22" i="20"/>
  <c r="S22" i="20"/>
  <c r="U22" i="20" s="1"/>
  <c r="AC21" i="20"/>
  <c r="AB21" i="20"/>
  <c r="Y21" i="20"/>
  <c r="Z21" i="20" s="1"/>
  <c r="W21" i="20"/>
  <c r="S21" i="20"/>
  <c r="U21" i="20" s="1"/>
  <c r="AB20" i="20"/>
  <c r="Y20" i="20"/>
  <c r="AC20" i="20" s="1"/>
  <c r="W20" i="20"/>
  <c r="U20" i="20"/>
  <c r="S20" i="20"/>
  <c r="AB19" i="20"/>
  <c r="Y19" i="20"/>
  <c r="W19" i="20"/>
  <c r="S19" i="20"/>
  <c r="U19" i="20" s="1"/>
  <c r="AB18" i="20"/>
  <c r="AC18" i="20" s="1"/>
  <c r="Z18" i="20"/>
  <c r="Y18" i="20"/>
  <c r="W18" i="20"/>
  <c r="S18" i="20"/>
  <c r="U18" i="20" s="1"/>
  <c r="AC17" i="20"/>
  <c r="AB17" i="20"/>
  <c r="Y17" i="20"/>
  <c r="Z17" i="20" s="1"/>
  <c r="W17" i="20"/>
  <c r="S17" i="20"/>
  <c r="U17" i="20" s="1"/>
  <c r="AB16" i="20"/>
  <c r="Y16" i="20"/>
  <c r="AC16" i="20" s="1"/>
  <c r="W16" i="20"/>
  <c r="U16" i="20"/>
  <c r="S16" i="20"/>
  <c r="AB15" i="20"/>
  <c r="Y15" i="20"/>
  <c r="W15" i="20"/>
  <c r="X15" i="20" s="1"/>
  <c r="S15" i="20"/>
  <c r="U15" i="20" s="1"/>
  <c r="AB14" i="20"/>
  <c r="AC14" i="20" s="1"/>
  <c r="Z14" i="20"/>
  <c r="Y14" i="20"/>
  <c r="W14" i="20"/>
  <c r="S14" i="20"/>
  <c r="U14" i="20" s="1"/>
  <c r="AC13" i="20"/>
  <c r="AB13" i="20"/>
  <c r="Y13" i="20"/>
  <c r="Z13" i="20" s="1"/>
  <c r="W13" i="20"/>
  <c r="S13" i="20"/>
  <c r="U13" i="20" s="1"/>
  <c r="AB12" i="20"/>
  <c r="Y12" i="20"/>
  <c r="AC12" i="20" s="1"/>
  <c r="W12" i="20"/>
  <c r="U12" i="20"/>
  <c r="S12" i="20"/>
  <c r="AB11" i="20"/>
  <c r="Y11" i="20"/>
  <c r="W11" i="20"/>
  <c r="X11" i="20" s="1"/>
  <c r="S11" i="20"/>
  <c r="U11" i="20" s="1"/>
  <c r="AB10" i="20"/>
  <c r="AC10" i="20" s="1"/>
  <c r="Z10" i="20"/>
  <c r="Y10" i="20"/>
  <c r="W10" i="20"/>
  <c r="S10" i="20"/>
  <c r="U10" i="20" s="1"/>
  <c r="AC9" i="20"/>
  <c r="AB9" i="20"/>
  <c r="Y9" i="20"/>
  <c r="Z9" i="20" s="1"/>
  <c r="W9" i="20"/>
  <c r="S9" i="20"/>
  <c r="U9" i="20" s="1"/>
  <c r="AB8" i="20"/>
  <c r="Y8" i="20"/>
  <c r="AC8" i="20" s="1"/>
  <c r="W8" i="20"/>
  <c r="U8" i="20"/>
  <c r="S8" i="20"/>
  <c r="AB7" i="20"/>
  <c r="Y7" i="20"/>
  <c r="W7" i="20"/>
  <c r="S7" i="20"/>
  <c r="U7" i="20" s="1"/>
  <c r="AJ81" i="19"/>
  <c r="AI81" i="19"/>
  <c r="AH81" i="19"/>
  <c r="AG81" i="19"/>
  <c r="AF81" i="19"/>
  <c r="AB79" i="19"/>
  <c r="Y79" i="19"/>
  <c r="W79" i="19"/>
  <c r="X79" i="19" s="1"/>
  <c r="AB78" i="19"/>
  <c r="Y78" i="19"/>
  <c r="W78" i="19"/>
  <c r="X78" i="19" s="1"/>
  <c r="AB77" i="19"/>
  <c r="Y77" i="19"/>
  <c r="W77" i="19"/>
  <c r="X77" i="19" s="1"/>
  <c r="AB76" i="19"/>
  <c r="Y76" i="19"/>
  <c r="W76" i="19"/>
  <c r="X76" i="19" s="1"/>
  <c r="AB75" i="19"/>
  <c r="Y75" i="19"/>
  <c r="W75" i="19"/>
  <c r="X75" i="19" s="1"/>
  <c r="AB74" i="19"/>
  <c r="Y74" i="19"/>
  <c r="W74" i="19"/>
  <c r="X74" i="19" s="1"/>
  <c r="AB73" i="19"/>
  <c r="AC73" i="19" s="1"/>
  <c r="AB72" i="19"/>
  <c r="AB71" i="19"/>
  <c r="AB70" i="19"/>
  <c r="AC70" i="19"/>
  <c r="AB69" i="19"/>
  <c r="AB68" i="19"/>
  <c r="Y68" i="19"/>
  <c r="W68" i="19"/>
  <c r="X68" i="19" s="1"/>
  <c r="AB67" i="19"/>
  <c r="Y67" i="19"/>
  <c r="W67" i="19"/>
  <c r="X67" i="19" s="1"/>
  <c r="AB66" i="19"/>
  <c r="AC66" i="19"/>
  <c r="AB65" i="19"/>
  <c r="AB64" i="19"/>
  <c r="AB63" i="19"/>
  <c r="AB62" i="19"/>
  <c r="AC62" i="19" s="1"/>
  <c r="AB61" i="19"/>
  <c r="AC61" i="19" s="1"/>
  <c r="Y61" i="19"/>
  <c r="W61" i="19"/>
  <c r="X61" i="19" s="1"/>
  <c r="AB60" i="19"/>
  <c r="Y60" i="19"/>
  <c r="W60" i="19"/>
  <c r="X60" i="19" s="1"/>
  <c r="AB59" i="19"/>
  <c r="W59" i="19"/>
  <c r="X59" i="19" s="1"/>
  <c r="AB58" i="19"/>
  <c r="AB56" i="19"/>
  <c r="AC56" i="19" s="1"/>
  <c r="AB55" i="19"/>
  <c r="AB54" i="19"/>
  <c r="AB53" i="19"/>
  <c r="Y53" i="19"/>
  <c r="W53" i="19"/>
  <c r="X53" i="19" s="1"/>
  <c r="AB52" i="19"/>
  <c r="Y52" i="19"/>
  <c r="AC52" i="19" s="1"/>
  <c r="W52" i="19"/>
  <c r="X52" i="19" s="1"/>
  <c r="AB51" i="19"/>
  <c r="Y51" i="19"/>
  <c r="W51" i="19"/>
  <c r="X51" i="19" s="1"/>
  <c r="AB50" i="19"/>
  <c r="Y50" i="19"/>
  <c r="W50" i="19"/>
  <c r="X50" i="19" s="1"/>
  <c r="AB49" i="19"/>
  <c r="Y49" i="19"/>
  <c r="AC49" i="19" s="1"/>
  <c r="W49" i="19"/>
  <c r="X49" i="19" s="1"/>
  <c r="AB48" i="19"/>
  <c r="Y48" i="19"/>
  <c r="AC48" i="19" s="1"/>
  <c r="W48" i="19"/>
  <c r="X48" i="19" s="1"/>
  <c r="AB47" i="19"/>
  <c r="W47" i="19"/>
  <c r="X47" i="19" s="1"/>
  <c r="AB46" i="19"/>
  <c r="Y46" i="19"/>
  <c r="W46" i="19"/>
  <c r="X46" i="19" s="1"/>
  <c r="AB45" i="19"/>
  <c r="Y45" i="19"/>
  <c r="AC45" i="19" s="1"/>
  <c r="W45" i="19"/>
  <c r="X45" i="19" s="1"/>
  <c r="AB44" i="19"/>
  <c r="AC44" i="19" s="1"/>
  <c r="AB43" i="19"/>
  <c r="AC43" i="19" s="1"/>
  <c r="AB42" i="19"/>
  <c r="AB41" i="19"/>
  <c r="Y41" i="19"/>
  <c r="W41" i="19"/>
  <c r="X41" i="19" s="1"/>
  <c r="AB40" i="19"/>
  <c r="AC40" i="19" s="1"/>
  <c r="AB39" i="19"/>
  <c r="AB38" i="19"/>
  <c r="AB37" i="19"/>
  <c r="AC37" i="19" s="1"/>
  <c r="AB36" i="19"/>
  <c r="AC36" i="19"/>
  <c r="AB35" i="19"/>
  <c r="Y35" i="19"/>
  <c r="W35" i="19"/>
  <c r="X35" i="19" s="1"/>
  <c r="AB34" i="19"/>
  <c r="Y34" i="19"/>
  <c r="W34" i="19"/>
  <c r="X34" i="19" s="1"/>
  <c r="AB33" i="19"/>
  <c r="AC33" i="19" s="1"/>
  <c r="AB32" i="19"/>
  <c r="AC32" i="19" s="1"/>
  <c r="AB31" i="19"/>
  <c r="AC31" i="19" s="1"/>
  <c r="AB30" i="19"/>
  <c r="Y30" i="19"/>
  <c r="W30" i="19"/>
  <c r="X30" i="19" s="1"/>
  <c r="AB29" i="19"/>
  <c r="AC29" i="19" s="1"/>
  <c r="AD29" i="19" s="1"/>
  <c r="AE29" i="19" s="1"/>
  <c r="AB28" i="19"/>
  <c r="AC28" i="19" s="1"/>
  <c r="AB27" i="19"/>
  <c r="AC27" i="19" s="1"/>
  <c r="AB26" i="19"/>
  <c r="AC26" i="19" s="1"/>
  <c r="AB25" i="19"/>
  <c r="AC25" i="19" s="1"/>
  <c r="AB24" i="19"/>
  <c r="Y24" i="19"/>
  <c r="AC24" i="19" s="1"/>
  <c r="W24" i="19"/>
  <c r="X24" i="19" s="1"/>
  <c r="AB23" i="19"/>
  <c r="AC23" i="19" s="1"/>
  <c r="AB22" i="19"/>
  <c r="AC22" i="19" s="1"/>
  <c r="AB21" i="19"/>
  <c r="AC21" i="19" s="1"/>
  <c r="AB20" i="19"/>
  <c r="Y20" i="19"/>
  <c r="W20" i="19"/>
  <c r="X20" i="19" s="1"/>
  <c r="AB19" i="19"/>
  <c r="AC19" i="19" s="1"/>
  <c r="AB18" i="19"/>
  <c r="AC18" i="19" s="1"/>
  <c r="AC17" i="19"/>
  <c r="AB17" i="19"/>
  <c r="AB16" i="19"/>
  <c r="AC16" i="19" s="1"/>
  <c r="AB15" i="19"/>
  <c r="Y15" i="19"/>
  <c r="W15" i="19"/>
  <c r="X15" i="19" s="1"/>
  <c r="AB14" i="19"/>
  <c r="AC14" i="19"/>
  <c r="AB13" i="19"/>
  <c r="AC13" i="19" s="1"/>
  <c r="AD13" i="19" s="1"/>
  <c r="AE13" i="19" s="1"/>
  <c r="AB12" i="19"/>
  <c r="AC12" i="19" s="1"/>
  <c r="AB11" i="19"/>
  <c r="Y11" i="19"/>
  <c r="W11" i="19"/>
  <c r="X11" i="19" s="1"/>
  <c r="AB10" i="19"/>
  <c r="AC10" i="19" s="1"/>
  <c r="AB9" i="19"/>
  <c r="AC9" i="19" s="1"/>
  <c r="AD9" i="19" s="1"/>
  <c r="AE9" i="19" s="1"/>
  <c r="AB8" i="19"/>
  <c r="AC8" i="19" s="1"/>
  <c r="AB7" i="19"/>
  <c r="AC7" i="19" s="1"/>
  <c r="AJ78" i="18"/>
  <c r="AI78" i="18"/>
  <c r="AH78" i="18"/>
  <c r="AG78" i="18"/>
  <c r="AF78" i="18"/>
  <c r="AB76" i="18"/>
  <c r="Y76" i="18"/>
  <c r="W76" i="18"/>
  <c r="X76" i="18" s="1"/>
  <c r="AB75" i="18"/>
  <c r="Y75" i="18"/>
  <c r="W75" i="18"/>
  <c r="X75" i="18" s="1"/>
  <c r="AB74" i="18"/>
  <c r="Y74" i="18"/>
  <c r="W74" i="18"/>
  <c r="X74" i="18" s="1"/>
  <c r="AB73" i="18"/>
  <c r="Y73" i="18"/>
  <c r="W73" i="18"/>
  <c r="X73" i="18" s="1"/>
  <c r="AB72" i="18"/>
  <c r="AC72" i="18" s="1"/>
  <c r="Y72" i="18"/>
  <c r="W72" i="18"/>
  <c r="X72" i="18" s="1"/>
  <c r="AB71" i="18"/>
  <c r="Y71" i="18"/>
  <c r="W71" i="18"/>
  <c r="X71" i="18" s="1"/>
  <c r="AB70" i="18"/>
  <c r="Y70" i="18"/>
  <c r="W70" i="18"/>
  <c r="X70" i="18" s="1"/>
  <c r="AB69" i="18"/>
  <c r="Y69" i="18"/>
  <c r="AC69" i="18" s="1"/>
  <c r="W69" i="18"/>
  <c r="X69" i="18" s="1"/>
  <c r="AB68" i="18"/>
  <c r="Y68" i="18"/>
  <c r="W68" i="18"/>
  <c r="X68" i="18" s="1"/>
  <c r="AB63" i="18"/>
  <c r="AB62" i="18"/>
  <c r="AB61" i="18"/>
  <c r="Y61" i="18"/>
  <c r="W61" i="18"/>
  <c r="X61" i="18" s="1"/>
  <c r="AB60" i="18"/>
  <c r="Y60" i="18"/>
  <c r="W60" i="18"/>
  <c r="X60" i="18" s="1"/>
  <c r="AB59" i="18"/>
  <c r="AB58" i="18"/>
  <c r="AB57" i="18"/>
  <c r="AC57" i="18"/>
  <c r="AB56" i="18"/>
  <c r="AB55" i="18"/>
  <c r="AB54" i="18"/>
  <c r="AB53" i="18"/>
  <c r="AC53" i="18" s="1"/>
  <c r="W53" i="18"/>
  <c r="X53" i="18" s="1"/>
  <c r="AB52" i="18"/>
  <c r="Y52" i="18"/>
  <c r="W52" i="18"/>
  <c r="X52" i="18" s="1"/>
  <c r="AB51" i="18"/>
  <c r="Y51" i="18"/>
  <c r="W51" i="18"/>
  <c r="X51" i="18" s="1"/>
  <c r="AB50" i="18"/>
  <c r="AB49" i="18"/>
  <c r="AB48" i="18"/>
  <c r="AB47" i="18"/>
  <c r="AB46" i="18"/>
  <c r="AB45" i="18"/>
  <c r="AB44" i="18"/>
  <c r="AB43" i="18"/>
  <c r="AB42" i="18"/>
  <c r="AB41" i="18"/>
  <c r="AC41" i="18" s="1"/>
  <c r="AB40" i="18"/>
  <c r="AC40" i="18" s="1"/>
  <c r="AB39" i="18"/>
  <c r="AB38" i="18"/>
  <c r="AB37" i="18"/>
  <c r="AC36" i="18"/>
  <c r="AB36" i="18"/>
  <c r="AB35" i="18"/>
  <c r="AB34" i="18"/>
  <c r="AB33" i="18"/>
  <c r="AC33" i="18" s="1"/>
  <c r="AB32" i="18"/>
  <c r="AC32" i="18" s="1"/>
  <c r="AB31" i="18"/>
  <c r="AC31" i="18" s="1"/>
  <c r="AB30" i="18"/>
  <c r="Y30" i="18"/>
  <c r="AC30" i="18" s="1"/>
  <c r="W30" i="18"/>
  <c r="X30" i="18" s="1"/>
  <c r="AB29" i="18"/>
  <c r="AC29" i="18" s="1"/>
  <c r="AB28" i="18"/>
  <c r="AC28" i="18" s="1"/>
  <c r="AB27" i="18"/>
  <c r="AC27" i="18" s="1"/>
  <c r="AB26" i="18"/>
  <c r="AC26" i="18" s="1"/>
  <c r="AB25" i="18"/>
  <c r="AC25" i="18" s="1"/>
  <c r="AB24" i="18"/>
  <c r="Y24" i="18"/>
  <c r="AC24" i="18" s="1"/>
  <c r="W24" i="18"/>
  <c r="X24" i="18" s="1"/>
  <c r="AB23" i="18"/>
  <c r="AC23" i="18" s="1"/>
  <c r="AB22" i="18"/>
  <c r="AC22" i="18" s="1"/>
  <c r="AB21" i="18"/>
  <c r="AC21" i="18" s="1"/>
  <c r="AB20" i="18"/>
  <c r="Y20" i="18"/>
  <c r="AC20" i="18" s="1"/>
  <c r="W20" i="18"/>
  <c r="X20" i="18" s="1"/>
  <c r="AB19" i="18"/>
  <c r="AC19" i="18" s="1"/>
  <c r="AB18" i="18"/>
  <c r="AC18" i="18"/>
  <c r="AB17" i="18"/>
  <c r="Z81" i="18"/>
  <c r="AB16" i="18"/>
  <c r="AC16" i="18" s="1"/>
  <c r="AB15" i="18"/>
  <c r="Y15" i="18"/>
  <c r="W15" i="18"/>
  <c r="X15" i="18" s="1"/>
  <c r="AB14" i="18"/>
  <c r="AC14" i="18"/>
  <c r="AB13" i="18"/>
  <c r="AB12" i="18"/>
  <c r="AC12" i="18" s="1"/>
  <c r="AB11" i="18"/>
  <c r="Y11" i="18"/>
  <c r="AC11" i="18" s="1"/>
  <c r="W11" i="18"/>
  <c r="X11" i="18" s="1"/>
  <c r="AB10" i="18"/>
  <c r="AC10" i="18" s="1"/>
  <c r="AB9" i="18"/>
  <c r="AB8" i="18"/>
  <c r="AC8" i="18"/>
  <c r="AB7" i="18"/>
  <c r="AC7" i="18"/>
  <c r="AJ70" i="17"/>
  <c r="AI70" i="17"/>
  <c r="AH70" i="17"/>
  <c r="AG70" i="17"/>
  <c r="AF70" i="17"/>
  <c r="AB68" i="17"/>
  <c r="Y68" i="17"/>
  <c r="W68" i="17"/>
  <c r="X68" i="17" s="1"/>
  <c r="AB67" i="17"/>
  <c r="Y67" i="17"/>
  <c r="W67" i="17"/>
  <c r="X67" i="17" s="1"/>
  <c r="AB66" i="17"/>
  <c r="Y66" i="17"/>
  <c r="W66" i="17"/>
  <c r="X66" i="17" s="1"/>
  <c r="AB65" i="17"/>
  <c r="Y65" i="17"/>
  <c r="W65" i="17"/>
  <c r="X65" i="17" s="1"/>
  <c r="AB64" i="17"/>
  <c r="Y64" i="17"/>
  <c r="AC64" i="17" s="1"/>
  <c r="W64" i="17"/>
  <c r="X64" i="17" s="1"/>
  <c r="AB63" i="17"/>
  <c r="Y63" i="17"/>
  <c r="W63" i="17"/>
  <c r="X63" i="17" s="1"/>
  <c r="AB62" i="17"/>
  <c r="Y62" i="17"/>
  <c r="AC62" i="17" s="1"/>
  <c r="W62" i="17"/>
  <c r="X62" i="17" s="1"/>
  <c r="AB61" i="17"/>
  <c r="Y61" i="17"/>
  <c r="W61" i="17"/>
  <c r="X61" i="17" s="1"/>
  <c r="AB60" i="17"/>
  <c r="Y60" i="17"/>
  <c r="W60" i="17"/>
  <c r="X60" i="17" s="1"/>
  <c r="AB59" i="17"/>
  <c r="Y59" i="17"/>
  <c r="W59" i="17"/>
  <c r="X59" i="17" s="1"/>
  <c r="AB58" i="17"/>
  <c r="Y58" i="17"/>
  <c r="W58" i="17"/>
  <c r="X58" i="17" s="1"/>
  <c r="AB57" i="17"/>
  <c r="AB56" i="17"/>
  <c r="AC56" i="17" s="1"/>
  <c r="AB55" i="17"/>
  <c r="AC55" i="17" s="1"/>
  <c r="AB54" i="17"/>
  <c r="AB53" i="17"/>
  <c r="Y53" i="17"/>
  <c r="W53" i="17"/>
  <c r="X53" i="17" s="1"/>
  <c r="AB52" i="17"/>
  <c r="Y52" i="17"/>
  <c r="W52" i="17"/>
  <c r="X52" i="17" s="1"/>
  <c r="AB51" i="17"/>
  <c r="AC51" i="17" s="1"/>
  <c r="AB50" i="17"/>
  <c r="AB49" i="17"/>
  <c r="AB48" i="17"/>
  <c r="AC48" i="17"/>
  <c r="AB47" i="17"/>
  <c r="AB46" i="17"/>
  <c r="AC46" i="17"/>
  <c r="AB45" i="17"/>
  <c r="AB44" i="17"/>
  <c r="AC44" i="17"/>
  <c r="AB43" i="17"/>
  <c r="AB42" i="17"/>
  <c r="AC42" i="17" s="1"/>
  <c r="AB41" i="17"/>
  <c r="AB40" i="17"/>
  <c r="AC39" i="17"/>
  <c r="AB39" i="17"/>
  <c r="AB38" i="17"/>
  <c r="AB37" i="17"/>
  <c r="AC37" i="17" s="1"/>
  <c r="AB36" i="17"/>
  <c r="AB35" i="17"/>
  <c r="AC35" i="17" s="1"/>
  <c r="AB34" i="17"/>
  <c r="AB33" i="17"/>
  <c r="AB32" i="17"/>
  <c r="AC32" i="17"/>
  <c r="AC31" i="17"/>
  <c r="AB31" i="17"/>
  <c r="AB30" i="17"/>
  <c r="Y30" i="17"/>
  <c r="W30" i="17"/>
  <c r="X30" i="17" s="1"/>
  <c r="AB29" i="17"/>
  <c r="AC29" i="17"/>
  <c r="AB28" i="17"/>
  <c r="AC28" i="17" s="1"/>
  <c r="AB27" i="17"/>
  <c r="AC27" i="17" s="1"/>
  <c r="AB26" i="17"/>
  <c r="AC26" i="17" s="1"/>
  <c r="AB25" i="17"/>
  <c r="AC25" i="17" s="1"/>
  <c r="AB24" i="17"/>
  <c r="Y24" i="17"/>
  <c r="W24" i="17"/>
  <c r="X24" i="17" s="1"/>
  <c r="AC23" i="17"/>
  <c r="AB23" i="17"/>
  <c r="AB22" i="17"/>
  <c r="AC22" i="17" s="1"/>
  <c r="AB21" i="17"/>
  <c r="AC21" i="17"/>
  <c r="AB20" i="17"/>
  <c r="Y20" i="17"/>
  <c r="W20" i="17"/>
  <c r="X20" i="17" s="1"/>
  <c r="AC19" i="17"/>
  <c r="AB19" i="17"/>
  <c r="Z72" i="17"/>
  <c r="AC18" i="17"/>
  <c r="AB18" i="17"/>
  <c r="AB17" i="17"/>
  <c r="AC17" i="17"/>
  <c r="AB16" i="17"/>
  <c r="AC16" i="17"/>
  <c r="AB15" i="17"/>
  <c r="Y15" i="17"/>
  <c r="W15" i="17"/>
  <c r="X15" i="17" s="1"/>
  <c r="AC14" i="17"/>
  <c r="AB14" i="17"/>
  <c r="AB13" i="17"/>
  <c r="AC13" i="17" s="1"/>
  <c r="AB12" i="17"/>
  <c r="AC12" i="17" s="1"/>
  <c r="AB11" i="17"/>
  <c r="Y11" i="17"/>
  <c r="AC11" i="17" s="1"/>
  <c r="W11" i="17"/>
  <c r="X11" i="17" s="1"/>
  <c r="AB10" i="17"/>
  <c r="AC10" i="17" s="1"/>
  <c r="AB9" i="17"/>
  <c r="AC9" i="17"/>
  <c r="AB8" i="17"/>
  <c r="AC8" i="17" s="1"/>
  <c r="AB7" i="17"/>
  <c r="AC7" i="17" s="1"/>
  <c r="Z7" i="17"/>
  <c r="AJ80" i="16"/>
  <c r="AI80" i="16"/>
  <c r="AH80" i="16"/>
  <c r="AG80" i="16"/>
  <c r="AF80" i="16"/>
  <c r="AB78" i="16"/>
  <c r="Y78" i="16"/>
  <c r="W78" i="16"/>
  <c r="X78" i="16" s="1"/>
  <c r="AB77" i="16"/>
  <c r="Y77" i="16"/>
  <c r="W77" i="16"/>
  <c r="X77" i="16" s="1"/>
  <c r="AB76" i="16"/>
  <c r="Y76" i="16"/>
  <c r="W76" i="16"/>
  <c r="X76" i="16" s="1"/>
  <c r="AB75" i="16"/>
  <c r="Y75" i="16"/>
  <c r="W75" i="16"/>
  <c r="X75" i="16" s="1"/>
  <c r="AB74" i="16"/>
  <c r="Y74" i="16"/>
  <c r="W74" i="16"/>
  <c r="X74" i="16" s="1"/>
  <c r="AB73" i="16"/>
  <c r="Y73" i="16"/>
  <c r="W73" i="16"/>
  <c r="X73" i="16" s="1"/>
  <c r="AB72" i="16"/>
  <c r="Y72" i="16"/>
  <c r="W72" i="16"/>
  <c r="X72" i="16" s="1"/>
  <c r="AB71" i="16"/>
  <c r="AB70" i="16"/>
  <c r="AB69" i="16"/>
  <c r="AB68" i="16"/>
  <c r="AC68" i="16" s="1"/>
  <c r="AB67" i="16"/>
  <c r="AB66" i="16"/>
  <c r="Y66" i="16"/>
  <c r="W66" i="16"/>
  <c r="X66" i="16" s="1"/>
  <c r="AB65" i="16"/>
  <c r="Y65" i="16"/>
  <c r="W65" i="16"/>
  <c r="X65" i="16" s="1"/>
  <c r="AB64" i="16"/>
  <c r="AB63" i="16"/>
  <c r="AC63" i="16" s="1"/>
  <c r="AB62" i="16"/>
  <c r="AC62" i="16" s="1"/>
  <c r="AB61" i="16"/>
  <c r="AB60" i="16"/>
  <c r="AC60" i="16" s="1"/>
  <c r="AB59" i="16"/>
  <c r="Y59" i="16"/>
  <c r="W59" i="16"/>
  <c r="X59" i="16" s="1"/>
  <c r="AB58" i="16"/>
  <c r="Y58" i="16"/>
  <c r="W58" i="16"/>
  <c r="X58" i="16" s="1"/>
  <c r="AB57" i="16"/>
  <c r="W57" i="16"/>
  <c r="X57" i="16" s="1"/>
  <c r="AB55" i="16"/>
  <c r="W55" i="16"/>
  <c r="X55" i="16" s="1"/>
  <c r="AB54" i="16"/>
  <c r="AC54" i="16" s="1"/>
  <c r="W54" i="16"/>
  <c r="X54" i="16" s="1"/>
  <c r="AB53" i="16"/>
  <c r="W53" i="16"/>
  <c r="X53" i="16" s="1"/>
  <c r="AB52" i="16"/>
  <c r="Y52" i="16"/>
  <c r="W52" i="16"/>
  <c r="X52" i="16" s="1"/>
  <c r="AB51" i="16"/>
  <c r="Y51" i="16"/>
  <c r="W51" i="16"/>
  <c r="X51" i="16" s="1"/>
  <c r="AB50" i="16"/>
  <c r="AB49" i="16"/>
  <c r="AB48" i="16"/>
  <c r="AC48" i="16" s="1"/>
  <c r="AB47" i="16"/>
  <c r="AB46" i="16"/>
  <c r="AC46" i="16" s="1"/>
  <c r="AC45" i="16"/>
  <c r="AB45" i="16"/>
  <c r="AB44" i="16"/>
  <c r="AB43" i="16"/>
  <c r="AC43" i="16" s="1"/>
  <c r="AB42" i="16"/>
  <c r="AC41" i="16"/>
  <c r="AB41" i="16"/>
  <c r="AB40" i="16"/>
  <c r="AB39" i="16"/>
  <c r="AB38" i="16"/>
  <c r="AC38" i="16"/>
  <c r="AB37" i="16"/>
  <c r="AB36" i="16"/>
  <c r="AC36" i="16" s="1"/>
  <c r="AB35" i="16"/>
  <c r="AC35" i="16" s="1"/>
  <c r="AB34" i="16"/>
  <c r="AB33" i="16"/>
  <c r="AB32" i="16"/>
  <c r="AC32" i="16" s="1"/>
  <c r="AB31" i="16"/>
  <c r="AC31" i="16" s="1"/>
  <c r="AB30" i="16"/>
  <c r="Y30" i="16"/>
  <c r="AC30" i="16" s="1"/>
  <c r="W30" i="16"/>
  <c r="X30" i="16" s="1"/>
  <c r="AB29" i="16"/>
  <c r="AC29" i="16" s="1"/>
  <c r="AB28" i="16"/>
  <c r="AC28" i="16" s="1"/>
  <c r="AB27" i="16"/>
  <c r="AC27" i="16" s="1"/>
  <c r="AB26" i="16"/>
  <c r="AC26" i="16" s="1"/>
  <c r="AB25" i="16"/>
  <c r="AC25" i="16" s="1"/>
  <c r="AB24" i="16"/>
  <c r="Y24" i="16"/>
  <c r="W24" i="16"/>
  <c r="X24" i="16" s="1"/>
  <c r="AC23" i="16"/>
  <c r="AB23" i="16"/>
  <c r="AB22" i="16"/>
  <c r="AC22" i="16" s="1"/>
  <c r="AB21" i="16"/>
  <c r="AC21" i="16" s="1"/>
  <c r="AB20" i="16"/>
  <c r="Y20" i="16"/>
  <c r="AC20" i="16" s="1"/>
  <c r="W20" i="16"/>
  <c r="X20" i="16" s="1"/>
  <c r="AB19" i="16"/>
  <c r="AC19" i="16" s="1"/>
  <c r="AB18" i="16"/>
  <c r="AC18" i="16" s="1"/>
  <c r="AB17" i="16"/>
  <c r="AC17" i="16" s="1"/>
  <c r="AB16" i="16"/>
  <c r="AC16" i="16" s="1"/>
  <c r="AB15" i="16"/>
  <c r="Y15" i="16"/>
  <c r="W15" i="16"/>
  <c r="X15" i="16" s="1"/>
  <c r="AB14" i="16"/>
  <c r="AC14" i="16"/>
  <c r="AB13" i="16"/>
  <c r="AC13" i="16" s="1"/>
  <c r="AB12" i="16"/>
  <c r="AC12" i="16" s="1"/>
  <c r="AB11" i="16"/>
  <c r="Y11" i="16"/>
  <c r="W11" i="16"/>
  <c r="X11" i="16" s="1"/>
  <c r="AB10" i="16"/>
  <c r="AC10" i="16" s="1"/>
  <c r="AB9" i="16"/>
  <c r="AC9" i="16" s="1"/>
  <c r="AB8" i="16"/>
  <c r="AC8" i="16" s="1"/>
  <c r="AB7" i="16"/>
  <c r="AC7" i="16" s="1"/>
  <c r="Z7" i="16"/>
  <c r="AJ68" i="15"/>
  <c r="AI68" i="15"/>
  <c r="AH68" i="15"/>
  <c r="AG68" i="15"/>
  <c r="AF68" i="15"/>
  <c r="AB66" i="15"/>
  <c r="Z66" i="15"/>
  <c r="Y66" i="15"/>
  <c r="W66" i="15"/>
  <c r="X66" i="15" s="1"/>
  <c r="AB65" i="15"/>
  <c r="Y65" i="15"/>
  <c r="Z65" i="15" s="1"/>
  <c r="W65" i="15"/>
  <c r="X65" i="15" s="1"/>
  <c r="AB64" i="15"/>
  <c r="Y64" i="15"/>
  <c r="W64" i="15"/>
  <c r="X64" i="15" s="1"/>
  <c r="AB63" i="15"/>
  <c r="Y63" i="15"/>
  <c r="Z63" i="15" s="1"/>
  <c r="W63" i="15"/>
  <c r="X63" i="15" s="1"/>
  <c r="AB62" i="15"/>
  <c r="Y62" i="15"/>
  <c r="Z62" i="15" s="1"/>
  <c r="W62" i="15"/>
  <c r="X62" i="15" s="1"/>
  <c r="AB61" i="15"/>
  <c r="Y61" i="15"/>
  <c r="Z61" i="15" s="1"/>
  <c r="W61" i="15"/>
  <c r="X61" i="15" s="1"/>
  <c r="AB60" i="15"/>
  <c r="Y60" i="15"/>
  <c r="W60" i="15"/>
  <c r="X60" i="15" s="1"/>
  <c r="AB59" i="15"/>
  <c r="Y59" i="15"/>
  <c r="Z59" i="15" s="1"/>
  <c r="W59" i="15"/>
  <c r="X59" i="15" s="1"/>
  <c r="AB58" i="15"/>
  <c r="Y58" i="15"/>
  <c r="W58" i="15"/>
  <c r="X58" i="15" s="1"/>
  <c r="AB57" i="15"/>
  <c r="Y57" i="15"/>
  <c r="Z57" i="15" s="1"/>
  <c r="W57" i="15"/>
  <c r="X57" i="15" s="1"/>
  <c r="AB56" i="15"/>
  <c r="Y56" i="15"/>
  <c r="W56" i="15"/>
  <c r="X56" i="15" s="1"/>
  <c r="AB55" i="15"/>
  <c r="Z55" i="15"/>
  <c r="AB54" i="15"/>
  <c r="Z54" i="15"/>
  <c r="AB53" i="15"/>
  <c r="AC53" i="15" s="1"/>
  <c r="Z53" i="15"/>
  <c r="AB52" i="15"/>
  <c r="AB51" i="15"/>
  <c r="Y51" i="15"/>
  <c r="Z51" i="15" s="1"/>
  <c r="W51" i="15"/>
  <c r="X51" i="15" s="1"/>
  <c r="AB50" i="15"/>
  <c r="Y50" i="15"/>
  <c r="AC50" i="15" s="1"/>
  <c r="W50" i="15"/>
  <c r="X50" i="15" s="1"/>
  <c r="AB49" i="15"/>
  <c r="Y49" i="15"/>
  <c r="Z49" i="15" s="1"/>
  <c r="W49" i="15"/>
  <c r="X49" i="15" s="1"/>
  <c r="AB48" i="15"/>
  <c r="AC48" i="15"/>
  <c r="AB47" i="15"/>
  <c r="Z47" i="15"/>
  <c r="AB46" i="15"/>
  <c r="Z46" i="15"/>
  <c r="AB45" i="15"/>
  <c r="Z45" i="15"/>
  <c r="AB44" i="15"/>
  <c r="AC44" i="15"/>
  <c r="AB43" i="15"/>
  <c r="Y43" i="15"/>
  <c r="Z43" i="15" s="1"/>
  <c r="W43" i="15"/>
  <c r="X43" i="15" s="1"/>
  <c r="AB42" i="15"/>
  <c r="Y42" i="15"/>
  <c r="Z42" i="15" s="1"/>
  <c r="W42" i="15"/>
  <c r="X42" i="15" s="1"/>
  <c r="AB41" i="15"/>
  <c r="Y41" i="15"/>
  <c r="Z41" i="15" s="1"/>
  <c r="W41" i="15"/>
  <c r="X41" i="15" s="1"/>
  <c r="AB40" i="15"/>
  <c r="Z40" i="15"/>
  <c r="AB39" i="15"/>
  <c r="Z39" i="15"/>
  <c r="AB38" i="15"/>
  <c r="AC38" i="15"/>
  <c r="W38" i="15"/>
  <c r="X38" i="15" s="1"/>
  <c r="AB37" i="15"/>
  <c r="Y37" i="15"/>
  <c r="Z37" i="15" s="1"/>
  <c r="W37" i="15"/>
  <c r="X37" i="15" s="1"/>
  <c r="AB36" i="15"/>
  <c r="W36" i="15"/>
  <c r="X36" i="15" s="1"/>
  <c r="AB35" i="15"/>
  <c r="Y35" i="15"/>
  <c r="Z35" i="15" s="1"/>
  <c r="W35" i="15"/>
  <c r="X35" i="15" s="1"/>
  <c r="AB34" i="15"/>
  <c r="Y34" i="15"/>
  <c r="Z34" i="15" s="1"/>
  <c r="W34" i="15"/>
  <c r="X34" i="15" s="1"/>
  <c r="AB33" i="15"/>
  <c r="Z33" i="15"/>
  <c r="AB32" i="15"/>
  <c r="AC32" i="15"/>
  <c r="AB31" i="15"/>
  <c r="Z31" i="15"/>
  <c r="AB30" i="15"/>
  <c r="Y30" i="15"/>
  <c r="AC30" i="15" s="1"/>
  <c r="W30" i="15"/>
  <c r="X30" i="15" s="1"/>
  <c r="AB29" i="15"/>
  <c r="AC29" i="15"/>
  <c r="AB28" i="15"/>
  <c r="AC28" i="15"/>
  <c r="AB27" i="15"/>
  <c r="Z27" i="15"/>
  <c r="AB26" i="15"/>
  <c r="AC26" i="15" s="1"/>
  <c r="AB25" i="15"/>
  <c r="AC25" i="15"/>
  <c r="AB24" i="15"/>
  <c r="Y24" i="15"/>
  <c r="AC24" i="15" s="1"/>
  <c r="W24" i="15"/>
  <c r="X24" i="15" s="1"/>
  <c r="AB23" i="15"/>
  <c r="Z23" i="15"/>
  <c r="AB22" i="15"/>
  <c r="AC22" i="15"/>
  <c r="AB21" i="15"/>
  <c r="AC21" i="15" s="1"/>
  <c r="AB20" i="15"/>
  <c r="Y20" i="15"/>
  <c r="AC20" i="15" s="1"/>
  <c r="W20" i="15"/>
  <c r="X20" i="15" s="1"/>
  <c r="AB19" i="15"/>
  <c r="Z19" i="15"/>
  <c r="AB18" i="15"/>
  <c r="AC18" i="15" s="1"/>
  <c r="AB17" i="15"/>
  <c r="AC17" i="15" s="1"/>
  <c r="AB16" i="15"/>
  <c r="AC16" i="15" s="1"/>
  <c r="AB15" i="15"/>
  <c r="Y15" i="15"/>
  <c r="Z15" i="15" s="1"/>
  <c r="W15" i="15"/>
  <c r="X15" i="15" s="1"/>
  <c r="AB14" i="15"/>
  <c r="AC14" i="15" s="1"/>
  <c r="AB13" i="15"/>
  <c r="AC13" i="15" s="1"/>
  <c r="AB12" i="15"/>
  <c r="AC12" i="15"/>
  <c r="AB11" i="15"/>
  <c r="Y11" i="15"/>
  <c r="Z11" i="15" s="1"/>
  <c r="W11" i="15"/>
  <c r="X11" i="15" s="1"/>
  <c r="AB10" i="15"/>
  <c r="AC10" i="15" s="1"/>
  <c r="AB9" i="15"/>
  <c r="AC9" i="15"/>
  <c r="AB8" i="15"/>
  <c r="AC8" i="15" s="1"/>
  <c r="AB7" i="15"/>
  <c r="Z7" i="15"/>
  <c r="AJ59" i="14"/>
  <c r="AI59" i="14"/>
  <c r="AH59" i="14"/>
  <c r="AG59" i="14"/>
  <c r="AF59" i="14"/>
  <c r="AB57" i="14"/>
  <c r="Y57" i="14"/>
  <c r="W57" i="14"/>
  <c r="X57" i="14" s="1"/>
  <c r="AB56" i="14"/>
  <c r="Y56" i="14"/>
  <c r="W56" i="14"/>
  <c r="X56" i="14" s="1"/>
  <c r="AB55" i="14"/>
  <c r="AC55" i="14" s="1"/>
  <c r="Y55" i="14"/>
  <c r="W55" i="14"/>
  <c r="X55" i="14" s="1"/>
  <c r="AB54" i="14"/>
  <c r="Y54" i="14"/>
  <c r="AC54" i="14" s="1"/>
  <c r="W54" i="14"/>
  <c r="X54" i="14" s="1"/>
  <c r="AB53" i="14"/>
  <c r="Y53" i="14"/>
  <c r="W53" i="14"/>
  <c r="X53" i="14" s="1"/>
  <c r="AB52" i="14"/>
  <c r="Y52" i="14"/>
  <c r="AC52" i="14" s="1"/>
  <c r="W52" i="14"/>
  <c r="X52" i="14" s="1"/>
  <c r="AB51" i="14"/>
  <c r="Y51" i="14"/>
  <c r="W51" i="14"/>
  <c r="X51" i="14" s="1"/>
  <c r="AB50" i="14"/>
  <c r="Y50" i="14"/>
  <c r="W50" i="14"/>
  <c r="X50" i="14" s="1"/>
  <c r="AB49" i="14"/>
  <c r="AC49" i="14" s="1"/>
  <c r="AB48" i="14"/>
  <c r="AC48" i="14"/>
  <c r="AB47" i="14"/>
  <c r="AB46" i="14"/>
  <c r="AC46" i="14"/>
  <c r="AB45" i="14"/>
  <c r="AC45" i="14" s="1"/>
  <c r="AB44" i="14"/>
  <c r="Y44" i="14"/>
  <c r="AC44" i="14" s="1"/>
  <c r="W44" i="14"/>
  <c r="X44" i="14" s="1"/>
  <c r="AB43" i="14"/>
  <c r="W43" i="14"/>
  <c r="X43" i="14" s="1"/>
  <c r="AB42" i="14"/>
  <c r="AC42" i="14"/>
  <c r="W42" i="14"/>
  <c r="X42" i="14" s="1"/>
  <c r="AB41" i="14"/>
  <c r="AC41" i="14"/>
  <c r="W41" i="14"/>
  <c r="X41" i="14" s="1"/>
  <c r="AB40" i="14"/>
  <c r="AC40" i="14" s="1"/>
  <c r="W40" i="14"/>
  <c r="X40" i="14" s="1"/>
  <c r="AB39" i="14"/>
  <c r="W39" i="14"/>
  <c r="X39" i="14" s="1"/>
  <c r="AB38" i="14"/>
  <c r="Y38" i="14"/>
  <c r="W38" i="14"/>
  <c r="X38" i="14" s="1"/>
  <c r="AB37" i="14"/>
  <c r="Y37" i="14"/>
  <c r="W37" i="14"/>
  <c r="X37" i="14" s="1"/>
  <c r="AB36" i="14"/>
  <c r="AC36" i="14"/>
  <c r="AB35" i="14"/>
  <c r="AB34" i="14"/>
  <c r="AB33" i="14"/>
  <c r="AC33" i="14" s="1"/>
  <c r="AB32" i="14"/>
  <c r="AC32" i="14"/>
  <c r="AB31" i="14"/>
  <c r="AC31" i="14" s="1"/>
  <c r="AB30" i="14"/>
  <c r="AC30" i="14" s="1"/>
  <c r="Y30" i="14"/>
  <c r="W30" i="14"/>
  <c r="X30" i="14" s="1"/>
  <c r="AB24" i="14"/>
  <c r="Y24" i="14"/>
  <c r="AC24" i="14" s="1"/>
  <c r="W24" i="14"/>
  <c r="X24" i="14" s="1"/>
  <c r="AB23" i="14"/>
  <c r="AC23" i="14" s="1"/>
  <c r="AB22" i="14"/>
  <c r="AC22" i="14" s="1"/>
  <c r="AB21" i="14"/>
  <c r="AC21" i="14"/>
  <c r="AB20" i="14"/>
  <c r="W20" i="14"/>
  <c r="X20" i="14" s="1"/>
  <c r="AB19" i="14"/>
  <c r="AB18" i="14"/>
  <c r="AC18" i="14"/>
  <c r="AB17" i="14"/>
  <c r="AC17" i="14" s="1"/>
  <c r="AB16" i="14"/>
  <c r="AB15" i="14"/>
  <c r="Y15" i="14"/>
  <c r="W15" i="14"/>
  <c r="X15" i="14" s="1"/>
  <c r="AB14" i="14"/>
  <c r="AC14" i="14" s="1"/>
  <c r="AB13" i="14"/>
  <c r="AC13" i="14" s="1"/>
  <c r="AB12" i="14"/>
  <c r="AB11" i="14"/>
  <c r="Y11" i="14"/>
  <c r="W11" i="14"/>
  <c r="X11" i="14" s="1"/>
  <c r="AB10" i="14"/>
  <c r="AC10" i="14" s="1"/>
  <c r="AB9" i="14"/>
  <c r="AC9" i="14"/>
  <c r="AB8" i="14"/>
  <c r="AB7" i="14"/>
  <c r="AC7" i="14" s="1"/>
  <c r="Z7" i="14"/>
  <c r="AJ78" i="13"/>
  <c r="AI78" i="13"/>
  <c r="AH78" i="13"/>
  <c r="AG78" i="13"/>
  <c r="AF78" i="13"/>
  <c r="AB76" i="13"/>
  <c r="Y76" i="13"/>
  <c r="W76" i="13"/>
  <c r="X76" i="13" s="1"/>
  <c r="AB75" i="13"/>
  <c r="Y75" i="13"/>
  <c r="W75" i="13"/>
  <c r="X75" i="13" s="1"/>
  <c r="AB74" i="13"/>
  <c r="Y74" i="13"/>
  <c r="W74" i="13"/>
  <c r="X74" i="13" s="1"/>
  <c r="AB73" i="13"/>
  <c r="Y73" i="13"/>
  <c r="W73" i="13"/>
  <c r="X73" i="13" s="1"/>
  <c r="AB72" i="13"/>
  <c r="Y72" i="13"/>
  <c r="W72" i="13"/>
  <c r="X72" i="13" s="1"/>
  <c r="AB71" i="13"/>
  <c r="AB70" i="13"/>
  <c r="AB69" i="13"/>
  <c r="AC69" i="13"/>
  <c r="AB68" i="13"/>
  <c r="AB67" i="13"/>
  <c r="AB66" i="13"/>
  <c r="Y66" i="13"/>
  <c r="W66" i="13"/>
  <c r="X66" i="13" s="1"/>
  <c r="AB65" i="13"/>
  <c r="Y65" i="13"/>
  <c r="AC65" i="13" s="1"/>
  <c r="W65" i="13"/>
  <c r="X65" i="13" s="1"/>
  <c r="AB64" i="13"/>
  <c r="AC64" i="13" s="1"/>
  <c r="AB63" i="13"/>
  <c r="AB62" i="13"/>
  <c r="AB61" i="13"/>
  <c r="AB60" i="13"/>
  <c r="AB59" i="13"/>
  <c r="Y59" i="13"/>
  <c r="W59" i="13"/>
  <c r="X59" i="13" s="1"/>
  <c r="AB58" i="13"/>
  <c r="Y58" i="13"/>
  <c r="W58" i="13"/>
  <c r="X58" i="13" s="1"/>
  <c r="AB57" i="13"/>
  <c r="AB56" i="13"/>
  <c r="AB55" i="13"/>
  <c r="W55" i="13"/>
  <c r="X55" i="13" s="1"/>
  <c r="AB54" i="13"/>
  <c r="W54" i="13"/>
  <c r="X54" i="13" s="1"/>
  <c r="AB53" i="13"/>
  <c r="Y53" i="13"/>
  <c r="W53" i="13"/>
  <c r="X53" i="13" s="1"/>
  <c r="AB52" i="13"/>
  <c r="Y52" i="13"/>
  <c r="W52" i="13"/>
  <c r="X52" i="13" s="1"/>
  <c r="AB51" i="13"/>
  <c r="AB50" i="13"/>
  <c r="AB49" i="13"/>
  <c r="AC49" i="13" s="1"/>
  <c r="AB48" i="13"/>
  <c r="AC48" i="13" s="1"/>
  <c r="AB47" i="13"/>
  <c r="AB46" i="13"/>
  <c r="AB45" i="13"/>
  <c r="AC45" i="13"/>
  <c r="AB44" i="13"/>
  <c r="AC44" i="13" s="1"/>
  <c r="AB43" i="13"/>
  <c r="AB42" i="13"/>
  <c r="AB41" i="13"/>
  <c r="AB40" i="13"/>
  <c r="AB39" i="13"/>
  <c r="AB38" i="13"/>
  <c r="AB37" i="13"/>
  <c r="AC37" i="13" s="1"/>
  <c r="AB36" i="13"/>
  <c r="AB35" i="13"/>
  <c r="AB34" i="13"/>
  <c r="AB33" i="13"/>
  <c r="AC33" i="13"/>
  <c r="AB32" i="13"/>
  <c r="AC32" i="13" s="1"/>
  <c r="AB31" i="13"/>
  <c r="AC31" i="13"/>
  <c r="AB30" i="13"/>
  <c r="Y30" i="13"/>
  <c r="W30" i="13"/>
  <c r="X30" i="13" s="1"/>
  <c r="AB29" i="13"/>
  <c r="AC29" i="13" s="1"/>
  <c r="AB28" i="13"/>
  <c r="AC28" i="13"/>
  <c r="AB27" i="13"/>
  <c r="AC27" i="13"/>
  <c r="AC26" i="13"/>
  <c r="AB26" i="13"/>
  <c r="AB25" i="13"/>
  <c r="AC25" i="13"/>
  <c r="AB24" i="13"/>
  <c r="Y24" i="13"/>
  <c r="W24" i="13"/>
  <c r="X24" i="13" s="1"/>
  <c r="AB23" i="13"/>
  <c r="AC23" i="13"/>
  <c r="AC22" i="13"/>
  <c r="AB22" i="13"/>
  <c r="AB21" i="13"/>
  <c r="AC21" i="13" s="1"/>
  <c r="AB20" i="13"/>
  <c r="Y20" i="13"/>
  <c r="W20" i="13"/>
  <c r="X20" i="13" s="1"/>
  <c r="AB19" i="13"/>
  <c r="AC19" i="13"/>
  <c r="AC18" i="13"/>
  <c r="AB18" i="13"/>
  <c r="AB17" i="13"/>
  <c r="AC17" i="13"/>
  <c r="AB16" i="13"/>
  <c r="AC16" i="13" s="1"/>
  <c r="AB15" i="13"/>
  <c r="Y15" i="13"/>
  <c r="W15" i="13"/>
  <c r="X15" i="13" s="1"/>
  <c r="AB14" i="13"/>
  <c r="AC14" i="13" s="1"/>
  <c r="AB13" i="13"/>
  <c r="AC13" i="13"/>
  <c r="AB12" i="13"/>
  <c r="AC12" i="13" s="1"/>
  <c r="AB11" i="13"/>
  <c r="Y11" i="13"/>
  <c r="AC11" i="13" s="1"/>
  <c r="W11" i="13"/>
  <c r="X11" i="13" s="1"/>
  <c r="AB10" i="13"/>
  <c r="AC10" i="13" s="1"/>
  <c r="AB9" i="13"/>
  <c r="AC9" i="13" s="1"/>
  <c r="AD9" i="13" s="1"/>
  <c r="AE9" i="13" s="1"/>
  <c r="AB8" i="13"/>
  <c r="AC8" i="13"/>
  <c r="AB7" i="13"/>
  <c r="Z7" i="13"/>
  <c r="AC7" i="13"/>
  <c r="AJ84" i="12"/>
  <c r="AI84" i="12"/>
  <c r="AH84" i="12"/>
  <c r="AG84" i="12"/>
  <c r="AF84" i="12"/>
  <c r="AB82" i="12"/>
  <c r="Y82" i="12"/>
  <c r="W82" i="12"/>
  <c r="X82" i="12" s="1"/>
  <c r="AB81" i="12"/>
  <c r="Y81" i="12"/>
  <c r="W81" i="12"/>
  <c r="X81" i="12" s="1"/>
  <c r="AB80" i="12"/>
  <c r="Y80" i="12"/>
  <c r="W80" i="12"/>
  <c r="X80" i="12" s="1"/>
  <c r="AB79" i="12"/>
  <c r="Y79" i="12"/>
  <c r="W79" i="12"/>
  <c r="X79" i="12" s="1"/>
  <c r="AB78" i="12"/>
  <c r="Y78" i="12"/>
  <c r="W78" i="12"/>
  <c r="X78" i="12" s="1"/>
  <c r="AB77" i="12"/>
  <c r="AB76" i="12"/>
  <c r="AB75" i="12"/>
  <c r="AB74" i="12"/>
  <c r="AB73" i="12"/>
  <c r="AB72" i="12"/>
  <c r="AB71" i="12"/>
  <c r="Y71" i="12"/>
  <c r="W71" i="12"/>
  <c r="X71" i="12" s="1"/>
  <c r="AB70" i="12"/>
  <c r="Y70" i="12"/>
  <c r="W70" i="12"/>
  <c r="X70" i="12" s="1"/>
  <c r="AB69" i="12"/>
  <c r="AB68" i="12"/>
  <c r="AB67" i="12"/>
  <c r="AB66" i="12"/>
  <c r="AB65" i="12"/>
  <c r="AB64" i="12"/>
  <c r="AB63" i="12"/>
  <c r="AB62" i="12"/>
  <c r="Y62" i="12"/>
  <c r="W62" i="12"/>
  <c r="X62" i="12" s="1"/>
  <c r="AB61" i="12"/>
  <c r="Y61" i="12"/>
  <c r="W61" i="12"/>
  <c r="X61" i="12" s="1"/>
  <c r="AB60" i="12"/>
  <c r="AB59" i="12"/>
  <c r="AB58" i="12"/>
  <c r="AB57" i="12"/>
  <c r="AB56" i="12"/>
  <c r="AB55" i="12"/>
  <c r="AB54" i="12"/>
  <c r="AB53" i="12"/>
  <c r="AB52" i="12"/>
  <c r="AB51" i="12"/>
  <c r="AB50" i="12"/>
  <c r="AB49" i="12"/>
  <c r="AB48" i="12"/>
  <c r="AB47" i="12"/>
  <c r="AB46" i="12"/>
  <c r="AB45" i="12"/>
  <c r="AB44" i="12"/>
  <c r="AB43" i="12"/>
  <c r="AB42" i="12"/>
  <c r="AB41" i="12"/>
  <c r="AB40" i="12"/>
  <c r="AB39" i="12"/>
  <c r="AB38" i="12"/>
  <c r="AB37" i="12"/>
  <c r="AB36" i="12"/>
  <c r="AB35" i="12"/>
  <c r="AB34" i="12"/>
  <c r="AB33" i="12"/>
  <c r="AB32" i="12"/>
  <c r="AB31" i="12"/>
  <c r="AC31" i="12" s="1"/>
  <c r="AB30" i="12"/>
  <c r="Y30" i="12"/>
  <c r="W30" i="12"/>
  <c r="X30" i="12" s="1"/>
  <c r="AB29" i="12"/>
  <c r="AC29" i="12"/>
  <c r="AB28" i="12"/>
  <c r="AC28" i="12" s="1"/>
  <c r="AC27" i="12"/>
  <c r="AB27" i="12"/>
  <c r="AB26" i="12"/>
  <c r="AC26" i="12" s="1"/>
  <c r="AB25" i="12"/>
  <c r="AC25" i="12" s="1"/>
  <c r="AB24" i="12"/>
  <c r="Y24" i="12"/>
  <c r="W24" i="12"/>
  <c r="X24" i="12" s="1"/>
  <c r="AB23" i="12"/>
  <c r="AC23" i="12" s="1"/>
  <c r="AC22" i="12"/>
  <c r="AD22" i="12" s="1"/>
  <c r="AE22" i="12" s="1"/>
  <c r="AB22" i="12"/>
  <c r="AB21" i="12"/>
  <c r="AC21" i="12" s="1"/>
  <c r="AC20" i="12"/>
  <c r="AB20" i="12"/>
  <c r="Y20" i="12"/>
  <c r="W20" i="12"/>
  <c r="X20" i="12" s="1"/>
  <c r="AC19" i="12"/>
  <c r="AB19" i="12"/>
  <c r="AB18" i="12"/>
  <c r="AC18" i="12" s="1"/>
  <c r="AB17" i="12"/>
  <c r="AC17" i="12"/>
  <c r="AB16" i="12"/>
  <c r="AC16" i="12" s="1"/>
  <c r="AB15" i="12"/>
  <c r="Y15" i="12"/>
  <c r="W15" i="12"/>
  <c r="X15" i="12" s="1"/>
  <c r="AB14" i="12"/>
  <c r="AC14" i="12" s="1"/>
  <c r="AB13" i="12"/>
  <c r="AC13" i="12" s="1"/>
  <c r="AC12" i="12"/>
  <c r="AB12" i="12"/>
  <c r="AB11" i="12"/>
  <c r="Y11" i="12"/>
  <c r="W11" i="12"/>
  <c r="X11" i="12" s="1"/>
  <c r="AB10" i="12"/>
  <c r="AC10" i="12" s="1"/>
  <c r="AB9" i="12"/>
  <c r="AC9" i="12"/>
  <c r="AC8" i="12"/>
  <c r="AB8" i="12"/>
  <c r="AB7" i="12"/>
  <c r="AC7" i="12"/>
  <c r="AJ67" i="11"/>
  <c r="AI67" i="11"/>
  <c r="AH67" i="11"/>
  <c r="AG67" i="11"/>
  <c r="AF67" i="11"/>
  <c r="AB65" i="11"/>
  <c r="Y65" i="11"/>
  <c r="W65" i="11"/>
  <c r="X65" i="11" s="1"/>
  <c r="AB64" i="11"/>
  <c r="Y64" i="11"/>
  <c r="W64" i="11"/>
  <c r="X64" i="11" s="1"/>
  <c r="AB63" i="11"/>
  <c r="Y63" i="11"/>
  <c r="W63" i="11"/>
  <c r="X63" i="11" s="1"/>
  <c r="AB62" i="11"/>
  <c r="Y62" i="11"/>
  <c r="W62" i="11"/>
  <c r="X62" i="11" s="1"/>
  <c r="AB61" i="11"/>
  <c r="Y61" i="11"/>
  <c r="AC61" i="11" s="1"/>
  <c r="W61" i="11"/>
  <c r="X61" i="11" s="1"/>
  <c r="AB60" i="11"/>
  <c r="Y60" i="11"/>
  <c r="W60" i="11"/>
  <c r="X60" i="11" s="1"/>
  <c r="AB59" i="11"/>
  <c r="Y59" i="11"/>
  <c r="W59" i="11"/>
  <c r="X59" i="11" s="1"/>
  <c r="AB58" i="11"/>
  <c r="Y58" i="11"/>
  <c r="W58" i="11"/>
  <c r="X58" i="11" s="1"/>
  <c r="AB57" i="11"/>
  <c r="Y57" i="11"/>
  <c r="W57" i="11"/>
  <c r="X57" i="11" s="1"/>
  <c r="AB56" i="11"/>
  <c r="AC56" i="11" s="1"/>
  <c r="Y56" i="11"/>
  <c r="W56" i="11"/>
  <c r="X56" i="11" s="1"/>
  <c r="AB55" i="11"/>
  <c r="Y55" i="11"/>
  <c r="W55" i="11"/>
  <c r="X55" i="11" s="1"/>
  <c r="AB54" i="11"/>
  <c r="AB53" i="11"/>
  <c r="AB52" i="11"/>
  <c r="AB51" i="11"/>
  <c r="Y51" i="11"/>
  <c r="W51" i="11"/>
  <c r="X51" i="11" s="1"/>
  <c r="AB50" i="11"/>
  <c r="Y50" i="11"/>
  <c r="W50" i="11"/>
  <c r="X50" i="11" s="1"/>
  <c r="AB49" i="11"/>
  <c r="W49" i="11"/>
  <c r="X49" i="11" s="1"/>
  <c r="AB48" i="11"/>
  <c r="W48" i="11"/>
  <c r="X48" i="11" s="1"/>
  <c r="AB47" i="11"/>
  <c r="W47" i="11"/>
  <c r="X47" i="11" s="1"/>
  <c r="AB46" i="11"/>
  <c r="W46" i="11"/>
  <c r="X46" i="11" s="1"/>
  <c r="AB45" i="11"/>
  <c r="Y45" i="11"/>
  <c r="W45" i="11"/>
  <c r="X45" i="11" s="1"/>
  <c r="AB44" i="11"/>
  <c r="Y44" i="11"/>
  <c r="W44" i="11"/>
  <c r="X44" i="11" s="1"/>
  <c r="AB43" i="11"/>
  <c r="Y43" i="11"/>
  <c r="W43" i="11"/>
  <c r="X43" i="11" s="1"/>
  <c r="AB42" i="11"/>
  <c r="Y42" i="11"/>
  <c r="W42" i="11"/>
  <c r="X42" i="11" s="1"/>
  <c r="AB41" i="11"/>
  <c r="Y41" i="11"/>
  <c r="AC41" i="11" s="1"/>
  <c r="W41" i="11"/>
  <c r="X41" i="11" s="1"/>
  <c r="AB40" i="11"/>
  <c r="Y40" i="11"/>
  <c r="W40" i="11"/>
  <c r="X40" i="11" s="1"/>
  <c r="AB39" i="11"/>
  <c r="Y39" i="11"/>
  <c r="W39" i="11"/>
  <c r="X39" i="11" s="1"/>
  <c r="AB38" i="11"/>
  <c r="AB37" i="11"/>
  <c r="AB36" i="11"/>
  <c r="AB35" i="11"/>
  <c r="AB34" i="11"/>
  <c r="AB33" i="11"/>
  <c r="Y33" i="11"/>
  <c r="W33" i="11"/>
  <c r="X33" i="11" s="1"/>
  <c r="AB32" i="11"/>
  <c r="Y32" i="11"/>
  <c r="W32" i="11"/>
  <c r="X32" i="11" s="1"/>
  <c r="AB31" i="11"/>
  <c r="AC31" i="11" s="1"/>
  <c r="AB30" i="11"/>
  <c r="AC30" i="11" s="1"/>
  <c r="AB29" i="11"/>
  <c r="AC29" i="11" s="1"/>
  <c r="AB28" i="11"/>
  <c r="AC28" i="11"/>
  <c r="AB27" i="11"/>
  <c r="W27" i="11"/>
  <c r="X27" i="11" s="1"/>
  <c r="AB26" i="11"/>
  <c r="Y26" i="11"/>
  <c r="W26" i="11"/>
  <c r="X26" i="11" s="1"/>
  <c r="AB25" i="11"/>
  <c r="Y25" i="11"/>
  <c r="W25" i="11"/>
  <c r="X25" i="11" s="1"/>
  <c r="AB24" i="11"/>
  <c r="AC24" i="11"/>
  <c r="AC23" i="11"/>
  <c r="AB23" i="11"/>
  <c r="AB22" i="11"/>
  <c r="AC22" i="11" s="1"/>
  <c r="AB21" i="11"/>
  <c r="Y21" i="11"/>
  <c r="W21" i="11"/>
  <c r="X21" i="11" s="1"/>
  <c r="AB20" i="11"/>
  <c r="AC20" i="11"/>
  <c r="AB19" i="11"/>
  <c r="AB18" i="11"/>
  <c r="AB17" i="11"/>
  <c r="AC17" i="11" s="1"/>
  <c r="AB16" i="11"/>
  <c r="AC16" i="11"/>
  <c r="AB15" i="11"/>
  <c r="AC15" i="11" s="1"/>
  <c r="AB14" i="11"/>
  <c r="AC14" i="11" s="1"/>
  <c r="AB13" i="11"/>
  <c r="AC13" i="11" s="1"/>
  <c r="AB12" i="11"/>
  <c r="AC12" i="11"/>
  <c r="AB11" i="11"/>
  <c r="Y11" i="11"/>
  <c r="W11" i="11"/>
  <c r="X11" i="11" s="1"/>
  <c r="AB10" i="11"/>
  <c r="AC10" i="11" s="1"/>
  <c r="AB9" i="11"/>
  <c r="AC9" i="11"/>
  <c r="AB8" i="11"/>
  <c r="AC8" i="11"/>
  <c r="AB7" i="11"/>
  <c r="AC7" i="11" s="1"/>
  <c r="Z7" i="11"/>
  <c r="AJ61" i="10"/>
  <c r="AI61" i="10"/>
  <c r="AH61" i="10"/>
  <c r="AG61" i="10"/>
  <c r="AF61" i="10"/>
  <c r="AB59" i="10"/>
  <c r="Y59" i="10"/>
  <c r="W59" i="10"/>
  <c r="X59" i="10" s="1"/>
  <c r="AB58" i="10"/>
  <c r="Y58" i="10"/>
  <c r="W58" i="10"/>
  <c r="X58" i="10" s="1"/>
  <c r="AB57" i="10"/>
  <c r="Y57" i="10"/>
  <c r="W57" i="10"/>
  <c r="X57" i="10" s="1"/>
  <c r="AB56" i="10"/>
  <c r="W56" i="10"/>
  <c r="X56" i="10" s="1"/>
  <c r="AB55" i="10"/>
  <c r="Y55" i="10"/>
  <c r="W55" i="10"/>
  <c r="X55" i="10" s="1"/>
  <c r="AB54" i="10"/>
  <c r="AB53" i="10"/>
  <c r="Y53" i="10"/>
  <c r="W53" i="10"/>
  <c r="X53" i="10" s="1"/>
  <c r="AB52" i="10"/>
  <c r="Y52" i="10"/>
  <c r="W52" i="10"/>
  <c r="X52" i="10" s="1"/>
  <c r="AB51" i="10"/>
  <c r="AB50" i="10"/>
  <c r="AB49" i="10"/>
  <c r="AB48" i="10"/>
  <c r="Y48" i="10"/>
  <c r="W48" i="10"/>
  <c r="X48" i="10" s="1"/>
  <c r="AB47" i="10"/>
  <c r="Y47" i="10"/>
  <c r="W47" i="10"/>
  <c r="X47" i="10" s="1"/>
  <c r="AB46" i="10"/>
  <c r="AB45" i="10"/>
  <c r="AC45" i="10"/>
  <c r="AB44" i="10"/>
  <c r="AC44" i="10" s="1"/>
  <c r="AB43" i="10"/>
  <c r="Y43" i="10"/>
  <c r="W43" i="10"/>
  <c r="X43" i="10" s="1"/>
  <c r="AB42" i="10"/>
  <c r="Y42" i="10"/>
  <c r="W42" i="10"/>
  <c r="X42" i="10" s="1"/>
  <c r="AB41" i="10"/>
  <c r="AC41" i="10" s="1"/>
  <c r="AB40" i="10"/>
  <c r="AC40" i="10" s="1"/>
  <c r="AB39" i="10"/>
  <c r="AB38" i="10"/>
  <c r="AB37" i="10"/>
  <c r="AB36" i="10"/>
  <c r="AB35" i="10"/>
  <c r="AB34" i="10"/>
  <c r="AB33" i="10"/>
  <c r="AB32" i="10"/>
  <c r="AC32" i="10" s="1"/>
  <c r="AB31" i="10"/>
  <c r="AC31" i="10" s="1"/>
  <c r="AB30" i="10"/>
  <c r="AC30" i="10" s="1"/>
  <c r="AB29" i="10"/>
  <c r="AC29" i="10"/>
  <c r="AB28" i="10"/>
  <c r="AC28" i="10" s="1"/>
  <c r="AB27" i="10"/>
  <c r="AC27" i="10" s="1"/>
  <c r="AB26" i="10"/>
  <c r="AC26" i="10" s="1"/>
  <c r="AB25" i="10"/>
  <c r="Y25" i="10"/>
  <c r="W25" i="10"/>
  <c r="X25" i="10" s="1"/>
  <c r="AB24" i="10"/>
  <c r="AC24" i="10" s="1"/>
  <c r="AB23" i="10"/>
  <c r="AC23" i="10" s="1"/>
  <c r="AB22" i="10"/>
  <c r="AC22" i="10" s="1"/>
  <c r="AB21" i="10"/>
  <c r="AC21" i="10"/>
  <c r="AB20" i="10"/>
  <c r="AC20" i="10" s="1"/>
  <c r="AB19" i="10"/>
  <c r="AC19" i="10" s="1"/>
  <c r="AB18" i="10"/>
  <c r="AC18" i="10" s="1"/>
  <c r="AB17" i="10"/>
  <c r="AC17" i="10" s="1"/>
  <c r="AB16" i="10"/>
  <c r="AC16" i="10" s="1"/>
  <c r="AB15" i="10"/>
  <c r="AC15" i="10" s="1"/>
  <c r="AB14" i="10"/>
  <c r="AC14" i="10" s="1"/>
  <c r="AB13" i="10"/>
  <c r="AC13" i="10" s="1"/>
  <c r="AB12" i="10"/>
  <c r="AC12" i="10" s="1"/>
  <c r="AB11" i="10"/>
  <c r="AC11" i="10" s="1"/>
  <c r="AB10" i="10"/>
  <c r="AC10" i="10" s="1"/>
  <c r="AD10" i="10" s="1"/>
  <c r="AE10" i="10" s="1"/>
  <c r="AB9" i="10"/>
  <c r="AC9" i="10"/>
  <c r="AD9" i="10" s="1"/>
  <c r="AE9" i="10" s="1"/>
  <c r="AB8" i="10"/>
  <c r="AC8" i="10" s="1"/>
  <c r="AB7" i="10"/>
  <c r="AC7" i="10" s="1"/>
  <c r="Z7" i="10"/>
  <c r="AJ63" i="9"/>
  <c r="AI63" i="9"/>
  <c r="AH63" i="9"/>
  <c r="AG63" i="9"/>
  <c r="AF63" i="9"/>
  <c r="AB61" i="9"/>
  <c r="Y61" i="9"/>
  <c r="W61" i="9"/>
  <c r="X61" i="9" s="1"/>
  <c r="AB60" i="9"/>
  <c r="Y60" i="9"/>
  <c r="W60" i="9"/>
  <c r="X60" i="9" s="1"/>
  <c r="AB59" i="9"/>
  <c r="AB58" i="9"/>
  <c r="AB57" i="9"/>
  <c r="AB56" i="9"/>
  <c r="AC56" i="9"/>
  <c r="AB55" i="9"/>
  <c r="AB54" i="9"/>
  <c r="Y54" i="9"/>
  <c r="W54" i="9"/>
  <c r="X54" i="9" s="1"/>
  <c r="AB53" i="9"/>
  <c r="Y53" i="9"/>
  <c r="W53" i="9"/>
  <c r="X53" i="9" s="1"/>
  <c r="AB52" i="9"/>
  <c r="AB51" i="9"/>
  <c r="AB50" i="9"/>
  <c r="AC50" i="9" s="1"/>
  <c r="AB49" i="9"/>
  <c r="Y49" i="9"/>
  <c r="W49" i="9"/>
  <c r="X49" i="9" s="1"/>
  <c r="AB48" i="9"/>
  <c r="Y48" i="9"/>
  <c r="AC48" i="9" s="1"/>
  <c r="W48" i="9"/>
  <c r="X48" i="9" s="1"/>
  <c r="AC47" i="9"/>
  <c r="AD47" i="9" s="1"/>
  <c r="AE47" i="9" s="1"/>
  <c r="AB47" i="9"/>
  <c r="AB46" i="9"/>
  <c r="AB45" i="9"/>
  <c r="AC45" i="9" s="1"/>
  <c r="AB44" i="9"/>
  <c r="Y44" i="9"/>
  <c r="W44" i="9"/>
  <c r="X44" i="9" s="1"/>
  <c r="AB43" i="9"/>
  <c r="Y43" i="9"/>
  <c r="W43" i="9"/>
  <c r="X43" i="9" s="1"/>
  <c r="AB40" i="9"/>
  <c r="Y40" i="9"/>
  <c r="AC40" i="9" s="1"/>
  <c r="W40" i="9"/>
  <c r="X40" i="9" s="1"/>
  <c r="AB39" i="9"/>
  <c r="AB38" i="9"/>
  <c r="AC38" i="9" s="1"/>
  <c r="AB37" i="9"/>
  <c r="AB36" i="9"/>
  <c r="Y36" i="9"/>
  <c r="W36" i="9"/>
  <c r="X36" i="9" s="1"/>
  <c r="AB35" i="9"/>
  <c r="AB34" i="9"/>
  <c r="AC34" i="9" s="1"/>
  <c r="AB33" i="9"/>
  <c r="AB32" i="9"/>
  <c r="AC32" i="9"/>
  <c r="AB31" i="9"/>
  <c r="Y31" i="9"/>
  <c r="AC31" i="9" s="1"/>
  <c r="W31" i="9"/>
  <c r="X31" i="9" s="1"/>
  <c r="AB30" i="9"/>
  <c r="Y30" i="9"/>
  <c r="W30" i="9"/>
  <c r="X30" i="9" s="1"/>
  <c r="AB29" i="9"/>
  <c r="Y29" i="9"/>
  <c r="W29" i="9"/>
  <c r="X29" i="9" s="1"/>
  <c r="AB28" i="9"/>
  <c r="AC28" i="9" s="1"/>
  <c r="AB27" i="9"/>
  <c r="AC27" i="9" s="1"/>
  <c r="AB26" i="9"/>
  <c r="AB25" i="9"/>
  <c r="AC25" i="9" s="1"/>
  <c r="AB24" i="9"/>
  <c r="AC24" i="9"/>
  <c r="AB23" i="9"/>
  <c r="AC23" i="9"/>
  <c r="AB22" i="9"/>
  <c r="AB21" i="9"/>
  <c r="AC21" i="9" s="1"/>
  <c r="Y21" i="9"/>
  <c r="W21" i="9"/>
  <c r="X21" i="9" s="1"/>
  <c r="AB20" i="9"/>
  <c r="AC20" i="9" s="1"/>
  <c r="AB19" i="9"/>
  <c r="AC19" i="9" s="1"/>
  <c r="AB18" i="9"/>
  <c r="AB17" i="9"/>
  <c r="AC17" i="9" s="1"/>
  <c r="AB16" i="9"/>
  <c r="AC16" i="9"/>
  <c r="AB15" i="9"/>
  <c r="Y15" i="9"/>
  <c r="AC15" i="9" s="1"/>
  <c r="W15" i="9"/>
  <c r="X15" i="9" s="1"/>
  <c r="AB14" i="9"/>
  <c r="AB13" i="9"/>
  <c r="AC13" i="9" s="1"/>
  <c r="AB12" i="9"/>
  <c r="AC12" i="9"/>
  <c r="AB11" i="9"/>
  <c r="Y11" i="9"/>
  <c r="AC11" i="9" s="1"/>
  <c r="W11" i="9"/>
  <c r="X11" i="9" s="1"/>
  <c r="AB10" i="9"/>
  <c r="AB9" i="9"/>
  <c r="AC9" i="9" s="1"/>
  <c r="AB8" i="9"/>
  <c r="AC8" i="9"/>
  <c r="AD8" i="9" s="1"/>
  <c r="AE8" i="9" s="1"/>
  <c r="AB7" i="9"/>
  <c r="AC7" i="9" s="1"/>
  <c r="Z7" i="9"/>
  <c r="AJ73" i="8"/>
  <c r="AI73" i="8"/>
  <c r="AH73" i="8"/>
  <c r="AG73" i="8"/>
  <c r="AF73" i="8"/>
  <c r="AB71" i="8"/>
  <c r="Y71" i="8"/>
  <c r="W71" i="8"/>
  <c r="X71" i="8" s="1"/>
  <c r="AB70" i="8"/>
  <c r="Y70" i="8"/>
  <c r="W70" i="8"/>
  <c r="X70" i="8" s="1"/>
  <c r="AB69" i="8"/>
  <c r="Y69" i="8"/>
  <c r="W69" i="8"/>
  <c r="X69" i="8" s="1"/>
  <c r="AB68" i="8"/>
  <c r="Y68" i="8"/>
  <c r="W68" i="8"/>
  <c r="X68" i="8" s="1"/>
  <c r="AB67" i="8"/>
  <c r="Y67" i="8"/>
  <c r="W67" i="8"/>
  <c r="X67" i="8" s="1"/>
  <c r="AB66" i="8"/>
  <c r="Y66" i="8"/>
  <c r="W66" i="8"/>
  <c r="X66" i="8" s="1"/>
  <c r="AB65" i="8"/>
  <c r="Y65" i="8"/>
  <c r="W65" i="8"/>
  <c r="X65" i="8" s="1"/>
  <c r="AB64" i="8"/>
  <c r="AB63" i="8"/>
  <c r="AB62" i="8"/>
  <c r="AB61" i="8"/>
  <c r="Y61" i="8"/>
  <c r="W61" i="8"/>
  <c r="X61" i="8" s="1"/>
  <c r="AB60" i="8"/>
  <c r="Y60" i="8"/>
  <c r="W60" i="8"/>
  <c r="X60" i="8" s="1"/>
  <c r="AB59" i="8"/>
  <c r="AB58" i="8"/>
  <c r="AB57" i="8"/>
  <c r="AB56" i="8"/>
  <c r="AB55" i="8"/>
  <c r="AB54" i="8"/>
  <c r="AB53" i="8"/>
  <c r="Y53" i="8"/>
  <c r="W53" i="8"/>
  <c r="X53" i="8" s="1"/>
  <c r="AB52" i="8"/>
  <c r="Y52" i="8"/>
  <c r="W52" i="8"/>
  <c r="X52" i="8" s="1"/>
  <c r="AB51" i="8"/>
  <c r="AB50" i="8"/>
  <c r="AB49" i="8"/>
  <c r="Y49" i="8"/>
  <c r="W49" i="8"/>
  <c r="X49" i="8" s="1"/>
  <c r="AB48" i="8"/>
  <c r="Y48" i="8"/>
  <c r="W48" i="8"/>
  <c r="X48" i="8" s="1"/>
  <c r="AB47" i="8"/>
  <c r="AB46" i="8"/>
  <c r="Y46" i="8"/>
  <c r="W46" i="8"/>
  <c r="X46" i="8" s="1"/>
  <c r="AB45" i="8"/>
  <c r="AB44" i="8"/>
  <c r="AB43" i="8"/>
  <c r="AB42" i="8"/>
  <c r="AB41" i="8"/>
  <c r="AB40" i="8"/>
  <c r="Y40" i="8"/>
  <c r="W40" i="8"/>
  <c r="X40" i="8" s="1"/>
  <c r="AB39" i="8"/>
  <c r="Y39" i="8"/>
  <c r="W39" i="8"/>
  <c r="X39" i="8" s="1"/>
  <c r="AB38" i="8"/>
  <c r="AB37" i="8"/>
  <c r="AB36" i="8"/>
  <c r="Y36" i="8"/>
  <c r="W36" i="8"/>
  <c r="X36" i="8" s="1"/>
  <c r="AB35" i="8"/>
  <c r="Y35" i="8"/>
  <c r="W35" i="8"/>
  <c r="X35" i="8" s="1"/>
  <c r="AB34" i="8"/>
  <c r="AB33" i="8"/>
  <c r="AB32" i="8"/>
  <c r="AB31" i="8"/>
  <c r="AC31" i="8" s="1"/>
  <c r="AB30" i="8"/>
  <c r="AC30" i="8" s="1"/>
  <c r="AB29" i="8"/>
  <c r="Y29" i="8"/>
  <c r="W29" i="8"/>
  <c r="X29" i="8" s="1"/>
  <c r="AB28" i="8"/>
  <c r="AC28" i="8" s="1"/>
  <c r="AB27" i="8"/>
  <c r="AC27" i="8" s="1"/>
  <c r="AC26" i="8"/>
  <c r="AB26" i="8"/>
  <c r="AB25" i="8"/>
  <c r="AC25" i="8" s="1"/>
  <c r="AB24" i="8"/>
  <c r="AC24" i="8" s="1"/>
  <c r="AC23" i="8"/>
  <c r="AB23" i="8"/>
  <c r="AB22" i="8"/>
  <c r="AC22" i="8" s="1"/>
  <c r="AB21" i="8"/>
  <c r="Y21" i="8"/>
  <c r="W21" i="8"/>
  <c r="X21" i="8" s="1"/>
  <c r="AB20" i="8"/>
  <c r="AC20" i="8"/>
  <c r="AB19" i="8"/>
  <c r="AC19" i="8" s="1"/>
  <c r="AB18" i="8"/>
  <c r="AC18" i="8" s="1"/>
  <c r="AB17" i="8"/>
  <c r="AC17" i="8" s="1"/>
  <c r="AB16" i="8"/>
  <c r="AC16" i="8" s="1"/>
  <c r="AC15" i="8"/>
  <c r="AB15" i="8"/>
  <c r="AB14" i="8"/>
  <c r="AC14" i="8" s="1"/>
  <c r="AB13" i="8"/>
  <c r="AC13" i="8" s="1"/>
  <c r="AB12" i="8"/>
  <c r="AC12" i="8" s="1"/>
  <c r="AB11" i="8"/>
  <c r="Y11" i="8"/>
  <c r="W11" i="8"/>
  <c r="X11" i="8" s="1"/>
  <c r="AC10" i="8"/>
  <c r="AB10" i="8"/>
  <c r="AB9" i="8"/>
  <c r="AC9" i="8" s="1"/>
  <c r="AB8" i="8"/>
  <c r="AC8" i="8" s="1"/>
  <c r="AD8" i="8" s="1"/>
  <c r="AE8" i="8" s="1"/>
  <c r="AC7" i="8"/>
  <c r="AB7" i="8"/>
  <c r="Z7" i="8"/>
  <c r="AJ60" i="7"/>
  <c r="AI60" i="7"/>
  <c r="AH60" i="7"/>
  <c r="AG60" i="7"/>
  <c r="AF60" i="7"/>
  <c r="AB58" i="7"/>
  <c r="Y58" i="7"/>
  <c r="W58" i="7"/>
  <c r="X58" i="7" s="1"/>
  <c r="AB57" i="7"/>
  <c r="Y57" i="7"/>
  <c r="W57" i="7"/>
  <c r="X57" i="7" s="1"/>
  <c r="AB56" i="7"/>
  <c r="Y56" i="7"/>
  <c r="W56" i="7"/>
  <c r="X56" i="7" s="1"/>
  <c r="AB55" i="7"/>
  <c r="Y55" i="7"/>
  <c r="W55" i="7"/>
  <c r="X55" i="7" s="1"/>
  <c r="AB54" i="7"/>
  <c r="Y54" i="7"/>
  <c r="W54" i="7"/>
  <c r="X54" i="7" s="1"/>
  <c r="AB53" i="7"/>
  <c r="Y53" i="7"/>
  <c r="W53" i="7"/>
  <c r="X53" i="7" s="1"/>
  <c r="AB52" i="7"/>
  <c r="Y52" i="7"/>
  <c r="W52" i="7"/>
  <c r="X52" i="7" s="1"/>
  <c r="AB51" i="7"/>
  <c r="Y51" i="7"/>
  <c r="W51" i="7"/>
  <c r="X51" i="7" s="1"/>
  <c r="AB50" i="7"/>
  <c r="AB48" i="7"/>
  <c r="AB47" i="7"/>
  <c r="AB46" i="7"/>
  <c r="Y46" i="7"/>
  <c r="W46" i="7"/>
  <c r="X46" i="7" s="1"/>
  <c r="AB45" i="7"/>
  <c r="Y45" i="7"/>
  <c r="W45" i="7"/>
  <c r="X45" i="7" s="1"/>
  <c r="AB44" i="7"/>
  <c r="AB43" i="7"/>
  <c r="AB42" i="7"/>
  <c r="AB41" i="7"/>
  <c r="Y41" i="7"/>
  <c r="W41" i="7"/>
  <c r="X41" i="7" s="1"/>
  <c r="AB40" i="7"/>
  <c r="Y40" i="7"/>
  <c r="W40" i="7"/>
  <c r="X40" i="7" s="1"/>
  <c r="AB39" i="7"/>
  <c r="AB38" i="7"/>
  <c r="AB37" i="7"/>
  <c r="Y37" i="7"/>
  <c r="W37" i="7"/>
  <c r="X37" i="7" s="1"/>
  <c r="AB36" i="7"/>
  <c r="Y36" i="7"/>
  <c r="W36" i="7"/>
  <c r="X36" i="7" s="1"/>
  <c r="AB35" i="7"/>
  <c r="W35" i="7"/>
  <c r="X35" i="7" s="1"/>
  <c r="AB34" i="7"/>
  <c r="Y34" i="7"/>
  <c r="W34" i="7"/>
  <c r="X34" i="7" s="1"/>
  <c r="AB33" i="7"/>
  <c r="Y33" i="7"/>
  <c r="W33" i="7"/>
  <c r="X33" i="7" s="1"/>
  <c r="AB32" i="7"/>
  <c r="Y32" i="7"/>
  <c r="W32" i="7"/>
  <c r="X32" i="7" s="1"/>
  <c r="AB31" i="7"/>
  <c r="AC31" i="7" s="1"/>
  <c r="AB30" i="7"/>
  <c r="Y30" i="7"/>
  <c r="W30" i="7"/>
  <c r="X30" i="7" s="1"/>
  <c r="AB29" i="7"/>
  <c r="Y29" i="7"/>
  <c r="W29" i="7"/>
  <c r="X29" i="7" s="1"/>
  <c r="AB28" i="7"/>
  <c r="AC28" i="7"/>
  <c r="AB27" i="7"/>
  <c r="AC27" i="7" s="1"/>
  <c r="AB26" i="7"/>
  <c r="AC26" i="7" s="1"/>
  <c r="AB25" i="7"/>
  <c r="Y25" i="7"/>
  <c r="W25" i="7"/>
  <c r="X25" i="7" s="1"/>
  <c r="AB24" i="7"/>
  <c r="AC24" i="7" s="1"/>
  <c r="AB23" i="7"/>
  <c r="AC23" i="7" s="1"/>
  <c r="AB22" i="7"/>
  <c r="AC22" i="7" s="1"/>
  <c r="AB21" i="7"/>
  <c r="AC21" i="7" s="1"/>
  <c r="AB20" i="7"/>
  <c r="AC20" i="7" s="1"/>
  <c r="AB19" i="7"/>
  <c r="AC19" i="7" s="1"/>
  <c r="AB18" i="7"/>
  <c r="AC18" i="7" s="1"/>
  <c r="AB17" i="7"/>
  <c r="AC17" i="7" s="1"/>
  <c r="AB16" i="7"/>
  <c r="AC16" i="7"/>
  <c r="AB15" i="7"/>
  <c r="AC15" i="7" s="1"/>
  <c r="AB14" i="7"/>
  <c r="AC14" i="7" s="1"/>
  <c r="AB13" i="7"/>
  <c r="AC13" i="7" s="1"/>
  <c r="AB12" i="7"/>
  <c r="AC12" i="7" s="1"/>
  <c r="AB11" i="7"/>
  <c r="Y11" i="7"/>
  <c r="W11" i="7"/>
  <c r="X11" i="7" s="1"/>
  <c r="AB10" i="7"/>
  <c r="AC10" i="7" s="1"/>
  <c r="AB9" i="7"/>
  <c r="AC9" i="7"/>
  <c r="AB8" i="7"/>
  <c r="AC8" i="7" s="1"/>
  <c r="AB7" i="7"/>
  <c r="AC7" i="7" s="1"/>
  <c r="Z7" i="7"/>
  <c r="S11" i="6"/>
  <c r="U11" i="6" s="1"/>
  <c r="W11" i="6"/>
  <c r="Y11" i="6"/>
  <c r="Z11" i="6" s="1"/>
  <c r="AB11" i="6"/>
  <c r="Z12" i="6"/>
  <c r="AB12" i="6"/>
  <c r="S13" i="6"/>
  <c r="U13" i="6" s="1"/>
  <c r="W13" i="6"/>
  <c r="Y13" i="6"/>
  <c r="Z13" i="6" s="1"/>
  <c r="AB13" i="6"/>
  <c r="Z14" i="6"/>
  <c r="AB14" i="6"/>
  <c r="S15" i="6"/>
  <c r="U15" i="6" s="1"/>
  <c r="W15" i="6"/>
  <c r="Y15" i="6"/>
  <c r="Z15" i="6" s="1"/>
  <c r="AB15" i="6"/>
  <c r="AB16" i="6"/>
  <c r="Z17" i="6"/>
  <c r="AB17" i="6"/>
  <c r="Z18" i="6"/>
  <c r="AB18" i="6"/>
  <c r="S19" i="6"/>
  <c r="U19" i="6" s="1"/>
  <c r="W19" i="6"/>
  <c r="Y19" i="6"/>
  <c r="AB19" i="6"/>
  <c r="Z21" i="6"/>
  <c r="AB21" i="6"/>
  <c r="S22" i="6"/>
  <c r="U22" i="6" s="1"/>
  <c r="W22" i="6"/>
  <c r="Y22" i="6"/>
  <c r="Z22" i="6" s="1"/>
  <c r="AB22" i="6"/>
  <c r="S23" i="6"/>
  <c r="U23" i="6" s="1"/>
  <c r="W23" i="6"/>
  <c r="Z23" i="6"/>
  <c r="AB23" i="6"/>
  <c r="S24" i="6"/>
  <c r="U24" i="6" s="1"/>
  <c r="W24" i="6"/>
  <c r="Y24" i="6"/>
  <c r="Z24" i="6" s="1"/>
  <c r="AB24" i="6"/>
  <c r="S25" i="6"/>
  <c r="U25" i="6" s="1"/>
  <c r="W25" i="6"/>
  <c r="Y25" i="6"/>
  <c r="AB25" i="6"/>
  <c r="Z26" i="6"/>
  <c r="AB26" i="6"/>
  <c r="S27" i="6"/>
  <c r="U27" i="6" s="1"/>
  <c r="W27" i="6"/>
  <c r="Y27" i="6"/>
  <c r="Z27" i="6" s="1"/>
  <c r="AB27" i="6"/>
  <c r="Z28" i="6"/>
  <c r="AB28" i="6"/>
  <c r="S29" i="6"/>
  <c r="U29" i="6" s="1"/>
  <c r="W29" i="6"/>
  <c r="Y29" i="6"/>
  <c r="Z29" i="6" s="1"/>
  <c r="AB29" i="6"/>
  <c r="Z30" i="6"/>
  <c r="AB30" i="6"/>
  <c r="Z31" i="6"/>
  <c r="AB31" i="6"/>
  <c r="Z32" i="6"/>
  <c r="AB32" i="6"/>
  <c r="S33" i="6"/>
  <c r="U33" i="6" s="1"/>
  <c r="W33" i="6"/>
  <c r="Y33" i="6"/>
  <c r="AB33" i="6"/>
  <c r="S34" i="6"/>
  <c r="U34" i="6" s="1"/>
  <c r="W34" i="6"/>
  <c r="Y34" i="6"/>
  <c r="Z34" i="6" s="1"/>
  <c r="AB34" i="6"/>
  <c r="S35" i="6"/>
  <c r="U35" i="6" s="1"/>
  <c r="W35" i="6"/>
  <c r="Y35" i="6"/>
  <c r="Z35" i="6" s="1"/>
  <c r="AB35" i="6"/>
  <c r="S36" i="6"/>
  <c r="U36" i="6" s="1"/>
  <c r="W36" i="6"/>
  <c r="Y36" i="6"/>
  <c r="Z36" i="6" s="1"/>
  <c r="AB36" i="6"/>
  <c r="S37" i="6"/>
  <c r="U37" i="6" s="1"/>
  <c r="W37" i="6"/>
  <c r="Y37" i="6"/>
  <c r="Z37" i="6" s="1"/>
  <c r="AB37" i="6"/>
  <c r="S38" i="6"/>
  <c r="U38" i="6" s="1"/>
  <c r="W38" i="6"/>
  <c r="Z38" i="6"/>
  <c r="AB38" i="6"/>
  <c r="S39" i="6"/>
  <c r="U39" i="6" s="1"/>
  <c r="W39" i="6"/>
  <c r="Z39" i="6"/>
  <c r="AB39" i="6"/>
  <c r="S40" i="6"/>
  <c r="U40" i="6" s="1"/>
  <c r="W40" i="6"/>
  <c r="Z40" i="6"/>
  <c r="AB40" i="6"/>
  <c r="S41" i="6"/>
  <c r="U41" i="6" s="1"/>
  <c r="W41" i="6"/>
  <c r="Y41" i="6"/>
  <c r="AB41" i="6"/>
  <c r="S42" i="6"/>
  <c r="U42" i="6" s="1"/>
  <c r="W42" i="6"/>
  <c r="Y42" i="6"/>
  <c r="Z42" i="6" s="1"/>
  <c r="AB42" i="6"/>
  <c r="AB43" i="6"/>
  <c r="Z44" i="6"/>
  <c r="AB44" i="6"/>
  <c r="Z46" i="6"/>
  <c r="AB46" i="6"/>
  <c r="S47" i="6"/>
  <c r="U47" i="6" s="1"/>
  <c r="W47" i="6"/>
  <c r="Y47" i="6"/>
  <c r="AB47" i="6"/>
  <c r="S48" i="6"/>
  <c r="U48" i="6" s="1"/>
  <c r="W48" i="6"/>
  <c r="Y48" i="6"/>
  <c r="Z48" i="6" s="1"/>
  <c r="AB48" i="6"/>
  <c r="S49" i="6"/>
  <c r="U49" i="6" s="1"/>
  <c r="W49" i="6"/>
  <c r="Y49" i="6"/>
  <c r="Z49" i="6" s="1"/>
  <c r="AB49" i="6"/>
  <c r="S50" i="6"/>
  <c r="U50" i="6" s="1"/>
  <c r="W50" i="6"/>
  <c r="Y50" i="6"/>
  <c r="Z50" i="6" s="1"/>
  <c r="AB50" i="6"/>
  <c r="S51" i="6"/>
  <c r="U51" i="6" s="1"/>
  <c r="W51" i="6"/>
  <c r="Y51" i="6"/>
  <c r="AB51" i="6"/>
  <c r="S52" i="6"/>
  <c r="U52" i="6" s="1"/>
  <c r="W52" i="6"/>
  <c r="Y52" i="6"/>
  <c r="Z52" i="6" s="1"/>
  <c r="AB52" i="6"/>
  <c r="S53" i="6"/>
  <c r="U53" i="6" s="1"/>
  <c r="W53" i="6"/>
  <c r="Y53" i="6"/>
  <c r="Z53" i="6" s="1"/>
  <c r="AB53" i="6"/>
  <c r="S54" i="6"/>
  <c r="U54" i="6" s="1"/>
  <c r="W54" i="6"/>
  <c r="Y54" i="6"/>
  <c r="Z54" i="6" s="1"/>
  <c r="AB54" i="6"/>
  <c r="Z8" i="6"/>
  <c r="AB8" i="6"/>
  <c r="AB9" i="6"/>
  <c r="Z10" i="6"/>
  <c r="AB10" i="6"/>
  <c r="Z61" i="14" l="1"/>
  <c r="Z66" i="9"/>
  <c r="Z82" i="16"/>
  <c r="Z69" i="11"/>
  <c r="Z75" i="8"/>
  <c r="AC11" i="12"/>
  <c r="AC15" i="12"/>
  <c r="AC15" i="18"/>
  <c r="AC61" i="18"/>
  <c r="Z83" i="18"/>
  <c r="AC73" i="18"/>
  <c r="AC68" i="18"/>
  <c r="AC21" i="8"/>
  <c r="AC29" i="8"/>
  <c r="AC11" i="8"/>
  <c r="Z78" i="8"/>
  <c r="AC21" i="11"/>
  <c r="AC40" i="11"/>
  <c r="AC44" i="11"/>
  <c r="AC26" i="11"/>
  <c r="AC25" i="11"/>
  <c r="AC45" i="11"/>
  <c r="AC32" i="11"/>
  <c r="AC60" i="11"/>
  <c r="AC48" i="11"/>
  <c r="AC27" i="11"/>
  <c r="AC53" i="19"/>
  <c r="AC11" i="19"/>
  <c r="AC60" i="19"/>
  <c r="AC77" i="19"/>
  <c r="AC20" i="19"/>
  <c r="AC15" i="19"/>
  <c r="AC65" i="19"/>
  <c r="AD65" i="19" s="1"/>
  <c r="AE65" i="19" s="1"/>
  <c r="AC69" i="19"/>
  <c r="AC76" i="19"/>
  <c r="AC78" i="19"/>
  <c r="AC24" i="16"/>
  <c r="AD51" i="16"/>
  <c r="AE51" i="16" s="1"/>
  <c r="AC65" i="16"/>
  <c r="AC78" i="16"/>
  <c r="AC74" i="16"/>
  <c r="AC76" i="16"/>
  <c r="AC52" i="16"/>
  <c r="AC69" i="16"/>
  <c r="AC71" i="16"/>
  <c r="AC24" i="13"/>
  <c r="AC20" i="13"/>
  <c r="AC15" i="13"/>
  <c r="AC76" i="13"/>
  <c r="Z83" i="13"/>
  <c r="AC57" i="10"/>
  <c r="AC25" i="10"/>
  <c r="Z66" i="10"/>
  <c r="AC56" i="10"/>
  <c r="AC54" i="9"/>
  <c r="AC61" i="9"/>
  <c r="AC53" i="9"/>
  <c r="AC59" i="9"/>
  <c r="Z68" i="9"/>
  <c r="AC11" i="7"/>
  <c r="AC24" i="17"/>
  <c r="AC15" i="17"/>
  <c r="AC20" i="17"/>
  <c r="AC58" i="17"/>
  <c r="AC67" i="17"/>
  <c r="AC25" i="7"/>
  <c r="AC33" i="7"/>
  <c r="AC46" i="7"/>
  <c r="AC41" i="15"/>
  <c r="AC57" i="15"/>
  <c r="AC37" i="15"/>
  <c r="AC60" i="15"/>
  <c r="AC64" i="15"/>
  <c r="AC58" i="15"/>
  <c r="Z58" i="15"/>
  <c r="Z64" i="14"/>
  <c r="AC57" i="14"/>
  <c r="AC56" i="14"/>
  <c r="AC20" i="14"/>
  <c r="AD55" i="14"/>
  <c r="AE55" i="14" s="1"/>
  <c r="AC51" i="14"/>
  <c r="AD29" i="8"/>
  <c r="AE29" i="8" s="1"/>
  <c r="AD53" i="19"/>
  <c r="AE53" i="19" s="1"/>
  <c r="AC58" i="16"/>
  <c r="Z85" i="16"/>
  <c r="AC51" i="16"/>
  <c r="AC52" i="13"/>
  <c r="AD25" i="10"/>
  <c r="AE25" i="10" s="1"/>
  <c r="AC43" i="9"/>
  <c r="AC37" i="9"/>
  <c r="AD37" i="9" s="1"/>
  <c r="AE37" i="9" s="1"/>
  <c r="AC29" i="9"/>
  <c r="AC53" i="17"/>
  <c r="X17" i="20"/>
  <c r="AD17" i="20" s="1"/>
  <c r="AE17" i="20" s="1"/>
  <c r="X22" i="20"/>
  <c r="AD22" i="20" s="1"/>
  <c r="AE22" i="20" s="1"/>
  <c r="X42" i="20"/>
  <c r="AC36" i="7"/>
  <c r="AC29" i="7"/>
  <c r="AC37" i="7"/>
  <c r="AC45" i="7"/>
  <c r="AC50" i="7"/>
  <c r="AC30" i="7"/>
  <c r="AC32" i="7"/>
  <c r="Z50" i="15"/>
  <c r="Z38" i="15"/>
  <c r="AC39" i="14"/>
  <c r="AD45" i="14"/>
  <c r="AE45" i="14" s="1"/>
  <c r="X32" i="20"/>
  <c r="AD32" i="20" s="1"/>
  <c r="AE32" i="20" s="1"/>
  <c r="AD11" i="19"/>
  <c r="AE11" i="19" s="1"/>
  <c r="AD32" i="18"/>
  <c r="AE32" i="18" s="1"/>
  <c r="AD11" i="11"/>
  <c r="AE11" i="11" s="1"/>
  <c r="AD31" i="12"/>
  <c r="AE31" i="12" s="1"/>
  <c r="AC30" i="19"/>
  <c r="AC11" i="16"/>
  <c r="AC15" i="16"/>
  <c r="AC30" i="13"/>
  <c r="AC30" i="17"/>
  <c r="AC37" i="14"/>
  <c r="AD31" i="7"/>
  <c r="AE31" i="7" s="1"/>
  <c r="AC30" i="12"/>
  <c r="AD30" i="12"/>
  <c r="AE30" i="12" s="1"/>
  <c r="X74" i="20"/>
  <c r="X92" i="20"/>
  <c r="AD12" i="7"/>
  <c r="AE12" i="7" s="1"/>
  <c r="AD21" i="8"/>
  <c r="AE21" i="8" s="1"/>
  <c r="AC24" i="12"/>
  <c r="AD24" i="8"/>
  <c r="AE24" i="8" s="1"/>
  <c r="AD44" i="11"/>
  <c r="AE44" i="11" s="1"/>
  <c r="AD21" i="11"/>
  <c r="AE21" i="11" s="1"/>
  <c r="AD78" i="19"/>
  <c r="AE78" i="19" s="1"/>
  <c r="AC19" i="11"/>
  <c r="AC18" i="11"/>
  <c r="AD18" i="11" s="1"/>
  <c r="AE18" i="11" s="1"/>
  <c r="AC11" i="11"/>
  <c r="AC19" i="14"/>
  <c r="AC15" i="14"/>
  <c r="AC11" i="14"/>
  <c r="AD20" i="15"/>
  <c r="AE20" i="15" s="1"/>
  <c r="AD22" i="15"/>
  <c r="AE22" i="15" s="1"/>
  <c r="AD24" i="15"/>
  <c r="AE24" i="15" s="1"/>
  <c r="AD26" i="15"/>
  <c r="AE26" i="15" s="1"/>
  <c r="AD30" i="15"/>
  <c r="AE30" i="15" s="1"/>
  <c r="AD32" i="15"/>
  <c r="AE32" i="15" s="1"/>
  <c r="X9" i="20"/>
  <c r="AD9" i="20" s="1"/>
  <c r="AE9" i="20" s="1"/>
  <c r="X14" i="20"/>
  <c r="AD14" i="20" s="1"/>
  <c r="AE14" i="20" s="1"/>
  <c r="AD22" i="8"/>
  <c r="AE22" i="8" s="1"/>
  <c r="AD67" i="17"/>
  <c r="AE67" i="17" s="1"/>
  <c r="AD43" i="19"/>
  <c r="AE43" i="19" s="1"/>
  <c r="X21" i="20"/>
  <c r="AD21" i="20" s="1"/>
  <c r="AE21" i="20" s="1"/>
  <c r="AD38" i="15"/>
  <c r="AE38" i="15" s="1"/>
  <c r="AD14" i="19"/>
  <c r="AE14" i="19" s="1"/>
  <c r="AD13" i="9"/>
  <c r="AE13" i="9" s="1"/>
  <c r="AD15" i="9"/>
  <c r="AE15" i="9" s="1"/>
  <c r="AD29" i="9"/>
  <c r="AE29" i="9" s="1"/>
  <c r="AD31" i="9"/>
  <c r="AE31" i="9" s="1"/>
  <c r="AD26" i="13"/>
  <c r="AE26" i="13" s="1"/>
  <c r="AD31" i="13"/>
  <c r="AE31" i="13" s="1"/>
  <c r="AD40" i="10"/>
  <c r="AE40" i="10" s="1"/>
  <c r="AD17" i="12"/>
  <c r="AE17" i="12" s="1"/>
  <c r="AD55" i="17"/>
  <c r="AE55" i="17" s="1"/>
  <c r="X43" i="20"/>
  <c r="AD43" i="20" s="1"/>
  <c r="AE43" i="20" s="1"/>
  <c r="X48" i="20"/>
  <c r="AD26" i="8"/>
  <c r="AE26" i="8" s="1"/>
  <c r="AD20" i="9"/>
  <c r="AE20" i="9" s="1"/>
  <c r="AD19" i="10"/>
  <c r="AE19" i="10" s="1"/>
  <c r="AD21" i="10"/>
  <c r="AE21" i="10" s="1"/>
  <c r="AD28" i="10"/>
  <c r="AE28" i="10" s="1"/>
  <c r="AD48" i="13"/>
  <c r="AE48" i="13" s="1"/>
  <c r="AD36" i="14"/>
  <c r="AE36" i="14" s="1"/>
  <c r="AD41" i="14"/>
  <c r="AE41" i="14" s="1"/>
  <c r="AD21" i="16"/>
  <c r="AE21" i="16" s="1"/>
  <c r="AD26" i="16"/>
  <c r="AE26" i="16" s="1"/>
  <c r="AD36" i="16"/>
  <c r="AE36" i="16" s="1"/>
  <c r="X7" i="20"/>
  <c r="X54" i="20"/>
  <c r="AD54" i="20" s="1"/>
  <c r="AE54" i="20" s="1"/>
  <c r="X56" i="20"/>
  <c r="AD73" i="20"/>
  <c r="AE73" i="20" s="1"/>
  <c r="X90" i="20"/>
  <c r="AD18" i="10"/>
  <c r="AE18" i="10" s="1"/>
  <c r="AD31" i="10"/>
  <c r="AE31" i="10" s="1"/>
  <c r="AD53" i="15"/>
  <c r="AE53" i="15" s="1"/>
  <c r="AD58" i="15"/>
  <c r="AE58" i="15" s="1"/>
  <c r="AD77" i="19"/>
  <c r="AE77" i="19" s="1"/>
  <c r="X58" i="20"/>
  <c r="X76" i="20"/>
  <c r="AD13" i="11"/>
  <c r="AE13" i="11" s="1"/>
  <c r="AD25" i="13"/>
  <c r="AE25" i="13" s="1"/>
  <c r="AD21" i="14"/>
  <c r="AE21" i="14" s="1"/>
  <c r="AD40" i="14"/>
  <c r="AE40" i="14" s="1"/>
  <c r="X16" i="20"/>
  <c r="AD16" i="20" s="1"/>
  <c r="AE16" i="20" s="1"/>
  <c r="X26" i="20"/>
  <c r="AD26" i="20" s="1"/>
  <c r="AE26" i="20" s="1"/>
  <c r="X60" i="20"/>
  <c r="AD11" i="8"/>
  <c r="AE11" i="8" s="1"/>
  <c r="AD30" i="10"/>
  <c r="AE30" i="10" s="1"/>
  <c r="AD11" i="12"/>
  <c r="AE11" i="12" s="1"/>
  <c r="AD45" i="13"/>
  <c r="AE45" i="13" s="1"/>
  <c r="AD16" i="17"/>
  <c r="AE16" i="17" s="1"/>
  <c r="AD11" i="18"/>
  <c r="AE11" i="18" s="1"/>
  <c r="AD15" i="18"/>
  <c r="AE15" i="18" s="1"/>
  <c r="AD19" i="18"/>
  <c r="AE19" i="18" s="1"/>
  <c r="AD21" i="18"/>
  <c r="AE21" i="18" s="1"/>
  <c r="AD23" i="18"/>
  <c r="AE23" i="18" s="1"/>
  <c r="AD25" i="18"/>
  <c r="AE25" i="18" s="1"/>
  <c r="AD33" i="18"/>
  <c r="AE33" i="18" s="1"/>
  <c r="AD72" i="18"/>
  <c r="AE72" i="18" s="1"/>
  <c r="AD61" i="19"/>
  <c r="AE61" i="19" s="1"/>
  <c r="X13" i="20"/>
  <c r="AD13" i="20" s="1"/>
  <c r="AE13" i="20" s="1"/>
  <c r="AD46" i="7"/>
  <c r="AE46" i="7" s="1"/>
  <c r="AD19" i="8"/>
  <c r="AE19" i="8" s="1"/>
  <c r="AD21" i="9"/>
  <c r="AE21" i="9" s="1"/>
  <c r="AD23" i="9"/>
  <c r="AE23" i="9" s="1"/>
  <c r="AD59" i="9"/>
  <c r="AE59" i="9" s="1"/>
  <c r="AD28" i="7"/>
  <c r="AE28" i="7" s="1"/>
  <c r="AD11" i="7"/>
  <c r="AE11" i="7" s="1"/>
  <c r="AD31" i="8"/>
  <c r="AE31" i="8" s="1"/>
  <c r="AD16" i="9"/>
  <c r="AE16" i="9" s="1"/>
  <c r="AD32" i="9"/>
  <c r="AE32" i="9" s="1"/>
  <c r="AD34" i="9"/>
  <c r="AE34" i="9" s="1"/>
  <c r="AD12" i="10"/>
  <c r="AE12" i="10" s="1"/>
  <c r="AD57" i="10"/>
  <c r="AE57" i="10" s="1"/>
  <c r="AD60" i="11"/>
  <c r="AE60" i="11" s="1"/>
  <c r="AD14" i="13"/>
  <c r="AE14" i="13" s="1"/>
  <c r="AD24" i="13"/>
  <c r="AE24" i="13" s="1"/>
  <c r="AD29" i="13"/>
  <c r="AE29" i="13" s="1"/>
  <c r="AD54" i="14"/>
  <c r="AE54" i="14" s="1"/>
  <c r="AD37" i="15"/>
  <c r="AE37" i="15" s="1"/>
  <c r="AD29" i="16"/>
  <c r="AE29" i="16" s="1"/>
  <c r="AD44" i="19"/>
  <c r="AE44" i="19" s="1"/>
  <c r="X20" i="20"/>
  <c r="AD20" i="20" s="1"/>
  <c r="AE20" i="20" s="1"/>
  <c r="X34" i="20"/>
  <c r="AD34" i="20" s="1"/>
  <c r="AE34" i="20" s="1"/>
  <c r="X36" i="20"/>
  <c r="AD11" i="10"/>
  <c r="AE11" i="10" s="1"/>
  <c r="AD13" i="10"/>
  <c r="AE13" i="10" s="1"/>
  <c r="AD16" i="10"/>
  <c r="AE16" i="10" s="1"/>
  <c r="AD16" i="7"/>
  <c r="AE16" i="7" s="1"/>
  <c r="AD19" i="7"/>
  <c r="AE19" i="7" s="1"/>
  <c r="AD9" i="8"/>
  <c r="AE9" i="8" s="1"/>
  <c r="AD12" i="8"/>
  <c r="AE12" i="8" s="1"/>
  <c r="AD30" i="8"/>
  <c r="AE30" i="8" s="1"/>
  <c r="AD11" i="9"/>
  <c r="AE11" i="9" s="1"/>
  <c r="AD25" i="9"/>
  <c r="AE25" i="9" s="1"/>
  <c r="AD27" i="9"/>
  <c r="AE27" i="9" s="1"/>
  <c r="AD15" i="10"/>
  <c r="AE15" i="10" s="1"/>
  <c r="AD17" i="10"/>
  <c r="AE17" i="10" s="1"/>
  <c r="AD20" i="10"/>
  <c r="AE20" i="10" s="1"/>
  <c r="AD13" i="8"/>
  <c r="AE13" i="8" s="1"/>
  <c r="AD13" i="7"/>
  <c r="AE13" i="7" s="1"/>
  <c r="AD18" i="7"/>
  <c r="AE18" i="7" s="1"/>
  <c r="AD24" i="7"/>
  <c r="AE24" i="7" s="1"/>
  <c r="AD27" i="7"/>
  <c r="AE27" i="7" s="1"/>
  <c r="AD15" i="8"/>
  <c r="AE15" i="8" s="1"/>
  <c r="AD17" i="8"/>
  <c r="AE17" i="8" s="1"/>
  <c r="AD14" i="10"/>
  <c r="AE14" i="10" s="1"/>
  <c r="AD23" i="10"/>
  <c r="AE23" i="10" s="1"/>
  <c r="AD24" i="9"/>
  <c r="AE24" i="9" s="1"/>
  <c r="AD61" i="9"/>
  <c r="AE61" i="9" s="1"/>
  <c r="AD26" i="7"/>
  <c r="AE26" i="7" s="1"/>
  <c r="AD29" i="7"/>
  <c r="AE29" i="7" s="1"/>
  <c r="AD32" i="7"/>
  <c r="AE32" i="7" s="1"/>
  <c r="AD14" i="8"/>
  <c r="AE14" i="8" s="1"/>
  <c r="AD23" i="8"/>
  <c r="AE23" i="8" s="1"/>
  <c r="AD25" i="8"/>
  <c r="AE25" i="8" s="1"/>
  <c r="AD28" i="8"/>
  <c r="AE28" i="8" s="1"/>
  <c r="AD17" i="9"/>
  <c r="AE17" i="9" s="1"/>
  <c r="AD19" i="9"/>
  <c r="AE19" i="9" s="1"/>
  <c r="AD45" i="9"/>
  <c r="AE45" i="9" s="1"/>
  <c r="AD48" i="9"/>
  <c r="AE48" i="9" s="1"/>
  <c r="AD50" i="9"/>
  <c r="AE50" i="9" s="1"/>
  <c r="AD22" i="10"/>
  <c r="AE22" i="10" s="1"/>
  <c r="AD14" i="7"/>
  <c r="AE14" i="7" s="1"/>
  <c r="AD17" i="7"/>
  <c r="AE17" i="7" s="1"/>
  <c r="AD20" i="7"/>
  <c r="AE20" i="7" s="1"/>
  <c r="AD23" i="7"/>
  <c r="AE23" i="7" s="1"/>
  <c r="AD27" i="8"/>
  <c r="AE27" i="8" s="1"/>
  <c r="AD12" i="9"/>
  <c r="AE12" i="9" s="1"/>
  <c r="AD28" i="9"/>
  <c r="AE28" i="9" s="1"/>
  <c r="AD40" i="9"/>
  <c r="AE40" i="9" s="1"/>
  <c r="AD8" i="10"/>
  <c r="AE8" i="10" s="1"/>
  <c r="AD8" i="11"/>
  <c r="AE8" i="11" s="1"/>
  <c r="AD44" i="10"/>
  <c r="AE44" i="10" s="1"/>
  <c r="AD12" i="11"/>
  <c r="AE12" i="11" s="1"/>
  <c r="AD17" i="11"/>
  <c r="AE17" i="11" s="1"/>
  <c r="AD22" i="11"/>
  <c r="AE22" i="11" s="1"/>
  <c r="AD64" i="13"/>
  <c r="AE64" i="13" s="1"/>
  <c r="AD15" i="14"/>
  <c r="AE15" i="14" s="1"/>
  <c r="AD17" i="14"/>
  <c r="AE17" i="14" s="1"/>
  <c r="AD24" i="14"/>
  <c r="AE24" i="14" s="1"/>
  <c r="AD31" i="14"/>
  <c r="AE31" i="14" s="1"/>
  <c r="AD19" i="11"/>
  <c r="AE19" i="11" s="1"/>
  <c r="AD24" i="11"/>
  <c r="AE24" i="11" s="1"/>
  <c r="AD29" i="11"/>
  <c r="AE29" i="11" s="1"/>
  <c r="AD23" i="12"/>
  <c r="AE23" i="12" s="1"/>
  <c r="AD25" i="12"/>
  <c r="AE25" i="12" s="1"/>
  <c r="AD11" i="13"/>
  <c r="AE11" i="13" s="1"/>
  <c r="AD16" i="13"/>
  <c r="AE16" i="13" s="1"/>
  <c r="AD21" i="13"/>
  <c r="AE21" i="13" s="1"/>
  <c r="AD44" i="13"/>
  <c r="AE44" i="13" s="1"/>
  <c r="AD22" i="14"/>
  <c r="AE22" i="14" s="1"/>
  <c r="AD46" i="14"/>
  <c r="AE46" i="14" s="1"/>
  <c r="AD48" i="14"/>
  <c r="AE48" i="14" s="1"/>
  <c r="AD51" i="14"/>
  <c r="AE51" i="14" s="1"/>
  <c r="AD56" i="14"/>
  <c r="AE56" i="14" s="1"/>
  <c r="AD14" i="15"/>
  <c r="AE14" i="15" s="1"/>
  <c r="AD16" i="15"/>
  <c r="AE16" i="15" s="1"/>
  <c r="AD18" i="15"/>
  <c r="AE18" i="15" s="1"/>
  <c r="AD24" i="10"/>
  <c r="AE24" i="10" s="1"/>
  <c r="AD31" i="11"/>
  <c r="AE31" i="11" s="1"/>
  <c r="AD40" i="11"/>
  <c r="AE40" i="11" s="1"/>
  <c r="AD26" i="12"/>
  <c r="AE26" i="12" s="1"/>
  <c r="AD13" i="12"/>
  <c r="AE13" i="12" s="1"/>
  <c r="AD14" i="12"/>
  <c r="AE14" i="12" s="1"/>
  <c r="AD14" i="14"/>
  <c r="AE14" i="14" s="1"/>
  <c r="AD30" i="14"/>
  <c r="AE30" i="14" s="1"/>
  <c r="AD33" i="14"/>
  <c r="AE33" i="14" s="1"/>
  <c r="AD37" i="14"/>
  <c r="AE37" i="14" s="1"/>
  <c r="AD27" i="10"/>
  <c r="AE27" i="10" s="1"/>
  <c r="AD29" i="10"/>
  <c r="AE29" i="10" s="1"/>
  <c r="AD32" i="10"/>
  <c r="AE32" i="10" s="1"/>
  <c r="AD41" i="10"/>
  <c r="AE41" i="10" s="1"/>
  <c r="AD23" i="11"/>
  <c r="AE23" i="11" s="1"/>
  <c r="AD28" i="11"/>
  <c r="AE28" i="11" s="1"/>
  <c r="AD18" i="12"/>
  <c r="AE18" i="12" s="1"/>
  <c r="AD20" i="12"/>
  <c r="AE20" i="12" s="1"/>
  <c r="AD27" i="12"/>
  <c r="AE27" i="12" s="1"/>
  <c r="AD29" i="12"/>
  <c r="AE29" i="12" s="1"/>
  <c r="AD15" i="13"/>
  <c r="AE15" i="13" s="1"/>
  <c r="AD20" i="13"/>
  <c r="AE20" i="13" s="1"/>
  <c r="AD76" i="13"/>
  <c r="AE76" i="13" s="1"/>
  <c r="AD9" i="14"/>
  <c r="AE9" i="14" s="1"/>
  <c r="AD23" i="14"/>
  <c r="AE23" i="14" s="1"/>
  <c r="AD32" i="14"/>
  <c r="AE32" i="14" s="1"/>
  <c r="AD42" i="14"/>
  <c r="AE42" i="14" s="1"/>
  <c r="AD68" i="16"/>
  <c r="AE68" i="16" s="1"/>
  <c r="AD10" i="12"/>
  <c r="AE10" i="12" s="1"/>
  <c r="AD15" i="12"/>
  <c r="AE15" i="12" s="1"/>
  <c r="AD22" i="13"/>
  <c r="AE22" i="13" s="1"/>
  <c r="AD27" i="13"/>
  <c r="AE27" i="13" s="1"/>
  <c r="AD32" i="13"/>
  <c r="AE32" i="13" s="1"/>
  <c r="AD52" i="13"/>
  <c r="AE52" i="13" s="1"/>
  <c r="AD18" i="14"/>
  <c r="AE18" i="14" s="1"/>
  <c r="AD39" i="14"/>
  <c r="AE39" i="14" s="1"/>
  <c r="AD52" i="14"/>
  <c r="AE52" i="14" s="1"/>
  <c r="AD26" i="10"/>
  <c r="AE26" i="10" s="1"/>
  <c r="AD15" i="11"/>
  <c r="AE15" i="11" s="1"/>
  <c r="AD20" i="11"/>
  <c r="AE20" i="11" s="1"/>
  <c r="AD25" i="11"/>
  <c r="AE25" i="11" s="1"/>
  <c r="AD30" i="11"/>
  <c r="AE30" i="11" s="1"/>
  <c r="AD41" i="11"/>
  <c r="AE41" i="11" s="1"/>
  <c r="AD16" i="12"/>
  <c r="AE16" i="12" s="1"/>
  <c r="AD19" i="12"/>
  <c r="AE19" i="12" s="1"/>
  <c r="AD21" i="12"/>
  <c r="AE21" i="12" s="1"/>
  <c r="AD17" i="13"/>
  <c r="AE17" i="13" s="1"/>
  <c r="AD13" i="14"/>
  <c r="AE13" i="14" s="1"/>
  <c r="AD57" i="14"/>
  <c r="AE57" i="14" s="1"/>
  <c r="AD17" i="15"/>
  <c r="AE17" i="15" s="1"/>
  <c r="AD21" i="15"/>
  <c r="AE21" i="15" s="1"/>
  <c r="AD25" i="15"/>
  <c r="AE25" i="15" s="1"/>
  <c r="AD29" i="15"/>
  <c r="AE29" i="15" s="1"/>
  <c r="AD41" i="15"/>
  <c r="AE41" i="15" s="1"/>
  <c r="AD27" i="16"/>
  <c r="AE27" i="16" s="1"/>
  <c r="AD32" i="16"/>
  <c r="AE32" i="16" s="1"/>
  <c r="AD9" i="17"/>
  <c r="AE9" i="17" s="1"/>
  <c r="AD11" i="17"/>
  <c r="AE11" i="17" s="1"/>
  <c r="AD58" i="17"/>
  <c r="AE58" i="17" s="1"/>
  <c r="AD61" i="18"/>
  <c r="AE61" i="18" s="1"/>
  <c r="AD18" i="19"/>
  <c r="AE18" i="19" s="1"/>
  <c r="AD25" i="19"/>
  <c r="AE25" i="19" s="1"/>
  <c r="AD28" i="19"/>
  <c r="AE28" i="19" s="1"/>
  <c r="X25" i="20"/>
  <c r="AD25" i="20" s="1"/>
  <c r="AE25" i="20" s="1"/>
  <c r="X39" i="20"/>
  <c r="X46" i="20"/>
  <c r="X65" i="20"/>
  <c r="X81" i="20"/>
  <c r="AD89" i="20"/>
  <c r="AE89" i="20" s="1"/>
  <c r="X99" i="20"/>
  <c r="AD99" i="20" s="1"/>
  <c r="AE99" i="20" s="1"/>
  <c r="AD9" i="15"/>
  <c r="AE9" i="15" s="1"/>
  <c r="AD13" i="15"/>
  <c r="AE13" i="15" s="1"/>
  <c r="AD48" i="15"/>
  <c r="AE48" i="15" s="1"/>
  <c r="AD50" i="15"/>
  <c r="AE50" i="15" s="1"/>
  <c r="AD10" i="16"/>
  <c r="AE10" i="16" s="1"/>
  <c r="AD19" i="16"/>
  <c r="AE19" i="16" s="1"/>
  <c r="AD24" i="16"/>
  <c r="AE24" i="16" s="1"/>
  <c r="AD74" i="16"/>
  <c r="AE74" i="16" s="1"/>
  <c r="AD14" i="17"/>
  <c r="AE14" i="17" s="1"/>
  <c r="AD28" i="17"/>
  <c r="AE28" i="17" s="1"/>
  <c r="AD30" i="18"/>
  <c r="AE30" i="18" s="1"/>
  <c r="AD26" i="19"/>
  <c r="AE26" i="19" s="1"/>
  <c r="AD60" i="15"/>
  <c r="AE60" i="15" s="1"/>
  <c r="AD9" i="16"/>
  <c r="AE9" i="16" s="1"/>
  <c r="AD31" i="16"/>
  <c r="AE31" i="16" s="1"/>
  <c r="AD41" i="16"/>
  <c r="AE41" i="16" s="1"/>
  <c r="AD69" i="16"/>
  <c r="AE69" i="16" s="1"/>
  <c r="AD10" i="17"/>
  <c r="AE10" i="17" s="1"/>
  <c r="AD24" i="17"/>
  <c r="AE24" i="17" s="1"/>
  <c r="AD29" i="17"/>
  <c r="AE29" i="17" s="1"/>
  <c r="AD62" i="17"/>
  <c r="AE62" i="17" s="1"/>
  <c r="AD41" i="18"/>
  <c r="AE41" i="18" s="1"/>
  <c r="AD21" i="19"/>
  <c r="AE21" i="19" s="1"/>
  <c r="AD24" i="19"/>
  <c r="AE24" i="19" s="1"/>
  <c r="AD27" i="19"/>
  <c r="AE27" i="19" s="1"/>
  <c r="AD32" i="19"/>
  <c r="AE32" i="19" s="1"/>
  <c r="AD48" i="19"/>
  <c r="AE48" i="19" s="1"/>
  <c r="X62" i="20"/>
  <c r="X78" i="20"/>
  <c r="X94" i="20"/>
  <c r="AD94" i="20" s="1"/>
  <c r="AE94" i="20" s="1"/>
  <c r="AD11" i="16"/>
  <c r="AE11" i="16" s="1"/>
  <c r="AD45" i="16"/>
  <c r="AE45" i="16" s="1"/>
  <c r="AD62" i="16"/>
  <c r="AE62" i="16" s="1"/>
  <c r="AD78" i="16"/>
  <c r="AE78" i="16" s="1"/>
  <c r="AD22" i="17"/>
  <c r="AE22" i="17" s="1"/>
  <c r="AD25" i="17"/>
  <c r="AE25" i="17" s="1"/>
  <c r="AD27" i="17"/>
  <c r="AE27" i="17" s="1"/>
  <c r="AD31" i="17"/>
  <c r="AE31" i="17" s="1"/>
  <c r="AD37" i="17"/>
  <c r="AE37" i="17" s="1"/>
  <c r="AD42" i="17"/>
  <c r="AE42" i="17" s="1"/>
  <c r="AD37" i="19"/>
  <c r="AE37" i="19" s="1"/>
  <c r="AD60" i="19"/>
  <c r="AE60" i="19" s="1"/>
  <c r="AD70" i="19"/>
  <c r="AE70" i="19" s="1"/>
  <c r="AD76" i="19"/>
  <c r="AE76" i="19" s="1"/>
  <c r="X19" i="20"/>
  <c r="X38" i="20"/>
  <c r="AD38" i="20" s="1"/>
  <c r="AE38" i="20" s="1"/>
  <c r="X40" i="20"/>
  <c r="X45" i="20"/>
  <c r="X64" i="20"/>
  <c r="AD64" i="20" s="1"/>
  <c r="AE64" i="20" s="1"/>
  <c r="X80" i="20"/>
  <c r="AD80" i="20" s="1"/>
  <c r="AE80" i="20" s="1"/>
  <c r="X96" i="20"/>
  <c r="AD96" i="20" s="1"/>
  <c r="AE96" i="20" s="1"/>
  <c r="AD14" i="16"/>
  <c r="AE14" i="16" s="1"/>
  <c r="AD23" i="16"/>
  <c r="AE23" i="16" s="1"/>
  <c r="AD28" i="16"/>
  <c r="AE28" i="16" s="1"/>
  <c r="AD38" i="16"/>
  <c r="AE38" i="16" s="1"/>
  <c r="AD46" i="16"/>
  <c r="AE46" i="16" s="1"/>
  <c r="AD63" i="16"/>
  <c r="AE63" i="16" s="1"/>
  <c r="AD76" i="16"/>
  <c r="AE76" i="16" s="1"/>
  <c r="AD21" i="17"/>
  <c r="AE21" i="17" s="1"/>
  <c r="AD8" i="18"/>
  <c r="AE8" i="18" s="1"/>
  <c r="AD10" i="18"/>
  <c r="AE10" i="18" s="1"/>
  <c r="AD12" i="18"/>
  <c r="AE12" i="18" s="1"/>
  <c r="AD16" i="18"/>
  <c r="AE16" i="18" s="1"/>
  <c r="AD20" i="18"/>
  <c r="AE20" i="18" s="1"/>
  <c r="AD22" i="18"/>
  <c r="AE22" i="18" s="1"/>
  <c r="AD24" i="18"/>
  <c r="AE24" i="18" s="1"/>
  <c r="AD29" i="18"/>
  <c r="AE29" i="18" s="1"/>
  <c r="AD22" i="19"/>
  <c r="AE22" i="19" s="1"/>
  <c r="X30" i="20"/>
  <c r="AD30" i="20" s="1"/>
  <c r="AE30" i="20" s="1"/>
  <c r="AD41" i="20"/>
  <c r="AE41" i="20" s="1"/>
  <c r="X47" i="20"/>
  <c r="AD47" i="20" s="1"/>
  <c r="AE47" i="20" s="1"/>
  <c r="X59" i="20"/>
  <c r="AD59" i="20" s="1"/>
  <c r="AE59" i="20" s="1"/>
  <c r="X66" i="20"/>
  <c r="AD66" i="20" s="1"/>
  <c r="AE66" i="20" s="1"/>
  <c r="X68" i="20"/>
  <c r="AD68" i="20" s="1"/>
  <c r="AE68" i="20" s="1"/>
  <c r="X75" i="20"/>
  <c r="AD75" i="20" s="1"/>
  <c r="AE75" i="20" s="1"/>
  <c r="X82" i="20"/>
  <c r="AD82" i="20" s="1"/>
  <c r="AE82" i="20" s="1"/>
  <c r="X91" i="20"/>
  <c r="AD91" i="20" s="1"/>
  <c r="AE91" i="20" s="1"/>
  <c r="X98" i="20"/>
  <c r="AD64" i="15"/>
  <c r="AE64" i="15" s="1"/>
  <c r="AD8" i="16"/>
  <c r="AE8" i="16" s="1"/>
  <c r="AD13" i="16"/>
  <c r="AE13" i="16" s="1"/>
  <c r="AD18" i="16"/>
  <c r="AE18" i="16" s="1"/>
  <c r="AD35" i="16"/>
  <c r="AE35" i="16" s="1"/>
  <c r="AD43" i="16"/>
  <c r="AE43" i="16" s="1"/>
  <c r="AD48" i="16"/>
  <c r="AE48" i="16" s="1"/>
  <c r="AD60" i="16"/>
  <c r="AE60" i="16" s="1"/>
  <c r="AD65" i="16"/>
  <c r="AE65" i="16" s="1"/>
  <c r="AD12" i="17"/>
  <c r="AE12" i="17" s="1"/>
  <c r="AD17" i="17"/>
  <c r="AE17" i="17" s="1"/>
  <c r="AD19" i="17"/>
  <c r="AE19" i="17" s="1"/>
  <c r="AD30" i="17"/>
  <c r="AE30" i="17" s="1"/>
  <c r="AD32" i="17"/>
  <c r="AE32" i="17" s="1"/>
  <c r="AD39" i="17"/>
  <c r="AE39" i="17" s="1"/>
  <c r="AD51" i="17"/>
  <c r="AE51" i="17" s="1"/>
  <c r="AD26" i="18"/>
  <c r="AE26" i="18" s="1"/>
  <c r="AD31" i="18"/>
  <c r="AE31" i="18" s="1"/>
  <c r="AD17" i="19"/>
  <c r="AE17" i="19" s="1"/>
  <c r="AD20" i="19"/>
  <c r="AE20" i="19" s="1"/>
  <c r="AD23" i="19"/>
  <c r="AE23" i="19" s="1"/>
  <c r="AD31" i="19"/>
  <c r="AE31" i="19" s="1"/>
  <c r="AD40" i="19"/>
  <c r="AE40" i="19" s="1"/>
  <c r="AD56" i="19"/>
  <c r="AE56" i="19" s="1"/>
  <c r="AD73" i="19"/>
  <c r="AE73" i="19" s="1"/>
  <c r="AD44" i="15"/>
  <c r="AE44" i="15" s="1"/>
  <c r="AD15" i="16"/>
  <c r="AE15" i="16" s="1"/>
  <c r="AD20" i="16"/>
  <c r="AE20" i="16" s="1"/>
  <c r="AD25" i="16"/>
  <c r="AE25" i="16" s="1"/>
  <c r="AD30" i="16"/>
  <c r="AE30" i="16" s="1"/>
  <c r="AD8" i="17"/>
  <c r="AE8" i="17" s="1"/>
  <c r="AD13" i="17"/>
  <c r="AE13" i="17" s="1"/>
  <c r="AD15" i="17"/>
  <c r="AE15" i="17" s="1"/>
  <c r="AD26" i="17"/>
  <c r="AE26" i="17" s="1"/>
  <c r="AD46" i="17"/>
  <c r="AE46" i="17" s="1"/>
  <c r="AD56" i="17"/>
  <c r="AE56" i="17" s="1"/>
  <c r="AD14" i="18"/>
  <c r="AE14" i="18" s="1"/>
  <c r="AD18" i="18"/>
  <c r="AE18" i="18" s="1"/>
  <c r="AD28" i="18"/>
  <c r="AE28" i="18" s="1"/>
  <c r="AD40" i="18"/>
  <c r="AE40" i="18" s="1"/>
  <c r="AD8" i="19"/>
  <c r="AE8" i="19" s="1"/>
  <c r="AD33" i="19"/>
  <c r="AE33" i="19" s="1"/>
  <c r="AD45" i="19"/>
  <c r="AE45" i="19" s="1"/>
  <c r="AD49" i="19"/>
  <c r="AE49" i="19" s="1"/>
  <c r="AD62" i="19"/>
  <c r="AE62" i="19" s="1"/>
  <c r="AD66" i="19"/>
  <c r="AE66" i="19" s="1"/>
  <c r="X10" i="20"/>
  <c r="AD10" i="20" s="1"/>
  <c r="AE10" i="20" s="1"/>
  <c r="X18" i="20"/>
  <c r="AD18" i="20" s="1"/>
  <c r="AE18" i="20" s="1"/>
  <c r="X23" i="20"/>
  <c r="X29" i="20"/>
  <c r="AD29" i="20" s="1"/>
  <c r="AE29" i="20" s="1"/>
  <c r="X44" i="20"/>
  <c r="X49" i="20"/>
  <c r="AD57" i="20"/>
  <c r="AE57" i="20" s="1"/>
  <c r="X61" i="20"/>
  <c r="AD61" i="20" s="1"/>
  <c r="AE61" i="20" s="1"/>
  <c r="X63" i="20"/>
  <c r="AD63" i="20" s="1"/>
  <c r="AE63" i="20" s="1"/>
  <c r="X70" i="20"/>
  <c r="X72" i="20"/>
  <c r="X77" i="20"/>
  <c r="AD77" i="20" s="1"/>
  <c r="AE77" i="20" s="1"/>
  <c r="X79" i="20"/>
  <c r="AD79" i="20" s="1"/>
  <c r="AE79" i="20" s="1"/>
  <c r="X86" i="20"/>
  <c r="X88" i="20"/>
  <c r="X93" i="20"/>
  <c r="AD93" i="20" s="1"/>
  <c r="AE93" i="20" s="1"/>
  <c r="X95" i="20"/>
  <c r="AD95" i="20" s="1"/>
  <c r="AE95" i="20" s="1"/>
  <c r="AC15" i="20"/>
  <c r="AD15" i="20" s="1"/>
  <c r="AE15" i="20" s="1"/>
  <c r="Z15" i="20"/>
  <c r="AC52" i="20"/>
  <c r="Z52" i="20"/>
  <c r="Z39" i="20"/>
  <c r="AC39" i="20"/>
  <c r="Z54" i="20"/>
  <c r="Z71" i="20"/>
  <c r="AC71" i="20"/>
  <c r="AD71" i="20" s="1"/>
  <c r="AE71" i="20" s="1"/>
  <c r="AC86" i="20"/>
  <c r="Z86" i="20"/>
  <c r="Z7" i="20"/>
  <c r="AC7" i="20"/>
  <c r="AC23" i="20"/>
  <c r="Z23" i="20"/>
  <c r="AC27" i="20"/>
  <c r="AD27" i="20" s="1"/>
  <c r="AE27" i="20" s="1"/>
  <c r="Z27" i="20"/>
  <c r="X33" i="20"/>
  <c r="AC36" i="20"/>
  <c r="Z36" i="20"/>
  <c r="X12" i="20"/>
  <c r="AD12" i="20" s="1"/>
  <c r="AE12" i="20" s="1"/>
  <c r="AC31" i="20"/>
  <c r="AD31" i="20" s="1"/>
  <c r="AE31" i="20" s="1"/>
  <c r="Z31" i="20"/>
  <c r="X50" i="20"/>
  <c r="AD50" i="20" s="1"/>
  <c r="AE50" i="20" s="1"/>
  <c r="Z37" i="20"/>
  <c r="AC37" i="20"/>
  <c r="AD37" i="20" s="1"/>
  <c r="AE37" i="20" s="1"/>
  <c r="AC98" i="20"/>
  <c r="Z98" i="20"/>
  <c r="AC19" i="20"/>
  <c r="Z19" i="20"/>
  <c r="X52" i="20"/>
  <c r="X84" i="20"/>
  <c r="AD84" i="20" s="1"/>
  <c r="AE84" i="20" s="1"/>
  <c r="Z87" i="20"/>
  <c r="AC87" i="20"/>
  <c r="AD87" i="20" s="1"/>
  <c r="AE87" i="20" s="1"/>
  <c r="AC11" i="20"/>
  <c r="AD11" i="20" s="1"/>
  <c r="AE11" i="20" s="1"/>
  <c r="Z11" i="20"/>
  <c r="X8" i="20"/>
  <c r="AD8" i="20" s="1"/>
  <c r="AE8" i="20" s="1"/>
  <c r="X24" i="20"/>
  <c r="AD24" i="20" s="1"/>
  <c r="AE24" i="20" s="1"/>
  <c r="X28" i="20"/>
  <c r="AD28" i="20" s="1"/>
  <c r="AE28" i="20" s="1"/>
  <c r="Z38" i="20"/>
  <c r="Z55" i="20"/>
  <c r="AC55" i="20"/>
  <c r="AD55" i="20" s="1"/>
  <c r="AE55" i="20" s="1"/>
  <c r="AC70" i="20"/>
  <c r="Z70" i="20"/>
  <c r="Z68" i="20"/>
  <c r="Z34" i="20"/>
  <c r="AC48" i="20"/>
  <c r="Z50" i="20"/>
  <c r="AC53" i="20"/>
  <c r="AD53" i="20" s="1"/>
  <c r="AE53" i="20" s="1"/>
  <c r="Z66" i="20"/>
  <c r="AC69" i="20"/>
  <c r="AD69" i="20" s="1"/>
  <c r="AE69" i="20" s="1"/>
  <c r="Z82" i="20"/>
  <c r="AC85" i="20"/>
  <c r="AD85" i="20" s="1"/>
  <c r="AE85" i="20" s="1"/>
  <c r="Z96" i="20"/>
  <c r="Z8" i="20"/>
  <c r="Z12" i="20"/>
  <c r="Z16" i="20"/>
  <c r="Z20" i="20"/>
  <c r="Z24" i="20"/>
  <c r="Z32" i="20"/>
  <c r="AC35" i="20"/>
  <c r="AD35" i="20" s="1"/>
  <c r="AE35" i="20" s="1"/>
  <c r="AC46" i="20"/>
  <c r="AC51" i="20"/>
  <c r="AD51" i="20" s="1"/>
  <c r="AE51" i="20" s="1"/>
  <c r="AC62" i="20"/>
  <c r="Z64" i="20"/>
  <c r="AC67" i="20"/>
  <c r="AD67" i="20" s="1"/>
  <c r="AE67" i="20" s="1"/>
  <c r="AC78" i="20"/>
  <c r="Z80" i="20"/>
  <c r="AC83" i="20"/>
  <c r="AD83" i="20" s="1"/>
  <c r="AE83" i="20" s="1"/>
  <c r="Z94" i="20"/>
  <c r="AC97" i="20"/>
  <c r="AD97" i="20" s="1"/>
  <c r="AE97" i="20" s="1"/>
  <c r="Z84" i="20"/>
  <c r="AC33" i="20"/>
  <c r="AC44" i="20"/>
  <c r="AC49" i="20"/>
  <c r="AC60" i="20"/>
  <c r="Z62" i="20"/>
  <c r="AC65" i="20"/>
  <c r="AC76" i="20"/>
  <c r="Z78" i="20"/>
  <c r="AC81" i="20"/>
  <c r="AC92" i="20"/>
  <c r="AC42" i="20"/>
  <c r="AC58" i="20"/>
  <c r="AC74" i="20"/>
  <c r="AC90" i="20"/>
  <c r="AC40" i="20"/>
  <c r="Z42" i="20"/>
  <c r="AC45" i="20"/>
  <c r="AC56" i="20"/>
  <c r="Z58" i="20"/>
  <c r="AC72" i="20"/>
  <c r="Z74" i="20"/>
  <c r="AC88" i="20"/>
  <c r="Z90" i="20"/>
  <c r="AD16" i="19"/>
  <c r="AE16" i="19" s="1"/>
  <c r="AD19" i="19"/>
  <c r="AE19" i="19" s="1"/>
  <c r="AD7" i="19"/>
  <c r="AD10" i="19"/>
  <c r="AE10" i="19" s="1"/>
  <c r="AD12" i="19"/>
  <c r="AE12" i="19" s="1"/>
  <c r="AC71" i="19"/>
  <c r="Z7" i="19"/>
  <c r="AC39" i="19"/>
  <c r="AC55" i="19"/>
  <c r="AC72" i="19"/>
  <c r="AC34" i="19"/>
  <c r="AC50" i="19"/>
  <c r="AC67" i="19"/>
  <c r="AC79" i="19"/>
  <c r="Z84" i="19"/>
  <c r="Z83" i="19"/>
  <c r="AC35" i="19"/>
  <c r="AC51" i="19"/>
  <c r="AC68" i="19"/>
  <c r="AC38" i="19"/>
  <c r="AC54" i="19"/>
  <c r="AC46" i="19"/>
  <c r="AC63" i="19"/>
  <c r="AC47" i="19"/>
  <c r="AC64" i="19"/>
  <c r="AD36" i="19"/>
  <c r="AE36" i="19" s="1"/>
  <c r="AC41" i="19"/>
  <c r="AC42" i="19"/>
  <c r="AD52" i="19"/>
  <c r="AE52" i="19" s="1"/>
  <c r="AC58" i="19"/>
  <c r="AC59" i="19"/>
  <c r="AC74" i="19"/>
  <c r="AC75" i="19"/>
  <c r="AD27" i="18"/>
  <c r="AE27" i="18" s="1"/>
  <c r="AD7" i="18"/>
  <c r="AC9" i="18"/>
  <c r="AD9" i="18" s="1"/>
  <c r="AE9" i="18" s="1"/>
  <c r="AC13" i="18"/>
  <c r="AD13" i="18" s="1"/>
  <c r="AE13" i="18" s="1"/>
  <c r="AC17" i="18"/>
  <c r="AD17" i="18" s="1"/>
  <c r="AE17" i="18" s="1"/>
  <c r="AC39" i="18"/>
  <c r="AC62" i="18"/>
  <c r="AD62" i="18" s="1"/>
  <c r="AE62" i="18" s="1"/>
  <c r="AC71" i="18"/>
  <c r="AC34" i="18"/>
  <c r="AD34" i="18" s="1"/>
  <c r="AE34" i="18" s="1"/>
  <c r="AC43" i="18"/>
  <c r="AC44" i="18"/>
  <c r="AD69" i="18"/>
  <c r="AE69" i="18" s="1"/>
  <c r="AC75" i="18"/>
  <c r="AC76" i="18"/>
  <c r="AC58" i="18"/>
  <c r="Z7" i="18"/>
  <c r="AC38" i="18"/>
  <c r="AC47" i="18"/>
  <c r="AC48" i="18"/>
  <c r="AC70" i="18"/>
  <c r="AC35" i="18"/>
  <c r="AD35" i="18" s="1"/>
  <c r="AE35" i="18" s="1"/>
  <c r="AD36" i="18"/>
  <c r="AE36" i="18" s="1"/>
  <c r="AC37" i="18"/>
  <c r="AC42" i="18"/>
  <c r="AC51" i="18"/>
  <c r="AC52" i="18"/>
  <c r="AC74" i="18"/>
  <c r="AC46" i="18"/>
  <c r="AC55" i="18"/>
  <c r="AC56" i="18"/>
  <c r="AC45" i="18"/>
  <c r="AC50" i="18"/>
  <c r="AD53" i="18"/>
  <c r="AE53" i="18" s="1"/>
  <c r="AC59" i="18"/>
  <c r="AC60" i="18"/>
  <c r="AC49" i="18"/>
  <c r="AC54" i="18"/>
  <c r="AD57" i="18"/>
  <c r="AE57" i="18" s="1"/>
  <c r="AC63" i="18"/>
  <c r="AD23" i="17"/>
  <c r="AE23" i="17" s="1"/>
  <c r="AD18" i="17"/>
  <c r="AE18" i="17" s="1"/>
  <c r="AD35" i="17"/>
  <c r="AE35" i="17" s="1"/>
  <c r="AD44" i="17"/>
  <c r="AE44" i="17" s="1"/>
  <c r="AD7" i="17"/>
  <c r="AC33" i="17"/>
  <c r="AD33" i="17" s="1"/>
  <c r="AE33" i="17" s="1"/>
  <c r="AC49" i="17"/>
  <c r="AD49" i="17" s="1"/>
  <c r="AE49" i="17" s="1"/>
  <c r="AC60" i="17"/>
  <c r="AC65" i="17"/>
  <c r="Z73" i="17"/>
  <c r="AC47" i="17"/>
  <c r="AD47" i="17" s="1"/>
  <c r="AE47" i="17" s="1"/>
  <c r="AC63" i="17"/>
  <c r="AC40" i="17"/>
  <c r="AC45" i="17"/>
  <c r="AD45" i="17" s="1"/>
  <c r="AE45" i="17" s="1"/>
  <c r="AC61" i="17"/>
  <c r="AC38" i="17"/>
  <c r="AC43" i="17"/>
  <c r="AC54" i="17"/>
  <c r="AC59" i="17"/>
  <c r="AC36" i="17"/>
  <c r="AC41" i="17"/>
  <c r="AD48" i="17"/>
  <c r="AE48" i="17" s="1"/>
  <c r="AC52" i="17"/>
  <c r="AC57" i="17"/>
  <c r="AD64" i="17"/>
  <c r="AE64" i="17" s="1"/>
  <c r="AC68" i="17"/>
  <c r="AC34" i="17"/>
  <c r="AC50" i="17"/>
  <c r="AC66" i="17"/>
  <c r="AD12" i="16"/>
  <c r="AE12" i="16" s="1"/>
  <c r="AD17" i="16"/>
  <c r="AE17" i="16" s="1"/>
  <c r="AD22" i="16"/>
  <c r="AE22" i="16" s="1"/>
  <c r="AD16" i="16"/>
  <c r="AE16" i="16" s="1"/>
  <c r="AC37" i="16"/>
  <c r="AC53" i="16"/>
  <c r="AC70" i="16"/>
  <c r="AD70" i="16" s="1"/>
  <c r="AE70" i="16" s="1"/>
  <c r="AD7" i="16"/>
  <c r="AC33" i="16"/>
  <c r="AC44" i="16"/>
  <c r="AC49" i="16"/>
  <c r="AC61" i="16"/>
  <c r="AC66" i="16"/>
  <c r="AC77" i="16"/>
  <c r="Z83" i="16"/>
  <c r="AC42" i="16"/>
  <c r="AD42" i="16" s="1"/>
  <c r="AE42" i="16" s="1"/>
  <c r="AC47" i="16"/>
  <c r="AD54" i="16"/>
  <c r="AE54" i="16" s="1"/>
  <c r="AC59" i="16"/>
  <c r="AC64" i="16"/>
  <c r="AC75" i="16"/>
  <c r="AC40" i="16"/>
  <c r="AC57" i="16"/>
  <c r="AC73" i="16"/>
  <c r="AC34" i="16"/>
  <c r="AC39" i="16"/>
  <c r="AD39" i="16" s="1"/>
  <c r="AE39" i="16" s="1"/>
  <c r="AC50" i="16"/>
  <c r="AC55" i="16"/>
  <c r="AC67" i="16"/>
  <c r="AC72" i="16"/>
  <c r="AD8" i="15"/>
  <c r="AE8" i="15" s="1"/>
  <c r="AD10" i="15"/>
  <c r="AE10" i="15" s="1"/>
  <c r="AD12" i="15"/>
  <c r="AE12" i="15" s="1"/>
  <c r="AD28" i="15"/>
  <c r="AE28" i="15" s="1"/>
  <c r="AC7" i="15"/>
  <c r="Z8" i="15"/>
  <c r="AC11" i="15"/>
  <c r="Z12" i="15"/>
  <c r="AC15" i="15"/>
  <c r="Z16" i="15"/>
  <c r="AC19" i="15"/>
  <c r="Z20" i="15"/>
  <c r="AC23" i="15"/>
  <c r="Z24" i="15"/>
  <c r="AC27" i="15"/>
  <c r="Z28" i="15"/>
  <c r="AC31" i="15"/>
  <c r="Z32" i="15"/>
  <c r="AC35" i="15"/>
  <c r="AD35" i="15" s="1"/>
  <c r="AE35" i="15" s="1"/>
  <c r="AC46" i="15"/>
  <c r="Z48" i="15"/>
  <c r="AC51" i="15"/>
  <c r="AC62" i="15"/>
  <c r="Z64" i="15"/>
  <c r="AC33" i="15"/>
  <c r="AC49" i="15"/>
  <c r="AC65" i="15"/>
  <c r="Z9" i="15"/>
  <c r="Z13" i="15"/>
  <c r="Z17" i="15"/>
  <c r="Z21" i="15"/>
  <c r="Z25" i="15"/>
  <c r="Z29" i="15"/>
  <c r="AC42" i="15"/>
  <c r="Z44" i="15"/>
  <c r="AC47" i="15"/>
  <c r="AD47" i="15" s="1"/>
  <c r="AE47" i="15" s="1"/>
  <c r="Z60" i="15"/>
  <c r="AC63" i="15"/>
  <c r="AD63" i="15" s="1"/>
  <c r="AE63" i="15" s="1"/>
  <c r="AC40" i="15"/>
  <c r="AC45" i="15"/>
  <c r="AC56" i="15"/>
  <c r="AC61" i="15"/>
  <c r="Z10" i="15"/>
  <c r="Z14" i="15"/>
  <c r="Z18" i="15"/>
  <c r="Z22" i="15"/>
  <c r="Z26" i="15"/>
  <c r="Z30" i="15"/>
  <c r="AC43" i="15"/>
  <c r="AC54" i="15"/>
  <c r="Z56" i="15"/>
  <c r="AC59" i="15"/>
  <c r="AC36" i="15"/>
  <c r="AC52" i="15"/>
  <c r="AC34" i="15"/>
  <c r="Z36" i="15"/>
  <c r="Z70" i="15" s="1"/>
  <c r="AC39" i="15"/>
  <c r="Z52" i="15"/>
  <c r="AC55" i="15"/>
  <c r="AC66" i="15"/>
  <c r="AD7" i="14"/>
  <c r="AD49" i="14"/>
  <c r="AE49" i="14" s="1"/>
  <c r="AD10" i="14"/>
  <c r="AE10" i="14" s="1"/>
  <c r="AC34" i="14"/>
  <c r="AD34" i="14" s="1"/>
  <c r="AE34" i="14" s="1"/>
  <c r="AC8" i="14"/>
  <c r="AD8" i="14" s="1"/>
  <c r="AE8" i="14" s="1"/>
  <c r="AC12" i="14"/>
  <c r="AC16" i="14"/>
  <c r="AD16" i="14" s="1"/>
  <c r="AE16" i="14" s="1"/>
  <c r="AC43" i="14"/>
  <c r="AC53" i="14"/>
  <c r="Z62" i="14"/>
  <c r="AC35" i="14"/>
  <c r="AC38" i="14"/>
  <c r="AC47" i="14"/>
  <c r="AC50" i="14"/>
  <c r="AD44" i="14"/>
  <c r="AE44" i="14" s="1"/>
  <c r="AD23" i="13"/>
  <c r="AE23" i="13" s="1"/>
  <c r="AD28" i="13"/>
  <c r="AE28" i="13" s="1"/>
  <c r="AD8" i="13"/>
  <c r="AE8" i="13" s="1"/>
  <c r="AD13" i="13"/>
  <c r="AE13" i="13" s="1"/>
  <c r="AD18" i="13"/>
  <c r="AE18" i="13" s="1"/>
  <c r="AD7" i="13"/>
  <c r="AD10" i="13"/>
  <c r="AE10" i="13" s="1"/>
  <c r="AD12" i="13"/>
  <c r="AE12" i="13" s="1"/>
  <c r="AD19" i="13"/>
  <c r="AE19" i="13" s="1"/>
  <c r="AC41" i="13"/>
  <c r="AC46" i="13"/>
  <c r="AD46" i="13" s="1"/>
  <c r="AE46" i="13" s="1"/>
  <c r="AD49" i="13"/>
  <c r="AE49" i="13" s="1"/>
  <c r="AC55" i="13"/>
  <c r="AC56" i="13"/>
  <c r="AC73" i="13"/>
  <c r="AC42" i="13"/>
  <c r="AD42" i="13" s="1"/>
  <c r="AE42" i="13" s="1"/>
  <c r="AC50" i="13"/>
  <c r="AC59" i="13"/>
  <c r="AC60" i="13"/>
  <c r="AC74" i="13"/>
  <c r="AC54" i="13"/>
  <c r="AC63" i="13"/>
  <c r="AC35" i="13"/>
  <c r="AD35" i="13" s="1"/>
  <c r="AE35" i="13" s="1"/>
  <c r="AC36" i="13"/>
  <c r="AC53" i="13"/>
  <c r="AC58" i="13"/>
  <c r="AC67" i="13"/>
  <c r="AC68" i="13"/>
  <c r="AC38" i="13"/>
  <c r="AD38" i="13" s="1"/>
  <c r="AE38" i="13" s="1"/>
  <c r="AC70" i="13"/>
  <c r="AD70" i="13" s="1"/>
  <c r="AE70" i="13" s="1"/>
  <c r="AC51" i="13"/>
  <c r="AD33" i="13"/>
  <c r="AE33" i="13" s="1"/>
  <c r="AC39" i="13"/>
  <c r="AC40" i="13"/>
  <c r="AC57" i="13"/>
  <c r="AC62" i="13"/>
  <c r="AD65" i="13"/>
  <c r="AE65" i="13" s="1"/>
  <c r="AC71" i="13"/>
  <c r="AC72" i="13"/>
  <c r="AC47" i="13"/>
  <c r="Z80" i="13"/>
  <c r="AC34" i="13"/>
  <c r="AD34" i="13" s="1"/>
  <c r="AE34" i="13" s="1"/>
  <c r="AD37" i="13"/>
  <c r="AE37" i="13" s="1"/>
  <c r="AC43" i="13"/>
  <c r="AC61" i="13"/>
  <c r="AC66" i="13"/>
  <c r="AD69" i="13"/>
  <c r="AE69" i="13" s="1"/>
  <c r="AC75" i="13"/>
  <c r="AD28" i="12"/>
  <c r="AE28" i="12" s="1"/>
  <c r="AD12" i="12"/>
  <c r="AE12" i="12" s="1"/>
  <c r="AD8" i="12"/>
  <c r="AE8" i="12" s="1"/>
  <c r="AD7" i="12"/>
  <c r="AD9" i="12"/>
  <c r="AE9" i="12" s="1"/>
  <c r="AC37" i="12"/>
  <c r="AC45" i="12"/>
  <c r="AC53" i="12"/>
  <c r="AC61" i="12"/>
  <c r="AC69" i="12"/>
  <c r="AC77" i="12"/>
  <c r="AC34" i="12"/>
  <c r="AC50" i="12"/>
  <c r="AC39" i="12"/>
  <c r="AC47" i="12"/>
  <c r="AC55" i="12"/>
  <c r="AC63" i="12"/>
  <c r="AC71" i="12"/>
  <c r="AC79" i="12"/>
  <c r="AC36" i="12"/>
  <c r="AC44" i="12"/>
  <c r="AC52" i="12"/>
  <c r="AC60" i="12"/>
  <c r="AC68" i="12"/>
  <c r="AC76" i="12"/>
  <c r="AC33" i="12"/>
  <c r="Z86" i="12"/>
  <c r="AC41" i="12"/>
  <c r="AC49" i="12"/>
  <c r="AC57" i="12"/>
  <c r="AC65" i="12"/>
  <c r="AC73" i="12"/>
  <c r="AC81" i="12"/>
  <c r="Z7" i="12"/>
  <c r="AC38" i="12"/>
  <c r="AC46" i="12"/>
  <c r="AC54" i="12"/>
  <c r="AC62" i="12"/>
  <c r="AC70" i="12"/>
  <c r="AC78" i="12"/>
  <c r="AC42" i="12"/>
  <c r="AC66" i="12"/>
  <c r="AC82" i="12"/>
  <c r="AC32" i="12"/>
  <c r="AC35" i="12"/>
  <c r="AC43" i="12"/>
  <c r="AC51" i="12"/>
  <c r="AC59" i="12"/>
  <c r="AC67" i="12"/>
  <c r="AC75" i="12"/>
  <c r="AC58" i="12"/>
  <c r="AC74" i="12"/>
  <c r="AC40" i="12"/>
  <c r="AC48" i="12"/>
  <c r="AC56" i="12"/>
  <c r="AC64" i="12"/>
  <c r="AC72" i="12"/>
  <c r="AC80" i="12"/>
  <c r="AD10" i="11"/>
  <c r="AE10" i="11" s="1"/>
  <c r="AD9" i="11"/>
  <c r="AE9" i="11" s="1"/>
  <c r="AD14" i="11"/>
  <c r="AE14" i="11" s="1"/>
  <c r="AD16" i="11"/>
  <c r="AE16" i="11" s="1"/>
  <c r="AC37" i="11"/>
  <c r="AC42" i="11"/>
  <c r="AD45" i="11"/>
  <c r="AE45" i="11" s="1"/>
  <c r="AC51" i="11"/>
  <c r="AC52" i="11"/>
  <c r="AC59" i="11"/>
  <c r="Z70" i="11"/>
  <c r="AD48" i="11"/>
  <c r="AE48" i="11" s="1"/>
  <c r="AC49" i="11"/>
  <c r="AC54" i="11"/>
  <c r="AD54" i="11" s="1"/>
  <c r="AE54" i="11" s="1"/>
  <c r="AC63" i="11"/>
  <c r="AC64" i="11"/>
  <c r="AC55" i="11"/>
  <c r="AC35" i="11"/>
  <c r="AC36" i="11"/>
  <c r="AC53" i="11"/>
  <c r="AC58" i="11"/>
  <c r="AD61" i="11"/>
  <c r="AE61" i="11" s="1"/>
  <c r="AD7" i="11"/>
  <c r="AC39" i="11"/>
  <c r="AD56" i="11"/>
  <c r="AE56" i="11" s="1"/>
  <c r="AC57" i="11"/>
  <c r="AC62" i="11"/>
  <c r="AC46" i="11"/>
  <c r="AC34" i="11"/>
  <c r="AD34" i="11" s="1"/>
  <c r="AE34" i="11" s="1"/>
  <c r="AC43" i="11"/>
  <c r="AC50" i="11"/>
  <c r="AD50" i="11" s="1"/>
  <c r="AE50" i="11" s="1"/>
  <c r="AC33" i="11"/>
  <c r="AC38" i="11"/>
  <c r="AD38" i="11" s="1"/>
  <c r="AE38" i="11" s="1"/>
  <c r="AC47" i="11"/>
  <c r="AC65" i="11"/>
  <c r="AD7" i="10"/>
  <c r="AC46" i="10"/>
  <c r="AC55" i="10"/>
  <c r="AC37" i="10"/>
  <c r="AC42" i="10"/>
  <c r="AD45" i="10"/>
  <c r="AE45" i="10" s="1"/>
  <c r="AC51" i="10"/>
  <c r="AC52" i="10"/>
  <c r="AC50" i="10"/>
  <c r="AD50" i="10" s="1"/>
  <c r="AE50" i="10" s="1"/>
  <c r="Z64" i="10"/>
  <c r="Z63" i="10"/>
  <c r="AC49" i="10"/>
  <c r="AC54" i="10"/>
  <c r="AC59" i="10"/>
  <c r="AC35" i="10"/>
  <c r="AC36" i="10"/>
  <c r="AC53" i="10"/>
  <c r="AC58" i="10"/>
  <c r="AC39" i="10"/>
  <c r="AC34" i="10"/>
  <c r="AD34" i="10" s="1"/>
  <c r="AE34" i="10" s="1"/>
  <c r="AC43" i="10"/>
  <c r="AC33" i="10"/>
  <c r="AC38" i="10"/>
  <c r="AC47" i="10"/>
  <c r="AC48" i="10"/>
  <c r="AD7" i="9"/>
  <c r="AD9" i="9"/>
  <c r="AE9" i="9" s="1"/>
  <c r="AC10" i="9"/>
  <c r="AD10" i="9" s="1"/>
  <c r="AE10" i="9" s="1"/>
  <c r="AC14" i="9"/>
  <c r="AC18" i="9"/>
  <c r="AC22" i="9"/>
  <c r="AC26" i="9"/>
  <c r="AD26" i="9" s="1"/>
  <c r="AE26" i="9" s="1"/>
  <c r="AC30" i="9"/>
  <c r="AC39" i="9"/>
  <c r="AD39" i="9" s="1"/>
  <c r="AE39" i="9" s="1"/>
  <c r="AC55" i="9"/>
  <c r="AD55" i="9" s="1"/>
  <c r="AE55" i="9" s="1"/>
  <c r="Z65" i="9"/>
  <c r="AC35" i="9"/>
  <c r="AC46" i="9"/>
  <c r="AC51" i="9"/>
  <c r="AC33" i="9"/>
  <c r="AC44" i="9"/>
  <c r="AC49" i="9"/>
  <c r="AD56" i="9"/>
  <c r="AE56" i="9" s="1"/>
  <c r="AC60" i="9"/>
  <c r="AD38" i="9"/>
  <c r="AE38" i="9" s="1"/>
  <c r="AD54" i="9"/>
  <c r="AE54" i="9" s="1"/>
  <c r="AC58" i="9"/>
  <c r="AC36" i="9"/>
  <c r="AC52" i="9"/>
  <c r="AC57" i="9"/>
  <c r="AD57" i="9" s="1"/>
  <c r="AE57" i="9" s="1"/>
  <c r="AD10" i="8"/>
  <c r="AE10" i="8" s="1"/>
  <c r="AD18" i="8"/>
  <c r="AE18" i="8" s="1"/>
  <c r="AD16" i="8"/>
  <c r="AE16" i="8" s="1"/>
  <c r="AD20" i="8"/>
  <c r="AE20" i="8" s="1"/>
  <c r="AC71" i="8"/>
  <c r="AC37" i="8"/>
  <c r="AC53" i="8"/>
  <c r="AC61" i="8"/>
  <c r="AC68" i="8"/>
  <c r="AC34" i="8"/>
  <c r="AC42" i="8"/>
  <c r="AC50" i="8"/>
  <c r="AC58" i="8"/>
  <c r="AC65" i="8"/>
  <c r="AC45" i="8"/>
  <c r="AC39" i="8"/>
  <c r="AC47" i="8"/>
  <c r="AC55" i="8"/>
  <c r="AC63" i="8"/>
  <c r="AC70" i="8"/>
  <c r="AD7" i="8"/>
  <c r="AC60" i="8"/>
  <c r="AC33" i="8"/>
  <c r="AC41" i="8"/>
  <c r="AC49" i="8"/>
  <c r="AC57" i="8"/>
  <c r="AC64" i="8"/>
  <c r="AC48" i="8"/>
  <c r="AC56" i="8"/>
  <c r="AC36" i="8"/>
  <c r="AC38" i="8"/>
  <c r="AC46" i="8"/>
  <c r="AC54" i="8"/>
  <c r="AC62" i="8"/>
  <c r="AC69" i="8"/>
  <c r="AC40" i="8"/>
  <c r="AC44" i="8"/>
  <c r="AC52" i="8"/>
  <c r="AC67" i="8"/>
  <c r="AC32" i="8"/>
  <c r="AC35" i="8"/>
  <c r="AC43" i="8"/>
  <c r="AC51" i="8"/>
  <c r="AC59" i="8"/>
  <c r="AC66" i="8"/>
  <c r="AD8" i="7"/>
  <c r="AE8" i="7" s="1"/>
  <c r="AD7" i="7"/>
  <c r="AD22" i="7"/>
  <c r="AE22" i="7" s="1"/>
  <c r="AD10" i="7"/>
  <c r="AE10" i="7" s="1"/>
  <c r="AD21" i="7"/>
  <c r="AE21" i="7" s="1"/>
  <c r="AD9" i="7"/>
  <c r="AE9" i="7" s="1"/>
  <c r="AD15" i="7"/>
  <c r="AE15" i="7" s="1"/>
  <c r="AC48" i="7"/>
  <c r="AC41" i="7"/>
  <c r="AC53" i="7"/>
  <c r="AC54" i="7"/>
  <c r="AC42" i="7"/>
  <c r="AD42" i="7" s="1"/>
  <c r="AE42" i="7" s="1"/>
  <c r="AC43" i="7"/>
  <c r="AD43" i="7" s="1"/>
  <c r="AE43" i="7" s="1"/>
  <c r="AC47" i="7"/>
  <c r="AC57" i="7"/>
  <c r="AC58" i="7"/>
  <c r="AC52" i="7"/>
  <c r="AC44" i="7"/>
  <c r="AD44" i="7" s="1"/>
  <c r="AE44" i="7" s="1"/>
  <c r="AC35" i="7"/>
  <c r="Z63" i="7"/>
  <c r="AC51" i="7"/>
  <c r="AC56" i="7"/>
  <c r="AC39" i="7"/>
  <c r="AC40" i="7"/>
  <c r="AC55" i="7"/>
  <c r="AC38" i="7"/>
  <c r="AD38" i="7" s="1"/>
  <c r="AE38" i="7" s="1"/>
  <c r="AC34" i="7"/>
  <c r="AD37" i="7"/>
  <c r="AE37" i="7" s="1"/>
  <c r="AC25" i="6"/>
  <c r="X22" i="6"/>
  <c r="X51" i="6"/>
  <c r="AC31" i="6"/>
  <c r="AC44" i="6"/>
  <c r="X40" i="6"/>
  <c r="X48" i="6"/>
  <c r="X53" i="6"/>
  <c r="AC9" i="6"/>
  <c r="AC40" i="6"/>
  <c r="AC10" i="6"/>
  <c r="AC27" i="6"/>
  <c r="AC15" i="6"/>
  <c r="X34" i="6"/>
  <c r="X47" i="6"/>
  <c r="AC16" i="6"/>
  <c r="AC36" i="6"/>
  <c r="X42" i="6"/>
  <c r="X37" i="6"/>
  <c r="X35" i="6"/>
  <c r="AC24" i="6"/>
  <c r="X15" i="6"/>
  <c r="X27" i="6"/>
  <c r="Z9" i="6"/>
  <c r="Z59" i="6" s="1"/>
  <c r="AC53" i="6"/>
  <c r="AC48" i="6"/>
  <c r="AC14" i="6"/>
  <c r="X29" i="6"/>
  <c r="AC33" i="6"/>
  <c r="AC41" i="6"/>
  <c r="X38" i="6"/>
  <c r="AC32" i="6"/>
  <c r="AC52" i="6"/>
  <c r="X24" i="6"/>
  <c r="AC19" i="6"/>
  <c r="Z33" i="6"/>
  <c r="Z19" i="6"/>
  <c r="Z16" i="6"/>
  <c r="Z58" i="6" s="1"/>
  <c r="AC11" i="6"/>
  <c r="X50" i="6"/>
  <c r="AC8" i="6"/>
  <c r="X54" i="6"/>
  <c r="X39" i="6"/>
  <c r="AC37" i="6"/>
  <c r="X36" i="6"/>
  <c r="X33" i="6"/>
  <c r="AC21" i="6"/>
  <c r="X19" i="6"/>
  <c r="X13" i="6"/>
  <c r="AC49" i="6"/>
  <c r="AC28" i="6"/>
  <c r="X23" i="6"/>
  <c r="Z41" i="6"/>
  <c r="AC35" i="6"/>
  <c r="Z25" i="6"/>
  <c r="AC18" i="6"/>
  <c r="AC39" i="6"/>
  <c r="AC23" i="6"/>
  <c r="X49" i="6"/>
  <c r="AC43" i="6"/>
  <c r="X41" i="6"/>
  <c r="AC29" i="6"/>
  <c r="X25" i="6"/>
  <c r="AC12" i="6"/>
  <c r="X11" i="6"/>
  <c r="AC54" i="6"/>
  <c r="X52" i="6"/>
  <c r="AC50" i="6"/>
  <c r="Z51" i="6"/>
  <c r="AC51" i="6"/>
  <c r="AC46" i="6"/>
  <c r="Z47" i="6"/>
  <c r="AC47" i="6"/>
  <c r="AC42" i="6"/>
  <c r="AC38" i="6"/>
  <c r="AC34" i="6"/>
  <c r="AC30" i="6"/>
  <c r="AC26" i="6"/>
  <c r="AC22" i="6"/>
  <c r="AC17" i="6"/>
  <c r="AC13" i="6"/>
  <c r="AJ56" i="6"/>
  <c r="AI56" i="6"/>
  <c r="AH56" i="6"/>
  <c r="AG56" i="6"/>
  <c r="AF56" i="6"/>
  <c r="AB7" i="6"/>
  <c r="AD20" i="14" l="1"/>
  <c r="AE20" i="14" s="1"/>
  <c r="Z80" i="18"/>
  <c r="Z71" i="15"/>
  <c r="Z81" i="13"/>
  <c r="Z87" i="12"/>
  <c r="Z76" i="8"/>
  <c r="Z89" i="12"/>
  <c r="AD24" i="12"/>
  <c r="AE24" i="12" s="1"/>
  <c r="AD73" i="18"/>
  <c r="AE73" i="18" s="1"/>
  <c r="AD68" i="18"/>
  <c r="AE68" i="18" s="1"/>
  <c r="AD61" i="17"/>
  <c r="AE61" i="17" s="1"/>
  <c r="AD42" i="11"/>
  <c r="AE42" i="11" s="1"/>
  <c r="AD58" i="13"/>
  <c r="AE58" i="13" s="1"/>
  <c r="AD55" i="16"/>
  <c r="AE55" i="16" s="1"/>
  <c r="AD53" i="9"/>
  <c r="AE53" i="9" s="1"/>
  <c r="AD53" i="14"/>
  <c r="AE53" i="14" s="1"/>
  <c r="AD51" i="11"/>
  <c r="AE51" i="11" s="1"/>
  <c r="AD65" i="17"/>
  <c r="AE65" i="17" s="1"/>
  <c r="AD74" i="13"/>
  <c r="AE74" i="13" s="1"/>
  <c r="AD32" i="11"/>
  <c r="AE32" i="11" s="1"/>
  <c r="AD26" i="11"/>
  <c r="AE26" i="11" s="1"/>
  <c r="Z72" i="11"/>
  <c r="AD27" i="11"/>
  <c r="AE27" i="11" s="1"/>
  <c r="AD15" i="19"/>
  <c r="AE15" i="19" s="1"/>
  <c r="AD30" i="19"/>
  <c r="AE30" i="19" s="1"/>
  <c r="Z86" i="19"/>
  <c r="AD69" i="19"/>
  <c r="AE69" i="19" s="1"/>
  <c r="AD72" i="16"/>
  <c r="AE72" i="16" s="1"/>
  <c r="AD52" i="16"/>
  <c r="AE52" i="16" s="1"/>
  <c r="AD71" i="16"/>
  <c r="AE71" i="16" s="1"/>
  <c r="AD58" i="16"/>
  <c r="AE58" i="16" s="1"/>
  <c r="AD30" i="13"/>
  <c r="AE30" i="13" s="1"/>
  <c r="AD56" i="10"/>
  <c r="AE56" i="10" s="1"/>
  <c r="AD54" i="10"/>
  <c r="AE54" i="10" s="1"/>
  <c r="AD43" i="9"/>
  <c r="AE43" i="9" s="1"/>
  <c r="AD36" i="7"/>
  <c r="AE36" i="7" s="1"/>
  <c r="Z62" i="7"/>
  <c r="AD25" i="7"/>
  <c r="AE25" i="7" s="1"/>
  <c r="AD33" i="7"/>
  <c r="AE33" i="7" s="1"/>
  <c r="AD63" i="17"/>
  <c r="AE63" i="17" s="1"/>
  <c r="AD20" i="17"/>
  <c r="AE20" i="17" s="1"/>
  <c r="AD53" i="17"/>
  <c r="AE53" i="17" s="1"/>
  <c r="Z75" i="17"/>
  <c r="AD45" i="7"/>
  <c r="AE45" i="7" s="1"/>
  <c r="Z65" i="7"/>
  <c r="AD57" i="15"/>
  <c r="AE57" i="15" s="1"/>
  <c r="Z73" i="15"/>
  <c r="AD11" i="14"/>
  <c r="AE11" i="14" s="1"/>
  <c r="AD56" i="7"/>
  <c r="AE56" i="7" s="1"/>
  <c r="AD65" i="8"/>
  <c r="AE65" i="8" s="1"/>
  <c r="AD57" i="13"/>
  <c r="AE57" i="13" s="1"/>
  <c r="AD55" i="13"/>
  <c r="AE55" i="13" s="1"/>
  <c r="AD43" i="10"/>
  <c r="AE43" i="10" s="1"/>
  <c r="Z61" i="10"/>
  <c r="AD50" i="12"/>
  <c r="AE50" i="12" s="1"/>
  <c r="Z63" i="9"/>
  <c r="Z61" i="6"/>
  <c r="AD42" i="20"/>
  <c r="AE42" i="20" s="1"/>
  <c r="AD34" i="19"/>
  <c r="AE34" i="19" s="1"/>
  <c r="AD76" i="20"/>
  <c r="AE76" i="20" s="1"/>
  <c r="AD60" i="20"/>
  <c r="AE60" i="20" s="1"/>
  <c r="AD38" i="10"/>
  <c r="AE38" i="10" s="1"/>
  <c r="AD34" i="16"/>
  <c r="AE34" i="16" s="1"/>
  <c r="AD55" i="19"/>
  <c r="AE55" i="19" s="1"/>
  <c r="AD62" i="20"/>
  <c r="AE62" i="20" s="1"/>
  <c r="AD39" i="8"/>
  <c r="AE39" i="8" s="1"/>
  <c r="AD55" i="7"/>
  <c r="AE55" i="7" s="1"/>
  <c r="AD63" i="11"/>
  <c r="AE63" i="11" s="1"/>
  <c r="AD53" i="11"/>
  <c r="AE53" i="11" s="1"/>
  <c r="AD51" i="15"/>
  <c r="AE51" i="15" s="1"/>
  <c r="AD32" i="8"/>
  <c r="AE32" i="8" s="1"/>
  <c r="AD54" i="8"/>
  <c r="AE54" i="8" s="1"/>
  <c r="AD75" i="13"/>
  <c r="AE75" i="13" s="1"/>
  <c r="AD50" i="18"/>
  <c r="AE50" i="18" s="1"/>
  <c r="AD55" i="18"/>
  <c r="AE55" i="18" s="1"/>
  <c r="AD43" i="11"/>
  <c r="AE43" i="11" s="1"/>
  <c r="AD43" i="13"/>
  <c r="AE43" i="13" s="1"/>
  <c r="AD50" i="16"/>
  <c r="AE50" i="16" s="1"/>
  <c r="AD39" i="19"/>
  <c r="AE39" i="19" s="1"/>
  <c r="AD47" i="8"/>
  <c r="AE47" i="8" s="1"/>
  <c r="AD39" i="10"/>
  <c r="AE39" i="10" s="1"/>
  <c r="AD47" i="14"/>
  <c r="AE47" i="14" s="1"/>
  <c r="AD52" i="17"/>
  <c r="AE52" i="17" s="1"/>
  <c r="AD34" i="8"/>
  <c r="AE34" i="8" s="1"/>
  <c r="AD55" i="10"/>
  <c r="AE55" i="10" s="1"/>
  <c r="AD63" i="8"/>
  <c r="AE63" i="8" s="1"/>
  <c r="AD70" i="18"/>
  <c r="AE70" i="18" s="1"/>
  <c r="AD92" i="20"/>
  <c r="AE92" i="20" s="1"/>
  <c r="AD50" i="7"/>
  <c r="AE50" i="7" s="1"/>
  <c r="AD30" i="7"/>
  <c r="AE30" i="7" s="1"/>
  <c r="Z60" i="7"/>
  <c r="AD43" i="14"/>
  <c r="AE43" i="14" s="1"/>
  <c r="AD53" i="12"/>
  <c r="AE53" i="12" s="1"/>
  <c r="AD33" i="9"/>
  <c r="AE33" i="9" s="1"/>
  <c r="AD36" i="13"/>
  <c r="AE36" i="13" s="1"/>
  <c r="AD41" i="19"/>
  <c r="AE41" i="19" s="1"/>
  <c r="AD60" i="9"/>
  <c r="AE60" i="9" s="1"/>
  <c r="AD35" i="10"/>
  <c r="AE35" i="10" s="1"/>
  <c r="AD38" i="8"/>
  <c r="AE38" i="8" s="1"/>
  <c r="AD38" i="14"/>
  <c r="AE38" i="14" s="1"/>
  <c r="AD49" i="11"/>
  <c r="AE49" i="11" s="1"/>
  <c r="AD52" i="9"/>
  <c r="AE52" i="9" s="1"/>
  <c r="AD48" i="10"/>
  <c r="AE48" i="10" s="1"/>
  <c r="AD40" i="7"/>
  <c r="AE40" i="7" s="1"/>
  <c r="AD46" i="9"/>
  <c r="AE46" i="9" s="1"/>
  <c r="AD59" i="10"/>
  <c r="AE59" i="10" s="1"/>
  <c r="AD52" i="12"/>
  <c r="AE52" i="12" s="1"/>
  <c r="AD62" i="15"/>
  <c r="AE62" i="15" s="1"/>
  <c r="AD53" i="10"/>
  <c r="AE53" i="10" s="1"/>
  <c r="AD64" i="16"/>
  <c r="AE64" i="16" s="1"/>
  <c r="AD46" i="15"/>
  <c r="AE46" i="15" s="1"/>
  <c r="AD42" i="8"/>
  <c r="AE42" i="8" s="1"/>
  <c r="AD46" i="10"/>
  <c r="AE46" i="10" s="1"/>
  <c r="AD46" i="8"/>
  <c r="AE46" i="8" s="1"/>
  <c r="AD58" i="12"/>
  <c r="AE58" i="12" s="1"/>
  <c r="AD55" i="15"/>
  <c r="AE55" i="15" s="1"/>
  <c r="AD75" i="18"/>
  <c r="AE75" i="18" s="1"/>
  <c r="AD79" i="19"/>
  <c r="AE79" i="19" s="1"/>
  <c r="AD74" i="20"/>
  <c r="AE74" i="20" s="1"/>
  <c r="AD70" i="8"/>
  <c r="AE70" i="8" s="1"/>
  <c r="AD72" i="12"/>
  <c r="AE72" i="12" s="1"/>
  <c r="AD14" i="9"/>
  <c r="AE14" i="9" s="1"/>
  <c r="AD37" i="11"/>
  <c r="AE37" i="11" s="1"/>
  <c r="AD50" i="17"/>
  <c r="AE50" i="17" s="1"/>
  <c r="AD56" i="12"/>
  <c r="AE56" i="12" s="1"/>
  <c r="AD49" i="12"/>
  <c r="AE49" i="12" s="1"/>
  <c r="AD43" i="17"/>
  <c r="AE43" i="17" s="1"/>
  <c r="AD44" i="20"/>
  <c r="AE44" i="20" s="1"/>
  <c r="AD44" i="8"/>
  <c r="AE44" i="8" s="1"/>
  <c r="AD35" i="9"/>
  <c r="AE35" i="9" s="1"/>
  <c r="AD33" i="20"/>
  <c r="AE33" i="20" s="1"/>
  <c r="AD55" i="8"/>
  <c r="AE55" i="8" s="1"/>
  <c r="AD49" i="9"/>
  <c r="AE49" i="9" s="1"/>
  <c r="AD40" i="17"/>
  <c r="AE40" i="17" s="1"/>
  <c r="AD45" i="20"/>
  <c r="AE45" i="20" s="1"/>
  <c r="AD81" i="20"/>
  <c r="AE81" i="20" s="1"/>
  <c r="AD98" i="20"/>
  <c r="AE98" i="20" s="1"/>
  <c r="AD35" i="14"/>
  <c r="AE35" i="14" s="1"/>
  <c r="AD51" i="18"/>
  <c r="AE51" i="18" s="1"/>
  <c r="AD90" i="20"/>
  <c r="AE90" i="20" s="1"/>
  <c r="AD43" i="18"/>
  <c r="AE43" i="18" s="1"/>
  <c r="AD64" i="11"/>
  <c r="AE64" i="11" s="1"/>
  <c r="AD64" i="12"/>
  <c r="AE64" i="12" s="1"/>
  <c r="AD69" i="8"/>
  <c r="AE69" i="8" s="1"/>
  <c r="AD22" i="9"/>
  <c r="AE22" i="9" s="1"/>
  <c r="AD58" i="10"/>
  <c r="AE58" i="10" s="1"/>
  <c r="AD66" i="15"/>
  <c r="AE66" i="15" s="1"/>
  <c r="AD40" i="15"/>
  <c r="AE40" i="15" s="1"/>
  <c r="AD67" i="16"/>
  <c r="AE67" i="16" s="1"/>
  <c r="AD63" i="19"/>
  <c r="AE63" i="19" s="1"/>
  <c r="AD72" i="19"/>
  <c r="AE72" i="19" s="1"/>
  <c r="AD44" i="9"/>
  <c r="AE44" i="9" s="1"/>
  <c r="AD61" i="13"/>
  <c r="AE61" i="13" s="1"/>
  <c r="AD48" i="20"/>
  <c r="AE48" i="20" s="1"/>
  <c r="AD33" i="12"/>
  <c r="AE33" i="12" s="1"/>
  <c r="AD18" i="9"/>
  <c r="AE18" i="9" s="1"/>
  <c r="AD32" i="12"/>
  <c r="AE32" i="12" s="1"/>
  <c r="AD40" i="13"/>
  <c r="AE40" i="13" s="1"/>
  <c r="AD73" i="13"/>
  <c r="AE73" i="13" s="1"/>
  <c r="AD40" i="8"/>
  <c r="AE40" i="8" s="1"/>
  <c r="AD42" i="12"/>
  <c r="AE42" i="12" s="1"/>
  <c r="AD39" i="7"/>
  <c r="AE39" i="7" s="1"/>
  <c r="AD36" i="8"/>
  <c r="AE36" i="8" s="1"/>
  <c r="AD71" i="8"/>
  <c r="AE71" i="8" s="1"/>
  <c r="AD50" i="8"/>
  <c r="AE50" i="8" s="1"/>
  <c r="AD59" i="11"/>
  <c r="AE59" i="11" s="1"/>
  <c r="AD67" i="13"/>
  <c r="AE67" i="13" s="1"/>
  <c r="AD42" i="15"/>
  <c r="AE42" i="15" s="1"/>
  <c r="AD33" i="16"/>
  <c r="AE33" i="16" s="1"/>
  <c r="AD68" i="17"/>
  <c r="AE68" i="17" s="1"/>
  <c r="AD38" i="17"/>
  <c r="AE38" i="17" s="1"/>
  <c r="Z73" i="8"/>
  <c r="Z68" i="15"/>
  <c r="AD19" i="14"/>
  <c r="AE19" i="14" s="1"/>
  <c r="Z80" i="16"/>
  <c r="Z70" i="17"/>
  <c r="Z59" i="14"/>
  <c r="AD46" i="20"/>
  <c r="AE46" i="20" s="1"/>
  <c r="AD52" i="7"/>
  <c r="AE52" i="7" s="1"/>
  <c r="AD48" i="8"/>
  <c r="AE48" i="8" s="1"/>
  <c r="AD36" i="9"/>
  <c r="AE36" i="9" s="1"/>
  <c r="AD30" i="9"/>
  <c r="AE30" i="9" s="1"/>
  <c r="AD49" i="10"/>
  <c r="AE49" i="10" s="1"/>
  <c r="AD46" i="11"/>
  <c r="AE46" i="11" s="1"/>
  <c r="AD81" i="12"/>
  <c r="AE81" i="12" s="1"/>
  <c r="AD36" i="12"/>
  <c r="AE36" i="12" s="1"/>
  <c r="AD62" i="13"/>
  <c r="AE62" i="13" s="1"/>
  <c r="AD53" i="13"/>
  <c r="AE53" i="13" s="1"/>
  <c r="AD59" i="13"/>
  <c r="AE59" i="13" s="1"/>
  <c r="AD43" i="15"/>
  <c r="AE43" i="15" s="1"/>
  <c r="AD58" i="18"/>
  <c r="AE58" i="18" s="1"/>
  <c r="AD58" i="19"/>
  <c r="AE58" i="19" s="1"/>
  <c r="AD67" i="19"/>
  <c r="AE67" i="19" s="1"/>
  <c r="AD59" i="17"/>
  <c r="AE59" i="17" s="1"/>
  <c r="AD49" i="18"/>
  <c r="AE49" i="18" s="1"/>
  <c r="AD59" i="19"/>
  <c r="AE59" i="19" s="1"/>
  <c r="AD65" i="20"/>
  <c r="AE65" i="20" s="1"/>
  <c r="AD53" i="7"/>
  <c r="AE53" i="7" s="1"/>
  <c r="AD58" i="8"/>
  <c r="AE58" i="8" s="1"/>
  <c r="AD58" i="11"/>
  <c r="AE58" i="11" s="1"/>
  <c r="AD57" i="12"/>
  <c r="AE57" i="12" s="1"/>
  <c r="AD76" i="12"/>
  <c r="AE76" i="12" s="1"/>
  <c r="AD73" i="16"/>
  <c r="AE73" i="16" s="1"/>
  <c r="AD54" i="17"/>
  <c r="AE54" i="17" s="1"/>
  <c r="AD38" i="18"/>
  <c r="AE38" i="18" s="1"/>
  <c r="AD36" i="20"/>
  <c r="AE36" i="20" s="1"/>
  <c r="AD57" i="8"/>
  <c r="AE57" i="8" s="1"/>
  <c r="AD58" i="9"/>
  <c r="AE58" i="9" s="1"/>
  <c r="AD50" i="14"/>
  <c r="AE50" i="14" s="1"/>
  <c r="AD57" i="16"/>
  <c r="AE57" i="16" s="1"/>
  <c r="AD47" i="19"/>
  <c r="AE47" i="19" s="1"/>
  <c r="AD70" i="20"/>
  <c r="AE70" i="20" s="1"/>
  <c r="AD47" i="7"/>
  <c r="AE47" i="7" s="1"/>
  <c r="AD62" i="8"/>
  <c r="AE62" i="8" s="1"/>
  <c r="AD74" i="12"/>
  <c r="AE74" i="12" s="1"/>
  <c r="AD73" i="12"/>
  <c r="AE73" i="12" s="1"/>
  <c r="AD34" i="12"/>
  <c r="AE34" i="12" s="1"/>
  <c r="AD47" i="13"/>
  <c r="AE47" i="13" s="1"/>
  <c r="AD68" i="13"/>
  <c r="AE68" i="13" s="1"/>
  <c r="AD12" i="14"/>
  <c r="AE12" i="14" s="1"/>
  <c r="AD40" i="16"/>
  <c r="AE40" i="16" s="1"/>
  <c r="AD59" i="16"/>
  <c r="AE59" i="16" s="1"/>
  <c r="AD56" i="18"/>
  <c r="AE56" i="18" s="1"/>
  <c r="AD52" i="18"/>
  <c r="AE52" i="18" s="1"/>
  <c r="AD75" i="19"/>
  <c r="AE75" i="19" s="1"/>
  <c r="AD42" i="19"/>
  <c r="AE42" i="19" s="1"/>
  <c r="AD86" i="20"/>
  <c r="AE86" i="20" s="1"/>
  <c r="AD41" i="7"/>
  <c r="AE41" i="7" s="1"/>
  <c r="AD35" i="8"/>
  <c r="AE35" i="8" s="1"/>
  <c r="AD52" i="8"/>
  <c r="AE52" i="8" s="1"/>
  <c r="AD33" i="8"/>
  <c r="AE33" i="8" s="1"/>
  <c r="AD68" i="8"/>
  <c r="AE68" i="8" s="1"/>
  <c r="AD47" i="10"/>
  <c r="AE47" i="10" s="1"/>
  <c r="AD51" i="10"/>
  <c r="AE51" i="10" s="1"/>
  <c r="AD39" i="11"/>
  <c r="AE39" i="11" s="1"/>
  <c r="AD36" i="11"/>
  <c r="AE36" i="11" s="1"/>
  <c r="AD51" i="13"/>
  <c r="AE51" i="13" s="1"/>
  <c r="AD50" i="13"/>
  <c r="AE50" i="13" s="1"/>
  <c r="AD31" i="15"/>
  <c r="AE31" i="15" s="1"/>
  <c r="AD15" i="15"/>
  <c r="AE15" i="15" s="1"/>
  <c r="AD37" i="16"/>
  <c r="AE37" i="16" s="1"/>
  <c r="AD66" i="17"/>
  <c r="AE66" i="17" s="1"/>
  <c r="AD63" i="18"/>
  <c r="AE63" i="18" s="1"/>
  <c r="AD68" i="19"/>
  <c r="AE68" i="19" s="1"/>
  <c r="AD71" i="19"/>
  <c r="AE71" i="19" s="1"/>
  <c r="AD40" i="20"/>
  <c r="AE40" i="20" s="1"/>
  <c r="AD46" i="19"/>
  <c r="AE46" i="19" s="1"/>
  <c r="AD58" i="7"/>
  <c r="AE58" i="7" s="1"/>
  <c r="AD51" i="9"/>
  <c r="AE51" i="9" s="1"/>
  <c r="AD50" i="19"/>
  <c r="AE50" i="19" s="1"/>
  <c r="AD23" i="20"/>
  <c r="AE23" i="20" s="1"/>
  <c r="AD54" i="7"/>
  <c r="AE54" i="7" s="1"/>
  <c r="AD48" i="7"/>
  <c r="AE48" i="7" s="1"/>
  <c r="AD56" i="8"/>
  <c r="AE56" i="8" s="1"/>
  <c r="AD60" i="8"/>
  <c r="AE60" i="8" s="1"/>
  <c r="AD33" i="10"/>
  <c r="AE33" i="10" s="1"/>
  <c r="AD42" i="10"/>
  <c r="AE42" i="10" s="1"/>
  <c r="AD62" i="11"/>
  <c r="AE62" i="11" s="1"/>
  <c r="AD80" i="12"/>
  <c r="AE80" i="12" s="1"/>
  <c r="AD82" i="12"/>
  <c r="AE82" i="12" s="1"/>
  <c r="AD78" i="12"/>
  <c r="AE78" i="12" s="1"/>
  <c r="AD65" i="12"/>
  <c r="AE65" i="12" s="1"/>
  <c r="AD61" i="12"/>
  <c r="AE61" i="12" s="1"/>
  <c r="AD54" i="13"/>
  <c r="AE54" i="13" s="1"/>
  <c r="AD59" i="15"/>
  <c r="AE59" i="15" s="1"/>
  <c r="AD56" i="15"/>
  <c r="AE56" i="15" s="1"/>
  <c r="AD47" i="16"/>
  <c r="AE47" i="16" s="1"/>
  <c r="AD36" i="17"/>
  <c r="AE36" i="17" s="1"/>
  <c r="AD54" i="18"/>
  <c r="AE54" i="18" s="1"/>
  <c r="AD74" i="19"/>
  <c r="AE74" i="19" s="1"/>
  <c r="AD54" i="19"/>
  <c r="AE54" i="19" s="1"/>
  <c r="AD72" i="20"/>
  <c r="AE72" i="20" s="1"/>
  <c r="AD58" i="20"/>
  <c r="AE58" i="20" s="1"/>
  <c r="AD49" i="15"/>
  <c r="AE49" i="15" s="1"/>
  <c r="AD61" i="8"/>
  <c r="AE61" i="8" s="1"/>
  <c r="AD44" i="12"/>
  <c r="AE44" i="12" s="1"/>
  <c r="AD61" i="15"/>
  <c r="AE61" i="15" s="1"/>
  <c r="AD33" i="15"/>
  <c r="AE33" i="15" s="1"/>
  <c r="AD34" i="7"/>
  <c r="AE34" i="7" s="1"/>
  <c r="AD57" i="7"/>
  <c r="AE57" i="7" s="1"/>
  <c r="AD57" i="11"/>
  <c r="AE57" i="11" s="1"/>
  <c r="AD55" i="11"/>
  <c r="AE55" i="11" s="1"/>
  <c r="AD41" i="12"/>
  <c r="AE41" i="12" s="1"/>
  <c r="AD60" i="12"/>
  <c r="AE60" i="12" s="1"/>
  <c r="AD39" i="12"/>
  <c r="AE39" i="12" s="1"/>
  <c r="AD39" i="13"/>
  <c r="AE39" i="13" s="1"/>
  <c r="AD23" i="15"/>
  <c r="AE23" i="15" s="1"/>
  <c r="AD49" i="16"/>
  <c r="AE49" i="16" s="1"/>
  <c r="AD40" i="12"/>
  <c r="AE40" i="12" s="1"/>
  <c r="AD66" i="12"/>
  <c r="AE66" i="12" s="1"/>
  <c r="AD52" i="15"/>
  <c r="AE52" i="15" s="1"/>
  <c r="AD54" i="15"/>
  <c r="AE54" i="15" s="1"/>
  <c r="AD74" i="18"/>
  <c r="AE74" i="18" s="1"/>
  <c r="AD42" i="18"/>
  <c r="AE42" i="18" s="1"/>
  <c r="AD38" i="19"/>
  <c r="AE38" i="19" s="1"/>
  <c r="AD56" i="20"/>
  <c r="AE56" i="20" s="1"/>
  <c r="AD67" i="8"/>
  <c r="AE67" i="8" s="1"/>
  <c r="AD63" i="12"/>
  <c r="AE63" i="12" s="1"/>
  <c r="AD53" i="16"/>
  <c r="AE53" i="16" s="1"/>
  <c r="AD59" i="18"/>
  <c r="AE59" i="18" s="1"/>
  <c r="Z78" i="13"/>
  <c r="Z67" i="11"/>
  <c r="AD59" i="12"/>
  <c r="AE59" i="12" s="1"/>
  <c r="AD62" i="12"/>
  <c r="AE62" i="12" s="1"/>
  <c r="AD39" i="15"/>
  <c r="AE39" i="15" s="1"/>
  <c r="AD65" i="15"/>
  <c r="AE65" i="15" s="1"/>
  <c r="AD77" i="16"/>
  <c r="AE77" i="16" s="1"/>
  <c r="AD37" i="18"/>
  <c r="AE37" i="18" s="1"/>
  <c r="AD66" i="8"/>
  <c r="AE66" i="8" s="1"/>
  <c r="AD64" i="8"/>
  <c r="AE64" i="8" s="1"/>
  <c r="AD35" i="11"/>
  <c r="AE35" i="11" s="1"/>
  <c r="AD35" i="12"/>
  <c r="AE35" i="12" s="1"/>
  <c r="AD55" i="12"/>
  <c r="AE55" i="12" s="1"/>
  <c r="AD66" i="13"/>
  <c r="AE66" i="13" s="1"/>
  <c r="AD66" i="16"/>
  <c r="AE66" i="16" s="1"/>
  <c r="AD64" i="19"/>
  <c r="AE64" i="19" s="1"/>
  <c r="AD35" i="19"/>
  <c r="AE35" i="19" s="1"/>
  <c r="AD49" i="20"/>
  <c r="AE49" i="20" s="1"/>
  <c r="AD78" i="20"/>
  <c r="AE78" i="20" s="1"/>
  <c r="AD19" i="20"/>
  <c r="AE19" i="20" s="1"/>
  <c r="AD39" i="20"/>
  <c r="AE39" i="20" s="1"/>
  <c r="AD35" i="7"/>
  <c r="AE35" i="7" s="1"/>
  <c r="AD75" i="12"/>
  <c r="AE75" i="12" s="1"/>
  <c r="AD54" i="12"/>
  <c r="AE54" i="12" s="1"/>
  <c r="AD68" i="12"/>
  <c r="AE68" i="12" s="1"/>
  <c r="AD69" i="12"/>
  <c r="AE69" i="12" s="1"/>
  <c r="AD34" i="15"/>
  <c r="AE34" i="15" s="1"/>
  <c r="AD27" i="15"/>
  <c r="AE27" i="15" s="1"/>
  <c r="AD11" i="15"/>
  <c r="AE11" i="15" s="1"/>
  <c r="AD57" i="17"/>
  <c r="AE57" i="17" s="1"/>
  <c r="AD52" i="10"/>
  <c r="AE52" i="10" s="1"/>
  <c r="AD48" i="12"/>
  <c r="AE48" i="12" s="1"/>
  <c r="AD63" i="13"/>
  <c r="AE63" i="13" s="1"/>
  <c r="AD45" i="15"/>
  <c r="AE45" i="15" s="1"/>
  <c r="AD45" i="18"/>
  <c r="AE45" i="18" s="1"/>
  <c r="AD48" i="18"/>
  <c r="AE48" i="18" s="1"/>
  <c r="AD43" i="12"/>
  <c r="AE43" i="12" s="1"/>
  <c r="AD71" i="13"/>
  <c r="AE71" i="13" s="1"/>
  <c r="AD41" i="13"/>
  <c r="AE41" i="13" s="1"/>
  <c r="AD36" i="15"/>
  <c r="AE36" i="15" s="1"/>
  <c r="AD19" i="15"/>
  <c r="AE19" i="15" s="1"/>
  <c r="AD75" i="16"/>
  <c r="AE75" i="16" s="1"/>
  <c r="AD34" i="17"/>
  <c r="AE34" i="17" s="1"/>
  <c r="AD41" i="17"/>
  <c r="AE41" i="17" s="1"/>
  <c r="AD60" i="17"/>
  <c r="AE60" i="17" s="1"/>
  <c r="AD60" i="18"/>
  <c r="AE60" i="18" s="1"/>
  <c r="AD46" i="18"/>
  <c r="AE46" i="18" s="1"/>
  <c r="AD47" i="18"/>
  <c r="AE47" i="18" s="1"/>
  <c r="AD39" i="18"/>
  <c r="AE39" i="18" s="1"/>
  <c r="AD51" i="19"/>
  <c r="AE51" i="19" s="1"/>
  <c r="AD88" i="20"/>
  <c r="AE88" i="20" s="1"/>
  <c r="AD52" i="20"/>
  <c r="AE52" i="20" s="1"/>
  <c r="AC101" i="20"/>
  <c r="AD7" i="20"/>
  <c r="Z101" i="20"/>
  <c r="Z81" i="19"/>
  <c r="AE7" i="19"/>
  <c r="AC81" i="19"/>
  <c r="AE7" i="18"/>
  <c r="Z78" i="18"/>
  <c r="AC78" i="18"/>
  <c r="AD76" i="18"/>
  <c r="AE76" i="18" s="1"/>
  <c r="AD44" i="18"/>
  <c r="AE44" i="18" s="1"/>
  <c r="AD71" i="18"/>
  <c r="AE71" i="18" s="1"/>
  <c r="AC70" i="17"/>
  <c r="AE7" i="17"/>
  <c r="AE7" i="16"/>
  <c r="AC80" i="16"/>
  <c r="AD44" i="16"/>
  <c r="AE44" i="16" s="1"/>
  <c r="AD61" i="16"/>
  <c r="AE61" i="16" s="1"/>
  <c r="AC68" i="15"/>
  <c r="AD7" i="15"/>
  <c r="AE7" i="14"/>
  <c r="AC59" i="14"/>
  <c r="AD72" i="13"/>
  <c r="AE72" i="13" s="1"/>
  <c r="AD60" i="13"/>
  <c r="AE60" i="13" s="1"/>
  <c r="AC78" i="13"/>
  <c r="AD56" i="13"/>
  <c r="AE56" i="13" s="1"/>
  <c r="AE7" i="13"/>
  <c r="Z84" i="12"/>
  <c r="AD51" i="12"/>
  <c r="AE51" i="12" s="1"/>
  <c r="AD79" i="12"/>
  <c r="AE79" i="12" s="1"/>
  <c r="AD47" i="12"/>
  <c r="AE47" i="12" s="1"/>
  <c r="AD45" i="12"/>
  <c r="AE45" i="12" s="1"/>
  <c r="AE7" i="12"/>
  <c r="AD46" i="12"/>
  <c r="AE46" i="12" s="1"/>
  <c r="AC84" i="12"/>
  <c r="AD71" i="12"/>
  <c r="AE71" i="12" s="1"/>
  <c r="AD67" i="12"/>
  <c r="AE67" i="12" s="1"/>
  <c r="AD70" i="12"/>
  <c r="AE70" i="12" s="1"/>
  <c r="AD38" i="12"/>
  <c r="AE38" i="12" s="1"/>
  <c r="AD37" i="12"/>
  <c r="AE37" i="12" s="1"/>
  <c r="AD77" i="12"/>
  <c r="AE77" i="12" s="1"/>
  <c r="AD65" i="11"/>
  <c r="AE65" i="11" s="1"/>
  <c r="AD47" i="11"/>
  <c r="AE47" i="11" s="1"/>
  <c r="AE7" i="11"/>
  <c r="AD52" i="11"/>
  <c r="AE52" i="11" s="1"/>
  <c r="AC67" i="11"/>
  <c r="AD33" i="11"/>
  <c r="AE33" i="11" s="1"/>
  <c r="AC61" i="10"/>
  <c r="AD36" i="10"/>
  <c r="AE36" i="10" s="1"/>
  <c r="AE7" i="10"/>
  <c r="AD37" i="10"/>
  <c r="AE37" i="10" s="1"/>
  <c r="AE7" i="9"/>
  <c r="AC63" i="9"/>
  <c r="AD43" i="8"/>
  <c r="AE43" i="8" s="1"/>
  <c r="AD41" i="8"/>
  <c r="AE41" i="8" s="1"/>
  <c r="AE7" i="8"/>
  <c r="AD53" i="8"/>
  <c r="AE53" i="8" s="1"/>
  <c r="AD59" i="8"/>
  <c r="AE59" i="8" s="1"/>
  <c r="AD37" i="8"/>
  <c r="AE37" i="8" s="1"/>
  <c r="AD45" i="8"/>
  <c r="AE45" i="8" s="1"/>
  <c r="AD51" i="8"/>
  <c r="AE51" i="8" s="1"/>
  <c r="AD49" i="8"/>
  <c r="AE49" i="8" s="1"/>
  <c r="AC73" i="8"/>
  <c r="AD51" i="7"/>
  <c r="AE51" i="7" s="1"/>
  <c r="AE7" i="7"/>
  <c r="AC60" i="7"/>
  <c r="AD51" i="6"/>
  <c r="AE51" i="6" s="1"/>
  <c r="AD16" i="6"/>
  <c r="AE16" i="6" s="1"/>
  <c r="AD47" i="6"/>
  <c r="AE47" i="6" s="1"/>
  <c r="AD22" i="6"/>
  <c r="AE22" i="6" s="1"/>
  <c r="AD41" i="6"/>
  <c r="AE41" i="6" s="1"/>
  <c r="AD25" i="6"/>
  <c r="AE25" i="6" s="1"/>
  <c r="AD23" i="6"/>
  <c r="AE23" i="6" s="1"/>
  <c r="AD27" i="6"/>
  <c r="AE27" i="6" s="1"/>
  <c r="AD42" i="6"/>
  <c r="AE42" i="6" s="1"/>
  <c r="AD48" i="6"/>
  <c r="AE48" i="6" s="1"/>
  <c r="AD34" i="6"/>
  <c r="AE34" i="6" s="1"/>
  <c r="AD44" i="6"/>
  <c r="AE44" i="6" s="1"/>
  <c r="AD40" i="6"/>
  <c r="AE40" i="6" s="1"/>
  <c r="AD9" i="6"/>
  <c r="AE9" i="6" s="1"/>
  <c r="AD32" i="6"/>
  <c r="AE32" i="6" s="1"/>
  <c r="AD24" i="6"/>
  <c r="AE24" i="6" s="1"/>
  <c r="AD12" i="6"/>
  <c r="AE12" i="6" s="1"/>
  <c r="AD28" i="6"/>
  <c r="AE28" i="6" s="1"/>
  <c r="AD31" i="6"/>
  <c r="AE31" i="6" s="1"/>
  <c r="AD33" i="6"/>
  <c r="AE33" i="6" s="1"/>
  <c r="AD29" i="6"/>
  <c r="AE29" i="6" s="1"/>
  <c r="AD53" i="6"/>
  <c r="AE53" i="6" s="1"/>
  <c r="AD36" i="6"/>
  <c r="AE36" i="6" s="1"/>
  <c r="AD10" i="6"/>
  <c r="AE10" i="6" s="1"/>
  <c r="AD21" i="6"/>
  <c r="AE21" i="6" s="1"/>
  <c r="AD17" i="6"/>
  <c r="AE17" i="6" s="1"/>
  <c r="AD11" i="6"/>
  <c r="AE11" i="6" s="1"/>
  <c r="AD14" i="6"/>
  <c r="AE14" i="6" s="1"/>
  <c r="AD43" i="6"/>
  <c r="AE43" i="6" s="1"/>
  <c r="AD52" i="6"/>
  <c r="AE52" i="6" s="1"/>
  <c r="AD18" i="6"/>
  <c r="AE18" i="6" s="1"/>
  <c r="AD37" i="6"/>
  <c r="AE37" i="6" s="1"/>
  <c r="AD15" i="6"/>
  <c r="AE15" i="6" s="1"/>
  <c r="AD26" i="6"/>
  <c r="AE26" i="6" s="1"/>
  <c r="AD39" i="6"/>
  <c r="AE39" i="6" s="1"/>
  <c r="AC7" i="6"/>
  <c r="AD8" i="6"/>
  <c r="AE8" i="6" s="1"/>
  <c r="AD35" i="6"/>
  <c r="AE35" i="6" s="1"/>
  <c r="AD38" i="6"/>
  <c r="AE38" i="6" s="1"/>
  <c r="AD54" i="6"/>
  <c r="AE54" i="6" s="1"/>
  <c r="AD50" i="6"/>
  <c r="AE50" i="6" s="1"/>
  <c r="AD46" i="6"/>
  <c r="AE46" i="6" s="1"/>
  <c r="AD49" i="6"/>
  <c r="AE49" i="6" s="1"/>
  <c r="AD19" i="6"/>
  <c r="AE19" i="6" s="1"/>
  <c r="AD30" i="6"/>
  <c r="AE30" i="6" s="1"/>
  <c r="AD13" i="6"/>
  <c r="AE13" i="6" s="1"/>
  <c r="Z7" i="6"/>
  <c r="AD81" i="19" l="1"/>
  <c r="AE81" i="19" s="1"/>
  <c r="AD63" i="9"/>
  <c r="AE63" i="9" s="1"/>
  <c r="AD60" i="7"/>
  <c r="AE60" i="7" s="1"/>
  <c r="AD78" i="13"/>
  <c r="AE78" i="13" s="1"/>
  <c r="AD59" i="14"/>
  <c r="AE59" i="14" s="1"/>
  <c r="AD70" i="17"/>
  <c r="AE70" i="17" s="1"/>
  <c r="AD78" i="18"/>
  <c r="AE78" i="18" s="1"/>
  <c r="AD101" i="20"/>
  <c r="AE101" i="20" s="1"/>
  <c r="AE7" i="20"/>
  <c r="AD80" i="16"/>
  <c r="AE80" i="16" s="1"/>
  <c r="AD68" i="15"/>
  <c r="AE68" i="15" s="1"/>
  <c r="AE7" i="15"/>
  <c r="AD84" i="12"/>
  <c r="AE84" i="12" s="1"/>
  <c r="AD67" i="11"/>
  <c r="AE67" i="11" s="1"/>
  <c r="AD61" i="10"/>
  <c r="AE61" i="10" s="1"/>
  <c r="AD73" i="8"/>
  <c r="AE73" i="8" s="1"/>
  <c r="AD7" i="6"/>
  <c r="AE7" i="6" s="1"/>
  <c r="AC56" i="6"/>
  <c r="Z56" i="6"/>
  <c r="AD56" i="6" l="1"/>
  <c r="AE56" i="6" s="1"/>
</calcChain>
</file>

<file path=xl/sharedStrings.xml><?xml version="1.0" encoding="utf-8"?>
<sst xmlns="http://schemas.openxmlformats.org/spreadsheetml/2006/main" count="5419" uniqueCount="224">
  <si>
    <t>Supplier</t>
  </si>
  <si>
    <t>URL</t>
  </si>
  <si>
    <t>Net P</t>
  </si>
  <si>
    <t>X-rate</t>
  </si>
  <si>
    <t>Net P NOK</t>
  </si>
  <si>
    <t>Type</t>
  </si>
  <si>
    <t>To date</t>
  </si>
  <si>
    <t>Supp curr</t>
  </si>
  <si>
    <t>NOK</t>
  </si>
  <si>
    <t>Sales curr</t>
  </si>
  <si>
    <t>EUR</t>
  </si>
  <si>
    <t>Sales P NOK tot</t>
  </si>
  <si>
    <t>GP NOK</t>
  </si>
  <si>
    <t>GP %</t>
  </si>
  <si>
    <t>Units</t>
  </si>
  <si>
    <t>SEK</t>
  </si>
  <si>
    <t>DKK</t>
  </si>
  <si>
    <t>ISK</t>
  </si>
  <si>
    <t>Totals</t>
  </si>
  <si>
    <t>ID</t>
  </si>
  <si>
    <t>Price</t>
  </si>
  <si>
    <t>Status</t>
  </si>
  <si>
    <t>Supp Comm</t>
  </si>
  <si>
    <t>From date</t>
  </si>
  <si>
    <t>From time</t>
  </si>
  <si>
    <t>To time</t>
  </si>
  <si>
    <t>VAT25</t>
  </si>
  <si>
    <t>VAT15</t>
  </si>
  <si>
    <t>VAT0-D</t>
  </si>
  <si>
    <t>VAT0-I</t>
  </si>
  <si>
    <t>VAT12</t>
  </si>
  <si>
    <t>USD</t>
  </si>
  <si>
    <t xml:space="preserve"> </t>
  </si>
  <si>
    <t>Comments</t>
  </si>
  <si>
    <t>Travel element</t>
  </si>
  <si>
    <t>Day</t>
  </si>
  <si>
    <t>Manual booking?</t>
  </si>
  <si>
    <t>Non-refundable</t>
  </si>
  <si>
    <t>Refundable</t>
  </si>
  <si>
    <t>Gross P</t>
  </si>
  <si>
    <t>Gross P per unit</t>
  </si>
  <si>
    <t>Sales P per unit</t>
  </si>
  <si>
    <t>x</t>
  </si>
  <si>
    <t xml:space="preserve">Rooming: </t>
  </si>
  <si>
    <t xml:space="preserve">Pax: </t>
  </si>
  <si>
    <t>Quote</t>
  </si>
  <si>
    <t>PP</t>
  </si>
  <si>
    <t>Ref</t>
  </si>
  <si>
    <t>NoRef</t>
  </si>
  <si>
    <t>Deposit</t>
  </si>
  <si>
    <t>Rest</t>
  </si>
  <si>
    <t>Second</t>
  </si>
  <si>
    <t xml:space="preserve">Dates: </t>
  </si>
  <si>
    <t>Places: 3N Rovaniemi - 3N Tromsø</t>
  </si>
  <si>
    <t>Places: 3N Rovaniemi - 2N Tromsø - 1N Lyngen - 1N Tromsø</t>
  </si>
  <si>
    <t>Places: 2N Rovaniemi - 3N Tromsø - 2N Bergen - 2N Oslo</t>
  </si>
  <si>
    <t>Places: 2N Rovaniemi - 2N Tromsø - 1N Bergen - 1N Oslo</t>
  </si>
  <si>
    <t>Places: 1N Helsinki - 1N Santa Express - 2N Rovaniemi - 3N Tromsø - 2N Bergen - 2N Oslo</t>
  </si>
  <si>
    <t>Places: 1N Helsinki - 1N Santa Express - 2N Rovaniemi - 3N Tromsø - 2N Alta - 1N Oslo</t>
  </si>
  <si>
    <t>Places: 1N Helsinki - 1N Santa Express - 2N Rovaniemi - 2N Tromsø</t>
  </si>
  <si>
    <t>Places: 1N Helsinki - 1N Santa Express - 2N Rovaniemi - 2N Tromsø - 1N Tromsø Igloo</t>
  </si>
  <si>
    <t>Places: 1N Helsinki - 1N Santa Express - 2N Rovaniemi - 2N Tromsø - 1N Lyngen - 2N Alta - 1N Oslo</t>
  </si>
  <si>
    <t>Places: 1N Helsinki - 1N Santa Express - 2N Rovaniemi - 2N Tromsø - 1N Bergen - 1N Oslo</t>
  </si>
  <si>
    <t>Places: 1N Helsinki - 1N Santa Express - 2N Rovaniemi - 2N Tromsø  - 2N Alta - 1N Sorrisniva - 1N Oslo</t>
  </si>
  <si>
    <t>Day 1</t>
  </si>
  <si>
    <t>Arrival</t>
  </si>
  <si>
    <t>Transfer</t>
  </si>
  <si>
    <t>Hotel</t>
  </si>
  <si>
    <t>Leisure</t>
  </si>
  <si>
    <t>Rovaniemi: Welcome to Finland</t>
  </si>
  <si>
    <t>Rovaniemi: Self transfer to your accommodation</t>
  </si>
  <si>
    <t>Rovaniemi: Spend time at leisure</t>
  </si>
  <si>
    <t>Helsinki: Welcome to Finland</t>
  </si>
  <si>
    <t>Helsinki: Self transfer to your accommodation</t>
  </si>
  <si>
    <t>Helsinki: Spend time at leisure</t>
  </si>
  <si>
    <t>Activity</t>
  </si>
  <si>
    <t>Day 2</t>
  </si>
  <si>
    <t>Day 3</t>
  </si>
  <si>
    <t>Day 4</t>
  </si>
  <si>
    <t>Rovaniemi: Arctic Route Coach Transfer to Tromsø - Time: 11:40 am - 7:30 pm - Includes: Tickets</t>
  </si>
  <si>
    <t>https://bestarctic.com/the-arctic-route/arctic-winter-routes-explore-norway-sweden-and-finland/bus-between-tromso-norway-and-rovaniemi-finland/</t>
  </si>
  <si>
    <t>Tromsø: Spend time at leisure</t>
  </si>
  <si>
    <t>Day 5</t>
  </si>
  <si>
    <t>Day 6</t>
  </si>
  <si>
    <t>Day 7</t>
  </si>
  <si>
    <t>Departure</t>
  </si>
  <si>
    <t>Tromsø: Departure home</t>
  </si>
  <si>
    <t>Tromsø: Self transfer to Tromsø Airport</t>
  </si>
  <si>
    <t>Tromsø: Reindeer Feeding and Sámi Culture - Time: 09:45 am - 2:30 pm - Meeting point: Radisson Blu Hotel's main entrance (Sjøgata 7) - Includes: Scenic transfers (45 min each way), Knowledgeable English and Norwegian speaking guide, Feeding the herd at our camp, Hot beverages and hot meal (traditional Sámi stew or vegetable/lentil soup), Cultural introduction about Sámi history and daily life, A chance to see the northern lights from our camp, Thermal suit and warm snow boots</t>
  </si>
  <si>
    <t>https://www.tromsolapland.no/activities/reindeer-feeding-and-sami-culture</t>
  </si>
  <si>
    <t>Tromsø: Northern Lights Chase with authentic North Norwegian Charm - Time: 6:35 pm - Duration: 5 - 7 hrs - Meeting point: Outside Scandic ishavshotel (Fredrik Langes gate 2) Includes: Tripod for camera or phone, The Story of the Aurora – Short Film, Memorable Free Portraits, Small photo booklet showing old Tromsø, Coffee, tea, hot chocolate, buljong and chocolate cake, Warm insulated suits, Norwegian guide, but the activity is conducted in English</t>
  </si>
  <si>
    <t>https://www.tromso-friluftsenter.no/activities/northern-lights-chase-with-authentic-north-norwegian-charm</t>
  </si>
  <si>
    <t>Tromsø: Northern Lights Cruise with Silent Electric Ship - Time: 7:00 pm - 10:00 pm - Meeting point: Kaigata 6 - Includes: Departure from central Tromsø, 3-hour fjord cruise, Light meal (soup and bread) and water, English speaking guides, Warm indoor saloons, Free wifi, Toilets</t>
  </si>
  <si>
    <t>https://booknordics.com/norway/northern-norway/tromso-region/northern-lights-cruise-electric-ship</t>
  </si>
  <si>
    <t>Helsinki: A Finntastic Walking Tour - Time: 10:30 am / 1:30 pm - 12:45 pm / 3:45 pm - Meeting point: Senate Square (Look for a blue and white umbrella) - End point: Helsinki Central Library Oodi - Notable Sights: Senate Square, Helsinki Cathedral, Kauppatori, Uspenski Cathedral,  Esplanadi Park and more - Includes: Professional authorised Helsinki Guide, Liability Insurance</t>
  </si>
  <si>
    <t>https://www.finntastictours.fi/#</t>
  </si>
  <si>
    <t>Helsinki: Self transfer to Helsinki Central Station</t>
  </si>
  <si>
    <t>Train</t>
  </si>
  <si>
    <t>Helsinki: Overnight Santa Claus Express Train to Rovaniemi - Time: 11:13 pm - 10:59 am - Includes: Upstairs Sleeper Cabin with Private Bathroom</t>
  </si>
  <si>
    <t>https://www.vr.fi/en/santa-claus-express</t>
  </si>
  <si>
    <t>Places: 1N Helsinki - 1N Santa Express - 2N Rovaniemi - 2N Tromsø - 1N Lyngen - 1N Tromsø</t>
  </si>
  <si>
    <t>Rovaniemi: Arctic Circle Highlights Adventure Day - Time: 08:45 am - 2:45 pm - Meeting point: Arctic Circle Snowmobile Park office - Includes: Pick-up/drop-off in central Rovaniemi, Reindeer Farm visit with sleigh ride (2-3 pers), Reindeer sledge driver’s license reward, Alaskan Husky visit with sleigh ride (4 pers), Approx. 2 hours free time in Santa Claus Village, Winter clothes (overalls, boots and gloves), Traditional salmon soup or vegetarian option</t>
  </si>
  <si>
    <t>https://booknordics.com/finland/western-lapland/rovaniemi/arctic-circle-highlights-family-day-by-minibus</t>
  </si>
  <si>
    <t>Rovaniemi: Small-Group Aurora Hunt by Minibus - Time: 7:00 pm - 10:00 pm - Meeting point: Lapland Royal Adventures Office - Includes: Pick-up/drop-off from central Rovaniemi, Knowledgeable, English-speaking guide, Dedicated Northern Lights chase by minibus, Cozy blankets, hot drinks and a snack</t>
  </si>
  <si>
    <t>https://booknordics.com/finland/western-lapland/rovaniemi/aurora-quest-by-minibus</t>
  </si>
  <si>
    <t>Rovaniemi: Check in to your accommodation for a X night stay - Centrally Located 3/4-star Hotel - Standard Room - Breakfast included</t>
  </si>
  <si>
    <t>Tromsø: Self transfer to your accommodation</t>
  </si>
  <si>
    <t>Rovaniemi: Self transfer to Rovaniemi Bus Station</t>
  </si>
  <si>
    <t>Tromsø: Check in to your accommodation for a 3 night stay - Centrally Located 3/4-star Hotel - Standard Room - Breakfast included</t>
  </si>
  <si>
    <t>Tromsø: Check in to your accommodation for a 2 night stay - Centrally Located 3/4-star Hotel - Standard Room - Breakfast included</t>
  </si>
  <si>
    <t>Tromsø: Photo Tour to Arctic Landscapes and Fjords - Time: 10:00 am - 3:00 pm - Meeting point: Roald Amundsens plass 1A - Includes: Departure from central Tromsø. Drop-off to your hotel, Professional, English-speaking photo guides, Scenic fjord safari by comfortable minivan vehicle, Help with camera settings and nature photography, Usually a small-group experience with 4-8 guests, Soup or expedition food, coffee and waffles/cookies</t>
  </si>
  <si>
    <t>https://booknordics.com/norway/northern-norway/tromso-region/tromso-fjord-photo-tour</t>
  </si>
  <si>
    <t>Transfer package</t>
  </si>
  <si>
    <t>Rovaniemi: Arctic Wildlife Adventure to Ranua Park - Time: 10:00 am - 4:00 pm - Meeting point: Lapland Royal Adventures office - Includes: Pick-up/drop-off in central Rovaniemi, Tickets to Ranua Wildlife Park, Drinks and BBQ sausages by fire</t>
  </si>
  <si>
    <t>https://booknordics.com/finland/western-lapland/rovaniemi/arctic-wildlife-adventure-ranua-wildlife-park-trip</t>
  </si>
  <si>
    <t>Rovaniemi: Private transfer to your accommodation</t>
  </si>
  <si>
    <t>Rovaniemi: Private transfer to Rovaniemi Bus Station</t>
  </si>
  <si>
    <t>Tromsø: Private transfer to Tromsø Airport</t>
  </si>
  <si>
    <t>Activity upgrade</t>
  </si>
  <si>
    <t>Fixed</t>
  </si>
  <si>
    <t>Variable</t>
  </si>
  <si>
    <t>Total</t>
  </si>
  <si>
    <t>Rovaniemi: Check in to your accommodation for a 3 night stay - Centrally Located 3/4-star Hotel - Standard Room - Breakfast included</t>
  </si>
  <si>
    <t>Helsinki: Check in to your accommodation for a 1 night stay - Centrally Located 3/4-star Hotel - Standard Room - Breakfast included</t>
  </si>
  <si>
    <t>Rovaniemi: Check in to your accommodation for a 2 night stay - Centrally Located 3/4-star Hotel - Standard Room - Breakfast included</t>
  </si>
  <si>
    <t>Helsinki: Private transfer to Helsinki Central Station</t>
  </si>
  <si>
    <t>Helsinki: Private transfer to your accommodation</t>
  </si>
  <si>
    <t>Day 8</t>
  </si>
  <si>
    <t>Steampier: Check in to your accommodation for a 1 night stay - Steampier Adventure Hotel - Aurora Hut - Brekfast included</t>
  </si>
  <si>
    <t>Tromsø: Self transfer to Steampier Adventure Hotel</t>
  </si>
  <si>
    <t>Steampier: Spend time at leisure</t>
  </si>
  <si>
    <t>Steampier: Private transfer to Tromsø Airport</t>
  </si>
  <si>
    <t>Tromsø: Private transfer to Steampier Adventure Hotel</t>
  </si>
  <si>
    <t>Pax: 2</t>
  </si>
  <si>
    <t>Dates: Winter</t>
  </si>
  <si>
    <t>Rooming: Double</t>
  </si>
  <si>
    <t>Lyngen: Shuttle transfer back to Scandic Ishavs Hotel in Tromsø</t>
  </si>
  <si>
    <t>Tromsø: Self transfer to Scandic Ishavs Hotel</t>
  </si>
  <si>
    <t>Tromsø: Check in to your accommodation for a 1 night stay - Centrally Located 3/4-star Hotel - Standard Room - Breakfast included</t>
  </si>
  <si>
    <t>Day 9</t>
  </si>
  <si>
    <t>Steampier: Northern Lights Minivan Tour - Time: 6:00 pm - Durration: 6 - 9 hrs - Meeting point: Steampier Reception - Includes: Professional guide &amp; expert photographer, Comfortable minivan transport, Help setting up your camera/phone for your own photos, Hot drinks (coffee, tea, hot chocolate), Warm soup, Bonfire (when conditions allow), Low-resolution professional photos included, Thermal suits &amp; winter boots for warmth</t>
  </si>
  <si>
    <t>Tromsø: Crystal Lavvo Stay with Auroras, Meals &amp; Activities - Time: 11:30 am - 10: 50 am (the next day) - Meeting point: Samuel Arnesens gate 5 - Includes: Pick-up/drop-off in Tromsø with scenic transfers, Comfortable overnight stay in crystal lavvo, Fireplace heating with unlimited firewood, Northern Lights hunt with photo workshop, Snowshoeing experience nearby, Lunch and dinner included on day 1, Bathroom/toilet facilities in the main house, Breakfast and return transfer included on day 2</t>
  </si>
  <si>
    <t>https://booknordics.com/norway/northern-norway/tromso-region/crystal-lavvy-stay-northern-lights-snowshoeing</t>
  </si>
  <si>
    <t>Coach</t>
  </si>
  <si>
    <t>Tromsø: Self transfer to Tromsø Bus Terminal Prostneset</t>
  </si>
  <si>
    <t>Tromsø: Long distance panorama coach transfer to Alta - Bus 150 - Time: 4:00 pm - 10:20 pm - Excludes: Tickets (To be bought on site)</t>
  </si>
  <si>
    <t>Alta: Self transfer to your accommodation</t>
  </si>
  <si>
    <t>Alta: Spend time at leisure</t>
  </si>
  <si>
    <t>Alta: Visit to Sorrisniva Igloo Hotel - Time: Flexible - Meeting point: Sorrisniva Arctic Wilderness Lodge - Includes: Entry ticket to explore Sorrisniva Igloo Hotel</t>
  </si>
  <si>
    <t>https://booknordics.com/norway/northern-norway/alta-and-north-cape/entrance-ticket-igloo-hotel</t>
  </si>
  <si>
    <t>Alta: Small Group Northern Lights Hunt - Time: 7:00 pm - 11:00 pm - Meeting point: Æventyr Booking Point - Includes: Professional guide, Northern Lights lectures and local history, Coffee / tea and snacks, Warm overalls for loan</t>
  </si>
  <si>
    <t>https://www.aeventyr.no/activities/small-group-northern-lights-hunt</t>
  </si>
  <si>
    <t>Alta: Self transfer to Alta Airport</t>
  </si>
  <si>
    <t>Alta: Departure home</t>
  </si>
  <si>
    <t>Alta: Private transfer to Alta Airport</t>
  </si>
  <si>
    <t>Day 10</t>
  </si>
  <si>
    <t>Sorrisniva: Self transfer to Alta Airport</t>
  </si>
  <si>
    <t>Sorrisniva: Spend time at leisure</t>
  </si>
  <si>
    <t>Sorrisniva: Check in to your accommodation for a 1 night stay - Sorrisniva Igloo Hotel - Igloo Double Room - Breakfast included</t>
  </si>
  <si>
    <t>Alta: Self transfer to Sorrisniva Igloo Hotel</t>
  </si>
  <si>
    <t>Alta: Private transfer to Sorrisniva Igloo Hotel</t>
  </si>
  <si>
    <t>Flight</t>
  </si>
  <si>
    <t>Oslo: Departure home</t>
  </si>
  <si>
    <t>Oslo: Self transfer to Oslo Airport</t>
  </si>
  <si>
    <t>Oslo: Self transfer to your accommodation</t>
  </si>
  <si>
    <t>Oslo: Check in to your accommodation for a 1 night stay - Centrally located 3/4-star hotel - Standard Room - Breakfast included</t>
  </si>
  <si>
    <t>Oslo: Spend time at leisure</t>
  </si>
  <si>
    <t>Bergen: Self transfer to your accommodation</t>
  </si>
  <si>
    <t>Bergen: Check in to your accommodation for a 2 night stay - Centrally located 3/4-star hotel - Standard Room - Breakfast included</t>
  </si>
  <si>
    <t>Bergen: Spend time at leisure</t>
  </si>
  <si>
    <t>https://www.ilovebergen.net/tour/a-walk-through-bergen-past-present/</t>
  </si>
  <si>
    <t>Bergen: Fløibanen Funicual - Time: Flexible - Meeting point: Vetrlidsallmenningen 23A - Includes: Tickets</t>
  </si>
  <si>
    <t>https://www.floyen.no/en/floibanen/buy-tickets/</t>
  </si>
  <si>
    <t>Bergen: 2 hr walk Through Bergen Past &amp; Present - Time: 2:00 pm - 4:00 pm - Meeting point: Bradbenken 1 - Includes: Profesional Guide</t>
  </si>
  <si>
    <t>Bergen: Scenic Long Distance Train transfer to Oslo - Time: 08:08 am - 3:05 pm - Includes: Tickets</t>
  </si>
  <si>
    <t>https://www.vy.no/#reisesok</t>
  </si>
  <si>
    <t>Bergen: Self transfer to Bergen Train Station</t>
  </si>
  <si>
    <t>Bergen: Mostraumen Majestic Fjord &amp; Waterfall Cruise - Time: 12:00 pm - 4:00 pm - Meeting point: Strandkaien 13 - Includes: 4-hour panoramic fjord cruise, Expert captain navigating through the fjords, English-audio guide</t>
  </si>
  <si>
    <t>https://booknordics.com/norway/western-fjord-norway/bergen-and-hardanger/mostraumen-fjord-waterfall-cruise</t>
  </si>
  <si>
    <t>Oslo: Essential Oslo, City Center Guided 2hr Walking Tour - Time: 10:00 am - 12:00 pm - Meeting point: Det juridiske fakultet - Includes: See all the major sights and attractions in a pedestrian part of Oslo, Guide</t>
  </si>
  <si>
    <t>https://www.oslowalking.com/tour/essential-oslo-city-center-guided-walking-tour</t>
  </si>
  <si>
    <t>Day 11</t>
  </si>
  <si>
    <t>Day 12</t>
  </si>
  <si>
    <t>Activity Upgrade</t>
  </si>
  <si>
    <t>Rovaniemi: Snowmobiling and Sledding Arctic Circle Highlights - Time: 08:45 am - 03:45 pm - Meeting point: Arctic Circle Snowmobile Park office - Includes: Pick-up/drop-off in central Rovaniemi, Knowledgeable, English-speaking guide, 1h snowmobiling on shared snowmobile (2 pers), Reindeer experience with 500m sleigh ride, Alaskan Husky experience with 500m sleigh ride, Approx. 2 hours free time in Santa Claus Village, Winter clothes (overalls, boots and gloves), Other equipment (helmet and balaclava), Salmon soup lunch (vegetarian option available)</t>
  </si>
  <si>
    <t>https://booknordics.com/finland/western-lapland/rovaniemi/family-day-snowmobile-arctic-animals-and-santa-village</t>
  </si>
  <si>
    <t>Rovaniemi: Polar Ice Breaker Cruise - Time: 11:00 am - 7:35 pm - Meeting point: Rovaniemi Tourist Information - Includes: Lunch, transfers, 3-hour Icebreaker Cruise, Guided Icebreaker tour, Onboard Cinema, Frozen Sea Walk, Ice Swimming, Cruise and Swim Certificate</t>
  </si>
  <si>
    <t>https://booknordics.com/finland/western-lapland/rovaniemi/polar-explorer-icebreaker-dancing-queen-party-cruise-and-lunch-with-shuttle-bus-transportation-from-rovaniemi</t>
  </si>
  <si>
    <t>Tromsø: Reindeer Sledding, Reindeer Feeding and Sami Culture - Time: 09:45 am - 2:30 pm - Meeting point: Radisson Blu Hotel's main entrance (Sjøgata 7) - Includes: Scenic transfers (45 min each way), Knowledgeable English- and Norwegian-speaking guide, Thermal winter suit, warm boots, Reindeer sledding (approx. 30 min, depending on weather and snow conditions), Feeding the herd on our camp, Hot traditional Sámi meal (bithos) and hot drinks. Vegetarian option available on request, Cultural introduction about Sámi history and daily life</t>
  </si>
  <si>
    <t>https://booknordics.com/norway/northern-norway/tromso-region/reindeer-sledding-reindeer-feeding-and-sami-culture-3</t>
  </si>
  <si>
    <t>Helsinki: Excurssion to Tallinn - Self Guided Experience - Departure from Helsinki: 10:30 am - Departure from Tallinn: 7:30 pm - Includes: Helsinki port transfers, Star Class Cruise Ticket</t>
  </si>
  <si>
    <t>https://www.tallink.com/en</t>
  </si>
  <si>
    <t>Tallinn: Old Town Guided tour - Time: 1:00 pm - 3:30 pm - Meeting point: under the Town Hall clock - Notable sights: St Nickolas Church, Freedom Square, Alexander Nevsky Cathedral, St Mary's Cathedral, Danish King's Garden and more - Includes: Tour, english guide, Recommendations</t>
  </si>
  <si>
    <t>https://120degrees.club/</t>
  </si>
  <si>
    <t>https://book.steampier.no/accommodation/room-details?channelid=f7a975e2-5254-4955-9e5d-9f61036705ac&amp;roomid=08dd5be4-4d38-4cc8-0015-5d8b242d0000&amp;roomconfig=a2&amp;year=2026&amp;month=2&amp;day=3&amp;staylength=1</t>
  </si>
  <si>
    <t>https://book.steampier.no/extras?channelId=f7a975e2-5254-4955-9e5d-9f61036705ac</t>
  </si>
  <si>
    <t>Places: 2N Rovaniemi - 3N Tromsø - 2N Alta</t>
  </si>
  <si>
    <t>Rovaniemi: Korouoma Frozen Waterfall + Auttiköngäs - Time: 08:00 am - 3:00 pm - Meeteing point: Hotel pick up - Includes: Tour Guiding / Transportation, Spikes if needed, Lappish BBQ &amp; Hot Beverages, Pick/Drop within 15KM of Rovaniemi City, Goods &amp; services tax</t>
  </si>
  <si>
    <t>BOKUN</t>
  </si>
  <si>
    <t>Alta: Check in to your accommodation for a 2 night stay - Centrally Located 3/4-star Hotel - Standard Room - Breakfast included</t>
  </si>
  <si>
    <t>Alta: Northern Lights Dog Sledding Trip in Alta - Time: 6:00 pm - 10:00 pm - Meeting point: Adventure Store (inside Canyon Hotell), Markedsgata 6 - Includes: Pick-up/drop-off in central Alta, Dog Sledding training and equipment, Dressing the dogs with assistance, Approx. 50 minutes of dog sledding, History of dog sledding and Gargia, Warm clothing to stay cozy in the cold, Hot coffee and tea at mountain lodge</t>
  </si>
  <si>
    <t>https://booknordics.com/norway/northern-norway/alta-and-north-cape/northern-lights-dog-sledding-trip-in-alta</t>
  </si>
  <si>
    <t>Places: 2N Rovaniemi - 2N Tromsø -1N Lyngen - 2N Alta</t>
  </si>
  <si>
    <t>Extra Day</t>
  </si>
  <si>
    <t>Oslo: Check in to your accommodation for a 1 night stay - Centrally Located 3/4-star Hotel - Standard Room - Breakfast included</t>
  </si>
  <si>
    <t>Alta: Flight to Oslo - Time: Date dependant - Luggage included: 1 x 23 kg check in and 1 x 8 kg carry on per person</t>
  </si>
  <si>
    <t>Sorrisniva: Private transfer to Alta Airport</t>
  </si>
  <si>
    <t>Tromsø: Flight to Bergen - Time: Date dependant - Luggage included: 1 x 23 kg check in and 1 x 8 kg carry on per person</t>
  </si>
  <si>
    <t xml:space="preserve">Bergen: Norway in a Nutshell to Oslo - Time:  - Meeting point: Bergen Train Station - Includes: Train transfer Bergen to Voss, Coach transfer Voss to Gudvangen, Fjord Cruise Gudvangen to Flåm, Train transfer Flåm to Myrdal, Train Transfer Myrdal to Oslo </t>
  </si>
  <si>
    <t>https://www.fjordtours.com/en</t>
  </si>
  <si>
    <t>Oslo: Gourmet Dinner Oslo Fjord Cruise with Silent Electric Ship - Time: 6:00 pm - 9:00 pm - Meeting point: Aker Brygge Pier (next to LingLing restaurant) - Includes: Oslo fjord cruise by silent, electric ship, English and Norwegian speaking hosts, Set 3-course dinner menu by pro chef, Bar with all rights onboard, Free tap water and free WiFi</t>
  </si>
  <si>
    <t>https://booknordics.com/norway/eastern-norway/oslo/oslo-fjord-gourmet-dinner-cruise</t>
  </si>
  <si>
    <t>Bergen: Check in to your accommodation for a 1 night stay - Centrally located 3/4-star hotel - Standard Room - Breakfast included</t>
  </si>
  <si>
    <t>Oslo: Check in to your accommodation for a 2 night stay - Centrally located 3/4-star hotel - Standard Room - Breakfast included</t>
  </si>
  <si>
    <t>ITIN</t>
  </si>
  <si>
    <t>Cost</t>
  </si>
  <si>
    <t>Tromsø: Northern Lights Chase with Pro Photographer - Time: 6:00 pm - 12:00 am - Meeting point: Roald Amundsens plass 1A - Includes: Professional, English-speaking Aurora photographer guides, Transportation by comfortable minibus, van or coach, Help with camera settings and Aurora Borealis photography, Hot drinks and cookies</t>
  </si>
  <si>
    <t>https://booknordics.com/norway/northern-norway/tromso-region/aurora-chase-with-professional-photographers</t>
  </si>
  <si>
    <t>Rovaniemi: Northern Lights Unlimited Mileage Photo Tour - Time: 08:00 pm - 01:00 am - Meeting point: Book Lapland Office - Includes: Pick-up/drop-off in central Rovaniemi, Knowledgeable, English-speaking guides, Professional DSLR photography (unlimited), Meteorological observations, Thermal winter clothing, Hot drinks &amp; snacks or cookies</t>
  </si>
  <si>
    <t>https://booknordics.com/finland/western-lapland/rovaniemi/rovaniemi-northern-lights-family-tour-by-bus-with-photos</t>
  </si>
  <si>
    <t>Shoulder</t>
  </si>
  <si>
    <t>High</t>
  </si>
  <si>
    <t>X-mas</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</si>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</sst>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0"/>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40">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applyAlignment="1">
      <alignment horizontal="center"/>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2" fillId="2" borderId="2" xfId="0" applyFont="1" applyFill="1" applyBorder="1"/>
    <xf numFmtId="3" fontId="2" fillId="2" borderId="2" xfId="0" applyNumberFormat="1" applyFont="1" applyFill="1" applyBorder="1"/>
    <xf numFmtId="4" fontId="0" fillId="2" borderId="0" xfId="0" applyNumberFormat="1" applyFill="1" applyAlignment="1">
      <alignment horizontal="center"/>
    </xf>
    <xf numFmtId="9" fontId="0" fillId="2" borderId="0" xfId="0" applyNumberFormat="1" applyFill="1"/>
    <xf numFmtId="2" fontId="0" fillId="2" borderId="0" xfId="0" applyNumberFormat="1" applyFill="1"/>
    <xf numFmtId="165" fontId="0" fillId="2" borderId="0" xfId="1" applyNumberFormat="1" applyFont="1" applyFill="1"/>
    <xf numFmtId="2" fontId="0" fillId="2" borderId="0" xfId="0" applyNumberFormat="1" applyFill="1" applyAlignment="1">
      <alignment horizontal="center"/>
    </xf>
    <xf numFmtId="9" fontId="2" fillId="2" borderId="2" xfId="1" applyFont="1" applyFill="1" applyBorder="1"/>
    <xf numFmtId="0" fontId="3" fillId="2" borderId="0" xfId="2" applyFill="1"/>
    <xf numFmtId="3" fontId="0" fillId="2" borderId="0" xfId="0" applyNumberFormat="1" applyFill="1" applyAlignment="1">
      <alignment horizontal="left"/>
    </xf>
    <xf numFmtId="164" fontId="0" fillId="2" borderId="0" xfId="0" quotePrefix="1" applyNumberFormat="1" applyFill="1" applyAlignment="1">
      <alignment horizontal="left"/>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4" fillId="2" borderId="2" xfId="0" applyFont="1" applyFill="1" applyBorder="1"/>
    <xf numFmtId="0" fontId="3" fillId="0" borderId="0" xfId="2"/>
    <xf numFmtId="164" fontId="4" fillId="2" borderId="2" xfId="0" applyNumberFormat="1" applyFont="1" applyFill="1" applyBorder="1"/>
    <xf numFmtId="4" fontId="4" fillId="2" borderId="2" xfId="0" applyNumberFormat="1" applyFont="1" applyFill="1" applyBorder="1" applyAlignment="1">
      <alignment horizontal="left"/>
    </xf>
    <xf numFmtId="3" fontId="4" fillId="2" borderId="2" xfId="0" applyNumberFormat="1" applyFont="1" applyFill="1" applyBorder="1"/>
    <xf numFmtId="0" fontId="3" fillId="2" borderId="0" xfId="2" applyFill="1" applyAlignment="1">
      <alignment horizontal="left"/>
    </xf>
    <xf numFmtId="3" fontId="0" fillId="6" borderId="0" xfId="0" applyNumberFormat="1" applyFill="1" applyAlignment="1">
      <alignment horizontal="center"/>
    </xf>
    <xf numFmtId="3" fontId="5" fillId="6" borderId="0" xfId="0" applyNumberFormat="1" applyFont="1" applyFill="1" applyAlignment="1">
      <alignment horizontal="center"/>
    </xf>
    <xf numFmtId="0" fontId="0" fillId="0" borderId="0" xfId="0" applyAlignment="1">
      <alignment horizontal="left"/>
    </xf>
    <xf numFmtId="0" fontId="0" fillId="0" borderId="0" xfId="0" applyAlignment="1">
      <alignment horizontal="right"/>
    </xf>
    <xf numFmtId="3" fontId="0" fillId="0" borderId="0" xfId="0" applyNumberFormat="1"/>
    <xf numFmtId="3" fontId="0" fillId="2" borderId="0" xfId="0" applyNumberFormat="1" applyFill="1" applyAlignment="1">
      <alignment horizontal="righ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Itinerarys/ITIN-487-Prashant-Mr.Sanjay/Calculation-template-487.xlsx" TargetMode="External"/><Relationship Id="rId2" Type="http://schemas.openxmlformats.org/officeDocument/2006/relationships/externalLinkPath" Target="file:///C:\Users\DennisK&#229;len\Desktop\Itinerarys\ITIN-487-Prashant-Mr.Sanjay\Calculation-template-487.xlsx" TargetMode="External"/><Relationship Id="rId1" Type="http://schemas.openxmlformats.org/officeDocument/2006/relationships/externalLinkPath" Target="/Users/DennisK&#229;len/Desktop/Itinerarys/ITIN-487-Prashant-Mr.Sanjay/Calculation-template-487.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heat%20Sheet%202.0.xlsx" TargetMode="External"/><Relationship Id="rId2" Type="http://schemas.openxmlformats.org/officeDocument/2006/relationships/externalLinkPath" Target="file:///C:\Users\DennisK&#229;len\Desktop\Cheat%20Sheet%202.0.xlsx" TargetMode="External"/><Relationship Id="rId1" Type="http://schemas.openxmlformats.org/officeDocument/2006/relationships/externalLinkPath" Target="/Users/DennisK&#229;len/Desktop/Cheat%20Shee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rr"/>
      <sheetName val="Calc"/>
      <sheetName val="2x room"/>
      <sheetName val="Calc Tromsø"/>
      <sheetName val="Calc Tromsø 2 x room"/>
    </sheetNames>
    <sheetDataSet>
      <sheetData sheetId="0" refreshError="1">
        <row r="2">
          <cell r="B2" t="str">
            <v>EUR</v>
          </cell>
          <cell r="C2">
            <v>11.3</v>
          </cell>
        </row>
        <row r="3">
          <cell r="B3" t="str">
            <v>SEK</v>
          </cell>
          <cell r="C3">
            <v>1.02</v>
          </cell>
        </row>
        <row r="4">
          <cell r="B4" t="str">
            <v>DKK</v>
          </cell>
          <cell r="C4">
            <v>1.5</v>
          </cell>
        </row>
        <row r="5">
          <cell r="B5" t="str">
            <v>ISK</v>
          </cell>
          <cell r="C5">
            <v>7.4999999999999997E-2</v>
          </cell>
        </row>
        <row r="6">
          <cell r="B6" t="str">
            <v>NOK</v>
          </cell>
          <cell r="C6">
            <v>1</v>
          </cell>
        </row>
        <row r="7">
          <cell r="B7" t="str">
            <v>USD</v>
          </cell>
          <cell r="C7">
            <v>10.6</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rr"/>
      <sheetName val="FI"/>
      <sheetName val="NO"/>
      <sheetName val="IS"/>
      <sheetName val="SE"/>
      <sheetName val="DK"/>
      <sheetName val="Resorts"/>
      <sheetName val="Extras"/>
    </sheetNames>
    <sheetDataSet>
      <sheetData sheetId="0">
        <row r="2">
          <cell r="B2" t="str">
            <v>EUR</v>
          </cell>
          <cell r="C2">
            <v>11.3</v>
          </cell>
        </row>
        <row r="3">
          <cell r="B3" t="str">
            <v>SEK</v>
          </cell>
          <cell r="C3">
            <v>1.02</v>
          </cell>
        </row>
        <row r="4">
          <cell r="B4" t="str">
            <v>DKK</v>
          </cell>
          <cell r="C4">
            <v>1.5</v>
          </cell>
        </row>
        <row r="5">
          <cell r="B5" t="str">
            <v>ISK</v>
          </cell>
          <cell r="C5">
            <v>7.4999999999999997E-2</v>
          </cell>
        </row>
        <row r="6">
          <cell r="B6" t="str">
            <v>NOK</v>
          </cell>
          <cell r="C6">
            <v>1</v>
          </cell>
        </row>
        <row r="7">
          <cell r="B7" t="str">
            <v>USD</v>
          </cell>
          <cell r="C7">
            <v>10.6</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booknordics.com/finland/western-lapland/rovaniemi/family-day-snowmobile-arctic-animals-and-santa-village" TargetMode="External"/><Relationship Id="rId13" Type="http://schemas.openxmlformats.org/officeDocument/2006/relationships/printerSettings" Target="../printerSettings/printerSettings1.bin"/><Relationship Id="rId3" Type="http://schemas.openxmlformats.org/officeDocument/2006/relationships/hyperlink" Target="https://booknordics.com/norway/northern-norway/tromso-region/northern-lights-cruise-electric-ship" TargetMode="External"/><Relationship Id="rId7" Type="http://schemas.openxmlformats.org/officeDocument/2006/relationships/hyperlink" Target="https://booknordics.com/finland/western-lapland/rovaniemi/arctic-wildlife-adventure-ranua-wildlife-park-trip" TargetMode="External"/><Relationship Id="rId12" Type="http://schemas.openxmlformats.org/officeDocument/2006/relationships/hyperlink" Target="https://booknordics.com/finland/western-lapland/rovaniemi/rovaniemi-northern-lights-family-tour-by-bus-with-photos" TargetMode="External"/><Relationship Id="rId2" Type="http://schemas.openxmlformats.org/officeDocument/2006/relationships/hyperlink" Target="https://www.tromsolapland.no/activities/reindeer-feeding-and-sami-culture" TargetMode="External"/><Relationship Id="rId1" Type="http://schemas.openxmlformats.org/officeDocument/2006/relationships/hyperlink" Target="https://bestarctic.com/the-arctic-route/arctic-winter-routes-explore-norway-sweden-and-finland/bus-between-tromso-norway-and-rovaniemi-finland/" TargetMode="External"/><Relationship Id="rId6" Type="http://schemas.openxmlformats.org/officeDocument/2006/relationships/hyperlink" Target="https://booknordics.com/norway/northern-norway/tromso-region/tromso-fjord-photo-tour" TargetMode="External"/><Relationship Id="rId11" Type="http://schemas.openxmlformats.org/officeDocument/2006/relationships/hyperlink" Target="https://booknordics.com/norway/northern-norway/tromso-region/aurora-chase-with-professional-photographers" TargetMode="External"/><Relationship Id="rId5" Type="http://schemas.openxmlformats.org/officeDocument/2006/relationships/hyperlink" Target="https://booknordics.com/finland/western-lapland/rovaniemi/aurora-quest-by-minibus" TargetMode="External"/><Relationship Id="rId10" Type="http://schemas.openxmlformats.org/officeDocument/2006/relationships/hyperlink" Target="https://booknordics.com/norway/northern-norway/tromso-region/reindeer-sledding-reindeer-feeding-and-sami-culture-3" TargetMode="External"/><Relationship Id="rId4" Type="http://schemas.openxmlformats.org/officeDocument/2006/relationships/hyperlink" Target="https://booknordics.com/finland/western-lapland/rovaniemi/arctic-circle-highlights-family-day-by-minibus" TargetMode="External"/><Relationship Id="rId9" Type="http://schemas.openxmlformats.org/officeDocument/2006/relationships/hyperlink" Target="https://booknordics.com/finland/western-lapland/rovaniemi/polar-explorer-icebreaker-dancing-queen-party-cruise-and-lunch-with-shuttle-bus-transportation-from-rovaniemi"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allink.com/en" TargetMode="External"/><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booknordics.com/norway/northern-norway/tromso-region/tromso-fjord-photo-tour" TargetMode="External"/><Relationship Id="rId12" Type="http://schemas.openxmlformats.org/officeDocument/2006/relationships/printerSettings" Target="../printerSettings/printerSettings2.bin"/><Relationship Id="rId2" Type="http://schemas.openxmlformats.org/officeDocument/2006/relationships/hyperlink" Target="https://www.vr.fi/en/santa-claus-express" TargetMode="External"/><Relationship Id="rId1" Type="http://schemas.openxmlformats.org/officeDocument/2006/relationships/hyperlink" Target="https://www.finntastictours.fi/" TargetMode="External"/><Relationship Id="rId6" Type="http://schemas.openxmlformats.org/officeDocument/2006/relationships/hyperlink" Target="https://booknordics.com/norway/northern-norway/tromso-region/northern-lights-cruise-electric-ship" TargetMode="External"/><Relationship Id="rId11" Type="http://schemas.openxmlformats.org/officeDocument/2006/relationships/hyperlink" Target="https://booknordics.com/finland/western-lapland/rovaniemi/rovaniemi-northern-lights-family-tour-by-bus-with-photos" TargetMode="External"/><Relationship Id="rId5" Type="http://schemas.openxmlformats.org/officeDocument/2006/relationships/hyperlink" Target="https://bestarctic.com/the-arctic-route/arctic-winter-routes-explore-norway-sweden-and-finland/bus-between-tromso-norway-and-rovaniemi-finland/" TargetMode="External"/><Relationship Id="rId10" Type="http://schemas.openxmlformats.org/officeDocument/2006/relationships/hyperlink" Target="https://booknordics.com/norway/northern-norway/tromso-region/reindeer-sledding-reindeer-feeding-and-sami-culture-3"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booknordics.com/finland/western-lapland/rovaniemi/family-day-snowmobile-arctic-animals-and-santa-villag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tallink.com/en" TargetMode="External"/><Relationship Id="rId13" Type="http://schemas.openxmlformats.org/officeDocument/2006/relationships/hyperlink" Target="https://booknordics.com/finland/western-lapland/rovaniemi/rovaniemi-northern-lights-family-tour-by-bus-with-photos" TargetMode="External"/><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booknordics.com/norway/northern-norway/tromso-region/tromso-fjord-photo-tour" TargetMode="External"/><Relationship Id="rId12" Type="http://schemas.openxmlformats.org/officeDocument/2006/relationships/hyperlink" Target="https://book.steampier.no/extras?channelId=f7a975e2-5254-4955-9e5d-9f61036705ac" TargetMode="External"/><Relationship Id="rId2" Type="http://schemas.openxmlformats.org/officeDocument/2006/relationships/hyperlink" Target="https://www.vr.fi/en/santa-claus-express" TargetMode="External"/><Relationship Id="rId1" Type="http://schemas.openxmlformats.org/officeDocument/2006/relationships/hyperlink" Target="https://www.finntastictours.fi/" TargetMode="External"/><Relationship Id="rId6" Type="http://schemas.openxmlformats.org/officeDocument/2006/relationships/hyperlink" Target="https://booknordics.com/norway/northern-norway/tromso-region/northern-lights-cruise-electric-ship" TargetMode="External"/><Relationship Id="rId11" Type="http://schemas.openxmlformats.org/officeDocument/2006/relationships/hyperlink" Target="https://book.steampier.no/accommodation/room-details?channelid=f7a975e2-5254-4955-9e5d-9f61036705ac&amp;roomid=08dd5be4-4d38-4cc8-0015-5d8b242d0000&amp;roomconfig=a2&amp;year=2026&amp;month=2&amp;day=3&amp;staylength=1" TargetMode="External"/><Relationship Id="rId5" Type="http://schemas.openxmlformats.org/officeDocument/2006/relationships/hyperlink" Target="https://bestarctic.com/the-arctic-route/arctic-winter-routes-explore-norway-sweden-and-finland/bus-between-tromso-norway-and-rovaniemi-finland/" TargetMode="External"/><Relationship Id="rId10" Type="http://schemas.openxmlformats.org/officeDocument/2006/relationships/hyperlink" Target="https://booknordics.com/norway/northern-norway/tromso-region/reindeer-sledding-reindeer-feeding-and-sami-culture-3"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booknordics.com/finland/western-lapland/rovaniemi/family-day-snowmobile-arctic-animals-and-santa-village" TargetMode="External"/><Relationship Id="rId1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booknordics.com/finland/western-lapland/rovaniemi/family-day-snowmobile-arctic-animals-and-santa-village" TargetMode="External"/><Relationship Id="rId3" Type="http://schemas.openxmlformats.org/officeDocument/2006/relationships/hyperlink" Target="https://booknordics.com/finland/western-lapland/rovaniemi/aurora-quest-by-minibus" TargetMode="External"/><Relationship Id="rId7" Type="http://schemas.openxmlformats.org/officeDocument/2006/relationships/hyperlink" Target="https://booknordics.com/norway/northern-norway/tromso-region/crystal-lavvy-stay-northern-lights-snowshoeing" TargetMode="External"/><Relationship Id="rId12" Type="http://schemas.openxmlformats.org/officeDocument/2006/relationships/printerSettings" Target="../printerSettings/printerSettings4.bin"/><Relationship Id="rId2" Type="http://schemas.openxmlformats.org/officeDocument/2006/relationships/hyperlink" Target="https://booknordics.com/finland/western-lapland/rovaniemi/arctic-circle-highlights-family-day-by-minibus" TargetMode="External"/><Relationship Id="rId1" Type="http://schemas.openxmlformats.org/officeDocument/2006/relationships/hyperlink" Target="https://bestarctic.com/the-arctic-route/arctic-winter-routes-explore-norway-sweden-and-finland/bus-between-tromso-norway-and-rovaniemi-finland/" TargetMode="External"/><Relationship Id="rId6" Type="http://schemas.openxmlformats.org/officeDocument/2006/relationships/hyperlink" Target="https://booknordics.com/norway/northern-norway/tromso-region/tromso-fjord-photo-tour" TargetMode="External"/><Relationship Id="rId11" Type="http://schemas.openxmlformats.org/officeDocument/2006/relationships/hyperlink" Target="https://booknordics.com/finland/western-lapland/rovaniemi/rovaniemi-northern-lights-family-tour-by-bus-with-photos" TargetMode="External"/><Relationship Id="rId5" Type="http://schemas.openxmlformats.org/officeDocument/2006/relationships/hyperlink" Target="https://booknordics.com/norway/northern-norway/tromso-region/northern-lights-cruise-electric-ship" TargetMode="External"/><Relationship Id="rId10" Type="http://schemas.openxmlformats.org/officeDocument/2006/relationships/hyperlink" Target="https://booknordics.com/norway/northern-norway/tromso-region/reindeer-sledding-reindeer-feeding-and-sami-culture-3" TargetMode="External"/><Relationship Id="rId4" Type="http://schemas.openxmlformats.org/officeDocument/2006/relationships/hyperlink" Target="https://booknordics.com/finland/western-lapland/rovaniemi/arctic-wildlife-adventure-ranua-wildlife-park-trip" TargetMode="External"/><Relationship Id="rId9" Type="http://schemas.openxmlformats.org/officeDocument/2006/relationships/hyperlink" Target="https://booknordics.com/finland/western-lapland/rovaniemi/polar-explorer-icebreaker-dancing-queen-party-cruise-and-lunch-with-shuttle-bus-transportation-from-rovaniemi"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booknordics.com/norway/northern-norway/tromso-region/crystal-lavvy-stay-northern-lights-snowshoeing" TargetMode="External"/><Relationship Id="rId13" Type="http://schemas.openxmlformats.org/officeDocument/2006/relationships/printerSettings" Target="../printerSettings/printerSettings5.bin"/><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booknordics.com/norway/northern-norway/tromso-region/tromso-fjord-photo-tour" TargetMode="External"/><Relationship Id="rId12" Type="http://schemas.openxmlformats.org/officeDocument/2006/relationships/hyperlink" Target="https://booknordics.com/finland/western-lapland/rovaniemi/rovaniemi-northern-lights-family-tour-by-bus-with-photos" TargetMode="External"/><Relationship Id="rId2" Type="http://schemas.openxmlformats.org/officeDocument/2006/relationships/hyperlink" Target="https://www.vr.fi/en/santa-claus-express" TargetMode="External"/><Relationship Id="rId1" Type="http://schemas.openxmlformats.org/officeDocument/2006/relationships/hyperlink" Target="https://www.finntastictours.fi/" TargetMode="External"/><Relationship Id="rId6" Type="http://schemas.openxmlformats.org/officeDocument/2006/relationships/hyperlink" Target="https://booknordics.com/norway/northern-norway/tromso-region/northern-lights-cruise-electric-ship" TargetMode="External"/><Relationship Id="rId11" Type="http://schemas.openxmlformats.org/officeDocument/2006/relationships/hyperlink" Target="https://booknordics.com/norway/northern-norway/tromso-region/reindeer-sledding-reindeer-feeding-and-sami-culture-3" TargetMode="External"/><Relationship Id="rId5" Type="http://schemas.openxmlformats.org/officeDocument/2006/relationships/hyperlink" Target="https://bestarctic.com/the-arctic-route/arctic-winter-routes-explore-norway-sweden-and-finland/bus-between-tromso-norway-and-rovaniemi-finland/" TargetMode="External"/><Relationship Id="rId10" Type="http://schemas.openxmlformats.org/officeDocument/2006/relationships/hyperlink" Target="https://booknordics.com/finland/western-lapland/rovaniemi/family-day-snowmobile-arctic-animals-and-santa-village"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www.tallink.com/en"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booknordics.com/norway/northern-norway/alta-and-north-cape/entrance-ticket-igloo-hotel" TargetMode="External"/><Relationship Id="rId13" Type="http://schemas.openxmlformats.org/officeDocument/2006/relationships/printerSettings" Target="../printerSettings/printerSettings6.bin"/><Relationship Id="rId3" Type="http://schemas.openxmlformats.org/officeDocument/2006/relationships/hyperlink" Target="https://www.tromsolapland.no/activities/reindeer-feeding-and-sami-culture" TargetMode="External"/><Relationship Id="rId7" Type="http://schemas.openxmlformats.org/officeDocument/2006/relationships/hyperlink" Target="https://www.aeventyr.no/activities/small-group-northern-lights-hunt" TargetMode="External"/><Relationship Id="rId12" Type="http://schemas.openxmlformats.org/officeDocument/2006/relationships/hyperlink" Target="https://booknordics.com/finland/western-lapland/rovaniemi/rovaniemi-northern-lights-family-tour-by-bus-with-photos" TargetMode="External"/><Relationship Id="rId2" Type="http://schemas.openxmlformats.org/officeDocument/2006/relationships/hyperlink" Target="https://bestarctic.com/the-arctic-route/arctic-winter-routes-explore-norway-sweden-and-finland/bus-between-tromso-norway-and-rovaniemi-finland/" TargetMode="External"/><Relationship Id="rId1" Type="http://schemas.openxmlformats.org/officeDocument/2006/relationships/hyperlink" Target="https://booknordics.com/finland/western-lapland/rovaniemi/arctic-circle-highlights-family-day-by-minibus" TargetMode="External"/><Relationship Id="rId6" Type="http://schemas.openxmlformats.org/officeDocument/2006/relationships/hyperlink" Target="https://booknordics.com/norway/northern-norway/tromso-region/tromso-fjord-photo-tour" TargetMode="External"/><Relationship Id="rId11" Type="http://schemas.openxmlformats.org/officeDocument/2006/relationships/hyperlink" Target="https://booknordics.com/norway/northern-norway/alta-and-north-cape/northern-lights-dog-sledding-trip-in-alta" TargetMode="External"/><Relationship Id="rId5" Type="http://schemas.openxmlformats.org/officeDocument/2006/relationships/hyperlink" Target="https://booknordics.com/norway/northern-norway/tromso-region/northern-lights-cruise-electric-ship" TargetMode="External"/><Relationship Id="rId10" Type="http://schemas.openxmlformats.org/officeDocument/2006/relationships/hyperlink" Target="https://booknordics.com/norway/northern-norway/tromso-region/reindeer-sledding-reindeer-feeding-and-sami-culture-3" TargetMode="External"/><Relationship Id="rId4" Type="http://schemas.openxmlformats.org/officeDocument/2006/relationships/hyperlink" Target="https://www.tromso-friluftsenter.no/activities/northern-lights-chase-with-authentic-north-norwegian-charm" TargetMode="External"/><Relationship Id="rId9" Type="http://schemas.openxmlformats.org/officeDocument/2006/relationships/hyperlink" Target="https://booknordics.com/finland/western-lapland/rovaniemi/family-day-snowmobile-arctic-animals-and-santa-villag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booknordics.com/norway/northern-norway/tromso-region/reindeer-sledding-reindeer-feeding-and-sami-culture-3" TargetMode="External"/><Relationship Id="rId3" Type="http://schemas.openxmlformats.org/officeDocument/2006/relationships/hyperlink" Target="https://www.tromsolapland.no/activities/reindeer-feeding-and-sami-culture" TargetMode="External"/><Relationship Id="rId7" Type="http://schemas.openxmlformats.org/officeDocument/2006/relationships/hyperlink" Target="https://booknordics.com/finland/western-lapland/rovaniemi/family-day-snowmobile-arctic-animals-and-santa-village" TargetMode="External"/><Relationship Id="rId12" Type="http://schemas.openxmlformats.org/officeDocument/2006/relationships/printerSettings" Target="../printerSettings/printerSettings7.bin"/><Relationship Id="rId2" Type="http://schemas.openxmlformats.org/officeDocument/2006/relationships/hyperlink" Target="https://bestarctic.com/the-arctic-route/arctic-winter-routes-explore-norway-sweden-and-finland/bus-between-tromso-norway-and-rovaniemi-finland/" TargetMode="External"/><Relationship Id="rId1" Type="http://schemas.openxmlformats.org/officeDocument/2006/relationships/hyperlink" Target="https://booknordics.com/finland/western-lapland/rovaniemi/arctic-circle-highlights-family-day-by-minibus" TargetMode="External"/><Relationship Id="rId6" Type="http://schemas.openxmlformats.org/officeDocument/2006/relationships/hyperlink" Target="https://booknordics.com/norway/northern-norway/alta-and-north-cape/entrance-ticket-igloo-hotel" TargetMode="External"/><Relationship Id="rId11" Type="http://schemas.openxmlformats.org/officeDocument/2006/relationships/hyperlink" Target="https://booknordics.com/finland/western-lapland/rovaniemi/rovaniemi-northern-lights-family-tour-by-bus-with-photos" TargetMode="External"/><Relationship Id="rId5" Type="http://schemas.openxmlformats.org/officeDocument/2006/relationships/hyperlink" Target="https://www.aeventyr.no/activities/small-group-northern-lights-hunt" TargetMode="External"/><Relationship Id="rId10" Type="http://schemas.openxmlformats.org/officeDocument/2006/relationships/hyperlink" Target="https://booknordics.com/norway/northern-norway/tromso-region/aurora-chase-with-professional-photographers" TargetMode="External"/><Relationship Id="rId4" Type="http://schemas.openxmlformats.org/officeDocument/2006/relationships/hyperlink" Target="https://booknordics.com/norway/northern-norway/tromso-region/crystal-lavvy-stay-northern-lights-snowshoeing" TargetMode="External"/><Relationship Id="rId9" Type="http://schemas.openxmlformats.org/officeDocument/2006/relationships/hyperlink" Target="https://booknordics.com/norway/northern-norway/alta-and-north-cape/northern-lights-dog-sledding-trip-in-alta"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aeventyr.no/activities/small-group-northern-lights-hunt" TargetMode="External"/><Relationship Id="rId13" Type="http://schemas.openxmlformats.org/officeDocument/2006/relationships/hyperlink" Target="https://booknordics.com/norway/northern-norway/tromso-region/aurora-chase-with-professional-photographers" TargetMode="External"/><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booknordics.com/norway/northern-norway/tromso-region/tromso-fjord-photo-tour" TargetMode="External"/><Relationship Id="rId12" Type="http://schemas.openxmlformats.org/officeDocument/2006/relationships/hyperlink" Target="https://www.tallink.com/en" TargetMode="External"/><Relationship Id="rId2" Type="http://schemas.openxmlformats.org/officeDocument/2006/relationships/hyperlink" Target="https://www.vr.fi/en/santa-claus-express" TargetMode="External"/><Relationship Id="rId1" Type="http://schemas.openxmlformats.org/officeDocument/2006/relationships/hyperlink" Target="https://www.finntastictours.fi/" TargetMode="External"/><Relationship Id="rId6" Type="http://schemas.openxmlformats.org/officeDocument/2006/relationships/hyperlink" Target="https://booknordics.com/norway/northern-norway/tromso-region/northern-lights-cruise-electric-ship" TargetMode="External"/><Relationship Id="rId11" Type="http://schemas.openxmlformats.org/officeDocument/2006/relationships/hyperlink" Target="https://booknordics.com/finland/western-lapland/rovaniemi/family-day-snowmobile-arctic-animals-and-santa-village" TargetMode="External"/><Relationship Id="rId5" Type="http://schemas.openxmlformats.org/officeDocument/2006/relationships/hyperlink" Target="https://bestarctic.com/the-arctic-route/arctic-winter-routes-explore-norway-sweden-and-finland/bus-between-tromso-norway-and-rovaniemi-finland/" TargetMode="External"/><Relationship Id="rId15" Type="http://schemas.openxmlformats.org/officeDocument/2006/relationships/printerSettings" Target="../printerSettings/printerSettings8.bin"/><Relationship Id="rId10" Type="http://schemas.openxmlformats.org/officeDocument/2006/relationships/hyperlink" Target="https://www.tromsolapland.no/activities/reindeer-feeding-and-sami-culture"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booknordics.com/norway/northern-norway/alta-and-north-cape/entrance-ticket-igloo-hotel" TargetMode="External"/><Relationship Id="rId14" Type="http://schemas.openxmlformats.org/officeDocument/2006/relationships/hyperlink" Target="https://booknordics.com/finland/western-lapland/rovaniemi/rovaniemi-northern-lights-family-tour-by-bus-with-photo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aeventyr.no/activities/small-group-northern-lights-hunt" TargetMode="External"/><Relationship Id="rId13" Type="http://schemas.openxmlformats.org/officeDocument/2006/relationships/hyperlink" Target="https://booknordics.com/finland/western-lapland/rovaniemi/rovaniemi-northern-lights-family-tour-by-bus-with-photos" TargetMode="External"/><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booknordics.com/norway/northern-norway/tromso-region/crystal-lavvy-stay-northern-lights-snowshoeing" TargetMode="External"/><Relationship Id="rId12" Type="http://schemas.openxmlformats.org/officeDocument/2006/relationships/hyperlink" Target="https://booknordics.com/norway/northern-norway/tromso-region/aurora-chase-with-professional-photographers" TargetMode="External"/><Relationship Id="rId2" Type="http://schemas.openxmlformats.org/officeDocument/2006/relationships/hyperlink" Target="https://www.vr.fi/en/santa-claus-express" TargetMode="External"/><Relationship Id="rId1" Type="http://schemas.openxmlformats.org/officeDocument/2006/relationships/hyperlink" Target="https://www.finntastictours.fi/" TargetMode="External"/><Relationship Id="rId6" Type="http://schemas.openxmlformats.org/officeDocument/2006/relationships/hyperlink" Target="https://www.tromsolapland.no/activities/reindeer-feeding-and-sami-culture" TargetMode="External"/><Relationship Id="rId11" Type="http://schemas.openxmlformats.org/officeDocument/2006/relationships/hyperlink" Target="https://www.tallink.com/en" TargetMode="External"/><Relationship Id="rId5" Type="http://schemas.openxmlformats.org/officeDocument/2006/relationships/hyperlink" Target="https://bestarctic.com/the-arctic-route/arctic-winter-routes-explore-norway-sweden-and-finland/bus-between-tromso-norway-and-rovaniemi-finland/" TargetMode="External"/><Relationship Id="rId10" Type="http://schemas.openxmlformats.org/officeDocument/2006/relationships/hyperlink" Target="https://booknordics.com/finland/western-lapland/rovaniemi/family-day-snowmobile-arctic-animals-and-santa-village"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booknordics.com/norway/northern-norway/alta-and-north-cape/entrance-ticket-igloo-hotel" TargetMode="External"/><Relationship Id="rId14"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8" Type="http://schemas.openxmlformats.org/officeDocument/2006/relationships/hyperlink" Target="https://booknordics.com/norway/northern-norway/alta-and-north-cape/entrance-ticket-igloo-hotel" TargetMode="External"/><Relationship Id="rId13" Type="http://schemas.openxmlformats.org/officeDocument/2006/relationships/printerSettings" Target="../printerSettings/printerSettings10.bin"/><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www.aeventyr.no/activities/small-group-northern-lights-hunt" TargetMode="External"/><Relationship Id="rId12" Type="http://schemas.openxmlformats.org/officeDocument/2006/relationships/hyperlink" Target="https://booknordics.com/finland/western-lapland/rovaniemi/rovaniemi-northern-lights-family-tour-by-bus-with-photos" TargetMode="External"/><Relationship Id="rId2" Type="http://schemas.openxmlformats.org/officeDocument/2006/relationships/hyperlink" Target="https://www.vr.fi/en/santa-claus-express" TargetMode="External"/><Relationship Id="rId1" Type="http://schemas.openxmlformats.org/officeDocument/2006/relationships/hyperlink" Target="https://www.finntastictours.fi/" TargetMode="External"/><Relationship Id="rId6" Type="http://schemas.openxmlformats.org/officeDocument/2006/relationships/hyperlink" Target="https://www.tromsolapland.no/activities/reindeer-feeding-and-sami-culture" TargetMode="External"/><Relationship Id="rId11" Type="http://schemas.openxmlformats.org/officeDocument/2006/relationships/hyperlink" Target="https://booknordics.com/norway/northern-norway/tromso-region/aurora-chase-with-professional-photographers" TargetMode="External"/><Relationship Id="rId5" Type="http://schemas.openxmlformats.org/officeDocument/2006/relationships/hyperlink" Target="https://bestarctic.com/the-arctic-route/arctic-winter-routes-explore-norway-sweden-and-finland/bus-between-tromso-norway-and-rovaniemi-finland/" TargetMode="External"/><Relationship Id="rId10" Type="http://schemas.openxmlformats.org/officeDocument/2006/relationships/hyperlink" Target="https://www.tallink.com/en"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booknordics.com/finland/western-lapland/rovaniemi/family-day-snowmobile-arctic-animals-and-santa-villag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fjordtours.com/en" TargetMode="External"/><Relationship Id="rId3" Type="http://schemas.openxmlformats.org/officeDocument/2006/relationships/hyperlink" Target="https://www.tromsolapland.no/activities/reindeer-feeding-and-sami-culture" TargetMode="External"/><Relationship Id="rId7" Type="http://schemas.openxmlformats.org/officeDocument/2006/relationships/hyperlink" Target="https://booknordics.com/finland/western-lapland/rovaniemi/family-day-snowmobile-arctic-animals-and-santa-village" TargetMode="External"/><Relationship Id="rId2" Type="http://schemas.openxmlformats.org/officeDocument/2006/relationships/hyperlink" Target="https://bestarctic.com/the-arctic-route/arctic-winter-routes-explore-norway-sweden-and-finland/bus-between-tromso-norway-and-rovaniemi-finland/" TargetMode="External"/><Relationship Id="rId1" Type="http://schemas.openxmlformats.org/officeDocument/2006/relationships/hyperlink" Target="https://booknordics.com/finland/western-lapland/rovaniemi/arctic-circle-highlights-family-day-by-minibus" TargetMode="External"/><Relationship Id="rId6" Type="http://schemas.openxmlformats.org/officeDocument/2006/relationships/hyperlink" Target="https://www.vy.no/" TargetMode="External"/><Relationship Id="rId11" Type="http://schemas.openxmlformats.org/officeDocument/2006/relationships/printerSettings" Target="../printerSettings/printerSettings11.bin"/><Relationship Id="rId5" Type="http://schemas.openxmlformats.org/officeDocument/2006/relationships/hyperlink" Target="https://www.floyen.no/en/floibanen/buy-tickets/" TargetMode="External"/><Relationship Id="rId10" Type="http://schemas.openxmlformats.org/officeDocument/2006/relationships/hyperlink" Target="https://booknordics.com/finland/western-lapland/rovaniemi/rovaniemi-northern-lights-family-tour-by-bus-with-photos" TargetMode="External"/><Relationship Id="rId4" Type="http://schemas.openxmlformats.org/officeDocument/2006/relationships/hyperlink" Target="https://www.ilovebergen.net/tour/a-walk-through-bergen-past-present/" TargetMode="External"/><Relationship Id="rId9" Type="http://schemas.openxmlformats.org/officeDocument/2006/relationships/hyperlink" Target="https://booknordics.com/norway/northern-norway/tromso-region/aurora-chase-with-professional-photographers"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floyen.no/en/floibanen/buy-tickets/" TargetMode="External"/><Relationship Id="rId13" Type="http://schemas.openxmlformats.org/officeDocument/2006/relationships/hyperlink" Target="https://booknordics.com/norway/eastern-norway/oslo/oslo-fjord-gourmet-dinner-cruise" TargetMode="External"/><Relationship Id="rId3" Type="http://schemas.openxmlformats.org/officeDocument/2006/relationships/hyperlink" Target="https://booknordics.com/norway/northern-norway/tromso-region/northern-lights-cruise-electric-ship" TargetMode="External"/><Relationship Id="rId7" Type="http://schemas.openxmlformats.org/officeDocument/2006/relationships/hyperlink" Target="https://booknordics.com/norway/western-fjord-norway/bergen-and-hardanger/mostraumen-fjord-waterfall-cruise" TargetMode="External"/><Relationship Id="rId12" Type="http://schemas.openxmlformats.org/officeDocument/2006/relationships/hyperlink" Target="https://www.fjordtours.com/en" TargetMode="External"/><Relationship Id="rId2" Type="http://schemas.openxmlformats.org/officeDocument/2006/relationships/hyperlink" Target="https://bestarctic.com/the-arctic-route/arctic-winter-routes-explore-norway-sweden-and-finland/bus-between-tromso-norway-and-rovaniemi-finland/" TargetMode="External"/><Relationship Id="rId16" Type="http://schemas.openxmlformats.org/officeDocument/2006/relationships/printerSettings" Target="../printerSettings/printerSettings12.bin"/><Relationship Id="rId1" Type="http://schemas.openxmlformats.org/officeDocument/2006/relationships/hyperlink" Target="https://booknordics.com/finland/western-lapland/rovaniemi/arctic-circle-highlights-family-day-by-minibus" TargetMode="External"/><Relationship Id="rId6" Type="http://schemas.openxmlformats.org/officeDocument/2006/relationships/hyperlink" Target="https://www.ilovebergen.net/tour/a-walk-through-bergen-past-present/" TargetMode="External"/><Relationship Id="rId11" Type="http://schemas.openxmlformats.org/officeDocument/2006/relationships/hyperlink" Target="https://booknordics.com/finland/western-lapland/rovaniemi/family-day-snowmobile-arctic-animals-and-santa-village" TargetMode="External"/><Relationship Id="rId5" Type="http://schemas.openxmlformats.org/officeDocument/2006/relationships/hyperlink" Target="https://www.tromsolapland.no/activities/reindeer-feeding-and-sami-culture" TargetMode="External"/><Relationship Id="rId15" Type="http://schemas.openxmlformats.org/officeDocument/2006/relationships/hyperlink" Target="https://booknordics.com/finland/western-lapland/rovaniemi/rovaniemi-northern-lights-family-tour-by-bus-with-photos" TargetMode="External"/><Relationship Id="rId10" Type="http://schemas.openxmlformats.org/officeDocument/2006/relationships/hyperlink" Target="https://www.oslowalking.com/tour/essential-oslo-city-center-guided-walking-tour" TargetMode="External"/><Relationship Id="rId4" Type="http://schemas.openxmlformats.org/officeDocument/2006/relationships/hyperlink" Target="https://booknordics.com/norway/northern-norway/tromso-region/tromso-fjord-photo-tour" TargetMode="External"/><Relationship Id="rId9" Type="http://schemas.openxmlformats.org/officeDocument/2006/relationships/hyperlink" Target="https://www.vy.no/" TargetMode="External"/><Relationship Id="rId14" Type="http://schemas.openxmlformats.org/officeDocument/2006/relationships/hyperlink" Target="https://booknordics.com/norway/northern-norway/tromso-region/aurora-chase-with-professional-photographers"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floyen.no/en/floibanen/buy-tickets/" TargetMode="External"/><Relationship Id="rId13" Type="http://schemas.openxmlformats.org/officeDocument/2006/relationships/hyperlink" Target="https://booknordics.com/norway/northern-norway/tromso-region/aurora-chase-with-professional-photographers" TargetMode="External"/><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www.ilovebergen.net/tour/a-walk-through-bergen-past-present/" TargetMode="External"/><Relationship Id="rId12" Type="http://schemas.openxmlformats.org/officeDocument/2006/relationships/hyperlink" Target="https://www.tallink.com/en" TargetMode="External"/><Relationship Id="rId2" Type="http://schemas.openxmlformats.org/officeDocument/2006/relationships/hyperlink" Target="https://www.vr.fi/en/santa-claus-express" TargetMode="External"/><Relationship Id="rId1" Type="http://schemas.openxmlformats.org/officeDocument/2006/relationships/hyperlink" Target="https://www.finntastictours.fi/" TargetMode="External"/><Relationship Id="rId6" Type="http://schemas.openxmlformats.org/officeDocument/2006/relationships/hyperlink" Target="https://www.tromsolapland.no/activities/reindeer-feeding-and-sami-culture" TargetMode="External"/><Relationship Id="rId11" Type="http://schemas.openxmlformats.org/officeDocument/2006/relationships/hyperlink" Target="https://www.fjordtours.com/en" TargetMode="External"/><Relationship Id="rId5" Type="http://schemas.openxmlformats.org/officeDocument/2006/relationships/hyperlink" Target="https://bestarctic.com/the-arctic-route/arctic-winter-routes-explore-norway-sweden-and-finland/bus-between-tromso-norway-and-rovaniemi-finland/" TargetMode="External"/><Relationship Id="rId15" Type="http://schemas.openxmlformats.org/officeDocument/2006/relationships/printerSettings" Target="../printerSettings/printerSettings13.bin"/><Relationship Id="rId10" Type="http://schemas.openxmlformats.org/officeDocument/2006/relationships/hyperlink" Target="https://booknordics.com/finland/western-lapland/rovaniemi/family-day-snowmobile-arctic-animals-and-santa-village"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www.vy.no/" TargetMode="External"/><Relationship Id="rId14" Type="http://schemas.openxmlformats.org/officeDocument/2006/relationships/hyperlink" Target="https://booknordics.com/finland/western-lapland/rovaniemi/rovaniemi-northern-lights-family-tour-by-bus-with-photos"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tromsolapland.no/activities/reindeer-feeding-and-sami-culture" TargetMode="External"/><Relationship Id="rId13" Type="http://schemas.openxmlformats.org/officeDocument/2006/relationships/hyperlink" Target="https://www.oslowalking.com/tour/essential-oslo-city-center-guided-walking-tour" TargetMode="External"/><Relationship Id="rId18" Type="http://schemas.openxmlformats.org/officeDocument/2006/relationships/hyperlink" Target="https://booknordics.com/norway/northern-norway/tromso-region/aurora-chase-with-professional-photographers" TargetMode="External"/><Relationship Id="rId3" Type="http://schemas.openxmlformats.org/officeDocument/2006/relationships/hyperlink" Target="https://booknordics.com/finland/western-lapland/rovaniemi/arctic-circle-highlights-family-day-by-minibus" TargetMode="External"/><Relationship Id="rId7" Type="http://schemas.openxmlformats.org/officeDocument/2006/relationships/hyperlink" Target="https://booknordics.com/norway/northern-norway/tromso-region/tromso-fjord-photo-tour" TargetMode="External"/><Relationship Id="rId12" Type="http://schemas.openxmlformats.org/officeDocument/2006/relationships/hyperlink" Target="https://www.vy.no/" TargetMode="External"/><Relationship Id="rId17" Type="http://schemas.openxmlformats.org/officeDocument/2006/relationships/hyperlink" Target="https://booknordics.com/norway/eastern-norway/oslo/oslo-fjord-gourmet-dinner-cruise" TargetMode="External"/><Relationship Id="rId2" Type="http://schemas.openxmlformats.org/officeDocument/2006/relationships/hyperlink" Target="https://www.vr.fi/en/santa-claus-express" TargetMode="External"/><Relationship Id="rId16" Type="http://schemas.openxmlformats.org/officeDocument/2006/relationships/hyperlink" Target="https://www.tallink.com/en" TargetMode="External"/><Relationship Id="rId20" Type="http://schemas.openxmlformats.org/officeDocument/2006/relationships/printerSettings" Target="../printerSettings/printerSettings14.bin"/><Relationship Id="rId1" Type="http://schemas.openxmlformats.org/officeDocument/2006/relationships/hyperlink" Target="https://www.finntastictours.fi/" TargetMode="External"/><Relationship Id="rId6" Type="http://schemas.openxmlformats.org/officeDocument/2006/relationships/hyperlink" Target="https://booknordics.com/norway/northern-norway/tromso-region/northern-lights-cruise-electric-ship" TargetMode="External"/><Relationship Id="rId11" Type="http://schemas.openxmlformats.org/officeDocument/2006/relationships/hyperlink" Target="https://www.floyen.no/en/floibanen/buy-tickets/" TargetMode="External"/><Relationship Id="rId5" Type="http://schemas.openxmlformats.org/officeDocument/2006/relationships/hyperlink" Target="https://bestarctic.com/the-arctic-route/arctic-winter-routes-explore-norway-sweden-and-finland/bus-between-tromso-norway-and-rovaniemi-finland/" TargetMode="External"/><Relationship Id="rId15" Type="http://schemas.openxmlformats.org/officeDocument/2006/relationships/hyperlink" Target="https://www.fjordtours.com/en" TargetMode="External"/><Relationship Id="rId10" Type="http://schemas.openxmlformats.org/officeDocument/2006/relationships/hyperlink" Target="https://booknordics.com/norway/western-fjord-norway/bergen-and-hardanger/mostraumen-fjord-waterfall-cruise" TargetMode="External"/><Relationship Id="rId19" Type="http://schemas.openxmlformats.org/officeDocument/2006/relationships/hyperlink" Target="https://booknordics.com/finland/western-lapland/rovaniemi/rovaniemi-northern-lights-family-tour-by-bus-with-photos" TargetMode="External"/><Relationship Id="rId4" Type="http://schemas.openxmlformats.org/officeDocument/2006/relationships/hyperlink" Target="https://booknordics.com/finland/western-lapland/rovaniemi/aurora-quest-by-minibus" TargetMode="External"/><Relationship Id="rId9" Type="http://schemas.openxmlformats.org/officeDocument/2006/relationships/hyperlink" Target="https://www.ilovebergen.net/tour/a-walk-through-bergen-past-present/" TargetMode="External"/><Relationship Id="rId14" Type="http://schemas.openxmlformats.org/officeDocument/2006/relationships/hyperlink" Target="https://booknordics.com/finland/western-lapland/rovaniemi/family-day-snowmobile-arctic-animals-and-santa-village"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4EA-7225-42CC-89DC-05C1D7355F04}">
  <dimension ref="B1:C7"/>
  <sheetViews>
    <sheetView workbookViewId="0">
      <selection activeCell="C2" sqref="C2"/>
    </sheetView>
  </sheetViews>
  <sheetFormatPr defaultRowHeight="15" x14ac:dyDescent="0.25"/>
  <cols>
    <col min="1" max="1" width="2.5703125" customWidth="1"/>
  </cols>
  <sheetData>
    <row r="1" spans="2:3" x14ac:dyDescent="0.25">
      <c r="C1" t="s">
        <v>8</v>
      </c>
    </row>
    <row r="2" spans="2:3" x14ac:dyDescent="0.25">
      <c r="B2" t="s">
        <v>10</v>
      </c>
      <c r="C2">
        <v>11.3</v>
      </c>
    </row>
    <row r="3" spans="2:3" x14ac:dyDescent="0.25">
      <c r="B3" t="s">
        <v>15</v>
      </c>
      <c r="C3">
        <v>1.02</v>
      </c>
    </row>
    <row r="4" spans="2:3" x14ac:dyDescent="0.25">
      <c r="B4" t="s">
        <v>16</v>
      </c>
      <c r="C4">
        <v>1.5</v>
      </c>
    </row>
    <row r="5" spans="2:3" x14ac:dyDescent="0.25">
      <c r="B5" t="s">
        <v>17</v>
      </c>
      <c r="C5">
        <v>7.4999999999999997E-2</v>
      </c>
    </row>
    <row r="6" spans="2:3" x14ac:dyDescent="0.25">
      <c r="B6" t="s">
        <v>8</v>
      </c>
      <c r="C6">
        <v>1</v>
      </c>
    </row>
    <row r="7" spans="2:3" x14ac:dyDescent="0.25">
      <c r="B7" t="s">
        <v>31</v>
      </c>
      <c r="C7">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D9EA-1F44-475C-B748-3B83ECFF75FC}">
  <sheetPr>
    <tabColor rgb="FFFFFF00"/>
  </sheetPr>
  <dimension ref="A2:B18"/>
  <sheetViews>
    <sheetView workbookViewId="0">
      <selection activeCell="B3" sqref="B3"/>
    </sheetView>
  </sheetViews>
  <sheetFormatPr defaultRowHeight="15" x14ac:dyDescent="0.25"/>
  <sheetData>
    <row r="2" spans="1:2" x14ac:dyDescent="0.25">
      <c r="A2" s="36" t="s">
        <v>214</v>
      </c>
      <c r="B2" s="37" t="s">
        <v>215</v>
      </c>
    </row>
    <row r="3" spans="1:2" x14ac:dyDescent="0.25">
      <c r="A3">
        <v>1201</v>
      </c>
      <c r="B3" s="38">
        <f>'1201'!Z60</f>
        <v>4380</v>
      </c>
    </row>
    <row r="4" spans="1:2" x14ac:dyDescent="0.25">
      <c r="A4">
        <v>1202</v>
      </c>
      <c r="B4" s="38">
        <f>'1202'!Z63</f>
        <v>3420</v>
      </c>
    </row>
    <row r="5" spans="1:2" x14ac:dyDescent="0.25">
      <c r="A5">
        <v>1203</v>
      </c>
      <c r="B5" s="38">
        <f>'1203'!Z72</f>
        <v>4340</v>
      </c>
    </row>
    <row r="6" spans="1:2" x14ac:dyDescent="0.25">
      <c r="A6">
        <v>1204</v>
      </c>
      <c r="B6" s="38">
        <f>'1204'!Z64</f>
        <v>4940</v>
      </c>
    </row>
    <row r="7" spans="1:2" x14ac:dyDescent="0.25">
      <c r="A7">
        <v>1205</v>
      </c>
      <c r="B7" s="38">
        <f>'1205'!Z74</f>
        <v>4560</v>
      </c>
    </row>
    <row r="8" spans="1:2" x14ac:dyDescent="0.25">
      <c r="A8">
        <v>1206</v>
      </c>
      <c r="B8" s="38">
        <f>'1206'!Z67</f>
        <v>4640</v>
      </c>
    </row>
    <row r="9" spans="1:2" x14ac:dyDescent="0.25">
      <c r="A9">
        <v>1207</v>
      </c>
      <c r="B9" s="38">
        <f>'1207'!Z65</f>
        <v>4560</v>
      </c>
    </row>
    <row r="10" spans="1:2" x14ac:dyDescent="0.25">
      <c r="A10">
        <v>1208</v>
      </c>
      <c r="B10" s="38">
        <f>'1208'!Z82</f>
        <v>5140</v>
      </c>
    </row>
    <row r="11" spans="1:2" x14ac:dyDescent="0.25">
      <c r="A11">
        <v>1209</v>
      </c>
      <c r="B11" s="38">
        <f>'1209'!Z84</f>
        <v>5160</v>
      </c>
    </row>
    <row r="12" spans="1:2" x14ac:dyDescent="0.25">
      <c r="A12">
        <v>1210</v>
      </c>
      <c r="B12" s="38">
        <f>'1210'!Z85</f>
        <v>4920</v>
      </c>
    </row>
    <row r="13" spans="1:2" x14ac:dyDescent="0.25">
      <c r="A13">
        <v>1211</v>
      </c>
      <c r="B13" s="38">
        <f>'1211'!Z71</f>
        <v>4080</v>
      </c>
    </row>
    <row r="14" spans="1:2" x14ac:dyDescent="0.25">
      <c r="A14">
        <v>1212</v>
      </c>
      <c r="B14" s="38">
        <f>'1212'!Z77</f>
        <v>5240</v>
      </c>
    </row>
    <row r="15" spans="1:2" x14ac:dyDescent="0.25">
      <c r="A15">
        <v>1213</v>
      </c>
      <c r="B15" s="38">
        <f>'1213'!Z82</f>
        <v>4760</v>
      </c>
    </row>
    <row r="16" spans="1:2" x14ac:dyDescent="0.25">
      <c r="A16">
        <v>1214</v>
      </c>
      <c r="B16" s="38">
        <f>'1214'!Z88</f>
        <v>5920</v>
      </c>
    </row>
    <row r="17" spans="1:1" x14ac:dyDescent="0.25">
      <c r="A17">
        <v>1215</v>
      </c>
    </row>
    <row r="18" spans="1:1" x14ac:dyDescent="0.25">
      <c r="A18">
        <v>1216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E6C0-BF7F-4EA5-97F6-74A08C367EEF}">
  <sheetPr>
    <tabColor rgb="FFFFFF00"/>
  </sheetPr>
  <dimension ref="B1:AK79"/>
  <sheetViews>
    <sheetView zoomScale="80" zoomScaleNormal="80" workbookViewId="0">
      <selection activeCell="J9" sqref="J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53</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24"/>
      <c r="H7" s="24"/>
      <c r="J7" s="1" t="s">
        <v>69</v>
      </c>
      <c r="K7" s="4"/>
      <c r="L7" s="4"/>
      <c r="M7" s="4"/>
      <c r="N7" s="4"/>
      <c r="O7" s="4"/>
      <c r="P7" s="27"/>
      <c r="Q7" s="25">
        <v>0</v>
      </c>
      <c r="R7" s="25">
        <v>0</v>
      </c>
      <c r="S7" s="12">
        <f t="shared" ref="S7:S10" si="0">+Q7*R7</f>
        <v>0</v>
      </c>
      <c r="T7" s="5">
        <v>0</v>
      </c>
      <c r="U7" s="12">
        <f t="shared" ref="U7:U10" si="1">S7*(1-T7)</f>
        <v>0</v>
      </c>
      <c r="V7" s="25" t="s">
        <v>10</v>
      </c>
      <c r="W7" s="11">
        <f>IFERROR(VLOOKUP(V7,[1]Curr!$B$2:$C$13,2,FALSE),0)</f>
        <v>11.3</v>
      </c>
      <c r="X7" s="12">
        <f t="shared" ref="X7:X10" si="2">U7*W7</f>
        <v>0</v>
      </c>
      <c r="Y7" s="26">
        <f t="shared" ref="Y7:Y10" si="3">Q7</f>
        <v>0</v>
      </c>
      <c r="Z7" s="12">
        <f t="shared" ref="Z7" si="4">+Y7*R7</f>
        <v>0</v>
      </c>
      <c r="AA7" s="4" t="s">
        <v>10</v>
      </c>
      <c r="AB7" s="11">
        <f>IFERROR(VLOOKUP(AA7,Curr!$B$2:$C$13,2,FALSE),0)</f>
        <v>11.3</v>
      </c>
      <c r="AC7" s="12">
        <f t="shared" ref="AC7" si="5">+Y7*AB7*R7</f>
        <v>0</v>
      </c>
      <c r="AD7" s="12">
        <f t="shared" ref="AD7" si="6">+AC7-X7</f>
        <v>0</v>
      </c>
      <c r="AE7" s="13">
        <f t="shared" ref="AE7" si="7">IFERROR(AD7/AC7,0)</f>
        <v>0</v>
      </c>
    </row>
    <row r="8" spans="2:36" x14ac:dyDescent="0.25">
      <c r="B8" s="4"/>
      <c r="C8" s="1" t="s">
        <v>64</v>
      </c>
      <c r="D8" s="1" t="s">
        <v>66</v>
      </c>
      <c r="E8" s="3"/>
      <c r="F8" s="3"/>
      <c r="G8" s="24"/>
      <c r="H8" s="24"/>
      <c r="J8" s="1" t="s">
        <v>70</v>
      </c>
      <c r="K8" s="4"/>
      <c r="L8" s="4"/>
      <c r="M8" s="4"/>
      <c r="N8" s="4"/>
      <c r="O8" s="4"/>
      <c r="P8" s="27"/>
      <c r="Q8" s="25">
        <v>0</v>
      </c>
      <c r="R8" s="25">
        <v>0</v>
      </c>
      <c r="S8" s="12">
        <f t="shared" si="0"/>
        <v>0</v>
      </c>
      <c r="T8" s="5">
        <v>0</v>
      </c>
      <c r="U8" s="12">
        <f t="shared" si="1"/>
        <v>0</v>
      </c>
      <c r="V8" s="25" t="s">
        <v>10</v>
      </c>
      <c r="W8" s="11">
        <f>IFERROR(VLOOKUP(V8,[1]Curr!$B$2:$C$13,2,FALSE),0)</f>
        <v>11.3</v>
      </c>
      <c r="X8" s="12">
        <f t="shared" si="2"/>
        <v>0</v>
      </c>
      <c r="Y8" s="26">
        <f>Q8/0.8</f>
        <v>0</v>
      </c>
      <c r="Z8" s="12">
        <f t="shared" ref="Z8:Z11" si="8">+Y8*R8</f>
        <v>0</v>
      </c>
      <c r="AA8" s="4" t="s">
        <v>10</v>
      </c>
      <c r="AB8" s="11">
        <f>IFERROR(VLOOKUP(AA8,Curr!$B$2:$C$13,2,FALSE),0)</f>
        <v>11.3</v>
      </c>
      <c r="AC8" s="12">
        <f t="shared" ref="AC8:AC11" si="9">+Y8*AB8*R8</f>
        <v>0</v>
      </c>
      <c r="AD8" s="12">
        <f t="shared" ref="AD8:AD11" si="10">+AC8-X8</f>
        <v>0</v>
      </c>
      <c r="AE8" s="13">
        <f t="shared" ref="AE8:AE11" si="11">IFERROR(AD8/AC8,0)</f>
        <v>0</v>
      </c>
    </row>
    <row r="9" spans="2:36" x14ac:dyDescent="0.25">
      <c r="B9" s="4"/>
      <c r="C9" s="1" t="s">
        <v>64</v>
      </c>
      <c r="D9" s="1" t="s">
        <v>67</v>
      </c>
      <c r="E9" s="3"/>
      <c r="F9" s="3"/>
      <c r="G9" s="24"/>
      <c r="H9" s="24"/>
      <c r="J9" s="1" t="s">
        <v>122</v>
      </c>
      <c r="K9" s="4"/>
      <c r="L9" s="4"/>
      <c r="M9" s="4"/>
      <c r="N9" s="4" t="s">
        <v>42</v>
      </c>
      <c r="O9" s="4"/>
      <c r="P9" s="33"/>
      <c r="Q9" s="25">
        <v>850</v>
      </c>
      <c r="R9" s="25">
        <v>1</v>
      </c>
      <c r="S9" s="12">
        <f t="shared" si="0"/>
        <v>850</v>
      </c>
      <c r="T9" s="5">
        <v>0</v>
      </c>
      <c r="U9" s="12">
        <f t="shared" si="1"/>
        <v>850</v>
      </c>
      <c r="V9" s="25" t="s">
        <v>10</v>
      </c>
      <c r="W9" s="11">
        <f>IFERROR(VLOOKUP(V9,[1]Curr!$B$2:$C$13,2,FALSE),0)</f>
        <v>11.3</v>
      </c>
      <c r="X9" s="12">
        <f t="shared" si="2"/>
        <v>9605</v>
      </c>
      <c r="Y9" s="26">
        <f>Q9/0.8</f>
        <v>1062.5</v>
      </c>
      <c r="Z9" s="12">
        <f t="shared" si="8"/>
        <v>1062.5</v>
      </c>
      <c r="AA9" s="4" t="s">
        <v>10</v>
      </c>
      <c r="AB9" s="11">
        <f>IFERROR(VLOOKUP(AA9,Curr!$B$2:$C$13,2,FALSE),0)</f>
        <v>11.3</v>
      </c>
      <c r="AC9" s="12">
        <f t="shared" si="9"/>
        <v>12006.25</v>
      </c>
      <c r="AD9" s="12">
        <f t="shared" si="10"/>
        <v>2401.25</v>
      </c>
      <c r="AE9" s="13">
        <f t="shared" si="11"/>
        <v>0.2</v>
      </c>
    </row>
    <row r="10" spans="2:36" x14ac:dyDescent="0.25">
      <c r="B10" s="4"/>
      <c r="C10" s="1" t="s">
        <v>64</v>
      </c>
      <c r="D10" s="1" t="s">
        <v>68</v>
      </c>
      <c r="E10" s="3"/>
      <c r="F10" s="3"/>
      <c r="G10" s="24"/>
      <c r="H10" s="24"/>
      <c r="J10" s="1" t="s">
        <v>71</v>
      </c>
      <c r="K10" s="4"/>
      <c r="L10" s="4"/>
      <c r="M10" s="4"/>
      <c r="N10" s="4"/>
      <c r="O10" s="4"/>
      <c r="P10" s="27"/>
      <c r="Q10" s="25">
        <v>0</v>
      </c>
      <c r="R10" s="25">
        <v>0</v>
      </c>
      <c r="S10" s="12">
        <f t="shared" si="0"/>
        <v>0</v>
      </c>
      <c r="T10" s="5">
        <v>0</v>
      </c>
      <c r="U10" s="12">
        <f t="shared" si="1"/>
        <v>0</v>
      </c>
      <c r="V10" s="25" t="s">
        <v>10</v>
      </c>
      <c r="W10" s="11">
        <f>IFERROR(VLOOKUP(V10,[1]Curr!$B$2:$C$13,2,FALSE),0)</f>
        <v>11.3</v>
      </c>
      <c r="X10" s="12">
        <f t="shared" si="2"/>
        <v>0</v>
      </c>
      <c r="Y10" s="26">
        <f t="shared" si="3"/>
        <v>0</v>
      </c>
      <c r="Z10" s="12">
        <f t="shared" si="8"/>
        <v>0</v>
      </c>
      <c r="AA10" s="4" t="s">
        <v>10</v>
      </c>
      <c r="AB10" s="11">
        <f>IFERROR(VLOOKUP(AA10,Curr!$B$2:$C$13,2,FALSE),0)</f>
        <v>11.3</v>
      </c>
      <c r="AC10" s="12">
        <f t="shared" si="9"/>
        <v>0</v>
      </c>
      <c r="AD10" s="12">
        <f t="shared" si="10"/>
        <v>0</v>
      </c>
      <c r="AE10" s="13">
        <f t="shared" si="11"/>
        <v>0</v>
      </c>
    </row>
    <row r="11" spans="2:36" x14ac:dyDescent="0.25">
      <c r="B11" s="4"/>
      <c r="E11" s="3"/>
      <c r="F11" s="3"/>
      <c r="G11" s="24"/>
      <c r="H11" s="24"/>
      <c r="K11" s="4"/>
      <c r="L11" s="4"/>
      <c r="M11" s="4"/>
      <c r="N11" s="4"/>
      <c r="O11" s="4"/>
      <c r="P11" s="27"/>
      <c r="Q11" s="25"/>
      <c r="R11" s="25"/>
      <c r="S11" s="12">
        <f t="shared" ref="S11" si="12">+Q11*R11</f>
        <v>0</v>
      </c>
      <c r="T11" s="5">
        <v>0</v>
      </c>
      <c r="U11" s="12">
        <f t="shared" ref="U11" si="13">S11*(1-T11)</f>
        <v>0</v>
      </c>
      <c r="V11" s="25" t="s">
        <v>10</v>
      </c>
      <c r="W11" s="11">
        <f>IFERROR(VLOOKUP(V11,[1]Curr!$B$2:$C$13,2,FALSE),0)</f>
        <v>11.3</v>
      </c>
      <c r="X11" s="12">
        <f t="shared" ref="X11" si="14">U11*W11</f>
        <v>0</v>
      </c>
      <c r="Y11" s="26">
        <f t="shared" ref="Y11" si="15">Q11</f>
        <v>0</v>
      </c>
      <c r="Z11" s="12">
        <f t="shared" si="8"/>
        <v>0</v>
      </c>
      <c r="AA11" s="4" t="s">
        <v>10</v>
      </c>
      <c r="AB11" s="11">
        <f>IFERROR(VLOOKUP(AA11,Curr!$B$2:$C$13,2,FALSE),0)</f>
        <v>11.3</v>
      </c>
      <c r="AC11" s="12">
        <f t="shared" si="9"/>
        <v>0</v>
      </c>
      <c r="AD11" s="12">
        <f t="shared" si="10"/>
        <v>0</v>
      </c>
      <c r="AE11" s="13">
        <f t="shared" si="11"/>
        <v>0</v>
      </c>
    </row>
    <row r="12" spans="2:36" x14ac:dyDescent="0.25">
      <c r="B12" s="4"/>
      <c r="C12" s="1" t="s">
        <v>76</v>
      </c>
      <c r="D12" s="1" t="s">
        <v>75</v>
      </c>
      <c r="E12" s="3"/>
      <c r="F12" s="3"/>
      <c r="G12" s="24"/>
      <c r="H12" s="24"/>
      <c r="J12" s="1" t="s">
        <v>101</v>
      </c>
      <c r="K12" s="4"/>
      <c r="L12" s="4"/>
      <c r="M12" s="4"/>
      <c r="N12" s="4"/>
      <c r="O12" s="4" t="s">
        <v>42</v>
      </c>
      <c r="P12" s="33" t="s">
        <v>102</v>
      </c>
      <c r="Q12" s="25">
        <v>188</v>
      </c>
      <c r="R12" s="25">
        <v>2</v>
      </c>
      <c r="S12" s="12">
        <v>376</v>
      </c>
      <c r="T12" s="5">
        <v>0.2</v>
      </c>
      <c r="U12" s="12">
        <v>300.8</v>
      </c>
      <c r="V12" s="25" t="s">
        <v>10</v>
      </c>
      <c r="W12" s="11">
        <v>11.3</v>
      </c>
      <c r="X12" s="12">
        <v>3399.0400000000004</v>
      </c>
      <c r="Y12" s="26">
        <v>188</v>
      </c>
      <c r="Z12" s="12">
        <f t="shared" ref="Z12:Z54" si="16">+Y12*R12</f>
        <v>376</v>
      </c>
      <c r="AA12" s="4" t="s">
        <v>10</v>
      </c>
      <c r="AB12" s="11">
        <f>IFERROR(VLOOKUP(AA12,Curr!$B$2:$C$13,2,FALSE),0)</f>
        <v>11.3</v>
      </c>
      <c r="AC12" s="12">
        <f t="shared" ref="AC12:AC54" si="17">+Y12*AB12*R12</f>
        <v>4248.8</v>
      </c>
      <c r="AD12" s="12">
        <f t="shared" ref="AD12:AD54" si="18">+AC12-X12</f>
        <v>849.75999999999976</v>
      </c>
      <c r="AE12" s="13">
        <f t="shared" ref="AE12:AE54" si="19">IFERROR(AD12/AC12,0)</f>
        <v>0.19999999999999993</v>
      </c>
    </row>
    <row r="13" spans="2:36" x14ac:dyDescent="0.25">
      <c r="B13" s="4"/>
      <c r="C13" s="1" t="s">
        <v>76</v>
      </c>
      <c r="D13" s="1" t="s">
        <v>68</v>
      </c>
      <c r="E13" s="3"/>
      <c r="F13" s="3"/>
      <c r="G13" s="24"/>
      <c r="H13" s="24"/>
      <c r="J13" s="1" t="s">
        <v>71</v>
      </c>
      <c r="K13" s="4"/>
      <c r="L13" s="4"/>
      <c r="M13" s="4"/>
      <c r="N13" s="4"/>
      <c r="O13" s="4"/>
      <c r="P13" s="27"/>
      <c r="Q13" s="25">
        <v>0</v>
      </c>
      <c r="R13" s="25">
        <v>0</v>
      </c>
      <c r="S13" s="12">
        <f t="shared" ref="S13:S54" si="20">+Q13*R13</f>
        <v>0</v>
      </c>
      <c r="T13" s="5">
        <v>0</v>
      </c>
      <c r="U13" s="12">
        <f t="shared" ref="U13:U54" si="21">S13*(1-T13)</f>
        <v>0</v>
      </c>
      <c r="V13" s="25" t="s">
        <v>10</v>
      </c>
      <c r="W13" s="11">
        <f>IFERROR(VLOOKUP(V13,[1]Curr!$B$2:$C$13,2,FALSE),0)</f>
        <v>11.3</v>
      </c>
      <c r="X13" s="12">
        <f t="shared" ref="X13:X54" si="22">U13*W13</f>
        <v>0</v>
      </c>
      <c r="Y13" s="26">
        <f t="shared" ref="Y13:Y54" si="23">Q13</f>
        <v>0</v>
      </c>
      <c r="Z13" s="12">
        <f t="shared" si="16"/>
        <v>0</v>
      </c>
      <c r="AA13" s="4" t="s">
        <v>10</v>
      </c>
      <c r="AB13" s="11">
        <f>IFERROR(VLOOKUP(AA13,Curr!$B$2:$C$13,2,FALSE),0)</f>
        <v>11.3</v>
      </c>
      <c r="AC13" s="12">
        <f t="shared" si="17"/>
        <v>0</v>
      </c>
      <c r="AD13" s="12">
        <f t="shared" si="18"/>
        <v>0</v>
      </c>
      <c r="AE13" s="13">
        <f t="shared" si="19"/>
        <v>0</v>
      </c>
    </row>
    <row r="14" spans="2:36" x14ac:dyDescent="0.25">
      <c r="B14" s="4"/>
      <c r="C14" s="1" t="s">
        <v>76</v>
      </c>
      <c r="D14" s="1" t="s">
        <v>75</v>
      </c>
      <c r="E14" s="3"/>
      <c r="F14" s="3"/>
      <c r="G14" s="24"/>
      <c r="H14" s="24"/>
      <c r="J14" s="1" t="s">
        <v>218</v>
      </c>
      <c r="K14" s="4"/>
      <c r="L14" s="4"/>
      <c r="M14" s="4"/>
      <c r="N14" s="4"/>
      <c r="O14" s="4" t="s">
        <v>42</v>
      </c>
      <c r="P14" s="33" t="s">
        <v>219</v>
      </c>
      <c r="Q14" s="25">
        <v>109</v>
      </c>
      <c r="R14" s="25">
        <v>2</v>
      </c>
      <c r="S14" s="12">
        <f t="shared" si="20"/>
        <v>218</v>
      </c>
      <c r="T14" s="5">
        <v>0.2</v>
      </c>
      <c r="U14" s="12">
        <f t="shared" si="21"/>
        <v>174.4</v>
      </c>
      <c r="V14" s="25" t="s">
        <v>10</v>
      </c>
      <c r="W14" s="11">
        <f>IFERROR(VLOOKUP(V14,[1]Curr!$B$2:$C$13,2,FALSE),0)</f>
        <v>11.3</v>
      </c>
      <c r="X14" s="12">
        <f t="shared" si="22"/>
        <v>1970.7200000000003</v>
      </c>
      <c r="Y14" s="26">
        <f t="shared" si="23"/>
        <v>109</v>
      </c>
      <c r="Z14" s="12">
        <f t="shared" si="16"/>
        <v>218</v>
      </c>
      <c r="AA14" s="4" t="s">
        <v>10</v>
      </c>
      <c r="AB14" s="11">
        <f>IFERROR(VLOOKUP(AA14,Curr!$B$2:$C$13,2,FALSE),0)</f>
        <v>11.3</v>
      </c>
      <c r="AC14" s="12">
        <f t="shared" si="17"/>
        <v>2463.4</v>
      </c>
      <c r="AD14" s="12">
        <f t="shared" si="18"/>
        <v>492.67999999999984</v>
      </c>
      <c r="AE14" s="13">
        <f t="shared" si="19"/>
        <v>0.19999999999999993</v>
      </c>
    </row>
    <row r="15" spans="2:36" x14ac:dyDescent="0.25">
      <c r="B15" s="4"/>
      <c r="E15" s="3"/>
      <c r="F15" s="3"/>
      <c r="G15" s="24"/>
      <c r="H15" s="24"/>
      <c r="K15" s="4"/>
      <c r="L15" s="4"/>
      <c r="M15" s="4"/>
      <c r="N15" s="4"/>
      <c r="O15" s="4"/>
      <c r="P15" s="27"/>
      <c r="Q15" s="25"/>
      <c r="R15" s="25"/>
      <c r="S15" s="12">
        <f t="shared" si="20"/>
        <v>0</v>
      </c>
      <c r="T15" s="5">
        <v>0</v>
      </c>
      <c r="U15" s="12">
        <f t="shared" si="21"/>
        <v>0</v>
      </c>
      <c r="V15" s="25" t="s">
        <v>10</v>
      </c>
      <c r="W15" s="11">
        <f>IFERROR(VLOOKUP(V15,[1]Curr!$B$2:$C$13,2,FALSE),0)</f>
        <v>11.3</v>
      </c>
      <c r="X15" s="12">
        <f t="shared" si="22"/>
        <v>0</v>
      </c>
      <c r="Y15" s="26">
        <f t="shared" si="23"/>
        <v>0</v>
      </c>
      <c r="Z15" s="12">
        <f t="shared" si="16"/>
        <v>0</v>
      </c>
      <c r="AA15" s="4" t="s">
        <v>10</v>
      </c>
      <c r="AB15" s="11">
        <f>IFERROR(VLOOKUP(AA15,Curr!$B$2:$C$13,2,FALSE),0)</f>
        <v>11.3</v>
      </c>
      <c r="AC15" s="12">
        <f t="shared" si="17"/>
        <v>0</v>
      </c>
      <c r="AD15" s="12">
        <f t="shared" si="18"/>
        <v>0</v>
      </c>
      <c r="AE15" s="13">
        <f t="shared" si="19"/>
        <v>0</v>
      </c>
    </row>
    <row r="16" spans="2:36" x14ac:dyDescent="0.25">
      <c r="B16" s="4"/>
      <c r="C16" s="1" t="s">
        <v>77</v>
      </c>
      <c r="D16" s="1" t="s">
        <v>75</v>
      </c>
      <c r="E16" s="3"/>
      <c r="F16" s="3"/>
      <c r="G16" s="24"/>
      <c r="H16" s="24"/>
      <c r="J16" s="1" t="s">
        <v>113</v>
      </c>
      <c r="K16" s="4"/>
      <c r="L16" s="4"/>
      <c r="M16" s="4"/>
      <c r="N16" s="4"/>
      <c r="O16" s="4" t="s">
        <v>42</v>
      </c>
      <c r="P16" s="33" t="s">
        <v>114</v>
      </c>
      <c r="Q16" s="25">
        <v>109</v>
      </c>
      <c r="R16" s="25">
        <v>2</v>
      </c>
      <c r="S16" s="12">
        <f t="shared" si="20"/>
        <v>218</v>
      </c>
      <c r="T16" s="5">
        <v>0.2</v>
      </c>
      <c r="U16" s="12">
        <f t="shared" si="21"/>
        <v>174.4</v>
      </c>
      <c r="V16" s="25" t="s">
        <v>10</v>
      </c>
      <c r="W16" s="11">
        <f>IFERROR(VLOOKUP(V16,[1]Curr!$B$2:$C$13,2,FALSE),0)</f>
        <v>11.3</v>
      </c>
      <c r="X16" s="12">
        <f t="shared" si="22"/>
        <v>1970.7200000000003</v>
      </c>
      <c r="Y16" s="26">
        <f t="shared" si="23"/>
        <v>109</v>
      </c>
      <c r="Z16" s="12">
        <f t="shared" si="16"/>
        <v>218</v>
      </c>
      <c r="AA16" s="4" t="s">
        <v>10</v>
      </c>
      <c r="AB16" s="11">
        <f>IFERROR(VLOOKUP(AA16,Curr!$B$2:$C$13,2,FALSE),0)</f>
        <v>11.3</v>
      </c>
      <c r="AC16" s="12">
        <f t="shared" si="17"/>
        <v>2463.4</v>
      </c>
      <c r="AD16" s="12">
        <f t="shared" si="18"/>
        <v>492.67999999999984</v>
      </c>
      <c r="AE16" s="13">
        <f t="shared" si="19"/>
        <v>0.19999999999999993</v>
      </c>
    </row>
    <row r="17" spans="2:31" x14ac:dyDescent="0.25">
      <c r="B17" s="4"/>
      <c r="C17" s="1" t="s">
        <v>77</v>
      </c>
      <c r="D17" s="1" t="s">
        <v>68</v>
      </c>
      <c r="E17" s="3"/>
      <c r="F17" s="3"/>
      <c r="G17" s="24"/>
      <c r="H17" s="24"/>
      <c r="J17" s="1" t="s">
        <v>71</v>
      </c>
      <c r="K17" s="4"/>
      <c r="L17" s="4"/>
      <c r="M17" s="4"/>
      <c r="N17" s="4"/>
      <c r="O17" s="4"/>
      <c r="P17" s="29"/>
      <c r="Q17" s="25">
        <v>0</v>
      </c>
      <c r="R17" s="25">
        <v>0</v>
      </c>
      <c r="S17" s="12">
        <f t="shared" si="20"/>
        <v>0</v>
      </c>
      <c r="T17" s="5">
        <v>0</v>
      </c>
      <c r="U17" s="12">
        <f t="shared" si="21"/>
        <v>0</v>
      </c>
      <c r="V17" s="25" t="s">
        <v>10</v>
      </c>
      <c r="W17" s="11">
        <f>IFERROR(VLOOKUP(V17,[1]Curr!$B$2:$C$13,2,FALSE),0)</f>
        <v>11.3</v>
      </c>
      <c r="X17" s="12">
        <f t="shared" si="22"/>
        <v>0</v>
      </c>
      <c r="Y17" s="26">
        <f t="shared" si="23"/>
        <v>0</v>
      </c>
      <c r="Z17" s="12">
        <f t="shared" si="16"/>
        <v>0</v>
      </c>
      <c r="AA17" s="4" t="s">
        <v>10</v>
      </c>
      <c r="AB17" s="11">
        <f>IFERROR(VLOOKUP(AA17,Curr!$B$2:$C$13,2,FALSE),0)</f>
        <v>11.3</v>
      </c>
      <c r="AC17" s="12">
        <f t="shared" si="17"/>
        <v>0</v>
      </c>
      <c r="AD17" s="12">
        <f t="shared" si="18"/>
        <v>0</v>
      </c>
      <c r="AE17" s="13">
        <f t="shared" si="19"/>
        <v>0</v>
      </c>
    </row>
    <row r="18" spans="2:31" x14ac:dyDescent="0.25">
      <c r="B18" s="4"/>
      <c r="C18" s="1" t="s">
        <v>77</v>
      </c>
      <c r="D18" s="1" t="s">
        <v>75</v>
      </c>
      <c r="E18" s="3"/>
      <c r="F18" s="3"/>
      <c r="G18" s="24"/>
      <c r="H18" s="24"/>
      <c r="J18" s="1" t="s">
        <v>103</v>
      </c>
      <c r="K18" s="4"/>
      <c r="L18" s="4"/>
      <c r="M18" s="4"/>
      <c r="N18" s="4"/>
      <c r="O18" s="4" t="s">
        <v>42</v>
      </c>
      <c r="P18" s="33" t="s">
        <v>104</v>
      </c>
      <c r="Q18" s="25">
        <v>89</v>
      </c>
      <c r="R18" s="25">
        <v>2</v>
      </c>
      <c r="S18" s="12">
        <v>178</v>
      </c>
      <c r="T18" s="5">
        <v>0.2</v>
      </c>
      <c r="U18" s="12">
        <v>142.4</v>
      </c>
      <c r="V18" s="25" t="s">
        <v>10</v>
      </c>
      <c r="W18" s="11">
        <v>11.3</v>
      </c>
      <c r="X18" s="12">
        <v>1609.1200000000001</v>
      </c>
      <c r="Y18" s="26">
        <v>89</v>
      </c>
      <c r="Z18" s="12">
        <f t="shared" si="16"/>
        <v>178</v>
      </c>
      <c r="AA18" s="4" t="s">
        <v>10</v>
      </c>
      <c r="AB18" s="11">
        <f>IFERROR(VLOOKUP(AA18,Curr!$B$2:$C$13,2,FALSE),0)</f>
        <v>11.3</v>
      </c>
      <c r="AC18" s="12">
        <f t="shared" si="17"/>
        <v>2011.4</v>
      </c>
      <c r="AD18" s="12">
        <f t="shared" si="18"/>
        <v>402.28</v>
      </c>
      <c r="AE18" s="13">
        <f t="shared" si="19"/>
        <v>0.19999999999999998</v>
      </c>
    </row>
    <row r="19" spans="2:31" x14ac:dyDescent="0.25">
      <c r="B19" s="4"/>
      <c r="E19" s="3"/>
      <c r="F19" s="3"/>
      <c r="G19" s="24"/>
      <c r="H19" s="24"/>
      <c r="K19" s="4"/>
      <c r="L19" s="4"/>
      <c r="M19" s="4"/>
      <c r="N19" s="4"/>
      <c r="O19" s="4"/>
      <c r="P19" s="27"/>
      <c r="Q19" s="25"/>
      <c r="R19" s="25"/>
      <c r="S19" s="12">
        <f t="shared" si="20"/>
        <v>0</v>
      </c>
      <c r="T19" s="5">
        <v>0</v>
      </c>
      <c r="U19" s="12">
        <f t="shared" si="21"/>
        <v>0</v>
      </c>
      <c r="V19" s="25" t="s">
        <v>10</v>
      </c>
      <c r="W19" s="11">
        <f>IFERROR(VLOOKUP(V19,[1]Curr!$B$2:$C$13,2,FALSE),0)</f>
        <v>11.3</v>
      </c>
      <c r="X19" s="12">
        <f t="shared" si="22"/>
        <v>0</v>
      </c>
      <c r="Y19" s="26">
        <f t="shared" si="23"/>
        <v>0</v>
      </c>
      <c r="Z19" s="12">
        <f t="shared" si="16"/>
        <v>0</v>
      </c>
      <c r="AA19" s="4" t="s">
        <v>10</v>
      </c>
      <c r="AB19" s="11">
        <f>IFERROR(VLOOKUP(AA19,Curr!$B$2:$C$13,2,FALSE),0)</f>
        <v>11.3</v>
      </c>
      <c r="AC19" s="12">
        <f t="shared" si="17"/>
        <v>0</v>
      </c>
      <c r="AD19" s="12">
        <f t="shared" si="18"/>
        <v>0</v>
      </c>
      <c r="AE19" s="13">
        <f t="shared" si="19"/>
        <v>0</v>
      </c>
    </row>
    <row r="20" spans="2:31" x14ac:dyDescent="0.25">
      <c r="B20" s="4"/>
      <c r="C20" s="1" t="s">
        <v>78</v>
      </c>
      <c r="D20" s="1" t="s">
        <v>66</v>
      </c>
      <c r="E20" s="3"/>
      <c r="F20" s="3"/>
      <c r="G20" s="24"/>
      <c r="H20" s="24"/>
      <c r="J20" s="1" t="s">
        <v>107</v>
      </c>
      <c r="K20" s="4"/>
      <c r="L20" s="4"/>
      <c r="M20" s="4"/>
      <c r="N20" s="4"/>
      <c r="O20" s="4"/>
      <c r="P20" s="27"/>
      <c r="Q20" s="25">
        <v>0</v>
      </c>
      <c r="R20" s="25">
        <v>0</v>
      </c>
      <c r="S20" s="12">
        <f t="shared" ref="S20" si="24">+Q20*R20</f>
        <v>0</v>
      </c>
      <c r="T20" s="5">
        <v>0</v>
      </c>
      <c r="U20" s="12">
        <f t="shared" ref="U20" si="25">S20*(1-T20)</f>
        <v>0</v>
      </c>
      <c r="V20" s="25" t="s">
        <v>10</v>
      </c>
      <c r="W20" s="11">
        <f>IFERROR(VLOOKUP(V20,[1]Curr!$B$2:$C$13,2,FALSE),0)</f>
        <v>11.3</v>
      </c>
      <c r="X20" s="12">
        <f t="shared" ref="X20" si="26">U20*W20</f>
        <v>0</v>
      </c>
      <c r="Y20" s="26">
        <f t="shared" ref="Y20" si="27">Q20</f>
        <v>0</v>
      </c>
      <c r="Z20" s="12">
        <f t="shared" ref="Z20" si="28">+Y20*R20</f>
        <v>0</v>
      </c>
      <c r="AA20" s="4" t="s">
        <v>10</v>
      </c>
      <c r="AB20" s="11">
        <f>IFERROR(VLOOKUP(AA20,Curr!$B$2:$C$13,2,FALSE),0)</f>
        <v>11.3</v>
      </c>
      <c r="AC20" s="12">
        <f t="shared" ref="AC20" si="29">+Y20*AB20*R20</f>
        <v>0</v>
      </c>
      <c r="AD20" s="12">
        <f t="shared" ref="AD20" si="30">+AC20-X20</f>
        <v>0</v>
      </c>
      <c r="AE20" s="13">
        <f t="shared" ref="AE20" si="31">IFERROR(AD20/AC20,0)</f>
        <v>0</v>
      </c>
    </row>
    <row r="21" spans="2:31" x14ac:dyDescent="0.25">
      <c r="B21" s="4"/>
      <c r="C21" s="1" t="s">
        <v>78</v>
      </c>
      <c r="D21" s="1" t="s">
        <v>75</v>
      </c>
      <c r="E21" s="3"/>
      <c r="F21" s="3"/>
      <c r="G21" s="24"/>
      <c r="H21" s="24"/>
      <c r="J21" s="1" t="s">
        <v>79</v>
      </c>
      <c r="K21" s="4"/>
      <c r="L21" s="4"/>
      <c r="M21" s="4"/>
      <c r="N21" s="4"/>
      <c r="O21" s="4" t="s">
        <v>42</v>
      </c>
      <c r="P21" s="33" t="s">
        <v>80</v>
      </c>
      <c r="Q21" s="25">
        <v>1830</v>
      </c>
      <c r="R21" s="25">
        <v>2</v>
      </c>
      <c r="S21" s="12">
        <f t="shared" si="20"/>
        <v>3660</v>
      </c>
      <c r="T21" s="5">
        <v>0.2</v>
      </c>
      <c r="U21" s="12">
        <f t="shared" si="21"/>
        <v>2928</v>
      </c>
      <c r="V21" s="25" t="s">
        <v>8</v>
      </c>
      <c r="W21" s="11">
        <f>IFERROR(VLOOKUP(V21,[1]Curr!$B$2:$C$13,2,FALSE),0)</f>
        <v>1</v>
      </c>
      <c r="X21" s="12">
        <f t="shared" si="22"/>
        <v>2928</v>
      </c>
      <c r="Y21" s="26">
        <f>Q21/11.3/0.9</f>
        <v>179.9410029498525</v>
      </c>
      <c r="Z21" s="12">
        <f t="shared" si="16"/>
        <v>359.88200589970501</v>
      </c>
      <c r="AA21" s="4" t="s">
        <v>10</v>
      </c>
      <c r="AB21" s="11">
        <f>IFERROR(VLOOKUP(AA21,Curr!$B$2:$C$13,2,FALSE),0)</f>
        <v>11.3</v>
      </c>
      <c r="AC21" s="12">
        <f t="shared" si="17"/>
        <v>4066.666666666667</v>
      </c>
      <c r="AD21" s="12">
        <f t="shared" si="18"/>
        <v>1138.666666666667</v>
      </c>
      <c r="AE21" s="13">
        <f t="shared" si="19"/>
        <v>0.28000000000000003</v>
      </c>
    </row>
    <row r="22" spans="2:31" x14ac:dyDescent="0.25">
      <c r="B22" s="4"/>
      <c r="C22" s="1" t="s">
        <v>78</v>
      </c>
      <c r="D22" s="1" t="s">
        <v>66</v>
      </c>
      <c r="E22" s="3"/>
      <c r="F22" s="3"/>
      <c r="G22" s="24"/>
      <c r="H22" s="24"/>
      <c r="J22" s="1" t="s">
        <v>106</v>
      </c>
      <c r="K22" s="4"/>
      <c r="L22" s="4"/>
      <c r="M22" s="4"/>
      <c r="N22" s="4"/>
      <c r="O22" s="4"/>
      <c r="P22" s="33"/>
      <c r="Q22" s="25">
        <v>0</v>
      </c>
      <c r="R22" s="25">
        <v>0</v>
      </c>
      <c r="S22" s="12">
        <f t="shared" si="20"/>
        <v>0</v>
      </c>
      <c r="T22" s="5">
        <v>0</v>
      </c>
      <c r="U22" s="12">
        <f t="shared" si="21"/>
        <v>0</v>
      </c>
      <c r="V22" s="25" t="s">
        <v>10</v>
      </c>
      <c r="W22" s="11">
        <f>IFERROR(VLOOKUP(V22,[1]Curr!$B$2:$C$13,2,FALSE),0)</f>
        <v>11.3</v>
      </c>
      <c r="X22" s="12">
        <f t="shared" si="22"/>
        <v>0</v>
      </c>
      <c r="Y22" s="26">
        <f t="shared" si="23"/>
        <v>0</v>
      </c>
      <c r="Z22" s="12">
        <f t="shared" si="16"/>
        <v>0</v>
      </c>
      <c r="AA22" s="4" t="s">
        <v>10</v>
      </c>
      <c r="AB22" s="11">
        <f>IFERROR(VLOOKUP(AA22,Curr!$B$2:$C$13,2,FALSE),0)</f>
        <v>11.3</v>
      </c>
      <c r="AC22" s="12">
        <f t="shared" si="17"/>
        <v>0</v>
      </c>
      <c r="AD22" s="12">
        <f t="shared" si="18"/>
        <v>0</v>
      </c>
      <c r="AE22" s="13">
        <f t="shared" si="19"/>
        <v>0</v>
      </c>
    </row>
    <row r="23" spans="2:31" x14ac:dyDescent="0.25">
      <c r="B23" s="4"/>
      <c r="C23" s="1" t="s">
        <v>78</v>
      </c>
      <c r="D23" s="1" t="s">
        <v>67</v>
      </c>
      <c r="E23" s="3"/>
      <c r="F23" s="3"/>
      <c r="G23" s="24"/>
      <c r="H23" s="24"/>
      <c r="J23" s="1" t="s">
        <v>108</v>
      </c>
      <c r="K23" s="4"/>
      <c r="L23" s="4"/>
      <c r="M23" s="4"/>
      <c r="N23" s="4"/>
      <c r="O23" s="4" t="s">
        <v>42</v>
      </c>
      <c r="P23" s="33"/>
      <c r="Q23" s="25">
        <v>800</v>
      </c>
      <c r="R23" s="25">
        <v>1</v>
      </c>
      <c r="S23" s="12">
        <f t="shared" si="20"/>
        <v>800</v>
      </c>
      <c r="T23" s="5">
        <v>0</v>
      </c>
      <c r="U23" s="12">
        <f t="shared" si="21"/>
        <v>800</v>
      </c>
      <c r="V23" s="25" t="s">
        <v>10</v>
      </c>
      <c r="W23" s="11">
        <f>IFERROR(VLOOKUP(V23,[1]Curr!$B$2:$C$13,2,FALSE),0)</f>
        <v>11.3</v>
      </c>
      <c r="X23" s="12">
        <f t="shared" si="22"/>
        <v>9040</v>
      </c>
      <c r="Y23" s="26">
        <f>Q23/0.85</f>
        <v>941.17647058823536</v>
      </c>
      <c r="Z23" s="12">
        <f t="shared" si="16"/>
        <v>941.17647058823536</v>
      </c>
      <c r="AA23" s="4" t="s">
        <v>10</v>
      </c>
      <c r="AB23" s="11">
        <f>IFERROR(VLOOKUP(AA23,Curr!$B$2:$C$13,2,FALSE),0)</f>
        <v>11.3</v>
      </c>
      <c r="AC23" s="12">
        <f t="shared" si="17"/>
        <v>10635.294117647059</v>
      </c>
      <c r="AD23" s="12">
        <f t="shared" si="18"/>
        <v>1595.2941176470595</v>
      </c>
      <c r="AE23" s="13">
        <f t="shared" si="19"/>
        <v>0.15000000000000005</v>
      </c>
    </row>
    <row r="24" spans="2:31" x14ac:dyDescent="0.25">
      <c r="B24" s="4"/>
      <c r="C24" s="1" t="s">
        <v>78</v>
      </c>
      <c r="D24" s="1" t="s">
        <v>68</v>
      </c>
      <c r="E24" s="3"/>
      <c r="F24" s="3"/>
      <c r="G24" s="24"/>
      <c r="H24" s="24"/>
      <c r="J24" s="1" t="s">
        <v>81</v>
      </c>
      <c r="K24" s="4"/>
      <c r="L24" s="4"/>
      <c r="M24" s="4"/>
      <c r="N24" s="4"/>
      <c r="O24" s="4"/>
      <c r="P24" s="27"/>
      <c r="Q24" s="25">
        <v>0</v>
      </c>
      <c r="R24" s="25">
        <v>0</v>
      </c>
      <c r="S24" s="12">
        <f t="shared" si="20"/>
        <v>0</v>
      </c>
      <c r="T24" s="5">
        <v>0</v>
      </c>
      <c r="U24" s="12">
        <f t="shared" si="21"/>
        <v>0</v>
      </c>
      <c r="V24" s="25" t="s">
        <v>10</v>
      </c>
      <c r="W24" s="11">
        <f>IFERROR(VLOOKUP(V24,[1]Curr!$B$2:$C$13,2,FALSE),0)</f>
        <v>11.3</v>
      </c>
      <c r="X24" s="12">
        <f t="shared" si="22"/>
        <v>0</v>
      </c>
      <c r="Y24" s="26">
        <f t="shared" si="23"/>
        <v>0</v>
      </c>
      <c r="Z24" s="12">
        <f t="shared" si="16"/>
        <v>0</v>
      </c>
      <c r="AA24" s="4" t="s">
        <v>10</v>
      </c>
      <c r="AB24" s="11">
        <f>IFERROR(VLOOKUP(AA24,Curr!$B$2:$C$13,2,FALSE),0)</f>
        <v>11.3</v>
      </c>
      <c r="AC24" s="12">
        <f t="shared" si="17"/>
        <v>0</v>
      </c>
      <c r="AD24" s="12">
        <f t="shared" si="18"/>
        <v>0</v>
      </c>
      <c r="AE24" s="13">
        <f t="shared" si="19"/>
        <v>0</v>
      </c>
    </row>
    <row r="25" spans="2:31" x14ac:dyDescent="0.25">
      <c r="B25" s="4"/>
      <c r="E25" s="3"/>
      <c r="F25" s="3"/>
      <c r="G25" s="24"/>
      <c r="H25" s="24"/>
      <c r="K25" s="4"/>
      <c r="L25" s="4"/>
      <c r="M25" s="4"/>
      <c r="N25" s="4"/>
      <c r="O25" s="4"/>
      <c r="P25" s="27"/>
      <c r="Q25" s="25"/>
      <c r="R25" s="25"/>
      <c r="S25" s="12">
        <f t="shared" si="20"/>
        <v>0</v>
      </c>
      <c r="T25" s="5">
        <v>0</v>
      </c>
      <c r="U25" s="12">
        <f t="shared" si="21"/>
        <v>0</v>
      </c>
      <c r="V25" s="25" t="s">
        <v>10</v>
      </c>
      <c r="W25" s="11">
        <f>IFERROR(VLOOKUP(V25,[1]Curr!$B$2:$C$13,2,FALSE),0)</f>
        <v>11.3</v>
      </c>
      <c r="X25" s="12">
        <f t="shared" si="22"/>
        <v>0</v>
      </c>
      <c r="Y25" s="26">
        <f t="shared" si="23"/>
        <v>0</v>
      </c>
      <c r="Z25" s="12">
        <f t="shared" si="16"/>
        <v>0</v>
      </c>
      <c r="AA25" s="4" t="s">
        <v>10</v>
      </c>
      <c r="AB25" s="11">
        <f>IFERROR(VLOOKUP(AA25,Curr!$B$2:$C$13,2,FALSE),0)</f>
        <v>11.3</v>
      </c>
      <c r="AC25" s="12">
        <f t="shared" si="17"/>
        <v>0</v>
      </c>
      <c r="AD25" s="12">
        <f t="shared" si="18"/>
        <v>0</v>
      </c>
      <c r="AE25" s="13">
        <f t="shared" si="19"/>
        <v>0</v>
      </c>
    </row>
    <row r="26" spans="2:31" x14ac:dyDescent="0.25">
      <c r="B26" s="4"/>
      <c r="C26" s="1" t="s">
        <v>82</v>
      </c>
      <c r="D26" s="1" t="s">
        <v>75</v>
      </c>
      <c r="E26" s="3"/>
      <c r="F26" s="3"/>
      <c r="G26" s="24"/>
      <c r="H26" s="24"/>
      <c r="J26" s="1" t="s">
        <v>88</v>
      </c>
      <c r="K26" s="4"/>
      <c r="L26" s="4"/>
      <c r="M26" s="4"/>
      <c r="N26" s="4"/>
      <c r="O26" s="4" t="s">
        <v>42</v>
      </c>
      <c r="P26" s="33" t="s">
        <v>89</v>
      </c>
      <c r="Q26" s="25">
        <v>1695</v>
      </c>
      <c r="R26" s="25">
        <v>2</v>
      </c>
      <c r="S26" s="12">
        <f t="shared" si="20"/>
        <v>3390</v>
      </c>
      <c r="T26" s="5">
        <v>0.2</v>
      </c>
      <c r="U26" s="12">
        <f t="shared" si="21"/>
        <v>2712</v>
      </c>
      <c r="V26" s="25" t="s">
        <v>8</v>
      </c>
      <c r="W26" s="11">
        <f>IFERROR(VLOOKUP(V26,[1]Curr!$B$2:$C$13,2,FALSE),0)</f>
        <v>1</v>
      </c>
      <c r="X26" s="12">
        <f t="shared" si="22"/>
        <v>2712</v>
      </c>
      <c r="Y26" s="26">
        <f>Q26/11.3</f>
        <v>150</v>
      </c>
      <c r="Z26" s="12">
        <f t="shared" si="16"/>
        <v>300</v>
      </c>
      <c r="AA26" s="4" t="s">
        <v>10</v>
      </c>
      <c r="AB26" s="11">
        <f>IFERROR(VLOOKUP(AA26,Curr!$B$2:$C$13,2,FALSE),0)</f>
        <v>11.3</v>
      </c>
      <c r="AC26" s="12">
        <f t="shared" si="17"/>
        <v>3390</v>
      </c>
      <c r="AD26" s="12">
        <f t="shared" si="18"/>
        <v>678</v>
      </c>
      <c r="AE26" s="13">
        <f t="shared" si="19"/>
        <v>0.2</v>
      </c>
    </row>
    <row r="27" spans="2:31" x14ac:dyDescent="0.25">
      <c r="B27" s="4"/>
      <c r="C27" s="1" t="s">
        <v>82</v>
      </c>
      <c r="D27" s="1" t="s">
        <v>68</v>
      </c>
      <c r="E27" s="3"/>
      <c r="F27" s="3"/>
      <c r="G27" s="24"/>
      <c r="H27" s="24"/>
      <c r="J27" s="1" t="s">
        <v>81</v>
      </c>
      <c r="K27" s="4"/>
      <c r="L27" s="4"/>
      <c r="M27" s="4"/>
      <c r="N27" s="4"/>
      <c r="O27" s="4"/>
      <c r="P27" s="33"/>
      <c r="Q27" s="25">
        <v>0</v>
      </c>
      <c r="R27" s="25">
        <v>0</v>
      </c>
      <c r="S27" s="12">
        <f t="shared" si="20"/>
        <v>0</v>
      </c>
      <c r="T27" s="5">
        <v>0</v>
      </c>
      <c r="U27" s="12">
        <f t="shared" si="21"/>
        <v>0</v>
      </c>
      <c r="V27" s="25" t="s">
        <v>10</v>
      </c>
      <c r="W27" s="11">
        <f>IFERROR(VLOOKUP(V27,[1]Curr!$B$2:$C$13,2,FALSE),0)</f>
        <v>11.3</v>
      </c>
      <c r="X27" s="12">
        <f t="shared" si="22"/>
        <v>0</v>
      </c>
      <c r="Y27" s="26">
        <f t="shared" si="23"/>
        <v>0</v>
      </c>
      <c r="Z27" s="12">
        <f t="shared" si="16"/>
        <v>0</v>
      </c>
      <c r="AA27" s="4" t="s">
        <v>10</v>
      </c>
      <c r="AB27" s="11">
        <f>IFERROR(VLOOKUP(AA27,Curr!$B$2:$C$13,2,FALSE),0)</f>
        <v>11.3</v>
      </c>
      <c r="AC27" s="12">
        <f t="shared" si="17"/>
        <v>0</v>
      </c>
      <c r="AD27" s="12">
        <f t="shared" si="18"/>
        <v>0</v>
      </c>
      <c r="AE27" s="13">
        <f t="shared" si="19"/>
        <v>0</v>
      </c>
    </row>
    <row r="28" spans="2:31" x14ac:dyDescent="0.25">
      <c r="B28" s="4"/>
      <c r="C28" s="1" t="s">
        <v>82</v>
      </c>
      <c r="D28" s="1" t="s">
        <v>75</v>
      </c>
      <c r="E28" s="3"/>
      <c r="F28" s="3"/>
      <c r="G28" s="24"/>
      <c r="H28" s="24"/>
      <c r="J28" s="1" t="s">
        <v>216</v>
      </c>
      <c r="K28" s="4"/>
      <c r="L28" s="4"/>
      <c r="M28" s="4"/>
      <c r="N28" s="4"/>
      <c r="O28" s="4" t="s">
        <v>42</v>
      </c>
      <c r="P28" s="33" t="s">
        <v>217</v>
      </c>
      <c r="Q28" s="25">
        <v>120</v>
      </c>
      <c r="R28" s="25">
        <v>2</v>
      </c>
      <c r="S28" s="12">
        <f t="shared" si="20"/>
        <v>240</v>
      </c>
      <c r="T28" s="5">
        <v>0.2</v>
      </c>
      <c r="U28" s="12">
        <f t="shared" si="21"/>
        <v>192</v>
      </c>
      <c r="V28" s="25" t="s">
        <v>10</v>
      </c>
      <c r="W28" s="11">
        <f>IFERROR(VLOOKUP(V28,[2]Curr!$B$2:$C$13,2,FALSE),0)</f>
        <v>11.3</v>
      </c>
      <c r="X28" s="12">
        <f t="shared" si="22"/>
        <v>2169.6000000000004</v>
      </c>
      <c r="Y28" s="26">
        <f t="shared" si="23"/>
        <v>120</v>
      </c>
      <c r="Z28" s="12">
        <f t="shared" si="16"/>
        <v>240</v>
      </c>
      <c r="AA28" s="4" t="s">
        <v>10</v>
      </c>
      <c r="AB28" s="11">
        <f>IFERROR(VLOOKUP(AA28,Curr!$B$2:$C$13,2,FALSE),0)</f>
        <v>11.3</v>
      </c>
      <c r="AC28" s="12">
        <f t="shared" si="17"/>
        <v>2712</v>
      </c>
      <c r="AD28" s="12">
        <f t="shared" si="18"/>
        <v>542.39999999999964</v>
      </c>
      <c r="AE28" s="13">
        <f t="shared" si="19"/>
        <v>0.19999999999999987</v>
      </c>
    </row>
    <row r="29" spans="2:31" x14ac:dyDescent="0.25">
      <c r="B29" s="4"/>
      <c r="E29" s="3"/>
      <c r="F29" s="3"/>
      <c r="G29" s="24"/>
      <c r="H29" s="24"/>
      <c r="K29" s="4"/>
      <c r="L29" s="4"/>
      <c r="M29" s="4"/>
      <c r="N29" s="4"/>
      <c r="O29" s="4"/>
      <c r="P29" s="33"/>
      <c r="Q29" s="25"/>
      <c r="R29" s="25"/>
      <c r="S29" s="12">
        <f t="shared" si="20"/>
        <v>0</v>
      </c>
      <c r="T29" s="5">
        <v>0</v>
      </c>
      <c r="U29" s="12">
        <f t="shared" si="21"/>
        <v>0</v>
      </c>
      <c r="V29" s="25" t="s">
        <v>10</v>
      </c>
      <c r="W29" s="11">
        <f>IFERROR(VLOOKUP(V29,[1]Curr!$B$2:$C$13,2,FALSE),0)</f>
        <v>11.3</v>
      </c>
      <c r="X29" s="12">
        <f t="shared" si="22"/>
        <v>0</v>
      </c>
      <c r="Y29" s="26">
        <f t="shared" si="23"/>
        <v>0</v>
      </c>
      <c r="Z29" s="12">
        <f t="shared" si="16"/>
        <v>0</v>
      </c>
      <c r="AA29" s="4" t="s">
        <v>10</v>
      </c>
      <c r="AB29" s="11">
        <f>IFERROR(VLOOKUP(AA29,Curr!$B$2:$C$13,2,FALSE),0)</f>
        <v>11.3</v>
      </c>
      <c r="AC29" s="12">
        <f t="shared" si="17"/>
        <v>0</v>
      </c>
      <c r="AD29" s="12">
        <f t="shared" si="18"/>
        <v>0</v>
      </c>
      <c r="AE29" s="13">
        <f t="shared" si="19"/>
        <v>0</v>
      </c>
    </row>
    <row r="30" spans="2:31" x14ac:dyDescent="0.25">
      <c r="B30" s="4"/>
      <c r="C30" s="1" t="s">
        <v>83</v>
      </c>
      <c r="D30" s="1" t="s">
        <v>75</v>
      </c>
      <c r="E30" s="3"/>
      <c r="F30" s="3"/>
      <c r="G30" s="24"/>
      <c r="H30" s="24"/>
      <c r="J30" s="1" t="s">
        <v>110</v>
      </c>
      <c r="K30" s="4"/>
      <c r="L30" s="4"/>
      <c r="M30" s="4"/>
      <c r="N30" s="4"/>
      <c r="O30" s="4" t="s">
        <v>42</v>
      </c>
      <c r="P30" s="33" t="s">
        <v>111</v>
      </c>
      <c r="Q30" s="25">
        <v>145</v>
      </c>
      <c r="R30" s="25">
        <v>2</v>
      </c>
      <c r="S30" s="12">
        <f t="shared" si="20"/>
        <v>290</v>
      </c>
      <c r="T30" s="5">
        <v>0.2</v>
      </c>
      <c r="U30" s="12">
        <f t="shared" si="21"/>
        <v>232</v>
      </c>
      <c r="V30" s="25" t="s">
        <v>10</v>
      </c>
      <c r="W30" s="11">
        <f>IFERROR(VLOOKUP(V30,[1]Curr!$B$2:$C$13,2,FALSE),0)</f>
        <v>11.3</v>
      </c>
      <c r="X30" s="12">
        <f t="shared" si="22"/>
        <v>2621.6000000000004</v>
      </c>
      <c r="Y30" s="26">
        <f t="shared" si="23"/>
        <v>145</v>
      </c>
      <c r="Z30" s="12">
        <f t="shared" si="16"/>
        <v>290</v>
      </c>
      <c r="AA30" s="4" t="s">
        <v>10</v>
      </c>
      <c r="AB30" s="11">
        <f>IFERROR(VLOOKUP(AA30,Curr!$B$2:$C$13,2,FALSE),0)</f>
        <v>11.3</v>
      </c>
      <c r="AC30" s="12">
        <f t="shared" si="17"/>
        <v>3277</v>
      </c>
      <c r="AD30" s="12">
        <f t="shared" si="18"/>
        <v>655.39999999999964</v>
      </c>
      <c r="AE30" s="13">
        <f t="shared" si="19"/>
        <v>0.1999999999999999</v>
      </c>
    </row>
    <row r="31" spans="2:31" x14ac:dyDescent="0.25">
      <c r="B31" s="4"/>
      <c r="C31" s="1" t="s">
        <v>83</v>
      </c>
      <c r="D31" s="1" t="s">
        <v>68</v>
      </c>
      <c r="E31" s="3"/>
      <c r="F31" s="3"/>
      <c r="G31" s="24"/>
      <c r="H31" s="24"/>
      <c r="J31" s="1" t="s">
        <v>81</v>
      </c>
      <c r="K31" s="4"/>
      <c r="L31" s="4"/>
      <c r="M31" s="4"/>
      <c r="N31" s="4"/>
      <c r="O31" s="4"/>
      <c r="P31" s="33"/>
      <c r="Q31" s="25">
        <v>0</v>
      </c>
      <c r="R31" s="25">
        <v>0</v>
      </c>
      <c r="S31" s="12">
        <f t="shared" si="20"/>
        <v>0</v>
      </c>
      <c r="T31" s="5">
        <v>0</v>
      </c>
      <c r="U31" s="12">
        <f t="shared" si="21"/>
        <v>0</v>
      </c>
      <c r="V31" s="25" t="s">
        <v>10</v>
      </c>
      <c r="W31" s="11">
        <f>IFERROR(VLOOKUP(V31,[1]Curr!$B$2:$C$13,2,FALSE),0)</f>
        <v>11.3</v>
      </c>
      <c r="X31" s="12">
        <f t="shared" si="22"/>
        <v>0</v>
      </c>
      <c r="Y31" s="26">
        <f t="shared" si="23"/>
        <v>0</v>
      </c>
      <c r="Z31" s="12">
        <f t="shared" si="16"/>
        <v>0</v>
      </c>
      <c r="AA31" s="4" t="s">
        <v>10</v>
      </c>
      <c r="AB31" s="11">
        <f>IFERROR(VLOOKUP(AA31,Curr!$B$2:$C$13,2,FALSE),0)</f>
        <v>11.3</v>
      </c>
      <c r="AC31" s="12">
        <f t="shared" si="17"/>
        <v>0</v>
      </c>
      <c r="AD31" s="12">
        <f t="shared" si="18"/>
        <v>0</v>
      </c>
      <c r="AE31" s="13">
        <f t="shared" si="19"/>
        <v>0</v>
      </c>
    </row>
    <row r="32" spans="2:31" x14ac:dyDescent="0.25">
      <c r="B32" s="4"/>
      <c r="C32" s="1" t="s">
        <v>83</v>
      </c>
      <c r="D32" s="1" t="s">
        <v>75</v>
      </c>
      <c r="E32" s="3"/>
      <c r="F32" s="3"/>
      <c r="G32" s="24"/>
      <c r="H32" s="24"/>
      <c r="J32" s="1" t="s">
        <v>92</v>
      </c>
      <c r="K32" s="4"/>
      <c r="L32" s="4"/>
      <c r="M32" s="4"/>
      <c r="N32" s="4"/>
      <c r="O32" s="4" t="s">
        <v>42</v>
      </c>
      <c r="P32" s="33" t="s">
        <v>93</v>
      </c>
      <c r="Q32" s="25">
        <v>105</v>
      </c>
      <c r="R32" s="25">
        <v>2</v>
      </c>
      <c r="S32" s="12">
        <f t="shared" si="20"/>
        <v>210</v>
      </c>
      <c r="T32" s="5">
        <v>0.2</v>
      </c>
      <c r="U32" s="12">
        <f t="shared" si="21"/>
        <v>168</v>
      </c>
      <c r="V32" s="25" t="s">
        <v>10</v>
      </c>
      <c r="W32" s="11">
        <f>IFERROR(VLOOKUP(V32,[1]Curr!$B$2:$C$13,2,FALSE),0)</f>
        <v>11.3</v>
      </c>
      <c r="X32" s="12">
        <f t="shared" si="22"/>
        <v>1898.4</v>
      </c>
      <c r="Y32" s="26">
        <f t="shared" si="23"/>
        <v>105</v>
      </c>
      <c r="Z32" s="12">
        <f t="shared" si="16"/>
        <v>210</v>
      </c>
      <c r="AA32" s="4" t="s">
        <v>10</v>
      </c>
      <c r="AB32" s="11">
        <f>IFERROR(VLOOKUP(AA32,Curr!$B$2:$C$13,2,FALSE),0)</f>
        <v>11.3</v>
      </c>
      <c r="AC32" s="12">
        <f t="shared" si="17"/>
        <v>2373</v>
      </c>
      <c r="AD32" s="12">
        <f t="shared" si="18"/>
        <v>474.59999999999991</v>
      </c>
      <c r="AE32" s="13">
        <f t="shared" si="19"/>
        <v>0.19999999999999996</v>
      </c>
    </row>
    <row r="33" spans="2:31" x14ac:dyDescent="0.25">
      <c r="B33" s="4"/>
      <c r="E33" s="3"/>
      <c r="F33" s="3"/>
      <c r="G33" s="24"/>
      <c r="H33" s="24"/>
      <c r="K33" s="4"/>
      <c r="L33" s="4"/>
      <c r="M33" s="4"/>
      <c r="N33" s="4"/>
      <c r="O33" s="4"/>
      <c r="P33" s="27"/>
      <c r="Q33" s="25"/>
      <c r="R33" s="25"/>
      <c r="S33" s="12">
        <f t="shared" si="20"/>
        <v>0</v>
      </c>
      <c r="T33" s="5">
        <v>0</v>
      </c>
      <c r="U33" s="12">
        <f t="shared" si="21"/>
        <v>0</v>
      </c>
      <c r="V33" s="25" t="s">
        <v>10</v>
      </c>
      <c r="W33" s="11">
        <f>IFERROR(VLOOKUP(V33,[1]Curr!$B$2:$C$13,2,FALSE),0)</f>
        <v>11.3</v>
      </c>
      <c r="X33" s="12">
        <f t="shared" si="22"/>
        <v>0</v>
      </c>
      <c r="Y33" s="26">
        <f t="shared" si="23"/>
        <v>0</v>
      </c>
      <c r="Z33" s="12">
        <f t="shared" si="16"/>
        <v>0</v>
      </c>
      <c r="AA33" s="4" t="s">
        <v>10</v>
      </c>
      <c r="AB33" s="11">
        <f>IFERROR(VLOOKUP(AA33,Curr!$B$2:$C$13,2,FALSE),0)</f>
        <v>11.3</v>
      </c>
      <c r="AC33" s="12">
        <f t="shared" si="17"/>
        <v>0</v>
      </c>
      <c r="AD33" s="12">
        <f t="shared" si="18"/>
        <v>0</v>
      </c>
      <c r="AE33" s="13">
        <f t="shared" si="19"/>
        <v>0</v>
      </c>
    </row>
    <row r="34" spans="2:31" x14ac:dyDescent="0.25">
      <c r="B34" s="4"/>
      <c r="C34" s="1" t="s">
        <v>84</v>
      </c>
      <c r="D34" s="1" t="s">
        <v>66</v>
      </c>
      <c r="E34" s="3"/>
      <c r="F34" s="3"/>
      <c r="G34" s="24"/>
      <c r="H34" s="24"/>
      <c r="J34" s="1" t="s">
        <v>87</v>
      </c>
      <c r="K34" s="4"/>
      <c r="L34" s="4"/>
      <c r="M34" s="4"/>
      <c r="N34" s="4"/>
      <c r="O34" s="4"/>
      <c r="P34" s="27"/>
      <c r="Q34" s="25">
        <v>0</v>
      </c>
      <c r="R34" s="25">
        <v>0</v>
      </c>
      <c r="S34" s="12">
        <f t="shared" si="20"/>
        <v>0</v>
      </c>
      <c r="T34" s="5">
        <v>0</v>
      </c>
      <c r="U34" s="12">
        <f t="shared" si="21"/>
        <v>0</v>
      </c>
      <c r="V34" s="25" t="s">
        <v>10</v>
      </c>
      <c r="W34" s="11">
        <f>IFERROR(VLOOKUP(V34,[1]Curr!$B$2:$C$13,2,FALSE),0)</f>
        <v>11.3</v>
      </c>
      <c r="X34" s="12">
        <f t="shared" si="22"/>
        <v>0</v>
      </c>
      <c r="Y34" s="26">
        <f t="shared" si="23"/>
        <v>0</v>
      </c>
      <c r="Z34" s="12">
        <f t="shared" si="16"/>
        <v>0</v>
      </c>
      <c r="AA34" s="4" t="s">
        <v>10</v>
      </c>
      <c r="AB34" s="11">
        <f>IFERROR(VLOOKUP(AA34,Curr!$B$2:$C$13,2,FALSE),0)</f>
        <v>11.3</v>
      </c>
      <c r="AC34" s="12">
        <f t="shared" si="17"/>
        <v>0</v>
      </c>
      <c r="AD34" s="12">
        <f t="shared" si="18"/>
        <v>0</v>
      </c>
      <c r="AE34" s="13">
        <f t="shared" si="19"/>
        <v>0</v>
      </c>
    </row>
    <row r="35" spans="2:31" x14ac:dyDescent="0.25">
      <c r="B35" s="4"/>
      <c r="C35" s="1" t="s">
        <v>84</v>
      </c>
      <c r="D35" s="1" t="s">
        <v>85</v>
      </c>
      <c r="E35" s="3"/>
      <c r="F35" s="3"/>
      <c r="G35" s="24"/>
      <c r="H35" s="24"/>
      <c r="J35" s="1" t="s">
        <v>86</v>
      </c>
      <c r="K35" s="4"/>
      <c r="L35" s="4"/>
      <c r="M35" s="4"/>
      <c r="N35" s="4"/>
      <c r="O35" s="4"/>
      <c r="P35" s="33"/>
      <c r="Q35" s="25">
        <v>0</v>
      </c>
      <c r="R35" s="25">
        <v>0</v>
      </c>
      <c r="S35" s="12">
        <f t="shared" si="20"/>
        <v>0</v>
      </c>
      <c r="T35" s="5">
        <v>0</v>
      </c>
      <c r="U35" s="12">
        <f t="shared" si="21"/>
        <v>0</v>
      </c>
      <c r="V35" s="25" t="s">
        <v>10</v>
      </c>
      <c r="W35" s="11">
        <f>IFERROR(VLOOKUP(V35,[1]Curr!$B$2:$C$13,2,FALSE),0)</f>
        <v>11.3</v>
      </c>
      <c r="X35" s="12">
        <f t="shared" si="22"/>
        <v>0</v>
      </c>
      <c r="Y35" s="26">
        <f t="shared" si="23"/>
        <v>0</v>
      </c>
      <c r="Z35" s="12">
        <f t="shared" si="16"/>
        <v>0</v>
      </c>
      <c r="AA35" s="4" t="s">
        <v>10</v>
      </c>
      <c r="AB35" s="11">
        <f>IFERROR(VLOOKUP(AA35,Curr!$B$2:$C$13,2,FALSE),0)</f>
        <v>11.3</v>
      </c>
      <c r="AC35" s="12">
        <f t="shared" si="17"/>
        <v>0</v>
      </c>
      <c r="AD35" s="12">
        <f t="shared" si="18"/>
        <v>0</v>
      </c>
      <c r="AE35" s="13">
        <f t="shared" si="19"/>
        <v>0</v>
      </c>
    </row>
    <row r="36" spans="2:31" x14ac:dyDescent="0.25">
      <c r="B36" s="4"/>
      <c r="E36" s="3"/>
      <c r="F36" s="3"/>
      <c r="G36" s="24"/>
      <c r="H36" s="24"/>
      <c r="K36" s="4"/>
      <c r="L36" s="4"/>
      <c r="M36" s="4"/>
      <c r="N36" s="4"/>
      <c r="O36" s="4"/>
      <c r="P36" s="27"/>
      <c r="Q36" s="25"/>
      <c r="R36" s="25"/>
      <c r="S36" s="12">
        <f t="shared" si="20"/>
        <v>0</v>
      </c>
      <c r="T36" s="5">
        <v>0</v>
      </c>
      <c r="U36" s="12">
        <f t="shared" si="21"/>
        <v>0</v>
      </c>
      <c r="V36" s="25" t="s">
        <v>10</v>
      </c>
      <c r="W36" s="11">
        <f>IFERROR(VLOOKUP(V36,[1]Curr!$B$2:$C$13,2,FALSE),0)</f>
        <v>11.3</v>
      </c>
      <c r="X36" s="12">
        <f t="shared" si="22"/>
        <v>0</v>
      </c>
      <c r="Y36" s="26">
        <f t="shared" si="23"/>
        <v>0</v>
      </c>
      <c r="Z36" s="12">
        <f t="shared" si="16"/>
        <v>0</v>
      </c>
      <c r="AA36" s="4" t="s">
        <v>10</v>
      </c>
      <c r="AB36" s="11">
        <f>IFERROR(VLOOKUP(AA36,Curr!$B$2:$C$13,2,FALSE),0)</f>
        <v>11.3</v>
      </c>
      <c r="AC36" s="12">
        <f t="shared" si="17"/>
        <v>0</v>
      </c>
      <c r="AD36" s="12">
        <f t="shared" si="18"/>
        <v>0</v>
      </c>
      <c r="AE36" s="13">
        <f t="shared" si="19"/>
        <v>0</v>
      </c>
    </row>
    <row r="37" spans="2:31" x14ac:dyDescent="0.25">
      <c r="B37" s="4"/>
      <c r="E37" s="3"/>
      <c r="F37" s="3"/>
      <c r="G37" s="24"/>
      <c r="H37" s="24"/>
      <c r="K37" s="4"/>
      <c r="L37" s="4"/>
      <c r="M37" s="4"/>
      <c r="N37" s="4"/>
      <c r="O37" s="4"/>
      <c r="P37" s="33"/>
      <c r="Q37" s="25"/>
      <c r="R37" s="25"/>
      <c r="S37" s="12">
        <f t="shared" si="20"/>
        <v>0</v>
      </c>
      <c r="T37" s="5">
        <v>0</v>
      </c>
      <c r="U37" s="12">
        <f t="shared" si="21"/>
        <v>0</v>
      </c>
      <c r="V37" s="25" t="s">
        <v>10</v>
      </c>
      <c r="W37" s="11">
        <f>IFERROR(VLOOKUP(V37,[1]Curr!$B$2:$C$13,2,FALSE),0)</f>
        <v>11.3</v>
      </c>
      <c r="X37" s="12">
        <f t="shared" si="22"/>
        <v>0</v>
      </c>
      <c r="Y37" s="26">
        <f t="shared" si="23"/>
        <v>0</v>
      </c>
      <c r="Z37" s="12">
        <f t="shared" si="16"/>
        <v>0</v>
      </c>
      <c r="AA37" s="4" t="s">
        <v>10</v>
      </c>
      <c r="AB37" s="11">
        <f>IFERROR(VLOOKUP(AA37,Curr!$B$2:$C$13,2,FALSE),0)</f>
        <v>11.3</v>
      </c>
      <c r="AC37" s="12">
        <f t="shared" si="17"/>
        <v>0</v>
      </c>
      <c r="AD37" s="12">
        <f t="shared" si="18"/>
        <v>0</v>
      </c>
      <c r="AE37" s="13">
        <f t="shared" si="19"/>
        <v>0</v>
      </c>
    </row>
    <row r="38" spans="2:31" x14ac:dyDescent="0.25">
      <c r="B38" s="4"/>
      <c r="C38" s="1" t="s">
        <v>64</v>
      </c>
      <c r="D38" s="1" t="s">
        <v>112</v>
      </c>
      <c r="E38" s="3"/>
      <c r="F38" s="3"/>
      <c r="G38" s="24"/>
      <c r="H38" s="24"/>
      <c r="J38" s="1" t="s">
        <v>115</v>
      </c>
      <c r="K38" s="4"/>
      <c r="L38" s="4"/>
      <c r="M38" s="4"/>
      <c r="N38" s="4"/>
      <c r="O38" s="4"/>
      <c r="P38" s="33"/>
      <c r="Q38" s="25">
        <v>40</v>
      </c>
      <c r="R38" s="25">
        <v>0</v>
      </c>
      <c r="S38" s="12">
        <f t="shared" si="20"/>
        <v>0</v>
      </c>
      <c r="T38" s="5">
        <v>0</v>
      </c>
      <c r="U38" s="12">
        <f t="shared" si="21"/>
        <v>0</v>
      </c>
      <c r="V38" s="25" t="s">
        <v>10</v>
      </c>
      <c r="W38" s="11">
        <f>IFERROR(VLOOKUP(V38,[1]Curr!$B$2:$C$13,2,FALSE),0)</f>
        <v>11.3</v>
      </c>
      <c r="X38" s="12">
        <f t="shared" si="22"/>
        <v>0</v>
      </c>
      <c r="Y38" s="26">
        <f>Q38/0.67</f>
        <v>59.701492537313428</v>
      </c>
      <c r="Z38" s="12">
        <f t="shared" si="16"/>
        <v>0</v>
      </c>
      <c r="AA38" s="4" t="s">
        <v>10</v>
      </c>
      <c r="AB38" s="11">
        <f>IFERROR(VLOOKUP(AA38,Curr!$B$2:$C$13,2,FALSE),0)</f>
        <v>11.3</v>
      </c>
      <c r="AC38" s="12">
        <f t="shared" si="17"/>
        <v>0</v>
      </c>
      <c r="AD38" s="12">
        <f t="shared" si="18"/>
        <v>0</v>
      </c>
      <c r="AE38" s="13">
        <f t="shared" si="19"/>
        <v>0</v>
      </c>
    </row>
    <row r="39" spans="2:31" x14ac:dyDescent="0.25">
      <c r="B39" s="4"/>
      <c r="C39" s="1" t="s">
        <v>78</v>
      </c>
      <c r="D39" s="1" t="s">
        <v>112</v>
      </c>
      <c r="E39" s="3"/>
      <c r="F39" s="3"/>
      <c r="G39" s="24"/>
      <c r="H39" s="24"/>
      <c r="J39" s="1" t="s">
        <v>116</v>
      </c>
      <c r="K39" s="4"/>
      <c r="L39" s="4"/>
      <c r="M39" s="4"/>
      <c r="N39" s="4"/>
      <c r="O39" s="4"/>
      <c r="P39" s="27"/>
      <c r="Q39" s="25">
        <v>40</v>
      </c>
      <c r="R39" s="25">
        <v>0</v>
      </c>
      <c r="S39" s="12">
        <f t="shared" si="20"/>
        <v>0</v>
      </c>
      <c r="T39" s="5">
        <v>0</v>
      </c>
      <c r="U39" s="12">
        <f t="shared" si="21"/>
        <v>0</v>
      </c>
      <c r="V39" s="25" t="s">
        <v>10</v>
      </c>
      <c r="W39" s="11">
        <f>IFERROR(VLOOKUP(V39,[1]Curr!$B$2:$C$13,2,FALSE),0)</f>
        <v>11.3</v>
      </c>
      <c r="X39" s="12">
        <f t="shared" si="22"/>
        <v>0</v>
      </c>
      <c r="Y39" s="26">
        <f>Q39/0.67</f>
        <v>59.701492537313428</v>
      </c>
      <c r="Z39" s="12">
        <f t="shared" si="16"/>
        <v>0</v>
      </c>
      <c r="AA39" s="4" t="s">
        <v>10</v>
      </c>
      <c r="AB39" s="11">
        <f>IFERROR(VLOOKUP(AA39,Curr!$B$2:$C$13,2,FALSE),0)</f>
        <v>11.3</v>
      </c>
      <c r="AC39" s="12">
        <f t="shared" si="17"/>
        <v>0</v>
      </c>
      <c r="AD39" s="12">
        <f t="shared" si="18"/>
        <v>0</v>
      </c>
      <c r="AE39" s="13">
        <f t="shared" si="19"/>
        <v>0</v>
      </c>
    </row>
    <row r="40" spans="2:31" x14ac:dyDescent="0.25">
      <c r="B40" s="4"/>
      <c r="C40" s="1" t="s">
        <v>84</v>
      </c>
      <c r="D40" s="1" t="s">
        <v>112</v>
      </c>
      <c r="E40" s="3"/>
      <c r="F40" s="3"/>
      <c r="G40" s="24"/>
      <c r="H40" s="24"/>
      <c r="J40" s="1" t="s">
        <v>117</v>
      </c>
      <c r="K40" s="4"/>
      <c r="L40" s="4"/>
      <c r="M40" s="4"/>
      <c r="N40" s="4"/>
      <c r="O40" s="4"/>
      <c r="P40" s="33"/>
      <c r="Q40" s="25">
        <v>900</v>
      </c>
      <c r="R40" s="25">
        <v>0</v>
      </c>
      <c r="S40" s="12">
        <f t="shared" si="20"/>
        <v>0</v>
      </c>
      <c r="T40" s="5">
        <v>0</v>
      </c>
      <c r="U40" s="12">
        <f t="shared" si="21"/>
        <v>0</v>
      </c>
      <c r="V40" s="25" t="s">
        <v>8</v>
      </c>
      <c r="W40" s="11">
        <f>IFERROR(VLOOKUP(V40,[1]Curr!$B$2:$C$13,2,FALSE),0)</f>
        <v>1</v>
      </c>
      <c r="X40" s="12">
        <f t="shared" si="22"/>
        <v>0</v>
      </c>
      <c r="Y40" s="26">
        <f>Q40/11.3/0.8</f>
        <v>99.55752212389379</v>
      </c>
      <c r="Z40" s="12">
        <f t="shared" si="16"/>
        <v>0</v>
      </c>
      <c r="AA40" s="4" t="s">
        <v>10</v>
      </c>
      <c r="AB40" s="11">
        <f>IFERROR(VLOOKUP(AA40,Curr!$B$2:$C$13,2,FALSE),0)</f>
        <v>11.3</v>
      </c>
      <c r="AC40" s="12">
        <f t="shared" si="17"/>
        <v>0</v>
      </c>
      <c r="AD40" s="12">
        <f t="shared" si="18"/>
        <v>0</v>
      </c>
      <c r="AE40" s="13">
        <f t="shared" si="19"/>
        <v>0</v>
      </c>
    </row>
    <row r="41" spans="2:31" x14ac:dyDescent="0.25">
      <c r="B41" s="4"/>
      <c r="E41" s="3"/>
      <c r="F41" s="3"/>
      <c r="G41" s="24"/>
      <c r="H41" s="24"/>
      <c r="K41" s="4"/>
      <c r="L41" s="4"/>
      <c r="M41" s="4"/>
      <c r="N41" s="4"/>
      <c r="O41" s="4"/>
      <c r="P41" s="27"/>
      <c r="Q41" s="25"/>
      <c r="R41" s="25"/>
      <c r="S41" s="12">
        <f t="shared" si="20"/>
        <v>0</v>
      </c>
      <c r="T41" s="5">
        <v>0</v>
      </c>
      <c r="U41" s="12">
        <f t="shared" si="21"/>
        <v>0</v>
      </c>
      <c r="V41" s="25" t="s">
        <v>10</v>
      </c>
      <c r="W41" s="11">
        <f>IFERROR(VLOOKUP(V41,[1]Curr!$B$2:$C$13,2,FALSE),0)</f>
        <v>11.3</v>
      </c>
      <c r="X41" s="12">
        <f t="shared" si="22"/>
        <v>0</v>
      </c>
      <c r="Y41" s="26">
        <f t="shared" si="23"/>
        <v>0</v>
      </c>
      <c r="Z41" s="12">
        <f t="shared" si="16"/>
        <v>0</v>
      </c>
      <c r="AA41" s="4" t="s">
        <v>10</v>
      </c>
      <c r="AB41" s="11">
        <f>IFERROR(VLOOKUP(AA41,Curr!$B$2:$C$13,2,FALSE),0)</f>
        <v>11.3</v>
      </c>
      <c r="AC41" s="12">
        <f t="shared" si="17"/>
        <v>0</v>
      </c>
      <c r="AD41" s="12">
        <f t="shared" si="18"/>
        <v>0</v>
      </c>
      <c r="AE41" s="13">
        <f t="shared" si="19"/>
        <v>0</v>
      </c>
    </row>
    <row r="42" spans="2:31" x14ac:dyDescent="0.25">
      <c r="B42" s="4"/>
      <c r="E42" s="3"/>
      <c r="F42" s="3"/>
      <c r="G42" s="24"/>
      <c r="H42" s="24"/>
      <c r="K42" s="4"/>
      <c r="L42" s="4"/>
      <c r="M42" s="4"/>
      <c r="N42" s="4"/>
      <c r="O42" s="4"/>
      <c r="P42" s="33"/>
      <c r="Q42" s="25"/>
      <c r="R42" s="25"/>
      <c r="S42" s="12">
        <f t="shared" si="20"/>
        <v>0</v>
      </c>
      <c r="T42" s="5">
        <v>0</v>
      </c>
      <c r="U42" s="12">
        <f t="shared" si="21"/>
        <v>0</v>
      </c>
      <c r="V42" s="25" t="s">
        <v>10</v>
      </c>
      <c r="W42" s="11">
        <f>IFERROR(VLOOKUP(V42,[1]Curr!$B$2:$C$13,2,FALSE),0)</f>
        <v>11.3</v>
      </c>
      <c r="X42" s="12">
        <f t="shared" si="22"/>
        <v>0</v>
      </c>
      <c r="Y42" s="26">
        <f t="shared" si="23"/>
        <v>0</v>
      </c>
      <c r="Z42" s="12">
        <f t="shared" si="16"/>
        <v>0</v>
      </c>
      <c r="AA42" s="4" t="s">
        <v>10</v>
      </c>
      <c r="AB42" s="11">
        <f>IFERROR(VLOOKUP(AA42,Curr!$B$2:$C$13,2,FALSE),0)</f>
        <v>11.3</v>
      </c>
      <c r="AC42" s="12">
        <f t="shared" si="17"/>
        <v>0</v>
      </c>
      <c r="AD42" s="12">
        <f t="shared" si="18"/>
        <v>0</v>
      </c>
      <c r="AE42" s="13">
        <f t="shared" si="19"/>
        <v>0</v>
      </c>
    </row>
    <row r="43" spans="2:31" x14ac:dyDescent="0.25">
      <c r="B43" s="4"/>
      <c r="C43" s="1" t="s">
        <v>76</v>
      </c>
      <c r="D43" s="1" t="s">
        <v>183</v>
      </c>
      <c r="E43" s="3"/>
      <c r="F43" s="3"/>
      <c r="G43" s="24"/>
      <c r="H43" s="24"/>
      <c r="J43" s="1" t="s">
        <v>184</v>
      </c>
      <c r="K43" s="4"/>
      <c r="L43" s="4"/>
      <c r="M43" s="4"/>
      <c r="N43" s="4"/>
      <c r="O43" s="4" t="s">
        <v>42</v>
      </c>
      <c r="P43" s="33" t="s">
        <v>185</v>
      </c>
      <c r="Q43" s="25">
        <v>252</v>
      </c>
      <c r="R43" s="25">
        <v>0</v>
      </c>
      <c r="S43" s="12">
        <f t="shared" si="20"/>
        <v>0</v>
      </c>
      <c r="T43" s="5">
        <v>0.2</v>
      </c>
      <c r="U43" s="12">
        <f t="shared" si="21"/>
        <v>0</v>
      </c>
      <c r="V43" s="25" t="s">
        <v>10</v>
      </c>
      <c r="W43" s="11">
        <f>IFERROR(VLOOKUP(V43,[1]Curr!$B$2:$C$13,2,FALSE),0)</f>
        <v>11.3</v>
      </c>
      <c r="X43" s="12">
        <f t="shared" si="22"/>
        <v>0</v>
      </c>
      <c r="Y43" s="26">
        <f t="shared" si="23"/>
        <v>252</v>
      </c>
      <c r="Z43" s="12">
        <f t="shared" si="16"/>
        <v>0</v>
      </c>
      <c r="AA43" s="4" t="s">
        <v>10</v>
      </c>
      <c r="AB43" s="11">
        <f>IFERROR(VLOOKUP(AA43,Curr!$B$2:$C$13,2,FALSE),0)</f>
        <v>11.3</v>
      </c>
      <c r="AC43" s="12">
        <f t="shared" si="17"/>
        <v>0</v>
      </c>
      <c r="AD43" s="12">
        <f t="shared" si="18"/>
        <v>0</v>
      </c>
      <c r="AE43" s="13">
        <f t="shared" si="19"/>
        <v>0</v>
      </c>
    </row>
    <row r="44" spans="2:31" x14ac:dyDescent="0.25">
      <c r="B44" s="4"/>
      <c r="C44" s="1" t="s">
        <v>77</v>
      </c>
      <c r="D44" s="1" t="s">
        <v>118</v>
      </c>
      <c r="E44" s="3"/>
      <c r="F44" s="3"/>
      <c r="G44" s="24"/>
      <c r="H44" s="24"/>
      <c r="J44" s="1" t="s">
        <v>186</v>
      </c>
      <c r="K44" s="4"/>
      <c r="L44" s="4"/>
      <c r="M44" s="4"/>
      <c r="N44" s="4"/>
      <c r="O44" s="4" t="s">
        <v>42</v>
      </c>
      <c r="P44" s="33" t="s">
        <v>187</v>
      </c>
      <c r="Q44" s="25">
        <v>500</v>
      </c>
      <c r="R44" s="25">
        <v>0</v>
      </c>
      <c r="S44" s="12">
        <f t="shared" si="20"/>
        <v>0</v>
      </c>
      <c r="T44" s="5">
        <v>0.12</v>
      </c>
      <c r="U44" s="12">
        <f t="shared" si="21"/>
        <v>0</v>
      </c>
      <c r="V44" s="25" t="s">
        <v>10</v>
      </c>
      <c r="W44" s="11">
        <f>IFERROR(VLOOKUP(V44,[1]Curr!$B$2:$C$13,2,FALSE),0)</f>
        <v>11.3</v>
      </c>
      <c r="X44" s="12">
        <f t="shared" si="22"/>
        <v>0</v>
      </c>
      <c r="Y44" s="26">
        <f>Q44/0.97</f>
        <v>515.46391752577324</v>
      </c>
      <c r="Z44" s="12">
        <f t="shared" si="16"/>
        <v>0</v>
      </c>
      <c r="AA44" s="4" t="s">
        <v>10</v>
      </c>
      <c r="AB44" s="11">
        <f>IFERROR(VLOOKUP(AA44,Curr!$B$2:$C$13,2,FALSE),0)</f>
        <v>11.3</v>
      </c>
      <c r="AC44" s="12">
        <f t="shared" si="17"/>
        <v>0</v>
      </c>
      <c r="AD44" s="12">
        <f t="shared" si="18"/>
        <v>0</v>
      </c>
      <c r="AE44" s="13">
        <f t="shared" si="19"/>
        <v>0</v>
      </c>
    </row>
    <row r="45" spans="2:31" x14ac:dyDescent="0.25">
      <c r="B45" s="4"/>
      <c r="C45" s="1" t="s">
        <v>77</v>
      </c>
      <c r="D45" s="1" t="s">
        <v>118</v>
      </c>
      <c r="E45" s="3"/>
      <c r="F45" s="3"/>
      <c r="G45" s="24"/>
      <c r="H45" s="24"/>
      <c r="J45" s="1" t="s">
        <v>197</v>
      </c>
      <c r="K45" s="4"/>
      <c r="L45" s="4"/>
      <c r="M45" s="4"/>
      <c r="N45" s="4"/>
      <c r="O45" s="4"/>
      <c r="P45" s="27" t="s">
        <v>198</v>
      </c>
      <c r="Q45" s="25">
        <v>159</v>
      </c>
      <c r="R45" s="25">
        <v>0</v>
      </c>
      <c r="S45" s="12">
        <f t="shared" si="20"/>
        <v>0</v>
      </c>
      <c r="T45" s="5">
        <v>0.3</v>
      </c>
      <c r="U45" s="12">
        <f t="shared" si="21"/>
        <v>0</v>
      </c>
      <c r="V45" s="25" t="s">
        <v>10</v>
      </c>
      <c r="W45" s="11">
        <f>IFERROR(VLOOKUP(V45,[1]Curr!$B$2:$C$13,2,FALSE),0)</f>
        <v>11.3</v>
      </c>
      <c r="X45" s="12">
        <f t="shared" si="22"/>
        <v>0</v>
      </c>
      <c r="Y45" s="26">
        <f t="shared" ref="Y45" si="32">Q45</f>
        <v>159</v>
      </c>
      <c r="Z45" s="12">
        <f t="shared" ref="Z45" si="33">+Y45*R45</f>
        <v>0</v>
      </c>
      <c r="AA45" s="4" t="s">
        <v>10</v>
      </c>
      <c r="AB45" s="11">
        <f>IFERROR(VLOOKUP(AA45,Curr!$B$2:$C$13,2,FALSE),0)</f>
        <v>11.3</v>
      </c>
      <c r="AC45" s="12">
        <f t="shared" ref="AC45" si="34">+Y45*AB45*R45</f>
        <v>0</v>
      </c>
      <c r="AD45" s="12">
        <f t="shared" ref="AD45" si="35">+AC45-X45</f>
        <v>0</v>
      </c>
      <c r="AE45" s="13">
        <f t="shared" ref="AE45" si="36">IFERROR(AD45/AC45,0)</f>
        <v>0</v>
      </c>
    </row>
    <row r="46" spans="2:31" x14ac:dyDescent="0.25">
      <c r="B46" s="4"/>
      <c r="C46" s="1" t="s">
        <v>82</v>
      </c>
      <c r="D46" s="1" t="s">
        <v>118</v>
      </c>
      <c r="E46" s="3"/>
      <c r="F46" s="3"/>
      <c r="G46" s="24"/>
      <c r="H46" s="24"/>
      <c r="J46" s="1" t="s">
        <v>188</v>
      </c>
      <c r="K46" s="4"/>
      <c r="L46" s="4"/>
      <c r="M46" s="4"/>
      <c r="N46" s="4"/>
      <c r="O46" s="4" t="s">
        <v>42</v>
      </c>
      <c r="P46" s="33" t="s">
        <v>189</v>
      </c>
      <c r="Q46" s="25">
        <v>2195</v>
      </c>
      <c r="R46" s="25">
        <v>0</v>
      </c>
      <c r="S46" s="12">
        <f t="shared" si="20"/>
        <v>0</v>
      </c>
      <c r="T46" s="5">
        <v>0.2</v>
      </c>
      <c r="U46" s="12">
        <f t="shared" si="21"/>
        <v>0</v>
      </c>
      <c r="V46" s="25" t="s">
        <v>8</v>
      </c>
      <c r="W46" s="11">
        <f>IFERROR(VLOOKUP(V46,[1]Curr!$B$2:$C$13,2,FALSE),0)</f>
        <v>1</v>
      </c>
      <c r="X46" s="12">
        <f t="shared" si="22"/>
        <v>0</v>
      </c>
      <c r="Y46" s="26">
        <f t="shared" ref="Y46" si="37">Q46/11.3</f>
        <v>194.24778761061947</v>
      </c>
      <c r="Z46" s="12">
        <f t="shared" si="16"/>
        <v>0</v>
      </c>
      <c r="AA46" s="4" t="s">
        <v>10</v>
      </c>
      <c r="AB46" s="11">
        <f>IFERROR(VLOOKUP(AA46,Curr!$B$2:$C$13,2,FALSE),0)</f>
        <v>11.3</v>
      </c>
      <c r="AC46" s="12">
        <f t="shared" si="17"/>
        <v>0</v>
      </c>
      <c r="AD46" s="12">
        <f t="shared" si="18"/>
        <v>0</v>
      </c>
      <c r="AE46" s="13">
        <f t="shared" si="19"/>
        <v>0</v>
      </c>
    </row>
    <row r="47" spans="2:31" x14ac:dyDescent="0.25">
      <c r="B47" s="4"/>
      <c r="E47" s="3"/>
      <c r="F47" s="3"/>
      <c r="G47" s="24"/>
      <c r="H47" s="24"/>
      <c r="K47" s="4"/>
      <c r="L47" s="4"/>
      <c r="M47" s="4"/>
      <c r="N47" s="4"/>
      <c r="O47" s="4"/>
      <c r="P47" s="33"/>
      <c r="Q47" s="25"/>
      <c r="R47" s="25"/>
      <c r="S47" s="12">
        <f t="shared" si="20"/>
        <v>0</v>
      </c>
      <c r="T47" s="5">
        <v>0</v>
      </c>
      <c r="U47" s="12">
        <f t="shared" si="21"/>
        <v>0</v>
      </c>
      <c r="V47" s="25" t="s">
        <v>10</v>
      </c>
      <c r="W47" s="11">
        <f>IFERROR(VLOOKUP(V47,[1]Curr!$B$2:$C$13,2,FALSE),0)</f>
        <v>11.3</v>
      </c>
      <c r="X47" s="12">
        <f t="shared" si="22"/>
        <v>0</v>
      </c>
      <c r="Y47" s="26">
        <f t="shared" si="23"/>
        <v>0</v>
      </c>
      <c r="Z47" s="12">
        <f t="shared" si="16"/>
        <v>0</v>
      </c>
      <c r="AA47" s="4" t="s">
        <v>10</v>
      </c>
      <c r="AB47" s="11">
        <f>IFERROR(VLOOKUP(AA47,Curr!$B$2:$C$13,2,FALSE),0)</f>
        <v>11.3</v>
      </c>
      <c r="AC47" s="12">
        <f t="shared" si="17"/>
        <v>0</v>
      </c>
      <c r="AD47" s="12">
        <f t="shared" si="18"/>
        <v>0</v>
      </c>
      <c r="AE47" s="13">
        <f t="shared" si="19"/>
        <v>0</v>
      </c>
    </row>
    <row r="48" spans="2:31" x14ac:dyDescent="0.25">
      <c r="B48" s="4"/>
      <c r="E48" s="3"/>
      <c r="F48" s="3"/>
      <c r="G48" s="24"/>
      <c r="H48" s="24"/>
      <c r="K48" s="4"/>
      <c r="L48" s="4"/>
      <c r="M48" s="4"/>
      <c r="N48" s="4"/>
      <c r="O48" s="4"/>
      <c r="P48" s="27"/>
      <c r="Q48" s="25"/>
      <c r="R48" s="25"/>
      <c r="S48" s="12">
        <f t="shared" si="20"/>
        <v>0</v>
      </c>
      <c r="T48" s="5">
        <v>0</v>
      </c>
      <c r="U48" s="12">
        <f t="shared" si="21"/>
        <v>0</v>
      </c>
      <c r="V48" s="25" t="s">
        <v>10</v>
      </c>
      <c r="W48" s="11">
        <f>IFERROR(VLOOKUP(V48,[1]Curr!$B$2:$C$13,2,FALSE),0)</f>
        <v>11.3</v>
      </c>
      <c r="X48" s="12">
        <f t="shared" si="22"/>
        <v>0</v>
      </c>
      <c r="Y48" s="26">
        <f t="shared" si="23"/>
        <v>0</v>
      </c>
      <c r="Z48" s="12">
        <f t="shared" si="16"/>
        <v>0</v>
      </c>
      <c r="AA48" s="4" t="s">
        <v>10</v>
      </c>
      <c r="AB48" s="11">
        <f>IFERROR(VLOOKUP(AA48,Curr!$B$2:$C$13,2,FALSE),0)</f>
        <v>11.3</v>
      </c>
      <c r="AC48" s="12">
        <f t="shared" si="17"/>
        <v>0</v>
      </c>
      <c r="AD48" s="12">
        <f t="shared" si="18"/>
        <v>0</v>
      </c>
      <c r="AE48" s="13">
        <f t="shared" si="19"/>
        <v>0</v>
      </c>
    </row>
    <row r="49" spans="2:36" x14ac:dyDescent="0.25">
      <c r="B49" s="4"/>
      <c r="E49" s="3"/>
      <c r="F49" s="3"/>
      <c r="G49" s="24"/>
      <c r="H49" s="24"/>
      <c r="K49" s="4"/>
      <c r="L49" s="4"/>
      <c r="M49" s="4"/>
      <c r="N49" s="4"/>
      <c r="O49" s="4"/>
      <c r="P49" s="27"/>
      <c r="Q49" s="25"/>
      <c r="R49" s="25"/>
      <c r="S49" s="12">
        <f t="shared" si="20"/>
        <v>0</v>
      </c>
      <c r="T49" s="5">
        <v>0</v>
      </c>
      <c r="U49" s="12">
        <f t="shared" si="21"/>
        <v>0</v>
      </c>
      <c r="V49" s="25" t="s">
        <v>10</v>
      </c>
      <c r="W49" s="11">
        <f>IFERROR(VLOOKUP(V49,[1]Curr!$B$2:$C$13,2,FALSE),0)</f>
        <v>11.3</v>
      </c>
      <c r="X49" s="12">
        <f t="shared" si="22"/>
        <v>0</v>
      </c>
      <c r="Y49" s="26">
        <f t="shared" si="23"/>
        <v>0</v>
      </c>
      <c r="Z49" s="12">
        <f t="shared" si="16"/>
        <v>0</v>
      </c>
      <c r="AA49" s="4" t="s">
        <v>10</v>
      </c>
      <c r="AB49" s="11">
        <f>IFERROR(VLOOKUP(AA49,Curr!$B$2:$C$13,2,FALSE),0)</f>
        <v>11.3</v>
      </c>
      <c r="AC49" s="12">
        <f t="shared" si="17"/>
        <v>0</v>
      </c>
      <c r="AD49" s="12">
        <f t="shared" si="18"/>
        <v>0</v>
      </c>
      <c r="AE49" s="13">
        <f t="shared" si="19"/>
        <v>0</v>
      </c>
    </row>
    <row r="50" spans="2:36" x14ac:dyDescent="0.25">
      <c r="B50" s="4"/>
      <c r="E50" s="3"/>
      <c r="F50" s="3"/>
      <c r="G50" s="24"/>
      <c r="H50" s="24"/>
      <c r="K50" s="4"/>
      <c r="L50" s="4"/>
      <c r="M50" s="4"/>
      <c r="N50" s="4"/>
      <c r="O50" s="4"/>
      <c r="P50" s="27"/>
      <c r="Q50" s="25"/>
      <c r="R50" s="25"/>
      <c r="S50" s="12">
        <f t="shared" si="20"/>
        <v>0</v>
      </c>
      <c r="T50" s="5">
        <v>0</v>
      </c>
      <c r="U50" s="12">
        <f t="shared" si="21"/>
        <v>0</v>
      </c>
      <c r="V50" s="25" t="s">
        <v>10</v>
      </c>
      <c r="W50" s="11">
        <f>IFERROR(VLOOKUP(V50,[1]Curr!$B$2:$C$13,2,FALSE),0)</f>
        <v>11.3</v>
      </c>
      <c r="X50" s="12">
        <f t="shared" si="22"/>
        <v>0</v>
      </c>
      <c r="Y50" s="26">
        <f t="shared" si="23"/>
        <v>0</v>
      </c>
      <c r="Z50" s="12">
        <f t="shared" si="16"/>
        <v>0</v>
      </c>
      <c r="AA50" s="4" t="s">
        <v>10</v>
      </c>
      <c r="AB50" s="11">
        <f>IFERROR(VLOOKUP(AA50,Curr!$B$2:$C$13,2,FALSE),0)</f>
        <v>11.3</v>
      </c>
      <c r="AC50" s="12">
        <f t="shared" si="17"/>
        <v>0</v>
      </c>
      <c r="AD50" s="12">
        <f t="shared" si="18"/>
        <v>0</v>
      </c>
      <c r="AE50" s="13">
        <f t="shared" si="19"/>
        <v>0</v>
      </c>
    </row>
    <row r="51" spans="2:36" x14ac:dyDescent="0.25">
      <c r="B51" s="4"/>
      <c r="E51" s="3"/>
      <c r="F51" s="3"/>
      <c r="G51" s="24"/>
      <c r="H51" s="24"/>
      <c r="K51" s="4"/>
      <c r="L51" s="4"/>
      <c r="M51" s="4"/>
      <c r="N51" s="4"/>
      <c r="O51" s="4"/>
      <c r="P51" s="33"/>
      <c r="Q51" s="25"/>
      <c r="R51" s="25"/>
      <c r="S51" s="12">
        <f t="shared" si="20"/>
        <v>0</v>
      </c>
      <c r="T51" s="5">
        <v>0</v>
      </c>
      <c r="U51" s="12">
        <f t="shared" si="21"/>
        <v>0</v>
      </c>
      <c r="V51" s="25" t="s">
        <v>10</v>
      </c>
      <c r="W51" s="11">
        <f>IFERROR(VLOOKUP(V51,[1]Curr!$B$2:$C$13,2,FALSE),0)</f>
        <v>11.3</v>
      </c>
      <c r="X51" s="12">
        <f t="shared" si="22"/>
        <v>0</v>
      </c>
      <c r="Y51" s="26">
        <f t="shared" si="23"/>
        <v>0</v>
      </c>
      <c r="Z51" s="12">
        <f t="shared" si="16"/>
        <v>0</v>
      </c>
      <c r="AA51" s="4" t="s">
        <v>10</v>
      </c>
      <c r="AB51" s="11">
        <f>IFERROR(VLOOKUP(AA51,Curr!$B$2:$C$13,2,FALSE),0)</f>
        <v>11.3</v>
      </c>
      <c r="AC51" s="12">
        <f t="shared" si="17"/>
        <v>0</v>
      </c>
      <c r="AD51" s="12">
        <f t="shared" si="18"/>
        <v>0</v>
      </c>
      <c r="AE51" s="13">
        <f t="shared" si="19"/>
        <v>0</v>
      </c>
    </row>
    <row r="52" spans="2:36" x14ac:dyDescent="0.25">
      <c r="B52" s="4"/>
      <c r="E52" s="3"/>
      <c r="F52" s="3"/>
      <c r="G52" s="24"/>
      <c r="H52" s="24"/>
      <c r="K52" s="4"/>
      <c r="L52" s="4"/>
      <c r="M52" s="4"/>
      <c r="N52" s="4"/>
      <c r="O52" s="4"/>
      <c r="P52" s="27"/>
      <c r="Q52" s="25"/>
      <c r="R52" s="25"/>
      <c r="S52" s="12">
        <f t="shared" si="20"/>
        <v>0</v>
      </c>
      <c r="T52" s="5">
        <v>0</v>
      </c>
      <c r="U52" s="12">
        <f t="shared" si="21"/>
        <v>0</v>
      </c>
      <c r="V52" s="25" t="s">
        <v>10</v>
      </c>
      <c r="W52" s="11">
        <f>IFERROR(VLOOKUP(V52,[1]Curr!$B$2:$C$13,2,FALSE),0)</f>
        <v>11.3</v>
      </c>
      <c r="X52" s="12">
        <f t="shared" si="22"/>
        <v>0</v>
      </c>
      <c r="Y52" s="26">
        <f t="shared" si="23"/>
        <v>0</v>
      </c>
      <c r="Z52" s="12">
        <f t="shared" si="16"/>
        <v>0</v>
      </c>
      <c r="AA52" s="4" t="s">
        <v>10</v>
      </c>
      <c r="AB52" s="11">
        <f>IFERROR(VLOOKUP(AA52,Curr!$B$2:$C$13,2,FALSE),0)</f>
        <v>11.3</v>
      </c>
      <c r="AC52" s="12">
        <f t="shared" si="17"/>
        <v>0</v>
      </c>
      <c r="AD52" s="12">
        <f t="shared" si="18"/>
        <v>0</v>
      </c>
      <c r="AE52" s="13">
        <f t="shared" si="19"/>
        <v>0</v>
      </c>
    </row>
    <row r="53" spans="2:36" x14ac:dyDescent="0.25">
      <c r="B53" s="4"/>
      <c r="E53" s="3"/>
      <c r="F53" s="3"/>
      <c r="G53" s="24"/>
      <c r="H53" s="24"/>
      <c r="K53" s="4"/>
      <c r="L53" s="4"/>
      <c r="M53" s="4"/>
      <c r="N53" s="4"/>
      <c r="O53" s="4"/>
      <c r="P53" s="27"/>
      <c r="Q53" s="25"/>
      <c r="R53" s="25"/>
      <c r="S53" s="12">
        <f t="shared" si="20"/>
        <v>0</v>
      </c>
      <c r="T53" s="5">
        <v>0</v>
      </c>
      <c r="U53" s="12">
        <f t="shared" si="21"/>
        <v>0</v>
      </c>
      <c r="V53" s="25" t="s">
        <v>10</v>
      </c>
      <c r="W53" s="11">
        <f>IFERROR(VLOOKUP(V53,[1]Curr!$B$2:$C$13,2,FALSE),0)</f>
        <v>11.3</v>
      </c>
      <c r="X53" s="12">
        <f t="shared" si="22"/>
        <v>0</v>
      </c>
      <c r="Y53" s="26">
        <f t="shared" si="23"/>
        <v>0</v>
      </c>
      <c r="Z53" s="12">
        <f t="shared" si="16"/>
        <v>0</v>
      </c>
      <c r="AA53" s="4" t="s">
        <v>10</v>
      </c>
      <c r="AB53" s="11">
        <f>IFERROR(VLOOKUP(AA53,Curr!$B$2:$C$13,2,FALSE),0)</f>
        <v>11.3</v>
      </c>
      <c r="AC53" s="12">
        <f t="shared" si="17"/>
        <v>0</v>
      </c>
      <c r="AD53" s="12">
        <f t="shared" si="18"/>
        <v>0</v>
      </c>
      <c r="AE53" s="13">
        <f t="shared" si="19"/>
        <v>0</v>
      </c>
    </row>
    <row r="54" spans="2:36" x14ac:dyDescent="0.25">
      <c r="B54" s="4"/>
      <c r="E54" s="3"/>
      <c r="F54" s="3"/>
      <c r="G54" s="24"/>
      <c r="H54" s="24"/>
      <c r="K54" s="4"/>
      <c r="L54" s="4"/>
      <c r="M54" s="4"/>
      <c r="N54" s="4"/>
      <c r="O54" s="4"/>
      <c r="P54" s="27"/>
      <c r="Q54" s="25"/>
      <c r="R54" s="25"/>
      <c r="S54" s="12">
        <f t="shared" si="20"/>
        <v>0</v>
      </c>
      <c r="T54" s="5">
        <v>0</v>
      </c>
      <c r="U54" s="12">
        <f t="shared" si="21"/>
        <v>0</v>
      </c>
      <c r="V54" s="25" t="s">
        <v>10</v>
      </c>
      <c r="W54" s="11">
        <f>IFERROR(VLOOKUP(V54,[1]Curr!$B$2:$C$13,2,FALSE),0)</f>
        <v>11.3</v>
      </c>
      <c r="X54" s="12">
        <f t="shared" si="22"/>
        <v>0</v>
      </c>
      <c r="Y54" s="26">
        <f t="shared" si="23"/>
        <v>0</v>
      </c>
      <c r="Z54" s="12">
        <f t="shared" si="16"/>
        <v>0</v>
      </c>
      <c r="AA54" s="4" t="s">
        <v>10</v>
      </c>
      <c r="AB54" s="11">
        <f>IFERROR(VLOOKUP(AA54,Curr!$B$2:$C$13,2,FALSE),0)</f>
        <v>11.3</v>
      </c>
      <c r="AC54" s="12">
        <f t="shared" si="17"/>
        <v>0</v>
      </c>
      <c r="AD54" s="12">
        <f t="shared" si="18"/>
        <v>0</v>
      </c>
      <c r="AE54" s="13">
        <f t="shared" si="19"/>
        <v>0</v>
      </c>
    </row>
    <row r="55" spans="2:36" x14ac:dyDescent="0.25">
      <c r="B55" s="4"/>
      <c r="E55" s="3"/>
      <c r="F55" s="3"/>
      <c r="G55" s="3"/>
      <c r="H55" s="3"/>
      <c r="L55" s="4"/>
      <c r="M55" s="4"/>
      <c r="N55" s="4"/>
      <c r="O55" s="4"/>
      <c r="P55" s="22"/>
      <c r="Q55" s="4"/>
      <c r="R55" s="4"/>
      <c r="S55" s="4"/>
      <c r="T55" s="4"/>
      <c r="U55" s="4"/>
      <c r="V55" s="4"/>
      <c r="W55" s="4"/>
      <c r="X55" s="4"/>
      <c r="Y55" s="4"/>
      <c r="Z55" s="4"/>
      <c r="AA55" s="4"/>
      <c r="AB55" s="4"/>
      <c r="AC55" s="4"/>
      <c r="AD55" s="4"/>
      <c r="AE55" s="4"/>
      <c r="AF55" s="4"/>
    </row>
    <row r="56" spans="2:36" x14ac:dyDescent="0.25">
      <c r="B56" s="14" t="s">
        <v>18</v>
      </c>
      <c r="C56" s="14"/>
      <c r="D56" s="28" t="s">
        <v>42</v>
      </c>
      <c r="E56" s="30" t="s">
        <v>42</v>
      </c>
      <c r="F56" s="30" t="s">
        <v>42</v>
      </c>
      <c r="G56" s="30" t="s">
        <v>42</v>
      </c>
      <c r="H56" s="30" t="s">
        <v>42</v>
      </c>
      <c r="I56" s="28" t="s">
        <v>42</v>
      </c>
      <c r="J56" s="28" t="s">
        <v>42</v>
      </c>
      <c r="K56" s="28" t="s">
        <v>42</v>
      </c>
      <c r="L56" s="28" t="s">
        <v>42</v>
      </c>
      <c r="M56" s="28" t="s">
        <v>42</v>
      </c>
      <c r="N56" s="28" t="s">
        <v>42</v>
      </c>
      <c r="O56" s="28" t="s">
        <v>42</v>
      </c>
      <c r="P56" s="28" t="s">
        <v>42</v>
      </c>
      <c r="Q56" s="31" t="s">
        <v>42</v>
      </c>
      <c r="R56" s="28" t="s">
        <v>42</v>
      </c>
      <c r="S56" s="32" t="s">
        <v>42</v>
      </c>
      <c r="T56" s="28" t="s">
        <v>42</v>
      </c>
      <c r="U56" s="32" t="s">
        <v>42</v>
      </c>
      <c r="V56" s="28" t="s">
        <v>42</v>
      </c>
      <c r="W56" s="28" t="s">
        <v>42</v>
      </c>
      <c r="X56" s="32" t="s">
        <v>42</v>
      </c>
      <c r="Y56" s="32" t="s">
        <v>42</v>
      </c>
      <c r="Z56" s="15">
        <f>SUM(Z7:Z54)</f>
        <v>4393.5584764879404</v>
      </c>
      <c r="AA56" s="14"/>
      <c r="AB56" s="14"/>
      <c r="AC56" s="15">
        <f>SUM(AC7:AC54)</f>
        <v>49647.210784313735</v>
      </c>
      <c r="AD56" s="15">
        <f>SUM(AD7:AD54)</f>
        <v>9723.0107843137248</v>
      </c>
      <c r="AE56" s="21">
        <f t="shared" ref="AE56" si="38">IFERROR(AD56/AC56,0)</f>
        <v>0.19584203484369267</v>
      </c>
      <c r="AF56" s="15">
        <f>SUM(AF8:AF55)</f>
        <v>0</v>
      </c>
      <c r="AG56" s="15">
        <f>SUM(AG8:AG55)</f>
        <v>0</v>
      </c>
      <c r="AH56" s="15">
        <f>SUM(AH8:AH55)</f>
        <v>0</v>
      </c>
      <c r="AI56" s="15">
        <f>SUM(AI8:AI55)</f>
        <v>0</v>
      </c>
      <c r="AJ56" s="15">
        <f>SUM(AJ8:AJ55)</f>
        <v>0</v>
      </c>
    </row>
    <row r="57" spans="2:36" x14ac:dyDescent="0.25">
      <c r="B57" s="4"/>
      <c r="E57" s="3"/>
      <c r="F57" s="3"/>
      <c r="G57" s="3"/>
      <c r="H57" s="3"/>
      <c r="L57" s="4"/>
      <c r="M57" s="4"/>
      <c r="N57" s="4"/>
      <c r="O57" s="4"/>
      <c r="Q57" s="4"/>
      <c r="R57" s="4"/>
      <c r="S57" s="4"/>
      <c r="T57" s="4"/>
      <c r="U57" s="4"/>
      <c r="V57" s="4"/>
      <c r="W57" s="4"/>
      <c r="X57" s="4"/>
      <c r="Y57" s="9"/>
      <c r="Z57" s="9"/>
      <c r="AA57" s="9"/>
      <c r="AB57" s="9"/>
      <c r="AC57" s="9"/>
      <c r="AD57" s="9"/>
      <c r="AE57" s="9"/>
    </row>
    <row r="58" spans="2:36" x14ac:dyDescent="0.25">
      <c r="B58" s="4"/>
      <c r="E58" s="3"/>
      <c r="F58" s="3"/>
      <c r="G58" s="3"/>
      <c r="H58" s="3"/>
      <c r="L58" s="4"/>
      <c r="M58" s="4"/>
      <c r="N58" s="4"/>
      <c r="O58" s="4"/>
      <c r="Q58" s="9"/>
      <c r="R58" s="9"/>
      <c r="S58" s="9"/>
      <c r="T58" s="9"/>
      <c r="U58" s="9"/>
      <c r="V58" s="9"/>
      <c r="W58" s="9"/>
      <c r="X58" s="23"/>
      <c r="Y58" s="34" t="s">
        <v>119</v>
      </c>
      <c r="Z58" s="34">
        <f>Z12+Z14+Z16+Z18+Z21+Z26+Z28+Z30+Z32</f>
        <v>2389.8820058997053</v>
      </c>
      <c r="AA58" s="9"/>
      <c r="AB58" s="9"/>
      <c r="AC58" s="9"/>
      <c r="AD58" s="9"/>
      <c r="AE58" s="9"/>
    </row>
    <row r="59" spans="2:36" x14ac:dyDescent="0.25">
      <c r="B59" s="4"/>
      <c r="E59" s="3"/>
      <c r="F59" s="3"/>
      <c r="G59" s="3"/>
      <c r="H59" s="3"/>
      <c r="L59" s="4"/>
      <c r="M59" s="4"/>
      <c r="N59" s="4"/>
      <c r="O59" s="4"/>
      <c r="Q59" s="9"/>
      <c r="R59" s="9"/>
      <c r="S59" s="9"/>
      <c r="T59" s="9"/>
      <c r="U59" s="9"/>
      <c r="V59" s="9"/>
      <c r="W59" s="9"/>
      <c r="X59" s="9"/>
      <c r="Y59" s="35" t="s">
        <v>120</v>
      </c>
      <c r="Z59" s="34">
        <f>Z9+Z23</f>
        <v>2003.6764705882354</v>
      </c>
      <c r="AA59" s="9"/>
      <c r="AB59" s="9"/>
      <c r="AC59" s="9"/>
      <c r="AD59" s="9"/>
      <c r="AE59" s="9"/>
      <c r="AF59" s="18"/>
    </row>
    <row r="60" spans="2:36" x14ac:dyDescent="0.25">
      <c r="B60" s="4"/>
      <c r="E60" s="3"/>
      <c r="F60" s="3"/>
      <c r="G60" s="3"/>
      <c r="H60" s="3"/>
      <c r="I60" s="19"/>
      <c r="L60" s="4"/>
      <c r="M60" s="4"/>
      <c r="N60" s="4"/>
      <c r="O60" s="20"/>
      <c r="Q60" s="20"/>
      <c r="R60" s="20"/>
      <c r="S60" s="20"/>
      <c r="T60" s="20"/>
      <c r="U60" s="20"/>
      <c r="V60" s="20"/>
      <c r="W60" s="20"/>
      <c r="X60" s="20"/>
      <c r="Y60" s="34" t="s">
        <v>121</v>
      </c>
      <c r="Z60" s="34">
        <v>4380</v>
      </c>
      <c r="AA60" s="9"/>
      <c r="AB60" s="9"/>
      <c r="AC60" s="9"/>
      <c r="AD60" s="9"/>
      <c r="AE60" s="9"/>
      <c r="AF60" s="18"/>
    </row>
    <row r="61" spans="2:36" x14ac:dyDescent="0.25">
      <c r="B61" s="4"/>
      <c r="E61" s="3"/>
      <c r="F61" s="3"/>
      <c r="G61" s="3"/>
      <c r="H61" s="3"/>
      <c r="L61" s="4"/>
      <c r="M61" s="4"/>
      <c r="N61" s="4"/>
      <c r="O61" s="20"/>
      <c r="Q61" s="20"/>
      <c r="R61" s="20"/>
      <c r="S61" s="20"/>
      <c r="T61" s="20"/>
      <c r="U61" s="20"/>
      <c r="V61" s="20"/>
      <c r="W61" s="20"/>
      <c r="X61" s="20"/>
      <c r="Y61" s="34" t="s">
        <v>46</v>
      </c>
      <c r="Z61" s="34">
        <f>Z60/2</f>
        <v>2190</v>
      </c>
      <c r="AA61" s="9"/>
      <c r="AB61" s="9"/>
      <c r="AC61" s="9"/>
      <c r="AD61" s="9"/>
      <c r="AE61" s="9"/>
      <c r="AF61" s="18"/>
    </row>
    <row r="62" spans="2:36" x14ac:dyDescent="0.25">
      <c r="B62" s="4"/>
      <c r="E62" s="3"/>
      <c r="F62" s="3"/>
      <c r="G62" s="3"/>
      <c r="H62" s="3"/>
      <c r="L62" s="4"/>
      <c r="M62" s="4"/>
      <c r="N62" s="4"/>
      <c r="O62" s="4"/>
      <c r="Q62" s="9"/>
      <c r="R62" s="9"/>
      <c r="S62" s="9"/>
      <c r="T62" s="9"/>
      <c r="U62" s="9"/>
      <c r="V62" s="9"/>
      <c r="W62" s="9"/>
      <c r="X62" s="9"/>
      <c r="Y62" s="1"/>
      <c r="Z62" s="1"/>
      <c r="AA62" s="9"/>
      <c r="AB62" s="9"/>
      <c r="AC62" s="9"/>
      <c r="AD62" s="9"/>
      <c r="AE62" s="9"/>
      <c r="AF62" s="18"/>
    </row>
    <row r="63" spans="2:36" x14ac:dyDescent="0.25">
      <c r="F63" s="1"/>
      <c r="G63" s="1"/>
      <c r="H63" s="1"/>
      <c r="J63" s="1" t="s">
        <v>32</v>
      </c>
      <c r="Q63" s="9"/>
      <c r="R63" s="4"/>
      <c r="S63" s="9"/>
      <c r="T63" s="5"/>
      <c r="U63" s="9"/>
      <c r="V63" s="4"/>
      <c r="W63" s="4"/>
      <c r="X63" s="9"/>
      <c r="Y63" s="9"/>
      <c r="Z63" s="9"/>
      <c r="AA63" s="9"/>
      <c r="AB63" s="9"/>
      <c r="AC63" s="9"/>
      <c r="AD63" s="9"/>
      <c r="AE63" s="9"/>
    </row>
    <row r="64" spans="2:36" x14ac:dyDescent="0.25">
      <c r="R64" s="4"/>
      <c r="S64" s="17"/>
      <c r="T64" s="17"/>
      <c r="U64" s="9"/>
      <c r="V64" s="4"/>
      <c r="W64" s="4"/>
      <c r="X64" s="9"/>
      <c r="Y64" s="39" t="s">
        <v>220</v>
      </c>
      <c r="Z64" s="9">
        <f>Z60</f>
        <v>4380</v>
      </c>
      <c r="AA64" s="9"/>
      <c r="AB64" s="9"/>
      <c r="AC64" s="9"/>
      <c r="AD64" s="9"/>
      <c r="AE64" s="9"/>
    </row>
    <row r="65" spans="17:31" x14ac:dyDescent="0.25">
      <c r="Q65" s="9"/>
      <c r="R65" s="4"/>
      <c r="S65" s="16"/>
      <c r="T65" s="16"/>
      <c r="U65" s="9"/>
      <c r="V65" s="4"/>
      <c r="W65" s="4"/>
      <c r="X65" s="9"/>
      <c r="Y65" s="39" t="s">
        <v>221</v>
      </c>
      <c r="Z65" s="9">
        <f>Z64*1.18</f>
        <v>5168.3999999999996</v>
      </c>
      <c r="AA65" s="9"/>
      <c r="AB65" s="9"/>
      <c r="AC65" s="9"/>
      <c r="AD65" s="9"/>
      <c r="AE65" s="9"/>
    </row>
    <row r="66" spans="17:31" x14ac:dyDescent="0.25">
      <c r="R66" s="4"/>
      <c r="S66" s="16"/>
      <c r="T66" s="16"/>
      <c r="Y66" s="39" t="s">
        <v>222</v>
      </c>
      <c r="Z66" s="9">
        <f>Z64*1.3</f>
        <v>5694</v>
      </c>
      <c r="AA66" s="9"/>
      <c r="AB66" s="9"/>
      <c r="AC66" s="9"/>
      <c r="AD66" s="9"/>
      <c r="AE66" s="9"/>
    </row>
    <row r="67" spans="17:31" x14ac:dyDescent="0.25">
      <c r="T67" s="5"/>
      <c r="Y67" s="39" t="s">
        <v>223</v>
      </c>
      <c r="Z67" s="9">
        <f>Z64*0.85</f>
        <v>3723</v>
      </c>
      <c r="AA67" s="9"/>
      <c r="AB67" s="9"/>
      <c r="AC67" s="9"/>
      <c r="AD67" s="9"/>
      <c r="AE67" s="9"/>
    </row>
    <row r="68" spans="17:31" x14ac:dyDescent="0.25">
      <c r="T68" s="5"/>
      <c r="Y68" s="9"/>
      <c r="Z68" s="9"/>
      <c r="AA68" s="9"/>
      <c r="AB68" s="9"/>
      <c r="AC68" s="9"/>
      <c r="AD68" s="9"/>
      <c r="AE68" s="9"/>
    </row>
    <row r="69" spans="17:31" x14ac:dyDescent="0.25">
      <c r="T69" s="5"/>
      <c r="Y69" s="9"/>
      <c r="Z69" s="9"/>
      <c r="AA69" s="9"/>
      <c r="AB69" s="9"/>
      <c r="AC69" s="9"/>
      <c r="AD69" s="9"/>
      <c r="AE69" s="9"/>
    </row>
    <row r="70" spans="17:31" x14ac:dyDescent="0.25">
      <c r="T70" s="5"/>
      <c r="Y70" s="9"/>
      <c r="Z70" s="9"/>
      <c r="AA70" s="9"/>
      <c r="AB70" s="9"/>
      <c r="AC70" s="9"/>
      <c r="AD70" s="9"/>
      <c r="AE70" s="9"/>
    </row>
    <row r="71" spans="17:31" x14ac:dyDescent="0.25">
      <c r="T71" s="5"/>
      <c r="Y71" s="9"/>
      <c r="Z71" s="9"/>
      <c r="AA71" s="9"/>
      <c r="AB71" s="9"/>
      <c r="AC71" s="9"/>
      <c r="AD71" s="9"/>
      <c r="AE71" s="9"/>
    </row>
    <row r="72" spans="17:31" x14ac:dyDescent="0.25">
      <c r="T72" s="5"/>
      <c r="Y72" s="9"/>
      <c r="Z72" s="9"/>
      <c r="AA72" s="9"/>
      <c r="AB72" s="9"/>
      <c r="AC72" s="9"/>
      <c r="AD72" s="9"/>
      <c r="AE72" s="9"/>
    </row>
    <row r="73" spans="17:31" x14ac:dyDescent="0.25">
      <c r="T73" s="5"/>
      <c r="Y73" s="9"/>
      <c r="Z73" s="9"/>
      <c r="AA73" s="9"/>
      <c r="AB73" s="9"/>
      <c r="AC73" s="9"/>
      <c r="AD73" s="9"/>
      <c r="AE73" s="9"/>
    </row>
    <row r="74" spans="17:31" x14ac:dyDescent="0.25">
      <c r="T74" s="5"/>
      <c r="Y74" s="9"/>
      <c r="Z74" s="9"/>
      <c r="AA74" s="9"/>
      <c r="AB74" s="9"/>
      <c r="AC74" s="9"/>
      <c r="AD74" s="9"/>
      <c r="AE74" s="9"/>
    </row>
    <row r="75" spans="17:31" x14ac:dyDescent="0.25">
      <c r="T75" s="5"/>
    </row>
    <row r="76" spans="17:31" x14ac:dyDescent="0.25">
      <c r="T76" s="5"/>
    </row>
    <row r="77" spans="17:31" x14ac:dyDescent="0.25">
      <c r="T77" s="5"/>
    </row>
    <row r="78" spans="17:31" x14ac:dyDescent="0.25">
      <c r="T78" s="5"/>
    </row>
    <row r="79" spans="17:31" x14ac:dyDescent="0.25">
      <c r="T79" s="5"/>
    </row>
  </sheetData>
  <autoFilter ref="B6:AE56" xr:uid="{65FA6D9B-E0AF-46CD-BA0D-86BB75FE6AB0}"/>
  <hyperlinks>
    <hyperlink ref="P21" r:id="rId1" xr:uid="{DB60C699-4DE7-41EE-A800-0725CA3D1636}"/>
    <hyperlink ref="P26" r:id="rId2" xr:uid="{A9E3C420-B7B7-42AF-9571-501F44E7334E}"/>
    <hyperlink ref="P32" r:id="rId3" xr:uid="{02FBC4B0-6836-4363-88BE-3FE0A5D0B271}"/>
    <hyperlink ref="P12" r:id="rId4" xr:uid="{0B7A79F5-1D04-459E-9CCD-4B329A12C37F}"/>
    <hyperlink ref="P18" r:id="rId5" xr:uid="{4742800B-D18B-4F7A-AF07-C93C03CE0DD7}"/>
    <hyperlink ref="P30" r:id="rId6" xr:uid="{87CD6433-1A07-406B-8EB7-7BBE882133D1}"/>
    <hyperlink ref="P16" r:id="rId7" xr:uid="{7A4469E2-6C59-4D70-9792-9AE8500EE104}"/>
    <hyperlink ref="P43" r:id="rId8" xr:uid="{B8CBB5DC-1229-4D7A-B8BB-D577063370CF}"/>
    <hyperlink ref="P44" r:id="rId9" xr:uid="{9D9EE870-0E1C-4119-8BCB-76D84CC71588}"/>
    <hyperlink ref="P46" r:id="rId10" xr:uid="{EAD4ABA0-DF39-48A7-A09A-B5498F81C3AE}"/>
    <hyperlink ref="P28" r:id="rId11" xr:uid="{322C52FA-C8F3-434A-AF63-37D848FF20C6}"/>
    <hyperlink ref="P14" r:id="rId12" xr:uid="{137CF661-93E0-4AAA-B591-1663E58F5C6C}"/>
  </hyperlinks>
  <pageMargins left="0.7" right="0.7" top="0.75" bottom="0.75" header="0.3" footer="0.3"/>
  <pageSetup paperSize="9"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98FEC-819C-4EFD-AE9A-096FBA3CEA90}">
  <sheetPr>
    <tabColor rgb="FFFFFF00"/>
  </sheetPr>
  <dimension ref="B1:AK82"/>
  <sheetViews>
    <sheetView topLeftCell="A4" zoomScale="80" zoomScaleNormal="80" workbookViewId="0">
      <selection activeCell="J28" sqref="J28"/>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59</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57" si="0">+Q7*R7</f>
        <v>0</v>
      </c>
      <c r="T7" s="5">
        <v>0</v>
      </c>
      <c r="U7" s="12">
        <f>S7*(1-T7)</f>
        <v>0</v>
      </c>
      <c r="V7" s="25" t="s">
        <v>10</v>
      </c>
      <c r="W7" s="11">
        <f>IFERROR(VLOOKUP(V7,[1]Curr!$B$2:$C$13,2,FALSE),0)</f>
        <v>11.3</v>
      </c>
      <c r="X7" s="12">
        <f t="shared" ref="X7:X57" si="1">U7*W7</f>
        <v>0</v>
      </c>
      <c r="Y7" s="26">
        <f>Q7</f>
        <v>0</v>
      </c>
      <c r="Z7" s="12">
        <f t="shared" ref="Z7:Z57" si="2">+Y7*R7</f>
        <v>0</v>
      </c>
      <c r="AA7" s="4" t="s">
        <v>10</v>
      </c>
      <c r="AB7" s="11">
        <f>IFERROR(VLOOKUP(AA7,Curr!$B$2:$C$13,2,FALSE),0)</f>
        <v>11.3</v>
      </c>
      <c r="AC7" s="12">
        <f t="shared" ref="AC7:AC57" si="3">+Y7*AB7*R7</f>
        <v>0</v>
      </c>
      <c r="AD7" s="12">
        <f t="shared" ref="AD7:AD57" si="4">+AC7-X7</f>
        <v>0</v>
      </c>
      <c r="AE7" s="13">
        <f t="shared" ref="AE7:AE57"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57"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Q9/0.85</f>
        <v>176.47058823529412</v>
      </c>
      <c r="Z9" s="12">
        <f t="shared" si="2"/>
        <v>176.47058823529412</v>
      </c>
      <c r="AA9" s="4" t="s">
        <v>10</v>
      </c>
      <c r="AB9" s="11">
        <f>IFERROR(VLOOKUP(AA9,Curr!$B$2:$C$13,2,FALSE),0)</f>
        <v>11.3</v>
      </c>
      <c r="AC9" s="12">
        <f t="shared" si="3"/>
        <v>1994.1176470588236</v>
      </c>
      <c r="AD9" s="12">
        <f t="shared" si="4"/>
        <v>299.11764705882365</v>
      </c>
      <c r="AE9" s="13">
        <f t="shared" si="5"/>
        <v>0.15000000000000005</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57"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124</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8"/>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f t="shared" si="8"/>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f t="shared" si="8"/>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f t="shared" si="8"/>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109</v>
      </c>
      <c r="K28" s="4"/>
      <c r="L28" s="4"/>
      <c r="M28" s="4"/>
      <c r="N28" s="4"/>
      <c r="O28" s="4"/>
      <c r="P28" s="33"/>
      <c r="Q28" s="25">
        <v>500</v>
      </c>
      <c r="R28" s="25">
        <v>1</v>
      </c>
      <c r="S28" s="12">
        <f t="shared" si="0"/>
        <v>500</v>
      </c>
      <c r="T28" s="5">
        <v>0</v>
      </c>
      <c r="U28" s="12">
        <f t="shared" si="6"/>
        <v>500</v>
      </c>
      <c r="V28" s="25" t="s">
        <v>10</v>
      </c>
      <c r="W28" s="11">
        <f>IFERROR(VLOOKUP(V28,[1]Curr!$B$2:$C$13,2,FALSE),0)</f>
        <v>11.3</v>
      </c>
      <c r="X28" s="12">
        <f t="shared" si="1"/>
        <v>5650</v>
      </c>
      <c r="Y28" s="26">
        <f>Q28/0.85</f>
        <v>588.23529411764707</v>
      </c>
      <c r="Z28" s="12">
        <f t="shared" si="2"/>
        <v>588.23529411764707</v>
      </c>
      <c r="AA28" s="4" t="s">
        <v>10</v>
      </c>
      <c r="AB28" s="11">
        <f>IFERROR(VLOOKUP(AA28,Curr!$B$2:$C$13,2,FALSE),0)</f>
        <v>11.3</v>
      </c>
      <c r="AC28" s="12">
        <f t="shared" si="3"/>
        <v>6647.0588235294126</v>
      </c>
      <c r="AD28" s="12">
        <f t="shared" si="4"/>
        <v>997.05882352941262</v>
      </c>
      <c r="AE28" s="13">
        <f t="shared" si="5"/>
        <v>0.15000000000000011</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110</v>
      </c>
      <c r="K31" s="4"/>
      <c r="L31" s="4"/>
      <c r="M31" s="4"/>
      <c r="N31" s="4"/>
      <c r="O31" s="4" t="s">
        <v>42</v>
      </c>
      <c r="P31" s="33" t="s">
        <v>111</v>
      </c>
      <c r="Q31" s="25">
        <v>145</v>
      </c>
      <c r="R31" s="25">
        <v>2</v>
      </c>
      <c r="S31" s="12">
        <f t="shared" si="0"/>
        <v>290</v>
      </c>
      <c r="T31" s="5">
        <v>0.2</v>
      </c>
      <c r="U31" s="12">
        <f t="shared" si="6"/>
        <v>232</v>
      </c>
      <c r="V31" s="25" t="s">
        <v>10</v>
      </c>
      <c r="W31" s="11">
        <f>IFERROR(VLOOKUP(V31,[1]Curr!$B$2:$C$13,2,FALSE),0)</f>
        <v>11.3</v>
      </c>
      <c r="X31" s="12">
        <f t="shared" si="1"/>
        <v>2621.6000000000004</v>
      </c>
      <c r="Y31" s="26">
        <f t="shared" si="8"/>
        <v>145</v>
      </c>
      <c r="Z31" s="12">
        <f t="shared" si="2"/>
        <v>290</v>
      </c>
      <c r="AA31" s="4" t="s">
        <v>10</v>
      </c>
      <c r="AB31" s="11">
        <f>IFERROR(VLOOKUP(AA31,Curr!$B$2:$C$13,2,FALSE),0)</f>
        <v>11.3</v>
      </c>
      <c r="AC31" s="12">
        <f t="shared" si="3"/>
        <v>3277</v>
      </c>
      <c r="AD31" s="12">
        <f t="shared" si="4"/>
        <v>655.39999999999964</v>
      </c>
      <c r="AE31" s="13">
        <f t="shared" si="5"/>
        <v>0.1999999999999999</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si="8"/>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92</v>
      </c>
      <c r="K33" s="4"/>
      <c r="L33" s="4"/>
      <c r="M33" s="4"/>
      <c r="N33" s="4"/>
      <c r="O33" s="4" t="s">
        <v>42</v>
      </c>
      <c r="P33" s="33" t="s">
        <v>93</v>
      </c>
      <c r="Q33" s="25">
        <v>105</v>
      </c>
      <c r="R33" s="25">
        <v>2</v>
      </c>
      <c r="S33" s="12">
        <f t="shared" si="0"/>
        <v>210</v>
      </c>
      <c r="T33" s="5">
        <v>0.2</v>
      </c>
      <c r="U33" s="12">
        <f t="shared" si="6"/>
        <v>168</v>
      </c>
      <c r="V33" s="25" t="s">
        <v>10</v>
      </c>
      <c r="W33" s="11">
        <f>IFERROR(VLOOKUP(V33,[1]Curr!$B$2:$C$13,2,FALSE),0)</f>
        <v>11.3</v>
      </c>
      <c r="X33" s="12">
        <f t="shared" si="1"/>
        <v>1898.4</v>
      </c>
      <c r="Y33" s="26">
        <f t="shared" si="8"/>
        <v>105</v>
      </c>
      <c r="Z33" s="12">
        <f t="shared" si="2"/>
        <v>210</v>
      </c>
      <c r="AA33" s="4" t="s">
        <v>10</v>
      </c>
      <c r="AB33" s="11">
        <f>IFERROR(VLOOKUP(AA33,Curr!$B$2:$C$13,2,FALSE),0)</f>
        <v>11.3</v>
      </c>
      <c r="AC33" s="12">
        <f t="shared" si="3"/>
        <v>2373</v>
      </c>
      <c r="AD33" s="12">
        <f t="shared" si="4"/>
        <v>474.59999999999991</v>
      </c>
      <c r="AE33" s="13">
        <f t="shared" si="5"/>
        <v>0.19999999999999996</v>
      </c>
    </row>
    <row r="34" spans="2:31" x14ac:dyDescent="0.25">
      <c r="B34" s="4"/>
      <c r="E34" s="3"/>
      <c r="F34" s="3"/>
      <c r="G34" s="24"/>
      <c r="H34" s="24"/>
      <c r="K34" s="4"/>
      <c r="L34" s="4"/>
      <c r="M34" s="4"/>
      <c r="N34" s="4"/>
      <c r="O34" s="4"/>
      <c r="P34" s="27"/>
      <c r="Q34" s="25"/>
      <c r="R34" s="25"/>
      <c r="S34" s="12">
        <f t="shared" si="0"/>
        <v>0</v>
      </c>
      <c r="T34" s="5">
        <v>0</v>
      </c>
      <c r="U34" s="12">
        <f t="shared" si="6"/>
        <v>0</v>
      </c>
      <c r="V34" s="25" t="s">
        <v>10</v>
      </c>
      <c r="W34" s="11">
        <f>IFERROR(VLOOKUP(V34,[1]Curr!$B$2:$C$13,2,FALSE),0)</f>
        <v>11.3</v>
      </c>
      <c r="X34" s="12">
        <f t="shared" si="1"/>
        <v>0</v>
      </c>
      <c r="Y34" s="26">
        <f t="shared" si="8"/>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66</v>
      </c>
      <c r="E35" s="3"/>
      <c r="F35" s="3"/>
      <c r="G35" s="24"/>
      <c r="H35" s="24"/>
      <c r="J35" s="1" t="s">
        <v>87</v>
      </c>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8"/>
        <v>0</v>
      </c>
      <c r="Z35" s="12">
        <f t="shared" si="2"/>
        <v>0</v>
      </c>
      <c r="AA35" s="4" t="s">
        <v>10</v>
      </c>
      <c r="AB35" s="11">
        <f>IFERROR(VLOOKUP(AA35,Curr!$B$2:$C$13,2,FALSE),0)</f>
        <v>11.3</v>
      </c>
      <c r="AC35" s="12">
        <f t="shared" si="3"/>
        <v>0</v>
      </c>
      <c r="AD35" s="12">
        <f t="shared" si="4"/>
        <v>0</v>
      </c>
      <c r="AE35" s="13">
        <f t="shared" si="5"/>
        <v>0</v>
      </c>
    </row>
    <row r="36" spans="2:31" x14ac:dyDescent="0.25">
      <c r="B36" s="4"/>
      <c r="C36" s="1" t="s">
        <v>84</v>
      </c>
      <c r="D36" s="1" t="s">
        <v>85</v>
      </c>
      <c r="E36" s="3"/>
      <c r="F36" s="3"/>
      <c r="G36" s="24"/>
      <c r="H36" s="24"/>
      <c r="J36" s="1" t="s">
        <v>86</v>
      </c>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8"/>
        <v>0</v>
      </c>
      <c r="Z36" s="12">
        <f t="shared" si="2"/>
        <v>0</v>
      </c>
      <c r="AA36" s="4" t="s">
        <v>10</v>
      </c>
      <c r="AB36" s="11">
        <f>IFERROR(VLOOKUP(AA36,Curr!$B$2:$C$13,2,FALSE),0)</f>
        <v>11.3</v>
      </c>
      <c r="AC36" s="12">
        <f t="shared" si="3"/>
        <v>0</v>
      </c>
      <c r="AD36" s="12">
        <f t="shared" si="4"/>
        <v>0</v>
      </c>
      <c r="AE36" s="13">
        <f t="shared" si="5"/>
        <v>0</v>
      </c>
    </row>
    <row r="37" spans="2:31" x14ac:dyDescent="0.25">
      <c r="B37" s="4"/>
      <c r="E37" s="3"/>
      <c r="F37" s="3"/>
      <c r="G37" s="24"/>
      <c r="H37" s="24"/>
      <c r="K37" s="4"/>
      <c r="L37" s="4"/>
      <c r="M37" s="4"/>
      <c r="N37" s="4"/>
      <c r="O37" s="4"/>
      <c r="P37" s="33"/>
      <c r="Q37" s="25"/>
      <c r="R37" s="25"/>
      <c r="S37" s="12">
        <f t="shared" si="0"/>
        <v>0</v>
      </c>
      <c r="T37" s="5">
        <v>0</v>
      </c>
      <c r="U37" s="12">
        <f t="shared" si="6"/>
        <v>0</v>
      </c>
      <c r="V37" s="25" t="s">
        <v>10</v>
      </c>
      <c r="W37" s="11">
        <f>IFERROR(VLOOKUP(V37,[1]Curr!$B$2:$C$13,2,FALSE),0)</f>
        <v>11.3</v>
      </c>
      <c r="X37" s="12">
        <f t="shared" si="1"/>
        <v>0</v>
      </c>
      <c r="Y37" s="26">
        <f t="shared" si="8"/>
        <v>0</v>
      </c>
      <c r="Z37" s="12">
        <f t="shared" si="2"/>
        <v>0</v>
      </c>
      <c r="AA37" s="4" t="s">
        <v>10</v>
      </c>
      <c r="AB37" s="11">
        <f>IFERROR(VLOOKUP(AA37,Curr!$B$2:$C$13,2,FALSE),0)</f>
        <v>11.3</v>
      </c>
      <c r="AC37" s="12">
        <f t="shared" si="3"/>
        <v>0</v>
      </c>
      <c r="AD37" s="12">
        <f t="shared" si="4"/>
        <v>0</v>
      </c>
      <c r="AE37" s="13">
        <f t="shared" si="5"/>
        <v>0</v>
      </c>
    </row>
    <row r="38" spans="2:31" x14ac:dyDescent="0.25">
      <c r="B38" s="4"/>
      <c r="E38" s="3"/>
      <c r="F38" s="3"/>
      <c r="G38" s="24"/>
      <c r="H38" s="24"/>
      <c r="K38" s="4"/>
      <c r="L38" s="4"/>
      <c r="M38" s="4"/>
      <c r="N38" s="4"/>
      <c r="O38" s="4"/>
      <c r="P38" s="27"/>
      <c r="Q38" s="25"/>
      <c r="R38" s="25"/>
      <c r="S38" s="12">
        <f t="shared" si="0"/>
        <v>0</v>
      </c>
      <c r="T38" s="5">
        <v>0</v>
      </c>
      <c r="U38" s="12">
        <f t="shared" si="6"/>
        <v>0</v>
      </c>
      <c r="V38" s="25" t="s">
        <v>10</v>
      </c>
      <c r="W38" s="11">
        <f>IFERROR(VLOOKUP(V38,[1]Curr!$B$2:$C$13,2,FALSE),0)</f>
        <v>11.3</v>
      </c>
      <c r="X38" s="12">
        <f t="shared" si="1"/>
        <v>0</v>
      </c>
      <c r="Y38" s="26">
        <f t="shared" si="8"/>
        <v>0</v>
      </c>
      <c r="Z38" s="12">
        <f t="shared" si="2"/>
        <v>0</v>
      </c>
      <c r="AA38" s="4" t="s">
        <v>10</v>
      </c>
      <c r="AB38" s="11">
        <f>IFERROR(VLOOKUP(AA38,Curr!$B$2:$C$13,2,FALSE),0)</f>
        <v>11.3</v>
      </c>
      <c r="AC38" s="12">
        <f t="shared" si="3"/>
        <v>0</v>
      </c>
      <c r="AD38" s="12">
        <f t="shared" si="4"/>
        <v>0</v>
      </c>
      <c r="AE38" s="13">
        <f t="shared" si="5"/>
        <v>0</v>
      </c>
    </row>
    <row r="39" spans="2:31" x14ac:dyDescent="0.25">
      <c r="B39" s="4"/>
      <c r="C39" s="1" t="s">
        <v>64</v>
      </c>
      <c r="D39" s="1" t="s">
        <v>112</v>
      </c>
      <c r="E39" s="3"/>
      <c r="F39" s="3"/>
      <c r="G39" s="24"/>
      <c r="H39" s="24"/>
      <c r="J39" s="1" t="s">
        <v>126</v>
      </c>
      <c r="K39" s="4"/>
      <c r="L39" s="4"/>
      <c r="M39" s="4"/>
      <c r="N39" s="4"/>
      <c r="O39" s="4"/>
      <c r="P39" s="33"/>
      <c r="Q39" s="25">
        <v>80</v>
      </c>
      <c r="R39" s="25">
        <v>0</v>
      </c>
      <c r="S39" s="12">
        <f t="shared" si="0"/>
        <v>0</v>
      </c>
      <c r="T39" s="5">
        <v>0</v>
      </c>
      <c r="U39" s="12">
        <f t="shared" si="6"/>
        <v>0</v>
      </c>
      <c r="V39" s="25" t="s">
        <v>10</v>
      </c>
      <c r="W39" s="11">
        <f>IFERROR(VLOOKUP(V39,[1]Curr!$B$2:$C$13,2,FALSE),0)</f>
        <v>11.3</v>
      </c>
      <c r="X39" s="12">
        <f t="shared" si="1"/>
        <v>0</v>
      </c>
      <c r="Y39" s="26">
        <f>Q39/0.8</f>
        <v>100</v>
      </c>
      <c r="Z39" s="12">
        <f t="shared" si="2"/>
        <v>0</v>
      </c>
      <c r="AA39" s="4" t="s">
        <v>10</v>
      </c>
      <c r="AB39" s="11">
        <f>IFERROR(VLOOKUP(AA39,Curr!$B$2:$C$13,2,FALSE),0)</f>
        <v>11.3</v>
      </c>
      <c r="AC39" s="12">
        <f t="shared" si="3"/>
        <v>0</v>
      </c>
      <c r="AD39" s="12">
        <f t="shared" si="4"/>
        <v>0</v>
      </c>
      <c r="AE39" s="13">
        <f t="shared" si="5"/>
        <v>0</v>
      </c>
    </row>
    <row r="40" spans="2:31" x14ac:dyDescent="0.25">
      <c r="B40" s="4"/>
      <c r="C40" s="1" t="s">
        <v>76</v>
      </c>
      <c r="D40" s="1" t="s">
        <v>112</v>
      </c>
      <c r="E40" s="3"/>
      <c r="F40" s="3"/>
      <c r="G40" s="24"/>
      <c r="H40" s="24"/>
      <c r="J40" s="1" t="s">
        <v>125</v>
      </c>
      <c r="K40" s="4"/>
      <c r="L40" s="4"/>
      <c r="M40" s="4"/>
      <c r="N40" s="4"/>
      <c r="O40" s="4"/>
      <c r="P40" s="27"/>
      <c r="Q40" s="25">
        <v>80</v>
      </c>
      <c r="R40" s="25">
        <v>0</v>
      </c>
      <c r="S40" s="12">
        <f t="shared" si="0"/>
        <v>0</v>
      </c>
      <c r="T40" s="5">
        <v>0</v>
      </c>
      <c r="U40" s="12">
        <f t="shared" si="6"/>
        <v>0</v>
      </c>
      <c r="V40" s="25" t="s">
        <v>10</v>
      </c>
      <c r="W40" s="11">
        <f>IFERROR(VLOOKUP(V40,[1]Curr!$B$2:$C$13,2,FALSE),0)</f>
        <v>11.3</v>
      </c>
      <c r="X40" s="12">
        <f t="shared" si="1"/>
        <v>0</v>
      </c>
      <c r="Y40" s="26">
        <f>Q40/0.8</f>
        <v>100</v>
      </c>
      <c r="Z40" s="12">
        <f t="shared" si="2"/>
        <v>0</v>
      </c>
      <c r="AA40" s="4" t="s">
        <v>10</v>
      </c>
      <c r="AB40" s="11">
        <f>IFERROR(VLOOKUP(AA40,Curr!$B$2:$C$13,2,FALSE),0)</f>
        <v>11.3</v>
      </c>
      <c r="AC40" s="12">
        <f t="shared" si="3"/>
        <v>0</v>
      </c>
      <c r="AD40" s="12">
        <f t="shared" si="4"/>
        <v>0</v>
      </c>
      <c r="AE40" s="13">
        <f t="shared" si="5"/>
        <v>0</v>
      </c>
    </row>
    <row r="41" spans="2:31" x14ac:dyDescent="0.25">
      <c r="B41" s="4"/>
      <c r="C41" s="1" t="s">
        <v>77</v>
      </c>
      <c r="D41" s="1" t="s">
        <v>112</v>
      </c>
      <c r="E41" s="3"/>
      <c r="F41" s="3"/>
      <c r="G41" s="24"/>
      <c r="H41" s="24"/>
      <c r="J41" s="1" t="s">
        <v>115</v>
      </c>
      <c r="K41" s="4"/>
      <c r="L41" s="4"/>
      <c r="M41" s="4"/>
      <c r="N41" s="4"/>
      <c r="O41" s="4"/>
      <c r="P41" s="33"/>
      <c r="Q41" s="25">
        <v>40</v>
      </c>
      <c r="R41" s="25">
        <v>0</v>
      </c>
      <c r="S41" s="12">
        <f t="shared" si="0"/>
        <v>0</v>
      </c>
      <c r="T41" s="5">
        <v>0</v>
      </c>
      <c r="U41" s="12">
        <f t="shared" si="6"/>
        <v>0</v>
      </c>
      <c r="V41" s="25" t="s">
        <v>10</v>
      </c>
      <c r="W41" s="11">
        <f>IFERROR(VLOOKUP(V41,[1]Curr!$B$2:$C$13,2,FALSE),0)</f>
        <v>11.3</v>
      </c>
      <c r="X41" s="12">
        <f t="shared" si="1"/>
        <v>0</v>
      </c>
      <c r="Y41" s="26">
        <f>Q41/0.67</f>
        <v>59.701492537313428</v>
      </c>
      <c r="Z41" s="12">
        <f t="shared" si="2"/>
        <v>0</v>
      </c>
      <c r="AA41" s="4" t="s">
        <v>10</v>
      </c>
      <c r="AB41" s="11">
        <f>IFERROR(VLOOKUP(AA41,Curr!$B$2:$C$13,2,FALSE),0)</f>
        <v>11.3</v>
      </c>
      <c r="AC41" s="12">
        <f t="shared" si="3"/>
        <v>0</v>
      </c>
      <c r="AD41" s="12">
        <f t="shared" si="4"/>
        <v>0</v>
      </c>
      <c r="AE41" s="13">
        <f t="shared" si="5"/>
        <v>0</v>
      </c>
    </row>
    <row r="42" spans="2:31" x14ac:dyDescent="0.25">
      <c r="B42" s="4"/>
      <c r="C42" s="1" t="s">
        <v>82</v>
      </c>
      <c r="D42" s="1" t="s">
        <v>112</v>
      </c>
      <c r="E42" s="3"/>
      <c r="F42" s="3"/>
      <c r="G42" s="24"/>
      <c r="H42" s="24"/>
      <c r="J42" s="1" t="s">
        <v>116</v>
      </c>
      <c r="K42" s="4"/>
      <c r="L42" s="4"/>
      <c r="M42" s="4"/>
      <c r="N42" s="4"/>
      <c r="O42" s="4"/>
      <c r="P42" s="27"/>
      <c r="Q42" s="25">
        <v>40</v>
      </c>
      <c r="R42" s="25">
        <v>0</v>
      </c>
      <c r="S42" s="12">
        <f t="shared" si="0"/>
        <v>0</v>
      </c>
      <c r="T42" s="5">
        <v>0</v>
      </c>
      <c r="U42" s="12">
        <f t="shared" si="6"/>
        <v>0</v>
      </c>
      <c r="V42" s="25" t="s">
        <v>10</v>
      </c>
      <c r="W42" s="11">
        <f>IFERROR(VLOOKUP(V42,[1]Curr!$B$2:$C$13,2,FALSE),0)</f>
        <v>11.3</v>
      </c>
      <c r="X42" s="12">
        <f t="shared" si="1"/>
        <v>0</v>
      </c>
      <c r="Y42" s="26">
        <f>Q42/0.67</f>
        <v>59.701492537313428</v>
      </c>
      <c r="Z42" s="12">
        <f t="shared" si="2"/>
        <v>0</v>
      </c>
      <c r="AA42" s="4" t="s">
        <v>10</v>
      </c>
      <c r="AB42" s="11">
        <f>IFERROR(VLOOKUP(AA42,Curr!$B$2:$C$13,2,FALSE),0)</f>
        <v>11.3</v>
      </c>
      <c r="AC42" s="12">
        <f t="shared" si="3"/>
        <v>0</v>
      </c>
      <c r="AD42" s="12">
        <f t="shared" si="4"/>
        <v>0</v>
      </c>
      <c r="AE42" s="13">
        <f t="shared" si="5"/>
        <v>0</v>
      </c>
    </row>
    <row r="43" spans="2:31" x14ac:dyDescent="0.25">
      <c r="B43" s="4"/>
      <c r="C43" s="1" t="s">
        <v>84</v>
      </c>
      <c r="D43" s="1" t="s">
        <v>112</v>
      </c>
      <c r="E43" s="3"/>
      <c r="F43" s="3"/>
      <c r="G43" s="24"/>
      <c r="H43" s="24"/>
      <c r="J43" s="1" t="s">
        <v>117</v>
      </c>
      <c r="K43" s="4"/>
      <c r="L43" s="4"/>
      <c r="M43" s="4"/>
      <c r="N43" s="4"/>
      <c r="O43" s="4"/>
      <c r="P43" s="27"/>
      <c r="Q43" s="25">
        <v>900</v>
      </c>
      <c r="R43" s="25">
        <v>0</v>
      </c>
      <c r="S43" s="12">
        <f t="shared" si="0"/>
        <v>0</v>
      </c>
      <c r="T43" s="5">
        <v>0</v>
      </c>
      <c r="U43" s="12">
        <f t="shared" si="6"/>
        <v>0</v>
      </c>
      <c r="V43" s="25" t="s">
        <v>8</v>
      </c>
      <c r="W43" s="11">
        <f>IFERROR(VLOOKUP(V43,[1]Curr!$B$2:$C$13,2,FALSE),0)</f>
        <v>1</v>
      </c>
      <c r="X43" s="12">
        <f t="shared" si="1"/>
        <v>0</v>
      </c>
      <c r="Y43" s="26">
        <f>Q43/11.3/0.8</f>
        <v>99.55752212389379</v>
      </c>
      <c r="Z43" s="12">
        <f t="shared" si="2"/>
        <v>0</v>
      </c>
      <c r="AA43" s="4" t="s">
        <v>10</v>
      </c>
      <c r="AB43" s="11">
        <f>IFERROR(VLOOKUP(AA43,Curr!$B$2:$C$13,2,FALSE),0)</f>
        <v>11.3</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0"/>
        <v>0</v>
      </c>
      <c r="T44" s="5">
        <v>0</v>
      </c>
      <c r="U44" s="12">
        <f t="shared" si="6"/>
        <v>0</v>
      </c>
      <c r="V44" s="25" t="s">
        <v>10</v>
      </c>
      <c r="W44" s="11">
        <f>IFERROR(VLOOKUP(V44,[1]Curr!$B$2:$C$13,2,FALSE),0)</f>
        <v>11.3</v>
      </c>
      <c r="X44" s="12">
        <f t="shared" si="1"/>
        <v>0</v>
      </c>
      <c r="Y44" s="26">
        <f t="shared" si="8"/>
        <v>0</v>
      </c>
      <c r="Z44" s="12">
        <f t="shared" si="2"/>
        <v>0</v>
      </c>
      <c r="AA44" s="4" t="s">
        <v>10</v>
      </c>
      <c r="AB44" s="11">
        <f>IFERROR(VLOOKUP(AA44,Curr!$B$2:$C$13,2,FALSE),0)</f>
        <v>11.3</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0"/>
        <v>0</v>
      </c>
      <c r="T45" s="5">
        <v>0</v>
      </c>
      <c r="U45" s="12">
        <f t="shared" si="6"/>
        <v>0</v>
      </c>
      <c r="V45" s="25" t="s">
        <v>10</v>
      </c>
      <c r="W45" s="11">
        <f>IFERROR(VLOOKUP(V45,[1]Curr!$B$2:$C$13,2,FALSE),0)</f>
        <v>11.3</v>
      </c>
      <c r="X45" s="12">
        <f t="shared" si="1"/>
        <v>0</v>
      </c>
      <c r="Y45" s="26">
        <f t="shared" si="8"/>
        <v>0</v>
      </c>
      <c r="Z45" s="12">
        <f t="shared" si="2"/>
        <v>0</v>
      </c>
      <c r="AA45" s="4" t="s">
        <v>10</v>
      </c>
      <c r="AB45" s="11">
        <f>IFERROR(VLOOKUP(AA45,Curr!$B$2:$C$13,2,FALSE),0)</f>
        <v>11.3</v>
      </c>
      <c r="AC45" s="12">
        <f t="shared" si="3"/>
        <v>0</v>
      </c>
      <c r="AD45" s="12">
        <f t="shared" si="4"/>
        <v>0</v>
      </c>
      <c r="AE45" s="13">
        <f t="shared" si="5"/>
        <v>0</v>
      </c>
    </row>
    <row r="46" spans="2:31" x14ac:dyDescent="0.25">
      <c r="B46" s="4"/>
      <c r="C46" s="1" t="s">
        <v>76</v>
      </c>
      <c r="D46" s="1" t="s">
        <v>183</v>
      </c>
      <c r="E46" s="3"/>
      <c r="F46" s="3"/>
      <c r="G46" s="24"/>
      <c r="H46" s="24"/>
      <c r="J46" s="1" t="s">
        <v>190</v>
      </c>
      <c r="K46" s="4"/>
      <c r="L46" s="4"/>
      <c r="M46" s="4"/>
      <c r="N46" s="4"/>
      <c r="O46" s="4" t="s">
        <v>42</v>
      </c>
      <c r="P46" s="29" t="s">
        <v>191</v>
      </c>
      <c r="Q46" s="25">
        <f>(40+40)+(50*2)</f>
        <v>180</v>
      </c>
      <c r="R46" s="25">
        <v>0</v>
      </c>
      <c r="S46" s="12">
        <f t="shared" si="0"/>
        <v>0</v>
      </c>
      <c r="T46" s="5">
        <v>0</v>
      </c>
      <c r="U46" s="12">
        <f t="shared" si="6"/>
        <v>0</v>
      </c>
      <c r="V46" s="25" t="s">
        <v>10</v>
      </c>
      <c r="W46" s="11">
        <f>IFERROR(VLOOKUP(V46,[1]Curr!$B$2:$C$13,2,FALSE),0)</f>
        <v>11.3</v>
      </c>
      <c r="X46" s="12">
        <f t="shared" si="1"/>
        <v>0</v>
      </c>
      <c r="Y46" s="26">
        <f>Q46/0.8</f>
        <v>225</v>
      </c>
      <c r="Z46" s="12">
        <f t="shared" si="2"/>
        <v>0</v>
      </c>
      <c r="AA46" s="4" t="s">
        <v>10</v>
      </c>
      <c r="AB46" s="11">
        <f>IFERROR(VLOOKUP(AA46,Curr!$B$2:$C$13,2,FALSE),0)</f>
        <v>11.3</v>
      </c>
      <c r="AC46" s="12">
        <f t="shared" si="3"/>
        <v>0</v>
      </c>
      <c r="AD46" s="12">
        <f t="shared" si="4"/>
        <v>0</v>
      </c>
      <c r="AE46" s="13">
        <f t="shared" si="5"/>
        <v>0</v>
      </c>
    </row>
    <row r="47" spans="2:31" x14ac:dyDescent="0.25">
      <c r="B47" s="4"/>
      <c r="C47" s="1" t="s">
        <v>76</v>
      </c>
      <c r="D47" s="1" t="s">
        <v>183</v>
      </c>
      <c r="E47" s="3"/>
      <c r="F47" s="3"/>
      <c r="G47" s="24"/>
      <c r="H47" s="24"/>
      <c r="J47" s="1" t="s">
        <v>192</v>
      </c>
      <c r="K47" s="4"/>
      <c r="L47" s="4"/>
      <c r="M47" s="4"/>
      <c r="N47" s="4"/>
      <c r="O47" s="4" t="s">
        <v>42</v>
      </c>
      <c r="P47" s="33" t="s">
        <v>193</v>
      </c>
      <c r="Q47" s="25">
        <v>25</v>
      </c>
      <c r="R47" s="25">
        <v>0</v>
      </c>
      <c r="S47" s="12">
        <f t="shared" si="0"/>
        <v>0</v>
      </c>
      <c r="T47" s="5">
        <v>0</v>
      </c>
      <c r="U47" s="12">
        <f t="shared" si="6"/>
        <v>0</v>
      </c>
      <c r="V47" s="25" t="s">
        <v>10</v>
      </c>
      <c r="W47" s="11">
        <f>IFERROR(VLOOKUP(V47,[1]Curr!$B$2:$C$13,2,FALSE),0)</f>
        <v>11.3</v>
      </c>
      <c r="X47" s="12">
        <f t="shared" si="1"/>
        <v>0</v>
      </c>
      <c r="Y47" s="26">
        <f>Q47/0.62</f>
        <v>40.322580645161288</v>
      </c>
      <c r="Z47" s="12">
        <f t="shared" si="2"/>
        <v>0</v>
      </c>
      <c r="AA47" s="4" t="s">
        <v>10</v>
      </c>
      <c r="AB47" s="11">
        <f>IFERROR(VLOOKUP(AA47,Curr!$B$2:$C$13,2,FALSE),0)</f>
        <v>11.3</v>
      </c>
      <c r="AC47" s="12">
        <f t="shared" si="3"/>
        <v>0</v>
      </c>
      <c r="AD47" s="12">
        <f t="shared" si="4"/>
        <v>0</v>
      </c>
      <c r="AE47" s="13">
        <f t="shared" si="5"/>
        <v>0</v>
      </c>
    </row>
    <row r="48" spans="2:31" x14ac:dyDescent="0.25">
      <c r="B48" s="4"/>
      <c r="C48" s="1" t="s">
        <v>78</v>
      </c>
      <c r="D48" s="1" t="s">
        <v>183</v>
      </c>
      <c r="E48" s="3"/>
      <c r="F48" s="3"/>
      <c r="G48" s="24"/>
      <c r="H48" s="24"/>
      <c r="J48" s="1" t="s">
        <v>184</v>
      </c>
      <c r="K48" s="4"/>
      <c r="L48" s="4"/>
      <c r="M48" s="4"/>
      <c r="N48" s="4"/>
      <c r="O48" s="4" t="s">
        <v>42</v>
      </c>
      <c r="P48" s="33" t="s">
        <v>185</v>
      </c>
      <c r="Q48" s="25">
        <v>252</v>
      </c>
      <c r="R48" s="25">
        <v>0</v>
      </c>
      <c r="S48" s="12">
        <f t="shared" si="0"/>
        <v>0</v>
      </c>
      <c r="T48" s="5">
        <v>0.2</v>
      </c>
      <c r="U48" s="12">
        <f t="shared" si="6"/>
        <v>0</v>
      </c>
      <c r="V48" s="25" t="s">
        <v>10</v>
      </c>
      <c r="W48" s="11">
        <f>IFERROR(VLOOKUP(V48,[1]Curr!$B$2:$C$13,2,FALSE),0)</f>
        <v>11.3</v>
      </c>
      <c r="X48" s="12">
        <f t="shared" si="1"/>
        <v>0</v>
      </c>
      <c r="Y48" s="26">
        <f t="shared" ref="Y48" si="11">Q48</f>
        <v>252</v>
      </c>
      <c r="Z48" s="12">
        <f t="shared" si="2"/>
        <v>0</v>
      </c>
      <c r="AA48" s="4" t="s">
        <v>10</v>
      </c>
      <c r="AB48" s="11">
        <f>IFERROR(VLOOKUP(AA48,Curr!$B$2:$C$13,2,FALSE),0)</f>
        <v>11.3</v>
      </c>
      <c r="AC48" s="12">
        <f t="shared" si="3"/>
        <v>0</v>
      </c>
      <c r="AD48" s="12">
        <f t="shared" si="4"/>
        <v>0</v>
      </c>
      <c r="AE48" s="13">
        <f t="shared" si="5"/>
        <v>0</v>
      </c>
    </row>
    <row r="49" spans="2:36" x14ac:dyDescent="0.25">
      <c r="B49" s="4"/>
      <c r="C49" s="1" t="s">
        <v>83</v>
      </c>
      <c r="D49" s="1" t="s">
        <v>183</v>
      </c>
      <c r="E49" s="3"/>
      <c r="F49" s="3"/>
      <c r="G49" s="24"/>
      <c r="H49" s="24"/>
      <c r="J49" s="1" t="s">
        <v>188</v>
      </c>
      <c r="K49" s="4"/>
      <c r="L49" s="4"/>
      <c r="M49" s="4"/>
      <c r="N49" s="4"/>
      <c r="O49" s="4" t="s">
        <v>42</v>
      </c>
      <c r="P49" s="33" t="s">
        <v>189</v>
      </c>
      <c r="Q49" s="25">
        <v>2195</v>
      </c>
      <c r="R49" s="25">
        <v>0</v>
      </c>
      <c r="S49" s="12">
        <f t="shared" si="0"/>
        <v>0</v>
      </c>
      <c r="T49" s="5">
        <v>0.2</v>
      </c>
      <c r="U49" s="12">
        <f t="shared" si="6"/>
        <v>0</v>
      </c>
      <c r="V49" s="25" t="s">
        <v>8</v>
      </c>
      <c r="W49" s="11">
        <f>IFERROR(VLOOKUP(V49,[1]Curr!$B$2:$C$13,2,FALSE),0)</f>
        <v>1</v>
      </c>
      <c r="X49" s="12">
        <f t="shared" si="1"/>
        <v>0</v>
      </c>
      <c r="Y49" s="26">
        <f t="shared" ref="Y49" si="12">Q49/11.3</f>
        <v>194.24778761061947</v>
      </c>
      <c r="Z49" s="12">
        <f t="shared" si="2"/>
        <v>0</v>
      </c>
      <c r="AA49" s="4" t="s">
        <v>10</v>
      </c>
      <c r="AB49" s="11">
        <f>IFERROR(VLOOKUP(AA49,Curr!$B$2:$C$13,2,FALSE),0)</f>
        <v>11.3</v>
      </c>
      <c r="AC49" s="12">
        <f t="shared" si="3"/>
        <v>0</v>
      </c>
      <c r="AD49" s="12">
        <f t="shared" si="4"/>
        <v>0</v>
      </c>
      <c r="AE49" s="13">
        <f t="shared" si="5"/>
        <v>0</v>
      </c>
    </row>
    <row r="50" spans="2:36" x14ac:dyDescent="0.25">
      <c r="B50" s="4"/>
      <c r="E50" s="3"/>
      <c r="F50" s="3"/>
      <c r="G50" s="24"/>
      <c r="H50" s="24"/>
      <c r="K50" s="4"/>
      <c r="L50" s="4"/>
      <c r="M50" s="4"/>
      <c r="N50" s="4"/>
      <c r="O50" s="4"/>
      <c r="P50" s="27"/>
      <c r="Q50" s="25"/>
      <c r="R50" s="25"/>
      <c r="S50" s="12">
        <f t="shared" si="0"/>
        <v>0</v>
      </c>
      <c r="T50" s="5">
        <v>0</v>
      </c>
      <c r="U50" s="12">
        <f t="shared" si="6"/>
        <v>0</v>
      </c>
      <c r="V50" s="25" t="s">
        <v>10</v>
      </c>
      <c r="W50" s="11">
        <f>IFERROR(VLOOKUP(V50,[1]Curr!$B$2:$C$13,2,FALSE),0)</f>
        <v>11.3</v>
      </c>
      <c r="X50" s="12">
        <f t="shared" si="1"/>
        <v>0</v>
      </c>
      <c r="Y50" s="26">
        <f t="shared" si="8"/>
        <v>0</v>
      </c>
      <c r="Z50" s="12">
        <f t="shared" si="2"/>
        <v>0</v>
      </c>
      <c r="AA50" s="4" t="s">
        <v>10</v>
      </c>
      <c r="AB50" s="11">
        <f>IFERROR(VLOOKUP(AA50,Curr!$B$2:$C$13,2,FALSE),0)</f>
        <v>11.3</v>
      </c>
      <c r="AC50" s="12">
        <f t="shared" si="3"/>
        <v>0</v>
      </c>
      <c r="AD50" s="12">
        <f t="shared" si="4"/>
        <v>0</v>
      </c>
      <c r="AE50" s="13">
        <f t="shared" si="5"/>
        <v>0</v>
      </c>
    </row>
    <row r="51" spans="2:36" x14ac:dyDescent="0.25">
      <c r="B51" s="4"/>
      <c r="E51" s="3"/>
      <c r="F51" s="3"/>
      <c r="G51" s="24"/>
      <c r="H51" s="24"/>
      <c r="K51" s="4"/>
      <c r="L51" s="4"/>
      <c r="M51" s="4"/>
      <c r="N51" s="4"/>
      <c r="O51" s="4"/>
      <c r="P51" s="27"/>
      <c r="Q51" s="25"/>
      <c r="R51" s="25"/>
      <c r="S51" s="12">
        <f t="shared" si="0"/>
        <v>0</v>
      </c>
      <c r="T51" s="5">
        <v>0</v>
      </c>
      <c r="U51" s="12">
        <f t="shared" si="6"/>
        <v>0</v>
      </c>
      <c r="V51" s="25" t="s">
        <v>10</v>
      </c>
      <c r="W51" s="11">
        <f>IFERROR(VLOOKUP(V51,[1]Curr!$B$2:$C$13,2,FALSE),0)</f>
        <v>11.3</v>
      </c>
      <c r="X51" s="12">
        <f t="shared" si="1"/>
        <v>0</v>
      </c>
      <c r="Y51" s="26">
        <f t="shared" si="8"/>
        <v>0</v>
      </c>
      <c r="Z51" s="12">
        <f t="shared" si="2"/>
        <v>0</v>
      </c>
      <c r="AA51" s="4" t="s">
        <v>10</v>
      </c>
      <c r="AB51" s="11">
        <f>IFERROR(VLOOKUP(AA51,Curr!$B$2:$C$13,2,FALSE),0)</f>
        <v>11.3</v>
      </c>
      <c r="AC51" s="12">
        <f t="shared" si="3"/>
        <v>0</v>
      </c>
      <c r="AD51" s="12">
        <f t="shared" si="4"/>
        <v>0</v>
      </c>
      <c r="AE51" s="13">
        <f t="shared" si="5"/>
        <v>0</v>
      </c>
    </row>
    <row r="52" spans="2:36" x14ac:dyDescent="0.25">
      <c r="B52" s="4"/>
      <c r="E52" s="3"/>
      <c r="F52" s="3"/>
      <c r="G52" s="24"/>
      <c r="H52" s="24"/>
      <c r="K52" s="4"/>
      <c r="L52" s="4"/>
      <c r="M52" s="4"/>
      <c r="N52" s="4"/>
      <c r="O52" s="4"/>
      <c r="P52" s="27"/>
      <c r="Q52" s="25"/>
      <c r="R52" s="25"/>
      <c r="S52" s="12">
        <f t="shared" si="0"/>
        <v>0</v>
      </c>
      <c r="T52" s="5">
        <v>0</v>
      </c>
      <c r="U52" s="12">
        <f t="shared" si="6"/>
        <v>0</v>
      </c>
      <c r="V52" s="25" t="s">
        <v>10</v>
      </c>
      <c r="W52" s="11">
        <f>IFERROR(VLOOKUP(V52,[1]Curr!$B$2:$C$13,2,FALSE),0)</f>
        <v>11.3</v>
      </c>
      <c r="X52" s="12">
        <f t="shared" si="1"/>
        <v>0</v>
      </c>
      <c r="Y52" s="26">
        <f t="shared" si="8"/>
        <v>0</v>
      </c>
      <c r="Z52" s="12">
        <f t="shared" si="2"/>
        <v>0</v>
      </c>
      <c r="AA52" s="4" t="s">
        <v>10</v>
      </c>
      <c r="AB52" s="11">
        <f>IFERROR(VLOOKUP(AA52,Curr!$B$2:$C$13,2,FALSE),0)</f>
        <v>11.3</v>
      </c>
      <c r="AC52" s="12">
        <f t="shared" si="3"/>
        <v>0</v>
      </c>
      <c r="AD52" s="12">
        <f t="shared" si="4"/>
        <v>0</v>
      </c>
      <c r="AE52" s="13">
        <f t="shared" si="5"/>
        <v>0</v>
      </c>
    </row>
    <row r="53" spans="2:36" x14ac:dyDescent="0.25">
      <c r="B53" s="4"/>
      <c r="E53" s="3"/>
      <c r="F53" s="3"/>
      <c r="G53" s="24"/>
      <c r="H53" s="24"/>
      <c r="K53" s="4"/>
      <c r="L53" s="4"/>
      <c r="M53" s="4"/>
      <c r="N53" s="4"/>
      <c r="O53" s="4"/>
      <c r="P53" s="27"/>
      <c r="Q53" s="25"/>
      <c r="R53" s="25"/>
      <c r="S53" s="12">
        <f t="shared" si="0"/>
        <v>0</v>
      </c>
      <c r="T53" s="5">
        <v>0</v>
      </c>
      <c r="U53" s="12">
        <f t="shared" si="6"/>
        <v>0</v>
      </c>
      <c r="V53" s="25" t="s">
        <v>10</v>
      </c>
      <c r="W53" s="11">
        <f>IFERROR(VLOOKUP(V53,[1]Curr!$B$2:$C$13,2,FALSE),0)</f>
        <v>11.3</v>
      </c>
      <c r="X53" s="12">
        <f t="shared" si="1"/>
        <v>0</v>
      </c>
      <c r="Y53" s="26">
        <f t="shared" si="8"/>
        <v>0</v>
      </c>
      <c r="Z53" s="12">
        <f t="shared" si="2"/>
        <v>0</v>
      </c>
      <c r="AA53" s="4" t="s">
        <v>10</v>
      </c>
      <c r="AB53" s="11">
        <f>IFERROR(VLOOKUP(AA53,Curr!$B$2:$C$13,2,FALSE),0)</f>
        <v>11.3</v>
      </c>
      <c r="AC53" s="12">
        <f t="shared" si="3"/>
        <v>0</v>
      </c>
      <c r="AD53" s="12">
        <f t="shared" si="4"/>
        <v>0</v>
      </c>
      <c r="AE53" s="13">
        <f t="shared" si="5"/>
        <v>0</v>
      </c>
    </row>
    <row r="54" spans="2:36" x14ac:dyDescent="0.25">
      <c r="B54" s="4"/>
      <c r="E54" s="3"/>
      <c r="F54" s="3"/>
      <c r="G54" s="24"/>
      <c r="H54" s="24"/>
      <c r="K54" s="4"/>
      <c r="L54" s="4"/>
      <c r="M54" s="4"/>
      <c r="N54" s="4"/>
      <c r="O54" s="4"/>
      <c r="P54" s="27"/>
      <c r="Q54" s="25"/>
      <c r="R54" s="25"/>
      <c r="S54" s="12">
        <f t="shared" si="0"/>
        <v>0</v>
      </c>
      <c r="T54" s="5">
        <v>0</v>
      </c>
      <c r="U54" s="12">
        <f t="shared" si="6"/>
        <v>0</v>
      </c>
      <c r="V54" s="25" t="s">
        <v>10</v>
      </c>
      <c r="W54" s="11">
        <f>IFERROR(VLOOKUP(V54,[1]Curr!$B$2:$C$13,2,FALSE),0)</f>
        <v>11.3</v>
      </c>
      <c r="X54" s="12">
        <f t="shared" si="1"/>
        <v>0</v>
      </c>
      <c r="Y54" s="26">
        <f t="shared" si="8"/>
        <v>0</v>
      </c>
      <c r="Z54" s="12">
        <f t="shared" si="2"/>
        <v>0</v>
      </c>
      <c r="AA54" s="4" t="s">
        <v>10</v>
      </c>
      <c r="AB54" s="11">
        <f>IFERROR(VLOOKUP(AA54,Curr!$B$2:$C$13,2,FALSE),0)</f>
        <v>11.3</v>
      </c>
      <c r="AC54" s="12">
        <f t="shared" si="3"/>
        <v>0</v>
      </c>
      <c r="AD54" s="12">
        <f t="shared" si="4"/>
        <v>0</v>
      </c>
      <c r="AE54" s="13">
        <f t="shared" si="5"/>
        <v>0</v>
      </c>
    </row>
    <row r="55" spans="2:36" x14ac:dyDescent="0.25">
      <c r="B55" s="4"/>
      <c r="E55" s="3"/>
      <c r="F55" s="3"/>
      <c r="G55" s="24"/>
      <c r="H55" s="24"/>
      <c r="K55" s="4"/>
      <c r="L55" s="4"/>
      <c r="M55" s="4"/>
      <c r="N55" s="4"/>
      <c r="O55" s="4"/>
      <c r="P55" s="27"/>
      <c r="Q55" s="25"/>
      <c r="R55" s="25"/>
      <c r="S55" s="12">
        <f t="shared" si="0"/>
        <v>0</v>
      </c>
      <c r="T55" s="5">
        <v>0</v>
      </c>
      <c r="U55" s="12">
        <f t="shared" si="6"/>
        <v>0</v>
      </c>
      <c r="V55" s="25" t="s">
        <v>10</v>
      </c>
      <c r="W55" s="11">
        <f>IFERROR(VLOOKUP(V55,[1]Curr!$B$2:$C$13,2,FALSE),0)</f>
        <v>11.3</v>
      </c>
      <c r="X55" s="12">
        <f t="shared" si="1"/>
        <v>0</v>
      </c>
      <c r="Y55" s="26">
        <f t="shared" si="8"/>
        <v>0</v>
      </c>
      <c r="Z55" s="12">
        <f t="shared" si="2"/>
        <v>0</v>
      </c>
      <c r="AA55" s="4" t="s">
        <v>10</v>
      </c>
      <c r="AB55" s="11">
        <f>IFERROR(VLOOKUP(AA55,Curr!$B$2:$C$13,2,FALSE),0)</f>
        <v>11.3</v>
      </c>
      <c r="AC55" s="12">
        <f t="shared" si="3"/>
        <v>0</v>
      </c>
      <c r="AD55" s="12">
        <f t="shared" si="4"/>
        <v>0</v>
      </c>
      <c r="AE55" s="13">
        <f t="shared" si="5"/>
        <v>0</v>
      </c>
    </row>
    <row r="56" spans="2:36" x14ac:dyDescent="0.25">
      <c r="B56" s="4"/>
      <c r="E56" s="3"/>
      <c r="F56" s="3"/>
      <c r="G56" s="24"/>
      <c r="H56" s="24"/>
      <c r="K56" s="4"/>
      <c r="L56" s="4"/>
      <c r="M56" s="4"/>
      <c r="N56" s="4"/>
      <c r="O56" s="4"/>
      <c r="P56" s="27"/>
      <c r="Q56" s="25"/>
      <c r="R56" s="25"/>
      <c r="S56" s="12">
        <f t="shared" si="0"/>
        <v>0</v>
      </c>
      <c r="T56" s="5">
        <v>0</v>
      </c>
      <c r="U56" s="12">
        <f t="shared" si="6"/>
        <v>0</v>
      </c>
      <c r="V56" s="25" t="s">
        <v>10</v>
      </c>
      <c r="W56" s="11">
        <f>IFERROR(VLOOKUP(V56,[1]Curr!$B$2:$C$13,2,FALSE),0)</f>
        <v>11.3</v>
      </c>
      <c r="X56" s="12">
        <f t="shared" si="1"/>
        <v>0</v>
      </c>
      <c r="Y56" s="26">
        <f t="shared" si="8"/>
        <v>0</v>
      </c>
      <c r="Z56" s="12">
        <f t="shared" si="2"/>
        <v>0</v>
      </c>
      <c r="AA56" s="4" t="s">
        <v>10</v>
      </c>
      <c r="AB56" s="11">
        <f>IFERROR(VLOOKUP(AA56,Curr!$B$2:$C$13,2,FALSE),0)</f>
        <v>11.3</v>
      </c>
      <c r="AC56" s="12">
        <f t="shared" si="3"/>
        <v>0</v>
      </c>
      <c r="AD56" s="12">
        <f t="shared" si="4"/>
        <v>0</v>
      </c>
      <c r="AE56" s="13">
        <f t="shared" si="5"/>
        <v>0</v>
      </c>
    </row>
    <row r="57" spans="2:36" x14ac:dyDescent="0.25">
      <c r="B57" s="4"/>
      <c r="E57" s="3"/>
      <c r="F57" s="3"/>
      <c r="G57" s="24"/>
      <c r="H57" s="24"/>
      <c r="K57" s="4"/>
      <c r="L57" s="4"/>
      <c r="M57" s="4"/>
      <c r="N57" s="4"/>
      <c r="O57" s="4"/>
      <c r="P57" s="27"/>
      <c r="Q57" s="25"/>
      <c r="R57" s="25"/>
      <c r="S57" s="12">
        <f t="shared" si="0"/>
        <v>0</v>
      </c>
      <c r="T57" s="5">
        <v>0</v>
      </c>
      <c r="U57" s="12">
        <f t="shared" si="6"/>
        <v>0</v>
      </c>
      <c r="V57" s="25" t="s">
        <v>10</v>
      </c>
      <c r="W57" s="11">
        <f>IFERROR(VLOOKUP(V57,[1]Curr!$B$2:$C$13,2,FALSE),0)</f>
        <v>11.3</v>
      </c>
      <c r="X57" s="12">
        <f t="shared" si="1"/>
        <v>0</v>
      </c>
      <c r="Y57" s="26">
        <f t="shared" si="8"/>
        <v>0</v>
      </c>
      <c r="Z57" s="12">
        <f t="shared" si="2"/>
        <v>0</v>
      </c>
      <c r="AA57" s="4" t="s">
        <v>10</v>
      </c>
      <c r="AB57" s="11">
        <f>IFERROR(VLOOKUP(AA57,Curr!$B$2:$C$13,2,FALSE),0)</f>
        <v>11.3</v>
      </c>
      <c r="AC57" s="12">
        <f t="shared" si="3"/>
        <v>0</v>
      </c>
      <c r="AD57" s="12">
        <f t="shared" si="4"/>
        <v>0</v>
      </c>
      <c r="AE57" s="13">
        <f t="shared" si="5"/>
        <v>0</v>
      </c>
    </row>
    <row r="58" spans="2:36" x14ac:dyDescent="0.25">
      <c r="B58" s="4"/>
      <c r="E58" s="3"/>
      <c r="F58" s="3"/>
      <c r="G58" s="3"/>
      <c r="H58" s="3"/>
      <c r="L58" s="4"/>
      <c r="M58" s="4"/>
      <c r="N58" s="4"/>
      <c r="O58" s="4"/>
      <c r="P58" s="22"/>
      <c r="Q58" s="4"/>
      <c r="R58" s="4"/>
      <c r="S58" s="4"/>
      <c r="T58" s="4"/>
      <c r="U58" s="4"/>
      <c r="V58" s="4"/>
      <c r="W58" s="4"/>
      <c r="X58" s="4"/>
      <c r="Y58" s="4"/>
      <c r="Z58" s="4"/>
      <c r="AA58" s="4"/>
      <c r="AB58" s="4"/>
      <c r="AC58" s="4"/>
      <c r="AD58" s="4"/>
      <c r="AE58" s="4"/>
      <c r="AF58" s="4"/>
    </row>
    <row r="59" spans="2:36" x14ac:dyDescent="0.25">
      <c r="B59" s="14" t="s">
        <v>18</v>
      </c>
      <c r="C59" s="14"/>
      <c r="D59" s="28" t="s">
        <v>42</v>
      </c>
      <c r="E59" s="30" t="s">
        <v>42</v>
      </c>
      <c r="F59" s="30" t="s">
        <v>42</v>
      </c>
      <c r="G59" s="30" t="s">
        <v>42</v>
      </c>
      <c r="H59" s="30" t="s">
        <v>42</v>
      </c>
      <c r="I59" s="28" t="s">
        <v>42</v>
      </c>
      <c r="J59" s="28" t="s">
        <v>42</v>
      </c>
      <c r="K59" s="28" t="s">
        <v>42</v>
      </c>
      <c r="L59" s="28" t="s">
        <v>42</v>
      </c>
      <c r="M59" s="28" t="s">
        <v>42</v>
      </c>
      <c r="N59" s="28" t="s">
        <v>42</v>
      </c>
      <c r="O59" s="28" t="s">
        <v>42</v>
      </c>
      <c r="P59" s="28" t="s">
        <v>42</v>
      </c>
      <c r="Q59" s="31" t="s">
        <v>42</v>
      </c>
      <c r="R59" s="28" t="s">
        <v>42</v>
      </c>
      <c r="S59" s="32" t="s">
        <v>42</v>
      </c>
      <c r="T59" s="28" t="s">
        <v>42</v>
      </c>
      <c r="U59" s="32" t="s">
        <v>42</v>
      </c>
      <c r="V59" s="28" t="s">
        <v>42</v>
      </c>
      <c r="W59" s="28" t="s">
        <v>42</v>
      </c>
      <c r="X59" s="32" t="s">
        <v>42</v>
      </c>
      <c r="Y59" s="32" t="s">
        <v>42</v>
      </c>
      <c r="Z59" s="15">
        <f>SUM(Z7:Z57)</f>
        <v>3422.6456797903138</v>
      </c>
      <c r="AA59" s="14"/>
      <c r="AB59" s="14"/>
      <c r="AC59" s="15">
        <f>SUM(AC7:AC57)</f>
        <v>38675.896181630553</v>
      </c>
      <c r="AD59" s="15">
        <f>SUM(AD7:AD57)</f>
        <v>7412.0161816305481</v>
      </c>
      <c r="AE59" s="21">
        <f t="shared" ref="AE59" si="13">IFERROR(AD59/AC59,0)</f>
        <v>0.19164432924377711</v>
      </c>
      <c r="AF59" s="15">
        <f>SUM(AF8:AF58)</f>
        <v>0</v>
      </c>
      <c r="AG59" s="15">
        <f>SUM(AG8:AG58)</f>
        <v>0</v>
      </c>
      <c r="AH59" s="15">
        <f>SUM(AH8:AH58)</f>
        <v>0</v>
      </c>
      <c r="AI59" s="15">
        <f>SUM(AI8:AI58)</f>
        <v>0</v>
      </c>
      <c r="AJ59" s="15">
        <f>SUM(AJ8:AJ58)</f>
        <v>0</v>
      </c>
    </row>
    <row r="60" spans="2:36" x14ac:dyDescent="0.25">
      <c r="B60" s="4"/>
      <c r="E60" s="3"/>
      <c r="F60" s="3"/>
      <c r="G60" s="3"/>
      <c r="H60" s="3"/>
      <c r="L60" s="4"/>
      <c r="M60" s="4"/>
      <c r="N60" s="4"/>
      <c r="O60" s="4"/>
      <c r="Q60" s="4"/>
      <c r="R60" s="4"/>
      <c r="S60" s="4"/>
      <c r="T60" s="4"/>
      <c r="U60" s="4"/>
      <c r="V60" s="4"/>
      <c r="W60" s="4"/>
      <c r="X60" s="4"/>
      <c r="Y60" s="9"/>
      <c r="Z60" s="9"/>
      <c r="AA60" s="9"/>
      <c r="AB60" s="9"/>
      <c r="AC60" s="9"/>
      <c r="AD60" s="9"/>
      <c r="AE60" s="9"/>
    </row>
    <row r="61" spans="2:36" x14ac:dyDescent="0.25">
      <c r="B61" s="4"/>
      <c r="E61" s="3"/>
      <c r="F61" s="3"/>
      <c r="G61" s="3"/>
      <c r="H61" s="3"/>
      <c r="L61" s="4"/>
      <c r="M61" s="4"/>
      <c r="N61" s="4"/>
      <c r="O61" s="4"/>
      <c r="Q61" s="9"/>
      <c r="R61" s="9"/>
      <c r="S61" s="9"/>
      <c r="T61" s="9"/>
      <c r="U61" s="9"/>
      <c r="V61" s="9"/>
      <c r="W61" s="9"/>
      <c r="X61" s="23"/>
      <c r="Y61" s="34" t="s">
        <v>119</v>
      </c>
      <c r="Z61" s="34">
        <f>Z12+Z19+Z21+Z23+Z26+Z31+Z33</f>
        <v>1702.0574444961962</v>
      </c>
      <c r="AA61" s="9"/>
      <c r="AB61" s="9"/>
      <c r="AC61" s="9"/>
      <c r="AD61" s="9"/>
      <c r="AE61" s="9"/>
    </row>
    <row r="62" spans="2:36" x14ac:dyDescent="0.25">
      <c r="B62" s="4"/>
      <c r="E62" s="3"/>
      <c r="F62" s="3"/>
      <c r="G62" s="3"/>
      <c r="H62" s="3"/>
      <c r="L62" s="4"/>
      <c r="M62" s="4"/>
      <c r="N62" s="4"/>
      <c r="O62" s="4"/>
      <c r="Q62" s="9"/>
      <c r="R62" s="9"/>
      <c r="S62" s="9"/>
      <c r="T62" s="9"/>
      <c r="U62" s="9"/>
      <c r="V62" s="9"/>
      <c r="W62" s="9"/>
      <c r="X62" s="9"/>
      <c r="Y62" s="35" t="s">
        <v>120</v>
      </c>
      <c r="Z62" s="34">
        <f>Z9+Z14+Z17+Z28</f>
        <v>1720.5882352941178</v>
      </c>
      <c r="AA62" s="9"/>
      <c r="AB62" s="9"/>
      <c r="AC62" s="9"/>
      <c r="AD62" s="9"/>
      <c r="AE62" s="9"/>
      <c r="AF62" s="18"/>
    </row>
    <row r="63" spans="2:36" x14ac:dyDescent="0.25">
      <c r="B63" s="4"/>
      <c r="E63" s="3"/>
      <c r="F63" s="3"/>
      <c r="G63" s="3"/>
      <c r="H63" s="3"/>
      <c r="I63" s="19"/>
      <c r="L63" s="4"/>
      <c r="M63" s="4"/>
      <c r="N63" s="4"/>
      <c r="O63" s="20"/>
      <c r="Q63" s="20"/>
      <c r="R63" s="20"/>
      <c r="S63" s="20"/>
      <c r="T63" s="20"/>
      <c r="U63" s="20"/>
      <c r="V63" s="20"/>
      <c r="W63" s="20"/>
      <c r="X63" s="20"/>
      <c r="Y63" s="34" t="s">
        <v>121</v>
      </c>
      <c r="Z63" s="34">
        <v>3420</v>
      </c>
      <c r="AA63" s="9"/>
      <c r="AB63" s="9"/>
      <c r="AC63" s="9"/>
      <c r="AD63" s="9"/>
      <c r="AE63" s="9"/>
      <c r="AF63" s="18"/>
    </row>
    <row r="64" spans="2:36" x14ac:dyDescent="0.25">
      <c r="B64" s="4"/>
      <c r="E64" s="3"/>
      <c r="F64" s="3"/>
      <c r="G64" s="3"/>
      <c r="H64" s="3"/>
      <c r="L64" s="4"/>
      <c r="M64" s="4"/>
      <c r="N64" s="4"/>
      <c r="O64" s="20"/>
      <c r="Q64" s="20"/>
      <c r="R64" s="20"/>
      <c r="S64" s="20"/>
      <c r="T64" s="20"/>
      <c r="U64" s="20"/>
      <c r="V64" s="20"/>
      <c r="W64" s="20"/>
      <c r="X64" s="20"/>
      <c r="Y64" s="34" t="s">
        <v>46</v>
      </c>
      <c r="Z64" s="34">
        <f>Z63/2</f>
        <v>1710</v>
      </c>
      <c r="AA64" s="9"/>
      <c r="AB64" s="9"/>
      <c r="AC64" s="9"/>
      <c r="AD64" s="9"/>
      <c r="AE64" s="9"/>
      <c r="AF64" s="18"/>
    </row>
    <row r="65" spans="2:32" x14ac:dyDescent="0.25">
      <c r="B65" s="4"/>
      <c r="E65" s="3"/>
      <c r="F65" s="3"/>
      <c r="G65" s="3"/>
      <c r="H65" s="3"/>
      <c r="L65" s="4"/>
      <c r="M65" s="4"/>
      <c r="N65" s="4"/>
      <c r="O65" s="4"/>
      <c r="Q65" s="9"/>
      <c r="R65" s="9"/>
      <c r="S65" s="9"/>
      <c r="T65" s="9"/>
      <c r="U65" s="9"/>
      <c r="V65" s="9"/>
      <c r="W65" s="9"/>
      <c r="X65" s="9"/>
      <c r="Y65" s="1"/>
      <c r="Z65" s="1"/>
      <c r="AA65" s="9"/>
      <c r="AB65" s="9"/>
      <c r="AC65" s="9"/>
      <c r="AD65" s="9"/>
      <c r="AE65" s="9"/>
      <c r="AF65" s="18"/>
    </row>
    <row r="66" spans="2:32" x14ac:dyDescent="0.25">
      <c r="F66" s="1"/>
      <c r="G66" s="1"/>
      <c r="H66" s="1"/>
      <c r="J66" s="1" t="s">
        <v>32</v>
      </c>
      <c r="Q66" s="9"/>
      <c r="R66" s="4"/>
      <c r="S66" s="9"/>
      <c r="T66" s="5"/>
      <c r="U66" s="9"/>
      <c r="V66" s="4"/>
      <c r="W66" s="4"/>
      <c r="X66" s="9"/>
      <c r="Y66" s="9"/>
      <c r="Z66" s="9"/>
      <c r="AA66" s="9"/>
      <c r="AB66" s="9"/>
      <c r="AC66" s="9"/>
      <c r="AD66" s="9"/>
      <c r="AE66" s="9"/>
    </row>
    <row r="67" spans="2:32" x14ac:dyDescent="0.25">
      <c r="R67" s="4"/>
      <c r="S67" s="17"/>
      <c r="T67" s="17"/>
      <c r="U67" s="9"/>
      <c r="V67" s="4"/>
      <c r="W67" s="4"/>
      <c r="X67" s="9"/>
      <c r="Y67" s="39" t="s">
        <v>220</v>
      </c>
      <c r="Z67" s="9">
        <f>Z63</f>
        <v>3420</v>
      </c>
      <c r="AA67" s="9"/>
      <c r="AB67" s="9"/>
      <c r="AC67" s="9"/>
      <c r="AD67" s="9"/>
      <c r="AE67" s="9"/>
    </row>
    <row r="68" spans="2:32" x14ac:dyDescent="0.25">
      <c r="Q68" s="9"/>
      <c r="R68" s="4"/>
      <c r="S68" s="16"/>
      <c r="T68" s="16"/>
      <c r="U68" s="9"/>
      <c r="V68" s="4"/>
      <c r="W68" s="4"/>
      <c r="X68" s="9"/>
      <c r="Y68" s="39" t="s">
        <v>221</v>
      </c>
      <c r="Z68" s="9">
        <f>Z67*1.18</f>
        <v>4035.6</v>
      </c>
      <c r="AA68" s="9"/>
      <c r="AB68" s="9"/>
      <c r="AC68" s="9"/>
      <c r="AD68" s="9"/>
      <c r="AE68" s="9"/>
    </row>
    <row r="69" spans="2:32" x14ac:dyDescent="0.25">
      <c r="R69" s="4"/>
      <c r="S69" s="16"/>
      <c r="T69" s="16"/>
      <c r="Y69" s="39" t="s">
        <v>222</v>
      </c>
      <c r="Z69" s="9">
        <f>Z67*1.3</f>
        <v>4446</v>
      </c>
      <c r="AA69" s="9"/>
      <c r="AB69" s="9"/>
      <c r="AC69" s="9"/>
      <c r="AD69" s="9"/>
      <c r="AE69" s="9"/>
    </row>
    <row r="70" spans="2:32" x14ac:dyDescent="0.25">
      <c r="T70" s="5"/>
      <c r="Y70" s="39" t="s">
        <v>223</v>
      </c>
      <c r="Z70" s="9">
        <f>Z67*0.85</f>
        <v>2907</v>
      </c>
      <c r="AA70" s="9"/>
      <c r="AB70" s="9"/>
      <c r="AC70" s="9"/>
      <c r="AD70" s="9"/>
      <c r="AE70" s="9"/>
    </row>
    <row r="71" spans="2:32" x14ac:dyDescent="0.25">
      <c r="T71" s="5"/>
      <c r="Y71" s="9"/>
      <c r="Z71" s="9"/>
      <c r="AA71" s="9"/>
      <c r="AB71" s="9"/>
      <c r="AC71" s="9"/>
      <c r="AD71" s="9"/>
      <c r="AE71" s="9"/>
    </row>
    <row r="72" spans="2:32" x14ac:dyDescent="0.25">
      <c r="T72" s="5"/>
      <c r="Y72" s="9"/>
      <c r="Z72" s="9"/>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row>
    <row r="79" spans="2:32" x14ac:dyDescent="0.25">
      <c r="T79" s="5"/>
    </row>
    <row r="80" spans="2:32" x14ac:dyDescent="0.25">
      <c r="T80" s="5"/>
    </row>
    <row r="81" spans="20:20" x14ac:dyDescent="0.25">
      <c r="T81" s="5"/>
    </row>
    <row r="82" spans="20:20" x14ac:dyDescent="0.25">
      <c r="T82" s="5"/>
    </row>
  </sheetData>
  <autoFilter ref="B6:AE59" xr:uid="{65FA6D9B-E0AF-46CD-BA0D-86BB75FE6AB0}"/>
  <hyperlinks>
    <hyperlink ref="P12" r:id="rId1" xr:uid="{048C986C-8F87-40A4-9180-3E83B057E400}"/>
    <hyperlink ref="P14" r:id="rId2" xr:uid="{36117A76-1DAB-4FBB-8F80-11E577F1BAFF}"/>
    <hyperlink ref="P21" r:id="rId3" xr:uid="{461E9267-2920-411F-911C-807DBC3103F7}"/>
    <hyperlink ref="P23" r:id="rId4" xr:uid="{CA909B30-52CE-4A3C-927E-725802DA0859}"/>
    <hyperlink ref="P26" r:id="rId5" xr:uid="{A53057C8-5171-443F-A016-3076665C6B8E}"/>
    <hyperlink ref="P33" r:id="rId6" xr:uid="{3CA8FD21-2D9E-42D1-8778-2B36D4FAE413}"/>
    <hyperlink ref="P31" r:id="rId7" xr:uid="{0C011A7C-B7A3-4D5D-AC71-FA9B17547877}"/>
    <hyperlink ref="P46" r:id="rId8" xr:uid="{7A27D4BF-F3FE-44CF-A107-CB8AE68A77E5}"/>
    <hyperlink ref="P48" r:id="rId9" xr:uid="{16B11996-BD79-4447-94FB-257FACA61406}"/>
    <hyperlink ref="P49" r:id="rId10" xr:uid="{1DE63049-4241-4CBC-BA00-489B5B36EF00}"/>
    <hyperlink ref="P19" r:id="rId11" xr:uid="{59713BB3-EFCF-4457-9ADC-1E61B1E7BEF7}"/>
  </hyperlinks>
  <pageMargins left="0.7" right="0.7" top="0.75" bottom="0.75" header="0.3" footer="0.3"/>
  <pageSetup paperSize="9"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96C6C-2682-4300-8E57-0284E8FC669D}">
  <sheetPr>
    <tabColor rgb="FFFFFF00"/>
  </sheetPr>
  <dimension ref="B1:AK91"/>
  <sheetViews>
    <sheetView zoomScale="80" zoomScaleNormal="80" workbookViewId="0">
      <selection activeCell="J13" sqref="J13"/>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60</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66" si="0">+Q7*R7</f>
        <v>0</v>
      </c>
      <c r="T7" s="5">
        <v>0</v>
      </c>
      <c r="U7" s="12">
        <f>S7*(1-T7)</f>
        <v>0</v>
      </c>
      <c r="V7" s="25" t="s">
        <v>10</v>
      </c>
      <c r="W7" s="11">
        <f>IFERROR(VLOOKUP(V7,[1]Curr!$B$2:$C$13,2,FALSE),0)</f>
        <v>11.3</v>
      </c>
      <c r="X7" s="12">
        <f t="shared" ref="X7:X66" si="1">U7*W7</f>
        <v>0</v>
      </c>
      <c r="Y7" s="26">
        <f>Q7</f>
        <v>0</v>
      </c>
      <c r="Z7" s="12">
        <f t="shared" ref="Z7:Z66" si="2">+Y7*R7</f>
        <v>0</v>
      </c>
      <c r="AA7" s="4" t="s">
        <v>10</v>
      </c>
      <c r="AB7" s="11">
        <f>IFERROR(VLOOKUP(AA7,Curr!$B$2:$C$13,2,FALSE),0)</f>
        <v>11.3</v>
      </c>
      <c r="AC7" s="12">
        <f t="shared" ref="AC7:AC66" si="3">+Y7*AB7*R7</f>
        <v>0</v>
      </c>
      <c r="AD7" s="12">
        <f t="shared" ref="AD7:AD66" si="4">+AC7-X7</f>
        <v>0</v>
      </c>
      <c r="AE7" s="13">
        <f t="shared" ref="AE7:AE66"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66"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Q9/0.85</f>
        <v>176.47058823529412</v>
      </c>
      <c r="Z9" s="12">
        <f t="shared" si="2"/>
        <v>176.47058823529412</v>
      </c>
      <c r="AA9" s="4" t="s">
        <v>10</v>
      </c>
      <c r="AB9" s="11">
        <f>IFERROR(VLOOKUP(AA9,Curr!$B$2:$C$13,2,FALSE),0)</f>
        <v>11.3</v>
      </c>
      <c r="AC9" s="12">
        <f t="shared" si="3"/>
        <v>1994.1176470588236</v>
      </c>
      <c r="AD9" s="12">
        <f t="shared" si="4"/>
        <v>299.11764705882365</v>
      </c>
      <c r="AE9" s="13">
        <f t="shared" si="5"/>
        <v>0.15000000000000005</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66"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124</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Y19"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9"/>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109</v>
      </c>
      <c r="K28" s="4"/>
      <c r="L28" s="4"/>
      <c r="M28" s="4"/>
      <c r="N28" s="4"/>
      <c r="O28" s="4"/>
      <c r="P28" s="33"/>
      <c r="Q28" s="25">
        <v>500</v>
      </c>
      <c r="R28" s="25">
        <v>1</v>
      </c>
      <c r="S28" s="12">
        <f t="shared" si="0"/>
        <v>500</v>
      </c>
      <c r="T28" s="5">
        <v>0</v>
      </c>
      <c r="U28" s="12">
        <f t="shared" si="6"/>
        <v>500</v>
      </c>
      <c r="V28" s="25" t="s">
        <v>10</v>
      </c>
      <c r="W28" s="11">
        <f>IFERROR(VLOOKUP(V28,[1]Curr!$B$2:$C$13,2,FALSE),0)</f>
        <v>11.3</v>
      </c>
      <c r="X28" s="12">
        <f t="shared" si="1"/>
        <v>5650</v>
      </c>
      <c r="Y28" s="26">
        <f>Q28/0.85</f>
        <v>588.23529411764707</v>
      </c>
      <c r="Z28" s="12">
        <f t="shared" si="2"/>
        <v>588.23529411764707</v>
      </c>
      <c r="AA28" s="4" t="s">
        <v>10</v>
      </c>
      <c r="AB28" s="11">
        <f>IFERROR(VLOOKUP(AA28,Curr!$B$2:$C$13,2,FALSE),0)</f>
        <v>11.3</v>
      </c>
      <c r="AC28" s="12">
        <f t="shared" si="3"/>
        <v>6647.0588235294126</v>
      </c>
      <c r="AD28" s="12">
        <f t="shared" si="4"/>
        <v>997.05882352941262</v>
      </c>
      <c r="AE28" s="13">
        <f t="shared" si="5"/>
        <v>0.15000000000000011</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110</v>
      </c>
      <c r="K31" s="4"/>
      <c r="L31" s="4"/>
      <c r="M31" s="4"/>
      <c r="N31" s="4"/>
      <c r="O31" s="4" t="s">
        <v>42</v>
      </c>
      <c r="P31" s="33" t="s">
        <v>111</v>
      </c>
      <c r="Q31" s="25">
        <v>145</v>
      </c>
      <c r="R31" s="25">
        <v>2</v>
      </c>
      <c r="S31" s="12">
        <f t="shared" si="0"/>
        <v>290</v>
      </c>
      <c r="T31" s="5">
        <v>0.2</v>
      </c>
      <c r="U31" s="12">
        <f t="shared" si="6"/>
        <v>232</v>
      </c>
      <c r="V31" s="25" t="s">
        <v>10</v>
      </c>
      <c r="W31" s="11">
        <f>IFERROR(VLOOKUP(V31,[1]Curr!$B$2:$C$13,2,FALSE),0)</f>
        <v>11.3</v>
      </c>
      <c r="X31" s="12">
        <f t="shared" si="1"/>
        <v>2621.6000000000004</v>
      </c>
      <c r="Y31" s="26">
        <f t="shared" si="8"/>
        <v>145</v>
      </c>
      <c r="Z31" s="12">
        <f t="shared" si="2"/>
        <v>290</v>
      </c>
      <c r="AA31" s="4" t="s">
        <v>10</v>
      </c>
      <c r="AB31" s="11">
        <f>IFERROR(VLOOKUP(AA31,Curr!$B$2:$C$13,2,FALSE),0)</f>
        <v>11.3</v>
      </c>
      <c r="AC31" s="12">
        <f t="shared" si="3"/>
        <v>3277</v>
      </c>
      <c r="AD31" s="12">
        <f t="shared" si="4"/>
        <v>655.39999999999964</v>
      </c>
      <c r="AE31" s="13">
        <f t="shared" si="5"/>
        <v>0.1999999999999999</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si="8"/>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92</v>
      </c>
      <c r="K33" s="4"/>
      <c r="L33" s="4"/>
      <c r="M33" s="4"/>
      <c r="N33" s="4"/>
      <c r="O33" s="4" t="s">
        <v>42</v>
      </c>
      <c r="P33" s="33" t="s">
        <v>93</v>
      </c>
      <c r="Q33" s="25">
        <v>105</v>
      </c>
      <c r="R33" s="25">
        <v>2</v>
      </c>
      <c r="S33" s="12">
        <f t="shared" si="0"/>
        <v>210</v>
      </c>
      <c r="T33" s="5">
        <v>0.2</v>
      </c>
      <c r="U33" s="12">
        <f t="shared" si="6"/>
        <v>168</v>
      </c>
      <c r="V33" s="25" t="s">
        <v>10</v>
      </c>
      <c r="W33" s="11">
        <f>IFERROR(VLOOKUP(V33,[1]Curr!$B$2:$C$13,2,FALSE),0)</f>
        <v>11.3</v>
      </c>
      <c r="X33" s="12">
        <f t="shared" si="1"/>
        <v>1898.4</v>
      </c>
      <c r="Y33" s="26">
        <f t="shared" si="8"/>
        <v>105</v>
      </c>
      <c r="Z33" s="12">
        <f t="shared" si="2"/>
        <v>210</v>
      </c>
      <c r="AA33" s="4" t="s">
        <v>10</v>
      </c>
      <c r="AB33" s="11">
        <f>IFERROR(VLOOKUP(AA33,Curr!$B$2:$C$13,2,FALSE),0)</f>
        <v>11.3</v>
      </c>
      <c r="AC33" s="12">
        <f t="shared" si="3"/>
        <v>2373</v>
      </c>
      <c r="AD33" s="12">
        <f t="shared" si="4"/>
        <v>474.59999999999991</v>
      </c>
      <c r="AE33" s="13">
        <f t="shared" si="5"/>
        <v>0.19999999999999996</v>
      </c>
    </row>
    <row r="34" spans="2:31" x14ac:dyDescent="0.25">
      <c r="B34" s="4"/>
      <c r="E34" s="3"/>
      <c r="F34" s="3"/>
      <c r="G34" s="24"/>
      <c r="H34" s="24"/>
      <c r="K34" s="4"/>
      <c r="L34" s="4"/>
      <c r="M34" s="4"/>
      <c r="N34" s="4"/>
      <c r="O34" s="4"/>
      <c r="P34" s="33"/>
      <c r="Q34" s="25"/>
      <c r="R34" s="25"/>
      <c r="S34" s="12">
        <f t="shared" si="0"/>
        <v>0</v>
      </c>
      <c r="T34" s="5">
        <v>0</v>
      </c>
      <c r="U34" s="12">
        <f t="shared" si="6"/>
        <v>0</v>
      </c>
      <c r="V34" s="25" t="s">
        <v>10</v>
      </c>
      <c r="W34" s="11">
        <f>IFERROR(VLOOKUP(V34,[1]Curr!$B$2:$C$13,2,FALSE),0)</f>
        <v>11.3</v>
      </c>
      <c r="X34" s="12">
        <f t="shared" si="1"/>
        <v>0</v>
      </c>
      <c r="Y34" s="26">
        <f t="shared" si="8"/>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66</v>
      </c>
      <c r="E35" s="3"/>
      <c r="F35" s="3"/>
      <c r="G35" s="24"/>
      <c r="H35" s="24"/>
      <c r="J35" s="1" t="s">
        <v>129</v>
      </c>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8"/>
        <v>0</v>
      </c>
      <c r="Z35" s="12">
        <f t="shared" si="2"/>
        <v>0</v>
      </c>
      <c r="AA35" s="4" t="s">
        <v>10</v>
      </c>
      <c r="AB35" s="11">
        <f>IFERROR(VLOOKUP(AA35,Curr!$B$2:$C$13,2,FALSE),0)</f>
        <v>11.3</v>
      </c>
      <c r="AC35" s="12">
        <f t="shared" si="3"/>
        <v>0</v>
      </c>
      <c r="AD35" s="12">
        <f t="shared" si="4"/>
        <v>0</v>
      </c>
      <c r="AE35" s="13">
        <f t="shared" si="5"/>
        <v>0</v>
      </c>
    </row>
    <row r="36" spans="2:31" x14ac:dyDescent="0.25">
      <c r="B36" s="4"/>
      <c r="C36" s="1" t="s">
        <v>84</v>
      </c>
      <c r="D36" s="1" t="s">
        <v>67</v>
      </c>
      <c r="E36" s="3"/>
      <c r="F36" s="3"/>
      <c r="G36" s="24"/>
      <c r="H36" s="24"/>
      <c r="J36" s="1" t="s">
        <v>128</v>
      </c>
      <c r="K36" s="4"/>
      <c r="L36" s="4"/>
      <c r="M36" s="4"/>
      <c r="N36" s="4"/>
      <c r="O36" s="4"/>
      <c r="P36" s="33" t="s">
        <v>194</v>
      </c>
      <c r="Q36" s="25">
        <v>3900</v>
      </c>
      <c r="R36" s="25">
        <v>1</v>
      </c>
      <c r="S36" s="12">
        <f t="shared" si="0"/>
        <v>3900</v>
      </c>
      <c r="T36" s="5">
        <v>0</v>
      </c>
      <c r="U36" s="12">
        <f t="shared" si="6"/>
        <v>3900</v>
      </c>
      <c r="V36" s="25" t="s">
        <v>8</v>
      </c>
      <c r="W36" s="11">
        <f>IFERROR(VLOOKUP(V36,[1]Curr!$B$2:$C$13,2,FALSE),0)</f>
        <v>1</v>
      </c>
      <c r="X36" s="12">
        <f t="shared" si="1"/>
        <v>3900</v>
      </c>
      <c r="Y36" s="26">
        <f>Q36/11.3/0.75</f>
        <v>460.17699115044246</v>
      </c>
      <c r="Z36" s="12">
        <f t="shared" si="2"/>
        <v>460.17699115044246</v>
      </c>
      <c r="AA36" s="4" t="s">
        <v>10</v>
      </c>
      <c r="AB36" s="11">
        <f>IFERROR(VLOOKUP(AA36,Curr!$B$2:$C$13,2,FALSE),0)</f>
        <v>11.3</v>
      </c>
      <c r="AC36" s="12">
        <f t="shared" si="3"/>
        <v>5200</v>
      </c>
      <c r="AD36" s="12">
        <f t="shared" si="4"/>
        <v>1300</v>
      </c>
      <c r="AE36" s="13">
        <f t="shared" si="5"/>
        <v>0.25</v>
      </c>
    </row>
    <row r="37" spans="2:31" x14ac:dyDescent="0.25">
      <c r="B37" s="4"/>
      <c r="C37" s="1" t="s">
        <v>84</v>
      </c>
      <c r="D37" s="1" t="s">
        <v>68</v>
      </c>
      <c r="E37" s="3"/>
      <c r="F37" s="3"/>
      <c r="G37" s="24"/>
      <c r="H37" s="24"/>
      <c r="J37" s="1" t="s">
        <v>130</v>
      </c>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8"/>
        <v>0</v>
      </c>
      <c r="Z37" s="12">
        <f t="shared" si="2"/>
        <v>0</v>
      </c>
      <c r="AA37" s="4" t="s">
        <v>10</v>
      </c>
      <c r="AB37" s="11">
        <f>IFERROR(VLOOKUP(AA37,Curr!$B$2:$C$13,2,FALSE),0)</f>
        <v>11.3</v>
      </c>
      <c r="AC37" s="12">
        <f t="shared" si="3"/>
        <v>0</v>
      </c>
      <c r="AD37" s="12">
        <f t="shared" si="4"/>
        <v>0</v>
      </c>
      <c r="AE37" s="13">
        <f t="shared" si="5"/>
        <v>0</v>
      </c>
    </row>
    <row r="38" spans="2:31" x14ac:dyDescent="0.25">
      <c r="B38" s="4"/>
      <c r="C38" s="1" t="s">
        <v>84</v>
      </c>
      <c r="D38" s="1" t="s">
        <v>75</v>
      </c>
      <c r="E38" s="3"/>
      <c r="F38" s="3"/>
      <c r="G38" s="24"/>
      <c r="H38" s="24"/>
      <c r="J38" s="1" t="s">
        <v>140</v>
      </c>
      <c r="K38" s="4"/>
      <c r="L38" s="4"/>
      <c r="M38" s="4"/>
      <c r="N38" s="4"/>
      <c r="O38" s="4"/>
      <c r="P38" s="33" t="s">
        <v>195</v>
      </c>
      <c r="Q38" s="25">
        <v>2100</v>
      </c>
      <c r="R38" s="25">
        <v>2</v>
      </c>
      <c r="S38" s="12">
        <f t="shared" si="0"/>
        <v>4200</v>
      </c>
      <c r="T38" s="5">
        <v>0</v>
      </c>
      <c r="U38" s="12">
        <f t="shared" si="6"/>
        <v>4200</v>
      </c>
      <c r="V38" s="25" t="s">
        <v>8</v>
      </c>
      <c r="W38" s="11">
        <f>IFERROR(VLOOKUP(V38,[1]Curr!$B$2:$C$13,2,FALSE),0)</f>
        <v>1</v>
      </c>
      <c r="X38" s="12">
        <f t="shared" si="1"/>
        <v>4200</v>
      </c>
      <c r="Y38" s="26">
        <f>Q38/11.3/0.8</f>
        <v>232.3008849557522</v>
      </c>
      <c r="Z38" s="12">
        <f t="shared" si="2"/>
        <v>464.60176991150439</v>
      </c>
      <c r="AA38" s="4" t="s">
        <v>10</v>
      </c>
      <c r="AB38" s="11">
        <f>IFERROR(VLOOKUP(AA38,Curr!$B$2:$C$13,2,FALSE),0)</f>
        <v>11.3</v>
      </c>
      <c r="AC38" s="12">
        <f t="shared" si="3"/>
        <v>5250</v>
      </c>
      <c r="AD38" s="12">
        <f t="shared" si="4"/>
        <v>1050</v>
      </c>
      <c r="AE38" s="13">
        <f t="shared" si="5"/>
        <v>0.2</v>
      </c>
    </row>
    <row r="39" spans="2:31" x14ac:dyDescent="0.25">
      <c r="B39" s="4"/>
      <c r="K39" s="4"/>
      <c r="L39" s="4"/>
      <c r="M39" s="4"/>
      <c r="N39" s="4"/>
      <c r="O39" s="4"/>
      <c r="P39" s="27"/>
      <c r="Q39" s="25"/>
      <c r="R39" s="25"/>
      <c r="S39" s="12">
        <f t="shared" si="0"/>
        <v>0</v>
      </c>
      <c r="T39" s="5">
        <v>0</v>
      </c>
      <c r="U39" s="12">
        <f t="shared" si="6"/>
        <v>0</v>
      </c>
      <c r="V39" s="25" t="s">
        <v>10</v>
      </c>
      <c r="W39" s="11">
        <f>IFERROR(VLOOKUP(V39,[1]Curr!$B$2:$C$13,2,FALSE),0)</f>
        <v>11.3</v>
      </c>
      <c r="X39" s="12">
        <f t="shared" si="1"/>
        <v>0</v>
      </c>
      <c r="Y39" s="26">
        <f t="shared" si="8"/>
        <v>0</v>
      </c>
      <c r="Z39" s="12">
        <f t="shared" si="2"/>
        <v>0</v>
      </c>
      <c r="AA39" s="4" t="s">
        <v>10</v>
      </c>
      <c r="AB39" s="11">
        <f>IFERROR(VLOOKUP(AA39,Curr!$B$2:$C$13,2,FALSE),0)</f>
        <v>11.3</v>
      </c>
      <c r="AC39" s="12">
        <f t="shared" si="3"/>
        <v>0</v>
      </c>
      <c r="AD39" s="12">
        <f t="shared" si="4"/>
        <v>0</v>
      </c>
      <c r="AE39" s="13">
        <f t="shared" si="5"/>
        <v>0</v>
      </c>
    </row>
    <row r="40" spans="2:31" x14ac:dyDescent="0.25">
      <c r="B40" s="4"/>
      <c r="C40" s="1" t="s">
        <v>127</v>
      </c>
      <c r="D40" s="1" t="s">
        <v>66</v>
      </c>
      <c r="E40" s="3"/>
      <c r="F40" s="3"/>
      <c r="G40" s="24"/>
      <c r="H40" s="24"/>
      <c r="J40" s="1" t="s">
        <v>87</v>
      </c>
      <c r="K40" s="4"/>
      <c r="L40" s="4"/>
      <c r="M40" s="4"/>
      <c r="N40" s="4"/>
      <c r="O40" s="4"/>
      <c r="P40" s="33"/>
      <c r="Q40" s="25">
        <v>0</v>
      </c>
      <c r="R40" s="25">
        <v>0</v>
      </c>
      <c r="S40" s="12">
        <f t="shared" si="0"/>
        <v>0</v>
      </c>
      <c r="T40" s="5">
        <v>0</v>
      </c>
      <c r="U40" s="12">
        <f t="shared" si="6"/>
        <v>0</v>
      </c>
      <c r="V40" s="25" t="s">
        <v>10</v>
      </c>
      <c r="W40" s="11">
        <f>IFERROR(VLOOKUP(V40,[1]Curr!$B$2:$C$13,2,FALSE),0)</f>
        <v>11.3</v>
      </c>
      <c r="X40" s="12">
        <f t="shared" si="1"/>
        <v>0</v>
      </c>
      <c r="Y40" s="26">
        <f t="shared" si="8"/>
        <v>0</v>
      </c>
      <c r="Z40" s="12">
        <f t="shared" si="2"/>
        <v>0</v>
      </c>
      <c r="AA40" s="4" t="s">
        <v>10</v>
      </c>
      <c r="AB40" s="11">
        <f>IFERROR(VLOOKUP(AA40,Curr!$B$2:$C$13,2,FALSE),0)</f>
        <v>11.3</v>
      </c>
      <c r="AC40" s="12">
        <f t="shared" si="3"/>
        <v>0</v>
      </c>
      <c r="AD40" s="12">
        <f t="shared" si="4"/>
        <v>0</v>
      </c>
      <c r="AE40" s="13">
        <f t="shared" si="5"/>
        <v>0</v>
      </c>
    </row>
    <row r="41" spans="2:31" x14ac:dyDescent="0.25">
      <c r="B41" s="4"/>
      <c r="C41" s="1" t="s">
        <v>127</v>
      </c>
      <c r="D41" s="1" t="s">
        <v>85</v>
      </c>
      <c r="E41" s="3"/>
      <c r="F41" s="3"/>
      <c r="G41" s="24"/>
      <c r="H41" s="24"/>
      <c r="J41" s="1" t="s">
        <v>86</v>
      </c>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8"/>
        <v>0</v>
      </c>
      <c r="Z41" s="12">
        <f t="shared" si="2"/>
        <v>0</v>
      </c>
      <c r="AA41" s="4" t="s">
        <v>10</v>
      </c>
      <c r="AB41" s="11">
        <f>IFERROR(VLOOKUP(AA41,Curr!$B$2:$C$13,2,FALSE),0)</f>
        <v>11.3</v>
      </c>
      <c r="AC41" s="12">
        <f t="shared" si="3"/>
        <v>0</v>
      </c>
      <c r="AD41" s="12">
        <f t="shared" si="4"/>
        <v>0</v>
      </c>
      <c r="AE41" s="13">
        <f t="shared" si="5"/>
        <v>0</v>
      </c>
    </row>
    <row r="42" spans="2:31" x14ac:dyDescent="0.25">
      <c r="B42" s="4"/>
      <c r="E42" s="3"/>
      <c r="F42" s="3"/>
      <c r="G42" s="24"/>
      <c r="H42" s="24"/>
      <c r="K42" s="4"/>
      <c r="L42" s="4"/>
      <c r="M42" s="4"/>
      <c r="N42" s="4"/>
      <c r="O42" s="4"/>
      <c r="P42" s="27"/>
      <c r="Q42" s="25"/>
      <c r="R42" s="25"/>
      <c r="S42" s="12">
        <f t="shared" si="0"/>
        <v>0</v>
      </c>
      <c r="T42" s="5">
        <v>0</v>
      </c>
      <c r="U42" s="12">
        <f t="shared" si="6"/>
        <v>0</v>
      </c>
      <c r="V42" s="25" t="s">
        <v>10</v>
      </c>
      <c r="W42" s="11">
        <f>IFERROR(VLOOKUP(V42,[1]Curr!$B$2:$C$13,2,FALSE),0)</f>
        <v>11.3</v>
      </c>
      <c r="X42" s="12">
        <f t="shared" si="1"/>
        <v>0</v>
      </c>
      <c r="Y42" s="26">
        <f t="shared" si="8"/>
        <v>0</v>
      </c>
      <c r="Z42" s="12">
        <f t="shared" si="2"/>
        <v>0</v>
      </c>
      <c r="AA42" s="4" t="s">
        <v>10</v>
      </c>
      <c r="AB42" s="11">
        <f>IFERROR(VLOOKUP(AA42,Curr!$B$2:$C$13,2,FALSE),0)</f>
        <v>11.3</v>
      </c>
      <c r="AC42" s="12">
        <f t="shared" si="3"/>
        <v>0</v>
      </c>
      <c r="AD42" s="12">
        <f t="shared" si="4"/>
        <v>0</v>
      </c>
      <c r="AE42" s="13">
        <f t="shared" si="5"/>
        <v>0</v>
      </c>
    </row>
    <row r="43" spans="2:31" x14ac:dyDescent="0.25">
      <c r="B43" s="4"/>
      <c r="E43" s="3"/>
      <c r="F43" s="3"/>
      <c r="G43" s="24"/>
      <c r="H43" s="24"/>
      <c r="K43" s="4"/>
      <c r="L43" s="4"/>
      <c r="M43" s="4"/>
      <c r="N43" s="4"/>
      <c r="O43" s="4"/>
      <c r="P43" s="27"/>
      <c r="Q43" s="25"/>
      <c r="R43" s="25"/>
      <c r="S43" s="12">
        <f t="shared" si="0"/>
        <v>0</v>
      </c>
      <c r="T43" s="5">
        <v>0</v>
      </c>
      <c r="U43" s="12">
        <f t="shared" si="6"/>
        <v>0</v>
      </c>
      <c r="V43" s="25" t="s">
        <v>10</v>
      </c>
      <c r="W43" s="11">
        <f>IFERROR(VLOOKUP(V43,[1]Curr!$B$2:$C$13,2,FALSE),0)</f>
        <v>11.3</v>
      </c>
      <c r="X43" s="12">
        <f t="shared" si="1"/>
        <v>0</v>
      </c>
      <c r="Y43" s="26">
        <f t="shared" si="8"/>
        <v>0</v>
      </c>
      <c r="Z43" s="12">
        <f t="shared" si="2"/>
        <v>0</v>
      </c>
      <c r="AA43" s="4" t="s">
        <v>10</v>
      </c>
      <c r="AB43" s="11">
        <f>IFERROR(VLOOKUP(AA43,Curr!$B$2:$C$13,2,FALSE),0)</f>
        <v>11.3</v>
      </c>
      <c r="AC43" s="12">
        <f t="shared" si="3"/>
        <v>0</v>
      </c>
      <c r="AD43" s="12">
        <f t="shared" si="4"/>
        <v>0</v>
      </c>
      <c r="AE43" s="13">
        <f t="shared" si="5"/>
        <v>0</v>
      </c>
    </row>
    <row r="44" spans="2:31" x14ac:dyDescent="0.25">
      <c r="B44" s="4"/>
      <c r="C44" s="1" t="s">
        <v>64</v>
      </c>
      <c r="D44" s="1" t="s">
        <v>112</v>
      </c>
      <c r="E44" s="3"/>
      <c r="F44" s="3"/>
      <c r="G44" s="24"/>
      <c r="H44" s="24"/>
      <c r="J44" s="1" t="s">
        <v>126</v>
      </c>
      <c r="K44" s="4"/>
      <c r="L44" s="4"/>
      <c r="M44" s="4"/>
      <c r="N44" s="4"/>
      <c r="O44" s="4"/>
      <c r="P44" s="33"/>
      <c r="Q44" s="25">
        <v>80</v>
      </c>
      <c r="R44" s="25">
        <v>0</v>
      </c>
      <c r="S44" s="12">
        <f t="shared" si="0"/>
        <v>0</v>
      </c>
      <c r="T44" s="5">
        <v>0</v>
      </c>
      <c r="U44" s="12">
        <f t="shared" si="6"/>
        <v>0</v>
      </c>
      <c r="V44" s="25" t="s">
        <v>10</v>
      </c>
      <c r="W44" s="11">
        <f>IFERROR(VLOOKUP(V44,[1]Curr!$B$2:$C$13,2,FALSE),0)</f>
        <v>11.3</v>
      </c>
      <c r="X44" s="12">
        <f t="shared" si="1"/>
        <v>0</v>
      </c>
      <c r="Y44" s="26">
        <f>Q44/0.8</f>
        <v>100</v>
      </c>
      <c r="Z44" s="12">
        <f t="shared" si="2"/>
        <v>0</v>
      </c>
      <c r="AA44" s="4" t="s">
        <v>10</v>
      </c>
      <c r="AB44" s="11">
        <f>IFERROR(VLOOKUP(AA44,Curr!$B$2:$C$13,2,FALSE),0)</f>
        <v>11.3</v>
      </c>
      <c r="AC44" s="12">
        <f t="shared" si="3"/>
        <v>0</v>
      </c>
      <c r="AD44" s="12">
        <f t="shared" si="4"/>
        <v>0</v>
      </c>
      <c r="AE44" s="13">
        <f t="shared" si="5"/>
        <v>0</v>
      </c>
    </row>
    <row r="45" spans="2:31" x14ac:dyDescent="0.25">
      <c r="B45" s="4"/>
      <c r="C45" s="1" t="s">
        <v>76</v>
      </c>
      <c r="D45" s="1" t="s">
        <v>112</v>
      </c>
      <c r="E45" s="3"/>
      <c r="F45" s="3"/>
      <c r="G45" s="24"/>
      <c r="H45" s="24"/>
      <c r="J45" s="1" t="s">
        <v>125</v>
      </c>
      <c r="K45" s="4"/>
      <c r="L45" s="4"/>
      <c r="M45" s="4"/>
      <c r="N45" s="4"/>
      <c r="O45" s="4"/>
      <c r="P45" s="27"/>
      <c r="Q45" s="25">
        <v>80</v>
      </c>
      <c r="R45" s="25">
        <v>0</v>
      </c>
      <c r="S45" s="12">
        <f t="shared" si="0"/>
        <v>0</v>
      </c>
      <c r="T45" s="5">
        <v>0</v>
      </c>
      <c r="U45" s="12">
        <f t="shared" si="6"/>
        <v>0</v>
      </c>
      <c r="V45" s="25" t="s">
        <v>10</v>
      </c>
      <c r="W45" s="11">
        <f>IFERROR(VLOOKUP(V45,[1]Curr!$B$2:$C$13,2,FALSE),0)</f>
        <v>11.3</v>
      </c>
      <c r="X45" s="12">
        <f t="shared" si="1"/>
        <v>0</v>
      </c>
      <c r="Y45" s="26">
        <f>Q45/0.8</f>
        <v>100</v>
      </c>
      <c r="Z45" s="12">
        <f t="shared" si="2"/>
        <v>0</v>
      </c>
      <c r="AA45" s="4" t="s">
        <v>10</v>
      </c>
      <c r="AB45" s="11">
        <f>IFERROR(VLOOKUP(AA45,Curr!$B$2:$C$13,2,FALSE),0)</f>
        <v>11.3</v>
      </c>
      <c r="AC45" s="12">
        <f t="shared" si="3"/>
        <v>0</v>
      </c>
      <c r="AD45" s="12">
        <f t="shared" si="4"/>
        <v>0</v>
      </c>
      <c r="AE45" s="13">
        <f t="shared" si="5"/>
        <v>0</v>
      </c>
    </row>
    <row r="46" spans="2:31" x14ac:dyDescent="0.25">
      <c r="B46" s="4"/>
      <c r="C46" s="1" t="s">
        <v>77</v>
      </c>
      <c r="D46" s="1" t="s">
        <v>112</v>
      </c>
      <c r="E46" s="3"/>
      <c r="F46" s="3"/>
      <c r="G46" s="24"/>
      <c r="H46" s="24"/>
      <c r="J46" s="1" t="s">
        <v>115</v>
      </c>
      <c r="K46" s="4"/>
      <c r="L46" s="4"/>
      <c r="M46" s="4"/>
      <c r="N46" s="4"/>
      <c r="O46" s="4"/>
      <c r="P46" s="33"/>
      <c r="Q46" s="25">
        <v>40</v>
      </c>
      <c r="R46" s="25">
        <v>0</v>
      </c>
      <c r="S46" s="12">
        <f t="shared" si="0"/>
        <v>0</v>
      </c>
      <c r="T46" s="5">
        <v>0</v>
      </c>
      <c r="U46" s="12">
        <f t="shared" si="6"/>
        <v>0</v>
      </c>
      <c r="V46" s="25" t="s">
        <v>10</v>
      </c>
      <c r="W46" s="11">
        <f>IFERROR(VLOOKUP(V46,[1]Curr!$B$2:$C$13,2,FALSE),0)</f>
        <v>11.3</v>
      </c>
      <c r="X46" s="12">
        <f t="shared" si="1"/>
        <v>0</v>
      </c>
      <c r="Y46" s="26">
        <f>Q46/0.67</f>
        <v>59.701492537313428</v>
      </c>
      <c r="Z46" s="12">
        <f t="shared" si="2"/>
        <v>0</v>
      </c>
      <c r="AA46" s="4" t="s">
        <v>10</v>
      </c>
      <c r="AB46" s="11">
        <f>IFERROR(VLOOKUP(AA46,Curr!$B$2:$C$13,2,FALSE),0)</f>
        <v>11.3</v>
      </c>
      <c r="AC46" s="12">
        <f t="shared" si="3"/>
        <v>0</v>
      </c>
      <c r="AD46" s="12">
        <f t="shared" si="4"/>
        <v>0</v>
      </c>
      <c r="AE46" s="13">
        <f t="shared" si="5"/>
        <v>0</v>
      </c>
    </row>
    <row r="47" spans="2:31" x14ac:dyDescent="0.25">
      <c r="B47" s="4"/>
      <c r="C47" s="1" t="s">
        <v>82</v>
      </c>
      <c r="D47" s="1" t="s">
        <v>112</v>
      </c>
      <c r="E47" s="3"/>
      <c r="F47" s="3"/>
      <c r="G47" s="24"/>
      <c r="H47" s="24"/>
      <c r="J47" s="1" t="s">
        <v>116</v>
      </c>
      <c r="K47" s="4"/>
      <c r="L47" s="4"/>
      <c r="M47" s="4"/>
      <c r="N47" s="4"/>
      <c r="O47" s="4"/>
      <c r="P47" s="27"/>
      <c r="Q47" s="25">
        <v>40</v>
      </c>
      <c r="R47" s="25">
        <v>0</v>
      </c>
      <c r="S47" s="12">
        <f t="shared" si="0"/>
        <v>0</v>
      </c>
      <c r="T47" s="5">
        <v>0</v>
      </c>
      <c r="U47" s="12">
        <f t="shared" si="6"/>
        <v>0</v>
      </c>
      <c r="V47" s="25" t="s">
        <v>10</v>
      </c>
      <c r="W47" s="11">
        <f>IFERROR(VLOOKUP(V47,[1]Curr!$B$2:$C$13,2,FALSE),0)</f>
        <v>11.3</v>
      </c>
      <c r="X47" s="12">
        <f t="shared" si="1"/>
        <v>0</v>
      </c>
      <c r="Y47" s="26">
        <f>Q47/0.67</f>
        <v>59.701492537313428</v>
      </c>
      <c r="Z47" s="12">
        <f t="shared" si="2"/>
        <v>0</v>
      </c>
      <c r="AA47" s="4" t="s">
        <v>10</v>
      </c>
      <c r="AB47" s="11">
        <f>IFERROR(VLOOKUP(AA47,Curr!$B$2:$C$13,2,FALSE),0)</f>
        <v>11.3</v>
      </c>
      <c r="AC47" s="12">
        <f t="shared" si="3"/>
        <v>0</v>
      </c>
      <c r="AD47" s="12">
        <f t="shared" si="4"/>
        <v>0</v>
      </c>
      <c r="AE47" s="13">
        <f t="shared" si="5"/>
        <v>0</v>
      </c>
    </row>
    <row r="48" spans="2:31" x14ac:dyDescent="0.25">
      <c r="B48" s="4"/>
      <c r="C48" s="1" t="s">
        <v>84</v>
      </c>
      <c r="D48" s="1" t="s">
        <v>112</v>
      </c>
      <c r="E48" s="3"/>
      <c r="F48" s="3"/>
      <c r="G48" s="24"/>
      <c r="H48" s="24"/>
      <c r="J48" s="1" t="s">
        <v>132</v>
      </c>
      <c r="K48" s="4"/>
      <c r="L48" s="4"/>
      <c r="M48" s="4"/>
      <c r="N48" s="4"/>
      <c r="O48" s="4"/>
      <c r="P48" s="27"/>
      <c r="Q48" s="25">
        <v>900</v>
      </c>
      <c r="R48" s="25">
        <v>0</v>
      </c>
      <c r="S48" s="12">
        <f t="shared" si="0"/>
        <v>0</v>
      </c>
      <c r="T48" s="5">
        <v>0</v>
      </c>
      <c r="U48" s="12">
        <f t="shared" si="6"/>
        <v>0</v>
      </c>
      <c r="V48" s="25" t="s">
        <v>8</v>
      </c>
      <c r="W48" s="11">
        <f>IFERROR(VLOOKUP(V48,[1]Curr!$B$2:$C$13,2,FALSE),0)</f>
        <v>1</v>
      </c>
      <c r="X48" s="12">
        <f t="shared" si="1"/>
        <v>0</v>
      </c>
      <c r="Y48" s="26">
        <f>Q48/11.3/0.8</f>
        <v>99.55752212389379</v>
      </c>
      <c r="Z48" s="12">
        <f t="shared" si="2"/>
        <v>0</v>
      </c>
      <c r="AA48" s="4" t="s">
        <v>10</v>
      </c>
      <c r="AB48" s="11">
        <f>IFERROR(VLOOKUP(AA48,Curr!$B$2:$C$13,2,FALSE),0)</f>
        <v>11.3</v>
      </c>
      <c r="AC48" s="12">
        <f t="shared" si="3"/>
        <v>0</v>
      </c>
      <c r="AD48" s="12">
        <f t="shared" si="4"/>
        <v>0</v>
      </c>
      <c r="AE48" s="13">
        <f t="shared" si="5"/>
        <v>0</v>
      </c>
    </row>
    <row r="49" spans="2:31" x14ac:dyDescent="0.25">
      <c r="B49" s="4"/>
      <c r="C49" s="1" t="s">
        <v>127</v>
      </c>
      <c r="D49" s="1" t="s">
        <v>112</v>
      </c>
      <c r="E49" s="3"/>
      <c r="F49" s="3"/>
      <c r="G49" s="24"/>
      <c r="H49" s="24"/>
      <c r="J49" s="1" t="s">
        <v>131</v>
      </c>
      <c r="K49" s="4"/>
      <c r="L49" s="4"/>
      <c r="M49" s="4"/>
      <c r="N49" s="4"/>
      <c r="O49" s="4"/>
      <c r="P49" s="33"/>
      <c r="Q49" s="25">
        <v>900</v>
      </c>
      <c r="R49" s="25">
        <v>0</v>
      </c>
      <c r="S49" s="12">
        <f t="shared" si="0"/>
        <v>0</v>
      </c>
      <c r="T49" s="5">
        <v>0</v>
      </c>
      <c r="U49" s="12">
        <f t="shared" si="6"/>
        <v>0</v>
      </c>
      <c r="V49" s="25" t="s">
        <v>10</v>
      </c>
      <c r="W49" s="11">
        <f>IFERROR(VLOOKUP(V49,[1]Curr!$B$2:$C$13,2,FALSE),0)</f>
        <v>11.3</v>
      </c>
      <c r="X49" s="12">
        <f t="shared" si="1"/>
        <v>0</v>
      </c>
      <c r="Y49" s="26">
        <f t="shared" si="8"/>
        <v>900</v>
      </c>
      <c r="Z49" s="12">
        <f t="shared" si="2"/>
        <v>0</v>
      </c>
      <c r="AA49" s="4" t="s">
        <v>10</v>
      </c>
      <c r="AB49" s="11">
        <f>IFERROR(VLOOKUP(AA49,Curr!$B$2:$C$13,2,FALSE),0)</f>
        <v>11.3</v>
      </c>
      <c r="AC49" s="12">
        <f t="shared" si="3"/>
        <v>0</v>
      </c>
      <c r="AD49" s="12">
        <f t="shared" si="4"/>
        <v>0</v>
      </c>
      <c r="AE49" s="13">
        <f t="shared" si="5"/>
        <v>0</v>
      </c>
    </row>
    <row r="50" spans="2:31" x14ac:dyDescent="0.25">
      <c r="B50" s="4"/>
      <c r="E50" s="3"/>
      <c r="F50" s="3"/>
      <c r="G50" s="24"/>
      <c r="H50" s="24"/>
      <c r="K50" s="4"/>
      <c r="L50" s="4"/>
      <c r="M50" s="4"/>
      <c r="N50" s="4"/>
      <c r="O50" s="4"/>
      <c r="P50" s="27"/>
      <c r="Q50" s="25"/>
      <c r="R50" s="25"/>
      <c r="S50" s="12">
        <f t="shared" si="0"/>
        <v>0</v>
      </c>
      <c r="T50" s="5">
        <v>0</v>
      </c>
      <c r="U50" s="12">
        <f t="shared" si="6"/>
        <v>0</v>
      </c>
      <c r="V50" s="25" t="s">
        <v>10</v>
      </c>
      <c r="W50" s="11">
        <f>IFERROR(VLOOKUP(V50,[1]Curr!$B$2:$C$13,2,FALSE),0)</f>
        <v>11.3</v>
      </c>
      <c r="X50" s="12">
        <f t="shared" si="1"/>
        <v>0</v>
      </c>
      <c r="Y50" s="26">
        <f t="shared" si="8"/>
        <v>0</v>
      </c>
      <c r="Z50" s="12">
        <f t="shared" si="2"/>
        <v>0</v>
      </c>
      <c r="AA50" s="4" t="s">
        <v>10</v>
      </c>
      <c r="AB50" s="11">
        <f>IFERROR(VLOOKUP(AA50,Curr!$B$2:$C$13,2,FALSE),0)</f>
        <v>11.3</v>
      </c>
      <c r="AC50" s="12">
        <f t="shared" si="3"/>
        <v>0</v>
      </c>
      <c r="AD50" s="12">
        <f t="shared" si="4"/>
        <v>0</v>
      </c>
      <c r="AE50" s="13">
        <f t="shared" si="5"/>
        <v>0</v>
      </c>
    </row>
    <row r="51" spans="2:31" x14ac:dyDescent="0.25">
      <c r="B51" s="4"/>
      <c r="E51" s="3"/>
      <c r="F51" s="3"/>
      <c r="G51" s="24"/>
      <c r="H51" s="24"/>
      <c r="K51" s="4"/>
      <c r="L51" s="4"/>
      <c r="M51" s="4"/>
      <c r="N51" s="4"/>
      <c r="O51" s="4"/>
      <c r="P51" s="27"/>
      <c r="Q51" s="25"/>
      <c r="R51" s="25"/>
      <c r="S51" s="12">
        <f t="shared" si="0"/>
        <v>0</v>
      </c>
      <c r="T51" s="5">
        <v>0</v>
      </c>
      <c r="U51" s="12">
        <f t="shared" si="6"/>
        <v>0</v>
      </c>
      <c r="V51" s="25" t="s">
        <v>10</v>
      </c>
      <c r="W51" s="11">
        <f>IFERROR(VLOOKUP(V51,[1]Curr!$B$2:$C$13,2,FALSE),0)</f>
        <v>11.3</v>
      </c>
      <c r="X51" s="12">
        <f t="shared" si="1"/>
        <v>0</v>
      </c>
      <c r="Y51" s="26">
        <f t="shared" si="8"/>
        <v>0</v>
      </c>
      <c r="Z51" s="12">
        <f t="shared" si="2"/>
        <v>0</v>
      </c>
      <c r="AA51" s="4" t="s">
        <v>10</v>
      </c>
      <c r="AB51" s="11">
        <f>IFERROR(VLOOKUP(AA51,Curr!$B$2:$C$13,2,FALSE),0)</f>
        <v>11.3</v>
      </c>
      <c r="AC51" s="12">
        <f t="shared" si="3"/>
        <v>0</v>
      </c>
      <c r="AD51" s="12">
        <f t="shared" si="4"/>
        <v>0</v>
      </c>
      <c r="AE51" s="13">
        <f t="shared" si="5"/>
        <v>0</v>
      </c>
    </row>
    <row r="52" spans="2:31" x14ac:dyDescent="0.25">
      <c r="B52" s="4"/>
      <c r="C52" s="1" t="s">
        <v>76</v>
      </c>
      <c r="D52" s="1" t="s">
        <v>183</v>
      </c>
      <c r="E52" s="3"/>
      <c r="F52" s="3"/>
      <c r="G52" s="24"/>
      <c r="H52" s="24"/>
      <c r="J52" s="1" t="s">
        <v>190</v>
      </c>
      <c r="K52" s="4"/>
      <c r="L52" s="4"/>
      <c r="M52" s="4"/>
      <c r="N52" s="4"/>
      <c r="O52" s="4" t="s">
        <v>42</v>
      </c>
      <c r="P52" s="29" t="s">
        <v>191</v>
      </c>
      <c r="Q52" s="25">
        <f>(40+40)+(50*2)</f>
        <v>180</v>
      </c>
      <c r="R52" s="25">
        <v>0</v>
      </c>
      <c r="S52" s="12">
        <f t="shared" si="0"/>
        <v>0</v>
      </c>
      <c r="T52" s="5">
        <v>0</v>
      </c>
      <c r="U52" s="12">
        <f t="shared" si="6"/>
        <v>0</v>
      </c>
      <c r="V52" s="25" t="s">
        <v>10</v>
      </c>
      <c r="W52" s="11">
        <f>IFERROR(VLOOKUP(V52,[1]Curr!$B$2:$C$13,2,FALSE),0)</f>
        <v>11.3</v>
      </c>
      <c r="X52" s="12">
        <f t="shared" si="1"/>
        <v>0</v>
      </c>
      <c r="Y52" s="26">
        <f>Q52/0.8</f>
        <v>225</v>
      </c>
      <c r="Z52" s="12">
        <f t="shared" si="2"/>
        <v>0</v>
      </c>
      <c r="AA52" s="4" t="s">
        <v>10</v>
      </c>
      <c r="AB52" s="11">
        <f>IFERROR(VLOOKUP(AA52,Curr!$B$2:$C$13,2,FALSE),0)</f>
        <v>11.3</v>
      </c>
      <c r="AC52" s="12">
        <f t="shared" si="3"/>
        <v>0</v>
      </c>
      <c r="AD52" s="12">
        <f t="shared" si="4"/>
        <v>0</v>
      </c>
      <c r="AE52" s="13">
        <f t="shared" si="5"/>
        <v>0</v>
      </c>
    </row>
    <row r="53" spans="2:31" x14ac:dyDescent="0.25">
      <c r="B53" s="4"/>
      <c r="C53" s="1" t="s">
        <v>76</v>
      </c>
      <c r="D53" s="1" t="s">
        <v>183</v>
      </c>
      <c r="E53" s="3"/>
      <c r="F53" s="3"/>
      <c r="G53" s="24"/>
      <c r="H53" s="24"/>
      <c r="J53" s="1" t="s">
        <v>192</v>
      </c>
      <c r="K53" s="4"/>
      <c r="L53" s="4"/>
      <c r="M53" s="4"/>
      <c r="N53" s="4"/>
      <c r="O53" s="4" t="s">
        <v>42</v>
      </c>
      <c r="P53" s="33" t="s">
        <v>193</v>
      </c>
      <c r="Q53" s="25">
        <v>25</v>
      </c>
      <c r="R53" s="25">
        <v>0</v>
      </c>
      <c r="S53" s="12">
        <f t="shared" si="0"/>
        <v>0</v>
      </c>
      <c r="T53" s="5">
        <v>0</v>
      </c>
      <c r="U53" s="12">
        <f t="shared" si="6"/>
        <v>0</v>
      </c>
      <c r="V53" s="25" t="s">
        <v>10</v>
      </c>
      <c r="W53" s="11">
        <f>IFERROR(VLOOKUP(V53,[1]Curr!$B$2:$C$13,2,FALSE),0)</f>
        <v>11.3</v>
      </c>
      <c r="X53" s="12">
        <f t="shared" si="1"/>
        <v>0</v>
      </c>
      <c r="Y53" s="26">
        <f>Q53/0.62</f>
        <v>40.322580645161288</v>
      </c>
      <c r="Z53" s="12">
        <f t="shared" si="2"/>
        <v>0</v>
      </c>
      <c r="AA53" s="4" t="s">
        <v>10</v>
      </c>
      <c r="AB53" s="11">
        <f>IFERROR(VLOOKUP(AA53,Curr!$B$2:$C$13,2,FALSE),0)</f>
        <v>11.3</v>
      </c>
      <c r="AC53" s="12">
        <f t="shared" si="3"/>
        <v>0</v>
      </c>
      <c r="AD53" s="12">
        <f t="shared" si="4"/>
        <v>0</v>
      </c>
      <c r="AE53" s="13">
        <f t="shared" si="5"/>
        <v>0</v>
      </c>
    </row>
    <row r="54" spans="2:31" x14ac:dyDescent="0.25">
      <c r="B54" s="4"/>
      <c r="C54" s="1" t="s">
        <v>78</v>
      </c>
      <c r="D54" s="1" t="s">
        <v>183</v>
      </c>
      <c r="E54" s="3"/>
      <c r="F54" s="3"/>
      <c r="G54" s="24"/>
      <c r="H54" s="24"/>
      <c r="J54" s="1" t="s">
        <v>184</v>
      </c>
      <c r="K54" s="4"/>
      <c r="L54" s="4"/>
      <c r="M54" s="4"/>
      <c r="N54" s="4"/>
      <c r="O54" s="4" t="s">
        <v>42</v>
      </c>
      <c r="P54" s="33" t="s">
        <v>185</v>
      </c>
      <c r="Q54" s="25">
        <v>252</v>
      </c>
      <c r="R54" s="25">
        <v>0</v>
      </c>
      <c r="S54" s="12">
        <f t="shared" si="0"/>
        <v>0</v>
      </c>
      <c r="T54" s="5">
        <v>0.2</v>
      </c>
      <c r="U54" s="12">
        <f t="shared" si="6"/>
        <v>0</v>
      </c>
      <c r="V54" s="25" t="s">
        <v>10</v>
      </c>
      <c r="W54" s="11">
        <f>IFERROR(VLOOKUP(V54,[1]Curr!$B$2:$C$13,2,FALSE),0)</f>
        <v>11.3</v>
      </c>
      <c r="X54" s="12">
        <f t="shared" si="1"/>
        <v>0</v>
      </c>
      <c r="Y54" s="26">
        <f t="shared" ref="Y54" si="11">Q54</f>
        <v>252</v>
      </c>
      <c r="Z54" s="12">
        <f t="shared" si="2"/>
        <v>0</v>
      </c>
      <c r="AA54" s="4" t="s">
        <v>10</v>
      </c>
      <c r="AB54" s="11">
        <f>IFERROR(VLOOKUP(AA54,Curr!$B$2:$C$13,2,FALSE),0)</f>
        <v>11.3</v>
      </c>
      <c r="AC54" s="12">
        <f t="shared" si="3"/>
        <v>0</v>
      </c>
      <c r="AD54" s="12">
        <f t="shared" si="4"/>
        <v>0</v>
      </c>
      <c r="AE54" s="13">
        <f t="shared" si="5"/>
        <v>0</v>
      </c>
    </row>
    <row r="55" spans="2:31" x14ac:dyDescent="0.25">
      <c r="B55" s="4"/>
      <c r="C55" s="1" t="s">
        <v>83</v>
      </c>
      <c r="D55" s="1" t="s">
        <v>183</v>
      </c>
      <c r="E55" s="3"/>
      <c r="F55" s="3"/>
      <c r="G55" s="24"/>
      <c r="H55" s="24"/>
      <c r="J55" s="1" t="s">
        <v>188</v>
      </c>
      <c r="K55" s="4"/>
      <c r="L55" s="4"/>
      <c r="M55" s="4"/>
      <c r="N55" s="4"/>
      <c r="O55" s="4" t="s">
        <v>42</v>
      </c>
      <c r="P55" s="33" t="s">
        <v>189</v>
      </c>
      <c r="Q55" s="25">
        <v>2195</v>
      </c>
      <c r="R55" s="25">
        <v>0</v>
      </c>
      <c r="S55" s="12">
        <f t="shared" si="0"/>
        <v>0</v>
      </c>
      <c r="T55" s="5">
        <v>0.2</v>
      </c>
      <c r="U55" s="12">
        <f t="shared" si="6"/>
        <v>0</v>
      </c>
      <c r="V55" s="25" t="s">
        <v>8</v>
      </c>
      <c r="W55" s="11">
        <f>IFERROR(VLOOKUP(V55,[1]Curr!$B$2:$C$13,2,FALSE),0)</f>
        <v>1</v>
      </c>
      <c r="X55" s="12">
        <f t="shared" si="1"/>
        <v>0</v>
      </c>
      <c r="Y55" s="26">
        <f t="shared" ref="Y55" si="12">Q55/11.3</f>
        <v>194.24778761061947</v>
      </c>
      <c r="Z55" s="12">
        <f t="shared" si="2"/>
        <v>0</v>
      </c>
      <c r="AA55" s="4" t="s">
        <v>10</v>
      </c>
      <c r="AB55" s="11">
        <f>IFERROR(VLOOKUP(AA55,Curr!$B$2:$C$13,2,FALSE),0)</f>
        <v>11.3</v>
      </c>
      <c r="AC55" s="12">
        <f t="shared" si="3"/>
        <v>0</v>
      </c>
      <c r="AD55" s="12">
        <f t="shared" si="4"/>
        <v>0</v>
      </c>
      <c r="AE55" s="13">
        <f t="shared" si="5"/>
        <v>0</v>
      </c>
    </row>
    <row r="56" spans="2:31" x14ac:dyDescent="0.25">
      <c r="B56" s="4"/>
      <c r="E56" s="3"/>
      <c r="F56" s="3"/>
      <c r="G56" s="24"/>
      <c r="H56" s="24"/>
      <c r="K56" s="4"/>
      <c r="L56" s="4"/>
      <c r="M56" s="4"/>
      <c r="N56" s="4"/>
      <c r="O56" s="4"/>
      <c r="P56" s="27"/>
      <c r="Q56" s="25"/>
      <c r="R56" s="25"/>
      <c r="S56" s="12">
        <f t="shared" si="0"/>
        <v>0</v>
      </c>
      <c r="T56" s="5">
        <v>0</v>
      </c>
      <c r="U56" s="12">
        <f t="shared" si="6"/>
        <v>0</v>
      </c>
      <c r="V56" s="25" t="s">
        <v>10</v>
      </c>
      <c r="W56" s="11">
        <f>IFERROR(VLOOKUP(V56,[1]Curr!$B$2:$C$13,2,FALSE),0)</f>
        <v>11.3</v>
      </c>
      <c r="X56" s="12">
        <f t="shared" si="1"/>
        <v>0</v>
      </c>
      <c r="Y56" s="26">
        <f t="shared" si="8"/>
        <v>0</v>
      </c>
      <c r="Z56" s="12">
        <f t="shared" si="2"/>
        <v>0</v>
      </c>
      <c r="AA56" s="4" t="s">
        <v>10</v>
      </c>
      <c r="AB56" s="11">
        <f>IFERROR(VLOOKUP(AA56,Curr!$B$2:$C$13,2,FALSE),0)</f>
        <v>11.3</v>
      </c>
      <c r="AC56" s="12">
        <f t="shared" si="3"/>
        <v>0</v>
      </c>
      <c r="AD56" s="12">
        <f t="shared" si="4"/>
        <v>0</v>
      </c>
      <c r="AE56" s="13">
        <f t="shared" si="5"/>
        <v>0</v>
      </c>
    </row>
    <row r="57" spans="2:31" x14ac:dyDescent="0.25">
      <c r="B57" s="4"/>
      <c r="E57" s="3"/>
      <c r="F57" s="3"/>
      <c r="G57" s="24"/>
      <c r="H57" s="24"/>
      <c r="K57" s="4"/>
      <c r="L57" s="4"/>
      <c r="M57" s="4"/>
      <c r="N57" s="4"/>
      <c r="O57" s="4"/>
      <c r="P57" s="27"/>
      <c r="Q57" s="25"/>
      <c r="R57" s="25"/>
      <c r="S57" s="12">
        <f t="shared" si="0"/>
        <v>0</v>
      </c>
      <c r="T57" s="5">
        <v>0</v>
      </c>
      <c r="U57" s="12">
        <f t="shared" si="6"/>
        <v>0</v>
      </c>
      <c r="V57" s="25" t="s">
        <v>10</v>
      </c>
      <c r="W57" s="11">
        <f>IFERROR(VLOOKUP(V57,[1]Curr!$B$2:$C$13,2,FALSE),0)</f>
        <v>11.3</v>
      </c>
      <c r="X57" s="12">
        <f t="shared" si="1"/>
        <v>0</v>
      </c>
      <c r="Y57" s="26">
        <f t="shared" si="8"/>
        <v>0</v>
      </c>
      <c r="Z57" s="12">
        <f t="shared" si="2"/>
        <v>0</v>
      </c>
      <c r="AA57" s="4" t="s">
        <v>10</v>
      </c>
      <c r="AB57" s="11">
        <f>IFERROR(VLOOKUP(AA57,Curr!$B$2:$C$13,2,FALSE),0)</f>
        <v>11.3</v>
      </c>
      <c r="AC57" s="12">
        <f t="shared" si="3"/>
        <v>0</v>
      </c>
      <c r="AD57" s="12">
        <f t="shared" si="4"/>
        <v>0</v>
      </c>
      <c r="AE57" s="13">
        <f t="shared" si="5"/>
        <v>0</v>
      </c>
    </row>
    <row r="58" spans="2:31" x14ac:dyDescent="0.25">
      <c r="B58" s="4"/>
      <c r="E58" s="3"/>
      <c r="F58" s="3"/>
      <c r="G58" s="24"/>
      <c r="H58" s="24"/>
      <c r="K58" s="4"/>
      <c r="L58" s="4"/>
      <c r="M58" s="4"/>
      <c r="N58" s="4"/>
      <c r="O58" s="4"/>
      <c r="P58" s="27"/>
      <c r="Q58" s="25"/>
      <c r="R58" s="25"/>
      <c r="S58" s="12">
        <f t="shared" si="0"/>
        <v>0</v>
      </c>
      <c r="T58" s="5">
        <v>0</v>
      </c>
      <c r="U58" s="12">
        <f t="shared" si="6"/>
        <v>0</v>
      </c>
      <c r="V58" s="25" t="s">
        <v>10</v>
      </c>
      <c r="W58" s="11">
        <f>IFERROR(VLOOKUP(V58,[1]Curr!$B$2:$C$13,2,FALSE),0)</f>
        <v>11.3</v>
      </c>
      <c r="X58" s="12">
        <f t="shared" si="1"/>
        <v>0</v>
      </c>
      <c r="Y58" s="26">
        <f t="shared" si="8"/>
        <v>0</v>
      </c>
      <c r="Z58" s="12">
        <f t="shared" si="2"/>
        <v>0</v>
      </c>
      <c r="AA58" s="4" t="s">
        <v>10</v>
      </c>
      <c r="AB58" s="11">
        <f>IFERROR(VLOOKUP(AA58,Curr!$B$2:$C$13,2,FALSE),0)</f>
        <v>11.3</v>
      </c>
      <c r="AC58" s="12">
        <f t="shared" si="3"/>
        <v>0</v>
      </c>
      <c r="AD58" s="12">
        <f t="shared" si="4"/>
        <v>0</v>
      </c>
      <c r="AE58" s="13">
        <f t="shared" si="5"/>
        <v>0</v>
      </c>
    </row>
    <row r="59" spans="2:31" x14ac:dyDescent="0.25">
      <c r="B59" s="4"/>
      <c r="E59" s="3"/>
      <c r="F59" s="3"/>
      <c r="G59" s="24"/>
      <c r="H59" s="24"/>
      <c r="K59" s="4"/>
      <c r="L59" s="4"/>
      <c r="M59" s="4"/>
      <c r="N59" s="4"/>
      <c r="O59" s="4"/>
      <c r="P59" s="27"/>
      <c r="Q59" s="25"/>
      <c r="R59" s="25"/>
      <c r="S59" s="12">
        <f t="shared" si="0"/>
        <v>0</v>
      </c>
      <c r="T59" s="5">
        <v>0</v>
      </c>
      <c r="U59" s="12">
        <f t="shared" si="6"/>
        <v>0</v>
      </c>
      <c r="V59" s="25" t="s">
        <v>10</v>
      </c>
      <c r="W59" s="11">
        <f>IFERROR(VLOOKUP(V59,[1]Curr!$B$2:$C$13,2,FALSE),0)</f>
        <v>11.3</v>
      </c>
      <c r="X59" s="12">
        <f t="shared" si="1"/>
        <v>0</v>
      </c>
      <c r="Y59" s="26">
        <f t="shared" si="8"/>
        <v>0</v>
      </c>
      <c r="Z59" s="12">
        <f t="shared" si="2"/>
        <v>0</v>
      </c>
      <c r="AA59" s="4" t="s">
        <v>10</v>
      </c>
      <c r="AB59" s="11">
        <f>IFERROR(VLOOKUP(AA59,Curr!$B$2:$C$13,2,FALSE),0)</f>
        <v>11.3</v>
      </c>
      <c r="AC59" s="12">
        <f t="shared" si="3"/>
        <v>0</v>
      </c>
      <c r="AD59" s="12">
        <f t="shared" si="4"/>
        <v>0</v>
      </c>
      <c r="AE59" s="13">
        <f t="shared" si="5"/>
        <v>0</v>
      </c>
    </row>
    <row r="60" spans="2:31" x14ac:dyDescent="0.25">
      <c r="B60" s="4"/>
      <c r="E60" s="3"/>
      <c r="F60" s="3"/>
      <c r="G60" s="24"/>
      <c r="H60" s="24"/>
      <c r="K60" s="4"/>
      <c r="L60" s="4"/>
      <c r="M60" s="4"/>
      <c r="N60" s="4"/>
      <c r="O60" s="4"/>
      <c r="P60" s="27"/>
      <c r="Q60" s="25"/>
      <c r="R60" s="25"/>
      <c r="S60" s="12">
        <f t="shared" si="0"/>
        <v>0</v>
      </c>
      <c r="T60" s="5">
        <v>0</v>
      </c>
      <c r="U60" s="12">
        <f t="shared" si="6"/>
        <v>0</v>
      </c>
      <c r="V60" s="25" t="s">
        <v>10</v>
      </c>
      <c r="W60" s="11">
        <f>IFERROR(VLOOKUP(V60,[1]Curr!$B$2:$C$13,2,FALSE),0)</f>
        <v>11.3</v>
      </c>
      <c r="X60" s="12">
        <f t="shared" si="1"/>
        <v>0</v>
      </c>
      <c r="Y60" s="26">
        <f t="shared" si="8"/>
        <v>0</v>
      </c>
      <c r="Z60" s="12">
        <f t="shared" si="2"/>
        <v>0</v>
      </c>
      <c r="AA60" s="4" t="s">
        <v>10</v>
      </c>
      <c r="AB60" s="11">
        <f>IFERROR(VLOOKUP(AA60,Curr!$B$2:$C$13,2,FALSE),0)</f>
        <v>11.3</v>
      </c>
      <c r="AC60" s="12">
        <f t="shared" si="3"/>
        <v>0</v>
      </c>
      <c r="AD60" s="12">
        <f t="shared" si="4"/>
        <v>0</v>
      </c>
      <c r="AE60" s="13">
        <f t="shared" si="5"/>
        <v>0</v>
      </c>
    </row>
    <row r="61" spans="2:31" x14ac:dyDescent="0.25">
      <c r="B61" s="4"/>
      <c r="E61" s="3"/>
      <c r="F61" s="3"/>
      <c r="G61" s="24"/>
      <c r="H61" s="24"/>
      <c r="K61" s="4"/>
      <c r="L61" s="4"/>
      <c r="M61" s="4"/>
      <c r="N61" s="4"/>
      <c r="O61" s="4"/>
      <c r="P61" s="27"/>
      <c r="Q61" s="25"/>
      <c r="R61" s="25"/>
      <c r="S61" s="12">
        <f t="shared" si="0"/>
        <v>0</v>
      </c>
      <c r="T61" s="5">
        <v>0</v>
      </c>
      <c r="U61" s="12">
        <f t="shared" si="6"/>
        <v>0</v>
      </c>
      <c r="V61" s="25" t="s">
        <v>10</v>
      </c>
      <c r="W61" s="11">
        <f>IFERROR(VLOOKUP(V61,[1]Curr!$B$2:$C$13,2,FALSE),0)</f>
        <v>11.3</v>
      </c>
      <c r="X61" s="12">
        <f t="shared" si="1"/>
        <v>0</v>
      </c>
      <c r="Y61" s="26">
        <f t="shared" si="8"/>
        <v>0</v>
      </c>
      <c r="Z61" s="12">
        <f t="shared" si="2"/>
        <v>0</v>
      </c>
      <c r="AA61" s="4" t="s">
        <v>10</v>
      </c>
      <c r="AB61" s="11">
        <f>IFERROR(VLOOKUP(AA61,Curr!$B$2:$C$13,2,FALSE),0)</f>
        <v>11.3</v>
      </c>
      <c r="AC61" s="12">
        <f t="shared" si="3"/>
        <v>0</v>
      </c>
      <c r="AD61" s="12">
        <f t="shared" si="4"/>
        <v>0</v>
      </c>
      <c r="AE61" s="13">
        <f t="shared" si="5"/>
        <v>0</v>
      </c>
    </row>
    <row r="62" spans="2:31" x14ac:dyDescent="0.25">
      <c r="B62" s="4"/>
      <c r="E62" s="3"/>
      <c r="F62" s="3"/>
      <c r="G62" s="24"/>
      <c r="H62" s="24"/>
      <c r="K62" s="4"/>
      <c r="L62" s="4"/>
      <c r="M62" s="4"/>
      <c r="N62" s="4"/>
      <c r="O62" s="4"/>
      <c r="P62" s="27"/>
      <c r="Q62" s="25"/>
      <c r="R62" s="25"/>
      <c r="S62" s="12">
        <f t="shared" si="0"/>
        <v>0</v>
      </c>
      <c r="T62" s="5">
        <v>0</v>
      </c>
      <c r="U62" s="12">
        <f t="shared" si="6"/>
        <v>0</v>
      </c>
      <c r="V62" s="25" t="s">
        <v>10</v>
      </c>
      <c r="W62" s="11">
        <f>IFERROR(VLOOKUP(V62,[1]Curr!$B$2:$C$13,2,FALSE),0)</f>
        <v>11.3</v>
      </c>
      <c r="X62" s="12">
        <f t="shared" si="1"/>
        <v>0</v>
      </c>
      <c r="Y62" s="26">
        <f t="shared" si="8"/>
        <v>0</v>
      </c>
      <c r="Z62" s="12">
        <f t="shared" si="2"/>
        <v>0</v>
      </c>
      <c r="AA62" s="4" t="s">
        <v>10</v>
      </c>
      <c r="AB62" s="11">
        <f>IFERROR(VLOOKUP(AA62,Curr!$B$2:$C$13,2,FALSE),0)</f>
        <v>11.3</v>
      </c>
      <c r="AC62" s="12">
        <f t="shared" si="3"/>
        <v>0</v>
      </c>
      <c r="AD62" s="12">
        <f t="shared" si="4"/>
        <v>0</v>
      </c>
      <c r="AE62" s="13">
        <f t="shared" si="5"/>
        <v>0</v>
      </c>
    </row>
    <row r="63" spans="2:31" x14ac:dyDescent="0.25">
      <c r="B63" s="4"/>
      <c r="E63" s="3"/>
      <c r="F63" s="3"/>
      <c r="G63" s="24"/>
      <c r="H63" s="24"/>
      <c r="K63" s="4"/>
      <c r="L63" s="4"/>
      <c r="M63" s="4"/>
      <c r="N63" s="4"/>
      <c r="O63" s="4"/>
      <c r="P63" s="27"/>
      <c r="Q63" s="25"/>
      <c r="R63" s="25"/>
      <c r="S63" s="12">
        <f t="shared" si="0"/>
        <v>0</v>
      </c>
      <c r="T63" s="5">
        <v>0</v>
      </c>
      <c r="U63" s="12">
        <f t="shared" si="6"/>
        <v>0</v>
      </c>
      <c r="V63" s="25" t="s">
        <v>10</v>
      </c>
      <c r="W63" s="11">
        <f>IFERROR(VLOOKUP(V63,[1]Curr!$B$2:$C$13,2,FALSE),0)</f>
        <v>11.3</v>
      </c>
      <c r="X63" s="12">
        <f t="shared" si="1"/>
        <v>0</v>
      </c>
      <c r="Y63" s="26">
        <f t="shared" si="8"/>
        <v>0</v>
      </c>
      <c r="Z63" s="12">
        <f t="shared" si="2"/>
        <v>0</v>
      </c>
      <c r="AA63" s="4" t="s">
        <v>10</v>
      </c>
      <c r="AB63" s="11">
        <f>IFERROR(VLOOKUP(AA63,Curr!$B$2:$C$13,2,FALSE),0)</f>
        <v>11.3</v>
      </c>
      <c r="AC63" s="12">
        <f t="shared" si="3"/>
        <v>0</v>
      </c>
      <c r="AD63" s="12">
        <f t="shared" si="4"/>
        <v>0</v>
      </c>
      <c r="AE63" s="13">
        <f t="shared" si="5"/>
        <v>0</v>
      </c>
    </row>
    <row r="64" spans="2:31" x14ac:dyDescent="0.25">
      <c r="B64" s="4"/>
      <c r="E64" s="3"/>
      <c r="F64" s="3"/>
      <c r="G64" s="24"/>
      <c r="H64" s="24"/>
      <c r="K64" s="4"/>
      <c r="L64" s="4"/>
      <c r="M64" s="4"/>
      <c r="N64" s="4"/>
      <c r="O64" s="4"/>
      <c r="P64" s="27"/>
      <c r="Q64" s="25"/>
      <c r="R64" s="25"/>
      <c r="S64" s="12">
        <f t="shared" si="0"/>
        <v>0</v>
      </c>
      <c r="T64" s="5">
        <v>0</v>
      </c>
      <c r="U64" s="12">
        <f t="shared" si="6"/>
        <v>0</v>
      </c>
      <c r="V64" s="25" t="s">
        <v>10</v>
      </c>
      <c r="W64" s="11">
        <f>IFERROR(VLOOKUP(V64,[1]Curr!$B$2:$C$13,2,FALSE),0)</f>
        <v>11.3</v>
      </c>
      <c r="X64" s="12">
        <f t="shared" si="1"/>
        <v>0</v>
      </c>
      <c r="Y64" s="26">
        <f t="shared" si="8"/>
        <v>0</v>
      </c>
      <c r="Z64" s="12">
        <f t="shared" si="2"/>
        <v>0</v>
      </c>
      <c r="AA64" s="4" t="s">
        <v>10</v>
      </c>
      <c r="AB64" s="11">
        <f>IFERROR(VLOOKUP(AA64,Curr!$B$2:$C$13,2,FALSE),0)</f>
        <v>11.3</v>
      </c>
      <c r="AC64" s="12">
        <f t="shared" si="3"/>
        <v>0</v>
      </c>
      <c r="AD64" s="12">
        <f t="shared" si="4"/>
        <v>0</v>
      </c>
      <c r="AE64" s="13">
        <f t="shared" si="5"/>
        <v>0</v>
      </c>
    </row>
    <row r="65" spans="2:36" x14ac:dyDescent="0.25">
      <c r="B65" s="4"/>
      <c r="E65" s="3"/>
      <c r="F65" s="3"/>
      <c r="G65" s="24"/>
      <c r="H65" s="24"/>
      <c r="K65" s="4"/>
      <c r="L65" s="4"/>
      <c r="M65" s="4"/>
      <c r="N65" s="4"/>
      <c r="O65" s="4"/>
      <c r="P65" s="27"/>
      <c r="Q65" s="25"/>
      <c r="R65" s="25"/>
      <c r="S65" s="12">
        <f t="shared" si="0"/>
        <v>0</v>
      </c>
      <c r="T65" s="5">
        <v>0</v>
      </c>
      <c r="U65" s="12">
        <f t="shared" si="6"/>
        <v>0</v>
      </c>
      <c r="V65" s="25" t="s">
        <v>10</v>
      </c>
      <c r="W65" s="11">
        <f>IFERROR(VLOOKUP(V65,[1]Curr!$B$2:$C$13,2,FALSE),0)</f>
        <v>11.3</v>
      </c>
      <c r="X65" s="12">
        <f t="shared" si="1"/>
        <v>0</v>
      </c>
      <c r="Y65" s="26">
        <f t="shared" si="8"/>
        <v>0</v>
      </c>
      <c r="Z65" s="12">
        <f t="shared" si="2"/>
        <v>0</v>
      </c>
      <c r="AA65" s="4" t="s">
        <v>10</v>
      </c>
      <c r="AB65" s="11">
        <f>IFERROR(VLOOKUP(AA65,Curr!$B$2:$C$13,2,FALSE),0)</f>
        <v>11.3</v>
      </c>
      <c r="AC65" s="12">
        <f t="shared" si="3"/>
        <v>0</v>
      </c>
      <c r="AD65" s="12">
        <f t="shared" si="4"/>
        <v>0</v>
      </c>
      <c r="AE65" s="13">
        <f t="shared" si="5"/>
        <v>0</v>
      </c>
    </row>
    <row r="66" spans="2:36" x14ac:dyDescent="0.25">
      <c r="B66" s="4"/>
      <c r="E66" s="3"/>
      <c r="F66" s="3"/>
      <c r="G66" s="24"/>
      <c r="H66" s="24"/>
      <c r="K66" s="4"/>
      <c r="L66" s="4"/>
      <c r="M66" s="4"/>
      <c r="N66" s="4"/>
      <c r="O66" s="4"/>
      <c r="P66" s="27"/>
      <c r="Q66" s="25"/>
      <c r="R66" s="25"/>
      <c r="S66" s="12">
        <f t="shared" si="0"/>
        <v>0</v>
      </c>
      <c r="T66" s="5">
        <v>0</v>
      </c>
      <c r="U66" s="12">
        <f t="shared" si="6"/>
        <v>0</v>
      </c>
      <c r="V66" s="25" t="s">
        <v>10</v>
      </c>
      <c r="W66" s="11">
        <f>IFERROR(VLOOKUP(V66,[1]Curr!$B$2:$C$13,2,FALSE),0)</f>
        <v>11.3</v>
      </c>
      <c r="X66" s="12">
        <f t="shared" si="1"/>
        <v>0</v>
      </c>
      <c r="Y66" s="26">
        <f t="shared" si="8"/>
        <v>0</v>
      </c>
      <c r="Z66" s="12">
        <f t="shared" si="2"/>
        <v>0</v>
      </c>
      <c r="AA66" s="4" t="s">
        <v>10</v>
      </c>
      <c r="AB66" s="11">
        <f>IFERROR(VLOOKUP(AA66,Curr!$B$2:$C$13,2,FALSE),0)</f>
        <v>11.3</v>
      </c>
      <c r="AC66" s="12">
        <f t="shared" si="3"/>
        <v>0</v>
      </c>
      <c r="AD66" s="12">
        <f t="shared" si="4"/>
        <v>0</v>
      </c>
      <c r="AE66" s="13">
        <f t="shared" si="5"/>
        <v>0</v>
      </c>
    </row>
    <row r="67" spans="2:36" x14ac:dyDescent="0.25">
      <c r="B67" s="4"/>
      <c r="E67" s="3"/>
      <c r="F67" s="3"/>
      <c r="G67" s="3"/>
      <c r="H67" s="3"/>
      <c r="L67" s="4"/>
      <c r="M67" s="4"/>
      <c r="N67" s="4"/>
      <c r="O67" s="4"/>
      <c r="P67" s="22"/>
      <c r="Q67" s="4"/>
      <c r="R67" s="4"/>
      <c r="S67" s="4"/>
      <c r="T67" s="4"/>
      <c r="U67" s="4"/>
      <c r="V67" s="4"/>
      <c r="W67" s="4"/>
      <c r="X67" s="4"/>
      <c r="Y67" s="4"/>
      <c r="Z67" s="4"/>
      <c r="AA67" s="4"/>
      <c r="AB67" s="4"/>
      <c r="AC67" s="4"/>
      <c r="AD67" s="4"/>
      <c r="AE67" s="4"/>
      <c r="AF67" s="4"/>
    </row>
    <row r="68" spans="2:36" x14ac:dyDescent="0.25">
      <c r="B68" s="14" t="s">
        <v>18</v>
      </c>
      <c r="C68" s="14"/>
      <c r="D68" s="28" t="s">
        <v>42</v>
      </c>
      <c r="E68" s="30" t="s">
        <v>42</v>
      </c>
      <c r="F68" s="30" t="s">
        <v>42</v>
      </c>
      <c r="G68" s="30" t="s">
        <v>42</v>
      </c>
      <c r="H68" s="30" t="s">
        <v>42</v>
      </c>
      <c r="I68" s="28" t="s">
        <v>42</v>
      </c>
      <c r="J68" s="28" t="s">
        <v>42</v>
      </c>
      <c r="K68" s="28" t="s">
        <v>42</v>
      </c>
      <c r="L68" s="28" t="s">
        <v>42</v>
      </c>
      <c r="M68" s="28" t="s">
        <v>42</v>
      </c>
      <c r="N68" s="28" t="s">
        <v>42</v>
      </c>
      <c r="O68" s="28" t="s">
        <v>42</v>
      </c>
      <c r="P68" s="28" t="s">
        <v>42</v>
      </c>
      <c r="Q68" s="31" t="s">
        <v>42</v>
      </c>
      <c r="R68" s="28" t="s">
        <v>42</v>
      </c>
      <c r="S68" s="32" t="s">
        <v>42</v>
      </c>
      <c r="T68" s="28" t="s">
        <v>42</v>
      </c>
      <c r="U68" s="32" t="s">
        <v>42</v>
      </c>
      <c r="V68" s="28" t="s">
        <v>42</v>
      </c>
      <c r="W68" s="28" t="s">
        <v>42</v>
      </c>
      <c r="X68" s="32" t="s">
        <v>42</v>
      </c>
      <c r="Y68" s="32" t="s">
        <v>42</v>
      </c>
      <c r="Z68" s="15">
        <f>SUM(Z7:Z66)</f>
        <v>4347.4244408522609</v>
      </c>
      <c r="AA68" s="14"/>
      <c r="AB68" s="14"/>
      <c r="AC68" s="15">
        <f>SUM(AC7:AC66)</f>
        <v>49125.896181630553</v>
      </c>
      <c r="AD68" s="15">
        <f>SUM(AD7:AD66)</f>
        <v>9762.0161816305481</v>
      </c>
      <c r="AE68" s="21">
        <f t="shared" ref="AE68" si="13">IFERROR(AD68/AC68,0)</f>
        <v>0.19871426152793156</v>
      </c>
      <c r="AF68" s="15">
        <f>SUM(AF8:AF67)</f>
        <v>0</v>
      </c>
      <c r="AG68" s="15">
        <f>SUM(AG8:AG67)</f>
        <v>0</v>
      </c>
      <c r="AH68" s="15">
        <f>SUM(AH8:AH67)</f>
        <v>0</v>
      </c>
      <c r="AI68" s="15">
        <f>SUM(AI8:AI67)</f>
        <v>0</v>
      </c>
      <c r="AJ68" s="15">
        <f>SUM(AJ8:AJ67)</f>
        <v>0</v>
      </c>
    </row>
    <row r="69" spans="2:36" x14ac:dyDescent="0.25">
      <c r="B69" s="4"/>
      <c r="E69" s="3"/>
      <c r="F69" s="3"/>
      <c r="G69" s="3"/>
      <c r="H69" s="3"/>
      <c r="L69" s="4"/>
      <c r="M69" s="4"/>
      <c r="N69" s="4"/>
      <c r="O69" s="4"/>
      <c r="Q69" s="4"/>
      <c r="R69" s="4"/>
      <c r="S69" s="4"/>
      <c r="T69" s="4"/>
      <c r="U69" s="4"/>
      <c r="V69" s="4"/>
      <c r="W69" s="4"/>
      <c r="X69" s="4"/>
      <c r="Y69" s="9"/>
      <c r="Z69" s="9"/>
      <c r="AA69" s="9"/>
      <c r="AB69" s="9"/>
      <c r="AC69" s="9"/>
      <c r="AD69" s="9"/>
      <c r="AE69" s="9"/>
    </row>
    <row r="70" spans="2:36" x14ac:dyDescent="0.25">
      <c r="B70" s="4"/>
      <c r="E70" s="3"/>
      <c r="F70" s="3"/>
      <c r="G70" s="3"/>
      <c r="H70" s="3"/>
      <c r="L70" s="4"/>
      <c r="M70" s="4"/>
      <c r="N70" s="4"/>
      <c r="O70" s="4"/>
      <c r="Q70" s="9"/>
      <c r="R70" s="9"/>
      <c r="S70" s="9"/>
      <c r="T70" s="9"/>
      <c r="U70" s="9"/>
      <c r="V70" s="9"/>
      <c r="W70" s="9"/>
      <c r="X70" s="23"/>
      <c r="Y70" s="34" t="s">
        <v>119</v>
      </c>
      <c r="Z70" s="34">
        <f>Z12+Z19+Z21+Z23+Z26+Z31+Z33+Z38+Z36</f>
        <v>2626.8362055581433</v>
      </c>
      <c r="AA70" s="9"/>
      <c r="AB70" s="9"/>
      <c r="AC70" s="9"/>
      <c r="AD70" s="9"/>
      <c r="AE70" s="9"/>
    </row>
    <row r="71" spans="2:36" x14ac:dyDescent="0.25">
      <c r="B71" s="4"/>
      <c r="E71" s="3"/>
      <c r="F71" s="3"/>
      <c r="G71" s="3"/>
      <c r="H71" s="3"/>
      <c r="L71" s="4"/>
      <c r="M71" s="4"/>
      <c r="N71" s="4"/>
      <c r="O71" s="4"/>
      <c r="Q71" s="9"/>
      <c r="R71" s="9"/>
      <c r="S71" s="9"/>
      <c r="T71" s="9"/>
      <c r="U71" s="9"/>
      <c r="V71" s="9"/>
      <c r="W71" s="9"/>
      <c r="X71" s="9"/>
      <c r="Y71" s="35" t="s">
        <v>120</v>
      </c>
      <c r="Z71" s="34">
        <f>Z9+Z14+Z17+Z28</f>
        <v>1720.5882352941178</v>
      </c>
      <c r="AA71" s="9"/>
      <c r="AB71" s="9"/>
      <c r="AC71" s="9"/>
      <c r="AD71" s="9"/>
      <c r="AE71" s="9"/>
      <c r="AF71" s="18"/>
    </row>
    <row r="72" spans="2:36" x14ac:dyDescent="0.25">
      <c r="B72" s="4"/>
      <c r="E72" s="3"/>
      <c r="F72" s="3"/>
      <c r="G72" s="3"/>
      <c r="H72" s="3"/>
      <c r="I72" s="19"/>
      <c r="L72" s="4"/>
      <c r="M72" s="4"/>
      <c r="N72" s="4"/>
      <c r="O72" s="20"/>
      <c r="Q72" s="20"/>
      <c r="R72" s="20"/>
      <c r="S72" s="20"/>
      <c r="T72" s="20"/>
      <c r="U72" s="20"/>
      <c r="V72" s="20"/>
      <c r="W72" s="20"/>
      <c r="X72" s="20"/>
      <c r="Y72" s="34" t="s">
        <v>121</v>
      </c>
      <c r="Z72" s="34">
        <v>4340</v>
      </c>
      <c r="AA72" s="9"/>
      <c r="AB72" s="9"/>
      <c r="AC72" s="9"/>
      <c r="AD72" s="9"/>
      <c r="AE72" s="9"/>
      <c r="AF72" s="18"/>
    </row>
    <row r="73" spans="2:36" x14ac:dyDescent="0.25">
      <c r="B73" s="4"/>
      <c r="E73" s="3"/>
      <c r="F73" s="3"/>
      <c r="G73" s="3"/>
      <c r="H73" s="3"/>
      <c r="L73" s="4"/>
      <c r="M73" s="4"/>
      <c r="N73" s="4"/>
      <c r="O73" s="20"/>
      <c r="Q73" s="20"/>
      <c r="R73" s="20"/>
      <c r="S73" s="20"/>
      <c r="T73" s="20"/>
      <c r="U73" s="20"/>
      <c r="V73" s="20"/>
      <c r="W73" s="20"/>
      <c r="X73" s="20"/>
      <c r="Y73" s="34" t="s">
        <v>46</v>
      </c>
      <c r="Z73" s="34">
        <f>Z72/2</f>
        <v>2170</v>
      </c>
      <c r="AA73" s="9"/>
      <c r="AB73" s="9"/>
      <c r="AC73" s="9"/>
      <c r="AD73" s="9"/>
      <c r="AE73" s="9"/>
      <c r="AF73" s="18"/>
    </row>
    <row r="74" spans="2:36" x14ac:dyDescent="0.25">
      <c r="B74" s="4"/>
      <c r="E74" s="3"/>
      <c r="F74" s="3"/>
      <c r="G74" s="3"/>
      <c r="H74" s="3"/>
      <c r="L74" s="4"/>
      <c r="M74" s="4"/>
      <c r="N74" s="4"/>
      <c r="O74" s="4"/>
      <c r="Q74" s="9"/>
      <c r="R74" s="9"/>
      <c r="S74" s="9"/>
      <c r="T74" s="9"/>
      <c r="U74" s="9"/>
      <c r="V74" s="9"/>
      <c r="W74" s="9"/>
      <c r="X74" s="9"/>
      <c r="Y74" s="1"/>
      <c r="Z74" s="1"/>
      <c r="AA74" s="9"/>
      <c r="AB74" s="9"/>
      <c r="AC74" s="9"/>
      <c r="AD74" s="9"/>
      <c r="AE74" s="9"/>
      <c r="AF74" s="18"/>
    </row>
    <row r="75" spans="2:36" x14ac:dyDescent="0.25">
      <c r="F75" s="1"/>
      <c r="G75" s="1"/>
      <c r="H75" s="1"/>
      <c r="J75" s="1" t="s">
        <v>32</v>
      </c>
      <c r="Q75" s="9"/>
      <c r="R75" s="4"/>
      <c r="S75" s="9"/>
      <c r="T75" s="5"/>
      <c r="U75" s="9"/>
      <c r="V75" s="4"/>
      <c r="W75" s="4"/>
      <c r="X75" s="9"/>
      <c r="Y75" s="9"/>
      <c r="Z75" s="9"/>
      <c r="AA75" s="9"/>
      <c r="AB75" s="9"/>
      <c r="AC75" s="9"/>
      <c r="AD75" s="9"/>
      <c r="AE75" s="9"/>
    </row>
    <row r="76" spans="2:36" x14ac:dyDescent="0.25">
      <c r="R76" s="4"/>
      <c r="S76" s="17"/>
      <c r="T76" s="17"/>
      <c r="U76" s="9"/>
      <c r="V76" s="4"/>
      <c r="W76" s="4"/>
      <c r="X76" s="9"/>
      <c r="Y76" s="39" t="s">
        <v>220</v>
      </c>
      <c r="Z76" s="9">
        <f>Z72</f>
        <v>4340</v>
      </c>
      <c r="AA76" s="9"/>
      <c r="AB76" s="9"/>
      <c r="AC76" s="9"/>
      <c r="AD76" s="9"/>
      <c r="AE76" s="9"/>
    </row>
    <row r="77" spans="2:36" x14ac:dyDescent="0.25">
      <c r="Q77" s="9"/>
      <c r="R77" s="4"/>
      <c r="S77" s="16"/>
      <c r="T77" s="16"/>
      <c r="U77" s="9"/>
      <c r="V77" s="4"/>
      <c r="W77" s="4"/>
      <c r="X77" s="9"/>
      <c r="Y77" s="39" t="s">
        <v>221</v>
      </c>
      <c r="Z77" s="9">
        <f>Z76*1.18</f>
        <v>5121.2</v>
      </c>
      <c r="AA77" s="9"/>
      <c r="AB77" s="9"/>
      <c r="AC77" s="9"/>
      <c r="AD77" s="9"/>
      <c r="AE77" s="9"/>
    </row>
    <row r="78" spans="2:36" x14ac:dyDescent="0.25">
      <c r="R78" s="4"/>
      <c r="S78" s="16"/>
      <c r="T78" s="16"/>
      <c r="Y78" s="39" t="s">
        <v>222</v>
      </c>
      <c r="Z78" s="9">
        <f>Z76*1.3</f>
        <v>5642</v>
      </c>
      <c r="AA78" s="9"/>
      <c r="AB78" s="9"/>
      <c r="AC78" s="9"/>
      <c r="AD78" s="9"/>
      <c r="AE78" s="9"/>
    </row>
    <row r="79" spans="2:36" x14ac:dyDescent="0.25">
      <c r="T79" s="5"/>
      <c r="Y79" s="39" t="s">
        <v>223</v>
      </c>
      <c r="Z79" s="9">
        <f>Z76*0.85</f>
        <v>3689</v>
      </c>
      <c r="AA79" s="9"/>
      <c r="AB79" s="9"/>
      <c r="AC79" s="9"/>
      <c r="AD79" s="9"/>
      <c r="AE79" s="9"/>
    </row>
    <row r="80" spans="2:36" x14ac:dyDescent="0.25">
      <c r="T80" s="5"/>
      <c r="Y80" s="9"/>
      <c r="Z80" s="9"/>
      <c r="AA80" s="9"/>
      <c r="AB80" s="9"/>
      <c r="AC80" s="9"/>
      <c r="AD80" s="9"/>
      <c r="AE80" s="9"/>
    </row>
    <row r="81" spans="20:31" x14ac:dyDescent="0.25">
      <c r="T81" s="5"/>
      <c r="Y81" s="9"/>
      <c r="Z81" s="9"/>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c r="Y84" s="9"/>
      <c r="Z84" s="9"/>
      <c r="AA84" s="9"/>
      <c r="AB84" s="9"/>
      <c r="AC84" s="9"/>
      <c r="AD84" s="9"/>
      <c r="AE84" s="9"/>
    </row>
    <row r="85" spans="20:31" x14ac:dyDescent="0.25">
      <c r="T85" s="5"/>
      <c r="Y85" s="9"/>
      <c r="Z85" s="9"/>
      <c r="AA85" s="9"/>
      <c r="AB85" s="9"/>
      <c r="AC85" s="9"/>
      <c r="AD85" s="9"/>
      <c r="AE85" s="9"/>
    </row>
    <row r="86" spans="20:31" x14ac:dyDescent="0.25">
      <c r="T86" s="5"/>
      <c r="Y86" s="9"/>
      <c r="Z86" s="9"/>
      <c r="AA86" s="9"/>
      <c r="AB86" s="9"/>
      <c r="AC86" s="9"/>
      <c r="AD86" s="9"/>
      <c r="AE86" s="9"/>
    </row>
    <row r="87" spans="20:31" x14ac:dyDescent="0.25">
      <c r="T87" s="5"/>
    </row>
    <row r="88" spans="20:31" x14ac:dyDescent="0.25">
      <c r="T88" s="5"/>
    </row>
    <row r="89" spans="20:31" x14ac:dyDescent="0.25">
      <c r="T89" s="5"/>
    </row>
    <row r="90" spans="20:31" x14ac:dyDescent="0.25">
      <c r="T90" s="5"/>
    </row>
    <row r="91" spans="20:31" x14ac:dyDescent="0.25">
      <c r="T91" s="5"/>
    </row>
  </sheetData>
  <autoFilter ref="B6:AE68" xr:uid="{65FA6D9B-E0AF-46CD-BA0D-86BB75FE6AB0}"/>
  <hyperlinks>
    <hyperlink ref="P12" r:id="rId1" xr:uid="{F6EA8E40-8CF4-44FF-AE38-660DAA770122}"/>
    <hyperlink ref="P14" r:id="rId2" xr:uid="{1DCB089C-1428-462B-9217-E98BD50162F2}"/>
    <hyperlink ref="P21" r:id="rId3" xr:uid="{8C4F66D9-76F9-4FF4-B530-67C60B6E5C70}"/>
    <hyperlink ref="P23" r:id="rId4" xr:uid="{34EEE12D-CD84-414F-AB64-5BB7342BC528}"/>
    <hyperlink ref="P26" r:id="rId5" xr:uid="{3D0E894C-A576-427C-85C5-423512C3B646}"/>
    <hyperlink ref="P33" r:id="rId6" xr:uid="{F0B0F601-92E6-41C7-8755-31848C67695D}"/>
    <hyperlink ref="P31" r:id="rId7" xr:uid="{2AD396BF-8282-4544-991A-C859D819FB95}"/>
    <hyperlink ref="P52" r:id="rId8" xr:uid="{0E159E67-A20F-4A82-A5A5-671EF5B75D69}"/>
    <hyperlink ref="P54" r:id="rId9" xr:uid="{71095516-0C0E-4F21-9662-B01AC93AF31B}"/>
    <hyperlink ref="P55" r:id="rId10" xr:uid="{34D9AE59-7FE8-4ED1-B26F-E2E80F1A58E1}"/>
    <hyperlink ref="P36" r:id="rId11" xr:uid="{F588B9A8-1001-453A-A2F2-96CAB6CD09FA}"/>
    <hyperlink ref="P38" r:id="rId12" xr:uid="{FE65363F-A27C-4ABE-BB6B-271F067980AD}"/>
    <hyperlink ref="P19" r:id="rId13" xr:uid="{49502B30-3D81-4D5F-BA6E-CE0FB9672920}"/>
  </hyperlinks>
  <pageMargins left="0.7" right="0.7" top="0.75" bottom="0.75" header="0.3" footer="0.3"/>
  <pageSetup paperSize="9" orientation="portrait"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EA72-455E-458D-9DFD-5EF4ECC26CEB}">
  <sheetPr>
    <tabColor rgb="FFFFFF00"/>
  </sheetPr>
  <dimension ref="B1:AK83"/>
  <sheetViews>
    <sheetView topLeftCell="A6" zoomScale="80" zoomScaleNormal="80" workbookViewId="0">
      <selection activeCell="J9" sqref="J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54</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24"/>
      <c r="H7" s="24"/>
      <c r="J7" s="1" t="s">
        <v>69</v>
      </c>
      <c r="K7" s="4"/>
      <c r="L7" s="4"/>
      <c r="M7" s="4"/>
      <c r="N7" s="4"/>
      <c r="O7" s="4"/>
      <c r="P7" s="27"/>
      <c r="Q7" s="25">
        <v>0</v>
      </c>
      <c r="R7" s="25">
        <v>0</v>
      </c>
      <c r="S7" s="12">
        <f t="shared" ref="S7:S58" si="0">+Q7*R7</f>
        <v>0</v>
      </c>
      <c r="T7" s="5">
        <v>0</v>
      </c>
      <c r="U7" s="12">
        <f t="shared" ref="U7:U58" si="1">S7*(1-T7)</f>
        <v>0</v>
      </c>
      <c r="V7" s="25" t="s">
        <v>10</v>
      </c>
      <c r="W7" s="11">
        <f>IFERROR(VLOOKUP(V7,[1]Curr!$B$2:$C$13,2,FALSE),0)</f>
        <v>11.3</v>
      </c>
      <c r="X7" s="12">
        <f t="shared" ref="X7:X58" si="2">U7*W7</f>
        <v>0</v>
      </c>
      <c r="Y7" s="26">
        <f t="shared" ref="Y7:Y10" si="3">Q7</f>
        <v>0</v>
      </c>
      <c r="Z7" s="12">
        <f t="shared" ref="Z7:Z58" si="4">+Y7*R7</f>
        <v>0</v>
      </c>
      <c r="AA7" s="4" t="s">
        <v>10</v>
      </c>
      <c r="AB7" s="11">
        <f>IFERROR(VLOOKUP(AA7,Curr!$B$2:$C$13,2,FALSE),0)</f>
        <v>11.3</v>
      </c>
      <c r="AC7" s="12">
        <f t="shared" ref="AC7:AC58" si="5">+Y7*AB7*R7</f>
        <v>0</v>
      </c>
      <c r="AD7" s="12">
        <f t="shared" ref="AD7:AD58" si="6">+AC7-X7</f>
        <v>0</v>
      </c>
      <c r="AE7" s="13">
        <f t="shared" ref="AE7:AE58" si="7">IFERROR(AD7/AC7,0)</f>
        <v>0</v>
      </c>
    </row>
    <row r="8" spans="2:36" x14ac:dyDescent="0.25">
      <c r="B8" s="4"/>
      <c r="C8" s="1" t="s">
        <v>64</v>
      </c>
      <c r="D8" s="1" t="s">
        <v>66</v>
      </c>
      <c r="E8" s="3"/>
      <c r="F8" s="3"/>
      <c r="G8" s="24"/>
      <c r="H8" s="24"/>
      <c r="J8" s="1" t="s">
        <v>70</v>
      </c>
      <c r="K8" s="4"/>
      <c r="L8" s="4"/>
      <c r="M8" s="4"/>
      <c r="N8" s="4"/>
      <c r="O8" s="4"/>
      <c r="P8" s="27"/>
      <c r="Q8" s="25">
        <v>0</v>
      </c>
      <c r="R8" s="25">
        <v>0</v>
      </c>
      <c r="S8" s="12">
        <f t="shared" si="0"/>
        <v>0</v>
      </c>
      <c r="T8" s="5">
        <v>0</v>
      </c>
      <c r="U8" s="12">
        <f t="shared" si="1"/>
        <v>0</v>
      </c>
      <c r="V8" s="25" t="s">
        <v>10</v>
      </c>
      <c r="W8" s="11">
        <f>IFERROR(VLOOKUP(V8,[1]Curr!$B$2:$C$13,2,FALSE),0)</f>
        <v>11.3</v>
      </c>
      <c r="X8" s="12">
        <f t="shared" si="2"/>
        <v>0</v>
      </c>
      <c r="Y8" s="26">
        <f>Q8/0.8</f>
        <v>0</v>
      </c>
      <c r="Z8" s="12">
        <f t="shared" si="4"/>
        <v>0</v>
      </c>
      <c r="AA8" s="4" t="s">
        <v>10</v>
      </c>
      <c r="AB8" s="11">
        <f>IFERROR(VLOOKUP(AA8,Curr!$B$2:$C$13,2,FALSE),0)</f>
        <v>11.3</v>
      </c>
      <c r="AC8" s="12">
        <f t="shared" si="5"/>
        <v>0</v>
      </c>
      <c r="AD8" s="12">
        <f t="shared" si="6"/>
        <v>0</v>
      </c>
      <c r="AE8" s="13">
        <f t="shared" si="7"/>
        <v>0</v>
      </c>
    </row>
    <row r="9" spans="2:36" x14ac:dyDescent="0.25">
      <c r="B9" s="4"/>
      <c r="C9" s="1" t="s">
        <v>64</v>
      </c>
      <c r="D9" s="1" t="s">
        <v>67</v>
      </c>
      <c r="E9" s="3"/>
      <c r="F9" s="3"/>
      <c r="G9" s="24"/>
      <c r="H9" s="24"/>
      <c r="J9" s="1" t="s">
        <v>122</v>
      </c>
      <c r="K9" s="4"/>
      <c r="L9" s="4"/>
      <c r="M9" s="4"/>
      <c r="N9" s="4"/>
      <c r="O9" s="4"/>
      <c r="P9" s="33"/>
      <c r="Q9" s="25">
        <v>850</v>
      </c>
      <c r="R9" s="25">
        <v>1</v>
      </c>
      <c r="S9" s="12">
        <f t="shared" si="0"/>
        <v>850</v>
      </c>
      <c r="T9" s="5">
        <v>0</v>
      </c>
      <c r="U9" s="12">
        <f t="shared" si="1"/>
        <v>850</v>
      </c>
      <c r="V9" s="25" t="s">
        <v>10</v>
      </c>
      <c r="W9" s="11">
        <f>IFERROR(VLOOKUP(V9,[1]Curr!$B$2:$C$13,2,FALSE),0)</f>
        <v>11.3</v>
      </c>
      <c r="X9" s="12">
        <f t="shared" si="2"/>
        <v>9605</v>
      </c>
      <c r="Y9" s="26">
        <f>Q9/0.85</f>
        <v>1000</v>
      </c>
      <c r="Z9" s="12">
        <f t="shared" si="4"/>
        <v>1000</v>
      </c>
      <c r="AA9" s="4" t="s">
        <v>10</v>
      </c>
      <c r="AB9" s="11">
        <f>IFERROR(VLOOKUP(AA9,Curr!$B$2:$C$13,2,FALSE),0)</f>
        <v>11.3</v>
      </c>
      <c r="AC9" s="12">
        <f t="shared" si="5"/>
        <v>11300</v>
      </c>
      <c r="AD9" s="12">
        <f t="shared" si="6"/>
        <v>1695</v>
      </c>
      <c r="AE9" s="13">
        <f t="shared" si="7"/>
        <v>0.15</v>
      </c>
    </row>
    <row r="10" spans="2:36" x14ac:dyDescent="0.25">
      <c r="B10" s="4"/>
      <c r="C10" s="1" t="s">
        <v>64</v>
      </c>
      <c r="D10" s="1" t="s">
        <v>68</v>
      </c>
      <c r="E10" s="3"/>
      <c r="F10" s="3"/>
      <c r="G10" s="24"/>
      <c r="H10" s="24"/>
      <c r="J10" s="1" t="s">
        <v>71</v>
      </c>
      <c r="K10" s="4"/>
      <c r="L10" s="4"/>
      <c r="M10" s="4"/>
      <c r="N10" s="4"/>
      <c r="O10" s="4"/>
      <c r="P10" s="27"/>
      <c r="Q10" s="25">
        <v>0</v>
      </c>
      <c r="R10" s="25">
        <v>0</v>
      </c>
      <c r="S10" s="12">
        <f t="shared" si="0"/>
        <v>0</v>
      </c>
      <c r="T10" s="5">
        <v>0</v>
      </c>
      <c r="U10" s="12">
        <f t="shared" si="1"/>
        <v>0</v>
      </c>
      <c r="V10" s="25" t="s">
        <v>10</v>
      </c>
      <c r="W10" s="11">
        <f>IFERROR(VLOOKUP(V10,[1]Curr!$B$2:$C$13,2,FALSE),0)</f>
        <v>11.3</v>
      </c>
      <c r="X10" s="12">
        <f t="shared" si="2"/>
        <v>0</v>
      </c>
      <c r="Y10" s="26">
        <f t="shared" si="3"/>
        <v>0</v>
      </c>
      <c r="Z10" s="12">
        <f t="shared" si="4"/>
        <v>0</v>
      </c>
      <c r="AA10" s="4" t="s">
        <v>10</v>
      </c>
      <c r="AB10" s="11">
        <f>IFERROR(VLOOKUP(AA10,Curr!$B$2:$C$13,2,FALSE),0)</f>
        <v>11.3</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IFERROR(VLOOKUP(V11,[1]Curr!$B$2:$C$13,2,FALSE),0)</f>
        <v>11.3</v>
      </c>
      <c r="X11" s="12">
        <f t="shared" si="2"/>
        <v>0</v>
      </c>
      <c r="Y11" s="26">
        <f t="shared" ref="Y11:Y58" si="8">Q11</f>
        <v>0</v>
      </c>
      <c r="Z11" s="12">
        <f t="shared" si="4"/>
        <v>0</v>
      </c>
      <c r="AA11" s="4" t="s">
        <v>10</v>
      </c>
      <c r="AB11" s="11">
        <f>IFERROR(VLOOKUP(AA11,Curr!$B$2:$C$13,2,FALSE),0)</f>
        <v>11.3</v>
      </c>
      <c r="AC11" s="12">
        <f t="shared" si="5"/>
        <v>0</v>
      </c>
      <c r="AD11" s="12">
        <f t="shared" si="6"/>
        <v>0</v>
      </c>
      <c r="AE11" s="13">
        <f t="shared" si="7"/>
        <v>0</v>
      </c>
    </row>
    <row r="12" spans="2:36" x14ac:dyDescent="0.25">
      <c r="B12" s="4"/>
      <c r="C12" s="1" t="s">
        <v>76</v>
      </c>
      <c r="D12" s="1" t="s">
        <v>75</v>
      </c>
      <c r="E12" s="3"/>
      <c r="F12" s="3"/>
      <c r="G12" s="24"/>
      <c r="H12" s="24"/>
      <c r="J12" s="1" t="s">
        <v>101</v>
      </c>
      <c r="K12" s="4"/>
      <c r="L12" s="4"/>
      <c r="M12" s="4"/>
      <c r="N12" s="4"/>
      <c r="O12" s="4" t="s">
        <v>42</v>
      </c>
      <c r="P12" s="33" t="s">
        <v>102</v>
      </c>
      <c r="Q12" s="25">
        <v>188</v>
      </c>
      <c r="R12" s="25">
        <v>2</v>
      </c>
      <c r="S12" s="12">
        <f t="shared" si="0"/>
        <v>376</v>
      </c>
      <c r="T12" s="5">
        <v>0.2</v>
      </c>
      <c r="U12" s="12">
        <f t="shared" si="1"/>
        <v>300.8</v>
      </c>
      <c r="V12" s="25" t="s">
        <v>10</v>
      </c>
      <c r="W12" s="11">
        <v>11.3</v>
      </c>
      <c r="X12" s="12">
        <f t="shared" si="2"/>
        <v>3399.0400000000004</v>
      </c>
      <c r="Y12" s="26">
        <v>188</v>
      </c>
      <c r="Z12" s="12">
        <f t="shared" si="4"/>
        <v>376</v>
      </c>
      <c r="AA12" s="4" t="s">
        <v>10</v>
      </c>
      <c r="AB12" s="11">
        <f>IFERROR(VLOOKUP(AA12,Curr!$B$2:$C$13,2,FALSE),0)</f>
        <v>11.3</v>
      </c>
      <c r="AC12" s="12">
        <f t="shared" si="5"/>
        <v>4248.8</v>
      </c>
      <c r="AD12" s="12">
        <f t="shared" si="6"/>
        <v>849.75999999999976</v>
      </c>
      <c r="AE12" s="13">
        <f t="shared" si="7"/>
        <v>0.19999999999999993</v>
      </c>
    </row>
    <row r="13" spans="2:36" x14ac:dyDescent="0.25">
      <c r="B13" s="4"/>
      <c r="C13" s="1" t="s">
        <v>76</v>
      </c>
      <c r="D13" s="1" t="s">
        <v>68</v>
      </c>
      <c r="E13" s="3"/>
      <c r="F13" s="3"/>
      <c r="G13" s="24"/>
      <c r="H13" s="24"/>
      <c r="J13" s="1" t="s">
        <v>71</v>
      </c>
      <c r="K13" s="4"/>
      <c r="L13" s="4"/>
      <c r="M13" s="4"/>
      <c r="N13" s="4"/>
      <c r="O13" s="4"/>
      <c r="P13" s="27"/>
      <c r="Q13" s="25">
        <v>0</v>
      </c>
      <c r="R13" s="25">
        <v>0</v>
      </c>
      <c r="S13" s="12">
        <f t="shared" si="0"/>
        <v>0</v>
      </c>
      <c r="T13" s="5">
        <v>0</v>
      </c>
      <c r="U13" s="12">
        <f t="shared" si="1"/>
        <v>0</v>
      </c>
      <c r="V13" s="25" t="s">
        <v>10</v>
      </c>
      <c r="W13" s="11">
        <f>IFERROR(VLOOKUP(V13,[1]Curr!$B$2:$C$13,2,FALSE),0)</f>
        <v>11.3</v>
      </c>
      <c r="X13" s="12">
        <f t="shared" si="2"/>
        <v>0</v>
      </c>
      <c r="Y13" s="26">
        <f t="shared" ref="Y13:Y24" si="9">Q13</f>
        <v>0</v>
      </c>
      <c r="Z13" s="12">
        <f t="shared" si="4"/>
        <v>0</v>
      </c>
      <c r="AA13" s="4" t="s">
        <v>10</v>
      </c>
      <c r="AB13" s="11">
        <f>IFERROR(VLOOKUP(AA13,Curr!$B$2:$C$13,2,FALSE),0)</f>
        <v>11.3</v>
      </c>
      <c r="AC13" s="12">
        <f t="shared" si="5"/>
        <v>0</v>
      </c>
      <c r="AD13" s="12">
        <f t="shared" si="6"/>
        <v>0</v>
      </c>
      <c r="AE13" s="13">
        <f t="shared" si="7"/>
        <v>0</v>
      </c>
    </row>
    <row r="14" spans="2:36" x14ac:dyDescent="0.25">
      <c r="B14" s="4"/>
      <c r="C14" s="1" t="s">
        <v>76</v>
      </c>
      <c r="D14" s="1" t="s">
        <v>75</v>
      </c>
      <c r="E14" s="3"/>
      <c r="F14" s="3"/>
      <c r="G14" s="24"/>
      <c r="H14" s="24"/>
      <c r="J14" s="1" t="s">
        <v>218</v>
      </c>
      <c r="K14" s="4"/>
      <c r="L14" s="4"/>
      <c r="M14" s="4"/>
      <c r="N14" s="4"/>
      <c r="O14" s="4" t="s">
        <v>42</v>
      </c>
      <c r="P14" s="33" t="s">
        <v>219</v>
      </c>
      <c r="Q14" s="25">
        <v>109</v>
      </c>
      <c r="R14" s="25">
        <v>2</v>
      </c>
      <c r="S14" s="12">
        <f t="shared" si="0"/>
        <v>218</v>
      </c>
      <c r="T14" s="5">
        <v>0.2</v>
      </c>
      <c r="U14" s="12">
        <f t="shared" si="1"/>
        <v>174.4</v>
      </c>
      <c r="V14" s="25" t="s">
        <v>10</v>
      </c>
      <c r="W14" s="11">
        <f>IFERROR(VLOOKUP(V14,[1]Curr!$B$2:$C$13,2,FALSE),0)</f>
        <v>11.3</v>
      </c>
      <c r="X14" s="12">
        <f t="shared" si="2"/>
        <v>1970.7200000000003</v>
      </c>
      <c r="Y14" s="26">
        <f t="shared" si="9"/>
        <v>109</v>
      </c>
      <c r="Z14" s="12">
        <f t="shared" si="4"/>
        <v>218</v>
      </c>
      <c r="AA14" s="4" t="s">
        <v>10</v>
      </c>
      <c r="AB14" s="11">
        <f>IFERROR(VLOOKUP(AA14,Curr!$B$2:$C$13,2,FALSE),0)</f>
        <v>11.3</v>
      </c>
      <c r="AC14" s="12">
        <f t="shared" si="5"/>
        <v>2463.4</v>
      </c>
      <c r="AD14" s="12">
        <f t="shared" si="6"/>
        <v>492.67999999999984</v>
      </c>
      <c r="AE14" s="13">
        <f t="shared" si="7"/>
        <v>0.19999999999999993</v>
      </c>
    </row>
    <row r="15" spans="2:36" x14ac:dyDescent="0.25">
      <c r="B15" s="4"/>
      <c r="E15" s="3"/>
      <c r="F15" s="3"/>
      <c r="G15" s="24"/>
      <c r="H15" s="24"/>
      <c r="K15" s="4"/>
      <c r="L15" s="4"/>
      <c r="M15" s="4"/>
      <c r="N15" s="4"/>
      <c r="O15" s="4"/>
      <c r="P15" s="27"/>
      <c r="Q15" s="25"/>
      <c r="R15" s="25"/>
      <c r="S15" s="12">
        <f t="shared" si="0"/>
        <v>0</v>
      </c>
      <c r="T15" s="5">
        <v>0</v>
      </c>
      <c r="U15" s="12">
        <f t="shared" si="1"/>
        <v>0</v>
      </c>
      <c r="V15" s="25" t="s">
        <v>10</v>
      </c>
      <c r="W15" s="11">
        <f>IFERROR(VLOOKUP(V15,[1]Curr!$B$2:$C$13,2,FALSE),0)</f>
        <v>11.3</v>
      </c>
      <c r="X15" s="12">
        <f t="shared" si="2"/>
        <v>0</v>
      </c>
      <c r="Y15" s="26">
        <f t="shared" si="9"/>
        <v>0</v>
      </c>
      <c r="Z15" s="12">
        <f t="shared" si="4"/>
        <v>0</v>
      </c>
      <c r="AA15" s="4" t="s">
        <v>10</v>
      </c>
      <c r="AB15" s="11">
        <f>IFERROR(VLOOKUP(AA15,Curr!$B$2:$C$13,2,FALSE),0)</f>
        <v>11.3</v>
      </c>
      <c r="AC15" s="12">
        <f t="shared" si="5"/>
        <v>0</v>
      </c>
      <c r="AD15" s="12">
        <f t="shared" si="6"/>
        <v>0</v>
      </c>
      <c r="AE15" s="13">
        <f t="shared" si="7"/>
        <v>0</v>
      </c>
    </row>
    <row r="16" spans="2:36" x14ac:dyDescent="0.25">
      <c r="B16" s="4"/>
      <c r="C16" s="1" t="s">
        <v>77</v>
      </c>
      <c r="D16" s="1" t="s">
        <v>75</v>
      </c>
      <c r="E16" s="3"/>
      <c r="F16" s="3"/>
      <c r="G16" s="24"/>
      <c r="H16" s="24"/>
      <c r="J16" s="1" t="s">
        <v>113</v>
      </c>
      <c r="K16" s="4"/>
      <c r="L16" s="4"/>
      <c r="M16" s="4"/>
      <c r="N16" s="4"/>
      <c r="O16" s="4" t="s">
        <v>42</v>
      </c>
      <c r="P16" s="33" t="s">
        <v>114</v>
      </c>
      <c r="Q16" s="25">
        <v>109</v>
      </c>
      <c r="R16" s="25">
        <v>2</v>
      </c>
      <c r="S16" s="12">
        <f t="shared" si="0"/>
        <v>218</v>
      </c>
      <c r="T16" s="5">
        <v>0.2</v>
      </c>
      <c r="U16" s="12">
        <f t="shared" si="1"/>
        <v>174.4</v>
      </c>
      <c r="V16" s="25" t="s">
        <v>10</v>
      </c>
      <c r="W16" s="11">
        <f>IFERROR(VLOOKUP(V16,[1]Curr!$B$2:$C$13,2,FALSE),0)</f>
        <v>11.3</v>
      </c>
      <c r="X16" s="12">
        <f t="shared" si="2"/>
        <v>1970.7200000000003</v>
      </c>
      <c r="Y16" s="26">
        <f t="shared" si="9"/>
        <v>109</v>
      </c>
      <c r="Z16" s="12">
        <f t="shared" si="4"/>
        <v>218</v>
      </c>
      <c r="AA16" s="4" t="s">
        <v>10</v>
      </c>
      <c r="AB16" s="11">
        <f>IFERROR(VLOOKUP(AA16,Curr!$B$2:$C$13,2,FALSE),0)</f>
        <v>11.3</v>
      </c>
      <c r="AC16" s="12">
        <f t="shared" si="5"/>
        <v>2463.4</v>
      </c>
      <c r="AD16" s="12">
        <f t="shared" si="6"/>
        <v>492.67999999999984</v>
      </c>
      <c r="AE16" s="13">
        <f t="shared" si="7"/>
        <v>0.19999999999999993</v>
      </c>
    </row>
    <row r="17" spans="2:31" x14ac:dyDescent="0.25">
      <c r="B17" s="4"/>
      <c r="C17" s="1" t="s">
        <v>77</v>
      </c>
      <c r="D17" s="1" t="s">
        <v>68</v>
      </c>
      <c r="E17" s="3"/>
      <c r="F17" s="3"/>
      <c r="G17" s="24"/>
      <c r="H17" s="24"/>
      <c r="J17" s="1" t="s">
        <v>71</v>
      </c>
      <c r="K17" s="4"/>
      <c r="L17" s="4"/>
      <c r="M17" s="4"/>
      <c r="N17" s="4"/>
      <c r="O17" s="4"/>
      <c r="P17" s="29"/>
      <c r="Q17" s="25">
        <v>0</v>
      </c>
      <c r="R17" s="25">
        <v>0</v>
      </c>
      <c r="S17" s="12">
        <f t="shared" si="0"/>
        <v>0</v>
      </c>
      <c r="T17" s="5">
        <v>0</v>
      </c>
      <c r="U17" s="12">
        <f t="shared" si="1"/>
        <v>0</v>
      </c>
      <c r="V17" s="25" t="s">
        <v>10</v>
      </c>
      <c r="W17" s="11">
        <f>IFERROR(VLOOKUP(V17,[1]Curr!$B$2:$C$13,2,FALSE),0)</f>
        <v>11.3</v>
      </c>
      <c r="X17" s="12">
        <f t="shared" si="2"/>
        <v>0</v>
      </c>
      <c r="Y17" s="26">
        <f t="shared" si="9"/>
        <v>0</v>
      </c>
      <c r="Z17" s="12">
        <f t="shared" si="4"/>
        <v>0</v>
      </c>
      <c r="AA17" s="4" t="s">
        <v>10</v>
      </c>
      <c r="AB17" s="11">
        <f>IFERROR(VLOOKUP(AA17,Curr!$B$2:$C$13,2,FALSE),0)</f>
        <v>11.3</v>
      </c>
      <c r="AC17" s="12">
        <f t="shared" si="5"/>
        <v>0</v>
      </c>
      <c r="AD17" s="12">
        <f t="shared" si="6"/>
        <v>0</v>
      </c>
      <c r="AE17" s="13">
        <f t="shared" si="7"/>
        <v>0</v>
      </c>
    </row>
    <row r="18" spans="2:31" x14ac:dyDescent="0.25">
      <c r="B18" s="4"/>
      <c r="C18" s="1" t="s">
        <v>77</v>
      </c>
      <c r="D18" s="1" t="s">
        <v>75</v>
      </c>
      <c r="E18" s="3"/>
      <c r="F18" s="3"/>
      <c r="G18" s="24"/>
      <c r="H18" s="24"/>
      <c r="J18" s="1" t="s">
        <v>103</v>
      </c>
      <c r="K18" s="4"/>
      <c r="L18" s="4"/>
      <c r="M18" s="4"/>
      <c r="N18" s="4"/>
      <c r="O18" s="4" t="s">
        <v>42</v>
      </c>
      <c r="P18" s="33" t="s">
        <v>104</v>
      </c>
      <c r="Q18" s="25">
        <v>89</v>
      </c>
      <c r="R18" s="25">
        <v>2</v>
      </c>
      <c r="S18" s="12">
        <f t="shared" si="0"/>
        <v>178</v>
      </c>
      <c r="T18" s="5">
        <v>0.2</v>
      </c>
      <c r="U18" s="12">
        <f t="shared" si="1"/>
        <v>142.4</v>
      </c>
      <c r="V18" s="25" t="s">
        <v>10</v>
      </c>
      <c r="W18" s="11">
        <v>11.3</v>
      </c>
      <c r="X18" s="12">
        <f t="shared" si="2"/>
        <v>1609.1200000000001</v>
      </c>
      <c r="Y18" s="26">
        <v>89</v>
      </c>
      <c r="Z18" s="12">
        <f t="shared" si="4"/>
        <v>178</v>
      </c>
      <c r="AA18" s="4" t="s">
        <v>10</v>
      </c>
      <c r="AB18" s="11">
        <f>IFERROR(VLOOKUP(AA18,Curr!$B$2:$C$13,2,FALSE),0)</f>
        <v>11.3</v>
      </c>
      <c r="AC18" s="12">
        <f t="shared" si="5"/>
        <v>2011.4</v>
      </c>
      <c r="AD18" s="12">
        <f t="shared" si="6"/>
        <v>402.28</v>
      </c>
      <c r="AE18" s="13">
        <f t="shared" si="7"/>
        <v>0.19999999999999998</v>
      </c>
    </row>
    <row r="19" spans="2:31" x14ac:dyDescent="0.25">
      <c r="B19" s="4"/>
      <c r="E19" s="3"/>
      <c r="F19" s="3"/>
      <c r="G19" s="24"/>
      <c r="H19" s="24"/>
      <c r="K19" s="4"/>
      <c r="L19" s="4"/>
      <c r="M19" s="4"/>
      <c r="N19" s="4"/>
      <c r="O19" s="4"/>
      <c r="P19" s="27"/>
      <c r="Q19" s="25"/>
      <c r="R19" s="25"/>
      <c r="S19" s="12">
        <f t="shared" si="0"/>
        <v>0</v>
      </c>
      <c r="T19" s="5">
        <v>0</v>
      </c>
      <c r="U19" s="12">
        <f t="shared" si="1"/>
        <v>0</v>
      </c>
      <c r="V19" s="25" t="s">
        <v>10</v>
      </c>
      <c r="W19" s="11">
        <f>IFERROR(VLOOKUP(V19,[1]Curr!$B$2:$C$13,2,FALSE),0)</f>
        <v>11.3</v>
      </c>
      <c r="X19" s="12">
        <f t="shared" si="2"/>
        <v>0</v>
      </c>
      <c r="Y19" s="26">
        <f t="shared" si="9"/>
        <v>0</v>
      </c>
      <c r="Z19" s="12">
        <f t="shared" si="4"/>
        <v>0</v>
      </c>
      <c r="AA19" s="4" t="s">
        <v>10</v>
      </c>
      <c r="AB19" s="11">
        <f>IFERROR(VLOOKUP(AA19,Curr!$B$2:$C$13,2,FALSE),0)</f>
        <v>11.3</v>
      </c>
      <c r="AC19" s="12">
        <f t="shared" si="5"/>
        <v>0</v>
      </c>
      <c r="AD19" s="12">
        <f t="shared" si="6"/>
        <v>0</v>
      </c>
      <c r="AE19" s="13">
        <f t="shared" si="7"/>
        <v>0</v>
      </c>
    </row>
    <row r="20" spans="2:31" x14ac:dyDescent="0.25">
      <c r="B20" s="4"/>
      <c r="C20" s="1" t="s">
        <v>78</v>
      </c>
      <c r="D20" s="1" t="s">
        <v>66</v>
      </c>
      <c r="E20" s="3"/>
      <c r="F20" s="3"/>
      <c r="G20" s="24"/>
      <c r="H20" s="24"/>
      <c r="J20" s="1" t="s">
        <v>107</v>
      </c>
      <c r="K20" s="4"/>
      <c r="L20" s="4"/>
      <c r="M20" s="4"/>
      <c r="N20" s="4"/>
      <c r="O20" s="4"/>
      <c r="P20" s="27"/>
      <c r="Q20" s="25">
        <v>0</v>
      </c>
      <c r="R20" s="25">
        <v>0</v>
      </c>
      <c r="S20" s="12">
        <f t="shared" si="0"/>
        <v>0</v>
      </c>
      <c r="T20" s="5">
        <v>0</v>
      </c>
      <c r="U20" s="12">
        <f t="shared" si="1"/>
        <v>0</v>
      </c>
      <c r="V20" s="25" t="s">
        <v>10</v>
      </c>
      <c r="W20" s="11">
        <f>IFERROR(VLOOKUP(V20,[1]Curr!$B$2:$C$13,2,FALSE),0)</f>
        <v>11.3</v>
      </c>
      <c r="X20" s="12">
        <f t="shared" si="2"/>
        <v>0</v>
      </c>
      <c r="Y20" s="26">
        <f t="shared" si="9"/>
        <v>0</v>
      </c>
      <c r="Z20" s="12">
        <f t="shared" si="4"/>
        <v>0</v>
      </c>
      <c r="AA20" s="4" t="s">
        <v>10</v>
      </c>
      <c r="AB20" s="11">
        <f>IFERROR(VLOOKUP(AA20,Curr!$B$2:$C$13,2,FALSE),0)</f>
        <v>11.3</v>
      </c>
      <c r="AC20" s="12">
        <f t="shared" si="5"/>
        <v>0</v>
      </c>
      <c r="AD20" s="12">
        <f t="shared" si="6"/>
        <v>0</v>
      </c>
      <c r="AE20" s="13">
        <f t="shared" si="7"/>
        <v>0</v>
      </c>
    </row>
    <row r="21" spans="2:31" x14ac:dyDescent="0.25">
      <c r="B21" s="4"/>
      <c r="C21" s="1" t="s">
        <v>78</v>
      </c>
      <c r="D21" s="1" t="s">
        <v>75</v>
      </c>
      <c r="E21" s="3"/>
      <c r="F21" s="3"/>
      <c r="G21" s="24"/>
      <c r="H21" s="24"/>
      <c r="J21" s="1" t="s">
        <v>79</v>
      </c>
      <c r="K21" s="4"/>
      <c r="L21" s="4"/>
      <c r="M21" s="4"/>
      <c r="N21" s="4"/>
      <c r="O21" s="4" t="s">
        <v>42</v>
      </c>
      <c r="P21" s="33" t="s">
        <v>80</v>
      </c>
      <c r="Q21" s="25">
        <v>1830</v>
      </c>
      <c r="R21" s="25">
        <v>2</v>
      </c>
      <c r="S21" s="12">
        <f t="shared" si="0"/>
        <v>3660</v>
      </c>
      <c r="T21" s="5">
        <v>0.2</v>
      </c>
      <c r="U21" s="12">
        <f t="shared" si="1"/>
        <v>2928</v>
      </c>
      <c r="V21" s="25" t="s">
        <v>8</v>
      </c>
      <c r="W21" s="11">
        <f>IFERROR(VLOOKUP(V21,[1]Curr!$B$2:$C$13,2,FALSE),0)</f>
        <v>1</v>
      </c>
      <c r="X21" s="12">
        <f t="shared" si="2"/>
        <v>2928</v>
      </c>
      <c r="Y21" s="26">
        <f>Q21/11.3/0.9</f>
        <v>179.9410029498525</v>
      </c>
      <c r="Z21" s="12">
        <f t="shared" si="4"/>
        <v>359.88200589970501</v>
      </c>
      <c r="AA21" s="4" t="s">
        <v>10</v>
      </c>
      <c r="AB21" s="11">
        <f>IFERROR(VLOOKUP(AA21,Curr!$B$2:$C$13,2,FALSE),0)</f>
        <v>11.3</v>
      </c>
      <c r="AC21" s="12">
        <f t="shared" si="5"/>
        <v>4066.666666666667</v>
      </c>
      <c r="AD21" s="12">
        <f t="shared" si="6"/>
        <v>1138.666666666667</v>
      </c>
      <c r="AE21" s="13">
        <f t="shared" si="7"/>
        <v>0.28000000000000003</v>
      </c>
    </row>
    <row r="22" spans="2:31" x14ac:dyDescent="0.25">
      <c r="B22" s="4"/>
      <c r="C22" s="1" t="s">
        <v>78</v>
      </c>
      <c r="D22" s="1" t="s">
        <v>66</v>
      </c>
      <c r="E22" s="3"/>
      <c r="F22" s="3"/>
      <c r="G22" s="24"/>
      <c r="H22" s="24"/>
      <c r="J22" s="1" t="s">
        <v>106</v>
      </c>
      <c r="K22" s="4"/>
      <c r="L22" s="4"/>
      <c r="M22" s="4"/>
      <c r="N22" s="4"/>
      <c r="O22" s="4"/>
      <c r="P22" s="33"/>
      <c r="Q22" s="25">
        <v>0</v>
      </c>
      <c r="R22" s="25">
        <v>0</v>
      </c>
      <c r="S22" s="12">
        <f t="shared" si="0"/>
        <v>0</v>
      </c>
      <c r="T22" s="5">
        <v>0</v>
      </c>
      <c r="U22" s="12">
        <f t="shared" si="1"/>
        <v>0</v>
      </c>
      <c r="V22" s="25" t="s">
        <v>10</v>
      </c>
      <c r="W22" s="11">
        <f>IFERROR(VLOOKUP(V22,[1]Curr!$B$2:$C$13,2,FALSE),0)</f>
        <v>11.3</v>
      </c>
      <c r="X22" s="12">
        <f t="shared" si="2"/>
        <v>0</v>
      </c>
      <c r="Y22" s="26">
        <f t="shared" si="9"/>
        <v>0</v>
      </c>
      <c r="Z22" s="12">
        <f t="shared" si="4"/>
        <v>0</v>
      </c>
      <c r="AA22" s="4" t="s">
        <v>10</v>
      </c>
      <c r="AB22" s="11">
        <f>IFERROR(VLOOKUP(AA22,Curr!$B$2:$C$13,2,FALSE),0)</f>
        <v>11.3</v>
      </c>
      <c r="AC22" s="12">
        <f t="shared" si="5"/>
        <v>0</v>
      </c>
      <c r="AD22" s="12">
        <f t="shared" si="6"/>
        <v>0</v>
      </c>
      <c r="AE22" s="13">
        <f t="shared" si="7"/>
        <v>0</v>
      </c>
    </row>
    <row r="23" spans="2:31" x14ac:dyDescent="0.25">
      <c r="B23" s="4"/>
      <c r="C23" s="1" t="s">
        <v>78</v>
      </c>
      <c r="D23" s="1" t="s">
        <v>67</v>
      </c>
      <c r="E23" s="3"/>
      <c r="F23" s="3"/>
      <c r="G23" s="24"/>
      <c r="H23" s="24"/>
      <c r="J23" s="1" t="s">
        <v>109</v>
      </c>
      <c r="K23" s="4"/>
      <c r="L23" s="4"/>
      <c r="M23" s="4"/>
      <c r="N23" s="4"/>
      <c r="O23" s="4"/>
      <c r="P23" s="33"/>
      <c r="Q23" s="25">
        <v>800</v>
      </c>
      <c r="R23" s="25">
        <v>1</v>
      </c>
      <c r="S23" s="12">
        <f t="shared" si="0"/>
        <v>800</v>
      </c>
      <c r="T23" s="5">
        <v>0</v>
      </c>
      <c r="U23" s="12">
        <f t="shared" si="1"/>
        <v>800</v>
      </c>
      <c r="V23" s="25" t="s">
        <v>10</v>
      </c>
      <c r="W23" s="11">
        <f>IFERROR(VLOOKUP(V23,[1]Curr!$B$2:$C$13,2,FALSE),0)</f>
        <v>11.3</v>
      </c>
      <c r="X23" s="12">
        <f t="shared" si="2"/>
        <v>9040</v>
      </c>
      <c r="Y23" s="26">
        <f>Q23/0.85</f>
        <v>941.17647058823536</v>
      </c>
      <c r="Z23" s="12">
        <f t="shared" si="4"/>
        <v>941.17647058823536</v>
      </c>
      <c r="AA23" s="4" t="s">
        <v>10</v>
      </c>
      <c r="AB23" s="11">
        <f>IFERROR(VLOOKUP(AA23,Curr!$B$2:$C$13,2,FALSE),0)</f>
        <v>11.3</v>
      </c>
      <c r="AC23" s="12">
        <f t="shared" si="5"/>
        <v>10635.294117647059</v>
      </c>
      <c r="AD23" s="12">
        <f t="shared" si="6"/>
        <v>1595.2941176470595</v>
      </c>
      <c r="AE23" s="13">
        <f t="shared" si="7"/>
        <v>0.15000000000000005</v>
      </c>
    </row>
    <row r="24" spans="2:31" x14ac:dyDescent="0.25">
      <c r="B24" s="4"/>
      <c r="C24" s="1" t="s">
        <v>78</v>
      </c>
      <c r="D24" s="1" t="s">
        <v>68</v>
      </c>
      <c r="E24" s="3"/>
      <c r="F24" s="3"/>
      <c r="G24" s="24"/>
      <c r="H24" s="24"/>
      <c r="J24" s="1" t="s">
        <v>81</v>
      </c>
      <c r="K24" s="4"/>
      <c r="L24" s="4"/>
      <c r="M24" s="4"/>
      <c r="N24" s="4"/>
      <c r="O24" s="4"/>
      <c r="P24" s="27"/>
      <c r="Q24" s="25">
        <v>0</v>
      </c>
      <c r="R24" s="25">
        <v>0</v>
      </c>
      <c r="S24" s="12">
        <f t="shared" si="0"/>
        <v>0</v>
      </c>
      <c r="T24" s="5">
        <v>0</v>
      </c>
      <c r="U24" s="12">
        <f t="shared" si="1"/>
        <v>0</v>
      </c>
      <c r="V24" s="25" t="s">
        <v>10</v>
      </c>
      <c r="W24" s="11">
        <f>IFERROR(VLOOKUP(V24,[1]Curr!$B$2:$C$13,2,FALSE),0)</f>
        <v>11.3</v>
      </c>
      <c r="X24" s="12">
        <f t="shared" si="2"/>
        <v>0</v>
      </c>
      <c r="Y24" s="26">
        <f t="shared" si="9"/>
        <v>0</v>
      </c>
      <c r="Z24" s="12">
        <f t="shared" si="4"/>
        <v>0</v>
      </c>
      <c r="AA24" s="4" t="s">
        <v>10</v>
      </c>
      <c r="AB24" s="11">
        <f>IFERROR(VLOOKUP(AA24,Curr!$B$2:$C$13,2,FALSE),0)</f>
        <v>11.3</v>
      </c>
      <c r="AC24" s="12">
        <f t="shared" si="5"/>
        <v>0</v>
      </c>
      <c r="AD24" s="12">
        <f t="shared" si="6"/>
        <v>0</v>
      </c>
      <c r="AE24" s="13">
        <f t="shared" si="7"/>
        <v>0</v>
      </c>
    </row>
    <row r="25" spans="2:31" x14ac:dyDescent="0.25">
      <c r="B25" s="4"/>
      <c r="E25" s="3"/>
      <c r="F25" s="3"/>
      <c r="G25" s="24"/>
      <c r="H25" s="24"/>
      <c r="K25" s="4"/>
      <c r="L25" s="4"/>
      <c r="M25" s="4"/>
      <c r="N25" s="4"/>
      <c r="O25" s="4"/>
      <c r="P25" s="27"/>
      <c r="Q25" s="25"/>
      <c r="R25" s="25"/>
      <c r="S25" s="12">
        <f t="shared" si="0"/>
        <v>0</v>
      </c>
      <c r="T25" s="5">
        <v>0</v>
      </c>
      <c r="U25" s="12">
        <f t="shared" si="1"/>
        <v>0</v>
      </c>
      <c r="V25" s="25" t="s">
        <v>10</v>
      </c>
      <c r="W25" s="11">
        <f>IFERROR(VLOOKUP(V25,[1]Curr!$B$2:$C$13,2,FALSE),0)</f>
        <v>11.3</v>
      </c>
      <c r="X25" s="12">
        <f t="shared" si="2"/>
        <v>0</v>
      </c>
      <c r="Y25" s="26">
        <f t="shared" si="8"/>
        <v>0</v>
      </c>
      <c r="Z25" s="12">
        <f t="shared" si="4"/>
        <v>0</v>
      </c>
      <c r="AA25" s="4" t="s">
        <v>10</v>
      </c>
      <c r="AB25" s="11">
        <f>IFERROR(VLOOKUP(AA25,Curr!$B$2:$C$13,2,FALSE),0)</f>
        <v>11.3</v>
      </c>
      <c r="AC25" s="12">
        <f t="shared" si="5"/>
        <v>0</v>
      </c>
      <c r="AD25" s="12">
        <f t="shared" si="6"/>
        <v>0</v>
      </c>
      <c r="AE25" s="13">
        <f t="shared" si="7"/>
        <v>0</v>
      </c>
    </row>
    <row r="26" spans="2:31" x14ac:dyDescent="0.25">
      <c r="B26" s="4"/>
      <c r="C26" s="1" t="s">
        <v>82</v>
      </c>
      <c r="D26" s="1" t="s">
        <v>75</v>
      </c>
      <c r="E26" s="3"/>
      <c r="F26" s="3"/>
      <c r="G26" s="24"/>
      <c r="H26" s="24"/>
      <c r="J26" s="1" t="s">
        <v>110</v>
      </c>
      <c r="K26" s="4"/>
      <c r="L26" s="4"/>
      <c r="M26" s="4"/>
      <c r="N26" s="4"/>
      <c r="O26" s="4" t="s">
        <v>42</v>
      </c>
      <c r="P26" s="33" t="s">
        <v>111</v>
      </c>
      <c r="Q26" s="25">
        <v>145</v>
      </c>
      <c r="R26" s="25">
        <v>2</v>
      </c>
      <c r="S26" s="12">
        <f t="shared" si="0"/>
        <v>290</v>
      </c>
      <c r="T26" s="5">
        <v>0.2</v>
      </c>
      <c r="U26" s="12">
        <f t="shared" si="1"/>
        <v>232</v>
      </c>
      <c r="V26" s="25" t="s">
        <v>10</v>
      </c>
      <c r="W26" s="11">
        <f>IFERROR(VLOOKUP(V26,[1]Curr!$B$2:$C$13,2,FALSE),0)</f>
        <v>11.3</v>
      </c>
      <c r="X26" s="12">
        <f t="shared" si="2"/>
        <v>2621.6000000000004</v>
      </c>
      <c r="Y26" s="26">
        <f t="shared" si="8"/>
        <v>145</v>
      </c>
      <c r="Z26" s="12">
        <f t="shared" si="4"/>
        <v>290</v>
      </c>
      <c r="AA26" s="4" t="s">
        <v>10</v>
      </c>
      <c r="AB26" s="11">
        <f>IFERROR(VLOOKUP(AA26,Curr!$B$2:$C$13,2,FALSE),0)</f>
        <v>11.3</v>
      </c>
      <c r="AC26" s="12">
        <f t="shared" si="5"/>
        <v>3277</v>
      </c>
      <c r="AD26" s="12">
        <f t="shared" si="6"/>
        <v>655.39999999999964</v>
      </c>
      <c r="AE26" s="13">
        <f t="shared" si="7"/>
        <v>0.1999999999999999</v>
      </c>
    </row>
    <row r="27" spans="2:31" x14ac:dyDescent="0.25">
      <c r="B27" s="4"/>
      <c r="C27" s="1" t="s">
        <v>82</v>
      </c>
      <c r="D27" s="1" t="s">
        <v>68</v>
      </c>
      <c r="E27" s="3"/>
      <c r="F27" s="3"/>
      <c r="G27" s="24"/>
      <c r="H27" s="24"/>
      <c r="J27" s="1" t="s">
        <v>81</v>
      </c>
      <c r="K27" s="4"/>
      <c r="L27" s="4"/>
      <c r="M27" s="4"/>
      <c r="N27" s="4"/>
      <c r="O27" s="4"/>
      <c r="P27" s="33"/>
      <c r="Q27" s="25">
        <v>0</v>
      </c>
      <c r="R27" s="25">
        <v>0</v>
      </c>
      <c r="S27" s="12">
        <f t="shared" si="0"/>
        <v>0</v>
      </c>
      <c r="T27" s="5">
        <v>0</v>
      </c>
      <c r="U27" s="12">
        <f t="shared" si="1"/>
        <v>0</v>
      </c>
      <c r="V27" s="25" t="s">
        <v>10</v>
      </c>
      <c r="W27" s="11">
        <f>IFERROR(VLOOKUP(V27,[1]Curr!$B$2:$C$13,2,FALSE),0)</f>
        <v>11.3</v>
      </c>
      <c r="X27" s="12">
        <f t="shared" si="2"/>
        <v>0</v>
      </c>
      <c r="Y27" s="26">
        <f t="shared" si="8"/>
        <v>0</v>
      </c>
      <c r="Z27" s="12">
        <f t="shared" si="4"/>
        <v>0</v>
      </c>
      <c r="AA27" s="4" t="s">
        <v>10</v>
      </c>
      <c r="AB27" s="11">
        <f>IFERROR(VLOOKUP(AA27,Curr!$B$2:$C$13,2,FALSE),0)</f>
        <v>11.3</v>
      </c>
      <c r="AC27" s="12">
        <f t="shared" si="5"/>
        <v>0</v>
      </c>
      <c r="AD27" s="12">
        <f t="shared" si="6"/>
        <v>0</v>
      </c>
      <c r="AE27" s="13">
        <f t="shared" si="7"/>
        <v>0</v>
      </c>
    </row>
    <row r="28" spans="2:31" x14ac:dyDescent="0.25">
      <c r="B28" s="4"/>
      <c r="C28" s="1" t="s">
        <v>82</v>
      </c>
      <c r="D28" s="1" t="s">
        <v>75</v>
      </c>
      <c r="E28" s="3"/>
      <c r="F28" s="3"/>
      <c r="G28" s="24"/>
      <c r="H28" s="24"/>
      <c r="J28" s="1" t="s">
        <v>92</v>
      </c>
      <c r="K28" s="4"/>
      <c r="L28" s="4"/>
      <c r="M28" s="4"/>
      <c r="N28" s="4"/>
      <c r="O28" s="4" t="s">
        <v>42</v>
      </c>
      <c r="P28" s="33" t="s">
        <v>93</v>
      </c>
      <c r="Q28" s="25">
        <v>105</v>
      </c>
      <c r="R28" s="25">
        <v>2</v>
      </c>
      <c r="S28" s="12">
        <f t="shared" si="0"/>
        <v>210</v>
      </c>
      <c r="T28" s="5">
        <v>0.2</v>
      </c>
      <c r="U28" s="12">
        <f t="shared" si="1"/>
        <v>168</v>
      </c>
      <c r="V28" s="25" t="s">
        <v>10</v>
      </c>
      <c r="W28" s="11">
        <f>IFERROR(VLOOKUP(V28,[1]Curr!$B$2:$C$13,2,FALSE),0)</f>
        <v>11.3</v>
      </c>
      <c r="X28" s="12">
        <f t="shared" si="2"/>
        <v>1898.4</v>
      </c>
      <c r="Y28" s="26">
        <f t="shared" si="8"/>
        <v>105</v>
      </c>
      <c r="Z28" s="12">
        <f t="shared" si="4"/>
        <v>210</v>
      </c>
      <c r="AA28" s="4" t="s">
        <v>10</v>
      </c>
      <c r="AB28" s="11">
        <f>IFERROR(VLOOKUP(AA28,Curr!$B$2:$C$13,2,FALSE),0)</f>
        <v>11.3</v>
      </c>
      <c r="AC28" s="12">
        <f t="shared" si="5"/>
        <v>2373</v>
      </c>
      <c r="AD28" s="12">
        <f t="shared" si="6"/>
        <v>474.59999999999991</v>
      </c>
      <c r="AE28" s="13">
        <f t="shared" si="7"/>
        <v>0.19999999999999996</v>
      </c>
    </row>
    <row r="29" spans="2:31" x14ac:dyDescent="0.25">
      <c r="B29" s="4"/>
      <c r="E29" s="3"/>
      <c r="F29" s="3"/>
      <c r="G29" s="24"/>
      <c r="H29" s="24"/>
      <c r="K29" s="4"/>
      <c r="L29" s="4"/>
      <c r="M29" s="4"/>
      <c r="N29" s="4"/>
      <c r="O29" s="4"/>
      <c r="P29" s="29"/>
      <c r="Q29" s="25"/>
      <c r="R29" s="25"/>
      <c r="S29" s="12">
        <f t="shared" si="0"/>
        <v>0</v>
      </c>
      <c r="T29" s="5">
        <v>0</v>
      </c>
      <c r="U29" s="12">
        <f t="shared" si="1"/>
        <v>0</v>
      </c>
      <c r="V29" s="25" t="s">
        <v>10</v>
      </c>
      <c r="W29" s="11">
        <f>IFERROR(VLOOKUP(V29,[1]Curr!$B$2:$C$13,2,FALSE),0)</f>
        <v>11.3</v>
      </c>
      <c r="X29" s="12">
        <f t="shared" si="2"/>
        <v>0</v>
      </c>
      <c r="Y29" s="26">
        <f t="shared" si="8"/>
        <v>0</v>
      </c>
      <c r="Z29" s="12">
        <f t="shared" si="4"/>
        <v>0</v>
      </c>
      <c r="AA29" s="4" t="s">
        <v>10</v>
      </c>
      <c r="AB29" s="11">
        <f>IFERROR(VLOOKUP(AA29,Curr!$B$2:$C$13,2,FALSE),0)</f>
        <v>11.3</v>
      </c>
      <c r="AC29" s="12">
        <f t="shared" si="5"/>
        <v>0</v>
      </c>
      <c r="AD29" s="12">
        <f t="shared" si="6"/>
        <v>0</v>
      </c>
      <c r="AE29" s="13">
        <f t="shared" si="7"/>
        <v>0</v>
      </c>
    </row>
    <row r="30" spans="2:31" x14ac:dyDescent="0.25">
      <c r="B30" s="4"/>
      <c r="C30" s="1" t="s">
        <v>83</v>
      </c>
      <c r="D30" s="1" t="s">
        <v>66</v>
      </c>
      <c r="E30" s="3"/>
      <c r="F30" s="3"/>
      <c r="G30" s="24"/>
      <c r="H30" s="24"/>
      <c r="J30" s="1" t="s">
        <v>137</v>
      </c>
      <c r="K30" s="4"/>
      <c r="L30" s="4"/>
      <c r="M30" s="4"/>
      <c r="N30" s="4"/>
      <c r="O30" s="4"/>
      <c r="P30" s="33"/>
      <c r="Q30" s="25">
        <v>0</v>
      </c>
      <c r="R30" s="25">
        <v>0</v>
      </c>
      <c r="S30" s="12">
        <f t="shared" si="0"/>
        <v>0</v>
      </c>
      <c r="T30" s="5">
        <v>0</v>
      </c>
      <c r="U30" s="12">
        <f t="shared" si="1"/>
        <v>0</v>
      </c>
      <c r="V30" s="25" t="s">
        <v>10</v>
      </c>
      <c r="W30" s="11">
        <f>IFERROR(VLOOKUP(V30,[1]Curr!$B$2:$C$13,2,FALSE),0)</f>
        <v>11.3</v>
      </c>
      <c r="X30" s="12">
        <f t="shared" si="2"/>
        <v>0</v>
      </c>
      <c r="Y30" s="26">
        <f t="shared" si="8"/>
        <v>0</v>
      </c>
      <c r="Z30" s="12">
        <f t="shared" si="4"/>
        <v>0</v>
      </c>
      <c r="AA30" s="4" t="s">
        <v>10</v>
      </c>
      <c r="AB30" s="11">
        <f>IFERROR(VLOOKUP(AA30,Curr!$B$2:$C$13,2,FALSE),0)</f>
        <v>11.3</v>
      </c>
      <c r="AC30" s="12">
        <f t="shared" si="5"/>
        <v>0</v>
      </c>
      <c r="AD30" s="12">
        <f t="shared" si="6"/>
        <v>0</v>
      </c>
      <c r="AE30" s="13">
        <f t="shared" si="7"/>
        <v>0</v>
      </c>
    </row>
    <row r="31" spans="2:31" x14ac:dyDescent="0.25">
      <c r="B31" s="4"/>
      <c r="C31" s="1" t="s">
        <v>83</v>
      </c>
      <c r="D31" s="1" t="s">
        <v>75</v>
      </c>
      <c r="E31" s="3"/>
      <c r="F31" s="3"/>
      <c r="G31" s="24"/>
      <c r="H31" s="24"/>
      <c r="J31" s="1" t="s">
        <v>141</v>
      </c>
      <c r="K31" s="4"/>
      <c r="L31" s="4"/>
      <c r="M31" s="4"/>
      <c r="N31" s="4"/>
      <c r="O31" s="4" t="s">
        <v>42</v>
      </c>
      <c r="P31" s="33" t="s">
        <v>142</v>
      </c>
      <c r="Q31" s="25">
        <v>375</v>
      </c>
      <c r="R31" s="25">
        <v>2</v>
      </c>
      <c r="S31" s="12">
        <f t="shared" si="0"/>
        <v>750</v>
      </c>
      <c r="T31" s="5">
        <v>0.2</v>
      </c>
      <c r="U31" s="12">
        <f t="shared" si="1"/>
        <v>600</v>
      </c>
      <c r="V31" s="25" t="s">
        <v>10</v>
      </c>
      <c r="W31" s="11">
        <f>IFERROR(VLOOKUP(V31,[1]Curr!$B$2:$C$13,2,FALSE),0)</f>
        <v>11.3</v>
      </c>
      <c r="X31" s="12">
        <f t="shared" si="2"/>
        <v>6780</v>
      </c>
      <c r="Y31" s="26">
        <f t="shared" si="8"/>
        <v>375</v>
      </c>
      <c r="Z31" s="12">
        <f t="shared" si="4"/>
        <v>750</v>
      </c>
      <c r="AA31" s="4" t="s">
        <v>10</v>
      </c>
      <c r="AB31" s="11">
        <f>IFERROR(VLOOKUP(AA31,Curr!$B$2:$C$13,2,FALSE),0)</f>
        <v>11.3</v>
      </c>
      <c r="AC31" s="12">
        <f t="shared" si="5"/>
        <v>8475</v>
      </c>
      <c r="AD31" s="12">
        <f t="shared" si="6"/>
        <v>1695</v>
      </c>
      <c r="AE31" s="13">
        <f t="shared" si="7"/>
        <v>0.2</v>
      </c>
    </row>
    <row r="32" spans="2:31" x14ac:dyDescent="0.25">
      <c r="B32" s="4"/>
      <c r="E32" s="3"/>
      <c r="F32" s="3"/>
      <c r="G32" s="24"/>
      <c r="H32" s="24"/>
      <c r="K32" s="4"/>
      <c r="L32" s="4"/>
      <c r="M32" s="4"/>
      <c r="N32" s="4"/>
      <c r="O32" s="4"/>
      <c r="P32" s="27"/>
      <c r="Q32" s="25"/>
      <c r="R32" s="25"/>
      <c r="S32" s="12">
        <f t="shared" si="0"/>
        <v>0</v>
      </c>
      <c r="T32" s="5">
        <v>0</v>
      </c>
      <c r="U32" s="12">
        <f t="shared" si="1"/>
        <v>0</v>
      </c>
      <c r="V32" s="25" t="s">
        <v>10</v>
      </c>
      <c r="W32" s="11">
        <f>IFERROR(VLOOKUP(V32,[1]Curr!$B$2:$C$13,2,FALSE),0)</f>
        <v>11.3</v>
      </c>
      <c r="X32" s="12">
        <f t="shared" si="2"/>
        <v>0</v>
      </c>
      <c r="Y32" s="26">
        <f t="shared" si="8"/>
        <v>0</v>
      </c>
      <c r="Z32" s="12">
        <f t="shared" si="4"/>
        <v>0</v>
      </c>
      <c r="AA32" s="4" t="s">
        <v>10</v>
      </c>
      <c r="AB32" s="11">
        <f>IFERROR(VLOOKUP(AA32,Curr!$B$2:$C$13,2,FALSE),0)</f>
        <v>11.3</v>
      </c>
      <c r="AC32" s="12">
        <f t="shared" si="5"/>
        <v>0</v>
      </c>
      <c r="AD32" s="12">
        <f t="shared" si="6"/>
        <v>0</v>
      </c>
      <c r="AE32" s="13">
        <f t="shared" si="7"/>
        <v>0</v>
      </c>
    </row>
    <row r="33" spans="2:31" x14ac:dyDescent="0.25">
      <c r="B33" s="4"/>
      <c r="C33" s="1" t="s">
        <v>84</v>
      </c>
      <c r="D33" s="1" t="s">
        <v>66</v>
      </c>
      <c r="E33" s="3"/>
      <c r="F33" s="3"/>
      <c r="G33" s="24"/>
      <c r="H33" s="24"/>
      <c r="J33" s="1" t="s">
        <v>136</v>
      </c>
      <c r="K33" s="4"/>
      <c r="L33" s="4"/>
      <c r="M33" s="4"/>
      <c r="N33" s="4"/>
      <c r="O33" s="4"/>
      <c r="P33" s="27"/>
      <c r="Q33" s="25">
        <v>0</v>
      </c>
      <c r="R33" s="25">
        <v>0</v>
      </c>
      <c r="S33" s="12">
        <f t="shared" si="0"/>
        <v>0</v>
      </c>
      <c r="T33" s="5">
        <v>0</v>
      </c>
      <c r="U33" s="12">
        <f t="shared" si="1"/>
        <v>0</v>
      </c>
      <c r="V33" s="25" t="s">
        <v>10</v>
      </c>
      <c r="W33" s="11">
        <f>IFERROR(VLOOKUP(V33,[1]Curr!$B$2:$C$13,2,FALSE),0)</f>
        <v>11.3</v>
      </c>
      <c r="X33" s="12">
        <f t="shared" si="2"/>
        <v>0</v>
      </c>
      <c r="Y33" s="26">
        <f t="shared" si="8"/>
        <v>0</v>
      </c>
      <c r="Z33" s="12">
        <f t="shared" si="4"/>
        <v>0</v>
      </c>
      <c r="AA33" s="4" t="s">
        <v>10</v>
      </c>
      <c r="AB33" s="11">
        <f>IFERROR(VLOOKUP(AA33,Curr!$B$2:$C$13,2,FALSE),0)</f>
        <v>11.3</v>
      </c>
      <c r="AC33" s="12">
        <f t="shared" si="5"/>
        <v>0</v>
      </c>
      <c r="AD33" s="12">
        <f t="shared" si="6"/>
        <v>0</v>
      </c>
      <c r="AE33" s="13">
        <f t="shared" si="7"/>
        <v>0</v>
      </c>
    </row>
    <row r="34" spans="2:31" x14ac:dyDescent="0.25">
      <c r="B34" s="4"/>
      <c r="C34" s="1" t="s">
        <v>84</v>
      </c>
      <c r="D34" s="1" t="s">
        <v>66</v>
      </c>
      <c r="E34" s="3"/>
      <c r="F34" s="3"/>
      <c r="G34" s="24"/>
      <c r="H34" s="24"/>
      <c r="J34" s="1" t="s">
        <v>106</v>
      </c>
      <c r="K34" s="4"/>
      <c r="L34" s="4"/>
      <c r="M34" s="4"/>
      <c r="N34" s="4"/>
      <c r="O34" s="4"/>
      <c r="P34" s="33"/>
      <c r="Q34" s="25">
        <v>0</v>
      </c>
      <c r="R34" s="25">
        <v>0</v>
      </c>
      <c r="S34" s="12">
        <f t="shared" si="0"/>
        <v>0</v>
      </c>
      <c r="T34" s="5">
        <v>0</v>
      </c>
      <c r="U34" s="12">
        <f t="shared" si="1"/>
        <v>0</v>
      </c>
      <c r="V34" s="25" t="s">
        <v>10</v>
      </c>
      <c r="W34" s="11">
        <f>IFERROR(VLOOKUP(V34,[1]Curr!$B$2:$C$13,2,FALSE),0)</f>
        <v>11.3</v>
      </c>
      <c r="X34" s="12">
        <f t="shared" si="2"/>
        <v>0</v>
      </c>
      <c r="Y34" s="26">
        <f t="shared" si="8"/>
        <v>0</v>
      </c>
      <c r="Z34" s="12">
        <f t="shared" si="4"/>
        <v>0</v>
      </c>
      <c r="AA34" s="4" t="s">
        <v>10</v>
      </c>
      <c r="AB34" s="11">
        <f>IFERROR(VLOOKUP(AA34,Curr!$B$2:$C$13,2,FALSE),0)</f>
        <v>11.3</v>
      </c>
      <c r="AC34" s="12">
        <f t="shared" si="5"/>
        <v>0</v>
      </c>
      <c r="AD34" s="12">
        <f t="shared" si="6"/>
        <v>0</v>
      </c>
      <c r="AE34" s="13">
        <f t="shared" si="7"/>
        <v>0</v>
      </c>
    </row>
    <row r="35" spans="2:31" x14ac:dyDescent="0.25">
      <c r="B35" s="4"/>
      <c r="C35" s="1" t="s">
        <v>84</v>
      </c>
      <c r="D35" s="1" t="s">
        <v>67</v>
      </c>
      <c r="E35" s="3"/>
      <c r="F35" s="3"/>
      <c r="G35" s="24"/>
      <c r="H35" s="24"/>
      <c r="J35" s="1" t="s">
        <v>138</v>
      </c>
      <c r="K35" s="4"/>
      <c r="L35" s="4"/>
      <c r="M35" s="4"/>
      <c r="N35" s="4"/>
      <c r="O35" s="4"/>
      <c r="P35" s="27"/>
      <c r="Q35" s="25">
        <v>310</v>
      </c>
      <c r="R35" s="25">
        <v>1</v>
      </c>
      <c r="S35" s="12">
        <f t="shared" si="0"/>
        <v>310</v>
      </c>
      <c r="T35" s="5">
        <v>0</v>
      </c>
      <c r="U35" s="12">
        <f t="shared" si="1"/>
        <v>310</v>
      </c>
      <c r="V35" s="25" t="s">
        <v>10</v>
      </c>
      <c r="W35" s="11">
        <f>IFERROR(VLOOKUP(V35,[1]Curr!$B$2:$C$13,2,FALSE),0)</f>
        <v>11.3</v>
      </c>
      <c r="X35" s="12">
        <f t="shared" si="2"/>
        <v>3503</v>
      </c>
      <c r="Y35" s="26">
        <f>Q35/0.8</f>
        <v>387.5</v>
      </c>
      <c r="Z35" s="12">
        <f t="shared" si="4"/>
        <v>387.5</v>
      </c>
      <c r="AA35" s="4" t="s">
        <v>10</v>
      </c>
      <c r="AB35" s="11">
        <f>IFERROR(VLOOKUP(AA35,Curr!$B$2:$C$13,2,FALSE),0)</f>
        <v>11.3</v>
      </c>
      <c r="AC35" s="12">
        <f t="shared" si="5"/>
        <v>4378.75</v>
      </c>
      <c r="AD35" s="12">
        <f t="shared" si="6"/>
        <v>875.75</v>
      </c>
      <c r="AE35" s="13">
        <f t="shared" si="7"/>
        <v>0.2</v>
      </c>
    </row>
    <row r="36" spans="2:31" x14ac:dyDescent="0.25">
      <c r="B36" s="4"/>
      <c r="C36" s="1" t="s">
        <v>84</v>
      </c>
      <c r="D36" s="1" t="s">
        <v>68</v>
      </c>
      <c r="E36" s="3"/>
      <c r="F36" s="3"/>
      <c r="G36" s="24"/>
      <c r="H36" s="24"/>
      <c r="J36" s="1" t="s">
        <v>81</v>
      </c>
      <c r="K36" s="4"/>
      <c r="L36" s="4"/>
      <c r="M36" s="4"/>
      <c r="N36" s="4"/>
      <c r="O36" s="4"/>
      <c r="P36" s="33"/>
      <c r="Q36" s="25">
        <v>0</v>
      </c>
      <c r="R36" s="25">
        <v>0</v>
      </c>
      <c r="S36" s="12">
        <f t="shared" si="0"/>
        <v>0</v>
      </c>
      <c r="T36" s="5">
        <v>0</v>
      </c>
      <c r="U36" s="12">
        <f t="shared" si="1"/>
        <v>0</v>
      </c>
      <c r="V36" s="25" t="s">
        <v>10</v>
      </c>
      <c r="W36" s="11">
        <f>IFERROR(VLOOKUP(V36,[1]Curr!$B$2:$C$13,2,FALSE),0)</f>
        <v>11.3</v>
      </c>
      <c r="X36" s="12">
        <f t="shared" si="2"/>
        <v>0</v>
      </c>
      <c r="Y36" s="26">
        <f t="shared" si="8"/>
        <v>0</v>
      </c>
      <c r="Z36" s="12">
        <f t="shared" si="4"/>
        <v>0</v>
      </c>
      <c r="AA36" s="4" t="s">
        <v>10</v>
      </c>
      <c r="AB36" s="11">
        <f>IFERROR(VLOOKUP(AA36,Curr!$B$2:$C$13,2,FALSE),0)</f>
        <v>11.3</v>
      </c>
      <c r="AC36" s="12">
        <f t="shared" si="5"/>
        <v>0</v>
      </c>
      <c r="AD36" s="12">
        <f t="shared" si="6"/>
        <v>0</v>
      </c>
      <c r="AE36" s="13">
        <f t="shared" si="7"/>
        <v>0</v>
      </c>
    </row>
    <row r="37" spans="2:31" x14ac:dyDescent="0.25">
      <c r="B37" s="4"/>
      <c r="E37" s="3"/>
      <c r="F37" s="3"/>
      <c r="G37" s="24"/>
      <c r="H37" s="24"/>
      <c r="K37" s="4"/>
      <c r="L37" s="4"/>
      <c r="M37" s="4"/>
      <c r="N37" s="4"/>
      <c r="O37" s="4"/>
      <c r="P37" s="33"/>
      <c r="Q37" s="25"/>
      <c r="R37" s="25"/>
      <c r="S37" s="12">
        <f t="shared" si="0"/>
        <v>0</v>
      </c>
      <c r="T37" s="5">
        <v>0</v>
      </c>
      <c r="U37" s="12">
        <f t="shared" si="1"/>
        <v>0</v>
      </c>
      <c r="V37" s="25" t="s">
        <v>10</v>
      </c>
      <c r="W37" s="11">
        <f>IFERROR(VLOOKUP(V37,[1]Curr!$B$2:$C$13,2,FALSE),0)</f>
        <v>11.3</v>
      </c>
      <c r="X37" s="12">
        <f t="shared" si="2"/>
        <v>0</v>
      </c>
      <c r="Y37" s="26">
        <f t="shared" si="8"/>
        <v>0</v>
      </c>
      <c r="Z37" s="12">
        <f t="shared" si="4"/>
        <v>0</v>
      </c>
      <c r="AA37" s="4" t="s">
        <v>10</v>
      </c>
      <c r="AB37" s="11">
        <f>IFERROR(VLOOKUP(AA37,Curr!$B$2:$C$13,2,FALSE),0)</f>
        <v>11.3</v>
      </c>
      <c r="AC37" s="12">
        <f t="shared" si="5"/>
        <v>0</v>
      </c>
      <c r="AD37" s="12">
        <f t="shared" si="6"/>
        <v>0</v>
      </c>
      <c r="AE37" s="13">
        <f t="shared" si="7"/>
        <v>0</v>
      </c>
    </row>
    <row r="38" spans="2:31" x14ac:dyDescent="0.25">
      <c r="B38" s="4"/>
      <c r="C38" s="1" t="s">
        <v>127</v>
      </c>
      <c r="D38" s="1" t="s">
        <v>66</v>
      </c>
      <c r="E38" s="3"/>
      <c r="F38" s="3"/>
      <c r="G38" s="24"/>
      <c r="H38" s="24"/>
      <c r="J38" s="1" t="s">
        <v>87</v>
      </c>
      <c r="K38" s="4"/>
      <c r="L38" s="4"/>
      <c r="M38" s="4"/>
      <c r="N38" s="4"/>
      <c r="O38" s="4"/>
      <c r="P38" s="33"/>
      <c r="Q38" s="25">
        <v>0</v>
      </c>
      <c r="R38" s="25">
        <v>0</v>
      </c>
      <c r="S38" s="12">
        <f t="shared" si="0"/>
        <v>0</v>
      </c>
      <c r="T38" s="5">
        <v>0</v>
      </c>
      <c r="U38" s="12">
        <f t="shared" si="1"/>
        <v>0</v>
      </c>
      <c r="V38" s="25" t="s">
        <v>10</v>
      </c>
      <c r="W38" s="11">
        <f>IFERROR(VLOOKUP(V38,[1]Curr!$B$2:$C$13,2,FALSE),0)</f>
        <v>11.3</v>
      </c>
      <c r="X38" s="12">
        <f t="shared" si="2"/>
        <v>0</v>
      </c>
      <c r="Y38" s="26">
        <f t="shared" si="8"/>
        <v>0</v>
      </c>
      <c r="Z38" s="12">
        <f t="shared" si="4"/>
        <v>0</v>
      </c>
      <c r="AA38" s="4" t="s">
        <v>10</v>
      </c>
      <c r="AB38" s="11">
        <f>IFERROR(VLOOKUP(AA38,Curr!$B$2:$C$13,2,FALSE),0)</f>
        <v>11.3</v>
      </c>
      <c r="AC38" s="12">
        <f t="shared" si="5"/>
        <v>0</v>
      </c>
      <c r="AD38" s="12">
        <f t="shared" si="6"/>
        <v>0</v>
      </c>
      <c r="AE38" s="13">
        <f t="shared" si="7"/>
        <v>0</v>
      </c>
    </row>
    <row r="39" spans="2:31" x14ac:dyDescent="0.25">
      <c r="B39" s="4"/>
      <c r="C39" s="1" t="s">
        <v>127</v>
      </c>
      <c r="D39" s="1" t="s">
        <v>85</v>
      </c>
      <c r="E39" s="3"/>
      <c r="F39" s="3"/>
      <c r="G39" s="24"/>
      <c r="H39" s="24"/>
      <c r="J39" s="1" t="s">
        <v>86</v>
      </c>
      <c r="K39" s="4"/>
      <c r="L39" s="4"/>
      <c r="M39" s="4"/>
      <c r="N39" s="4"/>
      <c r="O39" s="4"/>
      <c r="P39" s="33"/>
      <c r="Q39" s="25">
        <v>0</v>
      </c>
      <c r="R39" s="25">
        <v>0</v>
      </c>
      <c r="S39" s="12">
        <f t="shared" si="0"/>
        <v>0</v>
      </c>
      <c r="T39" s="5">
        <v>0</v>
      </c>
      <c r="U39" s="12">
        <f t="shared" si="1"/>
        <v>0</v>
      </c>
      <c r="V39" s="25" t="s">
        <v>10</v>
      </c>
      <c r="W39" s="11">
        <f>IFERROR(VLOOKUP(V39,[1]Curr!$B$2:$C$13,2,FALSE),0)</f>
        <v>11.3</v>
      </c>
      <c r="X39" s="12">
        <f t="shared" si="2"/>
        <v>0</v>
      </c>
      <c r="Y39" s="26">
        <f t="shared" si="8"/>
        <v>0</v>
      </c>
      <c r="Z39" s="12">
        <f t="shared" si="4"/>
        <v>0</v>
      </c>
      <c r="AA39" s="4" t="s">
        <v>10</v>
      </c>
      <c r="AB39" s="11">
        <f>IFERROR(VLOOKUP(AA39,Curr!$B$2:$C$13,2,FALSE),0)</f>
        <v>11.3</v>
      </c>
      <c r="AC39" s="12">
        <f t="shared" si="5"/>
        <v>0</v>
      </c>
      <c r="AD39" s="12">
        <f t="shared" si="6"/>
        <v>0</v>
      </c>
      <c r="AE39" s="13">
        <f t="shared" si="7"/>
        <v>0</v>
      </c>
    </row>
    <row r="40" spans="2:31" x14ac:dyDescent="0.25">
      <c r="B40" s="4"/>
      <c r="E40" s="3"/>
      <c r="F40" s="3"/>
      <c r="G40" s="24"/>
      <c r="H40" s="24"/>
      <c r="K40" s="4"/>
      <c r="L40" s="4"/>
      <c r="M40" s="4"/>
      <c r="N40" s="4"/>
      <c r="O40" s="4"/>
      <c r="P40" s="27"/>
      <c r="Q40" s="25"/>
      <c r="R40" s="25"/>
      <c r="S40" s="12">
        <f t="shared" si="0"/>
        <v>0</v>
      </c>
      <c r="T40" s="5">
        <v>0</v>
      </c>
      <c r="U40" s="12">
        <f t="shared" si="1"/>
        <v>0</v>
      </c>
      <c r="V40" s="25" t="s">
        <v>10</v>
      </c>
      <c r="W40" s="11">
        <f>IFERROR(VLOOKUP(V40,[1]Curr!$B$2:$C$13,2,FALSE),0)</f>
        <v>11.3</v>
      </c>
      <c r="X40" s="12">
        <f t="shared" si="2"/>
        <v>0</v>
      </c>
      <c r="Y40" s="26">
        <f t="shared" si="8"/>
        <v>0</v>
      </c>
      <c r="Z40" s="12">
        <f t="shared" si="4"/>
        <v>0</v>
      </c>
      <c r="AA40" s="4" t="s">
        <v>10</v>
      </c>
      <c r="AB40" s="11">
        <f>IFERROR(VLOOKUP(AA40,Curr!$B$2:$C$13,2,FALSE),0)</f>
        <v>11.3</v>
      </c>
      <c r="AC40" s="12">
        <f t="shared" si="5"/>
        <v>0</v>
      </c>
      <c r="AD40" s="12">
        <f t="shared" si="6"/>
        <v>0</v>
      </c>
      <c r="AE40" s="13">
        <f t="shared" si="7"/>
        <v>0</v>
      </c>
    </row>
    <row r="41" spans="2:31" x14ac:dyDescent="0.25">
      <c r="B41" s="4"/>
      <c r="E41" s="3"/>
      <c r="F41" s="3"/>
      <c r="G41" s="24"/>
      <c r="H41" s="24"/>
      <c r="K41" s="4"/>
      <c r="L41" s="4"/>
      <c r="M41" s="4"/>
      <c r="N41" s="4"/>
      <c r="O41" s="4"/>
      <c r="P41" s="33"/>
      <c r="Q41" s="25"/>
      <c r="R41" s="25"/>
      <c r="S41" s="12">
        <f t="shared" si="0"/>
        <v>0</v>
      </c>
      <c r="T41" s="5">
        <v>0</v>
      </c>
      <c r="U41" s="12">
        <f t="shared" si="1"/>
        <v>0</v>
      </c>
      <c r="V41" s="25" t="s">
        <v>10</v>
      </c>
      <c r="W41" s="11">
        <f>IFERROR(VLOOKUP(V41,[1]Curr!$B$2:$C$13,2,FALSE),0)</f>
        <v>11.3</v>
      </c>
      <c r="X41" s="12">
        <f t="shared" si="2"/>
        <v>0</v>
      </c>
      <c r="Y41" s="26">
        <f t="shared" si="8"/>
        <v>0</v>
      </c>
      <c r="Z41" s="12">
        <f t="shared" si="4"/>
        <v>0</v>
      </c>
      <c r="AA41" s="4" t="s">
        <v>10</v>
      </c>
      <c r="AB41" s="11">
        <f>IFERROR(VLOOKUP(AA41,Curr!$B$2:$C$13,2,FALSE),0)</f>
        <v>11.3</v>
      </c>
      <c r="AC41" s="12">
        <f t="shared" si="5"/>
        <v>0</v>
      </c>
      <c r="AD41" s="12">
        <f t="shared" si="6"/>
        <v>0</v>
      </c>
      <c r="AE41" s="13">
        <f t="shared" si="7"/>
        <v>0</v>
      </c>
    </row>
    <row r="42" spans="2:31" x14ac:dyDescent="0.25">
      <c r="B42" s="4"/>
      <c r="C42" s="1" t="s">
        <v>64</v>
      </c>
      <c r="D42" s="1" t="s">
        <v>112</v>
      </c>
      <c r="E42" s="3"/>
      <c r="F42" s="3"/>
      <c r="G42" s="24"/>
      <c r="H42" s="24"/>
      <c r="J42" s="1" t="s">
        <v>115</v>
      </c>
      <c r="K42" s="4"/>
      <c r="L42" s="4"/>
      <c r="M42" s="4"/>
      <c r="N42" s="4"/>
      <c r="O42" s="4"/>
      <c r="P42" s="33"/>
      <c r="Q42" s="25">
        <v>40</v>
      </c>
      <c r="R42" s="25">
        <v>0</v>
      </c>
      <c r="S42" s="12">
        <f t="shared" si="0"/>
        <v>0</v>
      </c>
      <c r="T42" s="5">
        <v>0</v>
      </c>
      <c r="U42" s="12">
        <f t="shared" si="1"/>
        <v>0</v>
      </c>
      <c r="V42" s="25" t="s">
        <v>10</v>
      </c>
      <c r="W42" s="11">
        <f>IFERROR(VLOOKUP(V42,[1]Curr!$B$2:$C$13,2,FALSE),0)</f>
        <v>11.3</v>
      </c>
      <c r="X42" s="12">
        <f t="shared" si="2"/>
        <v>0</v>
      </c>
      <c r="Y42" s="26">
        <f>Q42/0.67</f>
        <v>59.701492537313428</v>
      </c>
      <c r="Z42" s="12">
        <f t="shared" si="4"/>
        <v>0</v>
      </c>
      <c r="AA42" s="4" t="s">
        <v>10</v>
      </c>
      <c r="AB42" s="11">
        <f>IFERROR(VLOOKUP(AA42,Curr!$B$2:$C$13,2,FALSE),0)</f>
        <v>11.3</v>
      </c>
      <c r="AC42" s="12">
        <f t="shared" si="5"/>
        <v>0</v>
      </c>
      <c r="AD42" s="12">
        <f t="shared" si="6"/>
        <v>0</v>
      </c>
      <c r="AE42" s="13">
        <f t="shared" si="7"/>
        <v>0</v>
      </c>
    </row>
    <row r="43" spans="2:31" x14ac:dyDescent="0.25">
      <c r="B43" s="4"/>
      <c r="C43" s="1" t="s">
        <v>82</v>
      </c>
      <c r="D43" s="1" t="s">
        <v>112</v>
      </c>
      <c r="E43" s="3"/>
      <c r="F43" s="3"/>
      <c r="G43" s="24"/>
      <c r="H43" s="24"/>
      <c r="J43" s="1" t="s">
        <v>116</v>
      </c>
      <c r="K43" s="4"/>
      <c r="L43" s="4"/>
      <c r="M43" s="4"/>
      <c r="N43" s="4"/>
      <c r="O43" s="4"/>
      <c r="P43" s="27"/>
      <c r="Q43" s="25">
        <v>40</v>
      </c>
      <c r="R43" s="25">
        <v>0</v>
      </c>
      <c r="S43" s="12">
        <f t="shared" si="0"/>
        <v>0</v>
      </c>
      <c r="T43" s="5">
        <v>0</v>
      </c>
      <c r="U43" s="12">
        <f t="shared" si="1"/>
        <v>0</v>
      </c>
      <c r="V43" s="25" t="s">
        <v>10</v>
      </c>
      <c r="W43" s="11">
        <f>IFERROR(VLOOKUP(V43,[1]Curr!$B$2:$C$13,2,FALSE),0)</f>
        <v>11.3</v>
      </c>
      <c r="X43" s="12">
        <f t="shared" si="2"/>
        <v>0</v>
      </c>
      <c r="Y43" s="26">
        <f>Q43/0.67</f>
        <v>59.701492537313428</v>
      </c>
      <c r="Z43" s="12">
        <f t="shared" si="4"/>
        <v>0</v>
      </c>
      <c r="AA43" s="4" t="s">
        <v>10</v>
      </c>
      <c r="AB43" s="11">
        <f>IFERROR(VLOOKUP(AA43,Curr!$B$2:$C$13,2,FALSE),0)</f>
        <v>11.3</v>
      </c>
      <c r="AC43" s="12">
        <f t="shared" si="5"/>
        <v>0</v>
      </c>
      <c r="AD43" s="12">
        <f t="shared" si="6"/>
        <v>0</v>
      </c>
      <c r="AE43" s="13">
        <f t="shared" si="7"/>
        <v>0</v>
      </c>
    </row>
    <row r="44" spans="2:31" x14ac:dyDescent="0.25">
      <c r="B44" s="4"/>
      <c r="C44" s="1" t="s">
        <v>127</v>
      </c>
      <c r="D44" s="1" t="s">
        <v>112</v>
      </c>
      <c r="E44" s="3"/>
      <c r="F44" s="3"/>
      <c r="G44" s="24"/>
      <c r="H44" s="24"/>
      <c r="J44" s="1" t="s">
        <v>117</v>
      </c>
      <c r="K44" s="4"/>
      <c r="L44" s="4"/>
      <c r="M44" s="4"/>
      <c r="N44" s="4"/>
      <c r="O44" s="4"/>
      <c r="P44" s="33"/>
      <c r="Q44" s="25">
        <v>900</v>
      </c>
      <c r="R44" s="25">
        <v>0</v>
      </c>
      <c r="S44" s="12">
        <f t="shared" si="0"/>
        <v>0</v>
      </c>
      <c r="T44" s="5">
        <v>0</v>
      </c>
      <c r="U44" s="12">
        <f t="shared" si="1"/>
        <v>0</v>
      </c>
      <c r="V44" s="25" t="s">
        <v>10</v>
      </c>
      <c r="W44" s="11">
        <f>IFERROR(VLOOKUP(V44,[1]Curr!$B$2:$C$13,2,FALSE),0)</f>
        <v>11.3</v>
      </c>
      <c r="X44" s="12">
        <f t="shared" si="2"/>
        <v>0</v>
      </c>
      <c r="Y44" s="26">
        <f t="shared" ref="Y44" si="10">Q44</f>
        <v>900</v>
      </c>
      <c r="Z44" s="12">
        <f t="shared" si="4"/>
        <v>0</v>
      </c>
      <c r="AA44" s="4" t="s">
        <v>10</v>
      </c>
      <c r="AB44" s="11">
        <f>IFERROR(VLOOKUP(AA44,Curr!$B$2:$C$13,2,FALSE),0)</f>
        <v>11.3</v>
      </c>
      <c r="AC44" s="12">
        <f t="shared" si="5"/>
        <v>0</v>
      </c>
      <c r="AD44" s="12">
        <f t="shared" si="6"/>
        <v>0</v>
      </c>
      <c r="AE44" s="13">
        <f t="shared" si="7"/>
        <v>0</v>
      </c>
    </row>
    <row r="45" spans="2:31" x14ac:dyDescent="0.25">
      <c r="B45" s="4"/>
      <c r="E45" s="3"/>
      <c r="F45" s="3"/>
      <c r="G45" s="24"/>
      <c r="H45" s="24"/>
      <c r="K45" s="4"/>
      <c r="L45" s="4"/>
      <c r="M45" s="4"/>
      <c r="N45" s="4"/>
      <c r="O45" s="4"/>
      <c r="P45" s="27"/>
      <c r="Q45" s="25"/>
      <c r="R45" s="25"/>
      <c r="S45" s="12">
        <f t="shared" si="0"/>
        <v>0</v>
      </c>
      <c r="T45" s="5">
        <v>0</v>
      </c>
      <c r="U45" s="12">
        <f t="shared" si="1"/>
        <v>0</v>
      </c>
      <c r="V45" s="25" t="s">
        <v>10</v>
      </c>
      <c r="W45" s="11">
        <f>IFERROR(VLOOKUP(V45,[1]Curr!$B$2:$C$13,2,FALSE),0)</f>
        <v>11.3</v>
      </c>
      <c r="X45" s="12">
        <f t="shared" si="2"/>
        <v>0</v>
      </c>
      <c r="Y45" s="26">
        <f t="shared" si="8"/>
        <v>0</v>
      </c>
      <c r="Z45" s="12">
        <f t="shared" si="4"/>
        <v>0</v>
      </c>
      <c r="AA45" s="4" t="s">
        <v>10</v>
      </c>
      <c r="AB45" s="11">
        <f>IFERROR(VLOOKUP(AA45,Curr!$B$2:$C$13,2,FALSE),0)</f>
        <v>11.3</v>
      </c>
      <c r="AC45" s="12">
        <f t="shared" si="5"/>
        <v>0</v>
      </c>
      <c r="AD45" s="12">
        <f t="shared" si="6"/>
        <v>0</v>
      </c>
      <c r="AE45" s="13">
        <f t="shared" si="7"/>
        <v>0</v>
      </c>
    </row>
    <row r="46" spans="2:31" x14ac:dyDescent="0.25">
      <c r="B46" s="4"/>
      <c r="E46" s="3"/>
      <c r="F46" s="3"/>
      <c r="G46" s="24"/>
      <c r="H46" s="24"/>
      <c r="K46" s="4"/>
      <c r="L46" s="4"/>
      <c r="M46" s="4"/>
      <c r="N46" s="4"/>
      <c r="O46" s="4"/>
      <c r="P46" s="33"/>
      <c r="Q46" s="25"/>
      <c r="R46" s="25"/>
      <c r="S46" s="12">
        <f t="shared" si="0"/>
        <v>0</v>
      </c>
      <c r="T46" s="5">
        <v>0</v>
      </c>
      <c r="U46" s="12">
        <f t="shared" si="1"/>
        <v>0</v>
      </c>
      <c r="V46" s="25" t="s">
        <v>10</v>
      </c>
      <c r="W46" s="11">
        <f>IFERROR(VLOOKUP(V46,[1]Curr!$B$2:$C$13,2,FALSE),0)</f>
        <v>11.3</v>
      </c>
      <c r="X46" s="12">
        <f t="shared" si="2"/>
        <v>0</v>
      </c>
      <c r="Y46" s="26">
        <f t="shared" si="8"/>
        <v>0</v>
      </c>
      <c r="Z46" s="12">
        <f t="shared" si="4"/>
        <v>0</v>
      </c>
      <c r="AA46" s="4" t="s">
        <v>10</v>
      </c>
      <c r="AB46" s="11">
        <f>IFERROR(VLOOKUP(AA46,Curr!$B$2:$C$13,2,FALSE),0)</f>
        <v>11.3</v>
      </c>
      <c r="AC46" s="12">
        <f t="shared" si="5"/>
        <v>0</v>
      </c>
      <c r="AD46" s="12">
        <f t="shared" si="6"/>
        <v>0</v>
      </c>
      <c r="AE46" s="13">
        <f t="shared" si="7"/>
        <v>0</v>
      </c>
    </row>
    <row r="47" spans="2:31" x14ac:dyDescent="0.25">
      <c r="B47" s="4"/>
      <c r="C47" s="1" t="s">
        <v>76</v>
      </c>
      <c r="D47" s="1" t="s">
        <v>183</v>
      </c>
      <c r="E47" s="3"/>
      <c r="F47" s="3"/>
      <c r="G47" s="24"/>
      <c r="H47" s="24"/>
      <c r="J47" s="1" t="s">
        <v>184</v>
      </c>
      <c r="K47" s="4"/>
      <c r="L47" s="4"/>
      <c r="M47" s="4"/>
      <c r="N47" s="4"/>
      <c r="O47" s="4" t="s">
        <v>42</v>
      </c>
      <c r="P47" s="33" t="s">
        <v>185</v>
      </c>
      <c r="Q47" s="25">
        <v>252</v>
      </c>
      <c r="R47" s="25">
        <v>0</v>
      </c>
      <c r="S47" s="12">
        <f t="shared" si="0"/>
        <v>0</v>
      </c>
      <c r="T47" s="5">
        <v>0.2</v>
      </c>
      <c r="U47" s="12">
        <f t="shared" si="1"/>
        <v>0</v>
      </c>
      <c r="V47" s="25" t="s">
        <v>10</v>
      </c>
      <c r="W47" s="11">
        <f>IFERROR(VLOOKUP(V47,[1]Curr!$B$2:$C$13,2,FALSE),0)</f>
        <v>11.3</v>
      </c>
      <c r="X47" s="12">
        <f t="shared" si="2"/>
        <v>0</v>
      </c>
      <c r="Y47" s="26">
        <f t="shared" si="8"/>
        <v>252</v>
      </c>
      <c r="Z47" s="12">
        <f t="shared" si="4"/>
        <v>0</v>
      </c>
      <c r="AA47" s="4" t="s">
        <v>10</v>
      </c>
      <c r="AB47" s="11">
        <f>IFERROR(VLOOKUP(AA47,Curr!$B$2:$C$13,2,FALSE),0)</f>
        <v>11.3</v>
      </c>
      <c r="AC47" s="12">
        <f t="shared" si="5"/>
        <v>0</v>
      </c>
      <c r="AD47" s="12">
        <f t="shared" si="6"/>
        <v>0</v>
      </c>
      <c r="AE47" s="13">
        <f t="shared" si="7"/>
        <v>0</v>
      </c>
    </row>
    <row r="48" spans="2:31" x14ac:dyDescent="0.25">
      <c r="B48" s="4"/>
      <c r="C48" s="1" t="s">
        <v>77</v>
      </c>
      <c r="D48" s="1" t="s">
        <v>118</v>
      </c>
      <c r="E48" s="3"/>
      <c r="F48" s="3"/>
      <c r="G48" s="24"/>
      <c r="H48" s="24"/>
      <c r="J48" s="1" t="s">
        <v>186</v>
      </c>
      <c r="K48" s="4"/>
      <c r="L48" s="4"/>
      <c r="M48" s="4"/>
      <c r="N48" s="4"/>
      <c r="O48" s="4" t="s">
        <v>42</v>
      </c>
      <c r="P48" s="33" t="s">
        <v>187</v>
      </c>
      <c r="Q48" s="25">
        <v>500</v>
      </c>
      <c r="R48" s="25">
        <v>0</v>
      </c>
      <c r="S48" s="12">
        <f t="shared" si="0"/>
        <v>0</v>
      </c>
      <c r="T48" s="5">
        <v>0.12</v>
      </c>
      <c r="U48" s="12">
        <f t="shared" si="1"/>
        <v>0</v>
      </c>
      <c r="V48" s="25" t="s">
        <v>10</v>
      </c>
      <c r="W48" s="11">
        <f>IFERROR(VLOOKUP(V48,[1]Curr!$B$2:$C$13,2,FALSE),0)</f>
        <v>11.3</v>
      </c>
      <c r="X48" s="12">
        <f t="shared" si="2"/>
        <v>0</v>
      </c>
      <c r="Y48" s="26">
        <f>Q48/0.97</f>
        <v>515.46391752577324</v>
      </c>
      <c r="Z48" s="12">
        <f t="shared" si="4"/>
        <v>0</v>
      </c>
      <c r="AA48" s="4" t="s">
        <v>10</v>
      </c>
      <c r="AB48" s="11">
        <f>IFERROR(VLOOKUP(AA48,Curr!$B$2:$C$13,2,FALSE),0)</f>
        <v>11.3</v>
      </c>
      <c r="AC48" s="12">
        <f t="shared" si="5"/>
        <v>0</v>
      </c>
      <c r="AD48" s="12">
        <f t="shared" si="6"/>
        <v>0</v>
      </c>
      <c r="AE48" s="13">
        <f t="shared" si="7"/>
        <v>0</v>
      </c>
    </row>
    <row r="49" spans="2:36" x14ac:dyDescent="0.25">
      <c r="B49" s="4"/>
      <c r="C49" s="1" t="s">
        <v>77</v>
      </c>
      <c r="D49" s="1" t="s">
        <v>118</v>
      </c>
      <c r="E49" s="3"/>
      <c r="F49" s="3"/>
      <c r="G49" s="24"/>
      <c r="H49" s="24"/>
      <c r="J49" s="1" t="s">
        <v>197</v>
      </c>
      <c r="K49" s="4"/>
      <c r="L49" s="4"/>
      <c r="M49" s="4"/>
      <c r="N49" s="4"/>
      <c r="O49" s="4"/>
      <c r="P49" s="27" t="s">
        <v>198</v>
      </c>
      <c r="Q49" s="25">
        <v>159</v>
      </c>
      <c r="R49" s="25">
        <v>0</v>
      </c>
      <c r="S49" s="12">
        <f t="shared" si="0"/>
        <v>0</v>
      </c>
      <c r="T49" s="5">
        <v>0.3</v>
      </c>
      <c r="U49" s="12">
        <f t="shared" si="1"/>
        <v>0</v>
      </c>
      <c r="V49" s="25" t="s">
        <v>10</v>
      </c>
      <c r="W49" s="11">
        <f>IFERROR(VLOOKUP(V49,[1]Curr!$B$2:$C$13,2,FALSE),0)</f>
        <v>11.3</v>
      </c>
      <c r="X49" s="12">
        <f t="shared" si="2"/>
        <v>0</v>
      </c>
      <c r="Y49" s="26">
        <f t="shared" ref="Y49" si="11">Q49</f>
        <v>159</v>
      </c>
      <c r="Z49" s="12">
        <f t="shared" si="4"/>
        <v>0</v>
      </c>
      <c r="AA49" s="4" t="s">
        <v>10</v>
      </c>
      <c r="AB49" s="11">
        <f>IFERROR(VLOOKUP(AA49,Curr!$B$2:$C$13,2,FALSE),0)</f>
        <v>11.3</v>
      </c>
      <c r="AC49" s="12">
        <f t="shared" ref="AC49" si="12">+Y49*AB49*R49</f>
        <v>0</v>
      </c>
      <c r="AD49" s="12">
        <f t="shared" ref="AD49" si="13">+AC49-X49</f>
        <v>0</v>
      </c>
      <c r="AE49" s="13">
        <f t="shared" ref="AE49" si="14">IFERROR(AD49/AC49,0)</f>
        <v>0</v>
      </c>
    </row>
    <row r="50" spans="2:36" x14ac:dyDescent="0.25">
      <c r="B50" s="4"/>
      <c r="C50" s="1" t="s">
        <v>82</v>
      </c>
      <c r="D50" s="1" t="s">
        <v>118</v>
      </c>
      <c r="E50" s="3"/>
      <c r="F50" s="3"/>
      <c r="G50" s="24"/>
      <c r="H50" s="24"/>
      <c r="J50" s="1" t="s">
        <v>188</v>
      </c>
      <c r="K50" s="4"/>
      <c r="L50" s="4"/>
      <c r="M50" s="4"/>
      <c r="N50" s="4"/>
      <c r="O50" s="4" t="s">
        <v>42</v>
      </c>
      <c r="P50" s="33" t="s">
        <v>189</v>
      </c>
      <c r="Q50" s="25">
        <v>2195</v>
      </c>
      <c r="R50" s="25">
        <v>0</v>
      </c>
      <c r="S50" s="12">
        <f t="shared" si="0"/>
        <v>0</v>
      </c>
      <c r="T50" s="5">
        <v>0.2</v>
      </c>
      <c r="U50" s="12">
        <f t="shared" si="1"/>
        <v>0</v>
      </c>
      <c r="V50" s="25" t="s">
        <v>8</v>
      </c>
      <c r="W50" s="11">
        <f>IFERROR(VLOOKUP(V50,[1]Curr!$B$2:$C$13,2,FALSE),0)</f>
        <v>1</v>
      </c>
      <c r="X50" s="12">
        <f t="shared" si="2"/>
        <v>0</v>
      </c>
      <c r="Y50" s="26">
        <f t="shared" ref="Y50" si="15">Q50/11.3</f>
        <v>194.24778761061947</v>
      </c>
      <c r="Z50" s="12">
        <f t="shared" si="4"/>
        <v>0</v>
      </c>
      <c r="AA50" s="4" t="s">
        <v>10</v>
      </c>
      <c r="AB50" s="11">
        <f>IFERROR(VLOOKUP(AA50,Curr!$B$2:$C$13,2,FALSE),0)</f>
        <v>11.3</v>
      </c>
      <c r="AC50" s="12">
        <f t="shared" si="5"/>
        <v>0</v>
      </c>
      <c r="AD50" s="12">
        <f t="shared" si="6"/>
        <v>0</v>
      </c>
      <c r="AE50" s="13">
        <f t="shared" si="7"/>
        <v>0</v>
      </c>
    </row>
    <row r="51" spans="2:36" x14ac:dyDescent="0.25">
      <c r="B51" s="4"/>
      <c r="E51" s="3"/>
      <c r="F51" s="3"/>
      <c r="G51" s="24"/>
      <c r="H51" s="24"/>
      <c r="K51" s="4"/>
      <c r="L51" s="4"/>
      <c r="M51" s="4"/>
      <c r="N51" s="4"/>
      <c r="O51" s="4"/>
      <c r="P51" s="27"/>
      <c r="Q51" s="25"/>
      <c r="R51" s="25"/>
      <c r="S51" s="12">
        <f t="shared" si="0"/>
        <v>0</v>
      </c>
      <c r="T51" s="5">
        <v>0</v>
      </c>
      <c r="U51" s="12">
        <f t="shared" si="1"/>
        <v>0</v>
      </c>
      <c r="V51" s="25" t="s">
        <v>10</v>
      </c>
      <c r="W51" s="11">
        <f>IFERROR(VLOOKUP(V51,[1]Curr!$B$2:$C$13,2,FALSE),0)</f>
        <v>11.3</v>
      </c>
      <c r="X51" s="12">
        <f t="shared" si="2"/>
        <v>0</v>
      </c>
      <c r="Y51" s="26">
        <f t="shared" si="8"/>
        <v>0</v>
      </c>
      <c r="Z51" s="12">
        <f t="shared" si="4"/>
        <v>0</v>
      </c>
      <c r="AA51" s="4" t="s">
        <v>10</v>
      </c>
      <c r="AB51" s="11">
        <f>IFERROR(VLOOKUP(AA51,Curr!$B$2:$C$13,2,FALSE),0)</f>
        <v>11.3</v>
      </c>
      <c r="AC51" s="12">
        <f t="shared" si="5"/>
        <v>0</v>
      </c>
      <c r="AD51" s="12">
        <f t="shared" si="6"/>
        <v>0</v>
      </c>
      <c r="AE51" s="13">
        <f t="shared" si="7"/>
        <v>0</v>
      </c>
    </row>
    <row r="52" spans="2:36" x14ac:dyDescent="0.25">
      <c r="B52" s="4"/>
      <c r="E52" s="3"/>
      <c r="F52" s="3"/>
      <c r="G52" s="24"/>
      <c r="H52" s="24"/>
      <c r="K52" s="4"/>
      <c r="L52" s="4"/>
      <c r="M52" s="4"/>
      <c r="N52" s="4"/>
      <c r="O52" s="4"/>
      <c r="P52" s="27"/>
      <c r="Q52" s="25"/>
      <c r="R52" s="25"/>
      <c r="S52" s="12">
        <f t="shared" si="0"/>
        <v>0</v>
      </c>
      <c r="T52" s="5">
        <v>0</v>
      </c>
      <c r="U52" s="12">
        <f t="shared" si="1"/>
        <v>0</v>
      </c>
      <c r="V52" s="25" t="s">
        <v>10</v>
      </c>
      <c r="W52" s="11">
        <f>IFERROR(VLOOKUP(V52,[1]Curr!$B$2:$C$13,2,FALSE),0)</f>
        <v>11.3</v>
      </c>
      <c r="X52" s="12">
        <f t="shared" si="2"/>
        <v>0</v>
      </c>
      <c r="Y52" s="26">
        <f t="shared" si="8"/>
        <v>0</v>
      </c>
      <c r="Z52" s="12">
        <f t="shared" si="4"/>
        <v>0</v>
      </c>
      <c r="AA52" s="4" t="s">
        <v>10</v>
      </c>
      <c r="AB52" s="11">
        <f>IFERROR(VLOOKUP(AA52,Curr!$B$2:$C$13,2,FALSE),0)</f>
        <v>11.3</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0"/>
        <v>0</v>
      </c>
      <c r="T53" s="5">
        <v>0</v>
      </c>
      <c r="U53" s="12">
        <f t="shared" si="1"/>
        <v>0</v>
      </c>
      <c r="V53" s="25" t="s">
        <v>10</v>
      </c>
      <c r="W53" s="11">
        <f>IFERROR(VLOOKUP(V53,[1]Curr!$B$2:$C$13,2,FALSE),0)</f>
        <v>11.3</v>
      </c>
      <c r="X53" s="12">
        <f t="shared" si="2"/>
        <v>0</v>
      </c>
      <c r="Y53" s="26">
        <f t="shared" si="8"/>
        <v>0</v>
      </c>
      <c r="Z53" s="12">
        <f t="shared" si="4"/>
        <v>0</v>
      </c>
      <c r="AA53" s="4" t="s">
        <v>10</v>
      </c>
      <c r="AB53" s="11">
        <f>IFERROR(VLOOKUP(AA53,Curr!$B$2:$C$13,2,FALSE),0)</f>
        <v>11.3</v>
      </c>
      <c r="AC53" s="12">
        <f t="shared" si="5"/>
        <v>0</v>
      </c>
      <c r="AD53" s="12">
        <f t="shared" si="6"/>
        <v>0</v>
      </c>
      <c r="AE53" s="13">
        <f t="shared" si="7"/>
        <v>0</v>
      </c>
    </row>
    <row r="54" spans="2:36" x14ac:dyDescent="0.25">
      <c r="B54" s="4"/>
      <c r="E54" s="3"/>
      <c r="F54" s="3"/>
      <c r="G54" s="24"/>
      <c r="H54" s="24"/>
      <c r="K54" s="4"/>
      <c r="L54" s="4"/>
      <c r="M54" s="4"/>
      <c r="N54" s="4"/>
      <c r="O54" s="4"/>
      <c r="P54" s="27"/>
      <c r="Q54" s="25"/>
      <c r="R54" s="25"/>
      <c r="S54" s="12">
        <f t="shared" si="0"/>
        <v>0</v>
      </c>
      <c r="T54" s="5">
        <v>0</v>
      </c>
      <c r="U54" s="12">
        <f t="shared" si="1"/>
        <v>0</v>
      </c>
      <c r="V54" s="25" t="s">
        <v>10</v>
      </c>
      <c r="W54" s="11">
        <f>IFERROR(VLOOKUP(V54,[1]Curr!$B$2:$C$13,2,FALSE),0)</f>
        <v>11.3</v>
      </c>
      <c r="X54" s="12">
        <f t="shared" si="2"/>
        <v>0</v>
      </c>
      <c r="Y54" s="26">
        <f t="shared" si="8"/>
        <v>0</v>
      </c>
      <c r="Z54" s="12">
        <f t="shared" si="4"/>
        <v>0</v>
      </c>
      <c r="AA54" s="4" t="s">
        <v>10</v>
      </c>
      <c r="AB54" s="11">
        <f>IFERROR(VLOOKUP(AA54,Curr!$B$2:$C$13,2,FALSE),0)</f>
        <v>11.3</v>
      </c>
      <c r="AC54" s="12">
        <f t="shared" si="5"/>
        <v>0</v>
      </c>
      <c r="AD54" s="12">
        <f t="shared" si="6"/>
        <v>0</v>
      </c>
      <c r="AE54" s="13">
        <f t="shared" si="7"/>
        <v>0</v>
      </c>
    </row>
    <row r="55" spans="2:36" x14ac:dyDescent="0.25">
      <c r="B55" s="4"/>
      <c r="E55" s="3"/>
      <c r="F55" s="3"/>
      <c r="G55" s="24"/>
      <c r="H55" s="24"/>
      <c r="K55" s="4"/>
      <c r="L55" s="4"/>
      <c r="M55" s="4"/>
      <c r="N55" s="4"/>
      <c r="O55" s="4"/>
      <c r="P55" s="27"/>
      <c r="Q55" s="25"/>
      <c r="R55" s="25"/>
      <c r="S55" s="12">
        <f t="shared" si="0"/>
        <v>0</v>
      </c>
      <c r="T55" s="5">
        <v>0</v>
      </c>
      <c r="U55" s="12">
        <f t="shared" si="1"/>
        <v>0</v>
      </c>
      <c r="V55" s="25" t="s">
        <v>10</v>
      </c>
      <c r="W55" s="11">
        <f>IFERROR(VLOOKUP(V55,[1]Curr!$B$2:$C$13,2,FALSE),0)</f>
        <v>11.3</v>
      </c>
      <c r="X55" s="12">
        <f t="shared" si="2"/>
        <v>0</v>
      </c>
      <c r="Y55" s="26">
        <f t="shared" si="8"/>
        <v>0</v>
      </c>
      <c r="Z55" s="12">
        <f t="shared" si="4"/>
        <v>0</v>
      </c>
      <c r="AA55" s="4" t="s">
        <v>10</v>
      </c>
      <c r="AB55" s="11">
        <f>IFERROR(VLOOKUP(AA55,Curr!$B$2:$C$13,2,FALSE),0)</f>
        <v>11.3</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0"/>
        <v>0</v>
      </c>
      <c r="T56" s="5">
        <v>0</v>
      </c>
      <c r="U56" s="12">
        <f t="shared" si="1"/>
        <v>0</v>
      </c>
      <c r="V56" s="25" t="s">
        <v>10</v>
      </c>
      <c r="W56" s="11">
        <f>IFERROR(VLOOKUP(V56,[1]Curr!$B$2:$C$13,2,FALSE),0)</f>
        <v>11.3</v>
      </c>
      <c r="X56" s="12">
        <f t="shared" si="2"/>
        <v>0</v>
      </c>
      <c r="Y56" s="26">
        <f t="shared" si="8"/>
        <v>0</v>
      </c>
      <c r="Z56" s="12">
        <f t="shared" si="4"/>
        <v>0</v>
      </c>
      <c r="AA56" s="4" t="s">
        <v>10</v>
      </c>
      <c r="AB56" s="11">
        <f>IFERROR(VLOOKUP(AA56,Curr!$B$2:$C$13,2,FALSE),0)</f>
        <v>11.3</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0"/>
        <v>0</v>
      </c>
      <c r="T57" s="5">
        <v>0</v>
      </c>
      <c r="U57" s="12">
        <f t="shared" si="1"/>
        <v>0</v>
      </c>
      <c r="V57" s="25" t="s">
        <v>10</v>
      </c>
      <c r="W57" s="11">
        <f>IFERROR(VLOOKUP(V57,[1]Curr!$B$2:$C$13,2,FALSE),0)</f>
        <v>11.3</v>
      </c>
      <c r="X57" s="12">
        <f t="shared" si="2"/>
        <v>0</v>
      </c>
      <c r="Y57" s="26">
        <f t="shared" si="8"/>
        <v>0</v>
      </c>
      <c r="Z57" s="12">
        <f t="shared" si="4"/>
        <v>0</v>
      </c>
      <c r="AA57" s="4" t="s">
        <v>10</v>
      </c>
      <c r="AB57" s="11">
        <f>IFERROR(VLOOKUP(AA57,Curr!$B$2:$C$13,2,FALSE),0)</f>
        <v>11.3</v>
      </c>
      <c r="AC57" s="12">
        <f t="shared" si="5"/>
        <v>0</v>
      </c>
      <c r="AD57" s="12">
        <f t="shared" si="6"/>
        <v>0</v>
      </c>
      <c r="AE57" s="13">
        <f t="shared" si="7"/>
        <v>0</v>
      </c>
    </row>
    <row r="58" spans="2:36" x14ac:dyDescent="0.25">
      <c r="B58" s="4"/>
      <c r="E58" s="3"/>
      <c r="F58" s="3"/>
      <c r="G58" s="24"/>
      <c r="H58" s="24"/>
      <c r="K58" s="4"/>
      <c r="L58" s="4"/>
      <c r="M58" s="4"/>
      <c r="N58" s="4"/>
      <c r="O58" s="4"/>
      <c r="P58" s="27"/>
      <c r="Q58" s="25"/>
      <c r="R58" s="25"/>
      <c r="S58" s="12">
        <f t="shared" si="0"/>
        <v>0</v>
      </c>
      <c r="T58" s="5">
        <v>0</v>
      </c>
      <c r="U58" s="12">
        <f t="shared" si="1"/>
        <v>0</v>
      </c>
      <c r="V58" s="25" t="s">
        <v>10</v>
      </c>
      <c r="W58" s="11">
        <f>IFERROR(VLOOKUP(V58,[1]Curr!$B$2:$C$13,2,FALSE),0)</f>
        <v>11.3</v>
      </c>
      <c r="X58" s="12">
        <f t="shared" si="2"/>
        <v>0</v>
      </c>
      <c r="Y58" s="26">
        <f t="shared" si="8"/>
        <v>0</v>
      </c>
      <c r="Z58" s="12">
        <f t="shared" si="4"/>
        <v>0</v>
      </c>
      <c r="AA58" s="4" t="s">
        <v>10</v>
      </c>
      <c r="AB58" s="11">
        <f>IFERROR(VLOOKUP(AA58,Curr!$B$2:$C$13,2,FALSE),0)</f>
        <v>11.3</v>
      </c>
      <c r="AC58" s="12">
        <f t="shared" si="5"/>
        <v>0</v>
      </c>
      <c r="AD58" s="12">
        <f t="shared" si="6"/>
        <v>0</v>
      </c>
      <c r="AE58" s="13">
        <f t="shared" si="7"/>
        <v>0</v>
      </c>
    </row>
    <row r="59" spans="2:36" x14ac:dyDescent="0.25">
      <c r="B59" s="4"/>
      <c r="E59" s="3"/>
      <c r="F59" s="3"/>
      <c r="G59" s="3"/>
      <c r="H59" s="3"/>
      <c r="L59" s="4"/>
      <c r="M59" s="4"/>
      <c r="N59" s="4"/>
      <c r="O59" s="4"/>
      <c r="P59" s="22"/>
      <c r="Q59" s="4"/>
      <c r="R59" s="4"/>
      <c r="S59" s="4"/>
      <c r="T59" s="4"/>
      <c r="U59" s="4"/>
      <c r="V59" s="4"/>
      <c r="W59" s="4"/>
      <c r="X59" s="4"/>
      <c r="Y59" s="4"/>
      <c r="Z59" s="4"/>
      <c r="AA59" s="4"/>
      <c r="AB59" s="4"/>
      <c r="AC59" s="4"/>
      <c r="AD59" s="4"/>
      <c r="AE59" s="4"/>
      <c r="AF59" s="4"/>
    </row>
    <row r="60" spans="2:36" x14ac:dyDescent="0.25">
      <c r="B60" s="14" t="s">
        <v>18</v>
      </c>
      <c r="C60" s="14"/>
      <c r="D60" s="28" t="s">
        <v>42</v>
      </c>
      <c r="E60" s="30" t="s">
        <v>42</v>
      </c>
      <c r="F60" s="30" t="s">
        <v>42</v>
      </c>
      <c r="G60" s="30" t="s">
        <v>42</v>
      </c>
      <c r="H60" s="30" t="s">
        <v>42</v>
      </c>
      <c r="I60" s="28" t="s">
        <v>42</v>
      </c>
      <c r="J60" s="28" t="s">
        <v>42</v>
      </c>
      <c r="K60" s="28" t="s">
        <v>42</v>
      </c>
      <c r="L60" s="28" t="s">
        <v>42</v>
      </c>
      <c r="M60" s="28" t="s">
        <v>42</v>
      </c>
      <c r="N60" s="28" t="s">
        <v>42</v>
      </c>
      <c r="O60" s="28" t="s">
        <v>42</v>
      </c>
      <c r="P60" s="28" t="s">
        <v>42</v>
      </c>
      <c r="Q60" s="31" t="s">
        <v>42</v>
      </c>
      <c r="R60" s="28" t="s">
        <v>42</v>
      </c>
      <c r="S60" s="32" t="s">
        <v>42</v>
      </c>
      <c r="T60" s="28" t="s">
        <v>42</v>
      </c>
      <c r="U60" s="32" t="s">
        <v>42</v>
      </c>
      <c r="V60" s="28" t="s">
        <v>42</v>
      </c>
      <c r="W60" s="28" t="s">
        <v>42</v>
      </c>
      <c r="X60" s="32" t="s">
        <v>42</v>
      </c>
      <c r="Y60" s="32" t="s">
        <v>42</v>
      </c>
      <c r="Z60" s="15">
        <f>SUM(Z7:Z58)</f>
        <v>4928.5584764879404</v>
      </c>
      <c r="AA60" s="14"/>
      <c r="AB60" s="14"/>
      <c r="AC60" s="15">
        <f>SUM(AC7:AC58)</f>
        <v>55692.710784313735</v>
      </c>
      <c r="AD60" s="15">
        <f>SUM(AD7:AD58)</f>
        <v>10367.110784313725</v>
      </c>
      <c r="AE60" s="21">
        <f t="shared" ref="AE60" si="16">IFERROR(AD60/AC60,0)</f>
        <v>0.18614843196380557</v>
      </c>
      <c r="AF60" s="15">
        <f>SUM(AF8:AF59)</f>
        <v>0</v>
      </c>
      <c r="AG60" s="15">
        <f>SUM(AG8:AG59)</f>
        <v>0</v>
      </c>
      <c r="AH60" s="15">
        <f>SUM(AH8:AH59)</f>
        <v>0</v>
      </c>
      <c r="AI60" s="15">
        <f>SUM(AI8:AI59)</f>
        <v>0</v>
      </c>
      <c r="AJ60" s="15">
        <f>SUM(AJ8:AJ59)</f>
        <v>0</v>
      </c>
    </row>
    <row r="61" spans="2:36" x14ac:dyDescent="0.25">
      <c r="B61" s="4"/>
      <c r="E61" s="3"/>
      <c r="F61" s="3"/>
      <c r="G61" s="3"/>
      <c r="H61" s="3"/>
      <c r="L61" s="4"/>
      <c r="M61" s="4"/>
      <c r="N61" s="4"/>
      <c r="O61" s="4"/>
      <c r="Q61" s="4"/>
      <c r="R61" s="4"/>
      <c r="S61" s="4"/>
      <c r="T61" s="4"/>
      <c r="U61" s="4"/>
      <c r="V61" s="4"/>
      <c r="W61" s="4"/>
      <c r="X61" s="4"/>
      <c r="Y61" s="9"/>
      <c r="Z61" s="9"/>
      <c r="AA61" s="9"/>
      <c r="AB61" s="9"/>
      <c r="AC61" s="9"/>
      <c r="AD61" s="9"/>
      <c r="AE61" s="9"/>
    </row>
    <row r="62" spans="2:36" x14ac:dyDescent="0.25">
      <c r="B62" s="4"/>
      <c r="E62" s="3"/>
      <c r="F62" s="3"/>
      <c r="G62" s="3"/>
      <c r="H62" s="3"/>
      <c r="L62" s="4"/>
      <c r="M62" s="4"/>
      <c r="N62" s="4"/>
      <c r="O62" s="4"/>
      <c r="Q62" s="9"/>
      <c r="R62" s="9"/>
      <c r="S62" s="9"/>
      <c r="T62" s="9"/>
      <c r="U62" s="9"/>
      <c r="V62" s="9"/>
      <c r="W62" s="9"/>
      <c r="X62" s="23"/>
      <c r="Y62" s="34" t="s">
        <v>119</v>
      </c>
      <c r="Z62" s="34">
        <f>Z12+Z14+Z16+Z18+Z21+Z26+Z28+Z31</f>
        <v>2599.8820058997053</v>
      </c>
      <c r="AA62" s="9"/>
      <c r="AB62" s="9"/>
      <c r="AC62" s="9"/>
      <c r="AD62" s="9"/>
      <c r="AE62" s="9"/>
    </row>
    <row r="63" spans="2:36" x14ac:dyDescent="0.25">
      <c r="B63" s="4"/>
      <c r="E63" s="3"/>
      <c r="F63" s="3"/>
      <c r="G63" s="3"/>
      <c r="H63" s="3"/>
      <c r="L63" s="4"/>
      <c r="M63" s="4"/>
      <c r="N63" s="4"/>
      <c r="O63" s="4"/>
      <c r="Q63" s="9"/>
      <c r="R63" s="9"/>
      <c r="S63" s="9"/>
      <c r="T63" s="9"/>
      <c r="U63" s="9"/>
      <c r="V63" s="9"/>
      <c r="W63" s="9"/>
      <c r="X63" s="9"/>
      <c r="Y63" s="35" t="s">
        <v>120</v>
      </c>
      <c r="Z63" s="34">
        <f>Z9+Z23+Z35</f>
        <v>2328.6764705882351</v>
      </c>
      <c r="AA63" s="9"/>
      <c r="AB63" s="9"/>
      <c r="AC63" s="9"/>
      <c r="AD63" s="9"/>
      <c r="AE63" s="9"/>
      <c r="AF63" s="18"/>
    </row>
    <row r="64" spans="2:36" x14ac:dyDescent="0.25">
      <c r="B64" s="4"/>
      <c r="E64" s="3"/>
      <c r="F64" s="3"/>
      <c r="G64" s="3"/>
      <c r="H64" s="3"/>
      <c r="I64" s="19"/>
      <c r="L64" s="4"/>
      <c r="M64" s="4"/>
      <c r="N64" s="4"/>
      <c r="O64" s="20"/>
      <c r="Q64" s="20"/>
      <c r="R64" s="20"/>
      <c r="S64" s="20"/>
      <c r="T64" s="20"/>
      <c r="U64" s="20"/>
      <c r="V64" s="20"/>
      <c r="W64" s="20"/>
      <c r="X64" s="20"/>
      <c r="Y64" s="34" t="s">
        <v>121</v>
      </c>
      <c r="Z64" s="34">
        <v>4940</v>
      </c>
      <c r="AA64" s="9"/>
      <c r="AB64" s="9"/>
      <c r="AC64" s="9"/>
      <c r="AD64" s="9"/>
      <c r="AE64" s="9"/>
      <c r="AF64" s="18"/>
    </row>
    <row r="65" spans="2:32" x14ac:dyDescent="0.25">
      <c r="B65" s="4"/>
      <c r="E65" s="3"/>
      <c r="F65" s="3"/>
      <c r="G65" s="3"/>
      <c r="H65" s="3"/>
      <c r="L65" s="4"/>
      <c r="M65" s="4"/>
      <c r="N65" s="4"/>
      <c r="O65" s="20"/>
      <c r="Q65" s="20"/>
      <c r="R65" s="20"/>
      <c r="S65" s="20"/>
      <c r="T65" s="20"/>
      <c r="U65" s="20"/>
      <c r="V65" s="20"/>
      <c r="W65" s="20"/>
      <c r="X65" s="20"/>
      <c r="Y65" s="34" t="s">
        <v>46</v>
      </c>
      <c r="Z65" s="34">
        <f>Z64/2</f>
        <v>2470</v>
      </c>
      <c r="AA65" s="9"/>
      <c r="AB65" s="9"/>
      <c r="AC65" s="9"/>
      <c r="AD65" s="9"/>
      <c r="AE65" s="9"/>
      <c r="AF65" s="18"/>
    </row>
    <row r="66" spans="2:32" x14ac:dyDescent="0.25">
      <c r="B66" s="4"/>
      <c r="E66" s="3"/>
      <c r="F66" s="3"/>
      <c r="G66" s="3"/>
      <c r="H66" s="3"/>
      <c r="L66" s="4"/>
      <c r="M66" s="4"/>
      <c r="N66" s="4"/>
      <c r="O66" s="4"/>
      <c r="Q66" s="9"/>
      <c r="R66" s="9"/>
      <c r="S66" s="9"/>
      <c r="T66" s="9"/>
      <c r="U66" s="9"/>
      <c r="V66" s="9"/>
      <c r="W66" s="9"/>
      <c r="X66" s="9"/>
      <c r="Y66" s="1"/>
      <c r="Z66" s="1"/>
      <c r="AA66" s="9"/>
      <c r="AB66" s="9"/>
      <c r="AC66" s="9"/>
      <c r="AD66" s="9"/>
      <c r="AE66" s="9"/>
      <c r="AF66" s="18"/>
    </row>
    <row r="67" spans="2:32" x14ac:dyDescent="0.25">
      <c r="F67" s="1"/>
      <c r="G67" s="1"/>
      <c r="H67" s="1"/>
      <c r="J67" s="1" t="s">
        <v>32</v>
      </c>
      <c r="Q67" s="9"/>
      <c r="R67" s="4"/>
      <c r="S67" s="9"/>
      <c r="T67" s="5"/>
      <c r="U67" s="9"/>
      <c r="V67" s="4"/>
      <c r="W67" s="4"/>
      <c r="X67" s="9"/>
      <c r="Y67" s="9"/>
      <c r="Z67" s="9"/>
      <c r="AA67" s="9"/>
      <c r="AB67" s="9"/>
      <c r="AC67" s="9"/>
      <c r="AD67" s="9"/>
      <c r="AE67" s="9"/>
    </row>
    <row r="68" spans="2:32" x14ac:dyDescent="0.25">
      <c r="R68" s="4"/>
      <c r="S68" s="17"/>
      <c r="T68" s="17"/>
      <c r="U68" s="9"/>
      <c r="V68" s="4"/>
      <c r="W68" s="4"/>
      <c r="X68" s="9"/>
      <c r="Y68" s="39" t="s">
        <v>220</v>
      </c>
      <c r="Z68" s="9">
        <f>Z64</f>
        <v>4940</v>
      </c>
      <c r="AA68" s="9"/>
      <c r="AB68" s="9"/>
      <c r="AC68" s="9"/>
      <c r="AD68" s="9"/>
      <c r="AE68" s="9"/>
    </row>
    <row r="69" spans="2:32" x14ac:dyDescent="0.25">
      <c r="Q69" s="9"/>
      <c r="R69" s="4"/>
      <c r="S69" s="16"/>
      <c r="T69" s="16"/>
      <c r="U69" s="9"/>
      <c r="V69" s="4"/>
      <c r="W69" s="4"/>
      <c r="X69" s="9"/>
      <c r="Y69" s="39" t="s">
        <v>221</v>
      </c>
      <c r="Z69" s="9">
        <f>Z68*1.18</f>
        <v>5829.2</v>
      </c>
      <c r="AA69" s="9"/>
      <c r="AB69" s="9"/>
      <c r="AC69" s="9"/>
      <c r="AD69" s="9"/>
      <c r="AE69" s="9"/>
    </row>
    <row r="70" spans="2:32" x14ac:dyDescent="0.25">
      <c r="R70" s="4"/>
      <c r="S70" s="16"/>
      <c r="T70" s="16"/>
      <c r="Y70" s="39" t="s">
        <v>222</v>
      </c>
      <c r="Z70" s="9">
        <f>Z68*1.3</f>
        <v>6422</v>
      </c>
      <c r="AA70" s="9"/>
      <c r="AB70" s="9"/>
      <c r="AC70" s="9"/>
      <c r="AD70" s="9"/>
      <c r="AE70" s="9"/>
    </row>
    <row r="71" spans="2:32" x14ac:dyDescent="0.25">
      <c r="T71" s="5"/>
      <c r="Y71" s="39" t="s">
        <v>223</v>
      </c>
      <c r="Z71" s="9">
        <f>Z68*0.85</f>
        <v>4199</v>
      </c>
      <c r="AA71" s="9"/>
      <c r="AB71" s="9"/>
      <c r="AC71" s="9"/>
      <c r="AD71" s="9"/>
      <c r="AE71" s="9"/>
    </row>
    <row r="72" spans="2:32" x14ac:dyDescent="0.25">
      <c r="T72" s="5"/>
      <c r="Y72" s="9"/>
      <c r="Z72" s="9"/>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row>
    <row r="80" spans="2:32" x14ac:dyDescent="0.25">
      <c r="T80" s="5"/>
    </row>
    <row r="81" spans="20:20" x14ac:dyDescent="0.25">
      <c r="T81" s="5"/>
    </row>
    <row r="82" spans="20:20" x14ac:dyDescent="0.25">
      <c r="T82" s="5"/>
    </row>
    <row r="83" spans="20:20" x14ac:dyDescent="0.25">
      <c r="T83" s="5"/>
    </row>
  </sheetData>
  <autoFilter ref="B6:AE60" xr:uid="{65FA6D9B-E0AF-46CD-BA0D-86BB75FE6AB0}"/>
  <hyperlinks>
    <hyperlink ref="P21" r:id="rId1" xr:uid="{FF580DFA-3794-43C8-9750-890B2E1900DD}"/>
    <hyperlink ref="P12" r:id="rId2" xr:uid="{29219285-C838-470A-A61C-77AAF7DDEF48}"/>
    <hyperlink ref="P18" r:id="rId3" xr:uid="{8AE5F74E-9C7D-40BB-9EE4-F15777D1C9BD}"/>
    <hyperlink ref="P16" r:id="rId4" xr:uid="{9B19FFA9-0B8B-40CF-9735-31313EE66072}"/>
    <hyperlink ref="P28" r:id="rId5" xr:uid="{7178C11F-B7D6-4677-9241-B3E5561162ED}"/>
    <hyperlink ref="P26" r:id="rId6" xr:uid="{107F7927-13EA-48AD-AC9B-5F6D3C47D140}"/>
    <hyperlink ref="P31" r:id="rId7" xr:uid="{6F1AB552-93F1-4DFB-8368-ACBD80D223C0}"/>
    <hyperlink ref="P47" r:id="rId8" xr:uid="{FFE48629-0BC2-4A02-A6DA-487512001AAD}"/>
    <hyperlink ref="P48" r:id="rId9" xr:uid="{259AABBE-D2F8-4A70-AAE4-2067246A826F}"/>
    <hyperlink ref="P50" r:id="rId10" xr:uid="{622E43EE-39CA-44DE-802B-F8138661A1F4}"/>
    <hyperlink ref="P14" r:id="rId11" xr:uid="{0D4584E0-81DA-4706-B226-BCDAF659F6DE}"/>
  </hyperlinks>
  <pageMargins left="0.7" right="0.7" top="0.75" bottom="0.75" header="0.3" footer="0.3"/>
  <pageSetup paperSize="9" orientation="portrait"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F7B3-3907-44F1-AA5D-8B9928AB4046}">
  <sheetPr>
    <tabColor rgb="FFFFFF00"/>
  </sheetPr>
  <dimension ref="B1:AK93"/>
  <sheetViews>
    <sheetView topLeftCell="A12" zoomScale="80" zoomScaleNormal="80" workbookViewId="0">
      <selection activeCell="J26" sqref="J25:J26"/>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100</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68" si="0">+Q7*R7</f>
        <v>0</v>
      </c>
      <c r="T7" s="5">
        <v>0</v>
      </c>
      <c r="U7" s="12">
        <f>S7*(1-T7)</f>
        <v>0</v>
      </c>
      <c r="V7" s="25" t="s">
        <v>10</v>
      </c>
      <c r="W7" s="11">
        <f>IFERROR(VLOOKUP(V7,[1]Curr!$B$2:$C$13,2,FALSE),0)</f>
        <v>11.3</v>
      </c>
      <c r="X7" s="12">
        <f t="shared" ref="X7:X68" si="1">U7*W7</f>
        <v>0</v>
      </c>
      <c r="Y7" s="26">
        <f>Q7</f>
        <v>0</v>
      </c>
      <c r="Z7" s="12">
        <f t="shared" ref="Z7:Z68" si="2">+Y7*R7</f>
        <v>0</v>
      </c>
      <c r="AA7" s="4" t="s">
        <v>10</v>
      </c>
      <c r="AB7" s="11">
        <f>IFERROR(VLOOKUP(AA7,Curr!$B$2:$C$13,2,FALSE),0)</f>
        <v>11.3</v>
      </c>
      <c r="AC7" s="12">
        <f t="shared" ref="AC7:AC68" si="3">+Y7*AB7*R7</f>
        <v>0</v>
      </c>
      <c r="AD7" s="12">
        <f t="shared" ref="AD7:AD68" si="4">+AC7-X7</f>
        <v>0</v>
      </c>
      <c r="AE7" s="13">
        <f t="shared" ref="AE7:AE68"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68"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f>
        <v>187.5</v>
      </c>
      <c r="Z9" s="12">
        <f t="shared" si="2"/>
        <v>187.5</v>
      </c>
      <c r="AA9" s="4" t="s">
        <v>10</v>
      </c>
      <c r="AB9" s="11">
        <f>IFERROR(VLOOKUP(AA9,Curr!$B$2:$C$13,2,FALSE),0)</f>
        <v>11.3</v>
      </c>
      <c r="AC9" s="12">
        <f t="shared" si="3"/>
        <v>2118.75</v>
      </c>
      <c r="AD9" s="12">
        <f t="shared" si="4"/>
        <v>423.75</v>
      </c>
      <c r="AE9" s="13">
        <f t="shared" si="5"/>
        <v>0.2</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68"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f>Q13</f>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124</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Y19"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9"/>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109</v>
      </c>
      <c r="K28" s="4"/>
      <c r="L28" s="4"/>
      <c r="M28" s="4"/>
      <c r="N28" s="4"/>
      <c r="O28" s="4"/>
      <c r="P28" s="33"/>
      <c r="Q28" s="25">
        <v>500</v>
      </c>
      <c r="R28" s="25">
        <v>1</v>
      </c>
      <c r="S28" s="12">
        <f t="shared" si="0"/>
        <v>500</v>
      </c>
      <c r="T28" s="5">
        <v>0</v>
      </c>
      <c r="U28" s="12">
        <f t="shared" si="6"/>
        <v>500</v>
      </c>
      <c r="V28" s="25" t="s">
        <v>10</v>
      </c>
      <c r="W28" s="11">
        <f>IFERROR(VLOOKUP(V28,[1]Curr!$B$2:$C$13,2,FALSE),0)</f>
        <v>11.3</v>
      </c>
      <c r="X28" s="12">
        <f t="shared" si="1"/>
        <v>5650</v>
      </c>
      <c r="Y28" s="26">
        <f>Q28/0.85</f>
        <v>588.23529411764707</v>
      </c>
      <c r="Z28" s="12">
        <f t="shared" si="2"/>
        <v>588.23529411764707</v>
      </c>
      <c r="AA28" s="4" t="s">
        <v>10</v>
      </c>
      <c r="AB28" s="11">
        <f>IFERROR(VLOOKUP(AA28,Curr!$B$2:$C$13,2,FALSE),0)</f>
        <v>11.3</v>
      </c>
      <c r="AC28" s="12">
        <f t="shared" si="3"/>
        <v>6647.0588235294126</v>
      </c>
      <c r="AD28" s="12">
        <f t="shared" si="4"/>
        <v>997.05882352941262</v>
      </c>
      <c r="AE28" s="13">
        <f t="shared" si="5"/>
        <v>0.15000000000000011</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110</v>
      </c>
      <c r="K31" s="4"/>
      <c r="L31" s="4"/>
      <c r="M31" s="4"/>
      <c r="N31" s="4"/>
      <c r="O31" s="4" t="s">
        <v>42</v>
      </c>
      <c r="P31" s="33" t="s">
        <v>111</v>
      </c>
      <c r="Q31" s="25">
        <v>145</v>
      </c>
      <c r="R31" s="25">
        <v>2</v>
      </c>
      <c r="S31" s="12">
        <f t="shared" si="0"/>
        <v>290</v>
      </c>
      <c r="T31" s="5">
        <v>0.2</v>
      </c>
      <c r="U31" s="12">
        <f t="shared" si="6"/>
        <v>232</v>
      </c>
      <c r="V31" s="25" t="s">
        <v>10</v>
      </c>
      <c r="W31" s="11">
        <f>IFERROR(VLOOKUP(V31,[1]Curr!$B$2:$C$13,2,FALSE),0)</f>
        <v>11.3</v>
      </c>
      <c r="X31" s="12">
        <f t="shared" si="1"/>
        <v>2621.6000000000004</v>
      </c>
      <c r="Y31" s="26">
        <f t="shared" si="8"/>
        <v>145</v>
      </c>
      <c r="Z31" s="12">
        <f t="shared" si="2"/>
        <v>290</v>
      </c>
      <c r="AA31" s="4" t="s">
        <v>10</v>
      </c>
      <c r="AB31" s="11">
        <f>IFERROR(VLOOKUP(AA31,Curr!$B$2:$C$13,2,FALSE),0)</f>
        <v>11.3</v>
      </c>
      <c r="AC31" s="12">
        <f t="shared" si="3"/>
        <v>3277</v>
      </c>
      <c r="AD31" s="12">
        <f t="shared" si="4"/>
        <v>655.39999999999964</v>
      </c>
      <c r="AE31" s="13">
        <f t="shared" si="5"/>
        <v>0.1999999999999999</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si="8"/>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92</v>
      </c>
      <c r="K33" s="4"/>
      <c r="L33" s="4"/>
      <c r="M33" s="4"/>
      <c r="N33" s="4"/>
      <c r="O33" s="4" t="s">
        <v>42</v>
      </c>
      <c r="P33" s="33" t="s">
        <v>93</v>
      </c>
      <c r="Q33" s="25">
        <v>105</v>
      </c>
      <c r="R33" s="25">
        <v>2</v>
      </c>
      <c r="S33" s="12">
        <f t="shared" si="0"/>
        <v>210</v>
      </c>
      <c r="T33" s="5">
        <v>0.2</v>
      </c>
      <c r="U33" s="12">
        <f t="shared" si="6"/>
        <v>168</v>
      </c>
      <c r="V33" s="25" t="s">
        <v>10</v>
      </c>
      <c r="W33" s="11">
        <f>IFERROR(VLOOKUP(V33,[1]Curr!$B$2:$C$13,2,FALSE),0)</f>
        <v>11.3</v>
      </c>
      <c r="X33" s="12">
        <f t="shared" si="1"/>
        <v>1898.4</v>
      </c>
      <c r="Y33" s="26">
        <f t="shared" si="8"/>
        <v>105</v>
      </c>
      <c r="Z33" s="12">
        <f t="shared" si="2"/>
        <v>210</v>
      </c>
      <c r="AA33" s="4" t="s">
        <v>10</v>
      </c>
      <c r="AB33" s="11">
        <f>IFERROR(VLOOKUP(AA33,Curr!$B$2:$C$13,2,FALSE),0)</f>
        <v>11.3</v>
      </c>
      <c r="AC33" s="12">
        <f t="shared" si="3"/>
        <v>2373</v>
      </c>
      <c r="AD33" s="12">
        <f t="shared" si="4"/>
        <v>474.59999999999991</v>
      </c>
      <c r="AE33" s="13">
        <f t="shared" si="5"/>
        <v>0.19999999999999996</v>
      </c>
    </row>
    <row r="34" spans="2:31" x14ac:dyDescent="0.25">
      <c r="B34" s="4"/>
      <c r="E34" s="3"/>
      <c r="F34" s="3"/>
      <c r="G34" s="24"/>
      <c r="H34" s="24"/>
      <c r="K34" s="4"/>
      <c r="L34" s="4"/>
      <c r="M34" s="4"/>
      <c r="N34" s="4"/>
      <c r="O34" s="4"/>
      <c r="P34" s="29"/>
      <c r="Q34" s="25"/>
      <c r="R34" s="25"/>
      <c r="S34" s="12">
        <f t="shared" si="0"/>
        <v>0</v>
      </c>
      <c r="T34" s="5">
        <v>0</v>
      </c>
      <c r="U34" s="12">
        <f t="shared" si="6"/>
        <v>0</v>
      </c>
      <c r="V34" s="25" t="s">
        <v>10</v>
      </c>
      <c r="W34" s="11">
        <f>IFERROR(VLOOKUP(V34,[1]Curr!$B$2:$C$13,2,FALSE),0)</f>
        <v>11.3</v>
      </c>
      <c r="X34" s="12">
        <f t="shared" si="1"/>
        <v>0</v>
      </c>
      <c r="Y34" s="26">
        <f t="shared" si="8"/>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66</v>
      </c>
      <c r="E35" s="3"/>
      <c r="F35" s="3"/>
      <c r="G35" s="24"/>
      <c r="H35" s="24"/>
      <c r="J35" s="1" t="s">
        <v>137</v>
      </c>
      <c r="K35" s="4"/>
      <c r="L35" s="4"/>
      <c r="M35" s="4"/>
      <c r="N35" s="4"/>
      <c r="O35" s="4"/>
      <c r="P35" s="33"/>
      <c r="Q35" s="25">
        <v>0</v>
      </c>
      <c r="R35" s="25">
        <v>0</v>
      </c>
      <c r="S35" s="12">
        <f t="shared" si="0"/>
        <v>0</v>
      </c>
      <c r="T35" s="5">
        <v>0</v>
      </c>
      <c r="U35" s="12">
        <f t="shared" si="6"/>
        <v>0</v>
      </c>
      <c r="V35" s="25" t="s">
        <v>10</v>
      </c>
      <c r="W35" s="11">
        <f>IFERROR(VLOOKUP(V35,[1]Curr!$B$2:$C$13,2,FALSE),0)</f>
        <v>11.3</v>
      </c>
      <c r="X35" s="12">
        <f t="shared" si="1"/>
        <v>0</v>
      </c>
      <c r="Y35" s="26">
        <f t="shared" si="8"/>
        <v>0</v>
      </c>
      <c r="Z35" s="12">
        <f t="shared" si="2"/>
        <v>0</v>
      </c>
      <c r="AA35" s="4" t="s">
        <v>10</v>
      </c>
      <c r="AB35" s="11">
        <f>IFERROR(VLOOKUP(AA35,Curr!$B$2:$C$13,2,FALSE),0)</f>
        <v>11.3</v>
      </c>
      <c r="AC35" s="12">
        <f t="shared" si="3"/>
        <v>0</v>
      </c>
      <c r="AD35" s="12">
        <f t="shared" si="4"/>
        <v>0</v>
      </c>
      <c r="AE35" s="13">
        <f t="shared" si="5"/>
        <v>0</v>
      </c>
    </row>
    <row r="36" spans="2:31" x14ac:dyDescent="0.25">
      <c r="B36" s="4"/>
      <c r="C36" s="1" t="s">
        <v>84</v>
      </c>
      <c r="D36" s="1" t="s">
        <v>75</v>
      </c>
      <c r="E36" s="3"/>
      <c r="F36" s="3"/>
      <c r="G36" s="24"/>
      <c r="H36" s="24"/>
      <c r="J36" s="1" t="s">
        <v>141</v>
      </c>
      <c r="K36" s="4"/>
      <c r="L36" s="4"/>
      <c r="M36" s="4"/>
      <c r="N36" s="4"/>
      <c r="O36" s="4" t="s">
        <v>42</v>
      </c>
      <c r="P36" s="33" t="s">
        <v>142</v>
      </c>
      <c r="Q36" s="25">
        <v>375</v>
      </c>
      <c r="R36" s="25">
        <v>2</v>
      </c>
      <c r="S36" s="12">
        <f t="shared" si="0"/>
        <v>750</v>
      </c>
      <c r="T36" s="5">
        <v>0.2</v>
      </c>
      <c r="U36" s="12">
        <f t="shared" si="6"/>
        <v>600</v>
      </c>
      <c r="V36" s="25" t="s">
        <v>10</v>
      </c>
      <c r="W36" s="11">
        <f>IFERROR(VLOOKUP(V36,[1]Curr!$B$2:$C$13,2,FALSE),0)</f>
        <v>11.3</v>
      </c>
      <c r="X36" s="12">
        <f t="shared" si="1"/>
        <v>6780</v>
      </c>
      <c r="Y36" s="26">
        <f t="shared" si="8"/>
        <v>375</v>
      </c>
      <c r="Z36" s="12">
        <f t="shared" si="2"/>
        <v>750</v>
      </c>
      <c r="AA36" s="4" t="s">
        <v>10</v>
      </c>
      <c r="AB36" s="11">
        <f>IFERROR(VLOOKUP(AA36,Curr!$B$2:$C$13,2,FALSE),0)</f>
        <v>11.3</v>
      </c>
      <c r="AC36" s="12">
        <f t="shared" si="3"/>
        <v>8475</v>
      </c>
      <c r="AD36" s="12">
        <f t="shared" si="4"/>
        <v>1695</v>
      </c>
      <c r="AE36" s="13">
        <f t="shared" si="5"/>
        <v>0.2</v>
      </c>
    </row>
    <row r="37" spans="2:31" x14ac:dyDescent="0.25">
      <c r="B37" s="4"/>
      <c r="E37" s="3"/>
      <c r="F37" s="3"/>
      <c r="G37" s="24"/>
      <c r="H37" s="24"/>
      <c r="K37" s="4"/>
      <c r="L37" s="4"/>
      <c r="M37" s="4"/>
      <c r="N37" s="4"/>
      <c r="O37" s="4"/>
      <c r="P37" s="27"/>
      <c r="Q37" s="25"/>
      <c r="R37" s="25"/>
      <c r="S37" s="12">
        <f t="shared" si="0"/>
        <v>0</v>
      </c>
      <c r="T37" s="5">
        <v>0</v>
      </c>
      <c r="U37" s="12">
        <f t="shared" si="6"/>
        <v>0</v>
      </c>
      <c r="V37" s="25" t="s">
        <v>10</v>
      </c>
      <c r="W37" s="11">
        <f>IFERROR(VLOOKUP(V37,[1]Curr!$B$2:$C$13,2,FALSE),0)</f>
        <v>11.3</v>
      </c>
      <c r="X37" s="12">
        <f t="shared" si="1"/>
        <v>0</v>
      </c>
      <c r="Y37" s="26">
        <f t="shared" si="8"/>
        <v>0</v>
      </c>
      <c r="Z37" s="12">
        <f t="shared" si="2"/>
        <v>0</v>
      </c>
      <c r="AA37" s="4" t="s">
        <v>10</v>
      </c>
      <c r="AB37" s="11">
        <f>IFERROR(VLOOKUP(AA37,Curr!$B$2:$C$13,2,FALSE),0)</f>
        <v>11.3</v>
      </c>
      <c r="AC37" s="12">
        <f t="shared" si="3"/>
        <v>0</v>
      </c>
      <c r="AD37" s="12">
        <f t="shared" si="4"/>
        <v>0</v>
      </c>
      <c r="AE37" s="13">
        <f t="shared" si="5"/>
        <v>0</v>
      </c>
    </row>
    <row r="38" spans="2:31" x14ac:dyDescent="0.25">
      <c r="B38" s="4"/>
      <c r="C38" s="1" t="s">
        <v>127</v>
      </c>
      <c r="D38" s="1" t="s">
        <v>66</v>
      </c>
      <c r="E38" s="3"/>
      <c r="F38" s="3"/>
      <c r="G38" s="24"/>
      <c r="H38" s="24"/>
      <c r="J38" s="1" t="s">
        <v>136</v>
      </c>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8"/>
        <v>0</v>
      </c>
      <c r="Z38" s="12">
        <f t="shared" si="2"/>
        <v>0</v>
      </c>
      <c r="AA38" s="4" t="s">
        <v>10</v>
      </c>
      <c r="AB38" s="11">
        <f>IFERROR(VLOOKUP(AA38,Curr!$B$2:$C$13,2,FALSE),0)</f>
        <v>11.3</v>
      </c>
      <c r="AC38" s="12">
        <f t="shared" si="3"/>
        <v>0</v>
      </c>
      <c r="AD38" s="12">
        <f t="shared" si="4"/>
        <v>0</v>
      </c>
      <c r="AE38" s="13">
        <f t="shared" si="5"/>
        <v>0</v>
      </c>
    </row>
    <row r="39" spans="2:31" x14ac:dyDescent="0.25">
      <c r="B39" s="4"/>
      <c r="C39" s="1" t="s">
        <v>127</v>
      </c>
      <c r="D39" s="1" t="s">
        <v>66</v>
      </c>
      <c r="E39" s="3"/>
      <c r="F39" s="3"/>
      <c r="G39" s="24"/>
      <c r="H39" s="24"/>
      <c r="J39" s="1" t="s">
        <v>106</v>
      </c>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8"/>
        <v>0</v>
      </c>
      <c r="Z39" s="12">
        <f t="shared" si="2"/>
        <v>0</v>
      </c>
      <c r="AA39" s="4" t="s">
        <v>10</v>
      </c>
      <c r="AB39" s="11">
        <f>IFERROR(VLOOKUP(AA39,Curr!$B$2:$C$13,2,FALSE),0)</f>
        <v>11.3</v>
      </c>
      <c r="AC39" s="12">
        <f t="shared" si="3"/>
        <v>0</v>
      </c>
      <c r="AD39" s="12">
        <f t="shared" si="4"/>
        <v>0</v>
      </c>
      <c r="AE39" s="13">
        <f t="shared" si="5"/>
        <v>0</v>
      </c>
    </row>
    <row r="40" spans="2:31" x14ac:dyDescent="0.25">
      <c r="B40" s="4"/>
      <c r="C40" s="1" t="s">
        <v>127</v>
      </c>
      <c r="D40" s="1" t="s">
        <v>67</v>
      </c>
      <c r="E40" s="3"/>
      <c r="F40" s="3"/>
      <c r="G40" s="24"/>
      <c r="H40" s="24"/>
      <c r="J40" s="1" t="s">
        <v>138</v>
      </c>
      <c r="K40" s="4"/>
      <c r="L40" s="4"/>
      <c r="M40" s="4"/>
      <c r="N40" s="4"/>
      <c r="O40" s="4"/>
      <c r="P40" s="27"/>
      <c r="Q40" s="25">
        <v>310</v>
      </c>
      <c r="R40" s="25">
        <v>1</v>
      </c>
      <c r="S40" s="12">
        <f t="shared" si="0"/>
        <v>310</v>
      </c>
      <c r="T40" s="5">
        <v>0</v>
      </c>
      <c r="U40" s="12">
        <f t="shared" si="6"/>
        <v>310</v>
      </c>
      <c r="V40" s="25" t="s">
        <v>10</v>
      </c>
      <c r="W40" s="11">
        <f>IFERROR(VLOOKUP(V40,[1]Curr!$B$2:$C$13,2,FALSE),0)</f>
        <v>11.3</v>
      </c>
      <c r="X40" s="12">
        <f t="shared" si="1"/>
        <v>3503</v>
      </c>
      <c r="Y40" s="26">
        <f>Q40/0.85</f>
        <v>364.70588235294116</v>
      </c>
      <c r="Z40" s="12">
        <f t="shared" si="2"/>
        <v>364.70588235294116</v>
      </c>
      <c r="AA40" s="4" t="s">
        <v>10</v>
      </c>
      <c r="AB40" s="11">
        <f>IFERROR(VLOOKUP(AA40,Curr!$B$2:$C$13,2,FALSE),0)</f>
        <v>11.3</v>
      </c>
      <c r="AC40" s="12">
        <f t="shared" si="3"/>
        <v>4121.1764705882351</v>
      </c>
      <c r="AD40" s="12">
        <f t="shared" si="4"/>
        <v>618.17647058823513</v>
      </c>
      <c r="AE40" s="13">
        <f t="shared" si="5"/>
        <v>0.14999999999999997</v>
      </c>
    </row>
    <row r="41" spans="2:31" x14ac:dyDescent="0.25">
      <c r="B41" s="4"/>
      <c r="C41" s="1" t="s">
        <v>127</v>
      </c>
      <c r="D41" s="1" t="s">
        <v>68</v>
      </c>
      <c r="E41" s="3"/>
      <c r="F41" s="3"/>
      <c r="G41" s="24"/>
      <c r="H41" s="24"/>
      <c r="J41" s="1" t="s">
        <v>81</v>
      </c>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8"/>
        <v>0</v>
      </c>
      <c r="Z41" s="12">
        <f t="shared" si="2"/>
        <v>0</v>
      </c>
      <c r="AA41" s="4" t="s">
        <v>10</v>
      </c>
      <c r="AB41" s="11">
        <f>IFERROR(VLOOKUP(AA41,Curr!$B$2:$C$13,2,FALSE),0)</f>
        <v>11.3</v>
      </c>
      <c r="AC41" s="12">
        <f t="shared" si="3"/>
        <v>0</v>
      </c>
      <c r="AD41" s="12">
        <f t="shared" si="4"/>
        <v>0</v>
      </c>
      <c r="AE41" s="13">
        <f t="shared" si="5"/>
        <v>0</v>
      </c>
    </row>
    <row r="42" spans="2:31" x14ac:dyDescent="0.25">
      <c r="B42" s="4"/>
      <c r="E42" s="3"/>
      <c r="F42" s="3"/>
      <c r="G42" s="24"/>
      <c r="H42" s="24"/>
      <c r="K42" s="4"/>
      <c r="L42" s="4"/>
      <c r="M42" s="4"/>
      <c r="N42" s="4"/>
      <c r="O42" s="4"/>
      <c r="P42" s="33"/>
      <c r="Q42" s="25"/>
      <c r="R42" s="25"/>
      <c r="S42" s="12">
        <f t="shared" si="0"/>
        <v>0</v>
      </c>
      <c r="T42" s="5">
        <v>0</v>
      </c>
      <c r="U42" s="12">
        <f t="shared" si="6"/>
        <v>0</v>
      </c>
      <c r="V42" s="25" t="s">
        <v>10</v>
      </c>
      <c r="W42" s="11">
        <f>IFERROR(VLOOKUP(V42,[1]Curr!$B$2:$C$13,2,FALSE),0)</f>
        <v>11.3</v>
      </c>
      <c r="X42" s="12">
        <f t="shared" si="1"/>
        <v>0</v>
      </c>
      <c r="Y42" s="26">
        <f t="shared" si="8"/>
        <v>0</v>
      </c>
      <c r="Z42" s="12">
        <f t="shared" si="2"/>
        <v>0</v>
      </c>
      <c r="AA42" s="4" t="s">
        <v>10</v>
      </c>
      <c r="AB42" s="11">
        <f>IFERROR(VLOOKUP(AA42,Curr!$B$2:$C$13,2,FALSE),0)</f>
        <v>11.3</v>
      </c>
      <c r="AC42" s="12">
        <f t="shared" si="3"/>
        <v>0</v>
      </c>
      <c r="AD42" s="12">
        <f t="shared" si="4"/>
        <v>0</v>
      </c>
      <c r="AE42" s="13">
        <f t="shared" si="5"/>
        <v>0</v>
      </c>
    </row>
    <row r="43" spans="2:31" x14ac:dyDescent="0.25">
      <c r="B43" s="4"/>
      <c r="C43" s="1" t="s">
        <v>139</v>
      </c>
      <c r="D43" s="1" t="s">
        <v>66</v>
      </c>
      <c r="E43" s="3"/>
      <c r="F43" s="3"/>
      <c r="G43" s="24"/>
      <c r="H43" s="24"/>
      <c r="J43" s="1" t="s">
        <v>87</v>
      </c>
      <c r="K43" s="4"/>
      <c r="L43" s="4"/>
      <c r="M43" s="4"/>
      <c r="N43" s="4"/>
      <c r="O43" s="4"/>
      <c r="P43" s="33"/>
      <c r="Q43" s="25">
        <v>0</v>
      </c>
      <c r="R43" s="25">
        <v>0</v>
      </c>
      <c r="S43" s="12">
        <f t="shared" si="0"/>
        <v>0</v>
      </c>
      <c r="T43" s="5">
        <v>0</v>
      </c>
      <c r="U43" s="12">
        <f t="shared" si="6"/>
        <v>0</v>
      </c>
      <c r="V43" s="25" t="s">
        <v>10</v>
      </c>
      <c r="W43" s="11">
        <f>IFERROR(VLOOKUP(V43,[1]Curr!$B$2:$C$13,2,FALSE),0)</f>
        <v>11.3</v>
      </c>
      <c r="X43" s="12">
        <f t="shared" si="1"/>
        <v>0</v>
      </c>
      <c r="Y43" s="26">
        <f t="shared" si="8"/>
        <v>0</v>
      </c>
      <c r="Z43" s="12">
        <f t="shared" si="2"/>
        <v>0</v>
      </c>
      <c r="AA43" s="4" t="s">
        <v>10</v>
      </c>
      <c r="AB43" s="11">
        <f>IFERROR(VLOOKUP(AA43,Curr!$B$2:$C$13,2,FALSE),0)</f>
        <v>11.3</v>
      </c>
      <c r="AC43" s="12">
        <f t="shared" si="3"/>
        <v>0</v>
      </c>
      <c r="AD43" s="12">
        <f t="shared" si="4"/>
        <v>0</v>
      </c>
      <c r="AE43" s="13">
        <f t="shared" si="5"/>
        <v>0</v>
      </c>
    </row>
    <row r="44" spans="2:31" x14ac:dyDescent="0.25">
      <c r="B44" s="4"/>
      <c r="C44" s="1" t="s">
        <v>139</v>
      </c>
      <c r="D44" s="1" t="s">
        <v>85</v>
      </c>
      <c r="E44" s="3"/>
      <c r="F44" s="3"/>
      <c r="G44" s="24"/>
      <c r="H44" s="24"/>
      <c r="J44" s="1" t="s">
        <v>86</v>
      </c>
      <c r="K44" s="4"/>
      <c r="L44" s="4"/>
      <c r="M44" s="4"/>
      <c r="N44" s="4"/>
      <c r="O44" s="4"/>
      <c r="P44" s="33"/>
      <c r="Q44" s="25">
        <v>0</v>
      </c>
      <c r="R44" s="25">
        <v>0</v>
      </c>
      <c r="S44" s="12">
        <f t="shared" si="0"/>
        <v>0</v>
      </c>
      <c r="T44" s="5">
        <v>0</v>
      </c>
      <c r="U44" s="12">
        <f t="shared" si="6"/>
        <v>0</v>
      </c>
      <c r="V44" s="25" t="s">
        <v>10</v>
      </c>
      <c r="W44" s="11">
        <f>IFERROR(VLOOKUP(V44,[1]Curr!$B$2:$C$13,2,FALSE),0)</f>
        <v>11.3</v>
      </c>
      <c r="X44" s="12">
        <f t="shared" si="1"/>
        <v>0</v>
      </c>
      <c r="Y44" s="26">
        <f t="shared" si="8"/>
        <v>0</v>
      </c>
      <c r="Z44" s="12">
        <f t="shared" si="2"/>
        <v>0</v>
      </c>
      <c r="AA44" s="4" t="s">
        <v>10</v>
      </c>
      <c r="AB44" s="11">
        <f>IFERROR(VLOOKUP(AA44,Curr!$B$2:$C$13,2,FALSE),0)</f>
        <v>11.3</v>
      </c>
      <c r="AC44" s="12">
        <f t="shared" si="3"/>
        <v>0</v>
      </c>
      <c r="AD44" s="12">
        <f t="shared" si="4"/>
        <v>0</v>
      </c>
      <c r="AE44" s="13">
        <f t="shared" si="5"/>
        <v>0</v>
      </c>
    </row>
    <row r="45" spans="2:31" x14ac:dyDescent="0.25">
      <c r="B45" s="4"/>
      <c r="E45" s="3"/>
      <c r="F45" s="3"/>
      <c r="G45" s="24"/>
      <c r="H45" s="24"/>
      <c r="K45" s="4"/>
      <c r="L45" s="4"/>
      <c r="M45" s="4"/>
      <c r="N45" s="4"/>
      <c r="O45" s="4"/>
      <c r="P45" s="27"/>
      <c r="Q45" s="25"/>
      <c r="R45" s="25"/>
      <c r="S45" s="12">
        <f t="shared" si="0"/>
        <v>0</v>
      </c>
      <c r="T45" s="5">
        <v>0</v>
      </c>
      <c r="U45" s="12">
        <f t="shared" si="6"/>
        <v>0</v>
      </c>
      <c r="V45" s="25" t="s">
        <v>10</v>
      </c>
      <c r="W45" s="11">
        <f>IFERROR(VLOOKUP(V45,[1]Curr!$B$2:$C$13,2,FALSE),0)</f>
        <v>11.3</v>
      </c>
      <c r="X45" s="12">
        <f t="shared" si="1"/>
        <v>0</v>
      </c>
      <c r="Y45" s="26">
        <f t="shared" si="8"/>
        <v>0</v>
      </c>
      <c r="Z45" s="12">
        <f t="shared" si="2"/>
        <v>0</v>
      </c>
      <c r="AA45" s="4" t="s">
        <v>10</v>
      </c>
      <c r="AB45" s="11">
        <f>IFERROR(VLOOKUP(AA45,Curr!$B$2:$C$13,2,FALSE),0)</f>
        <v>11.3</v>
      </c>
      <c r="AC45" s="12">
        <f t="shared" si="3"/>
        <v>0</v>
      </c>
      <c r="AD45" s="12">
        <f t="shared" si="4"/>
        <v>0</v>
      </c>
      <c r="AE45" s="13">
        <f t="shared" si="5"/>
        <v>0</v>
      </c>
    </row>
    <row r="46" spans="2:31" x14ac:dyDescent="0.25">
      <c r="B46" s="4"/>
      <c r="E46" s="3"/>
      <c r="F46" s="3"/>
      <c r="G46" s="24"/>
      <c r="H46" s="24"/>
      <c r="K46" s="4"/>
      <c r="L46" s="4"/>
      <c r="M46" s="4"/>
      <c r="N46" s="4"/>
      <c r="O46" s="4"/>
      <c r="P46" s="33"/>
      <c r="Q46" s="25"/>
      <c r="R46" s="25"/>
      <c r="S46" s="12">
        <f t="shared" si="0"/>
        <v>0</v>
      </c>
      <c r="T46" s="5">
        <v>0</v>
      </c>
      <c r="U46" s="12">
        <f t="shared" si="6"/>
        <v>0</v>
      </c>
      <c r="V46" s="25" t="s">
        <v>10</v>
      </c>
      <c r="W46" s="11">
        <f>IFERROR(VLOOKUP(V46,[1]Curr!$B$2:$C$13,2,FALSE),0)</f>
        <v>11.3</v>
      </c>
      <c r="X46" s="12">
        <f t="shared" si="1"/>
        <v>0</v>
      </c>
      <c r="Y46" s="26">
        <f t="shared" si="8"/>
        <v>0</v>
      </c>
      <c r="Z46" s="12">
        <f t="shared" si="2"/>
        <v>0</v>
      </c>
      <c r="AA46" s="4" t="s">
        <v>10</v>
      </c>
      <c r="AB46" s="11">
        <f>IFERROR(VLOOKUP(AA46,Curr!$B$2:$C$13,2,FALSE),0)</f>
        <v>11.3</v>
      </c>
      <c r="AC46" s="12">
        <f t="shared" si="3"/>
        <v>0</v>
      </c>
      <c r="AD46" s="12">
        <f t="shared" si="4"/>
        <v>0</v>
      </c>
      <c r="AE46" s="13">
        <f t="shared" si="5"/>
        <v>0</v>
      </c>
    </row>
    <row r="47" spans="2:31" x14ac:dyDescent="0.25">
      <c r="B47" s="4"/>
      <c r="C47" s="1" t="s">
        <v>64</v>
      </c>
      <c r="D47" s="1" t="s">
        <v>112</v>
      </c>
      <c r="E47" s="3"/>
      <c r="F47" s="3"/>
      <c r="G47" s="24"/>
      <c r="H47" s="24"/>
      <c r="J47" s="1" t="s">
        <v>126</v>
      </c>
      <c r="K47" s="4"/>
      <c r="L47" s="4"/>
      <c r="M47" s="4"/>
      <c r="N47" s="4"/>
      <c r="O47" s="4"/>
      <c r="P47" s="33"/>
      <c r="Q47" s="25">
        <v>80</v>
      </c>
      <c r="R47" s="25">
        <v>0</v>
      </c>
      <c r="S47" s="12">
        <f t="shared" si="0"/>
        <v>0</v>
      </c>
      <c r="T47" s="5">
        <v>0</v>
      </c>
      <c r="U47" s="12">
        <f t="shared" si="6"/>
        <v>0</v>
      </c>
      <c r="V47" s="25" t="s">
        <v>10</v>
      </c>
      <c r="W47" s="11">
        <f>IFERROR(VLOOKUP(V47,[1]Curr!$B$2:$C$13,2,FALSE),0)</f>
        <v>11.3</v>
      </c>
      <c r="X47" s="12">
        <f t="shared" si="1"/>
        <v>0</v>
      </c>
      <c r="Y47" s="26">
        <f>Q47/0.8</f>
        <v>100</v>
      </c>
      <c r="Z47" s="12">
        <f t="shared" si="2"/>
        <v>0</v>
      </c>
      <c r="AA47" s="4" t="s">
        <v>10</v>
      </c>
      <c r="AB47" s="11">
        <f>IFERROR(VLOOKUP(AA47,Curr!$B$2:$C$13,2,FALSE),0)</f>
        <v>11.3</v>
      </c>
      <c r="AC47" s="12">
        <f t="shared" si="3"/>
        <v>0</v>
      </c>
      <c r="AD47" s="12">
        <f t="shared" si="4"/>
        <v>0</v>
      </c>
      <c r="AE47" s="13">
        <f t="shared" si="5"/>
        <v>0</v>
      </c>
    </row>
    <row r="48" spans="2:31" x14ac:dyDescent="0.25">
      <c r="B48" s="4"/>
      <c r="C48" s="1" t="s">
        <v>76</v>
      </c>
      <c r="D48" s="1" t="s">
        <v>112</v>
      </c>
      <c r="E48" s="3"/>
      <c r="F48" s="3"/>
      <c r="G48" s="24"/>
      <c r="H48" s="24"/>
      <c r="J48" s="1" t="s">
        <v>125</v>
      </c>
      <c r="K48" s="4"/>
      <c r="L48" s="4"/>
      <c r="M48" s="4"/>
      <c r="N48" s="4"/>
      <c r="O48" s="4"/>
      <c r="P48" s="27"/>
      <c r="Q48" s="25">
        <v>80</v>
      </c>
      <c r="R48" s="25">
        <v>0</v>
      </c>
      <c r="S48" s="12">
        <f t="shared" si="0"/>
        <v>0</v>
      </c>
      <c r="T48" s="5">
        <v>0</v>
      </c>
      <c r="U48" s="12">
        <f t="shared" si="6"/>
        <v>0</v>
      </c>
      <c r="V48" s="25" t="s">
        <v>10</v>
      </c>
      <c r="W48" s="11">
        <f>IFERROR(VLOOKUP(V48,[1]Curr!$B$2:$C$13,2,FALSE),0)</f>
        <v>11.3</v>
      </c>
      <c r="X48" s="12">
        <f t="shared" si="1"/>
        <v>0</v>
      </c>
      <c r="Y48" s="26">
        <f>Q48/0.8</f>
        <v>100</v>
      </c>
      <c r="Z48" s="12">
        <f t="shared" si="2"/>
        <v>0</v>
      </c>
      <c r="AA48" s="4" t="s">
        <v>10</v>
      </c>
      <c r="AB48" s="11">
        <f>IFERROR(VLOOKUP(AA48,Curr!$B$2:$C$13,2,FALSE),0)</f>
        <v>11.3</v>
      </c>
      <c r="AC48" s="12">
        <f t="shared" si="3"/>
        <v>0</v>
      </c>
      <c r="AD48" s="12">
        <f t="shared" si="4"/>
        <v>0</v>
      </c>
      <c r="AE48" s="13">
        <f t="shared" si="5"/>
        <v>0</v>
      </c>
    </row>
    <row r="49" spans="2:31" x14ac:dyDescent="0.25">
      <c r="B49" s="4"/>
      <c r="C49" s="1" t="s">
        <v>77</v>
      </c>
      <c r="D49" s="1" t="s">
        <v>112</v>
      </c>
      <c r="E49" s="3"/>
      <c r="F49" s="3"/>
      <c r="G49" s="24"/>
      <c r="H49" s="24"/>
      <c r="J49" s="1" t="s">
        <v>115</v>
      </c>
      <c r="K49" s="4"/>
      <c r="L49" s="4"/>
      <c r="M49" s="4"/>
      <c r="N49" s="4"/>
      <c r="O49" s="4"/>
      <c r="P49" s="33"/>
      <c r="Q49" s="25">
        <v>40</v>
      </c>
      <c r="R49" s="25">
        <v>0</v>
      </c>
      <c r="S49" s="12">
        <f t="shared" si="0"/>
        <v>0</v>
      </c>
      <c r="T49" s="5">
        <v>0</v>
      </c>
      <c r="U49" s="12">
        <f t="shared" si="6"/>
        <v>0</v>
      </c>
      <c r="V49" s="25" t="s">
        <v>10</v>
      </c>
      <c r="W49" s="11">
        <f>IFERROR(VLOOKUP(V49,[1]Curr!$B$2:$C$13,2,FALSE),0)</f>
        <v>11.3</v>
      </c>
      <c r="X49" s="12">
        <f t="shared" si="1"/>
        <v>0</v>
      </c>
      <c r="Y49" s="26">
        <f>Q49/0.67</f>
        <v>59.701492537313428</v>
      </c>
      <c r="Z49" s="12">
        <f t="shared" si="2"/>
        <v>0</v>
      </c>
      <c r="AA49" s="4" t="s">
        <v>10</v>
      </c>
      <c r="AB49" s="11">
        <f>IFERROR(VLOOKUP(AA49,Curr!$B$2:$C$13,2,FALSE),0)</f>
        <v>11.3</v>
      </c>
      <c r="AC49" s="12">
        <f t="shared" si="3"/>
        <v>0</v>
      </c>
      <c r="AD49" s="12">
        <f t="shared" si="4"/>
        <v>0</v>
      </c>
      <c r="AE49" s="13">
        <f t="shared" si="5"/>
        <v>0</v>
      </c>
    </row>
    <row r="50" spans="2:31" x14ac:dyDescent="0.25">
      <c r="B50" s="4"/>
      <c r="C50" s="1" t="s">
        <v>82</v>
      </c>
      <c r="D50" s="1" t="s">
        <v>112</v>
      </c>
      <c r="E50" s="3"/>
      <c r="F50" s="3"/>
      <c r="G50" s="24"/>
      <c r="H50" s="24"/>
      <c r="J50" s="1" t="s">
        <v>116</v>
      </c>
      <c r="K50" s="4"/>
      <c r="L50" s="4"/>
      <c r="M50" s="4"/>
      <c r="N50" s="4"/>
      <c r="O50" s="4"/>
      <c r="P50" s="27"/>
      <c r="Q50" s="25">
        <v>40</v>
      </c>
      <c r="R50" s="25">
        <v>0</v>
      </c>
      <c r="S50" s="12">
        <f t="shared" si="0"/>
        <v>0</v>
      </c>
      <c r="T50" s="5">
        <v>0</v>
      </c>
      <c r="U50" s="12">
        <f t="shared" si="6"/>
        <v>0</v>
      </c>
      <c r="V50" s="25" t="s">
        <v>10</v>
      </c>
      <c r="W50" s="11">
        <f>IFERROR(VLOOKUP(V50,[1]Curr!$B$2:$C$13,2,FALSE),0)</f>
        <v>11.3</v>
      </c>
      <c r="X50" s="12">
        <f t="shared" si="1"/>
        <v>0</v>
      </c>
      <c r="Y50" s="26">
        <f>Q50/0.67</f>
        <v>59.701492537313428</v>
      </c>
      <c r="Z50" s="12">
        <f t="shared" si="2"/>
        <v>0</v>
      </c>
      <c r="AA50" s="4" t="s">
        <v>10</v>
      </c>
      <c r="AB50" s="11">
        <f>IFERROR(VLOOKUP(AA50,Curr!$B$2:$C$13,2,FALSE),0)</f>
        <v>11.3</v>
      </c>
      <c r="AC50" s="12">
        <f t="shared" si="3"/>
        <v>0</v>
      </c>
      <c r="AD50" s="12">
        <f t="shared" si="4"/>
        <v>0</v>
      </c>
      <c r="AE50" s="13">
        <f t="shared" si="5"/>
        <v>0</v>
      </c>
    </row>
    <row r="51" spans="2:31" x14ac:dyDescent="0.25">
      <c r="B51" s="4"/>
      <c r="C51" s="1" t="s">
        <v>139</v>
      </c>
      <c r="D51" s="1" t="s">
        <v>112</v>
      </c>
      <c r="E51" s="3"/>
      <c r="F51" s="3"/>
      <c r="G51" s="24"/>
      <c r="H51" s="24"/>
      <c r="J51" s="1" t="s">
        <v>117</v>
      </c>
      <c r="K51" s="4"/>
      <c r="L51" s="4"/>
      <c r="M51" s="4"/>
      <c r="N51" s="4"/>
      <c r="O51" s="4"/>
      <c r="P51" s="33"/>
      <c r="Q51" s="25">
        <v>900</v>
      </c>
      <c r="R51" s="25">
        <v>0</v>
      </c>
      <c r="S51" s="12">
        <f t="shared" si="0"/>
        <v>0</v>
      </c>
      <c r="T51" s="5">
        <v>0</v>
      </c>
      <c r="U51" s="12">
        <f t="shared" si="6"/>
        <v>0</v>
      </c>
      <c r="V51" s="25" t="s">
        <v>10</v>
      </c>
      <c r="W51" s="11">
        <f>IFERROR(VLOOKUP(V51,[1]Curr!$B$2:$C$13,2,FALSE),0)</f>
        <v>11.3</v>
      </c>
      <c r="X51" s="12">
        <f t="shared" si="1"/>
        <v>0</v>
      </c>
      <c r="Y51" s="26">
        <f t="shared" ref="Y51" si="11">Q51</f>
        <v>900</v>
      </c>
      <c r="Z51" s="12">
        <f t="shared" si="2"/>
        <v>0</v>
      </c>
      <c r="AA51" s="4" t="s">
        <v>10</v>
      </c>
      <c r="AB51" s="11">
        <f>IFERROR(VLOOKUP(AA51,Curr!$B$2:$C$13,2,FALSE),0)</f>
        <v>11.3</v>
      </c>
      <c r="AC51" s="12">
        <f t="shared" si="3"/>
        <v>0</v>
      </c>
      <c r="AD51" s="12">
        <f t="shared" si="4"/>
        <v>0</v>
      </c>
      <c r="AE51" s="13">
        <f t="shared" si="5"/>
        <v>0</v>
      </c>
    </row>
    <row r="52" spans="2:31" x14ac:dyDescent="0.25">
      <c r="B52" s="4"/>
      <c r="E52" s="3"/>
      <c r="F52" s="3"/>
      <c r="G52" s="24"/>
      <c r="H52" s="24"/>
      <c r="K52" s="4"/>
      <c r="L52" s="4"/>
      <c r="M52" s="4"/>
      <c r="N52" s="4"/>
      <c r="O52" s="4"/>
      <c r="P52" s="27"/>
      <c r="Q52" s="25"/>
      <c r="R52" s="25"/>
      <c r="S52" s="12">
        <f t="shared" si="0"/>
        <v>0</v>
      </c>
      <c r="T52" s="5">
        <v>0</v>
      </c>
      <c r="U52" s="12">
        <f t="shared" si="6"/>
        <v>0</v>
      </c>
      <c r="V52" s="25" t="s">
        <v>10</v>
      </c>
      <c r="W52" s="11">
        <f>IFERROR(VLOOKUP(V52,[1]Curr!$B$2:$C$13,2,FALSE),0)</f>
        <v>11.3</v>
      </c>
      <c r="X52" s="12">
        <f t="shared" si="1"/>
        <v>0</v>
      </c>
      <c r="Y52" s="26">
        <f t="shared" si="8"/>
        <v>0</v>
      </c>
      <c r="Z52" s="12">
        <f t="shared" si="2"/>
        <v>0</v>
      </c>
      <c r="AA52" s="4" t="s">
        <v>10</v>
      </c>
      <c r="AB52" s="11">
        <f>IFERROR(VLOOKUP(AA52,Curr!$B$2:$C$13,2,FALSE),0)</f>
        <v>11.3</v>
      </c>
      <c r="AC52" s="12">
        <f t="shared" si="3"/>
        <v>0</v>
      </c>
      <c r="AD52" s="12">
        <f t="shared" si="4"/>
        <v>0</v>
      </c>
      <c r="AE52" s="13">
        <f t="shared" si="5"/>
        <v>0</v>
      </c>
    </row>
    <row r="53" spans="2:31" x14ac:dyDescent="0.25">
      <c r="B53" s="4"/>
      <c r="E53" s="3"/>
      <c r="F53" s="3"/>
      <c r="G53" s="24"/>
      <c r="H53" s="24"/>
      <c r="K53" s="4"/>
      <c r="L53" s="4"/>
      <c r="M53" s="4"/>
      <c r="N53" s="4"/>
      <c r="O53" s="4"/>
      <c r="P53" s="27"/>
      <c r="Q53" s="25"/>
      <c r="R53" s="25"/>
      <c r="S53" s="12">
        <f t="shared" si="0"/>
        <v>0</v>
      </c>
      <c r="T53" s="5">
        <v>0</v>
      </c>
      <c r="U53" s="12">
        <f t="shared" si="6"/>
        <v>0</v>
      </c>
      <c r="V53" s="25" t="s">
        <v>10</v>
      </c>
      <c r="W53" s="11">
        <f>IFERROR(VLOOKUP(V53,[1]Curr!$B$2:$C$13,2,FALSE),0)</f>
        <v>11.3</v>
      </c>
      <c r="X53" s="12">
        <f t="shared" si="1"/>
        <v>0</v>
      </c>
      <c r="Y53" s="26">
        <f t="shared" si="8"/>
        <v>0</v>
      </c>
      <c r="Z53" s="12">
        <f t="shared" si="2"/>
        <v>0</v>
      </c>
      <c r="AA53" s="4" t="s">
        <v>10</v>
      </c>
      <c r="AB53" s="11">
        <f>IFERROR(VLOOKUP(AA53,Curr!$B$2:$C$13,2,FALSE),0)</f>
        <v>11.3</v>
      </c>
      <c r="AC53" s="12">
        <f t="shared" si="3"/>
        <v>0</v>
      </c>
      <c r="AD53" s="12">
        <f t="shared" si="4"/>
        <v>0</v>
      </c>
      <c r="AE53" s="13">
        <f t="shared" si="5"/>
        <v>0</v>
      </c>
    </row>
    <row r="54" spans="2:31" x14ac:dyDescent="0.25">
      <c r="B54" s="4"/>
      <c r="C54" s="1" t="s">
        <v>76</v>
      </c>
      <c r="D54" s="1" t="s">
        <v>183</v>
      </c>
      <c r="E54" s="3"/>
      <c r="F54" s="3"/>
      <c r="G54" s="24"/>
      <c r="H54" s="24"/>
      <c r="J54" s="1" t="s">
        <v>190</v>
      </c>
      <c r="K54" s="4"/>
      <c r="L54" s="4"/>
      <c r="M54" s="4"/>
      <c r="N54" s="4"/>
      <c r="O54" s="4" t="s">
        <v>42</v>
      </c>
      <c r="P54" s="29" t="s">
        <v>191</v>
      </c>
      <c r="Q54" s="25">
        <f>(40+40)+(50*2)</f>
        <v>180</v>
      </c>
      <c r="R54" s="25">
        <v>0</v>
      </c>
      <c r="S54" s="12">
        <f t="shared" si="0"/>
        <v>0</v>
      </c>
      <c r="T54" s="5">
        <v>0</v>
      </c>
      <c r="U54" s="12">
        <f t="shared" si="6"/>
        <v>0</v>
      </c>
      <c r="V54" s="25" t="s">
        <v>10</v>
      </c>
      <c r="W54" s="11">
        <f>IFERROR(VLOOKUP(V54,[1]Curr!$B$2:$C$13,2,FALSE),0)</f>
        <v>11.3</v>
      </c>
      <c r="X54" s="12">
        <f t="shared" si="1"/>
        <v>0</v>
      </c>
      <c r="Y54" s="26">
        <f>Q54/0.8</f>
        <v>225</v>
      </c>
      <c r="Z54" s="12">
        <f t="shared" si="2"/>
        <v>0</v>
      </c>
      <c r="AA54" s="4" t="s">
        <v>10</v>
      </c>
      <c r="AB54" s="11">
        <f>IFERROR(VLOOKUP(AA54,Curr!$B$2:$C$13,2,FALSE),0)</f>
        <v>11.3</v>
      </c>
      <c r="AC54" s="12">
        <f t="shared" si="3"/>
        <v>0</v>
      </c>
      <c r="AD54" s="12">
        <f t="shared" si="4"/>
        <v>0</v>
      </c>
      <c r="AE54" s="13">
        <f t="shared" si="5"/>
        <v>0</v>
      </c>
    </row>
    <row r="55" spans="2:31" x14ac:dyDescent="0.25">
      <c r="B55" s="4"/>
      <c r="C55" s="1" t="s">
        <v>76</v>
      </c>
      <c r="D55" s="1" t="s">
        <v>183</v>
      </c>
      <c r="E55" s="3"/>
      <c r="F55" s="3"/>
      <c r="G55" s="24"/>
      <c r="H55" s="24"/>
      <c r="J55" s="1" t="s">
        <v>192</v>
      </c>
      <c r="K55" s="4"/>
      <c r="L55" s="4"/>
      <c r="M55" s="4"/>
      <c r="N55" s="4"/>
      <c r="O55" s="4" t="s">
        <v>42</v>
      </c>
      <c r="P55" s="33" t="s">
        <v>193</v>
      </c>
      <c r="Q55" s="25">
        <v>25</v>
      </c>
      <c r="R55" s="25">
        <v>0</v>
      </c>
      <c r="S55" s="12">
        <f t="shared" si="0"/>
        <v>0</v>
      </c>
      <c r="T55" s="5">
        <v>0</v>
      </c>
      <c r="U55" s="12">
        <f t="shared" si="6"/>
        <v>0</v>
      </c>
      <c r="V55" s="25" t="s">
        <v>10</v>
      </c>
      <c r="W55" s="11">
        <f>IFERROR(VLOOKUP(V55,[1]Curr!$B$2:$C$13,2,FALSE),0)</f>
        <v>11.3</v>
      </c>
      <c r="X55" s="12">
        <f t="shared" si="1"/>
        <v>0</v>
      </c>
      <c r="Y55" s="26">
        <f>Q55/0.62</f>
        <v>40.322580645161288</v>
      </c>
      <c r="Z55" s="12">
        <f t="shared" si="2"/>
        <v>0</v>
      </c>
      <c r="AA55" s="4" t="s">
        <v>10</v>
      </c>
      <c r="AB55" s="11">
        <f>IFERROR(VLOOKUP(AA55,Curr!$B$2:$C$13,2,FALSE),0)</f>
        <v>11.3</v>
      </c>
      <c r="AC55" s="12">
        <f t="shared" si="3"/>
        <v>0</v>
      </c>
      <c r="AD55" s="12">
        <f t="shared" si="4"/>
        <v>0</v>
      </c>
      <c r="AE55" s="13">
        <f t="shared" si="5"/>
        <v>0</v>
      </c>
    </row>
    <row r="56" spans="2:31" x14ac:dyDescent="0.25">
      <c r="B56" s="4"/>
      <c r="C56" s="1" t="s">
        <v>78</v>
      </c>
      <c r="D56" s="1" t="s">
        <v>183</v>
      </c>
      <c r="E56" s="3"/>
      <c r="F56" s="3"/>
      <c r="G56" s="24"/>
      <c r="H56" s="24"/>
      <c r="J56" s="1" t="s">
        <v>184</v>
      </c>
      <c r="K56" s="4"/>
      <c r="L56" s="4"/>
      <c r="M56" s="4"/>
      <c r="N56" s="4"/>
      <c r="O56" s="4" t="s">
        <v>42</v>
      </c>
      <c r="P56" s="33" t="s">
        <v>185</v>
      </c>
      <c r="Q56" s="25">
        <v>252</v>
      </c>
      <c r="R56" s="25">
        <v>0</v>
      </c>
      <c r="S56" s="12">
        <f t="shared" si="0"/>
        <v>0</v>
      </c>
      <c r="T56" s="5">
        <v>0.2</v>
      </c>
      <c r="U56" s="12">
        <f t="shared" si="6"/>
        <v>0</v>
      </c>
      <c r="V56" s="25" t="s">
        <v>10</v>
      </c>
      <c r="W56" s="11">
        <f>IFERROR(VLOOKUP(V56,[1]Curr!$B$2:$C$13,2,FALSE),0)</f>
        <v>11.3</v>
      </c>
      <c r="X56" s="12">
        <f t="shared" si="1"/>
        <v>0</v>
      </c>
      <c r="Y56" s="26">
        <f t="shared" ref="Y56" si="12">Q56</f>
        <v>252</v>
      </c>
      <c r="Z56" s="12">
        <f t="shared" si="2"/>
        <v>0</v>
      </c>
      <c r="AA56" s="4" t="s">
        <v>10</v>
      </c>
      <c r="AB56" s="11">
        <f>IFERROR(VLOOKUP(AA56,Curr!$B$2:$C$13,2,FALSE),0)</f>
        <v>11.3</v>
      </c>
      <c r="AC56" s="12">
        <f t="shared" si="3"/>
        <v>0</v>
      </c>
      <c r="AD56" s="12">
        <f t="shared" si="4"/>
        <v>0</v>
      </c>
      <c r="AE56" s="13">
        <f t="shared" si="5"/>
        <v>0</v>
      </c>
    </row>
    <row r="57" spans="2:31" x14ac:dyDescent="0.25">
      <c r="B57" s="4"/>
      <c r="C57" s="1" t="s">
        <v>83</v>
      </c>
      <c r="D57" s="1" t="s">
        <v>183</v>
      </c>
      <c r="E57" s="3"/>
      <c r="F57" s="3"/>
      <c r="G57" s="24"/>
      <c r="H57" s="24"/>
      <c r="J57" s="1" t="s">
        <v>188</v>
      </c>
      <c r="K57" s="4"/>
      <c r="L57" s="4"/>
      <c r="M57" s="4"/>
      <c r="N57" s="4"/>
      <c r="O57" s="4" t="s">
        <v>42</v>
      </c>
      <c r="P57" s="33" t="s">
        <v>189</v>
      </c>
      <c r="Q57" s="25">
        <v>2195</v>
      </c>
      <c r="R57" s="25">
        <v>0</v>
      </c>
      <c r="S57" s="12">
        <f t="shared" si="0"/>
        <v>0</v>
      </c>
      <c r="T57" s="5">
        <v>0.2</v>
      </c>
      <c r="U57" s="12">
        <f t="shared" si="6"/>
        <v>0</v>
      </c>
      <c r="V57" s="25" t="s">
        <v>8</v>
      </c>
      <c r="W57" s="11">
        <f>IFERROR(VLOOKUP(V57,[1]Curr!$B$2:$C$13,2,FALSE),0)</f>
        <v>1</v>
      </c>
      <c r="X57" s="12">
        <f t="shared" si="1"/>
        <v>0</v>
      </c>
      <c r="Y57" s="26">
        <f t="shared" ref="Y57" si="13">Q57/11.3</f>
        <v>194.24778761061947</v>
      </c>
      <c r="Z57" s="12">
        <f t="shared" si="2"/>
        <v>0</v>
      </c>
      <c r="AA57" s="4" t="s">
        <v>10</v>
      </c>
      <c r="AB57" s="11">
        <f>IFERROR(VLOOKUP(AA57,Curr!$B$2:$C$13,2,FALSE),0)</f>
        <v>11.3</v>
      </c>
      <c r="AC57" s="12">
        <f t="shared" si="3"/>
        <v>0</v>
      </c>
      <c r="AD57" s="12">
        <f t="shared" si="4"/>
        <v>0</v>
      </c>
      <c r="AE57" s="13">
        <f t="shared" si="5"/>
        <v>0</v>
      </c>
    </row>
    <row r="58" spans="2:31" x14ac:dyDescent="0.25">
      <c r="B58" s="4"/>
      <c r="E58" s="3"/>
      <c r="F58" s="3"/>
      <c r="G58" s="24"/>
      <c r="H58" s="24"/>
      <c r="K58" s="4"/>
      <c r="L58" s="4"/>
      <c r="M58" s="4"/>
      <c r="N58" s="4"/>
      <c r="O58" s="4"/>
      <c r="P58" s="27"/>
      <c r="Q58" s="25"/>
      <c r="R58" s="25"/>
      <c r="S58" s="12">
        <f t="shared" si="0"/>
        <v>0</v>
      </c>
      <c r="T58" s="5">
        <v>0</v>
      </c>
      <c r="U58" s="12">
        <f t="shared" si="6"/>
        <v>0</v>
      </c>
      <c r="V58" s="25" t="s">
        <v>10</v>
      </c>
      <c r="W58" s="11">
        <f>IFERROR(VLOOKUP(V58,[1]Curr!$B$2:$C$13,2,FALSE),0)</f>
        <v>11.3</v>
      </c>
      <c r="X58" s="12">
        <f t="shared" si="1"/>
        <v>0</v>
      </c>
      <c r="Y58" s="26">
        <f t="shared" si="8"/>
        <v>0</v>
      </c>
      <c r="Z58" s="12">
        <f t="shared" si="2"/>
        <v>0</v>
      </c>
      <c r="AA58" s="4" t="s">
        <v>10</v>
      </c>
      <c r="AB58" s="11">
        <f>IFERROR(VLOOKUP(AA58,Curr!$B$2:$C$13,2,FALSE),0)</f>
        <v>11.3</v>
      </c>
      <c r="AC58" s="12">
        <f t="shared" si="3"/>
        <v>0</v>
      </c>
      <c r="AD58" s="12">
        <f t="shared" si="4"/>
        <v>0</v>
      </c>
      <c r="AE58" s="13">
        <f t="shared" si="5"/>
        <v>0</v>
      </c>
    </row>
    <row r="59" spans="2:31" x14ac:dyDescent="0.25">
      <c r="B59" s="4"/>
      <c r="E59" s="3"/>
      <c r="F59" s="3"/>
      <c r="G59" s="24"/>
      <c r="H59" s="24"/>
      <c r="K59" s="4"/>
      <c r="L59" s="4"/>
      <c r="M59" s="4"/>
      <c r="N59" s="4"/>
      <c r="O59" s="4"/>
      <c r="P59" s="27"/>
      <c r="Q59" s="25"/>
      <c r="R59" s="25"/>
      <c r="S59" s="12">
        <f t="shared" si="0"/>
        <v>0</v>
      </c>
      <c r="T59" s="5">
        <v>0</v>
      </c>
      <c r="U59" s="12">
        <f t="shared" si="6"/>
        <v>0</v>
      </c>
      <c r="V59" s="25" t="s">
        <v>10</v>
      </c>
      <c r="W59" s="11">
        <f>IFERROR(VLOOKUP(V59,[1]Curr!$B$2:$C$13,2,FALSE),0)</f>
        <v>11.3</v>
      </c>
      <c r="X59" s="12">
        <f t="shared" si="1"/>
        <v>0</v>
      </c>
      <c r="Y59" s="26">
        <f t="shared" si="8"/>
        <v>0</v>
      </c>
      <c r="Z59" s="12">
        <f t="shared" si="2"/>
        <v>0</v>
      </c>
      <c r="AA59" s="4" t="s">
        <v>10</v>
      </c>
      <c r="AB59" s="11">
        <f>IFERROR(VLOOKUP(AA59,Curr!$B$2:$C$13,2,FALSE),0)</f>
        <v>11.3</v>
      </c>
      <c r="AC59" s="12">
        <f t="shared" si="3"/>
        <v>0</v>
      </c>
      <c r="AD59" s="12">
        <f t="shared" si="4"/>
        <v>0</v>
      </c>
      <c r="AE59" s="13">
        <f t="shared" si="5"/>
        <v>0</v>
      </c>
    </row>
    <row r="60" spans="2:31" x14ac:dyDescent="0.25">
      <c r="B60" s="4"/>
      <c r="E60" s="3"/>
      <c r="F60" s="3"/>
      <c r="G60" s="24"/>
      <c r="H60" s="24"/>
      <c r="K60" s="4"/>
      <c r="L60" s="4"/>
      <c r="M60" s="4"/>
      <c r="N60" s="4"/>
      <c r="O60" s="4"/>
      <c r="P60" s="27"/>
      <c r="Q60" s="25"/>
      <c r="R60" s="25"/>
      <c r="S60" s="12">
        <f t="shared" si="0"/>
        <v>0</v>
      </c>
      <c r="T60" s="5">
        <v>0</v>
      </c>
      <c r="U60" s="12">
        <f t="shared" si="6"/>
        <v>0</v>
      </c>
      <c r="V60" s="25" t="s">
        <v>10</v>
      </c>
      <c r="W60" s="11">
        <f>IFERROR(VLOOKUP(V60,[1]Curr!$B$2:$C$13,2,FALSE),0)</f>
        <v>11.3</v>
      </c>
      <c r="X60" s="12">
        <f t="shared" si="1"/>
        <v>0</v>
      </c>
      <c r="Y60" s="26">
        <f t="shared" si="8"/>
        <v>0</v>
      </c>
      <c r="Z60" s="12">
        <f t="shared" si="2"/>
        <v>0</v>
      </c>
      <c r="AA60" s="4" t="s">
        <v>10</v>
      </c>
      <c r="AB60" s="11">
        <f>IFERROR(VLOOKUP(AA60,Curr!$B$2:$C$13,2,FALSE),0)</f>
        <v>11.3</v>
      </c>
      <c r="AC60" s="12">
        <f t="shared" si="3"/>
        <v>0</v>
      </c>
      <c r="AD60" s="12">
        <f t="shared" si="4"/>
        <v>0</v>
      </c>
      <c r="AE60" s="13">
        <f t="shared" si="5"/>
        <v>0</v>
      </c>
    </row>
    <row r="61" spans="2:31" x14ac:dyDescent="0.25">
      <c r="B61" s="4"/>
      <c r="E61" s="3"/>
      <c r="F61" s="3"/>
      <c r="G61" s="24"/>
      <c r="H61" s="24"/>
      <c r="K61" s="4"/>
      <c r="L61" s="4"/>
      <c r="M61" s="4"/>
      <c r="N61" s="4"/>
      <c r="O61" s="4"/>
      <c r="P61" s="27"/>
      <c r="Q61" s="25"/>
      <c r="R61" s="25"/>
      <c r="S61" s="12">
        <f t="shared" si="0"/>
        <v>0</v>
      </c>
      <c r="T61" s="5">
        <v>0</v>
      </c>
      <c r="U61" s="12">
        <f t="shared" si="6"/>
        <v>0</v>
      </c>
      <c r="V61" s="25" t="s">
        <v>10</v>
      </c>
      <c r="W61" s="11">
        <f>IFERROR(VLOOKUP(V61,[1]Curr!$B$2:$C$13,2,FALSE),0)</f>
        <v>11.3</v>
      </c>
      <c r="X61" s="12">
        <f t="shared" si="1"/>
        <v>0</v>
      </c>
      <c r="Y61" s="26">
        <f t="shared" si="8"/>
        <v>0</v>
      </c>
      <c r="Z61" s="12">
        <f t="shared" si="2"/>
        <v>0</v>
      </c>
      <c r="AA61" s="4" t="s">
        <v>10</v>
      </c>
      <c r="AB61" s="11">
        <f>IFERROR(VLOOKUP(AA61,Curr!$B$2:$C$13,2,FALSE),0)</f>
        <v>11.3</v>
      </c>
      <c r="AC61" s="12">
        <f t="shared" si="3"/>
        <v>0</v>
      </c>
      <c r="AD61" s="12">
        <f t="shared" si="4"/>
        <v>0</v>
      </c>
      <c r="AE61" s="13">
        <f t="shared" si="5"/>
        <v>0</v>
      </c>
    </row>
    <row r="62" spans="2:31" x14ac:dyDescent="0.25">
      <c r="B62" s="4"/>
      <c r="E62" s="3"/>
      <c r="F62" s="3"/>
      <c r="G62" s="24"/>
      <c r="H62" s="24"/>
      <c r="K62" s="4"/>
      <c r="L62" s="4"/>
      <c r="M62" s="4"/>
      <c r="N62" s="4"/>
      <c r="O62" s="4"/>
      <c r="P62" s="27"/>
      <c r="Q62" s="25"/>
      <c r="R62" s="25"/>
      <c r="S62" s="12">
        <f t="shared" si="0"/>
        <v>0</v>
      </c>
      <c r="T62" s="5">
        <v>0</v>
      </c>
      <c r="U62" s="12">
        <f t="shared" si="6"/>
        <v>0</v>
      </c>
      <c r="V62" s="25" t="s">
        <v>10</v>
      </c>
      <c r="W62" s="11">
        <f>IFERROR(VLOOKUP(V62,[1]Curr!$B$2:$C$13,2,FALSE),0)</f>
        <v>11.3</v>
      </c>
      <c r="X62" s="12">
        <f t="shared" si="1"/>
        <v>0</v>
      </c>
      <c r="Y62" s="26">
        <f t="shared" si="8"/>
        <v>0</v>
      </c>
      <c r="Z62" s="12">
        <f t="shared" si="2"/>
        <v>0</v>
      </c>
      <c r="AA62" s="4" t="s">
        <v>10</v>
      </c>
      <c r="AB62" s="11">
        <f>IFERROR(VLOOKUP(AA62,Curr!$B$2:$C$13,2,FALSE),0)</f>
        <v>11.3</v>
      </c>
      <c r="AC62" s="12">
        <f t="shared" si="3"/>
        <v>0</v>
      </c>
      <c r="AD62" s="12">
        <f t="shared" si="4"/>
        <v>0</v>
      </c>
      <c r="AE62" s="13">
        <f t="shared" si="5"/>
        <v>0</v>
      </c>
    </row>
    <row r="63" spans="2:31" x14ac:dyDescent="0.25">
      <c r="B63" s="4"/>
      <c r="E63" s="3"/>
      <c r="F63" s="3"/>
      <c r="G63" s="24"/>
      <c r="H63" s="24"/>
      <c r="K63" s="4"/>
      <c r="L63" s="4"/>
      <c r="M63" s="4"/>
      <c r="N63" s="4"/>
      <c r="O63" s="4"/>
      <c r="P63" s="27"/>
      <c r="Q63" s="25"/>
      <c r="R63" s="25"/>
      <c r="S63" s="12">
        <f t="shared" si="0"/>
        <v>0</v>
      </c>
      <c r="T63" s="5">
        <v>0</v>
      </c>
      <c r="U63" s="12">
        <f t="shared" si="6"/>
        <v>0</v>
      </c>
      <c r="V63" s="25" t="s">
        <v>10</v>
      </c>
      <c r="W63" s="11">
        <f>IFERROR(VLOOKUP(V63,[1]Curr!$B$2:$C$13,2,FALSE),0)</f>
        <v>11.3</v>
      </c>
      <c r="X63" s="12">
        <f t="shared" si="1"/>
        <v>0</v>
      </c>
      <c r="Y63" s="26">
        <f t="shared" si="8"/>
        <v>0</v>
      </c>
      <c r="Z63" s="12">
        <f t="shared" si="2"/>
        <v>0</v>
      </c>
      <c r="AA63" s="4" t="s">
        <v>10</v>
      </c>
      <c r="AB63" s="11">
        <f>IFERROR(VLOOKUP(AA63,Curr!$B$2:$C$13,2,FALSE),0)</f>
        <v>11.3</v>
      </c>
      <c r="AC63" s="12">
        <f t="shared" si="3"/>
        <v>0</v>
      </c>
      <c r="AD63" s="12">
        <f t="shared" si="4"/>
        <v>0</v>
      </c>
      <c r="AE63" s="13">
        <f t="shared" si="5"/>
        <v>0</v>
      </c>
    </row>
    <row r="64" spans="2:31" x14ac:dyDescent="0.25">
      <c r="B64" s="4"/>
      <c r="E64" s="3"/>
      <c r="F64" s="3"/>
      <c r="G64" s="24"/>
      <c r="H64" s="24"/>
      <c r="K64" s="4"/>
      <c r="L64" s="4"/>
      <c r="M64" s="4"/>
      <c r="N64" s="4"/>
      <c r="O64" s="4"/>
      <c r="P64" s="27"/>
      <c r="Q64" s="25"/>
      <c r="R64" s="25"/>
      <c r="S64" s="12">
        <f t="shared" si="0"/>
        <v>0</v>
      </c>
      <c r="T64" s="5">
        <v>0</v>
      </c>
      <c r="U64" s="12">
        <f t="shared" si="6"/>
        <v>0</v>
      </c>
      <c r="V64" s="25" t="s">
        <v>10</v>
      </c>
      <c r="W64" s="11">
        <f>IFERROR(VLOOKUP(V64,[1]Curr!$B$2:$C$13,2,FALSE),0)</f>
        <v>11.3</v>
      </c>
      <c r="X64" s="12">
        <f t="shared" si="1"/>
        <v>0</v>
      </c>
      <c r="Y64" s="26">
        <f t="shared" si="8"/>
        <v>0</v>
      </c>
      <c r="Z64" s="12">
        <f t="shared" si="2"/>
        <v>0</v>
      </c>
      <c r="AA64" s="4" t="s">
        <v>10</v>
      </c>
      <c r="AB64" s="11">
        <f>IFERROR(VLOOKUP(AA64,Curr!$B$2:$C$13,2,FALSE),0)</f>
        <v>11.3</v>
      </c>
      <c r="AC64" s="12">
        <f t="shared" si="3"/>
        <v>0</v>
      </c>
      <c r="AD64" s="12">
        <f t="shared" si="4"/>
        <v>0</v>
      </c>
      <c r="AE64" s="13">
        <f t="shared" si="5"/>
        <v>0</v>
      </c>
    </row>
    <row r="65" spans="2:36" x14ac:dyDescent="0.25">
      <c r="B65" s="4"/>
      <c r="E65" s="3"/>
      <c r="F65" s="3"/>
      <c r="G65" s="24"/>
      <c r="H65" s="24"/>
      <c r="K65" s="4"/>
      <c r="L65" s="4"/>
      <c r="M65" s="4"/>
      <c r="N65" s="4"/>
      <c r="O65" s="4"/>
      <c r="P65" s="27"/>
      <c r="Q65" s="25"/>
      <c r="R65" s="25"/>
      <c r="S65" s="12">
        <f t="shared" si="0"/>
        <v>0</v>
      </c>
      <c r="T65" s="5">
        <v>0</v>
      </c>
      <c r="U65" s="12">
        <f t="shared" si="6"/>
        <v>0</v>
      </c>
      <c r="V65" s="25" t="s">
        <v>10</v>
      </c>
      <c r="W65" s="11">
        <f>IFERROR(VLOOKUP(V65,[1]Curr!$B$2:$C$13,2,FALSE),0)</f>
        <v>11.3</v>
      </c>
      <c r="X65" s="12">
        <f t="shared" si="1"/>
        <v>0</v>
      </c>
      <c r="Y65" s="26">
        <f t="shared" si="8"/>
        <v>0</v>
      </c>
      <c r="Z65" s="12">
        <f t="shared" si="2"/>
        <v>0</v>
      </c>
      <c r="AA65" s="4" t="s">
        <v>10</v>
      </c>
      <c r="AB65" s="11">
        <f>IFERROR(VLOOKUP(AA65,Curr!$B$2:$C$13,2,FALSE),0)</f>
        <v>11.3</v>
      </c>
      <c r="AC65" s="12">
        <f t="shared" si="3"/>
        <v>0</v>
      </c>
      <c r="AD65" s="12">
        <f t="shared" si="4"/>
        <v>0</v>
      </c>
      <c r="AE65" s="13">
        <f t="shared" si="5"/>
        <v>0</v>
      </c>
    </row>
    <row r="66" spans="2:36" x14ac:dyDescent="0.25">
      <c r="B66" s="4"/>
      <c r="E66" s="3"/>
      <c r="F66" s="3"/>
      <c r="G66" s="24"/>
      <c r="H66" s="24"/>
      <c r="K66" s="4"/>
      <c r="L66" s="4"/>
      <c r="M66" s="4"/>
      <c r="N66" s="4"/>
      <c r="O66" s="4"/>
      <c r="P66" s="27"/>
      <c r="Q66" s="25"/>
      <c r="R66" s="25"/>
      <c r="S66" s="12">
        <f t="shared" si="0"/>
        <v>0</v>
      </c>
      <c r="T66" s="5">
        <v>0</v>
      </c>
      <c r="U66" s="12">
        <f t="shared" si="6"/>
        <v>0</v>
      </c>
      <c r="V66" s="25" t="s">
        <v>10</v>
      </c>
      <c r="W66" s="11">
        <f>IFERROR(VLOOKUP(V66,[1]Curr!$B$2:$C$13,2,FALSE),0)</f>
        <v>11.3</v>
      </c>
      <c r="X66" s="12">
        <f t="shared" si="1"/>
        <v>0</v>
      </c>
      <c r="Y66" s="26">
        <f t="shared" si="8"/>
        <v>0</v>
      </c>
      <c r="Z66" s="12">
        <f t="shared" si="2"/>
        <v>0</v>
      </c>
      <c r="AA66" s="4" t="s">
        <v>10</v>
      </c>
      <c r="AB66" s="11">
        <f>IFERROR(VLOOKUP(AA66,Curr!$B$2:$C$13,2,FALSE),0)</f>
        <v>11.3</v>
      </c>
      <c r="AC66" s="12">
        <f t="shared" si="3"/>
        <v>0</v>
      </c>
      <c r="AD66" s="12">
        <f t="shared" si="4"/>
        <v>0</v>
      </c>
      <c r="AE66" s="13">
        <f t="shared" si="5"/>
        <v>0</v>
      </c>
    </row>
    <row r="67" spans="2:36" x14ac:dyDescent="0.25">
      <c r="B67" s="4"/>
      <c r="E67" s="3"/>
      <c r="F67" s="3"/>
      <c r="G67" s="24"/>
      <c r="H67" s="24"/>
      <c r="K67" s="4"/>
      <c r="L67" s="4"/>
      <c r="M67" s="4"/>
      <c r="N67" s="4"/>
      <c r="O67" s="4"/>
      <c r="P67" s="27"/>
      <c r="Q67" s="25"/>
      <c r="R67" s="25"/>
      <c r="S67" s="12">
        <f t="shared" si="0"/>
        <v>0</v>
      </c>
      <c r="T67" s="5">
        <v>0</v>
      </c>
      <c r="U67" s="12">
        <f t="shared" si="6"/>
        <v>0</v>
      </c>
      <c r="V67" s="25" t="s">
        <v>10</v>
      </c>
      <c r="W67" s="11">
        <f>IFERROR(VLOOKUP(V67,[1]Curr!$B$2:$C$13,2,FALSE),0)</f>
        <v>11.3</v>
      </c>
      <c r="X67" s="12">
        <f t="shared" si="1"/>
        <v>0</v>
      </c>
      <c r="Y67" s="26">
        <f t="shared" si="8"/>
        <v>0</v>
      </c>
      <c r="Z67" s="12">
        <f t="shared" si="2"/>
        <v>0</v>
      </c>
      <c r="AA67" s="4" t="s">
        <v>10</v>
      </c>
      <c r="AB67" s="11">
        <f>IFERROR(VLOOKUP(AA67,Curr!$B$2:$C$13,2,FALSE),0)</f>
        <v>11.3</v>
      </c>
      <c r="AC67" s="12">
        <f t="shared" si="3"/>
        <v>0</v>
      </c>
      <c r="AD67" s="12">
        <f t="shared" si="4"/>
        <v>0</v>
      </c>
      <c r="AE67" s="13">
        <f t="shared" si="5"/>
        <v>0</v>
      </c>
    </row>
    <row r="68" spans="2:36" x14ac:dyDescent="0.25">
      <c r="B68" s="4"/>
      <c r="E68" s="3"/>
      <c r="F68" s="3"/>
      <c r="G68" s="24"/>
      <c r="H68" s="24"/>
      <c r="K68" s="4"/>
      <c r="L68" s="4"/>
      <c r="M68" s="4"/>
      <c r="N68" s="4"/>
      <c r="O68" s="4"/>
      <c r="P68" s="27"/>
      <c r="Q68" s="25"/>
      <c r="R68" s="25"/>
      <c r="S68" s="12">
        <f t="shared" si="0"/>
        <v>0</v>
      </c>
      <c r="T68" s="5">
        <v>0</v>
      </c>
      <c r="U68" s="12">
        <f t="shared" si="6"/>
        <v>0</v>
      </c>
      <c r="V68" s="25" t="s">
        <v>10</v>
      </c>
      <c r="W68" s="11">
        <f>IFERROR(VLOOKUP(V68,[1]Curr!$B$2:$C$13,2,FALSE),0)</f>
        <v>11.3</v>
      </c>
      <c r="X68" s="12">
        <f t="shared" si="1"/>
        <v>0</v>
      </c>
      <c r="Y68" s="26">
        <f t="shared" si="8"/>
        <v>0</v>
      </c>
      <c r="Z68" s="12">
        <f t="shared" si="2"/>
        <v>0</v>
      </c>
      <c r="AA68" s="4" t="s">
        <v>10</v>
      </c>
      <c r="AB68" s="11">
        <f>IFERROR(VLOOKUP(AA68,Curr!$B$2:$C$13,2,FALSE),0)</f>
        <v>11.3</v>
      </c>
      <c r="AC68" s="12">
        <f t="shared" si="3"/>
        <v>0</v>
      </c>
      <c r="AD68" s="12">
        <f t="shared" si="4"/>
        <v>0</v>
      </c>
      <c r="AE68" s="13">
        <f t="shared" si="5"/>
        <v>0</v>
      </c>
    </row>
    <row r="69" spans="2:36" x14ac:dyDescent="0.25">
      <c r="B69" s="4"/>
      <c r="E69" s="3"/>
      <c r="F69" s="3"/>
      <c r="G69" s="3"/>
      <c r="H69" s="3"/>
      <c r="L69" s="4"/>
      <c r="M69" s="4"/>
      <c r="N69" s="4"/>
      <c r="O69" s="4"/>
      <c r="P69" s="22"/>
      <c r="Q69" s="4"/>
      <c r="R69" s="4"/>
      <c r="S69" s="4"/>
      <c r="T69" s="4"/>
      <c r="U69" s="4"/>
      <c r="V69" s="4"/>
      <c r="W69" s="4"/>
      <c r="X69" s="4"/>
      <c r="Y69" s="4"/>
      <c r="Z69" s="4"/>
      <c r="AA69" s="4"/>
      <c r="AB69" s="4"/>
      <c r="AC69" s="4"/>
      <c r="AD69" s="4"/>
      <c r="AE69" s="4"/>
      <c r="AF69" s="4"/>
    </row>
    <row r="70" spans="2:36" x14ac:dyDescent="0.25">
      <c r="B70" s="14" t="s">
        <v>18</v>
      </c>
      <c r="C70" s="14"/>
      <c r="D70" s="28" t="s">
        <v>42</v>
      </c>
      <c r="E70" s="30" t="s">
        <v>42</v>
      </c>
      <c r="F70" s="30" t="s">
        <v>42</v>
      </c>
      <c r="G70" s="30" t="s">
        <v>42</v>
      </c>
      <c r="H70" s="30" t="s">
        <v>42</v>
      </c>
      <c r="I70" s="28" t="s">
        <v>42</v>
      </c>
      <c r="J70" s="28" t="s">
        <v>42</v>
      </c>
      <c r="K70" s="28" t="s">
        <v>42</v>
      </c>
      <c r="L70" s="28" t="s">
        <v>42</v>
      </c>
      <c r="M70" s="28" t="s">
        <v>42</v>
      </c>
      <c r="N70" s="28" t="s">
        <v>42</v>
      </c>
      <c r="O70" s="28" t="s">
        <v>42</v>
      </c>
      <c r="P70" s="28" t="s">
        <v>42</v>
      </c>
      <c r="Q70" s="31" t="s">
        <v>42</v>
      </c>
      <c r="R70" s="28" t="s">
        <v>42</v>
      </c>
      <c r="S70" s="32" t="s">
        <v>42</v>
      </c>
      <c r="T70" s="28" t="s">
        <v>42</v>
      </c>
      <c r="U70" s="32" t="s">
        <v>42</v>
      </c>
      <c r="V70" s="28" t="s">
        <v>42</v>
      </c>
      <c r="W70" s="28" t="s">
        <v>42</v>
      </c>
      <c r="X70" s="32" t="s">
        <v>42</v>
      </c>
      <c r="Y70" s="32" t="s">
        <v>42</v>
      </c>
      <c r="Z70" s="15">
        <f>SUM(Z7:Z68)</f>
        <v>4548.3809739079616</v>
      </c>
      <c r="AA70" s="14"/>
      <c r="AB70" s="14"/>
      <c r="AC70" s="15">
        <f>SUM(AC7:AC68)</f>
        <v>51396.705005159965</v>
      </c>
      <c r="AD70" s="15">
        <f>SUM(AD7:AD68)</f>
        <v>9849.8250051599607</v>
      </c>
      <c r="AE70" s="21">
        <f t="shared" ref="AE70" si="14">IFERROR(AD70/AC70,0)</f>
        <v>0.19164312195054312</v>
      </c>
      <c r="AF70" s="15">
        <f>SUM(AF8:AF69)</f>
        <v>0</v>
      </c>
      <c r="AG70" s="15">
        <f>SUM(AG8:AG69)</f>
        <v>0</v>
      </c>
      <c r="AH70" s="15">
        <f>SUM(AH8:AH69)</f>
        <v>0</v>
      </c>
      <c r="AI70" s="15">
        <f>SUM(AI8:AI69)</f>
        <v>0</v>
      </c>
      <c r="AJ70" s="15">
        <f>SUM(AJ8:AJ69)</f>
        <v>0</v>
      </c>
    </row>
    <row r="71" spans="2:36" x14ac:dyDescent="0.25">
      <c r="B71" s="4"/>
      <c r="E71" s="3"/>
      <c r="F71" s="3"/>
      <c r="G71" s="3"/>
      <c r="H71" s="3"/>
      <c r="L71" s="4"/>
      <c r="M71" s="4"/>
      <c r="N71" s="4"/>
      <c r="O71" s="4"/>
      <c r="Q71" s="4"/>
      <c r="R71" s="4"/>
      <c r="S71" s="4"/>
      <c r="T71" s="4"/>
      <c r="U71" s="4"/>
      <c r="V71" s="4"/>
      <c r="W71" s="4"/>
      <c r="X71" s="4"/>
      <c r="Y71" s="9"/>
      <c r="Z71" s="9"/>
      <c r="AA71" s="9"/>
      <c r="AB71" s="9"/>
      <c r="AC71" s="9"/>
      <c r="AD71" s="9"/>
      <c r="AE71" s="9"/>
    </row>
    <row r="72" spans="2:36" x14ac:dyDescent="0.25">
      <c r="B72" s="4"/>
      <c r="E72" s="3"/>
      <c r="F72" s="3"/>
      <c r="G72" s="3"/>
      <c r="H72" s="3"/>
      <c r="L72" s="4"/>
      <c r="M72" s="4"/>
      <c r="N72" s="4"/>
      <c r="O72" s="4"/>
      <c r="Q72" s="9"/>
      <c r="R72" s="9"/>
      <c r="S72" s="9"/>
      <c r="T72" s="9"/>
      <c r="U72" s="9"/>
      <c r="V72" s="9"/>
      <c r="W72" s="9"/>
      <c r="X72" s="23"/>
      <c r="Y72" s="34" t="s">
        <v>119</v>
      </c>
      <c r="Z72" s="34">
        <f>Z12+Z19+Z21+Z23+Z26+Z31+Z33+Z36</f>
        <v>2452.0574444961962</v>
      </c>
      <c r="AA72" s="9"/>
      <c r="AB72" s="9"/>
      <c r="AC72" s="9"/>
      <c r="AD72" s="9"/>
      <c r="AE72" s="9"/>
    </row>
    <row r="73" spans="2:36" x14ac:dyDescent="0.25">
      <c r="B73" s="4"/>
      <c r="E73" s="3"/>
      <c r="F73" s="3"/>
      <c r="G73" s="3"/>
      <c r="H73" s="3"/>
      <c r="L73" s="4"/>
      <c r="M73" s="4"/>
      <c r="N73" s="4"/>
      <c r="O73" s="4"/>
      <c r="Q73" s="9"/>
      <c r="R73" s="9"/>
      <c r="S73" s="9"/>
      <c r="T73" s="9"/>
      <c r="U73" s="9"/>
      <c r="V73" s="9"/>
      <c r="W73" s="9"/>
      <c r="X73" s="9"/>
      <c r="Y73" s="35" t="s">
        <v>120</v>
      </c>
      <c r="Z73" s="34">
        <f>Z9+Z14+Z17+Z28+Z40</f>
        <v>2096.3235294117649</v>
      </c>
      <c r="AA73" s="9"/>
      <c r="AB73" s="9"/>
      <c r="AC73" s="9"/>
      <c r="AD73" s="9"/>
      <c r="AE73" s="9"/>
      <c r="AF73" s="18"/>
    </row>
    <row r="74" spans="2:36" x14ac:dyDescent="0.25">
      <c r="B74" s="4"/>
      <c r="E74" s="3"/>
      <c r="F74" s="3"/>
      <c r="G74" s="3"/>
      <c r="H74" s="3"/>
      <c r="I74" s="19"/>
      <c r="L74" s="4"/>
      <c r="M74" s="4"/>
      <c r="N74" s="4"/>
      <c r="O74" s="20"/>
      <c r="Q74" s="20"/>
      <c r="R74" s="20"/>
      <c r="S74" s="20"/>
      <c r="T74" s="20"/>
      <c r="U74" s="20"/>
      <c r="V74" s="20"/>
      <c r="W74" s="20"/>
      <c r="X74" s="20"/>
      <c r="Y74" s="34" t="s">
        <v>121</v>
      </c>
      <c r="Z74" s="34">
        <v>4560</v>
      </c>
      <c r="AA74" s="9"/>
      <c r="AB74" s="9"/>
      <c r="AC74" s="9"/>
      <c r="AD74" s="9"/>
      <c r="AE74" s="9"/>
      <c r="AF74" s="18"/>
    </row>
    <row r="75" spans="2:36" x14ac:dyDescent="0.25">
      <c r="B75" s="4"/>
      <c r="E75" s="3"/>
      <c r="F75" s="3"/>
      <c r="G75" s="3"/>
      <c r="H75" s="3"/>
      <c r="L75" s="4"/>
      <c r="M75" s="4"/>
      <c r="N75" s="4"/>
      <c r="O75" s="20"/>
      <c r="Q75" s="20"/>
      <c r="R75" s="20"/>
      <c r="S75" s="20"/>
      <c r="T75" s="20"/>
      <c r="U75" s="20"/>
      <c r="V75" s="20"/>
      <c r="W75" s="20"/>
      <c r="X75" s="20"/>
      <c r="Y75" s="34" t="s">
        <v>46</v>
      </c>
      <c r="Z75" s="34">
        <f>Z74/2</f>
        <v>2280</v>
      </c>
      <c r="AA75" s="9"/>
      <c r="AB75" s="9"/>
      <c r="AC75" s="9"/>
      <c r="AD75" s="9"/>
      <c r="AE75" s="9"/>
      <c r="AF75" s="18"/>
    </row>
    <row r="76" spans="2:36" x14ac:dyDescent="0.25">
      <c r="B76" s="4"/>
      <c r="E76" s="3"/>
      <c r="F76" s="3"/>
      <c r="G76" s="3"/>
      <c r="H76" s="3"/>
      <c r="L76" s="4"/>
      <c r="M76" s="4"/>
      <c r="N76" s="4"/>
      <c r="O76" s="4"/>
      <c r="Q76" s="9"/>
      <c r="R76" s="9"/>
      <c r="S76" s="9"/>
      <c r="T76" s="9"/>
      <c r="U76" s="9"/>
      <c r="V76" s="9"/>
      <c r="W76" s="9"/>
      <c r="X76" s="9"/>
      <c r="Y76" s="1"/>
      <c r="Z76" s="1"/>
      <c r="AA76" s="9"/>
      <c r="AB76" s="9"/>
      <c r="AC76" s="9"/>
      <c r="AD76" s="9"/>
      <c r="AE76" s="9"/>
      <c r="AF76" s="18"/>
    </row>
    <row r="77" spans="2:36" x14ac:dyDescent="0.25">
      <c r="F77" s="1"/>
      <c r="G77" s="1"/>
      <c r="H77" s="1"/>
      <c r="J77" s="1" t="s">
        <v>32</v>
      </c>
      <c r="Q77" s="9"/>
      <c r="R77" s="4"/>
      <c r="S77" s="9"/>
      <c r="T77" s="5"/>
      <c r="U77" s="9"/>
      <c r="V77" s="4"/>
      <c r="W77" s="4"/>
      <c r="X77" s="9"/>
      <c r="Y77" s="9"/>
      <c r="Z77" s="9"/>
      <c r="AA77" s="9"/>
      <c r="AB77" s="9"/>
      <c r="AC77" s="9"/>
      <c r="AD77" s="9"/>
      <c r="AE77" s="9"/>
    </row>
    <row r="78" spans="2:36" x14ac:dyDescent="0.25">
      <c r="R78" s="4"/>
      <c r="S78" s="17"/>
      <c r="T78" s="17"/>
      <c r="U78" s="9"/>
      <c r="V78" s="4"/>
      <c r="W78" s="4"/>
      <c r="X78" s="9"/>
      <c r="Y78" s="39" t="s">
        <v>220</v>
      </c>
      <c r="Z78" s="9">
        <f>Z74</f>
        <v>4560</v>
      </c>
      <c r="AA78" s="9"/>
      <c r="AB78" s="9"/>
      <c r="AC78" s="9"/>
      <c r="AD78" s="9"/>
      <c r="AE78" s="9"/>
    </row>
    <row r="79" spans="2:36" x14ac:dyDescent="0.25">
      <c r="Q79" s="9"/>
      <c r="R79" s="4"/>
      <c r="S79" s="16"/>
      <c r="T79" s="16"/>
      <c r="U79" s="9"/>
      <c r="V79" s="4"/>
      <c r="W79" s="4"/>
      <c r="X79" s="9"/>
      <c r="Y79" s="39" t="s">
        <v>221</v>
      </c>
      <c r="Z79" s="9">
        <f>Z78*1.18</f>
        <v>5380.7999999999993</v>
      </c>
      <c r="AA79" s="9"/>
      <c r="AB79" s="9"/>
      <c r="AC79" s="9"/>
      <c r="AD79" s="9"/>
      <c r="AE79" s="9"/>
    </row>
    <row r="80" spans="2:36" x14ac:dyDescent="0.25">
      <c r="R80" s="4"/>
      <c r="S80" s="16"/>
      <c r="T80" s="16"/>
      <c r="Y80" s="39" t="s">
        <v>222</v>
      </c>
      <c r="Z80" s="9">
        <f>Z78*1.3</f>
        <v>5928</v>
      </c>
      <c r="AA80" s="9"/>
      <c r="AB80" s="9"/>
      <c r="AC80" s="9"/>
      <c r="AD80" s="9"/>
      <c r="AE80" s="9"/>
    </row>
    <row r="81" spans="20:31" x14ac:dyDescent="0.25">
      <c r="T81" s="5"/>
      <c r="Y81" s="39" t="s">
        <v>223</v>
      </c>
      <c r="Z81" s="9">
        <f>Z78*0.85</f>
        <v>3876</v>
      </c>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c r="Y84" s="9"/>
      <c r="Z84" s="9"/>
      <c r="AA84" s="9"/>
      <c r="AB84" s="9"/>
      <c r="AC84" s="9"/>
      <c r="AD84" s="9"/>
      <c r="AE84" s="9"/>
    </row>
    <row r="85" spans="20:31" x14ac:dyDescent="0.25">
      <c r="T85" s="5"/>
      <c r="Y85" s="9"/>
      <c r="Z85" s="9"/>
      <c r="AA85" s="9"/>
      <c r="AB85" s="9"/>
      <c r="AC85" s="9"/>
      <c r="AD85" s="9"/>
      <c r="AE85" s="9"/>
    </row>
    <row r="86" spans="20:31" x14ac:dyDescent="0.25">
      <c r="T86" s="5"/>
      <c r="Y86" s="9"/>
      <c r="Z86" s="9"/>
      <c r="AA86" s="9"/>
      <c r="AB86" s="9"/>
      <c r="AC86" s="9"/>
      <c r="AD86" s="9"/>
      <c r="AE86" s="9"/>
    </row>
    <row r="87" spans="20:31" x14ac:dyDescent="0.25">
      <c r="T87" s="5"/>
      <c r="Y87" s="9"/>
      <c r="Z87" s="9"/>
      <c r="AA87" s="9"/>
      <c r="AB87" s="9"/>
      <c r="AC87" s="9"/>
      <c r="AD87" s="9"/>
      <c r="AE87" s="9"/>
    </row>
    <row r="88" spans="20:31" x14ac:dyDescent="0.25">
      <c r="T88" s="5"/>
      <c r="Y88" s="9"/>
      <c r="Z88" s="9"/>
      <c r="AA88" s="9"/>
      <c r="AB88" s="9"/>
      <c r="AC88" s="9"/>
      <c r="AD88" s="9"/>
      <c r="AE88" s="9"/>
    </row>
    <row r="89" spans="20:31" x14ac:dyDescent="0.25">
      <c r="T89" s="5"/>
    </row>
    <row r="90" spans="20:31" x14ac:dyDescent="0.25">
      <c r="T90" s="5"/>
    </row>
    <row r="91" spans="20:31" x14ac:dyDescent="0.25">
      <c r="T91" s="5"/>
    </row>
    <row r="92" spans="20:31" x14ac:dyDescent="0.25">
      <c r="T92" s="5"/>
    </row>
    <row r="93" spans="20:31" x14ac:dyDescent="0.25">
      <c r="T93" s="5"/>
    </row>
  </sheetData>
  <autoFilter ref="B6:AE70" xr:uid="{65FA6D9B-E0AF-46CD-BA0D-86BB75FE6AB0}"/>
  <hyperlinks>
    <hyperlink ref="P12" r:id="rId1" xr:uid="{0CEE2269-B8EE-47C3-8DF3-B961960325A8}"/>
    <hyperlink ref="P14" r:id="rId2" xr:uid="{F2DA3BDA-DCEA-4CCB-893C-24B99FB19FC6}"/>
    <hyperlink ref="P21" r:id="rId3" xr:uid="{5AE88CB3-B205-40A7-B292-8B722FBC905D}"/>
    <hyperlink ref="P23" r:id="rId4" xr:uid="{F25ECC31-A2D5-4F1F-AF2D-D0B0973491AB}"/>
    <hyperlink ref="P26" r:id="rId5" xr:uid="{23AC307A-A22F-4459-9B0C-8806F93E4BB4}"/>
    <hyperlink ref="P33" r:id="rId6" xr:uid="{E0834965-E679-4B9E-A36F-7A507389D5F4}"/>
    <hyperlink ref="P31" r:id="rId7" xr:uid="{D46816D7-578C-4019-AAA5-B4B7BBC39E63}"/>
    <hyperlink ref="P36" r:id="rId8" xr:uid="{6624F213-CAA7-4BB2-8313-DB8A3C7266F8}"/>
    <hyperlink ref="P54" r:id="rId9" xr:uid="{177B75C8-54DD-4AD3-A1F4-DCF4D8A27839}"/>
    <hyperlink ref="P56" r:id="rId10" xr:uid="{2DA38395-8D98-4B03-B0E3-32D06C521B08}"/>
    <hyperlink ref="P57" r:id="rId11" xr:uid="{B4A9C7D2-D4A1-4222-B57D-A61360956559}"/>
    <hyperlink ref="P19" r:id="rId12" xr:uid="{C8DDA6A0-5B55-4332-8993-1B612C643C9A}"/>
  </hyperlinks>
  <pageMargins left="0.7" right="0.7" top="0.75" bottom="0.75" header="0.3" footer="0.3"/>
  <pageSetup paperSize="9" orientation="portrait"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7221-D58A-4071-9FF9-96C5EF75EE78}">
  <sheetPr>
    <tabColor rgb="FFFFFF00"/>
  </sheetPr>
  <dimension ref="B1:AK86"/>
  <sheetViews>
    <sheetView topLeftCell="A9" zoomScale="80" zoomScaleNormal="80" workbookViewId="0">
      <selection activeCell="J14" sqref="J14"/>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196</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24"/>
      <c r="H7" s="24"/>
      <c r="J7" s="1" t="s">
        <v>69</v>
      </c>
      <c r="K7" s="4"/>
      <c r="L7" s="4"/>
      <c r="M7" s="4"/>
      <c r="N7" s="4"/>
      <c r="O7" s="4"/>
      <c r="P7" s="27"/>
      <c r="Q7" s="25">
        <v>0</v>
      </c>
      <c r="R7" s="25">
        <v>0</v>
      </c>
      <c r="S7" s="12">
        <f t="shared" ref="S7:S61" si="0">+Q7*R7</f>
        <v>0</v>
      </c>
      <c r="T7" s="5">
        <v>0</v>
      </c>
      <c r="U7" s="12">
        <f t="shared" ref="U7:U61" si="1">S7*(1-T7)</f>
        <v>0</v>
      </c>
      <c r="V7" s="25" t="s">
        <v>10</v>
      </c>
      <c r="W7" s="11">
        <f>IFERROR(VLOOKUP(V7,[1]Curr!$B$2:$C$13,2,FALSE),0)</f>
        <v>11.3</v>
      </c>
      <c r="X7" s="12">
        <f t="shared" ref="X7:X61" si="2">U7*W7</f>
        <v>0</v>
      </c>
      <c r="Y7" s="26">
        <f t="shared" ref="Y7:Y10" si="3">Q7</f>
        <v>0</v>
      </c>
      <c r="Z7" s="12">
        <f t="shared" ref="Z7:Z61" si="4">+Y7*R7</f>
        <v>0</v>
      </c>
      <c r="AA7" s="4" t="s">
        <v>10</v>
      </c>
      <c r="AB7" s="11">
        <f>IFERROR(VLOOKUP(AA7,Curr!$B$2:$C$13,2,FALSE),0)</f>
        <v>11.3</v>
      </c>
      <c r="AC7" s="12">
        <f t="shared" ref="AC7:AC61" si="5">+Y7*AB7*R7</f>
        <v>0</v>
      </c>
      <c r="AD7" s="12">
        <f t="shared" ref="AD7:AD61" si="6">+AC7-X7</f>
        <v>0</v>
      </c>
      <c r="AE7" s="13">
        <f t="shared" ref="AE7:AE61" si="7">IFERROR(AD7/AC7,0)</f>
        <v>0</v>
      </c>
    </row>
    <row r="8" spans="2:36" x14ac:dyDescent="0.25">
      <c r="B8" s="4"/>
      <c r="C8" s="1" t="s">
        <v>64</v>
      </c>
      <c r="D8" s="1" t="s">
        <v>66</v>
      </c>
      <c r="E8" s="3"/>
      <c r="F8" s="3"/>
      <c r="G8" s="24"/>
      <c r="H8" s="24"/>
      <c r="J8" s="1" t="s">
        <v>70</v>
      </c>
      <c r="K8" s="4"/>
      <c r="L8" s="4"/>
      <c r="M8" s="4"/>
      <c r="N8" s="4"/>
      <c r="O8" s="4"/>
      <c r="P8" s="27"/>
      <c r="Q8" s="25">
        <v>0</v>
      </c>
      <c r="R8" s="25">
        <v>0</v>
      </c>
      <c r="S8" s="12">
        <f t="shared" si="0"/>
        <v>0</v>
      </c>
      <c r="T8" s="5">
        <v>0</v>
      </c>
      <c r="U8" s="12">
        <f t="shared" si="1"/>
        <v>0</v>
      </c>
      <c r="V8" s="25" t="s">
        <v>10</v>
      </c>
      <c r="W8" s="11">
        <f>IFERROR(VLOOKUP(V8,[1]Curr!$B$2:$C$13,2,FALSE),0)</f>
        <v>11.3</v>
      </c>
      <c r="X8" s="12">
        <f t="shared" si="2"/>
        <v>0</v>
      </c>
      <c r="Y8" s="26">
        <f>Q8/0.8</f>
        <v>0</v>
      </c>
      <c r="Z8" s="12">
        <f t="shared" si="4"/>
        <v>0</v>
      </c>
      <c r="AA8" s="4" t="s">
        <v>10</v>
      </c>
      <c r="AB8" s="11">
        <f>IFERROR(VLOOKUP(AA8,Curr!$B$2:$C$13,2,FALSE),0)</f>
        <v>11.3</v>
      </c>
      <c r="AC8" s="12">
        <f t="shared" si="5"/>
        <v>0</v>
      </c>
      <c r="AD8" s="12">
        <f t="shared" si="6"/>
        <v>0</v>
      </c>
      <c r="AE8" s="13">
        <f t="shared" si="7"/>
        <v>0</v>
      </c>
    </row>
    <row r="9" spans="2:36" x14ac:dyDescent="0.25">
      <c r="B9" s="4"/>
      <c r="C9" s="1" t="s">
        <v>64</v>
      </c>
      <c r="D9" s="1" t="s">
        <v>67</v>
      </c>
      <c r="E9" s="3"/>
      <c r="F9" s="3"/>
      <c r="G9" s="24"/>
      <c r="H9" s="24"/>
      <c r="J9" s="1" t="s">
        <v>124</v>
      </c>
      <c r="K9" s="4"/>
      <c r="L9" s="4"/>
      <c r="M9" s="4"/>
      <c r="N9" s="4"/>
      <c r="O9" s="4"/>
      <c r="P9" s="33"/>
      <c r="Q9" s="25">
        <v>600</v>
      </c>
      <c r="R9" s="25">
        <v>1</v>
      </c>
      <c r="S9" s="12">
        <f t="shared" si="0"/>
        <v>600</v>
      </c>
      <c r="T9" s="5">
        <v>0</v>
      </c>
      <c r="U9" s="12">
        <f t="shared" si="1"/>
        <v>600</v>
      </c>
      <c r="V9" s="25" t="s">
        <v>10</v>
      </c>
      <c r="W9" s="11">
        <f>IFERROR(VLOOKUP(V9,[1]Curr!$B$2:$C$13,2,FALSE),0)</f>
        <v>11.3</v>
      </c>
      <c r="X9" s="12">
        <f t="shared" si="2"/>
        <v>6780</v>
      </c>
      <c r="Y9" s="26">
        <f>Q9/0.85</f>
        <v>705.88235294117646</v>
      </c>
      <c r="Z9" s="12">
        <f t="shared" si="4"/>
        <v>705.88235294117646</v>
      </c>
      <c r="AA9" s="4" t="s">
        <v>10</v>
      </c>
      <c r="AB9" s="11">
        <f>IFERROR(VLOOKUP(AA9,Curr!$B$2:$C$13,2,FALSE),0)</f>
        <v>11.3</v>
      </c>
      <c r="AC9" s="12">
        <f t="shared" si="5"/>
        <v>7976.4705882352946</v>
      </c>
      <c r="AD9" s="12">
        <f t="shared" si="6"/>
        <v>1196.4705882352946</v>
      </c>
      <c r="AE9" s="13">
        <f t="shared" si="7"/>
        <v>0.15000000000000005</v>
      </c>
    </row>
    <row r="10" spans="2:36" x14ac:dyDescent="0.25">
      <c r="B10" s="4"/>
      <c r="C10" s="1" t="s">
        <v>64</v>
      </c>
      <c r="D10" s="1" t="s">
        <v>68</v>
      </c>
      <c r="E10" s="3"/>
      <c r="F10" s="3"/>
      <c r="G10" s="24"/>
      <c r="H10" s="24"/>
      <c r="J10" s="1" t="s">
        <v>71</v>
      </c>
      <c r="K10" s="4"/>
      <c r="L10" s="4"/>
      <c r="M10" s="4"/>
      <c r="N10" s="4"/>
      <c r="O10" s="4"/>
      <c r="P10" s="27"/>
      <c r="Q10" s="25">
        <v>0</v>
      </c>
      <c r="R10" s="25">
        <v>0</v>
      </c>
      <c r="S10" s="12">
        <f t="shared" si="0"/>
        <v>0</v>
      </c>
      <c r="T10" s="5">
        <v>0</v>
      </c>
      <c r="U10" s="12">
        <f t="shared" si="1"/>
        <v>0</v>
      </c>
      <c r="V10" s="25" t="s">
        <v>10</v>
      </c>
      <c r="W10" s="11">
        <f>IFERROR(VLOOKUP(V10,[1]Curr!$B$2:$C$13,2,FALSE),0)</f>
        <v>11.3</v>
      </c>
      <c r="X10" s="12">
        <f t="shared" si="2"/>
        <v>0</v>
      </c>
      <c r="Y10" s="26">
        <f t="shared" si="3"/>
        <v>0</v>
      </c>
      <c r="Z10" s="12">
        <f t="shared" si="4"/>
        <v>0</v>
      </c>
      <c r="AA10" s="4" t="s">
        <v>10</v>
      </c>
      <c r="AB10" s="11">
        <f>IFERROR(VLOOKUP(AA10,Curr!$B$2:$C$13,2,FALSE),0)</f>
        <v>11.3</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IFERROR(VLOOKUP(V11,[1]Curr!$B$2:$C$13,2,FALSE),0)</f>
        <v>11.3</v>
      </c>
      <c r="X11" s="12">
        <f t="shared" si="2"/>
        <v>0</v>
      </c>
      <c r="Y11" s="26">
        <f t="shared" ref="Y11:Y61" si="8">Q11</f>
        <v>0</v>
      </c>
      <c r="Z11" s="12">
        <f t="shared" si="4"/>
        <v>0</v>
      </c>
      <c r="AA11" s="4" t="s">
        <v>10</v>
      </c>
      <c r="AB11" s="11">
        <f>IFERROR(VLOOKUP(AA11,Curr!$B$2:$C$13,2,FALSE),0)</f>
        <v>11.3</v>
      </c>
      <c r="AC11" s="12">
        <f t="shared" si="5"/>
        <v>0</v>
      </c>
      <c r="AD11" s="12">
        <f t="shared" si="6"/>
        <v>0</v>
      </c>
      <c r="AE11" s="13">
        <f t="shared" si="7"/>
        <v>0</v>
      </c>
    </row>
    <row r="12" spans="2:36" x14ac:dyDescent="0.25">
      <c r="B12" s="4"/>
      <c r="C12" s="1" t="s">
        <v>76</v>
      </c>
      <c r="D12" s="1" t="s">
        <v>75</v>
      </c>
      <c r="E12" s="3"/>
      <c r="F12" s="3"/>
      <c r="G12" s="24"/>
      <c r="H12" s="24"/>
      <c r="J12" s="1" t="s">
        <v>101</v>
      </c>
      <c r="K12" s="4"/>
      <c r="L12" s="4"/>
      <c r="M12" s="4"/>
      <c r="N12" s="4"/>
      <c r="O12" s="4" t="s">
        <v>42</v>
      </c>
      <c r="P12" s="33" t="s">
        <v>102</v>
      </c>
      <c r="Q12" s="25">
        <v>188</v>
      </c>
      <c r="R12" s="25">
        <v>2</v>
      </c>
      <c r="S12" s="12">
        <f t="shared" si="0"/>
        <v>376</v>
      </c>
      <c r="T12" s="5">
        <v>0.2</v>
      </c>
      <c r="U12" s="12">
        <f t="shared" si="1"/>
        <v>300.8</v>
      </c>
      <c r="V12" s="25" t="s">
        <v>10</v>
      </c>
      <c r="W12" s="11">
        <v>11.3</v>
      </c>
      <c r="X12" s="12">
        <f t="shared" si="2"/>
        <v>3399.0400000000004</v>
      </c>
      <c r="Y12" s="26">
        <f t="shared" ref="Y12:Y14" si="9">Q12</f>
        <v>188</v>
      </c>
      <c r="Z12" s="12">
        <f t="shared" si="4"/>
        <v>376</v>
      </c>
      <c r="AA12" s="4" t="s">
        <v>10</v>
      </c>
      <c r="AB12" s="11">
        <f>IFERROR(VLOOKUP(AA12,Curr!$B$2:$C$13,2,FALSE),0)</f>
        <v>11.3</v>
      </c>
      <c r="AC12" s="12">
        <f t="shared" si="5"/>
        <v>4248.8</v>
      </c>
      <c r="AD12" s="12">
        <f t="shared" si="6"/>
        <v>849.75999999999976</v>
      </c>
      <c r="AE12" s="13">
        <f t="shared" si="7"/>
        <v>0.19999999999999993</v>
      </c>
    </row>
    <row r="13" spans="2:36" x14ac:dyDescent="0.25">
      <c r="B13" s="4"/>
      <c r="C13" s="1" t="s">
        <v>76</v>
      </c>
      <c r="D13" s="1" t="s">
        <v>68</v>
      </c>
      <c r="E13" s="3"/>
      <c r="F13" s="3"/>
      <c r="G13" s="24"/>
      <c r="H13" s="24"/>
      <c r="J13" s="1" t="s">
        <v>71</v>
      </c>
      <c r="K13" s="4"/>
      <c r="L13" s="4"/>
      <c r="M13" s="4"/>
      <c r="N13" s="4"/>
      <c r="O13" s="4"/>
      <c r="P13" s="27"/>
      <c r="Q13" s="25">
        <v>0</v>
      </c>
      <c r="R13" s="25">
        <v>0</v>
      </c>
      <c r="S13" s="12">
        <f t="shared" si="0"/>
        <v>0</v>
      </c>
      <c r="T13" s="5">
        <v>0</v>
      </c>
      <c r="U13" s="12">
        <f t="shared" si="1"/>
        <v>0</v>
      </c>
      <c r="V13" s="25" t="s">
        <v>10</v>
      </c>
      <c r="W13" s="11">
        <f>IFERROR(VLOOKUP(V13,[1]Curr!$B$2:$C$13,2,FALSE),0)</f>
        <v>11.3</v>
      </c>
      <c r="X13" s="12">
        <f t="shared" si="2"/>
        <v>0</v>
      </c>
      <c r="Y13" s="26">
        <f t="shared" si="9"/>
        <v>0</v>
      </c>
      <c r="Z13" s="12">
        <f t="shared" si="4"/>
        <v>0</v>
      </c>
      <c r="AA13" s="4" t="s">
        <v>10</v>
      </c>
      <c r="AB13" s="11">
        <f>IFERROR(VLOOKUP(AA13,Curr!$B$2:$C$13,2,FALSE),0)</f>
        <v>11.3</v>
      </c>
      <c r="AC13" s="12">
        <f t="shared" si="5"/>
        <v>0</v>
      </c>
      <c r="AD13" s="12">
        <f t="shared" si="6"/>
        <v>0</v>
      </c>
      <c r="AE13" s="13">
        <f t="shared" si="7"/>
        <v>0</v>
      </c>
    </row>
    <row r="14" spans="2:36" x14ac:dyDescent="0.25">
      <c r="B14" s="4"/>
      <c r="C14" s="1" t="s">
        <v>76</v>
      </c>
      <c r="D14" s="1" t="s">
        <v>75</v>
      </c>
      <c r="E14" s="3"/>
      <c r="F14" s="3"/>
      <c r="G14" s="24"/>
      <c r="H14" s="24"/>
      <c r="J14" s="1" t="s">
        <v>218</v>
      </c>
      <c r="K14" s="4"/>
      <c r="L14" s="4"/>
      <c r="M14" s="4"/>
      <c r="N14" s="4"/>
      <c r="O14" s="4" t="s">
        <v>42</v>
      </c>
      <c r="P14" s="33" t="s">
        <v>219</v>
      </c>
      <c r="Q14" s="25">
        <v>109</v>
      </c>
      <c r="R14" s="25">
        <v>2</v>
      </c>
      <c r="S14" s="12">
        <f t="shared" si="0"/>
        <v>218</v>
      </c>
      <c r="T14" s="5">
        <v>0.2</v>
      </c>
      <c r="U14" s="12">
        <f t="shared" si="1"/>
        <v>174.4</v>
      </c>
      <c r="V14" s="25" t="s">
        <v>10</v>
      </c>
      <c r="W14" s="11">
        <f>IFERROR(VLOOKUP(V14,[1]Curr!$B$2:$C$13,2,FALSE),0)</f>
        <v>11.3</v>
      </c>
      <c r="X14" s="12">
        <f t="shared" si="2"/>
        <v>1970.7200000000003</v>
      </c>
      <c r="Y14" s="26">
        <f t="shared" si="9"/>
        <v>109</v>
      </c>
      <c r="Z14" s="12">
        <f t="shared" si="4"/>
        <v>218</v>
      </c>
      <c r="AA14" s="4" t="s">
        <v>10</v>
      </c>
      <c r="AB14" s="11">
        <f>IFERROR(VLOOKUP(AA14,Curr!$B$2:$C$13,2,FALSE),0)</f>
        <v>11.3</v>
      </c>
      <c r="AC14" s="12">
        <f t="shared" si="5"/>
        <v>2463.4</v>
      </c>
      <c r="AD14" s="12">
        <f t="shared" si="6"/>
        <v>492.67999999999984</v>
      </c>
      <c r="AE14" s="13">
        <f t="shared" si="7"/>
        <v>0.19999999999999993</v>
      </c>
    </row>
    <row r="15" spans="2:36" x14ac:dyDescent="0.25">
      <c r="B15" s="4"/>
      <c r="E15" s="3"/>
      <c r="F15" s="3"/>
      <c r="G15" s="24"/>
      <c r="H15" s="24"/>
      <c r="K15" s="4"/>
      <c r="L15" s="4"/>
      <c r="M15" s="4"/>
      <c r="N15" s="4"/>
      <c r="O15" s="4"/>
      <c r="P15" s="27"/>
      <c r="Q15" s="25">
        <v>0</v>
      </c>
      <c r="R15" s="25">
        <v>0</v>
      </c>
      <c r="S15" s="12">
        <f t="shared" si="0"/>
        <v>0</v>
      </c>
      <c r="T15" s="5">
        <v>0</v>
      </c>
      <c r="U15" s="12">
        <f t="shared" si="1"/>
        <v>0</v>
      </c>
      <c r="V15" s="25" t="s">
        <v>10</v>
      </c>
      <c r="W15" s="11">
        <f>IFERROR(VLOOKUP(V15,[1]Curr!$B$2:$C$13,2,FALSE),0)</f>
        <v>11.3</v>
      </c>
      <c r="X15" s="12">
        <f t="shared" si="2"/>
        <v>0</v>
      </c>
      <c r="Y15" s="26">
        <f t="shared" si="8"/>
        <v>0</v>
      </c>
      <c r="Z15" s="12">
        <f t="shared" si="4"/>
        <v>0</v>
      </c>
      <c r="AA15" s="4" t="s">
        <v>10</v>
      </c>
      <c r="AB15" s="11">
        <f>IFERROR(VLOOKUP(AA15,Curr!$B$2:$C$13,2,FALSE),0)</f>
        <v>11.3</v>
      </c>
      <c r="AC15" s="12">
        <f t="shared" si="5"/>
        <v>0</v>
      </c>
      <c r="AD15" s="12">
        <f t="shared" si="6"/>
        <v>0</v>
      </c>
      <c r="AE15" s="13">
        <f t="shared" si="7"/>
        <v>0</v>
      </c>
    </row>
    <row r="16" spans="2:36" x14ac:dyDescent="0.25">
      <c r="B16" s="4"/>
      <c r="C16" s="1" t="s">
        <v>77</v>
      </c>
      <c r="D16" s="1" t="s">
        <v>66</v>
      </c>
      <c r="E16" s="3"/>
      <c r="F16" s="3"/>
      <c r="G16" s="24"/>
      <c r="H16" s="24"/>
      <c r="J16" s="1" t="s">
        <v>107</v>
      </c>
      <c r="K16" s="4"/>
      <c r="L16" s="4"/>
      <c r="M16" s="4"/>
      <c r="N16" s="4"/>
      <c r="O16" s="4"/>
      <c r="P16" s="27"/>
      <c r="Q16" s="25">
        <v>0</v>
      </c>
      <c r="R16" s="25">
        <v>0</v>
      </c>
      <c r="S16" s="12">
        <f t="shared" si="0"/>
        <v>0</v>
      </c>
      <c r="T16" s="5">
        <v>0</v>
      </c>
      <c r="U16" s="12">
        <f t="shared" si="1"/>
        <v>0</v>
      </c>
      <c r="V16" s="25" t="s">
        <v>10</v>
      </c>
      <c r="W16" s="11">
        <f>IFERROR(VLOOKUP(V16,[1]Curr!$B$2:$C$13,2,FALSE),0)</f>
        <v>11.3</v>
      </c>
      <c r="X16" s="12">
        <f t="shared" si="2"/>
        <v>0</v>
      </c>
      <c r="Y16" s="26">
        <f t="shared" si="8"/>
        <v>0</v>
      </c>
      <c r="Z16" s="12">
        <f t="shared" si="4"/>
        <v>0</v>
      </c>
      <c r="AA16" s="4" t="s">
        <v>10</v>
      </c>
      <c r="AB16" s="11">
        <f>IFERROR(VLOOKUP(AA16,Curr!$B$2:$C$13,2,FALSE),0)</f>
        <v>11.3</v>
      </c>
      <c r="AC16" s="12">
        <f t="shared" si="5"/>
        <v>0</v>
      </c>
      <c r="AD16" s="12">
        <f t="shared" si="6"/>
        <v>0</v>
      </c>
      <c r="AE16" s="13">
        <f t="shared" si="7"/>
        <v>0</v>
      </c>
    </row>
    <row r="17" spans="2:31" x14ac:dyDescent="0.25">
      <c r="B17" s="4"/>
      <c r="C17" s="1" t="s">
        <v>77</v>
      </c>
      <c r="D17" s="1" t="s">
        <v>75</v>
      </c>
      <c r="E17" s="3"/>
      <c r="F17" s="3"/>
      <c r="G17" s="24"/>
      <c r="H17" s="24"/>
      <c r="J17" s="1" t="s">
        <v>79</v>
      </c>
      <c r="K17" s="4"/>
      <c r="L17" s="4"/>
      <c r="M17" s="4"/>
      <c r="N17" s="4"/>
      <c r="O17" s="4" t="s">
        <v>42</v>
      </c>
      <c r="P17" s="33" t="s">
        <v>80</v>
      </c>
      <c r="Q17" s="25">
        <v>1830</v>
      </c>
      <c r="R17" s="25">
        <v>2</v>
      </c>
      <c r="S17" s="12">
        <f t="shared" si="0"/>
        <v>3660</v>
      </c>
      <c r="T17" s="5">
        <v>0.2</v>
      </c>
      <c r="U17" s="12">
        <f t="shared" si="1"/>
        <v>2928</v>
      </c>
      <c r="V17" s="25" t="s">
        <v>8</v>
      </c>
      <c r="W17" s="11">
        <f>IFERROR(VLOOKUP(V17,[1]Curr!$B$2:$C$13,2,FALSE),0)</f>
        <v>1</v>
      </c>
      <c r="X17" s="12">
        <f t="shared" si="2"/>
        <v>2928</v>
      </c>
      <c r="Y17" s="26">
        <f>Q17/11.3/0.9</f>
        <v>179.9410029498525</v>
      </c>
      <c r="Z17" s="12">
        <f t="shared" si="4"/>
        <v>359.88200589970501</v>
      </c>
      <c r="AA17" s="4" t="s">
        <v>10</v>
      </c>
      <c r="AB17" s="11">
        <f>IFERROR(VLOOKUP(AA17,Curr!$B$2:$C$13,2,FALSE),0)</f>
        <v>11.3</v>
      </c>
      <c r="AC17" s="12">
        <f t="shared" si="5"/>
        <v>4066.666666666667</v>
      </c>
      <c r="AD17" s="12">
        <f t="shared" si="6"/>
        <v>1138.666666666667</v>
      </c>
      <c r="AE17" s="13">
        <f t="shared" si="7"/>
        <v>0.28000000000000003</v>
      </c>
    </row>
    <row r="18" spans="2:31" x14ac:dyDescent="0.25">
      <c r="B18" s="4"/>
      <c r="C18" s="1" t="s">
        <v>77</v>
      </c>
      <c r="D18" s="1" t="s">
        <v>66</v>
      </c>
      <c r="E18" s="3"/>
      <c r="F18" s="3"/>
      <c r="G18" s="24"/>
      <c r="H18" s="24"/>
      <c r="J18" s="1" t="s">
        <v>106</v>
      </c>
      <c r="K18" s="4"/>
      <c r="L18" s="4"/>
      <c r="M18" s="4"/>
      <c r="N18" s="4"/>
      <c r="O18" s="4"/>
      <c r="P18" s="33"/>
      <c r="Q18" s="25">
        <v>0</v>
      </c>
      <c r="R18" s="25">
        <v>0</v>
      </c>
      <c r="S18" s="12">
        <f t="shared" si="0"/>
        <v>0</v>
      </c>
      <c r="T18" s="5">
        <v>0</v>
      </c>
      <c r="U18" s="12">
        <f t="shared" si="1"/>
        <v>0</v>
      </c>
      <c r="V18" s="25" t="s">
        <v>10</v>
      </c>
      <c r="W18" s="11">
        <f>IFERROR(VLOOKUP(V18,[1]Curr!$B$2:$C$13,2,FALSE),0)</f>
        <v>11.3</v>
      </c>
      <c r="X18" s="12">
        <f t="shared" si="2"/>
        <v>0</v>
      </c>
      <c r="Y18" s="26">
        <f t="shared" ref="Y18:Y20" si="10">Q18</f>
        <v>0</v>
      </c>
      <c r="Z18" s="12">
        <f t="shared" si="4"/>
        <v>0</v>
      </c>
      <c r="AA18" s="4" t="s">
        <v>10</v>
      </c>
      <c r="AB18" s="11">
        <f>IFERROR(VLOOKUP(AA18,Curr!$B$2:$C$13,2,FALSE),0)</f>
        <v>11.3</v>
      </c>
      <c r="AC18" s="12">
        <f t="shared" si="5"/>
        <v>0</v>
      </c>
      <c r="AD18" s="12">
        <f t="shared" si="6"/>
        <v>0</v>
      </c>
      <c r="AE18" s="13">
        <f t="shared" si="7"/>
        <v>0</v>
      </c>
    </row>
    <row r="19" spans="2:31" x14ac:dyDescent="0.25">
      <c r="B19" s="4"/>
      <c r="C19" s="1" t="s">
        <v>77</v>
      </c>
      <c r="D19" s="1" t="s">
        <v>67</v>
      </c>
      <c r="E19" s="3"/>
      <c r="F19" s="3"/>
      <c r="G19" s="24"/>
      <c r="H19" s="24"/>
      <c r="J19" s="1" t="s">
        <v>108</v>
      </c>
      <c r="K19" s="4"/>
      <c r="L19" s="4"/>
      <c r="M19" s="4"/>
      <c r="N19" s="4"/>
      <c r="O19" s="4" t="s">
        <v>42</v>
      </c>
      <c r="P19" s="33"/>
      <c r="Q19" s="25">
        <v>800</v>
      </c>
      <c r="R19" s="25">
        <v>1</v>
      </c>
      <c r="S19" s="12">
        <f t="shared" si="0"/>
        <v>800</v>
      </c>
      <c r="T19" s="5">
        <v>0</v>
      </c>
      <c r="U19" s="12">
        <f t="shared" si="1"/>
        <v>800</v>
      </c>
      <c r="V19" s="25" t="s">
        <v>10</v>
      </c>
      <c r="W19" s="11">
        <f>IFERROR(VLOOKUP(V19,[1]Curr!$B$2:$C$13,2,FALSE),0)</f>
        <v>11.3</v>
      </c>
      <c r="X19" s="12">
        <f t="shared" si="2"/>
        <v>9040</v>
      </c>
      <c r="Y19" s="26">
        <f>Q19/0.85</f>
        <v>941.17647058823536</v>
      </c>
      <c r="Z19" s="12">
        <f t="shared" si="4"/>
        <v>941.17647058823536</v>
      </c>
      <c r="AA19" s="4" t="s">
        <v>10</v>
      </c>
      <c r="AB19" s="11">
        <f>IFERROR(VLOOKUP(AA19,Curr!$B$2:$C$13,2,FALSE),0)</f>
        <v>11.3</v>
      </c>
      <c r="AC19" s="12">
        <f t="shared" si="5"/>
        <v>10635.294117647059</v>
      </c>
      <c r="AD19" s="12">
        <f t="shared" si="6"/>
        <v>1595.2941176470595</v>
      </c>
      <c r="AE19" s="13">
        <f t="shared" si="7"/>
        <v>0.15000000000000005</v>
      </c>
    </row>
    <row r="20" spans="2:31" x14ac:dyDescent="0.25">
      <c r="B20" s="4"/>
      <c r="C20" s="1" t="s">
        <v>77</v>
      </c>
      <c r="D20" s="1" t="s">
        <v>68</v>
      </c>
      <c r="E20" s="3"/>
      <c r="F20" s="3"/>
      <c r="G20" s="24"/>
      <c r="H20" s="24"/>
      <c r="J20" s="1" t="s">
        <v>81</v>
      </c>
      <c r="K20" s="4"/>
      <c r="L20" s="4"/>
      <c r="M20" s="4"/>
      <c r="N20" s="4"/>
      <c r="O20" s="4"/>
      <c r="P20" s="27"/>
      <c r="Q20" s="25">
        <v>0</v>
      </c>
      <c r="R20" s="25">
        <v>0</v>
      </c>
      <c r="S20" s="12">
        <f t="shared" si="0"/>
        <v>0</v>
      </c>
      <c r="T20" s="5">
        <v>0</v>
      </c>
      <c r="U20" s="12">
        <f t="shared" si="1"/>
        <v>0</v>
      </c>
      <c r="V20" s="25" t="s">
        <v>10</v>
      </c>
      <c r="W20" s="11">
        <f>IFERROR(VLOOKUP(V20,[1]Curr!$B$2:$C$13,2,FALSE),0)</f>
        <v>11.3</v>
      </c>
      <c r="X20" s="12">
        <f t="shared" si="2"/>
        <v>0</v>
      </c>
      <c r="Y20" s="26">
        <f t="shared" si="10"/>
        <v>0</v>
      </c>
      <c r="Z20" s="12">
        <f t="shared" si="4"/>
        <v>0</v>
      </c>
      <c r="AA20" s="4" t="s">
        <v>10</v>
      </c>
      <c r="AB20" s="11">
        <f>IFERROR(VLOOKUP(AA20,Curr!$B$2:$C$13,2,FALSE),0)</f>
        <v>11.3</v>
      </c>
      <c r="AC20" s="12">
        <f t="shared" si="5"/>
        <v>0</v>
      </c>
      <c r="AD20" s="12">
        <f t="shared" si="6"/>
        <v>0</v>
      </c>
      <c r="AE20" s="13">
        <f t="shared" si="7"/>
        <v>0</v>
      </c>
    </row>
    <row r="21" spans="2:31" x14ac:dyDescent="0.25">
      <c r="B21" s="4"/>
      <c r="E21" s="3"/>
      <c r="F21" s="3"/>
      <c r="G21" s="24"/>
      <c r="H21" s="24"/>
      <c r="K21" s="4"/>
      <c r="L21" s="4"/>
      <c r="M21" s="4"/>
      <c r="N21" s="4"/>
      <c r="O21" s="4"/>
      <c r="P21" s="33"/>
      <c r="Q21" s="25">
        <v>0</v>
      </c>
      <c r="R21" s="25">
        <v>0</v>
      </c>
      <c r="S21" s="12">
        <f t="shared" si="0"/>
        <v>0</v>
      </c>
      <c r="T21" s="5">
        <v>0</v>
      </c>
      <c r="U21" s="12">
        <f t="shared" si="1"/>
        <v>0</v>
      </c>
      <c r="V21" s="25" t="s">
        <v>10</v>
      </c>
      <c r="W21" s="11">
        <f>IFERROR(VLOOKUP(V21,[1]Curr!$B$2:$C$13,2,FALSE),0)</f>
        <v>11.3</v>
      </c>
      <c r="X21" s="12">
        <f t="shared" si="2"/>
        <v>0</v>
      </c>
      <c r="Y21" s="26">
        <f t="shared" si="8"/>
        <v>0</v>
      </c>
      <c r="Z21" s="12">
        <f t="shared" si="4"/>
        <v>0</v>
      </c>
      <c r="AA21" s="4" t="s">
        <v>10</v>
      </c>
      <c r="AB21" s="11">
        <f>IFERROR(VLOOKUP(AA21,Curr!$B$2:$C$13,2,FALSE),0)</f>
        <v>11.3</v>
      </c>
      <c r="AC21" s="12">
        <f t="shared" si="5"/>
        <v>0</v>
      </c>
      <c r="AD21" s="12">
        <f t="shared" si="6"/>
        <v>0</v>
      </c>
      <c r="AE21" s="13">
        <f t="shared" si="7"/>
        <v>0</v>
      </c>
    </row>
    <row r="22" spans="2:31" x14ac:dyDescent="0.25">
      <c r="B22" s="4"/>
      <c r="C22" s="1" t="s">
        <v>78</v>
      </c>
      <c r="D22" s="1" t="s">
        <v>75</v>
      </c>
      <c r="E22" s="3"/>
      <c r="F22" s="3"/>
      <c r="G22" s="24"/>
      <c r="H22" s="24"/>
      <c r="J22" s="1" t="s">
        <v>88</v>
      </c>
      <c r="K22" s="4"/>
      <c r="L22" s="4"/>
      <c r="M22" s="4"/>
      <c r="N22" s="4"/>
      <c r="O22" s="4" t="s">
        <v>42</v>
      </c>
      <c r="P22" s="33" t="s">
        <v>89</v>
      </c>
      <c r="Q22" s="25">
        <v>1695</v>
      </c>
      <c r="R22" s="25">
        <v>2</v>
      </c>
      <c r="S22" s="12">
        <f t="shared" si="0"/>
        <v>3390</v>
      </c>
      <c r="T22" s="5">
        <v>0.2</v>
      </c>
      <c r="U22" s="12">
        <f t="shared" si="1"/>
        <v>2712</v>
      </c>
      <c r="V22" s="25" t="s">
        <v>8</v>
      </c>
      <c r="W22" s="11">
        <f>IFERROR(VLOOKUP(V22,[1]Curr!$B$2:$C$13,2,FALSE),0)</f>
        <v>1</v>
      </c>
      <c r="X22" s="12">
        <f t="shared" si="2"/>
        <v>2712</v>
      </c>
      <c r="Y22" s="26">
        <f>Q22/11.3</f>
        <v>150</v>
      </c>
      <c r="Z22" s="12">
        <f t="shared" si="4"/>
        <v>300</v>
      </c>
      <c r="AA22" s="4" t="s">
        <v>10</v>
      </c>
      <c r="AB22" s="11">
        <f>IFERROR(VLOOKUP(AA22,Curr!$B$2:$C$13,2,FALSE),0)</f>
        <v>11.3</v>
      </c>
      <c r="AC22" s="12">
        <f t="shared" si="5"/>
        <v>3390</v>
      </c>
      <c r="AD22" s="12">
        <f t="shared" si="6"/>
        <v>678</v>
      </c>
      <c r="AE22" s="13">
        <f t="shared" si="7"/>
        <v>0.2</v>
      </c>
    </row>
    <row r="23" spans="2:31" x14ac:dyDescent="0.25">
      <c r="B23" s="4"/>
      <c r="C23" s="1" t="s">
        <v>78</v>
      </c>
      <c r="D23" s="1" t="s">
        <v>68</v>
      </c>
      <c r="E23" s="3"/>
      <c r="F23" s="3"/>
      <c r="G23" s="24"/>
      <c r="H23" s="24"/>
      <c r="J23" s="1" t="s">
        <v>81</v>
      </c>
      <c r="K23" s="4"/>
      <c r="L23" s="4"/>
      <c r="M23" s="4"/>
      <c r="N23" s="4"/>
      <c r="O23" s="4"/>
      <c r="P23" s="33"/>
      <c r="Q23" s="25">
        <v>0</v>
      </c>
      <c r="R23" s="25">
        <v>0</v>
      </c>
      <c r="S23" s="12">
        <f t="shared" si="0"/>
        <v>0</v>
      </c>
      <c r="T23" s="5">
        <v>0</v>
      </c>
      <c r="U23" s="12">
        <f t="shared" si="1"/>
        <v>0</v>
      </c>
      <c r="V23" s="25" t="s">
        <v>10</v>
      </c>
      <c r="W23" s="11">
        <f>IFERROR(VLOOKUP(V23,[1]Curr!$B$2:$C$13,2,FALSE),0)</f>
        <v>11.3</v>
      </c>
      <c r="X23" s="12">
        <f t="shared" si="2"/>
        <v>0</v>
      </c>
      <c r="Y23" s="26">
        <f t="shared" ref="Y23:Y28" si="11">Q23</f>
        <v>0</v>
      </c>
      <c r="Z23" s="12">
        <f t="shared" si="4"/>
        <v>0</v>
      </c>
      <c r="AA23" s="4" t="s">
        <v>10</v>
      </c>
      <c r="AB23" s="11">
        <f>IFERROR(VLOOKUP(AA23,Curr!$B$2:$C$13,2,FALSE),0)</f>
        <v>11.3</v>
      </c>
      <c r="AC23" s="12">
        <f t="shared" si="5"/>
        <v>0</v>
      </c>
      <c r="AD23" s="12">
        <f t="shared" si="6"/>
        <v>0</v>
      </c>
      <c r="AE23" s="13">
        <f t="shared" si="7"/>
        <v>0</v>
      </c>
    </row>
    <row r="24" spans="2:31" x14ac:dyDescent="0.25">
      <c r="B24" s="4"/>
      <c r="C24" s="1" t="s">
        <v>78</v>
      </c>
      <c r="D24" s="1" t="s">
        <v>75</v>
      </c>
      <c r="E24" s="3"/>
      <c r="F24" s="3"/>
      <c r="G24" s="24"/>
      <c r="H24" s="24"/>
      <c r="J24" s="1" t="s">
        <v>90</v>
      </c>
      <c r="K24" s="4"/>
      <c r="L24" s="4"/>
      <c r="M24" s="4"/>
      <c r="N24" s="4"/>
      <c r="O24" s="4" t="s">
        <v>42</v>
      </c>
      <c r="P24" s="33" t="s">
        <v>91</v>
      </c>
      <c r="Q24" s="25">
        <v>2050</v>
      </c>
      <c r="R24" s="25">
        <v>2</v>
      </c>
      <c r="S24" s="12">
        <f t="shared" si="0"/>
        <v>4100</v>
      </c>
      <c r="T24" s="5">
        <v>0.2</v>
      </c>
      <c r="U24" s="12">
        <f t="shared" si="1"/>
        <v>3280</v>
      </c>
      <c r="V24" s="25" t="s">
        <v>8</v>
      </c>
      <c r="W24" s="11">
        <f>IFERROR(VLOOKUP(V24,[1]Curr!$B$2:$C$13,2,FALSE),0)</f>
        <v>1</v>
      </c>
      <c r="X24" s="12">
        <f t="shared" si="2"/>
        <v>3280</v>
      </c>
      <c r="Y24" s="26">
        <f>Q24/11.3</f>
        <v>181.4159292035398</v>
      </c>
      <c r="Z24" s="12">
        <f t="shared" si="4"/>
        <v>362.83185840707961</v>
      </c>
      <c r="AA24" s="4" t="s">
        <v>10</v>
      </c>
      <c r="AB24" s="11">
        <f>IFERROR(VLOOKUP(AA24,Curr!$B$2:$C$13,2,FALSE),0)</f>
        <v>11.3</v>
      </c>
      <c r="AC24" s="12">
        <f t="shared" si="5"/>
        <v>4100</v>
      </c>
      <c r="AD24" s="12">
        <f t="shared" si="6"/>
        <v>820</v>
      </c>
      <c r="AE24" s="13">
        <f t="shared" si="7"/>
        <v>0.2</v>
      </c>
    </row>
    <row r="25" spans="2:31" x14ac:dyDescent="0.25">
      <c r="B25" s="4"/>
      <c r="E25" s="3"/>
      <c r="F25" s="3"/>
      <c r="G25" s="24"/>
      <c r="H25" s="24"/>
      <c r="K25" s="4"/>
      <c r="L25" s="4"/>
      <c r="M25" s="4"/>
      <c r="N25" s="4"/>
      <c r="O25" s="4"/>
      <c r="P25" s="33"/>
      <c r="Q25" s="25"/>
      <c r="R25" s="25"/>
      <c r="S25" s="12">
        <f t="shared" si="0"/>
        <v>0</v>
      </c>
      <c r="T25" s="5">
        <v>0</v>
      </c>
      <c r="U25" s="12">
        <f t="shared" si="1"/>
        <v>0</v>
      </c>
      <c r="V25" s="25" t="s">
        <v>10</v>
      </c>
      <c r="W25" s="11">
        <f>IFERROR(VLOOKUP(V25,[1]Curr!$B$2:$C$13,2,FALSE),0)</f>
        <v>11.3</v>
      </c>
      <c r="X25" s="12">
        <f t="shared" si="2"/>
        <v>0</v>
      </c>
      <c r="Y25" s="26">
        <f t="shared" si="11"/>
        <v>0</v>
      </c>
      <c r="Z25" s="12">
        <f t="shared" si="4"/>
        <v>0</v>
      </c>
      <c r="AA25" s="4" t="s">
        <v>10</v>
      </c>
      <c r="AB25" s="11">
        <f>IFERROR(VLOOKUP(AA25,Curr!$B$2:$C$13,2,FALSE),0)</f>
        <v>11.3</v>
      </c>
      <c r="AC25" s="12">
        <f t="shared" si="5"/>
        <v>0</v>
      </c>
      <c r="AD25" s="12">
        <f t="shared" si="6"/>
        <v>0</v>
      </c>
      <c r="AE25" s="13">
        <f t="shared" si="7"/>
        <v>0</v>
      </c>
    </row>
    <row r="26" spans="2:31" x14ac:dyDescent="0.25">
      <c r="B26" s="4"/>
      <c r="C26" s="1" t="s">
        <v>82</v>
      </c>
      <c r="D26" s="1" t="s">
        <v>75</v>
      </c>
      <c r="E26" s="3"/>
      <c r="F26" s="3"/>
      <c r="G26" s="24"/>
      <c r="H26" s="24"/>
      <c r="J26" s="1" t="s">
        <v>110</v>
      </c>
      <c r="K26" s="4"/>
      <c r="L26" s="4"/>
      <c r="M26" s="4"/>
      <c r="N26" s="4"/>
      <c r="O26" s="4" t="s">
        <v>42</v>
      </c>
      <c r="P26" s="33" t="s">
        <v>111</v>
      </c>
      <c r="Q26" s="25">
        <v>145</v>
      </c>
      <c r="R26" s="25">
        <v>2</v>
      </c>
      <c r="S26" s="12">
        <f t="shared" si="0"/>
        <v>290</v>
      </c>
      <c r="T26" s="5">
        <v>0.2</v>
      </c>
      <c r="U26" s="12">
        <f t="shared" si="1"/>
        <v>232</v>
      </c>
      <c r="V26" s="25" t="s">
        <v>10</v>
      </c>
      <c r="W26" s="11">
        <f>IFERROR(VLOOKUP(V26,[1]Curr!$B$2:$C$13,2,FALSE),0)</f>
        <v>11.3</v>
      </c>
      <c r="X26" s="12">
        <f t="shared" si="2"/>
        <v>2621.6000000000004</v>
      </c>
      <c r="Y26" s="26">
        <f t="shared" si="11"/>
        <v>145</v>
      </c>
      <c r="Z26" s="12">
        <f t="shared" si="4"/>
        <v>290</v>
      </c>
      <c r="AA26" s="4" t="s">
        <v>10</v>
      </c>
      <c r="AB26" s="11">
        <f>IFERROR(VLOOKUP(AA26,Curr!$B$2:$C$13,2,FALSE),0)</f>
        <v>11.3</v>
      </c>
      <c r="AC26" s="12">
        <f t="shared" si="5"/>
        <v>3277</v>
      </c>
      <c r="AD26" s="12">
        <f t="shared" si="6"/>
        <v>655.39999999999964</v>
      </c>
      <c r="AE26" s="13">
        <f t="shared" si="7"/>
        <v>0.1999999999999999</v>
      </c>
    </row>
    <row r="27" spans="2:31" x14ac:dyDescent="0.25">
      <c r="B27" s="4"/>
      <c r="C27" s="1" t="s">
        <v>82</v>
      </c>
      <c r="D27" s="1" t="s">
        <v>68</v>
      </c>
      <c r="E27" s="3"/>
      <c r="F27" s="3"/>
      <c r="G27" s="24"/>
      <c r="H27" s="24"/>
      <c r="J27" s="1" t="s">
        <v>81</v>
      </c>
      <c r="K27" s="4"/>
      <c r="L27" s="4"/>
      <c r="M27" s="4"/>
      <c r="N27" s="4"/>
      <c r="O27" s="4"/>
      <c r="P27" s="33"/>
      <c r="Q27" s="25">
        <v>0</v>
      </c>
      <c r="R27" s="25">
        <v>0</v>
      </c>
      <c r="S27" s="12">
        <f t="shared" si="0"/>
        <v>0</v>
      </c>
      <c r="T27" s="5">
        <v>0</v>
      </c>
      <c r="U27" s="12">
        <f t="shared" si="1"/>
        <v>0</v>
      </c>
      <c r="V27" s="25" t="s">
        <v>10</v>
      </c>
      <c r="W27" s="11">
        <f>IFERROR(VLOOKUP(V27,[1]Curr!$B$2:$C$13,2,FALSE),0)</f>
        <v>11.3</v>
      </c>
      <c r="X27" s="12">
        <f t="shared" si="2"/>
        <v>0</v>
      </c>
      <c r="Y27" s="26">
        <f t="shared" si="11"/>
        <v>0</v>
      </c>
      <c r="Z27" s="12">
        <f t="shared" si="4"/>
        <v>0</v>
      </c>
      <c r="AA27" s="4" t="s">
        <v>10</v>
      </c>
      <c r="AB27" s="11">
        <f>IFERROR(VLOOKUP(AA27,Curr!$B$2:$C$13,2,FALSE),0)</f>
        <v>11.3</v>
      </c>
      <c r="AC27" s="12">
        <f t="shared" si="5"/>
        <v>0</v>
      </c>
      <c r="AD27" s="12">
        <f t="shared" si="6"/>
        <v>0</v>
      </c>
      <c r="AE27" s="13">
        <f t="shared" si="7"/>
        <v>0</v>
      </c>
    </row>
    <row r="28" spans="2:31" x14ac:dyDescent="0.25">
      <c r="B28" s="4"/>
      <c r="C28" s="1" t="s">
        <v>82</v>
      </c>
      <c r="D28" s="1" t="s">
        <v>75</v>
      </c>
      <c r="E28" s="3"/>
      <c r="F28" s="3"/>
      <c r="G28" s="24"/>
      <c r="H28" s="24"/>
      <c r="J28" s="1" t="s">
        <v>92</v>
      </c>
      <c r="K28" s="4"/>
      <c r="L28" s="4"/>
      <c r="M28" s="4"/>
      <c r="N28" s="4"/>
      <c r="O28" s="4" t="s">
        <v>42</v>
      </c>
      <c r="P28" s="33" t="s">
        <v>93</v>
      </c>
      <c r="Q28" s="25">
        <v>105</v>
      </c>
      <c r="R28" s="25">
        <v>2</v>
      </c>
      <c r="S28" s="12">
        <f t="shared" si="0"/>
        <v>210</v>
      </c>
      <c r="T28" s="5">
        <v>0.2</v>
      </c>
      <c r="U28" s="12">
        <f t="shared" si="1"/>
        <v>168</v>
      </c>
      <c r="V28" s="25" t="s">
        <v>10</v>
      </c>
      <c r="W28" s="11">
        <f>IFERROR(VLOOKUP(V28,[1]Curr!$B$2:$C$13,2,FALSE),0)</f>
        <v>11.3</v>
      </c>
      <c r="X28" s="12">
        <f t="shared" si="2"/>
        <v>1898.4</v>
      </c>
      <c r="Y28" s="26">
        <f t="shared" si="11"/>
        <v>105</v>
      </c>
      <c r="Z28" s="12">
        <f t="shared" si="4"/>
        <v>210</v>
      </c>
      <c r="AA28" s="4" t="s">
        <v>10</v>
      </c>
      <c r="AB28" s="11">
        <f>IFERROR(VLOOKUP(AA28,Curr!$B$2:$C$13,2,FALSE),0)</f>
        <v>11.3</v>
      </c>
      <c r="AC28" s="12">
        <f t="shared" si="5"/>
        <v>2373</v>
      </c>
      <c r="AD28" s="12">
        <f t="shared" si="6"/>
        <v>474.59999999999991</v>
      </c>
      <c r="AE28" s="13">
        <f t="shared" si="7"/>
        <v>0.19999999999999996</v>
      </c>
    </row>
    <row r="29" spans="2:31" x14ac:dyDescent="0.25">
      <c r="B29" s="4"/>
      <c r="E29" s="3"/>
      <c r="F29" s="3"/>
      <c r="G29" s="24"/>
      <c r="H29" s="24"/>
      <c r="K29" s="4"/>
      <c r="L29" s="4"/>
      <c r="M29" s="4"/>
      <c r="N29" s="4"/>
      <c r="O29" s="4"/>
      <c r="P29" s="29"/>
      <c r="Q29" s="25"/>
      <c r="R29" s="25"/>
      <c r="S29" s="12">
        <f t="shared" si="0"/>
        <v>0</v>
      </c>
      <c r="T29" s="5">
        <v>0</v>
      </c>
      <c r="U29" s="12">
        <f t="shared" si="1"/>
        <v>0</v>
      </c>
      <c r="V29" s="25" t="s">
        <v>10</v>
      </c>
      <c r="W29" s="11">
        <f>IFERROR(VLOOKUP(V29,[1]Curr!$B$2:$C$13,2,FALSE),0)</f>
        <v>11.3</v>
      </c>
      <c r="X29" s="12">
        <f t="shared" si="2"/>
        <v>0</v>
      </c>
      <c r="Y29" s="26">
        <f t="shared" si="8"/>
        <v>0</v>
      </c>
      <c r="Z29" s="12">
        <f t="shared" si="4"/>
        <v>0</v>
      </c>
      <c r="AA29" s="4" t="s">
        <v>10</v>
      </c>
      <c r="AB29" s="11">
        <f>IFERROR(VLOOKUP(AA29,Curr!$B$2:$C$13,2,FALSE),0)</f>
        <v>11.3</v>
      </c>
      <c r="AC29" s="12">
        <f t="shared" si="5"/>
        <v>0</v>
      </c>
      <c r="AD29" s="12">
        <f t="shared" si="6"/>
        <v>0</v>
      </c>
      <c r="AE29" s="13">
        <f t="shared" si="7"/>
        <v>0</v>
      </c>
    </row>
    <row r="30" spans="2:31" x14ac:dyDescent="0.25">
      <c r="B30" s="4"/>
      <c r="C30" s="1" t="s">
        <v>83</v>
      </c>
      <c r="D30" s="1" t="s">
        <v>68</v>
      </c>
      <c r="E30" s="3"/>
      <c r="F30" s="3"/>
      <c r="G30" s="24"/>
      <c r="H30" s="24"/>
      <c r="J30" s="1" t="s">
        <v>81</v>
      </c>
      <c r="K30" s="4"/>
      <c r="L30" s="4"/>
      <c r="M30" s="4"/>
      <c r="N30" s="4"/>
      <c r="O30" s="4"/>
      <c r="P30" s="33"/>
      <c r="Q30" s="25">
        <v>0</v>
      </c>
      <c r="R30" s="25">
        <v>0</v>
      </c>
      <c r="S30" s="12">
        <f t="shared" si="0"/>
        <v>0</v>
      </c>
      <c r="T30" s="5">
        <v>0</v>
      </c>
      <c r="U30" s="12">
        <f t="shared" si="1"/>
        <v>0</v>
      </c>
      <c r="V30" s="25" t="s">
        <v>10</v>
      </c>
      <c r="W30" s="11">
        <f>IFERROR(VLOOKUP(V30,[1]Curr!$B$2:$C$13,2,FALSE),0)</f>
        <v>11.3</v>
      </c>
      <c r="X30" s="12">
        <f t="shared" si="2"/>
        <v>0</v>
      </c>
      <c r="Y30" s="26">
        <f t="shared" si="8"/>
        <v>0</v>
      </c>
      <c r="Z30" s="12">
        <f t="shared" si="4"/>
        <v>0</v>
      </c>
      <c r="AA30" s="4" t="s">
        <v>10</v>
      </c>
      <c r="AB30" s="11">
        <f>IFERROR(VLOOKUP(AA30,Curr!$B$2:$C$13,2,FALSE),0)</f>
        <v>11.3</v>
      </c>
      <c r="AC30" s="12">
        <f t="shared" si="5"/>
        <v>0</v>
      </c>
      <c r="AD30" s="12">
        <f t="shared" si="6"/>
        <v>0</v>
      </c>
      <c r="AE30" s="13">
        <f t="shared" si="7"/>
        <v>0</v>
      </c>
    </row>
    <row r="31" spans="2:31" x14ac:dyDescent="0.25">
      <c r="B31" s="4"/>
      <c r="C31" s="1" t="s">
        <v>83</v>
      </c>
      <c r="D31" s="1" t="s">
        <v>66</v>
      </c>
      <c r="E31" s="3"/>
      <c r="F31" s="3"/>
      <c r="G31" s="24"/>
      <c r="H31" s="24"/>
      <c r="J31" s="1" t="s">
        <v>144</v>
      </c>
      <c r="K31" s="4"/>
      <c r="L31" s="4"/>
      <c r="M31" s="4"/>
      <c r="N31" s="4"/>
      <c r="O31" s="4"/>
      <c r="P31" s="27"/>
      <c r="Q31" s="25">
        <v>0</v>
      </c>
      <c r="R31" s="25">
        <v>0</v>
      </c>
      <c r="S31" s="12">
        <f t="shared" si="0"/>
        <v>0</v>
      </c>
      <c r="T31" s="5">
        <v>0</v>
      </c>
      <c r="U31" s="12">
        <f t="shared" si="1"/>
        <v>0</v>
      </c>
      <c r="V31" s="25" t="s">
        <v>10</v>
      </c>
      <c r="W31" s="11">
        <f>IFERROR(VLOOKUP(V31,[1]Curr!$B$2:$C$13,2,FALSE),0)</f>
        <v>11.3</v>
      </c>
      <c r="X31" s="12">
        <f t="shared" si="2"/>
        <v>0</v>
      </c>
      <c r="Y31" s="26">
        <f t="shared" si="8"/>
        <v>0</v>
      </c>
      <c r="Z31" s="12">
        <f t="shared" si="4"/>
        <v>0</v>
      </c>
      <c r="AA31" s="4" t="s">
        <v>10</v>
      </c>
      <c r="AB31" s="11">
        <f>IFERROR(VLOOKUP(AA31,Curr!$B$2:$C$13,2,FALSE),0)</f>
        <v>11.3</v>
      </c>
      <c r="AC31" s="12">
        <f t="shared" si="5"/>
        <v>0</v>
      </c>
      <c r="AD31" s="12">
        <f t="shared" si="6"/>
        <v>0</v>
      </c>
      <c r="AE31" s="13">
        <f t="shared" si="7"/>
        <v>0</v>
      </c>
    </row>
    <row r="32" spans="2:31" x14ac:dyDescent="0.25">
      <c r="B32" s="4"/>
      <c r="C32" s="1" t="s">
        <v>83</v>
      </c>
      <c r="D32" s="1" t="s">
        <v>143</v>
      </c>
      <c r="E32" s="3"/>
      <c r="F32" s="3"/>
      <c r="G32" s="24"/>
      <c r="H32" s="24"/>
      <c r="J32" s="1" t="s">
        <v>145</v>
      </c>
      <c r="K32" s="4"/>
      <c r="L32" s="4"/>
      <c r="M32" s="4"/>
      <c r="N32" s="4"/>
      <c r="O32" s="4"/>
      <c r="P32" s="33"/>
      <c r="Q32" s="25">
        <v>0</v>
      </c>
      <c r="R32" s="25">
        <v>0</v>
      </c>
      <c r="S32" s="12">
        <f t="shared" si="0"/>
        <v>0</v>
      </c>
      <c r="T32" s="5">
        <v>0</v>
      </c>
      <c r="U32" s="12">
        <f t="shared" si="1"/>
        <v>0</v>
      </c>
      <c r="V32" s="25" t="s">
        <v>10</v>
      </c>
      <c r="W32" s="11">
        <f>IFERROR(VLOOKUP(V32,[1]Curr!$B$2:$C$13,2,FALSE),0)</f>
        <v>11.3</v>
      </c>
      <c r="X32" s="12">
        <f t="shared" si="2"/>
        <v>0</v>
      </c>
      <c r="Y32" s="26">
        <f t="shared" si="8"/>
        <v>0</v>
      </c>
      <c r="Z32" s="12">
        <f t="shared" si="4"/>
        <v>0</v>
      </c>
      <c r="AA32" s="4" t="s">
        <v>10</v>
      </c>
      <c r="AB32" s="11">
        <f>IFERROR(VLOOKUP(AA32,Curr!$B$2:$C$13,2,FALSE),0)</f>
        <v>11.3</v>
      </c>
      <c r="AC32" s="12">
        <f t="shared" si="5"/>
        <v>0</v>
      </c>
      <c r="AD32" s="12">
        <f t="shared" si="6"/>
        <v>0</v>
      </c>
      <c r="AE32" s="13">
        <f t="shared" si="7"/>
        <v>0</v>
      </c>
    </row>
    <row r="33" spans="2:31" x14ac:dyDescent="0.25">
      <c r="B33" s="4"/>
      <c r="C33" s="1" t="s">
        <v>83</v>
      </c>
      <c r="D33" s="1" t="s">
        <v>66</v>
      </c>
      <c r="E33" s="3"/>
      <c r="F33" s="3"/>
      <c r="G33" s="24"/>
      <c r="H33" s="24"/>
      <c r="J33" s="1" t="s">
        <v>146</v>
      </c>
      <c r="K33" s="4"/>
      <c r="L33" s="4"/>
      <c r="M33" s="4"/>
      <c r="N33" s="4"/>
      <c r="O33" s="4"/>
      <c r="P33" s="33"/>
      <c r="Q33" s="25">
        <v>0</v>
      </c>
      <c r="R33" s="25">
        <v>0</v>
      </c>
      <c r="S33" s="12">
        <f t="shared" si="0"/>
        <v>0</v>
      </c>
      <c r="T33" s="5">
        <v>0</v>
      </c>
      <c r="U33" s="12">
        <f t="shared" si="1"/>
        <v>0</v>
      </c>
      <c r="V33" s="25" t="s">
        <v>10</v>
      </c>
      <c r="W33" s="11">
        <f>IFERROR(VLOOKUP(V33,[1]Curr!$B$2:$C$13,2,FALSE),0)</f>
        <v>11.3</v>
      </c>
      <c r="X33" s="12">
        <f t="shared" si="2"/>
        <v>0</v>
      </c>
      <c r="Y33" s="26">
        <f t="shared" si="8"/>
        <v>0</v>
      </c>
      <c r="Z33" s="12">
        <f t="shared" si="4"/>
        <v>0</v>
      </c>
      <c r="AA33" s="4" t="s">
        <v>10</v>
      </c>
      <c r="AB33" s="11">
        <f>IFERROR(VLOOKUP(AA33,Curr!$B$2:$C$13,2,FALSE),0)</f>
        <v>11.3</v>
      </c>
      <c r="AC33" s="12">
        <f t="shared" si="5"/>
        <v>0</v>
      </c>
      <c r="AD33" s="12">
        <f t="shared" si="6"/>
        <v>0</v>
      </c>
      <c r="AE33" s="13">
        <f t="shared" si="7"/>
        <v>0</v>
      </c>
    </row>
    <row r="34" spans="2:31" x14ac:dyDescent="0.25">
      <c r="B34" s="4"/>
      <c r="C34" s="1" t="s">
        <v>83</v>
      </c>
      <c r="D34" s="1" t="s">
        <v>67</v>
      </c>
      <c r="E34" s="3"/>
      <c r="F34" s="3"/>
      <c r="G34" s="24"/>
      <c r="H34" s="24"/>
      <c r="J34" s="1" t="s">
        <v>199</v>
      </c>
      <c r="K34" s="4"/>
      <c r="L34" s="4"/>
      <c r="M34" s="4"/>
      <c r="N34" s="4"/>
      <c r="O34" s="4"/>
      <c r="P34" s="33"/>
      <c r="Q34" s="25">
        <v>300</v>
      </c>
      <c r="R34" s="25">
        <v>1</v>
      </c>
      <c r="S34" s="12">
        <f t="shared" si="0"/>
        <v>300</v>
      </c>
      <c r="T34" s="5">
        <v>0</v>
      </c>
      <c r="U34" s="12">
        <f t="shared" si="1"/>
        <v>300</v>
      </c>
      <c r="V34" s="25" t="s">
        <v>10</v>
      </c>
      <c r="W34" s="11">
        <f>IFERROR(VLOOKUP(V34,[1]Curr!$B$2:$C$13,2,FALSE),0)</f>
        <v>11.3</v>
      </c>
      <c r="X34" s="12">
        <f t="shared" si="2"/>
        <v>3390</v>
      </c>
      <c r="Y34" s="26">
        <f>Q34/0.8</f>
        <v>375</v>
      </c>
      <c r="Z34" s="12">
        <f t="shared" si="4"/>
        <v>375</v>
      </c>
      <c r="AA34" s="4" t="s">
        <v>10</v>
      </c>
      <c r="AB34" s="11">
        <f>IFERROR(VLOOKUP(AA34,Curr!$B$2:$C$13,2,FALSE),0)</f>
        <v>11.3</v>
      </c>
      <c r="AC34" s="12">
        <f t="shared" si="5"/>
        <v>4237.5</v>
      </c>
      <c r="AD34" s="12">
        <f t="shared" si="6"/>
        <v>847.5</v>
      </c>
      <c r="AE34" s="13">
        <f t="shared" si="7"/>
        <v>0.2</v>
      </c>
    </row>
    <row r="35" spans="2:31" x14ac:dyDescent="0.25">
      <c r="B35" s="4"/>
      <c r="C35" s="1" t="s">
        <v>83</v>
      </c>
      <c r="D35" s="1" t="s">
        <v>68</v>
      </c>
      <c r="E35" s="3"/>
      <c r="F35" s="3"/>
      <c r="G35" s="24"/>
      <c r="H35" s="24"/>
      <c r="J35" s="1" t="s">
        <v>147</v>
      </c>
      <c r="K35" s="4"/>
      <c r="L35" s="4"/>
      <c r="M35" s="4"/>
      <c r="N35" s="4"/>
      <c r="O35" s="4"/>
      <c r="P35" s="33"/>
      <c r="Q35" s="25">
        <v>0</v>
      </c>
      <c r="R35" s="25">
        <v>0</v>
      </c>
      <c r="S35" s="12">
        <f t="shared" si="0"/>
        <v>0</v>
      </c>
      <c r="T35" s="5">
        <v>0</v>
      </c>
      <c r="U35" s="12">
        <f t="shared" si="1"/>
        <v>0</v>
      </c>
      <c r="V35" s="25" t="s">
        <v>10</v>
      </c>
      <c r="W35" s="11">
        <f>IFERROR(VLOOKUP(V35,[1]Curr!$B$2:$C$13,2,FALSE),0)</f>
        <v>11.3</v>
      </c>
      <c r="X35" s="12">
        <f t="shared" si="2"/>
        <v>0</v>
      </c>
      <c r="Y35" s="26">
        <f t="shared" ref="Y35" si="12">Q35</f>
        <v>0</v>
      </c>
      <c r="Z35" s="12">
        <f t="shared" si="4"/>
        <v>0</v>
      </c>
      <c r="AA35" s="4" t="s">
        <v>10</v>
      </c>
      <c r="AB35" s="11">
        <f>IFERROR(VLOOKUP(AA35,Curr!$B$2:$C$13,2,FALSE),0)</f>
        <v>11.3</v>
      </c>
      <c r="AC35" s="12">
        <f t="shared" si="5"/>
        <v>0</v>
      </c>
      <c r="AD35" s="12">
        <f t="shared" si="6"/>
        <v>0</v>
      </c>
      <c r="AE35" s="13">
        <f t="shared" si="7"/>
        <v>0</v>
      </c>
    </row>
    <row r="36" spans="2:31" x14ac:dyDescent="0.25">
      <c r="B36" s="4"/>
      <c r="E36" s="3"/>
      <c r="F36" s="3"/>
      <c r="G36" s="24"/>
      <c r="H36" s="24"/>
      <c r="K36" s="4"/>
      <c r="L36" s="4"/>
      <c r="M36" s="4"/>
      <c r="N36" s="4"/>
      <c r="O36" s="4"/>
      <c r="P36" s="33"/>
      <c r="Q36" s="25"/>
      <c r="R36" s="25"/>
      <c r="S36" s="12">
        <f t="shared" si="0"/>
        <v>0</v>
      </c>
      <c r="T36" s="5">
        <v>0</v>
      </c>
      <c r="U36" s="12">
        <f t="shared" si="1"/>
        <v>0</v>
      </c>
      <c r="V36" s="25" t="s">
        <v>10</v>
      </c>
      <c r="W36" s="11">
        <f>IFERROR(VLOOKUP(V36,[1]Curr!$B$2:$C$13,2,FALSE),0)</f>
        <v>11.3</v>
      </c>
      <c r="X36" s="12">
        <f t="shared" si="2"/>
        <v>0</v>
      </c>
      <c r="Y36" s="26">
        <f t="shared" si="8"/>
        <v>0</v>
      </c>
      <c r="Z36" s="12">
        <f t="shared" si="4"/>
        <v>0</v>
      </c>
      <c r="AA36" s="4" t="s">
        <v>10</v>
      </c>
      <c r="AB36" s="11">
        <f>IFERROR(VLOOKUP(AA36,Curr!$B$2:$C$13,2,FALSE),0)</f>
        <v>11.3</v>
      </c>
      <c r="AC36" s="12">
        <f t="shared" si="5"/>
        <v>0</v>
      </c>
      <c r="AD36" s="12">
        <f t="shared" si="6"/>
        <v>0</v>
      </c>
      <c r="AE36" s="13">
        <f t="shared" si="7"/>
        <v>0</v>
      </c>
    </row>
    <row r="37" spans="2:31" x14ac:dyDescent="0.25">
      <c r="B37" s="4"/>
      <c r="C37" s="1" t="s">
        <v>84</v>
      </c>
      <c r="D37" s="1" t="s">
        <v>75</v>
      </c>
      <c r="E37" s="3"/>
      <c r="F37" s="3"/>
      <c r="G37" s="24"/>
      <c r="H37" s="24"/>
      <c r="J37" s="1" t="s">
        <v>148</v>
      </c>
      <c r="K37" s="4"/>
      <c r="L37" s="4"/>
      <c r="M37" s="4"/>
      <c r="N37" s="4"/>
      <c r="O37" s="4" t="s">
        <v>42</v>
      </c>
      <c r="P37" s="33" t="s">
        <v>149</v>
      </c>
      <c r="Q37" s="25">
        <v>34</v>
      </c>
      <c r="R37" s="25">
        <v>2</v>
      </c>
      <c r="S37" s="12">
        <f t="shared" si="0"/>
        <v>68</v>
      </c>
      <c r="T37" s="5">
        <v>0.15</v>
      </c>
      <c r="U37" s="12">
        <f t="shared" si="1"/>
        <v>57.8</v>
      </c>
      <c r="V37" s="25" t="s">
        <v>10</v>
      </c>
      <c r="W37" s="11">
        <f>IFERROR(VLOOKUP(V37,[1]Curr!$B$2:$C$13,2,FALSE),0)</f>
        <v>11.3</v>
      </c>
      <c r="X37" s="12">
        <f t="shared" si="2"/>
        <v>653.14</v>
      </c>
      <c r="Y37" s="26">
        <f>Q37/0.95</f>
        <v>35.789473684210527</v>
      </c>
      <c r="Z37" s="12">
        <f t="shared" si="4"/>
        <v>71.578947368421055</v>
      </c>
      <c r="AA37" s="4" t="s">
        <v>10</v>
      </c>
      <c r="AB37" s="11">
        <f>IFERROR(VLOOKUP(AA37,Curr!$B$2:$C$13,2,FALSE),0)</f>
        <v>11.3</v>
      </c>
      <c r="AC37" s="12">
        <f t="shared" si="5"/>
        <v>808.84210526315792</v>
      </c>
      <c r="AD37" s="12">
        <f t="shared" si="6"/>
        <v>155.70210526315793</v>
      </c>
      <c r="AE37" s="13">
        <f t="shared" si="7"/>
        <v>0.19250000000000003</v>
      </c>
    </row>
    <row r="38" spans="2:31" x14ac:dyDescent="0.25">
      <c r="B38" s="4"/>
      <c r="C38" s="1" t="s">
        <v>84</v>
      </c>
      <c r="D38" s="1" t="s">
        <v>68</v>
      </c>
      <c r="E38" s="3"/>
      <c r="F38" s="3"/>
      <c r="G38" s="24"/>
      <c r="H38" s="24"/>
      <c r="J38" s="1" t="s">
        <v>147</v>
      </c>
      <c r="K38" s="4"/>
      <c r="L38" s="4"/>
      <c r="M38" s="4"/>
      <c r="N38" s="4"/>
      <c r="O38" s="4"/>
      <c r="P38" s="27"/>
      <c r="Q38" s="25">
        <v>0</v>
      </c>
      <c r="R38" s="25">
        <v>0</v>
      </c>
      <c r="S38" s="12">
        <f t="shared" si="0"/>
        <v>0</v>
      </c>
      <c r="T38" s="5">
        <v>0</v>
      </c>
      <c r="U38" s="12">
        <f t="shared" si="1"/>
        <v>0</v>
      </c>
      <c r="V38" s="25" t="s">
        <v>10</v>
      </c>
      <c r="W38" s="11">
        <f>IFERROR(VLOOKUP(V38,[1]Curr!$B$2:$C$13,2,FALSE),0)</f>
        <v>11.3</v>
      </c>
      <c r="X38" s="12">
        <f t="shared" si="2"/>
        <v>0</v>
      </c>
      <c r="Y38" s="26">
        <f t="shared" si="8"/>
        <v>0</v>
      </c>
      <c r="Z38" s="12">
        <f t="shared" si="4"/>
        <v>0</v>
      </c>
      <c r="AA38" s="4" t="s">
        <v>10</v>
      </c>
      <c r="AB38" s="11">
        <f>IFERROR(VLOOKUP(AA38,Curr!$B$2:$C$13,2,FALSE),0)</f>
        <v>11.3</v>
      </c>
      <c r="AC38" s="12">
        <f t="shared" si="5"/>
        <v>0</v>
      </c>
      <c r="AD38" s="12">
        <f t="shared" si="6"/>
        <v>0</v>
      </c>
      <c r="AE38" s="13">
        <f t="shared" si="7"/>
        <v>0</v>
      </c>
    </row>
    <row r="39" spans="2:31" x14ac:dyDescent="0.25">
      <c r="B39" s="4"/>
      <c r="C39" s="1" t="s">
        <v>84</v>
      </c>
      <c r="D39" s="1" t="s">
        <v>75</v>
      </c>
      <c r="E39" s="3"/>
      <c r="F39" s="3"/>
      <c r="G39" s="24"/>
      <c r="H39" s="24"/>
      <c r="J39" s="1" t="s">
        <v>150</v>
      </c>
      <c r="K39" s="4"/>
      <c r="L39" s="4"/>
      <c r="M39" s="4"/>
      <c r="N39" s="4"/>
      <c r="O39" s="4" t="s">
        <v>42</v>
      </c>
      <c r="P39" s="33" t="s">
        <v>151</v>
      </c>
      <c r="Q39" s="25">
        <v>2290</v>
      </c>
      <c r="R39" s="25">
        <v>2</v>
      </c>
      <c r="S39" s="12">
        <f t="shared" si="0"/>
        <v>4580</v>
      </c>
      <c r="T39" s="5">
        <v>0.15</v>
      </c>
      <c r="U39" s="12">
        <f t="shared" si="1"/>
        <v>3893</v>
      </c>
      <c r="V39" s="25" t="s">
        <v>8</v>
      </c>
      <c r="W39" s="11">
        <f>IFERROR(VLOOKUP(V39,[1]Curr!$B$2:$C$13,2,FALSE),0)</f>
        <v>1</v>
      </c>
      <c r="X39" s="12">
        <f t="shared" si="2"/>
        <v>3893</v>
      </c>
      <c r="Y39" s="26">
        <f>Q39/11</f>
        <v>208.18181818181819</v>
      </c>
      <c r="Z39" s="12">
        <f t="shared" si="4"/>
        <v>416.36363636363637</v>
      </c>
      <c r="AA39" s="4" t="s">
        <v>10</v>
      </c>
      <c r="AB39" s="11">
        <f>IFERROR(VLOOKUP(AA39,Curr!$B$2:$C$13,2,FALSE),0)</f>
        <v>11.3</v>
      </c>
      <c r="AC39" s="12">
        <f t="shared" si="5"/>
        <v>4704.909090909091</v>
      </c>
      <c r="AD39" s="12">
        <f t="shared" si="6"/>
        <v>811.90909090909099</v>
      </c>
      <c r="AE39" s="13">
        <f t="shared" si="7"/>
        <v>0.17256637168141595</v>
      </c>
    </row>
    <row r="40" spans="2:31" x14ac:dyDescent="0.25">
      <c r="B40" s="4"/>
      <c r="E40" s="3"/>
      <c r="F40" s="3"/>
      <c r="G40" s="24"/>
      <c r="H40" s="24"/>
      <c r="K40" s="4"/>
      <c r="L40" s="4"/>
      <c r="M40" s="4"/>
      <c r="N40" s="4"/>
      <c r="O40" s="4"/>
      <c r="P40" s="27"/>
      <c r="Q40" s="25"/>
      <c r="R40" s="25"/>
      <c r="S40" s="12">
        <f t="shared" si="0"/>
        <v>0</v>
      </c>
      <c r="T40" s="5">
        <v>0</v>
      </c>
      <c r="U40" s="12">
        <f t="shared" si="1"/>
        <v>0</v>
      </c>
      <c r="V40" s="25" t="s">
        <v>10</v>
      </c>
      <c r="W40" s="11">
        <f>IFERROR(VLOOKUP(V40,[1]Curr!$B$2:$C$13,2,FALSE),0)</f>
        <v>11.3</v>
      </c>
      <c r="X40" s="12">
        <f t="shared" si="2"/>
        <v>0</v>
      </c>
      <c r="Y40" s="26">
        <f t="shared" si="8"/>
        <v>0</v>
      </c>
      <c r="Z40" s="12">
        <f t="shared" si="4"/>
        <v>0</v>
      </c>
      <c r="AA40" s="4" t="s">
        <v>10</v>
      </c>
      <c r="AB40" s="11">
        <f>IFERROR(VLOOKUP(AA40,Curr!$B$2:$C$13,2,FALSE),0)</f>
        <v>11.3</v>
      </c>
      <c r="AC40" s="12">
        <f t="shared" si="5"/>
        <v>0</v>
      </c>
      <c r="AD40" s="12">
        <f t="shared" si="6"/>
        <v>0</v>
      </c>
      <c r="AE40" s="13">
        <f t="shared" si="7"/>
        <v>0</v>
      </c>
    </row>
    <row r="41" spans="2:31" x14ac:dyDescent="0.25">
      <c r="B41" s="4"/>
      <c r="C41" s="1" t="s">
        <v>127</v>
      </c>
      <c r="D41" s="1" t="s">
        <v>66</v>
      </c>
      <c r="E41" s="3"/>
      <c r="F41" s="3"/>
      <c r="G41" s="24"/>
      <c r="H41" s="24"/>
      <c r="J41" s="1" t="s">
        <v>152</v>
      </c>
      <c r="K41" s="4"/>
      <c r="L41" s="4"/>
      <c r="M41" s="4"/>
      <c r="N41" s="4"/>
      <c r="O41" s="4"/>
      <c r="P41" s="27"/>
      <c r="Q41" s="25">
        <v>0</v>
      </c>
      <c r="R41" s="25">
        <v>0</v>
      </c>
      <c r="S41" s="12">
        <f t="shared" si="0"/>
        <v>0</v>
      </c>
      <c r="T41" s="5">
        <v>0</v>
      </c>
      <c r="U41" s="12">
        <f t="shared" si="1"/>
        <v>0</v>
      </c>
      <c r="V41" s="25" t="s">
        <v>10</v>
      </c>
      <c r="W41" s="11">
        <f>IFERROR(VLOOKUP(V41,[1]Curr!$B$2:$C$13,2,FALSE),0)</f>
        <v>11.3</v>
      </c>
      <c r="X41" s="12">
        <f t="shared" si="2"/>
        <v>0</v>
      </c>
      <c r="Y41" s="26">
        <f t="shared" si="8"/>
        <v>0</v>
      </c>
      <c r="Z41" s="12">
        <f t="shared" si="4"/>
        <v>0</v>
      </c>
      <c r="AA41" s="4" t="s">
        <v>10</v>
      </c>
      <c r="AB41" s="11">
        <f>IFERROR(VLOOKUP(AA41,Curr!$B$2:$C$13,2,FALSE),0)</f>
        <v>11.3</v>
      </c>
      <c r="AC41" s="12">
        <f t="shared" si="5"/>
        <v>0</v>
      </c>
      <c r="AD41" s="12">
        <f t="shared" si="6"/>
        <v>0</v>
      </c>
      <c r="AE41" s="13">
        <f t="shared" si="7"/>
        <v>0</v>
      </c>
    </row>
    <row r="42" spans="2:31" x14ac:dyDescent="0.25">
      <c r="B42" s="4"/>
      <c r="C42" s="1" t="s">
        <v>127</v>
      </c>
      <c r="D42" s="1" t="s">
        <v>85</v>
      </c>
      <c r="E42" s="3"/>
      <c r="F42" s="3"/>
      <c r="G42" s="24"/>
      <c r="H42" s="24"/>
      <c r="J42" s="1" t="s">
        <v>153</v>
      </c>
      <c r="K42" s="4"/>
      <c r="L42" s="4"/>
      <c r="M42" s="4"/>
      <c r="N42" s="4"/>
      <c r="O42" s="4"/>
      <c r="P42" s="27"/>
      <c r="Q42" s="25">
        <v>0</v>
      </c>
      <c r="R42" s="25">
        <v>0</v>
      </c>
      <c r="S42" s="12">
        <f t="shared" si="0"/>
        <v>0</v>
      </c>
      <c r="T42" s="5">
        <v>0</v>
      </c>
      <c r="U42" s="12">
        <f t="shared" si="1"/>
        <v>0</v>
      </c>
      <c r="V42" s="25" t="s">
        <v>10</v>
      </c>
      <c r="W42" s="11">
        <f>IFERROR(VLOOKUP(V42,[1]Curr!$B$2:$C$13,2,FALSE),0)</f>
        <v>11.3</v>
      </c>
      <c r="X42" s="12">
        <f t="shared" si="2"/>
        <v>0</v>
      </c>
      <c r="Y42" s="26">
        <f t="shared" si="8"/>
        <v>0</v>
      </c>
      <c r="Z42" s="12">
        <f t="shared" si="4"/>
        <v>0</v>
      </c>
      <c r="AA42" s="4" t="s">
        <v>10</v>
      </c>
      <c r="AB42" s="11">
        <f>IFERROR(VLOOKUP(AA42,Curr!$B$2:$C$13,2,FALSE),0)</f>
        <v>11.3</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IFERROR(VLOOKUP(V43,[1]Curr!$B$2:$C$13,2,FALSE),0)</f>
        <v>11.3</v>
      </c>
      <c r="X43" s="12">
        <f t="shared" si="2"/>
        <v>0</v>
      </c>
      <c r="Y43" s="26">
        <f t="shared" si="8"/>
        <v>0</v>
      </c>
      <c r="Z43" s="12">
        <f t="shared" si="4"/>
        <v>0</v>
      </c>
      <c r="AA43" s="4" t="s">
        <v>10</v>
      </c>
      <c r="AB43" s="11">
        <f>IFERROR(VLOOKUP(AA43,Curr!$B$2:$C$13,2,FALSE),0)</f>
        <v>11.3</v>
      </c>
      <c r="AC43" s="12">
        <f t="shared" si="5"/>
        <v>0</v>
      </c>
      <c r="AD43" s="12">
        <f t="shared" si="6"/>
        <v>0</v>
      </c>
      <c r="AE43" s="13">
        <f t="shared" si="7"/>
        <v>0</v>
      </c>
    </row>
    <row r="44" spans="2:31" x14ac:dyDescent="0.25">
      <c r="B44" s="4"/>
      <c r="E44" s="3"/>
      <c r="F44" s="3"/>
      <c r="G44" s="24"/>
      <c r="H44" s="24"/>
      <c r="K44" s="4"/>
      <c r="L44" s="4"/>
      <c r="M44" s="4"/>
      <c r="N44" s="4"/>
      <c r="O44" s="4"/>
      <c r="P44" s="27"/>
      <c r="Q44" s="25"/>
      <c r="R44" s="25"/>
      <c r="S44" s="12">
        <f t="shared" si="0"/>
        <v>0</v>
      </c>
      <c r="T44" s="5">
        <v>0</v>
      </c>
      <c r="U44" s="12">
        <f t="shared" si="1"/>
        <v>0</v>
      </c>
      <c r="V44" s="25" t="s">
        <v>10</v>
      </c>
      <c r="W44" s="11">
        <f>IFERROR(VLOOKUP(V44,[1]Curr!$B$2:$C$13,2,FALSE),0)</f>
        <v>11.3</v>
      </c>
      <c r="X44" s="12">
        <f t="shared" si="2"/>
        <v>0</v>
      </c>
      <c r="Y44" s="26">
        <f t="shared" si="8"/>
        <v>0</v>
      </c>
      <c r="Z44" s="12">
        <f t="shared" si="4"/>
        <v>0</v>
      </c>
      <c r="AA44" s="4" t="s">
        <v>10</v>
      </c>
      <c r="AB44" s="11">
        <f>IFERROR(VLOOKUP(AA44,Curr!$B$2:$C$13,2,FALSE),0)</f>
        <v>11.3</v>
      </c>
      <c r="AC44" s="12">
        <f t="shared" si="5"/>
        <v>0</v>
      </c>
      <c r="AD44" s="12">
        <f t="shared" si="6"/>
        <v>0</v>
      </c>
      <c r="AE44" s="13">
        <f t="shared" si="7"/>
        <v>0</v>
      </c>
    </row>
    <row r="45" spans="2:31" x14ac:dyDescent="0.25">
      <c r="B45" s="4"/>
      <c r="C45" s="1" t="s">
        <v>64</v>
      </c>
      <c r="D45" s="1" t="s">
        <v>112</v>
      </c>
      <c r="E45" s="3"/>
      <c r="F45" s="3"/>
      <c r="G45" s="24"/>
      <c r="H45" s="24"/>
      <c r="J45" s="1" t="s">
        <v>115</v>
      </c>
      <c r="K45" s="4"/>
      <c r="L45" s="4"/>
      <c r="M45" s="4"/>
      <c r="N45" s="4"/>
      <c r="O45" s="4"/>
      <c r="P45" s="33"/>
      <c r="Q45" s="25">
        <v>40</v>
      </c>
      <c r="R45" s="25">
        <v>0</v>
      </c>
      <c r="S45" s="12">
        <f t="shared" si="0"/>
        <v>0</v>
      </c>
      <c r="T45" s="5">
        <v>0</v>
      </c>
      <c r="U45" s="12">
        <f t="shared" si="1"/>
        <v>0</v>
      </c>
      <c r="V45" s="25" t="s">
        <v>10</v>
      </c>
      <c r="W45" s="11">
        <f>IFERROR(VLOOKUP(V45,[1]Curr!$B$2:$C$13,2,FALSE),0)</f>
        <v>11.3</v>
      </c>
      <c r="X45" s="12">
        <f t="shared" si="2"/>
        <v>0</v>
      </c>
      <c r="Y45" s="26">
        <f>Q45/0.67</f>
        <v>59.701492537313428</v>
      </c>
      <c r="Z45" s="12">
        <f t="shared" si="4"/>
        <v>0</v>
      </c>
      <c r="AA45" s="4" t="s">
        <v>10</v>
      </c>
      <c r="AB45" s="11">
        <f>IFERROR(VLOOKUP(AA45,Curr!$B$2:$C$13,2,FALSE),0)</f>
        <v>11.3</v>
      </c>
      <c r="AC45" s="12">
        <f t="shared" si="5"/>
        <v>0</v>
      </c>
      <c r="AD45" s="12">
        <f t="shared" si="6"/>
        <v>0</v>
      </c>
      <c r="AE45" s="13">
        <f t="shared" si="7"/>
        <v>0</v>
      </c>
    </row>
    <row r="46" spans="2:31" x14ac:dyDescent="0.25">
      <c r="B46" s="4"/>
      <c r="C46" s="1" t="s">
        <v>77</v>
      </c>
      <c r="D46" s="1" t="s">
        <v>112</v>
      </c>
      <c r="E46" s="3"/>
      <c r="F46" s="3"/>
      <c r="G46" s="24"/>
      <c r="H46" s="24"/>
      <c r="J46" s="1" t="s">
        <v>116</v>
      </c>
      <c r="K46" s="4"/>
      <c r="L46" s="4"/>
      <c r="M46" s="4"/>
      <c r="N46" s="4"/>
      <c r="O46" s="4"/>
      <c r="P46" s="27"/>
      <c r="Q46" s="25">
        <v>40</v>
      </c>
      <c r="R46" s="25">
        <v>0</v>
      </c>
      <c r="S46" s="12">
        <f t="shared" si="0"/>
        <v>0</v>
      </c>
      <c r="T46" s="5">
        <v>0</v>
      </c>
      <c r="U46" s="12">
        <f t="shared" si="1"/>
        <v>0</v>
      </c>
      <c r="V46" s="25" t="s">
        <v>10</v>
      </c>
      <c r="W46" s="11">
        <f>IFERROR(VLOOKUP(V46,[1]Curr!$B$2:$C$13,2,FALSE),0)</f>
        <v>11.3</v>
      </c>
      <c r="X46" s="12">
        <f t="shared" si="2"/>
        <v>0</v>
      </c>
      <c r="Y46" s="26">
        <f>Q46/0.67</f>
        <v>59.701492537313428</v>
      </c>
      <c r="Z46" s="12">
        <f t="shared" si="4"/>
        <v>0</v>
      </c>
      <c r="AA46" s="4" t="s">
        <v>10</v>
      </c>
      <c r="AB46" s="11">
        <f>IFERROR(VLOOKUP(AA46,Curr!$B$2:$C$13,2,FALSE),0)</f>
        <v>11.3</v>
      </c>
      <c r="AC46" s="12">
        <f t="shared" si="5"/>
        <v>0</v>
      </c>
      <c r="AD46" s="12">
        <f t="shared" si="6"/>
        <v>0</v>
      </c>
      <c r="AE46" s="13">
        <f t="shared" si="7"/>
        <v>0</v>
      </c>
    </row>
    <row r="47" spans="2:31" x14ac:dyDescent="0.25">
      <c r="B47" s="4"/>
      <c r="C47" s="1" t="s">
        <v>127</v>
      </c>
      <c r="D47" s="1" t="s">
        <v>112</v>
      </c>
      <c r="E47" s="3"/>
      <c r="F47" s="3"/>
      <c r="G47" s="24"/>
      <c r="H47" s="24"/>
      <c r="J47" s="1" t="s">
        <v>154</v>
      </c>
      <c r="K47" s="4"/>
      <c r="L47" s="4"/>
      <c r="M47" s="4"/>
      <c r="N47" s="4"/>
      <c r="O47" s="4"/>
      <c r="P47" s="33"/>
      <c r="Q47" s="25">
        <v>900</v>
      </c>
      <c r="R47" s="25">
        <v>0</v>
      </c>
      <c r="S47" s="12">
        <f t="shared" si="0"/>
        <v>0</v>
      </c>
      <c r="T47" s="5">
        <v>0</v>
      </c>
      <c r="U47" s="12">
        <f t="shared" si="1"/>
        <v>0</v>
      </c>
      <c r="V47" s="25" t="s">
        <v>8</v>
      </c>
      <c r="W47" s="11">
        <f>IFERROR(VLOOKUP(V47,[1]Curr!$B$2:$C$13,2,FALSE),0)</f>
        <v>1</v>
      </c>
      <c r="X47" s="12">
        <f t="shared" si="2"/>
        <v>0</v>
      </c>
      <c r="Y47" s="26">
        <f>Q47/11.3/0.8</f>
        <v>99.55752212389379</v>
      </c>
      <c r="Z47" s="12">
        <f t="shared" si="4"/>
        <v>0</v>
      </c>
      <c r="AA47" s="4" t="s">
        <v>10</v>
      </c>
      <c r="AB47" s="11">
        <f>IFERROR(VLOOKUP(AA47,Curr!$B$2:$C$13,2,FALSE),0)</f>
        <v>11.3</v>
      </c>
      <c r="AC47" s="12">
        <f t="shared" si="5"/>
        <v>0</v>
      </c>
      <c r="AD47" s="12">
        <f t="shared" si="6"/>
        <v>0</v>
      </c>
      <c r="AE47" s="13">
        <f t="shared" si="7"/>
        <v>0</v>
      </c>
    </row>
    <row r="48" spans="2:31" x14ac:dyDescent="0.25">
      <c r="B48" s="4"/>
      <c r="E48" s="3"/>
      <c r="F48" s="3"/>
      <c r="G48" s="24"/>
      <c r="H48" s="24"/>
      <c r="K48" s="4"/>
      <c r="L48" s="4"/>
      <c r="M48" s="4"/>
      <c r="N48" s="4"/>
      <c r="O48" s="4"/>
      <c r="P48" s="27"/>
      <c r="Q48" s="25"/>
      <c r="R48" s="25"/>
      <c r="S48" s="12">
        <f t="shared" si="0"/>
        <v>0</v>
      </c>
      <c r="T48" s="5">
        <v>0</v>
      </c>
      <c r="U48" s="12">
        <f t="shared" si="1"/>
        <v>0</v>
      </c>
      <c r="V48" s="25" t="s">
        <v>10</v>
      </c>
      <c r="W48" s="11">
        <f>IFERROR(VLOOKUP(V48,[1]Curr!$B$2:$C$13,2,FALSE),0)</f>
        <v>11.3</v>
      </c>
      <c r="X48" s="12">
        <f t="shared" si="2"/>
        <v>0</v>
      </c>
      <c r="Y48" s="26">
        <f t="shared" si="8"/>
        <v>0</v>
      </c>
      <c r="Z48" s="12">
        <f t="shared" si="4"/>
        <v>0</v>
      </c>
      <c r="AA48" s="4" t="s">
        <v>10</v>
      </c>
      <c r="AB48" s="11">
        <f>IFERROR(VLOOKUP(AA48,Curr!$B$2:$C$13,2,FALSE),0)</f>
        <v>11.3</v>
      </c>
      <c r="AC48" s="12">
        <f t="shared" si="5"/>
        <v>0</v>
      </c>
      <c r="AD48" s="12">
        <f t="shared" si="6"/>
        <v>0</v>
      </c>
      <c r="AE48" s="13">
        <f t="shared" si="7"/>
        <v>0</v>
      </c>
    </row>
    <row r="49" spans="2:36" x14ac:dyDescent="0.25">
      <c r="B49" s="4"/>
      <c r="E49" s="3"/>
      <c r="F49" s="3"/>
      <c r="G49" s="24"/>
      <c r="H49" s="24"/>
      <c r="K49" s="4"/>
      <c r="L49" s="4"/>
      <c r="M49" s="4"/>
      <c r="N49" s="4"/>
      <c r="O49" s="4"/>
      <c r="P49" s="33"/>
      <c r="Q49" s="25"/>
      <c r="R49" s="25"/>
      <c r="S49" s="12">
        <f t="shared" si="0"/>
        <v>0</v>
      </c>
      <c r="T49" s="5">
        <v>0</v>
      </c>
      <c r="U49" s="12">
        <f t="shared" si="1"/>
        <v>0</v>
      </c>
      <c r="V49" s="25" t="s">
        <v>10</v>
      </c>
      <c r="W49" s="11">
        <f>IFERROR(VLOOKUP(V49,[1]Curr!$B$2:$C$13,2,FALSE),0)</f>
        <v>11.3</v>
      </c>
      <c r="X49" s="12">
        <f t="shared" si="2"/>
        <v>0</v>
      </c>
      <c r="Y49" s="26">
        <f t="shared" si="8"/>
        <v>0</v>
      </c>
      <c r="Z49" s="12">
        <f t="shared" si="4"/>
        <v>0</v>
      </c>
      <c r="AA49" s="4" t="s">
        <v>10</v>
      </c>
      <c r="AB49" s="11">
        <f>IFERROR(VLOOKUP(AA49,Curr!$B$2:$C$13,2,FALSE),0)</f>
        <v>11.3</v>
      </c>
      <c r="AC49" s="12">
        <f t="shared" si="5"/>
        <v>0</v>
      </c>
      <c r="AD49" s="12">
        <f t="shared" si="6"/>
        <v>0</v>
      </c>
      <c r="AE49" s="13">
        <f t="shared" si="7"/>
        <v>0</v>
      </c>
    </row>
    <row r="50" spans="2:36" x14ac:dyDescent="0.25">
      <c r="B50" s="4"/>
      <c r="C50" s="1" t="s">
        <v>76</v>
      </c>
      <c r="D50" s="1" t="s">
        <v>183</v>
      </c>
      <c r="E50" s="3"/>
      <c r="F50" s="3"/>
      <c r="G50" s="24"/>
      <c r="H50" s="24"/>
      <c r="J50" s="1" t="s">
        <v>184</v>
      </c>
      <c r="K50" s="4"/>
      <c r="L50" s="4"/>
      <c r="M50" s="4"/>
      <c r="N50" s="4"/>
      <c r="O50" s="4" t="s">
        <v>42</v>
      </c>
      <c r="P50" s="33" t="s">
        <v>185</v>
      </c>
      <c r="Q50" s="25">
        <v>252</v>
      </c>
      <c r="R50" s="25">
        <v>0</v>
      </c>
      <c r="S50" s="12">
        <f t="shared" si="0"/>
        <v>0</v>
      </c>
      <c r="T50" s="5">
        <v>0.2</v>
      </c>
      <c r="U50" s="12">
        <f t="shared" si="1"/>
        <v>0</v>
      </c>
      <c r="V50" s="25" t="s">
        <v>10</v>
      </c>
      <c r="W50" s="11">
        <f>IFERROR(VLOOKUP(V50,[1]Curr!$B$2:$C$13,2,FALSE),0)</f>
        <v>11.3</v>
      </c>
      <c r="X50" s="12">
        <f t="shared" si="2"/>
        <v>0</v>
      </c>
      <c r="Y50" s="26">
        <f t="shared" si="8"/>
        <v>252</v>
      </c>
      <c r="Z50" s="12">
        <f t="shared" si="4"/>
        <v>0</v>
      </c>
      <c r="AA50" s="4" t="s">
        <v>10</v>
      </c>
      <c r="AB50" s="11">
        <f>IFERROR(VLOOKUP(AA50,Curr!$B$2:$C$13,2,FALSE),0)</f>
        <v>11.3</v>
      </c>
      <c r="AC50" s="12">
        <f t="shared" si="5"/>
        <v>0</v>
      </c>
      <c r="AD50" s="12">
        <f t="shared" si="6"/>
        <v>0</v>
      </c>
      <c r="AE50" s="13">
        <f t="shared" si="7"/>
        <v>0</v>
      </c>
    </row>
    <row r="51" spans="2:36" x14ac:dyDescent="0.25">
      <c r="B51" s="4"/>
      <c r="C51" s="1" t="s">
        <v>82</v>
      </c>
      <c r="D51" s="1" t="s">
        <v>118</v>
      </c>
      <c r="E51" s="3"/>
      <c r="F51" s="3"/>
      <c r="G51" s="24"/>
      <c r="H51" s="24"/>
      <c r="J51" s="1" t="s">
        <v>188</v>
      </c>
      <c r="K51" s="4"/>
      <c r="L51" s="4"/>
      <c r="M51" s="4"/>
      <c r="N51" s="4"/>
      <c r="O51" s="4" t="s">
        <v>42</v>
      </c>
      <c r="P51" s="33" t="s">
        <v>189</v>
      </c>
      <c r="Q51" s="25">
        <v>2195</v>
      </c>
      <c r="R51" s="25">
        <v>0</v>
      </c>
      <c r="S51" s="12">
        <f t="shared" si="0"/>
        <v>0</v>
      </c>
      <c r="T51" s="5">
        <v>0.2</v>
      </c>
      <c r="U51" s="12">
        <f t="shared" si="1"/>
        <v>0</v>
      </c>
      <c r="V51" s="25" t="s">
        <v>8</v>
      </c>
      <c r="W51" s="11">
        <f>IFERROR(VLOOKUP(V51,[1]Curr!$B$2:$C$13,2,FALSE),0)</f>
        <v>1</v>
      </c>
      <c r="X51" s="12">
        <f t="shared" si="2"/>
        <v>0</v>
      </c>
      <c r="Y51" s="26">
        <f t="shared" ref="Y51" si="13">Q51/11.3</f>
        <v>194.24778761061947</v>
      </c>
      <c r="Z51" s="12">
        <f t="shared" si="4"/>
        <v>0</v>
      </c>
      <c r="AA51" s="4" t="s">
        <v>10</v>
      </c>
      <c r="AB51" s="11">
        <f>IFERROR(VLOOKUP(AA51,Curr!$B$2:$C$13,2,FALSE),0)</f>
        <v>11.3</v>
      </c>
      <c r="AC51" s="12">
        <f t="shared" si="5"/>
        <v>0</v>
      </c>
      <c r="AD51" s="12">
        <f t="shared" si="6"/>
        <v>0</v>
      </c>
      <c r="AE51" s="13">
        <f t="shared" si="7"/>
        <v>0</v>
      </c>
    </row>
    <row r="52" spans="2:36" x14ac:dyDescent="0.25">
      <c r="B52" s="4"/>
      <c r="C52" s="1" t="s">
        <v>84</v>
      </c>
      <c r="D52" s="1" t="s">
        <v>118</v>
      </c>
      <c r="E52" s="3"/>
      <c r="F52" s="3"/>
      <c r="G52" s="24"/>
      <c r="H52" s="24"/>
      <c r="J52" s="1" t="s">
        <v>200</v>
      </c>
      <c r="K52" s="4"/>
      <c r="L52" s="4"/>
      <c r="M52" s="4"/>
      <c r="N52" s="4"/>
      <c r="O52" s="4" t="s">
        <v>42</v>
      </c>
      <c r="P52" s="33" t="s">
        <v>201</v>
      </c>
      <c r="Q52" s="25">
        <v>185</v>
      </c>
      <c r="R52" s="25">
        <v>0</v>
      </c>
      <c r="S52" s="12">
        <f t="shared" si="0"/>
        <v>0</v>
      </c>
      <c r="T52" s="5">
        <v>0.15</v>
      </c>
      <c r="U52" s="12">
        <f t="shared" si="1"/>
        <v>0</v>
      </c>
      <c r="V52" s="25" t="s">
        <v>10</v>
      </c>
      <c r="W52" s="11">
        <f>IFERROR(VLOOKUP(V52,[1]Curr!$B$2:$C$13,2,FALSE),0)</f>
        <v>11.3</v>
      </c>
      <c r="X52" s="12">
        <f t="shared" si="2"/>
        <v>0</v>
      </c>
      <c r="Y52" s="26">
        <f t="shared" si="8"/>
        <v>185</v>
      </c>
      <c r="Z52" s="12">
        <f t="shared" si="4"/>
        <v>0</v>
      </c>
      <c r="AA52" s="4" t="s">
        <v>10</v>
      </c>
      <c r="AB52" s="11">
        <f>IFERROR(VLOOKUP(AA52,Curr!$B$2:$C$13,2,FALSE),0)</f>
        <v>11.3</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0"/>
        <v>0</v>
      </c>
      <c r="T53" s="5">
        <v>0</v>
      </c>
      <c r="U53" s="12">
        <f t="shared" si="1"/>
        <v>0</v>
      </c>
      <c r="V53" s="25" t="s">
        <v>10</v>
      </c>
      <c r="W53" s="11">
        <f>IFERROR(VLOOKUP(V53,[1]Curr!$B$2:$C$13,2,FALSE),0)</f>
        <v>11.3</v>
      </c>
      <c r="X53" s="12">
        <f t="shared" si="2"/>
        <v>0</v>
      </c>
      <c r="Y53" s="26">
        <f t="shared" si="8"/>
        <v>0</v>
      </c>
      <c r="Z53" s="12">
        <f t="shared" si="4"/>
        <v>0</v>
      </c>
      <c r="AA53" s="4" t="s">
        <v>10</v>
      </c>
      <c r="AB53" s="11">
        <f>IFERROR(VLOOKUP(AA53,Curr!$B$2:$C$13,2,FALSE),0)</f>
        <v>11.3</v>
      </c>
      <c r="AC53" s="12">
        <f t="shared" si="5"/>
        <v>0</v>
      </c>
      <c r="AD53" s="12">
        <f t="shared" si="6"/>
        <v>0</v>
      </c>
      <c r="AE53" s="13">
        <f t="shared" si="7"/>
        <v>0</v>
      </c>
    </row>
    <row r="54" spans="2:36" x14ac:dyDescent="0.25">
      <c r="B54" s="4"/>
      <c r="E54" s="3"/>
      <c r="F54" s="3"/>
      <c r="G54" s="24"/>
      <c r="H54" s="24"/>
      <c r="K54" s="4"/>
      <c r="L54" s="4"/>
      <c r="M54" s="4"/>
      <c r="N54" s="4"/>
      <c r="O54" s="4"/>
      <c r="P54" s="27"/>
      <c r="Q54" s="25"/>
      <c r="R54" s="25"/>
      <c r="S54" s="12">
        <f t="shared" si="0"/>
        <v>0</v>
      </c>
      <c r="T54" s="5">
        <v>0</v>
      </c>
      <c r="U54" s="12">
        <f t="shared" si="1"/>
        <v>0</v>
      </c>
      <c r="V54" s="25" t="s">
        <v>10</v>
      </c>
      <c r="W54" s="11">
        <f>IFERROR(VLOOKUP(V54,[1]Curr!$B$2:$C$13,2,FALSE),0)</f>
        <v>11.3</v>
      </c>
      <c r="X54" s="12">
        <f t="shared" si="2"/>
        <v>0</v>
      </c>
      <c r="Y54" s="26">
        <f t="shared" si="8"/>
        <v>0</v>
      </c>
      <c r="Z54" s="12">
        <f t="shared" si="4"/>
        <v>0</v>
      </c>
      <c r="AA54" s="4" t="s">
        <v>10</v>
      </c>
      <c r="AB54" s="11">
        <f>IFERROR(VLOOKUP(AA54,Curr!$B$2:$C$13,2,FALSE),0)</f>
        <v>11.3</v>
      </c>
      <c r="AC54" s="12">
        <f t="shared" si="5"/>
        <v>0</v>
      </c>
      <c r="AD54" s="12">
        <f t="shared" si="6"/>
        <v>0</v>
      </c>
      <c r="AE54" s="13">
        <f t="shared" si="7"/>
        <v>0</v>
      </c>
    </row>
    <row r="55" spans="2:36" x14ac:dyDescent="0.25">
      <c r="B55" s="4"/>
      <c r="C55" s="1" t="s">
        <v>127</v>
      </c>
      <c r="D55" s="1" t="s">
        <v>203</v>
      </c>
      <c r="E55" s="3"/>
      <c r="F55" s="3"/>
      <c r="G55" s="24"/>
      <c r="H55" s="24"/>
      <c r="J55" s="1" t="s">
        <v>205</v>
      </c>
      <c r="K55" s="4"/>
      <c r="L55" s="4"/>
      <c r="M55" s="4"/>
      <c r="N55" s="4"/>
      <c r="O55" s="4"/>
      <c r="P55" s="27"/>
      <c r="Q55" s="25">
        <v>0</v>
      </c>
      <c r="R55" s="25">
        <v>0</v>
      </c>
      <c r="S55" s="12">
        <f t="shared" si="0"/>
        <v>0</v>
      </c>
      <c r="T55" s="5">
        <v>0</v>
      </c>
      <c r="U55" s="12">
        <f t="shared" si="1"/>
        <v>0</v>
      </c>
      <c r="V55" s="25" t="s">
        <v>8</v>
      </c>
      <c r="W55" s="11">
        <f>IFERROR(VLOOKUP(V55,[1]Curr!$B$2:$C$13,2,FALSE),0)</f>
        <v>1</v>
      </c>
      <c r="X55" s="12">
        <f t="shared" si="2"/>
        <v>0</v>
      </c>
      <c r="Y55" s="26">
        <f>Q55/11.3/0.8</f>
        <v>0</v>
      </c>
      <c r="Z55" s="12">
        <f t="shared" si="4"/>
        <v>0</v>
      </c>
      <c r="AA55" s="4" t="s">
        <v>10</v>
      </c>
      <c r="AB55" s="11">
        <f>IFERROR(VLOOKUP(AA55,Curr!$B$2:$C$13,2,FALSE),0)</f>
        <v>11.3</v>
      </c>
      <c r="AC55" s="12">
        <f t="shared" si="5"/>
        <v>0</v>
      </c>
      <c r="AD55" s="12">
        <f t="shared" si="6"/>
        <v>0</v>
      </c>
      <c r="AE55" s="13">
        <f t="shared" si="7"/>
        <v>0</v>
      </c>
    </row>
    <row r="56" spans="2:36" x14ac:dyDescent="0.25">
      <c r="B56" s="4"/>
      <c r="C56" s="1" t="s">
        <v>127</v>
      </c>
      <c r="D56" s="1" t="s">
        <v>203</v>
      </c>
      <c r="E56" s="3"/>
      <c r="F56" s="3"/>
      <c r="G56" s="24"/>
      <c r="H56" s="24"/>
      <c r="J56" s="1" t="s">
        <v>164</v>
      </c>
      <c r="K56" s="4"/>
      <c r="L56" s="4"/>
      <c r="M56" s="4"/>
      <c r="N56" s="4"/>
      <c r="O56" s="4"/>
      <c r="P56" s="27"/>
      <c r="Q56" s="25">
        <v>0</v>
      </c>
      <c r="R56" s="25">
        <v>0</v>
      </c>
      <c r="S56" s="12">
        <f t="shared" si="0"/>
        <v>0</v>
      </c>
      <c r="T56" s="5">
        <v>0</v>
      </c>
      <c r="U56" s="12">
        <f t="shared" si="1"/>
        <v>0</v>
      </c>
      <c r="V56" s="25" t="s">
        <v>10</v>
      </c>
      <c r="W56" s="11">
        <f>IFERROR(VLOOKUP(V56,[1]Curr!$B$2:$C$13,2,FALSE),0)</f>
        <v>11.3</v>
      </c>
      <c r="X56" s="12">
        <f t="shared" si="2"/>
        <v>0</v>
      </c>
      <c r="Y56" s="26">
        <f t="shared" si="8"/>
        <v>0</v>
      </c>
      <c r="Z56" s="12">
        <f t="shared" si="4"/>
        <v>0</v>
      </c>
      <c r="AA56" s="4" t="s">
        <v>10</v>
      </c>
      <c r="AB56" s="11">
        <f>IFERROR(VLOOKUP(AA56,Curr!$B$2:$C$13,2,FALSE),0)</f>
        <v>11.3</v>
      </c>
      <c r="AC56" s="12">
        <f t="shared" si="5"/>
        <v>0</v>
      </c>
      <c r="AD56" s="12">
        <f t="shared" si="6"/>
        <v>0</v>
      </c>
      <c r="AE56" s="13">
        <f t="shared" si="7"/>
        <v>0</v>
      </c>
    </row>
    <row r="57" spans="2:36" x14ac:dyDescent="0.25">
      <c r="B57" s="4"/>
      <c r="C57" s="1" t="s">
        <v>127</v>
      </c>
      <c r="D57" s="1" t="s">
        <v>203</v>
      </c>
      <c r="E57" s="3"/>
      <c r="F57" s="3"/>
      <c r="G57" s="24"/>
      <c r="H57" s="24"/>
      <c r="J57" s="1" t="s">
        <v>204</v>
      </c>
      <c r="K57" s="4"/>
      <c r="L57" s="4"/>
      <c r="M57" s="4"/>
      <c r="N57" s="4"/>
      <c r="O57" s="4"/>
      <c r="P57" s="27"/>
      <c r="Q57" s="25">
        <v>175</v>
      </c>
      <c r="R57" s="25">
        <v>0</v>
      </c>
      <c r="S57" s="12">
        <f t="shared" si="0"/>
        <v>0</v>
      </c>
      <c r="T57" s="5">
        <v>0</v>
      </c>
      <c r="U57" s="12">
        <f t="shared" si="1"/>
        <v>0</v>
      </c>
      <c r="V57" s="25" t="s">
        <v>10</v>
      </c>
      <c r="W57" s="11">
        <f>IFERROR(VLOOKUP(V57,[1]Curr!$B$2:$C$13,2,FALSE),0)</f>
        <v>11.3</v>
      </c>
      <c r="X57" s="12">
        <f t="shared" si="2"/>
        <v>0</v>
      </c>
      <c r="Y57" s="26">
        <f>Q57/0.85</f>
        <v>205.88235294117646</v>
      </c>
      <c r="Z57" s="12">
        <f t="shared" si="4"/>
        <v>0</v>
      </c>
      <c r="AA57" s="4" t="s">
        <v>10</v>
      </c>
      <c r="AB57" s="11">
        <f>IFERROR(VLOOKUP(AA57,Curr!$B$2:$C$13,2,FALSE),0)</f>
        <v>11.3</v>
      </c>
      <c r="AC57" s="12">
        <f t="shared" si="5"/>
        <v>0</v>
      </c>
      <c r="AD57" s="12">
        <f t="shared" si="6"/>
        <v>0</v>
      </c>
      <c r="AE57" s="13">
        <f t="shared" si="7"/>
        <v>0</v>
      </c>
    </row>
    <row r="58" spans="2:36" x14ac:dyDescent="0.25">
      <c r="B58" s="4"/>
      <c r="C58" s="1" t="s">
        <v>139</v>
      </c>
      <c r="D58" s="1" t="s">
        <v>203</v>
      </c>
      <c r="E58" s="3"/>
      <c r="F58" s="3"/>
      <c r="G58" s="24"/>
      <c r="H58" s="24"/>
      <c r="J58" s="1" t="s">
        <v>163</v>
      </c>
      <c r="K58" s="4"/>
      <c r="L58" s="4"/>
      <c r="M58" s="4"/>
      <c r="N58" s="4"/>
      <c r="O58" s="4"/>
      <c r="P58" s="27"/>
      <c r="Q58" s="25">
        <v>0</v>
      </c>
      <c r="R58" s="25">
        <v>0</v>
      </c>
      <c r="S58" s="12">
        <f t="shared" si="0"/>
        <v>0</v>
      </c>
      <c r="T58" s="5">
        <v>0</v>
      </c>
      <c r="U58" s="12">
        <f t="shared" si="1"/>
        <v>0</v>
      </c>
      <c r="V58" s="25" t="s">
        <v>10</v>
      </c>
      <c r="W58" s="11">
        <f>IFERROR(VLOOKUP(V58,[1]Curr!$B$2:$C$13,2,FALSE),0)</f>
        <v>11.3</v>
      </c>
      <c r="X58" s="12">
        <f t="shared" si="2"/>
        <v>0</v>
      </c>
      <c r="Y58" s="26">
        <f t="shared" si="8"/>
        <v>0</v>
      </c>
      <c r="Z58" s="12">
        <f t="shared" si="4"/>
        <v>0</v>
      </c>
      <c r="AA58" s="4" t="s">
        <v>10</v>
      </c>
      <c r="AB58" s="11">
        <f>IFERROR(VLOOKUP(AA58,Curr!$B$2:$C$13,2,FALSE),0)</f>
        <v>11.3</v>
      </c>
      <c r="AC58" s="12">
        <f t="shared" si="5"/>
        <v>0</v>
      </c>
      <c r="AD58" s="12">
        <f t="shared" si="6"/>
        <v>0</v>
      </c>
      <c r="AE58" s="13">
        <f t="shared" si="7"/>
        <v>0</v>
      </c>
    </row>
    <row r="59" spans="2:36" x14ac:dyDescent="0.25">
      <c r="B59" s="4"/>
      <c r="C59" s="1" t="s">
        <v>139</v>
      </c>
      <c r="D59" s="1" t="s">
        <v>203</v>
      </c>
      <c r="E59" s="3"/>
      <c r="F59" s="3"/>
      <c r="G59" s="24"/>
      <c r="H59" s="24"/>
      <c r="J59" s="1" t="s">
        <v>162</v>
      </c>
      <c r="K59" s="4"/>
      <c r="L59" s="4"/>
      <c r="M59" s="4"/>
      <c r="N59" s="4"/>
      <c r="O59" s="4"/>
      <c r="P59" s="27"/>
      <c r="Q59" s="25">
        <v>0</v>
      </c>
      <c r="R59" s="25">
        <v>0</v>
      </c>
      <c r="S59" s="12">
        <f t="shared" si="0"/>
        <v>0</v>
      </c>
      <c r="T59" s="5">
        <v>0</v>
      </c>
      <c r="U59" s="12">
        <f t="shared" si="1"/>
        <v>0</v>
      </c>
      <c r="V59" s="25" t="s">
        <v>10</v>
      </c>
      <c r="W59" s="11">
        <f>IFERROR(VLOOKUP(V59,[1]Curr!$B$2:$C$13,2,FALSE),0)</f>
        <v>11.3</v>
      </c>
      <c r="X59" s="12">
        <f t="shared" si="2"/>
        <v>0</v>
      </c>
      <c r="Y59" s="26">
        <f t="shared" si="8"/>
        <v>0</v>
      </c>
      <c r="Z59" s="12">
        <f t="shared" si="4"/>
        <v>0</v>
      </c>
      <c r="AA59" s="4" t="s">
        <v>10</v>
      </c>
      <c r="AB59" s="11">
        <f>IFERROR(VLOOKUP(AA59,Curr!$B$2:$C$13,2,FALSE),0)</f>
        <v>11.3</v>
      </c>
      <c r="AC59" s="12">
        <f t="shared" si="5"/>
        <v>0</v>
      </c>
      <c r="AD59" s="12">
        <f t="shared" si="6"/>
        <v>0</v>
      </c>
      <c r="AE59" s="13">
        <f t="shared" si="7"/>
        <v>0</v>
      </c>
    </row>
    <row r="60" spans="2:36" x14ac:dyDescent="0.25">
      <c r="B60" s="4"/>
      <c r="E60" s="3"/>
      <c r="F60" s="3"/>
      <c r="G60" s="24"/>
      <c r="H60" s="24"/>
      <c r="K60" s="4"/>
      <c r="L60" s="4"/>
      <c r="M60" s="4"/>
      <c r="N60" s="4"/>
      <c r="O60" s="4"/>
      <c r="P60" s="27"/>
      <c r="Q60" s="25"/>
      <c r="R60" s="25"/>
      <c r="S60" s="12">
        <f t="shared" si="0"/>
        <v>0</v>
      </c>
      <c r="T60" s="5">
        <v>0</v>
      </c>
      <c r="U60" s="12">
        <f t="shared" si="1"/>
        <v>0</v>
      </c>
      <c r="V60" s="25" t="s">
        <v>10</v>
      </c>
      <c r="W60" s="11">
        <f>IFERROR(VLOOKUP(V60,[1]Curr!$B$2:$C$13,2,FALSE),0)</f>
        <v>11.3</v>
      </c>
      <c r="X60" s="12">
        <f t="shared" si="2"/>
        <v>0</v>
      </c>
      <c r="Y60" s="26">
        <f t="shared" si="8"/>
        <v>0</v>
      </c>
      <c r="Z60" s="12">
        <f t="shared" si="4"/>
        <v>0</v>
      </c>
      <c r="AA60" s="4" t="s">
        <v>10</v>
      </c>
      <c r="AB60" s="11">
        <f>IFERROR(VLOOKUP(AA60,Curr!$B$2:$C$13,2,FALSE),0)</f>
        <v>11.3</v>
      </c>
      <c r="AC60" s="12">
        <f t="shared" si="5"/>
        <v>0</v>
      </c>
      <c r="AD60" s="12">
        <f t="shared" si="6"/>
        <v>0</v>
      </c>
      <c r="AE60" s="13">
        <f t="shared" si="7"/>
        <v>0</v>
      </c>
    </row>
    <row r="61" spans="2:36" x14ac:dyDescent="0.25">
      <c r="B61" s="4"/>
      <c r="E61" s="3"/>
      <c r="F61" s="3"/>
      <c r="G61" s="24"/>
      <c r="H61" s="24"/>
      <c r="K61" s="4"/>
      <c r="L61" s="4"/>
      <c r="M61" s="4"/>
      <c r="N61" s="4"/>
      <c r="O61" s="4"/>
      <c r="P61" s="27"/>
      <c r="Q61" s="25"/>
      <c r="R61" s="25"/>
      <c r="S61" s="12">
        <f t="shared" si="0"/>
        <v>0</v>
      </c>
      <c r="T61" s="5">
        <v>0</v>
      </c>
      <c r="U61" s="12">
        <f t="shared" si="1"/>
        <v>0</v>
      </c>
      <c r="V61" s="25" t="s">
        <v>10</v>
      </c>
      <c r="W61" s="11">
        <f>IFERROR(VLOOKUP(V61,[1]Curr!$B$2:$C$13,2,FALSE),0)</f>
        <v>11.3</v>
      </c>
      <c r="X61" s="12">
        <f t="shared" si="2"/>
        <v>0</v>
      </c>
      <c r="Y61" s="26">
        <f t="shared" si="8"/>
        <v>0</v>
      </c>
      <c r="Z61" s="12">
        <f t="shared" si="4"/>
        <v>0</v>
      </c>
      <c r="AA61" s="4" t="s">
        <v>10</v>
      </c>
      <c r="AB61" s="11">
        <f>IFERROR(VLOOKUP(AA61,Curr!$B$2:$C$13,2,FALSE),0)</f>
        <v>11.3</v>
      </c>
      <c r="AC61" s="12">
        <f t="shared" si="5"/>
        <v>0</v>
      </c>
      <c r="AD61" s="12">
        <f t="shared" si="6"/>
        <v>0</v>
      </c>
      <c r="AE61" s="13">
        <f t="shared" si="7"/>
        <v>0</v>
      </c>
    </row>
    <row r="62" spans="2:36" x14ac:dyDescent="0.25">
      <c r="B62" s="4"/>
      <c r="E62" s="3"/>
      <c r="F62" s="3"/>
      <c r="G62" s="3"/>
      <c r="H62" s="3"/>
      <c r="L62" s="4"/>
      <c r="M62" s="4"/>
      <c r="N62" s="4"/>
      <c r="O62" s="4"/>
      <c r="P62" s="22"/>
      <c r="Q62" s="4"/>
      <c r="R62" s="4"/>
      <c r="S62" s="4"/>
      <c r="T62" s="4"/>
      <c r="U62" s="4"/>
      <c r="V62" s="4"/>
      <c r="W62" s="4"/>
      <c r="X62" s="4"/>
      <c r="Y62" s="4"/>
      <c r="Z62" s="4"/>
      <c r="AA62" s="4"/>
      <c r="AB62" s="4"/>
      <c r="AC62" s="4"/>
      <c r="AD62" s="4"/>
      <c r="AE62" s="4"/>
      <c r="AF62" s="4"/>
    </row>
    <row r="63" spans="2:36" x14ac:dyDescent="0.25">
      <c r="B63" s="14" t="s">
        <v>18</v>
      </c>
      <c r="C63" s="14"/>
      <c r="D63" s="28" t="s">
        <v>42</v>
      </c>
      <c r="E63" s="30" t="s">
        <v>42</v>
      </c>
      <c r="F63" s="30" t="s">
        <v>42</v>
      </c>
      <c r="G63" s="30" t="s">
        <v>42</v>
      </c>
      <c r="H63" s="30" t="s">
        <v>42</v>
      </c>
      <c r="I63" s="28" t="s">
        <v>42</v>
      </c>
      <c r="J63" s="28" t="s">
        <v>42</v>
      </c>
      <c r="K63" s="28" t="s">
        <v>42</v>
      </c>
      <c r="L63" s="28" t="s">
        <v>42</v>
      </c>
      <c r="M63" s="28" t="s">
        <v>42</v>
      </c>
      <c r="N63" s="28" t="s">
        <v>42</v>
      </c>
      <c r="O63" s="28" t="s">
        <v>42</v>
      </c>
      <c r="P63" s="28" t="s">
        <v>42</v>
      </c>
      <c r="Q63" s="31" t="s">
        <v>42</v>
      </c>
      <c r="R63" s="28" t="s">
        <v>42</v>
      </c>
      <c r="S63" s="32" t="s">
        <v>42</v>
      </c>
      <c r="T63" s="28" t="s">
        <v>42</v>
      </c>
      <c r="U63" s="32" t="s">
        <v>42</v>
      </c>
      <c r="V63" s="28" t="s">
        <v>42</v>
      </c>
      <c r="W63" s="28" t="s">
        <v>42</v>
      </c>
      <c r="X63" s="32" t="s">
        <v>42</v>
      </c>
      <c r="Y63" s="32" t="s">
        <v>42</v>
      </c>
      <c r="Z63" s="15">
        <f>SUM(Z7:Z61)</f>
        <v>4626.7152715682532</v>
      </c>
      <c r="AA63" s="14"/>
      <c r="AB63" s="14"/>
      <c r="AC63" s="15">
        <f>SUM(AC7:AC61)</f>
        <v>52281.882568721267</v>
      </c>
      <c r="AD63" s="15">
        <f>SUM(AD7:AD61)</f>
        <v>9715.9825687212688</v>
      </c>
      <c r="AE63" s="21">
        <f t="shared" ref="AE63" si="14">IFERROR(AD63/AC63,0)</f>
        <v>0.18583842224790237</v>
      </c>
      <c r="AF63" s="15">
        <f>SUM(AF8:AF62)</f>
        <v>0</v>
      </c>
      <c r="AG63" s="15">
        <f>SUM(AG8:AG62)</f>
        <v>0</v>
      </c>
      <c r="AH63" s="15">
        <f>SUM(AH8:AH62)</f>
        <v>0</v>
      </c>
      <c r="AI63" s="15">
        <f>SUM(AI8:AI62)</f>
        <v>0</v>
      </c>
      <c r="AJ63" s="15">
        <f>SUM(AJ8:AJ62)</f>
        <v>0</v>
      </c>
    </row>
    <row r="64" spans="2:36" x14ac:dyDescent="0.25">
      <c r="B64" s="4"/>
      <c r="E64" s="3"/>
      <c r="F64" s="3"/>
      <c r="G64" s="3"/>
      <c r="H64" s="3"/>
      <c r="L64" s="4"/>
      <c r="M64" s="4"/>
      <c r="N64" s="4"/>
      <c r="O64" s="4"/>
      <c r="Q64" s="4"/>
      <c r="R64" s="4"/>
      <c r="S64" s="4"/>
      <c r="T64" s="4"/>
      <c r="U64" s="4"/>
      <c r="V64" s="4"/>
      <c r="W64" s="4"/>
      <c r="X64" s="4"/>
      <c r="Y64" s="9"/>
      <c r="Z64" s="9"/>
      <c r="AA64" s="9"/>
      <c r="AB64" s="9"/>
      <c r="AC64" s="9"/>
      <c r="AD64" s="9"/>
      <c r="AE64" s="9"/>
    </row>
    <row r="65" spans="2:32" x14ac:dyDescent="0.25">
      <c r="B65" s="4"/>
      <c r="E65" s="3"/>
      <c r="F65" s="3"/>
      <c r="G65" s="3"/>
      <c r="H65" s="3"/>
      <c r="L65" s="4"/>
      <c r="M65" s="4"/>
      <c r="N65" s="4"/>
      <c r="O65" s="4"/>
      <c r="Q65" s="9"/>
      <c r="R65" s="9"/>
      <c r="S65" s="9"/>
      <c r="T65" s="9"/>
      <c r="U65" s="9"/>
      <c r="V65" s="9"/>
      <c r="W65" s="9"/>
      <c r="X65" s="23"/>
      <c r="Y65" s="34" t="s">
        <v>119</v>
      </c>
      <c r="Z65" s="34">
        <f>Z12+Z14+Z17+Z22+Z24+Z26+Z28+Z37+Z39</f>
        <v>2604.6564480388424</v>
      </c>
      <c r="AA65" s="9"/>
      <c r="AB65" s="9"/>
      <c r="AC65" s="9"/>
      <c r="AD65" s="9"/>
      <c r="AE65" s="9"/>
    </row>
    <row r="66" spans="2:32" x14ac:dyDescent="0.25">
      <c r="B66" s="4"/>
      <c r="E66" s="3"/>
      <c r="F66" s="3"/>
      <c r="G66" s="3"/>
      <c r="H66" s="3"/>
      <c r="L66" s="4"/>
      <c r="M66" s="4"/>
      <c r="N66" s="4"/>
      <c r="O66" s="4"/>
      <c r="Q66" s="9"/>
      <c r="R66" s="9"/>
      <c r="S66" s="9"/>
      <c r="T66" s="9"/>
      <c r="U66" s="9"/>
      <c r="V66" s="9"/>
      <c r="W66" s="9"/>
      <c r="X66" s="9"/>
      <c r="Y66" s="35" t="s">
        <v>120</v>
      </c>
      <c r="Z66" s="34">
        <f>Z9+Z19+Z34</f>
        <v>2022.0588235294117</v>
      </c>
      <c r="AA66" s="9"/>
      <c r="AB66" s="9"/>
      <c r="AC66" s="9"/>
      <c r="AD66" s="9"/>
      <c r="AE66" s="9"/>
      <c r="AF66" s="18"/>
    </row>
    <row r="67" spans="2:32" x14ac:dyDescent="0.25">
      <c r="B67" s="4"/>
      <c r="E67" s="3"/>
      <c r="F67" s="3"/>
      <c r="G67" s="3"/>
      <c r="H67" s="3"/>
      <c r="I67" s="19"/>
      <c r="L67" s="4"/>
      <c r="M67" s="4"/>
      <c r="N67" s="4"/>
      <c r="O67" s="20"/>
      <c r="Q67" s="20"/>
      <c r="R67" s="20"/>
      <c r="S67" s="20"/>
      <c r="T67" s="20"/>
      <c r="U67" s="20"/>
      <c r="V67" s="20"/>
      <c r="W67" s="20"/>
      <c r="X67" s="20"/>
      <c r="Y67" s="34" t="s">
        <v>121</v>
      </c>
      <c r="Z67" s="34">
        <v>4640</v>
      </c>
      <c r="AA67" s="9"/>
      <c r="AB67" s="9"/>
      <c r="AC67" s="9"/>
      <c r="AD67" s="9"/>
      <c r="AE67" s="9"/>
      <c r="AF67" s="18"/>
    </row>
    <row r="68" spans="2:32" x14ac:dyDescent="0.25">
      <c r="B68" s="4"/>
      <c r="E68" s="3"/>
      <c r="F68" s="3"/>
      <c r="G68" s="3"/>
      <c r="H68" s="3"/>
      <c r="L68" s="4"/>
      <c r="M68" s="4"/>
      <c r="N68" s="4"/>
      <c r="O68" s="20"/>
      <c r="Q68" s="20"/>
      <c r="R68" s="20"/>
      <c r="S68" s="20"/>
      <c r="T68" s="20"/>
      <c r="U68" s="20"/>
      <c r="V68" s="20"/>
      <c r="W68" s="20"/>
      <c r="X68" s="20"/>
      <c r="Y68" s="34" t="s">
        <v>46</v>
      </c>
      <c r="Z68" s="34">
        <f>Z67/2</f>
        <v>2320</v>
      </c>
      <c r="AA68" s="9"/>
      <c r="AB68" s="9"/>
      <c r="AC68" s="9"/>
      <c r="AD68" s="9"/>
      <c r="AE68" s="9"/>
      <c r="AF68" s="18"/>
    </row>
    <row r="69" spans="2:32" x14ac:dyDescent="0.25">
      <c r="B69" s="4"/>
      <c r="E69" s="3"/>
      <c r="F69" s="3"/>
      <c r="G69" s="3"/>
      <c r="H69" s="3"/>
      <c r="L69" s="4"/>
      <c r="M69" s="4"/>
      <c r="N69" s="4"/>
      <c r="O69" s="4"/>
      <c r="Q69" s="9"/>
      <c r="R69" s="9"/>
      <c r="S69" s="9"/>
      <c r="T69" s="9"/>
      <c r="U69" s="9"/>
      <c r="V69" s="9"/>
      <c r="W69" s="9"/>
      <c r="X69" s="9"/>
      <c r="Y69" s="1"/>
      <c r="Z69" s="1"/>
      <c r="AA69" s="9"/>
      <c r="AB69" s="9"/>
      <c r="AC69" s="9"/>
      <c r="AD69" s="9"/>
      <c r="AE69" s="9"/>
      <c r="AF69" s="18"/>
    </row>
    <row r="70" spans="2:32" x14ac:dyDescent="0.25">
      <c r="F70" s="1"/>
      <c r="G70" s="1"/>
      <c r="H70" s="1"/>
      <c r="J70" s="1" t="s">
        <v>32</v>
      </c>
      <c r="Q70" s="9"/>
      <c r="R70" s="4"/>
      <c r="S70" s="9"/>
      <c r="T70" s="5"/>
      <c r="U70" s="9"/>
      <c r="V70" s="4"/>
      <c r="W70" s="4"/>
      <c r="X70" s="9"/>
      <c r="Y70" s="9"/>
      <c r="Z70" s="9"/>
      <c r="AA70" s="9"/>
      <c r="AB70" s="9"/>
      <c r="AC70" s="9"/>
      <c r="AD70" s="9"/>
      <c r="AE70" s="9"/>
    </row>
    <row r="71" spans="2:32" x14ac:dyDescent="0.25">
      <c r="R71" s="4"/>
      <c r="S71" s="17"/>
      <c r="T71" s="17"/>
      <c r="U71" s="9"/>
      <c r="V71" s="4"/>
      <c r="W71" s="4"/>
      <c r="X71" s="9"/>
      <c r="Y71" s="39" t="s">
        <v>220</v>
      </c>
      <c r="Z71" s="9">
        <f>Z67</f>
        <v>4640</v>
      </c>
      <c r="AA71" s="9"/>
      <c r="AB71" s="9"/>
      <c r="AC71" s="9"/>
      <c r="AD71" s="9"/>
      <c r="AE71" s="9"/>
    </row>
    <row r="72" spans="2:32" x14ac:dyDescent="0.25">
      <c r="Q72" s="9"/>
      <c r="R72" s="4"/>
      <c r="S72" s="16"/>
      <c r="T72" s="16"/>
      <c r="U72" s="9"/>
      <c r="V72" s="4"/>
      <c r="W72" s="4"/>
      <c r="X72" s="9"/>
      <c r="Y72" s="39" t="s">
        <v>221</v>
      </c>
      <c r="Z72" s="9">
        <f>Z71*1.18</f>
        <v>5475.2</v>
      </c>
      <c r="AA72" s="9"/>
      <c r="AB72" s="9"/>
      <c r="AC72" s="9"/>
      <c r="AD72" s="9"/>
      <c r="AE72" s="9"/>
    </row>
    <row r="73" spans="2:32" x14ac:dyDescent="0.25">
      <c r="R73" s="4"/>
      <c r="S73" s="16"/>
      <c r="T73" s="16"/>
      <c r="Y73" s="39" t="s">
        <v>222</v>
      </c>
      <c r="Z73" s="9">
        <f>Z71*1.3</f>
        <v>6032</v>
      </c>
      <c r="AA73" s="9"/>
      <c r="AB73" s="9"/>
      <c r="AC73" s="9"/>
      <c r="AD73" s="9"/>
      <c r="AE73" s="9"/>
    </row>
    <row r="74" spans="2:32" x14ac:dyDescent="0.25">
      <c r="T74" s="5"/>
      <c r="Y74" s="39" t="s">
        <v>223</v>
      </c>
      <c r="Z74" s="9">
        <f>Z71*0.85</f>
        <v>3944</v>
      </c>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31" x14ac:dyDescent="0.25">
      <c r="T81" s="5"/>
      <c r="Y81" s="9"/>
      <c r="Z81" s="9"/>
      <c r="AA81" s="9"/>
      <c r="AB81" s="9"/>
      <c r="AC81" s="9"/>
      <c r="AD81" s="9"/>
      <c r="AE81" s="9"/>
    </row>
    <row r="82" spans="20:31" x14ac:dyDescent="0.25">
      <c r="T82" s="5"/>
    </row>
    <row r="83" spans="20:31" x14ac:dyDescent="0.25">
      <c r="T83" s="5"/>
    </row>
    <row r="84" spans="20:31" x14ac:dyDescent="0.25">
      <c r="T84" s="5"/>
    </row>
    <row r="85" spans="20:31" x14ac:dyDescent="0.25">
      <c r="T85" s="5"/>
    </row>
    <row r="86" spans="20:31" x14ac:dyDescent="0.25">
      <c r="T86" s="5"/>
    </row>
  </sheetData>
  <autoFilter ref="B6:AE63" xr:uid="{65FA6D9B-E0AF-46CD-BA0D-86BB75FE6AB0}"/>
  <hyperlinks>
    <hyperlink ref="P12" r:id="rId1" xr:uid="{AE9D4203-E2EF-4156-A06F-3AD7E01BC99E}"/>
    <hyperlink ref="P17" r:id="rId2" xr:uid="{B24072E3-8F8C-4083-BF09-CBFE0C86E348}"/>
    <hyperlink ref="P22" r:id="rId3" xr:uid="{5140DB6F-3F3E-4207-A8E4-657650C9B302}"/>
    <hyperlink ref="P24" r:id="rId4" xr:uid="{94659946-5D45-41AE-B414-3515EDE6FBFD}"/>
    <hyperlink ref="P28" r:id="rId5" xr:uid="{E80E16B5-22A9-4707-9265-EEC4209360D6}"/>
    <hyperlink ref="P26" r:id="rId6" xr:uid="{BAE5588E-915F-40BA-B9FE-8C209DE675D7}"/>
    <hyperlink ref="P39" r:id="rId7" xr:uid="{95EC9DC6-2B23-4CEB-8C87-A16A846442A6}"/>
    <hyperlink ref="P37" r:id="rId8" xr:uid="{2A041C13-5AA1-44FD-8B8C-A5D93289C911}"/>
    <hyperlink ref="P50" r:id="rId9" xr:uid="{C693867F-FF52-4294-A19C-D9D140792494}"/>
    <hyperlink ref="P51" r:id="rId10" xr:uid="{BE71EF7F-F629-4168-9F25-2E75E1F905F8}"/>
    <hyperlink ref="P52" r:id="rId11" xr:uid="{70FFAA9C-D3A7-4E1E-8D29-2A0831A73AD7}"/>
    <hyperlink ref="P14" r:id="rId12" xr:uid="{D6478AA4-F329-414D-BA5F-5AB8A218D759}"/>
  </hyperlinks>
  <pageMargins left="0.7" right="0.7" top="0.75" bottom="0.75" header="0.3" footer="0.3"/>
  <pageSetup paperSize="9" orientation="portrait" r:id="rId1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30617-500D-411B-80DE-89D1C6B204A8}">
  <sheetPr>
    <tabColor rgb="FFFFFF00"/>
  </sheetPr>
  <dimension ref="B1:AK84"/>
  <sheetViews>
    <sheetView topLeftCell="A6" zoomScale="80" zoomScaleNormal="80" workbookViewId="0">
      <selection activeCell="J17" sqref="J1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202</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24"/>
      <c r="H7" s="24"/>
      <c r="J7" s="1" t="s">
        <v>69</v>
      </c>
      <c r="K7" s="4"/>
      <c r="L7" s="4"/>
      <c r="M7" s="4"/>
      <c r="N7" s="4"/>
      <c r="O7" s="4"/>
      <c r="P7" s="27"/>
      <c r="Q7" s="25">
        <v>0</v>
      </c>
      <c r="R7" s="25">
        <v>0</v>
      </c>
      <c r="S7" s="12">
        <f t="shared" ref="S7:S59" si="0">+Q7*R7</f>
        <v>0</v>
      </c>
      <c r="T7" s="5">
        <v>0</v>
      </c>
      <c r="U7" s="12">
        <f t="shared" ref="U7:U59" si="1">S7*(1-T7)</f>
        <v>0</v>
      </c>
      <c r="V7" s="25" t="s">
        <v>10</v>
      </c>
      <c r="W7" s="11">
        <f>IFERROR(VLOOKUP(V7,[1]Curr!$B$2:$C$13,2,FALSE),0)</f>
        <v>11.3</v>
      </c>
      <c r="X7" s="12">
        <f t="shared" ref="X7:X59" si="2">U7*W7</f>
        <v>0</v>
      </c>
      <c r="Y7" s="26">
        <f t="shared" ref="Y7:Y21" si="3">Q7</f>
        <v>0</v>
      </c>
      <c r="Z7" s="12">
        <f t="shared" ref="Z7:Z59" si="4">+Y7*R7</f>
        <v>0</v>
      </c>
      <c r="AA7" s="4" t="s">
        <v>10</v>
      </c>
      <c r="AB7" s="11">
        <f>IFERROR(VLOOKUP(AA7,Curr!$B$2:$C$13,2,FALSE),0)</f>
        <v>11.3</v>
      </c>
      <c r="AC7" s="12">
        <f t="shared" ref="AC7:AC59" si="5">+Y7*AB7*R7</f>
        <v>0</v>
      </c>
      <c r="AD7" s="12">
        <f t="shared" ref="AD7:AD59" si="6">+AC7-X7</f>
        <v>0</v>
      </c>
      <c r="AE7" s="13">
        <f t="shared" ref="AE7:AE59" si="7">IFERROR(AD7/AC7,0)</f>
        <v>0</v>
      </c>
    </row>
    <row r="8" spans="2:36" x14ac:dyDescent="0.25">
      <c r="B8" s="4"/>
      <c r="C8" s="1" t="s">
        <v>64</v>
      </c>
      <c r="D8" s="1" t="s">
        <v>66</v>
      </c>
      <c r="E8" s="3"/>
      <c r="F8" s="3"/>
      <c r="G8" s="24"/>
      <c r="H8" s="24"/>
      <c r="J8" s="1" t="s">
        <v>70</v>
      </c>
      <c r="K8" s="4"/>
      <c r="L8" s="4"/>
      <c r="M8" s="4"/>
      <c r="N8" s="4"/>
      <c r="O8" s="4"/>
      <c r="P8" s="27"/>
      <c r="Q8" s="25">
        <v>0</v>
      </c>
      <c r="R8" s="25">
        <v>0</v>
      </c>
      <c r="S8" s="12">
        <f t="shared" si="0"/>
        <v>0</v>
      </c>
      <c r="T8" s="5">
        <v>0</v>
      </c>
      <c r="U8" s="12">
        <f t="shared" si="1"/>
        <v>0</v>
      </c>
      <c r="V8" s="25" t="s">
        <v>10</v>
      </c>
      <c r="W8" s="11">
        <f>IFERROR(VLOOKUP(V8,[1]Curr!$B$2:$C$13,2,FALSE),0)</f>
        <v>11.3</v>
      </c>
      <c r="X8" s="12">
        <f t="shared" si="2"/>
        <v>0</v>
      </c>
      <c r="Y8" s="26">
        <f>Q8/0.8</f>
        <v>0</v>
      </c>
      <c r="Z8" s="12">
        <f t="shared" si="4"/>
        <v>0</v>
      </c>
      <c r="AA8" s="4" t="s">
        <v>10</v>
      </c>
      <c r="AB8" s="11">
        <f>IFERROR(VLOOKUP(AA8,Curr!$B$2:$C$13,2,FALSE),0)</f>
        <v>11.3</v>
      </c>
      <c r="AC8" s="12">
        <f t="shared" si="5"/>
        <v>0</v>
      </c>
      <c r="AD8" s="12">
        <f t="shared" si="6"/>
        <v>0</v>
      </c>
      <c r="AE8" s="13">
        <f t="shared" si="7"/>
        <v>0</v>
      </c>
    </row>
    <row r="9" spans="2:36" x14ac:dyDescent="0.25">
      <c r="B9" s="4"/>
      <c r="C9" s="1" t="s">
        <v>64</v>
      </c>
      <c r="D9" s="1" t="s">
        <v>67</v>
      </c>
      <c r="E9" s="3"/>
      <c r="F9" s="3"/>
      <c r="G9" s="24"/>
      <c r="H9" s="24"/>
      <c r="J9" s="1" t="s">
        <v>124</v>
      </c>
      <c r="K9" s="4"/>
      <c r="L9" s="4"/>
      <c r="M9" s="4"/>
      <c r="N9" s="4"/>
      <c r="O9" s="4"/>
      <c r="P9" s="33"/>
      <c r="Q9" s="25">
        <v>600</v>
      </c>
      <c r="R9" s="25">
        <v>1</v>
      </c>
      <c r="S9" s="12">
        <f t="shared" si="0"/>
        <v>600</v>
      </c>
      <c r="T9" s="5">
        <v>0</v>
      </c>
      <c r="U9" s="12">
        <f t="shared" si="1"/>
        <v>600</v>
      </c>
      <c r="V9" s="25" t="s">
        <v>10</v>
      </c>
      <c r="W9" s="11">
        <f>IFERROR(VLOOKUP(V9,[1]Curr!$B$2:$C$13,2,FALSE),0)</f>
        <v>11.3</v>
      </c>
      <c r="X9" s="12">
        <f t="shared" si="2"/>
        <v>6780</v>
      </c>
      <c r="Y9" s="26">
        <f>Q9/0.8</f>
        <v>750</v>
      </c>
      <c r="Z9" s="12">
        <f t="shared" si="4"/>
        <v>750</v>
      </c>
      <c r="AA9" s="4" t="s">
        <v>10</v>
      </c>
      <c r="AB9" s="11">
        <f>IFERROR(VLOOKUP(AA9,Curr!$B$2:$C$13,2,FALSE),0)</f>
        <v>11.3</v>
      </c>
      <c r="AC9" s="12">
        <f t="shared" si="5"/>
        <v>8475</v>
      </c>
      <c r="AD9" s="12">
        <f t="shared" si="6"/>
        <v>1695</v>
      </c>
      <c r="AE9" s="13">
        <f t="shared" si="7"/>
        <v>0.2</v>
      </c>
    </row>
    <row r="10" spans="2:36" x14ac:dyDescent="0.25">
      <c r="B10" s="4"/>
      <c r="C10" s="1" t="s">
        <v>64</v>
      </c>
      <c r="D10" s="1" t="s">
        <v>68</v>
      </c>
      <c r="E10" s="3"/>
      <c r="F10" s="3"/>
      <c r="G10" s="24"/>
      <c r="H10" s="24"/>
      <c r="J10" s="1" t="s">
        <v>71</v>
      </c>
      <c r="K10" s="4"/>
      <c r="L10" s="4"/>
      <c r="M10" s="4"/>
      <c r="N10" s="4"/>
      <c r="O10" s="4"/>
      <c r="P10" s="27"/>
      <c r="Q10" s="25">
        <v>0</v>
      </c>
      <c r="R10" s="25">
        <v>0</v>
      </c>
      <c r="S10" s="12">
        <f t="shared" si="0"/>
        <v>0</v>
      </c>
      <c r="T10" s="5">
        <v>0</v>
      </c>
      <c r="U10" s="12">
        <f t="shared" si="1"/>
        <v>0</v>
      </c>
      <c r="V10" s="25" t="s">
        <v>10</v>
      </c>
      <c r="W10" s="11">
        <f>IFERROR(VLOOKUP(V10,[1]Curr!$B$2:$C$13,2,FALSE),0)</f>
        <v>11.3</v>
      </c>
      <c r="X10" s="12">
        <f t="shared" si="2"/>
        <v>0</v>
      </c>
      <c r="Y10" s="26">
        <f t="shared" si="3"/>
        <v>0</v>
      </c>
      <c r="Z10" s="12">
        <f t="shared" si="4"/>
        <v>0</v>
      </c>
      <c r="AA10" s="4" t="s">
        <v>10</v>
      </c>
      <c r="AB10" s="11">
        <f>IFERROR(VLOOKUP(AA10,Curr!$B$2:$C$13,2,FALSE),0)</f>
        <v>11.3</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IFERROR(VLOOKUP(V11,[1]Curr!$B$2:$C$13,2,FALSE),0)</f>
        <v>11.3</v>
      </c>
      <c r="X11" s="12">
        <f t="shared" si="2"/>
        <v>0</v>
      </c>
      <c r="Y11" s="26">
        <f t="shared" si="3"/>
        <v>0</v>
      </c>
      <c r="Z11" s="12">
        <f t="shared" si="4"/>
        <v>0</v>
      </c>
      <c r="AA11" s="4" t="s">
        <v>10</v>
      </c>
      <c r="AB11" s="11">
        <f>IFERROR(VLOOKUP(AA11,Curr!$B$2:$C$13,2,FALSE),0)</f>
        <v>11.3</v>
      </c>
      <c r="AC11" s="12">
        <f t="shared" si="5"/>
        <v>0</v>
      </c>
      <c r="AD11" s="12">
        <f t="shared" si="6"/>
        <v>0</v>
      </c>
      <c r="AE11" s="13">
        <f t="shared" si="7"/>
        <v>0</v>
      </c>
    </row>
    <row r="12" spans="2:36" x14ac:dyDescent="0.25">
      <c r="B12" s="4"/>
      <c r="C12" s="1" t="s">
        <v>76</v>
      </c>
      <c r="D12" s="1" t="s">
        <v>75</v>
      </c>
      <c r="E12" s="3"/>
      <c r="F12" s="3"/>
      <c r="G12" s="24"/>
      <c r="H12" s="24"/>
      <c r="J12" s="1" t="s">
        <v>101</v>
      </c>
      <c r="K12" s="4"/>
      <c r="L12" s="4"/>
      <c r="M12" s="4"/>
      <c r="N12" s="4"/>
      <c r="O12" s="4" t="s">
        <v>42</v>
      </c>
      <c r="P12" s="33" t="s">
        <v>102</v>
      </c>
      <c r="Q12" s="25">
        <v>188</v>
      </c>
      <c r="R12" s="25">
        <v>2</v>
      </c>
      <c r="S12" s="12">
        <f t="shared" si="0"/>
        <v>376</v>
      </c>
      <c r="T12" s="5">
        <v>0.2</v>
      </c>
      <c r="U12" s="12">
        <f t="shared" si="1"/>
        <v>300.8</v>
      </c>
      <c r="V12" s="25" t="s">
        <v>10</v>
      </c>
      <c r="W12" s="11">
        <v>11.3</v>
      </c>
      <c r="X12" s="12">
        <f t="shared" si="2"/>
        <v>3399.0400000000004</v>
      </c>
      <c r="Y12" s="26">
        <v>188</v>
      </c>
      <c r="Z12" s="12">
        <f t="shared" si="4"/>
        <v>376</v>
      </c>
      <c r="AA12" s="4" t="s">
        <v>10</v>
      </c>
      <c r="AB12" s="11">
        <f>IFERROR(VLOOKUP(AA12,Curr!$B$2:$C$13,2,FALSE),0)</f>
        <v>11.3</v>
      </c>
      <c r="AC12" s="12">
        <f t="shared" si="5"/>
        <v>4248.8</v>
      </c>
      <c r="AD12" s="12">
        <f t="shared" si="6"/>
        <v>849.75999999999976</v>
      </c>
      <c r="AE12" s="13">
        <f t="shared" si="7"/>
        <v>0.19999999999999993</v>
      </c>
    </row>
    <row r="13" spans="2:36" x14ac:dyDescent="0.25">
      <c r="B13" s="4"/>
      <c r="C13" s="1" t="s">
        <v>76</v>
      </c>
      <c r="D13" s="1" t="s">
        <v>68</v>
      </c>
      <c r="E13" s="3"/>
      <c r="F13" s="3"/>
      <c r="G13" s="24"/>
      <c r="H13" s="24"/>
      <c r="J13" s="1" t="s">
        <v>71</v>
      </c>
      <c r="K13" s="4"/>
      <c r="L13" s="4"/>
      <c r="M13" s="4"/>
      <c r="N13" s="4"/>
      <c r="O13" s="4"/>
      <c r="P13" s="27"/>
      <c r="Q13" s="25">
        <v>0</v>
      </c>
      <c r="R13" s="25">
        <v>0</v>
      </c>
      <c r="S13" s="12">
        <f t="shared" si="0"/>
        <v>0</v>
      </c>
      <c r="T13" s="5">
        <v>0</v>
      </c>
      <c r="U13" s="12">
        <f t="shared" si="1"/>
        <v>0</v>
      </c>
      <c r="V13" s="25" t="s">
        <v>10</v>
      </c>
      <c r="W13" s="11">
        <f>IFERROR(VLOOKUP(V13,[1]Curr!$B$2:$C$13,2,FALSE),0)</f>
        <v>11.3</v>
      </c>
      <c r="X13" s="12">
        <f t="shared" si="2"/>
        <v>0</v>
      </c>
      <c r="Y13" s="26">
        <f t="shared" ref="Y13:Y14" si="8">Q13</f>
        <v>0</v>
      </c>
      <c r="Z13" s="12">
        <f t="shared" si="4"/>
        <v>0</v>
      </c>
      <c r="AA13" s="4" t="s">
        <v>10</v>
      </c>
      <c r="AB13" s="11">
        <f>IFERROR(VLOOKUP(AA13,Curr!$B$2:$C$13,2,FALSE),0)</f>
        <v>11.3</v>
      </c>
      <c r="AC13" s="12">
        <f t="shared" si="5"/>
        <v>0</v>
      </c>
      <c r="AD13" s="12">
        <f t="shared" si="6"/>
        <v>0</v>
      </c>
      <c r="AE13" s="13">
        <f t="shared" si="7"/>
        <v>0</v>
      </c>
    </row>
    <row r="14" spans="2:36" x14ac:dyDescent="0.25">
      <c r="B14" s="4"/>
      <c r="C14" s="1" t="s">
        <v>76</v>
      </c>
      <c r="D14" s="1" t="s">
        <v>75</v>
      </c>
      <c r="E14" s="3"/>
      <c r="F14" s="3"/>
      <c r="G14" s="24"/>
      <c r="H14" s="24"/>
      <c r="J14" s="1" t="s">
        <v>218</v>
      </c>
      <c r="K14" s="4"/>
      <c r="L14" s="4"/>
      <c r="M14" s="4"/>
      <c r="N14" s="4"/>
      <c r="O14" s="4" t="s">
        <v>42</v>
      </c>
      <c r="P14" s="33" t="s">
        <v>219</v>
      </c>
      <c r="Q14" s="25">
        <v>109</v>
      </c>
      <c r="R14" s="25">
        <v>2</v>
      </c>
      <c r="S14" s="12">
        <f t="shared" si="0"/>
        <v>218</v>
      </c>
      <c r="T14" s="5">
        <v>0.2</v>
      </c>
      <c r="U14" s="12">
        <f t="shared" si="1"/>
        <v>174.4</v>
      </c>
      <c r="V14" s="25" t="s">
        <v>10</v>
      </c>
      <c r="W14" s="11">
        <f>IFERROR(VLOOKUP(V14,[1]Curr!$B$2:$C$13,2,FALSE),0)</f>
        <v>11.3</v>
      </c>
      <c r="X14" s="12">
        <f t="shared" si="2"/>
        <v>1970.7200000000003</v>
      </c>
      <c r="Y14" s="26">
        <f t="shared" si="8"/>
        <v>109</v>
      </c>
      <c r="Z14" s="12">
        <f t="shared" si="4"/>
        <v>218</v>
      </c>
      <c r="AA14" s="4" t="s">
        <v>10</v>
      </c>
      <c r="AB14" s="11">
        <f>IFERROR(VLOOKUP(AA14,Curr!$B$2:$C$13,2,FALSE),0)</f>
        <v>11.3</v>
      </c>
      <c r="AC14" s="12">
        <f t="shared" si="5"/>
        <v>2463.4</v>
      </c>
      <c r="AD14" s="12">
        <f t="shared" si="6"/>
        <v>492.67999999999984</v>
      </c>
      <c r="AE14" s="13">
        <f t="shared" si="7"/>
        <v>0.19999999999999993</v>
      </c>
    </row>
    <row r="15" spans="2:36" x14ac:dyDescent="0.25">
      <c r="B15" s="4"/>
      <c r="E15" s="3"/>
      <c r="F15" s="3"/>
      <c r="G15" s="24"/>
      <c r="H15" s="24"/>
      <c r="K15" s="4"/>
      <c r="L15" s="4"/>
      <c r="M15" s="4"/>
      <c r="N15" s="4"/>
      <c r="O15" s="4"/>
      <c r="P15" s="27"/>
      <c r="Q15" s="25"/>
      <c r="R15" s="25"/>
      <c r="S15" s="12">
        <f t="shared" si="0"/>
        <v>0</v>
      </c>
      <c r="T15" s="5">
        <v>0</v>
      </c>
      <c r="U15" s="12">
        <f t="shared" si="1"/>
        <v>0</v>
      </c>
      <c r="V15" s="25" t="s">
        <v>10</v>
      </c>
      <c r="W15" s="11">
        <f>IFERROR(VLOOKUP(V15,[1]Curr!$B$2:$C$13,2,FALSE),0)</f>
        <v>11.3</v>
      </c>
      <c r="X15" s="12">
        <f t="shared" si="2"/>
        <v>0</v>
      </c>
      <c r="Y15" s="26">
        <f t="shared" si="3"/>
        <v>0</v>
      </c>
      <c r="Z15" s="12">
        <f t="shared" si="4"/>
        <v>0</v>
      </c>
      <c r="AA15" s="4" t="s">
        <v>10</v>
      </c>
      <c r="AB15" s="11">
        <f>IFERROR(VLOOKUP(AA15,Curr!$B$2:$C$13,2,FALSE),0)</f>
        <v>11.3</v>
      </c>
      <c r="AC15" s="12">
        <f t="shared" si="5"/>
        <v>0</v>
      </c>
      <c r="AD15" s="12">
        <f t="shared" si="6"/>
        <v>0</v>
      </c>
      <c r="AE15" s="13">
        <f t="shared" si="7"/>
        <v>0</v>
      </c>
    </row>
    <row r="16" spans="2:36" x14ac:dyDescent="0.25">
      <c r="B16" s="4"/>
      <c r="C16" s="1" t="s">
        <v>77</v>
      </c>
      <c r="D16" s="1" t="s">
        <v>66</v>
      </c>
      <c r="E16" s="3"/>
      <c r="F16" s="3"/>
      <c r="G16" s="24"/>
      <c r="H16" s="24"/>
      <c r="J16" s="1" t="s">
        <v>107</v>
      </c>
      <c r="K16" s="4"/>
      <c r="L16" s="4"/>
      <c r="M16" s="4"/>
      <c r="N16" s="4"/>
      <c r="O16" s="4"/>
      <c r="P16" s="27"/>
      <c r="Q16" s="25">
        <v>0</v>
      </c>
      <c r="R16" s="25">
        <v>0</v>
      </c>
      <c r="S16" s="12">
        <f t="shared" si="0"/>
        <v>0</v>
      </c>
      <c r="T16" s="5">
        <v>0</v>
      </c>
      <c r="U16" s="12">
        <f t="shared" si="1"/>
        <v>0</v>
      </c>
      <c r="V16" s="25" t="s">
        <v>10</v>
      </c>
      <c r="W16" s="11">
        <f>IFERROR(VLOOKUP(V16,[1]Curr!$B$2:$C$13,2,FALSE),0)</f>
        <v>11.3</v>
      </c>
      <c r="X16" s="12">
        <f t="shared" si="2"/>
        <v>0</v>
      </c>
      <c r="Y16" s="26">
        <f t="shared" si="3"/>
        <v>0</v>
      </c>
      <c r="Z16" s="12">
        <f t="shared" si="4"/>
        <v>0</v>
      </c>
      <c r="AA16" s="4" t="s">
        <v>10</v>
      </c>
      <c r="AB16" s="11">
        <f>IFERROR(VLOOKUP(AA16,Curr!$B$2:$C$13,2,FALSE),0)</f>
        <v>11.3</v>
      </c>
      <c r="AC16" s="12">
        <f t="shared" si="5"/>
        <v>0</v>
      </c>
      <c r="AD16" s="12">
        <f t="shared" si="6"/>
        <v>0</v>
      </c>
      <c r="AE16" s="13">
        <f t="shared" si="7"/>
        <v>0</v>
      </c>
    </row>
    <row r="17" spans="2:31" x14ac:dyDescent="0.25">
      <c r="B17" s="4"/>
      <c r="C17" s="1" t="s">
        <v>77</v>
      </c>
      <c r="D17" s="1" t="s">
        <v>75</v>
      </c>
      <c r="E17" s="3"/>
      <c r="F17" s="3"/>
      <c r="G17" s="24"/>
      <c r="H17" s="24"/>
      <c r="J17" s="1" t="s">
        <v>79</v>
      </c>
      <c r="K17" s="4"/>
      <c r="L17" s="4"/>
      <c r="M17" s="4"/>
      <c r="N17" s="4"/>
      <c r="O17" s="4" t="s">
        <v>42</v>
      </c>
      <c r="P17" s="33" t="s">
        <v>80</v>
      </c>
      <c r="Q17" s="25">
        <v>1830</v>
      </c>
      <c r="R17" s="25">
        <v>2</v>
      </c>
      <c r="S17" s="12">
        <f t="shared" si="0"/>
        <v>3660</v>
      </c>
      <c r="T17" s="5">
        <v>0.2</v>
      </c>
      <c r="U17" s="12">
        <f t="shared" si="1"/>
        <v>2928</v>
      </c>
      <c r="V17" s="25" t="s">
        <v>8</v>
      </c>
      <c r="W17" s="11">
        <f>IFERROR(VLOOKUP(V17,[1]Curr!$B$2:$C$13,2,FALSE),0)</f>
        <v>1</v>
      </c>
      <c r="X17" s="12">
        <f t="shared" si="2"/>
        <v>2928</v>
      </c>
      <c r="Y17" s="26">
        <f>Q17/11.3/0.9</f>
        <v>179.9410029498525</v>
      </c>
      <c r="Z17" s="12">
        <f t="shared" si="4"/>
        <v>359.88200589970501</v>
      </c>
      <c r="AA17" s="4" t="s">
        <v>10</v>
      </c>
      <c r="AB17" s="11">
        <f>IFERROR(VLOOKUP(AA17,Curr!$B$2:$C$13,2,FALSE),0)</f>
        <v>11.3</v>
      </c>
      <c r="AC17" s="12">
        <f t="shared" si="5"/>
        <v>4066.666666666667</v>
      </c>
      <c r="AD17" s="12">
        <f t="shared" si="6"/>
        <v>1138.666666666667</v>
      </c>
      <c r="AE17" s="13">
        <f t="shared" si="7"/>
        <v>0.28000000000000003</v>
      </c>
    </row>
    <row r="18" spans="2:31" x14ac:dyDescent="0.25">
      <c r="B18" s="4"/>
      <c r="C18" s="1" t="s">
        <v>77</v>
      </c>
      <c r="D18" s="1" t="s">
        <v>66</v>
      </c>
      <c r="E18" s="3"/>
      <c r="F18" s="3"/>
      <c r="G18" s="24"/>
      <c r="H18" s="24"/>
      <c r="J18" s="1" t="s">
        <v>106</v>
      </c>
      <c r="K18" s="4"/>
      <c r="L18" s="4"/>
      <c r="M18" s="4"/>
      <c r="N18" s="4"/>
      <c r="O18" s="4"/>
      <c r="P18" s="33"/>
      <c r="Q18" s="25">
        <v>0</v>
      </c>
      <c r="R18" s="25">
        <v>0</v>
      </c>
      <c r="S18" s="12">
        <f t="shared" si="0"/>
        <v>0</v>
      </c>
      <c r="T18" s="5">
        <v>0</v>
      </c>
      <c r="U18" s="12">
        <f t="shared" si="1"/>
        <v>0</v>
      </c>
      <c r="V18" s="25" t="s">
        <v>10</v>
      </c>
      <c r="W18" s="11">
        <f>IFERROR(VLOOKUP(V18,[1]Curr!$B$2:$C$13,2,FALSE),0)</f>
        <v>11.3</v>
      </c>
      <c r="X18" s="12">
        <f t="shared" si="2"/>
        <v>0</v>
      </c>
      <c r="Y18" s="26">
        <f t="shared" ref="Y18:Y20" si="9">Q18</f>
        <v>0</v>
      </c>
      <c r="Z18" s="12">
        <f t="shared" si="4"/>
        <v>0</v>
      </c>
      <c r="AA18" s="4" t="s">
        <v>10</v>
      </c>
      <c r="AB18" s="11">
        <f>IFERROR(VLOOKUP(AA18,Curr!$B$2:$C$13,2,FALSE),0)</f>
        <v>11.3</v>
      </c>
      <c r="AC18" s="12">
        <f t="shared" si="5"/>
        <v>0</v>
      </c>
      <c r="AD18" s="12">
        <f t="shared" si="6"/>
        <v>0</v>
      </c>
      <c r="AE18" s="13">
        <f t="shared" si="7"/>
        <v>0</v>
      </c>
    </row>
    <row r="19" spans="2:31" x14ac:dyDescent="0.25">
      <c r="B19" s="4"/>
      <c r="C19" s="1" t="s">
        <v>77</v>
      </c>
      <c r="D19" s="1" t="s">
        <v>67</v>
      </c>
      <c r="E19" s="3"/>
      <c r="F19" s="3"/>
      <c r="G19" s="24"/>
      <c r="H19" s="24"/>
      <c r="J19" s="1" t="s">
        <v>109</v>
      </c>
      <c r="K19" s="4"/>
      <c r="L19" s="4"/>
      <c r="M19" s="4"/>
      <c r="N19" s="4"/>
      <c r="O19" s="4" t="s">
        <v>42</v>
      </c>
      <c r="P19" s="33"/>
      <c r="Q19" s="25">
        <v>500</v>
      </c>
      <c r="R19" s="25">
        <v>1</v>
      </c>
      <c r="S19" s="12">
        <f t="shared" si="0"/>
        <v>500</v>
      </c>
      <c r="T19" s="5">
        <v>0</v>
      </c>
      <c r="U19" s="12">
        <f t="shared" si="1"/>
        <v>500</v>
      </c>
      <c r="V19" s="25" t="s">
        <v>10</v>
      </c>
      <c r="W19" s="11">
        <f>IFERROR(VLOOKUP(V19,[1]Curr!$B$2:$C$13,2,FALSE),0)</f>
        <v>11.3</v>
      </c>
      <c r="X19" s="12">
        <f t="shared" si="2"/>
        <v>5650</v>
      </c>
      <c r="Y19" s="26">
        <f>Q19/0.8</f>
        <v>625</v>
      </c>
      <c r="Z19" s="12">
        <f t="shared" si="4"/>
        <v>625</v>
      </c>
      <c r="AA19" s="4" t="s">
        <v>10</v>
      </c>
      <c r="AB19" s="11">
        <f>IFERROR(VLOOKUP(AA19,Curr!$B$2:$C$13,2,FALSE),0)</f>
        <v>11.3</v>
      </c>
      <c r="AC19" s="12">
        <f t="shared" si="5"/>
        <v>7062.5</v>
      </c>
      <c r="AD19" s="12">
        <f t="shared" si="6"/>
        <v>1412.5</v>
      </c>
      <c r="AE19" s="13">
        <f t="shared" si="7"/>
        <v>0.2</v>
      </c>
    </row>
    <row r="20" spans="2:31" x14ac:dyDescent="0.25">
      <c r="B20" s="4"/>
      <c r="C20" s="1" t="s">
        <v>77</v>
      </c>
      <c r="D20" s="1" t="s">
        <v>68</v>
      </c>
      <c r="E20" s="3"/>
      <c r="F20" s="3"/>
      <c r="G20" s="24"/>
      <c r="H20" s="24"/>
      <c r="J20" s="1" t="s">
        <v>81</v>
      </c>
      <c r="K20" s="4"/>
      <c r="L20" s="4"/>
      <c r="M20" s="4"/>
      <c r="N20" s="4"/>
      <c r="O20" s="4"/>
      <c r="P20" s="27"/>
      <c r="Q20" s="25">
        <v>0</v>
      </c>
      <c r="R20" s="25">
        <v>0</v>
      </c>
      <c r="S20" s="12">
        <f t="shared" si="0"/>
        <v>0</v>
      </c>
      <c r="T20" s="5">
        <v>0</v>
      </c>
      <c r="U20" s="12">
        <f t="shared" si="1"/>
        <v>0</v>
      </c>
      <c r="V20" s="25" t="s">
        <v>10</v>
      </c>
      <c r="W20" s="11">
        <f>IFERROR(VLOOKUP(V20,[1]Curr!$B$2:$C$13,2,FALSE),0)</f>
        <v>11.3</v>
      </c>
      <c r="X20" s="12">
        <f t="shared" si="2"/>
        <v>0</v>
      </c>
      <c r="Y20" s="26">
        <f t="shared" si="9"/>
        <v>0</v>
      </c>
      <c r="Z20" s="12">
        <f t="shared" si="4"/>
        <v>0</v>
      </c>
      <c r="AA20" s="4" t="s">
        <v>10</v>
      </c>
      <c r="AB20" s="11">
        <f>IFERROR(VLOOKUP(AA20,Curr!$B$2:$C$13,2,FALSE),0)</f>
        <v>11.3</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IFERROR(VLOOKUP(V21,[1]Curr!$B$2:$C$13,2,FALSE),0)</f>
        <v>11.3</v>
      </c>
      <c r="X21" s="12">
        <f t="shared" si="2"/>
        <v>0</v>
      </c>
      <c r="Y21" s="26">
        <f t="shared" si="3"/>
        <v>0</v>
      </c>
      <c r="Z21" s="12">
        <f t="shared" si="4"/>
        <v>0</v>
      </c>
      <c r="AA21" s="4" t="s">
        <v>10</v>
      </c>
      <c r="AB21" s="11">
        <f>IFERROR(VLOOKUP(AA21,Curr!$B$2:$C$13,2,FALSE),0)</f>
        <v>11.3</v>
      </c>
      <c r="AC21" s="12">
        <f t="shared" si="5"/>
        <v>0</v>
      </c>
      <c r="AD21" s="12">
        <f t="shared" si="6"/>
        <v>0</v>
      </c>
      <c r="AE21" s="13">
        <f t="shared" si="7"/>
        <v>0</v>
      </c>
    </row>
    <row r="22" spans="2:31" x14ac:dyDescent="0.25">
      <c r="B22" s="4"/>
      <c r="C22" s="1" t="s">
        <v>78</v>
      </c>
      <c r="D22" s="1" t="s">
        <v>75</v>
      </c>
      <c r="E22" s="3"/>
      <c r="F22" s="3"/>
      <c r="G22" s="24"/>
      <c r="H22" s="24"/>
      <c r="J22" s="1" t="s">
        <v>88</v>
      </c>
      <c r="K22" s="4"/>
      <c r="L22" s="4"/>
      <c r="M22" s="4"/>
      <c r="N22" s="4"/>
      <c r="O22" s="4" t="s">
        <v>42</v>
      </c>
      <c r="P22" s="33" t="s">
        <v>89</v>
      </c>
      <c r="Q22" s="25">
        <v>1695</v>
      </c>
      <c r="R22" s="25">
        <v>2</v>
      </c>
      <c r="S22" s="12">
        <f t="shared" si="0"/>
        <v>3390</v>
      </c>
      <c r="T22" s="5">
        <v>0.2</v>
      </c>
      <c r="U22" s="12">
        <f t="shared" si="1"/>
        <v>2712</v>
      </c>
      <c r="V22" s="25" t="s">
        <v>8</v>
      </c>
      <c r="W22" s="11">
        <f>IFERROR(VLOOKUP(V22,[1]Curr!$B$2:$C$13,2,FALSE),0)</f>
        <v>1</v>
      </c>
      <c r="X22" s="12">
        <f t="shared" si="2"/>
        <v>2712</v>
      </c>
      <c r="Y22" s="26">
        <f>Q22/11.3</f>
        <v>150</v>
      </c>
      <c r="Z22" s="12">
        <f t="shared" si="4"/>
        <v>300</v>
      </c>
      <c r="AA22" s="4" t="s">
        <v>10</v>
      </c>
      <c r="AB22" s="11">
        <f>IFERROR(VLOOKUP(AA22,Curr!$B$2:$C$13,2,FALSE),0)</f>
        <v>11.3</v>
      </c>
      <c r="AC22" s="12">
        <f t="shared" si="5"/>
        <v>3390</v>
      </c>
      <c r="AD22" s="12">
        <f t="shared" si="6"/>
        <v>678</v>
      </c>
      <c r="AE22" s="13">
        <f t="shared" si="7"/>
        <v>0.2</v>
      </c>
    </row>
    <row r="23" spans="2:31" x14ac:dyDescent="0.25">
      <c r="B23" s="4"/>
      <c r="C23" s="1" t="s">
        <v>78</v>
      </c>
      <c r="D23" s="1" t="s">
        <v>68</v>
      </c>
      <c r="E23" s="3"/>
      <c r="F23" s="3"/>
      <c r="G23" s="24"/>
      <c r="H23" s="24"/>
      <c r="J23" s="1" t="s">
        <v>81</v>
      </c>
      <c r="K23" s="4"/>
      <c r="L23" s="4"/>
      <c r="M23" s="4"/>
      <c r="N23" s="4"/>
      <c r="O23" s="4"/>
      <c r="P23" s="33"/>
      <c r="Q23" s="25">
        <v>0</v>
      </c>
      <c r="R23" s="25">
        <v>0</v>
      </c>
      <c r="S23" s="12">
        <f t="shared" si="0"/>
        <v>0</v>
      </c>
      <c r="T23" s="5">
        <v>0</v>
      </c>
      <c r="U23" s="12">
        <f t="shared" si="1"/>
        <v>0</v>
      </c>
      <c r="V23" s="25" t="s">
        <v>10</v>
      </c>
      <c r="W23" s="11">
        <f>IFERROR(VLOOKUP(V23,[1]Curr!$B$2:$C$13,2,FALSE),0)</f>
        <v>11.3</v>
      </c>
      <c r="X23" s="12">
        <f t="shared" si="2"/>
        <v>0</v>
      </c>
      <c r="Y23" s="26">
        <f t="shared" ref="Y23:Y24" si="10">Q23</f>
        <v>0</v>
      </c>
      <c r="Z23" s="12">
        <f t="shared" si="4"/>
        <v>0</v>
      </c>
      <c r="AA23" s="4" t="s">
        <v>10</v>
      </c>
      <c r="AB23" s="11">
        <f>IFERROR(VLOOKUP(AA23,Curr!$B$2:$C$13,2,FALSE),0)</f>
        <v>11.3</v>
      </c>
      <c r="AC23" s="12">
        <f t="shared" si="5"/>
        <v>0</v>
      </c>
      <c r="AD23" s="12">
        <f t="shared" si="6"/>
        <v>0</v>
      </c>
      <c r="AE23" s="13">
        <f t="shared" si="7"/>
        <v>0</v>
      </c>
    </row>
    <row r="24" spans="2:31" x14ac:dyDescent="0.25">
      <c r="B24" s="4"/>
      <c r="C24" s="1" t="s">
        <v>78</v>
      </c>
      <c r="D24" s="1" t="s">
        <v>75</v>
      </c>
      <c r="E24" s="3"/>
      <c r="F24" s="3"/>
      <c r="G24" s="24"/>
      <c r="H24" s="24"/>
      <c r="J24" s="1" t="s">
        <v>216</v>
      </c>
      <c r="K24" s="4"/>
      <c r="L24" s="4"/>
      <c r="M24" s="4"/>
      <c r="N24" s="4"/>
      <c r="O24" s="4" t="s">
        <v>42</v>
      </c>
      <c r="P24" s="33" t="s">
        <v>217</v>
      </c>
      <c r="Q24" s="25">
        <v>120</v>
      </c>
      <c r="R24" s="25">
        <v>2</v>
      </c>
      <c r="S24" s="12">
        <f t="shared" si="0"/>
        <v>240</v>
      </c>
      <c r="T24" s="5">
        <v>0.2</v>
      </c>
      <c r="U24" s="12">
        <f t="shared" si="1"/>
        <v>192</v>
      </c>
      <c r="V24" s="25" t="s">
        <v>10</v>
      </c>
      <c r="W24" s="11">
        <f>IFERROR(VLOOKUP(V24,[2]Curr!$B$2:$C$13,2,FALSE),0)</f>
        <v>11.3</v>
      </c>
      <c r="X24" s="12">
        <f t="shared" si="2"/>
        <v>2169.6000000000004</v>
      </c>
      <c r="Y24" s="26">
        <f t="shared" si="10"/>
        <v>120</v>
      </c>
      <c r="Z24" s="12">
        <f t="shared" si="4"/>
        <v>240</v>
      </c>
      <c r="AA24" s="4" t="s">
        <v>10</v>
      </c>
      <c r="AB24" s="11">
        <f>IFERROR(VLOOKUP(AA24,Curr!$B$2:$C$13,2,FALSE),0)</f>
        <v>11.3</v>
      </c>
      <c r="AC24" s="12">
        <f t="shared" si="5"/>
        <v>2712</v>
      </c>
      <c r="AD24" s="12">
        <f t="shared" si="6"/>
        <v>542.39999999999964</v>
      </c>
      <c r="AE24" s="13">
        <f t="shared" si="7"/>
        <v>0.19999999999999987</v>
      </c>
    </row>
    <row r="25" spans="2:31" x14ac:dyDescent="0.25">
      <c r="B25" s="4"/>
      <c r="E25" s="3"/>
      <c r="F25" s="3"/>
      <c r="G25" s="24"/>
      <c r="H25" s="24"/>
      <c r="K25" s="4"/>
      <c r="L25" s="4"/>
      <c r="M25" s="4"/>
      <c r="N25" s="4"/>
      <c r="O25" s="4"/>
      <c r="P25" s="27"/>
      <c r="Q25" s="25"/>
      <c r="R25" s="25"/>
      <c r="S25" s="12">
        <f t="shared" si="0"/>
        <v>0</v>
      </c>
      <c r="T25" s="5">
        <v>0</v>
      </c>
      <c r="U25" s="12">
        <f t="shared" si="1"/>
        <v>0</v>
      </c>
      <c r="V25" s="25" t="s">
        <v>10</v>
      </c>
      <c r="W25" s="11">
        <f>IFERROR(VLOOKUP(V25,[1]Curr!$B$2:$C$13,2,FALSE),0)</f>
        <v>11.3</v>
      </c>
      <c r="X25" s="12">
        <f t="shared" si="2"/>
        <v>0</v>
      </c>
      <c r="Y25" s="26">
        <f t="shared" ref="Y25:Y59" si="11">Q25</f>
        <v>0</v>
      </c>
      <c r="Z25" s="12">
        <f t="shared" si="4"/>
        <v>0</v>
      </c>
      <c r="AA25" s="4" t="s">
        <v>10</v>
      </c>
      <c r="AB25" s="11">
        <f>IFERROR(VLOOKUP(AA25,Curr!$B$2:$C$13,2,FALSE),0)</f>
        <v>11.3</v>
      </c>
      <c r="AC25" s="12">
        <f t="shared" si="5"/>
        <v>0</v>
      </c>
      <c r="AD25" s="12">
        <f t="shared" si="6"/>
        <v>0</v>
      </c>
      <c r="AE25" s="13">
        <f t="shared" si="7"/>
        <v>0</v>
      </c>
    </row>
    <row r="26" spans="2:31" x14ac:dyDescent="0.25">
      <c r="B26" s="4"/>
      <c r="C26" s="1" t="s">
        <v>82</v>
      </c>
      <c r="D26" s="1" t="s">
        <v>66</v>
      </c>
      <c r="E26" s="3"/>
      <c r="F26" s="3"/>
      <c r="G26" s="24"/>
      <c r="H26" s="24"/>
      <c r="J26" s="1" t="s">
        <v>137</v>
      </c>
      <c r="K26" s="4"/>
      <c r="L26" s="4"/>
      <c r="M26" s="4"/>
      <c r="N26" s="4"/>
      <c r="O26" s="4"/>
      <c r="P26" s="33"/>
      <c r="Q26" s="25">
        <v>0</v>
      </c>
      <c r="R26" s="25">
        <v>0</v>
      </c>
      <c r="S26" s="12">
        <f t="shared" si="0"/>
        <v>0</v>
      </c>
      <c r="T26" s="5">
        <v>0</v>
      </c>
      <c r="U26" s="12">
        <f t="shared" si="1"/>
        <v>0</v>
      </c>
      <c r="V26" s="25" t="s">
        <v>10</v>
      </c>
      <c r="W26" s="11">
        <f>IFERROR(VLOOKUP(V26,[1]Curr!$B$2:$C$13,2,FALSE),0)</f>
        <v>11.3</v>
      </c>
      <c r="X26" s="12">
        <f t="shared" si="2"/>
        <v>0</v>
      </c>
      <c r="Y26" s="26">
        <f t="shared" si="11"/>
        <v>0</v>
      </c>
      <c r="Z26" s="12">
        <f t="shared" si="4"/>
        <v>0</v>
      </c>
      <c r="AA26" s="4" t="s">
        <v>10</v>
      </c>
      <c r="AB26" s="11">
        <f>IFERROR(VLOOKUP(AA26,Curr!$B$2:$C$13,2,FALSE),0)</f>
        <v>11.3</v>
      </c>
      <c r="AC26" s="12">
        <f t="shared" si="5"/>
        <v>0</v>
      </c>
      <c r="AD26" s="12">
        <f t="shared" si="6"/>
        <v>0</v>
      </c>
      <c r="AE26" s="13">
        <f t="shared" si="7"/>
        <v>0</v>
      </c>
    </row>
    <row r="27" spans="2:31" x14ac:dyDescent="0.25">
      <c r="B27" s="4"/>
      <c r="C27" s="1" t="s">
        <v>82</v>
      </c>
      <c r="D27" s="1" t="s">
        <v>75</v>
      </c>
      <c r="E27" s="3"/>
      <c r="F27" s="3"/>
      <c r="G27" s="24"/>
      <c r="H27" s="24"/>
      <c r="J27" s="1" t="s">
        <v>141</v>
      </c>
      <c r="K27" s="4"/>
      <c r="L27" s="4"/>
      <c r="M27" s="4"/>
      <c r="N27" s="4"/>
      <c r="O27" s="4" t="s">
        <v>42</v>
      </c>
      <c r="P27" s="33" t="s">
        <v>142</v>
      </c>
      <c r="Q27" s="25">
        <v>375</v>
      </c>
      <c r="R27" s="25">
        <v>2</v>
      </c>
      <c r="S27" s="12">
        <f t="shared" si="0"/>
        <v>750</v>
      </c>
      <c r="T27" s="5">
        <v>0.2</v>
      </c>
      <c r="U27" s="12">
        <f t="shared" si="1"/>
        <v>600</v>
      </c>
      <c r="V27" s="25" t="s">
        <v>10</v>
      </c>
      <c r="W27" s="11">
        <f>IFERROR(VLOOKUP(V27,[1]Curr!$B$2:$C$13,2,FALSE),0)</f>
        <v>11.3</v>
      </c>
      <c r="X27" s="12">
        <f t="shared" si="2"/>
        <v>6780</v>
      </c>
      <c r="Y27" s="26">
        <f t="shared" si="11"/>
        <v>375</v>
      </c>
      <c r="Z27" s="12">
        <f t="shared" si="4"/>
        <v>750</v>
      </c>
      <c r="AA27" s="4" t="s">
        <v>10</v>
      </c>
      <c r="AB27" s="11">
        <f>IFERROR(VLOOKUP(AA27,Curr!$B$2:$C$13,2,FALSE),0)</f>
        <v>11.3</v>
      </c>
      <c r="AC27" s="12">
        <f t="shared" si="5"/>
        <v>8475</v>
      </c>
      <c r="AD27" s="12">
        <f t="shared" si="6"/>
        <v>1695</v>
      </c>
      <c r="AE27" s="13">
        <f t="shared" si="7"/>
        <v>0.2</v>
      </c>
    </row>
    <row r="28" spans="2:31" x14ac:dyDescent="0.25">
      <c r="B28" s="4"/>
      <c r="E28" s="3"/>
      <c r="F28" s="3"/>
      <c r="G28" s="24"/>
      <c r="H28" s="24"/>
      <c r="K28" s="4"/>
      <c r="L28" s="4"/>
      <c r="M28" s="4"/>
      <c r="N28" s="4"/>
      <c r="O28" s="4"/>
      <c r="P28" s="27"/>
      <c r="Q28" s="25"/>
      <c r="R28" s="25"/>
      <c r="S28" s="12">
        <f t="shared" si="0"/>
        <v>0</v>
      </c>
      <c r="T28" s="5">
        <v>0</v>
      </c>
      <c r="U28" s="12">
        <f t="shared" si="1"/>
        <v>0</v>
      </c>
      <c r="V28" s="25" t="s">
        <v>10</v>
      </c>
      <c r="W28" s="11">
        <f>IFERROR(VLOOKUP(V28,[1]Curr!$B$2:$C$13,2,FALSE),0)</f>
        <v>11.3</v>
      </c>
      <c r="X28" s="12">
        <f t="shared" si="2"/>
        <v>0</v>
      </c>
      <c r="Y28" s="26">
        <f t="shared" si="11"/>
        <v>0</v>
      </c>
      <c r="Z28" s="12">
        <f t="shared" si="4"/>
        <v>0</v>
      </c>
      <c r="AA28" s="4" t="s">
        <v>10</v>
      </c>
      <c r="AB28" s="11">
        <f>IFERROR(VLOOKUP(AA28,Curr!$B$2:$C$13,2,FALSE),0)</f>
        <v>11.3</v>
      </c>
      <c r="AC28" s="12">
        <f t="shared" si="5"/>
        <v>0</v>
      </c>
      <c r="AD28" s="12">
        <f t="shared" si="6"/>
        <v>0</v>
      </c>
      <c r="AE28" s="13">
        <f t="shared" si="7"/>
        <v>0</v>
      </c>
    </row>
    <row r="29" spans="2:31" x14ac:dyDescent="0.25">
      <c r="B29" s="4"/>
      <c r="C29" s="1" t="s">
        <v>83</v>
      </c>
      <c r="D29" s="1" t="s">
        <v>66</v>
      </c>
      <c r="E29" s="3"/>
      <c r="F29" s="3"/>
      <c r="G29" s="24"/>
      <c r="H29" s="24"/>
      <c r="J29" s="1" t="s">
        <v>136</v>
      </c>
      <c r="K29" s="4"/>
      <c r="L29" s="4"/>
      <c r="M29" s="4"/>
      <c r="N29" s="4"/>
      <c r="O29" s="4"/>
      <c r="P29" s="27"/>
      <c r="Q29" s="25">
        <v>0</v>
      </c>
      <c r="R29" s="25">
        <v>0</v>
      </c>
      <c r="S29" s="12">
        <f t="shared" si="0"/>
        <v>0</v>
      </c>
      <c r="T29" s="5">
        <v>0</v>
      </c>
      <c r="U29" s="12">
        <f t="shared" si="1"/>
        <v>0</v>
      </c>
      <c r="V29" s="25" t="s">
        <v>10</v>
      </c>
      <c r="W29" s="11">
        <f>IFERROR(VLOOKUP(V29,[1]Curr!$B$2:$C$13,2,FALSE),0)</f>
        <v>11.3</v>
      </c>
      <c r="X29" s="12">
        <f t="shared" si="2"/>
        <v>0</v>
      </c>
      <c r="Y29" s="26">
        <f t="shared" si="11"/>
        <v>0</v>
      </c>
      <c r="Z29" s="12">
        <f t="shared" si="4"/>
        <v>0</v>
      </c>
      <c r="AA29" s="4" t="s">
        <v>10</v>
      </c>
      <c r="AB29" s="11">
        <f>IFERROR(VLOOKUP(AA29,Curr!$B$2:$C$13,2,FALSE),0)</f>
        <v>11.3</v>
      </c>
      <c r="AC29" s="12">
        <f t="shared" si="5"/>
        <v>0</v>
      </c>
      <c r="AD29" s="12">
        <f t="shared" si="6"/>
        <v>0</v>
      </c>
      <c r="AE29" s="13">
        <f t="shared" si="7"/>
        <v>0</v>
      </c>
    </row>
    <row r="30" spans="2:31" x14ac:dyDescent="0.25">
      <c r="B30" s="4"/>
      <c r="C30" s="1" t="s">
        <v>83</v>
      </c>
      <c r="D30" s="1" t="s">
        <v>66</v>
      </c>
      <c r="E30" s="3"/>
      <c r="F30" s="3"/>
      <c r="G30" s="24"/>
      <c r="H30" s="24"/>
      <c r="J30" s="1" t="s">
        <v>144</v>
      </c>
      <c r="K30" s="4"/>
      <c r="L30" s="4"/>
      <c r="M30" s="4"/>
      <c r="N30" s="4"/>
      <c r="O30" s="4"/>
      <c r="P30" s="27"/>
      <c r="Q30" s="25">
        <v>0</v>
      </c>
      <c r="R30" s="25">
        <v>0</v>
      </c>
      <c r="S30" s="12">
        <f t="shared" si="0"/>
        <v>0</v>
      </c>
      <c r="T30" s="5">
        <v>0</v>
      </c>
      <c r="U30" s="12">
        <f t="shared" si="1"/>
        <v>0</v>
      </c>
      <c r="V30" s="25" t="s">
        <v>10</v>
      </c>
      <c r="W30" s="11">
        <f>IFERROR(VLOOKUP(V30,[1]Curr!$B$2:$C$13,2,FALSE),0)</f>
        <v>11.3</v>
      </c>
      <c r="X30" s="12">
        <f t="shared" si="2"/>
        <v>0</v>
      </c>
      <c r="Y30" s="26">
        <f t="shared" si="11"/>
        <v>0</v>
      </c>
      <c r="Z30" s="12">
        <f t="shared" si="4"/>
        <v>0</v>
      </c>
      <c r="AA30" s="4" t="s">
        <v>10</v>
      </c>
      <c r="AB30" s="11">
        <f>IFERROR(VLOOKUP(AA30,Curr!$B$2:$C$13,2,FALSE),0)</f>
        <v>11.3</v>
      </c>
      <c r="AC30" s="12">
        <f t="shared" si="5"/>
        <v>0</v>
      </c>
      <c r="AD30" s="12">
        <f t="shared" si="6"/>
        <v>0</v>
      </c>
      <c r="AE30" s="13">
        <f t="shared" si="7"/>
        <v>0</v>
      </c>
    </row>
    <row r="31" spans="2:31" x14ac:dyDescent="0.25">
      <c r="B31" s="4"/>
      <c r="C31" s="1" t="s">
        <v>83</v>
      </c>
      <c r="D31" s="1" t="s">
        <v>143</v>
      </c>
      <c r="E31" s="3"/>
      <c r="F31" s="3"/>
      <c r="G31" s="24"/>
      <c r="H31" s="24"/>
      <c r="J31" s="1" t="s">
        <v>145</v>
      </c>
      <c r="K31" s="4"/>
      <c r="L31" s="4"/>
      <c r="M31" s="4"/>
      <c r="N31" s="4"/>
      <c r="O31" s="4"/>
      <c r="P31" s="33"/>
      <c r="Q31" s="25">
        <v>0</v>
      </c>
      <c r="R31" s="25">
        <v>0</v>
      </c>
      <c r="S31" s="12">
        <f t="shared" si="0"/>
        <v>0</v>
      </c>
      <c r="T31" s="5">
        <v>0</v>
      </c>
      <c r="U31" s="12">
        <f t="shared" si="1"/>
        <v>0</v>
      </c>
      <c r="V31" s="25" t="s">
        <v>10</v>
      </c>
      <c r="W31" s="11">
        <f>IFERROR(VLOOKUP(V31,[1]Curr!$B$2:$C$13,2,FALSE),0)</f>
        <v>11.3</v>
      </c>
      <c r="X31" s="12">
        <f t="shared" si="2"/>
        <v>0</v>
      </c>
      <c r="Y31" s="26">
        <f t="shared" si="11"/>
        <v>0</v>
      </c>
      <c r="Z31" s="12">
        <f t="shared" si="4"/>
        <v>0</v>
      </c>
      <c r="AA31" s="4" t="s">
        <v>10</v>
      </c>
      <c r="AB31" s="11">
        <f>IFERROR(VLOOKUP(AA31,Curr!$B$2:$C$13,2,FALSE),0)</f>
        <v>11.3</v>
      </c>
      <c r="AC31" s="12">
        <f t="shared" si="5"/>
        <v>0</v>
      </c>
      <c r="AD31" s="12">
        <f t="shared" si="6"/>
        <v>0</v>
      </c>
      <c r="AE31" s="13">
        <f t="shared" si="7"/>
        <v>0</v>
      </c>
    </row>
    <row r="32" spans="2:31" x14ac:dyDescent="0.25">
      <c r="B32" s="4"/>
      <c r="C32" s="1" t="s">
        <v>83</v>
      </c>
      <c r="D32" s="1" t="s">
        <v>66</v>
      </c>
      <c r="E32" s="3"/>
      <c r="F32" s="3"/>
      <c r="G32" s="24"/>
      <c r="H32" s="24"/>
      <c r="J32" s="1" t="s">
        <v>146</v>
      </c>
      <c r="K32" s="4"/>
      <c r="L32" s="4"/>
      <c r="M32" s="4"/>
      <c r="N32" s="4"/>
      <c r="O32" s="4"/>
      <c r="P32" s="33"/>
      <c r="Q32" s="25">
        <v>0</v>
      </c>
      <c r="R32" s="25">
        <v>0</v>
      </c>
      <c r="S32" s="12">
        <f t="shared" si="0"/>
        <v>0</v>
      </c>
      <c r="T32" s="5">
        <v>0</v>
      </c>
      <c r="U32" s="12">
        <f t="shared" si="1"/>
        <v>0</v>
      </c>
      <c r="V32" s="25" t="s">
        <v>10</v>
      </c>
      <c r="W32" s="11">
        <f>IFERROR(VLOOKUP(V32,[1]Curr!$B$2:$C$13,2,FALSE),0)</f>
        <v>11.3</v>
      </c>
      <c r="X32" s="12">
        <f t="shared" si="2"/>
        <v>0</v>
      </c>
      <c r="Y32" s="26">
        <f t="shared" si="11"/>
        <v>0</v>
      </c>
      <c r="Z32" s="12">
        <f t="shared" si="4"/>
        <v>0</v>
      </c>
      <c r="AA32" s="4" t="s">
        <v>10</v>
      </c>
      <c r="AB32" s="11">
        <f>IFERROR(VLOOKUP(AA32,Curr!$B$2:$C$13,2,FALSE),0)</f>
        <v>11.3</v>
      </c>
      <c r="AC32" s="12">
        <f t="shared" si="5"/>
        <v>0</v>
      </c>
      <c r="AD32" s="12">
        <f t="shared" si="6"/>
        <v>0</v>
      </c>
      <c r="AE32" s="13">
        <f t="shared" si="7"/>
        <v>0</v>
      </c>
    </row>
    <row r="33" spans="2:31" x14ac:dyDescent="0.25">
      <c r="B33" s="4"/>
      <c r="C33" s="1" t="s">
        <v>83</v>
      </c>
      <c r="D33" s="1" t="s">
        <v>67</v>
      </c>
      <c r="E33" s="3"/>
      <c r="F33" s="3"/>
      <c r="G33" s="24"/>
      <c r="H33" s="24"/>
      <c r="J33" s="1" t="s">
        <v>199</v>
      </c>
      <c r="K33" s="4"/>
      <c r="L33" s="4"/>
      <c r="M33" s="4"/>
      <c r="N33" s="4"/>
      <c r="O33" s="4"/>
      <c r="P33" s="33"/>
      <c r="Q33" s="25">
        <v>400</v>
      </c>
      <c r="R33" s="25">
        <v>1</v>
      </c>
      <c r="S33" s="12">
        <f t="shared" si="0"/>
        <v>400</v>
      </c>
      <c r="T33" s="5">
        <v>0</v>
      </c>
      <c r="U33" s="12">
        <f t="shared" si="1"/>
        <v>400</v>
      </c>
      <c r="V33" s="25" t="s">
        <v>10</v>
      </c>
      <c r="W33" s="11">
        <f>IFERROR(VLOOKUP(V33,[1]Curr!$B$2:$C$13,2,FALSE),0)</f>
        <v>11.3</v>
      </c>
      <c r="X33" s="12">
        <f t="shared" si="2"/>
        <v>4520</v>
      </c>
      <c r="Y33" s="26">
        <f>Q33/0.85</f>
        <v>470.58823529411768</v>
      </c>
      <c r="Z33" s="12">
        <f t="shared" si="4"/>
        <v>470.58823529411768</v>
      </c>
      <c r="AA33" s="4" t="s">
        <v>10</v>
      </c>
      <c r="AB33" s="11">
        <f>IFERROR(VLOOKUP(AA33,Curr!$B$2:$C$13,2,FALSE),0)</f>
        <v>11.3</v>
      </c>
      <c r="AC33" s="12">
        <f t="shared" si="5"/>
        <v>5317.6470588235297</v>
      </c>
      <c r="AD33" s="12">
        <f t="shared" si="6"/>
        <v>797.64705882352973</v>
      </c>
      <c r="AE33" s="13">
        <f t="shared" si="7"/>
        <v>0.15000000000000005</v>
      </c>
    </row>
    <row r="34" spans="2:31" x14ac:dyDescent="0.25">
      <c r="B34" s="4"/>
      <c r="C34" s="1" t="s">
        <v>83</v>
      </c>
      <c r="D34" s="1" t="s">
        <v>68</v>
      </c>
      <c r="E34" s="3"/>
      <c r="F34" s="3"/>
      <c r="G34" s="24"/>
      <c r="H34" s="24"/>
      <c r="J34" s="1" t="s">
        <v>147</v>
      </c>
      <c r="K34" s="4"/>
      <c r="L34" s="4"/>
      <c r="M34" s="4"/>
      <c r="N34" s="4"/>
      <c r="O34" s="4"/>
      <c r="P34" s="33"/>
      <c r="Q34" s="25">
        <v>0</v>
      </c>
      <c r="R34" s="25">
        <v>0</v>
      </c>
      <c r="S34" s="12">
        <f t="shared" si="0"/>
        <v>0</v>
      </c>
      <c r="T34" s="5">
        <v>0</v>
      </c>
      <c r="U34" s="12">
        <f t="shared" si="1"/>
        <v>0</v>
      </c>
      <c r="V34" s="25" t="s">
        <v>10</v>
      </c>
      <c r="W34" s="11">
        <f>IFERROR(VLOOKUP(V34,[1]Curr!$B$2:$C$13,2,FALSE),0)</f>
        <v>11.3</v>
      </c>
      <c r="X34" s="12">
        <f t="shared" si="2"/>
        <v>0</v>
      </c>
      <c r="Y34" s="26">
        <f t="shared" ref="Y34" si="12">Q34</f>
        <v>0</v>
      </c>
      <c r="Z34" s="12">
        <f t="shared" si="4"/>
        <v>0</v>
      </c>
      <c r="AA34" s="4" t="s">
        <v>10</v>
      </c>
      <c r="AB34" s="11">
        <f>IFERROR(VLOOKUP(AA34,Curr!$B$2:$C$13,2,FALSE),0)</f>
        <v>11.3</v>
      </c>
      <c r="AC34" s="12">
        <f t="shared" si="5"/>
        <v>0</v>
      </c>
      <c r="AD34" s="12">
        <f t="shared" si="6"/>
        <v>0</v>
      </c>
      <c r="AE34" s="13">
        <f t="shared" si="7"/>
        <v>0</v>
      </c>
    </row>
    <row r="35" spans="2:31" x14ac:dyDescent="0.25">
      <c r="B35" s="4"/>
      <c r="E35" s="3"/>
      <c r="F35" s="3"/>
      <c r="G35" s="24"/>
      <c r="H35" s="24"/>
      <c r="K35" s="4"/>
      <c r="L35" s="4"/>
      <c r="M35" s="4"/>
      <c r="N35" s="4"/>
      <c r="O35" s="4"/>
      <c r="P35" s="33"/>
      <c r="Q35" s="25"/>
      <c r="R35" s="25"/>
      <c r="S35" s="12">
        <f t="shared" si="0"/>
        <v>0</v>
      </c>
      <c r="T35" s="5">
        <v>0</v>
      </c>
      <c r="U35" s="12">
        <f t="shared" si="1"/>
        <v>0</v>
      </c>
      <c r="V35" s="25" t="s">
        <v>10</v>
      </c>
      <c r="W35" s="11">
        <f>IFERROR(VLOOKUP(V35,[1]Curr!$B$2:$C$13,2,FALSE),0)</f>
        <v>11.3</v>
      </c>
      <c r="X35" s="12">
        <f t="shared" si="2"/>
        <v>0</v>
      </c>
      <c r="Y35" s="26">
        <f t="shared" si="11"/>
        <v>0</v>
      </c>
      <c r="Z35" s="12">
        <f t="shared" si="4"/>
        <v>0</v>
      </c>
      <c r="AA35" s="4" t="s">
        <v>10</v>
      </c>
      <c r="AB35" s="11">
        <f>IFERROR(VLOOKUP(AA35,Curr!$B$2:$C$13,2,FALSE),0)</f>
        <v>11.3</v>
      </c>
      <c r="AC35" s="12">
        <f t="shared" si="5"/>
        <v>0</v>
      </c>
      <c r="AD35" s="12">
        <f t="shared" si="6"/>
        <v>0</v>
      </c>
      <c r="AE35" s="13">
        <f t="shared" si="7"/>
        <v>0</v>
      </c>
    </row>
    <row r="36" spans="2:31" x14ac:dyDescent="0.25">
      <c r="B36" s="4"/>
      <c r="C36" s="1" t="s">
        <v>84</v>
      </c>
      <c r="D36" s="1" t="s">
        <v>75</v>
      </c>
      <c r="E36" s="3"/>
      <c r="F36" s="3"/>
      <c r="G36" s="24"/>
      <c r="H36" s="24"/>
      <c r="J36" s="1" t="s">
        <v>148</v>
      </c>
      <c r="K36" s="4"/>
      <c r="L36" s="4"/>
      <c r="M36" s="4"/>
      <c r="N36" s="4"/>
      <c r="O36" s="4" t="s">
        <v>42</v>
      </c>
      <c r="P36" s="33" t="s">
        <v>149</v>
      </c>
      <c r="Q36" s="25">
        <v>34</v>
      </c>
      <c r="R36" s="25">
        <v>2</v>
      </c>
      <c r="S36" s="12">
        <f t="shared" si="0"/>
        <v>68</v>
      </c>
      <c r="T36" s="5">
        <v>0.15</v>
      </c>
      <c r="U36" s="12">
        <f t="shared" si="1"/>
        <v>57.8</v>
      </c>
      <c r="V36" s="25" t="s">
        <v>10</v>
      </c>
      <c r="W36" s="11">
        <f>IFERROR(VLOOKUP(V36,[1]Curr!$B$2:$C$13,2,FALSE),0)</f>
        <v>11.3</v>
      </c>
      <c r="X36" s="12">
        <f t="shared" si="2"/>
        <v>653.14</v>
      </c>
      <c r="Y36" s="26">
        <f t="shared" si="11"/>
        <v>34</v>
      </c>
      <c r="Z36" s="12">
        <f t="shared" si="4"/>
        <v>68</v>
      </c>
      <c r="AA36" s="4" t="s">
        <v>10</v>
      </c>
      <c r="AB36" s="11">
        <f>IFERROR(VLOOKUP(AA36,Curr!$B$2:$C$13,2,FALSE),0)</f>
        <v>11.3</v>
      </c>
      <c r="AC36" s="12">
        <f t="shared" si="5"/>
        <v>768.40000000000009</v>
      </c>
      <c r="AD36" s="12">
        <f t="shared" si="6"/>
        <v>115.2600000000001</v>
      </c>
      <c r="AE36" s="13">
        <f t="shared" si="7"/>
        <v>0.15000000000000011</v>
      </c>
    </row>
    <row r="37" spans="2:31" x14ac:dyDescent="0.25">
      <c r="B37" s="4"/>
      <c r="C37" s="1" t="s">
        <v>84</v>
      </c>
      <c r="D37" s="1" t="s">
        <v>68</v>
      </c>
      <c r="E37" s="3"/>
      <c r="F37" s="3"/>
      <c r="G37" s="24"/>
      <c r="H37" s="24"/>
      <c r="J37" s="1" t="s">
        <v>147</v>
      </c>
      <c r="K37" s="4"/>
      <c r="L37" s="4"/>
      <c r="M37" s="4"/>
      <c r="N37" s="4"/>
      <c r="O37" s="4"/>
      <c r="P37" s="27"/>
      <c r="Q37" s="25">
        <v>0</v>
      </c>
      <c r="R37" s="25">
        <v>0</v>
      </c>
      <c r="S37" s="12">
        <f t="shared" si="0"/>
        <v>0</v>
      </c>
      <c r="T37" s="5">
        <v>0</v>
      </c>
      <c r="U37" s="12">
        <f t="shared" si="1"/>
        <v>0</v>
      </c>
      <c r="V37" s="25" t="s">
        <v>10</v>
      </c>
      <c r="W37" s="11">
        <f>IFERROR(VLOOKUP(V37,[1]Curr!$B$2:$C$13,2,FALSE),0)</f>
        <v>11.3</v>
      </c>
      <c r="X37" s="12">
        <f t="shared" si="2"/>
        <v>0</v>
      </c>
      <c r="Y37" s="26">
        <f t="shared" si="11"/>
        <v>0</v>
      </c>
      <c r="Z37" s="12">
        <f t="shared" si="4"/>
        <v>0</v>
      </c>
      <c r="AA37" s="4" t="s">
        <v>10</v>
      </c>
      <c r="AB37" s="11">
        <f>IFERROR(VLOOKUP(AA37,Curr!$B$2:$C$13,2,FALSE),0)</f>
        <v>11.3</v>
      </c>
      <c r="AC37" s="12">
        <f t="shared" si="5"/>
        <v>0</v>
      </c>
      <c r="AD37" s="12">
        <f t="shared" si="6"/>
        <v>0</v>
      </c>
      <c r="AE37" s="13">
        <f t="shared" si="7"/>
        <v>0</v>
      </c>
    </row>
    <row r="38" spans="2:31" x14ac:dyDescent="0.25">
      <c r="B38" s="4"/>
      <c r="C38" s="1" t="s">
        <v>84</v>
      </c>
      <c r="D38" s="1" t="s">
        <v>75</v>
      </c>
      <c r="E38" s="3"/>
      <c r="F38" s="3"/>
      <c r="G38" s="24"/>
      <c r="H38" s="24"/>
      <c r="J38" s="1" t="s">
        <v>150</v>
      </c>
      <c r="K38" s="4"/>
      <c r="L38" s="4"/>
      <c r="M38" s="4"/>
      <c r="N38" s="4"/>
      <c r="O38" s="4" t="s">
        <v>42</v>
      </c>
      <c r="P38" s="33" t="s">
        <v>151</v>
      </c>
      <c r="Q38" s="25">
        <v>2290</v>
      </c>
      <c r="R38" s="25">
        <v>2</v>
      </c>
      <c r="S38" s="12">
        <f t="shared" si="0"/>
        <v>4580</v>
      </c>
      <c r="T38" s="5">
        <v>0.15</v>
      </c>
      <c r="U38" s="12">
        <f t="shared" si="1"/>
        <v>3893</v>
      </c>
      <c r="V38" s="25" t="s">
        <v>8</v>
      </c>
      <c r="W38" s="11">
        <f>IFERROR(VLOOKUP(V38,[1]Curr!$B$2:$C$13,2,FALSE),0)</f>
        <v>1</v>
      </c>
      <c r="X38" s="12">
        <f t="shared" si="2"/>
        <v>3893</v>
      </c>
      <c r="Y38" s="26">
        <f>Q38/11.3</f>
        <v>202.65486725663715</v>
      </c>
      <c r="Z38" s="12">
        <f t="shared" si="4"/>
        <v>405.30973451327429</v>
      </c>
      <c r="AA38" s="4" t="s">
        <v>10</v>
      </c>
      <c r="AB38" s="11">
        <f>IFERROR(VLOOKUP(AA38,Curr!$B$2:$C$13,2,FALSE),0)</f>
        <v>11.3</v>
      </c>
      <c r="AC38" s="12">
        <f t="shared" si="5"/>
        <v>4580</v>
      </c>
      <c r="AD38" s="12">
        <f t="shared" si="6"/>
        <v>687</v>
      </c>
      <c r="AE38" s="13">
        <f t="shared" si="7"/>
        <v>0.15</v>
      </c>
    </row>
    <row r="39" spans="2:31" x14ac:dyDescent="0.25">
      <c r="B39" s="4"/>
      <c r="E39" s="3"/>
      <c r="F39" s="3"/>
      <c r="G39" s="24"/>
      <c r="H39" s="24"/>
      <c r="K39" s="4"/>
      <c r="L39" s="4"/>
      <c r="M39" s="4"/>
      <c r="N39" s="4"/>
      <c r="O39" s="4"/>
      <c r="P39" s="27"/>
      <c r="Q39" s="25"/>
      <c r="R39" s="25"/>
      <c r="S39" s="12">
        <f t="shared" si="0"/>
        <v>0</v>
      </c>
      <c r="T39" s="5">
        <v>0</v>
      </c>
      <c r="U39" s="12">
        <f t="shared" si="1"/>
        <v>0</v>
      </c>
      <c r="V39" s="25" t="s">
        <v>10</v>
      </c>
      <c r="W39" s="11">
        <f>IFERROR(VLOOKUP(V39,[1]Curr!$B$2:$C$13,2,FALSE),0)</f>
        <v>11.3</v>
      </c>
      <c r="X39" s="12">
        <f t="shared" si="2"/>
        <v>0</v>
      </c>
      <c r="Y39" s="26">
        <f t="shared" si="11"/>
        <v>0</v>
      </c>
      <c r="Z39" s="12">
        <f t="shared" si="4"/>
        <v>0</v>
      </c>
      <c r="AA39" s="4" t="s">
        <v>10</v>
      </c>
      <c r="AB39" s="11">
        <f>IFERROR(VLOOKUP(AA39,Curr!$B$2:$C$13,2,FALSE),0)</f>
        <v>11.3</v>
      </c>
      <c r="AC39" s="12">
        <f t="shared" si="5"/>
        <v>0</v>
      </c>
      <c r="AD39" s="12">
        <f t="shared" si="6"/>
        <v>0</v>
      </c>
      <c r="AE39" s="13">
        <f t="shared" si="7"/>
        <v>0</v>
      </c>
    </row>
    <row r="40" spans="2:31" x14ac:dyDescent="0.25">
      <c r="B40" s="4"/>
      <c r="C40" s="1" t="s">
        <v>127</v>
      </c>
      <c r="D40" s="1" t="s">
        <v>66</v>
      </c>
      <c r="E40" s="3"/>
      <c r="F40" s="3"/>
      <c r="G40" s="24"/>
      <c r="H40" s="24"/>
      <c r="J40" s="1" t="s">
        <v>152</v>
      </c>
      <c r="K40" s="4"/>
      <c r="L40" s="4"/>
      <c r="M40" s="4"/>
      <c r="N40" s="4"/>
      <c r="O40" s="4"/>
      <c r="P40" s="27"/>
      <c r="Q40" s="25">
        <v>0</v>
      </c>
      <c r="R40" s="25">
        <v>0</v>
      </c>
      <c r="S40" s="12">
        <f t="shared" si="0"/>
        <v>0</v>
      </c>
      <c r="T40" s="5">
        <v>0</v>
      </c>
      <c r="U40" s="12">
        <f t="shared" si="1"/>
        <v>0</v>
      </c>
      <c r="V40" s="25" t="s">
        <v>10</v>
      </c>
      <c r="W40" s="11">
        <f>IFERROR(VLOOKUP(V40,[1]Curr!$B$2:$C$13,2,FALSE),0)</f>
        <v>11.3</v>
      </c>
      <c r="X40" s="12">
        <f t="shared" si="2"/>
        <v>0</v>
      </c>
      <c r="Y40" s="26">
        <f t="shared" si="11"/>
        <v>0</v>
      </c>
      <c r="Z40" s="12">
        <f t="shared" si="4"/>
        <v>0</v>
      </c>
      <c r="AA40" s="4" t="s">
        <v>10</v>
      </c>
      <c r="AB40" s="11">
        <f>IFERROR(VLOOKUP(AA40,Curr!$B$2:$C$13,2,FALSE),0)</f>
        <v>11.3</v>
      </c>
      <c r="AC40" s="12">
        <f t="shared" si="5"/>
        <v>0</v>
      </c>
      <c r="AD40" s="12">
        <f t="shared" si="6"/>
        <v>0</v>
      </c>
      <c r="AE40" s="13">
        <f t="shared" si="7"/>
        <v>0</v>
      </c>
    </row>
    <row r="41" spans="2:31" x14ac:dyDescent="0.25">
      <c r="B41" s="4"/>
      <c r="C41" s="1" t="s">
        <v>127</v>
      </c>
      <c r="D41" s="1" t="s">
        <v>85</v>
      </c>
      <c r="E41" s="3"/>
      <c r="F41" s="3"/>
      <c r="G41" s="24"/>
      <c r="H41" s="24"/>
      <c r="J41" s="1" t="s">
        <v>153</v>
      </c>
      <c r="K41" s="4"/>
      <c r="L41" s="4"/>
      <c r="M41" s="4"/>
      <c r="N41" s="4"/>
      <c r="O41" s="4"/>
      <c r="P41" s="27"/>
      <c r="Q41" s="25">
        <v>0</v>
      </c>
      <c r="R41" s="25">
        <v>0</v>
      </c>
      <c r="S41" s="12">
        <f t="shared" si="0"/>
        <v>0</v>
      </c>
      <c r="T41" s="5">
        <v>0</v>
      </c>
      <c r="U41" s="12">
        <f t="shared" si="1"/>
        <v>0</v>
      </c>
      <c r="V41" s="25" t="s">
        <v>10</v>
      </c>
      <c r="W41" s="11">
        <f>IFERROR(VLOOKUP(V41,[1]Curr!$B$2:$C$13,2,FALSE),0)</f>
        <v>11.3</v>
      </c>
      <c r="X41" s="12">
        <f t="shared" si="2"/>
        <v>0</v>
      </c>
      <c r="Y41" s="26">
        <f t="shared" si="11"/>
        <v>0</v>
      </c>
      <c r="Z41" s="12">
        <f t="shared" si="4"/>
        <v>0</v>
      </c>
      <c r="AA41" s="4" t="s">
        <v>10</v>
      </c>
      <c r="AB41" s="11">
        <f>IFERROR(VLOOKUP(AA41,Curr!$B$2:$C$13,2,FALSE),0)</f>
        <v>11.3</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0"/>
        <v>0</v>
      </c>
      <c r="T42" s="5">
        <v>0</v>
      </c>
      <c r="U42" s="12">
        <f t="shared" si="1"/>
        <v>0</v>
      </c>
      <c r="V42" s="25" t="s">
        <v>10</v>
      </c>
      <c r="W42" s="11">
        <f>IFERROR(VLOOKUP(V42,[1]Curr!$B$2:$C$13,2,FALSE),0)</f>
        <v>11.3</v>
      </c>
      <c r="X42" s="12">
        <f t="shared" si="2"/>
        <v>0</v>
      </c>
      <c r="Y42" s="26">
        <f t="shared" si="11"/>
        <v>0</v>
      </c>
      <c r="Z42" s="12">
        <f t="shared" si="4"/>
        <v>0</v>
      </c>
      <c r="AA42" s="4" t="s">
        <v>10</v>
      </c>
      <c r="AB42" s="11">
        <f>IFERROR(VLOOKUP(AA42,Curr!$B$2:$C$13,2,FALSE),0)</f>
        <v>11.3</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IFERROR(VLOOKUP(V43,[1]Curr!$B$2:$C$13,2,FALSE),0)</f>
        <v>11.3</v>
      </c>
      <c r="X43" s="12">
        <f t="shared" si="2"/>
        <v>0</v>
      </c>
      <c r="Y43" s="26">
        <f t="shared" si="11"/>
        <v>0</v>
      </c>
      <c r="Z43" s="12">
        <f t="shared" si="4"/>
        <v>0</v>
      </c>
      <c r="AA43" s="4" t="s">
        <v>10</v>
      </c>
      <c r="AB43" s="11">
        <f>IFERROR(VLOOKUP(AA43,Curr!$B$2:$C$13,2,FALSE),0)</f>
        <v>11.3</v>
      </c>
      <c r="AC43" s="12">
        <f t="shared" si="5"/>
        <v>0</v>
      </c>
      <c r="AD43" s="12">
        <f t="shared" si="6"/>
        <v>0</v>
      </c>
      <c r="AE43" s="13">
        <f t="shared" si="7"/>
        <v>0</v>
      </c>
    </row>
    <row r="44" spans="2:31" x14ac:dyDescent="0.25">
      <c r="B44" s="4"/>
      <c r="C44" s="1" t="s">
        <v>64</v>
      </c>
      <c r="D44" s="1" t="s">
        <v>112</v>
      </c>
      <c r="E44" s="3"/>
      <c r="F44" s="3"/>
      <c r="G44" s="24"/>
      <c r="H44" s="24"/>
      <c r="J44" s="1" t="s">
        <v>115</v>
      </c>
      <c r="K44" s="4"/>
      <c r="L44" s="4"/>
      <c r="M44" s="4"/>
      <c r="N44" s="4"/>
      <c r="O44" s="4"/>
      <c r="P44" s="33"/>
      <c r="Q44" s="25">
        <v>40</v>
      </c>
      <c r="R44" s="25">
        <v>0</v>
      </c>
      <c r="S44" s="12">
        <f t="shared" si="0"/>
        <v>0</v>
      </c>
      <c r="T44" s="5">
        <v>0</v>
      </c>
      <c r="U44" s="12">
        <f t="shared" si="1"/>
        <v>0</v>
      </c>
      <c r="V44" s="25" t="s">
        <v>10</v>
      </c>
      <c r="W44" s="11">
        <f>IFERROR(VLOOKUP(V44,[1]Curr!$B$2:$C$13,2,FALSE),0)</f>
        <v>11.3</v>
      </c>
      <c r="X44" s="12">
        <f t="shared" si="2"/>
        <v>0</v>
      </c>
      <c r="Y44" s="26">
        <f>Q44/0.67</f>
        <v>59.701492537313428</v>
      </c>
      <c r="Z44" s="12">
        <f t="shared" si="4"/>
        <v>0</v>
      </c>
      <c r="AA44" s="4" t="s">
        <v>10</v>
      </c>
      <c r="AB44" s="11">
        <f>IFERROR(VLOOKUP(AA44,Curr!$B$2:$C$13,2,FALSE),0)</f>
        <v>11.3</v>
      </c>
      <c r="AC44" s="12">
        <f t="shared" si="5"/>
        <v>0</v>
      </c>
      <c r="AD44" s="12">
        <f t="shared" si="6"/>
        <v>0</v>
      </c>
      <c r="AE44" s="13">
        <f t="shared" si="7"/>
        <v>0</v>
      </c>
    </row>
    <row r="45" spans="2:31" x14ac:dyDescent="0.25">
      <c r="B45" s="4"/>
      <c r="C45" s="1" t="s">
        <v>77</v>
      </c>
      <c r="D45" s="1" t="s">
        <v>112</v>
      </c>
      <c r="E45" s="3"/>
      <c r="F45" s="3"/>
      <c r="G45" s="24"/>
      <c r="H45" s="24"/>
      <c r="J45" s="1" t="s">
        <v>116</v>
      </c>
      <c r="K45" s="4"/>
      <c r="L45" s="4"/>
      <c r="M45" s="4"/>
      <c r="N45" s="4"/>
      <c r="O45" s="4"/>
      <c r="P45" s="27"/>
      <c r="Q45" s="25">
        <v>40</v>
      </c>
      <c r="R45" s="25">
        <v>0</v>
      </c>
      <c r="S45" s="12">
        <f t="shared" si="0"/>
        <v>0</v>
      </c>
      <c r="T45" s="5">
        <v>0</v>
      </c>
      <c r="U45" s="12">
        <f t="shared" si="1"/>
        <v>0</v>
      </c>
      <c r="V45" s="25" t="s">
        <v>10</v>
      </c>
      <c r="W45" s="11">
        <f>IFERROR(VLOOKUP(V45,[1]Curr!$B$2:$C$13,2,FALSE),0)</f>
        <v>11.3</v>
      </c>
      <c r="X45" s="12">
        <f t="shared" si="2"/>
        <v>0</v>
      </c>
      <c r="Y45" s="26">
        <f>Q45/0.67</f>
        <v>59.701492537313428</v>
      </c>
      <c r="Z45" s="12">
        <f t="shared" si="4"/>
        <v>0</v>
      </c>
      <c r="AA45" s="4" t="s">
        <v>10</v>
      </c>
      <c r="AB45" s="11">
        <f>IFERROR(VLOOKUP(AA45,Curr!$B$2:$C$13,2,FALSE),0)</f>
        <v>11.3</v>
      </c>
      <c r="AC45" s="12">
        <f t="shared" si="5"/>
        <v>0</v>
      </c>
      <c r="AD45" s="12">
        <f t="shared" si="6"/>
        <v>0</v>
      </c>
      <c r="AE45" s="13">
        <f t="shared" si="7"/>
        <v>0</v>
      </c>
    </row>
    <row r="46" spans="2:31" x14ac:dyDescent="0.25">
      <c r="B46" s="4"/>
      <c r="C46" s="1" t="s">
        <v>127</v>
      </c>
      <c r="D46" s="1" t="s">
        <v>112</v>
      </c>
      <c r="E46" s="3"/>
      <c r="F46" s="3"/>
      <c r="G46" s="24"/>
      <c r="H46" s="24"/>
      <c r="J46" s="1" t="s">
        <v>154</v>
      </c>
      <c r="K46" s="4"/>
      <c r="L46" s="4"/>
      <c r="M46" s="4"/>
      <c r="N46" s="4"/>
      <c r="O46" s="4"/>
      <c r="P46" s="33"/>
      <c r="Q46" s="25">
        <v>900</v>
      </c>
      <c r="R46" s="25">
        <v>0</v>
      </c>
      <c r="S46" s="12">
        <f t="shared" si="0"/>
        <v>0</v>
      </c>
      <c r="T46" s="5">
        <v>0</v>
      </c>
      <c r="U46" s="12">
        <f t="shared" si="1"/>
        <v>0</v>
      </c>
      <c r="V46" s="25" t="s">
        <v>8</v>
      </c>
      <c r="W46" s="11">
        <f>IFERROR(VLOOKUP(V46,[1]Curr!$B$2:$C$13,2,FALSE),0)</f>
        <v>1</v>
      </c>
      <c r="X46" s="12">
        <f t="shared" si="2"/>
        <v>0</v>
      </c>
      <c r="Y46" s="26">
        <f>Q46/11.3/0.8</f>
        <v>99.55752212389379</v>
      </c>
      <c r="Z46" s="12">
        <f t="shared" si="4"/>
        <v>0</v>
      </c>
      <c r="AA46" s="4" t="s">
        <v>10</v>
      </c>
      <c r="AB46" s="11">
        <f>IFERROR(VLOOKUP(AA46,Curr!$B$2:$C$13,2,FALSE),0)</f>
        <v>11.3</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0"/>
        <v>0</v>
      </c>
      <c r="T47" s="5">
        <v>0</v>
      </c>
      <c r="U47" s="12">
        <f t="shared" si="1"/>
        <v>0</v>
      </c>
      <c r="V47" s="25" t="s">
        <v>10</v>
      </c>
      <c r="W47" s="11">
        <f>IFERROR(VLOOKUP(V47,[1]Curr!$B$2:$C$13,2,FALSE),0)</f>
        <v>11.3</v>
      </c>
      <c r="X47" s="12">
        <f t="shared" si="2"/>
        <v>0</v>
      </c>
      <c r="Y47" s="26">
        <f t="shared" si="11"/>
        <v>0</v>
      </c>
      <c r="Z47" s="12">
        <f t="shared" si="4"/>
        <v>0</v>
      </c>
      <c r="AA47" s="4" t="s">
        <v>10</v>
      </c>
      <c r="AB47" s="11">
        <f>IFERROR(VLOOKUP(AA47,Curr!$B$2:$C$13,2,FALSE),0)</f>
        <v>11.3</v>
      </c>
      <c r="AC47" s="12">
        <f t="shared" si="5"/>
        <v>0</v>
      </c>
      <c r="AD47" s="12">
        <f t="shared" si="6"/>
        <v>0</v>
      </c>
      <c r="AE47" s="13">
        <f t="shared" si="7"/>
        <v>0</v>
      </c>
    </row>
    <row r="48" spans="2:31" x14ac:dyDescent="0.25">
      <c r="B48" s="4"/>
      <c r="E48" s="3"/>
      <c r="F48" s="3"/>
      <c r="G48" s="24"/>
      <c r="H48" s="24"/>
      <c r="K48" s="4"/>
      <c r="L48" s="4"/>
      <c r="M48" s="4"/>
      <c r="N48" s="4"/>
      <c r="O48" s="4"/>
      <c r="P48" s="27"/>
      <c r="Q48" s="25"/>
      <c r="R48" s="25"/>
      <c r="S48" s="12">
        <f t="shared" si="0"/>
        <v>0</v>
      </c>
      <c r="T48" s="5">
        <v>0</v>
      </c>
      <c r="U48" s="12">
        <f t="shared" si="1"/>
        <v>0</v>
      </c>
      <c r="V48" s="25" t="s">
        <v>10</v>
      </c>
      <c r="W48" s="11">
        <f>IFERROR(VLOOKUP(V48,[1]Curr!$B$2:$C$13,2,FALSE),0)</f>
        <v>11.3</v>
      </c>
      <c r="X48" s="12">
        <f t="shared" si="2"/>
        <v>0</v>
      </c>
      <c r="Y48" s="26">
        <f t="shared" si="11"/>
        <v>0</v>
      </c>
      <c r="Z48" s="12">
        <f t="shared" si="4"/>
        <v>0</v>
      </c>
      <c r="AA48" s="4" t="s">
        <v>10</v>
      </c>
      <c r="AB48" s="11">
        <f>IFERROR(VLOOKUP(AA48,Curr!$B$2:$C$13,2,FALSE),0)</f>
        <v>11.3</v>
      </c>
      <c r="AC48" s="12">
        <f t="shared" si="5"/>
        <v>0</v>
      </c>
      <c r="AD48" s="12">
        <f t="shared" si="6"/>
        <v>0</v>
      </c>
      <c r="AE48" s="13">
        <f t="shared" si="7"/>
        <v>0</v>
      </c>
    </row>
    <row r="49" spans="2:36" x14ac:dyDescent="0.25">
      <c r="B49" s="4"/>
      <c r="C49" s="1" t="s">
        <v>76</v>
      </c>
      <c r="D49" s="1" t="s">
        <v>183</v>
      </c>
      <c r="E49" s="3"/>
      <c r="F49" s="3"/>
      <c r="G49" s="24"/>
      <c r="H49" s="24"/>
      <c r="J49" s="1" t="s">
        <v>184</v>
      </c>
      <c r="K49" s="4"/>
      <c r="L49" s="4"/>
      <c r="M49" s="4"/>
      <c r="N49" s="4"/>
      <c r="O49" s="4" t="s">
        <v>42</v>
      </c>
      <c r="P49" s="33" t="s">
        <v>185</v>
      </c>
      <c r="Q49" s="25">
        <v>252</v>
      </c>
      <c r="R49" s="25">
        <v>0</v>
      </c>
      <c r="S49" s="12">
        <f t="shared" si="0"/>
        <v>0</v>
      </c>
      <c r="T49" s="5">
        <v>0.2</v>
      </c>
      <c r="U49" s="12">
        <f t="shared" si="1"/>
        <v>0</v>
      </c>
      <c r="V49" s="25" t="s">
        <v>10</v>
      </c>
      <c r="W49" s="11">
        <f>IFERROR(VLOOKUP(V49,[1]Curr!$B$2:$C$13,2,FALSE),0)</f>
        <v>11.3</v>
      </c>
      <c r="X49" s="12">
        <f t="shared" si="2"/>
        <v>0</v>
      </c>
      <c r="Y49" s="26">
        <f t="shared" si="11"/>
        <v>252</v>
      </c>
      <c r="Z49" s="12">
        <f t="shared" si="4"/>
        <v>0</v>
      </c>
      <c r="AA49" s="4" t="s">
        <v>10</v>
      </c>
      <c r="AB49" s="11">
        <f>IFERROR(VLOOKUP(AA49,Curr!$B$2:$C$13,2,FALSE),0)</f>
        <v>11.3</v>
      </c>
      <c r="AC49" s="12">
        <f t="shared" si="5"/>
        <v>0</v>
      </c>
      <c r="AD49" s="12">
        <f t="shared" si="6"/>
        <v>0</v>
      </c>
      <c r="AE49" s="13">
        <f t="shared" si="7"/>
        <v>0</v>
      </c>
    </row>
    <row r="50" spans="2:36" x14ac:dyDescent="0.25">
      <c r="B50" s="4"/>
      <c r="C50" s="1" t="s">
        <v>78</v>
      </c>
      <c r="D50" s="1" t="s">
        <v>118</v>
      </c>
      <c r="E50" s="3"/>
      <c r="F50" s="3"/>
      <c r="G50" s="24"/>
      <c r="H50" s="24"/>
      <c r="J50" s="1" t="s">
        <v>188</v>
      </c>
      <c r="K50" s="4"/>
      <c r="L50" s="4"/>
      <c r="M50" s="4"/>
      <c r="N50" s="4"/>
      <c r="O50" s="4" t="s">
        <v>42</v>
      </c>
      <c r="P50" s="33" t="s">
        <v>189</v>
      </c>
      <c r="Q50" s="25">
        <v>2195</v>
      </c>
      <c r="R50" s="25">
        <v>0</v>
      </c>
      <c r="S50" s="12">
        <f t="shared" si="0"/>
        <v>0</v>
      </c>
      <c r="T50" s="5">
        <v>0.2</v>
      </c>
      <c r="U50" s="12">
        <f t="shared" si="1"/>
        <v>0</v>
      </c>
      <c r="V50" s="25" t="s">
        <v>8</v>
      </c>
      <c r="W50" s="11">
        <f>IFERROR(VLOOKUP(V50,[1]Curr!$B$2:$C$13,2,FALSE),0)</f>
        <v>1</v>
      </c>
      <c r="X50" s="12">
        <f t="shared" si="2"/>
        <v>0</v>
      </c>
      <c r="Y50" s="26">
        <f t="shared" ref="Y50" si="13">Q50/11.3</f>
        <v>194.24778761061947</v>
      </c>
      <c r="Z50" s="12">
        <f t="shared" si="4"/>
        <v>0</v>
      </c>
      <c r="AA50" s="4" t="s">
        <v>10</v>
      </c>
      <c r="AB50" s="11">
        <f>IFERROR(VLOOKUP(AA50,Curr!$B$2:$C$13,2,FALSE),0)</f>
        <v>11.3</v>
      </c>
      <c r="AC50" s="12">
        <f t="shared" si="5"/>
        <v>0</v>
      </c>
      <c r="AD50" s="12">
        <f t="shared" si="6"/>
        <v>0</v>
      </c>
      <c r="AE50" s="13">
        <f t="shared" si="7"/>
        <v>0</v>
      </c>
    </row>
    <row r="51" spans="2:36" x14ac:dyDescent="0.25">
      <c r="B51" s="4"/>
      <c r="C51" s="1" t="s">
        <v>84</v>
      </c>
      <c r="D51" s="1" t="s">
        <v>118</v>
      </c>
      <c r="E51" s="3"/>
      <c r="F51" s="3"/>
      <c r="G51" s="24"/>
      <c r="H51" s="24"/>
      <c r="J51" s="1" t="s">
        <v>200</v>
      </c>
      <c r="K51" s="4"/>
      <c r="L51" s="4"/>
      <c r="M51" s="4"/>
      <c r="N51" s="4"/>
      <c r="O51" s="4" t="s">
        <v>42</v>
      </c>
      <c r="P51" s="33" t="s">
        <v>201</v>
      </c>
      <c r="Q51" s="25">
        <v>185</v>
      </c>
      <c r="R51" s="25">
        <v>0</v>
      </c>
      <c r="S51" s="12">
        <f t="shared" si="0"/>
        <v>0</v>
      </c>
      <c r="T51" s="5">
        <v>0.15</v>
      </c>
      <c r="U51" s="12">
        <f t="shared" si="1"/>
        <v>0</v>
      </c>
      <c r="V51" s="25" t="s">
        <v>10</v>
      </c>
      <c r="W51" s="11">
        <f>IFERROR(VLOOKUP(V51,[1]Curr!$B$2:$C$13,2,FALSE),0)</f>
        <v>11.3</v>
      </c>
      <c r="X51" s="12">
        <f t="shared" si="2"/>
        <v>0</v>
      </c>
      <c r="Y51" s="26">
        <f t="shared" si="11"/>
        <v>185</v>
      </c>
      <c r="Z51" s="12">
        <f t="shared" si="4"/>
        <v>0</v>
      </c>
      <c r="AA51" s="4" t="s">
        <v>10</v>
      </c>
      <c r="AB51" s="11">
        <f>IFERROR(VLOOKUP(AA51,Curr!$B$2:$C$13,2,FALSE),0)</f>
        <v>11.3</v>
      </c>
      <c r="AC51" s="12">
        <f t="shared" si="5"/>
        <v>0</v>
      </c>
      <c r="AD51" s="12">
        <f t="shared" si="6"/>
        <v>0</v>
      </c>
      <c r="AE51" s="13">
        <f t="shared" si="7"/>
        <v>0</v>
      </c>
    </row>
    <row r="52" spans="2:36" x14ac:dyDescent="0.25">
      <c r="B52" s="4"/>
      <c r="E52" s="3"/>
      <c r="F52" s="3"/>
      <c r="G52" s="24"/>
      <c r="H52" s="24"/>
      <c r="K52" s="4"/>
      <c r="L52" s="4"/>
      <c r="M52" s="4"/>
      <c r="N52" s="4"/>
      <c r="O52" s="4"/>
      <c r="P52" s="27"/>
      <c r="Q52" s="25"/>
      <c r="R52" s="25"/>
      <c r="S52" s="12">
        <f t="shared" si="0"/>
        <v>0</v>
      </c>
      <c r="T52" s="5">
        <v>0</v>
      </c>
      <c r="U52" s="12">
        <f t="shared" si="1"/>
        <v>0</v>
      </c>
      <c r="V52" s="25" t="s">
        <v>10</v>
      </c>
      <c r="W52" s="11">
        <f>IFERROR(VLOOKUP(V52,[1]Curr!$B$2:$C$13,2,FALSE),0)</f>
        <v>11.3</v>
      </c>
      <c r="X52" s="12">
        <f t="shared" si="2"/>
        <v>0</v>
      </c>
      <c r="Y52" s="26">
        <f t="shared" si="11"/>
        <v>0</v>
      </c>
      <c r="Z52" s="12">
        <f t="shared" si="4"/>
        <v>0</v>
      </c>
      <c r="AA52" s="4" t="s">
        <v>10</v>
      </c>
      <c r="AB52" s="11">
        <f>IFERROR(VLOOKUP(AA52,Curr!$B$2:$C$13,2,FALSE),0)</f>
        <v>11.3</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0"/>
        <v>0</v>
      </c>
      <c r="T53" s="5">
        <v>0</v>
      </c>
      <c r="U53" s="12">
        <f t="shared" si="1"/>
        <v>0</v>
      </c>
      <c r="V53" s="25" t="s">
        <v>10</v>
      </c>
      <c r="W53" s="11">
        <f>IFERROR(VLOOKUP(V53,[1]Curr!$B$2:$C$13,2,FALSE),0)</f>
        <v>11.3</v>
      </c>
      <c r="X53" s="12">
        <f t="shared" si="2"/>
        <v>0</v>
      </c>
      <c r="Y53" s="26">
        <f t="shared" si="11"/>
        <v>0</v>
      </c>
      <c r="Z53" s="12">
        <f t="shared" si="4"/>
        <v>0</v>
      </c>
      <c r="AA53" s="4" t="s">
        <v>10</v>
      </c>
      <c r="AB53" s="11">
        <f>IFERROR(VLOOKUP(AA53,Curr!$B$2:$C$13,2,FALSE),0)</f>
        <v>11.3</v>
      </c>
      <c r="AC53" s="12">
        <f t="shared" si="5"/>
        <v>0</v>
      </c>
      <c r="AD53" s="12">
        <f t="shared" si="6"/>
        <v>0</v>
      </c>
      <c r="AE53" s="13">
        <f t="shared" si="7"/>
        <v>0</v>
      </c>
    </row>
    <row r="54" spans="2:36" x14ac:dyDescent="0.25">
      <c r="B54" s="4"/>
      <c r="C54" s="1" t="s">
        <v>127</v>
      </c>
      <c r="D54" s="1" t="s">
        <v>203</v>
      </c>
      <c r="E54" s="3"/>
      <c r="F54" s="3"/>
      <c r="G54" s="24"/>
      <c r="H54" s="24"/>
      <c r="J54" s="1" t="s">
        <v>205</v>
      </c>
      <c r="K54" s="4"/>
      <c r="L54" s="4"/>
      <c r="M54" s="4"/>
      <c r="N54" s="4"/>
      <c r="O54" s="4"/>
      <c r="P54" s="27"/>
      <c r="Q54" s="25">
        <v>0</v>
      </c>
      <c r="R54" s="25">
        <v>0</v>
      </c>
      <c r="S54" s="12">
        <f t="shared" si="0"/>
        <v>0</v>
      </c>
      <c r="T54" s="5">
        <v>0</v>
      </c>
      <c r="U54" s="12">
        <f t="shared" si="1"/>
        <v>0</v>
      </c>
      <c r="V54" s="25" t="s">
        <v>8</v>
      </c>
      <c r="W54" s="11">
        <f>IFERROR(VLOOKUP(V54,[1]Curr!$B$2:$C$13,2,FALSE),0)</f>
        <v>1</v>
      </c>
      <c r="X54" s="12">
        <f t="shared" si="2"/>
        <v>0</v>
      </c>
      <c r="Y54" s="26">
        <f>Q54/11.3/0.8</f>
        <v>0</v>
      </c>
      <c r="Z54" s="12">
        <f t="shared" si="4"/>
        <v>0</v>
      </c>
      <c r="AA54" s="4" t="s">
        <v>10</v>
      </c>
      <c r="AB54" s="11">
        <f>IFERROR(VLOOKUP(AA54,Curr!$B$2:$C$13,2,FALSE),0)</f>
        <v>11.3</v>
      </c>
      <c r="AC54" s="12">
        <f t="shared" si="5"/>
        <v>0</v>
      </c>
      <c r="AD54" s="12">
        <f t="shared" si="6"/>
        <v>0</v>
      </c>
      <c r="AE54" s="13">
        <f t="shared" si="7"/>
        <v>0</v>
      </c>
    </row>
    <row r="55" spans="2:36" x14ac:dyDescent="0.25">
      <c r="B55" s="4"/>
      <c r="C55" s="1" t="s">
        <v>127</v>
      </c>
      <c r="D55" s="1" t="s">
        <v>203</v>
      </c>
      <c r="E55" s="3"/>
      <c r="F55" s="3"/>
      <c r="G55" s="24"/>
      <c r="H55" s="24"/>
      <c r="J55" s="1" t="s">
        <v>164</v>
      </c>
      <c r="K55" s="4"/>
      <c r="L55" s="4"/>
      <c r="M55" s="4"/>
      <c r="N55" s="4"/>
      <c r="O55" s="4"/>
      <c r="P55" s="27"/>
      <c r="Q55" s="25">
        <v>0</v>
      </c>
      <c r="R55" s="25">
        <v>0</v>
      </c>
      <c r="S55" s="12">
        <f t="shared" si="0"/>
        <v>0</v>
      </c>
      <c r="T55" s="5">
        <v>0</v>
      </c>
      <c r="U55" s="12">
        <f t="shared" si="1"/>
        <v>0</v>
      </c>
      <c r="V55" s="25" t="s">
        <v>10</v>
      </c>
      <c r="W55" s="11">
        <f>IFERROR(VLOOKUP(V55,[1]Curr!$B$2:$C$13,2,FALSE),0)</f>
        <v>11.3</v>
      </c>
      <c r="X55" s="12">
        <f t="shared" si="2"/>
        <v>0</v>
      </c>
      <c r="Y55" s="26">
        <f t="shared" si="11"/>
        <v>0</v>
      </c>
      <c r="Z55" s="12">
        <f t="shared" si="4"/>
        <v>0</v>
      </c>
      <c r="AA55" s="4" t="s">
        <v>10</v>
      </c>
      <c r="AB55" s="11">
        <f>IFERROR(VLOOKUP(AA55,Curr!$B$2:$C$13,2,FALSE),0)</f>
        <v>11.3</v>
      </c>
      <c r="AC55" s="12">
        <f t="shared" si="5"/>
        <v>0</v>
      </c>
      <c r="AD55" s="12">
        <f t="shared" si="6"/>
        <v>0</v>
      </c>
      <c r="AE55" s="13">
        <f t="shared" si="7"/>
        <v>0</v>
      </c>
    </row>
    <row r="56" spans="2:36" x14ac:dyDescent="0.25">
      <c r="B56" s="4"/>
      <c r="C56" s="1" t="s">
        <v>127</v>
      </c>
      <c r="D56" s="1" t="s">
        <v>203</v>
      </c>
      <c r="E56" s="3"/>
      <c r="F56" s="3"/>
      <c r="G56" s="24"/>
      <c r="H56" s="24"/>
      <c r="J56" s="1" t="s">
        <v>204</v>
      </c>
      <c r="K56" s="4"/>
      <c r="L56" s="4"/>
      <c r="M56" s="4"/>
      <c r="N56" s="4"/>
      <c r="O56" s="4"/>
      <c r="P56" s="27"/>
      <c r="Q56" s="25">
        <v>175</v>
      </c>
      <c r="R56" s="25">
        <v>0</v>
      </c>
      <c r="S56" s="12">
        <f t="shared" si="0"/>
        <v>0</v>
      </c>
      <c r="T56" s="5">
        <v>0</v>
      </c>
      <c r="U56" s="12">
        <f t="shared" si="1"/>
        <v>0</v>
      </c>
      <c r="V56" s="25" t="s">
        <v>10</v>
      </c>
      <c r="W56" s="11">
        <f>IFERROR(VLOOKUP(V56,[1]Curr!$B$2:$C$13,2,FALSE),0)</f>
        <v>11.3</v>
      </c>
      <c r="X56" s="12">
        <f t="shared" si="2"/>
        <v>0</v>
      </c>
      <c r="Y56" s="26">
        <f>Q56/0.85</f>
        <v>205.88235294117646</v>
      </c>
      <c r="Z56" s="12">
        <f t="shared" si="4"/>
        <v>0</v>
      </c>
      <c r="AA56" s="4" t="s">
        <v>10</v>
      </c>
      <c r="AB56" s="11">
        <f>IFERROR(VLOOKUP(AA56,Curr!$B$2:$C$13,2,FALSE),0)</f>
        <v>11.3</v>
      </c>
      <c r="AC56" s="12">
        <f t="shared" si="5"/>
        <v>0</v>
      </c>
      <c r="AD56" s="12">
        <f t="shared" si="6"/>
        <v>0</v>
      </c>
      <c r="AE56" s="13">
        <f t="shared" si="7"/>
        <v>0</v>
      </c>
    </row>
    <row r="57" spans="2:36" x14ac:dyDescent="0.25">
      <c r="B57" s="4"/>
      <c r="C57" s="1" t="s">
        <v>139</v>
      </c>
      <c r="D57" s="1" t="s">
        <v>203</v>
      </c>
      <c r="E57" s="3"/>
      <c r="F57" s="3"/>
      <c r="G57" s="24"/>
      <c r="H57" s="24"/>
      <c r="J57" s="1" t="s">
        <v>163</v>
      </c>
      <c r="K57" s="4"/>
      <c r="L57" s="4"/>
      <c r="M57" s="4"/>
      <c r="N57" s="4"/>
      <c r="O57" s="4"/>
      <c r="P57" s="27"/>
      <c r="Q57" s="25">
        <v>0</v>
      </c>
      <c r="R57" s="25">
        <v>0</v>
      </c>
      <c r="S57" s="12">
        <f t="shared" si="0"/>
        <v>0</v>
      </c>
      <c r="T57" s="5">
        <v>0</v>
      </c>
      <c r="U57" s="12">
        <f t="shared" si="1"/>
        <v>0</v>
      </c>
      <c r="V57" s="25" t="s">
        <v>10</v>
      </c>
      <c r="W57" s="11">
        <f>IFERROR(VLOOKUP(V57,[1]Curr!$B$2:$C$13,2,FALSE),0)</f>
        <v>11.3</v>
      </c>
      <c r="X57" s="12">
        <f t="shared" si="2"/>
        <v>0</v>
      </c>
      <c r="Y57" s="26">
        <f t="shared" si="11"/>
        <v>0</v>
      </c>
      <c r="Z57" s="12">
        <f t="shared" si="4"/>
        <v>0</v>
      </c>
      <c r="AA57" s="4" t="s">
        <v>10</v>
      </c>
      <c r="AB57" s="11">
        <f>IFERROR(VLOOKUP(AA57,Curr!$B$2:$C$13,2,FALSE),0)</f>
        <v>11.3</v>
      </c>
      <c r="AC57" s="12">
        <f t="shared" si="5"/>
        <v>0</v>
      </c>
      <c r="AD57" s="12">
        <f t="shared" si="6"/>
        <v>0</v>
      </c>
      <c r="AE57" s="13">
        <f t="shared" si="7"/>
        <v>0</v>
      </c>
    </row>
    <row r="58" spans="2:36" x14ac:dyDescent="0.25">
      <c r="B58" s="4"/>
      <c r="C58" s="1" t="s">
        <v>139</v>
      </c>
      <c r="D58" s="1" t="s">
        <v>203</v>
      </c>
      <c r="E58" s="3"/>
      <c r="F58" s="3"/>
      <c r="G58" s="24"/>
      <c r="H58" s="24"/>
      <c r="J58" s="1" t="s">
        <v>162</v>
      </c>
      <c r="K58" s="4"/>
      <c r="L58" s="4"/>
      <c r="M58" s="4"/>
      <c r="N58" s="4"/>
      <c r="O58" s="4"/>
      <c r="P58" s="27"/>
      <c r="Q58" s="25">
        <v>0</v>
      </c>
      <c r="R58" s="25">
        <v>0</v>
      </c>
      <c r="S58" s="12">
        <f t="shared" si="0"/>
        <v>0</v>
      </c>
      <c r="T58" s="5">
        <v>0</v>
      </c>
      <c r="U58" s="12">
        <f t="shared" si="1"/>
        <v>0</v>
      </c>
      <c r="V58" s="25" t="s">
        <v>10</v>
      </c>
      <c r="W58" s="11">
        <f>IFERROR(VLOOKUP(V58,[1]Curr!$B$2:$C$13,2,FALSE),0)</f>
        <v>11.3</v>
      </c>
      <c r="X58" s="12">
        <f t="shared" si="2"/>
        <v>0</v>
      </c>
      <c r="Y58" s="26">
        <f t="shared" si="11"/>
        <v>0</v>
      </c>
      <c r="Z58" s="12">
        <f t="shared" si="4"/>
        <v>0</v>
      </c>
      <c r="AA58" s="4" t="s">
        <v>10</v>
      </c>
      <c r="AB58" s="11">
        <f>IFERROR(VLOOKUP(AA58,Curr!$B$2:$C$13,2,FALSE),0)</f>
        <v>11.3</v>
      </c>
      <c r="AC58" s="12">
        <f t="shared" si="5"/>
        <v>0</v>
      </c>
      <c r="AD58" s="12">
        <f t="shared" si="6"/>
        <v>0</v>
      </c>
      <c r="AE58" s="13">
        <f t="shared" si="7"/>
        <v>0</v>
      </c>
    </row>
    <row r="59" spans="2:36" x14ac:dyDescent="0.25">
      <c r="B59" s="4"/>
      <c r="E59" s="3"/>
      <c r="F59" s="3"/>
      <c r="G59" s="24"/>
      <c r="H59" s="24"/>
      <c r="K59" s="4"/>
      <c r="L59" s="4"/>
      <c r="M59" s="4"/>
      <c r="N59" s="4"/>
      <c r="O59" s="4"/>
      <c r="P59" s="27"/>
      <c r="Q59" s="25"/>
      <c r="R59" s="25"/>
      <c r="S59" s="12">
        <f t="shared" si="0"/>
        <v>0</v>
      </c>
      <c r="T59" s="5">
        <v>0</v>
      </c>
      <c r="U59" s="12">
        <f t="shared" si="1"/>
        <v>0</v>
      </c>
      <c r="V59" s="25" t="s">
        <v>10</v>
      </c>
      <c r="W59" s="11">
        <f>IFERROR(VLOOKUP(V59,[1]Curr!$B$2:$C$13,2,FALSE),0)</f>
        <v>11.3</v>
      </c>
      <c r="X59" s="12">
        <f t="shared" si="2"/>
        <v>0</v>
      </c>
      <c r="Y59" s="26">
        <f t="shared" si="11"/>
        <v>0</v>
      </c>
      <c r="Z59" s="12">
        <f t="shared" si="4"/>
        <v>0</v>
      </c>
      <c r="AA59" s="4" t="s">
        <v>10</v>
      </c>
      <c r="AB59" s="11">
        <f>IFERROR(VLOOKUP(AA59,Curr!$B$2:$C$13,2,FALSE),0)</f>
        <v>11.3</v>
      </c>
      <c r="AC59" s="12">
        <f t="shared" si="5"/>
        <v>0</v>
      </c>
      <c r="AD59" s="12">
        <f t="shared" si="6"/>
        <v>0</v>
      </c>
      <c r="AE59" s="13">
        <f t="shared" si="7"/>
        <v>0</v>
      </c>
    </row>
    <row r="60" spans="2:36" x14ac:dyDescent="0.25">
      <c r="B60" s="4"/>
      <c r="E60" s="3"/>
      <c r="F60" s="3"/>
      <c r="G60" s="3"/>
      <c r="H60" s="3"/>
      <c r="L60" s="4"/>
      <c r="M60" s="4"/>
      <c r="N60" s="4"/>
      <c r="O60" s="4"/>
      <c r="P60" s="22"/>
      <c r="Q60" s="4"/>
      <c r="R60" s="4"/>
      <c r="S60" s="4"/>
      <c r="T60" s="4"/>
      <c r="U60" s="4"/>
      <c r="V60" s="4"/>
      <c r="W60" s="4"/>
      <c r="X60" s="4"/>
      <c r="Y60" s="4"/>
      <c r="Z60" s="4"/>
      <c r="AA60" s="4"/>
      <c r="AB60" s="4"/>
      <c r="AC60" s="4"/>
      <c r="AD60" s="4"/>
      <c r="AE60" s="4"/>
      <c r="AF60" s="4"/>
    </row>
    <row r="61" spans="2:36" x14ac:dyDescent="0.25">
      <c r="B61" s="14" t="s">
        <v>18</v>
      </c>
      <c r="C61" s="14"/>
      <c r="D61" s="28" t="s">
        <v>42</v>
      </c>
      <c r="E61" s="30" t="s">
        <v>42</v>
      </c>
      <c r="F61" s="30" t="s">
        <v>42</v>
      </c>
      <c r="G61" s="30" t="s">
        <v>42</v>
      </c>
      <c r="H61" s="30" t="s">
        <v>42</v>
      </c>
      <c r="I61" s="28" t="s">
        <v>42</v>
      </c>
      <c r="J61" s="28" t="s">
        <v>42</v>
      </c>
      <c r="K61" s="28" t="s">
        <v>42</v>
      </c>
      <c r="L61" s="28" t="s">
        <v>42</v>
      </c>
      <c r="M61" s="28" t="s">
        <v>42</v>
      </c>
      <c r="N61" s="28" t="s">
        <v>42</v>
      </c>
      <c r="O61" s="28" t="s">
        <v>42</v>
      </c>
      <c r="P61" s="28" t="s">
        <v>42</v>
      </c>
      <c r="Q61" s="31" t="s">
        <v>42</v>
      </c>
      <c r="R61" s="28" t="s">
        <v>42</v>
      </c>
      <c r="S61" s="32" t="s">
        <v>42</v>
      </c>
      <c r="T61" s="28" t="s">
        <v>42</v>
      </c>
      <c r="U61" s="32" t="s">
        <v>42</v>
      </c>
      <c r="V61" s="28" t="s">
        <v>42</v>
      </c>
      <c r="W61" s="28" t="s">
        <v>42</v>
      </c>
      <c r="X61" s="32" t="s">
        <v>42</v>
      </c>
      <c r="Y61" s="32" t="s">
        <v>42</v>
      </c>
      <c r="Z61" s="15">
        <f>SUM(Z7:Z59)</f>
        <v>4562.7799757070979</v>
      </c>
      <c r="AA61" s="14"/>
      <c r="AB61" s="14"/>
      <c r="AC61" s="15">
        <f>SUM(AC7:AC59)</f>
        <v>51559.413725490202</v>
      </c>
      <c r="AD61" s="15">
        <f>SUM(AD7:AD59)</f>
        <v>10103.913725490196</v>
      </c>
      <c r="AE61" s="21">
        <f t="shared" ref="AE61" si="14">IFERROR(AD61/AC61,0)</f>
        <v>0.19596642000789416</v>
      </c>
      <c r="AF61" s="15">
        <f>SUM(AF8:AF60)</f>
        <v>0</v>
      </c>
      <c r="AG61" s="15">
        <f>SUM(AG8:AG60)</f>
        <v>0</v>
      </c>
      <c r="AH61" s="15">
        <f>SUM(AH8:AH60)</f>
        <v>0</v>
      </c>
      <c r="AI61" s="15">
        <f>SUM(AI8:AI60)</f>
        <v>0</v>
      </c>
      <c r="AJ61" s="15">
        <f>SUM(AJ8:AJ60)</f>
        <v>0</v>
      </c>
    </row>
    <row r="62" spans="2:36" x14ac:dyDescent="0.25">
      <c r="B62" s="4"/>
      <c r="E62" s="3"/>
      <c r="F62" s="3"/>
      <c r="G62" s="3"/>
      <c r="H62" s="3"/>
      <c r="L62" s="4"/>
      <c r="M62" s="4"/>
      <c r="N62" s="4"/>
      <c r="O62" s="4"/>
      <c r="Q62" s="4"/>
      <c r="R62" s="4"/>
      <c r="S62" s="4"/>
      <c r="T62" s="4"/>
      <c r="U62" s="4"/>
      <c r="V62" s="4"/>
      <c r="W62" s="4"/>
      <c r="X62" s="4"/>
      <c r="Y62" s="9"/>
      <c r="Z62" s="9"/>
      <c r="AA62" s="9"/>
      <c r="AB62" s="9"/>
      <c r="AC62" s="9"/>
      <c r="AD62" s="9"/>
      <c r="AE62" s="9"/>
    </row>
    <row r="63" spans="2:36" x14ac:dyDescent="0.25">
      <c r="B63" s="4"/>
      <c r="E63" s="3"/>
      <c r="F63" s="3"/>
      <c r="G63" s="3"/>
      <c r="H63" s="3"/>
      <c r="L63" s="4"/>
      <c r="M63" s="4"/>
      <c r="N63" s="4"/>
      <c r="O63" s="4"/>
      <c r="Q63" s="9"/>
      <c r="R63" s="9"/>
      <c r="S63" s="9"/>
      <c r="T63" s="9"/>
      <c r="U63" s="9"/>
      <c r="V63" s="9"/>
      <c r="W63" s="9"/>
      <c r="X63" s="23"/>
      <c r="Y63" s="34" t="s">
        <v>119</v>
      </c>
      <c r="Z63" s="34">
        <f>Z12+Z14+Z17+Z22+Z24+Z27+Z36+Z38</f>
        <v>2717.1917404129795</v>
      </c>
      <c r="AA63" s="9"/>
      <c r="AB63" s="9"/>
      <c r="AC63" s="9"/>
      <c r="AD63" s="9"/>
      <c r="AE63" s="9"/>
    </row>
    <row r="64" spans="2:36" x14ac:dyDescent="0.25">
      <c r="B64" s="4"/>
      <c r="E64" s="3"/>
      <c r="F64" s="3"/>
      <c r="G64" s="3"/>
      <c r="H64" s="3"/>
      <c r="L64" s="4"/>
      <c r="M64" s="4"/>
      <c r="N64" s="4"/>
      <c r="O64" s="4"/>
      <c r="Q64" s="9"/>
      <c r="R64" s="9"/>
      <c r="S64" s="9"/>
      <c r="T64" s="9"/>
      <c r="U64" s="9"/>
      <c r="V64" s="9"/>
      <c r="W64" s="9"/>
      <c r="X64" s="9"/>
      <c r="Y64" s="35" t="s">
        <v>120</v>
      </c>
      <c r="Z64" s="34">
        <f>Z9+Z19+Z33</f>
        <v>1845.5882352941176</v>
      </c>
      <c r="AA64" s="9"/>
      <c r="AB64" s="9"/>
      <c r="AC64" s="9"/>
      <c r="AD64" s="9"/>
      <c r="AE64" s="9"/>
      <c r="AF64" s="18"/>
    </row>
    <row r="65" spans="2:32" x14ac:dyDescent="0.25">
      <c r="B65" s="4"/>
      <c r="E65" s="3"/>
      <c r="F65" s="3"/>
      <c r="G65" s="3"/>
      <c r="H65" s="3"/>
      <c r="I65" s="19"/>
      <c r="L65" s="4"/>
      <c r="M65" s="4"/>
      <c r="N65" s="4"/>
      <c r="O65" s="20"/>
      <c r="Q65" s="20"/>
      <c r="R65" s="20"/>
      <c r="S65" s="20"/>
      <c r="T65" s="20"/>
      <c r="U65" s="20"/>
      <c r="V65" s="20"/>
      <c r="W65" s="20"/>
      <c r="X65" s="20"/>
      <c r="Y65" s="34" t="s">
        <v>121</v>
      </c>
      <c r="Z65" s="34">
        <v>4560</v>
      </c>
      <c r="AA65" s="9"/>
      <c r="AB65" s="9"/>
      <c r="AC65" s="9"/>
      <c r="AD65" s="9"/>
      <c r="AE65" s="9"/>
      <c r="AF65" s="18"/>
    </row>
    <row r="66" spans="2:32" x14ac:dyDescent="0.25">
      <c r="B66" s="4"/>
      <c r="E66" s="3"/>
      <c r="F66" s="3"/>
      <c r="G66" s="3"/>
      <c r="H66" s="3"/>
      <c r="L66" s="4"/>
      <c r="M66" s="4"/>
      <c r="N66" s="4"/>
      <c r="O66" s="20"/>
      <c r="Q66" s="20"/>
      <c r="R66" s="20"/>
      <c r="S66" s="20"/>
      <c r="T66" s="20"/>
      <c r="U66" s="20"/>
      <c r="V66" s="20"/>
      <c r="W66" s="20"/>
      <c r="X66" s="20"/>
      <c r="Y66" s="34" t="s">
        <v>46</v>
      </c>
      <c r="Z66" s="34">
        <f>Z65/2</f>
        <v>2280</v>
      </c>
      <c r="AA66" s="9"/>
      <c r="AB66" s="9"/>
      <c r="AC66" s="9"/>
      <c r="AD66" s="9"/>
      <c r="AE66" s="9"/>
      <c r="AF66" s="18"/>
    </row>
    <row r="67" spans="2:32" x14ac:dyDescent="0.25">
      <c r="B67" s="4"/>
      <c r="E67" s="3"/>
      <c r="F67" s="3"/>
      <c r="G67" s="3"/>
      <c r="H67" s="3"/>
      <c r="L67" s="4"/>
      <c r="M67" s="4"/>
      <c r="N67" s="4"/>
      <c r="O67" s="4"/>
      <c r="Q67" s="9"/>
      <c r="R67" s="9"/>
      <c r="S67" s="9"/>
      <c r="T67" s="9"/>
      <c r="U67" s="9"/>
      <c r="V67" s="9"/>
      <c r="W67" s="9"/>
      <c r="X67" s="9"/>
      <c r="Y67" s="1"/>
      <c r="Z67" s="1"/>
      <c r="AA67" s="9"/>
      <c r="AB67" s="9"/>
      <c r="AC67" s="9"/>
      <c r="AD67" s="9"/>
      <c r="AE67" s="9"/>
      <c r="AF67" s="18"/>
    </row>
    <row r="68" spans="2:32" x14ac:dyDescent="0.25">
      <c r="F68" s="1"/>
      <c r="G68" s="1"/>
      <c r="H68" s="1"/>
      <c r="J68" s="1" t="s">
        <v>32</v>
      </c>
      <c r="Q68" s="9"/>
      <c r="R68" s="4"/>
      <c r="S68" s="9"/>
      <c r="T68" s="5"/>
      <c r="U68" s="9"/>
      <c r="V68" s="4"/>
      <c r="W68" s="4"/>
      <c r="X68" s="9"/>
      <c r="Y68" s="9"/>
      <c r="Z68" s="9"/>
      <c r="AA68" s="9"/>
      <c r="AB68" s="9"/>
      <c r="AC68" s="9"/>
      <c r="AD68" s="9"/>
      <c r="AE68" s="9"/>
    </row>
    <row r="69" spans="2:32" x14ac:dyDescent="0.25">
      <c r="R69" s="4"/>
      <c r="S69" s="17"/>
      <c r="T69" s="17"/>
      <c r="U69" s="9"/>
      <c r="V69" s="4"/>
      <c r="W69" s="4"/>
      <c r="X69" s="9"/>
      <c r="Y69" s="39" t="s">
        <v>220</v>
      </c>
      <c r="Z69" s="9">
        <f>Z65</f>
        <v>4560</v>
      </c>
      <c r="AA69" s="9"/>
      <c r="AB69" s="9"/>
      <c r="AC69" s="9"/>
      <c r="AD69" s="9"/>
      <c r="AE69" s="9"/>
    </row>
    <row r="70" spans="2:32" x14ac:dyDescent="0.25">
      <c r="Q70" s="9"/>
      <c r="R70" s="4"/>
      <c r="S70" s="16"/>
      <c r="T70" s="16"/>
      <c r="U70" s="9"/>
      <c r="V70" s="4"/>
      <c r="W70" s="4"/>
      <c r="X70" s="9"/>
      <c r="Y70" s="39" t="s">
        <v>221</v>
      </c>
      <c r="Z70" s="9">
        <f>Z69*1.18</f>
        <v>5380.7999999999993</v>
      </c>
      <c r="AA70" s="9"/>
      <c r="AB70" s="9"/>
      <c r="AC70" s="9"/>
      <c r="AD70" s="9"/>
      <c r="AE70" s="9"/>
    </row>
    <row r="71" spans="2:32" x14ac:dyDescent="0.25">
      <c r="R71" s="4"/>
      <c r="S71" s="16"/>
      <c r="T71" s="16"/>
      <c r="Y71" s="39" t="s">
        <v>222</v>
      </c>
      <c r="Z71" s="9">
        <f>Z69*1.3</f>
        <v>5928</v>
      </c>
      <c r="AA71" s="9"/>
      <c r="AB71" s="9"/>
      <c r="AC71" s="9"/>
      <c r="AD71" s="9"/>
      <c r="AE71" s="9"/>
    </row>
    <row r="72" spans="2:32" x14ac:dyDescent="0.25">
      <c r="T72" s="5"/>
      <c r="Y72" s="39" t="s">
        <v>223</v>
      </c>
      <c r="Z72" s="9">
        <f>Z69*0.85</f>
        <v>3876</v>
      </c>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row>
    <row r="81" spans="20:20" x14ac:dyDescent="0.25">
      <c r="T81" s="5"/>
    </row>
    <row r="82" spans="20:20" x14ac:dyDescent="0.25">
      <c r="T82" s="5"/>
    </row>
    <row r="83" spans="20:20" x14ac:dyDescent="0.25">
      <c r="T83" s="5"/>
    </row>
    <row r="84" spans="20:20" x14ac:dyDescent="0.25">
      <c r="T84" s="5"/>
    </row>
  </sheetData>
  <autoFilter ref="B6:AE61" xr:uid="{65FA6D9B-E0AF-46CD-BA0D-86BB75FE6AB0}"/>
  <hyperlinks>
    <hyperlink ref="P12" r:id="rId1" xr:uid="{E582C924-2C86-4633-B09D-14E2FDBD9B88}"/>
    <hyperlink ref="P17" r:id="rId2" xr:uid="{D6EA9035-77DF-4C90-99CD-5D40801E00A8}"/>
    <hyperlink ref="P22" r:id="rId3" xr:uid="{7161D67B-68C8-462C-931B-89CF51CC2FE4}"/>
    <hyperlink ref="P27" r:id="rId4" xr:uid="{76B0DAF5-71E1-42A7-8F71-20EA2D4AB7E8}"/>
    <hyperlink ref="P38" r:id="rId5" xr:uid="{5245F24C-2C78-426E-8084-F7E933C3CBF6}"/>
    <hyperlink ref="P36" r:id="rId6" xr:uid="{93874553-1C29-40EA-9FF2-263ED07CE3D9}"/>
    <hyperlink ref="P49" r:id="rId7" xr:uid="{2E81680F-70A8-415C-BDA3-BC364C89F899}"/>
    <hyperlink ref="P50" r:id="rId8" xr:uid="{46B63CFB-3918-4602-B73C-4C6C7C7C5295}"/>
    <hyperlink ref="P51" r:id="rId9" xr:uid="{A86E6ADD-A541-4880-AEC7-E055337B79BA}"/>
    <hyperlink ref="P24" r:id="rId10" xr:uid="{0DE3F68C-2214-414D-8FEB-E928ED60B326}"/>
    <hyperlink ref="P14" r:id="rId11" xr:uid="{B75C2AB0-09FD-43AA-977C-8ECF740DBEC5}"/>
  </hyperlinks>
  <pageMargins left="0.7" right="0.7" top="0.75" bottom="0.75" header="0.3" footer="0.3"/>
  <pageSetup paperSize="9" orientation="portrait"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C2D7-8600-4F2E-9FE0-F056ACC22226}">
  <sheetPr>
    <tabColor rgb="FFFFFF00"/>
  </sheetPr>
  <dimension ref="B1:AK101"/>
  <sheetViews>
    <sheetView topLeftCell="A9" zoomScale="80" zoomScaleNormal="80" workbookViewId="0">
      <selection activeCell="J23" sqref="J23"/>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58</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11.3</v>
      </c>
      <c r="AC7" s="12">
        <f t="shared" ref="AC7:AC70" si="3">+Y7*AB7*R7</f>
        <v>0</v>
      </c>
      <c r="AD7" s="12">
        <f t="shared" ref="AD7:AD70" si="4">+AC7-X7</f>
        <v>0</v>
      </c>
      <c r="AE7" s="13">
        <f t="shared" ref="AE7:AE70"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Q9/0.85</f>
        <v>176.47058823529412</v>
      </c>
      <c r="Z9" s="12">
        <f t="shared" si="2"/>
        <v>176.47058823529412</v>
      </c>
      <c r="AA9" s="4" t="s">
        <v>10</v>
      </c>
      <c r="AB9" s="11">
        <f>IFERROR(VLOOKUP(AA9,Curr!$B$2:$C$13,2,FALSE),0)</f>
        <v>11.3</v>
      </c>
      <c r="AC9" s="12">
        <f t="shared" si="3"/>
        <v>1994.1176470588236</v>
      </c>
      <c r="AD9" s="12">
        <f t="shared" si="4"/>
        <v>299.11764705882365</v>
      </c>
      <c r="AE9" s="13">
        <f t="shared" si="5"/>
        <v>0.15000000000000005</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66"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124</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Y19"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9"/>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108</v>
      </c>
      <c r="K28" s="4"/>
      <c r="L28" s="4"/>
      <c r="M28" s="4"/>
      <c r="N28" s="4"/>
      <c r="O28" s="4"/>
      <c r="P28" s="33"/>
      <c r="Q28" s="25">
        <v>800</v>
      </c>
      <c r="R28" s="25">
        <v>1</v>
      </c>
      <c r="S28" s="12">
        <f t="shared" si="0"/>
        <v>800</v>
      </c>
      <c r="T28" s="5">
        <v>0</v>
      </c>
      <c r="U28" s="12">
        <f t="shared" si="6"/>
        <v>800</v>
      </c>
      <c r="V28" s="25" t="s">
        <v>10</v>
      </c>
      <c r="W28" s="11">
        <f>IFERROR(VLOOKUP(V28,[1]Curr!$B$2:$C$13,2,FALSE),0)</f>
        <v>11.3</v>
      </c>
      <c r="X28" s="12">
        <f t="shared" si="1"/>
        <v>9040</v>
      </c>
      <c r="Y28" s="26">
        <f>Q28/0.85</f>
        <v>941.17647058823536</v>
      </c>
      <c r="Z28" s="12">
        <f t="shared" si="2"/>
        <v>941.17647058823536</v>
      </c>
      <c r="AA28" s="4" t="s">
        <v>10</v>
      </c>
      <c r="AB28" s="11">
        <f>IFERROR(VLOOKUP(AA28,Curr!$B$2:$C$13,2,FALSE),0)</f>
        <v>11.3</v>
      </c>
      <c r="AC28" s="12">
        <f t="shared" si="3"/>
        <v>10635.294117647059</v>
      </c>
      <c r="AD28" s="12">
        <f t="shared" si="4"/>
        <v>1595.2941176470595</v>
      </c>
      <c r="AE28" s="13">
        <f t="shared" si="5"/>
        <v>0.15000000000000005</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88</v>
      </c>
      <c r="K31" s="4"/>
      <c r="L31" s="4"/>
      <c r="M31" s="4"/>
      <c r="N31" s="4"/>
      <c r="O31" s="4" t="s">
        <v>42</v>
      </c>
      <c r="P31" s="33" t="s">
        <v>89</v>
      </c>
      <c r="Q31" s="25">
        <v>1695</v>
      </c>
      <c r="R31" s="25">
        <v>2</v>
      </c>
      <c r="S31" s="12">
        <f t="shared" si="0"/>
        <v>3390</v>
      </c>
      <c r="T31" s="5">
        <v>0.2</v>
      </c>
      <c r="U31" s="12">
        <f t="shared" si="6"/>
        <v>2712</v>
      </c>
      <c r="V31" s="25" t="s">
        <v>8</v>
      </c>
      <c r="W31" s="11">
        <f>IFERROR(VLOOKUP(V31,[1]Curr!$B$2:$C$13,2,FALSE),0)</f>
        <v>1</v>
      </c>
      <c r="X31" s="12">
        <f t="shared" si="1"/>
        <v>2712</v>
      </c>
      <c r="Y31" s="26">
        <f>Q31/11.3</f>
        <v>150</v>
      </c>
      <c r="Z31" s="12">
        <f t="shared" si="2"/>
        <v>300</v>
      </c>
      <c r="AA31" s="4" t="s">
        <v>10</v>
      </c>
      <c r="AB31" s="11">
        <f>IFERROR(VLOOKUP(AA31,Curr!$B$2:$C$13,2,FALSE),0)</f>
        <v>11.3</v>
      </c>
      <c r="AC31" s="12">
        <f t="shared" si="3"/>
        <v>3390</v>
      </c>
      <c r="AD31" s="12">
        <f t="shared" si="4"/>
        <v>678</v>
      </c>
      <c r="AE31" s="13">
        <f t="shared" si="5"/>
        <v>0.2</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si="8"/>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216</v>
      </c>
      <c r="K33" s="4"/>
      <c r="L33" s="4"/>
      <c r="M33" s="4"/>
      <c r="N33" s="4"/>
      <c r="O33" s="4" t="s">
        <v>42</v>
      </c>
      <c r="P33" s="33" t="s">
        <v>217</v>
      </c>
      <c r="Q33" s="25">
        <v>120</v>
      </c>
      <c r="R33" s="25">
        <v>2</v>
      </c>
      <c r="S33" s="12">
        <f t="shared" si="0"/>
        <v>240</v>
      </c>
      <c r="T33" s="5">
        <v>0.2</v>
      </c>
      <c r="U33" s="12">
        <f t="shared" si="6"/>
        <v>192</v>
      </c>
      <c r="V33" s="25" t="s">
        <v>10</v>
      </c>
      <c r="W33" s="11">
        <f>IFERROR(VLOOKUP(V33,[2]Curr!$B$2:$C$13,2,FALSE),0)</f>
        <v>11.3</v>
      </c>
      <c r="X33" s="12">
        <f t="shared" si="1"/>
        <v>2169.6000000000004</v>
      </c>
      <c r="Y33" s="26">
        <f t="shared" si="8"/>
        <v>120</v>
      </c>
      <c r="Z33" s="12">
        <f t="shared" si="2"/>
        <v>240</v>
      </c>
      <c r="AA33" s="4" t="s">
        <v>10</v>
      </c>
      <c r="AB33" s="11">
        <f>IFERROR(VLOOKUP(AA33,Curr!$B$2:$C$13,2,FALSE),0)</f>
        <v>11.3</v>
      </c>
      <c r="AC33" s="12">
        <f t="shared" si="3"/>
        <v>2712</v>
      </c>
      <c r="AD33" s="12">
        <f t="shared" si="4"/>
        <v>542.39999999999964</v>
      </c>
      <c r="AE33" s="13">
        <f t="shared" si="5"/>
        <v>0.19999999999999987</v>
      </c>
    </row>
    <row r="34" spans="2:31" x14ac:dyDescent="0.25">
      <c r="B34" s="4"/>
      <c r="E34" s="3"/>
      <c r="F34" s="3"/>
      <c r="G34" s="24"/>
      <c r="H34" s="24"/>
      <c r="K34" s="4"/>
      <c r="L34" s="4"/>
      <c r="M34" s="4"/>
      <c r="N34" s="4"/>
      <c r="O34" s="4"/>
      <c r="P34" s="33"/>
      <c r="Q34" s="25"/>
      <c r="R34" s="25"/>
      <c r="S34" s="12">
        <f t="shared" si="0"/>
        <v>0</v>
      </c>
      <c r="T34" s="5">
        <v>0</v>
      </c>
      <c r="U34" s="12">
        <f t="shared" si="6"/>
        <v>0</v>
      </c>
      <c r="V34" s="25" t="s">
        <v>10</v>
      </c>
      <c r="W34" s="11">
        <f>IFERROR(VLOOKUP(V34,[1]Curr!$B$2:$C$13,2,FALSE),0)</f>
        <v>11.3</v>
      </c>
      <c r="X34" s="12">
        <f t="shared" si="1"/>
        <v>0</v>
      </c>
      <c r="Y34" s="26">
        <f t="shared" si="8"/>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75</v>
      </c>
      <c r="E35" s="3"/>
      <c r="F35" s="3"/>
      <c r="G35" s="24"/>
      <c r="H35" s="24"/>
      <c r="J35" s="1" t="s">
        <v>110</v>
      </c>
      <c r="K35" s="4"/>
      <c r="L35" s="4"/>
      <c r="M35" s="4"/>
      <c r="N35" s="4"/>
      <c r="O35" s="4" t="s">
        <v>42</v>
      </c>
      <c r="P35" s="33" t="s">
        <v>111</v>
      </c>
      <c r="Q35" s="25">
        <v>145</v>
      </c>
      <c r="R35" s="25">
        <v>2</v>
      </c>
      <c r="S35" s="12">
        <f t="shared" si="0"/>
        <v>290</v>
      </c>
      <c r="T35" s="5">
        <v>0.2</v>
      </c>
      <c r="U35" s="12">
        <f t="shared" si="6"/>
        <v>232</v>
      </c>
      <c r="V35" s="25" t="s">
        <v>10</v>
      </c>
      <c r="W35" s="11">
        <f>IFERROR(VLOOKUP(V35,[1]Curr!$B$2:$C$13,2,FALSE),0)</f>
        <v>11.3</v>
      </c>
      <c r="X35" s="12">
        <f t="shared" si="1"/>
        <v>2621.6000000000004</v>
      </c>
      <c r="Y35" s="26">
        <f t="shared" si="8"/>
        <v>145</v>
      </c>
      <c r="Z35" s="12">
        <f t="shared" si="2"/>
        <v>290</v>
      </c>
      <c r="AA35" s="4" t="s">
        <v>10</v>
      </c>
      <c r="AB35" s="11">
        <f>IFERROR(VLOOKUP(AA35,Curr!$B$2:$C$13,2,FALSE),0)</f>
        <v>11.3</v>
      </c>
      <c r="AC35" s="12">
        <f t="shared" si="3"/>
        <v>3277</v>
      </c>
      <c r="AD35" s="12">
        <f t="shared" si="4"/>
        <v>655.39999999999964</v>
      </c>
      <c r="AE35" s="13">
        <f t="shared" si="5"/>
        <v>0.1999999999999999</v>
      </c>
    </row>
    <row r="36" spans="2:31" x14ac:dyDescent="0.25">
      <c r="B36" s="4"/>
      <c r="C36" s="1" t="s">
        <v>84</v>
      </c>
      <c r="D36" s="1" t="s">
        <v>68</v>
      </c>
      <c r="E36" s="3"/>
      <c r="F36" s="3"/>
      <c r="G36" s="24"/>
      <c r="H36" s="24"/>
      <c r="J36" s="1" t="s">
        <v>81</v>
      </c>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8"/>
        <v>0</v>
      </c>
      <c r="Z36" s="12">
        <f t="shared" si="2"/>
        <v>0</v>
      </c>
      <c r="AA36" s="4" t="s">
        <v>10</v>
      </c>
      <c r="AB36" s="11">
        <f>IFERROR(VLOOKUP(AA36,Curr!$B$2:$C$13,2,FALSE),0)</f>
        <v>11.3</v>
      </c>
      <c r="AC36" s="12">
        <f t="shared" si="3"/>
        <v>0</v>
      </c>
      <c r="AD36" s="12">
        <f t="shared" si="4"/>
        <v>0</v>
      </c>
      <c r="AE36" s="13">
        <f t="shared" si="5"/>
        <v>0</v>
      </c>
    </row>
    <row r="37" spans="2:31" x14ac:dyDescent="0.25">
      <c r="B37" s="4"/>
      <c r="C37" s="1" t="s">
        <v>84</v>
      </c>
      <c r="D37" s="1" t="s">
        <v>75</v>
      </c>
      <c r="E37" s="3"/>
      <c r="F37" s="3"/>
      <c r="G37" s="24"/>
      <c r="H37" s="24"/>
      <c r="J37" s="1" t="s">
        <v>92</v>
      </c>
      <c r="K37" s="4"/>
      <c r="L37" s="4"/>
      <c r="M37" s="4"/>
      <c r="N37" s="4"/>
      <c r="O37" s="4" t="s">
        <v>42</v>
      </c>
      <c r="P37" s="33" t="s">
        <v>93</v>
      </c>
      <c r="Q37" s="25">
        <v>105</v>
      </c>
      <c r="R37" s="25">
        <v>2</v>
      </c>
      <c r="S37" s="12">
        <f t="shared" si="0"/>
        <v>210</v>
      </c>
      <c r="T37" s="5">
        <v>0.2</v>
      </c>
      <c r="U37" s="12">
        <f t="shared" si="6"/>
        <v>168</v>
      </c>
      <c r="V37" s="25" t="s">
        <v>10</v>
      </c>
      <c r="W37" s="11">
        <f>IFERROR(VLOOKUP(V37,[1]Curr!$B$2:$C$13,2,FALSE),0)</f>
        <v>11.3</v>
      </c>
      <c r="X37" s="12">
        <f t="shared" si="1"/>
        <v>1898.4</v>
      </c>
      <c r="Y37" s="26">
        <f t="shared" si="8"/>
        <v>105</v>
      </c>
      <c r="Z37" s="12">
        <f t="shared" si="2"/>
        <v>210</v>
      </c>
      <c r="AA37" s="4" t="s">
        <v>10</v>
      </c>
      <c r="AB37" s="11">
        <f>IFERROR(VLOOKUP(AA37,Curr!$B$2:$C$13,2,FALSE),0)</f>
        <v>11.3</v>
      </c>
      <c r="AC37" s="12">
        <f t="shared" si="3"/>
        <v>2373</v>
      </c>
      <c r="AD37" s="12">
        <f t="shared" si="4"/>
        <v>474.59999999999991</v>
      </c>
      <c r="AE37" s="13">
        <f t="shared" si="5"/>
        <v>0.19999999999999996</v>
      </c>
    </row>
    <row r="38" spans="2:31" x14ac:dyDescent="0.25">
      <c r="B38" s="4"/>
      <c r="E38" s="3"/>
      <c r="F38" s="3"/>
      <c r="G38" s="24"/>
      <c r="H38" s="24"/>
      <c r="K38" s="4"/>
      <c r="L38" s="4"/>
      <c r="M38" s="4"/>
      <c r="N38" s="4"/>
      <c r="O38" s="4"/>
      <c r="P38" s="29"/>
      <c r="Q38" s="25"/>
      <c r="R38" s="25"/>
      <c r="S38" s="12">
        <f t="shared" si="0"/>
        <v>0</v>
      </c>
      <c r="T38" s="5">
        <v>0</v>
      </c>
      <c r="U38" s="12">
        <f t="shared" si="6"/>
        <v>0</v>
      </c>
      <c r="V38" s="25" t="s">
        <v>10</v>
      </c>
      <c r="W38" s="11">
        <f>IFERROR(VLOOKUP(V38,[1]Curr!$B$2:$C$13,2,FALSE),0)</f>
        <v>11.3</v>
      </c>
      <c r="X38" s="12">
        <f t="shared" si="1"/>
        <v>0</v>
      </c>
      <c r="Y38" s="26">
        <f t="shared" si="8"/>
        <v>0</v>
      </c>
      <c r="Z38" s="12">
        <f t="shared" si="2"/>
        <v>0</v>
      </c>
      <c r="AA38" s="4" t="s">
        <v>10</v>
      </c>
      <c r="AB38" s="11">
        <f>IFERROR(VLOOKUP(AA38,Curr!$B$2:$C$13,2,FALSE),0)</f>
        <v>11.3</v>
      </c>
      <c r="AC38" s="12">
        <f t="shared" si="3"/>
        <v>0</v>
      </c>
      <c r="AD38" s="12">
        <f t="shared" si="4"/>
        <v>0</v>
      </c>
      <c r="AE38" s="13">
        <f t="shared" si="5"/>
        <v>0</v>
      </c>
    </row>
    <row r="39" spans="2:31" x14ac:dyDescent="0.25">
      <c r="B39" s="4"/>
      <c r="C39" s="1" t="s">
        <v>127</v>
      </c>
      <c r="D39" s="1" t="s">
        <v>68</v>
      </c>
      <c r="E39" s="3"/>
      <c r="F39" s="3"/>
      <c r="G39" s="24"/>
      <c r="H39" s="24"/>
      <c r="J39" s="1" t="s">
        <v>81</v>
      </c>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8"/>
        <v>0</v>
      </c>
      <c r="Z39" s="12">
        <f t="shared" si="2"/>
        <v>0</v>
      </c>
      <c r="AA39" s="4" t="s">
        <v>10</v>
      </c>
      <c r="AB39" s="11">
        <f>IFERROR(VLOOKUP(AA39,Curr!$B$2:$C$13,2,FALSE),0)</f>
        <v>11.3</v>
      </c>
      <c r="AC39" s="12">
        <f t="shared" si="3"/>
        <v>0</v>
      </c>
      <c r="AD39" s="12">
        <f t="shared" si="4"/>
        <v>0</v>
      </c>
      <c r="AE39" s="13">
        <f t="shared" si="5"/>
        <v>0</v>
      </c>
    </row>
    <row r="40" spans="2:31" x14ac:dyDescent="0.25">
      <c r="B40" s="4"/>
      <c r="C40" s="1" t="s">
        <v>127</v>
      </c>
      <c r="D40" s="1" t="s">
        <v>66</v>
      </c>
      <c r="E40" s="3"/>
      <c r="F40" s="3"/>
      <c r="G40" s="24"/>
      <c r="H40" s="24"/>
      <c r="J40" s="1" t="s">
        <v>144</v>
      </c>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8"/>
        <v>0</v>
      </c>
      <c r="Z40" s="12">
        <f t="shared" si="2"/>
        <v>0</v>
      </c>
      <c r="AA40" s="4" t="s">
        <v>10</v>
      </c>
      <c r="AB40" s="11">
        <f>IFERROR(VLOOKUP(AA40,Curr!$B$2:$C$13,2,FALSE),0)</f>
        <v>11.3</v>
      </c>
      <c r="AC40" s="12">
        <f t="shared" si="3"/>
        <v>0</v>
      </c>
      <c r="AD40" s="12">
        <f t="shared" si="4"/>
        <v>0</v>
      </c>
      <c r="AE40" s="13">
        <f t="shared" si="5"/>
        <v>0</v>
      </c>
    </row>
    <row r="41" spans="2:31" x14ac:dyDescent="0.25">
      <c r="B41" s="4"/>
      <c r="C41" s="1" t="s">
        <v>127</v>
      </c>
      <c r="D41" s="1" t="s">
        <v>143</v>
      </c>
      <c r="E41" s="3"/>
      <c r="F41" s="3"/>
      <c r="G41" s="24"/>
      <c r="H41" s="24"/>
      <c r="J41" s="1" t="s">
        <v>145</v>
      </c>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8"/>
        <v>0</v>
      </c>
      <c r="Z41" s="12">
        <f t="shared" si="2"/>
        <v>0</v>
      </c>
      <c r="AA41" s="4" t="s">
        <v>10</v>
      </c>
      <c r="AB41" s="11">
        <f>IFERROR(VLOOKUP(AA41,Curr!$B$2:$C$13,2,FALSE),0)</f>
        <v>11.3</v>
      </c>
      <c r="AC41" s="12">
        <f t="shared" si="3"/>
        <v>0</v>
      </c>
      <c r="AD41" s="12">
        <f t="shared" si="4"/>
        <v>0</v>
      </c>
      <c r="AE41" s="13">
        <f t="shared" si="5"/>
        <v>0</v>
      </c>
    </row>
    <row r="42" spans="2:31" x14ac:dyDescent="0.25">
      <c r="B42" s="4"/>
      <c r="C42" s="1" t="s">
        <v>127</v>
      </c>
      <c r="D42" s="1" t="s">
        <v>66</v>
      </c>
      <c r="E42" s="3"/>
      <c r="F42" s="3"/>
      <c r="G42" s="24"/>
      <c r="H42" s="24"/>
      <c r="J42" s="1" t="s">
        <v>146</v>
      </c>
      <c r="K42" s="4"/>
      <c r="L42" s="4"/>
      <c r="M42" s="4"/>
      <c r="N42" s="4"/>
      <c r="O42" s="4"/>
      <c r="P42" s="33"/>
      <c r="Q42" s="25">
        <v>0</v>
      </c>
      <c r="R42" s="25">
        <v>0</v>
      </c>
      <c r="S42" s="12">
        <f t="shared" si="0"/>
        <v>0</v>
      </c>
      <c r="T42" s="5">
        <v>0</v>
      </c>
      <c r="U42" s="12">
        <f t="shared" si="6"/>
        <v>0</v>
      </c>
      <c r="V42" s="25" t="s">
        <v>10</v>
      </c>
      <c r="W42" s="11">
        <f>IFERROR(VLOOKUP(V42,[1]Curr!$B$2:$C$13,2,FALSE),0)</f>
        <v>11.3</v>
      </c>
      <c r="X42" s="12">
        <f t="shared" si="1"/>
        <v>0</v>
      </c>
      <c r="Y42" s="26">
        <f t="shared" si="8"/>
        <v>0</v>
      </c>
      <c r="Z42" s="12">
        <f t="shared" si="2"/>
        <v>0</v>
      </c>
      <c r="AA42" s="4" t="s">
        <v>10</v>
      </c>
      <c r="AB42" s="11">
        <f>IFERROR(VLOOKUP(AA42,Curr!$B$2:$C$13,2,FALSE),0)</f>
        <v>11.3</v>
      </c>
      <c r="AC42" s="12">
        <f t="shared" si="3"/>
        <v>0</v>
      </c>
      <c r="AD42" s="12">
        <f t="shared" si="4"/>
        <v>0</v>
      </c>
      <c r="AE42" s="13">
        <f t="shared" si="5"/>
        <v>0</v>
      </c>
    </row>
    <row r="43" spans="2:31" x14ac:dyDescent="0.25">
      <c r="B43" s="4"/>
      <c r="C43" s="1" t="s">
        <v>127</v>
      </c>
      <c r="D43" s="1" t="s">
        <v>67</v>
      </c>
      <c r="E43" s="3"/>
      <c r="F43" s="3"/>
      <c r="G43" s="24"/>
      <c r="H43" s="24"/>
      <c r="J43" s="1" t="s">
        <v>199</v>
      </c>
      <c r="K43" s="4"/>
      <c r="L43" s="4"/>
      <c r="M43" s="4"/>
      <c r="N43" s="4"/>
      <c r="O43" s="4"/>
      <c r="P43" s="33"/>
      <c r="Q43" s="25">
        <v>300</v>
      </c>
      <c r="R43" s="25">
        <v>1</v>
      </c>
      <c r="S43" s="12">
        <f t="shared" si="0"/>
        <v>300</v>
      </c>
      <c r="T43" s="5">
        <v>0</v>
      </c>
      <c r="U43" s="12">
        <f t="shared" si="6"/>
        <v>300</v>
      </c>
      <c r="V43" s="25" t="s">
        <v>10</v>
      </c>
      <c r="W43" s="11">
        <f>IFERROR(VLOOKUP(V43,[1]Curr!$B$2:$C$13,2,FALSE),0)</f>
        <v>11.3</v>
      </c>
      <c r="X43" s="12">
        <f t="shared" si="1"/>
        <v>3390</v>
      </c>
      <c r="Y43" s="26">
        <f>Q43/0.85</f>
        <v>352.94117647058823</v>
      </c>
      <c r="Z43" s="12">
        <f t="shared" si="2"/>
        <v>352.94117647058823</v>
      </c>
      <c r="AA43" s="4" t="s">
        <v>10</v>
      </c>
      <c r="AB43" s="11">
        <f>IFERROR(VLOOKUP(AA43,Curr!$B$2:$C$13,2,FALSE),0)</f>
        <v>11.3</v>
      </c>
      <c r="AC43" s="12">
        <f t="shared" si="3"/>
        <v>3988.2352941176473</v>
      </c>
      <c r="AD43" s="12">
        <f t="shared" si="4"/>
        <v>598.2352941176473</v>
      </c>
      <c r="AE43" s="13">
        <f t="shared" si="5"/>
        <v>0.15000000000000005</v>
      </c>
    </row>
    <row r="44" spans="2:31" x14ac:dyDescent="0.25">
      <c r="B44" s="4"/>
      <c r="C44" s="1" t="s">
        <v>127</v>
      </c>
      <c r="D44" s="1" t="s">
        <v>68</v>
      </c>
      <c r="E44" s="3"/>
      <c r="F44" s="3"/>
      <c r="G44" s="24"/>
      <c r="H44" s="24"/>
      <c r="J44" s="1" t="s">
        <v>147</v>
      </c>
      <c r="K44" s="4"/>
      <c r="L44" s="4"/>
      <c r="M44" s="4"/>
      <c r="N44" s="4"/>
      <c r="O44" s="4"/>
      <c r="P44" s="33"/>
      <c r="Q44" s="25">
        <v>0</v>
      </c>
      <c r="R44" s="25">
        <v>0</v>
      </c>
      <c r="S44" s="12">
        <f t="shared" si="0"/>
        <v>0</v>
      </c>
      <c r="T44" s="5">
        <v>0</v>
      </c>
      <c r="U44" s="12">
        <f t="shared" si="6"/>
        <v>0</v>
      </c>
      <c r="V44" s="25" t="s">
        <v>10</v>
      </c>
      <c r="W44" s="11">
        <f>IFERROR(VLOOKUP(V44,[1]Curr!$B$2:$C$13,2,FALSE),0)</f>
        <v>11.3</v>
      </c>
      <c r="X44" s="12">
        <f t="shared" si="1"/>
        <v>0</v>
      </c>
      <c r="Y44" s="26">
        <f t="shared" ref="Y44" si="11">Q44</f>
        <v>0</v>
      </c>
      <c r="Z44" s="12">
        <f t="shared" si="2"/>
        <v>0</v>
      </c>
      <c r="AA44" s="4" t="s">
        <v>10</v>
      </c>
      <c r="AB44" s="11">
        <f>IFERROR(VLOOKUP(AA44,Curr!$B$2:$C$13,2,FALSE),0)</f>
        <v>11.3</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0"/>
        <v>0</v>
      </c>
      <c r="T45" s="5">
        <v>0</v>
      </c>
      <c r="U45" s="12">
        <f t="shared" si="6"/>
        <v>0</v>
      </c>
      <c r="V45" s="25" t="s">
        <v>10</v>
      </c>
      <c r="W45" s="11">
        <f>IFERROR(VLOOKUP(V45,[1]Curr!$B$2:$C$13,2,FALSE),0)</f>
        <v>11.3</v>
      </c>
      <c r="X45" s="12">
        <f t="shared" si="1"/>
        <v>0</v>
      </c>
      <c r="Y45" s="26">
        <f t="shared" si="8"/>
        <v>0</v>
      </c>
      <c r="Z45" s="12">
        <f t="shared" si="2"/>
        <v>0</v>
      </c>
      <c r="AA45" s="4" t="s">
        <v>10</v>
      </c>
      <c r="AB45" s="11">
        <f>IFERROR(VLOOKUP(AA45,Curr!$B$2:$C$13,2,FALSE),0)</f>
        <v>11.3</v>
      </c>
      <c r="AC45" s="12">
        <f t="shared" si="3"/>
        <v>0</v>
      </c>
      <c r="AD45" s="12">
        <f t="shared" si="4"/>
        <v>0</v>
      </c>
      <c r="AE45" s="13">
        <f t="shared" si="5"/>
        <v>0</v>
      </c>
    </row>
    <row r="46" spans="2:31" x14ac:dyDescent="0.25">
      <c r="B46" s="4"/>
      <c r="C46" s="1" t="s">
        <v>139</v>
      </c>
      <c r="D46" s="1" t="s">
        <v>75</v>
      </c>
      <c r="E46" s="3"/>
      <c r="F46" s="3"/>
      <c r="G46" s="24"/>
      <c r="H46" s="24"/>
      <c r="J46" s="1" t="s">
        <v>148</v>
      </c>
      <c r="K46" s="4"/>
      <c r="L46" s="4"/>
      <c r="M46" s="4"/>
      <c r="N46" s="4"/>
      <c r="O46" s="4" t="s">
        <v>42</v>
      </c>
      <c r="P46" s="33" t="s">
        <v>149</v>
      </c>
      <c r="Q46" s="25">
        <v>34</v>
      </c>
      <c r="R46" s="25">
        <v>2</v>
      </c>
      <c r="S46" s="12">
        <f t="shared" si="0"/>
        <v>68</v>
      </c>
      <c r="T46" s="5">
        <v>0.15</v>
      </c>
      <c r="U46" s="12">
        <f t="shared" si="6"/>
        <v>57.8</v>
      </c>
      <c r="V46" s="25" t="s">
        <v>10</v>
      </c>
      <c r="W46" s="11">
        <f>IFERROR(VLOOKUP(V46,[1]Curr!$B$2:$C$13,2,FALSE),0)</f>
        <v>11.3</v>
      </c>
      <c r="X46" s="12">
        <f t="shared" si="1"/>
        <v>653.14</v>
      </c>
      <c r="Y46" s="26">
        <f t="shared" si="8"/>
        <v>34</v>
      </c>
      <c r="Z46" s="12">
        <f t="shared" si="2"/>
        <v>68</v>
      </c>
      <c r="AA46" s="4" t="s">
        <v>10</v>
      </c>
      <c r="AB46" s="11">
        <f>IFERROR(VLOOKUP(AA46,Curr!$B$2:$C$13,2,FALSE),0)</f>
        <v>11.3</v>
      </c>
      <c r="AC46" s="12">
        <f t="shared" si="3"/>
        <v>768.40000000000009</v>
      </c>
      <c r="AD46" s="12">
        <f t="shared" si="4"/>
        <v>115.2600000000001</v>
      </c>
      <c r="AE46" s="13">
        <f t="shared" si="5"/>
        <v>0.15000000000000011</v>
      </c>
    </row>
    <row r="47" spans="2:31" x14ac:dyDescent="0.25">
      <c r="B47" s="4"/>
      <c r="C47" s="1" t="s">
        <v>139</v>
      </c>
      <c r="D47" s="1" t="s">
        <v>68</v>
      </c>
      <c r="E47" s="3"/>
      <c r="F47" s="3"/>
      <c r="G47" s="24"/>
      <c r="H47" s="24"/>
      <c r="J47" s="1" t="s">
        <v>147</v>
      </c>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8"/>
        <v>0</v>
      </c>
      <c r="Z47" s="12">
        <f t="shared" si="2"/>
        <v>0</v>
      </c>
      <c r="AA47" s="4" t="s">
        <v>10</v>
      </c>
      <c r="AB47" s="11">
        <f>IFERROR(VLOOKUP(AA47,Curr!$B$2:$C$13,2,FALSE),0)</f>
        <v>11.3</v>
      </c>
      <c r="AC47" s="12">
        <f t="shared" si="3"/>
        <v>0</v>
      </c>
      <c r="AD47" s="12">
        <f t="shared" si="4"/>
        <v>0</v>
      </c>
      <c r="AE47" s="13">
        <f t="shared" si="5"/>
        <v>0</v>
      </c>
    </row>
    <row r="48" spans="2:31" x14ac:dyDescent="0.25">
      <c r="B48" s="4"/>
      <c r="C48" s="1" t="s">
        <v>139</v>
      </c>
      <c r="D48" s="1" t="s">
        <v>75</v>
      </c>
      <c r="E48" s="3"/>
      <c r="F48" s="3"/>
      <c r="G48" s="24"/>
      <c r="H48" s="24"/>
      <c r="J48" s="1" t="s">
        <v>150</v>
      </c>
      <c r="K48" s="4"/>
      <c r="L48" s="4"/>
      <c r="M48" s="4"/>
      <c r="N48" s="4"/>
      <c r="O48" s="4" t="s">
        <v>42</v>
      </c>
      <c r="P48" s="33" t="s">
        <v>151</v>
      </c>
      <c r="Q48" s="25">
        <v>2290</v>
      </c>
      <c r="R48" s="25">
        <v>2</v>
      </c>
      <c r="S48" s="12">
        <f t="shared" si="0"/>
        <v>4580</v>
      </c>
      <c r="T48" s="5">
        <v>0.15</v>
      </c>
      <c r="U48" s="12">
        <f t="shared" si="6"/>
        <v>3893</v>
      </c>
      <c r="V48" s="25" t="s">
        <v>8</v>
      </c>
      <c r="W48" s="11">
        <f>IFERROR(VLOOKUP(V48,[1]Curr!$B$2:$C$13,2,FALSE),0)</f>
        <v>1</v>
      </c>
      <c r="X48" s="12">
        <f t="shared" si="1"/>
        <v>3893</v>
      </c>
      <c r="Y48" s="26">
        <f>Q48/11.3</f>
        <v>202.65486725663715</v>
      </c>
      <c r="Z48" s="12">
        <f t="shared" si="2"/>
        <v>405.30973451327429</v>
      </c>
      <c r="AA48" s="4" t="s">
        <v>10</v>
      </c>
      <c r="AB48" s="11">
        <f>IFERROR(VLOOKUP(AA48,Curr!$B$2:$C$13,2,FALSE),0)</f>
        <v>11.3</v>
      </c>
      <c r="AC48" s="12">
        <f t="shared" si="3"/>
        <v>4580</v>
      </c>
      <c r="AD48" s="12">
        <f t="shared" si="4"/>
        <v>687</v>
      </c>
      <c r="AE48" s="13">
        <f t="shared" si="5"/>
        <v>0.15</v>
      </c>
    </row>
    <row r="49" spans="2:31" x14ac:dyDescent="0.25">
      <c r="B49" s="4"/>
      <c r="E49" s="3"/>
      <c r="F49" s="3"/>
      <c r="G49" s="24"/>
      <c r="H49" s="24"/>
      <c r="K49" s="4"/>
      <c r="L49" s="4"/>
      <c r="M49" s="4"/>
      <c r="N49" s="4"/>
      <c r="O49" s="4"/>
      <c r="P49" s="27"/>
      <c r="Q49" s="25"/>
      <c r="R49" s="25"/>
      <c r="S49" s="12">
        <f t="shared" si="0"/>
        <v>0</v>
      </c>
      <c r="T49" s="5">
        <v>0</v>
      </c>
      <c r="U49" s="12">
        <f t="shared" si="6"/>
        <v>0</v>
      </c>
      <c r="V49" s="25" t="s">
        <v>10</v>
      </c>
      <c r="W49" s="11">
        <f>IFERROR(VLOOKUP(V49,[1]Curr!$B$2:$C$13,2,FALSE),0)</f>
        <v>11.3</v>
      </c>
      <c r="X49" s="12">
        <f t="shared" si="1"/>
        <v>0</v>
      </c>
      <c r="Y49" s="26">
        <f t="shared" si="8"/>
        <v>0</v>
      </c>
      <c r="Z49" s="12">
        <f t="shared" si="2"/>
        <v>0</v>
      </c>
      <c r="AA49" s="4" t="s">
        <v>10</v>
      </c>
      <c r="AB49" s="11">
        <f>IFERROR(VLOOKUP(AA49,Curr!$B$2:$C$13,2,FALSE),0)</f>
        <v>11.3</v>
      </c>
      <c r="AC49" s="12">
        <f t="shared" si="3"/>
        <v>0</v>
      </c>
      <c r="AD49" s="12">
        <f t="shared" si="4"/>
        <v>0</v>
      </c>
      <c r="AE49" s="13">
        <f t="shared" si="5"/>
        <v>0</v>
      </c>
    </row>
    <row r="50" spans="2:31" x14ac:dyDescent="0.25">
      <c r="B50" s="4"/>
      <c r="C50" s="1" t="s">
        <v>155</v>
      </c>
      <c r="D50" s="1" t="s">
        <v>66</v>
      </c>
      <c r="E50" s="3"/>
      <c r="F50" s="3"/>
      <c r="G50" s="24"/>
      <c r="H50" s="24"/>
      <c r="J50" s="1" t="s">
        <v>152</v>
      </c>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8"/>
        <v>0</v>
      </c>
      <c r="Z50" s="12">
        <f t="shared" si="2"/>
        <v>0</v>
      </c>
      <c r="AA50" s="4" t="s">
        <v>10</v>
      </c>
      <c r="AB50" s="11">
        <f>IFERROR(VLOOKUP(AA50,Curr!$B$2:$C$13,2,FALSE),0)</f>
        <v>11.3</v>
      </c>
      <c r="AC50" s="12">
        <f t="shared" si="3"/>
        <v>0</v>
      </c>
      <c r="AD50" s="12">
        <f t="shared" si="4"/>
        <v>0</v>
      </c>
      <c r="AE50" s="13">
        <f t="shared" si="5"/>
        <v>0</v>
      </c>
    </row>
    <row r="51" spans="2:31" x14ac:dyDescent="0.25">
      <c r="B51" s="4"/>
      <c r="C51" s="1" t="s">
        <v>155</v>
      </c>
      <c r="D51" s="1" t="s">
        <v>85</v>
      </c>
      <c r="E51" s="3"/>
      <c r="F51" s="3"/>
      <c r="G51" s="24"/>
      <c r="H51" s="24"/>
      <c r="J51" s="1" t="s">
        <v>153</v>
      </c>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8"/>
        <v>0</v>
      </c>
      <c r="Z51" s="12">
        <f t="shared" si="2"/>
        <v>0</v>
      </c>
      <c r="AA51" s="4" t="s">
        <v>10</v>
      </c>
      <c r="AB51" s="11">
        <f>IFERROR(VLOOKUP(AA51,Curr!$B$2:$C$13,2,FALSE),0)</f>
        <v>11.3</v>
      </c>
      <c r="AC51" s="12">
        <f t="shared" si="3"/>
        <v>0</v>
      </c>
      <c r="AD51" s="12">
        <f t="shared" si="4"/>
        <v>0</v>
      </c>
      <c r="AE51" s="13">
        <f t="shared" si="5"/>
        <v>0</v>
      </c>
    </row>
    <row r="52" spans="2:31" x14ac:dyDescent="0.25">
      <c r="B52" s="4"/>
      <c r="E52" s="3"/>
      <c r="F52" s="3"/>
      <c r="G52" s="24"/>
      <c r="H52" s="24"/>
      <c r="K52" s="4"/>
      <c r="L52" s="4"/>
      <c r="M52" s="4"/>
      <c r="N52" s="4"/>
      <c r="O52" s="4"/>
      <c r="P52" s="27"/>
      <c r="Q52" s="25"/>
      <c r="R52" s="25"/>
      <c r="S52" s="12">
        <f t="shared" si="0"/>
        <v>0</v>
      </c>
      <c r="T52" s="5">
        <v>0</v>
      </c>
      <c r="U52" s="12">
        <f t="shared" si="6"/>
        <v>0</v>
      </c>
      <c r="V52" s="25" t="s">
        <v>10</v>
      </c>
      <c r="W52" s="11">
        <f>IFERROR(VLOOKUP(V52,[1]Curr!$B$2:$C$13,2,FALSE),0)</f>
        <v>11.3</v>
      </c>
      <c r="X52" s="12">
        <f t="shared" si="1"/>
        <v>0</v>
      </c>
      <c r="Y52" s="26">
        <f t="shared" si="8"/>
        <v>0</v>
      </c>
      <c r="Z52" s="12">
        <f t="shared" si="2"/>
        <v>0</v>
      </c>
      <c r="AA52" s="4" t="s">
        <v>10</v>
      </c>
      <c r="AB52" s="11">
        <f>IFERROR(VLOOKUP(AA52,Curr!$B$2:$C$13,2,FALSE),0)</f>
        <v>11.3</v>
      </c>
      <c r="AC52" s="12">
        <f t="shared" si="3"/>
        <v>0</v>
      </c>
      <c r="AD52" s="12">
        <f t="shared" si="4"/>
        <v>0</v>
      </c>
      <c r="AE52" s="13">
        <f t="shared" si="5"/>
        <v>0</v>
      </c>
    </row>
    <row r="53" spans="2:31" x14ac:dyDescent="0.25">
      <c r="B53" s="4"/>
      <c r="E53" s="3"/>
      <c r="F53" s="3"/>
      <c r="G53" s="24"/>
      <c r="H53" s="24"/>
      <c r="K53" s="4"/>
      <c r="L53" s="4"/>
      <c r="M53" s="4"/>
      <c r="N53" s="4"/>
      <c r="O53" s="4"/>
      <c r="P53" s="27"/>
      <c r="Q53" s="25"/>
      <c r="R53" s="25"/>
      <c r="S53" s="12">
        <f t="shared" si="0"/>
        <v>0</v>
      </c>
      <c r="T53" s="5">
        <v>0</v>
      </c>
      <c r="U53" s="12">
        <f t="shared" si="6"/>
        <v>0</v>
      </c>
      <c r="V53" s="25" t="s">
        <v>10</v>
      </c>
      <c r="W53" s="11">
        <f>IFERROR(VLOOKUP(V53,[1]Curr!$B$2:$C$13,2,FALSE),0)</f>
        <v>11.3</v>
      </c>
      <c r="X53" s="12">
        <f t="shared" si="1"/>
        <v>0</v>
      </c>
      <c r="Y53" s="26">
        <f t="shared" si="8"/>
        <v>0</v>
      </c>
      <c r="Z53" s="12">
        <f t="shared" si="2"/>
        <v>0</v>
      </c>
      <c r="AA53" s="4" t="s">
        <v>10</v>
      </c>
      <c r="AB53" s="11">
        <f>IFERROR(VLOOKUP(AA53,Curr!$B$2:$C$13,2,FALSE),0)</f>
        <v>11.3</v>
      </c>
      <c r="AC53" s="12">
        <f t="shared" si="3"/>
        <v>0</v>
      </c>
      <c r="AD53" s="12">
        <f t="shared" si="4"/>
        <v>0</v>
      </c>
      <c r="AE53" s="13">
        <f t="shared" si="5"/>
        <v>0</v>
      </c>
    </row>
    <row r="54" spans="2:31" x14ac:dyDescent="0.25">
      <c r="B54" s="4"/>
      <c r="C54" s="1" t="s">
        <v>64</v>
      </c>
      <c r="D54" s="1" t="s">
        <v>112</v>
      </c>
      <c r="E54" s="3"/>
      <c r="F54" s="3"/>
      <c r="G54" s="24"/>
      <c r="H54" s="24"/>
      <c r="J54" s="1" t="s">
        <v>73</v>
      </c>
      <c r="K54" s="4"/>
      <c r="L54" s="4"/>
      <c r="M54" s="4"/>
      <c r="N54" s="4"/>
      <c r="O54" s="4"/>
      <c r="P54" s="27"/>
      <c r="Q54" s="25">
        <v>80</v>
      </c>
      <c r="R54" s="25">
        <v>0</v>
      </c>
      <c r="S54" s="12">
        <f t="shared" si="0"/>
        <v>0</v>
      </c>
      <c r="T54" s="5">
        <v>0</v>
      </c>
      <c r="U54" s="12">
        <f t="shared" si="6"/>
        <v>0</v>
      </c>
      <c r="V54" s="25" t="s">
        <v>10</v>
      </c>
      <c r="W54" s="11">
        <f>IFERROR(VLOOKUP(V54,[1]Curr!$B$2:$C$13,2,FALSE),0)</f>
        <v>11.3</v>
      </c>
      <c r="X54" s="12">
        <f t="shared" si="1"/>
        <v>0</v>
      </c>
      <c r="Y54" s="26">
        <f>Q54/0.8</f>
        <v>100</v>
      </c>
      <c r="Z54" s="12">
        <f t="shared" si="2"/>
        <v>0</v>
      </c>
      <c r="AA54" s="4" t="s">
        <v>10</v>
      </c>
      <c r="AB54" s="11">
        <f>IFERROR(VLOOKUP(AA54,Curr!$B$2:$C$13,2,FALSE),0)</f>
        <v>11.3</v>
      </c>
      <c r="AC54" s="12">
        <f t="shared" si="3"/>
        <v>0</v>
      </c>
      <c r="AD54" s="12">
        <f t="shared" si="4"/>
        <v>0</v>
      </c>
      <c r="AE54" s="13">
        <f t="shared" si="5"/>
        <v>0</v>
      </c>
    </row>
    <row r="55" spans="2:31" x14ac:dyDescent="0.25">
      <c r="B55" s="4"/>
      <c r="C55" s="1" t="s">
        <v>77</v>
      </c>
      <c r="D55" s="1" t="s">
        <v>112</v>
      </c>
      <c r="E55" s="3"/>
      <c r="F55" s="3"/>
      <c r="G55" s="24"/>
      <c r="H55" s="24"/>
      <c r="J55" s="1" t="s">
        <v>70</v>
      </c>
      <c r="K55" s="4"/>
      <c r="L55" s="4"/>
      <c r="M55" s="4"/>
      <c r="N55" s="4"/>
      <c r="O55" s="4"/>
      <c r="P55" s="27"/>
      <c r="Q55" s="25">
        <v>40</v>
      </c>
      <c r="R55" s="25">
        <v>0</v>
      </c>
      <c r="S55" s="12">
        <f t="shared" si="0"/>
        <v>0</v>
      </c>
      <c r="T55" s="5">
        <v>0</v>
      </c>
      <c r="U55" s="12">
        <f t="shared" si="6"/>
        <v>0</v>
      </c>
      <c r="V55" s="25" t="s">
        <v>10</v>
      </c>
      <c r="W55" s="11">
        <f>IFERROR(VLOOKUP(V55,[1]Curr!$B$2:$C$13,2,FALSE),0)</f>
        <v>11.3</v>
      </c>
      <c r="X55" s="12">
        <f t="shared" si="1"/>
        <v>0</v>
      </c>
      <c r="Y55" s="26">
        <f>Q55/0.67</f>
        <v>59.701492537313428</v>
      </c>
      <c r="Z55" s="12">
        <f t="shared" si="2"/>
        <v>0</v>
      </c>
      <c r="AA55" s="4" t="s">
        <v>10</v>
      </c>
      <c r="AB55" s="11">
        <f>IFERROR(VLOOKUP(AA55,Curr!$B$2:$C$13,2,FALSE),0)</f>
        <v>11.3</v>
      </c>
      <c r="AC55" s="12">
        <f t="shared" si="3"/>
        <v>0</v>
      </c>
      <c r="AD55" s="12">
        <f t="shared" si="4"/>
        <v>0</v>
      </c>
      <c r="AE55" s="13">
        <f t="shared" si="5"/>
        <v>0</v>
      </c>
    </row>
    <row r="56" spans="2:31" x14ac:dyDescent="0.25">
      <c r="B56" s="4"/>
      <c r="C56" s="1" t="s">
        <v>82</v>
      </c>
      <c r="D56" s="1" t="s">
        <v>112</v>
      </c>
      <c r="E56" s="3"/>
      <c r="F56" s="3"/>
      <c r="G56" s="24"/>
      <c r="H56" s="24"/>
      <c r="J56" s="1" t="s">
        <v>107</v>
      </c>
      <c r="K56" s="4"/>
      <c r="L56" s="4"/>
      <c r="M56" s="4"/>
      <c r="N56" s="4"/>
      <c r="O56" s="4"/>
      <c r="P56" s="27"/>
      <c r="Q56" s="25">
        <v>40</v>
      </c>
      <c r="R56" s="25">
        <v>0</v>
      </c>
      <c r="S56" s="12">
        <f t="shared" si="0"/>
        <v>0</v>
      </c>
      <c r="T56" s="5">
        <v>0</v>
      </c>
      <c r="U56" s="12">
        <f t="shared" si="6"/>
        <v>0</v>
      </c>
      <c r="V56" s="25" t="s">
        <v>10</v>
      </c>
      <c r="W56" s="11">
        <f>IFERROR(VLOOKUP(V56,[1]Curr!$B$2:$C$13,2,FALSE),0)</f>
        <v>11.3</v>
      </c>
      <c r="X56" s="12">
        <f t="shared" si="1"/>
        <v>0</v>
      </c>
      <c r="Y56" s="26">
        <f>Q56/0.67</f>
        <v>59.701492537313428</v>
      </c>
      <c r="Z56" s="12">
        <f t="shared" si="2"/>
        <v>0</v>
      </c>
      <c r="AA56" s="4" t="s">
        <v>10</v>
      </c>
      <c r="AB56" s="11">
        <f>IFERROR(VLOOKUP(AA56,Curr!$B$2:$C$13,2,FALSE),0)</f>
        <v>11.3</v>
      </c>
      <c r="AC56" s="12">
        <f t="shared" si="3"/>
        <v>0</v>
      </c>
      <c r="AD56" s="12">
        <f t="shared" si="4"/>
        <v>0</v>
      </c>
      <c r="AE56" s="13">
        <f t="shared" si="5"/>
        <v>0</v>
      </c>
    </row>
    <row r="57" spans="2:31" x14ac:dyDescent="0.25">
      <c r="B57" s="4"/>
      <c r="C57" s="1" t="s">
        <v>155</v>
      </c>
      <c r="D57" s="1" t="s">
        <v>112</v>
      </c>
      <c r="E57" s="3"/>
      <c r="F57" s="3"/>
      <c r="G57" s="24"/>
      <c r="H57" s="24"/>
      <c r="J57" s="1" t="s">
        <v>152</v>
      </c>
      <c r="K57" s="4"/>
      <c r="L57" s="4"/>
      <c r="M57" s="4"/>
      <c r="N57" s="4"/>
      <c r="O57" s="4"/>
      <c r="P57" s="27"/>
      <c r="Q57" s="25">
        <v>900</v>
      </c>
      <c r="R57" s="25">
        <v>0</v>
      </c>
      <c r="S57" s="12">
        <f t="shared" si="0"/>
        <v>0</v>
      </c>
      <c r="T57" s="5">
        <v>0</v>
      </c>
      <c r="U57" s="12">
        <f t="shared" si="6"/>
        <v>0</v>
      </c>
      <c r="V57" s="25" t="s">
        <v>10</v>
      </c>
      <c r="W57" s="11">
        <f>IFERROR(VLOOKUP(V57,[1]Curr!$B$2:$C$13,2,FALSE),0)</f>
        <v>11.3</v>
      </c>
      <c r="X57" s="12">
        <f t="shared" si="1"/>
        <v>0</v>
      </c>
      <c r="Y57" s="26">
        <f>Q57/11.3/0.8</f>
        <v>99.55752212389379</v>
      </c>
      <c r="Z57" s="12">
        <f t="shared" si="2"/>
        <v>0</v>
      </c>
      <c r="AA57" s="4" t="s">
        <v>10</v>
      </c>
      <c r="AB57" s="11">
        <f>IFERROR(VLOOKUP(AA57,Curr!$B$2:$C$13,2,FALSE),0)</f>
        <v>11.3</v>
      </c>
      <c r="AC57" s="12">
        <f t="shared" si="3"/>
        <v>0</v>
      </c>
      <c r="AD57" s="12">
        <f t="shared" si="4"/>
        <v>0</v>
      </c>
      <c r="AE57" s="13">
        <f t="shared" si="5"/>
        <v>0</v>
      </c>
    </row>
    <row r="58" spans="2:31" x14ac:dyDescent="0.25">
      <c r="B58" s="4"/>
      <c r="E58" s="3"/>
      <c r="F58" s="3"/>
      <c r="G58" s="24"/>
      <c r="H58" s="24"/>
      <c r="K58" s="4"/>
      <c r="L58" s="4"/>
      <c r="M58" s="4"/>
      <c r="N58" s="4"/>
      <c r="O58" s="4"/>
      <c r="P58" s="27"/>
      <c r="Q58" s="25"/>
      <c r="R58" s="25"/>
      <c r="S58" s="12">
        <f t="shared" si="0"/>
        <v>0</v>
      </c>
      <c r="T58" s="5">
        <v>0</v>
      </c>
      <c r="U58" s="12">
        <f t="shared" si="6"/>
        <v>0</v>
      </c>
      <c r="V58" s="25" t="s">
        <v>10</v>
      </c>
      <c r="W58" s="11">
        <f>IFERROR(VLOOKUP(V58,[1]Curr!$B$2:$C$13,2,FALSE),0)</f>
        <v>11.3</v>
      </c>
      <c r="X58" s="12">
        <f t="shared" si="1"/>
        <v>0</v>
      </c>
      <c r="Y58" s="26">
        <f t="shared" si="8"/>
        <v>0</v>
      </c>
      <c r="Z58" s="12">
        <f t="shared" si="2"/>
        <v>0</v>
      </c>
      <c r="AA58" s="4" t="s">
        <v>10</v>
      </c>
      <c r="AB58" s="11">
        <f>IFERROR(VLOOKUP(AA58,Curr!$B$2:$C$13,2,FALSE),0)</f>
        <v>11.3</v>
      </c>
      <c r="AC58" s="12">
        <f t="shared" si="3"/>
        <v>0</v>
      </c>
      <c r="AD58" s="12">
        <f t="shared" si="4"/>
        <v>0</v>
      </c>
      <c r="AE58" s="13">
        <f t="shared" si="5"/>
        <v>0</v>
      </c>
    </row>
    <row r="59" spans="2:31" x14ac:dyDescent="0.25">
      <c r="B59" s="4"/>
      <c r="E59" s="3"/>
      <c r="F59" s="3"/>
      <c r="G59" s="24"/>
      <c r="H59" s="24"/>
      <c r="K59" s="4"/>
      <c r="L59" s="4"/>
      <c r="M59" s="4"/>
      <c r="N59" s="4"/>
      <c r="O59" s="4"/>
      <c r="P59" s="27"/>
      <c r="Q59" s="25"/>
      <c r="R59" s="25"/>
      <c r="S59" s="12">
        <f t="shared" si="0"/>
        <v>0</v>
      </c>
      <c r="T59" s="5">
        <v>0</v>
      </c>
      <c r="U59" s="12">
        <f t="shared" si="6"/>
        <v>0</v>
      </c>
      <c r="V59" s="25" t="s">
        <v>10</v>
      </c>
      <c r="W59" s="11">
        <f>IFERROR(VLOOKUP(V59,[1]Curr!$B$2:$C$13,2,FALSE),0)</f>
        <v>11.3</v>
      </c>
      <c r="X59" s="12">
        <f t="shared" si="1"/>
        <v>0</v>
      </c>
      <c r="Y59" s="26">
        <f t="shared" si="8"/>
        <v>0</v>
      </c>
      <c r="Z59" s="12">
        <f t="shared" si="2"/>
        <v>0</v>
      </c>
      <c r="AA59" s="4" t="s">
        <v>10</v>
      </c>
      <c r="AB59" s="11">
        <f>IFERROR(VLOOKUP(AA59,Curr!$B$2:$C$13,2,FALSE),0)</f>
        <v>11.3</v>
      </c>
      <c r="AC59" s="12">
        <f t="shared" si="3"/>
        <v>0</v>
      </c>
      <c r="AD59" s="12">
        <f t="shared" si="4"/>
        <v>0</v>
      </c>
      <c r="AE59" s="13">
        <f t="shared" si="5"/>
        <v>0</v>
      </c>
    </row>
    <row r="60" spans="2:31" x14ac:dyDescent="0.25">
      <c r="B60" s="4"/>
      <c r="C60" s="1" t="s">
        <v>76</v>
      </c>
      <c r="D60" s="1" t="s">
        <v>183</v>
      </c>
      <c r="E60" s="3"/>
      <c r="F60" s="3"/>
      <c r="G60" s="24"/>
      <c r="H60" s="24"/>
      <c r="J60" s="1" t="s">
        <v>190</v>
      </c>
      <c r="K60" s="4"/>
      <c r="L60" s="4"/>
      <c r="M60" s="4"/>
      <c r="N60" s="4"/>
      <c r="O60" s="4" t="s">
        <v>42</v>
      </c>
      <c r="P60" s="29" t="s">
        <v>191</v>
      </c>
      <c r="Q60" s="25">
        <f>(40+40)+(50*2)</f>
        <v>180</v>
      </c>
      <c r="R60" s="25">
        <v>0</v>
      </c>
      <c r="S60" s="12">
        <f t="shared" si="0"/>
        <v>0</v>
      </c>
      <c r="T60" s="5">
        <v>0</v>
      </c>
      <c r="U60" s="12">
        <f t="shared" si="6"/>
        <v>0</v>
      </c>
      <c r="V60" s="25" t="s">
        <v>10</v>
      </c>
      <c r="W60" s="11">
        <f>IFERROR(VLOOKUP(V60,[1]Curr!$B$2:$C$13,2,FALSE),0)</f>
        <v>11.3</v>
      </c>
      <c r="X60" s="12">
        <f t="shared" si="1"/>
        <v>0</v>
      </c>
      <c r="Y60" s="26">
        <f>Q60/0.8</f>
        <v>225</v>
      </c>
      <c r="Z60" s="12">
        <f t="shared" si="2"/>
        <v>0</v>
      </c>
      <c r="AA60" s="4" t="s">
        <v>10</v>
      </c>
      <c r="AB60" s="11">
        <f>IFERROR(VLOOKUP(AA60,Curr!$B$2:$C$13,2,FALSE),0)</f>
        <v>11.3</v>
      </c>
      <c r="AC60" s="12">
        <f t="shared" si="3"/>
        <v>0</v>
      </c>
      <c r="AD60" s="12">
        <f t="shared" si="4"/>
        <v>0</v>
      </c>
      <c r="AE60" s="13">
        <f t="shared" si="5"/>
        <v>0</v>
      </c>
    </row>
    <row r="61" spans="2:31" x14ac:dyDescent="0.25">
      <c r="B61" s="4"/>
      <c r="C61" s="1" t="s">
        <v>76</v>
      </c>
      <c r="D61" s="1" t="s">
        <v>183</v>
      </c>
      <c r="E61" s="3"/>
      <c r="F61" s="3"/>
      <c r="G61" s="24"/>
      <c r="H61" s="24"/>
      <c r="J61" s="1" t="s">
        <v>192</v>
      </c>
      <c r="K61" s="4"/>
      <c r="L61" s="4"/>
      <c r="M61" s="4"/>
      <c r="N61" s="4"/>
      <c r="O61" s="4" t="s">
        <v>42</v>
      </c>
      <c r="P61" s="33" t="s">
        <v>193</v>
      </c>
      <c r="Q61" s="25">
        <v>25</v>
      </c>
      <c r="R61" s="25">
        <v>0</v>
      </c>
      <c r="S61" s="12">
        <f t="shared" si="0"/>
        <v>0</v>
      </c>
      <c r="T61" s="5">
        <v>0</v>
      </c>
      <c r="U61" s="12">
        <f t="shared" si="6"/>
        <v>0</v>
      </c>
      <c r="V61" s="25" t="s">
        <v>10</v>
      </c>
      <c r="W61" s="11">
        <f>IFERROR(VLOOKUP(V61,[1]Curr!$B$2:$C$13,2,FALSE),0)</f>
        <v>11.3</v>
      </c>
      <c r="X61" s="12">
        <f t="shared" si="1"/>
        <v>0</v>
      </c>
      <c r="Y61" s="26">
        <f>Q61/0.62</f>
        <v>40.322580645161288</v>
      </c>
      <c r="Z61" s="12">
        <f t="shared" si="2"/>
        <v>0</v>
      </c>
      <c r="AA61" s="4" t="s">
        <v>10</v>
      </c>
      <c r="AB61" s="11">
        <f>IFERROR(VLOOKUP(AA61,Curr!$B$2:$C$13,2,FALSE),0)</f>
        <v>11.3</v>
      </c>
      <c r="AC61" s="12">
        <f t="shared" si="3"/>
        <v>0</v>
      </c>
      <c r="AD61" s="12">
        <f t="shared" si="4"/>
        <v>0</v>
      </c>
      <c r="AE61" s="13">
        <f t="shared" si="5"/>
        <v>0</v>
      </c>
    </row>
    <row r="62" spans="2:31" x14ac:dyDescent="0.25">
      <c r="B62" s="4"/>
      <c r="C62" s="1" t="s">
        <v>78</v>
      </c>
      <c r="D62" s="1" t="s">
        <v>183</v>
      </c>
      <c r="E62" s="3"/>
      <c r="F62" s="3"/>
      <c r="G62" s="24"/>
      <c r="H62" s="24"/>
      <c r="J62" s="1" t="s">
        <v>184</v>
      </c>
      <c r="K62" s="4"/>
      <c r="L62" s="4"/>
      <c r="M62" s="4"/>
      <c r="N62" s="4"/>
      <c r="O62" s="4" t="s">
        <v>42</v>
      </c>
      <c r="P62" s="33" t="s">
        <v>185</v>
      </c>
      <c r="Q62" s="25">
        <v>252</v>
      </c>
      <c r="R62" s="25">
        <v>0</v>
      </c>
      <c r="S62" s="12">
        <f t="shared" si="0"/>
        <v>0</v>
      </c>
      <c r="T62" s="5">
        <v>0.2</v>
      </c>
      <c r="U62" s="12">
        <f t="shared" si="6"/>
        <v>0</v>
      </c>
      <c r="V62" s="25" t="s">
        <v>10</v>
      </c>
      <c r="W62" s="11">
        <f>IFERROR(VLOOKUP(V62,[1]Curr!$B$2:$C$13,2,FALSE),0)</f>
        <v>11.3</v>
      </c>
      <c r="X62" s="12">
        <f t="shared" si="1"/>
        <v>0</v>
      </c>
      <c r="Y62" s="26">
        <f t="shared" ref="Y62" si="12">Q62</f>
        <v>252</v>
      </c>
      <c r="Z62" s="12">
        <f t="shared" si="2"/>
        <v>0</v>
      </c>
      <c r="AA62" s="4" t="s">
        <v>10</v>
      </c>
      <c r="AB62" s="11">
        <f>IFERROR(VLOOKUP(AA62,Curr!$B$2:$C$13,2,FALSE),0)</f>
        <v>11.3</v>
      </c>
      <c r="AC62" s="12">
        <f t="shared" si="3"/>
        <v>0</v>
      </c>
      <c r="AD62" s="12">
        <f t="shared" si="4"/>
        <v>0</v>
      </c>
      <c r="AE62" s="13">
        <f t="shared" si="5"/>
        <v>0</v>
      </c>
    </row>
    <row r="63" spans="2:31" x14ac:dyDescent="0.25">
      <c r="B63" s="4"/>
      <c r="C63" s="1" t="s">
        <v>83</v>
      </c>
      <c r="D63" s="1" t="s">
        <v>183</v>
      </c>
      <c r="E63" s="3"/>
      <c r="F63" s="3"/>
      <c r="G63" s="24"/>
      <c r="H63" s="24"/>
      <c r="J63" s="1" t="s">
        <v>188</v>
      </c>
      <c r="K63" s="4"/>
      <c r="L63" s="4"/>
      <c r="M63" s="4"/>
      <c r="N63" s="4"/>
      <c r="O63" s="4" t="s">
        <v>42</v>
      </c>
      <c r="P63" s="33" t="s">
        <v>189</v>
      </c>
      <c r="Q63" s="25">
        <v>2195</v>
      </c>
      <c r="R63" s="25">
        <v>0</v>
      </c>
      <c r="S63" s="12">
        <f t="shared" si="0"/>
        <v>0</v>
      </c>
      <c r="T63" s="5">
        <v>0.2</v>
      </c>
      <c r="U63" s="12">
        <f t="shared" si="6"/>
        <v>0</v>
      </c>
      <c r="V63" s="25" t="s">
        <v>8</v>
      </c>
      <c r="W63" s="11">
        <f>IFERROR(VLOOKUP(V63,[1]Curr!$B$2:$C$13,2,FALSE),0)</f>
        <v>1</v>
      </c>
      <c r="X63" s="12">
        <f t="shared" si="1"/>
        <v>0</v>
      </c>
      <c r="Y63" s="26">
        <f t="shared" ref="Y63" si="13">Q63/11.3</f>
        <v>194.24778761061947</v>
      </c>
      <c r="Z63" s="12">
        <f t="shared" si="2"/>
        <v>0</v>
      </c>
      <c r="AA63" s="4" t="s">
        <v>10</v>
      </c>
      <c r="AB63" s="11">
        <f>IFERROR(VLOOKUP(AA63,Curr!$B$2:$C$13,2,FALSE),0)</f>
        <v>11.3</v>
      </c>
      <c r="AC63" s="12">
        <f t="shared" si="3"/>
        <v>0</v>
      </c>
      <c r="AD63" s="12">
        <f t="shared" si="4"/>
        <v>0</v>
      </c>
      <c r="AE63" s="13">
        <f t="shared" si="5"/>
        <v>0</v>
      </c>
    </row>
    <row r="64" spans="2:31" x14ac:dyDescent="0.25">
      <c r="B64" s="4"/>
      <c r="C64" s="1" t="s">
        <v>139</v>
      </c>
      <c r="D64" s="1" t="s">
        <v>183</v>
      </c>
      <c r="E64" s="3"/>
      <c r="F64" s="3"/>
      <c r="G64" s="24"/>
      <c r="H64" s="24"/>
      <c r="J64" s="1" t="s">
        <v>200</v>
      </c>
      <c r="K64" s="4"/>
      <c r="L64" s="4"/>
      <c r="M64" s="4"/>
      <c r="N64" s="4"/>
      <c r="O64" s="4" t="s">
        <v>42</v>
      </c>
      <c r="P64" s="33" t="s">
        <v>201</v>
      </c>
      <c r="Q64" s="25">
        <v>185</v>
      </c>
      <c r="R64" s="25">
        <v>0</v>
      </c>
      <c r="S64" s="12">
        <f t="shared" si="0"/>
        <v>0</v>
      </c>
      <c r="T64" s="5">
        <v>0.15</v>
      </c>
      <c r="U64" s="12">
        <f t="shared" si="6"/>
        <v>0</v>
      </c>
      <c r="V64" s="25" t="s">
        <v>10</v>
      </c>
      <c r="W64" s="11">
        <f>IFERROR(VLOOKUP(V64,[1]Curr!$B$2:$C$13,2,FALSE),0)</f>
        <v>11.3</v>
      </c>
      <c r="X64" s="12">
        <f t="shared" si="1"/>
        <v>0</v>
      </c>
      <c r="Y64" s="26">
        <f t="shared" si="8"/>
        <v>185</v>
      </c>
      <c r="Z64" s="12">
        <f t="shared" si="2"/>
        <v>0</v>
      </c>
      <c r="AA64" s="4" t="s">
        <v>10</v>
      </c>
      <c r="AB64" s="11">
        <f>IFERROR(VLOOKUP(AA64,Curr!$B$2:$C$13,2,FALSE),0)</f>
        <v>11.3</v>
      </c>
      <c r="AC64" s="12">
        <f t="shared" si="3"/>
        <v>0</v>
      </c>
      <c r="AD64" s="12">
        <f t="shared" si="4"/>
        <v>0</v>
      </c>
      <c r="AE64" s="13">
        <f t="shared" si="5"/>
        <v>0</v>
      </c>
    </row>
    <row r="65" spans="2:36" x14ac:dyDescent="0.25">
      <c r="B65" s="4"/>
      <c r="E65" s="3"/>
      <c r="F65" s="3"/>
      <c r="G65" s="24"/>
      <c r="H65" s="24"/>
      <c r="K65" s="4"/>
      <c r="L65" s="4"/>
      <c r="M65" s="4"/>
      <c r="N65" s="4"/>
      <c r="O65" s="4"/>
      <c r="P65" s="27"/>
      <c r="Q65" s="25"/>
      <c r="R65" s="25"/>
      <c r="S65" s="12">
        <f t="shared" si="0"/>
        <v>0</v>
      </c>
      <c r="T65" s="5">
        <v>0</v>
      </c>
      <c r="U65" s="12">
        <f t="shared" si="6"/>
        <v>0</v>
      </c>
      <c r="V65" s="25" t="s">
        <v>10</v>
      </c>
      <c r="W65" s="11">
        <f>IFERROR(VLOOKUP(V65,[1]Curr!$B$2:$C$13,2,FALSE),0)</f>
        <v>11.3</v>
      </c>
      <c r="X65" s="12">
        <f t="shared" si="1"/>
        <v>0</v>
      </c>
      <c r="Y65" s="26">
        <f t="shared" si="8"/>
        <v>0</v>
      </c>
      <c r="Z65" s="12">
        <f t="shared" si="2"/>
        <v>0</v>
      </c>
      <c r="AA65" s="4" t="s">
        <v>10</v>
      </c>
      <c r="AB65" s="11">
        <f>IFERROR(VLOOKUP(AA65,Curr!$B$2:$C$13,2,FALSE),0)</f>
        <v>11.3</v>
      </c>
      <c r="AC65" s="12">
        <f t="shared" si="3"/>
        <v>0</v>
      </c>
      <c r="AD65" s="12">
        <f t="shared" si="4"/>
        <v>0</v>
      </c>
      <c r="AE65" s="13">
        <f t="shared" si="5"/>
        <v>0</v>
      </c>
    </row>
    <row r="66" spans="2:36" x14ac:dyDescent="0.25">
      <c r="B66" s="4"/>
      <c r="E66" s="3"/>
      <c r="F66" s="3"/>
      <c r="G66" s="24"/>
      <c r="H66" s="24"/>
      <c r="K66" s="4"/>
      <c r="L66" s="4"/>
      <c r="M66" s="4"/>
      <c r="N66" s="4"/>
      <c r="O66" s="4"/>
      <c r="P66" s="27"/>
      <c r="Q66" s="25"/>
      <c r="R66" s="25"/>
      <c r="S66" s="12">
        <f t="shared" si="0"/>
        <v>0</v>
      </c>
      <c r="T66" s="5">
        <v>0</v>
      </c>
      <c r="U66" s="12">
        <f t="shared" si="6"/>
        <v>0</v>
      </c>
      <c r="V66" s="25" t="s">
        <v>10</v>
      </c>
      <c r="W66" s="11">
        <f>IFERROR(VLOOKUP(V66,[1]Curr!$B$2:$C$13,2,FALSE),0)</f>
        <v>11.3</v>
      </c>
      <c r="X66" s="12">
        <f t="shared" si="1"/>
        <v>0</v>
      </c>
      <c r="Y66" s="26">
        <f t="shared" si="8"/>
        <v>0</v>
      </c>
      <c r="Z66" s="12">
        <f t="shared" si="2"/>
        <v>0</v>
      </c>
      <c r="AA66" s="4" t="s">
        <v>10</v>
      </c>
      <c r="AB66" s="11">
        <f>IFERROR(VLOOKUP(AA66,Curr!$B$2:$C$13,2,FALSE),0)</f>
        <v>11.3</v>
      </c>
      <c r="AC66" s="12">
        <f t="shared" si="3"/>
        <v>0</v>
      </c>
      <c r="AD66" s="12">
        <f t="shared" si="4"/>
        <v>0</v>
      </c>
      <c r="AE66" s="13">
        <f t="shared" si="5"/>
        <v>0</v>
      </c>
    </row>
    <row r="67" spans="2:36" x14ac:dyDescent="0.25">
      <c r="B67" s="4"/>
      <c r="C67" s="1" t="s">
        <v>155</v>
      </c>
      <c r="D67" s="1" t="s">
        <v>203</v>
      </c>
      <c r="E67" s="3"/>
      <c r="F67" s="3"/>
      <c r="G67" s="24"/>
      <c r="H67" s="24"/>
      <c r="J67" s="1" t="s">
        <v>205</v>
      </c>
      <c r="K67" s="4"/>
      <c r="L67" s="4"/>
      <c r="M67" s="4"/>
      <c r="N67" s="4"/>
      <c r="O67" s="4"/>
      <c r="P67" s="27"/>
      <c r="Q67" s="25">
        <v>0</v>
      </c>
      <c r="R67" s="25">
        <v>0</v>
      </c>
      <c r="S67" s="12">
        <f t="shared" si="0"/>
        <v>0</v>
      </c>
      <c r="T67" s="5">
        <v>0</v>
      </c>
      <c r="U67" s="12">
        <f t="shared" si="6"/>
        <v>0</v>
      </c>
      <c r="V67" s="25" t="s">
        <v>8</v>
      </c>
      <c r="W67" s="11">
        <f>IFERROR(VLOOKUP(V67,[1]Curr!$B$2:$C$13,2,FALSE),0)</f>
        <v>1</v>
      </c>
      <c r="X67" s="12">
        <f t="shared" si="1"/>
        <v>0</v>
      </c>
      <c r="Y67" s="26">
        <f>Q67/11.3/0.8</f>
        <v>0</v>
      </c>
      <c r="Z67" s="12">
        <f t="shared" si="2"/>
        <v>0</v>
      </c>
      <c r="AA67" s="4" t="s">
        <v>10</v>
      </c>
      <c r="AB67" s="11">
        <f>IFERROR(VLOOKUP(AA67,Curr!$B$2:$C$13,2,FALSE),0)</f>
        <v>11.3</v>
      </c>
      <c r="AC67" s="12">
        <f t="shared" si="3"/>
        <v>0</v>
      </c>
      <c r="AD67" s="12">
        <f t="shared" si="4"/>
        <v>0</v>
      </c>
      <c r="AE67" s="13">
        <f t="shared" si="5"/>
        <v>0</v>
      </c>
    </row>
    <row r="68" spans="2:36" x14ac:dyDescent="0.25">
      <c r="B68" s="4"/>
      <c r="C68" s="1" t="s">
        <v>155</v>
      </c>
      <c r="D68" s="1" t="s">
        <v>203</v>
      </c>
      <c r="E68" s="3"/>
      <c r="F68" s="3"/>
      <c r="G68" s="24"/>
      <c r="H68" s="24"/>
      <c r="J68" s="1" t="s">
        <v>164</v>
      </c>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ref="Y68:Y71" si="14">Q68</f>
        <v>0</v>
      </c>
      <c r="Z68" s="12">
        <f t="shared" si="2"/>
        <v>0</v>
      </c>
      <c r="AA68" s="4" t="s">
        <v>10</v>
      </c>
      <c r="AB68" s="11">
        <f>IFERROR(VLOOKUP(AA68,Curr!$B$2:$C$13,2,FALSE),0)</f>
        <v>11.3</v>
      </c>
      <c r="AC68" s="12">
        <f t="shared" si="3"/>
        <v>0</v>
      </c>
      <c r="AD68" s="12">
        <f t="shared" si="4"/>
        <v>0</v>
      </c>
      <c r="AE68" s="13">
        <f t="shared" si="5"/>
        <v>0</v>
      </c>
    </row>
    <row r="69" spans="2:36" x14ac:dyDescent="0.25">
      <c r="B69" s="4"/>
      <c r="C69" s="1" t="s">
        <v>155</v>
      </c>
      <c r="D69" s="1" t="s">
        <v>203</v>
      </c>
      <c r="E69" s="3"/>
      <c r="F69" s="3"/>
      <c r="G69" s="24"/>
      <c r="H69" s="24"/>
      <c r="J69" s="1" t="s">
        <v>204</v>
      </c>
      <c r="K69" s="4"/>
      <c r="L69" s="4"/>
      <c r="M69" s="4"/>
      <c r="N69" s="4"/>
      <c r="O69" s="4"/>
      <c r="P69" s="27"/>
      <c r="Q69" s="25">
        <v>175</v>
      </c>
      <c r="R69" s="25">
        <v>0</v>
      </c>
      <c r="S69" s="12">
        <f t="shared" si="0"/>
        <v>0</v>
      </c>
      <c r="T69" s="5">
        <v>0</v>
      </c>
      <c r="U69" s="12">
        <f t="shared" si="6"/>
        <v>0</v>
      </c>
      <c r="V69" s="25" t="s">
        <v>10</v>
      </c>
      <c r="W69" s="11">
        <f>IFERROR(VLOOKUP(V69,[1]Curr!$B$2:$C$13,2,FALSE),0)</f>
        <v>11.3</v>
      </c>
      <c r="X69" s="12">
        <f t="shared" si="1"/>
        <v>0</v>
      </c>
      <c r="Y69" s="26">
        <f>Q69/0.85</f>
        <v>205.88235294117646</v>
      </c>
      <c r="Z69" s="12">
        <f t="shared" si="2"/>
        <v>0</v>
      </c>
      <c r="AA69" s="4" t="s">
        <v>10</v>
      </c>
      <c r="AB69" s="11">
        <f>IFERROR(VLOOKUP(AA69,Curr!$B$2:$C$13,2,FALSE),0)</f>
        <v>11.3</v>
      </c>
      <c r="AC69" s="12">
        <f t="shared" si="3"/>
        <v>0</v>
      </c>
      <c r="AD69" s="12">
        <f t="shared" si="4"/>
        <v>0</v>
      </c>
      <c r="AE69" s="13">
        <f t="shared" si="5"/>
        <v>0</v>
      </c>
    </row>
    <row r="70" spans="2:36" x14ac:dyDescent="0.25">
      <c r="B70" s="4"/>
      <c r="C70" s="1" t="s">
        <v>155</v>
      </c>
      <c r="D70" s="1" t="s">
        <v>203</v>
      </c>
      <c r="E70" s="3"/>
      <c r="F70" s="3"/>
      <c r="G70" s="24"/>
      <c r="H70" s="24"/>
      <c r="J70" s="1" t="s">
        <v>163</v>
      </c>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14"/>
        <v>0</v>
      </c>
      <c r="Z70" s="12">
        <f t="shared" si="2"/>
        <v>0</v>
      </c>
      <c r="AA70" s="4" t="s">
        <v>10</v>
      </c>
      <c r="AB70" s="11">
        <f>IFERROR(VLOOKUP(AA70,Curr!$B$2:$C$13,2,FALSE),0)</f>
        <v>11.3</v>
      </c>
      <c r="AC70" s="12">
        <f t="shared" si="3"/>
        <v>0</v>
      </c>
      <c r="AD70" s="12">
        <f t="shared" si="4"/>
        <v>0</v>
      </c>
      <c r="AE70" s="13">
        <f t="shared" si="5"/>
        <v>0</v>
      </c>
    </row>
    <row r="71" spans="2:36" x14ac:dyDescent="0.25">
      <c r="B71" s="4"/>
      <c r="C71" s="1" t="s">
        <v>181</v>
      </c>
      <c r="D71" s="1" t="s">
        <v>203</v>
      </c>
      <c r="E71" s="3"/>
      <c r="F71" s="3"/>
      <c r="G71" s="24"/>
      <c r="H71" s="24"/>
      <c r="J71" s="1" t="s">
        <v>162</v>
      </c>
      <c r="K71" s="4"/>
      <c r="L71" s="4"/>
      <c r="M71" s="4"/>
      <c r="N71" s="4"/>
      <c r="O71" s="4"/>
      <c r="P71" s="27"/>
      <c r="Q71" s="25">
        <v>0</v>
      </c>
      <c r="R71" s="25">
        <v>0</v>
      </c>
      <c r="S71" s="12">
        <f t="shared" ref="S71:S76" si="15">+Q71*R71</f>
        <v>0</v>
      </c>
      <c r="T71" s="5">
        <v>0</v>
      </c>
      <c r="U71" s="12">
        <f t="shared" si="6"/>
        <v>0</v>
      </c>
      <c r="V71" s="25" t="s">
        <v>10</v>
      </c>
      <c r="W71" s="11">
        <f>IFERROR(VLOOKUP(V71,[1]Curr!$B$2:$C$13,2,FALSE),0)</f>
        <v>11.3</v>
      </c>
      <c r="X71" s="12">
        <f t="shared" ref="X71:X76" si="16">U71*W71</f>
        <v>0</v>
      </c>
      <c r="Y71" s="26">
        <f t="shared" si="14"/>
        <v>0</v>
      </c>
      <c r="Z71" s="12">
        <f t="shared" ref="Z71:Z76" si="17">+Y71*R71</f>
        <v>0</v>
      </c>
      <c r="AA71" s="4" t="s">
        <v>10</v>
      </c>
      <c r="AB71" s="11">
        <f>IFERROR(VLOOKUP(AA71,Curr!$B$2:$C$13,2,FALSE),0)</f>
        <v>11.3</v>
      </c>
      <c r="AC71" s="12">
        <f t="shared" ref="AC71:AC76" si="18">+Y71*AB71*R71</f>
        <v>0</v>
      </c>
      <c r="AD71" s="12">
        <f t="shared" ref="AD71:AD76" si="19">+AC71-X71</f>
        <v>0</v>
      </c>
      <c r="AE71" s="13">
        <f t="shared" ref="AE71:AE76" si="20">IFERROR(AD71/AC71,0)</f>
        <v>0</v>
      </c>
    </row>
    <row r="72" spans="2:36" x14ac:dyDescent="0.25">
      <c r="B72" s="4"/>
      <c r="E72" s="3"/>
      <c r="F72" s="3"/>
      <c r="G72" s="24"/>
      <c r="H72" s="24"/>
      <c r="K72" s="4"/>
      <c r="L72" s="4"/>
      <c r="M72" s="4"/>
      <c r="N72" s="4"/>
      <c r="O72" s="4"/>
      <c r="P72" s="27"/>
      <c r="Q72" s="25"/>
      <c r="R72" s="25"/>
      <c r="S72" s="12">
        <f t="shared" si="15"/>
        <v>0</v>
      </c>
      <c r="T72" s="5">
        <v>0</v>
      </c>
      <c r="U72" s="12">
        <f t="shared" ref="U72:U76" si="21">S72*(1-T72)</f>
        <v>0</v>
      </c>
      <c r="V72" s="25" t="s">
        <v>10</v>
      </c>
      <c r="W72" s="11">
        <f>IFERROR(VLOOKUP(V72,[1]Curr!$B$2:$C$13,2,FALSE),0)</f>
        <v>11.3</v>
      </c>
      <c r="X72" s="12">
        <f t="shared" si="16"/>
        <v>0</v>
      </c>
      <c r="Y72" s="26">
        <f t="shared" ref="Y72:Y76" si="22">Q72</f>
        <v>0</v>
      </c>
      <c r="Z72" s="12">
        <f t="shared" si="17"/>
        <v>0</v>
      </c>
      <c r="AA72" s="4" t="s">
        <v>10</v>
      </c>
      <c r="AB72" s="11">
        <f>IFERROR(VLOOKUP(AA72,Curr!$B$2:$C$13,2,FALSE),0)</f>
        <v>11.3</v>
      </c>
      <c r="AC72" s="12">
        <f t="shared" si="18"/>
        <v>0</v>
      </c>
      <c r="AD72" s="12">
        <f t="shared" si="19"/>
        <v>0</v>
      </c>
      <c r="AE72" s="13">
        <f t="shared" si="20"/>
        <v>0</v>
      </c>
    </row>
    <row r="73" spans="2:36" x14ac:dyDescent="0.25">
      <c r="B73" s="4"/>
      <c r="E73" s="3"/>
      <c r="F73" s="3"/>
      <c r="G73" s="24"/>
      <c r="H73" s="24"/>
      <c r="K73" s="4"/>
      <c r="L73" s="4"/>
      <c r="M73" s="4"/>
      <c r="N73" s="4"/>
      <c r="O73" s="4"/>
      <c r="P73" s="27"/>
      <c r="Q73" s="25"/>
      <c r="R73" s="25"/>
      <c r="S73" s="12">
        <f t="shared" si="15"/>
        <v>0</v>
      </c>
      <c r="T73" s="5">
        <v>0</v>
      </c>
      <c r="U73" s="12">
        <f t="shared" si="21"/>
        <v>0</v>
      </c>
      <c r="V73" s="25" t="s">
        <v>10</v>
      </c>
      <c r="W73" s="11">
        <f>IFERROR(VLOOKUP(V73,[1]Curr!$B$2:$C$13,2,FALSE),0)</f>
        <v>11.3</v>
      </c>
      <c r="X73" s="12">
        <f t="shared" si="16"/>
        <v>0</v>
      </c>
      <c r="Y73" s="26">
        <f t="shared" si="22"/>
        <v>0</v>
      </c>
      <c r="Z73" s="12">
        <f t="shared" si="17"/>
        <v>0</v>
      </c>
      <c r="AA73" s="4" t="s">
        <v>10</v>
      </c>
      <c r="AB73" s="11">
        <f>IFERROR(VLOOKUP(AA73,Curr!$B$2:$C$13,2,FALSE),0)</f>
        <v>11.3</v>
      </c>
      <c r="AC73" s="12">
        <f t="shared" si="18"/>
        <v>0</v>
      </c>
      <c r="AD73" s="12">
        <f t="shared" si="19"/>
        <v>0</v>
      </c>
      <c r="AE73" s="13">
        <f t="shared" si="20"/>
        <v>0</v>
      </c>
    </row>
    <row r="74" spans="2:36" x14ac:dyDescent="0.25">
      <c r="B74" s="4"/>
      <c r="E74" s="3"/>
      <c r="F74" s="3"/>
      <c r="G74" s="24"/>
      <c r="H74" s="24"/>
      <c r="K74" s="4"/>
      <c r="L74" s="4"/>
      <c r="M74" s="4"/>
      <c r="N74" s="4"/>
      <c r="O74" s="4"/>
      <c r="P74" s="27"/>
      <c r="Q74" s="25"/>
      <c r="R74" s="25"/>
      <c r="S74" s="12">
        <f t="shared" si="15"/>
        <v>0</v>
      </c>
      <c r="T74" s="5">
        <v>0</v>
      </c>
      <c r="U74" s="12">
        <f t="shared" si="21"/>
        <v>0</v>
      </c>
      <c r="V74" s="25" t="s">
        <v>10</v>
      </c>
      <c r="W74" s="11">
        <f>IFERROR(VLOOKUP(V74,[1]Curr!$B$2:$C$13,2,FALSE),0)</f>
        <v>11.3</v>
      </c>
      <c r="X74" s="12">
        <f t="shared" si="16"/>
        <v>0</v>
      </c>
      <c r="Y74" s="26">
        <f t="shared" si="22"/>
        <v>0</v>
      </c>
      <c r="Z74" s="12">
        <f t="shared" si="17"/>
        <v>0</v>
      </c>
      <c r="AA74" s="4" t="s">
        <v>10</v>
      </c>
      <c r="AB74" s="11">
        <f>IFERROR(VLOOKUP(AA74,Curr!$B$2:$C$13,2,FALSE),0)</f>
        <v>11.3</v>
      </c>
      <c r="AC74" s="12">
        <f t="shared" si="18"/>
        <v>0</v>
      </c>
      <c r="AD74" s="12">
        <f t="shared" si="19"/>
        <v>0</v>
      </c>
      <c r="AE74" s="13">
        <f t="shared" si="20"/>
        <v>0</v>
      </c>
    </row>
    <row r="75" spans="2:36" x14ac:dyDescent="0.25">
      <c r="B75" s="4"/>
      <c r="E75" s="3"/>
      <c r="F75" s="3"/>
      <c r="G75" s="24"/>
      <c r="H75" s="24"/>
      <c r="K75" s="4"/>
      <c r="L75" s="4"/>
      <c r="M75" s="4"/>
      <c r="N75" s="4"/>
      <c r="O75" s="4"/>
      <c r="P75" s="27"/>
      <c r="Q75" s="25"/>
      <c r="R75" s="25"/>
      <c r="S75" s="12">
        <f t="shared" si="15"/>
        <v>0</v>
      </c>
      <c r="T75" s="5">
        <v>0</v>
      </c>
      <c r="U75" s="12">
        <f t="shared" si="21"/>
        <v>0</v>
      </c>
      <c r="V75" s="25" t="s">
        <v>10</v>
      </c>
      <c r="W75" s="11">
        <f>IFERROR(VLOOKUP(V75,[1]Curr!$B$2:$C$13,2,FALSE),0)</f>
        <v>11.3</v>
      </c>
      <c r="X75" s="12">
        <f t="shared" si="16"/>
        <v>0</v>
      </c>
      <c r="Y75" s="26">
        <f t="shared" si="22"/>
        <v>0</v>
      </c>
      <c r="Z75" s="12">
        <f t="shared" si="17"/>
        <v>0</v>
      </c>
      <c r="AA75" s="4" t="s">
        <v>10</v>
      </c>
      <c r="AB75" s="11">
        <f>IFERROR(VLOOKUP(AA75,Curr!$B$2:$C$13,2,FALSE),0)</f>
        <v>11.3</v>
      </c>
      <c r="AC75" s="12">
        <f t="shared" si="18"/>
        <v>0</v>
      </c>
      <c r="AD75" s="12">
        <f t="shared" si="19"/>
        <v>0</v>
      </c>
      <c r="AE75" s="13">
        <f t="shared" si="20"/>
        <v>0</v>
      </c>
    </row>
    <row r="76" spans="2:36" x14ac:dyDescent="0.25">
      <c r="B76" s="4"/>
      <c r="E76" s="3"/>
      <c r="F76" s="3"/>
      <c r="G76" s="24"/>
      <c r="H76" s="24"/>
      <c r="K76" s="4"/>
      <c r="L76" s="4"/>
      <c r="M76" s="4"/>
      <c r="N76" s="4"/>
      <c r="O76" s="4"/>
      <c r="P76" s="27"/>
      <c r="Q76" s="25"/>
      <c r="R76" s="25"/>
      <c r="S76" s="12">
        <f t="shared" si="15"/>
        <v>0</v>
      </c>
      <c r="T76" s="5">
        <v>0</v>
      </c>
      <c r="U76" s="12">
        <f t="shared" si="21"/>
        <v>0</v>
      </c>
      <c r="V76" s="25" t="s">
        <v>10</v>
      </c>
      <c r="W76" s="11">
        <f>IFERROR(VLOOKUP(V76,[1]Curr!$B$2:$C$13,2,FALSE),0)</f>
        <v>11.3</v>
      </c>
      <c r="X76" s="12">
        <f t="shared" si="16"/>
        <v>0</v>
      </c>
      <c r="Y76" s="26">
        <f t="shared" si="22"/>
        <v>0</v>
      </c>
      <c r="Z76" s="12">
        <f t="shared" si="17"/>
        <v>0</v>
      </c>
      <c r="AA76" s="4" t="s">
        <v>10</v>
      </c>
      <c r="AB76" s="11">
        <f>IFERROR(VLOOKUP(AA76,Curr!$B$2:$C$13,2,FALSE),0)</f>
        <v>11.3</v>
      </c>
      <c r="AC76" s="12">
        <f t="shared" si="18"/>
        <v>0</v>
      </c>
      <c r="AD76" s="12">
        <f t="shared" si="19"/>
        <v>0</v>
      </c>
      <c r="AE76" s="13">
        <f t="shared" si="20"/>
        <v>0</v>
      </c>
    </row>
    <row r="77" spans="2:36" x14ac:dyDescent="0.25">
      <c r="B77" s="4"/>
      <c r="E77" s="3"/>
      <c r="F77" s="3"/>
      <c r="G77" s="3"/>
      <c r="H77" s="3"/>
      <c r="L77" s="4"/>
      <c r="M77" s="4"/>
      <c r="N77" s="4"/>
      <c r="O77" s="4"/>
      <c r="P77" s="22"/>
      <c r="Q77" s="4"/>
      <c r="R77" s="4"/>
      <c r="S77" s="4"/>
      <c r="T77" s="4"/>
      <c r="U77" s="4"/>
      <c r="V77" s="4"/>
      <c r="W77" s="4"/>
      <c r="X77" s="4"/>
      <c r="Y77" s="4"/>
      <c r="Z77" s="4"/>
      <c r="AA77" s="4"/>
      <c r="AB77" s="4"/>
      <c r="AC77" s="4"/>
      <c r="AD77" s="4"/>
      <c r="AE77" s="4"/>
      <c r="AF77" s="4"/>
    </row>
    <row r="78" spans="2:36" x14ac:dyDescent="0.25">
      <c r="B78" s="14" t="s">
        <v>18</v>
      </c>
      <c r="C78" s="14"/>
      <c r="D78" s="28" t="s">
        <v>42</v>
      </c>
      <c r="E78" s="30" t="s">
        <v>42</v>
      </c>
      <c r="F78" s="30" t="s">
        <v>42</v>
      </c>
      <c r="G78" s="30" t="s">
        <v>42</v>
      </c>
      <c r="H78" s="30" t="s">
        <v>42</v>
      </c>
      <c r="I78" s="28" t="s">
        <v>42</v>
      </c>
      <c r="J78" s="28" t="s">
        <v>42</v>
      </c>
      <c r="K78" s="28" t="s">
        <v>42</v>
      </c>
      <c r="L78" s="28" t="s">
        <v>42</v>
      </c>
      <c r="M78" s="28" t="s">
        <v>42</v>
      </c>
      <c r="N78" s="28" t="s">
        <v>42</v>
      </c>
      <c r="O78" s="28" t="s">
        <v>42</v>
      </c>
      <c r="P78" s="28" t="s">
        <v>42</v>
      </c>
      <c r="Q78" s="31" t="s">
        <v>42</v>
      </c>
      <c r="R78" s="28" t="s">
        <v>42</v>
      </c>
      <c r="S78" s="32" t="s">
        <v>42</v>
      </c>
      <c r="T78" s="28" t="s">
        <v>42</v>
      </c>
      <c r="U78" s="32" t="s">
        <v>42</v>
      </c>
      <c r="V78" s="28" t="s">
        <v>42</v>
      </c>
      <c r="W78" s="28" t="s">
        <v>42</v>
      </c>
      <c r="X78" s="32" t="s">
        <v>42</v>
      </c>
      <c r="Y78" s="32" t="s">
        <v>42</v>
      </c>
      <c r="Z78" s="15">
        <f>SUM(Z7:Z76)</f>
        <v>5141.837767244765</v>
      </c>
      <c r="AA78" s="14"/>
      <c r="AB78" s="14"/>
      <c r="AC78" s="15">
        <f>SUM(AC7:AC76)</f>
        <v>58102.766769865855</v>
      </c>
      <c r="AD78" s="15">
        <f>SUM(AD7:AD76)</f>
        <v>10631.146769865842</v>
      </c>
      <c r="AE78" s="21">
        <f t="shared" ref="AE78" si="23">IFERROR(AD78/AC78,0)</f>
        <v>0.18297143769373009</v>
      </c>
      <c r="AF78" s="15">
        <f>SUM(AF8:AF77)</f>
        <v>0</v>
      </c>
      <c r="AG78" s="15">
        <f>SUM(AG8:AG77)</f>
        <v>0</v>
      </c>
      <c r="AH78" s="15">
        <f>SUM(AH8:AH77)</f>
        <v>0</v>
      </c>
      <c r="AI78" s="15">
        <f>SUM(AI8:AI77)</f>
        <v>0</v>
      </c>
      <c r="AJ78" s="15">
        <f>SUM(AJ8:AJ77)</f>
        <v>0</v>
      </c>
    </row>
    <row r="79" spans="2:36" x14ac:dyDescent="0.25">
      <c r="B79" s="4"/>
      <c r="E79" s="3"/>
      <c r="F79" s="3"/>
      <c r="G79" s="3"/>
      <c r="H79" s="3"/>
      <c r="L79" s="4"/>
      <c r="M79" s="4"/>
      <c r="N79" s="4"/>
      <c r="O79" s="4"/>
      <c r="Q79" s="4"/>
      <c r="R79" s="4"/>
      <c r="S79" s="4"/>
      <c r="T79" s="4"/>
      <c r="U79" s="4"/>
      <c r="V79" s="4"/>
      <c r="W79" s="4"/>
      <c r="X79" s="4"/>
      <c r="Y79" s="9"/>
      <c r="Z79" s="9"/>
      <c r="AA79" s="9"/>
      <c r="AB79" s="9"/>
      <c r="AC79" s="9"/>
      <c r="AD79" s="9"/>
      <c r="AE79" s="9"/>
    </row>
    <row r="80" spans="2:36" x14ac:dyDescent="0.25">
      <c r="B80" s="4"/>
      <c r="E80" s="3"/>
      <c r="F80" s="3"/>
      <c r="G80" s="3"/>
      <c r="H80" s="3"/>
      <c r="L80" s="4"/>
      <c r="M80" s="4"/>
      <c r="N80" s="4"/>
      <c r="O80" s="4"/>
      <c r="Q80" s="9"/>
      <c r="R80" s="9"/>
      <c r="S80" s="9"/>
      <c r="T80" s="9"/>
      <c r="U80" s="9"/>
      <c r="V80" s="9"/>
      <c r="W80" s="9"/>
      <c r="X80" s="23"/>
      <c r="Y80" s="34" t="s">
        <v>119</v>
      </c>
      <c r="Z80" s="34">
        <f>Z12+Z19+Z21+Z23+Z26+Z31+Z33+Z35+Z37+Z46+Z48</f>
        <v>2715.3671790094704</v>
      </c>
      <c r="AA80" s="9"/>
      <c r="AB80" s="9"/>
      <c r="AC80" s="9"/>
      <c r="AD80" s="9"/>
      <c r="AE80" s="9"/>
    </row>
    <row r="81" spans="2:32" x14ac:dyDescent="0.25">
      <c r="B81" s="4"/>
      <c r="E81" s="3"/>
      <c r="F81" s="3"/>
      <c r="G81" s="3"/>
      <c r="H81" s="3"/>
      <c r="L81" s="4"/>
      <c r="M81" s="4"/>
      <c r="N81" s="4"/>
      <c r="O81" s="4"/>
      <c r="Q81" s="9"/>
      <c r="R81" s="9"/>
      <c r="S81" s="9"/>
      <c r="T81" s="9"/>
      <c r="U81" s="9"/>
      <c r="V81" s="9"/>
      <c r="W81" s="9"/>
      <c r="X81" s="9"/>
      <c r="Y81" s="35" t="s">
        <v>120</v>
      </c>
      <c r="Z81" s="34">
        <f>Z9+Z14+Z17+Z28+Z43</f>
        <v>2426.4705882352946</v>
      </c>
      <c r="AA81" s="9"/>
      <c r="AB81" s="9"/>
      <c r="AC81" s="9"/>
      <c r="AD81" s="9"/>
      <c r="AE81" s="9"/>
      <c r="AF81" s="18"/>
    </row>
    <row r="82" spans="2:32" x14ac:dyDescent="0.25">
      <c r="B82" s="4"/>
      <c r="E82" s="3"/>
      <c r="F82" s="3"/>
      <c r="G82" s="3"/>
      <c r="H82" s="3"/>
      <c r="I82" s="19"/>
      <c r="L82" s="4"/>
      <c r="M82" s="4"/>
      <c r="N82" s="4"/>
      <c r="O82" s="20"/>
      <c r="Q82" s="20"/>
      <c r="R82" s="20"/>
      <c r="S82" s="20"/>
      <c r="T82" s="20"/>
      <c r="U82" s="20"/>
      <c r="V82" s="20"/>
      <c r="W82" s="20"/>
      <c r="X82" s="20"/>
      <c r="Y82" s="34" t="s">
        <v>121</v>
      </c>
      <c r="Z82" s="34">
        <v>5140</v>
      </c>
      <c r="AA82" s="9"/>
      <c r="AB82" s="9"/>
      <c r="AC82" s="9"/>
      <c r="AD82" s="9"/>
      <c r="AE82" s="9"/>
      <c r="AF82" s="18"/>
    </row>
    <row r="83" spans="2:32" x14ac:dyDescent="0.25">
      <c r="B83" s="4"/>
      <c r="E83" s="3"/>
      <c r="F83" s="3"/>
      <c r="G83" s="3"/>
      <c r="H83" s="3"/>
      <c r="L83" s="4"/>
      <c r="M83" s="4"/>
      <c r="N83" s="4"/>
      <c r="O83" s="20"/>
      <c r="Q83" s="20"/>
      <c r="R83" s="20"/>
      <c r="S83" s="20"/>
      <c r="T83" s="20"/>
      <c r="U83" s="20"/>
      <c r="V83" s="20"/>
      <c r="W83" s="20"/>
      <c r="X83" s="20"/>
      <c r="Y83" s="34" t="s">
        <v>46</v>
      </c>
      <c r="Z83" s="34">
        <f>Z82/2</f>
        <v>2570</v>
      </c>
      <c r="AA83" s="9"/>
      <c r="AB83" s="9"/>
      <c r="AC83" s="9"/>
      <c r="AD83" s="9"/>
      <c r="AE83" s="9"/>
      <c r="AF83" s="18"/>
    </row>
    <row r="84" spans="2:32" x14ac:dyDescent="0.25">
      <c r="B84" s="4"/>
      <c r="E84" s="3"/>
      <c r="F84" s="3"/>
      <c r="G84" s="3"/>
      <c r="H84" s="3"/>
      <c r="L84" s="4"/>
      <c r="M84" s="4"/>
      <c r="N84" s="4"/>
      <c r="O84" s="4"/>
      <c r="Q84" s="9"/>
      <c r="R84" s="9"/>
      <c r="S84" s="9"/>
      <c r="T84" s="9"/>
      <c r="U84" s="9"/>
      <c r="V84" s="9"/>
      <c r="W84" s="9"/>
      <c r="X84" s="9"/>
      <c r="Y84" s="1"/>
      <c r="Z84" s="1"/>
      <c r="AA84" s="9"/>
      <c r="AB84" s="9"/>
      <c r="AC84" s="9"/>
      <c r="AD84" s="9"/>
      <c r="AE84" s="9"/>
      <c r="AF84" s="18"/>
    </row>
    <row r="85" spans="2:32" x14ac:dyDescent="0.25">
      <c r="F85" s="1"/>
      <c r="G85" s="1"/>
      <c r="H85" s="1"/>
      <c r="J85" s="1" t="s">
        <v>32</v>
      </c>
      <c r="Q85" s="9"/>
      <c r="R85" s="4"/>
      <c r="S85" s="9"/>
      <c r="T85" s="5"/>
      <c r="U85" s="9"/>
      <c r="V85" s="4"/>
      <c r="W85" s="4"/>
      <c r="X85" s="9"/>
      <c r="Y85" s="9"/>
      <c r="Z85" s="9"/>
      <c r="AA85" s="9"/>
      <c r="AB85" s="9"/>
      <c r="AC85" s="9"/>
      <c r="AD85" s="9"/>
      <c r="AE85" s="9"/>
    </row>
    <row r="86" spans="2:32" x14ac:dyDescent="0.25">
      <c r="R86" s="4"/>
      <c r="S86" s="17"/>
      <c r="T86" s="17"/>
      <c r="U86" s="9"/>
      <c r="V86" s="4"/>
      <c r="W86" s="4"/>
      <c r="X86" s="9"/>
      <c r="Y86" s="39" t="s">
        <v>220</v>
      </c>
      <c r="Z86" s="9">
        <f>Z82</f>
        <v>5140</v>
      </c>
      <c r="AA86" s="9"/>
      <c r="AB86" s="9"/>
      <c r="AC86" s="9"/>
      <c r="AD86" s="9"/>
      <c r="AE86" s="9"/>
    </row>
    <row r="87" spans="2:32" x14ac:dyDescent="0.25">
      <c r="Q87" s="9"/>
      <c r="R87" s="4"/>
      <c r="S87" s="16"/>
      <c r="T87" s="16"/>
      <c r="U87" s="9"/>
      <c r="V87" s="4"/>
      <c r="W87" s="4"/>
      <c r="X87" s="9"/>
      <c r="Y87" s="39" t="s">
        <v>221</v>
      </c>
      <c r="Z87" s="9">
        <f>Z86*1.18</f>
        <v>6065.2</v>
      </c>
      <c r="AA87" s="9"/>
      <c r="AB87" s="9"/>
      <c r="AC87" s="9"/>
      <c r="AD87" s="9"/>
      <c r="AE87" s="9"/>
    </row>
    <row r="88" spans="2:32" x14ac:dyDescent="0.25">
      <c r="R88" s="4"/>
      <c r="S88" s="16"/>
      <c r="T88" s="16"/>
      <c r="Y88" s="39" t="s">
        <v>222</v>
      </c>
      <c r="Z88" s="9">
        <f>Z86*1.3</f>
        <v>6682</v>
      </c>
      <c r="AA88" s="9"/>
      <c r="AB88" s="9"/>
      <c r="AC88" s="9"/>
      <c r="AD88" s="9"/>
      <c r="AE88" s="9"/>
    </row>
    <row r="89" spans="2:32" x14ac:dyDescent="0.25">
      <c r="T89" s="5"/>
      <c r="Y89" s="39" t="s">
        <v>223</v>
      </c>
      <c r="Z89" s="9">
        <f>Z86*0.85</f>
        <v>4369</v>
      </c>
      <c r="AA89" s="9"/>
      <c r="AB89" s="9"/>
      <c r="AC89" s="9"/>
      <c r="AD89" s="9"/>
      <c r="AE89" s="9"/>
    </row>
    <row r="90" spans="2:32" x14ac:dyDescent="0.25">
      <c r="T90" s="5"/>
      <c r="Y90" s="9"/>
      <c r="Z90" s="9"/>
      <c r="AA90" s="9"/>
      <c r="AB90" s="9"/>
      <c r="AC90" s="9"/>
      <c r="AD90" s="9"/>
      <c r="AE90" s="9"/>
    </row>
    <row r="91" spans="2:32" x14ac:dyDescent="0.25">
      <c r="T91" s="5"/>
      <c r="Y91" s="9"/>
      <c r="Z91" s="9"/>
      <c r="AA91" s="9"/>
      <c r="AB91" s="9"/>
      <c r="AC91" s="9"/>
      <c r="AD91" s="9"/>
      <c r="AE91" s="9"/>
    </row>
    <row r="92" spans="2:32" x14ac:dyDescent="0.25">
      <c r="T92" s="5"/>
      <c r="Y92" s="9"/>
      <c r="Z92" s="9"/>
      <c r="AA92" s="9"/>
      <c r="AB92" s="9"/>
      <c r="AC92" s="9"/>
      <c r="AD92" s="9"/>
      <c r="AE92" s="9"/>
    </row>
    <row r="93" spans="2:32" x14ac:dyDescent="0.25">
      <c r="T93" s="5"/>
      <c r="Y93" s="9"/>
      <c r="Z93" s="9"/>
      <c r="AA93" s="9"/>
      <c r="AB93" s="9"/>
      <c r="AC93" s="9"/>
      <c r="AD93" s="9"/>
      <c r="AE93" s="9"/>
    </row>
    <row r="94" spans="2:32" x14ac:dyDescent="0.25">
      <c r="T94" s="5"/>
      <c r="Y94" s="9"/>
      <c r="Z94" s="9"/>
      <c r="AA94" s="9"/>
      <c r="AB94" s="9"/>
      <c r="AC94" s="9"/>
      <c r="AD94" s="9"/>
      <c r="AE94" s="9"/>
    </row>
    <row r="95" spans="2:32" x14ac:dyDescent="0.25">
      <c r="T95" s="5"/>
      <c r="Y95" s="9"/>
      <c r="Z95" s="9"/>
      <c r="AA95" s="9"/>
      <c r="AB95" s="9"/>
      <c r="AC95" s="9"/>
      <c r="AD95" s="9"/>
      <c r="AE95" s="9"/>
    </row>
    <row r="96" spans="2:32" x14ac:dyDescent="0.25">
      <c r="T96" s="5"/>
      <c r="Y96" s="9"/>
      <c r="Z96" s="9"/>
      <c r="AA96" s="9"/>
      <c r="AB96" s="9"/>
      <c r="AC96" s="9"/>
      <c r="AD96" s="9"/>
      <c r="AE96" s="9"/>
    </row>
    <row r="97" spans="20:20" x14ac:dyDescent="0.25">
      <c r="T97" s="5"/>
    </row>
    <row r="98" spans="20:20" x14ac:dyDescent="0.25">
      <c r="T98" s="5"/>
    </row>
    <row r="99" spans="20:20" x14ac:dyDescent="0.25">
      <c r="T99" s="5"/>
    </row>
    <row r="100" spans="20:20" x14ac:dyDescent="0.25">
      <c r="T100" s="5"/>
    </row>
    <row r="101" spans="20:20" x14ac:dyDescent="0.25">
      <c r="T101" s="5"/>
    </row>
  </sheetData>
  <autoFilter ref="B6:AE78" xr:uid="{65FA6D9B-E0AF-46CD-BA0D-86BB75FE6AB0}"/>
  <hyperlinks>
    <hyperlink ref="P12" r:id="rId1" xr:uid="{572DA514-7E69-4B46-BCA3-F8C844BCCB66}"/>
    <hyperlink ref="P14" r:id="rId2" xr:uid="{5579DEAF-A4CF-4277-8FA4-B4B94F320463}"/>
    <hyperlink ref="P21" r:id="rId3" xr:uid="{38D53E95-E206-4704-9521-B132D0915626}"/>
    <hyperlink ref="P23" r:id="rId4" xr:uid="{52CB0114-E9B7-4E08-98B1-33E61DD92E60}"/>
    <hyperlink ref="P26" r:id="rId5" xr:uid="{3E05420C-27BB-4750-9882-A36493D972BD}"/>
    <hyperlink ref="P37" r:id="rId6" xr:uid="{9746A193-9355-4497-B520-4C88C9C4E33D}"/>
    <hyperlink ref="P35" r:id="rId7" xr:uid="{A0E9A3E6-B296-4BC6-8F26-268B16254805}"/>
    <hyperlink ref="P48" r:id="rId8" xr:uid="{D889E504-E17D-4194-B232-00ED019E541A}"/>
    <hyperlink ref="P46" r:id="rId9" xr:uid="{80434846-6CC5-47DD-AAAC-00625CEC744D}"/>
    <hyperlink ref="P31" r:id="rId10" xr:uid="{1B0D2097-EF18-41CF-8BD7-588BAB52D0FD}"/>
    <hyperlink ref="P62" r:id="rId11" xr:uid="{2AE8B3A4-5FDF-440E-92E3-83F1C9C2389A}"/>
    <hyperlink ref="P60" r:id="rId12" xr:uid="{8F921FD2-3740-4A9D-AB23-36AF147CC37A}"/>
    <hyperlink ref="P33" r:id="rId13" xr:uid="{5B4840C6-F11C-4EDE-90D4-18A9CF0C898F}"/>
    <hyperlink ref="P19" r:id="rId14" xr:uid="{30CAD2A0-CE1C-491E-88C3-F5713035A5D4}"/>
  </hyperlinks>
  <pageMargins left="0.7" right="0.7" top="0.75" bottom="0.75" header="0.3" footer="0.3"/>
  <pageSetup paperSize="9" orientation="portrait" r:id="rId1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398C6-6587-4A4E-9DD3-3E9B26E61BB8}">
  <sheetPr>
    <tabColor rgb="FFFFFF00"/>
  </sheetPr>
  <dimension ref="B1:AK103"/>
  <sheetViews>
    <sheetView topLeftCell="A12" zoomScale="80" zoomScaleNormal="80" workbookViewId="0">
      <selection activeCell="S53" sqref="S53"/>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61</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1" si="2">+Y7*R7</f>
        <v>0</v>
      </c>
      <c r="AA7" s="4" t="s">
        <v>10</v>
      </c>
      <c r="AB7" s="11">
        <f>IFERROR(VLOOKUP(AA7,Curr!$B$2:$C$13,2,FALSE),0)</f>
        <v>11.3</v>
      </c>
      <c r="AC7" s="12">
        <f t="shared" ref="AC7:AC71" si="3">+Y7*AB7*R7</f>
        <v>0</v>
      </c>
      <c r="AD7" s="12">
        <f t="shared" ref="AD7:AD71" si="4">+AC7-X7</f>
        <v>0</v>
      </c>
      <c r="AE7" s="13">
        <f t="shared" ref="AE7:AE71"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Q9/0.85</f>
        <v>176.47058823529412</v>
      </c>
      <c r="Z9" s="12">
        <f t="shared" si="2"/>
        <v>176.47058823529412</v>
      </c>
      <c r="AA9" s="4" t="s">
        <v>10</v>
      </c>
      <c r="AB9" s="11">
        <f>IFERROR(VLOOKUP(AA9,Curr!$B$2:$C$13,2,FALSE),0)</f>
        <v>11.3</v>
      </c>
      <c r="AC9" s="12">
        <f t="shared" si="3"/>
        <v>1994.1176470588236</v>
      </c>
      <c r="AD9" s="12">
        <f t="shared" si="4"/>
        <v>299.11764705882365</v>
      </c>
      <c r="AE9" s="13">
        <f t="shared" si="5"/>
        <v>0.15000000000000005</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72"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124</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Y19"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9"/>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109</v>
      </c>
      <c r="K28" s="4"/>
      <c r="L28" s="4"/>
      <c r="M28" s="4"/>
      <c r="N28" s="4"/>
      <c r="O28" s="4"/>
      <c r="P28" s="33"/>
      <c r="Q28" s="25">
        <v>500</v>
      </c>
      <c r="R28" s="25">
        <v>1</v>
      </c>
      <c r="S28" s="12">
        <f t="shared" si="0"/>
        <v>500</v>
      </c>
      <c r="T28" s="5">
        <v>0</v>
      </c>
      <c r="U28" s="12">
        <f t="shared" si="6"/>
        <v>500</v>
      </c>
      <c r="V28" s="25" t="s">
        <v>10</v>
      </c>
      <c r="W28" s="11">
        <f>IFERROR(VLOOKUP(V28,[1]Curr!$B$2:$C$13,2,FALSE),0)</f>
        <v>11.3</v>
      </c>
      <c r="X28" s="12">
        <f t="shared" si="1"/>
        <v>5650</v>
      </c>
      <c r="Y28" s="26">
        <f>Q28/0.85</f>
        <v>588.23529411764707</v>
      </c>
      <c r="Z28" s="12">
        <f t="shared" si="2"/>
        <v>588.23529411764707</v>
      </c>
      <c r="AA28" s="4" t="s">
        <v>10</v>
      </c>
      <c r="AB28" s="11">
        <f>IFERROR(VLOOKUP(AA28,Curr!$B$2:$C$13,2,FALSE),0)</f>
        <v>11.3</v>
      </c>
      <c r="AC28" s="12">
        <f t="shared" si="3"/>
        <v>6647.0588235294126</v>
      </c>
      <c r="AD28" s="12">
        <f t="shared" si="4"/>
        <v>997.05882352941262</v>
      </c>
      <c r="AE28" s="13">
        <f t="shared" si="5"/>
        <v>0.15000000000000011</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88</v>
      </c>
      <c r="K31" s="4"/>
      <c r="L31" s="4"/>
      <c r="M31" s="4"/>
      <c r="N31" s="4"/>
      <c r="O31" s="4" t="s">
        <v>42</v>
      </c>
      <c r="P31" s="33" t="s">
        <v>89</v>
      </c>
      <c r="Q31" s="25">
        <v>1695</v>
      </c>
      <c r="R31" s="25">
        <v>2</v>
      </c>
      <c r="S31" s="12">
        <f t="shared" si="0"/>
        <v>3390</v>
      </c>
      <c r="T31" s="5">
        <v>0.2</v>
      </c>
      <c r="U31" s="12">
        <f t="shared" si="6"/>
        <v>2712</v>
      </c>
      <c r="V31" s="25" t="s">
        <v>8</v>
      </c>
      <c r="W31" s="11">
        <f>IFERROR(VLOOKUP(V31,[1]Curr!$B$2:$C$13,2,FALSE),0)</f>
        <v>1</v>
      </c>
      <c r="X31" s="12">
        <f t="shared" si="1"/>
        <v>2712</v>
      </c>
      <c r="Y31" s="26">
        <f>Q31/11.3</f>
        <v>150</v>
      </c>
      <c r="Z31" s="12">
        <f t="shared" si="2"/>
        <v>300</v>
      </c>
      <c r="AA31" s="4" t="s">
        <v>10</v>
      </c>
      <c r="AB31" s="11">
        <f>IFERROR(VLOOKUP(AA31,Curr!$B$2:$C$13,2,FALSE),0)</f>
        <v>11.3</v>
      </c>
      <c r="AC31" s="12">
        <f t="shared" si="3"/>
        <v>3390</v>
      </c>
      <c r="AD31" s="12">
        <f t="shared" si="4"/>
        <v>678</v>
      </c>
      <c r="AE31" s="13">
        <f t="shared" si="5"/>
        <v>0.2</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ref="Y32:Y33" si="11">Q32</f>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216</v>
      </c>
      <c r="K33" s="4"/>
      <c r="L33" s="4"/>
      <c r="M33" s="4"/>
      <c r="N33" s="4"/>
      <c r="O33" s="4" t="s">
        <v>42</v>
      </c>
      <c r="P33" s="33" t="s">
        <v>217</v>
      </c>
      <c r="Q33" s="25">
        <v>120</v>
      </c>
      <c r="R33" s="25">
        <v>2</v>
      </c>
      <c r="S33" s="12">
        <f t="shared" si="0"/>
        <v>240</v>
      </c>
      <c r="T33" s="5">
        <v>0.2</v>
      </c>
      <c r="U33" s="12">
        <f t="shared" si="6"/>
        <v>192</v>
      </c>
      <c r="V33" s="25" t="s">
        <v>10</v>
      </c>
      <c r="W33" s="11">
        <f>IFERROR(VLOOKUP(V33,[2]Curr!$B$2:$C$13,2,FALSE),0)</f>
        <v>11.3</v>
      </c>
      <c r="X33" s="12">
        <f t="shared" si="1"/>
        <v>2169.6000000000004</v>
      </c>
      <c r="Y33" s="26">
        <f t="shared" si="11"/>
        <v>120</v>
      </c>
      <c r="Z33" s="12">
        <f t="shared" si="2"/>
        <v>240</v>
      </c>
      <c r="AA33" s="4" t="s">
        <v>10</v>
      </c>
      <c r="AB33" s="11">
        <f>IFERROR(VLOOKUP(AA33,Curr!$B$2:$C$13,2,FALSE),0)</f>
        <v>11.3</v>
      </c>
      <c r="AC33" s="12">
        <f t="shared" si="3"/>
        <v>2712</v>
      </c>
      <c r="AD33" s="12">
        <f t="shared" si="4"/>
        <v>542.39999999999964</v>
      </c>
      <c r="AE33" s="13">
        <f t="shared" si="5"/>
        <v>0.19999999999999987</v>
      </c>
    </row>
    <row r="34" spans="2:31" x14ac:dyDescent="0.25">
      <c r="B34" s="4"/>
      <c r="E34" s="3"/>
      <c r="F34" s="3"/>
      <c r="G34" s="24"/>
      <c r="H34" s="24"/>
      <c r="K34" s="4"/>
      <c r="L34" s="4"/>
      <c r="M34" s="4"/>
      <c r="N34" s="4"/>
      <c r="O34" s="4"/>
      <c r="P34" s="27"/>
      <c r="Q34" s="25"/>
      <c r="R34" s="25"/>
      <c r="S34" s="12">
        <f t="shared" si="0"/>
        <v>0</v>
      </c>
      <c r="T34" s="5">
        <v>0</v>
      </c>
      <c r="U34" s="12">
        <f t="shared" si="6"/>
        <v>0</v>
      </c>
      <c r="V34" s="25" t="s">
        <v>10</v>
      </c>
      <c r="W34" s="11">
        <f>IFERROR(VLOOKUP(V34,[1]Curr!$B$2:$C$13,2,FALSE),0)</f>
        <v>11.3</v>
      </c>
      <c r="X34" s="12">
        <f t="shared" si="1"/>
        <v>0</v>
      </c>
      <c r="Y34" s="26">
        <f t="shared" ref="Y34:Y50" si="12">Q34</f>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66</v>
      </c>
      <c r="E35" s="3"/>
      <c r="F35" s="3"/>
      <c r="G35" s="24"/>
      <c r="H35" s="24"/>
      <c r="J35" s="1" t="s">
        <v>137</v>
      </c>
      <c r="K35" s="4"/>
      <c r="L35" s="4"/>
      <c r="M35" s="4"/>
      <c r="N35" s="4"/>
      <c r="O35" s="4"/>
      <c r="P35" s="33"/>
      <c r="Q35" s="25">
        <v>0</v>
      </c>
      <c r="R35" s="25">
        <v>0</v>
      </c>
      <c r="S35" s="12">
        <f t="shared" si="0"/>
        <v>0</v>
      </c>
      <c r="T35" s="5">
        <v>0</v>
      </c>
      <c r="U35" s="12">
        <f t="shared" si="6"/>
        <v>0</v>
      </c>
      <c r="V35" s="25" t="s">
        <v>10</v>
      </c>
      <c r="W35" s="11">
        <f>IFERROR(VLOOKUP(V35,[1]Curr!$B$2:$C$13,2,FALSE),0)</f>
        <v>11.3</v>
      </c>
      <c r="X35" s="12">
        <f t="shared" si="1"/>
        <v>0</v>
      </c>
      <c r="Y35" s="26">
        <f t="shared" si="12"/>
        <v>0</v>
      </c>
      <c r="Z35" s="12">
        <f t="shared" si="2"/>
        <v>0</v>
      </c>
      <c r="AA35" s="4" t="s">
        <v>10</v>
      </c>
      <c r="AB35" s="11">
        <f>IFERROR(VLOOKUP(AA35,Curr!$B$2:$C$13,2,FALSE),0)</f>
        <v>11.3</v>
      </c>
      <c r="AC35" s="12">
        <f t="shared" si="3"/>
        <v>0</v>
      </c>
      <c r="AD35" s="12">
        <f t="shared" si="4"/>
        <v>0</v>
      </c>
      <c r="AE35" s="13">
        <f t="shared" si="5"/>
        <v>0</v>
      </c>
    </row>
    <row r="36" spans="2:31" x14ac:dyDescent="0.25">
      <c r="B36" s="4"/>
      <c r="C36" s="1" t="s">
        <v>84</v>
      </c>
      <c r="D36" s="1" t="s">
        <v>75</v>
      </c>
      <c r="E36" s="3"/>
      <c r="F36" s="3"/>
      <c r="G36" s="24"/>
      <c r="H36" s="24"/>
      <c r="J36" s="1" t="s">
        <v>141</v>
      </c>
      <c r="K36" s="4"/>
      <c r="L36" s="4"/>
      <c r="M36" s="4"/>
      <c r="N36" s="4"/>
      <c r="O36" s="4" t="s">
        <v>42</v>
      </c>
      <c r="P36" s="33" t="s">
        <v>142</v>
      </c>
      <c r="Q36" s="25">
        <v>375</v>
      </c>
      <c r="R36" s="25">
        <v>2</v>
      </c>
      <c r="S36" s="12">
        <f t="shared" si="0"/>
        <v>750</v>
      </c>
      <c r="T36" s="5">
        <v>0.2</v>
      </c>
      <c r="U36" s="12">
        <f t="shared" si="6"/>
        <v>600</v>
      </c>
      <c r="V36" s="25" t="s">
        <v>10</v>
      </c>
      <c r="W36" s="11">
        <f>IFERROR(VLOOKUP(V36,[1]Curr!$B$2:$C$13,2,FALSE),0)</f>
        <v>11.3</v>
      </c>
      <c r="X36" s="12">
        <f t="shared" si="1"/>
        <v>6780</v>
      </c>
      <c r="Y36" s="26">
        <f t="shared" si="12"/>
        <v>375</v>
      </c>
      <c r="Z36" s="12">
        <f t="shared" si="2"/>
        <v>750</v>
      </c>
      <c r="AA36" s="4" t="s">
        <v>10</v>
      </c>
      <c r="AB36" s="11">
        <f>IFERROR(VLOOKUP(AA36,Curr!$B$2:$C$13,2,FALSE),0)</f>
        <v>11.3</v>
      </c>
      <c r="AC36" s="12">
        <f t="shared" si="3"/>
        <v>8475</v>
      </c>
      <c r="AD36" s="12">
        <f t="shared" si="4"/>
        <v>1695</v>
      </c>
      <c r="AE36" s="13">
        <f t="shared" si="5"/>
        <v>0.2</v>
      </c>
    </row>
    <row r="37" spans="2:31" x14ac:dyDescent="0.25">
      <c r="B37" s="4"/>
      <c r="E37" s="3"/>
      <c r="F37" s="3"/>
      <c r="G37" s="24"/>
      <c r="H37" s="24"/>
      <c r="K37" s="4"/>
      <c r="L37" s="4"/>
      <c r="M37" s="4"/>
      <c r="N37" s="4"/>
      <c r="O37" s="4"/>
      <c r="P37" s="27"/>
      <c r="Q37" s="25"/>
      <c r="R37" s="25"/>
      <c r="S37" s="12">
        <f t="shared" si="0"/>
        <v>0</v>
      </c>
      <c r="T37" s="5">
        <v>0</v>
      </c>
      <c r="U37" s="12">
        <f t="shared" si="6"/>
        <v>0</v>
      </c>
      <c r="V37" s="25" t="s">
        <v>10</v>
      </c>
      <c r="W37" s="11">
        <f>IFERROR(VLOOKUP(V37,[1]Curr!$B$2:$C$13,2,FALSE),0)</f>
        <v>11.3</v>
      </c>
      <c r="X37" s="12">
        <f t="shared" si="1"/>
        <v>0</v>
      </c>
      <c r="Y37" s="26">
        <f t="shared" si="12"/>
        <v>0</v>
      </c>
      <c r="Z37" s="12">
        <f t="shared" si="2"/>
        <v>0</v>
      </c>
      <c r="AA37" s="4" t="s">
        <v>10</v>
      </c>
      <c r="AB37" s="11">
        <f>IFERROR(VLOOKUP(AA37,Curr!$B$2:$C$13,2,FALSE),0)</f>
        <v>11.3</v>
      </c>
      <c r="AC37" s="12">
        <f t="shared" si="3"/>
        <v>0</v>
      </c>
      <c r="AD37" s="12">
        <f t="shared" si="4"/>
        <v>0</v>
      </c>
      <c r="AE37" s="13">
        <f t="shared" si="5"/>
        <v>0</v>
      </c>
    </row>
    <row r="38" spans="2:31" x14ac:dyDescent="0.25">
      <c r="B38" s="4"/>
      <c r="C38" s="1" t="s">
        <v>127</v>
      </c>
      <c r="D38" s="1" t="s">
        <v>66</v>
      </c>
      <c r="E38" s="3"/>
      <c r="F38" s="3"/>
      <c r="G38" s="24"/>
      <c r="H38" s="24"/>
      <c r="J38" s="1" t="s">
        <v>136</v>
      </c>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12"/>
        <v>0</v>
      </c>
      <c r="Z38" s="12">
        <f t="shared" si="2"/>
        <v>0</v>
      </c>
      <c r="AA38" s="4" t="s">
        <v>10</v>
      </c>
      <c r="AB38" s="11">
        <f>IFERROR(VLOOKUP(AA38,Curr!$B$2:$C$13,2,FALSE),0)</f>
        <v>11.3</v>
      </c>
      <c r="AC38" s="12">
        <f t="shared" si="3"/>
        <v>0</v>
      </c>
      <c r="AD38" s="12">
        <f t="shared" si="4"/>
        <v>0</v>
      </c>
      <c r="AE38" s="13">
        <f t="shared" si="5"/>
        <v>0</v>
      </c>
    </row>
    <row r="39" spans="2:31" x14ac:dyDescent="0.25">
      <c r="B39" s="4"/>
      <c r="C39" s="1" t="s">
        <v>127</v>
      </c>
      <c r="D39" s="1" t="s">
        <v>66</v>
      </c>
      <c r="E39" s="3"/>
      <c r="F39" s="3"/>
      <c r="G39" s="24"/>
      <c r="H39" s="24"/>
      <c r="J39" s="1" t="s">
        <v>144</v>
      </c>
      <c r="K39" s="4"/>
      <c r="L39" s="4"/>
      <c r="M39" s="4"/>
      <c r="N39" s="4"/>
      <c r="O39" s="4"/>
      <c r="P39" s="27"/>
      <c r="Q39" s="25">
        <v>0</v>
      </c>
      <c r="R39" s="25">
        <v>0</v>
      </c>
      <c r="S39" s="12">
        <f t="shared" si="0"/>
        <v>0</v>
      </c>
      <c r="T39" s="5">
        <v>0</v>
      </c>
      <c r="U39" s="12">
        <f t="shared" si="6"/>
        <v>0</v>
      </c>
      <c r="V39" s="25" t="s">
        <v>10</v>
      </c>
      <c r="W39" s="11">
        <f>IFERROR(VLOOKUP(V39,[1]Curr!$B$2:$C$13,2,FALSE),0)</f>
        <v>11.3</v>
      </c>
      <c r="X39" s="12">
        <f t="shared" si="1"/>
        <v>0</v>
      </c>
      <c r="Y39" s="26">
        <f t="shared" si="12"/>
        <v>0</v>
      </c>
      <c r="Z39" s="12">
        <f t="shared" si="2"/>
        <v>0</v>
      </c>
      <c r="AA39" s="4" t="s">
        <v>10</v>
      </c>
      <c r="AB39" s="11">
        <f>IFERROR(VLOOKUP(AA39,Curr!$B$2:$C$13,2,FALSE),0)</f>
        <v>11.3</v>
      </c>
      <c r="AC39" s="12">
        <f t="shared" si="3"/>
        <v>0</v>
      </c>
      <c r="AD39" s="12">
        <f t="shared" si="4"/>
        <v>0</v>
      </c>
      <c r="AE39" s="13">
        <f t="shared" si="5"/>
        <v>0</v>
      </c>
    </row>
    <row r="40" spans="2:31" x14ac:dyDescent="0.25">
      <c r="B40" s="4"/>
      <c r="C40" s="1" t="s">
        <v>127</v>
      </c>
      <c r="D40" s="1" t="s">
        <v>143</v>
      </c>
      <c r="E40" s="3"/>
      <c r="F40" s="3"/>
      <c r="G40" s="24"/>
      <c r="H40" s="24"/>
      <c r="J40" s="1" t="s">
        <v>145</v>
      </c>
      <c r="K40" s="4"/>
      <c r="L40" s="4"/>
      <c r="M40" s="4"/>
      <c r="N40" s="4"/>
      <c r="O40" s="4"/>
      <c r="P40" s="33"/>
      <c r="Q40" s="25">
        <v>0</v>
      </c>
      <c r="R40" s="25">
        <v>0</v>
      </c>
      <c r="S40" s="12">
        <f t="shared" si="0"/>
        <v>0</v>
      </c>
      <c r="T40" s="5">
        <v>0</v>
      </c>
      <c r="U40" s="12">
        <f t="shared" si="6"/>
        <v>0</v>
      </c>
      <c r="V40" s="25" t="s">
        <v>10</v>
      </c>
      <c r="W40" s="11">
        <f>IFERROR(VLOOKUP(V40,[1]Curr!$B$2:$C$13,2,FALSE),0)</f>
        <v>11.3</v>
      </c>
      <c r="X40" s="12">
        <f t="shared" si="1"/>
        <v>0</v>
      </c>
      <c r="Y40" s="26">
        <f t="shared" si="12"/>
        <v>0</v>
      </c>
      <c r="Z40" s="12">
        <f t="shared" si="2"/>
        <v>0</v>
      </c>
      <c r="AA40" s="4" t="s">
        <v>10</v>
      </c>
      <c r="AB40" s="11">
        <f>IFERROR(VLOOKUP(AA40,Curr!$B$2:$C$13,2,FALSE),0)</f>
        <v>11.3</v>
      </c>
      <c r="AC40" s="12">
        <f t="shared" si="3"/>
        <v>0</v>
      </c>
      <c r="AD40" s="12">
        <f t="shared" si="4"/>
        <v>0</v>
      </c>
      <c r="AE40" s="13">
        <f t="shared" si="5"/>
        <v>0</v>
      </c>
    </row>
    <row r="41" spans="2:31" x14ac:dyDescent="0.25">
      <c r="B41" s="4"/>
      <c r="C41" s="1" t="s">
        <v>127</v>
      </c>
      <c r="D41" s="1" t="s">
        <v>66</v>
      </c>
      <c r="E41" s="3"/>
      <c r="F41" s="3"/>
      <c r="G41" s="24"/>
      <c r="H41" s="24"/>
      <c r="J41" s="1" t="s">
        <v>146</v>
      </c>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12"/>
        <v>0</v>
      </c>
      <c r="Z41" s="12">
        <f t="shared" si="2"/>
        <v>0</v>
      </c>
      <c r="AA41" s="4" t="s">
        <v>10</v>
      </c>
      <c r="AB41" s="11">
        <f>IFERROR(VLOOKUP(AA41,Curr!$B$2:$C$13,2,FALSE),0)</f>
        <v>11.3</v>
      </c>
      <c r="AC41" s="12">
        <f t="shared" si="3"/>
        <v>0</v>
      </c>
      <c r="AD41" s="12">
        <f t="shared" si="4"/>
        <v>0</v>
      </c>
      <c r="AE41" s="13">
        <f t="shared" si="5"/>
        <v>0</v>
      </c>
    </row>
    <row r="42" spans="2:31" x14ac:dyDescent="0.25">
      <c r="B42" s="4"/>
      <c r="C42" s="1" t="s">
        <v>127</v>
      </c>
      <c r="D42" s="1" t="s">
        <v>67</v>
      </c>
      <c r="E42" s="3"/>
      <c r="F42" s="3"/>
      <c r="G42" s="24"/>
      <c r="H42" s="24"/>
      <c r="J42" s="1" t="s">
        <v>199</v>
      </c>
      <c r="K42" s="4"/>
      <c r="L42" s="4"/>
      <c r="M42" s="4"/>
      <c r="N42" s="4"/>
      <c r="O42" s="4"/>
      <c r="P42" s="33"/>
      <c r="Q42" s="25">
        <v>300</v>
      </c>
      <c r="R42" s="25">
        <v>1</v>
      </c>
      <c r="S42" s="12">
        <f t="shared" si="0"/>
        <v>300</v>
      </c>
      <c r="T42" s="5">
        <v>0</v>
      </c>
      <c r="U42" s="12">
        <f t="shared" si="6"/>
        <v>300</v>
      </c>
      <c r="V42" s="25" t="s">
        <v>10</v>
      </c>
      <c r="W42" s="11">
        <f>IFERROR(VLOOKUP(V42,[1]Curr!$B$2:$C$13,2,FALSE),0)</f>
        <v>11.3</v>
      </c>
      <c r="X42" s="12">
        <f t="shared" si="1"/>
        <v>3390</v>
      </c>
      <c r="Y42" s="26">
        <f>Q42/0.85</f>
        <v>352.94117647058823</v>
      </c>
      <c r="Z42" s="12">
        <f t="shared" si="2"/>
        <v>352.94117647058823</v>
      </c>
      <c r="AA42" s="4" t="s">
        <v>10</v>
      </c>
      <c r="AB42" s="11">
        <f>IFERROR(VLOOKUP(AA42,Curr!$B$2:$C$13,2,FALSE),0)</f>
        <v>11.3</v>
      </c>
      <c r="AC42" s="12">
        <f t="shared" si="3"/>
        <v>3988.2352941176473</v>
      </c>
      <c r="AD42" s="12">
        <f t="shared" si="4"/>
        <v>598.2352941176473</v>
      </c>
      <c r="AE42" s="13">
        <f t="shared" si="5"/>
        <v>0.15000000000000005</v>
      </c>
    </row>
    <row r="43" spans="2:31" x14ac:dyDescent="0.25">
      <c r="B43" s="4"/>
      <c r="C43" s="1" t="s">
        <v>127</v>
      </c>
      <c r="D43" s="1" t="s">
        <v>68</v>
      </c>
      <c r="E43" s="3"/>
      <c r="F43" s="3"/>
      <c r="G43" s="24"/>
      <c r="H43" s="24"/>
      <c r="J43" s="1" t="s">
        <v>147</v>
      </c>
      <c r="K43" s="4"/>
      <c r="L43" s="4"/>
      <c r="M43" s="4"/>
      <c r="N43" s="4"/>
      <c r="O43" s="4"/>
      <c r="P43" s="33"/>
      <c r="Q43" s="25">
        <v>0</v>
      </c>
      <c r="R43" s="25">
        <v>0</v>
      </c>
      <c r="S43" s="12">
        <f t="shared" si="0"/>
        <v>0</v>
      </c>
      <c r="T43" s="5">
        <v>0</v>
      </c>
      <c r="U43" s="12">
        <f t="shared" si="6"/>
        <v>0</v>
      </c>
      <c r="V43" s="25" t="s">
        <v>10</v>
      </c>
      <c r="W43" s="11">
        <f>IFERROR(VLOOKUP(V43,[1]Curr!$B$2:$C$13,2,FALSE),0)</f>
        <v>11.3</v>
      </c>
      <c r="X43" s="12">
        <f t="shared" si="1"/>
        <v>0</v>
      </c>
      <c r="Y43" s="26">
        <f t="shared" ref="Y43" si="13">Q43</f>
        <v>0</v>
      </c>
      <c r="Z43" s="12">
        <f t="shared" si="2"/>
        <v>0</v>
      </c>
      <c r="AA43" s="4" t="s">
        <v>10</v>
      </c>
      <c r="AB43" s="11">
        <f>IFERROR(VLOOKUP(AA43,Curr!$B$2:$C$13,2,FALSE),0)</f>
        <v>11.3</v>
      </c>
      <c r="AC43" s="12">
        <f t="shared" si="3"/>
        <v>0</v>
      </c>
      <c r="AD43" s="12">
        <f t="shared" si="4"/>
        <v>0</v>
      </c>
      <c r="AE43" s="13">
        <f t="shared" si="5"/>
        <v>0</v>
      </c>
    </row>
    <row r="44" spans="2:31" x14ac:dyDescent="0.25">
      <c r="B44" s="4"/>
      <c r="E44" s="3"/>
      <c r="F44" s="3"/>
      <c r="G44" s="24"/>
      <c r="H44" s="24"/>
      <c r="K44" s="4"/>
      <c r="L44" s="4"/>
      <c r="M44" s="4"/>
      <c r="N44" s="4"/>
      <c r="O44" s="4"/>
      <c r="P44" s="33"/>
      <c r="Q44" s="25"/>
      <c r="R44" s="25"/>
      <c r="S44" s="12">
        <f t="shared" si="0"/>
        <v>0</v>
      </c>
      <c r="T44" s="5">
        <v>0</v>
      </c>
      <c r="U44" s="12">
        <f t="shared" si="6"/>
        <v>0</v>
      </c>
      <c r="V44" s="25" t="s">
        <v>10</v>
      </c>
      <c r="W44" s="11">
        <f>IFERROR(VLOOKUP(V44,[1]Curr!$B$2:$C$13,2,FALSE),0)</f>
        <v>11.3</v>
      </c>
      <c r="X44" s="12">
        <f t="shared" si="1"/>
        <v>0</v>
      </c>
      <c r="Y44" s="26">
        <f t="shared" si="12"/>
        <v>0</v>
      </c>
      <c r="Z44" s="12">
        <f t="shared" si="2"/>
        <v>0</v>
      </c>
      <c r="AA44" s="4" t="s">
        <v>10</v>
      </c>
      <c r="AB44" s="11">
        <f>IFERROR(VLOOKUP(AA44,Curr!$B$2:$C$13,2,FALSE),0)</f>
        <v>11.3</v>
      </c>
      <c r="AC44" s="12">
        <f t="shared" si="3"/>
        <v>0</v>
      </c>
      <c r="AD44" s="12">
        <f t="shared" si="4"/>
        <v>0</v>
      </c>
      <c r="AE44" s="13">
        <f t="shared" si="5"/>
        <v>0</v>
      </c>
    </row>
    <row r="45" spans="2:31" x14ac:dyDescent="0.25">
      <c r="B45" s="4"/>
      <c r="C45" s="1" t="s">
        <v>139</v>
      </c>
      <c r="D45" s="1" t="s">
        <v>75</v>
      </c>
      <c r="E45" s="3"/>
      <c r="F45" s="3"/>
      <c r="G45" s="24"/>
      <c r="H45" s="24"/>
      <c r="J45" s="1" t="s">
        <v>148</v>
      </c>
      <c r="K45" s="4"/>
      <c r="L45" s="4"/>
      <c r="M45" s="4"/>
      <c r="N45" s="4"/>
      <c r="O45" s="4" t="s">
        <v>42</v>
      </c>
      <c r="P45" s="33" t="s">
        <v>149</v>
      </c>
      <c r="Q45" s="25">
        <v>34</v>
      </c>
      <c r="R45" s="25">
        <v>2</v>
      </c>
      <c r="S45" s="12">
        <f t="shared" si="0"/>
        <v>68</v>
      </c>
      <c r="T45" s="5">
        <v>0.15</v>
      </c>
      <c r="U45" s="12">
        <f t="shared" si="6"/>
        <v>57.8</v>
      </c>
      <c r="V45" s="25" t="s">
        <v>10</v>
      </c>
      <c r="W45" s="11">
        <f>IFERROR(VLOOKUP(V45,[1]Curr!$B$2:$C$13,2,FALSE),0)</f>
        <v>11.3</v>
      </c>
      <c r="X45" s="12">
        <f t="shared" si="1"/>
        <v>653.14</v>
      </c>
      <c r="Y45" s="26">
        <f t="shared" si="12"/>
        <v>34</v>
      </c>
      <c r="Z45" s="12">
        <f t="shared" si="2"/>
        <v>68</v>
      </c>
      <c r="AA45" s="4" t="s">
        <v>10</v>
      </c>
      <c r="AB45" s="11">
        <f>IFERROR(VLOOKUP(AA45,Curr!$B$2:$C$13,2,FALSE),0)</f>
        <v>11.3</v>
      </c>
      <c r="AC45" s="12">
        <f t="shared" si="3"/>
        <v>768.40000000000009</v>
      </c>
      <c r="AD45" s="12">
        <f t="shared" si="4"/>
        <v>115.2600000000001</v>
      </c>
      <c r="AE45" s="13">
        <f t="shared" si="5"/>
        <v>0.15000000000000011</v>
      </c>
    </row>
    <row r="46" spans="2:31" x14ac:dyDescent="0.25">
      <c r="B46" s="4"/>
      <c r="C46" s="1" t="s">
        <v>139</v>
      </c>
      <c r="D46" s="1" t="s">
        <v>68</v>
      </c>
      <c r="E46" s="3"/>
      <c r="F46" s="3"/>
      <c r="G46" s="24"/>
      <c r="H46" s="24"/>
      <c r="J46" s="1" t="s">
        <v>147</v>
      </c>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12"/>
        <v>0</v>
      </c>
      <c r="Z46" s="12">
        <f t="shared" si="2"/>
        <v>0</v>
      </c>
      <c r="AA46" s="4" t="s">
        <v>10</v>
      </c>
      <c r="AB46" s="11">
        <f>IFERROR(VLOOKUP(AA46,Curr!$B$2:$C$13,2,FALSE),0)</f>
        <v>11.3</v>
      </c>
      <c r="AC46" s="12">
        <f t="shared" si="3"/>
        <v>0</v>
      </c>
      <c r="AD46" s="12">
        <f t="shared" si="4"/>
        <v>0</v>
      </c>
      <c r="AE46" s="13">
        <f t="shared" si="5"/>
        <v>0</v>
      </c>
    </row>
    <row r="47" spans="2:31" x14ac:dyDescent="0.25">
      <c r="B47" s="4"/>
      <c r="C47" s="1" t="s">
        <v>139</v>
      </c>
      <c r="D47" s="1" t="s">
        <v>75</v>
      </c>
      <c r="E47" s="3"/>
      <c r="F47" s="3"/>
      <c r="G47" s="24"/>
      <c r="H47" s="24"/>
      <c r="J47" s="1" t="s">
        <v>150</v>
      </c>
      <c r="K47" s="4"/>
      <c r="L47" s="4"/>
      <c r="M47" s="4"/>
      <c r="N47" s="4"/>
      <c r="O47" s="4" t="s">
        <v>42</v>
      </c>
      <c r="P47" s="33" t="s">
        <v>151</v>
      </c>
      <c r="Q47" s="25">
        <v>2290</v>
      </c>
      <c r="R47" s="25">
        <v>2</v>
      </c>
      <c r="S47" s="12">
        <f t="shared" si="0"/>
        <v>4580</v>
      </c>
      <c r="T47" s="5">
        <v>0.15</v>
      </c>
      <c r="U47" s="12">
        <f t="shared" si="6"/>
        <v>3893</v>
      </c>
      <c r="V47" s="25" t="s">
        <v>8</v>
      </c>
      <c r="W47" s="11">
        <f>IFERROR(VLOOKUP(V47,[1]Curr!$B$2:$C$13,2,FALSE),0)</f>
        <v>1</v>
      </c>
      <c r="X47" s="12">
        <f t="shared" si="1"/>
        <v>3893</v>
      </c>
      <c r="Y47" s="26">
        <f>Q47/11.3</f>
        <v>202.65486725663715</v>
      </c>
      <c r="Z47" s="12">
        <f t="shared" si="2"/>
        <v>405.30973451327429</v>
      </c>
      <c r="AA47" s="4" t="s">
        <v>10</v>
      </c>
      <c r="AB47" s="11">
        <f>IFERROR(VLOOKUP(AA47,Curr!$B$2:$C$13,2,FALSE),0)</f>
        <v>11.3</v>
      </c>
      <c r="AC47" s="12">
        <f t="shared" si="3"/>
        <v>4580</v>
      </c>
      <c r="AD47" s="12">
        <f t="shared" si="4"/>
        <v>687</v>
      </c>
      <c r="AE47" s="13">
        <f t="shared" si="5"/>
        <v>0.15</v>
      </c>
    </row>
    <row r="48" spans="2:31" x14ac:dyDescent="0.25">
      <c r="B48" s="4"/>
      <c r="E48" s="3"/>
      <c r="F48" s="3"/>
      <c r="G48" s="24"/>
      <c r="H48" s="24"/>
      <c r="K48" s="4"/>
      <c r="L48" s="4"/>
      <c r="M48" s="4"/>
      <c r="N48" s="4"/>
      <c r="O48" s="4"/>
      <c r="P48" s="27"/>
      <c r="Q48" s="25"/>
      <c r="R48" s="25"/>
      <c r="S48" s="12">
        <f t="shared" si="0"/>
        <v>0</v>
      </c>
      <c r="T48" s="5">
        <v>0</v>
      </c>
      <c r="U48" s="12">
        <f t="shared" si="6"/>
        <v>0</v>
      </c>
      <c r="V48" s="25" t="s">
        <v>10</v>
      </c>
      <c r="W48" s="11">
        <f>IFERROR(VLOOKUP(V48,[1]Curr!$B$2:$C$13,2,FALSE),0)</f>
        <v>11.3</v>
      </c>
      <c r="X48" s="12">
        <f t="shared" si="1"/>
        <v>0</v>
      </c>
      <c r="Y48" s="26">
        <f t="shared" si="12"/>
        <v>0</v>
      </c>
      <c r="Z48" s="12">
        <f t="shared" si="2"/>
        <v>0</v>
      </c>
      <c r="AA48" s="4" t="s">
        <v>10</v>
      </c>
      <c r="AB48" s="11">
        <f>IFERROR(VLOOKUP(AA48,Curr!$B$2:$C$13,2,FALSE),0)</f>
        <v>11.3</v>
      </c>
      <c r="AC48" s="12">
        <f t="shared" si="3"/>
        <v>0</v>
      </c>
      <c r="AD48" s="12">
        <f t="shared" si="4"/>
        <v>0</v>
      </c>
      <c r="AE48" s="13">
        <f t="shared" si="5"/>
        <v>0</v>
      </c>
    </row>
    <row r="49" spans="2:31" x14ac:dyDescent="0.25">
      <c r="B49" s="4"/>
      <c r="C49" s="1" t="s">
        <v>155</v>
      </c>
      <c r="D49" s="1" t="s">
        <v>66</v>
      </c>
      <c r="E49" s="3"/>
      <c r="F49" s="3"/>
      <c r="G49" s="24"/>
      <c r="H49" s="24"/>
      <c r="J49" s="1" t="s">
        <v>152</v>
      </c>
      <c r="K49" s="4"/>
      <c r="L49" s="4"/>
      <c r="M49" s="4"/>
      <c r="N49" s="4"/>
      <c r="O49" s="4"/>
      <c r="P49" s="27"/>
      <c r="Q49" s="25">
        <v>0</v>
      </c>
      <c r="R49" s="25">
        <v>0</v>
      </c>
      <c r="S49" s="12">
        <f t="shared" si="0"/>
        <v>0</v>
      </c>
      <c r="T49" s="5">
        <v>0</v>
      </c>
      <c r="U49" s="12">
        <f t="shared" si="6"/>
        <v>0</v>
      </c>
      <c r="V49" s="25" t="s">
        <v>10</v>
      </c>
      <c r="W49" s="11">
        <f>IFERROR(VLOOKUP(V49,[1]Curr!$B$2:$C$13,2,FALSE),0)</f>
        <v>11.3</v>
      </c>
      <c r="X49" s="12">
        <f t="shared" si="1"/>
        <v>0</v>
      </c>
      <c r="Y49" s="26">
        <f t="shared" si="12"/>
        <v>0</v>
      </c>
      <c r="Z49" s="12">
        <f t="shared" si="2"/>
        <v>0</v>
      </c>
      <c r="AA49" s="4" t="s">
        <v>10</v>
      </c>
      <c r="AB49" s="11">
        <f>IFERROR(VLOOKUP(AA49,Curr!$B$2:$C$13,2,FALSE),0)</f>
        <v>11.3</v>
      </c>
      <c r="AC49" s="12">
        <f t="shared" si="3"/>
        <v>0</v>
      </c>
      <c r="AD49" s="12">
        <f t="shared" si="4"/>
        <v>0</v>
      </c>
      <c r="AE49" s="13">
        <f t="shared" si="5"/>
        <v>0</v>
      </c>
    </row>
    <row r="50" spans="2:31" x14ac:dyDescent="0.25">
      <c r="B50" s="4"/>
      <c r="C50" s="1" t="s">
        <v>155</v>
      </c>
      <c r="D50" s="1" t="s">
        <v>85</v>
      </c>
      <c r="E50" s="3"/>
      <c r="F50" s="3"/>
      <c r="G50" s="24"/>
      <c r="H50" s="24"/>
      <c r="J50" s="1" t="s">
        <v>153</v>
      </c>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12"/>
        <v>0</v>
      </c>
      <c r="Z50" s="12">
        <f t="shared" si="2"/>
        <v>0</v>
      </c>
      <c r="AA50" s="4" t="s">
        <v>10</v>
      </c>
      <c r="AB50" s="11">
        <f>IFERROR(VLOOKUP(AA50,Curr!$B$2:$C$13,2,FALSE),0)</f>
        <v>11.3</v>
      </c>
      <c r="AC50" s="12">
        <f t="shared" si="3"/>
        <v>0</v>
      </c>
      <c r="AD50" s="12">
        <f t="shared" si="4"/>
        <v>0</v>
      </c>
      <c r="AE50" s="13">
        <f t="shared" si="5"/>
        <v>0</v>
      </c>
    </row>
    <row r="51" spans="2:31" x14ac:dyDescent="0.25">
      <c r="B51" s="4"/>
      <c r="E51" s="3"/>
      <c r="F51" s="3"/>
      <c r="G51" s="24"/>
      <c r="H51" s="24"/>
      <c r="K51" s="4"/>
      <c r="L51" s="4"/>
      <c r="M51" s="4"/>
      <c r="N51" s="4"/>
      <c r="O51" s="4"/>
      <c r="P51" s="27"/>
      <c r="Q51" s="25"/>
      <c r="R51" s="25"/>
      <c r="S51" s="12">
        <f t="shared" si="0"/>
        <v>0</v>
      </c>
      <c r="T51" s="5">
        <v>0</v>
      </c>
      <c r="U51" s="12">
        <f t="shared" si="6"/>
        <v>0</v>
      </c>
      <c r="V51" s="25" t="s">
        <v>10</v>
      </c>
      <c r="W51" s="11">
        <f>IFERROR(VLOOKUP(V51,[1]Curr!$B$2:$C$13,2,FALSE),0)</f>
        <v>11.3</v>
      </c>
      <c r="X51" s="12">
        <f t="shared" si="1"/>
        <v>0</v>
      </c>
      <c r="Y51" s="26">
        <f t="shared" si="8"/>
        <v>0</v>
      </c>
      <c r="Z51" s="12">
        <f t="shared" si="2"/>
        <v>0</v>
      </c>
      <c r="AA51" s="4" t="s">
        <v>10</v>
      </c>
      <c r="AB51" s="11">
        <f>IFERROR(VLOOKUP(AA51,Curr!$B$2:$C$13,2,FALSE),0)</f>
        <v>11.3</v>
      </c>
      <c r="AC51" s="12">
        <f t="shared" si="3"/>
        <v>0</v>
      </c>
      <c r="AD51" s="12">
        <f t="shared" si="4"/>
        <v>0</v>
      </c>
      <c r="AE51" s="13">
        <f t="shared" si="5"/>
        <v>0</v>
      </c>
    </row>
    <row r="52" spans="2:31" x14ac:dyDescent="0.25">
      <c r="B52" s="4"/>
      <c r="E52" s="3"/>
      <c r="F52" s="3"/>
      <c r="G52" s="24"/>
      <c r="H52" s="24"/>
      <c r="K52" s="4"/>
      <c r="L52" s="4"/>
      <c r="M52" s="4"/>
      <c r="N52" s="4"/>
      <c r="O52" s="4"/>
      <c r="P52" s="27"/>
      <c r="Q52" s="25"/>
      <c r="R52" s="25"/>
      <c r="S52" s="12">
        <f t="shared" si="0"/>
        <v>0</v>
      </c>
      <c r="T52" s="5">
        <v>0</v>
      </c>
      <c r="U52" s="12">
        <f t="shared" si="6"/>
        <v>0</v>
      </c>
      <c r="V52" s="25" t="s">
        <v>10</v>
      </c>
      <c r="W52" s="11">
        <f>IFERROR(VLOOKUP(V52,[1]Curr!$B$2:$C$13,2,FALSE),0)</f>
        <v>11.3</v>
      </c>
      <c r="X52" s="12">
        <f t="shared" si="1"/>
        <v>0</v>
      </c>
      <c r="Y52" s="26">
        <f t="shared" si="8"/>
        <v>0</v>
      </c>
      <c r="Z52" s="12">
        <f t="shared" si="2"/>
        <v>0</v>
      </c>
      <c r="AA52" s="4" t="s">
        <v>10</v>
      </c>
      <c r="AB52" s="11">
        <f>IFERROR(VLOOKUP(AA52,Curr!$B$2:$C$13,2,FALSE),0)</f>
        <v>11.3</v>
      </c>
      <c r="AC52" s="12">
        <f t="shared" si="3"/>
        <v>0</v>
      </c>
      <c r="AD52" s="12">
        <f t="shared" si="4"/>
        <v>0</v>
      </c>
      <c r="AE52" s="13">
        <f t="shared" si="5"/>
        <v>0</v>
      </c>
    </row>
    <row r="53" spans="2:31" x14ac:dyDescent="0.25">
      <c r="B53" s="4"/>
      <c r="C53" s="1" t="s">
        <v>64</v>
      </c>
      <c r="D53" s="1" t="s">
        <v>112</v>
      </c>
      <c r="E53" s="3"/>
      <c r="F53" s="3"/>
      <c r="G53" s="24"/>
      <c r="H53" s="24"/>
      <c r="J53" s="1" t="s">
        <v>126</v>
      </c>
      <c r="K53" s="4"/>
      <c r="L53" s="4"/>
      <c r="M53" s="4"/>
      <c r="N53" s="4"/>
      <c r="O53" s="4"/>
      <c r="P53" s="27"/>
      <c r="Q53" s="25">
        <v>80</v>
      </c>
      <c r="R53" s="25">
        <v>0</v>
      </c>
      <c r="S53" s="12">
        <f t="shared" si="0"/>
        <v>0</v>
      </c>
      <c r="T53" s="5">
        <v>0</v>
      </c>
      <c r="U53" s="12">
        <f t="shared" si="6"/>
        <v>0</v>
      </c>
      <c r="V53" s="25" t="s">
        <v>10</v>
      </c>
      <c r="W53" s="11">
        <f>IFERROR(VLOOKUP(V53,[1]Curr!$B$2:$C$13,2,FALSE),0)</f>
        <v>11.3</v>
      </c>
      <c r="X53" s="12">
        <f t="shared" si="1"/>
        <v>0</v>
      </c>
      <c r="Y53" s="26">
        <f>Q53/0.8</f>
        <v>100</v>
      </c>
      <c r="Z53" s="12">
        <f t="shared" si="2"/>
        <v>0</v>
      </c>
      <c r="AA53" s="4" t="s">
        <v>10</v>
      </c>
      <c r="AB53" s="11">
        <f>IFERROR(VLOOKUP(AA53,Curr!$B$2:$C$13,2,FALSE),0)</f>
        <v>11.3</v>
      </c>
      <c r="AC53" s="12">
        <f t="shared" si="3"/>
        <v>0</v>
      </c>
      <c r="AD53" s="12">
        <f t="shared" si="4"/>
        <v>0</v>
      </c>
      <c r="AE53" s="13">
        <f t="shared" si="5"/>
        <v>0</v>
      </c>
    </row>
    <row r="54" spans="2:31" x14ac:dyDescent="0.25">
      <c r="B54" s="4"/>
      <c r="C54" s="1" t="s">
        <v>76</v>
      </c>
      <c r="D54" s="1" t="s">
        <v>112</v>
      </c>
      <c r="E54" s="3"/>
      <c r="F54" s="3"/>
      <c r="G54" s="24"/>
      <c r="H54" s="24"/>
      <c r="J54" s="1" t="s">
        <v>125</v>
      </c>
      <c r="K54" s="4"/>
      <c r="L54" s="4"/>
      <c r="M54" s="4"/>
      <c r="N54" s="4"/>
      <c r="O54" s="4"/>
      <c r="P54" s="27"/>
      <c r="Q54" s="25">
        <v>80</v>
      </c>
      <c r="R54" s="25">
        <v>0</v>
      </c>
      <c r="S54" s="12">
        <f t="shared" si="0"/>
        <v>0</v>
      </c>
      <c r="T54" s="5">
        <v>0</v>
      </c>
      <c r="U54" s="12">
        <f t="shared" si="6"/>
        <v>0</v>
      </c>
      <c r="V54" s="25" t="s">
        <v>10</v>
      </c>
      <c r="W54" s="11">
        <f>IFERROR(VLOOKUP(V54,[1]Curr!$B$2:$C$13,2,FALSE),0)</f>
        <v>11.3</v>
      </c>
      <c r="X54" s="12">
        <f t="shared" si="1"/>
        <v>0</v>
      </c>
      <c r="Y54" s="26">
        <f>Q54/0.8</f>
        <v>100</v>
      </c>
      <c r="Z54" s="12">
        <f t="shared" si="2"/>
        <v>0</v>
      </c>
      <c r="AA54" s="4" t="s">
        <v>10</v>
      </c>
      <c r="AB54" s="11">
        <f>IFERROR(VLOOKUP(AA54,Curr!$B$2:$C$13,2,FALSE),0)</f>
        <v>11.3</v>
      </c>
      <c r="AC54" s="12">
        <f t="shared" si="3"/>
        <v>0</v>
      </c>
      <c r="AD54" s="12">
        <f t="shared" si="4"/>
        <v>0</v>
      </c>
      <c r="AE54" s="13">
        <f t="shared" si="5"/>
        <v>0</v>
      </c>
    </row>
    <row r="55" spans="2:31" x14ac:dyDescent="0.25">
      <c r="B55" s="4"/>
      <c r="C55" s="1" t="s">
        <v>77</v>
      </c>
      <c r="D55" s="1" t="s">
        <v>112</v>
      </c>
      <c r="E55" s="3"/>
      <c r="F55" s="3"/>
      <c r="G55" s="24"/>
      <c r="H55" s="24"/>
      <c r="J55" s="1" t="s">
        <v>115</v>
      </c>
      <c r="K55" s="4"/>
      <c r="L55" s="4"/>
      <c r="M55" s="4"/>
      <c r="N55" s="4"/>
      <c r="O55" s="4"/>
      <c r="P55" s="27"/>
      <c r="Q55" s="25">
        <v>40</v>
      </c>
      <c r="R55" s="25">
        <v>0</v>
      </c>
      <c r="S55" s="12">
        <f t="shared" si="0"/>
        <v>0</v>
      </c>
      <c r="T55" s="5">
        <v>0</v>
      </c>
      <c r="U55" s="12">
        <f t="shared" si="6"/>
        <v>0</v>
      </c>
      <c r="V55" s="25" t="s">
        <v>10</v>
      </c>
      <c r="W55" s="11">
        <f>IFERROR(VLOOKUP(V55,[1]Curr!$B$2:$C$13,2,FALSE),0)</f>
        <v>11.3</v>
      </c>
      <c r="X55" s="12">
        <f t="shared" si="1"/>
        <v>0</v>
      </c>
      <c r="Y55" s="26">
        <f>Q55/0.67</f>
        <v>59.701492537313428</v>
      </c>
      <c r="Z55" s="12">
        <f t="shared" si="2"/>
        <v>0</v>
      </c>
      <c r="AA55" s="4" t="s">
        <v>10</v>
      </c>
      <c r="AB55" s="11">
        <f>IFERROR(VLOOKUP(AA55,Curr!$B$2:$C$13,2,FALSE),0)</f>
        <v>11.3</v>
      </c>
      <c r="AC55" s="12">
        <f t="shared" si="3"/>
        <v>0</v>
      </c>
      <c r="AD55" s="12">
        <f t="shared" si="4"/>
        <v>0</v>
      </c>
      <c r="AE55" s="13">
        <f t="shared" si="5"/>
        <v>0</v>
      </c>
    </row>
    <row r="56" spans="2:31" x14ac:dyDescent="0.25">
      <c r="B56" s="4"/>
      <c r="C56" s="1" t="s">
        <v>82</v>
      </c>
      <c r="D56" s="1" t="s">
        <v>112</v>
      </c>
      <c r="E56" s="3"/>
      <c r="F56" s="3"/>
      <c r="G56" s="24"/>
      <c r="H56" s="24"/>
      <c r="J56" s="1" t="s">
        <v>116</v>
      </c>
      <c r="K56" s="4"/>
      <c r="L56" s="4"/>
      <c r="M56" s="4"/>
      <c r="N56" s="4"/>
      <c r="O56" s="4"/>
      <c r="P56" s="27"/>
      <c r="Q56" s="25">
        <v>40</v>
      </c>
      <c r="R56" s="25">
        <v>0</v>
      </c>
      <c r="S56" s="12">
        <f t="shared" si="0"/>
        <v>0</v>
      </c>
      <c r="T56" s="5">
        <v>0</v>
      </c>
      <c r="U56" s="12">
        <f t="shared" si="6"/>
        <v>0</v>
      </c>
      <c r="V56" s="25" t="s">
        <v>10</v>
      </c>
      <c r="W56" s="11">
        <f>IFERROR(VLOOKUP(V56,[1]Curr!$B$2:$C$13,2,FALSE),0)</f>
        <v>11.3</v>
      </c>
      <c r="X56" s="12">
        <f t="shared" si="1"/>
        <v>0</v>
      </c>
      <c r="Y56" s="26">
        <f>Q56/0.67</f>
        <v>59.701492537313428</v>
      </c>
      <c r="Z56" s="12">
        <f t="shared" si="2"/>
        <v>0</v>
      </c>
      <c r="AA56" s="4" t="s">
        <v>10</v>
      </c>
      <c r="AB56" s="11">
        <f>IFERROR(VLOOKUP(AA56,Curr!$B$2:$C$13,2,FALSE),0)</f>
        <v>11.3</v>
      </c>
      <c r="AC56" s="12">
        <f t="shared" ref="AC56" si="14">+Y56*AB56*R56</f>
        <v>0</v>
      </c>
      <c r="AD56" s="12">
        <f t="shared" ref="AD56" si="15">+AC56-X56</f>
        <v>0</v>
      </c>
      <c r="AE56" s="13">
        <f t="shared" ref="AE56" si="16">IFERROR(AD56/AC56,0)</f>
        <v>0</v>
      </c>
    </row>
    <row r="57" spans="2:31" x14ac:dyDescent="0.25">
      <c r="B57" s="4"/>
      <c r="C57" s="1" t="s">
        <v>155</v>
      </c>
      <c r="D57" s="1" t="s">
        <v>112</v>
      </c>
      <c r="E57" s="3"/>
      <c r="F57" s="3"/>
      <c r="G57" s="24"/>
      <c r="H57" s="24"/>
      <c r="J57" s="1" t="s">
        <v>154</v>
      </c>
      <c r="K57" s="4"/>
      <c r="L57" s="4"/>
      <c r="M57" s="4"/>
      <c r="N57" s="4"/>
      <c r="O57" s="4"/>
      <c r="P57" s="27"/>
      <c r="Q57" s="25">
        <v>900</v>
      </c>
      <c r="R57" s="25">
        <v>0</v>
      </c>
      <c r="S57" s="12">
        <f t="shared" si="0"/>
        <v>0</v>
      </c>
      <c r="T57" s="5">
        <v>0</v>
      </c>
      <c r="U57" s="12">
        <f t="shared" si="6"/>
        <v>0</v>
      </c>
      <c r="V57" s="25" t="s">
        <v>8</v>
      </c>
      <c r="W57" s="11">
        <f>IFERROR(VLOOKUP(V57,[1]Curr!$B$2:$C$13,2,FALSE),0)</f>
        <v>1</v>
      </c>
      <c r="X57" s="12">
        <f t="shared" si="1"/>
        <v>0</v>
      </c>
      <c r="Y57" s="26">
        <f>Q57/11.3/0.8</f>
        <v>99.55752212389379</v>
      </c>
      <c r="Z57" s="12">
        <f t="shared" si="2"/>
        <v>0</v>
      </c>
      <c r="AA57" s="4" t="s">
        <v>10</v>
      </c>
      <c r="AB57" s="11">
        <f>IFERROR(VLOOKUP(AA57,Curr!$B$2:$C$13,2,FALSE),0)</f>
        <v>11.3</v>
      </c>
      <c r="AC57" s="12">
        <f t="shared" si="3"/>
        <v>0</v>
      </c>
      <c r="AD57" s="12">
        <f t="shared" si="4"/>
        <v>0</v>
      </c>
      <c r="AE57" s="13">
        <f t="shared" si="5"/>
        <v>0</v>
      </c>
    </row>
    <row r="58" spans="2:31" x14ac:dyDescent="0.25">
      <c r="B58" s="4"/>
      <c r="E58" s="3"/>
      <c r="F58" s="3"/>
      <c r="G58" s="24"/>
      <c r="H58" s="24"/>
      <c r="K58" s="4"/>
      <c r="L58" s="4"/>
      <c r="M58" s="4"/>
      <c r="N58" s="4"/>
      <c r="O58" s="4"/>
      <c r="P58" s="27"/>
      <c r="Q58" s="25"/>
      <c r="R58" s="25"/>
      <c r="S58" s="12">
        <f t="shared" si="0"/>
        <v>0</v>
      </c>
      <c r="T58" s="5">
        <v>0</v>
      </c>
      <c r="U58" s="12">
        <f t="shared" si="6"/>
        <v>0</v>
      </c>
      <c r="V58" s="25" t="s">
        <v>10</v>
      </c>
      <c r="W58" s="11">
        <f>IFERROR(VLOOKUP(V58,[1]Curr!$B$2:$C$13,2,FALSE),0)</f>
        <v>11.3</v>
      </c>
      <c r="X58" s="12">
        <f t="shared" si="1"/>
        <v>0</v>
      </c>
      <c r="Y58" s="26">
        <f t="shared" si="8"/>
        <v>0</v>
      </c>
      <c r="Z58" s="12">
        <f t="shared" si="2"/>
        <v>0</v>
      </c>
      <c r="AA58" s="4" t="s">
        <v>10</v>
      </c>
      <c r="AB58" s="11">
        <f>IFERROR(VLOOKUP(AA58,Curr!$B$2:$C$13,2,FALSE),0)</f>
        <v>11.3</v>
      </c>
      <c r="AC58" s="12">
        <f t="shared" si="3"/>
        <v>0</v>
      </c>
      <c r="AD58" s="12">
        <f t="shared" si="4"/>
        <v>0</v>
      </c>
      <c r="AE58" s="13">
        <f t="shared" si="5"/>
        <v>0</v>
      </c>
    </row>
    <row r="59" spans="2:31" x14ac:dyDescent="0.25">
      <c r="B59" s="4"/>
      <c r="E59" s="3"/>
      <c r="F59" s="3"/>
      <c r="G59" s="24"/>
      <c r="H59" s="24"/>
      <c r="K59" s="4"/>
      <c r="L59" s="4"/>
      <c r="M59" s="4"/>
      <c r="N59" s="4"/>
      <c r="O59" s="4"/>
      <c r="P59" s="27"/>
      <c r="Q59" s="25"/>
      <c r="R59" s="25"/>
      <c r="S59" s="12">
        <f t="shared" si="0"/>
        <v>0</v>
      </c>
      <c r="T59" s="5">
        <v>0</v>
      </c>
      <c r="U59" s="12">
        <f t="shared" si="6"/>
        <v>0</v>
      </c>
      <c r="V59" s="25" t="s">
        <v>10</v>
      </c>
      <c r="W59" s="11">
        <f>IFERROR(VLOOKUP(V59,[1]Curr!$B$2:$C$13,2,FALSE),0)</f>
        <v>11.3</v>
      </c>
      <c r="X59" s="12">
        <f t="shared" si="1"/>
        <v>0</v>
      </c>
      <c r="Y59" s="26">
        <f t="shared" si="8"/>
        <v>0</v>
      </c>
      <c r="Z59" s="12">
        <f t="shared" si="2"/>
        <v>0</v>
      </c>
      <c r="AA59" s="4" t="s">
        <v>10</v>
      </c>
      <c r="AB59" s="11">
        <f>IFERROR(VLOOKUP(AA59,Curr!$B$2:$C$13,2,FALSE),0)</f>
        <v>11.3</v>
      </c>
      <c r="AC59" s="12">
        <f t="shared" si="3"/>
        <v>0</v>
      </c>
      <c r="AD59" s="12">
        <f t="shared" si="4"/>
        <v>0</v>
      </c>
      <c r="AE59" s="13">
        <f t="shared" si="5"/>
        <v>0</v>
      </c>
    </row>
    <row r="60" spans="2:31" x14ac:dyDescent="0.25">
      <c r="B60" s="4"/>
      <c r="C60" s="1" t="s">
        <v>76</v>
      </c>
      <c r="D60" s="1" t="s">
        <v>183</v>
      </c>
      <c r="E60" s="3"/>
      <c r="F60" s="3"/>
      <c r="G60" s="24"/>
      <c r="H60" s="24"/>
      <c r="J60" s="1" t="s">
        <v>190</v>
      </c>
      <c r="K60" s="4"/>
      <c r="L60" s="4"/>
      <c r="M60" s="4"/>
      <c r="N60" s="4"/>
      <c r="O60" s="4" t="s">
        <v>42</v>
      </c>
      <c r="P60" s="29" t="s">
        <v>191</v>
      </c>
      <c r="Q60" s="25">
        <f>(40+40)+(50*2)</f>
        <v>180</v>
      </c>
      <c r="R60" s="25">
        <v>0</v>
      </c>
      <c r="S60" s="12">
        <f t="shared" si="0"/>
        <v>0</v>
      </c>
      <c r="T60" s="5">
        <v>0</v>
      </c>
      <c r="U60" s="12">
        <f t="shared" si="6"/>
        <v>0</v>
      </c>
      <c r="V60" s="25" t="s">
        <v>10</v>
      </c>
      <c r="W60" s="11">
        <f>IFERROR(VLOOKUP(V60,[1]Curr!$B$2:$C$13,2,FALSE),0)</f>
        <v>11.3</v>
      </c>
      <c r="X60" s="12">
        <f t="shared" si="1"/>
        <v>0</v>
      </c>
      <c r="Y60" s="26">
        <f>Q60/0.8</f>
        <v>225</v>
      </c>
      <c r="Z60" s="12">
        <f t="shared" si="2"/>
        <v>0</v>
      </c>
      <c r="AA60" s="4" t="s">
        <v>10</v>
      </c>
      <c r="AB60" s="11">
        <f>IFERROR(VLOOKUP(AA60,Curr!$B$2:$C$13,2,FALSE),0)</f>
        <v>11.3</v>
      </c>
      <c r="AC60" s="12">
        <f t="shared" si="3"/>
        <v>0</v>
      </c>
      <c r="AD60" s="12">
        <f t="shared" si="4"/>
        <v>0</v>
      </c>
      <c r="AE60" s="13">
        <f t="shared" si="5"/>
        <v>0</v>
      </c>
    </row>
    <row r="61" spans="2:31" x14ac:dyDescent="0.25">
      <c r="B61" s="4"/>
      <c r="C61" s="1" t="s">
        <v>76</v>
      </c>
      <c r="D61" s="1" t="s">
        <v>183</v>
      </c>
      <c r="E61" s="3"/>
      <c r="F61" s="3"/>
      <c r="G61" s="24"/>
      <c r="H61" s="24"/>
      <c r="J61" s="1" t="s">
        <v>192</v>
      </c>
      <c r="K61" s="4"/>
      <c r="L61" s="4"/>
      <c r="M61" s="4"/>
      <c r="N61" s="4"/>
      <c r="O61" s="4" t="s">
        <v>42</v>
      </c>
      <c r="P61" s="33" t="s">
        <v>193</v>
      </c>
      <c r="Q61" s="25">
        <v>25</v>
      </c>
      <c r="R61" s="25">
        <v>0</v>
      </c>
      <c r="S61" s="12">
        <f t="shared" si="0"/>
        <v>0</v>
      </c>
      <c r="T61" s="5">
        <v>0</v>
      </c>
      <c r="U61" s="12">
        <f t="shared" si="6"/>
        <v>0</v>
      </c>
      <c r="V61" s="25" t="s">
        <v>10</v>
      </c>
      <c r="W61" s="11">
        <f>IFERROR(VLOOKUP(V61,[1]Curr!$B$2:$C$13,2,FALSE),0)</f>
        <v>11.3</v>
      </c>
      <c r="X61" s="12">
        <f t="shared" si="1"/>
        <v>0</v>
      </c>
      <c r="Y61" s="26">
        <f>Q61/0.62</f>
        <v>40.322580645161288</v>
      </c>
      <c r="Z61" s="12">
        <f t="shared" si="2"/>
        <v>0</v>
      </c>
      <c r="AA61" s="4" t="s">
        <v>10</v>
      </c>
      <c r="AB61" s="11">
        <f>IFERROR(VLOOKUP(AA61,Curr!$B$2:$C$13,2,FALSE),0)</f>
        <v>11.3</v>
      </c>
      <c r="AC61" s="12">
        <f t="shared" si="3"/>
        <v>0</v>
      </c>
      <c r="AD61" s="12">
        <f t="shared" si="4"/>
        <v>0</v>
      </c>
      <c r="AE61" s="13">
        <f t="shared" si="5"/>
        <v>0</v>
      </c>
    </row>
    <row r="62" spans="2:31" x14ac:dyDescent="0.25">
      <c r="B62" s="4"/>
      <c r="C62" s="1" t="s">
        <v>78</v>
      </c>
      <c r="D62" s="1" t="s">
        <v>183</v>
      </c>
      <c r="E62" s="3"/>
      <c r="F62" s="3"/>
      <c r="G62" s="24"/>
      <c r="H62" s="24"/>
      <c r="J62" s="1" t="s">
        <v>184</v>
      </c>
      <c r="K62" s="4"/>
      <c r="L62" s="4"/>
      <c r="M62" s="4"/>
      <c r="N62" s="4"/>
      <c r="O62" s="4" t="s">
        <v>42</v>
      </c>
      <c r="P62" s="33" t="s">
        <v>185</v>
      </c>
      <c r="Q62" s="25">
        <v>252</v>
      </c>
      <c r="R62" s="25">
        <v>0</v>
      </c>
      <c r="S62" s="12">
        <f t="shared" si="0"/>
        <v>0</v>
      </c>
      <c r="T62" s="5">
        <v>0.2</v>
      </c>
      <c r="U62" s="12">
        <f t="shared" si="6"/>
        <v>0</v>
      </c>
      <c r="V62" s="25" t="s">
        <v>10</v>
      </c>
      <c r="W62" s="11">
        <f>IFERROR(VLOOKUP(V62,[1]Curr!$B$2:$C$13,2,FALSE),0)</f>
        <v>11.3</v>
      </c>
      <c r="X62" s="12">
        <f t="shared" si="1"/>
        <v>0</v>
      </c>
      <c r="Y62" s="26">
        <f t="shared" ref="Y62" si="17">Q62</f>
        <v>252</v>
      </c>
      <c r="Z62" s="12">
        <f t="shared" si="2"/>
        <v>0</v>
      </c>
      <c r="AA62" s="4" t="s">
        <v>10</v>
      </c>
      <c r="AB62" s="11">
        <f>IFERROR(VLOOKUP(AA62,Curr!$B$2:$C$13,2,FALSE),0)</f>
        <v>11.3</v>
      </c>
      <c r="AC62" s="12">
        <f t="shared" si="3"/>
        <v>0</v>
      </c>
      <c r="AD62" s="12">
        <f t="shared" si="4"/>
        <v>0</v>
      </c>
      <c r="AE62" s="13">
        <f t="shared" si="5"/>
        <v>0</v>
      </c>
    </row>
    <row r="63" spans="2:31" x14ac:dyDescent="0.25">
      <c r="B63" s="4"/>
      <c r="C63" s="1" t="s">
        <v>83</v>
      </c>
      <c r="D63" s="1" t="s">
        <v>183</v>
      </c>
      <c r="E63" s="3"/>
      <c r="F63" s="3"/>
      <c r="G63" s="24"/>
      <c r="H63" s="24"/>
      <c r="J63" s="1" t="s">
        <v>188</v>
      </c>
      <c r="K63" s="4"/>
      <c r="L63" s="4"/>
      <c r="M63" s="4"/>
      <c r="N63" s="4"/>
      <c r="O63" s="4" t="s">
        <v>42</v>
      </c>
      <c r="P63" s="33" t="s">
        <v>189</v>
      </c>
      <c r="Q63" s="25">
        <v>2195</v>
      </c>
      <c r="R63" s="25">
        <v>0</v>
      </c>
      <c r="S63" s="12">
        <f t="shared" si="0"/>
        <v>0</v>
      </c>
      <c r="T63" s="5">
        <v>0.2</v>
      </c>
      <c r="U63" s="12">
        <f t="shared" si="6"/>
        <v>0</v>
      </c>
      <c r="V63" s="25" t="s">
        <v>8</v>
      </c>
      <c r="W63" s="11">
        <f>IFERROR(VLOOKUP(V63,[1]Curr!$B$2:$C$13,2,FALSE),0)</f>
        <v>1</v>
      </c>
      <c r="X63" s="12">
        <f t="shared" si="1"/>
        <v>0</v>
      </c>
      <c r="Y63" s="26">
        <f t="shared" ref="Y63" si="18">Q63/11.3</f>
        <v>194.24778761061947</v>
      </c>
      <c r="Z63" s="12">
        <f t="shared" si="2"/>
        <v>0</v>
      </c>
      <c r="AA63" s="4" t="s">
        <v>10</v>
      </c>
      <c r="AB63" s="11">
        <f>IFERROR(VLOOKUP(AA63,Curr!$B$2:$C$13,2,FALSE),0)</f>
        <v>11.3</v>
      </c>
      <c r="AC63" s="12">
        <f t="shared" si="3"/>
        <v>0</v>
      </c>
      <c r="AD63" s="12">
        <f t="shared" si="4"/>
        <v>0</v>
      </c>
      <c r="AE63" s="13">
        <f t="shared" si="5"/>
        <v>0</v>
      </c>
    </row>
    <row r="64" spans="2:31" x14ac:dyDescent="0.25">
      <c r="B64" s="4"/>
      <c r="C64" s="1" t="s">
        <v>139</v>
      </c>
      <c r="D64" s="1" t="s">
        <v>183</v>
      </c>
      <c r="E64" s="3"/>
      <c r="F64" s="3"/>
      <c r="G64" s="24"/>
      <c r="H64" s="24"/>
      <c r="J64" s="1" t="s">
        <v>200</v>
      </c>
      <c r="K64" s="4"/>
      <c r="L64" s="4"/>
      <c r="M64" s="4"/>
      <c r="N64" s="4"/>
      <c r="O64" s="4" t="s">
        <v>42</v>
      </c>
      <c r="P64" s="33" t="s">
        <v>201</v>
      </c>
      <c r="Q64" s="25">
        <v>185</v>
      </c>
      <c r="R64" s="25">
        <v>0</v>
      </c>
      <c r="S64" s="12">
        <f t="shared" si="0"/>
        <v>0</v>
      </c>
      <c r="T64" s="5">
        <v>0.15</v>
      </c>
      <c r="U64" s="12">
        <f t="shared" si="6"/>
        <v>0</v>
      </c>
      <c r="V64" s="25" t="s">
        <v>10</v>
      </c>
      <c r="W64" s="11">
        <f>IFERROR(VLOOKUP(V64,[1]Curr!$B$2:$C$13,2,FALSE),0)</f>
        <v>11.3</v>
      </c>
      <c r="X64" s="12">
        <f t="shared" si="1"/>
        <v>0</v>
      </c>
      <c r="Y64" s="26">
        <f t="shared" ref="Y64" si="19">Q64</f>
        <v>185</v>
      </c>
      <c r="Z64" s="12">
        <f t="shared" si="2"/>
        <v>0</v>
      </c>
      <c r="AA64" s="4" t="s">
        <v>10</v>
      </c>
      <c r="AB64" s="11">
        <f>IFERROR(VLOOKUP(AA64,Curr!$B$2:$C$13,2,FALSE),0)</f>
        <v>11.3</v>
      </c>
      <c r="AC64" s="12">
        <f t="shared" si="3"/>
        <v>0</v>
      </c>
      <c r="AD64" s="12">
        <f t="shared" si="4"/>
        <v>0</v>
      </c>
      <c r="AE64" s="13">
        <f t="shared" si="5"/>
        <v>0</v>
      </c>
    </row>
    <row r="65" spans="2:36" x14ac:dyDescent="0.25">
      <c r="B65" s="4"/>
      <c r="E65" s="3"/>
      <c r="F65" s="3"/>
      <c r="G65" s="24"/>
      <c r="H65" s="24"/>
      <c r="K65" s="4"/>
      <c r="L65" s="4"/>
      <c r="M65" s="4"/>
      <c r="N65" s="4"/>
      <c r="O65" s="4"/>
      <c r="P65" s="27"/>
      <c r="Q65" s="25"/>
      <c r="R65" s="25"/>
      <c r="S65" s="12">
        <f t="shared" si="0"/>
        <v>0</v>
      </c>
      <c r="T65" s="5">
        <v>0</v>
      </c>
      <c r="U65" s="12">
        <f t="shared" si="6"/>
        <v>0</v>
      </c>
      <c r="V65" s="25" t="s">
        <v>10</v>
      </c>
      <c r="W65" s="11">
        <f>IFERROR(VLOOKUP(V65,[1]Curr!$B$2:$C$13,2,FALSE),0)</f>
        <v>11.3</v>
      </c>
      <c r="X65" s="12">
        <f t="shared" si="1"/>
        <v>0</v>
      </c>
      <c r="Y65" s="26">
        <f t="shared" si="8"/>
        <v>0</v>
      </c>
      <c r="Z65" s="12">
        <f t="shared" si="2"/>
        <v>0</v>
      </c>
      <c r="AA65" s="4" t="s">
        <v>10</v>
      </c>
      <c r="AB65" s="11">
        <f>IFERROR(VLOOKUP(AA65,Curr!$B$2:$C$13,2,FALSE),0)</f>
        <v>11.3</v>
      </c>
      <c r="AC65" s="12">
        <f t="shared" si="3"/>
        <v>0</v>
      </c>
      <c r="AD65" s="12">
        <f t="shared" si="4"/>
        <v>0</v>
      </c>
      <c r="AE65" s="13">
        <f t="shared" si="5"/>
        <v>0</v>
      </c>
    </row>
    <row r="66" spans="2:36" x14ac:dyDescent="0.25">
      <c r="B66" s="4"/>
      <c r="E66" s="3"/>
      <c r="F66" s="3"/>
      <c r="G66" s="24"/>
      <c r="H66" s="24"/>
      <c r="K66" s="4"/>
      <c r="L66" s="4"/>
      <c r="M66" s="4"/>
      <c r="N66" s="4"/>
      <c r="O66" s="4"/>
      <c r="P66" s="27"/>
      <c r="Q66" s="25"/>
      <c r="R66" s="25"/>
      <c r="S66" s="12">
        <f t="shared" si="0"/>
        <v>0</v>
      </c>
      <c r="T66" s="5">
        <v>0</v>
      </c>
      <c r="U66" s="12">
        <f t="shared" si="6"/>
        <v>0</v>
      </c>
      <c r="V66" s="25" t="s">
        <v>10</v>
      </c>
      <c r="W66" s="11">
        <f>IFERROR(VLOOKUP(V66,[1]Curr!$B$2:$C$13,2,FALSE),0)</f>
        <v>11.3</v>
      </c>
      <c r="X66" s="12">
        <f t="shared" si="1"/>
        <v>0</v>
      </c>
      <c r="Y66" s="26">
        <f t="shared" si="8"/>
        <v>0</v>
      </c>
      <c r="Z66" s="12">
        <f t="shared" si="2"/>
        <v>0</v>
      </c>
      <c r="AA66" s="4" t="s">
        <v>10</v>
      </c>
      <c r="AB66" s="11">
        <f>IFERROR(VLOOKUP(AA66,Curr!$B$2:$C$13,2,FALSE),0)</f>
        <v>11.3</v>
      </c>
      <c r="AC66" s="12">
        <f t="shared" si="3"/>
        <v>0</v>
      </c>
      <c r="AD66" s="12">
        <f t="shared" si="4"/>
        <v>0</v>
      </c>
      <c r="AE66" s="13">
        <f t="shared" si="5"/>
        <v>0</v>
      </c>
    </row>
    <row r="67" spans="2:36" x14ac:dyDescent="0.25">
      <c r="B67" s="4"/>
      <c r="C67" s="1" t="s">
        <v>155</v>
      </c>
      <c r="D67" s="1" t="s">
        <v>203</v>
      </c>
      <c r="E67" s="3"/>
      <c r="F67" s="3"/>
      <c r="G67" s="24"/>
      <c r="H67" s="24"/>
      <c r="J67" s="1" t="s">
        <v>205</v>
      </c>
      <c r="K67" s="4"/>
      <c r="L67" s="4"/>
      <c r="M67" s="4"/>
      <c r="N67" s="4"/>
      <c r="O67" s="4"/>
      <c r="P67" s="27"/>
      <c r="Q67" s="25">
        <v>0</v>
      </c>
      <c r="R67" s="25">
        <v>0</v>
      </c>
      <c r="S67" s="12">
        <f t="shared" si="0"/>
        <v>0</v>
      </c>
      <c r="T67" s="5">
        <v>0</v>
      </c>
      <c r="U67" s="12">
        <f t="shared" si="6"/>
        <v>0</v>
      </c>
      <c r="V67" s="25" t="s">
        <v>8</v>
      </c>
      <c r="W67" s="11">
        <f>IFERROR(VLOOKUP(V67,[1]Curr!$B$2:$C$13,2,FALSE),0)</f>
        <v>1</v>
      </c>
      <c r="X67" s="12">
        <f t="shared" si="1"/>
        <v>0</v>
      </c>
      <c r="Y67" s="26">
        <f>Q67/11.3/0.8</f>
        <v>0</v>
      </c>
      <c r="Z67" s="12">
        <f t="shared" si="2"/>
        <v>0</v>
      </c>
      <c r="AA67" s="4" t="s">
        <v>10</v>
      </c>
      <c r="AB67" s="11">
        <f>IFERROR(VLOOKUP(AA67,Curr!$B$2:$C$13,2,FALSE),0)</f>
        <v>11.3</v>
      </c>
      <c r="AC67" s="12">
        <f t="shared" si="3"/>
        <v>0</v>
      </c>
      <c r="AD67" s="12">
        <f t="shared" si="4"/>
        <v>0</v>
      </c>
      <c r="AE67" s="13">
        <f t="shared" si="5"/>
        <v>0</v>
      </c>
    </row>
    <row r="68" spans="2:36" x14ac:dyDescent="0.25">
      <c r="B68" s="4"/>
      <c r="C68" s="1" t="s">
        <v>155</v>
      </c>
      <c r="D68" s="1" t="s">
        <v>203</v>
      </c>
      <c r="E68" s="3"/>
      <c r="F68" s="3"/>
      <c r="G68" s="24"/>
      <c r="H68" s="24"/>
      <c r="J68" s="1" t="s">
        <v>164</v>
      </c>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ref="Y68:Y71" si="20">Q68</f>
        <v>0</v>
      </c>
      <c r="Z68" s="12">
        <f t="shared" si="2"/>
        <v>0</v>
      </c>
      <c r="AA68" s="4" t="s">
        <v>10</v>
      </c>
      <c r="AB68" s="11">
        <f>IFERROR(VLOOKUP(AA68,Curr!$B$2:$C$13,2,FALSE),0)</f>
        <v>11.3</v>
      </c>
      <c r="AC68" s="12">
        <f t="shared" si="3"/>
        <v>0</v>
      </c>
      <c r="AD68" s="12">
        <f t="shared" si="4"/>
        <v>0</v>
      </c>
      <c r="AE68" s="13">
        <f t="shared" si="5"/>
        <v>0</v>
      </c>
    </row>
    <row r="69" spans="2:36" x14ac:dyDescent="0.25">
      <c r="B69" s="4"/>
      <c r="C69" s="1" t="s">
        <v>155</v>
      </c>
      <c r="D69" s="1" t="s">
        <v>203</v>
      </c>
      <c r="E69" s="3"/>
      <c r="F69" s="3"/>
      <c r="G69" s="24"/>
      <c r="H69" s="24"/>
      <c r="J69" s="1" t="s">
        <v>204</v>
      </c>
      <c r="K69" s="4"/>
      <c r="L69" s="4"/>
      <c r="M69" s="4"/>
      <c r="N69" s="4"/>
      <c r="O69" s="4"/>
      <c r="P69" s="27"/>
      <c r="Q69" s="25">
        <v>175</v>
      </c>
      <c r="R69" s="25">
        <v>0</v>
      </c>
      <c r="S69" s="12">
        <f t="shared" si="0"/>
        <v>0</v>
      </c>
      <c r="T69" s="5">
        <v>0</v>
      </c>
      <c r="U69" s="12">
        <f t="shared" si="6"/>
        <v>0</v>
      </c>
      <c r="V69" s="25" t="s">
        <v>10</v>
      </c>
      <c r="W69" s="11">
        <f>IFERROR(VLOOKUP(V69,[1]Curr!$B$2:$C$13,2,FALSE),0)</f>
        <v>11.3</v>
      </c>
      <c r="X69" s="12">
        <f t="shared" si="1"/>
        <v>0</v>
      </c>
      <c r="Y69" s="26">
        <f>Q69/0.85</f>
        <v>205.88235294117646</v>
      </c>
      <c r="Z69" s="12">
        <f t="shared" si="2"/>
        <v>0</v>
      </c>
      <c r="AA69" s="4" t="s">
        <v>10</v>
      </c>
      <c r="AB69" s="11">
        <f>IFERROR(VLOOKUP(AA69,Curr!$B$2:$C$13,2,FALSE),0)</f>
        <v>11.3</v>
      </c>
      <c r="AC69" s="12">
        <f t="shared" si="3"/>
        <v>0</v>
      </c>
      <c r="AD69" s="12">
        <f t="shared" si="4"/>
        <v>0</v>
      </c>
      <c r="AE69" s="13">
        <f t="shared" si="5"/>
        <v>0</v>
      </c>
    </row>
    <row r="70" spans="2:36" x14ac:dyDescent="0.25">
      <c r="B70" s="4"/>
      <c r="C70" s="1" t="s">
        <v>155</v>
      </c>
      <c r="D70" s="1" t="s">
        <v>203</v>
      </c>
      <c r="E70" s="3"/>
      <c r="F70" s="3"/>
      <c r="G70" s="24"/>
      <c r="H70" s="24"/>
      <c r="J70" s="1" t="s">
        <v>163</v>
      </c>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20"/>
        <v>0</v>
      </c>
      <c r="Z70" s="12">
        <f t="shared" si="2"/>
        <v>0</v>
      </c>
      <c r="AA70" s="4" t="s">
        <v>10</v>
      </c>
      <c r="AB70" s="11">
        <f>IFERROR(VLOOKUP(AA70,Curr!$B$2:$C$13,2,FALSE),0)</f>
        <v>11.3</v>
      </c>
      <c r="AC70" s="12">
        <f t="shared" si="3"/>
        <v>0</v>
      </c>
      <c r="AD70" s="12">
        <f t="shared" si="4"/>
        <v>0</v>
      </c>
      <c r="AE70" s="13">
        <f t="shared" si="5"/>
        <v>0</v>
      </c>
    </row>
    <row r="71" spans="2:36" x14ac:dyDescent="0.25">
      <c r="B71" s="4"/>
      <c r="C71" s="1" t="s">
        <v>181</v>
      </c>
      <c r="D71" s="1" t="s">
        <v>203</v>
      </c>
      <c r="E71" s="3"/>
      <c r="F71" s="3"/>
      <c r="G71" s="24"/>
      <c r="H71" s="24"/>
      <c r="J71" s="1" t="s">
        <v>162</v>
      </c>
      <c r="K71" s="4"/>
      <c r="L71" s="4"/>
      <c r="M71" s="4"/>
      <c r="N71" s="4"/>
      <c r="O71" s="4"/>
      <c r="P71" s="27"/>
      <c r="Q71" s="25">
        <v>0</v>
      </c>
      <c r="R71" s="25">
        <v>0</v>
      </c>
      <c r="S71" s="12">
        <f t="shared" ref="S71:S78" si="21">+Q71*R71</f>
        <v>0</v>
      </c>
      <c r="T71" s="5">
        <v>0</v>
      </c>
      <c r="U71" s="12">
        <f t="shared" si="6"/>
        <v>0</v>
      </c>
      <c r="V71" s="25" t="s">
        <v>10</v>
      </c>
      <c r="W71" s="11">
        <f>IFERROR(VLOOKUP(V71,[1]Curr!$B$2:$C$13,2,FALSE),0)</f>
        <v>11.3</v>
      </c>
      <c r="X71" s="12">
        <f t="shared" ref="X71:X78" si="22">U71*W71</f>
        <v>0</v>
      </c>
      <c r="Y71" s="26">
        <f t="shared" si="20"/>
        <v>0</v>
      </c>
      <c r="Z71" s="12">
        <f t="shared" si="2"/>
        <v>0</v>
      </c>
      <c r="AA71" s="4" t="s">
        <v>10</v>
      </c>
      <c r="AB71" s="11">
        <f>IFERROR(VLOOKUP(AA71,Curr!$B$2:$C$13,2,FALSE),0)</f>
        <v>11.3</v>
      </c>
      <c r="AC71" s="12">
        <f t="shared" si="3"/>
        <v>0</v>
      </c>
      <c r="AD71" s="12">
        <f t="shared" si="4"/>
        <v>0</v>
      </c>
      <c r="AE71" s="13">
        <f t="shared" si="5"/>
        <v>0</v>
      </c>
    </row>
    <row r="72" spans="2:36" x14ac:dyDescent="0.25">
      <c r="B72" s="4"/>
      <c r="E72" s="3"/>
      <c r="F72" s="3"/>
      <c r="G72" s="24"/>
      <c r="H72" s="24"/>
      <c r="K72" s="4"/>
      <c r="L72" s="4"/>
      <c r="M72" s="4"/>
      <c r="N72" s="4"/>
      <c r="O72" s="4"/>
      <c r="P72" s="27"/>
      <c r="Q72" s="25"/>
      <c r="R72" s="25"/>
      <c r="S72" s="12">
        <f t="shared" si="21"/>
        <v>0</v>
      </c>
      <c r="T72" s="5">
        <v>0</v>
      </c>
      <c r="U72" s="12">
        <f t="shared" ref="U72:U78" si="23">S72*(1-T72)</f>
        <v>0</v>
      </c>
      <c r="V72" s="25" t="s">
        <v>10</v>
      </c>
      <c r="W72" s="11">
        <f>IFERROR(VLOOKUP(V72,[1]Curr!$B$2:$C$13,2,FALSE),0)</f>
        <v>11.3</v>
      </c>
      <c r="X72" s="12">
        <f t="shared" si="22"/>
        <v>0</v>
      </c>
      <c r="Y72" s="26">
        <f t="shared" si="8"/>
        <v>0</v>
      </c>
      <c r="Z72" s="12">
        <f t="shared" ref="Z72:Z78" si="24">+Y72*R72</f>
        <v>0</v>
      </c>
      <c r="AA72" s="4" t="s">
        <v>10</v>
      </c>
      <c r="AB72" s="11">
        <f>IFERROR(VLOOKUP(AA72,Curr!$B$2:$C$13,2,FALSE),0)</f>
        <v>11.3</v>
      </c>
      <c r="AC72" s="12">
        <f t="shared" ref="AC72:AC78" si="25">+Y72*AB72*R72</f>
        <v>0</v>
      </c>
      <c r="AD72" s="12">
        <f t="shared" ref="AD72:AD78" si="26">+AC72-X72</f>
        <v>0</v>
      </c>
      <c r="AE72" s="13">
        <f t="shared" ref="AE72:AE78" si="27">IFERROR(AD72/AC72,0)</f>
        <v>0</v>
      </c>
    </row>
    <row r="73" spans="2:36" x14ac:dyDescent="0.25">
      <c r="B73" s="4"/>
      <c r="E73" s="3"/>
      <c r="F73" s="3"/>
      <c r="G73" s="24"/>
      <c r="H73" s="24"/>
      <c r="K73" s="4"/>
      <c r="L73" s="4"/>
      <c r="M73" s="4"/>
      <c r="N73" s="4"/>
      <c r="O73" s="4"/>
      <c r="P73" s="27"/>
      <c r="Q73" s="25"/>
      <c r="R73" s="25"/>
      <c r="S73" s="12">
        <f t="shared" si="21"/>
        <v>0</v>
      </c>
      <c r="T73" s="5">
        <v>0</v>
      </c>
      <c r="U73" s="12">
        <f t="shared" si="23"/>
        <v>0</v>
      </c>
      <c r="V73" s="25" t="s">
        <v>10</v>
      </c>
      <c r="W73" s="11">
        <f>IFERROR(VLOOKUP(V73,[1]Curr!$B$2:$C$13,2,FALSE),0)</f>
        <v>11.3</v>
      </c>
      <c r="X73" s="12">
        <f t="shared" si="22"/>
        <v>0</v>
      </c>
      <c r="Y73" s="26">
        <f t="shared" ref="Y73:Y78" si="28">Q73</f>
        <v>0</v>
      </c>
      <c r="Z73" s="12">
        <f t="shared" si="24"/>
        <v>0</v>
      </c>
      <c r="AA73" s="4" t="s">
        <v>10</v>
      </c>
      <c r="AB73" s="11">
        <f>IFERROR(VLOOKUP(AA73,Curr!$B$2:$C$13,2,FALSE),0)</f>
        <v>11.3</v>
      </c>
      <c r="AC73" s="12">
        <f t="shared" si="25"/>
        <v>0</v>
      </c>
      <c r="AD73" s="12">
        <f t="shared" si="26"/>
        <v>0</v>
      </c>
      <c r="AE73" s="13">
        <f t="shared" si="27"/>
        <v>0</v>
      </c>
    </row>
    <row r="74" spans="2:36" x14ac:dyDescent="0.25">
      <c r="B74" s="4"/>
      <c r="E74" s="3"/>
      <c r="F74" s="3"/>
      <c r="G74" s="24"/>
      <c r="H74" s="24"/>
      <c r="K74" s="4"/>
      <c r="L74" s="4"/>
      <c r="M74" s="4"/>
      <c r="N74" s="4"/>
      <c r="O74" s="4"/>
      <c r="P74" s="27"/>
      <c r="Q74" s="25"/>
      <c r="R74" s="25"/>
      <c r="S74" s="12">
        <f t="shared" si="21"/>
        <v>0</v>
      </c>
      <c r="T74" s="5">
        <v>0</v>
      </c>
      <c r="U74" s="12">
        <f t="shared" si="23"/>
        <v>0</v>
      </c>
      <c r="V74" s="25" t="s">
        <v>10</v>
      </c>
      <c r="W74" s="11">
        <f>IFERROR(VLOOKUP(V74,[1]Curr!$B$2:$C$13,2,FALSE),0)</f>
        <v>11.3</v>
      </c>
      <c r="X74" s="12">
        <f t="shared" si="22"/>
        <v>0</v>
      </c>
      <c r="Y74" s="26">
        <f t="shared" si="28"/>
        <v>0</v>
      </c>
      <c r="Z74" s="12">
        <f t="shared" si="24"/>
        <v>0</v>
      </c>
      <c r="AA74" s="4" t="s">
        <v>10</v>
      </c>
      <c r="AB74" s="11">
        <f>IFERROR(VLOOKUP(AA74,Curr!$B$2:$C$13,2,FALSE),0)</f>
        <v>11.3</v>
      </c>
      <c r="AC74" s="12">
        <f t="shared" si="25"/>
        <v>0</v>
      </c>
      <c r="AD74" s="12">
        <f t="shared" si="26"/>
        <v>0</v>
      </c>
      <c r="AE74" s="13">
        <f t="shared" si="27"/>
        <v>0</v>
      </c>
    </row>
    <row r="75" spans="2:36" x14ac:dyDescent="0.25">
      <c r="B75" s="4"/>
      <c r="E75" s="3"/>
      <c r="F75" s="3"/>
      <c r="G75" s="24"/>
      <c r="H75" s="24"/>
      <c r="K75" s="4"/>
      <c r="L75" s="4"/>
      <c r="M75" s="4"/>
      <c r="N75" s="4"/>
      <c r="O75" s="4"/>
      <c r="P75" s="27"/>
      <c r="Q75" s="25"/>
      <c r="R75" s="25"/>
      <c r="S75" s="12">
        <f t="shared" si="21"/>
        <v>0</v>
      </c>
      <c r="T75" s="5">
        <v>0</v>
      </c>
      <c r="U75" s="12">
        <f t="shared" si="23"/>
        <v>0</v>
      </c>
      <c r="V75" s="25" t="s">
        <v>10</v>
      </c>
      <c r="W75" s="11">
        <f>IFERROR(VLOOKUP(V75,[1]Curr!$B$2:$C$13,2,FALSE),0)</f>
        <v>11.3</v>
      </c>
      <c r="X75" s="12">
        <f t="shared" si="22"/>
        <v>0</v>
      </c>
      <c r="Y75" s="26">
        <f t="shared" si="28"/>
        <v>0</v>
      </c>
      <c r="Z75" s="12">
        <f t="shared" si="24"/>
        <v>0</v>
      </c>
      <c r="AA75" s="4" t="s">
        <v>10</v>
      </c>
      <c r="AB75" s="11">
        <f>IFERROR(VLOOKUP(AA75,Curr!$B$2:$C$13,2,FALSE),0)</f>
        <v>11.3</v>
      </c>
      <c r="AC75" s="12">
        <f t="shared" si="25"/>
        <v>0</v>
      </c>
      <c r="AD75" s="12">
        <f t="shared" si="26"/>
        <v>0</v>
      </c>
      <c r="AE75" s="13">
        <f t="shared" si="27"/>
        <v>0</v>
      </c>
    </row>
    <row r="76" spans="2:36" x14ac:dyDescent="0.25">
      <c r="B76" s="4"/>
      <c r="E76" s="3"/>
      <c r="F76" s="3"/>
      <c r="G76" s="24"/>
      <c r="H76" s="24"/>
      <c r="K76" s="4"/>
      <c r="L76" s="4"/>
      <c r="M76" s="4"/>
      <c r="N76" s="4"/>
      <c r="O76" s="4"/>
      <c r="P76" s="27"/>
      <c r="Q76" s="25"/>
      <c r="R76" s="25"/>
      <c r="S76" s="12">
        <f t="shared" si="21"/>
        <v>0</v>
      </c>
      <c r="T76" s="5">
        <v>0</v>
      </c>
      <c r="U76" s="12">
        <f t="shared" si="23"/>
        <v>0</v>
      </c>
      <c r="V76" s="25" t="s">
        <v>10</v>
      </c>
      <c r="W76" s="11">
        <f>IFERROR(VLOOKUP(V76,[1]Curr!$B$2:$C$13,2,FALSE),0)</f>
        <v>11.3</v>
      </c>
      <c r="X76" s="12">
        <f t="shared" si="22"/>
        <v>0</v>
      </c>
      <c r="Y76" s="26">
        <f t="shared" si="28"/>
        <v>0</v>
      </c>
      <c r="Z76" s="12">
        <f t="shared" si="24"/>
        <v>0</v>
      </c>
      <c r="AA76" s="4" t="s">
        <v>10</v>
      </c>
      <c r="AB76" s="11">
        <f>IFERROR(VLOOKUP(AA76,Curr!$B$2:$C$13,2,FALSE),0)</f>
        <v>11.3</v>
      </c>
      <c r="AC76" s="12">
        <f t="shared" si="25"/>
        <v>0</v>
      </c>
      <c r="AD76" s="12">
        <f t="shared" si="26"/>
        <v>0</v>
      </c>
      <c r="AE76" s="13">
        <f t="shared" si="27"/>
        <v>0</v>
      </c>
    </row>
    <row r="77" spans="2:36" x14ac:dyDescent="0.25">
      <c r="B77" s="4"/>
      <c r="E77" s="3"/>
      <c r="F77" s="3"/>
      <c r="G77" s="24"/>
      <c r="H77" s="24"/>
      <c r="K77" s="4"/>
      <c r="L77" s="4"/>
      <c r="M77" s="4"/>
      <c r="N77" s="4"/>
      <c r="O77" s="4"/>
      <c r="P77" s="27"/>
      <c r="Q77" s="25"/>
      <c r="R77" s="25"/>
      <c r="S77" s="12">
        <f t="shared" si="21"/>
        <v>0</v>
      </c>
      <c r="T77" s="5">
        <v>0</v>
      </c>
      <c r="U77" s="12">
        <f t="shared" si="23"/>
        <v>0</v>
      </c>
      <c r="V77" s="25" t="s">
        <v>10</v>
      </c>
      <c r="W77" s="11">
        <f>IFERROR(VLOOKUP(V77,[1]Curr!$B$2:$C$13,2,FALSE),0)</f>
        <v>11.3</v>
      </c>
      <c r="X77" s="12">
        <f t="shared" si="22"/>
        <v>0</v>
      </c>
      <c r="Y77" s="26">
        <f t="shared" si="28"/>
        <v>0</v>
      </c>
      <c r="Z77" s="12">
        <f t="shared" si="24"/>
        <v>0</v>
      </c>
      <c r="AA77" s="4" t="s">
        <v>10</v>
      </c>
      <c r="AB77" s="11">
        <f>IFERROR(VLOOKUP(AA77,Curr!$B$2:$C$13,2,FALSE),0)</f>
        <v>11.3</v>
      </c>
      <c r="AC77" s="12">
        <f t="shared" si="25"/>
        <v>0</v>
      </c>
      <c r="AD77" s="12">
        <f t="shared" si="26"/>
        <v>0</v>
      </c>
      <c r="AE77" s="13">
        <f t="shared" si="27"/>
        <v>0</v>
      </c>
    </row>
    <row r="78" spans="2:36" x14ac:dyDescent="0.25">
      <c r="B78" s="4"/>
      <c r="E78" s="3"/>
      <c r="F78" s="3"/>
      <c r="G78" s="24"/>
      <c r="H78" s="24"/>
      <c r="K78" s="4"/>
      <c r="L78" s="4"/>
      <c r="M78" s="4"/>
      <c r="N78" s="4"/>
      <c r="O78" s="4"/>
      <c r="P78" s="27"/>
      <c r="Q78" s="25"/>
      <c r="R78" s="25"/>
      <c r="S78" s="12">
        <f t="shared" si="21"/>
        <v>0</v>
      </c>
      <c r="T78" s="5">
        <v>0</v>
      </c>
      <c r="U78" s="12">
        <f t="shared" si="23"/>
        <v>0</v>
      </c>
      <c r="V78" s="25" t="s">
        <v>10</v>
      </c>
      <c r="W78" s="11">
        <f>IFERROR(VLOOKUP(V78,[1]Curr!$B$2:$C$13,2,FALSE),0)</f>
        <v>11.3</v>
      </c>
      <c r="X78" s="12">
        <f t="shared" si="22"/>
        <v>0</v>
      </c>
      <c r="Y78" s="26">
        <f t="shared" si="28"/>
        <v>0</v>
      </c>
      <c r="Z78" s="12">
        <f t="shared" si="24"/>
        <v>0</v>
      </c>
      <c r="AA78" s="4" t="s">
        <v>10</v>
      </c>
      <c r="AB78" s="11">
        <f>IFERROR(VLOOKUP(AA78,Curr!$B$2:$C$13,2,FALSE),0)</f>
        <v>11.3</v>
      </c>
      <c r="AC78" s="12">
        <f t="shared" si="25"/>
        <v>0</v>
      </c>
      <c r="AD78" s="12">
        <f t="shared" si="26"/>
        <v>0</v>
      </c>
      <c r="AE78" s="13">
        <f t="shared" si="27"/>
        <v>0</v>
      </c>
    </row>
    <row r="79" spans="2:36" x14ac:dyDescent="0.25">
      <c r="B79" s="4"/>
      <c r="E79" s="3"/>
      <c r="F79" s="3"/>
      <c r="G79" s="3"/>
      <c r="H79" s="3"/>
      <c r="L79" s="4"/>
      <c r="M79" s="4"/>
      <c r="N79" s="4"/>
      <c r="O79" s="4"/>
      <c r="P79" s="22"/>
      <c r="Q79" s="4"/>
      <c r="R79" s="4"/>
      <c r="S79" s="4"/>
      <c r="T79" s="4"/>
      <c r="U79" s="4"/>
      <c r="V79" s="4"/>
      <c r="W79" s="4"/>
      <c r="X79" s="4"/>
      <c r="Y79" s="4"/>
      <c r="Z79" s="4"/>
      <c r="AA79" s="4"/>
      <c r="AB79" s="4"/>
      <c r="AC79" s="4"/>
      <c r="AD79" s="4"/>
      <c r="AE79" s="4"/>
      <c r="AF79" s="4"/>
    </row>
    <row r="80" spans="2:36" x14ac:dyDescent="0.25">
      <c r="B80" s="14" t="s">
        <v>18</v>
      </c>
      <c r="C80" s="14"/>
      <c r="D80" s="28" t="s">
        <v>42</v>
      </c>
      <c r="E80" s="30" t="s">
        <v>42</v>
      </c>
      <c r="F80" s="30" t="s">
        <v>42</v>
      </c>
      <c r="G80" s="30" t="s">
        <v>42</v>
      </c>
      <c r="H80" s="30" t="s">
        <v>42</v>
      </c>
      <c r="I80" s="28" t="s">
        <v>42</v>
      </c>
      <c r="J80" s="28" t="s">
        <v>42</v>
      </c>
      <c r="K80" s="28" t="s">
        <v>42</v>
      </c>
      <c r="L80" s="28" t="s">
        <v>42</v>
      </c>
      <c r="M80" s="28" t="s">
        <v>42</v>
      </c>
      <c r="N80" s="28" t="s">
        <v>42</v>
      </c>
      <c r="O80" s="28" t="s">
        <v>42</v>
      </c>
      <c r="P80" s="28" t="s">
        <v>42</v>
      </c>
      <c r="Q80" s="31" t="s">
        <v>42</v>
      </c>
      <c r="R80" s="28" t="s">
        <v>42</v>
      </c>
      <c r="S80" s="32" t="s">
        <v>42</v>
      </c>
      <c r="T80" s="28" t="s">
        <v>42</v>
      </c>
      <c r="U80" s="32" t="s">
        <v>42</v>
      </c>
      <c r="V80" s="28" t="s">
        <v>42</v>
      </c>
      <c r="W80" s="28" t="s">
        <v>42</v>
      </c>
      <c r="X80" s="32" t="s">
        <v>42</v>
      </c>
      <c r="Y80" s="32" t="s">
        <v>42</v>
      </c>
      <c r="Z80" s="15">
        <f>SUM(Z7:Z78)</f>
        <v>5038.8965907741767</v>
      </c>
      <c r="AA80" s="14"/>
      <c r="AB80" s="14"/>
      <c r="AC80" s="15">
        <f>SUM(AC7:AC78)</f>
        <v>56939.531475748205</v>
      </c>
      <c r="AD80" s="15">
        <f>SUM(AD7:AD78)</f>
        <v>10597.911475748195</v>
      </c>
      <c r="AE80" s="21">
        <f t="shared" ref="AE80" si="29">IFERROR(AD80/AC80,0)</f>
        <v>0.18612572322029164</v>
      </c>
      <c r="AF80" s="15">
        <f>SUM(AF8:AF79)</f>
        <v>0</v>
      </c>
      <c r="AG80" s="15">
        <f>SUM(AG8:AG79)</f>
        <v>0</v>
      </c>
      <c r="AH80" s="15">
        <f>SUM(AH8:AH79)</f>
        <v>0</v>
      </c>
      <c r="AI80" s="15">
        <f>SUM(AI8:AI79)</f>
        <v>0</v>
      </c>
      <c r="AJ80" s="15">
        <f>SUM(AJ8:AJ79)</f>
        <v>0</v>
      </c>
    </row>
    <row r="81" spans="2:32" x14ac:dyDescent="0.25">
      <c r="B81" s="4"/>
      <c r="E81" s="3"/>
      <c r="F81" s="3"/>
      <c r="G81" s="3"/>
      <c r="H81" s="3"/>
      <c r="L81" s="4"/>
      <c r="M81" s="4"/>
      <c r="N81" s="4"/>
      <c r="O81" s="4"/>
      <c r="Q81" s="4"/>
      <c r="R81" s="4"/>
      <c r="S81" s="4"/>
      <c r="T81" s="4"/>
      <c r="U81" s="4"/>
      <c r="V81" s="4"/>
      <c r="W81" s="4"/>
      <c r="X81" s="4"/>
      <c r="Y81" s="9"/>
      <c r="Z81" s="9"/>
      <c r="AA81" s="9"/>
      <c r="AB81" s="9"/>
      <c r="AC81" s="9"/>
      <c r="AD81" s="9"/>
      <c r="AE81" s="9"/>
    </row>
    <row r="82" spans="2:32" x14ac:dyDescent="0.25">
      <c r="B82" s="4"/>
      <c r="E82" s="3"/>
      <c r="F82" s="3"/>
      <c r="G82" s="3"/>
      <c r="H82" s="3"/>
      <c r="L82" s="4"/>
      <c r="M82" s="4"/>
      <c r="N82" s="4"/>
      <c r="O82" s="4"/>
      <c r="Q82" s="9"/>
      <c r="R82" s="9"/>
      <c r="S82" s="9"/>
      <c r="T82" s="9"/>
      <c r="U82" s="9"/>
      <c r="V82" s="9"/>
      <c r="W82" s="9"/>
      <c r="X82" s="23"/>
      <c r="Y82" s="34" t="s">
        <v>119</v>
      </c>
      <c r="Z82" s="34">
        <f>Z12+Z19+Z21+Z23+Z26+Z31+Z33+Z36+Z45+Z47</f>
        <v>2965.3671790094704</v>
      </c>
      <c r="AA82" s="9"/>
      <c r="AB82" s="9"/>
      <c r="AC82" s="9"/>
      <c r="AD82" s="9"/>
      <c r="AE82" s="9"/>
    </row>
    <row r="83" spans="2:32" x14ac:dyDescent="0.25">
      <c r="B83" s="4"/>
      <c r="E83" s="3"/>
      <c r="F83" s="3"/>
      <c r="G83" s="3"/>
      <c r="H83" s="3"/>
      <c r="L83" s="4"/>
      <c r="M83" s="4"/>
      <c r="N83" s="4"/>
      <c r="O83" s="4"/>
      <c r="Q83" s="9"/>
      <c r="R83" s="9"/>
      <c r="S83" s="9"/>
      <c r="T83" s="9"/>
      <c r="U83" s="9"/>
      <c r="V83" s="9"/>
      <c r="W83" s="9"/>
      <c r="X83" s="9"/>
      <c r="Y83" s="35" t="s">
        <v>120</v>
      </c>
      <c r="Z83" s="34">
        <f>Z9+Z14+Z17+Z28+Z42</f>
        <v>2073.5294117647059</v>
      </c>
      <c r="AA83" s="9"/>
      <c r="AB83" s="9"/>
      <c r="AC83" s="9"/>
      <c r="AD83" s="9"/>
      <c r="AE83" s="9"/>
      <c r="AF83" s="18"/>
    </row>
    <row r="84" spans="2:32" x14ac:dyDescent="0.25">
      <c r="B84" s="4"/>
      <c r="E84" s="3"/>
      <c r="F84" s="3"/>
      <c r="G84" s="3"/>
      <c r="H84" s="3"/>
      <c r="I84" s="19"/>
      <c r="L84" s="4"/>
      <c r="M84" s="4"/>
      <c r="N84" s="4"/>
      <c r="O84" s="20"/>
      <c r="Q84" s="20"/>
      <c r="R84" s="20"/>
      <c r="S84" s="20"/>
      <c r="T84" s="20"/>
      <c r="U84" s="20"/>
      <c r="V84" s="20"/>
      <c r="W84" s="20"/>
      <c r="X84" s="20"/>
      <c r="Y84" s="34" t="s">
        <v>121</v>
      </c>
      <c r="Z84" s="34">
        <v>5160</v>
      </c>
      <c r="AA84" s="9"/>
      <c r="AB84" s="9"/>
      <c r="AC84" s="9"/>
      <c r="AD84" s="9"/>
      <c r="AE84" s="9"/>
      <c r="AF84" s="18"/>
    </row>
    <row r="85" spans="2:32" x14ac:dyDescent="0.25">
      <c r="B85" s="4"/>
      <c r="E85" s="3"/>
      <c r="F85" s="3"/>
      <c r="G85" s="3"/>
      <c r="H85" s="3"/>
      <c r="L85" s="4"/>
      <c r="M85" s="4"/>
      <c r="N85" s="4"/>
      <c r="O85" s="20"/>
      <c r="Q85" s="20"/>
      <c r="R85" s="20"/>
      <c r="S85" s="20"/>
      <c r="T85" s="20"/>
      <c r="U85" s="20"/>
      <c r="V85" s="20"/>
      <c r="W85" s="20"/>
      <c r="X85" s="20"/>
      <c r="Y85" s="34" t="s">
        <v>46</v>
      </c>
      <c r="Z85" s="34">
        <f>Z84/2</f>
        <v>2580</v>
      </c>
      <c r="AA85" s="9"/>
      <c r="AB85" s="9"/>
      <c r="AC85" s="9"/>
      <c r="AD85" s="9"/>
      <c r="AE85" s="9"/>
      <c r="AF85" s="18"/>
    </row>
    <row r="86" spans="2:32" x14ac:dyDescent="0.25">
      <c r="B86" s="4"/>
      <c r="E86" s="3"/>
      <c r="F86" s="3"/>
      <c r="G86" s="3"/>
      <c r="H86" s="3"/>
      <c r="L86" s="4"/>
      <c r="M86" s="4"/>
      <c r="N86" s="4"/>
      <c r="O86" s="4"/>
      <c r="Q86" s="9"/>
      <c r="R86" s="9"/>
      <c r="S86" s="9"/>
      <c r="T86" s="9"/>
      <c r="U86" s="9"/>
      <c r="V86" s="9"/>
      <c r="W86" s="9"/>
      <c r="X86" s="9"/>
      <c r="Y86" s="1"/>
      <c r="Z86" s="1"/>
      <c r="AA86" s="9"/>
      <c r="AB86" s="9"/>
      <c r="AC86" s="9"/>
      <c r="AD86" s="9"/>
      <c r="AE86" s="9"/>
      <c r="AF86" s="18"/>
    </row>
    <row r="87" spans="2:32" x14ac:dyDescent="0.25">
      <c r="F87" s="1"/>
      <c r="G87" s="1"/>
      <c r="H87" s="1"/>
      <c r="J87" s="1" t="s">
        <v>32</v>
      </c>
      <c r="Q87" s="9"/>
      <c r="R87" s="4"/>
      <c r="S87" s="9"/>
      <c r="T87" s="5"/>
      <c r="U87" s="9"/>
      <c r="V87" s="4"/>
      <c r="W87" s="4"/>
      <c r="X87" s="9"/>
      <c r="Y87" s="9"/>
      <c r="Z87" s="9"/>
      <c r="AA87" s="9"/>
      <c r="AB87" s="9"/>
      <c r="AC87" s="9"/>
      <c r="AD87" s="9"/>
      <c r="AE87" s="9"/>
    </row>
    <row r="88" spans="2:32" x14ac:dyDescent="0.25">
      <c r="R88" s="4"/>
      <c r="S88" s="17"/>
      <c r="T88" s="17"/>
      <c r="U88" s="9"/>
      <c r="V88" s="4"/>
      <c r="W88" s="4"/>
      <c r="X88" s="9"/>
      <c r="Y88" s="39" t="s">
        <v>220</v>
      </c>
      <c r="Z88" s="9">
        <f>Z84</f>
        <v>5160</v>
      </c>
      <c r="AA88" s="9"/>
      <c r="AB88" s="9"/>
      <c r="AC88" s="9"/>
      <c r="AD88" s="9"/>
      <c r="AE88" s="9"/>
    </row>
    <row r="89" spans="2:32" x14ac:dyDescent="0.25">
      <c r="Q89" s="9"/>
      <c r="R89" s="4"/>
      <c r="S89" s="16"/>
      <c r="T89" s="16"/>
      <c r="U89" s="9"/>
      <c r="V89" s="4"/>
      <c r="W89" s="4"/>
      <c r="X89" s="9"/>
      <c r="Y89" s="39" t="s">
        <v>221</v>
      </c>
      <c r="Z89" s="9">
        <f>Z88*1.18</f>
        <v>6088.7999999999993</v>
      </c>
      <c r="AA89" s="9"/>
      <c r="AB89" s="9"/>
      <c r="AC89" s="9"/>
      <c r="AD89" s="9"/>
      <c r="AE89" s="9"/>
    </row>
    <row r="90" spans="2:32" x14ac:dyDescent="0.25">
      <c r="R90" s="4"/>
      <c r="S90" s="16"/>
      <c r="T90" s="16"/>
      <c r="Y90" s="39" t="s">
        <v>222</v>
      </c>
      <c r="Z90" s="9">
        <f>Z88*1.3</f>
        <v>6708</v>
      </c>
      <c r="AA90" s="9"/>
      <c r="AB90" s="9"/>
      <c r="AC90" s="9"/>
      <c r="AD90" s="9"/>
      <c r="AE90" s="9"/>
    </row>
    <row r="91" spans="2:32" x14ac:dyDescent="0.25">
      <c r="T91" s="5"/>
      <c r="Y91" s="39" t="s">
        <v>223</v>
      </c>
      <c r="Z91" s="9">
        <f>Z88*0.85</f>
        <v>4386</v>
      </c>
      <c r="AA91" s="9"/>
      <c r="AB91" s="9"/>
      <c r="AC91" s="9"/>
      <c r="AD91" s="9"/>
      <c r="AE91" s="9"/>
    </row>
    <row r="92" spans="2:32" x14ac:dyDescent="0.25">
      <c r="T92" s="5"/>
      <c r="Y92" s="9"/>
      <c r="Z92" s="9"/>
      <c r="AA92" s="9"/>
      <c r="AB92" s="9"/>
      <c r="AC92" s="9"/>
      <c r="AD92" s="9"/>
      <c r="AE92" s="9"/>
    </row>
    <row r="93" spans="2:32" x14ac:dyDescent="0.25">
      <c r="T93" s="5"/>
      <c r="Y93" s="9"/>
      <c r="Z93" s="9"/>
      <c r="AA93" s="9"/>
      <c r="AB93" s="9"/>
      <c r="AC93" s="9"/>
      <c r="AD93" s="9"/>
      <c r="AE93" s="9"/>
    </row>
    <row r="94" spans="2:32" x14ac:dyDescent="0.25">
      <c r="T94" s="5"/>
      <c r="Y94" s="9"/>
      <c r="Z94" s="9"/>
      <c r="AA94" s="9"/>
      <c r="AB94" s="9"/>
      <c r="AC94" s="9"/>
      <c r="AD94" s="9"/>
      <c r="AE94" s="9"/>
    </row>
    <row r="95" spans="2:32" x14ac:dyDescent="0.25">
      <c r="T95" s="5"/>
      <c r="Y95" s="9"/>
      <c r="Z95" s="9"/>
      <c r="AA95" s="9"/>
      <c r="AB95" s="9"/>
      <c r="AC95" s="9"/>
      <c r="AD95" s="9"/>
      <c r="AE95" s="9"/>
    </row>
    <row r="96" spans="2:32"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row>
    <row r="100" spans="20:31" x14ac:dyDescent="0.25">
      <c r="T100" s="5"/>
    </row>
    <row r="101" spans="20:31" x14ac:dyDescent="0.25">
      <c r="T101" s="5"/>
    </row>
    <row r="102" spans="20:31" x14ac:dyDescent="0.25">
      <c r="T102" s="5"/>
    </row>
    <row r="103" spans="20:31" x14ac:dyDescent="0.25">
      <c r="T103" s="5"/>
    </row>
  </sheetData>
  <autoFilter ref="B6:AE80" xr:uid="{65FA6D9B-E0AF-46CD-BA0D-86BB75FE6AB0}"/>
  <hyperlinks>
    <hyperlink ref="P12" r:id="rId1" xr:uid="{D0D8ED96-3A0B-497C-A613-ED6C33B940BE}"/>
    <hyperlink ref="P14" r:id="rId2" xr:uid="{53D0450D-8D01-4F07-BFCA-FB5D9C969D3E}"/>
    <hyperlink ref="P21" r:id="rId3" xr:uid="{C97DEA47-1CCB-4EBE-AB51-7F789FD90A75}"/>
    <hyperlink ref="P23" r:id="rId4" xr:uid="{23092D05-0F65-4DB5-AF6D-21E355CB4228}"/>
    <hyperlink ref="P26" r:id="rId5" xr:uid="{39CC1A76-2E9D-4B5E-B6A1-0245322058D7}"/>
    <hyperlink ref="P31" r:id="rId6" xr:uid="{54EE0E0E-37A3-41EA-9953-80D9553BF008}"/>
    <hyperlink ref="P36" r:id="rId7" xr:uid="{C2E830C7-BAE1-4067-9449-21CCECC3B932}"/>
    <hyperlink ref="P47" r:id="rId8" xr:uid="{2E094570-DF4C-4A90-BBDD-76C8020F2FD6}"/>
    <hyperlink ref="P45" r:id="rId9" xr:uid="{B4754F67-0681-4556-8B30-0CC71EEC3202}"/>
    <hyperlink ref="P62" r:id="rId10" xr:uid="{3EE1FEC5-A6B4-4655-9D25-F47DB8A19714}"/>
    <hyperlink ref="P60" r:id="rId11" xr:uid="{B9E4B69B-0D31-420A-87EE-4293E22D5E1D}"/>
    <hyperlink ref="P33" r:id="rId12" xr:uid="{35C59014-ADE4-4217-B25A-812B7DB65D4B}"/>
    <hyperlink ref="P19" r:id="rId13" xr:uid="{719C5957-D28E-4C23-9BA8-9018F38A7D75}"/>
  </hyperlinks>
  <pageMargins left="0.7" right="0.7" top="0.75" bottom="0.75" header="0.3" footer="0.3"/>
  <pageSetup paperSize="9" orientation="portrait"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C700-AD5E-4F04-9583-7C018866ACE4}">
  <sheetPr>
    <tabColor rgb="FFFFFF00"/>
  </sheetPr>
  <dimension ref="B1:AK104"/>
  <sheetViews>
    <sheetView topLeftCell="A18" zoomScale="80" zoomScaleNormal="80" workbookViewId="0">
      <selection activeCell="J46" sqref="J46"/>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63</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1" si="2">+Y7*R7</f>
        <v>0</v>
      </c>
      <c r="AA7" s="4" t="s">
        <v>10</v>
      </c>
      <c r="AB7" s="11">
        <f>IFERROR(VLOOKUP(AA7,Curr!$B$2:$C$13,2,FALSE),0)</f>
        <v>11.3</v>
      </c>
      <c r="AC7" s="12">
        <f t="shared" ref="AC7:AC71" si="3">+Y7*AB7*R7</f>
        <v>0</v>
      </c>
      <c r="AD7" s="12">
        <f t="shared" ref="AD7:AD71" si="4">+AC7-X7</f>
        <v>0</v>
      </c>
      <c r="AE7" s="13">
        <f t="shared" ref="AE7:AE71"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Q9/0.85</f>
        <v>176.47058823529412</v>
      </c>
      <c r="Z9" s="12">
        <f t="shared" si="2"/>
        <v>176.47058823529412</v>
      </c>
      <c r="AA9" s="4" t="s">
        <v>10</v>
      </c>
      <c r="AB9" s="11">
        <f>IFERROR(VLOOKUP(AA9,Curr!$B$2:$C$13,2,FALSE),0)</f>
        <v>11.3</v>
      </c>
      <c r="AC9" s="12">
        <f t="shared" si="3"/>
        <v>1994.1176470588236</v>
      </c>
      <c r="AD9" s="12">
        <f t="shared" si="4"/>
        <v>299.11764705882365</v>
      </c>
      <c r="AE9" s="13">
        <f t="shared" si="5"/>
        <v>0.15000000000000005</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68"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124</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Y19"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9"/>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109</v>
      </c>
      <c r="K28" s="4"/>
      <c r="L28" s="4"/>
      <c r="M28" s="4"/>
      <c r="N28" s="4"/>
      <c r="O28" s="4"/>
      <c r="P28" s="33"/>
      <c r="Q28" s="25">
        <v>500</v>
      </c>
      <c r="R28" s="25">
        <v>1</v>
      </c>
      <c r="S28" s="12">
        <f t="shared" si="0"/>
        <v>500</v>
      </c>
      <c r="T28" s="5">
        <v>0</v>
      </c>
      <c r="U28" s="12">
        <f t="shared" si="6"/>
        <v>500</v>
      </c>
      <c r="V28" s="25" t="s">
        <v>10</v>
      </c>
      <c r="W28" s="11">
        <f>IFERROR(VLOOKUP(V28,[1]Curr!$B$2:$C$13,2,FALSE),0)</f>
        <v>11.3</v>
      </c>
      <c r="X28" s="12">
        <f t="shared" si="1"/>
        <v>5650</v>
      </c>
      <c r="Y28" s="26">
        <f>Q28/0.85</f>
        <v>588.23529411764707</v>
      </c>
      <c r="Z28" s="12">
        <f t="shared" si="2"/>
        <v>588.23529411764707</v>
      </c>
      <c r="AA28" s="4" t="s">
        <v>10</v>
      </c>
      <c r="AB28" s="11">
        <f>IFERROR(VLOOKUP(AA28,Curr!$B$2:$C$13,2,FALSE),0)</f>
        <v>11.3</v>
      </c>
      <c r="AC28" s="12">
        <f t="shared" si="3"/>
        <v>6647.0588235294126</v>
      </c>
      <c r="AD28" s="12">
        <f t="shared" si="4"/>
        <v>997.05882352941262</v>
      </c>
      <c r="AE28" s="13">
        <f t="shared" si="5"/>
        <v>0.15000000000000011</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88</v>
      </c>
      <c r="K31" s="4"/>
      <c r="L31" s="4"/>
      <c r="M31" s="4"/>
      <c r="N31" s="4"/>
      <c r="O31" s="4" t="s">
        <v>42</v>
      </c>
      <c r="P31" s="33" t="s">
        <v>89</v>
      </c>
      <c r="Q31" s="25">
        <v>1695</v>
      </c>
      <c r="R31" s="25">
        <v>2</v>
      </c>
      <c r="S31" s="12">
        <f t="shared" si="0"/>
        <v>3390</v>
      </c>
      <c r="T31" s="5">
        <v>0.2</v>
      </c>
      <c r="U31" s="12">
        <f t="shared" si="6"/>
        <v>2712</v>
      </c>
      <c r="V31" s="25" t="s">
        <v>8</v>
      </c>
      <c r="W31" s="11">
        <f>IFERROR(VLOOKUP(V31,[1]Curr!$B$2:$C$13,2,FALSE),0)</f>
        <v>1</v>
      </c>
      <c r="X31" s="12">
        <f t="shared" si="1"/>
        <v>2712</v>
      </c>
      <c r="Y31" s="26">
        <f>Q31/11.3</f>
        <v>150</v>
      </c>
      <c r="Z31" s="12">
        <f t="shared" si="2"/>
        <v>300</v>
      </c>
      <c r="AA31" s="4" t="s">
        <v>10</v>
      </c>
      <c r="AB31" s="11">
        <f>IFERROR(VLOOKUP(AA31,Curr!$B$2:$C$13,2,FALSE),0)</f>
        <v>11.3</v>
      </c>
      <c r="AC31" s="12">
        <f t="shared" si="3"/>
        <v>3390</v>
      </c>
      <c r="AD31" s="12">
        <f t="shared" si="4"/>
        <v>678</v>
      </c>
      <c r="AE31" s="13">
        <f t="shared" si="5"/>
        <v>0.2</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ref="Y32:Y33" si="11">Q32</f>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216</v>
      </c>
      <c r="K33" s="4"/>
      <c r="L33" s="4"/>
      <c r="M33" s="4"/>
      <c r="N33" s="4"/>
      <c r="O33" s="4" t="s">
        <v>42</v>
      </c>
      <c r="P33" s="33" t="s">
        <v>217</v>
      </c>
      <c r="Q33" s="25">
        <v>120</v>
      </c>
      <c r="R33" s="25">
        <v>2</v>
      </c>
      <c r="S33" s="12">
        <f t="shared" si="0"/>
        <v>240</v>
      </c>
      <c r="T33" s="5">
        <v>0.2</v>
      </c>
      <c r="U33" s="12">
        <f t="shared" si="6"/>
        <v>192</v>
      </c>
      <c r="V33" s="25" t="s">
        <v>10</v>
      </c>
      <c r="W33" s="11">
        <f>IFERROR(VLOOKUP(V33,[2]Curr!$B$2:$C$13,2,FALSE),0)</f>
        <v>11.3</v>
      </c>
      <c r="X33" s="12">
        <f t="shared" si="1"/>
        <v>2169.6000000000004</v>
      </c>
      <c r="Y33" s="26">
        <f t="shared" si="11"/>
        <v>120</v>
      </c>
      <c r="Z33" s="12">
        <f t="shared" si="2"/>
        <v>240</v>
      </c>
      <c r="AA33" s="4" t="s">
        <v>10</v>
      </c>
      <c r="AB33" s="11">
        <f>IFERROR(VLOOKUP(AA33,Curr!$B$2:$C$13,2,FALSE),0)</f>
        <v>11.3</v>
      </c>
      <c r="AC33" s="12">
        <f t="shared" si="3"/>
        <v>2712</v>
      </c>
      <c r="AD33" s="12">
        <f t="shared" si="4"/>
        <v>542.39999999999964</v>
      </c>
      <c r="AE33" s="13">
        <f t="shared" si="5"/>
        <v>0.19999999999999987</v>
      </c>
    </row>
    <row r="34" spans="2:31" x14ac:dyDescent="0.25">
      <c r="B34" s="4"/>
      <c r="E34" s="3"/>
      <c r="F34" s="3"/>
      <c r="G34" s="24"/>
      <c r="H34" s="24"/>
      <c r="K34" s="4"/>
      <c r="L34" s="4"/>
      <c r="M34" s="4"/>
      <c r="N34" s="4"/>
      <c r="O34" s="4"/>
      <c r="P34" s="33"/>
      <c r="Q34" s="25"/>
      <c r="R34" s="25"/>
      <c r="S34" s="12">
        <f t="shared" si="0"/>
        <v>0</v>
      </c>
      <c r="T34" s="5">
        <v>0</v>
      </c>
      <c r="U34" s="12">
        <f t="shared" si="6"/>
        <v>0</v>
      </c>
      <c r="V34" s="25" t="s">
        <v>10</v>
      </c>
      <c r="W34" s="11">
        <f>IFERROR(VLOOKUP(V34,[1]Curr!$B$2:$C$13,2,FALSE),0)</f>
        <v>11.3</v>
      </c>
      <c r="X34" s="12">
        <f t="shared" si="1"/>
        <v>0</v>
      </c>
      <c r="Y34" s="26">
        <f t="shared" si="8"/>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68</v>
      </c>
      <c r="E35" s="3"/>
      <c r="F35" s="3"/>
      <c r="G35" s="24"/>
      <c r="H35" s="24"/>
      <c r="J35" s="1" t="s">
        <v>81</v>
      </c>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8"/>
        <v>0</v>
      </c>
      <c r="Z35" s="12">
        <f t="shared" si="2"/>
        <v>0</v>
      </c>
      <c r="AA35" s="4" t="s">
        <v>10</v>
      </c>
      <c r="AB35" s="11">
        <f>IFERROR(VLOOKUP(AA35,Curr!$B$2:$C$13,2,FALSE),0)</f>
        <v>11.3</v>
      </c>
      <c r="AC35" s="12">
        <f t="shared" si="3"/>
        <v>0</v>
      </c>
      <c r="AD35" s="12">
        <f t="shared" si="4"/>
        <v>0</v>
      </c>
      <c r="AE35" s="13">
        <f t="shared" si="5"/>
        <v>0</v>
      </c>
    </row>
    <row r="36" spans="2:31" x14ac:dyDescent="0.25">
      <c r="B36" s="4"/>
      <c r="C36" s="1" t="s">
        <v>84</v>
      </c>
      <c r="D36" s="1" t="s">
        <v>66</v>
      </c>
      <c r="E36" s="3"/>
      <c r="F36" s="3"/>
      <c r="G36" s="24"/>
      <c r="H36" s="24"/>
      <c r="J36" s="1" t="s">
        <v>144</v>
      </c>
      <c r="K36" s="4"/>
      <c r="L36" s="4"/>
      <c r="M36" s="4"/>
      <c r="N36" s="4"/>
      <c r="O36" s="4"/>
      <c r="P36" s="27"/>
      <c r="Q36" s="25">
        <v>0</v>
      </c>
      <c r="R36" s="25">
        <v>0</v>
      </c>
      <c r="S36" s="12">
        <f t="shared" si="0"/>
        <v>0</v>
      </c>
      <c r="T36" s="5">
        <v>0</v>
      </c>
      <c r="U36" s="12">
        <f t="shared" si="6"/>
        <v>0</v>
      </c>
      <c r="V36" s="25" t="s">
        <v>10</v>
      </c>
      <c r="W36" s="11">
        <f>IFERROR(VLOOKUP(V36,[1]Curr!$B$2:$C$13,2,FALSE),0)</f>
        <v>11.3</v>
      </c>
      <c r="X36" s="12">
        <f t="shared" si="1"/>
        <v>0</v>
      </c>
      <c r="Y36" s="26">
        <f t="shared" si="8"/>
        <v>0</v>
      </c>
      <c r="Z36" s="12">
        <f t="shared" si="2"/>
        <v>0</v>
      </c>
      <c r="AA36" s="4" t="s">
        <v>10</v>
      </c>
      <c r="AB36" s="11">
        <f>IFERROR(VLOOKUP(AA36,Curr!$B$2:$C$13,2,FALSE),0)</f>
        <v>11.3</v>
      </c>
      <c r="AC36" s="12">
        <f t="shared" si="3"/>
        <v>0</v>
      </c>
      <c r="AD36" s="12">
        <f t="shared" si="4"/>
        <v>0</v>
      </c>
      <c r="AE36" s="13">
        <f t="shared" si="5"/>
        <v>0</v>
      </c>
    </row>
    <row r="37" spans="2:31" x14ac:dyDescent="0.25">
      <c r="B37" s="4"/>
      <c r="C37" s="1" t="s">
        <v>84</v>
      </c>
      <c r="D37" s="1" t="s">
        <v>143</v>
      </c>
      <c r="E37" s="3"/>
      <c r="F37" s="3"/>
      <c r="G37" s="24"/>
      <c r="H37" s="24"/>
      <c r="J37" s="1" t="s">
        <v>145</v>
      </c>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8"/>
        <v>0</v>
      </c>
      <c r="Z37" s="12">
        <f t="shared" si="2"/>
        <v>0</v>
      </c>
      <c r="AA37" s="4" t="s">
        <v>10</v>
      </c>
      <c r="AB37" s="11">
        <f>IFERROR(VLOOKUP(AA37,Curr!$B$2:$C$13,2,FALSE),0)</f>
        <v>11.3</v>
      </c>
      <c r="AC37" s="12">
        <f t="shared" si="3"/>
        <v>0</v>
      </c>
      <c r="AD37" s="12">
        <f t="shared" si="4"/>
        <v>0</v>
      </c>
      <c r="AE37" s="13">
        <f t="shared" si="5"/>
        <v>0</v>
      </c>
    </row>
    <row r="38" spans="2:31" x14ac:dyDescent="0.25">
      <c r="B38" s="4"/>
      <c r="C38" s="1" t="s">
        <v>84</v>
      </c>
      <c r="D38" s="1" t="s">
        <v>66</v>
      </c>
      <c r="E38" s="3"/>
      <c r="F38" s="3"/>
      <c r="G38" s="24"/>
      <c r="H38" s="24"/>
      <c r="J38" s="1" t="s">
        <v>146</v>
      </c>
      <c r="K38" s="4"/>
      <c r="L38" s="4"/>
      <c r="M38" s="4"/>
      <c r="N38" s="4"/>
      <c r="O38" s="4"/>
      <c r="P38" s="33"/>
      <c r="Q38" s="25">
        <v>0</v>
      </c>
      <c r="R38" s="25">
        <v>0</v>
      </c>
      <c r="S38" s="12">
        <f t="shared" si="0"/>
        <v>0</v>
      </c>
      <c r="T38" s="5">
        <v>0</v>
      </c>
      <c r="U38" s="12">
        <f t="shared" si="6"/>
        <v>0</v>
      </c>
      <c r="V38" s="25" t="s">
        <v>10</v>
      </c>
      <c r="W38" s="11">
        <f>IFERROR(VLOOKUP(V38,[1]Curr!$B$2:$C$13,2,FALSE),0)</f>
        <v>11.3</v>
      </c>
      <c r="X38" s="12">
        <f t="shared" si="1"/>
        <v>0</v>
      </c>
      <c r="Y38" s="26">
        <f t="shared" si="8"/>
        <v>0</v>
      </c>
      <c r="Z38" s="12">
        <f t="shared" si="2"/>
        <v>0</v>
      </c>
      <c r="AA38" s="4" t="s">
        <v>10</v>
      </c>
      <c r="AB38" s="11">
        <f>IFERROR(VLOOKUP(AA38,Curr!$B$2:$C$13,2,FALSE),0)</f>
        <v>11.3</v>
      </c>
      <c r="AC38" s="12">
        <f t="shared" si="3"/>
        <v>0</v>
      </c>
      <c r="AD38" s="12">
        <f t="shared" si="4"/>
        <v>0</v>
      </c>
      <c r="AE38" s="13">
        <f t="shared" si="5"/>
        <v>0</v>
      </c>
    </row>
    <row r="39" spans="2:31" x14ac:dyDescent="0.25">
      <c r="B39" s="4"/>
      <c r="C39" s="1" t="s">
        <v>84</v>
      </c>
      <c r="D39" s="1" t="s">
        <v>67</v>
      </c>
      <c r="E39" s="3"/>
      <c r="F39" s="3"/>
      <c r="G39" s="24"/>
      <c r="H39" s="24"/>
      <c r="J39" s="1" t="s">
        <v>199</v>
      </c>
      <c r="K39" s="4"/>
      <c r="L39" s="4"/>
      <c r="M39" s="4"/>
      <c r="N39" s="4"/>
      <c r="O39" s="4"/>
      <c r="P39" s="33"/>
      <c r="Q39" s="25">
        <v>300</v>
      </c>
      <c r="R39" s="25">
        <v>1</v>
      </c>
      <c r="S39" s="12">
        <f t="shared" si="0"/>
        <v>300</v>
      </c>
      <c r="T39" s="5">
        <v>0</v>
      </c>
      <c r="U39" s="12">
        <f t="shared" si="6"/>
        <v>300</v>
      </c>
      <c r="V39" s="25" t="s">
        <v>10</v>
      </c>
      <c r="W39" s="11">
        <f>IFERROR(VLOOKUP(V39,[1]Curr!$B$2:$C$13,2,FALSE),0)</f>
        <v>11.3</v>
      </c>
      <c r="X39" s="12">
        <f t="shared" si="1"/>
        <v>3390</v>
      </c>
      <c r="Y39" s="26">
        <f>Q39/0.85</f>
        <v>352.94117647058823</v>
      </c>
      <c r="Z39" s="12">
        <f t="shared" si="2"/>
        <v>352.94117647058823</v>
      </c>
      <c r="AA39" s="4" t="s">
        <v>10</v>
      </c>
      <c r="AB39" s="11">
        <f>IFERROR(VLOOKUP(AA39,Curr!$B$2:$C$13,2,FALSE),0)</f>
        <v>11.3</v>
      </c>
      <c r="AC39" s="12">
        <f t="shared" si="3"/>
        <v>3988.2352941176473</v>
      </c>
      <c r="AD39" s="12">
        <f t="shared" si="4"/>
        <v>598.2352941176473</v>
      </c>
      <c r="AE39" s="13">
        <f t="shared" si="5"/>
        <v>0.15000000000000005</v>
      </c>
    </row>
    <row r="40" spans="2:31" x14ac:dyDescent="0.25">
      <c r="B40" s="4"/>
      <c r="C40" s="1" t="s">
        <v>84</v>
      </c>
      <c r="D40" s="1" t="s">
        <v>68</v>
      </c>
      <c r="E40" s="3"/>
      <c r="F40" s="3"/>
      <c r="G40" s="24"/>
      <c r="H40" s="24"/>
      <c r="J40" s="1" t="s">
        <v>147</v>
      </c>
      <c r="K40" s="4"/>
      <c r="L40" s="4"/>
      <c r="M40" s="4"/>
      <c r="N40" s="4"/>
      <c r="O40" s="4"/>
      <c r="P40" s="33"/>
      <c r="Q40" s="25">
        <v>0</v>
      </c>
      <c r="R40" s="25">
        <v>0</v>
      </c>
      <c r="S40" s="12">
        <f t="shared" si="0"/>
        <v>0</v>
      </c>
      <c r="T40" s="5">
        <v>0</v>
      </c>
      <c r="U40" s="12">
        <f t="shared" si="6"/>
        <v>0</v>
      </c>
      <c r="V40" s="25" t="s">
        <v>10</v>
      </c>
      <c r="W40" s="11">
        <f>IFERROR(VLOOKUP(V40,[1]Curr!$B$2:$C$13,2,FALSE),0)</f>
        <v>11.3</v>
      </c>
      <c r="X40" s="12">
        <f t="shared" si="1"/>
        <v>0</v>
      </c>
      <c r="Y40" s="26">
        <f t="shared" ref="Y40" si="12">Q40</f>
        <v>0</v>
      </c>
      <c r="Z40" s="12">
        <f t="shared" si="2"/>
        <v>0</v>
      </c>
      <c r="AA40" s="4" t="s">
        <v>10</v>
      </c>
      <c r="AB40" s="11">
        <f>IFERROR(VLOOKUP(AA40,Curr!$B$2:$C$13,2,FALSE),0)</f>
        <v>11.3</v>
      </c>
      <c r="AC40" s="12">
        <f t="shared" si="3"/>
        <v>0</v>
      </c>
      <c r="AD40" s="12">
        <f t="shared" si="4"/>
        <v>0</v>
      </c>
      <c r="AE40" s="13">
        <f t="shared" si="5"/>
        <v>0</v>
      </c>
    </row>
    <row r="41" spans="2:31" x14ac:dyDescent="0.25">
      <c r="B41" s="4"/>
      <c r="E41" s="3"/>
      <c r="F41" s="3"/>
      <c r="G41" s="24"/>
      <c r="H41" s="24"/>
      <c r="K41" s="4"/>
      <c r="L41" s="4"/>
      <c r="M41" s="4"/>
      <c r="N41" s="4"/>
      <c r="O41" s="4"/>
      <c r="P41" s="33"/>
      <c r="Q41" s="25"/>
      <c r="R41" s="25"/>
      <c r="S41" s="12">
        <f t="shared" si="0"/>
        <v>0</v>
      </c>
      <c r="T41" s="5">
        <v>0</v>
      </c>
      <c r="U41" s="12">
        <f t="shared" si="6"/>
        <v>0</v>
      </c>
      <c r="V41" s="25" t="s">
        <v>10</v>
      </c>
      <c r="W41" s="11">
        <f>IFERROR(VLOOKUP(V41,[1]Curr!$B$2:$C$13,2,FALSE),0)</f>
        <v>11.3</v>
      </c>
      <c r="X41" s="12">
        <f t="shared" si="1"/>
        <v>0</v>
      </c>
      <c r="Y41" s="26">
        <f t="shared" si="8"/>
        <v>0</v>
      </c>
      <c r="Z41" s="12">
        <f t="shared" si="2"/>
        <v>0</v>
      </c>
      <c r="AA41" s="4" t="s">
        <v>10</v>
      </c>
      <c r="AB41" s="11">
        <f>IFERROR(VLOOKUP(AA41,Curr!$B$2:$C$13,2,FALSE),0)</f>
        <v>11.3</v>
      </c>
      <c r="AC41" s="12">
        <f t="shared" si="3"/>
        <v>0</v>
      </c>
      <c r="AD41" s="12">
        <f t="shared" si="4"/>
        <v>0</v>
      </c>
      <c r="AE41" s="13">
        <f t="shared" si="5"/>
        <v>0</v>
      </c>
    </row>
    <row r="42" spans="2:31" x14ac:dyDescent="0.25">
      <c r="B42" s="4"/>
      <c r="C42" s="1" t="s">
        <v>127</v>
      </c>
      <c r="D42" s="1" t="s">
        <v>75</v>
      </c>
      <c r="E42" s="3"/>
      <c r="F42" s="3"/>
      <c r="G42" s="24"/>
      <c r="H42" s="24"/>
      <c r="J42" s="1" t="s">
        <v>148</v>
      </c>
      <c r="K42" s="4"/>
      <c r="L42" s="4"/>
      <c r="M42" s="4"/>
      <c r="N42" s="4"/>
      <c r="O42" s="4" t="s">
        <v>42</v>
      </c>
      <c r="P42" s="33" t="s">
        <v>149</v>
      </c>
      <c r="Q42" s="25">
        <v>34</v>
      </c>
      <c r="R42" s="25">
        <v>2</v>
      </c>
      <c r="S42" s="12">
        <f t="shared" si="0"/>
        <v>68</v>
      </c>
      <c r="T42" s="5">
        <v>0.15</v>
      </c>
      <c r="U42" s="12">
        <f t="shared" si="6"/>
        <v>57.8</v>
      </c>
      <c r="V42" s="25" t="s">
        <v>10</v>
      </c>
      <c r="W42" s="11">
        <f>IFERROR(VLOOKUP(V42,[1]Curr!$B$2:$C$13,2,FALSE),0)</f>
        <v>11.3</v>
      </c>
      <c r="X42" s="12">
        <f t="shared" si="1"/>
        <v>653.14</v>
      </c>
      <c r="Y42" s="26">
        <f t="shared" si="8"/>
        <v>34</v>
      </c>
      <c r="Z42" s="12">
        <f t="shared" si="2"/>
        <v>68</v>
      </c>
      <c r="AA42" s="4" t="s">
        <v>10</v>
      </c>
      <c r="AB42" s="11">
        <f>IFERROR(VLOOKUP(AA42,Curr!$B$2:$C$13,2,FALSE),0)</f>
        <v>11.3</v>
      </c>
      <c r="AC42" s="12">
        <f t="shared" si="3"/>
        <v>768.40000000000009</v>
      </c>
      <c r="AD42" s="12">
        <f t="shared" si="4"/>
        <v>115.2600000000001</v>
      </c>
      <c r="AE42" s="13">
        <f t="shared" si="5"/>
        <v>0.15000000000000011</v>
      </c>
    </row>
    <row r="43" spans="2:31" x14ac:dyDescent="0.25">
      <c r="B43" s="4"/>
      <c r="C43" s="1" t="s">
        <v>127</v>
      </c>
      <c r="D43" s="1" t="s">
        <v>68</v>
      </c>
      <c r="E43" s="3"/>
      <c r="F43" s="3"/>
      <c r="G43" s="24"/>
      <c r="H43" s="24"/>
      <c r="J43" s="1" t="s">
        <v>147</v>
      </c>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8"/>
        <v>0</v>
      </c>
      <c r="Z43" s="12">
        <f t="shared" si="2"/>
        <v>0</v>
      </c>
      <c r="AA43" s="4" t="s">
        <v>10</v>
      </c>
      <c r="AB43" s="11">
        <f>IFERROR(VLOOKUP(AA43,Curr!$B$2:$C$13,2,FALSE),0)</f>
        <v>11.3</v>
      </c>
      <c r="AC43" s="12">
        <f t="shared" si="3"/>
        <v>0</v>
      </c>
      <c r="AD43" s="12">
        <f t="shared" si="4"/>
        <v>0</v>
      </c>
      <c r="AE43" s="13">
        <f t="shared" si="5"/>
        <v>0</v>
      </c>
    </row>
    <row r="44" spans="2:31" x14ac:dyDescent="0.25">
      <c r="B44" s="4"/>
      <c r="C44" s="1" t="s">
        <v>127</v>
      </c>
      <c r="D44" s="1" t="s">
        <v>75</v>
      </c>
      <c r="E44" s="3"/>
      <c r="F44" s="3"/>
      <c r="G44" s="24"/>
      <c r="H44" s="24"/>
      <c r="J44" s="1" t="s">
        <v>150</v>
      </c>
      <c r="K44" s="4"/>
      <c r="L44" s="4"/>
      <c r="M44" s="4"/>
      <c r="N44" s="4"/>
      <c r="O44" s="4" t="s">
        <v>42</v>
      </c>
      <c r="P44" s="33" t="s">
        <v>151</v>
      </c>
      <c r="Q44" s="25">
        <v>2290</v>
      </c>
      <c r="R44" s="25">
        <v>2</v>
      </c>
      <c r="S44" s="12">
        <f t="shared" si="0"/>
        <v>4580</v>
      </c>
      <c r="T44" s="5">
        <v>0.15</v>
      </c>
      <c r="U44" s="12">
        <f t="shared" si="6"/>
        <v>3893</v>
      </c>
      <c r="V44" s="25" t="s">
        <v>8</v>
      </c>
      <c r="W44" s="11">
        <f>IFERROR(VLOOKUP(V44,[1]Curr!$B$2:$C$13,2,FALSE),0)</f>
        <v>1</v>
      </c>
      <c r="X44" s="12">
        <f t="shared" si="1"/>
        <v>3893</v>
      </c>
      <c r="Y44" s="26">
        <f>Q44/11.3</f>
        <v>202.65486725663715</v>
      </c>
      <c r="Z44" s="12">
        <f t="shared" si="2"/>
        <v>405.30973451327429</v>
      </c>
      <c r="AA44" s="4" t="s">
        <v>10</v>
      </c>
      <c r="AB44" s="11">
        <f>IFERROR(VLOOKUP(AA44,Curr!$B$2:$C$13,2,FALSE),0)</f>
        <v>11.3</v>
      </c>
      <c r="AC44" s="12">
        <f t="shared" si="3"/>
        <v>4580</v>
      </c>
      <c r="AD44" s="12">
        <f t="shared" si="4"/>
        <v>687</v>
      </c>
      <c r="AE44" s="13">
        <f t="shared" si="5"/>
        <v>0.15</v>
      </c>
    </row>
    <row r="45" spans="2:31" x14ac:dyDescent="0.25">
      <c r="B45" s="4"/>
      <c r="E45" s="3"/>
      <c r="F45" s="3"/>
      <c r="G45" s="24"/>
      <c r="H45" s="24"/>
      <c r="K45" s="4"/>
      <c r="L45" s="4"/>
      <c r="M45" s="4"/>
      <c r="N45" s="4"/>
      <c r="O45" s="4"/>
      <c r="P45" s="33"/>
      <c r="Q45" s="25"/>
      <c r="R45" s="25"/>
      <c r="S45" s="12">
        <f t="shared" si="0"/>
        <v>0</v>
      </c>
      <c r="T45" s="5">
        <v>0</v>
      </c>
      <c r="U45" s="12">
        <f t="shared" si="6"/>
        <v>0</v>
      </c>
      <c r="V45" s="25" t="s">
        <v>10</v>
      </c>
      <c r="W45" s="11">
        <f>IFERROR(VLOOKUP(V45,[1]Curr!$B$2:$C$13,2,FALSE),0)</f>
        <v>11.3</v>
      </c>
      <c r="X45" s="12">
        <f t="shared" si="1"/>
        <v>0</v>
      </c>
      <c r="Y45" s="26">
        <f t="shared" si="8"/>
        <v>0</v>
      </c>
      <c r="Z45" s="12">
        <f t="shared" si="2"/>
        <v>0</v>
      </c>
      <c r="AA45" s="4" t="s">
        <v>10</v>
      </c>
      <c r="AB45" s="11">
        <f>IFERROR(VLOOKUP(AA45,Curr!$B$2:$C$13,2,FALSE),0)</f>
        <v>11.3</v>
      </c>
      <c r="AC45" s="12">
        <f t="shared" si="3"/>
        <v>0</v>
      </c>
      <c r="AD45" s="12">
        <f t="shared" si="4"/>
        <v>0</v>
      </c>
      <c r="AE45" s="13">
        <f t="shared" si="5"/>
        <v>0</v>
      </c>
    </row>
    <row r="46" spans="2:31" x14ac:dyDescent="0.25">
      <c r="B46" s="4"/>
      <c r="C46" s="1" t="s">
        <v>139</v>
      </c>
      <c r="D46" s="1" t="s">
        <v>66</v>
      </c>
      <c r="E46" s="3"/>
      <c r="F46" s="3"/>
      <c r="G46" s="24"/>
      <c r="H46" s="24"/>
      <c r="J46" s="1" t="s">
        <v>159</v>
      </c>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8"/>
        <v>0</v>
      </c>
      <c r="Z46" s="12">
        <f t="shared" si="2"/>
        <v>0</v>
      </c>
      <c r="AA46" s="4" t="s">
        <v>10</v>
      </c>
      <c r="AB46" s="11">
        <f>IFERROR(VLOOKUP(AA46,Curr!$B$2:$C$13,2,FALSE),0)</f>
        <v>11.3</v>
      </c>
      <c r="AC46" s="12">
        <f t="shared" si="3"/>
        <v>0</v>
      </c>
      <c r="AD46" s="12">
        <f t="shared" si="4"/>
        <v>0</v>
      </c>
      <c r="AE46" s="13">
        <f t="shared" si="5"/>
        <v>0</v>
      </c>
    </row>
    <row r="47" spans="2:31" x14ac:dyDescent="0.25">
      <c r="B47" s="4"/>
      <c r="C47" s="1" t="s">
        <v>139</v>
      </c>
      <c r="D47" s="1" t="s">
        <v>67</v>
      </c>
      <c r="E47" s="3"/>
      <c r="F47" s="3"/>
      <c r="G47" s="24"/>
      <c r="H47" s="24"/>
      <c r="J47" s="1" t="s">
        <v>158</v>
      </c>
      <c r="K47" s="4"/>
      <c r="L47" s="4"/>
      <c r="M47" s="4"/>
      <c r="N47" s="4"/>
      <c r="O47" s="4"/>
      <c r="P47" s="27"/>
      <c r="Q47" s="25">
        <v>5500</v>
      </c>
      <c r="R47" s="25">
        <v>1</v>
      </c>
      <c r="S47" s="12">
        <f t="shared" si="0"/>
        <v>5500</v>
      </c>
      <c r="T47" s="5">
        <v>0</v>
      </c>
      <c r="U47" s="12">
        <f t="shared" si="6"/>
        <v>5500</v>
      </c>
      <c r="V47" s="25" t="s">
        <v>8</v>
      </c>
      <c r="W47" s="11">
        <f>IFERROR(VLOOKUP(V47,[1]Curr!$B$2:$C$13,2,FALSE),0)</f>
        <v>1</v>
      </c>
      <c r="X47" s="12">
        <f t="shared" si="1"/>
        <v>5500</v>
      </c>
      <c r="Y47" s="26">
        <f>Q47/11.3/0.8</f>
        <v>608.40707964601768</v>
      </c>
      <c r="Z47" s="12">
        <f t="shared" si="2"/>
        <v>608.40707964601768</v>
      </c>
      <c r="AA47" s="4" t="s">
        <v>10</v>
      </c>
      <c r="AB47" s="11">
        <f>IFERROR(VLOOKUP(AA47,Curr!$B$2:$C$13,2,FALSE),0)</f>
        <v>11.3</v>
      </c>
      <c r="AC47" s="12">
        <f t="shared" si="3"/>
        <v>6875</v>
      </c>
      <c r="AD47" s="12">
        <f t="shared" si="4"/>
        <v>1375</v>
      </c>
      <c r="AE47" s="13">
        <f t="shared" si="5"/>
        <v>0.2</v>
      </c>
    </row>
    <row r="48" spans="2:31" x14ac:dyDescent="0.25">
      <c r="B48" s="4"/>
      <c r="C48" s="1" t="s">
        <v>139</v>
      </c>
      <c r="D48" s="1" t="s">
        <v>68</v>
      </c>
      <c r="E48" s="3"/>
      <c r="F48" s="3"/>
      <c r="G48" s="24"/>
      <c r="H48" s="24"/>
      <c r="J48" s="1" t="s">
        <v>157</v>
      </c>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8"/>
        <v>0</v>
      </c>
      <c r="Z48" s="12">
        <f t="shared" si="2"/>
        <v>0</v>
      </c>
      <c r="AA48" s="4" t="s">
        <v>10</v>
      </c>
      <c r="AB48" s="11">
        <f>IFERROR(VLOOKUP(AA48,Curr!$B$2:$C$13,2,FALSE),0)</f>
        <v>11.3</v>
      </c>
      <c r="AC48" s="12">
        <f t="shared" si="3"/>
        <v>0</v>
      </c>
      <c r="AD48" s="12">
        <f t="shared" si="4"/>
        <v>0</v>
      </c>
      <c r="AE48" s="13">
        <f t="shared" si="5"/>
        <v>0</v>
      </c>
    </row>
    <row r="49" spans="2:31" x14ac:dyDescent="0.25">
      <c r="B49" s="4"/>
      <c r="E49" s="3"/>
      <c r="F49" s="3"/>
      <c r="G49" s="24"/>
      <c r="H49" s="24"/>
      <c r="K49" s="4"/>
      <c r="L49" s="4"/>
      <c r="M49" s="4"/>
      <c r="N49" s="4"/>
      <c r="O49" s="4"/>
      <c r="P49" s="33"/>
      <c r="Q49" s="25"/>
      <c r="R49" s="25"/>
      <c r="S49" s="12">
        <f t="shared" si="0"/>
        <v>0</v>
      </c>
      <c r="T49" s="5">
        <v>0</v>
      </c>
      <c r="U49" s="12">
        <f t="shared" si="6"/>
        <v>0</v>
      </c>
      <c r="V49" s="25" t="s">
        <v>10</v>
      </c>
      <c r="W49" s="11">
        <f>IFERROR(VLOOKUP(V49,[1]Curr!$B$2:$C$13,2,FALSE),0)</f>
        <v>11.3</v>
      </c>
      <c r="X49" s="12">
        <f t="shared" si="1"/>
        <v>0</v>
      </c>
      <c r="Y49" s="26">
        <f t="shared" si="8"/>
        <v>0</v>
      </c>
      <c r="Z49" s="12">
        <f t="shared" si="2"/>
        <v>0</v>
      </c>
      <c r="AA49" s="4" t="s">
        <v>10</v>
      </c>
      <c r="AB49" s="11">
        <f>IFERROR(VLOOKUP(AA49,Curr!$B$2:$C$13,2,FALSE),0)</f>
        <v>11.3</v>
      </c>
      <c r="AC49" s="12">
        <f t="shared" si="3"/>
        <v>0</v>
      </c>
      <c r="AD49" s="12">
        <f t="shared" si="4"/>
        <v>0</v>
      </c>
      <c r="AE49" s="13">
        <f t="shared" si="5"/>
        <v>0</v>
      </c>
    </row>
    <row r="50" spans="2:31" x14ac:dyDescent="0.25">
      <c r="B50" s="4"/>
      <c r="C50" s="1" t="s">
        <v>155</v>
      </c>
      <c r="D50" s="1" t="s">
        <v>66</v>
      </c>
      <c r="E50" s="3"/>
      <c r="F50" s="3"/>
      <c r="G50" s="24"/>
      <c r="H50" s="24"/>
      <c r="J50" s="1" t="s">
        <v>156</v>
      </c>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8"/>
        <v>0</v>
      </c>
      <c r="Z50" s="12">
        <f t="shared" si="2"/>
        <v>0</v>
      </c>
      <c r="AA50" s="4" t="s">
        <v>10</v>
      </c>
      <c r="AB50" s="11">
        <f>IFERROR(VLOOKUP(AA50,Curr!$B$2:$C$13,2,FALSE),0)</f>
        <v>11.3</v>
      </c>
      <c r="AC50" s="12">
        <f t="shared" si="3"/>
        <v>0</v>
      </c>
      <c r="AD50" s="12">
        <f t="shared" si="4"/>
        <v>0</v>
      </c>
      <c r="AE50" s="13">
        <f t="shared" si="5"/>
        <v>0</v>
      </c>
    </row>
    <row r="51" spans="2:31" x14ac:dyDescent="0.25">
      <c r="B51" s="4"/>
      <c r="C51" s="1" t="s">
        <v>155</v>
      </c>
      <c r="D51" s="1" t="s">
        <v>85</v>
      </c>
      <c r="E51" s="3"/>
      <c r="F51" s="3"/>
      <c r="G51" s="24"/>
      <c r="H51" s="24"/>
      <c r="J51" s="1" t="s">
        <v>153</v>
      </c>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8"/>
        <v>0</v>
      </c>
      <c r="Z51" s="12">
        <f t="shared" si="2"/>
        <v>0</v>
      </c>
      <c r="AA51" s="4" t="s">
        <v>10</v>
      </c>
      <c r="AB51" s="11">
        <f>IFERROR(VLOOKUP(AA51,Curr!$B$2:$C$13,2,FALSE),0)</f>
        <v>11.3</v>
      </c>
      <c r="AC51" s="12">
        <f t="shared" si="3"/>
        <v>0</v>
      </c>
      <c r="AD51" s="12">
        <f t="shared" si="4"/>
        <v>0</v>
      </c>
      <c r="AE51" s="13">
        <f t="shared" si="5"/>
        <v>0</v>
      </c>
    </row>
    <row r="52" spans="2:31" x14ac:dyDescent="0.25">
      <c r="B52" s="4"/>
      <c r="E52" s="3"/>
      <c r="F52" s="3"/>
      <c r="G52" s="24"/>
      <c r="H52" s="24"/>
      <c r="K52" s="4"/>
      <c r="L52" s="4"/>
      <c r="M52" s="4"/>
      <c r="N52" s="4"/>
      <c r="O52" s="4"/>
      <c r="P52" s="27"/>
      <c r="Q52" s="25"/>
      <c r="R52" s="25"/>
      <c r="S52" s="12">
        <f t="shared" si="0"/>
        <v>0</v>
      </c>
      <c r="T52" s="5">
        <v>0</v>
      </c>
      <c r="U52" s="12">
        <f t="shared" si="6"/>
        <v>0</v>
      </c>
      <c r="V52" s="25" t="s">
        <v>10</v>
      </c>
      <c r="W52" s="11">
        <f>IFERROR(VLOOKUP(V52,[1]Curr!$B$2:$C$13,2,FALSE),0)</f>
        <v>11.3</v>
      </c>
      <c r="X52" s="12">
        <f t="shared" si="1"/>
        <v>0</v>
      </c>
      <c r="Y52" s="26">
        <f t="shared" si="8"/>
        <v>0</v>
      </c>
      <c r="Z52" s="12">
        <f t="shared" si="2"/>
        <v>0</v>
      </c>
      <c r="AA52" s="4" t="s">
        <v>10</v>
      </c>
      <c r="AB52" s="11">
        <f>IFERROR(VLOOKUP(AA52,Curr!$B$2:$C$13,2,FALSE),0)</f>
        <v>11.3</v>
      </c>
      <c r="AC52" s="12">
        <f t="shared" si="3"/>
        <v>0</v>
      </c>
      <c r="AD52" s="12">
        <f t="shared" si="4"/>
        <v>0</v>
      </c>
      <c r="AE52" s="13">
        <f t="shared" si="5"/>
        <v>0</v>
      </c>
    </row>
    <row r="53" spans="2:31" x14ac:dyDescent="0.25">
      <c r="B53" s="4"/>
      <c r="E53" s="3"/>
      <c r="F53" s="3"/>
      <c r="G53" s="24"/>
      <c r="H53" s="24"/>
      <c r="K53" s="4"/>
      <c r="L53" s="4"/>
      <c r="M53" s="4"/>
      <c r="N53" s="4"/>
      <c r="O53" s="4"/>
      <c r="P53" s="27"/>
      <c r="Q53" s="25"/>
      <c r="R53" s="25"/>
      <c r="S53" s="12">
        <f t="shared" si="0"/>
        <v>0</v>
      </c>
      <c r="T53" s="5">
        <v>0</v>
      </c>
      <c r="U53" s="12">
        <f t="shared" si="6"/>
        <v>0</v>
      </c>
      <c r="V53" s="25" t="s">
        <v>10</v>
      </c>
      <c r="W53" s="11">
        <f>IFERROR(VLOOKUP(V53,[1]Curr!$B$2:$C$13,2,FALSE),0)</f>
        <v>11.3</v>
      </c>
      <c r="X53" s="12">
        <f t="shared" si="1"/>
        <v>0</v>
      </c>
      <c r="Y53" s="26">
        <f t="shared" si="8"/>
        <v>0</v>
      </c>
      <c r="Z53" s="12">
        <f t="shared" si="2"/>
        <v>0</v>
      </c>
      <c r="AA53" s="4" t="s">
        <v>10</v>
      </c>
      <c r="AB53" s="11">
        <f>IFERROR(VLOOKUP(AA53,Curr!$B$2:$C$13,2,FALSE),0)</f>
        <v>11.3</v>
      </c>
      <c r="AC53" s="12">
        <f t="shared" si="3"/>
        <v>0</v>
      </c>
      <c r="AD53" s="12">
        <f t="shared" si="4"/>
        <v>0</v>
      </c>
      <c r="AE53" s="13">
        <f t="shared" si="5"/>
        <v>0</v>
      </c>
    </row>
    <row r="54" spans="2:31" x14ac:dyDescent="0.25">
      <c r="B54" s="4"/>
      <c r="C54" s="1" t="s">
        <v>64</v>
      </c>
      <c r="D54" s="1" t="s">
        <v>112</v>
      </c>
      <c r="E54" s="3"/>
      <c r="F54" s="3"/>
      <c r="G54" s="24"/>
      <c r="H54" s="24"/>
      <c r="J54" s="1" t="s">
        <v>126</v>
      </c>
      <c r="K54" s="4"/>
      <c r="L54" s="4"/>
      <c r="M54" s="4"/>
      <c r="N54" s="4"/>
      <c r="O54" s="4"/>
      <c r="P54" s="27"/>
      <c r="Q54" s="25">
        <v>80</v>
      </c>
      <c r="R54" s="25">
        <v>0</v>
      </c>
      <c r="S54" s="12">
        <f t="shared" si="0"/>
        <v>0</v>
      </c>
      <c r="T54" s="5">
        <v>0</v>
      </c>
      <c r="U54" s="12">
        <f t="shared" si="6"/>
        <v>0</v>
      </c>
      <c r="V54" s="25" t="s">
        <v>10</v>
      </c>
      <c r="W54" s="11">
        <f>IFERROR(VLOOKUP(V54,[1]Curr!$B$2:$C$13,2,FALSE),0)</f>
        <v>11.3</v>
      </c>
      <c r="X54" s="12">
        <f t="shared" si="1"/>
        <v>0</v>
      </c>
      <c r="Y54" s="26">
        <f>Q54/0.8</f>
        <v>100</v>
      </c>
      <c r="Z54" s="12">
        <f t="shared" si="2"/>
        <v>0</v>
      </c>
      <c r="AA54" s="4" t="s">
        <v>10</v>
      </c>
      <c r="AB54" s="11">
        <f>IFERROR(VLOOKUP(AA54,Curr!$B$2:$C$13,2,FALSE),0)</f>
        <v>11.3</v>
      </c>
      <c r="AC54" s="12">
        <f t="shared" si="3"/>
        <v>0</v>
      </c>
      <c r="AD54" s="12">
        <f t="shared" si="4"/>
        <v>0</v>
      </c>
      <c r="AE54" s="13">
        <f t="shared" si="5"/>
        <v>0</v>
      </c>
    </row>
    <row r="55" spans="2:31" x14ac:dyDescent="0.25">
      <c r="B55" s="4"/>
      <c r="C55" s="1" t="s">
        <v>76</v>
      </c>
      <c r="D55" s="1" t="s">
        <v>112</v>
      </c>
      <c r="E55" s="3"/>
      <c r="F55" s="3"/>
      <c r="G55" s="24"/>
      <c r="H55" s="24"/>
      <c r="J55" s="1" t="s">
        <v>125</v>
      </c>
      <c r="K55" s="4"/>
      <c r="L55" s="4"/>
      <c r="M55" s="4"/>
      <c r="N55" s="4"/>
      <c r="O55" s="4"/>
      <c r="P55" s="27"/>
      <c r="Q55" s="25">
        <v>80</v>
      </c>
      <c r="R55" s="25">
        <v>0</v>
      </c>
      <c r="S55" s="12">
        <f t="shared" si="0"/>
        <v>0</v>
      </c>
      <c r="T55" s="5">
        <v>0</v>
      </c>
      <c r="U55" s="12">
        <f t="shared" si="6"/>
        <v>0</v>
      </c>
      <c r="V55" s="25" t="s">
        <v>10</v>
      </c>
      <c r="W55" s="11">
        <f>IFERROR(VLOOKUP(V55,[1]Curr!$B$2:$C$13,2,FALSE),0)</f>
        <v>11.3</v>
      </c>
      <c r="X55" s="12">
        <f t="shared" si="1"/>
        <v>0</v>
      </c>
      <c r="Y55" s="26">
        <f>Q55/0.8</f>
        <v>100</v>
      </c>
      <c r="Z55" s="12">
        <f t="shared" si="2"/>
        <v>0</v>
      </c>
      <c r="AA55" s="4" t="s">
        <v>10</v>
      </c>
      <c r="AB55" s="11">
        <f>IFERROR(VLOOKUP(AA55,Curr!$B$2:$C$13,2,FALSE),0)</f>
        <v>11.3</v>
      </c>
      <c r="AC55" s="12">
        <f t="shared" si="3"/>
        <v>0</v>
      </c>
      <c r="AD55" s="12">
        <f t="shared" si="4"/>
        <v>0</v>
      </c>
      <c r="AE55" s="13">
        <f t="shared" si="5"/>
        <v>0</v>
      </c>
    </row>
    <row r="56" spans="2:31" x14ac:dyDescent="0.25">
      <c r="B56" s="4"/>
      <c r="C56" s="1" t="s">
        <v>77</v>
      </c>
      <c r="D56" s="1" t="s">
        <v>112</v>
      </c>
      <c r="E56" s="3"/>
      <c r="F56" s="3"/>
      <c r="G56" s="24"/>
      <c r="H56" s="24"/>
      <c r="J56" s="1" t="s">
        <v>115</v>
      </c>
      <c r="K56" s="4"/>
      <c r="L56" s="4"/>
      <c r="M56" s="4"/>
      <c r="N56" s="4"/>
      <c r="O56" s="4"/>
      <c r="P56" s="27"/>
      <c r="Q56" s="25">
        <v>40</v>
      </c>
      <c r="R56" s="25">
        <v>0</v>
      </c>
      <c r="S56" s="12">
        <f t="shared" si="0"/>
        <v>0</v>
      </c>
      <c r="T56" s="5">
        <v>0</v>
      </c>
      <c r="U56" s="12">
        <f t="shared" si="6"/>
        <v>0</v>
      </c>
      <c r="V56" s="25" t="s">
        <v>10</v>
      </c>
      <c r="W56" s="11">
        <f>IFERROR(VLOOKUP(V56,[1]Curr!$B$2:$C$13,2,FALSE),0)</f>
        <v>11.3</v>
      </c>
      <c r="X56" s="12">
        <f t="shared" si="1"/>
        <v>0</v>
      </c>
      <c r="Y56" s="26">
        <f>Q56/0.67</f>
        <v>59.701492537313428</v>
      </c>
      <c r="Z56" s="12">
        <f t="shared" si="2"/>
        <v>0</v>
      </c>
      <c r="AA56" s="4" t="s">
        <v>10</v>
      </c>
      <c r="AB56" s="11">
        <f>IFERROR(VLOOKUP(AA56,Curr!$B$2:$C$13,2,FALSE),0)</f>
        <v>11.3</v>
      </c>
      <c r="AC56" s="12">
        <f t="shared" si="3"/>
        <v>0</v>
      </c>
      <c r="AD56" s="12">
        <f t="shared" si="4"/>
        <v>0</v>
      </c>
      <c r="AE56" s="13">
        <f t="shared" si="5"/>
        <v>0</v>
      </c>
    </row>
    <row r="57" spans="2:31" x14ac:dyDescent="0.25">
      <c r="B57" s="4"/>
      <c r="C57" s="1" t="s">
        <v>82</v>
      </c>
      <c r="D57" s="1" t="s">
        <v>112</v>
      </c>
      <c r="E57" s="3"/>
      <c r="F57" s="3"/>
      <c r="G57" s="24"/>
      <c r="H57" s="24"/>
      <c r="J57" s="1" t="s">
        <v>116</v>
      </c>
      <c r="K57" s="4"/>
      <c r="L57" s="4"/>
      <c r="M57" s="4"/>
      <c r="N57" s="4"/>
      <c r="O57" s="4"/>
      <c r="P57" s="27"/>
      <c r="Q57" s="25">
        <v>40</v>
      </c>
      <c r="R57" s="25">
        <v>0</v>
      </c>
      <c r="S57" s="12">
        <f t="shared" si="0"/>
        <v>0</v>
      </c>
      <c r="T57" s="5">
        <v>0</v>
      </c>
      <c r="U57" s="12">
        <f t="shared" si="6"/>
        <v>0</v>
      </c>
      <c r="V57" s="25" t="s">
        <v>10</v>
      </c>
      <c r="W57" s="11">
        <f>IFERROR(VLOOKUP(V57,[1]Curr!$B$2:$C$13,2,FALSE),0)</f>
        <v>11.3</v>
      </c>
      <c r="X57" s="12">
        <f t="shared" si="1"/>
        <v>0</v>
      </c>
      <c r="Y57" s="26">
        <f>Q57/0.67</f>
        <v>59.701492537313428</v>
      </c>
      <c r="Z57" s="12">
        <f t="shared" si="2"/>
        <v>0</v>
      </c>
      <c r="AA57" s="4" t="s">
        <v>10</v>
      </c>
      <c r="AB57" s="11">
        <f>IFERROR(VLOOKUP(AA57,Curr!$B$2:$C$13,2,FALSE),0)</f>
        <v>11.3</v>
      </c>
      <c r="AC57" s="12">
        <f t="shared" ref="AC57" si="13">+Y57*AB57*R57</f>
        <v>0</v>
      </c>
      <c r="AD57" s="12">
        <f t="shared" ref="AD57" si="14">+AC57-X57</f>
        <v>0</v>
      </c>
      <c r="AE57" s="13">
        <f t="shared" ref="AE57" si="15">IFERROR(AD57/AC57,0)</f>
        <v>0</v>
      </c>
    </row>
    <row r="58" spans="2:31" x14ac:dyDescent="0.25">
      <c r="B58" s="4"/>
      <c r="C58" s="1" t="s">
        <v>139</v>
      </c>
      <c r="D58" s="1" t="s">
        <v>112</v>
      </c>
      <c r="E58" s="3"/>
      <c r="F58" s="3"/>
      <c r="G58" s="24"/>
      <c r="H58" s="24"/>
      <c r="J58" s="1" t="s">
        <v>160</v>
      </c>
      <c r="K58" s="4"/>
      <c r="L58" s="4"/>
      <c r="M58" s="4"/>
      <c r="N58" s="4"/>
      <c r="O58" s="4"/>
      <c r="P58" s="27"/>
      <c r="Q58" s="25">
        <v>900</v>
      </c>
      <c r="R58" s="25">
        <v>0</v>
      </c>
      <c r="S58" s="12">
        <f t="shared" si="0"/>
        <v>0</v>
      </c>
      <c r="T58" s="5">
        <v>0</v>
      </c>
      <c r="U58" s="12">
        <f t="shared" si="6"/>
        <v>0</v>
      </c>
      <c r="V58" s="25" t="s">
        <v>8</v>
      </c>
      <c r="W58" s="11">
        <f>IFERROR(VLOOKUP(V58,[1]Curr!$B$2:$C$13,2,FALSE),0)</f>
        <v>1</v>
      </c>
      <c r="X58" s="12">
        <f t="shared" si="1"/>
        <v>0</v>
      </c>
      <c r="Y58" s="26">
        <f>Q58/11.3/0.8</f>
        <v>99.55752212389379</v>
      </c>
      <c r="Z58" s="12">
        <f t="shared" si="2"/>
        <v>0</v>
      </c>
      <c r="AA58" s="4" t="s">
        <v>10</v>
      </c>
      <c r="AB58" s="11">
        <f>IFERROR(VLOOKUP(AA58,Curr!$B$2:$C$13,2,FALSE),0)</f>
        <v>11.3</v>
      </c>
      <c r="AC58" s="12">
        <f t="shared" si="3"/>
        <v>0</v>
      </c>
      <c r="AD58" s="12">
        <f t="shared" si="4"/>
        <v>0</v>
      </c>
      <c r="AE58" s="13">
        <f t="shared" si="5"/>
        <v>0</v>
      </c>
    </row>
    <row r="59" spans="2:31" x14ac:dyDescent="0.25">
      <c r="B59" s="4"/>
      <c r="C59" s="1" t="s">
        <v>155</v>
      </c>
      <c r="D59" s="1" t="s">
        <v>112</v>
      </c>
      <c r="E59" s="3"/>
      <c r="F59" s="3"/>
      <c r="G59" s="24"/>
      <c r="H59" s="24"/>
      <c r="J59" s="1" t="s">
        <v>206</v>
      </c>
      <c r="K59" s="4"/>
      <c r="L59" s="4"/>
      <c r="M59" s="4"/>
      <c r="N59" s="4"/>
      <c r="O59" s="4"/>
      <c r="P59" s="27"/>
      <c r="Q59" s="25">
        <v>900</v>
      </c>
      <c r="R59" s="25">
        <v>0</v>
      </c>
      <c r="S59" s="12">
        <f t="shared" si="0"/>
        <v>0</v>
      </c>
      <c r="T59" s="5">
        <v>0</v>
      </c>
      <c r="U59" s="12">
        <f t="shared" si="6"/>
        <v>0</v>
      </c>
      <c r="V59" s="25" t="s">
        <v>8</v>
      </c>
      <c r="W59" s="11">
        <f>IFERROR(VLOOKUP(V59,[1]Curr!$B$2:$C$13,2,FALSE),0)</f>
        <v>1</v>
      </c>
      <c r="X59" s="12">
        <f t="shared" si="1"/>
        <v>0</v>
      </c>
      <c r="Y59" s="26">
        <f>Q59/11.3/0.8</f>
        <v>99.55752212389379</v>
      </c>
      <c r="Z59" s="12">
        <f t="shared" si="2"/>
        <v>0</v>
      </c>
      <c r="AA59" s="4" t="s">
        <v>10</v>
      </c>
      <c r="AB59" s="11">
        <f>IFERROR(VLOOKUP(AA59,Curr!$B$2:$C$13,2,FALSE),0)</f>
        <v>11.3</v>
      </c>
      <c r="AC59" s="12">
        <f t="shared" si="3"/>
        <v>0</v>
      </c>
      <c r="AD59" s="12">
        <f t="shared" si="4"/>
        <v>0</v>
      </c>
      <c r="AE59" s="13">
        <f t="shared" si="5"/>
        <v>0</v>
      </c>
    </row>
    <row r="60" spans="2:31" x14ac:dyDescent="0.25">
      <c r="B60" s="4"/>
      <c r="E60" s="3"/>
      <c r="F60" s="3"/>
      <c r="G60" s="24"/>
      <c r="H60" s="24"/>
      <c r="K60" s="4"/>
      <c r="L60" s="4"/>
      <c r="M60" s="4"/>
      <c r="N60" s="4"/>
      <c r="O60" s="4"/>
      <c r="P60" s="27"/>
      <c r="Q60" s="25"/>
      <c r="R60" s="25"/>
      <c r="S60" s="12">
        <f t="shared" si="0"/>
        <v>0</v>
      </c>
      <c r="T60" s="5">
        <v>0</v>
      </c>
      <c r="U60" s="12">
        <f t="shared" si="6"/>
        <v>0</v>
      </c>
      <c r="V60" s="25" t="s">
        <v>10</v>
      </c>
      <c r="W60" s="11">
        <f>IFERROR(VLOOKUP(V60,[1]Curr!$B$2:$C$13,2,FALSE),0)</f>
        <v>11.3</v>
      </c>
      <c r="X60" s="12">
        <f t="shared" si="1"/>
        <v>0</v>
      </c>
      <c r="Y60" s="26">
        <f t="shared" si="8"/>
        <v>0</v>
      </c>
      <c r="Z60" s="12">
        <f t="shared" si="2"/>
        <v>0</v>
      </c>
      <c r="AA60" s="4" t="s">
        <v>10</v>
      </c>
      <c r="AB60" s="11">
        <f>IFERROR(VLOOKUP(AA60,Curr!$B$2:$C$13,2,FALSE),0)</f>
        <v>11.3</v>
      </c>
      <c r="AC60" s="12">
        <f t="shared" si="3"/>
        <v>0</v>
      </c>
      <c r="AD60" s="12">
        <f t="shared" si="4"/>
        <v>0</v>
      </c>
      <c r="AE60" s="13">
        <f t="shared" si="5"/>
        <v>0</v>
      </c>
    </row>
    <row r="61" spans="2:31" x14ac:dyDescent="0.25">
      <c r="B61" s="4"/>
      <c r="E61" s="3"/>
      <c r="F61" s="3"/>
      <c r="G61" s="24"/>
      <c r="H61" s="24"/>
      <c r="K61" s="4"/>
      <c r="L61" s="4"/>
      <c r="M61" s="4"/>
      <c r="N61" s="4"/>
      <c r="O61" s="4"/>
      <c r="P61" s="27"/>
      <c r="Q61" s="25"/>
      <c r="R61" s="25"/>
      <c r="S61" s="12">
        <f t="shared" si="0"/>
        <v>0</v>
      </c>
      <c r="T61" s="5">
        <v>0</v>
      </c>
      <c r="U61" s="12">
        <f t="shared" si="6"/>
        <v>0</v>
      </c>
      <c r="V61" s="25" t="s">
        <v>10</v>
      </c>
      <c r="W61" s="11">
        <f>IFERROR(VLOOKUP(V61,[1]Curr!$B$2:$C$13,2,FALSE),0)</f>
        <v>11.3</v>
      </c>
      <c r="X61" s="12">
        <f t="shared" si="1"/>
        <v>0</v>
      </c>
      <c r="Y61" s="26">
        <f t="shared" si="8"/>
        <v>0</v>
      </c>
      <c r="Z61" s="12">
        <f t="shared" si="2"/>
        <v>0</v>
      </c>
      <c r="AA61" s="4" t="s">
        <v>10</v>
      </c>
      <c r="AB61" s="11">
        <f>IFERROR(VLOOKUP(AA61,Curr!$B$2:$C$13,2,FALSE),0)</f>
        <v>11.3</v>
      </c>
      <c r="AC61" s="12">
        <f t="shared" si="3"/>
        <v>0</v>
      </c>
      <c r="AD61" s="12">
        <f t="shared" si="4"/>
        <v>0</v>
      </c>
      <c r="AE61" s="13">
        <f t="shared" si="5"/>
        <v>0</v>
      </c>
    </row>
    <row r="62" spans="2:31" x14ac:dyDescent="0.25">
      <c r="B62" s="4"/>
      <c r="C62" s="1" t="s">
        <v>76</v>
      </c>
      <c r="D62" s="1" t="s">
        <v>183</v>
      </c>
      <c r="E62" s="3"/>
      <c r="F62" s="3"/>
      <c r="G62" s="24"/>
      <c r="H62" s="24"/>
      <c r="J62" s="1" t="s">
        <v>190</v>
      </c>
      <c r="K62" s="4"/>
      <c r="L62" s="4"/>
      <c r="M62" s="4"/>
      <c r="N62" s="4"/>
      <c r="O62" s="4" t="s">
        <v>42</v>
      </c>
      <c r="P62" s="29" t="s">
        <v>191</v>
      </c>
      <c r="Q62" s="25">
        <f>(40+40)+(50*2)</f>
        <v>180</v>
      </c>
      <c r="R62" s="25">
        <v>0</v>
      </c>
      <c r="S62" s="12">
        <f t="shared" si="0"/>
        <v>0</v>
      </c>
      <c r="T62" s="5">
        <v>0</v>
      </c>
      <c r="U62" s="12">
        <f t="shared" si="6"/>
        <v>0</v>
      </c>
      <c r="V62" s="25" t="s">
        <v>10</v>
      </c>
      <c r="W62" s="11">
        <f>IFERROR(VLOOKUP(V62,[1]Curr!$B$2:$C$13,2,FALSE),0)</f>
        <v>11.3</v>
      </c>
      <c r="X62" s="12">
        <f t="shared" si="1"/>
        <v>0</v>
      </c>
      <c r="Y62" s="26">
        <f>Q62/0.8</f>
        <v>225</v>
      </c>
      <c r="Z62" s="12">
        <f t="shared" si="2"/>
        <v>0</v>
      </c>
      <c r="AA62" s="4" t="s">
        <v>10</v>
      </c>
      <c r="AB62" s="11">
        <f>IFERROR(VLOOKUP(AA62,Curr!$B$2:$C$13,2,FALSE),0)</f>
        <v>11.3</v>
      </c>
      <c r="AC62" s="12">
        <f t="shared" si="3"/>
        <v>0</v>
      </c>
      <c r="AD62" s="12">
        <f t="shared" si="4"/>
        <v>0</v>
      </c>
      <c r="AE62" s="13">
        <f t="shared" si="5"/>
        <v>0</v>
      </c>
    </row>
    <row r="63" spans="2:31" x14ac:dyDescent="0.25">
      <c r="B63" s="4"/>
      <c r="C63" s="1" t="s">
        <v>76</v>
      </c>
      <c r="D63" s="1" t="s">
        <v>183</v>
      </c>
      <c r="E63" s="3"/>
      <c r="F63" s="3"/>
      <c r="G63" s="24"/>
      <c r="H63" s="24"/>
      <c r="J63" s="1" t="s">
        <v>192</v>
      </c>
      <c r="K63" s="4"/>
      <c r="L63" s="4"/>
      <c r="M63" s="4"/>
      <c r="N63" s="4"/>
      <c r="O63" s="4" t="s">
        <v>42</v>
      </c>
      <c r="P63" s="33" t="s">
        <v>193</v>
      </c>
      <c r="Q63" s="25">
        <v>25</v>
      </c>
      <c r="R63" s="25">
        <v>0</v>
      </c>
      <c r="S63" s="12">
        <f t="shared" si="0"/>
        <v>0</v>
      </c>
      <c r="T63" s="5">
        <v>0</v>
      </c>
      <c r="U63" s="12">
        <f t="shared" si="6"/>
        <v>0</v>
      </c>
      <c r="V63" s="25" t="s">
        <v>10</v>
      </c>
      <c r="W63" s="11">
        <f>IFERROR(VLOOKUP(V63,[1]Curr!$B$2:$C$13,2,FALSE),0)</f>
        <v>11.3</v>
      </c>
      <c r="X63" s="12">
        <f t="shared" si="1"/>
        <v>0</v>
      </c>
      <c r="Y63" s="26">
        <f>Q63/0.62</f>
        <v>40.322580645161288</v>
      </c>
      <c r="Z63" s="12">
        <f t="shared" si="2"/>
        <v>0</v>
      </c>
      <c r="AA63" s="4" t="s">
        <v>10</v>
      </c>
      <c r="AB63" s="11">
        <f>IFERROR(VLOOKUP(AA63,Curr!$B$2:$C$13,2,FALSE),0)</f>
        <v>11.3</v>
      </c>
      <c r="AC63" s="12">
        <f t="shared" si="3"/>
        <v>0</v>
      </c>
      <c r="AD63" s="12">
        <f t="shared" si="4"/>
        <v>0</v>
      </c>
      <c r="AE63" s="13">
        <f t="shared" si="5"/>
        <v>0</v>
      </c>
    </row>
    <row r="64" spans="2:31" x14ac:dyDescent="0.25">
      <c r="B64" s="4"/>
      <c r="C64" s="1" t="s">
        <v>78</v>
      </c>
      <c r="D64" s="1" t="s">
        <v>183</v>
      </c>
      <c r="E64" s="3"/>
      <c r="F64" s="3"/>
      <c r="G64" s="24"/>
      <c r="H64" s="24"/>
      <c r="J64" s="1" t="s">
        <v>184</v>
      </c>
      <c r="K64" s="4"/>
      <c r="L64" s="4"/>
      <c r="M64" s="4"/>
      <c r="N64" s="4"/>
      <c r="O64" s="4" t="s">
        <v>42</v>
      </c>
      <c r="P64" s="33" t="s">
        <v>185</v>
      </c>
      <c r="Q64" s="25">
        <v>252</v>
      </c>
      <c r="R64" s="25">
        <v>0</v>
      </c>
      <c r="S64" s="12">
        <f t="shared" si="0"/>
        <v>0</v>
      </c>
      <c r="T64" s="5">
        <v>0.2</v>
      </c>
      <c r="U64" s="12">
        <f t="shared" si="6"/>
        <v>0</v>
      </c>
      <c r="V64" s="25" t="s">
        <v>10</v>
      </c>
      <c r="W64" s="11">
        <f>IFERROR(VLOOKUP(V64,[1]Curr!$B$2:$C$13,2,FALSE),0)</f>
        <v>11.3</v>
      </c>
      <c r="X64" s="12">
        <f t="shared" si="1"/>
        <v>0</v>
      </c>
      <c r="Y64" s="26">
        <f t="shared" ref="Y64" si="16">Q64</f>
        <v>252</v>
      </c>
      <c r="Z64" s="12">
        <f t="shared" si="2"/>
        <v>0</v>
      </c>
      <c r="AA64" s="4" t="s">
        <v>10</v>
      </c>
      <c r="AB64" s="11">
        <f>IFERROR(VLOOKUP(AA64,Curr!$B$2:$C$13,2,FALSE),0)</f>
        <v>11.3</v>
      </c>
      <c r="AC64" s="12">
        <f t="shared" si="3"/>
        <v>0</v>
      </c>
      <c r="AD64" s="12">
        <f t="shared" si="4"/>
        <v>0</v>
      </c>
      <c r="AE64" s="13">
        <f t="shared" si="5"/>
        <v>0</v>
      </c>
    </row>
    <row r="65" spans="2:32" x14ac:dyDescent="0.25">
      <c r="B65" s="4"/>
      <c r="C65" s="1" t="s">
        <v>83</v>
      </c>
      <c r="D65" s="1" t="s">
        <v>183</v>
      </c>
      <c r="E65" s="3"/>
      <c r="F65" s="3"/>
      <c r="G65" s="24"/>
      <c r="H65" s="24"/>
      <c r="J65" s="1" t="s">
        <v>188</v>
      </c>
      <c r="K65" s="4"/>
      <c r="L65" s="4"/>
      <c r="M65" s="4"/>
      <c r="N65" s="4"/>
      <c r="O65" s="4" t="s">
        <v>42</v>
      </c>
      <c r="P65" s="33" t="s">
        <v>189</v>
      </c>
      <c r="Q65" s="25">
        <v>2195</v>
      </c>
      <c r="R65" s="25">
        <v>0</v>
      </c>
      <c r="S65" s="12">
        <f t="shared" si="0"/>
        <v>0</v>
      </c>
      <c r="T65" s="5">
        <v>0.2</v>
      </c>
      <c r="U65" s="12">
        <f t="shared" si="6"/>
        <v>0</v>
      </c>
      <c r="V65" s="25" t="s">
        <v>8</v>
      </c>
      <c r="W65" s="11">
        <f>IFERROR(VLOOKUP(V65,[1]Curr!$B$2:$C$13,2,FALSE),0)</f>
        <v>1</v>
      </c>
      <c r="X65" s="12">
        <f t="shared" si="1"/>
        <v>0</v>
      </c>
      <c r="Y65" s="26">
        <f t="shared" ref="Y65" si="17">Q65/11.3</f>
        <v>194.24778761061947</v>
      </c>
      <c r="Z65" s="12">
        <f t="shared" si="2"/>
        <v>0</v>
      </c>
      <c r="AA65" s="4" t="s">
        <v>10</v>
      </c>
      <c r="AB65" s="11">
        <f>IFERROR(VLOOKUP(AA65,Curr!$B$2:$C$13,2,FALSE),0)</f>
        <v>11.3</v>
      </c>
      <c r="AC65" s="12">
        <f t="shared" si="3"/>
        <v>0</v>
      </c>
      <c r="AD65" s="12">
        <f t="shared" si="4"/>
        <v>0</v>
      </c>
      <c r="AE65" s="13">
        <f t="shared" si="5"/>
        <v>0</v>
      </c>
    </row>
    <row r="66" spans="2:32" x14ac:dyDescent="0.25">
      <c r="B66" s="4"/>
      <c r="C66" s="1" t="s">
        <v>139</v>
      </c>
      <c r="D66" s="1" t="s">
        <v>183</v>
      </c>
      <c r="E66" s="3"/>
      <c r="F66" s="3"/>
      <c r="G66" s="24"/>
      <c r="H66" s="24"/>
      <c r="J66" s="1" t="s">
        <v>200</v>
      </c>
      <c r="K66" s="4"/>
      <c r="L66" s="4"/>
      <c r="M66" s="4"/>
      <c r="N66" s="4"/>
      <c r="O66" s="4" t="s">
        <v>42</v>
      </c>
      <c r="P66" s="33" t="s">
        <v>201</v>
      </c>
      <c r="Q66" s="25">
        <v>185</v>
      </c>
      <c r="R66" s="25">
        <v>0</v>
      </c>
      <c r="S66" s="12">
        <f t="shared" si="0"/>
        <v>0</v>
      </c>
      <c r="T66" s="5">
        <v>0.15</v>
      </c>
      <c r="U66" s="12">
        <f t="shared" si="6"/>
        <v>0</v>
      </c>
      <c r="V66" s="25" t="s">
        <v>10</v>
      </c>
      <c r="W66" s="11">
        <f>IFERROR(VLOOKUP(V66,[1]Curr!$B$2:$C$13,2,FALSE),0)</f>
        <v>11.3</v>
      </c>
      <c r="X66" s="12">
        <f t="shared" si="1"/>
        <v>0</v>
      </c>
      <c r="Y66" s="26">
        <f t="shared" ref="Y66" si="18">Q66</f>
        <v>185</v>
      </c>
      <c r="Z66" s="12">
        <f t="shared" si="2"/>
        <v>0</v>
      </c>
      <c r="AA66" s="4" t="s">
        <v>10</v>
      </c>
      <c r="AB66" s="11">
        <f>IFERROR(VLOOKUP(AA66,Curr!$B$2:$C$13,2,FALSE),0)</f>
        <v>11.3</v>
      </c>
      <c r="AC66" s="12">
        <f t="shared" si="3"/>
        <v>0</v>
      </c>
      <c r="AD66" s="12">
        <f t="shared" si="4"/>
        <v>0</v>
      </c>
      <c r="AE66" s="13">
        <f t="shared" si="5"/>
        <v>0</v>
      </c>
    </row>
    <row r="67" spans="2:32" x14ac:dyDescent="0.25">
      <c r="B67" s="4"/>
      <c r="E67" s="3"/>
      <c r="F67" s="3"/>
      <c r="G67" s="24"/>
      <c r="H67" s="24"/>
      <c r="K67" s="4"/>
      <c r="L67" s="4"/>
      <c r="M67" s="4"/>
      <c r="N67" s="4"/>
      <c r="O67" s="4"/>
      <c r="P67" s="27"/>
      <c r="Q67" s="25"/>
      <c r="R67" s="25"/>
      <c r="S67" s="12">
        <f t="shared" si="0"/>
        <v>0</v>
      </c>
      <c r="T67" s="5">
        <v>0</v>
      </c>
      <c r="U67" s="12">
        <f t="shared" si="6"/>
        <v>0</v>
      </c>
      <c r="V67" s="25" t="s">
        <v>10</v>
      </c>
      <c r="W67" s="11">
        <f>IFERROR(VLOOKUP(V67,[1]Curr!$B$2:$C$13,2,FALSE),0)</f>
        <v>11.3</v>
      </c>
      <c r="X67" s="12">
        <f t="shared" si="1"/>
        <v>0</v>
      </c>
      <c r="Y67" s="26">
        <f t="shared" si="8"/>
        <v>0</v>
      </c>
      <c r="Z67" s="12">
        <f t="shared" si="2"/>
        <v>0</v>
      </c>
      <c r="AA67" s="4" t="s">
        <v>10</v>
      </c>
      <c r="AB67" s="11">
        <f>IFERROR(VLOOKUP(AA67,Curr!$B$2:$C$13,2,FALSE),0)</f>
        <v>11.3</v>
      </c>
      <c r="AC67" s="12">
        <f t="shared" si="3"/>
        <v>0</v>
      </c>
      <c r="AD67" s="12">
        <f t="shared" si="4"/>
        <v>0</v>
      </c>
      <c r="AE67" s="13">
        <f t="shared" si="5"/>
        <v>0</v>
      </c>
    </row>
    <row r="68" spans="2:32" x14ac:dyDescent="0.25">
      <c r="B68" s="4"/>
      <c r="E68" s="3"/>
      <c r="F68" s="3"/>
      <c r="G68" s="24"/>
      <c r="H68" s="24"/>
      <c r="K68" s="4"/>
      <c r="L68" s="4"/>
      <c r="M68" s="4"/>
      <c r="N68" s="4"/>
      <c r="O68" s="4"/>
      <c r="P68" s="27"/>
      <c r="Q68" s="25"/>
      <c r="R68" s="25"/>
      <c r="S68" s="12">
        <f t="shared" si="0"/>
        <v>0</v>
      </c>
      <c r="T68" s="5">
        <v>0</v>
      </c>
      <c r="U68" s="12">
        <f t="shared" si="6"/>
        <v>0</v>
      </c>
      <c r="V68" s="25" t="s">
        <v>10</v>
      </c>
      <c r="W68" s="11">
        <f>IFERROR(VLOOKUP(V68,[1]Curr!$B$2:$C$13,2,FALSE),0)</f>
        <v>11.3</v>
      </c>
      <c r="X68" s="12">
        <f t="shared" si="1"/>
        <v>0</v>
      </c>
      <c r="Y68" s="26">
        <f t="shared" si="8"/>
        <v>0</v>
      </c>
      <c r="Z68" s="12">
        <f t="shared" si="2"/>
        <v>0</v>
      </c>
      <c r="AA68" s="4" t="s">
        <v>10</v>
      </c>
      <c r="AB68" s="11">
        <f>IFERROR(VLOOKUP(AA68,Curr!$B$2:$C$13,2,FALSE),0)</f>
        <v>11.3</v>
      </c>
      <c r="AC68" s="12">
        <f t="shared" si="3"/>
        <v>0</v>
      </c>
      <c r="AD68" s="12">
        <f t="shared" si="4"/>
        <v>0</v>
      </c>
      <c r="AE68" s="13">
        <f t="shared" si="5"/>
        <v>0</v>
      </c>
    </row>
    <row r="69" spans="2:32" x14ac:dyDescent="0.25">
      <c r="B69" s="4"/>
      <c r="C69" s="1" t="s">
        <v>155</v>
      </c>
      <c r="D69" s="1" t="s">
        <v>203</v>
      </c>
      <c r="E69" s="3"/>
      <c r="F69" s="3"/>
      <c r="G69" s="24"/>
      <c r="H69" s="24"/>
      <c r="J69" s="1" t="s">
        <v>205</v>
      </c>
      <c r="K69" s="4"/>
      <c r="L69" s="4"/>
      <c r="M69" s="4"/>
      <c r="N69" s="4"/>
      <c r="O69" s="4"/>
      <c r="P69" s="27"/>
      <c r="Q69" s="25">
        <v>0</v>
      </c>
      <c r="R69" s="25">
        <v>0</v>
      </c>
      <c r="S69" s="12">
        <f t="shared" si="0"/>
        <v>0</v>
      </c>
      <c r="T69" s="5">
        <v>0</v>
      </c>
      <c r="U69" s="12">
        <f t="shared" si="6"/>
        <v>0</v>
      </c>
      <c r="V69" s="25" t="s">
        <v>8</v>
      </c>
      <c r="W69" s="11">
        <f>IFERROR(VLOOKUP(V69,[1]Curr!$B$2:$C$13,2,FALSE),0)</f>
        <v>1</v>
      </c>
      <c r="X69" s="12">
        <f t="shared" si="1"/>
        <v>0</v>
      </c>
      <c r="Y69" s="26">
        <f>Q69/11.3/0.8</f>
        <v>0</v>
      </c>
      <c r="Z69" s="12">
        <f t="shared" si="2"/>
        <v>0</v>
      </c>
      <c r="AA69" s="4" t="s">
        <v>10</v>
      </c>
      <c r="AB69" s="11">
        <f>IFERROR(VLOOKUP(AA69,Curr!$B$2:$C$13,2,FALSE),0)</f>
        <v>11.3</v>
      </c>
      <c r="AC69" s="12">
        <f t="shared" si="3"/>
        <v>0</v>
      </c>
      <c r="AD69" s="12">
        <f t="shared" si="4"/>
        <v>0</v>
      </c>
      <c r="AE69" s="13">
        <f t="shared" si="5"/>
        <v>0</v>
      </c>
    </row>
    <row r="70" spans="2:32" x14ac:dyDescent="0.25">
      <c r="B70" s="4"/>
      <c r="C70" s="1" t="s">
        <v>155</v>
      </c>
      <c r="D70" s="1" t="s">
        <v>203</v>
      </c>
      <c r="E70" s="3"/>
      <c r="F70" s="3"/>
      <c r="G70" s="24"/>
      <c r="H70" s="24"/>
      <c r="J70" s="1" t="s">
        <v>164</v>
      </c>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ref="Y70:Y73" si="19">Q70</f>
        <v>0</v>
      </c>
      <c r="Z70" s="12">
        <f t="shared" si="2"/>
        <v>0</v>
      </c>
      <c r="AA70" s="4" t="s">
        <v>10</v>
      </c>
      <c r="AB70" s="11">
        <f>IFERROR(VLOOKUP(AA70,Curr!$B$2:$C$13,2,FALSE),0)</f>
        <v>11.3</v>
      </c>
      <c r="AC70" s="12">
        <f t="shared" si="3"/>
        <v>0</v>
      </c>
      <c r="AD70" s="12">
        <f t="shared" si="4"/>
        <v>0</v>
      </c>
      <c r="AE70" s="13">
        <f t="shared" si="5"/>
        <v>0</v>
      </c>
    </row>
    <row r="71" spans="2:32" x14ac:dyDescent="0.25">
      <c r="B71" s="4"/>
      <c r="C71" s="1" t="s">
        <v>155</v>
      </c>
      <c r="D71" s="1" t="s">
        <v>203</v>
      </c>
      <c r="E71" s="3"/>
      <c r="F71" s="3"/>
      <c r="G71" s="24"/>
      <c r="H71" s="24"/>
      <c r="J71" s="1" t="s">
        <v>204</v>
      </c>
      <c r="K71" s="4"/>
      <c r="L71" s="4"/>
      <c r="M71" s="4"/>
      <c r="N71" s="4"/>
      <c r="O71" s="4"/>
      <c r="P71" s="27"/>
      <c r="Q71" s="25">
        <v>175</v>
      </c>
      <c r="R71" s="25">
        <v>0</v>
      </c>
      <c r="S71" s="12">
        <f t="shared" ref="S71:S79" si="20">+Q71*R71</f>
        <v>0</v>
      </c>
      <c r="T71" s="5">
        <v>0</v>
      </c>
      <c r="U71" s="12">
        <f t="shared" si="6"/>
        <v>0</v>
      </c>
      <c r="V71" s="25" t="s">
        <v>10</v>
      </c>
      <c r="W71" s="11">
        <f>IFERROR(VLOOKUP(V71,[1]Curr!$B$2:$C$13,2,FALSE),0)</f>
        <v>11.3</v>
      </c>
      <c r="X71" s="12">
        <f t="shared" ref="X71:X79" si="21">U71*W71</f>
        <v>0</v>
      </c>
      <c r="Y71" s="26">
        <f>Q71/0.85</f>
        <v>205.88235294117646</v>
      </c>
      <c r="Z71" s="12">
        <f t="shared" si="2"/>
        <v>0</v>
      </c>
      <c r="AA71" s="4" t="s">
        <v>10</v>
      </c>
      <c r="AB71" s="11">
        <f>IFERROR(VLOOKUP(AA71,Curr!$B$2:$C$13,2,FALSE),0)</f>
        <v>11.3</v>
      </c>
      <c r="AC71" s="12">
        <f t="shared" si="3"/>
        <v>0</v>
      </c>
      <c r="AD71" s="12">
        <f t="shared" si="4"/>
        <v>0</v>
      </c>
      <c r="AE71" s="13">
        <f t="shared" si="5"/>
        <v>0</v>
      </c>
    </row>
    <row r="72" spans="2:32" x14ac:dyDescent="0.25">
      <c r="B72" s="4"/>
      <c r="C72" s="1" t="s">
        <v>155</v>
      </c>
      <c r="D72" s="1" t="s">
        <v>203</v>
      </c>
      <c r="E72" s="3"/>
      <c r="F72" s="3"/>
      <c r="G72" s="24"/>
      <c r="H72" s="24"/>
      <c r="J72" s="1" t="s">
        <v>163</v>
      </c>
      <c r="K72" s="4"/>
      <c r="L72" s="4"/>
      <c r="M72" s="4"/>
      <c r="N72" s="4"/>
      <c r="O72" s="4"/>
      <c r="P72" s="27"/>
      <c r="Q72" s="25">
        <v>0</v>
      </c>
      <c r="R72" s="25">
        <v>0</v>
      </c>
      <c r="S72" s="12">
        <f t="shared" si="20"/>
        <v>0</v>
      </c>
      <c r="T72" s="5">
        <v>0</v>
      </c>
      <c r="U72" s="12">
        <f t="shared" ref="U72:U79" si="22">S72*(1-T72)</f>
        <v>0</v>
      </c>
      <c r="V72" s="25" t="s">
        <v>10</v>
      </c>
      <c r="W72" s="11">
        <f>IFERROR(VLOOKUP(V72,[1]Curr!$B$2:$C$13,2,FALSE),0)</f>
        <v>11.3</v>
      </c>
      <c r="X72" s="12">
        <f t="shared" si="21"/>
        <v>0</v>
      </c>
      <c r="Y72" s="26">
        <f t="shared" si="19"/>
        <v>0</v>
      </c>
      <c r="Z72" s="12">
        <f t="shared" ref="Z72:Z79" si="23">+Y72*R72</f>
        <v>0</v>
      </c>
      <c r="AA72" s="4" t="s">
        <v>10</v>
      </c>
      <c r="AB72" s="11">
        <f>IFERROR(VLOOKUP(AA72,Curr!$B$2:$C$13,2,FALSE),0)</f>
        <v>11.3</v>
      </c>
      <c r="AC72" s="12">
        <f t="shared" ref="AC72:AC79" si="24">+Y72*AB72*R72</f>
        <v>0</v>
      </c>
      <c r="AD72" s="12">
        <f t="shared" ref="AD72:AD79" si="25">+AC72-X72</f>
        <v>0</v>
      </c>
      <c r="AE72" s="13">
        <f t="shared" ref="AE72:AE79" si="26">IFERROR(AD72/AC72,0)</f>
        <v>0</v>
      </c>
    </row>
    <row r="73" spans="2:32" x14ac:dyDescent="0.25">
      <c r="B73" s="4"/>
      <c r="C73" s="1" t="s">
        <v>181</v>
      </c>
      <c r="D73" s="1" t="s">
        <v>203</v>
      </c>
      <c r="E73" s="3"/>
      <c r="F73" s="3"/>
      <c r="G73" s="24"/>
      <c r="H73" s="24"/>
      <c r="J73" s="1" t="s">
        <v>162</v>
      </c>
      <c r="K73" s="4"/>
      <c r="L73" s="4"/>
      <c r="M73" s="4"/>
      <c r="N73" s="4"/>
      <c r="O73" s="4"/>
      <c r="P73" s="27"/>
      <c r="Q73" s="25">
        <v>0</v>
      </c>
      <c r="R73" s="25">
        <v>0</v>
      </c>
      <c r="S73" s="12">
        <f t="shared" si="20"/>
        <v>0</v>
      </c>
      <c r="T73" s="5">
        <v>0</v>
      </c>
      <c r="U73" s="12">
        <f t="shared" si="22"/>
        <v>0</v>
      </c>
      <c r="V73" s="25" t="s">
        <v>10</v>
      </c>
      <c r="W73" s="11">
        <f>IFERROR(VLOOKUP(V73,[1]Curr!$B$2:$C$13,2,FALSE),0)</f>
        <v>11.3</v>
      </c>
      <c r="X73" s="12">
        <f t="shared" si="21"/>
        <v>0</v>
      </c>
      <c r="Y73" s="26">
        <f t="shared" si="19"/>
        <v>0</v>
      </c>
      <c r="Z73" s="12">
        <f t="shared" si="23"/>
        <v>0</v>
      </c>
      <c r="AA73" s="4" t="s">
        <v>10</v>
      </c>
      <c r="AB73" s="11">
        <f>IFERROR(VLOOKUP(AA73,Curr!$B$2:$C$13,2,FALSE),0)</f>
        <v>11.3</v>
      </c>
      <c r="AC73" s="12">
        <f t="shared" si="24"/>
        <v>0</v>
      </c>
      <c r="AD73" s="12">
        <f t="shared" si="25"/>
        <v>0</v>
      </c>
      <c r="AE73" s="13">
        <f t="shared" si="26"/>
        <v>0</v>
      </c>
    </row>
    <row r="74" spans="2:32" x14ac:dyDescent="0.25">
      <c r="B74" s="4"/>
      <c r="E74" s="3"/>
      <c r="F74" s="3"/>
      <c r="G74" s="24"/>
      <c r="H74" s="24"/>
      <c r="K74" s="4"/>
      <c r="L74" s="4"/>
      <c r="M74" s="4"/>
      <c r="N74" s="4"/>
      <c r="O74" s="4"/>
      <c r="P74" s="27"/>
      <c r="Q74" s="25"/>
      <c r="R74" s="25"/>
      <c r="S74" s="12">
        <f t="shared" si="20"/>
        <v>0</v>
      </c>
      <c r="T74" s="5">
        <v>0</v>
      </c>
      <c r="U74" s="12">
        <f t="shared" si="22"/>
        <v>0</v>
      </c>
      <c r="V74" s="25" t="s">
        <v>10</v>
      </c>
      <c r="W74" s="11">
        <f>IFERROR(VLOOKUP(V74,[1]Curr!$B$2:$C$13,2,FALSE),0)</f>
        <v>11.3</v>
      </c>
      <c r="X74" s="12">
        <f t="shared" si="21"/>
        <v>0</v>
      </c>
      <c r="Y74" s="26">
        <f t="shared" ref="Y74:Y79" si="27">Q74</f>
        <v>0</v>
      </c>
      <c r="Z74" s="12">
        <f t="shared" si="23"/>
        <v>0</v>
      </c>
      <c r="AA74" s="4" t="s">
        <v>10</v>
      </c>
      <c r="AB74" s="11">
        <f>IFERROR(VLOOKUP(AA74,Curr!$B$2:$C$13,2,FALSE),0)</f>
        <v>11.3</v>
      </c>
      <c r="AC74" s="12">
        <f t="shared" si="24"/>
        <v>0</v>
      </c>
      <c r="AD74" s="12">
        <f t="shared" si="25"/>
        <v>0</v>
      </c>
      <c r="AE74" s="13">
        <f t="shared" si="26"/>
        <v>0</v>
      </c>
    </row>
    <row r="75" spans="2:32" x14ac:dyDescent="0.25">
      <c r="B75" s="4"/>
      <c r="E75" s="3"/>
      <c r="F75" s="3"/>
      <c r="G75" s="24"/>
      <c r="H75" s="24"/>
      <c r="K75" s="4"/>
      <c r="L75" s="4"/>
      <c r="M75" s="4"/>
      <c r="N75" s="4"/>
      <c r="O75" s="4"/>
      <c r="P75" s="27"/>
      <c r="Q75" s="25"/>
      <c r="R75" s="25"/>
      <c r="S75" s="12">
        <f t="shared" si="20"/>
        <v>0</v>
      </c>
      <c r="T75" s="5">
        <v>0</v>
      </c>
      <c r="U75" s="12">
        <f t="shared" si="22"/>
        <v>0</v>
      </c>
      <c r="V75" s="25" t="s">
        <v>10</v>
      </c>
      <c r="W75" s="11">
        <f>IFERROR(VLOOKUP(V75,[1]Curr!$B$2:$C$13,2,FALSE),0)</f>
        <v>11.3</v>
      </c>
      <c r="X75" s="12">
        <f t="shared" si="21"/>
        <v>0</v>
      </c>
      <c r="Y75" s="26">
        <f t="shared" si="27"/>
        <v>0</v>
      </c>
      <c r="Z75" s="12">
        <f t="shared" si="23"/>
        <v>0</v>
      </c>
      <c r="AA75" s="4" t="s">
        <v>10</v>
      </c>
      <c r="AB75" s="11">
        <f>IFERROR(VLOOKUP(AA75,Curr!$B$2:$C$13,2,FALSE),0)</f>
        <v>11.3</v>
      </c>
      <c r="AC75" s="12">
        <f t="shared" si="24"/>
        <v>0</v>
      </c>
      <c r="AD75" s="12">
        <f t="shared" si="25"/>
        <v>0</v>
      </c>
      <c r="AE75" s="13">
        <f t="shared" si="26"/>
        <v>0</v>
      </c>
    </row>
    <row r="76" spans="2:32" x14ac:dyDescent="0.25">
      <c r="B76" s="4"/>
      <c r="E76" s="3"/>
      <c r="F76" s="3"/>
      <c r="G76" s="24"/>
      <c r="H76" s="24"/>
      <c r="K76" s="4"/>
      <c r="L76" s="4"/>
      <c r="M76" s="4"/>
      <c r="N76" s="4"/>
      <c r="O76" s="4"/>
      <c r="P76" s="27"/>
      <c r="Q76" s="25"/>
      <c r="R76" s="25"/>
      <c r="S76" s="12">
        <f t="shared" si="20"/>
        <v>0</v>
      </c>
      <c r="T76" s="5">
        <v>0</v>
      </c>
      <c r="U76" s="12">
        <f t="shared" si="22"/>
        <v>0</v>
      </c>
      <c r="V76" s="25" t="s">
        <v>10</v>
      </c>
      <c r="W76" s="11">
        <f>IFERROR(VLOOKUP(V76,[1]Curr!$B$2:$C$13,2,FALSE),0)</f>
        <v>11.3</v>
      </c>
      <c r="X76" s="12">
        <f t="shared" si="21"/>
        <v>0</v>
      </c>
      <c r="Y76" s="26">
        <f t="shared" si="27"/>
        <v>0</v>
      </c>
      <c r="Z76" s="12">
        <f t="shared" si="23"/>
        <v>0</v>
      </c>
      <c r="AA76" s="4" t="s">
        <v>10</v>
      </c>
      <c r="AB76" s="11">
        <f>IFERROR(VLOOKUP(AA76,Curr!$B$2:$C$13,2,FALSE),0)</f>
        <v>11.3</v>
      </c>
      <c r="AC76" s="12">
        <f t="shared" si="24"/>
        <v>0</v>
      </c>
      <c r="AD76" s="12">
        <f t="shared" si="25"/>
        <v>0</v>
      </c>
      <c r="AE76" s="13">
        <f t="shared" si="26"/>
        <v>0</v>
      </c>
    </row>
    <row r="77" spans="2:32" x14ac:dyDescent="0.25">
      <c r="B77" s="4"/>
      <c r="E77" s="3"/>
      <c r="F77" s="3"/>
      <c r="G77" s="24"/>
      <c r="H77" s="24"/>
      <c r="K77" s="4"/>
      <c r="L77" s="4"/>
      <c r="M77" s="4"/>
      <c r="N77" s="4"/>
      <c r="O77" s="4"/>
      <c r="P77" s="27"/>
      <c r="Q77" s="25"/>
      <c r="R77" s="25"/>
      <c r="S77" s="12">
        <f t="shared" si="20"/>
        <v>0</v>
      </c>
      <c r="T77" s="5">
        <v>0</v>
      </c>
      <c r="U77" s="12">
        <f t="shared" si="22"/>
        <v>0</v>
      </c>
      <c r="V77" s="25" t="s">
        <v>10</v>
      </c>
      <c r="W77" s="11">
        <f>IFERROR(VLOOKUP(V77,[1]Curr!$B$2:$C$13,2,FALSE),0)</f>
        <v>11.3</v>
      </c>
      <c r="X77" s="12">
        <f t="shared" si="21"/>
        <v>0</v>
      </c>
      <c r="Y77" s="26">
        <f t="shared" si="27"/>
        <v>0</v>
      </c>
      <c r="Z77" s="12">
        <f t="shared" si="23"/>
        <v>0</v>
      </c>
      <c r="AA77" s="4" t="s">
        <v>10</v>
      </c>
      <c r="AB77" s="11">
        <f>IFERROR(VLOOKUP(AA77,Curr!$B$2:$C$13,2,FALSE),0)</f>
        <v>11.3</v>
      </c>
      <c r="AC77" s="12">
        <f t="shared" si="24"/>
        <v>0</v>
      </c>
      <c r="AD77" s="12">
        <f t="shared" si="25"/>
        <v>0</v>
      </c>
      <c r="AE77" s="13">
        <f t="shared" si="26"/>
        <v>0</v>
      </c>
    </row>
    <row r="78" spans="2:32" x14ac:dyDescent="0.25">
      <c r="B78" s="4"/>
      <c r="E78" s="3"/>
      <c r="F78" s="3"/>
      <c r="G78" s="24"/>
      <c r="H78" s="24"/>
      <c r="K78" s="4"/>
      <c r="L78" s="4"/>
      <c r="M78" s="4"/>
      <c r="N78" s="4"/>
      <c r="O78" s="4"/>
      <c r="P78" s="27"/>
      <c r="Q78" s="25"/>
      <c r="R78" s="25"/>
      <c r="S78" s="12">
        <f t="shared" si="20"/>
        <v>0</v>
      </c>
      <c r="T78" s="5">
        <v>0</v>
      </c>
      <c r="U78" s="12">
        <f t="shared" si="22"/>
        <v>0</v>
      </c>
      <c r="V78" s="25" t="s">
        <v>10</v>
      </c>
      <c r="W78" s="11">
        <f>IFERROR(VLOOKUP(V78,[1]Curr!$B$2:$C$13,2,FALSE),0)</f>
        <v>11.3</v>
      </c>
      <c r="X78" s="12">
        <f t="shared" si="21"/>
        <v>0</v>
      </c>
      <c r="Y78" s="26">
        <f t="shared" si="27"/>
        <v>0</v>
      </c>
      <c r="Z78" s="12">
        <f t="shared" si="23"/>
        <v>0</v>
      </c>
      <c r="AA78" s="4" t="s">
        <v>10</v>
      </c>
      <c r="AB78" s="11">
        <f>IFERROR(VLOOKUP(AA78,Curr!$B$2:$C$13,2,FALSE),0)</f>
        <v>11.3</v>
      </c>
      <c r="AC78" s="12">
        <f t="shared" si="24"/>
        <v>0</v>
      </c>
      <c r="AD78" s="12">
        <f t="shared" si="25"/>
        <v>0</v>
      </c>
      <c r="AE78" s="13">
        <f t="shared" si="26"/>
        <v>0</v>
      </c>
    </row>
    <row r="79" spans="2:32" x14ac:dyDescent="0.25">
      <c r="B79" s="4"/>
      <c r="E79" s="3"/>
      <c r="F79" s="3"/>
      <c r="G79" s="24"/>
      <c r="H79" s="24"/>
      <c r="K79" s="4"/>
      <c r="L79" s="4"/>
      <c r="M79" s="4"/>
      <c r="N79" s="4"/>
      <c r="O79" s="4"/>
      <c r="P79" s="27"/>
      <c r="Q79" s="25"/>
      <c r="R79" s="25"/>
      <c r="S79" s="12">
        <f t="shared" si="20"/>
        <v>0</v>
      </c>
      <c r="T79" s="5">
        <v>0</v>
      </c>
      <c r="U79" s="12">
        <f t="shared" si="22"/>
        <v>0</v>
      </c>
      <c r="V79" s="25" t="s">
        <v>10</v>
      </c>
      <c r="W79" s="11">
        <f>IFERROR(VLOOKUP(V79,[1]Curr!$B$2:$C$13,2,FALSE),0)</f>
        <v>11.3</v>
      </c>
      <c r="X79" s="12">
        <f t="shared" si="21"/>
        <v>0</v>
      </c>
      <c r="Y79" s="26">
        <f t="shared" si="27"/>
        <v>0</v>
      </c>
      <c r="Z79" s="12">
        <f t="shared" si="23"/>
        <v>0</v>
      </c>
      <c r="AA79" s="4" t="s">
        <v>10</v>
      </c>
      <c r="AB79" s="11">
        <f>IFERROR(VLOOKUP(AA79,Curr!$B$2:$C$13,2,FALSE),0)</f>
        <v>11.3</v>
      </c>
      <c r="AC79" s="12">
        <f t="shared" si="24"/>
        <v>0</v>
      </c>
      <c r="AD79" s="12">
        <f t="shared" si="25"/>
        <v>0</v>
      </c>
      <c r="AE79" s="13">
        <f t="shared" si="26"/>
        <v>0</v>
      </c>
    </row>
    <row r="80" spans="2:32" x14ac:dyDescent="0.25">
      <c r="B80" s="4"/>
      <c r="E80" s="3"/>
      <c r="F80" s="3"/>
      <c r="G80" s="3"/>
      <c r="H80" s="3"/>
      <c r="L80" s="4"/>
      <c r="M80" s="4"/>
      <c r="N80" s="4"/>
      <c r="O80" s="4"/>
      <c r="P80" s="22"/>
      <c r="Q80" s="4"/>
      <c r="R80" s="4"/>
      <c r="S80" s="4"/>
      <c r="T80" s="4"/>
      <c r="U80" s="4"/>
      <c r="V80" s="4"/>
      <c r="W80" s="4"/>
      <c r="X80" s="4"/>
      <c r="Y80" s="4"/>
      <c r="Z80" s="4"/>
      <c r="AA80" s="4"/>
      <c r="AB80" s="4"/>
      <c r="AC80" s="4"/>
      <c r="AD80" s="4"/>
      <c r="AE80" s="4"/>
      <c r="AF80" s="4"/>
    </row>
    <row r="81" spans="2:36" x14ac:dyDescent="0.25">
      <c r="B81" s="14" t="s">
        <v>18</v>
      </c>
      <c r="C81" s="14"/>
      <c r="D81" s="28" t="s">
        <v>42</v>
      </c>
      <c r="E81" s="30" t="s">
        <v>42</v>
      </c>
      <c r="F81" s="30" t="s">
        <v>42</v>
      </c>
      <c r="G81" s="30" t="s">
        <v>42</v>
      </c>
      <c r="H81" s="30" t="s">
        <v>42</v>
      </c>
      <c r="I81" s="28" t="s">
        <v>42</v>
      </c>
      <c r="J81" s="28" t="s">
        <v>42</v>
      </c>
      <c r="K81" s="28" t="s">
        <v>42</v>
      </c>
      <c r="L81" s="28" t="s">
        <v>42</v>
      </c>
      <c r="M81" s="28" t="s">
        <v>42</v>
      </c>
      <c r="N81" s="28" t="s">
        <v>42</v>
      </c>
      <c r="O81" s="28" t="s">
        <v>42</v>
      </c>
      <c r="P81" s="28" t="s">
        <v>42</v>
      </c>
      <c r="Q81" s="31" t="s">
        <v>42</v>
      </c>
      <c r="R81" s="28" t="s">
        <v>42</v>
      </c>
      <c r="S81" s="32" t="s">
        <v>42</v>
      </c>
      <c r="T81" s="28" t="s">
        <v>42</v>
      </c>
      <c r="U81" s="32" t="s">
        <v>42</v>
      </c>
      <c r="V81" s="28" t="s">
        <v>42</v>
      </c>
      <c r="W81" s="28" t="s">
        <v>42</v>
      </c>
      <c r="X81" s="32" t="s">
        <v>42</v>
      </c>
      <c r="Y81" s="32" t="s">
        <v>42</v>
      </c>
      <c r="Z81" s="15">
        <f>SUM(Z7:Z79)</f>
        <v>4897.3036704201941</v>
      </c>
      <c r="AA81" s="14"/>
      <c r="AB81" s="14"/>
      <c r="AC81" s="15">
        <f>SUM(AC7:AC79)</f>
        <v>55339.531475748205</v>
      </c>
      <c r="AD81" s="15">
        <f>SUM(AD7:AD79)</f>
        <v>10277.911475748195</v>
      </c>
      <c r="AE81" s="21">
        <f t="shared" ref="AE81" si="28">IFERROR(AD81/AC81,0)</f>
        <v>0.18572458424683896</v>
      </c>
      <c r="AF81" s="15">
        <f>SUM(AF8:AF80)</f>
        <v>0</v>
      </c>
      <c r="AG81" s="15">
        <f>SUM(AG8:AG80)</f>
        <v>0</v>
      </c>
      <c r="AH81" s="15">
        <f>SUM(AH8:AH80)</f>
        <v>0</v>
      </c>
      <c r="AI81" s="15">
        <f>SUM(AI8:AI80)</f>
        <v>0</v>
      </c>
      <c r="AJ81" s="15">
        <f>SUM(AJ8:AJ80)</f>
        <v>0</v>
      </c>
    </row>
    <row r="82" spans="2:36" x14ac:dyDescent="0.25">
      <c r="B82" s="4"/>
      <c r="E82" s="3"/>
      <c r="F82" s="3"/>
      <c r="G82" s="3"/>
      <c r="H82" s="3"/>
      <c r="L82" s="4"/>
      <c r="M82" s="4"/>
      <c r="N82" s="4"/>
      <c r="O82" s="4"/>
      <c r="Q82" s="4"/>
      <c r="R82" s="4"/>
      <c r="S82" s="4"/>
      <c r="T82" s="4"/>
      <c r="U82" s="4"/>
      <c r="V82" s="4"/>
      <c r="W82" s="4"/>
      <c r="X82" s="4"/>
      <c r="Y82" s="9"/>
      <c r="Z82" s="9"/>
      <c r="AA82" s="9"/>
      <c r="AB82" s="9"/>
      <c r="AC82" s="9"/>
      <c r="AD82" s="9"/>
      <c r="AE82" s="9"/>
    </row>
    <row r="83" spans="2:36" x14ac:dyDescent="0.25">
      <c r="B83" s="4"/>
      <c r="E83" s="3"/>
      <c r="F83" s="3"/>
      <c r="G83" s="3"/>
      <c r="H83" s="3"/>
      <c r="L83" s="4"/>
      <c r="M83" s="4"/>
      <c r="N83" s="4"/>
      <c r="O83" s="4"/>
      <c r="Q83" s="9"/>
      <c r="R83" s="9"/>
      <c r="S83" s="9"/>
      <c r="T83" s="9"/>
      <c r="U83" s="9"/>
      <c r="V83" s="9"/>
      <c r="W83" s="9"/>
      <c r="X83" s="23"/>
      <c r="Y83" s="34" t="s">
        <v>119</v>
      </c>
      <c r="Z83" s="34">
        <f>Z12+Z19+Z21+Z23+Z26+Z31+Z33+Z42+Z44</f>
        <v>2215.3671790094704</v>
      </c>
      <c r="AA83" s="9"/>
      <c r="AB83" s="9"/>
      <c r="AC83" s="9"/>
      <c r="AD83" s="9"/>
      <c r="AE83" s="9"/>
    </row>
    <row r="84" spans="2:36" x14ac:dyDescent="0.25">
      <c r="B84" s="4"/>
      <c r="E84" s="3"/>
      <c r="F84" s="3"/>
      <c r="G84" s="3"/>
      <c r="H84" s="3"/>
      <c r="L84" s="4"/>
      <c r="M84" s="4"/>
      <c r="N84" s="4"/>
      <c r="O84" s="4"/>
      <c r="Q84" s="9"/>
      <c r="R84" s="9"/>
      <c r="S84" s="9"/>
      <c r="T84" s="9"/>
      <c r="U84" s="9"/>
      <c r="V84" s="9"/>
      <c r="W84" s="9"/>
      <c r="X84" s="9"/>
      <c r="Y84" s="35" t="s">
        <v>120</v>
      </c>
      <c r="Z84" s="34">
        <f>Z9+Z14+Z17+Z28+Z39+Z47</f>
        <v>2681.9364914107236</v>
      </c>
      <c r="AA84" s="9"/>
      <c r="AB84" s="9"/>
      <c r="AC84" s="9"/>
      <c r="AD84" s="9"/>
      <c r="AE84" s="9"/>
      <c r="AF84" s="18"/>
    </row>
    <row r="85" spans="2:36" x14ac:dyDescent="0.25">
      <c r="B85" s="4"/>
      <c r="E85" s="3"/>
      <c r="F85" s="3"/>
      <c r="G85" s="3"/>
      <c r="H85" s="3"/>
      <c r="I85" s="19"/>
      <c r="L85" s="4"/>
      <c r="M85" s="4"/>
      <c r="N85" s="4"/>
      <c r="O85" s="20"/>
      <c r="Q85" s="20"/>
      <c r="R85" s="20"/>
      <c r="S85" s="20"/>
      <c r="T85" s="20"/>
      <c r="U85" s="20"/>
      <c r="V85" s="20"/>
      <c r="W85" s="20"/>
      <c r="X85" s="20"/>
      <c r="Y85" s="34" t="s">
        <v>121</v>
      </c>
      <c r="Z85" s="34">
        <v>4920</v>
      </c>
      <c r="AA85" s="9"/>
      <c r="AB85" s="9"/>
      <c r="AC85" s="9"/>
      <c r="AD85" s="9"/>
      <c r="AE85" s="9"/>
      <c r="AF85" s="18"/>
    </row>
    <row r="86" spans="2:36" x14ac:dyDescent="0.25">
      <c r="B86" s="4"/>
      <c r="E86" s="3"/>
      <c r="F86" s="3"/>
      <c r="G86" s="3"/>
      <c r="H86" s="3"/>
      <c r="L86" s="4"/>
      <c r="M86" s="4"/>
      <c r="N86" s="4"/>
      <c r="O86" s="20"/>
      <c r="Q86" s="20"/>
      <c r="R86" s="20"/>
      <c r="S86" s="20"/>
      <c r="T86" s="20"/>
      <c r="U86" s="20"/>
      <c r="V86" s="20"/>
      <c r="W86" s="20"/>
      <c r="X86" s="20"/>
      <c r="Y86" s="34" t="s">
        <v>46</v>
      </c>
      <c r="Z86" s="34">
        <f>Z85/2</f>
        <v>2460</v>
      </c>
      <c r="AA86" s="9"/>
      <c r="AB86" s="9"/>
      <c r="AC86" s="9"/>
      <c r="AD86" s="9"/>
      <c r="AE86" s="9"/>
      <c r="AF86" s="18"/>
    </row>
    <row r="87" spans="2:36" x14ac:dyDescent="0.25">
      <c r="B87" s="4"/>
      <c r="E87" s="3"/>
      <c r="F87" s="3"/>
      <c r="G87" s="3"/>
      <c r="H87" s="3"/>
      <c r="L87" s="4"/>
      <c r="M87" s="4"/>
      <c r="N87" s="4"/>
      <c r="O87" s="4"/>
      <c r="Q87" s="9"/>
      <c r="R87" s="9"/>
      <c r="S87" s="9"/>
      <c r="T87" s="9"/>
      <c r="U87" s="9"/>
      <c r="V87" s="9"/>
      <c r="W87" s="9"/>
      <c r="X87" s="9"/>
      <c r="Y87" s="1"/>
      <c r="Z87" s="1"/>
      <c r="AA87" s="9"/>
      <c r="AB87" s="9"/>
      <c r="AC87" s="9"/>
      <c r="AD87" s="9"/>
      <c r="AE87" s="9"/>
      <c r="AF87" s="18"/>
    </row>
    <row r="88" spans="2:36" x14ac:dyDescent="0.25">
      <c r="F88" s="1"/>
      <c r="G88" s="1"/>
      <c r="H88" s="1"/>
      <c r="J88" s="1" t="s">
        <v>32</v>
      </c>
      <c r="Q88" s="9"/>
      <c r="R88" s="4"/>
      <c r="S88" s="9"/>
      <c r="T88" s="5"/>
      <c r="U88" s="9"/>
      <c r="V88" s="4"/>
      <c r="W88" s="4"/>
      <c r="X88" s="9"/>
      <c r="Y88" s="9"/>
      <c r="Z88" s="9"/>
      <c r="AA88" s="9"/>
      <c r="AB88" s="9"/>
      <c r="AC88" s="9"/>
      <c r="AD88" s="9"/>
      <c r="AE88" s="9"/>
    </row>
    <row r="89" spans="2:36" x14ac:dyDescent="0.25">
      <c r="R89" s="4"/>
      <c r="S89" s="17"/>
      <c r="T89" s="17"/>
      <c r="U89" s="9"/>
      <c r="V89" s="4"/>
      <c r="W89" s="4"/>
      <c r="X89" s="9"/>
      <c r="Y89" s="39" t="s">
        <v>220</v>
      </c>
      <c r="Z89" s="9">
        <f>Z85</f>
        <v>4920</v>
      </c>
      <c r="AA89" s="9"/>
      <c r="AB89" s="9"/>
      <c r="AC89" s="9"/>
      <c r="AD89" s="9"/>
      <c r="AE89" s="9"/>
    </row>
    <row r="90" spans="2:36" x14ac:dyDescent="0.25">
      <c r="Q90" s="9"/>
      <c r="R90" s="4"/>
      <c r="S90" s="16"/>
      <c r="T90" s="16"/>
      <c r="U90" s="9"/>
      <c r="V90" s="4"/>
      <c r="W90" s="4"/>
      <c r="X90" s="9"/>
      <c r="Y90" s="39" t="s">
        <v>221</v>
      </c>
      <c r="Z90" s="9">
        <f>Z89*1.18</f>
        <v>5805.5999999999995</v>
      </c>
      <c r="AA90" s="9"/>
      <c r="AB90" s="9"/>
      <c r="AC90" s="9"/>
      <c r="AD90" s="9"/>
      <c r="AE90" s="9"/>
    </row>
    <row r="91" spans="2:36" x14ac:dyDescent="0.25">
      <c r="R91" s="4"/>
      <c r="S91" s="16"/>
      <c r="T91" s="16"/>
      <c r="Y91" s="39" t="s">
        <v>222</v>
      </c>
      <c r="Z91" s="9">
        <f>Z89*1.3</f>
        <v>6396</v>
      </c>
      <c r="AA91" s="9"/>
      <c r="AB91" s="9"/>
      <c r="AC91" s="9"/>
      <c r="AD91" s="9"/>
      <c r="AE91" s="9"/>
    </row>
    <row r="92" spans="2:36" x14ac:dyDescent="0.25">
      <c r="T92" s="5"/>
      <c r="Y92" s="39" t="s">
        <v>223</v>
      </c>
      <c r="Z92" s="9">
        <f>Z89*0.85</f>
        <v>4182</v>
      </c>
      <c r="AA92" s="9"/>
      <c r="AB92" s="9"/>
      <c r="AC92" s="9"/>
      <c r="AD92" s="9"/>
      <c r="AE92" s="9"/>
    </row>
    <row r="93" spans="2:36" x14ac:dyDescent="0.25">
      <c r="T93" s="5"/>
      <c r="Y93" s="9"/>
      <c r="Z93" s="9"/>
      <c r="AA93" s="9"/>
      <c r="AB93" s="9"/>
      <c r="AC93" s="9"/>
      <c r="AD93" s="9"/>
      <c r="AE93" s="9"/>
    </row>
    <row r="94" spans="2:36" x14ac:dyDescent="0.25">
      <c r="T94" s="5"/>
      <c r="Y94" s="9"/>
      <c r="Z94" s="9"/>
      <c r="AA94" s="9"/>
      <c r="AB94" s="9"/>
      <c r="AC94" s="9"/>
      <c r="AD94" s="9"/>
      <c r="AE94" s="9"/>
    </row>
    <row r="95" spans="2:36" x14ac:dyDescent="0.25">
      <c r="T95" s="5"/>
      <c r="Y95" s="9"/>
      <c r="Z95" s="9"/>
      <c r="AA95" s="9"/>
      <c r="AB95" s="9"/>
      <c r="AC95" s="9"/>
      <c r="AD95" s="9"/>
      <c r="AE95" s="9"/>
    </row>
    <row r="96" spans="2:36"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row>
    <row r="101" spans="20:31" x14ac:dyDescent="0.25">
      <c r="T101" s="5"/>
    </row>
    <row r="102" spans="20:31" x14ac:dyDescent="0.25">
      <c r="T102" s="5"/>
    </row>
    <row r="103" spans="20:31" x14ac:dyDescent="0.25">
      <c r="T103" s="5"/>
    </row>
    <row r="104" spans="20:31" x14ac:dyDescent="0.25">
      <c r="T104" s="5"/>
    </row>
  </sheetData>
  <autoFilter ref="B6:AE81" xr:uid="{65FA6D9B-E0AF-46CD-BA0D-86BB75FE6AB0}"/>
  <hyperlinks>
    <hyperlink ref="P12" r:id="rId1" xr:uid="{61AFDCB4-8D67-44E0-86AC-31E46D71E5A7}"/>
    <hyperlink ref="P14" r:id="rId2" xr:uid="{9EE8F484-87EA-45C5-9641-393E4C16929C}"/>
    <hyperlink ref="P21" r:id="rId3" xr:uid="{C4EF1868-50E8-46F8-8CFF-4CCC92F96CC0}"/>
    <hyperlink ref="P23" r:id="rId4" xr:uid="{AE12807B-017D-477F-A372-5AB642CE8F91}"/>
    <hyperlink ref="P26" r:id="rId5" xr:uid="{C11F143D-1E9D-4C2C-A738-2D1CA54DEB55}"/>
    <hyperlink ref="P31" r:id="rId6" xr:uid="{BCD6AAA4-1A55-404B-BF29-DE8826ABD196}"/>
    <hyperlink ref="P44" r:id="rId7" xr:uid="{F2E9C959-DA11-4380-A1FD-BDEFF1DA0CB0}"/>
    <hyperlink ref="P42" r:id="rId8" xr:uid="{6A2A80B7-B815-4328-8DCF-87C835EE3686}"/>
    <hyperlink ref="P64" r:id="rId9" xr:uid="{A299AFB3-EA94-4672-ACC9-4F96241F6433}"/>
    <hyperlink ref="P62" r:id="rId10" xr:uid="{3CE81E54-AD03-4EC9-94AC-9279BAFF8A53}"/>
    <hyperlink ref="P33" r:id="rId11" xr:uid="{4AE7F7DB-4DBA-4266-BFA1-25176E24A3CB}"/>
    <hyperlink ref="P19" r:id="rId12" xr:uid="{D2308159-5D08-43ED-BD85-545D3FB2A569}"/>
  </hyperlinks>
  <pageMargins left="0.7" right="0.7" top="0.75" bottom="0.75" header="0.3" footer="0.3"/>
  <pageSetup paperSize="9" orientation="portrait" r:id="rId1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5B06-73A4-4E1C-8B0F-403F09412D36}">
  <sheetPr>
    <tabColor rgb="FFFFFF00"/>
  </sheetPr>
  <dimension ref="B1:AK90"/>
  <sheetViews>
    <sheetView topLeftCell="A12" zoomScale="80" zoomScaleNormal="80" workbookViewId="0">
      <selection activeCell="J15" sqref="J1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56</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24"/>
      <c r="H7" s="24"/>
      <c r="J7" s="1" t="s">
        <v>69</v>
      </c>
      <c r="K7" s="4"/>
      <c r="L7" s="4"/>
      <c r="M7" s="4"/>
      <c r="N7" s="4"/>
      <c r="O7" s="4"/>
      <c r="P7" s="27"/>
      <c r="Q7" s="25">
        <v>0</v>
      </c>
      <c r="R7" s="25">
        <v>0</v>
      </c>
      <c r="S7" s="12">
        <f t="shared" ref="S7:S65" si="0">+Q7*R7</f>
        <v>0</v>
      </c>
      <c r="T7" s="5">
        <v>0</v>
      </c>
      <c r="U7" s="12">
        <f t="shared" ref="U7:U65" si="1">S7*(1-T7)</f>
        <v>0</v>
      </c>
      <c r="V7" s="25" t="s">
        <v>10</v>
      </c>
      <c r="W7" s="11">
        <f>IFERROR(VLOOKUP(V7,[1]Curr!$B$2:$C$13,2,FALSE),0)</f>
        <v>11.3</v>
      </c>
      <c r="X7" s="12">
        <f t="shared" ref="X7:X65" si="2">U7*W7</f>
        <v>0</v>
      </c>
      <c r="Y7" s="26">
        <f t="shared" ref="Y7:Y10" si="3">Q7</f>
        <v>0</v>
      </c>
      <c r="Z7" s="12">
        <f t="shared" ref="Z7:Z65" si="4">+Y7*R7</f>
        <v>0</v>
      </c>
      <c r="AA7" s="4" t="s">
        <v>10</v>
      </c>
      <c r="AB7" s="11">
        <f>IFERROR(VLOOKUP(AA7,Curr!$B$2:$C$13,2,FALSE),0)</f>
        <v>11.3</v>
      </c>
      <c r="AC7" s="12">
        <f t="shared" ref="AC7:AC65" si="5">+Y7*AB7*R7</f>
        <v>0</v>
      </c>
      <c r="AD7" s="12">
        <f t="shared" ref="AD7:AD65" si="6">+AC7-X7</f>
        <v>0</v>
      </c>
      <c r="AE7" s="13">
        <f t="shared" ref="AE7:AE65" si="7">IFERROR(AD7/AC7,0)</f>
        <v>0</v>
      </c>
    </row>
    <row r="8" spans="2:36" x14ac:dyDescent="0.25">
      <c r="B8" s="4"/>
      <c r="C8" s="1" t="s">
        <v>64</v>
      </c>
      <c r="D8" s="1" t="s">
        <v>66</v>
      </c>
      <c r="E8" s="3"/>
      <c r="F8" s="3"/>
      <c r="G8" s="24"/>
      <c r="H8" s="24"/>
      <c r="J8" s="1" t="s">
        <v>70</v>
      </c>
      <c r="K8" s="4"/>
      <c r="L8" s="4"/>
      <c r="M8" s="4"/>
      <c r="N8" s="4"/>
      <c r="O8" s="4"/>
      <c r="P8" s="27"/>
      <c r="Q8" s="25">
        <v>0</v>
      </c>
      <c r="R8" s="25">
        <v>0</v>
      </c>
      <c r="S8" s="12">
        <f t="shared" si="0"/>
        <v>0</v>
      </c>
      <c r="T8" s="5">
        <v>0</v>
      </c>
      <c r="U8" s="12">
        <f t="shared" si="1"/>
        <v>0</v>
      </c>
      <c r="V8" s="25" t="s">
        <v>10</v>
      </c>
      <c r="W8" s="11">
        <f>IFERROR(VLOOKUP(V8,[1]Curr!$B$2:$C$13,2,FALSE),0)</f>
        <v>11.3</v>
      </c>
      <c r="X8" s="12">
        <f t="shared" si="2"/>
        <v>0</v>
      </c>
      <c r="Y8" s="26">
        <f>Q8/0.8</f>
        <v>0</v>
      </c>
      <c r="Z8" s="12">
        <f t="shared" si="4"/>
        <v>0</v>
      </c>
      <c r="AA8" s="4" t="s">
        <v>10</v>
      </c>
      <c r="AB8" s="11">
        <f>IFERROR(VLOOKUP(AA8,Curr!$B$2:$C$13,2,FALSE),0)</f>
        <v>11.3</v>
      </c>
      <c r="AC8" s="12">
        <f t="shared" si="5"/>
        <v>0</v>
      </c>
      <c r="AD8" s="12">
        <f t="shared" si="6"/>
        <v>0</v>
      </c>
      <c r="AE8" s="13">
        <f t="shared" si="7"/>
        <v>0</v>
      </c>
    </row>
    <row r="9" spans="2:36" x14ac:dyDescent="0.25">
      <c r="B9" s="4"/>
      <c r="C9" s="1" t="s">
        <v>64</v>
      </c>
      <c r="D9" s="1" t="s">
        <v>67</v>
      </c>
      <c r="E9" s="3"/>
      <c r="F9" s="3"/>
      <c r="G9" s="24"/>
      <c r="H9" s="24"/>
      <c r="J9" s="1" t="s">
        <v>124</v>
      </c>
      <c r="K9" s="4"/>
      <c r="L9" s="4"/>
      <c r="M9" s="4"/>
      <c r="N9" s="4"/>
      <c r="O9" s="4"/>
      <c r="P9" s="33"/>
      <c r="Q9" s="25">
        <v>600</v>
      </c>
      <c r="R9" s="25">
        <v>1</v>
      </c>
      <c r="S9" s="12">
        <f t="shared" si="0"/>
        <v>600</v>
      </c>
      <c r="T9" s="5">
        <v>0</v>
      </c>
      <c r="U9" s="12">
        <f t="shared" si="1"/>
        <v>600</v>
      </c>
      <c r="V9" s="25" t="s">
        <v>10</v>
      </c>
      <c r="W9" s="11">
        <f>IFERROR(VLOOKUP(V9,[1]Curr!$B$2:$C$13,2,FALSE),0)</f>
        <v>11.3</v>
      </c>
      <c r="X9" s="12">
        <f t="shared" si="2"/>
        <v>6780</v>
      </c>
      <c r="Y9" s="26">
        <f>Q9/0.85</f>
        <v>705.88235294117646</v>
      </c>
      <c r="Z9" s="12">
        <f t="shared" si="4"/>
        <v>705.88235294117646</v>
      </c>
      <c r="AA9" s="4" t="s">
        <v>10</v>
      </c>
      <c r="AB9" s="11">
        <f>IFERROR(VLOOKUP(AA9,Curr!$B$2:$C$13,2,FALSE),0)</f>
        <v>11.3</v>
      </c>
      <c r="AC9" s="12">
        <f t="shared" si="5"/>
        <v>7976.4705882352946</v>
      </c>
      <c r="AD9" s="12">
        <f t="shared" si="6"/>
        <v>1196.4705882352946</v>
      </c>
      <c r="AE9" s="13">
        <f t="shared" si="7"/>
        <v>0.15000000000000005</v>
      </c>
    </row>
    <row r="10" spans="2:36" x14ac:dyDescent="0.25">
      <c r="B10" s="4"/>
      <c r="C10" s="1" t="s">
        <v>64</v>
      </c>
      <c r="D10" s="1" t="s">
        <v>68</v>
      </c>
      <c r="E10" s="3"/>
      <c r="F10" s="3"/>
      <c r="G10" s="24"/>
      <c r="H10" s="24"/>
      <c r="J10" s="1" t="s">
        <v>71</v>
      </c>
      <c r="K10" s="4"/>
      <c r="L10" s="4"/>
      <c r="M10" s="4"/>
      <c r="N10" s="4"/>
      <c r="O10" s="4"/>
      <c r="P10" s="27"/>
      <c r="Q10" s="25">
        <v>0</v>
      </c>
      <c r="R10" s="25">
        <v>0</v>
      </c>
      <c r="S10" s="12">
        <f t="shared" si="0"/>
        <v>0</v>
      </c>
      <c r="T10" s="5">
        <v>0</v>
      </c>
      <c r="U10" s="12">
        <f t="shared" si="1"/>
        <v>0</v>
      </c>
      <c r="V10" s="25" t="s">
        <v>10</v>
      </c>
      <c r="W10" s="11">
        <f>IFERROR(VLOOKUP(V10,[1]Curr!$B$2:$C$13,2,FALSE),0)</f>
        <v>11.3</v>
      </c>
      <c r="X10" s="12">
        <f t="shared" si="2"/>
        <v>0</v>
      </c>
      <c r="Y10" s="26">
        <f t="shared" si="3"/>
        <v>0</v>
      </c>
      <c r="Z10" s="12">
        <f t="shared" si="4"/>
        <v>0</v>
      </c>
      <c r="AA10" s="4" t="s">
        <v>10</v>
      </c>
      <c r="AB10" s="11">
        <f>IFERROR(VLOOKUP(AA10,Curr!$B$2:$C$13,2,FALSE),0)</f>
        <v>11.3</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IFERROR(VLOOKUP(V11,[1]Curr!$B$2:$C$13,2,FALSE),0)</f>
        <v>11.3</v>
      </c>
      <c r="X11" s="12">
        <f t="shared" si="2"/>
        <v>0</v>
      </c>
      <c r="Y11" s="26">
        <f t="shared" ref="Y11:Y65" si="8">Q11</f>
        <v>0</v>
      </c>
      <c r="Z11" s="12">
        <f t="shared" si="4"/>
        <v>0</v>
      </c>
      <c r="AA11" s="4" t="s">
        <v>10</v>
      </c>
      <c r="AB11" s="11">
        <f>IFERROR(VLOOKUP(AA11,Curr!$B$2:$C$13,2,FALSE),0)</f>
        <v>11.3</v>
      </c>
      <c r="AC11" s="12">
        <f t="shared" si="5"/>
        <v>0</v>
      </c>
      <c r="AD11" s="12">
        <f t="shared" si="6"/>
        <v>0</v>
      </c>
      <c r="AE11" s="13">
        <f t="shared" si="7"/>
        <v>0</v>
      </c>
    </row>
    <row r="12" spans="2:36" x14ac:dyDescent="0.25">
      <c r="B12" s="4"/>
      <c r="C12" s="1" t="s">
        <v>76</v>
      </c>
      <c r="D12" s="1" t="s">
        <v>75</v>
      </c>
      <c r="E12" s="3"/>
      <c r="F12" s="3"/>
      <c r="G12" s="24"/>
      <c r="H12" s="24"/>
      <c r="J12" s="1" t="s">
        <v>101</v>
      </c>
      <c r="K12" s="4"/>
      <c r="L12" s="4"/>
      <c r="M12" s="4"/>
      <c r="N12" s="4"/>
      <c r="O12" s="4" t="s">
        <v>42</v>
      </c>
      <c r="P12" s="33" t="s">
        <v>102</v>
      </c>
      <c r="Q12" s="25">
        <v>188</v>
      </c>
      <c r="R12" s="25">
        <v>2</v>
      </c>
      <c r="S12" s="12">
        <f t="shared" si="0"/>
        <v>376</v>
      </c>
      <c r="T12" s="5">
        <v>0.2</v>
      </c>
      <c r="U12" s="12">
        <f t="shared" si="1"/>
        <v>300.8</v>
      </c>
      <c r="V12" s="25" t="s">
        <v>10</v>
      </c>
      <c r="W12" s="11">
        <v>11.3</v>
      </c>
      <c r="X12" s="12">
        <f t="shared" si="2"/>
        <v>3399.0400000000004</v>
      </c>
      <c r="Y12" s="26">
        <v>188</v>
      </c>
      <c r="Z12" s="12">
        <f t="shared" si="4"/>
        <v>376</v>
      </c>
      <c r="AA12" s="4" t="s">
        <v>10</v>
      </c>
      <c r="AB12" s="11">
        <f>IFERROR(VLOOKUP(AA12,Curr!$B$2:$C$13,2,FALSE),0)</f>
        <v>11.3</v>
      </c>
      <c r="AC12" s="12">
        <f t="shared" si="5"/>
        <v>4248.8</v>
      </c>
      <c r="AD12" s="12">
        <f t="shared" si="6"/>
        <v>849.75999999999976</v>
      </c>
      <c r="AE12" s="13">
        <f t="shared" si="7"/>
        <v>0.19999999999999993</v>
      </c>
    </row>
    <row r="13" spans="2:36" x14ac:dyDescent="0.25">
      <c r="B13" s="4"/>
      <c r="C13" s="1" t="s">
        <v>76</v>
      </c>
      <c r="D13" s="1" t="s">
        <v>68</v>
      </c>
      <c r="E13" s="3"/>
      <c r="F13" s="3"/>
      <c r="G13" s="24"/>
      <c r="H13" s="24"/>
      <c r="J13" s="1" t="s">
        <v>71</v>
      </c>
      <c r="K13" s="4"/>
      <c r="L13" s="4"/>
      <c r="M13" s="4"/>
      <c r="N13" s="4"/>
      <c r="O13" s="4"/>
      <c r="P13" s="27"/>
      <c r="Q13" s="25">
        <v>0</v>
      </c>
      <c r="R13" s="25">
        <v>0</v>
      </c>
      <c r="S13" s="12">
        <f t="shared" si="0"/>
        <v>0</v>
      </c>
      <c r="T13" s="5">
        <v>0</v>
      </c>
      <c r="U13" s="12">
        <f t="shared" si="1"/>
        <v>0</v>
      </c>
      <c r="V13" s="25" t="s">
        <v>10</v>
      </c>
      <c r="W13" s="11">
        <f>IFERROR(VLOOKUP(V13,[1]Curr!$B$2:$C$13,2,FALSE),0)</f>
        <v>11.3</v>
      </c>
      <c r="X13" s="12">
        <f t="shared" si="2"/>
        <v>0</v>
      </c>
      <c r="Y13" s="26">
        <f t="shared" ref="Y13:Y14" si="9">Q13</f>
        <v>0</v>
      </c>
      <c r="Z13" s="12">
        <f t="shared" si="4"/>
        <v>0</v>
      </c>
      <c r="AA13" s="4" t="s">
        <v>10</v>
      </c>
      <c r="AB13" s="11">
        <f>IFERROR(VLOOKUP(AA13,Curr!$B$2:$C$13,2,FALSE),0)</f>
        <v>11.3</v>
      </c>
      <c r="AC13" s="12">
        <f t="shared" si="5"/>
        <v>0</v>
      </c>
      <c r="AD13" s="12">
        <f t="shared" si="6"/>
        <v>0</v>
      </c>
      <c r="AE13" s="13">
        <f t="shared" si="7"/>
        <v>0</v>
      </c>
    </row>
    <row r="14" spans="2:36" x14ac:dyDescent="0.25">
      <c r="B14" s="4"/>
      <c r="C14" s="1" t="s">
        <v>76</v>
      </c>
      <c r="D14" s="1" t="s">
        <v>75</v>
      </c>
      <c r="E14" s="3"/>
      <c r="F14" s="3"/>
      <c r="G14" s="24"/>
      <c r="H14" s="24"/>
      <c r="J14" s="1" t="s">
        <v>218</v>
      </c>
      <c r="K14" s="4"/>
      <c r="L14" s="4"/>
      <c r="M14" s="4"/>
      <c r="N14" s="4"/>
      <c r="O14" s="4" t="s">
        <v>42</v>
      </c>
      <c r="P14" s="33" t="s">
        <v>219</v>
      </c>
      <c r="Q14" s="25">
        <v>109</v>
      </c>
      <c r="R14" s="25">
        <v>2</v>
      </c>
      <c r="S14" s="12">
        <f t="shared" si="0"/>
        <v>218</v>
      </c>
      <c r="T14" s="5">
        <v>0.2</v>
      </c>
      <c r="U14" s="12">
        <f t="shared" si="1"/>
        <v>174.4</v>
      </c>
      <c r="V14" s="25" t="s">
        <v>10</v>
      </c>
      <c r="W14" s="11">
        <f>IFERROR(VLOOKUP(V14,[1]Curr!$B$2:$C$13,2,FALSE),0)</f>
        <v>11.3</v>
      </c>
      <c r="X14" s="12">
        <f t="shared" si="2"/>
        <v>1970.7200000000003</v>
      </c>
      <c r="Y14" s="26">
        <f t="shared" si="9"/>
        <v>109</v>
      </c>
      <c r="Z14" s="12">
        <f t="shared" si="4"/>
        <v>218</v>
      </c>
      <c r="AA14" s="4" t="s">
        <v>10</v>
      </c>
      <c r="AB14" s="11">
        <f>IFERROR(VLOOKUP(AA14,Curr!$B$2:$C$13,2,FALSE),0)</f>
        <v>11.3</v>
      </c>
      <c r="AC14" s="12">
        <f t="shared" si="5"/>
        <v>2463.4</v>
      </c>
      <c r="AD14" s="12">
        <f t="shared" si="6"/>
        <v>492.67999999999984</v>
      </c>
      <c r="AE14" s="13">
        <f t="shared" si="7"/>
        <v>0.19999999999999993</v>
      </c>
    </row>
    <row r="15" spans="2:36" x14ac:dyDescent="0.25">
      <c r="B15" s="4"/>
      <c r="E15" s="3"/>
      <c r="F15" s="3"/>
      <c r="G15" s="24"/>
      <c r="H15" s="24"/>
      <c r="K15" s="4"/>
      <c r="L15" s="4"/>
      <c r="M15" s="4"/>
      <c r="N15" s="4"/>
      <c r="O15" s="4"/>
      <c r="P15" s="27"/>
      <c r="Q15" s="25"/>
      <c r="R15" s="25"/>
      <c r="S15" s="12">
        <f t="shared" si="0"/>
        <v>0</v>
      </c>
      <c r="T15" s="5">
        <v>0</v>
      </c>
      <c r="U15" s="12">
        <f t="shared" si="1"/>
        <v>0</v>
      </c>
      <c r="V15" s="25" t="s">
        <v>10</v>
      </c>
      <c r="W15" s="11">
        <f>IFERROR(VLOOKUP(V15,[1]Curr!$B$2:$C$13,2,FALSE),0)</f>
        <v>11.3</v>
      </c>
      <c r="X15" s="12">
        <f t="shared" si="2"/>
        <v>0</v>
      </c>
      <c r="Y15" s="26">
        <f t="shared" si="8"/>
        <v>0</v>
      </c>
      <c r="Z15" s="12">
        <f t="shared" si="4"/>
        <v>0</v>
      </c>
      <c r="AA15" s="4" t="s">
        <v>10</v>
      </c>
      <c r="AB15" s="11">
        <f>IFERROR(VLOOKUP(AA15,Curr!$B$2:$C$13,2,FALSE),0)</f>
        <v>11.3</v>
      </c>
      <c r="AC15" s="12">
        <f t="shared" si="5"/>
        <v>0</v>
      </c>
      <c r="AD15" s="12">
        <f t="shared" si="6"/>
        <v>0</v>
      </c>
      <c r="AE15" s="13">
        <f t="shared" si="7"/>
        <v>0</v>
      </c>
    </row>
    <row r="16" spans="2:36" x14ac:dyDescent="0.25">
      <c r="B16" s="4"/>
      <c r="C16" s="1" t="s">
        <v>77</v>
      </c>
      <c r="D16" s="1" t="s">
        <v>66</v>
      </c>
      <c r="E16" s="3"/>
      <c r="F16" s="3"/>
      <c r="G16" s="24"/>
      <c r="H16" s="24"/>
      <c r="J16" s="1" t="s">
        <v>107</v>
      </c>
      <c r="K16" s="4"/>
      <c r="L16" s="4"/>
      <c r="M16" s="4"/>
      <c r="N16" s="4"/>
      <c r="O16" s="4"/>
      <c r="P16" s="27"/>
      <c r="Q16" s="25">
        <v>0</v>
      </c>
      <c r="R16" s="25">
        <v>0</v>
      </c>
      <c r="S16" s="12">
        <f t="shared" si="0"/>
        <v>0</v>
      </c>
      <c r="T16" s="5">
        <v>0</v>
      </c>
      <c r="U16" s="12">
        <f t="shared" si="1"/>
        <v>0</v>
      </c>
      <c r="V16" s="25" t="s">
        <v>10</v>
      </c>
      <c r="W16" s="11">
        <f>IFERROR(VLOOKUP(V16,[1]Curr!$B$2:$C$13,2,FALSE),0)</f>
        <v>11.3</v>
      </c>
      <c r="X16" s="12">
        <f t="shared" si="2"/>
        <v>0</v>
      </c>
      <c r="Y16" s="26">
        <f t="shared" si="8"/>
        <v>0</v>
      </c>
      <c r="Z16" s="12">
        <f t="shared" si="4"/>
        <v>0</v>
      </c>
      <c r="AA16" s="4" t="s">
        <v>10</v>
      </c>
      <c r="AB16" s="11">
        <f>IFERROR(VLOOKUP(AA16,Curr!$B$2:$C$13,2,FALSE),0)</f>
        <v>11.3</v>
      </c>
      <c r="AC16" s="12">
        <f t="shared" si="5"/>
        <v>0</v>
      </c>
      <c r="AD16" s="12">
        <f t="shared" si="6"/>
        <v>0</v>
      </c>
      <c r="AE16" s="13">
        <f t="shared" si="7"/>
        <v>0</v>
      </c>
    </row>
    <row r="17" spans="2:31" x14ac:dyDescent="0.25">
      <c r="B17" s="4"/>
      <c r="C17" s="1" t="s">
        <v>77</v>
      </c>
      <c r="D17" s="1" t="s">
        <v>75</v>
      </c>
      <c r="E17" s="3"/>
      <c r="F17" s="3"/>
      <c r="G17" s="24"/>
      <c r="H17" s="24"/>
      <c r="J17" s="1" t="s">
        <v>79</v>
      </c>
      <c r="K17" s="4"/>
      <c r="L17" s="4"/>
      <c r="M17" s="4"/>
      <c r="N17" s="4"/>
      <c r="O17" s="4" t="s">
        <v>42</v>
      </c>
      <c r="P17" s="33" t="s">
        <v>80</v>
      </c>
      <c r="Q17" s="25">
        <v>1830</v>
      </c>
      <c r="R17" s="25">
        <v>2</v>
      </c>
      <c r="S17" s="12">
        <f t="shared" si="0"/>
        <v>3660</v>
      </c>
      <c r="T17" s="5">
        <v>0.2</v>
      </c>
      <c r="U17" s="12">
        <f t="shared" si="1"/>
        <v>2928</v>
      </c>
      <c r="V17" s="25" t="s">
        <v>8</v>
      </c>
      <c r="W17" s="11">
        <f>IFERROR(VLOOKUP(V17,[1]Curr!$B$2:$C$13,2,FALSE),0)</f>
        <v>1</v>
      </c>
      <c r="X17" s="12">
        <f t="shared" si="2"/>
        <v>2928</v>
      </c>
      <c r="Y17" s="26">
        <f>Q17/11.3/0.9</f>
        <v>179.9410029498525</v>
      </c>
      <c r="Z17" s="12">
        <f t="shared" si="4"/>
        <v>359.88200589970501</v>
      </c>
      <c r="AA17" s="4" t="s">
        <v>10</v>
      </c>
      <c r="AB17" s="11">
        <f>IFERROR(VLOOKUP(AA17,Curr!$B$2:$C$13,2,FALSE),0)</f>
        <v>11.3</v>
      </c>
      <c r="AC17" s="12">
        <f t="shared" si="5"/>
        <v>4066.666666666667</v>
      </c>
      <c r="AD17" s="12">
        <f t="shared" si="6"/>
        <v>1138.666666666667</v>
      </c>
      <c r="AE17" s="13">
        <f t="shared" si="7"/>
        <v>0.28000000000000003</v>
      </c>
    </row>
    <row r="18" spans="2:31" x14ac:dyDescent="0.25">
      <c r="B18" s="4"/>
      <c r="C18" s="1" t="s">
        <v>77</v>
      </c>
      <c r="D18" s="1" t="s">
        <v>66</v>
      </c>
      <c r="E18" s="3"/>
      <c r="F18" s="3"/>
      <c r="G18" s="24"/>
      <c r="H18" s="24"/>
      <c r="J18" s="1" t="s">
        <v>106</v>
      </c>
      <c r="K18" s="4"/>
      <c r="L18" s="4"/>
      <c r="M18" s="4"/>
      <c r="N18" s="4"/>
      <c r="O18" s="4"/>
      <c r="P18" s="33"/>
      <c r="Q18" s="25">
        <v>0</v>
      </c>
      <c r="R18" s="25">
        <v>0</v>
      </c>
      <c r="S18" s="12">
        <f t="shared" si="0"/>
        <v>0</v>
      </c>
      <c r="T18" s="5">
        <v>0</v>
      </c>
      <c r="U18" s="12">
        <f t="shared" si="1"/>
        <v>0</v>
      </c>
      <c r="V18" s="25" t="s">
        <v>10</v>
      </c>
      <c r="W18" s="11">
        <f>IFERROR(VLOOKUP(V18,[1]Curr!$B$2:$C$13,2,FALSE),0)</f>
        <v>11.3</v>
      </c>
      <c r="X18" s="12">
        <f t="shared" si="2"/>
        <v>0</v>
      </c>
      <c r="Y18" s="26">
        <f t="shared" ref="Y18:Y20" si="10">Q18</f>
        <v>0</v>
      </c>
      <c r="Z18" s="12">
        <f t="shared" si="4"/>
        <v>0</v>
      </c>
      <c r="AA18" s="4" t="s">
        <v>10</v>
      </c>
      <c r="AB18" s="11">
        <f>IFERROR(VLOOKUP(AA18,Curr!$B$2:$C$13,2,FALSE),0)</f>
        <v>11.3</v>
      </c>
      <c r="AC18" s="12">
        <f t="shared" si="5"/>
        <v>0</v>
      </c>
      <c r="AD18" s="12">
        <f t="shared" si="6"/>
        <v>0</v>
      </c>
      <c r="AE18" s="13">
        <f t="shared" si="7"/>
        <v>0</v>
      </c>
    </row>
    <row r="19" spans="2:31" x14ac:dyDescent="0.25">
      <c r="B19" s="4"/>
      <c r="C19" s="1" t="s">
        <v>77</v>
      </c>
      <c r="D19" s="1" t="s">
        <v>67</v>
      </c>
      <c r="E19" s="3"/>
      <c r="F19" s="3"/>
      <c r="G19" s="24"/>
      <c r="H19" s="24"/>
      <c r="J19" s="1" t="s">
        <v>109</v>
      </c>
      <c r="K19" s="4"/>
      <c r="L19" s="4"/>
      <c r="M19" s="4"/>
      <c r="N19" s="4"/>
      <c r="O19" s="4"/>
      <c r="P19" s="33"/>
      <c r="Q19" s="25">
        <v>500</v>
      </c>
      <c r="R19" s="25">
        <v>1</v>
      </c>
      <c r="S19" s="12">
        <f t="shared" si="0"/>
        <v>500</v>
      </c>
      <c r="T19" s="5">
        <v>0</v>
      </c>
      <c r="U19" s="12">
        <f t="shared" si="1"/>
        <v>500</v>
      </c>
      <c r="V19" s="25" t="s">
        <v>10</v>
      </c>
      <c r="W19" s="11">
        <f>IFERROR(VLOOKUP(V19,[1]Curr!$B$2:$C$13,2,FALSE),0)</f>
        <v>11.3</v>
      </c>
      <c r="X19" s="12">
        <f t="shared" si="2"/>
        <v>5650</v>
      </c>
      <c r="Y19" s="26">
        <f>Q19/0.85</f>
        <v>588.23529411764707</v>
      </c>
      <c r="Z19" s="12">
        <f t="shared" si="4"/>
        <v>588.23529411764707</v>
      </c>
      <c r="AA19" s="4" t="s">
        <v>10</v>
      </c>
      <c r="AB19" s="11">
        <f>IFERROR(VLOOKUP(AA19,Curr!$B$2:$C$13,2,FALSE),0)</f>
        <v>11.3</v>
      </c>
      <c r="AC19" s="12">
        <f t="shared" si="5"/>
        <v>6647.0588235294126</v>
      </c>
      <c r="AD19" s="12">
        <f t="shared" si="6"/>
        <v>997.05882352941262</v>
      </c>
      <c r="AE19" s="13">
        <f t="shared" si="7"/>
        <v>0.15000000000000011</v>
      </c>
    </row>
    <row r="20" spans="2:31" x14ac:dyDescent="0.25">
      <c r="B20" s="4"/>
      <c r="C20" s="1" t="s">
        <v>77</v>
      </c>
      <c r="D20" s="1" t="s">
        <v>68</v>
      </c>
      <c r="E20" s="3"/>
      <c r="F20" s="3"/>
      <c r="G20" s="24"/>
      <c r="H20" s="24"/>
      <c r="J20" s="1" t="s">
        <v>81</v>
      </c>
      <c r="K20" s="4"/>
      <c r="L20" s="4"/>
      <c r="M20" s="4"/>
      <c r="N20" s="4"/>
      <c r="O20" s="4"/>
      <c r="P20" s="27"/>
      <c r="Q20" s="25">
        <v>0</v>
      </c>
      <c r="R20" s="25">
        <v>0</v>
      </c>
      <c r="S20" s="12">
        <f t="shared" si="0"/>
        <v>0</v>
      </c>
      <c r="T20" s="5">
        <v>0</v>
      </c>
      <c r="U20" s="12">
        <f t="shared" si="1"/>
        <v>0</v>
      </c>
      <c r="V20" s="25" t="s">
        <v>10</v>
      </c>
      <c r="W20" s="11">
        <f>IFERROR(VLOOKUP(V20,[1]Curr!$B$2:$C$13,2,FALSE),0)</f>
        <v>11.3</v>
      </c>
      <c r="X20" s="12">
        <f t="shared" si="2"/>
        <v>0</v>
      </c>
      <c r="Y20" s="26">
        <f t="shared" si="10"/>
        <v>0</v>
      </c>
      <c r="Z20" s="12">
        <f t="shared" si="4"/>
        <v>0</v>
      </c>
      <c r="AA20" s="4" t="s">
        <v>10</v>
      </c>
      <c r="AB20" s="11">
        <f>IFERROR(VLOOKUP(AA20,Curr!$B$2:$C$13,2,FALSE),0)</f>
        <v>11.3</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IFERROR(VLOOKUP(V21,[1]Curr!$B$2:$C$13,2,FALSE),0)</f>
        <v>11.3</v>
      </c>
      <c r="X21" s="12">
        <f t="shared" si="2"/>
        <v>0</v>
      </c>
      <c r="Y21" s="26">
        <f t="shared" si="8"/>
        <v>0</v>
      </c>
      <c r="Z21" s="12">
        <f t="shared" si="4"/>
        <v>0</v>
      </c>
      <c r="AA21" s="4" t="s">
        <v>10</v>
      </c>
      <c r="AB21" s="11">
        <f>IFERROR(VLOOKUP(AA21,Curr!$B$2:$C$13,2,FALSE),0)</f>
        <v>11.3</v>
      </c>
      <c r="AC21" s="12">
        <f t="shared" si="5"/>
        <v>0</v>
      </c>
      <c r="AD21" s="12">
        <f t="shared" si="6"/>
        <v>0</v>
      </c>
      <c r="AE21" s="13">
        <f t="shared" si="7"/>
        <v>0</v>
      </c>
    </row>
    <row r="22" spans="2:31" x14ac:dyDescent="0.25">
      <c r="B22" s="4"/>
      <c r="C22" s="1" t="s">
        <v>78</v>
      </c>
      <c r="D22" s="1" t="s">
        <v>75</v>
      </c>
      <c r="E22" s="3"/>
      <c r="F22" s="3"/>
      <c r="G22" s="24"/>
      <c r="H22" s="24"/>
      <c r="J22" s="1" t="s">
        <v>88</v>
      </c>
      <c r="K22" s="4"/>
      <c r="L22" s="4"/>
      <c r="M22" s="4"/>
      <c r="N22" s="4"/>
      <c r="O22" s="4" t="s">
        <v>42</v>
      </c>
      <c r="P22" s="33" t="s">
        <v>89</v>
      </c>
      <c r="Q22" s="25">
        <v>1695</v>
      </c>
      <c r="R22" s="25">
        <v>2</v>
      </c>
      <c r="S22" s="12">
        <f t="shared" si="0"/>
        <v>3390</v>
      </c>
      <c r="T22" s="5">
        <v>0.2</v>
      </c>
      <c r="U22" s="12">
        <f t="shared" si="1"/>
        <v>2712</v>
      </c>
      <c r="V22" s="25" t="s">
        <v>8</v>
      </c>
      <c r="W22" s="11">
        <f>IFERROR(VLOOKUP(V22,[1]Curr!$B$2:$C$13,2,FALSE),0)</f>
        <v>1</v>
      </c>
      <c r="X22" s="12">
        <f t="shared" si="2"/>
        <v>2712</v>
      </c>
      <c r="Y22" s="26">
        <f>Q22/11.3</f>
        <v>150</v>
      </c>
      <c r="Z22" s="12">
        <f t="shared" si="4"/>
        <v>300</v>
      </c>
      <c r="AA22" s="4" t="s">
        <v>10</v>
      </c>
      <c r="AB22" s="11">
        <f>IFERROR(VLOOKUP(AA22,Curr!$B$2:$C$13,2,FALSE),0)</f>
        <v>11.3</v>
      </c>
      <c r="AC22" s="12">
        <f t="shared" si="5"/>
        <v>3390</v>
      </c>
      <c r="AD22" s="12">
        <f t="shared" si="6"/>
        <v>678</v>
      </c>
      <c r="AE22" s="13">
        <f t="shared" si="7"/>
        <v>0.2</v>
      </c>
    </row>
    <row r="23" spans="2:31" x14ac:dyDescent="0.25">
      <c r="B23" s="4"/>
      <c r="C23" s="1" t="s">
        <v>78</v>
      </c>
      <c r="D23" s="1" t="s">
        <v>68</v>
      </c>
      <c r="E23" s="3"/>
      <c r="F23" s="3"/>
      <c r="G23" s="24"/>
      <c r="H23" s="24"/>
      <c r="J23" s="1" t="s">
        <v>81</v>
      </c>
      <c r="K23" s="4"/>
      <c r="L23" s="4"/>
      <c r="M23" s="4"/>
      <c r="N23" s="4"/>
      <c r="O23" s="4"/>
      <c r="P23" s="33"/>
      <c r="Q23" s="25">
        <v>0</v>
      </c>
      <c r="R23" s="25">
        <v>0</v>
      </c>
      <c r="S23" s="12">
        <f t="shared" si="0"/>
        <v>0</v>
      </c>
      <c r="T23" s="5">
        <v>0</v>
      </c>
      <c r="U23" s="12">
        <f t="shared" si="1"/>
        <v>0</v>
      </c>
      <c r="V23" s="25" t="s">
        <v>10</v>
      </c>
      <c r="W23" s="11">
        <f>IFERROR(VLOOKUP(V23,[1]Curr!$B$2:$C$13,2,FALSE),0)</f>
        <v>11.3</v>
      </c>
      <c r="X23" s="12">
        <f t="shared" si="2"/>
        <v>0</v>
      </c>
      <c r="Y23" s="26">
        <f t="shared" ref="Y23:Y24" si="11">Q23</f>
        <v>0</v>
      </c>
      <c r="Z23" s="12">
        <f t="shared" si="4"/>
        <v>0</v>
      </c>
      <c r="AA23" s="4" t="s">
        <v>10</v>
      </c>
      <c r="AB23" s="11">
        <f>IFERROR(VLOOKUP(AA23,Curr!$B$2:$C$13,2,FALSE),0)</f>
        <v>11.3</v>
      </c>
      <c r="AC23" s="12">
        <f t="shared" si="5"/>
        <v>0</v>
      </c>
      <c r="AD23" s="12">
        <f t="shared" si="6"/>
        <v>0</v>
      </c>
      <c r="AE23" s="13">
        <f t="shared" si="7"/>
        <v>0</v>
      </c>
    </row>
    <row r="24" spans="2:31" x14ac:dyDescent="0.25">
      <c r="B24" s="4"/>
      <c r="C24" s="1" t="s">
        <v>78</v>
      </c>
      <c r="D24" s="1" t="s">
        <v>75</v>
      </c>
      <c r="E24" s="3"/>
      <c r="F24" s="3"/>
      <c r="G24" s="24"/>
      <c r="H24" s="24"/>
      <c r="J24" s="1" t="s">
        <v>216</v>
      </c>
      <c r="K24" s="4"/>
      <c r="L24" s="4"/>
      <c r="M24" s="4"/>
      <c r="N24" s="4"/>
      <c r="O24" s="4" t="s">
        <v>42</v>
      </c>
      <c r="P24" s="33" t="s">
        <v>217</v>
      </c>
      <c r="Q24" s="25">
        <v>120</v>
      </c>
      <c r="R24" s="25">
        <v>2</v>
      </c>
      <c r="S24" s="12">
        <f t="shared" si="0"/>
        <v>240</v>
      </c>
      <c r="T24" s="5">
        <v>0.2</v>
      </c>
      <c r="U24" s="12">
        <f t="shared" si="1"/>
        <v>192</v>
      </c>
      <c r="V24" s="25" t="s">
        <v>10</v>
      </c>
      <c r="W24" s="11">
        <f>IFERROR(VLOOKUP(V24,[2]Curr!$B$2:$C$13,2,FALSE),0)</f>
        <v>11.3</v>
      </c>
      <c r="X24" s="12">
        <f t="shared" si="2"/>
        <v>2169.6000000000004</v>
      </c>
      <c r="Y24" s="26">
        <f t="shared" si="11"/>
        <v>120</v>
      </c>
      <c r="Z24" s="12">
        <f t="shared" si="4"/>
        <v>240</v>
      </c>
      <c r="AA24" s="4" t="s">
        <v>10</v>
      </c>
      <c r="AB24" s="11">
        <f>IFERROR(VLOOKUP(AA24,Curr!$B$2:$C$13,2,FALSE),0)</f>
        <v>11.3</v>
      </c>
      <c r="AC24" s="12">
        <f t="shared" si="5"/>
        <v>2712</v>
      </c>
      <c r="AD24" s="12">
        <f t="shared" si="6"/>
        <v>542.39999999999964</v>
      </c>
      <c r="AE24" s="13">
        <f t="shared" si="7"/>
        <v>0.19999999999999987</v>
      </c>
    </row>
    <row r="25" spans="2:31" x14ac:dyDescent="0.25">
      <c r="B25" s="4"/>
      <c r="E25" s="3"/>
      <c r="F25" s="3"/>
      <c r="G25" s="24"/>
      <c r="H25" s="24"/>
      <c r="K25" s="4"/>
      <c r="L25" s="4"/>
      <c r="M25" s="4"/>
      <c r="N25" s="4"/>
      <c r="O25" s="4"/>
      <c r="P25" s="27"/>
      <c r="Q25" s="25"/>
      <c r="R25" s="25"/>
      <c r="S25" s="12">
        <f t="shared" si="0"/>
        <v>0</v>
      </c>
      <c r="T25" s="5">
        <v>0</v>
      </c>
      <c r="U25" s="12">
        <f t="shared" si="1"/>
        <v>0</v>
      </c>
      <c r="V25" s="25" t="s">
        <v>10</v>
      </c>
      <c r="W25" s="11">
        <f>IFERROR(VLOOKUP(V25,[1]Curr!$B$2:$C$13,2,FALSE),0)</f>
        <v>11.3</v>
      </c>
      <c r="X25" s="12">
        <f t="shared" si="2"/>
        <v>0</v>
      </c>
      <c r="Y25" s="26">
        <f t="shared" si="8"/>
        <v>0</v>
      </c>
      <c r="Z25" s="12">
        <f t="shared" si="4"/>
        <v>0</v>
      </c>
      <c r="AA25" s="4" t="s">
        <v>10</v>
      </c>
      <c r="AB25" s="11">
        <f>IFERROR(VLOOKUP(AA25,Curr!$B$2:$C$13,2,FALSE),0)</f>
        <v>11.3</v>
      </c>
      <c r="AC25" s="12">
        <f t="shared" si="5"/>
        <v>0</v>
      </c>
      <c r="AD25" s="12">
        <f t="shared" si="6"/>
        <v>0</v>
      </c>
      <c r="AE25" s="13">
        <f t="shared" si="7"/>
        <v>0</v>
      </c>
    </row>
    <row r="26" spans="2:31" x14ac:dyDescent="0.25">
      <c r="B26" s="4"/>
      <c r="C26" s="1" t="s">
        <v>82</v>
      </c>
      <c r="D26" s="1" t="s">
        <v>66</v>
      </c>
      <c r="E26" s="3"/>
      <c r="F26" s="3"/>
      <c r="G26" s="24"/>
      <c r="H26" s="24"/>
      <c r="J26" s="1" t="s">
        <v>87</v>
      </c>
      <c r="K26" s="4"/>
      <c r="L26" s="4"/>
      <c r="M26" s="4"/>
      <c r="N26" s="4"/>
      <c r="O26" s="4"/>
      <c r="P26" s="33"/>
      <c r="Q26" s="25">
        <v>0</v>
      </c>
      <c r="R26" s="25">
        <v>0</v>
      </c>
      <c r="S26" s="12">
        <f t="shared" si="0"/>
        <v>0</v>
      </c>
      <c r="T26" s="5">
        <v>0</v>
      </c>
      <c r="U26" s="12">
        <f t="shared" si="1"/>
        <v>0</v>
      </c>
      <c r="V26" s="25" t="s">
        <v>10</v>
      </c>
      <c r="W26" s="11">
        <f>IFERROR(VLOOKUP(V26,[1]Curr!$B$2:$C$13,2,FALSE),0)</f>
        <v>11.3</v>
      </c>
      <c r="X26" s="12">
        <f t="shared" si="2"/>
        <v>0</v>
      </c>
      <c r="Y26" s="26">
        <f t="shared" si="8"/>
        <v>0</v>
      </c>
      <c r="Z26" s="12">
        <f t="shared" si="4"/>
        <v>0</v>
      </c>
      <c r="AA26" s="4" t="s">
        <v>10</v>
      </c>
      <c r="AB26" s="11">
        <f>IFERROR(VLOOKUP(AA26,Curr!$B$2:$C$13,2,FALSE),0)</f>
        <v>11.3</v>
      </c>
      <c r="AC26" s="12">
        <f t="shared" si="5"/>
        <v>0</v>
      </c>
      <c r="AD26" s="12">
        <f t="shared" si="6"/>
        <v>0</v>
      </c>
      <c r="AE26" s="13">
        <f t="shared" si="7"/>
        <v>0</v>
      </c>
    </row>
    <row r="27" spans="2:31" x14ac:dyDescent="0.25">
      <c r="B27" s="4"/>
      <c r="C27" s="1" t="s">
        <v>82</v>
      </c>
      <c r="D27" s="1" t="s">
        <v>161</v>
      </c>
      <c r="E27" s="3"/>
      <c r="F27" s="3"/>
      <c r="G27" s="24"/>
      <c r="H27" s="24"/>
      <c r="J27" s="1" t="s">
        <v>207</v>
      </c>
      <c r="K27" s="4"/>
      <c r="L27" s="4"/>
      <c r="M27" s="4"/>
      <c r="N27" s="4"/>
      <c r="O27" s="4"/>
      <c r="P27" s="27"/>
      <c r="Q27" s="25">
        <v>1800</v>
      </c>
      <c r="R27" s="25">
        <v>2</v>
      </c>
      <c r="S27" s="12">
        <f t="shared" si="0"/>
        <v>3600</v>
      </c>
      <c r="T27" s="5">
        <v>0</v>
      </c>
      <c r="U27" s="12">
        <f t="shared" si="1"/>
        <v>3600</v>
      </c>
      <c r="V27" s="25" t="s">
        <v>8</v>
      </c>
      <c r="W27" s="11">
        <f>IFERROR(VLOOKUP(V27,[1]Curr!$B$2:$C$13,2,FALSE),0)</f>
        <v>1</v>
      </c>
      <c r="X27" s="12">
        <f t="shared" si="2"/>
        <v>3600</v>
      </c>
      <c r="Y27" s="26">
        <f>Q27/11.3/0.8</f>
        <v>199.11504424778758</v>
      </c>
      <c r="Z27" s="12">
        <f t="shared" si="4"/>
        <v>398.23008849557516</v>
      </c>
      <c r="AA27" s="4" t="s">
        <v>10</v>
      </c>
      <c r="AB27" s="11">
        <f>IFERROR(VLOOKUP(AA27,Curr!$B$2:$C$13,2,FALSE),0)</f>
        <v>11.3</v>
      </c>
      <c r="AC27" s="12">
        <f t="shared" si="5"/>
        <v>4500</v>
      </c>
      <c r="AD27" s="12">
        <f t="shared" si="6"/>
        <v>900</v>
      </c>
      <c r="AE27" s="13">
        <f t="shared" si="7"/>
        <v>0.2</v>
      </c>
    </row>
    <row r="28" spans="2:31" x14ac:dyDescent="0.25">
      <c r="B28" s="4"/>
      <c r="C28" s="1" t="s">
        <v>82</v>
      </c>
      <c r="D28" s="1" t="s">
        <v>66</v>
      </c>
      <c r="E28" s="3"/>
      <c r="F28" s="3"/>
      <c r="G28" s="24"/>
      <c r="H28" s="24"/>
      <c r="J28" s="1" t="s">
        <v>167</v>
      </c>
      <c r="K28" s="4"/>
      <c r="L28" s="4"/>
      <c r="M28" s="4"/>
      <c r="N28" s="4"/>
      <c r="O28" s="4"/>
      <c r="P28" s="33"/>
      <c r="Q28" s="25">
        <v>0</v>
      </c>
      <c r="R28" s="25">
        <v>0</v>
      </c>
      <c r="S28" s="12">
        <f t="shared" si="0"/>
        <v>0</v>
      </c>
      <c r="T28" s="5">
        <v>0</v>
      </c>
      <c r="U28" s="12">
        <f t="shared" si="1"/>
        <v>0</v>
      </c>
      <c r="V28" s="25" t="s">
        <v>10</v>
      </c>
      <c r="W28" s="11">
        <f>IFERROR(VLOOKUP(V28,[1]Curr!$B$2:$C$13,2,FALSE),0)</f>
        <v>11.3</v>
      </c>
      <c r="X28" s="12">
        <f t="shared" si="2"/>
        <v>0</v>
      </c>
      <c r="Y28" s="26">
        <f t="shared" si="8"/>
        <v>0</v>
      </c>
      <c r="Z28" s="12">
        <f t="shared" si="4"/>
        <v>0</v>
      </c>
      <c r="AA28" s="4" t="s">
        <v>10</v>
      </c>
      <c r="AB28" s="11">
        <f>IFERROR(VLOOKUP(AA28,Curr!$B$2:$C$13,2,FALSE),0)</f>
        <v>11.3</v>
      </c>
      <c r="AC28" s="12">
        <f t="shared" si="5"/>
        <v>0</v>
      </c>
      <c r="AD28" s="12">
        <f t="shared" si="6"/>
        <v>0</v>
      </c>
      <c r="AE28" s="13">
        <f t="shared" si="7"/>
        <v>0</v>
      </c>
    </row>
    <row r="29" spans="2:31" x14ac:dyDescent="0.25">
      <c r="B29" s="4"/>
      <c r="C29" s="1" t="s">
        <v>82</v>
      </c>
      <c r="D29" s="1" t="s">
        <v>67</v>
      </c>
      <c r="E29" s="3"/>
      <c r="F29" s="3"/>
      <c r="G29" s="24"/>
      <c r="H29" s="24"/>
      <c r="J29" s="1" t="s">
        <v>212</v>
      </c>
      <c r="K29" s="4"/>
      <c r="L29" s="4"/>
      <c r="M29" s="4"/>
      <c r="N29" s="4"/>
      <c r="O29" s="4"/>
      <c r="P29" s="33"/>
      <c r="Q29" s="25">
        <v>250</v>
      </c>
      <c r="R29" s="25">
        <v>1</v>
      </c>
      <c r="S29" s="12">
        <f t="shared" si="0"/>
        <v>250</v>
      </c>
      <c r="T29" s="5">
        <v>0</v>
      </c>
      <c r="U29" s="12">
        <f t="shared" si="1"/>
        <v>250</v>
      </c>
      <c r="V29" s="25" t="s">
        <v>10</v>
      </c>
      <c r="W29" s="11">
        <f>IFERROR(VLOOKUP(V29,[1]Curr!$B$2:$C$13,2,FALSE),0)</f>
        <v>11.3</v>
      </c>
      <c r="X29" s="12">
        <f t="shared" si="2"/>
        <v>2825</v>
      </c>
      <c r="Y29" s="26">
        <f>Q29/0.85</f>
        <v>294.11764705882354</v>
      </c>
      <c r="Z29" s="12">
        <f t="shared" si="4"/>
        <v>294.11764705882354</v>
      </c>
      <c r="AA29" s="4" t="s">
        <v>10</v>
      </c>
      <c r="AB29" s="11">
        <f>IFERROR(VLOOKUP(AA29,Curr!$B$2:$C$13,2,FALSE),0)</f>
        <v>11.3</v>
      </c>
      <c r="AC29" s="12">
        <f t="shared" si="5"/>
        <v>3323.5294117647063</v>
      </c>
      <c r="AD29" s="12">
        <f t="shared" si="6"/>
        <v>498.52941176470631</v>
      </c>
      <c r="AE29" s="13">
        <f t="shared" si="7"/>
        <v>0.15000000000000011</v>
      </c>
    </row>
    <row r="30" spans="2:31" x14ac:dyDescent="0.25">
      <c r="B30" s="4"/>
      <c r="C30" s="1" t="s">
        <v>82</v>
      </c>
      <c r="D30" s="1" t="s">
        <v>75</v>
      </c>
      <c r="E30" s="3"/>
      <c r="F30" s="3"/>
      <c r="G30" s="24"/>
      <c r="H30" s="24"/>
      <c r="J30" s="1" t="s">
        <v>173</v>
      </c>
      <c r="K30" s="4"/>
      <c r="L30" s="4"/>
      <c r="M30" s="4"/>
      <c r="N30" s="4"/>
      <c r="O30" s="4" t="s">
        <v>42</v>
      </c>
      <c r="P30" s="33" t="s">
        <v>170</v>
      </c>
      <c r="Q30" s="25">
        <v>290</v>
      </c>
      <c r="R30" s="25">
        <v>2</v>
      </c>
      <c r="S30" s="12">
        <f t="shared" si="0"/>
        <v>580</v>
      </c>
      <c r="T30" s="5">
        <v>0.2</v>
      </c>
      <c r="U30" s="12">
        <f t="shared" si="1"/>
        <v>464</v>
      </c>
      <c r="V30" s="25" t="s">
        <v>8</v>
      </c>
      <c r="W30" s="11">
        <f>IFERROR(VLOOKUP(V30,[1]Curr!$B$2:$C$13,2,FALSE),0)</f>
        <v>1</v>
      </c>
      <c r="X30" s="12">
        <f t="shared" si="2"/>
        <v>464</v>
      </c>
      <c r="Y30" s="26">
        <f>Q30/11.3/0.64</f>
        <v>40.099557522123888</v>
      </c>
      <c r="Z30" s="12">
        <f t="shared" si="4"/>
        <v>80.199115044247776</v>
      </c>
      <c r="AA30" s="4" t="s">
        <v>10</v>
      </c>
      <c r="AB30" s="11">
        <f>IFERROR(VLOOKUP(AA30,Curr!$B$2:$C$13,2,FALSE),0)</f>
        <v>11.3</v>
      </c>
      <c r="AC30" s="12">
        <f t="shared" si="5"/>
        <v>906.24999999999989</v>
      </c>
      <c r="AD30" s="12">
        <f t="shared" si="6"/>
        <v>442.24999999999989</v>
      </c>
      <c r="AE30" s="13">
        <f t="shared" si="7"/>
        <v>0.48799999999999993</v>
      </c>
    </row>
    <row r="31" spans="2:31" x14ac:dyDescent="0.25">
      <c r="B31" s="4"/>
      <c r="C31" s="1" t="s">
        <v>82</v>
      </c>
      <c r="D31" s="1" t="s">
        <v>75</v>
      </c>
      <c r="E31" s="3"/>
      <c r="F31" s="3"/>
      <c r="G31" s="24"/>
      <c r="H31" s="24"/>
      <c r="J31" s="1" t="s">
        <v>171</v>
      </c>
      <c r="K31" s="4"/>
      <c r="L31" s="4"/>
      <c r="M31" s="4"/>
      <c r="N31" s="4"/>
      <c r="O31" s="4" t="s">
        <v>42</v>
      </c>
      <c r="P31" s="33" t="s">
        <v>172</v>
      </c>
      <c r="Q31" s="25">
        <v>175</v>
      </c>
      <c r="R31" s="25">
        <v>2</v>
      </c>
      <c r="S31" s="12">
        <f t="shared" si="0"/>
        <v>350</v>
      </c>
      <c r="T31" s="5">
        <v>0</v>
      </c>
      <c r="U31" s="12">
        <f t="shared" si="1"/>
        <v>350</v>
      </c>
      <c r="V31" s="25" t="s">
        <v>8</v>
      </c>
      <c r="W31" s="11">
        <f>IFERROR(VLOOKUP(V31,[1]Curr!$B$2:$C$13,2,FALSE),0)</f>
        <v>1</v>
      </c>
      <c r="X31" s="12">
        <f t="shared" si="2"/>
        <v>350</v>
      </c>
      <c r="Y31" s="26">
        <f>Q31/11.3/0.5</f>
        <v>30.973451327433626</v>
      </c>
      <c r="Z31" s="12">
        <f t="shared" si="4"/>
        <v>61.946902654867252</v>
      </c>
      <c r="AA31" s="4" t="s">
        <v>10</v>
      </c>
      <c r="AB31" s="11">
        <f>IFERROR(VLOOKUP(AA31,Curr!$B$2:$C$13,2,FALSE),0)</f>
        <v>11.3</v>
      </c>
      <c r="AC31" s="12">
        <f t="shared" si="5"/>
        <v>700</v>
      </c>
      <c r="AD31" s="12">
        <f t="shared" si="6"/>
        <v>350</v>
      </c>
      <c r="AE31" s="13">
        <f t="shared" si="7"/>
        <v>0.5</v>
      </c>
    </row>
    <row r="32" spans="2:31" x14ac:dyDescent="0.25">
      <c r="B32" s="4"/>
      <c r="C32" s="1" t="s">
        <v>82</v>
      </c>
      <c r="D32" s="1" t="s">
        <v>68</v>
      </c>
      <c r="E32" s="3"/>
      <c r="F32" s="3"/>
      <c r="G32" s="24"/>
      <c r="H32" s="24"/>
      <c r="J32" s="1" t="s">
        <v>169</v>
      </c>
      <c r="K32" s="4"/>
      <c r="L32" s="4"/>
      <c r="M32" s="4"/>
      <c r="N32" s="4"/>
      <c r="O32" s="4"/>
      <c r="P32" s="27"/>
      <c r="Q32" s="25">
        <v>0</v>
      </c>
      <c r="R32" s="25">
        <v>0</v>
      </c>
      <c r="S32" s="12">
        <f t="shared" si="0"/>
        <v>0</v>
      </c>
      <c r="T32" s="5">
        <v>0</v>
      </c>
      <c r="U32" s="12">
        <f t="shared" si="1"/>
        <v>0</v>
      </c>
      <c r="V32" s="25" t="s">
        <v>10</v>
      </c>
      <c r="W32" s="11">
        <f>IFERROR(VLOOKUP(V32,[1]Curr!$B$2:$C$13,2,FALSE),0)</f>
        <v>11.3</v>
      </c>
      <c r="X32" s="12">
        <f t="shared" si="2"/>
        <v>0</v>
      </c>
      <c r="Y32" s="26">
        <f t="shared" si="8"/>
        <v>0</v>
      </c>
      <c r="Z32" s="12">
        <f t="shared" si="4"/>
        <v>0</v>
      </c>
      <c r="AA32" s="4" t="s">
        <v>10</v>
      </c>
      <c r="AB32" s="11">
        <f>IFERROR(VLOOKUP(AA32,Curr!$B$2:$C$13,2,FALSE),0)</f>
        <v>11.3</v>
      </c>
      <c r="AC32" s="12">
        <f t="shared" si="5"/>
        <v>0</v>
      </c>
      <c r="AD32" s="12">
        <f t="shared" si="6"/>
        <v>0</v>
      </c>
      <c r="AE32" s="13">
        <f t="shared" si="7"/>
        <v>0</v>
      </c>
    </row>
    <row r="33" spans="2:31" x14ac:dyDescent="0.25">
      <c r="B33" s="4"/>
      <c r="E33" s="3"/>
      <c r="F33" s="3"/>
      <c r="G33" s="24"/>
      <c r="H33" s="24"/>
      <c r="K33" s="4"/>
      <c r="L33" s="4"/>
      <c r="M33" s="4"/>
      <c r="N33" s="4"/>
      <c r="O33" s="4"/>
      <c r="P33" s="27"/>
      <c r="Q33" s="25"/>
      <c r="R33" s="25"/>
      <c r="S33" s="12">
        <f t="shared" si="0"/>
        <v>0</v>
      </c>
      <c r="T33" s="5">
        <v>0</v>
      </c>
      <c r="U33" s="12">
        <f t="shared" si="1"/>
        <v>0</v>
      </c>
      <c r="V33" s="25" t="s">
        <v>10</v>
      </c>
      <c r="W33" s="11">
        <f>IFERROR(VLOOKUP(V33,[1]Curr!$B$2:$C$13,2,FALSE),0)</f>
        <v>11.3</v>
      </c>
      <c r="X33" s="12">
        <f t="shared" si="2"/>
        <v>0</v>
      </c>
      <c r="Y33" s="26">
        <f t="shared" si="8"/>
        <v>0</v>
      </c>
      <c r="Z33" s="12">
        <f t="shared" si="4"/>
        <v>0</v>
      </c>
      <c r="AA33" s="4" t="s">
        <v>10</v>
      </c>
      <c r="AB33" s="11">
        <f>IFERROR(VLOOKUP(AA33,Curr!$B$2:$C$13,2,FALSE),0)</f>
        <v>11.3</v>
      </c>
      <c r="AC33" s="12">
        <f t="shared" si="5"/>
        <v>0</v>
      </c>
      <c r="AD33" s="12">
        <f t="shared" si="6"/>
        <v>0</v>
      </c>
      <c r="AE33" s="13">
        <f t="shared" si="7"/>
        <v>0</v>
      </c>
    </row>
    <row r="34" spans="2:31" x14ac:dyDescent="0.25">
      <c r="B34" s="4"/>
      <c r="C34" s="1" t="s">
        <v>83</v>
      </c>
      <c r="D34" s="1" t="s">
        <v>66</v>
      </c>
      <c r="E34" s="3"/>
      <c r="F34" s="3"/>
      <c r="G34" s="24"/>
      <c r="H34" s="24"/>
      <c r="J34" s="1" t="s">
        <v>176</v>
      </c>
      <c r="K34" s="4"/>
      <c r="L34" s="4"/>
      <c r="M34" s="4"/>
      <c r="N34" s="4"/>
      <c r="O34" s="4"/>
      <c r="P34" s="33"/>
      <c r="Q34" s="25">
        <v>0</v>
      </c>
      <c r="R34" s="25">
        <v>0</v>
      </c>
      <c r="S34" s="12">
        <f t="shared" si="0"/>
        <v>0</v>
      </c>
      <c r="T34" s="5">
        <v>0.15</v>
      </c>
      <c r="U34" s="12">
        <f t="shared" si="1"/>
        <v>0</v>
      </c>
      <c r="V34" s="25" t="s">
        <v>8</v>
      </c>
      <c r="W34" s="11">
        <f>IFERROR(VLOOKUP(V34,[1]Curr!$B$2:$C$13,2,FALSE),0)</f>
        <v>1</v>
      </c>
      <c r="X34" s="12">
        <f t="shared" si="2"/>
        <v>0</v>
      </c>
      <c r="Y34" s="26">
        <f>Q34/11.3</f>
        <v>0</v>
      </c>
      <c r="Z34" s="12">
        <f t="shared" si="4"/>
        <v>0</v>
      </c>
      <c r="AA34" s="4" t="s">
        <v>10</v>
      </c>
      <c r="AB34" s="11">
        <f>IFERROR(VLOOKUP(AA34,Curr!$B$2:$C$13,2,FALSE),0)</f>
        <v>11.3</v>
      </c>
      <c r="AC34" s="12">
        <f t="shared" si="5"/>
        <v>0</v>
      </c>
      <c r="AD34" s="12">
        <f t="shared" si="6"/>
        <v>0</v>
      </c>
      <c r="AE34" s="13">
        <f t="shared" si="7"/>
        <v>0</v>
      </c>
    </row>
    <row r="35" spans="2:31" x14ac:dyDescent="0.25">
      <c r="B35" s="4"/>
      <c r="C35" s="1" t="s">
        <v>83</v>
      </c>
      <c r="D35" s="1" t="s">
        <v>97</v>
      </c>
      <c r="E35" s="3"/>
      <c r="F35" s="3"/>
      <c r="G35" s="24"/>
      <c r="H35" s="24"/>
      <c r="J35" s="1" t="s">
        <v>174</v>
      </c>
      <c r="K35" s="4"/>
      <c r="L35" s="4"/>
      <c r="M35" s="4"/>
      <c r="N35" s="4"/>
      <c r="O35" s="4" t="s">
        <v>42</v>
      </c>
      <c r="P35" s="33" t="s">
        <v>175</v>
      </c>
      <c r="Q35" s="25">
        <v>2500</v>
      </c>
      <c r="R35" s="25">
        <v>1</v>
      </c>
      <c r="S35" s="12">
        <f t="shared" si="0"/>
        <v>2500</v>
      </c>
      <c r="T35" s="5">
        <v>0</v>
      </c>
      <c r="U35" s="12">
        <f t="shared" si="1"/>
        <v>2500</v>
      </c>
      <c r="V35" s="25" t="s">
        <v>8</v>
      </c>
      <c r="W35" s="11">
        <f>IFERROR(VLOOKUP(V35,[1]Curr!$B$2:$C$13,2,FALSE),0)</f>
        <v>1</v>
      </c>
      <c r="X35" s="12">
        <f t="shared" si="2"/>
        <v>2500</v>
      </c>
      <c r="Y35" s="26">
        <f>Q35/11.3/0.8</f>
        <v>276.54867256637164</v>
      </c>
      <c r="Z35" s="12">
        <f t="shared" si="4"/>
        <v>276.54867256637164</v>
      </c>
      <c r="AA35" s="4" t="s">
        <v>10</v>
      </c>
      <c r="AB35" s="11">
        <f>IFERROR(VLOOKUP(AA35,Curr!$B$2:$C$13,2,FALSE),0)</f>
        <v>11.3</v>
      </c>
      <c r="AC35" s="12">
        <f t="shared" si="5"/>
        <v>3124.9999999999995</v>
      </c>
      <c r="AD35" s="12">
        <f t="shared" si="6"/>
        <v>624.99999999999955</v>
      </c>
      <c r="AE35" s="13">
        <f t="shared" si="7"/>
        <v>0.19999999999999987</v>
      </c>
    </row>
    <row r="36" spans="2:31" x14ac:dyDescent="0.25">
      <c r="B36" s="4"/>
      <c r="C36" s="1" t="s">
        <v>83</v>
      </c>
      <c r="D36" s="1" t="s">
        <v>66</v>
      </c>
      <c r="E36" s="3"/>
      <c r="F36" s="3"/>
      <c r="G36" s="24"/>
      <c r="H36" s="24"/>
      <c r="J36" s="1" t="s">
        <v>164</v>
      </c>
      <c r="K36" s="4"/>
      <c r="L36" s="4"/>
      <c r="M36" s="4"/>
      <c r="N36" s="4"/>
      <c r="O36" s="4"/>
      <c r="P36" s="27"/>
      <c r="Q36" s="25">
        <v>0</v>
      </c>
      <c r="R36" s="25">
        <v>0</v>
      </c>
      <c r="S36" s="12">
        <f t="shared" si="0"/>
        <v>0</v>
      </c>
      <c r="T36" s="5">
        <v>0</v>
      </c>
      <c r="U36" s="12">
        <f t="shared" si="1"/>
        <v>0</v>
      </c>
      <c r="V36" s="25" t="s">
        <v>8</v>
      </c>
      <c r="W36" s="11">
        <f>IFERROR(VLOOKUP(V36,[1]Curr!$B$2:$C$13,2,FALSE),0)</f>
        <v>1</v>
      </c>
      <c r="X36" s="12">
        <f t="shared" si="2"/>
        <v>0</v>
      </c>
      <c r="Y36" s="26">
        <f>Q36/11.3/0.8</f>
        <v>0</v>
      </c>
      <c r="Z36" s="12">
        <f t="shared" si="4"/>
        <v>0</v>
      </c>
      <c r="AA36" s="4" t="s">
        <v>10</v>
      </c>
      <c r="AB36" s="11">
        <f>IFERROR(VLOOKUP(AA36,Curr!$B$2:$C$13,2,FALSE),0)</f>
        <v>11.3</v>
      </c>
      <c r="AC36" s="12">
        <f t="shared" si="5"/>
        <v>0</v>
      </c>
      <c r="AD36" s="12">
        <f t="shared" si="6"/>
        <v>0</v>
      </c>
      <c r="AE36" s="13">
        <f t="shared" si="7"/>
        <v>0</v>
      </c>
    </row>
    <row r="37" spans="2:31" x14ac:dyDescent="0.25">
      <c r="B37" s="4"/>
      <c r="C37" s="1" t="s">
        <v>83</v>
      </c>
      <c r="D37" s="1" t="s">
        <v>67</v>
      </c>
      <c r="E37" s="3"/>
      <c r="F37" s="3"/>
      <c r="G37" s="24"/>
      <c r="H37" s="24"/>
      <c r="J37" s="1" t="s">
        <v>165</v>
      </c>
      <c r="K37" s="4"/>
      <c r="L37" s="4"/>
      <c r="M37" s="4"/>
      <c r="N37" s="4"/>
      <c r="O37" s="4"/>
      <c r="P37" s="33"/>
      <c r="Q37" s="25">
        <v>150</v>
      </c>
      <c r="R37" s="25">
        <v>1</v>
      </c>
      <c r="S37" s="12">
        <f t="shared" si="0"/>
        <v>150</v>
      </c>
      <c r="T37" s="5">
        <v>0</v>
      </c>
      <c r="U37" s="12">
        <f t="shared" si="1"/>
        <v>150</v>
      </c>
      <c r="V37" s="25" t="s">
        <v>10</v>
      </c>
      <c r="W37" s="11">
        <f>IFERROR(VLOOKUP(V37,[1]Curr!$B$2:$C$13,2,FALSE),0)</f>
        <v>11.3</v>
      </c>
      <c r="X37" s="12">
        <f t="shared" si="2"/>
        <v>1695</v>
      </c>
      <c r="Y37" s="26">
        <f>Q37/0.85</f>
        <v>176.47058823529412</v>
      </c>
      <c r="Z37" s="12">
        <f t="shared" si="4"/>
        <v>176.47058823529412</v>
      </c>
      <c r="AA37" s="4" t="s">
        <v>10</v>
      </c>
      <c r="AB37" s="11">
        <f>IFERROR(VLOOKUP(AA37,Curr!$B$2:$C$13,2,FALSE),0)</f>
        <v>11.3</v>
      </c>
      <c r="AC37" s="12">
        <f t="shared" si="5"/>
        <v>1994.1176470588236</v>
      </c>
      <c r="AD37" s="12">
        <f t="shared" si="6"/>
        <v>299.11764705882365</v>
      </c>
      <c r="AE37" s="13">
        <f t="shared" si="7"/>
        <v>0.15000000000000005</v>
      </c>
    </row>
    <row r="38" spans="2:31" x14ac:dyDescent="0.25">
      <c r="B38" s="4"/>
      <c r="C38" s="1" t="s">
        <v>83</v>
      </c>
      <c r="D38" s="1" t="s">
        <v>68</v>
      </c>
      <c r="E38" s="3"/>
      <c r="F38" s="3"/>
      <c r="G38" s="24"/>
      <c r="H38" s="24"/>
      <c r="J38" s="1" t="s">
        <v>166</v>
      </c>
      <c r="K38" s="4"/>
      <c r="L38" s="4"/>
      <c r="M38" s="4"/>
      <c r="N38" s="4"/>
      <c r="O38" s="4"/>
      <c r="P38" s="27"/>
      <c r="Q38" s="25">
        <v>0</v>
      </c>
      <c r="R38" s="25">
        <v>0</v>
      </c>
      <c r="S38" s="12">
        <f t="shared" si="0"/>
        <v>0</v>
      </c>
      <c r="T38" s="5">
        <v>0</v>
      </c>
      <c r="U38" s="12">
        <f t="shared" si="1"/>
        <v>0</v>
      </c>
      <c r="V38" s="25" t="s">
        <v>10</v>
      </c>
      <c r="W38" s="11">
        <f>IFERROR(VLOOKUP(V38,[1]Curr!$B$2:$C$13,2,FALSE),0)</f>
        <v>11.3</v>
      </c>
      <c r="X38" s="12">
        <f t="shared" si="2"/>
        <v>0</v>
      </c>
      <c r="Y38" s="26">
        <f t="shared" ref="Y38" si="12">Q38</f>
        <v>0</v>
      </c>
      <c r="Z38" s="12">
        <f t="shared" si="4"/>
        <v>0</v>
      </c>
      <c r="AA38" s="4" t="s">
        <v>10</v>
      </c>
      <c r="AB38" s="11">
        <f>IFERROR(VLOOKUP(AA38,Curr!$B$2:$C$13,2,FALSE),0)</f>
        <v>11.3</v>
      </c>
      <c r="AC38" s="12">
        <f t="shared" si="5"/>
        <v>0</v>
      </c>
      <c r="AD38" s="12">
        <f t="shared" si="6"/>
        <v>0</v>
      </c>
      <c r="AE38" s="13">
        <f t="shared" si="7"/>
        <v>0</v>
      </c>
    </row>
    <row r="39" spans="2:31" x14ac:dyDescent="0.25">
      <c r="B39" s="4"/>
      <c r="E39" s="3"/>
      <c r="F39" s="3"/>
      <c r="G39" s="24"/>
      <c r="H39" s="24"/>
      <c r="K39" s="4"/>
      <c r="L39" s="4"/>
      <c r="M39" s="4"/>
      <c r="N39" s="4"/>
      <c r="O39" s="4"/>
      <c r="P39" s="33"/>
      <c r="Q39" s="25"/>
      <c r="R39" s="25"/>
      <c r="S39" s="12">
        <f t="shared" si="0"/>
        <v>0</v>
      </c>
      <c r="T39" s="5">
        <v>0</v>
      </c>
      <c r="U39" s="12">
        <f t="shared" si="1"/>
        <v>0</v>
      </c>
      <c r="V39" s="25" t="s">
        <v>10</v>
      </c>
      <c r="W39" s="11">
        <f>IFERROR(VLOOKUP(V39,[1]Curr!$B$2:$C$13,2,FALSE),0)</f>
        <v>11.3</v>
      </c>
      <c r="X39" s="12">
        <f t="shared" si="2"/>
        <v>0</v>
      </c>
      <c r="Y39" s="26">
        <f t="shared" si="8"/>
        <v>0</v>
      </c>
      <c r="Z39" s="12">
        <f t="shared" si="4"/>
        <v>0</v>
      </c>
      <c r="AA39" s="4" t="s">
        <v>10</v>
      </c>
      <c r="AB39" s="11">
        <f>IFERROR(VLOOKUP(AA39,Curr!$B$2:$C$13,2,FALSE),0)</f>
        <v>11.3</v>
      </c>
      <c r="AC39" s="12">
        <f t="shared" si="5"/>
        <v>0</v>
      </c>
      <c r="AD39" s="12">
        <f t="shared" si="6"/>
        <v>0</v>
      </c>
      <c r="AE39" s="13">
        <f t="shared" si="7"/>
        <v>0</v>
      </c>
    </row>
    <row r="40" spans="2:31" x14ac:dyDescent="0.25">
      <c r="B40" s="4"/>
      <c r="C40" s="1" t="s">
        <v>84</v>
      </c>
      <c r="D40" s="1" t="s">
        <v>66</v>
      </c>
      <c r="E40" s="3"/>
      <c r="F40" s="3"/>
      <c r="G40" s="24"/>
      <c r="H40" s="24"/>
      <c r="J40" s="1" t="s">
        <v>163</v>
      </c>
      <c r="K40" s="4"/>
      <c r="L40" s="4"/>
      <c r="M40" s="4"/>
      <c r="N40" s="4"/>
      <c r="O40" s="4"/>
      <c r="P40" s="27"/>
      <c r="Q40" s="25">
        <v>0</v>
      </c>
      <c r="R40" s="25">
        <v>0</v>
      </c>
      <c r="S40" s="12">
        <f t="shared" si="0"/>
        <v>0</v>
      </c>
      <c r="T40" s="5">
        <v>0</v>
      </c>
      <c r="U40" s="12">
        <f t="shared" si="1"/>
        <v>0</v>
      </c>
      <c r="V40" s="25" t="s">
        <v>10</v>
      </c>
      <c r="W40" s="11">
        <f>IFERROR(VLOOKUP(V40,[1]Curr!$B$2:$C$13,2,FALSE),0)</f>
        <v>11.3</v>
      </c>
      <c r="X40" s="12">
        <f t="shared" si="2"/>
        <v>0</v>
      </c>
      <c r="Y40" s="26">
        <f t="shared" si="8"/>
        <v>0</v>
      </c>
      <c r="Z40" s="12">
        <f t="shared" si="4"/>
        <v>0</v>
      </c>
      <c r="AA40" s="4" t="s">
        <v>10</v>
      </c>
      <c r="AB40" s="11">
        <f>IFERROR(VLOOKUP(AA40,Curr!$B$2:$C$13,2,FALSE),0)</f>
        <v>11.3</v>
      </c>
      <c r="AC40" s="12">
        <f t="shared" si="5"/>
        <v>0</v>
      </c>
      <c r="AD40" s="12">
        <f t="shared" si="6"/>
        <v>0</v>
      </c>
      <c r="AE40" s="13">
        <f t="shared" si="7"/>
        <v>0</v>
      </c>
    </row>
    <row r="41" spans="2:31" x14ac:dyDescent="0.25">
      <c r="B41" s="4"/>
      <c r="C41" s="1" t="s">
        <v>84</v>
      </c>
      <c r="D41" s="1" t="s">
        <v>85</v>
      </c>
      <c r="E41" s="3"/>
      <c r="F41" s="3"/>
      <c r="G41" s="24"/>
      <c r="H41" s="24"/>
      <c r="J41" s="1" t="s">
        <v>162</v>
      </c>
      <c r="K41" s="4"/>
      <c r="L41" s="4"/>
      <c r="M41" s="4"/>
      <c r="N41" s="4"/>
      <c r="O41" s="4"/>
      <c r="P41" s="33"/>
      <c r="Q41" s="25">
        <v>0</v>
      </c>
      <c r="R41" s="25">
        <v>0</v>
      </c>
      <c r="S41" s="12">
        <f t="shared" si="0"/>
        <v>0</v>
      </c>
      <c r="T41" s="5">
        <v>0</v>
      </c>
      <c r="U41" s="12">
        <f t="shared" si="1"/>
        <v>0</v>
      </c>
      <c r="V41" s="25" t="s">
        <v>10</v>
      </c>
      <c r="W41" s="11">
        <f>IFERROR(VLOOKUP(V41,[1]Curr!$B$2:$C$13,2,FALSE),0)</f>
        <v>11.3</v>
      </c>
      <c r="X41" s="12">
        <f t="shared" si="2"/>
        <v>0</v>
      </c>
      <c r="Y41" s="26">
        <f t="shared" si="8"/>
        <v>0</v>
      </c>
      <c r="Z41" s="12">
        <f t="shared" si="4"/>
        <v>0</v>
      </c>
      <c r="AA41" s="4" t="s">
        <v>10</v>
      </c>
      <c r="AB41" s="11">
        <f>IFERROR(VLOOKUP(AA41,Curr!$B$2:$C$13,2,FALSE),0)</f>
        <v>11.3</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0"/>
        <v>0</v>
      </c>
      <c r="T42" s="5">
        <v>0</v>
      </c>
      <c r="U42" s="12">
        <f t="shared" si="1"/>
        <v>0</v>
      </c>
      <c r="V42" s="25" t="s">
        <v>10</v>
      </c>
      <c r="W42" s="11">
        <f>IFERROR(VLOOKUP(V42,[1]Curr!$B$2:$C$13,2,FALSE),0)</f>
        <v>11.3</v>
      </c>
      <c r="X42" s="12">
        <f t="shared" si="2"/>
        <v>0</v>
      </c>
      <c r="Y42" s="26">
        <f t="shared" si="8"/>
        <v>0</v>
      </c>
      <c r="Z42" s="12">
        <f t="shared" si="4"/>
        <v>0</v>
      </c>
      <c r="AA42" s="4" t="s">
        <v>10</v>
      </c>
      <c r="AB42" s="11">
        <f>IFERROR(VLOOKUP(AA42,Curr!$B$2:$C$13,2,FALSE),0)</f>
        <v>11.3</v>
      </c>
      <c r="AC42" s="12">
        <f t="shared" si="5"/>
        <v>0</v>
      </c>
      <c r="AD42" s="12">
        <f t="shared" si="6"/>
        <v>0</v>
      </c>
      <c r="AE42" s="13">
        <f t="shared" si="7"/>
        <v>0</v>
      </c>
    </row>
    <row r="43" spans="2:3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IFERROR(VLOOKUP(V43,[1]Curr!$B$2:$C$13,2,FALSE),0)</f>
        <v>11.3</v>
      </c>
      <c r="X43" s="12">
        <f t="shared" si="2"/>
        <v>0</v>
      </c>
      <c r="Y43" s="26">
        <f t="shared" si="8"/>
        <v>0</v>
      </c>
      <c r="Z43" s="12">
        <f t="shared" si="4"/>
        <v>0</v>
      </c>
      <c r="AA43" s="4" t="s">
        <v>10</v>
      </c>
      <c r="AB43" s="11">
        <f>IFERROR(VLOOKUP(AA43,Curr!$B$2:$C$13,2,FALSE),0)</f>
        <v>11.3</v>
      </c>
      <c r="AC43" s="12">
        <f t="shared" si="5"/>
        <v>0</v>
      </c>
      <c r="AD43" s="12">
        <f t="shared" si="6"/>
        <v>0</v>
      </c>
      <c r="AE43" s="13">
        <f t="shared" si="7"/>
        <v>0</v>
      </c>
    </row>
    <row r="44" spans="2:31" x14ac:dyDescent="0.25">
      <c r="B44" s="4"/>
      <c r="C44" s="1" t="s">
        <v>64</v>
      </c>
      <c r="D44" s="1" t="s">
        <v>112</v>
      </c>
      <c r="E44" s="3"/>
      <c r="F44" s="3"/>
      <c r="G44" s="24"/>
      <c r="H44" s="24"/>
      <c r="J44" s="1" t="s">
        <v>70</v>
      </c>
      <c r="K44" s="4"/>
      <c r="L44" s="4"/>
      <c r="M44" s="4"/>
      <c r="N44" s="4"/>
      <c r="O44" s="4"/>
      <c r="P44" s="27"/>
      <c r="Q44" s="25">
        <v>40</v>
      </c>
      <c r="R44" s="25">
        <v>0</v>
      </c>
      <c r="S44" s="12">
        <f t="shared" si="0"/>
        <v>0</v>
      </c>
      <c r="T44" s="5">
        <v>0</v>
      </c>
      <c r="U44" s="12">
        <f t="shared" si="1"/>
        <v>0</v>
      </c>
      <c r="V44" s="25" t="s">
        <v>10</v>
      </c>
      <c r="W44" s="11">
        <f>IFERROR(VLOOKUP(V44,[1]Curr!$B$2:$C$13,2,FALSE),0)</f>
        <v>11.3</v>
      </c>
      <c r="X44" s="12">
        <f t="shared" si="2"/>
        <v>0</v>
      </c>
      <c r="Y44" s="26">
        <f t="shared" si="8"/>
        <v>40</v>
      </c>
      <c r="Z44" s="12">
        <f t="shared" si="4"/>
        <v>0</v>
      </c>
      <c r="AA44" s="4" t="s">
        <v>10</v>
      </c>
      <c r="AB44" s="11">
        <f>IFERROR(VLOOKUP(AA44,Curr!$B$2:$C$13,2,FALSE),0)</f>
        <v>11.3</v>
      </c>
      <c r="AC44" s="12">
        <f t="shared" si="5"/>
        <v>0</v>
      </c>
      <c r="AD44" s="12">
        <f t="shared" si="6"/>
        <v>0</v>
      </c>
      <c r="AE44" s="13">
        <f t="shared" si="7"/>
        <v>0</v>
      </c>
    </row>
    <row r="45" spans="2:31" x14ac:dyDescent="0.25">
      <c r="B45" s="4"/>
      <c r="C45" s="1" t="s">
        <v>77</v>
      </c>
      <c r="D45" s="1" t="s">
        <v>112</v>
      </c>
      <c r="E45" s="3"/>
      <c r="F45" s="3"/>
      <c r="G45" s="24"/>
      <c r="H45" s="24"/>
      <c r="J45" s="1" t="s">
        <v>107</v>
      </c>
      <c r="K45" s="4"/>
      <c r="L45" s="4"/>
      <c r="M45" s="4"/>
      <c r="N45" s="4"/>
      <c r="O45" s="4"/>
      <c r="P45" s="33"/>
      <c r="Q45" s="25">
        <v>40</v>
      </c>
      <c r="R45" s="25">
        <v>0</v>
      </c>
      <c r="S45" s="12">
        <f t="shared" si="0"/>
        <v>0</v>
      </c>
      <c r="T45" s="5">
        <v>0</v>
      </c>
      <c r="U45" s="12">
        <f t="shared" si="1"/>
        <v>0</v>
      </c>
      <c r="V45" s="25" t="s">
        <v>10</v>
      </c>
      <c r="W45" s="11">
        <f>IFERROR(VLOOKUP(V45,[1]Curr!$B$2:$C$13,2,FALSE),0)</f>
        <v>11.3</v>
      </c>
      <c r="X45" s="12">
        <f t="shared" si="2"/>
        <v>0</v>
      </c>
      <c r="Y45" s="26">
        <f t="shared" si="8"/>
        <v>40</v>
      </c>
      <c r="Z45" s="12">
        <f t="shared" si="4"/>
        <v>0</v>
      </c>
      <c r="AA45" s="4" t="s">
        <v>10</v>
      </c>
      <c r="AB45" s="11">
        <f>IFERROR(VLOOKUP(AA45,Curr!$B$2:$C$13,2,FALSE),0)</f>
        <v>11.3</v>
      </c>
      <c r="AC45" s="12">
        <f t="shared" si="5"/>
        <v>0</v>
      </c>
      <c r="AD45" s="12">
        <f t="shared" si="6"/>
        <v>0</v>
      </c>
      <c r="AE45" s="13">
        <f t="shared" si="7"/>
        <v>0</v>
      </c>
    </row>
    <row r="46" spans="2:31" x14ac:dyDescent="0.25">
      <c r="B46" s="4"/>
      <c r="C46" s="1" t="s">
        <v>82</v>
      </c>
      <c r="D46" s="1" t="s">
        <v>112</v>
      </c>
      <c r="E46" s="3"/>
      <c r="F46" s="3"/>
      <c r="G46" s="24"/>
      <c r="H46" s="24"/>
      <c r="J46" s="1" t="s">
        <v>87</v>
      </c>
      <c r="K46" s="4"/>
      <c r="L46" s="4"/>
      <c r="M46" s="4"/>
      <c r="N46" s="4"/>
      <c r="O46" s="4"/>
      <c r="P46" s="27"/>
      <c r="Q46" s="25">
        <v>900</v>
      </c>
      <c r="R46" s="25">
        <v>0</v>
      </c>
      <c r="S46" s="12">
        <f t="shared" si="0"/>
        <v>0</v>
      </c>
      <c r="T46" s="5">
        <v>0</v>
      </c>
      <c r="U46" s="12">
        <f t="shared" si="1"/>
        <v>0</v>
      </c>
      <c r="V46" s="25" t="s">
        <v>8</v>
      </c>
      <c r="W46" s="11">
        <f>IFERROR(VLOOKUP(V46,[1]Curr!$B$2:$C$13,2,FALSE),0)</f>
        <v>1</v>
      </c>
      <c r="X46" s="12">
        <f t="shared" si="2"/>
        <v>0</v>
      </c>
      <c r="Y46" s="26">
        <f>Q46/11.3/0.8</f>
        <v>99.55752212389379</v>
      </c>
      <c r="Z46" s="12">
        <f t="shared" si="4"/>
        <v>0</v>
      </c>
      <c r="AA46" s="4" t="s">
        <v>10</v>
      </c>
      <c r="AB46" s="11">
        <f>IFERROR(VLOOKUP(AA46,Curr!$B$2:$C$13,2,FALSE),0)</f>
        <v>11.3</v>
      </c>
      <c r="AC46" s="12">
        <f t="shared" si="5"/>
        <v>0</v>
      </c>
      <c r="AD46" s="12">
        <f t="shared" si="6"/>
        <v>0</v>
      </c>
      <c r="AE46" s="13">
        <f t="shared" si="7"/>
        <v>0</v>
      </c>
    </row>
    <row r="47" spans="2:31" x14ac:dyDescent="0.25">
      <c r="B47" s="4"/>
      <c r="C47" s="1" t="s">
        <v>82</v>
      </c>
      <c r="D47" s="1" t="s">
        <v>112</v>
      </c>
      <c r="E47" s="3"/>
      <c r="F47" s="3"/>
      <c r="G47" s="24"/>
      <c r="H47" s="24"/>
      <c r="J47" s="1" t="s">
        <v>167</v>
      </c>
      <c r="K47" s="4"/>
      <c r="L47" s="4"/>
      <c r="M47" s="4"/>
      <c r="N47" s="4"/>
      <c r="O47" s="4"/>
      <c r="P47" s="27"/>
      <c r="Q47" s="25">
        <v>1690</v>
      </c>
      <c r="R47" s="25">
        <v>0</v>
      </c>
      <c r="S47" s="12">
        <f t="shared" si="0"/>
        <v>0</v>
      </c>
      <c r="T47" s="5">
        <v>0.15</v>
      </c>
      <c r="U47" s="12">
        <f t="shared" si="1"/>
        <v>0</v>
      </c>
      <c r="V47" s="25" t="s">
        <v>8</v>
      </c>
      <c r="W47" s="11">
        <f>IFERROR(VLOOKUP(V47,[1]Curr!$B$2:$C$13,2,FALSE),0)</f>
        <v>1</v>
      </c>
      <c r="X47" s="12">
        <f t="shared" si="2"/>
        <v>0</v>
      </c>
      <c r="Y47" s="26">
        <f>Q47/11.3</f>
        <v>149.55752212389379</v>
      </c>
      <c r="Z47" s="12">
        <f t="shared" si="4"/>
        <v>0</v>
      </c>
      <c r="AA47" s="4" t="s">
        <v>10</v>
      </c>
      <c r="AB47" s="11">
        <f>IFERROR(VLOOKUP(AA47,Curr!$B$2:$C$13,2,FALSE),0)</f>
        <v>11.3</v>
      </c>
      <c r="AC47" s="12">
        <f t="shared" si="5"/>
        <v>0</v>
      </c>
      <c r="AD47" s="12">
        <f t="shared" si="6"/>
        <v>0</v>
      </c>
      <c r="AE47" s="13">
        <f t="shared" si="7"/>
        <v>0</v>
      </c>
    </row>
    <row r="48" spans="2:31" x14ac:dyDescent="0.25">
      <c r="B48" s="4"/>
      <c r="C48" s="1" t="s">
        <v>83</v>
      </c>
      <c r="D48" s="1" t="s">
        <v>112</v>
      </c>
      <c r="E48" s="3"/>
      <c r="F48" s="3"/>
      <c r="G48" s="24"/>
      <c r="H48" s="24"/>
      <c r="J48" s="1" t="s">
        <v>176</v>
      </c>
      <c r="K48" s="4"/>
      <c r="L48" s="4"/>
      <c r="M48" s="4"/>
      <c r="N48" s="4"/>
      <c r="O48" s="4"/>
      <c r="P48" s="27"/>
      <c r="Q48" s="25">
        <v>1290</v>
      </c>
      <c r="R48" s="25">
        <v>0</v>
      </c>
      <c r="S48" s="12">
        <f t="shared" si="0"/>
        <v>0</v>
      </c>
      <c r="T48" s="5">
        <v>0.15</v>
      </c>
      <c r="U48" s="12">
        <f t="shared" si="1"/>
        <v>0</v>
      </c>
      <c r="V48" s="25" t="s">
        <v>8</v>
      </c>
      <c r="W48" s="11">
        <f>IFERROR(VLOOKUP(V48,[1]Curr!$B$2:$C$13,2,FALSE),0)</f>
        <v>1</v>
      </c>
      <c r="X48" s="12">
        <f t="shared" si="2"/>
        <v>0</v>
      </c>
      <c r="Y48" s="26">
        <f>Q48/11.3</f>
        <v>114.15929203539822</v>
      </c>
      <c r="Z48" s="12">
        <f t="shared" si="4"/>
        <v>0</v>
      </c>
      <c r="AA48" s="4" t="s">
        <v>10</v>
      </c>
      <c r="AB48" s="11">
        <f>IFERROR(VLOOKUP(AA48,Curr!$B$2:$C$13,2,FALSE),0)</f>
        <v>11.3</v>
      </c>
      <c r="AC48" s="12">
        <f t="shared" si="5"/>
        <v>0</v>
      </c>
      <c r="AD48" s="12">
        <f t="shared" si="6"/>
        <v>0</v>
      </c>
      <c r="AE48" s="13">
        <f t="shared" si="7"/>
        <v>0</v>
      </c>
    </row>
    <row r="49" spans="2:31" x14ac:dyDescent="0.25">
      <c r="B49" s="4"/>
      <c r="C49" s="1" t="s">
        <v>84</v>
      </c>
      <c r="D49" s="1" t="s">
        <v>112</v>
      </c>
      <c r="E49" s="3"/>
      <c r="F49" s="3"/>
      <c r="G49" s="24"/>
      <c r="H49" s="24"/>
      <c r="J49" s="1" t="s">
        <v>163</v>
      </c>
      <c r="K49" s="4"/>
      <c r="L49" s="4"/>
      <c r="M49" s="4"/>
      <c r="N49" s="4"/>
      <c r="O49" s="4"/>
      <c r="P49" s="33"/>
      <c r="Q49" s="25">
        <v>1790</v>
      </c>
      <c r="R49" s="25">
        <v>0</v>
      </c>
      <c r="S49" s="12">
        <f t="shared" si="0"/>
        <v>0</v>
      </c>
      <c r="T49" s="5">
        <v>0</v>
      </c>
      <c r="U49" s="12">
        <f t="shared" si="1"/>
        <v>0</v>
      </c>
      <c r="V49" s="25" t="s">
        <v>8</v>
      </c>
      <c r="W49" s="11">
        <f>IFERROR(VLOOKUP(V49,[1]Curr!$B$2:$C$13,2,FALSE),0)</f>
        <v>1</v>
      </c>
      <c r="X49" s="12">
        <f t="shared" si="2"/>
        <v>0</v>
      </c>
      <c r="Y49" s="26">
        <f>Q49/11.3/0.8</f>
        <v>198.0088495575221</v>
      </c>
      <c r="Z49" s="12">
        <f t="shared" si="4"/>
        <v>0</v>
      </c>
      <c r="AA49" s="4" t="s">
        <v>10</v>
      </c>
      <c r="AB49" s="11">
        <f>IFERROR(VLOOKUP(AA49,Curr!$B$2:$C$13,2,FALSE),0)</f>
        <v>11.3</v>
      </c>
      <c r="AC49" s="12">
        <f t="shared" si="5"/>
        <v>0</v>
      </c>
      <c r="AD49" s="12">
        <f t="shared" si="6"/>
        <v>0</v>
      </c>
      <c r="AE49" s="13">
        <f t="shared" si="7"/>
        <v>0</v>
      </c>
    </row>
    <row r="50" spans="2:31" x14ac:dyDescent="0.25">
      <c r="B50" s="4"/>
      <c r="E50" s="3"/>
      <c r="F50" s="3"/>
      <c r="G50" s="24"/>
      <c r="H50" s="24"/>
      <c r="K50" s="4"/>
      <c r="L50" s="4"/>
      <c r="M50" s="4"/>
      <c r="N50" s="4"/>
      <c r="O50" s="4"/>
      <c r="P50" s="27"/>
      <c r="Q50" s="25"/>
      <c r="R50" s="25"/>
      <c r="S50" s="12">
        <f t="shared" si="0"/>
        <v>0</v>
      </c>
      <c r="T50" s="5">
        <v>0</v>
      </c>
      <c r="U50" s="12">
        <f t="shared" si="1"/>
        <v>0</v>
      </c>
      <c r="V50" s="25" t="s">
        <v>10</v>
      </c>
      <c r="W50" s="11">
        <f>IFERROR(VLOOKUP(V50,[1]Curr!$B$2:$C$13,2,FALSE),0)</f>
        <v>11.3</v>
      </c>
      <c r="X50" s="12">
        <f t="shared" si="2"/>
        <v>0</v>
      </c>
      <c r="Y50" s="26">
        <f t="shared" si="8"/>
        <v>0</v>
      </c>
      <c r="Z50" s="12">
        <f t="shared" si="4"/>
        <v>0</v>
      </c>
      <c r="AA50" s="4" t="s">
        <v>10</v>
      </c>
      <c r="AB50" s="11">
        <f>IFERROR(VLOOKUP(AA50,Curr!$B$2:$C$13,2,FALSE),0)</f>
        <v>11.3</v>
      </c>
      <c r="AC50" s="12">
        <f t="shared" si="5"/>
        <v>0</v>
      </c>
      <c r="AD50" s="12">
        <f t="shared" si="6"/>
        <v>0</v>
      </c>
      <c r="AE50" s="13">
        <f t="shared" si="7"/>
        <v>0</v>
      </c>
    </row>
    <row r="51" spans="2:31" x14ac:dyDescent="0.25">
      <c r="B51" s="4"/>
      <c r="E51" s="3"/>
      <c r="F51" s="3"/>
      <c r="G51" s="24"/>
      <c r="H51" s="24"/>
      <c r="K51" s="4"/>
      <c r="L51" s="4"/>
      <c r="M51" s="4"/>
      <c r="N51" s="4"/>
      <c r="O51" s="4"/>
      <c r="P51" s="27"/>
      <c r="Q51" s="25"/>
      <c r="R51" s="25"/>
      <c r="S51" s="12">
        <f t="shared" si="0"/>
        <v>0</v>
      </c>
      <c r="T51" s="5">
        <v>0</v>
      </c>
      <c r="U51" s="12">
        <f t="shared" si="1"/>
        <v>0</v>
      </c>
      <c r="V51" s="25" t="s">
        <v>10</v>
      </c>
      <c r="W51" s="11">
        <f>IFERROR(VLOOKUP(V51,[1]Curr!$B$2:$C$13,2,FALSE),0)</f>
        <v>11.3</v>
      </c>
      <c r="X51" s="12">
        <f t="shared" si="2"/>
        <v>0</v>
      </c>
      <c r="Y51" s="26">
        <f t="shared" si="8"/>
        <v>0</v>
      </c>
      <c r="Z51" s="12">
        <f t="shared" si="4"/>
        <v>0</v>
      </c>
      <c r="AA51" s="4" t="s">
        <v>10</v>
      </c>
      <c r="AB51" s="11">
        <f>IFERROR(VLOOKUP(AA51,Curr!$B$2:$C$13,2,FALSE),0)</f>
        <v>11.3</v>
      </c>
      <c r="AC51" s="12">
        <f t="shared" si="5"/>
        <v>0</v>
      </c>
      <c r="AD51" s="12">
        <f t="shared" si="6"/>
        <v>0</v>
      </c>
      <c r="AE51" s="13">
        <f t="shared" si="7"/>
        <v>0</v>
      </c>
    </row>
    <row r="52" spans="2:31" x14ac:dyDescent="0.25">
      <c r="B52" s="4"/>
      <c r="C52" s="1" t="s">
        <v>76</v>
      </c>
      <c r="D52" s="1" t="s">
        <v>183</v>
      </c>
      <c r="E52" s="3"/>
      <c r="F52" s="3"/>
      <c r="G52" s="24"/>
      <c r="H52" s="24"/>
      <c r="J52" s="1" t="s">
        <v>184</v>
      </c>
      <c r="K52" s="4"/>
      <c r="L52" s="4"/>
      <c r="M52" s="4"/>
      <c r="N52" s="4"/>
      <c r="O52" s="4" t="s">
        <v>42</v>
      </c>
      <c r="P52" s="33" t="s">
        <v>185</v>
      </c>
      <c r="Q52" s="25">
        <v>252</v>
      </c>
      <c r="R52" s="25">
        <v>0</v>
      </c>
      <c r="S52" s="12">
        <f t="shared" si="0"/>
        <v>0</v>
      </c>
      <c r="T52" s="5">
        <v>0.2</v>
      </c>
      <c r="U52" s="12">
        <f t="shared" si="1"/>
        <v>0</v>
      </c>
      <c r="V52" s="25" t="s">
        <v>10</v>
      </c>
      <c r="W52" s="11">
        <f>IFERROR(VLOOKUP(V52,[1]Curr!$B$2:$C$13,2,FALSE),0)</f>
        <v>11.3</v>
      </c>
      <c r="X52" s="12">
        <f t="shared" si="2"/>
        <v>0</v>
      </c>
      <c r="Y52" s="26">
        <f t="shared" si="8"/>
        <v>252</v>
      </c>
      <c r="Z52" s="12">
        <f t="shared" si="4"/>
        <v>0</v>
      </c>
      <c r="AA52" s="4" t="s">
        <v>10</v>
      </c>
      <c r="AB52" s="11">
        <f>IFERROR(VLOOKUP(AA52,Curr!$B$2:$C$13,2,FALSE),0)</f>
        <v>11.3</v>
      </c>
      <c r="AC52" s="12">
        <f t="shared" si="5"/>
        <v>0</v>
      </c>
      <c r="AD52" s="12">
        <f t="shared" si="6"/>
        <v>0</v>
      </c>
      <c r="AE52" s="13">
        <f t="shared" si="7"/>
        <v>0</v>
      </c>
    </row>
    <row r="53" spans="2:31" x14ac:dyDescent="0.25">
      <c r="B53" s="4"/>
      <c r="C53" s="1" t="s">
        <v>78</v>
      </c>
      <c r="D53" s="1" t="s">
        <v>183</v>
      </c>
      <c r="E53" s="3"/>
      <c r="F53" s="3"/>
      <c r="G53" s="24"/>
      <c r="H53" s="24"/>
      <c r="J53" s="1" t="s">
        <v>188</v>
      </c>
      <c r="K53" s="4"/>
      <c r="L53" s="4"/>
      <c r="M53" s="4"/>
      <c r="N53" s="4"/>
      <c r="O53" s="4" t="s">
        <v>42</v>
      </c>
      <c r="P53" s="33" t="s">
        <v>189</v>
      </c>
      <c r="Q53" s="25">
        <v>2195</v>
      </c>
      <c r="R53" s="25">
        <v>0</v>
      </c>
      <c r="S53" s="12">
        <f t="shared" si="0"/>
        <v>0</v>
      </c>
      <c r="T53" s="5">
        <v>0.2</v>
      </c>
      <c r="U53" s="12">
        <f t="shared" si="1"/>
        <v>0</v>
      </c>
      <c r="V53" s="25" t="s">
        <v>8</v>
      </c>
      <c r="W53" s="11">
        <f>IFERROR(VLOOKUP(V53,[1]Curr!$B$2:$C$13,2,FALSE),0)</f>
        <v>1</v>
      </c>
      <c r="X53" s="12">
        <f t="shared" si="2"/>
        <v>0</v>
      </c>
      <c r="Y53" s="26">
        <f t="shared" ref="Y53" si="13">Q53/11.3</f>
        <v>194.24778761061947</v>
      </c>
      <c r="Z53" s="12">
        <f t="shared" si="4"/>
        <v>0</v>
      </c>
      <c r="AA53" s="4" t="s">
        <v>10</v>
      </c>
      <c r="AB53" s="11">
        <f>IFERROR(VLOOKUP(AA53,Curr!$B$2:$C$13,2,FALSE),0)</f>
        <v>11.3</v>
      </c>
      <c r="AC53" s="12">
        <f t="shared" si="5"/>
        <v>0</v>
      </c>
      <c r="AD53" s="12">
        <f t="shared" si="6"/>
        <v>0</v>
      </c>
      <c r="AE53" s="13">
        <f t="shared" si="7"/>
        <v>0</v>
      </c>
    </row>
    <row r="54" spans="2:31" x14ac:dyDescent="0.25">
      <c r="B54" s="4"/>
      <c r="C54" s="1" t="s">
        <v>83</v>
      </c>
      <c r="D54" s="1" t="s">
        <v>183</v>
      </c>
      <c r="E54" s="3"/>
      <c r="F54" s="3"/>
      <c r="G54" s="24"/>
      <c r="H54" s="24"/>
      <c r="J54" s="1" t="s">
        <v>208</v>
      </c>
      <c r="K54" s="4"/>
      <c r="L54" s="4"/>
      <c r="M54" s="4"/>
      <c r="N54" s="4"/>
      <c r="O54" s="4" t="s">
        <v>42</v>
      </c>
      <c r="P54" s="33" t="s">
        <v>209</v>
      </c>
      <c r="Q54" s="25">
        <v>3250</v>
      </c>
      <c r="R54" s="25">
        <v>0</v>
      </c>
      <c r="S54" s="12">
        <f t="shared" si="0"/>
        <v>0</v>
      </c>
      <c r="T54" s="5">
        <v>0.08</v>
      </c>
      <c r="U54" s="12">
        <f t="shared" si="1"/>
        <v>0</v>
      </c>
      <c r="V54" s="25" t="s">
        <v>8</v>
      </c>
      <c r="W54" s="11">
        <f>IFERROR(VLOOKUP(V54,[1]Curr!$B$2:$C$13,2,FALSE),0)</f>
        <v>1</v>
      </c>
      <c r="X54" s="12">
        <f t="shared" si="2"/>
        <v>0</v>
      </c>
      <c r="Y54" s="26">
        <f t="shared" ref="Y54" si="14">Q54/11.3/0.9</f>
        <v>319.56735496558503</v>
      </c>
      <c r="Z54" s="12">
        <f t="shared" si="4"/>
        <v>0</v>
      </c>
      <c r="AA54" s="4" t="s">
        <v>10</v>
      </c>
      <c r="AB54" s="11">
        <f>IFERROR(VLOOKUP(AA54,Curr!$B$2:$C$13,2,FALSE),0)</f>
        <v>11.3</v>
      </c>
      <c r="AC54" s="12">
        <f t="shared" si="5"/>
        <v>0</v>
      </c>
      <c r="AD54" s="12">
        <f t="shared" si="6"/>
        <v>0</v>
      </c>
      <c r="AE54" s="13">
        <f t="shared" si="7"/>
        <v>0</v>
      </c>
    </row>
    <row r="55" spans="2:31" x14ac:dyDescent="0.25">
      <c r="B55" s="4"/>
      <c r="E55" s="3"/>
      <c r="F55" s="3"/>
      <c r="G55" s="24"/>
      <c r="H55" s="24"/>
      <c r="K55" s="4"/>
      <c r="L55" s="4"/>
      <c r="M55" s="4"/>
      <c r="N55" s="4"/>
      <c r="O55" s="4"/>
      <c r="P55" s="27"/>
      <c r="Q55" s="25"/>
      <c r="R55" s="25"/>
      <c r="S55" s="12">
        <f t="shared" si="0"/>
        <v>0</v>
      </c>
      <c r="T55" s="5">
        <v>0</v>
      </c>
      <c r="U55" s="12">
        <f t="shared" si="1"/>
        <v>0</v>
      </c>
      <c r="V55" s="25" t="s">
        <v>10</v>
      </c>
      <c r="W55" s="11">
        <f>IFERROR(VLOOKUP(V55,[1]Curr!$B$2:$C$13,2,FALSE),0)</f>
        <v>11.3</v>
      </c>
      <c r="X55" s="12">
        <f t="shared" si="2"/>
        <v>0</v>
      </c>
      <c r="Y55" s="26">
        <f t="shared" si="8"/>
        <v>0</v>
      </c>
      <c r="Z55" s="12">
        <f t="shared" si="4"/>
        <v>0</v>
      </c>
      <c r="AA55" s="4" t="s">
        <v>10</v>
      </c>
      <c r="AB55" s="11">
        <f>IFERROR(VLOOKUP(AA55,Curr!$B$2:$C$13,2,FALSE),0)</f>
        <v>11.3</v>
      </c>
      <c r="AC55" s="12">
        <f t="shared" si="5"/>
        <v>0</v>
      </c>
      <c r="AD55" s="12">
        <f t="shared" si="6"/>
        <v>0</v>
      </c>
      <c r="AE55" s="13">
        <f t="shared" si="7"/>
        <v>0</v>
      </c>
    </row>
    <row r="56" spans="2:31" x14ac:dyDescent="0.25">
      <c r="B56" s="4"/>
      <c r="E56" s="3"/>
      <c r="F56" s="3"/>
      <c r="G56" s="24"/>
      <c r="H56" s="24"/>
      <c r="K56" s="4"/>
      <c r="L56" s="4"/>
      <c r="M56" s="4"/>
      <c r="N56" s="4"/>
      <c r="O56" s="4"/>
      <c r="P56" s="27"/>
      <c r="Q56" s="25"/>
      <c r="R56" s="25"/>
      <c r="S56" s="12">
        <f t="shared" si="0"/>
        <v>0</v>
      </c>
      <c r="T56" s="5">
        <v>0</v>
      </c>
      <c r="U56" s="12">
        <f t="shared" si="1"/>
        <v>0</v>
      </c>
      <c r="V56" s="25" t="s">
        <v>10</v>
      </c>
      <c r="W56" s="11">
        <f>IFERROR(VLOOKUP(V56,[1]Curr!$B$2:$C$13,2,FALSE),0)</f>
        <v>11.3</v>
      </c>
      <c r="X56" s="12">
        <f t="shared" si="2"/>
        <v>0</v>
      </c>
      <c r="Y56" s="26">
        <f t="shared" si="8"/>
        <v>0</v>
      </c>
      <c r="Z56" s="12">
        <f t="shared" si="4"/>
        <v>0</v>
      </c>
      <c r="AA56" s="4" t="s">
        <v>10</v>
      </c>
      <c r="AB56" s="11">
        <f>IFERROR(VLOOKUP(AA56,Curr!$B$2:$C$13,2,FALSE),0)</f>
        <v>11.3</v>
      </c>
      <c r="AC56" s="12">
        <f t="shared" si="5"/>
        <v>0</v>
      </c>
      <c r="AD56" s="12">
        <f t="shared" si="6"/>
        <v>0</v>
      </c>
      <c r="AE56" s="13">
        <f t="shared" si="7"/>
        <v>0</v>
      </c>
    </row>
    <row r="57" spans="2:31" x14ac:dyDescent="0.25">
      <c r="B57" s="4"/>
      <c r="E57" s="3"/>
      <c r="F57" s="3"/>
      <c r="G57" s="24"/>
      <c r="H57" s="24"/>
      <c r="K57" s="4"/>
      <c r="L57" s="4"/>
      <c r="M57" s="4"/>
      <c r="N57" s="4"/>
      <c r="O57" s="4"/>
      <c r="P57" s="27"/>
      <c r="Q57" s="25"/>
      <c r="R57" s="25"/>
      <c r="S57" s="12">
        <f t="shared" si="0"/>
        <v>0</v>
      </c>
      <c r="T57" s="5">
        <v>0</v>
      </c>
      <c r="U57" s="12">
        <f t="shared" si="1"/>
        <v>0</v>
      </c>
      <c r="V57" s="25" t="s">
        <v>10</v>
      </c>
      <c r="W57" s="11">
        <f>IFERROR(VLOOKUP(V57,[1]Curr!$B$2:$C$13,2,FALSE),0)</f>
        <v>11.3</v>
      </c>
      <c r="X57" s="12">
        <f t="shared" si="2"/>
        <v>0</v>
      </c>
      <c r="Y57" s="26">
        <f t="shared" si="8"/>
        <v>0</v>
      </c>
      <c r="Z57" s="12">
        <f t="shared" si="4"/>
        <v>0</v>
      </c>
      <c r="AA57" s="4" t="s">
        <v>10</v>
      </c>
      <c r="AB57" s="11">
        <f>IFERROR(VLOOKUP(AA57,Curr!$B$2:$C$13,2,FALSE),0)</f>
        <v>11.3</v>
      </c>
      <c r="AC57" s="12">
        <f t="shared" si="5"/>
        <v>0</v>
      </c>
      <c r="AD57" s="12">
        <f t="shared" si="6"/>
        <v>0</v>
      </c>
      <c r="AE57" s="13">
        <f t="shared" si="7"/>
        <v>0</v>
      </c>
    </row>
    <row r="58" spans="2:31" x14ac:dyDescent="0.25">
      <c r="B58" s="4"/>
      <c r="E58" s="3"/>
      <c r="F58" s="3"/>
      <c r="G58" s="24"/>
      <c r="H58" s="24"/>
      <c r="K58" s="4"/>
      <c r="L58" s="4"/>
      <c r="M58" s="4"/>
      <c r="N58" s="4"/>
      <c r="O58" s="4"/>
      <c r="P58" s="27"/>
      <c r="Q58" s="25"/>
      <c r="R58" s="25"/>
      <c r="S58" s="12">
        <f t="shared" si="0"/>
        <v>0</v>
      </c>
      <c r="T58" s="5">
        <v>0</v>
      </c>
      <c r="U58" s="12">
        <f t="shared" si="1"/>
        <v>0</v>
      </c>
      <c r="V58" s="25" t="s">
        <v>10</v>
      </c>
      <c r="W58" s="11">
        <f>IFERROR(VLOOKUP(V58,[1]Curr!$B$2:$C$13,2,FALSE),0)</f>
        <v>11.3</v>
      </c>
      <c r="X58" s="12">
        <f t="shared" si="2"/>
        <v>0</v>
      </c>
      <c r="Y58" s="26">
        <f t="shared" si="8"/>
        <v>0</v>
      </c>
      <c r="Z58" s="12">
        <f t="shared" si="4"/>
        <v>0</v>
      </c>
      <c r="AA58" s="4" t="s">
        <v>10</v>
      </c>
      <c r="AB58" s="11">
        <f>IFERROR(VLOOKUP(AA58,Curr!$B$2:$C$13,2,FALSE),0)</f>
        <v>11.3</v>
      </c>
      <c r="AC58" s="12">
        <f t="shared" si="5"/>
        <v>0</v>
      </c>
      <c r="AD58" s="12">
        <f t="shared" si="6"/>
        <v>0</v>
      </c>
      <c r="AE58" s="13">
        <f t="shared" si="7"/>
        <v>0</v>
      </c>
    </row>
    <row r="59" spans="2:31" x14ac:dyDescent="0.25">
      <c r="B59" s="4"/>
      <c r="E59" s="3"/>
      <c r="F59" s="3"/>
      <c r="G59" s="24"/>
      <c r="H59" s="24"/>
      <c r="K59" s="4"/>
      <c r="L59" s="4"/>
      <c r="M59" s="4"/>
      <c r="N59" s="4"/>
      <c r="O59" s="4"/>
      <c r="P59" s="27"/>
      <c r="Q59" s="25"/>
      <c r="R59" s="25"/>
      <c r="S59" s="12">
        <f t="shared" si="0"/>
        <v>0</v>
      </c>
      <c r="T59" s="5">
        <v>0</v>
      </c>
      <c r="U59" s="12">
        <f t="shared" si="1"/>
        <v>0</v>
      </c>
      <c r="V59" s="25" t="s">
        <v>10</v>
      </c>
      <c r="W59" s="11">
        <f>IFERROR(VLOOKUP(V59,[1]Curr!$B$2:$C$13,2,FALSE),0)</f>
        <v>11.3</v>
      </c>
      <c r="X59" s="12">
        <f t="shared" si="2"/>
        <v>0</v>
      </c>
      <c r="Y59" s="26">
        <f t="shared" si="8"/>
        <v>0</v>
      </c>
      <c r="Z59" s="12">
        <f t="shared" si="4"/>
        <v>0</v>
      </c>
      <c r="AA59" s="4" t="s">
        <v>10</v>
      </c>
      <c r="AB59" s="11">
        <f>IFERROR(VLOOKUP(AA59,Curr!$B$2:$C$13,2,FALSE),0)</f>
        <v>11.3</v>
      </c>
      <c r="AC59" s="12">
        <f t="shared" si="5"/>
        <v>0</v>
      </c>
      <c r="AD59" s="12">
        <f t="shared" si="6"/>
        <v>0</v>
      </c>
      <c r="AE59" s="13">
        <f t="shared" si="7"/>
        <v>0</v>
      </c>
    </row>
    <row r="60" spans="2:31" x14ac:dyDescent="0.25">
      <c r="B60" s="4"/>
      <c r="E60" s="3"/>
      <c r="F60" s="3"/>
      <c r="G60" s="24"/>
      <c r="H60" s="24"/>
      <c r="K60" s="4"/>
      <c r="L60" s="4"/>
      <c r="M60" s="4"/>
      <c r="N60" s="4"/>
      <c r="O60" s="4"/>
      <c r="P60" s="27"/>
      <c r="Q60" s="25"/>
      <c r="R60" s="25"/>
      <c r="S60" s="12">
        <f t="shared" si="0"/>
        <v>0</v>
      </c>
      <c r="T60" s="5">
        <v>0</v>
      </c>
      <c r="U60" s="12">
        <f t="shared" si="1"/>
        <v>0</v>
      </c>
      <c r="V60" s="25" t="s">
        <v>10</v>
      </c>
      <c r="W60" s="11">
        <f>IFERROR(VLOOKUP(V60,[1]Curr!$B$2:$C$13,2,FALSE),0)</f>
        <v>11.3</v>
      </c>
      <c r="X60" s="12">
        <f t="shared" si="2"/>
        <v>0</v>
      </c>
      <c r="Y60" s="26">
        <f t="shared" si="8"/>
        <v>0</v>
      </c>
      <c r="Z60" s="12">
        <f t="shared" si="4"/>
        <v>0</v>
      </c>
      <c r="AA60" s="4" t="s">
        <v>10</v>
      </c>
      <c r="AB60" s="11">
        <f>IFERROR(VLOOKUP(AA60,Curr!$B$2:$C$13,2,FALSE),0)</f>
        <v>11.3</v>
      </c>
      <c r="AC60" s="12">
        <f t="shared" si="5"/>
        <v>0</v>
      </c>
      <c r="AD60" s="12">
        <f t="shared" si="6"/>
        <v>0</v>
      </c>
      <c r="AE60" s="13">
        <f t="shared" si="7"/>
        <v>0</v>
      </c>
    </row>
    <row r="61" spans="2:31" x14ac:dyDescent="0.25">
      <c r="B61" s="4"/>
      <c r="E61" s="3"/>
      <c r="F61" s="3"/>
      <c r="G61" s="24"/>
      <c r="H61" s="24"/>
      <c r="K61" s="4"/>
      <c r="L61" s="4"/>
      <c r="M61" s="4"/>
      <c r="N61" s="4"/>
      <c r="O61" s="4"/>
      <c r="P61" s="27"/>
      <c r="Q61" s="25"/>
      <c r="R61" s="25"/>
      <c r="S61" s="12">
        <f t="shared" si="0"/>
        <v>0</v>
      </c>
      <c r="T61" s="5">
        <v>0</v>
      </c>
      <c r="U61" s="12">
        <f t="shared" si="1"/>
        <v>0</v>
      </c>
      <c r="V61" s="25" t="s">
        <v>10</v>
      </c>
      <c r="W61" s="11">
        <f>IFERROR(VLOOKUP(V61,[1]Curr!$B$2:$C$13,2,FALSE),0)</f>
        <v>11.3</v>
      </c>
      <c r="X61" s="12">
        <f t="shared" si="2"/>
        <v>0</v>
      </c>
      <c r="Y61" s="26">
        <f t="shared" si="8"/>
        <v>0</v>
      </c>
      <c r="Z61" s="12">
        <f t="shared" si="4"/>
        <v>0</v>
      </c>
      <c r="AA61" s="4" t="s">
        <v>10</v>
      </c>
      <c r="AB61" s="11">
        <f>IFERROR(VLOOKUP(AA61,Curr!$B$2:$C$13,2,FALSE),0)</f>
        <v>11.3</v>
      </c>
      <c r="AC61" s="12">
        <f t="shared" si="5"/>
        <v>0</v>
      </c>
      <c r="AD61" s="12">
        <f t="shared" si="6"/>
        <v>0</v>
      </c>
      <c r="AE61" s="13">
        <f t="shared" si="7"/>
        <v>0</v>
      </c>
    </row>
    <row r="62" spans="2:31" x14ac:dyDescent="0.25">
      <c r="B62" s="4"/>
      <c r="E62" s="3"/>
      <c r="F62" s="3"/>
      <c r="G62" s="24"/>
      <c r="H62" s="24"/>
      <c r="K62" s="4"/>
      <c r="L62" s="4"/>
      <c r="M62" s="4"/>
      <c r="N62" s="4"/>
      <c r="O62" s="4"/>
      <c r="P62" s="27"/>
      <c r="Q62" s="25"/>
      <c r="R62" s="25"/>
      <c r="S62" s="12">
        <f t="shared" si="0"/>
        <v>0</v>
      </c>
      <c r="T62" s="5">
        <v>0</v>
      </c>
      <c r="U62" s="12">
        <f t="shared" si="1"/>
        <v>0</v>
      </c>
      <c r="V62" s="25" t="s">
        <v>10</v>
      </c>
      <c r="W62" s="11">
        <f>IFERROR(VLOOKUP(V62,[1]Curr!$B$2:$C$13,2,FALSE),0)</f>
        <v>11.3</v>
      </c>
      <c r="X62" s="12">
        <f t="shared" si="2"/>
        <v>0</v>
      </c>
      <c r="Y62" s="26">
        <f t="shared" si="8"/>
        <v>0</v>
      </c>
      <c r="Z62" s="12">
        <f t="shared" si="4"/>
        <v>0</v>
      </c>
      <c r="AA62" s="4" t="s">
        <v>10</v>
      </c>
      <c r="AB62" s="11">
        <f>IFERROR(VLOOKUP(AA62,Curr!$B$2:$C$13,2,FALSE),0)</f>
        <v>11.3</v>
      </c>
      <c r="AC62" s="12">
        <f t="shared" si="5"/>
        <v>0</v>
      </c>
      <c r="AD62" s="12">
        <f t="shared" si="6"/>
        <v>0</v>
      </c>
      <c r="AE62" s="13">
        <f t="shared" si="7"/>
        <v>0</v>
      </c>
    </row>
    <row r="63" spans="2:31" x14ac:dyDescent="0.25">
      <c r="B63" s="4"/>
      <c r="E63" s="3"/>
      <c r="F63" s="3"/>
      <c r="G63" s="24"/>
      <c r="H63" s="24"/>
      <c r="K63" s="4"/>
      <c r="L63" s="4"/>
      <c r="M63" s="4"/>
      <c r="N63" s="4"/>
      <c r="O63" s="4"/>
      <c r="P63" s="27"/>
      <c r="Q63" s="25"/>
      <c r="R63" s="25"/>
      <c r="S63" s="12">
        <f t="shared" si="0"/>
        <v>0</v>
      </c>
      <c r="T63" s="5">
        <v>0</v>
      </c>
      <c r="U63" s="12">
        <f t="shared" si="1"/>
        <v>0</v>
      </c>
      <c r="V63" s="25" t="s">
        <v>10</v>
      </c>
      <c r="W63" s="11">
        <f>IFERROR(VLOOKUP(V63,[1]Curr!$B$2:$C$13,2,FALSE),0)</f>
        <v>11.3</v>
      </c>
      <c r="X63" s="12">
        <f t="shared" si="2"/>
        <v>0</v>
      </c>
      <c r="Y63" s="26">
        <f t="shared" si="8"/>
        <v>0</v>
      </c>
      <c r="Z63" s="12">
        <f t="shared" si="4"/>
        <v>0</v>
      </c>
      <c r="AA63" s="4" t="s">
        <v>10</v>
      </c>
      <c r="AB63" s="11">
        <f>IFERROR(VLOOKUP(AA63,Curr!$B$2:$C$13,2,FALSE),0)</f>
        <v>11.3</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0"/>
        <v>0</v>
      </c>
      <c r="T64" s="5">
        <v>0</v>
      </c>
      <c r="U64" s="12">
        <f t="shared" si="1"/>
        <v>0</v>
      </c>
      <c r="V64" s="25" t="s">
        <v>10</v>
      </c>
      <c r="W64" s="11">
        <f>IFERROR(VLOOKUP(V64,[1]Curr!$B$2:$C$13,2,FALSE),0)</f>
        <v>11.3</v>
      </c>
      <c r="X64" s="12">
        <f t="shared" si="2"/>
        <v>0</v>
      </c>
      <c r="Y64" s="26">
        <f t="shared" si="8"/>
        <v>0</v>
      </c>
      <c r="Z64" s="12">
        <f t="shared" si="4"/>
        <v>0</v>
      </c>
      <c r="AA64" s="4" t="s">
        <v>10</v>
      </c>
      <c r="AB64" s="11">
        <f>IFERROR(VLOOKUP(AA64,Curr!$B$2:$C$13,2,FALSE),0)</f>
        <v>11.3</v>
      </c>
      <c r="AC64" s="12">
        <f t="shared" si="5"/>
        <v>0</v>
      </c>
      <c r="AD64" s="12">
        <f t="shared" si="6"/>
        <v>0</v>
      </c>
      <c r="AE64" s="13">
        <f t="shared" si="7"/>
        <v>0</v>
      </c>
    </row>
    <row r="65" spans="2:36" x14ac:dyDescent="0.25">
      <c r="B65" s="4"/>
      <c r="E65" s="3"/>
      <c r="F65" s="3"/>
      <c r="G65" s="24"/>
      <c r="H65" s="24"/>
      <c r="K65" s="4"/>
      <c r="L65" s="4"/>
      <c r="M65" s="4"/>
      <c r="N65" s="4"/>
      <c r="O65" s="4"/>
      <c r="P65" s="27"/>
      <c r="Q65" s="25"/>
      <c r="R65" s="25"/>
      <c r="S65" s="12">
        <f t="shared" si="0"/>
        <v>0</v>
      </c>
      <c r="T65" s="5">
        <v>0</v>
      </c>
      <c r="U65" s="12">
        <f t="shared" si="1"/>
        <v>0</v>
      </c>
      <c r="V65" s="25" t="s">
        <v>10</v>
      </c>
      <c r="W65" s="11">
        <f>IFERROR(VLOOKUP(V65,[1]Curr!$B$2:$C$13,2,FALSE),0)</f>
        <v>11.3</v>
      </c>
      <c r="X65" s="12">
        <f t="shared" si="2"/>
        <v>0</v>
      </c>
      <c r="Y65" s="26">
        <f t="shared" si="8"/>
        <v>0</v>
      </c>
      <c r="Z65" s="12">
        <f t="shared" si="4"/>
        <v>0</v>
      </c>
      <c r="AA65" s="4" t="s">
        <v>10</v>
      </c>
      <c r="AB65" s="11">
        <f>IFERROR(VLOOKUP(AA65,Curr!$B$2:$C$13,2,FALSE),0)</f>
        <v>11.3</v>
      </c>
      <c r="AC65" s="12">
        <f t="shared" si="5"/>
        <v>0</v>
      </c>
      <c r="AD65" s="12">
        <f t="shared" si="6"/>
        <v>0</v>
      </c>
      <c r="AE65" s="13">
        <f t="shared" si="7"/>
        <v>0</v>
      </c>
    </row>
    <row r="66" spans="2:36" x14ac:dyDescent="0.25">
      <c r="B66" s="4"/>
      <c r="E66" s="3"/>
      <c r="F66" s="3"/>
      <c r="G66" s="3"/>
      <c r="H66" s="3"/>
      <c r="L66" s="4"/>
      <c r="M66" s="4"/>
      <c r="N66" s="4"/>
      <c r="O66" s="4"/>
      <c r="P66" s="22"/>
      <c r="Q66" s="4"/>
      <c r="R66" s="4"/>
      <c r="S66" s="4"/>
      <c r="T66" s="4"/>
      <c r="U66" s="4"/>
      <c r="V66" s="4"/>
      <c r="W66" s="4"/>
      <c r="X66" s="4"/>
      <c r="Y66" s="4"/>
      <c r="Z66" s="4"/>
      <c r="AA66" s="4"/>
      <c r="AB66" s="4"/>
      <c r="AC66" s="4"/>
      <c r="AD66" s="4"/>
      <c r="AE66" s="4"/>
      <c r="AF66" s="4"/>
    </row>
    <row r="67" spans="2:36" x14ac:dyDescent="0.25">
      <c r="B67" s="14" t="s">
        <v>18</v>
      </c>
      <c r="C67" s="14"/>
      <c r="D67" s="28" t="s">
        <v>42</v>
      </c>
      <c r="E67" s="30" t="s">
        <v>42</v>
      </c>
      <c r="F67" s="30" t="s">
        <v>42</v>
      </c>
      <c r="G67" s="30" t="s">
        <v>42</v>
      </c>
      <c r="H67" s="30" t="s">
        <v>42</v>
      </c>
      <c r="I67" s="28" t="s">
        <v>42</v>
      </c>
      <c r="J67" s="28" t="s">
        <v>42</v>
      </c>
      <c r="K67" s="28" t="s">
        <v>42</v>
      </c>
      <c r="L67" s="28" t="s">
        <v>42</v>
      </c>
      <c r="M67" s="28" t="s">
        <v>42</v>
      </c>
      <c r="N67" s="28" t="s">
        <v>42</v>
      </c>
      <c r="O67" s="28" t="s">
        <v>42</v>
      </c>
      <c r="P67" s="28" t="s">
        <v>42</v>
      </c>
      <c r="Q67" s="31" t="s">
        <v>42</v>
      </c>
      <c r="R67" s="28" t="s">
        <v>42</v>
      </c>
      <c r="S67" s="32" t="s">
        <v>42</v>
      </c>
      <c r="T67" s="28" t="s">
        <v>42</v>
      </c>
      <c r="U67" s="32" t="s">
        <v>42</v>
      </c>
      <c r="V67" s="28" t="s">
        <v>42</v>
      </c>
      <c r="W67" s="28" t="s">
        <v>42</v>
      </c>
      <c r="X67" s="32" t="s">
        <v>42</v>
      </c>
      <c r="Y67" s="32" t="s">
        <v>42</v>
      </c>
      <c r="Z67" s="15">
        <f>SUM(Z7:Z65)</f>
        <v>4075.5126670137083</v>
      </c>
      <c r="AA67" s="14"/>
      <c r="AB67" s="14"/>
      <c r="AC67" s="15">
        <f>SUM(AC7:AC65)</f>
        <v>46053.293137254906</v>
      </c>
      <c r="AD67" s="15">
        <f>SUM(AD7:AD65)</f>
        <v>9009.9331372549022</v>
      </c>
      <c r="AE67" s="21">
        <f t="shared" ref="AE67" si="15">IFERROR(AD67/AC67,0)</f>
        <v>0.19564145196744462</v>
      </c>
      <c r="AF67" s="15">
        <f>SUM(AF8:AF66)</f>
        <v>0</v>
      </c>
      <c r="AG67" s="15">
        <f>SUM(AG8:AG66)</f>
        <v>0</v>
      </c>
      <c r="AH67" s="15">
        <f>SUM(AH8:AH66)</f>
        <v>0</v>
      </c>
      <c r="AI67" s="15">
        <f>SUM(AI8:AI66)</f>
        <v>0</v>
      </c>
      <c r="AJ67" s="15">
        <f>SUM(AJ8:AJ66)</f>
        <v>0</v>
      </c>
    </row>
    <row r="68" spans="2:36" x14ac:dyDescent="0.25">
      <c r="B68" s="4"/>
      <c r="E68" s="3"/>
      <c r="F68" s="3"/>
      <c r="G68" s="3"/>
      <c r="H68" s="3"/>
      <c r="L68" s="4"/>
      <c r="M68" s="4"/>
      <c r="N68" s="4"/>
      <c r="O68" s="4"/>
      <c r="Q68" s="4"/>
      <c r="R68" s="4"/>
      <c r="S68" s="4"/>
      <c r="T68" s="4"/>
      <c r="U68" s="4"/>
      <c r="V68" s="4"/>
      <c r="W68" s="4"/>
      <c r="X68" s="4"/>
      <c r="Y68" s="9"/>
      <c r="Z68" s="9"/>
      <c r="AA68" s="9"/>
      <c r="AB68" s="9"/>
      <c r="AC68" s="9"/>
      <c r="AD68" s="9"/>
      <c r="AE68" s="9"/>
    </row>
    <row r="69" spans="2:36" x14ac:dyDescent="0.25">
      <c r="B69" s="4"/>
      <c r="E69" s="3"/>
      <c r="F69" s="3"/>
      <c r="G69" s="3"/>
      <c r="H69" s="3"/>
      <c r="L69" s="4"/>
      <c r="M69" s="4"/>
      <c r="N69" s="4"/>
      <c r="O69" s="4"/>
      <c r="Q69" s="9"/>
      <c r="R69" s="9"/>
      <c r="S69" s="9"/>
      <c r="T69" s="9"/>
      <c r="U69" s="9"/>
      <c r="V69" s="9"/>
      <c r="W69" s="9"/>
      <c r="X69" s="23"/>
      <c r="Y69" s="34" t="s">
        <v>119</v>
      </c>
      <c r="Z69" s="34">
        <f>Z12+Z14+Z17+Z22+Z24+Z30+Z31</f>
        <v>1636.02802359882</v>
      </c>
      <c r="AA69" s="9"/>
      <c r="AB69" s="9"/>
      <c r="AC69" s="9"/>
      <c r="AD69" s="9"/>
      <c r="AE69" s="9"/>
    </row>
    <row r="70" spans="2:36" x14ac:dyDescent="0.25">
      <c r="B70" s="4"/>
      <c r="E70" s="3"/>
      <c r="F70" s="3"/>
      <c r="G70" s="3"/>
      <c r="H70" s="3"/>
      <c r="L70" s="4"/>
      <c r="M70" s="4"/>
      <c r="N70" s="4"/>
      <c r="O70" s="4"/>
      <c r="Q70" s="9"/>
      <c r="R70" s="9"/>
      <c r="S70" s="9"/>
      <c r="T70" s="9"/>
      <c r="U70" s="9"/>
      <c r="V70" s="9"/>
      <c r="W70" s="9"/>
      <c r="X70" s="9"/>
      <c r="Y70" s="35" t="s">
        <v>120</v>
      </c>
      <c r="Z70" s="34">
        <f>Z9+Z19+Z27+Z29+Z35+Z37</f>
        <v>2439.4846434148881</v>
      </c>
      <c r="AA70" s="9"/>
      <c r="AB70" s="9"/>
      <c r="AC70" s="9"/>
      <c r="AD70" s="9"/>
      <c r="AE70" s="9"/>
      <c r="AF70" s="18"/>
    </row>
    <row r="71" spans="2:36" x14ac:dyDescent="0.25">
      <c r="B71" s="4"/>
      <c r="E71" s="3"/>
      <c r="F71" s="3"/>
      <c r="G71" s="3"/>
      <c r="H71" s="3"/>
      <c r="I71" s="19"/>
      <c r="L71" s="4"/>
      <c r="M71" s="4"/>
      <c r="N71" s="4"/>
      <c r="O71" s="20"/>
      <c r="Q71" s="20"/>
      <c r="R71" s="20"/>
      <c r="S71" s="20"/>
      <c r="T71" s="20"/>
      <c r="U71" s="20"/>
      <c r="V71" s="20"/>
      <c r="W71" s="20"/>
      <c r="X71" s="20"/>
      <c r="Y71" s="34" t="s">
        <v>121</v>
      </c>
      <c r="Z71" s="34">
        <v>4080</v>
      </c>
      <c r="AA71" s="9"/>
      <c r="AB71" s="9"/>
      <c r="AC71" s="9"/>
      <c r="AD71" s="9"/>
      <c r="AE71" s="9"/>
      <c r="AF71" s="18"/>
    </row>
    <row r="72" spans="2:36" x14ac:dyDescent="0.25">
      <c r="B72" s="4"/>
      <c r="E72" s="3"/>
      <c r="F72" s="3"/>
      <c r="G72" s="3"/>
      <c r="H72" s="3"/>
      <c r="L72" s="4"/>
      <c r="M72" s="4"/>
      <c r="N72" s="4"/>
      <c r="O72" s="20"/>
      <c r="Q72" s="20"/>
      <c r="R72" s="20"/>
      <c r="S72" s="20"/>
      <c r="T72" s="20"/>
      <c r="U72" s="20"/>
      <c r="V72" s="20"/>
      <c r="W72" s="20"/>
      <c r="X72" s="20"/>
      <c r="Y72" s="34" t="s">
        <v>46</v>
      </c>
      <c r="Z72" s="34">
        <f>Z71/2</f>
        <v>2040</v>
      </c>
      <c r="AA72" s="9"/>
      <c r="AB72" s="9"/>
      <c r="AC72" s="9"/>
      <c r="AD72" s="9"/>
      <c r="AE72" s="9"/>
      <c r="AF72" s="18"/>
    </row>
    <row r="73" spans="2:36" x14ac:dyDescent="0.25">
      <c r="B73" s="4"/>
      <c r="E73" s="3"/>
      <c r="F73" s="3"/>
      <c r="G73" s="3"/>
      <c r="H73" s="3"/>
      <c r="L73" s="4"/>
      <c r="M73" s="4"/>
      <c r="N73" s="4"/>
      <c r="O73" s="4"/>
      <c r="Q73" s="9"/>
      <c r="R73" s="9"/>
      <c r="S73" s="9"/>
      <c r="T73" s="9"/>
      <c r="U73" s="9"/>
      <c r="V73" s="9"/>
      <c r="W73" s="9"/>
      <c r="X73" s="9"/>
      <c r="Y73" s="1"/>
      <c r="Z73" s="1"/>
      <c r="AA73" s="9"/>
      <c r="AB73" s="9"/>
      <c r="AC73" s="9"/>
      <c r="AD73" s="9"/>
      <c r="AE73" s="9"/>
      <c r="AF73" s="18"/>
    </row>
    <row r="74" spans="2:36" x14ac:dyDescent="0.25">
      <c r="F74" s="1"/>
      <c r="G74" s="1"/>
      <c r="H74" s="1"/>
      <c r="J74" s="1" t="s">
        <v>32</v>
      </c>
      <c r="Q74" s="9"/>
      <c r="R74" s="4"/>
      <c r="S74" s="9"/>
      <c r="T74" s="5"/>
      <c r="U74" s="9"/>
      <c r="V74" s="4"/>
      <c r="W74" s="4"/>
      <c r="X74" s="9"/>
      <c r="Y74" s="9"/>
      <c r="Z74" s="9"/>
      <c r="AA74" s="9"/>
      <c r="AB74" s="9"/>
      <c r="AC74" s="9"/>
      <c r="AD74" s="9"/>
      <c r="AE74" s="9"/>
    </row>
    <row r="75" spans="2:36" x14ac:dyDescent="0.25">
      <c r="R75" s="4"/>
      <c r="S75" s="17"/>
      <c r="T75" s="17"/>
      <c r="U75" s="9"/>
      <c r="V75" s="4"/>
      <c r="W75" s="4"/>
      <c r="X75" s="9"/>
      <c r="Y75" s="39" t="s">
        <v>220</v>
      </c>
      <c r="Z75" s="9">
        <f>Z71</f>
        <v>4080</v>
      </c>
      <c r="AA75" s="9"/>
      <c r="AB75" s="9"/>
      <c r="AC75" s="9"/>
      <c r="AD75" s="9"/>
      <c r="AE75" s="9"/>
    </row>
    <row r="76" spans="2:36" x14ac:dyDescent="0.25">
      <c r="Q76" s="9"/>
      <c r="R76" s="4"/>
      <c r="S76" s="16"/>
      <c r="T76" s="16"/>
      <c r="U76" s="9"/>
      <c r="V76" s="4"/>
      <c r="W76" s="4"/>
      <c r="X76" s="9"/>
      <c r="Y76" s="39" t="s">
        <v>221</v>
      </c>
      <c r="Z76" s="9">
        <f>Z75*1.18</f>
        <v>4814.3999999999996</v>
      </c>
      <c r="AA76" s="9"/>
      <c r="AB76" s="9"/>
      <c r="AC76" s="9"/>
      <c r="AD76" s="9"/>
      <c r="AE76" s="9"/>
    </row>
    <row r="77" spans="2:36" x14ac:dyDescent="0.25">
      <c r="R77" s="4"/>
      <c r="S77" s="16"/>
      <c r="T77" s="16"/>
      <c r="Y77" s="39" t="s">
        <v>222</v>
      </c>
      <c r="Z77" s="9">
        <f>Z75*1.3</f>
        <v>5304</v>
      </c>
      <c r="AA77" s="9"/>
      <c r="AB77" s="9"/>
      <c r="AC77" s="9"/>
      <c r="AD77" s="9"/>
      <c r="AE77" s="9"/>
    </row>
    <row r="78" spans="2:36" x14ac:dyDescent="0.25">
      <c r="T78" s="5"/>
      <c r="Y78" s="39" t="s">
        <v>223</v>
      </c>
      <c r="Z78" s="9">
        <f>Z75*0.85</f>
        <v>3468</v>
      </c>
      <c r="AA78" s="9"/>
      <c r="AB78" s="9"/>
      <c r="AC78" s="9"/>
      <c r="AD78" s="9"/>
      <c r="AE78" s="9"/>
    </row>
    <row r="79" spans="2:36" x14ac:dyDescent="0.25">
      <c r="T79" s="5"/>
      <c r="Y79" s="9"/>
      <c r="Z79" s="9"/>
      <c r="AA79" s="9"/>
      <c r="AB79" s="9"/>
      <c r="AC79" s="9"/>
      <c r="AD79" s="9"/>
      <c r="AE79" s="9"/>
    </row>
    <row r="80" spans="2:36" x14ac:dyDescent="0.25">
      <c r="T80" s="5"/>
      <c r="Y80" s="9"/>
      <c r="Z80" s="9"/>
      <c r="AA80" s="9"/>
      <c r="AB80" s="9"/>
      <c r="AC80" s="9"/>
      <c r="AD80" s="9"/>
      <c r="AE80" s="9"/>
    </row>
    <row r="81" spans="20:31" x14ac:dyDescent="0.25">
      <c r="T81" s="5"/>
      <c r="Y81" s="9"/>
      <c r="Z81" s="9"/>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c r="Y84" s="9"/>
      <c r="Z84" s="9"/>
      <c r="AA84" s="9"/>
      <c r="AB84" s="9"/>
      <c r="AC84" s="9"/>
      <c r="AD84" s="9"/>
      <c r="AE84" s="9"/>
    </row>
    <row r="85" spans="20:31" x14ac:dyDescent="0.25">
      <c r="T85" s="5"/>
      <c r="Y85" s="9"/>
      <c r="Z85" s="9"/>
      <c r="AA85" s="9"/>
      <c r="AB85" s="9"/>
      <c r="AC85" s="9"/>
      <c r="AD85" s="9"/>
      <c r="AE85" s="9"/>
    </row>
    <row r="86" spans="20:31" x14ac:dyDescent="0.25">
      <c r="T86" s="5"/>
    </row>
    <row r="87" spans="20:31" x14ac:dyDescent="0.25">
      <c r="T87" s="5"/>
    </row>
    <row r="88" spans="20:31" x14ac:dyDescent="0.25">
      <c r="T88" s="5"/>
    </row>
    <row r="89" spans="20:31" x14ac:dyDescent="0.25">
      <c r="T89" s="5"/>
    </row>
    <row r="90" spans="20:31" x14ac:dyDescent="0.25">
      <c r="T90" s="5"/>
    </row>
  </sheetData>
  <autoFilter ref="B6:AE67" xr:uid="{65FA6D9B-E0AF-46CD-BA0D-86BB75FE6AB0}"/>
  <hyperlinks>
    <hyperlink ref="P12" r:id="rId1" xr:uid="{E91E157A-CAC3-45C7-8592-4A34129A48FA}"/>
    <hyperlink ref="P17" r:id="rId2" xr:uid="{EB4B44AB-CB75-46FB-9A23-3C866F16AE20}"/>
    <hyperlink ref="P22" r:id="rId3" xr:uid="{1B6AFB8F-3EBC-436C-A5BE-5A7E5DB6E3FB}"/>
    <hyperlink ref="P30" r:id="rId4" xr:uid="{670C5288-C2AF-4ACE-AEB5-8FB649EB6E89}"/>
    <hyperlink ref="P31" r:id="rId5" xr:uid="{CC180DE1-CDB0-4BCC-8371-BBCA400754C5}"/>
    <hyperlink ref="P35" r:id="rId6" location="reisesok" xr:uid="{75C1A289-08B7-4129-9D34-23B0BDB09615}"/>
    <hyperlink ref="P52" r:id="rId7" xr:uid="{E53283FC-E12A-4386-A2E9-F36159AB66A9}"/>
    <hyperlink ref="P54" r:id="rId8" xr:uid="{EA4B1477-D571-42D1-9CE1-09EA2CE1B792}"/>
    <hyperlink ref="P24" r:id="rId9" xr:uid="{B3BAE2EB-F3B3-4B9E-A142-17888BF50D6B}"/>
    <hyperlink ref="P14" r:id="rId10" xr:uid="{99479598-156F-41CC-9C19-A591B0E0C50E}"/>
  </hyperlinks>
  <pageMargins left="0.7" right="0.7" top="0.75" bottom="0.75" header="0.3" footer="0.3"/>
  <pageSetup paperSize="9" orientation="portrait" r:id="rId1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6B161-F898-4416-90D0-35CA67153422}">
  <sheetPr>
    <tabColor rgb="FFFFFF00"/>
  </sheetPr>
  <dimension ref="B1:AK96"/>
  <sheetViews>
    <sheetView zoomScale="80" zoomScaleNormal="80" workbookViewId="0">
      <selection activeCell="Z78" sqref="Z78"/>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55</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24"/>
      <c r="H7" s="24"/>
      <c r="J7" s="1" t="s">
        <v>69</v>
      </c>
      <c r="K7" s="4"/>
      <c r="L7" s="4"/>
      <c r="M7" s="4"/>
      <c r="N7" s="4"/>
      <c r="O7" s="4"/>
      <c r="P7" s="27"/>
      <c r="Q7" s="25">
        <v>0</v>
      </c>
      <c r="R7" s="25">
        <v>0</v>
      </c>
      <c r="S7" s="12">
        <f t="shared" ref="S7:S70" si="0">+Q7*R7</f>
        <v>0</v>
      </c>
      <c r="T7" s="5">
        <v>0</v>
      </c>
      <c r="U7" s="12">
        <f t="shared" ref="U7:U70" si="1">S7*(1-T7)</f>
        <v>0</v>
      </c>
      <c r="V7" s="25" t="s">
        <v>10</v>
      </c>
      <c r="W7" s="11">
        <f>IFERROR(VLOOKUP(V7,[1]Curr!$B$2:$C$13,2,FALSE),0)</f>
        <v>11.3</v>
      </c>
      <c r="X7" s="12">
        <f t="shared" ref="X7:X70" si="2">U7*W7</f>
        <v>0</v>
      </c>
      <c r="Y7" s="26">
        <f t="shared" ref="Y7:Y10" si="3">Q7</f>
        <v>0</v>
      </c>
      <c r="Z7" s="12">
        <f t="shared" ref="Z7:Z70" si="4">+Y7*R7</f>
        <v>0</v>
      </c>
      <c r="AA7" s="4" t="s">
        <v>10</v>
      </c>
      <c r="AB7" s="11">
        <f>IFERROR(VLOOKUP(AA7,Curr!$B$2:$C$13,2,FALSE),0)</f>
        <v>11.3</v>
      </c>
      <c r="AC7" s="12">
        <f t="shared" ref="AC7:AC69" si="5">+Y7*AB7*R7</f>
        <v>0</v>
      </c>
      <c r="AD7" s="12">
        <f t="shared" ref="AD7:AD69" si="6">+AC7-X7</f>
        <v>0</v>
      </c>
      <c r="AE7" s="13">
        <f t="shared" ref="AE7:AE69" si="7">IFERROR(AD7/AC7,0)</f>
        <v>0</v>
      </c>
    </row>
    <row r="8" spans="2:36" x14ac:dyDescent="0.25">
      <c r="B8" s="4"/>
      <c r="C8" s="1" t="s">
        <v>64</v>
      </c>
      <c r="D8" s="1" t="s">
        <v>66</v>
      </c>
      <c r="E8" s="3"/>
      <c r="F8" s="3"/>
      <c r="G8" s="24"/>
      <c r="H8" s="24"/>
      <c r="J8" s="1" t="s">
        <v>70</v>
      </c>
      <c r="K8" s="4"/>
      <c r="L8" s="4"/>
      <c r="M8" s="4"/>
      <c r="N8" s="4"/>
      <c r="O8" s="4"/>
      <c r="P8" s="27"/>
      <c r="Q8" s="25">
        <v>0</v>
      </c>
      <c r="R8" s="25">
        <v>0</v>
      </c>
      <c r="S8" s="12">
        <f t="shared" si="0"/>
        <v>0</v>
      </c>
      <c r="T8" s="5">
        <v>0</v>
      </c>
      <c r="U8" s="12">
        <f t="shared" si="1"/>
        <v>0</v>
      </c>
      <c r="V8" s="25" t="s">
        <v>10</v>
      </c>
      <c r="W8" s="11">
        <f>IFERROR(VLOOKUP(V8,[1]Curr!$B$2:$C$13,2,FALSE),0)</f>
        <v>11.3</v>
      </c>
      <c r="X8" s="12">
        <f t="shared" si="2"/>
        <v>0</v>
      </c>
      <c r="Y8" s="26">
        <f>Q8/0.8</f>
        <v>0</v>
      </c>
      <c r="Z8" s="12">
        <f t="shared" si="4"/>
        <v>0</v>
      </c>
      <c r="AA8" s="4" t="s">
        <v>10</v>
      </c>
      <c r="AB8" s="11">
        <f>IFERROR(VLOOKUP(AA8,Curr!$B$2:$C$13,2,FALSE),0)</f>
        <v>11.3</v>
      </c>
      <c r="AC8" s="12">
        <f t="shared" si="5"/>
        <v>0</v>
      </c>
      <c r="AD8" s="12">
        <f t="shared" si="6"/>
        <v>0</v>
      </c>
      <c r="AE8" s="13">
        <f t="shared" si="7"/>
        <v>0</v>
      </c>
    </row>
    <row r="9" spans="2:36" x14ac:dyDescent="0.25">
      <c r="B9" s="4"/>
      <c r="C9" s="1" t="s">
        <v>64</v>
      </c>
      <c r="D9" s="1" t="s">
        <v>67</v>
      </c>
      <c r="E9" s="3"/>
      <c r="F9" s="3"/>
      <c r="G9" s="24"/>
      <c r="H9" s="24"/>
      <c r="J9" s="1" t="s">
        <v>124</v>
      </c>
      <c r="K9" s="4"/>
      <c r="L9" s="4"/>
      <c r="M9" s="4"/>
      <c r="N9" s="4"/>
      <c r="O9" s="4"/>
      <c r="P9" s="33"/>
      <c r="Q9" s="25">
        <v>600</v>
      </c>
      <c r="R9" s="25">
        <v>1</v>
      </c>
      <c r="S9" s="12">
        <f t="shared" si="0"/>
        <v>600</v>
      </c>
      <c r="T9" s="5">
        <v>0</v>
      </c>
      <c r="U9" s="12">
        <f t="shared" si="1"/>
        <v>600</v>
      </c>
      <c r="V9" s="25" t="s">
        <v>10</v>
      </c>
      <c r="W9" s="11">
        <f>IFERROR(VLOOKUP(V9,[1]Curr!$B$2:$C$13,2,FALSE),0)</f>
        <v>11.3</v>
      </c>
      <c r="X9" s="12">
        <f t="shared" si="2"/>
        <v>6780</v>
      </c>
      <c r="Y9" s="26">
        <f>Q9/0.85</f>
        <v>705.88235294117646</v>
      </c>
      <c r="Z9" s="12">
        <f t="shared" si="4"/>
        <v>705.88235294117646</v>
      </c>
      <c r="AA9" s="4" t="s">
        <v>10</v>
      </c>
      <c r="AB9" s="11">
        <f>IFERROR(VLOOKUP(AA9,Curr!$B$2:$C$13,2,FALSE),0)</f>
        <v>11.3</v>
      </c>
      <c r="AC9" s="12">
        <f t="shared" si="5"/>
        <v>7976.4705882352946</v>
      </c>
      <c r="AD9" s="12">
        <f t="shared" si="6"/>
        <v>1196.4705882352946</v>
      </c>
      <c r="AE9" s="13">
        <f t="shared" si="7"/>
        <v>0.15000000000000005</v>
      </c>
    </row>
    <row r="10" spans="2:36" x14ac:dyDescent="0.25">
      <c r="B10" s="4"/>
      <c r="C10" s="1" t="s">
        <v>64</v>
      </c>
      <c r="D10" s="1" t="s">
        <v>68</v>
      </c>
      <c r="E10" s="3"/>
      <c r="F10" s="3"/>
      <c r="G10" s="24"/>
      <c r="H10" s="24"/>
      <c r="J10" s="1" t="s">
        <v>71</v>
      </c>
      <c r="K10" s="4"/>
      <c r="L10" s="4"/>
      <c r="M10" s="4"/>
      <c r="N10" s="4"/>
      <c r="O10" s="4"/>
      <c r="P10" s="27"/>
      <c r="Q10" s="25">
        <v>0</v>
      </c>
      <c r="R10" s="25">
        <v>0</v>
      </c>
      <c r="S10" s="12">
        <f t="shared" si="0"/>
        <v>0</v>
      </c>
      <c r="T10" s="5">
        <v>0</v>
      </c>
      <c r="U10" s="12">
        <f t="shared" si="1"/>
        <v>0</v>
      </c>
      <c r="V10" s="25" t="s">
        <v>10</v>
      </c>
      <c r="W10" s="11">
        <f>IFERROR(VLOOKUP(V10,[1]Curr!$B$2:$C$13,2,FALSE),0)</f>
        <v>11.3</v>
      </c>
      <c r="X10" s="12">
        <f t="shared" si="2"/>
        <v>0</v>
      </c>
      <c r="Y10" s="26">
        <f t="shared" si="3"/>
        <v>0</v>
      </c>
      <c r="Z10" s="12">
        <f t="shared" si="4"/>
        <v>0</v>
      </c>
      <c r="AA10" s="4" t="s">
        <v>10</v>
      </c>
      <c r="AB10" s="11">
        <f>IFERROR(VLOOKUP(AA10,Curr!$B$2:$C$13,2,FALSE),0)</f>
        <v>11.3</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IFERROR(VLOOKUP(V11,[1]Curr!$B$2:$C$13,2,FALSE),0)</f>
        <v>11.3</v>
      </c>
      <c r="X11" s="12">
        <f t="shared" si="2"/>
        <v>0</v>
      </c>
      <c r="Y11" s="26">
        <f t="shared" ref="Y11:Y70" si="8">Q11</f>
        <v>0</v>
      </c>
      <c r="Z11" s="12">
        <f t="shared" si="4"/>
        <v>0</v>
      </c>
      <c r="AA11" s="4" t="s">
        <v>10</v>
      </c>
      <c r="AB11" s="11">
        <f>IFERROR(VLOOKUP(AA11,Curr!$B$2:$C$13,2,FALSE),0)</f>
        <v>11.3</v>
      </c>
      <c r="AC11" s="12">
        <f t="shared" si="5"/>
        <v>0</v>
      </c>
      <c r="AD11" s="12">
        <f t="shared" si="6"/>
        <v>0</v>
      </c>
      <c r="AE11" s="13">
        <f t="shared" si="7"/>
        <v>0</v>
      </c>
    </row>
    <row r="12" spans="2:36" x14ac:dyDescent="0.25">
      <c r="B12" s="4"/>
      <c r="C12" s="1" t="s">
        <v>76</v>
      </c>
      <c r="D12" s="1" t="s">
        <v>75</v>
      </c>
      <c r="E12" s="3"/>
      <c r="F12" s="3"/>
      <c r="G12" s="24"/>
      <c r="H12" s="24"/>
      <c r="J12" s="1" t="s">
        <v>101</v>
      </c>
      <c r="K12" s="4"/>
      <c r="L12" s="4"/>
      <c r="M12" s="4"/>
      <c r="N12" s="4"/>
      <c r="O12" s="4" t="s">
        <v>42</v>
      </c>
      <c r="P12" s="33" t="s">
        <v>102</v>
      </c>
      <c r="Q12" s="25">
        <v>188</v>
      </c>
      <c r="R12" s="25">
        <v>2</v>
      </c>
      <c r="S12" s="12">
        <f t="shared" si="0"/>
        <v>376</v>
      </c>
      <c r="T12" s="5">
        <v>0.2</v>
      </c>
      <c r="U12" s="12">
        <f t="shared" si="1"/>
        <v>300.8</v>
      </c>
      <c r="V12" s="25" t="s">
        <v>10</v>
      </c>
      <c r="W12" s="11">
        <v>11.3</v>
      </c>
      <c r="X12" s="12">
        <f t="shared" si="2"/>
        <v>3399.0400000000004</v>
      </c>
      <c r="Y12" s="26">
        <v>188</v>
      </c>
      <c r="Z12" s="12">
        <f t="shared" si="4"/>
        <v>376</v>
      </c>
      <c r="AA12" s="4" t="s">
        <v>10</v>
      </c>
      <c r="AB12" s="11">
        <f>IFERROR(VLOOKUP(AA12,Curr!$B$2:$C$13,2,FALSE),0)</f>
        <v>11.3</v>
      </c>
      <c r="AC12" s="12">
        <f t="shared" si="5"/>
        <v>4248.8</v>
      </c>
      <c r="AD12" s="12">
        <f t="shared" si="6"/>
        <v>849.75999999999976</v>
      </c>
      <c r="AE12" s="13">
        <f t="shared" si="7"/>
        <v>0.19999999999999993</v>
      </c>
    </row>
    <row r="13" spans="2:36" x14ac:dyDescent="0.25">
      <c r="B13" s="4"/>
      <c r="C13" s="1" t="s">
        <v>76</v>
      </c>
      <c r="D13" s="1" t="s">
        <v>68</v>
      </c>
      <c r="E13" s="3"/>
      <c r="F13" s="3"/>
      <c r="G13" s="24"/>
      <c r="H13" s="24"/>
      <c r="J13" s="1" t="s">
        <v>71</v>
      </c>
      <c r="K13" s="4"/>
      <c r="L13" s="4"/>
      <c r="M13" s="4"/>
      <c r="N13" s="4"/>
      <c r="O13" s="4"/>
      <c r="P13" s="27"/>
      <c r="Q13" s="25">
        <v>0</v>
      </c>
      <c r="R13" s="25">
        <v>0</v>
      </c>
      <c r="S13" s="12">
        <f t="shared" si="0"/>
        <v>0</v>
      </c>
      <c r="T13" s="5">
        <v>0</v>
      </c>
      <c r="U13" s="12">
        <f t="shared" si="1"/>
        <v>0</v>
      </c>
      <c r="V13" s="25" t="s">
        <v>10</v>
      </c>
      <c r="W13" s="11">
        <f>IFERROR(VLOOKUP(V13,[1]Curr!$B$2:$C$13,2,FALSE),0)</f>
        <v>11.3</v>
      </c>
      <c r="X13" s="12">
        <f t="shared" si="2"/>
        <v>0</v>
      </c>
      <c r="Y13" s="26">
        <f t="shared" ref="Y13:Y14" si="9">Q13</f>
        <v>0</v>
      </c>
      <c r="Z13" s="12">
        <f t="shared" si="4"/>
        <v>0</v>
      </c>
      <c r="AA13" s="4" t="s">
        <v>10</v>
      </c>
      <c r="AB13" s="11">
        <f>IFERROR(VLOOKUP(AA13,Curr!$B$2:$C$13,2,FALSE),0)</f>
        <v>11.3</v>
      </c>
      <c r="AC13" s="12">
        <f t="shared" si="5"/>
        <v>0</v>
      </c>
      <c r="AD13" s="12">
        <f t="shared" si="6"/>
        <v>0</v>
      </c>
      <c r="AE13" s="13">
        <f t="shared" si="7"/>
        <v>0</v>
      </c>
    </row>
    <row r="14" spans="2:36" x14ac:dyDescent="0.25">
      <c r="B14" s="4"/>
      <c r="C14" s="1" t="s">
        <v>76</v>
      </c>
      <c r="D14" s="1" t="s">
        <v>75</v>
      </c>
      <c r="E14" s="3"/>
      <c r="F14" s="3"/>
      <c r="G14" s="24"/>
      <c r="H14" s="24"/>
      <c r="J14" s="1" t="s">
        <v>218</v>
      </c>
      <c r="K14" s="4"/>
      <c r="L14" s="4"/>
      <c r="M14" s="4"/>
      <c r="N14" s="4"/>
      <c r="O14" s="4" t="s">
        <v>42</v>
      </c>
      <c r="P14" s="33" t="s">
        <v>219</v>
      </c>
      <c r="Q14" s="25">
        <v>109</v>
      </c>
      <c r="R14" s="25">
        <v>2</v>
      </c>
      <c r="S14" s="12">
        <f t="shared" si="0"/>
        <v>218</v>
      </c>
      <c r="T14" s="5">
        <v>0.2</v>
      </c>
      <c r="U14" s="12">
        <f t="shared" si="1"/>
        <v>174.4</v>
      </c>
      <c r="V14" s="25" t="s">
        <v>10</v>
      </c>
      <c r="W14" s="11">
        <f>IFERROR(VLOOKUP(V14,[1]Curr!$B$2:$C$13,2,FALSE),0)</f>
        <v>11.3</v>
      </c>
      <c r="X14" s="12">
        <f t="shared" si="2"/>
        <v>1970.7200000000003</v>
      </c>
      <c r="Y14" s="26">
        <f t="shared" si="9"/>
        <v>109</v>
      </c>
      <c r="Z14" s="12">
        <f t="shared" si="4"/>
        <v>218</v>
      </c>
      <c r="AA14" s="4" t="s">
        <v>10</v>
      </c>
      <c r="AB14" s="11">
        <f>IFERROR(VLOOKUP(AA14,Curr!$B$2:$C$13,2,FALSE),0)</f>
        <v>11.3</v>
      </c>
      <c r="AC14" s="12">
        <f t="shared" si="5"/>
        <v>2463.4</v>
      </c>
      <c r="AD14" s="12">
        <f t="shared" si="6"/>
        <v>492.67999999999984</v>
      </c>
      <c r="AE14" s="13">
        <f t="shared" si="7"/>
        <v>0.19999999999999993</v>
      </c>
    </row>
    <row r="15" spans="2:36" x14ac:dyDescent="0.25">
      <c r="B15" s="4"/>
      <c r="E15" s="3"/>
      <c r="F15" s="3"/>
      <c r="G15" s="24"/>
      <c r="H15" s="24"/>
      <c r="K15" s="4"/>
      <c r="L15" s="4"/>
      <c r="M15" s="4"/>
      <c r="N15" s="4"/>
      <c r="O15" s="4"/>
      <c r="P15" s="27"/>
      <c r="Q15" s="25"/>
      <c r="R15" s="25"/>
      <c r="S15" s="12">
        <f t="shared" si="0"/>
        <v>0</v>
      </c>
      <c r="T15" s="5">
        <v>0</v>
      </c>
      <c r="U15" s="12">
        <f t="shared" si="1"/>
        <v>0</v>
      </c>
      <c r="V15" s="25" t="s">
        <v>10</v>
      </c>
      <c r="W15" s="11">
        <f>IFERROR(VLOOKUP(V15,[1]Curr!$B$2:$C$13,2,FALSE),0)</f>
        <v>11.3</v>
      </c>
      <c r="X15" s="12">
        <f t="shared" si="2"/>
        <v>0</v>
      </c>
      <c r="Y15" s="26">
        <f t="shared" ref="Y15:Y16" si="10">Q15</f>
        <v>0</v>
      </c>
      <c r="Z15" s="12">
        <f t="shared" si="4"/>
        <v>0</v>
      </c>
      <c r="AA15" s="4" t="s">
        <v>10</v>
      </c>
      <c r="AB15" s="11">
        <f>IFERROR(VLOOKUP(AA15,Curr!$B$2:$C$13,2,FALSE),0)</f>
        <v>11.3</v>
      </c>
      <c r="AC15" s="12">
        <f t="shared" si="5"/>
        <v>0</v>
      </c>
      <c r="AD15" s="12">
        <f t="shared" si="6"/>
        <v>0</v>
      </c>
      <c r="AE15" s="13">
        <f t="shared" si="7"/>
        <v>0</v>
      </c>
    </row>
    <row r="16" spans="2:36" x14ac:dyDescent="0.25">
      <c r="B16" s="4"/>
      <c r="C16" s="1" t="s">
        <v>77</v>
      </c>
      <c r="D16" s="1" t="s">
        <v>66</v>
      </c>
      <c r="E16" s="3"/>
      <c r="F16" s="3"/>
      <c r="G16" s="24"/>
      <c r="H16" s="24"/>
      <c r="J16" s="1" t="s">
        <v>107</v>
      </c>
      <c r="K16" s="4"/>
      <c r="L16" s="4"/>
      <c r="M16" s="4"/>
      <c r="N16" s="4"/>
      <c r="O16" s="4"/>
      <c r="P16" s="27"/>
      <c r="Q16" s="25">
        <v>0</v>
      </c>
      <c r="R16" s="25">
        <v>0</v>
      </c>
      <c r="S16" s="12">
        <f t="shared" si="0"/>
        <v>0</v>
      </c>
      <c r="T16" s="5">
        <v>0</v>
      </c>
      <c r="U16" s="12">
        <f t="shared" si="1"/>
        <v>0</v>
      </c>
      <c r="V16" s="25" t="s">
        <v>10</v>
      </c>
      <c r="W16" s="11">
        <f>IFERROR(VLOOKUP(V16,[1]Curr!$B$2:$C$13,2,FALSE),0)</f>
        <v>11.3</v>
      </c>
      <c r="X16" s="12">
        <f t="shared" si="2"/>
        <v>0</v>
      </c>
      <c r="Y16" s="26">
        <f t="shared" si="10"/>
        <v>0</v>
      </c>
      <c r="Z16" s="12">
        <f t="shared" si="4"/>
        <v>0</v>
      </c>
      <c r="AA16" s="4" t="s">
        <v>10</v>
      </c>
      <c r="AB16" s="11">
        <f>IFERROR(VLOOKUP(AA16,Curr!$B$2:$C$13,2,FALSE),0)</f>
        <v>11.3</v>
      </c>
      <c r="AC16" s="12">
        <f t="shared" si="5"/>
        <v>0</v>
      </c>
      <c r="AD16" s="12">
        <f t="shared" si="6"/>
        <v>0</v>
      </c>
      <c r="AE16" s="13">
        <f t="shared" si="7"/>
        <v>0</v>
      </c>
    </row>
    <row r="17" spans="2:31" x14ac:dyDescent="0.25">
      <c r="B17" s="4"/>
      <c r="C17" s="1" t="s">
        <v>77</v>
      </c>
      <c r="D17" s="1" t="s">
        <v>75</v>
      </c>
      <c r="E17" s="3"/>
      <c r="F17" s="3"/>
      <c r="G17" s="24"/>
      <c r="H17" s="24"/>
      <c r="J17" s="1" t="s">
        <v>79</v>
      </c>
      <c r="K17" s="4"/>
      <c r="L17" s="4"/>
      <c r="M17" s="4"/>
      <c r="N17" s="4"/>
      <c r="O17" s="4" t="s">
        <v>42</v>
      </c>
      <c r="P17" s="33" t="s">
        <v>80</v>
      </c>
      <c r="Q17" s="25">
        <v>1830</v>
      </c>
      <c r="R17" s="25">
        <v>2</v>
      </c>
      <c r="S17" s="12">
        <f t="shared" si="0"/>
        <v>3660</v>
      </c>
      <c r="T17" s="5">
        <v>0.2</v>
      </c>
      <c r="U17" s="12">
        <f t="shared" si="1"/>
        <v>2928</v>
      </c>
      <c r="V17" s="25" t="s">
        <v>8</v>
      </c>
      <c r="W17" s="11">
        <f>IFERROR(VLOOKUP(V17,[1]Curr!$B$2:$C$13,2,FALSE),0)</f>
        <v>1</v>
      </c>
      <c r="X17" s="12">
        <f t="shared" si="2"/>
        <v>2928</v>
      </c>
      <c r="Y17" s="26">
        <f>Q17/11.3/0.9</f>
        <v>179.9410029498525</v>
      </c>
      <c r="Z17" s="12">
        <f t="shared" si="4"/>
        <v>359.88200589970501</v>
      </c>
      <c r="AA17" s="4" t="s">
        <v>10</v>
      </c>
      <c r="AB17" s="11">
        <f>IFERROR(VLOOKUP(AA17,Curr!$B$2:$C$13,2,FALSE),0)</f>
        <v>11.3</v>
      </c>
      <c r="AC17" s="12">
        <f t="shared" si="5"/>
        <v>4066.666666666667</v>
      </c>
      <c r="AD17" s="12">
        <f t="shared" si="6"/>
        <v>1138.666666666667</v>
      </c>
      <c r="AE17" s="13">
        <f t="shared" si="7"/>
        <v>0.28000000000000003</v>
      </c>
    </row>
    <row r="18" spans="2:31" x14ac:dyDescent="0.25">
      <c r="B18" s="4"/>
      <c r="C18" s="1" t="s">
        <v>77</v>
      </c>
      <c r="D18" s="1" t="s">
        <v>66</v>
      </c>
      <c r="E18" s="3"/>
      <c r="F18" s="3"/>
      <c r="G18" s="24"/>
      <c r="H18" s="24"/>
      <c r="J18" s="1" t="s">
        <v>106</v>
      </c>
      <c r="K18" s="4"/>
      <c r="L18" s="4"/>
      <c r="M18" s="4"/>
      <c r="N18" s="4"/>
      <c r="O18" s="4"/>
      <c r="P18" s="33"/>
      <c r="Q18" s="25">
        <v>0</v>
      </c>
      <c r="R18" s="25">
        <v>0</v>
      </c>
      <c r="S18" s="12">
        <f t="shared" si="0"/>
        <v>0</v>
      </c>
      <c r="T18" s="5">
        <v>0</v>
      </c>
      <c r="U18" s="12">
        <f t="shared" si="1"/>
        <v>0</v>
      </c>
      <c r="V18" s="25" t="s">
        <v>10</v>
      </c>
      <c r="W18" s="11">
        <f>IFERROR(VLOOKUP(V18,[1]Curr!$B$2:$C$13,2,FALSE),0)</f>
        <v>11.3</v>
      </c>
      <c r="X18" s="12">
        <f t="shared" si="2"/>
        <v>0</v>
      </c>
      <c r="Y18" s="26">
        <f t="shared" ref="Y18:Y20" si="11">Q18</f>
        <v>0</v>
      </c>
      <c r="Z18" s="12">
        <f t="shared" si="4"/>
        <v>0</v>
      </c>
      <c r="AA18" s="4" t="s">
        <v>10</v>
      </c>
      <c r="AB18" s="11">
        <f>IFERROR(VLOOKUP(AA18,Curr!$B$2:$C$13,2,FALSE),0)</f>
        <v>11.3</v>
      </c>
      <c r="AC18" s="12">
        <f t="shared" si="5"/>
        <v>0</v>
      </c>
      <c r="AD18" s="12">
        <f t="shared" si="6"/>
        <v>0</v>
      </c>
      <c r="AE18" s="13">
        <f t="shared" si="7"/>
        <v>0</v>
      </c>
    </row>
    <row r="19" spans="2:31" x14ac:dyDescent="0.25">
      <c r="B19" s="4"/>
      <c r="C19" s="1" t="s">
        <v>77</v>
      </c>
      <c r="D19" s="1" t="s">
        <v>67</v>
      </c>
      <c r="E19" s="3"/>
      <c r="F19" s="3"/>
      <c r="G19" s="24"/>
      <c r="H19" s="24"/>
      <c r="J19" s="1" t="s">
        <v>108</v>
      </c>
      <c r="K19" s="4"/>
      <c r="L19" s="4"/>
      <c r="M19" s="4"/>
      <c r="N19" s="4"/>
      <c r="O19" s="4"/>
      <c r="P19" s="33"/>
      <c r="Q19" s="25">
        <v>800</v>
      </c>
      <c r="R19" s="25">
        <v>1</v>
      </c>
      <c r="S19" s="12">
        <f t="shared" si="0"/>
        <v>800</v>
      </c>
      <c r="T19" s="5">
        <v>0</v>
      </c>
      <c r="U19" s="12">
        <f t="shared" si="1"/>
        <v>800</v>
      </c>
      <c r="V19" s="25" t="s">
        <v>10</v>
      </c>
      <c r="W19" s="11">
        <f>IFERROR(VLOOKUP(V19,[1]Curr!$B$2:$C$13,2,FALSE),0)</f>
        <v>11.3</v>
      </c>
      <c r="X19" s="12">
        <f t="shared" si="2"/>
        <v>9040</v>
      </c>
      <c r="Y19" s="26">
        <f>Q19/0.85</f>
        <v>941.17647058823536</v>
      </c>
      <c r="Z19" s="12">
        <f t="shared" si="4"/>
        <v>941.17647058823536</v>
      </c>
      <c r="AA19" s="4" t="s">
        <v>10</v>
      </c>
      <c r="AB19" s="11">
        <f>IFERROR(VLOOKUP(AA19,Curr!$B$2:$C$13,2,FALSE),0)</f>
        <v>11.3</v>
      </c>
      <c r="AC19" s="12">
        <f t="shared" si="5"/>
        <v>10635.294117647059</v>
      </c>
      <c r="AD19" s="12">
        <f t="shared" si="6"/>
        <v>1595.2941176470595</v>
      </c>
      <c r="AE19" s="13">
        <f t="shared" si="7"/>
        <v>0.15000000000000005</v>
      </c>
    </row>
    <row r="20" spans="2:31" x14ac:dyDescent="0.25">
      <c r="B20" s="4"/>
      <c r="C20" s="1" t="s">
        <v>77</v>
      </c>
      <c r="D20" s="1" t="s">
        <v>68</v>
      </c>
      <c r="E20" s="3"/>
      <c r="F20" s="3"/>
      <c r="G20" s="24"/>
      <c r="H20" s="24"/>
      <c r="J20" s="1" t="s">
        <v>81</v>
      </c>
      <c r="K20" s="4"/>
      <c r="L20" s="4"/>
      <c r="M20" s="4"/>
      <c r="N20" s="4"/>
      <c r="O20" s="4"/>
      <c r="P20" s="27"/>
      <c r="Q20" s="25">
        <v>0</v>
      </c>
      <c r="R20" s="25">
        <v>0</v>
      </c>
      <c r="S20" s="12">
        <f t="shared" si="0"/>
        <v>0</v>
      </c>
      <c r="T20" s="5">
        <v>0</v>
      </c>
      <c r="U20" s="12">
        <f t="shared" si="1"/>
        <v>0</v>
      </c>
      <c r="V20" s="25" t="s">
        <v>10</v>
      </c>
      <c r="W20" s="11">
        <f>IFERROR(VLOOKUP(V20,[1]Curr!$B$2:$C$13,2,FALSE),0)</f>
        <v>11.3</v>
      </c>
      <c r="X20" s="12">
        <f t="shared" si="2"/>
        <v>0</v>
      </c>
      <c r="Y20" s="26">
        <f t="shared" si="11"/>
        <v>0</v>
      </c>
      <c r="Z20" s="12">
        <f t="shared" si="4"/>
        <v>0</v>
      </c>
      <c r="AA20" s="4" t="s">
        <v>10</v>
      </c>
      <c r="AB20" s="11">
        <f>IFERROR(VLOOKUP(AA20,Curr!$B$2:$C$13,2,FALSE),0)</f>
        <v>11.3</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IFERROR(VLOOKUP(V21,[1]Curr!$B$2:$C$13,2,FALSE),0)</f>
        <v>11.3</v>
      </c>
      <c r="X21" s="12">
        <f t="shared" si="2"/>
        <v>0</v>
      </c>
      <c r="Y21" s="26">
        <f t="shared" si="8"/>
        <v>0</v>
      </c>
      <c r="Z21" s="12">
        <f t="shared" si="4"/>
        <v>0</v>
      </c>
      <c r="AA21" s="4" t="s">
        <v>10</v>
      </c>
      <c r="AB21" s="11">
        <f>IFERROR(VLOOKUP(AA21,Curr!$B$2:$C$13,2,FALSE),0)</f>
        <v>11.3</v>
      </c>
      <c r="AC21" s="12">
        <f t="shared" si="5"/>
        <v>0</v>
      </c>
      <c r="AD21" s="12">
        <f t="shared" si="6"/>
        <v>0</v>
      </c>
      <c r="AE21" s="13">
        <f t="shared" si="7"/>
        <v>0</v>
      </c>
    </row>
    <row r="22" spans="2:31" x14ac:dyDescent="0.25">
      <c r="B22" s="4"/>
      <c r="C22" s="1" t="s">
        <v>78</v>
      </c>
      <c r="D22" s="1" t="s">
        <v>75</v>
      </c>
      <c r="E22" s="3"/>
      <c r="F22" s="3"/>
      <c r="G22" s="24"/>
      <c r="H22" s="24"/>
      <c r="J22" s="1" t="s">
        <v>88</v>
      </c>
      <c r="K22" s="4"/>
      <c r="L22" s="4"/>
      <c r="M22" s="4"/>
      <c r="N22" s="4"/>
      <c r="O22" s="4" t="s">
        <v>42</v>
      </c>
      <c r="P22" s="33" t="s">
        <v>89</v>
      </c>
      <c r="Q22" s="25">
        <v>1695</v>
      </c>
      <c r="R22" s="25">
        <v>2</v>
      </c>
      <c r="S22" s="12">
        <f t="shared" si="0"/>
        <v>3390</v>
      </c>
      <c r="T22" s="5">
        <v>0.2</v>
      </c>
      <c r="U22" s="12">
        <f t="shared" si="1"/>
        <v>2712</v>
      </c>
      <c r="V22" s="25" t="s">
        <v>8</v>
      </c>
      <c r="W22" s="11">
        <f>IFERROR(VLOOKUP(V22,[1]Curr!$B$2:$C$13,2,FALSE),0)</f>
        <v>1</v>
      </c>
      <c r="X22" s="12">
        <f t="shared" si="2"/>
        <v>2712</v>
      </c>
      <c r="Y22" s="26">
        <f>Q22/11.3</f>
        <v>150</v>
      </c>
      <c r="Z22" s="12">
        <f t="shared" si="4"/>
        <v>300</v>
      </c>
      <c r="AA22" s="4" t="s">
        <v>10</v>
      </c>
      <c r="AB22" s="11">
        <f>IFERROR(VLOOKUP(AA22,Curr!$B$2:$C$13,2,FALSE),0)</f>
        <v>11.3</v>
      </c>
      <c r="AC22" s="12">
        <f t="shared" si="5"/>
        <v>3390</v>
      </c>
      <c r="AD22" s="12">
        <f t="shared" si="6"/>
        <v>678</v>
      </c>
      <c r="AE22" s="13">
        <f t="shared" si="7"/>
        <v>0.2</v>
      </c>
    </row>
    <row r="23" spans="2:31" x14ac:dyDescent="0.25">
      <c r="B23" s="4"/>
      <c r="C23" s="1" t="s">
        <v>78</v>
      </c>
      <c r="D23" s="1" t="s">
        <v>68</v>
      </c>
      <c r="E23" s="3"/>
      <c r="F23" s="3"/>
      <c r="G23" s="24"/>
      <c r="H23" s="24"/>
      <c r="J23" s="1" t="s">
        <v>81</v>
      </c>
      <c r="K23" s="4"/>
      <c r="L23" s="4"/>
      <c r="M23" s="4"/>
      <c r="N23" s="4"/>
      <c r="O23" s="4"/>
      <c r="P23" s="33"/>
      <c r="Q23" s="25">
        <v>0</v>
      </c>
      <c r="R23" s="25">
        <v>0</v>
      </c>
      <c r="S23" s="12">
        <f t="shared" si="0"/>
        <v>0</v>
      </c>
      <c r="T23" s="5">
        <v>0</v>
      </c>
      <c r="U23" s="12">
        <f t="shared" si="1"/>
        <v>0</v>
      </c>
      <c r="V23" s="25" t="s">
        <v>10</v>
      </c>
      <c r="W23" s="11">
        <f>IFERROR(VLOOKUP(V23,[1]Curr!$B$2:$C$13,2,FALSE),0)</f>
        <v>11.3</v>
      </c>
      <c r="X23" s="12">
        <f t="shared" si="2"/>
        <v>0</v>
      </c>
      <c r="Y23" s="26">
        <f t="shared" ref="Y23:Y28" si="12">Q23</f>
        <v>0</v>
      </c>
      <c r="Z23" s="12">
        <f t="shared" si="4"/>
        <v>0</v>
      </c>
      <c r="AA23" s="4" t="s">
        <v>10</v>
      </c>
      <c r="AB23" s="11">
        <f>IFERROR(VLOOKUP(AA23,Curr!$B$2:$C$13,2,FALSE),0)</f>
        <v>11.3</v>
      </c>
      <c r="AC23" s="12">
        <f t="shared" si="5"/>
        <v>0</v>
      </c>
      <c r="AD23" s="12">
        <f t="shared" si="6"/>
        <v>0</v>
      </c>
      <c r="AE23" s="13">
        <f t="shared" si="7"/>
        <v>0</v>
      </c>
    </row>
    <row r="24" spans="2:31" x14ac:dyDescent="0.25">
      <c r="B24" s="4"/>
      <c r="C24" s="1" t="s">
        <v>78</v>
      </c>
      <c r="D24" s="1" t="s">
        <v>75</v>
      </c>
      <c r="E24" s="3"/>
      <c r="F24" s="3"/>
      <c r="G24" s="24"/>
      <c r="H24" s="24"/>
      <c r="J24" s="1" t="s">
        <v>216</v>
      </c>
      <c r="K24" s="4"/>
      <c r="L24" s="4"/>
      <c r="M24" s="4"/>
      <c r="N24" s="4"/>
      <c r="O24" s="4" t="s">
        <v>42</v>
      </c>
      <c r="P24" s="33" t="s">
        <v>217</v>
      </c>
      <c r="Q24" s="25">
        <v>120</v>
      </c>
      <c r="R24" s="25">
        <v>2</v>
      </c>
      <c r="S24" s="12">
        <f t="shared" si="0"/>
        <v>240</v>
      </c>
      <c r="T24" s="5">
        <v>0.2</v>
      </c>
      <c r="U24" s="12">
        <f t="shared" si="1"/>
        <v>192</v>
      </c>
      <c r="V24" s="25" t="s">
        <v>10</v>
      </c>
      <c r="W24" s="11">
        <f>IFERROR(VLOOKUP(V24,[2]Curr!$B$2:$C$13,2,FALSE),0)</f>
        <v>11.3</v>
      </c>
      <c r="X24" s="12">
        <f t="shared" si="2"/>
        <v>2169.6000000000004</v>
      </c>
      <c r="Y24" s="26">
        <f t="shared" si="12"/>
        <v>120</v>
      </c>
      <c r="Z24" s="12">
        <f t="shared" si="4"/>
        <v>240</v>
      </c>
      <c r="AA24" s="4" t="s">
        <v>10</v>
      </c>
      <c r="AB24" s="11">
        <f>IFERROR(VLOOKUP(AA24,Curr!$B$2:$C$13,2,FALSE),0)</f>
        <v>11.3</v>
      </c>
      <c r="AC24" s="12">
        <f t="shared" si="5"/>
        <v>2712</v>
      </c>
      <c r="AD24" s="12">
        <f t="shared" si="6"/>
        <v>542.39999999999964</v>
      </c>
      <c r="AE24" s="13">
        <f t="shared" si="7"/>
        <v>0.19999999999999987</v>
      </c>
    </row>
    <row r="25" spans="2:31" x14ac:dyDescent="0.25">
      <c r="B25" s="4"/>
      <c r="E25" s="3"/>
      <c r="F25" s="3"/>
      <c r="G25" s="24"/>
      <c r="H25" s="24"/>
      <c r="K25" s="4"/>
      <c r="L25" s="4"/>
      <c r="M25" s="4"/>
      <c r="N25" s="4"/>
      <c r="O25" s="4"/>
      <c r="P25" s="33"/>
      <c r="Q25" s="25"/>
      <c r="R25" s="25"/>
      <c r="S25" s="12">
        <f t="shared" si="0"/>
        <v>0</v>
      </c>
      <c r="T25" s="5">
        <v>0</v>
      </c>
      <c r="U25" s="12">
        <f t="shared" si="1"/>
        <v>0</v>
      </c>
      <c r="V25" s="25" t="s">
        <v>10</v>
      </c>
      <c r="W25" s="11">
        <f>IFERROR(VLOOKUP(V25,[1]Curr!$B$2:$C$13,2,FALSE),0)</f>
        <v>11.3</v>
      </c>
      <c r="X25" s="12">
        <f t="shared" si="2"/>
        <v>0</v>
      </c>
      <c r="Y25" s="26">
        <f t="shared" si="12"/>
        <v>0</v>
      </c>
      <c r="Z25" s="12">
        <f t="shared" si="4"/>
        <v>0</v>
      </c>
      <c r="AA25" s="4" t="s">
        <v>10</v>
      </c>
      <c r="AB25" s="11">
        <f>IFERROR(VLOOKUP(AA25,Curr!$B$2:$C$13,2,FALSE),0)</f>
        <v>11.3</v>
      </c>
      <c r="AC25" s="12">
        <f t="shared" si="5"/>
        <v>0</v>
      </c>
      <c r="AD25" s="12">
        <f t="shared" si="6"/>
        <v>0</v>
      </c>
      <c r="AE25" s="13">
        <f t="shared" si="7"/>
        <v>0</v>
      </c>
    </row>
    <row r="26" spans="2:31" x14ac:dyDescent="0.25">
      <c r="B26" s="4"/>
      <c r="C26" s="1" t="s">
        <v>82</v>
      </c>
      <c r="D26" s="1" t="s">
        <v>75</v>
      </c>
      <c r="E26" s="3"/>
      <c r="F26" s="3"/>
      <c r="G26" s="24"/>
      <c r="H26" s="24"/>
      <c r="J26" s="1" t="s">
        <v>110</v>
      </c>
      <c r="K26" s="4"/>
      <c r="L26" s="4"/>
      <c r="M26" s="4"/>
      <c r="N26" s="4"/>
      <c r="O26" s="4" t="s">
        <v>42</v>
      </c>
      <c r="P26" s="33" t="s">
        <v>111</v>
      </c>
      <c r="Q26" s="25">
        <v>145</v>
      </c>
      <c r="R26" s="25">
        <v>2</v>
      </c>
      <c r="S26" s="12">
        <f t="shared" si="0"/>
        <v>290</v>
      </c>
      <c r="T26" s="5">
        <v>0.2</v>
      </c>
      <c r="U26" s="12">
        <f t="shared" si="1"/>
        <v>232</v>
      </c>
      <c r="V26" s="25" t="s">
        <v>10</v>
      </c>
      <c r="W26" s="11">
        <f>IFERROR(VLOOKUP(V26,[1]Curr!$B$2:$C$13,2,FALSE),0)</f>
        <v>11.3</v>
      </c>
      <c r="X26" s="12">
        <f t="shared" si="2"/>
        <v>2621.6000000000004</v>
      </c>
      <c r="Y26" s="26">
        <f t="shared" si="12"/>
        <v>145</v>
      </c>
      <c r="Z26" s="12">
        <f t="shared" si="4"/>
        <v>290</v>
      </c>
      <c r="AA26" s="4" t="s">
        <v>10</v>
      </c>
      <c r="AB26" s="11">
        <f>IFERROR(VLOOKUP(AA26,Curr!$B$2:$C$13,2,FALSE),0)</f>
        <v>11.3</v>
      </c>
      <c r="AC26" s="12">
        <f t="shared" si="5"/>
        <v>3277</v>
      </c>
      <c r="AD26" s="12">
        <f t="shared" si="6"/>
        <v>655.39999999999964</v>
      </c>
      <c r="AE26" s="13">
        <f t="shared" si="7"/>
        <v>0.1999999999999999</v>
      </c>
    </row>
    <row r="27" spans="2:31" x14ac:dyDescent="0.25">
      <c r="B27" s="4"/>
      <c r="C27" s="1" t="s">
        <v>82</v>
      </c>
      <c r="D27" s="1" t="s">
        <v>68</v>
      </c>
      <c r="E27" s="3"/>
      <c r="F27" s="3"/>
      <c r="G27" s="24"/>
      <c r="H27" s="24"/>
      <c r="J27" s="1" t="s">
        <v>81</v>
      </c>
      <c r="K27" s="4"/>
      <c r="L27" s="4"/>
      <c r="M27" s="4"/>
      <c r="N27" s="4"/>
      <c r="O27" s="4"/>
      <c r="P27" s="33"/>
      <c r="Q27" s="25">
        <v>0</v>
      </c>
      <c r="R27" s="25">
        <v>0</v>
      </c>
      <c r="S27" s="12">
        <f t="shared" si="0"/>
        <v>0</v>
      </c>
      <c r="T27" s="5">
        <v>0</v>
      </c>
      <c r="U27" s="12">
        <f t="shared" si="1"/>
        <v>0</v>
      </c>
      <c r="V27" s="25" t="s">
        <v>10</v>
      </c>
      <c r="W27" s="11">
        <f>IFERROR(VLOOKUP(V27,[1]Curr!$B$2:$C$13,2,FALSE),0)</f>
        <v>11.3</v>
      </c>
      <c r="X27" s="12">
        <f t="shared" si="2"/>
        <v>0</v>
      </c>
      <c r="Y27" s="26">
        <f t="shared" si="12"/>
        <v>0</v>
      </c>
      <c r="Z27" s="12">
        <f t="shared" si="4"/>
        <v>0</v>
      </c>
      <c r="AA27" s="4" t="s">
        <v>10</v>
      </c>
      <c r="AB27" s="11">
        <f>IFERROR(VLOOKUP(AA27,Curr!$B$2:$C$13,2,FALSE),0)</f>
        <v>11.3</v>
      </c>
      <c r="AC27" s="12">
        <f t="shared" si="5"/>
        <v>0</v>
      </c>
      <c r="AD27" s="12">
        <f t="shared" si="6"/>
        <v>0</v>
      </c>
      <c r="AE27" s="13">
        <f t="shared" si="7"/>
        <v>0</v>
      </c>
    </row>
    <row r="28" spans="2:31" x14ac:dyDescent="0.25">
      <c r="B28" s="4"/>
      <c r="C28" s="1" t="s">
        <v>82</v>
      </c>
      <c r="D28" s="1" t="s">
        <v>75</v>
      </c>
      <c r="E28" s="3"/>
      <c r="F28" s="3"/>
      <c r="G28" s="24"/>
      <c r="H28" s="24"/>
      <c r="J28" s="1" t="s">
        <v>92</v>
      </c>
      <c r="K28" s="4"/>
      <c r="L28" s="4"/>
      <c r="M28" s="4"/>
      <c r="N28" s="4"/>
      <c r="O28" s="4" t="s">
        <v>42</v>
      </c>
      <c r="P28" s="33" t="s">
        <v>93</v>
      </c>
      <c r="Q28" s="25">
        <v>105</v>
      </c>
      <c r="R28" s="25">
        <v>2</v>
      </c>
      <c r="S28" s="12">
        <f t="shared" si="0"/>
        <v>210</v>
      </c>
      <c r="T28" s="5">
        <v>0.2</v>
      </c>
      <c r="U28" s="12">
        <f t="shared" si="1"/>
        <v>168</v>
      </c>
      <c r="V28" s="25" t="s">
        <v>10</v>
      </c>
      <c r="W28" s="11">
        <f>IFERROR(VLOOKUP(V28,[1]Curr!$B$2:$C$13,2,FALSE),0)</f>
        <v>11.3</v>
      </c>
      <c r="X28" s="12">
        <f t="shared" si="2"/>
        <v>1898.4</v>
      </c>
      <c r="Y28" s="26">
        <f t="shared" si="12"/>
        <v>105</v>
      </c>
      <c r="Z28" s="12">
        <f t="shared" si="4"/>
        <v>210</v>
      </c>
      <c r="AA28" s="4" t="s">
        <v>10</v>
      </c>
      <c r="AB28" s="11">
        <f>IFERROR(VLOOKUP(AA28,Curr!$B$2:$C$13,2,FALSE),0)</f>
        <v>11.3</v>
      </c>
      <c r="AC28" s="12">
        <f t="shared" si="5"/>
        <v>2373</v>
      </c>
      <c r="AD28" s="12">
        <f t="shared" si="6"/>
        <v>474.59999999999991</v>
      </c>
      <c r="AE28" s="13">
        <f t="shared" si="7"/>
        <v>0.19999999999999996</v>
      </c>
    </row>
    <row r="29" spans="2:31" x14ac:dyDescent="0.25">
      <c r="B29" s="4"/>
      <c r="E29" s="3"/>
      <c r="F29" s="3"/>
      <c r="G29" s="24"/>
      <c r="H29" s="24"/>
      <c r="K29" s="4"/>
      <c r="L29" s="4"/>
      <c r="M29" s="4"/>
      <c r="N29" s="4"/>
      <c r="O29" s="4"/>
      <c r="P29" s="29"/>
      <c r="Q29" s="25"/>
      <c r="R29" s="25"/>
      <c r="S29" s="12">
        <f t="shared" si="0"/>
        <v>0</v>
      </c>
      <c r="T29" s="5">
        <v>0</v>
      </c>
      <c r="U29" s="12">
        <f t="shared" si="1"/>
        <v>0</v>
      </c>
      <c r="V29" s="25" t="s">
        <v>10</v>
      </c>
      <c r="W29" s="11">
        <f>IFERROR(VLOOKUP(V29,[1]Curr!$B$2:$C$13,2,FALSE),0)</f>
        <v>11.3</v>
      </c>
      <c r="X29" s="12">
        <f t="shared" si="2"/>
        <v>0</v>
      </c>
      <c r="Y29" s="26">
        <f t="shared" si="8"/>
        <v>0</v>
      </c>
      <c r="Z29" s="12">
        <f t="shared" si="4"/>
        <v>0</v>
      </c>
      <c r="AA29" s="4" t="s">
        <v>10</v>
      </c>
      <c r="AB29" s="11">
        <f>IFERROR(VLOOKUP(AA29,Curr!$B$2:$C$13,2,FALSE),0)</f>
        <v>11.3</v>
      </c>
      <c r="AC29" s="12">
        <f t="shared" si="5"/>
        <v>0</v>
      </c>
      <c r="AD29" s="12">
        <f t="shared" si="6"/>
        <v>0</v>
      </c>
      <c r="AE29" s="13">
        <f t="shared" si="7"/>
        <v>0</v>
      </c>
    </row>
    <row r="30" spans="2:31" x14ac:dyDescent="0.25">
      <c r="B30" s="4"/>
      <c r="C30" s="1" t="s">
        <v>83</v>
      </c>
      <c r="D30" s="1" t="s">
        <v>66</v>
      </c>
      <c r="E30" s="3"/>
      <c r="F30" s="3"/>
      <c r="G30" s="24"/>
      <c r="H30" s="24"/>
      <c r="J30" s="1" t="s">
        <v>87</v>
      </c>
      <c r="K30" s="4"/>
      <c r="L30" s="4"/>
      <c r="M30" s="4"/>
      <c r="N30" s="4"/>
      <c r="O30" s="4"/>
      <c r="P30" s="33"/>
      <c r="Q30" s="25">
        <v>0</v>
      </c>
      <c r="R30" s="25">
        <v>0</v>
      </c>
      <c r="S30" s="12">
        <f t="shared" si="0"/>
        <v>0</v>
      </c>
      <c r="T30" s="5">
        <v>0</v>
      </c>
      <c r="U30" s="12">
        <f t="shared" si="1"/>
        <v>0</v>
      </c>
      <c r="V30" s="25" t="s">
        <v>10</v>
      </c>
      <c r="W30" s="11">
        <f>IFERROR(VLOOKUP(V30,[1]Curr!$B$2:$C$13,2,FALSE),0)</f>
        <v>11.3</v>
      </c>
      <c r="X30" s="12">
        <f t="shared" si="2"/>
        <v>0</v>
      </c>
      <c r="Y30" s="26">
        <f t="shared" si="8"/>
        <v>0</v>
      </c>
      <c r="Z30" s="12">
        <f t="shared" si="4"/>
        <v>0</v>
      </c>
      <c r="AA30" s="4" t="s">
        <v>10</v>
      </c>
      <c r="AB30" s="11">
        <f>IFERROR(VLOOKUP(AA30,Curr!$B$2:$C$13,2,FALSE),0)</f>
        <v>11.3</v>
      </c>
      <c r="AC30" s="12">
        <f t="shared" si="5"/>
        <v>0</v>
      </c>
      <c r="AD30" s="12">
        <f t="shared" si="6"/>
        <v>0</v>
      </c>
      <c r="AE30" s="13">
        <f t="shared" si="7"/>
        <v>0</v>
      </c>
    </row>
    <row r="31" spans="2:31" x14ac:dyDescent="0.25">
      <c r="B31" s="4"/>
      <c r="C31" s="1" t="s">
        <v>83</v>
      </c>
      <c r="D31" s="1" t="s">
        <v>161</v>
      </c>
      <c r="E31" s="3"/>
      <c r="F31" s="3"/>
      <c r="G31" s="24"/>
      <c r="H31" s="24"/>
      <c r="J31" s="1" t="s">
        <v>207</v>
      </c>
      <c r="K31" s="4"/>
      <c r="L31" s="4"/>
      <c r="M31" s="4"/>
      <c r="N31" s="4"/>
      <c r="O31" s="4"/>
      <c r="P31" s="27"/>
      <c r="Q31" s="25">
        <v>1800</v>
      </c>
      <c r="R31" s="25">
        <v>2</v>
      </c>
      <c r="S31" s="12">
        <f t="shared" si="0"/>
        <v>3600</v>
      </c>
      <c r="T31" s="5">
        <v>0</v>
      </c>
      <c r="U31" s="12">
        <f t="shared" si="1"/>
        <v>3600</v>
      </c>
      <c r="V31" s="25" t="s">
        <v>8</v>
      </c>
      <c r="W31" s="11">
        <f>IFERROR(VLOOKUP(V31,[1]Curr!$B$2:$C$13,2,FALSE),0)</f>
        <v>1</v>
      </c>
      <c r="X31" s="12">
        <f t="shared" si="2"/>
        <v>3600</v>
      </c>
      <c r="Y31" s="26">
        <f>Q31/11.3/0.8</f>
        <v>199.11504424778758</v>
      </c>
      <c r="Z31" s="12">
        <f t="shared" si="4"/>
        <v>398.23008849557516</v>
      </c>
      <c r="AA31" s="4" t="s">
        <v>10</v>
      </c>
      <c r="AB31" s="11">
        <f>IFERROR(VLOOKUP(AA31,Curr!$B$2:$C$13,2,FALSE),0)</f>
        <v>11.3</v>
      </c>
      <c r="AC31" s="12">
        <f t="shared" si="5"/>
        <v>4500</v>
      </c>
      <c r="AD31" s="12">
        <f t="shared" si="6"/>
        <v>900</v>
      </c>
      <c r="AE31" s="13">
        <f t="shared" si="7"/>
        <v>0.2</v>
      </c>
    </row>
    <row r="32" spans="2:31" x14ac:dyDescent="0.25">
      <c r="B32" s="4"/>
      <c r="C32" s="1" t="s">
        <v>83</v>
      </c>
      <c r="D32" s="1" t="s">
        <v>66</v>
      </c>
      <c r="E32" s="3"/>
      <c r="F32" s="3"/>
      <c r="G32" s="24"/>
      <c r="H32" s="24"/>
      <c r="J32" s="1" t="s">
        <v>167</v>
      </c>
      <c r="K32" s="4"/>
      <c r="L32" s="4"/>
      <c r="M32" s="4"/>
      <c r="N32" s="4"/>
      <c r="O32" s="4"/>
      <c r="P32" s="33"/>
      <c r="Q32" s="25">
        <v>0</v>
      </c>
      <c r="R32" s="25">
        <v>0</v>
      </c>
      <c r="S32" s="12">
        <f t="shared" si="0"/>
        <v>0</v>
      </c>
      <c r="T32" s="5">
        <v>0</v>
      </c>
      <c r="U32" s="12">
        <f t="shared" si="1"/>
        <v>0</v>
      </c>
      <c r="V32" s="25" t="s">
        <v>10</v>
      </c>
      <c r="W32" s="11">
        <f>IFERROR(VLOOKUP(V32,[1]Curr!$B$2:$C$13,2,FALSE),0)</f>
        <v>11.3</v>
      </c>
      <c r="X32" s="12">
        <f t="shared" si="2"/>
        <v>0</v>
      </c>
      <c r="Y32" s="26">
        <f t="shared" si="8"/>
        <v>0</v>
      </c>
      <c r="Z32" s="12">
        <f t="shared" si="4"/>
        <v>0</v>
      </c>
      <c r="AA32" s="4" t="s">
        <v>10</v>
      </c>
      <c r="AB32" s="11">
        <f>IFERROR(VLOOKUP(AA32,Curr!$B$2:$C$13,2,FALSE),0)</f>
        <v>11.3</v>
      </c>
      <c r="AC32" s="12">
        <f t="shared" si="5"/>
        <v>0</v>
      </c>
      <c r="AD32" s="12">
        <f t="shared" si="6"/>
        <v>0</v>
      </c>
      <c r="AE32" s="13">
        <f t="shared" si="7"/>
        <v>0</v>
      </c>
    </row>
    <row r="33" spans="2:31" x14ac:dyDescent="0.25">
      <c r="B33" s="4"/>
      <c r="C33" s="1" t="s">
        <v>83</v>
      </c>
      <c r="D33" s="1" t="s">
        <v>67</v>
      </c>
      <c r="E33" s="3"/>
      <c r="F33" s="3"/>
      <c r="G33" s="24"/>
      <c r="H33" s="24"/>
      <c r="J33" s="1" t="s">
        <v>168</v>
      </c>
      <c r="K33" s="4"/>
      <c r="L33" s="4"/>
      <c r="M33" s="4"/>
      <c r="N33" s="4"/>
      <c r="O33" s="4"/>
      <c r="P33" s="33"/>
      <c r="Q33" s="25">
        <v>240</v>
      </c>
      <c r="R33" s="25">
        <v>1</v>
      </c>
      <c r="S33" s="12">
        <f t="shared" si="0"/>
        <v>240</v>
      </c>
      <c r="T33" s="5">
        <v>0</v>
      </c>
      <c r="U33" s="12">
        <f t="shared" si="1"/>
        <v>240</v>
      </c>
      <c r="V33" s="25" t="s">
        <v>10</v>
      </c>
      <c r="W33" s="11">
        <f>IFERROR(VLOOKUP(V33,[1]Curr!$B$2:$C$13,2,FALSE),0)</f>
        <v>11.3</v>
      </c>
      <c r="X33" s="12">
        <f t="shared" si="2"/>
        <v>2712</v>
      </c>
      <c r="Y33" s="26">
        <f>Q33/0.85</f>
        <v>282.35294117647061</v>
      </c>
      <c r="Z33" s="12">
        <f t="shared" si="4"/>
        <v>282.35294117647061</v>
      </c>
      <c r="AA33" s="4" t="s">
        <v>10</v>
      </c>
      <c r="AB33" s="11">
        <f>IFERROR(VLOOKUP(AA33,Curr!$B$2:$C$13,2,FALSE),0)</f>
        <v>11.3</v>
      </c>
      <c r="AC33" s="12">
        <f t="shared" si="5"/>
        <v>3190.588235294118</v>
      </c>
      <c r="AD33" s="12">
        <f t="shared" si="6"/>
        <v>478.58823529411802</v>
      </c>
      <c r="AE33" s="13">
        <f t="shared" si="7"/>
        <v>0.15000000000000011</v>
      </c>
    </row>
    <row r="34" spans="2:31" x14ac:dyDescent="0.25">
      <c r="B34" s="4"/>
      <c r="C34" s="1" t="s">
        <v>83</v>
      </c>
      <c r="D34" s="1" t="s">
        <v>75</v>
      </c>
      <c r="E34" s="3"/>
      <c r="F34" s="3"/>
      <c r="G34" s="24"/>
      <c r="H34" s="24"/>
      <c r="J34" s="1" t="s">
        <v>173</v>
      </c>
      <c r="K34" s="4"/>
      <c r="L34" s="4"/>
      <c r="M34" s="4"/>
      <c r="N34" s="4"/>
      <c r="O34" s="4" t="s">
        <v>42</v>
      </c>
      <c r="P34" s="33" t="s">
        <v>170</v>
      </c>
      <c r="Q34" s="25">
        <v>250</v>
      </c>
      <c r="R34" s="25">
        <v>2</v>
      </c>
      <c r="S34" s="12">
        <f t="shared" si="0"/>
        <v>500</v>
      </c>
      <c r="T34" s="5">
        <v>0.2</v>
      </c>
      <c r="U34" s="12">
        <f t="shared" si="1"/>
        <v>400</v>
      </c>
      <c r="V34" s="25" t="s">
        <v>8</v>
      </c>
      <c r="W34" s="11">
        <f>IFERROR(VLOOKUP(V34,[1]Curr!$B$2:$C$13,2,FALSE),0)</f>
        <v>1</v>
      </c>
      <c r="X34" s="12">
        <f t="shared" si="2"/>
        <v>400</v>
      </c>
      <c r="Y34" s="26">
        <f>Q34/11.3/0.64</f>
        <v>34.568584070796462</v>
      </c>
      <c r="Z34" s="12">
        <f t="shared" si="4"/>
        <v>69.137168141592923</v>
      </c>
      <c r="AA34" s="4" t="s">
        <v>10</v>
      </c>
      <c r="AB34" s="11">
        <f>IFERROR(VLOOKUP(AA34,Curr!$B$2:$C$13,2,FALSE),0)</f>
        <v>11.3</v>
      </c>
      <c r="AC34" s="12">
        <f t="shared" si="5"/>
        <v>781.25000000000011</v>
      </c>
      <c r="AD34" s="12">
        <f t="shared" si="6"/>
        <v>381.25000000000011</v>
      </c>
      <c r="AE34" s="13">
        <f t="shared" si="7"/>
        <v>0.4880000000000001</v>
      </c>
    </row>
    <row r="35" spans="2:31" x14ac:dyDescent="0.25">
      <c r="B35" s="4"/>
      <c r="C35" s="1" t="s">
        <v>83</v>
      </c>
      <c r="D35" s="1" t="s">
        <v>68</v>
      </c>
      <c r="E35" s="3"/>
      <c r="F35" s="3"/>
      <c r="G35" s="24"/>
      <c r="H35" s="24"/>
      <c r="J35" s="1" t="s">
        <v>169</v>
      </c>
      <c r="K35" s="4"/>
      <c r="L35" s="4"/>
      <c r="M35" s="4"/>
      <c r="N35" s="4"/>
      <c r="O35" s="4"/>
      <c r="P35" s="27"/>
      <c r="Q35" s="25">
        <v>0</v>
      </c>
      <c r="R35" s="25">
        <v>0</v>
      </c>
      <c r="S35" s="12">
        <f t="shared" si="0"/>
        <v>0</v>
      </c>
      <c r="T35" s="5">
        <v>0</v>
      </c>
      <c r="U35" s="12">
        <f t="shared" si="1"/>
        <v>0</v>
      </c>
      <c r="V35" s="25" t="s">
        <v>10</v>
      </c>
      <c r="W35" s="11">
        <f>IFERROR(VLOOKUP(V35,[1]Curr!$B$2:$C$13,2,FALSE),0)</f>
        <v>11.3</v>
      </c>
      <c r="X35" s="12">
        <f t="shared" si="2"/>
        <v>0</v>
      </c>
      <c r="Y35" s="26">
        <f t="shared" si="8"/>
        <v>0</v>
      </c>
      <c r="Z35" s="12">
        <f t="shared" si="4"/>
        <v>0</v>
      </c>
      <c r="AA35" s="4" t="s">
        <v>10</v>
      </c>
      <c r="AB35" s="11">
        <f>IFERROR(VLOOKUP(AA35,Curr!$B$2:$C$13,2,FALSE),0)</f>
        <v>11.3</v>
      </c>
      <c r="AC35" s="12">
        <f t="shared" si="5"/>
        <v>0</v>
      </c>
      <c r="AD35" s="12">
        <f t="shared" si="6"/>
        <v>0</v>
      </c>
      <c r="AE35" s="13">
        <f t="shared" si="7"/>
        <v>0</v>
      </c>
    </row>
    <row r="36" spans="2:31" x14ac:dyDescent="0.25">
      <c r="B36" s="4"/>
      <c r="E36" s="3"/>
      <c r="F36" s="3"/>
      <c r="G36" s="24"/>
      <c r="H36" s="24"/>
      <c r="K36" s="4"/>
      <c r="L36" s="4"/>
      <c r="M36" s="4"/>
      <c r="N36" s="4"/>
      <c r="O36" s="4"/>
      <c r="P36" s="33"/>
      <c r="Q36" s="25"/>
      <c r="R36" s="25"/>
      <c r="S36" s="12">
        <f t="shared" si="0"/>
        <v>0</v>
      </c>
      <c r="T36" s="5">
        <v>0</v>
      </c>
      <c r="U36" s="12">
        <f t="shared" si="1"/>
        <v>0</v>
      </c>
      <c r="V36" s="25" t="s">
        <v>10</v>
      </c>
      <c r="W36" s="11">
        <f>IFERROR(VLOOKUP(V36,[1]Curr!$B$2:$C$13,2,FALSE),0)</f>
        <v>11.3</v>
      </c>
      <c r="X36" s="12">
        <f t="shared" si="2"/>
        <v>0</v>
      </c>
      <c r="Y36" s="26">
        <f t="shared" si="8"/>
        <v>0</v>
      </c>
      <c r="Z36" s="12">
        <f t="shared" si="4"/>
        <v>0</v>
      </c>
      <c r="AA36" s="4" t="s">
        <v>10</v>
      </c>
      <c r="AB36" s="11">
        <f>IFERROR(VLOOKUP(AA36,Curr!$B$2:$C$13,2,FALSE),0)</f>
        <v>11.3</v>
      </c>
      <c r="AC36" s="12">
        <f t="shared" si="5"/>
        <v>0</v>
      </c>
      <c r="AD36" s="12">
        <f t="shared" si="6"/>
        <v>0</v>
      </c>
      <c r="AE36" s="13">
        <f t="shared" si="7"/>
        <v>0</v>
      </c>
    </row>
    <row r="37" spans="2:31" x14ac:dyDescent="0.25">
      <c r="B37" s="4"/>
      <c r="C37" s="1" t="s">
        <v>84</v>
      </c>
      <c r="D37" s="1" t="s">
        <v>75</v>
      </c>
      <c r="E37" s="3"/>
      <c r="F37" s="3"/>
      <c r="G37" s="24"/>
      <c r="H37" s="24"/>
      <c r="J37" s="1" t="s">
        <v>177</v>
      </c>
      <c r="K37" s="4"/>
      <c r="L37" s="4"/>
      <c r="M37" s="4"/>
      <c r="N37" s="4"/>
      <c r="O37" s="4" t="s">
        <v>42</v>
      </c>
      <c r="P37" s="33" t="s">
        <v>178</v>
      </c>
      <c r="Q37" s="25">
        <v>71</v>
      </c>
      <c r="R37" s="25">
        <v>2</v>
      </c>
      <c r="S37" s="12">
        <f t="shared" si="0"/>
        <v>142</v>
      </c>
      <c r="T37" s="5">
        <v>0.2</v>
      </c>
      <c r="U37" s="12">
        <f t="shared" si="1"/>
        <v>113.60000000000001</v>
      </c>
      <c r="V37" s="25" t="s">
        <v>10</v>
      </c>
      <c r="W37" s="11">
        <f>IFERROR(VLOOKUP(V37,[1]Curr!$B$2:$C$13,2,FALSE),0)</f>
        <v>11.3</v>
      </c>
      <c r="X37" s="12">
        <f t="shared" si="2"/>
        <v>1283.68</v>
      </c>
      <c r="Y37" s="26">
        <f t="shared" si="8"/>
        <v>71</v>
      </c>
      <c r="Z37" s="12">
        <f t="shared" si="4"/>
        <v>142</v>
      </c>
      <c r="AA37" s="4" t="s">
        <v>10</v>
      </c>
      <c r="AB37" s="11">
        <f>IFERROR(VLOOKUP(AA37,Curr!$B$2:$C$13,2,FALSE),0)</f>
        <v>11.3</v>
      </c>
      <c r="AC37" s="12">
        <f t="shared" si="5"/>
        <v>1604.6000000000001</v>
      </c>
      <c r="AD37" s="12">
        <f t="shared" si="6"/>
        <v>320.92000000000007</v>
      </c>
      <c r="AE37" s="13">
        <f t="shared" si="7"/>
        <v>0.20000000000000004</v>
      </c>
    </row>
    <row r="38" spans="2:31" x14ac:dyDescent="0.25">
      <c r="B38" s="4"/>
      <c r="C38" s="1" t="s">
        <v>84</v>
      </c>
      <c r="D38" s="1" t="s">
        <v>75</v>
      </c>
      <c r="E38" s="3"/>
      <c r="F38" s="3"/>
      <c r="G38" s="24"/>
      <c r="H38" s="24"/>
      <c r="J38" s="1" t="s">
        <v>171</v>
      </c>
      <c r="K38" s="4"/>
      <c r="L38" s="4"/>
      <c r="M38" s="4"/>
      <c r="N38" s="4"/>
      <c r="O38" s="4" t="s">
        <v>42</v>
      </c>
      <c r="P38" s="33" t="s">
        <v>172</v>
      </c>
      <c r="Q38" s="25">
        <v>175</v>
      </c>
      <c r="R38" s="25">
        <v>2</v>
      </c>
      <c r="S38" s="12">
        <f t="shared" si="0"/>
        <v>350</v>
      </c>
      <c r="T38" s="5">
        <v>0</v>
      </c>
      <c r="U38" s="12">
        <f t="shared" si="1"/>
        <v>350</v>
      </c>
      <c r="V38" s="25" t="s">
        <v>8</v>
      </c>
      <c r="W38" s="11">
        <f>IFERROR(VLOOKUP(V38,[1]Curr!$B$2:$C$13,2,FALSE),0)</f>
        <v>1</v>
      </c>
      <c r="X38" s="12">
        <f t="shared" si="2"/>
        <v>350</v>
      </c>
      <c r="Y38" s="26">
        <f>Q38/11.3/0.5</f>
        <v>30.973451327433626</v>
      </c>
      <c r="Z38" s="12">
        <f t="shared" si="4"/>
        <v>61.946902654867252</v>
      </c>
      <c r="AA38" s="4" t="s">
        <v>10</v>
      </c>
      <c r="AB38" s="11">
        <f>IFERROR(VLOOKUP(AA38,Curr!$B$2:$C$13,2,FALSE),0)</f>
        <v>11.3</v>
      </c>
      <c r="AC38" s="12">
        <f t="shared" si="5"/>
        <v>700</v>
      </c>
      <c r="AD38" s="12">
        <f t="shared" si="6"/>
        <v>350</v>
      </c>
      <c r="AE38" s="13">
        <f t="shared" si="7"/>
        <v>0.5</v>
      </c>
    </row>
    <row r="39" spans="2:31" x14ac:dyDescent="0.25">
      <c r="B39" s="4"/>
      <c r="C39" s="1" t="s">
        <v>84</v>
      </c>
      <c r="D39" s="1" t="s">
        <v>68</v>
      </c>
      <c r="E39" s="3"/>
      <c r="F39" s="3"/>
      <c r="G39" s="24"/>
      <c r="H39" s="24"/>
      <c r="J39" s="1" t="s">
        <v>169</v>
      </c>
      <c r="K39" s="4"/>
      <c r="L39" s="4"/>
      <c r="M39" s="4"/>
      <c r="N39" s="4"/>
      <c r="O39" s="4"/>
      <c r="P39" s="33"/>
      <c r="Q39" s="25">
        <v>0</v>
      </c>
      <c r="R39" s="25">
        <v>0</v>
      </c>
      <c r="S39" s="12">
        <f t="shared" si="0"/>
        <v>0</v>
      </c>
      <c r="T39" s="5">
        <v>0</v>
      </c>
      <c r="U39" s="12">
        <f t="shared" si="1"/>
        <v>0</v>
      </c>
      <c r="V39" s="25" t="s">
        <v>10</v>
      </c>
      <c r="W39" s="11">
        <f>IFERROR(VLOOKUP(V39,[1]Curr!$B$2:$C$13,2,FALSE),0)</f>
        <v>11.3</v>
      </c>
      <c r="X39" s="12">
        <f t="shared" si="2"/>
        <v>0</v>
      </c>
      <c r="Y39" s="26">
        <f t="shared" si="8"/>
        <v>0</v>
      </c>
      <c r="Z39" s="12">
        <f t="shared" si="4"/>
        <v>0</v>
      </c>
      <c r="AA39" s="4" t="s">
        <v>10</v>
      </c>
      <c r="AB39" s="11">
        <f>IFERROR(VLOOKUP(AA39,Curr!$B$2:$C$13,2,FALSE),0)</f>
        <v>11.3</v>
      </c>
      <c r="AC39" s="12">
        <f t="shared" si="5"/>
        <v>0</v>
      </c>
      <c r="AD39" s="12">
        <f t="shared" si="6"/>
        <v>0</v>
      </c>
      <c r="AE39" s="13">
        <f t="shared" si="7"/>
        <v>0</v>
      </c>
    </row>
    <row r="40" spans="2:31" x14ac:dyDescent="0.25">
      <c r="B40" s="4"/>
      <c r="E40" s="3"/>
      <c r="F40" s="3"/>
      <c r="G40" s="24"/>
      <c r="H40" s="24"/>
      <c r="K40" s="4"/>
      <c r="L40" s="4"/>
      <c r="M40" s="4"/>
      <c r="N40" s="4"/>
      <c r="O40" s="4"/>
      <c r="P40" s="27"/>
      <c r="Q40" s="25"/>
      <c r="R40" s="25"/>
      <c r="S40" s="12">
        <f t="shared" si="0"/>
        <v>0</v>
      </c>
      <c r="T40" s="5">
        <v>0</v>
      </c>
      <c r="U40" s="12">
        <f t="shared" si="1"/>
        <v>0</v>
      </c>
      <c r="V40" s="25" t="s">
        <v>10</v>
      </c>
      <c r="W40" s="11">
        <f>IFERROR(VLOOKUP(V40,[1]Curr!$B$2:$C$13,2,FALSE),0)</f>
        <v>11.3</v>
      </c>
      <c r="X40" s="12">
        <f t="shared" si="2"/>
        <v>0</v>
      </c>
      <c r="Y40" s="26">
        <f t="shared" si="8"/>
        <v>0</v>
      </c>
      <c r="Z40" s="12">
        <f t="shared" si="4"/>
        <v>0</v>
      </c>
      <c r="AA40" s="4" t="s">
        <v>10</v>
      </c>
      <c r="AB40" s="11">
        <f>IFERROR(VLOOKUP(AA40,Curr!$B$2:$C$13,2,FALSE),0)</f>
        <v>11.3</v>
      </c>
      <c r="AC40" s="12">
        <f t="shared" si="5"/>
        <v>0</v>
      </c>
      <c r="AD40" s="12">
        <f t="shared" si="6"/>
        <v>0</v>
      </c>
      <c r="AE40" s="13">
        <f t="shared" si="7"/>
        <v>0</v>
      </c>
    </row>
    <row r="41" spans="2:31" x14ac:dyDescent="0.25">
      <c r="B41" s="4"/>
      <c r="C41" s="1" t="s">
        <v>127</v>
      </c>
      <c r="D41" s="1" t="s">
        <v>66</v>
      </c>
      <c r="E41" s="3"/>
      <c r="F41" s="3"/>
      <c r="G41" s="24"/>
      <c r="H41" s="24"/>
      <c r="J41" s="1" t="s">
        <v>176</v>
      </c>
      <c r="K41" s="4"/>
      <c r="L41" s="4"/>
      <c r="M41" s="4"/>
      <c r="N41" s="4"/>
      <c r="O41" s="4"/>
      <c r="P41" s="33"/>
      <c r="Q41" s="25">
        <v>0</v>
      </c>
      <c r="R41" s="25">
        <v>0</v>
      </c>
      <c r="S41" s="12">
        <f t="shared" si="0"/>
        <v>0</v>
      </c>
      <c r="T41" s="5">
        <v>0.15</v>
      </c>
      <c r="U41" s="12">
        <f t="shared" si="1"/>
        <v>0</v>
      </c>
      <c r="V41" s="25" t="s">
        <v>8</v>
      </c>
      <c r="W41" s="11">
        <f>IFERROR(VLOOKUP(V41,[1]Curr!$B$2:$C$13,2,FALSE),0)</f>
        <v>1</v>
      </c>
      <c r="X41" s="12">
        <f t="shared" si="2"/>
        <v>0</v>
      </c>
      <c r="Y41" s="26">
        <f>Q41/11.3</f>
        <v>0</v>
      </c>
      <c r="Z41" s="12">
        <f t="shared" si="4"/>
        <v>0</v>
      </c>
      <c r="AA41" s="4" t="s">
        <v>10</v>
      </c>
      <c r="AB41" s="11">
        <f>IFERROR(VLOOKUP(AA41,Curr!$B$2:$C$13,2,FALSE),0)</f>
        <v>11.3</v>
      </c>
      <c r="AC41" s="12">
        <f t="shared" si="5"/>
        <v>0</v>
      </c>
      <c r="AD41" s="12">
        <f t="shared" si="6"/>
        <v>0</v>
      </c>
      <c r="AE41" s="13">
        <f t="shared" si="7"/>
        <v>0</v>
      </c>
    </row>
    <row r="42" spans="2:31" x14ac:dyDescent="0.25">
      <c r="B42" s="4"/>
      <c r="C42" s="1" t="s">
        <v>127</v>
      </c>
      <c r="D42" s="1" t="s">
        <v>97</v>
      </c>
      <c r="E42" s="3"/>
      <c r="F42" s="3"/>
      <c r="G42" s="24"/>
      <c r="H42" s="24"/>
      <c r="J42" s="1" t="s">
        <v>174</v>
      </c>
      <c r="K42" s="4"/>
      <c r="L42" s="4"/>
      <c r="M42" s="4"/>
      <c r="N42" s="4"/>
      <c r="O42" s="4" t="s">
        <v>42</v>
      </c>
      <c r="P42" s="33" t="s">
        <v>175</v>
      </c>
      <c r="Q42" s="25">
        <v>2500</v>
      </c>
      <c r="R42" s="25">
        <v>1</v>
      </c>
      <c r="S42" s="12">
        <f t="shared" si="0"/>
        <v>2500</v>
      </c>
      <c r="T42" s="5">
        <v>0</v>
      </c>
      <c r="U42" s="12">
        <f t="shared" si="1"/>
        <v>2500</v>
      </c>
      <c r="V42" s="25" t="s">
        <v>8</v>
      </c>
      <c r="W42" s="11">
        <f>IFERROR(VLOOKUP(V42,[1]Curr!$B$2:$C$13,2,FALSE),0)</f>
        <v>1</v>
      </c>
      <c r="X42" s="12">
        <f t="shared" si="2"/>
        <v>2500</v>
      </c>
      <c r="Y42" s="26">
        <f>Q42/11.3/0.8</f>
        <v>276.54867256637164</v>
      </c>
      <c r="Z42" s="12">
        <f t="shared" si="4"/>
        <v>276.54867256637164</v>
      </c>
      <c r="AA42" s="4" t="s">
        <v>10</v>
      </c>
      <c r="AB42" s="11">
        <f>IFERROR(VLOOKUP(AA42,Curr!$B$2:$C$13,2,FALSE),0)</f>
        <v>11.3</v>
      </c>
      <c r="AC42" s="12">
        <f t="shared" si="5"/>
        <v>3124.9999999999995</v>
      </c>
      <c r="AD42" s="12">
        <f t="shared" si="6"/>
        <v>624.99999999999955</v>
      </c>
      <c r="AE42" s="13">
        <f t="shared" si="7"/>
        <v>0.19999999999999987</v>
      </c>
    </row>
    <row r="43" spans="2:31" x14ac:dyDescent="0.25">
      <c r="B43" s="4"/>
      <c r="C43" s="1" t="s">
        <v>127</v>
      </c>
      <c r="D43" s="1" t="s">
        <v>66</v>
      </c>
      <c r="E43" s="3"/>
      <c r="F43" s="3"/>
      <c r="G43" s="24"/>
      <c r="H43" s="24"/>
      <c r="J43" s="1" t="s">
        <v>164</v>
      </c>
      <c r="K43" s="4"/>
      <c r="L43" s="4"/>
      <c r="M43" s="4"/>
      <c r="N43" s="4"/>
      <c r="O43" s="4"/>
      <c r="P43" s="27"/>
      <c r="Q43" s="25">
        <v>0</v>
      </c>
      <c r="R43" s="25">
        <v>0</v>
      </c>
      <c r="S43" s="12">
        <f t="shared" si="0"/>
        <v>0</v>
      </c>
      <c r="T43" s="5">
        <v>0</v>
      </c>
      <c r="U43" s="12">
        <f t="shared" si="1"/>
        <v>0</v>
      </c>
      <c r="V43" s="25" t="s">
        <v>8</v>
      </c>
      <c r="W43" s="11">
        <f>IFERROR(VLOOKUP(V43,[1]Curr!$B$2:$C$13,2,FALSE),0)</f>
        <v>1</v>
      </c>
      <c r="X43" s="12">
        <f t="shared" si="2"/>
        <v>0</v>
      </c>
      <c r="Y43" s="26">
        <f>Q43/11.3/0.8</f>
        <v>0</v>
      </c>
      <c r="Z43" s="12">
        <f t="shared" si="4"/>
        <v>0</v>
      </c>
      <c r="AA43" s="4" t="s">
        <v>10</v>
      </c>
      <c r="AB43" s="11">
        <f>IFERROR(VLOOKUP(AA43,Curr!$B$2:$C$13,2,FALSE),0)</f>
        <v>11.3</v>
      </c>
      <c r="AC43" s="12">
        <f t="shared" si="5"/>
        <v>0</v>
      </c>
      <c r="AD43" s="12">
        <f t="shared" si="6"/>
        <v>0</v>
      </c>
      <c r="AE43" s="13">
        <f t="shared" si="7"/>
        <v>0</v>
      </c>
    </row>
    <row r="44" spans="2:31" x14ac:dyDescent="0.25">
      <c r="B44" s="4"/>
      <c r="C44" s="1" t="s">
        <v>127</v>
      </c>
      <c r="D44" s="1" t="s">
        <v>67</v>
      </c>
      <c r="E44" s="3"/>
      <c r="F44" s="3"/>
      <c r="G44" s="24"/>
      <c r="H44" s="24"/>
      <c r="J44" s="1" t="s">
        <v>213</v>
      </c>
      <c r="K44" s="4"/>
      <c r="L44" s="4"/>
      <c r="M44" s="4"/>
      <c r="N44" s="4"/>
      <c r="O44" s="4"/>
      <c r="P44" s="33"/>
      <c r="Q44" s="25">
        <v>250</v>
      </c>
      <c r="R44" s="25">
        <v>1</v>
      </c>
      <c r="S44" s="12">
        <f t="shared" si="0"/>
        <v>250</v>
      </c>
      <c r="T44" s="5">
        <v>0</v>
      </c>
      <c r="U44" s="12">
        <f t="shared" si="1"/>
        <v>250</v>
      </c>
      <c r="V44" s="25" t="s">
        <v>10</v>
      </c>
      <c r="W44" s="11">
        <f>IFERROR(VLOOKUP(V44,[1]Curr!$B$2:$C$13,2,FALSE),0)</f>
        <v>11.3</v>
      </c>
      <c r="X44" s="12">
        <f t="shared" si="2"/>
        <v>2825</v>
      </c>
      <c r="Y44" s="26">
        <f>Q44/0.85</f>
        <v>294.11764705882354</v>
      </c>
      <c r="Z44" s="12">
        <f t="shared" si="4"/>
        <v>294.11764705882354</v>
      </c>
      <c r="AA44" s="4" t="s">
        <v>10</v>
      </c>
      <c r="AB44" s="11">
        <f>IFERROR(VLOOKUP(AA44,Curr!$B$2:$C$13,2,FALSE),0)</f>
        <v>11.3</v>
      </c>
      <c r="AC44" s="12">
        <f t="shared" si="5"/>
        <v>3323.5294117647063</v>
      </c>
      <c r="AD44" s="12">
        <f t="shared" si="6"/>
        <v>498.52941176470631</v>
      </c>
      <c r="AE44" s="13">
        <f t="shared" si="7"/>
        <v>0.15000000000000011</v>
      </c>
    </row>
    <row r="45" spans="2:31" x14ac:dyDescent="0.25">
      <c r="B45" s="4"/>
      <c r="C45" s="1" t="s">
        <v>127</v>
      </c>
      <c r="D45" s="1" t="s">
        <v>68</v>
      </c>
      <c r="E45" s="3"/>
      <c r="F45" s="3"/>
      <c r="G45" s="24"/>
      <c r="H45" s="24"/>
      <c r="J45" s="1" t="s">
        <v>166</v>
      </c>
      <c r="K45" s="4"/>
      <c r="L45" s="4"/>
      <c r="M45" s="4"/>
      <c r="N45" s="4"/>
      <c r="O45" s="4"/>
      <c r="P45" s="27"/>
      <c r="Q45" s="25">
        <v>0</v>
      </c>
      <c r="R45" s="25">
        <v>0</v>
      </c>
      <c r="S45" s="12">
        <f t="shared" si="0"/>
        <v>0</v>
      </c>
      <c r="T45" s="5">
        <v>0</v>
      </c>
      <c r="U45" s="12">
        <f t="shared" si="1"/>
        <v>0</v>
      </c>
      <c r="V45" s="25" t="s">
        <v>10</v>
      </c>
      <c r="W45" s="11">
        <f>IFERROR(VLOOKUP(V45,[1]Curr!$B$2:$C$13,2,FALSE),0)</f>
        <v>11.3</v>
      </c>
      <c r="X45" s="12">
        <f t="shared" si="2"/>
        <v>0</v>
      </c>
      <c r="Y45" s="26">
        <f t="shared" ref="Y45" si="13">Q45</f>
        <v>0</v>
      </c>
      <c r="Z45" s="12">
        <f t="shared" si="4"/>
        <v>0</v>
      </c>
      <c r="AA45" s="4" t="s">
        <v>10</v>
      </c>
      <c r="AB45" s="11">
        <f>IFERROR(VLOOKUP(AA45,Curr!$B$2:$C$13,2,FALSE),0)</f>
        <v>11.3</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0"/>
        <v>0</v>
      </c>
      <c r="T46" s="5">
        <v>0</v>
      </c>
      <c r="U46" s="12">
        <f t="shared" si="1"/>
        <v>0</v>
      </c>
      <c r="V46" s="25" t="s">
        <v>10</v>
      </c>
      <c r="W46" s="11">
        <f>IFERROR(VLOOKUP(V46,[1]Curr!$B$2:$C$13,2,FALSE),0)</f>
        <v>11.3</v>
      </c>
      <c r="X46" s="12">
        <f t="shared" si="2"/>
        <v>0</v>
      </c>
      <c r="Y46" s="26">
        <f t="shared" si="8"/>
        <v>0</v>
      </c>
      <c r="Z46" s="12">
        <f t="shared" si="4"/>
        <v>0</v>
      </c>
      <c r="AA46" s="4" t="s">
        <v>10</v>
      </c>
      <c r="AB46" s="11">
        <f>IFERROR(VLOOKUP(AA46,Curr!$B$2:$C$13,2,FALSE),0)</f>
        <v>11.3</v>
      </c>
      <c r="AC46" s="12">
        <f t="shared" si="5"/>
        <v>0</v>
      </c>
      <c r="AD46" s="12">
        <f t="shared" si="6"/>
        <v>0</v>
      </c>
      <c r="AE46" s="13">
        <f t="shared" si="7"/>
        <v>0</v>
      </c>
    </row>
    <row r="47" spans="2:31" x14ac:dyDescent="0.25">
      <c r="B47" s="4"/>
      <c r="C47" s="1" t="s">
        <v>139</v>
      </c>
      <c r="D47" s="1" t="s">
        <v>75</v>
      </c>
      <c r="E47" s="3"/>
      <c r="F47" s="3"/>
      <c r="G47" s="24"/>
      <c r="H47" s="24"/>
      <c r="J47" s="1" t="s">
        <v>179</v>
      </c>
      <c r="K47" s="4"/>
      <c r="L47" s="4"/>
      <c r="M47" s="4"/>
      <c r="N47" s="4"/>
      <c r="O47" s="4" t="s">
        <v>42</v>
      </c>
      <c r="P47" s="33" t="s">
        <v>180</v>
      </c>
      <c r="Q47" s="25">
        <v>325</v>
      </c>
      <c r="R47" s="25">
        <v>2</v>
      </c>
      <c r="S47" s="12">
        <f t="shared" si="0"/>
        <v>650</v>
      </c>
      <c r="T47" s="5">
        <v>0</v>
      </c>
      <c r="U47" s="12">
        <f t="shared" si="1"/>
        <v>650</v>
      </c>
      <c r="V47" s="25" t="s">
        <v>8</v>
      </c>
      <c r="W47" s="11">
        <f>IFERROR(VLOOKUP(V47,[1]Curr!$B$2:$C$13,2,FALSE),0)</f>
        <v>1</v>
      </c>
      <c r="X47" s="12">
        <f t="shared" si="2"/>
        <v>650</v>
      </c>
      <c r="Y47" s="26">
        <f>Q47/11.3/0.72</f>
        <v>39.945919370698135</v>
      </c>
      <c r="Z47" s="12">
        <f t="shared" si="4"/>
        <v>79.891838741396271</v>
      </c>
      <c r="AA47" s="4" t="s">
        <v>10</v>
      </c>
      <c r="AB47" s="11">
        <f>IFERROR(VLOOKUP(AA47,Curr!$B$2:$C$13,2,FALSE),0)</f>
        <v>11.3</v>
      </c>
      <c r="AC47" s="12">
        <f t="shared" si="5"/>
        <v>902.77777777777794</v>
      </c>
      <c r="AD47" s="12">
        <f t="shared" si="6"/>
        <v>252.77777777777794</v>
      </c>
      <c r="AE47" s="13">
        <f t="shared" si="7"/>
        <v>0.28000000000000014</v>
      </c>
    </row>
    <row r="48" spans="2:31" x14ac:dyDescent="0.25">
      <c r="B48" s="4"/>
      <c r="C48" s="1" t="s">
        <v>139</v>
      </c>
      <c r="D48" s="1" t="s">
        <v>68</v>
      </c>
      <c r="E48" s="3"/>
      <c r="F48" s="3"/>
      <c r="G48" s="24"/>
      <c r="H48" s="24"/>
      <c r="J48" s="1" t="s">
        <v>166</v>
      </c>
      <c r="K48" s="4"/>
      <c r="L48" s="4"/>
      <c r="M48" s="4"/>
      <c r="N48" s="4"/>
      <c r="O48" s="4"/>
      <c r="P48" s="27"/>
      <c r="Q48" s="25">
        <v>0</v>
      </c>
      <c r="R48" s="25">
        <v>0</v>
      </c>
      <c r="S48" s="12">
        <f t="shared" si="0"/>
        <v>0</v>
      </c>
      <c r="T48" s="5">
        <v>0</v>
      </c>
      <c r="U48" s="12">
        <f t="shared" si="1"/>
        <v>0</v>
      </c>
      <c r="V48" s="25" t="s">
        <v>10</v>
      </c>
      <c r="W48" s="11">
        <f>IFERROR(VLOOKUP(V48,[1]Curr!$B$2:$C$13,2,FALSE),0)</f>
        <v>11.3</v>
      </c>
      <c r="X48" s="12">
        <f t="shared" si="2"/>
        <v>0</v>
      </c>
      <c r="Y48" s="26">
        <f t="shared" si="8"/>
        <v>0</v>
      </c>
      <c r="Z48" s="12">
        <f t="shared" si="4"/>
        <v>0</v>
      </c>
      <c r="AA48" s="4" t="s">
        <v>10</v>
      </c>
      <c r="AB48" s="11">
        <f>IFERROR(VLOOKUP(AA48,Curr!$B$2:$C$13,2,FALSE),0)</f>
        <v>11.3</v>
      </c>
      <c r="AC48" s="12">
        <f t="shared" si="5"/>
        <v>0</v>
      </c>
      <c r="AD48" s="12">
        <f t="shared" si="6"/>
        <v>0</v>
      </c>
      <c r="AE48" s="13">
        <f t="shared" si="7"/>
        <v>0</v>
      </c>
    </row>
    <row r="49" spans="2:31" x14ac:dyDescent="0.25">
      <c r="B49" s="4"/>
      <c r="E49" s="3"/>
      <c r="F49" s="3"/>
      <c r="G49" s="24"/>
      <c r="H49" s="24"/>
      <c r="K49" s="4"/>
      <c r="L49" s="4"/>
      <c r="M49" s="4"/>
      <c r="N49" s="4"/>
      <c r="O49" s="4"/>
      <c r="P49" s="33"/>
      <c r="Q49" s="25"/>
      <c r="R49" s="25"/>
      <c r="S49" s="12">
        <f t="shared" si="0"/>
        <v>0</v>
      </c>
      <c r="T49" s="5">
        <v>0</v>
      </c>
      <c r="U49" s="12">
        <f t="shared" si="1"/>
        <v>0</v>
      </c>
      <c r="V49" s="25" t="s">
        <v>10</v>
      </c>
      <c r="W49" s="11">
        <f>IFERROR(VLOOKUP(V49,[1]Curr!$B$2:$C$13,2,FALSE),0)</f>
        <v>11.3</v>
      </c>
      <c r="X49" s="12">
        <f t="shared" si="2"/>
        <v>0</v>
      </c>
      <c r="Y49" s="26">
        <f t="shared" si="8"/>
        <v>0</v>
      </c>
      <c r="Z49" s="12">
        <f t="shared" si="4"/>
        <v>0</v>
      </c>
      <c r="AA49" s="4" t="s">
        <v>10</v>
      </c>
      <c r="AB49" s="11">
        <f>IFERROR(VLOOKUP(AA49,Curr!$B$2:$C$13,2,FALSE),0)</f>
        <v>11.3</v>
      </c>
      <c r="AC49" s="12">
        <f t="shared" si="5"/>
        <v>0</v>
      </c>
      <c r="AD49" s="12">
        <f t="shared" si="6"/>
        <v>0</v>
      </c>
      <c r="AE49" s="13">
        <f t="shared" si="7"/>
        <v>0</v>
      </c>
    </row>
    <row r="50" spans="2:31" x14ac:dyDescent="0.25">
      <c r="B50" s="4"/>
      <c r="C50" s="1" t="s">
        <v>155</v>
      </c>
      <c r="D50" s="1" t="s">
        <v>66</v>
      </c>
      <c r="E50" s="3"/>
      <c r="F50" s="3"/>
      <c r="G50" s="24"/>
      <c r="H50" s="24"/>
      <c r="J50" s="1" t="s">
        <v>163</v>
      </c>
      <c r="K50" s="4"/>
      <c r="L50" s="4"/>
      <c r="M50" s="4"/>
      <c r="N50" s="4"/>
      <c r="O50" s="4"/>
      <c r="P50" s="27"/>
      <c r="Q50" s="25">
        <v>0</v>
      </c>
      <c r="R50" s="25">
        <v>0</v>
      </c>
      <c r="S50" s="12">
        <f t="shared" si="0"/>
        <v>0</v>
      </c>
      <c r="T50" s="5">
        <v>0</v>
      </c>
      <c r="U50" s="12">
        <f t="shared" si="1"/>
        <v>0</v>
      </c>
      <c r="V50" s="25" t="s">
        <v>10</v>
      </c>
      <c r="W50" s="11">
        <f>IFERROR(VLOOKUP(V50,[1]Curr!$B$2:$C$13,2,FALSE),0)</f>
        <v>11.3</v>
      </c>
      <c r="X50" s="12">
        <f t="shared" si="2"/>
        <v>0</v>
      </c>
      <c r="Y50" s="26">
        <f t="shared" si="8"/>
        <v>0</v>
      </c>
      <c r="Z50" s="12">
        <f t="shared" si="4"/>
        <v>0</v>
      </c>
      <c r="AA50" s="4" t="s">
        <v>10</v>
      </c>
      <c r="AB50" s="11">
        <f>IFERROR(VLOOKUP(AA50,Curr!$B$2:$C$13,2,FALSE),0)</f>
        <v>11.3</v>
      </c>
      <c r="AC50" s="12">
        <f t="shared" si="5"/>
        <v>0</v>
      </c>
      <c r="AD50" s="12">
        <f t="shared" si="6"/>
        <v>0</v>
      </c>
      <c r="AE50" s="13">
        <f t="shared" si="7"/>
        <v>0</v>
      </c>
    </row>
    <row r="51" spans="2:31" x14ac:dyDescent="0.25">
      <c r="B51" s="4"/>
      <c r="C51" s="1" t="s">
        <v>155</v>
      </c>
      <c r="D51" s="1" t="s">
        <v>85</v>
      </c>
      <c r="E51" s="3"/>
      <c r="F51" s="3"/>
      <c r="G51" s="24"/>
      <c r="H51" s="24"/>
      <c r="J51" s="1" t="s">
        <v>162</v>
      </c>
      <c r="K51" s="4"/>
      <c r="L51" s="4"/>
      <c r="M51" s="4"/>
      <c r="N51" s="4"/>
      <c r="O51" s="4"/>
      <c r="P51" s="33"/>
      <c r="Q51" s="25">
        <v>0</v>
      </c>
      <c r="R51" s="25">
        <v>0</v>
      </c>
      <c r="S51" s="12">
        <f t="shared" si="0"/>
        <v>0</v>
      </c>
      <c r="T51" s="5">
        <v>0</v>
      </c>
      <c r="U51" s="12">
        <f t="shared" si="1"/>
        <v>0</v>
      </c>
      <c r="V51" s="25" t="s">
        <v>10</v>
      </c>
      <c r="W51" s="11">
        <f>IFERROR(VLOOKUP(V51,[1]Curr!$B$2:$C$13,2,FALSE),0)</f>
        <v>11.3</v>
      </c>
      <c r="X51" s="12">
        <f t="shared" si="2"/>
        <v>0</v>
      </c>
      <c r="Y51" s="26">
        <f t="shared" si="8"/>
        <v>0</v>
      </c>
      <c r="Z51" s="12">
        <f t="shared" si="4"/>
        <v>0</v>
      </c>
      <c r="AA51" s="4" t="s">
        <v>10</v>
      </c>
      <c r="AB51" s="11">
        <f>IFERROR(VLOOKUP(AA51,Curr!$B$2:$C$13,2,FALSE),0)</f>
        <v>11.3</v>
      </c>
      <c r="AC51" s="12">
        <f t="shared" si="5"/>
        <v>0</v>
      </c>
      <c r="AD51" s="12">
        <f t="shared" si="6"/>
        <v>0</v>
      </c>
      <c r="AE51" s="13">
        <f t="shared" si="7"/>
        <v>0</v>
      </c>
    </row>
    <row r="52" spans="2:31" x14ac:dyDescent="0.25">
      <c r="B52" s="4"/>
      <c r="E52" s="3"/>
      <c r="F52" s="3"/>
      <c r="G52" s="24"/>
      <c r="H52" s="24"/>
      <c r="K52" s="4"/>
      <c r="L52" s="4"/>
      <c r="M52" s="4"/>
      <c r="N52" s="4"/>
      <c r="O52" s="4"/>
      <c r="P52" s="27"/>
      <c r="Q52" s="25"/>
      <c r="R52" s="25"/>
      <c r="S52" s="12">
        <f t="shared" si="0"/>
        <v>0</v>
      </c>
      <c r="T52" s="5">
        <v>0</v>
      </c>
      <c r="U52" s="12">
        <f t="shared" si="1"/>
        <v>0</v>
      </c>
      <c r="V52" s="25" t="s">
        <v>10</v>
      </c>
      <c r="W52" s="11">
        <f>IFERROR(VLOOKUP(V52,[1]Curr!$B$2:$C$13,2,FALSE),0)</f>
        <v>11.3</v>
      </c>
      <c r="X52" s="12">
        <f t="shared" si="2"/>
        <v>0</v>
      </c>
      <c r="Y52" s="26">
        <f t="shared" si="8"/>
        <v>0</v>
      </c>
      <c r="Z52" s="12">
        <f t="shared" si="4"/>
        <v>0</v>
      </c>
      <c r="AA52" s="4" t="s">
        <v>10</v>
      </c>
      <c r="AB52" s="11">
        <f>IFERROR(VLOOKUP(AA52,Curr!$B$2:$C$13,2,FALSE),0)</f>
        <v>11.3</v>
      </c>
      <c r="AC52" s="12">
        <f t="shared" si="5"/>
        <v>0</v>
      </c>
      <c r="AD52" s="12">
        <f t="shared" si="6"/>
        <v>0</v>
      </c>
      <c r="AE52" s="13">
        <f t="shared" si="7"/>
        <v>0</v>
      </c>
    </row>
    <row r="53" spans="2:31" x14ac:dyDescent="0.25">
      <c r="B53" s="4"/>
      <c r="E53" s="3"/>
      <c r="F53" s="3"/>
      <c r="G53" s="24"/>
      <c r="H53" s="24"/>
      <c r="K53" s="4"/>
      <c r="L53" s="4"/>
      <c r="M53" s="4"/>
      <c r="N53" s="4"/>
      <c r="O53" s="4"/>
      <c r="P53" s="27"/>
      <c r="Q53" s="25"/>
      <c r="R53" s="25"/>
      <c r="S53" s="12">
        <f t="shared" si="0"/>
        <v>0</v>
      </c>
      <c r="T53" s="5">
        <v>0</v>
      </c>
      <c r="U53" s="12">
        <f t="shared" si="1"/>
        <v>0</v>
      </c>
      <c r="V53" s="25" t="s">
        <v>10</v>
      </c>
      <c r="W53" s="11">
        <f>IFERROR(VLOOKUP(V53,[1]Curr!$B$2:$C$13,2,FALSE),0)</f>
        <v>11.3</v>
      </c>
      <c r="X53" s="12">
        <f t="shared" si="2"/>
        <v>0</v>
      </c>
      <c r="Y53" s="26">
        <f t="shared" si="8"/>
        <v>0</v>
      </c>
      <c r="Z53" s="12">
        <f t="shared" si="4"/>
        <v>0</v>
      </c>
      <c r="AA53" s="4" t="s">
        <v>10</v>
      </c>
      <c r="AB53" s="11">
        <f>IFERROR(VLOOKUP(AA53,Curr!$B$2:$C$13,2,FALSE),0)</f>
        <v>11.3</v>
      </c>
      <c r="AC53" s="12">
        <f t="shared" si="5"/>
        <v>0</v>
      </c>
      <c r="AD53" s="12">
        <f t="shared" si="6"/>
        <v>0</v>
      </c>
      <c r="AE53" s="13">
        <f t="shared" si="7"/>
        <v>0</v>
      </c>
    </row>
    <row r="54" spans="2:31" x14ac:dyDescent="0.25">
      <c r="B54" s="4"/>
      <c r="C54" s="1" t="s">
        <v>64</v>
      </c>
      <c r="D54" s="1" t="s">
        <v>112</v>
      </c>
      <c r="E54" s="3"/>
      <c r="F54" s="3"/>
      <c r="G54" s="24"/>
      <c r="H54" s="24"/>
      <c r="J54" s="1" t="s">
        <v>70</v>
      </c>
      <c r="K54" s="4"/>
      <c r="L54" s="4"/>
      <c r="M54" s="4"/>
      <c r="N54" s="4"/>
      <c r="O54" s="4"/>
      <c r="P54" s="27"/>
      <c r="Q54" s="25">
        <v>40</v>
      </c>
      <c r="R54" s="25">
        <v>0</v>
      </c>
      <c r="S54" s="12">
        <f t="shared" si="0"/>
        <v>0</v>
      </c>
      <c r="T54" s="5">
        <v>0</v>
      </c>
      <c r="U54" s="12">
        <f t="shared" si="1"/>
        <v>0</v>
      </c>
      <c r="V54" s="25" t="s">
        <v>10</v>
      </c>
      <c r="W54" s="11">
        <f>IFERROR(VLOOKUP(V54,[1]Curr!$B$2:$C$13,2,FALSE),0)</f>
        <v>11.3</v>
      </c>
      <c r="X54" s="12">
        <f t="shared" si="2"/>
        <v>0</v>
      </c>
      <c r="Y54" s="26">
        <f t="shared" si="8"/>
        <v>40</v>
      </c>
      <c r="Z54" s="12">
        <f t="shared" si="4"/>
        <v>0</v>
      </c>
      <c r="AA54" s="4" t="s">
        <v>10</v>
      </c>
      <c r="AB54" s="11">
        <f>IFERROR(VLOOKUP(AA54,Curr!$B$2:$C$13,2,FALSE),0)</f>
        <v>11.3</v>
      </c>
      <c r="AC54" s="12">
        <f t="shared" si="5"/>
        <v>0</v>
      </c>
      <c r="AD54" s="12">
        <f t="shared" si="6"/>
        <v>0</v>
      </c>
      <c r="AE54" s="13">
        <f t="shared" si="7"/>
        <v>0</v>
      </c>
    </row>
    <row r="55" spans="2:31" x14ac:dyDescent="0.25">
      <c r="B55" s="4"/>
      <c r="C55" s="1" t="s">
        <v>77</v>
      </c>
      <c r="D55" s="1" t="s">
        <v>112</v>
      </c>
      <c r="E55" s="3"/>
      <c r="F55" s="3"/>
      <c r="G55" s="24"/>
      <c r="H55" s="24"/>
      <c r="J55" s="1" t="s">
        <v>107</v>
      </c>
      <c r="K55" s="4"/>
      <c r="L55" s="4"/>
      <c r="M55" s="4"/>
      <c r="N55" s="4"/>
      <c r="O55" s="4"/>
      <c r="P55" s="27"/>
      <c r="Q55" s="25">
        <v>40</v>
      </c>
      <c r="R55" s="25">
        <v>0</v>
      </c>
      <c r="S55" s="12">
        <f t="shared" si="0"/>
        <v>0</v>
      </c>
      <c r="T55" s="5">
        <v>0</v>
      </c>
      <c r="U55" s="12">
        <f t="shared" si="1"/>
        <v>0</v>
      </c>
      <c r="V55" s="25" t="s">
        <v>10</v>
      </c>
      <c r="W55" s="11">
        <f>IFERROR(VLOOKUP(V55,[1]Curr!$B$2:$C$13,2,FALSE),0)</f>
        <v>11.3</v>
      </c>
      <c r="X55" s="12">
        <f t="shared" si="2"/>
        <v>0</v>
      </c>
      <c r="Y55" s="26">
        <f t="shared" si="8"/>
        <v>40</v>
      </c>
      <c r="Z55" s="12">
        <f t="shared" si="4"/>
        <v>0</v>
      </c>
      <c r="AA55" s="4" t="s">
        <v>10</v>
      </c>
      <c r="AB55" s="11">
        <f>IFERROR(VLOOKUP(AA55,Curr!$B$2:$C$13,2,FALSE),0)</f>
        <v>11.3</v>
      </c>
      <c r="AC55" s="12">
        <f t="shared" si="5"/>
        <v>0</v>
      </c>
      <c r="AD55" s="12">
        <f t="shared" si="6"/>
        <v>0</v>
      </c>
      <c r="AE55" s="13">
        <f t="shared" si="7"/>
        <v>0</v>
      </c>
    </row>
    <row r="56" spans="2:31" x14ac:dyDescent="0.25">
      <c r="B56" s="4"/>
      <c r="C56" s="1" t="s">
        <v>83</v>
      </c>
      <c r="D56" s="1" t="s">
        <v>112</v>
      </c>
      <c r="E56" s="3"/>
      <c r="F56" s="3"/>
      <c r="G56" s="24"/>
      <c r="H56" s="24"/>
      <c r="J56" s="1" t="s">
        <v>87</v>
      </c>
      <c r="K56" s="4"/>
      <c r="L56" s="4"/>
      <c r="M56" s="4"/>
      <c r="N56" s="4"/>
      <c r="O56" s="4"/>
      <c r="P56" s="27"/>
      <c r="Q56" s="25">
        <v>900</v>
      </c>
      <c r="R56" s="25">
        <v>0</v>
      </c>
      <c r="S56" s="12">
        <f t="shared" si="0"/>
        <v>0</v>
      </c>
      <c r="T56" s="5">
        <v>0</v>
      </c>
      <c r="U56" s="12">
        <f t="shared" si="1"/>
        <v>0</v>
      </c>
      <c r="V56" s="25" t="s">
        <v>8</v>
      </c>
      <c r="W56" s="11">
        <f>IFERROR(VLOOKUP(V56,[1]Curr!$B$2:$C$13,2,FALSE),0)</f>
        <v>1</v>
      </c>
      <c r="X56" s="12">
        <f t="shared" si="2"/>
        <v>0</v>
      </c>
      <c r="Y56" s="26">
        <f>Q56/11.3/0.8</f>
        <v>99.55752212389379</v>
      </c>
      <c r="Z56" s="12">
        <f t="shared" si="4"/>
        <v>0</v>
      </c>
      <c r="AA56" s="4" t="s">
        <v>10</v>
      </c>
      <c r="AB56" s="11">
        <f>IFERROR(VLOOKUP(AA56,Curr!$B$2:$C$13,2,FALSE),0)</f>
        <v>11.3</v>
      </c>
      <c r="AC56" s="12">
        <f t="shared" si="5"/>
        <v>0</v>
      </c>
      <c r="AD56" s="12">
        <f t="shared" si="6"/>
        <v>0</v>
      </c>
      <c r="AE56" s="13">
        <f t="shared" si="7"/>
        <v>0</v>
      </c>
    </row>
    <row r="57" spans="2:31" x14ac:dyDescent="0.25">
      <c r="B57" s="4"/>
      <c r="C57" s="1" t="s">
        <v>83</v>
      </c>
      <c r="D57" s="1" t="s">
        <v>112</v>
      </c>
      <c r="E57" s="3"/>
      <c r="F57" s="3"/>
      <c r="G57" s="24"/>
      <c r="H57" s="24"/>
      <c r="J57" s="1" t="s">
        <v>167</v>
      </c>
      <c r="K57" s="4"/>
      <c r="L57" s="4"/>
      <c r="M57" s="4"/>
      <c r="N57" s="4"/>
      <c r="O57" s="4"/>
      <c r="P57" s="27"/>
      <c r="Q57" s="25">
        <v>1690</v>
      </c>
      <c r="R57" s="25">
        <v>0</v>
      </c>
      <c r="S57" s="12">
        <f t="shared" si="0"/>
        <v>0</v>
      </c>
      <c r="T57" s="5">
        <v>0.15</v>
      </c>
      <c r="U57" s="12">
        <f t="shared" si="1"/>
        <v>0</v>
      </c>
      <c r="V57" s="25" t="s">
        <v>8</v>
      </c>
      <c r="W57" s="11">
        <f>IFERROR(VLOOKUP(V57,[1]Curr!$B$2:$C$13,2,FALSE),0)</f>
        <v>1</v>
      </c>
      <c r="X57" s="12">
        <f t="shared" si="2"/>
        <v>0</v>
      </c>
      <c r="Y57" s="26">
        <f>Q57/11.3</f>
        <v>149.55752212389379</v>
      </c>
      <c r="Z57" s="12">
        <f t="shared" si="4"/>
        <v>0</v>
      </c>
      <c r="AA57" s="4" t="s">
        <v>10</v>
      </c>
      <c r="AB57" s="11">
        <f>IFERROR(VLOOKUP(AA57,Curr!$B$2:$C$13,2,FALSE),0)</f>
        <v>11.3</v>
      </c>
      <c r="AC57" s="12">
        <f t="shared" si="5"/>
        <v>0</v>
      </c>
      <c r="AD57" s="12">
        <f t="shared" si="6"/>
        <v>0</v>
      </c>
      <c r="AE57" s="13">
        <f t="shared" si="7"/>
        <v>0</v>
      </c>
    </row>
    <row r="58" spans="2:31" x14ac:dyDescent="0.25">
      <c r="B58" s="4"/>
      <c r="C58" s="1" t="s">
        <v>127</v>
      </c>
      <c r="D58" s="1" t="s">
        <v>112</v>
      </c>
      <c r="E58" s="3"/>
      <c r="F58" s="3"/>
      <c r="G58" s="24"/>
      <c r="H58" s="24"/>
      <c r="J58" s="1" t="s">
        <v>176</v>
      </c>
      <c r="K58" s="4"/>
      <c r="L58" s="4"/>
      <c r="M58" s="4"/>
      <c r="N58" s="4"/>
      <c r="O58" s="4"/>
      <c r="P58" s="27"/>
      <c r="Q58" s="25">
        <v>1290</v>
      </c>
      <c r="R58" s="25">
        <v>0</v>
      </c>
      <c r="S58" s="12">
        <f t="shared" si="0"/>
        <v>0</v>
      </c>
      <c r="T58" s="5">
        <v>0.15</v>
      </c>
      <c r="U58" s="12">
        <f t="shared" si="1"/>
        <v>0</v>
      </c>
      <c r="V58" s="25" t="s">
        <v>8</v>
      </c>
      <c r="W58" s="11">
        <f>IFERROR(VLOOKUP(V58,[1]Curr!$B$2:$C$13,2,FALSE),0)</f>
        <v>1</v>
      </c>
      <c r="X58" s="12">
        <f t="shared" si="2"/>
        <v>0</v>
      </c>
      <c r="Y58" s="26">
        <f>Q58/11.3</f>
        <v>114.15929203539822</v>
      </c>
      <c r="Z58" s="12">
        <f t="shared" si="4"/>
        <v>0</v>
      </c>
      <c r="AA58" s="4" t="s">
        <v>10</v>
      </c>
      <c r="AB58" s="11">
        <f>IFERROR(VLOOKUP(AA58,Curr!$B$2:$C$13,2,FALSE),0)</f>
        <v>11.3</v>
      </c>
      <c r="AC58" s="12">
        <f t="shared" si="5"/>
        <v>0</v>
      </c>
      <c r="AD58" s="12">
        <f t="shared" si="6"/>
        <v>0</v>
      </c>
      <c r="AE58" s="13">
        <f t="shared" si="7"/>
        <v>0</v>
      </c>
    </row>
    <row r="59" spans="2:31" x14ac:dyDescent="0.25">
      <c r="B59" s="4"/>
      <c r="C59" s="1" t="s">
        <v>155</v>
      </c>
      <c r="D59" s="1" t="s">
        <v>112</v>
      </c>
      <c r="E59" s="3"/>
      <c r="F59" s="3"/>
      <c r="G59" s="24"/>
      <c r="H59" s="24"/>
      <c r="J59" s="1" t="s">
        <v>163</v>
      </c>
      <c r="K59" s="4"/>
      <c r="L59" s="4"/>
      <c r="M59" s="4"/>
      <c r="N59" s="4"/>
      <c r="O59" s="4"/>
      <c r="P59" s="27"/>
      <c r="Q59" s="25">
        <v>1790</v>
      </c>
      <c r="R59" s="25">
        <v>0</v>
      </c>
      <c r="S59" s="12">
        <f t="shared" si="0"/>
        <v>0</v>
      </c>
      <c r="T59" s="5">
        <v>0</v>
      </c>
      <c r="U59" s="12">
        <f t="shared" si="1"/>
        <v>0</v>
      </c>
      <c r="V59" s="25" t="s">
        <v>8</v>
      </c>
      <c r="W59" s="11">
        <f>IFERROR(VLOOKUP(V59,[1]Curr!$B$2:$C$13,2,FALSE),0)</f>
        <v>1</v>
      </c>
      <c r="X59" s="12">
        <f t="shared" si="2"/>
        <v>0</v>
      </c>
      <c r="Y59" s="26">
        <f>Q59/11.3/0.8</f>
        <v>198.0088495575221</v>
      </c>
      <c r="Z59" s="12">
        <f t="shared" si="4"/>
        <v>0</v>
      </c>
      <c r="AA59" s="4" t="s">
        <v>10</v>
      </c>
      <c r="AB59" s="11">
        <f>IFERROR(VLOOKUP(AA59,Curr!$B$2:$C$13,2,FALSE),0)</f>
        <v>11.3</v>
      </c>
      <c r="AC59" s="12">
        <f t="shared" si="5"/>
        <v>0</v>
      </c>
      <c r="AD59" s="12">
        <f t="shared" si="6"/>
        <v>0</v>
      </c>
      <c r="AE59" s="13">
        <f t="shared" si="7"/>
        <v>0</v>
      </c>
    </row>
    <row r="60" spans="2:31" x14ac:dyDescent="0.25">
      <c r="B60" s="4"/>
      <c r="E60" s="3"/>
      <c r="F60" s="3"/>
      <c r="G60" s="24"/>
      <c r="H60" s="24"/>
      <c r="K60" s="4"/>
      <c r="L60" s="4"/>
      <c r="M60" s="4"/>
      <c r="N60" s="4"/>
      <c r="O60" s="4"/>
      <c r="P60" s="27"/>
      <c r="Q60" s="25"/>
      <c r="R60" s="25"/>
      <c r="S60" s="12">
        <f t="shared" si="0"/>
        <v>0</v>
      </c>
      <c r="T60" s="5">
        <v>0</v>
      </c>
      <c r="U60" s="12">
        <f t="shared" si="1"/>
        <v>0</v>
      </c>
      <c r="V60" s="25" t="s">
        <v>10</v>
      </c>
      <c r="W60" s="11">
        <f>IFERROR(VLOOKUP(V60,[1]Curr!$B$2:$C$13,2,FALSE),0)</f>
        <v>11.3</v>
      </c>
      <c r="X60" s="12">
        <f t="shared" si="2"/>
        <v>0</v>
      </c>
      <c r="Y60" s="26">
        <f t="shared" si="8"/>
        <v>0</v>
      </c>
      <c r="Z60" s="12">
        <f t="shared" si="4"/>
        <v>0</v>
      </c>
      <c r="AA60" s="4" t="s">
        <v>10</v>
      </c>
      <c r="AB60" s="11">
        <f>IFERROR(VLOOKUP(AA60,Curr!$B$2:$C$13,2,FALSE),0)</f>
        <v>11.3</v>
      </c>
      <c r="AC60" s="12">
        <f t="shared" si="5"/>
        <v>0</v>
      </c>
      <c r="AD60" s="12">
        <f t="shared" si="6"/>
        <v>0</v>
      </c>
      <c r="AE60" s="13">
        <f t="shared" si="7"/>
        <v>0</v>
      </c>
    </row>
    <row r="61" spans="2:31" x14ac:dyDescent="0.25">
      <c r="B61" s="4"/>
      <c r="E61" s="3"/>
      <c r="F61" s="3"/>
      <c r="G61" s="24"/>
      <c r="H61" s="24"/>
      <c r="K61" s="4"/>
      <c r="L61" s="4"/>
      <c r="M61" s="4"/>
      <c r="N61" s="4"/>
      <c r="O61" s="4"/>
      <c r="P61" s="27"/>
      <c r="Q61" s="25"/>
      <c r="R61" s="25"/>
      <c r="S61" s="12">
        <f t="shared" si="0"/>
        <v>0</v>
      </c>
      <c r="T61" s="5">
        <v>0</v>
      </c>
      <c r="U61" s="12">
        <f t="shared" si="1"/>
        <v>0</v>
      </c>
      <c r="V61" s="25" t="s">
        <v>10</v>
      </c>
      <c r="W61" s="11">
        <f>IFERROR(VLOOKUP(V61,[1]Curr!$B$2:$C$13,2,FALSE),0)</f>
        <v>11.3</v>
      </c>
      <c r="X61" s="12">
        <f t="shared" si="2"/>
        <v>0</v>
      </c>
      <c r="Y61" s="26">
        <f t="shared" si="8"/>
        <v>0</v>
      </c>
      <c r="Z61" s="12">
        <f t="shared" si="4"/>
        <v>0</v>
      </c>
      <c r="AA61" s="4" t="s">
        <v>10</v>
      </c>
      <c r="AB61" s="11">
        <f>IFERROR(VLOOKUP(AA61,Curr!$B$2:$C$13,2,FALSE),0)</f>
        <v>11.3</v>
      </c>
      <c r="AC61" s="12">
        <f t="shared" si="5"/>
        <v>0</v>
      </c>
      <c r="AD61" s="12">
        <f t="shared" si="6"/>
        <v>0</v>
      </c>
      <c r="AE61" s="13">
        <f t="shared" si="7"/>
        <v>0</v>
      </c>
    </row>
    <row r="62" spans="2:31" x14ac:dyDescent="0.25">
      <c r="B62" s="4"/>
      <c r="C62" s="1" t="s">
        <v>76</v>
      </c>
      <c r="D62" s="1" t="s">
        <v>183</v>
      </c>
      <c r="E62" s="3"/>
      <c r="F62" s="3"/>
      <c r="G62" s="24"/>
      <c r="H62" s="24"/>
      <c r="J62" s="1" t="s">
        <v>184</v>
      </c>
      <c r="K62" s="4"/>
      <c r="L62" s="4"/>
      <c r="M62" s="4"/>
      <c r="N62" s="4"/>
      <c r="O62" s="4" t="s">
        <v>42</v>
      </c>
      <c r="P62" s="33" t="s">
        <v>185</v>
      </c>
      <c r="Q62" s="25">
        <v>252</v>
      </c>
      <c r="R62" s="25">
        <v>0</v>
      </c>
      <c r="S62" s="12">
        <f t="shared" si="0"/>
        <v>0</v>
      </c>
      <c r="T62" s="5">
        <v>0.2</v>
      </c>
      <c r="U62" s="12">
        <f t="shared" si="1"/>
        <v>0</v>
      </c>
      <c r="V62" s="25" t="s">
        <v>10</v>
      </c>
      <c r="W62" s="11">
        <f>IFERROR(VLOOKUP(V62,[1]Curr!$B$2:$C$13,2,FALSE),0)</f>
        <v>11.3</v>
      </c>
      <c r="X62" s="12">
        <f t="shared" si="2"/>
        <v>0</v>
      </c>
      <c r="Y62" s="26">
        <f t="shared" si="8"/>
        <v>252</v>
      </c>
      <c r="Z62" s="12">
        <f t="shared" si="4"/>
        <v>0</v>
      </c>
      <c r="AA62" s="4" t="s">
        <v>10</v>
      </c>
      <c r="AB62" s="11">
        <f>IFERROR(VLOOKUP(AA62,Curr!$B$2:$C$13,2,FALSE),0)</f>
        <v>11.3</v>
      </c>
      <c r="AC62" s="12">
        <f t="shared" si="5"/>
        <v>0</v>
      </c>
      <c r="AD62" s="12">
        <f t="shared" si="6"/>
        <v>0</v>
      </c>
      <c r="AE62" s="13">
        <f t="shared" si="7"/>
        <v>0</v>
      </c>
    </row>
    <row r="63" spans="2:31" x14ac:dyDescent="0.25">
      <c r="B63" s="4"/>
      <c r="C63" s="1" t="s">
        <v>78</v>
      </c>
      <c r="D63" s="1" t="s">
        <v>183</v>
      </c>
      <c r="E63" s="3"/>
      <c r="F63" s="3"/>
      <c r="G63" s="24"/>
      <c r="H63" s="24"/>
      <c r="J63" s="1" t="s">
        <v>188</v>
      </c>
      <c r="K63" s="4"/>
      <c r="L63" s="4"/>
      <c r="M63" s="4"/>
      <c r="N63" s="4"/>
      <c r="O63" s="4" t="s">
        <v>42</v>
      </c>
      <c r="P63" s="33" t="s">
        <v>189</v>
      </c>
      <c r="Q63" s="25">
        <v>2195</v>
      </c>
      <c r="R63" s="25">
        <v>0</v>
      </c>
      <c r="S63" s="12">
        <f t="shared" si="0"/>
        <v>0</v>
      </c>
      <c r="T63" s="5">
        <v>0.2</v>
      </c>
      <c r="U63" s="12">
        <f t="shared" si="1"/>
        <v>0</v>
      </c>
      <c r="V63" s="25" t="s">
        <v>8</v>
      </c>
      <c r="W63" s="11">
        <f>IFERROR(VLOOKUP(V63,[1]Curr!$B$2:$C$13,2,FALSE),0)</f>
        <v>1</v>
      </c>
      <c r="X63" s="12">
        <f t="shared" si="2"/>
        <v>0</v>
      </c>
      <c r="Y63" s="26">
        <f t="shared" ref="Y63" si="14">Q63/11.3</f>
        <v>194.24778761061947</v>
      </c>
      <c r="Z63" s="12">
        <f t="shared" si="4"/>
        <v>0</v>
      </c>
      <c r="AA63" s="4" t="s">
        <v>10</v>
      </c>
      <c r="AB63" s="11">
        <f>IFERROR(VLOOKUP(AA63,Curr!$B$2:$C$13,2,FALSE),0)</f>
        <v>11.3</v>
      </c>
      <c r="AC63" s="12">
        <f t="shared" si="5"/>
        <v>0</v>
      </c>
      <c r="AD63" s="12">
        <f t="shared" si="6"/>
        <v>0</v>
      </c>
      <c r="AE63" s="13">
        <f t="shared" si="7"/>
        <v>0</v>
      </c>
    </row>
    <row r="64" spans="2:31" x14ac:dyDescent="0.25">
      <c r="B64" s="4"/>
      <c r="C64" s="1" t="s">
        <v>127</v>
      </c>
      <c r="D64" s="1" t="s">
        <v>183</v>
      </c>
      <c r="E64" s="3"/>
      <c r="F64" s="3"/>
      <c r="G64" s="24"/>
      <c r="H64" s="24"/>
      <c r="J64" s="1" t="s">
        <v>208</v>
      </c>
      <c r="K64" s="4"/>
      <c r="L64" s="4"/>
      <c r="M64" s="4"/>
      <c r="N64" s="4"/>
      <c r="O64" s="4" t="s">
        <v>42</v>
      </c>
      <c r="P64" s="33" t="s">
        <v>209</v>
      </c>
      <c r="Q64" s="25">
        <v>3250</v>
      </c>
      <c r="R64" s="25">
        <v>0</v>
      </c>
      <c r="S64" s="12">
        <f t="shared" si="0"/>
        <v>0</v>
      </c>
      <c r="T64" s="5">
        <v>0.08</v>
      </c>
      <c r="U64" s="12">
        <f t="shared" si="1"/>
        <v>0</v>
      </c>
      <c r="V64" s="25" t="s">
        <v>8</v>
      </c>
      <c r="W64" s="11">
        <f>IFERROR(VLOOKUP(V64,[1]Curr!$B$2:$C$13,2,FALSE),0)</f>
        <v>1</v>
      </c>
      <c r="X64" s="12">
        <f t="shared" si="2"/>
        <v>0</v>
      </c>
      <c r="Y64" s="26">
        <f t="shared" ref="Y64" si="15">Q64/11.3/0.9</f>
        <v>319.56735496558503</v>
      </c>
      <c r="Z64" s="12">
        <f t="shared" si="4"/>
        <v>0</v>
      </c>
      <c r="AA64" s="4" t="s">
        <v>10</v>
      </c>
      <c r="AB64" s="11">
        <f>IFERROR(VLOOKUP(AA64,Curr!$B$2:$C$13,2,FALSE),0)</f>
        <v>11.3</v>
      </c>
      <c r="AC64" s="12">
        <f t="shared" si="5"/>
        <v>0</v>
      </c>
      <c r="AD64" s="12">
        <f t="shared" si="6"/>
        <v>0</v>
      </c>
      <c r="AE64" s="13">
        <f t="shared" si="7"/>
        <v>0</v>
      </c>
    </row>
    <row r="65" spans="2:36" x14ac:dyDescent="0.25">
      <c r="B65" s="4"/>
      <c r="C65" s="1" t="s">
        <v>139</v>
      </c>
      <c r="D65" s="1" t="s">
        <v>183</v>
      </c>
      <c r="E65" s="3"/>
      <c r="F65" s="3"/>
      <c r="G65" s="24"/>
      <c r="H65" s="24"/>
      <c r="J65" s="1" t="s">
        <v>210</v>
      </c>
      <c r="K65" s="4"/>
      <c r="L65" s="4"/>
      <c r="M65" s="4"/>
      <c r="N65" s="4"/>
      <c r="O65" s="4"/>
      <c r="P65" s="33" t="s">
        <v>211</v>
      </c>
      <c r="Q65" s="25">
        <v>130</v>
      </c>
      <c r="R65" s="25">
        <v>0</v>
      </c>
      <c r="S65" s="12">
        <f t="shared" si="0"/>
        <v>0</v>
      </c>
      <c r="T65" s="5">
        <v>0.2</v>
      </c>
      <c r="U65" s="12">
        <f t="shared" si="1"/>
        <v>0</v>
      </c>
      <c r="V65" s="25" t="s">
        <v>10</v>
      </c>
      <c r="W65" s="11">
        <f>IFERROR(VLOOKUP(V65,[1]Curr!$B$2:$C$13,2,FALSE),0)</f>
        <v>11.3</v>
      </c>
      <c r="X65" s="12">
        <f t="shared" si="2"/>
        <v>0</v>
      </c>
      <c r="Y65" s="26">
        <f t="shared" si="8"/>
        <v>130</v>
      </c>
      <c r="Z65" s="12">
        <f t="shared" si="4"/>
        <v>0</v>
      </c>
      <c r="AA65" s="4" t="s">
        <v>10</v>
      </c>
      <c r="AB65" s="11">
        <f>IFERROR(VLOOKUP(AA65,Curr!$B$2:$C$13,2,FALSE),0)</f>
        <v>11.3</v>
      </c>
      <c r="AC65" s="12">
        <f t="shared" si="5"/>
        <v>0</v>
      </c>
      <c r="AD65" s="12">
        <f t="shared" si="6"/>
        <v>0</v>
      </c>
      <c r="AE65" s="13">
        <f t="shared" si="7"/>
        <v>0</v>
      </c>
    </row>
    <row r="66" spans="2:36" x14ac:dyDescent="0.25">
      <c r="B66" s="4"/>
      <c r="E66" s="3"/>
      <c r="F66" s="3"/>
      <c r="G66" s="24"/>
      <c r="H66" s="24"/>
      <c r="K66" s="4"/>
      <c r="L66" s="4"/>
      <c r="M66" s="4"/>
      <c r="N66" s="4"/>
      <c r="O66" s="4"/>
      <c r="P66" s="27"/>
      <c r="Q66" s="25"/>
      <c r="R66" s="25"/>
      <c r="S66" s="12">
        <f t="shared" si="0"/>
        <v>0</v>
      </c>
      <c r="T66" s="5">
        <v>0</v>
      </c>
      <c r="U66" s="12">
        <f t="shared" si="1"/>
        <v>0</v>
      </c>
      <c r="V66" s="25" t="s">
        <v>10</v>
      </c>
      <c r="W66" s="11">
        <f>IFERROR(VLOOKUP(V66,[1]Curr!$B$2:$C$13,2,FALSE),0)</f>
        <v>11.3</v>
      </c>
      <c r="X66" s="12">
        <f t="shared" si="2"/>
        <v>0</v>
      </c>
      <c r="Y66" s="26">
        <f t="shared" si="8"/>
        <v>0</v>
      </c>
      <c r="Z66" s="12">
        <f t="shared" si="4"/>
        <v>0</v>
      </c>
      <c r="AA66" s="4" t="s">
        <v>10</v>
      </c>
      <c r="AB66" s="11">
        <f>IFERROR(VLOOKUP(AA66,Curr!$B$2:$C$13,2,FALSE),0)</f>
        <v>11.3</v>
      </c>
      <c r="AC66" s="12">
        <f t="shared" si="5"/>
        <v>0</v>
      </c>
      <c r="AD66" s="12">
        <f t="shared" si="6"/>
        <v>0</v>
      </c>
      <c r="AE66" s="13">
        <f t="shared" si="7"/>
        <v>0</v>
      </c>
    </row>
    <row r="67" spans="2:36" x14ac:dyDescent="0.25">
      <c r="B67" s="4"/>
      <c r="E67" s="3"/>
      <c r="F67" s="3"/>
      <c r="G67" s="24"/>
      <c r="H67" s="24"/>
      <c r="K67" s="4"/>
      <c r="L67" s="4"/>
      <c r="M67" s="4"/>
      <c r="N67" s="4"/>
      <c r="O67" s="4"/>
      <c r="P67" s="27"/>
      <c r="Q67" s="25"/>
      <c r="R67" s="25"/>
      <c r="S67" s="12">
        <f t="shared" si="0"/>
        <v>0</v>
      </c>
      <c r="T67" s="5">
        <v>0</v>
      </c>
      <c r="U67" s="12">
        <f t="shared" si="1"/>
        <v>0</v>
      </c>
      <c r="V67" s="25" t="s">
        <v>10</v>
      </c>
      <c r="W67" s="11">
        <f>IFERROR(VLOOKUP(V67,[1]Curr!$B$2:$C$13,2,FALSE),0)</f>
        <v>11.3</v>
      </c>
      <c r="X67" s="12">
        <f t="shared" si="2"/>
        <v>0</v>
      </c>
      <c r="Y67" s="26">
        <f t="shared" si="8"/>
        <v>0</v>
      </c>
      <c r="Z67" s="12">
        <f t="shared" si="4"/>
        <v>0</v>
      </c>
      <c r="AA67" s="4" t="s">
        <v>10</v>
      </c>
      <c r="AB67" s="11">
        <f>IFERROR(VLOOKUP(AA67,Curr!$B$2:$C$13,2,FALSE),0)</f>
        <v>11.3</v>
      </c>
      <c r="AC67" s="12">
        <f t="shared" si="5"/>
        <v>0</v>
      </c>
      <c r="AD67" s="12">
        <f t="shared" si="6"/>
        <v>0</v>
      </c>
      <c r="AE67" s="13">
        <f t="shared" si="7"/>
        <v>0</v>
      </c>
    </row>
    <row r="68" spans="2:36" x14ac:dyDescent="0.25">
      <c r="B68" s="4"/>
      <c r="E68" s="3"/>
      <c r="F68" s="3"/>
      <c r="G68" s="24"/>
      <c r="H68" s="24"/>
      <c r="K68" s="4"/>
      <c r="L68" s="4"/>
      <c r="M68" s="4"/>
      <c r="N68" s="4"/>
      <c r="O68" s="4"/>
      <c r="P68" s="27"/>
      <c r="Q68" s="25"/>
      <c r="R68" s="25"/>
      <c r="S68" s="12">
        <f t="shared" si="0"/>
        <v>0</v>
      </c>
      <c r="T68" s="5">
        <v>0</v>
      </c>
      <c r="U68" s="12">
        <f t="shared" si="1"/>
        <v>0</v>
      </c>
      <c r="V68" s="25" t="s">
        <v>10</v>
      </c>
      <c r="W68" s="11">
        <f>IFERROR(VLOOKUP(V68,[1]Curr!$B$2:$C$13,2,FALSE),0)</f>
        <v>11.3</v>
      </c>
      <c r="X68" s="12">
        <f t="shared" si="2"/>
        <v>0</v>
      </c>
      <c r="Y68" s="26">
        <f t="shared" si="8"/>
        <v>0</v>
      </c>
      <c r="Z68" s="12">
        <f t="shared" si="4"/>
        <v>0</v>
      </c>
      <c r="AA68" s="4" t="s">
        <v>10</v>
      </c>
      <c r="AB68" s="11">
        <f>IFERROR(VLOOKUP(AA68,Curr!$B$2:$C$13,2,FALSE),0)</f>
        <v>11.3</v>
      </c>
      <c r="AC68" s="12">
        <f t="shared" si="5"/>
        <v>0</v>
      </c>
      <c r="AD68" s="12">
        <f t="shared" si="6"/>
        <v>0</v>
      </c>
      <c r="AE68" s="13">
        <f t="shared" si="7"/>
        <v>0</v>
      </c>
    </row>
    <row r="69" spans="2:36" x14ac:dyDescent="0.25">
      <c r="B69" s="4"/>
      <c r="E69" s="3"/>
      <c r="F69" s="3"/>
      <c r="G69" s="24"/>
      <c r="H69" s="24"/>
      <c r="K69" s="4"/>
      <c r="L69" s="4"/>
      <c r="M69" s="4"/>
      <c r="N69" s="4"/>
      <c r="O69" s="4"/>
      <c r="P69" s="27"/>
      <c r="Q69" s="25"/>
      <c r="R69" s="25"/>
      <c r="S69" s="12">
        <f t="shared" si="0"/>
        <v>0</v>
      </c>
      <c r="T69" s="5">
        <v>0</v>
      </c>
      <c r="U69" s="12">
        <f t="shared" si="1"/>
        <v>0</v>
      </c>
      <c r="V69" s="25" t="s">
        <v>10</v>
      </c>
      <c r="W69" s="11">
        <f>IFERROR(VLOOKUP(V69,[1]Curr!$B$2:$C$13,2,FALSE),0)</f>
        <v>11.3</v>
      </c>
      <c r="X69" s="12">
        <f t="shared" si="2"/>
        <v>0</v>
      </c>
      <c r="Y69" s="26">
        <f t="shared" si="8"/>
        <v>0</v>
      </c>
      <c r="Z69" s="12">
        <f t="shared" si="4"/>
        <v>0</v>
      </c>
      <c r="AA69" s="4" t="s">
        <v>10</v>
      </c>
      <c r="AB69" s="11">
        <f>IFERROR(VLOOKUP(AA69,Curr!$B$2:$C$13,2,FALSE),0)</f>
        <v>11.3</v>
      </c>
      <c r="AC69" s="12">
        <f t="shared" si="5"/>
        <v>0</v>
      </c>
      <c r="AD69" s="12">
        <f t="shared" si="6"/>
        <v>0</v>
      </c>
      <c r="AE69" s="13">
        <f t="shared" si="7"/>
        <v>0</v>
      </c>
    </row>
    <row r="70" spans="2:36" x14ac:dyDescent="0.25">
      <c r="B70" s="4"/>
      <c r="E70" s="3"/>
      <c r="F70" s="3"/>
      <c r="G70" s="24"/>
      <c r="H70" s="24"/>
      <c r="K70" s="4"/>
      <c r="L70" s="4"/>
      <c r="M70" s="4"/>
      <c r="N70" s="4"/>
      <c r="O70" s="4"/>
      <c r="P70" s="27"/>
      <c r="Q70" s="25"/>
      <c r="R70" s="25"/>
      <c r="S70" s="12">
        <f t="shared" si="0"/>
        <v>0</v>
      </c>
      <c r="T70" s="5">
        <v>0</v>
      </c>
      <c r="U70" s="12">
        <f t="shared" si="1"/>
        <v>0</v>
      </c>
      <c r="V70" s="25" t="s">
        <v>10</v>
      </c>
      <c r="W70" s="11">
        <f>IFERROR(VLOOKUP(V70,[1]Curr!$B$2:$C$13,2,FALSE),0)</f>
        <v>11.3</v>
      </c>
      <c r="X70" s="12">
        <f t="shared" si="2"/>
        <v>0</v>
      </c>
      <c r="Y70" s="26">
        <f t="shared" si="8"/>
        <v>0</v>
      </c>
      <c r="Z70" s="12">
        <f t="shared" si="4"/>
        <v>0</v>
      </c>
      <c r="AA70" s="4" t="s">
        <v>10</v>
      </c>
      <c r="AB70" s="11">
        <f>IFERROR(VLOOKUP(AA70,Curr!$B$2:$C$13,2,FALSE),0)</f>
        <v>11.3</v>
      </c>
      <c r="AC70" s="12">
        <f t="shared" ref="AC70:AC71" si="16">+Y70*AB70*R70</f>
        <v>0</v>
      </c>
      <c r="AD70" s="12">
        <f t="shared" ref="AD70:AD71" si="17">+AC70-X70</f>
        <v>0</v>
      </c>
      <c r="AE70" s="13">
        <f t="shared" ref="AE70:AE71" si="18">IFERROR(AD70/AC70,0)</f>
        <v>0</v>
      </c>
    </row>
    <row r="71" spans="2:36" x14ac:dyDescent="0.25">
      <c r="B71" s="4"/>
      <c r="E71" s="3"/>
      <c r="F71" s="3"/>
      <c r="G71" s="24"/>
      <c r="H71" s="24"/>
      <c r="K71" s="4"/>
      <c r="L71" s="4"/>
      <c r="M71" s="4"/>
      <c r="N71" s="4"/>
      <c r="O71" s="4"/>
      <c r="P71" s="27"/>
      <c r="Q71" s="25"/>
      <c r="R71" s="25"/>
      <c r="S71" s="12">
        <f t="shared" ref="S71" si="19">+Q71*R71</f>
        <v>0</v>
      </c>
      <c r="T71" s="5">
        <v>0</v>
      </c>
      <c r="U71" s="12">
        <f t="shared" ref="U71" si="20">S71*(1-T71)</f>
        <v>0</v>
      </c>
      <c r="V71" s="25" t="s">
        <v>10</v>
      </c>
      <c r="W71" s="11">
        <f>IFERROR(VLOOKUP(V71,[1]Curr!$B$2:$C$13,2,FALSE),0)</f>
        <v>11.3</v>
      </c>
      <c r="X71" s="12">
        <f t="shared" ref="X71" si="21">U71*W71</f>
        <v>0</v>
      </c>
      <c r="Y71" s="26">
        <f t="shared" ref="Y71" si="22">Q71</f>
        <v>0</v>
      </c>
      <c r="Z71" s="12">
        <f t="shared" ref="Z71" si="23">+Y71*R71</f>
        <v>0</v>
      </c>
      <c r="AA71" s="4" t="s">
        <v>10</v>
      </c>
      <c r="AB71" s="11">
        <f>IFERROR(VLOOKUP(AA71,Curr!$B$2:$C$13,2,FALSE),0)</f>
        <v>11.3</v>
      </c>
      <c r="AC71" s="12">
        <f t="shared" si="16"/>
        <v>0</v>
      </c>
      <c r="AD71" s="12">
        <f t="shared" si="17"/>
        <v>0</v>
      </c>
      <c r="AE71" s="13">
        <f t="shared" si="18"/>
        <v>0</v>
      </c>
    </row>
    <row r="72" spans="2:36" x14ac:dyDescent="0.25">
      <c r="B72" s="4"/>
      <c r="E72" s="3"/>
      <c r="F72" s="3"/>
      <c r="G72" s="3"/>
      <c r="H72" s="3"/>
      <c r="L72" s="4"/>
      <c r="M72" s="4"/>
      <c r="N72" s="4"/>
      <c r="O72" s="4"/>
      <c r="P72" s="22"/>
      <c r="Q72" s="4"/>
      <c r="R72" s="4"/>
      <c r="S72" s="4"/>
      <c r="T72" s="4"/>
      <c r="U72" s="4"/>
      <c r="V72" s="4"/>
      <c r="W72" s="4"/>
      <c r="X72" s="4"/>
      <c r="Y72" s="4"/>
      <c r="Z72" s="4"/>
      <c r="AA72" s="4"/>
      <c r="AB72" s="4"/>
      <c r="AC72" s="4"/>
      <c r="AD72" s="4"/>
      <c r="AE72" s="4"/>
      <c r="AF72" s="4"/>
    </row>
    <row r="73" spans="2:36" x14ac:dyDescent="0.25">
      <c r="B73" s="14" t="s">
        <v>18</v>
      </c>
      <c r="C73" s="14"/>
      <c r="D73" s="28" t="s">
        <v>42</v>
      </c>
      <c r="E73" s="30" t="s">
        <v>42</v>
      </c>
      <c r="F73" s="30" t="s">
        <v>42</v>
      </c>
      <c r="G73" s="30" t="s">
        <v>42</v>
      </c>
      <c r="H73" s="30" t="s">
        <v>42</v>
      </c>
      <c r="I73" s="28" t="s">
        <v>42</v>
      </c>
      <c r="J73" s="28" t="s">
        <v>42</v>
      </c>
      <c r="K73" s="28" t="s">
        <v>42</v>
      </c>
      <c r="L73" s="28" t="s">
        <v>42</v>
      </c>
      <c r="M73" s="28" t="s">
        <v>42</v>
      </c>
      <c r="N73" s="28" t="s">
        <v>42</v>
      </c>
      <c r="O73" s="28" t="s">
        <v>42</v>
      </c>
      <c r="P73" s="28" t="s">
        <v>42</v>
      </c>
      <c r="Q73" s="31" t="s">
        <v>42</v>
      </c>
      <c r="R73" s="28" t="s">
        <v>42</v>
      </c>
      <c r="S73" s="32" t="s">
        <v>42</v>
      </c>
      <c r="T73" s="28" t="s">
        <v>42</v>
      </c>
      <c r="U73" s="32" t="s">
        <v>42</v>
      </c>
      <c r="V73" s="28" t="s">
        <v>42</v>
      </c>
      <c r="W73" s="28" t="s">
        <v>42</v>
      </c>
      <c r="X73" s="32" t="s">
        <v>42</v>
      </c>
      <c r="Y73" s="32" t="s">
        <v>42</v>
      </c>
      <c r="Z73" s="15">
        <f>SUM(Z7:Z71)</f>
        <v>5245.1660882642145</v>
      </c>
      <c r="AA73" s="14"/>
      <c r="AB73" s="14"/>
      <c r="AC73" s="15">
        <f>SUM(AC7:AC71)</f>
        <v>59270.376797385623</v>
      </c>
      <c r="AD73" s="15">
        <f>SUM(AD7:AD71)</f>
        <v>11430.33679738562</v>
      </c>
      <c r="AE73" s="21">
        <f t="shared" ref="AE73" si="24">IFERROR(AD73/AC73,0)</f>
        <v>0.19285075302389176</v>
      </c>
      <c r="AF73" s="15">
        <f>SUM(AF8:AF72)</f>
        <v>0</v>
      </c>
      <c r="AG73" s="15">
        <f>SUM(AG8:AG72)</f>
        <v>0</v>
      </c>
      <c r="AH73" s="15">
        <f>SUM(AH8:AH72)</f>
        <v>0</v>
      </c>
      <c r="AI73" s="15">
        <f>SUM(AI8:AI72)</f>
        <v>0</v>
      </c>
      <c r="AJ73" s="15">
        <f>SUM(AJ8:AJ72)</f>
        <v>0</v>
      </c>
    </row>
    <row r="74" spans="2:36" x14ac:dyDescent="0.25">
      <c r="B74" s="4"/>
      <c r="E74" s="3"/>
      <c r="F74" s="3"/>
      <c r="G74" s="3"/>
      <c r="H74" s="3"/>
      <c r="L74" s="4"/>
      <c r="M74" s="4"/>
      <c r="N74" s="4"/>
      <c r="O74" s="4"/>
      <c r="Q74" s="4"/>
      <c r="R74" s="4"/>
      <c r="S74" s="4"/>
      <c r="T74" s="4"/>
      <c r="U74" s="4"/>
      <c r="V74" s="4"/>
      <c r="W74" s="4"/>
      <c r="X74" s="4"/>
      <c r="Y74" s="9"/>
      <c r="Z74" s="9"/>
      <c r="AA74" s="9"/>
      <c r="AB74" s="9"/>
      <c r="AC74" s="9"/>
      <c r="AD74" s="9"/>
      <c r="AE74" s="9"/>
    </row>
    <row r="75" spans="2:36" x14ac:dyDescent="0.25">
      <c r="B75" s="4"/>
      <c r="E75" s="3"/>
      <c r="F75" s="3"/>
      <c r="G75" s="3"/>
      <c r="H75" s="3"/>
      <c r="L75" s="4"/>
      <c r="M75" s="4"/>
      <c r="N75" s="4"/>
      <c r="O75" s="4"/>
      <c r="Q75" s="9"/>
      <c r="R75" s="9"/>
      <c r="S75" s="9"/>
      <c r="T75" s="9"/>
      <c r="U75" s="9"/>
      <c r="V75" s="9"/>
      <c r="W75" s="9"/>
      <c r="X75" s="23"/>
      <c r="Y75" s="34" t="s">
        <v>119</v>
      </c>
      <c r="Z75" s="34">
        <f>Z12+Z14+Z17+Z22+Z24+Z26+Z28+Z34+Z37+Z38+Z47</f>
        <v>2346.8579154375616</v>
      </c>
      <c r="AA75" s="9"/>
      <c r="AB75" s="9"/>
      <c r="AC75" s="9"/>
      <c r="AD75" s="9"/>
      <c r="AE75" s="9"/>
    </row>
    <row r="76" spans="2:36" x14ac:dyDescent="0.25">
      <c r="B76" s="4"/>
      <c r="E76" s="3"/>
      <c r="F76" s="3"/>
      <c r="G76" s="3"/>
      <c r="H76" s="3"/>
      <c r="L76" s="4"/>
      <c r="M76" s="4"/>
      <c r="N76" s="4"/>
      <c r="O76" s="4"/>
      <c r="Q76" s="9"/>
      <c r="R76" s="9"/>
      <c r="S76" s="9"/>
      <c r="T76" s="9"/>
      <c r="U76" s="9"/>
      <c r="V76" s="9"/>
      <c r="W76" s="9"/>
      <c r="X76" s="9"/>
      <c r="Y76" s="35" t="s">
        <v>120</v>
      </c>
      <c r="Z76" s="34">
        <f>Z9+Z19+Z31+Z33+Z42+Z44</f>
        <v>2898.3081728266529</v>
      </c>
      <c r="AA76" s="9"/>
      <c r="AB76" s="9"/>
      <c r="AC76" s="9"/>
      <c r="AD76" s="9"/>
      <c r="AE76" s="9"/>
      <c r="AF76" s="18"/>
    </row>
    <row r="77" spans="2:36" x14ac:dyDescent="0.25">
      <c r="B77" s="4"/>
      <c r="E77" s="3"/>
      <c r="F77" s="3"/>
      <c r="G77" s="3"/>
      <c r="H77" s="3"/>
      <c r="I77" s="19"/>
      <c r="L77" s="4"/>
      <c r="M77" s="4"/>
      <c r="N77" s="4"/>
      <c r="O77" s="20"/>
      <c r="Q77" s="20"/>
      <c r="R77" s="20"/>
      <c r="S77" s="20"/>
      <c r="T77" s="20"/>
      <c r="U77" s="20"/>
      <c r="V77" s="20"/>
      <c r="W77" s="20"/>
      <c r="X77" s="20"/>
      <c r="Y77" s="34" t="s">
        <v>121</v>
      </c>
      <c r="Z77" s="34">
        <v>5240</v>
      </c>
      <c r="AA77" s="9"/>
      <c r="AB77" s="9"/>
      <c r="AC77" s="9"/>
      <c r="AD77" s="9"/>
      <c r="AE77" s="9"/>
      <c r="AF77" s="18"/>
    </row>
    <row r="78" spans="2:36" x14ac:dyDescent="0.25">
      <c r="B78" s="4"/>
      <c r="E78" s="3"/>
      <c r="F78" s="3"/>
      <c r="G78" s="3"/>
      <c r="H78" s="3"/>
      <c r="L78" s="4"/>
      <c r="M78" s="4"/>
      <c r="N78" s="4"/>
      <c r="O78" s="20"/>
      <c r="Q78" s="20"/>
      <c r="R78" s="20"/>
      <c r="S78" s="20"/>
      <c r="T78" s="20"/>
      <c r="U78" s="20"/>
      <c r="V78" s="20"/>
      <c r="W78" s="20"/>
      <c r="X78" s="20"/>
      <c r="Y78" s="34" t="s">
        <v>46</v>
      </c>
      <c r="Z78" s="34">
        <f>Z77/2</f>
        <v>2620</v>
      </c>
      <c r="AA78" s="9"/>
      <c r="AB78" s="9"/>
      <c r="AC78" s="9"/>
      <c r="AD78" s="9"/>
      <c r="AE78" s="9"/>
      <c r="AF78" s="18"/>
    </row>
    <row r="79" spans="2:36" x14ac:dyDescent="0.25">
      <c r="B79" s="4"/>
      <c r="E79" s="3"/>
      <c r="F79" s="3"/>
      <c r="G79" s="3"/>
      <c r="H79" s="3"/>
      <c r="L79" s="4"/>
      <c r="M79" s="4"/>
      <c r="N79" s="4"/>
      <c r="O79" s="4"/>
      <c r="Q79" s="9"/>
      <c r="R79" s="9"/>
      <c r="S79" s="9"/>
      <c r="T79" s="9"/>
      <c r="U79" s="9"/>
      <c r="V79" s="9"/>
      <c r="W79" s="9"/>
      <c r="X79" s="9"/>
      <c r="Y79" s="1"/>
      <c r="Z79" s="1"/>
      <c r="AA79" s="9"/>
      <c r="AB79" s="9"/>
      <c r="AC79" s="9"/>
      <c r="AD79" s="9"/>
      <c r="AE79" s="9"/>
      <c r="AF79" s="18"/>
    </row>
    <row r="80" spans="2:36" x14ac:dyDescent="0.25">
      <c r="F80" s="1"/>
      <c r="G80" s="1"/>
      <c r="H80" s="1"/>
      <c r="J80" s="1" t="s">
        <v>32</v>
      </c>
      <c r="Q80" s="9"/>
      <c r="R80" s="4"/>
      <c r="S80" s="9"/>
      <c r="T80" s="5"/>
      <c r="U80" s="9"/>
      <c r="V80" s="4"/>
      <c r="W80" s="4"/>
      <c r="X80" s="9"/>
      <c r="Y80" s="9"/>
      <c r="Z80" s="9"/>
      <c r="AA80" s="9"/>
      <c r="AB80" s="9"/>
      <c r="AC80" s="9"/>
      <c r="AD80" s="9"/>
      <c r="AE80" s="9"/>
    </row>
    <row r="81" spans="17:31" x14ac:dyDescent="0.25">
      <c r="R81" s="4"/>
      <c r="S81" s="17"/>
      <c r="T81" s="17"/>
      <c r="U81" s="9"/>
      <c r="V81" s="4"/>
      <c r="W81" s="4"/>
      <c r="X81" s="9"/>
      <c r="Y81" s="39" t="s">
        <v>220</v>
      </c>
      <c r="Z81" s="9">
        <f>Z77</f>
        <v>5240</v>
      </c>
      <c r="AA81" s="9"/>
      <c r="AB81" s="9"/>
      <c r="AC81" s="9"/>
      <c r="AD81" s="9"/>
      <c r="AE81" s="9"/>
    </row>
    <row r="82" spans="17:31" x14ac:dyDescent="0.25">
      <c r="Q82" s="9"/>
      <c r="R82" s="4"/>
      <c r="S82" s="16"/>
      <c r="T82" s="16"/>
      <c r="U82" s="9"/>
      <c r="V82" s="4"/>
      <c r="W82" s="4"/>
      <c r="X82" s="9"/>
      <c r="Y82" s="39" t="s">
        <v>221</v>
      </c>
      <c r="Z82" s="9">
        <f>Z81*1.18</f>
        <v>6183.2</v>
      </c>
      <c r="AA82" s="9"/>
      <c r="AB82" s="9"/>
      <c r="AC82" s="9"/>
      <c r="AD82" s="9"/>
      <c r="AE82" s="9"/>
    </row>
    <row r="83" spans="17:31" x14ac:dyDescent="0.25">
      <c r="R83" s="4"/>
      <c r="S83" s="16"/>
      <c r="T83" s="16"/>
      <c r="Y83" s="39" t="s">
        <v>222</v>
      </c>
      <c r="Z83" s="9">
        <f>Z81*1.3</f>
        <v>6812</v>
      </c>
      <c r="AA83" s="9"/>
      <c r="AB83" s="9"/>
      <c r="AC83" s="9"/>
      <c r="AD83" s="9"/>
      <c r="AE83" s="9"/>
    </row>
    <row r="84" spans="17:31" x14ac:dyDescent="0.25">
      <c r="T84" s="5"/>
      <c r="Y84" s="39" t="s">
        <v>223</v>
      </c>
      <c r="Z84" s="9">
        <f>Z81*0.85</f>
        <v>4454</v>
      </c>
      <c r="AA84" s="9"/>
      <c r="AB84" s="9"/>
      <c r="AC84" s="9"/>
      <c r="AD84" s="9"/>
      <c r="AE84" s="9"/>
    </row>
    <row r="85" spans="17:31" x14ac:dyDescent="0.25">
      <c r="T85" s="5"/>
      <c r="Y85" s="9"/>
      <c r="Z85" s="9"/>
      <c r="AA85" s="9"/>
      <c r="AB85" s="9"/>
      <c r="AC85" s="9"/>
      <c r="AD85" s="9"/>
      <c r="AE85" s="9"/>
    </row>
    <row r="86" spans="17:31" x14ac:dyDescent="0.25">
      <c r="T86" s="5"/>
      <c r="Y86" s="9"/>
      <c r="Z86" s="9"/>
      <c r="AA86" s="9"/>
      <c r="AB86" s="9"/>
      <c r="AC86" s="9"/>
      <c r="AD86" s="9"/>
      <c r="AE86" s="9"/>
    </row>
    <row r="87" spans="17:31" x14ac:dyDescent="0.25">
      <c r="T87" s="5"/>
      <c r="Y87" s="9"/>
      <c r="Z87" s="9"/>
      <c r="AA87" s="9"/>
      <c r="AB87" s="9"/>
      <c r="AC87" s="9"/>
      <c r="AD87" s="9"/>
      <c r="AE87" s="9"/>
    </row>
    <row r="88" spans="17:31" x14ac:dyDescent="0.25">
      <c r="T88" s="5"/>
      <c r="Y88" s="9"/>
      <c r="Z88" s="9"/>
      <c r="AA88" s="9"/>
      <c r="AB88" s="9"/>
      <c r="AC88" s="9"/>
      <c r="AD88" s="9"/>
      <c r="AE88" s="9"/>
    </row>
    <row r="89" spans="17:31" x14ac:dyDescent="0.25">
      <c r="T89" s="5"/>
      <c r="Y89" s="9"/>
      <c r="Z89" s="9"/>
      <c r="AA89" s="9"/>
      <c r="AB89" s="9"/>
      <c r="AC89" s="9"/>
      <c r="AD89" s="9"/>
      <c r="AE89" s="9"/>
    </row>
    <row r="90" spans="17:31" x14ac:dyDescent="0.25">
      <c r="T90" s="5"/>
      <c r="Y90" s="9"/>
      <c r="Z90" s="9"/>
      <c r="AA90" s="9"/>
      <c r="AB90" s="9"/>
      <c r="AC90" s="9"/>
      <c r="AD90" s="9"/>
      <c r="AE90" s="9"/>
    </row>
    <row r="91" spans="17:31" x14ac:dyDescent="0.25">
      <c r="T91" s="5"/>
      <c r="Y91" s="9"/>
      <c r="Z91" s="9"/>
      <c r="AA91" s="9"/>
      <c r="AB91" s="9"/>
      <c r="AC91" s="9"/>
      <c r="AD91" s="9"/>
      <c r="AE91" s="9"/>
    </row>
    <row r="92" spans="17:31" x14ac:dyDescent="0.25">
      <c r="T92" s="5"/>
    </row>
    <row r="93" spans="17:31" x14ac:dyDescent="0.25">
      <c r="T93" s="5"/>
    </row>
    <row r="94" spans="17:31" x14ac:dyDescent="0.25">
      <c r="T94" s="5"/>
    </row>
    <row r="95" spans="17:31" x14ac:dyDescent="0.25">
      <c r="T95" s="5"/>
    </row>
    <row r="96" spans="17:31" x14ac:dyDescent="0.25">
      <c r="T96" s="5"/>
    </row>
  </sheetData>
  <autoFilter ref="B6:AE73" xr:uid="{65FA6D9B-E0AF-46CD-BA0D-86BB75FE6AB0}"/>
  <hyperlinks>
    <hyperlink ref="P12" r:id="rId1" xr:uid="{7FF3EB05-9D6E-43F6-8B8A-DE216D1CE9BB}"/>
    <hyperlink ref="P17" r:id="rId2" xr:uid="{7B9310A6-083E-45F5-A6AF-062EBCA88BB0}"/>
    <hyperlink ref="P28" r:id="rId3" xr:uid="{ABC5A823-F87B-4064-8807-810332BA5185}"/>
    <hyperlink ref="P26" r:id="rId4" xr:uid="{31D806E9-8D99-45C7-A878-C33FA1D22501}"/>
    <hyperlink ref="P22" r:id="rId5" xr:uid="{89F6A752-9252-4406-AED1-F6FE9914FF7B}"/>
    <hyperlink ref="P34" r:id="rId6" xr:uid="{F3C6806C-D6FA-4A47-9A2D-4E69BEC69584}"/>
    <hyperlink ref="P37" r:id="rId7" xr:uid="{80C6E48B-41E0-4182-909E-7538518D31C6}"/>
    <hyperlink ref="P38" r:id="rId8" xr:uid="{59599E4F-21BD-4A65-900C-A6BDC697203A}"/>
    <hyperlink ref="P42" r:id="rId9" location="reisesok" xr:uid="{08AD8AA0-B29B-48E4-94B9-710597749233}"/>
    <hyperlink ref="P47" r:id="rId10" xr:uid="{9965766F-A282-40BC-BB1B-E5C367009445}"/>
    <hyperlink ref="P62" r:id="rId11" xr:uid="{752EC6FA-5221-4EBC-8D47-576DA1D46DE5}"/>
    <hyperlink ref="P64" r:id="rId12" xr:uid="{201FD2B3-5F39-4CD7-B83B-9D7F47CAB57D}"/>
    <hyperlink ref="P65" r:id="rId13" xr:uid="{F5A0E901-E314-4037-8D5B-F284D12982F4}"/>
    <hyperlink ref="P24" r:id="rId14" xr:uid="{920ED1AB-C50F-4526-A958-978F6A5258F8}"/>
    <hyperlink ref="P14" r:id="rId15" xr:uid="{DDF402AC-B724-4CF5-88B8-518DB8769770}"/>
  </hyperlinks>
  <pageMargins left="0.7" right="0.7" top="0.75" bottom="0.75" header="0.3" footer="0.3"/>
  <pageSetup paperSize="9" orientation="portrait" r:id="rId1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AB2E1-059A-4D2C-832E-8CF26304C1A5}">
  <sheetPr>
    <tabColor rgb="FFFFFF00"/>
  </sheetPr>
  <dimension ref="B1:AK101"/>
  <sheetViews>
    <sheetView topLeftCell="A6" zoomScale="80" zoomScaleNormal="80" workbookViewId="0">
      <selection activeCell="Z83" sqref="Z83"/>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62</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11.3</v>
      </c>
      <c r="AC7" s="12">
        <f t="shared" ref="AC7:AC70" si="3">+Y7*AB7*R7</f>
        <v>0</v>
      </c>
      <c r="AD7" s="12">
        <f t="shared" ref="AD7:AD70" si="4">+AC7-X7</f>
        <v>0</v>
      </c>
      <c r="AE7" s="13">
        <f t="shared" ref="AE7:AE70"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Q9/0.85</f>
        <v>176.47058823529412</v>
      </c>
      <c r="Z9" s="12">
        <f t="shared" si="2"/>
        <v>176.47058823529412</v>
      </c>
      <c r="AA9" s="4" t="s">
        <v>10</v>
      </c>
      <c r="AB9" s="11">
        <f>IFERROR(VLOOKUP(AA9,Curr!$B$2:$C$13,2,FALSE),0)</f>
        <v>11.3</v>
      </c>
      <c r="AC9" s="12">
        <f t="shared" si="3"/>
        <v>1994.1176470588236</v>
      </c>
      <c r="AD9" s="12">
        <f t="shared" si="4"/>
        <v>299.11764705882365</v>
      </c>
      <c r="AE9" s="13">
        <f t="shared" si="5"/>
        <v>0.15000000000000005</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71"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124</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Y19"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9"/>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109</v>
      </c>
      <c r="K28" s="4"/>
      <c r="L28" s="4"/>
      <c r="M28" s="4"/>
      <c r="N28" s="4"/>
      <c r="O28" s="4"/>
      <c r="P28" s="33"/>
      <c r="Q28" s="25">
        <v>500</v>
      </c>
      <c r="R28" s="25">
        <v>1</v>
      </c>
      <c r="S28" s="12">
        <f t="shared" si="0"/>
        <v>500</v>
      </c>
      <c r="T28" s="5">
        <v>0</v>
      </c>
      <c r="U28" s="12">
        <f t="shared" si="6"/>
        <v>500</v>
      </c>
      <c r="V28" s="25" t="s">
        <v>10</v>
      </c>
      <c r="W28" s="11">
        <f>IFERROR(VLOOKUP(V28,[1]Curr!$B$2:$C$13,2,FALSE),0)</f>
        <v>11.3</v>
      </c>
      <c r="X28" s="12">
        <f t="shared" si="1"/>
        <v>5650</v>
      </c>
      <c r="Y28" s="26">
        <f>Q28/0.85</f>
        <v>588.23529411764707</v>
      </c>
      <c r="Z28" s="12">
        <f t="shared" si="2"/>
        <v>588.23529411764707</v>
      </c>
      <c r="AA28" s="4" t="s">
        <v>10</v>
      </c>
      <c r="AB28" s="11">
        <f>IFERROR(VLOOKUP(AA28,Curr!$B$2:$C$13,2,FALSE),0)</f>
        <v>11.3</v>
      </c>
      <c r="AC28" s="12">
        <f t="shared" si="3"/>
        <v>6647.0588235294126</v>
      </c>
      <c r="AD28" s="12">
        <f t="shared" si="4"/>
        <v>997.05882352941262</v>
      </c>
      <c r="AE28" s="13">
        <f t="shared" si="5"/>
        <v>0.15000000000000011</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88</v>
      </c>
      <c r="K31" s="4"/>
      <c r="L31" s="4"/>
      <c r="M31" s="4"/>
      <c r="N31" s="4"/>
      <c r="O31" s="4" t="s">
        <v>42</v>
      </c>
      <c r="P31" s="33" t="s">
        <v>89</v>
      </c>
      <c r="Q31" s="25">
        <v>1695</v>
      </c>
      <c r="R31" s="25">
        <v>2</v>
      </c>
      <c r="S31" s="12">
        <f t="shared" si="0"/>
        <v>3390</v>
      </c>
      <c r="T31" s="5">
        <v>0.2</v>
      </c>
      <c r="U31" s="12">
        <f t="shared" si="6"/>
        <v>2712</v>
      </c>
      <c r="V31" s="25" t="s">
        <v>8</v>
      </c>
      <c r="W31" s="11">
        <f>IFERROR(VLOOKUP(V31,[1]Curr!$B$2:$C$13,2,FALSE),0)</f>
        <v>1</v>
      </c>
      <c r="X31" s="12">
        <f t="shared" si="1"/>
        <v>2712</v>
      </c>
      <c r="Y31" s="26">
        <f>Q31/11.3</f>
        <v>150</v>
      </c>
      <c r="Z31" s="12">
        <f t="shared" si="2"/>
        <v>300</v>
      </c>
      <c r="AA31" s="4" t="s">
        <v>10</v>
      </c>
      <c r="AB31" s="11">
        <f>IFERROR(VLOOKUP(AA31,Curr!$B$2:$C$13,2,FALSE),0)</f>
        <v>11.3</v>
      </c>
      <c r="AC31" s="12">
        <f t="shared" si="3"/>
        <v>3390</v>
      </c>
      <c r="AD31" s="12">
        <f t="shared" si="4"/>
        <v>678</v>
      </c>
      <c r="AE31" s="13">
        <f t="shared" si="5"/>
        <v>0.2</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ref="Y32:Y33" si="11">Q32</f>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216</v>
      </c>
      <c r="K33" s="4"/>
      <c r="L33" s="4"/>
      <c r="M33" s="4"/>
      <c r="N33" s="4"/>
      <c r="O33" s="4" t="s">
        <v>42</v>
      </c>
      <c r="P33" s="33" t="s">
        <v>217</v>
      </c>
      <c r="Q33" s="25">
        <v>120</v>
      </c>
      <c r="R33" s="25">
        <v>2</v>
      </c>
      <c r="S33" s="12">
        <f t="shared" si="0"/>
        <v>240</v>
      </c>
      <c r="T33" s="5">
        <v>0.2</v>
      </c>
      <c r="U33" s="12">
        <f t="shared" si="6"/>
        <v>192</v>
      </c>
      <c r="V33" s="25" t="s">
        <v>10</v>
      </c>
      <c r="W33" s="11">
        <f>IFERROR(VLOOKUP(V33,[2]Curr!$B$2:$C$13,2,FALSE),0)</f>
        <v>11.3</v>
      </c>
      <c r="X33" s="12">
        <f t="shared" si="1"/>
        <v>2169.6000000000004</v>
      </c>
      <c r="Y33" s="26">
        <f t="shared" si="11"/>
        <v>120</v>
      </c>
      <c r="Z33" s="12">
        <f t="shared" si="2"/>
        <v>240</v>
      </c>
      <c r="AA33" s="4" t="s">
        <v>10</v>
      </c>
      <c r="AB33" s="11">
        <f>IFERROR(VLOOKUP(AA33,Curr!$B$2:$C$13,2,FALSE),0)</f>
        <v>11.3</v>
      </c>
      <c r="AC33" s="12">
        <f t="shared" si="3"/>
        <v>2712</v>
      </c>
      <c r="AD33" s="12">
        <f t="shared" si="4"/>
        <v>542.39999999999964</v>
      </c>
      <c r="AE33" s="13">
        <f t="shared" si="5"/>
        <v>0.19999999999999987</v>
      </c>
    </row>
    <row r="34" spans="2:31" x14ac:dyDescent="0.25">
      <c r="B34" s="4"/>
      <c r="E34" s="3"/>
      <c r="F34" s="3"/>
      <c r="G34" s="24"/>
      <c r="H34" s="24"/>
      <c r="K34" s="4"/>
      <c r="L34" s="4"/>
      <c r="M34" s="4"/>
      <c r="N34" s="4"/>
      <c r="O34" s="4"/>
      <c r="P34" s="27"/>
      <c r="Q34" s="25"/>
      <c r="R34" s="25"/>
      <c r="S34" s="12">
        <f t="shared" si="0"/>
        <v>0</v>
      </c>
      <c r="T34" s="5">
        <v>0</v>
      </c>
      <c r="U34" s="12">
        <f t="shared" si="6"/>
        <v>0</v>
      </c>
      <c r="V34" s="25" t="s">
        <v>10</v>
      </c>
      <c r="W34" s="11">
        <f>IFERROR(VLOOKUP(V34,[1]Curr!$B$2:$C$13,2,FALSE),0)</f>
        <v>11.3</v>
      </c>
      <c r="X34" s="12">
        <f t="shared" si="1"/>
        <v>0</v>
      </c>
      <c r="Y34" s="26">
        <f t="shared" ref="Y34:Y50" si="12">Q34</f>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66</v>
      </c>
      <c r="E35" s="3"/>
      <c r="F35" s="3"/>
      <c r="G35" s="24"/>
      <c r="H35" s="24"/>
      <c r="J35" s="1" t="s">
        <v>87</v>
      </c>
      <c r="K35" s="4"/>
      <c r="L35" s="4"/>
      <c r="M35" s="4"/>
      <c r="N35" s="4"/>
      <c r="O35" s="4"/>
      <c r="P35" s="33"/>
      <c r="Q35" s="25">
        <v>0</v>
      </c>
      <c r="R35" s="25">
        <v>0</v>
      </c>
      <c r="S35" s="12">
        <f t="shared" si="0"/>
        <v>0</v>
      </c>
      <c r="T35" s="5">
        <v>0</v>
      </c>
      <c r="U35" s="12">
        <f t="shared" si="6"/>
        <v>0</v>
      </c>
      <c r="V35" s="25" t="s">
        <v>10</v>
      </c>
      <c r="W35" s="11">
        <f>IFERROR(VLOOKUP(V35,[1]Curr!$B$2:$C$13,2,FALSE),0)</f>
        <v>11.3</v>
      </c>
      <c r="X35" s="12">
        <f t="shared" si="1"/>
        <v>0</v>
      </c>
      <c r="Y35" s="26">
        <f t="shared" si="12"/>
        <v>0</v>
      </c>
      <c r="Z35" s="12">
        <f t="shared" si="2"/>
        <v>0</v>
      </c>
      <c r="AA35" s="4" t="s">
        <v>10</v>
      </c>
      <c r="AB35" s="11">
        <f>IFERROR(VLOOKUP(AA35,Curr!$B$2:$C$13,2,FALSE),0)</f>
        <v>11.3</v>
      </c>
      <c r="AC35" s="12">
        <f t="shared" si="3"/>
        <v>0</v>
      </c>
      <c r="AD35" s="12">
        <f t="shared" si="4"/>
        <v>0</v>
      </c>
      <c r="AE35" s="13">
        <f t="shared" si="5"/>
        <v>0</v>
      </c>
    </row>
    <row r="36" spans="2:31" x14ac:dyDescent="0.25">
      <c r="B36" s="4"/>
      <c r="C36" s="1" t="s">
        <v>84</v>
      </c>
      <c r="D36" s="1" t="s">
        <v>161</v>
      </c>
      <c r="E36" s="3"/>
      <c r="F36" s="3"/>
      <c r="G36" s="24"/>
      <c r="H36" s="24"/>
      <c r="J36" s="1" t="s">
        <v>207</v>
      </c>
      <c r="K36" s="4"/>
      <c r="L36" s="4"/>
      <c r="M36" s="4"/>
      <c r="N36" s="4"/>
      <c r="O36" s="4"/>
      <c r="P36" s="27"/>
      <c r="Q36" s="25">
        <v>1800</v>
      </c>
      <c r="R36" s="25">
        <v>2</v>
      </c>
      <c r="S36" s="12">
        <f t="shared" si="0"/>
        <v>3600</v>
      </c>
      <c r="T36" s="5">
        <v>0</v>
      </c>
      <c r="U36" s="12">
        <f t="shared" si="6"/>
        <v>3600</v>
      </c>
      <c r="V36" s="25" t="s">
        <v>8</v>
      </c>
      <c r="W36" s="11">
        <f>IFERROR(VLOOKUP(V36,[1]Curr!$B$2:$C$13,2,FALSE),0)</f>
        <v>1</v>
      </c>
      <c r="X36" s="12">
        <f t="shared" si="1"/>
        <v>3600</v>
      </c>
      <c r="Y36" s="26">
        <f>Q36/11.3/0.8</f>
        <v>199.11504424778758</v>
      </c>
      <c r="Z36" s="12">
        <f t="shared" si="2"/>
        <v>398.23008849557516</v>
      </c>
      <c r="AA36" s="4" t="s">
        <v>10</v>
      </c>
      <c r="AB36" s="11">
        <f>IFERROR(VLOOKUP(AA36,Curr!$B$2:$C$13,2,FALSE),0)</f>
        <v>11.3</v>
      </c>
      <c r="AC36" s="12">
        <f t="shared" si="3"/>
        <v>4500</v>
      </c>
      <c r="AD36" s="12">
        <f t="shared" si="4"/>
        <v>900</v>
      </c>
      <c r="AE36" s="13">
        <f t="shared" si="5"/>
        <v>0.2</v>
      </c>
    </row>
    <row r="37" spans="2:31" x14ac:dyDescent="0.25">
      <c r="B37" s="4"/>
      <c r="C37" s="1" t="s">
        <v>84</v>
      </c>
      <c r="D37" s="1" t="s">
        <v>66</v>
      </c>
      <c r="E37" s="3"/>
      <c r="F37" s="3"/>
      <c r="G37" s="24"/>
      <c r="H37" s="24"/>
      <c r="J37" s="1" t="s">
        <v>167</v>
      </c>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12"/>
        <v>0</v>
      </c>
      <c r="Z37" s="12">
        <f t="shared" si="2"/>
        <v>0</v>
      </c>
      <c r="AA37" s="4" t="s">
        <v>10</v>
      </c>
      <c r="AB37" s="11">
        <f>IFERROR(VLOOKUP(AA37,Curr!$B$2:$C$13,2,FALSE),0)</f>
        <v>11.3</v>
      </c>
      <c r="AC37" s="12">
        <f t="shared" si="3"/>
        <v>0</v>
      </c>
      <c r="AD37" s="12">
        <f t="shared" si="4"/>
        <v>0</v>
      </c>
      <c r="AE37" s="13">
        <f t="shared" si="5"/>
        <v>0</v>
      </c>
    </row>
    <row r="38" spans="2:31" x14ac:dyDescent="0.25">
      <c r="B38" s="4"/>
      <c r="C38" s="1" t="s">
        <v>84</v>
      </c>
      <c r="D38" s="1" t="s">
        <v>67</v>
      </c>
      <c r="E38" s="3"/>
      <c r="F38" s="3"/>
      <c r="G38" s="24"/>
      <c r="H38" s="24"/>
      <c r="J38" s="1" t="s">
        <v>212</v>
      </c>
      <c r="K38" s="4"/>
      <c r="L38" s="4"/>
      <c r="M38" s="4"/>
      <c r="N38" s="4"/>
      <c r="O38" s="4"/>
      <c r="P38" s="33"/>
      <c r="Q38" s="25">
        <v>240</v>
      </c>
      <c r="R38" s="25">
        <v>1</v>
      </c>
      <c r="S38" s="12">
        <f t="shared" si="0"/>
        <v>240</v>
      </c>
      <c r="T38" s="5">
        <v>0</v>
      </c>
      <c r="U38" s="12">
        <f t="shared" si="6"/>
        <v>240</v>
      </c>
      <c r="V38" s="25" t="s">
        <v>10</v>
      </c>
      <c r="W38" s="11">
        <f>IFERROR(VLOOKUP(V38,[1]Curr!$B$2:$C$13,2,FALSE),0)</f>
        <v>11.3</v>
      </c>
      <c r="X38" s="12">
        <f t="shared" si="1"/>
        <v>2712</v>
      </c>
      <c r="Y38" s="26">
        <f>Q38/0.85</f>
        <v>282.35294117647061</v>
      </c>
      <c r="Z38" s="12">
        <f t="shared" si="2"/>
        <v>282.35294117647061</v>
      </c>
      <c r="AA38" s="4" t="s">
        <v>10</v>
      </c>
      <c r="AB38" s="11">
        <f>IFERROR(VLOOKUP(AA38,Curr!$B$2:$C$13,2,FALSE),0)</f>
        <v>11.3</v>
      </c>
      <c r="AC38" s="12">
        <f t="shared" si="3"/>
        <v>3190.588235294118</v>
      </c>
      <c r="AD38" s="12">
        <f t="shared" si="4"/>
        <v>478.58823529411802</v>
      </c>
      <c r="AE38" s="13">
        <f t="shared" si="5"/>
        <v>0.15000000000000011</v>
      </c>
    </row>
    <row r="39" spans="2:31" x14ac:dyDescent="0.25">
      <c r="B39" s="4"/>
      <c r="C39" s="1" t="s">
        <v>84</v>
      </c>
      <c r="D39" s="1" t="s">
        <v>75</v>
      </c>
      <c r="E39" s="3"/>
      <c r="F39" s="3"/>
      <c r="G39" s="24"/>
      <c r="H39" s="24"/>
      <c r="J39" s="1" t="s">
        <v>173</v>
      </c>
      <c r="K39" s="4"/>
      <c r="L39" s="4"/>
      <c r="M39" s="4"/>
      <c r="N39" s="4"/>
      <c r="O39" s="4" t="s">
        <v>42</v>
      </c>
      <c r="P39" s="33" t="s">
        <v>170</v>
      </c>
      <c r="Q39" s="25">
        <v>290</v>
      </c>
      <c r="R39" s="25">
        <v>2</v>
      </c>
      <c r="S39" s="12">
        <f t="shared" si="0"/>
        <v>580</v>
      </c>
      <c r="T39" s="5">
        <v>0.2</v>
      </c>
      <c r="U39" s="12">
        <f t="shared" si="6"/>
        <v>464</v>
      </c>
      <c r="V39" s="25" t="s">
        <v>8</v>
      </c>
      <c r="W39" s="11">
        <f>IFERROR(VLOOKUP(V39,[1]Curr!$B$2:$C$13,2,FALSE),0)</f>
        <v>1</v>
      </c>
      <c r="X39" s="12">
        <f t="shared" si="1"/>
        <v>464</v>
      </c>
      <c r="Y39" s="26">
        <f>Q39/11.3/0.64</f>
        <v>40.099557522123888</v>
      </c>
      <c r="Z39" s="12">
        <f t="shared" si="2"/>
        <v>80.199115044247776</v>
      </c>
      <c r="AA39" s="4" t="s">
        <v>10</v>
      </c>
      <c r="AB39" s="11">
        <f>IFERROR(VLOOKUP(AA39,Curr!$B$2:$C$13,2,FALSE),0)</f>
        <v>11.3</v>
      </c>
      <c r="AC39" s="12">
        <f t="shared" si="3"/>
        <v>906.24999999999989</v>
      </c>
      <c r="AD39" s="12">
        <f t="shared" si="4"/>
        <v>442.24999999999989</v>
      </c>
      <c r="AE39" s="13">
        <f t="shared" si="5"/>
        <v>0.48799999999999993</v>
      </c>
    </row>
    <row r="40" spans="2:31" x14ac:dyDescent="0.25">
      <c r="B40" s="4"/>
      <c r="C40" s="1" t="s">
        <v>84</v>
      </c>
      <c r="D40" s="1" t="s">
        <v>75</v>
      </c>
      <c r="E40" s="3"/>
      <c r="F40" s="3"/>
      <c r="G40" s="24"/>
      <c r="H40" s="24"/>
      <c r="J40" s="1" t="s">
        <v>171</v>
      </c>
      <c r="K40" s="4"/>
      <c r="L40" s="4"/>
      <c r="M40" s="4"/>
      <c r="N40" s="4"/>
      <c r="O40" s="4" t="s">
        <v>42</v>
      </c>
      <c r="P40" s="33" t="s">
        <v>172</v>
      </c>
      <c r="Q40" s="25">
        <v>175</v>
      </c>
      <c r="R40" s="25">
        <v>2</v>
      </c>
      <c r="S40" s="12">
        <f t="shared" si="0"/>
        <v>350</v>
      </c>
      <c r="T40" s="5">
        <v>0</v>
      </c>
      <c r="U40" s="12">
        <f t="shared" si="6"/>
        <v>350</v>
      </c>
      <c r="V40" s="25" t="s">
        <v>8</v>
      </c>
      <c r="W40" s="11">
        <f>IFERROR(VLOOKUP(V40,[1]Curr!$B$2:$C$13,2,FALSE),0)</f>
        <v>1</v>
      </c>
      <c r="X40" s="12">
        <f t="shared" si="1"/>
        <v>350</v>
      </c>
      <c r="Y40" s="26">
        <f>Q40/11.3/0.5</f>
        <v>30.973451327433626</v>
      </c>
      <c r="Z40" s="12">
        <f t="shared" si="2"/>
        <v>61.946902654867252</v>
      </c>
      <c r="AA40" s="4" t="s">
        <v>10</v>
      </c>
      <c r="AB40" s="11">
        <f>IFERROR(VLOOKUP(AA40,Curr!$B$2:$C$13,2,FALSE),0)</f>
        <v>11.3</v>
      </c>
      <c r="AC40" s="12">
        <f t="shared" si="3"/>
        <v>700</v>
      </c>
      <c r="AD40" s="12">
        <f t="shared" si="4"/>
        <v>350</v>
      </c>
      <c r="AE40" s="13">
        <f t="shared" si="5"/>
        <v>0.5</v>
      </c>
    </row>
    <row r="41" spans="2:31" x14ac:dyDescent="0.25">
      <c r="B41" s="4"/>
      <c r="C41" s="1" t="s">
        <v>84</v>
      </c>
      <c r="D41" s="1" t="s">
        <v>68</v>
      </c>
      <c r="E41" s="3"/>
      <c r="F41" s="3"/>
      <c r="G41" s="24"/>
      <c r="H41" s="24"/>
      <c r="J41" s="1" t="s">
        <v>169</v>
      </c>
      <c r="K41" s="4"/>
      <c r="L41" s="4"/>
      <c r="M41" s="4"/>
      <c r="N41" s="4"/>
      <c r="O41" s="4"/>
      <c r="P41" s="27"/>
      <c r="Q41" s="25">
        <v>0</v>
      </c>
      <c r="R41" s="25">
        <v>0</v>
      </c>
      <c r="S41" s="12">
        <f t="shared" si="0"/>
        <v>0</v>
      </c>
      <c r="T41" s="5">
        <v>0</v>
      </c>
      <c r="U41" s="12">
        <f t="shared" si="6"/>
        <v>0</v>
      </c>
      <c r="V41" s="25" t="s">
        <v>10</v>
      </c>
      <c r="W41" s="11">
        <f>IFERROR(VLOOKUP(V41,[1]Curr!$B$2:$C$13,2,FALSE),0)</f>
        <v>11.3</v>
      </c>
      <c r="X41" s="12">
        <f t="shared" si="1"/>
        <v>0</v>
      </c>
      <c r="Y41" s="26">
        <f t="shared" si="12"/>
        <v>0</v>
      </c>
      <c r="Z41" s="12">
        <f t="shared" si="2"/>
        <v>0</v>
      </c>
      <c r="AA41" s="4" t="s">
        <v>10</v>
      </c>
      <c r="AB41" s="11">
        <f>IFERROR(VLOOKUP(AA41,Curr!$B$2:$C$13,2,FALSE),0)</f>
        <v>11.3</v>
      </c>
      <c r="AC41" s="12">
        <f t="shared" si="3"/>
        <v>0</v>
      </c>
      <c r="AD41" s="12">
        <f t="shared" si="4"/>
        <v>0</v>
      </c>
      <c r="AE41" s="13">
        <f t="shared" si="5"/>
        <v>0</v>
      </c>
    </row>
    <row r="42" spans="2:31" x14ac:dyDescent="0.25">
      <c r="B42" s="4"/>
      <c r="E42" s="3"/>
      <c r="F42" s="3"/>
      <c r="G42" s="24"/>
      <c r="H42" s="24"/>
      <c r="K42" s="4"/>
      <c r="L42" s="4"/>
      <c r="M42" s="4"/>
      <c r="N42" s="4"/>
      <c r="O42" s="4"/>
      <c r="P42" s="27"/>
      <c r="Q42" s="25"/>
      <c r="R42" s="25"/>
      <c r="S42" s="12">
        <f t="shared" si="0"/>
        <v>0</v>
      </c>
      <c r="T42" s="5">
        <v>0</v>
      </c>
      <c r="U42" s="12">
        <f t="shared" si="6"/>
        <v>0</v>
      </c>
      <c r="V42" s="25" t="s">
        <v>10</v>
      </c>
      <c r="W42" s="11">
        <f>IFERROR(VLOOKUP(V42,[1]Curr!$B$2:$C$13,2,FALSE),0)</f>
        <v>11.3</v>
      </c>
      <c r="X42" s="12">
        <f t="shared" si="1"/>
        <v>0</v>
      </c>
      <c r="Y42" s="26">
        <f t="shared" si="12"/>
        <v>0</v>
      </c>
      <c r="Z42" s="12">
        <f t="shared" si="2"/>
        <v>0</v>
      </c>
      <c r="AA42" s="4" t="s">
        <v>10</v>
      </c>
      <c r="AB42" s="11">
        <f>IFERROR(VLOOKUP(AA42,Curr!$B$2:$C$13,2,FALSE),0)</f>
        <v>11.3</v>
      </c>
      <c r="AC42" s="12">
        <f t="shared" si="3"/>
        <v>0</v>
      </c>
      <c r="AD42" s="12">
        <f t="shared" si="4"/>
        <v>0</v>
      </c>
      <c r="AE42" s="13">
        <f t="shared" si="5"/>
        <v>0</v>
      </c>
    </row>
    <row r="43" spans="2:31" x14ac:dyDescent="0.25">
      <c r="B43" s="4"/>
      <c r="C43" s="1" t="s">
        <v>127</v>
      </c>
      <c r="D43" s="1" t="s">
        <v>66</v>
      </c>
      <c r="E43" s="3"/>
      <c r="F43" s="3"/>
      <c r="G43" s="24"/>
      <c r="H43" s="24"/>
      <c r="J43" s="1" t="s">
        <v>176</v>
      </c>
      <c r="K43" s="4"/>
      <c r="L43" s="4"/>
      <c r="M43" s="4"/>
      <c r="N43" s="4"/>
      <c r="O43" s="4"/>
      <c r="P43" s="33"/>
      <c r="Q43" s="25">
        <v>0</v>
      </c>
      <c r="R43" s="25">
        <v>0</v>
      </c>
      <c r="S43" s="12">
        <f t="shared" si="0"/>
        <v>0</v>
      </c>
      <c r="T43" s="5">
        <v>0.15</v>
      </c>
      <c r="U43" s="12">
        <f t="shared" si="6"/>
        <v>0</v>
      </c>
      <c r="V43" s="25" t="s">
        <v>8</v>
      </c>
      <c r="W43" s="11">
        <f>IFERROR(VLOOKUP(V43,[1]Curr!$B$2:$C$13,2,FALSE),0)</f>
        <v>1</v>
      </c>
      <c r="X43" s="12">
        <f t="shared" si="1"/>
        <v>0</v>
      </c>
      <c r="Y43" s="26">
        <f>Q43/11.3</f>
        <v>0</v>
      </c>
      <c r="Z43" s="12">
        <f t="shared" si="2"/>
        <v>0</v>
      </c>
      <c r="AA43" s="4" t="s">
        <v>10</v>
      </c>
      <c r="AB43" s="11">
        <f>IFERROR(VLOOKUP(AA43,Curr!$B$2:$C$13,2,FALSE),0)</f>
        <v>11.3</v>
      </c>
      <c r="AC43" s="12">
        <f t="shared" si="3"/>
        <v>0</v>
      </c>
      <c r="AD43" s="12">
        <f t="shared" si="4"/>
        <v>0</v>
      </c>
      <c r="AE43" s="13">
        <f t="shared" si="5"/>
        <v>0</v>
      </c>
    </row>
    <row r="44" spans="2:31" x14ac:dyDescent="0.25">
      <c r="B44" s="4"/>
      <c r="C44" s="1" t="s">
        <v>127</v>
      </c>
      <c r="D44" s="1" t="s">
        <v>97</v>
      </c>
      <c r="E44" s="3"/>
      <c r="F44" s="3"/>
      <c r="G44" s="24"/>
      <c r="H44" s="24"/>
      <c r="J44" s="1" t="s">
        <v>174</v>
      </c>
      <c r="K44" s="4"/>
      <c r="L44" s="4"/>
      <c r="M44" s="4"/>
      <c r="N44" s="4"/>
      <c r="O44" s="4" t="s">
        <v>42</v>
      </c>
      <c r="P44" s="33" t="s">
        <v>175</v>
      </c>
      <c r="Q44" s="25">
        <v>2500</v>
      </c>
      <c r="R44" s="25">
        <v>1</v>
      </c>
      <c r="S44" s="12">
        <f t="shared" si="0"/>
        <v>2500</v>
      </c>
      <c r="T44" s="5">
        <v>0</v>
      </c>
      <c r="U44" s="12">
        <f t="shared" si="6"/>
        <v>2500</v>
      </c>
      <c r="V44" s="25" t="s">
        <v>8</v>
      </c>
      <c r="W44" s="11">
        <f>IFERROR(VLOOKUP(V44,[1]Curr!$B$2:$C$13,2,FALSE),0)</f>
        <v>1</v>
      </c>
      <c r="X44" s="12">
        <f t="shared" si="1"/>
        <v>2500</v>
      </c>
      <c r="Y44" s="26">
        <f>Q44/11.3/0.8</f>
        <v>276.54867256637164</v>
      </c>
      <c r="Z44" s="12">
        <f t="shared" si="2"/>
        <v>276.54867256637164</v>
      </c>
      <c r="AA44" s="4" t="s">
        <v>10</v>
      </c>
      <c r="AB44" s="11">
        <f>IFERROR(VLOOKUP(AA44,Curr!$B$2:$C$13,2,FALSE),0)</f>
        <v>11.3</v>
      </c>
      <c r="AC44" s="12">
        <f t="shared" si="3"/>
        <v>3124.9999999999995</v>
      </c>
      <c r="AD44" s="12">
        <f t="shared" si="4"/>
        <v>624.99999999999955</v>
      </c>
      <c r="AE44" s="13">
        <f t="shared" si="5"/>
        <v>0.19999999999999987</v>
      </c>
    </row>
    <row r="45" spans="2:31" x14ac:dyDescent="0.25">
      <c r="B45" s="4"/>
      <c r="C45" s="1" t="s">
        <v>127</v>
      </c>
      <c r="D45" s="1" t="s">
        <v>66</v>
      </c>
      <c r="E45" s="3"/>
      <c r="F45" s="3"/>
      <c r="G45" s="24"/>
      <c r="H45" s="24"/>
      <c r="J45" s="1" t="s">
        <v>164</v>
      </c>
      <c r="K45" s="4"/>
      <c r="L45" s="4"/>
      <c r="M45" s="4"/>
      <c r="N45" s="4"/>
      <c r="O45" s="4"/>
      <c r="P45" s="27"/>
      <c r="Q45" s="25">
        <v>0</v>
      </c>
      <c r="R45" s="25">
        <v>0</v>
      </c>
      <c r="S45" s="12">
        <f t="shared" si="0"/>
        <v>0</v>
      </c>
      <c r="T45" s="5">
        <v>0</v>
      </c>
      <c r="U45" s="12">
        <f t="shared" si="6"/>
        <v>0</v>
      </c>
      <c r="V45" s="25" t="s">
        <v>8</v>
      </c>
      <c r="W45" s="11">
        <f>IFERROR(VLOOKUP(V45,[1]Curr!$B$2:$C$13,2,FALSE),0)</f>
        <v>1</v>
      </c>
      <c r="X45" s="12">
        <f t="shared" si="1"/>
        <v>0</v>
      </c>
      <c r="Y45" s="26">
        <f>Q45/11.3/0.8</f>
        <v>0</v>
      </c>
      <c r="Z45" s="12">
        <f t="shared" si="2"/>
        <v>0</v>
      </c>
      <c r="AA45" s="4" t="s">
        <v>10</v>
      </c>
      <c r="AB45" s="11">
        <f>IFERROR(VLOOKUP(AA45,Curr!$B$2:$C$13,2,FALSE),0)</f>
        <v>11.3</v>
      </c>
      <c r="AC45" s="12">
        <f t="shared" si="3"/>
        <v>0</v>
      </c>
      <c r="AD45" s="12">
        <f t="shared" si="4"/>
        <v>0</v>
      </c>
      <c r="AE45" s="13">
        <f t="shared" si="5"/>
        <v>0</v>
      </c>
    </row>
    <row r="46" spans="2:31" x14ac:dyDescent="0.25">
      <c r="B46" s="4"/>
      <c r="C46" s="1" t="s">
        <v>127</v>
      </c>
      <c r="D46" s="1" t="s">
        <v>67</v>
      </c>
      <c r="E46" s="3"/>
      <c r="F46" s="3"/>
      <c r="G46" s="24"/>
      <c r="H46" s="24"/>
      <c r="J46" s="1" t="s">
        <v>165</v>
      </c>
      <c r="K46" s="4"/>
      <c r="L46" s="4"/>
      <c r="M46" s="4"/>
      <c r="N46" s="4"/>
      <c r="O46" s="4"/>
      <c r="P46" s="33"/>
      <c r="Q46" s="25">
        <v>175</v>
      </c>
      <c r="R46" s="25">
        <v>1</v>
      </c>
      <c r="S46" s="12">
        <f t="shared" si="0"/>
        <v>175</v>
      </c>
      <c r="T46" s="5">
        <v>0</v>
      </c>
      <c r="U46" s="12">
        <f t="shared" si="6"/>
        <v>175</v>
      </c>
      <c r="V46" s="25" t="s">
        <v>10</v>
      </c>
      <c r="W46" s="11">
        <f>IFERROR(VLOOKUP(V46,[1]Curr!$B$2:$C$13,2,FALSE),0)</f>
        <v>11.3</v>
      </c>
      <c r="X46" s="12">
        <f t="shared" si="1"/>
        <v>1977.5000000000002</v>
      </c>
      <c r="Y46" s="26">
        <f>Q46/0.85</f>
        <v>205.88235294117646</v>
      </c>
      <c r="Z46" s="12">
        <f t="shared" si="2"/>
        <v>205.88235294117646</v>
      </c>
      <c r="AA46" s="4" t="s">
        <v>10</v>
      </c>
      <c r="AB46" s="11">
        <f>IFERROR(VLOOKUP(AA46,Curr!$B$2:$C$13,2,FALSE),0)</f>
        <v>11.3</v>
      </c>
      <c r="AC46" s="12">
        <f t="shared" si="3"/>
        <v>2326.4705882352941</v>
      </c>
      <c r="AD46" s="12">
        <f t="shared" si="4"/>
        <v>348.97058823529392</v>
      </c>
      <c r="AE46" s="13">
        <f t="shared" si="5"/>
        <v>0.14999999999999991</v>
      </c>
    </row>
    <row r="47" spans="2:31" x14ac:dyDescent="0.25">
      <c r="B47" s="4"/>
      <c r="C47" s="1" t="s">
        <v>127</v>
      </c>
      <c r="D47" s="1" t="s">
        <v>68</v>
      </c>
      <c r="E47" s="3"/>
      <c r="F47" s="3"/>
      <c r="G47" s="24"/>
      <c r="H47" s="24"/>
      <c r="J47" s="1" t="s">
        <v>166</v>
      </c>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ref="Y47" si="13">Q47</f>
        <v>0</v>
      </c>
      <c r="Z47" s="12">
        <f t="shared" si="2"/>
        <v>0</v>
      </c>
      <c r="AA47" s="4" t="s">
        <v>10</v>
      </c>
      <c r="AB47" s="11">
        <f>IFERROR(VLOOKUP(AA47,Curr!$B$2:$C$13,2,FALSE),0)</f>
        <v>11.3</v>
      </c>
      <c r="AC47" s="12">
        <f t="shared" si="3"/>
        <v>0</v>
      </c>
      <c r="AD47" s="12">
        <f t="shared" si="4"/>
        <v>0</v>
      </c>
      <c r="AE47" s="13">
        <f t="shared" si="5"/>
        <v>0</v>
      </c>
    </row>
    <row r="48" spans="2:31" x14ac:dyDescent="0.25">
      <c r="B48" s="4"/>
      <c r="E48" s="3"/>
      <c r="F48" s="3"/>
      <c r="G48" s="24"/>
      <c r="H48" s="24"/>
      <c r="K48" s="4"/>
      <c r="L48" s="4"/>
      <c r="M48" s="4"/>
      <c r="N48" s="4"/>
      <c r="O48" s="4"/>
      <c r="P48" s="33"/>
      <c r="Q48" s="25"/>
      <c r="R48" s="25"/>
      <c r="S48" s="12">
        <f t="shared" si="0"/>
        <v>0</v>
      </c>
      <c r="T48" s="5">
        <v>0</v>
      </c>
      <c r="U48" s="12">
        <f t="shared" si="6"/>
        <v>0</v>
      </c>
      <c r="V48" s="25" t="s">
        <v>10</v>
      </c>
      <c r="W48" s="11">
        <f>IFERROR(VLOOKUP(V48,[1]Curr!$B$2:$C$13,2,FALSE),0)</f>
        <v>11.3</v>
      </c>
      <c r="X48" s="12">
        <f t="shared" si="1"/>
        <v>0</v>
      </c>
      <c r="Y48" s="26">
        <f t="shared" si="12"/>
        <v>0</v>
      </c>
      <c r="Z48" s="12">
        <f t="shared" si="2"/>
        <v>0</v>
      </c>
      <c r="AA48" s="4" t="s">
        <v>10</v>
      </c>
      <c r="AB48" s="11">
        <f>IFERROR(VLOOKUP(AA48,Curr!$B$2:$C$13,2,FALSE),0)</f>
        <v>11.3</v>
      </c>
      <c r="AC48" s="12">
        <f t="shared" si="3"/>
        <v>0</v>
      </c>
      <c r="AD48" s="12">
        <f t="shared" si="4"/>
        <v>0</v>
      </c>
      <c r="AE48" s="13">
        <f t="shared" si="5"/>
        <v>0</v>
      </c>
    </row>
    <row r="49" spans="2:31" x14ac:dyDescent="0.25">
      <c r="B49" s="4"/>
      <c r="C49" s="1" t="s">
        <v>139</v>
      </c>
      <c r="D49" s="1" t="s">
        <v>66</v>
      </c>
      <c r="E49" s="3"/>
      <c r="F49" s="3"/>
      <c r="G49" s="24"/>
      <c r="H49" s="24"/>
      <c r="J49" s="1" t="s">
        <v>163</v>
      </c>
      <c r="K49" s="4"/>
      <c r="L49" s="4"/>
      <c r="M49" s="4"/>
      <c r="N49" s="4"/>
      <c r="O49" s="4"/>
      <c r="P49" s="27"/>
      <c r="Q49" s="25">
        <v>0</v>
      </c>
      <c r="R49" s="25">
        <v>0</v>
      </c>
      <c r="S49" s="12">
        <f t="shared" si="0"/>
        <v>0</v>
      </c>
      <c r="T49" s="5">
        <v>0</v>
      </c>
      <c r="U49" s="12">
        <f t="shared" si="6"/>
        <v>0</v>
      </c>
      <c r="V49" s="25" t="s">
        <v>10</v>
      </c>
      <c r="W49" s="11">
        <f>IFERROR(VLOOKUP(V49,[1]Curr!$B$2:$C$13,2,FALSE),0)</f>
        <v>11.3</v>
      </c>
      <c r="X49" s="12">
        <f t="shared" si="1"/>
        <v>0</v>
      </c>
      <c r="Y49" s="26">
        <f t="shared" si="12"/>
        <v>0</v>
      </c>
      <c r="Z49" s="12">
        <f t="shared" si="2"/>
        <v>0</v>
      </c>
      <c r="AA49" s="4" t="s">
        <v>10</v>
      </c>
      <c r="AB49" s="11">
        <f>IFERROR(VLOOKUP(AA49,Curr!$B$2:$C$13,2,FALSE),0)</f>
        <v>11.3</v>
      </c>
      <c r="AC49" s="12">
        <f t="shared" si="3"/>
        <v>0</v>
      </c>
      <c r="AD49" s="12">
        <f t="shared" si="4"/>
        <v>0</v>
      </c>
      <c r="AE49" s="13">
        <f t="shared" si="5"/>
        <v>0</v>
      </c>
    </row>
    <row r="50" spans="2:31" x14ac:dyDescent="0.25">
      <c r="B50" s="4"/>
      <c r="C50" s="1" t="s">
        <v>139</v>
      </c>
      <c r="D50" s="1" t="s">
        <v>85</v>
      </c>
      <c r="E50" s="3"/>
      <c r="F50" s="3"/>
      <c r="G50" s="24"/>
      <c r="H50" s="24"/>
      <c r="J50" s="1" t="s">
        <v>162</v>
      </c>
      <c r="K50" s="4"/>
      <c r="L50" s="4"/>
      <c r="M50" s="4"/>
      <c r="N50" s="4"/>
      <c r="O50" s="4"/>
      <c r="P50" s="33"/>
      <c r="Q50" s="25">
        <v>0</v>
      </c>
      <c r="R50" s="25">
        <v>0</v>
      </c>
      <c r="S50" s="12">
        <f t="shared" si="0"/>
        <v>0</v>
      </c>
      <c r="T50" s="5">
        <v>0</v>
      </c>
      <c r="U50" s="12">
        <f t="shared" si="6"/>
        <v>0</v>
      </c>
      <c r="V50" s="25" t="s">
        <v>10</v>
      </c>
      <c r="W50" s="11">
        <f>IFERROR(VLOOKUP(V50,[1]Curr!$B$2:$C$13,2,FALSE),0)</f>
        <v>11.3</v>
      </c>
      <c r="X50" s="12">
        <f t="shared" si="1"/>
        <v>0</v>
      </c>
      <c r="Y50" s="26">
        <f t="shared" si="12"/>
        <v>0</v>
      </c>
      <c r="Z50" s="12">
        <f t="shared" si="2"/>
        <v>0</v>
      </c>
      <c r="AA50" s="4" t="s">
        <v>10</v>
      </c>
      <c r="AB50" s="11">
        <f>IFERROR(VLOOKUP(AA50,Curr!$B$2:$C$13,2,FALSE),0)</f>
        <v>11.3</v>
      </c>
      <c r="AC50" s="12">
        <f t="shared" si="3"/>
        <v>0</v>
      </c>
      <c r="AD50" s="12">
        <f t="shared" si="4"/>
        <v>0</v>
      </c>
      <c r="AE50" s="13">
        <f t="shared" si="5"/>
        <v>0</v>
      </c>
    </row>
    <row r="51" spans="2:31" x14ac:dyDescent="0.25">
      <c r="B51" s="4"/>
      <c r="E51" s="3"/>
      <c r="F51" s="3"/>
      <c r="G51" s="24"/>
      <c r="H51" s="24"/>
      <c r="K51" s="4"/>
      <c r="L51" s="4"/>
      <c r="M51" s="4"/>
      <c r="N51" s="4"/>
      <c r="O51" s="4"/>
      <c r="P51" s="27"/>
      <c r="Q51" s="25"/>
      <c r="R51" s="25"/>
      <c r="S51" s="12">
        <f t="shared" si="0"/>
        <v>0</v>
      </c>
      <c r="T51" s="5">
        <v>0</v>
      </c>
      <c r="U51" s="12">
        <f t="shared" si="6"/>
        <v>0</v>
      </c>
      <c r="V51" s="25" t="s">
        <v>10</v>
      </c>
      <c r="W51" s="11">
        <f>IFERROR(VLOOKUP(V51,[1]Curr!$B$2:$C$13,2,FALSE),0)</f>
        <v>11.3</v>
      </c>
      <c r="X51" s="12">
        <f t="shared" si="1"/>
        <v>0</v>
      </c>
      <c r="Y51" s="26">
        <f t="shared" si="8"/>
        <v>0</v>
      </c>
      <c r="Z51" s="12">
        <f t="shared" si="2"/>
        <v>0</v>
      </c>
      <c r="AA51" s="4" t="s">
        <v>10</v>
      </c>
      <c r="AB51" s="11">
        <f>IFERROR(VLOOKUP(AA51,Curr!$B$2:$C$13,2,FALSE),0)</f>
        <v>11.3</v>
      </c>
      <c r="AC51" s="12">
        <f t="shared" si="3"/>
        <v>0</v>
      </c>
      <c r="AD51" s="12">
        <f t="shared" si="4"/>
        <v>0</v>
      </c>
      <c r="AE51" s="13">
        <f t="shared" si="5"/>
        <v>0</v>
      </c>
    </row>
    <row r="52" spans="2:31" x14ac:dyDescent="0.25">
      <c r="B52" s="4"/>
      <c r="E52" s="3"/>
      <c r="F52" s="3"/>
      <c r="G52" s="24"/>
      <c r="H52" s="24"/>
      <c r="K52" s="4"/>
      <c r="L52" s="4"/>
      <c r="M52" s="4"/>
      <c r="N52" s="4"/>
      <c r="O52" s="4"/>
      <c r="P52" s="27"/>
      <c r="Q52" s="25"/>
      <c r="R52" s="25"/>
      <c r="S52" s="12">
        <f t="shared" si="0"/>
        <v>0</v>
      </c>
      <c r="T52" s="5">
        <v>0</v>
      </c>
      <c r="U52" s="12">
        <f t="shared" si="6"/>
        <v>0</v>
      </c>
      <c r="V52" s="25" t="s">
        <v>10</v>
      </c>
      <c r="W52" s="11">
        <f>IFERROR(VLOOKUP(V52,[1]Curr!$B$2:$C$13,2,FALSE),0)</f>
        <v>11.3</v>
      </c>
      <c r="X52" s="12">
        <f t="shared" si="1"/>
        <v>0</v>
      </c>
      <c r="Y52" s="26">
        <f t="shared" si="8"/>
        <v>0</v>
      </c>
      <c r="Z52" s="12">
        <f t="shared" si="2"/>
        <v>0</v>
      </c>
      <c r="AA52" s="4" t="s">
        <v>10</v>
      </c>
      <c r="AB52" s="11">
        <f>IFERROR(VLOOKUP(AA52,Curr!$B$2:$C$13,2,FALSE),0)</f>
        <v>11.3</v>
      </c>
      <c r="AC52" s="12">
        <f t="shared" si="3"/>
        <v>0</v>
      </c>
      <c r="AD52" s="12">
        <f t="shared" si="4"/>
        <v>0</v>
      </c>
      <c r="AE52" s="13">
        <f t="shared" si="5"/>
        <v>0</v>
      </c>
    </row>
    <row r="53" spans="2:31" x14ac:dyDescent="0.25">
      <c r="B53" s="4"/>
      <c r="C53" s="1" t="s">
        <v>64</v>
      </c>
      <c r="D53" s="1" t="s">
        <v>112</v>
      </c>
      <c r="E53" s="3"/>
      <c r="F53" s="3"/>
      <c r="G53" s="24"/>
      <c r="H53" s="24"/>
      <c r="J53" s="1" t="s">
        <v>73</v>
      </c>
      <c r="K53" s="4"/>
      <c r="L53" s="4"/>
      <c r="M53" s="4"/>
      <c r="N53" s="4"/>
      <c r="O53" s="4"/>
      <c r="P53" s="27"/>
      <c r="Q53" s="25">
        <v>80</v>
      </c>
      <c r="R53" s="25">
        <v>0</v>
      </c>
      <c r="S53" s="12">
        <f t="shared" si="0"/>
        <v>0</v>
      </c>
      <c r="T53" s="5">
        <v>0</v>
      </c>
      <c r="U53" s="12">
        <f t="shared" si="6"/>
        <v>0</v>
      </c>
      <c r="V53" s="25" t="s">
        <v>10</v>
      </c>
      <c r="W53" s="11">
        <f>IFERROR(VLOOKUP(V53,[1]Curr!$B$2:$C$13,2,FALSE),0)</f>
        <v>11.3</v>
      </c>
      <c r="X53" s="12">
        <f t="shared" si="1"/>
        <v>0</v>
      </c>
      <c r="Y53" s="26">
        <f>Q53/0.8</f>
        <v>100</v>
      </c>
      <c r="Z53" s="12">
        <f t="shared" si="2"/>
        <v>0</v>
      </c>
      <c r="AA53" s="4" t="s">
        <v>10</v>
      </c>
      <c r="AB53" s="11">
        <f>IFERROR(VLOOKUP(AA53,Curr!$B$2:$C$13,2,FALSE),0)</f>
        <v>11.3</v>
      </c>
      <c r="AC53" s="12">
        <f t="shared" si="3"/>
        <v>0</v>
      </c>
      <c r="AD53" s="12">
        <f t="shared" si="4"/>
        <v>0</v>
      </c>
      <c r="AE53" s="13">
        <f t="shared" si="5"/>
        <v>0</v>
      </c>
    </row>
    <row r="54" spans="2:31" x14ac:dyDescent="0.25">
      <c r="B54" s="4"/>
      <c r="C54" s="1" t="s">
        <v>77</v>
      </c>
      <c r="D54" s="1" t="s">
        <v>112</v>
      </c>
      <c r="E54" s="3"/>
      <c r="F54" s="3"/>
      <c r="G54" s="24"/>
      <c r="H54" s="24"/>
      <c r="J54" s="1" t="s">
        <v>70</v>
      </c>
      <c r="K54" s="4"/>
      <c r="L54" s="4"/>
      <c r="M54" s="4"/>
      <c r="N54" s="4"/>
      <c r="O54" s="4"/>
      <c r="P54" s="27"/>
      <c r="Q54" s="25">
        <v>40</v>
      </c>
      <c r="R54" s="25">
        <v>0</v>
      </c>
      <c r="S54" s="12">
        <f t="shared" si="0"/>
        <v>0</v>
      </c>
      <c r="T54" s="5">
        <v>0</v>
      </c>
      <c r="U54" s="12">
        <f t="shared" si="6"/>
        <v>0</v>
      </c>
      <c r="V54" s="25" t="s">
        <v>10</v>
      </c>
      <c r="W54" s="11">
        <f>IFERROR(VLOOKUP(V54,[1]Curr!$B$2:$C$13,2,FALSE),0)</f>
        <v>11.3</v>
      </c>
      <c r="X54" s="12">
        <f t="shared" si="1"/>
        <v>0</v>
      </c>
      <c r="Y54" s="26">
        <f t="shared" si="8"/>
        <v>40</v>
      </c>
      <c r="Z54" s="12">
        <f t="shared" si="2"/>
        <v>0</v>
      </c>
      <c r="AA54" s="4" t="s">
        <v>10</v>
      </c>
      <c r="AB54" s="11">
        <f>IFERROR(VLOOKUP(AA54,Curr!$B$2:$C$13,2,FALSE),0)</f>
        <v>11.3</v>
      </c>
      <c r="AC54" s="12">
        <f t="shared" si="3"/>
        <v>0</v>
      </c>
      <c r="AD54" s="12">
        <f t="shared" si="4"/>
        <v>0</v>
      </c>
      <c r="AE54" s="13">
        <f t="shared" si="5"/>
        <v>0</v>
      </c>
    </row>
    <row r="55" spans="2:31" x14ac:dyDescent="0.25">
      <c r="B55" s="4"/>
      <c r="C55" s="1" t="s">
        <v>82</v>
      </c>
      <c r="D55" s="1" t="s">
        <v>112</v>
      </c>
      <c r="E55" s="3"/>
      <c r="F55" s="3"/>
      <c r="G55" s="24"/>
      <c r="H55" s="24"/>
      <c r="J55" s="1" t="s">
        <v>107</v>
      </c>
      <c r="K55" s="4"/>
      <c r="L55" s="4"/>
      <c r="M55" s="4"/>
      <c r="N55" s="4"/>
      <c r="O55" s="4"/>
      <c r="P55" s="27"/>
      <c r="Q55" s="25">
        <v>40</v>
      </c>
      <c r="R55" s="25">
        <v>0</v>
      </c>
      <c r="S55" s="12">
        <f t="shared" si="0"/>
        <v>0</v>
      </c>
      <c r="T55" s="5">
        <v>0</v>
      </c>
      <c r="U55" s="12">
        <f t="shared" si="6"/>
        <v>0</v>
      </c>
      <c r="V55" s="25" t="s">
        <v>10</v>
      </c>
      <c r="W55" s="11">
        <f>IFERROR(VLOOKUP(V55,[1]Curr!$B$2:$C$13,2,FALSE),0)</f>
        <v>11.3</v>
      </c>
      <c r="X55" s="12">
        <f t="shared" si="1"/>
        <v>0</v>
      </c>
      <c r="Y55" s="26">
        <f t="shared" si="8"/>
        <v>40</v>
      </c>
      <c r="Z55" s="12">
        <f t="shared" si="2"/>
        <v>0</v>
      </c>
      <c r="AA55" s="4" t="s">
        <v>10</v>
      </c>
      <c r="AB55" s="11">
        <f>IFERROR(VLOOKUP(AA55,Curr!$B$2:$C$13,2,FALSE),0)</f>
        <v>11.3</v>
      </c>
      <c r="AC55" s="12">
        <f t="shared" si="3"/>
        <v>0</v>
      </c>
      <c r="AD55" s="12">
        <f t="shared" si="4"/>
        <v>0</v>
      </c>
      <c r="AE55" s="13">
        <f t="shared" si="5"/>
        <v>0</v>
      </c>
    </row>
    <row r="56" spans="2:31" x14ac:dyDescent="0.25">
      <c r="B56" s="4"/>
      <c r="C56" s="1" t="s">
        <v>84</v>
      </c>
      <c r="D56" s="1" t="s">
        <v>112</v>
      </c>
      <c r="E56" s="3"/>
      <c r="F56" s="3"/>
      <c r="G56" s="24"/>
      <c r="H56" s="24"/>
      <c r="J56" s="1" t="s">
        <v>87</v>
      </c>
      <c r="K56" s="4"/>
      <c r="L56" s="4"/>
      <c r="M56" s="4"/>
      <c r="N56" s="4"/>
      <c r="O56" s="4"/>
      <c r="P56" s="27"/>
      <c r="Q56" s="25">
        <v>900</v>
      </c>
      <c r="R56" s="25">
        <v>0</v>
      </c>
      <c r="S56" s="12">
        <f t="shared" si="0"/>
        <v>0</v>
      </c>
      <c r="T56" s="5">
        <v>0</v>
      </c>
      <c r="U56" s="12">
        <f t="shared" si="6"/>
        <v>0</v>
      </c>
      <c r="V56" s="25" t="s">
        <v>8</v>
      </c>
      <c r="W56" s="11">
        <f>IFERROR(VLOOKUP(V56,[1]Curr!$B$2:$C$13,2,FALSE),0)</f>
        <v>1</v>
      </c>
      <c r="X56" s="12">
        <f t="shared" si="1"/>
        <v>0</v>
      </c>
      <c r="Y56" s="26">
        <f>Q56/11.3/0.8</f>
        <v>99.55752212389379</v>
      </c>
      <c r="Z56" s="12">
        <f t="shared" si="2"/>
        <v>0</v>
      </c>
      <c r="AA56" s="4" t="s">
        <v>10</v>
      </c>
      <c r="AB56" s="11">
        <f>IFERROR(VLOOKUP(AA56,Curr!$B$2:$C$13,2,FALSE),0)</f>
        <v>11.3</v>
      </c>
      <c r="AC56" s="12">
        <f t="shared" si="3"/>
        <v>0</v>
      </c>
      <c r="AD56" s="12">
        <f t="shared" si="4"/>
        <v>0</v>
      </c>
      <c r="AE56" s="13">
        <f t="shared" si="5"/>
        <v>0</v>
      </c>
    </row>
    <row r="57" spans="2:31" x14ac:dyDescent="0.25">
      <c r="B57" s="4"/>
      <c r="C57" s="1" t="s">
        <v>84</v>
      </c>
      <c r="D57" s="1" t="s">
        <v>112</v>
      </c>
      <c r="E57" s="3"/>
      <c r="F57" s="3"/>
      <c r="G57" s="24"/>
      <c r="H57" s="24"/>
      <c r="J57" s="1" t="s">
        <v>167</v>
      </c>
      <c r="K57" s="4"/>
      <c r="L57" s="4"/>
      <c r="M57" s="4"/>
      <c r="N57" s="4"/>
      <c r="O57" s="4"/>
      <c r="P57" s="27"/>
      <c r="Q57" s="25">
        <v>1690</v>
      </c>
      <c r="R57" s="25">
        <v>0</v>
      </c>
      <c r="S57" s="12">
        <f t="shared" si="0"/>
        <v>0</v>
      </c>
      <c r="T57" s="5">
        <v>0.15</v>
      </c>
      <c r="U57" s="12">
        <f t="shared" si="6"/>
        <v>0</v>
      </c>
      <c r="V57" s="25" t="s">
        <v>8</v>
      </c>
      <c r="W57" s="11">
        <f>IFERROR(VLOOKUP(V57,[1]Curr!$B$2:$C$13,2,FALSE),0)</f>
        <v>1</v>
      </c>
      <c r="X57" s="12">
        <f t="shared" si="1"/>
        <v>0</v>
      </c>
      <c r="Y57" s="26">
        <f>Q57/11.3</f>
        <v>149.55752212389379</v>
      </c>
      <c r="Z57" s="12">
        <f t="shared" si="2"/>
        <v>0</v>
      </c>
      <c r="AA57" s="4" t="s">
        <v>10</v>
      </c>
      <c r="AB57" s="11">
        <f>IFERROR(VLOOKUP(AA57,Curr!$B$2:$C$13,2,FALSE),0)</f>
        <v>11.3</v>
      </c>
      <c r="AC57" s="12">
        <f t="shared" si="3"/>
        <v>0</v>
      </c>
      <c r="AD57" s="12">
        <f t="shared" si="4"/>
        <v>0</v>
      </c>
      <c r="AE57" s="13">
        <f t="shared" si="5"/>
        <v>0</v>
      </c>
    </row>
    <row r="58" spans="2:31" x14ac:dyDescent="0.25">
      <c r="B58" s="4"/>
      <c r="C58" s="1" t="s">
        <v>127</v>
      </c>
      <c r="D58" s="1" t="s">
        <v>112</v>
      </c>
      <c r="E58" s="3"/>
      <c r="F58" s="3"/>
      <c r="G58" s="24"/>
      <c r="H58" s="24"/>
      <c r="J58" s="1" t="s">
        <v>176</v>
      </c>
      <c r="K58" s="4"/>
      <c r="L58" s="4"/>
      <c r="M58" s="4"/>
      <c r="N58" s="4"/>
      <c r="O58" s="4"/>
      <c r="P58" s="27"/>
      <c r="Q58" s="25">
        <v>1290</v>
      </c>
      <c r="R58" s="25">
        <v>0</v>
      </c>
      <c r="S58" s="12">
        <f t="shared" si="0"/>
        <v>0</v>
      </c>
      <c r="T58" s="5">
        <v>0.15</v>
      </c>
      <c r="U58" s="12">
        <f t="shared" si="6"/>
        <v>0</v>
      </c>
      <c r="V58" s="25" t="s">
        <v>8</v>
      </c>
      <c r="W58" s="11">
        <f>IFERROR(VLOOKUP(V58,[1]Curr!$B$2:$C$13,2,FALSE),0)</f>
        <v>1</v>
      </c>
      <c r="X58" s="12">
        <f t="shared" si="1"/>
        <v>0</v>
      </c>
      <c r="Y58" s="26">
        <f>Q58/11.3</f>
        <v>114.15929203539822</v>
      </c>
      <c r="Z58" s="12">
        <f t="shared" si="2"/>
        <v>0</v>
      </c>
      <c r="AA58" s="4" t="s">
        <v>10</v>
      </c>
      <c r="AB58" s="11">
        <f>IFERROR(VLOOKUP(AA58,Curr!$B$2:$C$13,2,FALSE),0)</f>
        <v>11.3</v>
      </c>
      <c r="AC58" s="12">
        <f t="shared" si="3"/>
        <v>0</v>
      </c>
      <c r="AD58" s="12">
        <f t="shared" si="4"/>
        <v>0</v>
      </c>
      <c r="AE58" s="13">
        <f t="shared" si="5"/>
        <v>0</v>
      </c>
    </row>
    <row r="59" spans="2:31" x14ac:dyDescent="0.25">
      <c r="B59" s="4"/>
      <c r="C59" s="1" t="s">
        <v>139</v>
      </c>
      <c r="D59" s="1" t="s">
        <v>112</v>
      </c>
      <c r="E59" s="3"/>
      <c r="F59" s="3"/>
      <c r="G59" s="24"/>
      <c r="H59" s="24"/>
      <c r="J59" s="1" t="s">
        <v>163</v>
      </c>
      <c r="K59" s="4"/>
      <c r="L59" s="4"/>
      <c r="M59" s="4"/>
      <c r="N59" s="4"/>
      <c r="O59" s="4"/>
      <c r="P59" s="27"/>
      <c r="Q59" s="25">
        <v>1790</v>
      </c>
      <c r="R59" s="25">
        <v>0</v>
      </c>
      <c r="S59" s="12">
        <f t="shared" si="0"/>
        <v>0</v>
      </c>
      <c r="T59" s="5">
        <v>0</v>
      </c>
      <c r="U59" s="12">
        <f t="shared" si="6"/>
        <v>0</v>
      </c>
      <c r="V59" s="25" t="s">
        <v>8</v>
      </c>
      <c r="W59" s="11">
        <f>IFERROR(VLOOKUP(V59,[1]Curr!$B$2:$C$13,2,FALSE),0)</f>
        <v>1</v>
      </c>
      <c r="X59" s="12">
        <f t="shared" si="1"/>
        <v>0</v>
      </c>
      <c r="Y59" s="26">
        <f>Q59/11.3/0.8</f>
        <v>198.0088495575221</v>
      </c>
      <c r="Z59" s="12">
        <f t="shared" si="2"/>
        <v>0</v>
      </c>
      <c r="AA59" s="4" t="s">
        <v>10</v>
      </c>
      <c r="AB59" s="11">
        <f>IFERROR(VLOOKUP(AA59,Curr!$B$2:$C$13,2,FALSE),0)</f>
        <v>11.3</v>
      </c>
      <c r="AC59" s="12">
        <f t="shared" si="3"/>
        <v>0</v>
      </c>
      <c r="AD59" s="12">
        <f t="shared" si="4"/>
        <v>0</v>
      </c>
      <c r="AE59" s="13">
        <f t="shared" si="5"/>
        <v>0</v>
      </c>
    </row>
    <row r="60" spans="2:31" x14ac:dyDescent="0.25">
      <c r="B60" s="4"/>
      <c r="E60" s="3"/>
      <c r="F60" s="3"/>
      <c r="G60" s="24"/>
      <c r="H60" s="24"/>
      <c r="K60" s="4"/>
      <c r="L60" s="4"/>
      <c r="M60" s="4"/>
      <c r="N60" s="4"/>
      <c r="O60" s="4"/>
      <c r="P60" s="27"/>
      <c r="Q60" s="25"/>
      <c r="R60" s="25"/>
      <c r="S60" s="12">
        <f t="shared" si="0"/>
        <v>0</v>
      </c>
      <c r="T60" s="5">
        <v>0</v>
      </c>
      <c r="U60" s="12">
        <f t="shared" si="6"/>
        <v>0</v>
      </c>
      <c r="V60" s="25" t="s">
        <v>10</v>
      </c>
      <c r="W60" s="11">
        <f>IFERROR(VLOOKUP(V60,[1]Curr!$B$2:$C$13,2,FALSE),0)</f>
        <v>11.3</v>
      </c>
      <c r="X60" s="12">
        <f t="shared" si="1"/>
        <v>0</v>
      </c>
      <c r="Y60" s="26">
        <f t="shared" si="8"/>
        <v>0</v>
      </c>
      <c r="Z60" s="12">
        <f t="shared" si="2"/>
        <v>0</v>
      </c>
      <c r="AA60" s="4" t="s">
        <v>10</v>
      </c>
      <c r="AB60" s="11">
        <f>IFERROR(VLOOKUP(AA60,Curr!$B$2:$C$13,2,FALSE),0)</f>
        <v>11.3</v>
      </c>
      <c r="AC60" s="12">
        <f t="shared" si="3"/>
        <v>0</v>
      </c>
      <c r="AD60" s="12">
        <f t="shared" si="4"/>
        <v>0</v>
      </c>
      <c r="AE60" s="13">
        <f t="shared" si="5"/>
        <v>0</v>
      </c>
    </row>
    <row r="61" spans="2:31" x14ac:dyDescent="0.25">
      <c r="B61" s="4"/>
      <c r="E61" s="3"/>
      <c r="F61" s="3"/>
      <c r="G61" s="24"/>
      <c r="H61" s="24"/>
      <c r="K61" s="4"/>
      <c r="L61" s="4"/>
      <c r="M61" s="4"/>
      <c r="N61" s="4"/>
      <c r="O61" s="4"/>
      <c r="P61" s="27"/>
      <c r="Q61" s="25"/>
      <c r="R61" s="25"/>
      <c r="S61" s="12">
        <f t="shared" si="0"/>
        <v>0</v>
      </c>
      <c r="T61" s="5">
        <v>0</v>
      </c>
      <c r="U61" s="12">
        <f t="shared" si="6"/>
        <v>0</v>
      </c>
      <c r="V61" s="25" t="s">
        <v>10</v>
      </c>
      <c r="W61" s="11">
        <f>IFERROR(VLOOKUP(V61,[1]Curr!$B$2:$C$13,2,FALSE),0)</f>
        <v>11.3</v>
      </c>
      <c r="X61" s="12">
        <f t="shared" si="1"/>
        <v>0</v>
      </c>
      <c r="Y61" s="26">
        <f t="shared" si="8"/>
        <v>0</v>
      </c>
      <c r="Z61" s="12">
        <f t="shared" si="2"/>
        <v>0</v>
      </c>
      <c r="AA61" s="4" t="s">
        <v>10</v>
      </c>
      <c r="AB61" s="11">
        <f>IFERROR(VLOOKUP(AA61,Curr!$B$2:$C$13,2,FALSE),0)</f>
        <v>11.3</v>
      </c>
      <c r="AC61" s="12">
        <f t="shared" si="3"/>
        <v>0</v>
      </c>
      <c r="AD61" s="12">
        <f t="shared" si="4"/>
        <v>0</v>
      </c>
      <c r="AE61" s="13">
        <f t="shared" si="5"/>
        <v>0</v>
      </c>
    </row>
    <row r="62" spans="2:31" x14ac:dyDescent="0.25">
      <c r="B62" s="4"/>
      <c r="C62" s="1" t="s">
        <v>76</v>
      </c>
      <c r="D62" s="1" t="s">
        <v>183</v>
      </c>
      <c r="E62" s="3"/>
      <c r="F62" s="3"/>
      <c r="G62" s="24"/>
      <c r="H62" s="24"/>
      <c r="J62" s="1" t="s">
        <v>190</v>
      </c>
      <c r="K62" s="4"/>
      <c r="L62" s="4"/>
      <c r="M62" s="4"/>
      <c r="N62" s="4"/>
      <c r="O62" s="4" t="s">
        <v>42</v>
      </c>
      <c r="P62" s="29" t="s">
        <v>191</v>
      </c>
      <c r="Q62" s="25">
        <f>(40+40)+(50*2)</f>
        <v>180</v>
      </c>
      <c r="R62" s="25">
        <v>0</v>
      </c>
      <c r="S62" s="12">
        <f t="shared" si="0"/>
        <v>0</v>
      </c>
      <c r="T62" s="5">
        <v>0</v>
      </c>
      <c r="U62" s="12">
        <f t="shared" si="6"/>
        <v>0</v>
      </c>
      <c r="V62" s="25" t="s">
        <v>10</v>
      </c>
      <c r="W62" s="11">
        <f>IFERROR(VLOOKUP(V62,[1]Curr!$B$2:$C$13,2,FALSE),0)</f>
        <v>11.3</v>
      </c>
      <c r="X62" s="12">
        <f t="shared" si="1"/>
        <v>0</v>
      </c>
      <c r="Y62" s="26">
        <f>Q62/0.8</f>
        <v>225</v>
      </c>
      <c r="Z62" s="12">
        <f t="shared" si="2"/>
        <v>0</v>
      </c>
      <c r="AA62" s="4" t="s">
        <v>10</v>
      </c>
      <c r="AB62" s="11">
        <f>IFERROR(VLOOKUP(AA62,Curr!$B$2:$C$13,2,FALSE),0)</f>
        <v>11.3</v>
      </c>
      <c r="AC62" s="12">
        <f t="shared" si="3"/>
        <v>0</v>
      </c>
      <c r="AD62" s="12">
        <f t="shared" si="4"/>
        <v>0</v>
      </c>
      <c r="AE62" s="13">
        <f t="shared" si="5"/>
        <v>0</v>
      </c>
    </row>
    <row r="63" spans="2:31" x14ac:dyDescent="0.25">
      <c r="B63" s="4"/>
      <c r="C63" s="1" t="s">
        <v>76</v>
      </c>
      <c r="D63" s="1" t="s">
        <v>183</v>
      </c>
      <c r="E63" s="3"/>
      <c r="F63" s="3"/>
      <c r="G63" s="24"/>
      <c r="H63" s="24"/>
      <c r="J63" s="1" t="s">
        <v>192</v>
      </c>
      <c r="K63" s="4"/>
      <c r="L63" s="4"/>
      <c r="M63" s="4"/>
      <c r="N63" s="4"/>
      <c r="O63" s="4" t="s">
        <v>42</v>
      </c>
      <c r="P63" s="33" t="s">
        <v>193</v>
      </c>
      <c r="Q63" s="25">
        <v>25</v>
      </c>
      <c r="R63" s="25">
        <v>0</v>
      </c>
      <c r="S63" s="12">
        <f t="shared" si="0"/>
        <v>0</v>
      </c>
      <c r="T63" s="5">
        <v>0</v>
      </c>
      <c r="U63" s="12">
        <f t="shared" si="6"/>
        <v>0</v>
      </c>
      <c r="V63" s="25" t="s">
        <v>10</v>
      </c>
      <c r="W63" s="11">
        <f>IFERROR(VLOOKUP(V63,[1]Curr!$B$2:$C$13,2,FALSE),0)</f>
        <v>11.3</v>
      </c>
      <c r="X63" s="12">
        <f t="shared" si="1"/>
        <v>0</v>
      </c>
      <c r="Y63" s="26">
        <f>Q63/0.62</f>
        <v>40.322580645161288</v>
      </c>
      <c r="Z63" s="12">
        <f t="shared" si="2"/>
        <v>0</v>
      </c>
      <c r="AA63" s="4" t="s">
        <v>10</v>
      </c>
      <c r="AB63" s="11">
        <f>IFERROR(VLOOKUP(AA63,Curr!$B$2:$C$13,2,FALSE),0)</f>
        <v>11.3</v>
      </c>
      <c r="AC63" s="12">
        <f t="shared" si="3"/>
        <v>0</v>
      </c>
      <c r="AD63" s="12">
        <f t="shared" si="4"/>
        <v>0</v>
      </c>
      <c r="AE63" s="13">
        <f t="shared" si="5"/>
        <v>0</v>
      </c>
    </row>
    <row r="64" spans="2:31" x14ac:dyDescent="0.25">
      <c r="B64" s="4"/>
      <c r="C64" s="1" t="s">
        <v>78</v>
      </c>
      <c r="D64" s="1" t="s">
        <v>183</v>
      </c>
      <c r="E64" s="3"/>
      <c r="F64" s="3"/>
      <c r="G64" s="24"/>
      <c r="H64" s="24"/>
      <c r="J64" s="1" t="s">
        <v>184</v>
      </c>
      <c r="K64" s="4"/>
      <c r="L64" s="4"/>
      <c r="M64" s="4"/>
      <c r="N64" s="4"/>
      <c r="O64" s="4" t="s">
        <v>42</v>
      </c>
      <c r="P64" s="33" t="s">
        <v>185</v>
      </c>
      <c r="Q64" s="25">
        <v>252</v>
      </c>
      <c r="R64" s="25">
        <v>0</v>
      </c>
      <c r="S64" s="12">
        <f t="shared" si="0"/>
        <v>0</v>
      </c>
      <c r="T64" s="5">
        <v>0.2</v>
      </c>
      <c r="U64" s="12">
        <f t="shared" si="6"/>
        <v>0</v>
      </c>
      <c r="V64" s="25" t="s">
        <v>10</v>
      </c>
      <c r="W64" s="11">
        <f>IFERROR(VLOOKUP(V64,[1]Curr!$B$2:$C$13,2,FALSE),0)</f>
        <v>11.3</v>
      </c>
      <c r="X64" s="12">
        <f t="shared" si="1"/>
        <v>0</v>
      </c>
      <c r="Y64" s="26">
        <f t="shared" si="8"/>
        <v>252</v>
      </c>
      <c r="Z64" s="12">
        <f t="shared" si="2"/>
        <v>0</v>
      </c>
      <c r="AA64" s="4" t="s">
        <v>10</v>
      </c>
      <c r="AB64" s="11">
        <f>IFERROR(VLOOKUP(AA64,Curr!$B$2:$C$13,2,FALSE),0)</f>
        <v>11.3</v>
      </c>
      <c r="AC64" s="12">
        <f t="shared" si="3"/>
        <v>0</v>
      </c>
      <c r="AD64" s="12">
        <f t="shared" si="4"/>
        <v>0</v>
      </c>
      <c r="AE64" s="13">
        <f t="shared" si="5"/>
        <v>0</v>
      </c>
    </row>
    <row r="65" spans="2:36" x14ac:dyDescent="0.25">
      <c r="B65" s="4"/>
      <c r="C65" s="1" t="s">
        <v>83</v>
      </c>
      <c r="D65" s="1" t="s">
        <v>183</v>
      </c>
      <c r="E65" s="3"/>
      <c r="F65" s="3"/>
      <c r="G65" s="24"/>
      <c r="H65" s="24"/>
      <c r="J65" s="1" t="s">
        <v>188</v>
      </c>
      <c r="K65" s="4"/>
      <c r="L65" s="4"/>
      <c r="M65" s="4"/>
      <c r="N65" s="4"/>
      <c r="O65" s="4" t="s">
        <v>42</v>
      </c>
      <c r="P65" s="33" t="s">
        <v>189</v>
      </c>
      <c r="Q65" s="25">
        <v>2195</v>
      </c>
      <c r="R65" s="25">
        <v>0</v>
      </c>
      <c r="S65" s="12">
        <f t="shared" si="0"/>
        <v>0</v>
      </c>
      <c r="T65" s="5">
        <v>0.2</v>
      </c>
      <c r="U65" s="12">
        <f t="shared" si="6"/>
        <v>0</v>
      </c>
      <c r="V65" s="25" t="s">
        <v>8</v>
      </c>
      <c r="W65" s="11">
        <f>IFERROR(VLOOKUP(V65,[1]Curr!$B$2:$C$13,2,FALSE),0)</f>
        <v>1</v>
      </c>
      <c r="X65" s="12">
        <f t="shared" si="1"/>
        <v>0</v>
      </c>
      <c r="Y65" s="26">
        <f t="shared" ref="Y65" si="14">Q65/11.3</f>
        <v>194.24778761061947</v>
      </c>
      <c r="Z65" s="12">
        <f t="shared" si="2"/>
        <v>0</v>
      </c>
      <c r="AA65" s="4" t="s">
        <v>10</v>
      </c>
      <c r="AB65" s="11">
        <f>IFERROR(VLOOKUP(AA65,Curr!$B$2:$C$13,2,FALSE),0)</f>
        <v>11.3</v>
      </c>
      <c r="AC65" s="12">
        <f t="shared" si="3"/>
        <v>0</v>
      </c>
      <c r="AD65" s="12">
        <f t="shared" si="4"/>
        <v>0</v>
      </c>
      <c r="AE65" s="13">
        <f t="shared" si="5"/>
        <v>0</v>
      </c>
    </row>
    <row r="66" spans="2:36" x14ac:dyDescent="0.25">
      <c r="B66" s="4"/>
      <c r="C66" s="1" t="s">
        <v>127</v>
      </c>
      <c r="D66" s="1" t="s">
        <v>183</v>
      </c>
      <c r="E66" s="3"/>
      <c r="F66" s="3"/>
      <c r="G66" s="24"/>
      <c r="H66" s="24"/>
      <c r="J66" s="1" t="s">
        <v>208</v>
      </c>
      <c r="K66" s="4"/>
      <c r="L66" s="4"/>
      <c r="M66" s="4"/>
      <c r="N66" s="4"/>
      <c r="O66" s="4" t="s">
        <v>42</v>
      </c>
      <c r="P66" s="33" t="s">
        <v>209</v>
      </c>
      <c r="Q66" s="25">
        <v>3250</v>
      </c>
      <c r="R66" s="25">
        <v>0</v>
      </c>
      <c r="S66" s="12">
        <f t="shared" si="0"/>
        <v>0</v>
      </c>
      <c r="T66" s="5">
        <v>0.08</v>
      </c>
      <c r="U66" s="12">
        <f t="shared" si="6"/>
        <v>0</v>
      </c>
      <c r="V66" s="25" t="s">
        <v>8</v>
      </c>
      <c r="W66" s="11">
        <f>IFERROR(VLOOKUP(V66,[1]Curr!$B$2:$C$13,2,FALSE),0)</f>
        <v>1</v>
      </c>
      <c r="X66" s="12">
        <f t="shared" si="1"/>
        <v>0</v>
      </c>
      <c r="Y66" s="26">
        <f t="shared" ref="Y66" si="15">Q66/11.3/0.9</f>
        <v>319.56735496558503</v>
      </c>
      <c r="Z66" s="12">
        <f t="shared" si="2"/>
        <v>0</v>
      </c>
      <c r="AA66" s="4" t="s">
        <v>10</v>
      </c>
      <c r="AB66" s="11">
        <f>IFERROR(VLOOKUP(AA66,Curr!$B$2:$C$13,2,FALSE),0)</f>
        <v>11.3</v>
      </c>
      <c r="AC66" s="12">
        <f t="shared" si="3"/>
        <v>0</v>
      </c>
      <c r="AD66" s="12">
        <f t="shared" si="4"/>
        <v>0</v>
      </c>
      <c r="AE66" s="13">
        <f t="shared" si="5"/>
        <v>0</v>
      </c>
    </row>
    <row r="67" spans="2:36" x14ac:dyDescent="0.25">
      <c r="B67" s="4"/>
      <c r="E67" s="3"/>
      <c r="F67" s="3"/>
      <c r="G67" s="24"/>
      <c r="H67" s="24"/>
      <c r="K67" s="4"/>
      <c r="L67" s="4"/>
      <c r="M67" s="4"/>
      <c r="N67" s="4"/>
      <c r="O67" s="4"/>
      <c r="P67" s="33"/>
      <c r="Q67" s="25"/>
      <c r="R67" s="25"/>
      <c r="S67" s="12">
        <f t="shared" si="0"/>
        <v>0</v>
      </c>
      <c r="T67" s="5">
        <v>0</v>
      </c>
      <c r="U67" s="12">
        <f t="shared" si="6"/>
        <v>0</v>
      </c>
      <c r="V67" s="25" t="s">
        <v>10</v>
      </c>
      <c r="W67" s="11">
        <f>IFERROR(VLOOKUP(V67,[1]Curr!$B$2:$C$13,2,FALSE),0)</f>
        <v>11.3</v>
      </c>
      <c r="X67" s="12">
        <f t="shared" si="1"/>
        <v>0</v>
      </c>
      <c r="Y67" s="26">
        <f t="shared" si="8"/>
        <v>0</v>
      </c>
      <c r="Z67" s="12">
        <f t="shared" si="2"/>
        <v>0</v>
      </c>
      <c r="AA67" s="4" t="s">
        <v>10</v>
      </c>
      <c r="AB67" s="11">
        <f>IFERROR(VLOOKUP(AA67,Curr!$B$2:$C$13,2,FALSE),0)</f>
        <v>11.3</v>
      </c>
      <c r="AC67" s="12">
        <f t="shared" si="3"/>
        <v>0</v>
      </c>
      <c r="AD67" s="12">
        <f t="shared" si="4"/>
        <v>0</v>
      </c>
      <c r="AE67" s="13">
        <f t="shared" si="5"/>
        <v>0</v>
      </c>
    </row>
    <row r="68" spans="2:36" x14ac:dyDescent="0.25">
      <c r="B68" s="4"/>
      <c r="E68" s="3"/>
      <c r="F68" s="3"/>
      <c r="G68" s="24"/>
      <c r="H68" s="24"/>
      <c r="K68" s="4"/>
      <c r="L68" s="4"/>
      <c r="M68" s="4"/>
      <c r="N68" s="4"/>
      <c r="O68" s="4"/>
      <c r="P68" s="27"/>
      <c r="Q68" s="25"/>
      <c r="R68" s="25"/>
      <c r="S68" s="12">
        <f t="shared" si="0"/>
        <v>0</v>
      </c>
      <c r="T68" s="5">
        <v>0</v>
      </c>
      <c r="U68" s="12">
        <f t="shared" si="6"/>
        <v>0</v>
      </c>
      <c r="V68" s="25" t="s">
        <v>10</v>
      </c>
      <c r="W68" s="11">
        <f>IFERROR(VLOOKUP(V68,[1]Curr!$B$2:$C$13,2,FALSE),0)</f>
        <v>11.3</v>
      </c>
      <c r="X68" s="12">
        <f t="shared" si="1"/>
        <v>0</v>
      </c>
      <c r="Y68" s="26">
        <f t="shared" si="8"/>
        <v>0</v>
      </c>
      <c r="Z68" s="12">
        <f t="shared" si="2"/>
        <v>0</v>
      </c>
      <c r="AA68" s="4" t="s">
        <v>10</v>
      </c>
      <c r="AB68" s="11">
        <f>IFERROR(VLOOKUP(AA68,Curr!$B$2:$C$13,2,FALSE),0)</f>
        <v>11.3</v>
      </c>
      <c r="AC68" s="12">
        <f t="shared" si="3"/>
        <v>0</v>
      </c>
      <c r="AD68" s="12">
        <f t="shared" si="4"/>
        <v>0</v>
      </c>
      <c r="AE68" s="13">
        <f t="shared" si="5"/>
        <v>0</v>
      </c>
    </row>
    <row r="69" spans="2:36" x14ac:dyDescent="0.25">
      <c r="B69" s="4"/>
      <c r="E69" s="3"/>
      <c r="F69" s="3"/>
      <c r="G69" s="24"/>
      <c r="H69" s="24"/>
      <c r="K69" s="4"/>
      <c r="L69" s="4"/>
      <c r="M69" s="4"/>
      <c r="N69" s="4"/>
      <c r="O69" s="4"/>
      <c r="P69" s="27"/>
      <c r="Q69" s="25"/>
      <c r="R69" s="25"/>
      <c r="S69" s="12">
        <f t="shared" si="0"/>
        <v>0</v>
      </c>
      <c r="T69" s="5">
        <v>0</v>
      </c>
      <c r="U69" s="12">
        <f t="shared" si="6"/>
        <v>0</v>
      </c>
      <c r="V69" s="25" t="s">
        <v>10</v>
      </c>
      <c r="W69" s="11">
        <f>IFERROR(VLOOKUP(V69,[1]Curr!$B$2:$C$13,2,FALSE),0)</f>
        <v>11.3</v>
      </c>
      <c r="X69" s="12">
        <f t="shared" si="1"/>
        <v>0</v>
      </c>
      <c r="Y69" s="26">
        <f t="shared" si="8"/>
        <v>0</v>
      </c>
      <c r="Z69" s="12">
        <f t="shared" si="2"/>
        <v>0</v>
      </c>
      <c r="AA69" s="4" t="s">
        <v>10</v>
      </c>
      <c r="AB69" s="11">
        <f>IFERROR(VLOOKUP(AA69,Curr!$B$2:$C$13,2,FALSE),0)</f>
        <v>11.3</v>
      </c>
      <c r="AC69" s="12">
        <f t="shared" si="3"/>
        <v>0</v>
      </c>
      <c r="AD69" s="12">
        <f t="shared" si="4"/>
        <v>0</v>
      </c>
      <c r="AE69" s="13">
        <f t="shared" si="5"/>
        <v>0</v>
      </c>
    </row>
    <row r="70" spans="2:36" x14ac:dyDescent="0.25">
      <c r="B70" s="4"/>
      <c r="E70" s="3"/>
      <c r="F70" s="3"/>
      <c r="G70" s="24"/>
      <c r="H70" s="24"/>
      <c r="K70" s="4"/>
      <c r="L70" s="4"/>
      <c r="M70" s="4"/>
      <c r="N70" s="4"/>
      <c r="O70" s="4"/>
      <c r="P70" s="27"/>
      <c r="Q70" s="25"/>
      <c r="R70" s="25"/>
      <c r="S70" s="12">
        <f t="shared" si="0"/>
        <v>0</v>
      </c>
      <c r="T70" s="5">
        <v>0</v>
      </c>
      <c r="U70" s="12">
        <f t="shared" si="6"/>
        <v>0</v>
      </c>
      <c r="V70" s="25" t="s">
        <v>10</v>
      </c>
      <c r="W70" s="11">
        <f>IFERROR(VLOOKUP(V70,[1]Curr!$B$2:$C$13,2,FALSE),0)</f>
        <v>11.3</v>
      </c>
      <c r="X70" s="12">
        <f t="shared" si="1"/>
        <v>0</v>
      </c>
      <c r="Y70" s="26">
        <f t="shared" si="8"/>
        <v>0</v>
      </c>
      <c r="Z70" s="12">
        <f t="shared" si="2"/>
        <v>0</v>
      </c>
      <c r="AA70" s="4" t="s">
        <v>10</v>
      </c>
      <c r="AB70" s="11">
        <f>IFERROR(VLOOKUP(AA70,Curr!$B$2:$C$13,2,FALSE),0)</f>
        <v>11.3</v>
      </c>
      <c r="AC70" s="12">
        <f t="shared" si="3"/>
        <v>0</v>
      </c>
      <c r="AD70" s="12">
        <f t="shared" si="4"/>
        <v>0</v>
      </c>
      <c r="AE70" s="13">
        <f t="shared" si="5"/>
        <v>0</v>
      </c>
    </row>
    <row r="71" spans="2:36" x14ac:dyDescent="0.25">
      <c r="B71" s="4"/>
      <c r="E71" s="3"/>
      <c r="F71" s="3"/>
      <c r="G71" s="24"/>
      <c r="H71" s="24"/>
      <c r="K71" s="4"/>
      <c r="L71" s="4"/>
      <c r="M71" s="4"/>
      <c r="N71" s="4"/>
      <c r="O71" s="4"/>
      <c r="P71" s="27"/>
      <c r="Q71" s="25"/>
      <c r="R71" s="25"/>
      <c r="S71" s="12">
        <f t="shared" ref="S71:S76" si="16">+Q71*R71</f>
        <v>0</v>
      </c>
      <c r="T71" s="5">
        <v>0</v>
      </c>
      <c r="U71" s="12">
        <f t="shared" si="6"/>
        <v>0</v>
      </c>
      <c r="V71" s="25" t="s">
        <v>10</v>
      </c>
      <c r="W71" s="11">
        <f>IFERROR(VLOOKUP(V71,[1]Curr!$B$2:$C$13,2,FALSE),0)</f>
        <v>11.3</v>
      </c>
      <c r="X71" s="12">
        <f t="shared" ref="X71:X76" si="17">U71*W71</f>
        <v>0</v>
      </c>
      <c r="Y71" s="26">
        <f t="shared" si="8"/>
        <v>0</v>
      </c>
      <c r="Z71" s="12">
        <f t="shared" ref="Z71:Z76" si="18">+Y71*R71</f>
        <v>0</v>
      </c>
      <c r="AA71" s="4" t="s">
        <v>10</v>
      </c>
      <c r="AB71" s="11">
        <f>IFERROR(VLOOKUP(AA71,Curr!$B$2:$C$13,2,FALSE),0)</f>
        <v>11.3</v>
      </c>
      <c r="AC71" s="12">
        <f t="shared" ref="AC71:AC76" si="19">+Y71*AB71*R71</f>
        <v>0</v>
      </c>
      <c r="AD71" s="12">
        <f t="shared" ref="AD71:AD76" si="20">+AC71-X71</f>
        <v>0</v>
      </c>
      <c r="AE71" s="13">
        <f t="shared" ref="AE71:AE76" si="21">IFERROR(AD71/AC71,0)</f>
        <v>0</v>
      </c>
    </row>
    <row r="72" spans="2:36" x14ac:dyDescent="0.25">
      <c r="B72" s="4"/>
      <c r="E72" s="3"/>
      <c r="F72" s="3"/>
      <c r="G72" s="24"/>
      <c r="H72" s="24"/>
      <c r="K72" s="4"/>
      <c r="L72" s="4"/>
      <c r="M72" s="4"/>
      <c r="N72" s="4"/>
      <c r="O72" s="4"/>
      <c r="P72" s="27"/>
      <c r="Q72" s="25"/>
      <c r="R72" s="25"/>
      <c r="S72" s="12">
        <f t="shared" si="16"/>
        <v>0</v>
      </c>
      <c r="T72" s="5">
        <v>0</v>
      </c>
      <c r="U72" s="12">
        <f t="shared" ref="U72:U76" si="22">S72*(1-T72)</f>
        <v>0</v>
      </c>
      <c r="V72" s="25" t="s">
        <v>10</v>
      </c>
      <c r="W72" s="11">
        <f>IFERROR(VLOOKUP(V72,[1]Curr!$B$2:$C$13,2,FALSE),0)</f>
        <v>11.3</v>
      </c>
      <c r="X72" s="12">
        <f t="shared" si="17"/>
        <v>0</v>
      </c>
      <c r="Y72" s="26">
        <f t="shared" ref="Y72:Y76" si="23">Q72</f>
        <v>0</v>
      </c>
      <c r="Z72" s="12">
        <f t="shared" si="18"/>
        <v>0</v>
      </c>
      <c r="AA72" s="4" t="s">
        <v>10</v>
      </c>
      <c r="AB72" s="11">
        <f>IFERROR(VLOOKUP(AA72,Curr!$B$2:$C$13,2,FALSE),0)</f>
        <v>11.3</v>
      </c>
      <c r="AC72" s="12">
        <f t="shared" si="19"/>
        <v>0</v>
      </c>
      <c r="AD72" s="12">
        <f t="shared" si="20"/>
        <v>0</v>
      </c>
      <c r="AE72" s="13">
        <f t="shared" si="21"/>
        <v>0</v>
      </c>
    </row>
    <row r="73" spans="2:36" x14ac:dyDescent="0.25">
      <c r="B73" s="4"/>
      <c r="E73" s="3"/>
      <c r="F73" s="3"/>
      <c r="G73" s="24"/>
      <c r="H73" s="24"/>
      <c r="K73" s="4"/>
      <c r="L73" s="4"/>
      <c r="M73" s="4"/>
      <c r="N73" s="4"/>
      <c r="O73" s="4"/>
      <c r="P73" s="27"/>
      <c r="Q73" s="25"/>
      <c r="R73" s="25"/>
      <c r="S73" s="12">
        <f t="shared" si="16"/>
        <v>0</v>
      </c>
      <c r="T73" s="5">
        <v>0</v>
      </c>
      <c r="U73" s="12">
        <f t="shared" si="22"/>
        <v>0</v>
      </c>
      <c r="V73" s="25" t="s">
        <v>10</v>
      </c>
      <c r="W73" s="11">
        <f>IFERROR(VLOOKUP(V73,[1]Curr!$B$2:$C$13,2,FALSE),0)</f>
        <v>11.3</v>
      </c>
      <c r="X73" s="12">
        <f t="shared" si="17"/>
        <v>0</v>
      </c>
      <c r="Y73" s="26">
        <f t="shared" si="23"/>
        <v>0</v>
      </c>
      <c r="Z73" s="12">
        <f t="shared" si="18"/>
        <v>0</v>
      </c>
      <c r="AA73" s="4" t="s">
        <v>10</v>
      </c>
      <c r="AB73" s="11">
        <f>IFERROR(VLOOKUP(AA73,Curr!$B$2:$C$13,2,FALSE),0)</f>
        <v>11.3</v>
      </c>
      <c r="AC73" s="12">
        <f t="shared" si="19"/>
        <v>0</v>
      </c>
      <c r="AD73" s="12">
        <f t="shared" si="20"/>
        <v>0</v>
      </c>
      <c r="AE73" s="13">
        <f t="shared" si="21"/>
        <v>0</v>
      </c>
    </row>
    <row r="74" spans="2:36" x14ac:dyDescent="0.25">
      <c r="B74" s="4"/>
      <c r="E74" s="3"/>
      <c r="F74" s="3"/>
      <c r="G74" s="24"/>
      <c r="H74" s="24"/>
      <c r="K74" s="4"/>
      <c r="L74" s="4"/>
      <c r="M74" s="4"/>
      <c r="N74" s="4"/>
      <c r="O74" s="4"/>
      <c r="P74" s="27"/>
      <c r="Q74" s="25"/>
      <c r="R74" s="25"/>
      <c r="S74" s="12">
        <f t="shared" si="16"/>
        <v>0</v>
      </c>
      <c r="T74" s="5">
        <v>0</v>
      </c>
      <c r="U74" s="12">
        <f t="shared" si="22"/>
        <v>0</v>
      </c>
      <c r="V74" s="25" t="s">
        <v>10</v>
      </c>
      <c r="W74" s="11">
        <f>IFERROR(VLOOKUP(V74,[1]Curr!$B$2:$C$13,2,FALSE),0)</f>
        <v>11.3</v>
      </c>
      <c r="X74" s="12">
        <f t="shared" si="17"/>
        <v>0</v>
      </c>
      <c r="Y74" s="26">
        <f t="shared" si="23"/>
        <v>0</v>
      </c>
      <c r="Z74" s="12">
        <f t="shared" si="18"/>
        <v>0</v>
      </c>
      <c r="AA74" s="4" t="s">
        <v>10</v>
      </c>
      <c r="AB74" s="11">
        <f>IFERROR(VLOOKUP(AA74,Curr!$B$2:$C$13,2,FALSE),0)</f>
        <v>11.3</v>
      </c>
      <c r="AC74" s="12">
        <f t="shared" si="19"/>
        <v>0</v>
      </c>
      <c r="AD74" s="12">
        <f t="shared" si="20"/>
        <v>0</v>
      </c>
      <c r="AE74" s="13">
        <f t="shared" si="21"/>
        <v>0</v>
      </c>
    </row>
    <row r="75" spans="2:36" x14ac:dyDescent="0.25">
      <c r="B75" s="4"/>
      <c r="E75" s="3"/>
      <c r="F75" s="3"/>
      <c r="G75" s="24"/>
      <c r="H75" s="24"/>
      <c r="K75" s="4"/>
      <c r="L75" s="4"/>
      <c r="M75" s="4"/>
      <c r="N75" s="4"/>
      <c r="O75" s="4"/>
      <c r="P75" s="27"/>
      <c r="Q75" s="25"/>
      <c r="R75" s="25"/>
      <c r="S75" s="12">
        <f t="shared" si="16"/>
        <v>0</v>
      </c>
      <c r="T75" s="5">
        <v>0</v>
      </c>
      <c r="U75" s="12">
        <f t="shared" si="22"/>
        <v>0</v>
      </c>
      <c r="V75" s="25" t="s">
        <v>10</v>
      </c>
      <c r="W75" s="11">
        <f>IFERROR(VLOOKUP(V75,[1]Curr!$B$2:$C$13,2,FALSE),0)</f>
        <v>11.3</v>
      </c>
      <c r="X75" s="12">
        <f t="shared" si="17"/>
        <v>0</v>
      </c>
      <c r="Y75" s="26">
        <f t="shared" si="23"/>
        <v>0</v>
      </c>
      <c r="Z75" s="12">
        <f t="shared" si="18"/>
        <v>0</v>
      </c>
      <c r="AA75" s="4" t="s">
        <v>10</v>
      </c>
      <c r="AB75" s="11">
        <f>IFERROR(VLOOKUP(AA75,Curr!$B$2:$C$13,2,FALSE),0)</f>
        <v>11.3</v>
      </c>
      <c r="AC75" s="12">
        <f t="shared" si="19"/>
        <v>0</v>
      </c>
      <c r="AD75" s="12">
        <f t="shared" si="20"/>
        <v>0</v>
      </c>
      <c r="AE75" s="13">
        <f t="shared" si="21"/>
        <v>0</v>
      </c>
    </row>
    <row r="76" spans="2:36" x14ac:dyDescent="0.25">
      <c r="B76" s="4"/>
      <c r="E76" s="3"/>
      <c r="F76" s="3"/>
      <c r="G76" s="24"/>
      <c r="H76" s="24"/>
      <c r="K76" s="4"/>
      <c r="L76" s="4"/>
      <c r="M76" s="4"/>
      <c r="N76" s="4"/>
      <c r="O76" s="4"/>
      <c r="P76" s="27"/>
      <c r="Q76" s="25"/>
      <c r="R76" s="25"/>
      <c r="S76" s="12">
        <f t="shared" si="16"/>
        <v>0</v>
      </c>
      <c r="T76" s="5">
        <v>0</v>
      </c>
      <c r="U76" s="12">
        <f t="shared" si="22"/>
        <v>0</v>
      </c>
      <c r="V76" s="25" t="s">
        <v>10</v>
      </c>
      <c r="W76" s="11">
        <f>IFERROR(VLOOKUP(V76,[1]Curr!$B$2:$C$13,2,FALSE),0)</f>
        <v>11.3</v>
      </c>
      <c r="X76" s="12">
        <f t="shared" si="17"/>
        <v>0</v>
      </c>
      <c r="Y76" s="26">
        <f t="shared" si="23"/>
        <v>0</v>
      </c>
      <c r="Z76" s="12">
        <f t="shared" si="18"/>
        <v>0</v>
      </c>
      <c r="AA76" s="4" t="s">
        <v>10</v>
      </c>
      <c r="AB76" s="11">
        <f>IFERROR(VLOOKUP(AA76,Curr!$B$2:$C$13,2,FALSE),0)</f>
        <v>11.3</v>
      </c>
      <c r="AC76" s="12">
        <f t="shared" si="19"/>
        <v>0</v>
      </c>
      <c r="AD76" s="12">
        <f t="shared" si="20"/>
        <v>0</v>
      </c>
      <c r="AE76" s="13">
        <f t="shared" si="21"/>
        <v>0</v>
      </c>
    </row>
    <row r="77" spans="2:36" x14ac:dyDescent="0.25">
      <c r="B77" s="4"/>
      <c r="E77" s="3"/>
      <c r="F77" s="3"/>
      <c r="G77" s="3"/>
      <c r="H77" s="3"/>
      <c r="L77" s="4"/>
      <c r="M77" s="4"/>
      <c r="N77" s="4"/>
      <c r="O77" s="4"/>
      <c r="P77" s="22"/>
      <c r="Q77" s="4"/>
      <c r="R77" s="4"/>
      <c r="S77" s="4"/>
      <c r="T77" s="4"/>
      <c r="U77" s="4"/>
      <c r="V77" s="4"/>
      <c r="W77" s="4"/>
      <c r="X77" s="4"/>
      <c r="Y77" s="4"/>
      <c r="Z77" s="4"/>
      <c r="AA77" s="4"/>
      <c r="AB77" s="4"/>
      <c r="AC77" s="4"/>
      <c r="AD77" s="4"/>
      <c r="AE77" s="4"/>
      <c r="AF77" s="4"/>
    </row>
    <row r="78" spans="2:36" x14ac:dyDescent="0.25">
      <c r="B78" s="14" t="s">
        <v>18</v>
      </c>
      <c r="C78" s="14"/>
      <c r="D78" s="28" t="s">
        <v>42</v>
      </c>
      <c r="E78" s="30" t="s">
        <v>42</v>
      </c>
      <c r="F78" s="30" t="s">
        <v>42</v>
      </c>
      <c r="G78" s="30" t="s">
        <v>42</v>
      </c>
      <c r="H78" s="30" t="s">
        <v>42</v>
      </c>
      <c r="I78" s="28" t="s">
        <v>42</v>
      </c>
      <c r="J78" s="28" t="s">
        <v>42</v>
      </c>
      <c r="K78" s="28" t="s">
        <v>42</v>
      </c>
      <c r="L78" s="28" t="s">
        <v>42</v>
      </c>
      <c r="M78" s="28" t="s">
        <v>42</v>
      </c>
      <c r="N78" s="28" t="s">
        <v>42</v>
      </c>
      <c r="O78" s="28" t="s">
        <v>42</v>
      </c>
      <c r="P78" s="28" t="s">
        <v>42</v>
      </c>
      <c r="Q78" s="31" t="s">
        <v>42</v>
      </c>
      <c r="R78" s="28" t="s">
        <v>42</v>
      </c>
      <c r="S78" s="32" t="s">
        <v>42</v>
      </c>
      <c r="T78" s="28" t="s">
        <v>42</v>
      </c>
      <c r="U78" s="32" t="s">
        <v>42</v>
      </c>
      <c r="V78" s="28" t="s">
        <v>42</v>
      </c>
      <c r="W78" s="28" t="s">
        <v>42</v>
      </c>
      <c r="X78" s="32" t="s">
        <v>42</v>
      </c>
      <c r="Y78" s="32" t="s">
        <v>42</v>
      </c>
      <c r="Z78" s="15">
        <f>SUM(Z7:Z76)</f>
        <v>4767.8057526690236</v>
      </c>
      <c r="AA78" s="14"/>
      <c r="AB78" s="14"/>
      <c r="AC78" s="15">
        <f>SUM(AC7:AC76)</f>
        <v>53876.205005159965</v>
      </c>
      <c r="AD78" s="15">
        <f>SUM(AD7:AD76)</f>
        <v>10647.225005159959</v>
      </c>
      <c r="AE78" s="21">
        <f t="shared" ref="AE78" si="24">IFERROR(AD78/AC78,0)</f>
        <v>0.19762388616904672</v>
      </c>
      <c r="AF78" s="15">
        <f>SUM(AF8:AF77)</f>
        <v>0</v>
      </c>
      <c r="AG78" s="15">
        <f>SUM(AG8:AG77)</f>
        <v>0</v>
      </c>
      <c r="AH78" s="15">
        <f>SUM(AH8:AH77)</f>
        <v>0</v>
      </c>
      <c r="AI78" s="15">
        <f>SUM(AI8:AI77)</f>
        <v>0</v>
      </c>
      <c r="AJ78" s="15">
        <f>SUM(AJ8:AJ77)</f>
        <v>0</v>
      </c>
    </row>
    <row r="79" spans="2:36" x14ac:dyDescent="0.25">
      <c r="B79" s="4"/>
      <c r="E79" s="3"/>
      <c r="F79" s="3"/>
      <c r="G79" s="3"/>
      <c r="H79" s="3"/>
      <c r="L79" s="4"/>
      <c r="M79" s="4"/>
      <c r="N79" s="4"/>
      <c r="O79" s="4"/>
      <c r="Q79" s="4"/>
      <c r="R79" s="4"/>
      <c r="S79" s="4"/>
      <c r="T79" s="4"/>
      <c r="U79" s="4"/>
      <c r="V79" s="4"/>
      <c r="W79" s="4"/>
      <c r="X79" s="4"/>
      <c r="Y79" s="9"/>
      <c r="Z79" s="9"/>
      <c r="AA79" s="9"/>
      <c r="AB79" s="9"/>
      <c r="AC79" s="9"/>
      <c r="AD79" s="9"/>
      <c r="AE79" s="9"/>
    </row>
    <row r="80" spans="2:36" x14ac:dyDescent="0.25">
      <c r="B80" s="4"/>
      <c r="E80" s="3"/>
      <c r="F80" s="3"/>
      <c r="G80" s="3"/>
      <c r="H80" s="3"/>
      <c r="L80" s="4"/>
      <c r="M80" s="4"/>
      <c r="N80" s="4"/>
      <c r="O80" s="4"/>
      <c r="Q80" s="9"/>
      <c r="R80" s="9"/>
      <c r="S80" s="9"/>
      <c r="T80" s="9"/>
      <c r="U80" s="9"/>
      <c r="V80" s="9"/>
      <c r="W80" s="9"/>
      <c r="X80" s="23"/>
      <c r="Y80" s="34" t="s">
        <v>119</v>
      </c>
      <c r="Z80" s="34">
        <f>Z12+Z19+Z21+Z23+Z26+Z31+Z33+Z39+Z40</f>
        <v>1884.2034621953112</v>
      </c>
      <c r="AA80" s="9"/>
      <c r="AB80" s="9"/>
      <c r="AC80" s="9"/>
      <c r="AD80" s="9"/>
      <c r="AE80" s="9"/>
    </row>
    <row r="81" spans="2:32" x14ac:dyDescent="0.25">
      <c r="B81" s="4"/>
      <c r="E81" s="3"/>
      <c r="F81" s="3"/>
      <c r="G81" s="3"/>
      <c r="H81" s="3"/>
      <c r="L81" s="4"/>
      <c r="M81" s="4"/>
      <c r="N81" s="4"/>
      <c r="O81" s="4"/>
      <c r="Q81" s="9"/>
      <c r="R81" s="9"/>
      <c r="S81" s="9"/>
      <c r="T81" s="9"/>
      <c r="U81" s="9"/>
      <c r="V81" s="9"/>
      <c r="W81" s="9"/>
      <c r="X81" s="9"/>
      <c r="Y81" s="35" t="s">
        <v>120</v>
      </c>
      <c r="Z81" s="34">
        <f>Z9+Z17+Z14+Z28+Z36+Z38+Z44+Z46</f>
        <v>2883.6022904737119</v>
      </c>
      <c r="AA81" s="9"/>
      <c r="AB81" s="9"/>
      <c r="AC81" s="9"/>
      <c r="AD81" s="9"/>
      <c r="AE81" s="9"/>
      <c r="AF81" s="18"/>
    </row>
    <row r="82" spans="2:32" x14ac:dyDescent="0.25">
      <c r="B82" s="4"/>
      <c r="E82" s="3"/>
      <c r="F82" s="3"/>
      <c r="G82" s="3"/>
      <c r="H82" s="3"/>
      <c r="I82" s="19"/>
      <c r="L82" s="4"/>
      <c r="M82" s="4"/>
      <c r="N82" s="4"/>
      <c r="O82" s="20"/>
      <c r="Q82" s="20"/>
      <c r="R82" s="20"/>
      <c r="S82" s="20"/>
      <c r="T82" s="20"/>
      <c r="U82" s="20"/>
      <c r="V82" s="20"/>
      <c r="W82" s="20"/>
      <c r="X82" s="20"/>
      <c r="Y82" s="34" t="s">
        <v>121</v>
      </c>
      <c r="Z82" s="34">
        <v>4760</v>
      </c>
      <c r="AA82" s="9"/>
      <c r="AB82" s="9"/>
      <c r="AC82" s="9"/>
      <c r="AD82" s="9"/>
      <c r="AE82" s="9"/>
      <c r="AF82" s="18"/>
    </row>
    <row r="83" spans="2:32" x14ac:dyDescent="0.25">
      <c r="B83" s="4"/>
      <c r="E83" s="3"/>
      <c r="F83" s="3"/>
      <c r="G83" s="3"/>
      <c r="H83" s="3"/>
      <c r="L83" s="4"/>
      <c r="M83" s="4"/>
      <c r="N83" s="4"/>
      <c r="O83" s="20"/>
      <c r="Q83" s="20"/>
      <c r="R83" s="20"/>
      <c r="S83" s="20"/>
      <c r="T83" s="20"/>
      <c r="U83" s="20"/>
      <c r="V83" s="20"/>
      <c r="W83" s="20"/>
      <c r="X83" s="20"/>
      <c r="Y83" s="34" t="s">
        <v>46</v>
      </c>
      <c r="Z83" s="34">
        <f>Z82/2</f>
        <v>2380</v>
      </c>
      <c r="AA83" s="9"/>
      <c r="AB83" s="9"/>
      <c r="AC83" s="9"/>
      <c r="AD83" s="9"/>
      <c r="AE83" s="9"/>
      <c r="AF83" s="18"/>
    </row>
    <row r="84" spans="2:32" x14ac:dyDescent="0.25">
      <c r="B84" s="4"/>
      <c r="E84" s="3"/>
      <c r="F84" s="3"/>
      <c r="G84" s="3"/>
      <c r="H84" s="3"/>
      <c r="L84" s="4"/>
      <c r="M84" s="4"/>
      <c r="N84" s="4"/>
      <c r="O84" s="4"/>
      <c r="Q84" s="9"/>
      <c r="R84" s="9"/>
      <c r="S84" s="9"/>
      <c r="T84" s="9"/>
      <c r="U84" s="9"/>
      <c r="V84" s="9"/>
      <c r="W84" s="9"/>
      <c r="X84" s="9"/>
      <c r="Y84" s="1"/>
      <c r="Z84" s="1"/>
      <c r="AA84" s="9"/>
      <c r="AB84" s="9"/>
      <c r="AC84" s="9"/>
      <c r="AD84" s="9"/>
      <c r="AE84" s="9"/>
      <c r="AF84" s="18"/>
    </row>
    <row r="85" spans="2:32" x14ac:dyDescent="0.25">
      <c r="F85" s="1"/>
      <c r="G85" s="1"/>
      <c r="H85" s="1"/>
      <c r="J85" s="1" t="s">
        <v>32</v>
      </c>
      <c r="Q85" s="9"/>
      <c r="R85" s="4"/>
      <c r="S85" s="9"/>
      <c r="T85" s="5"/>
      <c r="U85" s="9"/>
      <c r="V85" s="4"/>
      <c r="W85" s="4"/>
      <c r="X85" s="9"/>
      <c r="Y85" s="9"/>
      <c r="Z85" s="9"/>
      <c r="AA85" s="9"/>
      <c r="AB85" s="9"/>
      <c r="AC85" s="9"/>
      <c r="AD85" s="9"/>
      <c r="AE85" s="9"/>
    </row>
    <row r="86" spans="2:32" x14ac:dyDescent="0.25">
      <c r="R86" s="4"/>
      <c r="S86" s="17"/>
      <c r="T86" s="17"/>
      <c r="U86" s="9"/>
      <c r="V86" s="4"/>
      <c r="W86" s="4"/>
      <c r="X86" s="9"/>
      <c r="Y86" s="39" t="s">
        <v>220</v>
      </c>
      <c r="Z86" s="9">
        <f>Z82</f>
        <v>4760</v>
      </c>
      <c r="AA86" s="9"/>
      <c r="AB86" s="9"/>
      <c r="AC86" s="9"/>
      <c r="AD86" s="9"/>
      <c r="AE86" s="9"/>
    </row>
    <row r="87" spans="2:32" x14ac:dyDescent="0.25">
      <c r="Q87" s="9"/>
      <c r="R87" s="4"/>
      <c r="S87" s="16"/>
      <c r="T87" s="16"/>
      <c r="U87" s="9"/>
      <c r="V87" s="4"/>
      <c r="W87" s="4"/>
      <c r="X87" s="9"/>
      <c r="Y87" s="39" t="s">
        <v>221</v>
      </c>
      <c r="Z87" s="9">
        <f>Z86*1.18</f>
        <v>5616.7999999999993</v>
      </c>
      <c r="AA87" s="9"/>
      <c r="AB87" s="9"/>
      <c r="AC87" s="9"/>
      <c r="AD87" s="9"/>
      <c r="AE87" s="9"/>
    </row>
    <row r="88" spans="2:32" x14ac:dyDescent="0.25">
      <c r="R88" s="4"/>
      <c r="S88" s="16"/>
      <c r="T88" s="16"/>
      <c r="Y88" s="39" t="s">
        <v>222</v>
      </c>
      <c r="Z88" s="9">
        <f>Z86*1.3</f>
        <v>6188</v>
      </c>
      <c r="AA88" s="9"/>
      <c r="AB88" s="9"/>
      <c r="AC88" s="9"/>
      <c r="AD88" s="9"/>
      <c r="AE88" s="9"/>
    </row>
    <row r="89" spans="2:32" x14ac:dyDescent="0.25">
      <c r="T89" s="5"/>
      <c r="Y89" s="39" t="s">
        <v>223</v>
      </c>
      <c r="Z89" s="9">
        <f>Z86*0.85</f>
        <v>4046</v>
      </c>
      <c r="AA89" s="9"/>
      <c r="AB89" s="9"/>
      <c r="AC89" s="9"/>
      <c r="AD89" s="9"/>
      <c r="AE89" s="9"/>
    </row>
    <row r="90" spans="2:32" x14ac:dyDescent="0.25">
      <c r="T90" s="5"/>
      <c r="Y90" s="9"/>
      <c r="Z90" s="9"/>
      <c r="AA90" s="9"/>
      <c r="AB90" s="9"/>
      <c r="AC90" s="9"/>
      <c r="AD90" s="9"/>
      <c r="AE90" s="9"/>
    </row>
    <row r="91" spans="2:32" x14ac:dyDescent="0.25">
      <c r="T91" s="5"/>
      <c r="Y91" s="9"/>
      <c r="Z91" s="9"/>
      <c r="AA91" s="9"/>
      <c r="AB91" s="9"/>
      <c r="AC91" s="9"/>
      <c r="AD91" s="9"/>
      <c r="AE91" s="9"/>
    </row>
    <row r="92" spans="2:32" x14ac:dyDescent="0.25">
      <c r="T92" s="5"/>
      <c r="Y92" s="9"/>
      <c r="Z92" s="9"/>
      <c r="AA92" s="9"/>
      <c r="AB92" s="9"/>
      <c r="AC92" s="9"/>
      <c r="AD92" s="9"/>
      <c r="AE92" s="9"/>
    </row>
    <row r="93" spans="2:32" x14ac:dyDescent="0.25">
      <c r="T93" s="5"/>
      <c r="Y93" s="9"/>
      <c r="Z93" s="9"/>
      <c r="AA93" s="9"/>
      <c r="AB93" s="9"/>
      <c r="AC93" s="9"/>
      <c r="AD93" s="9"/>
      <c r="AE93" s="9"/>
    </row>
    <row r="94" spans="2:32" x14ac:dyDescent="0.25">
      <c r="T94" s="5"/>
      <c r="Y94" s="9"/>
      <c r="Z94" s="9"/>
      <c r="AA94" s="9"/>
      <c r="AB94" s="9"/>
      <c r="AC94" s="9"/>
      <c r="AD94" s="9"/>
      <c r="AE94" s="9"/>
    </row>
    <row r="95" spans="2:32" x14ac:dyDescent="0.25">
      <c r="T95" s="5"/>
      <c r="Y95" s="9"/>
      <c r="Z95" s="9"/>
      <c r="AA95" s="9"/>
      <c r="AB95" s="9"/>
      <c r="AC95" s="9"/>
      <c r="AD95" s="9"/>
      <c r="AE95" s="9"/>
    </row>
    <row r="96" spans="2:32" x14ac:dyDescent="0.25">
      <c r="T96" s="5"/>
      <c r="Y96" s="9"/>
      <c r="Z96" s="9"/>
      <c r="AA96" s="9"/>
      <c r="AB96" s="9"/>
      <c r="AC96" s="9"/>
      <c r="AD96" s="9"/>
      <c r="AE96" s="9"/>
    </row>
    <row r="97" spans="20:20" x14ac:dyDescent="0.25">
      <c r="T97" s="5"/>
    </row>
    <row r="98" spans="20:20" x14ac:dyDescent="0.25">
      <c r="T98" s="5"/>
    </row>
    <row r="99" spans="20:20" x14ac:dyDescent="0.25">
      <c r="T99" s="5"/>
    </row>
    <row r="100" spans="20:20" x14ac:dyDescent="0.25">
      <c r="T100" s="5"/>
    </row>
    <row r="101" spans="20:20" x14ac:dyDescent="0.25">
      <c r="T101" s="5"/>
    </row>
  </sheetData>
  <autoFilter ref="B6:AE78" xr:uid="{65FA6D9B-E0AF-46CD-BA0D-86BB75FE6AB0}"/>
  <hyperlinks>
    <hyperlink ref="P12" r:id="rId1" xr:uid="{29A3A7A2-7057-4164-B0AC-E971A449CC4D}"/>
    <hyperlink ref="P14" r:id="rId2" xr:uid="{8FF8C339-99DE-4C56-83AD-0811B10A95CA}"/>
    <hyperlink ref="P21" r:id="rId3" xr:uid="{3004B535-E1D0-445D-80A3-72ECC19F252E}"/>
    <hyperlink ref="P23" r:id="rId4" xr:uid="{96E3B94B-8B0C-421F-A39D-6265F8A12825}"/>
    <hyperlink ref="P26" r:id="rId5" xr:uid="{43975985-3F40-41BB-813E-BF4A09505CDE}"/>
    <hyperlink ref="P31" r:id="rId6" xr:uid="{CBD6C8A2-A30D-4A41-AE57-6F66B0360AB4}"/>
    <hyperlink ref="P39" r:id="rId7" xr:uid="{169A2F0E-75AC-4AFF-8620-63F09A82DCA8}"/>
    <hyperlink ref="P40" r:id="rId8" xr:uid="{B8048DA1-E135-4931-A834-9F9030FB7907}"/>
    <hyperlink ref="P44" r:id="rId9" location="reisesok" xr:uid="{8DC35B7F-B6E0-45B4-A6E0-1DDCC3D6A4FE}"/>
    <hyperlink ref="P64" r:id="rId10" xr:uid="{B7D08CD2-BE7A-40ED-ACF3-375F9C896FBE}"/>
    <hyperlink ref="P66" r:id="rId11" xr:uid="{0A458EDD-D0E5-407E-9DC2-A3FBA7CED76A}"/>
    <hyperlink ref="P62" r:id="rId12" xr:uid="{B13DD86E-BA74-407B-8D47-D865094722FE}"/>
    <hyperlink ref="P33" r:id="rId13" xr:uid="{A0EF64F6-0266-4907-8CA3-2031C08CC9DE}"/>
    <hyperlink ref="P19" r:id="rId14" xr:uid="{5A89E257-D9A7-49FF-8C4C-F2B41D399BA7}"/>
  </hyperlinks>
  <pageMargins left="0.7" right="0.7" top="0.75" bottom="0.75" header="0.3" footer="0.3"/>
  <pageSetup paperSize="9" orientation="portrait" r:id="rId1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199C4-84A5-4C63-A21D-DEC0518E9413}">
  <sheetPr>
    <tabColor rgb="FFFFFF00"/>
  </sheetPr>
  <dimension ref="B1:AK107"/>
  <sheetViews>
    <sheetView tabSelected="1" topLeftCell="A44" zoomScale="80" zoomScaleNormal="80" workbookViewId="0">
      <selection activeCell="C7" sqref="C7:T6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57</v>
      </c>
    </row>
    <row r="2" spans="2:36" x14ac:dyDescent="0.25">
      <c r="B2" s="2" t="s">
        <v>134</v>
      </c>
    </row>
    <row r="3" spans="2:36" x14ac:dyDescent="0.25">
      <c r="B3" s="2" t="s">
        <v>133</v>
      </c>
    </row>
    <row r="4" spans="2:36" x14ac:dyDescent="0.25">
      <c r="B4" s="2" t="s">
        <v>135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64</v>
      </c>
      <c r="D7" s="1" t="s">
        <v>65</v>
      </c>
      <c r="E7" s="3"/>
      <c r="F7" s="3"/>
      <c r="G7" s="3"/>
      <c r="H7" s="3"/>
      <c r="J7" s="1" t="s">
        <v>72</v>
      </c>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11.3</v>
      </c>
      <c r="AC7" s="12">
        <f t="shared" ref="AC7:AC70" si="3">+Y7*AB7*R7</f>
        <v>0</v>
      </c>
      <c r="AD7" s="12">
        <f t="shared" ref="AD7:AD70" si="4">+AC7-X7</f>
        <v>0</v>
      </c>
      <c r="AE7" s="13">
        <f t="shared" ref="AE7:AE70" si="5">IFERROR(AD7/AC7,0)</f>
        <v>0</v>
      </c>
    </row>
    <row r="8" spans="2:36" x14ac:dyDescent="0.25">
      <c r="B8" s="4"/>
      <c r="C8" s="1" t="s">
        <v>64</v>
      </c>
      <c r="D8" s="1" t="s">
        <v>66</v>
      </c>
      <c r="E8" s="3"/>
      <c r="F8" s="3"/>
      <c r="G8" s="24"/>
      <c r="H8" s="24"/>
      <c r="J8" s="1" t="s">
        <v>73</v>
      </c>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Q8/0.8</f>
        <v>0</v>
      </c>
      <c r="Z8" s="12">
        <f t="shared" si="2"/>
        <v>0</v>
      </c>
      <c r="AA8" s="4" t="s">
        <v>10</v>
      </c>
      <c r="AB8" s="11">
        <f>IFERROR(VLOOKUP(AA8,Curr!$B$2:$C$13,2,FALSE),0)</f>
        <v>11.3</v>
      </c>
      <c r="AC8" s="12">
        <f t="shared" si="3"/>
        <v>0</v>
      </c>
      <c r="AD8" s="12">
        <f t="shared" si="4"/>
        <v>0</v>
      </c>
      <c r="AE8" s="13">
        <f t="shared" si="5"/>
        <v>0</v>
      </c>
    </row>
    <row r="9" spans="2:36" x14ac:dyDescent="0.25">
      <c r="B9" s="4"/>
      <c r="C9" s="1" t="s">
        <v>64</v>
      </c>
      <c r="D9" s="1" t="s">
        <v>67</v>
      </c>
      <c r="E9" s="3"/>
      <c r="F9" s="3"/>
      <c r="G9" s="24"/>
      <c r="H9" s="24"/>
      <c r="J9" s="1" t="s">
        <v>123</v>
      </c>
      <c r="K9" s="4"/>
      <c r="L9" s="4"/>
      <c r="M9" s="4"/>
      <c r="N9" s="4"/>
      <c r="O9" s="4"/>
      <c r="P9" s="33"/>
      <c r="Q9" s="25">
        <v>150</v>
      </c>
      <c r="R9" s="25">
        <v>1</v>
      </c>
      <c r="S9" s="12">
        <f t="shared" si="0"/>
        <v>150</v>
      </c>
      <c r="T9" s="5">
        <v>0</v>
      </c>
      <c r="U9" s="12">
        <f t="shared" si="6"/>
        <v>150</v>
      </c>
      <c r="V9" s="25" t="s">
        <v>10</v>
      </c>
      <c r="W9" s="11">
        <f>IFERROR(VLOOKUP(V9,[1]Curr!$B$2:$C$13,2,FALSE),0)</f>
        <v>11.3</v>
      </c>
      <c r="X9" s="12">
        <f t="shared" si="1"/>
        <v>1695</v>
      </c>
      <c r="Y9" s="26">
        <f>Q9/0.85</f>
        <v>176.47058823529412</v>
      </c>
      <c r="Z9" s="12">
        <f t="shared" si="2"/>
        <v>176.47058823529412</v>
      </c>
      <c r="AA9" s="4" t="s">
        <v>10</v>
      </c>
      <c r="AB9" s="11">
        <f>IFERROR(VLOOKUP(AA9,Curr!$B$2:$C$13,2,FALSE),0)</f>
        <v>11.3</v>
      </c>
      <c r="AC9" s="12">
        <f t="shared" si="3"/>
        <v>1994.1176470588236</v>
      </c>
      <c r="AD9" s="12">
        <f t="shared" si="4"/>
        <v>299.11764705882365</v>
      </c>
      <c r="AE9" s="13">
        <f t="shared" si="5"/>
        <v>0.15000000000000005</v>
      </c>
    </row>
    <row r="10" spans="2:36" x14ac:dyDescent="0.25">
      <c r="B10" s="4"/>
      <c r="C10" s="1" t="s">
        <v>64</v>
      </c>
      <c r="D10" s="1" t="s">
        <v>68</v>
      </c>
      <c r="E10" s="3"/>
      <c r="F10" s="3"/>
      <c r="G10" s="24"/>
      <c r="H10" s="24"/>
      <c r="J10" s="1" t="s">
        <v>74</v>
      </c>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ref="Y10" si="7">Q10</f>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IFERROR(VLOOKUP(V11,[1]Curr!$B$2:$C$13,2,FALSE),0)</f>
        <v>11.3</v>
      </c>
      <c r="X11" s="12">
        <f t="shared" si="1"/>
        <v>0</v>
      </c>
      <c r="Y11" s="26">
        <f t="shared" ref="Y11:Y71" si="8">Q11</f>
        <v>0</v>
      </c>
      <c r="Z11" s="12">
        <f t="shared" si="2"/>
        <v>0</v>
      </c>
      <c r="AA11" s="4" t="s">
        <v>10</v>
      </c>
      <c r="AB11" s="11">
        <f>IFERROR(VLOOKUP(AA11,Curr!$B$2:$C$13,2,FALSE),0)</f>
        <v>11.3</v>
      </c>
      <c r="AC11" s="12">
        <f t="shared" si="3"/>
        <v>0</v>
      </c>
      <c r="AD11" s="12">
        <f t="shared" si="4"/>
        <v>0</v>
      </c>
      <c r="AE11" s="13">
        <f t="shared" si="5"/>
        <v>0</v>
      </c>
    </row>
    <row r="12" spans="2:36" x14ac:dyDescent="0.25">
      <c r="B12" s="4"/>
      <c r="C12" s="1" t="s">
        <v>76</v>
      </c>
      <c r="D12" s="1" t="s">
        <v>75</v>
      </c>
      <c r="E12" s="3"/>
      <c r="F12" s="3"/>
      <c r="G12" s="24"/>
      <c r="H12" s="24"/>
      <c r="I12"/>
      <c r="J12" s="1" t="s">
        <v>94</v>
      </c>
      <c r="K12" s="4"/>
      <c r="L12" s="4"/>
      <c r="M12" s="4"/>
      <c r="N12" s="4"/>
      <c r="O12" s="4" t="s">
        <v>42</v>
      </c>
      <c r="P12" s="33" t="s">
        <v>95</v>
      </c>
      <c r="Q12" s="25">
        <v>20</v>
      </c>
      <c r="R12" s="25">
        <v>2</v>
      </c>
      <c r="S12" s="12">
        <f t="shared" si="0"/>
        <v>40</v>
      </c>
      <c r="T12" s="5">
        <v>0</v>
      </c>
      <c r="U12" s="12">
        <f t="shared" si="6"/>
        <v>40</v>
      </c>
      <c r="V12" s="25" t="s">
        <v>10</v>
      </c>
      <c r="W12" s="11">
        <v>11.3</v>
      </c>
      <c r="X12" s="12">
        <f t="shared" si="1"/>
        <v>452</v>
      </c>
      <c r="Y12" s="26">
        <v>35.087719298245617</v>
      </c>
      <c r="Z12" s="12">
        <f t="shared" si="2"/>
        <v>70.175438596491233</v>
      </c>
      <c r="AA12" s="4" t="s">
        <v>10</v>
      </c>
      <c r="AB12" s="11">
        <f>IFERROR(VLOOKUP(AA12,Curr!$B$2:$C$13,2,FALSE),0)</f>
        <v>11.3</v>
      </c>
      <c r="AC12" s="12">
        <f t="shared" si="3"/>
        <v>792.98245614035102</v>
      </c>
      <c r="AD12" s="12">
        <f t="shared" si="4"/>
        <v>340.98245614035102</v>
      </c>
      <c r="AE12" s="13">
        <f t="shared" si="5"/>
        <v>0.4300000000000001</v>
      </c>
    </row>
    <row r="13" spans="2:36" x14ac:dyDescent="0.25">
      <c r="B13" s="4"/>
      <c r="C13" s="1" t="s">
        <v>76</v>
      </c>
      <c r="D13" s="1" t="s">
        <v>66</v>
      </c>
      <c r="E13" s="3"/>
      <c r="F13" s="3"/>
      <c r="G13" s="24"/>
      <c r="H13" s="24"/>
      <c r="I13"/>
      <c r="J13" s="1" t="s">
        <v>96</v>
      </c>
      <c r="K13" s="4"/>
      <c r="L13" s="4"/>
      <c r="M13" s="4"/>
      <c r="N13" s="4"/>
      <c r="O13" s="4"/>
      <c r="P13" s="27"/>
      <c r="Q13" s="25">
        <v>0</v>
      </c>
      <c r="R13" s="25">
        <v>0</v>
      </c>
      <c r="S13" s="12">
        <f t="shared" si="0"/>
        <v>0</v>
      </c>
      <c r="T13" s="5">
        <v>0</v>
      </c>
      <c r="U13" s="12">
        <f t="shared" si="6"/>
        <v>0</v>
      </c>
      <c r="V13" s="25" t="s">
        <v>10</v>
      </c>
      <c r="W13" s="11">
        <v>11.3</v>
      </c>
      <c r="X13" s="12">
        <f t="shared" si="1"/>
        <v>0</v>
      </c>
      <c r="Y13" s="26">
        <v>0</v>
      </c>
      <c r="Z13" s="12">
        <f t="shared" si="2"/>
        <v>0</v>
      </c>
      <c r="AA13" s="4" t="s">
        <v>10</v>
      </c>
      <c r="AB13" s="11">
        <f>IFERROR(VLOOKUP(AA13,Curr!$B$2:$C$13,2,FALSE),0)</f>
        <v>11.3</v>
      </c>
      <c r="AC13" s="12">
        <f t="shared" si="3"/>
        <v>0</v>
      </c>
      <c r="AD13" s="12">
        <f t="shared" si="4"/>
        <v>0</v>
      </c>
      <c r="AE13" s="13">
        <f t="shared" si="5"/>
        <v>0</v>
      </c>
    </row>
    <row r="14" spans="2:36" x14ac:dyDescent="0.25">
      <c r="B14" s="4"/>
      <c r="C14" s="1" t="s">
        <v>76</v>
      </c>
      <c r="D14" s="1" t="s">
        <v>97</v>
      </c>
      <c r="E14" s="3"/>
      <c r="F14" s="3"/>
      <c r="G14" s="24"/>
      <c r="H14" s="24"/>
      <c r="I14"/>
      <c r="J14" s="1" t="s">
        <v>98</v>
      </c>
      <c r="K14" s="4"/>
      <c r="L14" s="4"/>
      <c r="M14" s="4"/>
      <c r="N14" s="4" t="s">
        <v>42</v>
      </c>
      <c r="O14" s="4"/>
      <c r="P14" s="33" t="s">
        <v>99</v>
      </c>
      <c r="Q14" s="25">
        <v>200</v>
      </c>
      <c r="R14" s="25">
        <v>1</v>
      </c>
      <c r="S14" s="12">
        <f t="shared" si="0"/>
        <v>200</v>
      </c>
      <c r="T14" s="5">
        <v>0</v>
      </c>
      <c r="U14" s="12">
        <f t="shared" si="6"/>
        <v>200</v>
      </c>
      <c r="V14" s="25" t="s">
        <v>10</v>
      </c>
      <c r="W14" s="11">
        <v>11.3</v>
      </c>
      <c r="X14" s="12">
        <f t="shared" si="1"/>
        <v>2260</v>
      </c>
      <c r="Y14" s="26">
        <f>Q14/0.8</f>
        <v>250</v>
      </c>
      <c r="Z14" s="12">
        <f t="shared" si="2"/>
        <v>250</v>
      </c>
      <c r="AA14" s="4" t="s">
        <v>10</v>
      </c>
      <c r="AB14" s="11">
        <f>IFERROR(VLOOKUP(AA14,Curr!$B$2:$C$13,2,FALSE),0)</f>
        <v>11.3</v>
      </c>
      <c r="AC14" s="12">
        <f t="shared" si="3"/>
        <v>2825</v>
      </c>
      <c r="AD14" s="12">
        <f t="shared" si="4"/>
        <v>565</v>
      </c>
      <c r="AE14" s="13">
        <f t="shared" si="5"/>
        <v>0.2</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IFERROR(VLOOKUP(V15,[1]Curr!$B$2:$C$13,2,FALSE),0)</f>
        <v>11.3</v>
      </c>
      <c r="X15" s="12">
        <f t="shared" si="1"/>
        <v>0</v>
      </c>
      <c r="Y15" s="26">
        <f t="shared" si="8"/>
        <v>0</v>
      </c>
      <c r="Z15" s="12">
        <f t="shared" si="2"/>
        <v>0</v>
      </c>
      <c r="AA15" s="4" t="s">
        <v>10</v>
      </c>
      <c r="AB15" s="11">
        <f>IFERROR(VLOOKUP(AA15,Curr!$B$2:$C$13,2,FALSE),0)</f>
        <v>11.3</v>
      </c>
      <c r="AC15" s="12">
        <f t="shared" si="3"/>
        <v>0</v>
      </c>
      <c r="AD15" s="12">
        <f t="shared" si="4"/>
        <v>0</v>
      </c>
      <c r="AE15" s="13">
        <f t="shared" si="5"/>
        <v>0</v>
      </c>
    </row>
    <row r="16" spans="2:36" x14ac:dyDescent="0.25">
      <c r="B16" s="4"/>
      <c r="C16" s="1" t="s">
        <v>77</v>
      </c>
      <c r="D16" s="1" t="s">
        <v>66</v>
      </c>
      <c r="E16" s="3"/>
      <c r="F16" s="3"/>
      <c r="G16" s="24"/>
      <c r="H16" s="24"/>
      <c r="J16" s="1" t="s">
        <v>70</v>
      </c>
      <c r="K16" s="4"/>
      <c r="L16" s="4"/>
      <c r="M16" s="4"/>
      <c r="N16" s="4"/>
      <c r="O16" s="4"/>
      <c r="P16" s="27"/>
      <c r="Q16" s="25">
        <v>0</v>
      </c>
      <c r="R16" s="25">
        <v>0</v>
      </c>
      <c r="S16" s="12">
        <f t="shared" si="0"/>
        <v>0</v>
      </c>
      <c r="T16" s="5">
        <v>0</v>
      </c>
      <c r="U16" s="12">
        <f t="shared" si="6"/>
        <v>0</v>
      </c>
      <c r="V16" s="25" t="s">
        <v>10</v>
      </c>
      <c r="W16" s="11">
        <f>IFERROR(VLOOKUP(V16,[1]Curr!$B$2:$C$13,2,FALSE),0)</f>
        <v>11.3</v>
      </c>
      <c r="X16" s="12">
        <f t="shared" si="1"/>
        <v>0</v>
      </c>
      <c r="Y16" s="26">
        <f>Q16/0.8</f>
        <v>0</v>
      </c>
      <c r="Z16" s="12">
        <f t="shared" si="2"/>
        <v>0</v>
      </c>
      <c r="AA16" s="4" t="s">
        <v>10</v>
      </c>
      <c r="AB16" s="11">
        <f>IFERROR(VLOOKUP(AA16,Curr!$B$2:$C$13,2,FALSE),0)</f>
        <v>11.3</v>
      </c>
      <c r="AC16" s="12">
        <f t="shared" si="3"/>
        <v>0</v>
      </c>
      <c r="AD16" s="12">
        <f t="shared" si="4"/>
        <v>0</v>
      </c>
      <c r="AE16" s="13">
        <f t="shared" si="5"/>
        <v>0</v>
      </c>
    </row>
    <row r="17" spans="2:31" x14ac:dyDescent="0.25">
      <c r="B17" s="4"/>
      <c r="C17" s="1" t="s">
        <v>77</v>
      </c>
      <c r="D17" s="1" t="s">
        <v>67</v>
      </c>
      <c r="E17" s="3"/>
      <c r="F17" s="3"/>
      <c r="G17" s="24"/>
      <c r="H17" s="24"/>
      <c r="J17" s="1" t="s">
        <v>105</v>
      </c>
      <c r="K17" s="4"/>
      <c r="L17" s="4"/>
      <c r="M17" s="4"/>
      <c r="N17" s="4"/>
      <c r="O17" s="4"/>
      <c r="P17" s="33"/>
      <c r="Q17" s="25">
        <v>600</v>
      </c>
      <c r="R17" s="25">
        <v>1</v>
      </c>
      <c r="S17" s="12">
        <f t="shared" si="0"/>
        <v>600</v>
      </c>
      <c r="T17" s="5">
        <v>0</v>
      </c>
      <c r="U17" s="12">
        <f t="shared" si="6"/>
        <v>600</v>
      </c>
      <c r="V17" s="25" t="s">
        <v>10</v>
      </c>
      <c r="W17" s="11">
        <f>IFERROR(VLOOKUP(V17,[1]Curr!$B$2:$C$13,2,FALSE),0)</f>
        <v>11.3</v>
      </c>
      <c r="X17" s="12">
        <f t="shared" si="1"/>
        <v>6780</v>
      </c>
      <c r="Y17" s="26">
        <f>Q17/0.85</f>
        <v>705.88235294117646</v>
      </c>
      <c r="Z17" s="12">
        <f t="shared" si="2"/>
        <v>705.88235294117646</v>
      </c>
      <c r="AA17" s="4" t="s">
        <v>10</v>
      </c>
      <c r="AB17" s="11">
        <f>IFERROR(VLOOKUP(AA17,Curr!$B$2:$C$13,2,FALSE),0)</f>
        <v>11.3</v>
      </c>
      <c r="AC17" s="12">
        <f t="shared" si="3"/>
        <v>7976.4705882352946</v>
      </c>
      <c r="AD17" s="12">
        <f t="shared" si="4"/>
        <v>1196.4705882352946</v>
      </c>
      <c r="AE17" s="13">
        <f t="shared" si="5"/>
        <v>0.15000000000000005</v>
      </c>
    </row>
    <row r="18" spans="2:31" x14ac:dyDescent="0.25">
      <c r="B18" s="4"/>
      <c r="C18" s="1" t="s">
        <v>77</v>
      </c>
      <c r="D18" s="1" t="s">
        <v>68</v>
      </c>
      <c r="E18" s="3"/>
      <c r="F18" s="3"/>
      <c r="G18" s="24"/>
      <c r="H18" s="24"/>
      <c r="J18" s="1" t="s">
        <v>71</v>
      </c>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ref="Y18:Y19" si="9">Q18</f>
        <v>0</v>
      </c>
      <c r="Z18" s="12">
        <f t="shared" si="2"/>
        <v>0</v>
      </c>
      <c r="AA18" s="4" t="s">
        <v>10</v>
      </c>
      <c r="AB18" s="11">
        <f>IFERROR(VLOOKUP(AA18,Curr!$B$2:$C$13,2,FALSE),0)</f>
        <v>11.3</v>
      </c>
      <c r="AC18" s="12">
        <f t="shared" si="3"/>
        <v>0</v>
      </c>
      <c r="AD18" s="12">
        <f t="shared" si="4"/>
        <v>0</v>
      </c>
      <c r="AE18" s="13">
        <f t="shared" si="5"/>
        <v>0</v>
      </c>
    </row>
    <row r="19" spans="2:31" x14ac:dyDescent="0.25">
      <c r="B19" s="4"/>
      <c r="C19" s="1" t="s">
        <v>77</v>
      </c>
      <c r="D19" s="1" t="s">
        <v>75</v>
      </c>
      <c r="E19" s="3"/>
      <c r="F19" s="3"/>
      <c r="G19" s="24"/>
      <c r="H19" s="24"/>
      <c r="J19" s="1" t="s">
        <v>218</v>
      </c>
      <c r="K19" s="4"/>
      <c r="L19" s="4"/>
      <c r="M19" s="4"/>
      <c r="N19" s="4"/>
      <c r="O19" s="4" t="s">
        <v>42</v>
      </c>
      <c r="P19" s="33" t="s">
        <v>219</v>
      </c>
      <c r="Q19" s="25">
        <v>109</v>
      </c>
      <c r="R19" s="25">
        <v>2</v>
      </c>
      <c r="S19" s="12">
        <f t="shared" si="0"/>
        <v>218</v>
      </c>
      <c r="T19" s="5">
        <v>0.2</v>
      </c>
      <c r="U19" s="12">
        <f t="shared" si="6"/>
        <v>174.4</v>
      </c>
      <c r="V19" s="25" t="s">
        <v>10</v>
      </c>
      <c r="W19" s="11">
        <f>IFERROR(VLOOKUP(V19,[1]Curr!$B$2:$C$13,2,FALSE),0)</f>
        <v>11.3</v>
      </c>
      <c r="X19" s="12">
        <f t="shared" si="1"/>
        <v>1970.7200000000003</v>
      </c>
      <c r="Y19" s="26">
        <f t="shared" si="9"/>
        <v>109</v>
      </c>
      <c r="Z19" s="12">
        <f t="shared" si="2"/>
        <v>218</v>
      </c>
      <c r="AA19" s="4" t="s">
        <v>10</v>
      </c>
      <c r="AB19" s="11">
        <f>IFERROR(VLOOKUP(AA19,Curr!$B$2:$C$13,2,FALSE),0)</f>
        <v>11.3</v>
      </c>
      <c r="AC19" s="12">
        <f t="shared" si="3"/>
        <v>2463.4</v>
      </c>
      <c r="AD19" s="12">
        <f t="shared" si="4"/>
        <v>492.67999999999984</v>
      </c>
      <c r="AE19" s="13">
        <f t="shared" si="5"/>
        <v>0.19999999999999993</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IFERROR(VLOOKUP(V20,[1]Curr!$B$2:$C$13,2,FALSE),0)</f>
        <v>11.3</v>
      </c>
      <c r="X20" s="12">
        <f t="shared" si="1"/>
        <v>0</v>
      </c>
      <c r="Y20" s="26">
        <f t="shared" si="8"/>
        <v>0</v>
      </c>
      <c r="Z20" s="12">
        <f t="shared" si="2"/>
        <v>0</v>
      </c>
      <c r="AA20" s="4" t="s">
        <v>10</v>
      </c>
      <c r="AB20" s="11">
        <f>IFERROR(VLOOKUP(AA20,Curr!$B$2:$C$13,2,FALSE),0)</f>
        <v>11.3</v>
      </c>
      <c r="AC20" s="12">
        <f t="shared" si="3"/>
        <v>0</v>
      </c>
      <c r="AD20" s="12">
        <f t="shared" si="4"/>
        <v>0</v>
      </c>
      <c r="AE20" s="13">
        <f t="shared" si="5"/>
        <v>0</v>
      </c>
    </row>
    <row r="21" spans="2:31" x14ac:dyDescent="0.25">
      <c r="B21" s="4"/>
      <c r="C21" s="1" t="s">
        <v>78</v>
      </c>
      <c r="D21" s="1" t="s">
        <v>75</v>
      </c>
      <c r="E21" s="3"/>
      <c r="F21" s="3"/>
      <c r="G21" s="24"/>
      <c r="H21" s="24"/>
      <c r="J21" s="1" t="s">
        <v>101</v>
      </c>
      <c r="K21" s="4"/>
      <c r="L21" s="4"/>
      <c r="M21" s="4"/>
      <c r="N21" s="4"/>
      <c r="O21" s="4" t="s">
        <v>42</v>
      </c>
      <c r="P21" s="33" t="s">
        <v>102</v>
      </c>
      <c r="Q21" s="25">
        <v>188</v>
      </c>
      <c r="R21" s="25">
        <v>2</v>
      </c>
      <c r="S21" s="12">
        <f t="shared" si="0"/>
        <v>376</v>
      </c>
      <c r="T21" s="5">
        <v>0.2</v>
      </c>
      <c r="U21" s="12">
        <f t="shared" si="6"/>
        <v>300.8</v>
      </c>
      <c r="V21" s="25" t="s">
        <v>10</v>
      </c>
      <c r="W21" s="11">
        <v>11.3</v>
      </c>
      <c r="X21" s="12">
        <f t="shared" si="1"/>
        <v>3399.0400000000004</v>
      </c>
      <c r="Y21" s="26">
        <v>188</v>
      </c>
      <c r="Z21" s="12">
        <f t="shared" si="2"/>
        <v>376</v>
      </c>
      <c r="AA21" s="4" t="s">
        <v>10</v>
      </c>
      <c r="AB21" s="11">
        <f>IFERROR(VLOOKUP(AA21,Curr!$B$2:$C$13,2,FALSE),0)</f>
        <v>11.3</v>
      </c>
      <c r="AC21" s="12">
        <f t="shared" si="3"/>
        <v>4248.8</v>
      </c>
      <c r="AD21" s="12">
        <f t="shared" si="4"/>
        <v>849.75999999999976</v>
      </c>
      <c r="AE21" s="13">
        <f t="shared" si="5"/>
        <v>0.19999999999999993</v>
      </c>
    </row>
    <row r="22" spans="2:31" x14ac:dyDescent="0.25">
      <c r="B22" s="4"/>
      <c r="C22" s="1" t="s">
        <v>78</v>
      </c>
      <c r="D22" s="1" t="s">
        <v>68</v>
      </c>
      <c r="E22" s="3"/>
      <c r="F22" s="3"/>
      <c r="G22" s="24"/>
      <c r="H22" s="24"/>
      <c r="J22" s="1" t="s">
        <v>71</v>
      </c>
      <c r="K22" s="4"/>
      <c r="L22" s="4"/>
      <c r="M22" s="4"/>
      <c r="N22" s="4"/>
      <c r="O22" s="4"/>
      <c r="P22" s="33"/>
      <c r="Q22" s="25">
        <v>0</v>
      </c>
      <c r="R22" s="25">
        <v>0</v>
      </c>
      <c r="S22" s="12">
        <f t="shared" si="0"/>
        <v>0</v>
      </c>
      <c r="T22" s="5">
        <v>0</v>
      </c>
      <c r="U22" s="12">
        <f t="shared" si="6"/>
        <v>0</v>
      </c>
      <c r="V22" s="25" t="s">
        <v>10</v>
      </c>
      <c r="W22" s="11">
        <v>11.3</v>
      </c>
      <c r="X22" s="12">
        <f t="shared" si="1"/>
        <v>0</v>
      </c>
      <c r="Y22" s="26">
        <v>0</v>
      </c>
      <c r="Z22" s="12">
        <f t="shared" si="2"/>
        <v>0</v>
      </c>
      <c r="AA22" s="4" t="s">
        <v>10</v>
      </c>
      <c r="AB22" s="11">
        <f>IFERROR(VLOOKUP(AA22,Curr!$B$2:$C$13,2,FALSE),0)</f>
        <v>11.3</v>
      </c>
      <c r="AC22" s="12">
        <f t="shared" si="3"/>
        <v>0</v>
      </c>
      <c r="AD22" s="12">
        <f t="shared" si="4"/>
        <v>0</v>
      </c>
      <c r="AE22" s="13">
        <f t="shared" si="5"/>
        <v>0</v>
      </c>
    </row>
    <row r="23" spans="2:31" x14ac:dyDescent="0.25">
      <c r="B23" s="4"/>
      <c r="C23" s="1" t="s">
        <v>78</v>
      </c>
      <c r="D23" s="1" t="s">
        <v>75</v>
      </c>
      <c r="E23" s="3"/>
      <c r="F23" s="3"/>
      <c r="G23" s="24"/>
      <c r="H23" s="24"/>
      <c r="J23" s="1" t="s">
        <v>103</v>
      </c>
      <c r="K23" s="4"/>
      <c r="L23" s="4"/>
      <c r="M23" s="4"/>
      <c r="N23" s="4"/>
      <c r="O23" s="4" t="s">
        <v>42</v>
      </c>
      <c r="P23" s="33" t="s">
        <v>104</v>
      </c>
      <c r="Q23" s="25">
        <v>89</v>
      </c>
      <c r="R23" s="25">
        <v>2</v>
      </c>
      <c r="S23" s="12">
        <f t="shared" si="0"/>
        <v>178</v>
      </c>
      <c r="T23" s="5">
        <v>0.2</v>
      </c>
      <c r="U23" s="12">
        <f t="shared" si="6"/>
        <v>142.4</v>
      </c>
      <c r="V23" s="25" t="s">
        <v>10</v>
      </c>
      <c r="W23" s="11">
        <v>11.3</v>
      </c>
      <c r="X23" s="12">
        <f t="shared" si="1"/>
        <v>1609.1200000000001</v>
      </c>
      <c r="Y23" s="26">
        <v>89</v>
      </c>
      <c r="Z23" s="12">
        <f t="shared" si="2"/>
        <v>178</v>
      </c>
      <c r="AA23" s="4" t="s">
        <v>10</v>
      </c>
      <c r="AB23" s="11">
        <f>IFERROR(VLOOKUP(AA23,Curr!$B$2:$C$13,2,FALSE),0)</f>
        <v>11.3</v>
      </c>
      <c r="AC23" s="12">
        <f t="shared" si="3"/>
        <v>2011.4</v>
      </c>
      <c r="AD23" s="12">
        <f t="shared" si="4"/>
        <v>402.28</v>
      </c>
      <c r="AE23" s="13">
        <f t="shared" si="5"/>
        <v>0.19999999999999998</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IFERROR(VLOOKUP(V24,[1]Curr!$B$2:$C$13,2,FALSE),0)</f>
        <v>11.3</v>
      </c>
      <c r="X24" s="12">
        <f t="shared" si="1"/>
        <v>0</v>
      </c>
      <c r="Y24" s="26">
        <f t="shared" si="8"/>
        <v>0</v>
      </c>
      <c r="Z24" s="12">
        <f t="shared" si="2"/>
        <v>0</v>
      </c>
      <c r="AA24" s="4" t="s">
        <v>10</v>
      </c>
      <c r="AB24" s="11">
        <f>IFERROR(VLOOKUP(AA24,Curr!$B$2:$C$13,2,FALSE),0)</f>
        <v>11.3</v>
      </c>
      <c r="AC24" s="12">
        <f t="shared" si="3"/>
        <v>0</v>
      </c>
      <c r="AD24" s="12">
        <f t="shared" si="4"/>
        <v>0</v>
      </c>
      <c r="AE24" s="13">
        <f t="shared" si="5"/>
        <v>0</v>
      </c>
    </row>
    <row r="25" spans="2:31" x14ac:dyDescent="0.25">
      <c r="B25" s="4"/>
      <c r="C25" s="1" t="s">
        <v>82</v>
      </c>
      <c r="D25" s="1" t="s">
        <v>66</v>
      </c>
      <c r="E25" s="3"/>
      <c r="F25" s="3"/>
      <c r="G25" s="24"/>
      <c r="H25" s="24"/>
      <c r="J25" s="1" t="s">
        <v>107</v>
      </c>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8"/>
        <v>0</v>
      </c>
      <c r="Z25" s="12">
        <f t="shared" si="2"/>
        <v>0</v>
      </c>
      <c r="AA25" s="4" t="s">
        <v>10</v>
      </c>
      <c r="AB25" s="11">
        <f>IFERROR(VLOOKUP(AA25,Curr!$B$2:$C$13,2,FALSE),0)</f>
        <v>11.3</v>
      </c>
      <c r="AC25" s="12">
        <f t="shared" si="3"/>
        <v>0</v>
      </c>
      <c r="AD25" s="12">
        <f t="shared" si="4"/>
        <v>0</v>
      </c>
      <c r="AE25" s="13">
        <f t="shared" si="5"/>
        <v>0</v>
      </c>
    </row>
    <row r="26" spans="2:31" x14ac:dyDescent="0.25">
      <c r="B26" s="4"/>
      <c r="C26" s="1" t="s">
        <v>82</v>
      </c>
      <c r="D26" s="1" t="s">
        <v>75</v>
      </c>
      <c r="E26" s="3"/>
      <c r="F26" s="3"/>
      <c r="G26" s="24"/>
      <c r="H26" s="24"/>
      <c r="J26" s="1" t="s">
        <v>79</v>
      </c>
      <c r="K26" s="4"/>
      <c r="L26" s="4"/>
      <c r="M26" s="4"/>
      <c r="N26" s="4"/>
      <c r="O26" s="4" t="s">
        <v>42</v>
      </c>
      <c r="P26" s="33" t="s">
        <v>80</v>
      </c>
      <c r="Q26" s="25">
        <v>1830</v>
      </c>
      <c r="R26" s="25">
        <v>2</v>
      </c>
      <c r="S26" s="12">
        <f t="shared" si="0"/>
        <v>3660</v>
      </c>
      <c r="T26" s="5">
        <v>0.2</v>
      </c>
      <c r="U26" s="12">
        <f t="shared" si="6"/>
        <v>2928</v>
      </c>
      <c r="V26" s="25" t="s">
        <v>8</v>
      </c>
      <c r="W26" s="11">
        <f>IFERROR(VLOOKUP(V26,[1]Curr!$B$2:$C$13,2,FALSE),0)</f>
        <v>1</v>
      </c>
      <c r="X26" s="12">
        <f t="shared" si="1"/>
        <v>2928</v>
      </c>
      <c r="Y26" s="26">
        <f>Q26/11.3/0.9</f>
        <v>179.9410029498525</v>
      </c>
      <c r="Z26" s="12">
        <f t="shared" si="2"/>
        <v>359.88200589970501</v>
      </c>
      <c r="AA26" s="4" t="s">
        <v>10</v>
      </c>
      <c r="AB26" s="11">
        <f>IFERROR(VLOOKUP(AA26,Curr!$B$2:$C$13,2,FALSE),0)</f>
        <v>11.3</v>
      </c>
      <c r="AC26" s="12">
        <f t="shared" si="3"/>
        <v>4066.666666666667</v>
      </c>
      <c r="AD26" s="12">
        <f t="shared" si="4"/>
        <v>1138.666666666667</v>
      </c>
      <c r="AE26" s="13">
        <f t="shared" si="5"/>
        <v>0.28000000000000003</v>
      </c>
    </row>
    <row r="27" spans="2:31" x14ac:dyDescent="0.25">
      <c r="B27" s="4"/>
      <c r="C27" s="1" t="s">
        <v>82</v>
      </c>
      <c r="D27" s="1" t="s">
        <v>66</v>
      </c>
      <c r="E27" s="3"/>
      <c r="F27" s="3"/>
      <c r="G27" s="24"/>
      <c r="H27" s="24"/>
      <c r="J27" s="1" t="s">
        <v>106</v>
      </c>
      <c r="K27" s="4"/>
      <c r="L27" s="4"/>
      <c r="M27" s="4"/>
      <c r="N27" s="4"/>
      <c r="O27" s="4"/>
      <c r="P27" s="33"/>
      <c r="Q27" s="25">
        <v>0</v>
      </c>
      <c r="R27" s="25">
        <v>0</v>
      </c>
      <c r="S27" s="12">
        <f t="shared" si="0"/>
        <v>0</v>
      </c>
      <c r="T27" s="5">
        <v>0</v>
      </c>
      <c r="U27" s="12">
        <f t="shared" si="6"/>
        <v>0</v>
      </c>
      <c r="V27" s="25" t="s">
        <v>10</v>
      </c>
      <c r="W27" s="11">
        <f>IFERROR(VLOOKUP(V27,[1]Curr!$B$2:$C$13,2,FALSE),0)</f>
        <v>11.3</v>
      </c>
      <c r="X27" s="12">
        <f t="shared" si="1"/>
        <v>0</v>
      </c>
      <c r="Y27" s="26">
        <f t="shared" ref="Y27:Y29" si="10">Q27</f>
        <v>0</v>
      </c>
      <c r="Z27" s="12">
        <f t="shared" si="2"/>
        <v>0</v>
      </c>
      <c r="AA27" s="4" t="s">
        <v>10</v>
      </c>
      <c r="AB27" s="11">
        <f>IFERROR(VLOOKUP(AA27,Curr!$B$2:$C$13,2,FALSE),0)</f>
        <v>11.3</v>
      </c>
      <c r="AC27" s="12">
        <f t="shared" si="3"/>
        <v>0</v>
      </c>
      <c r="AD27" s="12">
        <f t="shared" si="4"/>
        <v>0</v>
      </c>
      <c r="AE27" s="13">
        <f t="shared" si="5"/>
        <v>0</v>
      </c>
    </row>
    <row r="28" spans="2:31" x14ac:dyDescent="0.25">
      <c r="B28" s="4"/>
      <c r="C28" s="1" t="s">
        <v>82</v>
      </c>
      <c r="D28" s="1" t="s">
        <v>67</v>
      </c>
      <c r="E28" s="3"/>
      <c r="F28" s="3"/>
      <c r="G28" s="24"/>
      <c r="H28" s="24"/>
      <c r="J28" s="1" t="s">
        <v>108</v>
      </c>
      <c r="K28" s="4"/>
      <c r="L28" s="4"/>
      <c r="M28" s="4"/>
      <c r="N28" s="4"/>
      <c r="O28" s="4"/>
      <c r="P28" s="33"/>
      <c r="Q28" s="25">
        <v>800</v>
      </c>
      <c r="R28" s="25">
        <v>1</v>
      </c>
      <c r="S28" s="12">
        <f t="shared" si="0"/>
        <v>800</v>
      </c>
      <c r="T28" s="5">
        <v>0</v>
      </c>
      <c r="U28" s="12">
        <f t="shared" si="6"/>
        <v>800</v>
      </c>
      <c r="V28" s="25" t="s">
        <v>10</v>
      </c>
      <c r="W28" s="11">
        <f>IFERROR(VLOOKUP(V28,[1]Curr!$B$2:$C$13,2,FALSE),0)</f>
        <v>11.3</v>
      </c>
      <c r="X28" s="12">
        <f t="shared" si="1"/>
        <v>9040</v>
      </c>
      <c r="Y28" s="26">
        <f>Q28/0.85</f>
        <v>941.17647058823536</v>
      </c>
      <c r="Z28" s="12">
        <f t="shared" si="2"/>
        <v>941.17647058823536</v>
      </c>
      <c r="AA28" s="4" t="s">
        <v>10</v>
      </c>
      <c r="AB28" s="11">
        <f>IFERROR(VLOOKUP(AA28,Curr!$B$2:$C$13,2,FALSE),0)</f>
        <v>11.3</v>
      </c>
      <c r="AC28" s="12">
        <f t="shared" si="3"/>
        <v>10635.294117647059</v>
      </c>
      <c r="AD28" s="12">
        <f t="shared" si="4"/>
        <v>1595.2941176470595</v>
      </c>
      <c r="AE28" s="13">
        <f t="shared" si="5"/>
        <v>0.15000000000000005</v>
      </c>
    </row>
    <row r="29" spans="2:31" x14ac:dyDescent="0.25">
      <c r="B29" s="4"/>
      <c r="C29" s="1" t="s">
        <v>82</v>
      </c>
      <c r="D29" s="1" t="s">
        <v>68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IFERROR(VLOOKUP(V29,[1]Curr!$B$2:$C$13,2,FALSE),0)</f>
        <v>11.3</v>
      </c>
      <c r="X29" s="12">
        <f t="shared" si="1"/>
        <v>0</v>
      </c>
      <c r="Y29" s="26">
        <f t="shared" si="10"/>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IFERROR(VLOOKUP(V30,[1]Curr!$B$2:$C$13,2,FALSE),0)</f>
        <v>11.3</v>
      </c>
      <c r="X30" s="12">
        <f t="shared" si="1"/>
        <v>0</v>
      </c>
      <c r="Y30" s="26">
        <f t="shared" si="8"/>
        <v>0</v>
      </c>
      <c r="Z30" s="12">
        <f t="shared" si="2"/>
        <v>0</v>
      </c>
      <c r="AA30" s="4" t="s">
        <v>10</v>
      </c>
      <c r="AB30" s="11">
        <f>IFERROR(VLOOKUP(AA30,Curr!$B$2:$C$13,2,FALSE),0)</f>
        <v>11.3</v>
      </c>
      <c r="AC30" s="12">
        <f t="shared" si="3"/>
        <v>0</v>
      </c>
      <c r="AD30" s="12">
        <f t="shared" si="4"/>
        <v>0</v>
      </c>
      <c r="AE30" s="13">
        <f t="shared" si="5"/>
        <v>0</v>
      </c>
    </row>
    <row r="31" spans="2:31" x14ac:dyDescent="0.25">
      <c r="B31" s="4"/>
      <c r="C31" s="1" t="s">
        <v>83</v>
      </c>
      <c r="D31" s="1" t="s">
        <v>75</v>
      </c>
      <c r="E31" s="3"/>
      <c r="F31" s="3"/>
      <c r="G31" s="24"/>
      <c r="H31" s="24"/>
      <c r="J31" s="1" t="s">
        <v>88</v>
      </c>
      <c r="K31" s="4"/>
      <c r="L31" s="4"/>
      <c r="M31" s="4"/>
      <c r="N31" s="4"/>
      <c r="O31" s="4" t="s">
        <v>42</v>
      </c>
      <c r="P31" s="33" t="s">
        <v>89</v>
      </c>
      <c r="Q31" s="25">
        <v>1695</v>
      </c>
      <c r="R31" s="25">
        <v>2</v>
      </c>
      <c r="S31" s="12">
        <f t="shared" si="0"/>
        <v>3390</v>
      </c>
      <c r="T31" s="5">
        <v>0.2</v>
      </c>
      <c r="U31" s="12">
        <f t="shared" si="6"/>
        <v>2712</v>
      </c>
      <c r="V31" s="25" t="s">
        <v>8</v>
      </c>
      <c r="W31" s="11">
        <f>IFERROR(VLOOKUP(V31,[1]Curr!$B$2:$C$13,2,FALSE),0)</f>
        <v>1</v>
      </c>
      <c r="X31" s="12">
        <f t="shared" si="1"/>
        <v>2712</v>
      </c>
      <c r="Y31" s="26">
        <f>Q31/11.3</f>
        <v>150</v>
      </c>
      <c r="Z31" s="12">
        <f t="shared" si="2"/>
        <v>300</v>
      </c>
      <c r="AA31" s="4" t="s">
        <v>10</v>
      </c>
      <c r="AB31" s="11">
        <f>IFERROR(VLOOKUP(AA31,Curr!$B$2:$C$13,2,FALSE),0)</f>
        <v>11.3</v>
      </c>
      <c r="AC31" s="12">
        <f t="shared" si="3"/>
        <v>3390</v>
      </c>
      <c r="AD31" s="12">
        <f t="shared" si="4"/>
        <v>678</v>
      </c>
      <c r="AE31" s="13">
        <f t="shared" si="5"/>
        <v>0.2</v>
      </c>
    </row>
    <row r="32" spans="2:31" x14ac:dyDescent="0.25">
      <c r="B32" s="4"/>
      <c r="C32" s="1" t="s">
        <v>83</v>
      </c>
      <c r="D32" s="1" t="s">
        <v>68</v>
      </c>
      <c r="E32" s="3"/>
      <c r="F32" s="3"/>
      <c r="G32" s="24"/>
      <c r="H32" s="24"/>
      <c r="J32" s="1" t="s">
        <v>81</v>
      </c>
      <c r="K32" s="4"/>
      <c r="L32" s="4"/>
      <c r="M32" s="4"/>
      <c r="N32" s="4"/>
      <c r="O32" s="4"/>
      <c r="P32" s="33"/>
      <c r="Q32" s="25">
        <v>0</v>
      </c>
      <c r="R32" s="25">
        <v>0</v>
      </c>
      <c r="S32" s="12">
        <f t="shared" si="0"/>
        <v>0</v>
      </c>
      <c r="T32" s="5">
        <v>0</v>
      </c>
      <c r="U32" s="12">
        <f t="shared" si="6"/>
        <v>0</v>
      </c>
      <c r="V32" s="25" t="s">
        <v>10</v>
      </c>
      <c r="W32" s="11">
        <f>IFERROR(VLOOKUP(V32,[1]Curr!$B$2:$C$13,2,FALSE),0)</f>
        <v>11.3</v>
      </c>
      <c r="X32" s="12">
        <f t="shared" si="1"/>
        <v>0</v>
      </c>
      <c r="Y32" s="26">
        <f t="shared" ref="Y32:Y60" si="11">Q32</f>
        <v>0</v>
      </c>
      <c r="Z32" s="12">
        <f t="shared" si="2"/>
        <v>0</v>
      </c>
      <c r="AA32" s="4" t="s">
        <v>10</v>
      </c>
      <c r="AB32" s="11">
        <f>IFERROR(VLOOKUP(AA32,Curr!$B$2:$C$13,2,FALSE),0)</f>
        <v>11.3</v>
      </c>
      <c r="AC32" s="12">
        <f t="shared" si="3"/>
        <v>0</v>
      </c>
      <c r="AD32" s="12">
        <f t="shared" si="4"/>
        <v>0</v>
      </c>
      <c r="AE32" s="13">
        <f t="shared" si="5"/>
        <v>0</v>
      </c>
    </row>
    <row r="33" spans="2:31" x14ac:dyDescent="0.25">
      <c r="B33" s="4"/>
      <c r="C33" s="1" t="s">
        <v>83</v>
      </c>
      <c r="D33" s="1" t="s">
        <v>75</v>
      </c>
      <c r="E33" s="3"/>
      <c r="F33" s="3"/>
      <c r="G33" s="24"/>
      <c r="H33" s="24"/>
      <c r="J33" s="1" t="s">
        <v>216</v>
      </c>
      <c r="K33" s="4"/>
      <c r="L33" s="4"/>
      <c r="M33" s="4"/>
      <c r="N33" s="4"/>
      <c r="O33" s="4" t="s">
        <v>42</v>
      </c>
      <c r="P33" s="33" t="s">
        <v>217</v>
      </c>
      <c r="Q33" s="25">
        <v>120</v>
      </c>
      <c r="R33" s="25">
        <v>2</v>
      </c>
      <c r="S33" s="12">
        <f t="shared" si="0"/>
        <v>240</v>
      </c>
      <c r="T33" s="5">
        <v>0.2</v>
      </c>
      <c r="U33" s="12">
        <f t="shared" si="6"/>
        <v>192</v>
      </c>
      <c r="V33" s="25" t="s">
        <v>10</v>
      </c>
      <c r="W33" s="11">
        <f>IFERROR(VLOOKUP(V33,[2]Curr!$B$2:$C$13,2,FALSE),0)</f>
        <v>11.3</v>
      </c>
      <c r="X33" s="12">
        <f t="shared" si="1"/>
        <v>2169.6000000000004</v>
      </c>
      <c r="Y33" s="26">
        <f t="shared" si="11"/>
        <v>120</v>
      </c>
      <c r="Z33" s="12">
        <f t="shared" si="2"/>
        <v>240</v>
      </c>
      <c r="AA33" s="4" t="s">
        <v>10</v>
      </c>
      <c r="AB33" s="11">
        <f>IFERROR(VLOOKUP(AA33,Curr!$B$2:$C$13,2,FALSE),0)</f>
        <v>11.3</v>
      </c>
      <c r="AC33" s="12">
        <f t="shared" si="3"/>
        <v>2712</v>
      </c>
      <c r="AD33" s="12">
        <f t="shared" si="4"/>
        <v>542.39999999999964</v>
      </c>
      <c r="AE33" s="13">
        <f t="shared" si="5"/>
        <v>0.19999999999999987</v>
      </c>
    </row>
    <row r="34" spans="2:31" x14ac:dyDescent="0.25">
      <c r="B34" s="4"/>
      <c r="E34" s="3"/>
      <c r="F34" s="3"/>
      <c r="G34" s="24"/>
      <c r="H34" s="24"/>
      <c r="K34" s="4"/>
      <c r="L34" s="4"/>
      <c r="M34" s="4"/>
      <c r="N34" s="4"/>
      <c r="O34" s="4"/>
      <c r="P34" s="33"/>
      <c r="Q34" s="25"/>
      <c r="R34" s="25"/>
      <c r="S34" s="12">
        <f t="shared" si="0"/>
        <v>0</v>
      </c>
      <c r="T34" s="5">
        <v>0</v>
      </c>
      <c r="U34" s="12">
        <f t="shared" si="6"/>
        <v>0</v>
      </c>
      <c r="V34" s="25" t="s">
        <v>10</v>
      </c>
      <c r="W34" s="11">
        <f>IFERROR(VLOOKUP(V34,[1]Curr!$B$2:$C$13,2,FALSE),0)</f>
        <v>11.3</v>
      </c>
      <c r="X34" s="12">
        <f t="shared" si="1"/>
        <v>0</v>
      </c>
      <c r="Y34" s="26">
        <f t="shared" si="11"/>
        <v>0</v>
      </c>
      <c r="Z34" s="12">
        <f t="shared" si="2"/>
        <v>0</v>
      </c>
      <c r="AA34" s="4" t="s">
        <v>10</v>
      </c>
      <c r="AB34" s="11">
        <f>IFERROR(VLOOKUP(AA34,Curr!$B$2:$C$13,2,FALSE),0)</f>
        <v>11.3</v>
      </c>
      <c r="AC34" s="12">
        <f t="shared" si="3"/>
        <v>0</v>
      </c>
      <c r="AD34" s="12">
        <f t="shared" si="4"/>
        <v>0</v>
      </c>
      <c r="AE34" s="13">
        <f t="shared" si="5"/>
        <v>0</v>
      </c>
    </row>
    <row r="35" spans="2:31" x14ac:dyDescent="0.25">
      <c r="B35" s="4"/>
      <c r="C35" s="1" t="s">
        <v>84</v>
      </c>
      <c r="D35" s="1" t="s">
        <v>75</v>
      </c>
      <c r="E35" s="3"/>
      <c r="F35" s="3"/>
      <c r="G35" s="24"/>
      <c r="H35" s="24"/>
      <c r="J35" s="1" t="s">
        <v>110</v>
      </c>
      <c r="K35" s="4"/>
      <c r="L35" s="4"/>
      <c r="M35" s="4"/>
      <c r="N35" s="4"/>
      <c r="O35" s="4" t="s">
        <v>42</v>
      </c>
      <c r="P35" s="33" t="s">
        <v>111</v>
      </c>
      <c r="Q35" s="25">
        <v>145</v>
      </c>
      <c r="R35" s="25">
        <v>2</v>
      </c>
      <c r="S35" s="12">
        <f t="shared" si="0"/>
        <v>290</v>
      </c>
      <c r="T35" s="5">
        <v>0.2</v>
      </c>
      <c r="U35" s="12">
        <f t="shared" si="6"/>
        <v>232</v>
      </c>
      <c r="V35" s="25" t="s">
        <v>10</v>
      </c>
      <c r="W35" s="11">
        <f>IFERROR(VLOOKUP(V35,[1]Curr!$B$2:$C$13,2,FALSE),0)</f>
        <v>11.3</v>
      </c>
      <c r="X35" s="12">
        <f t="shared" si="1"/>
        <v>2621.6000000000004</v>
      </c>
      <c r="Y35" s="26">
        <f t="shared" si="11"/>
        <v>145</v>
      </c>
      <c r="Z35" s="12">
        <f t="shared" si="2"/>
        <v>290</v>
      </c>
      <c r="AA35" s="4" t="s">
        <v>10</v>
      </c>
      <c r="AB35" s="11">
        <f>IFERROR(VLOOKUP(AA35,Curr!$B$2:$C$13,2,FALSE),0)</f>
        <v>11.3</v>
      </c>
      <c r="AC35" s="12">
        <f t="shared" si="3"/>
        <v>3277</v>
      </c>
      <c r="AD35" s="12">
        <f t="shared" si="4"/>
        <v>655.39999999999964</v>
      </c>
      <c r="AE35" s="13">
        <f t="shared" si="5"/>
        <v>0.1999999999999999</v>
      </c>
    </row>
    <row r="36" spans="2:31" x14ac:dyDescent="0.25">
      <c r="B36" s="4"/>
      <c r="C36" s="1" t="s">
        <v>84</v>
      </c>
      <c r="D36" s="1" t="s">
        <v>68</v>
      </c>
      <c r="E36" s="3"/>
      <c r="F36" s="3"/>
      <c r="G36" s="24"/>
      <c r="H36" s="24"/>
      <c r="J36" s="1" t="s">
        <v>81</v>
      </c>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11"/>
        <v>0</v>
      </c>
      <c r="Z36" s="12">
        <f t="shared" si="2"/>
        <v>0</v>
      </c>
      <c r="AA36" s="4" t="s">
        <v>10</v>
      </c>
      <c r="AB36" s="11">
        <f>IFERROR(VLOOKUP(AA36,Curr!$B$2:$C$13,2,FALSE),0)</f>
        <v>11.3</v>
      </c>
      <c r="AC36" s="12">
        <f t="shared" si="3"/>
        <v>0</v>
      </c>
      <c r="AD36" s="12">
        <f t="shared" si="4"/>
        <v>0</v>
      </c>
      <c r="AE36" s="13">
        <f t="shared" si="5"/>
        <v>0</v>
      </c>
    </row>
    <row r="37" spans="2:31" x14ac:dyDescent="0.25">
      <c r="B37" s="4"/>
      <c r="C37" s="1" t="s">
        <v>84</v>
      </c>
      <c r="D37" s="1" t="s">
        <v>75</v>
      </c>
      <c r="E37" s="3"/>
      <c r="F37" s="3"/>
      <c r="G37" s="24"/>
      <c r="H37" s="24"/>
      <c r="J37" s="1" t="s">
        <v>92</v>
      </c>
      <c r="K37" s="4"/>
      <c r="L37" s="4"/>
      <c r="M37" s="4"/>
      <c r="N37" s="4"/>
      <c r="O37" s="4" t="s">
        <v>42</v>
      </c>
      <c r="P37" s="33" t="s">
        <v>93</v>
      </c>
      <c r="Q37" s="25">
        <v>105</v>
      </c>
      <c r="R37" s="25">
        <v>2</v>
      </c>
      <c r="S37" s="12">
        <f t="shared" si="0"/>
        <v>210</v>
      </c>
      <c r="T37" s="5">
        <v>0.2</v>
      </c>
      <c r="U37" s="12">
        <f t="shared" si="6"/>
        <v>168</v>
      </c>
      <c r="V37" s="25" t="s">
        <v>10</v>
      </c>
      <c r="W37" s="11">
        <f>IFERROR(VLOOKUP(V37,[1]Curr!$B$2:$C$13,2,FALSE),0)</f>
        <v>11.3</v>
      </c>
      <c r="X37" s="12">
        <f t="shared" si="1"/>
        <v>1898.4</v>
      </c>
      <c r="Y37" s="26">
        <f t="shared" si="11"/>
        <v>105</v>
      </c>
      <c r="Z37" s="12">
        <f t="shared" si="2"/>
        <v>210</v>
      </c>
      <c r="AA37" s="4" t="s">
        <v>10</v>
      </c>
      <c r="AB37" s="11">
        <f>IFERROR(VLOOKUP(AA37,Curr!$B$2:$C$13,2,FALSE),0)</f>
        <v>11.3</v>
      </c>
      <c r="AC37" s="12">
        <f t="shared" si="3"/>
        <v>2373</v>
      </c>
      <c r="AD37" s="12">
        <f t="shared" si="4"/>
        <v>474.59999999999991</v>
      </c>
      <c r="AE37" s="13">
        <f t="shared" si="5"/>
        <v>0.19999999999999996</v>
      </c>
    </row>
    <row r="38" spans="2:31" x14ac:dyDescent="0.25">
      <c r="B38" s="4"/>
      <c r="E38" s="3"/>
      <c r="F38" s="3"/>
      <c r="G38" s="24"/>
      <c r="H38" s="24"/>
      <c r="K38" s="4"/>
      <c r="L38" s="4"/>
      <c r="M38" s="4"/>
      <c r="N38" s="4"/>
      <c r="O38" s="4"/>
      <c r="P38" s="29"/>
      <c r="Q38" s="25"/>
      <c r="R38" s="25"/>
      <c r="S38" s="12">
        <f t="shared" si="0"/>
        <v>0</v>
      </c>
      <c r="T38" s="5">
        <v>0</v>
      </c>
      <c r="U38" s="12">
        <f t="shared" si="6"/>
        <v>0</v>
      </c>
      <c r="V38" s="25" t="s">
        <v>10</v>
      </c>
      <c r="W38" s="11">
        <f>IFERROR(VLOOKUP(V38,[1]Curr!$B$2:$C$13,2,FALSE),0)</f>
        <v>11.3</v>
      </c>
      <c r="X38" s="12">
        <f t="shared" si="1"/>
        <v>0</v>
      </c>
      <c r="Y38" s="26">
        <f t="shared" si="11"/>
        <v>0</v>
      </c>
      <c r="Z38" s="12">
        <f t="shared" si="2"/>
        <v>0</v>
      </c>
      <c r="AA38" s="4" t="s">
        <v>10</v>
      </c>
      <c r="AB38" s="11">
        <f>IFERROR(VLOOKUP(AA38,Curr!$B$2:$C$13,2,FALSE),0)</f>
        <v>11.3</v>
      </c>
      <c r="AC38" s="12">
        <f t="shared" si="3"/>
        <v>0</v>
      </c>
      <c r="AD38" s="12">
        <f t="shared" si="4"/>
        <v>0</v>
      </c>
      <c r="AE38" s="13">
        <f t="shared" si="5"/>
        <v>0</v>
      </c>
    </row>
    <row r="39" spans="2:31" x14ac:dyDescent="0.25">
      <c r="B39" s="4"/>
      <c r="C39" s="1" t="s">
        <v>127</v>
      </c>
      <c r="D39" s="1" t="s">
        <v>66</v>
      </c>
      <c r="E39" s="3"/>
      <c r="F39" s="3"/>
      <c r="G39" s="24"/>
      <c r="H39" s="24"/>
      <c r="J39" s="1" t="s">
        <v>87</v>
      </c>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11"/>
        <v>0</v>
      </c>
      <c r="Z39" s="12">
        <f t="shared" si="2"/>
        <v>0</v>
      </c>
      <c r="AA39" s="4" t="s">
        <v>10</v>
      </c>
      <c r="AB39" s="11">
        <f>IFERROR(VLOOKUP(AA39,Curr!$B$2:$C$13,2,FALSE),0)</f>
        <v>11.3</v>
      </c>
      <c r="AC39" s="12">
        <f t="shared" si="3"/>
        <v>0</v>
      </c>
      <c r="AD39" s="12">
        <f t="shared" si="4"/>
        <v>0</v>
      </c>
      <c r="AE39" s="13">
        <f t="shared" si="5"/>
        <v>0</v>
      </c>
    </row>
    <row r="40" spans="2:31" x14ac:dyDescent="0.25">
      <c r="B40" s="4"/>
      <c r="C40" s="1" t="s">
        <v>127</v>
      </c>
      <c r="D40" s="1" t="s">
        <v>161</v>
      </c>
      <c r="E40" s="3"/>
      <c r="F40" s="3"/>
      <c r="G40" s="24"/>
      <c r="H40" s="24"/>
      <c r="J40" s="1" t="s">
        <v>207</v>
      </c>
      <c r="K40" s="4"/>
      <c r="L40" s="4"/>
      <c r="M40" s="4"/>
      <c r="N40" s="4"/>
      <c r="O40" s="4"/>
      <c r="P40" s="27"/>
      <c r="Q40" s="25">
        <v>1800</v>
      </c>
      <c r="R40" s="25">
        <v>2</v>
      </c>
      <c r="S40" s="12">
        <f t="shared" si="0"/>
        <v>3600</v>
      </c>
      <c r="T40" s="5">
        <v>0</v>
      </c>
      <c r="U40" s="12">
        <f t="shared" si="6"/>
        <v>3600</v>
      </c>
      <c r="V40" s="25" t="s">
        <v>8</v>
      </c>
      <c r="W40" s="11">
        <f>IFERROR(VLOOKUP(V40,[1]Curr!$B$2:$C$13,2,FALSE),0)</f>
        <v>1</v>
      </c>
      <c r="X40" s="12">
        <f t="shared" si="1"/>
        <v>3600</v>
      </c>
      <c r="Y40" s="26">
        <f>Q40/11.3/0.8</f>
        <v>199.11504424778758</v>
      </c>
      <c r="Z40" s="12">
        <f t="shared" si="2"/>
        <v>398.23008849557516</v>
      </c>
      <c r="AA40" s="4" t="s">
        <v>10</v>
      </c>
      <c r="AB40" s="11">
        <f>IFERROR(VLOOKUP(AA40,Curr!$B$2:$C$13,2,FALSE),0)</f>
        <v>11.3</v>
      </c>
      <c r="AC40" s="12">
        <f t="shared" si="3"/>
        <v>4500</v>
      </c>
      <c r="AD40" s="12">
        <f t="shared" si="4"/>
        <v>900</v>
      </c>
      <c r="AE40" s="13">
        <f t="shared" si="5"/>
        <v>0.2</v>
      </c>
    </row>
    <row r="41" spans="2:31" x14ac:dyDescent="0.25">
      <c r="B41" s="4"/>
      <c r="C41" s="1" t="s">
        <v>127</v>
      </c>
      <c r="D41" s="1" t="s">
        <v>66</v>
      </c>
      <c r="E41" s="3"/>
      <c r="F41" s="3"/>
      <c r="G41" s="24"/>
      <c r="H41" s="24"/>
      <c r="J41" s="1" t="s">
        <v>167</v>
      </c>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11"/>
        <v>0</v>
      </c>
      <c r="Z41" s="12">
        <f t="shared" si="2"/>
        <v>0</v>
      </c>
      <c r="AA41" s="4" t="s">
        <v>10</v>
      </c>
      <c r="AB41" s="11">
        <f>IFERROR(VLOOKUP(AA41,Curr!$B$2:$C$13,2,FALSE),0)</f>
        <v>11.3</v>
      </c>
      <c r="AC41" s="12">
        <f t="shared" si="3"/>
        <v>0</v>
      </c>
      <c r="AD41" s="12">
        <f t="shared" si="4"/>
        <v>0</v>
      </c>
      <c r="AE41" s="13">
        <f t="shared" si="5"/>
        <v>0</v>
      </c>
    </row>
    <row r="42" spans="2:31" x14ac:dyDescent="0.25">
      <c r="B42" s="4"/>
      <c r="C42" s="1" t="s">
        <v>127</v>
      </c>
      <c r="D42" s="1" t="s">
        <v>67</v>
      </c>
      <c r="E42" s="3"/>
      <c r="F42" s="3"/>
      <c r="G42" s="24"/>
      <c r="H42" s="24"/>
      <c r="J42" s="1" t="s">
        <v>168</v>
      </c>
      <c r="K42" s="4"/>
      <c r="L42" s="4"/>
      <c r="M42" s="4"/>
      <c r="N42" s="4"/>
      <c r="O42" s="4"/>
      <c r="P42" s="33"/>
      <c r="Q42" s="25">
        <v>240</v>
      </c>
      <c r="R42" s="25">
        <v>1</v>
      </c>
      <c r="S42" s="12">
        <f t="shared" si="0"/>
        <v>240</v>
      </c>
      <c r="T42" s="5">
        <v>0</v>
      </c>
      <c r="U42" s="12">
        <f t="shared" si="6"/>
        <v>240</v>
      </c>
      <c r="V42" s="25" t="s">
        <v>10</v>
      </c>
      <c r="W42" s="11">
        <f>IFERROR(VLOOKUP(V42,[1]Curr!$B$2:$C$13,2,FALSE),0)</f>
        <v>11.3</v>
      </c>
      <c r="X42" s="12">
        <f t="shared" si="1"/>
        <v>2712</v>
      </c>
      <c r="Y42" s="26">
        <f>Q42/0.85</f>
        <v>282.35294117647061</v>
      </c>
      <c r="Z42" s="12">
        <f t="shared" si="2"/>
        <v>282.35294117647061</v>
      </c>
      <c r="AA42" s="4" t="s">
        <v>10</v>
      </c>
      <c r="AB42" s="11">
        <f>IFERROR(VLOOKUP(AA42,Curr!$B$2:$C$13,2,FALSE),0)</f>
        <v>11.3</v>
      </c>
      <c r="AC42" s="12">
        <f t="shared" si="3"/>
        <v>3190.588235294118</v>
      </c>
      <c r="AD42" s="12">
        <f t="shared" si="4"/>
        <v>478.58823529411802</v>
      </c>
      <c r="AE42" s="13">
        <f t="shared" si="5"/>
        <v>0.15000000000000011</v>
      </c>
    </row>
    <row r="43" spans="2:31" x14ac:dyDescent="0.25">
      <c r="B43" s="4"/>
      <c r="C43" s="1" t="s">
        <v>127</v>
      </c>
      <c r="D43" s="1" t="s">
        <v>75</v>
      </c>
      <c r="E43" s="3"/>
      <c r="F43" s="3"/>
      <c r="G43" s="24"/>
      <c r="H43" s="24"/>
      <c r="J43" s="1" t="s">
        <v>173</v>
      </c>
      <c r="K43" s="4"/>
      <c r="L43" s="4"/>
      <c r="M43" s="4"/>
      <c r="N43" s="4"/>
      <c r="O43" s="4" t="s">
        <v>42</v>
      </c>
      <c r="P43" s="33" t="s">
        <v>170</v>
      </c>
      <c r="Q43" s="25">
        <v>250</v>
      </c>
      <c r="R43" s="25">
        <v>2</v>
      </c>
      <c r="S43" s="12">
        <f t="shared" si="0"/>
        <v>500</v>
      </c>
      <c r="T43" s="5">
        <v>0.2</v>
      </c>
      <c r="U43" s="12">
        <f t="shared" si="6"/>
        <v>400</v>
      </c>
      <c r="V43" s="25" t="s">
        <v>8</v>
      </c>
      <c r="W43" s="11">
        <f>IFERROR(VLOOKUP(V43,[1]Curr!$B$2:$C$13,2,FALSE),0)</f>
        <v>1</v>
      </c>
      <c r="X43" s="12">
        <f t="shared" si="1"/>
        <v>400</v>
      </c>
      <c r="Y43" s="26">
        <f>Q43/11.3/0.64</f>
        <v>34.568584070796462</v>
      </c>
      <c r="Z43" s="12">
        <f t="shared" si="2"/>
        <v>69.137168141592923</v>
      </c>
      <c r="AA43" s="4" t="s">
        <v>10</v>
      </c>
      <c r="AB43" s="11">
        <f>IFERROR(VLOOKUP(AA43,Curr!$B$2:$C$13,2,FALSE),0)</f>
        <v>11.3</v>
      </c>
      <c r="AC43" s="12">
        <f t="shared" si="3"/>
        <v>781.25000000000011</v>
      </c>
      <c r="AD43" s="12">
        <f t="shared" si="4"/>
        <v>381.25000000000011</v>
      </c>
      <c r="AE43" s="13">
        <f t="shared" si="5"/>
        <v>0.4880000000000001</v>
      </c>
    </row>
    <row r="44" spans="2:31" x14ac:dyDescent="0.25">
      <c r="B44" s="4"/>
      <c r="C44" s="1" t="s">
        <v>127</v>
      </c>
      <c r="D44" s="1" t="s">
        <v>68</v>
      </c>
      <c r="E44" s="3"/>
      <c r="F44" s="3"/>
      <c r="G44" s="24"/>
      <c r="H44" s="24"/>
      <c r="J44" s="1" t="s">
        <v>169</v>
      </c>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11"/>
        <v>0</v>
      </c>
      <c r="Z44" s="12">
        <f t="shared" si="2"/>
        <v>0</v>
      </c>
      <c r="AA44" s="4" t="s">
        <v>10</v>
      </c>
      <c r="AB44" s="11">
        <f>IFERROR(VLOOKUP(AA44,Curr!$B$2:$C$13,2,FALSE),0)</f>
        <v>11.3</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0"/>
        <v>0</v>
      </c>
      <c r="T45" s="5">
        <v>0</v>
      </c>
      <c r="U45" s="12">
        <f t="shared" si="6"/>
        <v>0</v>
      </c>
      <c r="V45" s="25" t="s">
        <v>10</v>
      </c>
      <c r="W45" s="11">
        <f>IFERROR(VLOOKUP(V45,[1]Curr!$B$2:$C$13,2,FALSE),0)</f>
        <v>11.3</v>
      </c>
      <c r="X45" s="12">
        <f t="shared" si="1"/>
        <v>0</v>
      </c>
      <c r="Y45" s="26">
        <f t="shared" si="11"/>
        <v>0</v>
      </c>
      <c r="Z45" s="12">
        <f t="shared" si="2"/>
        <v>0</v>
      </c>
      <c r="AA45" s="4" t="s">
        <v>10</v>
      </c>
      <c r="AB45" s="11">
        <f>IFERROR(VLOOKUP(AA45,Curr!$B$2:$C$13,2,FALSE),0)</f>
        <v>11.3</v>
      </c>
      <c r="AC45" s="12">
        <f t="shared" si="3"/>
        <v>0</v>
      </c>
      <c r="AD45" s="12">
        <f t="shared" si="4"/>
        <v>0</v>
      </c>
      <c r="AE45" s="13">
        <f t="shared" si="5"/>
        <v>0</v>
      </c>
    </row>
    <row r="46" spans="2:31" x14ac:dyDescent="0.25">
      <c r="B46" s="4"/>
      <c r="C46" s="1" t="s">
        <v>139</v>
      </c>
      <c r="D46" s="1" t="s">
        <v>75</v>
      </c>
      <c r="E46" s="3"/>
      <c r="F46" s="3"/>
      <c r="G46" s="24"/>
      <c r="H46" s="24"/>
      <c r="J46" s="1" t="s">
        <v>177</v>
      </c>
      <c r="K46" s="4"/>
      <c r="L46" s="4"/>
      <c r="M46" s="4"/>
      <c r="N46" s="4"/>
      <c r="O46" s="4" t="s">
        <v>42</v>
      </c>
      <c r="P46" s="33" t="s">
        <v>178</v>
      </c>
      <c r="Q46" s="25">
        <v>71</v>
      </c>
      <c r="R46" s="25">
        <v>2</v>
      </c>
      <c r="S46" s="12">
        <f t="shared" si="0"/>
        <v>142</v>
      </c>
      <c r="T46" s="5">
        <v>0.2</v>
      </c>
      <c r="U46" s="12">
        <f t="shared" si="6"/>
        <v>113.60000000000001</v>
      </c>
      <c r="V46" s="25" t="s">
        <v>10</v>
      </c>
      <c r="W46" s="11">
        <f>IFERROR(VLOOKUP(V46,[1]Curr!$B$2:$C$13,2,FALSE),0)</f>
        <v>11.3</v>
      </c>
      <c r="X46" s="12">
        <f t="shared" si="1"/>
        <v>1283.68</v>
      </c>
      <c r="Y46" s="26">
        <f t="shared" si="11"/>
        <v>71</v>
      </c>
      <c r="Z46" s="12">
        <f t="shared" si="2"/>
        <v>142</v>
      </c>
      <c r="AA46" s="4" t="s">
        <v>10</v>
      </c>
      <c r="AB46" s="11">
        <f>IFERROR(VLOOKUP(AA46,Curr!$B$2:$C$13,2,FALSE),0)</f>
        <v>11.3</v>
      </c>
      <c r="AC46" s="12">
        <f t="shared" si="3"/>
        <v>1604.6000000000001</v>
      </c>
      <c r="AD46" s="12">
        <f t="shared" si="4"/>
        <v>320.92000000000007</v>
      </c>
      <c r="AE46" s="13">
        <f t="shared" si="5"/>
        <v>0.20000000000000004</v>
      </c>
    </row>
    <row r="47" spans="2:31" x14ac:dyDescent="0.25">
      <c r="B47" s="4"/>
      <c r="C47" s="1" t="s">
        <v>139</v>
      </c>
      <c r="D47" s="1" t="s">
        <v>75</v>
      </c>
      <c r="E47" s="3"/>
      <c r="F47" s="3"/>
      <c r="G47" s="24"/>
      <c r="H47" s="24"/>
      <c r="J47" s="1" t="s">
        <v>171</v>
      </c>
      <c r="K47" s="4"/>
      <c r="L47" s="4"/>
      <c r="M47" s="4"/>
      <c r="N47" s="4"/>
      <c r="O47" s="4" t="s">
        <v>42</v>
      </c>
      <c r="P47" s="33" t="s">
        <v>172</v>
      </c>
      <c r="Q47" s="25">
        <v>175</v>
      </c>
      <c r="R47" s="25">
        <v>2</v>
      </c>
      <c r="S47" s="12">
        <f t="shared" si="0"/>
        <v>350</v>
      </c>
      <c r="T47" s="5">
        <v>0</v>
      </c>
      <c r="U47" s="12">
        <f t="shared" si="6"/>
        <v>350</v>
      </c>
      <c r="V47" s="25" t="s">
        <v>8</v>
      </c>
      <c r="W47" s="11">
        <f>IFERROR(VLOOKUP(V47,[1]Curr!$B$2:$C$13,2,FALSE),0)</f>
        <v>1</v>
      </c>
      <c r="X47" s="12">
        <f t="shared" si="1"/>
        <v>350</v>
      </c>
      <c r="Y47" s="26">
        <f>Q47/11.3/0.5</f>
        <v>30.973451327433626</v>
      </c>
      <c r="Z47" s="12">
        <f t="shared" si="2"/>
        <v>61.946902654867252</v>
      </c>
      <c r="AA47" s="4" t="s">
        <v>10</v>
      </c>
      <c r="AB47" s="11">
        <f>IFERROR(VLOOKUP(AA47,Curr!$B$2:$C$13,2,FALSE),0)</f>
        <v>11.3</v>
      </c>
      <c r="AC47" s="12">
        <f t="shared" si="3"/>
        <v>700</v>
      </c>
      <c r="AD47" s="12">
        <f t="shared" si="4"/>
        <v>350</v>
      </c>
      <c r="AE47" s="13">
        <f t="shared" si="5"/>
        <v>0.5</v>
      </c>
    </row>
    <row r="48" spans="2:31" x14ac:dyDescent="0.25">
      <c r="B48" s="4"/>
      <c r="C48" s="1" t="s">
        <v>139</v>
      </c>
      <c r="D48" s="1" t="s">
        <v>68</v>
      </c>
      <c r="E48" s="3"/>
      <c r="F48" s="3"/>
      <c r="G48" s="24"/>
      <c r="H48" s="24"/>
      <c r="J48" s="1" t="s">
        <v>169</v>
      </c>
      <c r="K48" s="4"/>
      <c r="L48" s="4"/>
      <c r="M48" s="4"/>
      <c r="N48" s="4"/>
      <c r="O48" s="4"/>
      <c r="P48" s="33"/>
      <c r="Q48" s="25">
        <v>0</v>
      </c>
      <c r="R48" s="25">
        <v>0</v>
      </c>
      <c r="S48" s="12">
        <f t="shared" si="0"/>
        <v>0</v>
      </c>
      <c r="T48" s="5">
        <v>0</v>
      </c>
      <c r="U48" s="12">
        <f t="shared" si="6"/>
        <v>0</v>
      </c>
      <c r="V48" s="25" t="s">
        <v>10</v>
      </c>
      <c r="W48" s="11">
        <f>IFERROR(VLOOKUP(V48,[1]Curr!$B$2:$C$13,2,FALSE),0)</f>
        <v>11.3</v>
      </c>
      <c r="X48" s="12">
        <f t="shared" si="1"/>
        <v>0</v>
      </c>
      <c r="Y48" s="26">
        <f t="shared" si="11"/>
        <v>0</v>
      </c>
      <c r="Z48" s="12">
        <f t="shared" si="2"/>
        <v>0</v>
      </c>
      <c r="AA48" s="4" t="s">
        <v>10</v>
      </c>
      <c r="AB48" s="11">
        <f>IFERROR(VLOOKUP(AA48,Curr!$B$2:$C$13,2,FALSE),0)</f>
        <v>11.3</v>
      </c>
      <c r="AC48" s="12">
        <f t="shared" si="3"/>
        <v>0</v>
      </c>
      <c r="AD48" s="12">
        <f t="shared" si="4"/>
        <v>0</v>
      </c>
      <c r="AE48" s="13">
        <f t="shared" si="5"/>
        <v>0</v>
      </c>
    </row>
    <row r="49" spans="2:31" x14ac:dyDescent="0.25">
      <c r="B49" s="4"/>
      <c r="E49" s="3"/>
      <c r="F49" s="3"/>
      <c r="G49" s="24"/>
      <c r="H49" s="24"/>
      <c r="K49" s="4"/>
      <c r="L49" s="4"/>
      <c r="M49" s="4"/>
      <c r="N49" s="4"/>
      <c r="O49" s="4"/>
      <c r="P49" s="27"/>
      <c r="Q49" s="25"/>
      <c r="R49" s="25"/>
      <c r="S49" s="12">
        <f t="shared" si="0"/>
        <v>0</v>
      </c>
      <c r="T49" s="5">
        <v>0</v>
      </c>
      <c r="U49" s="12">
        <f t="shared" si="6"/>
        <v>0</v>
      </c>
      <c r="V49" s="25" t="s">
        <v>10</v>
      </c>
      <c r="W49" s="11">
        <f>IFERROR(VLOOKUP(V49,[1]Curr!$B$2:$C$13,2,FALSE),0)</f>
        <v>11.3</v>
      </c>
      <c r="X49" s="12">
        <f t="shared" si="1"/>
        <v>0</v>
      </c>
      <c r="Y49" s="26">
        <f t="shared" si="11"/>
        <v>0</v>
      </c>
      <c r="Z49" s="12">
        <f t="shared" si="2"/>
        <v>0</v>
      </c>
      <c r="AA49" s="4" t="s">
        <v>10</v>
      </c>
      <c r="AB49" s="11">
        <f>IFERROR(VLOOKUP(AA49,Curr!$B$2:$C$13,2,FALSE),0)</f>
        <v>11.3</v>
      </c>
      <c r="AC49" s="12">
        <f t="shared" si="3"/>
        <v>0</v>
      </c>
      <c r="AD49" s="12">
        <f t="shared" si="4"/>
        <v>0</v>
      </c>
      <c r="AE49" s="13">
        <f t="shared" si="5"/>
        <v>0</v>
      </c>
    </row>
    <row r="50" spans="2:31" x14ac:dyDescent="0.25">
      <c r="B50" s="4"/>
      <c r="C50" s="1" t="s">
        <v>155</v>
      </c>
      <c r="D50" s="1" t="s">
        <v>66</v>
      </c>
      <c r="E50" s="3"/>
      <c r="F50" s="3"/>
      <c r="G50" s="24"/>
      <c r="H50" s="24"/>
      <c r="J50" s="1" t="s">
        <v>176</v>
      </c>
      <c r="K50" s="4"/>
      <c r="L50" s="4"/>
      <c r="M50" s="4"/>
      <c r="N50" s="4"/>
      <c r="O50" s="4"/>
      <c r="P50" s="33"/>
      <c r="Q50" s="25">
        <v>0</v>
      </c>
      <c r="R50" s="25">
        <v>0</v>
      </c>
      <c r="S50" s="12">
        <f t="shared" si="0"/>
        <v>0</v>
      </c>
      <c r="T50" s="5">
        <v>0.15</v>
      </c>
      <c r="U50" s="12">
        <f t="shared" si="6"/>
        <v>0</v>
      </c>
      <c r="V50" s="25" t="s">
        <v>8</v>
      </c>
      <c r="W50" s="11">
        <f>IFERROR(VLOOKUP(V50,[1]Curr!$B$2:$C$13,2,FALSE),0)</f>
        <v>1</v>
      </c>
      <c r="X50" s="12">
        <f t="shared" si="1"/>
        <v>0</v>
      </c>
      <c r="Y50" s="26">
        <f>Q50/11.3</f>
        <v>0</v>
      </c>
      <c r="Z50" s="12">
        <f t="shared" si="2"/>
        <v>0</v>
      </c>
      <c r="AA50" s="4" t="s">
        <v>10</v>
      </c>
      <c r="AB50" s="11">
        <f>IFERROR(VLOOKUP(AA50,Curr!$B$2:$C$13,2,FALSE),0)</f>
        <v>11.3</v>
      </c>
      <c r="AC50" s="12">
        <f t="shared" si="3"/>
        <v>0</v>
      </c>
      <c r="AD50" s="12">
        <f t="shared" si="4"/>
        <v>0</v>
      </c>
      <c r="AE50" s="13">
        <f t="shared" si="5"/>
        <v>0</v>
      </c>
    </row>
    <row r="51" spans="2:31" x14ac:dyDescent="0.25">
      <c r="B51" s="4"/>
      <c r="C51" s="1" t="s">
        <v>155</v>
      </c>
      <c r="D51" s="1" t="s">
        <v>97</v>
      </c>
      <c r="E51" s="3"/>
      <c r="F51" s="3"/>
      <c r="G51" s="24"/>
      <c r="H51" s="24"/>
      <c r="J51" s="1" t="s">
        <v>174</v>
      </c>
      <c r="K51" s="4"/>
      <c r="L51" s="4"/>
      <c r="M51" s="4"/>
      <c r="N51" s="4"/>
      <c r="O51" s="4" t="s">
        <v>42</v>
      </c>
      <c r="P51" s="33" t="s">
        <v>175</v>
      </c>
      <c r="Q51" s="25">
        <v>2500</v>
      </c>
      <c r="R51" s="25">
        <v>1</v>
      </c>
      <c r="S51" s="12">
        <f t="shared" si="0"/>
        <v>2500</v>
      </c>
      <c r="T51" s="5">
        <v>0</v>
      </c>
      <c r="U51" s="12">
        <f t="shared" si="6"/>
        <v>2500</v>
      </c>
      <c r="V51" s="25" t="s">
        <v>8</v>
      </c>
      <c r="W51" s="11">
        <f>IFERROR(VLOOKUP(V51,[1]Curr!$B$2:$C$13,2,FALSE),0)</f>
        <v>1</v>
      </c>
      <c r="X51" s="12">
        <f t="shared" si="1"/>
        <v>2500</v>
      </c>
      <c r="Y51" s="26">
        <f>Q51/11.3/0.8</f>
        <v>276.54867256637164</v>
      </c>
      <c r="Z51" s="12">
        <f t="shared" si="2"/>
        <v>276.54867256637164</v>
      </c>
      <c r="AA51" s="4" t="s">
        <v>10</v>
      </c>
      <c r="AB51" s="11">
        <f>IFERROR(VLOOKUP(AA51,Curr!$B$2:$C$13,2,FALSE),0)</f>
        <v>11.3</v>
      </c>
      <c r="AC51" s="12">
        <f t="shared" si="3"/>
        <v>3124.9999999999995</v>
      </c>
      <c r="AD51" s="12">
        <f t="shared" si="4"/>
        <v>624.99999999999955</v>
      </c>
      <c r="AE51" s="13">
        <f t="shared" si="5"/>
        <v>0.19999999999999987</v>
      </c>
    </row>
    <row r="52" spans="2:31" x14ac:dyDescent="0.25">
      <c r="B52" s="4"/>
      <c r="C52" s="1" t="s">
        <v>155</v>
      </c>
      <c r="D52" s="1" t="s">
        <v>66</v>
      </c>
      <c r="E52" s="3"/>
      <c r="F52" s="3"/>
      <c r="G52" s="24"/>
      <c r="H52" s="24"/>
      <c r="J52" s="1" t="s">
        <v>164</v>
      </c>
      <c r="K52" s="4"/>
      <c r="L52" s="4"/>
      <c r="M52" s="4"/>
      <c r="N52" s="4"/>
      <c r="O52" s="4"/>
      <c r="P52" s="27"/>
      <c r="Q52" s="25">
        <v>0</v>
      </c>
      <c r="R52" s="25">
        <v>0</v>
      </c>
      <c r="S52" s="12">
        <f t="shared" si="0"/>
        <v>0</v>
      </c>
      <c r="T52" s="5">
        <v>0</v>
      </c>
      <c r="U52" s="12">
        <f t="shared" si="6"/>
        <v>0</v>
      </c>
      <c r="V52" s="25" t="s">
        <v>8</v>
      </c>
      <c r="W52" s="11">
        <f>IFERROR(VLOOKUP(V52,[1]Curr!$B$2:$C$13,2,FALSE),0)</f>
        <v>1</v>
      </c>
      <c r="X52" s="12">
        <f t="shared" si="1"/>
        <v>0</v>
      </c>
      <c r="Y52" s="26">
        <f>Q52/11.3/0.8</f>
        <v>0</v>
      </c>
      <c r="Z52" s="12">
        <f t="shared" si="2"/>
        <v>0</v>
      </c>
      <c r="AA52" s="4" t="s">
        <v>10</v>
      </c>
      <c r="AB52" s="11">
        <f>IFERROR(VLOOKUP(AA52,Curr!$B$2:$C$13,2,FALSE),0)</f>
        <v>11.3</v>
      </c>
      <c r="AC52" s="12">
        <f t="shared" si="3"/>
        <v>0</v>
      </c>
      <c r="AD52" s="12">
        <f t="shared" si="4"/>
        <v>0</v>
      </c>
      <c r="AE52" s="13">
        <f t="shared" si="5"/>
        <v>0</v>
      </c>
    </row>
    <row r="53" spans="2:31" x14ac:dyDescent="0.25">
      <c r="B53" s="4"/>
      <c r="C53" s="1" t="s">
        <v>155</v>
      </c>
      <c r="D53" s="1" t="s">
        <v>67</v>
      </c>
      <c r="E53" s="3"/>
      <c r="F53" s="3"/>
      <c r="G53" s="24"/>
      <c r="H53" s="24"/>
      <c r="J53" s="1" t="s">
        <v>213</v>
      </c>
      <c r="K53" s="4"/>
      <c r="L53" s="4"/>
      <c r="M53" s="4"/>
      <c r="N53" s="4"/>
      <c r="O53" s="4"/>
      <c r="P53" s="33"/>
      <c r="Q53" s="25">
        <v>250</v>
      </c>
      <c r="R53" s="25">
        <v>1</v>
      </c>
      <c r="S53" s="12">
        <f t="shared" si="0"/>
        <v>250</v>
      </c>
      <c r="T53" s="5">
        <v>0</v>
      </c>
      <c r="U53" s="12">
        <f t="shared" si="6"/>
        <v>250</v>
      </c>
      <c r="V53" s="25" t="s">
        <v>10</v>
      </c>
      <c r="W53" s="11">
        <f>IFERROR(VLOOKUP(V53,[1]Curr!$B$2:$C$13,2,FALSE),0)</f>
        <v>11.3</v>
      </c>
      <c r="X53" s="12">
        <f t="shared" si="1"/>
        <v>2825</v>
      </c>
      <c r="Y53" s="26">
        <f>Q53/0.85</f>
        <v>294.11764705882354</v>
      </c>
      <c r="Z53" s="12">
        <f t="shared" si="2"/>
        <v>294.11764705882354</v>
      </c>
      <c r="AA53" s="4" t="s">
        <v>10</v>
      </c>
      <c r="AB53" s="11">
        <f>IFERROR(VLOOKUP(AA53,Curr!$B$2:$C$13,2,FALSE),0)</f>
        <v>11.3</v>
      </c>
      <c r="AC53" s="12">
        <f t="shared" si="3"/>
        <v>3323.5294117647063</v>
      </c>
      <c r="AD53" s="12">
        <f t="shared" si="4"/>
        <v>498.52941176470631</v>
      </c>
      <c r="AE53" s="13">
        <f t="shared" si="5"/>
        <v>0.15000000000000011</v>
      </c>
    </row>
    <row r="54" spans="2:31" x14ac:dyDescent="0.25">
      <c r="B54" s="4"/>
      <c r="C54" s="1" t="s">
        <v>155</v>
      </c>
      <c r="D54" s="1" t="s">
        <v>68</v>
      </c>
      <c r="E54" s="3"/>
      <c r="F54" s="3"/>
      <c r="G54" s="24"/>
      <c r="H54" s="24"/>
      <c r="J54" s="1" t="s">
        <v>166</v>
      </c>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ref="Y54" si="12">Q54</f>
        <v>0</v>
      </c>
      <c r="Z54" s="12">
        <f t="shared" si="2"/>
        <v>0</v>
      </c>
      <c r="AA54" s="4" t="s">
        <v>10</v>
      </c>
      <c r="AB54" s="11">
        <f>IFERROR(VLOOKUP(AA54,Curr!$B$2:$C$13,2,FALSE),0)</f>
        <v>11.3</v>
      </c>
      <c r="AC54" s="12">
        <f t="shared" si="3"/>
        <v>0</v>
      </c>
      <c r="AD54" s="12">
        <f t="shared" si="4"/>
        <v>0</v>
      </c>
      <c r="AE54" s="13">
        <f t="shared" si="5"/>
        <v>0</v>
      </c>
    </row>
    <row r="55" spans="2:31" x14ac:dyDescent="0.25">
      <c r="B55" s="4"/>
      <c r="E55" s="3"/>
      <c r="F55" s="3"/>
      <c r="G55" s="24"/>
      <c r="H55" s="24"/>
      <c r="K55" s="4"/>
      <c r="L55" s="4"/>
      <c r="M55" s="4"/>
      <c r="N55" s="4"/>
      <c r="O55" s="4"/>
      <c r="P55" s="27"/>
      <c r="Q55" s="25"/>
      <c r="R55" s="25"/>
      <c r="S55" s="12">
        <f t="shared" si="0"/>
        <v>0</v>
      </c>
      <c r="T55" s="5">
        <v>0</v>
      </c>
      <c r="U55" s="12">
        <f t="shared" si="6"/>
        <v>0</v>
      </c>
      <c r="V55" s="25" t="s">
        <v>10</v>
      </c>
      <c r="W55" s="11">
        <f>IFERROR(VLOOKUP(V55,[1]Curr!$B$2:$C$13,2,FALSE),0)</f>
        <v>11.3</v>
      </c>
      <c r="X55" s="12">
        <f t="shared" si="1"/>
        <v>0</v>
      </c>
      <c r="Y55" s="26">
        <f t="shared" si="11"/>
        <v>0</v>
      </c>
      <c r="Z55" s="12">
        <f t="shared" si="2"/>
        <v>0</v>
      </c>
      <c r="AA55" s="4" t="s">
        <v>10</v>
      </c>
      <c r="AB55" s="11">
        <f>IFERROR(VLOOKUP(AA55,Curr!$B$2:$C$13,2,FALSE),0)</f>
        <v>11.3</v>
      </c>
      <c r="AC55" s="12">
        <f t="shared" si="3"/>
        <v>0</v>
      </c>
      <c r="AD55" s="12">
        <f t="shared" si="4"/>
        <v>0</v>
      </c>
      <c r="AE55" s="13">
        <f t="shared" si="5"/>
        <v>0</v>
      </c>
    </row>
    <row r="56" spans="2:31" x14ac:dyDescent="0.25">
      <c r="B56" s="4"/>
      <c r="C56" s="1" t="s">
        <v>181</v>
      </c>
      <c r="D56" s="1" t="s">
        <v>75</v>
      </c>
      <c r="E56" s="3"/>
      <c r="F56" s="3"/>
      <c r="G56" s="24"/>
      <c r="H56" s="24"/>
      <c r="J56" s="1" t="s">
        <v>179</v>
      </c>
      <c r="K56" s="4"/>
      <c r="L56" s="4"/>
      <c r="M56" s="4"/>
      <c r="N56" s="4"/>
      <c r="O56" s="4" t="s">
        <v>42</v>
      </c>
      <c r="P56" s="33" t="s">
        <v>180</v>
      </c>
      <c r="Q56" s="25">
        <v>325</v>
      </c>
      <c r="R56" s="25">
        <v>2</v>
      </c>
      <c r="S56" s="12">
        <f t="shared" si="0"/>
        <v>650</v>
      </c>
      <c r="T56" s="5">
        <v>0</v>
      </c>
      <c r="U56" s="12">
        <f t="shared" si="6"/>
        <v>650</v>
      </c>
      <c r="V56" s="25" t="s">
        <v>8</v>
      </c>
      <c r="W56" s="11">
        <f>IFERROR(VLOOKUP(V56,[1]Curr!$B$2:$C$13,2,FALSE),0)</f>
        <v>1</v>
      </c>
      <c r="X56" s="12">
        <f t="shared" si="1"/>
        <v>650</v>
      </c>
      <c r="Y56" s="26">
        <f>Q56/11.3/0.72</f>
        <v>39.945919370698135</v>
      </c>
      <c r="Z56" s="12">
        <f t="shared" si="2"/>
        <v>79.891838741396271</v>
      </c>
      <c r="AA56" s="4" t="s">
        <v>10</v>
      </c>
      <c r="AB56" s="11">
        <f>IFERROR(VLOOKUP(AA56,Curr!$B$2:$C$13,2,FALSE),0)</f>
        <v>11.3</v>
      </c>
      <c r="AC56" s="12">
        <f t="shared" si="3"/>
        <v>902.77777777777794</v>
      </c>
      <c r="AD56" s="12">
        <f t="shared" si="4"/>
        <v>252.77777777777794</v>
      </c>
      <c r="AE56" s="13">
        <f t="shared" si="5"/>
        <v>0.28000000000000014</v>
      </c>
    </row>
    <row r="57" spans="2:31" x14ac:dyDescent="0.25">
      <c r="B57" s="4"/>
      <c r="C57" s="1" t="s">
        <v>181</v>
      </c>
      <c r="D57" s="1" t="s">
        <v>68</v>
      </c>
      <c r="E57" s="3"/>
      <c r="F57" s="3"/>
      <c r="G57" s="24"/>
      <c r="H57" s="24"/>
      <c r="J57" s="1" t="s">
        <v>166</v>
      </c>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11"/>
        <v>0</v>
      </c>
      <c r="Z57" s="12">
        <f t="shared" si="2"/>
        <v>0</v>
      </c>
      <c r="AA57" s="4" t="s">
        <v>10</v>
      </c>
      <c r="AB57" s="11">
        <f>IFERROR(VLOOKUP(AA57,Curr!$B$2:$C$13,2,FALSE),0)</f>
        <v>11.3</v>
      </c>
      <c r="AC57" s="12">
        <f t="shared" si="3"/>
        <v>0</v>
      </c>
      <c r="AD57" s="12">
        <f t="shared" si="4"/>
        <v>0</v>
      </c>
      <c r="AE57" s="13">
        <f t="shared" si="5"/>
        <v>0</v>
      </c>
    </row>
    <row r="58" spans="2:31" x14ac:dyDescent="0.25">
      <c r="B58" s="4"/>
      <c r="E58" s="3"/>
      <c r="F58" s="3"/>
      <c r="G58" s="24"/>
      <c r="H58" s="24"/>
      <c r="K58" s="4"/>
      <c r="L58" s="4"/>
      <c r="M58" s="4"/>
      <c r="N58" s="4"/>
      <c r="O58" s="4"/>
      <c r="P58" s="33"/>
      <c r="Q58" s="25"/>
      <c r="R58" s="25"/>
      <c r="S58" s="12">
        <f t="shared" si="0"/>
        <v>0</v>
      </c>
      <c r="T58" s="5">
        <v>0</v>
      </c>
      <c r="U58" s="12">
        <f t="shared" si="6"/>
        <v>0</v>
      </c>
      <c r="V58" s="25" t="s">
        <v>10</v>
      </c>
      <c r="W58" s="11">
        <f>IFERROR(VLOOKUP(V58,[1]Curr!$B$2:$C$13,2,FALSE),0)</f>
        <v>11.3</v>
      </c>
      <c r="X58" s="12">
        <f t="shared" si="1"/>
        <v>0</v>
      </c>
      <c r="Y58" s="26">
        <f t="shared" si="11"/>
        <v>0</v>
      </c>
      <c r="Z58" s="12">
        <f t="shared" si="2"/>
        <v>0</v>
      </c>
      <c r="AA58" s="4" t="s">
        <v>10</v>
      </c>
      <c r="AB58" s="11">
        <f>IFERROR(VLOOKUP(AA58,Curr!$B$2:$C$13,2,FALSE),0)</f>
        <v>11.3</v>
      </c>
      <c r="AC58" s="12">
        <f t="shared" si="3"/>
        <v>0</v>
      </c>
      <c r="AD58" s="12">
        <f t="shared" si="4"/>
        <v>0</v>
      </c>
      <c r="AE58" s="13">
        <f t="shared" si="5"/>
        <v>0</v>
      </c>
    </row>
    <row r="59" spans="2:31" x14ac:dyDescent="0.25">
      <c r="B59" s="4"/>
      <c r="C59" s="1" t="s">
        <v>182</v>
      </c>
      <c r="D59" s="1" t="s">
        <v>66</v>
      </c>
      <c r="E59" s="3"/>
      <c r="F59" s="3"/>
      <c r="G59" s="24"/>
      <c r="H59" s="24"/>
      <c r="J59" s="1" t="s">
        <v>163</v>
      </c>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11"/>
        <v>0</v>
      </c>
      <c r="Z59" s="12">
        <f t="shared" si="2"/>
        <v>0</v>
      </c>
      <c r="AA59" s="4" t="s">
        <v>10</v>
      </c>
      <c r="AB59" s="11">
        <f>IFERROR(VLOOKUP(AA59,Curr!$B$2:$C$13,2,FALSE),0)</f>
        <v>11.3</v>
      </c>
      <c r="AC59" s="12">
        <f t="shared" si="3"/>
        <v>0</v>
      </c>
      <c r="AD59" s="12">
        <f t="shared" si="4"/>
        <v>0</v>
      </c>
      <c r="AE59" s="13">
        <f t="shared" si="5"/>
        <v>0</v>
      </c>
    </row>
    <row r="60" spans="2:31" x14ac:dyDescent="0.25">
      <c r="B60" s="4"/>
      <c r="C60" s="1" t="s">
        <v>182</v>
      </c>
      <c r="D60" s="1" t="s">
        <v>85</v>
      </c>
      <c r="E60" s="3"/>
      <c r="F60" s="3"/>
      <c r="G60" s="24"/>
      <c r="H60" s="24"/>
      <c r="J60" s="1" t="s">
        <v>162</v>
      </c>
      <c r="K60" s="4"/>
      <c r="L60" s="4"/>
      <c r="M60" s="4"/>
      <c r="N60" s="4"/>
      <c r="O60" s="4"/>
      <c r="P60" s="33"/>
      <c r="Q60" s="25">
        <v>0</v>
      </c>
      <c r="R60" s="25">
        <v>0</v>
      </c>
      <c r="S60" s="12">
        <f t="shared" si="0"/>
        <v>0</v>
      </c>
      <c r="T60" s="5">
        <v>0</v>
      </c>
      <c r="U60" s="12">
        <f t="shared" si="6"/>
        <v>0</v>
      </c>
      <c r="V60" s="25" t="s">
        <v>10</v>
      </c>
      <c r="W60" s="11">
        <f>IFERROR(VLOOKUP(V60,[1]Curr!$B$2:$C$13,2,FALSE),0)</f>
        <v>11.3</v>
      </c>
      <c r="X60" s="12">
        <f t="shared" si="1"/>
        <v>0</v>
      </c>
      <c r="Y60" s="26">
        <f t="shared" si="11"/>
        <v>0</v>
      </c>
      <c r="Z60" s="12">
        <f t="shared" si="2"/>
        <v>0</v>
      </c>
      <c r="AA60" s="4" t="s">
        <v>10</v>
      </c>
      <c r="AB60" s="11">
        <f>IFERROR(VLOOKUP(AA60,Curr!$B$2:$C$13,2,FALSE),0)</f>
        <v>11.3</v>
      </c>
      <c r="AC60" s="12">
        <f t="shared" si="3"/>
        <v>0</v>
      </c>
      <c r="AD60" s="12">
        <f t="shared" si="4"/>
        <v>0</v>
      </c>
      <c r="AE60" s="13">
        <f t="shared" si="5"/>
        <v>0</v>
      </c>
    </row>
    <row r="61" spans="2:31" x14ac:dyDescent="0.25">
      <c r="B61" s="4"/>
      <c r="E61" s="3"/>
      <c r="F61" s="3"/>
      <c r="G61" s="24"/>
      <c r="H61" s="24"/>
      <c r="K61" s="4"/>
      <c r="L61" s="4"/>
      <c r="M61" s="4"/>
      <c r="N61" s="4"/>
      <c r="O61" s="4"/>
      <c r="P61" s="27"/>
      <c r="Q61" s="25"/>
      <c r="R61" s="25"/>
      <c r="S61" s="12">
        <f t="shared" si="0"/>
        <v>0</v>
      </c>
      <c r="T61" s="5">
        <v>0</v>
      </c>
      <c r="U61" s="12">
        <f t="shared" si="6"/>
        <v>0</v>
      </c>
      <c r="V61" s="25" t="s">
        <v>10</v>
      </c>
      <c r="W61" s="11">
        <f>IFERROR(VLOOKUP(V61,[1]Curr!$B$2:$C$13,2,FALSE),0)</f>
        <v>11.3</v>
      </c>
      <c r="X61" s="12">
        <f t="shared" si="1"/>
        <v>0</v>
      </c>
      <c r="Y61" s="26">
        <f t="shared" si="8"/>
        <v>0</v>
      </c>
      <c r="Z61" s="12">
        <f t="shared" si="2"/>
        <v>0</v>
      </c>
      <c r="AA61" s="4" t="s">
        <v>10</v>
      </c>
      <c r="AB61" s="11">
        <f>IFERROR(VLOOKUP(AA61,Curr!$B$2:$C$13,2,FALSE),0)</f>
        <v>11.3</v>
      </c>
      <c r="AC61" s="12">
        <f t="shared" si="3"/>
        <v>0</v>
      </c>
      <c r="AD61" s="12">
        <f t="shared" si="4"/>
        <v>0</v>
      </c>
      <c r="AE61" s="13">
        <f t="shared" si="5"/>
        <v>0</v>
      </c>
    </row>
    <row r="62" spans="2:31" x14ac:dyDescent="0.25">
      <c r="B62" s="4"/>
      <c r="E62" s="3"/>
      <c r="F62" s="3"/>
      <c r="G62" s="24"/>
      <c r="H62" s="24"/>
      <c r="K62" s="4"/>
      <c r="L62" s="4"/>
      <c r="M62" s="4"/>
      <c r="N62" s="4"/>
      <c r="O62" s="4"/>
      <c r="P62" s="27"/>
      <c r="Q62" s="25"/>
      <c r="R62" s="25"/>
      <c r="S62" s="12">
        <f t="shared" si="0"/>
        <v>0</v>
      </c>
      <c r="T62" s="5">
        <v>0</v>
      </c>
      <c r="U62" s="12">
        <f t="shared" si="6"/>
        <v>0</v>
      </c>
      <c r="V62" s="25" t="s">
        <v>10</v>
      </c>
      <c r="W62" s="11">
        <f>IFERROR(VLOOKUP(V62,[1]Curr!$B$2:$C$13,2,FALSE),0)</f>
        <v>11.3</v>
      </c>
      <c r="X62" s="12">
        <f t="shared" si="1"/>
        <v>0</v>
      </c>
      <c r="Y62" s="26">
        <f t="shared" si="8"/>
        <v>0</v>
      </c>
      <c r="Z62" s="12">
        <f t="shared" si="2"/>
        <v>0</v>
      </c>
      <c r="AA62" s="4" t="s">
        <v>10</v>
      </c>
      <c r="AB62" s="11">
        <f>IFERROR(VLOOKUP(AA62,Curr!$B$2:$C$13,2,FALSE),0)</f>
        <v>11.3</v>
      </c>
      <c r="AC62" s="12">
        <f t="shared" si="3"/>
        <v>0</v>
      </c>
      <c r="AD62" s="12">
        <f t="shared" si="4"/>
        <v>0</v>
      </c>
      <c r="AE62" s="13">
        <f t="shared" si="5"/>
        <v>0</v>
      </c>
    </row>
    <row r="63" spans="2:31" x14ac:dyDescent="0.25">
      <c r="B63" s="4"/>
      <c r="C63" s="1" t="s">
        <v>64</v>
      </c>
      <c r="D63" s="1" t="s">
        <v>112</v>
      </c>
      <c r="E63" s="3"/>
      <c r="F63" s="3"/>
      <c r="G63" s="24"/>
      <c r="H63" s="24"/>
      <c r="J63" s="1" t="s">
        <v>73</v>
      </c>
      <c r="K63" s="4"/>
      <c r="L63" s="4"/>
      <c r="M63" s="4"/>
      <c r="N63" s="4"/>
      <c r="O63" s="4"/>
      <c r="P63" s="27"/>
      <c r="Q63" s="25">
        <v>80</v>
      </c>
      <c r="R63" s="25">
        <v>0</v>
      </c>
      <c r="S63" s="12">
        <f t="shared" si="0"/>
        <v>0</v>
      </c>
      <c r="T63" s="5">
        <v>0</v>
      </c>
      <c r="U63" s="12">
        <f t="shared" si="6"/>
        <v>0</v>
      </c>
      <c r="V63" s="25" t="s">
        <v>10</v>
      </c>
      <c r="W63" s="11">
        <f>IFERROR(VLOOKUP(V63,[1]Curr!$B$2:$C$13,2,FALSE),0)</f>
        <v>11.3</v>
      </c>
      <c r="X63" s="12">
        <f t="shared" si="1"/>
        <v>0</v>
      </c>
      <c r="Y63" s="26">
        <f>Q63/0.8</f>
        <v>100</v>
      </c>
      <c r="Z63" s="12">
        <f t="shared" si="2"/>
        <v>0</v>
      </c>
      <c r="AA63" s="4" t="s">
        <v>10</v>
      </c>
      <c r="AB63" s="11">
        <f>IFERROR(VLOOKUP(AA63,Curr!$B$2:$C$13,2,FALSE),0)</f>
        <v>11.3</v>
      </c>
      <c r="AC63" s="12">
        <f t="shared" si="3"/>
        <v>0</v>
      </c>
      <c r="AD63" s="12">
        <f t="shared" si="4"/>
        <v>0</v>
      </c>
      <c r="AE63" s="13">
        <f t="shared" si="5"/>
        <v>0</v>
      </c>
    </row>
    <row r="64" spans="2:31" x14ac:dyDescent="0.25">
      <c r="B64" s="4"/>
      <c r="C64" s="1" t="s">
        <v>77</v>
      </c>
      <c r="D64" s="1" t="s">
        <v>112</v>
      </c>
      <c r="E64" s="3"/>
      <c r="F64" s="3"/>
      <c r="G64" s="24"/>
      <c r="H64" s="24"/>
      <c r="J64" s="1" t="s">
        <v>70</v>
      </c>
      <c r="K64" s="4"/>
      <c r="L64" s="4"/>
      <c r="M64" s="4"/>
      <c r="N64" s="4"/>
      <c r="O64" s="4"/>
      <c r="P64" s="27"/>
      <c r="Q64" s="25">
        <v>40</v>
      </c>
      <c r="R64" s="25">
        <v>0</v>
      </c>
      <c r="S64" s="12">
        <f t="shared" si="0"/>
        <v>0</v>
      </c>
      <c r="T64" s="5">
        <v>0</v>
      </c>
      <c r="U64" s="12">
        <f t="shared" si="6"/>
        <v>0</v>
      </c>
      <c r="V64" s="25" t="s">
        <v>10</v>
      </c>
      <c r="W64" s="11">
        <f>IFERROR(VLOOKUP(V64,[1]Curr!$B$2:$C$13,2,FALSE),0)</f>
        <v>11.3</v>
      </c>
      <c r="X64" s="12">
        <f t="shared" si="1"/>
        <v>0</v>
      </c>
      <c r="Y64" s="26">
        <f t="shared" ref="Y64:Y65" si="13">Q64</f>
        <v>40</v>
      </c>
      <c r="Z64" s="12">
        <f t="shared" si="2"/>
        <v>0</v>
      </c>
      <c r="AA64" s="4" t="s">
        <v>10</v>
      </c>
      <c r="AB64" s="11">
        <f>IFERROR(VLOOKUP(AA64,Curr!$B$2:$C$13,2,FALSE),0)</f>
        <v>11.3</v>
      </c>
      <c r="AC64" s="12">
        <f t="shared" si="3"/>
        <v>0</v>
      </c>
      <c r="AD64" s="12">
        <f t="shared" si="4"/>
        <v>0</v>
      </c>
      <c r="AE64" s="13">
        <f t="shared" si="5"/>
        <v>0</v>
      </c>
    </row>
    <row r="65" spans="2:31" x14ac:dyDescent="0.25">
      <c r="B65" s="4"/>
      <c r="C65" s="1" t="s">
        <v>82</v>
      </c>
      <c r="D65" s="1" t="s">
        <v>112</v>
      </c>
      <c r="E65" s="3"/>
      <c r="F65" s="3"/>
      <c r="G65" s="24"/>
      <c r="H65" s="24"/>
      <c r="J65" s="1" t="s">
        <v>107</v>
      </c>
      <c r="K65" s="4"/>
      <c r="L65" s="4"/>
      <c r="M65" s="4"/>
      <c r="N65" s="4"/>
      <c r="O65" s="4"/>
      <c r="P65" s="27"/>
      <c r="Q65" s="25">
        <v>40</v>
      </c>
      <c r="R65" s="25">
        <v>0</v>
      </c>
      <c r="S65" s="12">
        <f t="shared" si="0"/>
        <v>0</v>
      </c>
      <c r="T65" s="5">
        <v>0</v>
      </c>
      <c r="U65" s="12">
        <f t="shared" si="6"/>
        <v>0</v>
      </c>
      <c r="V65" s="25" t="s">
        <v>10</v>
      </c>
      <c r="W65" s="11">
        <f>IFERROR(VLOOKUP(V65,[1]Curr!$B$2:$C$13,2,FALSE),0)</f>
        <v>11.3</v>
      </c>
      <c r="X65" s="12">
        <f t="shared" si="1"/>
        <v>0</v>
      </c>
      <c r="Y65" s="26">
        <f t="shared" si="13"/>
        <v>40</v>
      </c>
      <c r="Z65" s="12">
        <f t="shared" si="2"/>
        <v>0</v>
      </c>
      <c r="AA65" s="4" t="s">
        <v>10</v>
      </c>
      <c r="AB65" s="11">
        <f>IFERROR(VLOOKUP(AA65,Curr!$B$2:$C$13,2,FALSE),0)</f>
        <v>11.3</v>
      </c>
      <c r="AC65" s="12">
        <f t="shared" si="3"/>
        <v>0</v>
      </c>
      <c r="AD65" s="12">
        <f t="shared" si="4"/>
        <v>0</v>
      </c>
      <c r="AE65" s="13">
        <f t="shared" si="5"/>
        <v>0</v>
      </c>
    </row>
    <row r="66" spans="2:31" x14ac:dyDescent="0.25">
      <c r="B66" s="4"/>
      <c r="C66" s="1" t="s">
        <v>127</v>
      </c>
      <c r="D66" s="1" t="s">
        <v>112</v>
      </c>
      <c r="E66" s="3"/>
      <c r="F66" s="3"/>
      <c r="G66" s="24"/>
      <c r="H66" s="24"/>
      <c r="J66" s="1" t="s">
        <v>87</v>
      </c>
      <c r="K66" s="4"/>
      <c r="L66" s="4"/>
      <c r="M66" s="4"/>
      <c r="N66" s="4"/>
      <c r="O66" s="4"/>
      <c r="P66" s="27"/>
      <c r="Q66" s="25">
        <v>900</v>
      </c>
      <c r="R66" s="25">
        <v>0</v>
      </c>
      <c r="S66" s="12">
        <f t="shared" si="0"/>
        <v>0</v>
      </c>
      <c r="T66" s="5">
        <v>0</v>
      </c>
      <c r="U66" s="12">
        <f t="shared" si="6"/>
        <v>0</v>
      </c>
      <c r="V66" s="25" t="s">
        <v>8</v>
      </c>
      <c r="W66" s="11">
        <f>IFERROR(VLOOKUP(V66,[1]Curr!$B$2:$C$13,2,FALSE),0)</f>
        <v>1</v>
      </c>
      <c r="X66" s="12">
        <f t="shared" si="1"/>
        <v>0</v>
      </c>
      <c r="Y66" s="26">
        <f>Q66/11.3/0.8</f>
        <v>99.55752212389379</v>
      </c>
      <c r="Z66" s="12">
        <f t="shared" si="2"/>
        <v>0</v>
      </c>
      <c r="AA66" s="4" t="s">
        <v>10</v>
      </c>
      <c r="AB66" s="11">
        <f>IFERROR(VLOOKUP(AA66,Curr!$B$2:$C$13,2,FALSE),0)</f>
        <v>11.3</v>
      </c>
      <c r="AC66" s="12">
        <f t="shared" si="3"/>
        <v>0</v>
      </c>
      <c r="AD66" s="12">
        <f t="shared" si="4"/>
        <v>0</v>
      </c>
      <c r="AE66" s="13">
        <f t="shared" si="5"/>
        <v>0</v>
      </c>
    </row>
    <row r="67" spans="2:31" x14ac:dyDescent="0.25">
      <c r="B67" s="4"/>
      <c r="C67" s="1" t="s">
        <v>127</v>
      </c>
      <c r="D67" s="1" t="s">
        <v>112</v>
      </c>
      <c r="E67" s="3"/>
      <c r="F67" s="3"/>
      <c r="G67" s="24"/>
      <c r="H67" s="24"/>
      <c r="J67" s="1" t="s">
        <v>167</v>
      </c>
      <c r="K67" s="4"/>
      <c r="L67" s="4"/>
      <c r="M67" s="4"/>
      <c r="N67" s="4"/>
      <c r="O67" s="4"/>
      <c r="P67" s="27"/>
      <c r="Q67" s="25">
        <v>1690</v>
      </c>
      <c r="R67" s="25">
        <v>0</v>
      </c>
      <c r="S67" s="12">
        <f t="shared" si="0"/>
        <v>0</v>
      </c>
      <c r="T67" s="5">
        <v>0.15</v>
      </c>
      <c r="U67" s="12">
        <f t="shared" si="6"/>
        <v>0</v>
      </c>
      <c r="V67" s="25" t="s">
        <v>8</v>
      </c>
      <c r="W67" s="11">
        <f>IFERROR(VLOOKUP(V67,[1]Curr!$B$2:$C$13,2,FALSE),0)</f>
        <v>1</v>
      </c>
      <c r="X67" s="12">
        <f t="shared" si="1"/>
        <v>0</v>
      </c>
      <c r="Y67" s="26">
        <f>Q67/11.3</f>
        <v>149.55752212389379</v>
      </c>
      <c r="Z67" s="12">
        <f t="shared" si="2"/>
        <v>0</v>
      </c>
      <c r="AA67" s="4" t="s">
        <v>10</v>
      </c>
      <c r="AB67" s="11">
        <f>IFERROR(VLOOKUP(AA67,Curr!$B$2:$C$13,2,FALSE),0)</f>
        <v>11.3</v>
      </c>
      <c r="AC67" s="12">
        <f t="shared" si="3"/>
        <v>0</v>
      </c>
      <c r="AD67" s="12">
        <f t="shared" si="4"/>
        <v>0</v>
      </c>
      <c r="AE67" s="13">
        <f t="shared" si="5"/>
        <v>0</v>
      </c>
    </row>
    <row r="68" spans="2:31" x14ac:dyDescent="0.25">
      <c r="B68" s="4"/>
      <c r="C68" s="1" t="s">
        <v>155</v>
      </c>
      <c r="D68" s="1" t="s">
        <v>112</v>
      </c>
      <c r="E68" s="3"/>
      <c r="F68" s="3"/>
      <c r="G68" s="24"/>
      <c r="H68" s="24"/>
      <c r="J68" s="1" t="s">
        <v>176</v>
      </c>
      <c r="K68" s="4"/>
      <c r="L68" s="4"/>
      <c r="M68" s="4"/>
      <c r="N68" s="4"/>
      <c r="O68" s="4"/>
      <c r="P68" s="27"/>
      <c r="Q68" s="25">
        <v>1290</v>
      </c>
      <c r="R68" s="25">
        <v>0</v>
      </c>
      <c r="S68" s="12">
        <f t="shared" si="0"/>
        <v>0</v>
      </c>
      <c r="T68" s="5">
        <v>0.15</v>
      </c>
      <c r="U68" s="12">
        <f t="shared" si="6"/>
        <v>0</v>
      </c>
      <c r="V68" s="25" t="s">
        <v>8</v>
      </c>
      <c r="W68" s="11">
        <f>IFERROR(VLOOKUP(V68,[1]Curr!$B$2:$C$13,2,FALSE),0)</f>
        <v>1</v>
      </c>
      <c r="X68" s="12">
        <f t="shared" si="1"/>
        <v>0</v>
      </c>
      <c r="Y68" s="26">
        <f>Q68/11.3</f>
        <v>114.15929203539822</v>
      </c>
      <c r="Z68" s="12">
        <f t="shared" si="2"/>
        <v>0</v>
      </c>
      <c r="AA68" s="4" t="s">
        <v>10</v>
      </c>
      <c r="AB68" s="11">
        <f>IFERROR(VLOOKUP(AA68,Curr!$B$2:$C$13,2,FALSE),0)</f>
        <v>11.3</v>
      </c>
      <c r="AC68" s="12">
        <f t="shared" si="3"/>
        <v>0</v>
      </c>
      <c r="AD68" s="12">
        <f t="shared" si="4"/>
        <v>0</v>
      </c>
      <c r="AE68" s="13">
        <f t="shared" si="5"/>
        <v>0</v>
      </c>
    </row>
    <row r="69" spans="2:31" x14ac:dyDescent="0.25">
      <c r="B69" s="4"/>
      <c r="C69" s="1" t="s">
        <v>182</v>
      </c>
      <c r="D69" s="1" t="s">
        <v>112</v>
      </c>
      <c r="E69" s="3"/>
      <c r="F69" s="3"/>
      <c r="G69" s="24"/>
      <c r="H69" s="24"/>
      <c r="J69" s="1" t="s">
        <v>163</v>
      </c>
      <c r="K69" s="4"/>
      <c r="L69" s="4"/>
      <c r="M69" s="4"/>
      <c r="N69" s="4"/>
      <c r="O69" s="4"/>
      <c r="P69" s="27"/>
      <c r="Q69" s="25">
        <v>1790</v>
      </c>
      <c r="R69" s="25">
        <v>0</v>
      </c>
      <c r="S69" s="12">
        <f t="shared" si="0"/>
        <v>0</v>
      </c>
      <c r="T69" s="5">
        <v>0</v>
      </c>
      <c r="U69" s="12">
        <f t="shared" si="6"/>
        <v>0</v>
      </c>
      <c r="V69" s="25" t="s">
        <v>8</v>
      </c>
      <c r="W69" s="11">
        <f>IFERROR(VLOOKUP(V69,[1]Curr!$B$2:$C$13,2,FALSE),0)</f>
        <v>1</v>
      </c>
      <c r="X69" s="12">
        <f t="shared" si="1"/>
        <v>0</v>
      </c>
      <c r="Y69" s="26">
        <f>Q69/11.3/0.8</f>
        <v>198.0088495575221</v>
      </c>
      <c r="Z69" s="12">
        <f t="shared" si="2"/>
        <v>0</v>
      </c>
      <c r="AA69" s="4" t="s">
        <v>10</v>
      </c>
      <c r="AB69" s="11">
        <f>IFERROR(VLOOKUP(AA69,Curr!$B$2:$C$13,2,FALSE),0)</f>
        <v>11.3</v>
      </c>
      <c r="AC69" s="12">
        <f t="shared" si="3"/>
        <v>0</v>
      </c>
      <c r="AD69" s="12">
        <f t="shared" si="4"/>
        <v>0</v>
      </c>
      <c r="AE69" s="13">
        <f t="shared" si="5"/>
        <v>0</v>
      </c>
    </row>
    <row r="70" spans="2:31" x14ac:dyDescent="0.25">
      <c r="B70" s="4"/>
      <c r="E70" s="3"/>
      <c r="F70" s="3"/>
      <c r="G70" s="24"/>
      <c r="H70" s="24"/>
      <c r="K70" s="4"/>
      <c r="L70" s="4"/>
      <c r="M70" s="4"/>
      <c r="N70" s="4"/>
      <c r="O70" s="4"/>
      <c r="P70" s="27"/>
      <c r="Q70" s="25"/>
      <c r="R70" s="25"/>
      <c r="S70" s="12">
        <f t="shared" si="0"/>
        <v>0</v>
      </c>
      <c r="T70" s="5">
        <v>0</v>
      </c>
      <c r="U70" s="12">
        <f t="shared" si="6"/>
        <v>0</v>
      </c>
      <c r="V70" s="25" t="s">
        <v>10</v>
      </c>
      <c r="W70" s="11">
        <f>IFERROR(VLOOKUP(V70,[1]Curr!$B$2:$C$13,2,FALSE),0)</f>
        <v>11.3</v>
      </c>
      <c r="X70" s="12">
        <f t="shared" si="1"/>
        <v>0</v>
      </c>
      <c r="Y70" s="26">
        <f t="shared" si="8"/>
        <v>0</v>
      </c>
      <c r="Z70" s="12">
        <f t="shared" si="2"/>
        <v>0</v>
      </c>
      <c r="AA70" s="4" t="s">
        <v>10</v>
      </c>
      <c r="AB70" s="11">
        <f>IFERROR(VLOOKUP(AA70,Curr!$B$2:$C$13,2,FALSE),0)</f>
        <v>11.3</v>
      </c>
      <c r="AC70" s="12">
        <f t="shared" si="3"/>
        <v>0</v>
      </c>
      <c r="AD70" s="12">
        <f t="shared" si="4"/>
        <v>0</v>
      </c>
      <c r="AE70" s="13">
        <f t="shared" si="5"/>
        <v>0</v>
      </c>
    </row>
    <row r="71" spans="2:31" x14ac:dyDescent="0.25">
      <c r="B71" s="4"/>
      <c r="E71" s="3"/>
      <c r="F71" s="3"/>
      <c r="G71" s="24"/>
      <c r="H71" s="24"/>
      <c r="K71" s="4"/>
      <c r="L71" s="4"/>
      <c r="M71" s="4"/>
      <c r="N71" s="4"/>
      <c r="O71" s="4"/>
      <c r="P71" s="27"/>
      <c r="Q71" s="25"/>
      <c r="R71" s="25"/>
      <c r="S71" s="12">
        <f t="shared" ref="S71:S82" si="14">+Q71*R71</f>
        <v>0</v>
      </c>
      <c r="T71" s="5">
        <v>0</v>
      </c>
      <c r="U71" s="12">
        <f t="shared" si="6"/>
        <v>0</v>
      </c>
      <c r="V71" s="25" t="s">
        <v>10</v>
      </c>
      <c r="W71" s="11">
        <f>IFERROR(VLOOKUP(V71,[1]Curr!$B$2:$C$13,2,FALSE),0)</f>
        <v>11.3</v>
      </c>
      <c r="X71" s="12">
        <f t="shared" ref="X71:X82" si="15">U71*W71</f>
        <v>0</v>
      </c>
      <c r="Y71" s="26">
        <f t="shared" si="8"/>
        <v>0</v>
      </c>
      <c r="Z71" s="12">
        <f t="shared" ref="Z71:Z82" si="16">+Y71*R71</f>
        <v>0</v>
      </c>
      <c r="AA71" s="4" t="s">
        <v>10</v>
      </c>
      <c r="AB71" s="11">
        <f>IFERROR(VLOOKUP(AA71,Curr!$B$2:$C$13,2,FALSE),0)</f>
        <v>11.3</v>
      </c>
      <c r="AC71" s="12">
        <f t="shared" ref="AC71:AC82" si="17">+Y71*AB71*R71</f>
        <v>0</v>
      </c>
      <c r="AD71" s="12">
        <f t="shared" ref="AD71:AD82" si="18">+AC71-X71</f>
        <v>0</v>
      </c>
      <c r="AE71" s="13">
        <f t="shared" ref="AE71:AE82" si="19">IFERROR(AD71/AC71,0)</f>
        <v>0</v>
      </c>
    </row>
    <row r="72" spans="2:31" x14ac:dyDescent="0.25">
      <c r="B72" s="4"/>
      <c r="C72" s="1" t="s">
        <v>76</v>
      </c>
      <c r="D72" s="1" t="s">
        <v>183</v>
      </c>
      <c r="E72" s="3"/>
      <c r="F72" s="3"/>
      <c r="G72" s="24"/>
      <c r="H72" s="24"/>
      <c r="J72" s="1" t="s">
        <v>190</v>
      </c>
      <c r="K72" s="4"/>
      <c r="L72" s="4"/>
      <c r="M72" s="4"/>
      <c r="N72" s="4"/>
      <c r="O72" s="4" t="s">
        <v>42</v>
      </c>
      <c r="P72" s="29" t="s">
        <v>191</v>
      </c>
      <c r="Q72" s="25">
        <f>(40+40)+(50*2)</f>
        <v>180</v>
      </c>
      <c r="R72" s="25">
        <v>0</v>
      </c>
      <c r="S72" s="12">
        <f t="shared" si="14"/>
        <v>0</v>
      </c>
      <c r="T72" s="5">
        <v>0</v>
      </c>
      <c r="U72" s="12">
        <f t="shared" ref="U72:U82" si="20">S72*(1-T72)</f>
        <v>0</v>
      </c>
      <c r="V72" s="25" t="s">
        <v>10</v>
      </c>
      <c r="W72" s="11">
        <f>IFERROR(VLOOKUP(V72,[1]Curr!$B$2:$C$13,2,FALSE),0)</f>
        <v>11.3</v>
      </c>
      <c r="X72" s="12">
        <f t="shared" si="15"/>
        <v>0</v>
      </c>
      <c r="Y72" s="26">
        <f>Q72/0.8</f>
        <v>225</v>
      </c>
      <c r="Z72" s="12">
        <f t="shared" si="16"/>
        <v>0</v>
      </c>
      <c r="AA72" s="4" t="s">
        <v>10</v>
      </c>
      <c r="AB72" s="11">
        <f>IFERROR(VLOOKUP(AA72,Curr!$B$2:$C$13,2,FALSE),0)</f>
        <v>11.3</v>
      </c>
      <c r="AC72" s="12">
        <f t="shared" si="17"/>
        <v>0</v>
      </c>
      <c r="AD72" s="12">
        <f t="shared" si="18"/>
        <v>0</v>
      </c>
      <c r="AE72" s="13">
        <f t="shared" si="19"/>
        <v>0</v>
      </c>
    </row>
    <row r="73" spans="2:31" x14ac:dyDescent="0.25">
      <c r="B73" s="4"/>
      <c r="C73" s="1" t="s">
        <v>76</v>
      </c>
      <c r="D73" s="1" t="s">
        <v>183</v>
      </c>
      <c r="E73" s="3"/>
      <c r="F73" s="3"/>
      <c r="G73" s="24"/>
      <c r="H73" s="24"/>
      <c r="J73" s="1" t="s">
        <v>192</v>
      </c>
      <c r="K73" s="4"/>
      <c r="L73" s="4"/>
      <c r="M73" s="4"/>
      <c r="N73" s="4"/>
      <c r="O73" s="4" t="s">
        <v>42</v>
      </c>
      <c r="P73" s="33" t="s">
        <v>193</v>
      </c>
      <c r="Q73" s="25">
        <v>25</v>
      </c>
      <c r="R73" s="25">
        <v>0</v>
      </c>
      <c r="S73" s="12">
        <f t="shared" si="14"/>
        <v>0</v>
      </c>
      <c r="T73" s="5">
        <v>0</v>
      </c>
      <c r="U73" s="12">
        <f t="shared" si="20"/>
        <v>0</v>
      </c>
      <c r="V73" s="25" t="s">
        <v>10</v>
      </c>
      <c r="W73" s="11">
        <f>IFERROR(VLOOKUP(V73,[1]Curr!$B$2:$C$13,2,FALSE),0)</f>
        <v>11.3</v>
      </c>
      <c r="X73" s="12">
        <f t="shared" si="15"/>
        <v>0</v>
      </c>
      <c r="Y73" s="26">
        <f>Q73/0.62</f>
        <v>40.322580645161288</v>
      </c>
      <c r="Z73" s="12">
        <f t="shared" si="16"/>
        <v>0</v>
      </c>
      <c r="AA73" s="4" t="s">
        <v>10</v>
      </c>
      <c r="AB73" s="11">
        <f>IFERROR(VLOOKUP(AA73,Curr!$B$2:$C$13,2,FALSE),0)</f>
        <v>11.3</v>
      </c>
      <c r="AC73" s="12">
        <f t="shared" si="17"/>
        <v>0</v>
      </c>
      <c r="AD73" s="12">
        <f t="shared" si="18"/>
        <v>0</v>
      </c>
      <c r="AE73" s="13">
        <f t="shared" si="19"/>
        <v>0</v>
      </c>
    </row>
    <row r="74" spans="2:31" x14ac:dyDescent="0.25">
      <c r="B74" s="4"/>
      <c r="C74" s="1" t="s">
        <v>78</v>
      </c>
      <c r="D74" s="1" t="s">
        <v>183</v>
      </c>
      <c r="E74" s="3"/>
      <c r="F74" s="3"/>
      <c r="G74" s="24"/>
      <c r="H74" s="24"/>
      <c r="J74" s="1" t="s">
        <v>184</v>
      </c>
      <c r="K74" s="4"/>
      <c r="L74" s="4"/>
      <c r="M74" s="4"/>
      <c r="N74" s="4"/>
      <c r="O74" s="4" t="s">
        <v>42</v>
      </c>
      <c r="P74" s="33" t="s">
        <v>185</v>
      </c>
      <c r="Q74" s="25">
        <v>252</v>
      </c>
      <c r="R74" s="25">
        <v>0</v>
      </c>
      <c r="S74" s="12">
        <f t="shared" si="14"/>
        <v>0</v>
      </c>
      <c r="T74" s="5">
        <v>0.2</v>
      </c>
      <c r="U74" s="12">
        <f t="shared" si="20"/>
        <v>0</v>
      </c>
      <c r="V74" s="25" t="s">
        <v>10</v>
      </c>
      <c r="W74" s="11">
        <f>IFERROR(VLOOKUP(V74,[1]Curr!$B$2:$C$13,2,FALSE),0)</f>
        <v>11.3</v>
      </c>
      <c r="X74" s="12">
        <f t="shared" si="15"/>
        <v>0</v>
      </c>
      <c r="Y74" s="26">
        <f t="shared" ref="Y74" si="21">Q74</f>
        <v>252</v>
      </c>
      <c r="Z74" s="12">
        <f t="shared" si="16"/>
        <v>0</v>
      </c>
      <c r="AA74" s="4" t="s">
        <v>10</v>
      </c>
      <c r="AB74" s="11">
        <f>IFERROR(VLOOKUP(AA74,Curr!$B$2:$C$13,2,FALSE),0)</f>
        <v>11.3</v>
      </c>
      <c r="AC74" s="12">
        <f t="shared" si="17"/>
        <v>0</v>
      </c>
      <c r="AD74" s="12">
        <f t="shared" si="18"/>
        <v>0</v>
      </c>
      <c r="AE74" s="13">
        <f t="shared" si="19"/>
        <v>0</v>
      </c>
    </row>
    <row r="75" spans="2:31" x14ac:dyDescent="0.25">
      <c r="B75" s="4"/>
      <c r="C75" s="1" t="s">
        <v>83</v>
      </c>
      <c r="D75" s="1" t="s">
        <v>183</v>
      </c>
      <c r="E75" s="3"/>
      <c r="F75" s="3"/>
      <c r="G75" s="24"/>
      <c r="H75" s="24"/>
      <c r="J75" s="1" t="s">
        <v>188</v>
      </c>
      <c r="K75" s="4"/>
      <c r="L75" s="4"/>
      <c r="M75" s="4"/>
      <c r="N75" s="4"/>
      <c r="O75" s="4" t="s">
        <v>42</v>
      </c>
      <c r="P75" s="33" t="s">
        <v>189</v>
      </c>
      <c r="Q75" s="25">
        <v>2195</v>
      </c>
      <c r="R75" s="25">
        <v>0</v>
      </c>
      <c r="S75" s="12">
        <f t="shared" si="14"/>
        <v>0</v>
      </c>
      <c r="T75" s="5">
        <v>0.2</v>
      </c>
      <c r="U75" s="12">
        <f t="shared" si="20"/>
        <v>0</v>
      </c>
      <c r="V75" s="25" t="s">
        <v>8</v>
      </c>
      <c r="W75" s="11">
        <f>IFERROR(VLOOKUP(V75,[1]Curr!$B$2:$C$13,2,FALSE),0)</f>
        <v>1</v>
      </c>
      <c r="X75" s="12">
        <f t="shared" si="15"/>
        <v>0</v>
      </c>
      <c r="Y75" s="26">
        <f t="shared" ref="Y75" si="22">Q75/11.3</f>
        <v>194.24778761061947</v>
      </c>
      <c r="Z75" s="12">
        <f t="shared" si="16"/>
        <v>0</v>
      </c>
      <c r="AA75" s="4" t="s">
        <v>10</v>
      </c>
      <c r="AB75" s="11">
        <f>IFERROR(VLOOKUP(AA75,Curr!$B$2:$C$13,2,FALSE),0)</f>
        <v>11.3</v>
      </c>
      <c r="AC75" s="12">
        <f t="shared" si="17"/>
        <v>0</v>
      </c>
      <c r="AD75" s="12">
        <f t="shared" si="18"/>
        <v>0</v>
      </c>
      <c r="AE75" s="13">
        <f t="shared" si="19"/>
        <v>0</v>
      </c>
    </row>
    <row r="76" spans="2:31" x14ac:dyDescent="0.25">
      <c r="B76" s="4"/>
      <c r="C76" s="1" t="s">
        <v>155</v>
      </c>
      <c r="D76" s="1" t="s">
        <v>183</v>
      </c>
      <c r="E76" s="3"/>
      <c r="F76" s="3"/>
      <c r="G76" s="24"/>
      <c r="H76" s="24"/>
      <c r="J76" s="1" t="s">
        <v>208</v>
      </c>
      <c r="K76" s="4"/>
      <c r="L76" s="4"/>
      <c r="M76" s="4"/>
      <c r="N76" s="4"/>
      <c r="O76" s="4" t="s">
        <v>42</v>
      </c>
      <c r="P76" s="33" t="s">
        <v>209</v>
      </c>
      <c r="Q76" s="25">
        <v>3250</v>
      </c>
      <c r="R76" s="25">
        <v>0</v>
      </c>
      <c r="S76" s="12">
        <f t="shared" si="14"/>
        <v>0</v>
      </c>
      <c r="T76" s="5">
        <v>0.08</v>
      </c>
      <c r="U76" s="12">
        <f t="shared" si="20"/>
        <v>0</v>
      </c>
      <c r="V76" s="25" t="s">
        <v>8</v>
      </c>
      <c r="W76" s="11">
        <f>IFERROR(VLOOKUP(V76,[1]Curr!$B$2:$C$13,2,FALSE),0)</f>
        <v>1</v>
      </c>
      <c r="X76" s="12">
        <f t="shared" si="15"/>
        <v>0</v>
      </c>
      <c r="Y76" s="26">
        <f t="shared" ref="Y76" si="23">Q76/11.3/0.9</f>
        <v>319.56735496558503</v>
      </c>
      <c r="Z76" s="12">
        <f t="shared" si="16"/>
        <v>0</v>
      </c>
      <c r="AA76" s="4" t="s">
        <v>10</v>
      </c>
      <c r="AB76" s="11">
        <f>IFERROR(VLOOKUP(AA76,Curr!$B$2:$C$13,2,FALSE),0)</f>
        <v>11.3</v>
      </c>
      <c r="AC76" s="12">
        <f t="shared" si="17"/>
        <v>0</v>
      </c>
      <c r="AD76" s="12">
        <f t="shared" si="18"/>
        <v>0</v>
      </c>
      <c r="AE76" s="13">
        <f t="shared" si="19"/>
        <v>0</v>
      </c>
    </row>
    <row r="77" spans="2:31" x14ac:dyDescent="0.25">
      <c r="B77" s="4"/>
      <c r="C77" s="1" t="s">
        <v>181</v>
      </c>
      <c r="D77" s="1" t="s">
        <v>183</v>
      </c>
      <c r="E77" s="3"/>
      <c r="F77" s="3"/>
      <c r="G77" s="24"/>
      <c r="H77" s="24"/>
      <c r="J77" s="1" t="s">
        <v>210</v>
      </c>
      <c r="K77" s="4"/>
      <c r="L77" s="4"/>
      <c r="M77" s="4"/>
      <c r="N77" s="4"/>
      <c r="O77" s="4"/>
      <c r="P77" s="33" t="s">
        <v>211</v>
      </c>
      <c r="Q77" s="25">
        <v>130</v>
      </c>
      <c r="R77" s="25">
        <v>0</v>
      </c>
      <c r="S77" s="12">
        <f t="shared" si="14"/>
        <v>0</v>
      </c>
      <c r="T77" s="5">
        <v>0.2</v>
      </c>
      <c r="U77" s="12">
        <f t="shared" si="20"/>
        <v>0</v>
      </c>
      <c r="V77" s="25" t="s">
        <v>10</v>
      </c>
      <c r="W77" s="11">
        <f>IFERROR(VLOOKUP(V77,[1]Curr!$B$2:$C$13,2,FALSE),0)</f>
        <v>11.3</v>
      </c>
      <c r="X77" s="12">
        <f t="shared" si="15"/>
        <v>0</v>
      </c>
      <c r="Y77" s="26">
        <f t="shared" ref="Y77" si="24">Q77</f>
        <v>130</v>
      </c>
      <c r="Z77" s="12">
        <f t="shared" si="16"/>
        <v>0</v>
      </c>
      <c r="AA77" s="4" t="s">
        <v>10</v>
      </c>
      <c r="AB77" s="11">
        <f>IFERROR(VLOOKUP(AA77,Curr!$B$2:$C$13,2,FALSE),0)</f>
        <v>11.3</v>
      </c>
      <c r="AC77" s="12">
        <f t="shared" si="17"/>
        <v>0</v>
      </c>
      <c r="AD77" s="12">
        <f t="shared" si="18"/>
        <v>0</v>
      </c>
      <c r="AE77" s="13">
        <f t="shared" si="19"/>
        <v>0</v>
      </c>
    </row>
    <row r="78" spans="2:31" x14ac:dyDescent="0.25">
      <c r="B78" s="4"/>
      <c r="E78" s="3"/>
      <c r="F78" s="3"/>
      <c r="G78" s="24"/>
      <c r="H78" s="24"/>
      <c r="K78" s="4"/>
      <c r="L78" s="4"/>
      <c r="M78" s="4"/>
      <c r="N78" s="4"/>
      <c r="O78" s="4"/>
      <c r="P78" s="27"/>
      <c r="Q78" s="25"/>
      <c r="R78" s="25"/>
      <c r="S78" s="12">
        <f t="shared" si="14"/>
        <v>0</v>
      </c>
      <c r="T78" s="5">
        <v>0</v>
      </c>
      <c r="U78" s="12">
        <f t="shared" si="20"/>
        <v>0</v>
      </c>
      <c r="V78" s="25" t="s">
        <v>10</v>
      </c>
      <c r="W78" s="11">
        <f>IFERROR(VLOOKUP(V78,[1]Curr!$B$2:$C$13,2,FALSE),0)</f>
        <v>11.3</v>
      </c>
      <c r="X78" s="12">
        <f t="shared" si="15"/>
        <v>0</v>
      </c>
      <c r="Y78" s="26">
        <f t="shared" ref="Y78:Y82" si="25">Q78</f>
        <v>0</v>
      </c>
      <c r="Z78" s="12">
        <f t="shared" si="16"/>
        <v>0</v>
      </c>
      <c r="AA78" s="4" t="s">
        <v>10</v>
      </c>
      <c r="AB78" s="11">
        <f>IFERROR(VLOOKUP(AA78,Curr!$B$2:$C$13,2,FALSE),0)</f>
        <v>11.3</v>
      </c>
      <c r="AC78" s="12">
        <f t="shared" si="17"/>
        <v>0</v>
      </c>
      <c r="AD78" s="12">
        <f t="shared" si="18"/>
        <v>0</v>
      </c>
      <c r="AE78" s="13">
        <f t="shared" si="19"/>
        <v>0</v>
      </c>
    </row>
    <row r="79" spans="2:31" x14ac:dyDescent="0.25">
      <c r="B79" s="4"/>
      <c r="E79" s="3"/>
      <c r="F79" s="3"/>
      <c r="G79" s="24"/>
      <c r="H79" s="24"/>
      <c r="K79" s="4"/>
      <c r="L79" s="4"/>
      <c r="M79" s="4"/>
      <c r="N79" s="4"/>
      <c r="O79" s="4"/>
      <c r="P79" s="27"/>
      <c r="Q79" s="25"/>
      <c r="R79" s="25"/>
      <c r="S79" s="12">
        <f t="shared" si="14"/>
        <v>0</v>
      </c>
      <c r="T79" s="5">
        <v>0</v>
      </c>
      <c r="U79" s="12">
        <f t="shared" si="20"/>
        <v>0</v>
      </c>
      <c r="V79" s="25" t="s">
        <v>10</v>
      </c>
      <c r="W79" s="11">
        <f>IFERROR(VLOOKUP(V79,[1]Curr!$B$2:$C$13,2,FALSE),0)</f>
        <v>11.3</v>
      </c>
      <c r="X79" s="12">
        <f t="shared" si="15"/>
        <v>0</v>
      </c>
      <c r="Y79" s="26">
        <f t="shared" si="25"/>
        <v>0</v>
      </c>
      <c r="Z79" s="12">
        <f t="shared" si="16"/>
        <v>0</v>
      </c>
      <c r="AA79" s="4" t="s">
        <v>10</v>
      </c>
      <c r="AB79" s="11">
        <f>IFERROR(VLOOKUP(AA79,Curr!$B$2:$C$13,2,FALSE),0)</f>
        <v>11.3</v>
      </c>
      <c r="AC79" s="12">
        <f t="shared" si="17"/>
        <v>0</v>
      </c>
      <c r="AD79" s="12">
        <f t="shared" si="18"/>
        <v>0</v>
      </c>
      <c r="AE79" s="13">
        <f t="shared" si="19"/>
        <v>0</v>
      </c>
    </row>
    <row r="80" spans="2:31" x14ac:dyDescent="0.25">
      <c r="B80" s="4"/>
      <c r="E80" s="3"/>
      <c r="F80" s="3"/>
      <c r="G80" s="24"/>
      <c r="H80" s="24"/>
      <c r="K80" s="4"/>
      <c r="L80" s="4"/>
      <c r="M80" s="4"/>
      <c r="N80" s="4"/>
      <c r="O80" s="4"/>
      <c r="P80" s="27"/>
      <c r="Q80" s="25"/>
      <c r="R80" s="25"/>
      <c r="S80" s="12">
        <f t="shared" si="14"/>
        <v>0</v>
      </c>
      <c r="T80" s="5">
        <v>0</v>
      </c>
      <c r="U80" s="12">
        <f t="shared" si="20"/>
        <v>0</v>
      </c>
      <c r="V80" s="25" t="s">
        <v>10</v>
      </c>
      <c r="W80" s="11">
        <f>IFERROR(VLOOKUP(V80,[1]Curr!$B$2:$C$13,2,FALSE),0)</f>
        <v>11.3</v>
      </c>
      <c r="X80" s="12">
        <f t="shared" si="15"/>
        <v>0</v>
      </c>
      <c r="Y80" s="26">
        <f t="shared" si="25"/>
        <v>0</v>
      </c>
      <c r="Z80" s="12">
        <f t="shared" si="16"/>
        <v>0</v>
      </c>
      <c r="AA80" s="4" t="s">
        <v>10</v>
      </c>
      <c r="AB80" s="11">
        <f>IFERROR(VLOOKUP(AA80,Curr!$B$2:$C$13,2,FALSE),0)</f>
        <v>11.3</v>
      </c>
      <c r="AC80" s="12">
        <f t="shared" si="17"/>
        <v>0</v>
      </c>
      <c r="AD80" s="12">
        <f t="shared" si="18"/>
        <v>0</v>
      </c>
      <c r="AE80" s="13">
        <f t="shared" si="19"/>
        <v>0</v>
      </c>
    </row>
    <row r="81" spans="2:36" x14ac:dyDescent="0.25">
      <c r="B81" s="4"/>
      <c r="E81" s="3"/>
      <c r="F81" s="3"/>
      <c r="G81" s="24"/>
      <c r="H81" s="24"/>
      <c r="K81" s="4"/>
      <c r="L81" s="4"/>
      <c r="M81" s="4"/>
      <c r="N81" s="4"/>
      <c r="O81" s="4"/>
      <c r="P81" s="27"/>
      <c r="Q81" s="25"/>
      <c r="R81" s="25"/>
      <c r="S81" s="12">
        <f t="shared" si="14"/>
        <v>0</v>
      </c>
      <c r="T81" s="5">
        <v>0</v>
      </c>
      <c r="U81" s="12">
        <f t="shared" si="20"/>
        <v>0</v>
      </c>
      <c r="V81" s="25" t="s">
        <v>10</v>
      </c>
      <c r="W81" s="11">
        <f>IFERROR(VLOOKUP(V81,[1]Curr!$B$2:$C$13,2,FALSE),0)</f>
        <v>11.3</v>
      </c>
      <c r="X81" s="12">
        <f t="shared" si="15"/>
        <v>0</v>
      </c>
      <c r="Y81" s="26">
        <f t="shared" si="25"/>
        <v>0</v>
      </c>
      <c r="Z81" s="12">
        <f t="shared" si="16"/>
        <v>0</v>
      </c>
      <c r="AA81" s="4" t="s">
        <v>10</v>
      </c>
      <c r="AB81" s="11">
        <f>IFERROR(VLOOKUP(AA81,Curr!$B$2:$C$13,2,FALSE),0)</f>
        <v>11.3</v>
      </c>
      <c r="AC81" s="12">
        <f t="shared" si="17"/>
        <v>0</v>
      </c>
      <c r="AD81" s="12">
        <f t="shared" si="18"/>
        <v>0</v>
      </c>
      <c r="AE81" s="13">
        <f t="shared" si="19"/>
        <v>0</v>
      </c>
    </row>
    <row r="82" spans="2:36" x14ac:dyDescent="0.25">
      <c r="B82" s="4"/>
      <c r="E82" s="3"/>
      <c r="F82" s="3"/>
      <c r="G82" s="24"/>
      <c r="H82" s="24"/>
      <c r="K82" s="4"/>
      <c r="L82" s="4"/>
      <c r="M82" s="4"/>
      <c r="N82" s="4"/>
      <c r="O82" s="4"/>
      <c r="P82" s="27"/>
      <c r="Q82" s="25"/>
      <c r="R82" s="25"/>
      <c r="S82" s="12">
        <f t="shared" si="14"/>
        <v>0</v>
      </c>
      <c r="T82" s="5">
        <v>0</v>
      </c>
      <c r="U82" s="12">
        <f t="shared" si="20"/>
        <v>0</v>
      </c>
      <c r="V82" s="25" t="s">
        <v>10</v>
      </c>
      <c r="W82" s="11">
        <f>IFERROR(VLOOKUP(V82,[1]Curr!$B$2:$C$13,2,FALSE),0)</f>
        <v>11.3</v>
      </c>
      <c r="X82" s="12">
        <f t="shared" si="15"/>
        <v>0</v>
      </c>
      <c r="Y82" s="26">
        <f t="shared" si="25"/>
        <v>0</v>
      </c>
      <c r="Z82" s="12">
        <f t="shared" si="16"/>
        <v>0</v>
      </c>
      <c r="AA82" s="4" t="s">
        <v>10</v>
      </c>
      <c r="AB82" s="11">
        <f>IFERROR(VLOOKUP(AA82,Curr!$B$2:$C$13,2,FALSE),0)</f>
        <v>11.3</v>
      </c>
      <c r="AC82" s="12">
        <f t="shared" si="17"/>
        <v>0</v>
      </c>
      <c r="AD82" s="12">
        <f t="shared" si="18"/>
        <v>0</v>
      </c>
      <c r="AE82" s="13">
        <f t="shared" si="19"/>
        <v>0</v>
      </c>
    </row>
    <row r="83" spans="2:36" x14ac:dyDescent="0.25">
      <c r="B83" s="4"/>
      <c r="E83" s="3"/>
      <c r="F83" s="3"/>
      <c r="G83" s="3"/>
      <c r="H83" s="3"/>
      <c r="L83" s="4"/>
      <c r="M83" s="4"/>
      <c r="N83" s="4"/>
      <c r="O83" s="4"/>
      <c r="P83" s="22"/>
      <c r="Q83" s="4"/>
      <c r="R83" s="4"/>
      <c r="S83" s="4"/>
      <c r="T83" s="4"/>
      <c r="U83" s="4"/>
      <c r="V83" s="4"/>
      <c r="W83" s="4"/>
      <c r="X83" s="4"/>
      <c r="Y83" s="4"/>
      <c r="Z83" s="4"/>
      <c r="AA83" s="4"/>
      <c r="AB83" s="4"/>
      <c r="AC83" s="4"/>
      <c r="AD83" s="4"/>
      <c r="AE83" s="4"/>
      <c r="AF83" s="4"/>
    </row>
    <row r="84" spans="2:36" x14ac:dyDescent="0.25">
      <c r="B84" s="14" t="s">
        <v>18</v>
      </c>
      <c r="C84" s="14"/>
      <c r="D84" s="28" t="s">
        <v>42</v>
      </c>
      <c r="E84" s="30" t="s">
        <v>42</v>
      </c>
      <c r="F84" s="30" t="s">
        <v>42</v>
      </c>
      <c r="G84" s="30" t="s">
        <v>42</v>
      </c>
      <c r="H84" s="30" t="s">
        <v>42</v>
      </c>
      <c r="I84" s="28" t="s">
        <v>42</v>
      </c>
      <c r="J84" s="28" t="s">
        <v>42</v>
      </c>
      <c r="K84" s="28" t="s">
        <v>42</v>
      </c>
      <c r="L84" s="28" t="s">
        <v>42</v>
      </c>
      <c r="M84" s="28" t="s">
        <v>42</v>
      </c>
      <c r="N84" s="28" t="s">
        <v>42</v>
      </c>
      <c r="O84" s="28" t="s">
        <v>42</v>
      </c>
      <c r="P84" s="28" t="s">
        <v>42</v>
      </c>
      <c r="Q84" s="31" t="s">
        <v>42</v>
      </c>
      <c r="R84" s="28" t="s">
        <v>42</v>
      </c>
      <c r="S84" s="32" t="s">
        <v>42</v>
      </c>
      <c r="T84" s="28" t="s">
        <v>42</v>
      </c>
      <c r="U84" s="32" t="s">
        <v>42</v>
      </c>
      <c r="V84" s="28" t="s">
        <v>42</v>
      </c>
      <c r="W84" s="28" t="s">
        <v>42</v>
      </c>
      <c r="X84" s="32" t="s">
        <v>42</v>
      </c>
      <c r="Y84" s="32" t="s">
        <v>42</v>
      </c>
      <c r="Z84" s="15">
        <f>SUM(Z7:Z82)</f>
        <v>5919.8121150959987</v>
      </c>
      <c r="AA84" s="14"/>
      <c r="AB84" s="14"/>
      <c r="AC84" s="15">
        <f>SUM(AC7:AC82)</f>
        <v>66893.876900584815</v>
      </c>
      <c r="AD84" s="15">
        <f>SUM(AD7:AD82)</f>
        <v>13037.716900584795</v>
      </c>
      <c r="AE84" s="21">
        <f t="shared" ref="AE84" si="26">IFERROR(AD84/AC84,0)</f>
        <v>0.19490149928013537</v>
      </c>
      <c r="AF84" s="15">
        <f>SUM(AF8:AF83)</f>
        <v>0</v>
      </c>
      <c r="AG84" s="15">
        <f>SUM(AG8:AG83)</f>
        <v>0</v>
      </c>
      <c r="AH84" s="15">
        <f>SUM(AH8:AH83)</f>
        <v>0</v>
      </c>
      <c r="AI84" s="15">
        <f>SUM(AI8:AI83)</f>
        <v>0</v>
      </c>
      <c r="AJ84" s="15">
        <f>SUM(AJ8:AJ83)</f>
        <v>0</v>
      </c>
    </row>
    <row r="85" spans="2:36" x14ac:dyDescent="0.25">
      <c r="B85" s="4"/>
      <c r="E85" s="3"/>
      <c r="F85" s="3"/>
      <c r="G85" s="3"/>
      <c r="H85" s="3"/>
      <c r="L85" s="4"/>
      <c r="M85" s="4"/>
      <c r="N85" s="4"/>
      <c r="O85" s="4"/>
      <c r="Q85" s="4"/>
      <c r="R85" s="4"/>
      <c r="S85" s="4"/>
      <c r="T85" s="4"/>
      <c r="U85" s="4"/>
      <c r="V85" s="4"/>
      <c r="W85" s="4"/>
      <c r="X85" s="4"/>
      <c r="Y85" s="9"/>
      <c r="Z85" s="9"/>
      <c r="AA85" s="9"/>
      <c r="AB85" s="9"/>
      <c r="AC85" s="9"/>
      <c r="AD85" s="9"/>
      <c r="AE85" s="9"/>
    </row>
    <row r="86" spans="2:36" x14ac:dyDescent="0.25">
      <c r="B86" s="4"/>
      <c r="E86" s="3"/>
      <c r="F86" s="3"/>
      <c r="G86" s="3"/>
      <c r="H86" s="3"/>
      <c r="L86" s="4"/>
      <c r="M86" s="4"/>
      <c r="N86" s="4"/>
      <c r="O86" s="4"/>
      <c r="Q86" s="9"/>
      <c r="R86" s="9"/>
      <c r="S86" s="9"/>
      <c r="T86" s="9"/>
      <c r="U86" s="9"/>
      <c r="V86" s="9"/>
      <c r="W86" s="9"/>
      <c r="X86" s="23"/>
      <c r="Y86" s="34" t="s">
        <v>119</v>
      </c>
      <c r="Z86" s="34">
        <f>Z12+Z19+Z21+Z23+Z26+Z31+Z33+Z35+Z37+Z43+Z46+Z47+Z56</f>
        <v>2595.033354034053</v>
      </c>
      <c r="AA86" s="9"/>
      <c r="AB86" s="9"/>
      <c r="AC86" s="9"/>
      <c r="AD86" s="9"/>
      <c r="AE86" s="9"/>
    </row>
    <row r="87" spans="2:36" x14ac:dyDescent="0.25">
      <c r="B87" s="4"/>
      <c r="E87" s="3"/>
      <c r="F87" s="3"/>
      <c r="G87" s="3"/>
      <c r="H87" s="3"/>
      <c r="L87" s="4"/>
      <c r="M87" s="4"/>
      <c r="N87" s="4"/>
      <c r="O87" s="4"/>
      <c r="Q87" s="9"/>
      <c r="R87" s="9"/>
      <c r="S87" s="9"/>
      <c r="T87" s="9"/>
      <c r="U87" s="9"/>
      <c r="V87" s="9"/>
      <c r="W87" s="9"/>
      <c r="X87" s="9"/>
      <c r="Y87" s="35" t="s">
        <v>120</v>
      </c>
      <c r="Z87" s="34">
        <f>Z9+Z14+Z17+Z28+Z40+Z42+Z51+Z53</f>
        <v>3324.7787610619475</v>
      </c>
      <c r="AA87" s="9"/>
      <c r="AB87" s="9"/>
      <c r="AC87" s="9"/>
      <c r="AD87" s="9"/>
      <c r="AE87" s="9"/>
      <c r="AF87" s="18"/>
    </row>
    <row r="88" spans="2:36" x14ac:dyDescent="0.25">
      <c r="B88" s="4"/>
      <c r="E88" s="3"/>
      <c r="F88" s="3"/>
      <c r="G88" s="3"/>
      <c r="H88" s="3"/>
      <c r="I88" s="19"/>
      <c r="L88" s="4"/>
      <c r="M88" s="4"/>
      <c r="N88" s="4"/>
      <c r="O88" s="20"/>
      <c r="Q88" s="20"/>
      <c r="R88" s="20"/>
      <c r="S88" s="20"/>
      <c r="T88" s="20"/>
      <c r="U88" s="20"/>
      <c r="V88" s="20"/>
      <c r="W88" s="20"/>
      <c r="X88" s="20"/>
      <c r="Y88" s="34" t="s">
        <v>121</v>
      </c>
      <c r="Z88" s="34">
        <v>5920</v>
      </c>
      <c r="AA88" s="9"/>
      <c r="AB88" s="9"/>
      <c r="AC88" s="9"/>
      <c r="AD88" s="9"/>
      <c r="AE88" s="9"/>
      <c r="AF88" s="18"/>
    </row>
    <row r="89" spans="2:36" x14ac:dyDescent="0.25">
      <c r="B89" s="4"/>
      <c r="E89" s="3"/>
      <c r="F89" s="3"/>
      <c r="G89" s="3"/>
      <c r="H89" s="3"/>
      <c r="L89" s="4"/>
      <c r="M89" s="4"/>
      <c r="N89" s="4"/>
      <c r="O89" s="20"/>
      <c r="Q89" s="20"/>
      <c r="R89" s="20"/>
      <c r="S89" s="20"/>
      <c r="T89" s="20"/>
      <c r="U89" s="20"/>
      <c r="V89" s="20"/>
      <c r="W89" s="20"/>
      <c r="X89" s="20"/>
      <c r="Y89" s="34" t="s">
        <v>46</v>
      </c>
      <c r="Z89" s="34">
        <f>Z88/2</f>
        <v>2960</v>
      </c>
      <c r="AA89" s="9"/>
      <c r="AB89" s="9"/>
      <c r="AC89" s="9"/>
      <c r="AD89" s="9"/>
      <c r="AE89" s="9"/>
      <c r="AF89" s="18"/>
    </row>
    <row r="90" spans="2:36" x14ac:dyDescent="0.25">
      <c r="B90" s="4"/>
      <c r="E90" s="3"/>
      <c r="F90" s="3"/>
      <c r="G90" s="3"/>
      <c r="H90" s="3"/>
      <c r="L90" s="4"/>
      <c r="M90" s="4"/>
      <c r="N90" s="4"/>
      <c r="O90" s="4"/>
      <c r="Q90" s="9"/>
      <c r="R90" s="9"/>
      <c r="S90" s="9"/>
      <c r="T90" s="9"/>
      <c r="U90" s="9"/>
      <c r="V90" s="9"/>
      <c r="W90" s="9"/>
      <c r="X90" s="9"/>
      <c r="Y90" s="1"/>
      <c r="Z90" s="1"/>
      <c r="AA90" s="9"/>
      <c r="AB90" s="9"/>
      <c r="AC90" s="9"/>
      <c r="AD90" s="9"/>
      <c r="AE90" s="9"/>
      <c r="AF90" s="18"/>
    </row>
    <row r="91" spans="2:36" x14ac:dyDescent="0.25">
      <c r="F91" s="1"/>
      <c r="G91" s="1"/>
      <c r="H91" s="1"/>
      <c r="J91" s="1" t="s">
        <v>32</v>
      </c>
      <c r="Q91" s="9"/>
      <c r="R91" s="4"/>
      <c r="S91" s="9"/>
      <c r="T91" s="5"/>
      <c r="U91" s="9"/>
      <c r="V91" s="4"/>
      <c r="W91" s="4"/>
      <c r="X91" s="9"/>
      <c r="Y91" s="9"/>
      <c r="Z91" s="9"/>
      <c r="AA91" s="9"/>
      <c r="AB91" s="9"/>
      <c r="AC91" s="9"/>
      <c r="AD91" s="9"/>
      <c r="AE91" s="9"/>
    </row>
    <row r="92" spans="2:36" x14ac:dyDescent="0.25">
      <c r="R92" s="4"/>
      <c r="S92" s="17"/>
      <c r="T92" s="17"/>
      <c r="U92" s="9"/>
      <c r="V92" s="4"/>
      <c r="W92" s="4"/>
      <c r="X92" s="9"/>
      <c r="Y92" s="39" t="s">
        <v>220</v>
      </c>
      <c r="Z92" s="9">
        <f>Z88</f>
        <v>5920</v>
      </c>
      <c r="AA92" s="9"/>
      <c r="AB92" s="9"/>
      <c r="AC92" s="9"/>
      <c r="AD92" s="9"/>
      <c r="AE92" s="9"/>
    </row>
    <row r="93" spans="2:36" x14ac:dyDescent="0.25">
      <c r="Q93" s="9"/>
      <c r="R93" s="4"/>
      <c r="S93" s="16"/>
      <c r="T93" s="16"/>
      <c r="U93" s="9"/>
      <c r="V93" s="4"/>
      <c r="W93" s="4"/>
      <c r="X93" s="9"/>
      <c r="Y93" s="39" t="s">
        <v>221</v>
      </c>
      <c r="Z93" s="9">
        <f>Z92*1.18</f>
        <v>6985.5999999999995</v>
      </c>
      <c r="AA93" s="9"/>
      <c r="AB93" s="9"/>
      <c r="AC93" s="9"/>
      <c r="AD93" s="9"/>
      <c r="AE93" s="9"/>
    </row>
    <row r="94" spans="2:36" x14ac:dyDescent="0.25">
      <c r="R94" s="4"/>
      <c r="S94" s="16"/>
      <c r="T94" s="16"/>
      <c r="Y94" s="39" t="s">
        <v>222</v>
      </c>
      <c r="Z94" s="9">
        <f>Z92*1.3</f>
        <v>7696</v>
      </c>
      <c r="AA94" s="9"/>
      <c r="AB94" s="9"/>
      <c r="AC94" s="9"/>
      <c r="AD94" s="9"/>
      <c r="AE94" s="9"/>
    </row>
    <row r="95" spans="2:36" x14ac:dyDescent="0.25">
      <c r="T95" s="5"/>
      <c r="Y95" s="39" t="s">
        <v>223</v>
      </c>
      <c r="Z95" s="9">
        <f>Z92*0.85</f>
        <v>5032</v>
      </c>
      <c r="AA95" s="9"/>
      <c r="AB95" s="9"/>
      <c r="AC95" s="9"/>
      <c r="AD95" s="9"/>
      <c r="AE95" s="9"/>
    </row>
    <row r="96" spans="2:36"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row>
    <row r="104" spans="20:31" x14ac:dyDescent="0.25">
      <c r="T104" s="5"/>
    </row>
    <row r="105" spans="20:31" x14ac:dyDescent="0.25">
      <c r="T105" s="5"/>
    </row>
    <row r="106" spans="20:31" x14ac:dyDescent="0.25">
      <c r="T106" s="5"/>
    </row>
    <row r="107" spans="20:31" x14ac:dyDescent="0.25">
      <c r="T107" s="5"/>
    </row>
  </sheetData>
  <autoFilter ref="B6:AE84" xr:uid="{65FA6D9B-E0AF-46CD-BA0D-86BB75FE6AB0}"/>
  <hyperlinks>
    <hyperlink ref="P12" r:id="rId1" xr:uid="{71D963DC-C704-4B64-8398-18C7B5C834AD}"/>
    <hyperlink ref="P14" r:id="rId2" xr:uid="{94AB43DD-0BEF-48D4-9D34-EED50301D9E4}"/>
    <hyperlink ref="P21" r:id="rId3" xr:uid="{C5ACAA53-B902-41BF-92AA-C10A8EDBAB81}"/>
    <hyperlink ref="P23" r:id="rId4" xr:uid="{3CB0EF11-7617-4CCA-91F2-B4915699621F}"/>
    <hyperlink ref="P26" r:id="rId5" xr:uid="{BD8A9C9A-225E-4B79-B57C-251DBE4573B2}"/>
    <hyperlink ref="P37" r:id="rId6" xr:uid="{EC632585-A788-481F-9101-B5EF3A210075}"/>
    <hyperlink ref="P35" r:id="rId7" xr:uid="{763A04AD-D31C-4825-9786-00B56BB09DE4}"/>
    <hyperlink ref="P31" r:id="rId8" xr:uid="{FAE70D29-CB76-4DBE-BDEE-2AB68F1DA607}"/>
    <hyperlink ref="P43" r:id="rId9" xr:uid="{30313FC8-ECB6-49DF-A766-C44A09FB67D0}"/>
    <hyperlink ref="P46" r:id="rId10" xr:uid="{CD3EDA1D-1219-4B7B-B7FC-5BC8FF270A45}"/>
    <hyperlink ref="P47" r:id="rId11" xr:uid="{83A59954-8EB2-4956-BCE2-BDACC351CE0F}"/>
    <hyperlink ref="P51" r:id="rId12" location="reisesok" xr:uid="{1C48A48A-82B2-4AD7-B9F4-E78693BF16BC}"/>
    <hyperlink ref="P56" r:id="rId13" xr:uid="{BBAAE74E-DA87-43E4-8351-EC482868FF2E}"/>
    <hyperlink ref="P74" r:id="rId14" xr:uid="{58D03A65-481A-4520-8B84-FF6F81619A28}"/>
    <hyperlink ref="P76" r:id="rId15" xr:uid="{C11B87C3-287B-4FF5-B709-FF90E72ECA1A}"/>
    <hyperlink ref="P72" r:id="rId16" xr:uid="{55B92C77-1EA4-4337-8EF8-93B8EAAF5814}"/>
    <hyperlink ref="P77" r:id="rId17" xr:uid="{DBAD9DD6-C6B6-4EA6-B5C7-7464A0349C78}"/>
    <hyperlink ref="P33" r:id="rId18" xr:uid="{95B99245-43C1-4896-8AFB-B24FDCE0F837}"/>
    <hyperlink ref="P19" r:id="rId19" xr:uid="{88D49149-22DF-4884-BDA0-324A1699AFF4}"/>
  </hyperlinks>
  <pageMargins left="0.7" right="0.7" top="0.75" bottom="0.75" header="0.3" footer="0.3"/>
  <pageSetup paperSize="9" orientation="portrait" r:id="rId2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5E11-547F-40AE-BFF1-831E5F2C37F2}">
  <sheetPr>
    <tabColor rgb="FFFFFF00"/>
  </sheetPr>
  <dimension ref="B1:AK124"/>
  <sheetViews>
    <sheetView topLeftCell="A75" zoomScale="80" zoomScaleNormal="80" workbookViewId="0">
      <selection activeCell="C8" sqref="C8"/>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61</v>
      </c>
    </row>
    <row r="2" spans="2:36" x14ac:dyDescent="0.25">
      <c r="B2" s="2" t="s">
        <v>52</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11.3</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11.3</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11.3</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11.3</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11.3</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11.3</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11.3</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11.3</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11.3</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11.3</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11.3</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11.3</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11.3</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11.3</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11.3</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11.3</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11.3</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11.3</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11.3</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11.3</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11.3</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11.3</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11.3</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11.3</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11.3</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11.3</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11.3</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11.3</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11.3</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11.3</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11.3</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11.3</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11.3</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11.3</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11.3</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11.3</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11.3</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11.3</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11.3</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11.3</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11.3</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11.3</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11.3</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11.3</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11.3</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11.3</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11.3</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11.3</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11.3</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11.3</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11.3</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11.3</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11.3</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11.3</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11.3</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11.3</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11.3</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11.3</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11.3</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11.3</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11.3</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11.3</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11.3</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11.3</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11.3</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11.3</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11.3</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11.3</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11.3</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11.3</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11.3</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11.3</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11.3</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11.3</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11.3</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11.3</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11.3</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11.3</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11.3</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11.3</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11.3</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11.3</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11.3</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11.3</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11.3</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11.3</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11.3</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11.3</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11.3</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11.3</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11.3</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45</v>
      </c>
      <c r="Z103" s="34"/>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4" t="s">
        <v>46</v>
      </c>
      <c r="Z104" s="34">
        <f>Z103/2</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9"/>
      <c r="Z105" s="9"/>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9" t="s">
        <v>47</v>
      </c>
      <c r="Z106" s="9">
        <f>Z103-Z107</f>
        <v>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9" t="s">
        <v>48</v>
      </c>
      <c r="Z107" s="9"/>
      <c r="AA107" s="9"/>
      <c r="AB107" s="9"/>
      <c r="AC107" s="9"/>
      <c r="AD107" s="9"/>
      <c r="AE107" s="9"/>
      <c r="AF107" s="18"/>
    </row>
    <row r="108" spans="2:36" x14ac:dyDescent="0.25">
      <c r="F108" s="1"/>
      <c r="G108" s="1"/>
      <c r="H108" s="1"/>
      <c r="J108" s="1" t="s">
        <v>32</v>
      </c>
      <c r="Q108" s="9"/>
      <c r="R108" s="4"/>
      <c r="S108" s="9"/>
      <c r="T108" s="5"/>
      <c r="U108" s="9"/>
      <c r="V108" s="4"/>
      <c r="W108" s="4"/>
      <c r="X108" s="9"/>
      <c r="Y108" s="9"/>
      <c r="Z108" s="9"/>
      <c r="AA108" s="9"/>
      <c r="AB108" s="9"/>
      <c r="AC108" s="9"/>
      <c r="AD108" s="9"/>
      <c r="AE108" s="9"/>
    </row>
    <row r="109" spans="2:36" x14ac:dyDescent="0.25">
      <c r="R109" s="4"/>
      <c r="S109" s="17"/>
      <c r="T109" s="17"/>
      <c r="U109" s="9"/>
      <c r="V109" s="4"/>
      <c r="W109" s="4"/>
      <c r="X109" s="9"/>
      <c r="Y109" s="9" t="s">
        <v>49</v>
      </c>
      <c r="Z109" s="9">
        <f>Z103*0.3</f>
        <v>0</v>
      </c>
      <c r="AA109" s="9"/>
      <c r="AB109" s="9"/>
      <c r="AC109" s="9"/>
      <c r="AD109" s="9"/>
      <c r="AE109" s="9"/>
    </row>
    <row r="110" spans="2:36" x14ac:dyDescent="0.25">
      <c r="Q110" s="9"/>
      <c r="R110" s="4"/>
      <c r="S110" s="16"/>
      <c r="T110" s="16"/>
      <c r="U110" s="9"/>
      <c r="V110" s="4"/>
      <c r="W110" s="4"/>
      <c r="X110" s="9"/>
      <c r="Y110" s="9" t="s">
        <v>51</v>
      </c>
      <c r="Z110" s="9">
        <f>Z107-Z109</f>
        <v>0</v>
      </c>
      <c r="AA110" s="9"/>
      <c r="AB110" s="9"/>
      <c r="AC110" s="9"/>
      <c r="AD110" s="9"/>
      <c r="AE110" s="9"/>
    </row>
    <row r="111" spans="2:36" x14ac:dyDescent="0.25">
      <c r="R111" s="4"/>
      <c r="S111" s="16"/>
      <c r="T111" s="16"/>
      <c r="Y111" s="9" t="s">
        <v>50</v>
      </c>
      <c r="Z111" s="9">
        <f>Z103-Z109-Z110</f>
        <v>0</v>
      </c>
      <c r="AA111" s="9"/>
      <c r="AB111" s="9"/>
      <c r="AC111" s="9"/>
      <c r="AD111" s="9"/>
      <c r="AE111" s="9"/>
    </row>
    <row r="112" spans="2:36" x14ac:dyDescent="0.25">
      <c r="T112" s="5"/>
      <c r="Y112" s="9"/>
      <c r="Z112" s="9"/>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1158-98D0-49CB-90CA-4853EBA92313}">
  <sheetPr>
    <tabColor rgb="FFFFFF00"/>
  </sheetPr>
  <dimension ref="B1:AK124"/>
  <sheetViews>
    <sheetView zoomScale="80" zoomScaleNormal="80" workbookViewId="0">
      <selection activeCell="B1" sqref="B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61</v>
      </c>
    </row>
    <row r="2" spans="2:36" x14ac:dyDescent="0.25">
      <c r="B2" s="2" t="s">
        <v>52</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11.3</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11.3</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11.3</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11.3</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11.3</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11.3</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11.3</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11.3</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11.3</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11.3</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11.3</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11.3</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11.3</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11.3</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11.3</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11.3</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11.3</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11.3</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11.3</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11.3</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11.3</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11.3</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11.3</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11.3</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11.3</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11.3</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11.3</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11.3</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11.3</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11.3</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11.3</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11.3</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11.3</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11.3</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11.3</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11.3</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11.3</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11.3</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11.3</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11.3</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11.3</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11.3</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11.3</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11.3</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11.3</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11.3</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11.3</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11.3</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11.3</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11.3</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11.3</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11.3</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11.3</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11.3</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11.3</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11.3</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11.3</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11.3</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11.3</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11.3</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11.3</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11.3</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11.3</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11.3</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11.3</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11.3</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11.3</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11.3</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11.3</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11.3</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11.3</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11.3</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11.3</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11.3</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11.3</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11.3</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11.3</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11.3</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11.3</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11.3</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11.3</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11.3</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11.3</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11.3</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11.3</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11.3</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11.3</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11.3</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11.3</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11.3</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11.3</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11.3</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11.3</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45</v>
      </c>
      <c r="Z103" s="34"/>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4" t="s">
        <v>46</v>
      </c>
      <c r="Z104" s="34">
        <f>Z103/2</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9"/>
      <c r="Z105" s="9"/>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9" t="s">
        <v>47</v>
      </c>
      <c r="Z106" s="9">
        <f>Z103-Z107</f>
        <v>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9" t="s">
        <v>48</v>
      </c>
      <c r="Z107" s="9"/>
      <c r="AA107" s="9"/>
      <c r="AB107" s="9"/>
      <c r="AC107" s="9"/>
      <c r="AD107" s="9"/>
      <c r="AE107" s="9"/>
      <c r="AF107" s="18"/>
    </row>
    <row r="108" spans="2:36" x14ac:dyDescent="0.25">
      <c r="F108" s="1"/>
      <c r="G108" s="1"/>
      <c r="H108" s="1"/>
      <c r="J108" s="1" t="s">
        <v>32</v>
      </c>
      <c r="Q108" s="9"/>
      <c r="R108" s="4"/>
      <c r="S108" s="9"/>
      <c r="T108" s="5"/>
      <c r="U108" s="9"/>
      <c r="V108" s="4"/>
      <c r="W108" s="4"/>
      <c r="X108" s="9"/>
      <c r="Y108" s="9"/>
      <c r="Z108" s="9"/>
      <c r="AA108" s="9"/>
      <c r="AB108" s="9"/>
      <c r="AC108" s="9"/>
      <c r="AD108" s="9"/>
      <c r="AE108" s="9"/>
    </row>
    <row r="109" spans="2:36" x14ac:dyDescent="0.25">
      <c r="R109" s="4"/>
      <c r="S109" s="17"/>
      <c r="T109" s="17"/>
      <c r="U109" s="9"/>
      <c r="V109" s="4"/>
      <c r="W109" s="4"/>
      <c r="X109" s="9"/>
      <c r="Y109" s="9" t="s">
        <v>49</v>
      </c>
      <c r="Z109" s="9">
        <f>Z103*0.3</f>
        <v>0</v>
      </c>
      <c r="AA109" s="9"/>
      <c r="AB109" s="9"/>
      <c r="AC109" s="9"/>
      <c r="AD109" s="9"/>
      <c r="AE109" s="9"/>
    </row>
    <row r="110" spans="2:36" x14ac:dyDescent="0.25">
      <c r="Q110" s="9"/>
      <c r="R110" s="4"/>
      <c r="S110" s="16"/>
      <c r="T110" s="16"/>
      <c r="U110" s="9"/>
      <c r="V110" s="4"/>
      <c r="W110" s="4"/>
      <c r="X110" s="9"/>
      <c r="Y110" s="9" t="s">
        <v>51</v>
      </c>
      <c r="Z110" s="9">
        <f>Z107-Z109</f>
        <v>0</v>
      </c>
      <c r="AA110" s="9"/>
      <c r="AB110" s="9"/>
      <c r="AC110" s="9"/>
      <c r="AD110" s="9"/>
      <c r="AE110" s="9"/>
    </row>
    <row r="111" spans="2:36" x14ac:dyDescent="0.25">
      <c r="R111" s="4"/>
      <c r="S111" s="16"/>
      <c r="T111" s="16"/>
      <c r="Y111" s="9" t="s">
        <v>50</v>
      </c>
      <c r="Z111" s="9">
        <f>Z103-Z109-Z110</f>
        <v>0</v>
      </c>
      <c r="AA111" s="9"/>
      <c r="AB111" s="9"/>
      <c r="AC111" s="9"/>
      <c r="AD111" s="9"/>
      <c r="AE111" s="9"/>
    </row>
    <row r="112" spans="2:36" x14ac:dyDescent="0.25">
      <c r="T112" s="5"/>
      <c r="Y112" s="9"/>
      <c r="Z112" s="9"/>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customXml/itemProps2.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77E57D-ABDD-4DAE-B3A5-315ED7FE90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Curr</vt:lpstr>
      <vt:lpstr>Overview</vt:lpstr>
      <vt:lpstr>1201</vt:lpstr>
      <vt:lpstr>1202</vt:lpstr>
      <vt:lpstr>1203</vt:lpstr>
      <vt:lpstr>1204</vt:lpstr>
      <vt:lpstr>1205</vt:lpstr>
      <vt:lpstr>1206</vt:lpstr>
      <vt:lpstr>1207</vt:lpstr>
      <vt:lpstr>1208</vt:lpstr>
      <vt:lpstr>1209</vt:lpstr>
      <vt:lpstr>1210</vt:lpstr>
      <vt:lpstr>1211</vt:lpstr>
      <vt:lpstr>1212</vt:lpstr>
      <vt:lpstr>1213</vt:lpstr>
      <vt:lpstr>1214</vt:lpstr>
      <vt:lpstr>1215</vt:lpstr>
      <vt:lpstr>1216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Christer Andre Olsen</dc:creator>
  <cp:lastModifiedBy>Dennis Kålen</cp:lastModifiedBy>
  <dcterms:created xsi:type="dcterms:W3CDTF">2023-07-31T16:02:03Z</dcterms:created>
  <dcterms:modified xsi:type="dcterms:W3CDTF">2026-05-05T12:32:39Z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