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nnisKålen\Desktop\Itineraries\Meta Ad Leads\ITIN-202614-Dean-5pax-NO\"/>
    </mc:Choice>
  </mc:AlternateContent>
  <xr:revisionPtr revIDLastSave="0" documentId="13_ncr:1_{BCA015A9-0F39-4ADE-8DD6-FCEA7977C66D}" xr6:coauthVersionLast="47" xr6:coauthVersionMax="47" xr10:uidLastSave="{00000000-0000-0000-0000-000000000000}"/>
  <bookViews>
    <workbookView xWindow="28680" yWindow="-120" windowWidth="29040" windowHeight="15720" activeTab="1" xr2:uid="{F0120B8F-C750-4EFC-83CE-D7DAB56C8915}"/>
  </bookViews>
  <sheets>
    <sheet name="Curr" sheetId="5" r:id="rId1"/>
    <sheet name="Kalk" sheetId="6" r:id="rId2"/>
    <sheet name="Self Transfer" sheetId="7" r:id="rId3"/>
  </sheets>
  <definedNames>
    <definedName name="_xlnm._FilterDatabase" localSheetId="1" hidden="1">Kalk!$B$6:$AE$62</definedName>
    <definedName name="_xlnm._FilterDatabase" localSheetId="2" hidden="1">'Self Transfer'!$B$6:$AE$62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4" i="6" l="1"/>
  <c r="Z70" i="7"/>
  <c r="Z71" i="7" s="1"/>
  <c r="Z72" i="7" s="1"/>
  <c r="Z67" i="7"/>
  <c r="Z65" i="7"/>
  <c r="AJ62" i="7"/>
  <c r="AI62" i="7"/>
  <c r="AH62" i="7"/>
  <c r="AG62" i="7"/>
  <c r="AF62" i="7"/>
  <c r="AB60" i="7"/>
  <c r="Y60" i="7"/>
  <c r="AC60" i="7" s="1"/>
  <c r="AD60" i="7" s="1"/>
  <c r="AE60" i="7" s="1"/>
  <c r="W60" i="7"/>
  <c r="S60" i="7"/>
  <c r="U60" i="7" s="1"/>
  <c r="X60" i="7" s="1"/>
  <c r="AB59" i="7"/>
  <c r="Y59" i="7"/>
  <c r="AC59" i="7" s="1"/>
  <c r="AD59" i="7" s="1"/>
  <c r="AE59" i="7" s="1"/>
  <c r="W59" i="7"/>
  <c r="S59" i="7"/>
  <c r="U59" i="7" s="1"/>
  <c r="X59" i="7" s="1"/>
  <c r="AB58" i="7"/>
  <c r="Y58" i="7"/>
  <c r="AC58" i="7" s="1"/>
  <c r="AD58" i="7" s="1"/>
  <c r="AE58" i="7" s="1"/>
  <c r="W58" i="7"/>
  <c r="S58" i="7"/>
  <c r="U58" i="7" s="1"/>
  <c r="X58" i="7" s="1"/>
  <c r="AB57" i="7"/>
  <c r="Y57" i="7"/>
  <c r="Z57" i="7" s="1"/>
  <c r="W57" i="7"/>
  <c r="S57" i="7"/>
  <c r="U57" i="7" s="1"/>
  <c r="X57" i="7" s="1"/>
  <c r="AB56" i="7"/>
  <c r="Y56" i="7"/>
  <c r="AC56" i="7" s="1"/>
  <c r="AD56" i="7" s="1"/>
  <c r="AE56" i="7" s="1"/>
  <c r="W56" i="7"/>
  <c r="S56" i="7"/>
  <c r="U56" i="7" s="1"/>
  <c r="X56" i="7" s="1"/>
  <c r="AB55" i="7"/>
  <c r="Y55" i="7"/>
  <c r="AC55" i="7" s="1"/>
  <c r="AD55" i="7" s="1"/>
  <c r="AE55" i="7" s="1"/>
  <c r="W55" i="7"/>
  <c r="S55" i="7"/>
  <c r="U55" i="7" s="1"/>
  <c r="X55" i="7" s="1"/>
  <c r="AB54" i="7"/>
  <c r="Y54" i="7"/>
  <c r="AC54" i="7" s="1"/>
  <c r="AD54" i="7" s="1"/>
  <c r="AE54" i="7" s="1"/>
  <c r="W54" i="7"/>
  <c r="S54" i="7"/>
  <c r="U54" i="7" s="1"/>
  <c r="X54" i="7" s="1"/>
  <c r="AB53" i="7"/>
  <c r="Y53" i="7"/>
  <c r="Z53" i="7" s="1"/>
  <c r="W53" i="7"/>
  <c r="S53" i="7"/>
  <c r="U53" i="7" s="1"/>
  <c r="X53" i="7" s="1"/>
  <c r="AB52" i="7"/>
  <c r="Y52" i="7"/>
  <c r="AC52" i="7" s="1"/>
  <c r="AD52" i="7" s="1"/>
  <c r="AE52" i="7" s="1"/>
  <c r="W52" i="7"/>
  <c r="S52" i="7"/>
  <c r="U52" i="7" s="1"/>
  <c r="X52" i="7" s="1"/>
  <c r="AB51" i="7"/>
  <c r="Y51" i="7"/>
  <c r="AC51" i="7" s="1"/>
  <c r="AD51" i="7" s="1"/>
  <c r="AE51" i="7" s="1"/>
  <c r="W51" i="7"/>
  <c r="S51" i="7"/>
  <c r="U51" i="7" s="1"/>
  <c r="X51" i="7" s="1"/>
  <c r="AB50" i="7"/>
  <c r="Y50" i="7"/>
  <c r="AC50" i="7" s="1"/>
  <c r="AD50" i="7" s="1"/>
  <c r="AE50" i="7" s="1"/>
  <c r="W50" i="7"/>
  <c r="S50" i="7"/>
  <c r="U50" i="7" s="1"/>
  <c r="X50" i="7" s="1"/>
  <c r="AB49" i="7"/>
  <c r="Y49" i="7"/>
  <c r="Z49" i="7" s="1"/>
  <c r="W49" i="7"/>
  <c r="S49" i="7"/>
  <c r="U49" i="7" s="1"/>
  <c r="X49" i="7" s="1"/>
  <c r="AB48" i="7"/>
  <c r="Y48" i="7"/>
  <c r="AC48" i="7" s="1"/>
  <c r="AD48" i="7" s="1"/>
  <c r="AE48" i="7" s="1"/>
  <c r="W48" i="7"/>
  <c r="S48" i="7"/>
  <c r="U48" i="7" s="1"/>
  <c r="X48" i="7" s="1"/>
  <c r="AB47" i="7"/>
  <c r="Y47" i="7"/>
  <c r="AC47" i="7" s="1"/>
  <c r="AD47" i="7" s="1"/>
  <c r="AE47" i="7" s="1"/>
  <c r="W47" i="7"/>
  <c r="S47" i="7"/>
  <c r="U47" i="7" s="1"/>
  <c r="X47" i="7" s="1"/>
  <c r="AB46" i="7"/>
  <c r="Y46" i="7"/>
  <c r="AC46" i="7" s="1"/>
  <c r="AD46" i="7" s="1"/>
  <c r="AE46" i="7" s="1"/>
  <c r="W46" i="7"/>
  <c r="S46" i="7"/>
  <c r="U46" i="7" s="1"/>
  <c r="X46" i="7" s="1"/>
  <c r="AB45" i="7"/>
  <c r="Y45" i="7"/>
  <c r="Z45" i="7" s="1"/>
  <c r="W45" i="7"/>
  <c r="S45" i="7"/>
  <c r="U45" i="7" s="1"/>
  <c r="X45" i="7" s="1"/>
  <c r="AB44" i="7"/>
  <c r="Y44" i="7"/>
  <c r="AC44" i="7" s="1"/>
  <c r="AD44" i="7" s="1"/>
  <c r="AE44" i="7" s="1"/>
  <c r="W44" i="7"/>
  <c r="S44" i="7"/>
  <c r="U44" i="7" s="1"/>
  <c r="X44" i="7" s="1"/>
  <c r="AB43" i="7"/>
  <c r="Y43" i="7"/>
  <c r="AC43" i="7" s="1"/>
  <c r="AD43" i="7" s="1"/>
  <c r="AE43" i="7" s="1"/>
  <c r="W43" i="7"/>
  <c r="S43" i="7"/>
  <c r="U43" i="7" s="1"/>
  <c r="X43" i="7" s="1"/>
  <c r="AB42" i="7"/>
  <c r="Y42" i="7"/>
  <c r="AC42" i="7" s="1"/>
  <c r="AD42" i="7" s="1"/>
  <c r="AE42" i="7" s="1"/>
  <c r="W42" i="7"/>
  <c r="S42" i="7"/>
  <c r="U42" i="7" s="1"/>
  <c r="X42" i="7" s="1"/>
  <c r="AB41" i="7"/>
  <c r="Y41" i="7"/>
  <c r="Z41" i="7" s="1"/>
  <c r="W41" i="7"/>
  <c r="S41" i="7"/>
  <c r="U41" i="7" s="1"/>
  <c r="X41" i="7" s="1"/>
  <c r="AB40" i="7"/>
  <c r="Y40" i="7"/>
  <c r="AC40" i="7" s="1"/>
  <c r="AD40" i="7" s="1"/>
  <c r="AE40" i="7" s="1"/>
  <c r="W40" i="7"/>
  <c r="S40" i="7"/>
  <c r="U40" i="7" s="1"/>
  <c r="X40" i="7" s="1"/>
  <c r="AB39" i="7"/>
  <c r="Y39" i="7"/>
  <c r="AC39" i="7" s="1"/>
  <c r="AD39" i="7" s="1"/>
  <c r="AE39" i="7" s="1"/>
  <c r="W39" i="7"/>
  <c r="S39" i="7"/>
  <c r="U39" i="7" s="1"/>
  <c r="X39" i="7" s="1"/>
  <c r="AB38" i="7"/>
  <c r="Y38" i="7"/>
  <c r="AC38" i="7" s="1"/>
  <c r="AD38" i="7" s="1"/>
  <c r="AE38" i="7" s="1"/>
  <c r="W38" i="7"/>
  <c r="S38" i="7"/>
  <c r="U38" i="7" s="1"/>
  <c r="X38" i="7" s="1"/>
  <c r="AB37" i="7"/>
  <c r="Y37" i="7"/>
  <c r="Z37" i="7" s="1"/>
  <c r="W37" i="7"/>
  <c r="S37" i="7"/>
  <c r="U37" i="7" s="1"/>
  <c r="X37" i="7" s="1"/>
  <c r="Q37" i="7"/>
  <c r="AC36" i="7"/>
  <c r="AB36" i="7"/>
  <c r="Z36" i="7"/>
  <c r="Y36" i="7"/>
  <c r="W36" i="7"/>
  <c r="U36" i="7"/>
  <c r="X36" i="7" s="1"/>
  <c r="S36" i="7"/>
  <c r="AC35" i="7"/>
  <c r="AD35" i="7" s="1"/>
  <c r="AE35" i="7" s="1"/>
  <c r="AB35" i="7"/>
  <c r="Z35" i="7"/>
  <c r="Y35" i="7"/>
  <c r="X35" i="7"/>
  <c r="W35" i="7"/>
  <c r="U35" i="7"/>
  <c r="S35" i="7"/>
  <c r="AC34" i="7"/>
  <c r="AB34" i="7"/>
  <c r="Z34" i="7"/>
  <c r="Y34" i="7"/>
  <c r="W34" i="7"/>
  <c r="S34" i="7"/>
  <c r="U34" i="7" s="1"/>
  <c r="X34" i="7" s="1"/>
  <c r="AC33" i="7"/>
  <c r="AD33" i="7" s="1"/>
  <c r="AE33" i="7" s="1"/>
  <c r="AB33" i="7"/>
  <c r="Z33" i="7"/>
  <c r="Y33" i="7"/>
  <c r="X33" i="7"/>
  <c r="W33" i="7"/>
  <c r="U33" i="7"/>
  <c r="S33" i="7"/>
  <c r="AC32" i="7"/>
  <c r="AD32" i="7" s="1"/>
  <c r="AE32" i="7" s="1"/>
  <c r="AB32" i="7"/>
  <c r="Z32" i="7"/>
  <c r="Y32" i="7"/>
  <c r="W32" i="7"/>
  <c r="U32" i="7"/>
  <c r="X32" i="7" s="1"/>
  <c r="S32" i="7"/>
  <c r="AC31" i="7"/>
  <c r="AD31" i="7" s="1"/>
  <c r="AE31" i="7" s="1"/>
  <c r="AB31" i="7"/>
  <c r="Z31" i="7"/>
  <c r="Y31" i="7"/>
  <c r="X31" i="7"/>
  <c r="W31" i="7"/>
  <c r="U31" i="7"/>
  <c r="S31" i="7"/>
  <c r="AC30" i="7"/>
  <c r="AD30" i="7" s="1"/>
  <c r="AE30" i="7" s="1"/>
  <c r="AB30" i="7"/>
  <c r="Z30" i="7"/>
  <c r="Y30" i="7"/>
  <c r="W30" i="7"/>
  <c r="U30" i="7"/>
  <c r="X30" i="7" s="1"/>
  <c r="S30" i="7"/>
  <c r="AC29" i="7"/>
  <c r="AD29" i="7" s="1"/>
  <c r="AE29" i="7" s="1"/>
  <c r="AB29" i="7"/>
  <c r="Z29" i="7"/>
  <c r="Y29" i="7"/>
  <c r="X29" i="7"/>
  <c r="W29" i="7"/>
  <c r="U29" i="7"/>
  <c r="S29" i="7"/>
  <c r="AC28" i="7"/>
  <c r="AD28" i="7" s="1"/>
  <c r="AE28" i="7" s="1"/>
  <c r="AB28" i="7"/>
  <c r="Z28" i="7"/>
  <c r="Y28" i="7"/>
  <c r="W28" i="7"/>
  <c r="U28" i="7"/>
  <c r="X28" i="7" s="1"/>
  <c r="S28" i="7"/>
  <c r="AC27" i="7"/>
  <c r="AD27" i="7" s="1"/>
  <c r="AE27" i="7" s="1"/>
  <c r="AB27" i="7"/>
  <c r="Z27" i="7"/>
  <c r="Y27" i="7"/>
  <c r="X27" i="7"/>
  <c r="W27" i="7"/>
  <c r="U27" i="7"/>
  <c r="S27" i="7"/>
  <c r="AC26" i="7"/>
  <c r="AD26" i="7" s="1"/>
  <c r="AE26" i="7" s="1"/>
  <c r="AB26" i="7"/>
  <c r="Z26" i="7"/>
  <c r="Y26" i="7"/>
  <c r="X26" i="7"/>
  <c r="W26" i="7"/>
  <c r="U26" i="7"/>
  <c r="S26" i="7"/>
  <c r="AC25" i="7"/>
  <c r="AD25" i="7" s="1"/>
  <c r="AE25" i="7" s="1"/>
  <c r="AB25" i="7"/>
  <c r="Z25" i="7"/>
  <c r="Y25" i="7"/>
  <c r="X25" i="7"/>
  <c r="W25" i="7"/>
  <c r="U25" i="7"/>
  <c r="S25" i="7"/>
  <c r="AB24" i="7"/>
  <c r="W24" i="7"/>
  <c r="Q24" i="7"/>
  <c r="S24" i="7" s="1"/>
  <c r="U24" i="7" s="1"/>
  <c r="X24" i="7" s="1"/>
  <c r="AB23" i="7"/>
  <c r="Y23" i="7"/>
  <c r="AC23" i="7" s="1"/>
  <c r="W23" i="7"/>
  <c r="S23" i="7"/>
  <c r="U23" i="7" s="1"/>
  <c r="X23" i="7" s="1"/>
  <c r="AB22" i="7"/>
  <c r="Y22" i="7"/>
  <c r="Z22" i="7" s="1"/>
  <c r="W22" i="7"/>
  <c r="S22" i="7"/>
  <c r="U22" i="7" s="1"/>
  <c r="X22" i="7" s="1"/>
  <c r="AB21" i="7"/>
  <c r="Y21" i="7"/>
  <c r="AC21" i="7" s="1"/>
  <c r="W21" i="7"/>
  <c r="S21" i="7"/>
  <c r="U21" i="7" s="1"/>
  <c r="X21" i="7" s="1"/>
  <c r="AB20" i="7"/>
  <c r="Y20" i="7"/>
  <c r="AC20" i="7" s="1"/>
  <c r="W20" i="7"/>
  <c r="S20" i="7"/>
  <c r="U20" i="7" s="1"/>
  <c r="X20" i="7" s="1"/>
  <c r="AB19" i="7"/>
  <c r="Y19" i="7"/>
  <c r="AC19" i="7" s="1"/>
  <c r="W19" i="7"/>
  <c r="S19" i="7"/>
  <c r="U19" i="7" s="1"/>
  <c r="X19" i="7" s="1"/>
  <c r="AB18" i="7"/>
  <c r="Y18" i="7"/>
  <c r="Z18" i="7" s="1"/>
  <c r="W18" i="7"/>
  <c r="S18" i="7"/>
  <c r="U18" i="7" s="1"/>
  <c r="X18" i="7" s="1"/>
  <c r="AB17" i="7"/>
  <c r="Y17" i="7"/>
  <c r="AC17" i="7" s="1"/>
  <c r="W17" i="7"/>
  <c r="S17" i="7"/>
  <c r="U17" i="7" s="1"/>
  <c r="X17" i="7" s="1"/>
  <c r="AB16" i="7"/>
  <c r="Y16" i="7"/>
  <c r="AC16" i="7" s="1"/>
  <c r="W16" i="7"/>
  <c r="S16" i="7"/>
  <c r="U16" i="7" s="1"/>
  <c r="X16" i="7" s="1"/>
  <c r="AB15" i="7"/>
  <c r="Y15" i="7"/>
  <c r="AC15" i="7" s="1"/>
  <c r="W15" i="7"/>
  <c r="S15" i="7"/>
  <c r="U15" i="7" s="1"/>
  <c r="X15" i="7" s="1"/>
  <c r="AB14" i="7"/>
  <c r="Y14" i="7"/>
  <c r="Z14" i="7" s="1"/>
  <c r="W14" i="7"/>
  <c r="S14" i="7"/>
  <c r="U14" i="7" s="1"/>
  <c r="X14" i="7" s="1"/>
  <c r="AB13" i="7"/>
  <c r="Y13" i="7"/>
  <c r="AC13" i="7" s="1"/>
  <c r="W13" i="7"/>
  <c r="S13" i="7"/>
  <c r="U13" i="7" s="1"/>
  <c r="X13" i="7" s="1"/>
  <c r="AB12" i="7"/>
  <c r="Y12" i="7"/>
  <c r="AC12" i="7" s="1"/>
  <c r="W12" i="7"/>
  <c r="S12" i="7"/>
  <c r="U12" i="7" s="1"/>
  <c r="X12" i="7" s="1"/>
  <c r="AB11" i="7"/>
  <c r="Y11" i="7"/>
  <c r="AC11" i="7" s="1"/>
  <c r="W11" i="7"/>
  <c r="S11" i="7"/>
  <c r="U11" i="7" s="1"/>
  <c r="X11" i="7" s="1"/>
  <c r="AB10" i="7"/>
  <c r="Y10" i="7"/>
  <c r="Z10" i="7" s="1"/>
  <c r="W10" i="7"/>
  <c r="S10" i="7"/>
  <c r="U10" i="7" s="1"/>
  <c r="X10" i="7" s="1"/>
  <c r="AB9" i="7"/>
  <c r="Y9" i="7"/>
  <c r="AC9" i="7" s="1"/>
  <c r="W9" i="7"/>
  <c r="S9" i="7"/>
  <c r="U9" i="7" s="1"/>
  <c r="X9" i="7" s="1"/>
  <c r="Q9" i="7"/>
  <c r="AC8" i="7"/>
  <c r="AB8" i="7"/>
  <c r="Z8" i="7"/>
  <c r="Y8" i="7"/>
  <c r="W8" i="7"/>
  <c r="S8" i="7"/>
  <c r="U8" i="7" s="1"/>
  <c r="X8" i="7" s="1"/>
  <c r="AC7" i="7"/>
  <c r="AB7" i="7"/>
  <c r="Z7" i="7"/>
  <c r="Y7" i="7"/>
  <c r="X7" i="7"/>
  <c r="W7" i="7"/>
  <c r="U7" i="7"/>
  <c r="S7" i="7"/>
  <c r="Y40" i="6"/>
  <c r="W44" i="6"/>
  <c r="U44" i="6"/>
  <c r="X44" i="6" s="1"/>
  <c r="S44" i="6"/>
  <c r="Y50" i="6"/>
  <c r="W50" i="6"/>
  <c r="S50" i="6"/>
  <c r="U50" i="6" s="1"/>
  <c r="X50" i="6" s="1"/>
  <c r="Y36" i="6"/>
  <c r="W36" i="6"/>
  <c r="S36" i="6"/>
  <c r="U36" i="6" s="1"/>
  <c r="X36" i="6" s="1"/>
  <c r="AB46" i="6"/>
  <c r="Y46" i="6"/>
  <c r="W46" i="6"/>
  <c r="S46" i="6"/>
  <c r="U46" i="6" s="1"/>
  <c r="Q37" i="6"/>
  <c r="Y37" i="6" s="1"/>
  <c r="Y35" i="6"/>
  <c r="Y31" i="6"/>
  <c r="Y16" i="6"/>
  <c r="Y34" i="6"/>
  <c r="W34" i="6"/>
  <c r="Y23" i="6"/>
  <c r="S19" i="6"/>
  <c r="Q9" i="6"/>
  <c r="Y9" i="6" s="1"/>
  <c r="Q24" i="6"/>
  <c r="Y24" i="6" s="1"/>
  <c r="Y18" i="6"/>
  <c r="S16" i="6"/>
  <c r="U16" i="6" s="1"/>
  <c r="Z65" i="6"/>
  <c r="Y28" i="6"/>
  <c r="Y27" i="6"/>
  <c r="Y12" i="6"/>
  <c r="Y8" i="6"/>
  <c r="S40" i="6"/>
  <c r="U40" i="6" s="1"/>
  <c r="S28" i="6"/>
  <c r="U28" i="6" s="1"/>
  <c r="S27" i="6"/>
  <c r="U27" i="6" s="1"/>
  <c r="S12" i="6"/>
  <c r="U12" i="6" s="1"/>
  <c r="S22" i="6"/>
  <c r="U22" i="6" s="1"/>
  <c r="AD8" i="7" l="1"/>
  <c r="AE8" i="7" s="1"/>
  <c r="AD12" i="7"/>
  <c r="AE12" i="7" s="1"/>
  <c r="AD16" i="7"/>
  <c r="AE16" i="7" s="1"/>
  <c r="AD20" i="7"/>
  <c r="AE20" i="7" s="1"/>
  <c r="AD36" i="7"/>
  <c r="AE36" i="7" s="1"/>
  <c r="AD9" i="7"/>
  <c r="AE9" i="7" s="1"/>
  <c r="AD11" i="7"/>
  <c r="AE11" i="7" s="1"/>
  <c r="AD13" i="7"/>
  <c r="AE13" i="7" s="1"/>
  <c r="AD15" i="7"/>
  <c r="AE15" i="7" s="1"/>
  <c r="AD17" i="7"/>
  <c r="AE17" i="7" s="1"/>
  <c r="AD19" i="7"/>
  <c r="AE19" i="7" s="1"/>
  <c r="AD21" i="7"/>
  <c r="AE21" i="7" s="1"/>
  <c r="AD23" i="7"/>
  <c r="AE23" i="7" s="1"/>
  <c r="AD34" i="7"/>
  <c r="AE34" i="7" s="1"/>
  <c r="AC10" i="7"/>
  <c r="AD10" i="7" s="1"/>
  <c r="AE10" i="7" s="1"/>
  <c r="Z11" i="7"/>
  <c r="AC14" i="7"/>
  <c r="AD14" i="7" s="1"/>
  <c r="AE14" i="7" s="1"/>
  <c r="Z15" i="7"/>
  <c r="AC18" i="7"/>
  <c r="AD18" i="7" s="1"/>
  <c r="AE18" i="7" s="1"/>
  <c r="Z19" i="7"/>
  <c r="AC22" i="7"/>
  <c r="AD22" i="7" s="1"/>
  <c r="AE22" i="7" s="1"/>
  <c r="Z23" i="7"/>
  <c r="AC37" i="7"/>
  <c r="AD37" i="7" s="1"/>
  <c r="AE37" i="7" s="1"/>
  <c r="Z38" i="7"/>
  <c r="AC41" i="7"/>
  <c r="AD41" i="7" s="1"/>
  <c r="AE41" i="7" s="1"/>
  <c r="Z42" i="7"/>
  <c r="AC45" i="7"/>
  <c r="AD45" i="7" s="1"/>
  <c r="AE45" i="7" s="1"/>
  <c r="Z46" i="7"/>
  <c r="AC49" i="7"/>
  <c r="AD49" i="7" s="1"/>
  <c r="AE49" i="7" s="1"/>
  <c r="Z50" i="7"/>
  <c r="AC53" i="7"/>
  <c r="AD53" i="7" s="1"/>
  <c r="AE53" i="7" s="1"/>
  <c r="Z54" i="7"/>
  <c r="AC57" i="7"/>
  <c r="AD57" i="7" s="1"/>
  <c r="AE57" i="7" s="1"/>
  <c r="Z58" i="7"/>
  <c r="AD7" i="7"/>
  <c r="Z12" i="7"/>
  <c r="Z16" i="7"/>
  <c r="Z20" i="7"/>
  <c r="Y24" i="7"/>
  <c r="Z39" i="7"/>
  <c r="Z43" i="7"/>
  <c r="Z47" i="7"/>
  <c r="Z51" i="7"/>
  <c r="Z55" i="7"/>
  <c r="Z59" i="7"/>
  <c r="Z9" i="7"/>
  <c r="Z13" i="7"/>
  <c r="Z17" i="7"/>
  <c r="Z21" i="7"/>
  <c r="Z40" i="7"/>
  <c r="Z44" i="7"/>
  <c r="Z48" i="7"/>
  <c r="Z52" i="7"/>
  <c r="Z56" i="7"/>
  <c r="Z60" i="7"/>
  <c r="X46" i="6"/>
  <c r="AC46" i="6"/>
  <c r="Z46" i="6"/>
  <c r="AE7" i="7" l="1"/>
  <c r="AC24" i="7"/>
  <c r="AD24" i="7" s="1"/>
  <c r="AE24" i="7" s="1"/>
  <c r="Z24" i="7"/>
  <c r="Z62" i="7" s="1"/>
  <c r="AD46" i="6"/>
  <c r="AE46" i="6" s="1"/>
  <c r="AD62" i="7" l="1"/>
  <c r="AC62" i="7"/>
  <c r="AE62" i="7" l="1"/>
  <c r="W60" i="6" l="1"/>
  <c r="W59" i="6"/>
  <c r="W58" i="6"/>
  <c r="W57" i="6"/>
  <c r="W56" i="6"/>
  <c r="W55" i="6"/>
  <c r="W54" i="6"/>
  <c r="W53" i="6"/>
  <c r="W52" i="6"/>
  <c r="W51" i="6"/>
  <c r="W49" i="6"/>
  <c r="W48" i="6"/>
  <c r="W47" i="6"/>
  <c r="W45" i="6"/>
  <c r="W43" i="6"/>
  <c r="W42" i="6"/>
  <c r="W41" i="6"/>
  <c r="W40" i="6"/>
  <c r="W39" i="6"/>
  <c r="W38" i="6"/>
  <c r="W37" i="6"/>
  <c r="W35" i="6"/>
  <c r="W33" i="6"/>
  <c r="W32" i="6"/>
  <c r="W31" i="6"/>
  <c r="W30" i="6"/>
  <c r="W29" i="6"/>
  <c r="W28" i="6"/>
  <c r="W27" i="6"/>
  <c r="W26" i="6"/>
  <c r="W25" i="6"/>
  <c r="W24" i="6"/>
  <c r="W23" i="6"/>
  <c r="W22" i="6"/>
  <c r="W21" i="6"/>
  <c r="W20" i="6"/>
  <c r="W19" i="6"/>
  <c r="W18" i="6"/>
  <c r="W17" i="6"/>
  <c r="W16" i="6"/>
  <c r="W15" i="6"/>
  <c r="W14" i="6"/>
  <c r="W13" i="6"/>
  <c r="W12" i="6"/>
  <c r="W11" i="6"/>
  <c r="W10" i="6"/>
  <c r="W9" i="6"/>
  <c r="W8" i="6"/>
  <c r="W7" i="6"/>
  <c r="Z67" i="6"/>
  <c r="S11" i="6"/>
  <c r="U11" i="6" s="1"/>
  <c r="Y11" i="6"/>
  <c r="Z11" i="6" s="1"/>
  <c r="AB11" i="6"/>
  <c r="Z12" i="6"/>
  <c r="AB12" i="6"/>
  <c r="S13" i="6"/>
  <c r="U13" i="6" s="1"/>
  <c r="Y13" i="6"/>
  <c r="Z13" i="6" s="1"/>
  <c r="AB13" i="6"/>
  <c r="S14" i="6"/>
  <c r="U14" i="6" s="1"/>
  <c r="Y14" i="6"/>
  <c r="Z14" i="6" s="1"/>
  <c r="AB14" i="6"/>
  <c r="S15" i="6"/>
  <c r="U15" i="6" s="1"/>
  <c r="Y15" i="6"/>
  <c r="Z15" i="6" s="1"/>
  <c r="AB15" i="6"/>
  <c r="AB16" i="6"/>
  <c r="S17" i="6"/>
  <c r="U17" i="6" s="1"/>
  <c r="Y17" i="6"/>
  <c r="Z17" i="6" s="1"/>
  <c r="AB17" i="6"/>
  <c r="S18" i="6"/>
  <c r="U18" i="6" s="1"/>
  <c r="Z18" i="6"/>
  <c r="AB18" i="6"/>
  <c r="U19" i="6"/>
  <c r="Y19" i="6"/>
  <c r="AB19" i="6"/>
  <c r="S20" i="6"/>
  <c r="U20" i="6" s="1"/>
  <c r="Y20" i="6"/>
  <c r="Z20" i="6" s="1"/>
  <c r="AB20" i="6"/>
  <c r="S21" i="6"/>
  <c r="U21" i="6" s="1"/>
  <c r="Y21" i="6"/>
  <c r="Z21" i="6" s="1"/>
  <c r="AB21" i="6"/>
  <c r="Y22" i="6"/>
  <c r="Z22" i="6" s="1"/>
  <c r="AB22" i="6"/>
  <c r="S23" i="6"/>
  <c r="U23" i="6" s="1"/>
  <c r="Z23" i="6"/>
  <c r="AB23" i="6"/>
  <c r="S24" i="6"/>
  <c r="U24" i="6" s="1"/>
  <c r="AB24" i="6"/>
  <c r="S25" i="6"/>
  <c r="U25" i="6" s="1"/>
  <c r="Y25" i="6"/>
  <c r="Z25" i="6" s="1"/>
  <c r="AB25" i="6"/>
  <c r="S26" i="6"/>
  <c r="U26" i="6" s="1"/>
  <c r="Y26" i="6"/>
  <c r="Z26" i="6" s="1"/>
  <c r="AB26" i="6"/>
  <c r="Z27" i="6"/>
  <c r="AB27" i="6"/>
  <c r="Z28" i="6"/>
  <c r="AB28" i="6"/>
  <c r="S29" i="6"/>
  <c r="U29" i="6" s="1"/>
  <c r="Y29" i="6"/>
  <c r="Z29" i="6" s="1"/>
  <c r="AB29" i="6"/>
  <c r="S30" i="6"/>
  <c r="U30" i="6" s="1"/>
  <c r="Y30" i="6"/>
  <c r="Z30" i="6" s="1"/>
  <c r="AB30" i="6"/>
  <c r="S31" i="6"/>
  <c r="U31" i="6" s="1"/>
  <c r="Z31" i="6"/>
  <c r="AB31" i="6"/>
  <c r="S32" i="6"/>
  <c r="U32" i="6" s="1"/>
  <c r="Y32" i="6"/>
  <c r="AB32" i="6"/>
  <c r="S33" i="6"/>
  <c r="U33" i="6" s="1"/>
  <c r="Y33" i="6"/>
  <c r="Z33" i="6" s="1"/>
  <c r="AB33" i="6"/>
  <c r="S34" i="6"/>
  <c r="U34" i="6" s="1"/>
  <c r="X34" i="6" s="1"/>
  <c r="Z34" i="6"/>
  <c r="AB34" i="6"/>
  <c r="S35" i="6"/>
  <c r="U35" i="6" s="1"/>
  <c r="Z35" i="6"/>
  <c r="AB35" i="6"/>
  <c r="Z36" i="6"/>
  <c r="AB36" i="6"/>
  <c r="S37" i="6"/>
  <c r="U37" i="6" s="1"/>
  <c r="Z37" i="6"/>
  <c r="AB37" i="6"/>
  <c r="S38" i="6"/>
  <c r="U38" i="6" s="1"/>
  <c r="Y38" i="6"/>
  <c r="Z38" i="6" s="1"/>
  <c r="AB38" i="6"/>
  <c r="S39" i="6"/>
  <c r="U39" i="6" s="1"/>
  <c r="Y39" i="6"/>
  <c r="AB39" i="6"/>
  <c r="Z40" i="6"/>
  <c r="AB40" i="6"/>
  <c r="S41" i="6"/>
  <c r="U41" i="6" s="1"/>
  <c r="Y41" i="6"/>
  <c r="Z41" i="6" s="1"/>
  <c r="AB41" i="6"/>
  <c r="S42" i="6"/>
  <c r="U42" i="6" s="1"/>
  <c r="Y42" i="6"/>
  <c r="Z42" i="6" s="1"/>
  <c r="AB42" i="6"/>
  <c r="S43" i="6"/>
  <c r="U43" i="6" s="1"/>
  <c r="Y43" i="6"/>
  <c r="Z43" i="6" s="1"/>
  <c r="AB43" i="6"/>
  <c r="AB44" i="6"/>
  <c r="S45" i="6"/>
  <c r="U45" i="6" s="1"/>
  <c r="Y45" i="6"/>
  <c r="Z45" i="6" s="1"/>
  <c r="AB45" i="6"/>
  <c r="S47" i="6"/>
  <c r="U47" i="6" s="1"/>
  <c r="Y47" i="6"/>
  <c r="Z47" i="6" s="1"/>
  <c r="AB47" i="6"/>
  <c r="S48" i="6"/>
  <c r="U48" i="6" s="1"/>
  <c r="Y48" i="6"/>
  <c r="AB48" i="6"/>
  <c r="S49" i="6"/>
  <c r="U49" i="6" s="1"/>
  <c r="Y49" i="6"/>
  <c r="Z49" i="6" s="1"/>
  <c r="AB49" i="6"/>
  <c r="Z50" i="6"/>
  <c r="AB50" i="6"/>
  <c r="S51" i="6"/>
  <c r="U51" i="6" s="1"/>
  <c r="Y51" i="6"/>
  <c r="Z51" i="6" s="1"/>
  <c r="AB51" i="6"/>
  <c r="S52" i="6"/>
  <c r="U52" i="6" s="1"/>
  <c r="Y52" i="6"/>
  <c r="AB52" i="6"/>
  <c r="S53" i="6"/>
  <c r="U53" i="6" s="1"/>
  <c r="Y53" i="6"/>
  <c r="Z53" i="6" s="1"/>
  <c r="AB53" i="6"/>
  <c r="S54" i="6"/>
  <c r="U54" i="6" s="1"/>
  <c r="Y54" i="6"/>
  <c r="Z54" i="6" s="1"/>
  <c r="AB54" i="6"/>
  <c r="S55" i="6"/>
  <c r="U55" i="6" s="1"/>
  <c r="Y55" i="6"/>
  <c r="AB55" i="6"/>
  <c r="S56" i="6"/>
  <c r="U56" i="6" s="1"/>
  <c r="Y56" i="6"/>
  <c r="AB56" i="6"/>
  <c r="S57" i="6"/>
  <c r="U57" i="6" s="1"/>
  <c r="Y57" i="6"/>
  <c r="Z57" i="6" s="1"/>
  <c r="AB57" i="6"/>
  <c r="S58" i="6"/>
  <c r="U58" i="6" s="1"/>
  <c r="Y58" i="6"/>
  <c r="Z58" i="6" s="1"/>
  <c r="AB58" i="6"/>
  <c r="S59" i="6"/>
  <c r="U59" i="6" s="1"/>
  <c r="Y59" i="6"/>
  <c r="Z59" i="6" s="1"/>
  <c r="AB59" i="6"/>
  <c r="S60" i="6"/>
  <c r="U60" i="6" s="1"/>
  <c r="Y60" i="6"/>
  <c r="AB60" i="6"/>
  <c r="S8" i="6"/>
  <c r="U8" i="6" s="1"/>
  <c r="Z8" i="6"/>
  <c r="AB8" i="6"/>
  <c r="S9" i="6"/>
  <c r="U9" i="6" s="1"/>
  <c r="AB9" i="6"/>
  <c r="S10" i="6"/>
  <c r="U10" i="6" s="1"/>
  <c r="Y10" i="6"/>
  <c r="Z10" i="6" s="1"/>
  <c r="AB10" i="6"/>
  <c r="Z72" i="6" l="1"/>
  <c r="AC24" i="6"/>
  <c r="X21" i="6"/>
  <c r="X48" i="6"/>
  <c r="AC30" i="6"/>
  <c r="AC42" i="6"/>
  <c r="X45" i="6"/>
  <c r="AC9" i="6"/>
  <c r="AC10" i="6"/>
  <c r="AC26" i="6"/>
  <c r="AC15" i="6"/>
  <c r="X33" i="6"/>
  <c r="X59" i="6"/>
  <c r="X25" i="6"/>
  <c r="X9" i="6"/>
  <c r="AC55" i="6"/>
  <c r="X55" i="6"/>
  <c r="AC16" i="6"/>
  <c r="AC35" i="6"/>
  <c r="X31" i="6"/>
  <c r="X17" i="6"/>
  <c r="X40" i="6"/>
  <c r="X43" i="6"/>
  <c r="AC23" i="6"/>
  <c r="X15" i="6"/>
  <c r="X12" i="6"/>
  <c r="X53" i="6"/>
  <c r="X26" i="6"/>
  <c r="X56" i="6"/>
  <c r="Z9" i="6"/>
  <c r="AC50" i="6"/>
  <c r="AC45" i="6"/>
  <c r="AC14" i="6"/>
  <c r="X28" i="6"/>
  <c r="AC32" i="6"/>
  <c r="Z55" i="6"/>
  <c r="X52" i="6"/>
  <c r="AC39" i="6"/>
  <c r="X37" i="6"/>
  <c r="AC31" i="6"/>
  <c r="X20" i="6"/>
  <c r="X18" i="6"/>
  <c r="AC49" i="6"/>
  <c r="X23" i="6"/>
  <c r="AC19" i="6"/>
  <c r="Z32" i="6"/>
  <c r="Z19" i="6"/>
  <c r="Z16" i="6"/>
  <c r="X54" i="6"/>
  <c r="AC11" i="6"/>
  <c r="AC8" i="6"/>
  <c r="X51" i="6"/>
  <c r="X38" i="6"/>
  <c r="AC57" i="6"/>
  <c r="AC53" i="6"/>
  <c r="AC36" i="6"/>
  <c r="X35" i="6"/>
  <c r="X32" i="6"/>
  <c r="X29" i="6"/>
  <c r="AC20" i="6"/>
  <c r="X19" i="6"/>
  <c r="X16" i="6"/>
  <c r="X13" i="6"/>
  <c r="X58" i="6"/>
  <c r="AC47" i="6"/>
  <c r="AC27" i="6"/>
  <c r="X22" i="6"/>
  <c r="Z39" i="6"/>
  <c r="AC34" i="6"/>
  <c r="Z24" i="6"/>
  <c r="AC18" i="6"/>
  <c r="X8" i="6"/>
  <c r="AC38" i="6"/>
  <c r="X10" i="6"/>
  <c r="AC58" i="6"/>
  <c r="AC54" i="6"/>
  <c r="X60" i="6"/>
  <c r="X42" i="6"/>
  <c r="X30" i="6"/>
  <c r="AC22" i="6"/>
  <c r="X14" i="6"/>
  <c r="X47" i="6"/>
  <c r="AC41" i="6"/>
  <c r="X39" i="6"/>
  <c r="AC28" i="6"/>
  <c r="X27" i="6"/>
  <c r="X24" i="6"/>
  <c r="AC12" i="6"/>
  <c r="X11" i="6"/>
  <c r="Z56" i="6"/>
  <c r="AC56" i="6"/>
  <c r="AC51" i="6"/>
  <c r="X49" i="6"/>
  <c r="Z52" i="6"/>
  <c r="AC52" i="6"/>
  <c r="AC59" i="6"/>
  <c r="X57" i="6"/>
  <c r="X41" i="6"/>
  <c r="Z60" i="6"/>
  <c r="AC60" i="6"/>
  <c r="Z48" i="6"/>
  <c r="AC48" i="6"/>
  <c r="AC43" i="6"/>
  <c r="Z44" i="6"/>
  <c r="AC44" i="6"/>
  <c r="AC40" i="6"/>
  <c r="AC37" i="6"/>
  <c r="AC33" i="6"/>
  <c r="AC29" i="6"/>
  <c r="AC25" i="6"/>
  <c r="AC21" i="6"/>
  <c r="AC17" i="6"/>
  <c r="AC13" i="6"/>
  <c r="AJ62" i="6"/>
  <c r="AI62" i="6"/>
  <c r="AH62" i="6"/>
  <c r="AG62" i="6"/>
  <c r="AF62" i="6"/>
  <c r="AB7" i="6"/>
  <c r="Y7" i="6"/>
  <c r="S7" i="6"/>
  <c r="U7" i="6" s="1"/>
  <c r="AD48" i="6" l="1"/>
  <c r="AE48" i="6" s="1"/>
  <c r="AD16" i="6"/>
  <c r="AE16" i="6" s="1"/>
  <c r="AD44" i="6"/>
  <c r="AE44" i="6" s="1"/>
  <c r="AD21" i="6"/>
  <c r="AE21" i="6" s="1"/>
  <c r="AD39" i="6"/>
  <c r="AE39" i="6" s="1"/>
  <c r="AD24" i="6"/>
  <c r="AE24" i="6" s="1"/>
  <c r="AD22" i="6"/>
  <c r="AE22" i="6" s="1"/>
  <c r="AD26" i="6"/>
  <c r="AE26" i="6" s="1"/>
  <c r="AD40" i="6"/>
  <c r="AE40" i="6" s="1"/>
  <c r="AD45" i="6"/>
  <c r="AE45" i="6" s="1"/>
  <c r="AD33" i="6"/>
  <c r="AE33" i="6" s="1"/>
  <c r="AD42" i="6"/>
  <c r="AE42" i="6" s="1"/>
  <c r="AD53" i="6"/>
  <c r="AE53" i="6" s="1"/>
  <c r="AD9" i="6"/>
  <c r="AE9" i="6" s="1"/>
  <c r="AD31" i="6"/>
  <c r="AE31" i="6" s="1"/>
  <c r="AD57" i="6"/>
  <c r="AE57" i="6" s="1"/>
  <c r="AD23" i="6"/>
  <c r="AE23" i="6" s="1"/>
  <c r="AD12" i="6"/>
  <c r="AE12" i="6" s="1"/>
  <c r="AD27" i="6"/>
  <c r="AE27" i="6" s="1"/>
  <c r="AD30" i="6"/>
  <c r="AE30" i="6" s="1"/>
  <c r="AD32" i="6"/>
  <c r="AE32" i="6" s="1"/>
  <c r="AD28" i="6"/>
  <c r="AE28" i="6" s="1"/>
  <c r="AD58" i="6"/>
  <c r="AE58" i="6" s="1"/>
  <c r="AD50" i="6"/>
  <c r="AE50" i="6" s="1"/>
  <c r="AD35" i="6"/>
  <c r="AE35" i="6" s="1"/>
  <c r="AD55" i="6"/>
  <c r="AE55" i="6" s="1"/>
  <c r="AD60" i="6"/>
  <c r="AE60" i="6" s="1"/>
  <c r="AD10" i="6"/>
  <c r="AE10" i="6" s="1"/>
  <c r="AD20" i="6"/>
  <c r="AE20" i="6" s="1"/>
  <c r="AD17" i="6"/>
  <c r="AE17" i="6" s="1"/>
  <c r="AD11" i="6"/>
  <c r="AE11" i="6" s="1"/>
  <c r="AD14" i="6"/>
  <c r="AE14" i="6" s="1"/>
  <c r="AD41" i="6"/>
  <c r="AE41" i="6" s="1"/>
  <c r="AD49" i="6"/>
  <c r="AE49" i="6" s="1"/>
  <c r="AD59" i="6"/>
  <c r="AE59" i="6" s="1"/>
  <c r="AD18" i="6"/>
  <c r="AE18" i="6" s="1"/>
  <c r="AD36" i="6"/>
  <c r="AE36" i="6" s="1"/>
  <c r="AD52" i="6"/>
  <c r="AE52" i="6" s="1"/>
  <c r="AD15" i="6"/>
  <c r="AE15" i="6" s="1"/>
  <c r="AD25" i="6"/>
  <c r="AE25" i="6" s="1"/>
  <c r="AD38" i="6"/>
  <c r="AE38" i="6" s="1"/>
  <c r="AC7" i="6"/>
  <c r="AD8" i="6"/>
  <c r="AE8" i="6" s="1"/>
  <c r="AD34" i="6"/>
  <c r="AE34" i="6" s="1"/>
  <c r="AD37" i="6"/>
  <c r="AE37" i="6" s="1"/>
  <c r="AD51" i="6"/>
  <c r="AE51" i="6" s="1"/>
  <c r="AD43" i="6"/>
  <c r="AE43" i="6" s="1"/>
  <c r="AD56" i="6"/>
  <c r="AE56" i="6" s="1"/>
  <c r="AD47" i="6"/>
  <c r="AE47" i="6" s="1"/>
  <c r="AD19" i="6"/>
  <c r="AE19" i="6" s="1"/>
  <c r="AD29" i="6"/>
  <c r="AE29" i="6" s="1"/>
  <c r="AD54" i="6"/>
  <c r="AE54" i="6" s="1"/>
  <c r="AD13" i="6"/>
  <c r="AE13" i="6" s="1"/>
  <c r="X7" i="6"/>
  <c r="Z7" i="6"/>
  <c r="AD7" i="6" l="1"/>
  <c r="AE7" i="6" s="1"/>
  <c r="AC62" i="6"/>
  <c r="Z62" i="6"/>
  <c r="AD62" i="6" l="1"/>
  <c r="AE62" i="6" s="1"/>
</calcChain>
</file>

<file path=xl/sharedStrings.xml><?xml version="1.0" encoding="utf-8"?>
<sst xmlns="http://schemas.openxmlformats.org/spreadsheetml/2006/main" count="693" uniqueCount="133">
  <si>
    <t>Supplier</t>
  </si>
  <si>
    <t>URL</t>
  </si>
  <si>
    <t>Net P</t>
  </si>
  <si>
    <t>X-rate</t>
  </si>
  <si>
    <t>Net P NOK</t>
  </si>
  <si>
    <t>Type</t>
  </si>
  <si>
    <t>To date</t>
  </si>
  <si>
    <t>Supp curr</t>
  </si>
  <si>
    <t>NOK</t>
  </si>
  <si>
    <t>Sales curr</t>
  </si>
  <si>
    <t>EUR</t>
  </si>
  <si>
    <t>Sales P NOK tot</t>
  </si>
  <si>
    <t>GP NOK</t>
  </si>
  <si>
    <t>GP %</t>
  </si>
  <si>
    <t>Units</t>
  </si>
  <si>
    <t>SEK</t>
  </si>
  <si>
    <t>DKK</t>
  </si>
  <si>
    <t>ISK</t>
  </si>
  <si>
    <t>Totals</t>
  </si>
  <si>
    <t>ID</t>
  </si>
  <si>
    <t>Price</t>
  </si>
  <si>
    <t>Status</t>
  </si>
  <si>
    <t>Supp Comm</t>
  </si>
  <si>
    <t>From date</t>
  </si>
  <si>
    <t>From time</t>
  </si>
  <si>
    <t>To time</t>
  </si>
  <si>
    <t>VAT25</t>
  </si>
  <si>
    <t>VAT15</t>
  </si>
  <si>
    <t>VAT0-D</t>
  </si>
  <si>
    <t>VAT0-I</t>
  </si>
  <si>
    <t>VAT12</t>
  </si>
  <si>
    <t>USD</t>
  </si>
  <si>
    <t xml:space="preserve"> </t>
  </si>
  <si>
    <t>Comments</t>
  </si>
  <si>
    <t>Travel element</t>
  </si>
  <si>
    <t>Day</t>
  </si>
  <si>
    <t>Manual booking?</t>
  </si>
  <si>
    <t>Non-refundable</t>
  </si>
  <si>
    <t>Refundable</t>
  </si>
  <si>
    <t>Gross P</t>
  </si>
  <si>
    <t>Gross P per unit</t>
  </si>
  <si>
    <t>Sales P per unit</t>
  </si>
  <si>
    <t>x</t>
  </si>
  <si>
    <t xml:space="preserve">Rooming: </t>
  </si>
  <si>
    <t xml:space="preserve">Pax: </t>
  </si>
  <si>
    <t>Quote</t>
  </si>
  <si>
    <t>PP</t>
  </si>
  <si>
    <t>Ref</t>
  </si>
  <si>
    <t>NoRef</t>
  </si>
  <si>
    <t>Deposit</t>
  </si>
  <si>
    <t>Rest</t>
  </si>
  <si>
    <t>Second</t>
  </si>
  <si>
    <t xml:space="preserve">Dates: </t>
  </si>
  <si>
    <t>Day 1</t>
  </si>
  <si>
    <t>Arrival</t>
  </si>
  <si>
    <t>24.09.2026</t>
  </si>
  <si>
    <t>Transfer</t>
  </si>
  <si>
    <t>Hotel</t>
  </si>
  <si>
    <t>Leisure</t>
  </si>
  <si>
    <t>Day 2</t>
  </si>
  <si>
    <t>Activity</t>
  </si>
  <si>
    <t>25.09.2026</t>
  </si>
  <si>
    <t>Day 3</t>
  </si>
  <si>
    <t>26.09.2026</t>
  </si>
  <si>
    <t>27.09.2026</t>
  </si>
  <si>
    <t>Day 4</t>
  </si>
  <si>
    <t>Day 5</t>
  </si>
  <si>
    <t>28.09.2026</t>
  </si>
  <si>
    <t>Day 6</t>
  </si>
  <si>
    <t>29.09.2026</t>
  </si>
  <si>
    <t>Day 7</t>
  </si>
  <si>
    <t>Flight</t>
  </si>
  <si>
    <t>30.09.2026</t>
  </si>
  <si>
    <t>Day 8</t>
  </si>
  <si>
    <t>01.10.2026</t>
  </si>
  <si>
    <t>Day 9</t>
  </si>
  <si>
    <t>02.10.2026</t>
  </si>
  <si>
    <t>Day 10</t>
  </si>
  <si>
    <t>03.10.2026</t>
  </si>
  <si>
    <t>Day 11</t>
  </si>
  <si>
    <t>Departure</t>
  </si>
  <si>
    <t>04.10.2026</t>
  </si>
  <si>
    <t>Oslo: Welcome to Norway</t>
  </si>
  <si>
    <t>Oslo: Self transfer to your accommodation</t>
  </si>
  <si>
    <t>Oslo: Spend time at leisure</t>
  </si>
  <si>
    <t>https://www.fjordtours.com/en</t>
  </si>
  <si>
    <t>Flåm: Spend time at leisure</t>
  </si>
  <si>
    <t>Oslo: Fjord Sightseeing Cruise onboard Electric Boat - Time: 11:00 am - 01:00 pm - Meeting point: Platform E, behind Fisketorget by ‘’TROLLCRUISE’’ sign - Includes: Electric fjord cruise with audio guidance, Access to outdoor deck and blankets, Charging ports and free Wi-FI, Comfortable seating, Panoramic windows, Accessibility features, Onboard toilets - Description: Embark on a 2-hr Oslofjord Sightseeing Cruise, where history, culture, and natural beauty intertwine. As you sail, discover fortresses, lighthouses, and coastal villages that echo with centuries-old tales. Audio guides available to enhance your experience.</t>
  </si>
  <si>
    <t>https://booknordics.com/norway/eastern-norway/oslo/oslofjord-sightseeing-cruise</t>
  </si>
  <si>
    <t>Bergen: Self transfer to your accommodation</t>
  </si>
  <si>
    <t>Bergen: Spend time at leisure</t>
  </si>
  <si>
    <t>Bergen: Guided Walking Tour of Bergen Past &amp; Present - Time: 10:00 am - 12:00 pm - Meeting point: Bradbenken 1 - Includes: Profesional Guide - Description: Discover the stories, landscapes and local life that shaped Bergen from the Middle Ages to today. This relaxed, friendly walk takes you through historic streets, colourful neighbourhoods and lesser-known spots that most visitors miss.</t>
  </si>
  <si>
    <t>https://booknordics.com/norway/western-fjord-norway/bergen-and-hardanger/a-walk-through-bergen-past-present</t>
  </si>
  <si>
    <t>Bergen: Fløibanen Funicluar - Time: Flexible - Meeting point: Vetrlidsallmenningen 23A - Includes: Tickets - Description: Take the funicular Fløibanen to the top of Mount Fløyen and experience spectacular views of the city, the fjord and the surrounding mountains.</t>
  </si>
  <si>
    <t>https://www.floyen.no/en/floibanen/buy-tickets/</t>
  </si>
  <si>
    <t>Bergen: Self transfer to Bergen Airport</t>
  </si>
  <si>
    <t>Tromsø: Self transfer to your accommodation</t>
  </si>
  <si>
    <t>Tromsø: Spend time at leisure</t>
  </si>
  <si>
    <t>Tromsø: Departure home</t>
  </si>
  <si>
    <t>Tromsø: Self transfer to Tromsø Airport</t>
  </si>
  <si>
    <t>Tromsø: Fjellheisen Gondola - Time: Flexible - Meeting point: Sollivegen 12 - Includes: Tickets</t>
  </si>
  <si>
    <t>https://book.fjellheisen.no/en/to-do/2043246/return-ticket/showdetails</t>
  </si>
  <si>
    <t>Oslo: Private transfer to your accommodation</t>
  </si>
  <si>
    <t>Bergen: Private transfer to your accommodation</t>
  </si>
  <si>
    <t>Bergen: Private transfer to Bergen Airport</t>
  </si>
  <si>
    <t>Tromsø: Private transfer to your accommodation</t>
  </si>
  <si>
    <t>Oslo: Check in to your accommodation for a 2 night stay - Thon Opera - 2 x Standard Double Room, 1 x Standard Single Room - Breakfast included</t>
  </si>
  <si>
    <t>https://app.hotelbeds.com/factsheet/stay/87030?check_in=24-09-2026&amp;check_out=26-09-2026&amp;occupancy=2~0_2~0_1~0&amp;packaging=true</t>
  </si>
  <si>
    <t>Oslo: Norway in a Nutshell to Flåm - Time: 06:25 am - 1:04 pm - Meeting point: Oslo Central Station - Includes:  Train transfer Oslo to Myrdal (06:25 am - 11:15 am), Train tranfser Myrdal to Flåm (12:06 pm - 1:04 pm)</t>
  </si>
  <si>
    <t>Flåm: Norway in a Nutshell to Bergen - Time: 12:00 pm - 6:17 pm - Meeting point: Flåm Harbor - Includes: Fjord Cruise Flåm to Gudvangen (12:00 pm - 2:00 pm), Coach Transfer Gudvangen to Voss (2:30 pm - 3:30 pm), Train transfer Voss to Bergen (4:57 pm - 6:17 pm)</t>
  </si>
  <si>
    <t>Flåm: Check in to your accommodation for a 1 night stay - Fretheim Hotel - 3 × Historical Double Room - Breakfast included</t>
  </si>
  <si>
    <t>https://www.ratehawk.com/hotel/norway/aurland/mid7785115/fretheim_hotel/?q=6024041&amp;dates=26.09.2026-27.09.2026&amp;guests=2-2-1&amp;meal_types=breakfast.halfBoard.fullBoard.allInclusive&amp;price=one</t>
  </si>
  <si>
    <t>Bergen: Check in to your accommodation for a 3 night stay - Thon Hotel Rosenkrantz Bergen - 2 x Standard Double Room, 1 x Standard Single Room - Breakfast included</t>
  </si>
  <si>
    <t>https://app.hotelbeds.com/factsheet/stay/9418?check_in=27-09-2026&amp;check_out=30-09-2026&amp;occupancy=2~0_2~0_1~0&amp;packaging=true</t>
  </si>
  <si>
    <t>Flåm: Self transfer to Flåm Cruise Port - Short walk from your accommodation</t>
  </si>
  <si>
    <t>Flåm: Self transfer to your accommodation - A short walk from Flåm Station</t>
  </si>
  <si>
    <t>Oslo: Self transfer to Oslo Central Station - A short walk from your accommodation</t>
  </si>
  <si>
    <t>Bergen: Private Day Tour to Hardanger Fjords &amp; Waterfalls - Time: 09:00 am - 04:00 pm - Meeting point: Hotel pick up - Includes: Pick-up from your Bergen hotel or cruise port, Knowledgeable, English-speaking guide, Full-day tour to the Hardanger fjord and back, Flexible itinerary and personalized route, Stops at waterfalls and fjord viewpoints, Luxury private vehicle, 100% electric - Description: This private day trip begins in Bergen and takes you deep into the beauty of the Hardangerfjord region. Along the way, we make scenic stops to visit waterfalls, enjoy panoramic viewpoints, and capture photos of the fjord and landscapes.</t>
  </si>
  <si>
    <t>https://booknordics.com/norway/western-fjord-norway/bergen-and-hardanger/private-tour-in-fjords-waterfalls-of-hardanger-norway-our-absolute-bestseller</t>
  </si>
  <si>
    <t>Bergen: Flight to Tromsø - Time: 2:45 pm - 4:30 pm - Includes: Tickets, Luggage (1 x 23 kg check in and 1 x 8 kg carry on per person)</t>
  </si>
  <si>
    <t>https://www.wideroe.no/booking/booking#/select-flight</t>
  </si>
  <si>
    <t>Tromsø: Check in to your accommodation for a 4 night stay - Quality Hotel Saga - 2 x Standard Double Room, 1 x Standard Twin - Breakfast included</t>
  </si>
  <si>
    <t>https://app.hotelbeds.com/factsheet/stay/70273?check_in=30-09-2026&amp;check_out=04-10-2026&amp;occupancy=2~0_2~0_1~0&amp;packaging=true</t>
  </si>
  <si>
    <t>Tromsø: All-Evening Northern Lights Hunt by Minibus - Time: 7:00 pm - 12:00 am - Meeting point: Magic Ice Bar Tromsø, Kaigata 4 - Includes: Knowledgeable, English-speaking guide, Photos shared with you after the tour, Light snacks and warm/cold beverages - Description: Join our intimate minibus tour, limited to just 16 participants, for an unforgettable journey to witness the Aurora Borealis.</t>
  </si>
  <si>
    <t>https://booknordics.com/norway/northern-norway/tromso-region/full-day-magic-of-the-arctic-lights-in-tromso</t>
  </si>
  <si>
    <t>Tromsø: Northern Lights Tour with Local Guide and Free Photos - Time: 7:00 pm - 01:00 am - Meeting point: Quality Grand Hotel, Storgata 44 - Includes: Pick-up/drop-off in central Tromsø, Local, English-speaking guide, Professional photography, Thermal suits to keep you warm, Coffee, tea and tasty snacks - Description: Embark on a magical journey to see the Northern Lights in Tromsø. Join a local guide on a chase to see the elusive lights across the stunning landscapes of Tromsø. Enjoy a small group experience with a maximum of 18 people and stay warm with provided thermal suits.</t>
  </si>
  <si>
    <t>https://booknordics.com/norway/northern-norway/tromso-region/tromso-northern-lights-tour-with-local-guide-and-free-photos</t>
  </si>
  <si>
    <t>Tromsø: Private transfer to Tromsø Airport</t>
  </si>
  <si>
    <t>Tromsø: Fjord Tour of Kvaløya &amp; Sommarøy - Time: 10:00 am - 3:00 pm - Meeting point: Hotel pick up - Includes: Pick-up/drop-off in central Tromsø, Knowledgeable, multilingual guide, Free photographs from the trip, 2-course meal with coffee or tea - Description: On this tour you will travel in our minibus around the fjords of the island of Kvaløya, nearby Tromsø, and enjoy a nice lunch on Sommarøy island.</t>
  </si>
  <si>
    <t>Dates: 24.09.2026</t>
  </si>
  <si>
    <t>Pax: 5</t>
  </si>
  <si>
    <t>Rooming: 2 x double, 1 x single</t>
  </si>
  <si>
    <t>Flåm: Check in to your accommodation for a 1 night stay - Fretheim Hotel - 3 x Historical Double Room - Breakfast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</si>
</sst>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5">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applyAlignment="1">
      <alignment horizontal="center"/>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2" fillId="2" borderId="2" xfId="0" applyFont="1" applyFill="1" applyBorder="1"/>
    <xf numFmtId="3" fontId="2" fillId="2" borderId="2" xfId="0" applyNumberFormat="1" applyFont="1" applyFill="1" applyBorder="1"/>
    <xf numFmtId="4" fontId="0" fillId="2" borderId="0" xfId="0" applyNumberFormat="1" applyFill="1" applyAlignment="1">
      <alignment horizontal="center"/>
    </xf>
    <xf numFmtId="9" fontId="0" fillId="2" borderId="0" xfId="0" applyNumberFormat="1" applyFill="1"/>
    <xf numFmtId="2" fontId="0" fillId="2" borderId="0" xfId="0" applyNumberFormat="1" applyFill="1"/>
    <xf numFmtId="165" fontId="0" fillId="2" borderId="0" xfId="1" applyNumberFormat="1" applyFont="1" applyFill="1"/>
    <xf numFmtId="2" fontId="0" fillId="2" borderId="0" xfId="0" applyNumberFormat="1" applyFill="1" applyAlignment="1">
      <alignment horizontal="center"/>
    </xf>
    <xf numFmtId="9" fontId="2" fillId="2" borderId="2" xfId="1" applyFont="1" applyFill="1" applyBorder="1"/>
    <xf numFmtId="0" fontId="3" fillId="2" borderId="0" xfId="2" applyFill="1"/>
    <xf numFmtId="3" fontId="0" fillId="2" borderId="0" xfId="0" applyNumberFormat="1" applyFill="1" applyAlignment="1">
      <alignment horizontal="left"/>
    </xf>
    <xf numFmtId="164" fontId="0" fillId="2" borderId="0" xfId="0" quotePrefix="1" applyNumberFormat="1" applyFill="1" applyAlignment="1">
      <alignment horizontal="left"/>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4" fillId="2" borderId="2" xfId="0" applyFont="1" applyFill="1" applyBorder="1"/>
    <xf numFmtId="0" fontId="3" fillId="0" borderId="0" xfId="2"/>
    <xf numFmtId="164" fontId="4" fillId="2" borderId="2" xfId="0" applyNumberFormat="1" applyFont="1" applyFill="1" applyBorder="1"/>
    <xf numFmtId="4" fontId="4" fillId="2" borderId="2" xfId="0" applyNumberFormat="1" applyFont="1" applyFill="1" applyBorder="1" applyAlignment="1">
      <alignment horizontal="left"/>
    </xf>
    <xf numFmtId="3" fontId="4" fillId="2" borderId="2" xfId="0" applyNumberFormat="1" applyFont="1" applyFill="1" applyBorder="1"/>
    <xf numFmtId="0" fontId="3" fillId="2" borderId="0" xfId="2" applyFill="1" applyAlignment="1">
      <alignment horizontal="left"/>
    </xf>
    <xf numFmtId="3" fontId="0" fillId="6" borderId="0" xfId="0" applyNumberFormat="1" applyFill="1"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ratehawk.com/hotel/norway/aurland/mid7785115/fretheim_hotel/?q=6024041&amp;dates=26.09.2026-27.09.2026&amp;guests=2-2-1&amp;meal_types=breakfast.halfBoard.fullBoard.allInclusive&amp;price=one" TargetMode="External"/><Relationship Id="rId13" Type="http://schemas.openxmlformats.org/officeDocument/2006/relationships/hyperlink" Target="https://booknordics.com/norway/northern-norway/tromso-region/full-day-magic-of-the-arctic-lights-in-tromso" TargetMode="External"/><Relationship Id="rId3" Type="http://schemas.openxmlformats.org/officeDocument/2006/relationships/hyperlink" Target="https://booknordics.com/norway/eastern-norway/oslo/oslofjord-sightseeing-cruise" TargetMode="External"/><Relationship Id="rId7" Type="http://schemas.openxmlformats.org/officeDocument/2006/relationships/hyperlink" Target="https://app.hotelbeds.com/factsheet/stay/87030?check_in=24-09-2026&amp;check_out=26-09-2026&amp;occupancy=2~0_2~0_1~0&amp;packaging=true" TargetMode="External"/><Relationship Id="rId12" Type="http://schemas.openxmlformats.org/officeDocument/2006/relationships/hyperlink" Target="https://app.hotelbeds.com/factsheet/stay/70273?check_in=30-09-2026&amp;check_out=04-10-2026&amp;occupancy=2~0_2~0_1~0&amp;packaging=true" TargetMode="External"/><Relationship Id="rId2" Type="http://schemas.openxmlformats.org/officeDocument/2006/relationships/hyperlink" Target="https://www.fjordtours.com/en" TargetMode="External"/><Relationship Id="rId16" Type="http://schemas.openxmlformats.org/officeDocument/2006/relationships/printerSettings" Target="../printerSettings/printerSettings1.bin"/><Relationship Id="rId1" Type="http://schemas.openxmlformats.org/officeDocument/2006/relationships/hyperlink" Target="https://www.fjordtours.com/en" TargetMode="External"/><Relationship Id="rId6" Type="http://schemas.openxmlformats.org/officeDocument/2006/relationships/hyperlink" Target="https://book.fjellheisen.no/en/to-do/2043246/return-ticket/showdetails" TargetMode="External"/><Relationship Id="rId11" Type="http://schemas.openxmlformats.org/officeDocument/2006/relationships/hyperlink" Target="https://www.wideroe.no/booking/booking" TargetMode="External"/><Relationship Id="rId5" Type="http://schemas.openxmlformats.org/officeDocument/2006/relationships/hyperlink" Target="https://booknordics.com/norway/western-fjord-norway/bergen-and-hardanger/a-walk-through-bergen-past-present" TargetMode="External"/><Relationship Id="rId15" Type="http://schemas.openxmlformats.org/officeDocument/2006/relationships/hyperlink" Target="https://book.fjellheisen.no/en/to-do/2043246/return-ticket/showdetails" TargetMode="External"/><Relationship Id="rId10" Type="http://schemas.openxmlformats.org/officeDocument/2006/relationships/hyperlink" Target="https://booknordics.com/norway/western-fjord-norway/bergen-and-hardanger/private-tour-in-fjords-waterfalls-of-hardanger-norway-our-absolute-bestseller" TargetMode="External"/><Relationship Id="rId4" Type="http://schemas.openxmlformats.org/officeDocument/2006/relationships/hyperlink" Target="https://www.floyen.no/en/floibanen/buy-tickets/" TargetMode="External"/><Relationship Id="rId9" Type="http://schemas.openxmlformats.org/officeDocument/2006/relationships/hyperlink" Target="https://app.hotelbeds.com/factsheet/stay/9418?check_in=27-09-2026&amp;check_out=30-09-2026&amp;occupancy=2~0_2~0_1~0&amp;packaging=true" TargetMode="External"/><Relationship Id="rId14" Type="http://schemas.openxmlformats.org/officeDocument/2006/relationships/hyperlink" Target="https://booknordics.com/norway/northern-norway/tromso-region/tromso-northern-lights-tour-with-local-guide-and-free-photo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ratehawk.com/hotel/norway/aurland/mid7785115/fretheim_hotel/?q=6024041&amp;dates=26.09.2026-27.09.2026&amp;guests=2-2-1&amp;meal_types=breakfast.halfBoard.fullBoard.allInclusive&amp;price=one" TargetMode="External"/><Relationship Id="rId13" Type="http://schemas.openxmlformats.org/officeDocument/2006/relationships/hyperlink" Target="https://booknordics.com/norway/northern-norway/tromso-region/full-day-magic-of-the-arctic-lights-in-tromso" TargetMode="External"/><Relationship Id="rId3" Type="http://schemas.openxmlformats.org/officeDocument/2006/relationships/hyperlink" Target="https://booknordics.com/norway/eastern-norway/oslo/oslofjord-sightseeing-cruise" TargetMode="External"/><Relationship Id="rId7" Type="http://schemas.openxmlformats.org/officeDocument/2006/relationships/hyperlink" Target="https://app.hotelbeds.com/factsheet/stay/87030?check_in=24-09-2026&amp;check_out=26-09-2026&amp;occupancy=2~0_2~0_1~0&amp;packaging=true" TargetMode="External"/><Relationship Id="rId12" Type="http://schemas.openxmlformats.org/officeDocument/2006/relationships/hyperlink" Target="https://app.hotelbeds.com/factsheet/stay/70273?check_in=30-09-2026&amp;check_out=04-10-2026&amp;occupancy=2~0_2~0_1~0&amp;packaging=true" TargetMode="External"/><Relationship Id="rId2" Type="http://schemas.openxmlformats.org/officeDocument/2006/relationships/hyperlink" Target="https://www.fjordtours.com/en" TargetMode="External"/><Relationship Id="rId16" Type="http://schemas.openxmlformats.org/officeDocument/2006/relationships/printerSettings" Target="../printerSettings/printerSettings2.bin"/><Relationship Id="rId1" Type="http://schemas.openxmlformats.org/officeDocument/2006/relationships/hyperlink" Target="https://www.fjordtours.com/en" TargetMode="External"/><Relationship Id="rId6" Type="http://schemas.openxmlformats.org/officeDocument/2006/relationships/hyperlink" Target="https://book.fjellheisen.no/en/to-do/2043246/return-ticket/showdetails" TargetMode="External"/><Relationship Id="rId11" Type="http://schemas.openxmlformats.org/officeDocument/2006/relationships/hyperlink" Target="https://www.wideroe.no/booking/booking" TargetMode="External"/><Relationship Id="rId5" Type="http://schemas.openxmlformats.org/officeDocument/2006/relationships/hyperlink" Target="https://booknordics.com/norway/western-fjord-norway/bergen-and-hardanger/a-walk-through-bergen-past-present" TargetMode="External"/><Relationship Id="rId15" Type="http://schemas.openxmlformats.org/officeDocument/2006/relationships/hyperlink" Target="https://book.fjellheisen.no/en/to-do/2043246/return-ticket/showdetails" TargetMode="External"/><Relationship Id="rId10" Type="http://schemas.openxmlformats.org/officeDocument/2006/relationships/hyperlink" Target="https://booknordics.com/norway/western-fjord-norway/bergen-and-hardanger/private-tour-in-fjords-waterfalls-of-hardanger-norway-our-absolute-bestseller" TargetMode="External"/><Relationship Id="rId4" Type="http://schemas.openxmlformats.org/officeDocument/2006/relationships/hyperlink" Target="https://www.floyen.no/en/floibanen/buy-tickets/" TargetMode="External"/><Relationship Id="rId9" Type="http://schemas.openxmlformats.org/officeDocument/2006/relationships/hyperlink" Target="https://app.hotelbeds.com/factsheet/stay/9418?check_in=27-09-2026&amp;check_out=30-09-2026&amp;occupancy=2~0_2~0_1~0&amp;packaging=true" TargetMode="External"/><Relationship Id="rId14" Type="http://schemas.openxmlformats.org/officeDocument/2006/relationships/hyperlink" Target="https://booknordics.com/norway/northern-norway/tromso-region/tromso-northern-lights-tour-with-local-guide-and-free-phot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4EA-7225-42CC-89DC-05C1D7355F04}">
  <dimension ref="B1:C7"/>
  <sheetViews>
    <sheetView workbookViewId="0">
      <selection activeCell="C3" sqref="C3"/>
    </sheetView>
  </sheetViews>
  <sheetFormatPr defaultRowHeight="15" x14ac:dyDescent="0.25"/>
  <cols>
    <col min="1" max="1" width="2.5703125" customWidth="1"/>
  </cols>
  <sheetData>
    <row r="1" spans="2:3" x14ac:dyDescent="0.25">
      <c r="C1" t="s">
        <v>8</v>
      </c>
    </row>
    <row r="2" spans="2:3" x14ac:dyDescent="0.25">
      <c r="B2" t="s">
        <v>10</v>
      </c>
      <c r="C2">
        <v>11</v>
      </c>
    </row>
    <row r="3" spans="2:3" x14ac:dyDescent="0.25">
      <c r="B3" t="s">
        <v>15</v>
      </c>
      <c r="C3">
        <v>1.02</v>
      </c>
    </row>
    <row r="4" spans="2:3" x14ac:dyDescent="0.25">
      <c r="B4" t="s">
        <v>16</v>
      </c>
      <c r="C4">
        <v>1.5</v>
      </c>
    </row>
    <row r="5" spans="2:3" x14ac:dyDescent="0.25">
      <c r="B5" t="s">
        <v>17</v>
      </c>
      <c r="C5">
        <v>7.4999999999999997E-2</v>
      </c>
    </row>
    <row r="6" spans="2:3" x14ac:dyDescent="0.25">
      <c r="B6" t="s">
        <v>8</v>
      </c>
      <c r="C6">
        <v>1</v>
      </c>
    </row>
    <row r="7" spans="2:3" x14ac:dyDescent="0.25">
      <c r="B7" t="s">
        <v>31</v>
      </c>
      <c r="C7">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E6C0-BF7F-4EA5-97F6-74A08C367EEF}">
  <sheetPr>
    <tabColor rgb="FFFFFF00"/>
  </sheetPr>
  <dimension ref="B2:AK85"/>
  <sheetViews>
    <sheetView tabSelected="1" zoomScale="80" zoomScaleNormal="80" workbookViewId="0">
      <selection activeCell="J11" sqref="J1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129</v>
      </c>
    </row>
    <row r="3" spans="2:36" x14ac:dyDescent="0.25">
      <c r="B3" s="2" t="s">
        <v>130</v>
      </c>
    </row>
    <row r="4" spans="2:36" x14ac:dyDescent="0.25">
      <c r="B4" s="2" t="s">
        <v>131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53</v>
      </c>
      <c r="D7" s="1" t="s">
        <v>54</v>
      </c>
      <c r="E7" s="3" t="s">
        <v>55</v>
      </c>
      <c r="F7" s="3"/>
      <c r="G7" s="3"/>
      <c r="H7" s="3"/>
      <c r="J7" s="1" t="s">
        <v>82</v>
      </c>
      <c r="K7" s="4"/>
      <c r="L7" s="4"/>
      <c r="M7" s="4"/>
      <c r="N7" s="4"/>
      <c r="O7" s="4"/>
      <c r="P7" s="27"/>
      <c r="Q7" s="25">
        <v>0</v>
      </c>
      <c r="R7" s="25">
        <v>0</v>
      </c>
      <c r="S7" s="12">
        <f t="shared" ref="S7" si="0">+Q7*R7</f>
        <v>0</v>
      </c>
      <c r="T7" s="5">
        <v>0</v>
      </c>
      <c r="U7" s="12">
        <f>S7*(1-T7)</f>
        <v>0</v>
      </c>
      <c r="V7" s="25" t="s">
        <v>10</v>
      </c>
      <c r="W7" s="11">
        <f>IFERROR(VLOOKUP(V7,Curr!$B$2:$C$13,2,FALSE),0)</f>
        <v>11</v>
      </c>
      <c r="X7" s="12">
        <f t="shared" ref="X7" si="1">U7*W7</f>
        <v>0</v>
      </c>
      <c r="Y7" s="26">
        <f>Q7</f>
        <v>0</v>
      </c>
      <c r="Z7" s="12">
        <f t="shared" ref="Z7" si="2">+Y7*R7</f>
        <v>0</v>
      </c>
      <c r="AA7" s="4" t="s">
        <v>10</v>
      </c>
      <c r="AB7" s="11">
        <f>IFERROR(VLOOKUP(AA7,Curr!$B$2:$C$13,2,FALSE),0)</f>
        <v>11</v>
      </c>
      <c r="AC7" s="12">
        <f t="shared" ref="AC7" si="3">+Y7*AB7*R7</f>
        <v>0</v>
      </c>
      <c r="AD7" s="12">
        <f t="shared" ref="AD7" si="4">+AC7-X7</f>
        <v>0</v>
      </c>
      <c r="AE7" s="13">
        <f t="shared" ref="AE7" si="5">IFERROR(AD7/AC7,0)</f>
        <v>0</v>
      </c>
    </row>
    <row r="8" spans="2:36" x14ac:dyDescent="0.25">
      <c r="B8" s="4"/>
      <c r="C8" s="1" t="s">
        <v>53</v>
      </c>
      <c r="D8" s="1" t="s">
        <v>56</v>
      </c>
      <c r="E8" s="3" t="s">
        <v>55</v>
      </c>
      <c r="F8" s="3"/>
      <c r="G8" s="24"/>
      <c r="H8" s="24"/>
      <c r="J8" s="1" t="s">
        <v>102</v>
      </c>
      <c r="K8" s="4"/>
      <c r="L8" s="4"/>
      <c r="M8" s="4"/>
      <c r="N8" s="4"/>
      <c r="O8" s="4"/>
      <c r="P8" s="27"/>
      <c r="Q8" s="25">
        <v>2500</v>
      </c>
      <c r="R8" s="25">
        <v>1</v>
      </c>
      <c r="S8" s="12">
        <f t="shared" ref="S8:S12" si="6">+Q8*R8</f>
        <v>2500</v>
      </c>
      <c r="T8" s="5">
        <v>0</v>
      </c>
      <c r="U8" s="12">
        <f t="shared" ref="U8:U12" si="7">S8*(1-T8)</f>
        <v>2500</v>
      </c>
      <c r="V8" s="25" t="s">
        <v>8</v>
      </c>
      <c r="W8" s="11">
        <f>IFERROR(VLOOKUP(V8,Curr!$B$2:$C$13,2,FALSE),0)</f>
        <v>1</v>
      </c>
      <c r="X8" s="12">
        <f t="shared" ref="X8:X11" si="8">U8*W8</f>
        <v>2500</v>
      </c>
      <c r="Y8" s="26">
        <f>Q8/11/0.8</f>
        <v>284.09090909090907</v>
      </c>
      <c r="Z8" s="12">
        <f t="shared" ref="Z8:Z11" si="9">+Y8*R8</f>
        <v>284.09090909090907</v>
      </c>
      <c r="AA8" s="4" t="s">
        <v>10</v>
      </c>
      <c r="AB8" s="11">
        <f>IFERROR(VLOOKUP(AA8,Curr!$B$2:$C$13,2,FALSE),0)</f>
        <v>11</v>
      </c>
      <c r="AC8" s="12">
        <f t="shared" ref="AC8:AC11" si="10">+Y8*AB8*R8</f>
        <v>3124.9999999999995</v>
      </c>
      <c r="AD8" s="12">
        <f t="shared" ref="AD8:AD11" si="11">+AC8-X8</f>
        <v>624.99999999999955</v>
      </c>
      <c r="AE8" s="13">
        <f t="shared" ref="AE8:AE11" si="12">IFERROR(AD8/AC8,0)</f>
        <v>0.19999999999999987</v>
      </c>
    </row>
    <row r="9" spans="2:36" x14ac:dyDescent="0.25">
      <c r="B9" s="4"/>
      <c r="C9" s="1" t="s">
        <v>53</v>
      </c>
      <c r="D9" s="1" t="s">
        <v>57</v>
      </c>
      <c r="E9" s="3" t="s">
        <v>55</v>
      </c>
      <c r="F9" s="3" t="s">
        <v>63</v>
      </c>
      <c r="G9" s="24"/>
      <c r="H9" s="24"/>
      <c r="J9" s="1" t="s">
        <v>106</v>
      </c>
      <c r="K9" s="4"/>
      <c r="L9" s="4"/>
      <c r="M9" s="4"/>
      <c r="N9" s="4"/>
      <c r="O9" s="4"/>
      <c r="P9" s="33" t="s">
        <v>107</v>
      </c>
      <c r="Q9" s="25">
        <f>908+381</f>
        <v>1289</v>
      </c>
      <c r="R9" s="25">
        <v>1</v>
      </c>
      <c r="S9" s="12">
        <f t="shared" si="6"/>
        <v>1289</v>
      </c>
      <c r="T9" s="5">
        <v>0</v>
      </c>
      <c r="U9" s="12">
        <f t="shared" si="7"/>
        <v>1289</v>
      </c>
      <c r="V9" s="25" t="s">
        <v>10</v>
      </c>
      <c r="W9" s="11">
        <f>IFERROR(VLOOKUP(V9,Curr!$B$2:$C$13,2,FALSE),0)</f>
        <v>11</v>
      </c>
      <c r="X9" s="12">
        <f t="shared" si="8"/>
        <v>14179</v>
      </c>
      <c r="Y9" s="26">
        <f>Q9/0.8</f>
        <v>1611.25</v>
      </c>
      <c r="Z9" s="12">
        <f t="shared" si="9"/>
        <v>1611.25</v>
      </c>
      <c r="AA9" s="4" t="s">
        <v>10</v>
      </c>
      <c r="AB9" s="11">
        <f>IFERROR(VLOOKUP(AA9,Curr!$B$2:$C$13,2,FALSE),0)</f>
        <v>11</v>
      </c>
      <c r="AC9" s="12">
        <f t="shared" si="10"/>
        <v>17723.75</v>
      </c>
      <c r="AD9" s="12">
        <f t="shared" si="11"/>
        <v>3544.75</v>
      </c>
      <c r="AE9" s="13">
        <f t="shared" si="12"/>
        <v>0.2</v>
      </c>
    </row>
    <row r="10" spans="2:36" x14ac:dyDescent="0.25">
      <c r="B10" s="4"/>
      <c r="C10" s="1" t="s">
        <v>53</v>
      </c>
      <c r="D10" s="1" t="s">
        <v>58</v>
      </c>
      <c r="E10" s="3" t="s">
        <v>55</v>
      </c>
      <c r="F10" s="3"/>
      <c r="G10" s="24"/>
      <c r="H10" s="24"/>
      <c r="J10" s="1" t="s">
        <v>84</v>
      </c>
      <c r="K10" s="4"/>
      <c r="L10" s="4"/>
      <c r="M10" s="4"/>
      <c r="N10" s="4"/>
      <c r="O10" s="4"/>
      <c r="P10" s="27"/>
      <c r="Q10" s="25">
        <v>0</v>
      </c>
      <c r="R10" s="25">
        <v>0</v>
      </c>
      <c r="S10" s="12">
        <f t="shared" si="6"/>
        <v>0</v>
      </c>
      <c r="T10" s="5">
        <v>0</v>
      </c>
      <c r="U10" s="12">
        <f t="shared" si="7"/>
        <v>0</v>
      </c>
      <c r="V10" s="25" t="s">
        <v>10</v>
      </c>
      <c r="W10" s="11">
        <f>IFERROR(VLOOKUP(V10,Curr!$B$2:$C$13,2,FALSE),0)</f>
        <v>11</v>
      </c>
      <c r="X10" s="12">
        <f t="shared" si="8"/>
        <v>0</v>
      </c>
      <c r="Y10" s="26">
        <f t="shared" ref="Y10:Y11" si="13">Q10</f>
        <v>0</v>
      </c>
      <c r="Z10" s="12">
        <f t="shared" si="9"/>
        <v>0</v>
      </c>
      <c r="AA10" s="4" t="s">
        <v>10</v>
      </c>
      <c r="AB10" s="11">
        <f>IFERROR(VLOOKUP(AA10,Curr!$B$2:$C$13,2,FALSE),0)</f>
        <v>11</v>
      </c>
      <c r="AC10" s="12">
        <f t="shared" si="10"/>
        <v>0</v>
      </c>
      <c r="AD10" s="12">
        <f t="shared" si="11"/>
        <v>0</v>
      </c>
      <c r="AE10" s="13">
        <f t="shared" si="12"/>
        <v>0</v>
      </c>
    </row>
    <row r="11" spans="2:36" x14ac:dyDescent="0.25">
      <c r="B11" s="4"/>
      <c r="E11" s="3"/>
      <c r="F11" s="3"/>
      <c r="G11" s="24"/>
      <c r="H11" s="24"/>
      <c r="K11" s="4"/>
      <c r="L11" s="4"/>
      <c r="M11" s="4"/>
      <c r="N11" s="4"/>
      <c r="O11" s="4"/>
      <c r="P11" s="27"/>
      <c r="Q11" s="25"/>
      <c r="R11" s="25"/>
      <c r="S11" s="12">
        <f t="shared" si="6"/>
        <v>0</v>
      </c>
      <c r="T11" s="5">
        <v>0</v>
      </c>
      <c r="U11" s="12">
        <f t="shared" si="7"/>
        <v>0</v>
      </c>
      <c r="V11" s="25" t="s">
        <v>10</v>
      </c>
      <c r="W11" s="11">
        <f>IFERROR(VLOOKUP(V11,Curr!$B$2:$C$13,2,FALSE),0)</f>
        <v>11</v>
      </c>
      <c r="X11" s="12">
        <f t="shared" si="8"/>
        <v>0</v>
      </c>
      <c r="Y11" s="26">
        <f t="shared" si="13"/>
        <v>0</v>
      </c>
      <c r="Z11" s="12">
        <f t="shared" si="9"/>
        <v>0</v>
      </c>
      <c r="AA11" s="4" t="s">
        <v>10</v>
      </c>
      <c r="AB11" s="11">
        <f>IFERROR(VLOOKUP(AA11,Curr!$B$2:$C$13,2,FALSE),0)</f>
        <v>11</v>
      </c>
      <c r="AC11" s="12">
        <f t="shared" si="10"/>
        <v>0</v>
      </c>
      <c r="AD11" s="12">
        <f t="shared" si="11"/>
        <v>0</v>
      </c>
      <c r="AE11" s="13">
        <f t="shared" si="12"/>
        <v>0</v>
      </c>
    </row>
    <row r="12" spans="2:36" x14ac:dyDescent="0.25">
      <c r="B12" s="4"/>
      <c r="C12" s="1" t="s">
        <v>59</v>
      </c>
      <c r="D12" s="1" t="s">
        <v>60</v>
      </c>
      <c r="E12" s="3" t="s">
        <v>61</v>
      </c>
      <c r="F12" s="3"/>
      <c r="G12" s="24"/>
      <c r="H12" s="24"/>
      <c r="J12" s="1" t="s">
        <v>87</v>
      </c>
      <c r="K12" s="4"/>
      <c r="L12" s="4"/>
      <c r="M12" s="4"/>
      <c r="N12" s="4"/>
      <c r="O12" s="4" t="s">
        <v>42</v>
      </c>
      <c r="P12" s="33" t="s">
        <v>88</v>
      </c>
      <c r="Q12" s="25">
        <v>498</v>
      </c>
      <c r="R12" s="25">
        <v>5</v>
      </c>
      <c r="S12" s="12">
        <f t="shared" si="6"/>
        <v>2490</v>
      </c>
      <c r="T12" s="5">
        <v>0.2</v>
      </c>
      <c r="U12" s="12">
        <f t="shared" si="7"/>
        <v>1992</v>
      </c>
      <c r="V12" s="25" t="s">
        <v>8</v>
      </c>
      <c r="W12" s="11">
        <f>IFERROR(VLOOKUP(V12,Curr!$B$2:$C$13,2,FALSE),0)</f>
        <v>1</v>
      </c>
      <c r="X12" s="12">
        <f t="shared" ref="X12:X60" si="14">U12*W12</f>
        <v>1992</v>
      </c>
      <c r="Y12" s="26">
        <f>Q12/11/0.8</f>
        <v>56.590909090909086</v>
      </c>
      <c r="Z12" s="12">
        <f t="shared" ref="Z12:Z60" si="15">+Y12*R12</f>
        <v>282.95454545454544</v>
      </c>
      <c r="AA12" s="4" t="s">
        <v>10</v>
      </c>
      <c r="AB12" s="11">
        <f>IFERROR(VLOOKUP(AA12,Curr!$B$2:$C$13,2,FALSE),0)</f>
        <v>11</v>
      </c>
      <c r="AC12" s="12">
        <f t="shared" ref="AC12:AC60" si="16">+Y12*AB12*R12</f>
        <v>3112.5</v>
      </c>
      <c r="AD12" s="12">
        <f t="shared" ref="AD12:AD60" si="17">+AC12-X12</f>
        <v>1120.5</v>
      </c>
      <c r="AE12" s="13">
        <f t="shared" ref="AE12:AE60" si="18">IFERROR(AD12/AC12,0)</f>
        <v>0.36</v>
      </c>
    </row>
    <row r="13" spans="2:36" x14ac:dyDescent="0.25">
      <c r="B13" s="4"/>
      <c r="C13" s="1" t="s">
        <v>59</v>
      </c>
      <c r="D13" s="1" t="s">
        <v>58</v>
      </c>
      <c r="E13" s="3" t="s">
        <v>61</v>
      </c>
      <c r="F13" s="3"/>
      <c r="G13" s="24"/>
      <c r="H13" s="24"/>
      <c r="J13" s="1" t="s">
        <v>84</v>
      </c>
      <c r="K13" s="4"/>
      <c r="L13" s="4"/>
      <c r="M13" s="4"/>
      <c r="N13" s="4"/>
      <c r="O13" s="4"/>
      <c r="P13" s="27"/>
      <c r="Q13" s="25">
        <v>0</v>
      </c>
      <c r="R13" s="25">
        <v>0</v>
      </c>
      <c r="S13" s="12">
        <f t="shared" ref="S13:S60" si="19">+Q13*R13</f>
        <v>0</v>
      </c>
      <c r="T13" s="5">
        <v>0</v>
      </c>
      <c r="U13" s="12">
        <f t="shared" ref="U13:U60" si="20">S13*(1-T13)</f>
        <v>0</v>
      </c>
      <c r="V13" s="25" t="s">
        <v>10</v>
      </c>
      <c r="W13" s="11">
        <f>IFERROR(VLOOKUP(V13,Curr!$B$2:$C$13,2,FALSE),0)</f>
        <v>11</v>
      </c>
      <c r="X13" s="12">
        <f t="shared" si="14"/>
        <v>0</v>
      </c>
      <c r="Y13" s="26">
        <f t="shared" ref="Y13:Y60" si="21">Q13</f>
        <v>0</v>
      </c>
      <c r="Z13" s="12">
        <f t="shared" si="15"/>
        <v>0</v>
      </c>
      <c r="AA13" s="4" t="s">
        <v>10</v>
      </c>
      <c r="AB13" s="11">
        <f>IFERROR(VLOOKUP(AA13,Curr!$B$2:$C$13,2,FALSE),0)</f>
        <v>11</v>
      </c>
      <c r="AC13" s="12">
        <f t="shared" si="16"/>
        <v>0</v>
      </c>
      <c r="AD13" s="12">
        <f t="shared" si="17"/>
        <v>0</v>
      </c>
      <c r="AE13" s="13">
        <f t="shared" si="18"/>
        <v>0</v>
      </c>
    </row>
    <row r="14" spans="2:36" x14ac:dyDescent="0.25">
      <c r="B14" s="4"/>
      <c r="E14" s="3"/>
      <c r="F14" s="3"/>
      <c r="G14" s="24"/>
      <c r="H14" s="24"/>
      <c r="K14" s="4"/>
      <c r="L14" s="4"/>
      <c r="M14" s="4"/>
      <c r="N14" s="4"/>
      <c r="O14" s="4"/>
      <c r="P14" s="33"/>
      <c r="Q14" s="25"/>
      <c r="R14" s="25"/>
      <c r="S14" s="12">
        <f t="shared" si="19"/>
        <v>0</v>
      </c>
      <c r="T14" s="5">
        <v>0</v>
      </c>
      <c r="U14" s="12">
        <f t="shared" si="20"/>
        <v>0</v>
      </c>
      <c r="V14" s="25" t="s">
        <v>10</v>
      </c>
      <c r="W14" s="11">
        <f>IFERROR(VLOOKUP(V14,Curr!$B$2:$C$13,2,FALSE),0)</f>
        <v>11</v>
      </c>
      <c r="X14" s="12">
        <f t="shared" si="14"/>
        <v>0</v>
      </c>
      <c r="Y14" s="26">
        <f t="shared" si="21"/>
        <v>0</v>
      </c>
      <c r="Z14" s="12">
        <f t="shared" si="15"/>
        <v>0</v>
      </c>
      <c r="AA14" s="4" t="s">
        <v>10</v>
      </c>
      <c r="AB14" s="11">
        <f>IFERROR(VLOOKUP(AA14,Curr!$B$2:$C$13,2,FALSE),0)</f>
        <v>11</v>
      </c>
      <c r="AC14" s="12">
        <f t="shared" si="16"/>
        <v>0</v>
      </c>
      <c r="AD14" s="12">
        <f t="shared" si="17"/>
        <v>0</v>
      </c>
      <c r="AE14" s="13">
        <f t="shared" si="18"/>
        <v>0</v>
      </c>
    </row>
    <row r="15" spans="2:36" x14ac:dyDescent="0.25">
      <c r="B15" s="4"/>
      <c r="C15" s="1" t="s">
        <v>62</v>
      </c>
      <c r="D15" s="1" t="s">
        <v>56</v>
      </c>
      <c r="E15" s="3" t="s">
        <v>63</v>
      </c>
      <c r="F15" s="3"/>
      <c r="G15" s="24"/>
      <c r="H15" s="24"/>
      <c r="J15" s="1" t="s">
        <v>116</v>
      </c>
      <c r="K15" s="4"/>
      <c r="L15" s="4"/>
      <c r="M15" s="4"/>
      <c r="N15" s="4"/>
      <c r="O15" s="4"/>
      <c r="P15" s="27"/>
      <c r="Q15" s="25">
        <v>0</v>
      </c>
      <c r="R15" s="25">
        <v>0</v>
      </c>
      <c r="S15" s="12">
        <f t="shared" si="19"/>
        <v>0</v>
      </c>
      <c r="T15" s="5">
        <v>0</v>
      </c>
      <c r="U15" s="12">
        <f t="shared" si="20"/>
        <v>0</v>
      </c>
      <c r="V15" s="25" t="s">
        <v>10</v>
      </c>
      <c r="W15" s="11">
        <f>IFERROR(VLOOKUP(V15,Curr!$B$2:$C$13,2,FALSE),0)</f>
        <v>11</v>
      </c>
      <c r="X15" s="12">
        <f t="shared" si="14"/>
        <v>0</v>
      </c>
      <c r="Y15" s="26">
        <f t="shared" si="21"/>
        <v>0</v>
      </c>
      <c r="Z15" s="12">
        <f t="shared" si="15"/>
        <v>0</v>
      </c>
      <c r="AA15" s="4" t="s">
        <v>10</v>
      </c>
      <c r="AB15" s="11">
        <f>IFERROR(VLOOKUP(AA15,Curr!$B$2:$C$13,2,FALSE),0)</f>
        <v>11</v>
      </c>
      <c r="AC15" s="12">
        <f t="shared" si="16"/>
        <v>0</v>
      </c>
      <c r="AD15" s="12">
        <f t="shared" si="17"/>
        <v>0</v>
      </c>
      <c r="AE15" s="13">
        <f t="shared" si="18"/>
        <v>0</v>
      </c>
    </row>
    <row r="16" spans="2:36" x14ac:dyDescent="0.25">
      <c r="B16" s="4"/>
      <c r="C16" s="1" t="s">
        <v>62</v>
      </c>
      <c r="D16" s="1" t="s">
        <v>60</v>
      </c>
      <c r="E16" s="3" t="s">
        <v>63</v>
      </c>
      <c r="F16" s="3"/>
      <c r="G16" s="24"/>
      <c r="H16" s="24"/>
      <c r="J16" s="1" t="s">
        <v>108</v>
      </c>
      <c r="K16" s="4"/>
      <c r="L16" s="4"/>
      <c r="M16" s="4"/>
      <c r="N16" s="4"/>
      <c r="O16" s="4" t="s">
        <v>42</v>
      </c>
      <c r="P16" s="33" t="s">
        <v>85</v>
      </c>
      <c r="Q16" s="25">
        <v>3475</v>
      </c>
      <c r="R16" s="25">
        <v>5</v>
      </c>
      <c r="S16" s="12">
        <f t="shared" si="19"/>
        <v>17375</v>
      </c>
      <c r="T16" s="5">
        <v>0.08</v>
      </c>
      <c r="U16" s="12">
        <f t="shared" si="20"/>
        <v>15985</v>
      </c>
      <c r="V16" s="25" t="s">
        <v>8</v>
      </c>
      <c r="W16" s="11">
        <f>IFERROR(VLOOKUP(V16,Curr!$B$2:$C$13,2,FALSE),0)</f>
        <v>1</v>
      </c>
      <c r="X16" s="12">
        <f t="shared" si="14"/>
        <v>15985</v>
      </c>
      <c r="Y16" s="26">
        <f>Q16/11/0.85</f>
        <v>371.65775401069521</v>
      </c>
      <c r="Z16" s="12">
        <f t="shared" si="15"/>
        <v>1858.2887700534761</v>
      </c>
      <c r="AA16" s="4" t="s">
        <v>10</v>
      </c>
      <c r="AB16" s="11">
        <f>IFERROR(VLOOKUP(AA16,Curr!$B$2:$C$13,2,FALSE),0)</f>
        <v>11</v>
      </c>
      <c r="AC16" s="12">
        <f t="shared" si="16"/>
        <v>20441.176470588238</v>
      </c>
      <c r="AD16" s="12">
        <f t="shared" si="17"/>
        <v>4456.1764705882379</v>
      </c>
      <c r="AE16" s="13">
        <f t="shared" si="18"/>
        <v>0.21800000000000011</v>
      </c>
    </row>
    <row r="17" spans="2:31" x14ac:dyDescent="0.25">
      <c r="B17" s="4"/>
      <c r="C17" s="1" t="s">
        <v>62</v>
      </c>
      <c r="D17" s="1" t="s">
        <v>56</v>
      </c>
      <c r="E17" s="3" t="s">
        <v>63</v>
      </c>
      <c r="F17" s="3"/>
      <c r="G17" s="24"/>
      <c r="H17" s="24"/>
      <c r="J17" s="1" t="s">
        <v>115</v>
      </c>
      <c r="K17" s="4"/>
      <c r="L17" s="4"/>
      <c r="M17" s="4"/>
      <c r="N17" s="4"/>
      <c r="O17" s="4"/>
      <c r="P17" s="29"/>
      <c r="Q17" s="25">
        <v>0</v>
      </c>
      <c r="R17" s="25">
        <v>0</v>
      </c>
      <c r="S17" s="12">
        <f t="shared" si="19"/>
        <v>0</v>
      </c>
      <c r="T17" s="5">
        <v>0</v>
      </c>
      <c r="U17" s="12">
        <f t="shared" si="20"/>
        <v>0</v>
      </c>
      <c r="V17" s="25" t="s">
        <v>10</v>
      </c>
      <c r="W17" s="11">
        <f>IFERROR(VLOOKUP(V17,Curr!$B$2:$C$13,2,FALSE),0)</f>
        <v>11</v>
      </c>
      <c r="X17" s="12">
        <f t="shared" si="14"/>
        <v>0</v>
      </c>
      <c r="Y17" s="26">
        <f t="shared" si="21"/>
        <v>0</v>
      </c>
      <c r="Z17" s="12">
        <f t="shared" si="15"/>
        <v>0</v>
      </c>
      <c r="AA17" s="4" t="s">
        <v>10</v>
      </c>
      <c r="AB17" s="11">
        <f>IFERROR(VLOOKUP(AA17,Curr!$B$2:$C$13,2,FALSE),0)</f>
        <v>11</v>
      </c>
      <c r="AC17" s="12">
        <f t="shared" si="16"/>
        <v>0</v>
      </c>
      <c r="AD17" s="12">
        <f t="shared" si="17"/>
        <v>0</v>
      </c>
      <c r="AE17" s="13">
        <f t="shared" si="18"/>
        <v>0</v>
      </c>
    </row>
    <row r="18" spans="2:31" x14ac:dyDescent="0.25">
      <c r="B18" s="4"/>
      <c r="C18" s="1" t="s">
        <v>62</v>
      </c>
      <c r="D18" s="1" t="s">
        <v>57</v>
      </c>
      <c r="E18" s="3" t="s">
        <v>63</v>
      </c>
      <c r="F18" s="3" t="s">
        <v>64</v>
      </c>
      <c r="G18" s="24"/>
      <c r="H18" s="24"/>
      <c r="J18" s="1" t="s">
        <v>132</v>
      </c>
      <c r="K18" s="4"/>
      <c r="L18" s="4"/>
      <c r="M18" s="4"/>
      <c r="N18" s="4"/>
      <c r="O18" s="4"/>
      <c r="P18" s="33" t="s">
        <v>111</v>
      </c>
      <c r="Q18" s="25">
        <v>1403</v>
      </c>
      <c r="R18" s="25">
        <v>1</v>
      </c>
      <c r="S18" s="12">
        <f t="shared" si="19"/>
        <v>1403</v>
      </c>
      <c r="T18" s="5">
        <v>0</v>
      </c>
      <c r="U18" s="12">
        <f t="shared" si="20"/>
        <v>1403</v>
      </c>
      <c r="V18" s="25" t="s">
        <v>10</v>
      </c>
      <c r="W18" s="11">
        <f>IFERROR(VLOOKUP(V18,Curr!$B$2:$C$13,2,FALSE),0)</f>
        <v>11</v>
      </c>
      <c r="X18" s="12">
        <f t="shared" si="14"/>
        <v>15433</v>
      </c>
      <c r="Y18" s="26">
        <f>Q18/0.8</f>
        <v>1753.75</v>
      </c>
      <c r="Z18" s="12">
        <f t="shared" si="15"/>
        <v>1753.75</v>
      </c>
      <c r="AA18" s="4" t="s">
        <v>10</v>
      </c>
      <c r="AB18" s="11">
        <f>IFERROR(VLOOKUP(AA18,Curr!$B$2:$C$13,2,FALSE),0)</f>
        <v>11</v>
      </c>
      <c r="AC18" s="12">
        <f t="shared" si="16"/>
        <v>19291.25</v>
      </c>
      <c r="AD18" s="12">
        <f t="shared" si="17"/>
        <v>3858.25</v>
      </c>
      <c r="AE18" s="13">
        <f t="shared" si="18"/>
        <v>0.2</v>
      </c>
    </row>
    <row r="19" spans="2:31" x14ac:dyDescent="0.25">
      <c r="B19" s="4"/>
      <c r="C19" s="1" t="s">
        <v>62</v>
      </c>
      <c r="D19" s="1" t="s">
        <v>58</v>
      </c>
      <c r="E19" s="3" t="s">
        <v>63</v>
      </c>
      <c r="F19" s="3"/>
      <c r="G19" s="24"/>
      <c r="H19" s="24"/>
      <c r="J19" s="1" t="s">
        <v>86</v>
      </c>
      <c r="K19" s="4"/>
      <c r="L19" s="4"/>
      <c r="M19" s="4"/>
      <c r="N19" s="4"/>
      <c r="O19" s="4"/>
      <c r="P19" s="27"/>
      <c r="Q19" s="25">
        <v>0</v>
      </c>
      <c r="R19" s="25">
        <v>0</v>
      </c>
      <c r="S19" s="12">
        <f t="shared" si="19"/>
        <v>0</v>
      </c>
      <c r="T19" s="5">
        <v>0</v>
      </c>
      <c r="U19" s="12">
        <f t="shared" si="20"/>
        <v>0</v>
      </c>
      <c r="V19" s="25" t="s">
        <v>10</v>
      </c>
      <c r="W19" s="11">
        <f>IFERROR(VLOOKUP(V19,Curr!$B$2:$C$13,2,FALSE),0)</f>
        <v>11</v>
      </c>
      <c r="X19" s="12">
        <f t="shared" si="14"/>
        <v>0</v>
      </c>
      <c r="Y19" s="26">
        <f t="shared" si="21"/>
        <v>0</v>
      </c>
      <c r="Z19" s="12">
        <f t="shared" si="15"/>
        <v>0</v>
      </c>
      <c r="AA19" s="4" t="s">
        <v>10</v>
      </c>
      <c r="AB19" s="11">
        <f>IFERROR(VLOOKUP(AA19,Curr!$B$2:$C$13,2,FALSE),0)</f>
        <v>11</v>
      </c>
      <c r="AC19" s="12">
        <f t="shared" si="16"/>
        <v>0</v>
      </c>
      <c r="AD19" s="12">
        <f t="shared" si="17"/>
        <v>0</v>
      </c>
      <c r="AE19" s="13">
        <f t="shared" si="18"/>
        <v>0</v>
      </c>
    </row>
    <row r="20" spans="2:31" x14ac:dyDescent="0.25">
      <c r="B20" s="4"/>
      <c r="E20" s="3"/>
      <c r="F20" s="3"/>
      <c r="G20" s="24"/>
      <c r="H20" s="24"/>
      <c r="K20" s="4"/>
      <c r="L20" s="4"/>
      <c r="M20" s="4"/>
      <c r="N20" s="4"/>
      <c r="O20" s="4"/>
      <c r="P20" s="27"/>
      <c r="Q20" s="25"/>
      <c r="R20" s="25"/>
      <c r="S20" s="12">
        <f t="shared" si="19"/>
        <v>0</v>
      </c>
      <c r="T20" s="5">
        <v>0</v>
      </c>
      <c r="U20" s="12">
        <f t="shared" si="20"/>
        <v>0</v>
      </c>
      <c r="V20" s="25" t="s">
        <v>10</v>
      </c>
      <c r="W20" s="11">
        <f>IFERROR(VLOOKUP(V20,Curr!$B$2:$C$13,2,FALSE),0)</f>
        <v>11</v>
      </c>
      <c r="X20" s="12">
        <f t="shared" si="14"/>
        <v>0</v>
      </c>
      <c r="Y20" s="26">
        <f t="shared" si="21"/>
        <v>0</v>
      </c>
      <c r="Z20" s="12">
        <f t="shared" si="15"/>
        <v>0</v>
      </c>
      <c r="AA20" s="4" t="s">
        <v>10</v>
      </c>
      <c r="AB20" s="11">
        <f>IFERROR(VLOOKUP(AA20,Curr!$B$2:$C$13,2,FALSE),0)</f>
        <v>11</v>
      </c>
      <c r="AC20" s="12">
        <f t="shared" si="16"/>
        <v>0</v>
      </c>
      <c r="AD20" s="12">
        <f t="shared" si="17"/>
        <v>0</v>
      </c>
      <c r="AE20" s="13">
        <f t="shared" si="18"/>
        <v>0</v>
      </c>
    </row>
    <row r="21" spans="2:31" x14ac:dyDescent="0.25">
      <c r="B21" s="4"/>
      <c r="C21" s="1" t="s">
        <v>65</v>
      </c>
      <c r="D21" s="1" t="s">
        <v>56</v>
      </c>
      <c r="E21" s="3" t="s">
        <v>64</v>
      </c>
      <c r="F21" s="3"/>
      <c r="G21" s="24"/>
      <c r="H21" s="24"/>
      <c r="J21" s="1" t="s">
        <v>114</v>
      </c>
      <c r="K21" s="4"/>
      <c r="L21" s="4"/>
      <c r="M21" s="4"/>
      <c r="N21" s="4"/>
      <c r="O21" s="4"/>
      <c r="P21" s="33"/>
      <c r="Q21" s="25">
        <v>0</v>
      </c>
      <c r="R21" s="25">
        <v>0</v>
      </c>
      <c r="S21" s="12">
        <f t="shared" si="19"/>
        <v>0</v>
      </c>
      <c r="T21" s="5">
        <v>0</v>
      </c>
      <c r="U21" s="12">
        <f t="shared" si="20"/>
        <v>0</v>
      </c>
      <c r="V21" s="25" t="s">
        <v>10</v>
      </c>
      <c r="W21" s="11">
        <f>IFERROR(VLOOKUP(V21,Curr!$B$2:$C$13,2,FALSE),0)</f>
        <v>11</v>
      </c>
      <c r="X21" s="12">
        <f t="shared" si="14"/>
        <v>0</v>
      </c>
      <c r="Y21" s="26">
        <f t="shared" si="21"/>
        <v>0</v>
      </c>
      <c r="Z21" s="12">
        <f t="shared" si="15"/>
        <v>0</v>
      </c>
      <c r="AA21" s="4" t="s">
        <v>10</v>
      </c>
      <c r="AB21" s="11">
        <f>IFERROR(VLOOKUP(AA21,Curr!$B$2:$C$13,2,FALSE),0)</f>
        <v>11</v>
      </c>
      <c r="AC21" s="12">
        <f t="shared" si="16"/>
        <v>0</v>
      </c>
      <c r="AD21" s="12">
        <f t="shared" si="17"/>
        <v>0</v>
      </c>
      <c r="AE21" s="13">
        <f t="shared" si="18"/>
        <v>0</v>
      </c>
    </row>
    <row r="22" spans="2:31" x14ac:dyDescent="0.25">
      <c r="B22" s="4"/>
      <c r="C22" s="1" t="s">
        <v>65</v>
      </c>
      <c r="D22" s="1" t="s">
        <v>60</v>
      </c>
      <c r="E22" s="3" t="s">
        <v>64</v>
      </c>
      <c r="F22" s="3"/>
      <c r="G22" s="24"/>
      <c r="H22" s="24"/>
      <c r="J22" s="1" t="s">
        <v>109</v>
      </c>
      <c r="K22" s="4"/>
      <c r="L22" s="4"/>
      <c r="M22" s="4"/>
      <c r="N22" s="4"/>
      <c r="O22" s="4" t="s">
        <v>42</v>
      </c>
      <c r="P22" s="33" t="s">
        <v>85</v>
      </c>
      <c r="Q22" s="25">
        <v>0</v>
      </c>
      <c r="R22" s="25">
        <v>0</v>
      </c>
      <c r="S22" s="12">
        <f t="shared" si="19"/>
        <v>0</v>
      </c>
      <c r="T22" s="5">
        <v>0.08</v>
      </c>
      <c r="U22" s="12">
        <f t="shared" si="20"/>
        <v>0</v>
      </c>
      <c r="V22" s="25" t="s">
        <v>8</v>
      </c>
      <c r="W22" s="11">
        <f>IFERROR(VLOOKUP(V22,Curr!$B$2:$C$13,2,FALSE),0)</f>
        <v>1</v>
      </c>
      <c r="X22" s="12">
        <f t="shared" si="14"/>
        <v>0</v>
      </c>
      <c r="Y22" s="26">
        <f t="shared" si="21"/>
        <v>0</v>
      </c>
      <c r="Z22" s="12">
        <f t="shared" si="15"/>
        <v>0</v>
      </c>
      <c r="AA22" s="4" t="s">
        <v>10</v>
      </c>
      <c r="AB22" s="11">
        <f>IFERROR(VLOOKUP(AA22,Curr!$B$2:$C$13,2,FALSE),0)</f>
        <v>11</v>
      </c>
      <c r="AC22" s="12">
        <f t="shared" si="16"/>
        <v>0</v>
      </c>
      <c r="AD22" s="12">
        <f t="shared" si="17"/>
        <v>0</v>
      </c>
      <c r="AE22" s="13">
        <f t="shared" si="18"/>
        <v>0</v>
      </c>
    </row>
    <row r="23" spans="2:31" x14ac:dyDescent="0.25">
      <c r="B23" s="4"/>
      <c r="C23" s="1" t="s">
        <v>65</v>
      </c>
      <c r="D23" s="1" t="s">
        <v>56</v>
      </c>
      <c r="E23" s="3" t="s">
        <v>64</v>
      </c>
      <c r="F23" s="3"/>
      <c r="G23" s="24"/>
      <c r="H23" s="24"/>
      <c r="J23" s="1" t="s">
        <v>103</v>
      </c>
      <c r="K23" s="4"/>
      <c r="L23" s="4"/>
      <c r="M23" s="4"/>
      <c r="N23" s="4"/>
      <c r="O23" s="4"/>
      <c r="P23" s="27"/>
      <c r="Q23" s="25">
        <v>1490</v>
      </c>
      <c r="R23" s="25">
        <v>1</v>
      </c>
      <c r="S23" s="12">
        <f t="shared" si="19"/>
        <v>1490</v>
      </c>
      <c r="T23" s="5">
        <v>0.15</v>
      </c>
      <c r="U23" s="12">
        <f t="shared" si="20"/>
        <v>1266.5</v>
      </c>
      <c r="V23" s="25" t="s">
        <v>8</v>
      </c>
      <c r="W23" s="11">
        <f>IFERROR(VLOOKUP(V23,Curr!$B$2:$C$13,2,FALSE),0)</f>
        <v>1</v>
      </c>
      <c r="X23" s="12">
        <f t="shared" si="14"/>
        <v>1266.5</v>
      </c>
      <c r="Y23" s="26">
        <f>Q23/11/0.9</f>
        <v>150.50505050505052</v>
      </c>
      <c r="Z23" s="12">
        <f t="shared" si="15"/>
        <v>150.50505050505052</v>
      </c>
      <c r="AA23" s="4" t="s">
        <v>10</v>
      </c>
      <c r="AB23" s="11">
        <f>IFERROR(VLOOKUP(AA23,Curr!$B$2:$C$13,2,FALSE),0)</f>
        <v>11</v>
      </c>
      <c r="AC23" s="12">
        <f t="shared" si="16"/>
        <v>1655.5555555555557</v>
      </c>
      <c r="AD23" s="12">
        <f t="shared" si="17"/>
        <v>389.05555555555566</v>
      </c>
      <c r="AE23" s="13">
        <f t="shared" si="18"/>
        <v>0.23500000000000004</v>
      </c>
    </row>
    <row r="24" spans="2:31" x14ac:dyDescent="0.25">
      <c r="B24" s="4"/>
      <c r="C24" s="1" t="s">
        <v>65</v>
      </c>
      <c r="D24" s="1" t="s">
        <v>57</v>
      </c>
      <c r="E24" s="3" t="s">
        <v>64</v>
      </c>
      <c r="F24" s="3" t="s">
        <v>72</v>
      </c>
      <c r="G24" s="24"/>
      <c r="H24" s="24"/>
      <c r="J24" s="1" t="s">
        <v>112</v>
      </c>
      <c r="K24" s="4"/>
      <c r="L24" s="4"/>
      <c r="M24" s="4"/>
      <c r="N24" s="4"/>
      <c r="O24" s="4"/>
      <c r="P24" s="33" t="s">
        <v>113</v>
      </c>
      <c r="Q24" s="25">
        <f>937+346</f>
        <v>1283</v>
      </c>
      <c r="R24" s="25">
        <v>1</v>
      </c>
      <c r="S24" s="12">
        <f t="shared" si="19"/>
        <v>1283</v>
      </c>
      <c r="T24" s="5">
        <v>0</v>
      </c>
      <c r="U24" s="12">
        <f t="shared" si="20"/>
        <v>1283</v>
      </c>
      <c r="V24" s="25" t="s">
        <v>10</v>
      </c>
      <c r="W24" s="11">
        <f>IFERROR(VLOOKUP(V24,Curr!$B$2:$C$13,2,FALSE),0)</f>
        <v>11</v>
      </c>
      <c r="X24" s="12">
        <f t="shared" si="14"/>
        <v>14113</v>
      </c>
      <c r="Y24" s="26">
        <f>Q24/0.8</f>
        <v>1603.75</v>
      </c>
      <c r="Z24" s="12">
        <f t="shared" si="15"/>
        <v>1603.75</v>
      </c>
      <c r="AA24" s="4" t="s">
        <v>10</v>
      </c>
      <c r="AB24" s="11">
        <f>IFERROR(VLOOKUP(AA24,Curr!$B$2:$C$13,2,FALSE),0)</f>
        <v>11</v>
      </c>
      <c r="AC24" s="12">
        <f t="shared" si="16"/>
        <v>17641.25</v>
      </c>
      <c r="AD24" s="12">
        <f t="shared" si="17"/>
        <v>3528.25</v>
      </c>
      <c r="AE24" s="13">
        <f t="shared" si="18"/>
        <v>0.2</v>
      </c>
    </row>
    <row r="25" spans="2:31" x14ac:dyDescent="0.25">
      <c r="B25" s="4"/>
      <c r="C25" s="1" t="s">
        <v>65</v>
      </c>
      <c r="D25" s="1" t="s">
        <v>58</v>
      </c>
      <c r="E25" s="3" t="s">
        <v>64</v>
      </c>
      <c r="F25" s="3"/>
      <c r="G25" s="24"/>
      <c r="H25" s="24"/>
      <c r="J25" s="1" t="s">
        <v>90</v>
      </c>
      <c r="K25" s="4"/>
      <c r="L25" s="4"/>
      <c r="M25" s="4"/>
      <c r="N25" s="4"/>
      <c r="O25" s="4"/>
      <c r="P25" s="27"/>
      <c r="Q25" s="25">
        <v>0</v>
      </c>
      <c r="R25" s="25">
        <v>0</v>
      </c>
      <c r="S25" s="12">
        <f t="shared" si="19"/>
        <v>0</v>
      </c>
      <c r="T25" s="5">
        <v>0</v>
      </c>
      <c r="U25" s="12">
        <f t="shared" si="20"/>
        <v>0</v>
      </c>
      <c r="V25" s="25" t="s">
        <v>10</v>
      </c>
      <c r="W25" s="11">
        <f>IFERROR(VLOOKUP(V25,Curr!$B$2:$C$13,2,FALSE),0)</f>
        <v>11</v>
      </c>
      <c r="X25" s="12">
        <f t="shared" si="14"/>
        <v>0</v>
      </c>
      <c r="Y25" s="26">
        <f t="shared" si="21"/>
        <v>0</v>
      </c>
      <c r="Z25" s="12">
        <f t="shared" si="15"/>
        <v>0</v>
      </c>
      <c r="AA25" s="4" t="s">
        <v>10</v>
      </c>
      <c r="AB25" s="11">
        <f>IFERROR(VLOOKUP(AA25,Curr!$B$2:$C$13,2,FALSE),0)</f>
        <v>11</v>
      </c>
      <c r="AC25" s="12">
        <f t="shared" si="16"/>
        <v>0</v>
      </c>
      <c r="AD25" s="12">
        <f t="shared" si="17"/>
        <v>0</v>
      </c>
      <c r="AE25" s="13">
        <f t="shared" si="18"/>
        <v>0</v>
      </c>
    </row>
    <row r="26" spans="2:31" x14ac:dyDescent="0.25">
      <c r="B26" s="4"/>
      <c r="E26" s="3"/>
      <c r="F26" s="3"/>
      <c r="G26" s="24"/>
      <c r="H26" s="24"/>
      <c r="K26" s="4"/>
      <c r="L26" s="4"/>
      <c r="M26" s="4"/>
      <c r="N26" s="4"/>
      <c r="O26" s="4"/>
      <c r="P26" s="33"/>
      <c r="Q26" s="25"/>
      <c r="R26" s="25"/>
      <c r="S26" s="12">
        <f t="shared" si="19"/>
        <v>0</v>
      </c>
      <c r="T26" s="5">
        <v>0</v>
      </c>
      <c r="U26" s="12">
        <f t="shared" si="20"/>
        <v>0</v>
      </c>
      <c r="V26" s="25" t="s">
        <v>10</v>
      </c>
      <c r="W26" s="11">
        <f>IFERROR(VLOOKUP(V26,Curr!$B$2:$C$13,2,FALSE),0)</f>
        <v>11</v>
      </c>
      <c r="X26" s="12">
        <f t="shared" si="14"/>
        <v>0</v>
      </c>
      <c r="Y26" s="26">
        <f t="shared" si="21"/>
        <v>0</v>
      </c>
      <c r="Z26" s="12">
        <f t="shared" si="15"/>
        <v>0</v>
      </c>
      <c r="AA26" s="4" t="s">
        <v>10</v>
      </c>
      <c r="AB26" s="11">
        <f>IFERROR(VLOOKUP(AA26,Curr!$B$2:$C$13,2,FALSE),0)</f>
        <v>11</v>
      </c>
      <c r="AC26" s="12">
        <f t="shared" si="16"/>
        <v>0</v>
      </c>
      <c r="AD26" s="12">
        <f t="shared" si="17"/>
        <v>0</v>
      </c>
      <c r="AE26" s="13">
        <f t="shared" si="18"/>
        <v>0</v>
      </c>
    </row>
    <row r="27" spans="2:31" x14ac:dyDescent="0.25">
      <c r="B27" s="4"/>
      <c r="C27" s="1" t="s">
        <v>66</v>
      </c>
      <c r="D27" s="1" t="s">
        <v>60</v>
      </c>
      <c r="E27" s="3" t="s">
        <v>67</v>
      </c>
      <c r="F27" s="3"/>
      <c r="G27" s="24"/>
      <c r="H27" s="24"/>
      <c r="J27" s="1" t="s">
        <v>91</v>
      </c>
      <c r="K27" s="4"/>
      <c r="L27" s="4"/>
      <c r="M27" s="4"/>
      <c r="N27" s="4"/>
      <c r="O27" s="4" t="s">
        <v>42</v>
      </c>
      <c r="P27" s="33" t="s">
        <v>92</v>
      </c>
      <c r="Q27" s="25">
        <v>325</v>
      </c>
      <c r="R27" s="25">
        <v>5</v>
      </c>
      <c r="S27" s="12">
        <f t="shared" si="19"/>
        <v>1625</v>
      </c>
      <c r="T27" s="5">
        <v>0.2</v>
      </c>
      <c r="U27" s="12">
        <f t="shared" si="20"/>
        <v>1300</v>
      </c>
      <c r="V27" s="25" t="s">
        <v>8</v>
      </c>
      <c r="W27" s="11">
        <f>IFERROR(VLOOKUP(V27,Curr!$B$2:$C$13,2,FALSE),0)</f>
        <v>1</v>
      </c>
      <c r="X27" s="12">
        <f t="shared" si="14"/>
        <v>1300</v>
      </c>
      <c r="Y27" s="26">
        <f>Q27/11/0.8</f>
        <v>36.93181818181818</v>
      </c>
      <c r="Z27" s="12">
        <f t="shared" si="15"/>
        <v>184.65909090909091</v>
      </c>
      <c r="AA27" s="4" t="s">
        <v>10</v>
      </c>
      <c r="AB27" s="11">
        <f>IFERROR(VLOOKUP(AA27,Curr!$B$2:$C$13,2,FALSE),0)</f>
        <v>11</v>
      </c>
      <c r="AC27" s="12">
        <f t="shared" si="16"/>
        <v>2031.25</v>
      </c>
      <c r="AD27" s="12">
        <f t="shared" si="17"/>
        <v>731.25</v>
      </c>
      <c r="AE27" s="13">
        <f t="shared" si="18"/>
        <v>0.36</v>
      </c>
    </row>
    <row r="28" spans="2:31" x14ac:dyDescent="0.25">
      <c r="B28" s="4"/>
      <c r="C28" s="1" t="s">
        <v>66</v>
      </c>
      <c r="D28" s="1" t="s">
        <v>60</v>
      </c>
      <c r="E28" s="3" t="s">
        <v>67</v>
      </c>
      <c r="F28" s="3"/>
      <c r="G28" s="24"/>
      <c r="H28" s="24"/>
      <c r="J28" s="1" t="s">
        <v>93</v>
      </c>
      <c r="K28" s="4"/>
      <c r="L28" s="4"/>
      <c r="M28" s="4"/>
      <c r="N28" s="4"/>
      <c r="O28" s="4" t="s">
        <v>42</v>
      </c>
      <c r="P28" s="33" t="s">
        <v>94</v>
      </c>
      <c r="Q28" s="25">
        <v>200</v>
      </c>
      <c r="R28" s="25">
        <v>5</v>
      </c>
      <c r="S28" s="12">
        <f t="shared" si="19"/>
        <v>1000</v>
      </c>
      <c r="T28" s="5">
        <v>0</v>
      </c>
      <c r="U28" s="12">
        <f t="shared" si="20"/>
        <v>1000</v>
      </c>
      <c r="V28" s="25" t="s">
        <v>8</v>
      </c>
      <c r="W28" s="11">
        <f>IFERROR(VLOOKUP(V28,Curr!$B$2:$C$13,2,FALSE),0)</f>
        <v>1</v>
      </c>
      <c r="X28" s="12">
        <f t="shared" si="14"/>
        <v>1000</v>
      </c>
      <c r="Y28" s="26">
        <f>Q28/11/0.8</f>
        <v>22.727272727272727</v>
      </c>
      <c r="Z28" s="12">
        <f t="shared" si="15"/>
        <v>113.63636363636363</v>
      </c>
      <c r="AA28" s="4" t="s">
        <v>10</v>
      </c>
      <c r="AB28" s="11">
        <f>IFERROR(VLOOKUP(AA28,Curr!$B$2:$C$13,2,FALSE),0)</f>
        <v>11</v>
      </c>
      <c r="AC28" s="12">
        <f t="shared" si="16"/>
        <v>1250</v>
      </c>
      <c r="AD28" s="12">
        <f t="shared" si="17"/>
        <v>250</v>
      </c>
      <c r="AE28" s="13">
        <f t="shared" si="18"/>
        <v>0.2</v>
      </c>
    </row>
    <row r="29" spans="2:31" x14ac:dyDescent="0.25">
      <c r="B29" s="4"/>
      <c r="C29" s="1" t="s">
        <v>66</v>
      </c>
      <c r="D29" s="1" t="s">
        <v>58</v>
      </c>
      <c r="E29" s="3" t="s">
        <v>67</v>
      </c>
      <c r="F29" s="3"/>
      <c r="G29" s="24"/>
      <c r="H29" s="24"/>
      <c r="J29" s="1" t="s">
        <v>90</v>
      </c>
      <c r="K29" s="4"/>
      <c r="L29" s="4"/>
      <c r="M29" s="4"/>
      <c r="N29" s="4"/>
      <c r="O29" s="4"/>
      <c r="P29" s="29"/>
      <c r="Q29" s="25">
        <v>0</v>
      </c>
      <c r="R29" s="25">
        <v>0</v>
      </c>
      <c r="S29" s="12">
        <f t="shared" si="19"/>
        <v>0</v>
      </c>
      <c r="T29" s="5">
        <v>0</v>
      </c>
      <c r="U29" s="12">
        <f t="shared" si="20"/>
        <v>0</v>
      </c>
      <c r="V29" s="25" t="s">
        <v>10</v>
      </c>
      <c r="W29" s="11">
        <f>IFERROR(VLOOKUP(V29,Curr!$B$2:$C$13,2,FALSE),0)</f>
        <v>11</v>
      </c>
      <c r="X29" s="12">
        <f t="shared" si="14"/>
        <v>0</v>
      </c>
      <c r="Y29" s="26">
        <f t="shared" si="21"/>
        <v>0</v>
      </c>
      <c r="Z29" s="12">
        <f t="shared" si="15"/>
        <v>0</v>
      </c>
      <c r="AA29" s="4" t="s">
        <v>10</v>
      </c>
      <c r="AB29" s="11">
        <f>IFERROR(VLOOKUP(AA29,Curr!$B$2:$C$13,2,FALSE),0)</f>
        <v>11</v>
      </c>
      <c r="AC29" s="12">
        <f t="shared" si="16"/>
        <v>0</v>
      </c>
      <c r="AD29" s="12">
        <f t="shared" si="17"/>
        <v>0</v>
      </c>
      <c r="AE29" s="13">
        <f t="shared" si="18"/>
        <v>0</v>
      </c>
    </row>
    <row r="30" spans="2:31" x14ac:dyDescent="0.25">
      <c r="B30" s="4"/>
      <c r="E30" s="3"/>
      <c r="F30" s="3"/>
      <c r="G30" s="24"/>
      <c r="H30" s="24"/>
      <c r="K30" s="4"/>
      <c r="L30" s="4"/>
      <c r="M30" s="4"/>
      <c r="N30" s="4"/>
      <c r="O30" s="4"/>
      <c r="P30" s="33"/>
      <c r="Q30" s="25"/>
      <c r="R30" s="25"/>
      <c r="S30" s="12">
        <f t="shared" si="19"/>
        <v>0</v>
      </c>
      <c r="T30" s="5">
        <v>0</v>
      </c>
      <c r="U30" s="12">
        <f t="shared" si="20"/>
        <v>0</v>
      </c>
      <c r="V30" s="25" t="s">
        <v>10</v>
      </c>
      <c r="W30" s="11">
        <f>IFERROR(VLOOKUP(V30,Curr!$B$2:$C$13,2,FALSE),0)</f>
        <v>11</v>
      </c>
      <c r="X30" s="12">
        <f t="shared" si="14"/>
        <v>0</v>
      </c>
      <c r="Y30" s="26">
        <f t="shared" si="21"/>
        <v>0</v>
      </c>
      <c r="Z30" s="12">
        <f t="shared" si="15"/>
        <v>0</v>
      </c>
      <c r="AA30" s="4" t="s">
        <v>10</v>
      </c>
      <c r="AB30" s="11">
        <f>IFERROR(VLOOKUP(AA30,Curr!$B$2:$C$13,2,FALSE),0)</f>
        <v>11</v>
      </c>
      <c r="AC30" s="12">
        <f t="shared" si="16"/>
        <v>0</v>
      </c>
      <c r="AD30" s="12">
        <f t="shared" si="17"/>
        <v>0</v>
      </c>
      <c r="AE30" s="13">
        <f t="shared" si="18"/>
        <v>0</v>
      </c>
    </row>
    <row r="31" spans="2:31" x14ac:dyDescent="0.25">
      <c r="B31" s="4"/>
      <c r="C31" s="1" t="s">
        <v>68</v>
      </c>
      <c r="D31" s="1" t="s">
        <v>60</v>
      </c>
      <c r="E31" s="3" t="s">
        <v>69</v>
      </c>
      <c r="F31" s="3"/>
      <c r="G31" s="24"/>
      <c r="H31" s="24"/>
      <c r="J31" s="1" t="s">
        <v>117</v>
      </c>
      <c r="K31" s="4"/>
      <c r="L31" s="4"/>
      <c r="M31" s="4"/>
      <c r="N31" s="4"/>
      <c r="O31" s="4"/>
      <c r="P31" s="33" t="s">
        <v>118</v>
      </c>
      <c r="Q31" s="25">
        <v>802</v>
      </c>
      <c r="R31" s="25">
        <v>1</v>
      </c>
      <c r="S31" s="12">
        <f t="shared" si="19"/>
        <v>802</v>
      </c>
      <c r="T31" s="5">
        <v>0.15</v>
      </c>
      <c r="U31" s="12">
        <f t="shared" si="20"/>
        <v>681.69999999999993</v>
      </c>
      <c r="V31" s="25" t="s">
        <v>10</v>
      </c>
      <c r="W31" s="11">
        <f>IFERROR(VLOOKUP(V31,Curr!$B$2:$C$13,2,FALSE),0)</f>
        <v>11</v>
      </c>
      <c r="X31" s="12">
        <f t="shared" si="14"/>
        <v>7498.6999999999989</v>
      </c>
      <c r="Y31" s="26">
        <f>Q31/0.95</f>
        <v>844.21052631578948</v>
      </c>
      <c r="Z31" s="12">
        <f t="shared" si="15"/>
        <v>844.21052631578948</v>
      </c>
      <c r="AA31" s="4" t="s">
        <v>10</v>
      </c>
      <c r="AB31" s="11">
        <f>IFERROR(VLOOKUP(AA31,Curr!$B$2:$C$13,2,FALSE),0)</f>
        <v>11</v>
      </c>
      <c r="AC31" s="12">
        <f t="shared" si="16"/>
        <v>9286.3157894736851</v>
      </c>
      <c r="AD31" s="12">
        <f t="shared" si="17"/>
        <v>1787.6157894736862</v>
      </c>
      <c r="AE31" s="13">
        <f t="shared" si="18"/>
        <v>0.1925000000000002</v>
      </c>
    </row>
    <row r="32" spans="2:31" x14ac:dyDescent="0.25">
      <c r="B32" s="4"/>
      <c r="C32" s="1" t="s">
        <v>68</v>
      </c>
      <c r="D32" s="1" t="s">
        <v>58</v>
      </c>
      <c r="E32" s="3" t="s">
        <v>69</v>
      </c>
      <c r="F32" s="3"/>
      <c r="G32" s="24"/>
      <c r="H32" s="24"/>
      <c r="J32" s="1" t="s">
        <v>90</v>
      </c>
      <c r="K32" s="4"/>
      <c r="L32" s="4"/>
      <c r="M32" s="4"/>
      <c r="N32" s="4"/>
      <c r="O32" s="4"/>
      <c r="P32" s="27"/>
      <c r="Q32" s="25">
        <v>0</v>
      </c>
      <c r="R32" s="25">
        <v>0</v>
      </c>
      <c r="S32" s="12">
        <f t="shared" si="19"/>
        <v>0</v>
      </c>
      <c r="T32" s="5">
        <v>0</v>
      </c>
      <c r="U32" s="12">
        <f t="shared" si="20"/>
        <v>0</v>
      </c>
      <c r="V32" s="25" t="s">
        <v>10</v>
      </c>
      <c r="W32" s="11">
        <f>IFERROR(VLOOKUP(V32,Curr!$B$2:$C$13,2,FALSE),0)</f>
        <v>11</v>
      </c>
      <c r="X32" s="12">
        <f t="shared" si="14"/>
        <v>0</v>
      </c>
      <c r="Y32" s="26">
        <f t="shared" si="21"/>
        <v>0</v>
      </c>
      <c r="Z32" s="12">
        <f t="shared" si="15"/>
        <v>0</v>
      </c>
      <c r="AA32" s="4" t="s">
        <v>10</v>
      </c>
      <c r="AB32" s="11">
        <f>IFERROR(VLOOKUP(AA32,Curr!$B$2:$C$13,2,FALSE),0)</f>
        <v>11</v>
      </c>
      <c r="AC32" s="12">
        <f t="shared" si="16"/>
        <v>0</v>
      </c>
      <c r="AD32" s="12">
        <f t="shared" si="17"/>
        <v>0</v>
      </c>
      <c r="AE32" s="13">
        <f t="shared" si="18"/>
        <v>0</v>
      </c>
    </row>
    <row r="33" spans="2:31" x14ac:dyDescent="0.25">
      <c r="B33" s="4"/>
      <c r="E33" s="3"/>
      <c r="F33" s="3"/>
      <c r="G33" s="24"/>
      <c r="H33" s="24"/>
      <c r="K33" s="4"/>
      <c r="L33" s="4"/>
      <c r="M33" s="4"/>
      <c r="N33" s="4"/>
      <c r="O33" s="4"/>
      <c r="P33" s="27"/>
      <c r="Q33" s="25"/>
      <c r="R33" s="25"/>
      <c r="S33" s="12">
        <f t="shared" si="19"/>
        <v>0</v>
      </c>
      <c r="T33" s="5">
        <v>0</v>
      </c>
      <c r="U33" s="12">
        <f t="shared" si="20"/>
        <v>0</v>
      </c>
      <c r="V33" s="25" t="s">
        <v>10</v>
      </c>
      <c r="W33" s="11">
        <f>IFERROR(VLOOKUP(V33,Curr!$B$2:$C$13,2,FALSE),0)</f>
        <v>11</v>
      </c>
      <c r="X33" s="12">
        <f t="shared" si="14"/>
        <v>0</v>
      </c>
      <c r="Y33" s="26">
        <f t="shared" si="21"/>
        <v>0</v>
      </c>
      <c r="Z33" s="12">
        <f t="shared" si="15"/>
        <v>0</v>
      </c>
      <c r="AA33" s="4" t="s">
        <v>10</v>
      </c>
      <c r="AB33" s="11">
        <f>IFERROR(VLOOKUP(AA33,Curr!$B$2:$C$13,2,FALSE),0)</f>
        <v>11</v>
      </c>
      <c r="AC33" s="12">
        <f t="shared" si="16"/>
        <v>0</v>
      </c>
      <c r="AD33" s="12">
        <f t="shared" si="17"/>
        <v>0</v>
      </c>
      <c r="AE33" s="13">
        <f t="shared" si="18"/>
        <v>0</v>
      </c>
    </row>
    <row r="34" spans="2:31" x14ac:dyDescent="0.25">
      <c r="B34" s="4"/>
      <c r="C34" s="1" t="s">
        <v>70</v>
      </c>
      <c r="D34" s="1" t="s">
        <v>56</v>
      </c>
      <c r="E34" s="3" t="s">
        <v>72</v>
      </c>
      <c r="F34" s="3"/>
      <c r="G34" s="24"/>
      <c r="H34" s="24"/>
      <c r="J34" s="1" t="s">
        <v>104</v>
      </c>
      <c r="K34" s="4"/>
      <c r="L34" s="4"/>
      <c r="M34" s="4"/>
      <c r="N34" s="4"/>
      <c r="O34" s="4"/>
      <c r="P34" s="33"/>
      <c r="Q34" s="25">
        <v>1990</v>
      </c>
      <c r="R34" s="25">
        <v>1</v>
      </c>
      <c r="S34" s="12">
        <f t="shared" si="19"/>
        <v>1990</v>
      </c>
      <c r="T34" s="5">
        <v>0.15</v>
      </c>
      <c r="U34" s="12">
        <f t="shared" si="20"/>
        <v>1691.5</v>
      </c>
      <c r="V34" s="25" t="s">
        <v>8</v>
      </c>
      <c r="W34" s="11">
        <f>IFERROR(VLOOKUP(V34,Curr!$B$2:$C$13,2,FALSE),0)</f>
        <v>1</v>
      </c>
      <c r="X34" s="12">
        <f t="shared" ref="X34" si="22">U34*W34</f>
        <v>1691.5</v>
      </c>
      <c r="Y34" s="26">
        <f>Q34/11/0.9</f>
        <v>201.01010101010101</v>
      </c>
      <c r="Z34" s="12">
        <f t="shared" si="15"/>
        <v>201.01010101010101</v>
      </c>
      <c r="AA34" s="4" t="s">
        <v>10</v>
      </c>
      <c r="AB34" s="11">
        <f>IFERROR(VLOOKUP(AA34,Curr!$B$2:$C$13,2,FALSE),0)</f>
        <v>11</v>
      </c>
      <c r="AC34" s="12">
        <f t="shared" si="16"/>
        <v>2211.1111111111113</v>
      </c>
      <c r="AD34" s="12">
        <f t="shared" si="17"/>
        <v>519.61111111111131</v>
      </c>
      <c r="AE34" s="13">
        <f t="shared" si="18"/>
        <v>0.23500000000000007</v>
      </c>
    </row>
    <row r="35" spans="2:31" x14ac:dyDescent="0.25">
      <c r="B35" s="4"/>
      <c r="C35" s="1" t="s">
        <v>70</v>
      </c>
      <c r="D35" s="1" t="s">
        <v>71</v>
      </c>
      <c r="E35" s="3" t="s">
        <v>72</v>
      </c>
      <c r="F35" s="3"/>
      <c r="G35" s="24"/>
      <c r="H35" s="24"/>
      <c r="J35" s="1" t="s">
        <v>119</v>
      </c>
      <c r="K35" s="4"/>
      <c r="L35" s="4"/>
      <c r="M35" s="4"/>
      <c r="N35" s="4"/>
      <c r="O35" s="4"/>
      <c r="P35" s="33" t="s">
        <v>120</v>
      </c>
      <c r="Q35" s="25">
        <v>1529</v>
      </c>
      <c r="R35" s="25">
        <v>5</v>
      </c>
      <c r="S35" s="12">
        <f t="shared" si="19"/>
        <v>7645</v>
      </c>
      <c r="T35" s="5">
        <v>0</v>
      </c>
      <c r="U35" s="12">
        <f t="shared" si="20"/>
        <v>7645</v>
      </c>
      <c r="V35" s="25" t="s">
        <v>8</v>
      </c>
      <c r="W35" s="11">
        <f>IFERROR(VLOOKUP(V35,Curr!$B$2:$C$13,2,FALSE),0)</f>
        <v>1</v>
      </c>
      <c r="X35" s="12">
        <f t="shared" si="14"/>
        <v>7645</v>
      </c>
      <c r="Y35" s="26">
        <f>Q35/11/0.8</f>
        <v>173.75</v>
      </c>
      <c r="Z35" s="12">
        <f t="shared" si="15"/>
        <v>868.75</v>
      </c>
      <c r="AA35" s="4" t="s">
        <v>10</v>
      </c>
      <c r="AB35" s="11">
        <f>IFERROR(VLOOKUP(AA35,Curr!$B$2:$C$13,2,FALSE),0)</f>
        <v>11</v>
      </c>
      <c r="AC35" s="12">
        <f t="shared" si="16"/>
        <v>9556.25</v>
      </c>
      <c r="AD35" s="12">
        <f t="shared" si="17"/>
        <v>1911.25</v>
      </c>
      <c r="AE35" s="13">
        <f t="shared" si="18"/>
        <v>0.2</v>
      </c>
    </row>
    <row r="36" spans="2:31" x14ac:dyDescent="0.25">
      <c r="B36" s="4"/>
      <c r="C36" s="1" t="s">
        <v>70</v>
      </c>
      <c r="D36" s="1" t="s">
        <v>56</v>
      </c>
      <c r="E36" s="3" t="s">
        <v>72</v>
      </c>
      <c r="F36" s="3"/>
      <c r="G36" s="24"/>
      <c r="H36" s="24"/>
      <c r="J36" s="1" t="s">
        <v>105</v>
      </c>
      <c r="K36" s="4"/>
      <c r="L36" s="4"/>
      <c r="M36" s="4"/>
      <c r="N36" s="4"/>
      <c r="O36" s="4"/>
      <c r="P36" s="33"/>
      <c r="Q36" s="25">
        <v>2500</v>
      </c>
      <c r="R36" s="25">
        <v>1</v>
      </c>
      <c r="S36" s="12">
        <f t="shared" si="19"/>
        <v>2500</v>
      </c>
      <c r="T36" s="5">
        <v>0</v>
      </c>
      <c r="U36" s="12">
        <f t="shared" si="20"/>
        <v>2500</v>
      </c>
      <c r="V36" s="25" t="s">
        <v>8</v>
      </c>
      <c r="W36" s="11">
        <f>IFERROR(VLOOKUP(V36,Curr!$B$2:$C$13,2,FALSE),0)</f>
        <v>1</v>
      </c>
      <c r="X36" s="12">
        <f t="shared" si="14"/>
        <v>2500</v>
      </c>
      <c r="Y36" s="26">
        <f>Q36/11/0.8</f>
        <v>284.09090909090907</v>
      </c>
      <c r="Z36" s="12">
        <f t="shared" si="15"/>
        <v>284.09090909090907</v>
      </c>
      <c r="AA36" s="4" t="s">
        <v>10</v>
      </c>
      <c r="AB36" s="11">
        <f>IFERROR(VLOOKUP(AA36,Curr!$B$2:$C$13,2,FALSE),0)</f>
        <v>11</v>
      </c>
      <c r="AC36" s="12">
        <f t="shared" si="16"/>
        <v>3124.9999999999995</v>
      </c>
      <c r="AD36" s="12">
        <f t="shared" si="17"/>
        <v>624.99999999999955</v>
      </c>
      <c r="AE36" s="13">
        <f t="shared" si="18"/>
        <v>0.19999999999999987</v>
      </c>
    </row>
    <row r="37" spans="2:31" x14ac:dyDescent="0.25">
      <c r="B37" s="4"/>
      <c r="C37" s="1" t="s">
        <v>70</v>
      </c>
      <c r="D37" s="1" t="s">
        <v>57</v>
      </c>
      <c r="E37" s="3" t="s">
        <v>72</v>
      </c>
      <c r="F37" s="3" t="s">
        <v>81</v>
      </c>
      <c r="G37" s="24"/>
      <c r="H37" s="24"/>
      <c r="J37" s="1" t="s">
        <v>121</v>
      </c>
      <c r="K37" s="4"/>
      <c r="L37" s="4"/>
      <c r="M37" s="4"/>
      <c r="N37" s="4"/>
      <c r="O37" s="4"/>
      <c r="P37" s="33" t="s">
        <v>122</v>
      </c>
      <c r="Q37" s="25">
        <f>1255+529</f>
        <v>1784</v>
      </c>
      <c r="R37" s="25">
        <v>1</v>
      </c>
      <c r="S37" s="12">
        <f t="shared" si="19"/>
        <v>1784</v>
      </c>
      <c r="T37" s="5">
        <v>0</v>
      </c>
      <c r="U37" s="12">
        <f t="shared" si="20"/>
        <v>1784</v>
      </c>
      <c r="V37" s="25" t="s">
        <v>10</v>
      </c>
      <c r="W37" s="11">
        <f>IFERROR(VLOOKUP(V37,Curr!$B$2:$C$13,2,FALSE),0)</f>
        <v>11</v>
      </c>
      <c r="X37" s="12">
        <f t="shared" si="14"/>
        <v>19624</v>
      </c>
      <c r="Y37" s="26">
        <f>Q37/0.8</f>
        <v>2230</v>
      </c>
      <c r="Z37" s="12">
        <f t="shared" si="15"/>
        <v>2230</v>
      </c>
      <c r="AA37" s="4" t="s">
        <v>10</v>
      </c>
      <c r="AB37" s="11">
        <f>IFERROR(VLOOKUP(AA37,Curr!$B$2:$C$13,2,FALSE),0)</f>
        <v>11</v>
      </c>
      <c r="AC37" s="12">
        <f t="shared" si="16"/>
        <v>24530</v>
      </c>
      <c r="AD37" s="12">
        <f t="shared" si="17"/>
        <v>4906</v>
      </c>
      <c r="AE37" s="13">
        <f t="shared" si="18"/>
        <v>0.2</v>
      </c>
    </row>
    <row r="38" spans="2:31" x14ac:dyDescent="0.25">
      <c r="B38" s="4"/>
      <c r="C38" s="1" t="s">
        <v>70</v>
      </c>
      <c r="D38" s="1" t="s">
        <v>58</v>
      </c>
      <c r="E38" s="3" t="s">
        <v>72</v>
      </c>
      <c r="F38" s="3"/>
      <c r="G38" s="24"/>
      <c r="H38" s="24"/>
      <c r="J38" s="1" t="s">
        <v>97</v>
      </c>
      <c r="K38" s="4"/>
      <c r="L38" s="4"/>
      <c r="M38" s="4"/>
      <c r="N38" s="4"/>
      <c r="O38" s="4"/>
      <c r="P38" s="27"/>
      <c r="Q38" s="25">
        <v>0</v>
      </c>
      <c r="R38" s="25">
        <v>0</v>
      </c>
      <c r="S38" s="12">
        <f t="shared" si="19"/>
        <v>0</v>
      </c>
      <c r="T38" s="5">
        <v>0</v>
      </c>
      <c r="U38" s="12">
        <f t="shared" si="20"/>
        <v>0</v>
      </c>
      <c r="V38" s="25" t="s">
        <v>10</v>
      </c>
      <c r="W38" s="11">
        <f>IFERROR(VLOOKUP(V38,Curr!$B$2:$C$13,2,FALSE),0)</f>
        <v>11</v>
      </c>
      <c r="X38" s="12">
        <f t="shared" si="14"/>
        <v>0</v>
      </c>
      <c r="Y38" s="26">
        <f t="shared" si="21"/>
        <v>0</v>
      </c>
      <c r="Z38" s="12">
        <f t="shared" si="15"/>
        <v>0</v>
      </c>
      <c r="AA38" s="4" t="s">
        <v>10</v>
      </c>
      <c r="AB38" s="11">
        <f>IFERROR(VLOOKUP(AA38,Curr!$B$2:$C$13,2,FALSE),0)</f>
        <v>11</v>
      </c>
      <c r="AC38" s="12">
        <f t="shared" si="16"/>
        <v>0</v>
      </c>
      <c r="AD38" s="12">
        <f t="shared" si="17"/>
        <v>0</v>
      </c>
      <c r="AE38" s="13">
        <f t="shared" si="18"/>
        <v>0</v>
      </c>
    </row>
    <row r="39" spans="2:31" x14ac:dyDescent="0.25">
      <c r="B39" s="4"/>
      <c r="E39" s="3"/>
      <c r="F39" s="3"/>
      <c r="G39" s="24"/>
      <c r="H39" s="24"/>
      <c r="K39" s="4"/>
      <c r="L39" s="4"/>
      <c r="M39" s="4"/>
      <c r="N39" s="4"/>
      <c r="O39" s="4"/>
      <c r="P39" s="27"/>
      <c r="Q39" s="25"/>
      <c r="R39" s="25"/>
      <c r="S39" s="12">
        <f t="shared" si="19"/>
        <v>0</v>
      </c>
      <c r="T39" s="5">
        <v>0</v>
      </c>
      <c r="U39" s="12">
        <f t="shared" si="20"/>
        <v>0</v>
      </c>
      <c r="V39" s="25" t="s">
        <v>10</v>
      </c>
      <c r="W39" s="11">
        <f>IFERROR(VLOOKUP(V39,Curr!$B$2:$C$13,2,FALSE),0)</f>
        <v>11</v>
      </c>
      <c r="X39" s="12">
        <f t="shared" si="14"/>
        <v>0</v>
      </c>
      <c r="Y39" s="26">
        <f t="shared" si="21"/>
        <v>0</v>
      </c>
      <c r="Z39" s="12">
        <f t="shared" si="15"/>
        <v>0</v>
      </c>
      <c r="AA39" s="4" t="s">
        <v>10</v>
      </c>
      <c r="AB39" s="11">
        <f>IFERROR(VLOOKUP(AA39,Curr!$B$2:$C$13,2,FALSE),0)</f>
        <v>11</v>
      </c>
      <c r="AC39" s="12">
        <f t="shared" si="16"/>
        <v>0</v>
      </c>
      <c r="AD39" s="12">
        <f t="shared" si="17"/>
        <v>0</v>
      </c>
      <c r="AE39" s="13">
        <f t="shared" si="18"/>
        <v>0</v>
      </c>
    </row>
    <row r="40" spans="2:31" x14ac:dyDescent="0.25">
      <c r="B40" s="4"/>
      <c r="C40" s="1" t="s">
        <v>73</v>
      </c>
      <c r="D40" s="1" t="s">
        <v>60</v>
      </c>
      <c r="E40" s="3" t="s">
        <v>74</v>
      </c>
      <c r="F40" s="3"/>
      <c r="G40" s="24"/>
      <c r="H40" s="24"/>
      <c r="J40" s="1" t="s">
        <v>128</v>
      </c>
      <c r="K40" s="4"/>
      <c r="L40" s="4"/>
      <c r="M40" s="4"/>
      <c r="N40" s="4"/>
      <c r="O40" s="4" t="s">
        <v>42</v>
      </c>
      <c r="P40" s="33" t="s">
        <v>101</v>
      </c>
      <c r="Q40" s="25">
        <v>125</v>
      </c>
      <c r="R40" s="25">
        <v>5</v>
      </c>
      <c r="S40" s="12">
        <f t="shared" si="19"/>
        <v>625</v>
      </c>
      <c r="T40" s="5">
        <v>0.2</v>
      </c>
      <c r="U40" s="12">
        <f t="shared" si="20"/>
        <v>500</v>
      </c>
      <c r="V40" s="25" t="s">
        <v>10</v>
      </c>
      <c r="W40" s="11">
        <f>IFERROR(VLOOKUP(V40,Curr!$B$2:$C$13,2,FALSE),0)</f>
        <v>11</v>
      </c>
      <c r="X40" s="12">
        <f t="shared" si="14"/>
        <v>5500</v>
      </c>
      <c r="Y40" s="26">
        <f t="shared" si="21"/>
        <v>125</v>
      </c>
      <c r="Z40" s="12">
        <f t="shared" si="15"/>
        <v>625</v>
      </c>
      <c r="AA40" s="4" t="s">
        <v>10</v>
      </c>
      <c r="AB40" s="11">
        <f>IFERROR(VLOOKUP(AA40,Curr!$B$2:$C$13,2,FALSE),0)</f>
        <v>11</v>
      </c>
      <c r="AC40" s="12">
        <f t="shared" si="16"/>
        <v>6875</v>
      </c>
      <c r="AD40" s="12">
        <f t="shared" si="17"/>
        <v>1375</v>
      </c>
      <c r="AE40" s="13">
        <f t="shared" si="18"/>
        <v>0.2</v>
      </c>
    </row>
    <row r="41" spans="2:31" x14ac:dyDescent="0.25">
      <c r="B41" s="4"/>
      <c r="C41" s="1" t="s">
        <v>73</v>
      </c>
      <c r="D41" s="1" t="s">
        <v>58</v>
      </c>
      <c r="E41" s="3" t="s">
        <v>74</v>
      </c>
      <c r="F41" s="3"/>
      <c r="G41" s="24"/>
      <c r="H41" s="24"/>
      <c r="J41" s="1" t="s">
        <v>97</v>
      </c>
      <c r="K41" s="4"/>
      <c r="L41" s="4"/>
      <c r="M41" s="4"/>
      <c r="N41" s="4"/>
      <c r="O41" s="4"/>
      <c r="P41" s="27"/>
      <c r="Q41" s="25">
        <v>0</v>
      </c>
      <c r="R41" s="25">
        <v>0</v>
      </c>
      <c r="S41" s="12">
        <f t="shared" si="19"/>
        <v>0</v>
      </c>
      <c r="T41" s="5">
        <v>0</v>
      </c>
      <c r="U41" s="12">
        <f t="shared" si="20"/>
        <v>0</v>
      </c>
      <c r="V41" s="25" t="s">
        <v>10</v>
      </c>
      <c r="W41" s="11">
        <f>IFERROR(VLOOKUP(V41,Curr!$B$2:$C$13,2,FALSE),0)</f>
        <v>11</v>
      </c>
      <c r="X41" s="12">
        <f t="shared" si="14"/>
        <v>0</v>
      </c>
      <c r="Y41" s="26">
        <f t="shared" si="21"/>
        <v>0</v>
      </c>
      <c r="Z41" s="12">
        <f t="shared" si="15"/>
        <v>0</v>
      </c>
      <c r="AA41" s="4" t="s">
        <v>10</v>
      </c>
      <c r="AB41" s="11">
        <f>IFERROR(VLOOKUP(AA41,Curr!$B$2:$C$13,2,FALSE),0)</f>
        <v>11</v>
      </c>
      <c r="AC41" s="12">
        <f t="shared" si="16"/>
        <v>0</v>
      </c>
      <c r="AD41" s="12">
        <f t="shared" si="17"/>
        <v>0</v>
      </c>
      <c r="AE41" s="13">
        <f t="shared" si="18"/>
        <v>0</v>
      </c>
    </row>
    <row r="42" spans="2:31" x14ac:dyDescent="0.25">
      <c r="B42" s="4"/>
      <c r="C42" s="1" t="s">
        <v>73</v>
      </c>
      <c r="D42" s="1" t="s">
        <v>60</v>
      </c>
      <c r="E42" s="3" t="s">
        <v>74</v>
      </c>
      <c r="F42" s="3"/>
      <c r="G42" s="24"/>
      <c r="H42" s="24"/>
      <c r="J42" s="1" t="s">
        <v>123</v>
      </c>
      <c r="K42" s="4"/>
      <c r="L42" s="4"/>
      <c r="M42" s="4"/>
      <c r="N42" s="4"/>
      <c r="O42" s="4"/>
      <c r="P42" s="33" t="s">
        <v>124</v>
      </c>
      <c r="Q42" s="25">
        <v>107</v>
      </c>
      <c r="R42" s="25">
        <v>5</v>
      </c>
      <c r="S42" s="12">
        <f t="shared" si="19"/>
        <v>535</v>
      </c>
      <c r="T42" s="5">
        <v>0.2</v>
      </c>
      <c r="U42" s="12">
        <f t="shared" si="20"/>
        <v>428</v>
      </c>
      <c r="V42" s="25" t="s">
        <v>10</v>
      </c>
      <c r="W42" s="11">
        <f>IFERROR(VLOOKUP(V42,Curr!$B$2:$C$13,2,FALSE),0)</f>
        <v>11</v>
      </c>
      <c r="X42" s="12">
        <f t="shared" si="14"/>
        <v>4708</v>
      </c>
      <c r="Y42" s="26">
        <f t="shared" si="21"/>
        <v>107</v>
      </c>
      <c r="Z42" s="12">
        <f t="shared" si="15"/>
        <v>535</v>
      </c>
      <c r="AA42" s="4" t="s">
        <v>10</v>
      </c>
      <c r="AB42" s="11">
        <f>IFERROR(VLOOKUP(AA42,Curr!$B$2:$C$13,2,FALSE),0)</f>
        <v>11</v>
      </c>
      <c r="AC42" s="12">
        <f t="shared" si="16"/>
        <v>5885</v>
      </c>
      <c r="AD42" s="12">
        <f t="shared" si="17"/>
        <v>1177</v>
      </c>
      <c r="AE42" s="13">
        <f t="shared" si="18"/>
        <v>0.2</v>
      </c>
    </row>
    <row r="43" spans="2:31" x14ac:dyDescent="0.25">
      <c r="B43" s="4"/>
      <c r="E43" s="3"/>
      <c r="F43" s="3"/>
      <c r="G43" s="24"/>
      <c r="H43" s="24"/>
      <c r="K43" s="4"/>
      <c r="L43" s="4"/>
      <c r="M43" s="4"/>
      <c r="N43" s="4"/>
      <c r="O43" s="4"/>
      <c r="P43" s="27"/>
      <c r="Q43" s="25"/>
      <c r="R43" s="25"/>
      <c r="S43" s="12">
        <f t="shared" si="19"/>
        <v>0</v>
      </c>
      <c r="T43" s="5">
        <v>0</v>
      </c>
      <c r="U43" s="12">
        <f t="shared" si="20"/>
        <v>0</v>
      </c>
      <c r="V43" s="25" t="s">
        <v>10</v>
      </c>
      <c r="W43" s="11">
        <f>IFERROR(VLOOKUP(V43,Curr!$B$2:$C$13,2,FALSE),0)</f>
        <v>11</v>
      </c>
      <c r="X43" s="12">
        <f t="shared" si="14"/>
        <v>0</v>
      </c>
      <c r="Y43" s="26">
        <f t="shared" si="21"/>
        <v>0</v>
      </c>
      <c r="Z43" s="12">
        <f t="shared" si="15"/>
        <v>0</v>
      </c>
      <c r="AA43" s="4" t="s">
        <v>10</v>
      </c>
      <c r="AB43" s="11">
        <f>IFERROR(VLOOKUP(AA43,Curr!$B$2:$C$13,2,FALSE),0)</f>
        <v>11</v>
      </c>
      <c r="AC43" s="12">
        <f t="shared" si="16"/>
        <v>0</v>
      </c>
      <c r="AD43" s="12">
        <f t="shared" si="17"/>
        <v>0</v>
      </c>
      <c r="AE43" s="13">
        <f t="shared" si="18"/>
        <v>0</v>
      </c>
    </row>
    <row r="44" spans="2:31" x14ac:dyDescent="0.25">
      <c r="B44" s="4"/>
      <c r="C44" s="1" t="s">
        <v>75</v>
      </c>
      <c r="D44" s="1" t="s">
        <v>60</v>
      </c>
      <c r="E44" s="3" t="s">
        <v>76</v>
      </c>
      <c r="F44" s="3"/>
      <c r="G44" s="24"/>
      <c r="H44" s="24"/>
      <c r="J44" s="1" t="s">
        <v>100</v>
      </c>
      <c r="K44" s="4"/>
      <c r="L44" s="4"/>
      <c r="M44" s="4"/>
      <c r="N44" s="4"/>
      <c r="O44" s="4" t="s">
        <v>42</v>
      </c>
      <c r="P44" s="33" t="s">
        <v>101</v>
      </c>
      <c r="Q44" s="25">
        <v>595</v>
      </c>
      <c r="R44" s="25">
        <v>5</v>
      </c>
      <c r="S44" s="12">
        <f t="shared" ref="S44" si="23">+Q44*R44</f>
        <v>2975</v>
      </c>
      <c r="T44" s="5">
        <v>0.2</v>
      </c>
      <c r="U44" s="12">
        <f t="shared" ref="U44" si="24">S44*(1-T44)</f>
        <v>2380</v>
      </c>
      <c r="V44" s="25" t="s">
        <v>8</v>
      </c>
      <c r="W44" s="11">
        <f>IFERROR(VLOOKUP(V44,Curr!$B$2:$C$13,2,FALSE),0)</f>
        <v>1</v>
      </c>
      <c r="X44" s="12">
        <f t="shared" ref="X44" si="25">U44*W44</f>
        <v>2380</v>
      </c>
      <c r="Y44" s="26">
        <f>Q44/11/0.75</f>
        <v>72.121212121212125</v>
      </c>
      <c r="Z44" s="12">
        <f t="shared" si="15"/>
        <v>360.60606060606062</v>
      </c>
      <c r="AA44" s="4" t="s">
        <v>10</v>
      </c>
      <c r="AB44" s="11">
        <f>IFERROR(VLOOKUP(AA44,Curr!$B$2:$C$13,2,FALSE),0)</f>
        <v>11</v>
      </c>
      <c r="AC44" s="12">
        <f t="shared" si="16"/>
        <v>3966.666666666667</v>
      </c>
      <c r="AD44" s="12">
        <f t="shared" si="17"/>
        <v>1586.666666666667</v>
      </c>
      <c r="AE44" s="13">
        <f t="shared" si="18"/>
        <v>0.4</v>
      </c>
    </row>
    <row r="45" spans="2:31" x14ac:dyDescent="0.25">
      <c r="B45" s="4"/>
      <c r="C45" s="1" t="s">
        <v>75</v>
      </c>
      <c r="D45" s="1" t="s">
        <v>58</v>
      </c>
      <c r="E45" s="3" t="s">
        <v>76</v>
      </c>
      <c r="F45" s="3"/>
      <c r="G45" s="24"/>
      <c r="H45" s="24"/>
      <c r="J45" s="1" t="s">
        <v>97</v>
      </c>
      <c r="K45" s="4"/>
      <c r="L45" s="4"/>
      <c r="M45" s="4"/>
      <c r="N45" s="4"/>
      <c r="O45" s="4"/>
      <c r="P45" s="27"/>
      <c r="Q45" s="25">
        <v>0</v>
      </c>
      <c r="R45" s="25">
        <v>0</v>
      </c>
      <c r="S45" s="12">
        <f t="shared" si="19"/>
        <v>0</v>
      </c>
      <c r="T45" s="5">
        <v>0</v>
      </c>
      <c r="U45" s="12">
        <f t="shared" si="20"/>
        <v>0</v>
      </c>
      <c r="V45" s="25" t="s">
        <v>10</v>
      </c>
      <c r="W45" s="11">
        <f>IFERROR(VLOOKUP(V45,Curr!$B$2:$C$13,2,FALSE),0)</f>
        <v>11</v>
      </c>
      <c r="X45" s="12">
        <f t="shared" si="14"/>
        <v>0</v>
      </c>
      <c r="Y45" s="26">
        <f t="shared" si="21"/>
        <v>0</v>
      </c>
      <c r="Z45" s="12">
        <f t="shared" si="15"/>
        <v>0</v>
      </c>
      <c r="AA45" s="4" t="s">
        <v>10</v>
      </c>
      <c r="AB45" s="11">
        <f>IFERROR(VLOOKUP(AA45,Curr!$B$2:$C$13,2,FALSE),0)</f>
        <v>11</v>
      </c>
      <c r="AC45" s="12">
        <f t="shared" si="16"/>
        <v>0</v>
      </c>
      <c r="AD45" s="12">
        <f t="shared" si="17"/>
        <v>0</v>
      </c>
      <c r="AE45" s="13">
        <f t="shared" si="18"/>
        <v>0</v>
      </c>
    </row>
    <row r="46" spans="2:31" x14ac:dyDescent="0.25">
      <c r="B46" s="4"/>
      <c r="C46" s="1" t="s">
        <v>75</v>
      </c>
      <c r="D46" s="1" t="s">
        <v>60</v>
      </c>
      <c r="E46" s="3" t="s">
        <v>76</v>
      </c>
      <c r="F46" s="3"/>
      <c r="G46" s="24"/>
      <c r="H46" s="24"/>
      <c r="J46" s="1" t="s">
        <v>125</v>
      </c>
      <c r="K46" s="4"/>
      <c r="L46" s="4"/>
      <c r="M46" s="4"/>
      <c r="N46" s="4"/>
      <c r="O46" s="4"/>
      <c r="P46" s="33" t="s">
        <v>126</v>
      </c>
      <c r="Q46" s="25">
        <v>115</v>
      </c>
      <c r="R46" s="25">
        <v>5</v>
      </c>
      <c r="S46" s="12">
        <f t="shared" ref="S46" si="26">+Q46*R46</f>
        <v>575</v>
      </c>
      <c r="T46" s="5">
        <v>0.2</v>
      </c>
      <c r="U46" s="12">
        <f t="shared" ref="U46" si="27">S46*(1-T46)</f>
        <v>460</v>
      </c>
      <c r="V46" s="25" t="s">
        <v>10</v>
      </c>
      <c r="W46" s="11">
        <f>IFERROR(VLOOKUP(V46,Curr!$B$2:$C$13,2,FALSE),0)</f>
        <v>11</v>
      </c>
      <c r="X46" s="12">
        <f t="shared" ref="X46" si="28">U46*W46</f>
        <v>5060</v>
      </c>
      <c r="Y46" s="26">
        <f t="shared" ref="Y46" si="29">Q46</f>
        <v>115</v>
      </c>
      <c r="Z46" s="12">
        <f t="shared" ref="Z46" si="30">+Y46*R46</f>
        <v>575</v>
      </c>
      <c r="AA46" s="4" t="s">
        <v>10</v>
      </c>
      <c r="AB46" s="11">
        <f>IFERROR(VLOOKUP(AA46,Curr!$B$2:$C$13,2,FALSE),0)</f>
        <v>11</v>
      </c>
      <c r="AC46" s="12">
        <f t="shared" ref="AC46" si="31">+Y46*AB46*R46</f>
        <v>6325</v>
      </c>
      <c r="AD46" s="12">
        <f t="shared" ref="AD46" si="32">+AC46-X46</f>
        <v>1265</v>
      </c>
      <c r="AE46" s="13">
        <f t="shared" ref="AE46" si="33">IFERROR(AD46/AC46,0)</f>
        <v>0.2</v>
      </c>
    </row>
    <row r="47" spans="2:31" x14ac:dyDescent="0.25">
      <c r="B47" s="4"/>
      <c r="E47" s="3"/>
      <c r="F47" s="3"/>
      <c r="G47" s="24"/>
      <c r="H47" s="24"/>
      <c r="K47" s="4"/>
      <c r="L47" s="4"/>
      <c r="M47" s="4"/>
      <c r="N47" s="4"/>
      <c r="O47" s="4"/>
      <c r="P47" s="27"/>
      <c r="Q47" s="25"/>
      <c r="R47" s="25"/>
      <c r="S47" s="12">
        <f t="shared" si="19"/>
        <v>0</v>
      </c>
      <c r="T47" s="5">
        <v>0</v>
      </c>
      <c r="U47" s="12">
        <f t="shared" si="20"/>
        <v>0</v>
      </c>
      <c r="V47" s="25" t="s">
        <v>10</v>
      </c>
      <c r="W47" s="11">
        <f>IFERROR(VLOOKUP(V47,Curr!$B$2:$C$13,2,FALSE),0)</f>
        <v>11</v>
      </c>
      <c r="X47" s="12">
        <f t="shared" si="14"/>
        <v>0</v>
      </c>
      <c r="Y47" s="26">
        <f t="shared" si="21"/>
        <v>0</v>
      </c>
      <c r="Z47" s="12">
        <f t="shared" si="15"/>
        <v>0</v>
      </c>
      <c r="AA47" s="4" t="s">
        <v>10</v>
      </c>
      <c r="AB47" s="11">
        <f>IFERROR(VLOOKUP(AA47,Curr!$B$2:$C$13,2,FALSE),0)</f>
        <v>11</v>
      </c>
      <c r="AC47" s="12">
        <f t="shared" si="16"/>
        <v>0</v>
      </c>
      <c r="AD47" s="12">
        <f t="shared" si="17"/>
        <v>0</v>
      </c>
      <c r="AE47" s="13">
        <f t="shared" si="18"/>
        <v>0</v>
      </c>
    </row>
    <row r="48" spans="2:31" x14ac:dyDescent="0.25">
      <c r="B48" s="4"/>
      <c r="C48" s="1" t="s">
        <v>77</v>
      </c>
      <c r="D48" s="1" t="s">
        <v>58</v>
      </c>
      <c r="E48" s="3" t="s">
        <v>78</v>
      </c>
      <c r="F48" s="3"/>
      <c r="G48" s="24"/>
      <c r="H48" s="24"/>
      <c r="J48" s="1" t="s">
        <v>97</v>
      </c>
      <c r="K48" s="4"/>
      <c r="L48" s="4"/>
      <c r="M48" s="4"/>
      <c r="N48" s="4"/>
      <c r="O48" s="4"/>
      <c r="P48" s="33"/>
      <c r="Q48" s="25">
        <v>0</v>
      </c>
      <c r="R48" s="25">
        <v>0</v>
      </c>
      <c r="S48" s="12">
        <f t="shared" si="19"/>
        <v>0</v>
      </c>
      <c r="T48" s="5">
        <v>0</v>
      </c>
      <c r="U48" s="12">
        <f t="shared" si="20"/>
        <v>0</v>
      </c>
      <c r="V48" s="25" t="s">
        <v>10</v>
      </c>
      <c r="W48" s="11">
        <f>IFERROR(VLOOKUP(V48,Curr!$B$2:$C$13,2,FALSE),0)</f>
        <v>11</v>
      </c>
      <c r="X48" s="12">
        <f t="shared" si="14"/>
        <v>0</v>
      </c>
      <c r="Y48" s="26">
        <f t="shared" si="21"/>
        <v>0</v>
      </c>
      <c r="Z48" s="12">
        <f t="shared" si="15"/>
        <v>0</v>
      </c>
      <c r="AA48" s="4" t="s">
        <v>10</v>
      </c>
      <c r="AB48" s="11">
        <f>IFERROR(VLOOKUP(AA48,Curr!$B$2:$C$13,2,FALSE),0)</f>
        <v>11</v>
      </c>
      <c r="AC48" s="12">
        <f t="shared" si="16"/>
        <v>0</v>
      </c>
      <c r="AD48" s="12">
        <f t="shared" si="17"/>
        <v>0</v>
      </c>
      <c r="AE48" s="13">
        <f t="shared" si="18"/>
        <v>0</v>
      </c>
    </row>
    <row r="49" spans="2:36" x14ac:dyDescent="0.25">
      <c r="B49" s="4"/>
      <c r="E49" s="3"/>
      <c r="F49" s="3"/>
      <c r="G49" s="24"/>
      <c r="H49" s="24"/>
      <c r="K49" s="4"/>
      <c r="L49" s="4"/>
      <c r="M49" s="4"/>
      <c r="N49" s="4"/>
      <c r="O49" s="4"/>
      <c r="P49" s="27"/>
      <c r="Q49" s="25"/>
      <c r="R49" s="25"/>
      <c r="S49" s="12">
        <f t="shared" si="19"/>
        <v>0</v>
      </c>
      <c r="T49" s="5">
        <v>0</v>
      </c>
      <c r="U49" s="12">
        <f t="shared" si="20"/>
        <v>0</v>
      </c>
      <c r="V49" s="25" t="s">
        <v>10</v>
      </c>
      <c r="W49" s="11">
        <f>IFERROR(VLOOKUP(V49,Curr!$B$2:$C$13,2,FALSE),0)</f>
        <v>11</v>
      </c>
      <c r="X49" s="12">
        <f t="shared" si="14"/>
        <v>0</v>
      </c>
      <c r="Y49" s="26">
        <f t="shared" si="21"/>
        <v>0</v>
      </c>
      <c r="Z49" s="12">
        <f t="shared" si="15"/>
        <v>0</v>
      </c>
      <c r="AA49" s="4" t="s">
        <v>10</v>
      </c>
      <c r="AB49" s="11">
        <f>IFERROR(VLOOKUP(AA49,Curr!$B$2:$C$13,2,FALSE),0)</f>
        <v>11</v>
      </c>
      <c r="AC49" s="12">
        <f t="shared" si="16"/>
        <v>0</v>
      </c>
      <c r="AD49" s="12">
        <f t="shared" si="17"/>
        <v>0</v>
      </c>
      <c r="AE49" s="13">
        <f t="shared" si="18"/>
        <v>0</v>
      </c>
    </row>
    <row r="50" spans="2:36" x14ac:dyDescent="0.25">
      <c r="B50" s="4"/>
      <c r="C50" s="1" t="s">
        <v>79</v>
      </c>
      <c r="D50" s="1" t="s">
        <v>56</v>
      </c>
      <c r="E50" s="3" t="s">
        <v>81</v>
      </c>
      <c r="F50" s="3"/>
      <c r="G50" s="24"/>
      <c r="H50" s="24"/>
      <c r="J50" s="1" t="s">
        <v>127</v>
      </c>
      <c r="K50" s="4"/>
      <c r="L50" s="4"/>
      <c r="M50" s="4"/>
      <c r="N50" s="4"/>
      <c r="O50" s="4"/>
      <c r="P50" s="27"/>
      <c r="Q50" s="25">
        <v>2500</v>
      </c>
      <c r="R50" s="25">
        <v>1</v>
      </c>
      <c r="S50" s="12">
        <f t="shared" si="19"/>
        <v>2500</v>
      </c>
      <c r="T50" s="5">
        <v>0</v>
      </c>
      <c r="U50" s="12">
        <f t="shared" si="20"/>
        <v>2500</v>
      </c>
      <c r="V50" s="25" t="s">
        <v>8</v>
      </c>
      <c r="W50" s="11">
        <f>IFERROR(VLOOKUP(V50,Curr!$B$2:$C$13,2,FALSE),0)</f>
        <v>1</v>
      </c>
      <c r="X50" s="12">
        <f t="shared" si="14"/>
        <v>2500</v>
      </c>
      <c r="Y50" s="26">
        <f>Q50/11/0.8</f>
        <v>284.09090909090907</v>
      </c>
      <c r="Z50" s="12">
        <f t="shared" si="15"/>
        <v>284.09090909090907</v>
      </c>
      <c r="AA50" s="4" t="s">
        <v>10</v>
      </c>
      <c r="AB50" s="11">
        <f>IFERROR(VLOOKUP(AA50,Curr!$B$2:$C$13,2,FALSE),0)</f>
        <v>11</v>
      </c>
      <c r="AC50" s="12">
        <f t="shared" si="16"/>
        <v>3124.9999999999995</v>
      </c>
      <c r="AD50" s="12">
        <f t="shared" si="17"/>
        <v>624.99999999999955</v>
      </c>
      <c r="AE50" s="13">
        <f t="shared" si="18"/>
        <v>0.19999999999999987</v>
      </c>
    </row>
    <row r="51" spans="2:36" x14ac:dyDescent="0.25">
      <c r="B51" s="4"/>
      <c r="C51" s="1" t="s">
        <v>79</v>
      </c>
      <c r="D51" s="1" t="s">
        <v>80</v>
      </c>
      <c r="E51" s="3" t="s">
        <v>81</v>
      </c>
      <c r="F51" s="3"/>
      <c r="G51" s="24"/>
      <c r="H51" s="24"/>
      <c r="J51" s="1" t="s">
        <v>98</v>
      </c>
      <c r="K51" s="4"/>
      <c r="L51" s="4"/>
      <c r="M51" s="4"/>
      <c r="N51" s="4"/>
      <c r="O51" s="4"/>
      <c r="P51" s="27"/>
      <c r="Q51" s="25">
        <v>0</v>
      </c>
      <c r="R51" s="25">
        <v>0</v>
      </c>
      <c r="S51" s="12">
        <f t="shared" si="19"/>
        <v>0</v>
      </c>
      <c r="T51" s="5">
        <v>0</v>
      </c>
      <c r="U51" s="12">
        <f t="shared" si="20"/>
        <v>0</v>
      </c>
      <c r="V51" s="25" t="s">
        <v>10</v>
      </c>
      <c r="W51" s="11">
        <f>IFERROR(VLOOKUP(V51,Curr!$B$2:$C$13,2,FALSE),0)</f>
        <v>11</v>
      </c>
      <c r="X51" s="12">
        <f t="shared" si="14"/>
        <v>0</v>
      </c>
      <c r="Y51" s="26">
        <f t="shared" si="21"/>
        <v>0</v>
      </c>
      <c r="Z51" s="12">
        <f t="shared" si="15"/>
        <v>0</v>
      </c>
      <c r="AA51" s="4" t="s">
        <v>10</v>
      </c>
      <c r="AB51" s="11">
        <f>IFERROR(VLOOKUP(AA51,Curr!$B$2:$C$13,2,FALSE),0)</f>
        <v>11</v>
      </c>
      <c r="AC51" s="12">
        <f t="shared" si="16"/>
        <v>0</v>
      </c>
      <c r="AD51" s="12">
        <f t="shared" si="17"/>
        <v>0</v>
      </c>
      <c r="AE51" s="13">
        <f t="shared" si="18"/>
        <v>0</v>
      </c>
    </row>
    <row r="52" spans="2:36" x14ac:dyDescent="0.25">
      <c r="B52" s="4"/>
      <c r="E52" s="3"/>
      <c r="F52" s="3"/>
      <c r="G52" s="24"/>
      <c r="H52" s="24"/>
      <c r="K52" s="4"/>
      <c r="L52" s="4"/>
      <c r="M52" s="4"/>
      <c r="N52" s="4"/>
      <c r="O52" s="4"/>
      <c r="P52" s="27"/>
      <c r="Q52" s="25"/>
      <c r="R52" s="25"/>
      <c r="S52" s="12">
        <f t="shared" si="19"/>
        <v>0</v>
      </c>
      <c r="T52" s="5">
        <v>0</v>
      </c>
      <c r="U52" s="12">
        <f t="shared" si="20"/>
        <v>0</v>
      </c>
      <c r="V52" s="25" t="s">
        <v>10</v>
      </c>
      <c r="W52" s="11">
        <f>IFERROR(VLOOKUP(V52,Curr!$B$2:$C$13,2,FALSE),0)</f>
        <v>11</v>
      </c>
      <c r="X52" s="12">
        <f t="shared" si="14"/>
        <v>0</v>
      </c>
      <c r="Y52" s="26">
        <f t="shared" si="21"/>
        <v>0</v>
      </c>
      <c r="Z52" s="12">
        <f t="shared" si="15"/>
        <v>0</v>
      </c>
      <c r="AA52" s="4" t="s">
        <v>10</v>
      </c>
      <c r="AB52" s="11">
        <f>IFERROR(VLOOKUP(AA52,Curr!$B$2:$C$13,2,FALSE),0)</f>
        <v>11</v>
      </c>
      <c r="AC52" s="12">
        <f t="shared" si="16"/>
        <v>0</v>
      </c>
      <c r="AD52" s="12">
        <f t="shared" si="17"/>
        <v>0</v>
      </c>
      <c r="AE52" s="13">
        <f t="shared" si="18"/>
        <v>0</v>
      </c>
    </row>
    <row r="53" spans="2:36" x14ac:dyDescent="0.25">
      <c r="B53" s="4"/>
      <c r="E53" s="3"/>
      <c r="F53" s="3"/>
      <c r="G53" s="24"/>
      <c r="H53" s="24"/>
      <c r="K53" s="4"/>
      <c r="L53" s="4"/>
      <c r="M53" s="4"/>
      <c r="N53" s="4"/>
      <c r="O53" s="4"/>
      <c r="P53" s="27"/>
      <c r="Q53" s="25"/>
      <c r="R53" s="25"/>
      <c r="S53" s="12">
        <f t="shared" si="19"/>
        <v>0</v>
      </c>
      <c r="T53" s="5">
        <v>0</v>
      </c>
      <c r="U53" s="12">
        <f t="shared" si="20"/>
        <v>0</v>
      </c>
      <c r="V53" s="25" t="s">
        <v>10</v>
      </c>
      <c r="W53" s="11">
        <f>IFERROR(VLOOKUP(V53,Curr!$B$2:$C$13,2,FALSE),0)</f>
        <v>11</v>
      </c>
      <c r="X53" s="12">
        <f t="shared" si="14"/>
        <v>0</v>
      </c>
      <c r="Y53" s="26">
        <f t="shared" si="21"/>
        <v>0</v>
      </c>
      <c r="Z53" s="12">
        <f t="shared" si="15"/>
        <v>0</v>
      </c>
      <c r="AA53" s="4" t="s">
        <v>10</v>
      </c>
      <c r="AB53" s="11">
        <f>IFERROR(VLOOKUP(AA53,Curr!$B$2:$C$13,2,FALSE),0)</f>
        <v>11</v>
      </c>
      <c r="AC53" s="12">
        <f t="shared" si="16"/>
        <v>0</v>
      </c>
      <c r="AD53" s="12">
        <f t="shared" si="17"/>
        <v>0</v>
      </c>
      <c r="AE53" s="13">
        <f t="shared" si="18"/>
        <v>0</v>
      </c>
    </row>
    <row r="54" spans="2:36" x14ac:dyDescent="0.25">
      <c r="B54" s="4"/>
      <c r="E54" s="3"/>
      <c r="F54" s="3"/>
      <c r="G54" s="24"/>
      <c r="H54" s="24"/>
      <c r="K54" s="4"/>
      <c r="L54" s="4"/>
      <c r="M54" s="4"/>
      <c r="N54" s="4"/>
      <c r="O54" s="4"/>
      <c r="P54" s="27"/>
      <c r="Q54" s="25"/>
      <c r="R54" s="25"/>
      <c r="S54" s="12">
        <f t="shared" si="19"/>
        <v>0</v>
      </c>
      <c r="T54" s="5">
        <v>0</v>
      </c>
      <c r="U54" s="12">
        <f t="shared" si="20"/>
        <v>0</v>
      </c>
      <c r="V54" s="25" t="s">
        <v>10</v>
      </c>
      <c r="W54" s="11">
        <f>IFERROR(VLOOKUP(V54,Curr!$B$2:$C$13,2,FALSE),0)</f>
        <v>11</v>
      </c>
      <c r="X54" s="12">
        <f t="shared" si="14"/>
        <v>0</v>
      </c>
      <c r="Y54" s="26">
        <f t="shared" si="21"/>
        <v>0</v>
      </c>
      <c r="Z54" s="12">
        <f t="shared" si="15"/>
        <v>0</v>
      </c>
      <c r="AA54" s="4" t="s">
        <v>10</v>
      </c>
      <c r="AB54" s="11">
        <f>IFERROR(VLOOKUP(AA54,Curr!$B$2:$C$13,2,FALSE),0)</f>
        <v>11</v>
      </c>
      <c r="AC54" s="12">
        <f t="shared" si="16"/>
        <v>0</v>
      </c>
      <c r="AD54" s="12">
        <f t="shared" si="17"/>
        <v>0</v>
      </c>
      <c r="AE54" s="13">
        <f t="shared" si="18"/>
        <v>0</v>
      </c>
    </row>
    <row r="55" spans="2:36" x14ac:dyDescent="0.25">
      <c r="B55" s="4"/>
      <c r="E55" s="3"/>
      <c r="F55" s="3"/>
      <c r="G55" s="24"/>
      <c r="H55" s="24"/>
      <c r="K55" s="4"/>
      <c r="L55" s="4"/>
      <c r="M55" s="4"/>
      <c r="N55" s="4"/>
      <c r="O55" s="4"/>
      <c r="P55" s="27"/>
      <c r="Q55" s="25"/>
      <c r="R55" s="25"/>
      <c r="S55" s="12">
        <f t="shared" si="19"/>
        <v>0</v>
      </c>
      <c r="T55" s="5">
        <v>0</v>
      </c>
      <c r="U55" s="12">
        <f t="shared" si="20"/>
        <v>0</v>
      </c>
      <c r="V55" s="25" t="s">
        <v>10</v>
      </c>
      <c r="W55" s="11">
        <f>IFERROR(VLOOKUP(V55,Curr!$B$2:$C$13,2,FALSE),0)</f>
        <v>11</v>
      </c>
      <c r="X55" s="12">
        <f t="shared" si="14"/>
        <v>0</v>
      </c>
      <c r="Y55" s="26">
        <f t="shared" si="21"/>
        <v>0</v>
      </c>
      <c r="Z55" s="12">
        <f t="shared" si="15"/>
        <v>0</v>
      </c>
      <c r="AA55" s="4" t="s">
        <v>10</v>
      </c>
      <c r="AB55" s="11">
        <f>IFERROR(VLOOKUP(AA55,Curr!$B$2:$C$13,2,FALSE),0)</f>
        <v>11</v>
      </c>
      <c r="AC55" s="12">
        <f t="shared" si="16"/>
        <v>0</v>
      </c>
      <c r="AD55" s="12">
        <f t="shared" si="17"/>
        <v>0</v>
      </c>
      <c r="AE55" s="13">
        <f t="shared" si="18"/>
        <v>0</v>
      </c>
    </row>
    <row r="56" spans="2:36" x14ac:dyDescent="0.25">
      <c r="B56" s="4"/>
      <c r="E56" s="3"/>
      <c r="F56" s="3"/>
      <c r="G56" s="24"/>
      <c r="H56" s="24"/>
      <c r="K56" s="4"/>
      <c r="L56" s="4"/>
      <c r="M56" s="4"/>
      <c r="N56" s="4"/>
      <c r="O56" s="4"/>
      <c r="P56" s="27"/>
      <c r="Q56" s="25"/>
      <c r="R56" s="25"/>
      <c r="S56" s="12">
        <f t="shared" si="19"/>
        <v>0</v>
      </c>
      <c r="T56" s="5">
        <v>0</v>
      </c>
      <c r="U56" s="12">
        <f t="shared" si="20"/>
        <v>0</v>
      </c>
      <c r="V56" s="25" t="s">
        <v>10</v>
      </c>
      <c r="W56" s="11">
        <f>IFERROR(VLOOKUP(V56,Curr!$B$2:$C$13,2,FALSE),0)</f>
        <v>11</v>
      </c>
      <c r="X56" s="12">
        <f t="shared" si="14"/>
        <v>0</v>
      </c>
      <c r="Y56" s="26">
        <f t="shared" si="21"/>
        <v>0</v>
      </c>
      <c r="Z56" s="12">
        <f t="shared" si="15"/>
        <v>0</v>
      </c>
      <c r="AA56" s="4" t="s">
        <v>10</v>
      </c>
      <c r="AB56" s="11">
        <f>IFERROR(VLOOKUP(AA56,Curr!$B$2:$C$13,2,FALSE),0)</f>
        <v>11</v>
      </c>
      <c r="AC56" s="12">
        <f t="shared" si="16"/>
        <v>0</v>
      </c>
      <c r="AD56" s="12">
        <f t="shared" si="17"/>
        <v>0</v>
      </c>
      <c r="AE56" s="13">
        <f t="shared" si="18"/>
        <v>0</v>
      </c>
    </row>
    <row r="57" spans="2:36" x14ac:dyDescent="0.25">
      <c r="B57" s="4"/>
      <c r="E57" s="3"/>
      <c r="F57" s="3"/>
      <c r="G57" s="24"/>
      <c r="H57" s="24"/>
      <c r="K57" s="4"/>
      <c r="L57" s="4"/>
      <c r="M57" s="4"/>
      <c r="N57" s="4"/>
      <c r="O57" s="4"/>
      <c r="P57" s="27"/>
      <c r="Q57" s="25"/>
      <c r="R57" s="25"/>
      <c r="S57" s="12">
        <f t="shared" si="19"/>
        <v>0</v>
      </c>
      <c r="T57" s="5">
        <v>0</v>
      </c>
      <c r="U57" s="12">
        <f t="shared" si="20"/>
        <v>0</v>
      </c>
      <c r="V57" s="25" t="s">
        <v>10</v>
      </c>
      <c r="W57" s="11">
        <f>IFERROR(VLOOKUP(V57,Curr!$B$2:$C$13,2,FALSE),0)</f>
        <v>11</v>
      </c>
      <c r="X57" s="12">
        <f t="shared" si="14"/>
        <v>0</v>
      </c>
      <c r="Y57" s="26">
        <f t="shared" si="21"/>
        <v>0</v>
      </c>
      <c r="Z57" s="12">
        <f t="shared" si="15"/>
        <v>0</v>
      </c>
      <c r="AA57" s="4" t="s">
        <v>10</v>
      </c>
      <c r="AB57" s="11">
        <f>IFERROR(VLOOKUP(AA57,Curr!$B$2:$C$13,2,FALSE),0)</f>
        <v>11</v>
      </c>
      <c r="AC57" s="12">
        <f t="shared" si="16"/>
        <v>0</v>
      </c>
      <c r="AD57" s="12">
        <f t="shared" si="17"/>
        <v>0</v>
      </c>
      <c r="AE57" s="13">
        <f t="shared" si="18"/>
        <v>0</v>
      </c>
    </row>
    <row r="58" spans="2:36" x14ac:dyDescent="0.25">
      <c r="B58" s="4"/>
      <c r="E58" s="3"/>
      <c r="F58" s="3"/>
      <c r="G58" s="24"/>
      <c r="H58" s="24"/>
      <c r="K58" s="4"/>
      <c r="L58" s="4"/>
      <c r="M58" s="4"/>
      <c r="N58" s="4"/>
      <c r="O58" s="4"/>
      <c r="P58" s="27"/>
      <c r="Q58" s="25"/>
      <c r="R58" s="25"/>
      <c r="S58" s="12">
        <f t="shared" si="19"/>
        <v>0</v>
      </c>
      <c r="T58" s="5">
        <v>0</v>
      </c>
      <c r="U58" s="12">
        <f t="shared" si="20"/>
        <v>0</v>
      </c>
      <c r="V58" s="25" t="s">
        <v>10</v>
      </c>
      <c r="W58" s="11">
        <f>IFERROR(VLOOKUP(V58,Curr!$B$2:$C$13,2,FALSE),0)</f>
        <v>11</v>
      </c>
      <c r="X58" s="12">
        <f t="shared" si="14"/>
        <v>0</v>
      </c>
      <c r="Y58" s="26">
        <f t="shared" si="21"/>
        <v>0</v>
      </c>
      <c r="Z58" s="12">
        <f t="shared" si="15"/>
        <v>0</v>
      </c>
      <c r="AA58" s="4" t="s">
        <v>10</v>
      </c>
      <c r="AB58" s="11">
        <f>IFERROR(VLOOKUP(AA58,Curr!$B$2:$C$13,2,FALSE),0)</f>
        <v>11</v>
      </c>
      <c r="AC58" s="12">
        <f t="shared" si="16"/>
        <v>0</v>
      </c>
      <c r="AD58" s="12">
        <f t="shared" si="17"/>
        <v>0</v>
      </c>
      <c r="AE58" s="13">
        <f t="shared" si="18"/>
        <v>0</v>
      </c>
    </row>
    <row r="59" spans="2:36" x14ac:dyDescent="0.25">
      <c r="B59" s="4"/>
      <c r="E59" s="3"/>
      <c r="F59" s="3"/>
      <c r="G59" s="24"/>
      <c r="H59" s="24"/>
      <c r="K59" s="4"/>
      <c r="L59" s="4"/>
      <c r="M59" s="4"/>
      <c r="N59" s="4"/>
      <c r="O59" s="4"/>
      <c r="P59" s="27"/>
      <c r="Q59" s="25"/>
      <c r="R59" s="25"/>
      <c r="S59" s="12">
        <f t="shared" si="19"/>
        <v>0</v>
      </c>
      <c r="T59" s="5">
        <v>0</v>
      </c>
      <c r="U59" s="12">
        <f t="shared" si="20"/>
        <v>0</v>
      </c>
      <c r="V59" s="25" t="s">
        <v>10</v>
      </c>
      <c r="W59" s="11">
        <f>IFERROR(VLOOKUP(V59,Curr!$B$2:$C$13,2,FALSE),0)</f>
        <v>11</v>
      </c>
      <c r="X59" s="12">
        <f t="shared" si="14"/>
        <v>0</v>
      </c>
      <c r="Y59" s="26">
        <f t="shared" si="21"/>
        <v>0</v>
      </c>
      <c r="Z59" s="12">
        <f t="shared" si="15"/>
        <v>0</v>
      </c>
      <c r="AA59" s="4" t="s">
        <v>10</v>
      </c>
      <c r="AB59" s="11">
        <f>IFERROR(VLOOKUP(AA59,Curr!$B$2:$C$13,2,FALSE),0)</f>
        <v>11</v>
      </c>
      <c r="AC59" s="12">
        <f t="shared" si="16"/>
        <v>0</v>
      </c>
      <c r="AD59" s="12">
        <f t="shared" si="17"/>
        <v>0</v>
      </c>
      <c r="AE59" s="13">
        <f t="shared" si="18"/>
        <v>0</v>
      </c>
    </row>
    <row r="60" spans="2:36" x14ac:dyDescent="0.25">
      <c r="B60" s="4"/>
      <c r="E60" s="3"/>
      <c r="F60" s="3"/>
      <c r="G60" s="24"/>
      <c r="H60" s="24"/>
      <c r="K60" s="4"/>
      <c r="L60" s="4"/>
      <c r="M60" s="4"/>
      <c r="N60" s="4"/>
      <c r="O60" s="4"/>
      <c r="P60" s="27"/>
      <c r="Q60" s="25"/>
      <c r="R60" s="25"/>
      <c r="S60" s="12">
        <f t="shared" si="19"/>
        <v>0</v>
      </c>
      <c r="T60" s="5">
        <v>0</v>
      </c>
      <c r="U60" s="12">
        <f t="shared" si="20"/>
        <v>0</v>
      </c>
      <c r="V60" s="25" t="s">
        <v>10</v>
      </c>
      <c r="W60" s="11">
        <f>IFERROR(VLOOKUP(V60,Curr!$B$2:$C$13,2,FALSE),0)</f>
        <v>11</v>
      </c>
      <c r="X60" s="12">
        <f t="shared" si="14"/>
        <v>0</v>
      </c>
      <c r="Y60" s="26">
        <f t="shared" si="21"/>
        <v>0</v>
      </c>
      <c r="Z60" s="12">
        <f t="shared" si="15"/>
        <v>0</v>
      </c>
      <c r="AA60" s="4" t="s">
        <v>10</v>
      </c>
      <c r="AB60" s="11">
        <f>IFERROR(VLOOKUP(AA60,Curr!$B$2:$C$13,2,FALSE),0)</f>
        <v>11</v>
      </c>
      <c r="AC60" s="12">
        <f t="shared" si="16"/>
        <v>0</v>
      </c>
      <c r="AD60" s="12">
        <f t="shared" si="17"/>
        <v>0</v>
      </c>
      <c r="AE60" s="13">
        <f t="shared" si="18"/>
        <v>0</v>
      </c>
    </row>
    <row r="61" spans="2:36" x14ac:dyDescent="0.25">
      <c r="B61" s="4"/>
      <c r="E61" s="3"/>
      <c r="F61" s="3"/>
      <c r="G61" s="3"/>
      <c r="H61" s="3"/>
      <c r="L61" s="4"/>
      <c r="M61" s="4"/>
      <c r="N61" s="4"/>
      <c r="O61" s="4"/>
      <c r="P61" s="22"/>
      <c r="Q61" s="4"/>
      <c r="R61" s="4"/>
      <c r="S61" s="4"/>
      <c r="T61" s="4"/>
      <c r="U61" s="4"/>
      <c r="V61" s="4"/>
      <c r="W61" s="4"/>
      <c r="X61" s="4"/>
      <c r="Y61" s="4"/>
      <c r="Z61" s="4"/>
      <c r="AA61" s="4"/>
      <c r="AB61" s="4"/>
      <c r="AC61" s="4"/>
      <c r="AD61" s="4"/>
      <c r="AE61" s="4"/>
      <c r="AF61" s="4"/>
    </row>
    <row r="62" spans="2:36" x14ac:dyDescent="0.25">
      <c r="B62" s="14" t="s">
        <v>18</v>
      </c>
      <c r="C62" s="14"/>
      <c r="D62" s="28" t="s">
        <v>42</v>
      </c>
      <c r="E62" s="30" t="s">
        <v>42</v>
      </c>
      <c r="F62" s="30" t="s">
        <v>42</v>
      </c>
      <c r="G62" s="30" t="s">
        <v>42</v>
      </c>
      <c r="H62" s="30" t="s">
        <v>42</v>
      </c>
      <c r="I62" s="28" t="s">
        <v>42</v>
      </c>
      <c r="J62" s="28" t="s">
        <v>42</v>
      </c>
      <c r="K62" s="28" t="s">
        <v>42</v>
      </c>
      <c r="L62" s="28" t="s">
        <v>42</v>
      </c>
      <c r="M62" s="28" t="s">
        <v>42</v>
      </c>
      <c r="N62" s="28" t="s">
        <v>42</v>
      </c>
      <c r="O62" s="28" t="s">
        <v>42</v>
      </c>
      <c r="P62" s="28" t="s">
        <v>42</v>
      </c>
      <c r="Q62" s="31" t="s">
        <v>42</v>
      </c>
      <c r="R62" s="28" t="s">
        <v>42</v>
      </c>
      <c r="S62" s="32" t="s">
        <v>42</v>
      </c>
      <c r="T62" s="28" t="s">
        <v>42</v>
      </c>
      <c r="U62" s="32" t="s">
        <v>42</v>
      </c>
      <c r="V62" s="28" t="s">
        <v>42</v>
      </c>
      <c r="W62" s="28" t="s">
        <v>42</v>
      </c>
      <c r="X62" s="32" t="s">
        <v>42</v>
      </c>
      <c r="Y62" s="32" t="s">
        <v>42</v>
      </c>
      <c r="Z62" s="15">
        <f>SUM(Z7:Z60)</f>
        <v>14650.643235763206</v>
      </c>
      <c r="AA62" s="14"/>
      <c r="AB62" s="14"/>
      <c r="AC62" s="15">
        <f>SUM(AC7:AC60)</f>
        <v>161157.07559339525</v>
      </c>
      <c r="AD62" s="15">
        <f>SUM(AD7:AD60)</f>
        <v>34281.375593395263</v>
      </c>
      <c r="AE62" s="21">
        <f t="shared" ref="AE62" si="34">IFERROR(AD62/AC62,0)</f>
        <v>0.21272026355137105</v>
      </c>
      <c r="AF62" s="15">
        <f>SUM(AF8:AF61)</f>
        <v>0</v>
      </c>
      <c r="AG62" s="15">
        <f>SUM(AG8:AG61)</f>
        <v>0</v>
      </c>
      <c r="AH62" s="15">
        <f>SUM(AH8:AH61)</f>
        <v>0</v>
      </c>
      <c r="AI62" s="15">
        <f>SUM(AI8:AI61)</f>
        <v>0</v>
      </c>
      <c r="AJ62" s="15">
        <f>SUM(AJ8:AJ61)</f>
        <v>0</v>
      </c>
    </row>
    <row r="63" spans="2:36" x14ac:dyDescent="0.25">
      <c r="B63" s="4"/>
      <c r="E63" s="3"/>
      <c r="F63" s="3"/>
      <c r="G63" s="3"/>
      <c r="H63" s="3"/>
      <c r="L63" s="4"/>
      <c r="M63" s="4"/>
      <c r="N63" s="4"/>
      <c r="O63" s="4"/>
      <c r="Q63" s="4"/>
      <c r="R63" s="4"/>
      <c r="S63" s="4"/>
      <c r="T63" s="4"/>
      <c r="U63" s="4"/>
      <c r="V63" s="4"/>
      <c r="W63" s="4"/>
      <c r="X63" s="4"/>
      <c r="Y63" s="9"/>
      <c r="Z63" s="9"/>
      <c r="AA63" s="9"/>
      <c r="AB63" s="9"/>
      <c r="AC63" s="9"/>
      <c r="AD63" s="9"/>
      <c r="AE63" s="9"/>
    </row>
    <row r="64" spans="2:36" x14ac:dyDescent="0.25">
      <c r="B64" s="4"/>
      <c r="E64" s="3"/>
      <c r="F64" s="3"/>
      <c r="G64" s="3"/>
      <c r="H64" s="3"/>
      <c r="L64" s="4"/>
      <c r="M64" s="4"/>
      <c r="N64" s="4"/>
      <c r="O64" s="4"/>
      <c r="Q64" s="9"/>
      <c r="R64" s="9"/>
      <c r="S64" s="9"/>
      <c r="T64" s="9"/>
      <c r="U64" s="9"/>
      <c r="V64" s="9"/>
      <c r="W64" s="9"/>
      <c r="X64" s="23"/>
      <c r="Y64" s="34" t="s">
        <v>45</v>
      </c>
      <c r="Z64" s="34">
        <v>14650</v>
      </c>
      <c r="AA64" s="9"/>
      <c r="AB64" s="9"/>
      <c r="AC64" s="9"/>
      <c r="AD64" s="9"/>
      <c r="AE64" s="9"/>
    </row>
    <row r="65" spans="2:32" x14ac:dyDescent="0.25">
      <c r="B65" s="4"/>
      <c r="E65" s="3"/>
      <c r="F65" s="3"/>
      <c r="G65" s="3"/>
      <c r="H65" s="3"/>
      <c r="L65" s="4"/>
      <c r="M65" s="4"/>
      <c r="N65" s="4"/>
      <c r="O65" s="4"/>
      <c r="Q65" s="9"/>
      <c r="R65" s="9"/>
      <c r="S65" s="9"/>
      <c r="T65" s="9"/>
      <c r="U65" s="9"/>
      <c r="V65" s="9"/>
      <c r="W65" s="9"/>
      <c r="X65" s="9"/>
      <c r="Y65" s="34" t="s">
        <v>46</v>
      </c>
      <c r="Z65" s="34">
        <f>Z64/5</f>
        <v>2930</v>
      </c>
      <c r="AA65" s="9"/>
      <c r="AB65" s="9"/>
      <c r="AC65" s="9"/>
      <c r="AD65" s="9"/>
      <c r="AE65" s="9"/>
      <c r="AF65" s="18"/>
    </row>
    <row r="66" spans="2:32" x14ac:dyDescent="0.25">
      <c r="B66" s="4"/>
      <c r="E66" s="3"/>
      <c r="F66" s="3"/>
      <c r="G66" s="3"/>
      <c r="H66" s="3"/>
      <c r="I66" s="19"/>
      <c r="L66" s="4"/>
      <c r="M66" s="4"/>
      <c r="N66" s="4"/>
      <c r="O66" s="20"/>
      <c r="Q66" s="20"/>
      <c r="R66" s="20"/>
      <c r="S66" s="20"/>
      <c r="T66" s="20"/>
      <c r="U66" s="20"/>
      <c r="V66" s="20"/>
      <c r="W66" s="20"/>
      <c r="X66" s="20"/>
      <c r="Y66" s="9"/>
      <c r="Z66" s="9"/>
      <c r="AA66" s="9"/>
      <c r="AB66" s="9"/>
      <c r="AC66" s="9"/>
      <c r="AD66" s="9"/>
      <c r="AE66" s="9"/>
      <c r="AF66" s="18"/>
    </row>
    <row r="67" spans="2:32" x14ac:dyDescent="0.25">
      <c r="B67" s="4"/>
      <c r="E67" s="3"/>
      <c r="F67" s="3"/>
      <c r="G67" s="3"/>
      <c r="H67" s="3"/>
      <c r="L67" s="4"/>
      <c r="M67" s="4"/>
      <c r="N67" s="4"/>
      <c r="O67" s="20"/>
      <c r="Q67" s="20"/>
      <c r="R67" s="20"/>
      <c r="S67" s="20"/>
      <c r="T67" s="20"/>
      <c r="U67" s="20"/>
      <c r="V67" s="20"/>
      <c r="W67" s="20"/>
      <c r="X67" s="20"/>
      <c r="Y67" s="9" t="s">
        <v>47</v>
      </c>
      <c r="Z67" s="9">
        <f>Z64-Z68</f>
        <v>14650</v>
      </c>
      <c r="AA67" s="9"/>
      <c r="AB67" s="9"/>
      <c r="AC67" s="9"/>
      <c r="AD67" s="9"/>
      <c r="AE67" s="9"/>
      <c r="AF67" s="18"/>
    </row>
    <row r="68" spans="2:32" x14ac:dyDescent="0.25">
      <c r="B68" s="4"/>
      <c r="E68" s="3"/>
      <c r="F68" s="3"/>
      <c r="G68" s="3"/>
      <c r="H68" s="3"/>
      <c r="L68" s="4"/>
      <c r="M68" s="4"/>
      <c r="N68" s="4"/>
      <c r="O68" s="4"/>
      <c r="Q68" s="9"/>
      <c r="R68" s="9"/>
      <c r="S68" s="9"/>
      <c r="T68" s="9"/>
      <c r="U68" s="9"/>
      <c r="V68" s="9"/>
      <c r="W68" s="9"/>
      <c r="X68" s="9"/>
      <c r="Y68" s="9" t="s">
        <v>48</v>
      </c>
      <c r="Z68" s="9">
        <v>0</v>
      </c>
      <c r="AA68" s="9"/>
      <c r="AB68" s="9"/>
      <c r="AC68" s="9"/>
      <c r="AD68" s="9"/>
      <c r="AE68" s="9"/>
      <c r="AF68" s="18"/>
    </row>
    <row r="69" spans="2:32" x14ac:dyDescent="0.25">
      <c r="F69" s="1"/>
      <c r="G69" s="1"/>
      <c r="H69" s="1"/>
      <c r="J69" s="1" t="s">
        <v>32</v>
      </c>
      <c r="Q69" s="9"/>
      <c r="R69" s="4"/>
      <c r="S69" s="9"/>
      <c r="T69" s="5"/>
      <c r="U69" s="9"/>
      <c r="V69" s="4"/>
      <c r="W69" s="4"/>
      <c r="X69" s="9"/>
      <c r="Y69" s="9"/>
      <c r="Z69" s="9"/>
      <c r="AA69" s="9"/>
      <c r="AB69" s="9"/>
      <c r="AC69" s="9"/>
      <c r="AD69" s="9"/>
      <c r="AE69" s="9"/>
    </row>
    <row r="70" spans="2:32" x14ac:dyDescent="0.25">
      <c r="R70" s="4"/>
      <c r="S70" s="17"/>
      <c r="T70" s="17"/>
      <c r="U70" s="9"/>
      <c r="V70" s="4"/>
      <c r="W70" s="4"/>
      <c r="X70" s="9"/>
      <c r="Y70" s="9" t="s">
        <v>49</v>
      </c>
      <c r="Z70" s="9">
        <v>4500</v>
      </c>
      <c r="AA70" s="9"/>
      <c r="AB70" s="9"/>
      <c r="AC70" s="9"/>
      <c r="AD70" s="9"/>
      <c r="AE70" s="9"/>
    </row>
    <row r="71" spans="2:32" x14ac:dyDescent="0.25">
      <c r="Q71" s="9"/>
      <c r="R71" s="4"/>
      <c r="S71" s="16"/>
      <c r="T71" s="16"/>
      <c r="U71" s="9"/>
      <c r="V71" s="4"/>
      <c r="W71" s="4"/>
      <c r="X71" s="9"/>
      <c r="Y71" s="9" t="s">
        <v>51</v>
      </c>
      <c r="Z71" s="9">
        <v>0</v>
      </c>
      <c r="AA71" s="9"/>
      <c r="AB71" s="9"/>
      <c r="AC71" s="9"/>
      <c r="AD71" s="9"/>
      <c r="AE71" s="9"/>
    </row>
    <row r="72" spans="2:32" x14ac:dyDescent="0.25">
      <c r="R72" s="4"/>
      <c r="S72" s="16"/>
      <c r="T72" s="16"/>
      <c r="Y72" s="9" t="s">
        <v>50</v>
      </c>
      <c r="Z72" s="9">
        <f>Z64-Z70-Z71</f>
        <v>10150</v>
      </c>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20" x14ac:dyDescent="0.25">
      <c r="T81" s="5"/>
    </row>
    <row r="82" spans="20:20" x14ac:dyDescent="0.25">
      <c r="T82" s="5"/>
    </row>
    <row r="83" spans="20:20" x14ac:dyDescent="0.25">
      <c r="T83" s="5"/>
    </row>
    <row r="84" spans="20:20" x14ac:dyDescent="0.25">
      <c r="T84" s="5"/>
    </row>
    <row r="85" spans="20:20" x14ac:dyDescent="0.25">
      <c r="T85" s="5"/>
    </row>
  </sheetData>
  <autoFilter ref="B6:AE62" xr:uid="{65FA6D9B-E0AF-46CD-BA0D-86BB75FE6AB0}"/>
  <hyperlinks>
    <hyperlink ref="P16" r:id="rId1" xr:uid="{9365B238-1600-4C41-A409-F848874E7500}"/>
    <hyperlink ref="P22" r:id="rId2" xr:uid="{B60EFF46-A22D-4398-8B71-2E4AFF4684F9}"/>
    <hyperlink ref="P12" r:id="rId3" xr:uid="{8799E8D1-666D-48B5-A730-3A36243C6C5F}"/>
    <hyperlink ref="P28" r:id="rId4" xr:uid="{8A0F6884-6750-437D-A411-2432777F370C}"/>
    <hyperlink ref="P27" r:id="rId5" xr:uid="{4E2156F2-252A-41BA-84E0-765F630ADA35}"/>
    <hyperlink ref="P40" r:id="rId6" xr:uid="{72E1A39A-8296-4EEF-84E5-E0D77DBAB6AA}"/>
    <hyperlink ref="P9" r:id="rId7" xr:uid="{2A80ED9E-CF36-4609-9429-E304C3522469}"/>
    <hyperlink ref="P18" r:id="rId8" xr:uid="{639BF314-7462-4576-AE38-4FDD8004A980}"/>
    <hyperlink ref="P24" r:id="rId9" xr:uid="{C2C7E9C6-6CB4-4D23-9554-942FAB0AA729}"/>
    <hyperlink ref="P31" r:id="rId10" xr:uid="{B7303C11-EAD9-43BB-9799-1A8375EA5C2C}"/>
    <hyperlink ref="P35" r:id="rId11" location="/select-flight" xr:uid="{7C7D640D-4742-4260-A0D8-DA574517CB5F}"/>
    <hyperlink ref="P37" r:id="rId12" xr:uid="{2B55C9E2-10C3-4DD6-948F-238A9D966A03}"/>
    <hyperlink ref="P42" r:id="rId13" xr:uid="{CAA72906-8B66-4EEE-93A0-1A5610663520}"/>
    <hyperlink ref="P46" r:id="rId14" xr:uid="{239FDFA6-E2D1-4005-A6BE-EFD50AC0336D}"/>
    <hyperlink ref="P44" r:id="rId15" xr:uid="{88360C44-BEA4-424F-B731-7FFE6222648A}"/>
  </hyperlinks>
  <pageMargins left="0.7" right="0.7" top="0.75" bottom="0.75" header="0.3" footer="0.3"/>
  <pageSetup paperSize="9"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DC12-D902-4E7C-929A-D145DAA2338B}">
  <sheetPr>
    <tabColor rgb="FFFFFF00"/>
  </sheetPr>
  <dimension ref="B2:AK85"/>
  <sheetViews>
    <sheetView topLeftCell="A33" zoomScale="80" zoomScaleNormal="80" workbookViewId="0">
      <selection activeCell="Z65" sqref="Z6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52</v>
      </c>
    </row>
    <row r="3" spans="2:36" x14ac:dyDescent="0.25">
      <c r="B3" s="2" t="s">
        <v>44</v>
      </c>
    </row>
    <row r="4" spans="2:36" x14ac:dyDescent="0.25">
      <c r="B4" s="2" t="s">
        <v>43</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53</v>
      </c>
      <c r="D7" s="1" t="s">
        <v>54</v>
      </c>
      <c r="E7" s="3" t="s">
        <v>55</v>
      </c>
      <c r="F7" s="3"/>
      <c r="G7" s="3"/>
      <c r="H7" s="3"/>
      <c r="J7" s="1" t="s">
        <v>82</v>
      </c>
      <c r="K7" s="4"/>
      <c r="L7" s="4"/>
      <c r="M7" s="4"/>
      <c r="N7" s="4"/>
      <c r="O7" s="4"/>
      <c r="P7" s="27"/>
      <c r="Q7" s="25">
        <v>0</v>
      </c>
      <c r="R7" s="25">
        <v>0</v>
      </c>
      <c r="S7" s="12">
        <f t="shared" ref="S7:S60" si="0">+Q7*R7</f>
        <v>0</v>
      </c>
      <c r="T7" s="5">
        <v>0</v>
      </c>
      <c r="U7" s="12">
        <f>S7*(1-T7)</f>
        <v>0</v>
      </c>
      <c r="V7" s="25" t="s">
        <v>10</v>
      </c>
      <c r="W7" s="11">
        <f>IFERROR(VLOOKUP(V7,Curr!$B$2:$C$13,2,FALSE),0)</f>
        <v>11</v>
      </c>
      <c r="X7" s="12">
        <f t="shared" ref="X7:X60" si="1">U7*W7</f>
        <v>0</v>
      </c>
      <c r="Y7" s="26">
        <f>Q7</f>
        <v>0</v>
      </c>
      <c r="Z7" s="12">
        <f t="shared" ref="Z7:Z60" si="2">+Y7*R7</f>
        <v>0</v>
      </c>
      <c r="AA7" s="4" t="s">
        <v>10</v>
      </c>
      <c r="AB7" s="11">
        <f>IFERROR(VLOOKUP(AA7,Curr!$B$2:$C$13,2,FALSE),0)</f>
        <v>11</v>
      </c>
      <c r="AC7" s="12">
        <f t="shared" ref="AC7:AC60" si="3">+Y7*AB7*R7</f>
        <v>0</v>
      </c>
      <c r="AD7" s="12">
        <f t="shared" ref="AD7:AD60" si="4">+AC7-X7</f>
        <v>0</v>
      </c>
      <c r="AE7" s="13">
        <f t="shared" ref="AE7:AE60" si="5">IFERROR(AD7/AC7,0)</f>
        <v>0</v>
      </c>
    </row>
    <row r="8" spans="2:36" x14ac:dyDescent="0.25">
      <c r="B8" s="4"/>
      <c r="C8" s="1" t="s">
        <v>53</v>
      </c>
      <c r="D8" s="1" t="s">
        <v>56</v>
      </c>
      <c r="E8" s="3" t="s">
        <v>55</v>
      </c>
      <c r="F8" s="3"/>
      <c r="G8" s="24"/>
      <c r="H8" s="24"/>
      <c r="J8" s="1" t="s">
        <v>83</v>
      </c>
      <c r="K8" s="4"/>
      <c r="L8" s="4"/>
      <c r="M8" s="4"/>
      <c r="N8" s="4"/>
      <c r="O8" s="4"/>
      <c r="P8" s="27"/>
      <c r="Q8" s="25">
        <v>2500</v>
      </c>
      <c r="R8" s="25">
        <v>0</v>
      </c>
      <c r="S8" s="12">
        <f t="shared" si="0"/>
        <v>0</v>
      </c>
      <c r="T8" s="5">
        <v>0</v>
      </c>
      <c r="U8" s="12">
        <f t="shared" ref="U8:U60" si="6">S8*(1-T8)</f>
        <v>0</v>
      </c>
      <c r="V8" s="25" t="s">
        <v>8</v>
      </c>
      <c r="W8" s="11">
        <f>IFERROR(VLOOKUP(V8,Curr!$B$2:$C$13,2,FALSE),0)</f>
        <v>1</v>
      </c>
      <c r="X8" s="12">
        <f t="shared" si="1"/>
        <v>0</v>
      </c>
      <c r="Y8" s="26">
        <f>Q8/11/0.8</f>
        <v>284.09090909090907</v>
      </c>
      <c r="Z8" s="12">
        <f t="shared" si="2"/>
        <v>0</v>
      </c>
      <c r="AA8" s="4" t="s">
        <v>10</v>
      </c>
      <c r="AB8" s="11">
        <f>IFERROR(VLOOKUP(AA8,Curr!$B$2:$C$13,2,FALSE),0)</f>
        <v>11</v>
      </c>
      <c r="AC8" s="12">
        <f t="shared" si="3"/>
        <v>0</v>
      </c>
      <c r="AD8" s="12">
        <f t="shared" si="4"/>
        <v>0</v>
      </c>
      <c r="AE8" s="13">
        <f t="shared" si="5"/>
        <v>0</v>
      </c>
    </row>
    <row r="9" spans="2:36" x14ac:dyDescent="0.25">
      <c r="B9" s="4"/>
      <c r="C9" s="1" t="s">
        <v>53</v>
      </c>
      <c r="D9" s="1" t="s">
        <v>57</v>
      </c>
      <c r="E9" s="3" t="s">
        <v>55</v>
      </c>
      <c r="F9" s="3" t="s">
        <v>63</v>
      </c>
      <c r="G9" s="24"/>
      <c r="H9" s="24"/>
      <c r="J9" s="1" t="s">
        <v>106</v>
      </c>
      <c r="K9" s="4"/>
      <c r="L9" s="4"/>
      <c r="M9" s="4"/>
      <c r="N9" s="4"/>
      <c r="O9" s="4"/>
      <c r="P9" s="33" t="s">
        <v>107</v>
      </c>
      <c r="Q9" s="25">
        <f>908+381</f>
        <v>1289</v>
      </c>
      <c r="R9" s="25">
        <v>1</v>
      </c>
      <c r="S9" s="12">
        <f t="shared" si="0"/>
        <v>1289</v>
      </c>
      <c r="T9" s="5">
        <v>0</v>
      </c>
      <c r="U9" s="12">
        <f t="shared" si="6"/>
        <v>1289</v>
      </c>
      <c r="V9" s="25" t="s">
        <v>10</v>
      </c>
      <c r="W9" s="11">
        <f>IFERROR(VLOOKUP(V9,Curr!$B$2:$C$13,2,FALSE),0)</f>
        <v>11</v>
      </c>
      <c r="X9" s="12">
        <f t="shared" si="1"/>
        <v>14179</v>
      </c>
      <c r="Y9" s="26">
        <f>Q9/0.8</f>
        <v>1611.25</v>
      </c>
      <c r="Z9" s="12">
        <f t="shared" si="2"/>
        <v>1611.25</v>
      </c>
      <c r="AA9" s="4" t="s">
        <v>10</v>
      </c>
      <c r="AB9" s="11">
        <f>IFERROR(VLOOKUP(AA9,Curr!$B$2:$C$13,2,FALSE),0)</f>
        <v>11</v>
      </c>
      <c r="AC9" s="12">
        <f t="shared" si="3"/>
        <v>17723.75</v>
      </c>
      <c r="AD9" s="12">
        <f t="shared" si="4"/>
        <v>3544.75</v>
      </c>
      <c r="AE9" s="13">
        <f t="shared" si="5"/>
        <v>0.2</v>
      </c>
    </row>
    <row r="10" spans="2:36" x14ac:dyDescent="0.25">
      <c r="B10" s="4"/>
      <c r="C10" s="1" t="s">
        <v>53</v>
      </c>
      <c r="D10" s="1" t="s">
        <v>58</v>
      </c>
      <c r="E10" s="3" t="s">
        <v>55</v>
      </c>
      <c r="F10" s="3"/>
      <c r="G10" s="24"/>
      <c r="H10" s="24"/>
      <c r="J10" s="1" t="s">
        <v>84</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ref="Y10:Y11" si="7">Q10</f>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si="0"/>
        <v>0</v>
      </c>
      <c r="T11" s="5">
        <v>0</v>
      </c>
      <c r="U11" s="12">
        <f t="shared" si="6"/>
        <v>0</v>
      </c>
      <c r="V11" s="25" t="s">
        <v>10</v>
      </c>
      <c r="W11" s="11">
        <f>IFERROR(VLOOKUP(V11,Curr!$B$2:$C$13,2,FALSE),0)</f>
        <v>11</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59</v>
      </c>
      <c r="D12" s="1" t="s">
        <v>60</v>
      </c>
      <c r="E12" s="3" t="s">
        <v>61</v>
      </c>
      <c r="F12" s="3"/>
      <c r="G12" s="24"/>
      <c r="H12" s="24"/>
      <c r="J12" s="1" t="s">
        <v>87</v>
      </c>
      <c r="K12" s="4"/>
      <c r="L12" s="4"/>
      <c r="M12" s="4"/>
      <c r="N12" s="4"/>
      <c r="O12" s="4" t="s">
        <v>42</v>
      </c>
      <c r="P12" s="33" t="s">
        <v>88</v>
      </c>
      <c r="Q12" s="25">
        <v>498</v>
      </c>
      <c r="R12" s="25">
        <v>5</v>
      </c>
      <c r="S12" s="12">
        <f t="shared" si="0"/>
        <v>2490</v>
      </c>
      <c r="T12" s="5">
        <v>0.2</v>
      </c>
      <c r="U12" s="12">
        <f t="shared" si="6"/>
        <v>1992</v>
      </c>
      <c r="V12" s="25" t="s">
        <v>8</v>
      </c>
      <c r="W12" s="11">
        <f>IFERROR(VLOOKUP(V12,Curr!$B$2:$C$13,2,FALSE),0)</f>
        <v>1</v>
      </c>
      <c r="X12" s="12">
        <f t="shared" si="1"/>
        <v>1992</v>
      </c>
      <c r="Y12" s="26">
        <f>Q12/11/0.8</f>
        <v>56.590909090909086</v>
      </c>
      <c r="Z12" s="12">
        <f t="shared" si="2"/>
        <v>282.95454545454544</v>
      </c>
      <c r="AA12" s="4" t="s">
        <v>10</v>
      </c>
      <c r="AB12" s="11">
        <f>IFERROR(VLOOKUP(AA12,Curr!$B$2:$C$13,2,FALSE),0)</f>
        <v>11</v>
      </c>
      <c r="AC12" s="12">
        <f t="shared" si="3"/>
        <v>3112.5</v>
      </c>
      <c r="AD12" s="12">
        <f t="shared" si="4"/>
        <v>1120.5</v>
      </c>
      <c r="AE12" s="13">
        <f t="shared" si="5"/>
        <v>0.36</v>
      </c>
    </row>
    <row r="13" spans="2:36" x14ac:dyDescent="0.25">
      <c r="B13" s="4"/>
      <c r="C13" s="1" t="s">
        <v>59</v>
      </c>
      <c r="D13" s="1" t="s">
        <v>58</v>
      </c>
      <c r="E13" s="3" t="s">
        <v>61</v>
      </c>
      <c r="F13" s="3"/>
      <c r="G13" s="24"/>
      <c r="H13" s="24"/>
      <c r="J13" s="1" t="s">
        <v>84</v>
      </c>
      <c r="K13" s="4"/>
      <c r="L13" s="4"/>
      <c r="M13" s="4"/>
      <c r="N13" s="4"/>
      <c r="O13" s="4"/>
      <c r="P13" s="27"/>
      <c r="Q13" s="25">
        <v>0</v>
      </c>
      <c r="R13" s="25">
        <v>0</v>
      </c>
      <c r="S13" s="12">
        <f t="shared" si="0"/>
        <v>0</v>
      </c>
      <c r="T13" s="5">
        <v>0</v>
      </c>
      <c r="U13" s="12">
        <f t="shared" si="6"/>
        <v>0</v>
      </c>
      <c r="V13" s="25" t="s">
        <v>10</v>
      </c>
      <c r="W13" s="11">
        <f>IFERROR(VLOOKUP(V13,Curr!$B$2:$C$13,2,FALSE),0)</f>
        <v>11</v>
      </c>
      <c r="X13" s="12">
        <f t="shared" si="1"/>
        <v>0</v>
      </c>
      <c r="Y13" s="26">
        <f t="shared" ref="Y13:Y60" si="8">Q13</f>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c r="R14" s="25"/>
      <c r="S14" s="12">
        <f t="shared" si="0"/>
        <v>0</v>
      </c>
      <c r="T14" s="5">
        <v>0</v>
      </c>
      <c r="U14" s="12">
        <f t="shared" si="6"/>
        <v>0</v>
      </c>
      <c r="V14" s="25" t="s">
        <v>10</v>
      </c>
      <c r="W14" s="11">
        <f>IFERROR(VLOOKUP(V14,Curr!$B$2:$C$13,2,FALSE),0)</f>
        <v>11</v>
      </c>
      <c r="X14" s="12">
        <f t="shared" si="1"/>
        <v>0</v>
      </c>
      <c r="Y14" s="26">
        <f t="shared" si="8"/>
        <v>0</v>
      </c>
      <c r="Z14" s="12">
        <f t="shared" si="2"/>
        <v>0</v>
      </c>
      <c r="AA14" s="4" t="s">
        <v>10</v>
      </c>
      <c r="AB14" s="11">
        <f>IFERROR(VLOOKUP(AA14,Curr!$B$2:$C$13,2,FALSE),0)</f>
        <v>11</v>
      </c>
      <c r="AC14" s="12">
        <f t="shared" si="3"/>
        <v>0</v>
      </c>
      <c r="AD14" s="12">
        <f t="shared" si="4"/>
        <v>0</v>
      </c>
      <c r="AE14" s="13">
        <f t="shared" si="5"/>
        <v>0</v>
      </c>
    </row>
    <row r="15" spans="2:36" x14ac:dyDescent="0.25">
      <c r="B15" s="4"/>
      <c r="C15" s="1" t="s">
        <v>62</v>
      </c>
      <c r="D15" s="1" t="s">
        <v>56</v>
      </c>
      <c r="E15" s="3" t="s">
        <v>63</v>
      </c>
      <c r="F15" s="3"/>
      <c r="G15" s="24"/>
      <c r="H15" s="24"/>
      <c r="J15" s="1" t="s">
        <v>116</v>
      </c>
      <c r="K15" s="4"/>
      <c r="L15" s="4"/>
      <c r="M15" s="4"/>
      <c r="N15" s="4"/>
      <c r="O15" s="4"/>
      <c r="P15" s="27"/>
      <c r="Q15" s="25">
        <v>0</v>
      </c>
      <c r="R15" s="25">
        <v>0</v>
      </c>
      <c r="S15" s="12">
        <f t="shared" si="0"/>
        <v>0</v>
      </c>
      <c r="T15" s="5">
        <v>0</v>
      </c>
      <c r="U15" s="12">
        <f t="shared" si="6"/>
        <v>0</v>
      </c>
      <c r="V15" s="25" t="s">
        <v>10</v>
      </c>
      <c r="W15" s="11">
        <f>IFERROR(VLOOKUP(V15,Curr!$B$2:$C$13,2,FALSE),0)</f>
        <v>11</v>
      </c>
      <c r="X15" s="12">
        <f t="shared" si="1"/>
        <v>0</v>
      </c>
      <c r="Y15" s="26">
        <f t="shared" si="8"/>
        <v>0</v>
      </c>
      <c r="Z15" s="12">
        <f t="shared" si="2"/>
        <v>0</v>
      </c>
      <c r="AA15" s="4" t="s">
        <v>10</v>
      </c>
      <c r="AB15" s="11">
        <f>IFERROR(VLOOKUP(AA15,Curr!$B$2:$C$13,2,FALSE),0)</f>
        <v>11</v>
      </c>
      <c r="AC15" s="12">
        <f t="shared" si="3"/>
        <v>0</v>
      </c>
      <c r="AD15" s="12">
        <f t="shared" si="4"/>
        <v>0</v>
      </c>
      <c r="AE15" s="13">
        <f t="shared" si="5"/>
        <v>0</v>
      </c>
    </row>
    <row r="16" spans="2:36" x14ac:dyDescent="0.25">
      <c r="B16" s="4"/>
      <c r="C16" s="1" t="s">
        <v>62</v>
      </c>
      <c r="D16" s="1" t="s">
        <v>60</v>
      </c>
      <c r="E16" s="3" t="s">
        <v>63</v>
      </c>
      <c r="F16" s="3"/>
      <c r="G16" s="24"/>
      <c r="H16" s="24"/>
      <c r="J16" s="1" t="s">
        <v>108</v>
      </c>
      <c r="K16" s="4"/>
      <c r="L16" s="4"/>
      <c r="M16" s="4"/>
      <c r="N16" s="4"/>
      <c r="O16" s="4" t="s">
        <v>42</v>
      </c>
      <c r="P16" s="33" t="s">
        <v>85</v>
      </c>
      <c r="Q16" s="25">
        <v>3475</v>
      </c>
      <c r="R16" s="25">
        <v>5</v>
      </c>
      <c r="S16" s="12">
        <f t="shared" si="0"/>
        <v>17375</v>
      </c>
      <c r="T16" s="5">
        <v>0.08</v>
      </c>
      <c r="U16" s="12">
        <f t="shared" si="6"/>
        <v>15985</v>
      </c>
      <c r="V16" s="25" t="s">
        <v>8</v>
      </c>
      <c r="W16" s="11">
        <f>IFERROR(VLOOKUP(V16,Curr!$B$2:$C$13,2,FALSE),0)</f>
        <v>1</v>
      </c>
      <c r="X16" s="12">
        <f t="shared" si="1"/>
        <v>15985</v>
      </c>
      <c r="Y16" s="26">
        <f>Q16/11/0.85</f>
        <v>371.65775401069521</v>
      </c>
      <c r="Z16" s="12">
        <f t="shared" si="2"/>
        <v>1858.2887700534761</v>
      </c>
      <c r="AA16" s="4" t="s">
        <v>10</v>
      </c>
      <c r="AB16" s="11">
        <f>IFERROR(VLOOKUP(AA16,Curr!$B$2:$C$13,2,FALSE),0)</f>
        <v>11</v>
      </c>
      <c r="AC16" s="12">
        <f t="shared" si="3"/>
        <v>20441.176470588238</v>
      </c>
      <c r="AD16" s="12">
        <f t="shared" si="4"/>
        <v>4456.1764705882379</v>
      </c>
      <c r="AE16" s="13">
        <f t="shared" si="5"/>
        <v>0.21800000000000011</v>
      </c>
    </row>
    <row r="17" spans="2:31" x14ac:dyDescent="0.25">
      <c r="B17" s="4"/>
      <c r="C17" s="1" t="s">
        <v>62</v>
      </c>
      <c r="D17" s="1" t="s">
        <v>56</v>
      </c>
      <c r="E17" s="3" t="s">
        <v>63</v>
      </c>
      <c r="F17" s="3"/>
      <c r="G17" s="24"/>
      <c r="H17" s="24"/>
      <c r="J17" s="1" t="s">
        <v>115</v>
      </c>
      <c r="K17" s="4"/>
      <c r="L17" s="4"/>
      <c r="M17" s="4"/>
      <c r="N17" s="4"/>
      <c r="O17" s="4"/>
      <c r="P17" s="29"/>
      <c r="Q17" s="25">
        <v>0</v>
      </c>
      <c r="R17" s="25">
        <v>0</v>
      </c>
      <c r="S17" s="12">
        <f t="shared" si="0"/>
        <v>0</v>
      </c>
      <c r="T17" s="5">
        <v>0</v>
      </c>
      <c r="U17" s="12">
        <f t="shared" si="6"/>
        <v>0</v>
      </c>
      <c r="V17" s="25" t="s">
        <v>10</v>
      </c>
      <c r="W17" s="11">
        <f>IFERROR(VLOOKUP(V17,Curr!$B$2:$C$13,2,FALSE),0)</f>
        <v>11</v>
      </c>
      <c r="X17" s="12">
        <f t="shared" si="1"/>
        <v>0</v>
      </c>
      <c r="Y17" s="26">
        <f t="shared" si="8"/>
        <v>0</v>
      </c>
      <c r="Z17" s="12">
        <f t="shared" si="2"/>
        <v>0</v>
      </c>
      <c r="AA17" s="4" t="s">
        <v>10</v>
      </c>
      <c r="AB17" s="11">
        <f>IFERROR(VLOOKUP(AA17,Curr!$B$2:$C$13,2,FALSE),0)</f>
        <v>11</v>
      </c>
      <c r="AC17" s="12">
        <f t="shared" si="3"/>
        <v>0</v>
      </c>
      <c r="AD17" s="12">
        <f t="shared" si="4"/>
        <v>0</v>
      </c>
      <c r="AE17" s="13">
        <f t="shared" si="5"/>
        <v>0</v>
      </c>
    </row>
    <row r="18" spans="2:31" x14ac:dyDescent="0.25">
      <c r="B18" s="4"/>
      <c r="C18" s="1" t="s">
        <v>62</v>
      </c>
      <c r="D18" s="1" t="s">
        <v>57</v>
      </c>
      <c r="E18" s="3" t="s">
        <v>63</v>
      </c>
      <c r="F18" s="3" t="s">
        <v>64</v>
      </c>
      <c r="G18" s="24"/>
      <c r="H18" s="24"/>
      <c r="J18" s="1" t="s">
        <v>110</v>
      </c>
      <c r="K18" s="4"/>
      <c r="L18" s="4"/>
      <c r="M18" s="4"/>
      <c r="N18" s="4"/>
      <c r="O18" s="4"/>
      <c r="P18" s="33" t="s">
        <v>111</v>
      </c>
      <c r="Q18" s="25">
        <v>1403</v>
      </c>
      <c r="R18" s="25">
        <v>1</v>
      </c>
      <c r="S18" s="12">
        <f t="shared" si="0"/>
        <v>1403</v>
      </c>
      <c r="T18" s="5">
        <v>0</v>
      </c>
      <c r="U18" s="12">
        <f t="shared" si="6"/>
        <v>1403</v>
      </c>
      <c r="V18" s="25" t="s">
        <v>10</v>
      </c>
      <c r="W18" s="11">
        <f>IFERROR(VLOOKUP(V18,Curr!$B$2:$C$13,2,FALSE),0)</f>
        <v>11</v>
      </c>
      <c r="X18" s="12">
        <f t="shared" si="1"/>
        <v>15433</v>
      </c>
      <c r="Y18" s="26">
        <f>Q18/0.8</f>
        <v>1753.75</v>
      </c>
      <c r="Z18" s="12">
        <f t="shared" si="2"/>
        <v>1753.75</v>
      </c>
      <c r="AA18" s="4" t="s">
        <v>10</v>
      </c>
      <c r="AB18" s="11">
        <f>IFERROR(VLOOKUP(AA18,Curr!$B$2:$C$13,2,FALSE),0)</f>
        <v>11</v>
      </c>
      <c r="AC18" s="12">
        <f t="shared" si="3"/>
        <v>19291.25</v>
      </c>
      <c r="AD18" s="12">
        <f t="shared" si="4"/>
        <v>3858.25</v>
      </c>
      <c r="AE18" s="13">
        <f t="shared" si="5"/>
        <v>0.2</v>
      </c>
    </row>
    <row r="19" spans="2:31" x14ac:dyDescent="0.25">
      <c r="B19" s="4"/>
      <c r="C19" s="1" t="s">
        <v>62</v>
      </c>
      <c r="D19" s="1" t="s">
        <v>58</v>
      </c>
      <c r="E19" s="3" t="s">
        <v>63</v>
      </c>
      <c r="F19" s="3"/>
      <c r="G19" s="24"/>
      <c r="H19" s="24"/>
      <c r="J19" s="1" t="s">
        <v>86</v>
      </c>
      <c r="K19" s="4"/>
      <c r="L19" s="4"/>
      <c r="M19" s="4"/>
      <c r="N19" s="4"/>
      <c r="O19" s="4"/>
      <c r="P19" s="27"/>
      <c r="Q19" s="25">
        <v>0</v>
      </c>
      <c r="R19" s="25">
        <v>0</v>
      </c>
      <c r="S19" s="12">
        <f t="shared" si="0"/>
        <v>0</v>
      </c>
      <c r="T19" s="5">
        <v>0</v>
      </c>
      <c r="U19" s="12">
        <f t="shared" si="6"/>
        <v>0</v>
      </c>
      <c r="V19" s="25" t="s">
        <v>10</v>
      </c>
      <c r="W19" s="11">
        <f>IFERROR(VLOOKUP(V19,Curr!$B$2:$C$13,2,FALSE),0)</f>
        <v>11</v>
      </c>
      <c r="X19" s="12">
        <f t="shared" si="1"/>
        <v>0</v>
      </c>
      <c r="Y19" s="26">
        <f t="shared" si="8"/>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c r="R20" s="25"/>
      <c r="S20" s="12">
        <f t="shared" si="0"/>
        <v>0</v>
      </c>
      <c r="T20" s="5">
        <v>0</v>
      </c>
      <c r="U20" s="12">
        <f t="shared" si="6"/>
        <v>0</v>
      </c>
      <c r="V20" s="25" t="s">
        <v>10</v>
      </c>
      <c r="W20" s="11">
        <f>IFERROR(VLOOKUP(V20,Curr!$B$2:$C$13,2,FALSE),0)</f>
        <v>11</v>
      </c>
      <c r="X20" s="12">
        <f t="shared" si="1"/>
        <v>0</v>
      </c>
      <c r="Y20" s="26">
        <f t="shared" si="8"/>
        <v>0</v>
      </c>
      <c r="Z20" s="12">
        <f t="shared" si="2"/>
        <v>0</v>
      </c>
      <c r="AA20" s="4" t="s">
        <v>10</v>
      </c>
      <c r="AB20" s="11">
        <f>IFERROR(VLOOKUP(AA20,Curr!$B$2:$C$13,2,FALSE),0)</f>
        <v>11</v>
      </c>
      <c r="AC20" s="12">
        <f t="shared" si="3"/>
        <v>0</v>
      </c>
      <c r="AD20" s="12">
        <f t="shared" si="4"/>
        <v>0</v>
      </c>
      <c r="AE20" s="13">
        <f t="shared" si="5"/>
        <v>0</v>
      </c>
    </row>
    <row r="21" spans="2:31" x14ac:dyDescent="0.25">
      <c r="B21" s="4"/>
      <c r="C21" s="1" t="s">
        <v>65</v>
      </c>
      <c r="D21" s="1" t="s">
        <v>56</v>
      </c>
      <c r="E21" s="3" t="s">
        <v>64</v>
      </c>
      <c r="F21" s="3"/>
      <c r="G21" s="24"/>
      <c r="H21" s="24"/>
      <c r="J21" s="1" t="s">
        <v>114</v>
      </c>
      <c r="K21" s="4"/>
      <c r="L21" s="4"/>
      <c r="M21" s="4"/>
      <c r="N21" s="4"/>
      <c r="O21" s="4"/>
      <c r="P21" s="33"/>
      <c r="Q21" s="25">
        <v>0</v>
      </c>
      <c r="R21" s="25">
        <v>0</v>
      </c>
      <c r="S21" s="12">
        <f t="shared" si="0"/>
        <v>0</v>
      </c>
      <c r="T21" s="5">
        <v>0</v>
      </c>
      <c r="U21" s="12">
        <f t="shared" si="6"/>
        <v>0</v>
      </c>
      <c r="V21" s="25" t="s">
        <v>10</v>
      </c>
      <c r="W21" s="11">
        <f>IFERROR(VLOOKUP(V21,Curr!$B$2:$C$13,2,FALSE),0)</f>
        <v>11</v>
      </c>
      <c r="X21" s="12">
        <f t="shared" si="1"/>
        <v>0</v>
      </c>
      <c r="Y21" s="26">
        <f t="shared" si="8"/>
        <v>0</v>
      </c>
      <c r="Z21" s="12">
        <f t="shared" si="2"/>
        <v>0</v>
      </c>
      <c r="AA21" s="4" t="s">
        <v>10</v>
      </c>
      <c r="AB21" s="11">
        <f>IFERROR(VLOOKUP(AA21,Curr!$B$2:$C$13,2,FALSE),0)</f>
        <v>11</v>
      </c>
      <c r="AC21" s="12">
        <f t="shared" si="3"/>
        <v>0</v>
      </c>
      <c r="AD21" s="12">
        <f t="shared" si="4"/>
        <v>0</v>
      </c>
      <c r="AE21" s="13">
        <f t="shared" si="5"/>
        <v>0</v>
      </c>
    </row>
    <row r="22" spans="2:31" x14ac:dyDescent="0.25">
      <c r="B22" s="4"/>
      <c r="C22" s="1" t="s">
        <v>65</v>
      </c>
      <c r="D22" s="1" t="s">
        <v>60</v>
      </c>
      <c r="E22" s="3" t="s">
        <v>64</v>
      </c>
      <c r="F22" s="3"/>
      <c r="G22" s="24"/>
      <c r="H22" s="24"/>
      <c r="J22" s="1" t="s">
        <v>109</v>
      </c>
      <c r="K22" s="4"/>
      <c r="L22" s="4"/>
      <c r="M22" s="4"/>
      <c r="N22" s="4"/>
      <c r="O22" s="4" t="s">
        <v>42</v>
      </c>
      <c r="P22" s="33" t="s">
        <v>85</v>
      </c>
      <c r="Q22" s="25">
        <v>0</v>
      </c>
      <c r="R22" s="25">
        <v>0</v>
      </c>
      <c r="S22" s="12">
        <f t="shared" si="0"/>
        <v>0</v>
      </c>
      <c r="T22" s="5">
        <v>0.08</v>
      </c>
      <c r="U22" s="12">
        <f t="shared" si="6"/>
        <v>0</v>
      </c>
      <c r="V22" s="25" t="s">
        <v>8</v>
      </c>
      <c r="W22" s="11">
        <f>IFERROR(VLOOKUP(V22,Curr!$B$2:$C$13,2,FALSE),0)</f>
        <v>1</v>
      </c>
      <c r="X22" s="12">
        <f t="shared" si="1"/>
        <v>0</v>
      </c>
      <c r="Y22" s="26">
        <f t="shared" si="8"/>
        <v>0</v>
      </c>
      <c r="Z22" s="12">
        <f t="shared" si="2"/>
        <v>0</v>
      </c>
      <c r="AA22" s="4" t="s">
        <v>10</v>
      </c>
      <c r="AB22" s="11">
        <f>IFERROR(VLOOKUP(AA22,Curr!$B$2:$C$13,2,FALSE),0)</f>
        <v>11</v>
      </c>
      <c r="AC22" s="12">
        <f t="shared" si="3"/>
        <v>0</v>
      </c>
      <c r="AD22" s="12">
        <f t="shared" si="4"/>
        <v>0</v>
      </c>
      <c r="AE22" s="13">
        <f t="shared" si="5"/>
        <v>0</v>
      </c>
    </row>
    <row r="23" spans="2:31" x14ac:dyDescent="0.25">
      <c r="B23" s="4"/>
      <c r="C23" s="1" t="s">
        <v>65</v>
      </c>
      <c r="D23" s="1" t="s">
        <v>56</v>
      </c>
      <c r="E23" s="3" t="s">
        <v>64</v>
      </c>
      <c r="F23" s="3"/>
      <c r="G23" s="24"/>
      <c r="H23" s="24"/>
      <c r="J23" s="1" t="s">
        <v>89</v>
      </c>
      <c r="K23" s="4"/>
      <c r="L23" s="4"/>
      <c r="M23" s="4"/>
      <c r="N23" s="4"/>
      <c r="O23" s="4"/>
      <c r="P23" s="27"/>
      <c r="Q23" s="25">
        <v>1490</v>
      </c>
      <c r="R23" s="25">
        <v>0</v>
      </c>
      <c r="S23" s="12">
        <f t="shared" si="0"/>
        <v>0</v>
      </c>
      <c r="T23" s="5">
        <v>0.15</v>
      </c>
      <c r="U23" s="12">
        <f t="shared" si="6"/>
        <v>0</v>
      </c>
      <c r="V23" s="25" t="s">
        <v>8</v>
      </c>
      <c r="W23" s="11">
        <f>IFERROR(VLOOKUP(V23,Curr!$B$2:$C$13,2,FALSE),0)</f>
        <v>1</v>
      </c>
      <c r="X23" s="12">
        <f t="shared" si="1"/>
        <v>0</v>
      </c>
      <c r="Y23" s="26">
        <f>Q23/11/0.9</f>
        <v>150.50505050505052</v>
      </c>
      <c r="Z23" s="12">
        <f t="shared" si="2"/>
        <v>0</v>
      </c>
      <c r="AA23" s="4" t="s">
        <v>10</v>
      </c>
      <c r="AB23" s="11">
        <f>IFERROR(VLOOKUP(AA23,Curr!$B$2:$C$13,2,FALSE),0)</f>
        <v>11</v>
      </c>
      <c r="AC23" s="12">
        <f t="shared" si="3"/>
        <v>0</v>
      </c>
      <c r="AD23" s="12">
        <f t="shared" si="4"/>
        <v>0</v>
      </c>
      <c r="AE23" s="13">
        <f t="shared" si="5"/>
        <v>0</v>
      </c>
    </row>
    <row r="24" spans="2:31" x14ac:dyDescent="0.25">
      <c r="B24" s="4"/>
      <c r="C24" s="1" t="s">
        <v>65</v>
      </c>
      <c r="D24" s="1" t="s">
        <v>57</v>
      </c>
      <c r="E24" s="3" t="s">
        <v>64</v>
      </c>
      <c r="F24" s="3" t="s">
        <v>72</v>
      </c>
      <c r="G24" s="24"/>
      <c r="H24" s="24"/>
      <c r="J24" s="1" t="s">
        <v>112</v>
      </c>
      <c r="K24" s="4"/>
      <c r="L24" s="4"/>
      <c r="M24" s="4"/>
      <c r="N24" s="4"/>
      <c r="O24" s="4"/>
      <c r="P24" s="33" t="s">
        <v>113</v>
      </c>
      <c r="Q24" s="25">
        <f>937+346</f>
        <v>1283</v>
      </c>
      <c r="R24" s="25">
        <v>1</v>
      </c>
      <c r="S24" s="12">
        <f t="shared" si="0"/>
        <v>1283</v>
      </c>
      <c r="T24" s="5">
        <v>0</v>
      </c>
      <c r="U24" s="12">
        <f t="shared" si="6"/>
        <v>1283</v>
      </c>
      <c r="V24" s="25" t="s">
        <v>10</v>
      </c>
      <c r="W24" s="11">
        <f>IFERROR(VLOOKUP(V24,Curr!$B$2:$C$13,2,FALSE),0)</f>
        <v>11</v>
      </c>
      <c r="X24" s="12">
        <f t="shared" si="1"/>
        <v>14113</v>
      </c>
      <c r="Y24" s="26">
        <f>Q24/0.8</f>
        <v>1603.75</v>
      </c>
      <c r="Z24" s="12">
        <f t="shared" si="2"/>
        <v>1603.75</v>
      </c>
      <c r="AA24" s="4" t="s">
        <v>10</v>
      </c>
      <c r="AB24" s="11">
        <f>IFERROR(VLOOKUP(AA24,Curr!$B$2:$C$13,2,FALSE),0)</f>
        <v>11</v>
      </c>
      <c r="AC24" s="12">
        <f t="shared" si="3"/>
        <v>17641.25</v>
      </c>
      <c r="AD24" s="12">
        <f t="shared" si="4"/>
        <v>3528.25</v>
      </c>
      <c r="AE24" s="13">
        <f t="shared" si="5"/>
        <v>0.2</v>
      </c>
    </row>
    <row r="25" spans="2:31" x14ac:dyDescent="0.25">
      <c r="B25" s="4"/>
      <c r="C25" s="1" t="s">
        <v>65</v>
      </c>
      <c r="D25" s="1" t="s">
        <v>58</v>
      </c>
      <c r="E25" s="3" t="s">
        <v>64</v>
      </c>
      <c r="F25" s="3"/>
      <c r="G25" s="24"/>
      <c r="H25" s="24"/>
      <c r="J25" s="1" t="s">
        <v>90</v>
      </c>
      <c r="K25" s="4"/>
      <c r="L25" s="4"/>
      <c r="M25" s="4"/>
      <c r="N25" s="4"/>
      <c r="O25" s="4"/>
      <c r="P25" s="27"/>
      <c r="Q25" s="25">
        <v>0</v>
      </c>
      <c r="R25" s="25">
        <v>0</v>
      </c>
      <c r="S25" s="12">
        <f t="shared" si="0"/>
        <v>0</v>
      </c>
      <c r="T25" s="5">
        <v>0</v>
      </c>
      <c r="U25" s="12">
        <f t="shared" si="6"/>
        <v>0</v>
      </c>
      <c r="V25" s="25" t="s">
        <v>10</v>
      </c>
      <c r="W25" s="11">
        <f>IFERROR(VLOOKUP(V25,Curr!$B$2:$C$13,2,FALSE),0)</f>
        <v>11</v>
      </c>
      <c r="X25" s="12">
        <f t="shared" si="1"/>
        <v>0</v>
      </c>
      <c r="Y25" s="26">
        <f t="shared" si="8"/>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c r="R26" s="25"/>
      <c r="S26" s="12">
        <f t="shared" si="0"/>
        <v>0</v>
      </c>
      <c r="T26" s="5">
        <v>0</v>
      </c>
      <c r="U26" s="12">
        <f t="shared" si="6"/>
        <v>0</v>
      </c>
      <c r="V26" s="25" t="s">
        <v>10</v>
      </c>
      <c r="W26" s="11">
        <f>IFERROR(VLOOKUP(V26,Curr!$B$2:$C$13,2,FALSE),0)</f>
        <v>11</v>
      </c>
      <c r="X26" s="12">
        <f t="shared" si="1"/>
        <v>0</v>
      </c>
      <c r="Y26" s="26">
        <f t="shared" si="8"/>
        <v>0</v>
      </c>
      <c r="Z26" s="12">
        <f t="shared" si="2"/>
        <v>0</v>
      </c>
      <c r="AA26" s="4" t="s">
        <v>10</v>
      </c>
      <c r="AB26" s="11">
        <f>IFERROR(VLOOKUP(AA26,Curr!$B$2:$C$13,2,FALSE),0)</f>
        <v>11</v>
      </c>
      <c r="AC26" s="12">
        <f t="shared" si="3"/>
        <v>0</v>
      </c>
      <c r="AD26" s="12">
        <f t="shared" si="4"/>
        <v>0</v>
      </c>
      <c r="AE26" s="13">
        <f t="shared" si="5"/>
        <v>0</v>
      </c>
    </row>
    <row r="27" spans="2:31" x14ac:dyDescent="0.25">
      <c r="B27" s="4"/>
      <c r="C27" s="1" t="s">
        <v>66</v>
      </c>
      <c r="D27" s="1" t="s">
        <v>60</v>
      </c>
      <c r="E27" s="3" t="s">
        <v>67</v>
      </c>
      <c r="F27" s="3"/>
      <c r="G27" s="24"/>
      <c r="H27" s="24"/>
      <c r="J27" s="1" t="s">
        <v>91</v>
      </c>
      <c r="K27" s="4"/>
      <c r="L27" s="4"/>
      <c r="M27" s="4"/>
      <c r="N27" s="4"/>
      <c r="O27" s="4" t="s">
        <v>42</v>
      </c>
      <c r="P27" s="33" t="s">
        <v>92</v>
      </c>
      <c r="Q27" s="25">
        <v>325</v>
      </c>
      <c r="R27" s="25">
        <v>5</v>
      </c>
      <c r="S27" s="12">
        <f t="shared" si="0"/>
        <v>1625</v>
      </c>
      <c r="T27" s="5">
        <v>0.2</v>
      </c>
      <c r="U27" s="12">
        <f t="shared" si="6"/>
        <v>1300</v>
      </c>
      <c r="V27" s="25" t="s">
        <v>8</v>
      </c>
      <c r="W27" s="11">
        <f>IFERROR(VLOOKUP(V27,Curr!$B$2:$C$13,2,FALSE),0)</f>
        <v>1</v>
      </c>
      <c r="X27" s="12">
        <f t="shared" si="1"/>
        <v>1300</v>
      </c>
      <c r="Y27" s="26">
        <f>Q27/11/0.8</f>
        <v>36.93181818181818</v>
      </c>
      <c r="Z27" s="12">
        <f t="shared" si="2"/>
        <v>184.65909090909091</v>
      </c>
      <c r="AA27" s="4" t="s">
        <v>10</v>
      </c>
      <c r="AB27" s="11">
        <f>IFERROR(VLOOKUP(AA27,Curr!$B$2:$C$13,2,FALSE),0)</f>
        <v>11</v>
      </c>
      <c r="AC27" s="12">
        <f t="shared" si="3"/>
        <v>2031.25</v>
      </c>
      <c r="AD27" s="12">
        <f t="shared" si="4"/>
        <v>731.25</v>
      </c>
      <c r="AE27" s="13">
        <f t="shared" si="5"/>
        <v>0.36</v>
      </c>
    </row>
    <row r="28" spans="2:31" x14ac:dyDescent="0.25">
      <c r="B28" s="4"/>
      <c r="C28" s="1" t="s">
        <v>66</v>
      </c>
      <c r="D28" s="1" t="s">
        <v>60</v>
      </c>
      <c r="E28" s="3" t="s">
        <v>67</v>
      </c>
      <c r="F28" s="3"/>
      <c r="G28" s="24"/>
      <c r="H28" s="24"/>
      <c r="J28" s="1" t="s">
        <v>93</v>
      </c>
      <c r="K28" s="4"/>
      <c r="L28" s="4"/>
      <c r="M28" s="4"/>
      <c r="N28" s="4"/>
      <c r="O28" s="4" t="s">
        <v>42</v>
      </c>
      <c r="P28" s="33" t="s">
        <v>94</v>
      </c>
      <c r="Q28" s="25">
        <v>200</v>
      </c>
      <c r="R28" s="25">
        <v>5</v>
      </c>
      <c r="S28" s="12">
        <f t="shared" si="0"/>
        <v>1000</v>
      </c>
      <c r="T28" s="5">
        <v>0</v>
      </c>
      <c r="U28" s="12">
        <f t="shared" si="6"/>
        <v>1000</v>
      </c>
      <c r="V28" s="25" t="s">
        <v>8</v>
      </c>
      <c r="W28" s="11">
        <f>IFERROR(VLOOKUP(V28,Curr!$B$2:$C$13,2,FALSE),0)</f>
        <v>1</v>
      </c>
      <c r="X28" s="12">
        <f t="shared" si="1"/>
        <v>1000</v>
      </c>
      <c r="Y28" s="26">
        <f>Q28/11/0.8</f>
        <v>22.727272727272727</v>
      </c>
      <c r="Z28" s="12">
        <f t="shared" si="2"/>
        <v>113.63636363636363</v>
      </c>
      <c r="AA28" s="4" t="s">
        <v>10</v>
      </c>
      <c r="AB28" s="11">
        <f>IFERROR(VLOOKUP(AA28,Curr!$B$2:$C$13,2,FALSE),0)</f>
        <v>11</v>
      </c>
      <c r="AC28" s="12">
        <f t="shared" si="3"/>
        <v>1250</v>
      </c>
      <c r="AD28" s="12">
        <f t="shared" si="4"/>
        <v>250</v>
      </c>
      <c r="AE28" s="13">
        <f t="shared" si="5"/>
        <v>0.2</v>
      </c>
    </row>
    <row r="29" spans="2:31" x14ac:dyDescent="0.25">
      <c r="B29" s="4"/>
      <c r="C29" s="1" t="s">
        <v>66</v>
      </c>
      <c r="D29" s="1" t="s">
        <v>58</v>
      </c>
      <c r="E29" s="3" t="s">
        <v>67</v>
      </c>
      <c r="F29" s="3"/>
      <c r="G29" s="24"/>
      <c r="H29" s="24"/>
      <c r="J29" s="1" t="s">
        <v>90</v>
      </c>
      <c r="K29" s="4"/>
      <c r="L29" s="4"/>
      <c r="M29" s="4"/>
      <c r="N29" s="4"/>
      <c r="O29" s="4"/>
      <c r="P29" s="29"/>
      <c r="Q29" s="25">
        <v>0</v>
      </c>
      <c r="R29" s="25">
        <v>0</v>
      </c>
      <c r="S29" s="12">
        <f t="shared" si="0"/>
        <v>0</v>
      </c>
      <c r="T29" s="5">
        <v>0</v>
      </c>
      <c r="U29" s="12">
        <f t="shared" si="6"/>
        <v>0</v>
      </c>
      <c r="V29" s="25" t="s">
        <v>10</v>
      </c>
      <c r="W29" s="11">
        <f>IFERROR(VLOOKUP(V29,Curr!$B$2:$C$13,2,FALSE),0)</f>
        <v>11</v>
      </c>
      <c r="X29" s="12">
        <f t="shared" si="1"/>
        <v>0</v>
      </c>
      <c r="Y29" s="26">
        <f t="shared" si="8"/>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c r="R30" s="25"/>
      <c r="S30" s="12">
        <f t="shared" si="0"/>
        <v>0</v>
      </c>
      <c r="T30" s="5">
        <v>0</v>
      </c>
      <c r="U30" s="12">
        <f t="shared" si="6"/>
        <v>0</v>
      </c>
      <c r="V30" s="25" t="s">
        <v>10</v>
      </c>
      <c r="W30" s="11">
        <f>IFERROR(VLOOKUP(V30,Curr!$B$2:$C$13,2,FALSE),0)</f>
        <v>11</v>
      </c>
      <c r="X30" s="12">
        <f t="shared" si="1"/>
        <v>0</v>
      </c>
      <c r="Y30" s="26">
        <f t="shared" si="8"/>
        <v>0</v>
      </c>
      <c r="Z30" s="12">
        <f t="shared" si="2"/>
        <v>0</v>
      </c>
      <c r="AA30" s="4" t="s">
        <v>10</v>
      </c>
      <c r="AB30" s="11">
        <f>IFERROR(VLOOKUP(AA30,Curr!$B$2:$C$13,2,FALSE),0)</f>
        <v>11</v>
      </c>
      <c r="AC30" s="12">
        <f t="shared" si="3"/>
        <v>0</v>
      </c>
      <c r="AD30" s="12">
        <f t="shared" si="4"/>
        <v>0</v>
      </c>
      <c r="AE30" s="13">
        <f t="shared" si="5"/>
        <v>0</v>
      </c>
    </row>
    <row r="31" spans="2:31" x14ac:dyDescent="0.25">
      <c r="B31" s="4"/>
      <c r="C31" s="1" t="s">
        <v>68</v>
      </c>
      <c r="D31" s="1" t="s">
        <v>60</v>
      </c>
      <c r="E31" s="3" t="s">
        <v>69</v>
      </c>
      <c r="F31" s="3"/>
      <c r="G31" s="24"/>
      <c r="H31" s="24"/>
      <c r="J31" s="1" t="s">
        <v>117</v>
      </c>
      <c r="K31" s="4"/>
      <c r="L31" s="4"/>
      <c r="M31" s="4"/>
      <c r="N31" s="4"/>
      <c r="O31" s="4"/>
      <c r="P31" s="33" t="s">
        <v>118</v>
      </c>
      <c r="Q31" s="25">
        <v>802</v>
      </c>
      <c r="R31" s="25">
        <v>1</v>
      </c>
      <c r="S31" s="12">
        <f t="shared" si="0"/>
        <v>802</v>
      </c>
      <c r="T31" s="5">
        <v>0.15</v>
      </c>
      <c r="U31" s="12">
        <f t="shared" si="6"/>
        <v>681.69999999999993</v>
      </c>
      <c r="V31" s="25" t="s">
        <v>10</v>
      </c>
      <c r="W31" s="11">
        <f>IFERROR(VLOOKUP(V31,Curr!$B$2:$C$13,2,FALSE),0)</f>
        <v>11</v>
      </c>
      <c r="X31" s="12">
        <f t="shared" si="1"/>
        <v>7498.6999999999989</v>
      </c>
      <c r="Y31" s="26">
        <f>Q31/0.95</f>
        <v>844.21052631578948</v>
      </c>
      <c r="Z31" s="12">
        <f t="shared" si="2"/>
        <v>844.21052631578948</v>
      </c>
      <c r="AA31" s="4" t="s">
        <v>10</v>
      </c>
      <c r="AB31" s="11">
        <f>IFERROR(VLOOKUP(AA31,Curr!$B$2:$C$13,2,FALSE),0)</f>
        <v>11</v>
      </c>
      <c r="AC31" s="12">
        <f t="shared" si="3"/>
        <v>9286.3157894736851</v>
      </c>
      <c r="AD31" s="12">
        <f t="shared" si="4"/>
        <v>1787.6157894736862</v>
      </c>
      <c r="AE31" s="13">
        <f t="shared" si="5"/>
        <v>0.1925000000000002</v>
      </c>
    </row>
    <row r="32" spans="2:31" x14ac:dyDescent="0.25">
      <c r="B32" s="4"/>
      <c r="C32" s="1" t="s">
        <v>68</v>
      </c>
      <c r="D32" s="1" t="s">
        <v>58</v>
      </c>
      <c r="E32" s="3" t="s">
        <v>69</v>
      </c>
      <c r="F32" s="3"/>
      <c r="G32" s="24"/>
      <c r="H32" s="24"/>
      <c r="J32" s="1" t="s">
        <v>90</v>
      </c>
      <c r="K32" s="4"/>
      <c r="L32" s="4"/>
      <c r="M32" s="4"/>
      <c r="N32" s="4"/>
      <c r="O32" s="4"/>
      <c r="P32" s="27"/>
      <c r="Q32" s="25">
        <v>0</v>
      </c>
      <c r="R32" s="25">
        <v>0</v>
      </c>
      <c r="S32" s="12">
        <f t="shared" si="0"/>
        <v>0</v>
      </c>
      <c r="T32" s="5">
        <v>0</v>
      </c>
      <c r="U32" s="12">
        <f t="shared" si="6"/>
        <v>0</v>
      </c>
      <c r="V32" s="25" t="s">
        <v>10</v>
      </c>
      <c r="W32" s="11">
        <f>IFERROR(VLOOKUP(V32,Curr!$B$2:$C$13,2,FALSE),0)</f>
        <v>11</v>
      </c>
      <c r="X32" s="12">
        <f t="shared" si="1"/>
        <v>0</v>
      </c>
      <c r="Y32" s="26">
        <f t="shared" si="8"/>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c r="R33" s="25"/>
      <c r="S33" s="12">
        <f t="shared" si="0"/>
        <v>0</v>
      </c>
      <c r="T33" s="5">
        <v>0</v>
      </c>
      <c r="U33" s="12">
        <f t="shared" si="6"/>
        <v>0</v>
      </c>
      <c r="V33" s="25" t="s">
        <v>10</v>
      </c>
      <c r="W33" s="11">
        <f>IFERROR(VLOOKUP(V33,Curr!$B$2:$C$13,2,FALSE),0)</f>
        <v>11</v>
      </c>
      <c r="X33" s="12">
        <f t="shared" si="1"/>
        <v>0</v>
      </c>
      <c r="Y33" s="26">
        <f t="shared" si="8"/>
        <v>0</v>
      </c>
      <c r="Z33" s="12">
        <f t="shared" si="2"/>
        <v>0</v>
      </c>
      <c r="AA33" s="4" t="s">
        <v>10</v>
      </c>
      <c r="AB33" s="11">
        <f>IFERROR(VLOOKUP(AA33,Curr!$B$2:$C$13,2,FALSE),0)</f>
        <v>11</v>
      </c>
      <c r="AC33" s="12">
        <f t="shared" si="3"/>
        <v>0</v>
      </c>
      <c r="AD33" s="12">
        <f t="shared" si="4"/>
        <v>0</v>
      </c>
      <c r="AE33" s="13">
        <f t="shared" si="5"/>
        <v>0</v>
      </c>
    </row>
    <row r="34" spans="2:31" x14ac:dyDescent="0.25">
      <c r="B34" s="4"/>
      <c r="C34" s="1" t="s">
        <v>70</v>
      </c>
      <c r="D34" s="1" t="s">
        <v>56</v>
      </c>
      <c r="E34" s="3" t="s">
        <v>72</v>
      </c>
      <c r="F34" s="3"/>
      <c r="G34" s="24"/>
      <c r="H34" s="24"/>
      <c r="J34" s="1" t="s">
        <v>95</v>
      </c>
      <c r="K34" s="4"/>
      <c r="L34" s="4"/>
      <c r="M34" s="4"/>
      <c r="N34" s="4"/>
      <c r="O34" s="4"/>
      <c r="P34" s="33"/>
      <c r="Q34" s="25">
        <v>1990</v>
      </c>
      <c r="R34" s="25">
        <v>0</v>
      </c>
      <c r="S34" s="12">
        <f t="shared" si="0"/>
        <v>0</v>
      </c>
      <c r="T34" s="5">
        <v>0.15</v>
      </c>
      <c r="U34" s="12">
        <f t="shared" si="6"/>
        <v>0</v>
      </c>
      <c r="V34" s="25" t="s">
        <v>8</v>
      </c>
      <c r="W34" s="11">
        <f>IFERROR(VLOOKUP(V34,Curr!$B$2:$C$13,2,FALSE),0)</f>
        <v>1</v>
      </c>
      <c r="X34" s="12">
        <f t="shared" si="1"/>
        <v>0</v>
      </c>
      <c r="Y34" s="26">
        <f>Q34/11/0.9</f>
        <v>201.01010101010101</v>
      </c>
      <c r="Z34" s="12">
        <f t="shared" si="2"/>
        <v>0</v>
      </c>
      <c r="AA34" s="4" t="s">
        <v>10</v>
      </c>
      <c r="AB34" s="11">
        <f>IFERROR(VLOOKUP(AA34,Curr!$B$2:$C$13,2,FALSE),0)</f>
        <v>11</v>
      </c>
      <c r="AC34" s="12">
        <f t="shared" si="3"/>
        <v>0</v>
      </c>
      <c r="AD34" s="12">
        <f t="shared" si="4"/>
        <v>0</v>
      </c>
      <c r="AE34" s="13">
        <f t="shared" si="5"/>
        <v>0</v>
      </c>
    </row>
    <row r="35" spans="2:31" x14ac:dyDescent="0.25">
      <c r="B35" s="4"/>
      <c r="C35" s="1" t="s">
        <v>70</v>
      </c>
      <c r="D35" s="1" t="s">
        <v>71</v>
      </c>
      <c r="E35" s="3" t="s">
        <v>72</v>
      </c>
      <c r="F35" s="3"/>
      <c r="G35" s="24"/>
      <c r="H35" s="24"/>
      <c r="J35" s="1" t="s">
        <v>119</v>
      </c>
      <c r="K35" s="4"/>
      <c r="L35" s="4"/>
      <c r="M35" s="4"/>
      <c r="N35" s="4"/>
      <c r="O35" s="4"/>
      <c r="P35" s="33" t="s">
        <v>120</v>
      </c>
      <c r="Q35" s="25">
        <v>1529</v>
      </c>
      <c r="R35" s="25">
        <v>5</v>
      </c>
      <c r="S35" s="12">
        <f t="shared" si="0"/>
        <v>7645</v>
      </c>
      <c r="T35" s="5">
        <v>0</v>
      </c>
      <c r="U35" s="12">
        <f t="shared" si="6"/>
        <v>7645</v>
      </c>
      <c r="V35" s="25" t="s">
        <v>8</v>
      </c>
      <c r="W35" s="11">
        <f>IFERROR(VLOOKUP(V35,Curr!$B$2:$C$13,2,FALSE),0)</f>
        <v>1</v>
      </c>
      <c r="X35" s="12">
        <f t="shared" si="1"/>
        <v>7645</v>
      </c>
      <c r="Y35" s="26">
        <f>Q35/11/0.8</f>
        <v>173.75</v>
      </c>
      <c r="Z35" s="12">
        <f t="shared" si="2"/>
        <v>868.75</v>
      </c>
      <c r="AA35" s="4" t="s">
        <v>10</v>
      </c>
      <c r="AB35" s="11">
        <f>IFERROR(VLOOKUP(AA35,Curr!$B$2:$C$13,2,FALSE),0)</f>
        <v>11</v>
      </c>
      <c r="AC35" s="12">
        <f t="shared" si="3"/>
        <v>9556.25</v>
      </c>
      <c r="AD35" s="12">
        <f t="shared" si="4"/>
        <v>1911.25</v>
      </c>
      <c r="AE35" s="13">
        <f t="shared" si="5"/>
        <v>0.2</v>
      </c>
    </row>
    <row r="36" spans="2:31" x14ac:dyDescent="0.25">
      <c r="B36" s="4"/>
      <c r="C36" s="1" t="s">
        <v>70</v>
      </c>
      <c r="D36" s="1" t="s">
        <v>56</v>
      </c>
      <c r="E36" s="3" t="s">
        <v>72</v>
      </c>
      <c r="F36" s="3"/>
      <c r="G36" s="24"/>
      <c r="H36" s="24"/>
      <c r="J36" s="1" t="s">
        <v>96</v>
      </c>
      <c r="K36" s="4"/>
      <c r="L36" s="4"/>
      <c r="M36" s="4"/>
      <c r="N36" s="4"/>
      <c r="O36" s="4"/>
      <c r="P36" s="33"/>
      <c r="Q36" s="25">
        <v>2500</v>
      </c>
      <c r="R36" s="25">
        <v>0</v>
      </c>
      <c r="S36" s="12">
        <f t="shared" si="0"/>
        <v>0</v>
      </c>
      <c r="T36" s="5">
        <v>0</v>
      </c>
      <c r="U36" s="12">
        <f t="shared" si="6"/>
        <v>0</v>
      </c>
      <c r="V36" s="25" t="s">
        <v>8</v>
      </c>
      <c r="W36" s="11">
        <f>IFERROR(VLOOKUP(V36,Curr!$B$2:$C$13,2,FALSE),0)</f>
        <v>1</v>
      </c>
      <c r="X36" s="12">
        <f t="shared" si="1"/>
        <v>0</v>
      </c>
      <c r="Y36" s="26">
        <f>Q36/11/0.8</f>
        <v>284.09090909090907</v>
      </c>
      <c r="Z36" s="12">
        <f t="shared" si="2"/>
        <v>0</v>
      </c>
      <c r="AA36" s="4" t="s">
        <v>10</v>
      </c>
      <c r="AB36" s="11">
        <f>IFERROR(VLOOKUP(AA36,Curr!$B$2:$C$13,2,FALSE),0)</f>
        <v>11</v>
      </c>
      <c r="AC36" s="12">
        <f t="shared" si="3"/>
        <v>0</v>
      </c>
      <c r="AD36" s="12">
        <f t="shared" si="4"/>
        <v>0</v>
      </c>
      <c r="AE36" s="13">
        <f t="shared" si="5"/>
        <v>0</v>
      </c>
    </row>
    <row r="37" spans="2:31" x14ac:dyDescent="0.25">
      <c r="B37" s="4"/>
      <c r="C37" s="1" t="s">
        <v>70</v>
      </c>
      <c r="D37" s="1" t="s">
        <v>57</v>
      </c>
      <c r="E37" s="3" t="s">
        <v>72</v>
      </c>
      <c r="F37" s="3" t="s">
        <v>81</v>
      </c>
      <c r="G37" s="24"/>
      <c r="H37" s="24"/>
      <c r="J37" s="1" t="s">
        <v>121</v>
      </c>
      <c r="K37" s="4"/>
      <c r="L37" s="4"/>
      <c r="M37" s="4"/>
      <c r="N37" s="4"/>
      <c r="O37" s="4"/>
      <c r="P37" s="33" t="s">
        <v>122</v>
      </c>
      <c r="Q37" s="25">
        <f>1255+529</f>
        <v>1784</v>
      </c>
      <c r="R37" s="25">
        <v>1</v>
      </c>
      <c r="S37" s="12">
        <f t="shared" si="0"/>
        <v>1784</v>
      </c>
      <c r="T37" s="5">
        <v>0</v>
      </c>
      <c r="U37" s="12">
        <f t="shared" si="6"/>
        <v>1784</v>
      </c>
      <c r="V37" s="25" t="s">
        <v>10</v>
      </c>
      <c r="W37" s="11">
        <f>IFERROR(VLOOKUP(V37,Curr!$B$2:$C$13,2,FALSE),0)</f>
        <v>11</v>
      </c>
      <c r="X37" s="12">
        <f t="shared" si="1"/>
        <v>19624</v>
      </c>
      <c r="Y37" s="26">
        <f>Q37/0.8</f>
        <v>2230</v>
      </c>
      <c r="Z37" s="12">
        <f t="shared" si="2"/>
        <v>2230</v>
      </c>
      <c r="AA37" s="4" t="s">
        <v>10</v>
      </c>
      <c r="AB37" s="11">
        <f>IFERROR(VLOOKUP(AA37,Curr!$B$2:$C$13,2,FALSE),0)</f>
        <v>11</v>
      </c>
      <c r="AC37" s="12">
        <f t="shared" si="3"/>
        <v>24530</v>
      </c>
      <c r="AD37" s="12">
        <f t="shared" si="4"/>
        <v>4906</v>
      </c>
      <c r="AE37" s="13">
        <f t="shared" si="5"/>
        <v>0.2</v>
      </c>
    </row>
    <row r="38" spans="2:31" x14ac:dyDescent="0.25">
      <c r="B38" s="4"/>
      <c r="C38" s="1" t="s">
        <v>70</v>
      </c>
      <c r="D38" s="1" t="s">
        <v>58</v>
      </c>
      <c r="E38" s="3" t="s">
        <v>72</v>
      </c>
      <c r="F38" s="3"/>
      <c r="G38" s="24"/>
      <c r="H38" s="24"/>
      <c r="J38" s="1" t="s">
        <v>97</v>
      </c>
      <c r="K38" s="4"/>
      <c r="L38" s="4"/>
      <c r="M38" s="4"/>
      <c r="N38" s="4"/>
      <c r="O38" s="4"/>
      <c r="P38" s="27"/>
      <c r="Q38" s="25">
        <v>0</v>
      </c>
      <c r="R38" s="25">
        <v>0</v>
      </c>
      <c r="S38" s="12">
        <f t="shared" si="0"/>
        <v>0</v>
      </c>
      <c r="T38" s="5">
        <v>0</v>
      </c>
      <c r="U38" s="12">
        <f t="shared" si="6"/>
        <v>0</v>
      </c>
      <c r="V38" s="25" t="s">
        <v>10</v>
      </c>
      <c r="W38" s="11">
        <f>IFERROR(VLOOKUP(V38,Curr!$B$2:$C$13,2,FALSE),0)</f>
        <v>11</v>
      </c>
      <c r="X38" s="12">
        <f t="shared" si="1"/>
        <v>0</v>
      </c>
      <c r="Y38" s="26">
        <f t="shared" si="8"/>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27"/>
      <c r="Q39" s="25"/>
      <c r="R39" s="25"/>
      <c r="S39" s="12">
        <f t="shared" si="0"/>
        <v>0</v>
      </c>
      <c r="T39" s="5">
        <v>0</v>
      </c>
      <c r="U39" s="12">
        <f t="shared" si="6"/>
        <v>0</v>
      </c>
      <c r="V39" s="25" t="s">
        <v>10</v>
      </c>
      <c r="W39" s="11">
        <f>IFERROR(VLOOKUP(V39,Curr!$B$2:$C$13,2,FALSE),0)</f>
        <v>11</v>
      </c>
      <c r="X39" s="12">
        <f t="shared" si="1"/>
        <v>0</v>
      </c>
      <c r="Y39" s="26">
        <f t="shared" si="8"/>
        <v>0</v>
      </c>
      <c r="Z39" s="12">
        <f t="shared" si="2"/>
        <v>0</v>
      </c>
      <c r="AA39" s="4" t="s">
        <v>10</v>
      </c>
      <c r="AB39" s="11">
        <f>IFERROR(VLOOKUP(AA39,Curr!$B$2:$C$13,2,FALSE),0)</f>
        <v>11</v>
      </c>
      <c r="AC39" s="12">
        <f t="shared" si="3"/>
        <v>0</v>
      </c>
      <c r="AD39" s="12">
        <f t="shared" si="4"/>
        <v>0</v>
      </c>
      <c r="AE39" s="13">
        <f t="shared" si="5"/>
        <v>0</v>
      </c>
    </row>
    <row r="40" spans="2:31" x14ac:dyDescent="0.25">
      <c r="B40" s="4"/>
      <c r="C40" s="1" t="s">
        <v>73</v>
      </c>
      <c r="D40" s="1" t="s">
        <v>60</v>
      </c>
      <c r="E40" s="3" t="s">
        <v>74</v>
      </c>
      <c r="F40" s="3"/>
      <c r="G40" s="24"/>
      <c r="H40" s="24"/>
      <c r="J40" s="1" t="s">
        <v>128</v>
      </c>
      <c r="K40" s="4"/>
      <c r="L40" s="4"/>
      <c r="M40" s="4"/>
      <c r="N40" s="4"/>
      <c r="O40" s="4" t="s">
        <v>42</v>
      </c>
      <c r="P40" s="33" t="s">
        <v>101</v>
      </c>
      <c r="Q40" s="25">
        <v>125</v>
      </c>
      <c r="R40" s="25">
        <v>5</v>
      </c>
      <c r="S40" s="12">
        <f t="shared" si="0"/>
        <v>625</v>
      </c>
      <c r="T40" s="5">
        <v>0.2</v>
      </c>
      <c r="U40" s="12">
        <f t="shared" si="6"/>
        <v>500</v>
      </c>
      <c r="V40" s="25" t="s">
        <v>10</v>
      </c>
      <c r="W40" s="11">
        <f>IFERROR(VLOOKUP(V40,Curr!$B$2:$C$13,2,FALSE),0)</f>
        <v>11</v>
      </c>
      <c r="X40" s="12">
        <f t="shared" si="1"/>
        <v>5500</v>
      </c>
      <c r="Y40" s="26">
        <f t="shared" si="8"/>
        <v>125</v>
      </c>
      <c r="Z40" s="12">
        <f t="shared" si="2"/>
        <v>625</v>
      </c>
      <c r="AA40" s="4" t="s">
        <v>10</v>
      </c>
      <c r="AB40" s="11">
        <f>IFERROR(VLOOKUP(AA40,Curr!$B$2:$C$13,2,FALSE),0)</f>
        <v>11</v>
      </c>
      <c r="AC40" s="12">
        <f t="shared" si="3"/>
        <v>6875</v>
      </c>
      <c r="AD40" s="12">
        <f t="shared" si="4"/>
        <v>1375</v>
      </c>
      <c r="AE40" s="13">
        <f t="shared" si="5"/>
        <v>0.2</v>
      </c>
    </row>
    <row r="41" spans="2:31" x14ac:dyDescent="0.25">
      <c r="B41" s="4"/>
      <c r="C41" s="1" t="s">
        <v>73</v>
      </c>
      <c r="D41" s="1" t="s">
        <v>58</v>
      </c>
      <c r="E41" s="3" t="s">
        <v>74</v>
      </c>
      <c r="F41" s="3"/>
      <c r="G41" s="24"/>
      <c r="H41" s="24"/>
      <c r="J41" s="1" t="s">
        <v>97</v>
      </c>
      <c r="K41" s="4"/>
      <c r="L41" s="4"/>
      <c r="M41" s="4"/>
      <c r="N41" s="4"/>
      <c r="O41" s="4"/>
      <c r="P41" s="27"/>
      <c r="Q41" s="25">
        <v>0</v>
      </c>
      <c r="R41" s="25">
        <v>0</v>
      </c>
      <c r="S41" s="12">
        <f t="shared" si="0"/>
        <v>0</v>
      </c>
      <c r="T41" s="5">
        <v>0</v>
      </c>
      <c r="U41" s="12">
        <f t="shared" si="6"/>
        <v>0</v>
      </c>
      <c r="V41" s="25" t="s">
        <v>10</v>
      </c>
      <c r="W41" s="11">
        <f>IFERROR(VLOOKUP(V41,Curr!$B$2:$C$13,2,FALSE),0)</f>
        <v>11</v>
      </c>
      <c r="X41" s="12">
        <f t="shared" si="1"/>
        <v>0</v>
      </c>
      <c r="Y41" s="26">
        <f t="shared" si="8"/>
        <v>0</v>
      </c>
      <c r="Z41" s="12">
        <f t="shared" si="2"/>
        <v>0</v>
      </c>
      <c r="AA41" s="4" t="s">
        <v>10</v>
      </c>
      <c r="AB41" s="11">
        <f>IFERROR(VLOOKUP(AA41,Curr!$B$2:$C$13,2,FALSE),0)</f>
        <v>11</v>
      </c>
      <c r="AC41" s="12">
        <f t="shared" si="3"/>
        <v>0</v>
      </c>
      <c r="AD41" s="12">
        <f t="shared" si="4"/>
        <v>0</v>
      </c>
      <c r="AE41" s="13">
        <f t="shared" si="5"/>
        <v>0</v>
      </c>
    </row>
    <row r="42" spans="2:31" x14ac:dyDescent="0.25">
      <c r="B42" s="4"/>
      <c r="C42" s="1" t="s">
        <v>73</v>
      </c>
      <c r="D42" s="1" t="s">
        <v>60</v>
      </c>
      <c r="E42" s="3" t="s">
        <v>74</v>
      </c>
      <c r="F42" s="3"/>
      <c r="G42" s="24"/>
      <c r="H42" s="24"/>
      <c r="J42" s="1" t="s">
        <v>123</v>
      </c>
      <c r="K42" s="4"/>
      <c r="L42" s="4"/>
      <c r="M42" s="4"/>
      <c r="N42" s="4"/>
      <c r="O42" s="4"/>
      <c r="P42" s="33" t="s">
        <v>124</v>
      </c>
      <c r="Q42" s="25">
        <v>107</v>
      </c>
      <c r="R42" s="25">
        <v>5</v>
      </c>
      <c r="S42" s="12">
        <f t="shared" si="0"/>
        <v>535</v>
      </c>
      <c r="T42" s="5">
        <v>0.2</v>
      </c>
      <c r="U42" s="12">
        <f t="shared" si="6"/>
        <v>428</v>
      </c>
      <c r="V42" s="25" t="s">
        <v>10</v>
      </c>
      <c r="W42" s="11">
        <f>IFERROR(VLOOKUP(V42,Curr!$B$2:$C$13,2,FALSE),0)</f>
        <v>11</v>
      </c>
      <c r="X42" s="12">
        <f t="shared" si="1"/>
        <v>4708</v>
      </c>
      <c r="Y42" s="26">
        <f t="shared" si="8"/>
        <v>107</v>
      </c>
      <c r="Z42" s="12">
        <f t="shared" si="2"/>
        <v>535</v>
      </c>
      <c r="AA42" s="4" t="s">
        <v>10</v>
      </c>
      <c r="AB42" s="11">
        <f>IFERROR(VLOOKUP(AA42,Curr!$B$2:$C$13,2,FALSE),0)</f>
        <v>11</v>
      </c>
      <c r="AC42" s="12">
        <f t="shared" si="3"/>
        <v>5885</v>
      </c>
      <c r="AD42" s="12">
        <f t="shared" si="4"/>
        <v>1177</v>
      </c>
      <c r="AE42" s="13">
        <f t="shared" si="5"/>
        <v>0.2</v>
      </c>
    </row>
    <row r="43" spans="2:31" x14ac:dyDescent="0.25">
      <c r="B43" s="4"/>
      <c r="E43" s="3"/>
      <c r="F43" s="3"/>
      <c r="G43" s="24"/>
      <c r="H43" s="24"/>
      <c r="K43" s="4"/>
      <c r="L43" s="4"/>
      <c r="M43" s="4"/>
      <c r="N43" s="4"/>
      <c r="O43" s="4"/>
      <c r="P43" s="27"/>
      <c r="Q43" s="25"/>
      <c r="R43" s="25"/>
      <c r="S43" s="12">
        <f t="shared" si="0"/>
        <v>0</v>
      </c>
      <c r="T43" s="5">
        <v>0</v>
      </c>
      <c r="U43" s="12">
        <f t="shared" si="6"/>
        <v>0</v>
      </c>
      <c r="V43" s="25" t="s">
        <v>10</v>
      </c>
      <c r="W43" s="11">
        <f>IFERROR(VLOOKUP(V43,Curr!$B$2:$C$13,2,FALSE),0)</f>
        <v>11</v>
      </c>
      <c r="X43" s="12">
        <f t="shared" si="1"/>
        <v>0</v>
      </c>
      <c r="Y43" s="26">
        <f t="shared" si="8"/>
        <v>0</v>
      </c>
      <c r="Z43" s="12">
        <f t="shared" si="2"/>
        <v>0</v>
      </c>
      <c r="AA43" s="4" t="s">
        <v>10</v>
      </c>
      <c r="AB43" s="11">
        <f>IFERROR(VLOOKUP(AA43,Curr!$B$2:$C$13,2,FALSE),0)</f>
        <v>11</v>
      </c>
      <c r="AC43" s="12">
        <f t="shared" si="3"/>
        <v>0</v>
      </c>
      <c r="AD43" s="12">
        <f t="shared" si="4"/>
        <v>0</v>
      </c>
      <c r="AE43" s="13">
        <f t="shared" si="5"/>
        <v>0</v>
      </c>
    </row>
    <row r="44" spans="2:31" x14ac:dyDescent="0.25">
      <c r="B44" s="4"/>
      <c r="C44" s="1" t="s">
        <v>75</v>
      </c>
      <c r="D44" s="1" t="s">
        <v>60</v>
      </c>
      <c r="E44" s="3" t="s">
        <v>76</v>
      </c>
      <c r="F44" s="3"/>
      <c r="G44" s="24"/>
      <c r="H44" s="24"/>
      <c r="J44" s="1" t="s">
        <v>100</v>
      </c>
      <c r="K44" s="4"/>
      <c r="L44" s="4"/>
      <c r="M44" s="4"/>
      <c r="N44" s="4"/>
      <c r="O44" s="4" t="s">
        <v>42</v>
      </c>
      <c r="P44" s="33" t="s">
        <v>101</v>
      </c>
      <c r="Q44" s="25">
        <v>595</v>
      </c>
      <c r="R44" s="25">
        <v>5</v>
      </c>
      <c r="S44" s="12">
        <f t="shared" si="0"/>
        <v>2975</v>
      </c>
      <c r="T44" s="5">
        <v>0.2</v>
      </c>
      <c r="U44" s="12">
        <f t="shared" si="6"/>
        <v>2380</v>
      </c>
      <c r="V44" s="25" t="s">
        <v>8</v>
      </c>
      <c r="W44" s="11">
        <f>IFERROR(VLOOKUP(V44,Curr!$B$2:$C$13,2,FALSE),0)</f>
        <v>1</v>
      </c>
      <c r="X44" s="12">
        <f t="shared" si="1"/>
        <v>2380</v>
      </c>
      <c r="Y44" s="26">
        <f>Q44/11/0.8</f>
        <v>67.61363636363636</v>
      </c>
      <c r="Z44" s="12">
        <f t="shared" si="2"/>
        <v>338.06818181818181</v>
      </c>
      <c r="AA44" s="4" t="s">
        <v>10</v>
      </c>
      <c r="AB44" s="11">
        <f>IFERROR(VLOOKUP(AA44,Curr!$B$2:$C$13,2,FALSE),0)</f>
        <v>11</v>
      </c>
      <c r="AC44" s="12">
        <f t="shared" si="3"/>
        <v>3718.75</v>
      </c>
      <c r="AD44" s="12">
        <f t="shared" si="4"/>
        <v>1338.75</v>
      </c>
      <c r="AE44" s="13">
        <f t="shared" si="5"/>
        <v>0.36</v>
      </c>
    </row>
    <row r="45" spans="2:31" x14ac:dyDescent="0.25">
      <c r="B45" s="4"/>
      <c r="C45" s="1" t="s">
        <v>75</v>
      </c>
      <c r="D45" s="1" t="s">
        <v>58</v>
      </c>
      <c r="E45" s="3" t="s">
        <v>76</v>
      </c>
      <c r="F45" s="3"/>
      <c r="G45" s="24"/>
      <c r="H45" s="24"/>
      <c r="J45" s="1" t="s">
        <v>97</v>
      </c>
      <c r="K45" s="4"/>
      <c r="L45" s="4"/>
      <c r="M45" s="4"/>
      <c r="N45" s="4"/>
      <c r="O45" s="4"/>
      <c r="P45" s="27"/>
      <c r="Q45" s="25">
        <v>0</v>
      </c>
      <c r="R45" s="25">
        <v>0</v>
      </c>
      <c r="S45" s="12">
        <f t="shared" si="0"/>
        <v>0</v>
      </c>
      <c r="T45" s="5">
        <v>0</v>
      </c>
      <c r="U45" s="12">
        <f t="shared" si="6"/>
        <v>0</v>
      </c>
      <c r="V45" s="25" t="s">
        <v>10</v>
      </c>
      <c r="W45" s="11">
        <f>IFERROR(VLOOKUP(V45,Curr!$B$2:$C$13,2,FALSE),0)</f>
        <v>11</v>
      </c>
      <c r="X45" s="12">
        <f t="shared" si="1"/>
        <v>0</v>
      </c>
      <c r="Y45" s="26">
        <f t="shared" si="8"/>
        <v>0</v>
      </c>
      <c r="Z45" s="12">
        <f t="shared" si="2"/>
        <v>0</v>
      </c>
      <c r="AA45" s="4" t="s">
        <v>10</v>
      </c>
      <c r="AB45" s="11">
        <f>IFERROR(VLOOKUP(AA45,Curr!$B$2:$C$13,2,FALSE),0)</f>
        <v>11</v>
      </c>
      <c r="AC45" s="12">
        <f t="shared" si="3"/>
        <v>0</v>
      </c>
      <c r="AD45" s="12">
        <f t="shared" si="4"/>
        <v>0</v>
      </c>
      <c r="AE45" s="13">
        <f t="shared" si="5"/>
        <v>0</v>
      </c>
    </row>
    <row r="46" spans="2:31" x14ac:dyDescent="0.25">
      <c r="B46" s="4"/>
      <c r="C46" s="1" t="s">
        <v>75</v>
      </c>
      <c r="D46" s="1" t="s">
        <v>60</v>
      </c>
      <c r="E46" s="3" t="s">
        <v>76</v>
      </c>
      <c r="F46" s="3"/>
      <c r="G46" s="24"/>
      <c r="H46" s="24"/>
      <c r="J46" s="1" t="s">
        <v>125</v>
      </c>
      <c r="K46" s="4"/>
      <c r="L46" s="4"/>
      <c r="M46" s="4"/>
      <c r="N46" s="4"/>
      <c r="O46" s="4"/>
      <c r="P46" s="33" t="s">
        <v>126</v>
      </c>
      <c r="Q46" s="25">
        <v>115</v>
      </c>
      <c r="R46" s="25">
        <v>5</v>
      </c>
      <c r="S46" s="12">
        <f t="shared" si="0"/>
        <v>575</v>
      </c>
      <c r="T46" s="5">
        <v>0.2</v>
      </c>
      <c r="U46" s="12">
        <f t="shared" si="6"/>
        <v>460</v>
      </c>
      <c r="V46" s="25" t="s">
        <v>10</v>
      </c>
      <c r="W46" s="11">
        <f>IFERROR(VLOOKUP(V46,Curr!$B$2:$C$13,2,FALSE),0)</f>
        <v>11</v>
      </c>
      <c r="X46" s="12">
        <f t="shared" si="1"/>
        <v>5060</v>
      </c>
      <c r="Y46" s="26">
        <f t="shared" si="8"/>
        <v>115</v>
      </c>
      <c r="Z46" s="12">
        <f t="shared" si="2"/>
        <v>575</v>
      </c>
      <c r="AA46" s="4" t="s">
        <v>10</v>
      </c>
      <c r="AB46" s="11">
        <f>IFERROR(VLOOKUP(AA46,Curr!$B$2:$C$13,2,FALSE),0)</f>
        <v>11</v>
      </c>
      <c r="AC46" s="12">
        <f t="shared" si="3"/>
        <v>6325</v>
      </c>
      <c r="AD46" s="12">
        <f t="shared" si="4"/>
        <v>1265</v>
      </c>
      <c r="AE46" s="13">
        <f t="shared" si="5"/>
        <v>0.2</v>
      </c>
    </row>
    <row r="47" spans="2:31" x14ac:dyDescent="0.25">
      <c r="B47" s="4"/>
      <c r="E47" s="3"/>
      <c r="F47" s="3"/>
      <c r="G47" s="24"/>
      <c r="H47" s="24"/>
      <c r="K47" s="4"/>
      <c r="L47" s="4"/>
      <c r="M47" s="4"/>
      <c r="N47" s="4"/>
      <c r="O47" s="4"/>
      <c r="P47" s="27"/>
      <c r="Q47" s="25"/>
      <c r="R47" s="25"/>
      <c r="S47" s="12">
        <f t="shared" si="0"/>
        <v>0</v>
      </c>
      <c r="T47" s="5">
        <v>0</v>
      </c>
      <c r="U47" s="12">
        <f t="shared" si="6"/>
        <v>0</v>
      </c>
      <c r="V47" s="25" t="s">
        <v>10</v>
      </c>
      <c r="W47" s="11">
        <f>IFERROR(VLOOKUP(V47,Curr!$B$2:$C$13,2,FALSE),0)</f>
        <v>11</v>
      </c>
      <c r="X47" s="12">
        <f t="shared" si="1"/>
        <v>0</v>
      </c>
      <c r="Y47" s="26">
        <f t="shared" si="8"/>
        <v>0</v>
      </c>
      <c r="Z47" s="12">
        <f t="shared" si="2"/>
        <v>0</v>
      </c>
      <c r="AA47" s="4" t="s">
        <v>10</v>
      </c>
      <c r="AB47" s="11">
        <f>IFERROR(VLOOKUP(AA47,Curr!$B$2:$C$13,2,FALSE),0)</f>
        <v>11</v>
      </c>
      <c r="AC47" s="12">
        <f t="shared" si="3"/>
        <v>0</v>
      </c>
      <c r="AD47" s="12">
        <f t="shared" si="4"/>
        <v>0</v>
      </c>
      <c r="AE47" s="13">
        <f t="shared" si="5"/>
        <v>0</v>
      </c>
    </row>
    <row r="48" spans="2:31" x14ac:dyDescent="0.25">
      <c r="B48" s="4"/>
      <c r="C48" s="1" t="s">
        <v>77</v>
      </c>
      <c r="D48" s="1" t="s">
        <v>58</v>
      </c>
      <c r="E48" s="3" t="s">
        <v>78</v>
      </c>
      <c r="F48" s="3"/>
      <c r="G48" s="24"/>
      <c r="H48" s="24"/>
      <c r="J48" s="1" t="s">
        <v>97</v>
      </c>
      <c r="K48" s="4"/>
      <c r="L48" s="4"/>
      <c r="M48" s="4"/>
      <c r="N48" s="4"/>
      <c r="O48" s="4"/>
      <c r="P48" s="33"/>
      <c r="Q48" s="25">
        <v>0</v>
      </c>
      <c r="R48" s="25">
        <v>0</v>
      </c>
      <c r="S48" s="12">
        <f t="shared" si="0"/>
        <v>0</v>
      </c>
      <c r="T48" s="5">
        <v>0</v>
      </c>
      <c r="U48" s="12">
        <f t="shared" si="6"/>
        <v>0</v>
      </c>
      <c r="V48" s="25" t="s">
        <v>10</v>
      </c>
      <c r="W48" s="11">
        <f>IFERROR(VLOOKUP(V48,Curr!$B$2:$C$13,2,FALSE),0)</f>
        <v>11</v>
      </c>
      <c r="X48" s="12">
        <f t="shared" si="1"/>
        <v>0</v>
      </c>
      <c r="Y48" s="26">
        <f t="shared" si="8"/>
        <v>0</v>
      </c>
      <c r="Z48" s="12">
        <f t="shared" si="2"/>
        <v>0</v>
      </c>
      <c r="AA48" s="4" t="s">
        <v>10</v>
      </c>
      <c r="AB48" s="11">
        <f>IFERROR(VLOOKUP(AA48,Curr!$B$2:$C$13,2,FALSE),0)</f>
        <v>11</v>
      </c>
      <c r="AC48" s="12">
        <f t="shared" si="3"/>
        <v>0</v>
      </c>
      <c r="AD48" s="12">
        <f t="shared" si="4"/>
        <v>0</v>
      </c>
      <c r="AE48" s="13">
        <f t="shared" si="5"/>
        <v>0</v>
      </c>
    </row>
    <row r="49" spans="2:36" x14ac:dyDescent="0.25">
      <c r="B49" s="4"/>
      <c r="E49" s="3"/>
      <c r="F49" s="3"/>
      <c r="G49" s="24"/>
      <c r="H49" s="24"/>
      <c r="K49" s="4"/>
      <c r="L49" s="4"/>
      <c r="M49" s="4"/>
      <c r="N49" s="4"/>
      <c r="O49" s="4"/>
      <c r="P49" s="27"/>
      <c r="Q49" s="25"/>
      <c r="R49" s="25"/>
      <c r="S49" s="12">
        <f t="shared" si="0"/>
        <v>0</v>
      </c>
      <c r="T49" s="5">
        <v>0</v>
      </c>
      <c r="U49" s="12">
        <f t="shared" si="6"/>
        <v>0</v>
      </c>
      <c r="V49" s="25" t="s">
        <v>10</v>
      </c>
      <c r="W49" s="11">
        <f>IFERROR(VLOOKUP(V49,Curr!$B$2:$C$13,2,FALSE),0)</f>
        <v>11</v>
      </c>
      <c r="X49" s="12">
        <f t="shared" si="1"/>
        <v>0</v>
      </c>
      <c r="Y49" s="26">
        <f t="shared" si="8"/>
        <v>0</v>
      </c>
      <c r="Z49" s="12">
        <f t="shared" si="2"/>
        <v>0</v>
      </c>
      <c r="AA49" s="4" t="s">
        <v>10</v>
      </c>
      <c r="AB49" s="11">
        <f>IFERROR(VLOOKUP(AA49,Curr!$B$2:$C$13,2,FALSE),0)</f>
        <v>11</v>
      </c>
      <c r="AC49" s="12">
        <f t="shared" si="3"/>
        <v>0</v>
      </c>
      <c r="AD49" s="12">
        <f t="shared" si="4"/>
        <v>0</v>
      </c>
      <c r="AE49" s="13">
        <f t="shared" si="5"/>
        <v>0</v>
      </c>
    </row>
    <row r="50" spans="2:36" x14ac:dyDescent="0.25">
      <c r="B50" s="4"/>
      <c r="C50" s="1" t="s">
        <v>79</v>
      </c>
      <c r="D50" s="1" t="s">
        <v>56</v>
      </c>
      <c r="E50" s="3" t="s">
        <v>81</v>
      </c>
      <c r="F50" s="3"/>
      <c r="G50" s="24"/>
      <c r="H50" s="24"/>
      <c r="J50" s="1" t="s">
        <v>99</v>
      </c>
      <c r="K50" s="4"/>
      <c r="L50" s="4"/>
      <c r="M50" s="4"/>
      <c r="N50" s="4"/>
      <c r="O50" s="4"/>
      <c r="P50" s="27"/>
      <c r="Q50" s="25">
        <v>2500</v>
      </c>
      <c r="R50" s="25">
        <v>0</v>
      </c>
      <c r="S50" s="12">
        <f t="shared" si="0"/>
        <v>0</v>
      </c>
      <c r="T50" s="5">
        <v>0</v>
      </c>
      <c r="U50" s="12">
        <f t="shared" si="6"/>
        <v>0</v>
      </c>
      <c r="V50" s="25" t="s">
        <v>8</v>
      </c>
      <c r="W50" s="11">
        <f>IFERROR(VLOOKUP(V50,Curr!$B$2:$C$13,2,FALSE),0)</f>
        <v>1</v>
      </c>
      <c r="X50" s="12">
        <f t="shared" si="1"/>
        <v>0</v>
      </c>
      <c r="Y50" s="26">
        <f>Q50/11/0.8</f>
        <v>284.09090909090907</v>
      </c>
      <c r="Z50" s="12">
        <f t="shared" si="2"/>
        <v>0</v>
      </c>
      <c r="AA50" s="4" t="s">
        <v>10</v>
      </c>
      <c r="AB50" s="11">
        <f>IFERROR(VLOOKUP(AA50,Curr!$B$2:$C$13,2,FALSE),0)</f>
        <v>11</v>
      </c>
      <c r="AC50" s="12">
        <f t="shared" si="3"/>
        <v>0</v>
      </c>
      <c r="AD50" s="12">
        <f t="shared" si="4"/>
        <v>0</v>
      </c>
      <c r="AE50" s="13">
        <f t="shared" si="5"/>
        <v>0</v>
      </c>
    </row>
    <row r="51" spans="2:36" x14ac:dyDescent="0.25">
      <c r="B51" s="4"/>
      <c r="C51" s="1" t="s">
        <v>79</v>
      </c>
      <c r="D51" s="1" t="s">
        <v>80</v>
      </c>
      <c r="E51" s="3" t="s">
        <v>81</v>
      </c>
      <c r="F51" s="3"/>
      <c r="G51" s="24"/>
      <c r="H51" s="24"/>
      <c r="J51" s="1" t="s">
        <v>98</v>
      </c>
      <c r="K51" s="4"/>
      <c r="L51" s="4"/>
      <c r="M51" s="4"/>
      <c r="N51" s="4"/>
      <c r="O51" s="4"/>
      <c r="P51" s="27"/>
      <c r="Q51" s="25">
        <v>0</v>
      </c>
      <c r="R51" s="25">
        <v>0</v>
      </c>
      <c r="S51" s="12">
        <f t="shared" si="0"/>
        <v>0</v>
      </c>
      <c r="T51" s="5">
        <v>0</v>
      </c>
      <c r="U51" s="12">
        <f t="shared" si="6"/>
        <v>0</v>
      </c>
      <c r="V51" s="25" t="s">
        <v>10</v>
      </c>
      <c r="W51" s="11">
        <f>IFERROR(VLOOKUP(V51,Curr!$B$2:$C$13,2,FALSE),0)</f>
        <v>11</v>
      </c>
      <c r="X51" s="12">
        <f t="shared" si="1"/>
        <v>0</v>
      </c>
      <c r="Y51" s="26">
        <f t="shared" si="8"/>
        <v>0</v>
      </c>
      <c r="Z51" s="12">
        <f t="shared" si="2"/>
        <v>0</v>
      </c>
      <c r="AA51" s="4" t="s">
        <v>10</v>
      </c>
      <c r="AB51" s="11">
        <f>IFERROR(VLOOKUP(AA51,Curr!$B$2:$C$13,2,FALSE),0)</f>
        <v>11</v>
      </c>
      <c r="AC51" s="12">
        <f t="shared" si="3"/>
        <v>0</v>
      </c>
      <c r="AD51" s="12">
        <f t="shared" si="4"/>
        <v>0</v>
      </c>
      <c r="AE51" s="13">
        <f t="shared" si="5"/>
        <v>0</v>
      </c>
    </row>
    <row r="52" spans="2:36" x14ac:dyDescent="0.25">
      <c r="B52" s="4"/>
      <c r="E52" s="3"/>
      <c r="F52" s="3"/>
      <c r="G52" s="24"/>
      <c r="H52" s="24"/>
      <c r="K52" s="4"/>
      <c r="L52" s="4"/>
      <c r="M52" s="4"/>
      <c r="N52" s="4"/>
      <c r="O52" s="4"/>
      <c r="P52" s="27"/>
      <c r="Q52" s="25"/>
      <c r="R52" s="25"/>
      <c r="S52" s="12">
        <f t="shared" si="0"/>
        <v>0</v>
      </c>
      <c r="T52" s="5">
        <v>0</v>
      </c>
      <c r="U52" s="12">
        <f t="shared" si="6"/>
        <v>0</v>
      </c>
      <c r="V52" s="25" t="s">
        <v>10</v>
      </c>
      <c r="W52" s="11">
        <f>IFERROR(VLOOKUP(V52,Curr!$B$2:$C$13,2,FALSE),0)</f>
        <v>11</v>
      </c>
      <c r="X52" s="12">
        <f t="shared" si="1"/>
        <v>0</v>
      </c>
      <c r="Y52" s="26">
        <f t="shared" si="8"/>
        <v>0</v>
      </c>
      <c r="Z52" s="12">
        <f t="shared" si="2"/>
        <v>0</v>
      </c>
      <c r="AA52" s="4" t="s">
        <v>10</v>
      </c>
      <c r="AB52" s="11">
        <f>IFERROR(VLOOKUP(AA52,Curr!$B$2:$C$13,2,FALSE),0)</f>
        <v>11</v>
      </c>
      <c r="AC52" s="12">
        <f t="shared" si="3"/>
        <v>0</v>
      </c>
      <c r="AD52" s="12">
        <f t="shared" si="4"/>
        <v>0</v>
      </c>
      <c r="AE52" s="13">
        <f t="shared" si="5"/>
        <v>0</v>
      </c>
    </row>
    <row r="53" spans="2:36" x14ac:dyDescent="0.25">
      <c r="B53" s="4"/>
      <c r="E53" s="3"/>
      <c r="F53" s="3"/>
      <c r="G53" s="24"/>
      <c r="H53" s="24"/>
      <c r="K53" s="4"/>
      <c r="L53" s="4"/>
      <c r="M53" s="4"/>
      <c r="N53" s="4"/>
      <c r="O53" s="4"/>
      <c r="P53" s="27"/>
      <c r="Q53" s="25"/>
      <c r="R53" s="25"/>
      <c r="S53" s="12">
        <f t="shared" si="0"/>
        <v>0</v>
      </c>
      <c r="T53" s="5">
        <v>0</v>
      </c>
      <c r="U53" s="12">
        <f t="shared" si="6"/>
        <v>0</v>
      </c>
      <c r="V53" s="25" t="s">
        <v>10</v>
      </c>
      <c r="W53" s="11">
        <f>IFERROR(VLOOKUP(V53,Curr!$B$2:$C$13,2,FALSE),0)</f>
        <v>11</v>
      </c>
      <c r="X53" s="12">
        <f t="shared" si="1"/>
        <v>0</v>
      </c>
      <c r="Y53" s="26">
        <f t="shared" si="8"/>
        <v>0</v>
      </c>
      <c r="Z53" s="12">
        <f t="shared" si="2"/>
        <v>0</v>
      </c>
      <c r="AA53" s="4" t="s">
        <v>10</v>
      </c>
      <c r="AB53" s="11">
        <f>IFERROR(VLOOKUP(AA53,Curr!$B$2:$C$13,2,FALSE),0)</f>
        <v>11</v>
      </c>
      <c r="AC53" s="12">
        <f t="shared" si="3"/>
        <v>0</v>
      </c>
      <c r="AD53" s="12">
        <f t="shared" si="4"/>
        <v>0</v>
      </c>
      <c r="AE53" s="13">
        <f t="shared" si="5"/>
        <v>0</v>
      </c>
    </row>
    <row r="54" spans="2:36" x14ac:dyDescent="0.25">
      <c r="B54" s="4"/>
      <c r="E54" s="3"/>
      <c r="F54" s="3"/>
      <c r="G54" s="24"/>
      <c r="H54" s="24"/>
      <c r="K54" s="4"/>
      <c r="L54" s="4"/>
      <c r="M54" s="4"/>
      <c r="N54" s="4"/>
      <c r="O54" s="4"/>
      <c r="P54" s="27"/>
      <c r="Q54" s="25"/>
      <c r="R54" s="25"/>
      <c r="S54" s="12">
        <f t="shared" si="0"/>
        <v>0</v>
      </c>
      <c r="T54" s="5">
        <v>0</v>
      </c>
      <c r="U54" s="12">
        <f t="shared" si="6"/>
        <v>0</v>
      </c>
      <c r="V54" s="25" t="s">
        <v>10</v>
      </c>
      <c r="W54" s="11">
        <f>IFERROR(VLOOKUP(V54,Curr!$B$2:$C$13,2,FALSE),0)</f>
        <v>11</v>
      </c>
      <c r="X54" s="12">
        <f t="shared" si="1"/>
        <v>0</v>
      </c>
      <c r="Y54" s="26">
        <f t="shared" si="8"/>
        <v>0</v>
      </c>
      <c r="Z54" s="12">
        <f t="shared" si="2"/>
        <v>0</v>
      </c>
      <c r="AA54" s="4" t="s">
        <v>10</v>
      </c>
      <c r="AB54" s="11">
        <f>IFERROR(VLOOKUP(AA54,Curr!$B$2:$C$13,2,FALSE),0)</f>
        <v>11</v>
      </c>
      <c r="AC54" s="12">
        <f t="shared" si="3"/>
        <v>0</v>
      </c>
      <c r="AD54" s="12">
        <f t="shared" si="4"/>
        <v>0</v>
      </c>
      <c r="AE54" s="13">
        <f t="shared" si="5"/>
        <v>0</v>
      </c>
    </row>
    <row r="55" spans="2:36" x14ac:dyDescent="0.25">
      <c r="B55" s="4"/>
      <c r="E55" s="3"/>
      <c r="F55" s="3"/>
      <c r="G55" s="24"/>
      <c r="H55" s="24"/>
      <c r="K55" s="4"/>
      <c r="L55" s="4"/>
      <c r="M55" s="4"/>
      <c r="N55" s="4"/>
      <c r="O55" s="4"/>
      <c r="P55" s="27"/>
      <c r="Q55" s="25"/>
      <c r="R55" s="25"/>
      <c r="S55" s="12">
        <f t="shared" si="0"/>
        <v>0</v>
      </c>
      <c r="T55" s="5">
        <v>0</v>
      </c>
      <c r="U55" s="12">
        <f t="shared" si="6"/>
        <v>0</v>
      </c>
      <c r="V55" s="25" t="s">
        <v>10</v>
      </c>
      <c r="W55" s="11">
        <f>IFERROR(VLOOKUP(V55,Curr!$B$2:$C$13,2,FALSE),0)</f>
        <v>11</v>
      </c>
      <c r="X55" s="12">
        <f t="shared" si="1"/>
        <v>0</v>
      </c>
      <c r="Y55" s="26">
        <f t="shared" si="8"/>
        <v>0</v>
      </c>
      <c r="Z55" s="12">
        <f t="shared" si="2"/>
        <v>0</v>
      </c>
      <c r="AA55" s="4" t="s">
        <v>10</v>
      </c>
      <c r="AB55" s="11">
        <f>IFERROR(VLOOKUP(AA55,Curr!$B$2:$C$13,2,FALSE),0)</f>
        <v>11</v>
      </c>
      <c r="AC55" s="12">
        <f t="shared" si="3"/>
        <v>0</v>
      </c>
      <c r="AD55" s="12">
        <f t="shared" si="4"/>
        <v>0</v>
      </c>
      <c r="AE55" s="13">
        <f t="shared" si="5"/>
        <v>0</v>
      </c>
    </row>
    <row r="56" spans="2:36" x14ac:dyDescent="0.25">
      <c r="B56" s="4"/>
      <c r="E56" s="3"/>
      <c r="F56" s="3"/>
      <c r="G56" s="24"/>
      <c r="H56" s="24"/>
      <c r="K56" s="4"/>
      <c r="L56" s="4"/>
      <c r="M56" s="4"/>
      <c r="N56" s="4"/>
      <c r="O56" s="4"/>
      <c r="P56" s="27"/>
      <c r="Q56" s="25"/>
      <c r="R56" s="25"/>
      <c r="S56" s="12">
        <f t="shared" si="0"/>
        <v>0</v>
      </c>
      <c r="T56" s="5">
        <v>0</v>
      </c>
      <c r="U56" s="12">
        <f t="shared" si="6"/>
        <v>0</v>
      </c>
      <c r="V56" s="25" t="s">
        <v>10</v>
      </c>
      <c r="W56" s="11">
        <f>IFERROR(VLOOKUP(V56,Curr!$B$2:$C$13,2,FALSE),0)</f>
        <v>11</v>
      </c>
      <c r="X56" s="12">
        <f t="shared" si="1"/>
        <v>0</v>
      </c>
      <c r="Y56" s="26">
        <f t="shared" si="8"/>
        <v>0</v>
      </c>
      <c r="Z56" s="12">
        <f t="shared" si="2"/>
        <v>0</v>
      </c>
      <c r="AA56" s="4" t="s">
        <v>10</v>
      </c>
      <c r="AB56" s="11">
        <f>IFERROR(VLOOKUP(AA56,Curr!$B$2:$C$13,2,FALSE),0)</f>
        <v>11</v>
      </c>
      <c r="AC56" s="12">
        <f t="shared" si="3"/>
        <v>0</v>
      </c>
      <c r="AD56" s="12">
        <f t="shared" si="4"/>
        <v>0</v>
      </c>
      <c r="AE56" s="13">
        <f t="shared" si="5"/>
        <v>0</v>
      </c>
    </row>
    <row r="57" spans="2:36" x14ac:dyDescent="0.25">
      <c r="B57" s="4"/>
      <c r="E57" s="3"/>
      <c r="F57" s="3"/>
      <c r="G57" s="24"/>
      <c r="H57" s="24"/>
      <c r="K57" s="4"/>
      <c r="L57" s="4"/>
      <c r="M57" s="4"/>
      <c r="N57" s="4"/>
      <c r="O57" s="4"/>
      <c r="P57" s="27"/>
      <c r="Q57" s="25"/>
      <c r="R57" s="25"/>
      <c r="S57" s="12">
        <f t="shared" si="0"/>
        <v>0</v>
      </c>
      <c r="T57" s="5">
        <v>0</v>
      </c>
      <c r="U57" s="12">
        <f t="shared" si="6"/>
        <v>0</v>
      </c>
      <c r="V57" s="25" t="s">
        <v>10</v>
      </c>
      <c r="W57" s="11">
        <f>IFERROR(VLOOKUP(V57,Curr!$B$2:$C$13,2,FALSE),0)</f>
        <v>11</v>
      </c>
      <c r="X57" s="12">
        <f t="shared" si="1"/>
        <v>0</v>
      </c>
      <c r="Y57" s="26">
        <f t="shared" si="8"/>
        <v>0</v>
      </c>
      <c r="Z57" s="12">
        <f t="shared" si="2"/>
        <v>0</v>
      </c>
      <c r="AA57" s="4" t="s">
        <v>10</v>
      </c>
      <c r="AB57" s="11">
        <f>IFERROR(VLOOKUP(AA57,Curr!$B$2:$C$13,2,FALSE),0)</f>
        <v>11</v>
      </c>
      <c r="AC57" s="12">
        <f t="shared" si="3"/>
        <v>0</v>
      </c>
      <c r="AD57" s="12">
        <f t="shared" si="4"/>
        <v>0</v>
      </c>
      <c r="AE57" s="13">
        <f t="shared" si="5"/>
        <v>0</v>
      </c>
    </row>
    <row r="58" spans="2:36" x14ac:dyDescent="0.25">
      <c r="B58" s="4"/>
      <c r="E58" s="3"/>
      <c r="F58" s="3"/>
      <c r="G58" s="24"/>
      <c r="H58" s="24"/>
      <c r="K58" s="4"/>
      <c r="L58" s="4"/>
      <c r="M58" s="4"/>
      <c r="N58" s="4"/>
      <c r="O58" s="4"/>
      <c r="P58" s="27"/>
      <c r="Q58" s="25"/>
      <c r="R58" s="25"/>
      <c r="S58" s="12">
        <f t="shared" si="0"/>
        <v>0</v>
      </c>
      <c r="T58" s="5">
        <v>0</v>
      </c>
      <c r="U58" s="12">
        <f t="shared" si="6"/>
        <v>0</v>
      </c>
      <c r="V58" s="25" t="s">
        <v>10</v>
      </c>
      <c r="W58" s="11">
        <f>IFERROR(VLOOKUP(V58,Curr!$B$2:$C$13,2,FALSE),0)</f>
        <v>11</v>
      </c>
      <c r="X58" s="12">
        <f t="shared" si="1"/>
        <v>0</v>
      </c>
      <c r="Y58" s="26">
        <f t="shared" si="8"/>
        <v>0</v>
      </c>
      <c r="Z58" s="12">
        <f t="shared" si="2"/>
        <v>0</v>
      </c>
      <c r="AA58" s="4" t="s">
        <v>10</v>
      </c>
      <c r="AB58" s="11">
        <f>IFERROR(VLOOKUP(AA58,Curr!$B$2:$C$13,2,FALSE),0)</f>
        <v>11</v>
      </c>
      <c r="AC58" s="12">
        <f t="shared" si="3"/>
        <v>0</v>
      </c>
      <c r="AD58" s="12">
        <f t="shared" si="4"/>
        <v>0</v>
      </c>
      <c r="AE58" s="13">
        <f t="shared" si="5"/>
        <v>0</v>
      </c>
    </row>
    <row r="59" spans="2:36" x14ac:dyDescent="0.25">
      <c r="B59" s="4"/>
      <c r="E59" s="3"/>
      <c r="F59" s="3"/>
      <c r="G59" s="24"/>
      <c r="H59" s="24"/>
      <c r="K59" s="4"/>
      <c r="L59" s="4"/>
      <c r="M59" s="4"/>
      <c r="N59" s="4"/>
      <c r="O59" s="4"/>
      <c r="P59" s="27"/>
      <c r="Q59" s="25"/>
      <c r="R59" s="25"/>
      <c r="S59" s="12">
        <f t="shared" si="0"/>
        <v>0</v>
      </c>
      <c r="T59" s="5">
        <v>0</v>
      </c>
      <c r="U59" s="12">
        <f t="shared" si="6"/>
        <v>0</v>
      </c>
      <c r="V59" s="25" t="s">
        <v>10</v>
      </c>
      <c r="W59" s="11">
        <f>IFERROR(VLOOKUP(V59,Curr!$B$2:$C$13,2,FALSE),0)</f>
        <v>11</v>
      </c>
      <c r="X59" s="12">
        <f t="shared" si="1"/>
        <v>0</v>
      </c>
      <c r="Y59" s="26">
        <f t="shared" si="8"/>
        <v>0</v>
      </c>
      <c r="Z59" s="12">
        <f t="shared" si="2"/>
        <v>0</v>
      </c>
      <c r="AA59" s="4" t="s">
        <v>10</v>
      </c>
      <c r="AB59" s="11">
        <f>IFERROR(VLOOKUP(AA59,Curr!$B$2:$C$13,2,FALSE),0)</f>
        <v>11</v>
      </c>
      <c r="AC59" s="12">
        <f t="shared" si="3"/>
        <v>0</v>
      </c>
      <c r="AD59" s="12">
        <f t="shared" si="4"/>
        <v>0</v>
      </c>
      <c r="AE59" s="13">
        <f t="shared" si="5"/>
        <v>0</v>
      </c>
    </row>
    <row r="60" spans="2:36" x14ac:dyDescent="0.25">
      <c r="B60" s="4"/>
      <c r="E60" s="3"/>
      <c r="F60" s="3"/>
      <c r="G60" s="24"/>
      <c r="H60" s="24"/>
      <c r="K60" s="4"/>
      <c r="L60" s="4"/>
      <c r="M60" s="4"/>
      <c r="N60" s="4"/>
      <c r="O60" s="4"/>
      <c r="P60" s="27"/>
      <c r="Q60" s="25"/>
      <c r="R60" s="25"/>
      <c r="S60" s="12">
        <f t="shared" si="0"/>
        <v>0</v>
      </c>
      <c r="T60" s="5">
        <v>0</v>
      </c>
      <c r="U60" s="12">
        <f t="shared" si="6"/>
        <v>0</v>
      </c>
      <c r="V60" s="25" t="s">
        <v>10</v>
      </c>
      <c r="W60" s="11">
        <f>IFERROR(VLOOKUP(V60,Curr!$B$2:$C$13,2,FALSE),0)</f>
        <v>11</v>
      </c>
      <c r="X60" s="12">
        <f t="shared" si="1"/>
        <v>0</v>
      </c>
      <c r="Y60" s="26">
        <f t="shared" si="8"/>
        <v>0</v>
      </c>
      <c r="Z60" s="12">
        <f t="shared" si="2"/>
        <v>0</v>
      </c>
      <c r="AA60" s="4" t="s">
        <v>10</v>
      </c>
      <c r="AB60" s="11">
        <f>IFERROR(VLOOKUP(AA60,Curr!$B$2:$C$13,2,FALSE),0)</f>
        <v>11</v>
      </c>
      <c r="AC60" s="12">
        <f t="shared" si="3"/>
        <v>0</v>
      </c>
      <c r="AD60" s="12">
        <f t="shared" si="4"/>
        <v>0</v>
      </c>
      <c r="AE60" s="13">
        <f t="shared" si="5"/>
        <v>0</v>
      </c>
    </row>
    <row r="61" spans="2:36" x14ac:dyDescent="0.25">
      <c r="B61" s="4"/>
      <c r="E61" s="3"/>
      <c r="F61" s="3"/>
      <c r="G61" s="3"/>
      <c r="H61" s="3"/>
      <c r="L61" s="4"/>
      <c r="M61" s="4"/>
      <c r="N61" s="4"/>
      <c r="O61" s="4"/>
      <c r="P61" s="22"/>
      <c r="Q61" s="4"/>
      <c r="R61" s="4"/>
      <c r="S61" s="4"/>
      <c r="T61" s="4"/>
      <c r="U61" s="4"/>
      <c r="V61" s="4"/>
      <c r="W61" s="4"/>
      <c r="X61" s="4"/>
      <c r="Y61" s="4"/>
      <c r="Z61" s="4"/>
      <c r="AA61" s="4"/>
      <c r="AB61" s="4"/>
      <c r="AC61" s="4"/>
      <c r="AD61" s="4"/>
      <c r="AE61" s="4"/>
      <c r="AF61" s="4"/>
    </row>
    <row r="62" spans="2:36" x14ac:dyDescent="0.25">
      <c r="B62" s="14" t="s">
        <v>18</v>
      </c>
      <c r="C62" s="14"/>
      <c r="D62" s="28" t="s">
        <v>42</v>
      </c>
      <c r="E62" s="30" t="s">
        <v>42</v>
      </c>
      <c r="F62" s="30" t="s">
        <v>42</v>
      </c>
      <c r="G62" s="30" t="s">
        <v>42</v>
      </c>
      <c r="H62" s="30" t="s">
        <v>42</v>
      </c>
      <c r="I62" s="28" t="s">
        <v>42</v>
      </c>
      <c r="J62" s="28" t="s">
        <v>42</v>
      </c>
      <c r="K62" s="28" t="s">
        <v>42</v>
      </c>
      <c r="L62" s="28" t="s">
        <v>42</v>
      </c>
      <c r="M62" s="28" t="s">
        <v>42</v>
      </c>
      <c r="N62" s="28" t="s">
        <v>42</v>
      </c>
      <c r="O62" s="28" t="s">
        <v>42</v>
      </c>
      <c r="P62" s="28" t="s">
        <v>42</v>
      </c>
      <c r="Q62" s="31" t="s">
        <v>42</v>
      </c>
      <c r="R62" s="28" t="s">
        <v>42</v>
      </c>
      <c r="S62" s="32" t="s">
        <v>42</v>
      </c>
      <c r="T62" s="28" t="s">
        <v>42</v>
      </c>
      <c r="U62" s="32" t="s">
        <v>42</v>
      </c>
      <c r="V62" s="28" t="s">
        <v>42</v>
      </c>
      <c r="W62" s="28" t="s">
        <v>42</v>
      </c>
      <c r="X62" s="32" t="s">
        <v>42</v>
      </c>
      <c r="Y62" s="32" t="s">
        <v>42</v>
      </c>
      <c r="Z62" s="15">
        <f>SUM(Z7:Z60)</f>
        <v>13424.317478187448</v>
      </c>
      <c r="AA62" s="14"/>
      <c r="AB62" s="14"/>
      <c r="AC62" s="15">
        <f>SUM(AC7:AC60)</f>
        <v>147667.4922600619</v>
      </c>
      <c r="AD62" s="15">
        <f>SUM(AD7:AD60)</f>
        <v>31249.792260061924</v>
      </c>
      <c r="AE62" s="21">
        <f t="shared" ref="AE62" si="9">IFERROR(AD62/AC62,0)</f>
        <v>0.21162269218350999</v>
      </c>
      <c r="AF62" s="15">
        <f>SUM(AF8:AF61)</f>
        <v>0</v>
      </c>
      <c r="AG62" s="15">
        <f>SUM(AG8:AG61)</f>
        <v>0</v>
      </c>
      <c r="AH62" s="15">
        <f>SUM(AH8:AH61)</f>
        <v>0</v>
      </c>
      <c r="AI62" s="15">
        <f>SUM(AI8:AI61)</f>
        <v>0</v>
      </c>
      <c r="AJ62" s="15">
        <f>SUM(AJ8:AJ61)</f>
        <v>0</v>
      </c>
    </row>
    <row r="63" spans="2:36" x14ac:dyDescent="0.25">
      <c r="B63" s="4"/>
      <c r="E63" s="3"/>
      <c r="F63" s="3"/>
      <c r="G63" s="3"/>
      <c r="H63" s="3"/>
      <c r="L63" s="4"/>
      <c r="M63" s="4"/>
      <c r="N63" s="4"/>
      <c r="O63" s="4"/>
      <c r="Q63" s="4"/>
      <c r="R63" s="4"/>
      <c r="S63" s="4"/>
      <c r="T63" s="4"/>
      <c r="U63" s="4"/>
      <c r="V63" s="4"/>
      <c r="W63" s="4"/>
      <c r="X63" s="4"/>
      <c r="Y63" s="9"/>
      <c r="Z63" s="9"/>
      <c r="AA63" s="9"/>
      <c r="AB63" s="9"/>
      <c r="AC63" s="9"/>
      <c r="AD63" s="9"/>
      <c r="AE63" s="9"/>
    </row>
    <row r="64" spans="2:36" x14ac:dyDescent="0.25">
      <c r="B64" s="4"/>
      <c r="E64" s="3"/>
      <c r="F64" s="3"/>
      <c r="G64" s="3"/>
      <c r="H64" s="3"/>
      <c r="L64" s="4"/>
      <c r="M64" s="4"/>
      <c r="N64" s="4"/>
      <c r="O64" s="4"/>
      <c r="Q64" s="9"/>
      <c r="R64" s="9"/>
      <c r="S64" s="9"/>
      <c r="T64" s="9"/>
      <c r="U64" s="9"/>
      <c r="V64" s="9"/>
      <c r="W64" s="9"/>
      <c r="X64" s="23"/>
      <c r="Y64" s="34" t="s">
        <v>45</v>
      </c>
      <c r="Z64" s="34">
        <v>13400</v>
      </c>
      <c r="AA64" s="9"/>
      <c r="AB64" s="9"/>
      <c r="AC64" s="9"/>
      <c r="AD64" s="9"/>
      <c r="AE64" s="9"/>
    </row>
    <row r="65" spans="2:32" x14ac:dyDescent="0.25">
      <c r="B65" s="4"/>
      <c r="E65" s="3"/>
      <c r="F65" s="3"/>
      <c r="G65" s="3"/>
      <c r="H65" s="3"/>
      <c r="L65" s="4"/>
      <c r="M65" s="4"/>
      <c r="N65" s="4"/>
      <c r="O65" s="4"/>
      <c r="Q65" s="9"/>
      <c r="R65" s="9"/>
      <c r="S65" s="9"/>
      <c r="T65" s="9"/>
      <c r="U65" s="9"/>
      <c r="V65" s="9"/>
      <c r="W65" s="9"/>
      <c r="X65" s="9"/>
      <c r="Y65" s="34" t="s">
        <v>46</v>
      </c>
      <c r="Z65" s="34">
        <f>Z64/5</f>
        <v>2680</v>
      </c>
      <c r="AA65" s="9"/>
      <c r="AB65" s="9"/>
      <c r="AC65" s="9"/>
      <c r="AD65" s="9"/>
      <c r="AE65" s="9"/>
      <c r="AF65" s="18"/>
    </row>
    <row r="66" spans="2:32" x14ac:dyDescent="0.25">
      <c r="B66" s="4"/>
      <c r="E66" s="3"/>
      <c r="F66" s="3"/>
      <c r="G66" s="3"/>
      <c r="H66" s="3"/>
      <c r="I66" s="19"/>
      <c r="L66" s="4"/>
      <c r="M66" s="4"/>
      <c r="N66" s="4"/>
      <c r="O66" s="20"/>
      <c r="Q66" s="20"/>
      <c r="R66" s="20"/>
      <c r="S66" s="20"/>
      <c r="T66" s="20"/>
      <c r="U66" s="20"/>
      <c r="V66" s="20"/>
      <c r="W66" s="20"/>
      <c r="X66" s="20"/>
      <c r="Y66" s="9"/>
      <c r="Z66" s="9"/>
      <c r="AA66" s="9"/>
      <c r="AB66" s="9"/>
      <c r="AC66" s="9"/>
      <c r="AD66" s="9"/>
      <c r="AE66" s="9"/>
      <c r="AF66" s="18"/>
    </row>
    <row r="67" spans="2:32" x14ac:dyDescent="0.25">
      <c r="B67" s="4"/>
      <c r="E67" s="3"/>
      <c r="F67" s="3"/>
      <c r="G67" s="3"/>
      <c r="H67" s="3"/>
      <c r="L67" s="4"/>
      <c r="M67" s="4"/>
      <c r="N67" s="4"/>
      <c r="O67" s="20"/>
      <c r="Q67" s="20"/>
      <c r="R67" s="20"/>
      <c r="S67" s="20"/>
      <c r="T67" s="20"/>
      <c r="U67" s="20"/>
      <c r="V67" s="20"/>
      <c r="W67" s="20"/>
      <c r="X67" s="20"/>
      <c r="Y67" s="9" t="s">
        <v>47</v>
      </c>
      <c r="Z67" s="9">
        <f>Z64-Z68</f>
        <v>13400</v>
      </c>
      <c r="AA67" s="9"/>
      <c r="AB67" s="9"/>
      <c r="AC67" s="9"/>
      <c r="AD67" s="9"/>
      <c r="AE67" s="9"/>
      <c r="AF67" s="18"/>
    </row>
    <row r="68" spans="2:32" x14ac:dyDescent="0.25">
      <c r="B68" s="4"/>
      <c r="E68" s="3"/>
      <c r="F68" s="3"/>
      <c r="G68" s="3"/>
      <c r="H68" s="3"/>
      <c r="L68" s="4"/>
      <c r="M68" s="4"/>
      <c r="N68" s="4"/>
      <c r="O68" s="4"/>
      <c r="Q68" s="9"/>
      <c r="R68" s="9"/>
      <c r="S68" s="9"/>
      <c r="T68" s="9"/>
      <c r="U68" s="9"/>
      <c r="V68" s="9"/>
      <c r="W68" s="9"/>
      <c r="X68" s="9"/>
      <c r="Y68" s="9" t="s">
        <v>48</v>
      </c>
      <c r="Z68" s="9"/>
      <c r="AA68" s="9"/>
      <c r="AB68" s="9"/>
      <c r="AC68" s="9"/>
      <c r="AD68" s="9"/>
      <c r="AE68" s="9"/>
      <c r="AF68" s="18"/>
    </row>
    <row r="69" spans="2:32" x14ac:dyDescent="0.25">
      <c r="F69" s="1"/>
      <c r="G69" s="1"/>
      <c r="H69" s="1"/>
      <c r="J69" s="1" t="s">
        <v>32</v>
      </c>
      <c r="Q69" s="9"/>
      <c r="R69" s="4"/>
      <c r="S69" s="9"/>
      <c r="T69" s="5"/>
      <c r="U69" s="9"/>
      <c r="V69" s="4"/>
      <c r="W69" s="4"/>
      <c r="X69" s="9"/>
      <c r="Y69" s="9"/>
      <c r="Z69" s="9"/>
      <c r="AA69" s="9"/>
      <c r="AB69" s="9"/>
      <c r="AC69" s="9"/>
      <c r="AD69" s="9"/>
      <c r="AE69" s="9"/>
    </row>
    <row r="70" spans="2:32" x14ac:dyDescent="0.25">
      <c r="R70" s="4"/>
      <c r="S70" s="17"/>
      <c r="T70" s="17"/>
      <c r="U70" s="9"/>
      <c r="V70" s="4"/>
      <c r="W70" s="4"/>
      <c r="X70" s="9"/>
      <c r="Y70" s="9" t="s">
        <v>49</v>
      </c>
      <c r="Z70" s="9">
        <f>Z64*0.3</f>
        <v>4020</v>
      </c>
      <c r="AA70" s="9"/>
      <c r="AB70" s="9"/>
      <c r="AC70" s="9"/>
      <c r="AD70" s="9"/>
      <c r="AE70" s="9"/>
    </row>
    <row r="71" spans="2:32" x14ac:dyDescent="0.25">
      <c r="Q71" s="9"/>
      <c r="R71" s="4"/>
      <c r="S71" s="16"/>
      <c r="T71" s="16"/>
      <c r="U71" s="9"/>
      <c r="V71" s="4"/>
      <c r="W71" s="4"/>
      <c r="X71" s="9"/>
      <c r="Y71" s="9" t="s">
        <v>51</v>
      </c>
      <c r="Z71" s="9">
        <f>Z68-Z70</f>
        <v>-4020</v>
      </c>
      <c r="AA71" s="9"/>
      <c r="AB71" s="9"/>
      <c r="AC71" s="9"/>
      <c r="AD71" s="9"/>
      <c r="AE71" s="9"/>
    </row>
    <row r="72" spans="2:32" x14ac:dyDescent="0.25">
      <c r="R72" s="4"/>
      <c r="S72" s="16"/>
      <c r="T72" s="16"/>
      <c r="Y72" s="9" t="s">
        <v>50</v>
      </c>
      <c r="Z72" s="9">
        <f>Z64-Z70-Z71</f>
        <v>13400</v>
      </c>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20" x14ac:dyDescent="0.25">
      <c r="T81" s="5"/>
    </row>
    <row r="82" spans="20:20" x14ac:dyDescent="0.25">
      <c r="T82" s="5"/>
    </row>
    <row r="83" spans="20:20" x14ac:dyDescent="0.25">
      <c r="T83" s="5"/>
    </row>
    <row r="84" spans="20:20" x14ac:dyDescent="0.25">
      <c r="T84" s="5"/>
    </row>
    <row r="85" spans="20:20" x14ac:dyDescent="0.25">
      <c r="T85" s="5"/>
    </row>
  </sheetData>
  <autoFilter ref="B6:AE62" xr:uid="{65FA6D9B-E0AF-46CD-BA0D-86BB75FE6AB0}"/>
  <hyperlinks>
    <hyperlink ref="P16" r:id="rId1" xr:uid="{C712D36D-B227-464A-B97F-CD1A26D4FE6A}"/>
    <hyperlink ref="P22" r:id="rId2" xr:uid="{C443DA2A-B418-4478-ADD1-511936CFF3E6}"/>
    <hyperlink ref="P12" r:id="rId3" xr:uid="{87ED045C-7A6B-48CD-ADCE-A648BE4BD307}"/>
    <hyperlink ref="P28" r:id="rId4" xr:uid="{961E05B5-61BB-406A-BD3F-93EBCDED24BB}"/>
    <hyperlink ref="P27" r:id="rId5" xr:uid="{37B2FA23-4E21-4704-A0FF-88BCD3D604EB}"/>
    <hyperlink ref="P40" r:id="rId6" xr:uid="{9E5626E3-BC0D-4EA1-9777-2DF243D29A5B}"/>
    <hyperlink ref="P9" r:id="rId7" xr:uid="{52A21E44-0657-42FE-BDC9-975B0C43A93B}"/>
    <hyperlink ref="P18" r:id="rId8" xr:uid="{325728AD-E56B-46FD-9FF0-9B66BC0E9231}"/>
    <hyperlink ref="P24" r:id="rId9" xr:uid="{B6247740-C461-4C6F-B0B7-1DA5ABB5F451}"/>
    <hyperlink ref="P31" r:id="rId10" xr:uid="{F1618EB9-C94E-4B8E-8BF2-EDB3CB1CC172}"/>
    <hyperlink ref="P35" r:id="rId11" location="/select-flight" xr:uid="{6C83949A-7540-4019-94D0-B0739ED035DD}"/>
    <hyperlink ref="P37" r:id="rId12" xr:uid="{F88E2DFC-E227-4159-A1D9-DFFA8FA55C5D}"/>
    <hyperlink ref="P42" r:id="rId13" xr:uid="{F885C102-71DC-439A-83CA-CF02FF50CC6B}"/>
    <hyperlink ref="P46" r:id="rId14" xr:uid="{F542D4D2-E303-485C-A232-872ED392821B}"/>
    <hyperlink ref="P44" r:id="rId15" xr:uid="{4F138616-0B74-49A7-A331-0A0EE667D8E2}"/>
  </hyperlinks>
  <pageMargins left="0.7" right="0.7" top="0.75" bottom="0.75" header="0.3" footer="0.3"/>
  <pageSetup paperSize="9" orientation="portrait"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customXml/itemProps2.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77E57D-ABDD-4DAE-B3A5-315ED7FE90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vt:lpstr>
      <vt:lpstr>Kalk</vt:lpstr>
      <vt:lpstr>Self Transfer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Christer Andre Olsen</dc:creator>
  <cp:lastModifiedBy>Dennis Kålen</cp:lastModifiedBy>
  <dcterms:created xsi:type="dcterms:W3CDTF">2023-07-31T16:02:03Z</dcterms:created>
  <dcterms:modified xsi:type="dcterms:W3CDTF">2026-07-07T11:56:43Z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