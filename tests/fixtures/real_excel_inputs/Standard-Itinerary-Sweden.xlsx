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Kålen\Desktop\Standard Itineraries\Sweden\"/>
    </mc:Choice>
  </mc:AlternateContent>
  <xr:revisionPtr revIDLastSave="0" documentId="13_ncr:1_{472B658E-66B4-4AA4-977F-1C02CA9E3EA6}" xr6:coauthVersionLast="47" xr6:coauthVersionMax="47" xr10:uidLastSave="{00000000-0000-0000-0000-000000000000}"/>
  <bookViews>
    <workbookView xWindow="-120" yWindow="-120" windowWidth="29040" windowHeight="15720" activeTab="3" xr2:uid="{F0120B8F-C750-4EFC-83CE-D7DAB56C8915}"/>
  </bookViews>
  <sheets>
    <sheet name="Curr" sheetId="5" r:id="rId1"/>
    <sheet name="Mal" sheetId="6" r:id="rId2"/>
    <sheet name="401" sheetId="8" r:id="rId3"/>
    <sheet name="402" sheetId="9" r:id="rId4"/>
    <sheet name="403" sheetId="7" r:id="rId5"/>
  </sheets>
  <externalReferences>
    <externalReference r:id="rId6"/>
  </externalReferences>
  <definedNames>
    <definedName name="_xlnm._FilterDatabase" localSheetId="2" hidden="1">'401'!$B$6:$AE$42</definedName>
    <definedName name="_xlnm._FilterDatabase" localSheetId="3" hidden="1">'402'!$B$6:$AE$53</definedName>
    <definedName name="_xlnm._FilterDatabase" localSheetId="4" hidden="1">'403'!$B$6:$AE$61</definedName>
    <definedName name="_xlnm._FilterDatabase" localSheetId="1" hidden="1">Mal!$B$6:$AE$101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9" i="9" l="1"/>
  <c r="Z62" i="9" s="1"/>
  <c r="Z51" i="8"/>
  <c r="Z50" i="8"/>
  <c r="Z49" i="8"/>
  <c r="Z48" i="8"/>
  <c r="Y46" i="7"/>
  <c r="W46" i="7"/>
  <c r="S46" i="7"/>
  <c r="U46" i="7" s="1"/>
  <c r="Y45" i="7"/>
  <c r="W45" i="7"/>
  <c r="S45" i="7"/>
  <c r="U45" i="7" s="1"/>
  <c r="Y40" i="7"/>
  <c r="W40" i="7"/>
  <c r="S40" i="7"/>
  <c r="U40" i="7" s="1"/>
  <c r="Y39" i="7"/>
  <c r="W39" i="7"/>
  <c r="S39" i="7"/>
  <c r="U39" i="7" s="1"/>
  <c r="Y34" i="7"/>
  <c r="W34" i="7"/>
  <c r="S34" i="7"/>
  <c r="U34" i="7" s="1"/>
  <c r="X34" i="7" s="1"/>
  <c r="Y33" i="7"/>
  <c r="W33" i="7"/>
  <c r="S33" i="7"/>
  <c r="U33" i="7" s="1"/>
  <c r="X33" i="7" s="1"/>
  <c r="Y28" i="7"/>
  <c r="W28" i="7"/>
  <c r="S28" i="7"/>
  <c r="U28" i="7" s="1"/>
  <c r="X28" i="7" s="1"/>
  <c r="Y27" i="7"/>
  <c r="W27" i="7"/>
  <c r="S27" i="7"/>
  <c r="U27" i="7" s="1"/>
  <c r="Y21" i="7"/>
  <c r="W21" i="7"/>
  <c r="S21" i="7"/>
  <c r="U21" i="7" s="1"/>
  <c r="Y15" i="7"/>
  <c r="W15" i="7"/>
  <c r="S15" i="7"/>
  <c r="U15" i="7" s="1"/>
  <c r="S7" i="7"/>
  <c r="U7" i="7" s="1"/>
  <c r="X7" i="7" s="1"/>
  <c r="W7" i="7"/>
  <c r="Y7" i="7"/>
  <c r="S8" i="7"/>
  <c r="U8" i="7" s="1"/>
  <c r="X8" i="7" s="1"/>
  <c r="W8" i="7"/>
  <c r="Y8" i="7"/>
  <c r="S9" i="7"/>
  <c r="U9" i="7" s="1"/>
  <c r="W9" i="7"/>
  <c r="Y9" i="7"/>
  <c r="S10" i="7"/>
  <c r="U10" i="7" s="1"/>
  <c r="X10" i="7" s="1"/>
  <c r="W10" i="7"/>
  <c r="Y10" i="7"/>
  <c r="S11" i="7"/>
  <c r="U11" i="7" s="1"/>
  <c r="X11" i="7" s="1"/>
  <c r="W11" i="7"/>
  <c r="Y11" i="7"/>
  <c r="S12" i="7"/>
  <c r="U12" i="7"/>
  <c r="X12" i="7" s="1"/>
  <c r="W12" i="7"/>
  <c r="Y12" i="7"/>
  <c r="S13" i="7"/>
  <c r="U13" i="7" s="1"/>
  <c r="X13" i="7" s="1"/>
  <c r="W13" i="7"/>
  <c r="Y13" i="7"/>
  <c r="S14" i="7"/>
  <c r="U14" i="7" s="1"/>
  <c r="W14" i="7"/>
  <c r="Y14" i="7"/>
  <c r="S16" i="7"/>
  <c r="U16" i="7" s="1"/>
  <c r="X16" i="7" s="1"/>
  <c r="W16" i="7"/>
  <c r="Y16" i="7"/>
  <c r="S17" i="7"/>
  <c r="U17" i="7" s="1"/>
  <c r="X17" i="7" s="1"/>
  <c r="W17" i="7"/>
  <c r="Y17" i="7"/>
  <c r="S18" i="7"/>
  <c r="U18" i="7" s="1"/>
  <c r="W18" i="7"/>
  <c r="Y18" i="7"/>
  <c r="S19" i="7"/>
  <c r="U19" i="7" s="1"/>
  <c r="W19" i="7"/>
  <c r="Y19" i="7"/>
  <c r="S20" i="7"/>
  <c r="U20" i="7" s="1"/>
  <c r="W20" i="7"/>
  <c r="Y20" i="7"/>
  <c r="S22" i="7"/>
  <c r="U22" i="7"/>
  <c r="W22" i="7"/>
  <c r="X22" i="7"/>
  <c r="Y22" i="7"/>
  <c r="S23" i="7"/>
  <c r="U23" i="7"/>
  <c r="W23" i="7"/>
  <c r="Y23" i="7"/>
  <c r="S24" i="7"/>
  <c r="U24" i="7" s="1"/>
  <c r="W24" i="7"/>
  <c r="Y24" i="7"/>
  <c r="S25" i="7"/>
  <c r="U25" i="7" s="1"/>
  <c r="W25" i="7"/>
  <c r="Y25" i="7"/>
  <c r="S26" i="7"/>
  <c r="U26" i="7" s="1"/>
  <c r="W26" i="7"/>
  <c r="Y26" i="7"/>
  <c r="S29" i="7"/>
  <c r="U29" i="7" s="1"/>
  <c r="W29" i="7"/>
  <c r="Y29" i="7"/>
  <c r="S30" i="7"/>
  <c r="U30" i="7" s="1"/>
  <c r="W30" i="7"/>
  <c r="Y30" i="7"/>
  <c r="S31" i="7"/>
  <c r="U31" i="7" s="1"/>
  <c r="X31" i="7" s="1"/>
  <c r="W31" i="7"/>
  <c r="Y31" i="7"/>
  <c r="S32" i="7"/>
  <c r="U32" i="7" s="1"/>
  <c r="X32" i="7" s="1"/>
  <c r="W32" i="7"/>
  <c r="Y32" i="7"/>
  <c r="S35" i="7"/>
  <c r="U35" i="7" s="1"/>
  <c r="W35" i="7"/>
  <c r="Y35" i="7"/>
  <c r="S36" i="7"/>
  <c r="U36" i="7" s="1"/>
  <c r="W36" i="7"/>
  <c r="Y36" i="7"/>
  <c r="S37" i="7"/>
  <c r="U37" i="7" s="1"/>
  <c r="W37" i="7"/>
  <c r="Y37" i="7"/>
  <c r="S38" i="7"/>
  <c r="U38" i="7" s="1"/>
  <c r="W38" i="7"/>
  <c r="Y38" i="7"/>
  <c r="Y13" i="8"/>
  <c r="Y36" i="8"/>
  <c r="Y15" i="8"/>
  <c r="Y33" i="8"/>
  <c r="Y32" i="8"/>
  <c r="Y31" i="8"/>
  <c r="Y30" i="8"/>
  <c r="Y9" i="8"/>
  <c r="Y10" i="9"/>
  <c r="Y22" i="9"/>
  <c r="Y26" i="9"/>
  <c r="Y30" i="9"/>
  <c r="Y34" i="9"/>
  <c r="Y18" i="9"/>
  <c r="Y14" i="9"/>
  <c r="Y8" i="9"/>
  <c r="Y10" i="8"/>
  <c r="W10" i="8"/>
  <c r="S10" i="8"/>
  <c r="U10" i="8" s="1"/>
  <c r="W9" i="8"/>
  <c r="S9" i="8"/>
  <c r="U9" i="8" s="1"/>
  <c r="Y8" i="8"/>
  <c r="W8" i="8"/>
  <c r="S8" i="8"/>
  <c r="U8" i="8" s="1"/>
  <c r="Y7" i="8"/>
  <c r="W7" i="8"/>
  <c r="S7" i="8"/>
  <c r="U7" i="8" s="1"/>
  <c r="Z60" i="9" l="1"/>
  <c r="Z61" i="9"/>
  <c r="X38" i="7"/>
  <c r="X9" i="8"/>
  <c r="X23" i="7"/>
  <c r="X9" i="7"/>
  <c r="X30" i="7"/>
  <c r="X7" i="8"/>
  <c r="X18" i="7"/>
  <c r="X29" i="7"/>
  <c r="X19" i="7"/>
  <c r="X40" i="7"/>
  <c r="X8" i="8"/>
  <c r="X24" i="7"/>
  <c r="X36" i="7"/>
  <c r="X20" i="7"/>
  <c r="X14" i="7"/>
  <c r="X27" i="7"/>
  <c r="X15" i="7"/>
  <c r="X45" i="7"/>
  <c r="X37" i="7"/>
  <c r="X26" i="7"/>
  <c r="X39" i="7"/>
  <c r="X25" i="7"/>
  <c r="X21" i="7"/>
  <c r="X46" i="7"/>
  <c r="X35" i="7"/>
  <c r="X10" i="8"/>
  <c r="Z56" i="9" l="1"/>
  <c r="AJ53" i="9"/>
  <c r="AI53" i="9"/>
  <c r="AH53" i="9"/>
  <c r="AG53" i="9"/>
  <c r="AF53" i="9"/>
  <c r="AB51" i="9"/>
  <c r="Y51" i="9"/>
  <c r="W51" i="9"/>
  <c r="S51" i="9"/>
  <c r="U51" i="9" s="1"/>
  <c r="AB50" i="9"/>
  <c r="Y50" i="9"/>
  <c r="W50" i="9"/>
  <c r="S50" i="9"/>
  <c r="U50" i="9" s="1"/>
  <c r="AB49" i="9"/>
  <c r="Y49" i="9"/>
  <c r="W49" i="9"/>
  <c r="S49" i="9"/>
  <c r="U49" i="9" s="1"/>
  <c r="AB48" i="9"/>
  <c r="Y48" i="9"/>
  <c r="W48" i="9"/>
  <c r="S48" i="9"/>
  <c r="U48" i="9" s="1"/>
  <c r="AB47" i="9"/>
  <c r="Y47" i="9"/>
  <c r="W47" i="9"/>
  <c r="S47" i="9"/>
  <c r="U47" i="9" s="1"/>
  <c r="AB46" i="9"/>
  <c r="Y46" i="9"/>
  <c r="W46" i="9"/>
  <c r="S46" i="9"/>
  <c r="U46" i="9" s="1"/>
  <c r="AB45" i="9"/>
  <c r="Y45" i="9"/>
  <c r="W45" i="9"/>
  <c r="S45" i="9"/>
  <c r="U45" i="9" s="1"/>
  <c r="AB44" i="9"/>
  <c r="Y44" i="9"/>
  <c r="W44" i="9"/>
  <c r="S44" i="9"/>
  <c r="U44" i="9" s="1"/>
  <c r="AB43" i="9"/>
  <c r="Y43" i="9"/>
  <c r="W43" i="9"/>
  <c r="S43" i="9"/>
  <c r="U43" i="9" s="1"/>
  <c r="AB42" i="9"/>
  <c r="Y42" i="9"/>
  <c r="W42" i="9"/>
  <c r="S42" i="9"/>
  <c r="U42" i="9" s="1"/>
  <c r="AB41" i="9"/>
  <c r="Y41" i="9"/>
  <c r="W41" i="9"/>
  <c r="S41" i="9"/>
  <c r="U41" i="9" s="1"/>
  <c r="AB40" i="9"/>
  <c r="Y40" i="9"/>
  <c r="W40" i="9"/>
  <c r="S40" i="9"/>
  <c r="U40" i="9" s="1"/>
  <c r="AB39" i="9"/>
  <c r="Y39" i="9"/>
  <c r="W39" i="9"/>
  <c r="S39" i="9"/>
  <c r="U39" i="9" s="1"/>
  <c r="AB38" i="9"/>
  <c r="Y38" i="9"/>
  <c r="W38" i="9"/>
  <c r="S38" i="9"/>
  <c r="U38" i="9" s="1"/>
  <c r="AB37" i="9"/>
  <c r="Y37" i="9"/>
  <c r="W37" i="9"/>
  <c r="S37" i="9"/>
  <c r="U37" i="9" s="1"/>
  <c r="AB36" i="9"/>
  <c r="Y36" i="9"/>
  <c r="W36" i="9"/>
  <c r="S36" i="9"/>
  <c r="U36" i="9" s="1"/>
  <c r="AB35" i="9"/>
  <c r="Y35" i="9"/>
  <c r="W35" i="9"/>
  <c r="S35" i="9"/>
  <c r="U35" i="9" s="1"/>
  <c r="AB34" i="9"/>
  <c r="W34" i="9"/>
  <c r="S34" i="9"/>
  <c r="U34" i="9" s="1"/>
  <c r="AB33" i="9"/>
  <c r="Y33" i="9"/>
  <c r="W33" i="9"/>
  <c r="S33" i="9"/>
  <c r="U33" i="9" s="1"/>
  <c r="AB32" i="9"/>
  <c r="Z32" i="9"/>
  <c r="Y32" i="9"/>
  <c r="W32" i="9"/>
  <c r="S32" i="9"/>
  <c r="U32" i="9" s="1"/>
  <c r="AB31" i="9"/>
  <c r="Y31" i="9"/>
  <c r="AC31" i="9" s="1"/>
  <c r="W31" i="9"/>
  <c r="S31" i="9"/>
  <c r="U31" i="9" s="1"/>
  <c r="AB30" i="9"/>
  <c r="AC30" i="9"/>
  <c r="W30" i="9"/>
  <c r="S30" i="9"/>
  <c r="U30" i="9" s="1"/>
  <c r="X30" i="9" s="1"/>
  <c r="AB29" i="9"/>
  <c r="Y29" i="9"/>
  <c r="AC29" i="9" s="1"/>
  <c r="X29" i="9"/>
  <c r="W29" i="9"/>
  <c r="U29" i="9"/>
  <c r="S29" i="9"/>
  <c r="AB28" i="9"/>
  <c r="Y28" i="9"/>
  <c r="W28" i="9"/>
  <c r="S28" i="9"/>
  <c r="U28" i="9" s="1"/>
  <c r="AC27" i="9"/>
  <c r="AB27" i="9"/>
  <c r="Y27" i="9"/>
  <c r="Z27" i="9" s="1"/>
  <c r="W27" i="9"/>
  <c r="S27" i="9"/>
  <c r="U27" i="9" s="1"/>
  <c r="X27" i="9" s="1"/>
  <c r="AD27" i="9" s="1"/>
  <c r="AE27" i="9" s="1"/>
  <c r="AB26" i="9"/>
  <c r="Z26" i="9"/>
  <c r="W26" i="9"/>
  <c r="S26" i="9"/>
  <c r="U26" i="9" s="1"/>
  <c r="AB25" i="9"/>
  <c r="Y25" i="9"/>
  <c r="W25" i="9"/>
  <c r="S25" i="9"/>
  <c r="U25" i="9" s="1"/>
  <c r="AB24" i="9"/>
  <c r="Y24" i="9"/>
  <c r="AC24" i="9" s="1"/>
  <c r="W24" i="9"/>
  <c r="S24" i="9"/>
  <c r="U24" i="9" s="1"/>
  <c r="AB23" i="9"/>
  <c r="Y23" i="9"/>
  <c r="Z23" i="9" s="1"/>
  <c r="W23" i="9"/>
  <c r="S23" i="9"/>
  <c r="U23" i="9" s="1"/>
  <c r="AB22" i="9"/>
  <c r="Z22" i="9"/>
  <c r="W22" i="9"/>
  <c r="S22" i="9"/>
  <c r="U22" i="9" s="1"/>
  <c r="X22" i="9" s="1"/>
  <c r="AB21" i="9"/>
  <c r="Y21" i="9"/>
  <c r="AC21" i="9" s="1"/>
  <c r="W21" i="9"/>
  <c r="S21" i="9"/>
  <c r="U21" i="9" s="1"/>
  <c r="AB20" i="9"/>
  <c r="Y20" i="9"/>
  <c r="W20" i="9"/>
  <c r="S20" i="9"/>
  <c r="U20" i="9" s="1"/>
  <c r="AB19" i="9"/>
  <c r="AC19" i="9" s="1"/>
  <c r="Y19" i="9"/>
  <c r="Z19" i="9" s="1"/>
  <c r="W19" i="9"/>
  <c r="S19" i="9"/>
  <c r="U19" i="9" s="1"/>
  <c r="AB18" i="9"/>
  <c r="Z18" i="9"/>
  <c r="W18" i="9"/>
  <c r="S18" i="9"/>
  <c r="U18" i="9" s="1"/>
  <c r="X18" i="9" s="1"/>
  <c r="AB17" i="9"/>
  <c r="Y17" i="9"/>
  <c r="AC17" i="9" s="1"/>
  <c r="W17" i="9"/>
  <c r="S17" i="9"/>
  <c r="U17" i="9" s="1"/>
  <c r="AB16" i="9"/>
  <c r="Y16" i="9"/>
  <c r="AC16" i="9" s="1"/>
  <c r="W16" i="9"/>
  <c r="S16" i="9"/>
  <c r="U16" i="9" s="1"/>
  <c r="AB15" i="9"/>
  <c r="Y15" i="9"/>
  <c r="Z15" i="9" s="1"/>
  <c r="W15" i="9"/>
  <c r="S15" i="9"/>
  <c r="U15" i="9" s="1"/>
  <c r="AB14" i="9"/>
  <c r="Z14" i="9"/>
  <c r="W14" i="9"/>
  <c r="S14" i="9"/>
  <c r="U14" i="9" s="1"/>
  <c r="AB13" i="9"/>
  <c r="Y13" i="9"/>
  <c r="W13" i="9"/>
  <c r="S13" i="9"/>
  <c r="U13" i="9" s="1"/>
  <c r="X13" i="9" s="1"/>
  <c r="AB12" i="9"/>
  <c r="Y12" i="9"/>
  <c r="AC12" i="9" s="1"/>
  <c r="W12" i="9"/>
  <c r="S12" i="9"/>
  <c r="U12" i="9" s="1"/>
  <c r="X12" i="9" s="1"/>
  <c r="AB11" i="9"/>
  <c r="Y11" i="9"/>
  <c r="Z11" i="9" s="1"/>
  <c r="W11" i="9"/>
  <c r="S11" i="9"/>
  <c r="U11" i="9" s="1"/>
  <c r="AB10" i="9"/>
  <c r="W10" i="9"/>
  <c r="S10" i="9"/>
  <c r="U10" i="9" s="1"/>
  <c r="AB9" i="9"/>
  <c r="Y9" i="9"/>
  <c r="AC9" i="9" s="1"/>
  <c r="W9" i="9"/>
  <c r="S9" i="9"/>
  <c r="U9" i="9" s="1"/>
  <c r="AB8" i="9"/>
  <c r="Z8" i="9"/>
  <c r="W8" i="9"/>
  <c r="S8" i="9"/>
  <c r="U8" i="9" s="1"/>
  <c r="X8" i="9" s="1"/>
  <c r="AB7" i="9"/>
  <c r="Y7" i="9"/>
  <c r="Z7" i="9" s="1"/>
  <c r="W7" i="9"/>
  <c r="S7" i="9"/>
  <c r="U7" i="9" s="1"/>
  <c r="X7" i="9" s="1"/>
  <c r="Z45" i="8"/>
  <c r="AJ42" i="8"/>
  <c r="AI42" i="8"/>
  <c r="AH42" i="8"/>
  <c r="AG42" i="8"/>
  <c r="AF42" i="8"/>
  <c r="AB40" i="8"/>
  <c r="Y40" i="8"/>
  <c r="AC40" i="8" s="1"/>
  <c r="W40" i="8"/>
  <c r="S40" i="8"/>
  <c r="U40" i="8" s="1"/>
  <c r="AB39" i="8"/>
  <c r="Y39" i="8"/>
  <c r="W39" i="8"/>
  <c r="S39" i="8"/>
  <c r="U39" i="8" s="1"/>
  <c r="AB38" i="8"/>
  <c r="Y38" i="8"/>
  <c r="Z38" i="8" s="1"/>
  <c r="W38" i="8"/>
  <c r="S38" i="8"/>
  <c r="U38" i="8" s="1"/>
  <c r="AB37" i="8"/>
  <c r="Y37" i="8"/>
  <c r="Z37" i="8" s="1"/>
  <c r="W37" i="8"/>
  <c r="S37" i="8"/>
  <c r="U37" i="8" s="1"/>
  <c r="AB36" i="8"/>
  <c r="W36" i="8"/>
  <c r="S36" i="8"/>
  <c r="U36" i="8" s="1"/>
  <c r="AB35" i="8"/>
  <c r="Y35" i="8"/>
  <c r="Z35" i="8" s="1"/>
  <c r="W35" i="8"/>
  <c r="S35" i="8"/>
  <c r="U35" i="8" s="1"/>
  <c r="X35" i="8" s="1"/>
  <c r="AB34" i="8"/>
  <c r="Y34" i="8"/>
  <c r="W34" i="8"/>
  <c r="S34" i="8"/>
  <c r="U34" i="8" s="1"/>
  <c r="AB33" i="8"/>
  <c r="Z33" i="8"/>
  <c r="W33" i="8"/>
  <c r="S33" i="8"/>
  <c r="U33" i="8" s="1"/>
  <c r="AB32" i="8"/>
  <c r="W32" i="8"/>
  <c r="S32" i="8"/>
  <c r="U32" i="8" s="1"/>
  <c r="AB31" i="8"/>
  <c r="Z31" i="8"/>
  <c r="W31" i="8"/>
  <c r="S31" i="8"/>
  <c r="U31" i="8" s="1"/>
  <c r="AB30" i="8"/>
  <c r="AC30" i="8" s="1"/>
  <c r="Z30" i="8"/>
  <c r="W30" i="8"/>
  <c r="S30" i="8"/>
  <c r="U30" i="8" s="1"/>
  <c r="AB29" i="8"/>
  <c r="Z29" i="8"/>
  <c r="Y29" i="8"/>
  <c r="W29" i="8"/>
  <c r="S29" i="8"/>
  <c r="U29" i="8" s="1"/>
  <c r="AB28" i="8"/>
  <c r="Y28" i="8"/>
  <c r="AC28" i="8" s="1"/>
  <c r="W28" i="8"/>
  <c r="S28" i="8"/>
  <c r="U28" i="8" s="1"/>
  <c r="AB27" i="8"/>
  <c r="Y27" i="8"/>
  <c r="Z27" i="8" s="1"/>
  <c r="W27" i="8"/>
  <c r="S27" i="8"/>
  <c r="U27" i="8" s="1"/>
  <c r="AB26" i="8"/>
  <c r="Y26" i="8"/>
  <c r="AC26" i="8" s="1"/>
  <c r="W26" i="8"/>
  <c r="S26" i="8"/>
  <c r="U26" i="8" s="1"/>
  <c r="AB25" i="8"/>
  <c r="Y25" i="8"/>
  <c r="W25" i="8"/>
  <c r="S25" i="8"/>
  <c r="U25" i="8" s="1"/>
  <c r="AC24" i="8"/>
  <c r="AB24" i="8"/>
  <c r="Y24" i="8"/>
  <c r="Z24" i="8" s="1"/>
  <c r="W24" i="8"/>
  <c r="S24" i="8"/>
  <c r="U24" i="8" s="1"/>
  <c r="AB23" i="8"/>
  <c r="Y23" i="8"/>
  <c r="Z23" i="8" s="1"/>
  <c r="W23" i="8"/>
  <c r="S23" i="8"/>
  <c r="U23" i="8" s="1"/>
  <c r="AB22" i="8"/>
  <c r="Y22" i="8"/>
  <c r="AC22" i="8" s="1"/>
  <c r="W22" i="8"/>
  <c r="S22" i="8"/>
  <c r="U22" i="8" s="1"/>
  <c r="AB21" i="8"/>
  <c r="Y21" i="8"/>
  <c r="Z21" i="8" s="1"/>
  <c r="W21" i="8"/>
  <c r="S21" i="8"/>
  <c r="U21" i="8" s="1"/>
  <c r="AB20" i="8"/>
  <c r="Y20" i="8"/>
  <c r="AC20" i="8" s="1"/>
  <c r="W20" i="8"/>
  <c r="S20" i="8"/>
  <c r="U20" i="8" s="1"/>
  <c r="AB19" i="8"/>
  <c r="Y19" i="8"/>
  <c r="Z19" i="8" s="1"/>
  <c r="W19" i="8"/>
  <c r="S19" i="8"/>
  <c r="U19" i="8" s="1"/>
  <c r="AB18" i="8"/>
  <c r="Y18" i="8"/>
  <c r="W18" i="8"/>
  <c r="S18" i="8"/>
  <c r="U18" i="8" s="1"/>
  <c r="AB17" i="8"/>
  <c r="Y17" i="8"/>
  <c r="AC17" i="8" s="1"/>
  <c r="W17" i="8"/>
  <c r="S17" i="8"/>
  <c r="U17" i="8" s="1"/>
  <c r="AB16" i="8"/>
  <c r="Y16" i="8"/>
  <c r="AC16" i="8" s="1"/>
  <c r="W16" i="8"/>
  <c r="S16" i="8"/>
  <c r="U16" i="8" s="1"/>
  <c r="AB15" i="8"/>
  <c r="Z15" i="8"/>
  <c r="W15" i="8"/>
  <c r="S15" i="8"/>
  <c r="U15" i="8" s="1"/>
  <c r="X15" i="8" s="1"/>
  <c r="AB14" i="8"/>
  <c r="Y14" i="8"/>
  <c r="AC14" i="8" s="1"/>
  <c r="W14" i="8"/>
  <c r="U14" i="8"/>
  <c r="S14" i="8"/>
  <c r="AB13" i="8"/>
  <c r="AC13" i="8"/>
  <c r="W13" i="8"/>
  <c r="S13" i="8"/>
  <c r="U13" i="8" s="1"/>
  <c r="AC12" i="8"/>
  <c r="AB12" i="8"/>
  <c r="Y12" i="8"/>
  <c r="Z12" i="8" s="1"/>
  <c r="W12" i="8"/>
  <c r="S12" i="8"/>
  <c r="U12" i="8" s="1"/>
  <c r="AB11" i="8"/>
  <c r="Y11" i="8"/>
  <c r="Z11" i="8" s="1"/>
  <c r="W11" i="8"/>
  <c r="S11" i="8"/>
  <c r="U11" i="8" s="1"/>
  <c r="AB10" i="8"/>
  <c r="AC10" i="8"/>
  <c r="AD10" i="8" s="1"/>
  <c r="AE10" i="8" s="1"/>
  <c r="AB9" i="8"/>
  <c r="Z9" i="8"/>
  <c r="AC9" i="8"/>
  <c r="AB8" i="8"/>
  <c r="AC8" i="8" s="1"/>
  <c r="Z8" i="8"/>
  <c r="AB7" i="8"/>
  <c r="AC7" i="8" s="1"/>
  <c r="Z7" i="8"/>
  <c r="Z70" i="7"/>
  <c r="Z69" i="7"/>
  <c r="Z66" i="7"/>
  <c r="Z64" i="7"/>
  <c r="AJ61" i="7"/>
  <c r="AI61" i="7"/>
  <c r="AH61" i="7"/>
  <c r="AG61" i="7"/>
  <c r="AF61" i="7"/>
  <c r="AB59" i="7"/>
  <c r="Y59" i="7"/>
  <c r="W59" i="7"/>
  <c r="S59" i="7"/>
  <c r="U59" i="7" s="1"/>
  <c r="AB58" i="7"/>
  <c r="Y58" i="7"/>
  <c r="W58" i="7"/>
  <c r="S58" i="7"/>
  <c r="U58" i="7" s="1"/>
  <c r="AB57" i="7"/>
  <c r="Y57" i="7"/>
  <c r="Z57" i="7" s="1"/>
  <c r="W57" i="7"/>
  <c r="S57" i="7"/>
  <c r="U57" i="7" s="1"/>
  <c r="AB56" i="7"/>
  <c r="Y56" i="7"/>
  <c r="W56" i="7"/>
  <c r="S56" i="7"/>
  <c r="U56" i="7" s="1"/>
  <c r="AB55" i="7"/>
  <c r="Y55" i="7"/>
  <c r="W55" i="7"/>
  <c r="S55" i="7"/>
  <c r="U55" i="7" s="1"/>
  <c r="X55" i="7" s="1"/>
  <c r="AB54" i="7"/>
  <c r="Y54" i="7"/>
  <c r="W54" i="7"/>
  <c r="S54" i="7"/>
  <c r="U54" i="7" s="1"/>
  <c r="AB53" i="7"/>
  <c r="Y53" i="7"/>
  <c r="Z53" i="7" s="1"/>
  <c r="W53" i="7"/>
  <c r="S53" i="7"/>
  <c r="U53" i="7" s="1"/>
  <c r="AB52" i="7"/>
  <c r="Y52" i="7"/>
  <c r="W52" i="7"/>
  <c r="S52" i="7"/>
  <c r="U52" i="7" s="1"/>
  <c r="AB51" i="7"/>
  <c r="Y51" i="7"/>
  <c r="W51" i="7"/>
  <c r="S51" i="7"/>
  <c r="U51" i="7" s="1"/>
  <c r="AB50" i="7"/>
  <c r="Y50" i="7"/>
  <c r="W50" i="7"/>
  <c r="S50" i="7"/>
  <c r="U50" i="7" s="1"/>
  <c r="AB49" i="7"/>
  <c r="Y49" i="7"/>
  <c r="Z49" i="7" s="1"/>
  <c r="W49" i="7"/>
  <c r="S49" i="7"/>
  <c r="U49" i="7" s="1"/>
  <c r="AB48" i="7"/>
  <c r="Y48" i="7"/>
  <c r="W48" i="7"/>
  <c r="S48" i="7"/>
  <c r="U48" i="7" s="1"/>
  <c r="AB47" i="7"/>
  <c r="Y47" i="7"/>
  <c r="W47" i="7"/>
  <c r="S47" i="7"/>
  <c r="U47" i="7" s="1"/>
  <c r="AB46" i="7"/>
  <c r="AC46" i="7" s="1"/>
  <c r="Z46" i="7"/>
  <c r="AB45" i="7"/>
  <c r="Z45" i="7"/>
  <c r="AB44" i="7"/>
  <c r="Y44" i="7"/>
  <c r="W44" i="7"/>
  <c r="S44" i="7"/>
  <c r="U44" i="7" s="1"/>
  <c r="AB43" i="7"/>
  <c r="Y43" i="7"/>
  <c r="W43" i="7"/>
  <c r="X43" i="7" s="1"/>
  <c r="S43" i="7"/>
  <c r="U43" i="7" s="1"/>
  <c r="AB42" i="7"/>
  <c r="Z42" i="7"/>
  <c r="Y42" i="7"/>
  <c r="W42" i="7"/>
  <c r="S42" i="7"/>
  <c r="U42" i="7" s="1"/>
  <c r="AB41" i="7"/>
  <c r="Y41" i="7"/>
  <c r="Z41" i="7" s="1"/>
  <c r="W41" i="7"/>
  <c r="S41" i="7"/>
  <c r="U41" i="7" s="1"/>
  <c r="AB40" i="7"/>
  <c r="AB39" i="7"/>
  <c r="AB38" i="7"/>
  <c r="Z38" i="7"/>
  <c r="AB37" i="7"/>
  <c r="Z37" i="7"/>
  <c r="AB36" i="7"/>
  <c r="AB35" i="7"/>
  <c r="AB34" i="7"/>
  <c r="AC34" i="7" s="1"/>
  <c r="AC33" i="7"/>
  <c r="AB33" i="7"/>
  <c r="Z33" i="7"/>
  <c r="AB32" i="7"/>
  <c r="AC32" i="7" s="1"/>
  <c r="AB31" i="7"/>
  <c r="AC31" i="7" s="1"/>
  <c r="Z31" i="7"/>
  <c r="AC30" i="7"/>
  <c r="AD30" i="7" s="1"/>
  <c r="AE30" i="7" s="1"/>
  <c r="AB30" i="7"/>
  <c r="Z30" i="7"/>
  <c r="AB29" i="7"/>
  <c r="Z29" i="7"/>
  <c r="AB28" i="7"/>
  <c r="AC28" i="7" s="1"/>
  <c r="Z28" i="7"/>
  <c r="AC27" i="7"/>
  <c r="AB27" i="7"/>
  <c r="Z27" i="7"/>
  <c r="AB26" i="7"/>
  <c r="Z26" i="7"/>
  <c r="AC26" i="7"/>
  <c r="AC25" i="7"/>
  <c r="AB25" i="7"/>
  <c r="Z25" i="7"/>
  <c r="AB24" i="7"/>
  <c r="Z24" i="7"/>
  <c r="AC24" i="7"/>
  <c r="AB23" i="7"/>
  <c r="Z23" i="7"/>
  <c r="AC23" i="7"/>
  <c r="AB22" i="7"/>
  <c r="AC22" i="7" s="1"/>
  <c r="Z22" i="7"/>
  <c r="AB21" i="7"/>
  <c r="AC21" i="7" s="1"/>
  <c r="Z21" i="7"/>
  <c r="AB20" i="7"/>
  <c r="AC20" i="7"/>
  <c r="AB19" i="7"/>
  <c r="AC19" i="7" s="1"/>
  <c r="Z19" i="7"/>
  <c r="AB18" i="7"/>
  <c r="AC18" i="7" s="1"/>
  <c r="Z18" i="7"/>
  <c r="AB17" i="7"/>
  <c r="AC17" i="7" s="1"/>
  <c r="Z17" i="7"/>
  <c r="AB16" i="7"/>
  <c r="AC16" i="7" s="1"/>
  <c r="Z16" i="7"/>
  <c r="AC15" i="7"/>
  <c r="AB15" i="7"/>
  <c r="Z15" i="7"/>
  <c r="AB14" i="7"/>
  <c r="AC14" i="7" s="1"/>
  <c r="AC13" i="7"/>
  <c r="AB13" i="7"/>
  <c r="Z13" i="7"/>
  <c r="AB12" i="7"/>
  <c r="Z12" i="7"/>
  <c r="AC12" i="7"/>
  <c r="AB11" i="7"/>
  <c r="Z11" i="7"/>
  <c r="AB10" i="7"/>
  <c r="AC10" i="7" s="1"/>
  <c r="Z10" i="7"/>
  <c r="AC9" i="7"/>
  <c r="AB9" i="7"/>
  <c r="Z9" i="7"/>
  <c r="AB8" i="7"/>
  <c r="AC8" i="7" s="1"/>
  <c r="Z8" i="7"/>
  <c r="AC7" i="7"/>
  <c r="AB7" i="7"/>
  <c r="Z7" i="7"/>
  <c r="Z110" i="6"/>
  <c r="Z106" i="6"/>
  <c r="Z109" i="6"/>
  <c r="Z104" i="6"/>
  <c r="S63" i="6"/>
  <c r="U63" i="6" s="1"/>
  <c r="W63" i="6"/>
  <c r="Y63" i="6"/>
  <c r="AC63" i="6" s="1"/>
  <c r="Z63" i="6"/>
  <c r="AB63" i="6"/>
  <c r="S64" i="6"/>
  <c r="U64" i="6" s="1"/>
  <c r="W64" i="6"/>
  <c r="Y64" i="6"/>
  <c r="Z64" i="6"/>
  <c r="AB64" i="6"/>
  <c r="S65" i="6"/>
  <c r="U65" i="6"/>
  <c r="W65" i="6"/>
  <c r="Y65" i="6"/>
  <c r="Z65" i="6" s="1"/>
  <c r="AB65" i="6"/>
  <c r="S66" i="6"/>
  <c r="U66" i="6"/>
  <c r="W66" i="6"/>
  <c r="Y66" i="6"/>
  <c r="Z66" i="6" s="1"/>
  <c r="AB66" i="6"/>
  <c r="S67" i="6"/>
  <c r="U67" i="6" s="1"/>
  <c r="W67" i="6"/>
  <c r="Y67" i="6"/>
  <c r="Z67" i="6"/>
  <c r="AB67" i="6"/>
  <c r="AC67" i="6"/>
  <c r="S68" i="6"/>
  <c r="U68" i="6" s="1"/>
  <c r="W68" i="6"/>
  <c r="Y68" i="6"/>
  <c r="Z68" i="6"/>
  <c r="AB68" i="6"/>
  <c r="S69" i="6"/>
  <c r="U69" i="6"/>
  <c r="W69" i="6"/>
  <c r="X69" i="6" s="1"/>
  <c r="Y69" i="6"/>
  <c r="Z69" i="6" s="1"/>
  <c r="AB69" i="6"/>
  <c r="S70" i="6"/>
  <c r="U70" i="6"/>
  <c r="W70" i="6"/>
  <c r="Y70" i="6"/>
  <c r="Z70" i="6" s="1"/>
  <c r="AB70" i="6"/>
  <c r="AC70" i="6"/>
  <c r="S71" i="6"/>
  <c r="U71" i="6" s="1"/>
  <c r="W71" i="6"/>
  <c r="Y71" i="6"/>
  <c r="Z71" i="6"/>
  <c r="AB71" i="6"/>
  <c r="AC71" i="6"/>
  <c r="S72" i="6"/>
  <c r="U72" i="6" s="1"/>
  <c r="W72" i="6"/>
  <c r="Y72" i="6"/>
  <c r="Z72" i="6"/>
  <c r="AB72" i="6"/>
  <c r="S73" i="6"/>
  <c r="U73" i="6"/>
  <c r="W73" i="6"/>
  <c r="X73" i="6" s="1"/>
  <c r="Y73" i="6"/>
  <c r="Z73" i="6" s="1"/>
  <c r="AB73" i="6"/>
  <c r="S74" i="6"/>
  <c r="U74" i="6"/>
  <c r="W74" i="6"/>
  <c r="Y74" i="6"/>
  <c r="Z74" i="6" s="1"/>
  <c r="AB74" i="6"/>
  <c r="AC74" i="6"/>
  <c r="S75" i="6"/>
  <c r="U75" i="6" s="1"/>
  <c r="W75" i="6"/>
  <c r="Y75" i="6"/>
  <c r="Z75" i="6"/>
  <c r="AB75" i="6"/>
  <c r="AC75" i="6"/>
  <c r="S76" i="6"/>
  <c r="U76" i="6" s="1"/>
  <c r="W76" i="6"/>
  <c r="Y76" i="6"/>
  <c r="AC76" i="6" s="1"/>
  <c r="AB76" i="6"/>
  <c r="S77" i="6"/>
  <c r="U77" i="6"/>
  <c r="W77" i="6"/>
  <c r="X77" i="6"/>
  <c r="Y77" i="6"/>
  <c r="Z77" i="6" s="1"/>
  <c r="AB77" i="6"/>
  <c r="S78" i="6"/>
  <c r="U78" i="6"/>
  <c r="W78" i="6"/>
  <c r="Y78" i="6"/>
  <c r="Z78" i="6" s="1"/>
  <c r="AB78" i="6"/>
  <c r="AC78" i="6"/>
  <c r="S79" i="6"/>
  <c r="U79" i="6" s="1"/>
  <c r="W79" i="6"/>
  <c r="Y79" i="6"/>
  <c r="Z79" i="6"/>
  <c r="AB79" i="6"/>
  <c r="AC79" i="6"/>
  <c r="S80" i="6"/>
  <c r="U80" i="6" s="1"/>
  <c r="W80" i="6"/>
  <c r="Y80" i="6"/>
  <c r="AC80" i="6" s="1"/>
  <c r="Z80" i="6"/>
  <c r="AB80" i="6"/>
  <c r="S81" i="6"/>
  <c r="U81" i="6"/>
  <c r="W81" i="6"/>
  <c r="Y81" i="6"/>
  <c r="Z81" i="6" s="1"/>
  <c r="AB81" i="6"/>
  <c r="S82" i="6"/>
  <c r="U82" i="6"/>
  <c r="X82" i="6" s="1"/>
  <c r="W82" i="6"/>
  <c r="Y82" i="6"/>
  <c r="Z82" i="6" s="1"/>
  <c r="AB82" i="6"/>
  <c r="AC82" i="6"/>
  <c r="S83" i="6"/>
  <c r="U83" i="6" s="1"/>
  <c r="W83" i="6"/>
  <c r="Y83" i="6"/>
  <c r="AC83" i="6" s="1"/>
  <c r="Z83" i="6"/>
  <c r="AB83" i="6"/>
  <c r="S84" i="6"/>
  <c r="U84" i="6" s="1"/>
  <c r="W84" i="6"/>
  <c r="Y84" i="6"/>
  <c r="Z84" i="6"/>
  <c r="AB84" i="6"/>
  <c r="S85" i="6"/>
  <c r="U85" i="6" s="1"/>
  <c r="W85" i="6"/>
  <c r="Y85" i="6"/>
  <c r="Z85" i="6" s="1"/>
  <c r="AB85" i="6"/>
  <c r="S86" i="6"/>
  <c r="U86" i="6"/>
  <c r="W86" i="6"/>
  <c r="Y86" i="6"/>
  <c r="Z86" i="6" s="1"/>
  <c r="AB86" i="6"/>
  <c r="S87" i="6"/>
  <c r="U87" i="6" s="1"/>
  <c r="W87" i="6"/>
  <c r="Y87" i="6"/>
  <c r="Z87" i="6"/>
  <c r="AB87" i="6"/>
  <c r="AC87" i="6"/>
  <c r="S88" i="6"/>
  <c r="U88" i="6" s="1"/>
  <c r="W88" i="6"/>
  <c r="Y88" i="6"/>
  <c r="Z88" i="6"/>
  <c r="AB88" i="6"/>
  <c r="S89" i="6"/>
  <c r="U89" i="6"/>
  <c r="W89" i="6"/>
  <c r="Y89" i="6"/>
  <c r="Z89" i="6" s="1"/>
  <c r="AB89" i="6"/>
  <c r="S90" i="6"/>
  <c r="U90" i="6"/>
  <c r="W90" i="6"/>
  <c r="Y90" i="6"/>
  <c r="Z90" i="6" s="1"/>
  <c r="AB90" i="6"/>
  <c r="AC90" i="6"/>
  <c r="S91" i="6"/>
  <c r="U91" i="6" s="1"/>
  <c r="W91" i="6"/>
  <c r="Y91" i="6"/>
  <c r="Z91" i="6"/>
  <c r="AB91" i="6"/>
  <c r="AC91" i="6"/>
  <c r="S92" i="6"/>
  <c r="U92" i="6" s="1"/>
  <c r="W92" i="6"/>
  <c r="Y92" i="6"/>
  <c r="Z92" i="6"/>
  <c r="AB92" i="6"/>
  <c r="S93" i="6"/>
  <c r="U93" i="6"/>
  <c r="W93" i="6"/>
  <c r="Y93" i="6"/>
  <c r="Z93" i="6" s="1"/>
  <c r="AB93" i="6"/>
  <c r="S94" i="6"/>
  <c r="U94" i="6"/>
  <c r="W94" i="6"/>
  <c r="Y94" i="6"/>
  <c r="Z94" i="6" s="1"/>
  <c r="AB94" i="6"/>
  <c r="AC94" i="6"/>
  <c r="S95" i="6"/>
  <c r="U95" i="6" s="1"/>
  <c r="W95" i="6"/>
  <c r="Y95" i="6"/>
  <c r="Z95" i="6"/>
  <c r="AB95" i="6"/>
  <c r="AC95" i="6"/>
  <c r="S96" i="6"/>
  <c r="U96" i="6" s="1"/>
  <c r="W96" i="6"/>
  <c r="Y96" i="6"/>
  <c r="AC96" i="6" s="1"/>
  <c r="Z96" i="6"/>
  <c r="AB96" i="6"/>
  <c r="S97" i="6"/>
  <c r="U97" i="6"/>
  <c r="W97" i="6"/>
  <c r="Y97" i="6"/>
  <c r="Z97" i="6" s="1"/>
  <c r="AB97" i="6"/>
  <c r="S98" i="6"/>
  <c r="U98" i="6"/>
  <c r="W98" i="6"/>
  <c r="Y98" i="6"/>
  <c r="Z98" i="6" s="1"/>
  <c r="AB98" i="6"/>
  <c r="AC98" i="6"/>
  <c r="S11" i="6"/>
  <c r="U11" i="6" s="1"/>
  <c r="W11" i="6"/>
  <c r="Y11" i="6"/>
  <c r="Z11" i="6" s="1"/>
  <c r="AB11" i="6"/>
  <c r="S12" i="6"/>
  <c r="U12" i="6" s="1"/>
  <c r="W12" i="6"/>
  <c r="Y12" i="6"/>
  <c r="Z12" i="6" s="1"/>
  <c r="AB12" i="6"/>
  <c r="S13" i="6"/>
  <c r="U13" i="6" s="1"/>
  <c r="W13" i="6"/>
  <c r="Y13" i="6"/>
  <c r="Z13" i="6" s="1"/>
  <c r="AB13" i="6"/>
  <c r="S14" i="6"/>
  <c r="U14" i="6" s="1"/>
  <c r="W14" i="6"/>
  <c r="Y14" i="6"/>
  <c r="Z14" i="6" s="1"/>
  <c r="AB14" i="6"/>
  <c r="S15" i="6"/>
  <c r="U15" i="6" s="1"/>
  <c r="W15" i="6"/>
  <c r="Y15" i="6"/>
  <c r="Z15" i="6" s="1"/>
  <c r="AB15" i="6"/>
  <c r="S16" i="6"/>
  <c r="U16" i="6" s="1"/>
  <c r="W16" i="6"/>
  <c r="Y16" i="6"/>
  <c r="AB16" i="6"/>
  <c r="S17" i="6"/>
  <c r="U17" i="6" s="1"/>
  <c r="W17" i="6"/>
  <c r="Y17" i="6"/>
  <c r="Z17" i="6" s="1"/>
  <c r="AB17" i="6"/>
  <c r="S18" i="6"/>
  <c r="U18" i="6" s="1"/>
  <c r="W18" i="6"/>
  <c r="Y18" i="6"/>
  <c r="Z18" i="6" s="1"/>
  <c r="AB18" i="6"/>
  <c r="S19" i="6"/>
  <c r="U19" i="6" s="1"/>
  <c r="W19" i="6"/>
  <c r="Y19" i="6"/>
  <c r="AB19" i="6"/>
  <c r="S20" i="6"/>
  <c r="U20" i="6" s="1"/>
  <c r="W20" i="6"/>
  <c r="Y20" i="6"/>
  <c r="Z20" i="6" s="1"/>
  <c r="AB20" i="6"/>
  <c r="S21" i="6"/>
  <c r="U21" i="6" s="1"/>
  <c r="W21" i="6"/>
  <c r="Y21" i="6"/>
  <c r="Z21" i="6" s="1"/>
  <c r="AB21" i="6"/>
  <c r="S22" i="6"/>
  <c r="U22" i="6" s="1"/>
  <c r="W22" i="6"/>
  <c r="Y22" i="6"/>
  <c r="Z22" i="6" s="1"/>
  <c r="AB22" i="6"/>
  <c r="S23" i="6"/>
  <c r="U23" i="6" s="1"/>
  <c r="W23" i="6"/>
  <c r="Y23" i="6"/>
  <c r="Z23" i="6" s="1"/>
  <c r="AB23" i="6"/>
  <c r="S24" i="6"/>
  <c r="U24" i="6" s="1"/>
  <c r="W24" i="6"/>
  <c r="Y24" i="6"/>
  <c r="AB24" i="6"/>
  <c r="S25" i="6"/>
  <c r="U25" i="6" s="1"/>
  <c r="W25" i="6"/>
  <c r="Y25" i="6"/>
  <c r="Z25" i="6" s="1"/>
  <c r="AB25" i="6"/>
  <c r="S26" i="6"/>
  <c r="U26" i="6" s="1"/>
  <c r="W26" i="6"/>
  <c r="Y26" i="6"/>
  <c r="Z26" i="6" s="1"/>
  <c r="AB26" i="6"/>
  <c r="S27" i="6"/>
  <c r="U27" i="6" s="1"/>
  <c r="W27" i="6"/>
  <c r="Y27" i="6"/>
  <c r="Z27" i="6" s="1"/>
  <c r="AB27" i="6"/>
  <c r="S28" i="6"/>
  <c r="U28" i="6" s="1"/>
  <c r="W28" i="6"/>
  <c r="Y28" i="6"/>
  <c r="Z28" i="6" s="1"/>
  <c r="AB28" i="6"/>
  <c r="S29" i="6"/>
  <c r="U29" i="6" s="1"/>
  <c r="W29" i="6"/>
  <c r="Y29" i="6"/>
  <c r="Z29" i="6" s="1"/>
  <c r="AB29" i="6"/>
  <c r="S30" i="6"/>
  <c r="U30" i="6" s="1"/>
  <c r="W30" i="6"/>
  <c r="Y30" i="6"/>
  <c r="Z30" i="6" s="1"/>
  <c r="AB30" i="6"/>
  <c r="S31" i="6"/>
  <c r="U31" i="6" s="1"/>
  <c r="W31" i="6"/>
  <c r="Y31" i="6"/>
  <c r="Z31" i="6" s="1"/>
  <c r="AB31" i="6"/>
  <c r="S32" i="6"/>
  <c r="U32" i="6" s="1"/>
  <c r="W32" i="6"/>
  <c r="Y32" i="6"/>
  <c r="AB32" i="6"/>
  <c r="S33" i="6"/>
  <c r="U33" i="6" s="1"/>
  <c r="W33" i="6"/>
  <c r="Y33" i="6"/>
  <c r="Z33" i="6" s="1"/>
  <c r="AB33" i="6"/>
  <c r="S34" i="6"/>
  <c r="U34" i="6" s="1"/>
  <c r="W34" i="6"/>
  <c r="Y34" i="6"/>
  <c r="Z34" i="6" s="1"/>
  <c r="AB34" i="6"/>
  <c r="S35" i="6"/>
  <c r="U35" i="6" s="1"/>
  <c r="W35" i="6"/>
  <c r="Y35" i="6"/>
  <c r="Z35" i="6" s="1"/>
  <c r="AB35" i="6"/>
  <c r="S36" i="6"/>
  <c r="U36" i="6" s="1"/>
  <c r="W36" i="6"/>
  <c r="Y36" i="6"/>
  <c r="Z36" i="6" s="1"/>
  <c r="AB36" i="6"/>
  <c r="S37" i="6"/>
  <c r="U37" i="6" s="1"/>
  <c r="W37" i="6"/>
  <c r="Y37" i="6"/>
  <c r="Z37" i="6" s="1"/>
  <c r="AB37" i="6"/>
  <c r="S38" i="6"/>
  <c r="U38" i="6" s="1"/>
  <c r="W38" i="6"/>
  <c r="Y38" i="6"/>
  <c r="Z38" i="6" s="1"/>
  <c r="AB38" i="6"/>
  <c r="S39" i="6"/>
  <c r="U39" i="6" s="1"/>
  <c r="W39" i="6"/>
  <c r="Y39" i="6"/>
  <c r="Z39" i="6" s="1"/>
  <c r="AB39" i="6"/>
  <c r="S40" i="6"/>
  <c r="U40" i="6" s="1"/>
  <c r="W40" i="6"/>
  <c r="Y40" i="6"/>
  <c r="AB40" i="6"/>
  <c r="S41" i="6"/>
  <c r="U41" i="6" s="1"/>
  <c r="W41" i="6"/>
  <c r="Y41" i="6"/>
  <c r="Z41" i="6" s="1"/>
  <c r="AB41" i="6"/>
  <c r="S42" i="6"/>
  <c r="U42" i="6" s="1"/>
  <c r="W42" i="6"/>
  <c r="Y42" i="6"/>
  <c r="Z42" i="6" s="1"/>
  <c r="AB42" i="6"/>
  <c r="S43" i="6"/>
  <c r="U43" i="6" s="1"/>
  <c r="W43" i="6"/>
  <c r="Y43" i="6"/>
  <c r="Z43" i="6" s="1"/>
  <c r="AB43" i="6"/>
  <c r="S44" i="6"/>
  <c r="U44" i="6" s="1"/>
  <c r="W44" i="6"/>
  <c r="Y44" i="6"/>
  <c r="Z44" i="6" s="1"/>
  <c r="AB44" i="6"/>
  <c r="S45" i="6"/>
  <c r="U45" i="6" s="1"/>
  <c r="W45" i="6"/>
  <c r="Y45" i="6"/>
  <c r="AB45" i="6"/>
  <c r="S46" i="6"/>
  <c r="U46" i="6" s="1"/>
  <c r="W46" i="6"/>
  <c r="Y46" i="6"/>
  <c r="Z46" i="6" s="1"/>
  <c r="AB46" i="6"/>
  <c r="S47" i="6"/>
  <c r="U47" i="6" s="1"/>
  <c r="W47" i="6"/>
  <c r="Y47" i="6"/>
  <c r="Z47" i="6" s="1"/>
  <c r="AB47" i="6"/>
  <c r="S48" i="6"/>
  <c r="U48" i="6" s="1"/>
  <c r="W48" i="6"/>
  <c r="Y48" i="6"/>
  <c r="Z48" i="6" s="1"/>
  <c r="AB48" i="6"/>
  <c r="S49" i="6"/>
  <c r="U49" i="6" s="1"/>
  <c r="W49" i="6"/>
  <c r="Y49" i="6"/>
  <c r="AB49" i="6"/>
  <c r="S50" i="6"/>
  <c r="U50" i="6" s="1"/>
  <c r="W50" i="6"/>
  <c r="Y50" i="6"/>
  <c r="Z50" i="6" s="1"/>
  <c r="AB50" i="6"/>
  <c r="S51" i="6"/>
  <c r="U51" i="6" s="1"/>
  <c r="W51" i="6"/>
  <c r="Y51" i="6"/>
  <c r="Z51" i="6" s="1"/>
  <c r="AB51" i="6"/>
  <c r="S52" i="6"/>
  <c r="U52" i="6" s="1"/>
  <c r="W52" i="6"/>
  <c r="Y52" i="6"/>
  <c r="Z52" i="6" s="1"/>
  <c r="AB52" i="6"/>
  <c r="S53" i="6"/>
  <c r="U53" i="6" s="1"/>
  <c r="W53" i="6"/>
  <c r="Y53" i="6"/>
  <c r="AB53" i="6"/>
  <c r="S54" i="6"/>
  <c r="U54" i="6" s="1"/>
  <c r="W54" i="6"/>
  <c r="Y54" i="6"/>
  <c r="Z54" i="6" s="1"/>
  <c r="AB54" i="6"/>
  <c r="S55" i="6"/>
  <c r="U55" i="6" s="1"/>
  <c r="W55" i="6"/>
  <c r="Y55" i="6"/>
  <c r="Z55" i="6" s="1"/>
  <c r="AB55" i="6"/>
  <c r="S56" i="6"/>
  <c r="U56" i="6" s="1"/>
  <c r="W56" i="6"/>
  <c r="Y56" i="6"/>
  <c r="AB56" i="6"/>
  <c r="S57" i="6"/>
  <c r="U57" i="6" s="1"/>
  <c r="W57" i="6"/>
  <c r="Y57" i="6"/>
  <c r="AB57" i="6"/>
  <c r="S58" i="6"/>
  <c r="U58" i="6" s="1"/>
  <c r="W58" i="6"/>
  <c r="Y58" i="6"/>
  <c r="Z58" i="6" s="1"/>
  <c r="AB58" i="6"/>
  <c r="S59" i="6"/>
  <c r="U59" i="6" s="1"/>
  <c r="W59" i="6"/>
  <c r="Y59" i="6"/>
  <c r="Z59" i="6" s="1"/>
  <c r="AB59" i="6"/>
  <c r="S60" i="6"/>
  <c r="U60" i="6" s="1"/>
  <c r="W60" i="6"/>
  <c r="Y60" i="6"/>
  <c r="Z60" i="6" s="1"/>
  <c r="AB60" i="6"/>
  <c r="S61" i="6"/>
  <c r="U61" i="6" s="1"/>
  <c r="W61" i="6"/>
  <c r="Y61" i="6"/>
  <c r="AB61" i="6"/>
  <c r="S62" i="6"/>
  <c r="U62" i="6" s="1"/>
  <c r="W62" i="6"/>
  <c r="Y62" i="6"/>
  <c r="Z62" i="6" s="1"/>
  <c r="AB62" i="6"/>
  <c r="S99" i="6"/>
  <c r="U99" i="6" s="1"/>
  <c r="W99" i="6"/>
  <c r="Y99" i="6"/>
  <c r="Z99" i="6" s="1"/>
  <c r="AB99" i="6"/>
  <c r="S8" i="6"/>
  <c r="U8" i="6" s="1"/>
  <c r="W8" i="6"/>
  <c r="Y8" i="6"/>
  <c r="Z8" i="6" s="1"/>
  <c r="AB8" i="6"/>
  <c r="S9" i="6"/>
  <c r="U9" i="6" s="1"/>
  <c r="W9" i="6"/>
  <c r="Y9" i="6"/>
  <c r="AB9" i="6"/>
  <c r="S10" i="6"/>
  <c r="U10" i="6" s="1"/>
  <c r="W10" i="6"/>
  <c r="Y10" i="6"/>
  <c r="Z10" i="6" s="1"/>
  <c r="AB10" i="6"/>
  <c r="X25" i="8" l="1"/>
  <c r="X29" i="8"/>
  <c r="X64" i="6"/>
  <c r="X12" i="8"/>
  <c r="X85" i="6"/>
  <c r="X56" i="7"/>
  <c r="X16" i="8"/>
  <c r="AD16" i="8" s="1"/>
  <c r="AE16" i="8" s="1"/>
  <c r="X22" i="8"/>
  <c r="AD22" i="8" s="1"/>
  <c r="AE22" i="8" s="1"/>
  <c r="AD29" i="9"/>
  <c r="AE29" i="9" s="1"/>
  <c r="X26" i="8"/>
  <c r="X28" i="8"/>
  <c r="X36" i="8"/>
  <c r="X59" i="7"/>
  <c r="AC49" i="7"/>
  <c r="X52" i="7"/>
  <c r="Z71" i="7"/>
  <c r="AC50" i="7"/>
  <c r="AC54" i="7"/>
  <c r="X58" i="7"/>
  <c r="X47" i="7"/>
  <c r="X49" i="7"/>
  <c r="AD49" i="7" s="1"/>
  <c r="AE49" i="7" s="1"/>
  <c r="X13" i="8"/>
  <c r="AD13" i="8" s="1"/>
  <c r="AE13" i="8" s="1"/>
  <c r="AC15" i="8"/>
  <c r="AD15" i="8" s="1"/>
  <c r="AE15" i="8" s="1"/>
  <c r="AC10" i="9"/>
  <c r="AC15" i="9"/>
  <c r="AC28" i="9"/>
  <c r="Z31" i="9"/>
  <c r="X33" i="9"/>
  <c r="X39" i="9"/>
  <c r="X41" i="9"/>
  <c r="X47" i="9"/>
  <c r="X49" i="9"/>
  <c r="AC25" i="9"/>
  <c r="AC23" i="9"/>
  <c r="AC7" i="9"/>
  <c r="AD7" i="9" s="1"/>
  <c r="AE7" i="9" s="1"/>
  <c r="AC13" i="9"/>
  <c r="X17" i="9"/>
  <c r="AD17" i="9" s="1"/>
  <c r="AE17" i="9" s="1"/>
  <c r="AC20" i="9"/>
  <c r="X24" i="9"/>
  <c r="AD24" i="9" s="1"/>
  <c r="AE24" i="9" s="1"/>
  <c r="AC8" i="9"/>
  <c r="AD8" i="9" s="1"/>
  <c r="AE8" i="9" s="1"/>
  <c r="X10" i="9"/>
  <c r="AC11" i="9"/>
  <c r="X19" i="9"/>
  <c r="AD19" i="9" s="1"/>
  <c r="AE19" i="9" s="1"/>
  <c r="Z16" i="9"/>
  <c r="Z20" i="9"/>
  <c r="Z24" i="9"/>
  <c r="Z28" i="9"/>
  <c r="Z12" i="9"/>
  <c r="Z20" i="8"/>
  <c r="AC38" i="8"/>
  <c r="AD26" i="8"/>
  <c r="AE26" i="8" s="1"/>
  <c r="AC25" i="8"/>
  <c r="Z28" i="8"/>
  <c r="X39" i="8"/>
  <c r="Z17" i="8"/>
  <c r="Z13" i="8"/>
  <c r="Z16" i="8"/>
  <c r="X34" i="8"/>
  <c r="AC39" i="8"/>
  <c r="AC19" i="8"/>
  <c r="AC18" i="8"/>
  <c r="AC21" i="8"/>
  <c r="AD21" i="8" s="1"/>
  <c r="AE21" i="8" s="1"/>
  <c r="AC32" i="8"/>
  <c r="AC34" i="8"/>
  <c r="X38" i="8"/>
  <c r="AC23" i="8"/>
  <c r="AC27" i="8"/>
  <c r="AC29" i="8"/>
  <c r="AD29" i="8" s="1"/>
  <c r="AE29" i="8" s="1"/>
  <c r="X31" i="8"/>
  <c r="AC36" i="8"/>
  <c r="AD36" i="8" s="1"/>
  <c r="AE36" i="8" s="1"/>
  <c r="Z32" i="8"/>
  <c r="AC35" i="8"/>
  <c r="AC31" i="8"/>
  <c r="X33" i="8"/>
  <c r="AC37" i="8"/>
  <c r="Z39" i="8"/>
  <c r="AD35" i="8"/>
  <c r="AE35" i="8" s="1"/>
  <c r="X32" i="8"/>
  <c r="Z25" i="8"/>
  <c r="AC11" i="8"/>
  <c r="Z32" i="7"/>
  <c r="AC29" i="7"/>
  <c r="AD29" i="7" s="1"/>
  <c r="AE29" i="7" s="1"/>
  <c r="Z14" i="7"/>
  <c r="Z20" i="7"/>
  <c r="X98" i="6"/>
  <c r="AD98" i="6" s="1"/>
  <c r="AE98" i="6" s="1"/>
  <c r="X19" i="8"/>
  <c r="X15" i="9"/>
  <c r="AD15" i="9" s="1"/>
  <c r="AE15" i="9" s="1"/>
  <c r="X20" i="9"/>
  <c r="X25" i="9"/>
  <c r="X65" i="6"/>
  <c r="AD13" i="7"/>
  <c r="AE13" i="7" s="1"/>
  <c r="AD33" i="7"/>
  <c r="AE33" i="7" s="1"/>
  <c r="X42" i="7"/>
  <c r="X51" i="7"/>
  <c r="X53" i="7"/>
  <c r="AD8" i="8"/>
  <c r="AE8" i="8" s="1"/>
  <c r="X18" i="8"/>
  <c r="X21" i="8"/>
  <c r="X24" i="8"/>
  <c r="AD24" i="8" s="1"/>
  <c r="AE24" i="8" s="1"/>
  <c r="X75" i="6"/>
  <c r="X68" i="6"/>
  <c r="AD68" i="6" s="1"/>
  <c r="AE68" i="6" s="1"/>
  <c r="AD10" i="7"/>
  <c r="AE10" i="7" s="1"/>
  <c r="AD20" i="7"/>
  <c r="AE20" i="7" s="1"/>
  <c r="AD23" i="7"/>
  <c r="AE23" i="7" s="1"/>
  <c r="X11" i="8"/>
  <c r="AD11" i="8" s="1"/>
  <c r="AE11" i="8" s="1"/>
  <c r="X27" i="8"/>
  <c r="AD27" i="8" s="1"/>
  <c r="AE27" i="8" s="1"/>
  <c r="X37" i="8"/>
  <c r="X40" i="8"/>
  <c r="AD40" i="8" s="1"/>
  <c r="AE40" i="8" s="1"/>
  <c r="X9" i="9"/>
  <c r="AD9" i="9" s="1"/>
  <c r="AE9" i="9" s="1"/>
  <c r="AD12" i="9"/>
  <c r="AE12" i="9" s="1"/>
  <c r="X14" i="9"/>
  <c r="AD30" i="9"/>
  <c r="AE30" i="9" s="1"/>
  <c r="X32" i="9"/>
  <c r="AD17" i="7"/>
  <c r="AE17" i="7" s="1"/>
  <c r="AD21" i="7"/>
  <c r="AE21" i="7" s="1"/>
  <c r="AD24" i="7"/>
  <c r="AE24" i="7" s="1"/>
  <c r="X44" i="7"/>
  <c r="X57" i="7"/>
  <c r="X14" i="8"/>
  <c r="AD14" i="8" s="1"/>
  <c r="AE14" i="8" s="1"/>
  <c r="X17" i="8"/>
  <c r="AD17" i="8" s="1"/>
  <c r="AE17" i="8" s="1"/>
  <c r="X20" i="8"/>
  <c r="AD20" i="8" s="1"/>
  <c r="AE20" i="8" s="1"/>
  <c r="X30" i="8"/>
  <c r="AD30" i="8" s="1"/>
  <c r="AE30" i="8" s="1"/>
  <c r="X11" i="9"/>
  <c r="X16" i="9"/>
  <c r="AD16" i="9" s="1"/>
  <c r="AE16" i="9" s="1"/>
  <c r="X21" i="9"/>
  <c r="AD21" i="9" s="1"/>
  <c r="AE21" i="9" s="1"/>
  <c r="X26" i="9"/>
  <c r="X38" i="9"/>
  <c r="X40" i="9"/>
  <c r="X46" i="9"/>
  <c r="X48" i="9"/>
  <c r="AD9" i="7"/>
  <c r="AE9" i="7" s="1"/>
  <c r="AD16" i="7"/>
  <c r="AE16" i="7" s="1"/>
  <c r="AD25" i="7"/>
  <c r="AE25" i="7" s="1"/>
  <c r="AD28" i="7"/>
  <c r="AE28" i="7" s="1"/>
  <c r="AD32" i="7"/>
  <c r="AE32" i="7" s="1"/>
  <c r="X48" i="7"/>
  <c r="AD7" i="8"/>
  <c r="X23" i="8"/>
  <c r="AD23" i="8" s="1"/>
  <c r="AE23" i="8" s="1"/>
  <c r="X23" i="9"/>
  <c r="AD23" i="9" s="1"/>
  <c r="AE23" i="9" s="1"/>
  <c r="X28" i="9"/>
  <c r="AD28" i="9" s="1"/>
  <c r="AE28" i="9" s="1"/>
  <c r="X31" i="9"/>
  <c r="AD31" i="9" s="1"/>
  <c r="AE31" i="9" s="1"/>
  <c r="AC11" i="7"/>
  <c r="AD11" i="7" s="1"/>
  <c r="AE11" i="7" s="1"/>
  <c r="AD13" i="9"/>
  <c r="AE13" i="9" s="1"/>
  <c r="AD25" i="9"/>
  <c r="AE25" i="9" s="1"/>
  <c r="AD10" i="9"/>
  <c r="AE10" i="9" s="1"/>
  <c r="AC37" i="9"/>
  <c r="Z37" i="9"/>
  <c r="AC45" i="9"/>
  <c r="Z45" i="9"/>
  <c r="Z9" i="9"/>
  <c r="Z13" i="9"/>
  <c r="Z17" i="9"/>
  <c r="Z21" i="9"/>
  <c r="Z25" i="9"/>
  <c r="Z29" i="9"/>
  <c r="AC34" i="9"/>
  <c r="Z34" i="9"/>
  <c r="X36" i="9"/>
  <c r="AC42" i="9"/>
  <c r="Z42" i="9"/>
  <c r="X44" i="9"/>
  <c r="AC50" i="9"/>
  <c r="Z50" i="9"/>
  <c r="Z10" i="9"/>
  <c r="AC33" i="9"/>
  <c r="AD33" i="9" s="1"/>
  <c r="AE33" i="9" s="1"/>
  <c r="Z33" i="9"/>
  <c r="X35" i="9"/>
  <c r="AC41" i="9"/>
  <c r="Z41" i="9"/>
  <c r="X43" i="9"/>
  <c r="AC49" i="9"/>
  <c r="AD49" i="9" s="1"/>
  <c r="AE49" i="9" s="1"/>
  <c r="Z49" i="9"/>
  <c r="X51" i="9"/>
  <c r="AC39" i="9"/>
  <c r="Z39" i="9"/>
  <c r="Z30" i="9"/>
  <c r="Z36" i="9"/>
  <c r="AC36" i="9"/>
  <c r="Z44" i="9"/>
  <c r="AC44" i="9"/>
  <c r="AC14" i="9"/>
  <c r="AC18" i="9"/>
  <c r="AD18" i="9" s="1"/>
  <c r="AE18" i="9" s="1"/>
  <c r="AC22" i="9"/>
  <c r="AD22" i="9" s="1"/>
  <c r="AE22" i="9" s="1"/>
  <c r="AC26" i="9"/>
  <c r="AC38" i="9"/>
  <c r="Z38" i="9"/>
  <c r="AC46" i="9"/>
  <c r="Z46" i="9"/>
  <c r="AC47" i="9"/>
  <c r="Z47" i="9"/>
  <c r="AC32" i="9"/>
  <c r="AD32" i="9" s="1"/>
  <c r="AE32" i="9" s="1"/>
  <c r="AC35" i="9"/>
  <c r="Z35" i="9"/>
  <c r="X37" i="9"/>
  <c r="AC43" i="9"/>
  <c r="Z43" i="9"/>
  <c r="X45" i="9"/>
  <c r="AC51" i="9"/>
  <c r="Z51" i="9"/>
  <c r="X34" i="9"/>
  <c r="Z40" i="9"/>
  <c r="AC40" i="9"/>
  <c r="X42" i="9"/>
  <c r="Z48" i="9"/>
  <c r="AC48" i="9"/>
  <c r="X50" i="9"/>
  <c r="AD9" i="8"/>
  <c r="AE9" i="8" s="1"/>
  <c r="AD25" i="8"/>
  <c r="AE25" i="8" s="1"/>
  <c r="AD38" i="8"/>
  <c r="AE38" i="8" s="1"/>
  <c r="AD12" i="8"/>
  <c r="AE12" i="8" s="1"/>
  <c r="AD28" i="8"/>
  <c r="AE28" i="8" s="1"/>
  <c r="Z34" i="8"/>
  <c r="Z36" i="8"/>
  <c r="Z10" i="8"/>
  <c r="Z14" i="8"/>
  <c r="Z18" i="8"/>
  <c r="Z22" i="8"/>
  <c r="Z26" i="8"/>
  <c r="Z40" i="8"/>
  <c r="AC33" i="8"/>
  <c r="AD12" i="7"/>
  <c r="AE12" i="7" s="1"/>
  <c r="AD19" i="7"/>
  <c r="AE19" i="7" s="1"/>
  <c r="AD18" i="7"/>
  <c r="AE18" i="7" s="1"/>
  <c r="AD22" i="7"/>
  <c r="AE22" i="7" s="1"/>
  <c r="AD8" i="7"/>
  <c r="AE8" i="7" s="1"/>
  <c r="AD15" i="7"/>
  <c r="AE15" i="7" s="1"/>
  <c r="AD26" i="7"/>
  <c r="AE26" i="7" s="1"/>
  <c r="AD27" i="7"/>
  <c r="AE27" i="7" s="1"/>
  <c r="AD34" i="7"/>
  <c r="AE34" i="7" s="1"/>
  <c r="AD14" i="7"/>
  <c r="AE14" i="7" s="1"/>
  <c r="AD31" i="7"/>
  <c r="AE31" i="7" s="1"/>
  <c r="X41" i="7"/>
  <c r="AC42" i="7"/>
  <c r="AC47" i="7"/>
  <c r="Z47" i="7"/>
  <c r="X50" i="7"/>
  <c r="AD50" i="7" s="1"/>
  <c r="AE50" i="7" s="1"/>
  <c r="Z56" i="7"/>
  <c r="AC56" i="7"/>
  <c r="AD56" i="7" s="1"/>
  <c r="AE56" i="7" s="1"/>
  <c r="AC57" i="7"/>
  <c r="Z48" i="7"/>
  <c r="AC48" i="7"/>
  <c r="AD48" i="7" s="1"/>
  <c r="AE48" i="7" s="1"/>
  <c r="AC51" i="7"/>
  <c r="Z51" i="7"/>
  <c r="X54" i="7"/>
  <c r="AD54" i="7" s="1"/>
  <c r="AE54" i="7" s="1"/>
  <c r="Z36" i="7"/>
  <c r="AC36" i="7"/>
  <c r="AC37" i="7"/>
  <c r="Z50" i="7"/>
  <c r="AC59" i="7"/>
  <c r="AD59" i="7" s="1"/>
  <c r="AE59" i="7" s="1"/>
  <c r="Z59" i="7"/>
  <c r="AC55" i="7"/>
  <c r="AD55" i="7" s="1"/>
  <c r="AE55" i="7" s="1"/>
  <c r="Z55" i="7"/>
  <c r="AD7" i="7"/>
  <c r="Z40" i="7"/>
  <c r="AC40" i="7"/>
  <c r="AC41" i="7"/>
  <c r="AD41" i="7" s="1"/>
  <c r="AE41" i="7" s="1"/>
  <c r="Z54" i="7"/>
  <c r="AC58" i="7"/>
  <c r="AD58" i="7" s="1"/>
  <c r="AE58" i="7" s="1"/>
  <c r="AC35" i="7"/>
  <c r="Z35" i="7"/>
  <c r="Z44" i="7"/>
  <c r="AC44" i="7"/>
  <c r="AC45" i="7"/>
  <c r="AD45" i="7" s="1"/>
  <c r="AE45" i="7" s="1"/>
  <c r="Z58" i="7"/>
  <c r="AC39" i="7"/>
  <c r="Z39" i="7"/>
  <c r="Z34" i="7"/>
  <c r="AC38" i="7"/>
  <c r="AC43" i="7"/>
  <c r="AD43" i="7" s="1"/>
  <c r="AE43" i="7" s="1"/>
  <c r="Z43" i="7"/>
  <c r="AD46" i="7"/>
  <c r="AE46" i="7" s="1"/>
  <c r="Z52" i="7"/>
  <c r="AC52" i="7"/>
  <c r="AD52" i="7" s="1"/>
  <c r="AE52" i="7" s="1"/>
  <c r="AC53" i="7"/>
  <c r="X76" i="6"/>
  <c r="AD76" i="6" s="1"/>
  <c r="AE76" i="6" s="1"/>
  <c r="X95" i="6"/>
  <c r="AD95" i="6" s="1"/>
  <c r="AE95" i="6" s="1"/>
  <c r="X92" i="6"/>
  <c r="X89" i="6"/>
  <c r="X79" i="6"/>
  <c r="AD79" i="6" s="1"/>
  <c r="AE79" i="6" s="1"/>
  <c r="X72" i="6"/>
  <c r="X86" i="6"/>
  <c r="AD86" i="6" s="1"/>
  <c r="AE86" i="6" s="1"/>
  <c r="X93" i="6"/>
  <c r="X83" i="6"/>
  <c r="AD83" i="6" s="1"/>
  <c r="AE83" i="6" s="1"/>
  <c r="X66" i="6"/>
  <c r="X90" i="6"/>
  <c r="AD90" i="6" s="1"/>
  <c r="AE90" i="6" s="1"/>
  <c r="AC64" i="6"/>
  <c r="AD64" i="6" s="1"/>
  <c r="AE64" i="6" s="1"/>
  <c r="X96" i="6"/>
  <c r="AD96" i="6" s="1"/>
  <c r="AE96" i="6" s="1"/>
  <c r="AC84" i="6"/>
  <c r="AD84" i="6" s="1"/>
  <c r="AE84" i="6" s="1"/>
  <c r="X80" i="6"/>
  <c r="AD80" i="6" s="1"/>
  <c r="AE80" i="6" s="1"/>
  <c r="X70" i="6"/>
  <c r="AD70" i="6" s="1"/>
  <c r="AE70" i="6" s="1"/>
  <c r="X63" i="6"/>
  <c r="AD63" i="6" s="1"/>
  <c r="AE63" i="6" s="1"/>
  <c r="X97" i="6"/>
  <c r="AC88" i="6"/>
  <c r="X87" i="6"/>
  <c r="AD87" i="6" s="1"/>
  <c r="AE87" i="6" s="1"/>
  <c r="X84" i="6"/>
  <c r="X81" i="6"/>
  <c r="X74" i="6"/>
  <c r="AD74" i="6" s="1"/>
  <c r="AE74" i="6" s="1"/>
  <c r="X94" i="6"/>
  <c r="AD94" i="6" s="1"/>
  <c r="AE94" i="6" s="1"/>
  <c r="AC86" i="6"/>
  <c r="X78" i="6"/>
  <c r="AD78" i="6" s="1"/>
  <c r="AE78" i="6" s="1"/>
  <c r="AC68" i="6"/>
  <c r="X67" i="6"/>
  <c r="AD67" i="6" s="1"/>
  <c r="AE67" i="6" s="1"/>
  <c r="AC92" i="6"/>
  <c r="X91" i="6"/>
  <c r="AD91" i="6" s="1"/>
  <c r="AE91" i="6" s="1"/>
  <c r="X88" i="6"/>
  <c r="Z76" i="6"/>
  <c r="AC72" i="6"/>
  <c r="X71" i="6"/>
  <c r="AD71" i="6" s="1"/>
  <c r="AE71" i="6" s="1"/>
  <c r="AC66" i="6"/>
  <c r="Z111" i="6"/>
  <c r="AD72" i="6"/>
  <c r="AE72" i="6" s="1"/>
  <c r="AD82" i="6"/>
  <c r="AE82" i="6" s="1"/>
  <c r="AD75" i="6"/>
  <c r="AE75" i="6" s="1"/>
  <c r="AC97" i="6"/>
  <c r="AD97" i="6" s="1"/>
  <c r="AE97" i="6" s="1"/>
  <c r="AC93" i="6"/>
  <c r="AC89" i="6"/>
  <c r="AC85" i="6"/>
  <c r="AD85" i="6" s="1"/>
  <c r="AE85" i="6" s="1"/>
  <c r="AC81" i="6"/>
  <c r="AC77" i="6"/>
  <c r="AD77" i="6" s="1"/>
  <c r="AE77" i="6" s="1"/>
  <c r="AC73" i="6"/>
  <c r="AD73" i="6" s="1"/>
  <c r="AE73" i="6" s="1"/>
  <c r="AC69" i="6"/>
  <c r="AD69" i="6" s="1"/>
  <c r="AE69" i="6" s="1"/>
  <c r="AC65" i="6"/>
  <c r="AC24" i="6"/>
  <c r="X21" i="6"/>
  <c r="X49" i="6"/>
  <c r="AC30" i="6"/>
  <c r="AC43" i="6"/>
  <c r="X39" i="6"/>
  <c r="X46" i="6"/>
  <c r="X51" i="6"/>
  <c r="AC9" i="6"/>
  <c r="AC39" i="6"/>
  <c r="AC10" i="6"/>
  <c r="AC26" i="6"/>
  <c r="AC15" i="6"/>
  <c r="X33" i="6"/>
  <c r="X60" i="6"/>
  <c r="X25" i="6"/>
  <c r="X9" i="6"/>
  <c r="AC56" i="6"/>
  <c r="X45" i="6"/>
  <c r="X56" i="6"/>
  <c r="AC16" i="6"/>
  <c r="AC35" i="6"/>
  <c r="X99" i="6"/>
  <c r="X31" i="6"/>
  <c r="X17" i="6"/>
  <c r="X41" i="6"/>
  <c r="X36" i="6"/>
  <c r="X44" i="6"/>
  <c r="X34" i="6"/>
  <c r="AC23" i="6"/>
  <c r="X15" i="6"/>
  <c r="X12" i="6"/>
  <c r="X54" i="6"/>
  <c r="X26" i="6"/>
  <c r="X57" i="6"/>
  <c r="Z9" i="6"/>
  <c r="AC51" i="6"/>
  <c r="AC46" i="6"/>
  <c r="AC14" i="6"/>
  <c r="X28" i="6"/>
  <c r="AC32" i="6"/>
  <c r="Z56" i="6"/>
  <c r="X53" i="6"/>
  <c r="AC40" i="6"/>
  <c r="X37" i="6"/>
  <c r="AC31" i="6"/>
  <c r="X20" i="6"/>
  <c r="X18" i="6"/>
  <c r="AC62" i="6"/>
  <c r="AC50" i="6"/>
  <c r="X23" i="6"/>
  <c r="AC19" i="6"/>
  <c r="Z32" i="6"/>
  <c r="Z19" i="6"/>
  <c r="Z16" i="6"/>
  <c r="X55" i="6"/>
  <c r="AC11" i="6"/>
  <c r="X48" i="6"/>
  <c r="AC8" i="6"/>
  <c r="X52" i="6"/>
  <c r="X38" i="6"/>
  <c r="AC58" i="6"/>
  <c r="AC54" i="6"/>
  <c r="AC36" i="6"/>
  <c r="X35" i="6"/>
  <c r="X32" i="6"/>
  <c r="X29" i="6"/>
  <c r="AC20" i="6"/>
  <c r="X19" i="6"/>
  <c r="X16" i="6"/>
  <c r="X13" i="6"/>
  <c r="X59" i="6"/>
  <c r="AC47" i="6"/>
  <c r="AC27" i="6"/>
  <c r="X22" i="6"/>
  <c r="Z40" i="6"/>
  <c r="AC34" i="6"/>
  <c r="Z24" i="6"/>
  <c r="AC18" i="6"/>
  <c r="X62" i="6"/>
  <c r="X8" i="6"/>
  <c r="AC38" i="6"/>
  <c r="X10" i="6"/>
  <c r="AC59" i="6"/>
  <c r="AC55" i="6"/>
  <c r="X61" i="6"/>
  <c r="X43" i="6"/>
  <c r="X30" i="6"/>
  <c r="AC22" i="6"/>
  <c r="X14" i="6"/>
  <c r="X47" i="6"/>
  <c r="AC42" i="6"/>
  <c r="X40" i="6"/>
  <c r="AC28" i="6"/>
  <c r="X27" i="6"/>
  <c r="X24" i="6"/>
  <c r="AC12" i="6"/>
  <c r="X11" i="6"/>
  <c r="Z57" i="6"/>
  <c r="AC57" i="6"/>
  <c r="AC99" i="6"/>
  <c r="AC52" i="6"/>
  <c r="X50" i="6"/>
  <c r="Z53" i="6"/>
  <c r="AC53" i="6"/>
  <c r="AC60" i="6"/>
  <c r="X58" i="6"/>
  <c r="AC48" i="6"/>
  <c r="X42" i="6"/>
  <c r="Z61" i="6"/>
  <c r="AC61" i="6"/>
  <c r="Z49" i="6"/>
  <c r="AC49" i="6"/>
  <c r="AC44" i="6"/>
  <c r="Z45" i="6"/>
  <c r="AC45" i="6"/>
  <c r="AC41" i="6"/>
  <c r="AC37" i="6"/>
  <c r="AC33" i="6"/>
  <c r="AC29" i="6"/>
  <c r="AC25" i="6"/>
  <c r="AC21" i="6"/>
  <c r="AC17" i="6"/>
  <c r="AC13" i="6"/>
  <c r="AJ101" i="6"/>
  <c r="AI101" i="6"/>
  <c r="AH101" i="6"/>
  <c r="AG101" i="6"/>
  <c r="AF101" i="6"/>
  <c r="AB7" i="6"/>
  <c r="Y7" i="6"/>
  <c r="W7" i="6"/>
  <c r="S7" i="6"/>
  <c r="U7" i="6" s="1"/>
  <c r="AD37" i="8" l="1"/>
  <c r="AE37" i="8" s="1"/>
  <c r="AD39" i="8"/>
  <c r="AE39" i="8" s="1"/>
  <c r="AD57" i="7"/>
  <c r="AE57" i="7" s="1"/>
  <c r="AD26" i="9"/>
  <c r="AE26" i="9" s="1"/>
  <c r="AD41" i="9"/>
  <c r="AE41" i="9" s="1"/>
  <c r="AD39" i="9"/>
  <c r="AE39" i="9" s="1"/>
  <c r="AD34" i="8"/>
  <c r="AE34" i="8" s="1"/>
  <c r="AD47" i="7"/>
  <c r="AE47" i="7" s="1"/>
  <c r="AD31" i="8"/>
  <c r="AE31" i="8" s="1"/>
  <c r="AD48" i="9"/>
  <c r="AE48" i="9" s="1"/>
  <c r="AD47" i="9"/>
  <c r="AE47" i="9" s="1"/>
  <c r="AD20" i="9"/>
  <c r="AE20" i="9" s="1"/>
  <c r="AD46" i="9"/>
  <c r="AE46" i="9" s="1"/>
  <c r="AD40" i="9"/>
  <c r="AE40" i="9" s="1"/>
  <c r="AD38" i="9"/>
  <c r="AE38" i="9" s="1"/>
  <c r="AD11" i="9"/>
  <c r="AE11" i="9" s="1"/>
  <c r="Z53" i="9"/>
  <c r="AD18" i="8"/>
  <c r="AE18" i="8" s="1"/>
  <c r="AD32" i="8"/>
  <c r="AE32" i="8" s="1"/>
  <c r="AD19" i="8"/>
  <c r="AE19" i="8" s="1"/>
  <c r="AD33" i="8"/>
  <c r="AE33" i="8" s="1"/>
  <c r="Z42" i="8"/>
  <c r="Z61" i="7"/>
  <c r="AD44" i="7"/>
  <c r="AE44" i="7" s="1"/>
  <c r="AD40" i="7"/>
  <c r="AE40" i="7" s="1"/>
  <c r="AD42" i="7"/>
  <c r="AE42" i="7" s="1"/>
  <c r="AD14" i="9"/>
  <c r="AE14" i="9" s="1"/>
  <c r="AD50" i="9"/>
  <c r="AE50" i="9" s="1"/>
  <c r="AD35" i="7"/>
  <c r="AE35" i="7" s="1"/>
  <c r="AD51" i="7"/>
  <c r="AE51" i="7" s="1"/>
  <c r="AD39" i="7"/>
  <c r="AE39" i="7" s="1"/>
  <c r="AD51" i="9"/>
  <c r="AE51" i="9" s="1"/>
  <c r="AD36" i="9"/>
  <c r="AE36" i="9" s="1"/>
  <c r="AD92" i="6"/>
  <c r="AE92" i="6" s="1"/>
  <c r="AD66" i="6"/>
  <c r="AE66" i="6" s="1"/>
  <c r="AD88" i="6"/>
  <c r="AE88" i="6" s="1"/>
  <c r="AD65" i="6"/>
  <c r="AE65" i="6" s="1"/>
  <c r="AD53" i="7"/>
  <c r="AE53" i="7" s="1"/>
  <c r="AD43" i="9"/>
  <c r="AE43" i="9" s="1"/>
  <c r="AD42" i="9"/>
  <c r="AE42" i="9" s="1"/>
  <c r="AC53" i="9"/>
  <c r="AD45" i="9"/>
  <c r="AE45" i="9" s="1"/>
  <c r="AD35" i="9"/>
  <c r="AE35" i="9" s="1"/>
  <c r="AD44" i="9"/>
  <c r="AE44" i="9" s="1"/>
  <c r="AD34" i="9"/>
  <c r="AE34" i="9" s="1"/>
  <c r="AD37" i="9"/>
  <c r="AE37" i="9" s="1"/>
  <c r="AC42" i="8"/>
  <c r="AE7" i="8"/>
  <c r="AC61" i="7"/>
  <c r="AD38" i="7"/>
  <c r="AE38" i="7" s="1"/>
  <c r="AE7" i="7"/>
  <c r="AD37" i="7"/>
  <c r="AE37" i="7" s="1"/>
  <c r="AD36" i="7"/>
  <c r="AE36" i="7" s="1"/>
  <c r="AD89" i="6"/>
  <c r="AE89" i="6" s="1"/>
  <c r="AD93" i="6"/>
  <c r="AE93" i="6" s="1"/>
  <c r="AD81" i="6"/>
  <c r="AE81" i="6" s="1"/>
  <c r="AD49" i="6"/>
  <c r="AE49" i="6" s="1"/>
  <c r="AD16" i="6"/>
  <c r="AE16" i="6" s="1"/>
  <c r="AD45" i="6"/>
  <c r="AE45" i="6" s="1"/>
  <c r="AD21" i="6"/>
  <c r="AE21" i="6" s="1"/>
  <c r="AD40" i="6"/>
  <c r="AE40" i="6" s="1"/>
  <c r="AD62" i="6"/>
  <c r="AE62" i="6" s="1"/>
  <c r="AD24" i="6"/>
  <c r="AE24" i="6" s="1"/>
  <c r="AD22" i="6"/>
  <c r="AE22" i="6" s="1"/>
  <c r="AD26" i="6"/>
  <c r="AE26" i="6" s="1"/>
  <c r="AD41" i="6"/>
  <c r="AE41" i="6" s="1"/>
  <c r="AD46" i="6"/>
  <c r="AE46" i="6" s="1"/>
  <c r="AD33" i="6"/>
  <c r="AE33" i="6" s="1"/>
  <c r="AD43" i="6"/>
  <c r="AE43" i="6" s="1"/>
  <c r="AD39" i="6"/>
  <c r="AE39" i="6" s="1"/>
  <c r="AD54" i="6"/>
  <c r="AE54" i="6" s="1"/>
  <c r="AD9" i="6"/>
  <c r="AE9" i="6" s="1"/>
  <c r="AD31" i="6"/>
  <c r="AE31" i="6" s="1"/>
  <c r="AD58" i="6"/>
  <c r="AE58" i="6" s="1"/>
  <c r="AD23" i="6"/>
  <c r="AE23" i="6" s="1"/>
  <c r="AD12" i="6"/>
  <c r="AE12" i="6" s="1"/>
  <c r="AD27" i="6"/>
  <c r="AE27" i="6" s="1"/>
  <c r="AD30" i="6"/>
  <c r="AE30" i="6" s="1"/>
  <c r="AD32" i="6"/>
  <c r="AE32" i="6" s="1"/>
  <c r="AD28" i="6"/>
  <c r="AE28" i="6" s="1"/>
  <c r="AD59" i="6"/>
  <c r="AE59" i="6" s="1"/>
  <c r="AD51" i="6"/>
  <c r="AE51" i="6" s="1"/>
  <c r="AD35" i="6"/>
  <c r="AE35" i="6" s="1"/>
  <c r="AD56" i="6"/>
  <c r="AE56" i="6" s="1"/>
  <c r="AD61" i="6"/>
  <c r="AE61" i="6" s="1"/>
  <c r="AD10" i="6"/>
  <c r="AE10" i="6" s="1"/>
  <c r="AD20" i="6"/>
  <c r="AE20" i="6" s="1"/>
  <c r="AD17" i="6"/>
  <c r="AE17" i="6" s="1"/>
  <c r="AD11" i="6"/>
  <c r="AE11" i="6" s="1"/>
  <c r="AD14" i="6"/>
  <c r="AE14" i="6" s="1"/>
  <c r="AD42" i="6"/>
  <c r="AE42" i="6" s="1"/>
  <c r="AD50" i="6"/>
  <c r="AE50" i="6" s="1"/>
  <c r="AD60" i="6"/>
  <c r="AE60" i="6" s="1"/>
  <c r="AD18" i="6"/>
  <c r="AE18" i="6" s="1"/>
  <c r="AD36" i="6"/>
  <c r="AE36" i="6" s="1"/>
  <c r="AD53" i="6"/>
  <c r="AE53" i="6" s="1"/>
  <c r="AD15" i="6"/>
  <c r="AE15" i="6" s="1"/>
  <c r="AD25" i="6"/>
  <c r="AE25" i="6" s="1"/>
  <c r="AD99" i="6"/>
  <c r="AE99" i="6" s="1"/>
  <c r="AD38" i="6"/>
  <c r="AE38" i="6" s="1"/>
  <c r="AC7" i="6"/>
  <c r="AD8" i="6"/>
  <c r="AE8" i="6" s="1"/>
  <c r="AD34" i="6"/>
  <c r="AE34" i="6" s="1"/>
  <c r="AD37" i="6"/>
  <c r="AE37" i="6" s="1"/>
  <c r="AD52" i="6"/>
  <c r="AE52" i="6" s="1"/>
  <c r="AD48" i="6"/>
  <c r="AE48" i="6" s="1"/>
  <c r="AD44" i="6"/>
  <c r="AE44" i="6" s="1"/>
  <c r="AD57" i="6"/>
  <c r="AE57" i="6" s="1"/>
  <c r="AD47" i="6"/>
  <c r="AE47" i="6" s="1"/>
  <c r="AD19" i="6"/>
  <c r="AE19" i="6" s="1"/>
  <c r="AD29" i="6"/>
  <c r="AE29" i="6" s="1"/>
  <c r="AD55" i="6"/>
  <c r="AE55" i="6" s="1"/>
  <c r="AD13" i="6"/>
  <c r="AE13" i="6" s="1"/>
  <c r="X7" i="6"/>
  <c r="Z7" i="6"/>
  <c r="AD53" i="9" l="1"/>
  <c r="AE53" i="9" s="1"/>
  <c r="AD42" i="8"/>
  <c r="AE42" i="8" s="1"/>
  <c r="AD61" i="7"/>
  <c r="AE61" i="7" s="1"/>
  <c r="AD7" i="6"/>
  <c r="AE7" i="6" s="1"/>
  <c r="AC101" i="6"/>
  <c r="Z101" i="6"/>
  <c r="AD101" i="6" l="1"/>
  <c r="AE101" i="6" s="1"/>
</calcChain>
</file>

<file path=xl/sharedStrings.xml><?xml version="1.0" encoding="utf-8"?>
<sst xmlns="http://schemas.openxmlformats.org/spreadsheetml/2006/main" count="989" uniqueCount="148">
  <si>
    <t>Supplier</t>
  </si>
  <si>
    <t>URL</t>
  </si>
  <si>
    <t>Net P</t>
  </si>
  <si>
    <t>X-rate</t>
  </si>
  <si>
    <t>Net P NOK</t>
  </si>
  <si>
    <t>Type</t>
  </si>
  <si>
    <t>To date</t>
  </si>
  <si>
    <t>Supp curr</t>
  </si>
  <si>
    <t>NOK</t>
  </si>
  <si>
    <t>Sales curr</t>
  </si>
  <si>
    <t>EUR</t>
  </si>
  <si>
    <t>Sales P NOK tot</t>
  </si>
  <si>
    <t>GP NOK</t>
  </si>
  <si>
    <t>GP %</t>
  </si>
  <si>
    <t>Units</t>
  </si>
  <si>
    <t>SEK</t>
  </si>
  <si>
    <t>DKK</t>
  </si>
  <si>
    <t>ISK</t>
  </si>
  <si>
    <t>Totals</t>
  </si>
  <si>
    <t>ID</t>
  </si>
  <si>
    <t>Price</t>
  </si>
  <si>
    <t>Status</t>
  </si>
  <si>
    <t>Supp Comm</t>
  </si>
  <si>
    <t>From date</t>
  </si>
  <si>
    <t>From time</t>
  </si>
  <si>
    <t>To time</t>
  </si>
  <si>
    <t>VAT25</t>
  </si>
  <si>
    <t>VAT15</t>
  </si>
  <si>
    <t>VAT0-D</t>
  </si>
  <si>
    <t>VAT0-I</t>
  </si>
  <si>
    <t>VAT12</t>
  </si>
  <si>
    <t>USD</t>
  </si>
  <si>
    <t xml:space="preserve"> </t>
  </si>
  <si>
    <t>Comments</t>
  </si>
  <si>
    <t>Travel element</t>
  </si>
  <si>
    <t>Day</t>
  </si>
  <si>
    <t>Manual booking?</t>
  </si>
  <si>
    <t>Non-refundable</t>
  </si>
  <si>
    <t>Refundable</t>
  </si>
  <si>
    <t>Gross P</t>
  </si>
  <si>
    <t>Gross P per unit</t>
  </si>
  <si>
    <t>Sales P per unit</t>
  </si>
  <si>
    <t>x</t>
  </si>
  <si>
    <t xml:space="preserve">Rooming: </t>
  </si>
  <si>
    <t xml:space="preserve">Pax: </t>
  </si>
  <si>
    <t>Quote</t>
  </si>
  <si>
    <t>PP</t>
  </si>
  <si>
    <t>Ref</t>
  </si>
  <si>
    <t>NoRef</t>
  </si>
  <si>
    <t>Deposit</t>
  </si>
  <si>
    <t>Rest</t>
  </si>
  <si>
    <t>Second</t>
  </si>
  <si>
    <t xml:space="preserve">Dates: </t>
  </si>
  <si>
    <t>Day 1</t>
  </si>
  <si>
    <t>Arrival</t>
  </si>
  <si>
    <t>Dates: Summer</t>
  </si>
  <si>
    <t>Pax: 2 pax</t>
  </si>
  <si>
    <t>Rooming: Double</t>
  </si>
  <si>
    <t>Transfer</t>
  </si>
  <si>
    <t>Hotel</t>
  </si>
  <si>
    <t>Leisure</t>
  </si>
  <si>
    <t>Day 2</t>
  </si>
  <si>
    <t>Stockholm: Welcome to Sweden</t>
  </si>
  <si>
    <t>Stockholm: Self transfer to your accommodation</t>
  </si>
  <si>
    <t>Stockholm: Check in to your accommodation for a X night stay -  - Standard Room - Breakfast included</t>
  </si>
  <si>
    <t>Stockholm: Spend time at leisure</t>
  </si>
  <si>
    <t xml:space="preserve">Stockholm - Gothenburg - Malmø </t>
  </si>
  <si>
    <t>Train</t>
  </si>
  <si>
    <t>Activity</t>
  </si>
  <si>
    <t>Day 3</t>
  </si>
  <si>
    <t>Day 4</t>
  </si>
  <si>
    <t>Day 5</t>
  </si>
  <si>
    <t>Day 6</t>
  </si>
  <si>
    <t>Flight</t>
  </si>
  <si>
    <t>Departure</t>
  </si>
  <si>
    <t>Dates: Winter</t>
  </si>
  <si>
    <t>Pax: 2</t>
  </si>
  <si>
    <t>Kiruna: Self transfer to Kiruna Airport</t>
  </si>
  <si>
    <t>Kiruna: Departure home</t>
  </si>
  <si>
    <t>Kiruna: Spend time at leisure</t>
  </si>
  <si>
    <t>Stockholm: Self transfer to Stockholm Airport</t>
  </si>
  <si>
    <t>Stockholm: Flight to Kiruna - Time: Date dependant - Luggage included: 1 x 23 kg check in and 1 x 8 kg carry on per person</t>
  </si>
  <si>
    <t>Kiruna: Self transfer to your accommodaiton</t>
  </si>
  <si>
    <t>Kiruna: Check in to your accommodation for a 3 night stay -  - Standard Room - Breakfast included</t>
  </si>
  <si>
    <t>Car</t>
  </si>
  <si>
    <t>Drive</t>
  </si>
  <si>
    <t>https://www.google.no/maps/dir/Stockholm,+Sverige/Karlstad,+Sverige/G%C3%B6teborg,+Sverige/Helsingborg,+Sverige/Karlskrona+kommune,+Sverige/V%C3%A4stervik,+Sverige/Stockholm,+Sverige/@58.2331477,9.1480144,1175664m/data=!3m1!1e3!4m44!4m43!1m5!1m1!1s0x465f763119640bcb:0xa80d27d3679d7766!2m2!1d18.0656255!2d59.3327036!1m5!1m1!1s0x465cb3d8e8ebe6f5:0xb8159334bc4aadd!2m2!1d13.5041809!2d59.3782296!1m5!1m1!1s0x464f8e67966c073f:0x4019078290e7c40!2m2!1d11.97456!2d57.70887!1m5!1m1!1s0x46522d7a50a22925:0x4019078290e7a90!2m2!1d12.6945121!2d56.0464674!1m5!1m1!1s0x4656125ba6e47d1d:0x400fef341e47840!2m2!1d15.5869001!2d56.161224!1m5!1m1!1s0x465842418a72d1d9:0x66d4694b77bbf5ba!2m2!1d16.6369759!2d57.7577156!1m5!1m1!1s0x465f763119640bcb:0xa80d27d3679d7766!2m2!1d18.0656255!2d59.3327036!3e0?entry=ttu&amp;g_ep=EgoyMDI2MDIwOC4wIKXMDSoASAFQAw%3D%3D</t>
  </si>
  <si>
    <t>Self drive: Stockholm - Karlstad - Gothenburg - Helsingborg - Karlskrona - Vastervik - Stockholm</t>
  </si>
  <si>
    <t>Karlstad: Spend time at leisure</t>
  </si>
  <si>
    <t>Gothenburg: Spend time at leisure</t>
  </si>
  <si>
    <t>Helsingborg: Spend time at leisure</t>
  </si>
  <si>
    <t>Karlskrona: Spend time at leisure</t>
  </si>
  <si>
    <t>Västervik: Spend tim at leisure</t>
  </si>
  <si>
    <t>Day 7</t>
  </si>
  <si>
    <t>Day 8</t>
  </si>
  <si>
    <t>Stockholm: Drive to Stockholm Airport</t>
  </si>
  <si>
    <t>Stockholm: Deliver your rental car</t>
  </si>
  <si>
    <t>Stockholm: Departure home</t>
  </si>
  <si>
    <t>Stockholm: Drive to your accommodation</t>
  </si>
  <si>
    <t>Karlstad: Drive to Gothenburg - Time: 3hrs 30 min - Highlights: Borgvik Manor, Läckö Castle, Kinneulle, Husaby Church, Skara Cathedral, Varnhem Abbey, Äskekärr Viking Village, Skansen Kronan, Skansen Lejonet</t>
  </si>
  <si>
    <t xml:space="preserve">Stockholm: Drive to Karlstad - Time: 4hrs - Highlights: Gripsholm Castle, Strängnäs Cathedral, Arboga Medieval Town, Björskog Snökälla Runestone,  Örebro Castle, Picasso Sculpture </t>
  </si>
  <si>
    <t>Gothenburg: Drive to Helsingborg - Time: 2hrs 30 min - Highlights: Älvsborg Fortress, Tjolöholm Castle, Varberg Fortress, Grimeton Radio Station, Halmstad Castle, Båstad Old Railway Station, Sofiero Palace, Kärnan Tower</t>
  </si>
  <si>
    <t>Helsingborg: Drive to Karlskrona - Time: 3hrs - Highlights: Glimmingehus, Ale's Stones, Svaneholm Castle, Christinehof Castle, Stenshuvud National Park, Naval Port of Karlskrona, Fredrikskyrkan</t>
  </si>
  <si>
    <t>Karlskrona: Drive to Västervik - Time: 3hrs - Highlights: Kungsholms Fort, Brömsebro Treaty Stone, Kalmar Castle, Kalmar Cathedral, Borgholm Castle, Eketorp Fort, Virum Moose Park, Västervik Castle Ruins</t>
  </si>
  <si>
    <t>Västervik: Drive to Stockholm - Time: 3hrs 30 min - Highlights: Stegeholm Castle Ruins, Gamleby Church Ruins, Stjärnorps Castle Ruins, Linköping Cathedral, Vadstena Castle, Drottningholm Palace</t>
  </si>
  <si>
    <t xml:space="preserve">Stockholm: Pick up your car at the airport car rental office - Automatic Sedan - Includes: Airport service charge, Collision damage waiver, VAT, Vehicle licence fee / road fund licence, Theft protection, Cancellation fee, Unlimited mileage </t>
  </si>
  <si>
    <t>Stockholm: Check in to your accommodation for a 1 night stay - Central 4-star hotel - Standard Room - Breakfast included</t>
  </si>
  <si>
    <t>Gothenburg: Check in to your accommodation for a 1 night stay - Central 4-star hotel - Standard Room - Breakfast included</t>
  </si>
  <si>
    <t>Helsingborg: Check in to your accommodation for a 1 night stay - Central 4-star hotel - Standard Room - Breakfast included</t>
  </si>
  <si>
    <t>Karlskrona: Check in to your accommodation for a 1 night stay - Central 4-star hotel - Standard Room - Breakfast included</t>
  </si>
  <si>
    <t>Västervik: Check in to your accommodation for a 1 night stay - Central 4-star hotel - Standard Room - Breakfast included</t>
  </si>
  <si>
    <t>Karlstad: Check in to your accommodation for a 1 night stay - Central 4-star hotel - Standard Room - Breakfast included</t>
  </si>
  <si>
    <t>Kiruna: Northern Lights Hunt with Pro Photographer - Time: 7:00 pm - 12:00 am - Meeting point: Hotel Pick up - Includes: Pick-up/drop-off in central Kiruna, Knowledgeable guide &amp; photographer, Coffee and/or tea with snacks</t>
  </si>
  <si>
    <t>https://booknordics.com/sweden/swedish-lapland/kiruna-and-abisko/kiruna-northern-lights-tour-with-photographer</t>
  </si>
  <si>
    <t>https://booknordics.com/sweden/swedish-lapland/kiruna-and-abisko/day-tour-with-snowmobile-in-kiruna-1030-am</t>
  </si>
  <si>
    <t>Kiruna: Northern Light Minibus Hunt to Abisko National Park - Time: 7:30 pm - 12:30 am - Meeting point: Hotel Pick up - Includes: Pick-up from selected locations, Transfer with heated minibus, Professional, English-speaking guide, Help with taking pictures, Swedish fika with warm juice</t>
  </si>
  <si>
    <t>https://booknordics.com/sweden/swedish-lapland/kiruna-and-abisko/northern-light-minibus-hunt-to-abisko-national-park-730-pm</t>
  </si>
  <si>
    <t>Kiruna: Snowmobiling Day Tour into the Arctic Wilderness - Time: 10:30 am - 2:00 pm - Meeting point: Hotel Pick up Includes: Pick-up from selected locations, Guided snowmobile tour experience, High-quality Arctic snowmobile gear, Overalls, helmets, shoes and gloves, Swedish fika with warm lingonberry juice</t>
  </si>
  <si>
    <t>Stockholm: Check in to your accommodation for a 1 night stay - Centrally located 4 star hotel - Standard Room - Breakfast included</t>
  </si>
  <si>
    <t>Kiruna: Moose Safari - Time: 09:00 am - 2:00 pm - Meeting point: Hotel pick up - Includes: Transfer to/from your accommodation, Moose safari chase, Professional, English-speaking guide</t>
  </si>
  <si>
    <t>Transfer Package</t>
  </si>
  <si>
    <t>Stockholm: Private transfer to your accommodation</t>
  </si>
  <si>
    <t>Stockholm: Private transfer to Stockholm Airport</t>
  </si>
  <si>
    <t>Kiruna: Private transfer to your accommodaiton</t>
  </si>
  <si>
    <t>Kiruna: Private transfer to Kiruna Airport</t>
  </si>
  <si>
    <t>Hotel upgrade</t>
  </si>
  <si>
    <t>Kiruna: Upgrade to Kiruna Ice Hotel for a 1 night stay in a Ice Room - Breakfast included - Avaliable December - April</t>
  </si>
  <si>
    <t>Karlstad: Self transfer to your accommodation</t>
  </si>
  <si>
    <t>Gothenburg: Self transfer to your accommodation</t>
  </si>
  <si>
    <t>Helsingborg: Self transfer to your accommodation</t>
  </si>
  <si>
    <t>Karlskrona: Self transfer to your accommodation</t>
  </si>
  <si>
    <t>Västervik: Self transfer to your accommodation</t>
  </si>
  <si>
    <t>Stockholm: Self transfer to Stockholm Central Station</t>
  </si>
  <si>
    <t>Karlstad: Self transfer to Karlstad Central Station</t>
  </si>
  <si>
    <t>Gothenburg: Self transfer to Gothenburg Central Station</t>
  </si>
  <si>
    <t>Helsingborg: Self transfer to Helsingborg Central Station</t>
  </si>
  <si>
    <t>Karlskrona: Self transfer to Karlskrona Central Station</t>
  </si>
  <si>
    <t>Västervik: Self transfer to Västervik Central Station</t>
  </si>
  <si>
    <t>Stockholm: Scenic Train Transfer to Karlstad - Time: xxx - Includes: Tickets</t>
  </si>
  <si>
    <t>Karlstad: Scenic Train Transfer to Gothenburg - Time: xxx - Includes: Tickets</t>
  </si>
  <si>
    <t>Gothenburg: Scenic Train Transfer to Helsingborg - Time: xxx - Includes: Tickets</t>
  </si>
  <si>
    <t>Helsingborg: Scenic Train Transfer to Karlskrona - Time: xxx - Includes: Tickets</t>
  </si>
  <si>
    <t>Karlskrona: Scenic Train Transfer to Västervik - Time: xxx - Includes: Tickets</t>
  </si>
  <si>
    <t>Västervik: Scenic Train Transfer to Stockholm - Time: xxx - Includes: Tickets</t>
  </si>
  <si>
    <t>Shoulder</t>
  </si>
  <si>
    <t>High</t>
  </si>
  <si>
    <t>Xmas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</si>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</sst>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\ 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distributed" wrapText="1"/>
    </xf>
    <xf numFmtId="49" fontId="2" fillId="3" borderId="1" xfId="0" applyNumberFormat="1" applyFont="1" applyFill="1" applyBorder="1" applyAlignment="1">
      <alignment horizontal="center" vertical="distributed" wrapText="1"/>
    </xf>
    <xf numFmtId="3" fontId="2" fillId="3" borderId="1" xfId="0" applyNumberFormat="1" applyFont="1" applyFill="1" applyBorder="1" applyAlignment="1">
      <alignment horizontal="center" vertical="distributed" wrapText="1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3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0" fontId="2" fillId="2" borderId="2" xfId="0" applyFont="1" applyFill="1" applyBorder="1"/>
    <xf numFmtId="3" fontId="2" fillId="2" borderId="2" xfId="0" applyNumberFormat="1" applyFont="1" applyFill="1" applyBorder="1"/>
    <xf numFmtId="4" fontId="0" fillId="2" borderId="0" xfId="0" applyNumberFormat="1" applyFill="1" applyAlignment="1">
      <alignment horizontal="center"/>
    </xf>
    <xf numFmtId="9" fontId="0" fillId="2" borderId="0" xfId="0" applyNumberFormat="1" applyFill="1"/>
    <xf numFmtId="2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 applyAlignment="1">
      <alignment horizontal="center"/>
    </xf>
    <xf numFmtId="9" fontId="2" fillId="2" borderId="2" xfId="1" applyFont="1" applyFill="1" applyBorder="1"/>
    <xf numFmtId="0" fontId="3" fillId="2" borderId="0" xfId="2" applyFill="1"/>
    <xf numFmtId="3" fontId="0" fillId="2" borderId="0" xfId="0" applyNumberFormat="1" applyFill="1" applyAlignment="1">
      <alignment horizontal="left"/>
    </xf>
    <xf numFmtId="164" fontId="0" fillId="2" borderId="0" xfId="0" quotePrefix="1" applyNumberFormat="1" applyFill="1" applyAlignment="1">
      <alignment horizontal="left"/>
    </xf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2" xfId="0" applyFont="1" applyFill="1" applyBorder="1"/>
    <xf numFmtId="0" fontId="3" fillId="0" borderId="0" xfId="2"/>
    <xf numFmtId="164" fontId="4" fillId="2" borderId="2" xfId="0" applyNumberFormat="1" applyFont="1" applyFill="1" applyBorder="1"/>
    <xf numFmtId="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/>
    <xf numFmtId="0" fontId="3" fillId="2" borderId="0" xfId="2" applyFill="1" applyAlignment="1">
      <alignment horizontal="left"/>
    </xf>
    <xf numFmtId="3" fontId="0" fillId="6" borderId="0" xfId="0" applyNumberFormat="1" applyFill="1" applyAlignment="1">
      <alignment horizontal="center"/>
    </xf>
    <xf numFmtId="3" fontId="0" fillId="2" borderId="0" xfId="0" applyNumberFormat="1" applyFill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tinerarys/ITIN-487-Prashant-Mr.Sanjay/Calculation-template-487.xlsx" TargetMode="External"/><Relationship Id="rId2" Type="http://schemas.openxmlformats.org/officeDocument/2006/relationships/externalLinkPath" Target="file:///C:\Users\DennisK&#229;len\Desktop\Itinerarys\ITIN-487-Prashant-Mr.Sanjay\Calculation-template-487.xlsx" TargetMode="External"/><Relationship Id="rId1" Type="http://schemas.openxmlformats.org/officeDocument/2006/relationships/externalLinkPath" Target="/Users/DennisK&#229;len/Desktop/Itinerarys/ITIN-487-Prashant-Mr.Sanjay/Calculation-template-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rr"/>
      <sheetName val="Calc"/>
      <sheetName val="2x room"/>
      <sheetName val="Calc Tromsø"/>
      <sheetName val="Calc Tromsø 2 x room"/>
    </sheetNames>
    <sheetDataSet>
      <sheetData sheetId="0" refreshError="1">
        <row r="2">
          <cell r="B2" t="str">
            <v>EUR</v>
          </cell>
          <cell r="C2">
            <v>11.3</v>
          </cell>
        </row>
        <row r="3">
          <cell r="B3" t="str">
            <v>SEK</v>
          </cell>
          <cell r="C3">
            <v>1.02</v>
          </cell>
        </row>
        <row r="4">
          <cell r="B4" t="str">
            <v>DKK</v>
          </cell>
          <cell r="C4">
            <v>1.5</v>
          </cell>
        </row>
        <row r="5">
          <cell r="B5" t="str">
            <v>ISK</v>
          </cell>
          <cell r="C5">
            <v>7.4999999999999997E-2</v>
          </cell>
        </row>
        <row r="6">
          <cell r="B6" t="str">
            <v>NOK</v>
          </cell>
          <cell r="C6">
            <v>1</v>
          </cell>
        </row>
        <row r="7">
          <cell r="B7" t="str">
            <v>USD</v>
          </cell>
          <cell r="C7">
            <v>10.6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nordics.com/sweden/swedish-lapland/kiruna-and-abisko/northern-light-minibus-hunt-to-abisko-national-park-730-pm" TargetMode="External"/><Relationship Id="rId2" Type="http://schemas.openxmlformats.org/officeDocument/2006/relationships/hyperlink" Target="https://booknordics.com/sweden/swedish-lapland/kiruna-and-abisko/day-tour-with-snowmobile-in-kiruna-1030-am" TargetMode="External"/><Relationship Id="rId1" Type="http://schemas.openxmlformats.org/officeDocument/2006/relationships/hyperlink" Target="https://booknordics.com/sweden/swedish-lapland/kiruna-and-abisko/kiruna-northern-lights-tour-with-photographer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04EA-7225-42CC-89DC-05C1D7355F04}">
  <dimension ref="B1:C7"/>
  <sheetViews>
    <sheetView workbookViewId="0">
      <selection activeCell="C2" sqref="C2"/>
    </sheetView>
  </sheetViews>
  <sheetFormatPr defaultRowHeight="15" x14ac:dyDescent="0.25"/>
  <cols>
    <col min="1" max="1" width="2.5703125" customWidth="1"/>
  </cols>
  <sheetData>
    <row r="1" spans="2:3" x14ac:dyDescent="0.25">
      <c r="C1" t="s">
        <v>8</v>
      </c>
    </row>
    <row r="2" spans="2:3" x14ac:dyDescent="0.25">
      <c r="B2" t="s">
        <v>10</v>
      </c>
      <c r="C2">
        <v>11.3</v>
      </c>
    </row>
    <row r="3" spans="2:3" x14ac:dyDescent="0.25">
      <c r="B3" t="s">
        <v>15</v>
      </c>
      <c r="C3">
        <v>1.02</v>
      </c>
    </row>
    <row r="4" spans="2:3" x14ac:dyDescent="0.25">
      <c r="B4" t="s">
        <v>16</v>
      </c>
      <c r="C4">
        <v>1.5</v>
      </c>
    </row>
    <row r="5" spans="2:3" x14ac:dyDescent="0.25">
      <c r="B5" t="s">
        <v>17</v>
      </c>
      <c r="C5">
        <v>7.4999999999999997E-2</v>
      </c>
    </row>
    <row r="6" spans="2:3" x14ac:dyDescent="0.25">
      <c r="B6" t="s">
        <v>8</v>
      </c>
      <c r="C6">
        <v>1</v>
      </c>
    </row>
    <row r="7" spans="2:3" x14ac:dyDescent="0.25">
      <c r="B7" t="s">
        <v>31</v>
      </c>
      <c r="C7">
        <v>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6C0-BF7F-4EA5-97F6-74A08C367EEF}">
  <sheetPr>
    <tabColor rgb="FFFFFF00"/>
  </sheetPr>
  <dimension ref="B2:AK124"/>
  <sheetViews>
    <sheetView zoomScale="80" zoomScaleNormal="80" workbookViewId="0">
      <selection activeCell="Z111" sqref="Z111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52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E7" s="3"/>
      <c r="F7" s="3"/>
      <c r="G7" s="3"/>
      <c r="H7" s="3"/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IFERROR(VLOOKUP(V7,[1]Curr!$B$2:$C$13,2,FALSE),0)</f>
        <v>11.3</v>
      </c>
      <c r="X7" s="12">
        <f t="shared" ref="X7" si="1">U7*W7</f>
        <v>0</v>
      </c>
      <c r="Y7" s="26">
        <f>Q7</f>
        <v>0</v>
      </c>
      <c r="Z7" s="12">
        <f t="shared" ref="Z7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" si="3">+Y7*AB7*R7</f>
        <v>0</v>
      </c>
      <c r="AD7" s="12">
        <f t="shared" ref="AD7" si="4">+AC7-X7</f>
        <v>0</v>
      </c>
      <c r="AE7" s="13">
        <f t="shared" ref="AE7" si="5">IFERROR(AD7/AC7,0)</f>
        <v>0</v>
      </c>
    </row>
    <row r="8" spans="2:36" x14ac:dyDescent="0.25">
      <c r="B8" s="4"/>
      <c r="E8" s="3"/>
      <c r="F8" s="3"/>
      <c r="G8" s="24"/>
      <c r="H8" s="24"/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ref="S8:S11" si="6">+Q8*R8</f>
        <v>0</v>
      </c>
      <c r="T8" s="5">
        <v>0</v>
      </c>
      <c r="U8" s="12">
        <f t="shared" ref="U8:U11" si="7">S8*(1-T8)</f>
        <v>0</v>
      </c>
      <c r="V8" s="25" t="s">
        <v>10</v>
      </c>
      <c r="W8" s="11">
        <f>IFERROR(VLOOKUP(V8,[1]Curr!$B$2:$C$13,2,FALSE),0)</f>
        <v>11.3</v>
      </c>
      <c r="X8" s="12">
        <f t="shared" ref="X8:X11" si="8">U8*W8</f>
        <v>0</v>
      </c>
      <c r="Y8" s="26">
        <f t="shared" ref="Y8:Y11" si="9">Q8</f>
        <v>0</v>
      </c>
      <c r="Z8" s="12">
        <f t="shared" ref="Z8:Z11" si="10">+Y8*R8</f>
        <v>0</v>
      </c>
      <c r="AA8" s="4" t="s">
        <v>10</v>
      </c>
      <c r="AB8" s="11">
        <f>IFERROR(VLOOKUP(AA8,Curr!$B$2:$C$13,2,FALSE),0)</f>
        <v>11.3</v>
      </c>
      <c r="AC8" s="12">
        <f t="shared" ref="AC8:AC11" si="11">+Y8*AB8*R8</f>
        <v>0</v>
      </c>
      <c r="AD8" s="12">
        <f t="shared" ref="AD8:AD11" si="12">+AC8-X8</f>
        <v>0</v>
      </c>
      <c r="AE8" s="13">
        <f t="shared" ref="AE8:AE11" si="13">IFERROR(AD8/AC8,0)</f>
        <v>0</v>
      </c>
    </row>
    <row r="9" spans="2:36" x14ac:dyDescent="0.25">
      <c r="B9" s="4"/>
      <c r="E9" s="3"/>
      <c r="F9" s="3"/>
      <c r="G9" s="24"/>
      <c r="H9" s="24"/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6"/>
        <v>0</v>
      </c>
      <c r="T9" s="5">
        <v>0</v>
      </c>
      <c r="U9" s="12">
        <f t="shared" si="7"/>
        <v>0</v>
      </c>
      <c r="V9" s="25" t="s">
        <v>10</v>
      </c>
      <c r="W9" s="11">
        <f>IFERROR(VLOOKUP(V9,[1]Curr!$B$2:$C$13,2,FALSE),0)</f>
        <v>11.3</v>
      </c>
      <c r="X9" s="12">
        <f t="shared" si="8"/>
        <v>0</v>
      </c>
      <c r="Y9" s="26">
        <f t="shared" si="9"/>
        <v>0</v>
      </c>
      <c r="Z9" s="12">
        <f t="shared" si="10"/>
        <v>0</v>
      </c>
      <c r="AA9" s="4" t="s">
        <v>10</v>
      </c>
      <c r="AB9" s="11">
        <f>IFERROR(VLOOKUP(AA9,Curr!$B$2:$C$13,2,FALSE),0)</f>
        <v>11.3</v>
      </c>
      <c r="AC9" s="12">
        <f t="shared" si="11"/>
        <v>0</v>
      </c>
      <c r="AD9" s="12">
        <f t="shared" si="12"/>
        <v>0</v>
      </c>
      <c r="AE9" s="13">
        <f t="shared" si="13"/>
        <v>0</v>
      </c>
    </row>
    <row r="10" spans="2:36" x14ac:dyDescent="0.25">
      <c r="B10" s="4"/>
      <c r="E10" s="3"/>
      <c r="F10" s="3"/>
      <c r="G10" s="24"/>
      <c r="H10" s="24"/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6"/>
        <v>0</v>
      </c>
      <c r="T10" s="5">
        <v>0</v>
      </c>
      <c r="U10" s="12">
        <f t="shared" si="7"/>
        <v>0</v>
      </c>
      <c r="V10" s="25" t="s">
        <v>10</v>
      </c>
      <c r="W10" s="11">
        <f>IFERROR(VLOOKUP(V10,[1]Curr!$B$2:$C$13,2,FALSE),0)</f>
        <v>11.3</v>
      </c>
      <c r="X10" s="12">
        <f t="shared" si="8"/>
        <v>0</v>
      </c>
      <c r="Y10" s="26">
        <f t="shared" si="9"/>
        <v>0</v>
      </c>
      <c r="Z10" s="12">
        <f t="shared" si="10"/>
        <v>0</v>
      </c>
      <c r="AA10" s="4" t="s">
        <v>10</v>
      </c>
      <c r="AB10" s="11">
        <f>IFERROR(VLOOKUP(AA10,Curr!$B$2:$C$13,2,FALSE),0)</f>
        <v>11.3</v>
      </c>
      <c r="AC10" s="12">
        <f t="shared" si="11"/>
        <v>0</v>
      </c>
      <c r="AD10" s="12">
        <f t="shared" si="12"/>
        <v>0</v>
      </c>
      <c r="AE10" s="13">
        <f t="shared" si="13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 t="shared" si="6"/>
        <v>0</v>
      </c>
      <c r="T11" s="5">
        <v>0</v>
      </c>
      <c r="U11" s="12">
        <f t="shared" si="7"/>
        <v>0</v>
      </c>
      <c r="V11" s="25" t="s">
        <v>10</v>
      </c>
      <c r="W11" s="11">
        <f>IFERROR(VLOOKUP(V11,[1]Curr!$B$2:$C$13,2,FALSE),0)</f>
        <v>11.3</v>
      </c>
      <c r="X11" s="12">
        <f t="shared" si="8"/>
        <v>0</v>
      </c>
      <c r="Y11" s="26">
        <f t="shared" si="9"/>
        <v>0</v>
      </c>
      <c r="Z11" s="12">
        <f t="shared" si="10"/>
        <v>0</v>
      </c>
      <c r="AA11" s="4" t="s">
        <v>10</v>
      </c>
      <c r="AB11" s="11">
        <f>IFERROR(VLOOKUP(AA11,Curr!$B$2:$C$13,2,FALSE),0)</f>
        <v>11.3</v>
      </c>
      <c r="AC11" s="12">
        <f t="shared" si="11"/>
        <v>0</v>
      </c>
      <c r="AD11" s="12">
        <f t="shared" si="12"/>
        <v>0</v>
      </c>
      <c r="AE11" s="13">
        <f t="shared" si="13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33"/>
      <c r="Q12" s="25">
        <v>0</v>
      </c>
      <c r="R12" s="25">
        <v>0</v>
      </c>
      <c r="S12" s="12">
        <f t="shared" ref="S12:S99" si="14">+Q12*R12</f>
        <v>0</v>
      </c>
      <c r="T12" s="5">
        <v>0</v>
      </c>
      <c r="U12" s="12">
        <f t="shared" ref="U12:U99" si="15">S12*(1-T12)</f>
        <v>0</v>
      </c>
      <c r="V12" s="25" t="s">
        <v>10</v>
      </c>
      <c r="W12" s="11">
        <f>IFERROR(VLOOKUP(V12,[1]Curr!$B$2:$C$13,2,FALSE),0)</f>
        <v>11.3</v>
      </c>
      <c r="X12" s="12">
        <f t="shared" ref="X12:X99" si="16">U12*W12</f>
        <v>0</v>
      </c>
      <c r="Y12" s="26">
        <f t="shared" ref="Y12:Y99" si="17">Q12</f>
        <v>0</v>
      </c>
      <c r="Z12" s="12">
        <f t="shared" ref="Z12:Z99" si="18">+Y12*R12</f>
        <v>0</v>
      </c>
      <c r="AA12" s="4" t="s">
        <v>10</v>
      </c>
      <c r="AB12" s="11">
        <f>IFERROR(VLOOKUP(AA12,Curr!$B$2:$C$13,2,FALSE),0)</f>
        <v>11.3</v>
      </c>
      <c r="AC12" s="12">
        <f t="shared" ref="AC12:AC99" si="19">+Y12*AB12*R12</f>
        <v>0</v>
      </c>
      <c r="AD12" s="12">
        <f t="shared" ref="AD12:AD99" si="20">+AC12-X12</f>
        <v>0</v>
      </c>
      <c r="AE12" s="13">
        <f t="shared" ref="AE12:AE99" si="21">IFERROR(AD12/AC12,0)</f>
        <v>0</v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14"/>
        <v>0</v>
      </c>
      <c r="T13" s="5">
        <v>0</v>
      </c>
      <c r="U13" s="12">
        <f t="shared" si="15"/>
        <v>0</v>
      </c>
      <c r="V13" s="25" t="s">
        <v>10</v>
      </c>
      <c r="W13" s="11">
        <f>IFERROR(VLOOKUP(V13,[1]Curr!$B$2:$C$13,2,FALSE),0)</f>
        <v>11.3</v>
      </c>
      <c r="X13" s="12">
        <f t="shared" si="16"/>
        <v>0</v>
      </c>
      <c r="Y13" s="26">
        <f t="shared" si="17"/>
        <v>0</v>
      </c>
      <c r="Z13" s="12">
        <f t="shared" si="18"/>
        <v>0</v>
      </c>
      <c r="AA13" s="4" t="s">
        <v>10</v>
      </c>
      <c r="AB13" s="11">
        <f>IFERROR(VLOOKUP(AA13,Curr!$B$2:$C$13,2,FALSE),0)</f>
        <v>11.3</v>
      </c>
      <c r="AC13" s="12">
        <f t="shared" si="19"/>
        <v>0</v>
      </c>
      <c r="AD13" s="12">
        <f t="shared" si="20"/>
        <v>0</v>
      </c>
      <c r="AE13" s="13">
        <f t="shared" si="21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 t="shared" si="14"/>
        <v>0</v>
      </c>
      <c r="T14" s="5">
        <v>0</v>
      </c>
      <c r="U14" s="12">
        <f t="shared" si="15"/>
        <v>0</v>
      </c>
      <c r="V14" s="25" t="s">
        <v>10</v>
      </c>
      <c r="W14" s="11">
        <f>IFERROR(VLOOKUP(V14,[1]Curr!$B$2:$C$13,2,FALSE),0)</f>
        <v>11.3</v>
      </c>
      <c r="X14" s="12">
        <f t="shared" si="16"/>
        <v>0</v>
      </c>
      <c r="Y14" s="26">
        <f t="shared" si="17"/>
        <v>0</v>
      </c>
      <c r="Z14" s="12">
        <f t="shared" si="18"/>
        <v>0</v>
      </c>
      <c r="AA14" s="4" t="s">
        <v>10</v>
      </c>
      <c r="AB14" s="11">
        <f>IFERROR(VLOOKUP(AA14,Curr!$B$2:$C$13,2,FALSE),0)</f>
        <v>11.3</v>
      </c>
      <c r="AC14" s="12">
        <f t="shared" si="19"/>
        <v>0</v>
      </c>
      <c r="AD14" s="12">
        <f t="shared" si="20"/>
        <v>0</v>
      </c>
      <c r="AE14" s="13">
        <f t="shared" si="21"/>
        <v>0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>
        <v>0</v>
      </c>
      <c r="R15" s="25">
        <v>0</v>
      </c>
      <c r="S15" s="12">
        <f t="shared" si="14"/>
        <v>0</v>
      </c>
      <c r="T15" s="5">
        <v>0</v>
      </c>
      <c r="U15" s="12">
        <f t="shared" si="15"/>
        <v>0</v>
      </c>
      <c r="V15" s="25" t="s">
        <v>10</v>
      </c>
      <c r="W15" s="11">
        <f>IFERROR(VLOOKUP(V15,[1]Curr!$B$2:$C$13,2,FALSE),0)</f>
        <v>11.3</v>
      </c>
      <c r="X15" s="12">
        <f t="shared" si="16"/>
        <v>0</v>
      </c>
      <c r="Y15" s="26">
        <f t="shared" si="17"/>
        <v>0</v>
      </c>
      <c r="Z15" s="12">
        <f t="shared" si="18"/>
        <v>0</v>
      </c>
      <c r="AA15" s="4" t="s">
        <v>10</v>
      </c>
      <c r="AB15" s="11">
        <f>IFERROR(VLOOKUP(AA15,Curr!$B$2:$C$13,2,FALSE),0)</f>
        <v>11.3</v>
      </c>
      <c r="AC15" s="12">
        <f t="shared" si="19"/>
        <v>0</v>
      </c>
      <c r="AD15" s="12">
        <f t="shared" si="20"/>
        <v>0</v>
      </c>
      <c r="AE15" s="13">
        <f t="shared" si="21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33"/>
      <c r="Q16" s="25">
        <v>0</v>
      </c>
      <c r="R16" s="25">
        <v>0</v>
      </c>
      <c r="S16" s="12">
        <f t="shared" si="14"/>
        <v>0</v>
      </c>
      <c r="T16" s="5">
        <v>0</v>
      </c>
      <c r="U16" s="12">
        <f t="shared" si="15"/>
        <v>0</v>
      </c>
      <c r="V16" s="25" t="s">
        <v>10</v>
      </c>
      <c r="W16" s="11">
        <f>IFERROR(VLOOKUP(V16,[1]Curr!$B$2:$C$13,2,FALSE),0)</f>
        <v>11.3</v>
      </c>
      <c r="X16" s="12">
        <f t="shared" si="16"/>
        <v>0</v>
      </c>
      <c r="Y16" s="26">
        <f t="shared" si="17"/>
        <v>0</v>
      </c>
      <c r="Z16" s="12">
        <f t="shared" si="18"/>
        <v>0</v>
      </c>
      <c r="AA16" s="4" t="s">
        <v>10</v>
      </c>
      <c r="AB16" s="11">
        <f>IFERROR(VLOOKUP(AA16,Curr!$B$2:$C$13,2,FALSE),0)</f>
        <v>11.3</v>
      </c>
      <c r="AC16" s="12">
        <f t="shared" si="19"/>
        <v>0</v>
      </c>
      <c r="AD16" s="12">
        <f t="shared" si="20"/>
        <v>0</v>
      </c>
      <c r="AE16" s="13">
        <f t="shared" si="21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29"/>
      <c r="Q17" s="25">
        <v>0</v>
      </c>
      <c r="R17" s="25">
        <v>0</v>
      </c>
      <c r="S17" s="12">
        <f t="shared" si="14"/>
        <v>0</v>
      </c>
      <c r="T17" s="5">
        <v>0</v>
      </c>
      <c r="U17" s="12">
        <f t="shared" si="15"/>
        <v>0</v>
      </c>
      <c r="V17" s="25" t="s">
        <v>10</v>
      </c>
      <c r="W17" s="11">
        <f>IFERROR(VLOOKUP(V17,[1]Curr!$B$2:$C$13,2,FALSE),0)</f>
        <v>11.3</v>
      </c>
      <c r="X17" s="12">
        <f t="shared" si="16"/>
        <v>0</v>
      </c>
      <c r="Y17" s="26">
        <f t="shared" si="17"/>
        <v>0</v>
      </c>
      <c r="Z17" s="12">
        <f t="shared" si="18"/>
        <v>0</v>
      </c>
      <c r="AA17" s="4" t="s">
        <v>10</v>
      </c>
      <c r="AB17" s="11">
        <f>IFERROR(VLOOKUP(AA17,Curr!$B$2:$C$13,2,FALSE),0)</f>
        <v>11.3</v>
      </c>
      <c r="AC17" s="12">
        <f t="shared" si="19"/>
        <v>0</v>
      </c>
      <c r="AD17" s="12">
        <f t="shared" si="20"/>
        <v>0</v>
      </c>
      <c r="AE17" s="13">
        <f t="shared" si="21"/>
        <v>0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14"/>
        <v>0</v>
      </c>
      <c r="T18" s="5">
        <v>0</v>
      </c>
      <c r="U18" s="12">
        <f t="shared" si="15"/>
        <v>0</v>
      </c>
      <c r="V18" s="25" t="s">
        <v>10</v>
      </c>
      <c r="W18" s="11">
        <f>IFERROR(VLOOKUP(V18,[1]Curr!$B$2:$C$13,2,FALSE),0)</f>
        <v>11.3</v>
      </c>
      <c r="X18" s="12">
        <f t="shared" si="16"/>
        <v>0</v>
      </c>
      <c r="Y18" s="26">
        <f t="shared" si="17"/>
        <v>0</v>
      </c>
      <c r="Z18" s="12">
        <f t="shared" si="18"/>
        <v>0</v>
      </c>
      <c r="AA18" s="4" t="s">
        <v>10</v>
      </c>
      <c r="AB18" s="11">
        <f>IFERROR(VLOOKUP(AA18,Curr!$B$2:$C$13,2,FALSE),0)</f>
        <v>11.3</v>
      </c>
      <c r="AC18" s="12">
        <f t="shared" si="19"/>
        <v>0</v>
      </c>
      <c r="AD18" s="12">
        <f t="shared" si="20"/>
        <v>0</v>
      </c>
      <c r="AE18" s="13">
        <f t="shared" si="21"/>
        <v>0</v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14"/>
        <v>0</v>
      </c>
      <c r="T19" s="5">
        <v>0</v>
      </c>
      <c r="U19" s="12">
        <f t="shared" si="15"/>
        <v>0</v>
      </c>
      <c r="V19" s="25" t="s">
        <v>10</v>
      </c>
      <c r="W19" s="11">
        <f>IFERROR(VLOOKUP(V19,[1]Curr!$B$2:$C$13,2,FALSE),0)</f>
        <v>11.3</v>
      </c>
      <c r="X19" s="12">
        <f t="shared" si="16"/>
        <v>0</v>
      </c>
      <c r="Y19" s="26">
        <f t="shared" si="17"/>
        <v>0</v>
      </c>
      <c r="Z19" s="12">
        <f t="shared" si="18"/>
        <v>0</v>
      </c>
      <c r="AA19" s="4" t="s">
        <v>10</v>
      </c>
      <c r="AB19" s="11">
        <f>IFERROR(VLOOKUP(AA19,Curr!$B$2:$C$13,2,FALSE),0)</f>
        <v>11.3</v>
      </c>
      <c r="AC19" s="12">
        <f t="shared" si="19"/>
        <v>0</v>
      </c>
      <c r="AD19" s="12">
        <f t="shared" si="20"/>
        <v>0</v>
      </c>
      <c r="AE19" s="13">
        <f t="shared" si="21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14"/>
        <v>0</v>
      </c>
      <c r="T20" s="5">
        <v>0</v>
      </c>
      <c r="U20" s="12">
        <f t="shared" si="15"/>
        <v>0</v>
      </c>
      <c r="V20" s="25" t="s">
        <v>10</v>
      </c>
      <c r="W20" s="11">
        <f>IFERROR(VLOOKUP(V20,[1]Curr!$B$2:$C$13,2,FALSE),0)</f>
        <v>11.3</v>
      </c>
      <c r="X20" s="12">
        <f t="shared" si="16"/>
        <v>0</v>
      </c>
      <c r="Y20" s="26">
        <f t="shared" si="17"/>
        <v>0</v>
      </c>
      <c r="Z20" s="12">
        <f t="shared" si="18"/>
        <v>0</v>
      </c>
      <c r="AA20" s="4" t="s">
        <v>10</v>
      </c>
      <c r="AB20" s="11">
        <f>IFERROR(VLOOKUP(AA20,Curr!$B$2:$C$13,2,FALSE),0)</f>
        <v>11.3</v>
      </c>
      <c r="AC20" s="12">
        <f t="shared" si="19"/>
        <v>0</v>
      </c>
      <c r="AD20" s="12">
        <f t="shared" si="20"/>
        <v>0</v>
      </c>
      <c r="AE20" s="13">
        <f t="shared" si="21"/>
        <v>0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33"/>
      <c r="Q21" s="25">
        <v>0</v>
      </c>
      <c r="R21" s="25">
        <v>0</v>
      </c>
      <c r="S21" s="12">
        <f t="shared" si="14"/>
        <v>0</v>
      </c>
      <c r="T21" s="5">
        <v>0</v>
      </c>
      <c r="U21" s="12">
        <f t="shared" si="15"/>
        <v>0</v>
      </c>
      <c r="V21" s="25" t="s">
        <v>10</v>
      </c>
      <c r="W21" s="11">
        <f>IFERROR(VLOOKUP(V21,[1]Curr!$B$2:$C$13,2,FALSE),0)</f>
        <v>11.3</v>
      </c>
      <c r="X21" s="12">
        <f t="shared" si="16"/>
        <v>0</v>
      </c>
      <c r="Y21" s="26">
        <f t="shared" si="17"/>
        <v>0</v>
      </c>
      <c r="Z21" s="12">
        <f t="shared" si="18"/>
        <v>0</v>
      </c>
      <c r="AA21" s="4" t="s">
        <v>10</v>
      </c>
      <c r="AB21" s="11">
        <f>IFERROR(VLOOKUP(AA21,Curr!$B$2:$C$13,2,FALSE),0)</f>
        <v>11.3</v>
      </c>
      <c r="AC21" s="12">
        <f t="shared" si="19"/>
        <v>0</v>
      </c>
      <c r="AD21" s="12">
        <f t="shared" si="20"/>
        <v>0</v>
      </c>
      <c r="AE21" s="13">
        <f t="shared" si="21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14"/>
        <v>0</v>
      </c>
      <c r="T22" s="5">
        <v>0</v>
      </c>
      <c r="U22" s="12">
        <f t="shared" si="15"/>
        <v>0</v>
      </c>
      <c r="V22" s="25" t="s">
        <v>10</v>
      </c>
      <c r="W22" s="11">
        <f>IFERROR(VLOOKUP(V22,[1]Curr!$B$2:$C$13,2,FALSE),0)</f>
        <v>11.3</v>
      </c>
      <c r="X22" s="12">
        <f t="shared" si="16"/>
        <v>0</v>
      </c>
      <c r="Y22" s="26">
        <f t="shared" si="17"/>
        <v>0</v>
      </c>
      <c r="Z22" s="12">
        <f t="shared" si="18"/>
        <v>0</v>
      </c>
      <c r="AA22" s="4" t="s">
        <v>10</v>
      </c>
      <c r="AB22" s="11">
        <f>IFERROR(VLOOKUP(AA22,Curr!$B$2:$C$13,2,FALSE),0)</f>
        <v>11.3</v>
      </c>
      <c r="AC22" s="12">
        <f t="shared" si="19"/>
        <v>0</v>
      </c>
      <c r="AD22" s="12">
        <f t="shared" si="20"/>
        <v>0</v>
      </c>
      <c r="AE22" s="13">
        <f t="shared" si="21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 t="shared" si="14"/>
        <v>0</v>
      </c>
      <c r="T23" s="5">
        <v>0</v>
      </c>
      <c r="U23" s="12">
        <f t="shared" si="15"/>
        <v>0</v>
      </c>
      <c r="V23" s="25" t="s">
        <v>10</v>
      </c>
      <c r="W23" s="11">
        <f>IFERROR(VLOOKUP(V23,[1]Curr!$B$2:$C$13,2,FALSE),0)</f>
        <v>11.3</v>
      </c>
      <c r="X23" s="12">
        <f t="shared" si="16"/>
        <v>0</v>
      </c>
      <c r="Y23" s="26">
        <f t="shared" si="17"/>
        <v>0</v>
      </c>
      <c r="Z23" s="12">
        <f t="shared" si="18"/>
        <v>0</v>
      </c>
      <c r="AA23" s="4" t="s">
        <v>10</v>
      </c>
      <c r="AB23" s="11">
        <f>IFERROR(VLOOKUP(AA23,Curr!$B$2:$C$13,2,FALSE),0)</f>
        <v>11.3</v>
      </c>
      <c r="AC23" s="12">
        <f t="shared" si="19"/>
        <v>0</v>
      </c>
      <c r="AD23" s="12">
        <f t="shared" si="20"/>
        <v>0</v>
      </c>
      <c r="AE23" s="13">
        <f t="shared" si="21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14"/>
        <v>0</v>
      </c>
      <c r="T24" s="5">
        <v>0</v>
      </c>
      <c r="U24" s="12">
        <f t="shared" si="15"/>
        <v>0</v>
      </c>
      <c r="V24" s="25" t="s">
        <v>10</v>
      </c>
      <c r="W24" s="11">
        <f>IFERROR(VLOOKUP(V24,[1]Curr!$B$2:$C$13,2,FALSE),0)</f>
        <v>11.3</v>
      </c>
      <c r="X24" s="12">
        <f t="shared" si="16"/>
        <v>0</v>
      </c>
      <c r="Y24" s="26">
        <f t="shared" si="17"/>
        <v>0</v>
      </c>
      <c r="Z24" s="12">
        <f t="shared" si="18"/>
        <v>0</v>
      </c>
      <c r="AA24" s="4" t="s">
        <v>10</v>
      </c>
      <c r="AB24" s="11">
        <f>IFERROR(VLOOKUP(AA24,Curr!$B$2:$C$13,2,FALSE),0)</f>
        <v>11.3</v>
      </c>
      <c r="AC24" s="12">
        <f t="shared" si="19"/>
        <v>0</v>
      </c>
      <c r="AD24" s="12">
        <f t="shared" si="20"/>
        <v>0</v>
      </c>
      <c r="AE24" s="13">
        <f t="shared" si="21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14"/>
        <v>0</v>
      </c>
      <c r="T25" s="5">
        <v>0</v>
      </c>
      <c r="U25" s="12">
        <f t="shared" si="15"/>
        <v>0</v>
      </c>
      <c r="V25" s="25" t="s">
        <v>10</v>
      </c>
      <c r="W25" s="11">
        <f>IFERROR(VLOOKUP(V25,[1]Curr!$B$2:$C$13,2,FALSE),0)</f>
        <v>11.3</v>
      </c>
      <c r="X25" s="12">
        <f t="shared" si="16"/>
        <v>0</v>
      </c>
      <c r="Y25" s="26">
        <f t="shared" si="17"/>
        <v>0</v>
      </c>
      <c r="Z25" s="12">
        <f t="shared" si="18"/>
        <v>0</v>
      </c>
      <c r="AA25" s="4" t="s">
        <v>10</v>
      </c>
      <c r="AB25" s="11">
        <f>IFERROR(VLOOKUP(AA25,Curr!$B$2:$C$13,2,FALSE),0)</f>
        <v>11.3</v>
      </c>
      <c r="AC25" s="12">
        <f t="shared" si="19"/>
        <v>0</v>
      </c>
      <c r="AD25" s="12">
        <f t="shared" si="20"/>
        <v>0</v>
      </c>
      <c r="AE25" s="13">
        <f t="shared" si="21"/>
        <v>0</v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14"/>
        <v>0</v>
      </c>
      <c r="T26" s="5">
        <v>0</v>
      </c>
      <c r="U26" s="12">
        <f t="shared" si="15"/>
        <v>0</v>
      </c>
      <c r="V26" s="25" t="s">
        <v>10</v>
      </c>
      <c r="W26" s="11">
        <f>IFERROR(VLOOKUP(V26,[1]Curr!$B$2:$C$13,2,FALSE),0)</f>
        <v>11.3</v>
      </c>
      <c r="X26" s="12">
        <f t="shared" si="16"/>
        <v>0</v>
      </c>
      <c r="Y26" s="26">
        <f t="shared" si="17"/>
        <v>0</v>
      </c>
      <c r="Z26" s="12">
        <f t="shared" si="18"/>
        <v>0</v>
      </c>
      <c r="AA26" s="4" t="s">
        <v>10</v>
      </c>
      <c r="AB26" s="11">
        <f>IFERROR(VLOOKUP(AA26,Curr!$B$2:$C$13,2,FALSE),0)</f>
        <v>11.3</v>
      </c>
      <c r="AC26" s="12">
        <f t="shared" si="19"/>
        <v>0</v>
      </c>
      <c r="AD26" s="12">
        <f t="shared" si="20"/>
        <v>0</v>
      </c>
      <c r="AE26" s="13">
        <f t="shared" si="21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 t="shared" si="14"/>
        <v>0</v>
      </c>
      <c r="T27" s="5">
        <v>0</v>
      </c>
      <c r="U27" s="12">
        <f t="shared" si="15"/>
        <v>0</v>
      </c>
      <c r="V27" s="25" t="s">
        <v>10</v>
      </c>
      <c r="W27" s="11">
        <f>IFERROR(VLOOKUP(V27,[1]Curr!$B$2:$C$13,2,FALSE),0)</f>
        <v>11.3</v>
      </c>
      <c r="X27" s="12">
        <f t="shared" si="16"/>
        <v>0</v>
      </c>
      <c r="Y27" s="26">
        <f t="shared" si="17"/>
        <v>0</v>
      </c>
      <c r="Z27" s="12">
        <f t="shared" si="18"/>
        <v>0</v>
      </c>
      <c r="AA27" s="4" t="s">
        <v>10</v>
      </c>
      <c r="AB27" s="11">
        <f>IFERROR(VLOOKUP(AA27,Curr!$B$2:$C$13,2,FALSE),0)</f>
        <v>11.3</v>
      </c>
      <c r="AC27" s="12">
        <f t="shared" si="19"/>
        <v>0</v>
      </c>
      <c r="AD27" s="12">
        <f t="shared" si="20"/>
        <v>0</v>
      </c>
      <c r="AE27" s="13">
        <f t="shared" si="21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>
        <v>0</v>
      </c>
      <c r="R28" s="25">
        <v>0</v>
      </c>
      <c r="S28" s="12">
        <f t="shared" si="14"/>
        <v>0</v>
      </c>
      <c r="T28" s="5">
        <v>0</v>
      </c>
      <c r="U28" s="12">
        <f t="shared" si="15"/>
        <v>0</v>
      </c>
      <c r="V28" s="25" t="s">
        <v>10</v>
      </c>
      <c r="W28" s="11">
        <f>IFERROR(VLOOKUP(V28,[1]Curr!$B$2:$C$13,2,FALSE),0)</f>
        <v>11.3</v>
      </c>
      <c r="X28" s="12">
        <f t="shared" si="16"/>
        <v>0</v>
      </c>
      <c r="Y28" s="26">
        <f t="shared" si="17"/>
        <v>0</v>
      </c>
      <c r="Z28" s="12">
        <f t="shared" si="18"/>
        <v>0</v>
      </c>
      <c r="AA28" s="4" t="s">
        <v>10</v>
      </c>
      <c r="AB28" s="11">
        <f>IFERROR(VLOOKUP(AA28,Curr!$B$2:$C$13,2,FALSE),0)</f>
        <v>11.3</v>
      </c>
      <c r="AC28" s="12">
        <f t="shared" si="19"/>
        <v>0</v>
      </c>
      <c r="AD28" s="12">
        <f t="shared" si="20"/>
        <v>0</v>
      </c>
      <c r="AE28" s="13">
        <f t="shared" si="21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29"/>
      <c r="Q29" s="25">
        <v>0</v>
      </c>
      <c r="R29" s="25">
        <v>0</v>
      </c>
      <c r="S29" s="12">
        <f t="shared" si="14"/>
        <v>0</v>
      </c>
      <c r="T29" s="5">
        <v>0</v>
      </c>
      <c r="U29" s="12">
        <f t="shared" si="15"/>
        <v>0</v>
      </c>
      <c r="V29" s="25" t="s">
        <v>10</v>
      </c>
      <c r="W29" s="11">
        <f>IFERROR(VLOOKUP(V29,[1]Curr!$B$2:$C$13,2,FALSE),0)</f>
        <v>11.3</v>
      </c>
      <c r="X29" s="12">
        <f t="shared" si="16"/>
        <v>0</v>
      </c>
      <c r="Y29" s="26">
        <f t="shared" si="17"/>
        <v>0</v>
      </c>
      <c r="Z29" s="12">
        <f t="shared" si="18"/>
        <v>0</v>
      </c>
      <c r="AA29" s="4" t="s">
        <v>10</v>
      </c>
      <c r="AB29" s="11">
        <f>IFERROR(VLOOKUP(AA29,Curr!$B$2:$C$13,2,FALSE),0)</f>
        <v>11.3</v>
      </c>
      <c r="AC29" s="12">
        <f t="shared" si="19"/>
        <v>0</v>
      </c>
      <c r="AD29" s="12">
        <f t="shared" si="20"/>
        <v>0</v>
      </c>
      <c r="AE29" s="13">
        <f t="shared" si="21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33"/>
      <c r="Q30" s="25">
        <v>0</v>
      </c>
      <c r="R30" s="25">
        <v>0</v>
      </c>
      <c r="S30" s="12">
        <f t="shared" si="14"/>
        <v>0</v>
      </c>
      <c r="T30" s="5">
        <v>0</v>
      </c>
      <c r="U30" s="12">
        <f t="shared" si="15"/>
        <v>0</v>
      </c>
      <c r="V30" s="25" t="s">
        <v>10</v>
      </c>
      <c r="W30" s="11">
        <f>IFERROR(VLOOKUP(V30,[1]Curr!$B$2:$C$13,2,FALSE),0)</f>
        <v>11.3</v>
      </c>
      <c r="X30" s="12">
        <f t="shared" si="16"/>
        <v>0</v>
      </c>
      <c r="Y30" s="26">
        <f t="shared" si="17"/>
        <v>0</v>
      </c>
      <c r="Z30" s="12">
        <f t="shared" si="18"/>
        <v>0</v>
      </c>
      <c r="AA30" s="4" t="s">
        <v>10</v>
      </c>
      <c r="AB30" s="11">
        <f>IFERROR(VLOOKUP(AA30,Curr!$B$2:$C$13,2,FALSE),0)</f>
        <v>11.3</v>
      </c>
      <c r="AC30" s="12">
        <f t="shared" si="19"/>
        <v>0</v>
      </c>
      <c r="AD30" s="12">
        <f t="shared" si="20"/>
        <v>0</v>
      </c>
      <c r="AE30" s="13">
        <f t="shared" si="21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14"/>
        <v>0</v>
      </c>
      <c r="T31" s="5">
        <v>0</v>
      </c>
      <c r="U31" s="12">
        <f t="shared" si="15"/>
        <v>0</v>
      </c>
      <c r="V31" s="25" t="s">
        <v>10</v>
      </c>
      <c r="W31" s="11">
        <f>IFERROR(VLOOKUP(V31,[1]Curr!$B$2:$C$13,2,FALSE),0)</f>
        <v>11.3</v>
      </c>
      <c r="X31" s="12">
        <f t="shared" si="16"/>
        <v>0</v>
      </c>
      <c r="Y31" s="26">
        <f t="shared" si="17"/>
        <v>0</v>
      </c>
      <c r="Z31" s="12">
        <f t="shared" si="18"/>
        <v>0</v>
      </c>
      <c r="AA31" s="4" t="s">
        <v>10</v>
      </c>
      <c r="AB31" s="11">
        <f>IFERROR(VLOOKUP(AA31,Curr!$B$2:$C$13,2,FALSE),0)</f>
        <v>11.3</v>
      </c>
      <c r="AC31" s="12">
        <f t="shared" si="19"/>
        <v>0</v>
      </c>
      <c r="AD31" s="12">
        <f t="shared" si="20"/>
        <v>0</v>
      </c>
      <c r="AE31" s="13">
        <f t="shared" si="21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14"/>
        <v>0</v>
      </c>
      <c r="T32" s="5">
        <v>0</v>
      </c>
      <c r="U32" s="12">
        <f t="shared" si="15"/>
        <v>0</v>
      </c>
      <c r="V32" s="25" t="s">
        <v>10</v>
      </c>
      <c r="W32" s="11">
        <f>IFERROR(VLOOKUP(V32,[1]Curr!$B$2:$C$13,2,FALSE),0)</f>
        <v>11.3</v>
      </c>
      <c r="X32" s="12">
        <f t="shared" si="16"/>
        <v>0</v>
      </c>
      <c r="Y32" s="26">
        <f t="shared" si="17"/>
        <v>0</v>
      </c>
      <c r="Z32" s="12">
        <f t="shared" si="18"/>
        <v>0</v>
      </c>
      <c r="AA32" s="4" t="s">
        <v>10</v>
      </c>
      <c r="AB32" s="11">
        <f>IFERROR(VLOOKUP(AA32,Curr!$B$2:$C$13,2,FALSE),0)</f>
        <v>11.3</v>
      </c>
      <c r="AC32" s="12">
        <f t="shared" si="19"/>
        <v>0</v>
      </c>
      <c r="AD32" s="12">
        <f t="shared" si="20"/>
        <v>0</v>
      </c>
      <c r="AE32" s="13">
        <f t="shared" si="21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14"/>
        <v>0</v>
      </c>
      <c r="T33" s="5">
        <v>0</v>
      </c>
      <c r="U33" s="12">
        <f t="shared" si="15"/>
        <v>0</v>
      </c>
      <c r="V33" s="25" t="s">
        <v>10</v>
      </c>
      <c r="W33" s="11">
        <f>IFERROR(VLOOKUP(V33,[1]Curr!$B$2:$C$13,2,FALSE),0)</f>
        <v>11.3</v>
      </c>
      <c r="X33" s="12">
        <f t="shared" si="16"/>
        <v>0</v>
      </c>
      <c r="Y33" s="26">
        <f t="shared" si="17"/>
        <v>0</v>
      </c>
      <c r="Z33" s="12">
        <f t="shared" si="18"/>
        <v>0</v>
      </c>
      <c r="AA33" s="4" t="s">
        <v>10</v>
      </c>
      <c r="AB33" s="11">
        <f>IFERROR(VLOOKUP(AA33,Curr!$B$2:$C$13,2,FALSE),0)</f>
        <v>11.3</v>
      </c>
      <c r="AC33" s="12">
        <f t="shared" si="19"/>
        <v>0</v>
      </c>
      <c r="AD33" s="12">
        <f t="shared" si="20"/>
        <v>0</v>
      </c>
      <c r="AE33" s="13">
        <f t="shared" si="21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>
        <v>0</v>
      </c>
      <c r="R34" s="25">
        <v>0</v>
      </c>
      <c r="S34" s="12">
        <f t="shared" si="14"/>
        <v>0</v>
      </c>
      <c r="T34" s="5">
        <v>0</v>
      </c>
      <c r="U34" s="12">
        <f t="shared" si="15"/>
        <v>0</v>
      </c>
      <c r="V34" s="25" t="s">
        <v>10</v>
      </c>
      <c r="W34" s="11">
        <f>IFERROR(VLOOKUP(V34,[1]Curr!$B$2:$C$13,2,FALSE),0)</f>
        <v>11.3</v>
      </c>
      <c r="X34" s="12">
        <f t="shared" si="16"/>
        <v>0</v>
      </c>
      <c r="Y34" s="26">
        <f t="shared" si="17"/>
        <v>0</v>
      </c>
      <c r="Z34" s="12">
        <f t="shared" si="18"/>
        <v>0</v>
      </c>
      <c r="AA34" s="4" t="s">
        <v>10</v>
      </c>
      <c r="AB34" s="11">
        <f>IFERROR(VLOOKUP(AA34,Curr!$B$2:$C$13,2,FALSE),0)</f>
        <v>11.3</v>
      </c>
      <c r="AC34" s="12">
        <f t="shared" si="19"/>
        <v>0</v>
      </c>
      <c r="AD34" s="12">
        <f t="shared" si="20"/>
        <v>0</v>
      </c>
      <c r="AE34" s="13">
        <f t="shared" si="21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14"/>
        <v>0</v>
      </c>
      <c r="T35" s="5">
        <v>0</v>
      </c>
      <c r="U35" s="12">
        <f t="shared" si="15"/>
        <v>0</v>
      </c>
      <c r="V35" s="25" t="s">
        <v>10</v>
      </c>
      <c r="W35" s="11">
        <f>IFERROR(VLOOKUP(V35,[1]Curr!$B$2:$C$13,2,FALSE),0)</f>
        <v>11.3</v>
      </c>
      <c r="X35" s="12">
        <f t="shared" si="16"/>
        <v>0</v>
      </c>
      <c r="Y35" s="26">
        <f t="shared" si="17"/>
        <v>0</v>
      </c>
      <c r="Z35" s="12">
        <f t="shared" si="18"/>
        <v>0</v>
      </c>
      <c r="AA35" s="4" t="s">
        <v>10</v>
      </c>
      <c r="AB35" s="11">
        <f>IFERROR(VLOOKUP(AA35,Curr!$B$2:$C$13,2,FALSE),0)</f>
        <v>11.3</v>
      </c>
      <c r="AC35" s="12">
        <f t="shared" si="19"/>
        <v>0</v>
      </c>
      <c r="AD35" s="12">
        <f t="shared" si="20"/>
        <v>0</v>
      </c>
      <c r="AE35" s="13">
        <f t="shared" si="21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>
        <v>0</v>
      </c>
      <c r="R36" s="25">
        <v>0</v>
      </c>
      <c r="S36" s="12">
        <f t="shared" si="14"/>
        <v>0</v>
      </c>
      <c r="T36" s="5">
        <v>0</v>
      </c>
      <c r="U36" s="12">
        <f t="shared" si="15"/>
        <v>0</v>
      </c>
      <c r="V36" s="25" t="s">
        <v>10</v>
      </c>
      <c r="W36" s="11">
        <f>IFERROR(VLOOKUP(V36,[1]Curr!$B$2:$C$13,2,FALSE),0)</f>
        <v>11.3</v>
      </c>
      <c r="X36" s="12">
        <f t="shared" si="16"/>
        <v>0</v>
      </c>
      <c r="Y36" s="26">
        <f t="shared" si="17"/>
        <v>0</v>
      </c>
      <c r="Z36" s="12">
        <f t="shared" si="18"/>
        <v>0</v>
      </c>
      <c r="AA36" s="4" t="s">
        <v>10</v>
      </c>
      <c r="AB36" s="11">
        <f>IFERROR(VLOOKUP(AA36,Curr!$B$2:$C$13,2,FALSE),0)</f>
        <v>11.3</v>
      </c>
      <c r="AC36" s="12">
        <f t="shared" si="19"/>
        <v>0</v>
      </c>
      <c r="AD36" s="12">
        <f t="shared" si="20"/>
        <v>0</v>
      </c>
      <c r="AE36" s="13">
        <f t="shared" si="21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>
        <v>0</v>
      </c>
      <c r="R37" s="25">
        <v>0</v>
      </c>
      <c r="S37" s="12">
        <f t="shared" si="14"/>
        <v>0</v>
      </c>
      <c r="T37" s="5">
        <v>0</v>
      </c>
      <c r="U37" s="12">
        <f t="shared" si="15"/>
        <v>0</v>
      </c>
      <c r="V37" s="25" t="s">
        <v>10</v>
      </c>
      <c r="W37" s="11">
        <f>IFERROR(VLOOKUP(V37,[1]Curr!$B$2:$C$13,2,FALSE),0)</f>
        <v>11.3</v>
      </c>
      <c r="X37" s="12">
        <f t="shared" si="16"/>
        <v>0</v>
      </c>
      <c r="Y37" s="26">
        <f t="shared" si="17"/>
        <v>0</v>
      </c>
      <c r="Z37" s="12">
        <f t="shared" si="18"/>
        <v>0</v>
      </c>
      <c r="AA37" s="4" t="s">
        <v>10</v>
      </c>
      <c r="AB37" s="11">
        <f>IFERROR(VLOOKUP(AA37,Curr!$B$2:$C$13,2,FALSE),0)</f>
        <v>11.3</v>
      </c>
      <c r="AC37" s="12">
        <f t="shared" si="19"/>
        <v>0</v>
      </c>
      <c r="AD37" s="12">
        <f t="shared" si="20"/>
        <v>0</v>
      </c>
      <c r="AE37" s="13">
        <f t="shared" si="21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14"/>
        <v>0</v>
      </c>
      <c r="T38" s="5">
        <v>0</v>
      </c>
      <c r="U38" s="12">
        <f t="shared" si="15"/>
        <v>0</v>
      </c>
      <c r="V38" s="25" t="s">
        <v>10</v>
      </c>
      <c r="W38" s="11">
        <f>IFERROR(VLOOKUP(V38,[1]Curr!$B$2:$C$13,2,FALSE),0)</f>
        <v>11.3</v>
      </c>
      <c r="X38" s="12">
        <f t="shared" si="16"/>
        <v>0</v>
      </c>
      <c r="Y38" s="26">
        <f t="shared" si="17"/>
        <v>0</v>
      </c>
      <c r="Z38" s="12">
        <f t="shared" si="18"/>
        <v>0</v>
      </c>
      <c r="AA38" s="4" t="s">
        <v>10</v>
      </c>
      <c r="AB38" s="11">
        <f>IFERROR(VLOOKUP(AA38,Curr!$B$2:$C$13,2,FALSE),0)</f>
        <v>11.3</v>
      </c>
      <c r="AC38" s="12">
        <f t="shared" si="19"/>
        <v>0</v>
      </c>
      <c r="AD38" s="12">
        <f t="shared" si="20"/>
        <v>0</v>
      </c>
      <c r="AE38" s="13">
        <f t="shared" si="21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33"/>
      <c r="Q39" s="25">
        <v>0</v>
      </c>
      <c r="R39" s="25">
        <v>0</v>
      </c>
      <c r="S39" s="12">
        <f t="shared" si="14"/>
        <v>0</v>
      </c>
      <c r="T39" s="5">
        <v>0</v>
      </c>
      <c r="U39" s="12">
        <f t="shared" si="15"/>
        <v>0</v>
      </c>
      <c r="V39" s="25" t="s">
        <v>10</v>
      </c>
      <c r="W39" s="11">
        <f>IFERROR(VLOOKUP(V39,[1]Curr!$B$2:$C$13,2,FALSE),0)</f>
        <v>11.3</v>
      </c>
      <c r="X39" s="12">
        <f t="shared" si="16"/>
        <v>0</v>
      </c>
      <c r="Y39" s="26">
        <f t="shared" si="17"/>
        <v>0</v>
      </c>
      <c r="Z39" s="12">
        <f t="shared" si="18"/>
        <v>0</v>
      </c>
      <c r="AA39" s="4" t="s">
        <v>10</v>
      </c>
      <c r="AB39" s="11">
        <f>IFERROR(VLOOKUP(AA39,Curr!$B$2:$C$13,2,FALSE),0)</f>
        <v>11.3</v>
      </c>
      <c r="AC39" s="12">
        <f t="shared" si="19"/>
        <v>0</v>
      </c>
      <c r="AD39" s="12">
        <f t="shared" si="20"/>
        <v>0</v>
      </c>
      <c r="AE39" s="13">
        <f t="shared" si="21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14"/>
        <v>0</v>
      </c>
      <c r="T40" s="5">
        <v>0</v>
      </c>
      <c r="U40" s="12">
        <f t="shared" si="15"/>
        <v>0</v>
      </c>
      <c r="V40" s="25" t="s">
        <v>10</v>
      </c>
      <c r="W40" s="11">
        <f>IFERROR(VLOOKUP(V40,[1]Curr!$B$2:$C$13,2,FALSE),0)</f>
        <v>11.3</v>
      </c>
      <c r="X40" s="12">
        <f t="shared" si="16"/>
        <v>0</v>
      </c>
      <c r="Y40" s="26">
        <f t="shared" si="17"/>
        <v>0</v>
      </c>
      <c r="Z40" s="12">
        <f t="shared" si="18"/>
        <v>0</v>
      </c>
      <c r="AA40" s="4" t="s">
        <v>10</v>
      </c>
      <c r="AB40" s="11">
        <f>IFERROR(VLOOKUP(AA40,Curr!$B$2:$C$13,2,FALSE),0)</f>
        <v>11.3</v>
      </c>
      <c r="AC40" s="12">
        <f t="shared" si="19"/>
        <v>0</v>
      </c>
      <c r="AD40" s="12">
        <f t="shared" si="20"/>
        <v>0</v>
      </c>
      <c r="AE40" s="13">
        <f t="shared" si="21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33"/>
      <c r="Q41" s="25">
        <v>0</v>
      </c>
      <c r="R41" s="25">
        <v>0</v>
      </c>
      <c r="S41" s="12">
        <f t="shared" si="14"/>
        <v>0</v>
      </c>
      <c r="T41" s="5">
        <v>0</v>
      </c>
      <c r="U41" s="12">
        <f t="shared" si="15"/>
        <v>0</v>
      </c>
      <c r="V41" s="25" t="s">
        <v>10</v>
      </c>
      <c r="W41" s="11">
        <f>IFERROR(VLOOKUP(V41,[1]Curr!$B$2:$C$13,2,FALSE),0)</f>
        <v>11.3</v>
      </c>
      <c r="X41" s="12">
        <f t="shared" si="16"/>
        <v>0</v>
      </c>
      <c r="Y41" s="26">
        <f t="shared" si="17"/>
        <v>0</v>
      </c>
      <c r="Z41" s="12">
        <f t="shared" si="18"/>
        <v>0</v>
      </c>
      <c r="AA41" s="4" t="s">
        <v>10</v>
      </c>
      <c r="AB41" s="11">
        <f>IFERROR(VLOOKUP(AA41,Curr!$B$2:$C$13,2,FALSE),0)</f>
        <v>11.3</v>
      </c>
      <c r="AC41" s="12">
        <f t="shared" si="19"/>
        <v>0</v>
      </c>
      <c r="AD41" s="12">
        <f t="shared" si="20"/>
        <v>0</v>
      </c>
      <c r="AE41" s="13">
        <f t="shared" si="21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14"/>
        <v>0</v>
      </c>
      <c r="T42" s="5">
        <v>0</v>
      </c>
      <c r="U42" s="12">
        <f t="shared" si="15"/>
        <v>0</v>
      </c>
      <c r="V42" s="25" t="s">
        <v>10</v>
      </c>
      <c r="W42" s="11">
        <f>IFERROR(VLOOKUP(V42,[1]Curr!$B$2:$C$13,2,FALSE),0)</f>
        <v>11.3</v>
      </c>
      <c r="X42" s="12">
        <f t="shared" si="16"/>
        <v>0</v>
      </c>
      <c r="Y42" s="26">
        <f t="shared" si="17"/>
        <v>0</v>
      </c>
      <c r="Z42" s="12">
        <f t="shared" si="18"/>
        <v>0</v>
      </c>
      <c r="AA42" s="4" t="s">
        <v>10</v>
      </c>
      <c r="AB42" s="11">
        <f>IFERROR(VLOOKUP(AA42,Curr!$B$2:$C$13,2,FALSE),0)</f>
        <v>11.3</v>
      </c>
      <c r="AC42" s="12">
        <f t="shared" si="19"/>
        <v>0</v>
      </c>
      <c r="AD42" s="12">
        <f t="shared" si="20"/>
        <v>0</v>
      </c>
      <c r="AE42" s="13">
        <f t="shared" si="21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 t="shared" si="14"/>
        <v>0</v>
      </c>
      <c r="T43" s="5">
        <v>0</v>
      </c>
      <c r="U43" s="12">
        <f t="shared" si="15"/>
        <v>0</v>
      </c>
      <c r="V43" s="25" t="s">
        <v>10</v>
      </c>
      <c r="W43" s="11">
        <f>IFERROR(VLOOKUP(V43,[1]Curr!$B$2:$C$13,2,FALSE),0)</f>
        <v>11.3</v>
      </c>
      <c r="X43" s="12">
        <f t="shared" si="16"/>
        <v>0</v>
      </c>
      <c r="Y43" s="26">
        <f t="shared" si="17"/>
        <v>0</v>
      </c>
      <c r="Z43" s="12">
        <f t="shared" si="18"/>
        <v>0</v>
      </c>
      <c r="AA43" s="4" t="s">
        <v>10</v>
      </c>
      <c r="AB43" s="11">
        <f>IFERROR(VLOOKUP(AA43,Curr!$B$2:$C$13,2,FALSE),0)</f>
        <v>11.3</v>
      </c>
      <c r="AC43" s="12">
        <f t="shared" si="19"/>
        <v>0</v>
      </c>
      <c r="AD43" s="12">
        <f t="shared" si="20"/>
        <v>0</v>
      </c>
      <c r="AE43" s="13">
        <f t="shared" si="21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14"/>
        <v>0</v>
      </c>
      <c r="T44" s="5">
        <v>0</v>
      </c>
      <c r="U44" s="12">
        <f t="shared" si="15"/>
        <v>0</v>
      </c>
      <c r="V44" s="25" t="s">
        <v>10</v>
      </c>
      <c r="W44" s="11">
        <f>IFERROR(VLOOKUP(V44,[1]Curr!$B$2:$C$13,2,FALSE),0)</f>
        <v>11.3</v>
      </c>
      <c r="X44" s="12">
        <f t="shared" si="16"/>
        <v>0</v>
      </c>
      <c r="Y44" s="26">
        <f t="shared" si="17"/>
        <v>0</v>
      </c>
      <c r="Z44" s="12">
        <f t="shared" si="18"/>
        <v>0</v>
      </c>
      <c r="AA44" s="4" t="s">
        <v>10</v>
      </c>
      <c r="AB44" s="11">
        <f>IFERROR(VLOOKUP(AA44,Curr!$B$2:$C$13,2,FALSE),0)</f>
        <v>11.3</v>
      </c>
      <c r="AC44" s="12">
        <f t="shared" si="19"/>
        <v>0</v>
      </c>
      <c r="AD44" s="12">
        <f t="shared" si="20"/>
        <v>0</v>
      </c>
      <c r="AE44" s="13">
        <f t="shared" si="21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33"/>
      <c r="Q45" s="25">
        <v>0</v>
      </c>
      <c r="R45" s="25">
        <v>0</v>
      </c>
      <c r="S45" s="12">
        <f t="shared" si="14"/>
        <v>0</v>
      </c>
      <c r="T45" s="5">
        <v>0</v>
      </c>
      <c r="U45" s="12">
        <f t="shared" si="15"/>
        <v>0</v>
      </c>
      <c r="V45" s="25" t="s">
        <v>10</v>
      </c>
      <c r="W45" s="11">
        <f>IFERROR(VLOOKUP(V45,[1]Curr!$B$2:$C$13,2,FALSE),0)</f>
        <v>11.3</v>
      </c>
      <c r="X45" s="12">
        <f t="shared" si="16"/>
        <v>0</v>
      </c>
      <c r="Y45" s="26">
        <f t="shared" si="17"/>
        <v>0</v>
      </c>
      <c r="Z45" s="12">
        <f t="shared" si="18"/>
        <v>0</v>
      </c>
      <c r="AA45" s="4" t="s">
        <v>10</v>
      </c>
      <c r="AB45" s="11">
        <f>IFERROR(VLOOKUP(AA45,Curr!$B$2:$C$13,2,FALSE),0)</f>
        <v>11.3</v>
      </c>
      <c r="AC45" s="12">
        <f t="shared" si="19"/>
        <v>0</v>
      </c>
      <c r="AD45" s="12">
        <f t="shared" si="20"/>
        <v>0</v>
      </c>
      <c r="AE45" s="13">
        <f t="shared" si="21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 t="shared" si="14"/>
        <v>0</v>
      </c>
      <c r="T46" s="5">
        <v>0</v>
      </c>
      <c r="U46" s="12">
        <f t="shared" si="15"/>
        <v>0</v>
      </c>
      <c r="V46" s="25" t="s">
        <v>10</v>
      </c>
      <c r="W46" s="11">
        <f>IFERROR(VLOOKUP(V46,[1]Curr!$B$2:$C$13,2,FALSE),0)</f>
        <v>11.3</v>
      </c>
      <c r="X46" s="12">
        <f t="shared" si="16"/>
        <v>0</v>
      </c>
      <c r="Y46" s="26">
        <f t="shared" si="17"/>
        <v>0</v>
      </c>
      <c r="Z46" s="12">
        <f t="shared" si="18"/>
        <v>0</v>
      </c>
      <c r="AA46" s="4" t="s">
        <v>10</v>
      </c>
      <c r="AB46" s="11">
        <f>IFERROR(VLOOKUP(AA46,Curr!$B$2:$C$13,2,FALSE),0)</f>
        <v>11.3</v>
      </c>
      <c r="AC46" s="12">
        <f t="shared" si="19"/>
        <v>0</v>
      </c>
      <c r="AD46" s="12">
        <f t="shared" si="20"/>
        <v>0</v>
      </c>
      <c r="AE46" s="13">
        <f t="shared" si="21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 t="shared" si="14"/>
        <v>0</v>
      </c>
      <c r="T47" s="5">
        <v>0</v>
      </c>
      <c r="U47" s="12">
        <f t="shared" si="15"/>
        <v>0</v>
      </c>
      <c r="V47" s="25" t="s">
        <v>10</v>
      </c>
      <c r="W47" s="11">
        <f>IFERROR(VLOOKUP(V47,[1]Curr!$B$2:$C$13,2,FALSE),0)</f>
        <v>11.3</v>
      </c>
      <c r="X47" s="12">
        <f t="shared" si="16"/>
        <v>0</v>
      </c>
      <c r="Y47" s="26">
        <f t="shared" si="17"/>
        <v>0</v>
      </c>
      <c r="Z47" s="12">
        <f t="shared" si="18"/>
        <v>0</v>
      </c>
      <c r="AA47" s="4" t="s">
        <v>10</v>
      </c>
      <c r="AB47" s="11">
        <f>IFERROR(VLOOKUP(AA47,Curr!$B$2:$C$13,2,FALSE),0)</f>
        <v>11.3</v>
      </c>
      <c r="AC47" s="12">
        <f t="shared" si="19"/>
        <v>0</v>
      </c>
      <c r="AD47" s="12">
        <f t="shared" si="20"/>
        <v>0</v>
      </c>
      <c r="AE47" s="13">
        <f t="shared" si="21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 t="shared" si="14"/>
        <v>0</v>
      </c>
      <c r="T48" s="5">
        <v>0</v>
      </c>
      <c r="U48" s="12">
        <f t="shared" si="15"/>
        <v>0</v>
      </c>
      <c r="V48" s="25" t="s">
        <v>10</v>
      </c>
      <c r="W48" s="11">
        <f>IFERROR(VLOOKUP(V48,[1]Curr!$B$2:$C$13,2,FALSE),0)</f>
        <v>11.3</v>
      </c>
      <c r="X48" s="12">
        <f t="shared" si="16"/>
        <v>0</v>
      </c>
      <c r="Y48" s="26">
        <f t="shared" si="17"/>
        <v>0</v>
      </c>
      <c r="Z48" s="12">
        <f t="shared" si="18"/>
        <v>0</v>
      </c>
      <c r="AA48" s="4" t="s">
        <v>10</v>
      </c>
      <c r="AB48" s="11">
        <f>IFERROR(VLOOKUP(AA48,Curr!$B$2:$C$13,2,FALSE),0)</f>
        <v>11.3</v>
      </c>
      <c r="AC48" s="12">
        <f t="shared" si="19"/>
        <v>0</v>
      </c>
      <c r="AD48" s="12">
        <f t="shared" si="20"/>
        <v>0</v>
      </c>
      <c r="AE48" s="13">
        <f t="shared" si="21"/>
        <v>0</v>
      </c>
    </row>
    <row r="49" spans="2:31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33"/>
      <c r="Q49" s="25">
        <v>0</v>
      </c>
      <c r="R49" s="25">
        <v>0</v>
      </c>
      <c r="S49" s="12">
        <f t="shared" si="14"/>
        <v>0</v>
      </c>
      <c r="T49" s="5">
        <v>0</v>
      </c>
      <c r="U49" s="12">
        <f t="shared" si="15"/>
        <v>0</v>
      </c>
      <c r="V49" s="25" t="s">
        <v>10</v>
      </c>
      <c r="W49" s="11">
        <f>IFERROR(VLOOKUP(V49,[1]Curr!$B$2:$C$13,2,FALSE),0)</f>
        <v>11.3</v>
      </c>
      <c r="X49" s="12">
        <f t="shared" si="16"/>
        <v>0</v>
      </c>
      <c r="Y49" s="26">
        <f t="shared" si="17"/>
        <v>0</v>
      </c>
      <c r="Z49" s="12">
        <f t="shared" si="18"/>
        <v>0</v>
      </c>
      <c r="AA49" s="4" t="s">
        <v>10</v>
      </c>
      <c r="AB49" s="11">
        <f>IFERROR(VLOOKUP(AA49,Curr!$B$2:$C$13,2,FALSE),0)</f>
        <v>11.3</v>
      </c>
      <c r="AC49" s="12">
        <f t="shared" si="19"/>
        <v>0</v>
      </c>
      <c r="AD49" s="12">
        <f t="shared" si="20"/>
        <v>0</v>
      </c>
      <c r="AE49" s="13">
        <f t="shared" si="21"/>
        <v>0</v>
      </c>
    </row>
    <row r="50" spans="2:31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>
        <v>0</v>
      </c>
      <c r="R50" s="25">
        <v>0</v>
      </c>
      <c r="S50" s="12">
        <f t="shared" si="14"/>
        <v>0</v>
      </c>
      <c r="T50" s="5">
        <v>0</v>
      </c>
      <c r="U50" s="12">
        <f t="shared" si="15"/>
        <v>0</v>
      </c>
      <c r="V50" s="25" t="s">
        <v>10</v>
      </c>
      <c r="W50" s="11">
        <f>IFERROR(VLOOKUP(V50,[1]Curr!$B$2:$C$13,2,FALSE),0)</f>
        <v>11.3</v>
      </c>
      <c r="X50" s="12">
        <f t="shared" si="16"/>
        <v>0</v>
      </c>
      <c r="Y50" s="26">
        <f t="shared" si="17"/>
        <v>0</v>
      </c>
      <c r="Z50" s="12">
        <f t="shared" si="18"/>
        <v>0</v>
      </c>
      <c r="AA50" s="4" t="s">
        <v>10</v>
      </c>
      <c r="AB50" s="11">
        <f>IFERROR(VLOOKUP(AA50,Curr!$B$2:$C$13,2,FALSE),0)</f>
        <v>11.3</v>
      </c>
      <c r="AC50" s="12">
        <f t="shared" si="19"/>
        <v>0</v>
      </c>
      <c r="AD50" s="12">
        <f t="shared" si="20"/>
        <v>0</v>
      </c>
      <c r="AE50" s="13">
        <f t="shared" si="21"/>
        <v>0</v>
      </c>
    </row>
    <row r="51" spans="2:31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>
        <v>0</v>
      </c>
      <c r="R51" s="25">
        <v>0</v>
      </c>
      <c r="S51" s="12">
        <f t="shared" si="14"/>
        <v>0</v>
      </c>
      <c r="T51" s="5">
        <v>0</v>
      </c>
      <c r="U51" s="12">
        <f t="shared" si="15"/>
        <v>0</v>
      </c>
      <c r="V51" s="25" t="s">
        <v>10</v>
      </c>
      <c r="W51" s="11">
        <f>IFERROR(VLOOKUP(V51,[1]Curr!$B$2:$C$13,2,FALSE),0)</f>
        <v>11.3</v>
      </c>
      <c r="X51" s="12">
        <f t="shared" si="16"/>
        <v>0</v>
      </c>
      <c r="Y51" s="26">
        <f t="shared" si="17"/>
        <v>0</v>
      </c>
      <c r="Z51" s="12">
        <f t="shared" si="18"/>
        <v>0</v>
      </c>
      <c r="AA51" s="4" t="s">
        <v>10</v>
      </c>
      <c r="AB51" s="11">
        <f>IFERROR(VLOOKUP(AA51,Curr!$B$2:$C$13,2,FALSE),0)</f>
        <v>11.3</v>
      </c>
      <c r="AC51" s="12">
        <f t="shared" si="19"/>
        <v>0</v>
      </c>
      <c r="AD51" s="12">
        <f t="shared" si="20"/>
        <v>0</v>
      </c>
      <c r="AE51" s="13">
        <f t="shared" si="21"/>
        <v>0</v>
      </c>
    </row>
    <row r="52" spans="2:31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>
        <v>0</v>
      </c>
      <c r="R52" s="25">
        <v>0</v>
      </c>
      <c r="S52" s="12">
        <f t="shared" si="14"/>
        <v>0</v>
      </c>
      <c r="T52" s="5">
        <v>0</v>
      </c>
      <c r="U52" s="12">
        <f t="shared" si="15"/>
        <v>0</v>
      </c>
      <c r="V52" s="25" t="s">
        <v>10</v>
      </c>
      <c r="W52" s="11">
        <f>IFERROR(VLOOKUP(V52,[1]Curr!$B$2:$C$13,2,FALSE),0)</f>
        <v>11.3</v>
      </c>
      <c r="X52" s="12">
        <f t="shared" si="16"/>
        <v>0</v>
      </c>
      <c r="Y52" s="26">
        <f t="shared" si="17"/>
        <v>0</v>
      </c>
      <c r="Z52" s="12">
        <f t="shared" si="18"/>
        <v>0</v>
      </c>
      <c r="AA52" s="4" t="s">
        <v>10</v>
      </c>
      <c r="AB52" s="11">
        <f>IFERROR(VLOOKUP(AA52,Curr!$B$2:$C$13,2,FALSE),0)</f>
        <v>11.3</v>
      </c>
      <c r="AC52" s="12">
        <f t="shared" si="19"/>
        <v>0</v>
      </c>
      <c r="AD52" s="12">
        <f t="shared" si="20"/>
        <v>0</v>
      </c>
      <c r="AE52" s="13">
        <f t="shared" si="21"/>
        <v>0</v>
      </c>
    </row>
    <row r="53" spans="2:31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>
        <v>0</v>
      </c>
      <c r="R53" s="25">
        <v>0</v>
      </c>
      <c r="S53" s="12">
        <f t="shared" si="14"/>
        <v>0</v>
      </c>
      <c r="T53" s="5">
        <v>0</v>
      </c>
      <c r="U53" s="12">
        <f t="shared" si="15"/>
        <v>0</v>
      </c>
      <c r="V53" s="25" t="s">
        <v>10</v>
      </c>
      <c r="W53" s="11">
        <f>IFERROR(VLOOKUP(V53,[1]Curr!$B$2:$C$13,2,FALSE),0)</f>
        <v>11.3</v>
      </c>
      <c r="X53" s="12">
        <f t="shared" si="16"/>
        <v>0</v>
      </c>
      <c r="Y53" s="26">
        <f t="shared" si="17"/>
        <v>0</v>
      </c>
      <c r="Z53" s="12">
        <f t="shared" si="18"/>
        <v>0</v>
      </c>
      <c r="AA53" s="4" t="s">
        <v>10</v>
      </c>
      <c r="AB53" s="11">
        <f>IFERROR(VLOOKUP(AA53,Curr!$B$2:$C$13,2,FALSE),0)</f>
        <v>11.3</v>
      </c>
      <c r="AC53" s="12">
        <f t="shared" si="19"/>
        <v>0</v>
      </c>
      <c r="AD53" s="12">
        <f t="shared" si="20"/>
        <v>0</v>
      </c>
      <c r="AE53" s="13">
        <f t="shared" si="21"/>
        <v>0</v>
      </c>
    </row>
    <row r="54" spans="2:31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>
        <v>0</v>
      </c>
      <c r="R54" s="25">
        <v>0</v>
      </c>
      <c r="S54" s="12">
        <f t="shared" si="14"/>
        <v>0</v>
      </c>
      <c r="T54" s="5">
        <v>0</v>
      </c>
      <c r="U54" s="12">
        <f t="shared" si="15"/>
        <v>0</v>
      </c>
      <c r="V54" s="25" t="s">
        <v>10</v>
      </c>
      <c r="W54" s="11">
        <f>IFERROR(VLOOKUP(V54,[1]Curr!$B$2:$C$13,2,FALSE),0)</f>
        <v>11.3</v>
      </c>
      <c r="X54" s="12">
        <f t="shared" si="16"/>
        <v>0</v>
      </c>
      <c r="Y54" s="26">
        <f t="shared" si="17"/>
        <v>0</v>
      </c>
      <c r="Z54" s="12">
        <f t="shared" si="18"/>
        <v>0</v>
      </c>
      <c r="AA54" s="4" t="s">
        <v>10</v>
      </c>
      <c r="AB54" s="11">
        <f>IFERROR(VLOOKUP(AA54,Curr!$B$2:$C$13,2,FALSE),0)</f>
        <v>11.3</v>
      </c>
      <c r="AC54" s="12">
        <f t="shared" si="19"/>
        <v>0</v>
      </c>
      <c r="AD54" s="12">
        <f t="shared" si="20"/>
        <v>0</v>
      </c>
      <c r="AE54" s="13">
        <f t="shared" si="21"/>
        <v>0</v>
      </c>
    </row>
    <row r="55" spans="2:31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>
        <v>0</v>
      </c>
      <c r="R55" s="25">
        <v>0</v>
      </c>
      <c r="S55" s="12">
        <f t="shared" si="14"/>
        <v>0</v>
      </c>
      <c r="T55" s="5">
        <v>0</v>
      </c>
      <c r="U55" s="12">
        <f t="shared" si="15"/>
        <v>0</v>
      </c>
      <c r="V55" s="25" t="s">
        <v>10</v>
      </c>
      <c r="W55" s="11">
        <f>IFERROR(VLOOKUP(V55,[1]Curr!$B$2:$C$13,2,FALSE),0)</f>
        <v>11.3</v>
      </c>
      <c r="X55" s="12">
        <f t="shared" si="16"/>
        <v>0</v>
      </c>
      <c r="Y55" s="26">
        <f t="shared" si="17"/>
        <v>0</v>
      </c>
      <c r="Z55" s="12">
        <f t="shared" si="18"/>
        <v>0</v>
      </c>
      <c r="AA55" s="4" t="s">
        <v>10</v>
      </c>
      <c r="AB55" s="11">
        <f>IFERROR(VLOOKUP(AA55,Curr!$B$2:$C$13,2,FALSE),0)</f>
        <v>11.3</v>
      </c>
      <c r="AC55" s="12">
        <f t="shared" si="19"/>
        <v>0</v>
      </c>
      <c r="AD55" s="12">
        <f t="shared" si="20"/>
        <v>0</v>
      </c>
      <c r="AE55" s="13">
        <f t="shared" si="21"/>
        <v>0</v>
      </c>
    </row>
    <row r="56" spans="2:31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>
        <v>0</v>
      </c>
      <c r="R56" s="25">
        <v>0</v>
      </c>
      <c r="S56" s="12">
        <f t="shared" si="14"/>
        <v>0</v>
      </c>
      <c r="T56" s="5">
        <v>0</v>
      </c>
      <c r="U56" s="12">
        <f t="shared" si="15"/>
        <v>0</v>
      </c>
      <c r="V56" s="25" t="s">
        <v>10</v>
      </c>
      <c r="W56" s="11">
        <f>IFERROR(VLOOKUP(V56,[1]Curr!$B$2:$C$13,2,FALSE),0)</f>
        <v>11.3</v>
      </c>
      <c r="X56" s="12">
        <f t="shared" si="16"/>
        <v>0</v>
      </c>
      <c r="Y56" s="26">
        <f t="shared" si="17"/>
        <v>0</v>
      </c>
      <c r="Z56" s="12">
        <f t="shared" si="18"/>
        <v>0</v>
      </c>
      <c r="AA56" s="4" t="s">
        <v>10</v>
      </c>
      <c r="AB56" s="11">
        <f>IFERROR(VLOOKUP(AA56,Curr!$B$2:$C$13,2,FALSE),0)</f>
        <v>11.3</v>
      </c>
      <c r="AC56" s="12">
        <f t="shared" si="19"/>
        <v>0</v>
      </c>
      <c r="AD56" s="12">
        <f t="shared" si="20"/>
        <v>0</v>
      </c>
      <c r="AE56" s="13">
        <f t="shared" si="21"/>
        <v>0</v>
      </c>
    </row>
    <row r="57" spans="2:31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>
        <v>0</v>
      </c>
      <c r="R57" s="25">
        <v>0</v>
      </c>
      <c r="S57" s="12">
        <f t="shared" si="14"/>
        <v>0</v>
      </c>
      <c r="T57" s="5">
        <v>0</v>
      </c>
      <c r="U57" s="12">
        <f t="shared" si="15"/>
        <v>0</v>
      </c>
      <c r="V57" s="25" t="s">
        <v>10</v>
      </c>
      <c r="W57" s="11">
        <f>IFERROR(VLOOKUP(V57,[1]Curr!$B$2:$C$13,2,FALSE),0)</f>
        <v>11.3</v>
      </c>
      <c r="X57" s="12">
        <f t="shared" si="16"/>
        <v>0</v>
      </c>
      <c r="Y57" s="26">
        <f t="shared" si="17"/>
        <v>0</v>
      </c>
      <c r="Z57" s="12">
        <f t="shared" si="18"/>
        <v>0</v>
      </c>
      <c r="AA57" s="4" t="s">
        <v>10</v>
      </c>
      <c r="AB57" s="11">
        <f>IFERROR(VLOOKUP(AA57,Curr!$B$2:$C$13,2,FALSE),0)</f>
        <v>11.3</v>
      </c>
      <c r="AC57" s="12">
        <f t="shared" si="19"/>
        <v>0</v>
      </c>
      <c r="AD57" s="12">
        <f t="shared" si="20"/>
        <v>0</v>
      </c>
      <c r="AE57" s="13">
        <f t="shared" si="21"/>
        <v>0</v>
      </c>
    </row>
    <row r="58" spans="2:31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>
        <v>0</v>
      </c>
      <c r="R58" s="25">
        <v>0</v>
      </c>
      <c r="S58" s="12">
        <f t="shared" si="14"/>
        <v>0</v>
      </c>
      <c r="T58" s="5">
        <v>0</v>
      </c>
      <c r="U58" s="12">
        <f t="shared" si="15"/>
        <v>0</v>
      </c>
      <c r="V58" s="25" t="s">
        <v>10</v>
      </c>
      <c r="W58" s="11">
        <f>IFERROR(VLOOKUP(V58,[1]Curr!$B$2:$C$13,2,FALSE),0)</f>
        <v>11.3</v>
      </c>
      <c r="X58" s="12">
        <f t="shared" si="16"/>
        <v>0</v>
      </c>
      <c r="Y58" s="26">
        <f t="shared" si="17"/>
        <v>0</v>
      </c>
      <c r="Z58" s="12">
        <f t="shared" si="18"/>
        <v>0</v>
      </c>
      <c r="AA58" s="4" t="s">
        <v>10</v>
      </c>
      <c r="AB58" s="11">
        <f>IFERROR(VLOOKUP(AA58,Curr!$B$2:$C$13,2,FALSE),0)</f>
        <v>11.3</v>
      </c>
      <c r="AC58" s="12">
        <f t="shared" si="19"/>
        <v>0</v>
      </c>
      <c r="AD58" s="12">
        <f t="shared" si="20"/>
        <v>0</v>
      </c>
      <c r="AE58" s="13">
        <f t="shared" si="21"/>
        <v>0</v>
      </c>
    </row>
    <row r="59" spans="2:31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27"/>
      <c r="Q59" s="25">
        <v>0</v>
      </c>
      <c r="R59" s="25">
        <v>0</v>
      </c>
      <c r="S59" s="12">
        <f t="shared" si="14"/>
        <v>0</v>
      </c>
      <c r="T59" s="5">
        <v>0</v>
      </c>
      <c r="U59" s="12">
        <f t="shared" si="15"/>
        <v>0</v>
      </c>
      <c r="V59" s="25" t="s">
        <v>10</v>
      </c>
      <c r="W59" s="11">
        <f>IFERROR(VLOOKUP(V59,[1]Curr!$B$2:$C$13,2,FALSE),0)</f>
        <v>11.3</v>
      </c>
      <c r="X59" s="12">
        <f t="shared" si="16"/>
        <v>0</v>
      </c>
      <c r="Y59" s="26">
        <f t="shared" si="17"/>
        <v>0</v>
      </c>
      <c r="Z59" s="12">
        <f t="shared" si="18"/>
        <v>0</v>
      </c>
      <c r="AA59" s="4" t="s">
        <v>10</v>
      </c>
      <c r="AB59" s="11">
        <f>IFERROR(VLOOKUP(AA59,Curr!$B$2:$C$13,2,FALSE),0)</f>
        <v>11.3</v>
      </c>
      <c r="AC59" s="12">
        <f t="shared" si="19"/>
        <v>0</v>
      </c>
      <c r="AD59" s="12">
        <f t="shared" si="20"/>
        <v>0</v>
      </c>
      <c r="AE59" s="13">
        <f t="shared" si="21"/>
        <v>0</v>
      </c>
    </row>
    <row r="60" spans="2:31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>
        <v>0</v>
      </c>
      <c r="R60" s="25">
        <v>0</v>
      </c>
      <c r="S60" s="12">
        <f t="shared" si="14"/>
        <v>0</v>
      </c>
      <c r="T60" s="5">
        <v>0</v>
      </c>
      <c r="U60" s="12">
        <f t="shared" si="15"/>
        <v>0</v>
      </c>
      <c r="V60" s="25" t="s">
        <v>10</v>
      </c>
      <c r="W60" s="11">
        <f>IFERROR(VLOOKUP(V60,[1]Curr!$B$2:$C$13,2,FALSE),0)</f>
        <v>11.3</v>
      </c>
      <c r="X60" s="12">
        <f t="shared" si="16"/>
        <v>0</v>
      </c>
      <c r="Y60" s="26">
        <f t="shared" si="17"/>
        <v>0</v>
      </c>
      <c r="Z60" s="12">
        <f t="shared" si="18"/>
        <v>0</v>
      </c>
      <c r="AA60" s="4" t="s">
        <v>10</v>
      </c>
      <c r="AB60" s="11">
        <f>IFERROR(VLOOKUP(AA60,Curr!$B$2:$C$13,2,FALSE),0)</f>
        <v>11.3</v>
      </c>
      <c r="AC60" s="12">
        <f t="shared" si="19"/>
        <v>0</v>
      </c>
      <c r="AD60" s="12">
        <f t="shared" si="20"/>
        <v>0</v>
      </c>
      <c r="AE60" s="13">
        <f t="shared" si="21"/>
        <v>0</v>
      </c>
    </row>
    <row r="61" spans="2:31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27"/>
      <c r="Q61" s="25">
        <v>0</v>
      </c>
      <c r="R61" s="25">
        <v>0</v>
      </c>
      <c r="S61" s="12">
        <f t="shared" si="14"/>
        <v>0</v>
      </c>
      <c r="T61" s="5">
        <v>0</v>
      </c>
      <c r="U61" s="12">
        <f t="shared" si="15"/>
        <v>0</v>
      </c>
      <c r="V61" s="25" t="s">
        <v>10</v>
      </c>
      <c r="W61" s="11">
        <f>IFERROR(VLOOKUP(V61,[1]Curr!$B$2:$C$13,2,FALSE),0)</f>
        <v>11.3</v>
      </c>
      <c r="X61" s="12">
        <f t="shared" si="16"/>
        <v>0</v>
      </c>
      <c r="Y61" s="26">
        <f t="shared" si="17"/>
        <v>0</v>
      </c>
      <c r="Z61" s="12">
        <f t="shared" si="18"/>
        <v>0</v>
      </c>
      <c r="AA61" s="4" t="s">
        <v>10</v>
      </c>
      <c r="AB61" s="11">
        <f>IFERROR(VLOOKUP(AA61,Curr!$B$2:$C$13,2,FALSE),0)</f>
        <v>11.3</v>
      </c>
      <c r="AC61" s="12">
        <f t="shared" si="19"/>
        <v>0</v>
      </c>
      <c r="AD61" s="12">
        <f t="shared" si="20"/>
        <v>0</v>
      </c>
      <c r="AE61" s="13">
        <f t="shared" si="21"/>
        <v>0</v>
      </c>
    </row>
    <row r="62" spans="2:31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27"/>
      <c r="Q62" s="25">
        <v>0</v>
      </c>
      <c r="R62" s="25">
        <v>0</v>
      </c>
      <c r="S62" s="12">
        <f t="shared" si="14"/>
        <v>0</v>
      </c>
      <c r="T62" s="5">
        <v>0</v>
      </c>
      <c r="U62" s="12">
        <f t="shared" si="15"/>
        <v>0</v>
      </c>
      <c r="V62" s="25" t="s">
        <v>10</v>
      </c>
      <c r="W62" s="11">
        <f>IFERROR(VLOOKUP(V62,[1]Curr!$B$2:$C$13,2,FALSE),0)</f>
        <v>11.3</v>
      </c>
      <c r="X62" s="12">
        <f t="shared" si="16"/>
        <v>0</v>
      </c>
      <c r="Y62" s="26">
        <f t="shared" si="17"/>
        <v>0</v>
      </c>
      <c r="Z62" s="12">
        <f t="shared" si="18"/>
        <v>0</v>
      </c>
      <c r="AA62" s="4" t="s">
        <v>10</v>
      </c>
      <c r="AB62" s="11">
        <f>IFERROR(VLOOKUP(AA62,Curr!$B$2:$C$13,2,FALSE),0)</f>
        <v>11.3</v>
      </c>
      <c r="AC62" s="12">
        <f t="shared" si="19"/>
        <v>0</v>
      </c>
      <c r="AD62" s="12">
        <f t="shared" si="20"/>
        <v>0</v>
      </c>
      <c r="AE62" s="13">
        <f t="shared" si="21"/>
        <v>0</v>
      </c>
    </row>
    <row r="63" spans="2:31" x14ac:dyDescent="0.25">
      <c r="B63" s="4"/>
      <c r="E63" s="3"/>
      <c r="F63" s="3"/>
      <c r="G63" s="24"/>
      <c r="H63" s="24"/>
      <c r="K63" s="4"/>
      <c r="L63" s="4"/>
      <c r="M63" s="4"/>
      <c r="N63" s="4"/>
      <c r="O63" s="4"/>
      <c r="P63" s="27"/>
      <c r="Q63" s="25">
        <v>0</v>
      </c>
      <c r="R63" s="25">
        <v>0</v>
      </c>
      <c r="S63" s="12">
        <f t="shared" ref="S63:S98" si="22">+Q63*R63</f>
        <v>0</v>
      </c>
      <c r="T63" s="5">
        <v>0</v>
      </c>
      <c r="U63" s="12">
        <f t="shared" ref="U63:U98" si="23">S63*(1-T63)</f>
        <v>0</v>
      </c>
      <c r="V63" s="25" t="s">
        <v>10</v>
      </c>
      <c r="W63" s="11">
        <f>IFERROR(VLOOKUP(V63,[1]Curr!$B$2:$C$13,2,FALSE),0)</f>
        <v>11.3</v>
      </c>
      <c r="X63" s="12">
        <f t="shared" ref="X63:X98" si="24">U63*W63</f>
        <v>0</v>
      </c>
      <c r="Y63" s="26">
        <f t="shared" ref="Y63:Y98" si="25">Q63</f>
        <v>0</v>
      </c>
      <c r="Z63" s="12">
        <f t="shared" ref="Z63:Z98" si="26">+Y63*R63</f>
        <v>0</v>
      </c>
      <c r="AA63" s="4" t="s">
        <v>10</v>
      </c>
      <c r="AB63" s="11">
        <f>IFERROR(VLOOKUP(AA63,Curr!$B$2:$C$13,2,FALSE),0)</f>
        <v>11.3</v>
      </c>
      <c r="AC63" s="12">
        <f t="shared" ref="AC63:AC98" si="27">+Y63*AB63*R63</f>
        <v>0</v>
      </c>
      <c r="AD63" s="12">
        <f t="shared" ref="AD63:AD98" si="28">+AC63-X63</f>
        <v>0</v>
      </c>
      <c r="AE63" s="13">
        <f t="shared" ref="AE63:AE98" si="29">IFERROR(AD63/AC63,0)</f>
        <v>0</v>
      </c>
    </row>
    <row r="64" spans="2:31" x14ac:dyDescent="0.25">
      <c r="B64" s="4"/>
      <c r="E64" s="3"/>
      <c r="F64" s="3"/>
      <c r="G64" s="24"/>
      <c r="H64" s="24"/>
      <c r="K64" s="4"/>
      <c r="L64" s="4"/>
      <c r="M64" s="4"/>
      <c r="N64" s="4"/>
      <c r="O64" s="4"/>
      <c r="P64" s="27"/>
      <c r="Q64" s="25">
        <v>0</v>
      </c>
      <c r="R64" s="25">
        <v>0</v>
      </c>
      <c r="S64" s="12">
        <f t="shared" si="22"/>
        <v>0</v>
      </c>
      <c r="T64" s="5">
        <v>0</v>
      </c>
      <c r="U64" s="12">
        <f t="shared" si="23"/>
        <v>0</v>
      </c>
      <c r="V64" s="25" t="s">
        <v>10</v>
      </c>
      <c r="W64" s="11">
        <f>IFERROR(VLOOKUP(V64,[1]Curr!$B$2:$C$13,2,FALSE),0)</f>
        <v>11.3</v>
      </c>
      <c r="X64" s="12">
        <f t="shared" si="24"/>
        <v>0</v>
      </c>
      <c r="Y64" s="26">
        <f t="shared" si="25"/>
        <v>0</v>
      </c>
      <c r="Z64" s="12">
        <f t="shared" si="26"/>
        <v>0</v>
      </c>
      <c r="AA64" s="4" t="s">
        <v>10</v>
      </c>
      <c r="AB64" s="11">
        <f>IFERROR(VLOOKUP(AA64,Curr!$B$2:$C$13,2,FALSE),0)</f>
        <v>11.3</v>
      </c>
      <c r="AC64" s="12">
        <f t="shared" si="27"/>
        <v>0</v>
      </c>
      <c r="AD64" s="12">
        <f t="shared" si="28"/>
        <v>0</v>
      </c>
      <c r="AE64" s="13">
        <f t="shared" si="29"/>
        <v>0</v>
      </c>
    </row>
    <row r="65" spans="2:31" x14ac:dyDescent="0.25">
      <c r="B65" s="4"/>
      <c r="E65" s="3"/>
      <c r="F65" s="3"/>
      <c r="G65" s="24"/>
      <c r="H65" s="24"/>
      <c r="K65" s="4"/>
      <c r="L65" s="4"/>
      <c r="M65" s="4"/>
      <c r="N65" s="4"/>
      <c r="O65" s="4"/>
      <c r="P65" s="27"/>
      <c r="Q65" s="25">
        <v>0</v>
      </c>
      <c r="R65" s="25">
        <v>0</v>
      </c>
      <c r="S65" s="12">
        <f t="shared" si="22"/>
        <v>0</v>
      </c>
      <c r="T65" s="5">
        <v>0</v>
      </c>
      <c r="U65" s="12">
        <f t="shared" si="23"/>
        <v>0</v>
      </c>
      <c r="V65" s="25" t="s">
        <v>10</v>
      </c>
      <c r="W65" s="11">
        <f>IFERROR(VLOOKUP(V65,[1]Curr!$B$2:$C$13,2,FALSE),0)</f>
        <v>11.3</v>
      </c>
      <c r="X65" s="12">
        <f t="shared" si="24"/>
        <v>0</v>
      </c>
      <c r="Y65" s="26">
        <f t="shared" si="25"/>
        <v>0</v>
      </c>
      <c r="Z65" s="12">
        <f t="shared" si="26"/>
        <v>0</v>
      </c>
      <c r="AA65" s="4" t="s">
        <v>10</v>
      </c>
      <c r="AB65" s="11">
        <f>IFERROR(VLOOKUP(AA65,Curr!$B$2:$C$13,2,FALSE),0)</f>
        <v>11.3</v>
      </c>
      <c r="AC65" s="12">
        <f t="shared" si="27"/>
        <v>0</v>
      </c>
      <c r="AD65" s="12">
        <f t="shared" si="28"/>
        <v>0</v>
      </c>
      <c r="AE65" s="13">
        <f t="shared" si="29"/>
        <v>0</v>
      </c>
    </row>
    <row r="66" spans="2:31" x14ac:dyDescent="0.25">
      <c r="B66" s="4"/>
      <c r="E66" s="3"/>
      <c r="F66" s="3"/>
      <c r="G66" s="24"/>
      <c r="H66" s="24"/>
      <c r="K66" s="4"/>
      <c r="L66" s="4"/>
      <c r="M66" s="4"/>
      <c r="N66" s="4"/>
      <c r="O66" s="4"/>
      <c r="P66" s="27"/>
      <c r="Q66" s="25">
        <v>0</v>
      </c>
      <c r="R66" s="25">
        <v>0</v>
      </c>
      <c r="S66" s="12">
        <f t="shared" si="22"/>
        <v>0</v>
      </c>
      <c r="T66" s="5">
        <v>0</v>
      </c>
      <c r="U66" s="12">
        <f t="shared" si="23"/>
        <v>0</v>
      </c>
      <c r="V66" s="25" t="s">
        <v>10</v>
      </c>
      <c r="W66" s="11">
        <f>IFERROR(VLOOKUP(V66,[1]Curr!$B$2:$C$13,2,FALSE),0)</f>
        <v>11.3</v>
      </c>
      <c r="X66" s="12">
        <f t="shared" si="24"/>
        <v>0</v>
      </c>
      <c r="Y66" s="26">
        <f t="shared" si="25"/>
        <v>0</v>
      </c>
      <c r="Z66" s="12">
        <f t="shared" si="26"/>
        <v>0</v>
      </c>
      <c r="AA66" s="4" t="s">
        <v>10</v>
      </c>
      <c r="AB66" s="11">
        <f>IFERROR(VLOOKUP(AA66,Curr!$B$2:$C$13,2,FALSE),0)</f>
        <v>11.3</v>
      </c>
      <c r="AC66" s="12">
        <f t="shared" si="27"/>
        <v>0</v>
      </c>
      <c r="AD66" s="12">
        <f t="shared" si="28"/>
        <v>0</v>
      </c>
      <c r="AE66" s="13">
        <f t="shared" si="29"/>
        <v>0</v>
      </c>
    </row>
    <row r="67" spans="2:31" x14ac:dyDescent="0.25">
      <c r="B67" s="4"/>
      <c r="E67" s="3"/>
      <c r="F67" s="3"/>
      <c r="G67" s="24"/>
      <c r="H67" s="24"/>
      <c r="K67" s="4"/>
      <c r="L67" s="4"/>
      <c r="M67" s="4"/>
      <c r="N67" s="4"/>
      <c r="O67" s="4"/>
      <c r="P67" s="27"/>
      <c r="Q67" s="25">
        <v>0</v>
      </c>
      <c r="R67" s="25">
        <v>0</v>
      </c>
      <c r="S67" s="12">
        <f t="shared" si="22"/>
        <v>0</v>
      </c>
      <c r="T67" s="5">
        <v>0</v>
      </c>
      <c r="U67" s="12">
        <f t="shared" si="23"/>
        <v>0</v>
      </c>
      <c r="V67" s="25" t="s">
        <v>10</v>
      </c>
      <c r="W67" s="11">
        <f>IFERROR(VLOOKUP(V67,[1]Curr!$B$2:$C$13,2,FALSE),0)</f>
        <v>11.3</v>
      </c>
      <c r="X67" s="12">
        <f t="shared" si="24"/>
        <v>0</v>
      </c>
      <c r="Y67" s="26">
        <f t="shared" si="25"/>
        <v>0</v>
      </c>
      <c r="Z67" s="12">
        <f t="shared" si="26"/>
        <v>0</v>
      </c>
      <c r="AA67" s="4" t="s">
        <v>10</v>
      </c>
      <c r="AB67" s="11">
        <f>IFERROR(VLOOKUP(AA67,Curr!$B$2:$C$13,2,FALSE),0)</f>
        <v>11.3</v>
      </c>
      <c r="AC67" s="12">
        <f t="shared" si="27"/>
        <v>0</v>
      </c>
      <c r="AD67" s="12">
        <f t="shared" si="28"/>
        <v>0</v>
      </c>
      <c r="AE67" s="13">
        <f t="shared" si="29"/>
        <v>0</v>
      </c>
    </row>
    <row r="68" spans="2:31" x14ac:dyDescent="0.25">
      <c r="B68" s="4"/>
      <c r="E68" s="3"/>
      <c r="F68" s="3"/>
      <c r="G68" s="24"/>
      <c r="H68" s="24"/>
      <c r="K68" s="4"/>
      <c r="L68" s="4"/>
      <c r="M68" s="4"/>
      <c r="N68" s="4"/>
      <c r="O68" s="4"/>
      <c r="P68" s="27"/>
      <c r="Q68" s="25">
        <v>0</v>
      </c>
      <c r="R68" s="25">
        <v>0</v>
      </c>
      <c r="S68" s="12">
        <f t="shared" si="22"/>
        <v>0</v>
      </c>
      <c r="T68" s="5">
        <v>0</v>
      </c>
      <c r="U68" s="12">
        <f t="shared" si="23"/>
        <v>0</v>
      </c>
      <c r="V68" s="25" t="s">
        <v>10</v>
      </c>
      <c r="W68" s="11">
        <f>IFERROR(VLOOKUP(V68,[1]Curr!$B$2:$C$13,2,FALSE),0)</f>
        <v>11.3</v>
      </c>
      <c r="X68" s="12">
        <f t="shared" si="24"/>
        <v>0</v>
      </c>
      <c r="Y68" s="26">
        <f t="shared" si="25"/>
        <v>0</v>
      </c>
      <c r="Z68" s="12">
        <f t="shared" si="26"/>
        <v>0</v>
      </c>
      <c r="AA68" s="4" t="s">
        <v>10</v>
      </c>
      <c r="AB68" s="11">
        <f>IFERROR(VLOOKUP(AA68,Curr!$B$2:$C$13,2,FALSE),0)</f>
        <v>11.3</v>
      </c>
      <c r="AC68" s="12">
        <f t="shared" si="27"/>
        <v>0</v>
      </c>
      <c r="AD68" s="12">
        <f t="shared" si="28"/>
        <v>0</v>
      </c>
      <c r="AE68" s="13">
        <f t="shared" si="29"/>
        <v>0</v>
      </c>
    </row>
    <row r="69" spans="2:31" x14ac:dyDescent="0.25">
      <c r="B69" s="4"/>
      <c r="E69" s="3"/>
      <c r="F69" s="3"/>
      <c r="G69" s="24"/>
      <c r="H69" s="24"/>
      <c r="K69" s="4"/>
      <c r="L69" s="4"/>
      <c r="M69" s="4"/>
      <c r="N69" s="4"/>
      <c r="O69" s="4"/>
      <c r="P69" s="27"/>
      <c r="Q69" s="25">
        <v>0</v>
      </c>
      <c r="R69" s="25">
        <v>0</v>
      </c>
      <c r="S69" s="12">
        <f t="shared" si="22"/>
        <v>0</v>
      </c>
      <c r="T69" s="5">
        <v>0</v>
      </c>
      <c r="U69" s="12">
        <f t="shared" si="23"/>
        <v>0</v>
      </c>
      <c r="V69" s="25" t="s">
        <v>10</v>
      </c>
      <c r="W69" s="11">
        <f>IFERROR(VLOOKUP(V69,[1]Curr!$B$2:$C$13,2,FALSE),0)</f>
        <v>11.3</v>
      </c>
      <c r="X69" s="12">
        <f t="shared" si="24"/>
        <v>0</v>
      </c>
      <c r="Y69" s="26">
        <f t="shared" si="25"/>
        <v>0</v>
      </c>
      <c r="Z69" s="12">
        <f t="shared" si="26"/>
        <v>0</v>
      </c>
      <c r="AA69" s="4" t="s">
        <v>10</v>
      </c>
      <c r="AB69" s="11">
        <f>IFERROR(VLOOKUP(AA69,Curr!$B$2:$C$13,2,FALSE),0)</f>
        <v>11.3</v>
      </c>
      <c r="AC69" s="12">
        <f t="shared" si="27"/>
        <v>0</v>
      </c>
      <c r="AD69" s="12">
        <f t="shared" si="28"/>
        <v>0</v>
      </c>
      <c r="AE69" s="13">
        <f t="shared" si="29"/>
        <v>0</v>
      </c>
    </row>
    <row r="70" spans="2:31" x14ac:dyDescent="0.25">
      <c r="B70" s="4"/>
      <c r="E70" s="3"/>
      <c r="F70" s="3"/>
      <c r="G70" s="24"/>
      <c r="H70" s="24"/>
      <c r="K70" s="4"/>
      <c r="L70" s="4"/>
      <c r="M70" s="4"/>
      <c r="N70" s="4"/>
      <c r="O70" s="4"/>
      <c r="P70" s="27"/>
      <c r="Q70" s="25">
        <v>0</v>
      </c>
      <c r="R70" s="25">
        <v>0</v>
      </c>
      <c r="S70" s="12">
        <f t="shared" si="22"/>
        <v>0</v>
      </c>
      <c r="T70" s="5">
        <v>0</v>
      </c>
      <c r="U70" s="12">
        <f t="shared" si="23"/>
        <v>0</v>
      </c>
      <c r="V70" s="25" t="s">
        <v>10</v>
      </c>
      <c r="W70" s="11">
        <f>IFERROR(VLOOKUP(V70,[1]Curr!$B$2:$C$13,2,FALSE),0)</f>
        <v>11.3</v>
      </c>
      <c r="X70" s="12">
        <f t="shared" si="24"/>
        <v>0</v>
      </c>
      <c r="Y70" s="26">
        <f t="shared" si="25"/>
        <v>0</v>
      </c>
      <c r="Z70" s="12">
        <f t="shared" si="26"/>
        <v>0</v>
      </c>
      <c r="AA70" s="4" t="s">
        <v>10</v>
      </c>
      <c r="AB70" s="11">
        <f>IFERROR(VLOOKUP(AA70,Curr!$B$2:$C$13,2,FALSE),0)</f>
        <v>11.3</v>
      </c>
      <c r="AC70" s="12">
        <f t="shared" si="27"/>
        <v>0</v>
      </c>
      <c r="AD70" s="12">
        <f t="shared" si="28"/>
        <v>0</v>
      </c>
      <c r="AE70" s="13">
        <f t="shared" si="29"/>
        <v>0</v>
      </c>
    </row>
    <row r="71" spans="2:31" x14ac:dyDescent="0.25">
      <c r="B71" s="4"/>
      <c r="E71" s="3"/>
      <c r="F71" s="3"/>
      <c r="G71" s="24"/>
      <c r="H71" s="24"/>
      <c r="K71" s="4"/>
      <c r="L71" s="4"/>
      <c r="M71" s="4"/>
      <c r="N71" s="4"/>
      <c r="O71" s="4"/>
      <c r="P71" s="27"/>
      <c r="Q71" s="25">
        <v>0</v>
      </c>
      <c r="R71" s="25">
        <v>0</v>
      </c>
      <c r="S71" s="12">
        <f t="shared" si="22"/>
        <v>0</v>
      </c>
      <c r="T71" s="5">
        <v>0</v>
      </c>
      <c r="U71" s="12">
        <f t="shared" si="23"/>
        <v>0</v>
      </c>
      <c r="V71" s="25" t="s">
        <v>10</v>
      </c>
      <c r="W71" s="11">
        <f>IFERROR(VLOOKUP(V71,[1]Curr!$B$2:$C$13,2,FALSE),0)</f>
        <v>11.3</v>
      </c>
      <c r="X71" s="12">
        <f t="shared" si="24"/>
        <v>0</v>
      </c>
      <c r="Y71" s="26">
        <f t="shared" si="25"/>
        <v>0</v>
      </c>
      <c r="Z71" s="12">
        <f t="shared" si="26"/>
        <v>0</v>
      </c>
      <c r="AA71" s="4" t="s">
        <v>10</v>
      </c>
      <c r="AB71" s="11">
        <f>IFERROR(VLOOKUP(AA71,Curr!$B$2:$C$13,2,FALSE),0)</f>
        <v>11.3</v>
      </c>
      <c r="AC71" s="12">
        <f t="shared" si="27"/>
        <v>0</v>
      </c>
      <c r="AD71" s="12">
        <f t="shared" si="28"/>
        <v>0</v>
      </c>
      <c r="AE71" s="13">
        <f t="shared" si="29"/>
        <v>0</v>
      </c>
    </row>
    <row r="72" spans="2:31" x14ac:dyDescent="0.25">
      <c r="B72" s="4"/>
      <c r="E72" s="3"/>
      <c r="F72" s="3"/>
      <c r="G72" s="24"/>
      <c r="H72" s="24"/>
      <c r="K72" s="4"/>
      <c r="L72" s="4"/>
      <c r="M72" s="4"/>
      <c r="N72" s="4"/>
      <c r="O72" s="4"/>
      <c r="P72" s="27"/>
      <c r="Q72" s="25">
        <v>0</v>
      </c>
      <c r="R72" s="25">
        <v>0</v>
      </c>
      <c r="S72" s="12">
        <f t="shared" si="22"/>
        <v>0</v>
      </c>
      <c r="T72" s="5">
        <v>0</v>
      </c>
      <c r="U72" s="12">
        <f t="shared" si="23"/>
        <v>0</v>
      </c>
      <c r="V72" s="25" t="s">
        <v>10</v>
      </c>
      <c r="W72" s="11">
        <f>IFERROR(VLOOKUP(V72,[1]Curr!$B$2:$C$13,2,FALSE),0)</f>
        <v>11.3</v>
      </c>
      <c r="X72" s="12">
        <f t="shared" si="24"/>
        <v>0</v>
      </c>
      <c r="Y72" s="26">
        <f t="shared" si="25"/>
        <v>0</v>
      </c>
      <c r="Z72" s="12">
        <f t="shared" si="26"/>
        <v>0</v>
      </c>
      <c r="AA72" s="4" t="s">
        <v>10</v>
      </c>
      <c r="AB72" s="11">
        <f>IFERROR(VLOOKUP(AA72,Curr!$B$2:$C$13,2,FALSE),0)</f>
        <v>11.3</v>
      </c>
      <c r="AC72" s="12">
        <f t="shared" si="27"/>
        <v>0</v>
      </c>
      <c r="AD72" s="12">
        <f t="shared" si="28"/>
        <v>0</v>
      </c>
      <c r="AE72" s="13">
        <f t="shared" si="29"/>
        <v>0</v>
      </c>
    </row>
    <row r="73" spans="2:31" x14ac:dyDescent="0.25">
      <c r="B73" s="4"/>
      <c r="E73" s="3"/>
      <c r="F73" s="3"/>
      <c r="G73" s="24"/>
      <c r="H73" s="24"/>
      <c r="K73" s="4"/>
      <c r="L73" s="4"/>
      <c r="M73" s="4"/>
      <c r="N73" s="4"/>
      <c r="O73" s="4"/>
      <c r="P73" s="27"/>
      <c r="Q73" s="25">
        <v>0</v>
      </c>
      <c r="R73" s="25">
        <v>0</v>
      </c>
      <c r="S73" s="12">
        <f t="shared" si="22"/>
        <v>0</v>
      </c>
      <c r="T73" s="5">
        <v>0</v>
      </c>
      <c r="U73" s="12">
        <f t="shared" si="23"/>
        <v>0</v>
      </c>
      <c r="V73" s="25" t="s">
        <v>10</v>
      </c>
      <c r="W73" s="11">
        <f>IFERROR(VLOOKUP(V73,[1]Curr!$B$2:$C$13,2,FALSE),0)</f>
        <v>11.3</v>
      </c>
      <c r="X73" s="12">
        <f t="shared" si="24"/>
        <v>0</v>
      </c>
      <c r="Y73" s="26">
        <f t="shared" si="25"/>
        <v>0</v>
      </c>
      <c r="Z73" s="12">
        <f t="shared" si="26"/>
        <v>0</v>
      </c>
      <c r="AA73" s="4" t="s">
        <v>10</v>
      </c>
      <c r="AB73" s="11">
        <f>IFERROR(VLOOKUP(AA73,Curr!$B$2:$C$13,2,FALSE),0)</f>
        <v>11.3</v>
      </c>
      <c r="AC73" s="12">
        <f t="shared" si="27"/>
        <v>0</v>
      </c>
      <c r="AD73" s="12">
        <f t="shared" si="28"/>
        <v>0</v>
      </c>
      <c r="AE73" s="13">
        <f t="shared" si="29"/>
        <v>0</v>
      </c>
    </row>
    <row r="74" spans="2:31" x14ac:dyDescent="0.25">
      <c r="B74" s="4"/>
      <c r="E74" s="3"/>
      <c r="F74" s="3"/>
      <c r="G74" s="24"/>
      <c r="H74" s="24"/>
      <c r="K74" s="4"/>
      <c r="L74" s="4"/>
      <c r="M74" s="4"/>
      <c r="N74" s="4"/>
      <c r="O74" s="4"/>
      <c r="P74" s="27"/>
      <c r="Q74" s="25">
        <v>0</v>
      </c>
      <c r="R74" s="25">
        <v>0</v>
      </c>
      <c r="S74" s="12">
        <f t="shared" si="22"/>
        <v>0</v>
      </c>
      <c r="T74" s="5">
        <v>0</v>
      </c>
      <c r="U74" s="12">
        <f t="shared" si="23"/>
        <v>0</v>
      </c>
      <c r="V74" s="25" t="s">
        <v>10</v>
      </c>
      <c r="W74" s="11">
        <f>IFERROR(VLOOKUP(V74,[1]Curr!$B$2:$C$13,2,FALSE),0)</f>
        <v>11.3</v>
      </c>
      <c r="X74" s="12">
        <f t="shared" si="24"/>
        <v>0</v>
      </c>
      <c r="Y74" s="26">
        <f t="shared" si="25"/>
        <v>0</v>
      </c>
      <c r="Z74" s="12">
        <f t="shared" si="26"/>
        <v>0</v>
      </c>
      <c r="AA74" s="4" t="s">
        <v>10</v>
      </c>
      <c r="AB74" s="11">
        <f>IFERROR(VLOOKUP(AA74,Curr!$B$2:$C$13,2,FALSE),0)</f>
        <v>11.3</v>
      </c>
      <c r="AC74" s="12">
        <f t="shared" si="27"/>
        <v>0</v>
      </c>
      <c r="AD74" s="12">
        <f t="shared" si="28"/>
        <v>0</v>
      </c>
      <c r="AE74" s="13">
        <f t="shared" si="29"/>
        <v>0</v>
      </c>
    </row>
    <row r="75" spans="2:31" x14ac:dyDescent="0.25">
      <c r="B75" s="4"/>
      <c r="E75" s="3"/>
      <c r="F75" s="3"/>
      <c r="G75" s="24"/>
      <c r="H75" s="24"/>
      <c r="K75" s="4"/>
      <c r="L75" s="4"/>
      <c r="M75" s="4"/>
      <c r="N75" s="4"/>
      <c r="O75" s="4"/>
      <c r="P75" s="27"/>
      <c r="Q75" s="25">
        <v>0</v>
      </c>
      <c r="R75" s="25">
        <v>0</v>
      </c>
      <c r="S75" s="12">
        <f t="shared" si="22"/>
        <v>0</v>
      </c>
      <c r="T75" s="5">
        <v>0</v>
      </c>
      <c r="U75" s="12">
        <f t="shared" si="23"/>
        <v>0</v>
      </c>
      <c r="V75" s="25" t="s">
        <v>10</v>
      </c>
      <c r="W75" s="11">
        <f>IFERROR(VLOOKUP(V75,[1]Curr!$B$2:$C$13,2,FALSE),0)</f>
        <v>11.3</v>
      </c>
      <c r="X75" s="12">
        <f t="shared" si="24"/>
        <v>0</v>
      </c>
      <c r="Y75" s="26">
        <f t="shared" si="25"/>
        <v>0</v>
      </c>
      <c r="Z75" s="12">
        <f t="shared" si="26"/>
        <v>0</v>
      </c>
      <c r="AA75" s="4" t="s">
        <v>10</v>
      </c>
      <c r="AB75" s="11">
        <f>IFERROR(VLOOKUP(AA75,Curr!$B$2:$C$13,2,FALSE),0)</f>
        <v>11.3</v>
      </c>
      <c r="AC75" s="12">
        <f t="shared" si="27"/>
        <v>0</v>
      </c>
      <c r="AD75" s="12">
        <f t="shared" si="28"/>
        <v>0</v>
      </c>
      <c r="AE75" s="13">
        <f t="shared" si="29"/>
        <v>0</v>
      </c>
    </row>
    <row r="76" spans="2:31" x14ac:dyDescent="0.25">
      <c r="B76" s="4"/>
      <c r="E76" s="3"/>
      <c r="F76" s="3"/>
      <c r="G76" s="24"/>
      <c r="H76" s="24"/>
      <c r="K76" s="4"/>
      <c r="L76" s="4"/>
      <c r="M76" s="4"/>
      <c r="N76" s="4"/>
      <c r="O76" s="4"/>
      <c r="P76" s="27"/>
      <c r="Q76" s="25">
        <v>0</v>
      </c>
      <c r="R76" s="25">
        <v>0</v>
      </c>
      <c r="S76" s="12">
        <f t="shared" si="22"/>
        <v>0</v>
      </c>
      <c r="T76" s="5">
        <v>0</v>
      </c>
      <c r="U76" s="12">
        <f t="shared" si="23"/>
        <v>0</v>
      </c>
      <c r="V76" s="25" t="s">
        <v>10</v>
      </c>
      <c r="W76" s="11">
        <f>IFERROR(VLOOKUP(V76,[1]Curr!$B$2:$C$13,2,FALSE),0)</f>
        <v>11.3</v>
      </c>
      <c r="X76" s="12">
        <f t="shared" si="24"/>
        <v>0</v>
      </c>
      <c r="Y76" s="26">
        <f t="shared" si="25"/>
        <v>0</v>
      </c>
      <c r="Z76" s="12">
        <f t="shared" si="26"/>
        <v>0</v>
      </c>
      <c r="AA76" s="4" t="s">
        <v>10</v>
      </c>
      <c r="AB76" s="11">
        <f>IFERROR(VLOOKUP(AA76,Curr!$B$2:$C$13,2,FALSE),0)</f>
        <v>11.3</v>
      </c>
      <c r="AC76" s="12">
        <f t="shared" si="27"/>
        <v>0</v>
      </c>
      <c r="AD76" s="12">
        <f t="shared" si="28"/>
        <v>0</v>
      </c>
      <c r="AE76" s="13">
        <f t="shared" si="29"/>
        <v>0</v>
      </c>
    </row>
    <row r="77" spans="2:31" x14ac:dyDescent="0.25">
      <c r="B77" s="4"/>
      <c r="E77" s="3"/>
      <c r="F77" s="3"/>
      <c r="G77" s="24"/>
      <c r="H77" s="24"/>
      <c r="K77" s="4"/>
      <c r="L77" s="4"/>
      <c r="M77" s="4"/>
      <c r="N77" s="4"/>
      <c r="O77" s="4"/>
      <c r="P77" s="27"/>
      <c r="Q77" s="25">
        <v>0</v>
      </c>
      <c r="R77" s="25">
        <v>0</v>
      </c>
      <c r="S77" s="12">
        <f t="shared" si="22"/>
        <v>0</v>
      </c>
      <c r="T77" s="5">
        <v>0</v>
      </c>
      <c r="U77" s="12">
        <f t="shared" si="23"/>
        <v>0</v>
      </c>
      <c r="V77" s="25" t="s">
        <v>10</v>
      </c>
      <c r="W77" s="11">
        <f>IFERROR(VLOOKUP(V77,[1]Curr!$B$2:$C$13,2,FALSE),0)</f>
        <v>11.3</v>
      </c>
      <c r="X77" s="12">
        <f t="shared" si="24"/>
        <v>0</v>
      </c>
      <c r="Y77" s="26">
        <f t="shared" si="25"/>
        <v>0</v>
      </c>
      <c r="Z77" s="12">
        <f t="shared" si="26"/>
        <v>0</v>
      </c>
      <c r="AA77" s="4" t="s">
        <v>10</v>
      </c>
      <c r="AB77" s="11">
        <f>IFERROR(VLOOKUP(AA77,Curr!$B$2:$C$13,2,FALSE),0)</f>
        <v>11.3</v>
      </c>
      <c r="AC77" s="12">
        <f t="shared" si="27"/>
        <v>0</v>
      </c>
      <c r="AD77" s="12">
        <f t="shared" si="28"/>
        <v>0</v>
      </c>
      <c r="AE77" s="13">
        <f t="shared" si="29"/>
        <v>0</v>
      </c>
    </row>
    <row r="78" spans="2:31" x14ac:dyDescent="0.25">
      <c r="B78" s="4"/>
      <c r="E78" s="3"/>
      <c r="F78" s="3"/>
      <c r="G78" s="24"/>
      <c r="H78" s="24"/>
      <c r="K78" s="4"/>
      <c r="L78" s="4"/>
      <c r="M78" s="4"/>
      <c r="N78" s="4"/>
      <c r="O78" s="4"/>
      <c r="P78" s="27"/>
      <c r="Q78" s="25">
        <v>0</v>
      </c>
      <c r="R78" s="25">
        <v>0</v>
      </c>
      <c r="S78" s="12">
        <f t="shared" si="22"/>
        <v>0</v>
      </c>
      <c r="T78" s="5">
        <v>0</v>
      </c>
      <c r="U78" s="12">
        <f t="shared" si="23"/>
        <v>0</v>
      </c>
      <c r="V78" s="25" t="s">
        <v>10</v>
      </c>
      <c r="W78" s="11">
        <f>IFERROR(VLOOKUP(V78,[1]Curr!$B$2:$C$13,2,FALSE),0)</f>
        <v>11.3</v>
      </c>
      <c r="X78" s="12">
        <f t="shared" si="24"/>
        <v>0</v>
      </c>
      <c r="Y78" s="26">
        <f t="shared" si="25"/>
        <v>0</v>
      </c>
      <c r="Z78" s="12">
        <f t="shared" si="26"/>
        <v>0</v>
      </c>
      <c r="AA78" s="4" t="s">
        <v>10</v>
      </c>
      <c r="AB78" s="11">
        <f>IFERROR(VLOOKUP(AA78,Curr!$B$2:$C$13,2,FALSE),0)</f>
        <v>11.3</v>
      </c>
      <c r="AC78" s="12">
        <f t="shared" si="27"/>
        <v>0</v>
      </c>
      <c r="AD78" s="12">
        <f t="shared" si="28"/>
        <v>0</v>
      </c>
      <c r="AE78" s="13">
        <f t="shared" si="29"/>
        <v>0</v>
      </c>
    </row>
    <row r="79" spans="2:31" x14ac:dyDescent="0.25">
      <c r="B79" s="4"/>
      <c r="E79" s="3"/>
      <c r="F79" s="3"/>
      <c r="G79" s="24"/>
      <c r="H79" s="24"/>
      <c r="K79" s="4"/>
      <c r="L79" s="4"/>
      <c r="M79" s="4"/>
      <c r="N79" s="4"/>
      <c r="O79" s="4"/>
      <c r="P79" s="27"/>
      <c r="Q79" s="25">
        <v>0</v>
      </c>
      <c r="R79" s="25">
        <v>0</v>
      </c>
      <c r="S79" s="12">
        <f t="shared" si="22"/>
        <v>0</v>
      </c>
      <c r="T79" s="5">
        <v>0</v>
      </c>
      <c r="U79" s="12">
        <f t="shared" si="23"/>
        <v>0</v>
      </c>
      <c r="V79" s="25" t="s">
        <v>10</v>
      </c>
      <c r="W79" s="11">
        <f>IFERROR(VLOOKUP(V79,[1]Curr!$B$2:$C$13,2,FALSE),0)</f>
        <v>11.3</v>
      </c>
      <c r="X79" s="12">
        <f t="shared" si="24"/>
        <v>0</v>
      </c>
      <c r="Y79" s="26">
        <f t="shared" si="25"/>
        <v>0</v>
      </c>
      <c r="Z79" s="12">
        <f t="shared" si="26"/>
        <v>0</v>
      </c>
      <c r="AA79" s="4" t="s">
        <v>10</v>
      </c>
      <c r="AB79" s="11">
        <f>IFERROR(VLOOKUP(AA79,Curr!$B$2:$C$13,2,FALSE),0)</f>
        <v>11.3</v>
      </c>
      <c r="AC79" s="12">
        <f t="shared" si="27"/>
        <v>0</v>
      </c>
      <c r="AD79" s="12">
        <f t="shared" si="28"/>
        <v>0</v>
      </c>
      <c r="AE79" s="13">
        <f t="shared" si="29"/>
        <v>0</v>
      </c>
    </row>
    <row r="80" spans="2:31" x14ac:dyDescent="0.25">
      <c r="B80" s="4"/>
      <c r="E80" s="3"/>
      <c r="F80" s="3"/>
      <c r="G80" s="24"/>
      <c r="H80" s="24"/>
      <c r="K80" s="4"/>
      <c r="L80" s="4"/>
      <c r="M80" s="4"/>
      <c r="N80" s="4"/>
      <c r="O80" s="4"/>
      <c r="P80" s="27"/>
      <c r="Q80" s="25">
        <v>0</v>
      </c>
      <c r="R80" s="25">
        <v>0</v>
      </c>
      <c r="S80" s="12">
        <f t="shared" si="22"/>
        <v>0</v>
      </c>
      <c r="T80" s="5">
        <v>0</v>
      </c>
      <c r="U80" s="12">
        <f t="shared" si="23"/>
        <v>0</v>
      </c>
      <c r="V80" s="25" t="s">
        <v>10</v>
      </c>
      <c r="W80" s="11">
        <f>IFERROR(VLOOKUP(V80,[1]Curr!$B$2:$C$13,2,FALSE),0)</f>
        <v>11.3</v>
      </c>
      <c r="X80" s="12">
        <f t="shared" si="24"/>
        <v>0</v>
      </c>
      <c r="Y80" s="26">
        <f t="shared" si="25"/>
        <v>0</v>
      </c>
      <c r="Z80" s="12">
        <f t="shared" si="26"/>
        <v>0</v>
      </c>
      <c r="AA80" s="4" t="s">
        <v>10</v>
      </c>
      <c r="AB80" s="11">
        <f>IFERROR(VLOOKUP(AA80,Curr!$B$2:$C$13,2,FALSE),0)</f>
        <v>11.3</v>
      </c>
      <c r="AC80" s="12">
        <f t="shared" si="27"/>
        <v>0</v>
      </c>
      <c r="AD80" s="12">
        <f t="shared" si="28"/>
        <v>0</v>
      </c>
      <c r="AE80" s="13">
        <f t="shared" si="29"/>
        <v>0</v>
      </c>
    </row>
    <row r="81" spans="2:31" x14ac:dyDescent="0.25">
      <c r="B81" s="4"/>
      <c r="E81" s="3"/>
      <c r="F81" s="3"/>
      <c r="G81" s="24"/>
      <c r="H81" s="24"/>
      <c r="K81" s="4"/>
      <c r="L81" s="4"/>
      <c r="M81" s="4"/>
      <c r="N81" s="4"/>
      <c r="O81" s="4"/>
      <c r="P81" s="27"/>
      <c r="Q81" s="25">
        <v>0</v>
      </c>
      <c r="R81" s="25">
        <v>0</v>
      </c>
      <c r="S81" s="12">
        <f t="shared" si="22"/>
        <v>0</v>
      </c>
      <c r="T81" s="5">
        <v>0</v>
      </c>
      <c r="U81" s="12">
        <f t="shared" si="23"/>
        <v>0</v>
      </c>
      <c r="V81" s="25" t="s">
        <v>10</v>
      </c>
      <c r="W81" s="11">
        <f>IFERROR(VLOOKUP(V81,[1]Curr!$B$2:$C$13,2,FALSE),0)</f>
        <v>11.3</v>
      </c>
      <c r="X81" s="12">
        <f t="shared" si="24"/>
        <v>0</v>
      </c>
      <c r="Y81" s="26">
        <f t="shared" si="25"/>
        <v>0</v>
      </c>
      <c r="Z81" s="12">
        <f t="shared" si="26"/>
        <v>0</v>
      </c>
      <c r="AA81" s="4" t="s">
        <v>10</v>
      </c>
      <c r="AB81" s="11">
        <f>IFERROR(VLOOKUP(AA81,Curr!$B$2:$C$13,2,FALSE),0)</f>
        <v>11.3</v>
      </c>
      <c r="AC81" s="12">
        <f t="shared" si="27"/>
        <v>0</v>
      </c>
      <c r="AD81" s="12">
        <f t="shared" si="28"/>
        <v>0</v>
      </c>
      <c r="AE81" s="13">
        <f t="shared" si="29"/>
        <v>0</v>
      </c>
    </row>
    <row r="82" spans="2:31" x14ac:dyDescent="0.25">
      <c r="B82" s="4"/>
      <c r="E82" s="3"/>
      <c r="F82" s="3"/>
      <c r="G82" s="24"/>
      <c r="H82" s="24"/>
      <c r="K82" s="4"/>
      <c r="L82" s="4"/>
      <c r="M82" s="4"/>
      <c r="N82" s="4"/>
      <c r="O82" s="4"/>
      <c r="P82" s="27"/>
      <c r="Q82" s="25">
        <v>0</v>
      </c>
      <c r="R82" s="25">
        <v>0</v>
      </c>
      <c r="S82" s="12">
        <f t="shared" si="22"/>
        <v>0</v>
      </c>
      <c r="T82" s="5">
        <v>0</v>
      </c>
      <c r="U82" s="12">
        <f t="shared" si="23"/>
        <v>0</v>
      </c>
      <c r="V82" s="25" t="s">
        <v>10</v>
      </c>
      <c r="W82" s="11">
        <f>IFERROR(VLOOKUP(V82,[1]Curr!$B$2:$C$13,2,FALSE),0)</f>
        <v>11.3</v>
      </c>
      <c r="X82" s="12">
        <f t="shared" si="24"/>
        <v>0</v>
      </c>
      <c r="Y82" s="26">
        <f t="shared" si="25"/>
        <v>0</v>
      </c>
      <c r="Z82" s="12">
        <f t="shared" si="26"/>
        <v>0</v>
      </c>
      <c r="AA82" s="4" t="s">
        <v>10</v>
      </c>
      <c r="AB82" s="11">
        <f>IFERROR(VLOOKUP(AA82,Curr!$B$2:$C$13,2,FALSE),0)</f>
        <v>11.3</v>
      </c>
      <c r="AC82" s="12">
        <f t="shared" si="27"/>
        <v>0</v>
      </c>
      <c r="AD82" s="12">
        <f t="shared" si="28"/>
        <v>0</v>
      </c>
      <c r="AE82" s="13">
        <f t="shared" si="29"/>
        <v>0</v>
      </c>
    </row>
    <row r="83" spans="2:31" x14ac:dyDescent="0.25">
      <c r="B83" s="4"/>
      <c r="E83" s="3"/>
      <c r="F83" s="3"/>
      <c r="G83" s="24"/>
      <c r="H83" s="24"/>
      <c r="K83" s="4"/>
      <c r="L83" s="4"/>
      <c r="M83" s="4"/>
      <c r="N83" s="4"/>
      <c r="O83" s="4"/>
      <c r="P83" s="27"/>
      <c r="Q83" s="25">
        <v>0</v>
      </c>
      <c r="R83" s="25">
        <v>0</v>
      </c>
      <c r="S83" s="12">
        <f t="shared" si="22"/>
        <v>0</v>
      </c>
      <c r="T83" s="5">
        <v>0</v>
      </c>
      <c r="U83" s="12">
        <f t="shared" si="23"/>
        <v>0</v>
      </c>
      <c r="V83" s="25" t="s">
        <v>10</v>
      </c>
      <c r="W83" s="11">
        <f>IFERROR(VLOOKUP(V83,[1]Curr!$B$2:$C$13,2,FALSE),0)</f>
        <v>11.3</v>
      </c>
      <c r="X83" s="12">
        <f t="shared" si="24"/>
        <v>0</v>
      </c>
      <c r="Y83" s="26">
        <f t="shared" si="25"/>
        <v>0</v>
      </c>
      <c r="Z83" s="12">
        <f t="shared" si="26"/>
        <v>0</v>
      </c>
      <c r="AA83" s="4" t="s">
        <v>10</v>
      </c>
      <c r="AB83" s="11">
        <f>IFERROR(VLOOKUP(AA83,Curr!$B$2:$C$13,2,FALSE),0)</f>
        <v>11.3</v>
      </c>
      <c r="AC83" s="12">
        <f t="shared" si="27"/>
        <v>0</v>
      </c>
      <c r="AD83" s="12">
        <f t="shared" si="28"/>
        <v>0</v>
      </c>
      <c r="AE83" s="13">
        <f t="shared" si="29"/>
        <v>0</v>
      </c>
    </row>
    <row r="84" spans="2:31" x14ac:dyDescent="0.25">
      <c r="B84" s="4"/>
      <c r="E84" s="3"/>
      <c r="F84" s="3"/>
      <c r="G84" s="24"/>
      <c r="H84" s="24"/>
      <c r="K84" s="4"/>
      <c r="L84" s="4"/>
      <c r="M84" s="4"/>
      <c r="N84" s="4"/>
      <c r="O84" s="4"/>
      <c r="P84" s="27"/>
      <c r="Q84" s="25">
        <v>0</v>
      </c>
      <c r="R84" s="25">
        <v>0</v>
      </c>
      <c r="S84" s="12">
        <f t="shared" si="22"/>
        <v>0</v>
      </c>
      <c r="T84" s="5">
        <v>0</v>
      </c>
      <c r="U84" s="12">
        <f t="shared" si="23"/>
        <v>0</v>
      </c>
      <c r="V84" s="25" t="s">
        <v>10</v>
      </c>
      <c r="W84" s="11">
        <f>IFERROR(VLOOKUP(V84,[1]Curr!$B$2:$C$13,2,FALSE),0)</f>
        <v>11.3</v>
      </c>
      <c r="X84" s="12">
        <f t="shared" si="24"/>
        <v>0</v>
      </c>
      <c r="Y84" s="26">
        <f t="shared" si="25"/>
        <v>0</v>
      </c>
      <c r="Z84" s="12">
        <f t="shared" si="26"/>
        <v>0</v>
      </c>
      <c r="AA84" s="4" t="s">
        <v>10</v>
      </c>
      <c r="AB84" s="11">
        <f>IFERROR(VLOOKUP(AA84,Curr!$B$2:$C$13,2,FALSE),0)</f>
        <v>11.3</v>
      </c>
      <c r="AC84" s="12">
        <f t="shared" si="27"/>
        <v>0</v>
      </c>
      <c r="AD84" s="12">
        <f t="shared" si="28"/>
        <v>0</v>
      </c>
      <c r="AE84" s="13">
        <f t="shared" si="29"/>
        <v>0</v>
      </c>
    </row>
    <row r="85" spans="2:31" x14ac:dyDescent="0.25">
      <c r="B85" s="4"/>
      <c r="E85" s="3"/>
      <c r="F85" s="3"/>
      <c r="G85" s="24"/>
      <c r="H85" s="24"/>
      <c r="K85" s="4"/>
      <c r="L85" s="4"/>
      <c r="M85" s="4"/>
      <c r="N85" s="4"/>
      <c r="O85" s="4"/>
      <c r="P85" s="27"/>
      <c r="Q85" s="25">
        <v>0</v>
      </c>
      <c r="R85" s="25">
        <v>0</v>
      </c>
      <c r="S85" s="12">
        <f t="shared" si="22"/>
        <v>0</v>
      </c>
      <c r="T85" s="5">
        <v>0</v>
      </c>
      <c r="U85" s="12">
        <f t="shared" si="23"/>
        <v>0</v>
      </c>
      <c r="V85" s="25" t="s">
        <v>10</v>
      </c>
      <c r="W85" s="11">
        <f>IFERROR(VLOOKUP(V85,[1]Curr!$B$2:$C$13,2,FALSE),0)</f>
        <v>11.3</v>
      </c>
      <c r="X85" s="12">
        <f t="shared" si="24"/>
        <v>0</v>
      </c>
      <c r="Y85" s="26">
        <f t="shared" si="25"/>
        <v>0</v>
      </c>
      <c r="Z85" s="12">
        <f t="shared" si="26"/>
        <v>0</v>
      </c>
      <c r="AA85" s="4" t="s">
        <v>10</v>
      </c>
      <c r="AB85" s="11">
        <f>IFERROR(VLOOKUP(AA85,Curr!$B$2:$C$13,2,FALSE),0)</f>
        <v>11.3</v>
      </c>
      <c r="AC85" s="12">
        <f t="shared" si="27"/>
        <v>0</v>
      </c>
      <c r="AD85" s="12">
        <f t="shared" si="28"/>
        <v>0</v>
      </c>
      <c r="AE85" s="13">
        <f t="shared" si="29"/>
        <v>0</v>
      </c>
    </row>
    <row r="86" spans="2:31" x14ac:dyDescent="0.25">
      <c r="B86" s="4"/>
      <c r="E86" s="3"/>
      <c r="F86" s="3"/>
      <c r="G86" s="24"/>
      <c r="H86" s="24"/>
      <c r="K86" s="4"/>
      <c r="L86" s="4"/>
      <c r="M86" s="4"/>
      <c r="N86" s="4"/>
      <c r="O86" s="4"/>
      <c r="P86" s="27"/>
      <c r="Q86" s="25">
        <v>0</v>
      </c>
      <c r="R86" s="25">
        <v>0</v>
      </c>
      <c r="S86" s="12">
        <f t="shared" si="22"/>
        <v>0</v>
      </c>
      <c r="T86" s="5">
        <v>0</v>
      </c>
      <c r="U86" s="12">
        <f t="shared" si="23"/>
        <v>0</v>
      </c>
      <c r="V86" s="25" t="s">
        <v>10</v>
      </c>
      <c r="W86" s="11">
        <f>IFERROR(VLOOKUP(V86,[1]Curr!$B$2:$C$13,2,FALSE),0)</f>
        <v>11.3</v>
      </c>
      <c r="X86" s="12">
        <f t="shared" si="24"/>
        <v>0</v>
      </c>
      <c r="Y86" s="26">
        <f t="shared" si="25"/>
        <v>0</v>
      </c>
      <c r="Z86" s="12">
        <f t="shared" si="26"/>
        <v>0</v>
      </c>
      <c r="AA86" s="4" t="s">
        <v>10</v>
      </c>
      <c r="AB86" s="11">
        <f>IFERROR(VLOOKUP(AA86,Curr!$B$2:$C$13,2,FALSE),0)</f>
        <v>11.3</v>
      </c>
      <c r="AC86" s="12">
        <f t="shared" si="27"/>
        <v>0</v>
      </c>
      <c r="AD86" s="12">
        <f t="shared" si="28"/>
        <v>0</v>
      </c>
      <c r="AE86" s="13">
        <f t="shared" si="29"/>
        <v>0</v>
      </c>
    </row>
    <row r="87" spans="2:31" x14ac:dyDescent="0.25">
      <c r="B87" s="4"/>
      <c r="E87" s="3"/>
      <c r="F87" s="3"/>
      <c r="G87" s="24"/>
      <c r="H87" s="24"/>
      <c r="K87" s="4"/>
      <c r="L87" s="4"/>
      <c r="M87" s="4"/>
      <c r="N87" s="4"/>
      <c r="O87" s="4"/>
      <c r="P87" s="27"/>
      <c r="Q87" s="25">
        <v>0</v>
      </c>
      <c r="R87" s="25">
        <v>0</v>
      </c>
      <c r="S87" s="12">
        <f t="shared" si="22"/>
        <v>0</v>
      </c>
      <c r="T87" s="5">
        <v>0</v>
      </c>
      <c r="U87" s="12">
        <f t="shared" si="23"/>
        <v>0</v>
      </c>
      <c r="V87" s="25" t="s">
        <v>10</v>
      </c>
      <c r="W87" s="11">
        <f>IFERROR(VLOOKUP(V87,[1]Curr!$B$2:$C$13,2,FALSE),0)</f>
        <v>11.3</v>
      </c>
      <c r="X87" s="12">
        <f t="shared" si="24"/>
        <v>0</v>
      </c>
      <c r="Y87" s="26">
        <f t="shared" si="25"/>
        <v>0</v>
      </c>
      <c r="Z87" s="12">
        <f t="shared" si="26"/>
        <v>0</v>
      </c>
      <c r="AA87" s="4" t="s">
        <v>10</v>
      </c>
      <c r="AB87" s="11">
        <f>IFERROR(VLOOKUP(AA87,Curr!$B$2:$C$13,2,FALSE),0)</f>
        <v>11.3</v>
      </c>
      <c r="AC87" s="12">
        <f t="shared" si="27"/>
        <v>0</v>
      </c>
      <c r="AD87" s="12">
        <f t="shared" si="28"/>
        <v>0</v>
      </c>
      <c r="AE87" s="13">
        <f t="shared" si="29"/>
        <v>0</v>
      </c>
    </row>
    <row r="88" spans="2:31" x14ac:dyDescent="0.25">
      <c r="B88" s="4"/>
      <c r="E88" s="3"/>
      <c r="F88" s="3"/>
      <c r="G88" s="24"/>
      <c r="H88" s="24"/>
      <c r="K88" s="4"/>
      <c r="L88" s="4"/>
      <c r="M88" s="4"/>
      <c r="N88" s="4"/>
      <c r="O88" s="4"/>
      <c r="P88" s="27"/>
      <c r="Q88" s="25">
        <v>0</v>
      </c>
      <c r="R88" s="25">
        <v>0</v>
      </c>
      <c r="S88" s="12">
        <f t="shared" si="22"/>
        <v>0</v>
      </c>
      <c r="T88" s="5">
        <v>0</v>
      </c>
      <c r="U88" s="12">
        <f t="shared" si="23"/>
        <v>0</v>
      </c>
      <c r="V88" s="25" t="s">
        <v>10</v>
      </c>
      <c r="W88" s="11">
        <f>IFERROR(VLOOKUP(V88,[1]Curr!$B$2:$C$13,2,FALSE),0)</f>
        <v>11.3</v>
      </c>
      <c r="X88" s="12">
        <f t="shared" si="24"/>
        <v>0</v>
      </c>
      <c r="Y88" s="26">
        <f t="shared" si="25"/>
        <v>0</v>
      </c>
      <c r="Z88" s="12">
        <f t="shared" si="26"/>
        <v>0</v>
      </c>
      <c r="AA88" s="4" t="s">
        <v>10</v>
      </c>
      <c r="AB88" s="11">
        <f>IFERROR(VLOOKUP(AA88,Curr!$B$2:$C$13,2,FALSE),0)</f>
        <v>11.3</v>
      </c>
      <c r="AC88" s="12">
        <f t="shared" si="27"/>
        <v>0</v>
      </c>
      <c r="AD88" s="12">
        <f t="shared" si="28"/>
        <v>0</v>
      </c>
      <c r="AE88" s="13">
        <f t="shared" si="29"/>
        <v>0</v>
      </c>
    </row>
    <row r="89" spans="2:31" x14ac:dyDescent="0.25">
      <c r="B89" s="4"/>
      <c r="E89" s="3"/>
      <c r="F89" s="3"/>
      <c r="G89" s="24"/>
      <c r="H89" s="24"/>
      <c r="K89" s="4"/>
      <c r="L89" s="4"/>
      <c r="M89" s="4"/>
      <c r="N89" s="4"/>
      <c r="O89" s="4"/>
      <c r="P89" s="27"/>
      <c r="Q89" s="25">
        <v>0</v>
      </c>
      <c r="R89" s="25">
        <v>0</v>
      </c>
      <c r="S89" s="12">
        <f t="shared" si="22"/>
        <v>0</v>
      </c>
      <c r="T89" s="5">
        <v>0</v>
      </c>
      <c r="U89" s="12">
        <f t="shared" si="23"/>
        <v>0</v>
      </c>
      <c r="V89" s="25" t="s">
        <v>10</v>
      </c>
      <c r="W89" s="11">
        <f>IFERROR(VLOOKUP(V89,[1]Curr!$B$2:$C$13,2,FALSE),0)</f>
        <v>11.3</v>
      </c>
      <c r="X89" s="12">
        <f t="shared" si="24"/>
        <v>0</v>
      </c>
      <c r="Y89" s="26">
        <f t="shared" si="25"/>
        <v>0</v>
      </c>
      <c r="Z89" s="12">
        <f t="shared" si="26"/>
        <v>0</v>
      </c>
      <c r="AA89" s="4" t="s">
        <v>10</v>
      </c>
      <c r="AB89" s="11">
        <f>IFERROR(VLOOKUP(AA89,Curr!$B$2:$C$13,2,FALSE),0)</f>
        <v>11.3</v>
      </c>
      <c r="AC89" s="12">
        <f t="shared" si="27"/>
        <v>0</v>
      </c>
      <c r="AD89" s="12">
        <f t="shared" si="28"/>
        <v>0</v>
      </c>
      <c r="AE89" s="13">
        <f t="shared" si="29"/>
        <v>0</v>
      </c>
    </row>
    <row r="90" spans="2:31" x14ac:dyDescent="0.25">
      <c r="B90" s="4"/>
      <c r="E90" s="3"/>
      <c r="F90" s="3"/>
      <c r="G90" s="24"/>
      <c r="H90" s="24"/>
      <c r="K90" s="4"/>
      <c r="L90" s="4"/>
      <c r="M90" s="4"/>
      <c r="N90" s="4"/>
      <c r="O90" s="4"/>
      <c r="P90" s="27"/>
      <c r="Q90" s="25">
        <v>0</v>
      </c>
      <c r="R90" s="25">
        <v>0</v>
      </c>
      <c r="S90" s="12">
        <f t="shared" si="22"/>
        <v>0</v>
      </c>
      <c r="T90" s="5">
        <v>0</v>
      </c>
      <c r="U90" s="12">
        <f t="shared" si="23"/>
        <v>0</v>
      </c>
      <c r="V90" s="25" t="s">
        <v>10</v>
      </c>
      <c r="W90" s="11">
        <f>IFERROR(VLOOKUP(V90,[1]Curr!$B$2:$C$13,2,FALSE),0)</f>
        <v>11.3</v>
      </c>
      <c r="X90" s="12">
        <f t="shared" si="24"/>
        <v>0</v>
      </c>
      <c r="Y90" s="26">
        <f t="shared" si="25"/>
        <v>0</v>
      </c>
      <c r="Z90" s="12">
        <f t="shared" si="26"/>
        <v>0</v>
      </c>
      <c r="AA90" s="4" t="s">
        <v>10</v>
      </c>
      <c r="AB90" s="11">
        <f>IFERROR(VLOOKUP(AA90,Curr!$B$2:$C$13,2,FALSE),0)</f>
        <v>11.3</v>
      </c>
      <c r="AC90" s="12">
        <f t="shared" si="27"/>
        <v>0</v>
      </c>
      <c r="AD90" s="12">
        <f t="shared" si="28"/>
        <v>0</v>
      </c>
      <c r="AE90" s="13">
        <f t="shared" si="29"/>
        <v>0</v>
      </c>
    </row>
    <row r="91" spans="2:31" x14ac:dyDescent="0.25">
      <c r="B91" s="4"/>
      <c r="E91" s="3"/>
      <c r="F91" s="3"/>
      <c r="G91" s="24"/>
      <c r="H91" s="24"/>
      <c r="K91" s="4"/>
      <c r="L91" s="4"/>
      <c r="M91" s="4"/>
      <c r="N91" s="4"/>
      <c r="O91" s="4"/>
      <c r="P91" s="27"/>
      <c r="Q91" s="25">
        <v>0</v>
      </c>
      <c r="R91" s="25">
        <v>0</v>
      </c>
      <c r="S91" s="12">
        <f t="shared" si="22"/>
        <v>0</v>
      </c>
      <c r="T91" s="5">
        <v>0</v>
      </c>
      <c r="U91" s="12">
        <f t="shared" si="23"/>
        <v>0</v>
      </c>
      <c r="V91" s="25" t="s">
        <v>10</v>
      </c>
      <c r="W91" s="11">
        <f>IFERROR(VLOOKUP(V91,[1]Curr!$B$2:$C$13,2,FALSE),0)</f>
        <v>11.3</v>
      </c>
      <c r="X91" s="12">
        <f t="shared" si="24"/>
        <v>0</v>
      </c>
      <c r="Y91" s="26">
        <f t="shared" si="25"/>
        <v>0</v>
      </c>
      <c r="Z91" s="12">
        <f t="shared" si="26"/>
        <v>0</v>
      </c>
      <c r="AA91" s="4" t="s">
        <v>10</v>
      </c>
      <c r="AB91" s="11">
        <f>IFERROR(VLOOKUP(AA91,Curr!$B$2:$C$13,2,FALSE),0)</f>
        <v>11.3</v>
      </c>
      <c r="AC91" s="12">
        <f t="shared" si="27"/>
        <v>0</v>
      </c>
      <c r="AD91" s="12">
        <f t="shared" si="28"/>
        <v>0</v>
      </c>
      <c r="AE91" s="13">
        <f t="shared" si="29"/>
        <v>0</v>
      </c>
    </row>
    <row r="92" spans="2:31" x14ac:dyDescent="0.25">
      <c r="B92" s="4"/>
      <c r="E92" s="3"/>
      <c r="F92" s="3"/>
      <c r="G92" s="24"/>
      <c r="H92" s="24"/>
      <c r="K92" s="4"/>
      <c r="L92" s="4"/>
      <c r="M92" s="4"/>
      <c r="N92" s="4"/>
      <c r="O92" s="4"/>
      <c r="P92" s="27"/>
      <c r="Q92" s="25">
        <v>0</v>
      </c>
      <c r="R92" s="25">
        <v>0</v>
      </c>
      <c r="S92" s="12">
        <f t="shared" si="22"/>
        <v>0</v>
      </c>
      <c r="T92" s="5">
        <v>0</v>
      </c>
      <c r="U92" s="12">
        <f t="shared" si="23"/>
        <v>0</v>
      </c>
      <c r="V92" s="25" t="s">
        <v>10</v>
      </c>
      <c r="W92" s="11">
        <f>IFERROR(VLOOKUP(V92,[1]Curr!$B$2:$C$13,2,FALSE),0)</f>
        <v>11.3</v>
      </c>
      <c r="X92" s="12">
        <f t="shared" si="24"/>
        <v>0</v>
      </c>
      <c r="Y92" s="26">
        <f t="shared" si="25"/>
        <v>0</v>
      </c>
      <c r="Z92" s="12">
        <f t="shared" si="26"/>
        <v>0</v>
      </c>
      <c r="AA92" s="4" t="s">
        <v>10</v>
      </c>
      <c r="AB92" s="11">
        <f>IFERROR(VLOOKUP(AA92,Curr!$B$2:$C$13,2,FALSE),0)</f>
        <v>11.3</v>
      </c>
      <c r="AC92" s="12">
        <f t="shared" si="27"/>
        <v>0</v>
      </c>
      <c r="AD92" s="12">
        <f t="shared" si="28"/>
        <v>0</v>
      </c>
      <c r="AE92" s="13">
        <f t="shared" si="29"/>
        <v>0</v>
      </c>
    </row>
    <row r="93" spans="2:31" x14ac:dyDescent="0.25">
      <c r="B93" s="4"/>
      <c r="E93" s="3"/>
      <c r="F93" s="3"/>
      <c r="G93" s="24"/>
      <c r="H93" s="24"/>
      <c r="K93" s="4"/>
      <c r="L93" s="4"/>
      <c r="M93" s="4"/>
      <c r="N93" s="4"/>
      <c r="O93" s="4"/>
      <c r="P93" s="27"/>
      <c r="Q93" s="25">
        <v>0</v>
      </c>
      <c r="R93" s="25">
        <v>0</v>
      </c>
      <c r="S93" s="12">
        <f t="shared" si="22"/>
        <v>0</v>
      </c>
      <c r="T93" s="5">
        <v>0</v>
      </c>
      <c r="U93" s="12">
        <f t="shared" si="23"/>
        <v>0</v>
      </c>
      <c r="V93" s="25" t="s">
        <v>10</v>
      </c>
      <c r="W93" s="11">
        <f>IFERROR(VLOOKUP(V93,[1]Curr!$B$2:$C$13,2,FALSE),0)</f>
        <v>11.3</v>
      </c>
      <c r="X93" s="12">
        <f t="shared" si="24"/>
        <v>0</v>
      </c>
      <c r="Y93" s="26">
        <f t="shared" si="25"/>
        <v>0</v>
      </c>
      <c r="Z93" s="12">
        <f t="shared" si="26"/>
        <v>0</v>
      </c>
      <c r="AA93" s="4" t="s">
        <v>10</v>
      </c>
      <c r="AB93" s="11">
        <f>IFERROR(VLOOKUP(AA93,Curr!$B$2:$C$13,2,FALSE),0)</f>
        <v>11.3</v>
      </c>
      <c r="AC93" s="12">
        <f t="shared" si="27"/>
        <v>0</v>
      </c>
      <c r="AD93" s="12">
        <f t="shared" si="28"/>
        <v>0</v>
      </c>
      <c r="AE93" s="13">
        <f t="shared" si="29"/>
        <v>0</v>
      </c>
    </row>
    <row r="94" spans="2:31" x14ac:dyDescent="0.25">
      <c r="B94" s="4"/>
      <c r="E94" s="3"/>
      <c r="F94" s="3"/>
      <c r="G94" s="24"/>
      <c r="H94" s="24"/>
      <c r="K94" s="4"/>
      <c r="L94" s="4"/>
      <c r="M94" s="4"/>
      <c r="N94" s="4"/>
      <c r="O94" s="4"/>
      <c r="P94" s="27"/>
      <c r="Q94" s="25">
        <v>0</v>
      </c>
      <c r="R94" s="25">
        <v>0</v>
      </c>
      <c r="S94" s="12">
        <f t="shared" si="22"/>
        <v>0</v>
      </c>
      <c r="T94" s="5">
        <v>0</v>
      </c>
      <c r="U94" s="12">
        <f t="shared" si="23"/>
        <v>0</v>
      </c>
      <c r="V94" s="25" t="s">
        <v>10</v>
      </c>
      <c r="W94" s="11">
        <f>IFERROR(VLOOKUP(V94,[1]Curr!$B$2:$C$13,2,FALSE),0)</f>
        <v>11.3</v>
      </c>
      <c r="X94" s="12">
        <f t="shared" si="24"/>
        <v>0</v>
      </c>
      <c r="Y94" s="26">
        <f t="shared" si="25"/>
        <v>0</v>
      </c>
      <c r="Z94" s="12">
        <f t="shared" si="26"/>
        <v>0</v>
      </c>
      <c r="AA94" s="4" t="s">
        <v>10</v>
      </c>
      <c r="AB94" s="11">
        <f>IFERROR(VLOOKUP(AA94,Curr!$B$2:$C$13,2,FALSE),0)</f>
        <v>11.3</v>
      </c>
      <c r="AC94" s="12">
        <f t="shared" si="27"/>
        <v>0</v>
      </c>
      <c r="AD94" s="12">
        <f t="shared" si="28"/>
        <v>0</v>
      </c>
      <c r="AE94" s="13">
        <f t="shared" si="29"/>
        <v>0</v>
      </c>
    </row>
    <row r="95" spans="2:31" x14ac:dyDescent="0.25">
      <c r="B95" s="4"/>
      <c r="E95" s="3"/>
      <c r="F95" s="3"/>
      <c r="G95" s="24"/>
      <c r="H95" s="24"/>
      <c r="K95" s="4"/>
      <c r="L95" s="4"/>
      <c r="M95" s="4"/>
      <c r="N95" s="4"/>
      <c r="O95" s="4"/>
      <c r="P95" s="27"/>
      <c r="Q95" s="25">
        <v>0</v>
      </c>
      <c r="R95" s="25">
        <v>0</v>
      </c>
      <c r="S95" s="12">
        <f t="shared" si="22"/>
        <v>0</v>
      </c>
      <c r="T95" s="5">
        <v>0</v>
      </c>
      <c r="U95" s="12">
        <f t="shared" si="23"/>
        <v>0</v>
      </c>
      <c r="V95" s="25" t="s">
        <v>10</v>
      </c>
      <c r="W95" s="11">
        <f>IFERROR(VLOOKUP(V95,[1]Curr!$B$2:$C$13,2,FALSE),0)</f>
        <v>11.3</v>
      </c>
      <c r="X95" s="12">
        <f t="shared" si="24"/>
        <v>0</v>
      </c>
      <c r="Y95" s="26">
        <f t="shared" si="25"/>
        <v>0</v>
      </c>
      <c r="Z95" s="12">
        <f t="shared" si="26"/>
        <v>0</v>
      </c>
      <c r="AA95" s="4" t="s">
        <v>10</v>
      </c>
      <c r="AB95" s="11">
        <f>IFERROR(VLOOKUP(AA95,Curr!$B$2:$C$13,2,FALSE),0)</f>
        <v>11.3</v>
      </c>
      <c r="AC95" s="12">
        <f t="shared" si="27"/>
        <v>0</v>
      </c>
      <c r="AD95" s="12">
        <f t="shared" si="28"/>
        <v>0</v>
      </c>
      <c r="AE95" s="13">
        <f t="shared" si="29"/>
        <v>0</v>
      </c>
    </row>
    <row r="96" spans="2:31" x14ac:dyDescent="0.25">
      <c r="B96" s="4"/>
      <c r="E96" s="3"/>
      <c r="F96" s="3"/>
      <c r="G96" s="24"/>
      <c r="H96" s="24"/>
      <c r="K96" s="4"/>
      <c r="L96" s="4"/>
      <c r="M96" s="4"/>
      <c r="N96" s="4"/>
      <c r="O96" s="4"/>
      <c r="P96" s="27"/>
      <c r="Q96" s="25">
        <v>0</v>
      </c>
      <c r="R96" s="25">
        <v>0</v>
      </c>
      <c r="S96" s="12">
        <f t="shared" si="22"/>
        <v>0</v>
      </c>
      <c r="T96" s="5">
        <v>0</v>
      </c>
      <c r="U96" s="12">
        <f t="shared" si="23"/>
        <v>0</v>
      </c>
      <c r="V96" s="25" t="s">
        <v>10</v>
      </c>
      <c r="W96" s="11">
        <f>IFERROR(VLOOKUP(V96,[1]Curr!$B$2:$C$13,2,FALSE),0)</f>
        <v>11.3</v>
      </c>
      <c r="X96" s="12">
        <f t="shared" si="24"/>
        <v>0</v>
      </c>
      <c r="Y96" s="26">
        <f t="shared" si="25"/>
        <v>0</v>
      </c>
      <c r="Z96" s="12">
        <f t="shared" si="26"/>
        <v>0</v>
      </c>
      <c r="AA96" s="4" t="s">
        <v>10</v>
      </c>
      <c r="AB96" s="11">
        <f>IFERROR(VLOOKUP(AA96,Curr!$B$2:$C$13,2,FALSE),0)</f>
        <v>11.3</v>
      </c>
      <c r="AC96" s="12">
        <f t="shared" si="27"/>
        <v>0</v>
      </c>
      <c r="AD96" s="12">
        <f t="shared" si="28"/>
        <v>0</v>
      </c>
      <c r="AE96" s="13">
        <f t="shared" si="29"/>
        <v>0</v>
      </c>
    </row>
    <row r="97" spans="2:36" x14ac:dyDescent="0.25">
      <c r="B97" s="4"/>
      <c r="E97" s="3"/>
      <c r="F97" s="3"/>
      <c r="G97" s="24"/>
      <c r="H97" s="24"/>
      <c r="K97" s="4"/>
      <c r="L97" s="4"/>
      <c r="M97" s="4"/>
      <c r="N97" s="4"/>
      <c r="O97" s="4"/>
      <c r="P97" s="27"/>
      <c r="Q97" s="25">
        <v>0</v>
      </c>
      <c r="R97" s="25">
        <v>0</v>
      </c>
      <c r="S97" s="12">
        <f t="shared" si="22"/>
        <v>0</v>
      </c>
      <c r="T97" s="5">
        <v>0</v>
      </c>
      <c r="U97" s="12">
        <f t="shared" si="23"/>
        <v>0</v>
      </c>
      <c r="V97" s="25" t="s">
        <v>10</v>
      </c>
      <c r="W97" s="11">
        <f>IFERROR(VLOOKUP(V97,[1]Curr!$B$2:$C$13,2,FALSE),0)</f>
        <v>11.3</v>
      </c>
      <c r="X97" s="12">
        <f t="shared" si="24"/>
        <v>0</v>
      </c>
      <c r="Y97" s="26">
        <f t="shared" si="25"/>
        <v>0</v>
      </c>
      <c r="Z97" s="12">
        <f t="shared" si="26"/>
        <v>0</v>
      </c>
      <c r="AA97" s="4" t="s">
        <v>10</v>
      </c>
      <c r="AB97" s="11">
        <f>IFERROR(VLOOKUP(AA97,Curr!$B$2:$C$13,2,FALSE),0)</f>
        <v>11.3</v>
      </c>
      <c r="AC97" s="12">
        <f t="shared" si="27"/>
        <v>0</v>
      </c>
      <c r="AD97" s="12">
        <f t="shared" si="28"/>
        <v>0</v>
      </c>
      <c r="AE97" s="13">
        <f t="shared" si="29"/>
        <v>0</v>
      </c>
    </row>
    <row r="98" spans="2:36" x14ac:dyDescent="0.25">
      <c r="B98" s="4"/>
      <c r="E98" s="3"/>
      <c r="F98" s="3"/>
      <c r="G98" s="24"/>
      <c r="H98" s="24"/>
      <c r="K98" s="4"/>
      <c r="L98" s="4"/>
      <c r="M98" s="4"/>
      <c r="N98" s="4"/>
      <c r="O98" s="4"/>
      <c r="P98" s="27"/>
      <c r="Q98" s="25">
        <v>0</v>
      </c>
      <c r="R98" s="25">
        <v>0</v>
      </c>
      <c r="S98" s="12">
        <f t="shared" si="22"/>
        <v>0</v>
      </c>
      <c r="T98" s="5">
        <v>0</v>
      </c>
      <c r="U98" s="12">
        <f t="shared" si="23"/>
        <v>0</v>
      </c>
      <c r="V98" s="25" t="s">
        <v>10</v>
      </c>
      <c r="W98" s="11">
        <f>IFERROR(VLOOKUP(V98,[1]Curr!$B$2:$C$13,2,FALSE),0)</f>
        <v>11.3</v>
      </c>
      <c r="X98" s="12">
        <f t="shared" si="24"/>
        <v>0</v>
      </c>
      <c r="Y98" s="26">
        <f t="shared" si="25"/>
        <v>0</v>
      </c>
      <c r="Z98" s="12">
        <f t="shared" si="26"/>
        <v>0</v>
      </c>
      <c r="AA98" s="4" t="s">
        <v>10</v>
      </c>
      <c r="AB98" s="11">
        <f>IFERROR(VLOOKUP(AA98,Curr!$B$2:$C$13,2,FALSE),0)</f>
        <v>11.3</v>
      </c>
      <c r="AC98" s="12">
        <f t="shared" si="27"/>
        <v>0</v>
      </c>
      <c r="AD98" s="12">
        <f t="shared" si="28"/>
        <v>0</v>
      </c>
      <c r="AE98" s="13">
        <f t="shared" si="29"/>
        <v>0</v>
      </c>
    </row>
    <row r="99" spans="2:36" x14ac:dyDescent="0.25">
      <c r="B99" s="4"/>
      <c r="E99" s="3"/>
      <c r="F99" s="3"/>
      <c r="G99" s="24"/>
      <c r="H99" s="24"/>
      <c r="K99" s="4"/>
      <c r="L99" s="4"/>
      <c r="M99" s="4"/>
      <c r="N99" s="4"/>
      <c r="O99" s="4"/>
      <c r="P99" s="27"/>
      <c r="Q99" s="25">
        <v>0</v>
      </c>
      <c r="R99" s="25">
        <v>0</v>
      </c>
      <c r="S99" s="12">
        <f t="shared" si="14"/>
        <v>0</v>
      </c>
      <c r="T99" s="5">
        <v>0</v>
      </c>
      <c r="U99" s="12">
        <f t="shared" si="15"/>
        <v>0</v>
      </c>
      <c r="V99" s="25" t="s">
        <v>10</v>
      </c>
      <c r="W99" s="11">
        <f>IFERROR(VLOOKUP(V99,[1]Curr!$B$2:$C$13,2,FALSE),0)</f>
        <v>11.3</v>
      </c>
      <c r="X99" s="12">
        <f t="shared" si="16"/>
        <v>0</v>
      </c>
      <c r="Y99" s="26">
        <f t="shared" si="17"/>
        <v>0</v>
      </c>
      <c r="Z99" s="12">
        <f t="shared" si="18"/>
        <v>0</v>
      </c>
      <c r="AA99" s="4" t="s">
        <v>10</v>
      </c>
      <c r="AB99" s="11">
        <f>IFERROR(VLOOKUP(AA99,Curr!$B$2:$C$13,2,FALSE),0)</f>
        <v>11.3</v>
      </c>
      <c r="AC99" s="12">
        <f t="shared" si="19"/>
        <v>0</v>
      </c>
      <c r="AD99" s="12">
        <f t="shared" si="20"/>
        <v>0</v>
      </c>
      <c r="AE99" s="13">
        <f t="shared" si="21"/>
        <v>0</v>
      </c>
    </row>
    <row r="100" spans="2:36" x14ac:dyDescent="0.25">
      <c r="B100" s="4"/>
      <c r="E100" s="3"/>
      <c r="F100" s="3"/>
      <c r="G100" s="3"/>
      <c r="H100" s="3"/>
      <c r="L100" s="4"/>
      <c r="M100" s="4"/>
      <c r="N100" s="4"/>
      <c r="O100" s="4"/>
      <c r="P100" s="2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2:36" x14ac:dyDescent="0.25">
      <c r="B101" s="14" t="s">
        <v>18</v>
      </c>
      <c r="C101" s="14"/>
      <c r="D101" s="28" t="s">
        <v>42</v>
      </c>
      <c r="E101" s="30" t="s">
        <v>42</v>
      </c>
      <c r="F101" s="30" t="s">
        <v>42</v>
      </c>
      <c r="G101" s="30" t="s">
        <v>42</v>
      </c>
      <c r="H101" s="30" t="s">
        <v>42</v>
      </c>
      <c r="I101" s="28" t="s">
        <v>42</v>
      </c>
      <c r="J101" s="28" t="s">
        <v>42</v>
      </c>
      <c r="K101" s="28" t="s">
        <v>42</v>
      </c>
      <c r="L101" s="28" t="s">
        <v>42</v>
      </c>
      <c r="M101" s="28" t="s">
        <v>42</v>
      </c>
      <c r="N101" s="28" t="s">
        <v>42</v>
      </c>
      <c r="O101" s="28" t="s">
        <v>42</v>
      </c>
      <c r="P101" s="28" t="s">
        <v>42</v>
      </c>
      <c r="Q101" s="31" t="s">
        <v>42</v>
      </c>
      <c r="R101" s="28" t="s">
        <v>42</v>
      </c>
      <c r="S101" s="32" t="s">
        <v>42</v>
      </c>
      <c r="T101" s="28" t="s">
        <v>42</v>
      </c>
      <c r="U101" s="32" t="s">
        <v>42</v>
      </c>
      <c r="V101" s="28" t="s">
        <v>42</v>
      </c>
      <c r="W101" s="28" t="s">
        <v>42</v>
      </c>
      <c r="X101" s="32" t="s">
        <v>42</v>
      </c>
      <c r="Y101" s="32" t="s">
        <v>42</v>
      </c>
      <c r="Z101" s="15">
        <f>SUM(Z7:Z99)</f>
        <v>0</v>
      </c>
      <c r="AA101" s="14"/>
      <c r="AB101" s="14"/>
      <c r="AC101" s="15">
        <f>SUM(AC7:AC99)</f>
        <v>0</v>
      </c>
      <c r="AD101" s="15">
        <f>SUM(AD7:AD99)</f>
        <v>0</v>
      </c>
      <c r="AE101" s="21">
        <f t="shared" ref="AE101" si="30">IFERROR(AD101/AC101,0)</f>
        <v>0</v>
      </c>
      <c r="AF101" s="15">
        <f>SUM(AF8:AF100)</f>
        <v>0</v>
      </c>
      <c r="AG101" s="15">
        <f>SUM(AG8:AG100)</f>
        <v>0</v>
      </c>
      <c r="AH101" s="15">
        <f>SUM(AH8:AH100)</f>
        <v>0</v>
      </c>
      <c r="AI101" s="15">
        <f>SUM(AI8:AI100)</f>
        <v>0</v>
      </c>
      <c r="AJ101" s="15">
        <f>SUM(AJ8:AJ100)</f>
        <v>0</v>
      </c>
    </row>
    <row r="102" spans="2:36" x14ac:dyDescent="0.25">
      <c r="B102" s="4"/>
      <c r="E102" s="3"/>
      <c r="F102" s="3"/>
      <c r="G102" s="3"/>
      <c r="H102" s="3"/>
      <c r="L102" s="4"/>
      <c r="M102" s="4"/>
      <c r="N102" s="4"/>
      <c r="O102" s="4"/>
      <c r="Q102" s="4"/>
      <c r="R102" s="4"/>
      <c r="S102" s="4"/>
      <c r="T102" s="4"/>
      <c r="U102" s="4"/>
      <c r="V102" s="4"/>
      <c r="W102" s="4"/>
      <c r="X102" s="4"/>
      <c r="Y102" s="9"/>
      <c r="Z102" s="9"/>
      <c r="AA102" s="9"/>
      <c r="AB102" s="9"/>
      <c r="AC102" s="9"/>
      <c r="AD102" s="9"/>
      <c r="AE102" s="9"/>
    </row>
    <row r="103" spans="2:36" x14ac:dyDescent="0.25">
      <c r="B103" s="4"/>
      <c r="E103" s="3"/>
      <c r="F103" s="3"/>
      <c r="G103" s="3"/>
      <c r="H103" s="3"/>
      <c r="L103" s="4"/>
      <c r="M103" s="4"/>
      <c r="N103" s="4"/>
      <c r="O103" s="4"/>
      <c r="Q103" s="9"/>
      <c r="R103" s="9"/>
      <c r="S103" s="9"/>
      <c r="T103" s="9"/>
      <c r="U103" s="9"/>
      <c r="V103" s="9"/>
      <c r="W103" s="9"/>
      <c r="X103" s="23"/>
      <c r="Y103" s="34" t="s">
        <v>45</v>
      </c>
      <c r="Z103" s="34"/>
      <c r="AA103" s="9"/>
      <c r="AB103" s="9"/>
      <c r="AC103" s="9"/>
      <c r="AD103" s="9"/>
      <c r="AE103" s="9"/>
    </row>
    <row r="104" spans="2:36" x14ac:dyDescent="0.25">
      <c r="B104" s="4"/>
      <c r="E104" s="3"/>
      <c r="F104" s="3"/>
      <c r="G104" s="3"/>
      <c r="H104" s="3"/>
      <c r="L104" s="4"/>
      <c r="M104" s="4"/>
      <c r="N104" s="4"/>
      <c r="O104" s="4"/>
      <c r="Q104" s="9"/>
      <c r="R104" s="9"/>
      <c r="S104" s="9"/>
      <c r="T104" s="9"/>
      <c r="U104" s="9"/>
      <c r="V104" s="9"/>
      <c r="W104" s="9"/>
      <c r="X104" s="9"/>
      <c r="Y104" s="34" t="s">
        <v>46</v>
      </c>
      <c r="Z104" s="34">
        <f>Z103/2</f>
        <v>0</v>
      </c>
      <c r="AA104" s="9"/>
      <c r="AB104" s="9"/>
      <c r="AC104" s="9"/>
      <c r="AD104" s="9"/>
      <c r="AE104" s="9"/>
      <c r="AF104" s="18"/>
    </row>
    <row r="105" spans="2:36" x14ac:dyDescent="0.25">
      <c r="B105" s="4"/>
      <c r="E105" s="3"/>
      <c r="F105" s="3"/>
      <c r="G105" s="3"/>
      <c r="H105" s="3"/>
      <c r="I105" s="19"/>
      <c r="L105" s="4"/>
      <c r="M105" s="4"/>
      <c r="N105" s="4"/>
      <c r="O105" s="20"/>
      <c r="Q105" s="20"/>
      <c r="R105" s="20"/>
      <c r="S105" s="20"/>
      <c r="T105" s="20"/>
      <c r="U105" s="20"/>
      <c r="V105" s="20"/>
      <c r="W105" s="20"/>
      <c r="X105" s="20"/>
      <c r="Y105" s="9"/>
      <c r="Z105" s="9"/>
      <c r="AA105" s="9"/>
      <c r="AB105" s="9"/>
      <c r="AC105" s="9"/>
      <c r="AD105" s="9"/>
      <c r="AE105" s="9"/>
      <c r="AF105" s="18"/>
    </row>
    <row r="106" spans="2:36" x14ac:dyDescent="0.25">
      <c r="B106" s="4"/>
      <c r="E106" s="3"/>
      <c r="F106" s="3"/>
      <c r="G106" s="3"/>
      <c r="H106" s="3"/>
      <c r="L106" s="4"/>
      <c r="M106" s="4"/>
      <c r="N106" s="4"/>
      <c r="O106" s="20"/>
      <c r="Q106" s="20"/>
      <c r="R106" s="20"/>
      <c r="S106" s="20"/>
      <c r="T106" s="20"/>
      <c r="U106" s="20"/>
      <c r="V106" s="20"/>
      <c r="W106" s="20"/>
      <c r="X106" s="20"/>
      <c r="Y106" s="9" t="s">
        <v>47</v>
      </c>
      <c r="Z106" s="9">
        <f>Z103-Z107</f>
        <v>0</v>
      </c>
      <c r="AA106" s="9"/>
      <c r="AB106" s="9"/>
      <c r="AC106" s="9"/>
      <c r="AD106" s="9"/>
      <c r="AE106" s="9"/>
      <c r="AF106" s="18"/>
    </row>
    <row r="107" spans="2:36" x14ac:dyDescent="0.25">
      <c r="B107" s="4"/>
      <c r="E107" s="3"/>
      <c r="F107" s="3"/>
      <c r="G107" s="3"/>
      <c r="H107" s="3"/>
      <c r="L107" s="4"/>
      <c r="M107" s="4"/>
      <c r="N107" s="4"/>
      <c r="O107" s="4"/>
      <c r="Q107" s="9"/>
      <c r="R107" s="9"/>
      <c r="S107" s="9"/>
      <c r="T107" s="9"/>
      <c r="U107" s="9"/>
      <c r="V107" s="9"/>
      <c r="W107" s="9"/>
      <c r="X107" s="9"/>
      <c r="Y107" s="9" t="s">
        <v>48</v>
      </c>
      <c r="Z107" s="9"/>
      <c r="AA107" s="9"/>
      <c r="AB107" s="9"/>
      <c r="AC107" s="9"/>
      <c r="AD107" s="9"/>
      <c r="AE107" s="9"/>
      <c r="AF107" s="18"/>
    </row>
    <row r="108" spans="2:36" x14ac:dyDescent="0.25">
      <c r="F108" s="1"/>
      <c r="G108" s="1"/>
      <c r="H108" s="1"/>
      <c r="J108" s="1" t="s">
        <v>32</v>
      </c>
      <c r="Q108" s="9"/>
      <c r="R108" s="4"/>
      <c r="S108" s="9"/>
      <c r="T108" s="5"/>
      <c r="U108" s="9"/>
      <c r="V108" s="4"/>
      <c r="W108" s="4"/>
      <c r="X108" s="9"/>
      <c r="Y108" s="9"/>
      <c r="Z108" s="9"/>
      <c r="AA108" s="9"/>
      <c r="AB108" s="9"/>
      <c r="AC108" s="9"/>
      <c r="AD108" s="9"/>
      <c r="AE108" s="9"/>
    </row>
    <row r="109" spans="2:36" x14ac:dyDescent="0.25">
      <c r="R109" s="4"/>
      <c r="S109" s="17"/>
      <c r="T109" s="17"/>
      <c r="U109" s="9"/>
      <c r="V109" s="4"/>
      <c r="W109" s="4"/>
      <c r="X109" s="9"/>
      <c r="Y109" s="9" t="s">
        <v>49</v>
      </c>
      <c r="Z109" s="9">
        <f>Z103*0.3</f>
        <v>0</v>
      </c>
      <c r="AA109" s="9"/>
      <c r="AB109" s="9"/>
      <c r="AC109" s="9"/>
      <c r="AD109" s="9"/>
      <c r="AE109" s="9"/>
    </row>
    <row r="110" spans="2:36" x14ac:dyDescent="0.25">
      <c r="Q110" s="9"/>
      <c r="R110" s="4"/>
      <c r="S110" s="16"/>
      <c r="T110" s="16"/>
      <c r="U110" s="9"/>
      <c r="V110" s="4"/>
      <c r="W110" s="4"/>
      <c r="X110" s="9"/>
      <c r="Y110" s="9" t="s">
        <v>51</v>
      </c>
      <c r="Z110" s="9">
        <f>Z107-Z109</f>
        <v>0</v>
      </c>
      <c r="AA110" s="9"/>
      <c r="AB110" s="9"/>
      <c r="AC110" s="9"/>
      <c r="AD110" s="9"/>
      <c r="AE110" s="9"/>
    </row>
    <row r="111" spans="2:36" x14ac:dyDescent="0.25">
      <c r="R111" s="4"/>
      <c r="S111" s="16"/>
      <c r="T111" s="16"/>
      <c r="Y111" s="9" t="s">
        <v>50</v>
      </c>
      <c r="Z111" s="9">
        <f>Z103-Z109-Z110</f>
        <v>0</v>
      </c>
      <c r="AA111" s="9"/>
      <c r="AB111" s="9"/>
      <c r="AC111" s="9"/>
      <c r="AD111" s="9"/>
      <c r="AE111" s="9"/>
    </row>
    <row r="112" spans="2:36" x14ac:dyDescent="0.25">
      <c r="T112" s="5"/>
      <c r="Y112" s="9"/>
      <c r="Z112" s="9"/>
      <c r="AA112" s="9"/>
      <c r="AB112" s="9"/>
      <c r="AC112" s="9"/>
      <c r="AD112" s="9"/>
      <c r="AE112" s="9"/>
    </row>
    <row r="113" spans="20:31" x14ac:dyDescent="0.25">
      <c r="T113" s="5"/>
      <c r="Y113" s="9"/>
      <c r="Z113" s="9"/>
      <c r="AA113" s="9"/>
      <c r="AB113" s="9"/>
      <c r="AC113" s="9"/>
      <c r="AD113" s="9"/>
      <c r="AE113" s="9"/>
    </row>
    <row r="114" spans="20:31" x14ac:dyDescent="0.25">
      <c r="T114" s="5"/>
      <c r="Y114" s="9"/>
      <c r="Z114" s="9"/>
      <c r="AA114" s="9"/>
      <c r="AB114" s="9"/>
      <c r="AC114" s="9"/>
      <c r="AD114" s="9"/>
      <c r="AE114" s="9"/>
    </row>
    <row r="115" spans="20:31" x14ac:dyDescent="0.25">
      <c r="T115" s="5"/>
      <c r="Y115" s="9"/>
      <c r="Z115" s="9"/>
      <c r="AA115" s="9"/>
      <c r="AB115" s="9"/>
      <c r="AC115" s="9"/>
      <c r="AD115" s="9"/>
      <c r="AE115" s="9"/>
    </row>
    <row r="116" spans="20:31" x14ac:dyDescent="0.25">
      <c r="T116" s="5"/>
      <c r="Y116" s="9"/>
      <c r="Z116" s="9"/>
      <c r="AA116" s="9"/>
      <c r="AB116" s="9"/>
      <c r="AC116" s="9"/>
      <c r="AD116" s="9"/>
      <c r="AE116" s="9"/>
    </row>
    <row r="117" spans="20:31" x14ac:dyDescent="0.25">
      <c r="T117" s="5"/>
      <c r="Y117" s="9"/>
      <c r="Z117" s="9"/>
      <c r="AA117" s="9"/>
      <c r="AB117" s="9"/>
      <c r="AC117" s="9"/>
      <c r="AD117" s="9"/>
      <c r="AE117" s="9"/>
    </row>
    <row r="118" spans="20:31" x14ac:dyDescent="0.25">
      <c r="T118" s="5"/>
      <c r="Y118" s="9"/>
      <c r="Z118" s="9"/>
      <c r="AA118" s="9"/>
      <c r="AB118" s="9"/>
      <c r="AC118" s="9"/>
      <c r="AD118" s="9"/>
      <c r="AE118" s="9"/>
    </row>
    <row r="119" spans="20:31" x14ac:dyDescent="0.25">
      <c r="T119" s="5"/>
      <c r="Y119" s="9"/>
      <c r="Z119" s="9"/>
      <c r="AA119" s="9"/>
      <c r="AB119" s="9"/>
      <c r="AC119" s="9"/>
      <c r="AD119" s="9"/>
      <c r="AE119" s="9"/>
    </row>
    <row r="120" spans="20:31" x14ac:dyDescent="0.25">
      <c r="T120" s="5"/>
    </row>
    <row r="121" spans="20:31" x14ac:dyDescent="0.25">
      <c r="T121" s="5"/>
    </row>
    <row r="122" spans="20:31" x14ac:dyDescent="0.25">
      <c r="T122" s="5"/>
    </row>
    <row r="123" spans="20:31" x14ac:dyDescent="0.25">
      <c r="T123" s="5"/>
    </row>
    <row r="124" spans="20:31" x14ac:dyDescent="0.25">
      <c r="T124" s="5"/>
    </row>
  </sheetData>
  <autoFilter ref="B6:AE101" xr:uid="{65FA6D9B-E0AF-46CD-BA0D-86BB75FE6AB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3B73-578C-4651-9533-33B7BAFC4E70}">
  <sheetPr>
    <tabColor rgb="FFFFFF00"/>
  </sheetPr>
  <dimension ref="B2:AK65"/>
  <sheetViews>
    <sheetView zoomScale="80" zoomScaleNormal="80" workbookViewId="0">
      <selection activeCell="J23" sqref="J23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75</v>
      </c>
    </row>
    <row r="3" spans="2:36" x14ac:dyDescent="0.25">
      <c r="B3" s="2" t="s">
        <v>76</v>
      </c>
    </row>
    <row r="4" spans="2:36" x14ac:dyDescent="0.25">
      <c r="B4" s="2" t="s">
        <v>57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53</v>
      </c>
      <c r="D7" s="1" t="s">
        <v>54</v>
      </c>
      <c r="E7" s="3"/>
      <c r="F7" s="3"/>
      <c r="G7" s="3"/>
      <c r="H7" s="3"/>
      <c r="J7" s="1" t="s">
        <v>62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0" si="0">+Q7*R7</f>
        <v>0</v>
      </c>
      <c r="T7" s="5">
        <v>0</v>
      </c>
      <c r="U7" s="12">
        <f t="shared" ref="U7:U10" si="1">S7*(1-T7)</f>
        <v>0</v>
      </c>
      <c r="V7" s="25" t="s">
        <v>10</v>
      </c>
      <c r="W7" s="11">
        <f>IFERROR(VLOOKUP(V7,[1]Curr!$B$2:$C$13,2,FALSE),0)</f>
        <v>11.3</v>
      </c>
      <c r="X7" s="12">
        <f t="shared" ref="X7:X10" si="2">U7*W7</f>
        <v>0</v>
      </c>
      <c r="Y7" s="26">
        <f t="shared" ref="Y7:Y10" si="3">Q7</f>
        <v>0</v>
      </c>
      <c r="Z7" s="12">
        <f t="shared" ref="Z7:Z40" si="4">+Y7*R7</f>
        <v>0</v>
      </c>
      <c r="AA7" s="4" t="s">
        <v>10</v>
      </c>
      <c r="AB7" s="11">
        <f>IFERROR(VLOOKUP(AA7,Curr!$B$2:$C$13,2,FALSE),0)</f>
        <v>11.3</v>
      </c>
      <c r="AC7" s="12">
        <f t="shared" ref="AC7:AC40" si="5">+Y7*AB7*R7</f>
        <v>0</v>
      </c>
      <c r="AD7" s="12">
        <f t="shared" ref="AD7:AD40" si="6">+AC7-X7</f>
        <v>0</v>
      </c>
      <c r="AE7" s="13">
        <f t="shared" ref="AE7:AE40" si="7">IFERROR(AD7/AC7,0)</f>
        <v>0</v>
      </c>
    </row>
    <row r="8" spans="2:36" x14ac:dyDescent="0.25">
      <c r="B8" s="4"/>
      <c r="C8" s="1" t="s">
        <v>53</v>
      </c>
      <c r="D8" s="1" t="s">
        <v>58</v>
      </c>
      <c r="E8" s="3"/>
      <c r="F8" s="3"/>
      <c r="G8" s="24"/>
      <c r="H8" s="24"/>
      <c r="J8" s="1" t="s">
        <v>63</v>
      </c>
      <c r="K8" s="4"/>
      <c r="L8" s="4"/>
      <c r="M8" s="4"/>
      <c r="N8" s="4"/>
      <c r="O8" s="4"/>
      <c r="P8" s="33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si="1"/>
        <v>0</v>
      </c>
      <c r="V8" s="25" t="s">
        <v>10</v>
      </c>
      <c r="W8" s="11">
        <f>IFERROR(VLOOKUP(V8,[1]Curr!$B$2:$C$13,2,FALSE),0)</f>
        <v>11.3</v>
      </c>
      <c r="X8" s="12">
        <f t="shared" si="2"/>
        <v>0</v>
      </c>
      <c r="Y8" s="26">
        <f t="shared" si="3"/>
        <v>0</v>
      </c>
      <c r="Z8" s="12">
        <f t="shared" si="4"/>
        <v>0</v>
      </c>
      <c r="AA8" s="4" t="s">
        <v>10</v>
      </c>
      <c r="AB8" s="11">
        <f>IFERROR(VLOOKUP(AA8,Curr!$B$2:$C$13,2,FALSE),0)</f>
        <v>11.3</v>
      </c>
      <c r="AC8" s="12">
        <f t="shared" si="5"/>
        <v>0</v>
      </c>
      <c r="AD8" s="12">
        <f t="shared" si="6"/>
        <v>0</v>
      </c>
      <c r="AE8" s="13">
        <f t="shared" si="7"/>
        <v>0</v>
      </c>
    </row>
    <row r="9" spans="2:36" x14ac:dyDescent="0.25">
      <c r="B9" s="4"/>
      <c r="C9" s="1" t="s">
        <v>53</v>
      </c>
      <c r="D9" s="1" t="s">
        <v>59</v>
      </c>
      <c r="E9" s="3"/>
      <c r="F9" s="3"/>
      <c r="G9" s="24"/>
      <c r="H9" s="24"/>
      <c r="J9" s="1" t="s">
        <v>118</v>
      </c>
      <c r="K9" s="4"/>
      <c r="L9" s="4"/>
      <c r="M9" s="4"/>
      <c r="N9" s="4"/>
      <c r="O9" s="4"/>
      <c r="P9" s="27"/>
      <c r="Q9" s="25">
        <v>200</v>
      </c>
      <c r="R9" s="25">
        <v>1</v>
      </c>
      <c r="S9" s="12">
        <f t="shared" si="0"/>
        <v>200</v>
      </c>
      <c r="T9" s="5">
        <v>0</v>
      </c>
      <c r="U9" s="12">
        <f t="shared" si="1"/>
        <v>200</v>
      </c>
      <c r="V9" s="25" t="s">
        <v>10</v>
      </c>
      <c r="W9" s="11">
        <f>IFERROR(VLOOKUP(V9,[1]Curr!$B$2:$C$13,2,FALSE),0)</f>
        <v>11.3</v>
      </c>
      <c r="X9" s="12">
        <f t="shared" si="2"/>
        <v>2260</v>
      </c>
      <c r="Y9" s="26">
        <f>Q9/0.8</f>
        <v>250</v>
      </c>
      <c r="Z9" s="12">
        <f t="shared" si="4"/>
        <v>250</v>
      </c>
      <c r="AA9" s="4" t="s">
        <v>10</v>
      </c>
      <c r="AB9" s="11">
        <f>IFERROR(VLOOKUP(AA9,Curr!$B$2:$C$13,2,FALSE),0)</f>
        <v>11.3</v>
      </c>
      <c r="AC9" s="12">
        <f t="shared" si="5"/>
        <v>2825</v>
      </c>
      <c r="AD9" s="12">
        <f t="shared" si="6"/>
        <v>565</v>
      </c>
      <c r="AE9" s="13">
        <f t="shared" si="7"/>
        <v>0.2</v>
      </c>
    </row>
    <row r="10" spans="2:36" x14ac:dyDescent="0.25">
      <c r="B10" s="4"/>
      <c r="C10" s="1" t="s">
        <v>53</v>
      </c>
      <c r="D10" s="1" t="s">
        <v>60</v>
      </c>
      <c r="E10" s="3"/>
      <c r="F10" s="3"/>
      <c r="G10" s="24"/>
      <c r="H10" s="24"/>
      <c r="J10" s="1" t="s">
        <v>65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1"/>
        <v>0</v>
      </c>
      <c r="V10" s="25" t="s">
        <v>10</v>
      </c>
      <c r="W10" s="11">
        <f>IFERROR(VLOOKUP(V10,[1]Curr!$B$2:$C$13,2,FALSE),0)</f>
        <v>11.3</v>
      </c>
      <c r="X10" s="12">
        <f t="shared" si="2"/>
        <v>0</v>
      </c>
      <c r="Y10" s="26">
        <f t="shared" si="3"/>
        <v>0</v>
      </c>
      <c r="Z10" s="12">
        <f t="shared" si="4"/>
        <v>0</v>
      </c>
      <c r="AA10" s="4" t="s">
        <v>10</v>
      </c>
      <c r="AB10" s="11">
        <f>IFERROR(VLOOKUP(AA10,Curr!$B$2:$C$13,2,FALSE),0)</f>
        <v>11.3</v>
      </c>
      <c r="AC10" s="12">
        <f t="shared" si="5"/>
        <v>0</v>
      </c>
      <c r="AD10" s="12">
        <f t="shared" si="6"/>
        <v>0</v>
      </c>
      <c r="AE10" s="13">
        <f t="shared" si="7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ref="S11:S40" si="8">+Q11*R11</f>
        <v>0</v>
      </c>
      <c r="T11" s="5">
        <v>0</v>
      </c>
      <c r="U11" s="12">
        <f t="shared" ref="U11:U40" si="9">S11*(1-T11)</f>
        <v>0</v>
      </c>
      <c r="V11" s="25" t="s">
        <v>10</v>
      </c>
      <c r="W11" s="11">
        <f>IFERROR(VLOOKUP(V11,[1]Curr!$B$2:$C$13,2,FALSE),0)</f>
        <v>11.3</v>
      </c>
      <c r="X11" s="12">
        <f t="shared" ref="X11:X40" si="10">U11*W11</f>
        <v>0</v>
      </c>
      <c r="Y11" s="26">
        <f t="shared" ref="Y11:Y40" si="11">Q11</f>
        <v>0</v>
      </c>
      <c r="Z11" s="12">
        <f t="shared" si="4"/>
        <v>0</v>
      </c>
      <c r="AA11" s="4" t="s">
        <v>10</v>
      </c>
      <c r="AB11" s="11">
        <f>IFERROR(VLOOKUP(AA11,Curr!$B$2:$C$13,2,FALSE),0)</f>
        <v>11.3</v>
      </c>
      <c r="AC11" s="12">
        <f t="shared" si="5"/>
        <v>0</v>
      </c>
      <c r="AD11" s="12">
        <f t="shared" si="6"/>
        <v>0</v>
      </c>
      <c r="AE11" s="13">
        <f t="shared" si="7"/>
        <v>0</v>
      </c>
    </row>
    <row r="12" spans="2:36" x14ac:dyDescent="0.25">
      <c r="B12" s="4"/>
      <c r="C12" s="1" t="s">
        <v>61</v>
      </c>
      <c r="D12" s="1" t="s">
        <v>58</v>
      </c>
      <c r="E12" s="3"/>
      <c r="F12" s="3"/>
      <c r="G12" s="24"/>
      <c r="H12" s="24"/>
      <c r="J12" s="1" t="s">
        <v>80</v>
      </c>
      <c r="K12" s="4"/>
      <c r="L12" s="4"/>
      <c r="M12" s="4"/>
      <c r="N12" s="4"/>
      <c r="O12" s="4"/>
      <c r="P12" s="33"/>
      <c r="Q12" s="25">
        <v>0</v>
      </c>
      <c r="R12" s="25">
        <v>0</v>
      </c>
      <c r="S12" s="12">
        <f t="shared" si="8"/>
        <v>0</v>
      </c>
      <c r="T12" s="5">
        <v>0</v>
      </c>
      <c r="U12" s="12">
        <f t="shared" si="9"/>
        <v>0</v>
      </c>
      <c r="V12" s="25" t="s">
        <v>10</v>
      </c>
      <c r="W12" s="11">
        <f>IFERROR(VLOOKUP(V12,[1]Curr!$B$2:$C$13,2,FALSE),0)</f>
        <v>11.3</v>
      </c>
      <c r="X12" s="12">
        <f t="shared" si="10"/>
        <v>0</v>
      </c>
      <c r="Y12" s="26">
        <f t="shared" si="11"/>
        <v>0</v>
      </c>
      <c r="Z12" s="12">
        <f t="shared" si="4"/>
        <v>0</v>
      </c>
      <c r="AA12" s="4" t="s">
        <v>10</v>
      </c>
      <c r="AB12" s="11">
        <f>IFERROR(VLOOKUP(AA12,Curr!$B$2:$C$13,2,FALSE),0)</f>
        <v>11.3</v>
      </c>
      <c r="AC12" s="12">
        <f t="shared" si="5"/>
        <v>0</v>
      </c>
      <c r="AD12" s="12">
        <f t="shared" si="6"/>
        <v>0</v>
      </c>
      <c r="AE12" s="13">
        <f t="shared" si="7"/>
        <v>0</v>
      </c>
    </row>
    <row r="13" spans="2:36" x14ac:dyDescent="0.25">
      <c r="B13" s="4"/>
      <c r="C13" s="1" t="s">
        <v>61</v>
      </c>
      <c r="D13" s="1" t="s">
        <v>73</v>
      </c>
      <c r="E13" s="3"/>
      <c r="F13" s="3"/>
      <c r="G13" s="24"/>
      <c r="H13" s="24"/>
      <c r="J13" s="1" t="s">
        <v>81</v>
      </c>
      <c r="K13" s="4"/>
      <c r="L13" s="4"/>
      <c r="M13" s="4"/>
      <c r="N13" s="4"/>
      <c r="O13" s="4"/>
      <c r="P13" s="27"/>
      <c r="Q13" s="25">
        <v>2700</v>
      </c>
      <c r="R13" s="25">
        <v>2</v>
      </c>
      <c r="S13" s="12">
        <f t="shared" si="8"/>
        <v>5400</v>
      </c>
      <c r="T13" s="5">
        <v>0</v>
      </c>
      <c r="U13" s="12">
        <f t="shared" si="9"/>
        <v>5400</v>
      </c>
      <c r="V13" s="25" t="s">
        <v>8</v>
      </c>
      <c r="W13" s="11">
        <f>IFERROR(VLOOKUP(V13,[1]Curr!$B$2:$C$13,2,FALSE),0)</f>
        <v>1</v>
      </c>
      <c r="X13" s="12">
        <f t="shared" si="10"/>
        <v>5400</v>
      </c>
      <c r="Y13" s="26">
        <f>Q13/11.3/0.8</f>
        <v>298.6725663716814</v>
      </c>
      <c r="Z13" s="12">
        <f t="shared" si="4"/>
        <v>597.3451327433628</v>
      </c>
      <c r="AA13" s="4" t="s">
        <v>10</v>
      </c>
      <c r="AB13" s="11">
        <f>IFERROR(VLOOKUP(AA13,Curr!$B$2:$C$13,2,FALSE),0)</f>
        <v>11.3</v>
      </c>
      <c r="AC13" s="12">
        <f t="shared" si="5"/>
        <v>6750</v>
      </c>
      <c r="AD13" s="12">
        <f t="shared" si="6"/>
        <v>1350</v>
      </c>
      <c r="AE13" s="13">
        <f t="shared" si="7"/>
        <v>0.2</v>
      </c>
    </row>
    <row r="14" spans="2:36" x14ac:dyDescent="0.25">
      <c r="B14" s="4"/>
      <c r="C14" s="1" t="s">
        <v>61</v>
      </c>
      <c r="D14" s="1" t="s">
        <v>58</v>
      </c>
      <c r="E14" s="3"/>
      <c r="F14" s="3"/>
      <c r="G14" s="24"/>
      <c r="H14" s="24"/>
      <c r="J14" s="1" t="s">
        <v>82</v>
      </c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 t="shared" si="8"/>
        <v>0</v>
      </c>
      <c r="T14" s="5">
        <v>0</v>
      </c>
      <c r="U14" s="12">
        <f t="shared" si="9"/>
        <v>0</v>
      </c>
      <c r="V14" s="25" t="s">
        <v>10</v>
      </c>
      <c r="W14" s="11">
        <f>IFERROR(VLOOKUP(V14,[1]Curr!$B$2:$C$13,2,FALSE),0)</f>
        <v>11.3</v>
      </c>
      <c r="X14" s="12">
        <f t="shared" si="10"/>
        <v>0</v>
      </c>
      <c r="Y14" s="26">
        <f t="shared" si="11"/>
        <v>0</v>
      </c>
      <c r="Z14" s="12">
        <f t="shared" si="4"/>
        <v>0</v>
      </c>
      <c r="AA14" s="4" t="s">
        <v>10</v>
      </c>
      <c r="AB14" s="11">
        <f>IFERROR(VLOOKUP(AA14,Curr!$B$2:$C$13,2,FALSE),0)</f>
        <v>11.3</v>
      </c>
      <c r="AC14" s="12">
        <f t="shared" si="5"/>
        <v>0</v>
      </c>
      <c r="AD14" s="12">
        <f t="shared" si="6"/>
        <v>0</v>
      </c>
      <c r="AE14" s="13">
        <f t="shared" si="7"/>
        <v>0</v>
      </c>
    </row>
    <row r="15" spans="2:36" x14ac:dyDescent="0.25">
      <c r="B15" s="4"/>
      <c r="C15" s="1" t="s">
        <v>61</v>
      </c>
      <c r="D15" s="1" t="s">
        <v>59</v>
      </c>
      <c r="E15" s="3"/>
      <c r="F15" s="3"/>
      <c r="G15" s="24"/>
      <c r="H15" s="24"/>
      <c r="J15" s="1" t="s">
        <v>83</v>
      </c>
      <c r="K15" s="4"/>
      <c r="L15" s="4"/>
      <c r="M15" s="4"/>
      <c r="N15" s="4"/>
      <c r="O15" s="4"/>
      <c r="P15" s="27"/>
      <c r="Q15" s="25">
        <v>600</v>
      </c>
      <c r="R15" s="25">
        <v>1</v>
      </c>
      <c r="S15" s="12">
        <f t="shared" si="8"/>
        <v>600</v>
      </c>
      <c r="T15" s="5">
        <v>0</v>
      </c>
      <c r="U15" s="12">
        <f t="shared" si="9"/>
        <v>600</v>
      </c>
      <c r="V15" s="25" t="s">
        <v>10</v>
      </c>
      <c r="W15" s="11">
        <f>IFERROR(VLOOKUP(V15,[1]Curr!$B$2:$C$13,2,FALSE),0)</f>
        <v>11.3</v>
      </c>
      <c r="X15" s="12">
        <f t="shared" si="10"/>
        <v>6780</v>
      </c>
      <c r="Y15" s="26">
        <f>Q15/0.85</f>
        <v>705.88235294117646</v>
      </c>
      <c r="Z15" s="12">
        <f t="shared" si="4"/>
        <v>705.88235294117646</v>
      </c>
      <c r="AA15" s="4" t="s">
        <v>10</v>
      </c>
      <c r="AB15" s="11">
        <f>IFERROR(VLOOKUP(AA15,Curr!$B$2:$C$13,2,FALSE),0)</f>
        <v>11.3</v>
      </c>
      <c r="AC15" s="12">
        <f t="shared" si="5"/>
        <v>7976.4705882352946</v>
      </c>
      <c r="AD15" s="12">
        <f t="shared" si="6"/>
        <v>1196.4705882352946</v>
      </c>
      <c r="AE15" s="13">
        <f t="shared" si="7"/>
        <v>0.15000000000000005</v>
      </c>
    </row>
    <row r="16" spans="2:36" x14ac:dyDescent="0.25">
      <c r="B16" s="4"/>
      <c r="C16" s="1" t="s">
        <v>61</v>
      </c>
      <c r="D16" s="1" t="s">
        <v>60</v>
      </c>
      <c r="E16" s="3"/>
      <c r="F16" s="3"/>
      <c r="G16" s="24"/>
      <c r="H16" s="24"/>
      <c r="J16" s="1" t="s">
        <v>79</v>
      </c>
      <c r="K16" s="4"/>
      <c r="L16" s="4"/>
      <c r="M16" s="4"/>
      <c r="N16" s="4"/>
      <c r="O16" s="4"/>
      <c r="P16" s="33"/>
      <c r="Q16" s="25">
        <v>0</v>
      </c>
      <c r="R16" s="25">
        <v>0</v>
      </c>
      <c r="S16" s="12">
        <f t="shared" si="8"/>
        <v>0</v>
      </c>
      <c r="T16" s="5">
        <v>0</v>
      </c>
      <c r="U16" s="12">
        <f t="shared" si="9"/>
        <v>0</v>
      </c>
      <c r="V16" s="25" t="s">
        <v>10</v>
      </c>
      <c r="W16" s="11">
        <f>IFERROR(VLOOKUP(V16,[1]Curr!$B$2:$C$13,2,FALSE),0)</f>
        <v>11.3</v>
      </c>
      <c r="X16" s="12">
        <f t="shared" si="10"/>
        <v>0</v>
      </c>
      <c r="Y16" s="26">
        <f t="shared" si="11"/>
        <v>0</v>
      </c>
      <c r="Z16" s="12">
        <f t="shared" si="4"/>
        <v>0</v>
      </c>
      <c r="AA16" s="4" t="s">
        <v>10</v>
      </c>
      <c r="AB16" s="11">
        <f>IFERROR(VLOOKUP(AA16,Curr!$B$2:$C$13,2,FALSE),0)</f>
        <v>11.3</v>
      </c>
      <c r="AC16" s="12">
        <f t="shared" si="5"/>
        <v>0</v>
      </c>
      <c r="AD16" s="12">
        <f t="shared" si="6"/>
        <v>0</v>
      </c>
      <c r="AE16" s="13">
        <f t="shared" si="7"/>
        <v>0</v>
      </c>
    </row>
    <row r="17" spans="2:31" x14ac:dyDescent="0.25">
      <c r="B17" s="4"/>
      <c r="C17" s="1" t="s">
        <v>61</v>
      </c>
      <c r="D17" s="1" t="s">
        <v>68</v>
      </c>
      <c r="E17" s="3"/>
      <c r="F17" s="3"/>
      <c r="G17" s="24"/>
      <c r="H17" s="24"/>
      <c r="J17" s="1" t="s">
        <v>112</v>
      </c>
      <c r="K17" s="4"/>
      <c r="L17" s="4"/>
      <c r="M17" s="4"/>
      <c r="N17" s="4"/>
      <c r="O17" s="4"/>
      <c r="P17" s="29" t="s">
        <v>113</v>
      </c>
      <c r="Q17" s="25">
        <v>155</v>
      </c>
      <c r="R17" s="25">
        <v>2</v>
      </c>
      <c r="S17" s="12">
        <f t="shared" si="8"/>
        <v>310</v>
      </c>
      <c r="T17" s="5">
        <v>0.2</v>
      </c>
      <c r="U17" s="12">
        <f t="shared" si="9"/>
        <v>248</v>
      </c>
      <c r="V17" s="25" t="s">
        <v>10</v>
      </c>
      <c r="W17" s="11">
        <f>IFERROR(VLOOKUP(V17,[1]Curr!$B$2:$C$13,2,FALSE),0)</f>
        <v>11.3</v>
      </c>
      <c r="X17" s="12">
        <f t="shared" si="10"/>
        <v>2802.4</v>
      </c>
      <c r="Y17" s="26">
        <f t="shared" si="11"/>
        <v>155</v>
      </c>
      <c r="Z17" s="12">
        <f t="shared" si="4"/>
        <v>310</v>
      </c>
      <c r="AA17" s="4" t="s">
        <v>10</v>
      </c>
      <c r="AB17" s="11">
        <f>IFERROR(VLOOKUP(AA17,Curr!$B$2:$C$13,2,FALSE),0)</f>
        <v>11.3</v>
      </c>
      <c r="AC17" s="12">
        <f t="shared" si="5"/>
        <v>3503</v>
      </c>
      <c r="AD17" s="12">
        <f t="shared" si="6"/>
        <v>700.59999999999991</v>
      </c>
      <c r="AE17" s="13">
        <f t="shared" si="7"/>
        <v>0.19999999999999998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7"/>
      <c r="Q18" s="25"/>
      <c r="R18" s="25"/>
      <c r="S18" s="12">
        <f t="shared" si="8"/>
        <v>0</v>
      </c>
      <c r="T18" s="5">
        <v>0</v>
      </c>
      <c r="U18" s="12">
        <f t="shared" si="9"/>
        <v>0</v>
      </c>
      <c r="V18" s="25" t="s">
        <v>10</v>
      </c>
      <c r="W18" s="11">
        <f>IFERROR(VLOOKUP(V18,[1]Curr!$B$2:$C$13,2,FALSE),0)</f>
        <v>11.3</v>
      </c>
      <c r="X18" s="12">
        <f t="shared" si="10"/>
        <v>0</v>
      </c>
      <c r="Y18" s="26">
        <f t="shared" si="11"/>
        <v>0</v>
      </c>
      <c r="Z18" s="12">
        <f t="shared" si="4"/>
        <v>0</v>
      </c>
      <c r="AA18" s="4" t="s">
        <v>10</v>
      </c>
      <c r="AB18" s="11">
        <f>IFERROR(VLOOKUP(AA18,Curr!$B$2:$C$13,2,FALSE),0)</f>
        <v>11.3</v>
      </c>
      <c r="AC18" s="12">
        <f t="shared" si="5"/>
        <v>0</v>
      </c>
      <c r="AD18" s="12">
        <f t="shared" si="6"/>
        <v>0</v>
      </c>
      <c r="AE18" s="13">
        <f t="shared" si="7"/>
        <v>0</v>
      </c>
    </row>
    <row r="19" spans="2:31" x14ac:dyDescent="0.25">
      <c r="B19" s="4"/>
      <c r="C19" s="1" t="s">
        <v>69</v>
      </c>
      <c r="D19" s="1" t="s">
        <v>68</v>
      </c>
      <c r="E19" s="3"/>
      <c r="F19" s="3"/>
      <c r="G19" s="24"/>
      <c r="H19" s="24"/>
      <c r="J19" s="1" t="s">
        <v>117</v>
      </c>
      <c r="K19" s="4"/>
      <c r="L19" s="4"/>
      <c r="M19" s="4"/>
      <c r="N19" s="4"/>
      <c r="O19" s="4"/>
      <c r="P19" s="33" t="s">
        <v>114</v>
      </c>
      <c r="Q19" s="25">
        <v>141</v>
      </c>
      <c r="R19" s="25">
        <v>2</v>
      </c>
      <c r="S19" s="12">
        <f t="shared" si="8"/>
        <v>282</v>
      </c>
      <c r="T19" s="5">
        <v>0.2</v>
      </c>
      <c r="U19" s="12">
        <f t="shared" si="9"/>
        <v>225.60000000000002</v>
      </c>
      <c r="V19" s="25" t="s">
        <v>10</v>
      </c>
      <c r="W19" s="11">
        <f>IFERROR(VLOOKUP(V19,[1]Curr!$B$2:$C$13,2,FALSE),0)</f>
        <v>11.3</v>
      </c>
      <c r="X19" s="12">
        <f t="shared" si="10"/>
        <v>2549.2800000000002</v>
      </c>
      <c r="Y19" s="26">
        <f t="shared" si="11"/>
        <v>141</v>
      </c>
      <c r="Z19" s="12">
        <f t="shared" si="4"/>
        <v>282</v>
      </c>
      <c r="AA19" s="4" t="s">
        <v>10</v>
      </c>
      <c r="AB19" s="11">
        <f>IFERROR(VLOOKUP(AA19,Curr!$B$2:$C$13,2,FALSE),0)</f>
        <v>11.3</v>
      </c>
      <c r="AC19" s="12">
        <f t="shared" si="5"/>
        <v>3186.6000000000004</v>
      </c>
      <c r="AD19" s="12">
        <f t="shared" si="6"/>
        <v>637.32000000000016</v>
      </c>
      <c r="AE19" s="13">
        <f t="shared" si="7"/>
        <v>0.20000000000000004</v>
      </c>
    </row>
    <row r="20" spans="2:31" x14ac:dyDescent="0.25">
      <c r="B20" s="4"/>
      <c r="C20" s="1" t="s">
        <v>69</v>
      </c>
      <c r="D20" s="1" t="s">
        <v>60</v>
      </c>
      <c r="E20" s="3"/>
      <c r="F20" s="3"/>
      <c r="G20" s="24"/>
      <c r="H20" s="24"/>
      <c r="J20" s="1" t="s">
        <v>79</v>
      </c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8"/>
        <v>0</v>
      </c>
      <c r="T20" s="5">
        <v>0</v>
      </c>
      <c r="U20" s="12">
        <f t="shared" si="9"/>
        <v>0</v>
      </c>
      <c r="V20" s="25" t="s">
        <v>10</v>
      </c>
      <c r="W20" s="11">
        <f>IFERROR(VLOOKUP(V20,[1]Curr!$B$2:$C$13,2,FALSE),0)</f>
        <v>11.3</v>
      </c>
      <c r="X20" s="12">
        <f t="shared" si="10"/>
        <v>0</v>
      </c>
      <c r="Y20" s="26">
        <f t="shared" si="11"/>
        <v>0</v>
      </c>
      <c r="Z20" s="12">
        <f t="shared" si="4"/>
        <v>0</v>
      </c>
      <c r="AA20" s="4" t="s">
        <v>10</v>
      </c>
      <c r="AB20" s="11">
        <f>IFERROR(VLOOKUP(AA20,Curr!$B$2:$C$13,2,FALSE),0)</f>
        <v>11.3</v>
      </c>
      <c r="AC20" s="12">
        <f t="shared" si="5"/>
        <v>0</v>
      </c>
      <c r="AD20" s="12">
        <f t="shared" si="6"/>
        <v>0</v>
      </c>
      <c r="AE20" s="13">
        <f t="shared" si="7"/>
        <v>0</v>
      </c>
    </row>
    <row r="21" spans="2:31" x14ac:dyDescent="0.25">
      <c r="B21" s="4"/>
      <c r="C21" s="1" t="s">
        <v>69</v>
      </c>
      <c r="D21" s="1" t="s">
        <v>68</v>
      </c>
      <c r="E21" s="3"/>
      <c r="F21" s="3"/>
      <c r="G21" s="24"/>
      <c r="H21" s="24"/>
      <c r="J21" s="1" t="s">
        <v>115</v>
      </c>
      <c r="K21" s="4"/>
      <c r="L21" s="4"/>
      <c r="M21" s="4"/>
      <c r="N21" s="4"/>
      <c r="O21" s="4"/>
      <c r="P21" s="33" t="s">
        <v>116</v>
      </c>
      <c r="Q21" s="25">
        <v>179</v>
      </c>
      <c r="R21" s="25">
        <v>2</v>
      </c>
      <c r="S21" s="12">
        <f t="shared" si="8"/>
        <v>358</v>
      </c>
      <c r="T21" s="5">
        <v>0.2</v>
      </c>
      <c r="U21" s="12">
        <f t="shared" si="9"/>
        <v>286.40000000000003</v>
      </c>
      <c r="V21" s="25" t="s">
        <v>10</v>
      </c>
      <c r="W21" s="11">
        <f>IFERROR(VLOOKUP(V21,[1]Curr!$B$2:$C$13,2,FALSE),0)</f>
        <v>11.3</v>
      </c>
      <c r="X21" s="12">
        <f t="shared" si="10"/>
        <v>3236.3200000000006</v>
      </c>
      <c r="Y21" s="26">
        <f t="shared" si="11"/>
        <v>179</v>
      </c>
      <c r="Z21" s="12">
        <f t="shared" si="4"/>
        <v>358</v>
      </c>
      <c r="AA21" s="4" t="s">
        <v>10</v>
      </c>
      <c r="AB21" s="11">
        <f>IFERROR(VLOOKUP(AA21,Curr!$B$2:$C$13,2,FALSE),0)</f>
        <v>11.3</v>
      </c>
      <c r="AC21" s="12">
        <f t="shared" si="5"/>
        <v>4045.4</v>
      </c>
      <c r="AD21" s="12">
        <f t="shared" si="6"/>
        <v>809.07999999999947</v>
      </c>
      <c r="AE21" s="13">
        <f t="shared" si="7"/>
        <v>0.19999999999999987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/>
      <c r="R22" s="25"/>
      <c r="S22" s="12">
        <f t="shared" si="8"/>
        <v>0</v>
      </c>
      <c r="T22" s="5">
        <v>0</v>
      </c>
      <c r="U22" s="12">
        <f t="shared" si="9"/>
        <v>0</v>
      </c>
      <c r="V22" s="25" t="s">
        <v>10</v>
      </c>
      <c r="W22" s="11">
        <f>IFERROR(VLOOKUP(V22,[1]Curr!$B$2:$C$13,2,FALSE),0)</f>
        <v>11.3</v>
      </c>
      <c r="X22" s="12">
        <f t="shared" si="10"/>
        <v>0</v>
      </c>
      <c r="Y22" s="26">
        <f t="shared" si="11"/>
        <v>0</v>
      </c>
      <c r="Z22" s="12">
        <f t="shared" si="4"/>
        <v>0</v>
      </c>
      <c r="AA22" s="4" t="s">
        <v>10</v>
      </c>
      <c r="AB22" s="11">
        <f>IFERROR(VLOOKUP(AA22,Curr!$B$2:$C$13,2,FALSE),0)</f>
        <v>11.3</v>
      </c>
      <c r="AC22" s="12">
        <f t="shared" si="5"/>
        <v>0</v>
      </c>
      <c r="AD22" s="12">
        <f t="shared" si="6"/>
        <v>0</v>
      </c>
      <c r="AE22" s="13">
        <f t="shared" si="7"/>
        <v>0</v>
      </c>
    </row>
    <row r="23" spans="2:31" x14ac:dyDescent="0.25">
      <c r="B23" s="4"/>
      <c r="C23" s="1" t="s">
        <v>70</v>
      </c>
      <c r="D23" s="1" t="s">
        <v>68</v>
      </c>
      <c r="E23" s="3"/>
      <c r="F23" s="3"/>
      <c r="G23" s="24"/>
      <c r="H23" s="24"/>
      <c r="J23" s="1" t="s">
        <v>119</v>
      </c>
      <c r="K23" s="4"/>
      <c r="L23" s="4"/>
      <c r="M23" s="4"/>
      <c r="N23" s="4"/>
      <c r="O23" s="4"/>
      <c r="P23" s="27"/>
      <c r="Q23" s="25">
        <v>151</v>
      </c>
      <c r="R23" s="25">
        <v>2</v>
      </c>
      <c r="S23" s="12">
        <f t="shared" si="8"/>
        <v>302</v>
      </c>
      <c r="T23" s="5">
        <v>0.2</v>
      </c>
      <c r="U23" s="12">
        <f t="shared" si="9"/>
        <v>241.60000000000002</v>
      </c>
      <c r="V23" s="25" t="s">
        <v>10</v>
      </c>
      <c r="W23" s="11">
        <f>IFERROR(VLOOKUP(V23,[1]Curr!$B$2:$C$13,2,FALSE),0)</f>
        <v>11.3</v>
      </c>
      <c r="X23" s="12">
        <f t="shared" si="10"/>
        <v>2730.0800000000004</v>
      </c>
      <c r="Y23" s="26">
        <f t="shared" si="11"/>
        <v>151</v>
      </c>
      <c r="Z23" s="12">
        <f t="shared" si="4"/>
        <v>302</v>
      </c>
      <c r="AA23" s="4" t="s">
        <v>10</v>
      </c>
      <c r="AB23" s="11">
        <f>IFERROR(VLOOKUP(AA23,Curr!$B$2:$C$13,2,FALSE),0)</f>
        <v>11.3</v>
      </c>
      <c r="AC23" s="12">
        <f t="shared" si="5"/>
        <v>3412.6000000000004</v>
      </c>
      <c r="AD23" s="12">
        <f t="shared" si="6"/>
        <v>682.52</v>
      </c>
      <c r="AE23" s="13">
        <f t="shared" si="7"/>
        <v>0.19999999999999998</v>
      </c>
    </row>
    <row r="24" spans="2:31" x14ac:dyDescent="0.25">
      <c r="B24" s="4"/>
      <c r="C24" s="1" t="s">
        <v>70</v>
      </c>
      <c r="D24" s="1" t="s">
        <v>60</v>
      </c>
      <c r="E24" s="3"/>
      <c r="F24" s="3"/>
      <c r="G24" s="24"/>
      <c r="H24" s="24"/>
      <c r="J24" s="1" t="s">
        <v>79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8"/>
        <v>0</v>
      </c>
      <c r="T24" s="5">
        <v>0</v>
      </c>
      <c r="U24" s="12">
        <f t="shared" si="9"/>
        <v>0</v>
      </c>
      <c r="V24" s="25" t="s">
        <v>10</v>
      </c>
      <c r="W24" s="11">
        <f>IFERROR(VLOOKUP(V24,[1]Curr!$B$2:$C$13,2,FALSE),0)</f>
        <v>11.3</v>
      </c>
      <c r="X24" s="12">
        <f t="shared" si="10"/>
        <v>0</v>
      </c>
      <c r="Y24" s="26">
        <f t="shared" si="11"/>
        <v>0</v>
      </c>
      <c r="Z24" s="12">
        <f t="shared" si="4"/>
        <v>0</v>
      </c>
      <c r="AA24" s="4" t="s">
        <v>10</v>
      </c>
      <c r="AB24" s="11">
        <f>IFERROR(VLOOKUP(AA24,Curr!$B$2:$C$13,2,FALSE),0)</f>
        <v>11.3</v>
      </c>
      <c r="AC24" s="12">
        <f t="shared" si="5"/>
        <v>0</v>
      </c>
      <c r="AD24" s="12">
        <f t="shared" si="6"/>
        <v>0</v>
      </c>
      <c r="AE24" s="13">
        <f t="shared" si="7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/>
      <c r="R25" s="25"/>
      <c r="S25" s="12">
        <f t="shared" si="8"/>
        <v>0</v>
      </c>
      <c r="T25" s="5">
        <v>0</v>
      </c>
      <c r="U25" s="12">
        <f t="shared" si="9"/>
        <v>0</v>
      </c>
      <c r="V25" s="25" t="s">
        <v>10</v>
      </c>
      <c r="W25" s="11">
        <f>IFERROR(VLOOKUP(V25,[1]Curr!$B$2:$C$13,2,FALSE),0)</f>
        <v>11.3</v>
      </c>
      <c r="X25" s="12">
        <f t="shared" si="10"/>
        <v>0</v>
      </c>
      <c r="Y25" s="26">
        <f t="shared" si="11"/>
        <v>0</v>
      </c>
      <c r="Z25" s="12">
        <f t="shared" si="4"/>
        <v>0</v>
      </c>
      <c r="AA25" s="4" t="s">
        <v>10</v>
      </c>
      <c r="AB25" s="11">
        <f>IFERROR(VLOOKUP(AA25,Curr!$B$2:$C$13,2,FALSE),0)</f>
        <v>11.3</v>
      </c>
      <c r="AC25" s="12">
        <f t="shared" si="5"/>
        <v>0</v>
      </c>
      <c r="AD25" s="12">
        <f t="shared" si="6"/>
        <v>0</v>
      </c>
      <c r="AE25" s="13">
        <f t="shared" si="7"/>
        <v>0</v>
      </c>
    </row>
    <row r="26" spans="2:31" x14ac:dyDescent="0.25">
      <c r="B26" s="4"/>
      <c r="C26" s="1" t="s">
        <v>71</v>
      </c>
      <c r="D26" s="1" t="s">
        <v>58</v>
      </c>
      <c r="E26" s="3"/>
      <c r="F26" s="3"/>
      <c r="G26" s="24"/>
      <c r="H26" s="24"/>
      <c r="J26" s="1" t="s">
        <v>77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8"/>
        <v>0</v>
      </c>
      <c r="T26" s="5">
        <v>0</v>
      </c>
      <c r="U26" s="12">
        <f t="shared" si="9"/>
        <v>0</v>
      </c>
      <c r="V26" s="25" t="s">
        <v>10</v>
      </c>
      <c r="W26" s="11">
        <f>IFERROR(VLOOKUP(V26,[1]Curr!$B$2:$C$13,2,FALSE),0)</f>
        <v>11.3</v>
      </c>
      <c r="X26" s="12">
        <f t="shared" si="10"/>
        <v>0</v>
      </c>
      <c r="Y26" s="26">
        <f t="shared" si="11"/>
        <v>0</v>
      </c>
      <c r="Z26" s="12">
        <f t="shared" si="4"/>
        <v>0</v>
      </c>
      <c r="AA26" s="4" t="s">
        <v>10</v>
      </c>
      <c r="AB26" s="11">
        <f>IFERROR(VLOOKUP(AA26,Curr!$B$2:$C$13,2,FALSE),0)</f>
        <v>11.3</v>
      </c>
      <c r="AC26" s="12">
        <f t="shared" si="5"/>
        <v>0</v>
      </c>
      <c r="AD26" s="12">
        <f t="shared" si="6"/>
        <v>0</v>
      </c>
      <c r="AE26" s="13">
        <f t="shared" si="7"/>
        <v>0</v>
      </c>
    </row>
    <row r="27" spans="2:31" x14ac:dyDescent="0.25">
      <c r="B27" s="4"/>
      <c r="C27" s="1" t="s">
        <v>71</v>
      </c>
      <c r="D27" s="1" t="s">
        <v>74</v>
      </c>
      <c r="E27" s="3"/>
      <c r="F27" s="3"/>
      <c r="G27" s="24"/>
      <c r="H27" s="24"/>
      <c r="J27" s="1" t="s">
        <v>78</v>
      </c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 t="shared" si="8"/>
        <v>0</v>
      </c>
      <c r="T27" s="5">
        <v>0</v>
      </c>
      <c r="U27" s="12">
        <f t="shared" si="9"/>
        <v>0</v>
      </c>
      <c r="V27" s="25" t="s">
        <v>10</v>
      </c>
      <c r="W27" s="11">
        <f>IFERROR(VLOOKUP(V27,[1]Curr!$B$2:$C$13,2,FALSE),0)</f>
        <v>11.3</v>
      </c>
      <c r="X27" s="12">
        <f t="shared" si="10"/>
        <v>0</v>
      </c>
      <c r="Y27" s="26">
        <f t="shared" si="11"/>
        <v>0</v>
      </c>
      <c r="Z27" s="12">
        <f t="shared" si="4"/>
        <v>0</v>
      </c>
      <c r="AA27" s="4" t="s">
        <v>10</v>
      </c>
      <c r="AB27" s="11">
        <f>IFERROR(VLOOKUP(AA27,Curr!$B$2:$C$13,2,FALSE),0)</f>
        <v>11.3</v>
      </c>
      <c r="AC27" s="12">
        <f t="shared" si="5"/>
        <v>0</v>
      </c>
      <c r="AD27" s="12">
        <f t="shared" si="6"/>
        <v>0</v>
      </c>
      <c r="AE27" s="13">
        <f t="shared" si="7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/>
      <c r="R28" s="25"/>
      <c r="S28" s="12">
        <f t="shared" si="8"/>
        <v>0</v>
      </c>
      <c r="T28" s="5">
        <v>0</v>
      </c>
      <c r="U28" s="12">
        <f t="shared" si="9"/>
        <v>0</v>
      </c>
      <c r="V28" s="25" t="s">
        <v>10</v>
      </c>
      <c r="W28" s="11">
        <f>IFERROR(VLOOKUP(V28,[1]Curr!$B$2:$C$13,2,FALSE),0)</f>
        <v>11.3</v>
      </c>
      <c r="X28" s="12">
        <f t="shared" si="10"/>
        <v>0</v>
      </c>
      <c r="Y28" s="26">
        <f t="shared" si="11"/>
        <v>0</v>
      </c>
      <c r="Z28" s="12">
        <f t="shared" si="4"/>
        <v>0</v>
      </c>
      <c r="AA28" s="4" t="s">
        <v>10</v>
      </c>
      <c r="AB28" s="11">
        <f>IFERROR(VLOOKUP(AA28,Curr!$B$2:$C$13,2,FALSE),0)</f>
        <v>11.3</v>
      </c>
      <c r="AC28" s="12">
        <f t="shared" si="5"/>
        <v>0</v>
      </c>
      <c r="AD28" s="12">
        <f t="shared" si="6"/>
        <v>0</v>
      </c>
      <c r="AE28" s="13">
        <f t="shared" si="7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29"/>
      <c r="Q29" s="25"/>
      <c r="R29" s="25"/>
      <c r="S29" s="12">
        <f t="shared" si="8"/>
        <v>0</v>
      </c>
      <c r="T29" s="5">
        <v>0</v>
      </c>
      <c r="U29" s="12">
        <f t="shared" si="9"/>
        <v>0</v>
      </c>
      <c r="V29" s="25" t="s">
        <v>10</v>
      </c>
      <c r="W29" s="11">
        <f>IFERROR(VLOOKUP(V29,[1]Curr!$B$2:$C$13,2,FALSE),0)</f>
        <v>11.3</v>
      </c>
      <c r="X29" s="12">
        <f t="shared" si="10"/>
        <v>0</v>
      </c>
      <c r="Y29" s="26">
        <f t="shared" si="11"/>
        <v>0</v>
      </c>
      <c r="Z29" s="12">
        <f t="shared" si="4"/>
        <v>0</v>
      </c>
      <c r="AA29" s="4" t="s">
        <v>10</v>
      </c>
      <c r="AB29" s="11">
        <f>IFERROR(VLOOKUP(AA29,Curr!$B$2:$C$13,2,FALSE),0)</f>
        <v>11.3</v>
      </c>
      <c r="AC29" s="12">
        <f t="shared" si="5"/>
        <v>0</v>
      </c>
      <c r="AD29" s="12">
        <f t="shared" si="6"/>
        <v>0</v>
      </c>
      <c r="AE29" s="13">
        <f t="shared" si="7"/>
        <v>0</v>
      </c>
    </row>
    <row r="30" spans="2:31" x14ac:dyDescent="0.25">
      <c r="B30" s="4"/>
      <c r="C30" s="1" t="s">
        <v>53</v>
      </c>
      <c r="D30" s="1" t="s">
        <v>120</v>
      </c>
      <c r="E30" s="3"/>
      <c r="F30" s="3"/>
      <c r="G30" s="24"/>
      <c r="H30" s="24"/>
      <c r="J30" s="1" t="s">
        <v>121</v>
      </c>
      <c r="K30" s="4"/>
      <c r="L30" s="4"/>
      <c r="M30" s="4"/>
      <c r="N30" s="4"/>
      <c r="O30" s="4"/>
      <c r="P30" s="33"/>
      <c r="Q30" s="25">
        <v>150</v>
      </c>
      <c r="R30" s="25">
        <v>0</v>
      </c>
      <c r="S30" s="12">
        <f t="shared" si="8"/>
        <v>0</v>
      </c>
      <c r="T30" s="5">
        <v>0</v>
      </c>
      <c r="U30" s="12">
        <f t="shared" si="9"/>
        <v>0</v>
      </c>
      <c r="V30" s="25" t="s">
        <v>10</v>
      </c>
      <c r="W30" s="11">
        <f>IFERROR(VLOOKUP(V30,[1]Curr!$B$2:$C$13,2,FALSE),0)</f>
        <v>11.3</v>
      </c>
      <c r="X30" s="12">
        <f t="shared" si="10"/>
        <v>0</v>
      </c>
      <c r="Y30" s="26">
        <f>Q30/0.8</f>
        <v>187.5</v>
      </c>
      <c r="Z30" s="12">
        <f t="shared" si="4"/>
        <v>0</v>
      </c>
      <c r="AA30" s="4" t="s">
        <v>10</v>
      </c>
      <c r="AB30" s="11">
        <f>IFERROR(VLOOKUP(AA30,Curr!$B$2:$C$13,2,FALSE),0)</f>
        <v>11.3</v>
      </c>
      <c r="AC30" s="12">
        <f t="shared" si="5"/>
        <v>0</v>
      </c>
      <c r="AD30" s="12">
        <f t="shared" si="6"/>
        <v>0</v>
      </c>
      <c r="AE30" s="13">
        <f t="shared" si="7"/>
        <v>0</v>
      </c>
    </row>
    <row r="31" spans="2:31" x14ac:dyDescent="0.25">
      <c r="B31" s="4"/>
      <c r="C31" s="1" t="s">
        <v>61</v>
      </c>
      <c r="D31" s="1" t="s">
        <v>120</v>
      </c>
      <c r="E31" s="3"/>
      <c r="F31" s="3"/>
      <c r="G31" s="24"/>
      <c r="H31" s="24"/>
      <c r="J31" s="1" t="s">
        <v>122</v>
      </c>
      <c r="K31" s="4"/>
      <c r="L31" s="4"/>
      <c r="M31" s="4"/>
      <c r="N31" s="4"/>
      <c r="O31" s="4"/>
      <c r="P31" s="27"/>
      <c r="Q31" s="25">
        <v>150</v>
      </c>
      <c r="R31" s="25">
        <v>0</v>
      </c>
      <c r="S31" s="12">
        <f t="shared" si="8"/>
        <v>0</v>
      </c>
      <c r="T31" s="5">
        <v>0</v>
      </c>
      <c r="U31" s="12">
        <f t="shared" si="9"/>
        <v>0</v>
      </c>
      <c r="V31" s="25" t="s">
        <v>10</v>
      </c>
      <c r="W31" s="11">
        <f>IFERROR(VLOOKUP(V31,[1]Curr!$B$2:$C$13,2,FALSE),0)</f>
        <v>11.3</v>
      </c>
      <c r="X31" s="12">
        <f t="shared" si="10"/>
        <v>0</v>
      </c>
      <c r="Y31" s="26">
        <f>Q31/0.8</f>
        <v>187.5</v>
      </c>
      <c r="Z31" s="12">
        <f t="shared" si="4"/>
        <v>0</v>
      </c>
      <c r="AA31" s="4" t="s">
        <v>10</v>
      </c>
      <c r="AB31" s="11">
        <f>IFERROR(VLOOKUP(AA31,Curr!$B$2:$C$13,2,FALSE),0)</f>
        <v>11.3</v>
      </c>
      <c r="AC31" s="12">
        <f t="shared" si="5"/>
        <v>0</v>
      </c>
      <c r="AD31" s="12">
        <f t="shared" si="6"/>
        <v>0</v>
      </c>
      <c r="AE31" s="13">
        <f t="shared" si="7"/>
        <v>0</v>
      </c>
    </row>
    <row r="32" spans="2:31" x14ac:dyDescent="0.25">
      <c r="B32" s="4"/>
      <c r="C32" s="1" t="s">
        <v>61</v>
      </c>
      <c r="D32" s="1" t="s">
        <v>120</v>
      </c>
      <c r="E32" s="3"/>
      <c r="F32" s="3"/>
      <c r="G32" s="24"/>
      <c r="H32" s="24"/>
      <c r="J32" s="1" t="s">
        <v>123</v>
      </c>
      <c r="K32" s="4"/>
      <c r="L32" s="4"/>
      <c r="M32" s="4"/>
      <c r="N32" s="4"/>
      <c r="O32" s="4"/>
      <c r="P32" s="27"/>
      <c r="Q32" s="25">
        <v>750</v>
      </c>
      <c r="R32" s="25">
        <v>0</v>
      </c>
      <c r="S32" s="12">
        <f t="shared" si="8"/>
        <v>0</v>
      </c>
      <c r="T32" s="5">
        <v>0</v>
      </c>
      <c r="U32" s="12">
        <f t="shared" si="9"/>
        <v>0</v>
      </c>
      <c r="V32" s="25" t="s">
        <v>10</v>
      </c>
      <c r="W32" s="11">
        <f>IFERROR(VLOOKUP(V32,[1]Curr!$B$2:$C$13,2,FALSE),0)</f>
        <v>11.3</v>
      </c>
      <c r="X32" s="12">
        <f t="shared" si="10"/>
        <v>0</v>
      </c>
      <c r="Y32" s="26">
        <f>Q32/11.3/0.8</f>
        <v>82.964601769911496</v>
      </c>
      <c r="Z32" s="12">
        <f t="shared" si="4"/>
        <v>0</v>
      </c>
      <c r="AA32" s="4" t="s">
        <v>10</v>
      </c>
      <c r="AB32" s="11">
        <f>IFERROR(VLOOKUP(AA32,Curr!$B$2:$C$13,2,FALSE),0)</f>
        <v>11.3</v>
      </c>
      <c r="AC32" s="12">
        <f t="shared" si="5"/>
        <v>0</v>
      </c>
      <c r="AD32" s="12">
        <f t="shared" si="6"/>
        <v>0</v>
      </c>
      <c r="AE32" s="13">
        <f t="shared" si="7"/>
        <v>0</v>
      </c>
    </row>
    <row r="33" spans="2:36" x14ac:dyDescent="0.25">
      <c r="B33" s="4"/>
      <c r="C33" s="1" t="s">
        <v>71</v>
      </c>
      <c r="D33" s="1" t="s">
        <v>120</v>
      </c>
      <c r="E33" s="3"/>
      <c r="F33" s="3"/>
      <c r="G33" s="24"/>
      <c r="H33" s="24"/>
      <c r="J33" s="1" t="s">
        <v>124</v>
      </c>
      <c r="K33" s="4"/>
      <c r="L33" s="4"/>
      <c r="M33" s="4"/>
      <c r="N33" s="4"/>
      <c r="O33" s="4"/>
      <c r="P33" s="27"/>
      <c r="Q33" s="25">
        <v>750</v>
      </c>
      <c r="R33" s="25">
        <v>0</v>
      </c>
      <c r="S33" s="12">
        <f t="shared" si="8"/>
        <v>0</v>
      </c>
      <c r="T33" s="5">
        <v>0</v>
      </c>
      <c r="U33" s="12">
        <f t="shared" si="9"/>
        <v>0</v>
      </c>
      <c r="V33" s="25" t="s">
        <v>10</v>
      </c>
      <c r="W33" s="11">
        <f>IFERROR(VLOOKUP(V33,[1]Curr!$B$2:$C$13,2,FALSE),0)</f>
        <v>11.3</v>
      </c>
      <c r="X33" s="12">
        <f t="shared" si="10"/>
        <v>0</v>
      </c>
      <c r="Y33" s="26">
        <f>Q33/11.3/0.8</f>
        <v>82.964601769911496</v>
      </c>
      <c r="Z33" s="12">
        <f t="shared" si="4"/>
        <v>0</v>
      </c>
      <c r="AA33" s="4" t="s">
        <v>10</v>
      </c>
      <c r="AB33" s="11">
        <f>IFERROR(VLOOKUP(AA33,Curr!$B$2:$C$13,2,FALSE),0)</f>
        <v>11.3</v>
      </c>
      <c r="AC33" s="12">
        <f t="shared" si="5"/>
        <v>0</v>
      </c>
      <c r="AD33" s="12">
        <f t="shared" si="6"/>
        <v>0</v>
      </c>
      <c r="AE33" s="13">
        <f t="shared" si="7"/>
        <v>0</v>
      </c>
    </row>
    <row r="34" spans="2:36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/>
      <c r="R34" s="25"/>
      <c r="S34" s="12">
        <f t="shared" si="8"/>
        <v>0</v>
      </c>
      <c r="T34" s="5">
        <v>0</v>
      </c>
      <c r="U34" s="12">
        <f t="shared" si="9"/>
        <v>0</v>
      </c>
      <c r="V34" s="25" t="s">
        <v>10</v>
      </c>
      <c r="W34" s="11">
        <f>IFERROR(VLOOKUP(V34,[1]Curr!$B$2:$C$13,2,FALSE),0)</f>
        <v>11.3</v>
      </c>
      <c r="X34" s="12">
        <f t="shared" si="10"/>
        <v>0</v>
      </c>
      <c r="Y34" s="26">
        <f t="shared" si="11"/>
        <v>0</v>
      </c>
      <c r="Z34" s="12">
        <f t="shared" si="4"/>
        <v>0</v>
      </c>
      <c r="AA34" s="4" t="s">
        <v>10</v>
      </c>
      <c r="AB34" s="11">
        <f>IFERROR(VLOOKUP(AA34,Curr!$B$2:$C$13,2,FALSE),0)</f>
        <v>11.3</v>
      </c>
      <c r="AC34" s="12">
        <f t="shared" si="5"/>
        <v>0</v>
      </c>
      <c r="AD34" s="12">
        <f t="shared" si="6"/>
        <v>0</v>
      </c>
      <c r="AE34" s="13">
        <f t="shared" si="7"/>
        <v>0</v>
      </c>
    </row>
    <row r="35" spans="2:36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8"/>
        <v>0</v>
      </c>
      <c r="T35" s="5">
        <v>0</v>
      </c>
      <c r="U35" s="12">
        <f t="shared" si="9"/>
        <v>0</v>
      </c>
      <c r="V35" s="25" t="s">
        <v>10</v>
      </c>
      <c r="W35" s="11">
        <f>IFERROR(VLOOKUP(V35,[1]Curr!$B$2:$C$13,2,FALSE),0)</f>
        <v>11.3</v>
      </c>
      <c r="X35" s="12">
        <f t="shared" si="10"/>
        <v>0</v>
      </c>
      <c r="Y35" s="26">
        <f t="shared" si="11"/>
        <v>0</v>
      </c>
      <c r="Z35" s="12">
        <f t="shared" si="4"/>
        <v>0</v>
      </c>
      <c r="AA35" s="4" t="s">
        <v>10</v>
      </c>
      <c r="AB35" s="11">
        <f>IFERROR(VLOOKUP(AA35,Curr!$B$2:$C$13,2,FALSE),0)</f>
        <v>11.3</v>
      </c>
      <c r="AC35" s="12">
        <f t="shared" si="5"/>
        <v>0</v>
      </c>
      <c r="AD35" s="12">
        <f t="shared" si="6"/>
        <v>0</v>
      </c>
      <c r="AE35" s="13">
        <f t="shared" si="7"/>
        <v>0</v>
      </c>
    </row>
    <row r="36" spans="2:36" x14ac:dyDescent="0.25">
      <c r="B36" s="4"/>
      <c r="C36" s="1" t="s">
        <v>70</v>
      </c>
      <c r="D36" s="1" t="s">
        <v>125</v>
      </c>
      <c r="E36" s="3"/>
      <c r="F36" s="3"/>
      <c r="G36" s="24"/>
      <c r="H36" s="24"/>
      <c r="J36" s="1" t="s">
        <v>126</v>
      </c>
      <c r="K36" s="4"/>
      <c r="L36" s="4"/>
      <c r="M36" s="4"/>
      <c r="N36" s="4"/>
      <c r="O36" s="4"/>
      <c r="P36" s="33"/>
      <c r="Q36" s="25">
        <v>660</v>
      </c>
      <c r="R36" s="25">
        <v>0</v>
      </c>
      <c r="S36" s="12">
        <f t="shared" si="8"/>
        <v>0</v>
      </c>
      <c r="T36" s="5">
        <v>0</v>
      </c>
      <c r="U36" s="12">
        <f t="shared" si="9"/>
        <v>0</v>
      </c>
      <c r="V36" s="25" t="s">
        <v>10</v>
      </c>
      <c r="W36" s="11">
        <f>IFERROR(VLOOKUP(V36,[1]Curr!$B$2:$C$13,2,FALSE),0)</f>
        <v>11.3</v>
      </c>
      <c r="X36" s="12">
        <f t="shared" si="10"/>
        <v>0</v>
      </c>
      <c r="Y36" s="26">
        <f>Q36/0.85</f>
        <v>776.47058823529414</v>
      </c>
      <c r="Z36" s="12">
        <f t="shared" si="4"/>
        <v>0</v>
      </c>
      <c r="AA36" s="4" t="s">
        <v>10</v>
      </c>
      <c r="AB36" s="11">
        <f>IFERROR(VLOOKUP(AA36,Curr!$B$2:$C$13,2,FALSE),0)</f>
        <v>11.3</v>
      </c>
      <c r="AC36" s="12">
        <f t="shared" si="5"/>
        <v>0</v>
      </c>
      <c r="AD36" s="12">
        <f t="shared" si="6"/>
        <v>0</v>
      </c>
      <c r="AE36" s="13">
        <f t="shared" si="7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/>
      <c r="R37" s="25"/>
      <c r="S37" s="12">
        <f t="shared" si="8"/>
        <v>0</v>
      </c>
      <c r="T37" s="5">
        <v>0</v>
      </c>
      <c r="U37" s="12">
        <f t="shared" si="9"/>
        <v>0</v>
      </c>
      <c r="V37" s="25" t="s">
        <v>10</v>
      </c>
      <c r="W37" s="11">
        <f>IFERROR(VLOOKUP(V37,[1]Curr!$B$2:$C$13,2,FALSE),0)</f>
        <v>11.3</v>
      </c>
      <c r="X37" s="12">
        <f t="shared" si="10"/>
        <v>0</v>
      </c>
      <c r="Y37" s="26">
        <f t="shared" si="11"/>
        <v>0</v>
      </c>
      <c r="Z37" s="12">
        <f t="shared" si="4"/>
        <v>0</v>
      </c>
      <c r="AA37" s="4" t="s">
        <v>10</v>
      </c>
      <c r="AB37" s="11">
        <f>IFERROR(VLOOKUP(AA37,Curr!$B$2:$C$13,2,FALSE),0)</f>
        <v>11.3</v>
      </c>
      <c r="AC37" s="12">
        <f t="shared" si="5"/>
        <v>0</v>
      </c>
      <c r="AD37" s="12">
        <f t="shared" si="6"/>
        <v>0</v>
      </c>
      <c r="AE37" s="13">
        <f t="shared" si="7"/>
        <v>0</v>
      </c>
    </row>
    <row r="38" spans="2:36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/>
      <c r="R38" s="25"/>
      <c r="S38" s="12">
        <f t="shared" si="8"/>
        <v>0</v>
      </c>
      <c r="T38" s="5">
        <v>0</v>
      </c>
      <c r="U38" s="12">
        <f t="shared" si="9"/>
        <v>0</v>
      </c>
      <c r="V38" s="25" t="s">
        <v>10</v>
      </c>
      <c r="W38" s="11">
        <f>IFERROR(VLOOKUP(V38,[1]Curr!$B$2:$C$13,2,FALSE),0)</f>
        <v>11.3</v>
      </c>
      <c r="X38" s="12">
        <f t="shared" si="10"/>
        <v>0</v>
      </c>
      <c r="Y38" s="26">
        <f t="shared" si="11"/>
        <v>0</v>
      </c>
      <c r="Z38" s="12">
        <f t="shared" si="4"/>
        <v>0</v>
      </c>
      <c r="AA38" s="4" t="s">
        <v>10</v>
      </c>
      <c r="AB38" s="11">
        <f>IFERROR(VLOOKUP(AA38,Curr!$B$2:$C$13,2,FALSE),0)</f>
        <v>11.3</v>
      </c>
      <c r="AC38" s="12">
        <f t="shared" si="5"/>
        <v>0</v>
      </c>
      <c r="AD38" s="12">
        <f t="shared" si="6"/>
        <v>0</v>
      </c>
      <c r="AE38" s="13">
        <f t="shared" si="7"/>
        <v>0</v>
      </c>
    </row>
    <row r="39" spans="2:36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33"/>
      <c r="Q39" s="25"/>
      <c r="R39" s="25"/>
      <c r="S39" s="12">
        <f t="shared" si="8"/>
        <v>0</v>
      </c>
      <c r="T39" s="5">
        <v>0</v>
      </c>
      <c r="U39" s="12">
        <f t="shared" si="9"/>
        <v>0</v>
      </c>
      <c r="V39" s="25" t="s">
        <v>10</v>
      </c>
      <c r="W39" s="11">
        <f>IFERROR(VLOOKUP(V39,[1]Curr!$B$2:$C$13,2,FALSE),0)</f>
        <v>11.3</v>
      </c>
      <c r="X39" s="12">
        <f t="shared" si="10"/>
        <v>0</v>
      </c>
      <c r="Y39" s="26">
        <f t="shared" si="11"/>
        <v>0</v>
      </c>
      <c r="Z39" s="12">
        <f t="shared" si="4"/>
        <v>0</v>
      </c>
      <c r="AA39" s="4" t="s">
        <v>10</v>
      </c>
      <c r="AB39" s="11">
        <f>IFERROR(VLOOKUP(AA39,Curr!$B$2:$C$13,2,FALSE),0)</f>
        <v>11.3</v>
      </c>
      <c r="AC39" s="12">
        <f t="shared" si="5"/>
        <v>0</v>
      </c>
      <c r="AD39" s="12">
        <f t="shared" si="6"/>
        <v>0</v>
      </c>
      <c r="AE39" s="13">
        <f t="shared" si="7"/>
        <v>0</v>
      </c>
    </row>
    <row r="40" spans="2:36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8"/>
        <v>0</v>
      </c>
      <c r="T40" s="5">
        <v>0</v>
      </c>
      <c r="U40" s="12">
        <f t="shared" si="9"/>
        <v>0</v>
      </c>
      <c r="V40" s="25" t="s">
        <v>10</v>
      </c>
      <c r="W40" s="11">
        <f>IFERROR(VLOOKUP(V40,[1]Curr!$B$2:$C$13,2,FALSE),0)</f>
        <v>11.3</v>
      </c>
      <c r="X40" s="12">
        <f t="shared" si="10"/>
        <v>0</v>
      </c>
      <c r="Y40" s="26">
        <f t="shared" si="11"/>
        <v>0</v>
      </c>
      <c r="Z40" s="12">
        <f t="shared" si="4"/>
        <v>0</v>
      </c>
      <c r="AA40" s="4" t="s">
        <v>10</v>
      </c>
      <c r="AB40" s="11">
        <f>IFERROR(VLOOKUP(AA40,Curr!$B$2:$C$13,2,FALSE),0)</f>
        <v>11.3</v>
      </c>
      <c r="AC40" s="12">
        <f t="shared" si="5"/>
        <v>0</v>
      </c>
      <c r="AD40" s="12">
        <f t="shared" si="6"/>
        <v>0</v>
      </c>
      <c r="AE40" s="13">
        <f t="shared" si="7"/>
        <v>0</v>
      </c>
    </row>
    <row r="41" spans="2:36" x14ac:dyDescent="0.25">
      <c r="B41" s="4"/>
      <c r="E41" s="3"/>
      <c r="F41" s="3"/>
      <c r="G41" s="3"/>
      <c r="H41" s="3"/>
      <c r="L41" s="4"/>
      <c r="M41" s="4"/>
      <c r="N41" s="4"/>
      <c r="O41" s="4"/>
      <c r="P41" s="22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6" x14ac:dyDescent="0.25">
      <c r="B42" s="14" t="s">
        <v>18</v>
      </c>
      <c r="C42" s="14"/>
      <c r="D42" s="28" t="s">
        <v>42</v>
      </c>
      <c r="E42" s="30" t="s">
        <v>42</v>
      </c>
      <c r="F42" s="30" t="s">
        <v>42</v>
      </c>
      <c r="G42" s="30" t="s">
        <v>42</v>
      </c>
      <c r="H42" s="30" t="s">
        <v>42</v>
      </c>
      <c r="I42" s="28" t="s">
        <v>42</v>
      </c>
      <c r="J42" s="28" t="s">
        <v>42</v>
      </c>
      <c r="K42" s="28" t="s">
        <v>42</v>
      </c>
      <c r="L42" s="28" t="s">
        <v>42</v>
      </c>
      <c r="M42" s="28" t="s">
        <v>42</v>
      </c>
      <c r="N42" s="28" t="s">
        <v>42</v>
      </c>
      <c r="O42" s="28" t="s">
        <v>42</v>
      </c>
      <c r="P42" s="28" t="s">
        <v>42</v>
      </c>
      <c r="Q42" s="31" t="s">
        <v>42</v>
      </c>
      <c r="R42" s="28" t="s">
        <v>42</v>
      </c>
      <c r="S42" s="32" t="s">
        <v>42</v>
      </c>
      <c r="T42" s="28" t="s">
        <v>42</v>
      </c>
      <c r="U42" s="32" t="s">
        <v>42</v>
      </c>
      <c r="V42" s="28" t="s">
        <v>42</v>
      </c>
      <c r="W42" s="28" t="s">
        <v>42</v>
      </c>
      <c r="X42" s="32" t="s">
        <v>42</v>
      </c>
      <c r="Y42" s="32" t="s">
        <v>42</v>
      </c>
      <c r="Z42" s="15">
        <f>SUM(Z7:Z40)</f>
        <v>2805.2274856845393</v>
      </c>
      <c r="AA42" s="14"/>
      <c r="AB42" s="14"/>
      <c r="AC42" s="15">
        <f>SUM(AC7:AC40)</f>
        <v>31699.070588235292</v>
      </c>
      <c r="AD42" s="15">
        <f>SUM(AD7:AD40)</f>
        <v>5940.9905882352941</v>
      </c>
      <c r="AE42" s="21">
        <f t="shared" ref="AE42" si="12">IFERROR(AD42/AC42,0)</f>
        <v>0.18741844722855117</v>
      </c>
      <c r="AF42" s="15">
        <f>SUM(AF8:AF41)</f>
        <v>0</v>
      </c>
      <c r="AG42" s="15">
        <f>SUM(AG8:AG41)</f>
        <v>0</v>
      </c>
      <c r="AH42" s="15">
        <f>SUM(AH8:AH41)</f>
        <v>0</v>
      </c>
      <c r="AI42" s="15">
        <f>SUM(AI8:AI41)</f>
        <v>0</v>
      </c>
      <c r="AJ42" s="15">
        <f>SUM(AJ8:AJ41)</f>
        <v>0</v>
      </c>
    </row>
    <row r="43" spans="2:36" x14ac:dyDescent="0.25">
      <c r="B43" s="4"/>
      <c r="E43" s="3"/>
      <c r="F43" s="3"/>
      <c r="G43" s="3"/>
      <c r="H43" s="3"/>
      <c r="L43" s="4"/>
      <c r="M43" s="4"/>
      <c r="N43" s="4"/>
      <c r="O43" s="4"/>
      <c r="Q43" s="4"/>
      <c r="R43" s="4"/>
      <c r="S43" s="4"/>
      <c r="T43" s="4"/>
      <c r="U43" s="4"/>
      <c r="V43" s="4"/>
      <c r="W43" s="4"/>
      <c r="X43" s="4"/>
      <c r="Y43" s="9"/>
      <c r="Z43" s="9"/>
      <c r="AA43" s="9"/>
      <c r="AB43" s="9"/>
      <c r="AC43" s="9"/>
      <c r="AD43" s="9"/>
      <c r="AE43" s="9"/>
    </row>
    <row r="44" spans="2:36" x14ac:dyDescent="0.25">
      <c r="B44" s="4"/>
      <c r="E44" s="3"/>
      <c r="F44" s="3"/>
      <c r="G44" s="3"/>
      <c r="H44" s="3"/>
      <c r="L44" s="4"/>
      <c r="M44" s="4"/>
      <c r="N44" s="4"/>
      <c r="O44" s="4"/>
      <c r="Q44" s="9"/>
      <c r="R44" s="9"/>
      <c r="S44" s="9"/>
      <c r="T44" s="9"/>
      <c r="U44" s="9"/>
      <c r="V44" s="9"/>
      <c r="W44" s="9"/>
      <c r="X44" s="23"/>
      <c r="Y44" s="34" t="s">
        <v>45</v>
      </c>
      <c r="Z44" s="34">
        <v>2820</v>
      </c>
      <c r="AA44" s="9"/>
      <c r="AB44" s="9"/>
      <c r="AC44" s="9"/>
      <c r="AD44" s="9"/>
      <c r="AE44" s="9"/>
    </row>
    <row r="45" spans="2:36" x14ac:dyDescent="0.25">
      <c r="B45" s="4"/>
      <c r="E45" s="3"/>
      <c r="F45" s="3"/>
      <c r="G45" s="3"/>
      <c r="H45" s="3"/>
      <c r="L45" s="4"/>
      <c r="M45" s="4"/>
      <c r="N45" s="4"/>
      <c r="O45" s="4"/>
      <c r="Q45" s="9"/>
      <c r="R45" s="9"/>
      <c r="S45" s="9"/>
      <c r="T45" s="9"/>
      <c r="U45" s="9"/>
      <c r="V45" s="9"/>
      <c r="W45" s="9"/>
      <c r="X45" s="9"/>
      <c r="Y45" s="34" t="s">
        <v>46</v>
      </c>
      <c r="Z45" s="34">
        <f>Z44/2</f>
        <v>1410</v>
      </c>
      <c r="AA45" s="9"/>
      <c r="AB45" s="9"/>
      <c r="AC45" s="9"/>
      <c r="AD45" s="9"/>
      <c r="AE45" s="9"/>
      <c r="AF45" s="18"/>
    </row>
    <row r="46" spans="2:36" x14ac:dyDescent="0.25">
      <c r="B46" s="4"/>
      <c r="E46" s="3"/>
      <c r="F46" s="3"/>
      <c r="G46" s="3"/>
      <c r="H46" s="3"/>
      <c r="I46" s="19"/>
      <c r="L46" s="4"/>
      <c r="M46" s="4"/>
      <c r="N46" s="4"/>
      <c r="O46" s="20"/>
      <c r="Q46" s="20"/>
      <c r="R46" s="20"/>
      <c r="S46" s="20"/>
      <c r="T46" s="20"/>
      <c r="U46" s="20"/>
      <c r="V46" s="20"/>
      <c r="W46" s="20"/>
      <c r="X46" s="20"/>
      <c r="Y46" s="9"/>
      <c r="Z46" s="9"/>
      <c r="AA46" s="9"/>
      <c r="AB46" s="9"/>
      <c r="AC46" s="9"/>
      <c r="AD46" s="9"/>
      <c r="AE46" s="9"/>
      <c r="AF46" s="18"/>
    </row>
    <row r="47" spans="2:36" x14ac:dyDescent="0.25">
      <c r="B47" s="4"/>
      <c r="E47" s="3"/>
      <c r="F47" s="3"/>
      <c r="G47" s="3"/>
      <c r="H47" s="3"/>
      <c r="L47" s="4"/>
      <c r="M47" s="4"/>
      <c r="N47" s="4"/>
      <c r="O47" s="20"/>
      <c r="Q47" s="20"/>
      <c r="R47" s="20"/>
      <c r="S47" s="20"/>
      <c r="T47" s="20"/>
      <c r="U47" s="20"/>
      <c r="V47" s="20"/>
      <c r="W47" s="20"/>
      <c r="X47" s="20"/>
      <c r="Y47" s="9"/>
      <c r="Z47" s="9"/>
      <c r="AA47" s="9"/>
      <c r="AB47" s="9"/>
      <c r="AC47" s="9"/>
      <c r="AD47" s="9"/>
      <c r="AE47" s="9"/>
      <c r="AF47" s="18"/>
    </row>
    <row r="48" spans="2:36" x14ac:dyDescent="0.25">
      <c r="B48" s="4"/>
      <c r="E48" s="3"/>
      <c r="F48" s="3"/>
      <c r="G48" s="3"/>
      <c r="H48" s="3"/>
      <c r="L48" s="4"/>
      <c r="M48" s="4"/>
      <c r="N48" s="4"/>
      <c r="O48" s="4"/>
      <c r="Q48" s="9"/>
      <c r="R48" s="9"/>
      <c r="S48" s="9"/>
      <c r="T48" s="9"/>
      <c r="U48" s="9"/>
      <c r="V48" s="9"/>
      <c r="W48" s="9"/>
      <c r="X48" s="9"/>
      <c r="Y48" s="35" t="s">
        <v>144</v>
      </c>
      <c r="Z48" s="9">
        <f>Z44</f>
        <v>2820</v>
      </c>
      <c r="AA48" s="9"/>
      <c r="AB48" s="9"/>
      <c r="AC48" s="9"/>
      <c r="AD48" s="9"/>
      <c r="AE48" s="9"/>
      <c r="AF48" s="18"/>
    </row>
    <row r="49" spans="6:31" x14ac:dyDescent="0.25">
      <c r="F49" s="1"/>
      <c r="G49" s="1"/>
      <c r="H49" s="1"/>
      <c r="J49" s="1" t="s">
        <v>32</v>
      </c>
      <c r="Q49" s="9"/>
      <c r="R49" s="4"/>
      <c r="S49" s="9"/>
      <c r="T49" s="5"/>
      <c r="U49" s="9"/>
      <c r="V49" s="4"/>
      <c r="W49" s="4"/>
      <c r="X49" s="9"/>
      <c r="Y49" s="35" t="s">
        <v>145</v>
      </c>
      <c r="Z49" s="9">
        <f>Z48*1.17</f>
        <v>3299.3999999999996</v>
      </c>
      <c r="AA49" s="9"/>
      <c r="AB49" s="9"/>
      <c r="AC49" s="9"/>
      <c r="AD49" s="9"/>
      <c r="AE49" s="9"/>
    </row>
    <row r="50" spans="6:31" x14ac:dyDescent="0.25">
      <c r="R50" s="4"/>
      <c r="S50" s="17"/>
      <c r="T50" s="17"/>
      <c r="U50" s="9"/>
      <c r="V50" s="4"/>
      <c r="W50" s="4"/>
      <c r="X50" s="9"/>
      <c r="Y50" s="35" t="s">
        <v>146</v>
      </c>
      <c r="Z50" s="9">
        <f>Z48*1.3</f>
        <v>3666</v>
      </c>
      <c r="AA50" s="9"/>
      <c r="AB50" s="9"/>
      <c r="AC50" s="9"/>
      <c r="AD50" s="9"/>
      <c r="AE50" s="9"/>
    </row>
    <row r="51" spans="6:31" x14ac:dyDescent="0.25">
      <c r="Q51" s="9"/>
      <c r="R51" s="4"/>
      <c r="S51" s="16"/>
      <c r="T51" s="16"/>
      <c r="U51" s="9"/>
      <c r="V51" s="4"/>
      <c r="W51" s="4"/>
      <c r="X51" s="9"/>
      <c r="Y51" s="35" t="s">
        <v>147</v>
      </c>
      <c r="Z51" s="9">
        <f>Z48*0.85</f>
        <v>2397</v>
      </c>
      <c r="AA51" s="9"/>
      <c r="AB51" s="9"/>
      <c r="AC51" s="9"/>
      <c r="AD51" s="9"/>
      <c r="AE51" s="9"/>
    </row>
    <row r="52" spans="6:31" x14ac:dyDescent="0.25">
      <c r="R52" s="4"/>
      <c r="S52" s="16"/>
      <c r="T52" s="16"/>
      <c r="Y52" s="9"/>
      <c r="Z52" s="9"/>
      <c r="AA52" s="9"/>
      <c r="AB52" s="9"/>
      <c r="AC52" s="9"/>
      <c r="AD52" s="9"/>
      <c r="AE52" s="9"/>
    </row>
    <row r="53" spans="6:31" x14ac:dyDescent="0.25">
      <c r="T53" s="5"/>
      <c r="Y53" s="9"/>
      <c r="Z53" s="9"/>
      <c r="AA53" s="9"/>
      <c r="AB53" s="9"/>
      <c r="AC53" s="9"/>
      <c r="AD53" s="9"/>
      <c r="AE53" s="9"/>
    </row>
    <row r="54" spans="6:31" x14ac:dyDescent="0.25">
      <c r="T54" s="5"/>
      <c r="Y54" s="9"/>
      <c r="Z54" s="9"/>
      <c r="AA54" s="9"/>
      <c r="AB54" s="9"/>
      <c r="AC54" s="9"/>
      <c r="AD54" s="9"/>
      <c r="AE54" s="9"/>
    </row>
    <row r="55" spans="6:31" x14ac:dyDescent="0.25">
      <c r="T55" s="5"/>
      <c r="Y55" s="9"/>
      <c r="Z55" s="9"/>
      <c r="AA55" s="9"/>
      <c r="AB55" s="9"/>
      <c r="AC55" s="9"/>
      <c r="AD55" s="9"/>
      <c r="AE55" s="9"/>
    </row>
    <row r="56" spans="6:31" x14ac:dyDescent="0.25">
      <c r="T56" s="5"/>
      <c r="Y56" s="9"/>
      <c r="Z56" s="9"/>
      <c r="AA56" s="9"/>
      <c r="AB56" s="9"/>
      <c r="AC56" s="9"/>
      <c r="AD56" s="9"/>
      <c r="AE56" s="9"/>
    </row>
    <row r="57" spans="6:31" x14ac:dyDescent="0.25">
      <c r="T57" s="5"/>
      <c r="Y57" s="9"/>
      <c r="Z57" s="9"/>
      <c r="AA57" s="9"/>
      <c r="AB57" s="9"/>
      <c r="AC57" s="9"/>
      <c r="AD57" s="9"/>
      <c r="AE57" s="9"/>
    </row>
    <row r="58" spans="6:31" x14ac:dyDescent="0.25">
      <c r="T58" s="5"/>
      <c r="Y58" s="9"/>
      <c r="Z58" s="9"/>
      <c r="AA58" s="9"/>
      <c r="AB58" s="9"/>
      <c r="AC58" s="9"/>
      <c r="AD58" s="9"/>
      <c r="AE58" s="9"/>
    </row>
    <row r="59" spans="6:31" x14ac:dyDescent="0.25">
      <c r="T59" s="5"/>
      <c r="Y59" s="9"/>
      <c r="Z59" s="9"/>
      <c r="AA59" s="9"/>
      <c r="AB59" s="9"/>
      <c r="AC59" s="9"/>
      <c r="AD59" s="9"/>
      <c r="AE59" s="9"/>
    </row>
    <row r="60" spans="6:31" x14ac:dyDescent="0.25">
      <c r="T60" s="5"/>
      <c r="Y60" s="9"/>
      <c r="Z60" s="9"/>
      <c r="AA60" s="9"/>
      <c r="AB60" s="9"/>
      <c r="AC60" s="9"/>
      <c r="AD60" s="9"/>
      <c r="AE60" s="9"/>
    </row>
    <row r="61" spans="6:31" x14ac:dyDescent="0.25">
      <c r="T61" s="5"/>
    </row>
    <row r="62" spans="6:31" x14ac:dyDescent="0.25">
      <c r="T62" s="5"/>
    </row>
    <row r="63" spans="6:31" x14ac:dyDescent="0.25">
      <c r="T63" s="5"/>
    </row>
    <row r="64" spans="6:31" x14ac:dyDescent="0.25">
      <c r="T64" s="5"/>
    </row>
    <row r="65" spans="20:20" x14ac:dyDescent="0.25">
      <c r="T65" s="5"/>
    </row>
  </sheetData>
  <autoFilter ref="B6:AE42" xr:uid="{65FA6D9B-E0AF-46CD-BA0D-86BB75FE6AB0}"/>
  <hyperlinks>
    <hyperlink ref="P17" r:id="rId1" xr:uid="{2098DEB6-6442-46B1-A9ED-FC7572FBD454}"/>
    <hyperlink ref="P19" r:id="rId2" xr:uid="{94F3B2D7-F70E-4A28-8D8A-1F05BB605CE7}"/>
    <hyperlink ref="P21" r:id="rId3" xr:uid="{992524FD-B2BA-416B-A0C4-769B2F8AC961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6676-EFCA-40EA-9C20-314D10D0BC2D}">
  <sheetPr>
    <tabColor rgb="FFFFFF00"/>
  </sheetPr>
  <dimension ref="B1:AK76"/>
  <sheetViews>
    <sheetView tabSelected="1" topLeftCell="A4" zoomScale="80" zoomScaleNormal="80" workbookViewId="0">
      <selection activeCell="Q20" sqref="Q20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1" spans="2:36" x14ac:dyDescent="0.25">
      <c r="B1" s="2" t="s">
        <v>87</v>
      </c>
    </row>
    <row r="2" spans="2:36" x14ac:dyDescent="0.25">
      <c r="B2" s="2" t="s">
        <v>55</v>
      </c>
    </row>
    <row r="3" spans="2:36" x14ac:dyDescent="0.25">
      <c r="B3" s="2" t="s">
        <v>76</v>
      </c>
    </row>
    <row r="4" spans="2:36" x14ac:dyDescent="0.25">
      <c r="B4" s="2" t="s">
        <v>57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53</v>
      </c>
      <c r="D7" s="1" t="s">
        <v>54</v>
      </c>
      <c r="E7" s="3"/>
      <c r="F7" s="3"/>
      <c r="G7" s="3"/>
      <c r="H7" s="3"/>
      <c r="J7" s="1" t="s">
        <v>62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51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IFERROR(VLOOKUP(V7,[1]Curr!$B$2:$C$13,2,FALSE),0)</f>
        <v>11.3</v>
      </c>
      <c r="X7" s="12">
        <f t="shared" ref="X7:X51" si="1">U7*W7</f>
        <v>0</v>
      </c>
      <c r="Y7" s="26">
        <f>Q7</f>
        <v>0</v>
      </c>
      <c r="Z7" s="12">
        <f t="shared" ref="Z7:Z51" si="2">+Y7*R7</f>
        <v>0</v>
      </c>
      <c r="AA7" s="4" t="s">
        <v>10</v>
      </c>
      <c r="AB7" s="11">
        <f>IFERROR(VLOOKUP(AA7,Curr!$B$2:$C$13,2,FALSE),0)</f>
        <v>11.3</v>
      </c>
      <c r="AC7" s="12">
        <f t="shared" ref="AC7:AC51" si="3">+Y7*AB7*R7</f>
        <v>0</v>
      </c>
      <c r="AD7" s="12">
        <f t="shared" ref="AD7:AD51" si="4">+AC7-X7</f>
        <v>0</v>
      </c>
      <c r="AE7" s="13">
        <f t="shared" ref="AE7:AE51" si="5">IFERROR(AD7/AC7,0)</f>
        <v>0</v>
      </c>
    </row>
    <row r="8" spans="2:36" x14ac:dyDescent="0.25">
      <c r="B8" s="4"/>
      <c r="C8" s="1" t="s">
        <v>53</v>
      </c>
      <c r="D8" s="1" t="s">
        <v>84</v>
      </c>
      <c r="E8" s="3"/>
      <c r="F8" s="3"/>
      <c r="G8" s="24"/>
      <c r="H8" s="24"/>
      <c r="J8" s="1" t="s">
        <v>105</v>
      </c>
      <c r="K8" s="4"/>
      <c r="L8" s="4"/>
      <c r="M8" s="4"/>
      <c r="N8" s="4"/>
      <c r="O8" s="4"/>
      <c r="P8" s="27"/>
      <c r="Q8" s="25">
        <v>400</v>
      </c>
      <c r="R8" s="25">
        <v>1</v>
      </c>
      <c r="S8" s="12">
        <f t="shared" si="0"/>
        <v>400</v>
      </c>
      <c r="T8" s="5">
        <v>0</v>
      </c>
      <c r="U8" s="12">
        <f t="shared" ref="U8:U51" si="6">S8*(1-T8)</f>
        <v>400</v>
      </c>
      <c r="V8" s="25" t="s">
        <v>10</v>
      </c>
      <c r="W8" s="11">
        <f>IFERROR(VLOOKUP(V8,[1]Curr!$B$2:$C$13,2,FALSE),0)</f>
        <v>11.3</v>
      </c>
      <c r="X8" s="12">
        <f t="shared" si="1"/>
        <v>4520</v>
      </c>
      <c r="Y8" s="26">
        <f>Q8/0.8</f>
        <v>500</v>
      </c>
      <c r="Z8" s="12">
        <f t="shared" si="2"/>
        <v>500</v>
      </c>
      <c r="AA8" s="4" t="s">
        <v>10</v>
      </c>
      <c r="AB8" s="11">
        <f>IFERROR(VLOOKUP(AA8,Curr!$B$2:$C$13,2,FALSE),0)</f>
        <v>11.3</v>
      </c>
      <c r="AC8" s="12">
        <f t="shared" si="3"/>
        <v>5650</v>
      </c>
      <c r="AD8" s="12">
        <f t="shared" si="4"/>
        <v>1130</v>
      </c>
      <c r="AE8" s="13">
        <f t="shared" si="5"/>
        <v>0.2</v>
      </c>
    </row>
    <row r="9" spans="2:36" x14ac:dyDescent="0.25">
      <c r="B9" s="4"/>
      <c r="C9" s="1" t="s">
        <v>53</v>
      </c>
      <c r="D9" s="1" t="s">
        <v>85</v>
      </c>
      <c r="E9" s="3"/>
      <c r="F9" s="3"/>
      <c r="G9" s="24"/>
      <c r="H9" s="24"/>
      <c r="J9" s="1" t="s">
        <v>98</v>
      </c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6"/>
        <v>0</v>
      </c>
      <c r="V9" s="25" t="s">
        <v>10</v>
      </c>
      <c r="W9" s="11">
        <f>IFERROR(VLOOKUP(V9,[1]Curr!$B$2:$C$13,2,FALSE),0)</f>
        <v>11.3</v>
      </c>
      <c r="X9" s="12">
        <f t="shared" si="1"/>
        <v>0</v>
      </c>
      <c r="Y9" s="26">
        <f t="shared" ref="Y9:Y51" si="7">Q9</f>
        <v>0</v>
      </c>
      <c r="Z9" s="12">
        <f t="shared" si="2"/>
        <v>0</v>
      </c>
      <c r="AA9" s="4" t="s">
        <v>10</v>
      </c>
      <c r="AB9" s="11">
        <f>IFERROR(VLOOKUP(AA9,Curr!$B$2:$C$13,2,FALSE),0)</f>
        <v>11.3</v>
      </c>
      <c r="AC9" s="12">
        <f t="shared" si="3"/>
        <v>0</v>
      </c>
      <c r="AD9" s="12">
        <f t="shared" si="4"/>
        <v>0</v>
      </c>
      <c r="AE9" s="13">
        <f t="shared" si="5"/>
        <v>0</v>
      </c>
    </row>
    <row r="10" spans="2:36" x14ac:dyDescent="0.25">
      <c r="B10" s="4"/>
      <c r="C10" s="1" t="s">
        <v>53</v>
      </c>
      <c r="D10" s="1" t="s">
        <v>59</v>
      </c>
      <c r="E10" s="3"/>
      <c r="F10" s="3"/>
      <c r="G10" s="24"/>
      <c r="H10" s="24"/>
      <c r="J10" s="1" t="s">
        <v>106</v>
      </c>
      <c r="K10" s="4"/>
      <c r="L10" s="4"/>
      <c r="M10" s="4"/>
      <c r="N10" s="4"/>
      <c r="O10" s="4"/>
      <c r="P10" s="27"/>
      <c r="Q10" s="25">
        <v>200</v>
      </c>
      <c r="R10" s="25">
        <v>1</v>
      </c>
      <c r="S10" s="12">
        <f t="shared" si="0"/>
        <v>200</v>
      </c>
      <c r="T10" s="5">
        <v>0</v>
      </c>
      <c r="U10" s="12">
        <f t="shared" si="6"/>
        <v>200</v>
      </c>
      <c r="V10" s="25" t="s">
        <v>10</v>
      </c>
      <c r="W10" s="11">
        <f>IFERROR(VLOOKUP(V10,[1]Curr!$B$2:$C$13,2,FALSE),0)</f>
        <v>11.3</v>
      </c>
      <c r="X10" s="12">
        <f t="shared" si="1"/>
        <v>2260</v>
      </c>
      <c r="Y10" s="26">
        <f>Q10/0.8</f>
        <v>250</v>
      </c>
      <c r="Z10" s="12">
        <f t="shared" si="2"/>
        <v>250</v>
      </c>
      <c r="AA10" s="4" t="s">
        <v>10</v>
      </c>
      <c r="AB10" s="11">
        <f>IFERROR(VLOOKUP(AA10,Curr!$B$2:$C$13,2,FALSE),0)</f>
        <v>11.3</v>
      </c>
      <c r="AC10" s="12">
        <f t="shared" si="3"/>
        <v>2825</v>
      </c>
      <c r="AD10" s="12">
        <f t="shared" si="4"/>
        <v>565</v>
      </c>
      <c r="AE10" s="13">
        <f t="shared" si="5"/>
        <v>0.2</v>
      </c>
    </row>
    <row r="11" spans="2:36" x14ac:dyDescent="0.25">
      <c r="B11" s="4"/>
      <c r="C11" s="1" t="s">
        <v>53</v>
      </c>
      <c r="D11" s="1" t="s">
        <v>60</v>
      </c>
      <c r="E11" s="3"/>
      <c r="F11" s="3"/>
      <c r="G11" s="24"/>
      <c r="H11" s="24"/>
      <c r="J11" s="1" t="s">
        <v>65</v>
      </c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IFERROR(VLOOKUP(V11,[1]Curr!$B$2:$C$13,2,FALSE),0)</f>
        <v>11.3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11.3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33"/>
      <c r="Q12" s="25"/>
      <c r="R12" s="25"/>
      <c r="S12" s="12">
        <f t="shared" si="0"/>
        <v>0</v>
      </c>
      <c r="T12" s="5">
        <v>0</v>
      </c>
      <c r="U12" s="12">
        <f t="shared" si="6"/>
        <v>0</v>
      </c>
      <c r="V12" s="25" t="s">
        <v>10</v>
      </c>
      <c r="W12" s="11">
        <f>IFERROR(VLOOKUP(V12,[1]Curr!$B$2:$C$13,2,FALSE),0)</f>
        <v>11.3</v>
      </c>
      <c r="X12" s="12">
        <f t="shared" si="1"/>
        <v>0</v>
      </c>
      <c r="Y12" s="26">
        <f t="shared" si="7"/>
        <v>0</v>
      </c>
      <c r="Z12" s="12">
        <f t="shared" si="2"/>
        <v>0</v>
      </c>
      <c r="AA12" s="4" t="s">
        <v>10</v>
      </c>
      <c r="AB12" s="11">
        <f>IFERROR(VLOOKUP(AA12,Curr!$B$2:$C$13,2,FALSE),0)</f>
        <v>11.3</v>
      </c>
      <c r="AC12" s="12">
        <f t="shared" si="3"/>
        <v>0</v>
      </c>
      <c r="AD12" s="12">
        <f t="shared" si="4"/>
        <v>0</v>
      </c>
      <c r="AE12" s="13">
        <f t="shared" si="5"/>
        <v>0</v>
      </c>
    </row>
    <row r="13" spans="2:36" x14ac:dyDescent="0.25">
      <c r="B13" s="4"/>
      <c r="C13" s="1" t="s">
        <v>61</v>
      </c>
      <c r="D13" s="1" t="s">
        <v>85</v>
      </c>
      <c r="E13" s="3"/>
      <c r="F13" s="3"/>
      <c r="G13" s="24"/>
      <c r="H13" s="24"/>
      <c r="J13" s="1" t="s">
        <v>100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IFERROR(VLOOKUP(V13,[1]Curr!$B$2:$C$13,2,FALSE),0)</f>
        <v>11.3</v>
      </c>
      <c r="X13" s="12">
        <f t="shared" si="1"/>
        <v>0</v>
      </c>
      <c r="Y13" s="26">
        <f t="shared" si="7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11.3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61</v>
      </c>
      <c r="D14" s="1" t="s">
        <v>59</v>
      </c>
      <c r="E14" s="3"/>
      <c r="F14" s="3"/>
      <c r="G14" s="24"/>
      <c r="H14" s="24"/>
      <c r="J14" s="1" t="s">
        <v>111</v>
      </c>
      <c r="K14" s="4"/>
      <c r="L14" s="4"/>
      <c r="M14" s="4"/>
      <c r="N14" s="4"/>
      <c r="O14" s="4"/>
      <c r="P14" s="33"/>
      <c r="Q14" s="25">
        <v>150</v>
      </c>
      <c r="R14" s="25">
        <v>1</v>
      </c>
      <c r="S14" s="12">
        <f t="shared" si="0"/>
        <v>150</v>
      </c>
      <c r="T14" s="5">
        <v>0</v>
      </c>
      <c r="U14" s="12">
        <f t="shared" si="6"/>
        <v>150</v>
      </c>
      <c r="V14" s="25" t="s">
        <v>10</v>
      </c>
      <c r="W14" s="11">
        <f>IFERROR(VLOOKUP(V14,[1]Curr!$B$2:$C$13,2,FALSE),0)</f>
        <v>11.3</v>
      </c>
      <c r="X14" s="12">
        <f t="shared" si="1"/>
        <v>1695</v>
      </c>
      <c r="Y14" s="26">
        <f>Q14/0.83</f>
        <v>180.72289156626508</v>
      </c>
      <c r="Z14" s="12">
        <f t="shared" si="2"/>
        <v>180.72289156626508</v>
      </c>
      <c r="AA14" s="4" t="s">
        <v>10</v>
      </c>
      <c r="AB14" s="11">
        <f>IFERROR(VLOOKUP(AA14,Curr!$B$2:$C$13,2,FALSE),0)</f>
        <v>11.3</v>
      </c>
      <c r="AC14" s="12">
        <f t="shared" si="3"/>
        <v>2042.1686746987955</v>
      </c>
      <c r="AD14" s="12">
        <f t="shared" si="4"/>
        <v>347.16867469879548</v>
      </c>
      <c r="AE14" s="13">
        <f t="shared" si="5"/>
        <v>0.17000000000000012</v>
      </c>
    </row>
    <row r="15" spans="2:36" x14ac:dyDescent="0.25">
      <c r="B15" s="4"/>
      <c r="C15" s="1" t="s">
        <v>61</v>
      </c>
      <c r="D15" s="1" t="s">
        <v>60</v>
      </c>
      <c r="E15" s="3"/>
      <c r="F15" s="3"/>
      <c r="G15" s="24"/>
      <c r="H15" s="24"/>
      <c r="J15" s="1" t="s">
        <v>88</v>
      </c>
      <c r="K15" s="4"/>
      <c r="L15" s="4"/>
      <c r="M15" s="4"/>
      <c r="N15" s="4"/>
      <c r="O15" s="4"/>
      <c r="P15" s="27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IFERROR(VLOOKUP(V15,[1]Curr!$B$2:$C$13,2,FALSE),0)</f>
        <v>11.3</v>
      </c>
      <c r="X15" s="12">
        <f t="shared" si="1"/>
        <v>0</v>
      </c>
      <c r="Y15" s="26">
        <f t="shared" si="7"/>
        <v>0</v>
      </c>
      <c r="Z15" s="12">
        <f t="shared" si="2"/>
        <v>0</v>
      </c>
      <c r="AA15" s="4" t="s">
        <v>10</v>
      </c>
      <c r="AB15" s="11">
        <f>IFERROR(VLOOKUP(AA15,Curr!$B$2:$C$13,2,FALSE),0)</f>
        <v>11.3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33"/>
      <c r="Q16" s="25"/>
      <c r="R16" s="25"/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IFERROR(VLOOKUP(V16,[1]Curr!$B$2:$C$13,2,FALSE),0)</f>
        <v>11.3</v>
      </c>
      <c r="X16" s="12">
        <f t="shared" si="1"/>
        <v>0</v>
      </c>
      <c r="Y16" s="26">
        <f t="shared" si="7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11.3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69</v>
      </c>
      <c r="D17" s="1" t="s">
        <v>85</v>
      </c>
      <c r="E17" s="3"/>
      <c r="F17" s="3"/>
      <c r="G17" s="24"/>
      <c r="H17" s="24"/>
      <c r="J17" s="1" t="s">
        <v>99</v>
      </c>
      <c r="K17" s="4"/>
      <c r="L17" s="4"/>
      <c r="M17" s="4"/>
      <c r="N17" s="4"/>
      <c r="O17" s="4"/>
      <c r="P17" s="29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6"/>
        <v>0</v>
      </c>
      <c r="V17" s="25" t="s">
        <v>10</v>
      </c>
      <c r="W17" s="11">
        <f>IFERROR(VLOOKUP(V17,[1]Curr!$B$2:$C$13,2,FALSE),0)</f>
        <v>11.3</v>
      </c>
      <c r="X17" s="12">
        <f t="shared" si="1"/>
        <v>0</v>
      </c>
      <c r="Y17" s="26">
        <f t="shared" si="7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11.3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1" x14ac:dyDescent="0.25">
      <c r="B18" s="4"/>
      <c r="C18" s="1" t="s">
        <v>69</v>
      </c>
      <c r="D18" s="1" t="s">
        <v>59</v>
      </c>
      <c r="E18" s="3"/>
      <c r="F18" s="3"/>
      <c r="G18" s="24"/>
      <c r="H18" s="24"/>
      <c r="J18" s="1" t="s">
        <v>107</v>
      </c>
      <c r="K18" s="4"/>
      <c r="L18" s="4"/>
      <c r="M18" s="4"/>
      <c r="N18" s="4"/>
      <c r="O18" s="4"/>
      <c r="P18" s="27"/>
      <c r="Q18" s="25">
        <v>300</v>
      </c>
      <c r="R18" s="25">
        <v>1</v>
      </c>
      <c r="S18" s="12">
        <f t="shared" si="0"/>
        <v>300</v>
      </c>
      <c r="T18" s="5">
        <v>0</v>
      </c>
      <c r="U18" s="12">
        <f t="shared" si="6"/>
        <v>300</v>
      </c>
      <c r="V18" s="25" t="s">
        <v>10</v>
      </c>
      <c r="W18" s="11">
        <f>IFERROR(VLOOKUP(V18,[1]Curr!$B$2:$C$13,2,FALSE),0)</f>
        <v>11.3</v>
      </c>
      <c r="X18" s="12">
        <f t="shared" si="1"/>
        <v>3390</v>
      </c>
      <c r="Y18" s="26">
        <f>Q18/0.83</f>
        <v>361.44578313253015</v>
      </c>
      <c r="Z18" s="12">
        <f t="shared" si="2"/>
        <v>361.44578313253015</v>
      </c>
      <c r="AA18" s="4" t="s">
        <v>10</v>
      </c>
      <c r="AB18" s="11">
        <f>IFERROR(VLOOKUP(AA18,Curr!$B$2:$C$13,2,FALSE),0)</f>
        <v>11.3</v>
      </c>
      <c r="AC18" s="12">
        <f t="shared" si="3"/>
        <v>4084.337349397591</v>
      </c>
      <c r="AD18" s="12">
        <f t="shared" si="4"/>
        <v>694.33734939759097</v>
      </c>
      <c r="AE18" s="13">
        <f t="shared" si="5"/>
        <v>0.17000000000000012</v>
      </c>
    </row>
    <row r="19" spans="2:31" x14ac:dyDescent="0.25">
      <c r="B19" s="4"/>
      <c r="C19" s="1" t="s">
        <v>69</v>
      </c>
      <c r="D19" s="1" t="s">
        <v>60</v>
      </c>
      <c r="E19" s="3"/>
      <c r="F19" s="3"/>
      <c r="G19" s="24"/>
      <c r="H19" s="24"/>
      <c r="J19" s="1" t="s">
        <v>89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IFERROR(VLOOKUP(V19,[1]Curr!$B$2:$C$13,2,FALSE),0)</f>
        <v>11.3</v>
      </c>
      <c r="X19" s="12">
        <f t="shared" si="1"/>
        <v>0</v>
      </c>
      <c r="Y19" s="26">
        <f t="shared" si="7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11.3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IFERROR(VLOOKUP(V20,[1]Curr!$B$2:$C$13,2,FALSE),0)</f>
        <v>11.3</v>
      </c>
      <c r="X20" s="12">
        <f t="shared" si="1"/>
        <v>0</v>
      </c>
      <c r="Y20" s="26">
        <f t="shared" si="7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11.3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70</v>
      </c>
      <c r="D21" s="1" t="s">
        <v>85</v>
      </c>
      <c r="E21" s="3"/>
      <c r="F21" s="3"/>
      <c r="G21" s="24"/>
      <c r="H21" s="24"/>
      <c r="J21" s="1" t="s">
        <v>101</v>
      </c>
      <c r="K21" s="4"/>
      <c r="L21" s="4"/>
      <c r="M21" s="4"/>
      <c r="N21" s="4"/>
      <c r="O21" s="4"/>
      <c r="P21" s="33"/>
      <c r="Q21" s="25">
        <v>0</v>
      </c>
      <c r="R21" s="25">
        <v>0</v>
      </c>
      <c r="S21" s="12">
        <f t="shared" si="0"/>
        <v>0</v>
      </c>
      <c r="T21" s="5">
        <v>0</v>
      </c>
      <c r="U21" s="12">
        <f t="shared" si="6"/>
        <v>0</v>
      </c>
      <c r="V21" s="25" t="s">
        <v>10</v>
      </c>
      <c r="W21" s="11">
        <f>IFERROR(VLOOKUP(V21,[1]Curr!$B$2:$C$13,2,FALSE),0)</f>
        <v>11.3</v>
      </c>
      <c r="X21" s="12">
        <f t="shared" si="1"/>
        <v>0</v>
      </c>
      <c r="Y21" s="26">
        <f t="shared" si="7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11.3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70</v>
      </c>
      <c r="D22" s="1" t="s">
        <v>59</v>
      </c>
      <c r="E22" s="3"/>
      <c r="F22" s="3"/>
      <c r="G22" s="24"/>
      <c r="H22" s="24"/>
      <c r="J22" s="1" t="s">
        <v>108</v>
      </c>
      <c r="K22" s="4"/>
      <c r="L22" s="4"/>
      <c r="M22" s="4"/>
      <c r="N22" s="4"/>
      <c r="O22" s="4"/>
      <c r="P22" s="33"/>
      <c r="Q22" s="25">
        <v>200</v>
      </c>
      <c r="R22" s="25">
        <v>1</v>
      </c>
      <c r="S22" s="12">
        <f t="shared" si="0"/>
        <v>200</v>
      </c>
      <c r="T22" s="5">
        <v>0</v>
      </c>
      <c r="U22" s="12">
        <f t="shared" si="6"/>
        <v>200</v>
      </c>
      <c r="V22" s="25" t="s">
        <v>10</v>
      </c>
      <c r="W22" s="11">
        <f>IFERROR(VLOOKUP(V22,[1]Curr!$B$2:$C$13,2,FALSE),0)</f>
        <v>11.3</v>
      </c>
      <c r="X22" s="12">
        <f t="shared" si="1"/>
        <v>2260</v>
      </c>
      <c r="Y22" s="26">
        <f>Q22/0.8</f>
        <v>250</v>
      </c>
      <c r="Z22" s="12">
        <f t="shared" si="2"/>
        <v>250</v>
      </c>
      <c r="AA22" s="4" t="s">
        <v>10</v>
      </c>
      <c r="AB22" s="11">
        <f>IFERROR(VLOOKUP(AA22,Curr!$B$2:$C$13,2,FALSE),0)</f>
        <v>11.3</v>
      </c>
      <c r="AC22" s="12">
        <f t="shared" si="3"/>
        <v>2825</v>
      </c>
      <c r="AD22" s="12">
        <f t="shared" si="4"/>
        <v>565</v>
      </c>
      <c r="AE22" s="13">
        <f t="shared" si="5"/>
        <v>0.2</v>
      </c>
    </row>
    <row r="23" spans="2:31" x14ac:dyDescent="0.25">
      <c r="B23" s="4"/>
      <c r="C23" s="1" t="s">
        <v>70</v>
      </c>
      <c r="D23" s="1" t="s">
        <v>60</v>
      </c>
      <c r="E23" s="3"/>
      <c r="F23" s="3"/>
      <c r="G23" s="24"/>
      <c r="H23" s="24"/>
      <c r="J23" s="1" t="s">
        <v>90</v>
      </c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 t="shared" si="0"/>
        <v>0</v>
      </c>
      <c r="T23" s="5">
        <v>0</v>
      </c>
      <c r="U23" s="12">
        <f t="shared" si="6"/>
        <v>0</v>
      </c>
      <c r="V23" s="25" t="s">
        <v>10</v>
      </c>
      <c r="W23" s="11">
        <f>IFERROR(VLOOKUP(V23,[1]Curr!$B$2:$C$13,2,FALSE),0)</f>
        <v>11.3</v>
      </c>
      <c r="X23" s="12">
        <f t="shared" si="1"/>
        <v>0</v>
      </c>
      <c r="Y23" s="26">
        <f t="shared" si="7"/>
        <v>0</v>
      </c>
      <c r="Z23" s="12">
        <f t="shared" si="2"/>
        <v>0</v>
      </c>
      <c r="AA23" s="4" t="s">
        <v>10</v>
      </c>
      <c r="AB23" s="11">
        <f>IFERROR(VLOOKUP(AA23,Curr!$B$2:$C$13,2,FALSE),0)</f>
        <v>11.3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IFERROR(VLOOKUP(V24,[1]Curr!$B$2:$C$13,2,FALSE),0)</f>
        <v>11.3</v>
      </c>
      <c r="X24" s="12">
        <f t="shared" si="1"/>
        <v>0</v>
      </c>
      <c r="Y24" s="26">
        <f t="shared" si="7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11.3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71</v>
      </c>
      <c r="D25" s="1" t="s">
        <v>85</v>
      </c>
      <c r="E25" s="3"/>
      <c r="F25" s="3"/>
      <c r="G25" s="24"/>
      <c r="H25" s="24"/>
      <c r="J25" s="1" t="s">
        <v>102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0"/>
        <v>0</v>
      </c>
      <c r="T25" s="5">
        <v>0</v>
      </c>
      <c r="U25" s="12">
        <f t="shared" si="6"/>
        <v>0</v>
      </c>
      <c r="V25" s="25" t="s">
        <v>10</v>
      </c>
      <c r="W25" s="11">
        <f>IFERROR(VLOOKUP(V25,[1]Curr!$B$2:$C$13,2,FALSE),0)</f>
        <v>11.3</v>
      </c>
      <c r="X25" s="12">
        <f t="shared" si="1"/>
        <v>0</v>
      </c>
      <c r="Y25" s="26">
        <f t="shared" si="7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11.3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71</v>
      </c>
      <c r="D26" s="1" t="s">
        <v>59</v>
      </c>
      <c r="E26" s="3"/>
      <c r="F26" s="3"/>
      <c r="G26" s="24"/>
      <c r="H26" s="24"/>
      <c r="J26" s="1" t="s">
        <v>109</v>
      </c>
      <c r="K26" s="4"/>
      <c r="L26" s="4"/>
      <c r="M26" s="4"/>
      <c r="N26" s="4"/>
      <c r="O26" s="4"/>
      <c r="P26" s="33"/>
      <c r="Q26" s="25">
        <v>200</v>
      </c>
      <c r="R26" s="25">
        <v>1</v>
      </c>
      <c r="S26" s="12">
        <f t="shared" si="0"/>
        <v>200</v>
      </c>
      <c r="T26" s="5">
        <v>0</v>
      </c>
      <c r="U26" s="12">
        <f t="shared" si="6"/>
        <v>200</v>
      </c>
      <c r="V26" s="25" t="s">
        <v>10</v>
      </c>
      <c r="W26" s="11">
        <f>IFERROR(VLOOKUP(V26,[1]Curr!$B$2:$C$13,2,FALSE),0)</f>
        <v>11.3</v>
      </c>
      <c r="X26" s="12">
        <f t="shared" si="1"/>
        <v>2260</v>
      </c>
      <c r="Y26" s="26">
        <f>Q26/0.8</f>
        <v>250</v>
      </c>
      <c r="Z26" s="12">
        <f t="shared" si="2"/>
        <v>250</v>
      </c>
      <c r="AA26" s="4" t="s">
        <v>10</v>
      </c>
      <c r="AB26" s="11">
        <f>IFERROR(VLOOKUP(AA26,Curr!$B$2:$C$13,2,FALSE),0)</f>
        <v>11.3</v>
      </c>
      <c r="AC26" s="12">
        <f t="shared" si="3"/>
        <v>2825</v>
      </c>
      <c r="AD26" s="12">
        <f t="shared" si="4"/>
        <v>565</v>
      </c>
      <c r="AE26" s="13">
        <f t="shared" si="5"/>
        <v>0.2</v>
      </c>
    </row>
    <row r="27" spans="2:31" x14ac:dyDescent="0.25">
      <c r="B27" s="4"/>
      <c r="C27" s="1" t="s">
        <v>71</v>
      </c>
      <c r="D27" s="1" t="s">
        <v>60</v>
      </c>
      <c r="E27" s="3"/>
      <c r="F27" s="3"/>
      <c r="G27" s="24"/>
      <c r="H27" s="24"/>
      <c r="J27" s="1" t="s">
        <v>91</v>
      </c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IFERROR(VLOOKUP(V27,[1]Curr!$B$2:$C$13,2,FALSE),0)</f>
        <v>11.3</v>
      </c>
      <c r="X27" s="12">
        <f t="shared" si="1"/>
        <v>0</v>
      </c>
      <c r="Y27" s="26">
        <f t="shared" si="7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11.3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/>
      <c r="R28" s="25"/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IFERROR(VLOOKUP(V28,[1]Curr!$B$2:$C$13,2,FALSE),0)</f>
        <v>11.3</v>
      </c>
      <c r="X28" s="12">
        <f t="shared" si="1"/>
        <v>0</v>
      </c>
      <c r="Y28" s="26">
        <f t="shared" si="7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11.3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C29" s="1" t="s">
        <v>72</v>
      </c>
      <c r="D29" s="1" t="s">
        <v>85</v>
      </c>
      <c r="E29" s="3"/>
      <c r="F29" s="3"/>
      <c r="G29" s="24"/>
      <c r="H29" s="24"/>
      <c r="J29" s="1" t="s">
        <v>103</v>
      </c>
      <c r="K29" s="4"/>
      <c r="L29" s="4"/>
      <c r="M29" s="4"/>
      <c r="N29" s="4"/>
      <c r="O29" s="4"/>
      <c r="P29" s="29"/>
      <c r="Q29" s="25">
        <v>0</v>
      </c>
      <c r="R29" s="25">
        <v>0</v>
      </c>
      <c r="S29" s="12">
        <f t="shared" si="0"/>
        <v>0</v>
      </c>
      <c r="T29" s="5">
        <v>0</v>
      </c>
      <c r="U29" s="12">
        <f t="shared" si="6"/>
        <v>0</v>
      </c>
      <c r="V29" s="25" t="s">
        <v>10</v>
      </c>
      <c r="W29" s="11">
        <f>IFERROR(VLOOKUP(V29,[1]Curr!$B$2:$C$13,2,FALSE),0)</f>
        <v>11.3</v>
      </c>
      <c r="X29" s="12">
        <f t="shared" si="1"/>
        <v>0</v>
      </c>
      <c r="Y29" s="26">
        <f t="shared" si="7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11.3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72</v>
      </c>
      <c r="D30" s="1" t="s">
        <v>59</v>
      </c>
      <c r="E30" s="3"/>
      <c r="F30" s="3"/>
      <c r="G30" s="24"/>
      <c r="H30" s="24"/>
      <c r="J30" s="1" t="s">
        <v>110</v>
      </c>
      <c r="K30" s="4"/>
      <c r="L30" s="4"/>
      <c r="M30" s="4"/>
      <c r="N30" s="4"/>
      <c r="O30" s="4"/>
      <c r="P30" s="33"/>
      <c r="Q30" s="25">
        <v>220</v>
      </c>
      <c r="R30" s="25">
        <v>1</v>
      </c>
      <c r="S30" s="12">
        <f t="shared" si="0"/>
        <v>220</v>
      </c>
      <c r="T30" s="5">
        <v>0</v>
      </c>
      <c r="U30" s="12">
        <f t="shared" si="6"/>
        <v>220</v>
      </c>
      <c r="V30" s="25" t="s">
        <v>10</v>
      </c>
      <c r="W30" s="11">
        <f>IFERROR(VLOOKUP(V30,[1]Curr!$B$2:$C$13,2,FALSE),0)</f>
        <v>11.3</v>
      </c>
      <c r="X30" s="12">
        <f t="shared" si="1"/>
        <v>2486</v>
      </c>
      <c r="Y30" s="26">
        <f>Q30/0.8</f>
        <v>275</v>
      </c>
      <c r="Z30" s="12">
        <f t="shared" si="2"/>
        <v>275</v>
      </c>
      <c r="AA30" s="4" t="s">
        <v>10</v>
      </c>
      <c r="AB30" s="11">
        <f>IFERROR(VLOOKUP(AA30,Curr!$B$2:$C$13,2,FALSE),0)</f>
        <v>11.3</v>
      </c>
      <c r="AC30" s="12">
        <f t="shared" si="3"/>
        <v>3107.5</v>
      </c>
      <c r="AD30" s="12">
        <f t="shared" si="4"/>
        <v>621.5</v>
      </c>
      <c r="AE30" s="13">
        <f t="shared" si="5"/>
        <v>0.2</v>
      </c>
    </row>
    <row r="31" spans="2:31" x14ac:dyDescent="0.25">
      <c r="B31" s="4"/>
      <c r="C31" s="1" t="s">
        <v>72</v>
      </c>
      <c r="D31" s="1" t="s">
        <v>60</v>
      </c>
      <c r="E31" s="3"/>
      <c r="F31" s="3"/>
      <c r="G31" s="24"/>
      <c r="H31" s="24"/>
      <c r="J31" s="1" t="s">
        <v>92</v>
      </c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6"/>
        <v>0</v>
      </c>
      <c r="V31" s="25" t="s">
        <v>10</v>
      </c>
      <c r="W31" s="11">
        <f>IFERROR(VLOOKUP(V31,[1]Curr!$B$2:$C$13,2,FALSE),0)</f>
        <v>11.3</v>
      </c>
      <c r="X31" s="12">
        <f t="shared" si="1"/>
        <v>0</v>
      </c>
      <c r="Y31" s="26">
        <f t="shared" si="7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11.3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0"/>
        <v>0</v>
      </c>
      <c r="T32" s="5">
        <v>0</v>
      </c>
      <c r="U32" s="12">
        <f t="shared" si="6"/>
        <v>0</v>
      </c>
      <c r="V32" s="25" t="s">
        <v>10</v>
      </c>
      <c r="W32" s="11">
        <f>IFERROR(VLOOKUP(V32,[1]Curr!$B$2:$C$13,2,FALSE),0)</f>
        <v>11.3</v>
      </c>
      <c r="X32" s="12">
        <f t="shared" si="1"/>
        <v>0</v>
      </c>
      <c r="Y32" s="26">
        <f t="shared" si="7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11.3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C33" s="1" t="s">
        <v>93</v>
      </c>
      <c r="D33" s="1" t="s">
        <v>85</v>
      </c>
      <c r="E33" s="3"/>
      <c r="F33" s="3"/>
      <c r="G33" s="24"/>
      <c r="H33" s="24"/>
      <c r="J33" s="1" t="s">
        <v>104</v>
      </c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6"/>
        <v>0</v>
      </c>
      <c r="V33" s="25" t="s">
        <v>10</v>
      </c>
      <c r="W33" s="11">
        <f>IFERROR(VLOOKUP(V33,[1]Curr!$B$2:$C$13,2,FALSE),0)</f>
        <v>11.3</v>
      </c>
      <c r="X33" s="12">
        <f t="shared" si="1"/>
        <v>0</v>
      </c>
      <c r="Y33" s="26">
        <f t="shared" si="7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11.3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1" x14ac:dyDescent="0.25">
      <c r="B34" s="4"/>
      <c r="C34" s="1" t="s">
        <v>93</v>
      </c>
      <c r="D34" s="1" t="s">
        <v>59</v>
      </c>
      <c r="E34" s="3"/>
      <c r="F34" s="3"/>
      <c r="G34" s="24"/>
      <c r="H34" s="24"/>
      <c r="J34" s="1" t="s">
        <v>106</v>
      </c>
      <c r="K34" s="4"/>
      <c r="L34" s="4"/>
      <c r="M34" s="4"/>
      <c r="N34" s="4"/>
      <c r="O34" s="4"/>
      <c r="P34" s="33"/>
      <c r="Q34" s="25">
        <v>200</v>
      </c>
      <c r="R34" s="25">
        <v>1</v>
      </c>
      <c r="S34" s="12">
        <f t="shared" si="0"/>
        <v>200</v>
      </c>
      <c r="T34" s="5">
        <v>0</v>
      </c>
      <c r="U34" s="12">
        <f t="shared" si="6"/>
        <v>200</v>
      </c>
      <c r="V34" s="25" t="s">
        <v>10</v>
      </c>
      <c r="W34" s="11">
        <f>IFERROR(VLOOKUP(V34,[1]Curr!$B$2:$C$13,2,FALSE),0)</f>
        <v>11.3</v>
      </c>
      <c r="X34" s="12">
        <f t="shared" si="1"/>
        <v>2260</v>
      </c>
      <c r="Y34" s="26">
        <f>Q34/0.8</f>
        <v>250</v>
      </c>
      <c r="Z34" s="12">
        <f t="shared" si="2"/>
        <v>250</v>
      </c>
      <c r="AA34" s="4" t="s">
        <v>10</v>
      </c>
      <c r="AB34" s="11">
        <f>IFERROR(VLOOKUP(AA34,Curr!$B$2:$C$13,2,FALSE),0)</f>
        <v>11.3</v>
      </c>
      <c r="AC34" s="12">
        <f t="shared" si="3"/>
        <v>2825</v>
      </c>
      <c r="AD34" s="12">
        <f t="shared" si="4"/>
        <v>565</v>
      </c>
      <c r="AE34" s="13">
        <f t="shared" si="5"/>
        <v>0.2</v>
      </c>
    </row>
    <row r="35" spans="2:31" x14ac:dyDescent="0.25">
      <c r="B35" s="4"/>
      <c r="C35" s="1" t="s">
        <v>93</v>
      </c>
      <c r="D35" s="1" t="s">
        <v>60</v>
      </c>
      <c r="E35" s="3"/>
      <c r="F35" s="3"/>
      <c r="G35" s="24"/>
      <c r="H35" s="24"/>
      <c r="J35" s="1" t="s">
        <v>65</v>
      </c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0"/>
        <v>0</v>
      </c>
      <c r="T35" s="5">
        <v>0</v>
      </c>
      <c r="U35" s="12">
        <f t="shared" si="6"/>
        <v>0</v>
      </c>
      <c r="V35" s="25" t="s">
        <v>10</v>
      </c>
      <c r="W35" s="11">
        <f>IFERROR(VLOOKUP(V35,[1]Curr!$B$2:$C$13,2,FALSE),0)</f>
        <v>11.3</v>
      </c>
      <c r="X35" s="12">
        <f t="shared" si="1"/>
        <v>0</v>
      </c>
      <c r="Y35" s="26">
        <f t="shared" si="7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11.3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0"/>
        <v>0</v>
      </c>
      <c r="T36" s="5">
        <v>0</v>
      </c>
      <c r="U36" s="12">
        <f t="shared" si="6"/>
        <v>0</v>
      </c>
      <c r="V36" s="25" t="s">
        <v>10</v>
      </c>
      <c r="W36" s="11">
        <f>IFERROR(VLOOKUP(V36,[1]Curr!$B$2:$C$13,2,FALSE),0)</f>
        <v>11.3</v>
      </c>
      <c r="X36" s="12">
        <f t="shared" si="1"/>
        <v>0</v>
      </c>
      <c r="Y36" s="26">
        <f t="shared" si="7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11.3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C37" s="1" t="s">
        <v>94</v>
      </c>
      <c r="D37" s="1" t="s">
        <v>85</v>
      </c>
      <c r="E37" s="3"/>
      <c r="F37" s="3"/>
      <c r="G37" s="24"/>
      <c r="H37" s="24"/>
      <c r="J37" s="1" t="s">
        <v>95</v>
      </c>
      <c r="K37" s="4"/>
      <c r="L37" s="4"/>
      <c r="M37" s="4"/>
      <c r="N37" s="4"/>
      <c r="O37" s="4"/>
      <c r="P37" s="33"/>
      <c r="Q37" s="25">
        <v>0</v>
      </c>
      <c r="R37" s="25">
        <v>0</v>
      </c>
      <c r="S37" s="12">
        <f t="shared" si="0"/>
        <v>0</v>
      </c>
      <c r="T37" s="5">
        <v>0</v>
      </c>
      <c r="U37" s="12">
        <f t="shared" si="6"/>
        <v>0</v>
      </c>
      <c r="V37" s="25" t="s">
        <v>10</v>
      </c>
      <c r="W37" s="11">
        <f>IFERROR(VLOOKUP(V37,[1]Curr!$B$2:$C$13,2,FALSE),0)</f>
        <v>11.3</v>
      </c>
      <c r="X37" s="12">
        <f t="shared" si="1"/>
        <v>0</v>
      </c>
      <c r="Y37" s="26">
        <f t="shared" si="7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11.3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C38" s="1" t="s">
        <v>94</v>
      </c>
      <c r="D38" s="1" t="s">
        <v>84</v>
      </c>
      <c r="E38" s="3"/>
      <c r="F38" s="3"/>
      <c r="G38" s="24"/>
      <c r="H38" s="24"/>
      <c r="J38" s="1" t="s">
        <v>96</v>
      </c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0"/>
        <v>0</v>
      </c>
      <c r="T38" s="5">
        <v>0</v>
      </c>
      <c r="U38" s="12">
        <f t="shared" si="6"/>
        <v>0</v>
      </c>
      <c r="V38" s="25" t="s">
        <v>10</v>
      </c>
      <c r="W38" s="11">
        <f>IFERROR(VLOOKUP(V38,[1]Curr!$B$2:$C$13,2,FALSE),0)</f>
        <v>11.3</v>
      </c>
      <c r="X38" s="12">
        <f t="shared" si="1"/>
        <v>0</v>
      </c>
      <c r="Y38" s="26">
        <f t="shared" si="7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11.3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C39" s="1" t="s">
        <v>94</v>
      </c>
      <c r="D39" s="1" t="s">
        <v>74</v>
      </c>
      <c r="E39" s="3"/>
      <c r="F39" s="3"/>
      <c r="G39" s="24"/>
      <c r="H39" s="24"/>
      <c r="J39" s="1" t="s">
        <v>97</v>
      </c>
      <c r="K39" s="4"/>
      <c r="L39" s="4"/>
      <c r="M39" s="4"/>
      <c r="N39" s="4"/>
      <c r="O39" s="4"/>
      <c r="P39" s="33"/>
      <c r="Q39" s="25">
        <v>0</v>
      </c>
      <c r="R39" s="25">
        <v>0</v>
      </c>
      <c r="S39" s="12">
        <f t="shared" si="0"/>
        <v>0</v>
      </c>
      <c r="T39" s="5">
        <v>0</v>
      </c>
      <c r="U39" s="12">
        <f t="shared" si="6"/>
        <v>0</v>
      </c>
      <c r="V39" s="25" t="s">
        <v>10</v>
      </c>
      <c r="W39" s="11">
        <f>IFERROR(VLOOKUP(V39,[1]Curr!$B$2:$C$13,2,FALSE),0)</f>
        <v>11.3</v>
      </c>
      <c r="X39" s="12">
        <f t="shared" si="1"/>
        <v>0</v>
      </c>
      <c r="Y39" s="26">
        <f t="shared" si="7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11.3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0"/>
        <v>0</v>
      </c>
      <c r="T40" s="5">
        <v>0</v>
      </c>
      <c r="U40" s="12">
        <f t="shared" si="6"/>
        <v>0</v>
      </c>
      <c r="V40" s="25" t="s">
        <v>10</v>
      </c>
      <c r="W40" s="11">
        <f>IFERROR(VLOOKUP(V40,[1]Curr!$B$2:$C$13,2,FALSE),0)</f>
        <v>11.3</v>
      </c>
      <c r="X40" s="12">
        <f t="shared" si="1"/>
        <v>0</v>
      </c>
      <c r="Y40" s="26">
        <f t="shared" si="7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11.3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33"/>
      <c r="Q41" s="25"/>
      <c r="R41" s="25"/>
      <c r="S41" s="12">
        <f t="shared" si="0"/>
        <v>0</v>
      </c>
      <c r="T41" s="5">
        <v>0</v>
      </c>
      <c r="U41" s="12">
        <f t="shared" si="6"/>
        <v>0</v>
      </c>
      <c r="V41" s="25" t="s">
        <v>10</v>
      </c>
      <c r="W41" s="11">
        <f>IFERROR(VLOOKUP(V41,[1]Curr!$B$2:$C$13,2,FALSE),0)</f>
        <v>11.3</v>
      </c>
      <c r="X41" s="12">
        <f t="shared" si="1"/>
        <v>0</v>
      </c>
      <c r="Y41" s="26">
        <f t="shared" si="7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11.3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/>
      <c r="R42" s="25"/>
      <c r="S42" s="12">
        <f t="shared" si="0"/>
        <v>0</v>
      </c>
      <c r="T42" s="5">
        <v>0</v>
      </c>
      <c r="U42" s="12">
        <f t="shared" si="6"/>
        <v>0</v>
      </c>
      <c r="V42" s="25" t="s">
        <v>10</v>
      </c>
      <c r="W42" s="11">
        <f>IFERROR(VLOOKUP(V42,[1]Curr!$B$2:$C$13,2,FALSE),0)</f>
        <v>11.3</v>
      </c>
      <c r="X42" s="12">
        <f t="shared" si="1"/>
        <v>0</v>
      </c>
      <c r="Y42" s="26">
        <f t="shared" si="7"/>
        <v>0</v>
      </c>
      <c r="Z42" s="12">
        <f t="shared" si="2"/>
        <v>0</v>
      </c>
      <c r="AA42" s="4" t="s">
        <v>10</v>
      </c>
      <c r="AB42" s="11">
        <f>IFERROR(VLOOKUP(AA42,Curr!$B$2:$C$13,2,FALSE),0)</f>
        <v>11.3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/>
      <c r="R43" s="25"/>
      <c r="S43" s="12">
        <f t="shared" si="0"/>
        <v>0</v>
      </c>
      <c r="T43" s="5">
        <v>0</v>
      </c>
      <c r="U43" s="12">
        <f t="shared" si="6"/>
        <v>0</v>
      </c>
      <c r="V43" s="25" t="s">
        <v>10</v>
      </c>
      <c r="W43" s="11">
        <f>IFERROR(VLOOKUP(V43,[1]Curr!$B$2:$C$13,2,FALSE),0)</f>
        <v>11.3</v>
      </c>
      <c r="X43" s="12">
        <f t="shared" si="1"/>
        <v>0</v>
      </c>
      <c r="Y43" s="26">
        <f t="shared" si="7"/>
        <v>0</v>
      </c>
      <c r="Z43" s="12">
        <f t="shared" si="2"/>
        <v>0</v>
      </c>
      <c r="AA43" s="4" t="s">
        <v>10</v>
      </c>
      <c r="AB43" s="11">
        <f>IFERROR(VLOOKUP(AA43,Curr!$B$2:$C$13,2,FALSE),0)</f>
        <v>11.3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/>
      <c r="R44" s="25"/>
      <c r="S44" s="12">
        <f t="shared" si="0"/>
        <v>0</v>
      </c>
      <c r="T44" s="5">
        <v>0</v>
      </c>
      <c r="U44" s="12">
        <f t="shared" si="6"/>
        <v>0</v>
      </c>
      <c r="V44" s="25" t="s">
        <v>10</v>
      </c>
      <c r="W44" s="11">
        <f>IFERROR(VLOOKUP(V44,[1]Curr!$B$2:$C$13,2,FALSE),0)</f>
        <v>11.3</v>
      </c>
      <c r="X44" s="12">
        <f t="shared" si="1"/>
        <v>0</v>
      </c>
      <c r="Y44" s="26">
        <f t="shared" si="7"/>
        <v>0</v>
      </c>
      <c r="Z44" s="12">
        <f t="shared" si="2"/>
        <v>0</v>
      </c>
      <c r="AA44" s="4" t="s">
        <v>10</v>
      </c>
      <c r="AB44" s="11">
        <f>IFERROR(VLOOKUP(AA44,Curr!$B$2:$C$13,2,FALSE),0)</f>
        <v>11.3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33"/>
      <c r="Q45" s="25"/>
      <c r="R45" s="25"/>
      <c r="S45" s="12">
        <f t="shared" si="0"/>
        <v>0</v>
      </c>
      <c r="T45" s="5">
        <v>0</v>
      </c>
      <c r="U45" s="12">
        <f t="shared" si="6"/>
        <v>0</v>
      </c>
      <c r="V45" s="25" t="s">
        <v>10</v>
      </c>
      <c r="W45" s="11">
        <f>IFERROR(VLOOKUP(V45,[1]Curr!$B$2:$C$13,2,FALSE),0)</f>
        <v>11.3</v>
      </c>
      <c r="X45" s="12">
        <f t="shared" si="1"/>
        <v>0</v>
      </c>
      <c r="Y45" s="26">
        <f t="shared" si="7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11.3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/>
      <c r="R46" s="25"/>
      <c r="S46" s="12">
        <f t="shared" si="0"/>
        <v>0</v>
      </c>
      <c r="T46" s="5">
        <v>0</v>
      </c>
      <c r="U46" s="12">
        <f t="shared" si="6"/>
        <v>0</v>
      </c>
      <c r="V46" s="25" t="s">
        <v>10</v>
      </c>
      <c r="W46" s="11">
        <f>IFERROR(VLOOKUP(V46,[1]Curr!$B$2:$C$13,2,FALSE),0)</f>
        <v>11.3</v>
      </c>
      <c r="X46" s="12">
        <f t="shared" si="1"/>
        <v>0</v>
      </c>
      <c r="Y46" s="26">
        <f t="shared" si="7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11.3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/>
      <c r="R47" s="25"/>
      <c r="S47" s="12">
        <f t="shared" si="0"/>
        <v>0</v>
      </c>
      <c r="T47" s="5">
        <v>0</v>
      </c>
      <c r="U47" s="12">
        <f t="shared" si="6"/>
        <v>0</v>
      </c>
      <c r="V47" s="25" t="s">
        <v>10</v>
      </c>
      <c r="W47" s="11">
        <f>IFERROR(VLOOKUP(V47,[1]Curr!$B$2:$C$13,2,FALSE),0)</f>
        <v>11.3</v>
      </c>
      <c r="X47" s="12">
        <f t="shared" si="1"/>
        <v>0</v>
      </c>
      <c r="Y47" s="26">
        <f t="shared" si="7"/>
        <v>0</v>
      </c>
      <c r="Z47" s="12">
        <f t="shared" si="2"/>
        <v>0</v>
      </c>
      <c r="AA47" s="4" t="s">
        <v>10</v>
      </c>
      <c r="AB47" s="11">
        <f>IFERROR(VLOOKUP(AA47,Curr!$B$2:$C$13,2,FALSE),0)</f>
        <v>11.3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/>
      <c r="R48" s="25"/>
      <c r="S48" s="12">
        <f t="shared" si="0"/>
        <v>0</v>
      </c>
      <c r="T48" s="5">
        <v>0</v>
      </c>
      <c r="U48" s="12">
        <f t="shared" si="6"/>
        <v>0</v>
      </c>
      <c r="V48" s="25" t="s">
        <v>10</v>
      </c>
      <c r="W48" s="11">
        <f>IFERROR(VLOOKUP(V48,[1]Curr!$B$2:$C$13,2,FALSE),0)</f>
        <v>11.3</v>
      </c>
      <c r="X48" s="12">
        <f t="shared" si="1"/>
        <v>0</v>
      </c>
      <c r="Y48" s="26">
        <f t="shared" si="7"/>
        <v>0</v>
      </c>
      <c r="Z48" s="12">
        <f t="shared" si="2"/>
        <v>0</v>
      </c>
      <c r="AA48" s="4" t="s">
        <v>10</v>
      </c>
      <c r="AB48" s="11">
        <f>IFERROR(VLOOKUP(AA48,Curr!$B$2:$C$13,2,FALSE),0)</f>
        <v>11.3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33"/>
      <c r="Q49" s="25"/>
      <c r="R49" s="25"/>
      <c r="S49" s="12">
        <f t="shared" si="0"/>
        <v>0</v>
      </c>
      <c r="T49" s="5">
        <v>0</v>
      </c>
      <c r="U49" s="12">
        <f t="shared" si="6"/>
        <v>0</v>
      </c>
      <c r="V49" s="25" t="s">
        <v>10</v>
      </c>
      <c r="W49" s="11">
        <f>IFERROR(VLOOKUP(V49,[1]Curr!$B$2:$C$13,2,FALSE),0)</f>
        <v>11.3</v>
      </c>
      <c r="X49" s="12">
        <f t="shared" si="1"/>
        <v>0</v>
      </c>
      <c r="Y49" s="26">
        <f t="shared" si="7"/>
        <v>0</v>
      </c>
      <c r="Z49" s="12">
        <f t="shared" si="2"/>
        <v>0</v>
      </c>
      <c r="AA49" s="4" t="s">
        <v>10</v>
      </c>
      <c r="AB49" s="11">
        <f>IFERROR(VLOOKUP(AA49,Curr!$B$2:$C$13,2,FALSE),0)</f>
        <v>11.3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0"/>
        <v>0</v>
      </c>
      <c r="T50" s="5">
        <v>0</v>
      </c>
      <c r="U50" s="12">
        <f t="shared" si="6"/>
        <v>0</v>
      </c>
      <c r="V50" s="25" t="s">
        <v>10</v>
      </c>
      <c r="W50" s="11">
        <f>IFERROR(VLOOKUP(V50,[1]Curr!$B$2:$C$13,2,FALSE),0)</f>
        <v>11.3</v>
      </c>
      <c r="X50" s="12">
        <f t="shared" si="1"/>
        <v>0</v>
      </c>
      <c r="Y50" s="26">
        <f t="shared" si="7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11.3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0"/>
        <v>0</v>
      </c>
      <c r="T51" s="5">
        <v>0</v>
      </c>
      <c r="U51" s="12">
        <f t="shared" si="6"/>
        <v>0</v>
      </c>
      <c r="V51" s="25" t="s">
        <v>10</v>
      </c>
      <c r="W51" s="11">
        <f>IFERROR(VLOOKUP(V51,[1]Curr!$B$2:$C$13,2,FALSE),0)</f>
        <v>11.3</v>
      </c>
      <c r="X51" s="12">
        <f t="shared" si="1"/>
        <v>0</v>
      </c>
      <c r="Y51" s="26">
        <f t="shared" si="7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11.3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3"/>
      <c r="H52" s="3"/>
      <c r="L52" s="4"/>
      <c r="M52" s="4"/>
      <c r="N52" s="4"/>
      <c r="O52" s="4"/>
      <c r="P52" s="22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6" x14ac:dyDescent="0.25">
      <c r="B53" s="14" t="s">
        <v>18</v>
      </c>
      <c r="C53" s="14"/>
      <c r="D53" s="28" t="s">
        <v>42</v>
      </c>
      <c r="E53" s="30" t="s">
        <v>42</v>
      </c>
      <c r="F53" s="30" t="s">
        <v>42</v>
      </c>
      <c r="G53" s="30" t="s">
        <v>42</v>
      </c>
      <c r="H53" s="30" t="s">
        <v>42</v>
      </c>
      <c r="I53" s="28" t="s">
        <v>42</v>
      </c>
      <c r="J53" s="28" t="s">
        <v>42</v>
      </c>
      <c r="K53" s="28" t="s">
        <v>42</v>
      </c>
      <c r="L53" s="28" t="s">
        <v>42</v>
      </c>
      <c r="M53" s="28" t="s">
        <v>42</v>
      </c>
      <c r="N53" s="28" t="s">
        <v>42</v>
      </c>
      <c r="O53" s="28" t="s">
        <v>42</v>
      </c>
      <c r="P53" s="28" t="s">
        <v>42</v>
      </c>
      <c r="Q53" s="31" t="s">
        <v>42</v>
      </c>
      <c r="R53" s="28" t="s">
        <v>42</v>
      </c>
      <c r="S53" s="32" t="s">
        <v>42</v>
      </c>
      <c r="T53" s="28" t="s">
        <v>42</v>
      </c>
      <c r="U53" s="32" t="s">
        <v>42</v>
      </c>
      <c r="V53" s="28" t="s">
        <v>42</v>
      </c>
      <c r="W53" s="28" t="s">
        <v>42</v>
      </c>
      <c r="X53" s="32" t="s">
        <v>42</v>
      </c>
      <c r="Y53" s="32" t="s">
        <v>42</v>
      </c>
      <c r="Z53" s="15">
        <f>SUM(Z7:Z51)</f>
        <v>2317.1686746987953</v>
      </c>
      <c r="AA53" s="14"/>
      <c r="AB53" s="14"/>
      <c r="AC53" s="15">
        <f>SUM(AC7:AC51)</f>
        <v>26184.006024096387</v>
      </c>
      <c r="AD53" s="15">
        <f>SUM(AD7:AD51)</f>
        <v>5053.0060240963867</v>
      </c>
      <c r="AE53" s="21">
        <f t="shared" ref="AE53" si="8">IFERROR(AD53/AC53,0)</f>
        <v>0.19298063174314314</v>
      </c>
      <c r="AF53" s="15">
        <f>SUM(AF8:AF52)</f>
        <v>0</v>
      </c>
      <c r="AG53" s="15">
        <f>SUM(AG8:AG52)</f>
        <v>0</v>
      </c>
      <c r="AH53" s="15">
        <f>SUM(AH8:AH52)</f>
        <v>0</v>
      </c>
      <c r="AI53" s="15">
        <f>SUM(AI8:AI52)</f>
        <v>0</v>
      </c>
      <c r="AJ53" s="15">
        <f>SUM(AJ8:AJ52)</f>
        <v>0</v>
      </c>
    </row>
    <row r="54" spans="2:36" x14ac:dyDescent="0.25">
      <c r="B54" s="4"/>
      <c r="E54" s="3" t="s">
        <v>86</v>
      </c>
      <c r="F54" s="3"/>
      <c r="G54" s="3"/>
      <c r="H54" s="3"/>
      <c r="L54" s="4"/>
      <c r="M54" s="4"/>
      <c r="N54" s="4"/>
      <c r="O54" s="4"/>
      <c r="Q54" s="4"/>
      <c r="R54" s="4"/>
      <c r="S54" s="4"/>
      <c r="T54" s="4"/>
      <c r="U54" s="4"/>
      <c r="V54" s="4"/>
      <c r="W54" s="4"/>
      <c r="X54" s="4"/>
      <c r="Y54" s="9"/>
      <c r="Z54" s="9"/>
      <c r="AA54" s="9"/>
      <c r="AB54" s="9"/>
      <c r="AC54" s="9"/>
      <c r="AD54" s="9"/>
      <c r="AE54" s="9"/>
    </row>
    <row r="55" spans="2:36" x14ac:dyDescent="0.25">
      <c r="B55" s="4"/>
      <c r="E55" s="3"/>
      <c r="F55" s="3"/>
      <c r="G55" s="3"/>
      <c r="H55" s="3"/>
      <c r="L55" s="4"/>
      <c r="M55" s="4"/>
      <c r="N55" s="4"/>
      <c r="O55" s="4"/>
      <c r="Q55" s="9"/>
      <c r="R55" s="9"/>
      <c r="S55" s="9"/>
      <c r="T55" s="9"/>
      <c r="U55" s="9"/>
      <c r="V55" s="9"/>
      <c r="W55" s="9"/>
      <c r="X55" s="23"/>
      <c r="Y55" s="34" t="s">
        <v>45</v>
      </c>
      <c r="Z55" s="34">
        <v>2320</v>
      </c>
      <c r="AA55" s="9"/>
      <c r="AB55" s="9"/>
      <c r="AC55" s="9"/>
      <c r="AD55" s="9"/>
      <c r="AE55" s="9"/>
    </row>
    <row r="56" spans="2:36" x14ac:dyDescent="0.25">
      <c r="B56" s="4"/>
      <c r="E56" s="3"/>
      <c r="F56" s="3"/>
      <c r="G56" s="3"/>
      <c r="H56" s="3"/>
      <c r="L56" s="4"/>
      <c r="M56" s="4"/>
      <c r="N56" s="4"/>
      <c r="O56" s="4"/>
      <c r="Q56" s="9"/>
      <c r="R56" s="9"/>
      <c r="S56" s="9"/>
      <c r="T56" s="9"/>
      <c r="U56" s="9"/>
      <c r="V56" s="9"/>
      <c r="W56" s="9"/>
      <c r="X56" s="9"/>
      <c r="Y56" s="34" t="s">
        <v>46</v>
      </c>
      <c r="Z56" s="34">
        <f>Z55/2</f>
        <v>1160</v>
      </c>
      <c r="AA56" s="9"/>
      <c r="AB56" s="9"/>
      <c r="AC56" s="9"/>
      <c r="AD56" s="9"/>
      <c r="AE56" s="9"/>
      <c r="AF56" s="18"/>
    </row>
    <row r="57" spans="2:36" x14ac:dyDescent="0.25">
      <c r="B57" s="4"/>
      <c r="E57" s="3"/>
      <c r="F57" s="3"/>
      <c r="G57" s="3"/>
      <c r="H57" s="3"/>
      <c r="I57" s="19"/>
      <c r="L57" s="4"/>
      <c r="M57" s="4"/>
      <c r="N57" s="4"/>
      <c r="O57" s="20"/>
      <c r="Q57" s="20"/>
      <c r="R57" s="20"/>
      <c r="S57" s="20"/>
      <c r="T57" s="20"/>
      <c r="U57" s="20"/>
      <c r="V57" s="20"/>
      <c r="W57" s="20"/>
      <c r="X57" s="20"/>
      <c r="Y57" s="9"/>
      <c r="Z57" s="9"/>
      <c r="AA57" s="9"/>
      <c r="AB57" s="9"/>
      <c r="AC57" s="9"/>
      <c r="AD57" s="9"/>
      <c r="AE57" s="9"/>
      <c r="AF57" s="18"/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20"/>
      <c r="Q58" s="20"/>
      <c r="R58" s="20"/>
      <c r="S58" s="20"/>
      <c r="T58" s="20"/>
      <c r="U58" s="20"/>
      <c r="V58" s="20"/>
      <c r="W58" s="20"/>
      <c r="X58" s="20"/>
      <c r="Y58" s="9"/>
      <c r="Z58" s="9"/>
      <c r="AA58" s="9"/>
      <c r="AB58" s="9"/>
      <c r="AC58" s="9"/>
      <c r="AD58" s="9"/>
      <c r="AE58" s="9"/>
      <c r="AF58" s="18"/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9"/>
      <c r="R59" s="9"/>
      <c r="S59" s="9"/>
      <c r="T59" s="9"/>
      <c r="U59" s="9"/>
      <c r="V59" s="9"/>
      <c r="W59" s="9"/>
      <c r="X59" s="9"/>
      <c r="Y59" s="35" t="s">
        <v>144</v>
      </c>
      <c r="Z59" s="9">
        <f>Z55</f>
        <v>2320</v>
      </c>
      <c r="AA59" s="9"/>
      <c r="AB59" s="9"/>
      <c r="AC59" s="9"/>
      <c r="AD59" s="9"/>
      <c r="AE59" s="9"/>
      <c r="AF59" s="18"/>
    </row>
    <row r="60" spans="2:36" x14ac:dyDescent="0.25">
      <c r="F60" s="1"/>
      <c r="G60" s="1"/>
      <c r="H60" s="1"/>
      <c r="J60" s="1" t="s">
        <v>32</v>
      </c>
      <c r="Q60" s="9"/>
      <c r="R60" s="4"/>
      <c r="S60" s="9"/>
      <c r="T60" s="5"/>
      <c r="U60" s="9"/>
      <c r="V60" s="4"/>
      <c r="W60" s="4"/>
      <c r="X60" s="9"/>
      <c r="Y60" s="35" t="s">
        <v>145</v>
      </c>
      <c r="Z60" s="9">
        <f>Z59*1.17</f>
        <v>2714.3999999999996</v>
      </c>
      <c r="AA60" s="9"/>
      <c r="AB60" s="9"/>
      <c r="AC60" s="9"/>
      <c r="AD60" s="9"/>
      <c r="AE60" s="9"/>
    </row>
    <row r="61" spans="2:36" x14ac:dyDescent="0.25">
      <c r="R61" s="4"/>
      <c r="S61" s="17"/>
      <c r="T61" s="17"/>
      <c r="U61" s="9"/>
      <c r="V61" s="4"/>
      <c r="W61" s="4"/>
      <c r="X61" s="9"/>
      <c r="Y61" s="35" t="s">
        <v>146</v>
      </c>
      <c r="Z61" s="9">
        <f>Z59*1.3</f>
        <v>3016</v>
      </c>
      <c r="AA61" s="9"/>
      <c r="AB61" s="9"/>
      <c r="AC61" s="9"/>
      <c r="AD61" s="9"/>
      <c r="AE61" s="9"/>
    </row>
    <row r="62" spans="2:36" x14ac:dyDescent="0.25">
      <c r="Q62" s="9"/>
      <c r="R62" s="4"/>
      <c r="S62" s="16"/>
      <c r="T62" s="16"/>
      <c r="U62" s="9"/>
      <c r="V62" s="4"/>
      <c r="W62" s="4"/>
      <c r="X62" s="9"/>
      <c r="Y62" s="35" t="s">
        <v>147</v>
      </c>
      <c r="Z62" s="9">
        <f>Z59*0.85</f>
        <v>1972</v>
      </c>
      <c r="AA62" s="9"/>
      <c r="AB62" s="9"/>
      <c r="AC62" s="9"/>
      <c r="AD62" s="9"/>
      <c r="AE62" s="9"/>
    </row>
    <row r="63" spans="2:36" x14ac:dyDescent="0.25">
      <c r="R63" s="4"/>
      <c r="S63" s="16"/>
      <c r="T63" s="16"/>
      <c r="Y63" s="9"/>
      <c r="Z63" s="9"/>
      <c r="AA63" s="9"/>
      <c r="AB63" s="9"/>
      <c r="AC63" s="9"/>
      <c r="AD63" s="9"/>
      <c r="AE63" s="9"/>
    </row>
    <row r="64" spans="2:36" x14ac:dyDescent="0.25">
      <c r="T64" s="5"/>
      <c r="Y64" s="9"/>
      <c r="Z64" s="9"/>
      <c r="AA64" s="9"/>
      <c r="AB64" s="9"/>
      <c r="AC64" s="9"/>
      <c r="AD64" s="9"/>
      <c r="AE64" s="9"/>
    </row>
    <row r="65" spans="20:31" x14ac:dyDescent="0.25">
      <c r="T65" s="5"/>
      <c r="Y65" s="9"/>
      <c r="Z65" s="9"/>
      <c r="AA65" s="9"/>
      <c r="AB65" s="9"/>
      <c r="AC65" s="9"/>
      <c r="AD65" s="9"/>
      <c r="AE65" s="9"/>
    </row>
    <row r="66" spans="20:31" x14ac:dyDescent="0.25">
      <c r="T66" s="5"/>
      <c r="Y66" s="9"/>
      <c r="Z66" s="9"/>
      <c r="AA66" s="9"/>
      <c r="AB66" s="9"/>
      <c r="AC66" s="9"/>
      <c r="AD66" s="9"/>
      <c r="AE66" s="9"/>
    </row>
    <row r="67" spans="20:31" x14ac:dyDescent="0.25">
      <c r="T67" s="5"/>
      <c r="Y67" s="9"/>
      <c r="Z67" s="9"/>
      <c r="AA67" s="9"/>
      <c r="AB67" s="9"/>
      <c r="AC67" s="9"/>
      <c r="AD67" s="9"/>
      <c r="AE67" s="9"/>
    </row>
    <row r="68" spans="20:31" x14ac:dyDescent="0.25">
      <c r="T68" s="5"/>
      <c r="Y68" s="9"/>
      <c r="Z68" s="9"/>
      <c r="AA68" s="9"/>
      <c r="AB68" s="9"/>
      <c r="AC68" s="9"/>
      <c r="AD68" s="9"/>
      <c r="AE68" s="9"/>
    </row>
    <row r="69" spans="20:31" x14ac:dyDescent="0.25">
      <c r="T69" s="5"/>
      <c r="Y69" s="9"/>
      <c r="Z69" s="9"/>
      <c r="AA69" s="9"/>
      <c r="AB69" s="9"/>
      <c r="AC69" s="9"/>
      <c r="AD69" s="9"/>
      <c r="AE69" s="9"/>
    </row>
    <row r="70" spans="20:31" x14ac:dyDescent="0.25">
      <c r="T70" s="5"/>
      <c r="Y70" s="9"/>
      <c r="Z70" s="9"/>
      <c r="AA70" s="9"/>
      <c r="AB70" s="9"/>
      <c r="AC70" s="9"/>
      <c r="AD70" s="9"/>
      <c r="AE70" s="9"/>
    </row>
    <row r="71" spans="20:31" x14ac:dyDescent="0.25">
      <c r="T71" s="5"/>
      <c r="Y71" s="9"/>
      <c r="Z71" s="9"/>
      <c r="AA71" s="9"/>
      <c r="AB71" s="9"/>
      <c r="AC71" s="9"/>
      <c r="AD71" s="9"/>
      <c r="AE71" s="9"/>
    </row>
    <row r="72" spans="20:31" x14ac:dyDescent="0.25">
      <c r="T72" s="5"/>
    </row>
    <row r="73" spans="20:31" x14ac:dyDescent="0.25">
      <c r="T73" s="5"/>
    </row>
    <row r="74" spans="20:31" x14ac:dyDescent="0.25">
      <c r="T74" s="5"/>
    </row>
    <row r="75" spans="20:31" x14ac:dyDescent="0.25">
      <c r="T75" s="5"/>
    </row>
    <row r="76" spans="20:31" x14ac:dyDescent="0.25">
      <c r="T76" s="5"/>
    </row>
  </sheetData>
  <autoFilter ref="B6:AE53" xr:uid="{65FA6D9B-E0AF-46CD-BA0D-86BB75FE6AB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13E7-F466-4DB2-B040-4832BF3AFF6C}">
  <sheetPr>
    <tabColor rgb="FFFFFF00"/>
  </sheetPr>
  <dimension ref="B1:AK84"/>
  <sheetViews>
    <sheetView topLeftCell="A6" zoomScale="80" zoomScaleNormal="80" workbookViewId="0">
      <selection activeCell="J38" sqref="J38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1" spans="2:36" x14ac:dyDescent="0.25">
      <c r="B1" s="2" t="s">
        <v>66</v>
      </c>
    </row>
    <row r="2" spans="2:36" x14ac:dyDescent="0.25">
      <c r="B2" s="2" t="s">
        <v>55</v>
      </c>
    </row>
    <row r="3" spans="2:36" x14ac:dyDescent="0.25">
      <c r="B3" s="2" t="s">
        <v>56</v>
      </c>
    </row>
    <row r="4" spans="2:36" x14ac:dyDescent="0.25">
      <c r="B4" s="2" t="s">
        <v>57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53</v>
      </c>
      <c r="D7" s="1" t="s">
        <v>54</v>
      </c>
      <c r="E7" s="3"/>
      <c r="F7" s="3"/>
      <c r="G7" s="3"/>
      <c r="H7" s="3"/>
      <c r="J7" s="1" t="s">
        <v>62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0" si="0">+Q7*R7</f>
        <v>0</v>
      </c>
      <c r="T7" s="5">
        <v>0</v>
      </c>
      <c r="U7" s="12">
        <f t="shared" ref="U7:U10" si="1">S7*(1-T7)</f>
        <v>0</v>
      </c>
      <c r="V7" s="25" t="s">
        <v>10</v>
      </c>
      <c r="W7" s="11">
        <f>IFERROR(VLOOKUP(V7,[1]Curr!$B$2:$C$13,2,FALSE),0)</f>
        <v>11.3</v>
      </c>
      <c r="X7" s="12">
        <f t="shared" ref="X7:X10" si="2">U7*W7</f>
        <v>0</v>
      </c>
      <c r="Y7" s="26">
        <f t="shared" ref="Y7:Y10" si="3">Q7</f>
        <v>0</v>
      </c>
      <c r="Z7" s="12">
        <f t="shared" ref="Z7:Z59" si="4">+Y7*R7</f>
        <v>0</v>
      </c>
      <c r="AA7" s="4" t="s">
        <v>10</v>
      </c>
      <c r="AB7" s="11">
        <f>IFERROR(VLOOKUP(AA7,Curr!$B$2:$C$13,2,FALSE),0)</f>
        <v>11.3</v>
      </c>
      <c r="AC7" s="12">
        <f t="shared" ref="AC7:AC59" si="5">+Y7*AB7*R7</f>
        <v>0</v>
      </c>
      <c r="AD7" s="12">
        <f t="shared" ref="AD7:AD59" si="6">+AC7-X7</f>
        <v>0</v>
      </c>
      <c r="AE7" s="13">
        <f t="shared" ref="AE7:AE59" si="7">IFERROR(AD7/AC7,0)</f>
        <v>0</v>
      </c>
    </row>
    <row r="8" spans="2:36" x14ac:dyDescent="0.25">
      <c r="B8" s="4"/>
      <c r="C8" s="1" t="s">
        <v>53</v>
      </c>
      <c r="D8" s="1" t="s">
        <v>58</v>
      </c>
      <c r="E8" s="3"/>
      <c r="F8" s="3"/>
      <c r="G8" s="24"/>
      <c r="H8" s="24"/>
      <c r="J8" s="1" t="s">
        <v>63</v>
      </c>
      <c r="K8" s="4"/>
      <c r="L8" s="4"/>
      <c r="M8" s="4"/>
      <c r="N8" s="4"/>
      <c r="O8" s="4"/>
      <c r="P8" s="33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si="1"/>
        <v>0</v>
      </c>
      <c r="V8" s="25" t="s">
        <v>10</v>
      </c>
      <c r="W8" s="11">
        <f>IFERROR(VLOOKUP(V8,[1]Curr!$B$2:$C$13,2,FALSE),0)</f>
        <v>11.3</v>
      </c>
      <c r="X8" s="12">
        <f t="shared" si="2"/>
        <v>0</v>
      </c>
      <c r="Y8" s="26">
        <f t="shared" si="3"/>
        <v>0</v>
      </c>
      <c r="Z8" s="12">
        <f t="shared" si="4"/>
        <v>0</v>
      </c>
      <c r="AA8" s="4" t="s">
        <v>10</v>
      </c>
      <c r="AB8" s="11">
        <f>IFERROR(VLOOKUP(AA8,Curr!$B$2:$C$13,2,FALSE),0)</f>
        <v>11.3</v>
      </c>
      <c r="AC8" s="12">
        <f t="shared" si="5"/>
        <v>0</v>
      </c>
      <c r="AD8" s="12">
        <f t="shared" si="6"/>
        <v>0</v>
      </c>
      <c r="AE8" s="13">
        <f t="shared" si="7"/>
        <v>0</v>
      </c>
    </row>
    <row r="9" spans="2:36" x14ac:dyDescent="0.25">
      <c r="B9" s="4"/>
      <c r="C9" s="1" t="s">
        <v>53</v>
      </c>
      <c r="D9" s="1" t="s">
        <v>59</v>
      </c>
      <c r="E9" s="3"/>
      <c r="F9" s="3"/>
      <c r="G9" s="24"/>
      <c r="H9" s="24"/>
      <c r="J9" s="1" t="s">
        <v>64</v>
      </c>
      <c r="K9" s="4"/>
      <c r="L9" s="4"/>
      <c r="M9" s="4"/>
      <c r="N9" s="4"/>
      <c r="O9" s="4"/>
      <c r="P9" s="27"/>
      <c r="Q9" s="25">
        <v>0</v>
      </c>
      <c r="R9" s="25">
        <v>0</v>
      </c>
      <c r="S9" s="12">
        <f t="shared" si="0"/>
        <v>0</v>
      </c>
      <c r="T9" s="5">
        <v>0</v>
      </c>
      <c r="U9" s="12">
        <f t="shared" si="1"/>
        <v>0</v>
      </c>
      <c r="V9" s="25" t="s">
        <v>10</v>
      </c>
      <c r="W9" s="11">
        <f>IFERROR(VLOOKUP(V9,[1]Curr!$B$2:$C$13,2,FALSE),0)</f>
        <v>11.3</v>
      </c>
      <c r="X9" s="12">
        <f t="shared" si="2"/>
        <v>0</v>
      </c>
      <c r="Y9" s="26">
        <f>Q9/0.85</f>
        <v>0</v>
      </c>
      <c r="Z9" s="12">
        <f t="shared" si="4"/>
        <v>0</v>
      </c>
      <c r="AA9" s="4" t="s">
        <v>10</v>
      </c>
      <c r="AB9" s="11">
        <f>IFERROR(VLOOKUP(AA9,Curr!$B$2:$C$13,2,FALSE),0)</f>
        <v>11.3</v>
      </c>
      <c r="AC9" s="12">
        <f t="shared" si="5"/>
        <v>0</v>
      </c>
      <c r="AD9" s="12">
        <f t="shared" si="6"/>
        <v>0</v>
      </c>
      <c r="AE9" s="13">
        <f t="shared" si="7"/>
        <v>0</v>
      </c>
    </row>
    <row r="10" spans="2:36" x14ac:dyDescent="0.25">
      <c r="B10" s="4"/>
      <c r="C10" s="1" t="s">
        <v>53</v>
      </c>
      <c r="D10" s="1" t="s">
        <v>60</v>
      </c>
      <c r="E10" s="3"/>
      <c r="F10" s="3"/>
      <c r="G10" s="24"/>
      <c r="H10" s="24"/>
      <c r="J10" s="1" t="s">
        <v>65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1"/>
        <v>0</v>
      </c>
      <c r="V10" s="25" t="s">
        <v>10</v>
      </c>
      <c r="W10" s="11">
        <f>IFERROR(VLOOKUP(V10,[1]Curr!$B$2:$C$13,2,FALSE),0)</f>
        <v>11.3</v>
      </c>
      <c r="X10" s="12">
        <f t="shared" si="2"/>
        <v>0</v>
      </c>
      <c r="Y10" s="26">
        <f t="shared" si="3"/>
        <v>0</v>
      </c>
      <c r="Z10" s="12">
        <f t="shared" si="4"/>
        <v>0</v>
      </c>
      <c r="AA10" s="4" t="s">
        <v>10</v>
      </c>
      <c r="AB10" s="11">
        <f>IFERROR(VLOOKUP(AA10,Curr!$B$2:$C$13,2,FALSE),0)</f>
        <v>11.3</v>
      </c>
      <c r="AC10" s="12">
        <f t="shared" si="5"/>
        <v>0</v>
      </c>
      <c r="AD10" s="12">
        <f t="shared" si="6"/>
        <v>0</v>
      </c>
      <c r="AE10" s="13">
        <f t="shared" si="7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ref="S11:S59" si="8">+Q11*R11</f>
        <v>0</v>
      </c>
      <c r="T11" s="5">
        <v>0</v>
      </c>
      <c r="U11" s="12">
        <f t="shared" ref="U11:U59" si="9">S11*(1-T11)</f>
        <v>0</v>
      </c>
      <c r="V11" s="25" t="s">
        <v>10</v>
      </c>
      <c r="W11" s="11">
        <f>IFERROR(VLOOKUP(V11,[1]Curr!$B$2:$C$13,2,FALSE),0)</f>
        <v>11.3</v>
      </c>
      <c r="X11" s="12">
        <f t="shared" ref="X11:X59" si="10">U11*W11</f>
        <v>0</v>
      </c>
      <c r="Y11" s="26">
        <f t="shared" ref="Y11:Y59" si="11">Q11</f>
        <v>0</v>
      </c>
      <c r="Z11" s="12">
        <f t="shared" si="4"/>
        <v>0</v>
      </c>
      <c r="AA11" s="4" t="s">
        <v>10</v>
      </c>
      <c r="AB11" s="11">
        <f>IFERROR(VLOOKUP(AA11,Curr!$B$2:$C$13,2,FALSE),0)</f>
        <v>11.3</v>
      </c>
      <c r="AC11" s="12">
        <f t="shared" si="5"/>
        <v>0</v>
      </c>
      <c r="AD11" s="12">
        <f t="shared" si="6"/>
        <v>0</v>
      </c>
      <c r="AE11" s="13">
        <f t="shared" si="7"/>
        <v>0</v>
      </c>
    </row>
    <row r="12" spans="2:36" x14ac:dyDescent="0.25">
      <c r="B12" s="4"/>
      <c r="C12" s="1" t="s">
        <v>61</v>
      </c>
      <c r="D12" s="1" t="s">
        <v>58</v>
      </c>
      <c r="E12" s="3"/>
      <c r="F12" s="3"/>
      <c r="G12" s="24"/>
      <c r="H12" s="24"/>
      <c r="J12" s="1" t="s">
        <v>132</v>
      </c>
      <c r="K12" s="4"/>
      <c r="L12" s="4"/>
      <c r="M12" s="4"/>
      <c r="N12" s="4"/>
      <c r="O12" s="4"/>
      <c r="P12" s="33"/>
      <c r="Q12" s="25">
        <v>0</v>
      </c>
      <c r="R12" s="25">
        <v>0</v>
      </c>
      <c r="S12" s="12">
        <f t="shared" si="8"/>
        <v>0</v>
      </c>
      <c r="T12" s="5">
        <v>0</v>
      </c>
      <c r="U12" s="12">
        <f t="shared" si="9"/>
        <v>0</v>
      </c>
      <c r="V12" s="25" t="s">
        <v>10</v>
      </c>
      <c r="W12" s="11">
        <f>IFERROR(VLOOKUP(V12,[1]Curr!$B$2:$C$13,2,FALSE),0)</f>
        <v>11.3</v>
      </c>
      <c r="X12" s="12">
        <f t="shared" si="10"/>
        <v>0</v>
      </c>
      <c r="Y12" s="26">
        <f t="shared" si="11"/>
        <v>0</v>
      </c>
      <c r="Z12" s="12">
        <f t="shared" si="4"/>
        <v>0</v>
      </c>
      <c r="AA12" s="4" t="s">
        <v>10</v>
      </c>
      <c r="AB12" s="11">
        <f>IFERROR(VLOOKUP(AA12,Curr!$B$2:$C$13,2,FALSE),0)</f>
        <v>11.3</v>
      </c>
      <c r="AC12" s="12">
        <f t="shared" si="5"/>
        <v>0</v>
      </c>
      <c r="AD12" s="12">
        <f t="shared" si="6"/>
        <v>0</v>
      </c>
      <c r="AE12" s="13">
        <f t="shared" si="7"/>
        <v>0</v>
      </c>
    </row>
    <row r="13" spans="2:36" x14ac:dyDescent="0.25">
      <c r="B13" s="4"/>
      <c r="C13" s="1" t="s">
        <v>61</v>
      </c>
      <c r="D13" s="1" t="s">
        <v>67</v>
      </c>
      <c r="E13" s="3"/>
      <c r="F13" s="3"/>
      <c r="G13" s="24"/>
      <c r="H13" s="24"/>
      <c r="J13" s="1" t="s">
        <v>138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8"/>
        <v>0</v>
      </c>
      <c r="T13" s="5">
        <v>0</v>
      </c>
      <c r="U13" s="12">
        <f t="shared" si="9"/>
        <v>0</v>
      </c>
      <c r="V13" s="25" t="s">
        <v>10</v>
      </c>
      <c r="W13" s="11">
        <f>IFERROR(VLOOKUP(V13,[1]Curr!$B$2:$C$13,2,FALSE),0)</f>
        <v>11.3</v>
      </c>
      <c r="X13" s="12">
        <f t="shared" si="10"/>
        <v>0</v>
      </c>
      <c r="Y13" s="26">
        <f t="shared" si="11"/>
        <v>0</v>
      </c>
      <c r="Z13" s="12">
        <f t="shared" si="4"/>
        <v>0</v>
      </c>
      <c r="AA13" s="4" t="s">
        <v>10</v>
      </c>
      <c r="AB13" s="11">
        <f>IFERROR(VLOOKUP(AA13,Curr!$B$2:$C$13,2,FALSE),0)</f>
        <v>11.3</v>
      </c>
      <c r="AC13" s="12">
        <f t="shared" si="5"/>
        <v>0</v>
      </c>
      <c r="AD13" s="12">
        <f t="shared" si="6"/>
        <v>0</v>
      </c>
      <c r="AE13" s="13">
        <f t="shared" si="7"/>
        <v>0</v>
      </c>
    </row>
    <row r="14" spans="2:36" x14ac:dyDescent="0.25">
      <c r="B14" s="4"/>
      <c r="C14" s="1" t="s">
        <v>61</v>
      </c>
      <c r="D14" s="1" t="s">
        <v>58</v>
      </c>
      <c r="E14" s="3"/>
      <c r="F14" s="3"/>
      <c r="G14" s="24"/>
      <c r="H14" s="24"/>
      <c r="J14" s="1" t="s">
        <v>127</v>
      </c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 t="shared" si="8"/>
        <v>0</v>
      </c>
      <c r="T14" s="5">
        <v>0</v>
      </c>
      <c r="U14" s="12">
        <f t="shared" si="9"/>
        <v>0</v>
      </c>
      <c r="V14" s="25" t="s">
        <v>10</v>
      </c>
      <c r="W14" s="11">
        <f>IFERROR(VLOOKUP(V14,[1]Curr!$B$2:$C$13,2,FALSE),0)</f>
        <v>11.3</v>
      </c>
      <c r="X14" s="12">
        <f t="shared" si="10"/>
        <v>0</v>
      </c>
      <c r="Y14" s="26">
        <f t="shared" si="11"/>
        <v>0</v>
      </c>
      <c r="Z14" s="12">
        <f t="shared" si="4"/>
        <v>0</v>
      </c>
      <c r="AA14" s="4" t="s">
        <v>10</v>
      </c>
      <c r="AB14" s="11">
        <f>IFERROR(VLOOKUP(AA14,Curr!$B$2:$C$13,2,FALSE),0)</f>
        <v>11.3</v>
      </c>
      <c r="AC14" s="12">
        <f t="shared" si="5"/>
        <v>0</v>
      </c>
      <c r="AD14" s="12">
        <f t="shared" si="6"/>
        <v>0</v>
      </c>
      <c r="AE14" s="13">
        <f t="shared" si="7"/>
        <v>0</v>
      </c>
    </row>
    <row r="15" spans="2:36" x14ac:dyDescent="0.25">
      <c r="B15" s="4"/>
      <c r="C15" s="1" t="s">
        <v>61</v>
      </c>
      <c r="D15" s="1" t="s">
        <v>59</v>
      </c>
      <c r="E15" s="3"/>
      <c r="F15" s="3"/>
      <c r="G15" s="24"/>
      <c r="H15" s="24"/>
      <c r="J15" s="1" t="s">
        <v>111</v>
      </c>
      <c r="K15" s="4"/>
      <c r="L15" s="4"/>
      <c r="M15" s="4"/>
      <c r="N15" s="4"/>
      <c r="O15" s="4"/>
      <c r="P15" s="33"/>
      <c r="Q15" s="25">
        <v>150</v>
      </c>
      <c r="R15" s="25">
        <v>1</v>
      </c>
      <c r="S15" s="12">
        <f t="shared" si="8"/>
        <v>150</v>
      </c>
      <c r="T15" s="5">
        <v>0</v>
      </c>
      <c r="U15" s="12">
        <f t="shared" si="9"/>
        <v>150</v>
      </c>
      <c r="V15" s="25" t="s">
        <v>10</v>
      </c>
      <c r="W15" s="11">
        <f>IFERROR(VLOOKUP(V15,[1]Curr!$B$2:$C$13,2,FALSE),0)</f>
        <v>11.3</v>
      </c>
      <c r="X15" s="12">
        <f t="shared" si="10"/>
        <v>1695</v>
      </c>
      <c r="Y15" s="26">
        <f>Q15/0.83</f>
        <v>180.72289156626508</v>
      </c>
      <c r="Z15" s="12">
        <f t="shared" si="4"/>
        <v>180.72289156626508</v>
      </c>
      <c r="AA15" s="4" t="s">
        <v>10</v>
      </c>
      <c r="AB15" s="11">
        <f>IFERROR(VLOOKUP(AA15,Curr!$B$2:$C$13,2,FALSE),0)</f>
        <v>11.3</v>
      </c>
      <c r="AC15" s="12">
        <f t="shared" si="5"/>
        <v>2042.1686746987955</v>
      </c>
      <c r="AD15" s="12">
        <f t="shared" si="6"/>
        <v>347.16867469879548</v>
      </c>
      <c r="AE15" s="13">
        <f t="shared" si="7"/>
        <v>0.17000000000000012</v>
      </c>
    </row>
    <row r="16" spans="2:36" x14ac:dyDescent="0.25">
      <c r="B16" s="4"/>
      <c r="C16" s="1" t="s">
        <v>61</v>
      </c>
      <c r="D16" s="1" t="s">
        <v>60</v>
      </c>
      <c r="E16" s="3"/>
      <c r="F16" s="3"/>
      <c r="G16" s="24"/>
      <c r="H16" s="24"/>
      <c r="J16" s="1" t="s">
        <v>88</v>
      </c>
      <c r="K16" s="4"/>
      <c r="L16" s="4"/>
      <c r="M16" s="4"/>
      <c r="N16" s="4"/>
      <c r="O16" s="4"/>
      <c r="P16" s="33"/>
      <c r="Q16" s="25">
        <v>0</v>
      </c>
      <c r="R16" s="25">
        <v>0</v>
      </c>
      <c r="S16" s="12">
        <f t="shared" si="8"/>
        <v>0</v>
      </c>
      <c r="T16" s="5">
        <v>0</v>
      </c>
      <c r="U16" s="12">
        <f t="shared" si="9"/>
        <v>0</v>
      </c>
      <c r="V16" s="25" t="s">
        <v>10</v>
      </c>
      <c r="W16" s="11">
        <f>IFERROR(VLOOKUP(V16,[1]Curr!$B$2:$C$13,2,FALSE),0)</f>
        <v>11.3</v>
      </c>
      <c r="X16" s="12">
        <f t="shared" si="10"/>
        <v>0</v>
      </c>
      <c r="Y16" s="26">
        <f t="shared" si="11"/>
        <v>0</v>
      </c>
      <c r="Z16" s="12">
        <f t="shared" si="4"/>
        <v>0</v>
      </c>
      <c r="AA16" s="4" t="s">
        <v>10</v>
      </c>
      <c r="AB16" s="11">
        <f>IFERROR(VLOOKUP(AA16,Curr!$B$2:$C$13,2,FALSE),0)</f>
        <v>11.3</v>
      </c>
      <c r="AC16" s="12">
        <f t="shared" si="5"/>
        <v>0</v>
      </c>
      <c r="AD16" s="12">
        <f t="shared" si="6"/>
        <v>0</v>
      </c>
      <c r="AE16" s="13">
        <f t="shared" si="7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29"/>
      <c r="Q17" s="25"/>
      <c r="R17" s="25"/>
      <c r="S17" s="12">
        <f t="shared" si="8"/>
        <v>0</v>
      </c>
      <c r="T17" s="5">
        <v>0</v>
      </c>
      <c r="U17" s="12">
        <f t="shared" si="9"/>
        <v>0</v>
      </c>
      <c r="V17" s="25" t="s">
        <v>10</v>
      </c>
      <c r="W17" s="11">
        <f>IFERROR(VLOOKUP(V17,[1]Curr!$B$2:$C$13,2,FALSE),0)</f>
        <v>11.3</v>
      </c>
      <c r="X17" s="12">
        <f t="shared" si="10"/>
        <v>0</v>
      </c>
      <c r="Y17" s="26">
        <f t="shared" si="11"/>
        <v>0</v>
      </c>
      <c r="Z17" s="12">
        <f t="shared" si="4"/>
        <v>0</v>
      </c>
      <c r="AA17" s="4" t="s">
        <v>10</v>
      </c>
      <c r="AB17" s="11">
        <f>IFERROR(VLOOKUP(AA17,Curr!$B$2:$C$13,2,FALSE),0)</f>
        <v>11.3</v>
      </c>
      <c r="AC17" s="12">
        <f t="shared" si="5"/>
        <v>0</v>
      </c>
      <c r="AD17" s="12">
        <f t="shared" si="6"/>
        <v>0</v>
      </c>
      <c r="AE17" s="13">
        <f t="shared" si="7"/>
        <v>0</v>
      </c>
    </row>
    <row r="18" spans="2:31" x14ac:dyDescent="0.25">
      <c r="B18" s="4"/>
      <c r="C18" s="1" t="s">
        <v>69</v>
      </c>
      <c r="D18" s="1" t="s">
        <v>58</v>
      </c>
      <c r="E18" s="3"/>
      <c r="F18" s="3"/>
      <c r="G18" s="24"/>
      <c r="H18" s="24"/>
      <c r="J18" s="1" t="s">
        <v>133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8"/>
        <v>0</v>
      </c>
      <c r="T18" s="5">
        <v>0</v>
      </c>
      <c r="U18" s="12">
        <f t="shared" si="9"/>
        <v>0</v>
      </c>
      <c r="V18" s="25" t="s">
        <v>10</v>
      </c>
      <c r="W18" s="11">
        <f>IFERROR(VLOOKUP(V18,[1]Curr!$B$2:$C$13,2,FALSE),0)</f>
        <v>11.3</v>
      </c>
      <c r="X18" s="12">
        <f t="shared" si="10"/>
        <v>0</v>
      </c>
      <c r="Y18" s="26">
        <f t="shared" si="11"/>
        <v>0</v>
      </c>
      <c r="Z18" s="12">
        <f t="shared" si="4"/>
        <v>0</v>
      </c>
      <c r="AA18" s="4" t="s">
        <v>10</v>
      </c>
      <c r="AB18" s="11">
        <f>IFERROR(VLOOKUP(AA18,Curr!$B$2:$C$13,2,FALSE),0)</f>
        <v>11.3</v>
      </c>
      <c r="AC18" s="12">
        <f t="shared" si="5"/>
        <v>0</v>
      </c>
      <c r="AD18" s="12">
        <f t="shared" si="6"/>
        <v>0</v>
      </c>
      <c r="AE18" s="13">
        <f t="shared" si="7"/>
        <v>0</v>
      </c>
    </row>
    <row r="19" spans="2:31" x14ac:dyDescent="0.25">
      <c r="B19" s="4"/>
      <c r="C19" s="1" t="s">
        <v>69</v>
      </c>
      <c r="D19" s="1" t="s">
        <v>67</v>
      </c>
      <c r="E19" s="3"/>
      <c r="F19" s="3"/>
      <c r="G19" s="24"/>
      <c r="H19" s="24"/>
      <c r="J19" s="1" t="s">
        <v>139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8"/>
        <v>0</v>
      </c>
      <c r="T19" s="5">
        <v>0</v>
      </c>
      <c r="U19" s="12">
        <f t="shared" si="9"/>
        <v>0</v>
      </c>
      <c r="V19" s="25" t="s">
        <v>10</v>
      </c>
      <c r="W19" s="11">
        <f>IFERROR(VLOOKUP(V19,[1]Curr!$B$2:$C$13,2,FALSE),0)</f>
        <v>11.3</v>
      </c>
      <c r="X19" s="12">
        <f t="shared" si="10"/>
        <v>0</v>
      </c>
      <c r="Y19" s="26">
        <f t="shared" si="11"/>
        <v>0</v>
      </c>
      <c r="Z19" s="12">
        <f t="shared" si="4"/>
        <v>0</v>
      </c>
      <c r="AA19" s="4" t="s">
        <v>10</v>
      </c>
      <c r="AB19" s="11">
        <f>IFERROR(VLOOKUP(AA19,Curr!$B$2:$C$13,2,FALSE),0)</f>
        <v>11.3</v>
      </c>
      <c r="AC19" s="12">
        <f t="shared" si="5"/>
        <v>0</v>
      </c>
      <c r="AD19" s="12">
        <f t="shared" si="6"/>
        <v>0</v>
      </c>
      <c r="AE19" s="13">
        <f t="shared" si="7"/>
        <v>0</v>
      </c>
    </row>
    <row r="20" spans="2:31" x14ac:dyDescent="0.25">
      <c r="B20" s="4"/>
      <c r="C20" s="1" t="s">
        <v>69</v>
      </c>
      <c r="D20" s="1" t="s">
        <v>58</v>
      </c>
      <c r="E20" s="3"/>
      <c r="F20" s="3"/>
      <c r="G20" s="24"/>
      <c r="H20" s="24"/>
      <c r="J20" s="1" t="s">
        <v>128</v>
      </c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8"/>
        <v>0</v>
      </c>
      <c r="T20" s="5">
        <v>0</v>
      </c>
      <c r="U20" s="12">
        <f t="shared" si="9"/>
        <v>0</v>
      </c>
      <c r="V20" s="25" t="s">
        <v>10</v>
      </c>
      <c r="W20" s="11">
        <f>IFERROR(VLOOKUP(V20,[1]Curr!$B$2:$C$13,2,FALSE),0)</f>
        <v>11.3</v>
      </c>
      <c r="X20" s="12">
        <f t="shared" si="10"/>
        <v>0</v>
      </c>
      <c r="Y20" s="26">
        <f t="shared" si="11"/>
        <v>0</v>
      </c>
      <c r="Z20" s="12">
        <f t="shared" si="4"/>
        <v>0</v>
      </c>
      <c r="AA20" s="4" t="s">
        <v>10</v>
      </c>
      <c r="AB20" s="11">
        <f>IFERROR(VLOOKUP(AA20,Curr!$B$2:$C$13,2,FALSE),0)</f>
        <v>11.3</v>
      </c>
      <c r="AC20" s="12">
        <f t="shared" si="5"/>
        <v>0</v>
      </c>
      <c r="AD20" s="12">
        <f t="shared" si="6"/>
        <v>0</v>
      </c>
      <c r="AE20" s="13">
        <f t="shared" si="7"/>
        <v>0</v>
      </c>
    </row>
    <row r="21" spans="2:31" x14ac:dyDescent="0.25">
      <c r="B21" s="4"/>
      <c r="C21" s="1" t="s">
        <v>69</v>
      </c>
      <c r="D21" s="1" t="s">
        <v>59</v>
      </c>
      <c r="E21" s="3"/>
      <c r="F21" s="3"/>
      <c r="G21" s="24"/>
      <c r="H21" s="24"/>
      <c r="J21" s="1" t="s">
        <v>107</v>
      </c>
      <c r="K21" s="4"/>
      <c r="L21" s="4"/>
      <c r="M21" s="4"/>
      <c r="N21" s="4"/>
      <c r="O21" s="4"/>
      <c r="P21" s="27"/>
      <c r="Q21" s="25">
        <v>300</v>
      </c>
      <c r="R21" s="25">
        <v>1</v>
      </c>
      <c r="S21" s="12">
        <f t="shared" si="8"/>
        <v>300</v>
      </c>
      <c r="T21" s="5">
        <v>0</v>
      </c>
      <c r="U21" s="12">
        <f t="shared" si="9"/>
        <v>300</v>
      </c>
      <c r="V21" s="25" t="s">
        <v>10</v>
      </c>
      <c r="W21" s="11">
        <f>IFERROR(VLOOKUP(V21,[1]Curr!$B$2:$C$13,2,FALSE),0)</f>
        <v>11.3</v>
      </c>
      <c r="X21" s="12">
        <f t="shared" si="10"/>
        <v>3390</v>
      </c>
      <c r="Y21" s="26">
        <f>Q21/0.83</f>
        <v>361.44578313253015</v>
      </c>
      <c r="Z21" s="12">
        <f t="shared" si="4"/>
        <v>361.44578313253015</v>
      </c>
      <c r="AA21" s="4" t="s">
        <v>10</v>
      </c>
      <c r="AB21" s="11">
        <f>IFERROR(VLOOKUP(AA21,Curr!$B$2:$C$13,2,FALSE),0)</f>
        <v>11.3</v>
      </c>
      <c r="AC21" s="12">
        <f t="shared" si="5"/>
        <v>4084.337349397591</v>
      </c>
      <c r="AD21" s="12">
        <f t="shared" si="6"/>
        <v>694.33734939759097</v>
      </c>
      <c r="AE21" s="13">
        <f t="shared" si="7"/>
        <v>0.17000000000000012</v>
      </c>
    </row>
    <row r="22" spans="2:31" x14ac:dyDescent="0.25">
      <c r="B22" s="4"/>
      <c r="C22" s="1" t="s">
        <v>69</v>
      </c>
      <c r="D22" s="1" t="s">
        <v>60</v>
      </c>
      <c r="E22" s="3"/>
      <c r="F22" s="3"/>
      <c r="G22" s="24"/>
      <c r="H22" s="24"/>
      <c r="J22" s="1" t="s">
        <v>89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8"/>
        <v>0</v>
      </c>
      <c r="T22" s="5">
        <v>0</v>
      </c>
      <c r="U22" s="12">
        <f t="shared" si="9"/>
        <v>0</v>
      </c>
      <c r="V22" s="25" t="s">
        <v>10</v>
      </c>
      <c r="W22" s="11">
        <f>IFERROR(VLOOKUP(V22,[1]Curr!$B$2:$C$13,2,FALSE),0)</f>
        <v>11.3</v>
      </c>
      <c r="X22" s="12">
        <f t="shared" si="10"/>
        <v>0</v>
      </c>
      <c r="Y22" s="26">
        <f t="shared" si="11"/>
        <v>0</v>
      </c>
      <c r="Z22" s="12">
        <f t="shared" si="4"/>
        <v>0</v>
      </c>
      <c r="AA22" s="4" t="s">
        <v>10</v>
      </c>
      <c r="AB22" s="11">
        <f>IFERROR(VLOOKUP(AA22,Curr!$B$2:$C$13,2,FALSE),0)</f>
        <v>11.3</v>
      </c>
      <c r="AC22" s="12">
        <f t="shared" si="5"/>
        <v>0</v>
      </c>
      <c r="AD22" s="12">
        <f t="shared" si="6"/>
        <v>0</v>
      </c>
      <c r="AE22" s="13">
        <f t="shared" si="7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27"/>
      <c r="Q23" s="25"/>
      <c r="R23" s="25"/>
      <c r="S23" s="12">
        <f t="shared" si="8"/>
        <v>0</v>
      </c>
      <c r="T23" s="5">
        <v>0</v>
      </c>
      <c r="U23" s="12">
        <f t="shared" si="9"/>
        <v>0</v>
      </c>
      <c r="V23" s="25" t="s">
        <v>10</v>
      </c>
      <c r="W23" s="11">
        <f>IFERROR(VLOOKUP(V23,[1]Curr!$B$2:$C$13,2,FALSE),0)</f>
        <v>11.3</v>
      </c>
      <c r="X23" s="12">
        <f t="shared" si="10"/>
        <v>0</v>
      </c>
      <c r="Y23" s="26">
        <f t="shared" si="11"/>
        <v>0</v>
      </c>
      <c r="Z23" s="12">
        <f t="shared" si="4"/>
        <v>0</v>
      </c>
      <c r="AA23" s="4" t="s">
        <v>10</v>
      </c>
      <c r="AB23" s="11">
        <f>IFERROR(VLOOKUP(AA23,Curr!$B$2:$C$13,2,FALSE),0)</f>
        <v>11.3</v>
      </c>
      <c r="AC23" s="12">
        <f t="shared" si="5"/>
        <v>0</v>
      </c>
      <c r="AD23" s="12">
        <f t="shared" si="6"/>
        <v>0</v>
      </c>
      <c r="AE23" s="13">
        <f t="shared" si="7"/>
        <v>0</v>
      </c>
    </row>
    <row r="24" spans="2:31" x14ac:dyDescent="0.25">
      <c r="B24" s="4"/>
      <c r="C24" s="1" t="s">
        <v>70</v>
      </c>
      <c r="D24" s="1" t="s">
        <v>58</v>
      </c>
      <c r="E24" s="3"/>
      <c r="F24" s="3"/>
      <c r="G24" s="24"/>
      <c r="H24" s="24"/>
      <c r="J24" s="1" t="s">
        <v>134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8"/>
        <v>0</v>
      </c>
      <c r="T24" s="5">
        <v>0</v>
      </c>
      <c r="U24" s="12">
        <f t="shared" si="9"/>
        <v>0</v>
      </c>
      <c r="V24" s="25" t="s">
        <v>10</v>
      </c>
      <c r="W24" s="11">
        <f>IFERROR(VLOOKUP(V24,[1]Curr!$B$2:$C$13,2,FALSE),0)</f>
        <v>11.3</v>
      </c>
      <c r="X24" s="12">
        <f t="shared" si="10"/>
        <v>0</v>
      </c>
      <c r="Y24" s="26">
        <f t="shared" si="11"/>
        <v>0</v>
      </c>
      <c r="Z24" s="12">
        <f t="shared" si="4"/>
        <v>0</v>
      </c>
      <c r="AA24" s="4" t="s">
        <v>10</v>
      </c>
      <c r="AB24" s="11">
        <f>IFERROR(VLOOKUP(AA24,Curr!$B$2:$C$13,2,FALSE),0)</f>
        <v>11.3</v>
      </c>
      <c r="AC24" s="12">
        <f t="shared" si="5"/>
        <v>0</v>
      </c>
      <c r="AD24" s="12">
        <f t="shared" si="6"/>
        <v>0</v>
      </c>
      <c r="AE24" s="13">
        <f t="shared" si="7"/>
        <v>0</v>
      </c>
    </row>
    <row r="25" spans="2:31" x14ac:dyDescent="0.25">
      <c r="B25" s="4"/>
      <c r="C25" s="1" t="s">
        <v>70</v>
      </c>
      <c r="D25" s="1" t="s">
        <v>67</v>
      </c>
      <c r="E25" s="3"/>
      <c r="F25" s="3"/>
      <c r="G25" s="24"/>
      <c r="H25" s="24"/>
      <c r="J25" s="1" t="s">
        <v>140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8"/>
        <v>0</v>
      </c>
      <c r="T25" s="5">
        <v>0</v>
      </c>
      <c r="U25" s="12">
        <f t="shared" si="9"/>
        <v>0</v>
      </c>
      <c r="V25" s="25" t="s">
        <v>10</v>
      </c>
      <c r="W25" s="11">
        <f>IFERROR(VLOOKUP(V25,[1]Curr!$B$2:$C$13,2,FALSE),0)</f>
        <v>11.3</v>
      </c>
      <c r="X25" s="12">
        <f t="shared" si="10"/>
        <v>0</v>
      </c>
      <c r="Y25" s="26">
        <f t="shared" si="11"/>
        <v>0</v>
      </c>
      <c r="Z25" s="12">
        <f t="shared" si="4"/>
        <v>0</v>
      </c>
      <c r="AA25" s="4" t="s">
        <v>10</v>
      </c>
      <c r="AB25" s="11">
        <f>IFERROR(VLOOKUP(AA25,Curr!$B$2:$C$13,2,FALSE),0)</f>
        <v>11.3</v>
      </c>
      <c r="AC25" s="12">
        <f t="shared" si="5"/>
        <v>0</v>
      </c>
      <c r="AD25" s="12">
        <f t="shared" si="6"/>
        <v>0</v>
      </c>
      <c r="AE25" s="13">
        <f t="shared" si="7"/>
        <v>0</v>
      </c>
    </row>
    <row r="26" spans="2:31" x14ac:dyDescent="0.25">
      <c r="B26" s="4"/>
      <c r="C26" s="1" t="s">
        <v>70</v>
      </c>
      <c r="D26" s="1" t="s">
        <v>58</v>
      </c>
      <c r="E26" s="3"/>
      <c r="F26" s="3"/>
      <c r="G26" s="24"/>
      <c r="H26" s="24"/>
      <c r="J26" s="1" t="s">
        <v>129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8"/>
        <v>0</v>
      </c>
      <c r="T26" s="5">
        <v>0</v>
      </c>
      <c r="U26" s="12">
        <f t="shared" si="9"/>
        <v>0</v>
      </c>
      <c r="V26" s="25" t="s">
        <v>10</v>
      </c>
      <c r="W26" s="11">
        <f>IFERROR(VLOOKUP(V26,[1]Curr!$B$2:$C$13,2,FALSE),0)</f>
        <v>11.3</v>
      </c>
      <c r="X26" s="12">
        <f t="shared" si="10"/>
        <v>0</v>
      </c>
      <c r="Y26" s="26">
        <f t="shared" si="11"/>
        <v>0</v>
      </c>
      <c r="Z26" s="12">
        <f t="shared" si="4"/>
        <v>0</v>
      </c>
      <c r="AA26" s="4" t="s">
        <v>10</v>
      </c>
      <c r="AB26" s="11">
        <f>IFERROR(VLOOKUP(AA26,Curr!$B$2:$C$13,2,FALSE),0)</f>
        <v>11.3</v>
      </c>
      <c r="AC26" s="12">
        <f t="shared" si="5"/>
        <v>0</v>
      </c>
      <c r="AD26" s="12">
        <f t="shared" si="6"/>
        <v>0</v>
      </c>
      <c r="AE26" s="13">
        <f t="shared" si="7"/>
        <v>0</v>
      </c>
    </row>
    <row r="27" spans="2:31" x14ac:dyDescent="0.25">
      <c r="B27" s="4"/>
      <c r="C27" s="1" t="s">
        <v>70</v>
      </c>
      <c r="D27" s="1" t="s">
        <v>59</v>
      </c>
      <c r="E27" s="3"/>
      <c r="F27" s="3"/>
      <c r="G27" s="24"/>
      <c r="H27" s="24"/>
      <c r="J27" s="1" t="s">
        <v>108</v>
      </c>
      <c r="K27" s="4"/>
      <c r="L27" s="4"/>
      <c r="M27" s="4"/>
      <c r="N27" s="4"/>
      <c r="O27" s="4"/>
      <c r="P27" s="33"/>
      <c r="Q27" s="25">
        <v>200</v>
      </c>
      <c r="R27" s="25">
        <v>1</v>
      </c>
      <c r="S27" s="12">
        <f t="shared" si="8"/>
        <v>200</v>
      </c>
      <c r="T27" s="5">
        <v>0</v>
      </c>
      <c r="U27" s="12">
        <f t="shared" si="9"/>
        <v>200</v>
      </c>
      <c r="V27" s="25" t="s">
        <v>10</v>
      </c>
      <c r="W27" s="11">
        <f>IFERROR(VLOOKUP(V27,[1]Curr!$B$2:$C$13,2,FALSE),0)</f>
        <v>11.3</v>
      </c>
      <c r="X27" s="12">
        <f t="shared" si="10"/>
        <v>2260</v>
      </c>
      <c r="Y27" s="26">
        <f>Q27/0.8</f>
        <v>250</v>
      </c>
      <c r="Z27" s="12">
        <f t="shared" si="4"/>
        <v>250</v>
      </c>
      <c r="AA27" s="4" t="s">
        <v>10</v>
      </c>
      <c r="AB27" s="11">
        <f>IFERROR(VLOOKUP(AA27,Curr!$B$2:$C$13,2,FALSE),0)</f>
        <v>11.3</v>
      </c>
      <c r="AC27" s="12">
        <f t="shared" si="5"/>
        <v>2825</v>
      </c>
      <c r="AD27" s="12">
        <f t="shared" si="6"/>
        <v>565</v>
      </c>
      <c r="AE27" s="13">
        <f t="shared" si="7"/>
        <v>0.2</v>
      </c>
    </row>
    <row r="28" spans="2:31" x14ac:dyDescent="0.25">
      <c r="B28" s="4"/>
      <c r="C28" s="1" t="s">
        <v>70</v>
      </c>
      <c r="D28" s="1" t="s">
        <v>60</v>
      </c>
      <c r="E28" s="3"/>
      <c r="F28" s="3"/>
      <c r="G28" s="24"/>
      <c r="H28" s="24"/>
      <c r="J28" s="1" t="s">
        <v>90</v>
      </c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8"/>
        <v>0</v>
      </c>
      <c r="T28" s="5">
        <v>0</v>
      </c>
      <c r="U28" s="12">
        <f t="shared" si="9"/>
        <v>0</v>
      </c>
      <c r="V28" s="25" t="s">
        <v>10</v>
      </c>
      <c r="W28" s="11">
        <f>IFERROR(VLOOKUP(V28,[1]Curr!$B$2:$C$13,2,FALSE),0)</f>
        <v>11.3</v>
      </c>
      <c r="X28" s="12">
        <f t="shared" si="10"/>
        <v>0</v>
      </c>
      <c r="Y28" s="26">
        <f t="shared" ref="Y28" si="12">Q28</f>
        <v>0</v>
      </c>
      <c r="Z28" s="12">
        <f t="shared" si="4"/>
        <v>0</v>
      </c>
      <c r="AA28" s="4" t="s">
        <v>10</v>
      </c>
      <c r="AB28" s="11">
        <f>IFERROR(VLOOKUP(AA28,Curr!$B$2:$C$13,2,FALSE),0)</f>
        <v>11.3</v>
      </c>
      <c r="AC28" s="12">
        <f t="shared" si="5"/>
        <v>0</v>
      </c>
      <c r="AD28" s="12">
        <f t="shared" si="6"/>
        <v>0</v>
      </c>
      <c r="AE28" s="13">
        <f t="shared" si="7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29"/>
      <c r="Q29" s="25"/>
      <c r="R29" s="25"/>
      <c r="S29" s="12">
        <f t="shared" si="8"/>
        <v>0</v>
      </c>
      <c r="T29" s="5">
        <v>0</v>
      </c>
      <c r="U29" s="12">
        <f t="shared" si="9"/>
        <v>0</v>
      </c>
      <c r="V29" s="25" t="s">
        <v>10</v>
      </c>
      <c r="W29" s="11">
        <f>IFERROR(VLOOKUP(V29,[1]Curr!$B$2:$C$13,2,FALSE),0)</f>
        <v>11.3</v>
      </c>
      <c r="X29" s="12">
        <f t="shared" si="10"/>
        <v>0</v>
      </c>
      <c r="Y29" s="26">
        <f t="shared" si="11"/>
        <v>0</v>
      </c>
      <c r="Z29" s="12">
        <f t="shared" si="4"/>
        <v>0</v>
      </c>
      <c r="AA29" s="4" t="s">
        <v>10</v>
      </c>
      <c r="AB29" s="11">
        <f>IFERROR(VLOOKUP(AA29,Curr!$B$2:$C$13,2,FALSE),0)</f>
        <v>11.3</v>
      </c>
      <c r="AC29" s="12">
        <f t="shared" si="5"/>
        <v>0</v>
      </c>
      <c r="AD29" s="12">
        <f t="shared" si="6"/>
        <v>0</v>
      </c>
      <c r="AE29" s="13">
        <f t="shared" si="7"/>
        <v>0</v>
      </c>
    </row>
    <row r="30" spans="2:31" x14ac:dyDescent="0.25">
      <c r="B30" s="4"/>
      <c r="C30" s="1" t="s">
        <v>71</v>
      </c>
      <c r="D30" s="1" t="s">
        <v>58</v>
      </c>
      <c r="E30" s="3"/>
      <c r="F30" s="3"/>
      <c r="G30" s="24"/>
      <c r="H30" s="24"/>
      <c r="J30" s="1" t="s">
        <v>135</v>
      </c>
      <c r="K30" s="4"/>
      <c r="L30" s="4"/>
      <c r="M30" s="4"/>
      <c r="N30" s="4"/>
      <c r="O30" s="4"/>
      <c r="P30" s="33"/>
      <c r="Q30" s="25">
        <v>0</v>
      </c>
      <c r="R30" s="25">
        <v>0</v>
      </c>
      <c r="S30" s="12">
        <f t="shared" si="8"/>
        <v>0</v>
      </c>
      <c r="T30" s="5">
        <v>0</v>
      </c>
      <c r="U30" s="12">
        <f t="shared" si="9"/>
        <v>0</v>
      </c>
      <c r="V30" s="25" t="s">
        <v>10</v>
      </c>
      <c r="W30" s="11">
        <f>IFERROR(VLOOKUP(V30,[1]Curr!$B$2:$C$13,2,FALSE),0)</f>
        <v>11.3</v>
      </c>
      <c r="X30" s="12">
        <f t="shared" si="10"/>
        <v>0</v>
      </c>
      <c r="Y30" s="26">
        <f t="shared" si="11"/>
        <v>0</v>
      </c>
      <c r="Z30" s="12">
        <f t="shared" si="4"/>
        <v>0</v>
      </c>
      <c r="AA30" s="4" t="s">
        <v>10</v>
      </c>
      <c r="AB30" s="11">
        <f>IFERROR(VLOOKUP(AA30,Curr!$B$2:$C$13,2,FALSE),0)</f>
        <v>11.3</v>
      </c>
      <c r="AC30" s="12">
        <f t="shared" si="5"/>
        <v>0</v>
      </c>
      <c r="AD30" s="12">
        <f t="shared" si="6"/>
        <v>0</v>
      </c>
      <c r="AE30" s="13">
        <f t="shared" si="7"/>
        <v>0</v>
      </c>
    </row>
    <row r="31" spans="2:31" x14ac:dyDescent="0.25">
      <c r="B31" s="4"/>
      <c r="C31" s="1" t="s">
        <v>71</v>
      </c>
      <c r="D31" s="1" t="s">
        <v>67</v>
      </c>
      <c r="E31" s="3"/>
      <c r="F31" s="3"/>
      <c r="G31" s="24"/>
      <c r="H31" s="24"/>
      <c r="J31" s="1" t="s">
        <v>141</v>
      </c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8"/>
        <v>0</v>
      </c>
      <c r="T31" s="5">
        <v>0</v>
      </c>
      <c r="U31" s="12">
        <f t="shared" si="9"/>
        <v>0</v>
      </c>
      <c r="V31" s="25" t="s">
        <v>10</v>
      </c>
      <c r="W31" s="11">
        <f>IFERROR(VLOOKUP(V31,[1]Curr!$B$2:$C$13,2,FALSE),0)</f>
        <v>11.3</v>
      </c>
      <c r="X31" s="12">
        <f t="shared" si="10"/>
        <v>0</v>
      </c>
      <c r="Y31" s="26">
        <f t="shared" si="11"/>
        <v>0</v>
      </c>
      <c r="Z31" s="12">
        <f t="shared" si="4"/>
        <v>0</v>
      </c>
      <c r="AA31" s="4" t="s">
        <v>10</v>
      </c>
      <c r="AB31" s="11">
        <f>IFERROR(VLOOKUP(AA31,Curr!$B$2:$C$13,2,FALSE),0)</f>
        <v>11.3</v>
      </c>
      <c r="AC31" s="12">
        <f t="shared" si="5"/>
        <v>0</v>
      </c>
      <c r="AD31" s="12">
        <f t="shared" si="6"/>
        <v>0</v>
      </c>
      <c r="AE31" s="13">
        <f t="shared" si="7"/>
        <v>0</v>
      </c>
    </row>
    <row r="32" spans="2:31" x14ac:dyDescent="0.25">
      <c r="B32" s="4"/>
      <c r="C32" s="1" t="s">
        <v>71</v>
      </c>
      <c r="D32" s="1" t="s">
        <v>58</v>
      </c>
      <c r="E32" s="3"/>
      <c r="F32" s="3"/>
      <c r="G32" s="24"/>
      <c r="H32" s="24"/>
      <c r="J32" s="1" t="s">
        <v>130</v>
      </c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8"/>
        <v>0</v>
      </c>
      <c r="T32" s="5">
        <v>0</v>
      </c>
      <c r="U32" s="12">
        <f t="shared" si="9"/>
        <v>0</v>
      </c>
      <c r="V32" s="25" t="s">
        <v>10</v>
      </c>
      <c r="W32" s="11">
        <f>IFERROR(VLOOKUP(V32,[1]Curr!$B$2:$C$13,2,FALSE),0)</f>
        <v>11.3</v>
      </c>
      <c r="X32" s="12">
        <f t="shared" si="10"/>
        <v>0</v>
      </c>
      <c r="Y32" s="26">
        <f t="shared" si="11"/>
        <v>0</v>
      </c>
      <c r="Z32" s="12">
        <f t="shared" si="4"/>
        <v>0</v>
      </c>
      <c r="AA32" s="4" t="s">
        <v>10</v>
      </c>
      <c r="AB32" s="11">
        <f>IFERROR(VLOOKUP(AA32,Curr!$B$2:$C$13,2,FALSE),0)</f>
        <v>11.3</v>
      </c>
      <c r="AC32" s="12">
        <f t="shared" si="5"/>
        <v>0</v>
      </c>
      <c r="AD32" s="12">
        <f t="shared" si="6"/>
        <v>0</v>
      </c>
      <c r="AE32" s="13">
        <f t="shared" si="7"/>
        <v>0</v>
      </c>
    </row>
    <row r="33" spans="2:31" x14ac:dyDescent="0.25">
      <c r="B33" s="4"/>
      <c r="C33" s="1" t="s">
        <v>71</v>
      </c>
      <c r="D33" s="1" t="s">
        <v>59</v>
      </c>
      <c r="E33" s="3"/>
      <c r="F33" s="3"/>
      <c r="G33" s="24"/>
      <c r="H33" s="24"/>
      <c r="J33" s="1" t="s">
        <v>109</v>
      </c>
      <c r="K33" s="4"/>
      <c r="L33" s="4"/>
      <c r="M33" s="4"/>
      <c r="N33" s="4"/>
      <c r="O33" s="4"/>
      <c r="P33" s="33"/>
      <c r="Q33" s="25">
        <v>200</v>
      </c>
      <c r="R33" s="25">
        <v>1</v>
      </c>
      <c r="S33" s="12">
        <f t="shared" si="8"/>
        <v>200</v>
      </c>
      <c r="T33" s="5">
        <v>0</v>
      </c>
      <c r="U33" s="12">
        <f t="shared" si="9"/>
        <v>200</v>
      </c>
      <c r="V33" s="25" t="s">
        <v>10</v>
      </c>
      <c r="W33" s="11">
        <f>IFERROR(VLOOKUP(V33,[1]Curr!$B$2:$C$13,2,FALSE),0)</f>
        <v>11.3</v>
      </c>
      <c r="X33" s="12">
        <f t="shared" si="10"/>
        <v>2260</v>
      </c>
      <c r="Y33" s="26">
        <f>Q33/0.8</f>
        <v>250</v>
      </c>
      <c r="Z33" s="12">
        <f t="shared" si="4"/>
        <v>250</v>
      </c>
      <c r="AA33" s="4" t="s">
        <v>10</v>
      </c>
      <c r="AB33" s="11">
        <f>IFERROR(VLOOKUP(AA33,Curr!$B$2:$C$13,2,FALSE),0)</f>
        <v>11.3</v>
      </c>
      <c r="AC33" s="12">
        <f t="shared" si="5"/>
        <v>2825</v>
      </c>
      <c r="AD33" s="12">
        <f t="shared" si="6"/>
        <v>565</v>
      </c>
      <c r="AE33" s="13">
        <f t="shared" si="7"/>
        <v>0.2</v>
      </c>
    </row>
    <row r="34" spans="2:31" x14ac:dyDescent="0.25">
      <c r="B34" s="4"/>
      <c r="C34" s="1" t="s">
        <v>71</v>
      </c>
      <c r="D34" s="1" t="s">
        <v>60</v>
      </c>
      <c r="E34" s="3"/>
      <c r="F34" s="3"/>
      <c r="G34" s="24"/>
      <c r="H34" s="24"/>
      <c r="J34" s="1" t="s">
        <v>91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8"/>
        <v>0</v>
      </c>
      <c r="T34" s="5">
        <v>0</v>
      </c>
      <c r="U34" s="12">
        <f t="shared" si="9"/>
        <v>0</v>
      </c>
      <c r="V34" s="25" t="s">
        <v>10</v>
      </c>
      <c r="W34" s="11">
        <f>IFERROR(VLOOKUP(V34,[1]Curr!$B$2:$C$13,2,FALSE),0)</f>
        <v>11.3</v>
      </c>
      <c r="X34" s="12">
        <f t="shared" si="10"/>
        <v>0</v>
      </c>
      <c r="Y34" s="26">
        <f t="shared" ref="Y34" si="13">Q34</f>
        <v>0</v>
      </c>
      <c r="Z34" s="12">
        <f t="shared" si="4"/>
        <v>0</v>
      </c>
      <c r="AA34" s="4" t="s">
        <v>10</v>
      </c>
      <c r="AB34" s="11">
        <f>IFERROR(VLOOKUP(AA34,Curr!$B$2:$C$13,2,FALSE),0)</f>
        <v>11.3</v>
      </c>
      <c r="AC34" s="12">
        <f t="shared" si="5"/>
        <v>0</v>
      </c>
      <c r="AD34" s="12">
        <f t="shared" si="6"/>
        <v>0</v>
      </c>
      <c r="AE34" s="13">
        <f t="shared" si="7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8"/>
        <v>0</v>
      </c>
      <c r="T35" s="5">
        <v>0</v>
      </c>
      <c r="U35" s="12">
        <f t="shared" si="9"/>
        <v>0</v>
      </c>
      <c r="V35" s="25" t="s">
        <v>10</v>
      </c>
      <c r="W35" s="11">
        <f>IFERROR(VLOOKUP(V35,[1]Curr!$B$2:$C$13,2,FALSE),0)</f>
        <v>11.3</v>
      </c>
      <c r="X35" s="12">
        <f t="shared" si="10"/>
        <v>0</v>
      </c>
      <c r="Y35" s="26">
        <f t="shared" si="11"/>
        <v>0</v>
      </c>
      <c r="Z35" s="12">
        <f t="shared" si="4"/>
        <v>0</v>
      </c>
      <c r="AA35" s="4" t="s">
        <v>10</v>
      </c>
      <c r="AB35" s="11">
        <f>IFERROR(VLOOKUP(AA35,Curr!$B$2:$C$13,2,FALSE),0)</f>
        <v>11.3</v>
      </c>
      <c r="AC35" s="12">
        <f t="shared" si="5"/>
        <v>0</v>
      </c>
      <c r="AD35" s="12">
        <f t="shared" si="6"/>
        <v>0</v>
      </c>
      <c r="AE35" s="13">
        <f t="shared" si="7"/>
        <v>0</v>
      </c>
    </row>
    <row r="36" spans="2:31" x14ac:dyDescent="0.25">
      <c r="B36" s="4"/>
      <c r="C36" s="1" t="s">
        <v>72</v>
      </c>
      <c r="D36" s="1" t="s">
        <v>58</v>
      </c>
      <c r="E36" s="3"/>
      <c r="F36" s="3"/>
      <c r="G36" s="24"/>
      <c r="H36" s="24"/>
      <c r="J36" s="1" t="s">
        <v>136</v>
      </c>
      <c r="K36" s="4"/>
      <c r="L36" s="4"/>
      <c r="M36" s="4"/>
      <c r="N36" s="4"/>
      <c r="O36" s="4"/>
      <c r="P36" s="33"/>
      <c r="Q36" s="25">
        <v>0</v>
      </c>
      <c r="R36" s="25">
        <v>0</v>
      </c>
      <c r="S36" s="12">
        <f t="shared" si="8"/>
        <v>0</v>
      </c>
      <c r="T36" s="5">
        <v>0</v>
      </c>
      <c r="U36" s="12">
        <f t="shared" si="9"/>
        <v>0</v>
      </c>
      <c r="V36" s="25" t="s">
        <v>10</v>
      </c>
      <c r="W36" s="11">
        <f>IFERROR(VLOOKUP(V36,[1]Curr!$B$2:$C$13,2,FALSE),0)</f>
        <v>11.3</v>
      </c>
      <c r="X36" s="12">
        <f t="shared" si="10"/>
        <v>0</v>
      </c>
      <c r="Y36" s="26">
        <f t="shared" si="11"/>
        <v>0</v>
      </c>
      <c r="Z36" s="12">
        <f t="shared" si="4"/>
        <v>0</v>
      </c>
      <c r="AA36" s="4" t="s">
        <v>10</v>
      </c>
      <c r="AB36" s="11">
        <f>IFERROR(VLOOKUP(AA36,Curr!$B$2:$C$13,2,FALSE),0)</f>
        <v>11.3</v>
      </c>
      <c r="AC36" s="12">
        <f t="shared" si="5"/>
        <v>0</v>
      </c>
      <c r="AD36" s="12">
        <f t="shared" si="6"/>
        <v>0</v>
      </c>
      <c r="AE36" s="13">
        <f t="shared" si="7"/>
        <v>0</v>
      </c>
    </row>
    <row r="37" spans="2:31" x14ac:dyDescent="0.25">
      <c r="B37" s="4"/>
      <c r="C37" s="1" t="s">
        <v>72</v>
      </c>
      <c r="D37" s="1" t="s">
        <v>67</v>
      </c>
      <c r="E37" s="3"/>
      <c r="F37" s="3"/>
      <c r="G37" s="24"/>
      <c r="H37" s="24"/>
      <c r="J37" s="1" t="s">
        <v>142</v>
      </c>
      <c r="K37" s="4"/>
      <c r="L37" s="4"/>
      <c r="M37" s="4"/>
      <c r="N37" s="4"/>
      <c r="O37" s="4"/>
      <c r="P37" s="33"/>
      <c r="Q37" s="25">
        <v>0</v>
      </c>
      <c r="R37" s="25">
        <v>0</v>
      </c>
      <c r="S37" s="12">
        <f t="shared" si="8"/>
        <v>0</v>
      </c>
      <c r="T37" s="5">
        <v>0</v>
      </c>
      <c r="U37" s="12">
        <f t="shared" si="9"/>
        <v>0</v>
      </c>
      <c r="V37" s="25" t="s">
        <v>10</v>
      </c>
      <c r="W37" s="11">
        <f>IFERROR(VLOOKUP(V37,[1]Curr!$B$2:$C$13,2,FALSE),0)</f>
        <v>11.3</v>
      </c>
      <c r="X37" s="12">
        <f t="shared" si="10"/>
        <v>0</v>
      </c>
      <c r="Y37" s="26">
        <f t="shared" si="11"/>
        <v>0</v>
      </c>
      <c r="Z37" s="12">
        <f t="shared" si="4"/>
        <v>0</v>
      </c>
      <c r="AA37" s="4" t="s">
        <v>10</v>
      </c>
      <c r="AB37" s="11">
        <f>IFERROR(VLOOKUP(AA37,Curr!$B$2:$C$13,2,FALSE),0)</f>
        <v>11.3</v>
      </c>
      <c r="AC37" s="12">
        <f t="shared" si="5"/>
        <v>0</v>
      </c>
      <c r="AD37" s="12">
        <f t="shared" si="6"/>
        <v>0</v>
      </c>
      <c r="AE37" s="13">
        <f t="shared" si="7"/>
        <v>0</v>
      </c>
    </row>
    <row r="38" spans="2:31" x14ac:dyDescent="0.25">
      <c r="B38" s="4"/>
      <c r="C38" s="1" t="s">
        <v>72</v>
      </c>
      <c r="D38" s="1" t="s">
        <v>58</v>
      </c>
      <c r="E38" s="3"/>
      <c r="F38" s="3"/>
      <c r="G38" s="24"/>
      <c r="H38" s="24"/>
      <c r="J38" s="1" t="s">
        <v>131</v>
      </c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8"/>
        <v>0</v>
      </c>
      <c r="T38" s="5">
        <v>0</v>
      </c>
      <c r="U38" s="12">
        <f t="shared" si="9"/>
        <v>0</v>
      </c>
      <c r="V38" s="25" t="s">
        <v>10</v>
      </c>
      <c r="W38" s="11">
        <f>IFERROR(VLOOKUP(V38,[1]Curr!$B$2:$C$13,2,FALSE),0)</f>
        <v>11.3</v>
      </c>
      <c r="X38" s="12">
        <f t="shared" si="10"/>
        <v>0</v>
      </c>
      <c r="Y38" s="26">
        <f t="shared" si="11"/>
        <v>0</v>
      </c>
      <c r="Z38" s="12">
        <f t="shared" si="4"/>
        <v>0</v>
      </c>
      <c r="AA38" s="4" t="s">
        <v>10</v>
      </c>
      <c r="AB38" s="11">
        <f>IFERROR(VLOOKUP(AA38,Curr!$B$2:$C$13,2,FALSE),0)</f>
        <v>11.3</v>
      </c>
      <c r="AC38" s="12">
        <f t="shared" si="5"/>
        <v>0</v>
      </c>
      <c r="AD38" s="12">
        <f t="shared" si="6"/>
        <v>0</v>
      </c>
      <c r="AE38" s="13">
        <f t="shared" si="7"/>
        <v>0</v>
      </c>
    </row>
    <row r="39" spans="2:31" x14ac:dyDescent="0.25">
      <c r="B39" s="4"/>
      <c r="C39" s="1" t="s">
        <v>72</v>
      </c>
      <c r="D39" s="1" t="s">
        <v>59</v>
      </c>
      <c r="E39" s="3"/>
      <c r="F39" s="3"/>
      <c r="G39" s="24"/>
      <c r="H39" s="24"/>
      <c r="J39" s="1" t="s">
        <v>110</v>
      </c>
      <c r="K39" s="4"/>
      <c r="L39" s="4"/>
      <c r="M39" s="4"/>
      <c r="N39" s="4"/>
      <c r="O39" s="4"/>
      <c r="P39" s="33"/>
      <c r="Q39" s="25">
        <v>220</v>
      </c>
      <c r="R39" s="25">
        <v>1</v>
      </c>
      <c r="S39" s="12">
        <f t="shared" si="8"/>
        <v>220</v>
      </c>
      <c r="T39" s="5">
        <v>0</v>
      </c>
      <c r="U39" s="12">
        <f t="shared" si="9"/>
        <v>220</v>
      </c>
      <c r="V39" s="25" t="s">
        <v>10</v>
      </c>
      <c r="W39" s="11">
        <f>IFERROR(VLOOKUP(V39,[1]Curr!$B$2:$C$13,2,FALSE),0)</f>
        <v>11.3</v>
      </c>
      <c r="X39" s="12">
        <f t="shared" si="10"/>
        <v>2486</v>
      </c>
      <c r="Y39" s="26">
        <f>Q39/0.8</f>
        <v>275</v>
      </c>
      <c r="Z39" s="12">
        <f t="shared" si="4"/>
        <v>275</v>
      </c>
      <c r="AA39" s="4" t="s">
        <v>10</v>
      </c>
      <c r="AB39" s="11">
        <f>IFERROR(VLOOKUP(AA39,Curr!$B$2:$C$13,2,FALSE),0)</f>
        <v>11.3</v>
      </c>
      <c r="AC39" s="12">
        <f t="shared" si="5"/>
        <v>3107.5</v>
      </c>
      <c r="AD39" s="12">
        <f t="shared" si="6"/>
        <v>621.5</v>
      </c>
      <c r="AE39" s="13">
        <f t="shared" si="7"/>
        <v>0.2</v>
      </c>
    </row>
    <row r="40" spans="2:31" x14ac:dyDescent="0.25">
      <c r="B40" s="4"/>
      <c r="C40" s="1" t="s">
        <v>72</v>
      </c>
      <c r="D40" s="1" t="s">
        <v>60</v>
      </c>
      <c r="E40" s="3"/>
      <c r="F40" s="3"/>
      <c r="G40" s="24"/>
      <c r="H40" s="24"/>
      <c r="J40" s="1" t="s">
        <v>92</v>
      </c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8"/>
        <v>0</v>
      </c>
      <c r="T40" s="5">
        <v>0</v>
      </c>
      <c r="U40" s="12">
        <f t="shared" si="9"/>
        <v>0</v>
      </c>
      <c r="V40" s="25" t="s">
        <v>10</v>
      </c>
      <c r="W40" s="11">
        <f>IFERROR(VLOOKUP(V40,[1]Curr!$B$2:$C$13,2,FALSE),0)</f>
        <v>11.3</v>
      </c>
      <c r="X40" s="12">
        <f t="shared" si="10"/>
        <v>0</v>
      </c>
      <c r="Y40" s="26">
        <f t="shared" ref="Y40" si="14">Q40</f>
        <v>0</v>
      </c>
      <c r="Z40" s="12">
        <f t="shared" si="4"/>
        <v>0</v>
      </c>
      <c r="AA40" s="4" t="s">
        <v>10</v>
      </c>
      <c r="AB40" s="11">
        <f>IFERROR(VLOOKUP(AA40,Curr!$B$2:$C$13,2,FALSE),0)</f>
        <v>11.3</v>
      </c>
      <c r="AC40" s="12">
        <f t="shared" si="5"/>
        <v>0</v>
      </c>
      <c r="AD40" s="12">
        <f t="shared" si="6"/>
        <v>0</v>
      </c>
      <c r="AE40" s="13">
        <f t="shared" si="7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33"/>
      <c r="Q41" s="25"/>
      <c r="R41" s="25"/>
      <c r="S41" s="12">
        <f t="shared" si="8"/>
        <v>0</v>
      </c>
      <c r="T41" s="5">
        <v>0</v>
      </c>
      <c r="U41" s="12">
        <f t="shared" si="9"/>
        <v>0</v>
      </c>
      <c r="V41" s="25" t="s">
        <v>10</v>
      </c>
      <c r="W41" s="11">
        <f>IFERROR(VLOOKUP(V41,[1]Curr!$B$2:$C$13,2,FALSE),0)</f>
        <v>11.3</v>
      </c>
      <c r="X41" s="12">
        <f t="shared" si="10"/>
        <v>0</v>
      </c>
      <c r="Y41" s="26">
        <f t="shared" si="11"/>
        <v>0</v>
      </c>
      <c r="Z41" s="12">
        <f t="shared" si="4"/>
        <v>0</v>
      </c>
      <c r="AA41" s="4" t="s">
        <v>10</v>
      </c>
      <c r="AB41" s="11">
        <f>IFERROR(VLOOKUP(AA41,Curr!$B$2:$C$13,2,FALSE),0)</f>
        <v>11.3</v>
      </c>
      <c r="AC41" s="12">
        <f t="shared" si="5"/>
        <v>0</v>
      </c>
      <c r="AD41" s="12">
        <f t="shared" si="6"/>
        <v>0</v>
      </c>
      <c r="AE41" s="13">
        <f t="shared" si="7"/>
        <v>0</v>
      </c>
    </row>
    <row r="42" spans="2:31" x14ac:dyDescent="0.25">
      <c r="B42" s="4"/>
      <c r="C42" s="1" t="s">
        <v>93</v>
      </c>
      <c r="D42" s="1" t="s">
        <v>58</v>
      </c>
      <c r="E42" s="3"/>
      <c r="F42" s="3"/>
      <c r="G42" s="24"/>
      <c r="H42" s="24"/>
      <c r="J42" s="1" t="s">
        <v>137</v>
      </c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8"/>
        <v>0</v>
      </c>
      <c r="T42" s="5">
        <v>0</v>
      </c>
      <c r="U42" s="12">
        <f t="shared" si="9"/>
        <v>0</v>
      </c>
      <c r="V42" s="25" t="s">
        <v>10</v>
      </c>
      <c r="W42" s="11">
        <f>IFERROR(VLOOKUP(V42,[1]Curr!$B$2:$C$13,2,FALSE),0)</f>
        <v>11.3</v>
      </c>
      <c r="X42" s="12">
        <f t="shared" si="10"/>
        <v>0</v>
      </c>
      <c r="Y42" s="26">
        <f t="shared" si="11"/>
        <v>0</v>
      </c>
      <c r="Z42" s="12">
        <f t="shared" si="4"/>
        <v>0</v>
      </c>
      <c r="AA42" s="4" t="s">
        <v>10</v>
      </c>
      <c r="AB42" s="11">
        <f>IFERROR(VLOOKUP(AA42,Curr!$B$2:$C$13,2,FALSE),0)</f>
        <v>11.3</v>
      </c>
      <c r="AC42" s="12">
        <f t="shared" si="5"/>
        <v>0</v>
      </c>
      <c r="AD42" s="12">
        <f t="shared" si="6"/>
        <v>0</v>
      </c>
      <c r="AE42" s="13">
        <f t="shared" si="7"/>
        <v>0</v>
      </c>
    </row>
    <row r="43" spans="2:31" x14ac:dyDescent="0.25">
      <c r="B43" s="4"/>
      <c r="C43" s="1" t="s">
        <v>93</v>
      </c>
      <c r="D43" s="1" t="s">
        <v>67</v>
      </c>
      <c r="E43" s="3"/>
      <c r="F43" s="3"/>
      <c r="G43" s="24"/>
      <c r="H43" s="24"/>
      <c r="J43" s="1" t="s">
        <v>143</v>
      </c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 t="shared" si="8"/>
        <v>0</v>
      </c>
      <c r="T43" s="5">
        <v>0</v>
      </c>
      <c r="U43" s="12">
        <f t="shared" si="9"/>
        <v>0</v>
      </c>
      <c r="V43" s="25" t="s">
        <v>10</v>
      </c>
      <c r="W43" s="11">
        <f>IFERROR(VLOOKUP(V43,[1]Curr!$B$2:$C$13,2,FALSE),0)</f>
        <v>11.3</v>
      </c>
      <c r="X43" s="12">
        <f t="shared" si="10"/>
        <v>0</v>
      </c>
      <c r="Y43" s="26">
        <f t="shared" si="11"/>
        <v>0</v>
      </c>
      <c r="Z43" s="12">
        <f t="shared" si="4"/>
        <v>0</v>
      </c>
      <c r="AA43" s="4" t="s">
        <v>10</v>
      </c>
      <c r="AB43" s="11">
        <f>IFERROR(VLOOKUP(AA43,Curr!$B$2:$C$13,2,FALSE),0)</f>
        <v>11.3</v>
      </c>
      <c r="AC43" s="12">
        <f t="shared" si="5"/>
        <v>0</v>
      </c>
      <c r="AD43" s="12">
        <f t="shared" si="6"/>
        <v>0</v>
      </c>
      <c r="AE43" s="13">
        <f t="shared" si="7"/>
        <v>0</v>
      </c>
    </row>
    <row r="44" spans="2:31" x14ac:dyDescent="0.25">
      <c r="B44" s="4"/>
      <c r="C44" s="1" t="s">
        <v>93</v>
      </c>
      <c r="D44" s="1" t="s">
        <v>58</v>
      </c>
      <c r="E44" s="3"/>
      <c r="F44" s="3"/>
      <c r="G44" s="24"/>
      <c r="H44" s="24"/>
      <c r="J44" s="1" t="s">
        <v>63</v>
      </c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8"/>
        <v>0</v>
      </c>
      <c r="T44" s="5">
        <v>0</v>
      </c>
      <c r="U44" s="12">
        <f t="shared" si="9"/>
        <v>0</v>
      </c>
      <c r="V44" s="25" t="s">
        <v>10</v>
      </c>
      <c r="W44" s="11">
        <f>IFERROR(VLOOKUP(V44,[1]Curr!$B$2:$C$13,2,FALSE),0)</f>
        <v>11.3</v>
      </c>
      <c r="X44" s="12">
        <f t="shared" si="10"/>
        <v>0</v>
      </c>
      <c r="Y44" s="26">
        <f t="shared" si="11"/>
        <v>0</v>
      </c>
      <c r="Z44" s="12">
        <f t="shared" si="4"/>
        <v>0</v>
      </c>
      <c r="AA44" s="4" t="s">
        <v>10</v>
      </c>
      <c r="AB44" s="11">
        <f>IFERROR(VLOOKUP(AA44,Curr!$B$2:$C$13,2,FALSE),0)</f>
        <v>11.3</v>
      </c>
      <c r="AC44" s="12">
        <f t="shared" si="5"/>
        <v>0</v>
      </c>
      <c r="AD44" s="12">
        <f t="shared" si="6"/>
        <v>0</v>
      </c>
      <c r="AE44" s="13">
        <f t="shared" si="7"/>
        <v>0</v>
      </c>
    </row>
    <row r="45" spans="2:31" x14ac:dyDescent="0.25">
      <c r="B45" s="4"/>
      <c r="C45" s="1" t="s">
        <v>93</v>
      </c>
      <c r="D45" s="1" t="s">
        <v>59</v>
      </c>
      <c r="E45" s="3"/>
      <c r="F45" s="3"/>
      <c r="G45" s="24"/>
      <c r="H45" s="24"/>
      <c r="J45" s="1" t="s">
        <v>106</v>
      </c>
      <c r="K45" s="4"/>
      <c r="L45" s="4"/>
      <c r="M45" s="4"/>
      <c r="N45" s="4"/>
      <c r="O45" s="4"/>
      <c r="P45" s="33"/>
      <c r="Q45" s="25">
        <v>200</v>
      </c>
      <c r="R45" s="25">
        <v>1</v>
      </c>
      <c r="S45" s="12">
        <f t="shared" si="8"/>
        <v>200</v>
      </c>
      <c r="T45" s="5">
        <v>0</v>
      </c>
      <c r="U45" s="12">
        <f t="shared" si="9"/>
        <v>200</v>
      </c>
      <c r="V45" s="25" t="s">
        <v>10</v>
      </c>
      <c r="W45" s="11">
        <f>IFERROR(VLOOKUP(V45,[1]Curr!$B$2:$C$13,2,FALSE),0)</f>
        <v>11.3</v>
      </c>
      <c r="X45" s="12">
        <f t="shared" si="10"/>
        <v>2260</v>
      </c>
      <c r="Y45" s="26">
        <f>Q45/0.8</f>
        <v>250</v>
      </c>
      <c r="Z45" s="12">
        <f t="shared" si="4"/>
        <v>250</v>
      </c>
      <c r="AA45" s="4" t="s">
        <v>10</v>
      </c>
      <c r="AB45" s="11">
        <f>IFERROR(VLOOKUP(AA45,Curr!$B$2:$C$13,2,FALSE),0)</f>
        <v>11.3</v>
      </c>
      <c r="AC45" s="12">
        <f t="shared" si="5"/>
        <v>2825</v>
      </c>
      <c r="AD45" s="12">
        <f t="shared" si="6"/>
        <v>565</v>
      </c>
      <c r="AE45" s="13">
        <f t="shared" si="7"/>
        <v>0.2</v>
      </c>
    </row>
    <row r="46" spans="2:31" x14ac:dyDescent="0.25">
      <c r="B46" s="4"/>
      <c r="C46" s="1" t="s">
        <v>93</v>
      </c>
      <c r="D46" s="1" t="s">
        <v>60</v>
      </c>
      <c r="E46" s="3"/>
      <c r="F46" s="3"/>
      <c r="G46" s="24"/>
      <c r="H46" s="24"/>
      <c r="J46" s="1" t="s">
        <v>65</v>
      </c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 t="shared" si="8"/>
        <v>0</v>
      </c>
      <c r="T46" s="5">
        <v>0</v>
      </c>
      <c r="U46" s="12">
        <f t="shared" si="9"/>
        <v>0</v>
      </c>
      <c r="V46" s="25" t="s">
        <v>10</v>
      </c>
      <c r="W46" s="11">
        <f>IFERROR(VLOOKUP(V46,[1]Curr!$B$2:$C$13,2,FALSE),0)</f>
        <v>11.3</v>
      </c>
      <c r="X46" s="12">
        <f t="shared" si="10"/>
        <v>0</v>
      </c>
      <c r="Y46" s="26">
        <f t="shared" ref="Y46" si="15">Q46</f>
        <v>0</v>
      </c>
      <c r="Z46" s="12">
        <f t="shared" si="4"/>
        <v>0</v>
      </c>
      <c r="AA46" s="4" t="s">
        <v>10</v>
      </c>
      <c r="AB46" s="11">
        <f>IFERROR(VLOOKUP(AA46,Curr!$B$2:$C$13,2,FALSE),0)</f>
        <v>11.3</v>
      </c>
      <c r="AC46" s="12">
        <f t="shared" si="5"/>
        <v>0</v>
      </c>
      <c r="AD46" s="12">
        <f t="shared" si="6"/>
        <v>0</v>
      </c>
      <c r="AE46" s="13">
        <f t="shared" si="7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/>
      <c r="R47" s="25"/>
      <c r="S47" s="12">
        <f t="shared" si="8"/>
        <v>0</v>
      </c>
      <c r="T47" s="5">
        <v>0</v>
      </c>
      <c r="U47" s="12">
        <f t="shared" si="9"/>
        <v>0</v>
      </c>
      <c r="V47" s="25" t="s">
        <v>10</v>
      </c>
      <c r="W47" s="11">
        <f>IFERROR(VLOOKUP(V47,[1]Curr!$B$2:$C$13,2,FALSE),0)</f>
        <v>11.3</v>
      </c>
      <c r="X47" s="12">
        <f t="shared" si="10"/>
        <v>0</v>
      </c>
      <c r="Y47" s="26">
        <f t="shared" si="11"/>
        <v>0</v>
      </c>
      <c r="Z47" s="12">
        <f t="shared" si="4"/>
        <v>0</v>
      </c>
      <c r="AA47" s="4" t="s">
        <v>10</v>
      </c>
      <c r="AB47" s="11">
        <f>IFERROR(VLOOKUP(AA47,Curr!$B$2:$C$13,2,FALSE),0)</f>
        <v>11.3</v>
      </c>
      <c r="AC47" s="12">
        <f t="shared" si="5"/>
        <v>0</v>
      </c>
      <c r="AD47" s="12">
        <f t="shared" si="6"/>
        <v>0</v>
      </c>
      <c r="AE47" s="13">
        <f t="shared" si="7"/>
        <v>0</v>
      </c>
    </row>
    <row r="48" spans="2:31" x14ac:dyDescent="0.25">
      <c r="B48" s="4"/>
      <c r="C48" s="1" t="s">
        <v>94</v>
      </c>
      <c r="D48" s="1" t="s">
        <v>58</v>
      </c>
      <c r="E48" s="3"/>
      <c r="F48" s="3"/>
      <c r="G48" s="24"/>
      <c r="H48" s="24"/>
      <c r="J48" s="1" t="s">
        <v>80</v>
      </c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 t="shared" si="8"/>
        <v>0</v>
      </c>
      <c r="T48" s="5">
        <v>0</v>
      </c>
      <c r="U48" s="12">
        <f t="shared" si="9"/>
        <v>0</v>
      </c>
      <c r="V48" s="25" t="s">
        <v>10</v>
      </c>
      <c r="W48" s="11">
        <f>IFERROR(VLOOKUP(V48,[1]Curr!$B$2:$C$13,2,FALSE),0)</f>
        <v>11.3</v>
      </c>
      <c r="X48" s="12">
        <f t="shared" si="10"/>
        <v>0</v>
      </c>
      <c r="Y48" s="26">
        <f t="shared" si="11"/>
        <v>0</v>
      </c>
      <c r="Z48" s="12">
        <f t="shared" si="4"/>
        <v>0</v>
      </c>
      <c r="AA48" s="4" t="s">
        <v>10</v>
      </c>
      <c r="AB48" s="11">
        <f>IFERROR(VLOOKUP(AA48,Curr!$B$2:$C$13,2,FALSE),0)</f>
        <v>11.3</v>
      </c>
      <c r="AC48" s="12">
        <f t="shared" si="5"/>
        <v>0</v>
      </c>
      <c r="AD48" s="12">
        <f t="shared" si="6"/>
        <v>0</v>
      </c>
      <c r="AE48" s="13">
        <f t="shared" si="7"/>
        <v>0</v>
      </c>
    </row>
    <row r="49" spans="2:36" x14ac:dyDescent="0.25">
      <c r="B49" s="4"/>
      <c r="C49" s="1" t="s">
        <v>94</v>
      </c>
      <c r="D49" s="1" t="s">
        <v>74</v>
      </c>
      <c r="E49" s="3"/>
      <c r="F49" s="3"/>
      <c r="G49" s="24"/>
      <c r="H49" s="24"/>
      <c r="J49" s="1" t="s">
        <v>97</v>
      </c>
      <c r="K49" s="4"/>
      <c r="L49" s="4"/>
      <c r="M49" s="4"/>
      <c r="N49" s="4"/>
      <c r="O49" s="4"/>
      <c r="P49" s="33"/>
      <c r="Q49" s="25">
        <v>0</v>
      </c>
      <c r="R49" s="25">
        <v>0</v>
      </c>
      <c r="S49" s="12">
        <f t="shared" si="8"/>
        <v>0</v>
      </c>
      <c r="T49" s="5">
        <v>0</v>
      </c>
      <c r="U49" s="12">
        <f t="shared" si="9"/>
        <v>0</v>
      </c>
      <c r="V49" s="25" t="s">
        <v>10</v>
      </c>
      <c r="W49" s="11">
        <f>IFERROR(VLOOKUP(V49,[1]Curr!$B$2:$C$13,2,FALSE),0)</f>
        <v>11.3</v>
      </c>
      <c r="X49" s="12">
        <f t="shared" si="10"/>
        <v>0</v>
      </c>
      <c r="Y49" s="26">
        <f t="shared" si="11"/>
        <v>0</v>
      </c>
      <c r="Z49" s="12">
        <f t="shared" si="4"/>
        <v>0</v>
      </c>
      <c r="AA49" s="4" t="s">
        <v>10</v>
      </c>
      <c r="AB49" s="11">
        <f>IFERROR(VLOOKUP(AA49,Curr!$B$2:$C$13,2,FALSE),0)</f>
        <v>11.3</v>
      </c>
      <c r="AC49" s="12">
        <f t="shared" si="5"/>
        <v>0</v>
      </c>
      <c r="AD49" s="12">
        <f t="shared" si="6"/>
        <v>0</v>
      </c>
      <c r="AE49" s="13">
        <f t="shared" si="7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8"/>
        <v>0</v>
      </c>
      <c r="T50" s="5">
        <v>0</v>
      </c>
      <c r="U50" s="12">
        <f t="shared" si="9"/>
        <v>0</v>
      </c>
      <c r="V50" s="25" t="s">
        <v>10</v>
      </c>
      <c r="W50" s="11">
        <f>IFERROR(VLOOKUP(V50,[1]Curr!$B$2:$C$13,2,FALSE),0)</f>
        <v>11.3</v>
      </c>
      <c r="X50" s="12">
        <f t="shared" si="10"/>
        <v>0</v>
      </c>
      <c r="Y50" s="26">
        <f t="shared" si="11"/>
        <v>0</v>
      </c>
      <c r="Z50" s="12">
        <f t="shared" si="4"/>
        <v>0</v>
      </c>
      <c r="AA50" s="4" t="s">
        <v>10</v>
      </c>
      <c r="AB50" s="11">
        <f>IFERROR(VLOOKUP(AA50,Curr!$B$2:$C$13,2,FALSE),0)</f>
        <v>11.3</v>
      </c>
      <c r="AC50" s="12">
        <f t="shared" si="5"/>
        <v>0</v>
      </c>
      <c r="AD50" s="12">
        <f t="shared" si="6"/>
        <v>0</v>
      </c>
      <c r="AE50" s="13">
        <f t="shared" si="7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8"/>
        <v>0</v>
      </c>
      <c r="T51" s="5">
        <v>0</v>
      </c>
      <c r="U51" s="12">
        <f t="shared" si="9"/>
        <v>0</v>
      </c>
      <c r="V51" s="25" t="s">
        <v>10</v>
      </c>
      <c r="W51" s="11">
        <f>IFERROR(VLOOKUP(V51,[1]Curr!$B$2:$C$13,2,FALSE),0)</f>
        <v>11.3</v>
      </c>
      <c r="X51" s="12">
        <f t="shared" si="10"/>
        <v>0</v>
      </c>
      <c r="Y51" s="26">
        <f t="shared" si="11"/>
        <v>0</v>
      </c>
      <c r="Z51" s="12">
        <f t="shared" si="4"/>
        <v>0</v>
      </c>
      <c r="AA51" s="4" t="s">
        <v>10</v>
      </c>
      <c r="AB51" s="11">
        <f>IFERROR(VLOOKUP(AA51,Curr!$B$2:$C$13,2,FALSE),0)</f>
        <v>11.3</v>
      </c>
      <c r="AC51" s="12">
        <f t="shared" si="5"/>
        <v>0</v>
      </c>
      <c r="AD51" s="12">
        <f t="shared" si="6"/>
        <v>0</v>
      </c>
      <c r="AE51" s="13">
        <f t="shared" si="7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8"/>
        <v>0</v>
      </c>
      <c r="T52" s="5">
        <v>0</v>
      </c>
      <c r="U52" s="12">
        <f t="shared" si="9"/>
        <v>0</v>
      </c>
      <c r="V52" s="25" t="s">
        <v>10</v>
      </c>
      <c r="W52" s="11">
        <f>IFERROR(VLOOKUP(V52,[1]Curr!$B$2:$C$13,2,FALSE),0)</f>
        <v>11.3</v>
      </c>
      <c r="X52" s="12">
        <f t="shared" si="10"/>
        <v>0</v>
      </c>
      <c r="Y52" s="26">
        <f t="shared" si="11"/>
        <v>0</v>
      </c>
      <c r="Z52" s="12">
        <f t="shared" si="4"/>
        <v>0</v>
      </c>
      <c r="AA52" s="4" t="s">
        <v>10</v>
      </c>
      <c r="AB52" s="11">
        <f>IFERROR(VLOOKUP(AA52,Curr!$B$2:$C$13,2,FALSE),0)</f>
        <v>11.3</v>
      </c>
      <c r="AC52" s="12">
        <f t="shared" si="5"/>
        <v>0</v>
      </c>
      <c r="AD52" s="12">
        <f t="shared" si="6"/>
        <v>0</v>
      </c>
      <c r="AE52" s="13">
        <f t="shared" si="7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/>
      <c r="R53" s="25"/>
      <c r="S53" s="12">
        <f t="shared" si="8"/>
        <v>0</v>
      </c>
      <c r="T53" s="5">
        <v>0</v>
      </c>
      <c r="U53" s="12">
        <f t="shared" si="9"/>
        <v>0</v>
      </c>
      <c r="V53" s="25" t="s">
        <v>10</v>
      </c>
      <c r="W53" s="11">
        <f>IFERROR(VLOOKUP(V53,[1]Curr!$B$2:$C$13,2,FALSE),0)</f>
        <v>11.3</v>
      </c>
      <c r="X53" s="12">
        <f t="shared" si="10"/>
        <v>0</v>
      </c>
      <c r="Y53" s="26">
        <f t="shared" si="11"/>
        <v>0</v>
      </c>
      <c r="Z53" s="12">
        <f t="shared" si="4"/>
        <v>0</v>
      </c>
      <c r="AA53" s="4" t="s">
        <v>10</v>
      </c>
      <c r="AB53" s="11">
        <f>IFERROR(VLOOKUP(AA53,Curr!$B$2:$C$13,2,FALSE),0)</f>
        <v>11.3</v>
      </c>
      <c r="AC53" s="12">
        <f t="shared" si="5"/>
        <v>0</v>
      </c>
      <c r="AD53" s="12">
        <f t="shared" si="6"/>
        <v>0</v>
      </c>
      <c r="AE53" s="13">
        <f t="shared" si="7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8"/>
        <v>0</v>
      </c>
      <c r="T54" s="5">
        <v>0</v>
      </c>
      <c r="U54" s="12">
        <f t="shared" si="9"/>
        <v>0</v>
      </c>
      <c r="V54" s="25" t="s">
        <v>10</v>
      </c>
      <c r="W54" s="11">
        <f>IFERROR(VLOOKUP(V54,[1]Curr!$B$2:$C$13,2,FALSE),0)</f>
        <v>11.3</v>
      </c>
      <c r="X54" s="12">
        <f t="shared" si="10"/>
        <v>0</v>
      </c>
      <c r="Y54" s="26">
        <f t="shared" si="11"/>
        <v>0</v>
      </c>
      <c r="Z54" s="12">
        <f t="shared" si="4"/>
        <v>0</v>
      </c>
      <c r="AA54" s="4" t="s">
        <v>10</v>
      </c>
      <c r="AB54" s="11">
        <f>IFERROR(VLOOKUP(AA54,Curr!$B$2:$C$13,2,FALSE),0)</f>
        <v>11.3</v>
      </c>
      <c r="AC54" s="12">
        <f t="shared" si="5"/>
        <v>0</v>
      </c>
      <c r="AD54" s="12">
        <f t="shared" si="6"/>
        <v>0</v>
      </c>
      <c r="AE54" s="13">
        <f t="shared" si="7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8"/>
        <v>0</v>
      </c>
      <c r="T55" s="5">
        <v>0</v>
      </c>
      <c r="U55" s="12">
        <f t="shared" si="9"/>
        <v>0</v>
      </c>
      <c r="V55" s="25" t="s">
        <v>10</v>
      </c>
      <c r="W55" s="11">
        <f>IFERROR(VLOOKUP(V55,[1]Curr!$B$2:$C$13,2,FALSE),0)</f>
        <v>11.3</v>
      </c>
      <c r="X55" s="12">
        <f t="shared" si="10"/>
        <v>0</v>
      </c>
      <c r="Y55" s="26">
        <f t="shared" si="11"/>
        <v>0</v>
      </c>
      <c r="Z55" s="12">
        <f t="shared" si="4"/>
        <v>0</v>
      </c>
      <c r="AA55" s="4" t="s">
        <v>10</v>
      </c>
      <c r="AB55" s="11">
        <f>IFERROR(VLOOKUP(AA55,Curr!$B$2:$C$13,2,FALSE),0)</f>
        <v>11.3</v>
      </c>
      <c r="AC55" s="12">
        <f t="shared" si="5"/>
        <v>0</v>
      </c>
      <c r="AD55" s="12">
        <f t="shared" si="6"/>
        <v>0</v>
      </c>
      <c r="AE55" s="13">
        <f t="shared" si="7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8"/>
        <v>0</v>
      </c>
      <c r="T56" s="5">
        <v>0</v>
      </c>
      <c r="U56" s="12">
        <f t="shared" si="9"/>
        <v>0</v>
      </c>
      <c r="V56" s="25" t="s">
        <v>10</v>
      </c>
      <c r="W56" s="11">
        <f>IFERROR(VLOOKUP(V56,[1]Curr!$B$2:$C$13,2,FALSE),0)</f>
        <v>11.3</v>
      </c>
      <c r="X56" s="12">
        <f t="shared" si="10"/>
        <v>0</v>
      </c>
      <c r="Y56" s="26">
        <f t="shared" si="11"/>
        <v>0</v>
      </c>
      <c r="Z56" s="12">
        <f t="shared" si="4"/>
        <v>0</v>
      </c>
      <c r="AA56" s="4" t="s">
        <v>10</v>
      </c>
      <c r="AB56" s="11">
        <f>IFERROR(VLOOKUP(AA56,Curr!$B$2:$C$13,2,FALSE),0)</f>
        <v>11.3</v>
      </c>
      <c r="AC56" s="12">
        <f t="shared" si="5"/>
        <v>0</v>
      </c>
      <c r="AD56" s="12">
        <f t="shared" si="6"/>
        <v>0</v>
      </c>
      <c r="AE56" s="13">
        <f t="shared" si="7"/>
        <v>0</v>
      </c>
    </row>
    <row r="57" spans="2:36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/>
      <c r="R57" s="25"/>
      <c r="S57" s="12">
        <f t="shared" si="8"/>
        <v>0</v>
      </c>
      <c r="T57" s="5">
        <v>0</v>
      </c>
      <c r="U57" s="12">
        <f t="shared" si="9"/>
        <v>0</v>
      </c>
      <c r="V57" s="25" t="s">
        <v>10</v>
      </c>
      <c r="W57" s="11">
        <f>IFERROR(VLOOKUP(V57,[1]Curr!$B$2:$C$13,2,FALSE),0)</f>
        <v>11.3</v>
      </c>
      <c r="X57" s="12">
        <f t="shared" si="10"/>
        <v>0</v>
      </c>
      <c r="Y57" s="26">
        <f t="shared" si="11"/>
        <v>0</v>
      </c>
      <c r="Z57" s="12">
        <f t="shared" si="4"/>
        <v>0</v>
      </c>
      <c r="AA57" s="4" t="s">
        <v>10</v>
      </c>
      <c r="AB57" s="11">
        <f>IFERROR(VLOOKUP(AA57,Curr!$B$2:$C$13,2,FALSE),0)</f>
        <v>11.3</v>
      </c>
      <c r="AC57" s="12">
        <f t="shared" si="5"/>
        <v>0</v>
      </c>
      <c r="AD57" s="12">
        <f t="shared" si="6"/>
        <v>0</v>
      </c>
      <c r="AE57" s="13">
        <f t="shared" si="7"/>
        <v>0</v>
      </c>
    </row>
    <row r="58" spans="2:36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/>
      <c r="R58" s="25"/>
      <c r="S58" s="12">
        <f t="shared" si="8"/>
        <v>0</v>
      </c>
      <c r="T58" s="5">
        <v>0</v>
      </c>
      <c r="U58" s="12">
        <f t="shared" si="9"/>
        <v>0</v>
      </c>
      <c r="V58" s="25" t="s">
        <v>10</v>
      </c>
      <c r="W58" s="11">
        <f>IFERROR(VLOOKUP(V58,[1]Curr!$B$2:$C$13,2,FALSE),0)</f>
        <v>11.3</v>
      </c>
      <c r="X58" s="12">
        <f t="shared" si="10"/>
        <v>0</v>
      </c>
      <c r="Y58" s="26">
        <f t="shared" si="11"/>
        <v>0</v>
      </c>
      <c r="Z58" s="12">
        <f t="shared" si="4"/>
        <v>0</v>
      </c>
      <c r="AA58" s="4" t="s">
        <v>10</v>
      </c>
      <c r="AB58" s="11">
        <f>IFERROR(VLOOKUP(AA58,Curr!$B$2:$C$13,2,FALSE),0)</f>
        <v>11.3</v>
      </c>
      <c r="AC58" s="12">
        <f t="shared" si="5"/>
        <v>0</v>
      </c>
      <c r="AD58" s="12">
        <f t="shared" si="6"/>
        <v>0</v>
      </c>
      <c r="AE58" s="13">
        <f t="shared" si="7"/>
        <v>0</v>
      </c>
    </row>
    <row r="59" spans="2:36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27"/>
      <c r="Q59" s="25"/>
      <c r="R59" s="25"/>
      <c r="S59" s="12">
        <f t="shared" si="8"/>
        <v>0</v>
      </c>
      <c r="T59" s="5">
        <v>0</v>
      </c>
      <c r="U59" s="12">
        <f t="shared" si="9"/>
        <v>0</v>
      </c>
      <c r="V59" s="25" t="s">
        <v>10</v>
      </c>
      <c r="W59" s="11">
        <f>IFERROR(VLOOKUP(V59,[1]Curr!$B$2:$C$13,2,FALSE),0)</f>
        <v>11.3</v>
      </c>
      <c r="X59" s="12">
        <f t="shared" si="10"/>
        <v>0</v>
      </c>
      <c r="Y59" s="26">
        <f t="shared" si="11"/>
        <v>0</v>
      </c>
      <c r="Z59" s="12">
        <f t="shared" si="4"/>
        <v>0</v>
      </c>
      <c r="AA59" s="4" t="s">
        <v>10</v>
      </c>
      <c r="AB59" s="11">
        <f>IFERROR(VLOOKUP(AA59,Curr!$B$2:$C$13,2,FALSE),0)</f>
        <v>11.3</v>
      </c>
      <c r="AC59" s="12">
        <f t="shared" si="5"/>
        <v>0</v>
      </c>
      <c r="AD59" s="12">
        <f t="shared" si="6"/>
        <v>0</v>
      </c>
      <c r="AE59" s="13">
        <f t="shared" si="7"/>
        <v>0</v>
      </c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P60" s="22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2:36" x14ac:dyDescent="0.25">
      <c r="B61" s="14" t="s">
        <v>18</v>
      </c>
      <c r="C61" s="14"/>
      <c r="D61" s="28" t="s">
        <v>42</v>
      </c>
      <c r="E61" s="30" t="s">
        <v>42</v>
      </c>
      <c r="F61" s="30" t="s">
        <v>42</v>
      </c>
      <c r="G61" s="30" t="s">
        <v>42</v>
      </c>
      <c r="H61" s="30" t="s">
        <v>42</v>
      </c>
      <c r="I61" s="28" t="s">
        <v>42</v>
      </c>
      <c r="J61" s="28" t="s">
        <v>42</v>
      </c>
      <c r="K61" s="28" t="s">
        <v>42</v>
      </c>
      <c r="L61" s="28" t="s">
        <v>42</v>
      </c>
      <c r="M61" s="28" t="s">
        <v>42</v>
      </c>
      <c r="N61" s="28" t="s">
        <v>42</v>
      </c>
      <c r="O61" s="28" t="s">
        <v>42</v>
      </c>
      <c r="P61" s="28" t="s">
        <v>42</v>
      </c>
      <c r="Q61" s="31" t="s">
        <v>42</v>
      </c>
      <c r="R61" s="28" t="s">
        <v>42</v>
      </c>
      <c r="S61" s="32" t="s">
        <v>42</v>
      </c>
      <c r="T61" s="28" t="s">
        <v>42</v>
      </c>
      <c r="U61" s="32" t="s">
        <v>42</v>
      </c>
      <c r="V61" s="28" t="s">
        <v>42</v>
      </c>
      <c r="W61" s="28" t="s">
        <v>42</v>
      </c>
      <c r="X61" s="32" t="s">
        <v>42</v>
      </c>
      <c r="Y61" s="32" t="s">
        <v>42</v>
      </c>
      <c r="Z61" s="15">
        <f>SUM(Z7:Z59)</f>
        <v>1567.1686746987953</v>
      </c>
      <c r="AA61" s="14"/>
      <c r="AB61" s="14"/>
      <c r="AC61" s="15">
        <f>SUM(AC7:AC59)</f>
        <v>17709.006024096387</v>
      </c>
      <c r="AD61" s="15">
        <f>SUM(AD7:AD59)</f>
        <v>3358.0060240963867</v>
      </c>
      <c r="AE61" s="21">
        <f t="shared" ref="AE61" si="16">IFERROR(AD61/AC61,0)</f>
        <v>0.18962137228522011</v>
      </c>
      <c r="AF61" s="15">
        <f>SUM(AF8:AF60)</f>
        <v>0</v>
      </c>
      <c r="AG61" s="15">
        <f>SUM(AG8:AG60)</f>
        <v>0</v>
      </c>
      <c r="AH61" s="15">
        <f>SUM(AH8:AH60)</f>
        <v>0</v>
      </c>
      <c r="AI61" s="15">
        <f>SUM(AI8:AI60)</f>
        <v>0</v>
      </c>
      <c r="AJ61" s="15">
        <f>SUM(AJ8:AJ60)</f>
        <v>0</v>
      </c>
    </row>
    <row r="62" spans="2:36" x14ac:dyDescent="0.25">
      <c r="B62" s="4"/>
      <c r="E62" s="3"/>
      <c r="F62" s="3"/>
      <c r="G62" s="3"/>
      <c r="H62" s="3"/>
      <c r="L62" s="4"/>
      <c r="M62" s="4"/>
      <c r="N62" s="4"/>
      <c r="O62" s="4"/>
      <c r="Q62" s="4"/>
      <c r="R62" s="4"/>
      <c r="S62" s="4"/>
      <c r="T62" s="4"/>
      <c r="U62" s="4"/>
      <c r="V62" s="4"/>
      <c r="W62" s="4"/>
      <c r="X62" s="4"/>
      <c r="Y62" s="9"/>
      <c r="Z62" s="9"/>
      <c r="AA62" s="9"/>
      <c r="AB62" s="9"/>
      <c r="AC62" s="9"/>
      <c r="AD62" s="9"/>
      <c r="AE62" s="9"/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4"/>
      <c r="Q63" s="9"/>
      <c r="R63" s="9"/>
      <c r="S63" s="9"/>
      <c r="T63" s="9"/>
      <c r="U63" s="9"/>
      <c r="V63" s="9"/>
      <c r="W63" s="9"/>
      <c r="X63" s="23"/>
      <c r="Y63" s="34" t="s">
        <v>45</v>
      </c>
      <c r="Z63" s="34"/>
      <c r="AA63" s="9"/>
      <c r="AB63" s="9"/>
      <c r="AC63" s="9"/>
      <c r="AD63" s="9"/>
      <c r="AE63" s="9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4"/>
      <c r="Q64" s="9"/>
      <c r="R64" s="9"/>
      <c r="S64" s="9"/>
      <c r="T64" s="9"/>
      <c r="U64" s="9"/>
      <c r="V64" s="9"/>
      <c r="W64" s="9"/>
      <c r="X64" s="9"/>
      <c r="Y64" s="34" t="s">
        <v>46</v>
      </c>
      <c r="Z64" s="34">
        <f>Z63/2</f>
        <v>0</v>
      </c>
      <c r="AA64" s="9"/>
      <c r="AB64" s="9"/>
      <c r="AC64" s="9"/>
      <c r="AD64" s="9"/>
      <c r="AE64" s="9"/>
      <c r="AF64" s="18"/>
    </row>
    <row r="65" spans="2:32" x14ac:dyDescent="0.25">
      <c r="B65" s="4"/>
      <c r="E65" s="3"/>
      <c r="F65" s="3"/>
      <c r="G65" s="3"/>
      <c r="H65" s="3"/>
      <c r="I65" s="19"/>
      <c r="L65" s="4"/>
      <c r="M65" s="4"/>
      <c r="N65" s="4"/>
      <c r="O65" s="20"/>
      <c r="Q65" s="20"/>
      <c r="R65" s="20"/>
      <c r="S65" s="20"/>
      <c r="T65" s="20"/>
      <c r="U65" s="20"/>
      <c r="V65" s="20"/>
      <c r="W65" s="20"/>
      <c r="X65" s="20"/>
      <c r="Y65" s="9"/>
      <c r="Z65" s="9"/>
      <c r="AA65" s="9"/>
      <c r="AB65" s="9"/>
      <c r="AC65" s="9"/>
      <c r="AD65" s="9"/>
      <c r="AE65" s="9"/>
      <c r="AF65" s="18"/>
    </row>
    <row r="66" spans="2:32" x14ac:dyDescent="0.25">
      <c r="B66" s="4"/>
      <c r="E66" s="3"/>
      <c r="F66" s="3"/>
      <c r="G66" s="3"/>
      <c r="H66" s="3"/>
      <c r="L66" s="4"/>
      <c r="M66" s="4"/>
      <c r="N66" s="4"/>
      <c r="O66" s="20"/>
      <c r="Q66" s="20"/>
      <c r="R66" s="20"/>
      <c r="S66" s="20"/>
      <c r="T66" s="20"/>
      <c r="U66" s="20"/>
      <c r="V66" s="20"/>
      <c r="W66" s="20"/>
      <c r="X66" s="20"/>
      <c r="Y66" s="9" t="s">
        <v>47</v>
      </c>
      <c r="Z66" s="9">
        <f>Z63-Z67</f>
        <v>0</v>
      </c>
      <c r="AA66" s="9"/>
      <c r="AB66" s="9"/>
      <c r="AC66" s="9"/>
      <c r="AD66" s="9"/>
      <c r="AE66" s="9"/>
      <c r="AF66" s="18"/>
    </row>
    <row r="67" spans="2:32" x14ac:dyDescent="0.25">
      <c r="B67" s="4"/>
      <c r="E67" s="3"/>
      <c r="F67" s="3"/>
      <c r="G67" s="3"/>
      <c r="H67" s="3"/>
      <c r="L67" s="4"/>
      <c r="M67" s="4"/>
      <c r="N67" s="4"/>
      <c r="O67" s="4"/>
      <c r="Q67" s="9"/>
      <c r="R67" s="9"/>
      <c r="S67" s="9"/>
      <c r="T67" s="9"/>
      <c r="U67" s="9"/>
      <c r="V67" s="9"/>
      <c r="W67" s="9"/>
      <c r="X67" s="9"/>
      <c r="Y67" s="9" t="s">
        <v>48</v>
      </c>
      <c r="Z67" s="9"/>
      <c r="AA67" s="9"/>
      <c r="AB67" s="9"/>
      <c r="AC67" s="9"/>
      <c r="AD67" s="9"/>
      <c r="AE67" s="9"/>
      <c r="AF67" s="18"/>
    </row>
    <row r="68" spans="2:32" x14ac:dyDescent="0.25">
      <c r="F68" s="1"/>
      <c r="G68" s="1"/>
      <c r="H68" s="1"/>
      <c r="J68" s="1" t="s">
        <v>32</v>
      </c>
      <c r="Q68" s="9"/>
      <c r="R68" s="4"/>
      <c r="S68" s="9"/>
      <c r="T68" s="5"/>
      <c r="U68" s="9"/>
      <c r="V68" s="4"/>
      <c r="W68" s="4"/>
      <c r="X68" s="9"/>
      <c r="Y68" s="9"/>
      <c r="Z68" s="9"/>
      <c r="AA68" s="9"/>
      <c r="AB68" s="9"/>
      <c r="AC68" s="9"/>
      <c r="AD68" s="9"/>
      <c r="AE68" s="9"/>
    </row>
    <row r="69" spans="2:32" x14ac:dyDescent="0.25">
      <c r="R69" s="4"/>
      <c r="S69" s="17"/>
      <c r="T69" s="17"/>
      <c r="U69" s="9"/>
      <c r="V69" s="4"/>
      <c r="W69" s="4"/>
      <c r="X69" s="9"/>
      <c r="Y69" s="9" t="s">
        <v>49</v>
      </c>
      <c r="Z69" s="9">
        <f>Z63*0.3</f>
        <v>0</v>
      </c>
      <c r="AA69" s="9"/>
      <c r="AB69" s="9"/>
      <c r="AC69" s="9"/>
      <c r="AD69" s="9"/>
      <c r="AE69" s="9"/>
    </row>
    <row r="70" spans="2:32" x14ac:dyDescent="0.25">
      <c r="Q70" s="9"/>
      <c r="R70" s="4"/>
      <c r="S70" s="16"/>
      <c r="T70" s="16"/>
      <c r="U70" s="9"/>
      <c r="V70" s="4"/>
      <c r="W70" s="4"/>
      <c r="X70" s="9"/>
      <c r="Y70" s="9" t="s">
        <v>51</v>
      </c>
      <c r="Z70" s="9">
        <f>Z67-Z69</f>
        <v>0</v>
      </c>
      <c r="AA70" s="9"/>
      <c r="AB70" s="9"/>
      <c r="AC70" s="9"/>
      <c r="AD70" s="9"/>
      <c r="AE70" s="9"/>
    </row>
    <row r="71" spans="2:32" x14ac:dyDescent="0.25">
      <c r="R71" s="4"/>
      <c r="S71" s="16"/>
      <c r="T71" s="16"/>
      <c r="Y71" s="9" t="s">
        <v>50</v>
      </c>
      <c r="Z71" s="9">
        <f>Z63-Z69-Z70</f>
        <v>0</v>
      </c>
      <c r="AA71" s="9"/>
      <c r="AB71" s="9"/>
      <c r="AC71" s="9"/>
      <c r="AD71" s="9"/>
      <c r="AE71" s="9"/>
    </row>
    <row r="72" spans="2:32" x14ac:dyDescent="0.25">
      <c r="T72" s="5"/>
      <c r="Y72" s="9"/>
      <c r="Z72" s="9"/>
      <c r="AA72" s="9"/>
      <c r="AB72" s="9"/>
      <c r="AC72" s="9"/>
      <c r="AD72" s="9"/>
      <c r="AE72" s="9"/>
    </row>
    <row r="73" spans="2:32" x14ac:dyDescent="0.25">
      <c r="T73" s="5"/>
      <c r="Y73" s="9"/>
      <c r="Z73" s="9"/>
      <c r="AA73" s="9"/>
      <c r="AB73" s="9"/>
      <c r="AC73" s="9"/>
      <c r="AD73" s="9"/>
      <c r="AE73" s="9"/>
    </row>
    <row r="74" spans="2:32" x14ac:dyDescent="0.25">
      <c r="T74" s="5"/>
      <c r="Y74" s="9"/>
      <c r="Z74" s="9"/>
      <c r="AA74" s="9"/>
      <c r="AB74" s="9"/>
      <c r="AC74" s="9"/>
      <c r="AD74" s="9"/>
      <c r="AE74" s="9"/>
    </row>
    <row r="75" spans="2:32" x14ac:dyDescent="0.25">
      <c r="T75" s="5"/>
      <c r="Y75" s="9"/>
      <c r="Z75" s="9"/>
      <c r="AA75" s="9"/>
      <c r="AB75" s="9"/>
      <c r="AC75" s="9"/>
      <c r="AD75" s="9"/>
      <c r="AE75" s="9"/>
    </row>
    <row r="76" spans="2:32" x14ac:dyDescent="0.25">
      <c r="T76" s="5"/>
      <c r="Y76" s="9"/>
      <c r="Z76" s="9"/>
      <c r="AA76" s="9"/>
      <c r="AB76" s="9"/>
      <c r="AC76" s="9"/>
      <c r="AD76" s="9"/>
      <c r="AE76" s="9"/>
    </row>
    <row r="77" spans="2:32" x14ac:dyDescent="0.25">
      <c r="T77" s="5"/>
      <c r="Y77" s="9"/>
      <c r="Z77" s="9"/>
      <c r="AA77" s="9"/>
      <c r="AB77" s="9"/>
      <c r="AC77" s="9"/>
      <c r="AD77" s="9"/>
      <c r="AE77" s="9"/>
    </row>
    <row r="78" spans="2:32" x14ac:dyDescent="0.25">
      <c r="T78" s="5"/>
      <c r="Y78" s="9"/>
      <c r="Z78" s="9"/>
      <c r="AA78" s="9"/>
      <c r="AB78" s="9"/>
      <c r="AC78" s="9"/>
      <c r="AD78" s="9"/>
      <c r="AE78" s="9"/>
    </row>
    <row r="79" spans="2:32" x14ac:dyDescent="0.25">
      <c r="T79" s="5"/>
      <c r="Y79" s="9"/>
      <c r="Z79" s="9"/>
      <c r="AA79" s="9"/>
      <c r="AB79" s="9"/>
      <c r="AC79" s="9"/>
      <c r="AD79" s="9"/>
      <c r="AE79" s="9"/>
    </row>
    <row r="80" spans="2:32" x14ac:dyDescent="0.25">
      <c r="T80" s="5"/>
    </row>
    <row r="81" spans="20:20" x14ac:dyDescent="0.25">
      <c r="T81" s="5"/>
    </row>
    <row r="82" spans="20:20" x14ac:dyDescent="0.25">
      <c r="T82" s="5"/>
    </row>
    <row r="83" spans="20:20" x14ac:dyDescent="0.25">
      <c r="T83" s="5"/>
    </row>
    <row r="84" spans="20:20" x14ac:dyDescent="0.25">
      <c r="T84" s="5"/>
    </row>
  </sheetData>
  <autoFilter ref="B6:AE61" xr:uid="{65FA6D9B-E0AF-46CD-BA0D-86BB75FE6AB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e2739-bd71-49a7-afc4-e179dfe94dc1">
      <Terms xmlns="http://schemas.microsoft.com/office/infopath/2007/PartnerControls"/>
    </lcf76f155ced4ddcb4097134ff3c332f>
    <TaxCatchAll xmlns="2b30070a-7262-4d8b-a938-b3248c6356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23EF72DA63D44FA2A28E00AC11E8EE" ma:contentTypeVersion="18" ma:contentTypeDescription="Opprett et nytt dokument." ma:contentTypeScope="" ma:versionID="0e7978918f7ba2b56dd79afad014a1ed">
  <xsd:schema xmlns:xsd="http://www.w3.org/2001/XMLSchema" xmlns:xs="http://www.w3.org/2001/XMLSchema" xmlns:p="http://schemas.microsoft.com/office/2006/metadata/properties" xmlns:ns2="9b6e2739-bd71-49a7-afc4-e179dfe94dc1" xmlns:ns3="2b30070a-7262-4d8b-a938-b3248c635664" targetNamespace="http://schemas.microsoft.com/office/2006/metadata/properties" ma:root="true" ma:fieldsID="c48e0c1802030b8740a8f4de73b33bbb" ns2:_="" ns3:_="">
    <xsd:import namespace="9b6e2739-bd71-49a7-afc4-e179dfe94dc1"/>
    <xsd:import namespace="2b30070a-7262-4d8b-a938-b3248c635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e2739-bd71-49a7-afc4-e179dfe94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cfc72ce7-c435-4f97-944d-94ae49e3d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70a-7262-4d8b-a938-b3248c63566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66e5a3-2fe4-433c-87fb-0dc58561f75a}" ma:internalName="TaxCatchAll" ma:showField="CatchAllData" ma:web="2b30070a-7262-4d8b-a938-b3248c635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7E57D-ABDD-4DAE-B3A5-315ED7FE90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92FD7-DCDA-4048-8BCD-FC2D85C5421C}">
  <ds:schemaRefs>
    <ds:schemaRef ds:uri="http://schemas.microsoft.com/office/2006/metadata/properties"/>
    <ds:schemaRef ds:uri="http://schemas.microsoft.com/office/infopath/2007/PartnerControls"/>
    <ds:schemaRef ds:uri="9b6e2739-bd71-49a7-afc4-e179dfe94dc1"/>
    <ds:schemaRef ds:uri="2b30070a-7262-4d8b-a938-b3248c635664"/>
  </ds:schemaRefs>
</ds:datastoreItem>
</file>

<file path=customXml/itemProps3.xml><?xml version="1.0" encoding="utf-8"?>
<ds:datastoreItem xmlns:ds="http://schemas.openxmlformats.org/officeDocument/2006/customXml" ds:itemID="{B5583956-6198-441D-88CE-2DAC6C9C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e2739-bd71-49a7-afc4-e179dfe94dc1"/>
    <ds:schemaRef ds:uri="2b30070a-7262-4d8b-a938-b3248c635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</vt:lpstr>
      <vt:lpstr>Mal</vt:lpstr>
      <vt:lpstr>401</vt:lpstr>
      <vt:lpstr>402</vt:lpstr>
      <vt:lpstr>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Andre Olsen</dc:creator>
  <cp:lastModifiedBy>Dennis Kålen</cp:lastModifiedBy>
  <dcterms:created xsi:type="dcterms:W3CDTF">2023-07-31T16:02:03Z</dcterms:created>
  <dcterms:modified xsi:type="dcterms:W3CDTF">2026-03-24T16:06:09Z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0x0101001123EF72DA63D44FA2A28E00AC11E8EE</vt:lpwstr>
  </property>
  <property fmtid="{D5CDD505-2E9C-101B-9397-08002B2CF9AE}" pid="3" name="MediaServiceImageTags">
    <vt:lpwstr/>
  </property>
</Properties>
</file>