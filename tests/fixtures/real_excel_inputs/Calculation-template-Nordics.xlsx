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DennisKålen\Desktop\Standard Itineraries\Nordics\"/>
    </mc:Choice>
  </mc:AlternateContent>
  <xr:revisionPtr revIDLastSave="0" documentId="13_ncr:1_{D927809D-CB61-4339-8760-7DD71BC3B578}" xr6:coauthVersionLast="47" xr6:coauthVersionMax="47" xr10:uidLastSave="{00000000-0000-0000-0000-000000000000}"/>
  <bookViews>
    <workbookView xWindow="-120" yWindow="-120" windowWidth="29040" windowHeight="15720" firstSheet="2" activeTab="10" xr2:uid="{F0120B8F-C750-4EFC-83CE-D7DAB56C8915}"/>
  </bookViews>
  <sheets>
    <sheet name="Curr" sheetId="5" r:id="rId1"/>
    <sheet name="Overview" sheetId="13" r:id="rId2"/>
    <sheet name="Mal" sheetId="16" r:id="rId3"/>
    <sheet name="2001" sheetId="6" r:id="rId4"/>
    <sheet name="2002" sheetId="7" r:id="rId5"/>
    <sheet name="2003" sheetId="8" r:id="rId6"/>
    <sheet name="2004" sheetId="10" r:id="rId7"/>
    <sheet name="2005" sheetId="11" r:id="rId8"/>
    <sheet name="2006" sheetId="12" r:id="rId9"/>
    <sheet name="2010" sheetId="15" r:id="rId10"/>
    <sheet name="2011" sheetId="14" r:id="rId11"/>
    <sheet name="2012" sheetId="17" r:id="rId12"/>
    <sheet name="Ideas" sheetId="18" r:id="rId13"/>
  </sheets>
  <externalReferences>
    <externalReference r:id="rId14"/>
  </externalReferences>
  <definedNames>
    <definedName name="_xlnm._FilterDatabase" localSheetId="3" hidden="1">'2001'!$B$6:$AE$51</definedName>
    <definedName name="_xlnm._FilterDatabase" localSheetId="4" hidden="1">'2002'!$B$6:$AE$43</definedName>
    <definedName name="_xlnm._FilterDatabase" localSheetId="5" hidden="1">'2003'!$B$6:$AE$63</definedName>
    <definedName name="_xlnm._FilterDatabase" localSheetId="6" hidden="1">'2004'!$B$6:$AE$70</definedName>
    <definedName name="_xlnm._FilterDatabase" localSheetId="7" hidden="1">'2005'!$B$6:$AE$63</definedName>
    <definedName name="_xlnm._FilterDatabase" localSheetId="8" hidden="1">'2006'!$B$6:$AE$65</definedName>
    <definedName name="_xlnm._FilterDatabase" localSheetId="9" hidden="1">'2010'!$B$6:$AE$60</definedName>
    <definedName name="_xlnm._FilterDatabase" localSheetId="10" hidden="1">'2011'!$B$6:$AE$88</definedName>
    <definedName name="_xlnm._FilterDatabase" localSheetId="11" hidden="1">'2012'!$B$6:$AE$101</definedName>
    <definedName name="_xlnm._FilterDatabase" localSheetId="2" hidden="1">Mal!$B$6:$AE$101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86" i="14" l="1"/>
  <c r="W85" i="14"/>
  <c r="W84" i="14"/>
  <c r="W83" i="14"/>
  <c r="W82" i="14"/>
  <c r="W81" i="14"/>
  <c r="W80" i="14"/>
  <c r="W79" i="14"/>
  <c r="W78" i="14"/>
  <c r="W77" i="14"/>
  <c r="W76" i="14"/>
  <c r="W75" i="14"/>
  <c r="W74" i="14"/>
  <c r="W73" i="14"/>
  <c r="W72" i="14"/>
  <c r="W71" i="14"/>
  <c r="W70" i="14"/>
  <c r="W69" i="14"/>
  <c r="W68" i="14"/>
  <c r="W67" i="14"/>
  <c r="W66" i="14"/>
  <c r="W65" i="14"/>
  <c r="W64" i="14"/>
  <c r="W63" i="14"/>
  <c r="W62" i="14"/>
  <c r="W61" i="14"/>
  <c r="W60" i="14"/>
  <c r="W59" i="14"/>
  <c r="W58" i="14"/>
  <c r="W57" i="14"/>
  <c r="W56" i="14"/>
  <c r="W55" i="14"/>
  <c r="W54" i="14"/>
  <c r="W53" i="14"/>
  <c r="W52" i="14"/>
  <c r="W51" i="14"/>
  <c r="W50" i="14"/>
  <c r="W49" i="14"/>
  <c r="W48" i="14"/>
  <c r="W47" i="14"/>
  <c r="W46" i="14"/>
  <c r="W45" i="14"/>
  <c r="W44" i="14"/>
  <c r="W43" i="14"/>
  <c r="W42" i="14"/>
  <c r="W41" i="14"/>
  <c r="W40" i="14"/>
  <c r="W39" i="14"/>
  <c r="W38" i="14"/>
  <c r="W37" i="14"/>
  <c r="W36" i="14"/>
  <c r="W35" i="14"/>
  <c r="W34" i="14"/>
  <c r="W33" i="14"/>
  <c r="W32" i="14"/>
  <c r="W31" i="14"/>
  <c r="W30" i="14"/>
  <c r="W29" i="14"/>
  <c r="W28" i="14"/>
  <c r="W27" i="14"/>
  <c r="W26" i="14"/>
  <c r="W25" i="14"/>
  <c r="W24" i="14"/>
  <c r="W23" i="14"/>
  <c r="W22" i="14"/>
  <c r="W21" i="14"/>
  <c r="W20" i="14"/>
  <c r="W19" i="14"/>
  <c r="W18" i="14"/>
  <c r="W17" i="14"/>
  <c r="W16" i="14"/>
  <c r="W15" i="14"/>
  <c r="W14" i="14"/>
  <c r="W13" i="14"/>
  <c r="W12" i="14"/>
  <c r="W11" i="14"/>
  <c r="W10" i="14"/>
  <c r="W9" i="14"/>
  <c r="W8" i="14"/>
  <c r="W7" i="14"/>
  <c r="W58" i="15"/>
  <c r="W57" i="15"/>
  <c r="W56" i="15"/>
  <c r="W55" i="15"/>
  <c r="W54" i="15"/>
  <c r="W53" i="15"/>
  <c r="W52" i="15"/>
  <c r="W51" i="15"/>
  <c r="W50" i="15"/>
  <c r="W49" i="15"/>
  <c r="W48" i="15"/>
  <c r="W47" i="15"/>
  <c r="W46" i="15"/>
  <c r="W45" i="15"/>
  <c r="W44" i="15"/>
  <c r="W43" i="15"/>
  <c r="W42" i="15"/>
  <c r="W41" i="15"/>
  <c r="W40" i="15"/>
  <c r="W39" i="15"/>
  <c r="W38" i="15"/>
  <c r="W37" i="15"/>
  <c r="W36" i="15"/>
  <c r="W35" i="15"/>
  <c r="W34" i="15"/>
  <c r="W33" i="15"/>
  <c r="W32" i="15"/>
  <c r="W31" i="15"/>
  <c r="W30" i="15"/>
  <c r="W29" i="15"/>
  <c r="W28" i="15"/>
  <c r="W27" i="15"/>
  <c r="W26" i="15"/>
  <c r="W25" i="15"/>
  <c r="W24" i="15"/>
  <c r="W23" i="15"/>
  <c r="W22" i="15"/>
  <c r="W21" i="15"/>
  <c r="W20" i="15"/>
  <c r="W19" i="15"/>
  <c r="W18" i="15"/>
  <c r="W17" i="15"/>
  <c r="W16" i="15"/>
  <c r="W15" i="15"/>
  <c r="W14" i="15"/>
  <c r="W13" i="15"/>
  <c r="W12" i="15"/>
  <c r="W11" i="15"/>
  <c r="W10" i="15"/>
  <c r="W9" i="15"/>
  <c r="W8" i="15"/>
  <c r="W7" i="15"/>
  <c r="W63" i="12"/>
  <c r="W62" i="12"/>
  <c r="W61" i="12"/>
  <c r="W60" i="12"/>
  <c r="W59" i="12"/>
  <c r="W58" i="12"/>
  <c r="W57" i="12"/>
  <c r="W56" i="12"/>
  <c r="W55" i="12"/>
  <c r="W54" i="12"/>
  <c r="W53" i="12"/>
  <c r="W52" i="12"/>
  <c r="W51" i="12"/>
  <c r="W50" i="12"/>
  <c r="W49" i="12"/>
  <c r="W48" i="12"/>
  <c r="W47" i="12"/>
  <c r="W46" i="12"/>
  <c r="W45" i="12"/>
  <c r="W44" i="12"/>
  <c r="W43" i="12"/>
  <c r="W42" i="12"/>
  <c r="W41" i="12"/>
  <c r="W40" i="12"/>
  <c r="W39" i="12"/>
  <c r="W38" i="12"/>
  <c r="W37" i="12"/>
  <c r="W36" i="12"/>
  <c r="W35" i="12"/>
  <c r="W34" i="12"/>
  <c r="W33" i="12"/>
  <c r="W32" i="12"/>
  <c r="W31" i="12"/>
  <c r="W30" i="12"/>
  <c r="W29" i="12"/>
  <c r="W28" i="12"/>
  <c r="W27" i="12"/>
  <c r="W26" i="12"/>
  <c r="W25" i="12"/>
  <c r="W24" i="12"/>
  <c r="W23" i="12"/>
  <c r="W22" i="12"/>
  <c r="W21" i="12"/>
  <c r="W20" i="12"/>
  <c r="W19" i="12"/>
  <c r="W18" i="12"/>
  <c r="W17" i="12"/>
  <c r="W16" i="12"/>
  <c r="W15" i="12"/>
  <c r="W14" i="12"/>
  <c r="W13" i="12"/>
  <c r="W12" i="12"/>
  <c r="W11" i="12"/>
  <c r="W10" i="12"/>
  <c r="W9" i="12"/>
  <c r="W8" i="12"/>
  <c r="W7" i="12"/>
  <c r="W61" i="11"/>
  <c r="W60" i="11"/>
  <c r="W59" i="11"/>
  <c r="W58" i="11"/>
  <c r="W57" i="11"/>
  <c r="W56" i="11"/>
  <c r="W55" i="11"/>
  <c r="W54" i="11"/>
  <c r="W53" i="11"/>
  <c r="W52" i="11"/>
  <c r="W51" i="11"/>
  <c r="W50" i="11"/>
  <c r="W49" i="11"/>
  <c r="W48" i="11"/>
  <c r="W47" i="11"/>
  <c r="W46" i="11"/>
  <c r="W45" i="11"/>
  <c r="W44" i="11"/>
  <c r="W43" i="11"/>
  <c r="W42" i="11"/>
  <c r="W41" i="11"/>
  <c r="W40" i="11"/>
  <c r="W39" i="11"/>
  <c r="W38" i="11"/>
  <c r="W37" i="11"/>
  <c r="W36" i="11"/>
  <c r="W35" i="11"/>
  <c r="W34" i="11"/>
  <c r="W33" i="11"/>
  <c r="W32" i="11"/>
  <c r="W31" i="11"/>
  <c r="W30" i="11"/>
  <c r="W29" i="11"/>
  <c r="W28" i="11"/>
  <c r="W27" i="11"/>
  <c r="W26" i="11"/>
  <c r="W25" i="11"/>
  <c r="W24" i="11"/>
  <c r="W23" i="11"/>
  <c r="W22" i="11"/>
  <c r="W21" i="11"/>
  <c r="W20" i="11"/>
  <c r="W19" i="11"/>
  <c r="W18" i="11"/>
  <c r="W17" i="11"/>
  <c r="W16" i="11"/>
  <c r="W15" i="11"/>
  <c r="W14" i="11"/>
  <c r="W13" i="11"/>
  <c r="W12" i="11"/>
  <c r="W11" i="11"/>
  <c r="W10" i="11"/>
  <c r="W9" i="11"/>
  <c r="W8" i="11"/>
  <c r="W7" i="11"/>
  <c r="W68" i="10"/>
  <c r="W67" i="10"/>
  <c r="W66" i="10"/>
  <c r="W65" i="10"/>
  <c r="W64" i="10"/>
  <c r="W63" i="10"/>
  <c r="W62" i="10"/>
  <c r="W61" i="10"/>
  <c r="W60" i="10"/>
  <c r="W59" i="10"/>
  <c r="W58" i="10"/>
  <c r="W57" i="10"/>
  <c r="W56" i="10"/>
  <c r="W55" i="10"/>
  <c r="W54" i="10"/>
  <c r="W53" i="10"/>
  <c r="W52" i="10"/>
  <c r="W51" i="10"/>
  <c r="W50" i="10"/>
  <c r="W49" i="10"/>
  <c r="W48" i="10"/>
  <c r="W47" i="10"/>
  <c r="W46" i="10"/>
  <c r="W45" i="10"/>
  <c r="W44" i="10"/>
  <c r="W43" i="10"/>
  <c r="W42" i="10"/>
  <c r="W41" i="10"/>
  <c r="W40" i="10"/>
  <c r="W39" i="10"/>
  <c r="W38" i="10"/>
  <c r="W37" i="10"/>
  <c r="W36" i="10"/>
  <c r="W35" i="10"/>
  <c r="W34" i="10"/>
  <c r="W33" i="10"/>
  <c r="W32" i="10"/>
  <c r="W31" i="10"/>
  <c r="W30" i="10"/>
  <c r="W29" i="10"/>
  <c r="W28" i="10"/>
  <c r="W27" i="10"/>
  <c r="W26" i="10"/>
  <c r="W25" i="10"/>
  <c r="W24" i="10"/>
  <c r="W23" i="10"/>
  <c r="W22" i="10"/>
  <c r="W21" i="10"/>
  <c r="W20" i="10"/>
  <c r="W19" i="10"/>
  <c r="W18" i="10"/>
  <c r="W17" i="10"/>
  <c r="W16" i="10"/>
  <c r="W15" i="10"/>
  <c r="W14" i="10"/>
  <c r="W13" i="10"/>
  <c r="W12" i="10"/>
  <c r="W11" i="10"/>
  <c r="W10" i="10"/>
  <c r="W9" i="10"/>
  <c r="W8" i="10"/>
  <c r="W7" i="10"/>
  <c r="W61" i="8"/>
  <c r="W60" i="8"/>
  <c r="W59" i="8"/>
  <c r="W58" i="8"/>
  <c r="W57" i="8"/>
  <c r="W56" i="8"/>
  <c r="W55" i="8"/>
  <c r="W54" i="8"/>
  <c r="W53" i="8"/>
  <c r="W52" i="8"/>
  <c r="W51" i="8"/>
  <c r="W50" i="8"/>
  <c r="W49" i="8"/>
  <c r="W48" i="8"/>
  <c r="W47" i="8"/>
  <c r="W46" i="8"/>
  <c r="W45" i="8"/>
  <c r="W44" i="8"/>
  <c r="W43" i="8"/>
  <c r="W42" i="8"/>
  <c r="W41" i="8"/>
  <c r="W40" i="8"/>
  <c r="W39" i="8"/>
  <c r="W38" i="8"/>
  <c r="W37" i="8"/>
  <c r="W36" i="8"/>
  <c r="W35" i="8"/>
  <c r="W34" i="8"/>
  <c r="W33" i="8"/>
  <c r="W32" i="8"/>
  <c r="W31" i="8"/>
  <c r="W30" i="8"/>
  <c r="W29" i="8"/>
  <c r="W28" i="8"/>
  <c r="W27" i="8"/>
  <c r="W26" i="8"/>
  <c r="W25" i="8"/>
  <c r="W24" i="8"/>
  <c r="W23" i="8"/>
  <c r="W22" i="8"/>
  <c r="W21" i="8"/>
  <c r="W20" i="8"/>
  <c r="W19" i="8"/>
  <c r="W18" i="8"/>
  <c r="W17" i="8"/>
  <c r="W16" i="8"/>
  <c r="W15" i="8"/>
  <c r="W14" i="8"/>
  <c r="W13" i="8"/>
  <c r="W12" i="8"/>
  <c r="W11" i="8"/>
  <c r="W10" i="8"/>
  <c r="W9" i="8"/>
  <c r="W8" i="8"/>
  <c r="W7" i="8"/>
  <c r="W41" i="7"/>
  <c r="W40" i="7"/>
  <c r="W39" i="7"/>
  <c r="W38" i="7"/>
  <c r="W37" i="7"/>
  <c r="W36" i="7"/>
  <c r="W35" i="7"/>
  <c r="W34" i="7"/>
  <c r="W33" i="7"/>
  <c r="W32" i="7"/>
  <c r="W31" i="7"/>
  <c r="W30" i="7"/>
  <c r="W29" i="7"/>
  <c r="W28" i="7"/>
  <c r="W27" i="7"/>
  <c r="W26" i="7"/>
  <c r="W25" i="7"/>
  <c r="W24" i="7"/>
  <c r="W23" i="7"/>
  <c r="W22" i="7"/>
  <c r="W21" i="7"/>
  <c r="W20" i="7"/>
  <c r="W19" i="7"/>
  <c r="W18" i="7"/>
  <c r="W17" i="7"/>
  <c r="W16" i="7"/>
  <c r="W15" i="7"/>
  <c r="W14" i="7"/>
  <c r="W13" i="7"/>
  <c r="W12" i="7"/>
  <c r="W11" i="7"/>
  <c r="W10" i="7"/>
  <c r="W9" i="7"/>
  <c r="W8" i="7"/>
  <c r="W7" i="7"/>
  <c r="W7" i="6"/>
  <c r="W49" i="6"/>
  <c r="W48" i="6"/>
  <c r="W47" i="6"/>
  <c r="W46" i="6"/>
  <c r="W45" i="6"/>
  <c r="W44" i="6"/>
  <c r="W43" i="6"/>
  <c r="W42" i="6"/>
  <c r="W41" i="6"/>
  <c r="W40" i="6"/>
  <c r="W39" i="6"/>
  <c r="W38" i="6"/>
  <c r="W37" i="6"/>
  <c r="W36" i="6"/>
  <c r="W35" i="6"/>
  <c r="W34" i="6"/>
  <c r="W33" i="6"/>
  <c r="W32" i="6"/>
  <c r="W31" i="6"/>
  <c r="W30" i="6"/>
  <c r="W29" i="6"/>
  <c r="W28" i="6"/>
  <c r="W27" i="6"/>
  <c r="W26" i="6"/>
  <c r="W25" i="6"/>
  <c r="W24" i="6"/>
  <c r="W23" i="6"/>
  <c r="W22" i="6"/>
  <c r="W21" i="6"/>
  <c r="W20" i="6"/>
  <c r="W19" i="6"/>
  <c r="W18" i="6"/>
  <c r="W17" i="6"/>
  <c r="W16" i="6"/>
  <c r="W15" i="6"/>
  <c r="W14" i="6"/>
  <c r="W13" i="6"/>
  <c r="W12" i="6"/>
  <c r="W11" i="6"/>
  <c r="W10" i="6"/>
  <c r="W9" i="6"/>
  <c r="W8" i="6"/>
  <c r="Z74" i="12"/>
  <c r="Z71" i="12"/>
  <c r="Z73" i="12" s="1"/>
  <c r="Z69" i="11"/>
  <c r="Z71" i="11" s="1"/>
  <c r="Z76" i="10"/>
  <c r="Z79" i="10" s="1"/>
  <c r="Z71" i="8"/>
  <c r="Z69" i="8"/>
  <c r="Z72" i="8" s="1"/>
  <c r="Z52" i="7"/>
  <c r="Z50" i="7"/>
  <c r="Z49" i="7"/>
  <c r="Z51" i="7" s="1"/>
  <c r="Z58" i="6"/>
  <c r="Z60" i="6"/>
  <c r="Z59" i="6"/>
  <c r="Z57" i="6"/>
  <c r="Y42" i="14"/>
  <c r="Y54" i="14"/>
  <c r="Z94" i="14"/>
  <c r="Z97" i="14" s="1"/>
  <c r="Z69" i="15"/>
  <c r="Z67" i="15"/>
  <c r="Z68" i="15"/>
  <c r="Z66" i="15"/>
  <c r="Y15" i="15"/>
  <c r="Y9" i="15"/>
  <c r="Y53" i="12"/>
  <c r="Y52" i="12"/>
  <c r="Z110" i="17"/>
  <c r="Z111" i="17" s="1"/>
  <c r="Z109" i="17"/>
  <c r="Z106" i="17"/>
  <c r="Z104" i="17"/>
  <c r="AJ101" i="17"/>
  <c r="AI101" i="17"/>
  <c r="AH101" i="17"/>
  <c r="AG101" i="17"/>
  <c r="AF101" i="17"/>
  <c r="AB99" i="17"/>
  <c r="AC99" i="17" s="1"/>
  <c r="Y99" i="17"/>
  <c r="Z99" i="17" s="1"/>
  <c r="W99" i="17"/>
  <c r="X99" i="17" s="1"/>
  <c r="U99" i="17"/>
  <c r="S99" i="17"/>
  <c r="AB98" i="17"/>
  <c r="Z98" i="17"/>
  <c r="Y98" i="17"/>
  <c r="AC98" i="17" s="1"/>
  <c r="W98" i="17"/>
  <c r="S98" i="17"/>
  <c r="U98" i="17" s="1"/>
  <c r="AB97" i="17"/>
  <c r="AC97" i="17" s="1"/>
  <c r="Y97" i="17"/>
  <c r="Z97" i="17" s="1"/>
  <c r="W97" i="17"/>
  <c r="X97" i="17" s="1"/>
  <c r="S97" i="17"/>
  <c r="U97" i="17" s="1"/>
  <c r="AB96" i="17"/>
  <c r="Y96" i="17"/>
  <c r="W96" i="17"/>
  <c r="U96" i="17"/>
  <c r="X96" i="17" s="1"/>
  <c r="S96" i="17"/>
  <c r="AB95" i="17"/>
  <c r="AC95" i="17" s="1"/>
  <c r="Y95" i="17"/>
  <c r="Z95" i="17" s="1"/>
  <c r="W95" i="17"/>
  <c r="X95" i="17" s="1"/>
  <c r="S95" i="17"/>
  <c r="U95" i="17" s="1"/>
  <c r="AB94" i="17"/>
  <c r="Z94" i="17"/>
  <c r="Y94" i="17"/>
  <c r="W94" i="17"/>
  <c r="S94" i="17"/>
  <c r="U94" i="17" s="1"/>
  <c r="AB93" i="17"/>
  <c r="Y93" i="17"/>
  <c r="Z93" i="17" s="1"/>
  <c r="W93" i="17"/>
  <c r="S93" i="17"/>
  <c r="U93" i="17" s="1"/>
  <c r="AB92" i="17"/>
  <c r="Y92" i="17"/>
  <c r="AC92" i="17" s="1"/>
  <c r="W92" i="17"/>
  <c r="U92" i="17"/>
  <c r="S92" i="17"/>
  <c r="AB91" i="17"/>
  <c r="Y91" i="17"/>
  <c r="Z91" i="17" s="1"/>
  <c r="W91" i="17"/>
  <c r="S91" i="17"/>
  <c r="U91" i="17" s="1"/>
  <c r="AB90" i="17"/>
  <c r="Y90" i="17"/>
  <c r="W90" i="17"/>
  <c r="S90" i="17"/>
  <c r="U90" i="17" s="1"/>
  <c r="AB89" i="17"/>
  <c r="AC89" i="17" s="1"/>
  <c r="Y89" i="17"/>
  <c r="Z89" i="17" s="1"/>
  <c r="W89" i="17"/>
  <c r="X89" i="17" s="1"/>
  <c r="S89" i="17"/>
  <c r="U89" i="17" s="1"/>
  <c r="AB88" i="17"/>
  <c r="Z88" i="17"/>
  <c r="Y88" i="17"/>
  <c r="W88" i="17"/>
  <c r="U88" i="17"/>
  <c r="S88" i="17"/>
  <c r="AB87" i="17"/>
  <c r="AC87" i="17" s="1"/>
  <c r="Y87" i="17"/>
  <c r="Z87" i="17" s="1"/>
  <c r="W87" i="17"/>
  <c r="S87" i="17"/>
  <c r="U87" i="17" s="1"/>
  <c r="AB86" i="17"/>
  <c r="Z86" i="17"/>
  <c r="Y86" i="17"/>
  <c r="W86" i="17"/>
  <c r="S86" i="17"/>
  <c r="U86" i="17" s="1"/>
  <c r="AB85" i="17"/>
  <c r="AC85" i="17" s="1"/>
  <c r="Y85" i="17"/>
  <c r="Z85" i="17" s="1"/>
  <c r="W85" i="17"/>
  <c r="S85" i="17"/>
  <c r="U85" i="17" s="1"/>
  <c r="X85" i="17" s="1"/>
  <c r="AB84" i="17"/>
  <c r="Y84" i="17"/>
  <c r="W84" i="17"/>
  <c r="S84" i="17"/>
  <c r="U84" i="17" s="1"/>
  <c r="AB83" i="17"/>
  <c r="Y83" i="17"/>
  <c r="Z83" i="17" s="1"/>
  <c r="W83" i="17"/>
  <c r="X83" i="17" s="1"/>
  <c r="S83" i="17"/>
  <c r="U83" i="17" s="1"/>
  <c r="AB82" i="17"/>
  <c r="Z82" i="17"/>
  <c r="Y82" i="17"/>
  <c r="AC82" i="17" s="1"/>
  <c r="W82" i="17"/>
  <c r="U82" i="17"/>
  <c r="S82" i="17"/>
  <c r="AB81" i="17"/>
  <c r="Y81" i="17"/>
  <c r="Z81" i="17" s="1"/>
  <c r="W81" i="17"/>
  <c r="X81" i="17" s="1"/>
  <c r="S81" i="17"/>
  <c r="U81" i="17" s="1"/>
  <c r="AB80" i="17"/>
  <c r="Y80" i="17"/>
  <c r="W80" i="17"/>
  <c r="U80" i="17"/>
  <c r="S80" i="17"/>
  <c r="AB79" i="17"/>
  <c r="AC79" i="17" s="1"/>
  <c r="Y79" i="17"/>
  <c r="Z79" i="17" s="1"/>
  <c r="X79" i="17"/>
  <c r="W79" i="17"/>
  <c r="S79" i="17"/>
  <c r="U79" i="17" s="1"/>
  <c r="AB78" i="17"/>
  <c r="Z78" i="17"/>
  <c r="Y78" i="17"/>
  <c r="W78" i="17"/>
  <c r="S78" i="17"/>
  <c r="U78" i="17" s="1"/>
  <c r="AB77" i="17"/>
  <c r="Y77" i="17"/>
  <c r="Z77" i="17" s="1"/>
  <c r="W77" i="17"/>
  <c r="S77" i="17"/>
  <c r="U77" i="17" s="1"/>
  <c r="AB76" i="17"/>
  <c r="Y76" i="17"/>
  <c r="AC76" i="17" s="1"/>
  <c r="W76" i="17"/>
  <c r="U76" i="17"/>
  <c r="S76" i="17"/>
  <c r="AB75" i="17"/>
  <c r="Y75" i="17"/>
  <c r="Z75" i="17" s="1"/>
  <c r="W75" i="17"/>
  <c r="S75" i="17"/>
  <c r="U75" i="17" s="1"/>
  <c r="AB74" i="17"/>
  <c r="Y74" i="17"/>
  <c r="W74" i="17"/>
  <c r="S74" i="17"/>
  <c r="U74" i="17" s="1"/>
  <c r="AB73" i="17"/>
  <c r="AC73" i="17" s="1"/>
  <c r="Y73" i="17"/>
  <c r="Z73" i="17" s="1"/>
  <c r="W73" i="17"/>
  <c r="X73" i="17" s="1"/>
  <c r="S73" i="17"/>
  <c r="U73" i="17" s="1"/>
  <c r="AB72" i="17"/>
  <c r="Z72" i="17"/>
  <c r="Y72" i="17"/>
  <c r="W72" i="17"/>
  <c r="U72" i="17"/>
  <c r="S72" i="17"/>
  <c r="AB71" i="17"/>
  <c r="AC71" i="17" s="1"/>
  <c r="Y71" i="17"/>
  <c r="Z71" i="17" s="1"/>
  <c r="W71" i="17"/>
  <c r="S71" i="17"/>
  <c r="U71" i="17" s="1"/>
  <c r="AB70" i="17"/>
  <c r="Z70" i="17"/>
  <c r="Y70" i="17"/>
  <c r="W70" i="17"/>
  <c r="S70" i="17"/>
  <c r="U70" i="17" s="1"/>
  <c r="AB69" i="17"/>
  <c r="AC69" i="17" s="1"/>
  <c r="Y69" i="17"/>
  <c r="Z69" i="17" s="1"/>
  <c r="W69" i="17"/>
  <c r="S69" i="17"/>
  <c r="U69" i="17" s="1"/>
  <c r="AB68" i="17"/>
  <c r="Y68" i="17"/>
  <c r="W68" i="17"/>
  <c r="S68" i="17"/>
  <c r="U68" i="17" s="1"/>
  <c r="AB67" i="17"/>
  <c r="Y67" i="17"/>
  <c r="Z67" i="17" s="1"/>
  <c r="X67" i="17"/>
  <c r="W67" i="17"/>
  <c r="S67" i="17"/>
  <c r="U67" i="17" s="1"/>
  <c r="AB66" i="17"/>
  <c r="Z66" i="17"/>
  <c r="Y66" i="17"/>
  <c r="W66" i="17"/>
  <c r="U66" i="17"/>
  <c r="S66" i="17"/>
  <c r="AB65" i="17"/>
  <c r="Y65" i="17"/>
  <c r="Z65" i="17" s="1"/>
  <c r="W65" i="17"/>
  <c r="X65" i="17" s="1"/>
  <c r="S65" i="17"/>
  <c r="U65" i="17" s="1"/>
  <c r="AB64" i="17"/>
  <c r="Y64" i="17"/>
  <c r="W64" i="17"/>
  <c r="U64" i="17"/>
  <c r="S64" i="17"/>
  <c r="AB63" i="17"/>
  <c r="AC63" i="17" s="1"/>
  <c r="Y63" i="17"/>
  <c r="Z63" i="17" s="1"/>
  <c r="W63" i="17"/>
  <c r="X63" i="17" s="1"/>
  <c r="S63" i="17"/>
  <c r="U63" i="17" s="1"/>
  <c r="AB62" i="17"/>
  <c r="Z62" i="17"/>
  <c r="Y62" i="17"/>
  <c r="W62" i="17"/>
  <c r="S62" i="17"/>
  <c r="U62" i="17" s="1"/>
  <c r="X62" i="17" s="1"/>
  <c r="AB61" i="17"/>
  <c r="Y61" i="17"/>
  <c r="Z61" i="17" s="1"/>
  <c r="W61" i="17"/>
  <c r="S61" i="17"/>
  <c r="U61" i="17" s="1"/>
  <c r="AB60" i="17"/>
  <c r="Y60" i="17"/>
  <c r="W60" i="17"/>
  <c r="U60" i="17"/>
  <c r="X60" i="17" s="1"/>
  <c r="S60" i="17"/>
  <c r="AB59" i="17"/>
  <c r="Y59" i="17"/>
  <c r="Z59" i="17" s="1"/>
  <c r="W59" i="17"/>
  <c r="S59" i="17"/>
  <c r="U59" i="17" s="1"/>
  <c r="AB58" i="17"/>
  <c r="Y58" i="17"/>
  <c r="W58" i="17"/>
  <c r="S58" i="17"/>
  <c r="U58" i="17" s="1"/>
  <c r="AB57" i="17"/>
  <c r="AC57" i="17" s="1"/>
  <c r="Y57" i="17"/>
  <c r="Z57" i="17" s="1"/>
  <c r="W57" i="17"/>
  <c r="X57" i="17" s="1"/>
  <c r="S57" i="17"/>
  <c r="U57" i="17" s="1"/>
  <c r="AB56" i="17"/>
  <c r="Z56" i="17"/>
  <c r="Y56" i="17"/>
  <c r="W56" i="17"/>
  <c r="U56" i="17"/>
  <c r="X56" i="17" s="1"/>
  <c r="S56" i="17"/>
  <c r="AB55" i="17"/>
  <c r="AC55" i="17" s="1"/>
  <c r="Y55" i="17"/>
  <c r="Z55" i="17" s="1"/>
  <c r="W55" i="17"/>
  <c r="S55" i="17"/>
  <c r="U55" i="17" s="1"/>
  <c r="X55" i="17" s="1"/>
  <c r="AB54" i="17"/>
  <c r="Z54" i="17"/>
  <c r="Y54" i="17"/>
  <c r="W54" i="17"/>
  <c r="S54" i="17"/>
  <c r="U54" i="17" s="1"/>
  <c r="AB53" i="17"/>
  <c r="AC53" i="17" s="1"/>
  <c r="Y53" i="17"/>
  <c r="Z53" i="17" s="1"/>
  <c r="W53" i="17"/>
  <c r="S53" i="17"/>
  <c r="U53" i="17" s="1"/>
  <c r="AB52" i="17"/>
  <c r="Z52" i="17"/>
  <c r="Y52" i="17"/>
  <c r="W52" i="17"/>
  <c r="S52" i="17"/>
  <c r="U52" i="17" s="1"/>
  <c r="AB51" i="17"/>
  <c r="Y51" i="17"/>
  <c r="Z51" i="17" s="1"/>
  <c r="W51" i="17"/>
  <c r="X51" i="17" s="1"/>
  <c r="S51" i="17"/>
  <c r="U51" i="17" s="1"/>
  <c r="AB50" i="17"/>
  <c r="Z50" i="17"/>
  <c r="Y50" i="17"/>
  <c r="W50" i="17"/>
  <c r="U50" i="17"/>
  <c r="S50" i="17"/>
  <c r="AB49" i="17"/>
  <c r="Y49" i="17"/>
  <c r="Z49" i="17" s="1"/>
  <c r="W49" i="17"/>
  <c r="X49" i="17" s="1"/>
  <c r="S49" i="17"/>
  <c r="U49" i="17" s="1"/>
  <c r="AB48" i="17"/>
  <c r="Y48" i="17"/>
  <c r="AC48" i="17" s="1"/>
  <c r="W48" i="17"/>
  <c r="U48" i="17"/>
  <c r="S48" i="17"/>
  <c r="AB47" i="17"/>
  <c r="AC47" i="17" s="1"/>
  <c r="Y47" i="17"/>
  <c r="Z47" i="17" s="1"/>
  <c r="W47" i="17"/>
  <c r="X47" i="17" s="1"/>
  <c r="S47" i="17"/>
  <c r="U47" i="17" s="1"/>
  <c r="AB46" i="17"/>
  <c r="Z46" i="17"/>
  <c r="Y46" i="17"/>
  <c r="W46" i="17"/>
  <c r="S46" i="17"/>
  <c r="U46" i="17" s="1"/>
  <c r="AB45" i="17"/>
  <c r="Y45" i="17"/>
  <c r="Z45" i="17" s="1"/>
  <c r="W45" i="17"/>
  <c r="S45" i="17"/>
  <c r="U45" i="17" s="1"/>
  <c r="AB44" i="17"/>
  <c r="Y44" i="17"/>
  <c r="W44" i="17"/>
  <c r="U44" i="17"/>
  <c r="S44" i="17"/>
  <c r="AB43" i="17"/>
  <c r="Y43" i="17"/>
  <c r="Z43" i="17" s="1"/>
  <c r="W43" i="17"/>
  <c r="S43" i="17"/>
  <c r="U43" i="17" s="1"/>
  <c r="X43" i="17" s="1"/>
  <c r="AB42" i="17"/>
  <c r="Y42" i="17"/>
  <c r="W42" i="17"/>
  <c r="S42" i="17"/>
  <c r="U42" i="17" s="1"/>
  <c r="AB41" i="17"/>
  <c r="AC41" i="17" s="1"/>
  <c r="Y41" i="17"/>
  <c r="Z41" i="17" s="1"/>
  <c r="W41" i="17"/>
  <c r="X41" i="17" s="1"/>
  <c r="S41" i="17"/>
  <c r="U41" i="17" s="1"/>
  <c r="AB40" i="17"/>
  <c r="Z40" i="17"/>
  <c r="Y40" i="17"/>
  <c r="W40" i="17"/>
  <c r="U40" i="17"/>
  <c r="S40" i="17"/>
  <c r="AB39" i="17"/>
  <c r="AC39" i="17" s="1"/>
  <c r="Y39" i="17"/>
  <c r="Z39" i="17" s="1"/>
  <c r="W39" i="17"/>
  <c r="S39" i="17"/>
  <c r="U39" i="17" s="1"/>
  <c r="AB38" i="17"/>
  <c r="Z38" i="17"/>
  <c r="Y38" i="17"/>
  <c r="W38" i="17"/>
  <c r="S38" i="17"/>
  <c r="U38" i="17" s="1"/>
  <c r="X38" i="17" s="1"/>
  <c r="AB37" i="17"/>
  <c r="AC37" i="17" s="1"/>
  <c r="Y37" i="17"/>
  <c r="Z37" i="17" s="1"/>
  <c r="W37" i="17"/>
  <c r="S37" i="17"/>
  <c r="U37" i="17" s="1"/>
  <c r="AB36" i="17"/>
  <c r="Y36" i="17"/>
  <c r="W36" i="17"/>
  <c r="S36" i="17"/>
  <c r="U36" i="17" s="1"/>
  <c r="AB35" i="17"/>
  <c r="Y35" i="17"/>
  <c r="Z35" i="17" s="1"/>
  <c r="W35" i="17"/>
  <c r="X35" i="17" s="1"/>
  <c r="S35" i="17"/>
  <c r="U35" i="17" s="1"/>
  <c r="AB34" i="17"/>
  <c r="Z34" i="17"/>
  <c r="Y34" i="17"/>
  <c r="W34" i="17"/>
  <c r="U34" i="17"/>
  <c r="S34" i="17"/>
  <c r="AB33" i="17"/>
  <c r="Y33" i="17"/>
  <c r="Z33" i="17" s="1"/>
  <c r="W33" i="17"/>
  <c r="X33" i="17" s="1"/>
  <c r="S33" i="17"/>
  <c r="U33" i="17" s="1"/>
  <c r="AB32" i="17"/>
  <c r="Y32" i="17"/>
  <c r="W32" i="17"/>
  <c r="X32" i="17" s="1"/>
  <c r="U32" i="17"/>
  <c r="S32" i="17"/>
  <c r="AB31" i="17"/>
  <c r="AC31" i="17" s="1"/>
  <c r="Z31" i="17"/>
  <c r="Y31" i="17"/>
  <c r="W31" i="17"/>
  <c r="S31" i="17"/>
  <c r="U31" i="17" s="1"/>
  <c r="AB30" i="17"/>
  <c r="AC30" i="17" s="1"/>
  <c r="Z30" i="17"/>
  <c r="Y30" i="17"/>
  <c r="W30" i="17"/>
  <c r="U30" i="17"/>
  <c r="X30" i="17" s="1"/>
  <c r="S30" i="17"/>
  <c r="AB29" i="17"/>
  <c r="AC29" i="17" s="1"/>
  <c r="Y29" i="17"/>
  <c r="Z29" i="17" s="1"/>
  <c r="W29" i="17"/>
  <c r="U29" i="17"/>
  <c r="S29" i="17"/>
  <c r="AB28" i="17"/>
  <c r="Z28" i="17"/>
  <c r="Y28" i="17"/>
  <c r="W28" i="17"/>
  <c r="X28" i="17" s="1"/>
  <c r="U28" i="17"/>
  <c r="S28" i="17"/>
  <c r="AB27" i="17"/>
  <c r="AC27" i="17" s="1"/>
  <c r="Z27" i="17"/>
  <c r="Y27" i="17"/>
  <c r="W27" i="17"/>
  <c r="S27" i="17"/>
  <c r="U27" i="17" s="1"/>
  <c r="X27" i="17" s="1"/>
  <c r="AB26" i="17"/>
  <c r="AC26" i="17" s="1"/>
  <c r="Z26" i="17"/>
  <c r="Y26" i="17"/>
  <c r="W26" i="17"/>
  <c r="U26" i="17"/>
  <c r="S26" i="17"/>
  <c r="AB25" i="17"/>
  <c r="AC25" i="17" s="1"/>
  <c r="Y25" i="17"/>
  <c r="Z25" i="17" s="1"/>
  <c r="W25" i="17"/>
  <c r="U25" i="17"/>
  <c r="S25" i="17"/>
  <c r="AB24" i="17"/>
  <c r="Z24" i="17"/>
  <c r="Y24" i="17"/>
  <c r="W24" i="17"/>
  <c r="X24" i="17" s="1"/>
  <c r="U24" i="17"/>
  <c r="S24" i="17"/>
  <c r="AB23" i="17"/>
  <c r="AC23" i="17" s="1"/>
  <c r="Z23" i="17"/>
  <c r="Y23" i="17"/>
  <c r="W23" i="17"/>
  <c r="S23" i="17"/>
  <c r="U23" i="17" s="1"/>
  <c r="AB22" i="17"/>
  <c r="AC22" i="17" s="1"/>
  <c r="Z22" i="17"/>
  <c r="Y22" i="17"/>
  <c r="W22" i="17"/>
  <c r="U22" i="17"/>
  <c r="S22" i="17"/>
  <c r="AB21" i="17"/>
  <c r="AC21" i="17" s="1"/>
  <c r="Y21" i="17"/>
  <c r="Z21" i="17" s="1"/>
  <c r="W21" i="17"/>
  <c r="U21" i="17"/>
  <c r="S21" i="17"/>
  <c r="AB20" i="17"/>
  <c r="Z20" i="17"/>
  <c r="Y20" i="17"/>
  <c r="W20" i="17"/>
  <c r="X20" i="17" s="1"/>
  <c r="U20" i="17"/>
  <c r="S20" i="17"/>
  <c r="AB19" i="17"/>
  <c r="Z19" i="17"/>
  <c r="Y19" i="17"/>
  <c r="W19" i="17"/>
  <c r="S19" i="17"/>
  <c r="U19" i="17" s="1"/>
  <c r="X19" i="17" s="1"/>
  <c r="AC18" i="17"/>
  <c r="AB18" i="17"/>
  <c r="Z18" i="17"/>
  <c r="Y18" i="17"/>
  <c r="W18" i="17"/>
  <c r="U18" i="17"/>
  <c r="S18" i="17"/>
  <c r="AB17" i="17"/>
  <c r="AC17" i="17" s="1"/>
  <c r="Y17" i="17"/>
  <c r="Z17" i="17" s="1"/>
  <c r="W17" i="17"/>
  <c r="U17" i="17"/>
  <c r="S17" i="17"/>
  <c r="AB16" i="17"/>
  <c r="Z16" i="17"/>
  <c r="Y16" i="17"/>
  <c r="AC16" i="17" s="1"/>
  <c r="X16" i="17"/>
  <c r="W16" i="17"/>
  <c r="U16" i="17"/>
  <c r="S16" i="17"/>
  <c r="AB15" i="17"/>
  <c r="Z15" i="17"/>
  <c r="Y15" i="17"/>
  <c r="W15" i="17"/>
  <c r="S15" i="17"/>
  <c r="U15" i="17" s="1"/>
  <c r="AB14" i="17"/>
  <c r="AC14" i="17" s="1"/>
  <c r="Z14" i="17"/>
  <c r="Y14" i="17"/>
  <c r="W14" i="17"/>
  <c r="U14" i="17"/>
  <c r="X14" i="17" s="1"/>
  <c r="S14" i="17"/>
  <c r="AC13" i="17"/>
  <c r="AB13" i="17"/>
  <c r="Y13" i="17"/>
  <c r="Z13" i="17" s="1"/>
  <c r="W13" i="17"/>
  <c r="U13" i="17"/>
  <c r="X13" i="17" s="1"/>
  <c r="S13" i="17"/>
  <c r="AB12" i="17"/>
  <c r="Z12" i="17"/>
  <c r="Y12" i="17"/>
  <c r="AC12" i="17" s="1"/>
  <c r="W12" i="17"/>
  <c r="X12" i="17" s="1"/>
  <c r="U12" i="17"/>
  <c r="S12" i="17"/>
  <c r="AB11" i="17"/>
  <c r="Z11" i="17"/>
  <c r="Y11" i="17"/>
  <c r="W11" i="17"/>
  <c r="S11" i="17"/>
  <c r="U11" i="17" s="1"/>
  <c r="AB10" i="17"/>
  <c r="AC10" i="17" s="1"/>
  <c r="Z10" i="17"/>
  <c r="Y10" i="17"/>
  <c r="W10" i="17"/>
  <c r="U10" i="17"/>
  <c r="S10" i="17"/>
  <c r="AB9" i="17"/>
  <c r="AC9" i="17" s="1"/>
  <c r="Y9" i="17"/>
  <c r="Z9" i="17" s="1"/>
  <c r="W9" i="17"/>
  <c r="U9" i="17"/>
  <c r="X9" i="17" s="1"/>
  <c r="S9" i="17"/>
  <c r="AB8" i="17"/>
  <c r="Z8" i="17"/>
  <c r="Y8" i="17"/>
  <c r="AC8" i="17" s="1"/>
  <c r="W8" i="17"/>
  <c r="X8" i="17" s="1"/>
  <c r="U8" i="17"/>
  <c r="S8" i="17"/>
  <c r="AB7" i="17"/>
  <c r="Z7" i="17"/>
  <c r="Y7" i="17"/>
  <c r="W7" i="17"/>
  <c r="S7" i="17"/>
  <c r="U7" i="17" s="1"/>
  <c r="Y77" i="14"/>
  <c r="S77" i="14"/>
  <c r="U77" i="14" s="1"/>
  <c r="Y76" i="14"/>
  <c r="S76" i="14"/>
  <c r="U76" i="14" s="1"/>
  <c r="S74" i="14"/>
  <c r="S75" i="14"/>
  <c r="Y66" i="14"/>
  <c r="Y67" i="14"/>
  <c r="Y68" i="14"/>
  <c r="Y69" i="14"/>
  <c r="Y70" i="14"/>
  <c r="Y71" i="14"/>
  <c r="Y47" i="15"/>
  <c r="Y51" i="15"/>
  <c r="S51" i="15"/>
  <c r="U51" i="15" s="1"/>
  <c r="Y58" i="14"/>
  <c r="S58" i="14"/>
  <c r="U58" i="14" s="1"/>
  <c r="Y57" i="14"/>
  <c r="S57" i="14"/>
  <c r="U57" i="14" s="1"/>
  <c r="Y56" i="14"/>
  <c r="U56" i="14"/>
  <c r="X56" i="14" s="1"/>
  <c r="S56" i="14"/>
  <c r="S54" i="14"/>
  <c r="U54" i="14" s="1"/>
  <c r="Y52" i="14"/>
  <c r="S52" i="14"/>
  <c r="U52" i="14" s="1"/>
  <c r="Y49" i="14"/>
  <c r="S49" i="14"/>
  <c r="U49" i="14" s="1"/>
  <c r="Y47" i="14"/>
  <c r="S47" i="14"/>
  <c r="U47" i="14" s="1"/>
  <c r="Y45" i="14"/>
  <c r="S45" i="14"/>
  <c r="U45" i="14" s="1"/>
  <c r="Y43" i="14"/>
  <c r="S43" i="14"/>
  <c r="U43" i="14" s="1"/>
  <c r="Y41" i="14"/>
  <c r="S41" i="14"/>
  <c r="U41" i="14" s="1"/>
  <c r="Y40" i="14"/>
  <c r="S40" i="14"/>
  <c r="U40" i="14" s="1"/>
  <c r="Y37" i="14"/>
  <c r="S37" i="14"/>
  <c r="U37" i="14" s="1"/>
  <c r="Y36" i="14"/>
  <c r="S36" i="14"/>
  <c r="U36" i="14" s="1"/>
  <c r="Y35" i="14"/>
  <c r="S35" i="14"/>
  <c r="U35" i="14" s="1"/>
  <c r="Y34" i="14"/>
  <c r="U34" i="14"/>
  <c r="S34" i="14"/>
  <c r="Y33" i="14"/>
  <c r="S33" i="14"/>
  <c r="U33" i="14" s="1"/>
  <c r="Y32" i="14"/>
  <c r="S32" i="14"/>
  <c r="U32" i="14" s="1"/>
  <c r="Y31" i="14"/>
  <c r="S31" i="14"/>
  <c r="U31" i="14" s="1"/>
  <c r="Y30" i="14"/>
  <c r="S30" i="14"/>
  <c r="U30" i="14" s="1"/>
  <c r="Y29" i="14"/>
  <c r="S29" i="14"/>
  <c r="U29" i="14" s="1"/>
  <c r="Y28" i="14"/>
  <c r="S28" i="14"/>
  <c r="U28" i="14" s="1"/>
  <c r="Y27" i="14"/>
  <c r="S27" i="14"/>
  <c r="U27" i="14" s="1"/>
  <c r="Y26" i="14"/>
  <c r="U26" i="14"/>
  <c r="X26" i="14" s="1"/>
  <c r="S26" i="14"/>
  <c r="Y25" i="14"/>
  <c r="S25" i="14"/>
  <c r="U25" i="14" s="1"/>
  <c r="Y24" i="14"/>
  <c r="S24" i="14"/>
  <c r="U24" i="14" s="1"/>
  <c r="Y23" i="14"/>
  <c r="S23" i="14"/>
  <c r="U23" i="14" s="1"/>
  <c r="Y22" i="14"/>
  <c r="S22" i="14"/>
  <c r="U22" i="14" s="1"/>
  <c r="Y21" i="14"/>
  <c r="S21" i="14"/>
  <c r="U21" i="14" s="1"/>
  <c r="Y20" i="14"/>
  <c r="S20" i="14"/>
  <c r="U20" i="14" s="1"/>
  <c r="Y19" i="14"/>
  <c r="U19" i="14"/>
  <c r="S19" i="14"/>
  <c r="Y18" i="14"/>
  <c r="S18" i="14"/>
  <c r="U18" i="14" s="1"/>
  <c r="Y17" i="14"/>
  <c r="U17" i="14"/>
  <c r="S17" i="14"/>
  <c r="Y16" i="14"/>
  <c r="S16" i="14"/>
  <c r="U16" i="14" s="1"/>
  <c r="Y15" i="14"/>
  <c r="S15" i="14"/>
  <c r="U15" i="14" s="1"/>
  <c r="Y14" i="14"/>
  <c r="S14" i="14"/>
  <c r="U14" i="14" s="1"/>
  <c r="Y13" i="14"/>
  <c r="S13" i="14"/>
  <c r="U13" i="14" s="1"/>
  <c r="Y12" i="14"/>
  <c r="U12" i="14"/>
  <c r="S12" i="14"/>
  <c r="Y11" i="14"/>
  <c r="S11" i="14"/>
  <c r="U11" i="14" s="1"/>
  <c r="Y10" i="14"/>
  <c r="U10" i="14"/>
  <c r="S10" i="14"/>
  <c r="Y9" i="14"/>
  <c r="S9" i="14"/>
  <c r="U9" i="14" s="1"/>
  <c r="X9" i="14" s="1"/>
  <c r="Y8" i="14"/>
  <c r="S8" i="14"/>
  <c r="U8" i="14" s="1"/>
  <c r="Y7" i="14"/>
  <c r="S7" i="14"/>
  <c r="U7" i="14" s="1"/>
  <c r="Y32" i="15"/>
  <c r="Y25" i="15"/>
  <c r="Y35" i="15"/>
  <c r="S35" i="15"/>
  <c r="U35" i="15" s="1"/>
  <c r="Y37" i="15"/>
  <c r="S37" i="15"/>
  <c r="U37" i="15" s="1"/>
  <c r="X41" i="14" l="1"/>
  <c r="X77" i="14"/>
  <c r="AC58" i="17"/>
  <c r="AC34" i="17"/>
  <c r="AC64" i="17"/>
  <c r="AC20" i="17"/>
  <c r="AC80" i="17"/>
  <c r="AC50" i="17"/>
  <c r="AC60" i="17"/>
  <c r="AD60" i="17" s="1"/>
  <c r="AE60" i="17" s="1"/>
  <c r="AC96" i="17"/>
  <c r="AD96" i="17" s="1"/>
  <c r="AE96" i="17" s="1"/>
  <c r="AC74" i="17"/>
  <c r="AC7" i="17"/>
  <c r="AC11" i="17"/>
  <c r="AC15" i="17"/>
  <c r="AD15" i="17" s="1"/>
  <c r="AE15" i="17" s="1"/>
  <c r="AC24" i="17"/>
  <c r="AD24" i="17" s="1"/>
  <c r="AE24" i="17" s="1"/>
  <c r="AC66" i="17"/>
  <c r="AC19" i="17"/>
  <c r="AD19" i="17" s="1"/>
  <c r="AE19" i="17" s="1"/>
  <c r="AC28" i="17"/>
  <c r="AD28" i="17" s="1"/>
  <c r="AE28" i="17" s="1"/>
  <c r="AC42" i="17"/>
  <c r="AD9" i="17"/>
  <c r="AE9" i="17" s="1"/>
  <c r="AD13" i="17"/>
  <c r="AE13" i="17" s="1"/>
  <c r="AC32" i="17"/>
  <c r="AD32" i="17" s="1"/>
  <c r="AE32" i="17" s="1"/>
  <c r="AC44" i="17"/>
  <c r="AC90" i="17"/>
  <c r="Z72" i="12"/>
  <c r="Z70" i="11"/>
  <c r="Z72" i="11"/>
  <c r="Z70" i="8"/>
  <c r="Z77" i="10"/>
  <c r="Z78" i="10"/>
  <c r="S42" i="14"/>
  <c r="U42" i="14" s="1"/>
  <c r="X42" i="14" s="1"/>
  <c r="Z95" i="14"/>
  <c r="Z96" i="14"/>
  <c r="X68" i="17"/>
  <c r="X18" i="17"/>
  <c r="X22" i="17"/>
  <c r="X53" i="17"/>
  <c r="AD53" i="17" s="1"/>
  <c r="AE53" i="17" s="1"/>
  <c r="X87" i="17"/>
  <c r="AD87" i="17" s="1"/>
  <c r="AE87" i="17" s="1"/>
  <c r="X92" i="17"/>
  <c r="X94" i="17"/>
  <c r="X14" i="14"/>
  <c r="X24" i="14"/>
  <c r="X34" i="14"/>
  <c r="X72" i="17"/>
  <c r="X12" i="14"/>
  <c r="X17" i="14"/>
  <c r="X27" i="14"/>
  <c r="X40" i="17"/>
  <c r="X93" i="17"/>
  <c r="AD79" i="17"/>
  <c r="AE79" i="17" s="1"/>
  <c r="X19" i="14"/>
  <c r="X32" i="14"/>
  <c r="X17" i="17"/>
  <c r="AD17" i="17" s="1"/>
  <c r="AE17" i="17" s="1"/>
  <c r="X36" i="17"/>
  <c r="X48" i="17"/>
  <c r="X77" i="17"/>
  <c r="X10" i="14"/>
  <c r="X15" i="14"/>
  <c r="X25" i="14"/>
  <c r="X35" i="14"/>
  <c r="X47" i="14"/>
  <c r="X57" i="14"/>
  <c r="X7" i="17"/>
  <c r="X25" i="17"/>
  <c r="X52" i="17"/>
  <c r="AD27" i="17"/>
  <c r="AE27" i="17" s="1"/>
  <c r="X10" i="17"/>
  <c r="AD10" i="17" s="1"/>
  <c r="AE10" i="17" s="1"/>
  <c r="AD16" i="17"/>
  <c r="AE16" i="17" s="1"/>
  <c r="AD18" i="17"/>
  <c r="AE18" i="17" s="1"/>
  <c r="AD22" i="17"/>
  <c r="AE22" i="17" s="1"/>
  <c r="X37" i="17"/>
  <c r="X88" i="17"/>
  <c r="AD25" i="17"/>
  <c r="AE25" i="17" s="1"/>
  <c r="AD95" i="17"/>
  <c r="AE95" i="17" s="1"/>
  <c r="AD63" i="17"/>
  <c r="AE63" i="17" s="1"/>
  <c r="X8" i="14"/>
  <c r="X20" i="14"/>
  <c r="X33" i="14"/>
  <c r="X40" i="14"/>
  <c r="AD8" i="17"/>
  <c r="AE8" i="17" s="1"/>
  <c r="AD30" i="17"/>
  <c r="AE30" i="17" s="1"/>
  <c r="X42" i="17"/>
  <c r="AD42" i="17" s="1"/>
  <c r="AE42" i="17" s="1"/>
  <c r="X69" i="17"/>
  <c r="AD69" i="17" s="1"/>
  <c r="AE69" i="17" s="1"/>
  <c r="AD73" i="17"/>
  <c r="AE73" i="17" s="1"/>
  <c r="X84" i="17"/>
  <c r="AD85" i="17"/>
  <c r="AE85" i="17" s="1"/>
  <c r="AD92" i="17"/>
  <c r="AE92" i="17" s="1"/>
  <c r="X13" i="14"/>
  <c r="X18" i="14"/>
  <c r="X76" i="14"/>
  <c r="X11" i="17"/>
  <c r="AD14" i="17"/>
  <c r="AE14" i="17" s="1"/>
  <c r="X21" i="17"/>
  <c r="AD21" i="17" s="1"/>
  <c r="AE21" i="17" s="1"/>
  <c r="X26" i="17"/>
  <c r="AD26" i="17" s="1"/>
  <c r="AE26" i="17" s="1"/>
  <c r="X31" i="17"/>
  <c r="AD31" i="17" s="1"/>
  <c r="AE31" i="17" s="1"/>
  <c r="X39" i="17"/>
  <c r="AD39" i="17" s="1"/>
  <c r="AE39" i="17" s="1"/>
  <c r="X44" i="17"/>
  <c r="X46" i="17"/>
  <c r="X54" i="17"/>
  <c r="AD55" i="17"/>
  <c r="AE55" i="17" s="1"/>
  <c r="X59" i="17"/>
  <c r="X64" i="17"/>
  <c r="AD64" i="17" s="1"/>
  <c r="AE64" i="17" s="1"/>
  <c r="X74" i="17"/>
  <c r="AD74" i="17" s="1"/>
  <c r="AE74" i="17" s="1"/>
  <c r="X86" i="17"/>
  <c r="X91" i="17"/>
  <c r="AD97" i="17"/>
  <c r="AE97" i="17" s="1"/>
  <c r="X11" i="14"/>
  <c r="X31" i="14"/>
  <c r="X49" i="14"/>
  <c r="X58" i="14"/>
  <c r="X15" i="17"/>
  <c r="AD47" i="17"/>
  <c r="AE47" i="17" s="1"/>
  <c r="X61" i="17"/>
  <c r="X71" i="17"/>
  <c r="AD71" i="17" s="1"/>
  <c r="AE71" i="17" s="1"/>
  <c r="X76" i="17"/>
  <c r="AD76" i="17" s="1"/>
  <c r="AE76" i="17" s="1"/>
  <c r="X78" i="17"/>
  <c r="X98" i="17"/>
  <c r="AD98" i="17" s="1"/>
  <c r="AE98" i="17" s="1"/>
  <c r="X51" i="15"/>
  <c r="AD20" i="17"/>
  <c r="AE20" i="17" s="1"/>
  <c r="X23" i="17"/>
  <c r="AD23" i="17" s="1"/>
  <c r="AE23" i="17" s="1"/>
  <c r="X29" i="17"/>
  <c r="AD29" i="17" s="1"/>
  <c r="AE29" i="17" s="1"/>
  <c r="X45" i="17"/>
  <c r="X58" i="17"/>
  <c r="AD58" i="17" s="1"/>
  <c r="AE58" i="17" s="1"/>
  <c r="X70" i="17"/>
  <c r="X75" i="17"/>
  <c r="X80" i="17"/>
  <c r="AD80" i="17" s="1"/>
  <c r="AE80" i="17" s="1"/>
  <c r="X90" i="17"/>
  <c r="AD90" i="17" s="1"/>
  <c r="AE90" i="17" s="1"/>
  <c r="AD48" i="17"/>
  <c r="AE48" i="17" s="1"/>
  <c r="AD7" i="17"/>
  <c r="AD41" i="17"/>
  <c r="AE41" i="17" s="1"/>
  <c r="AD37" i="17"/>
  <c r="AE37" i="17" s="1"/>
  <c r="AD57" i="17"/>
  <c r="AE57" i="17" s="1"/>
  <c r="AD89" i="17"/>
  <c r="AE89" i="17" s="1"/>
  <c r="AD12" i="17"/>
  <c r="AE12" i="17" s="1"/>
  <c r="Z32" i="17"/>
  <c r="Z101" i="17" s="1"/>
  <c r="AC35" i="17"/>
  <c r="AD35" i="17" s="1"/>
  <c r="AE35" i="17" s="1"/>
  <c r="AC46" i="17"/>
  <c r="Z48" i="17"/>
  <c r="AC51" i="17"/>
  <c r="AD51" i="17" s="1"/>
  <c r="AE51" i="17" s="1"/>
  <c r="AC62" i="17"/>
  <c r="AD62" i="17" s="1"/>
  <c r="AE62" i="17" s="1"/>
  <c r="Z64" i="17"/>
  <c r="AC67" i="17"/>
  <c r="AD67" i="17" s="1"/>
  <c r="AE67" i="17" s="1"/>
  <c r="AC78" i="17"/>
  <c r="Z80" i="17"/>
  <c r="AC83" i="17"/>
  <c r="AD83" i="17" s="1"/>
  <c r="AE83" i="17" s="1"/>
  <c r="AC94" i="17"/>
  <c r="Z96" i="17"/>
  <c r="AD99" i="17"/>
  <c r="AE99" i="17" s="1"/>
  <c r="Z44" i="17"/>
  <c r="Z60" i="17"/>
  <c r="Z76" i="17"/>
  <c r="Z92" i="17"/>
  <c r="AC33" i="17"/>
  <c r="AD33" i="17" s="1"/>
  <c r="AE33" i="17" s="1"/>
  <c r="AC65" i="17"/>
  <c r="AD65" i="17" s="1"/>
  <c r="AE65" i="17" s="1"/>
  <c r="AC81" i="17"/>
  <c r="AD81" i="17" s="1"/>
  <c r="AE81" i="17" s="1"/>
  <c r="AC40" i="17"/>
  <c r="AD40" i="17" s="1"/>
  <c r="AE40" i="17" s="1"/>
  <c r="Z42" i="17"/>
  <c r="AC45" i="17"/>
  <c r="AC56" i="17"/>
  <c r="AD56" i="17" s="1"/>
  <c r="AE56" i="17" s="1"/>
  <c r="Z58" i="17"/>
  <c r="AC61" i="17"/>
  <c r="AC72" i="17"/>
  <c r="AD72" i="17" s="1"/>
  <c r="AE72" i="17" s="1"/>
  <c r="Z74" i="17"/>
  <c r="AC77" i="17"/>
  <c r="AD77" i="17" s="1"/>
  <c r="AE77" i="17" s="1"/>
  <c r="AC88" i="17"/>
  <c r="Z90" i="17"/>
  <c r="AC93" i="17"/>
  <c r="AD93" i="17" s="1"/>
  <c r="AE93" i="17" s="1"/>
  <c r="AC49" i="17"/>
  <c r="AD49" i="17" s="1"/>
  <c r="AE49" i="17" s="1"/>
  <c r="X34" i="17"/>
  <c r="AD34" i="17" s="1"/>
  <c r="AE34" i="17" s="1"/>
  <c r="AC38" i="17"/>
  <c r="AD38" i="17" s="1"/>
  <c r="AE38" i="17" s="1"/>
  <c r="AC43" i="17"/>
  <c r="AD43" i="17" s="1"/>
  <c r="AE43" i="17" s="1"/>
  <c r="X50" i="17"/>
  <c r="AD50" i="17" s="1"/>
  <c r="AE50" i="17" s="1"/>
  <c r="AC54" i="17"/>
  <c r="AD54" i="17" s="1"/>
  <c r="AE54" i="17" s="1"/>
  <c r="AC59" i="17"/>
  <c r="X66" i="17"/>
  <c r="AD66" i="17" s="1"/>
  <c r="AE66" i="17" s="1"/>
  <c r="AC70" i="17"/>
  <c r="AD70" i="17" s="1"/>
  <c r="AE70" i="17" s="1"/>
  <c r="AC75" i="17"/>
  <c r="AD75" i="17" s="1"/>
  <c r="AE75" i="17" s="1"/>
  <c r="X82" i="17"/>
  <c r="AD82" i="17" s="1"/>
  <c r="AE82" i="17" s="1"/>
  <c r="AC86" i="17"/>
  <c r="AC91" i="17"/>
  <c r="AD91" i="17" s="1"/>
  <c r="AE91" i="17" s="1"/>
  <c r="AC36" i="17"/>
  <c r="AD36" i="17" s="1"/>
  <c r="AE36" i="17" s="1"/>
  <c r="AC52" i="17"/>
  <c r="AC68" i="17"/>
  <c r="AD68" i="17" s="1"/>
  <c r="AE68" i="17" s="1"/>
  <c r="AC84" i="17"/>
  <c r="Z36" i="17"/>
  <c r="Z68" i="17"/>
  <c r="Z84" i="17"/>
  <c r="X22" i="14"/>
  <c r="X29" i="14"/>
  <c r="X36" i="14"/>
  <c r="X43" i="14"/>
  <c r="X54" i="14"/>
  <c r="X16" i="14"/>
  <c r="X7" i="14"/>
  <c r="X23" i="14"/>
  <c r="X30" i="14"/>
  <c r="X37" i="14"/>
  <c r="X45" i="14"/>
  <c r="X21" i="14"/>
  <c r="X28" i="14"/>
  <c r="X52" i="14"/>
  <c r="X35" i="15"/>
  <c r="X37" i="15"/>
  <c r="Y30" i="15"/>
  <c r="Y23" i="15"/>
  <c r="Y27" i="15"/>
  <c r="Y17" i="15"/>
  <c r="AD11" i="17" l="1"/>
  <c r="AE11" i="17" s="1"/>
  <c r="AD44" i="17"/>
  <c r="AE44" i="17" s="1"/>
  <c r="AD59" i="17"/>
  <c r="AE59" i="17" s="1"/>
  <c r="AD88" i="17"/>
  <c r="AE88" i="17" s="1"/>
  <c r="AD94" i="17"/>
  <c r="AE94" i="17" s="1"/>
  <c r="AD46" i="17"/>
  <c r="AE46" i="17" s="1"/>
  <c r="AD61" i="17"/>
  <c r="AE61" i="17" s="1"/>
  <c r="AD52" i="17"/>
  <c r="AE52" i="17" s="1"/>
  <c r="AD84" i="17"/>
  <c r="AE84" i="17" s="1"/>
  <c r="AD45" i="17"/>
  <c r="AE45" i="17" s="1"/>
  <c r="AD78" i="17"/>
  <c r="AE78" i="17" s="1"/>
  <c r="AD86" i="17"/>
  <c r="AE86" i="17" s="1"/>
  <c r="AE7" i="17"/>
  <c r="AC101" i="17"/>
  <c r="AD101" i="17" l="1"/>
  <c r="AE101" i="17"/>
  <c r="Y13" i="15" l="1"/>
  <c r="Y10" i="15" l="1"/>
  <c r="S10" i="15"/>
  <c r="U10" i="15" s="1"/>
  <c r="S9" i="15"/>
  <c r="U9" i="15" s="1"/>
  <c r="Y8" i="15"/>
  <c r="S8" i="15"/>
  <c r="U8" i="15" s="1"/>
  <c r="Y7" i="15"/>
  <c r="S7" i="15"/>
  <c r="U7" i="15" s="1"/>
  <c r="Y54" i="8"/>
  <c r="S54" i="8"/>
  <c r="U54" i="8" s="1"/>
  <c r="Y53" i="8"/>
  <c r="S53" i="8"/>
  <c r="U53" i="8" s="1"/>
  <c r="Y52" i="8"/>
  <c r="S52" i="8"/>
  <c r="U52" i="8" s="1"/>
  <c r="Y51" i="8"/>
  <c r="S51" i="8"/>
  <c r="U51" i="8" s="1"/>
  <c r="Y63" i="10"/>
  <c r="S63" i="10"/>
  <c r="U63" i="10" s="1"/>
  <c r="Y62" i="10"/>
  <c r="S62" i="10"/>
  <c r="U62" i="10" s="1"/>
  <c r="Y61" i="10"/>
  <c r="S61" i="10"/>
  <c r="U61" i="10" s="1"/>
  <c r="Y60" i="10"/>
  <c r="S60" i="10"/>
  <c r="U60" i="10" s="1"/>
  <c r="Y51" i="11"/>
  <c r="S51" i="11"/>
  <c r="U51" i="11" s="1"/>
  <c r="Y50" i="11"/>
  <c r="S50" i="11"/>
  <c r="U50" i="11" s="1"/>
  <c r="Y58" i="12"/>
  <c r="U58" i="12"/>
  <c r="S58" i="12"/>
  <c r="Y57" i="12"/>
  <c r="U57" i="12"/>
  <c r="S57" i="12"/>
  <c r="Y54" i="12"/>
  <c r="Y51" i="12"/>
  <c r="Y50" i="12"/>
  <c r="Y20" i="12"/>
  <c r="S20" i="12"/>
  <c r="U20" i="12" s="1"/>
  <c r="Y43" i="12"/>
  <c r="S43" i="12"/>
  <c r="U43" i="12" s="1"/>
  <c r="Y40" i="12"/>
  <c r="S40" i="12"/>
  <c r="U40" i="12" s="1"/>
  <c r="Y37" i="12"/>
  <c r="S37" i="12"/>
  <c r="U37" i="12" s="1"/>
  <c r="Y32" i="12"/>
  <c r="S32" i="12"/>
  <c r="U32" i="12" s="1"/>
  <c r="Y30" i="12"/>
  <c r="S30" i="12"/>
  <c r="U30" i="12" s="1"/>
  <c r="Y29" i="12"/>
  <c r="S29" i="12"/>
  <c r="U29" i="12" s="1"/>
  <c r="Y28" i="12"/>
  <c r="S28" i="12"/>
  <c r="U28" i="12" s="1"/>
  <c r="Y27" i="12"/>
  <c r="X43" i="12" l="1"/>
  <c r="X58" i="12"/>
  <c r="X52" i="8"/>
  <c r="X63" i="10"/>
  <c r="X57" i="12"/>
  <c r="X8" i="15"/>
  <c r="X37" i="12"/>
  <c r="X61" i="10"/>
  <c r="X51" i="8"/>
  <c r="X32" i="12"/>
  <c r="X60" i="10"/>
  <c r="X7" i="15"/>
  <c r="X29" i="12"/>
  <c r="X50" i="11"/>
  <c r="X53" i="8"/>
  <c r="X10" i="15"/>
  <c r="X30" i="12"/>
  <c r="X51" i="11"/>
  <c r="X54" i="8"/>
  <c r="X62" i="10"/>
  <c r="X9" i="15"/>
  <c r="X40" i="12"/>
  <c r="X28" i="12"/>
  <c r="X20" i="12"/>
  <c r="S26" i="12"/>
  <c r="U26" i="12" s="1"/>
  <c r="Y26" i="12"/>
  <c r="S27" i="12"/>
  <c r="U27" i="12" s="1"/>
  <c r="Y23" i="12"/>
  <c r="S23" i="12"/>
  <c r="U23" i="12" s="1"/>
  <c r="Y21" i="12"/>
  <c r="S21" i="12"/>
  <c r="U21" i="12" s="1"/>
  <c r="Y19" i="12"/>
  <c r="S19" i="12"/>
  <c r="U19" i="12" s="1"/>
  <c r="Y17" i="12"/>
  <c r="S17" i="12"/>
  <c r="U17" i="12" s="1"/>
  <c r="Q12" i="12"/>
  <c r="Y12" i="12" s="1"/>
  <c r="Y10" i="12"/>
  <c r="S10" i="12"/>
  <c r="U10" i="12" s="1"/>
  <c r="Y9" i="12"/>
  <c r="S9" i="12"/>
  <c r="U9" i="12" s="1"/>
  <c r="Y8" i="12"/>
  <c r="S8" i="12"/>
  <c r="U8" i="12" s="1"/>
  <c r="Y7" i="12"/>
  <c r="S7" i="12"/>
  <c r="U7" i="12" s="1"/>
  <c r="Y47" i="11"/>
  <c r="S47" i="11"/>
  <c r="U47" i="11" s="1"/>
  <c r="Y40" i="11"/>
  <c r="S40" i="11"/>
  <c r="U40" i="11" s="1"/>
  <c r="Y39" i="11"/>
  <c r="S39" i="11"/>
  <c r="U39" i="11" s="1"/>
  <c r="Y38" i="11"/>
  <c r="S38" i="11"/>
  <c r="U38" i="11" s="1"/>
  <c r="Y37" i="11"/>
  <c r="S37" i="11"/>
  <c r="U37" i="11" s="1"/>
  <c r="Y36" i="11"/>
  <c r="S36" i="11"/>
  <c r="U36" i="11" s="1"/>
  <c r="Y35" i="11"/>
  <c r="S35" i="11"/>
  <c r="U35" i="11" s="1"/>
  <c r="Y34" i="11"/>
  <c r="S34" i="11"/>
  <c r="U34" i="11" s="1"/>
  <c r="Y33" i="11"/>
  <c r="S33" i="11"/>
  <c r="U33" i="11" s="1"/>
  <c r="Y32" i="11"/>
  <c r="S32" i="11"/>
  <c r="U32" i="11" s="1"/>
  <c r="Y31" i="11"/>
  <c r="S31" i="11"/>
  <c r="U31" i="11" s="1"/>
  <c r="Y30" i="11"/>
  <c r="S30" i="11"/>
  <c r="U30" i="11" s="1"/>
  <c r="Y29" i="11"/>
  <c r="S29" i="11"/>
  <c r="U29" i="11" s="1"/>
  <c r="Y28" i="11"/>
  <c r="S28" i="11"/>
  <c r="U28" i="11" s="1"/>
  <c r="Y27" i="11"/>
  <c r="S27" i="11"/>
  <c r="U27" i="11" s="1"/>
  <c r="Y26" i="11"/>
  <c r="S26" i="11"/>
  <c r="U26" i="11" s="1"/>
  <c r="Y25" i="11"/>
  <c r="S25" i="11"/>
  <c r="U25" i="11" s="1"/>
  <c r="Y24" i="11"/>
  <c r="S24" i="11"/>
  <c r="U24" i="11" s="1"/>
  <c r="Y23" i="11"/>
  <c r="S23" i="11"/>
  <c r="U23" i="11" s="1"/>
  <c r="Y22" i="11"/>
  <c r="S22" i="11"/>
  <c r="U22" i="11" s="1"/>
  <c r="Y21" i="11"/>
  <c r="S21" i="11"/>
  <c r="U21" i="11" s="1"/>
  <c r="Y20" i="11"/>
  <c r="U20" i="11"/>
  <c r="S20" i="11"/>
  <c r="Y19" i="11"/>
  <c r="S19" i="11"/>
  <c r="U19" i="11" s="1"/>
  <c r="Y18" i="11"/>
  <c r="S18" i="11"/>
  <c r="U18" i="11" s="1"/>
  <c r="Y17" i="11"/>
  <c r="S17" i="11"/>
  <c r="U17" i="11" s="1"/>
  <c r="Y16" i="11"/>
  <c r="U16" i="11"/>
  <c r="S16" i="11"/>
  <c r="Y15" i="11"/>
  <c r="S15" i="11"/>
  <c r="U15" i="11" s="1"/>
  <c r="Y14" i="11"/>
  <c r="S14" i="11"/>
  <c r="U14" i="11" s="1"/>
  <c r="Y13" i="11"/>
  <c r="S13" i="11"/>
  <c r="U13" i="11" s="1"/>
  <c r="Y12" i="11"/>
  <c r="U12" i="11"/>
  <c r="S12" i="11"/>
  <c r="Y11" i="11"/>
  <c r="S11" i="11"/>
  <c r="U11" i="11" s="1"/>
  <c r="Y10" i="11"/>
  <c r="S10" i="11"/>
  <c r="U10" i="11" s="1"/>
  <c r="Y9" i="11"/>
  <c r="S9" i="11"/>
  <c r="U9" i="11" s="1"/>
  <c r="Y8" i="11"/>
  <c r="U8" i="11"/>
  <c r="S8" i="11"/>
  <c r="Y7" i="11"/>
  <c r="S7" i="11"/>
  <c r="U7" i="11" s="1"/>
  <c r="Y57" i="10"/>
  <c r="U57" i="10"/>
  <c r="S57" i="10"/>
  <c r="Y56" i="10"/>
  <c r="S56" i="10"/>
  <c r="U56" i="10" s="1"/>
  <c r="Y53" i="10"/>
  <c r="S53" i="10"/>
  <c r="U53" i="10" s="1"/>
  <c r="Y52" i="10"/>
  <c r="S52" i="10"/>
  <c r="U52" i="10" s="1"/>
  <c r="Y51" i="10"/>
  <c r="S51" i="10"/>
  <c r="U51" i="10" s="1"/>
  <c r="Y50" i="10"/>
  <c r="S50" i="10"/>
  <c r="U50" i="10" s="1"/>
  <c r="Y49" i="10"/>
  <c r="U49" i="10"/>
  <c r="S49" i="10"/>
  <c r="Y48" i="10"/>
  <c r="S48" i="10"/>
  <c r="U48" i="10" s="1"/>
  <c r="Y46" i="10"/>
  <c r="S46" i="10"/>
  <c r="U46" i="10" s="1"/>
  <c r="Y45" i="10"/>
  <c r="S45" i="10"/>
  <c r="U45" i="10" s="1"/>
  <c r="Y44" i="10"/>
  <c r="S44" i="10"/>
  <c r="U44" i="10" s="1"/>
  <c r="Y43" i="10"/>
  <c r="S43" i="10"/>
  <c r="U43" i="10" s="1"/>
  <c r="Y42" i="10"/>
  <c r="S42" i="10"/>
  <c r="U42" i="10" s="1"/>
  <c r="Y39" i="10"/>
  <c r="S39" i="10"/>
  <c r="U39" i="10" s="1"/>
  <c r="Y37" i="10"/>
  <c r="S37" i="10"/>
  <c r="U37" i="10" s="1"/>
  <c r="Y36" i="10"/>
  <c r="S36" i="10"/>
  <c r="U36" i="10" s="1"/>
  <c r="Y35" i="10"/>
  <c r="U35" i="10"/>
  <c r="S35" i="10"/>
  <c r="Y34" i="10"/>
  <c r="Y27" i="10"/>
  <c r="Y25" i="10"/>
  <c r="S25" i="10"/>
  <c r="U25" i="10" s="1"/>
  <c r="Y22" i="10"/>
  <c r="S22" i="10"/>
  <c r="U22" i="10" s="1"/>
  <c r="Y21" i="10"/>
  <c r="S21" i="10"/>
  <c r="U21" i="10" s="1"/>
  <c r="Y20" i="10"/>
  <c r="S20" i="10"/>
  <c r="U20" i="10" s="1"/>
  <c r="Y19" i="10"/>
  <c r="U19" i="10"/>
  <c r="S19" i="10"/>
  <c r="Y18" i="10"/>
  <c r="S18" i="10"/>
  <c r="U18" i="10" s="1"/>
  <c r="Y17" i="10"/>
  <c r="S17" i="10"/>
  <c r="U17" i="10" s="1"/>
  <c r="Y16" i="10"/>
  <c r="S16" i="10"/>
  <c r="U16" i="10" s="1"/>
  <c r="Y15" i="10"/>
  <c r="U15" i="10"/>
  <c r="S15" i="10"/>
  <c r="Y14" i="10"/>
  <c r="S14" i="10"/>
  <c r="U14" i="10" s="1"/>
  <c r="Y13" i="10"/>
  <c r="S13" i="10"/>
  <c r="U13" i="10" s="1"/>
  <c r="Y12" i="10"/>
  <c r="S12" i="10"/>
  <c r="U12" i="10" s="1"/>
  <c r="Y11" i="10"/>
  <c r="U11" i="10"/>
  <c r="S11" i="10"/>
  <c r="Y10" i="10"/>
  <c r="S10" i="10"/>
  <c r="U10" i="10" s="1"/>
  <c r="Y9" i="10"/>
  <c r="X9" i="10"/>
  <c r="U9" i="10"/>
  <c r="S9" i="10"/>
  <c r="Y8" i="10"/>
  <c r="S8" i="10"/>
  <c r="U8" i="10" s="1"/>
  <c r="Y7" i="10"/>
  <c r="U7" i="10"/>
  <c r="S7" i="10"/>
  <c r="Y48" i="8"/>
  <c r="Y36" i="8"/>
  <c r="S36" i="8"/>
  <c r="U36" i="8" s="1"/>
  <c r="Y34" i="8"/>
  <c r="S34" i="8"/>
  <c r="U34" i="8" s="1"/>
  <c r="X21" i="10" l="1"/>
  <c r="X42" i="10"/>
  <c r="X22" i="11"/>
  <c r="X30" i="11"/>
  <c r="X36" i="10"/>
  <c r="X48" i="10"/>
  <c r="X16" i="11"/>
  <c r="X21" i="11"/>
  <c r="X29" i="11"/>
  <c r="X7" i="12"/>
  <c r="X23" i="12"/>
  <c r="X34" i="8"/>
  <c r="X16" i="10"/>
  <c r="X9" i="11"/>
  <c r="X14" i="11"/>
  <c r="X24" i="11"/>
  <c r="X32" i="11"/>
  <c r="X37" i="11"/>
  <c r="X19" i="10"/>
  <c r="X37" i="10"/>
  <c r="X56" i="10"/>
  <c r="X12" i="11"/>
  <c r="X17" i="11"/>
  <c r="X21" i="12"/>
  <c r="X8" i="10"/>
  <c r="X10" i="10"/>
  <c r="X46" i="10"/>
  <c r="X20" i="11"/>
  <c r="X28" i="11"/>
  <c r="X47" i="11"/>
  <c r="X26" i="12"/>
  <c r="X27" i="12"/>
  <c r="X14" i="10"/>
  <c r="X45" i="10"/>
  <c r="X40" i="11"/>
  <c r="X10" i="12"/>
  <c r="X19" i="12"/>
  <c r="X12" i="10"/>
  <c r="X17" i="10"/>
  <c r="X43" i="10"/>
  <c r="X49" i="10"/>
  <c r="X10" i="11"/>
  <c r="X15" i="11"/>
  <c r="X25" i="11"/>
  <c r="X38" i="11"/>
  <c r="X8" i="12"/>
  <c r="X36" i="8"/>
  <c r="X15" i="10"/>
  <c r="X20" i="10"/>
  <c r="X39" i="10"/>
  <c r="X8" i="11"/>
  <c r="X13" i="11"/>
  <c r="X18" i="11"/>
  <c r="X23" i="11"/>
  <c r="X31" i="11"/>
  <c r="X36" i="11"/>
  <c r="X18" i="10"/>
  <c r="X44" i="10"/>
  <c r="X50" i="10"/>
  <c r="X57" i="10"/>
  <c r="X26" i="11"/>
  <c r="X34" i="11"/>
  <c r="X39" i="11"/>
  <c r="X9" i="12"/>
  <c r="X17" i="12"/>
  <c r="S12" i="12"/>
  <c r="U12" i="12" s="1"/>
  <c r="X12" i="12" s="1"/>
  <c r="X11" i="11"/>
  <c r="X27" i="11"/>
  <c r="X19" i="11"/>
  <c r="X33" i="11"/>
  <c r="X35" i="11"/>
  <c r="X7" i="11"/>
  <c r="X52" i="10"/>
  <c r="X13" i="10"/>
  <c r="X22" i="10"/>
  <c r="X35" i="10"/>
  <c r="X53" i="10"/>
  <c r="X7" i="10"/>
  <c r="X11" i="10"/>
  <c r="X25" i="10"/>
  <c r="X51" i="10"/>
  <c r="Y40" i="8" l="1"/>
  <c r="S40" i="8"/>
  <c r="U40" i="8" s="1"/>
  <c r="Y39" i="8"/>
  <c r="S39" i="8"/>
  <c r="U39" i="8" s="1"/>
  <c r="Y37" i="8"/>
  <c r="S37" i="8"/>
  <c r="U37" i="8" s="1"/>
  <c r="Y35" i="8"/>
  <c r="S35" i="8"/>
  <c r="U35" i="8" s="1"/>
  <c r="Y31" i="8"/>
  <c r="S31" i="8"/>
  <c r="U31" i="8" s="1"/>
  <c r="Y30" i="8"/>
  <c r="S30" i="8"/>
  <c r="U30" i="8" s="1"/>
  <c r="Y29" i="8"/>
  <c r="S29" i="8"/>
  <c r="U29" i="8" s="1"/>
  <c r="Y28" i="8"/>
  <c r="S28" i="8"/>
  <c r="U28" i="8" s="1"/>
  <c r="Y27" i="8"/>
  <c r="S27" i="8"/>
  <c r="U27" i="8" s="1"/>
  <c r="Y26" i="8"/>
  <c r="U26" i="8"/>
  <c r="S26" i="8"/>
  <c r="Y25" i="8"/>
  <c r="S25" i="8"/>
  <c r="U25" i="8" s="1"/>
  <c r="Y24" i="8"/>
  <c r="S24" i="8"/>
  <c r="U24" i="8" s="1"/>
  <c r="Y23" i="8"/>
  <c r="S23" i="8"/>
  <c r="U23" i="8" s="1"/>
  <c r="Y22" i="8"/>
  <c r="S22" i="8"/>
  <c r="U22" i="8" s="1"/>
  <c r="Y21" i="8"/>
  <c r="S21" i="8"/>
  <c r="U21" i="8" s="1"/>
  <c r="Y20" i="8"/>
  <c r="U20" i="8"/>
  <c r="S20" i="8"/>
  <c r="Y19" i="8"/>
  <c r="U19" i="8"/>
  <c r="S19" i="8"/>
  <c r="Y18" i="8"/>
  <c r="S18" i="8"/>
  <c r="U18" i="8" s="1"/>
  <c r="Y17" i="8"/>
  <c r="S17" i="8"/>
  <c r="U17" i="8" s="1"/>
  <c r="Y16" i="8"/>
  <c r="S16" i="8"/>
  <c r="U16" i="8" s="1"/>
  <c r="Y15" i="8"/>
  <c r="S15" i="8"/>
  <c r="U15" i="8" s="1"/>
  <c r="Y14" i="8"/>
  <c r="S14" i="8"/>
  <c r="U14" i="8" s="1"/>
  <c r="Y13" i="8"/>
  <c r="S13" i="8"/>
  <c r="U13" i="8" s="1"/>
  <c r="Y12" i="8"/>
  <c r="U12" i="8"/>
  <c r="S12" i="8"/>
  <c r="Y11" i="8"/>
  <c r="S11" i="8"/>
  <c r="U11" i="8" s="1"/>
  <c r="Y10" i="8"/>
  <c r="S10" i="8"/>
  <c r="U10" i="8" s="1"/>
  <c r="Y9" i="8"/>
  <c r="S9" i="8"/>
  <c r="U9" i="8" s="1"/>
  <c r="Y8" i="8"/>
  <c r="S8" i="8"/>
  <c r="U8" i="8" s="1"/>
  <c r="Y7" i="8"/>
  <c r="S7" i="8"/>
  <c r="U7" i="8" s="1"/>
  <c r="Y32" i="7"/>
  <c r="Y31" i="7"/>
  <c r="S31" i="7"/>
  <c r="U31" i="7" s="1"/>
  <c r="S30" i="7"/>
  <c r="U30" i="7"/>
  <c r="X30" i="7"/>
  <c r="Y30" i="7"/>
  <c r="S32" i="7"/>
  <c r="U32" i="7" s="1"/>
  <c r="Y24" i="7"/>
  <c r="S24" i="7"/>
  <c r="U24" i="7" s="1"/>
  <c r="Y23" i="7"/>
  <c r="S23" i="7"/>
  <c r="U23" i="7" s="1"/>
  <c r="Y22" i="7"/>
  <c r="S22" i="7"/>
  <c r="U22" i="7" s="1"/>
  <c r="Y21" i="7"/>
  <c r="S21" i="7"/>
  <c r="U21" i="7" s="1"/>
  <c r="Y20" i="7"/>
  <c r="S20" i="7"/>
  <c r="U20" i="7" s="1"/>
  <c r="Y19" i="7"/>
  <c r="U19" i="7"/>
  <c r="S19" i="7"/>
  <c r="Y17" i="7"/>
  <c r="S17" i="7"/>
  <c r="U17" i="7" s="1"/>
  <c r="Y16" i="7"/>
  <c r="S16" i="7"/>
  <c r="U16" i="7" s="1"/>
  <c r="Y15" i="7"/>
  <c r="S15" i="7"/>
  <c r="U15" i="7" s="1"/>
  <c r="Y14" i="7"/>
  <c r="X14" i="7"/>
  <c r="U14" i="7"/>
  <c r="S14" i="7"/>
  <c r="Y13" i="7"/>
  <c r="S13" i="7"/>
  <c r="U13" i="7" s="1"/>
  <c r="Y12" i="7"/>
  <c r="S12" i="7"/>
  <c r="U12" i="7" s="1"/>
  <c r="Y10" i="7"/>
  <c r="S10" i="7"/>
  <c r="U10" i="7" s="1"/>
  <c r="Y9" i="7"/>
  <c r="S9" i="7"/>
  <c r="U9" i="7" s="1"/>
  <c r="Y8" i="7"/>
  <c r="X8" i="7"/>
  <c r="U8" i="7"/>
  <c r="S8" i="7"/>
  <c r="Y7" i="7"/>
  <c r="U7" i="7"/>
  <c r="S7" i="7"/>
  <c r="Y9" i="6"/>
  <c r="Y18" i="6"/>
  <c r="Y27" i="6"/>
  <c r="Y30" i="6"/>
  <c r="Y41" i="6"/>
  <c r="S41" i="6"/>
  <c r="U41" i="6" s="1"/>
  <c r="Y42" i="6"/>
  <c r="S42" i="6"/>
  <c r="U42" i="6" s="1"/>
  <c r="Y37" i="6"/>
  <c r="Y38" i="6"/>
  <c r="S30" i="6"/>
  <c r="U30" i="6" s="1"/>
  <c r="Y28" i="6"/>
  <c r="S28" i="6"/>
  <c r="U28" i="6" s="1"/>
  <c r="S27" i="6"/>
  <c r="U27" i="6" s="1"/>
  <c r="Y26" i="6"/>
  <c r="S26" i="6"/>
  <c r="U26" i="6" s="1"/>
  <c r="Y25" i="6"/>
  <c r="S25" i="6"/>
  <c r="U25" i="6" s="1"/>
  <c r="Y21" i="6"/>
  <c r="S21" i="6"/>
  <c r="U21" i="6" s="1"/>
  <c r="Y19" i="6"/>
  <c r="S19" i="6"/>
  <c r="U19" i="6" s="1"/>
  <c r="S18" i="6"/>
  <c r="U18" i="6" s="1"/>
  <c r="Y17" i="6"/>
  <c r="S17" i="6"/>
  <c r="U17" i="6" s="1"/>
  <c r="Y16" i="6"/>
  <c r="S16" i="6"/>
  <c r="U16" i="6" s="1"/>
  <c r="Y12" i="6"/>
  <c r="S12" i="6"/>
  <c r="U12" i="6" s="1"/>
  <c r="S13" i="6"/>
  <c r="U13" i="6" s="1"/>
  <c r="Y13" i="6"/>
  <c r="Y10" i="6"/>
  <c r="S10" i="6"/>
  <c r="U10" i="6" s="1"/>
  <c r="S9" i="6"/>
  <c r="U9" i="6" s="1"/>
  <c r="Y8" i="6"/>
  <c r="S8" i="6"/>
  <c r="U8" i="6" s="1"/>
  <c r="Y7" i="6"/>
  <c r="S7" i="6"/>
  <c r="U7" i="6" s="1"/>
  <c r="X26" i="8" l="1"/>
  <c r="X25" i="8"/>
  <c r="X42" i="6"/>
  <c r="X21" i="7"/>
  <c r="X10" i="7"/>
  <c r="X16" i="7"/>
  <c r="X22" i="7"/>
  <c r="X20" i="7"/>
  <c r="X19" i="8"/>
  <c r="X24" i="8"/>
  <c r="X29" i="8"/>
  <c r="X12" i="6"/>
  <c r="X9" i="7"/>
  <c r="X15" i="7"/>
  <c r="X7" i="7"/>
  <c r="X40" i="8"/>
  <c r="X41" i="6"/>
  <c r="X13" i="7"/>
  <c r="X24" i="7"/>
  <c r="X8" i="8"/>
  <c r="X18" i="8"/>
  <c r="X20" i="8"/>
  <c r="X10" i="6"/>
  <c r="X30" i="6"/>
  <c r="X19" i="7"/>
  <c r="X31" i="7"/>
  <c r="X11" i="8"/>
  <c r="X16" i="8"/>
  <c r="X28" i="8"/>
  <c r="X21" i="6"/>
  <c r="X9" i="8"/>
  <c r="X14" i="8"/>
  <c r="X17" i="8"/>
  <c r="X12" i="7"/>
  <c r="X17" i="7"/>
  <c r="X23" i="7"/>
  <c r="X12" i="8"/>
  <c r="X10" i="8"/>
  <c r="X15" i="8"/>
  <c r="X27" i="8"/>
  <c r="X39" i="8"/>
  <c r="X7" i="8"/>
  <c r="X21" i="8"/>
  <c r="X30" i="8"/>
  <c r="X22" i="8"/>
  <c r="X31" i="8"/>
  <c r="X13" i="8"/>
  <c r="X37" i="8"/>
  <c r="X23" i="8"/>
  <c r="X35" i="8"/>
  <c r="X13" i="6"/>
  <c r="X25" i="6"/>
  <c r="X28" i="6"/>
  <c r="X19" i="6"/>
  <c r="X17" i="6"/>
  <c r="X8" i="6"/>
  <c r="X32" i="7"/>
  <c r="X26" i="6"/>
  <c r="X9" i="6"/>
  <c r="X16" i="6"/>
  <c r="X7" i="6"/>
  <c r="X18" i="6"/>
  <c r="X27" i="6"/>
  <c r="AB78" i="16" l="1"/>
  <c r="Y78" i="16"/>
  <c r="W78" i="16"/>
  <c r="S78" i="16"/>
  <c r="U78" i="16" s="1"/>
  <c r="AB77" i="16"/>
  <c r="Y77" i="16"/>
  <c r="W77" i="16"/>
  <c r="S77" i="16"/>
  <c r="U77" i="16" s="1"/>
  <c r="AB76" i="16"/>
  <c r="AC76" i="16" s="1"/>
  <c r="Y76" i="16"/>
  <c r="Z76" i="16" s="1"/>
  <c r="W76" i="16"/>
  <c r="S76" i="16"/>
  <c r="U76" i="16" s="1"/>
  <c r="AB75" i="16"/>
  <c r="Y75" i="16"/>
  <c r="W75" i="16"/>
  <c r="S75" i="16"/>
  <c r="U75" i="16" s="1"/>
  <c r="AB74" i="16"/>
  <c r="Y74" i="16"/>
  <c r="W74" i="16"/>
  <c r="S74" i="16"/>
  <c r="U74" i="16" s="1"/>
  <c r="AB73" i="16"/>
  <c r="Y73" i="16"/>
  <c r="W73" i="16"/>
  <c r="S73" i="16"/>
  <c r="U73" i="16" s="1"/>
  <c r="AB72" i="16"/>
  <c r="Y72" i="16"/>
  <c r="Z72" i="16" s="1"/>
  <c r="W72" i="16"/>
  <c r="S72" i="16"/>
  <c r="U72" i="16" s="1"/>
  <c r="AB71" i="16"/>
  <c r="Y71" i="16"/>
  <c r="W71" i="16"/>
  <c r="S71" i="16"/>
  <c r="U71" i="16" s="1"/>
  <c r="AB70" i="16"/>
  <c r="Y70" i="16"/>
  <c r="W70" i="16"/>
  <c r="S70" i="16"/>
  <c r="U70" i="16" s="1"/>
  <c r="AB69" i="16"/>
  <c r="Z69" i="16"/>
  <c r="Y69" i="16"/>
  <c r="W69" i="16"/>
  <c r="S69" i="16"/>
  <c r="U69" i="16" s="1"/>
  <c r="AB68" i="16"/>
  <c r="Y68" i="16"/>
  <c r="Z68" i="16" s="1"/>
  <c r="W68" i="16"/>
  <c r="S68" i="16"/>
  <c r="U68" i="16" s="1"/>
  <c r="AB67" i="16"/>
  <c r="Y67" i="16"/>
  <c r="W67" i="16"/>
  <c r="S67" i="16"/>
  <c r="U67" i="16" s="1"/>
  <c r="AB66" i="16"/>
  <c r="Y66" i="16"/>
  <c r="W66" i="16"/>
  <c r="S66" i="16"/>
  <c r="U66" i="16" s="1"/>
  <c r="AB65" i="16"/>
  <c r="Z65" i="16"/>
  <c r="Y65" i="16"/>
  <c r="W65" i="16"/>
  <c r="S65" i="16"/>
  <c r="U65" i="16" s="1"/>
  <c r="AB64" i="16"/>
  <c r="Y64" i="16"/>
  <c r="Z64" i="16" s="1"/>
  <c r="W64" i="16"/>
  <c r="S64" i="16"/>
  <c r="U64" i="16" s="1"/>
  <c r="AB63" i="16"/>
  <c r="Y63" i="16"/>
  <c r="W63" i="16"/>
  <c r="U63" i="16"/>
  <c r="S63" i="16"/>
  <c r="AB62" i="16"/>
  <c r="Y62" i="16"/>
  <c r="W62" i="16"/>
  <c r="S62" i="16"/>
  <c r="U62" i="16" s="1"/>
  <c r="AB61" i="16"/>
  <c r="Y61" i="16"/>
  <c r="W61" i="16"/>
  <c r="S61" i="16"/>
  <c r="U61" i="16" s="1"/>
  <c r="AB60" i="16"/>
  <c r="AC60" i="16" s="1"/>
  <c r="Y60" i="16"/>
  <c r="Z60" i="16" s="1"/>
  <c r="W60" i="16"/>
  <c r="S60" i="16"/>
  <c r="U60" i="16" s="1"/>
  <c r="AB59" i="16"/>
  <c r="Y59" i="16"/>
  <c r="W59" i="16"/>
  <c r="U59" i="16"/>
  <c r="S59" i="16"/>
  <c r="AB58" i="16"/>
  <c r="Y58" i="16"/>
  <c r="W58" i="16"/>
  <c r="S58" i="16"/>
  <c r="U58" i="16" s="1"/>
  <c r="AB57" i="16"/>
  <c r="Z57" i="16"/>
  <c r="Y57" i="16"/>
  <c r="W57" i="16"/>
  <c r="S57" i="16"/>
  <c r="U57" i="16" s="1"/>
  <c r="AB56" i="16"/>
  <c r="AC56" i="16" s="1"/>
  <c r="Y56" i="16"/>
  <c r="Z56" i="16" s="1"/>
  <c r="W56" i="16"/>
  <c r="S56" i="16"/>
  <c r="U56" i="16" s="1"/>
  <c r="AB55" i="16"/>
  <c r="Y55" i="16"/>
  <c r="W55" i="16"/>
  <c r="S55" i="16"/>
  <c r="U55" i="16" s="1"/>
  <c r="X55" i="16" s="1"/>
  <c r="AB54" i="16"/>
  <c r="Y54" i="16"/>
  <c r="W54" i="16"/>
  <c r="X54" i="16" s="1"/>
  <c r="S54" i="16"/>
  <c r="U54" i="16" s="1"/>
  <c r="AB53" i="16"/>
  <c r="Y53" i="16"/>
  <c r="W53" i="16"/>
  <c r="S53" i="16"/>
  <c r="U53" i="16" s="1"/>
  <c r="AB52" i="16"/>
  <c r="AC52" i="16" s="1"/>
  <c r="Y52" i="16"/>
  <c r="Z52" i="16" s="1"/>
  <c r="W52" i="16"/>
  <c r="S52" i="16"/>
  <c r="U52" i="16" s="1"/>
  <c r="AB51" i="16"/>
  <c r="Y51" i="16"/>
  <c r="W51" i="16"/>
  <c r="U51" i="16"/>
  <c r="S51" i="16"/>
  <c r="AB50" i="16"/>
  <c r="Y50" i="16"/>
  <c r="W50" i="16"/>
  <c r="X50" i="16" s="1"/>
  <c r="S50" i="16"/>
  <c r="U50" i="16" s="1"/>
  <c r="AB49" i="16"/>
  <c r="Z49" i="16"/>
  <c r="Y49" i="16"/>
  <c r="W49" i="16"/>
  <c r="S49" i="16"/>
  <c r="U49" i="16" s="1"/>
  <c r="AB48" i="16"/>
  <c r="AC48" i="16" s="1"/>
  <c r="Y48" i="16"/>
  <c r="Z48" i="16" s="1"/>
  <c r="W48" i="16"/>
  <c r="S48" i="16"/>
  <c r="U48" i="16" s="1"/>
  <c r="AB47" i="16"/>
  <c r="Y47" i="16"/>
  <c r="W47" i="16"/>
  <c r="S47" i="16"/>
  <c r="U47" i="16" s="1"/>
  <c r="AB46" i="16"/>
  <c r="Y46" i="16"/>
  <c r="W46" i="16"/>
  <c r="X46" i="16" s="1"/>
  <c r="S46" i="16"/>
  <c r="U46" i="16" s="1"/>
  <c r="AB45" i="16"/>
  <c r="Y45" i="16"/>
  <c r="W45" i="16"/>
  <c r="S45" i="16"/>
  <c r="U45" i="16" s="1"/>
  <c r="AB44" i="16"/>
  <c r="Y44" i="16"/>
  <c r="Z44" i="16" s="1"/>
  <c r="W44" i="16"/>
  <c r="S44" i="16"/>
  <c r="U44" i="16" s="1"/>
  <c r="AB43" i="16"/>
  <c r="Y43" i="16"/>
  <c r="W43" i="16"/>
  <c r="U43" i="16"/>
  <c r="S43" i="16"/>
  <c r="AB42" i="16"/>
  <c r="Y42" i="16"/>
  <c r="W42" i="16"/>
  <c r="S42" i="16"/>
  <c r="U42" i="16" s="1"/>
  <c r="AB41" i="16"/>
  <c r="Y41" i="16"/>
  <c r="W41" i="16"/>
  <c r="S41" i="16"/>
  <c r="U41" i="16" s="1"/>
  <c r="AB40" i="16"/>
  <c r="AC40" i="16" s="1"/>
  <c r="Y40" i="16"/>
  <c r="Z40" i="16" s="1"/>
  <c r="W40" i="16"/>
  <c r="S40" i="16"/>
  <c r="U40" i="16" s="1"/>
  <c r="AB39" i="16"/>
  <c r="Y39" i="16"/>
  <c r="W39" i="16"/>
  <c r="S39" i="16"/>
  <c r="U39" i="16" s="1"/>
  <c r="AB38" i="16"/>
  <c r="Y38" i="16"/>
  <c r="W38" i="16"/>
  <c r="S38" i="16"/>
  <c r="U38" i="16" s="1"/>
  <c r="AB37" i="16"/>
  <c r="Z37" i="16"/>
  <c r="Y37" i="16"/>
  <c r="W37" i="16"/>
  <c r="S37" i="16"/>
  <c r="U37" i="16" s="1"/>
  <c r="AB36" i="16"/>
  <c r="Y36" i="16"/>
  <c r="Z36" i="16" s="1"/>
  <c r="W36" i="16"/>
  <c r="S36" i="16"/>
  <c r="U36" i="16" s="1"/>
  <c r="AB35" i="16"/>
  <c r="Y35" i="16"/>
  <c r="W35" i="16"/>
  <c r="S35" i="16"/>
  <c r="U35" i="16" s="1"/>
  <c r="AB34" i="16"/>
  <c r="Y34" i="16"/>
  <c r="W34" i="16"/>
  <c r="X34" i="16" s="1"/>
  <c r="S34" i="16"/>
  <c r="U34" i="16" s="1"/>
  <c r="AB33" i="16"/>
  <c r="Z33" i="16"/>
  <c r="Y33" i="16"/>
  <c r="W33" i="16"/>
  <c r="S33" i="16"/>
  <c r="U33" i="16" s="1"/>
  <c r="AB32" i="16"/>
  <c r="Y32" i="16"/>
  <c r="Z32" i="16" s="1"/>
  <c r="W32" i="16"/>
  <c r="S32" i="16"/>
  <c r="U32" i="16" s="1"/>
  <c r="AB31" i="16"/>
  <c r="Y31" i="16"/>
  <c r="W31" i="16"/>
  <c r="U31" i="16"/>
  <c r="S31" i="16"/>
  <c r="AB30" i="16"/>
  <c r="Y30" i="16"/>
  <c r="W30" i="16"/>
  <c r="S30" i="16"/>
  <c r="U30" i="16" s="1"/>
  <c r="AB29" i="16"/>
  <c r="Y29" i="16"/>
  <c r="W29" i="16"/>
  <c r="S29" i="16"/>
  <c r="U29" i="16" s="1"/>
  <c r="AB28" i="16"/>
  <c r="AC28" i="16" s="1"/>
  <c r="Y28" i="16"/>
  <c r="Z28" i="16" s="1"/>
  <c r="W28" i="16"/>
  <c r="S28" i="16"/>
  <c r="U28" i="16" s="1"/>
  <c r="AB27" i="16"/>
  <c r="Y27" i="16"/>
  <c r="W27" i="16"/>
  <c r="U27" i="16"/>
  <c r="S27" i="16"/>
  <c r="AB26" i="16"/>
  <c r="Y26" i="16"/>
  <c r="W26" i="16"/>
  <c r="S26" i="16"/>
  <c r="U26" i="16" s="1"/>
  <c r="AB25" i="16"/>
  <c r="Z25" i="16"/>
  <c r="Y25" i="16"/>
  <c r="W25" i="16"/>
  <c r="S25" i="16"/>
  <c r="U25" i="16" s="1"/>
  <c r="AB24" i="16"/>
  <c r="AC24" i="16" s="1"/>
  <c r="Y24" i="16"/>
  <c r="Z24" i="16" s="1"/>
  <c r="W24" i="16"/>
  <c r="S24" i="16"/>
  <c r="U24" i="16" s="1"/>
  <c r="AB23" i="16"/>
  <c r="Y23" i="16"/>
  <c r="W23" i="16"/>
  <c r="S23" i="16"/>
  <c r="U23" i="16" s="1"/>
  <c r="AB22" i="16"/>
  <c r="Y22" i="16"/>
  <c r="W22" i="16"/>
  <c r="X22" i="16" s="1"/>
  <c r="S22" i="16"/>
  <c r="U22" i="16" s="1"/>
  <c r="AB21" i="16"/>
  <c r="Z21" i="16"/>
  <c r="Y21" i="16"/>
  <c r="W21" i="16"/>
  <c r="S21" i="16"/>
  <c r="U21" i="16" s="1"/>
  <c r="AB20" i="16"/>
  <c r="Y20" i="16"/>
  <c r="Z20" i="16" s="1"/>
  <c r="W20" i="16"/>
  <c r="S20" i="16"/>
  <c r="U20" i="16" s="1"/>
  <c r="AB19" i="16"/>
  <c r="Y19" i="16"/>
  <c r="W19" i="16"/>
  <c r="U19" i="16"/>
  <c r="S19" i="16"/>
  <c r="AB18" i="16"/>
  <c r="Y18" i="16"/>
  <c r="W18" i="16"/>
  <c r="X18" i="16" s="1"/>
  <c r="S18" i="16"/>
  <c r="U18" i="16" s="1"/>
  <c r="AB17" i="16"/>
  <c r="Z17" i="16"/>
  <c r="Y17" i="16"/>
  <c r="W17" i="16"/>
  <c r="S17" i="16"/>
  <c r="U17" i="16" s="1"/>
  <c r="AB16" i="16"/>
  <c r="Y16" i="16"/>
  <c r="Z16" i="16" s="1"/>
  <c r="W16" i="16"/>
  <c r="S16" i="16"/>
  <c r="U16" i="16" s="1"/>
  <c r="AB15" i="16"/>
  <c r="Y15" i="16"/>
  <c r="W15" i="16"/>
  <c r="U15" i="16"/>
  <c r="S15" i="16"/>
  <c r="AB14" i="16"/>
  <c r="Y14" i="16"/>
  <c r="W14" i="16"/>
  <c r="S14" i="16"/>
  <c r="U14" i="16" s="1"/>
  <c r="AB13" i="16"/>
  <c r="Y13" i="16"/>
  <c r="W13" i="16"/>
  <c r="S13" i="16"/>
  <c r="U13" i="16" s="1"/>
  <c r="AB12" i="16"/>
  <c r="AC12" i="16" s="1"/>
  <c r="Y12" i="16"/>
  <c r="Z12" i="16" s="1"/>
  <c r="W12" i="16"/>
  <c r="S12" i="16"/>
  <c r="U12" i="16" s="1"/>
  <c r="AB11" i="16"/>
  <c r="Y11" i="16"/>
  <c r="W11" i="16"/>
  <c r="U11" i="16"/>
  <c r="S11" i="16"/>
  <c r="AB10" i="16"/>
  <c r="Z10" i="16"/>
  <c r="Y10" i="16"/>
  <c r="AC10" i="16" s="1"/>
  <c r="W10" i="16"/>
  <c r="S10" i="16"/>
  <c r="U10" i="16" s="1"/>
  <c r="Z110" i="16"/>
  <c r="Z111" i="16" s="1"/>
  <c r="Z109" i="16"/>
  <c r="Z106" i="16"/>
  <c r="Z104" i="16"/>
  <c r="AJ101" i="16"/>
  <c r="AI101" i="16"/>
  <c r="AH101" i="16"/>
  <c r="AG101" i="16"/>
  <c r="AF101" i="16"/>
  <c r="AB99" i="16"/>
  <c r="Y99" i="16"/>
  <c r="W99" i="16"/>
  <c r="S99" i="16"/>
  <c r="U99" i="16" s="1"/>
  <c r="AB98" i="16"/>
  <c r="Y98" i="16"/>
  <c r="W98" i="16"/>
  <c r="S98" i="16"/>
  <c r="U98" i="16" s="1"/>
  <c r="AB97" i="16"/>
  <c r="Y97" i="16"/>
  <c r="W97" i="16"/>
  <c r="S97" i="16"/>
  <c r="U97" i="16" s="1"/>
  <c r="AB96" i="16"/>
  <c r="Y96" i="16"/>
  <c r="W96" i="16"/>
  <c r="S96" i="16"/>
  <c r="U96" i="16" s="1"/>
  <c r="AB95" i="16"/>
  <c r="Y95" i="16"/>
  <c r="W95" i="16"/>
  <c r="S95" i="16"/>
  <c r="U95" i="16" s="1"/>
  <c r="AB94" i="16"/>
  <c r="Y94" i="16"/>
  <c r="W94" i="16"/>
  <c r="S94" i="16"/>
  <c r="U94" i="16" s="1"/>
  <c r="AB93" i="16"/>
  <c r="Y93" i="16"/>
  <c r="W93" i="16"/>
  <c r="S93" i="16"/>
  <c r="U93" i="16" s="1"/>
  <c r="AB92" i="16"/>
  <c r="Y92" i="16"/>
  <c r="W92" i="16"/>
  <c r="S92" i="16"/>
  <c r="U92" i="16" s="1"/>
  <c r="AB91" i="16"/>
  <c r="Y91" i="16"/>
  <c r="W91" i="16"/>
  <c r="S91" i="16"/>
  <c r="U91" i="16" s="1"/>
  <c r="AB90" i="16"/>
  <c r="Y90" i="16"/>
  <c r="W90" i="16"/>
  <c r="S90" i="16"/>
  <c r="U90" i="16" s="1"/>
  <c r="AB89" i="16"/>
  <c r="Y89" i="16"/>
  <c r="W89" i="16"/>
  <c r="S89" i="16"/>
  <c r="U89" i="16" s="1"/>
  <c r="AB88" i="16"/>
  <c r="Y88" i="16"/>
  <c r="W88" i="16"/>
  <c r="S88" i="16"/>
  <c r="U88" i="16" s="1"/>
  <c r="AB87" i="16"/>
  <c r="Y87" i="16"/>
  <c r="W87" i="16"/>
  <c r="S87" i="16"/>
  <c r="U87" i="16" s="1"/>
  <c r="AB86" i="16"/>
  <c r="Y86" i="16"/>
  <c r="W86" i="16"/>
  <c r="S86" i="16"/>
  <c r="U86" i="16" s="1"/>
  <c r="AB85" i="16"/>
  <c r="Y85" i="16"/>
  <c r="W85" i="16"/>
  <c r="S85" i="16"/>
  <c r="U85" i="16" s="1"/>
  <c r="AB84" i="16"/>
  <c r="Y84" i="16"/>
  <c r="W84" i="16"/>
  <c r="S84" i="16"/>
  <c r="U84" i="16" s="1"/>
  <c r="AB83" i="16"/>
  <c r="Y83" i="16"/>
  <c r="W83" i="16"/>
  <c r="S83" i="16"/>
  <c r="U83" i="16" s="1"/>
  <c r="AB82" i="16"/>
  <c r="Y82" i="16"/>
  <c r="W82" i="16"/>
  <c r="S82" i="16"/>
  <c r="U82" i="16" s="1"/>
  <c r="AB81" i="16"/>
  <c r="Y81" i="16"/>
  <c r="W81" i="16"/>
  <c r="S81" i="16"/>
  <c r="U81" i="16" s="1"/>
  <c r="AB80" i="16"/>
  <c r="Y80" i="16"/>
  <c r="W80" i="16"/>
  <c r="S80" i="16"/>
  <c r="U80" i="16" s="1"/>
  <c r="AB79" i="16"/>
  <c r="Y79" i="16"/>
  <c r="W79" i="16"/>
  <c r="S79" i="16"/>
  <c r="U79" i="16" s="1"/>
  <c r="AB9" i="16"/>
  <c r="Z9" i="16"/>
  <c r="Y9" i="16"/>
  <c r="W9" i="16"/>
  <c r="S9" i="16"/>
  <c r="U9" i="16" s="1"/>
  <c r="AB8" i="16"/>
  <c r="AC8" i="16" s="1"/>
  <c r="Y8" i="16"/>
  <c r="Z8" i="16" s="1"/>
  <c r="W8" i="16"/>
  <c r="S8" i="16"/>
  <c r="U8" i="16" s="1"/>
  <c r="AB7" i="16"/>
  <c r="Y7" i="16"/>
  <c r="W7" i="16"/>
  <c r="U7" i="16"/>
  <c r="S7" i="16"/>
  <c r="Z63" i="15"/>
  <c r="AJ60" i="15"/>
  <c r="AI60" i="15"/>
  <c r="AH60" i="15"/>
  <c r="AG60" i="15"/>
  <c r="AF60" i="15"/>
  <c r="AB58" i="15"/>
  <c r="Y58" i="15"/>
  <c r="Z58" i="15" s="1"/>
  <c r="S58" i="15"/>
  <c r="U58" i="15" s="1"/>
  <c r="AB57" i="15"/>
  <c r="Y57" i="15"/>
  <c r="Z57" i="15" s="1"/>
  <c r="S57" i="15"/>
  <c r="U57" i="15" s="1"/>
  <c r="AB56" i="15"/>
  <c r="Y56" i="15"/>
  <c r="S56" i="15"/>
  <c r="U56" i="15" s="1"/>
  <c r="AB55" i="15"/>
  <c r="Y55" i="15"/>
  <c r="Z55" i="15" s="1"/>
  <c r="S55" i="15"/>
  <c r="U55" i="15" s="1"/>
  <c r="AB54" i="15"/>
  <c r="Y54" i="15"/>
  <c r="S54" i="15"/>
  <c r="U54" i="15" s="1"/>
  <c r="AB53" i="15"/>
  <c r="Y53" i="15"/>
  <c r="Z53" i="15" s="1"/>
  <c r="S53" i="15"/>
  <c r="U53" i="15" s="1"/>
  <c r="AB52" i="15"/>
  <c r="Y52" i="15"/>
  <c r="Z52" i="15" s="1"/>
  <c r="S52" i="15"/>
  <c r="U52" i="15" s="1"/>
  <c r="AB51" i="15"/>
  <c r="AB50" i="15"/>
  <c r="Y50" i="15"/>
  <c r="S50" i="15"/>
  <c r="U50" i="15" s="1"/>
  <c r="AB49" i="15"/>
  <c r="Y49" i="15"/>
  <c r="S49" i="15"/>
  <c r="U49" i="15" s="1"/>
  <c r="AB48" i="15"/>
  <c r="Y48" i="15"/>
  <c r="Z48" i="15" s="1"/>
  <c r="S48" i="15"/>
  <c r="U48" i="15" s="1"/>
  <c r="AB47" i="15"/>
  <c r="S47" i="15"/>
  <c r="U47" i="15" s="1"/>
  <c r="AB46" i="15"/>
  <c r="Y46" i="15"/>
  <c r="Z46" i="15" s="1"/>
  <c r="S46" i="15"/>
  <c r="U46" i="15" s="1"/>
  <c r="AB45" i="15"/>
  <c r="Y45" i="15"/>
  <c r="Z45" i="15" s="1"/>
  <c r="S45" i="15"/>
  <c r="U45" i="15" s="1"/>
  <c r="AB44" i="15"/>
  <c r="Y44" i="15"/>
  <c r="Z44" i="15" s="1"/>
  <c r="S44" i="15"/>
  <c r="U44" i="15" s="1"/>
  <c r="AB43" i="15"/>
  <c r="Y43" i="15"/>
  <c r="S43" i="15"/>
  <c r="U43" i="15" s="1"/>
  <c r="AB42" i="15"/>
  <c r="Y42" i="15"/>
  <c r="S42" i="15"/>
  <c r="U42" i="15" s="1"/>
  <c r="AB41" i="15"/>
  <c r="Y41" i="15"/>
  <c r="Z41" i="15" s="1"/>
  <c r="S41" i="15"/>
  <c r="U41" i="15" s="1"/>
  <c r="AB40" i="15"/>
  <c r="Y40" i="15"/>
  <c r="Z40" i="15" s="1"/>
  <c r="S40" i="15"/>
  <c r="U40" i="15" s="1"/>
  <c r="AB39" i="15"/>
  <c r="Y39" i="15"/>
  <c r="S39" i="15"/>
  <c r="U39" i="15" s="1"/>
  <c r="AB38" i="15"/>
  <c r="Y38" i="15"/>
  <c r="S38" i="15"/>
  <c r="U38" i="15" s="1"/>
  <c r="AB37" i="15"/>
  <c r="AC37" i="15" s="1"/>
  <c r="AB36" i="15"/>
  <c r="Y36" i="15"/>
  <c r="Z36" i="15" s="1"/>
  <c r="S36" i="15"/>
  <c r="U36" i="15" s="1"/>
  <c r="AB35" i="15"/>
  <c r="Z35" i="15"/>
  <c r="AB34" i="15"/>
  <c r="Y34" i="15"/>
  <c r="Z34" i="15" s="1"/>
  <c r="S34" i="15"/>
  <c r="U34" i="15" s="1"/>
  <c r="AB33" i="15"/>
  <c r="Y33" i="15"/>
  <c r="Z33" i="15" s="1"/>
  <c r="S33" i="15"/>
  <c r="U33" i="15" s="1"/>
  <c r="AB32" i="15"/>
  <c r="Z32" i="15"/>
  <c r="S32" i="15"/>
  <c r="U32" i="15" s="1"/>
  <c r="AB31" i="15"/>
  <c r="Y31" i="15"/>
  <c r="Z31" i="15" s="1"/>
  <c r="S31" i="15"/>
  <c r="U31" i="15" s="1"/>
  <c r="AB30" i="15"/>
  <c r="Z30" i="15"/>
  <c r="S30" i="15"/>
  <c r="U30" i="15" s="1"/>
  <c r="AB29" i="15"/>
  <c r="Y29" i="15"/>
  <c r="S29" i="15"/>
  <c r="U29" i="15" s="1"/>
  <c r="AB28" i="15"/>
  <c r="Y28" i="15"/>
  <c r="S28" i="15"/>
  <c r="U28" i="15" s="1"/>
  <c r="AB27" i="15"/>
  <c r="Z27" i="15"/>
  <c r="S27" i="15"/>
  <c r="U27" i="15" s="1"/>
  <c r="AB26" i="15"/>
  <c r="Y26" i="15"/>
  <c r="S26" i="15"/>
  <c r="U26" i="15" s="1"/>
  <c r="AB25" i="15"/>
  <c r="S25" i="15"/>
  <c r="U25" i="15" s="1"/>
  <c r="AB24" i="15"/>
  <c r="Y24" i="15"/>
  <c r="S24" i="15"/>
  <c r="U24" i="15" s="1"/>
  <c r="AB23" i="15"/>
  <c r="Z23" i="15"/>
  <c r="S23" i="15"/>
  <c r="U23" i="15" s="1"/>
  <c r="AB22" i="15"/>
  <c r="AC22" i="15" s="1"/>
  <c r="Y22" i="15"/>
  <c r="Z22" i="15" s="1"/>
  <c r="S22" i="15"/>
  <c r="U22" i="15" s="1"/>
  <c r="AB21" i="15"/>
  <c r="Y21" i="15"/>
  <c r="S21" i="15"/>
  <c r="U21" i="15" s="1"/>
  <c r="AB20" i="15"/>
  <c r="AC20" i="15" s="1"/>
  <c r="Y20" i="15"/>
  <c r="Z20" i="15" s="1"/>
  <c r="S20" i="15"/>
  <c r="U20" i="15" s="1"/>
  <c r="AB19" i="15"/>
  <c r="Y19" i="15"/>
  <c r="Z19" i="15" s="1"/>
  <c r="S19" i="15"/>
  <c r="U19" i="15" s="1"/>
  <c r="AB18" i="15"/>
  <c r="Y18" i="15"/>
  <c r="S18" i="15"/>
  <c r="U18" i="15" s="1"/>
  <c r="AB17" i="15"/>
  <c r="S17" i="15"/>
  <c r="U17" i="15" s="1"/>
  <c r="AB16" i="15"/>
  <c r="Z16" i="15"/>
  <c r="Y16" i="15"/>
  <c r="S16" i="15"/>
  <c r="U16" i="15" s="1"/>
  <c r="AB15" i="15"/>
  <c r="Z15" i="15"/>
  <c r="S15" i="15"/>
  <c r="U15" i="15" s="1"/>
  <c r="AB14" i="15"/>
  <c r="Y14" i="15"/>
  <c r="S14" i="15"/>
  <c r="U14" i="15" s="1"/>
  <c r="AB13" i="15"/>
  <c r="AC13" i="15" s="1"/>
  <c r="S13" i="15"/>
  <c r="U13" i="15" s="1"/>
  <c r="AB12" i="15"/>
  <c r="Y12" i="15"/>
  <c r="Z12" i="15" s="1"/>
  <c r="S12" i="15"/>
  <c r="U12" i="15" s="1"/>
  <c r="AB11" i="15"/>
  <c r="Y11" i="15"/>
  <c r="Z11" i="15" s="1"/>
  <c r="S11" i="15"/>
  <c r="U11" i="15" s="1"/>
  <c r="AB10" i="15"/>
  <c r="AC10" i="15" s="1"/>
  <c r="AB9" i="15"/>
  <c r="AC9" i="15" s="1"/>
  <c r="AB8" i="15"/>
  <c r="AC8" i="15" s="1"/>
  <c r="Z8" i="15"/>
  <c r="AB7" i="15"/>
  <c r="AC7" i="15" s="1"/>
  <c r="Z7" i="15"/>
  <c r="AB32" i="12"/>
  <c r="AC32" i="12" s="1"/>
  <c r="Z32" i="12"/>
  <c r="AB29" i="12"/>
  <c r="AC29" i="12" s="1"/>
  <c r="Z29" i="12"/>
  <c r="AB11" i="12"/>
  <c r="Y11" i="12"/>
  <c r="S11" i="12"/>
  <c r="U11" i="12" s="1"/>
  <c r="AB15" i="12"/>
  <c r="Z15" i="12"/>
  <c r="Y15" i="12"/>
  <c r="S15" i="12"/>
  <c r="U15" i="12" s="1"/>
  <c r="AB20" i="12"/>
  <c r="AC20" i="12" s="1"/>
  <c r="Z20" i="12"/>
  <c r="AB23" i="12"/>
  <c r="AC23" i="12" s="1"/>
  <c r="AB37" i="14"/>
  <c r="AB36" i="14"/>
  <c r="AB35" i="14"/>
  <c r="Z35" i="14"/>
  <c r="AB34" i="14"/>
  <c r="AB33" i="14"/>
  <c r="AB32" i="14"/>
  <c r="AB31" i="14"/>
  <c r="Z31" i="14"/>
  <c r="AB30" i="14"/>
  <c r="AB29" i="14"/>
  <c r="AB28" i="14"/>
  <c r="AB27" i="14"/>
  <c r="Z27" i="14"/>
  <c r="AB26" i="14"/>
  <c r="AB25" i="14"/>
  <c r="AB24" i="14"/>
  <c r="AB23" i="14"/>
  <c r="Z23" i="14"/>
  <c r="AB22" i="14"/>
  <c r="AB21" i="14"/>
  <c r="AB20" i="14"/>
  <c r="AB19" i="14"/>
  <c r="Z19" i="14"/>
  <c r="AB18" i="14"/>
  <c r="AB17" i="14"/>
  <c r="AB16" i="14"/>
  <c r="AB15" i="14"/>
  <c r="Z15" i="14"/>
  <c r="AB14" i="14"/>
  <c r="AB13" i="14"/>
  <c r="AB12" i="14"/>
  <c r="AB11" i="14"/>
  <c r="Z11" i="14"/>
  <c r="AB10" i="14"/>
  <c r="AB9" i="14"/>
  <c r="AB8" i="14"/>
  <c r="Z91" i="14"/>
  <c r="AJ88" i="14"/>
  <c r="AI88" i="14"/>
  <c r="AH88" i="14"/>
  <c r="AG88" i="14"/>
  <c r="AF88" i="14"/>
  <c r="AB86" i="14"/>
  <c r="Y86" i="14"/>
  <c r="S86" i="14"/>
  <c r="U86" i="14" s="1"/>
  <c r="AB85" i="14"/>
  <c r="Y85" i="14"/>
  <c r="AC85" i="14" s="1"/>
  <c r="S85" i="14"/>
  <c r="U85" i="14" s="1"/>
  <c r="AB84" i="14"/>
  <c r="Y84" i="14"/>
  <c r="Z84" i="14" s="1"/>
  <c r="S84" i="14"/>
  <c r="U84" i="14" s="1"/>
  <c r="AB83" i="14"/>
  <c r="Y83" i="14"/>
  <c r="S83" i="14"/>
  <c r="U83" i="14" s="1"/>
  <c r="AB82" i="14"/>
  <c r="Y82" i="14"/>
  <c r="S82" i="14"/>
  <c r="U82" i="14" s="1"/>
  <c r="AB81" i="14"/>
  <c r="Y81" i="14"/>
  <c r="Z81" i="14" s="1"/>
  <c r="S81" i="14"/>
  <c r="U81" i="14" s="1"/>
  <c r="AB80" i="14"/>
  <c r="Y80" i="14"/>
  <c r="Z80" i="14" s="1"/>
  <c r="S80" i="14"/>
  <c r="U80" i="14" s="1"/>
  <c r="AB79" i="14"/>
  <c r="Y79" i="14"/>
  <c r="S79" i="14"/>
  <c r="U79" i="14" s="1"/>
  <c r="AB78" i="14"/>
  <c r="Y78" i="14"/>
  <c r="S78" i="14"/>
  <c r="U78" i="14" s="1"/>
  <c r="AB77" i="14"/>
  <c r="Z77" i="14"/>
  <c r="AB76" i="14"/>
  <c r="AC76" i="14" s="1"/>
  <c r="Z76" i="14"/>
  <c r="AB75" i="14"/>
  <c r="Y75" i="14"/>
  <c r="U75" i="14"/>
  <c r="AB74" i="14"/>
  <c r="Y74" i="14"/>
  <c r="U74" i="14"/>
  <c r="AB73" i="14"/>
  <c r="Y73" i="14"/>
  <c r="S73" i="14"/>
  <c r="U73" i="14" s="1"/>
  <c r="AB72" i="14"/>
  <c r="Y72" i="14"/>
  <c r="Z72" i="14" s="1"/>
  <c r="S72" i="14"/>
  <c r="U72" i="14" s="1"/>
  <c r="AB71" i="14"/>
  <c r="S71" i="14"/>
  <c r="U71" i="14" s="1"/>
  <c r="AB70" i="14"/>
  <c r="S70" i="14"/>
  <c r="U70" i="14" s="1"/>
  <c r="AB69" i="14"/>
  <c r="S69" i="14"/>
  <c r="U69" i="14" s="1"/>
  <c r="AB68" i="14"/>
  <c r="Z68" i="14"/>
  <c r="S68" i="14"/>
  <c r="U68" i="14" s="1"/>
  <c r="AB67" i="14"/>
  <c r="S67" i="14"/>
  <c r="U67" i="14" s="1"/>
  <c r="AB66" i="14"/>
  <c r="S66" i="14"/>
  <c r="U66" i="14" s="1"/>
  <c r="AB65" i="14"/>
  <c r="Y65" i="14"/>
  <c r="Z65" i="14" s="1"/>
  <c r="S65" i="14"/>
  <c r="U65" i="14" s="1"/>
  <c r="AB64" i="14"/>
  <c r="Y64" i="14"/>
  <c r="Z64" i="14" s="1"/>
  <c r="S64" i="14"/>
  <c r="U64" i="14" s="1"/>
  <c r="AB63" i="14"/>
  <c r="Y63" i="14"/>
  <c r="S63" i="14"/>
  <c r="U63" i="14" s="1"/>
  <c r="AB62" i="14"/>
  <c r="Y62" i="14"/>
  <c r="S62" i="14"/>
  <c r="U62" i="14" s="1"/>
  <c r="AB61" i="14"/>
  <c r="Y61" i="14"/>
  <c r="AC61" i="14" s="1"/>
  <c r="S61" i="14"/>
  <c r="U61" i="14" s="1"/>
  <c r="AB60" i="14"/>
  <c r="Y60" i="14"/>
  <c r="Z60" i="14" s="1"/>
  <c r="S60" i="14"/>
  <c r="U60" i="14" s="1"/>
  <c r="AB59" i="14"/>
  <c r="Y59" i="14"/>
  <c r="S59" i="14"/>
  <c r="U59" i="14" s="1"/>
  <c r="AB58" i="14"/>
  <c r="AB57" i="14"/>
  <c r="AB56" i="14"/>
  <c r="Z56" i="14"/>
  <c r="AB55" i="14"/>
  <c r="Y55" i="14"/>
  <c r="S55" i="14"/>
  <c r="U55" i="14" s="1"/>
  <c r="AB54" i="14"/>
  <c r="AB53" i="14"/>
  <c r="Z53" i="14"/>
  <c r="Y53" i="14"/>
  <c r="S53" i="14"/>
  <c r="U53" i="14" s="1"/>
  <c r="AB52" i="14"/>
  <c r="Z52" i="14"/>
  <c r="AB51" i="14"/>
  <c r="Y51" i="14"/>
  <c r="S51" i="14"/>
  <c r="U51" i="14" s="1"/>
  <c r="AB50" i="14"/>
  <c r="Y50" i="14"/>
  <c r="X50" i="14"/>
  <c r="S50" i="14"/>
  <c r="U50" i="14" s="1"/>
  <c r="AB49" i="14"/>
  <c r="Z49" i="14"/>
  <c r="AB48" i="14"/>
  <c r="Y48" i="14"/>
  <c r="Z48" i="14" s="1"/>
  <c r="S48" i="14"/>
  <c r="U48" i="14" s="1"/>
  <c r="AB47" i="14"/>
  <c r="AB46" i="14"/>
  <c r="Y46" i="14"/>
  <c r="S46" i="14"/>
  <c r="U46" i="14" s="1"/>
  <c r="AB45" i="14"/>
  <c r="Z45" i="14"/>
  <c r="AB44" i="14"/>
  <c r="Y44" i="14"/>
  <c r="Z44" i="14" s="1"/>
  <c r="S44" i="14"/>
  <c r="U44" i="14" s="1"/>
  <c r="AB43" i="14"/>
  <c r="AB42" i="14"/>
  <c r="AB41" i="14"/>
  <c r="AB40" i="14"/>
  <c r="AC40" i="14" s="1"/>
  <c r="Z40" i="14"/>
  <c r="AB39" i="14"/>
  <c r="Y39" i="14"/>
  <c r="S39" i="14"/>
  <c r="U39" i="14" s="1"/>
  <c r="AB38" i="14"/>
  <c r="Y38" i="14"/>
  <c r="S38" i="14"/>
  <c r="U38" i="14" s="1"/>
  <c r="AB7" i="14"/>
  <c r="AC7" i="14" s="1"/>
  <c r="AB52" i="11"/>
  <c r="Z52" i="11"/>
  <c r="Y52" i="11"/>
  <c r="S52" i="11"/>
  <c r="U52" i="11" s="1"/>
  <c r="AB51" i="11"/>
  <c r="Z51" i="11"/>
  <c r="AB50" i="11"/>
  <c r="AB49" i="11"/>
  <c r="AC49" i="11" s="1"/>
  <c r="Y49" i="11"/>
  <c r="Z49" i="11" s="1"/>
  <c r="S49" i="11"/>
  <c r="U49" i="11" s="1"/>
  <c r="AB48" i="11"/>
  <c r="Y48" i="11"/>
  <c r="S48" i="11"/>
  <c r="U48" i="11" s="1"/>
  <c r="AB47" i="11"/>
  <c r="AC47" i="11" s="1"/>
  <c r="AB46" i="11"/>
  <c r="Y46" i="11"/>
  <c r="S46" i="11"/>
  <c r="U46" i="11" s="1"/>
  <c r="AB45" i="11"/>
  <c r="Y45" i="11"/>
  <c r="Z45" i="11" s="1"/>
  <c r="S45" i="11"/>
  <c r="U45" i="11" s="1"/>
  <c r="AB44" i="11"/>
  <c r="Y44" i="11"/>
  <c r="S44" i="11"/>
  <c r="U44" i="11" s="1"/>
  <c r="AB43" i="11"/>
  <c r="AC43" i="11" s="1"/>
  <c r="Y43" i="11"/>
  <c r="Z43" i="11" s="1"/>
  <c r="S43" i="11"/>
  <c r="U43" i="11" s="1"/>
  <c r="AB42" i="11"/>
  <c r="Y42" i="11"/>
  <c r="U42" i="11"/>
  <c r="S42" i="11"/>
  <c r="AB41" i="11"/>
  <c r="Y41" i="11"/>
  <c r="Z41" i="11" s="1"/>
  <c r="S41" i="11"/>
  <c r="U41" i="11" s="1"/>
  <c r="AB40" i="11"/>
  <c r="AC40" i="11" s="1"/>
  <c r="Z40" i="11"/>
  <c r="AB39" i="11"/>
  <c r="AC39" i="11" s="1"/>
  <c r="Z39" i="11"/>
  <c r="AB38" i="11"/>
  <c r="AC38" i="11" s="1"/>
  <c r="AB37" i="11"/>
  <c r="AC37" i="11" s="1"/>
  <c r="Z37" i="11"/>
  <c r="AB36" i="11"/>
  <c r="AC36" i="11" s="1"/>
  <c r="Z36" i="11"/>
  <c r="AB35" i="11"/>
  <c r="AC35" i="11" s="1"/>
  <c r="AB34" i="11"/>
  <c r="AC34" i="11" s="1"/>
  <c r="Z34" i="11"/>
  <c r="AB33" i="11"/>
  <c r="AC33" i="11" s="1"/>
  <c r="Z33" i="11"/>
  <c r="AB32" i="11"/>
  <c r="AC32" i="11" s="1"/>
  <c r="AB31" i="11"/>
  <c r="AC31" i="11" s="1"/>
  <c r="AB30" i="11"/>
  <c r="AC30" i="11" s="1"/>
  <c r="Z30" i="11"/>
  <c r="AB29" i="11"/>
  <c r="Z29" i="11"/>
  <c r="AB28" i="11"/>
  <c r="AC28" i="11" s="1"/>
  <c r="Z28" i="11"/>
  <c r="AB27" i="11"/>
  <c r="AC27" i="11" s="1"/>
  <c r="AB26" i="11"/>
  <c r="AC26" i="11" s="1"/>
  <c r="Z26" i="11"/>
  <c r="AB25" i="11"/>
  <c r="AC25" i="11" s="1"/>
  <c r="Z25" i="11"/>
  <c r="AB24" i="11"/>
  <c r="AC24" i="11" s="1"/>
  <c r="Z24" i="11"/>
  <c r="AB23" i="11"/>
  <c r="AC23" i="11" s="1"/>
  <c r="AB22" i="11"/>
  <c r="AC22" i="11" s="1"/>
  <c r="Z22" i="11"/>
  <c r="AB21" i="11"/>
  <c r="AC21" i="11" s="1"/>
  <c r="Z21" i="11"/>
  <c r="AB20" i="11"/>
  <c r="AC20" i="11" s="1"/>
  <c r="AB19" i="11"/>
  <c r="AC19" i="11" s="1"/>
  <c r="AB18" i="11"/>
  <c r="AC18" i="11" s="1"/>
  <c r="Z18" i="11"/>
  <c r="AB17" i="11"/>
  <c r="AC17" i="11" s="1"/>
  <c r="Z17" i="11"/>
  <c r="AB16" i="11"/>
  <c r="AC16" i="11" s="1"/>
  <c r="Z16" i="11"/>
  <c r="AB15" i="11"/>
  <c r="AC15" i="11" s="1"/>
  <c r="AB14" i="11"/>
  <c r="AC14" i="11"/>
  <c r="AB13" i="11"/>
  <c r="AC13" i="11" s="1"/>
  <c r="Z13" i="11"/>
  <c r="AB12" i="11"/>
  <c r="AC12" i="11" s="1"/>
  <c r="Z12" i="11"/>
  <c r="AB11" i="11"/>
  <c r="AC11" i="11" s="1"/>
  <c r="AB33" i="10"/>
  <c r="Y33" i="10"/>
  <c r="S33" i="10"/>
  <c r="U33" i="10" s="1"/>
  <c r="AB32" i="10"/>
  <c r="Y32" i="10"/>
  <c r="S32" i="10"/>
  <c r="U32" i="10" s="1"/>
  <c r="AB31" i="10"/>
  <c r="AC31" i="10" s="1"/>
  <c r="Z31" i="10"/>
  <c r="Y31" i="10"/>
  <c r="S31" i="10"/>
  <c r="U31" i="10" s="1"/>
  <c r="AB30" i="10"/>
  <c r="Y30" i="10"/>
  <c r="S30" i="10"/>
  <c r="U30" i="10" s="1"/>
  <c r="AB29" i="10"/>
  <c r="Y29" i="10"/>
  <c r="S29" i="10"/>
  <c r="U29" i="10" s="1"/>
  <c r="AB28" i="10"/>
  <c r="Y28" i="10"/>
  <c r="S28" i="10"/>
  <c r="U28" i="10" s="1"/>
  <c r="AB27" i="10"/>
  <c r="Z27" i="10"/>
  <c r="S27" i="10"/>
  <c r="U27" i="10" s="1"/>
  <c r="AB26" i="10"/>
  <c r="Y26" i="10"/>
  <c r="AC26" i="10" s="1"/>
  <c r="U26" i="10"/>
  <c r="S26" i="10"/>
  <c r="AB25" i="10"/>
  <c r="AC25" i="10" s="1"/>
  <c r="AB24" i="10"/>
  <c r="Y24" i="10"/>
  <c r="S24" i="10"/>
  <c r="U24" i="10" s="1"/>
  <c r="AB23" i="10"/>
  <c r="Y23" i="10"/>
  <c r="Z23" i="10" s="1"/>
  <c r="S23" i="10"/>
  <c r="U23" i="10" s="1"/>
  <c r="AB22" i="10"/>
  <c r="AC22" i="10" s="1"/>
  <c r="AB21" i="10"/>
  <c r="AC21" i="10" s="1"/>
  <c r="AB20" i="10"/>
  <c r="AC20" i="10" s="1"/>
  <c r="Z20" i="10"/>
  <c r="AB19" i="10"/>
  <c r="AC19" i="10" s="1"/>
  <c r="Z19" i="10"/>
  <c r="AB18" i="10"/>
  <c r="AC18" i="10" s="1"/>
  <c r="AB17" i="10"/>
  <c r="AC17" i="10" s="1"/>
  <c r="AB16" i="10"/>
  <c r="AC16" i="10" s="1"/>
  <c r="Z16" i="10"/>
  <c r="AB15" i="10"/>
  <c r="AC15" i="10" s="1"/>
  <c r="Z15" i="10"/>
  <c r="AB14" i="10"/>
  <c r="AC14" i="10" s="1"/>
  <c r="AB13" i="10"/>
  <c r="AC13" i="10" s="1"/>
  <c r="AB12" i="10"/>
  <c r="AC12" i="10" s="1"/>
  <c r="Z12" i="10"/>
  <c r="AB11" i="10"/>
  <c r="Z11" i="10"/>
  <c r="Z68" i="12"/>
  <c r="AJ65" i="12"/>
  <c r="AI65" i="12"/>
  <c r="AH65" i="12"/>
  <c r="AG65" i="12"/>
  <c r="AF65" i="12"/>
  <c r="AB63" i="12"/>
  <c r="Y63" i="12"/>
  <c r="S63" i="12"/>
  <c r="U63" i="12" s="1"/>
  <c r="AB62" i="12"/>
  <c r="Y62" i="12"/>
  <c r="S62" i="12"/>
  <c r="U62" i="12" s="1"/>
  <c r="AB61" i="12"/>
  <c r="Y61" i="12"/>
  <c r="S61" i="12"/>
  <c r="U61" i="12" s="1"/>
  <c r="AB60" i="12"/>
  <c r="Y60" i="12"/>
  <c r="Z60" i="12" s="1"/>
  <c r="S60" i="12"/>
  <c r="U60" i="12" s="1"/>
  <c r="AB59" i="12"/>
  <c r="Y59" i="12"/>
  <c r="S59" i="12"/>
  <c r="U59" i="12" s="1"/>
  <c r="AB58" i="12"/>
  <c r="AB57" i="12"/>
  <c r="AB56" i="12"/>
  <c r="Y56" i="12"/>
  <c r="Z56" i="12" s="1"/>
  <c r="S56" i="12"/>
  <c r="U56" i="12" s="1"/>
  <c r="AB55" i="12"/>
  <c r="Y55" i="12"/>
  <c r="S55" i="12"/>
  <c r="U55" i="12" s="1"/>
  <c r="AB54" i="12"/>
  <c r="S54" i="12"/>
  <c r="U54" i="12" s="1"/>
  <c r="AB53" i="12"/>
  <c r="Z53" i="12"/>
  <c r="S53" i="12"/>
  <c r="U53" i="12" s="1"/>
  <c r="AB52" i="12"/>
  <c r="Z52" i="12"/>
  <c r="S52" i="12"/>
  <c r="U52" i="12" s="1"/>
  <c r="AB51" i="12"/>
  <c r="S51" i="12"/>
  <c r="U51" i="12" s="1"/>
  <c r="AB50" i="12"/>
  <c r="S50" i="12"/>
  <c r="U50" i="12" s="1"/>
  <c r="AB49" i="12"/>
  <c r="Y49" i="12"/>
  <c r="S49" i="12"/>
  <c r="U49" i="12" s="1"/>
  <c r="AB48" i="12"/>
  <c r="Y48" i="12"/>
  <c r="Z48" i="12" s="1"/>
  <c r="S48" i="12"/>
  <c r="U48" i="12" s="1"/>
  <c r="AB47" i="12"/>
  <c r="Y47" i="12"/>
  <c r="S47" i="12"/>
  <c r="U47" i="12" s="1"/>
  <c r="AB46" i="12"/>
  <c r="Y46" i="12"/>
  <c r="S46" i="12"/>
  <c r="U46" i="12" s="1"/>
  <c r="AB45" i="12"/>
  <c r="Y45" i="12"/>
  <c r="S45" i="12"/>
  <c r="U45" i="12" s="1"/>
  <c r="AB44" i="12"/>
  <c r="Y44" i="12"/>
  <c r="Z44" i="12" s="1"/>
  <c r="S44" i="12"/>
  <c r="U44" i="12" s="1"/>
  <c r="AB43" i="12"/>
  <c r="AB42" i="12"/>
  <c r="Y42" i="12"/>
  <c r="S42" i="12"/>
  <c r="U42" i="12" s="1"/>
  <c r="AB41" i="12"/>
  <c r="Z41" i="12"/>
  <c r="Y41" i="12"/>
  <c r="S41" i="12"/>
  <c r="U41" i="12" s="1"/>
  <c r="AB40" i="12"/>
  <c r="Z40" i="12"/>
  <c r="AB39" i="12"/>
  <c r="Y39" i="12"/>
  <c r="S39" i="12"/>
  <c r="U39" i="12" s="1"/>
  <c r="AB38" i="12"/>
  <c r="Y38" i="12"/>
  <c r="S38" i="12"/>
  <c r="U38" i="12" s="1"/>
  <c r="AB37" i="12"/>
  <c r="Z37" i="12"/>
  <c r="AB36" i="12"/>
  <c r="Y36" i="12"/>
  <c r="Z36" i="12" s="1"/>
  <c r="S36" i="12"/>
  <c r="U36" i="12" s="1"/>
  <c r="AB35" i="12"/>
  <c r="Y35" i="12"/>
  <c r="U35" i="12"/>
  <c r="S35" i="12"/>
  <c r="AB34" i="12"/>
  <c r="Y34" i="12"/>
  <c r="S34" i="12"/>
  <c r="U34" i="12" s="1"/>
  <c r="AB33" i="12"/>
  <c r="Y33" i="12"/>
  <c r="S33" i="12"/>
  <c r="U33" i="12" s="1"/>
  <c r="AB31" i="12"/>
  <c r="Y31" i="12"/>
  <c r="S31" i="12"/>
  <c r="U31" i="12" s="1"/>
  <c r="AB30" i="12"/>
  <c r="AC30" i="12" s="1"/>
  <c r="Z30" i="12"/>
  <c r="AB28" i="12"/>
  <c r="AC28" i="12" s="1"/>
  <c r="Z28" i="12"/>
  <c r="AB27" i="12"/>
  <c r="AC27" i="12" s="1"/>
  <c r="AB26" i="12"/>
  <c r="AC26" i="12" s="1"/>
  <c r="Z26" i="12"/>
  <c r="AB25" i="12"/>
  <c r="Y25" i="12"/>
  <c r="Z25" i="12" s="1"/>
  <c r="S25" i="12"/>
  <c r="U25" i="12" s="1"/>
  <c r="AB24" i="12"/>
  <c r="AC24" i="12" s="1"/>
  <c r="Y24" i="12"/>
  <c r="Z24" i="12" s="1"/>
  <c r="S24" i="12"/>
  <c r="U24" i="12" s="1"/>
  <c r="AB22" i="12"/>
  <c r="Z22" i="12"/>
  <c r="Y22" i="12"/>
  <c r="S22" i="12"/>
  <c r="U22" i="12" s="1"/>
  <c r="AB21" i="12"/>
  <c r="Z21" i="12"/>
  <c r="AB19" i="12"/>
  <c r="AC19" i="12" s="1"/>
  <c r="AB18" i="12"/>
  <c r="Y18" i="12"/>
  <c r="S18" i="12"/>
  <c r="U18" i="12" s="1"/>
  <c r="AB17" i="12"/>
  <c r="Z17" i="12"/>
  <c r="AB16" i="12"/>
  <c r="Y16" i="12"/>
  <c r="Z16" i="12" s="1"/>
  <c r="U16" i="12"/>
  <c r="S16" i="12"/>
  <c r="AB14" i="12"/>
  <c r="Y14" i="12"/>
  <c r="S14" i="12"/>
  <c r="U14" i="12" s="1"/>
  <c r="AB13" i="12"/>
  <c r="Y13" i="12"/>
  <c r="Z13" i="12" s="1"/>
  <c r="S13" i="12"/>
  <c r="U13" i="12" s="1"/>
  <c r="AB12" i="12"/>
  <c r="AC12" i="12" s="1"/>
  <c r="Z12" i="12"/>
  <c r="AB10" i="12"/>
  <c r="AC10" i="12" s="1"/>
  <c r="AB9" i="12"/>
  <c r="Z9" i="12"/>
  <c r="AB8" i="12"/>
  <c r="AC8" i="12" s="1"/>
  <c r="Z8" i="12"/>
  <c r="AB7" i="12"/>
  <c r="AC7" i="12" s="1"/>
  <c r="Z66" i="11"/>
  <c r="AJ63" i="11"/>
  <c r="AI63" i="11"/>
  <c r="AH63" i="11"/>
  <c r="AG63" i="11"/>
  <c r="AF63" i="11"/>
  <c r="AB61" i="11"/>
  <c r="Y61" i="11"/>
  <c r="Z61" i="11" s="1"/>
  <c r="S61" i="11"/>
  <c r="U61" i="11" s="1"/>
  <c r="AB60" i="11"/>
  <c r="Y60" i="11"/>
  <c r="Z60" i="11" s="1"/>
  <c r="S60" i="11"/>
  <c r="U60" i="11" s="1"/>
  <c r="AB59" i="11"/>
  <c r="Y59" i="11"/>
  <c r="Z59" i="11" s="1"/>
  <c r="S59" i="11"/>
  <c r="U59" i="11" s="1"/>
  <c r="AB58" i="11"/>
  <c r="Y58" i="11"/>
  <c r="Z58" i="11" s="1"/>
  <c r="S58" i="11"/>
  <c r="U58" i="11" s="1"/>
  <c r="AB57" i="11"/>
  <c r="Y57" i="11"/>
  <c r="S57" i="11"/>
  <c r="U57" i="11" s="1"/>
  <c r="AB56" i="11"/>
  <c r="Y56" i="11"/>
  <c r="S56" i="11"/>
  <c r="U56" i="11" s="1"/>
  <c r="AB55" i="11"/>
  <c r="Y55" i="11"/>
  <c r="Z55" i="11" s="1"/>
  <c r="S55" i="11"/>
  <c r="U55" i="11" s="1"/>
  <c r="AB54" i="11"/>
  <c r="Y54" i="11"/>
  <c r="S54" i="11"/>
  <c r="U54" i="11" s="1"/>
  <c r="AB53" i="11"/>
  <c r="Y53" i="11"/>
  <c r="Z53" i="11" s="1"/>
  <c r="X53" i="11"/>
  <c r="S53" i="11"/>
  <c r="U53" i="11" s="1"/>
  <c r="AB10" i="11"/>
  <c r="AC10" i="11" s="1"/>
  <c r="AB9" i="11"/>
  <c r="AC9" i="11" s="1"/>
  <c r="Z9" i="11"/>
  <c r="AB8" i="11"/>
  <c r="Z8" i="11"/>
  <c r="AB7" i="11"/>
  <c r="AC7" i="11" s="1"/>
  <c r="Z7" i="11"/>
  <c r="Z73" i="10"/>
  <c r="AJ70" i="10"/>
  <c r="AI70" i="10"/>
  <c r="AH70" i="10"/>
  <c r="AG70" i="10"/>
  <c r="AF70" i="10"/>
  <c r="AB68" i="10"/>
  <c r="Y68" i="10"/>
  <c r="S68" i="10"/>
  <c r="U68" i="10" s="1"/>
  <c r="AB67" i="10"/>
  <c r="Y67" i="10"/>
  <c r="Z67" i="10" s="1"/>
  <c r="S67" i="10"/>
  <c r="U67" i="10" s="1"/>
  <c r="AB66" i="10"/>
  <c r="Y66" i="10"/>
  <c r="S66" i="10"/>
  <c r="U66" i="10" s="1"/>
  <c r="AB65" i="10"/>
  <c r="Y65" i="10"/>
  <c r="Z65" i="10" s="1"/>
  <c r="S65" i="10"/>
  <c r="U65" i="10" s="1"/>
  <c r="AB64" i="10"/>
  <c r="Y64" i="10"/>
  <c r="Z64" i="10" s="1"/>
  <c r="S64" i="10"/>
  <c r="U64" i="10" s="1"/>
  <c r="AB63" i="10"/>
  <c r="Z63" i="10"/>
  <c r="AB62" i="10"/>
  <c r="AB61" i="10"/>
  <c r="Z61" i="10"/>
  <c r="AB60" i="10"/>
  <c r="AB59" i="10"/>
  <c r="Y59" i="10"/>
  <c r="Z59" i="10" s="1"/>
  <c r="X59" i="10"/>
  <c r="S59" i="10"/>
  <c r="U59" i="10" s="1"/>
  <c r="AB58" i="10"/>
  <c r="Y58" i="10"/>
  <c r="Z58" i="10" s="1"/>
  <c r="U58" i="10"/>
  <c r="S58" i="10"/>
  <c r="AB57" i="10"/>
  <c r="AC57" i="10" s="1"/>
  <c r="Z57" i="10"/>
  <c r="AB56" i="10"/>
  <c r="Z56" i="10"/>
  <c r="AB55" i="10"/>
  <c r="Y55" i="10"/>
  <c r="Z55" i="10" s="1"/>
  <c r="X55" i="10"/>
  <c r="S55" i="10"/>
  <c r="U55" i="10" s="1"/>
  <c r="AB54" i="10"/>
  <c r="Y54" i="10"/>
  <c r="S54" i="10"/>
  <c r="U54" i="10" s="1"/>
  <c r="AB53" i="10"/>
  <c r="Z53" i="10"/>
  <c r="AB52" i="10"/>
  <c r="AC52" i="10" s="1"/>
  <c r="Z52" i="10"/>
  <c r="AB51" i="10"/>
  <c r="Z51" i="10"/>
  <c r="AB50" i="10"/>
  <c r="AC50" i="10" s="1"/>
  <c r="AB49" i="10"/>
  <c r="AC49" i="10" s="1"/>
  <c r="Z49" i="10"/>
  <c r="AB48" i="10"/>
  <c r="Z48" i="10"/>
  <c r="AB47" i="10"/>
  <c r="Y47" i="10"/>
  <c r="Z47" i="10" s="1"/>
  <c r="S47" i="10"/>
  <c r="U47" i="10" s="1"/>
  <c r="AB46" i="10"/>
  <c r="AC46" i="10" s="1"/>
  <c r="AD46" i="10" s="1"/>
  <c r="AE46" i="10" s="1"/>
  <c r="AB45" i="10"/>
  <c r="AC45" i="10" s="1"/>
  <c r="AD45" i="10" s="1"/>
  <c r="AE45" i="10" s="1"/>
  <c r="Z45" i="10"/>
  <c r="AB44" i="10"/>
  <c r="AB43" i="10"/>
  <c r="Z43" i="10"/>
  <c r="AB42" i="10"/>
  <c r="Z42" i="10"/>
  <c r="AB41" i="10"/>
  <c r="Y41" i="10"/>
  <c r="Z41" i="10" s="1"/>
  <c r="S41" i="10"/>
  <c r="U41" i="10" s="1"/>
  <c r="AB40" i="10"/>
  <c r="Y40" i="10"/>
  <c r="Z40" i="10" s="1"/>
  <c r="S40" i="10"/>
  <c r="U40" i="10" s="1"/>
  <c r="AB39" i="10"/>
  <c r="Z39" i="10"/>
  <c r="AB38" i="10"/>
  <c r="Y38" i="10"/>
  <c r="S38" i="10"/>
  <c r="U38" i="10" s="1"/>
  <c r="AB37" i="10"/>
  <c r="Z37" i="10"/>
  <c r="AB36" i="10"/>
  <c r="AC36" i="10" s="1"/>
  <c r="AB35" i="10"/>
  <c r="Z35" i="10"/>
  <c r="AB34" i="10"/>
  <c r="AC34" i="10" s="1"/>
  <c r="S34" i="10"/>
  <c r="U34" i="10" s="1"/>
  <c r="AB10" i="10"/>
  <c r="Z10" i="10"/>
  <c r="AB9" i="10"/>
  <c r="AC9" i="10" s="1"/>
  <c r="Z9" i="10"/>
  <c r="AB8" i="10"/>
  <c r="AC8" i="10" s="1"/>
  <c r="Z8" i="10"/>
  <c r="AB7" i="10"/>
  <c r="Z7" i="10"/>
  <c r="Z66" i="8"/>
  <c r="AJ63" i="8"/>
  <c r="AI63" i="8"/>
  <c r="AH63" i="8"/>
  <c r="AG63" i="8"/>
  <c r="AF63" i="8"/>
  <c r="AB61" i="8"/>
  <c r="Y61" i="8"/>
  <c r="S61" i="8"/>
  <c r="U61" i="8" s="1"/>
  <c r="AB60" i="8"/>
  <c r="AC60" i="8" s="1"/>
  <c r="Y60" i="8"/>
  <c r="Z60" i="8" s="1"/>
  <c r="S60" i="8"/>
  <c r="U60" i="8" s="1"/>
  <c r="AB59" i="8"/>
  <c r="Y59" i="8"/>
  <c r="Z59" i="8" s="1"/>
  <c r="S59" i="8"/>
  <c r="U59" i="8" s="1"/>
  <c r="AB58" i="8"/>
  <c r="Y58" i="8"/>
  <c r="Z58" i="8" s="1"/>
  <c r="S58" i="8"/>
  <c r="U58" i="8" s="1"/>
  <c r="AB57" i="8"/>
  <c r="Y57" i="8"/>
  <c r="Z57" i="8" s="1"/>
  <c r="S57" i="8"/>
  <c r="U57" i="8" s="1"/>
  <c r="AB56" i="8"/>
  <c r="Y56" i="8"/>
  <c r="S56" i="8"/>
  <c r="U56" i="8" s="1"/>
  <c r="AB55" i="8"/>
  <c r="Y55" i="8"/>
  <c r="S55" i="8"/>
  <c r="U55" i="8" s="1"/>
  <c r="AB54" i="8"/>
  <c r="Z54" i="8"/>
  <c r="AB53" i="8"/>
  <c r="Z53" i="8"/>
  <c r="AB52" i="8"/>
  <c r="AC52" i="8" s="1"/>
  <c r="Z52" i="8"/>
  <c r="AB51" i="8"/>
  <c r="AC51" i="8" s="1"/>
  <c r="AB50" i="8"/>
  <c r="Y50" i="8"/>
  <c r="Z50" i="8" s="1"/>
  <c r="S50" i="8"/>
  <c r="U50" i="8" s="1"/>
  <c r="AB49" i="8"/>
  <c r="Y49" i="8"/>
  <c r="S49" i="8"/>
  <c r="U49" i="8" s="1"/>
  <c r="AB48" i="8"/>
  <c r="Z48" i="8"/>
  <c r="S48" i="8"/>
  <c r="U48" i="8" s="1"/>
  <c r="AB47" i="8"/>
  <c r="Y47" i="8"/>
  <c r="S47" i="8"/>
  <c r="U47" i="8" s="1"/>
  <c r="AB46" i="8"/>
  <c r="Y46" i="8"/>
  <c r="Z46" i="8" s="1"/>
  <c r="S46" i="8"/>
  <c r="U46" i="8" s="1"/>
  <c r="AB45" i="8"/>
  <c r="Y45" i="8"/>
  <c r="S45" i="8"/>
  <c r="U45" i="8" s="1"/>
  <c r="AB44" i="8"/>
  <c r="Y44" i="8"/>
  <c r="S44" i="8"/>
  <c r="U44" i="8" s="1"/>
  <c r="AB43" i="8"/>
  <c r="AC43" i="8" s="1"/>
  <c r="Y43" i="8"/>
  <c r="Z43" i="8" s="1"/>
  <c r="S43" i="8"/>
  <c r="U43" i="8" s="1"/>
  <c r="AB42" i="8"/>
  <c r="AC42" i="8" s="1"/>
  <c r="Y42" i="8"/>
  <c r="Z42" i="8" s="1"/>
  <c r="S42" i="8"/>
  <c r="U42" i="8" s="1"/>
  <c r="AB41" i="8"/>
  <c r="Y41" i="8"/>
  <c r="U41" i="8"/>
  <c r="S41" i="8"/>
  <c r="AB40" i="8"/>
  <c r="AC40" i="8" s="1"/>
  <c r="AB39" i="8"/>
  <c r="AC39" i="8" s="1"/>
  <c r="Z39" i="8"/>
  <c r="AB38" i="8"/>
  <c r="Y38" i="8"/>
  <c r="Z38" i="8" s="1"/>
  <c r="S38" i="8"/>
  <c r="U38" i="8" s="1"/>
  <c r="AB37" i="8"/>
  <c r="AB36" i="8"/>
  <c r="AC36" i="8" s="1"/>
  <c r="Z36" i="8"/>
  <c r="AB35" i="8"/>
  <c r="AC35" i="8" s="1"/>
  <c r="AB34" i="8"/>
  <c r="Z34" i="8"/>
  <c r="AB33" i="8"/>
  <c r="Y33" i="8"/>
  <c r="U33" i="8"/>
  <c r="S33" i="8"/>
  <c r="AB32" i="8"/>
  <c r="Z32" i="8"/>
  <c r="Y32" i="8"/>
  <c r="S32" i="8"/>
  <c r="U32" i="8" s="1"/>
  <c r="AB31" i="8"/>
  <c r="AC31" i="8" s="1"/>
  <c r="AB30" i="8"/>
  <c r="Z30" i="8"/>
  <c r="AB29" i="8"/>
  <c r="AC29" i="8" s="1"/>
  <c r="AB28" i="8"/>
  <c r="AC28" i="8" s="1"/>
  <c r="Z28" i="8"/>
  <c r="AB27" i="8"/>
  <c r="AC27" i="8" s="1"/>
  <c r="AB26" i="8"/>
  <c r="Z26" i="8"/>
  <c r="AB25" i="8"/>
  <c r="AC25" i="8" s="1"/>
  <c r="AB24" i="8"/>
  <c r="AC24" i="8" s="1"/>
  <c r="Z24" i="8"/>
  <c r="AB23" i="8"/>
  <c r="AC23" i="8" s="1"/>
  <c r="AB22" i="8"/>
  <c r="Z22" i="8"/>
  <c r="AB21" i="8"/>
  <c r="AC21" i="8" s="1"/>
  <c r="AB20" i="8"/>
  <c r="AC20" i="8" s="1"/>
  <c r="Z20" i="8"/>
  <c r="AB19" i="8"/>
  <c r="AC19" i="8" s="1"/>
  <c r="AB18" i="8"/>
  <c r="Z18" i="8"/>
  <c r="AB17" i="8"/>
  <c r="AC17" i="8" s="1"/>
  <c r="AB16" i="8"/>
  <c r="AC16" i="8" s="1"/>
  <c r="Z16" i="8"/>
  <c r="AB15" i="8"/>
  <c r="AC15" i="8" s="1"/>
  <c r="AB14" i="8"/>
  <c r="Z14" i="8"/>
  <c r="AB13" i="8"/>
  <c r="AC13" i="8" s="1"/>
  <c r="AB12" i="8"/>
  <c r="AC12" i="8" s="1"/>
  <c r="Z12" i="8"/>
  <c r="AB11" i="8"/>
  <c r="AC11" i="8" s="1"/>
  <c r="AD11" i="8" s="1"/>
  <c r="AE11" i="8" s="1"/>
  <c r="AB10" i="8"/>
  <c r="Z10" i="8"/>
  <c r="AB9" i="8"/>
  <c r="AC9" i="8" s="1"/>
  <c r="AB8" i="8"/>
  <c r="AC8" i="8" s="1"/>
  <c r="Z8" i="8"/>
  <c r="AB7" i="8"/>
  <c r="AC7" i="8" s="1"/>
  <c r="Z46" i="7"/>
  <c r="AJ43" i="7"/>
  <c r="AI43" i="7"/>
  <c r="AH43" i="7"/>
  <c r="AG43" i="7"/>
  <c r="AF43" i="7"/>
  <c r="AB41" i="7"/>
  <c r="Y41" i="7"/>
  <c r="S41" i="7"/>
  <c r="U41" i="7" s="1"/>
  <c r="AB40" i="7"/>
  <c r="Y40" i="7"/>
  <c r="Z40" i="7" s="1"/>
  <c r="S40" i="7"/>
  <c r="U40" i="7" s="1"/>
  <c r="AB39" i="7"/>
  <c r="Y39" i="7"/>
  <c r="S39" i="7"/>
  <c r="U39" i="7" s="1"/>
  <c r="AB38" i="7"/>
  <c r="Y38" i="7"/>
  <c r="S38" i="7"/>
  <c r="U38" i="7" s="1"/>
  <c r="AB37" i="7"/>
  <c r="Y37" i="7"/>
  <c r="Z37" i="7" s="1"/>
  <c r="S37" i="7"/>
  <c r="U37" i="7" s="1"/>
  <c r="AB36" i="7"/>
  <c r="Y36" i="7"/>
  <c r="Z36" i="7" s="1"/>
  <c r="S36" i="7"/>
  <c r="U36" i="7" s="1"/>
  <c r="AB35" i="7"/>
  <c r="Y35" i="7"/>
  <c r="S35" i="7"/>
  <c r="U35" i="7" s="1"/>
  <c r="AB34" i="7"/>
  <c r="Y34" i="7"/>
  <c r="X34" i="7"/>
  <c r="S34" i="7"/>
  <c r="U34" i="7" s="1"/>
  <c r="AB33" i="7"/>
  <c r="Y33" i="7"/>
  <c r="S33" i="7"/>
  <c r="U33" i="7" s="1"/>
  <c r="AB32" i="7"/>
  <c r="AC32" i="7" s="1"/>
  <c r="Z32" i="7"/>
  <c r="AB31" i="7"/>
  <c r="Z31" i="7"/>
  <c r="AB30" i="7"/>
  <c r="AB29" i="7"/>
  <c r="Y29" i="7"/>
  <c r="Z29" i="7" s="1"/>
  <c r="U29" i="7"/>
  <c r="S29" i="7"/>
  <c r="AB28" i="7"/>
  <c r="Y28" i="7"/>
  <c r="Z28" i="7" s="1"/>
  <c r="S28" i="7"/>
  <c r="U28" i="7" s="1"/>
  <c r="AB27" i="7"/>
  <c r="Y27" i="7"/>
  <c r="Z27" i="7" s="1"/>
  <c r="S27" i="7"/>
  <c r="U27" i="7" s="1"/>
  <c r="AB26" i="7"/>
  <c r="Y26" i="7"/>
  <c r="S26" i="7"/>
  <c r="U26" i="7" s="1"/>
  <c r="AB25" i="7"/>
  <c r="Y25" i="7"/>
  <c r="Z25" i="7" s="1"/>
  <c r="S25" i="7"/>
  <c r="U25" i="7" s="1"/>
  <c r="AB24" i="7"/>
  <c r="Z24" i="7"/>
  <c r="AB23" i="7"/>
  <c r="AB22" i="7"/>
  <c r="AC22" i="7" s="1"/>
  <c r="AB21" i="7"/>
  <c r="AC21" i="7" s="1"/>
  <c r="Z21" i="7"/>
  <c r="AB20" i="7"/>
  <c r="Z20" i="7"/>
  <c r="AB19" i="7"/>
  <c r="AB18" i="7"/>
  <c r="Y18" i="7"/>
  <c r="S18" i="7"/>
  <c r="U18" i="7" s="1"/>
  <c r="AB17" i="7"/>
  <c r="Z17" i="7"/>
  <c r="AB16" i="7"/>
  <c r="Z16" i="7"/>
  <c r="AB15" i="7"/>
  <c r="Z15" i="7"/>
  <c r="AB14" i="7"/>
  <c r="AC14" i="7" s="1"/>
  <c r="AB13" i="7"/>
  <c r="AC13" i="7" s="1"/>
  <c r="Z13" i="7"/>
  <c r="AB12" i="7"/>
  <c r="AC12" i="7" s="1"/>
  <c r="Z12" i="7"/>
  <c r="AB11" i="7"/>
  <c r="Y11" i="7"/>
  <c r="U11" i="7"/>
  <c r="S11" i="7"/>
  <c r="AB10" i="7"/>
  <c r="AB9" i="7"/>
  <c r="AC9" i="7" s="1"/>
  <c r="AB8" i="7"/>
  <c r="Z8" i="7"/>
  <c r="AB7" i="7"/>
  <c r="Z7" i="7"/>
  <c r="Z54" i="6"/>
  <c r="S11" i="6"/>
  <c r="U11" i="6" s="1"/>
  <c r="Y11" i="6"/>
  <c r="Z11" i="6" s="1"/>
  <c r="AB11" i="6"/>
  <c r="Z12" i="6"/>
  <c r="AB12" i="6"/>
  <c r="Z13" i="6"/>
  <c r="AB13" i="6"/>
  <c r="S14" i="6"/>
  <c r="U14" i="6" s="1"/>
  <c r="Y14" i="6"/>
  <c r="Z14" i="6" s="1"/>
  <c r="AB14" i="6"/>
  <c r="S15" i="6"/>
  <c r="U15" i="6" s="1"/>
  <c r="Y15" i="6"/>
  <c r="Z15" i="6" s="1"/>
  <c r="AB15" i="6"/>
  <c r="AB16" i="6"/>
  <c r="Z17" i="6"/>
  <c r="AB17" i="6"/>
  <c r="Z18" i="6"/>
  <c r="AB18" i="6"/>
  <c r="AB19" i="6"/>
  <c r="S20" i="6"/>
  <c r="U20" i="6" s="1"/>
  <c r="Y20" i="6"/>
  <c r="Z20" i="6" s="1"/>
  <c r="AB20" i="6"/>
  <c r="Z21" i="6"/>
  <c r="AB21" i="6"/>
  <c r="S22" i="6"/>
  <c r="U22" i="6" s="1"/>
  <c r="Y22" i="6"/>
  <c r="Z22" i="6" s="1"/>
  <c r="AB22" i="6"/>
  <c r="S23" i="6"/>
  <c r="U23" i="6" s="1"/>
  <c r="Y23" i="6"/>
  <c r="Z23" i="6" s="1"/>
  <c r="AB23" i="6"/>
  <c r="S24" i="6"/>
  <c r="U24" i="6" s="1"/>
  <c r="Y24" i="6"/>
  <c r="AB24" i="6"/>
  <c r="Z25" i="6"/>
  <c r="AB25" i="6"/>
  <c r="Z26" i="6"/>
  <c r="AB26" i="6"/>
  <c r="Z27" i="6"/>
  <c r="AB27" i="6"/>
  <c r="Z28" i="6"/>
  <c r="AB28" i="6"/>
  <c r="S29" i="6"/>
  <c r="U29" i="6" s="1"/>
  <c r="Y29" i="6"/>
  <c r="Z29" i="6" s="1"/>
  <c r="AB29" i="6"/>
  <c r="Z30" i="6"/>
  <c r="AB30" i="6"/>
  <c r="S31" i="6"/>
  <c r="U31" i="6" s="1"/>
  <c r="Y31" i="6"/>
  <c r="Z31" i="6" s="1"/>
  <c r="AB31" i="6"/>
  <c r="S32" i="6"/>
  <c r="U32" i="6" s="1"/>
  <c r="Y32" i="6"/>
  <c r="AB32" i="6"/>
  <c r="S33" i="6"/>
  <c r="U33" i="6" s="1"/>
  <c r="Y33" i="6"/>
  <c r="Z33" i="6" s="1"/>
  <c r="AB33" i="6"/>
  <c r="S34" i="6"/>
  <c r="U34" i="6" s="1"/>
  <c r="Y34" i="6"/>
  <c r="Z34" i="6" s="1"/>
  <c r="AB34" i="6"/>
  <c r="S35" i="6"/>
  <c r="U35" i="6" s="1"/>
  <c r="Y35" i="6"/>
  <c r="Z35" i="6" s="1"/>
  <c r="AB35" i="6"/>
  <c r="S36" i="6"/>
  <c r="U36" i="6" s="1"/>
  <c r="Y36" i="6"/>
  <c r="Z36" i="6" s="1"/>
  <c r="AB36" i="6"/>
  <c r="S37" i="6"/>
  <c r="U37" i="6" s="1"/>
  <c r="Z37" i="6"/>
  <c r="AB37" i="6"/>
  <c r="S38" i="6"/>
  <c r="U38" i="6" s="1"/>
  <c r="Z38" i="6"/>
  <c r="AB38" i="6"/>
  <c r="S39" i="6"/>
  <c r="U39" i="6" s="1"/>
  <c r="Y39" i="6"/>
  <c r="AB39" i="6"/>
  <c r="S40" i="6"/>
  <c r="U40" i="6" s="1"/>
  <c r="Y40" i="6"/>
  <c r="Z40" i="6" s="1"/>
  <c r="AB40" i="6"/>
  <c r="Z41" i="6"/>
  <c r="AB41" i="6"/>
  <c r="Z42" i="6"/>
  <c r="AB42" i="6"/>
  <c r="S43" i="6"/>
  <c r="U43" i="6" s="1"/>
  <c r="Y43" i="6"/>
  <c r="Z43" i="6" s="1"/>
  <c r="AB43" i="6"/>
  <c r="S44" i="6"/>
  <c r="U44" i="6" s="1"/>
  <c r="Y44" i="6"/>
  <c r="AB44" i="6"/>
  <c r="S45" i="6"/>
  <c r="U45" i="6" s="1"/>
  <c r="Y45" i="6"/>
  <c r="Z45" i="6" s="1"/>
  <c r="AB45" i="6"/>
  <c r="S46" i="6"/>
  <c r="U46" i="6" s="1"/>
  <c r="Y46" i="6"/>
  <c r="Z46" i="6" s="1"/>
  <c r="AB46" i="6"/>
  <c r="S47" i="6"/>
  <c r="U47" i="6" s="1"/>
  <c r="Y47" i="6"/>
  <c r="Z47" i="6" s="1"/>
  <c r="AB47" i="6"/>
  <c r="S48" i="6"/>
  <c r="U48" i="6" s="1"/>
  <c r="Y48" i="6"/>
  <c r="AB48" i="6"/>
  <c r="S49" i="6"/>
  <c r="U49" i="6" s="1"/>
  <c r="Y49" i="6"/>
  <c r="Z49" i="6" s="1"/>
  <c r="AB49" i="6"/>
  <c r="Z8" i="6"/>
  <c r="AB8" i="6"/>
  <c r="AB9" i="6"/>
  <c r="Z10" i="6"/>
  <c r="AB10" i="6"/>
  <c r="AC55" i="8" l="1"/>
  <c r="AC42" i="11"/>
  <c r="AC44" i="11"/>
  <c r="AC46" i="11"/>
  <c r="AC45" i="12"/>
  <c r="AC45" i="16"/>
  <c r="AC25" i="16"/>
  <c r="AC53" i="16"/>
  <c r="AC26" i="15"/>
  <c r="AC47" i="8"/>
  <c r="AC49" i="8"/>
  <c r="AC33" i="8"/>
  <c r="AC68" i="10"/>
  <c r="X61" i="16"/>
  <c r="AC44" i="14"/>
  <c r="X66" i="14"/>
  <c r="AC80" i="14"/>
  <c r="AC82" i="14"/>
  <c r="AC84" i="14"/>
  <c r="X50" i="15"/>
  <c r="AC68" i="14"/>
  <c r="X70" i="14"/>
  <c r="AC64" i="14"/>
  <c r="AC72" i="14"/>
  <c r="AC56" i="14"/>
  <c r="AD56" i="14" s="1"/>
  <c r="AE56" i="14" s="1"/>
  <c r="X62" i="14"/>
  <c r="X38" i="14"/>
  <c r="AC42" i="15"/>
  <c r="AC11" i="15"/>
  <c r="AC49" i="15"/>
  <c r="AC33" i="15"/>
  <c r="AC38" i="15"/>
  <c r="X34" i="15"/>
  <c r="X53" i="16"/>
  <c r="AC30" i="15"/>
  <c r="AC15" i="15"/>
  <c r="AC19" i="15"/>
  <c r="X46" i="15"/>
  <c r="X14" i="15"/>
  <c r="X21" i="15"/>
  <c r="AC40" i="15"/>
  <c r="X39" i="15"/>
  <c r="AC12" i="15"/>
  <c r="AC18" i="15"/>
  <c r="Z26" i="15"/>
  <c r="AC29" i="15"/>
  <c r="AC32" i="15"/>
  <c r="AC44" i="15"/>
  <c r="Z49" i="15"/>
  <c r="AC27" i="15"/>
  <c r="AC51" i="15"/>
  <c r="AC58" i="15"/>
  <c r="X29" i="15"/>
  <c r="AC16" i="15"/>
  <c r="AC23" i="15"/>
  <c r="X25" i="15"/>
  <c r="X36" i="15"/>
  <c r="AC41" i="15"/>
  <c r="AC46" i="15"/>
  <c r="Z51" i="15"/>
  <c r="X47" i="15"/>
  <c r="X12" i="15"/>
  <c r="AC50" i="15"/>
  <c r="X18" i="15"/>
  <c r="AC11" i="7"/>
  <c r="AC44" i="8"/>
  <c r="AC56" i="8"/>
  <c r="AC81" i="14"/>
  <c r="AC25" i="15"/>
  <c r="AC28" i="15"/>
  <c r="AC41" i="16"/>
  <c r="AC49" i="16"/>
  <c r="AD49" i="16" s="1"/>
  <c r="AE49" i="16" s="1"/>
  <c r="AC18" i="12"/>
  <c r="AC8" i="14"/>
  <c r="AD8" i="14" s="1"/>
  <c r="AE8" i="14" s="1"/>
  <c r="AC10" i="14"/>
  <c r="AC12" i="14"/>
  <c r="AC14" i="14"/>
  <c r="AC16" i="14"/>
  <c r="AD16" i="14" s="1"/>
  <c r="AE16" i="14" s="1"/>
  <c r="AC18" i="14"/>
  <c r="AC20" i="14"/>
  <c r="AD20" i="14" s="1"/>
  <c r="AE20" i="14" s="1"/>
  <c r="AC22" i="14"/>
  <c r="AD22" i="14" s="1"/>
  <c r="AE22" i="14" s="1"/>
  <c r="AC24" i="14"/>
  <c r="AD24" i="14" s="1"/>
  <c r="AE24" i="14" s="1"/>
  <c r="AC26" i="14"/>
  <c r="AC28" i="14"/>
  <c r="AD28" i="14" s="1"/>
  <c r="AE28" i="14" s="1"/>
  <c r="AC30" i="14"/>
  <c r="AC32" i="14"/>
  <c r="AD32" i="14" s="1"/>
  <c r="AE32" i="14" s="1"/>
  <c r="AC34" i="14"/>
  <c r="AC36" i="14"/>
  <c r="AD36" i="14" s="1"/>
  <c r="AE36" i="14" s="1"/>
  <c r="AC17" i="15"/>
  <c r="AC55" i="15"/>
  <c r="AC99" i="16"/>
  <c r="AC73" i="16"/>
  <c r="AC77" i="16"/>
  <c r="AC69" i="14"/>
  <c r="AC14" i="15"/>
  <c r="AC21" i="15"/>
  <c r="AC24" i="15"/>
  <c r="AC7" i="16"/>
  <c r="AC9" i="16"/>
  <c r="AC31" i="12"/>
  <c r="AC57" i="14"/>
  <c r="AC9" i="14"/>
  <c r="AD9" i="14" s="1"/>
  <c r="AE9" i="14" s="1"/>
  <c r="AC13" i="14"/>
  <c r="AD13" i="14" s="1"/>
  <c r="AE13" i="14" s="1"/>
  <c r="AC17" i="14"/>
  <c r="AC21" i="14"/>
  <c r="AD21" i="14" s="1"/>
  <c r="AE21" i="14" s="1"/>
  <c r="AC25" i="14"/>
  <c r="AC29" i="14"/>
  <c r="AC33" i="14"/>
  <c r="AD33" i="14" s="1"/>
  <c r="AE33" i="14" s="1"/>
  <c r="AC37" i="14"/>
  <c r="AD37" i="14" s="1"/>
  <c r="AE37" i="14" s="1"/>
  <c r="AC39" i="15"/>
  <c r="AC47" i="15"/>
  <c r="AC54" i="15"/>
  <c r="AC13" i="16"/>
  <c r="X43" i="11"/>
  <c r="X82" i="14"/>
  <c r="AD82" i="14" s="1"/>
  <c r="AE82" i="14" s="1"/>
  <c r="X67" i="14"/>
  <c r="X60" i="11"/>
  <c r="X35" i="12"/>
  <c r="X54" i="12"/>
  <c r="AC14" i="12"/>
  <c r="AC33" i="12"/>
  <c r="AC44" i="12"/>
  <c r="AC11" i="12"/>
  <c r="Z18" i="12"/>
  <c r="AC22" i="12"/>
  <c r="AC49" i="12"/>
  <c r="AC57" i="12"/>
  <c r="AD57" i="12" s="1"/>
  <c r="AE57" i="12" s="1"/>
  <c r="AC61" i="12"/>
  <c r="AC15" i="12"/>
  <c r="AC16" i="12"/>
  <c r="X62" i="12"/>
  <c r="AC60" i="12"/>
  <c r="X33" i="7"/>
  <c r="X66" i="10"/>
  <c r="AD66" i="10" s="1"/>
  <c r="AE66" i="10" s="1"/>
  <c r="X74" i="14"/>
  <c r="X83" i="14"/>
  <c r="X85" i="14"/>
  <c r="AD85" i="14" s="1"/>
  <c r="AE85" i="14" s="1"/>
  <c r="X35" i="16"/>
  <c r="X37" i="16"/>
  <c r="X59" i="11"/>
  <c r="X30" i="10"/>
  <c r="AD40" i="14"/>
  <c r="AE40" i="14" s="1"/>
  <c r="X51" i="14"/>
  <c r="X56" i="12"/>
  <c r="X60" i="12"/>
  <c r="X7" i="16"/>
  <c r="Z42" i="11"/>
  <c r="AC54" i="11"/>
  <c r="X55" i="11"/>
  <c r="Z46" i="11"/>
  <c r="AC48" i="11"/>
  <c r="Z48" i="11"/>
  <c r="X49" i="11"/>
  <c r="AD49" i="11" s="1"/>
  <c r="AE49" i="11" s="1"/>
  <c r="AC50" i="11"/>
  <c r="AC52" i="11"/>
  <c r="X61" i="11"/>
  <c r="AC59" i="11"/>
  <c r="AC61" i="11"/>
  <c r="X33" i="10"/>
  <c r="AC38" i="10"/>
  <c r="X41" i="10"/>
  <c r="X54" i="10"/>
  <c r="AC24" i="10"/>
  <c r="AC28" i="10"/>
  <c r="AC33" i="10"/>
  <c r="AD33" i="10" s="1"/>
  <c r="AE33" i="10" s="1"/>
  <c r="Z24" i="10"/>
  <c r="Z28" i="10"/>
  <c r="AC30" i="10"/>
  <c r="Z33" i="10"/>
  <c r="AC54" i="10"/>
  <c r="AC32" i="10"/>
  <c r="AC62" i="10"/>
  <c r="AD62" i="10" s="1"/>
  <c r="AE62" i="10" s="1"/>
  <c r="AC66" i="10"/>
  <c r="AC29" i="10"/>
  <c r="X26" i="10"/>
  <c r="AD26" i="10" s="1"/>
  <c r="AE26" i="10" s="1"/>
  <c r="AC65" i="10"/>
  <c r="Z68" i="10"/>
  <c r="X67" i="10"/>
  <c r="AC27" i="10"/>
  <c r="X29" i="7"/>
  <c r="X43" i="8"/>
  <c r="AD43" i="8" s="1"/>
  <c r="AE43" i="8" s="1"/>
  <c r="X47" i="8"/>
  <c r="AD47" i="8" s="1"/>
  <c r="AE47" i="8" s="1"/>
  <c r="X47" i="10"/>
  <c r="X31" i="12"/>
  <c r="AD31" i="12" s="1"/>
  <c r="AE31" i="12" s="1"/>
  <c r="AD10" i="14"/>
  <c r="AE10" i="14" s="1"/>
  <c r="AD18" i="14"/>
  <c r="AE18" i="14" s="1"/>
  <c r="AD26" i="14"/>
  <c r="AE26" i="14" s="1"/>
  <c r="AD34" i="14"/>
  <c r="AE34" i="14" s="1"/>
  <c r="X33" i="8"/>
  <c r="AD33" i="8" s="1"/>
  <c r="AE33" i="8" s="1"/>
  <c r="X55" i="8"/>
  <c r="AD55" i="8" s="1"/>
  <c r="AE55" i="8" s="1"/>
  <c r="X54" i="11"/>
  <c r="X38" i="15"/>
  <c r="X43" i="15"/>
  <c r="AD19" i="10"/>
  <c r="AE19" i="10" s="1"/>
  <c r="AD33" i="11"/>
  <c r="AE33" i="11" s="1"/>
  <c r="AD36" i="11"/>
  <c r="AE36" i="11" s="1"/>
  <c r="X86" i="14"/>
  <c r="X11" i="15"/>
  <c r="X19" i="15"/>
  <c r="AD19" i="15" s="1"/>
  <c r="AE19" i="15" s="1"/>
  <c r="X24" i="15"/>
  <c r="X26" i="16"/>
  <c r="X63" i="14"/>
  <c r="X26" i="15"/>
  <c r="AD26" i="15" s="1"/>
  <c r="AE26" i="15" s="1"/>
  <c r="X32" i="15"/>
  <c r="X12" i="16"/>
  <c r="AD12" i="16" s="1"/>
  <c r="AE12" i="16" s="1"/>
  <c r="AD31" i="11"/>
  <c r="AE31" i="11" s="1"/>
  <c r="X65" i="14"/>
  <c r="AD17" i="14"/>
  <c r="AE17" i="14" s="1"/>
  <c r="X23" i="15"/>
  <c r="X47" i="16"/>
  <c r="X49" i="16"/>
  <c r="X63" i="16"/>
  <c r="X38" i="8"/>
  <c r="X39" i="12"/>
  <c r="X41" i="12"/>
  <c r="X31" i="10"/>
  <c r="AD31" i="10" s="1"/>
  <c r="AE31" i="10" s="1"/>
  <c r="X25" i="7"/>
  <c r="X60" i="14"/>
  <c r="X69" i="14"/>
  <c r="X78" i="14"/>
  <c r="X28" i="15"/>
  <c r="X9" i="16"/>
  <c r="AC32" i="8"/>
  <c r="X42" i="8"/>
  <c r="AD42" i="8" s="1"/>
  <c r="AE42" i="8" s="1"/>
  <c r="AC45" i="8"/>
  <c r="AC61" i="8"/>
  <c r="X60" i="8"/>
  <c r="AD60" i="8" s="1"/>
  <c r="AE60" i="8" s="1"/>
  <c r="Z47" i="8"/>
  <c r="X41" i="8"/>
  <c r="X59" i="8"/>
  <c r="Z49" i="8"/>
  <c r="AC46" i="8"/>
  <c r="Z61" i="8"/>
  <c r="AD52" i="8"/>
  <c r="AE52" i="8" s="1"/>
  <c r="X57" i="8"/>
  <c r="AC58" i="8"/>
  <c r="X46" i="8"/>
  <c r="X56" i="8"/>
  <c r="AD56" i="8" s="1"/>
  <c r="AE56" i="8" s="1"/>
  <c r="X58" i="8"/>
  <c r="X22" i="12"/>
  <c r="AD8" i="10"/>
  <c r="AE8" i="10" s="1"/>
  <c r="AD32" i="7"/>
  <c r="AE32" i="7" s="1"/>
  <c r="AD9" i="11"/>
  <c r="AE9" i="11" s="1"/>
  <c r="X35" i="7"/>
  <c r="X37" i="7"/>
  <c r="AD9" i="8"/>
  <c r="AE9" i="8" s="1"/>
  <c r="X42" i="11"/>
  <c r="AD42" i="11" s="1"/>
  <c r="AE42" i="11" s="1"/>
  <c r="AD47" i="11"/>
  <c r="AE47" i="11" s="1"/>
  <c r="AD8" i="15"/>
  <c r="AE8" i="15" s="1"/>
  <c r="X11" i="7"/>
  <c r="X26" i="7"/>
  <c r="X28" i="7"/>
  <c r="AD9" i="10"/>
  <c r="AE9" i="10" s="1"/>
  <c r="X34" i="10"/>
  <c r="AD34" i="10" s="1"/>
  <c r="AE34" i="10" s="1"/>
  <c r="X38" i="10"/>
  <c r="AD38" i="10" s="1"/>
  <c r="AE38" i="10" s="1"/>
  <c r="X40" i="10"/>
  <c r="AD27" i="12"/>
  <c r="AE27" i="12" s="1"/>
  <c r="X23" i="10"/>
  <c r="AD21" i="8"/>
  <c r="AE21" i="8" s="1"/>
  <c r="X45" i="8"/>
  <c r="AD45" i="8" s="1"/>
  <c r="AE45" i="8" s="1"/>
  <c r="X48" i="8"/>
  <c r="AD51" i="8"/>
  <c r="AE51" i="8" s="1"/>
  <c r="AD49" i="10"/>
  <c r="AE49" i="10" s="1"/>
  <c r="X58" i="10"/>
  <c r="AD12" i="12"/>
  <c r="AE12" i="12" s="1"/>
  <c r="X14" i="12"/>
  <c r="X24" i="12"/>
  <c r="AD24" i="12" s="1"/>
  <c r="AE24" i="12" s="1"/>
  <c r="AD26" i="12"/>
  <c r="AE26" i="12" s="1"/>
  <c r="X33" i="12"/>
  <c r="X42" i="12"/>
  <c r="X44" i="12"/>
  <c r="AD44" i="12" s="1"/>
  <c r="AE44" i="12" s="1"/>
  <c r="X46" i="12"/>
  <c r="AD11" i="11"/>
  <c r="AE11" i="11" s="1"/>
  <c r="AD21" i="11"/>
  <c r="AE21" i="11" s="1"/>
  <c r="AD27" i="11"/>
  <c r="AE27" i="11" s="1"/>
  <c r="AD40" i="11"/>
  <c r="AE40" i="11" s="1"/>
  <c r="X15" i="12"/>
  <c r="AD32" i="12"/>
  <c r="AE32" i="12" s="1"/>
  <c r="X20" i="15"/>
  <c r="AD20" i="15" s="1"/>
  <c r="AE20" i="15" s="1"/>
  <c r="X30" i="15"/>
  <c r="X33" i="15"/>
  <c r="AD33" i="15" s="1"/>
  <c r="AE33" i="15" s="1"/>
  <c r="X52" i="15"/>
  <c r="X54" i="15"/>
  <c r="X81" i="16"/>
  <c r="X85" i="16"/>
  <c r="X89" i="16"/>
  <c r="X93" i="16"/>
  <c r="X97" i="16"/>
  <c r="X99" i="16"/>
  <c r="AD99" i="16" s="1"/>
  <c r="AE99" i="16" s="1"/>
  <c r="X14" i="16"/>
  <c r="X19" i="16"/>
  <c r="X21" i="16"/>
  <c r="X28" i="16"/>
  <c r="AD28" i="16" s="1"/>
  <c r="AE28" i="16" s="1"/>
  <c r="X30" i="16"/>
  <c r="X39" i="16"/>
  <c r="X66" i="16"/>
  <c r="AD23" i="8"/>
  <c r="AE23" i="8" s="1"/>
  <c r="X32" i="8"/>
  <c r="X50" i="8"/>
  <c r="X61" i="8"/>
  <c r="X64" i="10"/>
  <c r="X57" i="11"/>
  <c r="X48" i="12"/>
  <c r="X50" i="12"/>
  <c r="AD12" i="10"/>
  <c r="AE12" i="10" s="1"/>
  <c r="AD16" i="10"/>
  <c r="AE16" i="10" s="1"/>
  <c r="AD21" i="10"/>
  <c r="AE21" i="10" s="1"/>
  <c r="X28" i="10"/>
  <c r="AD35" i="11"/>
  <c r="AE35" i="11" s="1"/>
  <c r="X45" i="11"/>
  <c r="X52" i="11"/>
  <c r="AD52" i="11" s="1"/>
  <c r="AE52" i="11" s="1"/>
  <c r="X79" i="14"/>
  <c r="X81" i="14"/>
  <c r="AD9" i="15"/>
  <c r="AE9" i="15" s="1"/>
  <c r="X17" i="15"/>
  <c r="X27" i="15"/>
  <c r="X41" i="15"/>
  <c r="AD41" i="15" s="1"/>
  <c r="AE41" i="15" s="1"/>
  <c r="X56" i="15"/>
  <c r="X58" i="15"/>
  <c r="AD58" i="15" s="1"/>
  <c r="AE58" i="15" s="1"/>
  <c r="X23" i="16"/>
  <c r="X43" i="16"/>
  <c r="X52" i="16"/>
  <c r="AD52" i="16" s="1"/>
  <c r="AE52" i="16" s="1"/>
  <c r="X70" i="16"/>
  <c r="X72" i="16"/>
  <c r="X74" i="16"/>
  <c r="X76" i="16"/>
  <c r="AD76" i="16" s="1"/>
  <c r="AE76" i="16" s="1"/>
  <c r="X78" i="16"/>
  <c r="AD25" i="8"/>
  <c r="AE25" i="8" s="1"/>
  <c r="X44" i="8"/>
  <c r="AD44" i="8" s="1"/>
  <c r="AE44" i="8" s="1"/>
  <c r="X49" i="8"/>
  <c r="AD49" i="8" s="1"/>
  <c r="AE49" i="8" s="1"/>
  <c r="AD8" i="12"/>
  <c r="AE8" i="12" s="1"/>
  <c r="AD10" i="12"/>
  <c r="AE10" i="12" s="1"/>
  <c r="X13" i="12"/>
  <c r="X25" i="12"/>
  <c r="AD13" i="10"/>
  <c r="AE13" i="10" s="1"/>
  <c r="AD15" i="10"/>
  <c r="AE15" i="10" s="1"/>
  <c r="AD20" i="10"/>
  <c r="AE20" i="10" s="1"/>
  <c r="X27" i="10"/>
  <c r="AD27" i="10" s="1"/>
  <c r="AE27" i="10" s="1"/>
  <c r="X16" i="15"/>
  <c r="X40" i="15"/>
  <c r="X48" i="15"/>
  <c r="X53" i="15"/>
  <c r="X55" i="15"/>
  <c r="X80" i="16"/>
  <c r="X86" i="16"/>
  <c r="X88" i="16"/>
  <c r="X94" i="16"/>
  <c r="X96" i="16"/>
  <c r="X38" i="16"/>
  <c r="X40" i="16"/>
  <c r="AD40" i="16" s="1"/>
  <c r="AE40" i="16" s="1"/>
  <c r="X42" i="16"/>
  <c r="X67" i="16"/>
  <c r="X69" i="16"/>
  <c r="AD15" i="8"/>
  <c r="AE15" i="8" s="1"/>
  <c r="AD20" i="8"/>
  <c r="AE20" i="8" s="1"/>
  <c r="AD27" i="8"/>
  <c r="AE27" i="8" s="1"/>
  <c r="AD39" i="8"/>
  <c r="AE39" i="8" s="1"/>
  <c r="X56" i="11"/>
  <c r="X58" i="11"/>
  <c r="X16" i="12"/>
  <c r="X18" i="12"/>
  <c r="X34" i="12"/>
  <c r="X47" i="12"/>
  <c r="X51" i="12"/>
  <c r="X53" i="12"/>
  <c r="AD25" i="10"/>
  <c r="AE25" i="10" s="1"/>
  <c r="X32" i="10"/>
  <c r="AD12" i="11"/>
  <c r="AE12" i="11" s="1"/>
  <c r="AD15" i="11"/>
  <c r="AE15" i="11" s="1"/>
  <c r="AD18" i="11"/>
  <c r="AE18" i="11" s="1"/>
  <c r="AD28" i="11"/>
  <c r="AE28" i="11" s="1"/>
  <c r="X41" i="11"/>
  <c r="X44" i="11"/>
  <c r="AD44" i="11" s="1"/>
  <c r="AE44" i="11" s="1"/>
  <c r="X46" i="11"/>
  <c r="AD46" i="11" s="1"/>
  <c r="AE46" i="11" s="1"/>
  <c r="X55" i="14"/>
  <c r="X80" i="14"/>
  <c r="X11" i="12"/>
  <c r="AD11" i="12" s="1"/>
  <c r="AE11" i="12" s="1"/>
  <c r="AD29" i="12"/>
  <c r="AE29" i="12" s="1"/>
  <c r="AD7" i="15"/>
  <c r="AE7" i="15" s="1"/>
  <c r="X13" i="15"/>
  <c r="AD13" i="15" s="1"/>
  <c r="AE13" i="15" s="1"/>
  <c r="X31" i="15"/>
  <c r="X42" i="15"/>
  <c r="AD42" i="15" s="1"/>
  <c r="AE42" i="15" s="1"/>
  <c r="X57" i="15"/>
  <c r="X10" i="16"/>
  <c r="AD10" i="16" s="1"/>
  <c r="AE10" i="16" s="1"/>
  <c r="X17" i="16"/>
  <c r="X31" i="16"/>
  <c r="X33" i="16"/>
  <c r="X44" i="16"/>
  <c r="X51" i="16"/>
  <c r="X58" i="16"/>
  <c r="X71" i="16"/>
  <c r="X73" i="16"/>
  <c r="AD73" i="16" s="1"/>
  <c r="AE73" i="16" s="1"/>
  <c r="X75" i="16"/>
  <c r="X77" i="16"/>
  <c r="X65" i="10"/>
  <c r="AD65" i="10" s="1"/>
  <c r="AE65" i="10" s="1"/>
  <c r="X55" i="12"/>
  <c r="X59" i="12"/>
  <c r="AD60" i="12"/>
  <c r="AE60" i="12" s="1"/>
  <c r="AD17" i="10"/>
  <c r="AE17" i="10" s="1"/>
  <c r="AD22" i="10"/>
  <c r="AE22" i="10" s="1"/>
  <c r="X24" i="10"/>
  <c r="X29" i="10"/>
  <c r="AD22" i="11"/>
  <c r="AE22" i="11" s="1"/>
  <c r="AD39" i="11"/>
  <c r="AE39" i="11" s="1"/>
  <c r="X48" i="11"/>
  <c r="X46" i="14"/>
  <c r="X59" i="14"/>
  <c r="X68" i="14"/>
  <c r="AD68" i="14" s="1"/>
  <c r="AE68" i="14" s="1"/>
  <c r="X15" i="15"/>
  <c r="X22" i="15"/>
  <c r="AD22" i="15" s="1"/>
  <c r="AE22" i="15" s="1"/>
  <c r="AD37" i="15"/>
  <c r="AE37" i="15" s="1"/>
  <c r="X44" i="15"/>
  <c r="X8" i="16"/>
  <c r="AD8" i="16" s="1"/>
  <c r="AE8" i="16" s="1"/>
  <c r="X60" i="16"/>
  <c r="AD60" i="16" s="1"/>
  <c r="AE60" i="16" s="1"/>
  <c r="X62" i="16"/>
  <c r="AC59" i="16"/>
  <c r="Z59" i="16"/>
  <c r="Z73" i="16"/>
  <c r="AC46" i="16"/>
  <c r="AD46" i="16" s="1"/>
  <c r="AE46" i="16" s="1"/>
  <c r="Z46" i="16"/>
  <c r="AC50" i="16"/>
  <c r="AD50" i="16" s="1"/>
  <c r="AE50" i="16" s="1"/>
  <c r="Z50" i="16"/>
  <c r="Z13" i="16"/>
  <c r="X16" i="16"/>
  <c r="AC17" i="16"/>
  <c r="AC22" i="16"/>
  <c r="AD22" i="16" s="1"/>
  <c r="AE22" i="16" s="1"/>
  <c r="Z22" i="16"/>
  <c r="X25" i="16"/>
  <c r="AD25" i="16" s="1"/>
  <c r="AE25" i="16" s="1"/>
  <c r="AC31" i="16"/>
  <c r="Z31" i="16"/>
  <c r="AC32" i="16"/>
  <c r="Z45" i="16"/>
  <c r="X48" i="16"/>
  <c r="AD48" i="16" s="1"/>
  <c r="AE48" i="16" s="1"/>
  <c r="AC54" i="16"/>
  <c r="AD54" i="16" s="1"/>
  <c r="AE54" i="16" s="1"/>
  <c r="Z54" i="16"/>
  <c r="X57" i="16"/>
  <c r="AC63" i="16"/>
  <c r="Z63" i="16"/>
  <c r="AC64" i="16"/>
  <c r="Z41" i="16"/>
  <c r="Z77" i="16"/>
  <c r="X11" i="16"/>
  <c r="X20" i="16"/>
  <c r="AC21" i="16"/>
  <c r="AC26" i="16"/>
  <c r="Z26" i="16"/>
  <c r="X29" i="16"/>
  <c r="AC35" i="16"/>
  <c r="Z35" i="16"/>
  <c r="AC36" i="16"/>
  <c r="AC58" i="16"/>
  <c r="Z58" i="16"/>
  <c r="AC67" i="16"/>
  <c r="Z67" i="16"/>
  <c r="AC68" i="16"/>
  <c r="AC14" i="16"/>
  <c r="AD14" i="16" s="1"/>
  <c r="AE14" i="16" s="1"/>
  <c r="Z14" i="16"/>
  <c r="AC55" i="16"/>
  <c r="AD55" i="16" s="1"/>
  <c r="AE55" i="16" s="1"/>
  <c r="Z55" i="16"/>
  <c r="AC18" i="16"/>
  <c r="AD18" i="16" s="1"/>
  <c r="AE18" i="16" s="1"/>
  <c r="Z18" i="16"/>
  <c r="AC27" i="16"/>
  <c r="Z27" i="16"/>
  <c r="X15" i="16"/>
  <c r="X24" i="16"/>
  <c r="AD24" i="16" s="1"/>
  <c r="AE24" i="16" s="1"/>
  <c r="AC30" i="16"/>
  <c r="Z30" i="16"/>
  <c r="AC39" i="16"/>
  <c r="Z39" i="16"/>
  <c r="Z53" i="16"/>
  <c r="X56" i="16"/>
  <c r="AD56" i="16" s="1"/>
  <c r="AE56" i="16" s="1"/>
  <c r="AC57" i="16"/>
  <c r="AC62" i="16"/>
  <c r="Z62" i="16"/>
  <c r="X65" i="16"/>
  <c r="AC71" i="16"/>
  <c r="Z71" i="16"/>
  <c r="AC72" i="16"/>
  <c r="AC75" i="16"/>
  <c r="Z75" i="16"/>
  <c r="AC29" i="16"/>
  <c r="AC34" i="16"/>
  <c r="AD34" i="16" s="1"/>
  <c r="AE34" i="16" s="1"/>
  <c r="Z34" i="16"/>
  <c r="AC43" i="16"/>
  <c r="Z43" i="16"/>
  <c r="AC44" i="16"/>
  <c r="AC61" i="16"/>
  <c r="AD61" i="16" s="1"/>
  <c r="AE61" i="16" s="1"/>
  <c r="AC66" i="16"/>
  <c r="Z66" i="16"/>
  <c r="AC23" i="16"/>
  <c r="AD23" i="16" s="1"/>
  <c r="AE23" i="16" s="1"/>
  <c r="Z23" i="16"/>
  <c r="AC11" i="16"/>
  <c r="Z11" i="16"/>
  <c r="AC15" i="16"/>
  <c r="Z15" i="16"/>
  <c r="AC16" i="16"/>
  <c r="AD16" i="16" s="1"/>
  <c r="AE16" i="16" s="1"/>
  <c r="Z29" i="16"/>
  <c r="X32" i="16"/>
  <c r="AC33" i="16"/>
  <c r="AC38" i="16"/>
  <c r="Z38" i="16"/>
  <c r="X41" i="16"/>
  <c r="AD41" i="16" s="1"/>
  <c r="AE41" i="16" s="1"/>
  <c r="AC47" i="16"/>
  <c r="Z47" i="16"/>
  <c r="Z61" i="16"/>
  <c r="X64" i="16"/>
  <c r="AC65" i="16"/>
  <c r="AD65" i="16" s="1"/>
  <c r="AE65" i="16" s="1"/>
  <c r="AC70" i="16"/>
  <c r="Z70" i="16"/>
  <c r="AC78" i="16"/>
  <c r="AD78" i="16" s="1"/>
  <c r="AE78" i="16" s="1"/>
  <c r="Z78" i="16"/>
  <c r="X13" i="16"/>
  <c r="AC19" i="16"/>
  <c r="Z19" i="16"/>
  <c r="AC20" i="16"/>
  <c r="X27" i="16"/>
  <c r="X36" i="16"/>
  <c r="AC37" i="16"/>
  <c r="AD37" i="16" s="1"/>
  <c r="AE37" i="16" s="1"/>
  <c r="AC42" i="16"/>
  <c r="Z42" i="16"/>
  <c r="X45" i="16"/>
  <c r="AD45" i="16" s="1"/>
  <c r="AE45" i="16" s="1"/>
  <c r="AC51" i="16"/>
  <c r="Z51" i="16"/>
  <c r="X59" i="16"/>
  <c r="X68" i="16"/>
  <c r="AC69" i="16"/>
  <c r="AC74" i="16"/>
  <c r="Z74" i="16"/>
  <c r="AC95" i="16"/>
  <c r="Z95" i="16"/>
  <c r="Z84" i="16"/>
  <c r="AC84" i="16"/>
  <c r="Z92" i="16"/>
  <c r="AC92" i="16"/>
  <c r="AC79" i="16"/>
  <c r="Z79" i="16"/>
  <c r="AC87" i="16"/>
  <c r="Z87" i="16"/>
  <c r="AC81" i="16"/>
  <c r="Z81" i="16"/>
  <c r="X83" i="16"/>
  <c r="AC89" i="16"/>
  <c r="AD89" i="16" s="1"/>
  <c r="AE89" i="16" s="1"/>
  <c r="Z89" i="16"/>
  <c r="X91" i="16"/>
  <c r="AC97" i="16"/>
  <c r="Z97" i="16"/>
  <c r="Z7" i="16"/>
  <c r="AC83" i="16"/>
  <c r="Z83" i="16"/>
  <c r="AC91" i="16"/>
  <c r="Z91" i="16"/>
  <c r="AC86" i="16"/>
  <c r="Z86" i="16"/>
  <c r="AC94" i="16"/>
  <c r="Z94" i="16"/>
  <c r="Z80" i="16"/>
  <c r="AC80" i="16"/>
  <c r="X82" i="16"/>
  <c r="Z88" i="16"/>
  <c r="AC88" i="16"/>
  <c r="X90" i="16"/>
  <c r="Z96" i="16"/>
  <c r="AC96" i="16"/>
  <c r="X98" i="16"/>
  <c r="X79" i="16"/>
  <c r="AC85" i="16"/>
  <c r="Z85" i="16"/>
  <c r="X87" i="16"/>
  <c r="AC93" i="16"/>
  <c r="Z93" i="16"/>
  <c r="X95" i="16"/>
  <c r="AC82" i="16"/>
  <c r="Z82" i="16"/>
  <c r="X84" i="16"/>
  <c r="AC90" i="16"/>
  <c r="Z90" i="16"/>
  <c r="X92" i="16"/>
  <c r="AC98" i="16"/>
  <c r="Z98" i="16"/>
  <c r="Z99" i="16"/>
  <c r="AC53" i="15"/>
  <c r="Z42" i="15"/>
  <c r="AC45" i="15"/>
  <c r="AD38" i="15"/>
  <c r="AE38" i="15" s="1"/>
  <c r="Z38" i="15"/>
  <c r="AC34" i="15"/>
  <c r="AD34" i="15" s="1"/>
  <c r="AE34" i="15" s="1"/>
  <c r="AD50" i="15"/>
  <c r="AE50" i="15" s="1"/>
  <c r="AD10" i="15"/>
  <c r="AE10" i="15" s="1"/>
  <c r="Z9" i="15"/>
  <c r="Z13" i="15"/>
  <c r="Z17" i="15"/>
  <c r="Z24" i="15"/>
  <c r="Z28" i="15"/>
  <c r="Z37" i="15"/>
  <c r="Z47" i="15"/>
  <c r="AC56" i="15"/>
  <c r="Z10" i="15"/>
  <c r="Z14" i="15"/>
  <c r="Z18" i="15"/>
  <c r="Z21" i="15"/>
  <c r="Z25" i="15"/>
  <c r="Z29" i="15"/>
  <c r="Z39" i="15"/>
  <c r="AC48" i="15"/>
  <c r="Z50" i="15"/>
  <c r="AC52" i="15"/>
  <c r="Z54" i="15"/>
  <c r="AC57" i="15"/>
  <c r="AC31" i="15"/>
  <c r="X45" i="15"/>
  <c r="AC36" i="15"/>
  <c r="AC43" i="15"/>
  <c r="Z43" i="15"/>
  <c r="AC35" i="15"/>
  <c r="AD35" i="15" s="1"/>
  <c r="AE35" i="15" s="1"/>
  <c r="X49" i="15"/>
  <c r="Z56" i="15"/>
  <c r="X38" i="12"/>
  <c r="Z11" i="12"/>
  <c r="AD20" i="12"/>
  <c r="AE20" i="12" s="1"/>
  <c r="AD23" i="12"/>
  <c r="AE23" i="12" s="1"/>
  <c r="Z23" i="12"/>
  <c r="AD30" i="14"/>
  <c r="AE30" i="14" s="1"/>
  <c r="Z8" i="14"/>
  <c r="AC11" i="14"/>
  <c r="AD11" i="14" s="1"/>
  <c r="AE11" i="14" s="1"/>
  <c r="Z12" i="14"/>
  <c r="AC15" i="14"/>
  <c r="AD15" i="14" s="1"/>
  <c r="AE15" i="14" s="1"/>
  <c r="Z16" i="14"/>
  <c r="AC19" i="14"/>
  <c r="Z20" i="14"/>
  <c r="AC23" i="14"/>
  <c r="Z24" i="14"/>
  <c r="AC27" i="14"/>
  <c r="AD27" i="14" s="1"/>
  <c r="AE27" i="14" s="1"/>
  <c r="Z28" i="14"/>
  <c r="AC31" i="14"/>
  <c r="AD31" i="14" s="1"/>
  <c r="AE31" i="14" s="1"/>
  <c r="Z32" i="14"/>
  <c r="AC35" i="14"/>
  <c r="Z36" i="14"/>
  <c r="Z9" i="14"/>
  <c r="Z13" i="14"/>
  <c r="Z17" i="14"/>
  <c r="Z21" i="14"/>
  <c r="Z25" i="14"/>
  <c r="Z29" i="14"/>
  <c r="Z33" i="14"/>
  <c r="Z37" i="14"/>
  <c r="Z10" i="14"/>
  <c r="Z14" i="14"/>
  <c r="Z18" i="14"/>
  <c r="Z22" i="14"/>
  <c r="Z26" i="14"/>
  <c r="Z30" i="14"/>
  <c r="Z34" i="14"/>
  <c r="AD7" i="14"/>
  <c r="AC83" i="14"/>
  <c r="Z83" i="14"/>
  <c r="Z7" i="14"/>
  <c r="AC38" i="14"/>
  <c r="Z38" i="14"/>
  <c r="AC47" i="14"/>
  <c r="AD47" i="14" s="1"/>
  <c r="AE47" i="14" s="1"/>
  <c r="Z47" i="14"/>
  <c r="AC48" i="14"/>
  <c r="Z61" i="14"/>
  <c r="X64" i="14"/>
  <c r="AD64" i="14" s="1"/>
  <c r="AE64" i="14" s="1"/>
  <c r="AC65" i="14"/>
  <c r="AC70" i="14"/>
  <c r="Z70" i="14"/>
  <c r="X73" i="14"/>
  <c r="AC79" i="14"/>
  <c r="Z79" i="14"/>
  <c r="AC75" i="14"/>
  <c r="Z75" i="14"/>
  <c r="AC42" i="14"/>
  <c r="AD42" i="14" s="1"/>
  <c r="AE42" i="14" s="1"/>
  <c r="Z42" i="14"/>
  <c r="AC51" i="14"/>
  <c r="Z51" i="14"/>
  <c r="AC52" i="14"/>
  <c r="AC74" i="14"/>
  <c r="Z74" i="14"/>
  <c r="AC86" i="14"/>
  <c r="AC41" i="14"/>
  <c r="AC46" i="14"/>
  <c r="Z46" i="14"/>
  <c r="AC55" i="14"/>
  <c r="Z55" i="14"/>
  <c r="Z69" i="14"/>
  <c r="X72" i="14"/>
  <c r="AC73" i="14"/>
  <c r="AC78" i="14"/>
  <c r="Z78" i="14"/>
  <c r="AC62" i="14"/>
  <c r="Z62" i="14"/>
  <c r="AC43" i="14"/>
  <c r="Z43" i="14"/>
  <c r="Z41" i="14"/>
  <c r="X44" i="14"/>
  <c r="AD44" i="14" s="1"/>
  <c r="AE44" i="14" s="1"/>
  <c r="AC45" i="14"/>
  <c r="AC50" i="14"/>
  <c r="AD50" i="14" s="1"/>
  <c r="AE50" i="14" s="1"/>
  <c r="Z50" i="14"/>
  <c r="X53" i="14"/>
  <c r="AC59" i="14"/>
  <c r="Z59" i="14"/>
  <c r="AC60" i="14"/>
  <c r="Z73" i="14"/>
  <c r="AD76" i="14"/>
  <c r="AE76" i="14" s="1"/>
  <c r="AC77" i="14"/>
  <c r="X84" i="14"/>
  <c r="AD84" i="14" s="1"/>
  <c r="AE84" i="14" s="1"/>
  <c r="Z85" i="14"/>
  <c r="AC39" i="14"/>
  <c r="Z39" i="14"/>
  <c r="AC71" i="14"/>
  <c r="Z71" i="14"/>
  <c r="Z57" i="14"/>
  <c r="AC66" i="14"/>
  <c r="Z66" i="14"/>
  <c r="X39" i="14"/>
  <c r="X48" i="14"/>
  <c r="AC49" i="14"/>
  <c r="AC54" i="14"/>
  <c r="Z54" i="14"/>
  <c r="AD57" i="14"/>
  <c r="AE57" i="14" s="1"/>
  <c r="AC63" i="14"/>
  <c r="Z63" i="14"/>
  <c r="X71" i="14"/>
  <c r="AC53" i="14"/>
  <c r="AC58" i="14"/>
  <c r="Z58" i="14"/>
  <c r="X61" i="14"/>
  <c r="AD61" i="14" s="1"/>
  <c r="AE61" i="14" s="1"/>
  <c r="AC67" i="14"/>
  <c r="Z67" i="14"/>
  <c r="X75" i="14"/>
  <c r="Z82" i="14"/>
  <c r="Z86" i="14"/>
  <c r="AC53" i="11"/>
  <c r="AD53" i="11" s="1"/>
  <c r="AE53" i="11" s="1"/>
  <c r="AC45" i="11"/>
  <c r="AC51" i="11"/>
  <c r="Z44" i="11"/>
  <c r="Z50" i="11"/>
  <c r="AC41" i="11"/>
  <c r="Z38" i="11"/>
  <c r="AD38" i="11"/>
  <c r="AE38" i="11" s="1"/>
  <c r="Z14" i="11"/>
  <c r="Z20" i="11"/>
  <c r="AC29" i="11"/>
  <c r="AD29" i="11" s="1"/>
  <c r="AE29" i="11" s="1"/>
  <c r="AD32" i="11"/>
  <c r="AE32" i="11" s="1"/>
  <c r="Z32" i="11"/>
  <c r="AD20" i="11"/>
  <c r="AE20" i="11" s="1"/>
  <c r="AD23" i="11"/>
  <c r="AE23" i="11" s="1"/>
  <c r="AD26" i="11"/>
  <c r="AE26" i="11" s="1"/>
  <c r="AD50" i="11"/>
  <c r="AE50" i="11" s="1"/>
  <c r="AD14" i="11"/>
  <c r="AE14" i="11" s="1"/>
  <c r="AD17" i="11"/>
  <c r="AE17" i="11" s="1"/>
  <c r="AD34" i="11"/>
  <c r="AE34" i="11" s="1"/>
  <c r="AD16" i="11"/>
  <c r="AE16" i="11" s="1"/>
  <c r="AD19" i="11"/>
  <c r="AE19" i="11" s="1"/>
  <c r="AD37" i="11"/>
  <c r="AE37" i="11" s="1"/>
  <c r="AD25" i="11"/>
  <c r="AE25" i="11" s="1"/>
  <c r="AD43" i="11"/>
  <c r="AE43" i="11" s="1"/>
  <c r="AD13" i="11"/>
  <c r="AE13" i="11" s="1"/>
  <c r="AD24" i="11"/>
  <c r="AE24" i="11" s="1"/>
  <c r="AD30" i="11"/>
  <c r="AE30" i="11" s="1"/>
  <c r="Z11" i="11"/>
  <c r="Z15" i="11"/>
  <c r="Z19" i="11"/>
  <c r="Z23" i="11"/>
  <c r="Z27" i="11"/>
  <c r="Z31" i="11"/>
  <c r="Z35" i="11"/>
  <c r="Z47" i="11"/>
  <c r="AD10" i="11"/>
  <c r="AE10" i="11" s="1"/>
  <c r="AC59" i="10"/>
  <c r="AD59" i="10" s="1"/>
  <c r="AE59" i="10" s="1"/>
  <c r="AC61" i="10"/>
  <c r="AD50" i="10"/>
  <c r="AE50" i="10" s="1"/>
  <c r="AC11" i="10"/>
  <c r="AD11" i="10" s="1"/>
  <c r="AE11" i="10" s="1"/>
  <c r="AC23" i="10"/>
  <c r="Z32" i="10"/>
  <c r="AD14" i="10"/>
  <c r="AE14" i="10" s="1"/>
  <c r="AD18" i="10"/>
  <c r="AE18" i="10" s="1"/>
  <c r="AC10" i="10"/>
  <c r="AD10" i="10" s="1"/>
  <c r="AE10" i="10" s="1"/>
  <c r="Z13" i="10"/>
  <c r="Z17" i="10"/>
  <c r="Z21" i="10"/>
  <c r="Z25" i="10"/>
  <c r="Z29" i="10"/>
  <c r="Z14" i="10"/>
  <c r="Z18" i="10"/>
  <c r="Z22" i="10"/>
  <c r="Z26" i="10"/>
  <c r="Z30" i="10"/>
  <c r="AC41" i="10"/>
  <c r="AC43" i="10"/>
  <c r="AC38" i="8"/>
  <c r="AC15" i="7"/>
  <c r="AD15" i="7" s="1"/>
  <c r="AE15" i="7" s="1"/>
  <c r="AC18" i="7"/>
  <c r="AC23" i="7"/>
  <c r="X27" i="7"/>
  <c r="AC30" i="7"/>
  <c r="AD30" i="7" s="1"/>
  <c r="AE30" i="7" s="1"/>
  <c r="AD21" i="7"/>
  <c r="AE21" i="7" s="1"/>
  <c r="Z11" i="7"/>
  <c r="Z9" i="7"/>
  <c r="AC8" i="7"/>
  <c r="AD8" i="7" s="1"/>
  <c r="AE8" i="7" s="1"/>
  <c r="AC17" i="7"/>
  <c r="AD17" i="7" s="1"/>
  <c r="AE17" i="7" s="1"/>
  <c r="AC19" i="7"/>
  <c r="AD19" i="7" s="1"/>
  <c r="AE19" i="7" s="1"/>
  <c r="AC29" i="7"/>
  <c r="AC33" i="7"/>
  <c r="X39" i="7"/>
  <c r="X41" i="7"/>
  <c r="AC25" i="7"/>
  <c r="AC7" i="7"/>
  <c r="AD7" i="7" s="1"/>
  <c r="AC10" i="7"/>
  <c r="AD10" i="7" s="1"/>
  <c r="AE10" i="7" s="1"/>
  <c r="AD12" i="7"/>
  <c r="AE12" i="7" s="1"/>
  <c r="X18" i="7"/>
  <c r="Z19" i="7"/>
  <c r="AD23" i="7"/>
  <c r="AE23" i="7" s="1"/>
  <c r="AC26" i="7"/>
  <c r="AD26" i="7" s="1"/>
  <c r="AE26" i="7" s="1"/>
  <c r="AD9" i="7"/>
  <c r="AE9" i="7" s="1"/>
  <c r="AC16" i="7"/>
  <c r="AD16" i="7" s="1"/>
  <c r="AE16" i="7" s="1"/>
  <c r="AC41" i="7"/>
  <c r="AC40" i="7"/>
  <c r="Z41" i="7"/>
  <c r="X38" i="7"/>
  <c r="AC31" i="7"/>
  <c r="AD31" i="7" s="1"/>
  <c r="AE31" i="7" s="1"/>
  <c r="AC28" i="7"/>
  <c r="AD14" i="7"/>
  <c r="AE14" i="7" s="1"/>
  <c r="AC20" i="7"/>
  <c r="AD20" i="7" s="1"/>
  <c r="AE20" i="7" s="1"/>
  <c r="Z23" i="7"/>
  <c r="AC24" i="7"/>
  <c r="AC27" i="7"/>
  <c r="AD19" i="12"/>
  <c r="AE19" i="12" s="1"/>
  <c r="AD7" i="12"/>
  <c r="AD28" i="12"/>
  <c r="AE28" i="12" s="1"/>
  <c r="AD30" i="12"/>
  <c r="AE30" i="12" s="1"/>
  <c r="AC35" i="12"/>
  <c r="Z35" i="12"/>
  <c r="AC36" i="12"/>
  <c r="Z49" i="12"/>
  <c r="X52" i="12"/>
  <c r="AC53" i="12"/>
  <c r="AC58" i="12"/>
  <c r="AD58" i="12" s="1"/>
  <c r="AE58" i="12" s="1"/>
  <c r="Z58" i="12"/>
  <c r="X61" i="12"/>
  <c r="AC50" i="12"/>
  <c r="Z50" i="12"/>
  <c r="AC54" i="12"/>
  <c r="Z54" i="12"/>
  <c r="AC9" i="12"/>
  <c r="AD9" i="12" s="1"/>
  <c r="AE9" i="12" s="1"/>
  <c r="Z10" i="12"/>
  <c r="AC13" i="12"/>
  <c r="Z14" i="12"/>
  <c r="AC17" i="12"/>
  <c r="AD17" i="12" s="1"/>
  <c r="AE17" i="12" s="1"/>
  <c r="AC21" i="12"/>
  <c r="AD21" i="12" s="1"/>
  <c r="AE21" i="12" s="1"/>
  <c r="AC25" i="12"/>
  <c r="AC39" i="12"/>
  <c r="Z39" i="12"/>
  <c r="AC40" i="12"/>
  <c r="AC62" i="12"/>
  <c r="AD62" i="12" s="1"/>
  <c r="AE62" i="12" s="1"/>
  <c r="Z62" i="12"/>
  <c r="AC34" i="12"/>
  <c r="Z34" i="12"/>
  <c r="AC43" i="12"/>
  <c r="Z43" i="12"/>
  <c r="Z57" i="12"/>
  <c r="AC59" i="12"/>
  <c r="Z59" i="12"/>
  <c r="Z7" i="12"/>
  <c r="Z19" i="12"/>
  <c r="Z27" i="12"/>
  <c r="Z31" i="12"/>
  <c r="AC38" i="12"/>
  <c r="Z38" i="12"/>
  <c r="AC47" i="12"/>
  <c r="Z47" i="12"/>
  <c r="AC48" i="12"/>
  <c r="Z61" i="12"/>
  <c r="Z45" i="12"/>
  <c r="AC63" i="12"/>
  <c r="Z63" i="12"/>
  <c r="Z33" i="12"/>
  <c r="X36" i="12"/>
  <c r="AC37" i="12"/>
  <c r="AD37" i="12" s="1"/>
  <c r="AE37" i="12" s="1"/>
  <c r="AC42" i="12"/>
  <c r="Z42" i="12"/>
  <c r="X45" i="12"/>
  <c r="AD45" i="12" s="1"/>
  <c r="AE45" i="12" s="1"/>
  <c r="AC51" i="12"/>
  <c r="Z51" i="12"/>
  <c r="AC52" i="12"/>
  <c r="AC41" i="12"/>
  <c r="AC46" i="12"/>
  <c r="Z46" i="12"/>
  <c r="X49" i="12"/>
  <c r="AC55" i="12"/>
  <c r="Z55" i="12"/>
  <c r="AC56" i="12"/>
  <c r="X63" i="12"/>
  <c r="AC56" i="11"/>
  <c r="Z56" i="11"/>
  <c r="AD7" i="11"/>
  <c r="Z10" i="11"/>
  <c r="Z57" i="11"/>
  <c r="AC57" i="11"/>
  <c r="AC8" i="11"/>
  <c r="AD8" i="11" s="1"/>
  <c r="AE8" i="11" s="1"/>
  <c r="AC58" i="11"/>
  <c r="Z54" i="11"/>
  <c r="AC55" i="11"/>
  <c r="AC60" i="11"/>
  <c r="AD57" i="10"/>
  <c r="AE57" i="10" s="1"/>
  <c r="Z38" i="10"/>
  <c r="Z54" i="10"/>
  <c r="AC55" i="10"/>
  <c r="AD55" i="10" s="1"/>
  <c r="AE55" i="10" s="1"/>
  <c r="Z34" i="10"/>
  <c r="AC37" i="10"/>
  <c r="AD37" i="10" s="1"/>
  <c r="AE37" i="10" s="1"/>
  <c r="AC48" i="10"/>
  <c r="AD48" i="10" s="1"/>
  <c r="AE48" i="10" s="1"/>
  <c r="Z50" i="10"/>
  <c r="AC53" i="10"/>
  <c r="AD53" i="10" s="1"/>
  <c r="AE53" i="10" s="1"/>
  <c r="AC64" i="10"/>
  <c r="Z66" i="10"/>
  <c r="AC39" i="10"/>
  <c r="AD39" i="10" s="1"/>
  <c r="AE39" i="10" s="1"/>
  <c r="AC7" i="10"/>
  <c r="AC35" i="10"/>
  <c r="AC51" i="10"/>
  <c r="AD51" i="10" s="1"/>
  <c r="AE51" i="10" s="1"/>
  <c r="AC67" i="10"/>
  <c r="Z36" i="10"/>
  <c r="AC44" i="10"/>
  <c r="Z46" i="10"/>
  <c r="AC60" i="10"/>
  <c r="AD60" i="10" s="1"/>
  <c r="AE60" i="10" s="1"/>
  <c r="Z62" i="10"/>
  <c r="AC42" i="10"/>
  <c r="AD42" i="10" s="1"/>
  <c r="AE42" i="10" s="1"/>
  <c r="Z44" i="10"/>
  <c r="AC47" i="10"/>
  <c r="AC58" i="10"/>
  <c r="Z60" i="10"/>
  <c r="AC63" i="10"/>
  <c r="AD36" i="10"/>
  <c r="AE36" i="10" s="1"/>
  <c r="AC40" i="10"/>
  <c r="AD52" i="10"/>
  <c r="AE52" i="10" s="1"/>
  <c r="AC56" i="10"/>
  <c r="AD56" i="10" s="1"/>
  <c r="AE56" i="10" s="1"/>
  <c r="X68" i="10"/>
  <c r="AD68" i="10" s="1"/>
  <c r="AE68" i="10" s="1"/>
  <c r="AD29" i="8"/>
  <c r="AE29" i="8" s="1"/>
  <c r="AD8" i="8"/>
  <c r="AE8" i="8" s="1"/>
  <c r="AD17" i="8"/>
  <c r="AE17" i="8" s="1"/>
  <c r="AD13" i="8"/>
  <c r="AE13" i="8" s="1"/>
  <c r="AD24" i="8"/>
  <c r="AE24" i="8" s="1"/>
  <c r="AD31" i="8"/>
  <c r="AE31" i="8" s="1"/>
  <c r="AD12" i="8"/>
  <c r="AE12" i="8" s="1"/>
  <c r="AD19" i="8"/>
  <c r="AE19" i="8" s="1"/>
  <c r="AD28" i="8"/>
  <c r="AE28" i="8" s="1"/>
  <c r="AD36" i="8"/>
  <c r="AE36" i="8" s="1"/>
  <c r="AD40" i="8"/>
  <c r="AE40" i="8" s="1"/>
  <c r="AD7" i="8"/>
  <c r="AD16" i="8"/>
  <c r="AE16" i="8" s="1"/>
  <c r="Z7" i="8"/>
  <c r="AC10" i="8"/>
  <c r="AD10" i="8" s="1"/>
  <c r="AE10" i="8" s="1"/>
  <c r="Z11" i="8"/>
  <c r="AC14" i="8"/>
  <c r="AD14" i="8" s="1"/>
  <c r="AE14" i="8" s="1"/>
  <c r="Z15" i="8"/>
  <c r="AC18" i="8"/>
  <c r="AD18" i="8" s="1"/>
  <c r="AE18" i="8" s="1"/>
  <c r="Z19" i="8"/>
  <c r="AC22" i="8"/>
  <c r="Z23" i="8"/>
  <c r="AC26" i="8"/>
  <c r="AD26" i="8" s="1"/>
  <c r="AE26" i="8" s="1"/>
  <c r="Z27" i="8"/>
  <c r="AC30" i="8"/>
  <c r="Z31" i="8"/>
  <c r="Z40" i="8"/>
  <c r="AC41" i="8"/>
  <c r="AC48" i="8"/>
  <c r="Z51" i="8"/>
  <c r="AC59" i="8"/>
  <c r="AD59" i="8" s="1"/>
  <c r="AE59" i="8" s="1"/>
  <c r="AD35" i="8"/>
  <c r="AE35" i="8" s="1"/>
  <c r="Z41" i="8"/>
  <c r="AC50" i="8"/>
  <c r="AC53" i="8"/>
  <c r="AD53" i="8" s="1"/>
  <c r="AE53" i="8" s="1"/>
  <c r="Z33" i="8"/>
  <c r="Z44" i="8"/>
  <c r="Z55" i="8"/>
  <c r="Z9" i="8"/>
  <c r="Z13" i="8"/>
  <c r="Z17" i="8"/>
  <c r="Z21" i="8"/>
  <c r="Z25" i="8"/>
  <c r="Z29" i="8"/>
  <c r="Z35" i="8"/>
  <c r="Z45" i="8"/>
  <c r="AC54" i="8"/>
  <c r="AD54" i="8" s="1"/>
  <c r="AE54" i="8" s="1"/>
  <c r="Z56" i="8"/>
  <c r="AC57" i="8"/>
  <c r="AC34" i="8"/>
  <c r="AD34" i="8" s="1"/>
  <c r="AE34" i="8" s="1"/>
  <c r="AC37" i="8"/>
  <c r="AD37" i="8" s="1"/>
  <c r="AE37" i="8" s="1"/>
  <c r="Z37" i="8"/>
  <c r="AD22" i="7"/>
  <c r="AE22" i="7" s="1"/>
  <c r="AD13" i="7"/>
  <c r="AE13" i="7" s="1"/>
  <c r="AC35" i="7"/>
  <c r="Z35" i="7"/>
  <c r="AC36" i="7"/>
  <c r="Z10" i="7"/>
  <c r="Z14" i="7"/>
  <c r="Z18" i="7"/>
  <c r="Z22" i="7"/>
  <c r="Z26" i="7"/>
  <c r="Z30" i="7"/>
  <c r="AC38" i="7"/>
  <c r="Z38" i="7"/>
  <c r="Z33" i="7"/>
  <c r="X36" i="7"/>
  <c r="AC37" i="7"/>
  <c r="X40" i="7"/>
  <c r="AC39" i="7"/>
  <c r="Z39" i="7"/>
  <c r="AC34" i="7"/>
  <c r="AD34" i="7" s="1"/>
  <c r="AE34" i="7" s="1"/>
  <c r="Z34" i="7"/>
  <c r="AC24" i="6"/>
  <c r="X48" i="6"/>
  <c r="AC30" i="6"/>
  <c r="AC42" i="6"/>
  <c r="X38" i="6"/>
  <c r="X45" i="6"/>
  <c r="AC9" i="6"/>
  <c r="AC38" i="6"/>
  <c r="AC10" i="6"/>
  <c r="AC26" i="6"/>
  <c r="AC15" i="6"/>
  <c r="X33" i="6"/>
  <c r="X44" i="6"/>
  <c r="AC16" i="6"/>
  <c r="AC35" i="6"/>
  <c r="X31" i="6"/>
  <c r="X40" i="6"/>
  <c r="X36" i="6"/>
  <c r="X43" i="6"/>
  <c r="X34" i="6"/>
  <c r="AC23" i="6"/>
  <c r="X15" i="6"/>
  <c r="Z9" i="6"/>
  <c r="AC45" i="6"/>
  <c r="AC14" i="6"/>
  <c r="AC32" i="6"/>
  <c r="AC39" i="6"/>
  <c r="X37" i="6"/>
  <c r="AC31" i="6"/>
  <c r="X20" i="6"/>
  <c r="AC49" i="6"/>
  <c r="X23" i="6"/>
  <c r="AC19" i="6"/>
  <c r="Z32" i="6"/>
  <c r="Z19" i="6"/>
  <c r="Z16" i="6"/>
  <c r="AC11" i="6"/>
  <c r="X47" i="6"/>
  <c r="AC8" i="6"/>
  <c r="AC36" i="6"/>
  <c r="X35" i="6"/>
  <c r="X32" i="6"/>
  <c r="X29" i="6"/>
  <c r="AC20" i="6"/>
  <c r="AC46" i="6"/>
  <c r="AC27" i="6"/>
  <c r="X22" i="6"/>
  <c r="Z39" i="6"/>
  <c r="AC34" i="6"/>
  <c r="Z24" i="6"/>
  <c r="AC18" i="6"/>
  <c r="AC22" i="6"/>
  <c r="X14" i="6"/>
  <c r="X46" i="6"/>
  <c r="AC41" i="6"/>
  <c r="X39" i="6"/>
  <c r="AC28" i="6"/>
  <c r="X24" i="6"/>
  <c r="AC12" i="6"/>
  <c r="X11" i="6"/>
  <c r="X49" i="6"/>
  <c r="AC47" i="6"/>
  <c r="Z48" i="6"/>
  <c r="AC48" i="6"/>
  <c r="AC43" i="6"/>
  <c r="Z44" i="6"/>
  <c r="AC44" i="6"/>
  <c r="AC40" i="6"/>
  <c r="AC37" i="6"/>
  <c r="AC33" i="6"/>
  <c r="AC29" i="6"/>
  <c r="AC25" i="6"/>
  <c r="AC21" i="6"/>
  <c r="AC17" i="6"/>
  <c r="AC13" i="6"/>
  <c r="AJ51" i="6"/>
  <c r="AI51" i="6"/>
  <c r="AH51" i="6"/>
  <c r="AG51" i="6"/>
  <c r="AF51" i="6"/>
  <c r="AB7" i="6"/>
  <c r="AD66" i="14" l="1"/>
  <c r="AE66" i="14" s="1"/>
  <c r="AD38" i="14"/>
  <c r="AE38" i="14" s="1"/>
  <c r="AD56" i="12"/>
  <c r="AE56" i="12" s="1"/>
  <c r="AD47" i="10"/>
  <c r="AE47" i="10" s="1"/>
  <c r="AD40" i="7"/>
  <c r="AE40" i="7" s="1"/>
  <c r="AD48" i="11"/>
  <c r="AE48" i="11" s="1"/>
  <c r="AD61" i="8"/>
  <c r="AE61" i="8" s="1"/>
  <c r="AD53" i="16"/>
  <c r="AE53" i="16" s="1"/>
  <c r="AD29" i="10"/>
  <c r="AE29" i="10" s="1"/>
  <c r="AD77" i="16"/>
  <c r="AE77" i="16" s="1"/>
  <c r="AD40" i="15"/>
  <c r="AE40" i="15" s="1"/>
  <c r="AD46" i="8"/>
  <c r="AE46" i="8" s="1"/>
  <c r="AD11" i="15"/>
  <c r="AE11" i="15" s="1"/>
  <c r="AD49" i="15"/>
  <c r="AE49" i="15" s="1"/>
  <c r="AD80" i="14"/>
  <c r="AE80" i="14" s="1"/>
  <c r="AD18" i="12"/>
  <c r="AE18" i="12" s="1"/>
  <c r="AD30" i="10"/>
  <c r="AE30" i="10" s="1"/>
  <c r="AD29" i="15"/>
  <c r="AE29" i="15" s="1"/>
  <c r="AD41" i="7"/>
  <c r="AE41" i="7" s="1"/>
  <c r="AD13" i="16"/>
  <c r="AE13" i="16" s="1"/>
  <c r="AD32" i="8"/>
  <c r="AE32" i="8" s="1"/>
  <c r="AD14" i="12"/>
  <c r="AE14" i="12" s="1"/>
  <c r="AD11" i="7"/>
  <c r="AE11" i="7" s="1"/>
  <c r="AD72" i="14"/>
  <c r="AE72" i="14" s="1"/>
  <c r="AD22" i="12"/>
  <c r="AE22" i="12" s="1"/>
  <c r="AD54" i="10"/>
  <c r="AE54" i="10" s="1"/>
  <c r="AD41" i="8"/>
  <c r="AE41" i="8" s="1"/>
  <c r="AD23" i="10"/>
  <c r="AE23" i="10" s="1"/>
  <c r="AD62" i="14"/>
  <c r="AE62" i="14" s="1"/>
  <c r="AD20" i="16"/>
  <c r="AE20" i="16" s="1"/>
  <c r="AD60" i="11"/>
  <c r="AE60" i="11" s="1"/>
  <c r="AD33" i="7"/>
  <c r="AE33" i="7" s="1"/>
  <c r="AD71" i="16"/>
  <c r="AE71" i="16" s="1"/>
  <c r="AD39" i="15"/>
  <c r="AE39" i="15" s="1"/>
  <c r="AD47" i="16"/>
  <c r="AE47" i="16" s="1"/>
  <c r="AD46" i="15"/>
  <c r="AE46" i="15" s="1"/>
  <c r="AD12" i="15"/>
  <c r="AE12" i="15" s="1"/>
  <c r="AD48" i="12"/>
  <c r="AE48" i="12" s="1"/>
  <c r="AD35" i="12"/>
  <c r="AE35" i="12" s="1"/>
  <c r="AD59" i="12"/>
  <c r="AE59" i="12" s="1"/>
  <c r="AD70" i="14"/>
  <c r="AE70" i="14" s="1"/>
  <c r="AD73" i="14"/>
  <c r="AE73" i="14" s="1"/>
  <c r="AD86" i="14"/>
  <c r="AE86" i="14" s="1"/>
  <c r="AD81" i="14"/>
  <c r="AE81" i="14" s="1"/>
  <c r="AD69" i="14"/>
  <c r="AE69" i="14" s="1"/>
  <c r="AD60" i="14"/>
  <c r="AE60" i="14" s="1"/>
  <c r="AD67" i="14"/>
  <c r="AE67" i="14" s="1"/>
  <c r="AD51" i="15"/>
  <c r="AE51" i="15" s="1"/>
  <c r="AD32" i="15"/>
  <c r="AE32" i="15" s="1"/>
  <c r="AD25" i="15"/>
  <c r="AE25" i="15" s="1"/>
  <c r="AD54" i="15"/>
  <c r="AE54" i="15" s="1"/>
  <c r="AD15" i="15"/>
  <c r="AE15" i="15" s="1"/>
  <c r="AD30" i="15"/>
  <c r="AE30" i="15" s="1"/>
  <c r="AD18" i="15"/>
  <c r="AE18" i="15" s="1"/>
  <c r="AD55" i="15"/>
  <c r="AE55" i="15" s="1"/>
  <c r="AD47" i="15"/>
  <c r="AE47" i="15" s="1"/>
  <c r="AD55" i="11"/>
  <c r="AE55" i="11" s="1"/>
  <c r="AD40" i="10"/>
  <c r="AE40" i="10" s="1"/>
  <c r="AD36" i="15"/>
  <c r="AE36" i="15" s="1"/>
  <c r="AD54" i="14"/>
  <c r="AE54" i="14" s="1"/>
  <c r="AD14" i="15"/>
  <c r="AE14" i="15" s="1"/>
  <c r="AD25" i="7"/>
  <c r="AE25" i="7" s="1"/>
  <c r="AD83" i="14"/>
  <c r="AE83" i="14" s="1"/>
  <c r="AD12" i="14"/>
  <c r="AE12" i="14" s="1"/>
  <c r="AD29" i="14"/>
  <c r="AE29" i="14" s="1"/>
  <c r="AD21" i="15"/>
  <c r="AE21" i="15" s="1"/>
  <c r="AD27" i="15"/>
  <c r="AE27" i="15" s="1"/>
  <c r="AD23" i="15"/>
  <c r="AE23" i="15" s="1"/>
  <c r="AD43" i="15"/>
  <c r="AE43" i="15" s="1"/>
  <c r="AD44" i="15"/>
  <c r="AE44" i="15" s="1"/>
  <c r="AD16" i="15"/>
  <c r="AE16" i="15" s="1"/>
  <c r="AD53" i="15"/>
  <c r="AE53" i="15" s="1"/>
  <c r="AD24" i="15"/>
  <c r="AE24" i="15" s="1"/>
  <c r="AD59" i="11"/>
  <c r="AE59" i="11" s="1"/>
  <c r="AD28" i="15"/>
  <c r="AE28" i="15" s="1"/>
  <c r="AD46" i="12"/>
  <c r="AE46" i="12" s="1"/>
  <c r="AD58" i="16"/>
  <c r="AE58" i="16" s="1"/>
  <c r="AD25" i="14"/>
  <c r="AE25" i="14" s="1"/>
  <c r="AD39" i="12"/>
  <c r="AE39" i="12" s="1"/>
  <c r="AD74" i="14"/>
  <c r="AE74" i="14" s="1"/>
  <c r="AD42" i="16"/>
  <c r="AE42" i="16" s="1"/>
  <c r="AD67" i="10"/>
  <c r="AE67" i="10" s="1"/>
  <c r="AD27" i="16"/>
  <c r="AE27" i="16" s="1"/>
  <c r="AD78" i="14"/>
  <c r="AE78" i="14" s="1"/>
  <c r="AD14" i="14"/>
  <c r="AE14" i="14" s="1"/>
  <c r="AD17" i="15"/>
  <c r="AE17" i="15" s="1"/>
  <c r="AD28" i="7"/>
  <c r="AE28" i="7" s="1"/>
  <c r="AD7" i="16"/>
  <c r="AE7" i="16" s="1"/>
  <c r="AD32" i="10"/>
  <c r="AE32" i="10" s="1"/>
  <c r="AD61" i="12"/>
  <c r="AE61" i="12" s="1"/>
  <c r="AD15" i="12"/>
  <c r="AE15" i="12" s="1"/>
  <c r="AD33" i="12"/>
  <c r="AE33" i="12" s="1"/>
  <c r="AD9" i="16"/>
  <c r="AE9" i="16" s="1"/>
  <c r="AD70" i="16"/>
  <c r="AE70" i="16" s="1"/>
  <c r="AD63" i="14"/>
  <c r="AE63" i="14" s="1"/>
  <c r="AD55" i="14"/>
  <c r="AE55" i="14" s="1"/>
  <c r="AD51" i="16"/>
  <c r="AE51" i="16" s="1"/>
  <c r="AD45" i="11"/>
  <c r="AE45" i="11" s="1"/>
  <c r="AD62" i="16"/>
  <c r="AE62" i="16" s="1"/>
  <c r="AD29" i="7"/>
  <c r="AE29" i="7" s="1"/>
  <c r="AD57" i="16"/>
  <c r="AE57" i="16" s="1"/>
  <c r="AD61" i="11"/>
  <c r="AE61" i="11" s="1"/>
  <c r="AD54" i="12"/>
  <c r="AE54" i="12" s="1"/>
  <c r="AD16" i="12"/>
  <c r="AE16" i="12" s="1"/>
  <c r="AD49" i="12"/>
  <c r="AE49" i="12" s="1"/>
  <c r="AD64" i="10"/>
  <c r="AE64" i="10" s="1"/>
  <c r="AD57" i="11"/>
  <c r="AE57" i="11" s="1"/>
  <c r="AD65" i="14"/>
  <c r="AE65" i="14" s="1"/>
  <c r="AD85" i="16"/>
  <c r="AE85" i="16" s="1"/>
  <c r="AD66" i="16"/>
  <c r="AE66" i="16" s="1"/>
  <c r="AD35" i="16"/>
  <c r="AE35" i="16" s="1"/>
  <c r="AD43" i="12"/>
  <c r="AE43" i="12" s="1"/>
  <c r="AD72" i="16"/>
  <c r="AE72" i="16" s="1"/>
  <c r="AD38" i="7"/>
  <c r="AE38" i="7" s="1"/>
  <c r="AD32" i="16"/>
  <c r="AE32" i="16" s="1"/>
  <c r="AD80" i="16"/>
  <c r="AE80" i="16" s="1"/>
  <c r="AD64" i="16"/>
  <c r="AE64" i="16" s="1"/>
  <c r="AD13" i="12"/>
  <c r="AE13" i="12" s="1"/>
  <c r="AD41" i="12"/>
  <c r="AE41" i="12" s="1"/>
  <c r="AD34" i="12"/>
  <c r="AE34" i="12" s="1"/>
  <c r="AD61" i="10"/>
  <c r="AE61" i="10" s="1"/>
  <c r="AD43" i="14"/>
  <c r="AE43" i="14" s="1"/>
  <c r="AD41" i="14"/>
  <c r="AE41" i="14" s="1"/>
  <c r="AD51" i="14"/>
  <c r="AE51" i="14" s="1"/>
  <c r="AD79" i="14"/>
  <c r="AE79" i="14" s="1"/>
  <c r="AD23" i="14"/>
  <c r="AE23" i="14" s="1"/>
  <c r="AD39" i="16"/>
  <c r="AE39" i="16" s="1"/>
  <c r="AD41" i="10"/>
  <c r="AE41" i="10" s="1"/>
  <c r="AD93" i="16"/>
  <c r="AE93" i="16" s="1"/>
  <c r="AD97" i="16"/>
  <c r="AE97" i="16" s="1"/>
  <c r="AD54" i="11"/>
  <c r="AE54" i="11" s="1"/>
  <c r="AD58" i="11"/>
  <c r="AE58" i="11" s="1"/>
  <c r="AD24" i="10"/>
  <c r="AE24" i="10" s="1"/>
  <c r="AD28" i="10"/>
  <c r="AE28" i="10" s="1"/>
  <c r="AD35" i="14"/>
  <c r="AE35" i="14" s="1"/>
  <c r="AD19" i="14"/>
  <c r="AE19" i="14" s="1"/>
  <c r="AD82" i="16"/>
  <c r="AE82" i="16" s="1"/>
  <c r="AD83" i="16"/>
  <c r="AE83" i="16" s="1"/>
  <c r="AD84" i="16"/>
  <c r="AE84" i="16" s="1"/>
  <c r="AD69" i="16"/>
  <c r="AE69" i="16" s="1"/>
  <c r="AD15" i="16"/>
  <c r="AE15" i="16" s="1"/>
  <c r="AD44" i="16"/>
  <c r="AE44" i="16" s="1"/>
  <c r="AD45" i="14"/>
  <c r="AE45" i="14" s="1"/>
  <c r="AD56" i="15"/>
  <c r="AE56" i="15" s="1"/>
  <c r="AD26" i="16"/>
  <c r="AE26" i="16" s="1"/>
  <c r="AD63" i="16"/>
  <c r="AE63" i="16" s="1"/>
  <c r="AD31" i="16"/>
  <c r="AE31" i="16" s="1"/>
  <c r="AD53" i="12"/>
  <c r="AE53" i="12" s="1"/>
  <c r="AD35" i="7"/>
  <c r="AE35" i="7" s="1"/>
  <c r="AD71" i="14"/>
  <c r="AE71" i="14" s="1"/>
  <c r="AD33" i="16"/>
  <c r="AE33" i="16" s="1"/>
  <c r="AD50" i="8"/>
  <c r="AE50" i="8" s="1"/>
  <c r="AD49" i="14"/>
  <c r="AE49" i="14" s="1"/>
  <c r="AD57" i="15"/>
  <c r="AE57" i="15" s="1"/>
  <c r="AD88" i="16"/>
  <c r="AE88" i="16" s="1"/>
  <c r="AD57" i="8"/>
  <c r="AE57" i="8" s="1"/>
  <c r="AD58" i="10"/>
  <c r="AE58" i="10" s="1"/>
  <c r="AD38" i="8"/>
  <c r="AE38" i="8" s="1"/>
  <c r="AD58" i="8"/>
  <c r="AE58" i="8" s="1"/>
  <c r="AD56" i="11"/>
  <c r="AE56" i="11" s="1"/>
  <c r="AD24" i="7"/>
  <c r="AE24" i="7" s="1"/>
  <c r="AD52" i="14"/>
  <c r="AE52" i="14" s="1"/>
  <c r="AD96" i="16"/>
  <c r="AE96" i="16" s="1"/>
  <c r="AD81" i="16"/>
  <c r="AE81" i="16" s="1"/>
  <c r="AD67" i="16"/>
  <c r="AE67" i="16" s="1"/>
  <c r="AD39" i="7"/>
  <c r="AE39" i="7" s="1"/>
  <c r="AD48" i="8"/>
  <c r="AE48" i="8" s="1"/>
  <c r="AD22" i="8"/>
  <c r="AE22" i="8" s="1"/>
  <c r="AD44" i="10"/>
  <c r="AE44" i="10" s="1"/>
  <c r="AD40" i="12"/>
  <c r="AE40" i="12" s="1"/>
  <c r="AD43" i="10"/>
  <c r="AE43" i="10" s="1"/>
  <c r="AD59" i="14"/>
  <c r="AE59" i="14" s="1"/>
  <c r="AD46" i="14"/>
  <c r="AE46" i="14" s="1"/>
  <c r="AD94" i="16"/>
  <c r="AE94" i="16" s="1"/>
  <c r="AD38" i="16"/>
  <c r="AE38" i="16" s="1"/>
  <c r="AD11" i="16"/>
  <c r="AE11" i="16" s="1"/>
  <c r="AD43" i="16"/>
  <c r="AE43" i="16" s="1"/>
  <c r="AD21" i="16"/>
  <c r="AE21" i="16" s="1"/>
  <c r="AD37" i="7"/>
  <c r="AE37" i="7" s="1"/>
  <c r="AD63" i="10"/>
  <c r="AE63" i="10" s="1"/>
  <c r="AD55" i="12"/>
  <c r="AE55" i="12" s="1"/>
  <c r="AD51" i="12"/>
  <c r="AE51" i="12" s="1"/>
  <c r="AD41" i="11"/>
  <c r="AE41" i="11" s="1"/>
  <c r="AD31" i="15"/>
  <c r="AE31" i="15" s="1"/>
  <c r="AD86" i="16"/>
  <c r="AE86" i="16" s="1"/>
  <c r="AD30" i="16"/>
  <c r="AE30" i="16" s="1"/>
  <c r="AD47" i="12"/>
  <c r="AE47" i="12" s="1"/>
  <c r="AD25" i="12"/>
  <c r="AE25" i="12" s="1"/>
  <c r="AD77" i="14"/>
  <c r="AE77" i="14" s="1"/>
  <c r="AD52" i="15"/>
  <c r="AE52" i="15" s="1"/>
  <c r="AD90" i="16"/>
  <c r="AE90" i="16" s="1"/>
  <c r="AD79" i="16"/>
  <c r="AE79" i="16" s="1"/>
  <c r="AD19" i="16"/>
  <c r="AE19" i="16" s="1"/>
  <c r="AD17" i="16"/>
  <c r="AE17" i="16" s="1"/>
  <c r="AD58" i="14"/>
  <c r="AE58" i="14" s="1"/>
  <c r="AD30" i="8"/>
  <c r="AE30" i="8" s="1"/>
  <c r="AD35" i="10"/>
  <c r="AE35" i="10" s="1"/>
  <c r="AD42" i="12"/>
  <c r="AE42" i="12" s="1"/>
  <c r="AD50" i="12"/>
  <c r="AE50" i="12" s="1"/>
  <c r="AD51" i="11"/>
  <c r="AE51" i="11" s="1"/>
  <c r="AD53" i="14"/>
  <c r="AE53" i="14" s="1"/>
  <c r="AD75" i="14"/>
  <c r="AE75" i="14" s="1"/>
  <c r="AD48" i="15"/>
  <c r="AE48" i="15" s="1"/>
  <c r="AD74" i="16"/>
  <c r="AE74" i="16" s="1"/>
  <c r="AD75" i="16"/>
  <c r="AE75" i="16" s="1"/>
  <c r="AD68" i="16"/>
  <c r="AE68" i="16" s="1"/>
  <c r="AD59" i="16"/>
  <c r="AE59" i="16" s="1"/>
  <c r="AD36" i="16"/>
  <c r="AE36" i="16" s="1"/>
  <c r="AD29" i="16"/>
  <c r="AE29" i="16" s="1"/>
  <c r="AD98" i="16"/>
  <c r="AE98" i="16" s="1"/>
  <c r="AD91" i="16"/>
  <c r="AE91" i="16" s="1"/>
  <c r="Z101" i="16"/>
  <c r="AD92" i="16"/>
  <c r="AE92" i="16" s="1"/>
  <c r="AD87" i="16"/>
  <c r="AE87" i="16" s="1"/>
  <c r="AD95" i="16"/>
  <c r="AE95" i="16" s="1"/>
  <c r="AC101" i="16"/>
  <c r="AD45" i="15"/>
  <c r="AE45" i="15" s="1"/>
  <c r="Z60" i="15"/>
  <c r="AC60" i="15"/>
  <c r="AD38" i="12"/>
  <c r="AE38" i="12" s="1"/>
  <c r="AD39" i="14"/>
  <c r="AE39" i="14" s="1"/>
  <c r="AD48" i="14"/>
  <c r="AE48" i="14" s="1"/>
  <c r="Z88" i="14"/>
  <c r="AE7" i="14"/>
  <c r="AC88" i="14"/>
  <c r="Z63" i="11"/>
  <c r="Z70" i="10"/>
  <c r="AD36" i="7"/>
  <c r="AE36" i="7" s="1"/>
  <c r="AD27" i="7"/>
  <c r="AE27" i="7" s="1"/>
  <c r="AD18" i="7"/>
  <c r="AE18" i="7" s="1"/>
  <c r="Z43" i="7"/>
  <c r="AE7" i="12"/>
  <c r="AC65" i="12"/>
  <c r="AD63" i="12"/>
  <c r="AE63" i="12" s="1"/>
  <c r="Z65" i="12"/>
  <c r="AD36" i="12"/>
  <c r="AE36" i="12" s="1"/>
  <c r="AD52" i="12"/>
  <c r="AE52" i="12" s="1"/>
  <c r="AC63" i="11"/>
  <c r="AE7" i="11"/>
  <c r="AC70" i="10"/>
  <c r="AD7" i="10"/>
  <c r="AC63" i="8"/>
  <c r="Z63" i="8"/>
  <c r="AE7" i="8"/>
  <c r="AE7" i="7"/>
  <c r="AC43" i="7"/>
  <c r="AD48" i="6"/>
  <c r="AE48" i="6" s="1"/>
  <c r="AD16" i="6"/>
  <c r="AE16" i="6" s="1"/>
  <c r="AD44" i="6"/>
  <c r="AE44" i="6" s="1"/>
  <c r="AD21" i="6"/>
  <c r="AE21" i="6" s="1"/>
  <c r="AD39" i="6"/>
  <c r="AE39" i="6" s="1"/>
  <c r="AD24" i="6"/>
  <c r="AE24" i="6" s="1"/>
  <c r="AD22" i="6"/>
  <c r="AE22" i="6" s="1"/>
  <c r="AD26" i="6"/>
  <c r="AE26" i="6" s="1"/>
  <c r="AD40" i="6"/>
  <c r="AE40" i="6" s="1"/>
  <c r="AD45" i="6"/>
  <c r="AE45" i="6" s="1"/>
  <c r="AD33" i="6"/>
  <c r="AE33" i="6" s="1"/>
  <c r="AD42" i="6"/>
  <c r="AE42" i="6" s="1"/>
  <c r="AD38" i="6"/>
  <c r="AE38" i="6" s="1"/>
  <c r="AD9" i="6"/>
  <c r="AE9" i="6" s="1"/>
  <c r="AD31" i="6"/>
  <c r="AE31" i="6" s="1"/>
  <c r="AD23" i="6"/>
  <c r="AE23" i="6" s="1"/>
  <c r="AD12" i="6"/>
  <c r="AE12" i="6" s="1"/>
  <c r="AD27" i="6"/>
  <c r="AE27" i="6" s="1"/>
  <c r="AD30" i="6"/>
  <c r="AE30" i="6" s="1"/>
  <c r="AD32" i="6"/>
  <c r="AE32" i="6" s="1"/>
  <c r="AD28" i="6"/>
  <c r="AE28" i="6" s="1"/>
  <c r="AD35" i="6"/>
  <c r="AE35" i="6" s="1"/>
  <c r="AD10" i="6"/>
  <c r="AE10" i="6" s="1"/>
  <c r="AD20" i="6"/>
  <c r="AE20" i="6" s="1"/>
  <c r="AD17" i="6"/>
  <c r="AE17" i="6" s="1"/>
  <c r="AD11" i="6"/>
  <c r="AE11" i="6" s="1"/>
  <c r="AD14" i="6"/>
  <c r="AE14" i="6" s="1"/>
  <c r="AD41" i="6"/>
  <c r="AE41" i="6" s="1"/>
  <c r="AD49" i="6"/>
  <c r="AE49" i="6" s="1"/>
  <c r="AD18" i="6"/>
  <c r="AE18" i="6" s="1"/>
  <c r="AD36" i="6"/>
  <c r="AE36" i="6" s="1"/>
  <c r="AD15" i="6"/>
  <c r="AE15" i="6" s="1"/>
  <c r="AD25" i="6"/>
  <c r="AE25" i="6" s="1"/>
  <c r="AC7" i="6"/>
  <c r="AD8" i="6"/>
  <c r="AE8" i="6" s="1"/>
  <c r="AD34" i="6"/>
  <c r="AE34" i="6" s="1"/>
  <c r="AD37" i="6"/>
  <c r="AE37" i="6" s="1"/>
  <c r="AD47" i="6"/>
  <c r="AE47" i="6" s="1"/>
  <c r="AD43" i="6"/>
  <c r="AE43" i="6" s="1"/>
  <c r="AD46" i="6"/>
  <c r="AE46" i="6" s="1"/>
  <c r="AD19" i="6"/>
  <c r="AE19" i="6" s="1"/>
  <c r="AD29" i="6"/>
  <c r="AE29" i="6" s="1"/>
  <c r="AD13" i="6"/>
  <c r="AE13" i="6" s="1"/>
  <c r="Z7" i="6"/>
  <c r="AD60" i="15" l="1"/>
  <c r="AE60" i="15" s="1"/>
  <c r="AD63" i="8"/>
  <c r="AE63" i="8" s="1"/>
  <c r="AD101" i="16"/>
  <c r="AE101" i="16" s="1"/>
  <c r="AD88" i="14"/>
  <c r="AE88" i="14" s="1"/>
  <c r="AD43" i="7"/>
  <c r="AE43" i="7" s="1"/>
  <c r="AD65" i="12"/>
  <c r="AE65" i="12" s="1"/>
  <c r="AD63" i="11"/>
  <c r="AE63" i="11" s="1"/>
  <c r="AD70" i="10"/>
  <c r="AE70" i="10" s="1"/>
  <c r="AE7" i="10"/>
  <c r="AD7" i="6"/>
  <c r="AE7" i="6" s="1"/>
  <c r="AC51" i="6"/>
  <c r="Z51" i="6"/>
  <c r="AD51" i="6" l="1"/>
  <c r="AE51" i="6" s="1"/>
</calcChain>
</file>

<file path=xl/sharedStrings.xml><?xml version="1.0" encoding="utf-8"?>
<sst xmlns="http://schemas.openxmlformats.org/spreadsheetml/2006/main" count="3059" uniqueCount="304">
  <si>
    <t>Supplier</t>
  </si>
  <si>
    <t>URL</t>
  </si>
  <si>
    <t>Net P</t>
  </si>
  <si>
    <t>X-rate</t>
  </si>
  <si>
    <t>Net P NOK</t>
  </si>
  <si>
    <t>Type</t>
  </si>
  <si>
    <t>To date</t>
  </si>
  <si>
    <t>Supp curr</t>
  </si>
  <si>
    <t>NOK</t>
  </si>
  <si>
    <t>Sales curr</t>
  </si>
  <si>
    <t>EUR</t>
  </si>
  <si>
    <t>Sales P NOK tot</t>
  </si>
  <si>
    <t>GP NOK</t>
  </si>
  <si>
    <t>GP %</t>
  </si>
  <si>
    <t>Units</t>
  </si>
  <si>
    <t>SEK</t>
  </si>
  <si>
    <t>DKK</t>
  </si>
  <si>
    <t>ISK</t>
  </si>
  <si>
    <t>Totals</t>
  </si>
  <si>
    <t>ID</t>
  </si>
  <si>
    <t>Price</t>
  </si>
  <si>
    <t>Status</t>
  </si>
  <si>
    <t>Supp Comm</t>
  </si>
  <si>
    <t>From date</t>
  </si>
  <si>
    <t>From time</t>
  </si>
  <si>
    <t>To time</t>
  </si>
  <si>
    <t>VAT25</t>
  </si>
  <si>
    <t>VAT15</t>
  </si>
  <si>
    <t>VAT0-D</t>
  </si>
  <si>
    <t>VAT0-I</t>
  </si>
  <si>
    <t>VAT12</t>
  </si>
  <si>
    <t>USD</t>
  </si>
  <si>
    <t xml:space="preserve"> </t>
  </si>
  <si>
    <t>Comments</t>
  </si>
  <si>
    <t>Travel element</t>
  </si>
  <si>
    <t>Day</t>
  </si>
  <si>
    <t>Manual booking?</t>
  </si>
  <si>
    <t>Non-refundable</t>
  </si>
  <si>
    <t>Refundable</t>
  </si>
  <si>
    <t>Gross P</t>
  </si>
  <si>
    <t>Gross P per unit</t>
  </si>
  <si>
    <t>Sales P per unit</t>
  </si>
  <si>
    <t>x</t>
  </si>
  <si>
    <t>Quote</t>
  </si>
  <si>
    <t>PP</t>
  </si>
  <si>
    <t>Ref</t>
  </si>
  <si>
    <t>NoRef</t>
  </si>
  <si>
    <t>Deposit</t>
  </si>
  <si>
    <t>Rest</t>
  </si>
  <si>
    <t>Second</t>
  </si>
  <si>
    <t>Pax: 2</t>
  </si>
  <si>
    <t>Rooming: Double</t>
  </si>
  <si>
    <t>Day 1</t>
  </si>
  <si>
    <t>Arrival</t>
  </si>
  <si>
    <t>Transfer</t>
  </si>
  <si>
    <t>Hotel</t>
  </si>
  <si>
    <t>Leisure</t>
  </si>
  <si>
    <t>Activity</t>
  </si>
  <si>
    <t>Train</t>
  </si>
  <si>
    <t>Day 2</t>
  </si>
  <si>
    <t>Departure</t>
  </si>
  <si>
    <t>Day 3</t>
  </si>
  <si>
    <t>Day 4</t>
  </si>
  <si>
    <t>Day 5</t>
  </si>
  <si>
    <t>Day 6</t>
  </si>
  <si>
    <t>Day 7</t>
  </si>
  <si>
    <t>Day 8</t>
  </si>
  <si>
    <t>Day 9</t>
  </si>
  <si>
    <t>Copenhagen - Stockholm - Oslo</t>
  </si>
  <si>
    <t xml:space="preserve">Copenhagen - Stockholm - Oslo - Bergen </t>
  </si>
  <si>
    <t>Copenhagen - Stockholm - Gothenburg - Oslo</t>
  </si>
  <si>
    <t>Copenhagen - Stockholm - Gothenburg - Oslo - Bergen</t>
  </si>
  <si>
    <t xml:space="preserve">Day 8 </t>
  </si>
  <si>
    <t>Dates: Spring, Summer</t>
  </si>
  <si>
    <t>Day 10</t>
  </si>
  <si>
    <t>Day 11</t>
  </si>
  <si>
    <t xml:space="preserve">Helsinki - Stockholm - Copenhagen - Oslo </t>
  </si>
  <si>
    <t>Cruise</t>
  </si>
  <si>
    <t>Helsinki: Spend time at leisure</t>
  </si>
  <si>
    <t>Stockholm: Spend time at leisure</t>
  </si>
  <si>
    <t>Copenhagen: Spend time at leisure</t>
  </si>
  <si>
    <t>Oslo: Spend time at leisure</t>
  </si>
  <si>
    <t>Oslo: Departure home</t>
  </si>
  <si>
    <t>Dates: Winter</t>
  </si>
  <si>
    <t xml:space="preserve">Stockholm - Kiruna - Narvik - Tromsø </t>
  </si>
  <si>
    <t>Flight</t>
  </si>
  <si>
    <t>Coach</t>
  </si>
  <si>
    <t>Tromsø: Departure home</t>
  </si>
  <si>
    <t>Narvik: Spend time at leisure</t>
  </si>
  <si>
    <t>Kiruna: Spend time at leisure</t>
  </si>
  <si>
    <t>https://www.norwegian.travel/experiences/northern-lights-train?gad_source=1&amp;gad_campaignid=18898530134&amp;gbraid=0AAAAABgO2GMb-UmsUeYUcraCeTGV3dUfV&amp;gclid=Cj0KCQiA-YvMBhDtARIsAHZuUzIHJiXCjGDEphiljJ4Jw3drp7CKtsmuhGAMWh3kbcfIz0a2KnK91SwaAvw3EALw_wcB</t>
  </si>
  <si>
    <t>Tromsø: Spend time at leisure</t>
  </si>
  <si>
    <t>Tromsø: Self transfer to Tromsø Airport</t>
  </si>
  <si>
    <t>Copenhagen: Welcome to Denmark</t>
  </si>
  <si>
    <t>Copenhagen: Self transfer to your accommodation</t>
  </si>
  <si>
    <t>Copenhagen: Walk &amp; Ferry: Copenhagen Highlights + Change of Guards Finale - Time: 09:30 am - 12:30 pm - Meeting point: Copenhagen Central Station (Under The Large Round Clock) - Includes: Harbor ferry ride through the canals included, Personal recommendations, Born-and-raised local host, Premium small groups</t>
  </si>
  <si>
    <t>BOKUN</t>
  </si>
  <si>
    <t>https://www.sj.se/en/search-journey</t>
  </si>
  <si>
    <t>Copenhagen: Self transfer to Köpenhamn Dybbölsbro busterminal</t>
  </si>
  <si>
    <t>Copenhagen: Scenic Long Distance Train transfer to Stockholm - Time: Morning Train - Includes: Tickets</t>
  </si>
  <si>
    <t>Stockholm: Self transfer to your accommodation</t>
  </si>
  <si>
    <t>Stockholm: 3 Hour Must-See Tour with Vasa Museum, Ferry Trip - Time: 09:30 am - 12:30 pm - Meeting point: Gustav the III Obeilisk - Includes: Knowledgeable, English-speaking guide, Guided visit to the Stockholm Vasa Museum, Visit to Old Town, Royal Castle &amp; Riddarholmen, Visit to Storkyrkan &amp; German Church</t>
  </si>
  <si>
    <t>https://booknordics.com/sweden/eastern-sweden/stockholm-and-uppsala/stockholm-must-see-3h-tour-vasa-museum-boat-trip-and-old-town-walk-small-group</t>
  </si>
  <si>
    <t>Stockholm: Self transfer to Stockholm Central Station</t>
  </si>
  <si>
    <t>Stockholm: Scenic Long Distance Train transfer to Oslo - Time: Morning Train - Includes: Tickets</t>
  </si>
  <si>
    <t>Oslo: Self transfer to your accommodation</t>
  </si>
  <si>
    <t>Oslo: Self transfer to Oslo Airport</t>
  </si>
  <si>
    <t>Oslo: Fjord Sightseeing Cruise onboard Electric Boat - Time: 11:00 am/1:30 pm - 01:00 pm /3:30 pm - Meeting point: Platform E, behind Fisketorget by ‘’TROLLCRUISE’’ sign - Includes: Electric fjord cruise with audio guidance, Access to outdoor deck and blankets, Charging ports and free Wi-FI, Comfortable seating, Panoramic windows, Accessibility features, Onboard toilets</t>
  </si>
  <si>
    <t>https://booknordics.com/norway/eastern-norway/oslo/oslofjord-sightseeing-cruise</t>
  </si>
  <si>
    <t>Transfer package</t>
  </si>
  <si>
    <t>Activity Upgrade</t>
  </si>
  <si>
    <t>Oslo: Gourmet Dinner Fjord Cruise with Silent Electric Ship - Time: 06:00 pm - 09:00 pm - Meeting point: Aker Brygge Pier - Includes: Oslo fjord cruise by silent, electric ship, English and Norwegian speaking hosts, Set 3-course dinner menu by pro chef, Bar with all rights onboard, Free tap water and free WiFi</t>
  </si>
  <si>
    <t>https://booknordics.com/norway/eastern-norway/oslo/oslo-fjord-gourmet-dinner-cruise</t>
  </si>
  <si>
    <t>Copenhagen: Check in to your accommodation for a 2 night stay - Centrally Located 3/4-star hotel - Standard Room - Breakfast included</t>
  </si>
  <si>
    <t>Stockholm: Check in to your accommodation for a 2 night stay - Centrally Located 3/4-star hotel - Standard Room - Breakfast included</t>
  </si>
  <si>
    <t>Oslo: Check in to your accommodation for a 2 night stay - Centrally Located 3/4-star hotel - Standard Room - Breakfast included</t>
  </si>
  <si>
    <t>Copenhagen: The Forest Tower &amp; Forgotten Giants Tour - Time: 10:00 am - 3:30 pm - Meeting point: CPH Tours &amp; Tickets, Colbjørnsensgade 15 - Includes: Pick-up/drop-off from central Copenhagen, Transportation by air-conditioned minibus, Guided visit to Copenhagen Forest Tower, Guided visit to The Forgotten Giants site</t>
  </si>
  <si>
    <t>https://booknordics.com/denmark/eastern-denmark/copenhagen/forest-tower-and-forgotten-giants-a-day-tour-from-copenhagen</t>
  </si>
  <si>
    <t>Copenhagen: Check in to your accommodation for a 1 night stay - Centrally Located 3/4-star hotel - Standard Room - Breakfast included</t>
  </si>
  <si>
    <t>Stockholm: 3 Hour Must-See Tour with Vasa Museum, Ferry Trip - Time: 4:00 pm - 7:00 pm - Meeting point: Gustav the III Obeilisk - Includes: Knowledgeable, English-speaking guide, Guided visit to the Stockholm Vasa Museum, Visit to Old Town, Royal Castle &amp; Riddarholmen, Visit to Storkyrkan &amp; German Church</t>
  </si>
  <si>
    <t>Copenhagen: Private transfer to your accommodation</t>
  </si>
  <si>
    <t>Oslo: Private transfer to Oslo Airport</t>
  </si>
  <si>
    <t>Oslo: Self transfer to Oslo Central Station</t>
  </si>
  <si>
    <t>Bergen: Self transfer to your accommodation</t>
  </si>
  <si>
    <t>Bergen: Spend time at leisure</t>
  </si>
  <si>
    <t>Bergen: 2 hr walk Through Bergen Past &amp; Present - Time: 10:00 am - 12:00 pm - Meeting point: Bradbenken 1 - Includes: Profesional Guide</t>
  </si>
  <si>
    <t>https://www.ilovebergen.net/tour/a-walk-through-bergen-past-present/</t>
  </si>
  <si>
    <t>Bergen: Fløibanen Funicual - Time: Flexible - Meeting point: Vetrlidsallmenningen 23A - Includes: Tickets</t>
  </si>
  <si>
    <t>https://www.floyen.no/en/floibanen/buy-tickets/</t>
  </si>
  <si>
    <t>Bergen: Self transfer to Bergen Airport</t>
  </si>
  <si>
    <t>Bergen: Departure home</t>
  </si>
  <si>
    <t>Oslo: Scenic Long Distance Train transfer to Bergen - Time: 08:25 am - 3:00 pm - Includes: Tickets</t>
  </si>
  <si>
    <t>https://www.vy.no/#reisesok</t>
  </si>
  <si>
    <t>Bergen: Check in to your accommodation for a 2 night stay - Centrally located 3/4-star hotel - Standard Room - Breakfast included</t>
  </si>
  <si>
    <t>Stockholm: Scenic Long Distance Train transfer to Gothenburg - Time: Morning Train - Includes: Tickets</t>
  </si>
  <si>
    <t>Gothenburg: Spend time at leisure</t>
  </si>
  <si>
    <t>Gothenburg: Check in to your accommodation for a 2 night stay - Centrally Located 3/4-star hotel - Standard Room - Breakfast included</t>
  </si>
  <si>
    <t>Gothenburg: Self transfer to your accommodation</t>
  </si>
  <si>
    <t>Gothenburg: Discover the City Boat Ride in Goth-River - Time: 10:30 am - 12:30 pm - Meeting point: Hotel Pick up - Includes: Hotel pick-up service, Private trans in AC vehicle, Parking fees and WiFi, English-speaking captain, Sightseeing and guidance, Bottled water and snacks</t>
  </si>
  <si>
    <t>https://booknordics.com/sweden/western-sweden/gothenburg/private-boat-ride-in-gothenburg-with-pickup</t>
  </si>
  <si>
    <t>Gothenburg: Self transfer to Gothenburg Station</t>
  </si>
  <si>
    <t>Gothenburg: Scenic Long Distance Train transfer to Oslo - Time: Morning Train - Includes: Tickets</t>
  </si>
  <si>
    <t>Bergen: Private transfer to Bergen Airport</t>
  </si>
  <si>
    <t>Helsinki: Welcome to Finland</t>
  </si>
  <si>
    <t>Helsinki: Self transfer to your accommodation</t>
  </si>
  <si>
    <t>Helsinki: Excurssion to Tallinn - Self Guided Experience - Meeting point: Hotel Pick up - Departure from Helsinki: 10:30 am - Departure from Tallinn: 7:30 pm - Includes: Helsinki port transfers, Star Class Cruise Ticket</t>
  </si>
  <si>
    <t>https://www.tallink.com/en</t>
  </si>
  <si>
    <t>Helsinki: Self transfer to Helsinki Cruise Harbor</t>
  </si>
  <si>
    <t xml:space="preserve">Helsinki: Overnight Cruise to Stockholm - Departure from Helsinki: 5:00 pm - Arrival to Stockholm: 10:00 am - Includes: </t>
  </si>
  <si>
    <t>Stockholm: Scenic Long Distance Train transfer to Copenhagen - Time: Morning Train - Includes: Tickets</t>
  </si>
  <si>
    <t>Copenhagen: Self transfer to Copenhagen Cruise Port</t>
  </si>
  <si>
    <t>Copenhagen: Overnight Cruise to Oslo - Time: 4:30 pm - 10:30 am - Meeting point: Copenhagen Cruise Harbor  - Includes: Sleeper cabin</t>
  </si>
  <si>
    <t>Helsinki: Check in to your accommodation for a 2 night stay - Centrally Located 3/4-star hotel - Standard Room - Breakfast included</t>
  </si>
  <si>
    <t>Helsinki: Private transfer to your accommodation</t>
  </si>
  <si>
    <t>Helsinki: Private transfer to Helsinki Cruise Harbor</t>
  </si>
  <si>
    <t>Stockholm: Private transfer to your accommodation</t>
  </si>
  <si>
    <t>Copenhagen: Private transfer to Copenhagen Cruise Port</t>
  </si>
  <si>
    <t>Oslo: Norway in a Nutshell to Bergen - Time: 08:00 am - 09:00 pm - Meeting point. Oslo Central Station - Includes: Train transfer Oslo to Myrdal, Train tranfser Myrdal to Flåm, Fjord Cruise Flåm to Gudvangen, Coach Transfer Gudvangen to Voss, Train transfer Voss to Bergen</t>
  </si>
  <si>
    <t>https://www.fjordtours.com/en</t>
  </si>
  <si>
    <t xml:space="preserve">Oslo: Norway in a Nutshell Porter Service - Includes: Luggage transfer from your accommodation in Oslo to your accommodaiton in Bergen </t>
  </si>
  <si>
    <t>Stockholm: Welcome to Sweden</t>
  </si>
  <si>
    <t>Stockholm: Self transfer to Stockholm Airport</t>
  </si>
  <si>
    <t>Stockholm: Flight to Kiruna - Time: Morning Flight - Luggage included: 1 x 23 kg check in and 1 x 8 kg carry on per person</t>
  </si>
  <si>
    <t>Stockholm - Kiruna - Narvik - Tromsø - Rovaniemi - Helsinki</t>
  </si>
  <si>
    <t>Kiruna: Self transfer to your accommodation</t>
  </si>
  <si>
    <t>Kiruna: Self transfer to Kiruna Train Station</t>
  </si>
  <si>
    <t>Narvik: Self transfer to your accommodation</t>
  </si>
  <si>
    <t>Kiruna: Check in to your accommodation for a 2 night stay - Centrally Located 3/4-star hotel - Standard Room - Breakfast included</t>
  </si>
  <si>
    <t>Tromsø: Self transfer to your accommodation</t>
  </si>
  <si>
    <t>Tromsø: Check in to your accommodation for a 2 night stay - Centrally Located 3/4-star hotel - Standard Room - Breakfast included</t>
  </si>
  <si>
    <t>Stockholm: Check in to your accommodation for a 1 night stay - Centrally Located 3/4-star hotel - Standard Room - Breakfast included</t>
  </si>
  <si>
    <t>https://www.sas.no/?origin=ARN&amp;destination=KRN&amp;outboundDate=2026-03-09&amp;tripType=OW</t>
  </si>
  <si>
    <t>Kiruna: Northern Lights Hunt with Pro Photographer - Time: 7:00 pm - 12:00 am - Meeting point: Hotel Pick up - Includes: Pick-up/drop-off in central Kiruna, Knowledgeable guide &amp; photographer, Coffee and/or tea with snacks</t>
  </si>
  <si>
    <t>https://booknordics.com/sweden/swedish-lapland/kiruna-and-abisko/kiruna-northern-lights-tour-with-photographer</t>
  </si>
  <si>
    <t>Kiruna: Snowmobiling Day Tour into the Arctic Wilderness - Time: 10:30 am - 2:00 pm - Meeting point: Hotel Pick up - Includes: Pick-up from selected locations, Guided snowmobile tour experience, High-quality Arctic snowmobile gear, Overalls, helmets, shoes and gloves, Swedish fika with warm lingonberry juice</t>
  </si>
  <si>
    <t>Transfer Package</t>
  </si>
  <si>
    <t>Stockholm: Private transfer to Stockholm Airport</t>
  </si>
  <si>
    <t>Kiruna: Private transfer to your accommodation</t>
  </si>
  <si>
    <t>Kiruna: Private transfer to Kiruna Train Station</t>
  </si>
  <si>
    <t>Kiruna: Northern Light Minibus Hunt to Abisko National Park - Time: 7:30 pm - 12:00 am - Meeting point: Hotel Pick up - Inludes: Pick-up from selected locations, Transfer with heated minibus, Professional, English-speaking guide, Help with taking pictures, Swedish fika with warm juice</t>
  </si>
  <si>
    <t>https://booknordics.com/sweden/swedish-lapland/kiruna-and-abisko/northern-light-minibus-hunt-to-abisko-national-park-730-pm</t>
  </si>
  <si>
    <t>https://booknordics.com/sweden/swedish-lapland/kiruna-and-abisko/day-tour-with-snowmobile-in-kiruna-1030-am</t>
  </si>
  <si>
    <t>Narvik: The Northern Lights Train - Time: 7:45 pm - 10:50 pm - Meeting point: Narvik Train Station, Stasjonsveien 1 (Meet on location 30 minutes before activity start) - Includes: Train ticket, English speaking guide, Snack &amp; beverages, Northern Lights photography guidance, Bonfire, Northern Lights documentary, Visit the old mountain village of Katterat, Visit the old barrack containing the museum at Katterat</t>
  </si>
  <si>
    <t>Kiruna: Scenic Train Transfer to Narvik - Time: 09:37 am - 12:37 pm - Includes: Tickets</t>
  </si>
  <si>
    <t>https://www.sj.se/en/search-journey/search/Kiruna%20station/Narvik%20station/2026-03-10</t>
  </si>
  <si>
    <t>Narvik: Check in to your accommodation for a 1 night stay - Centrally Located 3/4-star hotel - Standard Room - Breakfast included</t>
  </si>
  <si>
    <t>Narvik: Scenic Long Distance Coach transfer to Tromsø - Time: 2:05 pm - 6:00 pm - Meeting point: Quality Grand Bus Stop</t>
  </si>
  <si>
    <t xml:space="preserve">Narvik: Self transfer to Narvik Quality Grand Bus Stop </t>
  </si>
  <si>
    <t>Tromsø: All-Evening Northern Lights Hunt by Minibus or Bus - Time: 7:00 pm - 12:00 am - Meeting point: Kaigata 4 - Includes: Knowledgeable, English-speaking guides, Photos shared with you after the tour, Thermo clothing and warm gear, Light snacks and warm/cold beverages, Drop-off at hotel, up to 5 km from Tromsø</t>
  </si>
  <si>
    <t>https://booknordics.com/norway/northern-norway/tromso-region/full-day-magic-of-the-arctic-lights-in-tromso</t>
  </si>
  <si>
    <t>Tromsø: Reindeer Feeding and Sámi Culture - Time: 09:45 am - 2:30 pm - Meeting point: Radisson Blu Hotel's main entrance (Sjøgata 7) - Includes: Scenic transfers (45 min each way), Knowledgeable English and Norwegian speaking guide, Feeding the herd at our camp, Hot beverages and hot meal (traditional Sámi stew or vegetable/lentil soup), Cultural introduction about Sámi history and daily life, A chance to see the northern lights from our camp, Thermal suit and warm snow boots</t>
  </si>
  <si>
    <t>https://www.tromsolapland.no/activities/reindeer-feeding-and-sami-culture</t>
  </si>
  <si>
    <t>Tromsø: Self transfer to Tromsø Bus Terminal Prostneset</t>
  </si>
  <si>
    <t>Tromsø: Long distance panorama coach transfer to Rovaniemi - Time: 07:00 am - 5:25 pm - Meeting point: Busterminal Prostneset - Platform 2 - Includes: Tickets</t>
  </si>
  <si>
    <t>https://bestarctic.com/the-arctic-route/arctic-winter-routes-explore-norway-sweden-and-finland/bus-between-tromso-norway-and-rovaniemi-finland/</t>
  </si>
  <si>
    <t>Rovaniemi: Self transfer to your accommodation</t>
  </si>
  <si>
    <t>Rovaniemi: Spend time at leisure</t>
  </si>
  <si>
    <t>Rovaniemi: Arctic Circle Highlights Adventure Day - Time: 08:45 am - 2:45 pm - Meeting point: Arctic Circle Snowmobile Park Rovaniemi - Includes: Pick-up/drop-off in central Rovaniemi, Reindeer Farm visit with sleigh ride (2-3 pers), Reindeer sledge driver’s license reward, Alaskan Husky visit with sleigh ride (4 pers), Approx. 2 hours free time in Santa Claus Village, Winter clothes (overalls, boots and gloves), Traditional salmon soup or vegetarian option</t>
  </si>
  <si>
    <t>https://booknordics.com/finland/western-lapland/rovaniemi/arctic-circle-highlights-family-day-by-minibus</t>
  </si>
  <si>
    <t>Rovaniemi: Small-Group Aurora Hunt by Minibus - Time: 7:00 pm - 10:00 pm - Meeting point: Lapland Royal Adventures Office - Includes: Pick-up/drop-off from central Rovaniemi, Knowledgeable, English-speaking guide, Dedicated Northern Lights chase by minibus, Cozy blankets, hot drinks and a snack</t>
  </si>
  <si>
    <t>https://booknordics.com/finland/western-lapland/rovaniemi/aurora-quest-by-minibus</t>
  </si>
  <si>
    <t>Rovaniemi: Arctic Wildlife Adventure to Ranua Park - Time: 10:00 am - 4:00 pm - Meeting point: Lapland Royal Adventures office - Includes: Pick-up/drop-off in central Rovaniemi, Tickets to Ranua Wildlife Park, Drinks and BBQ sausages by fire</t>
  </si>
  <si>
    <t>https://booknordics.com/finland/western-lapland/rovaniemi/arctic-wildlife-adventure-ranua-wildlife-park-trip</t>
  </si>
  <si>
    <t>Rovaniemi: Korouoma Frozen Waterfalls Hike &amp; BBQ - Time: 09:00 am - 4:00 pm - Meeting point: Arctic GM Office - Includes: Pick-up/drop-off in central Rovaniemi, Transfers in brand-new 2025 Ford Tourneo, Professional certified guide, Thermal overalls, 4–6 km guided hike in Korouoma Canyon, Small groups (max 8 guests), Hot drinks &amp; barbecue</t>
  </si>
  <si>
    <t>https://booknordics.com/finland/western-lapland/rovaniemi/korouoma-frozen-waterfalls-hike-tour-barbeque-small-group</t>
  </si>
  <si>
    <t>Rovaniemi: Self transfer to Rovaniemi Train Station</t>
  </si>
  <si>
    <t>Rovaniemi: Overnight Santa Claus Express Train to Helsinki - Time: 09:00 pm - 09:15 am - Includes: Upstairs Sleeper Cabin with Private Bathroom</t>
  </si>
  <si>
    <t>https://www.vr.fi/en/santa-claus-express</t>
  </si>
  <si>
    <t>Day 12</t>
  </si>
  <si>
    <t>Helsinki: Self transfer to Helsinki Airport</t>
  </si>
  <si>
    <t>Helsinki: Departure home</t>
  </si>
  <si>
    <t>Rovaniemi: Check in to your accommodation for a 2 night stay - Centrally Located 3/4-star hotel - Standard Room - Breakfast included</t>
  </si>
  <si>
    <t>Helsinki: Check in to your accommodation for a 1 night stay - Centrally Located 3/4-star hotel - Standard Room - Breakfast included</t>
  </si>
  <si>
    <t>Rovaniemi: Private transfer to your accommodation</t>
  </si>
  <si>
    <t>Rovaniemi: Private transfer to Rovaniemi Train Station</t>
  </si>
  <si>
    <t>Helsinki: Private transfer to Helsinki Airport</t>
  </si>
  <si>
    <t>Tromsø: Reindeer Sledding, Reindeer Feeding and Sami Culture - Time: 09:45 am - 2:30 pm - Meeting point: Radisson Blu Hotel's main entrance (Sjøgata 7) - Includes: Scenic transfers (45 min each way), Knowledgeable English- and Norwegian-speaking guide, Thermal winter suit, warm boots, Reindeer sledding (approx. 30 min, depending on weather and snow conditions), Feeding the herd on our camp, Hot traditional Sámi meal (bithos) and hot drinks. Vegetarian option available on request, Cultural introduction about Sámi history and daily life</t>
  </si>
  <si>
    <t>https://booknordics.com/norway/northern-norway/tromso-region/reindeer-sledding-reindeer-feeding-and-sami-culture-3</t>
  </si>
  <si>
    <t>Tromsø: Private transfer to Tromsø Airport</t>
  </si>
  <si>
    <t>Rovaniemi: Snowmobiling and Sledding Arctic Circle Highlights - Time: 08:45 am - 03:45 pm - Meeting point: Arctic Circle Snowmobile Park Rovaniemi - Includes: Pick-up/drop-off in central Rovaniemi, Knowledgeable, English-speaking guide, 1h snowmobiling on shared snowmobile (2 pers), Reindeer experience with 500m sleigh ride, Alaskan Husky experience with 500m sleigh ride, Approx. 2 hours free time in Santa Claus Village, Winter clothes (overalls, boots and gloves), Other equipment (helmet and balaclava), Salmon soup lunch (vegetarian option available)</t>
  </si>
  <si>
    <t>https://booknordics.com/finland/western-lapland/rovaniemi/family-day-snowmobile-arctic-animals-and-santa-village</t>
  </si>
  <si>
    <t>Rovaniemi: Polar Ice Breaker Cruise - Time: 11:00 am - 7:35 pm - Meeting point: Rovaniemi Tourist Information - Includes: Lunch, transfers, 3-hour Icebreaker Cruise, Guided Icebreaker tour, Onboard Cinema, Frozen Sea Walk, Ice Swimming, Cruise and Swim Certificate</t>
  </si>
  <si>
    <t>https://booknordics.com/finland/western-lapland/rovaniemi/polar-explorer-icebreaker-dancing-queen-party-cruise-and-lunch-with-shuttle-bus-transportation-from-rovaniemi</t>
  </si>
  <si>
    <t>Hotel Upgrade</t>
  </si>
  <si>
    <t>Kiruna: Upgrade to Kiruna Ice Hotel</t>
  </si>
  <si>
    <t>Rovaniemi: Replace 1 x Hotel night with Glass Igloo</t>
  </si>
  <si>
    <t>Selfdrive</t>
  </si>
  <si>
    <t>Destination 1</t>
  </si>
  <si>
    <t>Destination 2</t>
  </si>
  <si>
    <t>Destination 3</t>
  </si>
  <si>
    <t>Destination 4</t>
  </si>
  <si>
    <t>Destination 5</t>
  </si>
  <si>
    <t>Destination 6</t>
  </si>
  <si>
    <t>Destination 7</t>
  </si>
  <si>
    <t>Destination 8</t>
  </si>
  <si>
    <t>Destination 9</t>
  </si>
  <si>
    <t>Copenhagen</t>
  </si>
  <si>
    <t>https://www.google.com/maps/dir/K%C3%B8benhavn,+Danmark/Odense,+Danmark/%C3%85rhus,+Danmark/Frederikshavn,+Danmark/G%C3%B6teborg,+Sverige/Malm%C3%B6,+Sverige/K%C3%B8benhavn,+Danmark/@56.5640362,10.990158,435035m/data=!3m1!1e3!4m44!4m43!1m5!1m1!1s0x4652533c5c803d23:0x4dd7edde69467b8!2m2!1d12.5683372!2d55.6760968!1m5!1m1!1s0x464cd935429724c1:0x3b1e34d53b2ff5ec!2m2!1d10.40237!2d55.403756!1m5!1m1!1s0x464c4cb15397788b:0x8c4dd7d9912ea2af!2m2!1d10.203921!2d56.162939!1m5!1m1!1s0x464f3b9b35bccce5:0xa00afcc1d517130!2m2!1d10.521006!2d57.442711!1m5!1m1!1s0x464f8e67966c073f:0x4019078290e7c40!2m2!1d11.97456!2d57.70887!1m5!1m1!1s0x465305a574c491ff:0xd3a905dfbd4888e5!2m2!1d13.003822!2d55.604981!1m5!1m1!1s0x4652533c5c803d23:0x4dd7edde69467b8!2m2!1d12.5683372!2d55.6760968!3e0?entry=ttu&amp;g_ep=EgoyMDI2MDIwMS4wIKXMDSoASAFQAw%3D%3D</t>
  </si>
  <si>
    <t>Route</t>
  </si>
  <si>
    <t>Destination 10</t>
  </si>
  <si>
    <t>Århus</t>
  </si>
  <si>
    <t>Fredrikshavn</t>
  </si>
  <si>
    <t>Gothenburg</t>
  </si>
  <si>
    <t>Malmø</t>
  </si>
  <si>
    <t>Hirtshals</t>
  </si>
  <si>
    <t>Tønsberg</t>
  </si>
  <si>
    <t>Oslo</t>
  </si>
  <si>
    <t>https://www.google.com/maps/dir/K%C3%B8benhavn,+Danmark/Odense,+Danmark/%C3%85rhus,+Danmark/Hirtshals,+Danmark/T%C3%B8nsberg/Oslo/G%C3%B6teborg,+Sverige/Malm%C3%B6,+Sverige/K%C3%B8benhavn,+Danmark/@56.9875592,11.0476033,430153m/data=!3m1!1e3!4m56!4m55!1m5!1m1!1s0x4652533c5c803d23:0x4dd7edde69467b8!2m2!1d12.5683372!2d55.6760968!1m5!1m1!1s0x464cd935429724c1:0x3b1e34d53b2ff5ec!2m2!1d10.40237!2d55.403756!1m5!1m1!1s0x464c4cb15397788b:0x8c4dd7d9912ea2af!2m2!1d10.203921!2d56.162939!1m5!1m1!1s0x4648c84950fc8e4d:0x139a906a2601e4a9!2m2!1d9.9668379!2d57.586953!1m5!1m1!1s0x4646b7388d757dab:0x90ca13e6ed9f9a3f!2m2!1d10.4075608!2d59.2675699!1m5!1m1!1s0x46416e61f267f039:0x7e92605fd3231e9a!2m2!1d10.7312704!2d59.9121746!1m5!1m1!1s0x464f8e67966c073f:0x4019078290e7c40!2m2!1d11.97456!2d57.70887!1m5!1m1!1s0x465305a574c491ff:0xd3a905dfbd4888e5!2m2!1d13.003822!2d55.604981!1m5!1m1!1s0x4652533c5c803d23:0x4dd7edde69467b8!2m2!1d12.5683372!2d55.6760968!3e0?entry=ttu&amp;g_ep=EgoyMDI2MDIwMS4wIKXMDSoASAFQAw%3D%3D</t>
  </si>
  <si>
    <t>Scandinavia 1</t>
  </si>
  <si>
    <t>Scandinavia 2</t>
  </si>
  <si>
    <t>Scandinavia 3</t>
  </si>
  <si>
    <t>Scandinavia 4</t>
  </si>
  <si>
    <t>Scandinavia 5</t>
  </si>
  <si>
    <t>Norway 1</t>
  </si>
  <si>
    <t>Norway 2</t>
  </si>
  <si>
    <t>Norway 3</t>
  </si>
  <si>
    <t>Geilo</t>
  </si>
  <si>
    <t>Bergen</t>
  </si>
  <si>
    <t>Stryn</t>
  </si>
  <si>
    <t>Lillehammer</t>
  </si>
  <si>
    <t>https://www.google.com/maps/dir/Oslo/Geilo,+3580/Gudvangen,+5747/Bergen,+5015+Bergen/Stryn,+6783/Lillehammer/Oslo/@60.9083855,7.3468152,383876m/data=!3m1!1e3!4m44!4m43!1m5!1m1!1s0x46416e61f267f039:0x7e92605fd3231e9a!2m2!1d10.7312704!2d59.9121746!1m5!1m1!1s0x463fbad93394d403:0xebe09732e103617c!2m2!1d8.2087948!2d60.5336513!1m5!1m1!1s0x463e0bd0a181fad1:0xacd10d9533bb91ef!2m2!1d6.8381438!2d60.8775197!1m5!1m1!1s0x463cfeaef2a46763:0xea77aacf71b645a2!2m2!1d5.3332831!2d60.390332!1m5!1m1!1s0x461662a5b9befc17:0xd4fc6415f2d0b5f2!2m2!1d6.7229249!2d61.9044329!1m5!1m1!1s0x466a62a7f7b5288d:0x32273ad34a5bed34!2m2!1d10.4662306!2d61.1152713!1m5!1m1!1s0x46416e61f267f039:0x7e92605fd3231e9a!2m2!1d10.7312704!2d59.9121746!3e0?entry=ttu&amp;g_ep=EgoyMDI2MDIwMS4wIKXMDSoASAFQAw%3D%3D</t>
  </si>
  <si>
    <t>Tromsø</t>
  </si>
  <si>
    <t>Senja</t>
  </si>
  <si>
    <t>Svolær</t>
  </si>
  <si>
    <t>Reine</t>
  </si>
  <si>
    <t>Bodø</t>
  </si>
  <si>
    <t>Narvik</t>
  </si>
  <si>
    <t>Sweden 1</t>
  </si>
  <si>
    <t>Sweden 2</t>
  </si>
  <si>
    <t>Sweden 3</t>
  </si>
  <si>
    <t>Stockholm</t>
  </si>
  <si>
    <t>Karlstad</t>
  </si>
  <si>
    <t>Karlskrona</t>
  </si>
  <si>
    <t>Trondheim</t>
  </si>
  <si>
    <t>Molde</t>
  </si>
  <si>
    <t>Ålesund</t>
  </si>
  <si>
    <t>Geiranger</t>
  </si>
  <si>
    <t>Dombås</t>
  </si>
  <si>
    <t>Helgeland</t>
  </si>
  <si>
    <t>Brøynnøysynd</t>
  </si>
  <si>
    <t>Bus 704</t>
  </si>
  <si>
    <t>Sandnessjøen</t>
  </si>
  <si>
    <t>1N</t>
  </si>
  <si>
    <t>3 timer 10 Min</t>
  </si>
  <si>
    <t>Båt 23-731</t>
  </si>
  <si>
    <t>Aktivitiet</t>
  </si>
  <si>
    <t>3 timer 50 min</t>
  </si>
  <si>
    <t>Støtt</t>
  </si>
  <si>
    <t>Svolvær</t>
  </si>
  <si>
    <t>2N</t>
  </si>
  <si>
    <t>1 time 25 min</t>
  </si>
  <si>
    <t>6 timer 30 min</t>
  </si>
  <si>
    <t>Båt 23-755</t>
  </si>
  <si>
    <t>7D / 6N</t>
  </si>
  <si>
    <t>Kommunale</t>
  </si>
  <si>
    <t>Region</t>
  </si>
  <si>
    <t>Programer</t>
  </si>
  <si>
    <t>EU/EØS/Fond</t>
  </si>
  <si>
    <t>Shuolder</t>
  </si>
  <si>
    <t>High</t>
  </si>
  <si>
    <t>Low</t>
  </si>
  <si>
    <t>Xmas</t>
  </si>
  <si>
    <t>Shoulder</t>
  </si>
  <si>
    <t>Holiday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</si>
</sst>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0.0\ %"/>
  </numFmts>
  <fonts count="5"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b/>
      <sz val="11"/>
      <color theme="0"/>
      <name val="Calibri"/>
      <family val="2"/>
      <scheme val="minor"/>
    </font>
  </fonts>
  <fills count="7">
    <fill>
      <patternFill patternType="none"/>
    </fill>
    <fill>
      <patternFill patternType="gray125"/>
    </fill>
    <fill>
      <patternFill patternType="solid">
        <fgColor theme="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F00"/>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0" fontId="3" fillId="0" borderId="0" applyNumberFormat="0" applyFill="0" applyBorder="0" applyAlignment="0" applyProtection="0"/>
  </cellStyleXfs>
  <cellXfs count="38">
    <xf numFmtId="0" fontId="0" fillId="0" borderId="0" xfId="0"/>
    <xf numFmtId="0" fontId="0" fillId="2" borderId="0" xfId="0" applyFill="1"/>
    <xf numFmtId="164" fontId="0" fillId="2" borderId="0" xfId="0" applyNumberFormat="1" applyFill="1"/>
    <xf numFmtId="164" fontId="0" fillId="2" borderId="0" xfId="0" applyNumberFormat="1" applyFill="1" applyAlignment="1">
      <alignment horizontal="left"/>
    </xf>
    <xf numFmtId="0" fontId="0" fillId="2" borderId="0" xfId="0" applyFill="1" applyAlignment="1">
      <alignment horizontal="center"/>
    </xf>
    <xf numFmtId="9" fontId="0" fillId="2" borderId="0" xfId="0" applyNumberFormat="1" applyFill="1" applyAlignment="1">
      <alignment horizontal="center"/>
    </xf>
    <xf numFmtId="49" fontId="0" fillId="2" borderId="0" xfId="0" applyNumberFormat="1" applyFill="1" applyAlignment="1">
      <alignment horizontal="center" vertical="distributed" wrapText="1"/>
    </xf>
    <xf numFmtId="49" fontId="2" fillId="3" borderId="1" xfId="0" applyNumberFormat="1" applyFont="1" applyFill="1" applyBorder="1" applyAlignment="1">
      <alignment horizontal="center" vertical="distributed" wrapText="1"/>
    </xf>
    <xf numFmtId="3" fontId="2" fillId="3" borderId="1" xfId="0" applyNumberFormat="1" applyFont="1" applyFill="1" applyBorder="1" applyAlignment="1">
      <alignment horizontal="center" vertical="distributed" wrapText="1"/>
    </xf>
    <xf numFmtId="3" fontId="0" fillId="2" borderId="0" xfId="0" applyNumberFormat="1" applyFill="1" applyAlignment="1">
      <alignment horizontal="center"/>
    </xf>
    <xf numFmtId="3" fontId="0" fillId="2" borderId="0" xfId="0" applyNumberFormat="1" applyFill="1"/>
    <xf numFmtId="0" fontId="0" fillId="3" borderId="0" xfId="0" applyFill="1" applyAlignment="1">
      <alignment horizontal="center"/>
    </xf>
    <xf numFmtId="3" fontId="0" fillId="4" borderId="0" xfId="0" applyNumberFormat="1" applyFill="1" applyAlignment="1">
      <alignment horizontal="center"/>
    </xf>
    <xf numFmtId="9" fontId="0" fillId="4" borderId="0" xfId="1" applyFont="1" applyFill="1" applyAlignment="1">
      <alignment horizontal="center"/>
    </xf>
    <xf numFmtId="0" fontId="2" fillId="2" borderId="2" xfId="0" applyFont="1" applyFill="1" applyBorder="1"/>
    <xf numFmtId="3" fontId="2" fillId="2" borderId="2" xfId="0" applyNumberFormat="1" applyFont="1" applyFill="1" applyBorder="1"/>
    <xf numFmtId="4" fontId="0" fillId="2" borderId="0" xfId="0" applyNumberFormat="1" applyFill="1" applyAlignment="1">
      <alignment horizontal="center"/>
    </xf>
    <xf numFmtId="9" fontId="0" fillId="2" borderId="0" xfId="0" applyNumberFormat="1" applyFill="1"/>
    <xf numFmtId="2" fontId="0" fillId="2" borderId="0" xfId="0" applyNumberFormat="1" applyFill="1"/>
    <xf numFmtId="165" fontId="0" fillId="2" borderId="0" xfId="1" applyNumberFormat="1" applyFont="1" applyFill="1"/>
    <xf numFmtId="2" fontId="0" fillId="2" borderId="0" xfId="0" applyNumberFormat="1" applyFill="1" applyAlignment="1">
      <alignment horizontal="center"/>
    </xf>
    <xf numFmtId="9" fontId="2" fillId="2" borderId="2" xfId="1" applyFont="1" applyFill="1" applyBorder="1"/>
    <xf numFmtId="0" fontId="3" fillId="2" borderId="0" xfId="2" applyFill="1"/>
    <xf numFmtId="3" fontId="0" fillId="2" borderId="0" xfId="0" applyNumberFormat="1" applyFill="1" applyAlignment="1">
      <alignment horizontal="left"/>
    </xf>
    <xf numFmtId="164" fontId="0" fillId="2" borderId="0" xfId="0" quotePrefix="1" applyNumberFormat="1" applyFill="1" applyAlignment="1">
      <alignment horizontal="left"/>
    </xf>
    <xf numFmtId="0" fontId="0" fillId="5" borderId="0" xfId="0" applyFill="1" applyAlignment="1">
      <alignment horizontal="center"/>
    </xf>
    <xf numFmtId="3" fontId="0" fillId="5" borderId="0" xfId="0" applyNumberFormat="1" applyFill="1" applyAlignment="1">
      <alignment horizontal="center"/>
    </xf>
    <xf numFmtId="0" fontId="0" fillId="2" borderId="0" xfId="0" applyFill="1" applyAlignment="1">
      <alignment horizontal="left"/>
    </xf>
    <xf numFmtId="0" fontId="4" fillId="2" borderId="2" xfId="0" applyFont="1" applyFill="1" applyBorder="1"/>
    <xf numFmtId="0" fontId="3" fillId="0" borderId="0" xfId="2"/>
    <xf numFmtId="164" fontId="4" fillId="2" borderId="2" xfId="0" applyNumberFormat="1" applyFont="1" applyFill="1" applyBorder="1"/>
    <xf numFmtId="4" fontId="4" fillId="2" borderId="2" xfId="0" applyNumberFormat="1" applyFont="1" applyFill="1" applyBorder="1" applyAlignment="1">
      <alignment horizontal="left"/>
    </xf>
    <xf numFmtId="3" fontId="4" fillId="2" borderId="2" xfId="0" applyNumberFormat="1" applyFont="1" applyFill="1" applyBorder="1"/>
    <xf numFmtId="0" fontId="3" fillId="2" borderId="0" xfId="2" applyFill="1" applyAlignment="1">
      <alignment horizontal="left"/>
    </xf>
    <xf numFmtId="3" fontId="0" fillId="6" borderId="0" xfId="0" applyNumberFormat="1" applyFill="1" applyAlignment="1">
      <alignment horizontal="center"/>
    </xf>
    <xf numFmtId="0" fontId="0" fillId="0" borderId="0" xfId="0" applyAlignment="1">
      <alignment horizontal="center"/>
    </xf>
    <xf numFmtId="0" fontId="0" fillId="0" borderId="0" xfId="0" applyAlignment="1">
      <alignment horizontal="left"/>
    </xf>
    <xf numFmtId="3" fontId="0" fillId="2" borderId="0" xfId="0" applyNumberFormat="1" applyFill="1" applyAlignment="1">
      <alignment horizontal="right"/>
    </xf>
  </cellXfs>
  <cellStyles count="3">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Itinerarys/ITIN-487-Prashant-Mr.Sanjay/Calculation-template-487.xlsx" TargetMode="External"/><Relationship Id="rId2" Type="http://schemas.openxmlformats.org/officeDocument/2006/relationships/externalLinkPath" Target="file:///C:\Users\DennisK&#229;len\Desktop\Itinerarys\ITIN-487-Prashant-Mr.Sanjay\Calculation-template-487.xlsx" TargetMode="External"/><Relationship Id="rId1" Type="http://schemas.openxmlformats.org/officeDocument/2006/relationships/externalLinkPath" Target="/Users/DennisK&#229;len/Desktop/Itinerarys/ITIN-487-Prashant-Mr.Sanjay/Calculation-template-48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urr"/>
      <sheetName val="Calc"/>
      <sheetName val="2x room"/>
      <sheetName val="Calc Tromsø"/>
      <sheetName val="Calc Tromsø 2 x room"/>
    </sheetNames>
    <sheetDataSet>
      <sheetData sheetId="0" refreshError="1">
        <row r="2">
          <cell r="B2" t="str">
            <v>EUR</v>
          </cell>
          <cell r="C2">
            <v>11.3</v>
          </cell>
        </row>
        <row r="3">
          <cell r="B3" t="str">
            <v>SEK</v>
          </cell>
          <cell r="C3">
            <v>1.02</v>
          </cell>
        </row>
        <row r="4">
          <cell r="B4" t="str">
            <v>DKK</v>
          </cell>
          <cell r="C4">
            <v>1.5</v>
          </cell>
        </row>
        <row r="5">
          <cell r="B5" t="str">
            <v>ISK</v>
          </cell>
          <cell r="C5">
            <v>7.4999999999999997E-2</v>
          </cell>
        </row>
        <row r="6">
          <cell r="B6" t="str">
            <v>NOK</v>
          </cell>
          <cell r="C6">
            <v>1</v>
          </cell>
        </row>
        <row r="7">
          <cell r="B7" t="str">
            <v>USD</v>
          </cell>
          <cell r="C7">
            <v>10.6</v>
          </cell>
        </row>
      </sheetData>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https://booknordics.com/norway/eastern-norway/oslo/oslofjord-sightseeing-cruise" TargetMode="External"/><Relationship Id="rId2" Type="http://schemas.openxmlformats.org/officeDocument/2006/relationships/hyperlink" Target="https://www.sj.se/en/search-journey" TargetMode="External"/><Relationship Id="rId1" Type="http://schemas.openxmlformats.org/officeDocument/2006/relationships/hyperlink" Target="https://booknordics.com/sweden/eastern-sweden/stockholm-and-uppsala/stockholm-must-see-3h-tour-vasa-museum-boat-trip-and-old-town-walk-small-group" TargetMode="External"/><Relationship Id="rId6" Type="http://schemas.openxmlformats.org/officeDocument/2006/relationships/printerSettings" Target="../printerSettings/printerSettings3.bin"/><Relationship Id="rId5" Type="http://schemas.openxmlformats.org/officeDocument/2006/relationships/hyperlink" Target="https://booknordics.com/denmark/eastern-denmark/copenhagen/forest-tower-and-forgotten-giants-a-day-tour-from-copenhagen" TargetMode="External"/><Relationship Id="rId4" Type="http://schemas.openxmlformats.org/officeDocument/2006/relationships/hyperlink" Target="https://booknordics.com/norway/eastern-norway/oslo/oslo-fjord-gourmet-dinner-cruise"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booknordics.com/norway/eastern-norway/oslo/oslo-fjord-gourmet-dinner-cruise" TargetMode="External"/><Relationship Id="rId2" Type="http://schemas.openxmlformats.org/officeDocument/2006/relationships/hyperlink" Target="https://www.sj.se/en/search-journey" TargetMode="External"/><Relationship Id="rId1" Type="http://schemas.openxmlformats.org/officeDocument/2006/relationships/hyperlink" Target="https://booknordics.com/sweden/eastern-sweden/stockholm-and-uppsala/stockholm-must-see-3h-tour-vasa-museum-boat-trip-and-old-town-walk-small-group" TargetMode="External"/><Relationship Id="rId4"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8" Type="http://schemas.openxmlformats.org/officeDocument/2006/relationships/hyperlink" Target="https://booknordics.com/norway/eastern-norway/oslo/oslo-fjord-gourmet-dinner-cruise" TargetMode="External"/><Relationship Id="rId3" Type="http://schemas.openxmlformats.org/officeDocument/2006/relationships/hyperlink" Target="https://booknordics.com/norway/eastern-norway/oslo/oslofjord-sightseeing-cruise" TargetMode="External"/><Relationship Id="rId7" Type="http://schemas.openxmlformats.org/officeDocument/2006/relationships/hyperlink" Target="https://booknordics.com/denmark/eastern-denmark/copenhagen/forest-tower-and-forgotten-giants-a-day-tour-from-copenhagen" TargetMode="External"/><Relationship Id="rId2" Type="http://schemas.openxmlformats.org/officeDocument/2006/relationships/hyperlink" Target="https://www.sj.se/en/search-journey" TargetMode="External"/><Relationship Id="rId1" Type="http://schemas.openxmlformats.org/officeDocument/2006/relationships/hyperlink" Target="https://booknordics.com/sweden/eastern-sweden/stockholm-and-uppsala/stockholm-must-see-3h-tour-vasa-museum-boat-trip-and-old-town-walk-small-group" TargetMode="External"/><Relationship Id="rId6" Type="http://schemas.openxmlformats.org/officeDocument/2006/relationships/hyperlink" Target="https://www.vy.no/" TargetMode="External"/><Relationship Id="rId5" Type="http://schemas.openxmlformats.org/officeDocument/2006/relationships/hyperlink" Target="https://www.floyen.no/en/floibanen/buy-tickets/" TargetMode="External"/><Relationship Id="rId10" Type="http://schemas.openxmlformats.org/officeDocument/2006/relationships/printerSettings" Target="../printerSettings/printerSettings5.bin"/><Relationship Id="rId4" Type="http://schemas.openxmlformats.org/officeDocument/2006/relationships/hyperlink" Target="https://www.ilovebergen.net/tour/a-walk-through-bergen-past-present/" TargetMode="External"/><Relationship Id="rId9" Type="http://schemas.openxmlformats.org/officeDocument/2006/relationships/hyperlink" Target="https://www.fjordtours.com/en"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booknordics.com/denmark/eastern-denmark/copenhagen/forest-tower-and-forgotten-giants-a-day-tour-from-copenhagen" TargetMode="External"/><Relationship Id="rId3" Type="http://schemas.openxmlformats.org/officeDocument/2006/relationships/hyperlink" Target="https://booknordics.com/sweden/western-sweden/gothenburg/private-boat-ride-in-gothenburg-with-pickup" TargetMode="External"/><Relationship Id="rId7" Type="http://schemas.openxmlformats.org/officeDocument/2006/relationships/hyperlink" Target="https://www.floyen.no/en/floibanen/buy-tickets/" TargetMode="External"/><Relationship Id="rId2" Type="http://schemas.openxmlformats.org/officeDocument/2006/relationships/hyperlink" Target="https://www.sj.se/en/search-journey" TargetMode="External"/><Relationship Id="rId1" Type="http://schemas.openxmlformats.org/officeDocument/2006/relationships/hyperlink" Target="https://booknordics.com/sweden/eastern-sweden/stockholm-and-uppsala/stockholm-must-see-3h-tour-vasa-museum-boat-trip-and-old-town-walk-small-group" TargetMode="External"/><Relationship Id="rId6" Type="http://schemas.openxmlformats.org/officeDocument/2006/relationships/hyperlink" Target="https://www.ilovebergen.net/tour/a-walk-through-bergen-past-present/" TargetMode="External"/><Relationship Id="rId11" Type="http://schemas.openxmlformats.org/officeDocument/2006/relationships/printerSettings" Target="../printerSettings/printerSettings6.bin"/><Relationship Id="rId5" Type="http://schemas.openxmlformats.org/officeDocument/2006/relationships/hyperlink" Target="https://www.vy.no/" TargetMode="External"/><Relationship Id="rId10" Type="http://schemas.openxmlformats.org/officeDocument/2006/relationships/hyperlink" Target="https://www.fjordtours.com/en" TargetMode="External"/><Relationship Id="rId4" Type="http://schemas.openxmlformats.org/officeDocument/2006/relationships/hyperlink" Target="https://booknordics.com/norway/eastern-norway/oslo/oslofjord-sightseeing-cruise" TargetMode="External"/><Relationship Id="rId9" Type="http://schemas.openxmlformats.org/officeDocument/2006/relationships/hyperlink" Target="https://booknordics.com/norway/eastern-norway/oslo/oslo-fjord-gourmet-dinner-cruise"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booknordics.com/sweden/western-sweden/gothenburg/private-boat-ride-in-gothenburg-with-pickup" TargetMode="External"/><Relationship Id="rId7" Type="http://schemas.openxmlformats.org/officeDocument/2006/relationships/printerSettings" Target="../printerSettings/printerSettings7.bin"/><Relationship Id="rId2" Type="http://schemas.openxmlformats.org/officeDocument/2006/relationships/hyperlink" Target="https://www.sj.se/en/search-journey" TargetMode="External"/><Relationship Id="rId1" Type="http://schemas.openxmlformats.org/officeDocument/2006/relationships/hyperlink" Target="https://booknordics.com/sweden/eastern-sweden/stockholm-and-uppsala/stockholm-must-see-3h-tour-vasa-museum-boat-trip-and-old-town-walk-small-group" TargetMode="External"/><Relationship Id="rId6" Type="http://schemas.openxmlformats.org/officeDocument/2006/relationships/hyperlink" Target="https://booknordics.com/denmark/eastern-denmark/copenhagen/forest-tower-and-forgotten-giants-a-day-tour-from-copenhagen" TargetMode="External"/><Relationship Id="rId5" Type="http://schemas.openxmlformats.org/officeDocument/2006/relationships/hyperlink" Target="https://booknordics.com/norway/eastern-norway/oslo/oslo-fjord-gourmet-dinner-cruise" TargetMode="External"/><Relationship Id="rId4" Type="http://schemas.openxmlformats.org/officeDocument/2006/relationships/hyperlink" Target="https://booknordics.com/norway/eastern-norway/oslo/oslofjord-sightseeing-cruise"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booknordics.com/sweden/eastern-sweden/stockholm-and-uppsala/stockholm-must-see-3h-tour-vasa-museum-boat-trip-and-old-town-walk-small-group" TargetMode="External"/><Relationship Id="rId7" Type="http://schemas.openxmlformats.org/officeDocument/2006/relationships/printerSettings" Target="../printerSettings/printerSettings8.bin"/><Relationship Id="rId2" Type="http://schemas.openxmlformats.org/officeDocument/2006/relationships/hyperlink" Target="https://www.tallink.com/en" TargetMode="External"/><Relationship Id="rId1" Type="http://schemas.openxmlformats.org/officeDocument/2006/relationships/hyperlink" Target="https://www.tallink.com/en" TargetMode="External"/><Relationship Id="rId6" Type="http://schemas.openxmlformats.org/officeDocument/2006/relationships/hyperlink" Target="https://booknordics.com/denmark/eastern-denmark/copenhagen/forest-tower-and-forgotten-giants-a-day-tour-from-copenhagen" TargetMode="External"/><Relationship Id="rId5" Type="http://schemas.openxmlformats.org/officeDocument/2006/relationships/hyperlink" Target="https://booknordics.com/norway/eastern-norway/oslo/oslo-fjord-gourmet-dinner-cruise" TargetMode="External"/><Relationship Id="rId4" Type="http://schemas.openxmlformats.org/officeDocument/2006/relationships/hyperlink" Target="https://booknordics.com/norway/eastern-norway/oslo/oslofjord-sightseeing-cruise"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booknordics.com/sweden/swedish-lapland/kiruna-and-abisko/northern-light-minibus-hunt-to-abisko-national-park-730-pm" TargetMode="External"/><Relationship Id="rId3" Type="http://schemas.openxmlformats.org/officeDocument/2006/relationships/hyperlink" Target="https://booknordics.com/sweden/swedish-lapland/kiruna-and-abisko/kiruna-northern-lights-tour-with-photographer" TargetMode="External"/><Relationship Id="rId7" Type="http://schemas.openxmlformats.org/officeDocument/2006/relationships/hyperlink" Target="https://www.tromsolapland.no/activities/reindeer-feeding-and-sami-culture" TargetMode="External"/><Relationship Id="rId2" Type="http://schemas.openxmlformats.org/officeDocument/2006/relationships/hyperlink" Target="https://www.sas.no/?origin=ARN&amp;destination=KRN&amp;outboundDate=2026-03-09&amp;tripType=OW" TargetMode="External"/><Relationship Id="rId1" Type="http://schemas.openxmlformats.org/officeDocument/2006/relationships/hyperlink" Target="https://www.norwegian.travel/experiences/northern-lights-train?gad_source=1&amp;gad_campaignid=18898530134&amp;gbraid=0AAAAABgO2GMb-UmsUeYUcraCeTGV3dUfV&amp;gclid=Cj0KCQiA-YvMBhDtARIsAHZuUzIHJiXCjGDEphiljJ4Jw3drp7CKtsmuhGAMWh3kbcfIz0a2KnK91SwaAvw3EALw_wcB" TargetMode="External"/><Relationship Id="rId6" Type="http://schemas.openxmlformats.org/officeDocument/2006/relationships/hyperlink" Target="https://booknordics.com/norway/northern-norway/tromso-region/full-day-magic-of-the-arctic-lights-in-tromso" TargetMode="External"/><Relationship Id="rId5" Type="http://schemas.openxmlformats.org/officeDocument/2006/relationships/hyperlink" Target="https://www.sj.se/en/search-journey/search/Kiruna%20station/Narvik%20station/2026-03-10" TargetMode="External"/><Relationship Id="rId10" Type="http://schemas.openxmlformats.org/officeDocument/2006/relationships/printerSettings" Target="../printerSettings/printerSettings9.bin"/><Relationship Id="rId4" Type="http://schemas.openxmlformats.org/officeDocument/2006/relationships/hyperlink" Target="https://booknordics.com/sweden/swedish-lapland/kiruna-and-abisko/day-tour-with-snowmobile-in-kiruna-1030-am" TargetMode="External"/><Relationship Id="rId9" Type="http://schemas.openxmlformats.org/officeDocument/2006/relationships/hyperlink" Target="https://booknordics.com/norway/northern-norway/tromso-region/reindeer-sledding-reindeer-feeding-and-sami-culture-3"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bestarctic.com/the-arctic-route/arctic-winter-routes-explore-norway-sweden-and-finland/bus-between-tromso-norway-and-rovaniemi-finland/" TargetMode="External"/><Relationship Id="rId13" Type="http://schemas.openxmlformats.org/officeDocument/2006/relationships/hyperlink" Target="https://booknordics.com/sweden/swedish-lapland/kiruna-and-abisko/northern-light-minibus-hunt-to-abisko-national-park-730-pm" TargetMode="External"/><Relationship Id="rId3" Type="http://schemas.openxmlformats.org/officeDocument/2006/relationships/hyperlink" Target="https://booknordics.com/sweden/swedish-lapland/kiruna-and-abisko/kiruna-northern-lights-tour-with-photographer" TargetMode="External"/><Relationship Id="rId7" Type="http://schemas.openxmlformats.org/officeDocument/2006/relationships/hyperlink" Target="https://www.tromsolapland.no/activities/reindeer-feeding-and-sami-culture" TargetMode="External"/><Relationship Id="rId12" Type="http://schemas.openxmlformats.org/officeDocument/2006/relationships/hyperlink" Target="https://booknordics.com/finland/western-lapland/rovaniemi/korouoma-frozen-waterfalls-hike-tour-barbeque-small-group" TargetMode="External"/><Relationship Id="rId17" Type="http://schemas.openxmlformats.org/officeDocument/2006/relationships/printerSettings" Target="../printerSettings/printerSettings10.bin"/><Relationship Id="rId2" Type="http://schemas.openxmlformats.org/officeDocument/2006/relationships/hyperlink" Target="https://www.sas.no/?origin=ARN&amp;destination=KRN&amp;outboundDate=2026-03-09&amp;tripType=OW" TargetMode="External"/><Relationship Id="rId16" Type="http://schemas.openxmlformats.org/officeDocument/2006/relationships/hyperlink" Target="https://booknordics.com/finland/western-lapland/rovaniemi/polar-explorer-icebreaker-dancing-queen-party-cruise-and-lunch-with-shuttle-bus-transportation-from-rovaniemi" TargetMode="External"/><Relationship Id="rId1" Type="http://schemas.openxmlformats.org/officeDocument/2006/relationships/hyperlink" Target="https://www.norwegian.travel/experiences/northern-lights-train?gad_source=1&amp;gad_campaignid=18898530134&amp;gbraid=0AAAAABgO2GMb-UmsUeYUcraCeTGV3dUfV&amp;gclid=Cj0KCQiA-YvMBhDtARIsAHZuUzIHJiXCjGDEphiljJ4Jw3drp7CKtsmuhGAMWh3kbcfIz0a2KnK91SwaAvw3EALw_wcB" TargetMode="External"/><Relationship Id="rId6" Type="http://schemas.openxmlformats.org/officeDocument/2006/relationships/hyperlink" Target="https://booknordics.com/norway/northern-norway/tromso-region/full-day-magic-of-the-arctic-lights-in-tromso" TargetMode="External"/><Relationship Id="rId11" Type="http://schemas.openxmlformats.org/officeDocument/2006/relationships/hyperlink" Target="https://booknordics.com/finland/western-lapland/rovaniemi/arctic-wildlife-adventure-ranua-wildlife-park-trip" TargetMode="External"/><Relationship Id="rId5" Type="http://schemas.openxmlformats.org/officeDocument/2006/relationships/hyperlink" Target="https://www.sj.se/en/search-journey/search/Kiruna%20station/Narvik%20station/2026-03-10" TargetMode="External"/><Relationship Id="rId15" Type="http://schemas.openxmlformats.org/officeDocument/2006/relationships/hyperlink" Target="https://booknordics.com/finland/western-lapland/rovaniemi/family-day-snowmobile-arctic-animals-and-santa-village" TargetMode="External"/><Relationship Id="rId10" Type="http://schemas.openxmlformats.org/officeDocument/2006/relationships/hyperlink" Target="https://booknordics.com/finland/western-lapland/rovaniemi/aurora-quest-by-minibus" TargetMode="External"/><Relationship Id="rId4" Type="http://schemas.openxmlformats.org/officeDocument/2006/relationships/hyperlink" Target="https://booknordics.com/sweden/swedish-lapland/kiruna-and-abisko/day-tour-with-snowmobile-in-kiruna-1030-am" TargetMode="External"/><Relationship Id="rId9" Type="http://schemas.openxmlformats.org/officeDocument/2006/relationships/hyperlink" Target="https://booknordics.com/finland/western-lapland/rovaniemi/arctic-circle-highlights-family-day-by-minibus" TargetMode="External"/><Relationship Id="rId14" Type="http://schemas.openxmlformats.org/officeDocument/2006/relationships/hyperlink" Target="https://booknordics.com/norway/northern-norway/tromso-region/reindeer-sledding-reindeer-feeding-and-sami-culture-3"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904EA-7225-42CC-89DC-05C1D7355F04}">
  <dimension ref="B1:C7"/>
  <sheetViews>
    <sheetView workbookViewId="0">
      <selection activeCell="C3" sqref="C3"/>
    </sheetView>
  </sheetViews>
  <sheetFormatPr defaultRowHeight="15" x14ac:dyDescent="0.25"/>
  <cols>
    <col min="1" max="1" width="2.5703125" customWidth="1"/>
  </cols>
  <sheetData>
    <row r="1" spans="2:3" x14ac:dyDescent="0.25">
      <c r="C1" t="s">
        <v>8</v>
      </c>
    </row>
    <row r="2" spans="2:3" x14ac:dyDescent="0.25">
      <c r="B2" t="s">
        <v>10</v>
      </c>
      <c r="C2">
        <v>11</v>
      </c>
    </row>
    <row r="3" spans="2:3" x14ac:dyDescent="0.25">
      <c r="B3" t="s">
        <v>15</v>
      </c>
      <c r="C3">
        <v>1.08</v>
      </c>
    </row>
    <row r="4" spans="2:3" x14ac:dyDescent="0.25">
      <c r="B4" t="s">
        <v>16</v>
      </c>
      <c r="C4">
        <v>1.5</v>
      </c>
    </row>
    <row r="5" spans="2:3" x14ac:dyDescent="0.25">
      <c r="B5" t="s">
        <v>17</v>
      </c>
      <c r="C5">
        <v>7.4999999999999997E-2</v>
      </c>
    </row>
    <row r="6" spans="2:3" x14ac:dyDescent="0.25">
      <c r="B6" t="s">
        <v>8</v>
      </c>
      <c r="C6">
        <v>1</v>
      </c>
    </row>
    <row r="7" spans="2:3" x14ac:dyDescent="0.25">
      <c r="B7" t="s">
        <v>31</v>
      </c>
      <c r="C7">
        <v>10.6</v>
      </c>
    </row>
  </sheetData>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8C7C7-5B69-4B39-9516-EE434B0BACAB}">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EB151-56F1-41E1-A1C9-7751D4601CC5}">
  <sheetPr>
    <tabColor rgb="FFFFFF00"/>
  </sheetPr>
  <dimension ref="B1:AK124"/>
  <sheetViews>
    <sheetView zoomScale="80" zoomScaleNormal="80" workbookViewId="0">
      <selection activeCell="F15" sqref="F15"/>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1" spans="2:36" x14ac:dyDescent="0.25">
      <c r="B1" s="2" t="s">
        <v>84</v>
      </c>
    </row>
    <row r="2" spans="2:36" x14ac:dyDescent="0.25">
      <c r="B2" s="2" t="s">
        <v>83</v>
      </c>
    </row>
    <row r="3" spans="2:36" x14ac:dyDescent="0.25">
      <c r="B3" s="2" t="s">
        <v>50</v>
      </c>
    </row>
    <row r="4" spans="2:36" x14ac:dyDescent="0.25">
      <c r="B4" s="2" t="s">
        <v>51</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52</v>
      </c>
      <c r="D7" s="1" t="s">
        <v>53</v>
      </c>
      <c r="E7" s="3"/>
      <c r="F7" s="3"/>
      <c r="G7" s="3"/>
      <c r="H7" s="3"/>
      <c r="K7" s="4"/>
      <c r="L7" s="4"/>
      <c r="M7" s="4"/>
      <c r="N7" s="4"/>
      <c r="O7" s="4"/>
      <c r="P7" s="27"/>
      <c r="Q7" s="25">
        <v>0</v>
      </c>
      <c r="R7" s="25">
        <v>0</v>
      </c>
      <c r="S7" s="12">
        <f t="shared" ref="S7:S9" si="0">+Q7*R7</f>
        <v>0</v>
      </c>
      <c r="T7" s="5">
        <v>0</v>
      </c>
      <c r="U7" s="12">
        <f>S7*(1-T7)</f>
        <v>0</v>
      </c>
      <c r="V7" s="25" t="s">
        <v>10</v>
      </c>
      <c r="W7" s="11">
        <f>IFERROR(VLOOKUP(V7,[1]Curr!$B$2:$C$13,2,FALSE),0)</f>
        <v>11.3</v>
      </c>
      <c r="X7" s="12">
        <f t="shared" ref="X7:X9" si="1">U7*W7</f>
        <v>0</v>
      </c>
      <c r="Y7" s="26">
        <f>Q7</f>
        <v>0</v>
      </c>
      <c r="Z7" s="12">
        <f t="shared" ref="Z7:Z9" si="2">+Y7*R7</f>
        <v>0</v>
      </c>
      <c r="AA7" s="4" t="s">
        <v>10</v>
      </c>
      <c r="AB7" s="11">
        <f>IFERROR(VLOOKUP(AA7,Curr!$B$2:$C$13,2,FALSE),0)</f>
        <v>11</v>
      </c>
      <c r="AC7" s="12">
        <f t="shared" ref="AC7:AC9" si="3">+Y7*AB7*R7</f>
        <v>0</v>
      </c>
      <c r="AD7" s="12">
        <f t="shared" ref="AD7:AD9" si="4">+AC7-X7</f>
        <v>0</v>
      </c>
      <c r="AE7" s="13">
        <f t="shared" ref="AE7:AE9" si="5">IFERROR(AD7/AC7,0)</f>
        <v>0</v>
      </c>
    </row>
    <row r="8" spans="2:36" x14ac:dyDescent="0.25">
      <c r="B8" s="4"/>
      <c r="C8" s="1" t="s">
        <v>52</v>
      </c>
      <c r="D8" s="1" t="s">
        <v>54</v>
      </c>
      <c r="E8" s="3"/>
      <c r="F8" s="3"/>
      <c r="G8" s="24"/>
      <c r="H8" s="24"/>
      <c r="K8" s="4"/>
      <c r="L8" s="4"/>
      <c r="M8" s="4"/>
      <c r="N8" s="4"/>
      <c r="O8" s="4"/>
      <c r="P8" s="27"/>
      <c r="Q8" s="25">
        <v>0</v>
      </c>
      <c r="R8" s="25">
        <v>0</v>
      </c>
      <c r="S8" s="12">
        <f t="shared" si="0"/>
        <v>0</v>
      </c>
      <c r="T8" s="5">
        <v>0</v>
      </c>
      <c r="U8" s="12">
        <f t="shared" ref="U8:U71" si="6">S8*(1-T8)</f>
        <v>0</v>
      </c>
      <c r="V8" s="25" t="s">
        <v>10</v>
      </c>
      <c r="W8" s="11">
        <f>IFERROR(VLOOKUP(V8,[1]Curr!$B$2:$C$13,2,FALSE),0)</f>
        <v>11.3</v>
      </c>
      <c r="X8" s="12">
        <f t="shared" si="1"/>
        <v>0</v>
      </c>
      <c r="Y8" s="26">
        <f t="shared" ref="Y8:Y71" si="7">Q8</f>
        <v>0</v>
      </c>
      <c r="Z8" s="12">
        <f t="shared" si="2"/>
        <v>0</v>
      </c>
      <c r="AA8" s="4" t="s">
        <v>10</v>
      </c>
      <c r="AB8" s="11">
        <f>IFERROR(VLOOKUP(AA8,Curr!$B$2:$C$13,2,FALSE),0)</f>
        <v>11</v>
      </c>
      <c r="AC8" s="12">
        <f t="shared" si="3"/>
        <v>0</v>
      </c>
      <c r="AD8" s="12">
        <f t="shared" si="4"/>
        <v>0</v>
      </c>
      <c r="AE8" s="13">
        <f t="shared" si="5"/>
        <v>0</v>
      </c>
    </row>
    <row r="9" spans="2:36" x14ac:dyDescent="0.25">
      <c r="B9" s="4"/>
      <c r="C9" s="1" t="s">
        <v>52</v>
      </c>
      <c r="D9" s="1" t="s">
        <v>55</v>
      </c>
      <c r="E9" s="3"/>
      <c r="F9" s="3"/>
      <c r="G9" s="24"/>
      <c r="H9" s="24"/>
      <c r="K9" s="4"/>
      <c r="L9" s="4"/>
      <c r="M9" s="4"/>
      <c r="N9" s="4"/>
      <c r="O9" s="4"/>
      <c r="P9" s="33"/>
      <c r="Q9" s="25">
        <v>0</v>
      </c>
      <c r="R9" s="25">
        <v>0</v>
      </c>
      <c r="S9" s="12">
        <f t="shared" si="0"/>
        <v>0</v>
      </c>
      <c r="T9" s="5">
        <v>0</v>
      </c>
      <c r="U9" s="12">
        <f t="shared" si="6"/>
        <v>0</v>
      </c>
      <c r="V9" s="25" t="s">
        <v>10</v>
      </c>
      <c r="W9" s="11">
        <f>IFERROR(VLOOKUP(V9,[1]Curr!$B$2:$C$13,2,FALSE),0)</f>
        <v>11.3</v>
      </c>
      <c r="X9" s="12">
        <f t="shared" si="1"/>
        <v>0</v>
      </c>
      <c r="Y9" s="26">
        <f t="shared" si="7"/>
        <v>0</v>
      </c>
      <c r="Z9" s="12">
        <f t="shared" si="2"/>
        <v>0</v>
      </c>
      <c r="AA9" s="4" t="s">
        <v>10</v>
      </c>
      <c r="AB9" s="11">
        <f>IFERROR(VLOOKUP(AA9,Curr!$B$2:$C$13,2,FALSE),0)</f>
        <v>11</v>
      </c>
      <c r="AC9" s="12">
        <f t="shared" si="3"/>
        <v>0</v>
      </c>
      <c r="AD9" s="12">
        <f t="shared" si="4"/>
        <v>0</v>
      </c>
      <c r="AE9" s="13">
        <f t="shared" si="5"/>
        <v>0</v>
      </c>
    </row>
    <row r="10" spans="2:36" x14ac:dyDescent="0.25">
      <c r="B10" s="4"/>
      <c r="C10" s="1" t="s">
        <v>52</v>
      </c>
      <c r="D10" s="1" t="s">
        <v>56</v>
      </c>
      <c r="E10" s="3"/>
      <c r="F10" s="3"/>
      <c r="G10" s="24"/>
      <c r="H10" s="24"/>
      <c r="K10" s="4"/>
      <c r="L10" s="4"/>
      <c r="M10" s="4"/>
      <c r="N10" s="4"/>
      <c r="O10" s="4"/>
      <c r="P10" s="27"/>
      <c r="Q10" s="25">
        <v>0</v>
      </c>
      <c r="R10" s="25">
        <v>0</v>
      </c>
      <c r="S10" s="12">
        <f t="shared" ref="S10:S73" si="8">+Q10*R10</f>
        <v>0</v>
      </c>
      <c r="T10" s="5">
        <v>0</v>
      </c>
      <c r="U10" s="12">
        <f t="shared" si="6"/>
        <v>0</v>
      </c>
      <c r="V10" s="25" t="s">
        <v>10</v>
      </c>
      <c r="W10" s="11">
        <f>IFERROR(VLOOKUP(V10,[1]Curr!$B$2:$C$13,2,FALSE),0)</f>
        <v>11.3</v>
      </c>
      <c r="X10" s="12">
        <f t="shared" ref="X10:X73" si="9">U10*W10</f>
        <v>0</v>
      </c>
      <c r="Y10" s="26">
        <f t="shared" si="7"/>
        <v>0</v>
      </c>
      <c r="Z10" s="12">
        <f t="shared" ref="Z10:Z73" si="10">+Y10*R10</f>
        <v>0</v>
      </c>
      <c r="AA10" s="4" t="s">
        <v>10</v>
      </c>
      <c r="AB10" s="11">
        <f>IFERROR(VLOOKUP(AA10,Curr!$B$2:$C$13,2,FALSE),0)</f>
        <v>11</v>
      </c>
      <c r="AC10" s="12">
        <f t="shared" ref="AC10:AC73" si="11">+Y10*AB10*R10</f>
        <v>0</v>
      </c>
      <c r="AD10" s="12">
        <f t="shared" ref="AD10:AD73" si="12">+AC10-X10</f>
        <v>0</v>
      </c>
      <c r="AE10" s="13">
        <f t="shared" ref="AE10:AE73" si="13">IFERROR(AD10/AC10,0)</f>
        <v>0</v>
      </c>
    </row>
    <row r="11" spans="2:36" x14ac:dyDescent="0.25">
      <c r="B11" s="4"/>
      <c r="E11" s="3"/>
      <c r="F11" s="3"/>
      <c r="G11" s="24"/>
      <c r="H11" s="24"/>
      <c r="K11" s="4"/>
      <c r="L11" s="4"/>
      <c r="M11" s="4"/>
      <c r="N11" s="4"/>
      <c r="O11" s="4"/>
      <c r="P11" s="27"/>
      <c r="Q11" s="25">
        <v>0</v>
      </c>
      <c r="R11" s="25">
        <v>0</v>
      </c>
      <c r="S11" s="12">
        <f t="shared" si="8"/>
        <v>0</v>
      </c>
      <c r="T11" s="5">
        <v>0</v>
      </c>
      <c r="U11" s="12">
        <f t="shared" si="6"/>
        <v>0</v>
      </c>
      <c r="V11" s="25" t="s">
        <v>10</v>
      </c>
      <c r="W11" s="11">
        <f>IFERROR(VLOOKUP(V11,[1]Curr!$B$2:$C$13,2,FALSE),0)</f>
        <v>11.3</v>
      </c>
      <c r="X11" s="12">
        <f t="shared" si="9"/>
        <v>0</v>
      </c>
      <c r="Y11" s="26">
        <f t="shared" si="7"/>
        <v>0</v>
      </c>
      <c r="Z11" s="12">
        <f t="shared" si="10"/>
        <v>0</v>
      </c>
      <c r="AA11" s="4" t="s">
        <v>10</v>
      </c>
      <c r="AB11" s="11">
        <f>IFERROR(VLOOKUP(AA11,Curr!$B$2:$C$13,2,FALSE),0)</f>
        <v>11</v>
      </c>
      <c r="AC11" s="12">
        <f t="shared" si="11"/>
        <v>0</v>
      </c>
      <c r="AD11" s="12">
        <f t="shared" si="12"/>
        <v>0</v>
      </c>
      <c r="AE11" s="13">
        <f t="shared" si="13"/>
        <v>0</v>
      </c>
    </row>
    <row r="12" spans="2:36" x14ac:dyDescent="0.25">
      <c r="B12" s="4"/>
      <c r="C12" s="1" t="s">
        <v>59</v>
      </c>
      <c r="E12" s="3"/>
      <c r="F12" s="3"/>
      <c r="G12" s="24"/>
      <c r="H12" s="24"/>
      <c r="K12" s="4"/>
      <c r="L12" s="4"/>
      <c r="M12" s="4"/>
      <c r="N12" s="4"/>
      <c r="O12" s="4"/>
      <c r="P12" s="33"/>
      <c r="Q12" s="25">
        <v>0</v>
      </c>
      <c r="R12" s="25">
        <v>0</v>
      </c>
      <c r="S12" s="12">
        <f t="shared" si="8"/>
        <v>0</v>
      </c>
      <c r="T12" s="5">
        <v>0</v>
      </c>
      <c r="U12" s="12">
        <f t="shared" si="6"/>
        <v>0</v>
      </c>
      <c r="V12" s="25" t="s">
        <v>10</v>
      </c>
      <c r="W12" s="11">
        <f>IFERROR(VLOOKUP(V12,[1]Curr!$B$2:$C$13,2,FALSE),0)</f>
        <v>11.3</v>
      </c>
      <c r="X12" s="12">
        <f t="shared" si="9"/>
        <v>0</v>
      </c>
      <c r="Y12" s="26">
        <f t="shared" si="7"/>
        <v>0</v>
      </c>
      <c r="Z12" s="12">
        <f t="shared" si="10"/>
        <v>0</v>
      </c>
      <c r="AA12" s="4" t="s">
        <v>10</v>
      </c>
      <c r="AB12" s="11">
        <f>IFERROR(VLOOKUP(AA12,Curr!$B$2:$C$13,2,FALSE),0)</f>
        <v>11</v>
      </c>
      <c r="AC12" s="12">
        <f t="shared" si="11"/>
        <v>0</v>
      </c>
      <c r="AD12" s="12">
        <f t="shared" si="12"/>
        <v>0</v>
      </c>
      <c r="AE12" s="13">
        <f t="shared" si="13"/>
        <v>0</v>
      </c>
    </row>
    <row r="13" spans="2:36" x14ac:dyDescent="0.25">
      <c r="B13" s="4"/>
      <c r="E13" s="3"/>
      <c r="F13" s="3"/>
      <c r="G13" s="24"/>
      <c r="H13" s="24"/>
      <c r="K13" s="4"/>
      <c r="L13" s="4"/>
      <c r="M13" s="4"/>
      <c r="N13" s="4"/>
      <c r="O13" s="4"/>
      <c r="P13" s="27"/>
      <c r="Q13" s="25">
        <v>0</v>
      </c>
      <c r="R13" s="25">
        <v>0</v>
      </c>
      <c r="S13" s="12">
        <f t="shared" si="8"/>
        <v>0</v>
      </c>
      <c r="T13" s="5">
        <v>0</v>
      </c>
      <c r="U13" s="12">
        <f t="shared" si="6"/>
        <v>0</v>
      </c>
      <c r="V13" s="25" t="s">
        <v>10</v>
      </c>
      <c r="W13" s="11">
        <f>IFERROR(VLOOKUP(V13,[1]Curr!$B$2:$C$13,2,FALSE),0)</f>
        <v>11.3</v>
      </c>
      <c r="X13" s="12">
        <f t="shared" si="9"/>
        <v>0</v>
      </c>
      <c r="Y13" s="26">
        <f t="shared" si="7"/>
        <v>0</v>
      </c>
      <c r="Z13" s="12">
        <f t="shared" si="10"/>
        <v>0</v>
      </c>
      <c r="AA13" s="4" t="s">
        <v>10</v>
      </c>
      <c r="AB13" s="11">
        <f>IFERROR(VLOOKUP(AA13,Curr!$B$2:$C$13,2,FALSE),0)</f>
        <v>11</v>
      </c>
      <c r="AC13" s="12">
        <f t="shared" si="11"/>
        <v>0</v>
      </c>
      <c r="AD13" s="12">
        <f t="shared" si="12"/>
        <v>0</v>
      </c>
      <c r="AE13" s="13">
        <f t="shared" si="13"/>
        <v>0</v>
      </c>
    </row>
    <row r="14" spans="2:36" x14ac:dyDescent="0.25">
      <c r="B14" s="4"/>
      <c r="E14" s="3"/>
      <c r="F14" s="3"/>
      <c r="G14" s="24"/>
      <c r="H14" s="24"/>
      <c r="K14" s="4"/>
      <c r="L14" s="4"/>
      <c r="M14" s="4"/>
      <c r="N14" s="4"/>
      <c r="O14" s="4"/>
      <c r="P14" s="33"/>
      <c r="Q14" s="25">
        <v>0</v>
      </c>
      <c r="R14" s="25">
        <v>0</v>
      </c>
      <c r="S14" s="12">
        <f t="shared" si="8"/>
        <v>0</v>
      </c>
      <c r="T14" s="5">
        <v>0</v>
      </c>
      <c r="U14" s="12">
        <f t="shared" si="6"/>
        <v>0</v>
      </c>
      <c r="V14" s="25" t="s">
        <v>10</v>
      </c>
      <c r="W14" s="11">
        <f>IFERROR(VLOOKUP(V14,[1]Curr!$B$2:$C$13,2,FALSE),0)</f>
        <v>11.3</v>
      </c>
      <c r="X14" s="12">
        <f t="shared" si="9"/>
        <v>0</v>
      </c>
      <c r="Y14" s="26">
        <f t="shared" si="7"/>
        <v>0</v>
      </c>
      <c r="Z14" s="12">
        <f t="shared" si="10"/>
        <v>0</v>
      </c>
      <c r="AA14" s="4" t="s">
        <v>10</v>
      </c>
      <c r="AB14" s="11">
        <f>IFERROR(VLOOKUP(AA14,Curr!$B$2:$C$13,2,FALSE),0)</f>
        <v>11</v>
      </c>
      <c r="AC14" s="12">
        <f t="shared" si="11"/>
        <v>0</v>
      </c>
      <c r="AD14" s="12">
        <f t="shared" si="12"/>
        <v>0</v>
      </c>
      <c r="AE14" s="13">
        <f t="shared" si="13"/>
        <v>0</v>
      </c>
    </row>
    <row r="15" spans="2:36" x14ac:dyDescent="0.25">
      <c r="B15" s="4"/>
      <c r="E15" s="3"/>
      <c r="F15" s="3"/>
      <c r="G15" s="24"/>
      <c r="H15" s="24"/>
      <c r="K15" s="4"/>
      <c r="L15" s="4"/>
      <c r="M15" s="4"/>
      <c r="N15" s="4"/>
      <c r="O15" s="4"/>
      <c r="P15" s="27"/>
      <c r="Q15" s="25">
        <v>0</v>
      </c>
      <c r="R15" s="25">
        <v>0</v>
      </c>
      <c r="S15" s="12">
        <f t="shared" si="8"/>
        <v>0</v>
      </c>
      <c r="T15" s="5">
        <v>0</v>
      </c>
      <c r="U15" s="12">
        <f t="shared" si="6"/>
        <v>0</v>
      </c>
      <c r="V15" s="25" t="s">
        <v>10</v>
      </c>
      <c r="W15" s="11">
        <f>IFERROR(VLOOKUP(V15,[1]Curr!$B$2:$C$13,2,FALSE),0)</f>
        <v>11.3</v>
      </c>
      <c r="X15" s="12">
        <f t="shared" si="9"/>
        <v>0</v>
      </c>
      <c r="Y15" s="26">
        <f t="shared" si="7"/>
        <v>0</v>
      </c>
      <c r="Z15" s="12">
        <f t="shared" si="10"/>
        <v>0</v>
      </c>
      <c r="AA15" s="4" t="s">
        <v>10</v>
      </c>
      <c r="AB15" s="11">
        <f>IFERROR(VLOOKUP(AA15,Curr!$B$2:$C$13,2,FALSE),0)</f>
        <v>11</v>
      </c>
      <c r="AC15" s="12">
        <f t="shared" si="11"/>
        <v>0</v>
      </c>
      <c r="AD15" s="12">
        <f t="shared" si="12"/>
        <v>0</v>
      </c>
      <c r="AE15" s="13">
        <f t="shared" si="13"/>
        <v>0</v>
      </c>
    </row>
    <row r="16" spans="2:36" x14ac:dyDescent="0.25">
      <c r="B16" s="4"/>
      <c r="E16" s="3"/>
      <c r="F16" s="3"/>
      <c r="G16" s="24"/>
      <c r="H16" s="24"/>
      <c r="K16" s="4"/>
      <c r="L16" s="4"/>
      <c r="M16" s="4"/>
      <c r="N16" s="4"/>
      <c r="O16" s="4"/>
      <c r="P16" s="33"/>
      <c r="Q16" s="25">
        <v>0</v>
      </c>
      <c r="R16" s="25">
        <v>0</v>
      </c>
      <c r="S16" s="12">
        <f t="shared" si="8"/>
        <v>0</v>
      </c>
      <c r="T16" s="5">
        <v>0</v>
      </c>
      <c r="U16" s="12">
        <f t="shared" si="6"/>
        <v>0</v>
      </c>
      <c r="V16" s="25" t="s">
        <v>10</v>
      </c>
      <c r="W16" s="11">
        <f>IFERROR(VLOOKUP(V16,[1]Curr!$B$2:$C$13,2,FALSE),0)</f>
        <v>11.3</v>
      </c>
      <c r="X16" s="12">
        <f t="shared" si="9"/>
        <v>0</v>
      </c>
      <c r="Y16" s="26">
        <f t="shared" si="7"/>
        <v>0</v>
      </c>
      <c r="Z16" s="12">
        <f t="shared" si="10"/>
        <v>0</v>
      </c>
      <c r="AA16" s="4" t="s">
        <v>10</v>
      </c>
      <c r="AB16" s="11">
        <f>IFERROR(VLOOKUP(AA16,Curr!$B$2:$C$13,2,FALSE),0)</f>
        <v>11</v>
      </c>
      <c r="AC16" s="12">
        <f t="shared" si="11"/>
        <v>0</v>
      </c>
      <c r="AD16" s="12">
        <f t="shared" si="12"/>
        <v>0</v>
      </c>
      <c r="AE16" s="13">
        <f t="shared" si="13"/>
        <v>0</v>
      </c>
    </row>
    <row r="17" spans="2:31" x14ac:dyDescent="0.25">
      <c r="B17" s="4"/>
      <c r="E17" s="3"/>
      <c r="F17" s="3"/>
      <c r="G17" s="24"/>
      <c r="H17" s="24"/>
      <c r="K17" s="4"/>
      <c r="L17" s="4"/>
      <c r="M17" s="4"/>
      <c r="N17" s="4"/>
      <c r="O17" s="4"/>
      <c r="P17" s="29"/>
      <c r="Q17" s="25">
        <v>0</v>
      </c>
      <c r="R17" s="25">
        <v>0</v>
      </c>
      <c r="S17" s="12">
        <f t="shared" si="8"/>
        <v>0</v>
      </c>
      <c r="T17" s="5">
        <v>0</v>
      </c>
      <c r="U17" s="12">
        <f t="shared" si="6"/>
        <v>0</v>
      </c>
      <c r="V17" s="25" t="s">
        <v>10</v>
      </c>
      <c r="W17" s="11">
        <f>IFERROR(VLOOKUP(V17,[1]Curr!$B$2:$C$13,2,FALSE),0)</f>
        <v>11.3</v>
      </c>
      <c r="X17" s="12">
        <f t="shared" si="9"/>
        <v>0</v>
      </c>
      <c r="Y17" s="26">
        <f t="shared" si="7"/>
        <v>0</v>
      </c>
      <c r="Z17" s="12">
        <f t="shared" si="10"/>
        <v>0</v>
      </c>
      <c r="AA17" s="4" t="s">
        <v>10</v>
      </c>
      <c r="AB17" s="11">
        <f>IFERROR(VLOOKUP(AA17,Curr!$B$2:$C$13,2,FALSE),0)</f>
        <v>11</v>
      </c>
      <c r="AC17" s="12">
        <f t="shared" si="11"/>
        <v>0</v>
      </c>
      <c r="AD17" s="12">
        <f t="shared" si="12"/>
        <v>0</v>
      </c>
      <c r="AE17" s="13">
        <f t="shared" si="13"/>
        <v>0</v>
      </c>
    </row>
    <row r="18" spans="2:31" x14ac:dyDescent="0.25">
      <c r="B18" s="4"/>
      <c r="E18" s="3"/>
      <c r="F18" s="3"/>
      <c r="G18" s="24"/>
      <c r="H18" s="24"/>
      <c r="K18" s="4"/>
      <c r="L18" s="4"/>
      <c r="M18" s="4"/>
      <c r="N18" s="4"/>
      <c r="O18" s="4"/>
      <c r="P18" s="27"/>
      <c r="Q18" s="25">
        <v>0</v>
      </c>
      <c r="R18" s="25">
        <v>0</v>
      </c>
      <c r="S18" s="12">
        <f t="shared" si="8"/>
        <v>0</v>
      </c>
      <c r="T18" s="5">
        <v>0</v>
      </c>
      <c r="U18" s="12">
        <f t="shared" si="6"/>
        <v>0</v>
      </c>
      <c r="V18" s="25" t="s">
        <v>10</v>
      </c>
      <c r="W18" s="11">
        <f>IFERROR(VLOOKUP(V18,[1]Curr!$B$2:$C$13,2,FALSE),0)</f>
        <v>11.3</v>
      </c>
      <c r="X18" s="12">
        <f t="shared" si="9"/>
        <v>0</v>
      </c>
      <c r="Y18" s="26">
        <f t="shared" si="7"/>
        <v>0</v>
      </c>
      <c r="Z18" s="12">
        <f t="shared" si="10"/>
        <v>0</v>
      </c>
      <c r="AA18" s="4" t="s">
        <v>10</v>
      </c>
      <c r="AB18" s="11">
        <f>IFERROR(VLOOKUP(AA18,Curr!$B$2:$C$13,2,FALSE),0)</f>
        <v>11</v>
      </c>
      <c r="AC18" s="12">
        <f t="shared" si="11"/>
        <v>0</v>
      </c>
      <c r="AD18" s="12">
        <f t="shared" si="12"/>
        <v>0</v>
      </c>
      <c r="AE18" s="13">
        <f t="shared" si="13"/>
        <v>0</v>
      </c>
    </row>
    <row r="19" spans="2:31" x14ac:dyDescent="0.25">
      <c r="B19" s="4"/>
      <c r="E19" s="3"/>
      <c r="F19" s="3"/>
      <c r="G19" s="24"/>
      <c r="H19" s="24"/>
      <c r="K19" s="4"/>
      <c r="L19" s="4"/>
      <c r="M19" s="4"/>
      <c r="N19" s="4"/>
      <c r="O19" s="4"/>
      <c r="P19" s="27"/>
      <c r="Q19" s="25">
        <v>0</v>
      </c>
      <c r="R19" s="25">
        <v>0</v>
      </c>
      <c r="S19" s="12">
        <f t="shared" si="8"/>
        <v>0</v>
      </c>
      <c r="T19" s="5">
        <v>0</v>
      </c>
      <c r="U19" s="12">
        <f t="shared" si="6"/>
        <v>0</v>
      </c>
      <c r="V19" s="25" t="s">
        <v>10</v>
      </c>
      <c r="W19" s="11">
        <f>IFERROR(VLOOKUP(V19,[1]Curr!$B$2:$C$13,2,FALSE),0)</f>
        <v>11.3</v>
      </c>
      <c r="X19" s="12">
        <f t="shared" si="9"/>
        <v>0</v>
      </c>
      <c r="Y19" s="26">
        <f t="shared" si="7"/>
        <v>0</v>
      </c>
      <c r="Z19" s="12">
        <f t="shared" si="10"/>
        <v>0</v>
      </c>
      <c r="AA19" s="4" t="s">
        <v>10</v>
      </c>
      <c r="AB19" s="11">
        <f>IFERROR(VLOOKUP(AA19,Curr!$B$2:$C$13,2,FALSE),0)</f>
        <v>11</v>
      </c>
      <c r="AC19" s="12">
        <f t="shared" si="11"/>
        <v>0</v>
      </c>
      <c r="AD19" s="12">
        <f t="shared" si="12"/>
        <v>0</v>
      </c>
      <c r="AE19" s="13">
        <f t="shared" si="13"/>
        <v>0</v>
      </c>
    </row>
    <row r="20" spans="2:31" x14ac:dyDescent="0.25">
      <c r="B20" s="4"/>
      <c r="E20" s="3"/>
      <c r="F20" s="3"/>
      <c r="G20" s="24"/>
      <c r="H20" s="24"/>
      <c r="K20" s="4"/>
      <c r="L20" s="4"/>
      <c r="M20" s="4"/>
      <c r="N20" s="4"/>
      <c r="O20" s="4"/>
      <c r="P20" s="27"/>
      <c r="Q20" s="25">
        <v>0</v>
      </c>
      <c r="R20" s="25">
        <v>0</v>
      </c>
      <c r="S20" s="12">
        <f t="shared" si="8"/>
        <v>0</v>
      </c>
      <c r="T20" s="5">
        <v>0</v>
      </c>
      <c r="U20" s="12">
        <f t="shared" si="6"/>
        <v>0</v>
      </c>
      <c r="V20" s="25" t="s">
        <v>10</v>
      </c>
      <c r="W20" s="11">
        <f>IFERROR(VLOOKUP(V20,[1]Curr!$B$2:$C$13,2,FALSE),0)</f>
        <v>11.3</v>
      </c>
      <c r="X20" s="12">
        <f t="shared" si="9"/>
        <v>0</v>
      </c>
      <c r="Y20" s="26">
        <f t="shared" si="7"/>
        <v>0</v>
      </c>
      <c r="Z20" s="12">
        <f t="shared" si="10"/>
        <v>0</v>
      </c>
      <c r="AA20" s="4" t="s">
        <v>10</v>
      </c>
      <c r="AB20" s="11">
        <f>IFERROR(VLOOKUP(AA20,Curr!$B$2:$C$13,2,FALSE),0)</f>
        <v>11</v>
      </c>
      <c r="AC20" s="12">
        <f t="shared" si="11"/>
        <v>0</v>
      </c>
      <c r="AD20" s="12">
        <f t="shared" si="12"/>
        <v>0</v>
      </c>
      <c r="AE20" s="13">
        <f t="shared" si="13"/>
        <v>0</v>
      </c>
    </row>
    <row r="21" spans="2:31" x14ac:dyDescent="0.25">
      <c r="B21" s="4"/>
      <c r="E21" s="3"/>
      <c r="F21" s="3"/>
      <c r="G21" s="24"/>
      <c r="H21" s="24"/>
      <c r="K21" s="4"/>
      <c r="L21" s="4"/>
      <c r="M21" s="4"/>
      <c r="N21" s="4"/>
      <c r="O21" s="4"/>
      <c r="P21" s="33"/>
      <c r="Q21" s="25">
        <v>0</v>
      </c>
      <c r="R21" s="25">
        <v>0</v>
      </c>
      <c r="S21" s="12">
        <f t="shared" si="8"/>
        <v>0</v>
      </c>
      <c r="T21" s="5">
        <v>0</v>
      </c>
      <c r="U21" s="12">
        <f t="shared" si="6"/>
        <v>0</v>
      </c>
      <c r="V21" s="25" t="s">
        <v>10</v>
      </c>
      <c r="W21" s="11">
        <f>IFERROR(VLOOKUP(V21,[1]Curr!$B$2:$C$13,2,FALSE),0)</f>
        <v>11.3</v>
      </c>
      <c r="X21" s="12">
        <f t="shared" si="9"/>
        <v>0</v>
      </c>
      <c r="Y21" s="26">
        <f t="shared" si="7"/>
        <v>0</v>
      </c>
      <c r="Z21" s="12">
        <f t="shared" si="10"/>
        <v>0</v>
      </c>
      <c r="AA21" s="4" t="s">
        <v>10</v>
      </c>
      <c r="AB21" s="11">
        <f>IFERROR(VLOOKUP(AA21,Curr!$B$2:$C$13,2,FALSE),0)</f>
        <v>11</v>
      </c>
      <c r="AC21" s="12">
        <f t="shared" si="11"/>
        <v>0</v>
      </c>
      <c r="AD21" s="12">
        <f t="shared" si="12"/>
        <v>0</v>
      </c>
      <c r="AE21" s="13">
        <f t="shared" si="13"/>
        <v>0</v>
      </c>
    </row>
    <row r="22" spans="2:31" x14ac:dyDescent="0.25">
      <c r="B22" s="4"/>
      <c r="E22" s="3"/>
      <c r="F22" s="3"/>
      <c r="G22" s="24"/>
      <c r="H22" s="24"/>
      <c r="K22" s="4"/>
      <c r="L22" s="4"/>
      <c r="M22" s="4"/>
      <c r="N22" s="4"/>
      <c r="O22" s="4"/>
      <c r="P22" s="33"/>
      <c r="Q22" s="25">
        <v>0</v>
      </c>
      <c r="R22" s="25">
        <v>0</v>
      </c>
      <c r="S22" s="12">
        <f t="shared" si="8"/>
        <v>0</v>
      </c>
      <c r="T22" s="5">
        <v>0</v>
      </c>
      <c r="U22" s="12">
        <f t="shared" si="6"/>
        <v>0</v>
      </c>
      <c r="V22" s="25" t="s">
        <v>10</v>
      </c>
      <c r="W22" s="11">
        <f>IFERROR(VLOOKUP(V22,[1]Curr!$B$2:$C$13,2,FALSE),0)</f>
        <v>11.3</v>
      </c>
      <c r="X22" s="12">
        <f t="shared" si="9"/>
        <v>0</v>
      </c>
      <c r="Y22" s="26">
        <f t="shared" si="7"/>
        <v>0</v>
      </c>
      <c r="Z22" s="12">
        <f t="shared" si="10"/>
        <v>0</v>
      </c>
      <c r="AA22" s="4" t="s">
        <v>10</v>
      </c>
      <c r="AB22" s="11">
        <f>IFERROR(VLOOKUP(AA22,Curr!$B$2:$C$13,2,FALSE),0)</f>
        <v>11</v>
      </c>
      <c r="AC22" s="12">
        <f t="shared" si="11"/>
        <v>0</v>
      </c>
      <c r="AD22" s="12">
        <f t="shared" si="12"/>
        <v>0</v>
      </c>
      <c r="AE22" s="13">
        <f t="shared" si="13"/>
        <v>0</v>
      </c>
    </row>
    <row r="23" spans="2:31" x14ac:dyDescent="0.25">
      <c r="B23" s="4"/>
      <c r="E23" s="3"/>
      <c r="F23" s="3"/>
      <c r="G23" s="24"/>
      <c r="H23" s="24"/>
      <c r="K23" s="4"/>
      <c r="L23" s="4"/>
      <c r="M23" s="4"/>
      <c r="N23" s="4"/>
      <c r="O23" s="4"/>
      <c r="P23" s="27"/>
      <c r="Q23" s="25">
        <v>0</v>
      </c>
      <c r="R23" s="25">
        <v>0</v>
      </c>
      <c r="S23" s="12">
        <f t="shared" si="8"/>
        <v>0</v>
      </c>
      <c r="T23" s="5">
        <v>0</v>
      </c>
      <c r="U23" s="12">
        <f t="shared" si="6"/>
        <v>0</v>
      </c>
      <c r="V23" s="25" t="s">
        <v>10</v>
      </c>
      <c r="W23" s="11">
        <f>IFERROR(VLOOKUP(V23,[1]Curr!$B$2:$C$13,2,FALSE),0)</f>
        <v>11.3</v>
      </c>
      <c r="X23" s="12">
        <f t="shared" si="9"/>
        <v>0</v>
      </c>
      <c r="Y23" s="26">
        <f t="shared" si="7"/>
        <v>0</v>
      </c>
      <c r="Z23" s="12">
        <f t="shared" si="10"/>
        <v>0</v>
      </c>
      <c r="AA23" s="4" t="s">
        <v>10</v>
      </c>
      <c r="AB23" s="11">
        <f>IFERROR(VLOOKUP(AA23,Curr!$B$2:$C$13,2,FALSE),0)</f>
        <v>11</v>
      </c>
      <c r="AC23" s="12">
        <f t="shared" si="11"/>
        <v>0</v>
      </c>
      <c r="AD23" s="12">
        <f t="shared" si="12"/>
        <v>0</v>
      </c>
      <c r="AE23" s="13">
        <f t="shared" si="13"/>
        <v>0</v>
      </c>
    </row>
    <row r="24" spans="2:31" x14ac:dyDescent="0.25">
      <c r="B24" s="4"/>
      <c r="E24" s="3"/>
      <c r="F24" s="3"/>
      <c r="G24" s="24"/>
      <c r="H24" s="24"/>
      <c r="K24" s="4"/>
      <c r="L24" s="4"/>
      <c r="M24" s="4"/>
      <c r="N24" s="4"/>
      <c r="O24" s="4"/>
      <c r="P24" s="27"/>
      <c r="Q24" s="25">
        <v>0</v>
      </c>
      <c r="R24" s="25">
        <v>0</v>
      </c>
      <c r="S24" s="12">
        <f t="shared" si="8"/>
        <v>0</v>
      </c>
      <c r="T24" s="5">
        <v>0</v>
      </c>
      <c r="U24" s="12">
        <f t="shared" si="6"/>
        <v>0</v>
      </c>
      <c r="V24" s="25" t="s">
        <v>10</v>
      </c>
      <c r="W24" s="11">
        <f>IFERROR(VLOOKUP(V24,[1]Curr!$B$2:$C$13,2,FALSE),0)</f>
        <v>11.3</v>
      </c>
      <c r="X24" s="12">
        <f t="shared" si="9"/>
        <v>0</v>
      </c>
      <c r="Y24" s="26">
        <f t="shared" si="7"/>
        <v>0</v>
      </c>
      <c r="Z24" s="12">
        <f t="shared" si="10"/>
        <v>0</v>
      </c>
      <c r="AA24" s="4" t="s">
        <v>10</v>
      </c>
      <c r="AB24" s="11">
        <f>IFERROR(VLOOKUP(AA24,Curr!$B$2:$C$13,2,FALSE),0)</f>
        <v>11</v>
      </c>
      <c r="AC24" s="12">
        <f t="shared" si="11"/>
        <v>0</v>
      </c>
      <c r="AD24" s="12">
        <f t="shared" si="12"/>
        <v>0</v>
      </c>
      <c r="AE24" s="13">
        <f t="shared" si="13"/>
        <v>0</v>
      </c>
    </row>
    <row r="25" spans="2:31" x14ac:dyDescent="0.25">
      <c r="B25" s="4"/>
      <c r="E25" s="3"/>
      <c r="F25" s="3"/>
      <c r="G25" s="24"/>
      <c r="H25" s="24"/>
      <c r="K25" s="4"/>
      <c r="L25" s="4"/>
      <c r="M25" s="4"/>
      <c r="N25" s="4"/>
      <c r="O25" s="4"/>
      <c r="P25" s="27"/>
      <c r="Q25" s="25">
        <v>0</v>
      </c>
      <c r="R25" s="25">
        <v>0</v>
      </c>
      <c r="S25" s="12">
        <f t="shared" si="8"/>
        <v>0</v>
      </c>
      <c r="T25" s="5">
        <v>0</v>
      </c>
      <c r="U25" s="12">
        <f t="shared" si="6"/>
        <v>0</v>
      </c>
      <c r="V25" s="25" t="s">
        <v>10</v>
      </c>
      <c r="W25" s="11">
        <f>IFERROR(VLOOKUP(V25,[1]Curr!$B$2:$C$13,2,FALSE),0)</f>
        <v>11.3</v>
      </c>
      <c r="X25" s="12">
        <f t="shared" si="9"/>
        <v>0</v>
      </c>
      <c r="Y25" s="26">
        <f t="shared" si="7"/>
        <v>0</v>
      </c>
      <c r="Z25" s="12">
        <f t="shared" si="10"/>
        <v>0</v>
      </c>
      <c r="AA25" s="4" t="s">
        <v>10</v>
      </c>
      <c r="AB25" s="11">
        <f>IFERROR(VLOOKUP(AA25,Curr!$B$2:$C$13,2,FALSE),0)</f>
        <v>11</v>
      </c>
      <c r="AC25" s="12">
        <f t="shared" si="11"/>
        <v>0</v>
      </c>
      <c r="AD25" s="12">
        <f t="shared" si="12"/>
        <v>0</v>
      </c>
      <c r="AE25" s="13">
        <f t="shared" si="13"/>
        <v>0</v>
      </c>
    </row>
    <row r="26" spans="2:31" x14ac:dyDescent="0.25">
      <c r="B26" s="4"/>
      <c r="E26" s="3"/>
      <c r="F26" s="3"/>
      <c r="G26" s="24"/>
      <c r="H26" s="24"/>
      <c r="K26" s="4"/>
      <c r="L26" s="4"/>
      <c r="M26" s="4"/>
      <c r="N26" s="4"/>
      <c r="O26" s="4"/>
      <c r="P26" s="33"/>
      <c r="Q26" s="25">
        <v>0</v>
      </c>
      <c r="R26" s="25">
        <v>0</v>
      </c>
      <c r="S26" s="12">
        <f t="shared" si="8"/>
        <v>0</v>
      </c>
      <c r="T26" s="5">
        <v>0</v>
      </c>
      <c r="U26" s="12">
        <f t="shared" si="6"/>
        <v>0</v>
      </c>
      <c r="V26" s="25" t="s">
        <v>10</v>
      </c>
      <c r="W26" s="11">
        <f>IFERROR(VLOOKUP(V26,[1]Curr!$B$2:$C$13,2,FALSE),0)</f>
        <v>11.3</v>
      </c>
      <c r="X26" s="12">
        <f t="shared" si="9"/>
        <v>0</v>
      </c>
      <c r="Y26" s="26">
        <f t="shared" si="7"/>
        <v>0</v>
      </c>
      <c r="Z26" s="12">
        <f t="shared" si="10"/>
        <v>0</v>
      </c>
      <c r="AA26" s="4" t="s">
        <v>10</v>
      </c>
      <c r="AB26" s="11">
        <f>IFERROR(VLOOKUP(AA26,Curr!$B$2:$C$13,2,FALSE),0)</f>
        <v>11</v>
      </c>
      <c r="AC26" s="12">
        <f t="shared" si="11"/>
        <v>0</v>
      </c>
      <c r="AD26" s="12">
        <f t="shared" si="12"/>
        <v>0</v>
      </c>
      <c r="AE26" s="13">
        <f t="shared" si="13"/>
        <v>0</v>
      </c>
    </row>
    <row r="27" spans="2:31" x14ac:dyDescent="0.25">
      <c r="B27" s="4"/>
      <c r="E27" s="3"/>
      <c r="F27" s="3"/>
      <c r="G27" s="24"/>
      <c r="H27" s="24"/>
      <c r="K27" s="4"/>
      <c r="L27" s="4"/>
      <c r="M27" s="4"/>
      <c r="N27" s="4"/>
      <c r="O27" s="4"/>
      <c r="P27" s="27"/>
      <c r="Q27" s="25">
        <v>0</v>
      </c>
      <c r="R27" s="25">
        <v>0</v>
      </c>
      <c r="S27" s="12">
        <f t="shared" si="8"/>
        <v>0</v>
      </c>
      <c r="T27" s="5">
        <v>0</v>
      </c>
      <c r="U27" s="12">
        <f t="shared" si="6"/>
        <v>0</v>
      </c>
      <c r="V27" s="25" t="s">
        <v>10</v>
      </c>
      <c r="W27" s="11">
        <f>IFERROR(VLOOKUP(V27,[1]Curr!$B$2:$C$13,2,FALSE),0)</f>
        <v>11.3</v>
      </c>
      <c r="X27" s="12">
        <f t="shared" si="9"/>
        <v>0</v>
      </c>
      <c r="Y27" s="26">
        <f t="shared" si="7"/>
        <v>0</v>
      </c>
      <c r="Z27" s="12">
        <f t="shared" si="10"/>
        <v>0</v>
      </c>
      <c r="AA27" s="4" t="s">
        <v>10</v>
      </c>
      <c r="AB27" s="11">
        <f>IFERROR(VLOOKUP(AA27,Curr!$B$2:$C$13,2,FALSE),0)</f>
        <v>11</v>
      </c>
      <c r="AC27" s="12">
        <f t="shared" si="11"/>
        <v>0</v>
      </c>
      <c r="AD27" s="12">
        <f t="shared" si="12"/>
        <v>0</v>
      </c>
      <c r="AE27" s="13">
        <f t="shared" si="13"/>
        <v>0</v>
      </c>
    </row>
    <row r="28" spans="2:31" x14ac:dyDescent="0.25">
      <c r="B28" s="4"/>
      <c r="E28" s="3"/>
      <c r="F28" s="3"/>
      <c r="G28" s="24"/>
      <c r="H28" s="24"/>
      <c r="K28" s="4"/>
      <c r="L28" s="4"/>
      <c r="M28" s="4"/>
      <c r="N28" s="4"/>
      <c r="O28" s="4"/>
      <c r="P28" s="33"/>
      <c r="Q28" s="25">
        <v>0</v>
      </c>
      <c r="R28" s="25">
        <v>0</v>
      </c>
      <c r="S28" s="12">
        <f t="shared" si="8"/>
        <v>0</v>
      </c>
      <c r="T28" s="5">
        <v>0</v>
      </c>
      <c r="U28" s="12">
        <f t="shared" si="6"/>
        <v>0</v>
      </c>
      <c r="V28" s="25" t="s">
        <v>10</v>
      </c>
      <c r="W28" s="11">
        <f>IFERROR(VLOOKUP(V28,[1]Curr!$B$2:$C$13,2,FALSE),0)</f>
        <v>11.3</v>
      </c>
      <c r="X28" s="12">
        <f t="shared" si="9"/>
        <v>0</v>
      </c>
      <c r="Y28" s="26">
        <f t="shared" si="7"/>
        <v>0</v>
      </c>
      <c r="Z28" s="12">
        <f t="shared" si="10"/>
        <v>0</v>
      </c>
      <c r="AA28" s="4" t="s">
        <v>10</v>
      </c>
      <c r="AB28" s="11">
        <f>IFERROR(VLOOKUP(AA28,Curr!$B$2:$C$13,2,FALSE),0)</f>
        <v>11</v>
      </c>
      <c r="AC28" s="12">
        <f t="shared" si="11"/>
        <v>0</v>
      </c>
      <c r="AD28" s="12">
        <f t="shared" si="12"/>
        <v>0</v>
      </c>
      <c r="AE28" s="13">
        <f t="shared" si="13"/>
        <v>0</v>
      </c>
    </row>
    <row r="29" spans="2:31" x14ac:dyDescent="0.25">
      <c r="B29" s="4"/>
      <c r="E29" s="3"/>
      <c r="F29" s="3"/>
      <c r="G29" s="24"/>
      <c r="H29" s="24"/>
      <c r="K29" s="4"/>
      <c r="L29" s="4"/>
      <c r="M29" s="4"/>
      <c r="N29" s="4"/>
      <c r="O29" s="4"/>
      <c r="P29" s="29"/>
      <c r="Q29" s="25">
        <v>0</v>
      </c>
      <c r="R29" s="25">
        <v>0</v>
      </c>
      <c r="S29" s="12">
        <f t="shared" si="8"/>
        <v>0</v>
      </c>
      <c r="T29" s="5">
        <v>0</v>
      </c>
      <c r="U29" s="12">
        <f t="shared" si="6"/>
        <v>0</v>
      </c>
      <c r="V29" s="25" t="s">
        <v>10</v>
      </c>
      <c r="W29" s="11">
        <f>IFERROR(VLOOKUP(V29,[1]Curr!$B$2:$C$13,2,FALSE),0)</f>
        <v>11.3</v>
      </c>
      <c r="X29" s="12">
        <f t="shared" si="9"/>
        <v>0</v>
      </c>
      <c r="Y29" s="26">
        <f t="shared" si="7"/>
        <v>0</v>
      </c>
      <c r="Z29" s="12">
        <f t="shared" si="10"/>
        <v>0</v>
      </c>
      <c r="AA29" s="4" t="s">
        <v>10</v>
      </c>
      <c r="AB29" s="11">
        <f>IFERROR(VLOOKUP(AA29,Curr!$B$2:$C$13,2,FALSE),0)</f>
        <v>11</v>
      </c>
      <c r="AC29" s="12">
        <f t="shared" si="11"/>
        <v>0</v>
      </c>
      <c r="AD29" s="12">
        <f t="shared" si="12"/>
        <v>0</v>
      </c>
      <c r="AE29" s="13">
        <f t="shared" si="13"/>
        <v>0</v>
      </c>
    </row>
    <row r="30" spans="2:31" x14ac:dyDescent="0.25">
      <c r="B30" s="4"/>
      <c r="E30" s="3"/>
      <c r="F30" s="3"/>
      <c r="G30" s="24"/>
      <c r="H30" s="24"/>
      <c r="K30" s="4"/>
      <c r="L30" s="4"/>
      <c r="M30" s="4"/>
      <c r="N30" s="4"/>
      <c r="O30" s="4"/>
      <c r="P30" s="33"/>
      <c r="Q30" s="25">
        <v>0</v>
      </c>
      <c r="R30" s="25">
        <v>0</v>
      </c>
      <c r="S30" s="12">
        <f t="shared" si="8"/>
        <v>0</v>
      </c>
      <c r="T30" s="5">
        <v>0</v>
      </c>
      <c r="U30" s="12">
        <f t="shared" si="6"/>
        <v>0</v>
      </c>
      <c r="V30" s="25" t="s">
        <v>10</v>
      </c>
      <c r="W30" s="11">
        <f>IFERROR(VLOOKUP(V30,[1]Curr!$B$2:$C$13,2,FALSE),0)</f>
        <v>11.3</v>
      </c>
      <c r="X30" s="12">
        <f t="shared" si="9"/>
        <v>0</v>
      </c>
      <c r="Y30" s="26">
        <f t="shared" si="7"/>
        <v>0</v>
      </c>
      <c r="Z30" s="12">
        <f t="shared" si="10"/>
        <v>0</v>
      </c>
      <c r="AA30" s="4" t="s">
        <v>10</v>
      </c>
      <c r="AB30" s="11">
        <f>IFERROR(VLOOKUP(AA30,Curr!$B$2:$C$13,2,FALSE),0)</f>
        <v>11</v>
      </c>
      <c r="AC30" s="12">
        <f t="shared" si="11"/>
        <v>0</v>
      </c>
      <c r="AD30" s="12">
        <f t="shared" si="12"/>
        <v>0</v>
      </c>
      <c r="AE30" s="13">
        <f t="shared" si="13"/>
        <v>0</v>
      </c>
    </row>
    <row r="31" spans="2:31" x14ac:dyDescent="0.25">
      <c r="B31" s="4"/>
      <c r="E31" s="3"/>
      <c r="F31" s="3"/>
      <c r="G31" s="24"/>
      <c r="H31" s="24"/>
      <c r="K31" s="4"/>
      <c r="L31" s="4"/>
      <c r="M31" s="4"/>
      <c r="N31" s="4"/>
      <c r="O31" s="4"/>
      <c r="P31" s="27"/>
      <c r="Q31" s="25">
        <v>0</v>
      </c>
      <c r="R31" s="25">
        <v>0</v>
      </c>
      <c r="S31" s="12">
        <f t="shared" si="8"/>
        <v>0</v>
      </c>
      <c r="T31" s="5">
        <v>0</v>
      </c>
      <c r="U31" s="12">
        <f t="shared" si="6"/>
        <v>0</v>
      </c>
      <c r="V31" s="25" t="s">
        <v>10</v>
      </c>
      <c r="W31" s="11">
        <f>IFERROR(VLOOKUP(V31,[1]Curr!$B$2:$C$13,2,FALSE),0)</f>
        <v>11.3</v>
      </c>
      <c r="X31" s="12">
        <f t="shared" si="9"/>
        <v>0</v>
      </c>
      <c r="Y31" s="26">
        <f t="shared" si="7"/>
        <v>0</v>
      </c>
      <c r="Z31" s="12">
        <f t="shared" si="10"/>
        <v>0</v>
      </c>
      <c r="AA31" s="4" t="s">
        <v>10</v>
      </c>
      <c r="AB31" s="11">
        <f>IFERROR(VLOOKUP(AA31,Curr!$B$2:$C$13,2,FALSE),0)</f>
        <v>11</v>
      </c>
      <c r="AC31" s="12">
        <f t="shared" si="11"/>
        <v>0</v>
      </c>
      <c r="AD31" s="12">
        <f t="shared" si="12"/>
        <v>0</v>
      </c>
      <c r="AE31" s="13">
        <f t="shared" si="13"/>
        <v>0</v>
      </c>
    </row>
    <row r="32" spans="2:31" x14ac:dyDescent="0.25">
      <c r="B32" s="4"/>
      <c r="E32" s="3"/>
      <c r="F32" s="3"/>
      <c r="G32" s="24"/>
      <c r="H32" s="24"/>
      <c r="K32" s="4"/>
      <c r="L32" s="4"/>
      <c r="M32" s="4"/>
      <c r="N32" s="4"/>
      <c r="O32" s="4"/>
      <c r="P32" s="27"/>
      <c r="Q32" s="25">
        <v>0</v>
      </c>
      <c r="R32" s="25">
        <v>0</v>
      </c>
      <c r="S32" s="12">
        <f t="shared" si="8"/>
        <v>0</v>
      </c>
      <c r="T32" s="5">
        <v>0</v>
      </c>
      <c r="U32" s="12">
        <f t="shared" si="6"/>
        <v>0</v>
      </c>
      <c r="V32" s="25" t="s">
        <v>10</v>
      </c>
      <c r="W32" s="11">
        <f>IFERROR(VLOOKUP(V32,[1]Curr!$B$2:$C$13,2,FALSE),0)</f>
        <v>11.3</v>
      </c>
      <c r="X32" s="12">
        <f t="shared" si="9"/>
        <v>0</v>
      </c>
      <c r="Y32" s="26">
        <f t="shared" si="7"/>
        <v>0</v>
      </c>
      <c r="Z32" s="12">
        <f t="shared" si="10"/>
        <v>0</v>
      </c>
      <c r="AA32" s="4" t="s">
        <v>10</v>
      </c>
      <c r="AB32" s="11">
        <f>IFERROR(VLOOKUP(AA32,Curr!$B$2:$C$13,2,FALSE),0)</f>
        <v>11</v>
      </c>
      <c r="AC32" s="12">
        <f t="shared" si="11"/>
        <v>0</v>
      </c>
      <c r="AD32" s="12">
        <f t="shared" si="12"/>
        <v>0</v>
      </c>
      <c r="AE32" s="13">
        <f t="shared" si="13"/>
        <v>0</v>
      </c>
    </row>
    <row r="33" spans="2:31" x14ac:dyDescent="0.25">
      <c r="B33" s="4"/>
      <c r="E33" s="3"/>
      <c r="F33" s="3"/>
      <c r="G33" s="24"/>
      <c r="H33" s="24"/>
      <c r="K33" s="4"/>
      <c r="L33" s="4"/>
      <c r="M33" s="4"/>
      <c r="N33" s="4"/>
      <c r="O33" s="4"/>
      <c r="P33" s="27"/>
      <c r="Q33" s="25">
        <v>0</v>
      </c>
      <c r="R33" s="25">
        <v>0</v>
      </c>
      <c r="S33" s="12">
        <f t="shared" si="8"/>
        <v>0</v>
      </c>
      <c r="T33" s="5">
        <v>0</v>
      </c>
      <c r="U33" s="12">
        <f t="shared" si="6"/>
        <v>0</v>
      </c>
      <c r="V33" s="25" t="s">
        <v>10</v>
      </c>
      <c r="W33" s="11">
        <f>IFERROR(VLOOKUP(V33,[1]Curr!$B$2:$C$13,2,FALSE),0)</f>
        <v>11.3</v>
      </c>
      <c r="X33" s="12">
        <f t="shared" si="9"/>
        <v>0</v>
      </c>
      <c r="Y33" s="26">
        <f t="shared" si="7"/>
        <v>0</v>
      </c>
      <c r="Z33" s="12">
        <f t="shared" si="10"/>
        <v>0</v>
      </c>
      <c r="AA33" s="4" t="s">
        <v>10</v>
      </c>
      <c r="AB33" s="11">
        <f>IFERROR(VLOOKUP(AA33,Curr!$B$2:$C$13,2,FALSE),0)</f>
        <v>11</v>
      </c>
      <c r="AC33" s="12">
        <f t="shared" si="11"/>
        <v>0</v>
      </c>
      <c r="AD33" s="12">
        <f t="shared" si="12"/>
        <v>0</v>
      </c>
      <c r="AE33" s="13">
        <f t="shared" si="13"/>
        <v>0</v>
      </c>
    </row>
    <row r="34" spans="2:31" x14ac:dyDescent="0.25">
      <c r="B34" s="4"/>
      <c r="E34" s="3"/>
      <c r="F34" s="3"/>
      <c r="G34" s="24"/>
      <c r="H34" s="24"/>
      <c r="K34" s="4"/>
      <c r="L34" s="4"/>
      <c r="M34" s="4"/>
      <c r="N34" s="4"/>
      <c r="O34" s="4"/>
      <c r="P34" s="33"/>
      <c r="Q34" s="25">
        <v>0</v>
      </c>
      <c r="R34" s="25">
        <v>0</v>
      </c>
      <c r="S34" s="12">
        <f t="shared" si="8"/>
        <v>0</v>
      </c>
      <c r="T34" s="5">
        <v>0</v>
      </c>
      <c r="U34" s="12">
        <f t="shared" si="6"/>
        <v>0</v>
      </c>
      <c r="V34" s="25" t="s">
        <v>10</v>
      </c>
      <c r="W34" s="11">
        <f>IFERROR(VLOOKUP(V34,[1]Curr!$B$2:$C$13,2,FALSE),0)</f>
        <v>11.3</v>
      </c>
      <c r="X34" s="12">
        <f t="shared" si="9"/>
        <v>0</v>
      </c>
      <c r="Y34" s="26">
        <f t="shared" si="7"/>
        <v>0</v>
      </c>
      <c r="Z34" s="12">
        <f t="shared" si="10"/>
        <v>0</v>
      </c>
      <c r="AA34" s="4" t="s">
        <v>10</v>
      </c>
      <c r="AB34" s="11">
        <f>IFERROR(VLOOKUP(AA34,Curr!$B$2:$C$13,2,FALSE),0)</f>
        <v>11</v>
      </c>
      <c r="AC34" s="12">
        <f t="shared" si="11"/>
        <v>0</v>
      </c>
      <c r="AD34" s="12">
        <f t="shared" si="12"/>
        <v>0</v>
      </c>
      <c r="AE34" s="13">
        <f t="shared" si="13"/>
        <v>0</v>
      </c>
    </row>
    <row r="35" spans="2:31" x14ac:dyDescent="0.25">
      <c r="B35" s="4"/>
      <c r="E35" s="3"/>
      <c r="F35" s="3"/>
      <c r="G35" s="24"/>
      <c r="H35" s="24"/>
      <c r="K35" s="4"/>
      <c r="L35" s="4"/>
      <c r="M35" s="4"/>
      <c r="N35" s="4"/>
      <c r="O35" s="4"/>
      <c r="P35" s="27"/>
      <c r="Q35" s="25">
        <v>0</v>
      </c>
      <c r="R35" s="25">
        <v>0</v>
      </c>
      <c r="S35" s="12">
        <f t="shared" si="8"/>
        <v>0</v>
      </c>
      <c r="T35" s="5">
        <v>0</v>
      </c>
      <c r="U35" s="12">
        <f t="shared" si="6"/>
        <v>0</v>
      </c>
      <c r="V35" s="25" t="s">
        <v>10</v>
      </c>
      <c r="W35" s="11">
        <f>IFERROR(VLOOKUP(V35,[1]Curr!$B$2:$C$13,2,FALSE),0)</f>
        <v>11.3</v>
      </c>
      <c r="X35" s="12">
        <f t="shared" si="9"/>
        <v>0</v>
      </c>
      <c r="Y35" s="26">
        <f t="shared" si="7"/>
        <v>0</v>
      </c>
      <c r="Z35" s="12">
        <f t="shared" si="10"/>
        <v>0</v>
      </c>
      <c r="AA35" s="4" t="s">
        <v>10</v>
      </c>
      <c r="AB35" s="11">
        <f>IFERROR(VLOOKUP(AA35,Curr!$B$2:$C$13,2,FALSE),0)</f>
        <v>11</v>
      </c>
      <c r="AC35" s="12">
        <f t="shared" si="11"/>
        <v>0</v>
      </c>
      <c r="AD35" s="12">
        <f t="shared" si="12"/>
        <v>0</v>
      </c>
      <c r="AE35" s="13">
        <f t="shared" si="13"/>
        <v>0</v>
      </c>
    </row>
    <row r="36" spans="2:31" x14ac:dyDescent="0.25">
      <c r="B36" s="4"/>
      <c r="E36" s="3"/>
      <c r="F36" s="3"/>
      <c r="G36" s="24"/>
      <c r="H36" s="24"/>
      <c r="K36" s="4"/>
      <c r="L36" s="4"/>
      <c r="M36" s="4"/>
      <c r="N36" s="4"/>
      <c r="O36" s="4"/>
      <c r="P36" s="33"/>
      <c r="Q36" s="25">
        <v>0</v>
      </c>
      <c r="R36" s="25">
        <v>0</v>
      </c>
      <c r="S36" s="12">
        <f t="shared" si="8"/>
        <v>0</v>
      </c>
      <c r="T36" s="5">
        <v>0</v>
      </c>
      <c r="U36" s="12">
        <f t="shared" si="6"/>
        <v>0</v>
      </c>
      <c r="V36" s="25" t="s">
        <v>10</v>
      </c>
      <c r="W36" s="11">
        <f>IFERROR(VLOOKUP(V36,[1]Curr!$B$2:$C$13,2,FALSE),0)</f>
        <v>11.3</v>
      </c>
      <c r="X36" s="12">
        <f t="shared" si="9"/>
        <v>0</v>
      </c>
      <c r="Y36" s="26">
        <f t="shared" si="7"/>
        <v>0</v>
      </c>
      <c r="Z36" s="12">
        <f t="shared" si="10"/>
        <v>0</v>
      </c>
      <c r="AA36" s="4" t="s">
        <v>10</v>
      </c>
      <c r="AB36" s="11">
        <f>IFERROR(VLOOKUP(AA36,Curr!$B$2:$C$13,2,FALSE),0)</f>
        <v>11</v>
      </c>
      <c r="AC36" s="12">
        <f t="shared" si="11"/>
        <v>0</v>
      </c>
      <c r="AD36" s="12">
        <f t="shared" si="12"/>
        <v>0</v>
      </c>
      <c r="AE36" s="13">
        <f t="shared" si="13"/>
        <v>0</v>
      </c>
    </row>
    <row r="37" spans="2:31" x14ac:dyDescent="0.25">
      <c r="B37" s="4"/>
      <c r="E37" s="3"/>
      <c r="F37" s="3"/>
      <c r="G37" s="24"/>
      <c r="H37" s="24"/>
      <c r="K37" s="4"/>
      <c r="L37" s="4"/>
      <c r="M37" s="4"/>
      <c r="N37" s="4"/>
      <c r="O37" s="4"/>
      <c r="P37" s="33"/>
      <c r="Q37" s="25">
        <v>0</v>
      </c>
      <c r="R37" s="25">
        <v>0</v>
      </c>
      <c r="S37" s="12">
        <f t="shared" si="8"/>
        <v>0</v>
      </c>
      <c r="T37" s="5">
        <v>0</v>
      </c>
      <c r="U37" s="12">
        <f t="shared" si="6"/>
        <v>0</v>
      </c>
      <c r="V37" s="25" t="s">
        <v>10</v>
      </c>
      <c r="W37" s="11">
        <f>IFERROR(VLOOKUP(V37,[1]Curr!$B$2:$C$13,2,FALSE),0)</f>
        <v>11.3</v>
      </c>
      <c r="X37" s="12">
        <f t="shared" si="9"/>
        <v>0</v>
      </c>
      <c r="Y37" s="26">
        <f t="shared" si="7"/>
        <v>0</v>
      </c>
      <c r="Z37" s="12">
        <f t="shared" si="10"/>
        <v>0</v>
      </c>
      <c r="AA37" s="4" t="s">
        <v>10</v>
      </c>
      <c r="AB37" s="11">
        <f>IFERROR(VLOOKUP(AA37,Curr!$B$2:$C$13,2,FALSE),0)</f>
        <v>11</v>
      </c>
      <c r="AC37" s="12">
        <f t="shared" si="11"/>
        <v>0</v>
      </c>
      <c r="AD37" s="12">
        <f t="shared" si="12"/>
        <v>0</v>
      </c>
      <c r="AE37" s="13">
        <f t="shared" si="13"/>
        <v>0</v>
      </c>
    </row>
    <row r="38" spans="2:31" x14ac:dyDescent="0.25">
      <c r="B38" s="4"/>
      <c r="E38" s="3"/>
      <c r="F38" s="3"/>
      <c r="G38" s="24"/>
      <c r="H38" s="24"/>
      <c r="K38" s="4"/>
      <c r="L38" s="4"/>
      <c r="M38" s="4"/>
      <c r="N38" s="4"/>
      <c r="O38" s="4"/>
      <c r="P38" s="27"/>
      <c r="Q38" s="25">
        <v>0</v>
      </c>
      <c r="R38" s="25">
        <v>0</v>
      </c>
      <c r="S38" s="12">
        <f t="shared" si="8"/>
        <v>0</v>
      </c>
      <c r="T38" s="5">
        <v>0</v>
      </c>
      <c r="U38" s="12">
        <f t="shared" si="6"/>
        <v>0</v>
      </c>
      <c r="V38" s="25" t="s">
        <v>10</v>
      </c>
      <c r="W38" s="11">
        <f>IFERROR(VLOOKUP(V38,[1]Curr!$B$2:$C$13,2,FALSE),0)</f>
        <v>11.3</v>
      </c>
      <c r="X38" s="12">
        <f t="shared" si="9"/>
        <v>0</v>
      </c>
      <c r="Y38" s="26">
        <f t="shared" si="7"/>
        <v>0</v>
      </c>
      <c r="Z38" s="12">
        <f t="shared" si="10"/>
        <v>0</v>
      </c>
      <c r="AA38" s="4" t="s">
        <v>10</v>
      </c>
      <c r="AB38" s="11">
        <f>IFERROR(VLOOKUP(AA38,Curr!$B$2:$C$13,2,FALSE),0)</f>
        <v>11</v>
      </c>
      <c r="AC38" s="12">
        <f t="shared" si="11"/>
        <v>0</v>
      </c>
      <c r="AD38" s="12">
        <f t="shared" si="12"/>
        <v>0</v>
      </c>
      <c r="AE38" s="13">
        <f t="shared" si="13"/>
        <v>0</v>
      </c>
    </row>
    <row r="39" spans="2:31" x14ac:dyDescent="0.25">
      <c r="B39" s="4"/>
      <c r="E39" s="3"/>
      <c r="F39" s="3"/>
      <c r="G39" s="24"/>
      <c r="H39" s="24"/>
      <c r="K39" s="4"/>
      <c r="L39" s="4"/>
      <c r="M39" s="4"/>
      <c r="N39" s="4"/>
      <c r="O39" s="4"/>
      <c r="P39" s="33"/>
      <c r="Q39" s="25">
        <v>0</v>
      </c>
      <c r="R39" s="25">
        <v>0</v>
      </c>
      <c r="S39" s="12">
        <f t="shared" si="8"/>
        <v>0</v>
      </c>
      <c r="T39" s="5">
        <v>0</v>
      </c>
      <c r="U39" s="12">
        <f t="shared" si="6"/>
        <v>0</v>
      </c>
      <c r="V39" s="25" t="s">
        <v>10</v>
      </c>
      <c r="W39" s="11">
        <f>IFERROR(VLOOKUP(V39,[1]Curr!$B$2:$C$13,2,FALSE),0)</f>
        <v>11.3</v>
      </c>
      <c r="X39" s="12">
        <f t="shared" si="9"/>
        <v>0</v>
      </c>
      <c r="Y39" s="26">
        <f t="shared" si="7"/>
        <v>0</v>
      </c>
      <c r="Z39" s="12">
        <f t="shared" si="10"/>
        <v>0</v>
      </c>
      <c r="AA39" s="4" t="s">
        <v>10</v>
      </c>
      <c r="AB39" s="11">
        <f>IFERROR(VLOOKUP(AA39,Curr!$B$2:$C$13,2,FALSE),0)</f>
        <v>11</v>
      </c>
      <c r="AC39" s="12">
        <f t="shared" si="11"/>
        <v>0</v>
      </c>
      <c r="AD39" s="12">
        <f t="shared" si="12"/>
        <v>0</v>
      </c>
      <c r="AE39" s="13">
        <f t="shared" si="13"/>
        <v>0</v>
      </c>
    </row>
    <row r="40" spans="2:31" x14ac:dyDescent="0.25">
      <c r="B40" s="4"/>
      <c r="E40" s="3"/>
      <c r="F40" s="3"/>
      <c r="G40" s="24"/>
      <c r="H40" s="24"/>
      <c r="K40" s="4"/>
      <c r="L40" s="4"/>
      <c r="M40" s="4"/>
      <c r="N40" s="4"/>
      <c r="O40" s="4"/>
      <c r="P40" s="27"/>
      <c r="Q40" s="25">
        <v>0</v>
      </c>
      <c r="R40" s="25">
        <v>0</v>
      </c>
      <c r="S40" s="12">
        <f t="shared" si="8"/>
        <v>0</v>
      </c>
      <c r="T40" s="5">
        <v>0</v>
      </c>
      <c r="U40" s="12">
        <f t="shared" si="6"/>
        <v>0</v>
      </c>
      <c r="V40" s="25" t="s">
        <v>10</v>
      </c>
      <c r="W40" s="11">
        <f>IFERROR(VLOOKUP(V40,[1]Curr!$B$2:$C$13,2,FALSE),0)</f>
        <v>11.3</v>
      </c>
      <c r="X40" s="12">
        <f t="shared" si="9"/>
        <v>0</v>
      </c>
      <c r="Y40" s="26">
        <f t="shared" si="7"/>
        <v>0</v>
      </c>
      <c r="Z40" s="12">
        <f t="shared" si="10"/>
        <v>0</v>
      </c>
      <c r="AA40" s="4" t="s">
        <v>10</v>
      </c>
      <c r="AB40" s="11">
        <f>IFERROR(VLOOKUP(AA40,Curr!$B$2:$C$13,2,FALSE),0)</f>
        <v>11</v>
      </c>
      <c r="AC40" s="12">
        <f t="shared" si="11"/>
        <v>0</v>
      </c>
      <c r="AD40" s="12">
        <f t="shared" si="12"/>
        <v>0</v>
      </c>
      <c r="AE40" s="13">
        <f t="shared" si="13"/>
        <v>0</v>
      </c>
    </row>
    <row r="41" spans="2:31" x14ac:dyDescent="0.25">
      <c r="B41" s="4"/>
      <c r="E41" s="3"/>
      <c r="F41" s="3"/>
      <c r="G41" s="24"/>
      <c r="H41" s="24"/>
      <c r="K41" s="4"/>
      <c r="L41" s="4"/>
      <c r="M41" s="4"/>
      <c r="N41" s="4"/>
      <c r="O41" s="4"/>
      <c r="P41" s="33"/>
      <c r="Q41" s="25">
        <v>0</v>
      </c>
      <c r="R41" s="25">
        <v>0</v>
      </c>
      <c r="S41" s="12">
        <f t="shared" si="8"/>
        <v>0</v>
      </c>
      <c r="T41" s="5">
        <v>0</v>
      </c>
      <c r="U41" s="12">
        <f t="shared" si="6"/>
        <v>0</v>
      </c>
      <c r="V41" s="25" t="s">
        <v>10</v>
      </c>
      <c r="W41" s="11">
        <f>IFERROR(VLOOKUP(V41,[1]Curr!$B$2:$C$13,2,FALSE),0)</f>
        <v>11.3</v>
      </c>
      <c r="X41" s="12">
        <f t="shared" si="9"/>
        <v>0</v>
      </c>
      <c r="Y41" s="26">
        <f t="shared" si="7"/>
        <v>0</v>
      </c>
      <c r="Z41" s="12">
        <f t="shared" si="10"/>
        <v>0</v>
      </c>
      <c r="AA41" s="4" t="s">
        <v>10</v>
      </c>
      <c r="AB41" s="11">
        <f>IFERROR(VLOOKUP(AA41,Curr!$B$2:$C$13,2,FALSE),0)</f>
        <v>11</v>
      </c>
      <c r="AC41" s="12">
        <f t="shared" si="11"/>
        <v>0</v>
      </c>
      <c r="AD41" s="12">
        <f t="shared" si="12"/>
        <v>0</v>
      </c>
      <c r="AE41" s="13">
        <f t="shared" si="13"/>
        <v>0</v>
      </c>
    </row>
    <row r="42" spans="2:31" x14ac:dyDescent="0.25">
      <c r="B42" s="4"/>
      <c r="E42" s="3"/>
      <c r="F42" s="3"/>
      <c r="G42" s="24"/>
      <c r="H42" s="24"/>
      <c r="K42" s="4"/>
      <c r="L42" s="4"/>
      <c r="M42" s="4"/>
      <c r="N42" s="4"/>
      <c r="O42" s="4"/>
      <c r="P42" s="27"/>
      <c r="Q42" s="25">
        <v>0</v>
      </c>
      <c r="R42" s="25">
        <v>0</v>
      </c>
      <c r="S42" s="12">
        <f t="shared" si="8"/>
        <v>0</v>
      </c>
      <c r="T42" s="5">
        <v>0</v>
      </c>
      <c r="U42" s="12">
        <f t="shared" si="6"/>
        <v>0</v>
      </c>
      <c r="V42" s="25" t="s">
        <v>10</v>
      </c>
      <c r="W42" s="11">
        <f>IFERROR(VLOOKUP(V42,[1]Curr!$B$2:$C$13,2,FALSE),0)</f>
        <v>11.3</v>
      </c>
      <c r="X42" s="12">
        <f t="shared" si="9"/>
        <v>0</v>
      </c>
      <c r="Y42" s="26">
        <f t="shared" si="7"/>
        <v>0</v>
      </c>
      <c r="Z42" s="12">
        <f t="shared" si="10"/>
        <v>0</v>
      </c>
      <c r="AA42" s="4" t="s">
        <v>10</v>
      </c>
      <c r="AB42" s="11">
        <f>IFERROR(VLOOKUP(AA42,Curr!$B$2:$C$13,2,FALSE),0)</f>
        <v>11</v>
      </c>
      <c r="AC42" s="12">
        <f t="shared" si="11"/>
        <v>0</v>
      </c>
      <c r="AD42" s="12">
        <f t="shared" si="12"/>
        <v>0</v>
      </c>
      <c r="AE42" s="13">
        <f t="shared" si="13"/>
        <v>0</v>
      </c>
    </row>
    <row r="43" spans="2:31" x14ac:dyDescent="0.25">
      <c r="B43" s="4"/>
      <c r="E43" s="3"/>
      <c r="F43" s="3"/>
      <c r="G43" s="24"/>
      <c r="H43" s="24"/>
      <c r="K43" s="4"/>
      <c r="L43" s="4"/>
      <c r="M43" s="4"/>
      <c r="N43" s="4"/>
      <c r="O43" s="4"/>
      <c r="P43" s="27"/>
      <c r="Q43" s="25">
        <v>0</v>
      </c>
      <c r="R43" s="25">
        <v>0</v>
      </c>
      <c r="S43" s="12">
        <f t="shared" si="8"/>
        <v>0</v>
      </c>
      <c r="T43" s="5">
        <v>0</v>
      </c>
      <c r="U43" s="12">
        <f t="shared" si="6"/>
        <v>0</v>
      </c>
      <c r="V43" s="25" t="s">
        <v>10</v>
      </c>
      <c r="W43" s="11">
        <f>IFERROR(VLOOKUP(V43,[1]Curr!$B$2:$C$13,2,FALSE),0)</f>
        <v>11.3</v>
      </c>
      <c r="X43" s="12">
        <f t="shared" si="9"/>
        <v>0</v>
      </c>
      <c r="Y43" s="26">
        <f t="shared" si="7"/>
        <v>0</v>
      </c>
      <c r="Z43" s="12">
        <f t="shared" si="10"/>
        <v>0</v>
      </c>
      <c r="AA43" s="4" t="s">
        <v>10</v>
      </c>
      <c r="AB43" s="11">
        <f>IFERROR(VLOOKUP(AA43,Curr!$B$2:$C$13,2,FALSE),0)</f>
        <v>11</v>
      </c>
      <c r="AC43" s="12">
        <f t="shared" si="11"/>
        <v>0</v>
      </c>
      <c r="AD43" s="12">
        <f t="shared" si="12"/>
        <v>0</v>
      </c>
      <c r="AE43" s="13">
        <f t="shared" si="13"/>
        <v>0</v>
      </c>
    </row>
    <row r="44" spans="2:31" x14ac:dyDescent="0.25">
      <c r="B44" s="4"/>
      <c r="E44" s="3"/>
      <c r="F44" s="3"/>
      <c r="G44" s="24"/>
      <c r="H44" s="24"/>
      <c r="K44" s="4"/>
      <c r="L44" s="4"/>
      <c r="M44" s="4"/>
      <c r="N44" s="4"/>
      <c r="O44" s="4"/>
      <c r="P44" s="27"/>
      <c r="Q44" s="25">
        <v>0</v>
      </c>
      <c r="R44" s="25">
        <v>0</v>
      </c>
      <c r="S44" s="12">
        <f t="shared" si="8"/>
        <v>0</v>
      </c>
      <c r="T44" s="5">
        <v>0</v>
      </c>
      <c r="U44" s="12">
        <f t="shared" si="6"/>
        <v>0</v>
      </c>
      <c r="V44" s="25" t="s">
        <v>10</v>
      </c>
      <c r="W44" s="11">
        <f>IFERROR(VLOOKUP(V44,[1]Curr!$B$2:$C$13,2,FALSE),0)</f>
        <v>11.3</v>
      </c>
      <c r="X44" s="12">
        <f t="shared" si="9"/>
        <v>0</v>
      </c>
      <c r="Y44" s="26">
        <f t="shared" si="7"/>
        <v>0</v>
      </c>
      <c r="Z44" s="12">
        <f t="shared" si="10"/>
        <v>0</v>
      </c>
      <c r="AA44" s="4" t="s">
        <v>10</v>
      </c>
      <c r="AB44" s="11">
        <f>IFERROR(VLOOKUP(AA44,Curr!$B$2:$C$13,2,FALSE),0)</f>
        <v>11</v>
      </c>
      <c r="AC44" s="12">
        <f t="shared" si="11"/>
        <v>0</v>
      </c>
      <c r="AD44" s="12">
        <f t="shared" si="12"/>
        <v>0</v>
      </c>
      <c r="AE44" s="13">
        <f t="shared" si="13"/>
        <v>0</v>
      </c>
    </row>
    <row r="45" spans="2:31" x14ac:dyDescent="0.25">
      <c r="B45" s="4"/>
      <c r="E45" s="3"/>
      <c r="F45" s="3"/>
      <c r="G45" s="24"/>
      <c r="H45" s="24"/>
      <c r="K45" s="4"/>
      <c r="L45" s="4"/>
      <c r="M45" s="4"/>
      <c r="N45" s="4"/>
      <c r="O45" s="4"/>
      <c r="P45" s="33"/>
      <c r="Q45" s="25">
        <v>0</v>
      </c>
      <c r="R45" s="25">
        <v>0</v>
      </c>
      <c r="S45" s="12">
        <f t="shared" si="8"/>
        <v>0</v>
      </c>
      <c r="T45" s="5">
        <v>0</v>
      </c>
      <c r="U45" s="12">
        <f t="shared" si="6"/>
        <v>0</v>
      </c>
      <c r="V45" s="25" t="s">
        <v>10</v>
      </c>
      <c r="W45" s="11">
        <f>IFERROR(VLOOKUP(V45,[1]Curr!$B$2:$C$13,2,FALSE),0)</f>
        <v>11.3</v>
      </c>
      <c r="X45" s="12">
        <f t="shared" si="9"/>
        <v>0</v>
      </c>
      <c r="Y45" s="26">
        <f t="shared" si="7"/>
        <v>0</v>
      </c>
      <c r="Z45" s="12">
        <f t="shared" si="10"/>
        <v>0</v>
      </c>
      <c r="AA45" s="4" t="s">
        <v>10</v>
      </c>
      <c r="AB45" s="11">
        <f>IFERROR(VLOOKUP(AA45,Curr!$B$2:$C$13,2,FALSE),0)</f>
        <v>11</v>
      </c>
      <c r="AC45" s="12">
        <f t="shared" si="11"/>
        <v>0</v>
      </c>
      <c r="AD45" s="12">
        <f t="shared" si="12"/>
        <v>0</v>
      </c>
      <c r="AE45" s="13">
        <f t="shared" si="13"/>
        <v>0</v>
      </c>
    </row>
    <row r="46" spans="2:31" x14ac:dyDescent="0.25">
      <c r="B46" s="4"/>
      <c r="E46" s="3"/>
      <c r="F46" s="3"/>
      <c r="G46" s="24"/>
      <c r="H46" s="24"/>
      <c r="K46" s="4"/>
      <c r="L46" s="4"/>
      <c r="M46" s="4"/>
      <c r="N46" s="4"/>
      <c r="O46" s="4"/>
      <c r="P46" s="27"/>
      <c r="Q46" s="25">
        <v>0</v>
      </c>
      <c r="R46" s="25">
        <v>0</v>
      </c>
      <c r="S46" s="12">
        <f t="shared" si="8"/>
        <v>0</v>
      </c>
      <c r="T46" s="5">
        <v>0</v>
      </c>
      <c r="U46" s="12">
        <f t="shared" si="6"/>
        <v>0</v>
      </c>
      <c r="V46" s="25" t="s">
        <v>10</v>
      </c>
      <c r="W46" s="11">
        <f>IFERROR(VLOOKUP(V46,[1]Curr!$B$2:$C$13,2,FALSE),0)</f>
        <v>11.3</v>
      </c>
      <c r="X46" s="12">
        <f t="shared" si="9"/>
        <v>0</v>
      </c>
      <c r="Y46" s="26">
        <f t="shared" si="7"/>
        <v>0</v>
      </c>
      <c r="Z46" s="12">
        <f t="shared" si="10"/>
        <v>0</v>
      </c>
      <c r="AA46" s="4" t="s">
        <v>10</v>
      </c>
      <c r="AB46" s="11">
        <f>IFERROR(VLOOKUP(AA46,Curr!$B$2:$C$13,2,FALSE),0)</f>
        <v>11</v>
      </c>
      <c r="AC46" s="12">
        <f t="shared" si="11"/>
        <v>0</v>
      </c>
      <c r="AD46" s="12">
        <f t="shared" si="12"/>
        <v>0</v>
      </c>
      <c r="AE46" s="13">
        <f t="shared" si="13"/>
        <v>0</v>
      </c>
    </row>
    <row r="47" spans="2:31" x14ac:dyDescent="0.25">
      <c r="B47" s="4"/>
      <c r="E47" s="3"/>
      <c r="F47" s="3"/>
      <c r="G47" s="24"/>
      <c r="H47" s="24"/>
      <c r="K47" s="4"/>
      <c r="L47" s="4"/>
      <c r="M47" s="4"/>
      <c r="N47" s="4"/>
      <c r="O47" s="4"/>
      <c r="P47" s="27"/>
      <c r="Q47" s="25">
        <v>0</v>
      </c>
      <c r="R47" s="25">
        <v>0</v>
      </c>
      <c r="S47" s="12">
        <f t="shared" si="8"/>
        <v>0</v>
      </c>
      <c r="T47" s="5">
        <v>0</v>
      </c>
      <c r="U47" s="12">
        <f t="shared" si="6"/>
        <v>0</v>
      </c>
      <c r="V47" s="25" t="s">
        <v>10</v>
      </c>
      <c r="W47" s="11">
        <f>IFERROR(VLOOKUP(V47,[1]Curr!$B$2:$C$13,2,FALSE),0)</f>
        <v>11.3</v>
      </c>
      <c r="X47" s="12">
        <f t="shared" si="9"/>
        <v>0</v>
      </c>
      <c r="Y47" s="26">
        <f t="shared" si="7"/>
        <v>0</v>
      </c>
      <c r="Z47" s="12">
        <f t="shared" si="10"/>
        <v>0</v>
      </c>
      <c r="AA47" s="4" t="s">
        <v>10</v>
      </c>
      <c r="AB47" s="11">
        <f>IFERROR(VLOOKUP(AA47,Curr!$B$2:$C$13,2,FALSE),0)</f>
        <v>11</v>
      </c>
      <c r="AC47" s="12">
        <f t="shared" si="11"/>
        <v>0</v>
      </c>
      <c r="AD47" s="12">
        <f t="shared" si="12"/>
        <v>0</v>
      </c>
      <c r="AE47" s="13">
        <f t="shared" si="13"/>
        <v>0</v>
      </c>
    </row>
    <row r="48" spans="2:31" x14ac:dyDescent="0.25">
      <c r="B48" s="4"/>
      <c r="E48" s="3"/>
      <c r="F48" s="3"/>
      <c r="G48" s="24"/>
      <c r="H48" s="24"/>
      <c r="K48" s="4"/>
      <c r="L48" s="4"/>
      <c r="M48" s="4"/>
      <c r="N48" s="4"/>
      <c r="O48" s="4"/>
      <c r="P48" s="27"/>
      <c r="Q48" s="25">
        <v>0</v>
      </c>
      <c r="R48" s="25">
        <v>0</v>
      </c>
      <c r="S48" s="12">
        <f t="shared" si="8"/>
        <v>0</v>
      </c>
      <c r="T48" s="5">
        <v>0</v>
      </c>
      <c r="U48" s="12">
        <f t="shared" si="6"/>
        <v>0</v>
      </c>
      <c r="V48" s="25" t="s">
        <v>10</v>
      </c>
      <c r="W48" s="11">
        <f>IFERROR(VLOOKUP(V48,[1]Curr!$B$2:$C$13,2,FALSE),0)</f>
        <v>11.3</v>
      </c>
      <c r="X48" s="12">
        <f t="shared" si="9"/>
        <v>0</v>
      </c>
      <c r="Y48" s="26">
        <f t="shared" si="7"/>
        <v>0</v>
      </c>
      <c r="Z48" s="12">
        <f t="shared" si="10"/>
        <v>0</v>
      </c>
      <c r="AA48" s="4" t="s">
        <v>10</v>
      </c>
      <c r="AB48" s="11">
        <f>IFERROR(VLOOKUP(AA48,Curr!$B$2:$C$13,2,FALSE),0)</f>
        <v>11</v>
      </c>
      <c r="AC48" s="12">
        <f t="shared" si="11"/>
        <v>0</v>
      </c>
      <c r="AD48" s="12">
        <f t="shared" si="12"/>
        <v>0</v>
      </c>
      <c r="AE48" s="13">
        <f t="shared" si="13"/>
        <v>0</v>
      </c>
    </row>
    <row r="49" spans="2:31" x14ac:dyDescent="0.25">
      <c r="B49" s="4"/>
      <c r="E49" s="3"/>
      <c r="F49" s="3"/>
      <c r="G49" s="24"/>
      <c r="H49" s="24"/>
      <c r="K49" s="4"/>
      <c r="L49" s="4"/>
      <c r="M49" s="4"/>
      <c r="N49" s="4"/>
      <c r="O49" s="4"/>
      <c r="P49" s="33"/>
      <c r="Q49" s="25">
        <v>0</v>
      </c>
      <c r="R49" s="25">
        <v>0</v>
      </c>
      <c r="S49" s="12">
        <f t="shared" si="8"/>
        <v>0</v>
      </c>
      <c r="T49" s="5">
        <v>0</v>
      </c>
      <c r="U49" s="12">
        <f t="shared" si="6"/>
        <v>0</v>
      </c>
      <c r="V49" s="25" t="s">
        <v>10</v>
      </c>
      <c r="W49" s="11">
        <f>IFERROR(VLOOKUP(V49,[1]Curr!$B$2:$C$13,2,FALSE),0)</f>
        <v>11.3</v>
      </c>
      <c r="X49" s="12">
        <f t="shared" si="9"/>
        <v>0</v>
      </c>
      <c r="Y49" s="26">
        <f t="shared" si="7"/>
        <v>0</v>
      </c>
      <c r="Z49" s="12">
        <f t="shared" si="10"/>
        <v>0</v>
      </c>
      <c r="AA49" s="4" t="s">
        <v>10</v>
      </c>
      <c r="AB49" s="11">
        <f>IFERROR(VLOOKUP(AA49,Curr!$B$2:$C$13,2,FALSE),0)</f>
        <v>11</v>
      </c>
      <c r="AC49" s="12">
        <f t="shared" si="11"/>
        <v>0</v>
      </c>
      <c r="AD49" s="12">
        <f t="shared" si="12"/>
        <v>0</v>
      </c>
      <c r="AE49" s="13">
        <f t="shared" si="13"/>
        <v>0</v>
      </c>
    </row>
    <row r="50" spans="2:31" x14ac:dyDescent="0.25">
      <c r="B50" s="4"/>
      <c r="E50" s="3"/>
      <c r="F50" s="3"/>
      <c r="G50" s="24"/>
      <c r="H50" s="24"/>
      <c r="K50" s="4"/>
      <c r="L50" s="4"/>
      <c r="M50" s="4"/>
      <c r="N50" s="4"/>
      <c r="O50" s="4"/>
      <c r="P50" s="27"/>
      <c r="Q50" s="25">
        <v>0</v>
      </c>
      <c r="R50" s="25">
        <v>0</v>
      </c>
      <c r="S50" s="12">
        <f t="shared" si="8"/>
        <v>0</v>
      </c>
      <c r="T50" s="5">
        <v>0</v>
      </c>
      <c r="U50" s="12">
        <f t="shared" si="6"/>
        <v>0</v>
      </c>
      <c r="V50" s="25" t="s">
        <v>10</v>
      </c>
      <c r="W50" s="11">
        <f>IFERROR(VLOOKUP(V50,[1]Curr!$B$2:$C$13,2,FALSE),0)</f>
        <v>11.3</v>
      </c>
      <c r="X50" s="12">
        <f t="shared" si="9"/>
        <v>0</v>
      </c>
      <c r="Y50" s="26">
        <f t="shared" si="7"/>
        <v>0</v>
      </c>
      <c r="Z50" s="12">
        <f t="shared" si="10"/>
        <v>0</v>
      </c>
      <c r="AA50" s="4" t="s">
        <v>10</v>
      </c>
      <c r="AB50" s="11">
        <f>IFERROR(VLOOKUP(AA50,Curr!$B$2:$C$13,2,FALSE),0)</f>
        <v>11</v>
      </c>
      <c r="AC50" s="12">
        <f t="shared" si="11"/>
        <v>0</v>
      </c>
      <c r="AD50" s="12">
        <f t="shared" si="12"/>
        <v>0</v>
      </c>
      <c r="AE50" s="13">
        <f t="shared" si="13"/>
        <v>0</v>
      </c>
    </row>
    <row r="51" spans="2:31" x14ac:dyDescent="0.25">
      <c r="B51" s="4"/>
      <c r="E51" s="3"/>
      <c r="F51" s="3"/>
      <c r="G51" s="24"/>
      <c r="H51" s="24"/>
      <c r="K51" s="4"/>
      <c r="L51" s="4"/>
      <c r="M51" s="4"/>
      <c r="N51" s="4"/>
      <c r="O51" s="4"/>
      <c r="P51" s="27"/>
      <c r="Q51" s="25">
        <v>0</v>
      </c>
      <c r="R51" s="25">
        <v>0</v>
      </c>
      <c r="S51" s="12">
        <f t="shared" si="8"/>
        <v>0</v>
      </c>
      <c r="T51" s="5">
        <v>0</v>
      </c>
      <c r="U51" s="12">
        <f t="shared" si="6"/>
        <v>0</v>
      </c>
      <c r="V51" s="25" t="s">
        <v>10</v>
      </c>
      <c r="W51" s="11">
        <f>IFERROR(VLOOKUP(V51,[1]Curr!$B$2:$C$13,2,FALSE),0)</f>
        <v>11.3</v>
      </c>
      <c r="X51" s="12">
        <f t="shared" si="9"/>
        <v>0</v>
      </c>
      <c r="Y51" s="26">
        <f t="shared" si="7"/>
        <v>0</v>
      </c>
      <c r="Z51" s="12">
        <f t="shared" si="10"/>
        <v>0</v>
      </c>
      <c r="AA51" s="4" t="s">
        <v>10</v>
      </c>
      <c r="AB51" s="11">
        <f>IFERROR(VLOOKUP(AA51,Curr!$B$2:$C$13,2,FALSE),0)</f>
        <v>11</v>
      </c>
      <c r="AC51" s="12">
        <f t="shared" si="11"/>
        <v>0</v>
      </c>
      <c r="AD51" s="12">
        <f t="shared" si="12"/>
        <v>0</v>
      </c>
      <c r="AE51" s="13">
        <f t="shared" si="13"/>
        <v>0</v>
      </c>
    </row>
    <row r="52" spans="2:31" x14ac:dyDescent="0.25">
      <c r="B52" s="4"/>
      <c r="E52" s="3"/>
      <c r="F52" s="3"/>
      <c r="G52" s="24"/>
      <c r="H52" s="24"/>
      <c r="K52" s="4"/>
      <c r="L52" s="4"/>
      <c r="M52" s="4"/>
      <c r="N52" s="4"/>
      <c r="O52" s="4"/>
      <c r="P52" s="27"/>
      <c r="Q52" s="25">
        <v>0</v>
      </c>
      <c r="R52" s="25">
        <v>0</v>
      </c>
      <c r="S52" s="12">
        <f t="shared" si="8"/>
        <v>0</v>
      </c>
      <c r="T52" s="5">
        <v>0</v>
      </c>
      <c r="U52" s="12">
        <f t="shared" si="6"/>
        <v>0</v>
      </c>
      <c r="V52" s="25" t="s">
        <v>10</v>
      </c>
      <c r="W52" s="11">
        <f>IFERROR(VLOOKUP(V52,[1]Curr!$B$2:$C$13,2,FALSE),0)</f>
        <v>11.3</v>
      </c>
      <c r="X52" s="12">
        <f t="shared" si="9"/>
        <v>0</v>
      </c>
      <c r="Y52" s="26">
        <f t="shared" si="7"/>
        <v>0</v>
      </c>
      <c r="Z52" s="12">
        <f t="shared" si="10"/>
        <v>0</v>
      </c>
      <c r="AA52" s="4" t="s">
        <v>10</v>
      </c>
      <c r="AB52" s="11">
        <f>IFERROR(VLOOKUP(AA52,Curr!$B$2:$C$13,2,FALSE),0)</f>
        <v>11</v>
      </c>
      <c r="AC52" s="12">
        <f t="shared" si="11"/>
        <v>0</v>
      </c>
      <c r="AD52" s="12">
        <f t="shared" si="12"/>
        <v>0</v>
      </c>
      <c r="AE52" s="13">
        <f t="shared" si="13"/>
        <v>0</v>
      </c>
    </row>
    <row r="53" spans="2:31" x14ac:dyDescent="0.25">
      <c r="B53" s="4"/>
      <c r="E53" s="3"/>
      <c r="F53" s="3"/>
      <c r="G53" s="24"/>
      <c r="H53" s="24"/>
      <c r="K53" s="4"/>
      <c r="L53" s="4"/>
      <c r="M53" s="4"/>
      <c r="N53" s="4"/>
      <c r="O53" s="4"/>
      <c r="P53" s="27"/>
      <c r="Q53" s="25">
        <v>0</v>
      </c>
      <c r="R53" s="25">
        <v>0</v>
      </c>
      <c r="S53" s="12">
        <f t="shared" si="8"/>
        <v>0</v>
      </c>
      <c r="T53" s="5">
        <v>0</v>
      </c>
      <c r="U53" s="12">
        <f t="shared" si="6"/>
        <v>0</v>
      </c>
      <c r="V53" s="25" t="s">
        <v>10</v>
      </c>
      <c r="W53" s="11">
        <f>IFERROR(VLOOKUP(V53,[1]Curr!$B$2:$C$13,2,FALSE),0)</f>
        <v>11.3</v>
      </c>
      <c r="X53" s="12">
        <f t="shared" si="9"/>
        <v>0</v>
      </c>
      <c r="Y53" s="26">
        <f t="shared" si="7"/>
        <v>0</v>
      </c>
      <c r="Z53" s="12">
        <f t="shared" si="10"/>
        <v>0</v>
      </c>
      <c r="AA53" s="4" t="s">
        <v>10</v>
      </c>
      <c r="AB53" s="11">
        <f>IFERROR(VLOOKUP(AA53,Curr!$B$2:$C$13,2,FALSE),0)</f>
        <v>11</v>
      </c>
      <c r="AC53" s="12">
        <f t="shared" si="11"/>
        <v>0</v>
      </c>
      <c r="AD53" s="12">
        <f t="shared" si="12"/>
        <v>0</v>
      </c>
      <c r="AE53" s="13">
        <f t="shared" si="13"/>
        <v>0</v>
      </c>
    </row>
    <row r="54" spans="2:31" x14ac:dyDescent="0.25">
      <c r="B54" s="4"/>
      <c r="E54" s="3"/>
      <c r="F54" s="3"/>
      <c r="G54" s="24"/>
      <c r="H54" s="24"/>
      <c r="K54" s="4"/>
      <c r="L54" s="4"/>
      <c r="M54" s="4"/>
      <c r="N54" s="4"/>
      <c r="O54" s="4"/>
      <c r="P54" s="27"/>
      <c r="Q54" s="25">
        <v>0</v>
      </c>
      <c r="R54" s="25">
        <v>0</v>
      </c>
      <c r="S54" s="12">
        <f t="shared" si="8"/>
        <v>0</v>
      </c>
      <c r="T54" s="5">
        <v>0</v>
      </c>
      <c r="U54" s="12">
        <f t="shared" si="6"/>
        <v>0</v>
      </c>
      <c r="V54" s="25" t="s">
        <v>10</v>
      </c>
      <c r="W54" s="11">
        <f>IFERROR(VLOOKUP(V54,[1]Curr!$B$2:$C$13,2,FALSE),0)</f>
        <v>11.3</v>
      </c>
      <c r="X54" s="12">
        <f t="shared" si="9"/>
        <v>0</v>
      </c>
      <c r="Y54" s="26">
        <f t="shared" si="7"/>
        <v>0</v>
      </c>
      <c r="Z54" s="12">
        <f t="shared" si="10"/>
        <v>0</v>
      </c>
      <c r="AA54" s="4" t="s">
        <v>10</v>
      </c>
      <c r="AB54" s="11">
        <f>IFERROR(VLOOKUP(AA54,Curr!$B$2:$C$13,2,FALSE),0)</f>
        <v>11</v>
      </c>
      <c r="AC54" s="12">
        <f t="shared" si="11"/>
        <v>0</v>
      </c>
      <c r="AD54" s="12">
        <f t="shared" si="12"/>
        <v>0</v>
      </c>
      <c r="AE54" s="13">
        <f t="shared" si="13"/>
        <v>0</v>
      </c>
    </row>
    <row r="55" spans="2:31" x14ac:dyDescent="0.25">
      <c r="B55" s="4"/>
      <c r="E55" s="3"/>
      <c r="F55" s="3"/>
      <c r="G55" s="24"/>
      <c r="H55" s="24"/>
      <c r="K55" s="4"/>
      <c r="L55" s="4"/>
      <c r="M55" s="4"/>
      <c r="N55" s="4"/>
      <c r="O55" s="4"/>
      <c r="P55" s="27"/>
      <c r="Q55" s="25">
        <v>0</v>
      </c>
      <c r="R55" s="25">
        <v>0</v>
      </c>
      <c r="S55" s="12">
        <f t="shared" si="8"/>
        <v>0</v>
      </c>
      <c r="T55" s="5">
        <v>0</v>
      </c>
      <c r="U55" s="12">
        <f t="shared" si="6"/>
        <v>0</v>
      </c>
      <c r="V55" s="25" t="s">
        <v>10</v>
      </c>
      <c r="W55" s="11">
        <f>IFERROR(VLOOKUP(V55,[1]Curr!$B$2:$C$13,2,FALSE),0)</f>
        <v>11.3</v>
      </c>
      <c r="X55" s="12">
        <f t="shared" si="9"/>
        <v>0</v>
      </c>
      <c r="Y55" s="26">
        <f t="shared" si="7"/>
        <v>0</v>
      </c>
      <c r="Z55" s="12">
        <f t="shared" si="10"/>
        <v>0</v>
      </c>
      <c r="AA55" s="4" t="s">
        <v>10</v>
      </c>
      <c r="AB55" s="11">
        <f>IFERROR(VLOOKUP(AA55,Curr!$B$2:$C$13,2,FALSE),0)</f>
        <v>11</v>
      </c>
      <c r="AC55" s="12">
        <f t="shared" si="11"/>
        <v>0</v>
      </c>
      <c r="AD55" s="12">
        <f t="shared" si="12"/>
        <v>0</v>
      </c>
      <c r="AE55" s="13">
        <f t="shared" si="13"/>
        <v>0</v>
      </c>
    </row>
    <row r="56" spans="2:31" x14ac:dyDescent="0.25">
      <c r="B56" s="4"/>
      <c r="E56" s="3"/>
      <c r="F56" s="3"/>
      <c r="G56" s="24"/>
      <c r="H56" s="24"/>
      <c r="K56" s="4"/>
      <c r="L56" s="4"/>
      <c r="M56" s="4"/>
      <c r="N56" s="4"/>
      <c r="O56" s="4"/>
      <c r="P56" s="27"/>
      <c r="Q56" s="25">
        <v>0</v>
      </c>
      <c r="R56" s="25">
        <v>0</v>
      </c>
      <c r="S56" s="12">
        <f t="shared" si="8"/>
        <v>0</v>
      </c>
      <c r="T56" s="5">
        <v>0</v>
      </c>
      <c r="U56" s="12">
        <f t="shared" si="6"/>
        <v>0</v>
      </c>
      <c r="V56" s="25" t="s">
        <v>10</v>
      </c>
      <c r="W56" s="11">
        <f>IFERROR(VLOOKUP(V56,[1]Curr!$B$2:$C$13,2,FALSE),0)</f>
        <v>11.3</v>
      </c>
      <c r="X56" s="12">
        <f t="shared" si="9"/>
        <v>0</v>
      </c>
      <c r="Y56" s="26">
        <f t="shared" si="7"/>
        <v>0</v>
      </c>
      <c r="Z56" s="12">
        <f t="shared" si="10"/>
        <v>0</v>
      </c>
      <c r="AA56" s="4" t="s">
        <v>10</v>
      </c>
      <c r="AB56" s="11">
        <f>IFERROR(VLOOKUP(AA56,Curr!$B$2:$C$13,2,FALSE),0)</f>
        <v>11</v>
      </c>
      <c r="AC56" s="12">
        <f t="shared" si="11"/>
        <v>0</v>
      </c>
      <c r="AD56" s="12">
        <f t="shared" si="12"/>
        <v>0</v>
      </c>
      <c r="AE56" s="13">
        <f t="shared" si="13"/>
        <v>0</v>
      </c>
    </row>
    <row r="57" spans="2:31" x14ac:dyDescent="0.25">
      <c r="B57" s="4"/>
      <c r="E57" s="3"/>
      <c r="F57" s="3"/>
      <c r="G57" s="24"/>
      <c r="H57" s="24"/>
      <c r="K57" s="4"/>
      <c r="L57" s="4"/>
      <c r="M57" s="4"/>
      <c r="N57" s="4"/>
      <c r="O57" s="4"/>
      <c r="P57" s="27"/>
      <c r="Q57" s="25">
        <v>0</v>
      </c>
      <c r="R57" s="25">
        <v>0</v>
      </c>
      <c r="S57" s="12">
        <f t="shared" si="8"/>
        <v>0</v>
      </c>
      <c r="T57" s="5">
        <v>0</v>
      </c>
      <c r="U57" s="12">
        <f t="shared" si="6"/>
        <v>0</v>
      </c>
      <c r="V57" s="25" t="s">
        <v>10</v>
      </c>
      <c r="W57" s="11">
        <f>IFERROR(VLOOKUP(V57,[1]Curr!$B$2:$C$13,2,FALSE),0)</f>
        <v>11.3</v>
      </c>
      <c r="X57" s="12">
        <f t="shared" si="9"/>
        <v>0</v>
      </c>
      <c r="Y57" s="26">
        <f t="shared" si="7"/>
        <v>0</v>
      </c>
      <c r="Z57" s="12">
        <f t="shared" si="10"/>
        <v>0</v>
      </c>
      <c r="AA57" s="4" t="s">
        <v>10</v>
      </c>
      <c r="AB57" s="11">
        <f>IFERROR(VLOOKUP(AA57,Curr!$B$2:$C$13,2,FALSE),0)</f>
        <v>11</v>
      </c>
      <c r="AC57" s="12">
        <f t="shared" si="11"/>
        <v>0</v>
      </c>
      <c r="AD57" s="12">
        <f t="shared" si="12"/>
        <v>0</v>
      </c>
      <c r="AE57" s="13">
        <f t="shared" si="13"/>
        <v>0</v>
      </c>
    </row>
    <row r="58" spans="2:31" x14ac:dyDescent="0.25">
      <c r="B58" s="4"/>
      <c r="E58" s="3"/>
      <c r="F58" s="3"/>
      <c r="G58" s="24"/>
      <c r="H58" s="24"/>
      <c r="K58" s="4"/>
      <c r="L58" s="4"/>
      <c r="M58" s="4"/>
      <c r="N58" s="4"/>
      <c r="O58" s="4"/>
      <c r="P58" s="27"/>
      <c r="Q58" s="25">
        <v>0</v>
      </c>
      <c r="R58" s="25">
        <v>0</v>
      </c>
      <c r="S58" s="12">
        <f t="shared" si="8"/>
        <v>0</v>
      </c>
      <c r="T58" s="5">
        <v>0</v>
      </c>
      <c r="U58" s="12">
        <f t="shared" si="6"/>
        <v>0</v>
      </c>
      <c r="V58" s="25" t="s">
        <v>10</v>
      </c>
      <c r="W58" s="11">
        <f>IFERROR(VLOOKUP(V58,[1]Curr!$B$2:$C$13,2,FALSE),0)</f>
        <v>11.3</v>
      </c>
      <c r="X58" s="12">
        <f t="shared" si="9"/>
        <v>0</v>
      </c>
      <c r="Y58" s="26">
        <f t="shared" si="7"/>
        <v>0</v>
      </c>
      <c r="Z58" s="12">
        <f t="shared" si="10"/>
        <v>0</v>
      </c>
      <c r="AA58" s="4" t="s">
        <v>10</v>
      </c>
      <c r="AB58" s="11">
        <f>IFERROR(VLOOKUP(AA58,Curr!$B$2:$C$13,2,FALSE),0)</f>
        <v>11</v>
      </c>
      <c r="AC58" s="12">
        <f t="shared" si="11"/>
        <v>0</v>
      </c>
      <c r="AD58" s="12">
        <f t="shared" si="12"/>
        <v>0</v>
      </c>
      <c r="AE58" s="13">
        <f t="shared" si="13"/>
        <v>0</v>
      </c>
    </row>
    <row r="59" spans="2:31" x14ac:dyDescent="0.25">
      <c r="B59" s="4"/>
      <c r="E59" s="3"/>
      <c r="F59" s="3"/>
      <c r="G59" s="24"/>
      <c r="H59" s="24"/>
      <c r="K59" s="4"/>
      <c r="L59" s="4"/>
      <c r="M59" s="4"/>
      <c r="N59" s="4"/>
      <c r="O59" s="4"/>
      <c r="P59" s="27"/>
      <c r="Q59" s="25">
        <v>0</v>
      </c>
      <c r="R59" s="25">
        <v>0</v>
      </c>
      <c r="S59" s="12">
        <f t="shared" si="8"/>
        <v>0</v>
      </c>
      <c r="T59" s="5">
        <v>0</v>
      </c>
      <c r="U59" s="12">
        <f t="shared" si="6"/>
        <v>0</v>
      </c>
      <c r="V59" s="25" t="s">
        <v>10</v>
      </c>
      <c r="W59" s="11">
        <f>IFERROR(VLOOKUP(V59,[1]Curr!$B$2:$C$13,2,FALSE),0)</f>
        <v>11.3</v>
      </c>
      <c r="X59" s="12">
        <f t="shared" si="9"/>
        <v>0</v>
      </c>
      <c r="Y59" s="26">
        <f t="shared" si="7"/>
        <v>0</v>
      </c>
      <c r="Z59" s="12">
        <f t="shared" si="10"/>
        <v>0</v>
      </c>
      <c r="AA59" s="4" t="s">
        <v>10</v>
      </c>
      <c r="AB59" s="11">
        <f>IFERROR(VLOOKUP(AA59,Curr!$B$2:$C$13,2,FALSE),0)</f>
        <v>11</v>
      </c>
      <c r="AC59" s="12">
        <f t="shared" si="11"/>
        <v>0</v>
      </c>
      <c r="AD59" s="12">
        <f t="shared" si="12"/>
        <v>0</v>
      </c>
      <c r="AE59" s="13">
        <f t="shared" si="13"/>
        <v>0</v>
      </c>
    </row>
    <row r="60" spans="2:31" x14ac:dyDescent="0.25">
      <c r="B60" s="4"/>
      <c r="E60" s="3"/>
      <c r="F60" s="3"/>
      <c r="G60" s="24"/>
      <c r="H60" s="24"/>
      <c r="K60" s="4"/>
      <c r="L60" s="4"/>
      <c r="M60" s="4"/>
      <c r="N60" s="4"/>
      <c r="O60" s="4"/>
      <c r="P60" s="27"/>
      <c r="Q60" s="25">
        <v>0</v>
      </c>
      <c r="R60" s="25">
        <v>0</v>
      </c>
      <c r="S60" s="12">
        <f t="shared" si="8"/>
        <v>0</v>
      </c>
      <c r="T60" s="5">
        <v>0</v>
      </c>
      <c r="U60" s="12">
        <f t="shared" si="6"/>
        <v>0</v>
      </c>
      <c r="V60" s="25" t="s">
        <v>10</v>
      </c>
      <c r="W60" s="11">
        <f>IFERROR(VLOOKUP(V60,[1]Curr!$B$2:$C$13,2,FALSE),0)</f>
        <v>11.3</v>
      </c>
      <c r="X60" s="12">
        <f t="shared" si="9"/>
        <v>0</v>
      </c>
      <c r="Y60" s="26">
        <f t="shared" si="7"/>
        <v>0</v>
      </c>
      <c r="Z60" s="12">
        <f t="shared" si="10"/>
        <v>0</v>
      </c>
      <c r="AA60" s="4" t="s">
        <v>10</v>
      </c>
      <c r="AB60" s="11">
        <f>IFERROR(VLOOKUP(AA60,Curr!$B$2:$C$13,2,FALSE),0)</f>
        <v>11</v>
      </c>
      <c r="AC60" s="12">
        <f t="shared" si="11"/>
        <v>0</v>
      </c>
      <c r="AD60" s="12">
        <f t="shared" si="12"/>
        <v>0</v>
      </c>
      <c r="AE60" s="13">
        <f t="shared" si="13"/>
        <v>0</v>
      </c>
    </row>
    <row r="61" spans="2:31" x14ac:dyDescent="0.25">
      <c r="B61" s="4"/>
      <c r="E61" s="3"/>
      <c r="F61" s="3"/>
      <c r="G61" s="24"/>
      <c r="H61" s="24"/>
      <c r="K61" s="4"/>
      <c r="L61" s="4"/>
      <c r="M61" s="4"/>
      <c r="N61" s="4"/>
      <c r="O61" s="4"/>
      <c r="P61" s="27"/>
      <c r="Q61" s="25">
        <v>0</v>
      </c>
      <c r="R61" s="25">
        <v>0</v>
      </c>
      <c r="S61" s="12">
        <f t="shared" si="8"/>
        <v>0</v>
      </c>
      <c r="T61" s="5">
        <v>0</v>
      </c>
      <c r="U61" s="12">
        <f t="shared" si="6"/>
        <v>0</v>
      </c>
      <c r="V61" s="25" t="s">
        <v>10</v>
      </c>
      <c r="W61" s="11">
        <f>IFERROR(VLOOKUP(V61,[1]Curr!$B$2:$C$13,2,FALSE),0)</f>
        <v>11.3</v>
      </c>
      <c r="X61" s="12">
        <f t="shared" si="9"/>
        <v>0</v>
      </c>
      <c r="Y61" s="26">
        <f t="shared" si="7"/>
        <v>0</v>
      </c>
      <c r="Z61" s="12">
        <f t="shared" si="10"/>
        <v>0</v>
      </c>
      <c r="AA61" s="4" t="s">
        <v>10</v>
      </c>
      <c r="AB61" s="11">
        <f>IFERROR(VLOOKUP(AA61,Curr!$B$2:$C$13,2,FALSE),0)</f>
        <v>11</v>
      </c>
      <c r="AC61" s="12">
        <f t="shared" si="11"/>
        <v>0</v>
      </c>
      <c r="AD61" s="12">
        <f t="shared" si="12"/>
        <v>0</v>
      </c>
      <c r="AE61" s="13">
        <f t="shared" si="13"/>
        <v>0</v>
      </c>
    </row>
    <row r="62" spans="2:31" x14ac:dyDescent="0.25">
      <c r="B62" s="4"/>
      <c r="E62" s="3"/>
      <c r="F62" s="3"/>
      <c r="G62" s="24"/>
      <c r="H62" s="24"/>
      <c r="K62" s="4"/>
      <c r="L62" s="4"/>
      <c r="M62" s="4"/>
      <c r="N62" s="4"/>
      <c r="O62" s="4"/>
      <c r="P62" s="27"/>
      <c r="Q62" s="25">
        <v>0</v>
      </c>
      <c r="R62" s="25">
        <v>0</v>
      </c>
      <c r="S62" s="12">
        <f t="shared" si="8"/>
        <v>0</v>
      </c>
      <c r="T62" s="5">
        <v>0</v>
      </c>
      <c r="U62" s="12">
        <f t="shared" si="6"/>
        <v>0</v>
      </c>
      <c r="V62" s="25" t="s">
        <v>10</v>
      </c>
      <c r="W62" s="11">
        <f>IFERROR(VLOOKUP(V62,[1]Curr!$B$2:$C$13,2,FALSE),0)</f>
        <v>11.3</v>
      </c>
      <c r="X62" s="12">
        <f t="shared" si="9"/>
        <v>0</v>
      </c>
      <c r="Y62" s="26">
        <f t="shared" si="7"/>
        <v>0</v>
      </c>
      <c r="Z62" s="12">
        <f t="shared" si="10"/>
        <v>0</v>
      </c>
      <c r="AA62" s="4" t="s">
        <v>10</v>
      </c>
      <c r="AB62" s="11">
        <f>IFERROR(VLOOKUP(AA62,Curr!$B$2:$C$13,2,FALSE),0)</f>
        <v>11</v>
      </c>
      <c r="AC62" s="12">
        <f t="shared" si="11"/>
        <v>0</v>
      </c>
      <c r="AD62" s="12">
        <f t="shared" si="12"/>
        <v>0</v>
      </c>
      <c r="AE62" s="13">
        <f t="shared" si="13"/>
        <v>0</v>
      </c>
    </row>
    <row r="63" spans="2:31" x14ac:dyDescent="0.25">
      <c r="B63" s="4"/>
      <c r="E63" s="3"/>
      <c r="F63" s="3"/>
      <c r="G63" s="24"/>
      <c r="H63" s="24"/>
      <c r="K63" s="4"/>
      <c r="L63" s="4"/>
      <c r="M63" s="4"/>
      <c r="N63" s="4"/>
      <c r="O63" s="4"/>
      <c r="P63" s="27"/>
      <c r="Q63" s="25">
        <v>0</v>
      </c>
      <c r="R63" s="25">
        <v>0</v>
      </c>
      <c r="S63" s="12">
        <f t="shared" si="8"/>
        <v>0</v>
      </c>
      <c r="T63" s="5">
        <v>0</v>
      </c>
      <c r="U63" s="12">
        <f t="shared" si="6"/>
        <v>0</v>
      </c>
      <c r="V63" s="25" t="s">
        <v>10</v>
      </c>
      <c r="W63" s="11">
        <f>IFERROR(VLOOKUP(V63,[1]Curr!$B$2:$C$13,2,FALSE),0)</f>
        <v>11.3</v>
      </c>
      <c r="X63" s="12">
        <f t="shared" si="9"/>
        <v>0</v>
      </c>
      <c r="Y63" s="26">
        <f t="shared" si="7"/>
        <v>0</v>
      </c>
      <c r="Z63" s="12">
        <f t="shared" si="10"/>
        <v>0</v>
      </c>
      <c r="AA63" s="4" t="s">
        <v>10</v>
      </c>
      <c r="AB63" s="11">
        <f>IFERROR(VLOOKUP(AA63,Curr!$B$2:$C$13,2,FALSE),0)</f>
        <v>11</v>
      </c>
      <c r="AC63" s="12">
        <f t="shared" si="11"/>
        <v>0</v>
      </c>
      <c r="AD63" s="12">
        <f t="shared" si="12"/>
        <v>0</v>
      </c>
      <c r="AE63" s="13">
        <f t="shared" si="13"/>
        <v>0</v>
      </c>
    </row>
    <row r="64" spans="2:31" x14ac:dyDescent="0.25">
      <c r="B64" s="4"/>
      <c r="E64" s="3"/>
      <c r="F64" s="3"/>
      <c r="G64" s="24"/>
      <c r="H64" s="24"/>
      <c r="K64" s="4"/>
      <c r="L64" s="4"/>
      <c r="M64" s="4"/>
      <c r="N64" s="4"/>
      <c r="O64" s="4"/>
      <c r="P64" s="27"/>
      <c r="Q64" s="25">
        <v>0</v>
      </c>
      <c r="R64" s="25">
        <v>0</v>
      </c>
      <c r="S64" s="12">
        <f t="shared" si="8"/>
        <v>0</v>
      </c>
      <c r="T64" s="5">
        <v>0</v>
      </c>
      <c r="U64" s="12">
        <f t="shared" si="6"/>
        <v>0</v>
      </c>
      <c r="V64" s="25" t="s">
        <v>10</v>
      </c>
      <c r="W64" s="11">
        <f>IFERROR(VLOOKUP(V64,[1]Curr!$B$2:$C$13,2,FALSE),0)</f>
        <v>11.3</v>
      </c>
      <c r="X64" s="12">
        <f t="shared" si="9"/>
        <v>0</v>
      </c>
      <c r="Y64" s="26">
        <f t="shared" si="7"/>
        <v>0</v>
      </c>
      <c r="Z64" s="12">
        <f t="shared" si="10"/>
        <v>0</v>
      </c>
      <c r="AA64" s="4" t="s">
        <v>10</v>
      </c>
      <c r="AB64" s="11">
        <f>IFERROR(VLOOKUP(AA64,Curr!$B$2:$C$13,2,FALSE),0)</f>
        <v>11</v>
      </c>
      <c r="AC64" s="12">
        <f t="shared" si="11"/>
        <v>0</v>
      </c>
      <c r="AD64" s="12">
        <f t="shared" si="12"/>
        <v>0</v>
      </c>
      <c r="AE64" s="13">
        <f t="shared" si="13"/>
        <v>0</v>
      </c>
    </row>
    <row r="65" spans="2:31" x14ac:dyDescent="0.25">
      <c r="B65" s="4"/>
      <c r="E65" s="3"/>
      <c r="F65" s="3"/>
      <c r="G65" s="24"/>
      <c r="H65" s="24"/>
      <c r="K65" s="4"/>
      <c r="L65" s="4"/>
      <c r="M65" s="4"/>
      <c r="N65" s="4"/>
      <c r="O65" s="4"/>
      <c r="P65" s="27"/>
      <c r="Q65" s="25">
        <v>0</v>
      </c>
      <c r="R65" s="25">
        <v>0</v>
      </c>
      <c r="S65" s="12">
        <f t="shared" si="8"/>
        <v>0</v>
      </c>
      <c r="T65" s="5">
        <v>0</v>
      </c>
      <c r="U65" s="12">
        <f t="shared" si="6"/>
        <v>0</v>
      </c>
      <c r="V65" s="25" t="s">
        <v>10</v>
      </c>
      <c r="W65" s="11">
        <f>IFERROR(VLOOKUP(V65,[1]Curr!$B$2:$C$13,2,FALSE),0)</f>
        <v>11.3</v>
      </c>
      <c r="X65" s="12">
        <f t="shared" si="9"/>
        <v>0</v>
      </c>
      <c r="Y65" s="26">
        <f t="shared" si="7"/>
        <v>0</v>
      </c>
      <c r="Z65" s="12">
        <f t="shared" si="10"/>
        <v>0</v>
      </c>
      <c r="AA65" s="4" t="s">
        <v>10</v>
      </c>
      <c r="AB65" s="11">
        <f>IFERROR(VLOOKUP(AA65,Curr!$B$2:$C$13,2,FALSE),0)</f>
        <v>11</v>
      </c>
      <c r="AC65" s="12">
        <f t="shared" si="11"/>
        <v>0</v>
      </c>
      <c r="AD65" s="12">
        <f t="shared" si="12"/>
        <v>0</v>
      </c>
      <c r="AE65" s="13">
        <f t="shared" si="13"/>
        <v>0</v>
      </c>
    </row>
    <row r="66" spans="2:31" x14ac:dyDescent="0.25">
      <c r="B66" s="4"/>
      <c r="E66" s="3"/>
      <c r="F66" s="3"/>
      <c r="G66" s="24"/>
      <c r="H66" s="24"/>
      <c r="K66" s="4"/>
      <c r="L66" s="4"/>
      <c r="M66" s="4"/>
      <c r="N66" s="4"/>
      <c r="O66" s="4"/>
      <c r="P66" s="27"/>
      <c r="Q66" s="25">
        <v>0</v>
      </c>
      <c r="R66" s="25">
        <v>0</v>
      </c>
      <c r="S66" s="12">
        <f t="shared" si="8"/>
        <v>0</v>
      </c>
      <c r="T66" s="5">
        <v>0</v>
      </c>
      <c r="U66" s="12">
        <f t="shared" si="6"/>
        <v>0</v>
      </c>
      <c r="V66" s="25" t="s">
        <v>10</v>
      </c>
      <c r="W66" s="11">
        <f>IFERROR(VLOOKUP(V66,[1]Curr!$B$2:$C$13,2,FALSE),0)</f>
        <v>11.3</v>
      </c>
      <c r="X66" s="12">
        <f t="shared" si="9"/>
        <v>0</v>
      </c>
      <c r="Y66" s="26">
        <f t="shared" si="7"/>
        <v>0</v>
      </c>
      <c r="Z66" s="12">
        <f t="shared" si="10"/>
        <v>0</v>
      </c>
      <c r="AA66" s="4" t="s">
        <v>10</v>
      </c>
      <c r="AB66" s="11">
        <f>IFERROR(VLOOKUP(AA66,Curr!$B$2:$C$13,2,FALSE),0)</f>
        <v>11</v>
      </c>
      <c r="AC66" s="12">
        <f t="shared" si="11"/>
        <v>0</v>
      </c>
      <c r="AD66" s="12">
        <f t="shared" si="12"/>
        <v>0</v>
      </c>
      <c r="AE66" s="13">
        <f t="shared" si="13"/>
        <v>0</v>
      </c>
    </row>
    <row r="67" spans="2:31" x14ac:dyDescent="0.25">
      <c r="B67" s="4"/>
      <c r="E67" s="3"/>
      <c r="F67" s="3"/>
      <c r="G67" s="24"/>
      <c r="H67" s="24"/>
      <c r="K67" s="4"/>
      <c r="L67" s="4"/>
      <c r="M67" s="4"/>
      <c r="N67" s="4"/>
      <c r="O67" s="4"/>
      <c r="P67" s="27"/>
      <c r="Q67" s="25">
        <v>0</v>
      </c>
      <c r="R67" s="25">
        <v>0</v>
      </c>
      <c r="S67" s="12">
        <f t="shared" si="8"/>
        <v>0</v>
      </c>
      <c r="T67" s="5">
        <v>0</v>
      </c>
      <c r="U67" s="12">
        <f t="shared" si="6"/>
        <v>0</v>
      </c>
      <c r="V67" s="25" t="s">
        <v>10</v>
      </c>
      <c r="W67" s="11">
        <f>IFERROR(VLOOKUP(V67,[1]Curr!$B$2:$C$13,2,FALSE),0)</f>
        <v>11.3</v>
      </c>
      <c r="X67" s="12">
        <f t="shared" si="9"/>
        <v>0</v>
      </c>
      <c r="Y67" s="26">
        <f t="shared" si="7"/>
        <v>0</v>
      </c>
      <c r="Z67" s="12">
        <f t="shared" si="10"/>
        <v>0</v>
      </c>
      <c r="AA67" s="4" t="s">
        <v>10</v>
      </c>
      <c r="AB67" s="11">
        <f>IFERROR(VLOOKUP(AA67,Curr!$B$2:$C$13,2,FALSE),0)</f>
        <v>11</v>
      </c>
      <c r="AC67" s="12">
        <f t="shared" si="11"/>
        <v>0</v>
      </c>
      <c r="AD67" s="12">
        <f t="shared" si="12"/>
        <v>0</v>
      </c>
      <c r="AE67" s="13">
        <f t="shared" si="13"/>
        <v>0</v>
      </c>
    </row>
    <row r="68" spans="2:31" x14ac:dyDescent="0.25">
      <c r="B68" s="4"/>
      <c r="E68" s="3"/>
      <c r="F68" s="3"/>
      <c r="G68" s="24"/>
      <c r="H68" s="24"/>
      <c r="K68" s="4"/>
      <c r="L68" s="4"/>
      <c r="M68" s="4"/>
      <c r="N68" s="4"/>
      <c r="O68" s="4"/>
      <c r="P68" s="27"/>
      <c r="Q68" s="25">
        <v>0</v>
      </c>
      <c r="R68" s="25">
        <v>0</v>
      </c>
      <c r="S68" s="12">
        <f t="shared" si="8"/>
        <v>0</v>
      </c>
      <c r="T68" s="5">
        <v>0</v>
      </c>
      <c r="U68" s="12">
        <f t="shared" si="6"/>
        <v>0</v>
      </c>
      <c r="V68" s="25" t="s">
        <v>10</v>
      </c>
      <c r="W68" s="11">
        <f>IFERROR(VLOOKUP(V68,[1]Curr!$B$2:$C$13,2,FALSE),0)</f>
        <v>11.3</v>
      </c>
      <c r="X68" s="12">
        <f t="shared" si="9"/>
        <v>0</v>
      </c>
      <c r="Y68" s="26">
        <f t="shared" si="7"/>
        <v>0</v>
      </c>
      <c r="Z68" s="12">
        <f t="shared" si="10"/>
        <v>0</v>
      </c>
      <c r="AA68" s="4" t="s">
        <v>10</v>
      </c>
      <c r="AB68" s="11">
        <f>IFERROR(VLOOKUP(AA68,Curr!$B$2:$C$13,2,FALSE),0)</f>
        <v>11</v>
      </c>
      <c r="AC68" s="12">
        <f t="shared" si="11"/>
        <v>0</v>
      </c>
      <c r="AD68" s="12">
        <f t="shared" si="12"/>
        <v>0</v>
      </c>
      <c r="AE68" s="13">
        <f t="shared" si="13"/>
        <v>0</v>
      </c>
    </row>
    <row r="69" spans="2:31" x14ac:dyDescent="0.25">
      <c r="B69" s="4"/>
      <c r="E69" s="3"/>
      <c r="F69" s="3"/>
      <c r="G69" s="24"/>
      <c r="H69" s="24"/>
      <c r="K69" s="4"/>
      <c r="L69" s="4"/>
      <c r="M69" s="4"/>
      <c r="N69" s="4"/>
      <c r="O69" s="4"/>
      <c r="P69" s="27"/>
      <c r="Q69" s="25">
        <v>0</v>
      </c>
      <c r="R69" s="25">
        <v>0</v>
      </c>
      <c r="S69" s="12">
        <f t="shared" si="8"/>
        <v>0</v>
      </c>
      <c r="T69" s="5">
        <v>0</v>
      </c>
      <c r="U69" s="12">
        <f t="shared" si="6"/>
        <v>0</v>
      </c>
      <c r="V69" s="25" t="s">
        <v>10</v>
      </c>
      <c r="W69" s="11">
        <f>IFERROR(VLOOKUP(V69,[1]Curr!$B$2:$C$13,2,FALSE),0)</f>
        <v>11.3</v>
      </c>
      <c r="X69" s="12">
        <f t="shared" si="9"/>
        <v>0</v>
      </c>
      <c r="Y69" s="26">
        <f t="shared" si="7"/>
        <v>0</v>
      </c>
      <c r="Z69" s="12">
        <f t="shared" si="10"/>
        <v>0</v>
      </c>
      <c r="AA69" s="4" t="s">
        <v>10</v>
      </c>
      <c r="AB69" s="11">
        <f>IFERROR(VLOOKUP(AA69,Curr!$B$2:$C$13,2,FALSE),0)</f>
        <v>11</v>
      </c>
      <c r="AC69" s="12">
        <f t="shared" si="11"/>
        <v>0</v>
      </c>
      <c r="AD69" s="12">
        <f t="shared" si="12"/>
        <v>0</v>
      </c>
      <c r="AE69" s="13">
        <f t="shared" si="13"/>
        <v>0</v>
      </c>
    </row>
    <row r="70" spans="2:31" x14ac:dyDescent="0.25">
      <c r="B70" s="4"/>
      <c r="E70" s="3"/>
      <c r="F70" s="3"/>
      <c r="G70" s="24"/>
      <c r="H70" s="24"/>
      <c r="K70" s="4"/>
      <c r="L70" s="4"/>
      <c r="M70" s="4"/>
      <c r="N70" s="4"/>
      <c r="O70" s="4"/>
      <c r="P70" s="27"/>
      <c r="Q70" s="25">
        <v>0</v>
      </c>
      <c r="R70" s="25">
        <v>0</v>
      </c>
      <c r="S70" s="12">
        <f t="shared" si="8"/>
        <v>0</v>
      </c>
      <c r="T70" s="5">
        <v>0</v>
      </c>
      <c r="U70" s="12">
        <f t="shared" si="6"/>
        <v>0</v>
      </c>
      <c r="V70" s="25" t="s">
        <v>10</v>
      </c>
      <c r="W70" s="11">
        <f>IFERROR(VLOOKUP(V70,[1]Curr!$B$2:$C$13,2,FALSE),0)</f>
        <v>11.3</v>
      </c>
      <c r="X70" s="12">
        <f t="shared" si="9"/>
        <v>0</v>
      </c>
      <c r="Y70" s="26">
        <f t="shared" si="7"/>
        <v>0</v>
      </c>
      <c r="Z70" s="12">
        <f t="shared" si="10"/>
        <v>0</v>
      </c>
      <c r="AA70" s="4" t="s">
        <v>10</v>
      </c>
      <c r="AB70" s="11">
        <f>IFERROR(VLOOKUP(AA70,Curr!$B$2:$C$13,2,FALSE),0)</f>
        <v>11</v>
      </c>
      <c r="AC70" s="12">
        <f t="shared" si="11"/>
        <v>0</v>
      </c>
      <c r="AD70" s="12">
        <f t="shared" si="12"/>
        <v>0</v>
      </c>
      <c r="AE70" s="13">
        <f t="shared" si="13"/>
        <v>0</v>
      </c>
    </row>
    <row r="71" spans="2:31" x14ac:dyDescent="0.25">
      <c r="B71" s="4"/>
      <c r="E71" s="3"/>
      <c r="F71" s="3"/>
      <c r="G71" s="24"/>
      <c r="H71" s="24"/>
      <c r="K71" s="4"/>
      <c r="L71" s="4"/>
      <c r="M71" s="4"/>
      <c r="N71" s="4"/>
      <c r="O71" s="4"/>
      <c r="P71" s="27"/>
      <c r="Q71" s="25">
        <v>0</v>
      </c>
      <c r="R71" s="25">
        <v>0</v>
      </c>
      <c r="S71" s="12">
        <f t="shared" si="8"/>
        <v>0</v>
      </c>
      <c r="T71" s="5">
        <v>0</v>
      </c>
      <c r="U71" s="12">
        <f t="shared" si="6"/>
        <v>0</v>
      </c>
      <c r="V71" s="25" t="s">
        <v>10</v>
      </c>
      <c r="W71" s="11">
        <f>IFERROR(VLOOKUP(V71,[1]Curr!$B$2:$C$13,2,FALSE),0)</f>
        <v>11.3</v>
      </c>
      <c r="X71" s="12">
        <f t="shared" si="9"/>
        <v>0</v>
      </c>
      <c r="Y71" s="26">
        <f t="shared" si="7"/>
        <v>0</v>
      </c>
      <c r="Z71" s="12">
        <f t="shared" si="10"/>
        <v>0</v>
      </c>
      <c r="AA71" s="4" t="s">
        <v>10</v>
      </c>
      <c r="AB71" s="11">
        <f>IFERROR(VLOOKUP(AA71,Curr!$B$2:$C$13,2,FALSE),0)</f>
        <v>11</v>
      </c>
      <c r="AC71" s="12">
        <f t="shared" si="11"/>
        <v>0</v>
      </c>
      <c r="AD71" s="12">
        <f t="shared" si="12"/>
        <v>0</v>
      </c>
      <c r="AE71" s="13">
        <f t="shared" si="13"/>
        <v>0</v>
      </c>
    </row>
    <row r="72" spans="2:31" x14ac:dyDescent="0.25">
      <c r="B72" s="4"/>
      <c r="E72" s="3"/>
      <c r="F72" s="3"/>
      <c r="G72" s="24"/>
      <c r="H72" s="24"/>
      <c r="K72" s="4"/>
      <c r="L72" s="4"/>
      <c r="M72" s="4"/>
      <c r="N72" s="4"/>
      <c r="O72" s="4"/>
      <c r="P72" s="27"/>
      <c r="Q72" s="25">
        <v>0</v>
      </c>
      <c r="R72" s="25">
        <v>0</v>
      </c>
      <c r="S72" s="12">
        <f t="shared" si="8"/>
        <v>0</v>
      </c>
      <c r="T72" s="5">
        <v>0</v>
      </c>
      <c r="U72" s="12">
        <f t="shared" ref="U72:U78" si="14">S72*(1-T72)</f>
        <v>0</v>
      </c>
      <c r="V72" s="25" t="s">
        <v>10</v>
      </c>
      <c r="W72" s="11">
        <f>IFERROR(VLOOKUP(V72,[1]Curr!$B$2:$C$13,2,FALSE),0)</f>
        <v>11.3</v>
      </c>
      <c r="X72" s="12">
        <f t="shared" si="9"/>
        <v>0</v>
      </c>
      <c r="Y72" s="26">
        <f t="shared" ref="Y72:Y78" si="15">Q72</f>
        <v>0</v>
      </c>
      <c r="Z72" s="12">
        <f t="shared" si="10"/>
        <v>0</v>
      </c>
      <c r="AA72" s="4" t="s">
        <v>10</v>
      </c>
      <c r="AB72" s="11">
        <f>IFERROR(VLOOKUP(AA72,Curr!$B$2:$C$13,2,FALSE),0)</f>
        <v>11</v>
      </c>
      <c r="AC72" s="12">
        <f t="shared" si="11"/>
        <v>0</v>
      </c>
      <c r="AD72" s="12">
        <f t="shared" si="12"/>
        <v>0</v>
      </c>
      <c r="AE72" s="13">
        <f t="shared" si="13"/>
        <v>0</v>
      </c>
    </row>
    <row r="73" spans="2:31" x14ac:dyDescent="0.25">
      <c r="B73" s="4"/>
      <c r="E73" s="3"/>
      <c r="F73" s="3"/>
      <c r="G73" s="24"/>
      <c r="H73" s="24"/>
      <c r="K73" s="4"/>
      <c r="L73" s="4"/>
      <c r="M73" s="4"/>
      <c r="N73" s="4"/>
      <c r="O73" s="4"/>
      <c r="P73" s="27"/>
      <c r="Q73" s="25">
        <v>0</v>
      </c>
      <c r="R73" s="25">
        <v>0</v>
      </c>
      <c r="S73" s="12">
        <f t="shared" si="8"/>
        <v>0</v>
      </c>
      <c r="T73" s="5">
        <v>0</v>
      </c>
      <c r="U73" s="12">
        <f t="shared" si="14"/>
        <v>0</v>
      </c>
      <c r="V73" s="25" t="s">
        <v>10</v>
      </c>
      <c r="W73" s="11">
        <f>IFERROR(VLOOKUP(V73,[1]Curr!$B$2:$C$13,2,FALSE),0)</f>
        <v>11.3</v>
      </c>
      <c r="X73" s="12">
        <f t="shared" si="9"/>
        <v>0</v>
      </c>
      <c r="Y73" s="26">
        <f t="shared" si="15"/>
        <v>0</v>
      </c>
      <c r="Z73" s="12">
        <f t="shared" si="10"/>
        <v>0</v>
      </c>
      <c r="AA73" s="4" t="s">
        <v>10</v>
      </c>
      <c r="AB73" s="11">
        <f>IFERROR(VLOOKUP(AA73,Curr!$B$2:$C$13,2,FALSE),0)</f>
        <v>11</v>
      </c>
      <c r="AC73" s="12">
        <f t="shared" si="11"/>
        <v>0</v>
      </c>
      <c r="AD73" s="12">
        <f t="shared" si="12"/>
        <v>0</v>
      </c>
      <c r="AE73" s="13">
        <f t="shared" si="13"/>
        <v>0</v>
      </c>
    </row>
    <row r="74" spans="2:31" x14ac:dyDescent="0.25">
      <c r="B74" s="4"/>
      <c r="E74" s="3"/>
      <c r="F74" s="3"/>
      <c r="G74" s="24"/>
      <c r="H74" s="24"/>
      <c r="K74" s="4"/>
      <c r="L74" s="4"/>
      <c r="M74" s="4"/>
      <c r="N74" s="4"/>
      <c r="O74" s="4"/>
      <c r="P74" s="27"/>
      <c r="Q74" s="25">
        <v>0</v>
      </c>
      <c r="R74" s="25">
        <v>0</v>
      </c>
      <c r="S74" s="12">
        <f t="shared" ref="S74:S78" si="16">+Q74*R74</f>
        <v>0</v>
      </c>
      <c r="T74" s="5">
        <v>0</v>
      </c>
      <c r="U74" s="12">
        <f t="shared" si="14"/>
        <v>0</v>
      </c>
      <c r="V74" s="25" t="s">
        <v>10</v>
      </c>
      <c r="W74" s="11">
        <f>IFERROR(VLOOKUP(V74,[1]Curr!$B$2:$C$13,2,FALSE),0)</f>
        <v>11.3</v>
      </c>
      <c r="X74" s="12">
        <f t="shared" ref="X74:X78" si="17">U74*W74</f>
        <v>0</v>
      </c>
      <c r="Y74" s="26">
        <f t="shared" si="15"/>
        <v>0</v>
      </c>
      <c r="Z74" s="12">
        <f t="shared" ref="Z74:Z78" si="18">+Y74*R74</f>
        <v>0</v>
      </c>
      <c r="AA74" s="4" t="s">
        <v>10</v>
      </c>
      <c r="AB74" s="11">
        <f>IFERROR(VLOOKUP(AA74,Curr!$B$2:$C$13,2,FALSE),0)</f>
        <v>11</v>
      </c>
      <c r="AC74" s="12">
        <f t="shared" ref="AC74:AC78" si="19">+Y74*AB74*R74</f>
        <v>0</v>
      </c>
      <c r="AD74" s="12">
        <f t="shared" ref="AD74:AD78" si="20">+AC74-X74</f>
        <v>0</v>
      </c>
      <c r="AE74" s="13">
        <f t="shared" ref="AE74:AE78" si="21">IFERROR(AD74/AC74,0)</f>
        <v>0</v>
      </c>
    </row>
    <row r="75" spans="2:31" x14ac:dyDescent="0.25">
      <c r="B75" s="4"/>
      <c r="E75" s="3"/>
      <c r="F75" s="3"/>
      <c r="G75" s="24"/>
      <c r="H75" s="24"/>
      <c r="K75" s="4"/>
      <c r="L75" s="4"/>
      <c r="M75" s="4"/>
      <c r="N75" s="4"/>
      <c r="O75" s="4"/>
      <c r="P75" s="27"/>
      <c r="Q75" s="25">
        <v>0</v>
      </c>
      <c r="R75" s="25">
        <v>0</v>
      </c>
      <c r="S75" s="12">
        <f t="shared" si="16"/>
        <v>0</v>
      </c>
      <c r="T75" s="5">
        <v>0</v>
      </c>
      <c r="U75" s="12">
        <f t="shared" si="14"/>
        <v>0</v>
      </c>
      <c r="V75" s="25" t="s">
        <v>10</v>
      </c>
      <c r="W75" s="11">
        <f>IFERROR(VLOOKUP(V75,[1]Curr!$B$2:$C$13,2,FALSE),0)</f>
        <v>11.3</v>
      </c>
      <c r="X75" s="12">
        <f t="shared" si="17"/>
        <v>0</v>
      </c>
      <c r="Y75" s="26">
        <f t="shared" si="15"/>
        <v>0</v>
      </c>
      <c r="Z75" s="12">
        <f t="shared" si="18"/>
        <v>0</v>
      </c>
      <c r="AA75" s="4" t="s">
        <v>10</v>
      </c>
      <c r="AB75" s="11">
        <f>IFERROR(VLOOKUP(AA75,Curr!$B$2:$C$13,2,FALSE),0)</f>
        <v>11</v>
      </c>
      <c r="AC75" s="12">
        <f t="shared" si="19"/>
        <v>0</v>
      </c>
      <c r="AD75" s="12">
        <f t="shared" si="20"/>
        <v>0</v>
      </c>
      <c r="AE75" s="13">
        <f t="shared" si="21"/>
        <v>0</v>
      </c>
    </row>
    <row r="76" spans="2:31" x14ac:dyDescent="0.25">
      <c r="B76" s="4"/>
      <c r="E76" s="3"/>
      <c r="F76" s="3"/>
      <c r="G76" s="24"/>
      <c r="H76" s="24"/>
      <c r="K76" s="4"/>
      <c r="L76" s="4"/>
      <c r="M76" s="4"/>
      <c r="N76" s="4"/>
      <c r="O76" s="4"/>
      <c r="P76" s="27"/>
      <c r="Q76" s="25">
        <v>0</v>
      </c>
      <c r="R76" s="25">
        <v>0</v>
      </c>
      <c r="S76" s="12">
        <f t="shared" si="16"/>
        <v>0</v>
      </c>
      <c r="T76" s="5">
        <v>0</v>
      </c>
      <c r="U76" s="12">
        <f t="shared" si="14"/>
        <v>0</v>
      </c>
      <c r="V76" s="25" t="s">
        <v>10</v>
      </c>
      <c r="W76" s="11">
        <f>IFERROR(VLOOKUP(V76,[1]Curr!$B$2:$C$13,2,FALSE),0)</f>
        <v>11.3</v>
      </c>
      <c r="X76" s="12">
        <f t="shared" si="17"/>
        <v>0</v>
      </c>
      <c r="Y76" s="26">
        <f t="shared" si="15"/>
        <v>0</v>
      </c>
      <c r="Z76" s="12">
        <f t="shared" si="18"/>
        <v>0</v>
      </c>
      <c r="AA76" s="4" t="s">
        <v>10</v>
      </c>
      <c r="AB76" s="11">
        <f>IFERROR(VLOOKUP(AA76,Curr!$B$2:$C$13,2,FALSE),0)</f>
        <v>11</v>
      </c>
      <c r="AC76" s="12">
        <f t="shared" si="19"/>
        <v>0</v>
      </c>
      <c r="AD76" s="12">
        <f t="shared" si="20"/>
        <v>0</v>
      </c>
      <c r="AE76" s="13">
        <f t="shared" si="21"/>
        <v>0</v>
      </c>
    </row>
    <row r="77" spans="2:31" x14ac:dyDescent="0.25">
      <c r="B77" s="4"/>
      <c r="E77" s="3"/>
      <c r="F77" s="3"/>
      <c r="G77" s="24"/>
      <c r="H77" s="24"/>
      <c r="K77" s="4"/>
      <c r="L77" s="4"/>
      <c r="M77" s="4"/>
      <c r="N77" s="4"/>
      <c r="O77" s="4"/>
      <c r="P77" s="27"/>
      <c r="Q77" s="25">
        <v>0</v>
      </c>
      <c r="R77" s="25">
        <v>0</v>
      </c>
      <c r="S77" s="12">
        <f t="shared" si="16"/>
        <v>0</v>
      </c>
      <c r="T77" s="5">
        <v>0</v>
      </c>
      <c r="U77" s="12">
        <f t="shared" si="14"/>
        <v>0</v>
      </c>
      <c r="V77" s="25" t="s">
        <v>10</v>
      </c>
      <c r="W77" s="11">
        <f>IFERROR(VLOOKUP(V77,[1]Curr!$B$2:$C$13,2,FALSE),0)</f>
        <v>11.3</v>
      </c>
      <c r="X77" s="12">
        <f t="shared" si="17"/>
        <v>0</v>
      </c>
      <c r="Y77" s="26">
        <f t="shared" si="15"/>
        <v>0</v>
      </c>
      <c r="Z77" s="12">
        <f t="shared" si="18"/>
        <v>0</v>
      </c>
      <c r="AA77" s="4" t="s">
        <v>10</v>
      </c>
      <c r="AB77" s="11">
        <f>IFERROR(VLOOKUP(AA77,Curr!$B$2:$C$13,2,FALSE),0)</f>
        <v>11</v>
      </c>
      <c r="AC77" s="12">
        <f t="shared" si="19"/>
        <v>0</v>
      </c>
      <c r="AD77" s="12">
        <f t="shared" si="20"/>
        <v>0</v>
      </c>
      <c r="AE77" s="13">
        <f t="shared" si="21"/>
        <v>0</v>
      </c>
    </row>
    <row r="78" spans="2:31" x14ac:dyDescent="0.25">
      <c r="B78" s="4"/>
      <c r="E78" s="3"/>
      <c r="F78" s="3"/>
      <c r="G78" s="24"/>
      <c r="H78" s="24"/>
      <c r="K78" s="4"/>
      <c r="L78" s="4"/>
      <c r="M78" s="4"/>
      <c r="N78" s="4"/>
      <c r="O78" s="4"/>
      <c r="P78" s="27"/>
      <c r="Q78" s="25">
        <v>0</v>
      </c>
      <c r="R78" s="25">
        <v>0</v>
      </c>
      <c r="S78" s="12">
        <f t="shared" si="16"/>
        <v>0</v>
      </c>
      <c r="T78" s="5">
        <v>0</v>
      </c>
      <c r="U78" s="12">
        <f t="shared" si="14"/>
        <v>0</v>
      </c>
      <c r="V78" s="25" t="s">
        <v>10</v>
      </c>
      <c r="W78" s="11">
        <f>IFERROR(VLOOKUP(V78,[1]Curr!$B$2:$C$13,2,FALSE),0)</f>
        <v>11.3</v>
      </c>
      <c r="X78" s="12">
        <f t="shared" si="17"/>
        <v>0</v>
      </c>
      <c r="Y78" s="26">
        <f t="shared" si="15"/>
        <v>0</v>
      </c>
      <c r="Z78" s="12">
        <f t="shared" si="18"/>
        <v>0</v>
      </c>
      <c r="AA78" s="4" t="s">
        <v>10</v>
      </c>
      <c r="AB78" s="11">
        <f>IFERROR(VLOOKUP(AA78,Curr!$B$2:$C$13,2,FALSE),0)</f>
        <v>11</v>
      </c>
      <c r="AC78" s="12">
        <f t="shared" si="19"/>
        <v>0</v>
      </c>
      <c r="AD78" s="12">
        <f t="shared" si="20"/>
        <v>0</v>
      </c>
      <c r="AE78" s="13">
        <f t="shared" si="21"/>
        <v>0</v>
      </c>
    </row>
    <row r="79" spans="2:31" x14ac:dyDescent="0.25">
      <c r="B79" s="4"/>
      <c r="E79" s="3"/>
      <c r="F79" s="3"/>
      <c r="G79" s="24"/>
      <c r="H79" s="24"/>
      <c r="K79" s="4"/>
      <c r="L79" s="4"/>
      <c r="M79" s="4"/>
      <c r="N79" s="4"/>
      <c r="O79" s="4"/>
      <c r="P79" s="27"/>
      <c r="Q79" s="25">
        <v>0</v>
      </c>
      <c r="R79" s="25">
        <v>0</v>
      </c>
      <c r="S79" s="12">
        <f t="shared" ref="S79:S99" si="22">+Q79*R79</f>
        <v>0</v>
      </c>
      <c r="T79" s="5">
        <v>0</v>
      </c>
      <c r="U79" s="12">
        <f t="shared" ref="U79:U99" si="23">S79*(1-T79)</f>
        <v>0</v>
      </c>
      <c r="V79" s="25" t="s">
        <v>10</v>
      </c>
      <c r="W79" s="11">
        <f>IFERROR(VLOOKUP(V79,[1]Curr!$B$2:$C$13,2,FALSE),0)</f>
        <v>11.3</v>
      </c>
      <c r="X79" s="12">
        <f t="shared" ref="X79:X99" si="24">U79*W79</f>
        <v>0</v>
      </c>
      <c r="Y79" s="26">
        <f t="shared" ref="Y79:Y99" si="25">Q79</f>
        <v>0</v>
      </c>
      <c r="Z79" s="12">
        <f t="shared" ref="Z79:Z99" si="26">+Y79*R79</f>
        <v>0</v>
      </c>
      <c r="AA79" s="4" t="s">
        <v>10</v>
      </c>
      <c r="AB79" s="11">
        <f>IFERROR(VLOOKUP(AA79,Curr!$B$2:$C$13,2,FALSE),0)</f>
        <v>11</v>
      </c>
      <c r="AC79" s="12">
        <f t="shared" ref="AC79:AC99" si="27">+Y79*AB79*R79</f>
        <v>0</v>
      </c>
      <c r="AD79" s="12">
        <f t="shared" ref="AD79:AD99" si="28">+AC79-X79</f>
        <v>0</v>
      </c>
      <c r="AE79" s="13">
        <f t="shared" ref="AE79:AE99" si="29">IFERROR(AD79/AC79,0)</f>
        <v>0</v>
      </c>
    </row>
    <row r="80" spans="2:31" x14ac:dyDescent="0.25">
      <c r="B80" s="4"/>
      <c r="E80" s="3"/>
      <c r="F80" s="3"/>
      <c r="G80" s="24"/>
      <c r="H80" s="24"/>
      <c r="K80" s="4"/>
      <c r="L80" s="4"/>
      <c r="M80" s="4"/>
      <c r="N80" s="4"/>
      <c r="O80" s="4"/>
      <c r="P80" s="27"/>
      <c r="Q80" s="25">
        <v>0</v>
      </c>
      <c r="R80" s="25">
        <v>0</v>
      </c>
      <c r="S80" s="12">
        <f t="shared" si="22"/>
        <v>0</v>
      </c>
      <c r="T80" s="5">
        <v>0</v>
      </c>
      <c r="U80" s="12">
        <f t="shared" si="23"/>
        <v>0</v>
      </c>
      <c r="V80" s="25" t="s">
        <v>10</v>
      </c>
      <c r="W80" s="11">
        <f>IFERROR(VLOOKUP(V80,[1]Curr!$B$2:$C$13,2,FALSE),0)</f>
        <v>11.3</v>
      </c>
      <c r="X80" s="12">
        <f t="shared" si="24"/>
        <v>0</v>
      </c>
      <c r="Y80" s="26">
        <f t="shared" si="25"/>
        <v>0</v>
      </c>
      <c r="Z80" s="12">
        <f t="shared" si="26"/>
        <v>0</v>
      </c>
      <c r="AA80" s="4" t="s">
        <v>10</v>
      </c>
      <c r="AB80" s="11">
        <f>IFERROR(VLOOKUP(AA80,Curr!$B$2:$C$13,2,FALSE),0)</f>
        <v>11</v>
      </c>
      <c r="AC80" s="12">
        <f t="shared" si="27"/>
        <v>0</v>
      </c>
      <c r="AD80" s="12">
        <f t="shared" si="28"/>
        <v>0</v>
      </c>
      <c r="AE80" s="13">
        <f t="shared" si="29"/>
        <v>0</v>
      </c>
    </row>
    <row r="81" spans="2:31" x14ac:dyDescent="0.25">
      <c r="B81" s="4"/>
      <c r="E81" s="3"/>
      <c r="F81" s="3"/>
      <c r="G81" s="24"/>
      <c r="H81" s="24"/>
      <c r="K81" s="4"/>
      <c r="L81" s="4"/>
      <c r="M81" s="4"/>
      <c r="N81" s="4"/>
      <c r="O81" s="4"/>
      <c r="P81" s="27"/>
      <c r="Q81" s="25">
        <v>0</v>
      </c>
      <c r="R81" s="25">
        <v>0</v>
      </c>
      <c r="S81" s="12">
        <f t="shared" si="22"/>
        <v>0</v>
      </c>
      <c r="T81" s="5">
        <v>0</v>
      </c>
      <c r="U81" s="12">
        <f t="shared" si="23"/>
        <v>0</v>
      </c>
      <c r="V81" s="25" t="s">
        <v>10</v>
      </c>
      <c r="W81" s="11">
        <f>IFERROR(VLOOKUP(V81,[1]Curr!$B$2:$C$13,2,FALSE),0)</f>
        <v>11.3</v>
      </c>
      <c r="X81" s="12">
        <f t="shared" si="24"/>
        <v>0</v>
      </c>
      <c r="Y81" s="26">
        <f t="shared" si="25"/>
        <v>0</v>
      </c>
      <c r="Z81" s="12">
        <f t="shared" si="26"/>
        <v>0</v>
      </c>
      <c r="AA81" s="4" t="s">
        <v>10</v>
      </c>
      <c r="AB81" s="11">
        <f>IFERROR(VLOOKUP(AA81,Curr!$B$2:$C$13,2,FALSE),0)</f>
        <v>11</v>
      </c>
      <c r="AC81" s="12">
        <f t="shared" si="27"/>
        <v>0</v>
      </c>
      <c r="AD81" s="12">
        <f t="shared" si="28"/>
        <v>0</v>
      </c>
      <c r="AE81" s="13">
        <f t="shared" si="29"/>
        <v>0</v>
      </c>
    </row>
    <row r="82" spans="2:31" x14ac:dyDescent="0.25">
      <c r="B82" s="4"/>
      <c r="E82" s="3"/>
      <c r="F82" s="3"/>
      <c r="G82" s="24"/>
      <c r="H82" s="24"/>
      <c r="K82" s="4"/>
      <c r="L82" s="4"/>
      <c r="M82" s="4"/>
      <c r="N82" s="4"/>
      <c r="O82" s="4"/>
      <c r="P82" s="27"/>
      <c r="Q82" s="25">
        <v>0</v>
      </c>
      <c r="R82" s="25">
        <v>0</v>
      </c>
      <c r="S82" s="12">
        <f t="shared" si="22"/>
        <v>0</v>
      </c>
      <c r="T82" s="5">
        <v>0</v>
      </c>
      <c r="U82" s="12">
        <f t="shared" si="23"/>
        <v>0</v>
      </c>
      <c r="V82" s="25" t="s">
        <v>10</v>
      </c>
      <c r="W82" s="11">
        <f>IFERROR(VLOOKUP(V82,[1]Curr!$B$2:$C$13,2,FALSE),0)</f>
        <v>11.3</v>
      </c>
      <c r="X82" s="12">
        <f t="shared" si="24"/>
        <v>0</v>
      </c>
      <c r="Y82" s="26">
        <f t="shared" si="25"/>
        <v>0</v>
      </c>
      <c r="Z82" s="12">
        <f t="shared" si="26"/>
        <v>0</v>
      </c>
      <c r="AA82" s="4" t="s">
        <v>10</v>
      </c>
      <c r="AB82" s="11">
        <f>IFERROR(VLOOKUP(AA82,Curr!$B$2:$C$13,2,FALSE),0)</f>
        <v>11</v>
      </c>
      <c r="AC82" s="12">
        <f t="shared" si="27"/>
        <v>0</v>
      </c>
      <c r="AD82" s="12">
        <f t="shared" si="28"/>
        <v>0</v>
      </c>
      <c r="AE82" s="13">
        <f t="shared" si="29"/>
        <v>0</v>
      </c>
    </row>
    <row r="83" spans="2:31" x14ac:dyDescent="0.25">
      <c r="B83" s="4"/>
      <c r="E83" s="3"/>
      <c r="F83" s="3"/>
      <c r="G83" s="24"/>
      <c r="H83" s="24"/>
      <c r="K83" s="4"/>
      <c r="L83" s="4"/>
      <c r="M83" s="4"/>
      <c r="N83" s="4"/>
      <c r="O83" s="4"/>
      <c r="P83" s="27"/>
      <c r="Q83" s="25">
        <v>0</v>
      </c>
      <c r="R83" s="25">
        <v>0</v>
      </c>
      <c r="S83" s="12">
        <f t="shared" si="22"/>
        <v>0</v>
      </c>
      <c r="T83" s="5">
        <v>0</v>
      </c>
      <c r="U83" s="12">
        <f t="shared" si="23"/>
        <v>0</v>
      </c>
      <c r="V83" s="25" t="s">
        <v>10</v>
      </c>
      <c r="W83" s="11">
        <f>IFERROR(VLOOKUP(V83,[1]Curr!$B$2:$C$13,2,FALSE),0)</f>
        <v>11.3</v>
      </c>
      <c r="X83" s="12">
        <f t="shared" si="24"/>
        <v>0</v>
      </c>
      <c r="Y83" s="26">
        <f t="shared" si="25"/>
        <v>0</v>
      </c>
      <c r="Z83" s="12">
        <f t="shared" si="26"/>
        <v>0</v>
      </c>
      <c r="AA83" s="4" t="s">
        <v>10</v>
      </c>
      <c r="AB83" s="11">
        <f>IFERROR(VLOOKUP(AA83,Curr!$B$2:$C$13,2,FALSE),0)</f>
        <v>11</v>
      </c>
      <c r="AC83" s="12">
        <f t="shared" si="27"/>
        <v>0</v>
      </c>
      <c r="AD83" s="12">
        <f t="shared" si="28"/>
        <v>0</v>
      </c>
      <c r="AE83" s="13">
        <f t="shared" si="29"/>
        <v>0</v>
      </c>
    </row>
    <row r="84" spans="2:31" x14ac:dyDescent="0.25">
      <c r="B84" s="4"/>
      <c r="E84" s="3"/>
      <c r="F84" s="3"/>
      <c r="G84" s="24"/>
      <c r="H84" s="24"/>
      <c r="K84" s="4"/>
      <c r="L84" s="4"/>
      <c r="M84" s="4"/>
      <c r="N84" s="4"/>
      <c r="O84" s="4"/>
      <c r="P84" s="27"/>
      <c r="Q84" s="25">
        <v>0</v>
      </c>
      <c r="R84" s="25">
        <v>0</v>
      </c>
      <c r="S84" s="12">
        <f t="shared" si="22"/>
        <v>0</v>
      </c>
      <c r="T84" s="5">
        <v>0</v>
      </c>
      <c r="U84" s="12">
        <f t="shared" si="23"/>
        <v>0</v>
      </c>
      <c r="V84" s="25" t="s">
        <v>10</v>
      </c>
      <c r="W84" s="11">
        <f>IFERROR(VLOOKUP(V84,[1]Curr!$B$2:$C$13,2,FALSE),0)</f>
        <v>11.3</v>
      </c>
      <c r="X84" s="12">
        <f t="shared" si="24"/>
        <v>0</v>
      </c>
      <c r="Y84" s="26">
        <f t="shared" si="25"/>
        <v>0</v>
      </c>
      <c r="Z84" s="12">
        <f t="shared" si="26"/>
        <v>0</v>
      </c>
      <c r="AA84" s="4" t="s">
        <v>10</v>
      </c>
      <c r="AB84" s="11">
        <f>IFERROR(VLOOKUP(AA84,Curr!$B$2:$C$13,2,FALSE),0)</f>
        <v>11</v>
      </c>
      <c r="AC84" s="12">
        <f t="shared" si="27"/>
        <v>0</v>
      </c>
      <c r="AD84" s="12">
        <f t="shared" si="28"/>
        <v>0</v>
      </c>
      <c r="AE84" s="13">
        <f t="shared" si="29"/>
        <v>0</v>
      </c>
    </row>
    <row r="85" spans="2:31" x14ac:dyDescent="0.25">
      <c r="B85" s="4"/>
      <c r="E85" s="3"/>
      <c r="F85" s="3"/>
      <c r="G85" s="24"/>
      <c r="H85" s="24"/>
      <c r="K85" s="4"/>
      <c r="L85" s="4"/>
      <c r="M85" s="4"/>
      <c r="N85" s="4"/>
      <c r="O85" s="4"/>
      <c r="P85" s="27"/>
      <c r="Q85" s="25">
        <v>0</v>
      </c>
      <c r="R85" s="25">
        <v>0</v>
      </c>
      <c r="S85" s="12">
        <f t="shared" si="22"/>
        <v>0</v>
      </c>
      <c r="T85" s="5">
        <v>0</v>
      </c>
      <c r="U85" s="12">
        <f t="shared" si="23"/>
        <v>0</v>
      </c>
      <c r="V85" s="25" t="s">
        <v>10</v>
      </c>
      <c r="W85" s="11">
        <f>IFERROR(VLOOKUP(V85,[1]Curr!$B$2:$C$13,2,FALSE),0)</f>
        <v>11.3</v>
      </c>
      <c r="X85" s="12">
        <f t="shared" si="24"/>
        <v>0</v>
      </c>
      <c r="Y85" s="26">
        <f t="shared" si="25"/>
        <v>0</v>
      </c>
      <c r="Z85" s="12">
        <f t="shared" si="26"/>
        <v>0</v>
      </c>
      <c r="AA85" s="4" t="s">
        <v>10</v>
      </c>
      <c r="AB85" s="11">
        <f>IFERROR(VLOOKUP(AA85,Curr!$B$2:$C$13,2,FALSE),0)</f>
        <v>11</v>
      </c>
      <c r="AC85" s="12">
        <f t="shared" si="27"/>
        <v>0</v>
      </c>
      <c r="AD85" s="12">
        <f t="shared" si="28"/>
        <v>0</v>
      </c>
      <c r="AE85" s="13">
        <f t="shared" si="29"/>
        <v>0</v>
      </c>
    </row>
    <row r="86" spans="2:31" x14ac:dyDescent="0.25">
      <c r="B86" s="4"/>
      <c r="E86" s="3"/>
      <c r="F86" s="3"/>
      <c r="G86" s="24"/>
      <c r="H86" s="24"/>
      <c r="K86" s="4"/>
      <c r="L86" s="4"/>
      <c r="M86" s="4"/>
      <c r="N86" s="4"/>
      <c r="O86" s="4"/>
      <c r="P86" s="27"/>
      <c r="Q86" s="25">
        <v>0</v>
      </c>
      <c r="R86" s="25">
        <v>0</v>
      </c>
      <c r="S86" s="12">
        <f t="shared" si="22"/>
        <v>0</v>
      </c>
      <c r="T86" s="5">
        <v>0</v>
      </c>
      <c r="U86" s="12">
        <f t="shared" si="23"/>
        <v>0</v>
      </c>
      <c r="V86" s="25" t="s">
        <v>10</v>
      </c>
      <c r="W86" s="11">
        <f>IFERROR(VLOOKUP(V86,[1]Curr!$B$2:$C$13,2,FALSE),0)</f>
        <v>11.3</v>
      </c>
      <c r="X86" s="12">
        <f t="shared" si="24"/>
        <v>0</v>
      </c>
      <c r="Y86" s="26">
        <f t="shared" si="25"/>
        <v>0</v>
      </c>
      <c r="Z86" s="12">
        <f t="shared" si="26"/>
        <v>0</v>
      </c>
      <c r="AA86" s="4" t="s">
        <v>10</v>
      </c>
      <c r="AB86" s="11">
        <f>IFERROR(VLOOKUP(AA86,Curr!$B$2:$C$13,2,FALSE),0)</f>
        <v>11</v>
      </c>
      <c r="AC86" s="12">
        <f t="shared" si="27"/>
        <v>0</v>
      </c>
      <c r="AD86" s="12">
        <f t="shared" si="28"/>
        <v>0</v>
      </c>
      <c r="AE86" s="13">
        <f t="shared" si="29"/>
        <v>0</v>
      </c>
    </row>
    <row r="87" spans="2:31" x14ac:dyDescent="0.25">
      <c r="B87" s="4"/>
      <c r="E87" s="3"/>
      <c r="F87" s="3"/>
      <c r="G87" s="24"/>
      <c r="H87" s="24"/>
      <c r="K87" s="4"/>
      <c r="L87" s="4"/>
      <c r="M87" s="4"/>
      <c r="N87" s="4"/>
      <c r="O87" s="4"/>
      <c r="P87" s="27"/>
      <c r="Q87" s="25">
        <v>0</v>
      </c>
      <c r="R87" s="25">
        <v>0</v>
      </c>
      <c r="S87" s="12">
        <f t="shared" si="22"/>
        <v>0</v>
      </c>
      <c r="T87" s="5">
        <v>0</v>
      </c>
      <c r="U87" s="12">
        <f t="shared" si="23"/>
        <v>0</v>
      </c>
      <c r="V87" s="25" t="s">
        <v>10</v>
      </c>
      <c r="W87" s="11">
        <f>IFERROR(VLOOKUP(V87,[1]Curr!$B$2:$C$13,2,FALSE),0)</f>
        <v>11.3</v>
      </c>
      <c r="X87" s="12">
        <f t="shared" si="24"/>
        <v>0</v>
      </c>
      <c r="Y87" s="26">
        <f t="shared" si="25"/>
        <v>0</v>
      </c>
      <c r="Z87" s="12">
        <f t="shared" si="26"/>
        <v>0</v>
      </c>
      <c r="AA87" s="4" t="s">
        <v>10</v>
      </c>
      <c r="AB87" s="11">
        <f>IFERROR(VLOOKUP(AA87,Curr!$B$2:$C$13,2,FALSE),0)</f>
        <v>11</v>
      </c>
      <c r="AC87" s="12">
        <f t="shared" si="27"/>
        <v>0</v>
      </c>
      <c r="AD87" s="12">
        <f t="shared" si="28"/>
        <v>0</v>
      </c>
      <c r="AE87" s="13">
        <f t="shared" si="29"/>
        <v>0</v>
      </c>
    </row>
    <row r="88" spans="2:31" x14ac:dyDescent="0.25">
      <c r="B88" s="4"/>
      <c r="E88" s="3"/>
      <c r="F88" s="3"/>
      <c r="G88" s="24"/>
      <c r="H88" s="24"/>
      <c r="K88" s="4"/>
      <c r="L88" s="4"/>
      <c r="M88" s="4"/>
      <c r="N88" s="4"/>
      <c r="O88" s="4"/>
      <c r="P88" s="27"/>
      <c r="Q88" s="25">
        <v>0</v>
      </c>
      <c r="R88" s="25">
        <v>0</v>
      </c>
      <c r="S88" s="12">
        <f t="shared" si="22"/>
        <v>0</v>
      </c>
      <c r="T88" s="5">
        <v>0</v>
      </c>
      <c r="U88" s="12">
        <f t="shared" si="23"/>
        <v>0</v>
      </c>
      <c r="V88" s="25" t="s">
        <v>10</v>
      </c>
      <c r="W88" s="11">
        <f>IFERROR(VLOOKUP(V88,[1]Curr!$B$2:$C$13,2,FALSE),0)</f>
        <v>11.3</v>
      </c>
      <c r="X88" s="12">
        <f t="shared" si="24"/>
        <v>0</v>
      </c>
      <c r="Y88" s="26">
        <f t="shared" si="25"/>
        <v>0</v>
      </c>
      <c r="Z88" s="12">
        <f t="shared" si="26"/>
        <v>0</v>
      </c>
      <c r="AA88" s="4" t="s">
        <v>10</v>
      </c>
      <c r="AB88" s="11">
        <f>IFERROR(VLOOKUP(AA88,Curr!$B$2:$C$13,2,FALSE),0)</f>
        <v>11</v>
      </c>
      <c r="AC88" s="12">
        <f t="shared" si="27"/>
        <v>0</v>
      </c>
      <c r="AD88" s="12">
        <f t="shared" si="28"/>
        <v>0</v>
      </c>
      <c r="AE88" s="13">
        <f t="shared" si="29"/>
        <v>0</v>
      </c>
    </row>
    <row r="89" spans="2:31" x14ac:dyDescent="0.25">
      <c r="B89" s="4"/>
      <c r="E89" s="3"/>
      <c r="F89" s="3"/>
      <c r="G89" s="24"/>
      <c r="H89" s="24"/>
      <c r="K89" s="4"/>
      <c r="L89" s="4"/>
      <c r="M89" s="4"/>
      <c r="N89" s="4"/>
      <c r="O89" s="4"/>
      <c r="P89" s="27"/>
      <c r="Q89" s="25">
        <v>0</v>
      </c>
      <c r="R89" s="25">
        <v>0</v>
      </c>
      <c r="S89" s="12">
        <f t="shared" si="22"/>
        <v>0</v>
      </c>
      <c r="T89" s="5">
        <v>0</v>
      </c>
      <c r="U89" s="12">
        <f t="shared" si="23"/>
        <v>0</v>
      </c>
      <c r="V89" s="25" t="s">
        <v>10</v>
      </c>
      <c r="W89" s="11">
        <f>IFERROR(VLOOKUP(V89,[1]Curr!$B$2:$C$13,2,FALSE),0)</f>
        <v>11.3</v>
      </c>
      <c r="X89" s="12">
        <f t="shared" si="24"/>
        <v>0</v>
      </c>
      <c r="Y89" s="26">
        <f t="shared" si="25"/>
        <v>0</v>
      </c>
      <c r="Z89" s="12">
        <f t="shared" si="26"/>
        <v>0</v>
      </c>
      <c r="AA89" s="4" t="s">
        <v>10</v>
      </c>
      <c r="AB89" s="11">
        <f>IFERROR(VLOOKUP(AA89,Curr!$B$2:$C$13,2,FALSE),0)</f>
        <v>11</v>
      </c>
      <c r="AC89" s="12">
        <f t="shared" si="27"/>
        <v>0</v>
      </c>
      <c r="AD89" s="12">
        <f t="shared" si="28"/>
        <v>0</v>
      </c>
      <c r="AE89" s="13">
        <f t="shared" si="29"/>
        <v>0</v>
      </c>
    </row>
    <row r="90" spans="2:31" x14ac:dyDescent="0.25">
      <c r="B90" s="4"/>
      <c r="E90" s="3"/>
      <c r="F90" s="3"/>
      <c r="G90" s="24"/>
      <c r="H90" s="24"/>
      <c r="K90" s="4"/>
      <c r="L90" s="4"/>
      <c r="M90" s="4"/>
      <c r="N90" s="4"/>
      <c r="O90" s="4"/>
      <c r="P90" s="27"/>
      <c r="Q90" s="25">
        <v>0</v>
      </c>
      <c r="R90" s="25">
        <v>0</v>
      </c>
      <c r="S90" s="12">
        <f t="shared" si="22"/>
        <v>0</v>
      </c>
      <c r="T90" s="5">
        <v>0</v>
      </c>
      <c r="U90" s="12">
        <f t="shared" si="23"/>
        <v>0</v>
      </c>
      <c r="V90" s="25" t="s">
        <v>10</v>
      </c>
      <c r="W90" s="11">
        <f>IFERROR(VLOOKUP(V90,[1]Curr!$B$2:$C$13,2,FALSE),0)</f>
        <v>11.3</v>
      </c>
      <c r="X90" s="12">
        <f t="shared" si="24"/>
        <v>0</v>
      </c>
      <c r="Y90" s="26">
        <f t="shared" si="25"/>
        <v>0</v>
      </c>
      <c r="Z90" s="12">
        <f t="shared" si="26"/>
        <v>0</v>
      </c>
      <c r="AA90" s="4" t="s">
        <v>10</v>
      </c>
      <c r="AB90" s="11">
        <f>IFERROR(VLOOKUP(AA90,Curr!$B$2:$C$13,2,FALSE),0)</f>
        <v>11</v>
      </c>
      <c r="AC90" s="12">
        <f t="shared" si="27"/>
        <v>0</v>
      </c>
      <c r="AD90" s="12">
        <f t="shared" si="28"/>
        <v>0</v>
      </c>
      <c r="AE90" s="13">
        <f t="shared" si="29"/>
        <v>0</v>
      </c>
    </row>
    <row r="91" spans="2:31" x14ac:dyDescent="0.25">
      <c r="B91" s="4"/>
      <c r="E91" s="3"/>
      <c r="F91" s="3"/>
      <c r="G91" s="24"/>
      <c r="H91" s="24"/>
      <c r="K91" s="4"/>
      <c r="L91" s="4"/>
      <c r="M91" s="4"/>
      <c r="N91" s="4"/>
      <c r="O91" s="4"/>
      <c r="P91" s="27"/>
      <c r="Q91" s="25">
        <v>0</v>
      </c>
      <c r="R91" s="25">
        <v>0</v>
      </c>
      <c r="S91" s="12">
        <f t="shared" si="22"/>
        <v>0</v>
      </c>
      <c r="T91" s="5">
        <v>0</v>
      </c>
      <c r="U91" s="12">
        <f t="shared" si="23"/>
        <v>0</v>
      </c>
      <c r="V91" s="25" t="s">
        <v>10</v>
      </c>
      <c r="W91" s="11">
        <f>IFERROR(VLOOKUP(V91,[1]Curr!$B$2:$C$13,2,FALSE),0)</f>
        <v>11.3</v>
      </c>
      <c r="X91" s="12">
        <f t="shared" si="24"/>
        <v>0</v>
      </c>
      <c r="Y91" s="26">
        <f t="shared" si="25"/>
        <v>0</v>
      </c>
      <c r="Z91" s="12">
        <f t="shared" si="26"/>
        <v>0</v>
      </c>
      <c r="AA91" s="4" t="s">
        <v>10</v>
      </c>
      <c r="AB91" s="11">
        <f>IFERROR(VLOOKUP(AA91,Curr!$B$2:$C$13,2,FALSE),0)</f>
        <v>11</v>
      </c>
      <c r="AC91" s="12">
        <f t="shared" si="27"/>
        <v>0</v>
      </c>
      <c r="AD91" s="12">
        <f t="shared" si="28"/>
        <v>0</v>
      </c>
      <c r="AE91" s="13">
        <f t="shared" si="29"/>
        <v>0</v>
      </c>
    </row>
    <row r="92" spans="2:31" x14ac:dyDescent="0.25">
      <c r="B92" s="4"/>
      <c r="E92" s="3"/>
      <c r="F92" s="3"/>
      <c r="G92" s="24"/>
      <c r="H92" s="24"/>
      <c r="K92" s="4"/>
      <c r="L92" s="4"/>
      <c r="M92" s="4"/>
      <c r="N92" s="4"/>
      <c r="O92" s="4"/>
      <c r="P92" s="27"/>
      <c r="Q92" s="25">
        <v>0</v>
      </c>
      <c r="R92" s="25">
        <v>0</v>
      </c>
      <c r="S92" s="12">
        <f t="shared" si="22"/>
        <v>0</v>
      </c>
      <c r="T92" s="5">
        <v>0</v>
      </c>
      <c r="U92" s="12">
        <f t="shared" si="23"/>
        <v>0</v>
      </c>
      <c r="V92" s="25" t="s">
        <v>10</v>
      </c>
      <c r="W92" s="11">
        <f>IFERROR(VLOOKUP(V92,[1]Curr!$B$2:$C$13,2,FALSE),0)</f>
        <v>11.3</v>
      </c>
      <c r="X92" s="12">
        <f t="shared" si="24"/>
        <v>0</v>
      </c>
      <c r="Y92" s="26">
        <f t="shared" si="25"/>
        <v>0</v>
      </c>
      <c r="Z92" s="12">
        <f t="shared" si="26"/>
        <v>0</v>
      </c>
      <c r="AA92" s="4" t="s">
        <v>10</v>
      </c>
      <c r="AB92" s="11">
        <f>IFERROR(VLOOKUP(AA92,Curr!$B$2:$C$13,2,FALSE),0)</f>
        <v>11</v>
      </c>
      <c r="AC92" s="12">
        <f t="shared" si="27"/>
        <v>0</v>
      </c>
      <c r="AD92" s="12">
        <f t="shared" si="28"/>
        <v>0</v>
      </c>
      <c r="AE92" s="13">
        <f t="shared" si="29"/>
        <v>0</v>
      </c>
    </row>
    <row r="93" spans="2:31" x14ac:dyDescent="0.25">
      <c r="B93" s="4"/>
      <c r="E93" s="3"/>
      <c r="F93" s="3"/>
      <c r="G93" s="24"/>
      <c r="H93" s="24"/>
      <c r="K93" s="4"/>
      <c r="L93" s="4"/>
      <c r="M93" s="4"/>
      <c r="N93" s="4"/>
      <c r="O93" s="4"/>
      <c r="P93" s="27"/>
      <c r="Q93" s="25">
        <v>0</v>
      </c>
      <c r="R93" s="25">
        <v>0</v>
      </c>
      <c r="S93" s="12">
        <f t="shared" si="22"/>
        <v>0</v>
      </c>
      <c r="T93" s="5">
        <v>0</v>
      </c>
      <c r="U93" s="12">
        <f t="shared" si="23"/>
        <v>0</v>
      </c>
      <c r="V93" s="25" t="s">
        <v>10</v>
      </c>
      <c r="W93" s="11">
        <f>IFERROR(VLOOKUP(V93,[1]Curr!$B$2:$C$13,2,FALSE),0)</f>
        <v>11.3</v>
      </c>
      <c r="X93" s="12">
        <f t="shared" si="24"/>
        <v>0</v>
      </c>
      <c r="Y93" s="26">
        <f t="shared" si="25"/>
        <v>0</v>
      </c>
      <c r="Z93" s="12">
        <f t="shared" si="26"/>
        <v>0</v>
      </c>
      <c r="AA93" s="4" t="s">
        <v>10</v>
      </c>
      <c r="AB93" s="11">
        <f>IFERROR(VLOOKUP(AA93,Curr!$B$2:$C$13,2,FALSE),0)</f>
        <v>11</v>
      </c>
      <c r="AC93" s="12">
        <f t="shared" si="27"/>
        <v>0</v>
      </c>
      <c r="AD93" s="12">
        <f t="shared" si="28"/>
        <v>0</v>
      </c>
      <c r="AE93" s="13">
        <f t="shared" si="29"/>
        <v>0</v>
      </c>
    </row>
    <row r="94" spans="2:31" x14ac:dyDescent="0.25">
      <c r="B94" s="4"/>
      <c r="E94" s="3"/>
      <c r="F94" s="3"/>
      <c r="G94" s="24"/>
      <c r="H94" s="24"/>
      <c r="K94" s="4"/>
      <c r="L94" s="4"/>
      <c r="M94" s="4"/>
      <c r="N94" s="4"/>
      <c r="O94" s="4"/>
      <c r="P94" s="27"/>
      <c r="Q94" s="25">
        <v>0</v>
      </c>
      <c r="R94" s="25">
        <v>0</v>
      </c>
      <c r="S94" s="12">
        <f t="shared" si="22"/>
        <v>0</v>
      </c>
      <c r="T94" s="5">
        <v>0</v>
      </c>
      <c r="U94" s="12">
        <f t="shared" si="23"/>
        <v>0</v>
      </c>
      <c r="V94" s="25" t="s">
        <v>10</v>
      </c>
      <c r="W94" s="11">
        <f>IFERROR(VLOOKUP(V94,[1]Curr!$B$2:$C$13,2,FALSE),0)</f>
        <v>11.3</v>
      </c>
      <c r="X94" s="12">
        <f t="shared" si="24"/>
        <v>0</v>
      </c>
      <c r="Y94" s="26">
        <f t="shared" si="25"/>
        <v>0</v>
      </c>
      <c r="Z94" s="12">
        <f t="shared" si="26"/>
        <v>0</v>
      </c>
      <c r="AA94" s="4" t="s">
        <v>10</v>
      </c>
      <c r="AB94" s="11">
        <f>IFERROR(VLOOKUP(AA94,Curr!$B$2:$C$13,2,FALSE),0)</f>
        <v>11</v>
      </c>
      <c r="AC94" s="12">
        <f t="shared" si="27"/>
        <v>0</v>
      </c>
      <c r="AD94" s="12">
        <f t="shared" si="28"/>
        <v>0</v>
      </c>
      <c r="AE94" s="13">
        <f t="shared" si="29"/>
        <v>0</v>
      </c>
    </row>
    <row r="95" spans="2:31" x14ac:dyDescent="0.25">
      <c r="B95" s="4"/>
      <c r="E95" s="3"/>
      <c r="F95" s="3"/>
      <c r="G95" s="24"/>
      <c r="H95" s="24"/>
      <c r="K95" s="4"/>
      <c r="L95" s="4"/>
      <c r="M95" s="4"/>
      <c r="N95" s="4"/>
      <c r="O95" s="4"/>
      <c r="P95" s="27"/>
      <c r="Q95" s="25">
        <v>0</v>
      </c>
      <c r="R95" s="25">
        <v>0</v>
      </c>
      <c r="S95" s="12">
        <f t="shared" si="22"/>
        <v>0</v>
      </c>
      <c r="T95" s="5">
        <v>0</v>
      </c>
      <c r="U95" s="12">
        <f t="shared" si="23"/>
        <v>0</v>
      </c>
      <c r="V95" s="25" t="s">
        <v>10</v>
      </c>
      <c r="W95" s="11">
        <f>IFERROR(VLOOKUP(V95,[1]Curr!$B$2:$C$13,2,FALSE),0)</f>
        <v>11.3</v>
      </c>
      <c r="X95" s="12">
        <f t="shared" si="24"/>
        <v>0</v>
      </c>
      <c r="Y95" s="26">
        <f t="shared" si="25"/>
        <v>0</v>
      </c>
      <c r="Z95" s="12">
        <f t="shared" si="26"/>
        <v>0</v>
      </c>
      <c r="AA95" s="4" t="s">
        <v>10</v>
      </c>
      <c r="AB95" s="11">
        <f>IFERROR(VLOOKUP(AA95,Curr!$B$2:$C$13,2,FALSE),0)</f>
        <v>11</v>
      </c>
      <c r="AC95" s="12">
        <f t="shared" si="27"/>
        <v>0</v>
      </c>
      <c r="AD95" s="12">
        <f t="shared" si="28"/>
        <v>0</v>
      </c>
      <c r="AE95" s="13">
        <f t="shared" si="29"/>
        <v>0</v>
      </c>
    </row>
    <row r="96" spans="2:31" x14ac:dyDescent="0.25">
      <c r="B96" s="4"/>
      <c r="E96" s="3"/>
      <c r="F96" s="3"/>
      <c r="G96" s="24"/>
      <c r="H96" s="24"/>
      <c r="K96" s="4"/>
      <c r="L96" s="4"/>
      <c r="M96" s="4"/>
      <c r="N96" s="4"/>
      <c r="O96" s="4"/>
      <c r="P96" s="27"/>
      <c r="Q96" s="25">
        <v>0</v>
      </c>
      <c r="R96" s="25">
        <v>0</v>
      </c>
      <c r="S96" s="12">
        <f t="shared" si="22"/>
        <v>0</v>
      </c>
      <c r="T96" s="5">
        <v>0</v>
      </c>
      <c r="U96" s="12">
        <f t="shared" si="23"/>
        <v>0</v>
      </c>
      <c r="V96" s="25" t="s">
        <v>10</v>
      </c>
      <c r="W96" s="11">
        <f>IFERROR(VLOOKUP(V96,[1]Curr!$B$2:$C$13,2,FALSE),0)</f>
        <v>11.3</v>
      </c>
      <c r="X96" s="12">
        <f t="shared" si="24"/>
        <v>0</v>
      </c>
      <c r="Y96" s="26">
        <f t="shared" si="25"/>
        <v>0</v>
      </c>
      <c r="Z96" s="12">
        <f t="shared" si="26"/>
        <v>0</v>
      </c>
      <c r="AA96" s="4" t="s">
        <v>10</v>
      </c>
      <c r="AB96" s="11">
        <f>IFERROR(VLOOKUP(AA96,Curr!$B$2:$C$13,2,FALSE),0)</f>
        <v>11</v>
      </c>
      <c r="AC96" s="12">
        <f t="shared" si="27"/>
        <v>0</v>
      </c>
      <c r="AD96" s="12">
        <f t="shared" si="28"/>
        <v>0</v>
      </c>
      <c r="AE96" s="13">
        <f t="shared" si="29"/>
        <v>0</v>
      </c>
    </row>
    <row r="97" spans="2:36" x14ac:dyDescent="0.25">
      <c r="B97" s="4"/>
      <c r="E97" s="3"/>
      <c r="F97" s="3"/>
      <c r="G97" s="24"/>
      <c r="H97" s="24"/>
      <c r="K97" s="4"/>
      <c r="L97" s="4"/>
      <c r="M97" s="4"/>
      <c r="N97" s="4"/>
      <c r="O97" s="4"/>
      <c r="P97" s="27"/>
      <c r="Q97" s="25">
        <v>0</v>
      </c>
      <c r="R97" s="25">
        <v>0</v>
      </c>
      <c r="S97" s="12">
        <f t="shared" si="22"/>
        <v>0</v>
      </c>
      <c r="T97" s="5">
        <v>0</v>
      </c>
      <c r="U97" s="12">
        <f t="shared" si="23"/>
        <v>0</v>
      </c>
      <c r="V97" s="25" t="s">
        <v>10</v>
      </c>
      <c r="W97" s="11">
        <f>IFERROR(VLOOKUP(V97,[1]Curr!$B$2:$C$13,2,FALSE),0)</f>
        <v>11.3</v>
      </c>
      <c r="X97" s="12">
        <f t="shared" si="24"/>
        <v>0</v>
      </c>
      <c r="Y97" s="26">
        <f t="shared" si="25"/>
        <v>0</v>
      </c>
      <c r="Z97" s="12">
        <f t="shared" si="26"/>
        <v>0</v>
      </c>
      <c r="AA97" s="4" t="s">
        <v>10</v>
      </c>
      <c r="AB97" s="11">
        <f>IFERROR(VLOOKUP(AA97,Curr!$B$2:$C$13,2,FALSE),0)</f>
        <v>11</v>
      </c>
      <c r="AC97" s="12">
        <f t="shared" si="27"/>
        <v>0</v>
      </c>
      <c r="AD97" s="12">
        <f t="shared" si="28"/>
        <v>0</v>
      </c>
      <c r="AE97" s="13">
        <f t="shared" si="29"/>
        <v>0</v>
      </c>
    </row>
    <row r="98" spans="2:36" x14ac:dyDescent="0.25">
      <c r="B98" s="4"/>
      <c r="E98" s="3"/>
      <c r="F98" s="3"/>
      <c r="G98" s="24"/>
      <c r="H98" s="24"/>
      <c r="K98" s="4"/>
      <c r="L98" s="4"/>
      <c r="M98" s="4"/>
      <c r="N98" s="4"/>
      <c r="O98" s="4"/>
      <c r="P98" s="27"/>
      <c r="Q98" s="25">
        <v>0</v>
      </c>
      <c r="R98" s="25">
        <v>0</v>
      </c>
      <c r="S98" s="12">
        <f t="shared" si="22"/>
        <v>0</v>
      </c>
      <c r="T98" s="5">
        <v>0</v>
      </c>
      <c r="U98" s="12">
        <f t="shared" si="23"/>
        <v>0</v>
      </c>
      <c r="V98" s="25" t="s">
        <v>10</v>
      </c>
      <c r="W98" s="11">
        <f>IFERROR(VLOOKUP(V98,[1]Curr!$B$2:$C$13,2,FALSE),0)</f>
        <v>11.3</v>
      </c>
      <c r="X98" s="12">
        <f t="shared" si="24"/>
        <v>0</v>
      </c>
      <c r="Y98" s="26">
        <f t="shared" si="25"/>
        <v>0</v>
      </c>
      <c r="Z98" s="12">
        <f t="shared" si="26"/>
        <v>0</v>
      </c>
      <c r="AA98" s="4" t="s">
        <v>10</v>
      </c>
      <c r="AB98" s="11">
        <f>IFERROR(VLOOKUP(AA98,Curr!$B$2:$C$13,2,FALSE),0)</f>
        <v>11</v>
      </c>
      <c r="AC98" s="12">
        <f t="shared" si="27"/>
        <v>0</v>
      </c>
      <c r="AD98" s="12">
        <f t="shared" si="28"/>
        <v>0</v>
      </c>
      <c r="AE98" s="13">
        <f t="shared" si="29"/>
        <v>0</v>
      </c>
    </row>
    <row r="99" spans="2:36" x14ac:dyDescent="0.25">
      <c r="B99" s="4"/>
      <c r="E99" s="3"/>
      <c r="F99" s="3"/>
      <c r="G99" s="24"/>
      <c r="H99" s="24"/>
      <c r="K99" s="4"/>
      <c r="L99" s="4"/>
      <c r="M99" s="4"/>
      <c r="N99" s="4"/>
      <c r="O99" s="4"/>
      <c r="P99" s="27"/>
      <c r="Q99" s="25">
        <v>0</v>
      </c>
      <c r="R99" s="25">
        <v>0</v>
      </c>
      <c r="S99" s="12">
        <f t="shared" si="22"/>
        <v>0</v>
      </c>
      <c r="T99" s="5">
        <v>0</v>
      </c>
      <c r="U99" s="12">
        <f t="shared" si="23"/>
        <v>0</v>
      </c>
      <c r="V99" s="25" t="s">
        <v>10</v>
      </c>
      <c r="W99" s="11">
        <f>IFERROR(VLOOKUP(V99,[1]Curr!$B$2:$C$13,2,FALSE),0)</f>
        <v>11.3</v>
      </c>
      <c r="X99" s="12">
        <f t="shared" si="24"/>
        <v>0</v>
      </c>
      <c r="Y99" s="26">
        <f t="shared" si="25"/>
        <v>0</v>
      </c>
      <c r="Z99" s="12">
        <f t="shared" si="26"/>
        <v>0</v>
      </c>
      <c r="AA99" s="4" t="s">
        <v>10</v>
      </c>
      <c r="AB99" s="11">
        <f>IFERROR(VLOOKUP(AA99,Curr!$B$2:$C$13,2,FALSE),0)</f>
        <v>11</v>
      </c>
      <c r="AC99" s="12">
        <f t="shared" si="27"/>
        <v>0</v>
      </c>
      <c r="AD99" s="12">
        <f t="shared" si="28"/>
        <v>0</v>
      </c>
      <c r="AE99" s="13">
        <f t="shared" si="29"/>
        <v>0</v>
      </c>
    </row>
    <row r="100" spans="2:36" x14ac:dyDescent="0.25">
      <c r="B100" s="4"/>
      <c r="E100" s="3"/>
      <c r="F100" s="3"/>
      <c r="G100" s="3"/>
      <c r="H100" s="3"/>
      <c r="L100" s="4"/>
      <c r="M100" s="4"/>
      <c r="N100" s="4"/>
      <c r="O100" s="4"/>
      <c r="P100" s="22"/>
      <c r="Q100" s="4"/>
      <c r="R100" s="4"/>
      <c r="S100" s="4"/>
      <c r="T100" s="4"/>
      <c r="U100" s="4"/>
      <c r="V100" s="4"/>
      <c r="W100" s="4"/>
      <c r="X100" s="4"/>
      <c r="Y100" s="4"/>
      <c r="Z100" s="4"/>
      <c r="AA100" s="4"/>
      <c r="AB100" s="4"/>
      <c r="AC100" s="4"/>
      <c r="AD100" s="4"/>
      <c r="AE100" s="4"/>
      <c r="AF100" s="4"/>
    </row>
    <row r="101" spans="2:36" x14ac:dyDescent="0.25">
      <c r="B101" s="14" t="s">
        <v>18</v>
      </c>
      <c r="C101" s="14"/>
      <c r="D101" s="28" t="s">
        <v>42</v>
      </c>
      <c r="E101" s="30" t="s">
        <v>42</v>
      </c>
      <c r="F101" s="30" t="s">
        <v>42</v>
      </c>
      <c r="G101" s="30" t="s">
        <v>42</v>
      </c>
      <c r="H101" s="30" t="s">
        <v>42</v>
      </c>
      <c r="I101" s="28" t="s">
        <v>42</v>
      </c>
      <c r="J101" s="28" t="s">
        <v>42</v>
      </c>
      <c r="K101" s="28" t="s">
        <v>42</v>
      </c>
      <c r="L101" s="28" t="s">
        <v>42</v>
      </c>
      <c r="M101" s="28" t="s">
        <v>42</v>
      </c>
      <c r="N101" s="28" t="s">
        <v>42</v>
      </c>
      <c r="O101" s="28" t="s">
        <v>42</v>
      </c>
      <c r="P101" s="28" t="s">
        <v>42</v>
      </c>
      <c r="Q101" s="31" t="s">
        <v>42</v>
      </c>
      <c r="R101" s="28" t="s">
        <v>42</v>
      </c>
      <c r="S101" s="32" t="s">
        <v>42</v>
      </c>
      <c r="T101" s="28" t="s">
        <v>42</v>
      </c>
      <c r="U101" s="32" t="s">
        <v>42</v>
      </c>
      <c r="V101" s="28" t="s">
        <v>42</v>
      </c>
      <c r="W101" s="28" t="s">
        <v>42</v>
      </c>
      <c r="X101" s="32" t="s">
        <v>42</v>
      </c>
      <c r="Y101" s="32" t="s">
        <v>42</v>
      </c>
      <c r="Z101" s="15">
        <f>SUM(Z7:Z99)</f>
        <v>0</v>
      </c>
      <c r="AA101" s="14"/>
      <c r="AB101" s="14"/>
      <c r="AC101" s="15">
        <f>SUM(AC7:AC99)</f>
        <v>0</v>
      </c>
      <c r="AD101" s="15">
        <f>SUM(AD7:AD99)</f>
        <v>0</v>
      </c>
      <c r="AE101" s="21">
        <f t="shared" ref="AE101" si="30">IFERROR(AD101/AC101,0)</f>
        <v>0</v>
      </c>
      <c r="AF101" s="15">
        <f>SUM(AF8:AF100)</f>
        <v>0</v>
      </c>
      <c r="AG101" s="15">
        <f>SUM(AG8:AG100)</f>
        <v>0</v>
      </c>
      <c r="AH101" s="15">
        <f>SUM(AH8:AH100)</f>
        <v>0</v>
      </c>
      <c r="AI101" s="15">
        <f>SUM(AI8:AI100)</f>
        <v>0</v>
      </c>
      <c r="AJ101" s="15">
        <f>SUM(AJ8:AJ100)</f>
        <v>0</v>
      </c>
    </row>
    <row r="102" spans="2:36" x14ac:dyDescent="0.25">
      <c r="B102" s="4"/>
      <c r="E102" s="3"/>
      <c r="F102" s="3"/>
      <c r="G102" s="3"/>
      <c r="H102" s="3"/>
      <c r="L102" s="4"/>
      <c r="M102" s="4"/>
      <c r="N102" s="4"/>
      <c r="O102" s="4"/>
      <c r="Q102" s="4"/>
      <c r="R102" s="4"/>
      <c r="S102" s="4"/>
      <c r="T102" s="4"/>
      <c r="U102" s="4"/>
      <c r="V102" s="4"/>
      <c r="W102" s="4"/>
      <c r="X102" s="4"/>
      <c r="Y102" s="9"/>
      <c r="Z102" s="9"/>
      <c r="AA102" s="9"/>
      <c r="AB102" s="9"/>
      <c r="AC102" s="9"/>
      <c r="AD102" s="9"/>
      <c r="AE102" s="9"/>
    </row>
    <row r="103" spans="2:36" x14ac:dyDescent="0.25">
      <c r="B103" s="4"/>
      <c r="E103" s="3"/>
      <c r="F103" s="3"/>
      <c r="G103" s="3"/>
      <c r="H103" s="3"/>
      <c r="L103" s="4"/>
      <c r="M103" s="4"/>
      <c r="N103" s="4"/>
      <c r="O103" s="4"/>
      <c r="Q103" s="9"/>
      <c r="R103" s="9"/>
      <c r="S103" s="9"/>
      <c r="T103" s="9"/>
      <c r="U103" s="9"/>
      <c r="V103" s="9"/>
      <c r="W103" s="9"/>
      <c r="X103" s="23"/>
      <c r="Y103" s="34" t="s">
        <v>43</v>
      </c>
      <c r="Z103" s="34"/>
      <c r="AA103" s="9"/>
      <c r="AB103" s="9"/>
      <c r="AC103" s="9"/>
      <c r="AD103" s="9"/>
      <c r="AE103" s="9"/>
    </row>
    <row r="104" spans="2:36" x14ac:dyDescent="0.25">
      <c r="B104" s="4"/>
      <c r="E104" s="3"/>
      <c r="F104" s="3"/>
      <c r="G104" s="3"/>
      <c r="H104" s="3"/>
      <c r="L104" s="4"/>
      <c r="M104" s="4"/>
      <c r="N104" s="4"/>
      <c r="O104" s="4"/>
      <c r="Q104" s="9"/>
      <c r="R104" s="9"/>
      <c r="S104" s="9"/>
      <c r="T104" s="9"/>
      <c r="U104" s="9"/>
      <c r="V104" s="9"/>
      <c r="W104" s="9"/>
      <c r="X104" s="9"/>
      <c r="Y104" s="34" t="s">
        <v>44</v>
      </c>
      <c r="Z104" s="34">
        <f>Z103/2</f>
        <v>0</v>
      </c>
      <c r="AA104" s="9"/>
      <c r="AB104" s="9"/>
      <c r="AC104" s="9"/>
      <c r="AD104" s="9"/>
      <c r="AE104" s="9"/>
      <c r="AF104" s="18"/>
    </row>
    <row r="105" spans="2:36" x14ac:dyDescent="0.25">
      <c r="B105" s="4"/>
      <c r="E105" s="3"/>
      <c r="F105" s="3"/>
      <c r="G105" s="3"/>
      <c r="H105" s="3"/>
      <c r="I105" s="19"/>
      <c r="L105" s="4"/>
      <c r="M105" s="4"/>
      <c r="N105" s="4"/>
      <c r="O105" s="20"/>
      <c r="Q105" s="20"/>
      <c r="R105" s="20"/>
      <c r="S105" s="20"/>
      <c r="T105" s="20"/>
      <c r="U105" s="20"/>
      <c r="V105" s="20"/>
      <c r="W105" s="20"/>
      <c r="X105" s="20"/>
      <c r="Y105" s="9"/>
      <c r="Z105" s="9"/>
      <c r="AA105" s="9"/>
      <c r="AB105" s="9"/>
      <c r="AC105" s="9"/>
      <c r="AD105" s="9"/>
      <c r="AE105" s="9"/>
      <c r="AF105" s="18"/>
    </row>
    <row r="106" spans="2:36" x14ac:dyDescent="0.25">
      <c r="B106" s="4"/>
      <c r="E106" s="3"/>
      <c r="F106" s="3"/>
      <c r="G106" s="3"/>
      <c r="H106" s="3"/>
      <c r="L106" s="4"/>
      <c r="M106" s="4"/>
      <c r="N106" s="4"/>
      <c r="O106" s="20"/>
      <c r="Q106" s="20"/>
      <c r="R106" s="20"/>
      <c r="S106" s="20"/>
      <c r="T106" s="20"/>
      <c r="U106" s="20"/>
      <c r="V106" s="20"/>
      <c r="W106" s="20"/>
      <c r="X106" s="20"/>
      <c r="Y106" s="9" t="s">
        <v>45</v>
      </c>
      <c r="Z106" s="9">
        <f>Z103-Z107</f>
        <v>0</v>
      </c>
      <c r="AA106" s="9"/>
      <c r="AB106" s="9"/>
      <c r="AC106" s="9"/>
      <c r="AD106" s="9"/>
      <c r="AE106" s="9"/>
      <c r="AF106" s="18"/>
    </row>
    <row r="107" spans="2:36" x14ac:dyDescent="0.25">
      <c r="B107" s="4"/>
      <c r="E107" s="3"/>
      <c r="F107" s="3"/>
      <c r="G107" s="3"/>
      <c r="H107" s="3"/>
      <c r="L107" s="4"/>
      <c r="M107" s="4"/>
      <c r="N107" s="4"/>
      <c r="O107" s="4"/>
      <c r="Q107" s="9"/>
      <c r="R107" s="9"/>
      <c r="S107" s="9"/>
      <c r="T107" s="9"/>
      <c r="U107" s="9"/>
      <c r="V107" s="9"/>
      <c r="W107" s="9"/>
      <c r="X107" s="9"/>
      <c r="Y107" s="9" t="s">
        <v>46</v>
      </c>
      <c r="Z107" s="9"/>
      <c r="AA107" s="9"/>
      <c r="AB107" s="9"/>
      <c r="AC107" s="9"/>
      <c r="AD107" s="9"/>
      <c r="AE107" s="9"/>
      <c r="AF107" s="18"/>
    </row>
    <row r="108" spans="2:36" x14ac:dyDescent="0.25">
      <c r="F108" s="1"/>
      <c r="G108" s="1"/>
      <c r="H108" s="1"/>
      <c r="J108" s="1" t="s">
        <v>32</v>
      </c>
      <c r="Q108" s="9"/>
      <c r="R108" s="4"/>
      <c r="S108" s="9"/>
      <c r="T108" s="5"/>
      <c r="U108" s="9"/>
      <c r="V108" s="4"/>
      <c r="W108" s="4"/>
      <c r="X108" s="9"/>
      <c r="Y108" s="9"/>
      <c r="Z108" s="9"/>
      <c r="AA108" s="9"/>
      <c r="AB108" s="9"/>
      <c r="AC108" s="9"/>
      <c r="AD108" s="9"/>
      <c r="AE108" s="9"/>
    </row>
    <row r="109" spans="2:36" x14ac:dyDescent="0.25">
      <c r="R109" s="4"/>
      <c r="S109" s="17"/>
      <c r="T109" s="17"/>
      <c r="U109" s="9"/>
      <c r="V109" s="4"/>
      <c r="W109" s="4"/>
      <c r="X109" s="9"/>
      <c r="Y109" s="9" t="s">
        <v>47</v>
      </c>
      <c r="Z109" s="9">
        <f>Z103*0.3</f>
        <v>0</v>
      </c>
      <c r="AA109" s="9"/>
      <c r="AB109" s="9"/>
      <c r="AC109" s="9"/>
      <c r="AD109" s="9"/>
      <c r="AE109" s="9"/>
    </row>
    <row r="110" spans="2:36" x14ac:dyDescent="0.25">
      <c r="Q110" s="9"/>
      <c r="R110" s="4"/>
      <c r="S110" s="16"/>
      <c r="T110" s="16"/>
      <c r="U110" s="9"/>
      <c r="V110" s="4"/>
      <c r="W110" s="4"/>
      <c r="X110" s="9"/>
      <c r="Y110" s="9" t="s">
        <v>49</v>
      </c>
      <c r="Z110" s="9">
        <f>Z107-Z109</f>
        <v>0</v>
      </c>
      <c r="AA110" s="9"/>
      <c r="AB110" s="9"/>
      <c r="AC110" s="9"/>
      <c r="AD110" s="9"/>
      <c r="AE110" s="9"/>
    </row>
    <row r="111" spans="2:36" x14ac:dyDescent="0.25">
      <c r="R111" s="4"/>
      <c r="S111" s="16"/>
      <c r="T111" s="16"/>
      <c r="Y111" s="9" t="s">
        <v>48</v>
      </c>
      <c r="Z111" s="9">
        <f>Z103-Z109-Z110</f>
        <v>0</v>
      </c>
      <c r="AA111" s="9"/>
      <c r="AB111" s="9"/>
      <c r="AC111" s="9"/>
      <c r="AD111" s="9"/>
      <c r="AE111" s="9"/>
    </row>
    <row r="112" spans="2:36" x14ac:dyDescent="0.25">
      <c r="T112" s="5"/>
      <c r="Y112" s="9"/>
      <c r="Z112" s="9"/>
      <c r="AA112" s="9"/>
      <c r="AB112" s="9"/>
      <c r="AC112" s="9"/>
      <c r="AD112" s="9"/>
      <c r="AE112" s="9"/>
    </row>
    <row r="113" spans="20:31" x14ac:dyDescent="0.25">
      <c r="T113" s="5"/>
      <c r="Y113" s="9"/>
      <c r="Z113" s="9"/>
      <c r="AA113" s="9"/>
      <c r="AB113" s="9"/>
      <c r="AC113" s="9"/>
      <c r="AD113" s="9"/>
      <c r="AE113" s="9"/>
    </row>
    <row r="114" spans="20:31" x14ac:dyDescent="0.25">
      <c r="T114" s="5"/>
      <c r="Y114" s="9"/>
      <c r="Z114" s="9"/>
      <c r="AA114" s="9"/>
      <c r="AB114" s="9"/>
      <c r="AC114" s="9"/>
      <c r="AD114" s="9"/>
      <c r="AE114" s="9"/>
    </row>
    <row r="115" spans="20:31" x14ac:dyDescent="0.25">
      <c r="T115" s="5"/>
      <c r="Y115" s="9"/>
      <c r="Z115" s="9"/>
      <c r="AA115" s="9"/>
      <c r="AB115" s="9"/>
      <c r="AC115" s="9"/>
      <c r="AD115" s="9"/>
      <c r="AE115" s="9"/>
    </row>
    <row r="116" spans="20:31" x14ac:dyDescent="0.25">
      <c r="T116" s="5"/>
      <c r="Y116" s="9"/>
      <c r="Z116" s="9"/>
      <c r="AA116" s="9"/>
      <c r="AB116" s="9"/>
      <c r="AC116" s="9"/>
      <c r="AD116" s="9"/>
      <c r="AE116" s="9"/>
    </row>
    <row r="117" spans="20:31" x14ac:dyDescent="0.25">
      <c r="T117" s="5"/>
      <c r="Y117" s="9"/>
      <c r="Z117" s="9"/>
      <c r="AA117" s="9"/>
      <c r="AB117" s="9"/>
      <c r="AC117" s="9"/>
      <c r="AD117" s="9"/>
      <c r="AE117" s="9"/>
    </row>
    <row r="118" spans="20:31" x14ac:dyDescent="0.25">
      <c r="T118" s="5"/>
      <c r="Y118" s="9"/>
      <c r="Z118" s="9"/>
      <c r="AA118" s="9"/>
      <c r="AB118" s="9"/>
      <c r="AC118" s="9"/>
      <c r="AD118" s="9"/>
      <c r="AE118" s="9"/>
    </row>
    <row r="119" spans="20:31" x14ac:dyDescent="0.25">
      <c r="T119" s="5"/>
      <c r="Y119" s="9"/>
      <c r="Z119" s="9"/>
      <c r="AA119" s="9"/>
      <c r="AB119" s="9"/>
      <c r="AC119" s="9"/>
      <c r="AD119" s="9"/>
      <c r="AE119" s="9"/>
    </row>
    <row r="120" spans="20:31" x14ac:dyDescent="0.25">
      <c r="T120" s="5"/>
    </row>
    <row r="121" spans="20:31" x14ac:dyDescent="0.25">
      <c r="T121" s="5"/>
    </row>
    <row r="122" spans="20:31" x14ac:dyDescent="0.25">
      <c r="T122" s="5"/>
    </row>
    <row r="123" spans="20:31" x14ac:dyDescent="0.25">
      <c r="T123" s="5"/>
    </row>
    <row r="124" spans="20:31" x14ac:dyDescent="0.25">
      <c r="T124" s="5"/>
    </row>
  </sheetData>
  <autoFilter ref="B6:AE101" xr:uid="{65FA6D9B-E0AF-46CD-BA0D-86BB75FE6AB0}"/>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2E6C0-BF7F-4EA5-97F6-74A08C367EEF}">
  <sheetPr>
    <tabColor rgb="FFFFFF00"/>
  </sheetPr>
  <dimension ref="B1:AK74"/>
  <sheetViews>
    <sheetView topLeftCell="F1" zoomScale="85" zoomScaleNormal="85" workbookViewId="0">
      <selection activeCell="J21" sqref="J20:J21"/>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1" spans="2:36" x14ac:dyDescent="0.25">
      <c r="B1" s="2" t="s">
        <v>68</v>
      </c>
    </row>
    <row r="2" spans="2:36" x14ac:dyDescent="0.25">
      <c r="B2" s="2" t="s">
        <v>73</v>
      </c>
    </row>
    <row r="3" spans="2:36" x14ac:dyDescent="0.25">
      <c r="B3" s="2" t="s">
        <v>50</v>
      </c>
    </row>
    <row r="4" spans="2:36" x14ac:dyDescent="0.25">
      <c r="B4" s="2" t="s">
        <v>51</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52</v>
      </c>
      <c r="D7" s="1" t="s">
        <v>53</v>
      </c>
      <c r="E7" s="3"/>
      <c r="F7" s="3"/>
      <c r="G7" s="3"/>
      <c r="H7" s="3"/>
      <c r="J7" s="1" t="s">
        <v>93</v>
      </c>
      <c r="K7" s="4"/>
      <c r="L7" s="4"/>
      <c r="M7" s="4"/>
      <c r="N7" s="4"/>
      <c r="O7" s="4"/>
      <c r="P7" s="27"/>
      <c r="Q7" s="25">
        <v>0</v>
      </c>
      <c r="R7" s="25">
        <v>0</v>
      </c>
      <c r="S7" s="12">
        <f t="shared" ref="S7:S10" si="0">+Q7*R7</f>
        <v>0</v>
      </c>
      <c r="T7" s="5">
        <v>0</v>
      </c>
      <c r="U7" s="12">
        <f t="shared" ref="U7:U10" si="1">S7*(1-T7)</f>
        <v>0</v>
      </c>
      <c r="V7" s="25" t="s">
        <v>10</v>
      </c>
      <c r="W7" s="11">
        <f>IFERROR(VLOOKUP(V7,Curr!$B$2:$C$13,2,FALSE),0)</f>
        <v>11</v>
      </c>
      <c r="X7" s="12">
        <f t="shared" ref="X7:X10" si="2">U7*W7</f>
        <v>0</v>
      </c>
      <c r="Y7" s="26">
        <f t="shared" ref="Y7:Y10" si="3">Q7</f>
        <v>0</v>
      </c>
      <c r="Z7" s="12">
        <f t="shared" ref="Z7" si="4">+Y7*R7</f>
        <v>0</v>
      </c>
      <c r="AA7" s="4" t="s">
        <v>10</v>
      </c>
      <c r="AB7" s="11">
        <f>IFERROR(VLOOKUP(AA7,Curr!$B$2:$C$13,2,FALSE),0)</f>
        <v>11</v>
      </c>
      <c r="AC7" s="12">
        <f t="shared" ref="AC7" si="5">+Y7*AB7*R7</f>
        <v>0</v>
      </c>
      <c r="AD7" s="12">
        <f t="shared" ref="AD7" si="6">+AC7-X7</f>
        <v>0</v>
      </c>
      <c r="AE7" s="13">
        <f t="shared" ref="AE7" si="7">IFERROR(AD7/AC7,0)</f>
        <v>0</v>
      </c>
    </row>
    <row r="8" spans="2:36" x14ac:dyDescent="0.25">
      <c r="B8" s="4"/>
      <c r="C8" s="1" t="s">
        <v>52</v>
      </c>
      <c r="D8" s="1" t="s">
        <v>54</v>
      </c>
      <c r="E8" s="3"/>
      <c r="F8" s="3"/>
      <c r="G8" s="24"/>
      <c r="H8" s="24"/>
      <c r="J8" s="1" t="s">
        <v>94</v>
      </c>
      <c r="K8" s="4"/>
      <c r="L8" s="4"/>
      <c r="M8" s="4"/>
      <c r="N8" s="4"/>
      <c r="O8" s="4"/>
      <c r="P8" s="33"/>
      <c r="Q8" s="25">
        <v>0</v>
      </c>
      <c r="R8" s="25">
        <v>0</v>
      </c>
      <c r="S8" s="12">
        <f t="shared" si="0"/>
        <v>0</v>
      </c>
      <c r="T8" s="5">
        <v>0</v>
      </c>
      <c r="U8" s="12">
        <f t="shared" si="1"/>
        <v>0</v>
      </c>
      <c r="V8" s="25" t="s">
        <v>10</v>
      </c>
      <c r="W8" s="11">
        <f>IFERROR(VLOOKUP(V8,Curr!$B$2:$C$13,2,FALSE),0)</f>
        <v>11</v>
      </c>
      <c r="X8" s="12">
        <f t="shared" si="2"/>
        <v>0</v>
      </c>
      <c r="Y8" s="26">
        <f t="shared" si="3"/>
        <v>0</v>
      </c>
      <c r="Z8" s="12">
        <f t="shared" ref="Z8:Z11" si="8">+Y8*R8</f>
        <v>0</v>
      </c>
      <c r="AA8" s="4" t="s">
        <v>10</v>
      </c>
      <c r="AB8" s="11">
        <f>IFERROR(VLOOKUP(AA8,Curr!$B$2:$C$13,2,FALSE),0)</f>
        <v>11</v>
      </c>
      <c r="AC8" s="12">
        <f t="shared" ref="AC8:AC11" si="9">+Y8*AB8*R8</f>
        <v>0</v>
      </c>
      <c r="AD8" s="12">
        <f t="shared" ref="AD8:AD11" si="10">+AC8-X8</f>
        <v>0</v>
      </c>
      <c r="AE8" s="13">
        <f t="shared" ref="AE8:AE11" si="11">IFERROR(AD8/AC8,0)</f>
        <v>0</v>
      </c>
    </row>
    <row r="9" spans="2:36" x14ac:dyDescent="0.25">
      <c r="B9" s="4"/>
      <c r="C9" s="1" t="s">
        <v>52</v>
      </c>
      <c r="D9" s="1" t="s">
        <v>55</v>
      </c>
      <c r="E9" s="3"/>
      <c r="F9" s="3"/>
      <c r="G9" s="24"/>
      <c r="H9" s="24"/>
      <c r="J9" s="1" t="s">
        <v>113</v>
      </c>
      <c r="K9" s="4"/>
      <c r="L9" s="4"/>
      <c r="M9" s="4"/>
      <c r="N9" s="4"/>
      <c r="O9" s="4"/>
      <c r="P9" s="27"/>
      <c r="Q9" s="25">
        <v>440</v>
      </c>
      <c r="R9" s="25">
        <v>1</v>
      </c>
      <c r="S9" s="12">
        <f t="shared" si="0"/>
        <v>440</v>
      </c>
      <c r="T9" s="5">
        <v>0</v>
      </c>
      <c r="U9" s="12">
        <f t="shared" si="1"/>
        <v>440</v>
      </c>
      <c r="V9" s="25" t="s">
        <v>10</v>
      </c>
      <c r="W9" s="11">
        <f>IFERROR(VLOOKUP(V9,Curr!$B$2:$C$13,2,FALSE),0)</f>
        <v>11</v>
      </c>
      <c r="X9" s="12">
        <f t="shared" si="2"/>
        <v>4840</v>
      </c>
      <c r="Y9" s="26">
        <f>Q9/0.8</f>
        <v>550</v>
      </c>
      <c r="Z9" s="12">
        <f t="shared" si="8"/>
        <v>550</v>
      </c>
      <c r="AA9" s="4" t="s">
        <v>10</v>
      </c>
      <c r="AB9" s="11">
        <f>IFERROR(VLOOKUP(AA9,Curr!$B$2:$C$13,2,FALSE),0)</f>
        <v>11</v>
      </c>
      <c r="AC9" s="12">
        <f t="shared" si="9"/>
        <v>6050</v>
      </c>
      <c r="AD9" s="12">
        <f t="shared" si="10"/>
        <v>1210</v>
      </c>
      <c r="AE9" s="13">
        <f t="shared" si="11"/>
        <v>0.2</v>
      </c>
    </row>
    <row r="10" spans="2:36" x14ac:dyDescent="0.25">
      <c r="B10" s="4"/>
      <c r="C10" s="1" t="s">
        <v>52</v>
      </c>
      <c r="D10" s="1" t="s">
        <v>56</v>
      </c>
      <c r="E10" s="3"/>
      <c r="F10" s="3"/>
      <c r="G10" s="24"/>
      <c r="H10" s="24"/>
      <c r="J10" s="1" t="s">
        <v>80</v>
      </c>
      <c r="K10" s="4"/>
      <c r="L10" s="4"/>
      <c r="M10" s="4"/>
      <c r="N10" s="4"/>
      <c r="O10" s="4"/>
      <c r="P10" s="27"/>
      <c r="Q10" s="25">
        <v>0</v>
      </c>
      <c r="R10" s="25">
        <v>0</v>
      </c>
      <c r="S10" s="12">
        <f t="shared" si="0"/>
        <v>0</v>
      </c>
      <c r="T10" s="5">
        <v>0</v>
      </c>
      <c r="U10" s="12">
        <f t="shared" si="1"/>
        <v>0</v>
      </c>
      <c r="V10" s="25" t="s">
        <v>10</v>
      </c>
      <c r="W10" s="11">
        <f>IFERROR(VLOOKUP(V10,Curr!$B$2:$C$13,2,FALSE),0)</f>
        <v>11</v>
      </c>
      <c r="X10" s="12">
        <f t="shared" si="2"/>
        <v>0</v>
      </c>
      <c r="Y10" s="26">
        <f t="shared" si="3"/>
        <v>0</v>
      </c>
      <c r="Z10" s="12">
        <f t="shared" si="8"/>
        <v>0</v>
      </c>
      <c r="AA10" s="4" t="s">
        <v>10</v>
      </c>
      <c r="AB10" s="11">
        <f>IFERROR(VLOOKUP(AA10,Curr!$B$2:$C$13,2,FALSE),0)</f>
        <v>11</v>
      </c>
      <c r="AC10" s="12">
        <f t="shared" si="9"/>
        <v>0</v>
      </c>
      <c r="AD10" s="12">
        <f t="shared" si="10"/>
        <v>0</v>
      </c>
      <c r="AE10" s="13">
        <f t="shared" si="11"/>
        <v>0</v>
      </c>
    </row>
    <row r="11" spans="2:36" x14ac:dyDescent="0.25">
      <c r="B11" s="4"/>
      <c r="E11" s="3"/>
      <c r="F11" s="3"/>
      <c r="G11" s="24"/>
      <c r="H11" s="24"/>
      <c r="K11" s="4"/>
      <c r="L11" s="4"/>
      <c r="M11" s="4"/>
      <c r="N11" s="4"/>
      <c r="O11" s="4"/>
      <c r="P11" s="27"/>
      <c r="Q11" s="25"/>
      <c r="R11" s="25"/>
      <c r="S11" s="12">
        <f t="shared" ref="S11:S12" si="12">+Q11*R11</f>
        <v>0</v>
      </c>
      <c r="T11" s="5">
        <v>0</v>
      </c>
      <c r="U11" s="12">
        <f t="shared" ref="U11:U12" si="13">S11*(1-T11)</f>
        <v>0</v>
      </c>
      <c r="V11" s="25" t="s">
        <v>10</v>
      </c>
      <c r="W11" s="11">
        <f>IFERROR(VLOOKUP(V11,Curr!$B$2:$C$13,2,FALSE),0)</f>
        <v>11</v>
      </c>
      <c r="X11" s="12">
        <f t="shared" ref="X11:X12" si="14">U11*W11</f>
        <v>0</v>
      </c>
      <c r="Y11" s="26">
        <f t="shared" ref="Y11:Y12" si="15">Q11</f>
        <v>0</v>
      </c>
      <c r="Z11" s="12">
        <f t="shared" si="8"/>
        <v>0</v>
      </c>
      <c r="AA11" s="4" t="s">
        <v>10</v>
      </c>
      <c r="AB11" s="11">
        <f>IFERROR(VLOOKUP(AA11,Curr!$B$2:$C$13,2,FALSE),0)</f>
        <v>11</v>
      </c>
      <c r="AC11" s="12">
        <f t="shared" si="9"/>
        <v>0</v>
      </c>
      <c r="AD11" s="12">
        <f t="shared" si="10"/>
        <v>0</v>
      </c>
      <c r="AE11" s="13">
        <f t="shared" si="11"/>
        <v>0</v>
      </c>
    </row>
    <row r="12" spans="2:36" x14ac:dyDescent="0.25">
      <c r="B12" s="4"/>
      <c r="C12" s="1" t="s">
        <v>59</v>
      </c>
      <c r="D12" s="1" t="s">
        <v>57</v>
      </c>
      <c r="E12" s="3"/>
      <c r="F12" s="3"/>
      <c r="G12" s="24"/>
      <c r="H12" s="24"/>
      <c r="J12" s="1" t="s">
        <v>95</v>
      </c>
      <c r="K12" s="4"/>
      <c r="L12" s="4"/>
      <c r="M12" s="4"/>
      <c r="N12" s="4"/>
      <c r="O12" s="4"/>
      <c r="P12" s="27" t="s">
        <v>96</v>
      </c>
      <c r="Q12" s="25">
        <v>54</v>
      </c>
      <c r="R12" s="25">
        <v>2</v>
      </c>
      <c r="S12" s="12">
        <f t="shared" si="12"/>
        <v>108</v>
      </c>
      <c r="T12" s="5">
        <v>0.2</v>
      </c>
      <c r="U12" s="12">
        <f t="shared" si="13"/>
        <v>86.4</v>
      </c>
      <c r="V12" s="25" t="s">
        <v>10</v>
      </c>
      <c r="W12" s="11">
        <f>IFERROR(VLOOKUP(V12,Curr!$B$2:$C$13,2,FALSE),0)</f>
        <v>11</v>
      </c>
      <c r="X12" s="12">
        <f t="shared" si="14"/>
        <v>950.40000000000009</v>
      </c>
      <c r="Y12" s="26">
        <f t="shared" si="15"/>
        <v>54</v>
      </c>
      <c r="Z12" s="12">
        <f t="shared" ref="Z12:Z49" si="16">+Y12*R12</f>
        <v>108</v>
      </c>
      <c r="AA12" s="4" t="s">
        <v>10</v>
      </c>
      <c r="AB12" s="11">
        <f>IFERROR(VLOOKUP(AA12,Curr!$B$2:$C$13,2,FALSE),0)</f>
        <v>11</v>
      </c>
      <c r="AC12" s="12">
        <f t="shared" ref="AC12:AC49" si="17">+Y12*AB12*R12</f>
        <v>1188</v>
      </c>
      <c r="AD12" s="12">
        <f t="shared" ref="AD12:AD49" si="18">+AC12-X12</f>
        <v>237.59999999999991</v>
      </c>
      <c r="AE12" s="13">
        <f t="shared" ref="AE12:AE49" si="19">IFERROR(AD12/AC12,0)</f>
        <v>0.19999999999999993</v>
      </c>
    </row>
    <row r="13" spans="2:36" x14ac:dyDescent="0.25">
      <c r="B13" s="4"/>
      <c r="C13" s="1" t="s">
        <v>59</v>
      </c>
      <c r="D13" s="1" t="s">
        <v>56</v>
      </c>
      <c r="E13" s="3"/>
      <c r="F13" s="3"/>
      <c r="G13" s="24"/>
      <c r="H13" s="24"/>
      <c r="J13" s="1" t="s">
        <v>80</v>
      </c>
      <c r="K13" s="4"/>
      <c r="L13" s="4"/>
      <c r="M13" s="4"/>
      <c r="N13" s="4"/>
      <c r="O13" s="4"/>
      <c r="P13" s="27"/>
      <c r="Q13" s="25">
        <v>0</v>
      </c>
      <c r="R13" s="25">
        <v>0</v>
      </c>
      <c r="S13" s="12">
        <f t="shared" ref="S13:S49" si="20">+Q13*R13</f>
        <v>0</v>
      </c>
      <c r="T13" s="5">
        <v>0</v>
      </c>
      <c r="U13" s="12">
        <f t="shared" ref="U13:U49" si="21">S13*(1-T13)</f>
        <v>0</v>
      </c>
      <c r="V13" s="25" t="s">
        <v>10</v>
      </c>
      <c r="W13" s="11">
        <f>IFERROR(VLOOKUP(V13,Curr!$B$2:$C$13,2,FALSE),0)</f>
        <v>11</v>
      </c>
      <c r="X13" s="12">
        <f t="shared" ref="X13:X49" si="22">U13*W13</f>
        <v>0</v>
      </c>
      <c r="Y13" s="26">
        <f t="shared" ref="Y13:Y49" si="23">Q13</f>
        <v>0</v>
      </c>
      <c r="Z13" s="12">
        <f t="shared" si="16"/>
        <v>0</v>
      </c>
      <c r="AA13" s="4" t="s">
        <v>10</v>
      </c>
      <c r="AB13" s="11">
        <f>IFERROR(VLOOKUP(AA13,Curr!$B$2:$C$13,2,FALSE),0)</f>
        <v>11</v>
      </c>
      <c r="AC13" s="12">
        <f t="shared" si="17"/>
        <v>0</v>
      </c>
      <c r="AD13" s="12">
        <f t="shared" si="18"/>
        <v>0</v>
      </c>
      <c r="AE13" s="13">
        <f t="shared" si="19"/>
        <v>0</v>
      </c>
    </row>
    <row r="14" spans="2:36" x14ac:dyDescent="0.25">
      <c r="B14" s="4"/>
      <c r="E14" s="3"/>
      <c r="F14" s="3"/>
      <c r="G14" s="24"/>
      <c r="H14" s="24"/>
      <c r="K14" s="4"/>
      <c r="L14" s="4"/>
      <c r="M14" s="4"/>
      <c r="N14" s="4"/>
      <c r="O14" s="4"/>
      <c r="P14" s="33"/>
      <c r="Q14" s="25"/>
      <c r="R14" s="25"/>
      <c r="S14" s="12">
        <f t="shared" si="20"/>
        <v>0</v>
      </c>
      <c r="T14" s="5">
        <v>0</v>
      </c>
      <c r="U14" s="12">
        <f t="shared" si="21"/>
        <v>0</v>
      </c>
      <c r="V14" s="25" t="s">
        <v>10</v>
      </c>
      <c r="W14" s="11">
        <f>IFERROR(VLOOKUP(V14,Curr!$B$2:$C$13,2,FALSE),0)</f>
        <v>11</v>
      </c>
      <c r="X14" s="12">
        <f t="shared" si="22"/>
        <v>0</v>
      </c>
      <c r="Y14" s="26">
        <f t="shared" si="23"/>
        <v>0</v>
      </c>
      <c r="Z14" s="12">
        <f t="shared" si="16"/>
        <v>0</v>
      </c>
      <c r="AA14" s="4" t="s">
        <v>10</v>
      </c>
      <c r="AB14" s="11">
        <f>IFERROR(VLOOKUP(AA14,Curr!$B$2:$C$13,2,FALSE),0)</f>
        <v>11</v>
      </c>
      <c r="AC14" s="12">
        <f t="shared" si="17"/>
        <v>0</v>
      </c>
      <c r="AD14" s="12">
        <f t="shared" si="18"/>
        <v>0</v>
      </c>
      <c r="AE14" s="13">
        <f t="shared" si="19"/>
        <v>0</v>
      </c>
    </row>
    <row r="15" spans="2:36" x14ac:dyDescent="0.25">
      <c r="B15" s="4"/>
      <c r="C15" s="1" t="s">
        <v>61</v>
      </c>
      <c r="D15" s="1" t="s">
        <v>54</v>
      </c>
      <c r="E15" s="3"/>
      <c r="F15" s="3"/>
      <c r="G15" s="24"/>
      <c r="H15" s="24"/>
      <c r="J15" s="1" t="s">
        <v>98</v>
      </c>
      <c r="K15" s="4"/>
      <c r="L15" s="4"/>
      <c r="M15" s="4"/>
      <c r="N15" s="4"/>
      <c r="O15" s="4"/>
      <c r="P15" s="27"/>
      <c r="Q15" s="25">
        <v>0</v>
      </c>
      <c r="R15" s="25">
        <v>0</v>
      </c>
      <c r="S15" s="12">
        <f t="shared" si="20"/>
        <v>0</v>
      </c>
      <c r="T15" s="5">
        <v>0</v>
      </c>
      <c r="U15" s="12">
        <f t="shared" si="21"/>
        <v>0</v>
      </c>
      <c r="V15" s="25" t="s">
        <v>10</v>
      </c>
      <c r="W15" s="11">
        <f>IFERROR(VLOOKUP(V15,Curr!$B$2:$C$13,2,FALSE),0)</f>
        <v>11</v>
      </c>
      <c r="X15" s="12">
        <f t="shared" si="22"/>
        <v>0</v>
      </c>
      <c r="Y15" s="26">
        <f t="shared" si="23"/>
        <v>0</v>
      </c>
      <c r="Z15" s="12">
        <f t="shared" si="16"/>
        <v>0</v>
      </c>
      <c r="AA15" s="4" t="s">
        <v>10</v>
      </c>
      <c r="AB15" s="11">
        <f>IFERROR(VLOOKUP(AA15,Curr!$B$2:$C$13,2,FALSE),0)</f>
        <v>11</v>
      </c>
      <c r="AC15" s="12">
        <f t="shared" si="17"/>
        <v>0</v>
      </c>
      <c r="AD15" s="12">
        <f t="shared" si="18"/>
        <v>0</v>
      </c>
      <c r="AE15" s="13">
        <f t="shared" si="19"/>
        <v>0</v>
      </c>
    </row>
    <row r="16" spans="2:36" x14ac:dyDescent="0.25">
      <c r="B16" s="4"/>
      <c r="C16" s="1" t="s">
        <v>61</v>
      </c>
      <c r="D16" s="1" t="s">
        <v>86</v>
      </c>
      <c r="E16" s="3"/>
      <c r="F16" s="3"/>
      <c r="G16" s="24"/>
      <c r="H16" s="24"/>
      <c r="J16" s="1" t="s">
        <v>99</v>
      </c>
      <c r="K16" s="4"/>
      <c r="L16" s="4"/>
      <c r="M16" s="4"/>
      <c r="N16" s="4"/>
      <c r="O16" s="4" t="s">
        <v>42</v>
      </c>
      <c r="P16" s="33"/>
      <c r="Q16" s="25">
        <v>3000</v>
      </c>
      <c r="R16" s="25">
        <v>1</v>
      </c>
      <c r="S16" s="12">
        <f t="shared" si="20"/>
        <v>3000</v>
      </c>
      <c r="T16" s="5">
        <v>0</v>
      </c>
      <c r="U16" s="12">
        <f t="shared" si="21"/>
        <v>3000</v>
      </c>
      <c r="V16" s="25" t="s">
        <v>8</v>
      </c>
      <c r="W16" s="11">
        <f>IFERROR(VLOOKUP(V16,Curr!$B$2:$C$13,2,FALSE),0)</f>
        <v>1</v>
      </c>
      <c r="X16" s="12">
        <f t="shared" si="22"/>
        <v>3000</v>
      </c>
      <c r="Y16" s="26">
        <f t="shared" ref="Y16" si="24">Q16/11.3/0.8</f>
        <v>331.85840707964599</v>
      </c>
      <c r="Z16" s="12">
        <f t="shared" si="16"/>
        <v>331.85840707964599</v>
      </c>
      <c r="AA16" s="4" t="s">
        <v>10</v>
      </c>
      <c r="AB16" s="11">
        <f>IFERROR(VLOOKUP(AA16,Curr!$B$2:$C$13,2,FALSE),0)</f>
        <v>11</v>
      </c>
      <c r="AC16" s="12">
        <f t="shared" si="17"/>
        <v>3650.4424778761058</v>
      </c>
      <c r="AD16" s="12">
        <f t="shared" si="18"/>
        <v>650.44247787610584</v>
      </c>
      <c r="AE16" s="13">
        <f t="shared" si="19"/>
        <v>0.17818181818181811</v>
      </c>
    </row>
    <row r="17" spans="2:31" x14ac:dyDescent="0.25">
      <c r="B17" s="4"/>
      <c r="C17" s="1" t="s">
        <v>61</v>
      </c>
      <c r="D17" s="1" t="s">
        <v>54</v>
      </c>
      <c r="E17" s="3"/>
      <c r="F17" s="3"/>
      <c r="G17" s="24"/>
      <c r="H17" s="24"/>
      <c r="J17" s="1" t="s">
        <v>100</v>
      </c>
      <c r="K17" s="4"/>
      <c r="L17" s="4"/>
      <c r="M17" s="4"/>
      <c r="N17" s="4"/>
      <c r="O17" s="4"/>
      <c r="P17" s="33"/>
      <c r="Q17" s="25">
        <v>0</v>
      </c>
      <c r="R17" s="25">
        <v>0</v>
      </c>
      <c r="S17" s="12">
        <f t="shared" si="20"/>
        <v>0</v>
      </c>
      <c r="T17" s="5">
        <v>0</v>
      </c>
      <c r="U17" s="12">
        <f t="shared" si="21"/>
        <v>0</v>
      </c>
      <c r="V17" s="25" t="s">
        <v>10</v>
      </c>
      <c r="W17" s="11">
        <f>IFERROR(VLOOKUP(V17,Curr!$B$2:$C$13,2,FALSE),0)</f>
        <v>11</v>
      </c>
      <c r="X17" s="12">
        <f t="shared" si="22"/>
        <v>0</v>
      </c>
      <c r="Y17" s="26">
        <f t="shared" ref="Y17:Y19" si="25">Q17</f>
        <v>0</v>
      </c>
      <c r="Z17" s="12">
        <f t="shared" si="16"/>
        <v>0</v>
      </c>
      <c r="AA17" s="4" t="s">
        <v>10</v>
      </c>
      <c r="AB17" s="11">
        <f>IFERROR(VLOOKUP(AA17,Curr!$B$2:$C$13,2,FALSE),0)</f>
        <v>11</v>
      </c>
      <c r="AC17" s="12">
        <f t="shared" si="17"/>
        <v>0</v>
      </c>
      <c r="AD17" s="12">
        <f t="shared" si="18"/>
        <v>0</v>
      </c>
      <c r="AE17" s="13">
        <f t="shared" si="19"/>
        <v>0</v>
      </c>
    </row>
    <row r="18" spans="2:31" x14ac:dyDescent="0.25">
      <c r="B18" s="4"/>
      <c r="C18" s="1" t="s">
        <v>61</v>
      </c>
      <c r="D18" s="1" t="s">
        <v>55</v>
      </c>
      <c r="E18" s="3"/>
      <c r="F18" s="3"/>
      <c r="G18" s="24"/>
      <c r="H18" s="24"/>
      <c r="J18" s="1" t="s">
        <v>114</v>
      </c>
      <c r="K18" s="4"/>
      <c r="L18" s="4"/>
      <c r="M18" s="4"/>
      <c r="N18" s="4"/>
      <c r="O18" s="4"/>
      <c r="P18" s="27"/>
      <c r="Q18" s="25">
        <v>500</v>
      </c>
      <c r="R18" s="25">
        <v>1</v>
      </c>
      <c r="S18" s="12">
        <f t="shared" si="20"/>
        <v>500</v>
      </c>
      <c r="T18" s="5">
        <v>0</v>
      </c>
      <c r="U18" s="12">
        <f t="shared" si="21"/>
        <v>500</v>
      </c>
      <c r="V18" s="25" t="s">
        <v>10</v>
      </c>
      <c r="W18" s="11">
        <f>IFERROR(VLOOKUP(V18,Curr!$B$2:$C$13,2,FALSE),0)</f>
        <v>11</v>
      </c>
      <c r="X18" s="12">
        <f t="shared" si="22"/>
        <v>5500</v>
      </c>
      <c r="Y18" s="26">
        <f>Q18/0.8</f>
        <v>625</v>
      </c>
      <c r="Z18" s="12">
        <f t="shared" si="16"/>
        <v>625</v>
      </c>
      <c r="AA18" s="4" t="s">
        <v>10</v>
      </c>
      <c r="AB18" s="11">
        <f>IFERROR(VLOOKUP(AA18,Curr!$B$2:$C$13,2,FALSE),0)</f>
        <v>11</v>
      </c>
      <c r="AC18" s="12">
        <f t="shared" si="17"/>
        <v>6875</v>
      </c>
      <c r="AD18" s="12">
        <f t="shared" si="18"/>
        <v>1375</v>
      </c>
      <c r="AE18" s="13">
        <f t="shared" si="19"/>
        <v>0.2</v>
      </c>
    </row>
    <row r="19" spans="2:31" x14ac:dyDescent="0.25">
      <c r="B19" s="4"/>
      <c r="C19" s="1" t="s">
        <v>61</v>
      </c>
      <c r="D19" s="1" t="s">
        <v>56</v>
      </c>
      <c r="E19" s="3"/>
      <c r="F19" s="3"/>
      <c r="G19" s="24"/>
      <c r="H19" s="24"/>
      <c r="J19" s="1" t="s">
        <v>79</v>
      </c>
      <c r="K19" s="4"/>
      <c r="L19" s="4"/>
      <c r="M19" s="4"/>
      <c r="N19" s="4"/>
      <c r="O19" s="4"/>
      <c r="P19" s="27"/>
      <c r="Q19" s="25">
        <v>0</v>
      </c>
      <c r="R19" s="25">
        <v>0</v>
      </c>
      <c r="S19" s="12">
        <f t="shared" si="20"/>
        <v>0</v>
      </c>
      <c r="T19" s="5">
        <v>0</v>
      </c>
      <c r="U19" s="12">
        <f t="shared" si="21"/>
        <v>0</v>
      </c>
      <c r="V19" s="25" t="s">
        <v>10</v>
      </c>
      <c r="W19" s="11">
        <f>IFERROR(VLOOKUP(V19,Curr!$B$2:$C$13,2,FALSE),0)</f>
        <v>11</v>
      </c>
      <c r="X19" s="12">
        <f t="shared" si="22"/>
        <v>0</v>
      </c>
      <c r="Y19" s="26">
        <f t="shared" si="25"/>
        <v>0</v>
      </c>
      <c r="Z19" s="12">
        <f t="shared" si="16"/>
        <v>0</v>
      </c>
      <c r="AA19" s="4" t="s">
        <v>10</v>
      </c>
      <c r="AB19" s="11">
        <f>IFERROR(VLOOKUP(AA19,Curr!$B$2:$C$13,2,FALSE),0)</f>
        <v>11</v>
      </c>
      <c r="AC19" s="12">
        <f t="shared" si="17"/>
        <v>0</v>
      </c>
      <c r="AD19" s="12">
        <f t="shared" si="18"/>
        <v>0</v>
      </c>
      <c r="AE19" s="13">
        <f t="shared" si="19"/>
        <v>0</v>
      </c>
    </row>
    <row r="20" spans="2:31" x14ac:dyDescent="0.25">
      <c r="B20" s="4"/>
      <c r="E20" s="3"/>
      <c r="F20" s="3"/>
      <c r="G20" s="24"/>
      <c r="H20" s="24"/>
      <c r="K20" s="4"/>
      <c r="L20" s="4"/>
      <c r="M20" s="4"/>
      <c r="N20" s="4"/>
      <c r="O20" s="4"/>
      <c r="P20" s="27"/>
      <c r="Q20" s="25"/>
      <c r="R20" s="25"/>
      <c r="S20" s="12">
        <f t="shared" si="20"/>
        <v>0</v>
      </c>
      <c r="T20" s="5">
        <v>0</v>
      </c>
      <c r="U20" s="12">
        <f t="shared" si="21"/>
        <v>0</v>
      </c>
      <c r="V20" s="25" t="s">
        <v>10</v>
      </c>
      <c r="W20" s="11">
        <f>IFERROR(VLOOKUP(V20,Curr!$B$2:$C$13,2,FALSE),0)</f>
        <v>11</v>
      </c>
      <c r="X20" s="12">
        <f t="shared" si="22"/>
        <v>0</v>
      </c>
      <c r="Y20" s="26">
        <f t="shared" si="23"/>
        <v>0</v>
      </c>
      <c r="Z20" s="12">
        <f t="shared" si="16"/>
        <v>0</v>
      </c>
      <c r="AA20" s="4" t="s">
        <v>10</v>
      </c>
      <c r="AB20" s="11">
        <f>IFERROR(VLOOKUP(AA20,Curr!$B$2:$C$13,2,FALSE),0)</f>
        <v>11</v>
      </c>
      <c r="AC20" s="12">
        <f t="shared" si="17"/>
        <v>0</v>
      </c>
      <c r="AD20" s="12">
        <f t="shared" si="18"/>
        <v>0</v>
      </c>
      <c r="AE20" s="13">
        <f t="shared" si="19"/>
        <v>0</v>
      </c>
    </row>
    <row r="21" spans="2:31" x14ac:dyDescent="0.25">
      <c r="B21" s="4"/>
      <c r="C21" s="1" t="s">
        <v>62</v>
      </c>
      <c r="D21" s="1" t="s">
        <v>57</v>
      </c>
      <c r="E21" s="3"/>
      <c r="F21" s="3"/>
      <c r="G21" s="24"/>
      <c r="H21" s="24"/>
      <c r="J21" s="1" t="s">
        <v>101</v>
      </c>
      <c r="K21" s="4"/>
      <c r="L21" s="4"/>
      <c r="M21" s="4"/>
      <c r="N21" s="4"/>
      <c r="O21" s="4"/>
      <c r="P21" s="33" t="s">
        <v>102</v>
      </c>
      <c r="Q21" s="25">
        <v>156</v>
      </c>
      <c r="R21" s="25">
        <v>2</v>
      </c>
      <c r="S21" s="12">
        <f t="shared" si="20"/>
        <v>312</v>
      </c>
      <c r="T21" s="5">
        <v>0.2</v>
      </c>
      <c r="U21" s="12">
        <f t="shared" si="21"/>
        <v>249.60000000000002</v>
      </c>
      <c r="V21" s="25" t="s">
        <v>10</v>
      </c>
      <c r="W21" s="11">
        <f>IFERROR(VLOOKUP(V21,Curr!$B$2:$C$13,2,FALSE),0)</f>
        <v>11</v>
      </c>
      <c r="X21" s="12">
        <f t="shared" si="22"/>
        <v>2745.6000000000004</v>
      </c>
      <c r="Y21" s="26">
        <f t="shared" si="23"/>
        <v>156</v>
      </c>
      <c r="Z21" s="12">
        <f t="shared" si="16"/>
        <v>312</v>
      </c>
      <c r="AA21" s="4" t="s">
        <v>10</v>
      </c>
      <c r="AB21" s="11">
        <f>IFERROR(VLOOKUP(AA21,Curr!$B$2:$C$13,2,FALSE),0)</f>
        <v>11</v>
      </c>
      <c r="AC21" s="12">
        <f t="shared" si="17"/>
        <v>3432</v>
      </c>
      <c r="AD21" s="12">
        <f t="shared" si="18"/>
        <v>686.39999999999964</v>
      </c>
      <c r="AE21" s="13">
        <f t="shared" si="19"/>
        <v>0.1999999999999999</v>
      </c>
    </row>
    <row r="22" spans="2:31" x14ac:dyDescent="0.25">
      <c r="B22" s="4"/>
      <c r="C22" s="1" t="s">
        <v>62</v>
      </c>
      <c r="D22" s="1" t="s">
        <v>56</v>
      </c>
      <c r="E22" s="3"/>
      <c r="F22" s="3"/>
      <c r="G22" s="24"/>
      <c r="H22" s="24"/>
      <c r="J22" s="1" t="s">
        <v>79</v>
      </c>
      <c r="K22" s="4"/>
      <c r="L22" s="4"/>
      <c r="M22" s="4"/>
      <c r="N22" s="4"/>
      <c r="O22" s="4"/>
      <c r="P22" s="33"/>
      <c r="Q22" s="25">
        <v>0</v>
      </c>
      <c r="R22" s="25">
        <v>0</v>
      </c>
      <c r="S22" s="12">
        <f t="shared" si="20"/>
        <v>0</v>
      </c>
      <c r="T22" s="5">
        <v>0</v>
      </c>
      <c r="U22" s="12">
        <f t="shared" si="21"/>
        <v>0</v>
      </c>
      <c r="V22" s="25" t="s">
        <v>10</v>
      </c>
      <c r="W22" s="11">
        <f>IFERROR(VLOOKUP(V22,Curr!$B$2:$C$13,2,FALSE),0)</f>
        <v>11</v>
      </c>
      <c r="X22" s="12">
        <f t="shared" si="22"/>
        <v>0</v>
      </c>
      <c r="Y22" s="26">
        <f t="shared" si="23"/>
        <v>0</v>
      </c>
      <c r="Z22" s="12">
        <f t="shared" si="16"/>
        <v>0</v>
      </c>
      <c r="AA22" s="4" t="s">
        <v>10</v>
      </c>
      <c r="AB22" s="11">
        <f>IFERROR(VLOOKUP(AA22,Curr!$B$2:$C$13,2,FALSE),0)</f>
        <v>11</v>
      </c>
      <c r="AC22" s="12">
        <f t="shared" si="17"/>
        <v>0</v>
      </c>
      <c r="AD22" s="12">
        <f t="shared" si="18"/>
        <v>0</v>
      </c>
      <c r="AE22" s="13">
        <f t="shared" si="19"/>
        <v>0</v>
      </c>
    </row>
    <row r="23" spans="2:31" x14ac:dyDescent="0.25">
      <c r="B23" s="4"/>
      <c r="E23" s="3"/>
      <c r="F23" s="3"/>
      <c r="G23" s="24"/>
      <c r="H23" s="24"/>
      <c r="K23" s="4"/>
      <c r="L23" s="4"/>
      <c r="M23" s="4"/>
      <c r="N23" s="4"/>
      <c r="O23" s="4"/>
      <c r="P23" s="27"/>
      <c r="Q23" s="25"/>
      <c r="R23" s="25"/>
      <c r="S23" s="12">
        <f t="shared" si="20"/>
        <v>0</v>
      </c>
      <c r="T23" s="5">
        <v>0</v>
      </c>
      <c r="U23" s="12">
        <f t="shared" si="21"/>
        <v>0</v>
      </c>
      <c r="V23" s="25" t="s">
        <v>10</v>
      </c>
      <c r="W23" s="11">
        <f>IFERROR(VLOOKUP(V23,Curr!$B$2:$C$13,2,FALSE),0)</f>
        <v>11</v>
      </c>
      <c r="X23" s="12">
        <f t="shared" si="22"/>
        <v>0</v>
      </c>
      <c r="Y23" s="26">
        <f t="shared" si="23"/>
        <v>0</v>
      </c>
      <c r="Z23" s="12">
        <f t="shared" si="16"/>
        <v>0</v>
      </c>
      <c r="AA23" s="4" t="s">
        <v>10</v>
      </c>
      <c r="AB23" s="11">
        <f>IFERROR(VLOOKUP(AA23,Curr!$B$2:$C$13,2,FALSE),0)</f>
        <v>11</v>
      </c>
      <c r="AC23" s="12">
        <f t="shared" si="17"/>
        <v>0</v>
      </c>
      <c r="AD23" s="12">
        <f t="shared" si="18"/>
        <v>0</v>
      </c>
      <c r="AE23" s="13">
        <f t="shared" si="19"/>
        <v>0</v>
      </c>
    </row>
    <row r="24" spans="2:31" x14ac:dyDescent="0.25">
      <c r="B24" s="4"/>
      <c r="C24" s="1" t="s">
        <v>63</v>
      </c>
      <c r="D24" s="1" t="s">
        <v>54</v>
      </c>
      <c r="E24" s="3"/>
      <c r="F24" s="3"/>
      <c r="G24" s="24"/>
      <c r="H24" s="24"/>
      <c r="J24" s="1" t="s">
        <v>103</v>
      </c>
      <c r="K24" s="4"/>
      <c r="L24" s="4"/>
      <c r="M24" s="4"/>
      <c r="N24" s="4"/>
      <c r="O24" s="4"/>
      <c r="P24" s="27"/>
      <c r="Q24" s="25">
        <v>0</v>
      </c>
      <c r="R24" s="25">
        <v>0</v>
      </c>
      <c r="S24" s="12">
        <f t="shared" si="20"/>
        <v>0</v>
      </c>
      <c r="T24" s="5">
        <v>0</v>
      </c>
      <c r="U24" s="12">
        <f t="shared" si="21"/>
        <v>0</v>
      </c>
      <c r="V24" s="25" t="s">
        <v>10</v>
      </c>
      <c r="W24" s="11">
        <f>IFERROR(VLOOKUP(V24,Curr!$B$2:$C$13,2,FALSE),0)</f>
        <v>11</v>
      </c>
      <c r="X24" s="12">
        <f t="shared" si="22"/>
        <v>0</v>
      </c>
      <c r="Y24" s="26">
        <f t="shared" si="23"/>
        <v>0</v>
      </c>
      <c r="Z24" s="12">
        <f t="shared" si="16"/>
        <v>0</v>
      </c>
      <c r="AA24" s="4" t="s">
        <v>10</v>
      </c>
      <c r="AB24" s="11">
        <f>IFERROR(VLOOKUP(AA24,Curr!$B$2:$C$13,2,FALSE),0)</f>
        <v>11</v>
      </c>
      <c r="AC24" s="12">
        <f t="shared" si="17"/>
        <v>0</v>
      </c>
      <c r="AD24" s="12">
        <f t="shared" si="18"/>
        <v>0</v>
      </c>
      <c r="AE24" s="13">
        <f t="shared" si="19"/>
        <v>0</v>
      </c>
    </row>
    <row r="25" spans="2:31" x14ac:dyDescent="0.25">
      <c r="B25" s="4"/>
      <c r="C25" s="1" t="s">
        <v>63</v>
      </c>
      <c r="D25" s="1" t="s">
        <v>58</v>
      </c>
      <c r="E25" s="3"/>
      <c r="F25" s="3"/>
      <c r="G25" s="24"/>
      <c r="H25" s="24"/>
      <c r="J25" s="1" t="s">
        <v>104</v>
      </c>
      <c r="K25" s="4"/>
      <c r="L25" s="4"/>
      <c r="M25" s="4"/>
      <c r="N25" s="4"/>
      <c r="O25" s="4" t="s">
        <v>42</v>
      </c>
      <c r="P25" s="33" t="s">
        <v>97</v>
      </c>
      <c r="Q25" s="25">
        <v>2000</v>
      </c>
      <c r="R25" s="25">
        <v>1</v>
      </c>
      <c r="S25" s="12">
        <f t="shared" si="20"/>
        <v>2000</v>
      </c>
      <c r="T25" s="5">
        <v>0</v>
      </c>
      <c r="U25" s="12">
        <f t="shared" si="21"/>
        <v>2000</v>
      </c>
      <c r="V25" s="25" t="s">
        <v>8</v>
      </c>
      <c r="W25" s="11">
        <f>IFERROR(VLOOKUP(V25,Curr!$B$2:$C$13,2,FALSE),0)</f>
        <v>1</v>
      </c>
      <c r="X25" s="12">
        <f t="shared" si="22"/>
        <v>2000</v>
      </c>
      <c r="Y25" s="26">
        <f t="shared" ref="Y25" si="26">Q25/11.3/0.8</f>
        <v>221.23893805309734</v>
      </c>
      <c r="Z25" s="12">
        <f t="shared" si="16"/>
        <v>221.23893805309734</v>
      </c>
      <c r="AA25" s="4" t="s">
        <v>10</v>
      </c>
      <c r="AB25" s="11">
        <f>IFERROR(VLOOKUP(AA25,Curr!$B$2:$C$13,2,FALSE),0)</f>
        <v>11</v>
      </c>
      <c r="AC25" s="12">
        <f t="shared" si="17"/>
        <v>2433.6283185840707</v>
      </c>
      <c r="AD25" s="12">
        <f t="shared" si="18"/>
        <v>433.62831858407071</v>
      </c>
      <c r="AE25" s="13">
        <f t="shared" si="19"/>
        <v>0.17818181818181816</v>
      </c>
    </row>
    <row r="26" spans="2:31" x14ac:dyDescent="0.25">
      <c r="B26" s="4"/>
      <c r="C26" s="1" t="s">
        <v>63</v>
      </c>
      <c r="D26" s="1" t="s">
        <v>54</v>
      </c>
      <c r="E26" s="3"/>
      <c r="F26" s="3"/>
      <c r="G26" s="24"/>
      <c r="H26" s="24"/>
      <c r="J26" s="1" t="s">
        <v>105</v>
      </c>
      <c r="K26" s="4"/>
      <c r="L26" s="4"/>
      <c r="M26" s="4"/>
      <c r="N26" s="4"/>
      <c r="O26" s="4"/>
      <c r="P26" s="27"/>
      <c r="Q26" s="25">
        <v>0</v>
      </c>
      <c r="R26" s="25">
        <v>0</v>
      </c>
      <c r="S26" s="12">
        <f t="shared" si="20"/>
        <v>0</v>
      </c>
      <c r="T26" s="5">
        <v>0</v>
      </c>
      <c r="U26" s="12">
        <f t="shared" si="21"/>
        <v>0</v>
      </c>
      <c r="V26" s="25" t="s">
        <v>8</v>
      </c>
      <c r="W26" s="11">
        <f>IFERROR(VLOOKUP(V26,Curr!$B$2:$C$13,2,FALSE),0)</f>
        <v>1</v>
      </c>
      <c r="X26" s="12">
        <f t="shared" si="22"/>
        <v>0</v>
      </c>
      <c r="Y26" s="26">
        <f>Q26/11.3/0.8</f>
        <v>0</v>
      </c>
      <c r="Z26" s="12">
        <f t="shared" si="16"/>
        <v>0</v>
      </c>
      <c r="AA26" s="4" t="s">
        <v>10</v>
      </c>
      <c r="AB26" s="11">
        <f>IFERROR(VLOOKUP(AA26,Curr!$B$2:$C$13,2,FALSE),0)</f>
        <v>11</v>
      </c>
      <c r="AC26" s="12">
        <f t="shared" si="17"/>
        <v>0</v>
      </c>
      <c r="AD26" s="12">
        <f t="shared" si="18"/>
        <v>0</v>
      </c>
      <c r="AE26" s="13">
        <f t="shared" si="19"/>
        <v>0</v>
      </c>
    </row>
    <row r="27" spans="2:31" x14ac:dyDescent="0.25">
      <c r="B27" s="4"/>
      <c r="C27" s="1" t="s">
        <v>63</v>
      </c>
      <c r="D27" s="1" t="s">
        <v>55</v>
      </c>
      <c r="E27" s="3"/>
      <c r="F27" s="3"/>
      <c r="G27" s="24"/>
      <c r="H27" s="24"/>
      <c r="J27" s="1" t="s">
        <v>115</v>
      </c>
      <c r="K27" s="4"/>
      <c r="L27" s="4"/>
      <c r="M27" s="4"/>
      <c r="N27" s="4"/>
      <c r="O27" s="4"/>
      <c r="P27" s="33"/>
      <c r="Q27" s="25">
        <v>350</v>
      </c>
      <c r="R27" s="25">
        <v>1</v>
      </c>
      <c r="S27" s="12">
        <f t="shared" si="20"/>
        <v>350</v>
      </c>
      <c r="T27" s="5">
        <v>0</v>
      </c>
      <c r="U27" s="12">
        <f t="shared" si="21"/>
        <v>350</v>
      </c>
      <c r="V27" s="25" t="s">
        <v>10</v>
      </c>
      <c r="W27" s="11">
        <f>IFERROR(VLOOKUP(V27,Curr!$B$2:$C$13,2,FALSE),0)</f>
        <v>11</v>
      </c>
      <c r="X27" s="12">
        <f t="shared" si="22"/>
        <v>3850</v>
      </c>
      <c r="Y27" s="26">
        <f>Q27/0.8</f>
        <v>437.5</v>
      </c>
      <c r="Z27" s="12">
        <f t="shared" si="16"/>
        <v>437.5</v>
      </c>
      <c r="AA27" s="4" t="s">
        <v>10</v>
      </c>
      <c r="AB27" s="11">
        <f>IFERROR(VLOOKUP(AA27,Curr!$B$2:$C$13,2,FALSE),0)</f>
        <v>11</v>
      </c>
      <c r="AC27" s="12">
        <f t="shared" si="17"/>
        <v>4812.5</v>
      </c>
      <c r="AD27" s="12">
        <f t="shared" si="18"/>
        <v>962.5</v>
      </c>
      <c r="AE27" s="13">
        <f t="shared" si="19"/>
        <v>0.2</v>
      </c>
    </row>
    <row r="28" spans="2:31" x14ac:dyDescent="0.25">
      <c r="B28" s="4"/>
      <c r="C28" s="1" t="s">
        <v>63</v>
      </c>
      <c r="D28" s="1" t="s">
        <v>56</v>
      </c>
      <c r="E28" s="3"/>
      <c r="F28" s="3"/>
      <c r="G28" s="24"/>
      <c r="H28" s="24"/>
      <c r="J28" s="1" t="s">
        <v>81</v>
      </c>
      <c r="K28" s="4"/>
      <c r="L28" s="4"/>
      <c r="M28" s="4"/>
      <c r="N28" s="4"/>
      <c r="O28" s="4"/>
      <c r="P28" s="27"/>
      <c r="Q28" s="25">
        <v>0</v>
      </c>
      <c r="R28" s="25">
        <v>0</v>
      </c>
      <c r="S28" s="12">
        <f t="shared" si="20"/>
        <v>0</v>
      </c>
      <c r="T28" s="5">
        <v>0</v>
      </c>
      <c r="U28" s="12">
        <f t="shared" si="21"/>
        <v>0</v>
      </c>
      <c r="V28" s="25" t="s">
        <v>10</v>
      </c>
      <c r="W28" s="11">
        <f>IFERROR(VLOOKUP(V28,Curr!$B$2:$C$13,2,FALSE),0)</f>
        <v>11</v>
      </c>
      <c r="X28" s="12">
        <f t="shared" si="22"/>
        <v>0</v>
      </c>
      <c r="Y28" s="26">
        <f t="shared" ref="Y28" si="27">Q28</f>
        <v>0</v>
      </c>
      <c r="Z28" s="12">
        <f t="shared" si="16"/>
        <v>0</v>
      </c>
      <c r="AA28" s="4" t="s">
        <v>10</v>
      </c>
      <c r="AB28" s="11">
        <f>IFERROR(VLOOKUP(AA28,Curr!$B$2:$C$13,2,FALSE),0)</f>
        <v>11</v>
      </c>
      <c r="AC28" s="12">
        <f t="shared" si="17"/>
        <v>0</v>
      </c>
      <c r="AD28" s="12">
        <f t="shared" si="18"/>
        <v>0</v>
      </c>
      <c r="AE28" s="13">
        <f t="shared" si="19"/>
        <v>0</v>
      </c>
    </row>
    <row r="29" spans="2:31" x14ac:dyDescent="0.25">
      <c r="B29" s="4"/>
      <c r="E29" s="3"/>
      <c r="F29" s="3"/>
      <c r="G29" s="24"/>
      <c r="H29" s="24"/>
      <c r="K29" s="4"/>
      <c r="L29" s="4"/>
      <c r="M29" s="4"/>
      <c r="N29" s="4"/>
      <c r="O29" s="4"/>
      <c r="P29" s="29"/>
      <c r="Q29" s="25"/>
      <c r="R29" s="25"/>
      <c r="S29" s="12">
        <f t="shared" si="20"/>
        <v>0</v>
      </c>
      <c r="T29" s="5">
        <v>0</v>
      </c>
      <c r="U29" s="12">
        <f t="shared" si="21"/>
        <v>0</v>
      </c>
      <c r="V29" s="25" t="s">
        <v>10</v>
      </c>
      <c r="W29" s="11">
        <f>IFERROR(VLOOKUP(V29,Curr!$B$2:$C$13,2,FALSE),0)</f>
        <v>11</v>
      </c>
      <c r="X29" s="12">
        <f t="shared" si="22"/>
        <v>0</v>
      </c>
      <c r="Y29" s="26">
        <f t="shared" si="23"/>
        <v>0</v>
      </c>
      <c r="Z29" s="12">
        <f t="shared" si="16"/>
        <v>0</v>
      </c>
      <c r="AA29" s="4" t="s">
        <v>10</v>
      </c>
      <c r="AB29" s="11">
        <f>IFERROR(VLOOKUP(AA29,Curr!$B$2:$C$13,2,FALSE),0)</f>
        <v>11</v>
      </c>
      <c r="AC29" s="12">
        <f t="shared" si="17"/>
        <v>0</v>
      </c>
      <c r="AD29" s="12">
        <f t="shared" si="18"/>
        <v>0</v>
      </c>
      <c r="AE29" s="13">
        <f t="shared" si="19"/>
        <v>0</v>
      </c>
    </row>
    <row r="30" spans="2:31" x14ac:dyDescent="0.25">
      <c r="B30" s="4"/>
      <c r="C30" s="1" t="s">
        <v>64</v>
      </c>
      <c r="D30" s="1" t="s">
        <v>57</v>
      </c>
      <c r="E30" s="3"/>
      <c r="F30" s="3"/>
      <c r="G30" s="24"/>
      <c r="H30" s="24"/>
      <c r="J30" s="1" t="s">
        <v>107</v>
      </c>
      <c r="K30" s="4"/>
      <c r="L30" s="4"/>
      <c r="M30" s="4"/>
      <c r="N30" s="4"/>
      <c r="O30" s="4" t="s">
        <v>42</v>
      </c>
      <c r="P30" s="33" t="s">
        <v>108</v>
      </c>
      <c r="Q30" s="25">
        <v>38</v>
      </c>
      <c r="R30" s="25">
        <v>2</v>
      </c>
      <c r="S30" s="12">
        <f t="shared" si="20"/>
        <v>76</v>
      </c>
      <c r="T30" s="5">
        <v>0.2</v>
      </c>
      <c r="U30" s="12">
        <f t="shared" si="21"/>
        <v>60.800000000000004</v>
      </c>
      <c r="V30" s="25" t="s">
        <v>10</v>
      </c>
      <c r="W30" s="11">
        <f>IFERROR(VLOOKUP(V30,Curr!$B$2:$C$13,2,FALSE),0)</f>
        <v>11</v>
      </c>
      <c r="X30" s="12">
        <f t="shared" si="22"/>
        <v>668.80000000000007</v>
      </c>
      <c r="Y30" s="26">
        <f>Q30</f>
        <v>38</v>
      </c>
      <c r="Z30" s="12">
        <f t="shared" si="16"/>
        <v>76</v>
      </c>
      <c r="AA30" s="4" t="s">
        <v>10</v>
      </c>
      <c r="AB30" s="11">
        <f>IFERROR(VLOOKUP(AA30,Curr!$B$2:$C$13,2,FALSE),0)</f>
        <v>11</v>
      </c>
      <c r="AC30" s="12">
        <f t="shared" si="17"/>
        <v>836</v>
      </c>
      <c r="AD30" s="12">
        <f t="shared" si="18"/>
        <v>167.19999999999993</v>
      </c>
      <c r="AE30" s="13">
        <f t="shared" si="19"/>
        <v>0.19999999999999993</v>
      </c>
    </row>
    <row r="31" spans="2:31" x14ac:dyDescent="0.25">
      <c r="B31" s="4"/>
      <c r="C31" s="1" t="s">
        <v>64</v>
      </c>
      <c r="D31" s="1" t="s">
        <v>56</v>
      </c>
      <c r="E31" s="3"/>
      <c r="F31" s="3"/>
      <c r="G31" s="24"/>
      <c r="H31" s="24"/>
      <c r="J31" s="1" t="s">
        <v>81</v>
      </c>
      <c r="K31" s="4"/>
      <c r="L31" s="4"/>
      <c r="M31" s="4"/>
      <c r="N31" s="4"/>
      <c r="O31" s="4"/>
      <c r="P31" s="27"/>
      <c r="Q31" s="25">
        <v>0</v>
      </c>
      <c r="R31" s="25">
        <v>0</v>
      </c>
      <c r="S31" s="12">
        <f t="shared" si="20"/>
        <v>0</v>
      </c>
      <c r="T31" s="5">
        <v>0</v>
      </c>
      <c r="U31" s="12">
        <f t="shared" si="21"/>
        <v>0</v>
      </c>
      <c r="V31" s="25" t="s">
        <v>10</v>
      </c>
      <c r="W31" s="11">
        <f>IFERROR(VLOOKUP(V31,Curr!$B$2:$C$13,2,FALSE),0)</f>
        <v>11</v>
      </c>
      <c r="X31" s="12">
        <f t="shared" si="22"/>
        <v>0</v>
      </c>
      <c r="Y31" s="26">
        <f t="shared" si="23"/>
        <v>0</v>
      </c>
      <c r="Z31" s="12">
        <f t="shared" si="16"/>
        <v>0</v>
      </c>
      <c r="AA31" s="4" t="s">
        <v>10</v>
      </c>
      <c r="AB31" s="11">
        <f>IFERROR(VLOOKUP(AA31,Curr!$B$2:$C$13,2,FALSE),0)</f>
        <v>11</v>
      </c>
      <c r="AC31" s="12">
        <f t="shared" si="17"/>
        <v>0</v>
      </c>
      <c r="AD31" s="12">
        <f t="shared" si="18"/>
        <v>0</v>
      </c>
      <c r="AE31" s="13">
        <f t="shared" si="19"/>
        <v>0</v>
      </c>
    </row>
    <row r="32" spans="2:31" x14ac:dyDescent="0.25">
      <c r="B32" s="4"/>
      <c r="E32" s="3"/>
      <c r="F32" s="3"/>
      <c r="G32" s="24"/>
      <c r="H32" s="24"/>
      <c r="K32" s="4"/>
      <c r="L32" s="4"/>
      <c r="M32" s="4"/>
      <c r="N32" s="4"/>
      <c r="O32" s="4"/>
      <c r="P32" s="27"/>
      <c r="Q32" s="25"/>
      <c r="R32" s="25"/>
      <c r="S32" s="12">
        <f t="shared" si="20"/>
        <v>0</v>
      </c>
      <c r="T32" s="5">
        <v>0</v>
      </c>
      <c r="U32" s="12">
        <f t="shared" si="21"/>
        <v>0</v>
      </c>
      <c r="V32" s="25" t="s">
        <v>10</v>
      </c>
      <c r="W32" s="11">
        <f>IFERROR(VLOOKUP(V32,Curr!$B$2:$C$13,2,FALSE),0)</f>
        <v>11</v>
      </c>
      <c r="X32" s="12">
        <f t="shared" si="22"/>
        <v>0</v>
      </c>
      <c r="Y32" s="26">
        <f t="shared" si="23"/>
        <v>0</v>
      </c>
      <c r="Z32" s="12">
        <f t="shared" si="16"/>
        <v>0</v>
      </c>
      <c r="AA32" s="4" t="s">
        <v>10</v>
      </c>
      <c r="AB32" s="11">
        <f>IFERROR(VLOOKUP(AA32,Curr!$B$2:$C$13,2,FALSE),0)</f>
        <v>11</v>
      </c>
      <c r="AC32" s="12">
        <f t="shared" si="17"/>
        <v>0</v>
      </c>
      <c r="AD32" s="12">
        <f t="shared" si="18"/>
        <v>0</v>
      </c>
      <c r="AE32" s="13">
        <f t="shared" si="19"/>
        <v>0</v>
      </c>
    </row>
    <row r="33" spans="2:31" x14ac:dyDescent="0.25">
      <c r="B33" s="4"/>
      <c r="C33" s="1" t="s">
        <v>65</v>
      </c>
      <c r="D33" s="1" t="s">
        <v>54</v>
      </c>
      <c r="E33" s="3"/>
      <c r="F33" s="3"/>
      <c r="G33" s="24"/>
      <c r="H33" s="24"/>
      <c r="J33" s="1" t="s">
        <v>106</v>
      </c>
      <c r="K33" s="4"/>
      <c r="L33" s="4"/>
      <c r="M33" s="4"/>
      <c r="N33" s="4"/>
      <c r="O33" s="4"/>
      <c r="P33" s="27"/>
      <c r="Q33" s="25">
        <v>0</v>
      </c>
      <c r="R33" s="25">
        <v>0</v>
      </c>
      <c r="S33" s="12">
        <f t="shared" si="20"/>
        <v>0</v>
      </c>
      <c r="T33" s="5">
        <v>0</v>
      </c>
      <c r="U33" s="12">
        <f t="shared" si="21"/>
        <v>0</v>
      </c>
      <c r="V33" s="25" t="s">
        <v>10</v>
      </c>
      <c r="W33" s="11">
        <f>IFERROR(VLOOKUP(V33,Curr!$B$2:$C$13,2,FALSE),0)</f>
        <v>11</v>
      </c>
      <c r="X33" s="12">
        <f t="shared" si="22"/>
        <v>0</v>
      </c>
      <c r="Y33" s="26">
        <f t="shared" si="23"/>
        <v>0</v>
      </c>
      <c r="Z33" s="12">
        <f t="shared" si="16"/>
        <v>0</v>
      </c>
      <c r="AA33" s="4" t="s">
        <v>10</v>
      </c>
      <c r="AB33" s="11">
        <f>IFERROR(VLOOKUP(AA33,Curr!$B$2:$C$13,2,FALSE),0)</f>
        <v>11</v>
      </c>
      <c r="AC33" s="12">
        <f t="shared" si="17"/>
        <v>0</v>
      </c>
      <c r="AD33" s="12">
        <f t="shared" si="18"/>
        <v>0</v>
      </c>
      <c r="AE33" s="13">
        <f t="shared" si="19"/>
        <v>0</v>
      </c>
    </row>
    <row r="34" spans="2:31" x14ac:dyDescent="0.25">
      <c r="B34" s="4"/>
      <c r="C34" s="1" t="s">
        <v>65</v>
      </c>
      <c r="D34" s="1" t="s">
        <v>60</v>
      </c>
      <c r="E34" s="3"/>
      <c r="F34" s="3"/>
      <c r="G34" s="24"/>
      <c r="H34" s="24"/>
      <c r="J34" s="1" t="s">
        <v>82</v>
      </c>
      <c r="K34" s="4"/>
      <c r="L34" s="4"/>
      <c r="M34" s="4"/>
      <c r="N34" s="4"/>
      <c r="O34" s="4"/>
      <c r="P34" s="33"/>
      <c r="Q34" s="25">
        <v>0</v>
      </c>
      <c r="R34" s="25">
        <v>0</v>
      </c>
      <c r="S34" s="12">
        <f t="shared" si="20"/>
        <v>0</v>
      </c>
      <c r="T34" s="5">
        <v>0</v>
      </c>
      <c r="U34" s="12">
        <f t="shared" si="21"/>
        <v>0</v>
      </c>
      <c r="V34" s="25" t="s">
        <v>10</v>
      </c>
      <c r="W34" s="11">
        <f>IFERROR(VLOOKUP(V34,Curr!$B$2:$C$13,2,FALSE),0)</f>
        <v>11</v>
      </c>
      <c r="X34" s="12">
        <f t="shared" si="22"/>
        <v>0</v>
      </c>
      <c r="Y34" s="26">
        <f t="shared" si="23"/>
        <v>0</v>
      </c>
      <c r="Z34" s="12">
        <f t="shared" si="16"/>
        <v>0</v>
      </c>
      <c r="AA34" s="4" t="s">
        <v>10</v>
      </c>
      <c r="AB34" s="11">
        <f>IFERROR(VLOOKUP(AA34,Curr!$B$2:$C$13,2,FALSE),0)</f>
        <v>11</v>
      </c>
      <c r="AC34" s="12">
        <f t="shared" si="17"/>
        <v>0</v>
      </c>
      <c r="AD34" s="12">
        <f t="shared" si="18"/>
        <v>0</v>
      </c>
      <c r="AE34" s="13">
        <f t="shared" si="19"/>
        <v>0</v>
      </c>
    </row>
    <row r="35" spans="2:31" x14ac:dyDescent="0.25">
      <c r="B35" s="4"/>
      <c r="E35" s="3"/>
      <c r="F35" s="3"/>
      <c r="G35" s="24"/>
      <c r="H35" s="24"/>
      <c r="K35" s="4"/>
      <c r="L35" s="4"/>
      <c r="M35" s="4"/>
      <c r="N35" s="4"/>
      <c r="O35" s="4"/>
      <c r="P35" s="27"/>
      <c r="Q35" s="25"/>
      <c r="R35" s="25"/>
      <c r="S35" s="12">
        <f t="shared" si="20"/>
        <v>0</v>
      </c>
      <c r="T35" s="5">
        <v>0</v>
      </c>
      <c r="U35" s="12">
        <f t="shared" si="21"/>
        <v>0</v>
      </c>
      <c r="V35" s="25" t="s">
        <v>10</v>
      </c>
      <c r="W35" s="11">
        <f>IFERROR(VLOOKUP(V35,Curr!$B$2:$C$13,2,FALSE),0)</f>
        <v>11</v>
      </c>
      <c r="X35" s="12">
        <f t="shared" si="22"/>
        <v>0</v>
      </c>
      <c r="Y35" s="26">
        <f t="shared" si="23"/>
        <v>0</v>
      </c>
      <c r="Z35" s="12">
        <f t="shared" si="16"/>
        <v>0</v>
      </c>
      <c r="AA35" s="4" t="s">
        <v>10</v>
      </c>
      <c r="AB35" s="11">
        <f>IFERROR(VLOOKUP(AA35,Curr!$B$2:$C$13,2,FALSE),0)</f>
        <v>11</v>
      </c>
      <c r="AC35" s="12">
        <f t="shared" si="17"/>
        <v>0</v>
      </c>
      <c r="AD35" s="12">
        <f t="shared" si="18"/>
        <v>0</v>
      </c>
      <c r="AE35" s="13">
        <f t="shared" si="19"/>
        <v>0</v>
      </c>
    </row>
    <row r="36" spans="2:31" x14ac:dyDescent="0.25">
      <c r="B36" s="4"/>
      <c r="E36" s="3"/>
      <c r="F36" s="3"/>
      <c r="G36" s="24"/>
      <c r="H36" s="24"/>
      <c r="K36" s="4"/>
      <c r="L36" s="4"/>
      <c r="M36" s="4"/>
      <c r="N36" s="4"/>
      <c r="O36" s="4"/>
      <c r="P36" s="33"/>
      <c r="Q36" s="25"/>
      <c r="R36" s="25"/>
      <c r="S36" s="12">
        <f t="shared" si="20"/>
        <v>0</v>
      </c>
      <c r="T36" s="5">
        <v>0</v>
      </c>
      <c r="U36" s="12">
        <f t="shared" si="21"/>
        <v>0</v>
      </c>
      <c r="V36" s="25" t="s">
        <v>10</v>
      </c>
      <c r="W36" s="11">
        <f>IFERROR(VLOOKUP(V36,Curr!$B$2:$C$13,2,FALSE),0)</f>
        <v>11</v>
      </c>
      <c r="X36" s="12">
        <f t="shared" si="22"/>
        <v>0</v>
      </c>
      <c r="Y36" s="26">
        <f t="shared" si="23"/>
        <v>0</v>
      </c>
      <c r="Z36" s="12">
        <f t="shared" si="16"/>
        <v>0</v>
      </c>
      <c r="AA36" s="4" t="s">
        <v>10</v>
      </c>
      <c r="AB36" s="11">
        <f>IFERROR(VLOOKUP(AA36,Curr!$B$2:$C$13,2,FALSE),0)</f>
        <v>11</v>
      </c>
      <c r="AC36" s="12">
        <f t="shared" si="17"/>
        <v>0</v>
      </c>
      <c r="AD36" s="12">
        <f t="shared" si="18"/>
        <v>0</v>
      </c>
      <c r="AE36" s="13">
        <f t="shared" si="19"/>
        <v>0</v>
      </c>
    </row>
    <row r="37" spans="2:31" x14ac:dyDescent="0.25">
      <c r="B37" s="4"/>
      <c r="C37" s="1" t="s">
        <v>52</v>
      </c>
      <c r="D37" s="1" t="s">
        <v>109</v>
      </c>
      <c r="E37" s="3"/>
      <c r="F37" s="3"/>
      <c r="G37" s="24"/>
      <c r="H37" s="24"/>
      <c r="J37" s="1" t="s">
        <v>120</v>
      </c>
      <c r="K37" s="4"/>
      <c r="L37" s="4"/>
      <c r="M37" s="4"/>
      <c r="N37" s="4"/>
      <c r="O37" s="4"/>
      <c r="P37" s="33"/>
      <c r="Q37" s="25">
        <v>180</v>
      </c>
      <c r="R37" s="25">
        <v>0</v>
      </c>
      <c r="S37" s="12">
        <f t="shared" si="20"/>
        <v>0</v>
      </c>
      <c r="T37" s="5">
        <v>0</v>
      </c>
      <c r="U37" s="12">
        <f t="shared" si="21"/>
        <v>0</v>
      </c>
      <c r="V37" s="25" t="s">
        <v>10</v>
      </c>
      <c r="W37" s="11">
        <f>IFERROR(VLOOKUP(V37,Curr!$B$2:$C$13,2,FALSE),0)</f>
        <v>11</v>
      </c>
      <c r="X37" s="12">
        <f t="shared" si="22"/>
        <v>0</v>
      </c>
      <c r="Y37" s="26">
        <f>Q37/0.8</f>
        <v>225</v>
      </c>
      <c r="Z37" s="12">
        <f t="shared" si="16"/>
        <v>0</v>
      </c>
      <c r="AA37" s="4" t="s">
        <v>10</v>
      </c>
      <c r="AB37" s="11">
        <f>IFERROR(VLOOKUP(AA37,Curr!$B$2:$C$13,2,FALSE),0)</f>
        <v>11</v>
      </c>
      <c r="AC37" s="12">
        <f t="shared" si="17"/>
        <v>0</v>
      </c>
      <c r="AD37" s="12">
        <f t="shared" si="18"/>
        <v>0</v>
      </c>
      <c r="AE37" s="13">
        <f t="shared" si="19"/>
        <v>0</v>
      </c>
    </row>
    <row r="38" spans="2:31" x14ac:dyDescent="0.25">
      <c r="B38" s="4"/>
      <c r="C38" s="1" t="s">
        <v>65</v>
      </c>
      <c r="D38" s="1" t="s">
        <v>109</v>
      </c>
      <c r="E38" s="3"/>
      <c r="F38" s="3"/>
      <c r="G38" s="24"/>
      <c r="H38" s="24"/>
      <c r="J38" s="1" t="s">
        <v>121</v>
      </c>
      <c r="K38" s="4"/>
      <c r="L38" s="4"/>
      <c r="M38" s="4"/>
      <c r="N38" s="4"/>
      <c r="O38" s="4"/>
      <c r="P38" s="33"/>
      <c r="Q38" s="25">
        <v>1900</v>
      </c>
      <c r="R38" s="25">
        <v>0</v>
      </c>
      <c r="S38" s="12">
        <f t="shared" si="20"/>
        <v>0</v>
      </c>
      <c r="T38" s="5">
        <v>0</v>
      </c>
      <c r="U38" s="12">
        <f t="shared" si="21"/>
        <v>0</v>
      </c>
      <c r="V38" s="25" t="s">
        <v>8</v>
      </c>
      <c r="W38" s="11">
        <f>IFERROR(VLOOKUP(V38,Curr!$B$2:$C$13,2,FALSE),0)</f>
        <v>1</v>
      </c>
      <c r="X38" s="12">
        <f t="shared" si="22"/>
        <v>0</v>
      </c>
      <c r="Y38" s="26">
        <f>Q38/11.3/0.8</f>
        <v>210.17699115044243</v>
      </c>
      <c r="Z38" s="12">
        <f t="shared" si="16"/>
        <v>0</v>
      </c>
      <c r="AA38" s="4" t="s">
        <v>10</v>
      </c>
      <c r="AB38" s="11">
        <f>IFERROR(VLOOKUP(AA38,Curr!$B$2:$C$13,2,FALSE),0)</f>
        <v>11</v>
      </c>
      <c r="AC38" s="12">
        <f t="shared" si="17"/>
        <v>0</v>
      </c>
      <c r="AD38" s="12">
        <f t="shared" si="18"/>
        <v>0</v>
      </c>
      <c r="AE38" s="13">
        <f t="shared" si="19"/>
        <v>0</v>
      </c>
    </row>
    <row r="39" spans="2:31" x14ac:dyDescent="0.25">
      <c r="B39" s="4"/>
      <c r="E39" s="3"/>
      <c r="F39" s="3"/>
      <c r="G39" s="24"/>
      <c r="H39" s="24"/>
      <c r="K39" s="4"/>
      <c r="L39" s="4"/>
      <c r="M39" s="4"/>
      <c r="N39" s="4"/>
      <c r="O39" s="4"/>
      <c r="P39" s="27"/>
      <c r="Q39" s="25"/>
      <c r="R39" s="25"/>
      <c r="S39" s="12">
        <f t="shared" si="20"/>
        <v>0</v>
      </c>
      <c r="T39" s="5">
        <v>0</v>
      </c>
      <c r="U39" s="12">
        <f t="shared" si="21"/>
        <v>0</v>
      </c>
      <c r="V39" s="25" t="s">
        <v>10</v>
      </c>
      <c r="W39" s="11">
        <f>IFERROR(VLOOKUP(V39,Curr!$B$2:$C$13,2,FALSE),0)</f>
        <v>11</v>
      </c>
      <c r="X39" s="12">
        <f t="shared" si="22"/>
        <v>0</v>
      </c>
      <c r="Y39" s="26">
        <f t="shared" si="23"/>
        <v>0</v>
      </c>
      <c r="Z39" s="12">
        <f t="shared" si="16"/>
        <v>0</v>
      </c>
      <c r="AA39" s="4" t="s">
        <v>10</v>
      </c>
      <c r="AB39" s="11">
        <f>IFERROR(VLOOKUP(AA39,Curr!$B$2:$C$13,2,FALSE),0)</f>
        <v>11</v>
      </c>
      <c r="AC39" s="12">
        <f t="shared" si="17"/>
        <v>0</v>
      </c>
      <c r="AD39" s="12">
        <f t="shared" si="18"/>
        <v>0</v>
      </c>
      <c r="AE39" s="13">
        <f t="shared" si="19"/>
        <v>0</v>
      </c>
    </row>
    <row r="40" spans="2:31" x14ac:dyDescent="0.25">
      <c r="B40" s="4"/>
      <c r="E40" s="3"/>
      <c r="F40" s="3"/>
      <c r="G40" s="24"/>
      <c r="H40" s="24"/>
      <c r="K40" s="4"/>
      <c r="L40" s="4"/>
      <c r="M40" s="4"/>
      <c r="N40" s="4"/>
      <c r="O40" s="4"/>
      <c r="P40" s="33"/>
      <c r="Q40" s="25"/>
      <c r="R40" s="25"/>
      <c r="S40" s="12">
        <f t="shared" si="20"/>
        <v>0</v>
      </c>
      <c r="T40" s="5">
        <v>0</v>
      </c>
      <c r="U40" s="12">
        <f t="shared" si="21"/>
        <v>0</v>
      </c>
      <c r="V40" s="25" t="s">
        <v>10</v>
      </c>
      <c r="W40" s="11">
        <f>IFERROR(VLOOKUP(V40,Curr!$B$2:$C$13,2,FALSE),0)</f>
        <v>11</v>
      </c>
      <c r="X40" s="12">
        <f t="shared" si="22"/>
        <v>0</v>
      </c>
      <c r="Y40" s="26">
        <f t="shared" si="23"/>
        <v>0</v>
      </c>
      <c r="Z40" s="12">
        <f t="shared" si="16"/>
        <v>0</v>
      </c>
      <c r="AA40" s="4" t="s">
        <v>10</v>
      </c>
      <c r="AB40" s="11">
        <f>IFERROR(VLOOKUP(AA40,Curr!$B$2:$C$13,2,FALSE),0)</f>
        <v>11</v>
      </c>
      <c r="AC40" s="12">
        <f t="shared" si="17"/>
        <v>0</v>
      </c>
      <c r="AD40" s="12">
        <f t="shared" si="18"/>
        <v>0</v>
      </c>
      <c r="AE40" s="13">
        <f t="shared" si="19"/>
        <v>0</v>
      </c>
    </row>
    <row r="41" spans="2:31" x14ac:dyDescent="0.25">
      <c r="B41" s="4"/>
      <c r="C41" s="1" t="s">
        <v>59</v>
      </c>
      <c r="D41" s="1" t="s">
        <v>110</v>
      </c>
      <c r="E41" s="3"/>
      <c r="F41" s="3"/>
      <c r="G41" s="24"/>
      <c r="H41" s="24"/>
      <c r="J41" s="1" t="s">
        <v>116</v>
      </c>
      <c r="K41" s="4"/>
      <c r="L41" s="4"/>
      <c r="M41" s="4"/>
      <c r="N41" s="4"/>
      <c r="O41" s="4"/>
      <c r="P41" s="33" t="s">
        <v>117</v>
      </c>
      <c r="Q41" s="25">
        <v>110</v>
      </c>
      <c r="R41" s="25">
        <v>0</v>
      </c>
      <c r="S41" s="12">
        <f t="shared" si="20"/>
        <v>0</v>
      </c>
      <c r="T41" s="5">
        <v>0.2</v>
      </c>
      <c r="U41" s="12">
        <f t="shared" si="21"/>
        <v>0</v>
      </c>
      <c r="V41" s="25" t="s">
        <v>10</v>
      </c>
      <c r="W41" s="11">
        <f>IFERROR(VLOOKUP(V41,Curr!$B$2:$C$13,2,FALSE),0)</f>
        <v>11</v>
      </c>
      <c r="X41" s="12">
        <f t="shared" si="22"/>
        <v>0</v>
      </c>
      <c r="Y41" s="26">
        <f t="shared" si="23"/>
        <v>110</v>
      </c>
      <c r="Z41" s="12">
        <f t="shared" si="16"/>
        <v>0</v>
      </c>
      <c r="AA41" s="4" t="s">
        <v>10</v>
      </c>
      <c r="AB41" s="11">
        <f>IFERROR(VLOOKUP(AA41,Curr!$B$2:$C$13,2,FALSE),0)</f>
        <v>11</v>
      </c>
      <c r="AC41" s="12">
        <f t="shared" si="17"/>
        <v>0</v>
      </c>
      <c r="AD41" s="12">
        <f t="shared" si="18"/>
        <v>0</v>
      </c>
      <c r="AE41" s="13">
        <f t="shared" si="19"/>
        <v>0</v>
      </c>
    </row>
    <row r="42" spans="2:31" x14ac:dyDescent="0.25">
      <c r="B42" s="4"/>
      <c r="C42" s="1" t="s">
        <v>64</v>
      </c>
      <c r="D42" s="1" t="s">
        <v>110</v>
      </c>
      <c r="E42" s="3"/>
      <c r="F42" s="3"/>
      <c r="G42" s="24"/>
      <c r="H42" s="24"/>
      <c r="J42" s="1" t="s">
        <v>111</v>
      </c>
      <c r="K42" s="4"/>
      <c r="L42" s="4"/>
      <c r="M42" s="4"/>
      <c r="N42" s="4"/>
      <c r="O42" s="4" t="s">
        <v>42</v>
      </c>
      <c r="P42" s="33" t="s">
        <v>112</v>
      </c>
      <c r="Q42" s="25">
        <v>126</v>
      </c>
      <c r="R42" s="25">
        <v>0</v>
      </c>
      <c r="S42" s="12">
        <f t="shared" si="20"/>
        <v>0</v>
      </c>
      <c r="T42" s="5">
        <v>0</v>
      </c>
      <c r="U42" s="12">
        <f t="shared" si="21"/>
        <v>0</v>
      </c>
      <c r="V42" s="25" t="s">
        <v>10</v>
      </c>
      <c r="W42" s="11">
        <f>IFERROR(VLOOKUP(V42,Curr!$B$2:$C$13,2,FALSE),0)</f>
        <v>11</v>
      </c>
      <c r="X42" s="12">
        <f t="shared" si="22"/>
        <v>0</v>
      </c>
      <c r="Y42" s="26">
        <f t="shared" si="23"/>
        <v>126</v>
      </c>
      <c r="Z42" s="12">
        <f t="shared" si="16"/>
        <v>0</v>
      </c>
      <c r="AA42" s="4" t="s">
        <v>10</v>
      </c>
      <c r="AB42" s="11">
        <f>IFERROR(VLOOKUP(AA42,Curr!$B$2:$C$13,2,FALSE),0)</f>
        <v>11</v>
      </c>
      <c r="AC42" s="12">
        <f t="shared" si="17"/>
        <v>0</v>
      </c>
      <c r="AD42" s="12">
        <f t="shared" si="18"/>
        <v>0</v>
      </c>
      <c r="AE42" s="13">
        <f t="shared" si="19"/>
        <v>0</v>
      </c>
    </row>
    <row r="43" spans="2:31" x14ac:dyDescent="0.25">
      <c r="B43" s="4"/>
      <c r="E43" s="3"/>
      <c r="F43" s="3"/>
      <c r="G43" s="24"/>
      <c r="H43" s="24"/>
      <c r="K43" s="4"/>
      <c r="L43" s="4"/>
      <c r="M43" s="4"/>
      <c r="N43" s="4"/>
      <c r="O43" s="4"/>
      <c r="P43" s="27"/>
      <c r="Q43" s="25"/>
      <c r="R43" s="25"/>
      <c r="S43" s="12">
        <f t="shared" si="20"/>
        <v>0</v>
      </c>
      <c r="T43" s="5">
        <v>0</v>
      </c>
      <c r="U43" s="12">
        <f t="shared" si="21"/>
        <v>0</v>
      </c>
      <c r="V43" s="25" t="s">
        <v>10</v>
      </c>
      <c r="W43" s="11">
        <f>IFERROR(VLOOKUP(V43,Curr!$B$2:$C$13,2,FALSE),0)</f>
        <v>11</v>
      </c>
      <c r="X43" s="12">
        <f t="shared" si="22"/>
        <v>0</v>
      </c>
      <c r="Y43" s="26">
        <f t="shared" si="23"/>
        <v>0</v>
      </c>
      <c r="Z43" s="12">
        <f t="shared" si="16"/>
        <v>0</v>
      </c>
      <c r="AA43" s="4" t="s">
        <v>10</v>
      </c>
      <c r="AB43" s="11">
        <f>IFERROR(VLOOKUP(AA43,Curr!$B$2:$C$13,2,FALSE),0)</f>
        <v>11</v>
      </c>
      <c r="AC43" s="12">
        <f t="shared" si="17"/>
        <v>0</v>
      </c>
      <c r="AD43" s="12">
        <f t="shared" si="18"/>
        <v>0</v>
      </c>
      <c r="AE43" s="13">
        <f t="shared" si="19"/>
        <v>0</v>
      </c>
    </row>
    <row r="44" spans="2:31" x14ac:dyDescent="0.25">
      <c r="B44" s="4"/>
      <c r="E44" s="3"/>
      <c r="F44" s="3"/>
      <c r="G44" s="24"/>
      <c r="H44" s="24"/>
      <c r="K44" s="4"/>
      <c r="L44" s="4"/>
      <c r="M44" s="4"/>
      <c r="N44" s="4"/>
      <c r="O44" s="4"/>
      <c r="P44" s="33"/>
      <c r="Q44" s="25"/>
      <c r="R44" s="25"/>
      <c r="S44" s="12">
        <f t="shared" si="20"/>
        <v>0</v>
      </c>
      <c r="T44" s="5">
        <v>0</v>
      </c>
      <c r="U44" s="12">
        <f t="shared" si="21"/>
        <v>0</v>
      </c>
      <c r="V44" s="25" t="s">
        <v>10</v>
      </c>
      <c r="W44" s="11">
        <f>IFERROR(VLOOKUP(V44,Curr!$B$2:$C$13,2,FALSE),0)</f>
        <v>11</v>
      </c>
      <c r="X44" s="12">
        <f t="shared" si="22"/>
        <v>0</v>
      </c>
      <c r="Y44" s="26">
        <f t="shared" si="23"/>
        <v>0</v>
      </c>
      <c r="Z44" s="12">
        <f t="shared" si="16"/>
        <v>0</v>
      </c>
      <c r="AA44" s="4" t="s">
        <v>10</v>
      </c>
      <c r="AB44" s="11">
        <f>IFERROR(VLOOKUP(AA44,Curr!$B$2:$C$13,2,FALSE),0)</f>
        <v>11</v>
      </c>
      <c r="AC44" s="12">
        <f t="shared" si="17"/>
        <v>0</v>
      </c>
      <c r="AD44" s="12">
        <f t="shared" si="18"/>
        <v>0</v>
      </c>
      <c r="AE44" s="13">
        <f t="shared" si="19"/>
        <v>0</v>
      </c>
    </row>
    <row r="45" spans="2:31" x14ac:dyDescent="0.25">
      <c r="B45" s="4"/>
      <c r="E45" s="3"/>
      <c r="F45" s="3"/>
      <c r="G45" s="24"/>
      <c r="H45" s="24"/>
      <c r="K45" s="4"/>
      <c r="L45" s="4"/>
      <c r="M45" s="4"/>
      <c r="N45" s="4"/>
      <c r="O45" s="4"/>
      <c r="P45" s="27"/>
      <c r="Q45" s="25"/>
      <c r="R45" s="25"/>
      <c r="S45" s="12">
        <f t="shared" si="20"/>
        <v>0</v>
      </c>
      <c r="T45" s="5">
        <v>0</v>
      </c>
      <c r="U45" s="12">
        <f t="shared" si="21"/>
        <v>0</v>
      </c>
      <c r="V45" s="25" t="s">
        <v>10</v>
      </c>
      <c r="W45" s="11">
        <f>IFERROR(VLOOKUP(V45,Curr!$B$2:$C$13,2,FALSE),0)</f>
        <v>11</v>
      </c>
      <c r="X45" s="12">
        <f t="shared" si="22"/>
        <v>0</v>
      </c>
      <c r="Y45" s="26">
        <f t="shared" si="23"/>
        <v>0</v>
      </c>
      <c r="Z45" s="12">
        <f t="shared" si="16"/>
        <v>0</v>
      </c>
      <c r="AA45" s="4" t="s">
        <v>10</v>
      </c>
      <c r="AB45" s="11">
        <f>IFERROR(VLOOKUP(AA45,Curr!$B$2:$C$13,2,FALSE),0)</f>
        <v>11</v>
      </c>
      <c r="AC45" s="12">
        <f t="shared" si="17"/>
        <v>0</v>
      </c>
      <c r="AD45" s="12">
        <f t="shared" si="18"/>
        <v>0</v>
      </c>
      <c r="AE45" s="13">
        <f t="shared" si="19"/>
        <v>0</v>
      </c>
    </row>
    <row r="46" spans="2:31" x14ac:dyDescent="0.25">
      <c r="B46" s="4"/>
      <c r="E46" s="3"/>
      <c r="F46" s="3"/>
      <c r="G46" s="24"/>
      <c r="H46" s="24"/>
      <c r="K46" s="4"/>
      <c r="L46" s="4"/>
      <c r="M46" s="4"/>
      <c r="N46" s="4"/>
      <c r="O46" s="4"/>
      <c r="P46" s="27"/>
      <c r="Q46" s="25"/>
      <c r="R46" s="25"/>
      <c r="S46" s="12">
        <f t="shared" si="20"/>
        <v>0</v>
      </c>
      <c r="T46" s="5">
        <v>0</v>
      </c>
      <c r="U46" s="12">
        <f t="shared" si="21"/>
        <v>0</v>
      </c>
      <c r="V46" s="25" t="s">
        <v>10</v>
      </c>
      <c r="W46" s="11">
        <f>IFERROR(VLOOKUP(V46,Curr!$B$2:$C$13,2,FALSE),0)</f>
        <v>11</v>
      </c>
      <c r="X46" s="12">
        <f t="shared" si="22"/>
        <v>0</v>
      </c>
      <c r="Y46" s="26">
        <f t="shared" si="23"/>
        <v>0</v>
      </c>
      <c r="Z46" s="12">
        <f t="shared" si="16"/>
        <v>0</v>
      </c>
      <c r="AA46" s="4" t="s">
        <v>10</v>
      </c>
      <c r="AB46" s="11">
        <f>IFERROR(VLOOKUP(AA46,Curr!$B$2:$C$13,2,FALSE),0)</f>
        <v>11</v>
      </c>
      <c r="AC46" s="12">
        <f t="shared" si="17"/>
        <v>0</v>
      </c>
      <c r="AD46" s="12">
        <f t="shared" si="18"/>
        <v>0</v>
      </c>
      <c r="AE46" s="13">
        <f t="shared" si="19"/>
        <v>0</v>
      </c>
    </row>
    <row r="47" spans="2:31" x14ac:dyDescent="0.25">
      <c r="B47" s="4"/>
      <c r="E47" s="3"/>
      <c r="F47" s="3"/>
      <c r="G47" s="24"/>
      <c r="H47" s="24"/>
      <c r="K47" s="4"/>
      <c r="L47" s="4"/>
      <c r="M47" s="4"/>
      <c r="N47" s="4"/>
      <c r="O47" s="4"/>
      <c r="P47" s="27"/>
      <c r="Q47" s="25"/>
      <c r="R47" s="25"/>
      <c r="S47" s="12">
        <f t="shared" si="20"/>
        <v>0</v>
      </c>
      <c r="T47" s="5">
        <v>0</v>
      </c>
      <c r="U47" s="12">
        <f t="shared" si="21"/>
        <v>0</v>
      </c>
      <c r="V47" s="25" t="s">
        <v>10</v>
      </c>
      <c r="W47" s="11">
        <f>IFERROR(VLOOKUP(V47,Curr!$B$2:$C$13,2,FALSE),0)</f>
        <v>11</v>
      </c>
      <c r="X47" s="12">
        <f t="shared" si="22"/>
        <v>0</v>
      </c>
      <c r="Y47" s="26">
        <f t="shared" si="23"/>
        <v>0</v>
      </c>
      <c r="Z47" s="12">
        <f t="shared" si="16"/>
        <v>0</v>
      </c>
      <c r="AA47" s="4" t="s">
        <v>10</v>
      </c>
      <c r="AB47" s="11">
        <f>IFERROR(VLOOKUP(AA47,Curr!$B$2:$C$13,2,FALSE),0)</f>
        <v>11</v>
      </c>
      <c r="AC47" s="12">
        <f t="shared" si="17"/>
        <v>0</v>
      </c>
      <c r="AD47" s="12">
        <f t="shared" si="18"/>
        <v>0</v>
      </c>
      <c r="AE47" s="13">
        <f t="shared" si="19"/>
        <v>0</v>
      </c>
    </row>
    <row r="48" spans="2:31" x14ac:dyDescent="0.25">
      <c r="B48" s="4"/>
      <c r="E48" s="3"/>
      <c r="F48" s="3"/>
      <c r="G48" s="24"/>
      <c r="H48" s="24"/>
      <c r="K48" s="4"/>
      <c r="L48" s="4"/>
      <c r="M48" s="4"/>
      <c r="N48" s="4"/>
      <c r="O48" s="4"/>
      <c r="P48" s="33"/>
      <c r="Q48" s="25"/>
      <c r="R48" s="25"/>
      <c r="S48" s="12">
        <f t="shared" si="20"/>
        <v>0</v>
      </c>
      <c r="T48" s="5">
        <v>0</v>
      </c>
      <c r="U48" s="12">
        <f t="shared" si="21"/>
        <v>0</v>
      </c>
      <c r="V48" s="25" t="s">
        <v>10</v>
      </c>
      <c r="W48" s="11">
        <f>IFERROR(VLOOKUP(V48,Curr!$B$2:$C$13,2,FALSE),0)</f>
        <v>11</v>
      </c>
      <c r="X48" s="12">
        <f t="shared" si="22"/>
        <v>0</v>
      </c>
      <c r="Y48" s="26">
        <f t="shared" si="23"/>
        <v>0</v>
      </c>
      <c r="Z48" s="12">
        <f t="shared" si="16"/>
        <v>0</v>
      </c>
      <c r="AA48" s="4" t="s">
        <v>10</v>
      </c>
      <c r="AB48" s="11">
        <f>IFERROR(VLOOKUP(AA48,Curr!$B$2:$C$13,2,FALSE),0)</f>
        <v>11</v>
      </c>
      <c r="AC48" s="12">
        <f t="shared" si="17"/>
        <v>0</v>
      </c>
      <c r="AD48" s="12">
        <f t="shared" si="18"/>
        <v>0</v>
      </c>
      <c r="AE48" s="13">
        <f t="shared" si="19"/>
        <v>0</v>
      </c>
    </row>
    <row r="49" spans="2:36" x14ac:dyDescent="0.25">
      <c r="B49" s="4"/>
      <c r="E49" s="3"/>
      <c r="F49" s="3"/>
      <c r="G49" s="24"/>
      <c r="H49" s="24"/>
      <c r="K49" s="4"/>
      <c r="L49" s="4"/>
      <c r="M49" s="4"/>
      <c r="N49" s="4"/>
      <c r="O49" s="4"/>
      <c r="P49" s="27"/>
      <c r="Q49" s="25"/>
      <c r="R49" s="25"/>
      <c r="S49" s="12">
        <f t="shared" si="20"/>
        <v>0</v>
      </c>
      <c r="T49" s="5">
        <v>0</v>
      </c>
      <c r="U49" s="12">
        <f t="shared" si="21"/>
        <v>0</v>
      </c>
      <c r="V49" s="25" t="s">
        <v>10</v>
      </c>
      <c r="W49" s="11">
        <f>IFERROR(VLOOKUP(V49,Curr!$B$2:$C$13,2,FALSE),0)</f>
        <v>11</v>
      </c>
      <c r="X49" s="12">
        <f t="shared" si="22"/>
        <v>0</v>
      </c>
      <c r="Y49" s="26">
        <f t="shared" si="23"/>
        <v>0</v>
      </c>
      <c r="Z49" s="12">
        <f t="shared" si="16"/>
        <v>0</v>
      </c>
      <c r="AA49" s="4" t="s">
        <v>10</v>
      </c>
      <c r="AB49" s="11">
        <f>IFERROR(VLOOKUP(AA49,Curr!$B$2:$C$13,2,FALSE),0)</f>
        <v>11</v>
      </c>
      <c r="AC49" s="12">
        <f t="shared" si="17"/>
        <v>0</v>
      </c>
      <c r="AD49" s="12">
        <f t="shared" si="18"/>
        <v>0</v>
      </c>
      <c r="AE49" s="13">
        <f t="shared" si="19"/>
        <v>0</v>
      </c>
    </row>
    <row r="50" spans="2:36" x14ac:dyDescent="0.25">
      <c r="B50" s="4"/>
      <c r="E50" s="3"/>
      <c r="F50" s="3"/>
      <c r="G50" s="3"/>
      <c r="H50" s="3"/>
      <c r="L50" s="4"/>
      <c r="M50" s="4"/>
      <c r="N50" s="4"/>
      <c r="O50" s="4"/>
      <c r="P50" s="22"/>
      <c r="Q50" s="4"/>
      <c r="R50" s="4"/>
      <c r="S50" s="4"/>
      <c r="T50" s="4"/>
      <c r="U50" s="4"/>
      <c r="V50" s="4"/>
      <c r="W50" s="4"/>
      <c r="X50" s="4"/>
      <c r="Y50" s="4"/>
      <c r="Z50" s="4"/>
      <c r="AA50" s="4"/>
      <c r="AB50" s="4"/>
      <c r="AC50" s="4"/>
      <c r="AD50" s="4"/>
      <c r="AE50" s="4"/>
      <c r="AF50" s="4"/>
    </row>
    <row r="51" spans="2:36" x14ac:dyDescent="0.25">
      <c r="B51" s="14" t="s">
        <v>18</v>
      </c>
      <c r="C51" s="14"/>
      <c r="D51" s="28" t="s">
        <v>42</v>
      </c>
      <c r="E51" s="30" t="s">
        <v>42</v>
      </c>
      <c r="F51" s="30" t="s">
        <v>42</v>
      </c>
      <c r="G51" s="30" t="s">
        <v>42</v>
      </c>
      <c r="H51" s="30" t="s">
        <v>42</v>
      </c>
      <c r="I51" s="28" t="s">
        <v>42</v>
      </c>
      <c r="J51" s="28" t="s">
        <v>42</v>
      </c>
      <c r="K51" s="28" t="s">
        <v>42</v>
      </c>
      <c r="L51" s="28" t="s">
        <v>42</v>
      </c>
      <c r="M51" s="28" t="s">
        <v>42</v>
      </c>
      <c r="N51" s="28" t="s">
        <v>42</v>
      </c>
      <c r="O51" s="28" t="s">
        <v>42</v>
      </c>
      <c r="P51" s="28" t="s">
        <v>42</v>
      </c>
      <c r="Q51" s="31" t="s">
        <v>42</v>
      </c>
      <c r="R51" s="28" t="s">
        <v>42</v>
      </c>
      <c r="S51" s="32" t="s">
        <v>42</v>
      </c>
      <c r="T51" s="28" t="s">
        <v>42</v>
      </c>
      <c r="U51" s="32" t="s">
        <v>42</v>
      </c>
      <c r="V51" s="28" t="s">
        <v>42</v>
      </c>
      <c r="W51" s="28" t="s">
        <v>42</v>
      </c>
      <c r="X51" s="32" t="s">
        <v>42</v>
      </c>
      <c r="Y51" s="32" t="s">
        <v>42</v>
      </c>
      <c r="Z51" s="15">
        <f>SUM(Z7:Z49)</f>
        <v>2661.5973451327432</v>
      </c>
      <c r="AA51" s="14"/>
      <c r="AB51" s="14"/>
      <c r="AC51" s="15">
        <f>SUM(AC7:AC49)</f>
        <v>29277.570796460175</v>
      </c>
      <c r="AD51" s="15">
        <f>SUM(AD7:AD49)</f>
        <v>5722.7707964601768</v>
      </c>
      <c r="AE51" s="21">
        <f t="shared" ref="AE51" si="28">IFERROR(AD51/AC51,0)</f>
        <v>0.19546603904556495</v>
      </c>
      <c r="AF51" s="15">
        <f>SUM(AF8:AF50)</f>
        <v>0</v>
      </c>
      <c r="AG51" s="15">
        <f>SUM(AG8:AG50)</f>
        <v>0</v>
      </c>
      <c r="AH51" s="15">
        <f>SUM(AH8:AH50)</f>
        <v>0</v>
      </c>
      <c r="AI51" s="15">
        <f>SUM(AI8:AI50)</f>
        <v>0</v>
      </c>
      <c r="AJ51" s="15">
        <f>SUM(AJ8:AJ50)</f>
        <v>0</v>
      </c>
    </row>
    <row r="52" spans="2:36" x14ac:dyDescent="0.25">
      <c r="B52" s="4"/>
      <c r="E52" s="3"/>
      <c r="F52" s="3"/>
      <c r="G52" s="3"/>
      <c r="H52" s="3"/>
      <c r="L52" s="4"/>
      <c r="M52" s="4"/>
      <c r="N52" s="4"/>
      <c r="O52" s="4"/>
      <c r="Q52" s="4"/>
      <c r="R52" s="4"/>
      <c r="S52" s="4"/>
      <c r="T52" s="4"/>
      <c r="U52" s="4"/>
      <c r="V52" s="4"/>
      <c r="W52" s="4"/>
      <c r="X52" s="4"/>
      <c r="Y52" s="9"/>
      <c r="Z52" s="9"/>
      <c r="AA52" s="9"/>
      <c r="AB52" s="9"/>
      <c r="AC52" s="9"/>
      <c r="AD52" s="9"/>
      <c r="AE52" s="9"/>
    </row>
    <row r="53" spans="2:36" x14ac:dyDescent="0.25">
      <c r="B53" s="4"/>
      <c r="E53" s="3"/>
      <c r="F53" s="3"/>
      <c r="G53" s="3"/>
      <c r="H53" s="3"/>
      <c r="L53" s="4"/>
      <c r="M53" s="4"/>
      <c r="N53" s="4"/>
      <c r="O53" s="4"/>
      <c r="Q53" s="9"/>
      <c r="R53" s="9"/>
      <c r="S53" s="9"/>
      <c r="T53" s="9"/>
      <c r="U53" s="9"/>
      <c r="V53" s="9"/>
      <c r="W53" s="9"/>
      <c r="X53" s="23"/>
      <c r="Y53" s="34" t="s">
        <v>43</v>
      </c>
      <c r="Z53" s="34">
        <v>2660</v>
      </c>
      <c r="AA53" s="9"/>
      <c r="AB53" s="9"/>
      <c r="AC53" s="9"/>
      <c r="AD53" s="9"/>
      <c r="AE53" s="9"/>
    </row>
    <row r="54" spans="2:36" x14ac:dyDescent="0.25">
      <c r="B54" s="4"/>
      <c r="E54" s="3"/>
      <c r="F54" s="3"/>
      <c r="G54" s="3"/>
      <c r="H54" s="3"/>
      <c r="L54" s="4"/>
      <c r="M54" s="4"/>
      <c r="N54" s="4"/>
      <c r="O54" s="4"/>
      <c r="Q54" s="9"/>
      <c r="R54" s="9"/>
      <c r="S54" s="9"/>
      <c r="T54" s="9"/>
      <c r="U54" s="9"/>
      <c r="V54" s="9"/>
      <c r="W54" s="9"/>
      <c r="X54" s="9"/>
      <c r="Y54" s="34" t="s">
        <v>44</v>
      </c>
      <c r="Z54" s="34">
        <f>Z53/2</f>
        <v>1330</v>
      </c>
      <c r="AA54" s="9"/>
      <c r="AB54" s="9"/>
      <c r="AC54" s="9"/>
      <c r="AD54" s="9"/>
      <c r="AE54" s="9"/>
      <c r="AF54" s="18"/>
    </row>
    <row r="55" spans="2:36" x14ac:dyDescent="0.25">
      <c r="B55" s="4"/>
      <c r="E55" s="3"/>
      <c r="F55" s="3"/>
      <c r="G55" s="3"/>
      <c r="H55" s="3"/>
      <c r="I55" s="19"/>
      <c r="L55" s="4"/>
      <c r="M55" s="4"/>
      <c r="N55" s="4"/>
      <c r="O55" s="20"/>
      <c r="Q55" s="20"/>
      <c r="R55" s="20"/>
      <c r="S55" s="20"/>
      <c r="T55" s="20"/>
      <c r="U55" s="20"/>
      <c r="V55" s="20"/>
      <c r="W55" s="20"/>
      <c r="X55" s="20"/>
      <c r="Y55" s="9"/>
      <c r="Z55" s="9"/>
      <c r="AA55" s="9"/>
      <c r="AB55" s="9"/>
      <c r="AC55" s="9"/>
      <c r="AD55" s="9"/>
      <c r="AE55" s="9"/>
      <c r="AF55" s="18"/>
    </row>
    <row r="56" spans="2:36" x14ac:dyDescent="0.25">
      <c r="B56" s="4"/>
      <c r="E56" s="3"/>
      <c r="F56" s="3"/>
      <c r="G56" s="3"/>
      <c r="H56" s="3"/>
      <c r="L56" s="4"/>
      <c r="M56" s="4"/>
      <c r="N56" s="4"/>
      <c r="O56" s="20"/>
      <c r="Q56" s="20"/>
      <c r="R56" s="20"/>
      <c r="S56" s="20"/>
      <c r="T56" s="20"/>
      <c r="U56" s="20"/>
      <c r="V56" s="20"/>
      <c r="W56" s="20"/>
      <c r="X56" s="20"/>
      <c r="Y56" s="9"/>
      <c r="Z56" s="9"/>
      <c r="AA56" s="9"/>
      <c r="AB56" s="9"/>
      <c r="AC56" s="9"/>
      <c r="AD56" s="9"/>
      <c r="AE56" s="9"/>
      <c r="AF56" s="18"/>
    </row>
    <row r="57" spans="2:36" x14ac:dyDescent="0.25">
      <c r="B57" s="4"/>
      <c r="E57" s="3"/>
      <c r="F57" s="3"/>
      <c r="G57" s="3"/>
      <c r="H57" s="3"/>
      <c r="L57" s="4"/>
      <c r="M57" s="4"/>
      <c r="N57" s="4"/>
      <c r="O57" s="4"/>
      <c r="Q57" s="9"/>
      <c r="R57" s="9"/>
      <c r="S57" s="9"/>
      <c r="T57" s="9"/>
      <c r="U57" s="9"/>
      <c r="V57" s="9"/>
      <c r="W57" s="9"/>
      <c r="X57" s="9"/>
      <c r="Y57" s="37" t="s">
        <v>302</v>
      </c>
      <c r="Z57" s="9">
        <f>Z53</f>
        <v>2660</v>
      </c>
      <c r="AA57" s="9"/>
      <c r="AB57" s="9"/>
      <c r="AC57" s="9"/>
      <c r="AD57" s="9"/>
      <c r="AE57" s="9"/>
      <c r="AF57" s="18"/>
    </row>
    <row r="58" spans="2:36" x14ac:dyDescent="0.25">
      <c r="F58" s="1"/>
      <c r="G58" s="1"/>
      <c r="H58" s="1"/>
      <c r="J58" s="1" t="s">
        <v>32</v>
      </c>
      <c r="Q58" s="9"/>
      <c r="R58" s="4"/>
      <c r="S58" s="9"/>
      <c r="T58" s="5"/>
      <c r="U58" s="9"/>
      <c r="V58" s="4"/>
      <c r="W58" s="4"/>
      <c r="X58" s="9"/>
      <c r="Y58" s="37" t="s">
        <v>299</v>
      </c>
      <c r="Z58" s="9">
        <f>Z57*1.12</f>
        <v>2979.2000000000003</v>
      </c>
      <c r="AA58" s="9"/>
      <c r="AB58" s="9"/>
      <c r="AC58" s="9"/>
      <c r="AD58" s="9"/>
      <c r="AE58" s="9"/>
    </row>
    <row r="59" spans="2:36" x14ac:dyDescent="0.25">
      <c r="R59" s="4"/>
      <c r="S59" s="17"/>
      <c r="T59" s="17"/>
      <c r="U59" s="9"/>
      <c r="V59" s="4"/>
      <c r="W59" s="4"/>
      <c r="X59" s="9"/>
      <c r="Y59" s="37" t="s">
        <v>303</v>
      </c>
      <c r="Z59" s="9">
        <f>Z57*1.2</f>
        <v>3192</v>
      </c>
      <c r="AA59" s="9"/>
      <c r="AB59" s="9"/>
      <c r="AC59" s="9"/>
      <c r="AD59" s="9"/>
      <c r="AE59" s="9"/>
    </row>
    <row r="60" spans="2:36" x14ac:dyDescent="0.25">
      <c r="Q60" s="9"/>
      <c r="R60" s="4"/>
      <c r="S60" s="16"/>
      <c r="T60" s="16"/>
      <c r="U60" s="9"/>
      <c r="V60" s="4"/>
      <c r="W60" s="4"/>
      <c r="X60" s="9"/>
      <c r="Y60" s="37" t="s">
        <v>300</v>
      </c>
      <c r="Z60" s="9">
        <f>Z57*0.8</f>
        <v>2128</v>
      </c>
      <c r="AA60" s="9"/>
      <c r="AB60" s="9"/>
      <c r="AC60" s="9"/>
      <c r="AD60" s="9"/>
      <c r="AE60" s="9"/>
    </row>
    <row r="61" spans="2:36" x14ac:dyDescent="0.25">
      <c r="R61" s="4"/>
      <c r="S61" s="16"/>
      <c r="T61" s="16"/>
      <c r="Y61" s="9"/>
      <c r="Z61" s="9"/>
      <c r="AA61" s="9"/>
      <c r="AB61" s="9"/>
      <c r="AC61" s="9"/>
      <c r="AD61" s="9"/>
      <c r="AE61" s="9"/>
    </row>
    <row r="62" spans="2:36" x14ac:dyDescent="0.25">
      <c r="T62" s="5"/>
      <c r="Y62" s="9"/>
      <c r="Z62" s="9"/>
      <c r="AA62" s="9"/>
      <c r="AB62" s="9"/>
      <c r="AC62" s="9"/>
      <c r="AD62" s="9"/>
      <c r="AE62" s="9"/>
    </row>
    <row r="63" spans="2:36" x14ac:dyDescent="0.25">
      <c r="T63" s="5"/>
      <c r="Y63" s="9"/>
      <c r="Z63" s="9"/>
      <c r="AA63" s="9"/>
      <c r="AB63" s="9"/>
      <c r="AC63" s="9"/>
      <c r="AD63" s="9"/>
      <c r="AE63" s="9"/>
    </row>
    <row r="64" spans="2:36" x14ac:dyDescent="0.25">
      <c r="T64" s="5"/>
      <c r="Y64" s="9"/>
      <c r="Z64" s="9"/>
      <c r="AA64" s="9"/>
      <c r="AB64" s="9"/>
      <c r="AC64" s="9"/>
      <c r="AD64" s="9"/>
      <c r="AE64" s="9"/>
    </row>
    <row r="65" spans="20:31" x14ac:dyDescent="0.25">
      <c r="T65" s="5"/>
      <c r="Y65" s="9"/>
      <c r="Z65" s="9"/>
      <c r="AA65" s="9"/>
      <c r="AB65" s="9"/>
      <c r="AC65" s="9"/>
      <c r="AD65" s="9"/>
      <c r="AE65" s="9"/>
    </row>
    <row r="66" spans="20:31" x14ac:dyDescent="0.25">
      <c r="T66" s="5"/>
      <c r="Y66" s="9"/>
      <c r="Z66" s="9"/>
      <c r="AA66" s="9"/>
      <c r="AB66" s="9"/>
      <c r="AC66" s="9"/>
      <c r="AD66" s="9"/>
      <c r="AE66" s="9"/>
    </row>
    <row r="67" spans="20:31" x14ac:dyDescent="0.25">
      <c r="T67" s="5"/>
      <c r="Y67" s="9"/>
      <c r="Z67" s="9"/>
      <c r="AA67" s="9"/>
      <c r="AB67" s="9"/>
      <c r="AC67" s="9"/>
      <c r="AD67" s="9"/>
      <c r="AE67" s="9"/>
    </row>
    <row r="68" spans="20:31" x14ac:dyDescent="0.25">
      <c r="T68" s="5"/>
      <c r="Y68" s="9"/>
      <c r="Z68" s="9"/>
      <c r="AA68" s="9"/>
      <c r="AB68" s="9"/>
      <c r="AC68" s="9"/>
      <c r="AD68" s="9"/>
      <c r="AE68" s="9"/>
    </row>
    <row r="69" spans="20:31" x14ac:dyDescent="0.25">
      <c r="T69" s="5"/>
      <c r="Y69" s="9"/>
      <c r="Z69" s="9"/>
      <c r="AA69" s="9"/>
      <c r="AB69" s="9"/>
      <c r="AC69" s="9"/>
      <c r="AD69" s="9"/>
      <c r="AE69" s="9"/>
    </row>
    <row r="70" spans="20:31" x14ac:dyDescent="0.25">
      <c r="T70" s="5"/>
    </row>
    <row r="71" spans="20:31" x14ac:dyDescent="0.25">
      <c r="T71" s="5"/>
    </row>
    <row r="72" spans="20:31" x14ac:dyDescent="0.25">
      <c r="T72" s="5"/>
    </row>
    <row r="73" spans="20:31" x14ac:dyDescent="0.25">
      <c r="T73" s="5"/>
    </row>
    <row r="74" spans="20:31" x14ac:dyDescent="0.25">
      <c r="T74" s="5"/>
    </row>
  </sheetData>
  <autoFilter ref="B6:AE51" xr:uid="{65FA6D9B-E0AF-46CD-BA0D-86BB75FE6AB0}"/>
  <hyperlinks>
    <hyperlink ref="P21" r:id="rId1" xr:uid="{2F0FFE88-21EF-4527-8765-601B12E1C8AC}"/>
    <hyperlink ref="P25" r:id="rId2" xr:uid="{2194C62C-76E9-425F-8903-F5C88E2321B0}"/>
    <hyperlink ref="P30" r:id="rId3" xr:uid="{94455865-DB33-45F9-876A-CF8125C21932}"/>
    <hyperlink ref="P42" r:id="rId4" xr:uid="{CB53526F-C6E2-4258-8DD3-CAD2ECD6FC30}"/>
    <hyperlink ref="P41" r:id="rId5" xr:uid="{023E5B32-F595-4F32-8182-79ECBA8FDDC4}"/>
  </hyperlinks>
  <pageMargins left="0.7" right="0.7" top="0.75" bottom="0.75" header="0.3" footer="0.3"/>
  <pageSetup paperSize="9" orientation="portrait"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D7BE8-CBDF-4969-BDE9-F4B69466BCEF}">
  <sheetPr>
    <tabColor rgb="FFFFFF00"/>
  </sheetPr>
  <dimension ref="B1:AK66"/>
  <sheetViews>
    <sheetView zoomScale="80" zoomScaleNormal="80" workbookViewId="0">
      <selection activeCell="W7" sqref="W7"/>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1" spans="2:36" x14ac:dyDescent="0.25">
      <c r="B1" s="2" t="s">
        <v>68</v>
      </c>
    </row>
    <row r="2" spans="2:36" x14ac:dyDescent="0.25">
      <c r="B2" s="2" t="s">
        <v>73</v>
      </c>
    </row>
    <row r="3" spans="2:36" x14ac:dyDescent="0.25">
      <c r="B3" s="2" t="s">
        <v>50</v>
      </c>
    </row>
    <row r="4" spans="2:36" x14ac:dyDescent="0.25">
      <c r="B4" s="2" t="s">
        <v>51</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52</v>
      </c>
      <c r="D7" s="1" t="s">
        <v>53</v>
      </c>
      <c r="E7" s="3"/>
      <c r="F7" s="3"/>
      <c r="G7" s="3"/>
      <c r="H7" s="3"/>
      <c r="J7" s="1" t="s">
        <v>93</v>
      </c>
      <c r="K7" s="4"/>
      <c r="L7" s="4"/>
      <c r="M7" s="4"/>
      <c r="N7" s="4"/>
      <c r="O7" s="4"/>
      <c r="P7" s="27"/>
      <c r="Q7" s="25">
        <v>0</v>
      </c>
      <c r="R7" s="25">
        <v>0</v>
      </c>
      <c r="S7" s="12">
        <f t="shared" ref="S7:S10" si="0">+Q7*R7</f>
        <v>0</v>
      </c>
      <c r="T7" s="5">
        <v>0</v>
      </c>
      <c r="U7" s="12">
        <f t="shared" ref="U7:U10" si="1">S7*(1-T7)</f>
        <v>0</v>
      </c>
      <c r="V7" s="25" t="s">
        <v>10</v>
      </c>
      <c r="W7" s="11">
        <f>IFERROR(VLOOKUP(V7,Curr!$B$2:$C$13,2,FALSE),0)</f>
        <v>11</v>
      </c>
      <c r="X7" s="12">
        <f t="shared" ref="X7:X10" si="2">U7*W7</f>
        <v>0</v>
      </c>
      <c r="Y7" s="26">
        <f t="shared" ref="Y7:Y10" si="3">Q7</f>
        <v>0</v>
      </c>
      <c r="Z7" s="12">
        <f t="shared" ref="Z7:Z41" si="4">+Y7*R7</f>
        <v>0</v>
      </c>
      <c r="AA7" s="4" t="s">
        <v>10</v>
      </c>
      <c r="AB7" s="11">
        <f>IFERROR(VLOOKUP(AA7,Curr!$B$2:$C$13,2,FALSE),0)</f>
        <v>11</v>
      </c>
      <c r="AC7" s="12">
        <f t="shared" ref="AC7:AC41" si="5">+Y7*AB7*R7</f>
        <v>0</v>
      </c>
      <c r="AD7" s="12">
        <f t="shared" ref="AD7:AD41" si="6">+AC7-X7</f>
        <v>0</v>
      </c>
      <c r="AE7" s="13">
        <f t="shared" ref="AE7:AE41" si="7">IFERROR(AD7/AC7,0)</f>
        <v>0</v>
      </c>
    </row>
    <row r="8" spans="2:36" x14ac:dyDescent="0.25">
      <c r="B8" s="4"/>
      <c r="C8" s="1" t="s">
        <v>52</v>
      </c>
      <c r="D8" s="1" t="s">
        <v>54</v>
      </c>
      <c r="E8" s="3"/>
      <c r="F8" s="3"/>
      <c r="G8" s="24"/>
      <c r="H8" s="24"/>
      <c r="J8" s="1" t="s">
        <v>94</v>
      </c>
      <c r="K8" s="4"/>
      <c r="L8" s="4"/>
      <c r="M8" s="4"/>
      <c r="N8" s="4"/>
      <c r="O8" s="4"/>
      <c r="P8" s="33"/>
      <c r="Q8" s="25">
        <v>0</v>
      </c>
      <c r="R8" s="25">
        <v>0</v>
      </c>
      <c r="S8" s="12">
        <f t="shared" si="0"/>
        <v>0</v>
      </c>
      <c r="T8" s="5">
        <v>0</v>
      </c>
      <c r="U8" s="12">
        <f t="shared" si="1"/>
        <v>0</v>
      </c>
      <c r="V8" s="25" t="s">
        <v>10</v>
      </c>
      <c r="W8" s="11">
        <f>IFERROR(VLOOKUP(V8,Curr!$B$2:$C$13,2,FALSE),0)</f>
        <v>11</v>
      </c>
      <c r="X8" s="12">
        <f t="shared" si="2"/>
        <v>0</v>
      </c>
      <c r="Y8" s="26">
        <f t="shared" si="3"/>
        <v>0</v>
      </c>
      <c r="Z8" s="12">
        <f t="shared" si="4"/>
        <v>0</v>
      </c>
      <c r="AA8" s="4" t="s">
        <v>10</v>
      </c>
      <c r="AB8" s="11">
        <f>IFERROR(VLOOKUP(AA8,Curr!$B$2:$C$13,2,FALSE),0)</f>
        <v>11</v>
      </c>
      <c r="AC8" s="12">
        <f t="shared" si="5"/>
        <v>0</v>
      </c>
      <c r="AD8" s="12">
        <f t="shared" si="6"/>
        <v>0</v>
      </c>
      <c r="AE8" s="13">
        <f t="shared" si="7"/>
        <v>0</v>
      </c>
    </row>
    <row r="9" spans="2:36" x14ac:dyDescent="0.25">
      <c r="B9" s="4"/>
      <c r="C9" s="1" t="s">
        <v>52</v>
      </c>
      <c r="D9" s="1" t="s">
        <v>55</v>
      </c>
      <c r="E9" s="3"/>
      <c r="F9" s="3"/>
      <c r="G9" s="24"/>
      <c r="H9" s="24"/>
      <c r="J9" s="1" t="s">
        <v>118</v>
      </c>
      <c r="K9" s="4"/>
      <c r="L9" s="4"/>
      <c r="M9" s="4"/>
      <c r="N9" s="4"/>
      <c r="O9" s="4"/>
      <c r="P9" s="27"/>
      <c r="Q9" s="25">
        <v>220</v>
      </c>
      <c r="R9" s="25">
        <v>1</v>
      </c>
      <c r="S9" s="12">
        <f t="shared" si="0"/>
        <v>220</v>
      </c>
      <c r="T9" s="5">
        <v>0</v>
      </c>
      <c r="U9" s="12">
        <f t="shared" si="1"/>
        <v>220</v>
      </c>
      <c r="V9" s="25" t="s">
        <v>10</v>
      </c>
      <c r="W9" s="11">
        <f>IFERROR(VLOOKUP(V9,Curr!$B$2:$C$13,2,FALSE),0)</f>
        <v>11</v>
      </c>
      <c r="X9" s="12">
        <f t="shared" si="2"/>
        <v>2420</v>
      </c>
      <c r="Y9" s="26">
        <f>Q9/0.8</f>
        <v>275</v>
      </c>
      <c r="Z9" s="12">
        <f t="shared" si="4"/>
        <v>275</v>
      </c>
      <c r="AA9" s="4" t="s">
        <v>10</v>
      </c>
      <c r="AB9" s="11">
        <f>IFERROR(VLOOKUP(AA9,Curr!$B$2:$C$13,2,FALSE),0)</f>
        <v>11</v>
      </c>
      <c r="AC9" s="12">
        <f t="shared" si="5"/>
        <v>3025</v>
      </c>
      <c r="AD9" s="12">
        <f t="shared" si="6"/>
        <v>605</v>
      </c>
      <c r="AE9" s="13">
        <f t="shared" si="7"/>
        <v>0.2</v>
      </c>
    </row>
    <row r="10" spans="2:36" x14ac:dyDescent="0.25">
      <c r="B10" s="4"/>
      <c r="C10" s="1" t="s">
        <v>52</v>
      </c>
      <c r="D10" s="1" t="s">
        <v>56</v>
      </c>
      <c r="E10" s="3"/>
      <c r="F10" s="3"/>
      <c r="G10" s="24"/>
      <c r="H10" s="24"/>
      <c r="J10" s="1" t="s">
        <v>80</v>
      </c>
      <c r="K10" s="4"/>
      <c r="L10" s="4"/>
      <c r="M10" s="4"/>
      <c r="N10" s="4"/>
      <c r="O10" s="4"/>
      <c r="P10" s="27"/>
      <c r="Q10" s="25">
        <v>0</v>
      </c>
      <c r="R10" s="25">
        <v>0</v>
      </c>
      <c r="S10" s="12">
        <f t="shared" si="0"/>
        <v>0</v>
      </c>
      <c r="T10" s="5">
        <v>0</v>
      </c>
      <c r="U10" s="12">
        <f t="shared" si="1"/>
        <v>0</v>
      </c>
      <c r="V10" s="25" t="s">
        <v>10</v>
      </c>
      <c r="W10" s="11">
        <f>IFERROR(VLOOKUP(V10,Curr!$B$2:$C$13,2,FALSE),0)</f>
        <v>11</v>
      </c>
      <c r="X10" s="12">
        <f t="shared" si="2"/>
        <v>0</v>
      </c>
      <c r="Y10" s="26">
        <f t="shared" si="3"/>
        <v>0</v>
      </c>
      <c r="Z10" s="12">
        <f t="shared" si="4"/>
        <v>0</v>
      </c>
      <c r="AA10" s="4" t="s">
        <v>10</v>
      </c>
      <c r="AB10" s="11">
        <f>IFERROR(VLOOKUP(AA10,Curr!$B$2:$C$13,2,FALSE),0)</f>
        <v>11</v>
      </c>
      <c r="AC10" s="12">
        <f t="shared" si="5"/>
        <v>0</v>
      </c>
      <c r="AD10" s="12">
        <f t="shared" si="6"/>
        <v>0</v>
      </c>
      <c r="AE10" s="13">
        <f t="shared" si="7"/>
        <v>0</v>
      </c>
    </row>
    <row r="11" spans="2:36" x14ac:dyDescent="0.25">
      <c r="B11" s="4"/>
      <c r="E11" s="3"/>
      <c r="F11" s="3"/>
      <c r="G11" s="24"/>
      <c r="H11" s="24"/>
      <c r="K11" s="4"/>
      <c r="L11" s="4"/>
      <c r="M11" s="4"/>
      <c r="N11" s="4"/>
      <c r="O11" s="4"/>
      <c r="P11" s="27"/>
      <c r="Q11" s="25"/>
      <c r="R11" s="25"/>
      <c r="S11" s="12">
        <f t="shared" ref="S11:S41" si="8">+Q11*R11</f>
        <v>0</v>
      </c>
      <c r="T11" s="5">
        <v>0</v>
      </c>
      <c r="U11" s="12">
        <f t="shared" ref="U11:U41" si="9">S11*(1-T11)</f>
        <v>0</v>
      </c>
      <c r="V11" s="25" t="s">
        <v>10</v>
      </c>
      <c r="W11" s="11">
        <f>IFERROR(VLOOKUP(V11,Curr!$B$2:$C$13,2,FALSE),0)</f>
        <v>11</v>
      </c>
      <c r="X11" s="12">
        <f t="shared" ref="X11:X41" si="10">U11*W11</f>
        <v>0</v>
      </c>
      <c r="Y11" s="26">
        <f t="shared" ref="Y11:Y41" si="11">Q11</f>
        <v>0</v>
      </c>
      <c r="Z11" s="12">
        <f t="shared" si="4"/>
        <v>0</v>
      </c>
      <c r="AA11" s="4" t="s">
        <v>10</v>
      </c>
      <c r="AB11" s="11">
        <f>IFERROR(VLOOKUP(AA11,Curr!$B$2:$C$13,2,FALSE),0)</f>
        <v>11</v>
      </c>
      <c r="AC11" s="12">
        <f t="shared" si="5"/>
        <v>0</v>
      </c>
      <c r="AD11" s="12">
        <f t="shared" si="6"/>
        <v>0</v>
      </c>
      <c r="AE11" s="13">
        <f t="shared" si="7"/>
        <v>0</v>
      </c>
    </row>
    <row r="12" spans="2:36" x14ac:dyDescent="0.25">
      <c r="B12" s="4"/>
      <c r="C12" s="1" t="s">
        <v>59</v>
      </c>
      <c r="D12" s="1" t="s">
        <v>54</v>
      </c>
      <c r="E12" s="3"/>
      <c r="F12" s="3"/>
      <c r="G12" s="24"/>
      <c r="H12" s="24"/>
      <c r="J12" s="1" t="s">
        <v>98</v>
      </c>
      <c r="K12" s="4"/>
      <c r="L12" s="4"/>
      <c r="M12" s="4"/>
      <c r="N12" s="4"/>
      <c r="O12" s="4"/>
      <c r="P12" s="27"/>
      <c r="Q12" s="25">
        <v>0</v>
      </c>
      <c r="R12" s="25">
        <v>0</v>
      </c>
      <c r="S12" s="12">
        <f t="shared" si="8"/>
        <v>0</v>
      </c>
      <c r="T12" s="5">
        <v>0</v>
      </c>
      <c r="U12" s="12">
        <f t="shared" si="9"/>
        <v>0</v>
      </c>
      <c r="V12" s="25" t="s">
        <v>10</v>
      </c>
      <c r="W12" s="11">
        <f>IFERROR(VLOOKUP(V12,Curr!$B$2:$C$13,2,FALSE),0)</f>
        <v>11</v>
      </c>
      <c r="X12" s="12">
        <f t="shared" si="10"/>
        <v>0</v>
      </c>
      <c r="Y12" s="26">
        <f t="shared" si="11"/>
        <v>0</v>
      </c>
      <c r="Z12" s="12">
        <f t="shared" si="4"/>
        <v>0</v>
      </c>
      <c r="AA12" s="4" t="s">
        <v>10</v>
      </c>
      <c r="AB12" s="11">
        <f>IFERROR(VLOOKUP(AA12,Curr!$B$2:$C$13,2,FALSE),0)</f>
        <v>11</v>
      </c>
      <c r="AC12" s="12">
        <f t="shared" si="5"/>
        <v>0</v>
      </c>
      <c r="AD12" s="12">
        <f t="shared" si="6"/>
        <v>0</v>
      </c>
      <c r="AE12" s="13">
        <f t="shared" si="7"/>
        <v>0</v>
      </c>
    </row>
    <row r="13" spans="2:36" x14ac:dyDescent="0.25">
      <c r="B13" s="4"/>
      <c r="C13" s="1" t="s">
        <v>59</v>
      </c>
      <c r="D13" s="1" t="s">
        <v>86</v>
      </c>
      <c r="E13" s="3"/>
      <c r="F13" s="3"/>
      <c r="G13" s="24"/>
      <c r="H13" s="24"/>
      <c r="J13" s="1" t="s">
        <v>99</v>
      </c>
      <c r="K13" s="4"/>
      <c r="L13" s="4"/>
      <c r="M13" s="4"/>
      <c r="N13" s="4"/>
      <c r="O13" s="4" t="s">
        <v>42</v>
      </c>
      <c r="P13" s="33"/>
      <c r="Q13" s="25">
        <v>3000</v>
      </c>
      <c r="R13" s="25">
        <v>1</v>
      </c>
      <c r="S13" s="12">
        <f t="shared" si="8"/>
        <v>3000</v>
      </c>
      <c r="T13" s="5">
        <v>0</v>
      </c>
      <c r="U13" s="12">
        <f t="shared" si="9"/>
        <v>3000</v>
      </c>
      <c r="V13" s="25" t="s">
        <v>8</v>
      </c>
      <c r="W13" s="11">
        <f>IFERROR(VLOOKUP(V13,Curr!$B$2:$C$13,2,FALSE),0)</f>
        <v>1</v>
      </c>
      <c r="X13" s="12">
        <f t="shared" si="10"/>
        <v>3000</v>
      </c>
      <c r="Y13" s="26">
        <f t="shared" ref="Y13" si="12">Q13/11.3/0.8</f>
        <v>331.85840707964599</v>
      </c>
      <c r="Z13" s="12">
        <f t="shared" si="4"/>
        <v>331.85840707964599</v>
      </c>
      <c r="AA13" s="4" t="s">
        <v>10</v>
      </c>
      <c r="AB13" s="11">
        <f>IFERROR(VLOOKUP(AA13,Curr!$B$2:$C$13,2,FALSE),0)</f>
        <v>11</v>
      </c>
      <c r="AC13" s="12">
        <f t="shared" si="5"/>
        <v>3650.4424778761058</v>
      </c>
      <c r="AD13" s="12">
        <f t="shared" si="6"/>
        <v>650.44247787610584</v>
      </c>
      <c r="AE13" s="13">
        <f t="shared" si="7"/>
        <v>0.17818181818181811</v>
      </c>
    </row>
    <row r="14" spans="2:36" x14ac:dyDescent="0.25">
      <c r="B14" s="4"/>
      <c r="C14" s="1" t="s">
        <v>59</v>
      </c>
      <c r="D14" s="1" t="s">
        <v>54</v>
      </c>
      <c r="E14" s="3"/>
      <c r="F14" s="3"/>
      <c r="G14" s="24"/>
      <c r="H14" s="24"/>
      <c r="J14" s="1" t="s">
        <v>100</v>
      </c>
      <c r="K14" s="4"/>
      <c r="L14" s="4"/>
      <c r="M14" s="4"/>
      <c r="N14" s="4"/>
      <c r="O14" s="4"/>
      <c r="P14" s="33"/>
      <c r="Q14" s="25">
        <v>0</v>
      </c>
      <c r="R14" s="25">
        <v>0</v>
      </c>
      <c r="S14" s="12">
        <f t="shared" si="8"/>
        <v>0</v>
      </c>
      <c r="T14" s="5">
        <v>0</v>
      </c>
      <c r="U14" s="12">
        <f t="shared" si="9"/>
        <v>0</v>
      </c>
      <c r="V14" s="25" t="s">
        <v>10</v>
      </c>
      <c r="W14" s="11">
        <f>IFERROR(VLOOKUP(V14,Curr!$B$2:$C$13,2,FALSE),0)</f>
        <v>11</v>
      </c>
      <c r="X14" s="12">
        <f t="shared" si="10"/>
        <v>0</v>
      </c>
      <c r="Y14" s="26">
        <f t="shared" ref="Y14:Y17" si="13">Q14</f>
        <v>0</v>
      </c>
      <c r="Z14" s="12">
        <f t="shared" si="4"/>
        <v>0</v>
      </c>
      <c r="AA14" s="4" t="s">
        <v>10</v>
      </c>
      <c r="AB14" s="11">
        <f>IFERROR(VLOOKUP(AA14,Curr!$B$2:$C$13,2,FALSE),0)</f>
        <v>11</v>
      </c>
      <c r="AC14" s="12">
        <f t="shared" si="5"/>
        <v>0</v>
      </c>
      <c r="AD14" s="12">
        <f t="shared" si="6"/>
        <v>0</v>
      </c>
      <c r="AE14" s="13">
        <f t="shared" si="7"/>
        <v>0</v>
      </c>
    </row>
    <row r="15" spans="2:36" x14ac:dyDescent="0.25">
      <c r="B15" s="4"/>
      <c r="C15" s="1" t="s">
        <v>59</v>
      </c>
      <c r="D15" s="1" t="s">
        <v>55</v>
      </c>
      <c r="E15" s="3"/>
      <c r="F15" s="3"/>
      <c r="G15" s="24"/>
      <c r="H15" s="24"/>
      <c r="J15" s="1" t="s">
        <v>114</v>
      </c>
      <c r="K15" s="4"/>
      <c r="L15" s="4"/>
      <c r="M15" s="4"/>
      <c r="N15" s="4"/>
      <c r="O15" s="4"/>
      <c r="P15" s="27"/>
      <c r="Q15" s="25">
        <v>250</v>
      </c>
      <c r="R15" s="25">
        <v>1</v>
      </c>
      <c r="S15" s="12">
        <f t="shared" si="8"/>
        <v>250</v>
      </c>
      <c r="T15" s="5">
        <v>0</v>
      </c>
      <c r="U15" s="12">
        <f t="shared" si="9"/>
        <v>250</v>
      </c>
      <c r="V15" s="25" t="s">
        <v>10</v>
      </c>
      <c r="W15" s="11">
        <f>IFERROR(VLOOKUP(V15,Curr!$B$2:$C$13,2,FALSE),0)</f>
        <v>11</v>
      </c>
      <c r="X15" s="12">
        <f t="shared" si="10"/>
        <v>2750</v>
      </c>
      <c r="Y15" s="26">
        <f>Q15/0.8</f>
        <v>312.5</v>
      </c>
      <c r="Z15" s="12">
        <f t="shared" si="4"/>
        <v>312.5</v>
      </c>
      <c r="AA15" s="4" t="s">
        <v>10</v>
      </c>
      <c r="AB15" s="11">
        <f>IFERROR(VLOOKUP(AA15,Curr!$B$2:$C$13,2,FALSE),0)</f>
        <v>11</v>
      </c>
      <c r="AC15" s="12">
        <f t="shared" si="5"/>
        <v>3437.5</v>
      </c>
      <c r="AD15" s="12">
        <f t="shared" si="6"/>
        <v>687.5</v>
      </c>
      <c r="AE15" s="13">
        <f t="shared" si="7"/>
        <v>0.2</v>
      </c>
    </row>
    <row r="16" spans="2:36" x14ac:dyDescent="0.25">
      <c r="B16" s="4"/>
      <c r="C16" s="1" t="s">
        <v>59</v>
      </c>
      <c r="D16" s="1" t="s">
        <v>56</v>
      </c>
      <c r="E16" s="3"/>
      <c r="F16" s="3"/>
      <c r="G16" s="24"/>
      <c r="H16" s="24"/>
      <c r="J16" s="1" t="s">
        <v>79</v>
      </c>
      <c r="K16" s="4"/>
      <c r="L16" s="4"/>
      <c r="M16" s="4"/>
      <c r="N16" s="4"/>
      <c r="O16" s="4"/>
      <c r="P16" s="27"/>
      <c r="Q16" s="25">
        <v>0</v>
      </c>
      <c r="R16" s="25">
        <v>0</v>
      </c>
      <c r="S16" s="12">
        <f t="shared" si="8"/>
        <v>0</v>
      </c>
      <c r="T16" s="5">
        <v>0</v>
      </c>
      <c r="U16" s="12">
        <f t="shared" si="9"/>
        <v>0</v>
      </c>
      <c r="V16" s="25" t="s">
        <v>10</v>
      </c>
      <c r="W16" s="11">
        <f>IFERROR(VLOOKUP(V16,Curr!$B$2:$C$13,2,FALSE),0)</f>
        <v>11</v>
      </c>
      <c r="X16" s="12">
        <f t="shared" si="10"/>
        <v>0</v>
      </c>
      <c r="Y16" s="26">
        <f t="shared" si="13"/>
        <v>0</v>
      </c>
      <c r="Z16" s="12">
        <f t="shared" si="4"/>
        <v>0</v>
      </c>
      <c r="AA16" s="4" t="s">
        <v>10</v>
      </c>
      <c r="AB16" s="11">
        <f>IFERROR(VLOOKUP(AA16,Curr!$B$2:$C$13,2,FALSE),0)</f>
        <v>11</v>
      </c>
      <c r="AC16" s="12">
        <f t="shared" si="5"/>
        <v>0</v>
      </c>
      <c r="AD16" s="12">
        <f t="shared" si="6"/>
        <v>0</v>
      </c>
      <c r="AE16" s="13">
        <f t="shared" si="7"/>
        <v>0</v>
      </c>
    </row>
    <row r="17" spans="2:31" x14ac:dyDescent="0.25">
      <c r="B17" s="4"/>
      <c r="C17" s="1" t="s">
        <v>59</v>
      </c>
      <c r="D17" s="1" t="s">
        <v>57</v>
      </c>
      <c r="E17" s="3"/>
      <c r="F17" s="3"/>
      <c r="G17" s="24"/>
      <c r="H17" s="24"/>
      <c r="J17" s="1" t="s">
        <v>119</v>
      </c>
      <c r="K17" s="4"/>
      <c r="L17" s="4"/>
      <c r="M17" s="4"/>
      <c r="N17" s="4"/>
      <c r="O17" s="4"/>
      <c r="P17" s="33" t="s">
        <v>102</v>
      </c>
      <c r="Q17" s="25">
        <v>156</v>
      </c>
      <c r="R17" s="25">
        <v>2</v>
      </c>
      <c r="S17" s="12">
        <f t="shared" si="8"/>
        <v>312</v>
      </c>
      <c r="T17" s="5">
        <v>0.2</v>
      </c>
      <c r="U17" s="12">
        <f t="shared" si="9"/>
        <v>249.60000000000002</v>
      </c>
      <c r="V17" s="25" t="s">
        <v>10</v>
      </c>
      <c r="W17" s="11">
        <f>IFERROR(VLOOKUP(V17,Curr!$B$2:$C$13,2,FALSE),0)</f>
        <v>11</v>
      </c>
      <c r="X17" s="12">
        <f t="shared" si="10"/>
        <v>2745.6000000000004</v>
      </c>
      <c r="Y17" s="26">
        <f t="shared" si="13"/>
        <v>156</v>
      </c>
      <c r="Z17" s="12">
        <f t="shared" si="4"/>
        <v>312</v>
      </c>
      <c r="AA17" s="4" t="s">
        <v>10</v>
      </c>
      <c r="AB17" s="11">
        <f>IFERROR(VLOOKUP(AA17,Curr!$B$2:$C$13,2,FALSE),0)</f>
        <v>11</v>
      </c>
      <c r="AC17" s="12">
        <f t="shared" si="5"/>
        <v>3432</v>
      </c>
      <c r="AD17" s="12">
        <f t="shared" si="6"/>
        <v>686.39999999999964</v>
      </c>
      <c r="AE17" s="13">
        <f t="shared" si="7"/>
        <v>0.1999999999999999</v>
      </c>
    </row>
    <row r="18" spans="2:31" x14ac:dyDescent="0.25">
      <c r="B18" s="4"/>
      <c r="E18" s="3"/>
      <c r="F18" s="3"/>
      <c r="G18" s="24"/>
      <c r="H18" s="24"/>
      <c r="K18" s="4"/>
      <c r="L18" s="4"/>
      <c r="M18" s="4"/>
      <c r="N18" s="4"/>
      <c r="O18" s="4"/>
      <c r="P18" s="27"/>
      <c r="Q18" s="25"/>
      <c r="R18" s="25"/>
      <c r="S18" s="12">
        <f t="shared" si="8"/>
        <v>0</v>
      </c>
      <c r="T18" s="5">
        <v>0</v>
      </c>
      <c r="U18" s="12">
        <f t="shared" si="9"/>
        <v>0</v>
      </c>
      <c r="V18" s="25" t="s">
        <v>10</v>
      </c>
      <c r="W18" s="11">
        <f>IFERROR(VLOOKUP(V18,Curr!$B$2:$C$13,2,FALSE),0)</f>
        <v>11</v>
      </c>
      <c r="X18" s="12">
        <f t="shared" si="10"/>
        <v>0</v>
      </c>
      <c r="Y18" s="26">
        <f t="shared" si="11"/>
        <v>0</v>
      </c>
      <c r="Z18" s="12">
        <f t="shared" si="4"/>
        <v>0</v>
      </c>
      <c r="AA18" s="4" t="s">
        <v>10</v>
      </c>
      <c r="AB18" s="11">
        <f>IFERROR(VLOOKUP(AA18,Curr!$B$2:$C$13,2,FALSE),0)</f>
        <v>11</v>
      </c>
      <c r="AC18" s="12">
        <f t="shared" si="5"/>
        <v>0</v>
      </c>
      <c r="AD18" s="12">
        <f t="shared" si="6"/>
        <v>0</v>
      </c>
      <c r="AE18" s="13">
        <f t="shared" si="7"/>
        <v>0</v>
      </c>
    </row>
    <row r="19" spans="2:31" x14ac:dyDescent="0.25">
      <c r="B19" s="4"/>
      <c r="C19" s="1" t="s">
        <v>61</v>
      </c>
      <c r="D19" s="1" t="s">
        <v>54</v>
      </c>
      <c r="E19" s="3"/>
      <c r="F19" s="3"/>
      <c r="G19" s="24"/>
      <c r="H19" s="24"/>
      <c r="J19" s="1" t="s">
        <v>103</v>
      </c>
      <c r="K19" s="4"/>
      <c r="L19" s="4"/>
      <c r="M19" s="4"/>
      <c r="N19" s="4"/>
      <c r="O19" s="4"/>
      <c r="P19" s="27"/>
      <c r="Q19" s="25">
        <v>0</v>
      </c>
      <c r="R19" s="25">
        <v>0</v>
      </c>
      <c r="S19" s="12">
        <f t="shared" si="8"/>
        <v>0</v>
      </c>
      <c r="T19" s="5">
        <v>0</v>
      </c>
      <c r="U19" s="12">
        <f t="shared" si="9"/>
        <v>0</v>
      </c>
      <c r="V19" s="25" t="s">
        <v>10</v>
      </c>
      <c r="W19" s="11">
        <f>IFERROR(VLOOKUP(V19,Curr!$B$2:$C$13,2,FALSE),0)</f>
        <v>11</v>
      </c>
      <c r="X19" s="12">
        <f t="shared" si="10"/>
        <v>0</v>
      </c>
      <c r="Y19" s="26">
        <f t="shared" si="11"/>
        <v>0</v>
      </c>
      <c r="Z19" s="12">
        <f t="shared" si="4"/>
        <v>0</v>
      </c>
      <c r="AA19" s="4" t="s">
        <v>10</v>
      </c>
      <c r="AB19" s="11">
        <f>IFERROR(VLOOKUP(AA19,Curr!$B$2:$C$13,2,FALSE),0)</f>
        <v>11</v>
      </c>
      <c r="AC19" s="12">
        <f t="shared" si="5"/>
        <v>0</v>
      </c>
      <c r="AD19" s="12">
        <f t="shared" si="6"/>
        <v>0</v>
      </c>
      <c r="AE19" s="13">
        <f t="shared" si="7"/>
        <v>0</v>
      </c>
    </row>
    <row r="20" spans="2:31" x14ac:dyDescent="0.25">
      <c r="B20" s="4"/>
      <c r="C20" s="1" t="s">
        <v>61</v>
      </c>
      <c r="D20" s="1" t="s">
        <v>58</v>
      </c>
      <c r="E20" s="3"/>
      <c r="F20" s="3"/>
      <c r="G20" s="24"/>
      <c r="H20" s="24"/>
      <c r="J20" s="1" t="s">
        <v>104</v>
      </c>
      <c r="K20" s="4"/>
      <c r="L20" s="4"/>
      <c r="M20" s="4"/>
      <c r="N20" s="4"/>
      <c r="O20" s="4" t="s">
        <v>42</v>
      </c>
      <c r="P20" s="33" t="s">
        <v>97</v>
      </c>
      <c r="Q20" s="25">
        <v>2000</v>
      </c>
      <c r="R20" s="25">
        <v>1</v>
      </c>
      <c r="S20" s="12">
        <f t="shared" si="8"/>
        <v>2000</v>
      </c>
      <c r="T20" s="5">
        <v>0</v>
      </c>
      <c r="U20" s="12">
        <f t="shared" si="9"/>
        <v>2000</v>
      </c>
      <c r="V20" s="25" t="s">
        <v>8</v>
      </c>
      <c r="W20" s="11">
        <f>IFERROR(VLOOKUP(V20,Curr!$B$2:$C$13,2,FALSE),0)</f>
        <v>1</v>
      </c>
      <c r="X20" s="12">
        <f t="shared" si="10"/>
        <v>2000</v>
      </c>
      <c r="Y20" s="26">
        <f t="shared" ref="Y20" si="14">Q20/11.3/0.8</f>
        <v>221.23893805309734</v>
      </c>
      <c r="Z20" s="12">
        <f t="shared" si="4"/>
        <v>221.23893805309734</v>
      </c>
      <c r="AA20" s="4" t="s">
        <v>10</v>
      </c>
      <c r="AB20" s="11">
        <f>IFERROR(VLOOKUP(AA20,Curr!$B$2:$C$13,2,FALSE),0)</f>
        <v>11</v>
      </c>
      <c r="AC20" s="12">
        <f t="shared" si="5"/>
        <v>2433.6283185840707</v>
      </c>
      <c r="AD20" s="12">
        <f t="shared" si="6"/>
        <v>433.62831858407071</v>
      </c>
      <c r="AE20" s="13">
        <f t="shared" si="7"/>
        <v>0.17818181818181816</v>
      </c>
    </row>
    <row r="21" spans="2:31" x14ac:dyDescent="0.25">
      <c r="B21" s="4"/>
      <c r="C21" s="1" t="s">
        <v>61</v>
      </c>
      <c r="D21" s="1" t="s">
        <v>54</v>
      </c>
      <c r="E21" s="3"/>
      <c r="F21" s="3"/>
      <c r="G21" s="24"/>
      <c r="H21" s="24"/>
      <c r="J21" s="1" t="s">
        <v>105</v>
      </c>
      <c r="K21" s="4"/>
      <c r="L21" s="4"/>
      <c r="M21" s="4"/>
      <c r="N21" s="4"/>
      <c r="O21" s="4"/>
      <c r="P21" s="27"/>
      <c r="Q21" s="25">
        <v>0</v>
      </c>
      <c r="R21" s="25">
        <v>0</v>
      </c>
      <c r="S21" s="12">
        <f t="shared" si="8"/>
        <v>0</v>
      </c>
      <c r="T21" s="5">
        <v>0</v>
      </c>
      <c r="U21" s="12">
        <f t="shared" si="9"/>
        <v>0</v>
      </c>
      <c r="V21" s="25" t="s">
        <v>8</v>
      </c>
      <c r="W21" s="11">
        <f>IFERROR(VLOOKUP(V21,Curr!$B$2:$C$13,2,FALSE),0)</f>
        <v>1</v>
      </c>
      <c r="X21" s="12">
        <f t="shared" si="10"/>
        <v>0</v>
      </c>
      <c r="Y21" s="26">
        <f>Q21/11.3/0.8</f>
        <v>0</v>
      </c>
      <c r="Z21" s="12">
        <f t="shared" si="4"/>
        <v>0</v>
      </c>
      <c r="AA21" s="4" t="s">
        <v>10</v>
      </c>
      <c r="AB21" s="11">
        <f>IFERROR(VLOOKUP(AA21,Curr!$B$2:$C$13,2,FALSE),0)</f>
        <v>11</v>
      </c>
      <c r="AC21" s="12">
        <f t="shared" si="5"/>
        <v>0</v>
      </c>
      <c r="AD21" s="12">
        <f t="shared" si="6"/>
        <v>0</v>
      </c>
      <c r="AE21" s="13">
        <f t="shared" si="7"/>
        <v>0</v>
      </c>
    </row>
    <row r="22" spans="2:31" x14ac:dyDescent="0.25">
      <c r="B22" s="4"/>
      <c r="C22" s="1" t="s">
        <v>61</v>
      </c>
      <c r="D22" s="1" t="s">
        <v>55</v>
      </c>
      <c r="E22" s="3"/>
      <c r="F22" s="3"/>
      <c r="G22" s="24"/>
      <c r="H22" s="24"/>
      <c r="J22" s="1" t="s">
        <v>115</v>
      </c>
      <c r="K22" s="4"/>
      <c r="L22" s="4"/>
      <c r="M22" s="4"/>
      <c r="N22" s="4"/>
      <c r="O22" s="4"/>
      <c r="P22" s="33"/>
      <c r="Q22" s="25">
        <v>175</v>
      </c>
      <c r="R22" s="25">
        <v>1</v>
      </c>
      <c r="S22" s="12">
        <f t="shared" si="8"/>
        <v>175</v>
      </c>
      <c r="T22" s="5">
        <v>0</v>
      </c>
      <c r="U22" s="12">
        <f t="shared" si="9"/>
        <v>175</v>
      </c>
      <c r="V22" s="25" t="s">
        <v>10</v>
      </c>
      <c r="W22" s="11">
        <f>IFERROR(VLOOKUP(V22,Curr!$B$2:$C$13,2,FALSE),0)</f>
        <v>11</v>
      </c>
      <c r="X22" s="12">
        <f t="shared" si="10"/>
        <v>1925</v>
      </c>
      <c r="Y22" s="26">
        <f>Q22/0.8</f>
        <v>218.75</v>
      </c>
      <c r="Z22" s="12">
        <f t="shared" si="4"/>
        <v>218.75</v>
      </c>
      <c r="AA22" s="4" t="s">
        <v>10</v>
      </c>
      <c r="AB22" s="11">
        <f>IFERROR(VLOOKUP(AA22,Curr!$B$2:$C$13,2,FALSE),0)</f>
        <v>11</v>
      </c>
      <c r="AC22" s="12">
        <f t="shared" si="5"/>
        <v>2406.25</v>
      </c>
      <c r="AD22" s="12">
        <f t="shared" si="6"/>
        <v>481.25</v>
      </c>
      <c r="AE22" s="13">
        <f t="shared" si="7"/>
        <v>0.2</v>
      </c>
    </row>
    <row r="23" spans="2:31" x14ac:dyDescent="0.25">
      <c r="B23" s="4"/>
      <c r="C23" s="1" t="s">
        <v>61</v>
      </c>
      <c r="D23" s="1" t="s">
        <v>56</v>
      </c>
      <c r="E23" s="3"/>
      <c r="F23" s="3"/>
      <c r="G23" s="24"/>
      <c r="H23" s="24"/>
      <c r="J23" s="1" t="s">
        <v>81</v>
      </c>
      <c r="K23" s="4"/>
      <c r="L23" s="4"/>
      <c r="M23" s="4"/>
      <c r="N23" s="4"/>
      <c r="O23" s="4"/>
      <c r="P23" s="27"/>
      <c r="Q23" s="25">
        <v>0</v>
      </c>
      <c r="R23" s="25">
        <v>0</v>
      </c>
      <c r="S23" s="12">
        <f t="shared" si="8"/>
        <v>0</v>
      </c>
      <c r="T23" s="5">
        <v>0</v>
      </c>
      <c r="U23" s="12">
        <f t="shared" si="9"/>
        <v>0</v>
      </c>
      <c r="V23" s="25" t="s">
        <v>10</v>
      </c>
      <c r="W23" s="11">
        <f>IFERROR(VLOOKUP(V23,Curr!$B$2:$C$13,2,FALSE),0)</f>
        <v>11</v>
      </c>
      <c r="X23" s="12">
        <f t="shared" si="10"/>
        <v>0</v>
      </c>
      <c r="Y23" s="26">
        <f t="shared" ref="Y23:Y24" si="15">Q23</f>
        <v>0</v>
      </c>
      <c r="Z23" s="12">
        <f t="shared" si="4"/>
        <v>0</v>
      </c>
      <c r="AA23" s="4" t="s">
        <v>10</v>
      </c>
      <c r="AB23" s="11">
        <f>IFERROR(VLOOKUP(AA23,Curr!$B$2:$C$13,2,FALSE),0)</f>
        <v>11</v>
      </c>
      <c r="AC23" s="12">
        <f t="shared" si="5"/>
        <v>0</v>
      </c>
      <c r="AD23" s="12">
        <f t="shared" si="6"/>
        <v>0</v>
      </c>
      <c r="AE23" s="13">
        <f t="shared" si="7"/>
        <v>0</v>
      </c>
    </row>
    <row r="24" spans="2:31" x14ac:dyDescent="0.25">
      <c r="B24" s="4"/>
      <c r="C24" s="1" t="s">
        <v>61</v>
      </c>
      <c r="D24" s="1" t="s">
        <v>57</v>
      </c>
      <c r="E24" s="3"/>
      <c r="F24" s="3"/>
      <c r="G24" s="24"/>
      <c r="H24" s="24"/>
      <c r="J24" s="1" t="s">
        <v>111</v>
      </c>
      <c r="K24" s="4"/>
      <c r="L24" s="4"/>
      <c r="M24" s="4"/>
      <c r="N24" s="4"/>
      <c r="O24" s="4" t="s">
        <v>42</v>
      </c>
      <c r="P24" s="33" t="s">
        <v>112</v>
      </c>
      <c r="Q24" s="25">
        <v>126</v>
      </c>
      <c r="R24" s="25">
        <v>2</v>
      </c>
      <c r="S24" s="12">
        <f t="shared" si="8"/>
        <v>252</v>
      </c>
      <c r="T24" s="5">
        <v>0</v>
      </c>
      <c r="U24" s="12">
        <f t="shared" si="9"/>
        <v>252</v>
      </c>
      <c r="V24" s="25" t="s">
        <v>10</v>
      </c>
      <c r="W24" s="11">
        <f>IFERROR(VLOOKUP(V24,Curr!$B$2:$C$13,2,FALSE),0)</f>
        <v>11</v>
      </c>
      <c r="X24" s="12">
        <f t="shared" si="10"/>
        <v>2772</v>
      </c>
      <c r="Y24" s="26">
        <f t="shared" si="15"/>
        <v>126</v>
      </c>
      <c r="Z24" s="12">
        <f t="shared" si="4"/>
        <v>252</v>
      </c>
      <c r="AA24" s="4" t="s">
        <v>10</v>
      </c>
      <c r="AB24" s="11">
        <f>IFERROR(VLOOKUP(AA24,Curr!$B$2:$C$13,2,FALSE),0)</f>
        <v>11</v>
      </c>
      <c r="AC24" s="12">
        <f t="shared" si="5"/>
        <v>2772</v>
      </c>
      <c r="AD24" s="12">
        <f t="shared" si="6"/>
        <v>0</v>
      </c>
      <c r="AE24" s="13">
        <f t="shared" si="7"/>
        <v>0</v>
      </c>
    </row>
    <row r="25" spans="2:31" x14ac:dyDescent="0.25">
      <c r="B25" s="4"/>
      <c r="E25" s="3"/>
      <c r="F25" s="3"/>
      <c r="G25" s="24"/>
      <c r="H25" s="24"/>
      <c r="K25" s="4"/>
      <c r="L25" s="4"/>
      <c r="M25" s="4"/>
      <c r="N25" s="4"/>
      <c r="O25" s="4"/>
      <c r="P25" s="27"/>
      <c r="Q25" s="25"/>
      <c r="R25" s="25"/>
      <c r="S25" s="12">
        <f t="shared" si="8"/>
        <v>0</v>
      </c>
      <c r="T25" s="5">
        <v>0</v>
      </c>
      <c r="U25" s="12">
        <f t="shared" si="9"/>
        <v>0</v>
      </c>
      <c r="V25" s="25" t="s">
        <v>10</v>
      </c>
      <c r="W25" s="11">
        <f>IFERROR(VLOOKUP(V25,Curr!$B$2:$C$13,2,FALSE),0)</f>
        <v>11</v>
      </c>
      <c r="X25" s="12">
        <f t="shared" si="10"/>
        <v>0</v>
      </c>
      <c r="Y25" s="26">
        <f t="shared" si="11"/>
        <v>0</v>
      </c>
      <c r="Z25" s="12">
        <f t="shared" si="4"/>
        <v>0</v>
      </c>
      <c r="AA25" s="4" t="s">
        <v>10</v>
      </c>
      <c r="AB25" s="11">
        <f>IFERROR(VLOOKUP(AA25,Curr!$B$2:$C$13,2,FALSE),0)</f>
        <v>11</v>
      </c>
      <c r="AC25" s="12">
        <f t="shared" si="5"/>
        <v>0</v>
      </c>
      <c r="AD25" s="12">
        <f t="shared" si="6"/>
        <v>0</v>
      </c>
      <c r="AE25" s="13">
        <f t="shared" si="7"/>
        <v>0</v>
      </c>
    </row>
    <row r="26" spans="2:31" x14ac:dyDescent="0.25">
      <c r="B26" s="4"/>
      <c r="C26" s="1" t="s">
        <v>62</v>
      </c>
      <c r="D26" s="1" t="s">
        <v>54</v>
      </c>
      <c r="E26" s="3"/>
      <c r="F26" s="3"/>
      <c r="G26" s="24"/>
      <c r="H26" s="24"/>
      <c r="J26" s="1" t="s">
        <v>106</v>
      </c>
      <c r="K26" s="4"/>
      <c r="L26" s="4"/>
      <c r="M26" s="4"/>
      <c r="N26" s="4"/>
      <c r="O26" s="4"/>
      <c r="P26" s="33"/>
      <c r="Q26" s="25">
        <v>0</v>
      </c>
      <c r="R26" s="25">
        <v>0</v>
      </c>
      <c r="S26" s="12">
        <f t="shared" si="8"/>
        <v>0</v>
      </c>
      <c r="T26" s="5">
        <v>0</v>
      </c>
      <c r="U26" s="12">
        <f t="shared" si="9"/>
        <v>0</v>
      </c>
      <c r="V26" s="25" t="s">
        <v>10</v>
      </c>
      <c r="W26" s="11">
        <f>IFERROR(VLOOKUP(V26,Curr!$B$2:$C$13,2,FALSE),0)</f>
        <v>11</v>
      </c>
      <c r="X26" s="12">
        <f t="shared" si="10"/>
        <v>0</v>
      </c>
      <c r="Y26" s="26">
        <f t="shared" si="11"/>
        <v>0</v>
      </c>
      <c r="Z26" s="12">
        <f t="shared" si="4"/>
        <v>0</v>
      </c>
      <c r="AA26" s="4" t="s">
        <v>10</v>
      </c>
      <c r="AB26" s="11">
        <f>IFERROR(VLOOKUP(AA26,Curr!$B$2:$C$13,2,FALSE),0)</f>
        <v>11</v>
      </c>
      <c r="AC26" s="12">
        <f t="shared" si="5"/>
        <v>0</v>
      </c>
      <c r="AD26" s="12">
        <f t="shared" si="6"/>
        <v>0</v>
      </c>
      <c r="AE26" s="13">
        <f t="shared" si="7"/>
        <v>0</v>
      </c>
    </row>
    <row r="27" spans="2:31" x14ac:dyDescent="0.25">
      <c r="B27" s="4"/>
      <c r="C27" s="1" t="s">
        <v>62</v>
      </c>
      <c r="D27" s="1" t="s">
        <v>60</v>
      </c>
      <c r="E27" s="3"/>
      <c r="F27" s="3"/>
      <c r="G27" s="24"/>
      <c r="H27" s="24"/>
      <c r="J27" s="1" t="s">
        <v>82</v>
      </c>
      <c r="K27" s="4"/>
      <c r="L27" s="4"/>
      <c r="M27" s="4"/>
      <c r="N27" s="4"/>
      <c r="O27" s="4"/>
      <c r="P27" s="27"/>
      <c r="Q27" s="25">
        <v>0</v>
      </c>
      <c r="R27" s="25">
        <v>0</v>
      </c>
      <c r="S27" s="12">
        <f t="shared" si="8"/>
        <v>0</v>
      </c>
      <c r="T27" s="5">
        <v>0</v>
      </c>
      <c r="U27" s="12">
        <f t="shared" si="9"/>
        <v>0</v>
      </c>
      <c r="V27" s="25" t="s">
        <v>10</v>
      </c>
      <c r="W27" s="11">
        <f>IFERROR(VLOOKUP(V27,Curr!$B$2:$C$13,2,FALSE),0)</f>
        <v>11</v>
      </c>
      <c r="X27" s="12">
        <f t="shared" si="10"/>
        <v>0</v>
      </c>
      <c r="Y27" s="26">
        <f t="shared" si="11"/>
        <v>0</v>
      </c>
      <c r="Z27" s="12">
        <f t="shared" si="4"/>
        <v>0</v>
      </c>
      <c r="AA27" s="4" t="s">
        <v>10</v>
      </c>
      <c r="AB27" s="11">
        <f>IFERROR(VLOOKUP(AA27,Curr!$B$2:$C$13,2,FALSE),0)</f>
        <v>11</v>
      </c>
      <c r="AC27" s="12">
        <f t="shared" si="5"/>
        <v>0</v>
      </c>
      <c r="AD27" s="12">
        <f t="shared" si="6"/>
        <v>0</v>
      </c>
      <c r="AE27" s="13">
        <f t="shared" si="7"/>
        <v>0</v>
      </c>
    </row>
    <row r="28" spans="2:31" x14ac:dyDescent="0.25">
      <c r="B28" s="4"/>
      <c r="E28" s="3"/>
      <c r="F28" s="3"/>
      <c r="G28" s="24"/>
      <c r="H28" s="24"/>
      <c r="K28" s="4"/>
      <c r="L28" s="4"/>
      <c r="M28" s="4"/>
      <c r="N28" s="4"/>
      <c r="O28" s="4"/>
      <c r="P28" s="33"/>
      <c r="Q28" s="25"/>
      <c r="R28" s="25"/>
      <c r="S28" s="12">
        <f t="shared" si="8"/>
        <v>0</v>
      </c>
      <c r="T28" s="5">
        <v>0</v>
      </c>
      <c r="U28" s="12">
        <f t="shared" si="9"/>
        <v>0</v>
      </c>
      <c r="V28" s="25" t="s">
        <v>10</v>
      </c>
      <c r="W28" s="11">
        <f>IFERROR(VLOOKUP(V28,Curr!$B$2:$C$13,2,FALSE),0)</f>
        <v>11</v>
      </c>
      <c r="X28" s="12">
        <f t="shared" si="10"/>
        <v>0</v>
      </c>
      <c r="Y28" s="26">
        <f t="shared" si="11"/>
        <v>0</v>
      </c>
      <c r="Z28" s="12">
        <f t="shared" si="4"/>
        <v>0</v>
      </c>
      <c r="AA28" s="4" t="s">
        <v>10</v>
      </c>
      <c r="AB28" s="11">
        <f>IFERROR(VLOOKUP(AA28,Curr!$B$2:$C$13,2,FALSE),0)</f>
        <v>11</v>
      </c>
      <c r="AC28" s="12">
        <f t="shared" si="5"/>
        <v>0</v>
      </c>
      <c r="AD28" s="12">
        <f t="shared" si="6"/>
        <v>0</v>
      </c>
      <c r="AE28" s="13">
        <f t="shared" si="7"/>
        <v>0</v>
      </c>
    </row>
    <row r="29" spans="2:31" x14ac:dyDescent="0.25">
      <c r="B29" s="4"/>
      <c r="E29" s="3"/>
      <c r="F29" s="3"/>
      <c r="G29" s="24"/>
      <c r="H29" s="24"/>
      <c r="K29" s="4"/>
      <c r="L29" s="4"/>
      <c r="M29" s="4"/>
      <c r="N29" s="4"/>
      <c r="O29" s="4"/>
      <c r="P29" s="29"/>
      <c r="Q29" s="25"/>
      <c r="R29" s="25"/>
      <c r="S29" s="12">
        <f t="shared" si="8"/>
        <v>0</v>
      </c>
      <c r="T29" s="5">
        <v>0</v>
      </c>
      <c r="U29" s="12">
        <f t="shared" si="9"/>
        <v>0</v>
      </c>
      <c r="V29" s="25" t="s">
        <v>10</v>
      </c>
      <c r="W29" s="11">
        <f>IFERROR(VLOOKUP(V29,Curr!$B$2:$C$13,2,FALSE),0)</f>
        <v>11</v>
      </c>
      <c r="X29" s="12">
        <f t="shared" si="10"/>
        <v>0</v>
      </c>
      <c r="Y29" s="26">
        <f t="shared" si="11"/>
        <v>0</v>
      </c>
      <c r="Z29" s="12">
        <f t="shared" si="4"/>
        <v>0</v>
      </c>
      <c r="AA29" s="4" t="s">
        <v>10</v>
      </c>
      <c r="AB29" s="11">
        <f>IFERROR(VLOOKUP(AA29,Curr!$B$2:$C$13,2,FALSE),0)</f>
        <v>11</v>
      </c>
      <c r="AC29" s="12">
        <f t="shared" si="5"/>
        <v>0</v>
      </c>
      <c r="AD29" s="12">
        <f t="shared" si="6"/>
        <v>0</v>
      </c>
      <c r="AE29" s="13">
        <f t="shared" si="7"/>
        <v>0</v>
      </c>
    </row>
    <row r="30" spans="2:31" x14ac:dyDescent="0.25">
      <c r="B30" s="4"/>
      <c r="C30" s="1" t="s">
        <v>52</v>
      </c>
      <c r="D30" s="1" t="s">
        <v>109</v>
      </c>
      <c r="E30" s="3"/>
      <c r="F30" s="3"/>
      <c r="G30" s="24"/>
      <c r="H30" s="24"/>
      <c r="J30" s="1" t="s">
        <v>120</v>
      </c>
      <c r="K30" s="4"/>
      <c r="L30" s="4"/>
      <c r="M30" s="4"/>
      <c r="N30" s="4"/>
      <c r="O30" s="4"/>
      <c r="P30" s="33"/>
      <c r="Q30" s="25">
        <v>180</v>
      </c>
      <c r="R30" s="25">
        <v>0</v>
      </c>
      <c r="S30" s="12">
        <f t="shared" si="8"/>
        <v>0</v>
      </c>
      <c r="T30" s="5">
        <v>0</v>
      </c>
      <c r="U30" s="12">
        <f t="shared" si="9"/>
        <v>0</v>
      </c>
      <c r="V30" s="25" t="s">
        <v>10</v>
      </c>
      <c r="W30" s="11">
        <f>IFERROR(VLOOKUP(V30,Curr!$B$2:$C$13,2,FALSE),0)</f>
        <v>11</v>
      </c>
      <c r="X30" s="12">
        <f t="shared" si="10"/>
        <v>0</v>
      </c>
      <c r="Y30" s="26">
        <f>Q30/0.8</f>
        <v>225</v>
      </c>
      <c r="Z30" s="12">
        <f t="shared" si="4"/>
        <v>0</v>
      </c>
      <c r="AA30" s="4" t="s">
        <v>10</v>
      </c>
      <c r="AB30" s="11">
        <f>IFERROR(VLOOKUP(AA30,Curr!$B$2:$C$13,2,FALSE),0)</f>
        <v>11</v>
      </c>
      <c r="AC30" s="12">
        <f t="shared" si="5"/>
        <v>0</v>
      </c>
      <c r="AD30" s="12">
        <f t="shared" si="6"/>
        <v>0</v>
      </c>
      <c r="AE30" s="13">
        <f t="shared" si="7"/>
        <v>0</v>
      </c>
    </row>
    <row r="31" spans="2:31" x14ac:dyDescent="0.25">
      <c r="B31" s="4"/>
      <c r="C31" s="1" t="s">
        <v>62</v>
      </c>
      <c r="D31" s="1" t="s">
        <v>109</v>
      </c>
      <c r="E31" s="3"/>
      <c r="F31" s="3"/>
      <c r="G31" s="24"/>
      <c r="H31" s="24"/>
      <c r="J31" s="1" t="s">
        <v>121</v>
      </c>
      <c r="K31" s="4"/>
      <c r="L31" s="4"/>
      <c r="M31" s="4"/>
      <c r="N31" s="4"/>
      <c r="O31" s="4"/>
      <c r="P31" s="27"/>
      <c r="Q31" s="25">
        <v>1800</v>
      </c>
      <c r="R31" s="25">
        <v>0</v>
      </c>
      <c r="S31" s="12">
        <f t="shared" ref="S31" si="16">+Q31*R31</f>
        <v>0</v>
      </c>
      <c r="T31" s="5">
        <v>0</v>
      </c>
      <c r="U31" s="12">
        <f t="shared" ref="U31" si="17">S31*(1-T31)</f>
        <v>0</v>
      </c>
      <c r="V31" s="25" t="s">
        <v>8</v>
      </c>
      <c r="W31" s="11">
        <f>IFERROR(VLOOKUP(V31,Curr!$B$2:$C$13,2,FALSE),0)</f>
        <v>1</v>
      </c>
      <c r="X31" s="12">
        <f t="shared" ref="X31" si="18">U31*W31</f>
        <v>0</v>
      </c>
      <c r="Y31" s="26">
        <f>Q31/11.3/0.8</f>
        <v>199.11504424778758</v>
      </c>
      <c r="Z31" s="12">
        <f t="shared" si="4"/>
        <v>0</v>
      </c>
      <c r="AA31" s="4" t="s">
        <v>10</v>
      </c>
      <c r="AB31" s="11">
        <f>IFERROR(VLOOKUP(AA31,Curr!$B$2:$C$13,2,FALSE),0)</f>
        <v>11</v>
      </c>
      <c r="AC31" s="12">
        <f t="shared" si="5"/>
        <v>0</v>
      </c>
      <c r="AD31" s="12">
        <f t="shared" si="6"/>
        <v>0</v>
      </c>
      <c r="AE31" s="13">
        <f t="shared" si="7"/>
        <v>0</v>
      </c>
    </row>
    <row r="32" spans="2:31" x14ac:dyDescent="0.25">
      <c r="B32" s="4"/>
      <c r="E32" s="3"/>
      <c r="F32" s="3"/>
      <c r="G32" s="24"/>
      <c r="H32" s="24"/>
      <c r="K32" s="4"/>
      <c r="L32" s="4"/>
      <c r="M32" s="4"/>
      <c r="N32" s="4"/>
      <c r="O32" s="4"/>
      <c r="P32" s="33"/>
      <c r="Q32" s="25"/>
      <c r="R32" s="25"/>
      <c r="S32" s="12">
        <f t="shared" si="8"/>
        <v>0</v>
      </c>
      <c r="T32" s="5">
        <v>0</v>
      </c>
      <c r="U32" s="12">
        <f t="shared" si="9"/>
        <v>0</v>
      </c>
      <c r="V32" s="25" t="s">
        <v>10</v>
      </c>
      <c r="W32" s="11">
        <f>IFERROR(VLOOKUP(V32,Curr!$B$2:$C$13,2,FALSE),0)</f>
        <v>11</v>
      </c>
      <c r="X32" s="12">
        <f t="shared" si="10"/>
        <v>0</v>
      </c>
      <c r="Y32" s="26">
        <f t="shared" si="11"/>
        <v>0</v>
      </c>
      <c r="Z32" s="12">
        <f t="shared" si="4"/>
        <v>0</v>
      </c>
      <c r="AA32" s="4" t="s">
        <v>10</v>
      </c>
      <c r="AB32" s="11">
        <f>IFERROR(VLOOKUP(AA32,Curr!$B$2:$C$13,2,FALSE),0)</f>
        <v>11</v>
      </c>
      <c r="AC32" s="12">
        <f t="shared" si="5"/>
        <v>0</v>
      </c>
      <c r="AD32" s="12">
        <f t="shared" si="6"/>
        <v>0</v>
      </c>
      <c r="AE32" s="13">
        <f t="shared" si="7"/>
        <v>0</v>
      </c>
    </row>
    <row r="33" spans="2:36" x14ac:dyDescent="0.25">
      <c r="B33" s="4"/>
      <c r="E33" s="3"/>
      <c r="F33" s="3"/>
      <c r="G33" s="24"/>
      <c r="H33" s="24"/>
      <c r="K33" s="4"/>
      <c r="L33" s="4"/>
      <c r="M33" s="4"/>
      <c r="N33" s="4"/>
      <c r="O33" s="4"/>
      <c r="P33" s="27"/>
      <c r="Q33" s="25"/>
      <c r="R33" s="25"/>
      <c r="S33" s="12">
        <f t="shared" si="8"/>
        <v>0</v>
      </c>
      <c r="T33" s="5">
        <v>0</v>
      </c>
      <c r="U33" s="12">
        <f t="shared" si="9"/>
        <v>0</v>
      </c>
      <c r="V33" s="25" t="s">
        <v>10</v>
      </c>
      <c r="W33" s="11">
        <f>IFERROR(VLOOKUP(V33,Curr!$B$2:$C$13,2,FALSE),0)</f>
        <v>11</v>
      </c>
      <c r="X33" s="12">
        <f t="shared" si="10"/>
        <v>0</v>
      </c>
      <c r="Y33" s="26">
        <f t="shared" si="11"/>
        <v>0</v>
      </c>
      <c r="Z33" s="12">
        <f t="shared" si="4"/>
        <v>0</v>
      </c>
      <c r="AA33" s="4" t="s">
        <v>10</v>
      </c>
      <c r="AB33" s="11">
        <f>IFERROR(VLOOKUP(AA33,Curr!$B$2:$C$13,2,FALSE),0)</f>
        <v>11</v>
      </c>
      <c r="AC33" s="12">
        <f t="shared" si="5"/>
        <v>0</v>
      </c>
      <c r="AD33" s="12">
        <f t="shared" si="6"/>
        <v>0</v>
      </c>
      <c r="AE33" s="13">
        <f t="shared" si="7"/>
        <v>0</v>
      </c>
    </row>
    <row r="34" spans="2:36" x14ac:dyDescent="0.25">
      <c r="B34" s="4"/>
      <c r="E34" s="3"/>
      <c r="F34" s="3"/>
      <c r="G34" s="24"/>
      <c r="H34" s="24"/>
      <c r="K34" s="4"/>
      <c r="L34" s="4"/>
      <c r="M34" s="4"/>
      <c r="N34" s="4"/>
      <c r="O34" s="4"/>
      <c r="P34" s="33"/>
      <c r="Q34" s="25"/>
      <c r="R34" s="25"/>
      <c r="S34" s="12">
        <f t="shared" si="8"/>
        <v>0</v>
      </c>
      <c r="T34" s="5">
        <v>0</v>
      </c>
      <c r="U34" s="12">
        <f t="shared" si="9"/>
        <v>0</v>
      </c>
      <c r="V34" s="25" t="s">
        <v>10</v>
      </c>
      <c r="W34" s="11">
        <f>IFERROR(VLOOKUP(V34,Curr!$B$2:$C$13,2,FALSE),0)</f>
        <v>11</v>
      </c>
      <c r="X34" s="12">
        <f t="shared" si="10"/>
        <v>0</v>
      </c>
      <c r="Y34" s="26">
        <f t="shared" si="11"/>
        <v>0</v>
      </c>
      <c r="Z34" s="12">
        <f t="shared" si="4"/>
        <v>0</v>
      </c>
      <c r="AA34" s="4" t="s">
        <v>10</v>
      </c>
      <c r="AB34" s="11">
        <f>IFERROR(VLOOKUP(AA34,Curr!$B$2:$C$13,2,FALSE),0)</f>
        <v>11</v>
      </c>
      <c r="AC34" s="12">
        <f t="shared" si="5"/>
        <v>0</v>
      </c>
      <c r="AD34" s="12">
        <f t="shared" si="6"/>
        <v>0</v>
      </c>
      <c r="AE34" s="13">
        <f t="shared" si="7"/>
        <v>0</v>
      </c>
    </row>
    <row r="35" spans="2:36" x14ac:dyDescent="0.25">
      <c r="B35" s="4"/>
      <c r="E35" s="3"/>
      <c r="F35" s="3"/>
      <c r="G35" s="24"/>
      <c r="H35" s="24"/>
      <c r="K35" s="4"/>
      <c r="L35" s="4"/>
      <c r="M35" s="4"/>
      <c r="N35" s="4"/>
      <c r="O35" s="4"/>
      <c r="P35" s="27"/>
      <c r="Q35" s="25"/>
      <c r="R35" s="25"/>
      <c r="S35" s="12">
        <f t="shared" si="8"/>
        <v>0</v>
      </c>
      <c r="T35" s="5">
        <v>0</v>
      </c>
      <c r="U35" s="12">
        <f t="shared" si="9"/>
        <v>0</v>
      </c>
      <c r="V35" s="25" t="s">
        <v>10</v>
      </c>
      <c r="W35" s="11">
        <f>IFERROR(VLOOKUP(V35,Curr!$B$2:$C$13,2,FALSE),0)</f>
        <v>11</v>
      </c>
      <c r="X35" s="12">
        <f t="shared" si="10"/>
        <v>0</v>
      </c>
      <c r="Y35" s="26">
        <f t="shared" si="11"/>
        <v>0</v>
      </c>
      <c r="Z35" s="12">
        <f t="shared" si="4"/>
        <v>0</v>
      </c>
      <c r="AA35" s="4" t="s">
        <v>10</v>
      </c>
      <c r="AB35" s="11">
        <f>IFERROR(VLOOKUP(AA35,Curr!$B$2:$C$13,2,FALSE),0)</f>
        <v>11</v>
      </c>
      <c r="AC35" s="12">
        <f t="shared" si="5"/>
        <v>0</v>
      </c>
      <c r="AD35" s="12">
        <f t="shared" si="6"/>
        <v>0</v>
      </c>
      <c r="AE35" s="13">
        <f t="shared" si="7"/>
        <v>0</v>
      </c>
    </row>
    <row r="36" spans="2:36" x14ac:dyDescent="0.25">
      <c r="B36" s="4"/>
      <c r="E36" s="3"/>
      <c r="F36" s="3"/>
      <c r="G36" s="24"/>
      <c r="H36" s="24"/>
      <c r="K36" s="4"/>
      <c r="L36" s="4"/>
      <c r="M36" s="4"/>
      <c r="N36" s="4"/>
      <c r="O36" s="4"/>
      <c r="P36" s="33"/>
      <c r="Q36" s="25"/>
      <c r="R36" s="25"/>
      <c r="S36" s="12">
        <f t="shared" si="8"/>
        <v>0</v>
      </c>
      <c r="T36" s="5">
        <v>0</v>
      </c>
      <c r="U36" s="12">
        <f t="shared" si="9"/>
        <v>0</v>
      </c>
      <c r="V36" s="25" t="s">
        <v>10</v>
      </c>
      <c r="W36" s="11">
        <f>IFERROR(VLOOKUP(V36,Curr!$B$2:$C$13,2,FALSE),0)</f>
        <v>11</v>
      </c>
      <c r="X36" s="12">
        <f t="shared" si="10"/>
        <v>0</v>
      </c>
      <c r="Y36" s="26">
        <f t="shared" si="11"/>
        <v>0</v>
      </c>
      <c r="Z36" s="12">
        <f t="shared" si="4"/>
        <v>0</v>
      </c>
      <c r="AA36" s="4" t="s">
        <v>10</v>
      </c>
      <c r="AB36" s="11">
        <f>IFERROR(VLOOKUP(AA36,Curr!$B$2:$C$13,2,FALSE),0)</f>
        <v>11</v>
      </c>
      <c r="AC36" s="12">
        <f t="shared" si="5"/>
        <v>0</v>
      </c>
      <c r="AD36" s="12">
        <f t="shared" si="6"/>
        <v>0</v>
      </c>
      <c r="AE36" s="13">
        <f t="shared" si="7"/>
        <v>0</v>
      </c>
    </row>
    <row r="37" spans="2:36" x14ac:dyDescent="0.25">
      <c r="B37" s="4"/>
      <c r="E37" s="3"/>
      <c r="F37" s="3"/>
      <c r="G37" s="24"/>
      <c r="H37" s="24"/>
      <c r="K37" s="4"/>
      <c r="L37" s="4"/>
      <c r="M37" s="4"/>
      <c r="N37" s="4"/>
      <c r="O37" s="4"/>
      <c r="P37" s="33"/>
      <c r="Q37" s="25"/>
      <c r="R37" s="25"/>
      <c r="S37" s="12">
        <f t="shared" si="8"/>
        <v>0</v>
      </c>
      <c r="T37" s="5">
        <v>0</v>
      </c>
      <c r="U37" s="12">
        <f t="shared" si="9"/>
        <v>0</v>
      </c>
      <c r="V37" s="25" t="s">
        <v>10</v>
      </c>
      <c r="W37" s="11">
        <f>IFERROR(VLOOKUP(V37,Curr!$B$2:$C$13,2,FALSE),0)</f>
        <v>11</v>
      </c>
      <c r="X37" s="12">
        <f t="shared" si="10"/>
        <v>0</v>
      </c>
      <c r="Y37" s="26">
        <f t="shared" si="11"/>
        <v>0</v>
      </c>
      <c r="Z37" s="12">
        <f t="shared" si="4"/>
        <v>0</v>
      </c>
      <c r="AA37" s="4" t="s">
        <v>10</v>
      </c>
      <c r="AB37" s="11">
        <f>IFERROR(VLOOKUP(AA37,Curr!$B$2:$C$13,2,FALSE),0)</f>
        <v>11</v>
      </c>
      <c r="AC37" s="12">
        <f t="shared" si="5"/>
        <v>0</v>
      </c>
      <c r="AD37" s="12">
        <f t="shared" si="6"/>
        <v>0</v>
      </c>
      <c r="AE37" s="13">
        <f t="shared" si="7"/>
        <v>0</v>
      </c>
    </row>
    <row r="38" spans="2:36" x14ac:dyDescent="0.25">
      <c r="B38" s="4"/>
      <c r="E38" s="3"/>
      <c r="F38" s="3"/>
      <c r="G38" s="24"/>
      <c r="H38" s="24"/>
      <c r="K38" s="4"/>
      <c r="L38" s="4"/>
      <c r="M38" s="4"/>
      <c r="N38" s="4"/>
      <c r="O38" s="4"/>
      <c r="P38" s="27"/>
      <c r="Q38" s="25"/>
      <c r="R38" s="25"/>
      <c r="S38" s="12">
        <f t="shared" si="8"/>
        <v>0</v>
      </c>
      <c r="T38" s="5">
        <v>0</v>
      </c>
      <c r="U38" s="12">
        <f t="shared" si="9"/>
        <v>0</v>
      </c>
      <c r="V38" s="25" t="s">
        <v>10</v>
      </c>
      <c r="W38" s="11">
        <f>IFERROR(VLOOKUP(V38,Curr!$B$2:$C$13,2,FALSE),0)</f>
        <v>11</v>
      </c>
      <c r="X38" s="12">
        <f t="shared" si="10"/>
        <v>0</v>
      </c>
      <c r="Y38" s="26">
        <f t="shared" si="11"/>
        <v>0</v>
      </c>
      <c r="Z38" s="12">
        <f t="shared" si="4"/>
        <v>0</v>
      </c>
      <c r="AA38" s="4" t="s">
        <v>10</v>
      </c>
      <c r="AB38" s="11">
        <f>IFERROR(VLOOKUP(AA38,Curr!$B$2:$C$13,2,FALSE),0)</f>
        <v>11</v>
      </c>
      <c r="AC38" s="12">
        <f t="shared" si="5"/>
        <v>0</v>
      </c>
      <c r="AD38" s="12">
        <f t="shared" si="6"/>
        <v>0</v>
      </c>
      <c r="AE38" s="13">
        <f t="shared" si="7"/>
        <v>0</v>
      </c>
    </row>
    <row r="39" spans="2:36" x14ac:dyDescent="0.25">
      <c r="B39" s="4"/>
      <c r="E39" s="3"/>
      <c r="F39" s="3"/>
      <c r="G39" s="24"/>
      <c r="H39" s="24"/>
      <c r="K39" s="4"/>
      <c r="L39" s="4"/>
      <c r="M39" s="4"/>
      <c r="N39" s="4"/>
      <c r="O39" s="4"/>
      <c r="P39" s="33"/>
      <c r="Q39" s="25"/>
      <c r="R39" s="25"/>
      <c r="S39" s="12">
        <f t="shared" si="8"/>
        <v>0</v>
      </c>
      <c r="T39" s="5">
        <v>0</v>
      </c>
      <c r="U39" s="12">
        <f t="shared" si="9"/>
        <v>0</v>
      </c>
      <c r="V39" s="25" t="s">
        <v>10</v>
      </c>
      <c r="W39" s="11">
        <f>IFERROR(VLOOKUP(V39,Curr!$B$2:$C$13,2,FALSE),0)</f>
        <v>11</v>
      </c>
      <c r="X39" s="12">
        <f t="shared" si="10"/>
        <v>0</v>
      </c>
      <c r="Y39" s="26">
        <f t="shared" si="11"/>
        <v>0</v>
      </c>
      <c r="Z39" s="12">
        <f t="shared" si="4"/>
        <v>0</v>
      </c>
      <c r="AA39" s="4" t="s">
        <v>10</v>
      </c>
      <c r="AB39" s="11">
        <f>IFERROR(VLOOKUP(AA39,Curr!$B$2:$C$13,2,FALSE),0)</f>
        <v>11</v>
      </c>
      <c r="AC39" s="12">
        <f t="shared" si="5"/>
        <v>0</v>
      </c>
      <c r="AD39" s="12">
        <f t="shared" si="6"/>
        <v>0</v>
      </c>
      <c r="AE39" s="13">
        <f t="shared" si="7"/>
        <v>0</v>
      </c>
    </row>
    <row r="40" spans="2:36" x14ac:dyDescent="0.25">
      <c r="B40" s="4"/>
      <c r="E40" s="3"/>
      <c r="F40" s="3"/>
      <c r="G40" s="24"/>
      <c r="H40" s="24"/>
      <c r="K40" s="4"/>
      <c r="L40" s="4"/>
      <c r="M40" s="4"/>
      <c r="N40" s="4"/>
      <c r="O40" s="4"/>
      <c r="P40" s="27"/>
      <c r="Q40" s="25"/>
      <c r="R40" s="25"/>
      <c r="S40" s="12">
        <f t="shared" si="8"/>
        <v>0</v>
      </c>
      <c r="T40" s="5">
        <v>0</v>
      </c>
      <c r="U40" s="12">
        <f t="shared" si="9"/>
        <v>0</v>
      </c>
      <c r="V40" s="25" t="s">
        <v>10</v>
      </c>
      <c r="W40" s="11">
        <f>IFERROR(VLOOKUP(V40,Curr!$B$2:$C$13,2,FALSE),0)</f>
        <v>11</v>
      </c>
      <c r="X40" s="12">
        <f t="shared" si="10"/>
        <v>0</v>
      </c>
      <c r="Y40" s="26">
        <f t="shared" si="11"/>
        <v>0</v>
      </c>
      <c r="Z40" s="12">
        <f t="shared" si="4"/>
        <v>0</v>
      </c>
      <c r="AA40" s="4" t="s">
        <v>10</v>
      </c>
      <c r="AB40" s="11">
        <f>IFERROR(VLOOKUP(AA40,Curr!$B$2:$C$13,2,FALSE),0)</f>
        <v>11</v>
      </c>
      <c r="AC40" s="12">
        <f t="shared" si="5"/>
        <v>0</v>
      </c>
      <c r="AD40" s="12">
        <f t="shared" si="6"/>
        <v>0</v>
      </c>
      <c r="AE40" s="13">
        <f t="shared" si="7"/>
        <v>0</v>
      </c>
    </row>
    <row r="41" spans="2:36" x14ac:dyDescent="0.25">
      <c r="B41" s="4"/>
      <c r="E41" s="3"/>
      <c r="F41" s="3"/>
      <c r="G41" s="24"/>
      <c r="H41" s="24"/>
      <c r="K41" s="4"/>
      <c r="L41" s="4"/>
      <c r="M41" s="4"/>
      <c r="N41" s="4"/>
      <c r="O41" s="4"/>
      <c r="P41" s="33"/>
      <c r="Q41" s="25"/>
      <c r="R41" s="25"/>
      <c r="S41" s="12">
        <f t="shared" si="8"/>
        <v>0</v>
      </c>
      <c r="T41" s="5">
        <v>0</v>
      </c>
      <c r="U41" s="12">
        <f t="shared" si="9"/>
        <v>0</v>
      </c>
      <c r="V41" s="25" t="s">
        <v>10</v>
      </c>
      <c r="W41" s="11">
        <f>IFERROR(VLOOKUP(V41,Curr!$B$2:$C$13,2,FALSE),0)</f>
        <v>11</v>
      </c>
      <c r="X41" s="12">
        <f t="shared" si="10"/>
        <v>0</v>
      </c>
      <c r="Y41" s="26">
        <f t="shared" si="11"/>
        <v>0</v>
      </c>
      <c r="Z41" s="12">
        <f t="shared" si="4"/>
        <v>0</v>
      </c>
      <c r="AA41" s="4" t="s">
        <v>10</v>
      </c>
      <c r="AB41" s="11">
        <f>IFERROR(VLOOKUP(AA41,Curr!$B$2:$C$13,2,FALSE),0)</f>
        <v>11</v>
      </c>
      <c r="AC41" s="12">
        <f t="shared" si="5"/>
        <v>0</v>
      </c>
      <c r="AD41" s="12">
        <f t="shared" si="6"/>
        <v>0</v>
      </c>
      <c r="AE41" s="13">
        <f t="shared" si="7"/>
        <v>0</v>
      </c>
    </row>
    <row r="42" spans="2:36" x14ac:dyDescent="0.25">
      <c r="B42" s="4"/>
      <c r="E42" s="3"/>
      <c r="F42" s="3"/>
      <c r="G42" s="3"/>
      <c r="H42" s="3"/>
      <c r="L42" s="4"/>
      <c r="M42" s="4"/>
      <c r="N42" s="4"/>
      <c r="O42" s="4"/>
      <c r="P42" s="22"/>
      <c r="Q42" s="4"/>
      <c r="R42" s="4"/>
      <c r="S42" s="4"/>
      <c r="T42" s="4"/>
      <c r="U42" s="4"/>
      <c r="V42" s="4"/>
      <c r="W42" s="4"/>
      <c r="X42" s="4"/>
      <c r="Y42" s="4"/>
      <c r="Z42" s="4"/>
      <c r="AA42" s="4"/>
      <c r="AB42" s="4"/>
      <c r="AC42" s="4"/>
      <c r="AD42" s="4"/>
      <c r="AE42" s="4"/>
      <c r="AF42" s="4"/>
    </row>
    <row r="43" spans="2:36" x14ac:dyDescent="0.25">
      <c r="B43" s="14" t="s">
        <v>18</v>
      </c>
      <c r="C43" s="14"/>
      <c r="D43" s="28" t="s">
        <v>42</v>
      </c>
      <c r="E43" s="30" t="s">
        <v>42</v>
      </c>
      <c r="F43" s="30" t="s">
        <v>42</v>
      </c>
      <c r="G43" s="30" t="s">
        <v>42</v>
      </c>
      <c r="H43" s="30" t="s">
        <v>42</v>
      </c>
      <c r="I43" s="28" t="s">
        <v>42</v>
      </c>
      <c r="J43" s="28" t="s">
        <v>42</v>
      </c>
      <c r="K43" s="28" t="s">
        <v>42</v>
      </c>
      <c r="L43" s="28" t="s">
        <v>42</v>
      </c>
      <c r="M43" s="28" t="s">
        <v>42</v>
      </c>
      <c r="N43" s="28" t="s">
        <v>42</v>
      </c>
      <c r="O43" s="28" t="s">
        <v>42</v>
      </c>
      <c r="P43" s="28" t="s">
        <v>42</v>
      </c>
      <c r="Q43" s="31" t="s">
        <v>42</v>
      </c>
      <c r="R43" s="28" t="s">
        <v>42</v>
      </c>
      <c r="S43" s="32" t="s">
        <v>42</v>
      </c>
      <c r="T43" s="28" t="s">
        <v>42</v>
      </c>
      <c r="U43" s="32" t="s">
        <v>42</v>
      </c>
      <c r="V43" s="28" t="s">
        <v>42</v>
      </c>
      <c r="W43" s="28" t="s">
        <v>42</v>
      </c>
      <c r="X43" s="32" t="s">
        <v>42</v>
      </c>
      <c r="Y43" s="32" t="s">
        <v>42</v>
      </c>
      <c r="Z43" s="15">
        <f>SUM(Z7:Z41)</f>
        <v>1923.3473451327434</v>
      </c>
      <c r="AA43" s="14"/>
      <c r="AB43" s="14"/>
      <c r="AC43" s="15">
        <f>SUM(AC7:AC41)</f>
        <v>21156.820796460175</v>
      </c>
      <c r="AD43" s="15">
        <f>SUM(AD7:AD41)</f>
        <v>3544.2207964601762</v>
      </c>
      <c r="AE43" s="21">
        <f t="shared" ref="AE43" si="19">IFERROR(AD43/AC43,0)</f>
        <v>0.16752142633136888</v>
      </c>
      <c r="AF43" s="15">
        <f>SUM(AF8:AF42)</f>
        <v>0</v>
      </c>
      <c r="AG43" s="15">
        <f>SUM(AG8:AG42)</f>
        <v>0</v>
      </c>
      <c r="AH43" s="15">
        <f>SUM(AH8:AH42)</f>
        <v>0</v>
      </c>
      <c r="AI43" s="15">
        <f>SUM(AI8:AI42)</f>
        <v>0</v>
      </c>
      <c r="AJ43" s="15">
        <f>SUM(AJ8:AJ42)</f>
        <v>0</v>
      </c>
    </row>
    <row r="44" spans="2:36" x14ac:dyDescent="0.25">
      <c r="B44" s="4"/>
      <c r="E44" s="3"/>
      <c r="F44" s="3"/>
      <c r="G44" s="3"/>
      <c r="H44" s="3"/>
      <c r="L44" s="4"/>
      <c r="M44" s="4"/>
      <c r="N44" s="4"/>
      <c r="O44" s="4"/>
      <c r="Q44" s="4"/>
      <c r="R44" s="4"/>
      <c r="S44" s="4"/>
      <c r="T44" s="4"/>
      <c r="U44" s="4"/>
      <c r="V44" s="4"/>
      <c r="W44" s="4"/>
      <c r="X44" s="4"/>
      <c r="Y44" s="9"/>
      <c r="Z44" s="9"/>
      <c r="AA44" s="9"/>
      <c r="AB44" s="9"/>
      <c r="AC44" s="9"/>
      <c r="AD44" s="9"/>
      <c r="AE44" s="9"/>
    </row>
    <row r="45" spans="2:36" x14ac:dyDescent="0.25">
      <c r="B45" s="4"/>
      <c r="E45" s="3"/>
      <c r="F45" s="3"/>
      <c r="G45" s="3"/>
      <c r="H45" s="3"/>
      <c r="L45" s="4"/>
      <c r="M45" s="4"/>
      <c r="N45" s="4"/>
      <c r="O45" s="4"/>
      <c r="Q45" s="9"/>
      <c r="R45" s="9"/>
      <c r="S45" s="9"/>
      <c r="T45" s="9"/>
      <c r="U45" s="9"/>
      <c r="V45" s="9"/>
      <c r="W45" s="9"/>
      <c r="X45" s="23"/>
      <c r="Y45" s="34" t="s">
        <v>43</v>
      </c>
      <c r="Z45" s="34">
        <v>1920</v>
      </c>
      <c r="AA45" s="9"/>
      <c r="AB45" s="9"/>
      <c r="AC45" s="9"/>
      <c r="AD45" s="9"/>
      <c r="AE45" s="9"/>
    </row>
    <row r="46" spans="2:36" x14ac:dyDescent="0.25">
      <c r="B46" s="4"/>
      <c r="E46" s="3"/>
      <c r="F46" s="3"/>
      <c r="G46" s="3"/>
      <c r="H46" s="3"/>
      <c r="L46" s="4"/>
      <c r="M46" s="4"/>
      <c r="N46" s="4"/>
      <c r="O46" s="4"/>
      <c r="Q46" s="9"/>
      <c r="R46" s="9"/>
      <c r="S46" s="9"/>
      <c r="T46" s="9"/>
      <c r="U46" s="9"/>
      <c r="V46" s="9"/>
      <c r="W46" s="9"/>
      <c r="X46" s="9"/>
      <c r="Y46" s="34" t="s">
        <v>44</v>
      </c>
      <c r="Z46" s="34">
        <f>Z45/2</f>
        <v>960</v>
      </c>
      <c r="AA46" s="9"/>
      <c r="AB46" s="9"/>
      <c r="AC46" s="9"/>
      <c r="AD46" s="9"/>
      <c r="AE46" s="9"/>
      <c r="AF46" s="18"/>
    </row>
    <row r="47" spans="2:36" x14ac:dyDescent="0.25">
      <c r="B47" s="4"/>
      <c r="E47" s="3"/>
      <c r="F47" s="3"/>
      <c r="G47" s="3"/>
      <c r="H47" s="3"/>
      <c r="I47" s="19"/>
      <c r="L47" s="4"/>
      <c r="M47" s="4"/>
      <c r="N47" s="4"/>
      <c r="O47" s="20"/>
      <c r="Q47" s="20"/>
      <c r="R47" s="20"/>
      <c r="S47" s="20"/>
      <c r="T47" s="20"/>
      <c r="U47" s="20"/>
      <c r="V47" s="20"/>
      <c r="W47" s="20"/>
      <c r="X47" s="20"/>
      <c r="Y47" s="9"/>
      <c r="Z47" s="9"/>
      <c r="AA47" s="9"/>
      <c r="AB47" s="9"/>
      <c r="AC47" s="9"/>
      <c r="AD47" s="9"/>
      <c r="AE47" s="9"/>
      <c r="AF47" s="18"/>
    </row>
    <row r="48" spans="2:36" x14ac:dyDescent="0.25">
      <c r="B48" s="4"/>
      <c r="E48" s="3"/>
      <c r="F48" s="3"/>
      <c r="G48" s="3"/>
      <c r="H48" s="3"/>
      <c r="L48" s="4"/>
      <c r="M48" s="4"/>
      <c r="N48" s="4"/>
      <c r="O48" s="20"/>
      <c r="Q48" s="20"/>
      <c r="R48" s="20"/>
      <c r="S48" s="20"/>
      <c r="T48" s="20"/>
      <c r="U48" s="20"/>
      <c r="V48" s="20"/>
      <c r="W48" s="20"/>
      <c r="X48" s="20"/>
      <c r="Y48" s="9"/>
      <c r="Z48" s="9"/>
      <c r="AA48" s="9"/>
      <c r="AB48" s="9"/>
      <c r="AC48" s="9"/>
      <c r="AD48" s="9"/>
      <c r="AE48" s="9"/>
      <c r="AF48" s="18"/>
    </row>
    <row r="49" spans="2:32" x14ac:dyDescent="0.25">
      <c r="B49" s="4"/>
      <c r="E49" s="3"/>
      <c r="F49" s="3"/>
      <c r="G49" s="3"/>
      <c r="H49" s="3"/>
      <c r="L49" s="4"/>
      <c r="M49" s="4"/>
      <c r="N49" s="4"/>
      <c r="O49" s="4"/>
      <c r="Q49" s="9"/>
      <c r="R49" s="9"/>
      <c r="S49" s="9"/>
      <c r="T49" s="9"/>
      <c r="U49" s="9"/>
      <c r="V49" s="9"/>
      <c r="W49" s="9"/>
      <c r="X49" s="9"/>
      <c r="Y49" s="37" t="s">
        <v>302</v>
      </c>
      <c r="Z49" s="9">
        <f>Z45</f>
        <v>1920</v>
      </c>
      <c r="AA49" s="9"/>
      <c r="AB49" s="9"/>
      <c r="AC49" s="9"/>
      <c r="AD49" s="9"/>
      <c r="AE49" s="9"/>
      <c r="AF49" s="18"/>
    </row>
    <row r="50" spans="2:32" x14ac:dyDescent="0.25">
      <c r="F50" s="1"/>
      <c r="G50" s="1"/>
      <c r="H50" s="1"/>
      <c r="J50" s="1" t="s">
        <v>32</v>
      </c>
      <c r="Q50" s="9"/>
      <c r="R50" s="4"/>
      <c r="S50" s="9"/>
      <c r="T50" s="5"/>
      <c r="U50" s="9"/>
      <c r="V50" s="4"/>
      <c r="W50" s="4"/>
      <c r="X50" s="9"/>
      <c r="Y50" s="37" t="s">
        <v>299</v>
      </c>
      <c r="Z50" s="9">
        <f>Z49*1.12</f>
        <v>2150.4</v>
      </c>
      <c r="AA50" s="9"/>
      <c r="AB50" s="9"/>
      <c r="AC50" s="9"/>
      <c r="AD50" s="9"/>
      <c r="AE50" s="9"/>
    </row>
    <row r="51" spans="2:32" x14ac:dyDescent="0.25">
      <c r="R51" s="4"/>
      <c r="S51" s="17"/>
      <c r="T51" s="17"/>
      <c r="U51" s="9"/>
      <c r="V51" s="4"/>
      <c r="W51" s="4"/>
      <c r="X51" s="9"/>
      <c r="Y51" s="37" t="s">
        <v>303</v>
      </c>
      <c r="Z51" s="9">
        <f>Z49*1.2</f>
        <v>2304</v>
      </c>
      <c r="AA51" s="9"/>
      <c r="AB51" s="9"/>
      <c r="AC51" s="9"/>
      <c r="AD51" s="9"/>
      <c r="AE51" s="9"/>
    </row>
    <row r="52" spans="2:32" x14ac:dyDescent="0.25">
      <c r="Q52" s="9"/>
      <c r="R52" s="4"/>
      <c r="S52" s="16"/>
      <c r="T52" s="16"/>
      <c r="U52" s="9"/>
      <c r="V52" s="4"/>
      <c r="W52" s="4"/>
      <c r="X52" s="9"/>
      <c r="Y52" s="37" t="s">
        <v>300</v>
      </c>
      <c r="Z52" s="9">
        <f>Z49*0.8</f>
        <v>1536</v>
      </c>
      <c r="AA52" s="9"/>
      <c r="AB52" s="9"/>
      <c r="AC52" s="9"/>
      <c r="AD52" s="9"/>
      <c r="AE52" s="9"/>
    </row>
    <row r="53" spans="2:32" x14ac:dyDescent="0.25">
      <c r="R53" s="4"/>
      <c r="S53" s="16"/>
      <c r="T53" s="16"/>
      <c r="Y53" s="9"/>
      <c r="Z53" s="9"/>
      <c r="AA53" s="9"/>
      <c r="AB53" s="9"/>
      <c r="AC53" s="9"/>
      <c r="AD53" s="9"/>
      <c r="AE53" s="9"/>
    </row>
    <row r="54" spans="2:32" x14ac:dyDescent="0.25">
      <c r="T54" s="5"/>
      <c r="Y54" s="9"/>
      <c r="Z54" s="9"/>
      <c r="AA54" s="9"/>
      <c r="AB54" s="9"/>
      <c r="AC54" s="9"/>
      <c r="AD54" s="9"/>
      <c r="AE54" s="9"/>
    </row>
    <row r="55" spans="2:32" x14ac:dyDescent="0.25">
      <c r="T55" s="5"/>
      <c r="Y55" s="9"/>
      <c r="Z55" s="9"/>
      <c r="AA55" s="9"/>
      <c r="AB55" s="9"/>
      <c r="AC55" s="9"/>
      <c r="AD55" s="9"/>
      <c r="AE55" s="9"/>
    </row>
    <row r="56" spans="2:32" x14ac:dyDescent="0.25">
      <c r="T56" s="5"/>
      <c r="Y56" s="9"/>
      <c r="Z56" s="9"/>
      <c r="AA56" s="9"/>
      <c r="AB56" s="9"/>
      <c r="AC56" s="9"/>
      <c r="AD56" s="9"/>
      <c r="AE56" s="9"/>
    </row>
    <row r="57" spans="2:32" x14ac:dyDescent="0.25">
      <c r="T57" s="5"/>
      <c r="Y57" s="9"/>
      <c r="Z57" s="9"/>
      <c r="AA57" s="9"/>
      <c r="AB57" s="9"/>
      <c r="AC57" s="9"/>
      <c r="AD57" s="9"/>
      <c r="AE57" s="9"/>
    </row>
    <row r="58" spans="2:32" x14ac:dyDescent="0.25">
      <c r="T58" s="5"/>
      <c r="Y58" s="9"/>
      <c r="Z58" s="9"/>
      <c r="AA58" s="9"/>
      <c r="AB58" s="9"/>
      <c r="AC58" s="9"/>
      <c r="AD58" s="9"/>
      <c r="AE58" s="9"/>
    </row>
    <row r="59" spans="2:32" x14ac:dyDescent="0.25">
      <c r="T59" s="5"/>
      <c r="Y59" s="9"/>
      <c r="Z59" s="9"/>
      <c r="AA59" s="9"/>
      <c r="AB59" s="9"/>
      <c r="AC59" s="9"/>
      <c r="AD59" s="9"/>
      <c r="AE59" s="9"/>
    </row>
    <row r="60" spans="2:32" x14ac:dyDescent="0.25">
      <c r="T60" s="5"/>
      <c r="Y60" s="9"/>
      <c r="Z60" s="9"/>
      <c r="AA60" s="9"/>
      <c r="AB60" s="9"/>
      <c r="AC60" s="9"/>
      <c r="AD60" s="9"/>
      <c r="AE60" s="9"/>
    </row>
    <row r="61" spans="2:32" x14ac:dyDescent="0.25">
      <c r="T61" s="5"/>
      <c r="Y61" s="9"/>
      <c r="Z61" s="9"/>
      <c r="AA61" s="9"/>
      <c r="AB61" s="9"/>
      <c r="AC61" s="9"/>
      <c r="AD61" s="9"/>
      <c r="AE61" s="9"/>
    </row>
    <row r="62" spans="2:32" x14ac:dyDescent="0.25">
      <c r="T62" s="5"/>
    </row>
    <row r="63" spans="2:32" x14ac:dyDescent="0.25">
      <c r="T63" s="5"/>
    </row>
    <row r="64" spans="2:32" x14ac:dyDescent="0.25">
      <c r="T64" s="5"/>
    </row>
    <row r="65" spans="20:20" x14ac:dyDescent="0.25">
      <c r="T65" s="5"/>
    </row>
    <row r="66" spans="20:20" x14ac:dyDescent="0.25">
      <c r="T66" s="5"/>
    </row>
  </sheetData>
  <autoFilter ref="B6:AE43" xr:uid="{65FA6D9B-E0AF-46CD-BA0D-86BB75FE6AB0}"/>
  <hyperlinks>
    <hyperlink ref="P17" r:id="rId1" xr:uid="{A0DE31E7-2DF2-4455-9415-D7DD57CA2224}"/>
    <hyperlink ref="P20" r:id="rId2" xr:uid="{525F8102-386D-4C58-839C-9AE127DB9783}"/>
    <hyperlink ref="P24" r:id="rId3" xr:uid="{84CAB893-1090-4EC8-8547-7708037415C6}"/>
  </hyperlinks>
  <pageMargins left="0.7" right="0.7" top="0.75" bottom="0.75" header="0.3" footer="0.3"/>
  <pageSetup paperSize="9" orientation="portrait"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9963D-2736-4140-8BF8-94BFF52AD462}">
  <sheetPr>
    <tabColor rgb="FFFFFF00"/>
  </sheetPr>
  <dimension ref="B1:AK86"/>
  <sheetViews>
    <sheetView topLeftCell="A6" zoomScale="80" zoomScaleNormal="80" workbookViewId="0">
      <selection activeCell="J12" sqref="J12"/>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1" spans="2:36" x14ac:dyDescent="0.25">
      <c r="B1" s="2" t="s">
        <v>69</v>
      </c>
    </row>
    <row r="2" spans="2:36" x14ac:dyDescent="0.25">
      <c r="B2" s="2" t="s">
        <v>73</v>
      </c>
    </row>
    <row r="3" spans="2:36" x14ac:dyDescent="0.25">
      <c r="B3" s="2" t="s">
        <v>50</v>
      </c>
    </row>
    <row r="4" spans="2:36" x14ac:dyDescent="0.25">
      <c r="B4" s="2" t="s">
        <v>51</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52</v>
      </c>
      <c r="D7" s="1" t="s">
        <v>53</v>
      </c>
      <c r="E7" s="3"/>
      <c r="F7" s="3"/>
      <c r="G7" s="3"/>
      <c r="H7" s="3"/>
      <c r="J7" s="1" t="s">
        <v>93</v>
      </c>
      <c r="K7" s="4"/>
      <c r="L7" s="4"/>
      <c r="M7" s="4"/>
      <c r="N7" s="4"/>
      <c r="O7" s="4"/>
      <c r="P7" s="27"/>
      <c r="Q7" s="25">
        <v>0</v>
      </c>
      <c r="R7" s="25">
        <v>0</v>
      </c>
      <c r="S7" s="12">
        <f t="shared" ref="S7:S31" si="0">+Q7*R7</f>
        <v>0</v>
      </c>
      <c r="T7" s="5">
        <v>0</v>
      </c>
      <c r="U7" s="12">
        <f t="shared" ref="U7:U31" si="1">S7*(1-T7)</f>
        <v>0</v>
      </c>
      <c r="V7" s="25" t="s">
        <v>10</v>
      </c>
      <c r="W7" s="11">
        <f>IFERROR(VLOOKUP(V7,Curr!$B$2:$C$13,2,FALSE),0)</f>
        <v>11</v>
      </c>
      <c r="X7" s="12">
        <f t="shared" ref="X7:X31" si="2">U7*W7</f>
        <v>0</v>
      </c>
      <c r="Y7" s="26">
        <f t="shared" ref="Y7:Y31" si="3">Q7</f>
        <v>0</v>
      </c>
      <c r="Z7" s="12">
        <f t="shared" ref="Z7:Z61" si="4">+Y7*R7</f>
        <v>0</v>
      </c>
      <c r="AA7" s="4" t="s">
        <v>10</v>
      </c>
      <c r="AB7" s="11">
        <f>IFERROR(VLOOKUP(AA7,Curr!$B$2:$C$13,2,FALSE),0)</f>
        <v>11</v>
      </c>
      <c r="AC7" s="12">
        <f t="shared" ref="AC7:AC61" si="5">+Y7*AB7*R7</f>
        <v>0</v>
      </c>
      <c r="AD7" s="12">
        <f t="shared" ref="AD7:AD61" si="6">+AC7-X7</f>
        <v>0</v>
      </c>
      <c r="AE7" s="13">
        <f t="shared" ref="AE7:AE61" si="7">IFERROR(AD7/AC7,0)</f>
        <v>0</v>
      </c>
    </row>
    <row r="8" spans="2:36" x14ac:dyDescent="0.25">
      <c r="B8" s="4"/>
      <c r="C8" s="1" t="s">
        <v>52</v>
      </c>
      <c r="D8" s="1" t="s">
        <v>54</v>
      </c>
      <c r="E8" s="3"/>
      <c r="F8" s="3"/>
      <c r="G8" s="24"/>
      <c r="H8" s="24"/>
      <c r="J8" s="1" t="s">
        <v>94</v>
      </c>
      <c r="K8" s="4"/>
      <c r="L8" s="4"/>
      <c r="M8" s="4"/>
      <c r="N8" s="4"/>
      <c r="O8" s="4"/>
      <c r="P8" s="33"/>
      <c r="Q8" s="25">
        <v>0</v>
      </c>
      <c r="R8" s="25">
        <v>0</v>
      </c>
      <c r="S8" s="12">
        <f t="shared" si="0"/>
        <v>0</v>
      </c>
      <c r="T8" s="5">
        <v>0</v>
      </c>
      <c r="U8" s="12">
        <f t="shared" si="1"/>
        <v>0</v>
      </c>
      <c r="V8" s="25" t="s">
        <v>10</v>
      </c>
      <c r="W8" s="11">
        <f>IFERROR(VLOOKUP(V8,Curr!$B$2:$C$13,2,FALSE),0)</f>
        <v>11</v>
      </c>
      <c r="X8" s="12">
        <f t="shared" si="2"/>
        <v>0</v>
      </c>
      <c r="Y8" s="26">
        <f t="shared" si="3"/>
        <v>0</v>
      </c>
      <c r="Z8" s="12">
        <f t="shared" si="4"/>
        <v>0</v>
      </c>
      <c r="AA8" s="4" t="s">
        <v>10</v>
      </c>
      <c r="AB8" s="11">
        <f>IFERROR(VLOOKUP(AA8,Curr!$B$2:$C$13,2,FALSE),0)</f>
        <v>11</v>
      </c>
      <c r="AC8" s="12">
        <f t="shared" si="5"/>
        <v>0</v>
      </c>
      <c r="AD8" s="12">
        <f t="shared" si="6"/>
        <v>0</v>
      </c>
      <c r="AE8" s="13">
        <f t="shared" si="7"/>
        <v>0</v>
      </c>
    </row>
    <row r="9" spans="2:36" x14ac:dyDescent="0.25">
      <c r="B9" s="4"/>
      <c r="C9" s="1" t="s">
        <v>52</v>
      </c>
      <c r="D9" s="1" t="s">
        <v>55</v>
      </c>
      <c r="E9" s="3"/>
      <c r="F9" s="3"/>
      <c r="G9" s="24"/>
      <c r="H9" s="24"/>
      <c r="J9" s="1" t="s">
        <v>113</v>
      </c>
      <c r="K9" s="4"/>
      <c r="L9" s="4"/>
      <c r="M9" s="4"/>
      <c r="N9" s="4"/>
      <c r="O9" s="4"/>
      <c r="P9" s="27"/>
      <c r="Q9" s="25">
        <v>440</v>
      </c>
      <c r="R9" s="25">
        <v>1</v>
      </c>
      <c r="S9" s="12">
        <f t="shared" si="0"/>
        <v>440</v>
      </c>
      <c r="T9" s="5">
        <v>0</v>
      </c>
      <c r="U9" s="12">
        <f t="shared" si="1"/>
        <v>440</v>
      </c>
      <c r="V9" s="25" t="s">
        <v>10</v>
      </c>
      <c r="W9" s="11">
        <f>IFERROR(VLOOKUP(V9,Curr!$B$2:$C$13,2,FALSE),0)</f>
        <v>11</v>
      </c>
      <c r="X9" s="12">
        <f t="shared" si="2"/>
        <v>4840</v>
      </c>
      <c r="Y9" s="26">
        <f>Q9/0.8</f>
        <v>550</v>
      </c>
      <c r="Z9" s="12">
        <f t="shared" si="4"/>
        <v>550</v>
      </c>
      <c r="AA9" s="4" t="s">
        <v>10</v>
      </c>
      <c r="AB9" s="11">
        <f>IFERROR(VLOOKUP(AA9,Curr!$B$2:$C$13,2,FALSE),0)</f>
        <v>11</v>
      </c>
      <c r="AC9" s="12">
        <f t="shared" si="5"/>
        <v>6050</v>
      </c>
      <c r="AD9" s="12">
        <f t="shared" si="6"/>
        <v>1210</v>
      </c>
      <c r="AE9" s="13">
        <f t="shared" si="7"/>
        <v>0.2</v>
      </c>
    </row>
    <row r="10" spans="2:36" x14ac:dyDescent="0.25">
      <c r="B10" s="4"/>
      <c r="C10" s="1" t="s">
        <v>52</v>
      </c>
      <c r="D10" s="1" t="s">
        <v>56</v>
      </c>
      <c r="E10" s="3"/>
      <c r="F10" s="3"/>
      <c r="G10" s="24"/>
      <c r="H10" s="24"/>
      <c r="J10" s="1" t="s">
        <v>80</v>
      </c>
      <c r="K10" s="4"/>
      <c r="L10" s="4"/>
      <c r="M10" s="4"/>
      <c r="N10" s="4"/>
      <c r="O10" s="4"/>
      <c r="P10" s="27"/>
      <c r="Q10" s="25">
        <v>0</v>
      </c>
      <c r="R10" s="25">
        <v>0</v>
      </c>
      <c r="S10" s="12">
        <f t="shared" si="0"/>
        <v>0</v>
      </c>
      <c r="T10" s="5">
        <v>0</v>
      </c>
      <c r="U10" s="12">
        <f t="shared" si="1"/>
        <v>0</v>
      </c>
      <c r="V10" s="25" t="s">
        <v>10</v>
      </c>
      <c r="W10" s="11">
        <f>IFERROR(VLOOKUP(V10,Curr!$B$2:$C$13,2,FALSE),0)</f>
        <v>11</v>
      </c>
      <c r="X10" s="12">
        <f t="shared" si="2"/>
        <v>0</v>
      </c>
      <c r="Y10" s="26">
        <f t="shared" si="3"/>
        <v>0</v>
      </c>
      <c r="Z10" s="12">
        <f t="shared" si="4"/>
        <v>0</v>
      </c>
      <c r="AA10" s="4" t="s">
        <v>10</v>
      </c>
      <c r="AB10" s="11">
        <f>IFERROR(VLOOKUP(AA10,Curr!$B$2:$C$13,2,FALSE),0)</f>
        <v>11</v>
      </c>
      <c r="AC10" s="12">
        <f t="shared" si="5"/>
        <v>0</v>
      </c>
      <c r="AD10" s="12">
        <f t="shared" si="6"/>
        <v>0</v>
      </c>
      <c r="AE10" s="13">
        <f t="shared" si="7"/>
        <v>0</v>
      </c>
    </row>
    <row r="11" spans="2:36" x14ac:dyDescent="0.25">
      <c r="B11" s="4"/>
      <c r="E11" s="3"/>
      <c r="F11" s="3"/>
      <c r="G11" s="24"/>
      <c r="H11" s="24"/>
      <c r="K11" s="4"/>
      <c r="L11" s="4"/>
      <c r="M11" s="4"/>
      <c r="N11" s="4"/>
      <c r="O11" s="4"/>
      <c r="P11" s="27"/>
      <c r="Q11" s="25"/>
      <c r="R11" s="25"/>
      <c r="S11" s="12">
        <f t="shared" si="0"/>
        <v>0</v>
      </c>
      <c r="T11" s="5">
        <v>0</v>
      </c>
      <c r="U11" s="12">
        <f t="shared" si="1"/>
        <v>0</v>
      </c>
      <c r="V11" s="25" t="s">
        <v>10</v>
      </c>
      <c r="W11" s="11">
        <f>IFERROR(VLOOKUP(V11,Curr!$B$2:$C$13,2,FALSE),0)</f>
        <v>11</v>
      </c>
      <c r="X11" s="12">
        <f t="shared" si="2"/>
        <v>0</v>
      </c>
      <c r="Y11" s="26">
        <f t="shared" si="3"/>
        <v>0</v>
      </c>
      <c r="Z11" s="12">
        <f t="shared" si="4"/>
        <v>0</v>
      </c>
      <c r="AA11" s="4" t="s">
        <v>10</v>
      </c>
      <c r="AB11" s="11">
        <f>IFERROR(VLOOKUP(AA11,Curr!$B$2:$C$13,2,FALSE),0)</f>
        <v>11</v>
      </c>
      <c r="AC11" s="12">
        <f t="shared" si="5"/>
        <v>0</v>
      </c>
      <c r="AD11" s="12">
        <f t="shared" si="6"/>
        <v>0</v>
      </c>
      <c r="AE11" s="13">
        <f t="shared" si="7"/>
        <v>0</v>
      </c>
    </row>
    <row r="12" spans="2:36" x14ac:dyDescent="0.25">
      <c r="B12" s="4"/>
      <c r="C12" s="1" t="s">
        <v>59</v>
      </c>
      <c r="D12" s="1" t="s">
        <v>57</v>
      </c>
      <c r="E12" s="3"/>
      <c r="F12" s="3"/>
      <c r="G12" s="24"/>
      <c r="H12" s="24"/>
      <c r="J12" s="1" t="s">
        <v>95</v>
      </c>
      <c r="K12" s="4"/>
      <c r="L12" s="4"/>
      <c r="M12" s="4"/>
      <c r="N12" s="4"/>
      <c r="O12" s="4"/>
      <c r="P12" s="27" t="s">
        <v>96</v>
      </c>
      <c r="Q12" s="25">
        <v>54</v>
      </c>
      <c r="R12" s="25">
        <v>2</v>
      </c>
      <c r="S12" s="12">
        <f t="shared" si="0"/>
        <v>108</v>
      </c>
      <c r="T12" s="5">
        <v>0.2</v>
      </c>
      <c r="U12" s="12">
        <f t="shared" si="1"/>
        <v>86.4</v>
      </c>
      <c r="V12" s="25" t="s">
        <v>10</v>
      </c>
      <c r="W12" s="11">
        <f>IFERROR(VLOOKUP(V12,Curr!$B$2:$C$13,2,FALSE),0)</f>
        <v>11</v>
      </c>
      <c r="X12" s="12">
        <f t="shared" si="2"/>
        <v>950.40000000000009</v>
      </c>
      <c r="Y12" s="26">
        <f t="shared" si="3"/>
        <v>54</v>
      </c>
      <c r="Z12" s="12">
        <f t="shared" si="4"/>
        <v>108</v>
      </c>
      <c r="AA12" s="4" t="s">
        <v>10</v>
      </c>
      <c r="AB12" s="11">
        <f>IFERROR(VLOOKUP(AA12,Curr!$B$2:$C$13,2,FALSE),0)</f>
        <v>11</v>
      </c>
      <c r="AC12" s="12">
        <f t="shared" si="5"/>
        <v>1188</v>
      </c>
      <c r="AD12" s="12">
        <f t="shared" si="6"/>
        <v>237.59999999999991</v>
      </c>
      <c r="AE12" s="13">
        <f t="shared" si="7"/>
        <v>0.19999999999999993</v>
      </c>
    </row>
    <row r="13" spans="2:36" x14ac:dyDescent="0.25">
      <c r="B13" s="4"/>
      <c r="C13" s="1" t="s">
        <v>59</v>
      </c>
      <c r="D13" s="1" t="s">
        <v>56</v>
      </c>
      <c r="E13" s="3"/>
      <c r="F13" s="3"/>
      <c r="G13" s="24"/>
      <c r="H13" s="24"/>
      <c r="J13" s="1" t="s">
        <v>80</v>
      </c>
      <c r="K13" s="4"/>
      <c r="L13" s="4"/>
      <c r="M13" s="4"/>
      <c r="N13" s="4"/>
      <c r="O13" s="4"/>
      <c r="P13" s="27"/>
      <c r="Q13" s="25">
        <v>0</v>
      </c>
      <c r="R13" s="25">
        <v>0</v>
      </c>
      <c r="S13" s="12">
        <f t="shared" si="0"/>
        <v>0</v>
      </c>
      <c r="T13" s="5">
        <v>0</v>
      </c>
      <c r="U13" s="12">
        <f t="shared" si="1"/>
        <v>0</v>
      </c>
      <c r="V13" s="25" t="s">
        <v>10</v>
      </c>
      <c r="W13" s="11">
        <f>IFERROR(VLOOKUP(V13,Curr!$B$2:$C$13,2,FALSE),0)</f>
        <v>11</v>
      </c>
      <c r="X13" s="12">
        <f t="shared" si="2"/>
        <v>0</v>
      </c>
      <c r="Y13" s="26">
        <f t="shared" si="3"/>
        <v>0</v>
      </c>
      <c r="Z13" s="12">
        <f t="shared" si="4"/>
        <v>0</v>
      </c>
      <c r="AA13" s="4" t="s">
        <v>10</v>
      </c>
      <c r="AB13" s="11">
        <f>IFERROR(VLOOKUP(AA13,Curr!$B$2:$C$13,2,FALSE),0)</f>
        <v>11</v>
      </c>
      <c r="AC13" s="12">
        <f t="shared" si="5"/>
        <v>0</v>
      </c>
      <c r="AD13" s="12">
        <f t="shared" si="6"/>
        <v>0</v>
      </c>
      <c r="AE13" s="13">
        <f t="shared" si="7"/>
        <v>0</v>
      </c>
    </row>
    <row r="14" spans="2:36" x14ac:dyDescent="0.25">
      <c r="B14" s="4"/>
      <c r="E14" s="3"/>
      <c r="F14" s="3"/>
      <c r="G14" s="24"/>
      <c r="H14" s="24"/>
      <c r="K14" s="4"/>
      <c r="L14" s="4"/>
      <c r="M14" s="4"/>
      <c r="N14" s="4"/>
      <c r="O14" s="4"/>
      <c r="P14" s="33"/>
      <c r="Q14" s="25"/>
      <c r="R14" s="25"/>
      <c r="S14" s="12">
        <f t="shared" si="0"/>
        <v>0</v>
      </c>
      <c r="T14" s="5">
        <v>0</v>
      </c>
      <c r="U14" s="12">
        <f t="shared" si="1"/>
        <v>0</v>
      </c>
      <c r="V14" s="25" t="s">
        <v>10</v>
      </c>
      <c r="W14" s="11">
        <f>IFERROR(VLOOKUP(V14,Curr!$B$2:$C$13,2,FALSE),0)</f>
        <v>11</v>
      </c>
      <c r="X14" s="12">
        <f t="shared" si="2"/>
        <v>0</v>
      </c>
      <c r="Y14" s="26">
        <f t="shared" si="3"/>
        <v>0</v>
      </c>
      <c r="Z14" s="12">
        <f t="shared" si="4"/>
        <v>0</v>
      </c>
      <c r="AA14" s="4" t="s">
        <v>10</v>
      </c>
      <c r="AB14" s="11">
        <f>IFERROR(VLOOKUP(AA14,Curr!$B$2:$C$13,2,FALSE),0)</f>
        <v>11</v>
      </c>
      <c r="AC14" s="12">
        <f t="shared" si="5"/>
        <v>0</v>
      </c>
      <c r="AD14" s="12">
        <f t="shared" si="6"/>
        <v>0</v>
      </c>
      <c r="AE14" s="13">
        <f t="shared" si="7"/>
        <v>0</v>
      </c>
    </row>
    <row r="15" spans="2:36" x14ac:dyDescent="0.25">
      <c r="B15" s="4"/>
      <c r="C15" s="1" t="s">
        <v>61</v>
      </c>
      <c r="D15" s="1" t="s">
        <v>54</v>
      </c>
      <c r="E15" s="3"/>
      <c r="F15" s="3"/>
      <c r="G15" s="24"/>
      <c r="H15" s="24"/>
      <c r="J15" s="1" t="s">
        <v>98</v>
      </c>
      <c r="K15" s="4"/>
      <c r="L15" s="4"/>
      <c r="M15" s="4"/>
      <c r="N15" s="4"/>
      <c r="O15" s="4"/>
      <c r="P15" s="27"/>
      <c r="Q15" s="25">
        <v>0</v>
      </c>
      <c r="R15" s="25">
        <v>0</v>
      </c>
      <c r="S15" s="12">
        <f t="shared" si="0"/>
        <v>0</v>
      </c>
      <c r="T15" s="5">
        <v>0</v>
      </c>
      <c r="U15" s="12">
        <f t="shared" si="1"/>
        <v>0</v>
      </c>
      <c r="V15" s="25" t="s">
        <v>10</v>
      </c>
      <c r="W15" s="11">
        <f>IFERROR(VLOOKUP(V15,Curr!$B$2:$C$13,2,FALSE),0)</f>
        <v>11</v>
      </c>
      <c r="X15" s="12">
        <f t="shared" si="2"/>
        <v>0</v>
      </c>
      <c r="Y15" s="26">
        <f t="shared" si="3"/>
        <v>0</v>
      </c>
      <c r="Z15" s="12">
        <f t="shared" si="4"/>
        <v>0</v>
      </c>
      <c r="AA15" s="4" t="s">
        <v>10</v>
      </c>
      <c r="AB15" s="11">
        <f>IFERROR(VLOOKUP(AA15,Curr!$B$2:$C$13,2,FALSE),0)</f>
        <v>11</v>
      </c>
      <c r="AC15" s="12">
        <f t="shared" si="5"/>
        <v>0</v>
      </c>
      <c r="AD15" s="12">
        <f t="shared" si="6"/>
        <v>0</v>
      </c>
      <c r="AE15" s="13">
        <f t="shared" si="7"/>
        <v>0</v>
      </c>
    </row>
    <row r="16" spans="2:36" x14ac:dyDescent="0.25">
      <c r="B16" s="4"/>
      <c r="C16" s="1" t="s">
        <v>61</v>
      </c>
      <c r="D16" s="1" t="s">
        <v>86</v>
      </c>
      <c r="E16" s="3"/>
      <c r="F16" s="3"/>
      <c r="G16" s="24"/>
      <c r="H16" s="24"/>
      <c r="J16" s="1" t="s">
        <v>99</v>
      </c>
      <c r="K16" s="4"/>
      <c r="L16" s="4"/>
      <c r="M16" s="4"/>
      <c r="N16" s="4"/>
      <c r="O16" s="4" t="s">
        <v>42</v>
      </c>
      <c r="P16" s="33"/>
      <c r="Q16" s="25">
        <v>3000</v>
      </c>
      <c r="R16" s="25">
        <v>1</v>
      </c>
      <c r="S16" s="12">
        <f t="shared" si="0"/>
        <v>3000</v>
      </c>
      <c r="T16" s="5">
        <v>0</v>
      </c>
      <c r="U16" s="12">
        <f t="shared" si="1"/>
        <v>3000</v>
      </c>
      <c r="V16" s="25" t="s">
        <v>8</v>
      </c>
      <c r="W16" s="11">
        <f>IFERROR(VLOOKUP(V16,Curr!$B$2:$C$13,2,FALSE),0)</f>
        <v>1</v>
      </c>
      <c r="X16" s="12">
        <f t="shared" si="2"/>
        <v>3000</v>
      </c>
      <c r="Y16" s="26">
        <f t="shared" ref="Y16" si="8">Q16/11.3/0.8</f>
        <v>331.85840707964599</v>
      </c>
      <c r="Z16" s="12">
        <f t="shared" si="4"/>
        <v>331.85840707964599</v>
      </c>
      <c r="AA16" s="4" t="s">
        <v>10</v>
      </c>
      <c r="AB16" s="11">
        <f>IFERROR(VLOOKUP(AA16,Curr!$B$2:$C$13,2,FALSE),0)</f>
        <v>11</v>
      </c>
      <c r="AC16" s="12">
        <f t="shared" si="5"/>
        <v>3650.4424778761058</v>
      </c>
      <c r="AD16" s="12">
        <f t="shared" si="6"/>
        <v>650.44247787610584</v>
      </c>
      <c r="AE16" s="13">
        <f t="shared" si="7"/>
        <v>0.17818181818181811</v>
      </c>
    </row>
    <row r="17" spans="2:31" x14ac:dyDescent="0.25">
      <c r="B17" s="4"/>
      <c r="C17" s="1" t="s">
        <v>61</v>
      </c>
      <c r="D17" s="1" t="s">
        <v>54</v>
      </c>
      <c r="E17" s="3"/>
      <c r="F17" s="3"/>
      <c r="G17" s="24"/>
      <c r="H17" s="24"/>
      <c r="J17" s="1" t="s">
        <v>100</v>
      </c>
      <c r="K17" s="4"/>
      <c r="L17" s="4"/>
      <c r="M17" s="4"/>
      <c r="N17" s="4"/>
      <c r="O17" s="4"/>
      <c r="P17" s="33"/>
      <c r="Q17" s="25">
        <v>0</v>
      </c>
      <c r="R17" s="25">
        <v>0</v>
      </c>
      <c r="S17" s="12">
        <f t="shared" si="0"/>
        <v>0</v>
      </c>
      <c r="T17" s="5">
        <v>0</v>
      </c>
      <c r="U17" s="12">
        <f t="shared" si="1"/>
        <v>0</v>
      </c>
      <c r="V17" s="25" t="s">
        <v>10</v>
      </c>
      <c r="W17" s="11">
        <f>IFERROR(VLOOKUP(V17,Curr!$B$2:$C$13,2,FALSE),0)</f>
        <v>11</v>
      </c>
      <c r="X17" s="12">
        <f t="shared" si="2"/>
        <v>0</v>
      </c>
      <c r="Y17" s="26">
        <f t="shared" ref="Y17:Y19" si="9">Q17</f>
        <v>0</v>
      </c>
      <c r="Z17" s="12">
        <f t="shared" si="4"/>
        <v>0</v>
      </c>
      <c r="AA17" s="4" t="s">
        <v>10</v>
      </c>
      <c r="AB17" s="11">
        <f>IFERROR(VLOOKUP(AA17,Curr!$B$2:$C$13,2,FALSE),0)</f>
        <v>11</v>
      </c>
      <c r="AC17" s="12">
        <f t="shared" si="5"/>
        <v>0</v>
      </c>
      <c r="AD17" s="12">
        <f t="shared" si="6"/>
        <v>0</v>
      </c>
      <c r="AE17" s="13">
        <f t="shared" si="7"/>
        <v>0</v>
      </c>
    </row>
    <row r="18" spans="2:31" x14ac:dyDescent="0.25">
      <c r="B18" s="4"/>
      <c r="C18" s="1" t="s">
        <v>61</v>
      </c>
      <c r="D18" s="1" t="s">
        <v>55</v>
      </c>
      <c r="E18" s="3"/>
      <c r="F18" s="3"/>
      <c r="G18" s="24"/>
      <c r="H18" s="24"/>
      <c r="J18" s="1" t="s">
        <v>114</v>
      </c>
      <c r="K18" s="4"/>
      <c r="L18" s="4"/>
      <c r="M18" s="4"/>
      <c r="N18" s="4"/>
      <c r="O18" s="4"/>
      <c r="P18" s="27"/>
      <c r="Q18" s="25">
        <v>500</v>
      </c>
      <c r="R18" s="25">
        <v>1</v>
      </c>
      <c r="S18" s="12">
        <f t="shared" si="0"/>
        <v>500</v>
      </c>
      <c r="T18" s="5">
        <v>0</v>
      </c>
      <c r="U18" s="12">
        <f t="shared" si="1"/>
        <v>500</v>
      </c>
      <c r="V18" s="25" t="s">
        <v>10</v>
      </c>
      <c r="W18" s="11">
        <f>IFERROR(VLOOKUP(V18,Curr!$B$2:$C$13,2,FALSE),0)</f>
        <v>11</v>
      </c>
      <c r="X18" s="12">
        <f t="shared" si="2"/>
        <v>5500</v>
      </c>
      <c r="Y18" s="26">
        <f>Q18/0.8</f>
        <v>625</v>
      </c>
      <c r="Z18" s="12">
        <f t="shared" si="4"/>
        <v>625</v>
      </c>
      <c r="AA18" s="4" t="s">
        <v>10</v>
      </c>
      <c r="AB18" s="11">
        <f>IFERROR(VLOOKUP(AA18,Curr!$B$2:$C$13,2,FALSE),0)</f>
        <v>11</v>
      </c>
      <c r="AC18" s="12">
        <f t="shared" si="5"/>
        <v>6875</v>
      </c>
      <c r="AD18" s="12">
        <f t="shared" si="6"/>
        <v>1375</v>
      </c>
      <c r="AE18" s="13">
        <f t="shared" si="7"/>
        <v>0.2</v>
      </c>
    </row>
    <row r="19" spans="2:31" x14ac:dyDescent="0.25">
      <c r="B19" s="4"/>
      <c r="C19" s="1" t="s">
        <v>61</v>
      </c>
      <c r="D19" s="1" t="s">
        <v>56</v>
      </c>
      <c r="E19" s="3"/>
      <c r="F19" s="3"/>
      <c r="G19" s="24"/>
      <c r="H19" s="24"/>
      <c r="J19" s="1" t="s">
        <v>79</v>
      </c>
      <c r="K19" s="4"/>
      <c r="L19" s="4"/>
      <c r="M19" s="4"/>
      <c r="N19" s="4"/>
      <c r="O19" s="4"/>
      <c r="P19" s="27"/>
      <c r="Q19" s="25">
        <v>0</v>
      </c>
      <c r="R19" s="25">
        <v>0</v>
      </c>
      <c r="S19" s="12">
        <f t="shared" si="0"/>
        <v>0</v>
      </c>
      <c r="T19" s="5">
        <v>0</v>
      </c>
      <c r="U19" s="12">
        <f t="shared" si="1"/>
        <v>0</v>
      </c>
      <c r="V19" s="25" t="s">
        <v>10</v>
      </c>
      <c r="W19" s="11">
        <f>IFERROR(VLOOKUP(V19,Curr!$B$2:$C$13,2,FALSE),0)</f>
        <v>11</v>
      </c>
      <c r="X19" s="12">
        <f t="shared" si="2"/>
        <v>0</v>
      </c>
      <c r="Y19" s="26">
        <f t="shared" si="9"/>
        <v>0</v>
      </c>
      <c r="Z19" s="12">
        <f t="shared" si="4"/>
        <v>0</v>
      </c>
      <c r="AA19" s="4" t="s">
        <v>10</v>
      </c>
      <c r="AB19" s="11">
        <f>IFERROR(VLOOKUP(AA19,Curr!$B$2:$C$13,2,FALSE),0)</f>
        <v>11</v>
      </c>
      <c r="AC19" s="12">
        <f t="shared" si="5"/>
        <v>0</v>
      </c>
      <c r="AD19" s="12">
        <f t="shared" si="6"/>
        <v>0</v>
      </c>
      <c r="AE19" s="13">
        <f t="shared" si="7"/>
        <v>0</v>
      </c>
    </row>
    <row r="20" spans="2:31" x14ac:dyDescent="0.25">
      <c r="B20" s="4"/>
      <c r="E20" s="3"/>
      <c r="F20" s="3"/>
      <c r="G20" s="24"/>
      <c r="H20" s="24"/>
      <c r="K20" s="4"/>
      <c r="L20" s="4"/>
      <c r="M20" s="4"/>
      <c r="N20" s="4"/>
      <c r="O20" s="4"/>
      <c r="P20" s="27"/>
      <c r="Q20" s="25"/>
      <c r="R20" s="25"/>
      <c r="S20" s="12">
        <f t="shared" si="0"/>
        <v>0</v>
      </c>
      <c r="T20" s="5">
        <v>0</v>
      </c>
      <c r="U20" s="12">
        <f t="shared" si="1"/>
        <v>0</v>
      </c>
      <c r="V20" s="25" t="s">
        <v>10</v>
      </c>
      <c r="W20" s="11">
        <f>IFERROR(VLOOKUP(V20,Curr!$B$2:$C$13,2,FALSE),0)</f>
        <v>11</v>
      </c>
      <c r="X20" s="12">
        <f t="shared" si="2"/>
        <v>0</v>
      </c>
      <c r="Y20" s="26">
        <f t="shared" si="3"/>
        <v>0</v>
      </c>
      <c r="Z20" s="12">
        <f t="shared" si="4"/>
        <v>0</v>
      </c>
      <c r="AA20" s="4" t="s">
        <v>10</v>
      </c>
      <c r="AB20" s="11">
        <f>IFERROR(VLOOKUP(AA20,Curr!$B$2:$C$13,2,FALSE),0)</f>
        <v>11</v>
      </c>
      <c r="AC20" s="12">
        <f t="shared" si="5"/>
        <v>0</v>
      </c>
      <c r="AD20" s="12">
        <f t="shared" si="6"/>
        <v>0</v>
      </c>
      <c r="AE20" s="13">
        <f t="shared" si="7"/>
        <v>0</v>
      </c>
    </row>
    <row r="21" spans="2:31" x14ac:dyDescent="0.25">
      <c r="B21" s="4"/>
      <c r="C21" s="1" t="s">
        <v>62</v>
      </c>
      <c r="D21" s="1" t="s">
        <v>57</v>
      </c>
      <c r="E21" s="3"/>
      <c r="F21" s="3"/>
      <c r="G21" s="24"/>
      <c r="H21" s="24"/>
      <c r="J21" s="1" t="s">
        <v>101</v>
      </c>
      <c r="K21" s="4"/>
      <c r="L21" s="4"/>
      <c r="M21" s="4"/>
      <c r="N21" s="4"/>
      <c r="O21" s="4"/>
      <c r="P21" s="33" t="s">
        <v>102</v>
      </c>
      <c r="Q21" s="25">
        <v>156</v>
      </c>
      <c r="R21" s="25">
        <v>2</v>
      </c>
      <c r="S21" s="12">
        <f t="shared" si="0"/>
        <v>312</v>
      </c>
      <c r="T21" s="5">
        <v>0.2</v>
      </c>
      <c r="U21" s="12">
        <f t="shared" si="1"/>
        <v>249.60000000000002</v>
      </c>
      <c r="V21" s="25" t="s">
        <v>10</v>
      </c>
      <c r="W21" s="11">
        <f>IFERROR(VLOOKUP(V21,Curr!$B$2:$C$13,2,FALSE),0)</f>
        <v>11</v>
      </c>
      <c r="X21" s="12">
        <f t="shared" si="2"/>
        <v>2745.6000000000004</v>
      </c>
      <c r="Y21" s="26">
        <f t="shared" si="3"/>
        <v>156</v>
      </c>
      <c r="Z21" s="12">
        <f t="shared" si="4"/>
        <v>312</v>
      </c>
      <c r="AA21" s="4" t="s">
        <v>10</v>
      </c>
      <c r="AB21" s="11">
        <f>IFERROR(VLOOKUP(AA21,Curr!$B$2:$C$13,2,FALSE),0)</f>
        <v>11</v>
      </c>
      <c r="AC21" s="12">
        <f t="shared" si="5"/>
        <v>3432</v>
      </c>
      <c r="AD21" s="12">
        <f t="shared" si="6"/>
        <v>686.39999999999964</v>
      </c>
      <c r="AE21" s="13">
        <f t="shared" si="7"/>
        <v>0.1999999999999999</v>
      </c>
    </row>
    <row r="22" spans="2:31" x14ac:dyDescent="0.25">
      <c r="B22" s="4"/>
      <c r="C22" s="1" t="s">
        <v>62</v>
      </c>
      <c r="D22" s="1" t="s">
        <v>56</v>
      </c>
      <c r="E22" s="3"/>
      <c r="F22" s="3"/>
      <c r="G22" s="24"/>
      <c r="H22" s="24"/>
      <c r="J22" s="1" t="s">
        <v>79</v>
      </c>
      <c r="K22" s="4"/>
      <c r="L22" s="4"/>
      <c r="M22" s="4"/>
      <c r="N22" s="4"/>
      <c r="O22" s="4"/>
      <c r="P22" s="33"/>
      <c r="Q22" s="25">
        <v>0</v>
      </c>
      <c r="R22" s="25">
        <v>0</v>
      </c>
      <c r="S22" s="12">
        <f t="shared" si="0"/>
        <v>0</v>
      </c>
      <c r="T22" s="5">
        <v>0</v>
      </c>
      <c r="U22" s="12">
        <f t="shared" si="1"/>
        <v>0</v>
      </c>
      <c r="V22" s="25" t="s">
        <v>10</v>
      </c>
      <c r="W22" s="11">
        <f>IFERROR(VLOOKUP(V22,Curr!$B$2:$C$13,2,FALSE),0)</f>
        <v>11</v>
      </c>
      <c r="X22" s="12">
        <f t="shared" si="2"/>
        <v>0</v>
      </c>
      <c r="Y22" s="26">
        <f t="shared" si="3"/>
        <v>0</v>
      </c>
      <c r="Z22" s="12">
        <f t="shared" si="4"/>
        <v>0</v>
      </c>
      <c r="AA22" s="4" t="s">
        <v>10</v>
      </c>
      <c r="AB22" s="11">
        <f>IFERROR(VLOOKUP(AA22,Curr!$B$2:$C$13,2,FALSE),0)</f>
        <v>11</v>
      </c>
      <c r="AC22" s="12">
        <f t="shared" si="5"/>
        <v>0</v>
      </c>
      <c r="AD22" s="12">
        <f t="shared" si="6"/>
        <v>0</v>
      </c>
      <c r="AE22" s="13">
        <f t="shared" si="7"/>
        <v>0</v>
      </c>
    </row>
    <row r="23" spans="2:31" x14ac:dyDescent="0.25">
      <c r="B23" s="4"/>
      <c r="E23" s="3"/>
      <c r="F23" s="3"/>
      <c r="G23" s="24"/>
      <c r="H23" s="24"/>
      <c r="K23" s="4"/>
      <c r="L23" s="4"/>
      <c r="M23" s="4"/>
      <c r="N23" s="4"/>
      <c r="O23" s="4"/>
      <c r="P23" s="27"/>
      <c r="Q23" s="25"/>
      <c r="R23" s="25"/>
      <c r="S23" s="12">
        <f t="shared" si="0"/>
        <v>0</v>
      </c>
      <c r="T23" s="5">
        <v>0</v>
      </c>
      <c r="U23" s="12">
        <f t="shared" si="1"/>
        <v>0</v>
      </c>
      <c r="V23" s="25" t="s">
        <v>10</v>
      </c>
      <c r="W23" s="11">
        <f>IFERROR(VLOOKUP(V23,Curr!$B$2:$C$13,2,FALSE),0)</f>
        <v>11</v>
      </c>
      <c r="X23" s="12">
        <f t="shared" si="2"/>
        <v>0</v>
      </c>
      <c r="Y23" s="26">
        <f t="shared" si="3"/>
        <v>0</v>
      </c>
      <c r="Z23" s="12">
        <f t="shared" si="4"/>
        <v>0</v>
      </c>
      <c r="AA23" s="4" t="s">
        <v>10</v>
      </c>
      <c r="AB23" s="11">
        <f>IFERROR(VLOOKUP(AA23,Curr!$B$2:$C$13,2,FALSE),0)</f>
        <v>11</v>
      </c>
      <c r="AC23" s="12">
        <f t="shared" si="5"/>
        <v>0</v>
      </c>
      <c r="AD23" s="12">
        <f t="shared" si="6"/>
        <v>0</v>
      </c>
      <c r="AE23" s="13">
        <f t="shared" si="7"/>
        <v>0</v>
      </c>
    </row>
    <row r="24" spans="2:31" x14ac:dyDescent="0.25">
      <c r="B24" s="4"/>
      <c r="C24" s="1" t="s">
        <v>63</v>
      </c>
      <c r="D24" s="1" t="s">
        <v>54</v>
      </c>
      <c r="E24" s="3"/>
      <c r="F24" s="3"/>
      <c r="G24" s="24"/>
      <c r="H24" s="24"/>
      <c r="J24" s="1" t="s">
        <v>103</v>
      </c>
      <c r="K24" s="4"/>
      <c r="L24" s="4"/>
      <c r="M24" s="4"/>
      <c r="N24" s="4"/>
      <c r="O24" s="4"/>
      <c r="P24" s="27"/>
      <c r="Q24" s="25">
        <v>0</v>
      </c>
      <c r="R24" s="25">
        <v>0</v>
      </c>
      <c r="S24" s="12">
        <f t="shared" si="0"/>
        <v>0</v>
      </c>
      <c r="T24" s="5">
        <v>0</v>
      </c>
      <c r="U24" s="12">
        <f t="shared" si="1"/>
        <v>0</v>
      </c>
      <c r="V24" s="25" t="s">
        <v>10</v>
      </c>
      <c r="W24" s="11">
        <f>IFERROR(VLOOKUP(V24,Curr!$B$2:$C$13,2,FALSE),0)</f>
        <v>11</v>
      </c>
      <c r="X24" s="12">
        <f t="shared" si="2"/>
        <v>0</v>
      </c>
      <c r="Y24" s="26">
        <f t="shared" si="3"/>
        <v>0</v>
      </c>
      <c r="Z24" s="12">
        <f t="shared" si="4"/>
        <v>0</v>
      </c>
      <c r="AA24" s="4" t="s">
        <v>10</v>
      </c>
      <c r="AB24" s="11">
        <f>IFERROR(VLOOKUP(AA24,Curr!$B$2:$C$13,2,FALSE),0)</f>
        <v>11</v>
      </c>
      <c r="AC24" s="12">
        <f t="shared" si="5"/>
        <v>0</v>
      </c>
      <c r="AD24" s="12">
        <f t="shared" si="6"/>
        <v>0</v>
      </c>
      <c r="AE24" s="13">
        <f t="shared" si="7"/>
        <v>0</v>
      </c>
    </row>
    <row r="25" spans="2:31" x14ac:dyDescent="0.25">
      <c r="B25" s="4"/>
      <c r="C25" s="1" t="s">
        <v>63</v>
      </c>
      <c r="D25" s="1" t="s">
        <v>58</v>
      </c>
      <c r="E25" s="3"/>
      <c r="F25" s="3"/>
      <c r="G25" s="24"/>
      <c r="H25" s="24"/>
      <c r="J25" s="1" t="s">
        <v>104</v>
      </c>
      <c r="K25" s="4"/>
      <c r="L25" s="4"/>
      <c r="M25" s="4"/>
      <c r="N25" s="4"/>
      <c r="O25" s="4" t="s">
        <v>42</v>
      </c>
      <c r="P25" s="33" t="s">
        <v>97</v>
      </c>
      <c r="Q25" s="25">
        <v>2000</v>
      </c>
      <c r="R25" s="25">
        <v>1</v>
      </c>
      <c r="S25" s="12">
        <f t="shared" si="0"/>
        <v>2000</v>
      </c>
      <c r="T25" s="5">
        <v>0</v>
      </c>
      <c r="U25" s="12">
        <f t="shared" si="1"/>
        <v>2000</v>
      </c>
      <c r="V25" s="25" t="s">
        <v>8</v>
      </c>
      <c r="W25" s="11">
        <f>IFERROR(VLOOKUP(V25,Curr!$B$2:$C$13,2,FALSE),0)</f>
        <v>1</v>
      </c>
      <c r="X25" s="12">
        <f t="shared" si="2"/>
        <v>2000</v>
      </c>
      <c r="Y25" s="26">
        <f t="shared" ref="Y25" si="10">Q25/11.3/0.8</f>
        <v>221.23893805309734</v>
      </c>
      <c r="Z25" s="12">
        <f t="shared" si="4"/>
        <v>221.23893805309734</v>
      </c>
      <c r="AA25" s="4" t="s">
        <v>10</v>
      </c>
      <c r="AB25" s="11">
        <f>IFERROR(VLOOKUP(AA25,Curr!$B$2:$C$13,2,FALSE),0)</f>
        <v>11</v>
      </c>
      <c r="AC25" s="12">
        <f t="shared" si="5"/>
        <v>2433.6283185840707</v>
      </c>
      <c r="AD25" s="12">
        <f t="shared" si="6"/>
        <v>433.62831858407071</v>
      </c>
      <c r="AE25" s="13">
        <f t="shared" si="7"/>
        <v>0.17818181818181816</v>
      </c>
    </row>
    <row r="26" spans="2:31" x14ac:dyDescent="0.25">
      <c r="B26" s="4"/>
      <c r="C26" s="1" t="s">
        <v>63</v>
      </c>
      <c r="D26" s="1" t="s">
        <v>54</v>
      </c>
      <c r="E26" s="3"/>
      <c r="F26" s="3"/>
      <c r="G26" s="24"/>
      <c r="H26" s="24"/>
      <c r="J26" s="1" t="s">
        <v>105</v>
      </c>
      <c r="K26" s="4"/>
      <c r="L26" s="4"/>
      <c r="M26" s="4"/>
      <c r="N26" s="4"/>
      <c r="O26" s="4"/>
      <c r="P26" s="27"/>
      <c r="Q26" s="25">
        <v>0</v>
      </c>
      <c r="R26" s="25">
        <v>0</v>
      </c>
      <c r="S26" s="12">
        <f t="shared" si="0"/>
        <v>0</v>
      </c>
      <c r="T26" s="5">
        <v>0</v>
      </c>
      <c r="U26" s="12">
        <f t="shared" si="1"/>
        <v>0</v>
      </c>
      <c r="V26" s="25" t="s">
        <v>8</v>
      </c>
      <c r="W26" s="11">
        <f>IFERROR(VLOOKUP(V26,Curr!$B$2:$C$13,2,FALSE),0)</f>
        <v>1</v>
      </c>
      <c r="X26" s="12">
        <f t="shared" si="2"/>
        <v>0</v>
      </c>
      <c r="Y26" s="26">
        <f>Q26/11.3/0.8</f>
        <v>0</v>
      </c>
      <c r="Z26" s="12">
        <f t="shared" si="4"/>
        <v>0</v>
      </c>
      <c r="AA26" s="4" t="s">
        <v>10</v>
      </c>
      <c r="AB26" s="11">
        <f>IFERROR(VLOOKUP(AA26,Curr!$B$2:$C$13,2,FALSE),0)</f>
        <v>11</v>
      </c>
      <c r="AC26" s="12">
        <f t="shared" si="5"/>
        <v>0</v>
      </c>
      <c r="AD26" s="12">
        <f t="shared" si="6"/>
        <v>0</v>
      </c>
      <c r="AE26" s="13">
        <f t="shared" si="7"/>
        <v>0</v>
      </c>
    </row>
    <row r="27" spans="2:31" x14ac:dyDescent="0.25">
      <c r="B27" s="4"/>
      <c r="C27" s="1" t="s">
        <v>63</v>
      </c>
      <c r="D27" s="1" t="s">
        <v>55</v>
      </c>
      <c r="E27" s="3"/>
      <c r="F27" s="3"/>
      <c r="G27" s="24"/>
      <c r="H27" s="24"/>
      <c r="J27" s="1" t="s">
        <v>115</v>
      </c>
      <c r="K27" s="4"/>
      <c r="L27" s="4"/>
      <c r="M27" s="4"/>
      <c r="N27" s="4"/>
      <c r="O27" s="4"/>
      <c r="P27" s="33"/>
      <c r="Q27" s="25">
        <v>350</v>
      </c>
      <c r="R27" s="25">
        <v>1</v>
      </c>
      <c r="S27" s="12">
        <f t="shared" si="0"/>
        <v>350</v>
      </c>
      <c r="T27" s="5">
        <v>0</v>
      </c>
      <c r="U27" s="12">
        <f t="shared" si="1"/>
        <v>350</v>
      </c>
      <c r="V27" s="25" t="s">
        <v>10</v>
      </c>
      <c r="W27" s="11">
        <f>IFERROR(VLOOKUP(V27,Curr!$B$2:$C$13,2,FALSE),0)</f>
        <v>11</v>
      </c>
      <c r="X27" s="12">
        <f t="shared" si="2"/>
        <v>3850</v>
      </c>
      <c r="Y27" s="26">
        <f>Q27/0.8</f>
        <v>437.5</v>
      </c>
      <c r="Z27" s="12">
        <f t="shared" si="4"/>
        <v>437.5</v>
      </c>
      <c r="AA27" s="4" t="s">
        <v>10</v>
      </c>
      <c r="AB27" s="11">
        <f>IFERROR(VLOOKUP(AA27,Curr!$B$2:$C$13,2,FALSE),0)</f>
        <v>11</v>
      </c>
      <c r="AC27" s="12">
        <f t="shared" si="5"/>
        <v>4812.5</v>
      </c>
      <c r="AD27" s="12">
        <f t="shared" si="6"/>
        <v>962.5</v>
      </c>
      <c r="AE27" s="13">
        <f t="shared" si="7"/>
        <v>0.2</v>
      </c>
    </row>
    <row r="28" spans="2:31" x14ac:dyDescent="0.25">
      <c r="B28" s="4"/>
      <c r="C28" s="1" t="s">
        <v>63</v>
      </c>
      <c r="D28" s="1" t="s">
        <v>56</v>
      </c>
      <c r="E28" s="3"/>
      <c r="F28" s="3"/>
      <c r="G28" s="24"/>
      <c r="H28" s="24"/>
      <c r="J28" s="1" t="s">
        <v>81</v>
      </c>
      <c r="K28" s="4"/>
      <c r="L28" s="4"/>
      <c r="M28" s="4"/>
      <c r="N28" s="4"/>
      <c r="O28" s="4"/>
      <c r="P28" s="27"/>
      <c r="Q28" s="25">
        <v>0</v>
      </c>
      <c r="R28" s="25">
        <v>0</v>
      </c>
      <c r="S28" s="12">
        <f t="shared" si="0"/>
        <v>0</v>
      </c>
      <c r="T28" s="5">
        <v>0</v>
      </c>
      <c r="U28" s="12">
        <f t="shared" si="1"/>
        <v>0</v>
      </c>
      <c r="V28" s="25" t="s">
        <v>10</v>
      </c>
      <c r="W28" s="11">
        <f>IFERROR(VLOOKUP(V28,Curr!$B$2:$C$13,2,FALSE),0)</f>
        <v>11</v>
      </c>
      <c r="X28" s="12">
        <f t="shared" si="2"/>
        <v>0</v>
      </c>
      <c r="Y28" s="26">
        <f t="shared" ref="Y28" si="11">Q28</f>
        <v>0</v>
      </c>
      <c r="Z28" s="12">
        <f t="shared" si="4"/>
        <v>0</v>
      </c>
      <c r="AA28" s="4" t="s">
        <v>10</v>
      </c>
      <c r="AB28" s="11">
        <f>IFERROR(VLOOKUP(AA28,Curr!$B$2:$C$13,2,FALSE),0)</f>
        <v>11</v>
      </c>
      <c r="AC28" s="12">
        <f t="shared" si="5"/>
        <v>0</v>
      </c>
      <c r="AD28" s="12">
        <f t="shared" si="6"/>
        <v>0</v>
      </c>
      <c r="AE28" s="13">
        <f t="shared" si="7"/>
        <v>0</v>
      </c>
    </row>
    <row r="29" spans="2:31" x14ac:dyDescent="0.25">
      <c r="B29" s="4"/>
      <c r="E29" s="3"/>
      <c r="F29" s="3"/>
      <c r="G29" s="24"/>
      <c r="H29" s="24"/>
      <c r="K29" s="4"/>
      <c r="L29" s="4"/>
      <c r="M29" s="4"/>
      <c r="N29" s="4"/>
      <c r="O29" s="4"/>
      <c r="P29" s="29"/>
      <c r="Q29" s="25"/>
      <c r="R29" s="25"/>
      <c r="S29" s="12">
        <f t="shared" si="0"/>
        <v>0</v>
      </c>
      <c r="T29" s="5">
        <v>0</v>
      </c>
      <c r="U29" s="12">
        <f t="shared" si="1"/>
        <v>0</v>
      </c>
      <c r="V29" s="25" t="s">
        <v>10</v>
      </c>
      <c r="W29" s="11">
        <f>IFERROR(VLOOKUP(V29,Curr!$B$2:$C$13,2,FALSE),0)</f>
        <v>11</v>
      </c>
      <c r="X29" s="12">
        <f t="shared" si="2"/>
        <v>0</v>
      </c>
      <c r="Y29" s="26">
        <f t="shared" si="3"/>
        <v>0</v>
      </c>
      <c r="Z29" s="12">
        <f t="shared" si="4"/>
        <v>0</v>
      </c>
      <c r="AA29" s="4" t="s">
        <v>10</v>
      </c>
      <c r="AB29" s="11">
        <f>IFERROR(VLOOKUP(AA29,Curr!$B$2:$C$13,2,FALSE),0)</f>
        <v>11</v>
      </c>
      <c r="AC29" s="12">
        <f t="shared" si="5"/>
        <v>0</v>
      </c>
      <c r="AD29" s="12">
        <f t="shared" si="6"/>
        <v>0</v>
      </c>
      <c r="AE29" s="13">
        <f t="shared" si="7"/>
        <v>0</v>
      </c>
    </row>
    <row r="30" spans="2:31" x14ac:dyDescent="0.25">
      <c r="B30" s="4"/>
      <c r="C30" s="1" t="s">
        <v>64</v>
      </c>
      <c r="D30" s="1" t="s">
        <v>57</v>
      </c>
      <c r="E30" s="3"/>
      <c r="F30" s="3"/>
      <c r="G30" s="24"/>
      <c r="H30" s="24"/>
      <c r="J30" s="1" t="s">
        <v>107</v>
      </c>
      <c r="K30" s="4"/>
      <c r="L30" s="4"/>
      <c r="M30" s="4"/>
      <c r="N30" s="4"/>
      <c r="O30" s="4" t="s">
        <v>42</v>
      </c>
      <c r="P30" s="33" t="s">
        <v>108</v>
      </c>
      <c r="Q30" s="25">
        <v>38</v>
      </c>
      <c r="R30" s="25">
        <v>2</v>
      </c>
      <c r="S30" s="12">
        <f t="shared" si="0"/>
        <v>76</v>
      </c>
      <c r="T30" s="5">
        <v>0.2</v>
      </c>
      <c r="U30" s="12">
        <f t="shared" si="1"/>
        <v>60.800000000000004</v>
      </c>
      <c r="V30" s="25" t="s">
        <v>10</v>
      </c>
      <c r="W30" s="11">
        <f>IFERROR(VLOOKUP(V30,Curr!$B$2:$C$13,2,FALSE),0)</f>
        <v>11</v>
      </c>
      <c r="X30" s="12">
        <f t="shared" si="2"/>
        <v>668.80000000000007</v>
      </c>
      <c r="Y30" s="26">
        <f>Q30</f>
        <v>38</v>
      </c>
      <c r="Z30" s="12">
        <f t="shared" si="4"/>
        <v>76</v>
      </c>
      <c r="AA30" s="4" t="s">
        <v>10</v>
      </c>
      <c r="AB30" s="11">
        <f>IFERROR(VLOOKUP(AA30,Curr!$B$2:$C$13,2,FALSE),0)</f>
        <v>11</v>
      </c>
      <c r="AC30" s="12">
        <f t="shared" si="5"/>
        <v>836</v>
      </c>
      <c r="AD30" s="12">
        <f t="shared" si="6"/>
        <v>167.19999999999993</v>
      </c>
      <c r="AE30" s="13">
        <f t="shared" si="7"/>
        <v>0.19999999999999993</v>
      </c>
    </row>
    <row r="31" spans="2:31" x14ac:dyDescent="0.25">
      <c r="B31" s="4"/>
      <c r="C31" s="1" t="s">
        <v>64</v>
      </c>
      <c r="D31" s="1" t="s">
        <v>56</v>
      </c>
      <c r="E31" s="3"/>
      <c r="F31" s="3"/>
      <c r="G31" s="24"/>
      <c r="H31" s="24"/>
      <c r="J31" s="1" t="s">
        <v>81</v>
      </c>
      <c r="K31" s="4"/>
      <c r="L31" s="4"/>
      <c r="M31" s="4"/>
      <c r="N31" s="4"/>
      <c r="O31" s="4"/>
      <c r="P31" s="27"/>
      <c r="Q31" s="25">
        <v>0</v>
      </c>
      <c r="R31" s="25">
        <v>0</v>
      </c>
      <c r="S31" s="12">
        <f t="shared" si="0"/>
        <v>0</v>
      </c>
      <c r="T31" s="5">
        <v>0</v>
      </c>
      <c r="U31" s="12">
        <f t="shared" si="1"/>
        <v>0</v>
      </c>
      <c r="V31" s="25" t="s">
        <v>10</v>
      </c>
      <c r="W31" s="11">
        <f>IFERROR(VLOOKUP(V31,Curr!$B$2:$C$13,2,FALSE),0)</f>
        <v>11</v>
      </c>
      <c r="X31" s="12">
        <f t="shared" si="2"/>
        <v>0</v>
      </c>
      <c r="Y31" s="26">
        <f t="shared" si="3"/>
        <v>0</v>
      </c>
      <c r="Z31" s="12">
        <f t="shared" si="4"/>
        <v>0</v>
      </c>
      <c r="AA31" s="4" t="s">
        <v>10</v>
      </c>
      <c r="AB31" s="11">
        <f>IFERROR(VLOOKUP(AA31,Curr!$B$2:$C$13,2,FALSE),0)</f>
        <v>11</v>
      </c>
      <c r="AC31" s="12">
        <f t="shared" si="5"/>
        <v>0</v>
      </c>
      <c r="AD31" s="12">
        <f t="shared" si="6"/>
        <v>0</v>
      </c>
      <c r="AE31" s="13">
        <f t="shared" si="7"/>
        <v>0</v>
      </c>
    </row>
    <row r="32" spans="2:31" x14ac:dyDescent="0.25">
      <c r="B32" s="4"/>
      <c r="E32" s="3"/>
      <c r="F32" s="3"/>
      <c r="G32" s="24"/>
      <c r="H32" s="24"/>
      <c r="K32" s="4"/>
      <c r="L32" s="4"/>
      <c r="M32" s="4"/>
      <c r="N32" s="4"/>
      <c r="O32" s="4"/>
      <c r="P32" s="27"/>
      <c r="Q32" s="25"/>
      <c r="R32" s="25"/>
      <c r="S32" s="12">
        <f t="shared" ref="S32:S61" si="12">+Q32*R32</f>
        <v>0</v>
      </c>
      <c r="T32" s="5">
        <v>0</v>
      </c>
      <c r="U32" s="12">
        <f t="shared" ref="U32:U61" si="13">S32*(1-T32)</f>
        <v>0</v>
      </c>
      <c r="V32" s="25" t="s">
        <v>10</v>
      </c>
      <c r="W32" s="11">
        <f>IFERROR(VLOOKUP(V32,Curr!$B$2:$C$13,2,FALSE),0)</f>
        <v>11</v>
      </c>
      <c r="X32" s="12">
        <f t="shared" ref="X32:X61" si="14">U32*W32</f>
        <v>0</v>
      </c>
      <c r="Y32" s="26">
        <f t="shared" ref="Y32:Y61" si="15">Q32</f>
        <v>0</v>
      </c>
      <c r="Z32" s="12">
        <f t="shared" si="4"/>
        <v>0</v>
      </c>
      <c r="AA32" s="4" t="s">
        <v>10</v>
      </c>
      <c r="AB32" s="11">
        <f>IFERROR(VLOOKUP(AA32,Curr!$B$2:$C$13,2,FALSE),0)</f>
        <v>11</v>
      </c>
      <c r="AC32" s="12">
        <f t="shared" si="5"/>
        <v>0</v>
      </c>
      <c r="AD32" s="12">
        <f t="shared" si="6"/>
        <v>0</v>
      </c>
      <c r="AE32" s="13">
        <f t="shared" si="7"/>
        <v>0</v>
      </c>
    </row>
    <row r="33" spans="2:31" x14ac:dyDescent="0.25">
      <c r="B33" s="4"/>
      <c r="C33" s="1" t="s">
        <v>65</v>
      </c>
      <c r="D33" s="1" t="s">
        <v>54</v>
      </c>
      <c r="E33" s="3"/>
      <c r="F33" s="3"/>
      <c r="G33" s="24"/>
      <c r="H33" s="24"/>
      <c r="J33" s="1" t="s">
        <v>122</v>
      </c>
      <c r="K33" s="4"/>
      <c r="L33" s="4"/>
      <c r="M33" s="4"/>
      <c r="N33" s="4"/>
      <c r="O33" s="4"/>
      <c r="P33" s="27"/>
      <c r="Q33" s="25">
        <v>0</v>
      </c>
      <c r="R33" s="25">
        <v>0</v>
      </c>
      <c r="S33" s="12">
        <f t="shared" si="12"/>
        <v>0</v>
      </c>
      <c r="T33" s="5">
        <v>0</v>
      </c>
      <c r="U33" s="12">
        <f t="shared" si="13"/>
        <v>0</v>
      </c>
      <c r="V33" s="25" t="s">
        <v>10</v>
      </c>
      <c r="W33" s="11">
        <f>IFERROR(VLOOKUP(V33,Curr!$B$2:$C$13,2,FALSE),0)</f>
        <v>11</v>
      </c>
      <c r="X33" s="12">
        <f t="shared" si="14"/>
        <v>0</v>
      </c>
      <c r="Y33" s="26">
        <f t="shared" si="15"/>
        <v>0</v>
      </c>
      <c r="Z33" s="12">
        <f t="shared" si="4"/>
        <v>0</v>
      </c>
      <c r="AA33" s="4" t="s">
        <v>10</v>
      </c>
      <c r="AB33" s="11">
        <f>IFERROR(VLOOKUP(AA33,Curr!$B$2:$C$13,2,FALSE),0)</f>
        <v>11</v>
      </c>
      <c r="AC33" s="12">
        <f t="shared" si="5"/>
        <v>0</v>
      </c>
      <c r="AD33" s="12">
        <f t="shared" si="6"/>
        <v>0</v>
      </c>
      <c r="AE33" s="13">
        <f t="shared" si="7"/>
        <v>0</v>
      </c>
    </row>
    <row r="34" spans="2:31" x14ac:dyDescent="0.25">
      <c r="B34" s="4"/>
      <c r="C34" s="1" t="s">
        <v>65</v>
      </c>
      <c r="D34" s="1" t="s">
        <v>58</v>
      </c>
      <c r="E34" s="3"/>
      <c r="F34" s="3"/>
      <c r="G34" s="24"/>
      <c r="H34" s="24"/>
      <c r="J34" s="1" t="s">
        <v>131</v>
      </c>
      <c r="K34" s="4"/>
      <c r="L34" s="4"/>
      <c r="M34" s="4"/>
      <c r="N34" s="4"/>
      <c r="O34" s="4" t="s">
        <v>42</v>
      </c>
      <c r="P34" s="33" t="s">
        <v>132</v>
      </c>
      <c r="Q34" s="25">
        <v>2400</v>
      </c>
      <c r="R34" s="25">
        <v>1</v>
      </c>
      <c r="S34" s="12">
        <f t="shared" si="12"/>
        <v>2400</v>
      </c>
      <c r="T34" s="5">
        <v>0</v>
      </c>
      <c r="U34" s="12">
        <f t="shared" si="13"/>
        <v>2400</v>
      </c>
      <c r="V34" s="25" t="s">
        <v>8</v>
      </c>
      <c r="W34" s="11">
        <f>IFERROR(VLOOKUP(V34,Curr!$B$2:$C$13,2,FALSE),0)</f>
        <v>1</v>
      </c>
      <c r="X34" s="12">
        <f t="shared" si="14"/>
        <v>2400</v>
      </c>
      <c r="Y34" s="26">
        <f>Q34/11.3/0.8</f>
        <v>265.48672566371675</v>
      </c>
      <c r="Z34" s="12">
        <f t="shared" si="4"/>
        <v>265.48672566371675</v>
      </c>
      <c r="AA34" s="4" t="s">
        <v>10</v>
      </c>
      <c r="AB34" s="11">
        <f>IFERROR(VLOOKUP(AA34,Curr!$B$2:$C$13,2,FALSE),0)</f>
        <v>11</v>
      </c>
      <c r="AC34" s="12">
        <f t="shared" si="5"/>
        <v>2920.3539823008841</v>
      </c>
      <c r="AD34" s="12">
        <f t="shared" si="6"/>
        <v>520.35398230088413</v>
      </c>
      <c r="AE34" s="13">
        <f t="shared" si="7"/>
        <v>0.17818181818181794</v>
      </c>
    </row>
    <row r="35" spans="2:31" x14ac:dyDescent="0.25">
      <c r="B35" s="4"/>
      <c r="C35" s="1" t="s">
        <v>65</v>
      </c>
      <c r="D35" s="1" t="s">
        <v>54</v>
      </c>
      <c r="E35" s="3"/>
      <c r="F35" s="3"/>
      <c r="G35" s="24"/>
      <c r="H35" s="24"/>
      <c r="J35" s="1" t="s">
        <v>123</v>
      </c>
      <c r="K35" s="4"/>
      <c r="L35" s="4"/>
      <c r="M35" s="4"/>
      <c r="N35" s="4"/>
      <c r="O35" s="4"/>
      <c r="P35" s="33"/>
      <c r="Q35" s="25">
        <v>0</v>
      </c>
      <c r="R35" s="25">
        <v>0</v>
      </c>
      <c r="S35" s="12">
        <f t="shared" si="12"/>
        <v>0</v>
      </c>
      <c r="T35" s="5">
        <v>0</v>
      </c>
      <c r="U35" s="12">
        <f t="shared" si="13"/>
        <v>0</v>
      </c>
      <c r="V35" s="25" t="s">
        <v>10</v>
      </c>
      <c r="W35" s="11">
        <f>IFERROR(VLOOKUP(V35,Curr!$B$2:$C$13,2,FALSE),0)</f>
        <v>11</v>
      </c>
      <c r="X35" s="12">
        <f t="shared" si="14"/>
        <v>0</v>
      </c>
      <c r="Y35" s="26">
        <f t="shared" si="15"/>
        <v>0</v>
      </c>
      <c r="Z35" s="12">
        <f t="shared" si="4"/>
        <v>0</v>
      </c>
      <c r="AA35" s="4" t="s">
        <v>10</v>
      </c>
      <c r="AB35" s="11">
        <f>IFERROR(VLOOKUP(AA35,Curr!$B$2:$C$13,2,FALSE),0)</f>
        <v>11</v>
      </c>
      <c r="AC35" s="12">
        <f t="shared" si="5"/>
        <v>0</v>
      </c>
      <c r="AD35" s="12">
        <f t="shared" si="6"/>
        <v>0</v>
      </c>
      <c r="AE35" s="13">
        <f t="shared" si="7"/>
        <v>0</v>
      </c>
    </row>
    <row r="36" spans="2:31" x14ac:dyDescent="0.25">
      <c r="B36" s="4"/>
      <c r="C36" s="1" t="s">
        <v>65</v>
      </c>
      <c r="D36" s="1" t="s">
        <v>55</v>
      </c>
      <c r="E36" s="3"/>
      <c r="F36" s="3"/>
      <c r="G36" s="24"/>
      <c r="H36" s="24"/>
      <c r="J36" s="1" t="s">
        <v>133</v>
      </c>
      <c r="K36" s="4"/>
      <c r="L36" s="4"/>
      <c r="M36" s="4"/>
      <c r="N36" s="4"/>
      <c r="O36" s="4"/>
      <c r="P36" s="33"/>
      <c r="Q36" s="25">
        <v>350</v>
      </c>
      <c r="R36" s="25">
        <v>1</v>
      </c>
      <c r="S36" s="12">
        <f t="shared" si="12"/>
        <v>350</v>
      </c>
      <c r="T36" s="5">
        <v>0</v>
      </c>
      <c r="U36" s="12">
        <f t="shared" si="13"/>
        <v>350</v>
      </c>
      <c r="V36" s="25" t="s">
        <v>10</v>
      </c>
      <c r="W36" s="11">
        <f>IFERROR(VLOOKUP(V36,Curr!$B$2:$C$13,2,FALSE),0)</f>
        <v>11</v>
      </c>
      <c r="X36" s="12">
        <f t="shared" si="14"/>
        <v>3850</v>
      </c>
      <c r="Y36" s="26">
        <f>Q36/0.85</f>
        <v>411.76470588235293</v>
      </c>
      <c r="Z36" s="12">
        <f t="shared" si="4"/>
        <v>411.76470588235293</v>
      </c>
      <c r="AA36" s="4" t="s">
        <v>10</v>
      </c>
      <c r="AB36" s="11">
        <f>IFERROR(VLOOKUP(AA36,Curr!$B$2:$C$13,2,FALSE),0)</f>
        <v>11</v>
      </c>
      <c r="AC36" s="12">
        <f t="shared" si="5"/>
        <v>4529.411764705882</v>
      </c>
      <c r="AD36" s="12">
        <f t="shared" si="6"/>
        <v>679.41176470588198</v>
      </c>
      <c r="AE36" s="13">
        <f t="shared" si="7"/>
        <v>0.14999999999999994</v>
      </c>
    </row>
    <row r="37" spans="2:31" x14ac:dyDescent="0.25">
      <c r="B37" s="4"/>
      <c r="C37" s="1" t="s">
        <v>65</v>
      </c>
      <c r="D37" s="1" t="s">
        <v>56</v>
      </c>
      <c r="E37" s="3"/>
      <c r="F37" s="3"/>
      <c r="G37" s="24"/>
      <c r="H37" s="24"/>
      <c r="J37" s="1" t="s">
        <v>124</v>
      </c>
      <c r="K37" s="4"/>
      <c r="L37" s="4"/>
      <c r="M37" s="4"/>
      <c r="N37" s="4"/>
      <c r="O37" s="4"/>
      <c r="P37" s="33"/>
      <c r="Q37" s="25">
        <v>0</v>
      </c>
      <c r="R37" s="25">
        <v>0</v>
      </c>
      <c r="S37" s="12">
        <f t="shared" si="12"/>
        <v>0</v>
      </c>
      <c r="T37" s="5">
        <v>0</v>
      </c>
      <c r="U37" s="12">
        <f t="shared" si="13"/>
        <v>0</v>
      </c>
      <c r="V37" s="25" t="s">
        <v>10</v>
      </c>
      <c r="W37" s="11">
        <f>IFERROR(VLOOKUP(V37,Curr!$B$2:$C$13,2,FALSE),0)</f>
        <v>11</v>
      </c>
      <c r="X37" s="12">
        <f t="shared" si="14"/>
        <v>0</v>
      </c>
      <c r="Y37" s="26">
        <f t="shared" si="15"/>
        <v>0</v>
      </c>
      <c r="Z37" s="12">
        <f t="shared" si="4"/>
        <v>0</v>
      </c>
      <c r="AA37" s="4" t="s">
        <v>10</v>
      </c>
      <c r="AB37" s="11">
        <f>IFERROR(VLOOKUP(AA37,Curr!$B$2:$C$13,2,FALSE),0)</f>
        <v>11</v>
      </c>
      <c r="AC37" s="12">
        <f t="shared" si="5"/>
        <v>0</v>
      </c>
      <c r="AD37" s="12">
        <f t="shared" si="6"/>
        <v>0</v>
      </c>
      <c r="AE37" s="13">
        <f t="shared" si="7"/>
        <v>0</v>
      </c>
    </row>
    <row r="38" spans="2:31" x14ac:dyDescent="0.25">
      <c r="B38" s="4"/>
      <c r="E38" s="3"/>
      <c r="F38" s="3"/>
      <c r="G38" s="24"/>
      <c r="H38" s="24"/>
      <c r="K38" s="4"/>
      <c r="L38" s="4"/>
      <c r="M38" s="4"/>
      <c r="N38" s="4"/>
      <c r="O38" s="4"/>
      <c r="P38" s="27"/>
      <c r="Q38" s="25"/>
      <c r="R38" s="25"/>
      <c r="S38" s="12">
        <f t="shared" si="12"/>
        <v>0</v>
      </c>
      <c r="T38" s="5">
        <v>0</v>
      </c>
      <c r="U38" s="12">
        <f t="shared" si="13"/>
        <v>0</v>
      </c>
      <c r="V38" s="25" t="s">
        <v>10</v>
      </c>
      <c r="W38" s="11">
        <f>IFERROR(VLOOKUP(V38,Curr!$B$2:$C$13,2,FALSE),0)</f>
        <v>11</v>
      </c>
      <c r="X38" s="12">
        <f t="shared" si="14"/>
        <v>0</v>
      </c>
      <c r="Y38" s="26">
        <f t="shared" si="15"/>
        <v>0</v>
      </c>
      <c r="Z38" s="12">
        <f t="shared" si="4"/>
        <v>0</v>
      </c>
      <c r="AA38" s="4" t="s">
        <v>10</v>
      </c>
      <c r="AB38" s="11">
        <f>IFERROR(VLOOKUP(AA38,Curr!$B$2:$C$13,2,FALSE),0)</f>
        <v>11</v>
      </c>
      <c r="AC38" s="12">
        <f t="shared" si="5"/>
        <v>0</v>
      </c>
      <c r="AD38" s="12">
        <f t="shared" si="6"/>
        <v>0</v>
      </c>
      <c r="AE38" s="13">
        <f t="shared" si="7"/>
        <v>0</v>
      </c>
    </row>
    <row r="39" spans="2:31" x14ac:dyDescent="0.25">
      <c r="B39" s="4"/>
      <c r="C39" s="1" t="s">
        <v>66</v>
      </c>
      <c r="D39" s="1" t="s">
        <v>57</v>
      </c>
      <c r="E39" s="3"/>
      <c r="F39" s="3"/>
      <c r="G39" s="24"/>
      <c r="H39" s="24"/>
      <c r="J39" s="1" t="s">
        <v>125</v>
      </c>
      <c r="K39" s="4"/>
      <c r="L39" s="4"/>
      <c r="M39" s="4"/>
      <c r="N39" s="4"/>
      <c r="O39" s="4" t="s">
        <v>42</v>
      </c>
      <c r="P39" s="33" t="s">
        <v>126</v>
      </c>
      <c r="Q39" s="25">
        <v>290</v>
      </c>
      <c r="R39" s="25">
        <v>2</v>
      </c>
      <c r="S39" s="12">
        <f t="shared" si="12"/>
        <v>580</v>
      </c>
      <c r="T39" s="5">
        <v>0.2</v>
      </c>
      <c r="U39" s="12">
        <f t="shared" si="13"/>
        <v>464</v>
      </c>
      <c r="V39" s="25" t="s">
        <v>8</v>
      </c>
      <c r="W39" s="11">
        <f>IFERROR(VLOOKUP(V39,Curr!$B$2:$C$13,2,FALSE),0)</f>
        <v>1</v>
      </c>
      <c r="X39" s="12">
        <f t="shared" si="14"/>
        <v>464</v>
      </c>
      <c r="Y39" s="26">
        <f>Q39/11.3/0.64</f>
        <v>40.099557522123888</v>
      </c>
      <c r="Z39" s="12">
        <f t="shared" si="4"/>
        <v>80.199115044247776</v>
      </c>
      <c r="AA39" s="4" t="s">
        <v>10</v>
      </c>
      <c r="AB39" s="11">
        <f>IFERROR(VLOOKUP(AA39,Curr!$B$2:$C$13,2,FALSE),0)</f>
        <v>11</v>
      </c>
      <c r="AC39" s="12">
        <f t="shared" si="5"/>
        <v>882.19026548672559</v>
      </c>
      <c r="AD39" s="12">
        <f t="shared" si="6"/>
        <v>418.19026548672559</v>
      </c>
      <c r="AE39" s="13">
        <f t="shared" si="7"/>
        <v>0.47403636363636359</v>
      </c>
    </row>
    <row r="40" spans="2:31" x14ac:dyDescent="0.25">
      <c r="B40" s="4"/>
      <c r="C40" s="1" t="s">
        <v>66</v>
      </c>
      <c r="D40" s="1" t="s">
        <v>57</v>
      </c>
      <c r="E40" s="3"/>
      <c r="F40" s="3"/>
      <c r="G40" s="24"/>
      <c r="H40" s="24"/>
      <c r="J40" s="1" t="s">
        <v>127</v>
      </c>
      <c r="K40" s="4"/>
      <c r="L40" s="4"/>
      <c r="M40" s="4"/>
      <c r="N40" s="4"/>
      <c r="O40" s="4" t="s">
        <v>42</v>
      </c>
      <c r="P40" s="33" t="s">
        <v>128</v>
      </c>
      <c r="Q40" s="25">
        <v>140</v>
      </c>
      <c r="R40" s="25">
        <v>2</v>
      </c>
      <c r="S40" s="12">
        <f t="shared" si="12"/>
        <v>280</v>
      </c>
      <c r="T40" s="5">
        <v>0</v>
      </c>
      <c r="U40" s="12">
        <f t="shared" si="13"/>
        <v>280</v>
      </c>
      <c r="V40" s="25" t="s">
        <v>8</v>
      </c>
      <c r="W40" s="11">
        <f>IFERROR(VLOOKUP(V40,Curr!$B$2:$C$13,2,FALSE),0)</f>
        <v>1</v>
      </c>
      <c r="X40" s="12">
        <f t="shared" si="14"/>
        <v>280</v>
      </c>
      <c r="Y40" s="26">
        <f>Q40/11.3/0.5</f>
        <v>24.778761061946902</v>
      </c>
      <c r="Z40" s="12">
        <f t="shared" si="4"/>
        <v>49.557522123893804</v>
      </c>
      <c r="AA40" s="4" t="s">
        <v>10</v>
      </c>
      <c r="AB40" s="11">
        <f>IFERROR(VLOOKUP(AA40,Curr!$B$2:$C$13,2,FALSE),0)</f>
        <v>11</v>
      </c>
      <c r="AC40" s="12">
        <f t="shared" si="5"/>
        <v>545.13274336283189</v>
      </c>
      <c r="AD40" s="12">
        <f t="shared" si="6"/>
        <v>265.13274336283189</v>
      </c>
      <c r="AE40" s="13">
        <f t="shared" si="7"/>
        <v>0.48636363636363639</v>
      </c>
    </row>
    <row r="41" spans="2:31" x14ac:dyDescent="0.25">
      <c r="B41" s="4"/>
      <c r="C41" s="1" t="s">
        <v>66</v>
      </c>
      <c r="D41" s="1" t="s">
        <v>56</v>
      </c>
      <c r="E41" s="3"/>
      <c r="F41" s="3"/>
      <c r="G41" s="24"/>
      <c r="H41" s="24"/>
      <c r="J41" s="1" t="s">
        <v>124</v>
      </c>
      <c r="K41" s="4"/>
      <c r="L41" s="4"/>
      <c r="M41" s="4"/>
      <c r="N41" s="4"/>
      <c r="O41" s="4"/>
      <c r="P41" s="33"/>
      <c r="Q41" s="25">
        <v>0</v>
      </c>
      <c r="R41" s="25">
        <v>0</v>
      </c>
      <c r="S41" s="12">
        <f t="shared" si="12"/>
        <v>0</v>
      </c>
      <c r="T41" s="5">
        <v>0</v>
      </c>
      <c r="U41" s="12">
        <f t="shared" si="13"/>
        <v>0</v>
      </c>
      <c r="V41" s="25" t="s">
        <v>10</v>
      </c>
      <c r="W41" s="11">
        <f>IFERROR(VLOOKUP(V41,Curr!$B$2:$C$13,2,FALSE),0)</f>
        <v>11</v>
      </c>
      <c r="X41" s="12">
        <f t="shared" si="14"/>
        <v>0</v>
      </c>
      <c r="Y41" s="26">
        <f t="shared" si="15"/>
        <v>0</v>
      </c>
      <c r="Z41" s="12">
        <f t="shared" si="4"/>
        <v>0</v>
      </c>
      <c r="AA41" s="4" t="s">
        <v>10</v>
      </c>
      <c r="AB41" s="11">
        <f>IFERROR(VLOOKUP(AA41,Curr!$B$2:$C$13,2,FALSE),0)</f>
        <v>11</v>
      </c>
      <c r="AC41" s="12">
        <f t="shared" si="5"/>
        <v>0</v>
      </c>
      <c r="AD41" s="12">
        <f t="shared" si="6"/>
        <v>0</v>
      </c>
      <c r="AE41" s="13">
        <f t="shared" si="7"/>
        <v>0</v>
      </c>
    </row>
    <row r="42" spans="2:31" x14ac:dyDescent="0.25">
      <c r="B42" s="4"/>
      <c r="E42" s="3"/>
      <c r="F42" s="3"/>
      <c r="G42" s="24"/>
      <c r="H42" s="24"/>
      <c r="K42" s="4"/>
      <c r="L42" s="4"/>
      <c r="M42" s="4"/>
      <c r="N42" s="4"/>
      <c r="O42" s="4"/>
      <c r="P42" s="27"/>
      <c r="Q42" s="25"/>
      <c r="R42" s="25"/>
      <c r="S42" s="12">
        <f t="shared" si="12"/>
        <v>0</v>
      </c>
      <c r="T42" s="5">
        <v>0</v>
      </c>
      <c r="U42" s="12">
        <f t="shared" si="13"/>
        <v>0</v>
      </c>
      <c r="V42" s="25" t="s">
        <v>10</v>
      </c>
      <c r="W42" s="11">
        <f>IFERROR(VLOOKUP(V42,Curr!$B$2:$C$13,2,FALSE),0)</f>
        <v>11</v>
      </c>
      <c r="X42" s="12">
        <f t="shared" si="14"/>
        <v>0</v>
      </c>
      <c r="Y42" s="26">
        <f t="shared" si="15"/>
        <v>0</v>
      </c>
      <c r="Z42" s="12">
        <f t="shared" si="4"/>
        <v>0</v>
      </c>
      <c r="AA42" s="4" t="s">
        <v>10</v>
      </c>
      <c r="AB42" s="11">
        <f>IFERROR(VLOOKUP(AA42,Curr!$B$2:$C$13,2,FALSE),0)</f>
        <v>11</v>
      </c>
      <c r="AC42" s="12">
        <f t="shared" si="5"/>
        <v>0</v>
      </c>
      <c r="AD42" s="12">
        <f t="shared" si="6"/>
        <v>0</v>
      </c>
      <c r="AE42" s="13">
        <f t="shared" si="7"/>
        <v>0</v>
      </c>
    </row>
    <row r="43" spans="2:31" x14ac:dyDescent="0.25">
      <c r="B43" s="4"/>
      <c r="C43" s="1" t="s">
        <v>67</v>
      </c>
      <c r="D43" s="1" t="s">
        <v>54</v>
      </c>
      <c r="E43" s="3"/>
      <c r="F43" s="3"/>
      <c r="G43" s="24"/>
      <c r="H43" s="24"/>
      <c r="J43" s="1" t="s">
        <v>129</v>
      </c>
      <c r="K43" s="4"/>
      <c r="L43" s="4"/>
      <c r="M43" s="4"/>
      <c r="N43" s="4"/>
      <c r="O43" s="4"/>
      <c r="P43" s="27"/>
      <c r="Q43" s="25">
        <v>0</v>
      </c>
      <c r="R43" s="25">
        <v>0</v>
      </c>
      <c r="S43" s="12">
        <f t="shared" si="12"/>
        <v>0</v>
      </c>
      <c r="T43" s="5">
        <v>0</v>
      </c>
      <c r="U43" s="12">
        <f t="shared" si="13"/>
        <v>0</v>
      </c>
      <c r="V43" s="25" t="s">
        <v>10</v>
      </c>
      <c r="W43" s="11">
        <f>IFERROR(VLOOKUP(V43,Curr!$B$2:$C$13,2,FALSE),0)</f>
        <v>11</v>
      </c>
      <c r="X43" s="12">
        <f t="shared" si="14"/>
        <v>0</v>
      </c>
      <c r="Y43" s="26">
        <f t="shared" si="15"/>
        <v>0</v>
      </c>
      <c r="Z43" s="12">
        <f t="shared" si="4"/>
        <v>0</v>
      </c>
      <c r="AA43" s="4" t="s">
        <v>10</v>
      </c>
      <c r="AB43" s="11">
        <f>IFERROR(VLOOKUP(AA43,Curr!$B$2:$C$13,2,FALSE),0)</f>
        <v>11</v>
      </c>
      <c r="AC43" s="12">
        <f t="shared" si="5"/>
        <v>0</v>
      </c>
      <c r="AD43" s="12">
        <f t="shared" si="6"/>
        <v>0</v>
      </c>
      <c r="AE43" s="13">
        <f t="shared" si="7"/>
        <v>0</v>
      </c>
    </row>
    <row r="44" spans="2:31" x14ac:dyDescent="0.25">
      <c r="B44" s="4"/>
      <c r="C44" s="1" t="s">
        <v>67</v>
      </c>
      <c r="D44" s="1" t="s">
        <v>60</v>
      </c>
      <c r="E44" s="3"/>
      <c r="F44" s="3"/>
      <c r="G44" s="24"/>
      <c r="H44" s="24"/>
      <c r="J44" s="1" t="s">
        <v>130</v>
      </c>
      <c r="K44" s="4"/>
      <c r="L44" s="4"/>
      <c r="M44" s="4"/>
      <c r="N44" s="4"/>
      <c r="O44" s="4"/>
      <c r="P44" s="27"/>
      <c r="Q44" s="25">
        <v>0</v>
      </c>
      <c r="R44" s="25">
        <v>0</v>
      </c>
      <c r="S44" s="12">
        <f t="shared" si="12"/>
        <v>0</v>
      </c>
      <c r="T44" s="5">
        <v>0</v>
      </c>
      <c r="U44" s="12">
        <f t="shared" si="13"/>
        <v>0</v>
      </c>
      <c r="V44" s="25" t="s">
        <v>10</v>
      </c>
      <c r="W44" s="11">
        <f>IFERROR(VLOOKUP(V44,Curr!$B$2:$C$13,2,FALSE),0)</f>
        <v>11</v>
      </c>
      <c r="X44" s="12">
        <f t="shared" si="14"/>
        <v>0</v>
      </c>
      <c r="Y44" s="26">
        <f t="shared" si="15"/>
        <v>0</v>
      </c>
      <c r="Z44" s="12">
        <f t="shared" si="4"/>
        <v>0</v>
      </c>
      <c r="AA44" s="4" t="s">
        <v>10</v>
      </c>
      <c r="AB44" s="11">
        <f>IFERROR(VLOOKUP(AA44,Curr!$B$2:$C$13,2,FALSE),0)</f>
        <v>11</v>
      </c>
      <c r="AC44" s="12">
        <f t="shared" si="5"/>
        <v>0</v>
      </c>
      <c r="AD44" s="12">
        <f t="shared" si="6"/>
        <v>0</v>
      </c>
      <c r="AE44" s="13">
        <f t="shared" si="7"/>
        <v>0</v>
      </c>
    </row>
    <row r="45" spans="2:31" x14ac:dyDescent="0.25">
      <c r="B45" s="4"/>
      <c r="E45" s="3"/>
      <c r="F45" s="3"/>
      <c r="G45" s="24"/>
      <c r="H45" s="24"/>
      <c r="K45" s="4"/>
      <c r="L45" s="4"/>
      <c r="M45" s="4"/>
      <c r="N45" s="4"/>
      <c r="O45" s="4"/>
      <c r="P45" s="33"/>
      <c r="Q45" s="25"/>
      <c r="R45" s="25"/>
      <c r="S45" s="12">
        <f t="shared" si="12"/>
        <v>0</v>
      </c>
      <c r="T45" s="5">
        <v>0</v>
      </c>
      <c r="U45" s="12">
        <f t="shared" si="13"/>
        <v>0</v>
      </c>
      <c r="V45" s="25" t="s">
        <v>10</v>
      </c>
      <c r="W45" s="11">
        <f>IFERROR(VLOOKUP(V45,Curr!$B$2:$C$13,2,FALSE),0)</f>
        <v>11</v>
      </c>
      <c r="X45" s="12">
        <f t="shared" si="14"/>
        <v>0</v>
      </c>
      <c r="Y45" s="26">
        <f t="shared" si="15"/>
        <v>0</v>
      </c>
      <c r="Z45" s="12">
        <f t="shared" si="4"/>
        <v>0</v>
      </c>
      <c r="AA45" s="4" t="s">
        <v>10</v>
      </c>
      <c r="AB45" s="11">
        <f>IFERROR(VLOOKUP(AA45,Curr!$B$2:$C$13,2,FALSE),0)</f>
        <v>11</v>
      </c>
      <c r="AC45" s="12">
        <f t="shared" si="5"/>
        <v>0</v>
      </c>
      <c r="AD45" s="12">
        <f t="shared" si="6"/>
        <v>0</v>
      </c>
      <c r="AE45" s="13">
        <f t="shared" si="7"/>
        <v>0</v>
      </c>
    </row>
    <row r="46" spans="2:31" x14ac:dyDescent="0.25">
      <c r="B46" s="4"/>
      <c r="E46" s="3"/>
      <c r="F46" s="3"/>
      <c r="G46" s="24"/>
      <c r="H46" s="24"/>
      <c r="K46" s="4"/>
      <c r="L46" s="4"/>
      <c r="M46" s="4"/>
      <c r="N46" s="4"/>
      <c r="O46" s="4"/>
      <c r="P46" s="27"/>
      <c r="Q46" s="25"/>
      <c r="R46" s="25"/>
      <c r="S46" s="12">
        <f t="shared" si="12"/>
        <v>0</v>
      </c>
      <c r="T46" s="5">
        <v>0</v>
      </c>
      <c r="U46" s="12">
        <f t="shared" si="13"/>
        <v>0</v>
      </c>
      <c r="V46" s="25" t="s">
        <v>10</v>
      </c>
      <c r="W46" s="11">
        <f>IFERROR(VLOOKUP(V46,Curr!$B$2:$C$13,2,FALSE),0)</f>
        <v>11</v>
      </c>
      <c r="X46" s="12">
        <f t="shared" si="14"/>
        <v>0</v>
      </c>
      <c r="Y46" s="26">
        <f t="shared" si="15"/>
        <v>0</v>
      </c>
      <c r="Z46" s="12">
        <f t="shared" si="4"/>
        <v>0</v>
      </c>
      <c r="AA46" s="4" t="s">
        <v>10</v>
      </c>
      <c r="AB46" s="11">
        <f>IFERROR(VLOOKUP(AA46,Curr!$B$2:$C$13,2,FALSE),0)</f>
        <v>11</v>
      </c>
      <c r="AC46" s="12">
        <f t="shared" si="5"/>
        <v>0</v>
      </c>
      <c r="AD46" s="12">
        <f t="shared" si="6"/>
        <v>0</v>
      </c>
      <c r="AE46" s="13">
        <f t="shared" si="7"/>
        <v>0</v>
      </c>
    </row>
    <row r="47" spans="2:31" x14ac:dyDescent="0.25">
      <c r="B47" s="4"/>
      <c r="C47" s="1" t="s">
        <v>52</v>
      </c>
      <c r="D47" s="1" t="s">
        <v>109</v>
      </c>
      <c r="E47" s="3"/>
      <c r="F47" s="3"/>
      <c r="G47" s="24"/>
      <c r="H47" s="24"/>
      <c r="J47" s="1" t="s">
        <v>120</v>
      </c>
      <c r="K47" s="4"/>
      <c r="L47" s="4"/>
      <c r="M47" s="4"/>
      <c r="N47" s="4"/>
      <c r="O47" s="4"/>
      <c r="P47" s="27"/>
      <c r="Q47" s="25"/>
      <c r="R47" s="25"/>
      <c r="S47" s="12">
        <f t="shared" si="12"/>
        <v>0</v>
      </c>
      <c r="T47" s="5">
        <v>0</v>
      </c>
      <c r="U47" s="12">
        <f t="shared" si="13"/>
        <v>0</v>
      </c>
      <c r="V47" s="25" t="s">
        <v>10</v>
      </c>
      <c r="W47" s="11">
        <f>IFERROR(VLOOKUP(V47,Curr!$B$2:$C$13,2,FALSE),0)</f>
        <v>11</v>
      </c>
      <c r="X47" s="12">
        <f t="shared" si="14"/>
        <v>0</v>
      </c>
      <c r="Y47" s="26">
        <f t="shared" si="15"/>
        <v>0</v>
      </c>
      <c r="Z47" s="12">
        <f t="shared" si="4"/>
        <v>0</v>
      </c>
      <c r="AA47" s="4" t="s">
        <v>10</v>
      </c>
      <c r="AB47" s="11">
        <f>IFERROR(VLOOKUP(AA47,Curr!$B$2:$C$13,2,FALSE),0)</f>
        <v>11</v>
      </c>
      <c r="AC47" s="12">
        <f t="shared" si="5"/>
        <v>0</v>
      </c>
      <c r="AD47" s="12">
        <f t="shared" si="6"/>
        <v>0</v>
      </c>
      <c r="AE47" s="13">
        <f t="shared" si="7"/>
        <v>0</v>
      </c>
    </row>
    <row r="48" spans="2:31" x14ac:dyDescent="0.25">
      <c r="B48" s="4"/>
      <c r="C48" s="1" t="s">
        <v>67</v>
      </c>
      <c r="D48" s="1" t="s">
        <v>109</v>
      </c>
      <c r="E48" s="3"/>
      <c r="F48" s="3"/>
      <c r="G48" s="24"/>
      <c r="H48" s="24"/>
      <c r="J48" s="1" t="s">
        <v>142</v>
      </c>
      <c r="K48" s="4"/>
      <c r="L48" s="4"/>
      <c r="M48" s="4"/>
      <c r="N48" s="4"/>
      <c r="O48" s="4"/>
      <c r="P48" s="27"/>
      <c r="Q48" s="25">
        <v>1690</v>
      </c>
      <c r="R48" s="25">
        <v>0</v>
      </c>
      <c r="S48" s="12">
        <f t="shared" si="12"/>
        <v>0</v>
      </c>
      <c r="T48" s="5">
        <v>0.15</v>
      </c>
      <c r="U48" s="12">
        <f t="shared" si="13"/>
        <v>0</v>
      </c>
      <c r="V48" s="25" t="s">
        <v>8</v>
      </c>
      <c r="W48" s="11">
        <f>IFERROR(VLOOKUP(V48,Curr!$B$2:$C$13,2,FALSE),0)</f>
        <v>1</v>
      </c>
      <c r="X48" s="12">
        <f t="shared" si="14"/>
        <v>0</v>
      </c>
      <c r="Y48" s="26">
        <f>Q48/11.3/0.9</f>
        <v>166.17502458210421</v>
      </c>
      <c r="Z48" s="12">
        <f t="shared" si="4"/>
        <v>0</v>
      </c>
      <c r="AA48" s="4" t="s">
        <v>10</v>
      </c>
      <c r="AB48" s="11">
        <f>IFERROR(VLOOKUP(AA48,Curr!$B$2:$C$13,2,FALSE),0)</f>
        <v>11</v>
      </c>
      <c r="AC48" s="12">
        <f t="shared" si="5"/>
        <v>0</v>
      </c>
      <c r="AD48" s="12">
        <f t="shared" si="6"/>
        <v>0</v>
      </c>
      <c r="AE48" s="13">
        <f t="shared" si="7"/>
        <v>0</v>
      </c>
    </row>
    <row r="49" spans="2:36" x14ac:dyDescent="0.25">
      <c r="B49" s="4"/>
      <c r="E49" s="3"/>
      <c r="F49" s="3"/>
      <c r="G49" s="24"/>
      <c r="H49" s="24"/>
      <c r="K49" s="4"/>
      <c r="L49" s="4"/>
      <c r="M49" s="4"/>
      <c r="N49" s="4"/>
      <c r="O49" s="4"/>
      <c r="P49" s="33"/>
      <c r="Q49" s="25"/>
      <c r="R49" s="25"/>
      <c r="S49" s="12">
        <f t="shared" si="12"/>
        <v>0</v>
      </c>
      <c r="T49" s="5">
        <v>0</v>
      </c>
      <c r="U49" s="12">
        <f t="shared" si="13"/>
        <v>0</v>
      </c>
      <c r="V49" s="25" t="s">
        <v>10</v>
      </c>
      <c r="W49" s="11">
        <f>IFERROR(VLOOKUP(V49,Curr!$B$2:$C$13,2,FALSE),0)</f>
        <v>11</v>
      </c>
      <c r="X49" s="12">
        <f t="shared" si="14"/>
        <v>0</v>
      </c>
      <c r="Y49" s="26">
        <f t="shared" si="15"/>
        <v>0</v>
      </c>
      <c r="Z49" s="12">
        <f t="shared" si="4"/>
        <v>0</v>
      </c>
      <c r="AA49" s="4" t="s">
        <v>10</v>
      </c>
      <c r="AB49" s="11">
        <f>IFERROR(VLOOKUP(AA49,Curr!$B$2:$C$13,2,FALSE),0)</f>
        <v>11</v>
      </c>
      <c r="AC49" s="12">
        <f t="shared" si="5"/>
        <v>0</v>
      </c>
      <c r="AD49" s="12">
        <f t="shared" si="6"/>
        <v>0</v>
      </c>
      <c r="AE49" s="13">
        <f t="shared" si="7"/>
        <v>0</v>
      </c>
    </row>
    <row r="50" spans="2:36" x14ac:dyDescent="0.25">
      <c r="B50" s="4"/>
      <c r="E50" s="3"/>
      <c r="F50" s="3"/>
      <c r="G50" s="24"/>
      <c r="H50" s="24"/>
      <c r="K50" s="4"/>
      <c r="L50" s="4"/>
      <c r="M50" s="4"/>
      <c r="N50" s="4"/>
      <c r="O50" s="4"/>
      <c r="P50" s="27"/>
      <c r="Q50" s="25"/>
      <c r="R50" s="25"/>
      <c r="S50" s="12">
        <f t="shared" si="12"/>
        <v>0</v>
      </c>
      <c r="T50" s="5">
        <v>0</v>
      </c>
      <c r="U50" s="12">
        <f t="shared" si="13"/>
        <v>0</v>
      </c>
      <c r="V50" s="25" t="s">
        <v>10</v>
      </c>
      <c r="W50" s="11">
        <f>IFERROR(VLOOKUP(V50,Curr!$B$2:$C$13,2,FALSE),0)</f>
        <v>11</v>
      </c>
      <c r="X50" s="12">
        <f t="shared" si="14"/>
        <v>0</v>
      </c>
      <c r="Y50" s="26">
        <f t="shared" si="15"/>
        <v>0</v>
      </c>
      <c r="Z50" s="12">
        <f t="shared" si="4"/>
        <v>0</v>
      </c>
      <c r="AA50" s="4" t="s">
        <v>10</v>
      </c>
      <c r="AB50" s="11">
        <f>IFERROR(VLOOKUP(AA50,Curr!$B$2:$C$13,2,FALSE),0)</f>
        <v>11</v>
      </c>
      <c r="AC50" s="12">
        <f t="shared" si="5"/>
        <v>0</v>
      </c>
      <c r="AD50" s="12">
        <f t="shared" si="6"/>
        <v>0</v>
      </c>
      <c r="AE50" s="13">
        <f t="shared" si="7"/>
        <v>0</v>
      </c>
    </row>
    <row r="51" spans="2:36" x14ac:dyDescent="0.25">
      <c r="B51" s="4"/>
      <c r="C51" s="1" t="s">
        <v>59</v>
      </c>
      <c r="D51" s="1" t="s">
        <v>110</v>
      </c>
      <c r="E51" s="3"/>
      <c r="F51" s="3"/>
      <c r="G51" s="24"/>
      <c r="H51" s="24"/>
      <c r="J51" s="1" t="s">
        <v>116</v>
      </c>
      <c r="K51" s="4"/>
      <c r="L51" s="4"/>
      <c r="M51" s="4"/>
      <c r="N51" s="4"/>
      <c r="O51" s="4"/>
      <c r="P51" s="33" t="s">
        <v>117</v>
      </c>
      <c r="Q51" s="25">
        <v>110</v>
      </c>
      <c r="R51" s="25">
        <v>0</v>
      </c>
      <c r="S51" s="12">
        <f t="shared" si="12"/>
        <v>0</v>
      </c>
      <c r="T51" s="5">
        <v>0.2</v>
      </c>
      <c r="U51" s="12">
        <f t="shared" si="13"/>
        <v>0</v>
      </c>
      <c r="V51" s="25" t="s">
        <v>10</v>
      </c>
      <c r="W51" s="11">
        <f>IFERROR(VLOOKUP(V51,Curr!$B$2:$C$13,2,FALSE),0)</f>
        <v>11</v>
      </c>
      <c r="X51" s="12">
        <f t="shared" si="14"/>
        <v>0</v>
      </c>
      <c r="Y51" s="26">
        <f t="shared" si="15"/>
        <v>110</v>
      </c>
      <c r="Z51" s="12">
        <f t="shared" si="4"/>
        <v>0</v>
      </c>
      <c r="AA51" s="4" t="s">
        <v>10</v>
      </c>
      <c r="AB51" s="11">
        <f>IFERROR(VLOOKUP(AA51,Curr!$B$2:$C$13,2,FALSE),0)</f>
        <v>11</v>
      </c>
      <c r="AC51" s="12">
        <f t="shared" si="5"/>
        <v>0</v>
      </c>
      <c r="AD51" s="12">
        <f t="shared" si="6"/>
        <v>0</v>
      </c>
      <c r="AE51" s="13">
        <f t="shared" si="7"/>
        <v>0</v>
      </c>
    </row>
    <row r="52" spans="2:36" x14ac:dyDescent="0.25">
      <c r="B52" s="4"/>
      <c r="C52" s="1" t="s">
        <v>64</v>
      </c>
      <c r="D52" s="1" t="s">
        <v>110</v>
      </c>
      <c r="E52" s="3"/>
      <c r="F52" s="3"/>
      <c r="G52" s="24"/>
      <c r="H52" s="24"/>
      <c r="J52" s="1" t="s">
        <v>111</v>
      </c>
      <c r="K52" s="4"/>
      <c r="L52" s="4"/>
      <c r="M52" s="4"/>
      <c r="N52" s="4"/>
      <c r="O52" s="4" t="s">
        <v>42</v>
      </c>
      <c r="P52" s="33" t="s">
        <v>112</v>
      </c>
      <c r="Q52" s="25">
        <v>126</v>
      </c>
      <c r="R52" s="25">
        <v>0</v>
      </c>
      <c r="S52" s="12">
        <f t="shared" si="12"/>
        <v>0</v>
      </c>
      <c r="T52" s="5">
        <v>0</v>
      </c>
      <c r="U52" s="12">
        <f t="shared" si="13"/>
        <v>0</v>
      </c>
      <c r="V52" s="25" t="s">
        <v>10</v>
      </c>
      <c r="W52" s="11">
        <f>IFERROR(VLOOKUP(V52,Curr!$B$2:$C$13,2,FALSE),0)</f>
        <v>11</v>
      </c>
      <c r="X52" s="12">
        <f t="shared" si="14"/>
        <v>0</v>
      </c>
      <c r="Y52" s="26">
        <f t="shared" si="15"/>
        <v>126</v>
      </c>
      <c r="Z52" s="12">
        <f t="shared" si="4"/>
        <v>0</v>
      </c>
      <c r="AA52" s="4" t="s">
        <v>10</v>
      </c>
      <c r="AB52" s="11">
        <f>IFERROR(VLOOKUP(AA52,Curr!$B$2:$C$13,2,FALSE),0)</f>
        <v>11</v>
      </c>
      <c r="AC52" s="12">
        <f t="shared" si="5"/>
        <v>0</v>
      </c>
      <c r="AD52" s="12">
        <f t="shared" si="6"/>
        <v>0</v>
      </c>
      <c r="AE52" s="13">
        <f t="shared" si="7"/>
        <v>0</v>
      </c>
    </row>
    <row r="53" spans="2:36" x14ac:dyDescent="0.25">
      <c r="B53" s="4"/>
      <c r="C53" s="1" t="s">
        <v>65</v>
      </c>
      <c r="D53" s="1" t="s">
        <v>110</v>
      </c>
      <c r="E53" s="3"/>
      <c r="F53" s="3"/>
      <c r="G53" s="24"/>
      <c r="H53" s="24"/>
      <c r="J53" s="1" t="s">
        <v>157</v>
      </c>
      <c r="K53" s="4"/>
      <c r="L53" s="4"/>
      <c r="M53" s="4"/>
      <c r="N53" s="4"/>
      <c r="O53" s="4" t="s">
        <v>42</v>
      </c>
      <c r="P53" s="33" t="s">
        <v>158</v>
      </c>
      <c r="Q53" s="25">
        <v>3250</v>
      </c>
      <c r="R53" s="25">
        <v>0</v>
      </c>
      <c r="S53" s="12">
        <f t="shared" si="12"/>
        <v>0</v>
      </c>
      <c r="T53" s="5">
        <v>0.08</v>
      </c>
      <c r="U53" s="12">
        <f t="shared" si="13"/>
        <v>0</v>
      </c>
      <c r="V53" s="25" t="s">
        <v>8</v>
      </c>
      <c r="W53" s="11">
        <f>IFERROR(VLOOKUP(V53,Curr!$B$2:$C$13,2,FALSE),0)</f>
        <v>1</v>
      </c>
      <c r="X53" s="12">
        <f t="shared" si="14"/>
        <v>0</v>
      </c>
      <c r="Y53" s="26">
        <f>Q53/11.3/0.9</f>
        <v>319.56735496558503</v>
      </c>
      <c r="Z53" s="12">
        <f t="shared" si="4"/>
        <v>0</v>
      </c>
      <c r="AA53" s="4" t="s">
        <v>10</v>
      </c>
      <c r="AB53" s="11">
        <f>IFERROR(VLOOKUP(AA53,Curr!$B$2:$C$13,2,FALSE),0)</f>
        <v>11</v>
      </c>
      <c r="AC53" s="12">
        <f t="shared" si="5"/>
        <v>0</v>
      </c>
      <c r="AD53" s="12">
        <f t="shared" si="6"/>
        <v>0</v>
      </c>
      <c r="AE53" s="13">
        <f t="shared" si="7"/>
        <v>0</v>
      </c>
    </row>
    <row r="54" spans="2:36" x14ac:dyDescent="0.25">
      <c r="B54" s="4"/>
      <c r="C54" s="1" t="s">
        <v>65</v>
      </c>
      <c r="D54" s="1" t="s">
        <v>110</v>
      </c>
      <c r="E54" s="3"/>
      <c r="F54" s="3"/>
      <c r="G54" s="24"/>
      <c r="H54" s="24"/>
      <c r="J54" s="1" t="s">
        <v>159</v>
      </c>
      <c r="K54" s="4"/>
      <c r="L54" s="4"/>
      <c r="M54" s="4"/>
      <c r="N54" s="4"/>
      <c r="O54" s="4"/>
      <c r="P54" s="33"/>
      <c r="Q54" s="25">
        <v>450</v>
      </c>
      <c r="R54" s="25">
        <v>0</v>
      </c>
      <c r="S54" s="12">
        <f t="shared" si="12"/>
        <v>0</v>
      </c>
      <c r="T54" s="5">
        <v>0</v>
      </c>
      <c r="U54" s="12">
        <f t="shared" si="13"/>
        <v>0</v>
      </c>
      <c r="V54" s="25" t="s">
        <v>8</v>
      </c>
      <c r="W54" s="11">
        <f>IFERROR(VLOOKUP(V54,Curr!$B$2:$C$13,2,FALSE),0)</f>
        <v>1</v>
      </c>
      <c r="X54" s="12">
        <f t="shared" si="14"/>
        <v>0</v>
      </c>
      <c r="Y54" s="26">
        <f>Q54/11.3/0.8</f>
        <v>49.778761061946895</v>
      </c>
      <c r="Z54" s="12">
        <f t="shared" si="4"/>
        <v>0</v>
      </c>
      <c r="AA54" s="4" t="s">
        <v>10</v>
      </c>
      <c r="AB54" s="11">
        <f>IFERROR(VLOOKUP(AA54,Curr!$B$2:$C$13,2,FALSE),0)</f>
        <v>11</v>
      </c>
      <c r="AC54" s="12">
        <f t="shared" si="5"/>
        <v>0</v>
      </c>
      <c r="AD54" s="12">
        <f t="shared" si="6"/>
        <v>0</v>
      </c>
      <c r="AE54" s="13">
        <f t="shared" si="7"/>
        <v>0</v>
      </c>
    </row>
    <row r="55" spans="2:36" x14ac:dyDescent="0.25">
      <c r="B55" s="4"/>
      <c r="E55" s="3"/>
      <c r="F55" s="3"/>
      <c r="G55" s="24"/>
      <c r="H55" s="24"/>
      <c r="K55" s="4"/>
      <c r="L55" s="4"/>
      <c r="M55" s="4"/>
      <c r="N55" s="4"/>
      <c r="O55" s="4"/>
      <c r="P55" s="27"/>
      <c r="Q55" s="25"/>
      <c r="R55" s="25"/>
      <c r="S55" s="12">
        <f t="shared" si="12"/>
        <v>0</v>
      </c>
      <c r="T55" s="5">
        <v>0</v>
      </c>
      <c r="U55" s="12">
        <f t="shared" si="13"/>
        <v>0</v>
      </c>
      <c r="V55" s="25" t="s">
        <v>10</v>
      </c>
      <c r="W55" s="11">
        <f>IFERROR(VLOOKUP(V55,Curr!$B$2:$C$13,2,FALSE),0)</f>
        <v>11</v>
      </c>
      <c r="X55" s="12">
        <f t="shared" si="14"/>
        <v>0</v>
      </c>
      <c r="Y55" s="26">
        <f t="shared" si="15"/>
        <v>0</v>
      </c>
      <c r="Z55" s="12">
        <f t="shared" si="4"/>
        <v>0</v>
      </c>
      <c r="AA55" s="4" t="s">
        <v>10</v>
      </c>
      <c r="AB55" s="11">
        <f>IFERROR(VLOOKUP(AA55,Curr!$B$2:$C$13,2,FALSE),0)</f>
        <v>11</v>
      </c>
      <c r="AC55" s="12">
        <f t="shared" si="5"/>
        <v>0</v>
      </c>
      <c r="AD55" s="12">
        <f t="shared" si="6"/>
        <v>0</v>
      </c>
      <c r="AE55" s="13">
        <f t="shared" si="7"/>
        <v>0</v>
      </c>
    </row>
    <row r="56" spans="2:36" x14ac:dyDescent="0.25">
      <c r="B56" s="4"/>
      <c r="E56" s="3"/>
      <c r="F56" s="3"/>
      <c r="G56" s="24"/>
      <c r="H56" s="24"/>
      <c r="K56" s="4"/>
      <c r="L56" s="4"/>
      <c r="M56" s="4"/>
      <c r="N56" s="4"/>
      <c r="O56" s="4"/>
      <c r="P56" s="27"/>
      <c r="Q56" s="25"/>
      <c r="R56" s="25"/>
      <c r="S56" s="12">
        <f t="shared" si="12"/>
        <v>0</v>
      </c>
      <c r="T56" s="5">
        <v>0</v>
      </c>
      <c r="U56" s="12">
        <f t="shared" si="13"/>
        <v>0</v>
      </c>
      <c r="V56" s="25" t="s">
        <v>10</v>
      </c>
      <c r="W56" s="11">
        <f>IFERROR(VLOOKUP(V56,Curr!$B$2:$C$13,2,FALSE),0)</f>
        <v>11</v>
      </c>
      <c r="X56" s="12">
        <f t="shared" si="14"/>
        <v>0</v>
      </c>
      <c r="Y56" s="26">
        <f t="shared" si="15"/>
        <v>0</v>
      </c>
      <c r="Z56" s="12">
        <f t="shared" si="4"/>
        <v>0</v>
      </c>
      <c r="AA56" s="4" t="s">
        <v>10</v>
      </c>
      <c r="AB56" s="11">
        <f>IFERROR(VLOOKUP(AA56,Curr!$B$2:$C$13,2,FALSE),0)</f>
        <v>11</v>
      </c>
      <c r="AC56" s="12">
        <f t="shared" si="5"/>
        <v>0</v>
      </c>
      <c r="AD56" s="12">
        <f t="shared" si="6"/>
        <v>0</v>
      </c>
      <c r="AE56" s="13">
        <f t="shared" si="7"/>
        <v>0</v>
      </c>
    </row>
    <row r="57" spans="2:36" x14ac:dyDescent="0.25">
      <c r="B57" s="4"/>
      <c r="E57" s="3"/>
      <c r="F57" s="3"/>
      <c r="G57" s="24"/>
      <c r="H57" s="24"/>
      <c r="K57" s="4"/>
      <c r="L57" s="4"/>
      <c r="M57" s="4"/>
      <c r="N57" s="4"/>
      <c r="O57" s="4"/>
      <c r="P57" s="27"/>
      <c r="Q57" s="25"/>
      <c r="R57" s="25"/>
      <c r="S57" s="12">
        <f t="shared" si="12"/>
        <v>0</v>
      </c>
      <c r="T57" s="5">
        <v>0</v>
      </c>
      <c r="U57" s="12">
        <f t="shared" si="13"/>
        <v>0</v>
      </c>
      <c r="V57" s="25" t="s">
        <v>10</v>
      </c>
      <c r="W57" s="11">
        <f>IFERROR(VLOOKUP(V57,Curr!$B$2:$C$13,2,FALSE),0)</f>
        <v>11</v>
      </c>
      <c r="X57" s="12">
        <f t="shared" si="14"/>
        <v>0</v>
      </c>
      <c r="Y57" s="26">
        <f t="shared" si="15"/>
        <v>0</v>
      </c>
      <c r="Z57" s="12">
        <f t="shared" si="4"/>
        <v>0</v>
      </c>
      <c r="AA57" s="4" t="s">
        <v>10</v>
      </c>
      <c r="AB57" s="11">
        <f>IFERROR(VLOOKUP(AA57,Curr!$B$2:$C$13,2,FALSE),0)</f>
        <v>11</v>
      </c>
      <c r="AC57" s="12">
        <f t="shared" si="5"/>
        <v>0</v>
      </c>
      <c r="AD57" s="12">
        <f t="shared" si="6"/>
        <v>0</v>
      </c>
      <c r="AE57" s="13">
        <f t="shared" si="7"/>
        <v>0</v>
      </c>
    </row>
    <row r="58" spans="2:36" x14ac:dyDescent="0.25">
      <c r="B58" s="4"/>
      <c r="E58" s="3"/>
      <c r="F58" s="3"/>
      <c r="G58" s="24"/>
      <c r="H58" s="24"/>
      <c r="K58" s="4"/>
      <c r="L58" s="4"/>
      <c r="M58" s="4"/>
      <c r="N58" s="4"/>
      <c r="O58" s="4"/>
      <c r="P58" s="27"/>
      <c r="Q58" s="25"/>
      <c r="R58" s="25"/>
      <c r="S58" s="12">
        <f t="shared" si="12"/>
        <v>0</v>
      </c>
      <c r="T58" s="5">
        <v>0</v>
      </c>
      <c r="U58" s="12">
        <f t="shared" si="13"/>
        <v>0</v>
      </c>
      <c r="V58" s="25" t="s">
        <v>10</v>
      </c>
      <c r="W58" s="11">
        <f>IFERROR(VLOOKUP(V58,Curr!$B$2:$C$13,2,FALSE),0)</f>
        <v>11</v>
      </c>
      <c r="X58" s="12">
        <f t="shared" si="14"/>
        <v>0</v>
      </c>
      <c r="Y58" s="26">
        <f t="shared" si="15"/>
        <v>0</v>
      </c>
      <c r="Z58" s="12">
        <f t="shared" si="4"/>
        <v>0</v>
      </c>
      <c r="AA58" s="4" t="s">
        <v>10</v>
      </c>
      <c r="AB58" s="11">
        <f>IFERROR(VLOOKUP(AA58,Curr!$B$2:$C$13,2,FALSE),0)</f>
        <v>11</v>
      </c>
      <c r="AC58" s="12">
        <f t="shared" si="5"/>
        <v>0</v>
      </c>
      <c r="AD58" s="12">
        <f t="shared" si="6"/>
        <v>0</v>
      </c>
      <c r="AE58" s="13">
        <f t="shared" si="7"/>
        <v>0</v>
      </c>
    </row>
    <row r="59" spans="2:36" x14ac:dyDescent="0.25">
      <c r="B59" s="4"/>
      <c r="E59" s="3"/>
      <c r="F59" s="3"/>
      <c r="G59" s="24"/>
      <c r="H59" s="24"/>
      <c r="K59" s="4"/>
      <c r="L59" s="4"/>
      <c r="M59" s="4"/>
      <c r="N59" s="4"/>
      <c r="O59" s="4"/>
      <c r="P59" s="27"/>
      <c r="Q59" s="25"/>
      <c r="R59" s="25"/>
      <c r="S59" s="12">
        <f t="shared" si="12"/>
        <v>0</v>
      </c>
      <c r="T59" s="5">
        <v>0</v>
      </c>
      <c r="U59" s="12">
        <f t="shared" si="13"/>
        <v>0</v>
      </c>
      <c r="V59" s="25" t="s">
        <v>10</v>
      </c>
      <c r="W59" s="11">
        <f>IFERROR(VLOOKUP(V59,Curr!$B$2:$C$13,2,FALSE),0)</f>
        <v>11</v>
      </c>
      <c r="X59" s="12">
        <f t="shared" si="14"/>
        <v>0</v>
      </c>
      <c r="Y59" s="26">
        <f t="shared" si="15"/>
        <v>0</v>
      </c>
      <c r="Z59" s="12">
        <f t="shared" si="4"/>
        <v>0</v>
      </c>
      <c r="AA59" s="4" t="s">
        <v>10</v>
      </c>
      <c r="AB59" s="11">
        <f>IFERROR(VLOOKUP(AA59,Curr!$B$2:$C$13,2,FALSE),0)</f>
        <v>11</v>
      </c>
      <c r="AC59" s="12">
        <f t="shared" si="5"/>
        <v>0</v>
      </c>
      <c r="AD59" s="12">
        <f t="shared" si="6"/>
        <v>0</v>
      </c>
      <c r="AE59" s="13">
        <f t="shared" si="7"/>
        <v>0</v>
      </c>
    </row>
    <row r="60" spans="2:36" x14ac:dyDescent="0.25">
      <c r="B60" s="4"/>
      <c r="E60" s="3"/>
      <c r="F60" s="3"/>
      <c r="G60" s="24"/>
      <c r="H60" s="24"/>
      <c r="K60" s="4"/>
      <c r="L60" s="4"/>
      <c r="M60" s="4"/>
      <c r="N60" s="4"/>
      <c r="O60" s="4"/>
      <c r="P60" s="27"/>
      <c r="Q60" s="25"/>
      <c r="R60" s="25"/>
      <c r="S60" s="12">
        <f t="shared" si="12"/>
        <v>0</v>
      </c>
      <c r="T60" s="5">
        <v>0</v>
      </c>
      <c r="U60" s="12">
        <f t="shared" si="13"/>
        <v>0</v>
      </c>
      <c r="V60" s="25" t="s">
        <v>10</v>
      </c>
      <c r="W60" s="11">
        <f>IFERROR(VLOOKUP(V60,Curr!$B$2:$C$13,2,FALSE),0)</f>
        <v>11</v>
      </c>
      <c r="X60" s="12">
        <f t="shared" si="14"/>
        <v>0</v>
      </c>
      <c r="Y60" s="26">
        <f t="shared" si="15"/>
        <v>0</v>
      </c>
      <c r="Z60" s="12">
        <f t="shared" si="4"/>
        <v>0</v>
      </c>
      <c r="AA60" s="4" t="s">
        <v>10</v>
      </c>
      <c r="AB60" s="11">
        <f>IFERROR(VLOOKUP(AA60,Curr!$B$2:$C$13,2,FALSE),0)</f>
        <v>11</v>
      </c>
      <c r="AC60" s="12">
        <f t="shared" si="5"/>
        <v>0</v>
      </c>
      <c r="AD60" s="12">
        <f t="shared" si="6"/>
        <v>0</v>
      </c>
      <c r="AE60" s="13">
        <f t="shared" si="7"/>
        <v>0</v>
      </c>
    </row>
    <row r="61" spans="2:36" x14ac:dyDescent="0.25">
      <c r="B61" s="4"/>
      <c r="E61" s="3"/>
      <c r="F61" s="3"/>
      <c r="G61" s="24"/>
      <c r="H61" s="24"/>
      <c r="K61" s="4"/>
      <c r="L61" s="4"/>
      <c r="M61" s="4"/>
      <c r="N61" s="4"/>
      <c r="O61" s="4"/>
      <c r="P61" s="27"/>
      <c r="Q61" s="25"/>
      <c r="R61" s="25"/>
      <c r="S61" s="12">
        <f t="shared" si="12"/>
        <v>0</v>
      </c>
      <c r="T61" s="5">
        <v>0</v>
      </c>
      <c r="U61" s="12">
        <f t="shared" si="13"/>
        <v>0</v>
      </c>
      <c r="V61" s="25" t="s">
        <v>10</v>
      </c>
      <c r="W61" s="11">
        <f>IFERROR(VLOOKUP(V61,Curr!$B$2:$C$13,2,FALSE),0)</f>
        <v>11</v>
      </c>
      <c r="X61" s="12">
        <f t="shared" si="14"/>
        <v>0</v>
      </c>
      <c r="Y61" s="26">
        <f t="shared" si="15"/>
        <v>0</v>
      </c>
      <c r="Z61" s="12">
        <f t="shared" si="4"/>
        <v>0</v>
      </c>
      <c r="AA61" s="4" t="s">
        <v>10</v>
      </c>
      <c r="AB61" s="11">
        <f>IFERROR(VLOOKUP(AA61,Curr!$B$2:$C$13,2,FALSE),0)</f>
        <v>11</v>
      </c>
      <c r="AC61" s="12">
        <f t="shared" si="5"/>
        <v>0</v>
      </c>
      <c r="AD61" s="12">
        <f t="shared" si="6"/>
        <v>0</v>
      </c>
      <c r="AE61" s="13">
        <f t="shared" si="7"/>
        <v>0</v>
      </c>
    </row>
    <row r="62" spans="2:36" x14ac:dyDescent="0.25">
      <c r="B62" s="4"/>
      <c r="E62" s="3"/>
      <c r="F62" s="3"/>
      <c r="G62" s="3"/>
      <c r="H62" s="3"/>
      <c r="L62" s="4"/>
      <c r="M62" s="4"/>
      <c r="N62" s="4"/>
      <c r="O62" s="4"/>
      <c r="P62" s="22"/>
      <c r="Q62" s="4"/>
      <c r="R62" s="4"/>
      <c r="S62" s="4"/>
      <c r="T62" s="4"/>
      <c r="U62" s="4"/>
      <c r="V62" s="4"/>
      <c r="W62" s="4"/>
      <c r="X62" s="4"/>
      <c r="Y62" s="4"/>
      <c r="Z62" s="4"/>
      <c r="AA62" s="4"/>
      <c r="AB62" s="4"/>
      <c r="AC62" s="4"/>
      <c r="AD62" s="4"/>
      <c r="AE62" s="4"/>
      <c r="AF62" s="4"/>
    </row>
    <row r="63" spans="2:36" x14ac:dyDescent="0.25">
      <c r="B63" s="14" t="s">
        <v>18</v>
      </c>
      <c r="C63" s="14"/>
      <c r="D63" s="28" t="s">
        <v>42</v>
      </c>
      <c r="E63" s="30" t="s">
        <v>42</v>
      </c>
      <c r="F63" s="30" t="s">
        <v>42</v>
      </c>
      <c r="G63" s="30" t="s">
        <v>42</v>
      </c>
      <c r="H63" s="30" t="s">
        <v>42</v>
      </c>
      <c r="I63" s="28" t="s">
        <v>42</v>
      </c>
      <c r="J63" s="28" t="s">
        <v>42</v>
      </c>
      <c r="K63" s="28" t="s">
        <v>42</v>
      </c>
      <c r="L63" s="28" t="s">
        <v>42</v>
      </c>
      <c r="M63" s="28" t="s">
        <v>42</v>
      </c>
      <c r="N63" s="28" t="s">
        <v>42</v>
      </c>
      <c r="O63" s="28" t="s">
        <v>42</v>
      </c>
      <c r="P63" s="28" t="s">
        <v>42</v>
      </c>
      <c r="Q63" s="31" t="s">
        <v>42</v>
      </c>
      <c r="R63" s="28" t="s">
        <v>42</v>
      </c>
      <c r="S63" s="32" t="s">
        <v>42</v>
      </c>
      <c r="T63" s="28" t="s">
        <v>42</v>
      </c>
      <c r="U63" s="32" t="s">
        <v>42</v>
      </c>
      <c r="V63" s="28" t="s">
        <v>42</v>
      </c>
      <c r="W63" s="28" t="s">
        <v>42</v>
      </c>
      <c r="X63" s="32" t="s">
        <v>42</v>
      </c>
      <c r="Y63" s="32" t="s">
        <v>42</v>
      </c>
      <c r="Z63" s="15">
        <f>SUM(Z7:Z61)</f>
        <v>3468.6054138469544</v>
      </c>
      <c r="AA63" s="14"/>
      <c r="AB63" s="14"/>
      <c r="AC63" s="15">
        <f>SUM(AC7:AC61)</f>
        <v>38154.659552316494</v>
      </c>
      <c r="AD63" s="15">
        <f>SUM(AD7:AD61)</f>
        <v>7605.8595523165004</v>
      </c>
      <c r="AE63" s="21">
        <f t="shared" ref="AE63" si="16">IFERROR(AD63/AC63,0)</f>
        <v>0.19934287559000705</v>
      </c>
      <c r="AF63" s="15">
        <f>SUM(AF8:AF62)</f>
        <v>0</v>
      </c>
      <c r="AG63" s="15">
        <f>SUM(AG8:AG62)</f>
        <v>0</v>
      </c>
      <c r="AH63" s="15">
        <f>SUM(AH8:AH62)</f>
        <v>0</v>
      </c>
      <c r="AI63" s="15">
        <f>SUM(AI8:AI62)</f>
        <v>0</v>
      </c>
      <c r="AJ63" s="15">
        <f>SUM(AJ8:AJ62)</f>
        <v>0</v>
      </c>
    </row>
    <row r="64" spans="2:36" x14ac:dyDescent="0.25">
      <c r="B64" s="4"/>
      <c r="E64" s="3"/>
      <c r="F64" s="3"/>
      <c r="G64" s="3"/>
      <c r="H64" s="3"/>
      <c r="L64" s="4"/>
      <c r="M64" s="4"/>
      <c r="N64" s="4"/>
      <c r="O64" s="4"/>
      <c r="Q64" s="4"/>
      <c r="R64" s="4"/>
      <c r="S64" s="4"/>
      <c r="T64" s="4"/>
      <c r="U64" s="4"/>
      <c r="V64" s="4"/>
      <c r="W64" s="4"/>
      <c r="X64" s="4"/>
      <c r="Y64" s="9"/>
      <c r="Z64" s="9"/>
      <c r="AA64" s="9"/>
      <c r="AB64" s="9"/>
      <c r="AC64" s="9"/>
      <c r="AD64" s="9"/>
      <c r="AE64" s="9"/>
    </row>
    <row r="65" spans="2:32" x14ac:dyDescent="0.25">
      <c r="B65" s="4"/>
      <c r="E65" s="3"/>
      <c r="F65" s="3"/>
      <c r="G65" s="3"/>
      <c r="H65" s="3"/>
      <c r="L65" s="4"/>
      <c r="M65" s="4"/>
      <c r="N65" s="4"/>
      <c r="O65" s="4"/>
      <c r="Q65" s="9"/>
      <c r="R65" s="9"/>
      <c r="S65" s="9"/>
      <c r="T65" s="9"/>
      <c r="U65" s="9"/>
      <c r="V65" s="9"/>
      <c r="W65" s="9"/>
      <c r="X65" s="23"/>
      <c r="Y65" s="34" t="s">
        <v>43</v>
      </c>
      <c r="Z65" s="34">
        <v>3460</v>
      </c>
      <c r="AA65" s="9"/>
      <c r="AB65" s="9"/>
      <c r="AC65" s="9"/>
      <c r="AD65" s="9"/>
      <c r="AE65" s="9"/>
    </row>
    <row r="66" spans="2:32" x14ac:dyDescent="0.25">
      <c r="B66" s="4"/>
      <c r="E66" s="3"/>
      <c r="F66" s="3"/>
      <c r="G66" s="3"/>
      <c r="H66" s="3"/>
      <c r="L66" s="4"/>
      <c r="M66" s="4"/>
      <c r="N66" s="4"/>
      <c r="O66" s="4"/>
      <c r="Q66" s="9"/>
      <c r="R66" s="9"/>
      <c r="S66" s="9"/>
      <c r="T66" s="9"/>
      <c r="U66" s="9"/>
      <c r="V66" s="9"/>
      <c r="W66" s="9"/>
      <c r="X66" s="9"/>
      <c r="Y66" s="34" t="s">
        <v>44</v>
      </c>
      <c r="Z66" s="34">
        <f>Z65/2</f>
        <v>1730</v>
      </c>
      <c r="AA66" s="9"/>
      <c r="AB66" s="9"/>
      <c r="AC66" s="9"/>
      <c r="AD66" s="9"/>
      <c r="AE66" s="9"/>
      <c r="AF66" s="18"/>
    </row>
    <row r="67" spans="2:32" x14ac:dyDescent="0.25">
      <c r="B67" s="4"/>
      <c r="E67" s="3"/>
      <c r="F67" s="3"/>
      <c r="G67" s="3"/>
      <c r="H67" s="3"/>
      <c r="I67" s="19"/>
      <c r="L67" s="4"/>
      <c r="M67" s="4"/>
      <c r="N67" s="4"/>
      <c r="O67" s="20"/>
      <c r="Q67" s="20"/>
      <c r="R67" s="20"/>
      <c r="S67" s="20"/>
      <c r="T67" s="20"/>
      <c r="U67" s="20"/>
      <c r="V67" s="20"/>
      <c r="W67" s="20"/>
      <c r="X67" s="20"/>
      <c r="Y67" s="9"/>
      <c r="Z67" s="9"/>
      <c r="AA67" s="9"/>
      <c r="AB67" s="9"/>
      <c r="AC67" s="9"/>
      <c r="AD67" s="9"/>
      <c r="AE67" s="9"/>
      <c r="AF67" s="18"/>
    </row>
    <row r="68" spans="2:32" x14ac:dyDescent="0.25">
      <c r="B68" s="4"/>
      <c r="E68" s="3"/>
      <c r="F68" s="3"/>
      <c r="G68" s="3"/>
      <c r="H68" s="3"/>
      <c r="L68" s="4"/>
      <c r="M68" s="4"/>
      <c r="N68" s="4"/>
      <c r="O68" s="20"/>
      <c r="Q68" s="20"/>
      <c r="R68" s="20"/>
      <c r="S68" s="20"/>
      <c r="T68" s="20"/>
      <c r="U68" s="20"/>
      <c r="V68" s="20"/>
      <c r="W68" s="20"/>
      <c r="X68" s="20"/>
      <c r="Y68" s="9"/>
      <c r="Z68" s="9"/>
      <c r="AA68" s="9"/>
      <c r="AB68" s="9"/>
      <c r="AC68" s="9"/>
      <c r="AD68" s="9"/>
      <c r="AE68" s="9"/>
      <c r="AF68" s="18"/>
    </row>
    <row r="69" spans="2:32" x14ac:dyDescent="0.25">
      <c r="B69" s="4"/>
      <c r="E69" s="3"/>
      <c r="F69" s="3"/>
      <c r="G69" s="3"/>
      <c r="H69" s="3"/>
      <c r="L69" s="4"/>
      <c r="M69" s="4"/>
      <c r="N69" s="4"/>
      <c r="O69" s="4"/>
      <c r="Q69" s="9"/>
      <c r="R69" s="9"/>
      <c r="S69" s="9"/>
      <c r="T69" s="9"/>
      <c r="U69" s="9"/>
      <c r="V69" s="9"/>
      <c r="W69" s="9"/>
      <c r="X69" s="9"/>
      <c r="Y69" s="37" t="s">
        <v>302</v>
      </c>
      <c r="Z69" s="9">
        <f>Z65</f>
        <v>3460</v>
      </c>
      <c r="AA69" s="9"/>
      <c r="AB69" s="9"/>
      <c r="AC69" s="9"/>
      <c r="AD69" s="9"/>
      <c r="AE69" s="9"/>
      <c r="AF69" s="18"/>
    </row>
    <row r="70" spans="2:32" x14ac:dyDescent="0.25">
      <c r="F70" s="1"/>
      <c r="G70" s="1"/>
      <c r="H70" s="1"/>
      <c r="J70" s="1" t="s">
        <v>32</v>
      </c>
      <c r="Q70" s="9"/>
      <c r="R70" s="4"/>
      <c r="S70" s="9"/>
      <c r="T70" s="5"/>
      <c r="U70" s="9"/>
      <c r="V70" s="4"/>
      <c r="W70" s="4"/>
      <c r="X70" s="9"/>
      <c r="Y70" s="37" t="s">
        <v>299</v>
      </c>
      <c r="Z70" s="9">
        <f>Z69*1.12</f>
        <v>3875.2000000000003</v>
      </c>
      <c r="AA70" s="9"/>
      <c r="AB70" s="9"/>
      <c r="AC70" s="9"/>
      <c r="AD70" s="9"/>
      <c r="AE70" s="9"/>
    </row>
    <row r="71" spans="2:32" x14ac:dyDescent="0.25">
      <c r="R71" s="4"/>
      <c r="S71" s="17"/>
      <c r="T71" s="17"/>
      <c r="U71" s="9"/>
      <c r="V71" s="4"/>
      <c r="W71" s="4"/>
      <c r="X71" s="9"/>
      <c r="Y71" s="37" t="s">
        <v>303</v>
      </c>
      <c r="Z71" s="9">
        <f>Z69*1.2</f>
        <v>4152</v>
      </c>
      <c r="AA71" s="9"/>
      <c r="AB71" s="9"/>
      <c r="AC71" s="9"/>
      <c r="AD71" s="9"/>
      <c r="AE71" s="9"/>
    </row>
    <row r="72" spans="2:32" x14ac:dyDescent="0.25">
      <c r="Q72" s="9"/>
      <c r="R72" s="4"/>
      <c r="S72" s="16"/>
      <c r="T72" s="16"/>
      <c r="U72" s="9"/>
      <c r="V72" s="4"/>
      <c r="W72" s="4"/>
      <c r="X72" s="9"/>
      <c r="Y72" s="37" t="s">
        <v>300</v>
      </c>
      <c r="Z72" s="9">
        <f>Z69*0.8</f>
        <v>2768</v>
      </c>
      <c r="AA72" s="9"/>
      <c r="AB72" s="9"/>
      <c r="AC72" s="9"/>
      <c r="AD72" s="9"/>
      <c r="AE72" s="9"/>
    </row>
    <row r="73" spans="2:32" x14ac:dyDescent="0.25">
      <c r="R73" s="4"/>
      <c r="S73" s="16"/>
      <c r="T73" s="16"/>
      <c r="Y73" s="9"/>
      <c r="Z73" s="9"/>
      <c r="AA73" s="9"/>
      <c r="AB73" s="9"/>
      <c r="AC73" s="9"/>
      <c r="AD73" s="9"/>
      <c r="AE73" s="9"/>
    </row>
    <row r="74" spans="2:32" x14ac:dyDescent="0.25">
      <c r="T74" s="5"/>
      <c r="Y74" s="9"/>
      <c r="Z74" s="9"/>
      <c r="AA74" s="9"/>
      <c r="AB74" s="9"/>
      <c r="AC74" s="9"/>
      <c r="AD74" s="9"/>
      <c r="AE74" s="9"/>
    </row>
    <row r="75" spans="2:32" x14ac:dyDescent="0.25">
      <c r="T75" s="5"/>
      <c r="Y75" s="9"/>
      <c r="Z75" s="9"/>
      <c r="AA75" s="9"/>
      <c r="AB75" s="9"/>
      <c r="AC75" s="9"/>
      <c r="AD75" s="9"/>
      <c r="AE75" s="9"/>
    </row>
    <row r="76" spans="2:32" x14ac:dyDescent="0.25">
      <c r="T76" s="5"/>
      <c r="Y76" s="9"/>
      <c r="Z76" s="9"/>
      <c r="AA76" s="9"/>
      <c r="AB76" s="9"/>
      <c r="AC76" s="9"/>
      <c r="AD76" s="9"/>
      <c r="AE76" s="9"/>
    </row>
    <row r="77" spans="2:32" x14ac:dyDescent="0.25">
      <c r="T77" s="5"/>
      <c r="Y77" s="9"/>
      <c r="Z77" s="9"/>
      <c r="AA77" s="9"/>
      <c r="AB77" s="9"/>
      <c r="AC77" s="9"/>
      <c r="AD77" s="9"/>
      <c r="AE77" s="9"/>
    </row>
    <row r="78" spans="2:32" x14ac:dyDescent="0.25">
      <c r="T78" s="5"/>
      <c r="Y78" s="9"/>
      <c r="Z78" s="9"/>
      <c r="AA78" s="9"/>
      <c r="AB78" s="9"/>
      <c r="AC78" s="9"/>
      <c r="AD78" s="9"/>
      <c r="AE78" s="9"/>
    </row>
    <row r="79" spans="2:32" x14ac:dyDescent="0.25">
      <c r="T79" s="5"/>
      <c r="Y79" s="9"/>
      <c r="Z79" s="9"/>
      <c r="AA79" s="9"/>
      <c r="AB79" s="9"/>
      <c r="AC79" s="9"/>
      <c r="AD79" s="9"/>
      <c r="AE79" s="9"/>
    </row>
    <row r="80" spans="2:32" x14ac:dyDescent="0.25">
      <c r="T80" s="5"/>
      <c r="Y80" s="9"/>
      <c r="Z80" s="9"/>
      <c r="AA80" s="9"/>
      <c r="AB80" s="9"/>
      <c r="AC80" s="9"/>
      <c r="AD80" s="9"/>
      <c r="AE80" s="9"/>
    </row>
    <row r="81" spans="20:31" x14ac:dyDescent="0.25">
      <c r="T81" s="5"/>
      <c r="Y81" s="9"/>
      <c r="Z81" s="9"/>
      <c r="AA81" s="9"/>
      <c r="AB81" s="9"/>
      <c r="AC81" s="9"/>
      <c r="AD81" s="9"/>
      <c r="AE81" s="9"/>
    </row>
    <row r="82" spans="20:31" x14ac:dyDescent="0.25">
      <c r="T82" s="5"/>
    </row>
    <row r="83" spans="20:31" x14ac:dyDescent="0.25">
      <c r="T83" s="5"/>
    </row>
    <row r="84" spans="20:31" x14ac:dyDescent="0.25">
      <c r="T84" s="5"/>
    </row>
    <row r="85" spans="20:31" x14ac:dyDescent="0.25">
      <c r="T85" s="5"/>
    </row>
    <row r="86" spans="20:31" x14ac:dyDescent="0.25">
      <c r="T86" s="5"/>
    </row>
  </sheetData>
  <autoFilter ref="B6:AE63" xr:uid="{65FA6D9B-E0AF-46CD-BA0D-86BB75FE6AB0}"/>
  <hyperlinks>
    <hyperlink ref="P21" r:id="rId1" xr:uid="{80EA653F-C479-482E-802A-43C1AA49A273}"/>
    <hyperlink ref="P25" r:id="rId2" xr:uid="{3C8F7A44-9746-4438-940A-D57DA907839C}"/>
    <hyperlink ref="P30" r:id="rId3" xr:uid="{B6939296-793C-4A1B-9454-C71BE80C454D}"/>
    <hyperlink ref="P39" r:id="rId4" xr:uid="{1EC05C16-D850-40CC-980D-46218558558F}"/>
    <hyperlink ref="P40" r:id="rId5" xr:uid="{99EE42F9-7450-4E5F-9384-23EB72FF9FBA}"/>
    <hyperlink ref="P34" r:id="rId6" location="reisesok" xr:uid="{5AB8BE74-2A25-4D33-BB68-1128619B6281}"/>
    <hyperlink ref="P51" r:id="rId7" xr:uid="{C104EC6C-D337-4881-A0A5-23FDD500FFEC}"/>
    <hyperlink ref="P52" r:id="rId8" xr:uid="{3370D935-0C2E-4265-BB5B-BC3D8FFF54C3}"/>
    <hyperlink ref="P53" r:id="rId9" xr:uid="{2345295E-832B-4F2E-89DE-47FD30A016F5}"/>
  </hyperlinks>
  <pageMargins left="0.7" right="0.7" top="0.75" bottom="0.75" header="0.3" footer="0.3"/>
  <pageSetup paperSize="9" orientation="portrait" r:id="rId1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7EA8E-4A55-403E-80D5-0CA23A046DCD}">
  <sheetPr>
    <tabColor rgb="FFFFFF00"/>
  </sheetPr>
  <dimension ref="B1:AK93"/>
  <sheetViews>
    <sheetView topLeftCell="A9" zoomScale="80" zoomScaleNormal="80" workbookViewId="0">
      <selection activeCell="J26" sqref="J26"/>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1" spans="2:36" x14ac:dyDescent="0.25">
      <c r="B1" s="2" t="s">
        <v>71</v>
      </c>
    </row>
    <row r="2" spans="2:36" x14ac:dyDescent="0.25">
      <c r="B2" s="2" t="s">
        <v>73</v>
      </c>
    </row>
    <row r="3" spans="2:36" x14ac:dyDescent="0.25">
      <c r="B3" s="2" t="s">
        <v>50</v>
      </c>
    </row>
    <row r="4" spans="2:36" x14ac:dyDescent="0.25">
      <c r="B4" s="2" t="s">
        <v>51</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52</v>
      </c>
      <c r="D7" s="1" t="s">
        <v>53</v>
      </c>
      <c r="E7" s="3"/>
      <c r="F7" s="3"/>
      <c r="G7" s="3"/>
      <c r="H7" s="3"/>
      <c r="J7" s="1" t="s">
        <v>93</v>
      </c>
      <c r="K7" s="4"/>
      <c r="L7" s="4"/>
      <c r="M7" s="4"/>
      <c r="N7" s="4"/>
      <c r="O7" s="4"/>
      <c r="P7" s="27"/>
      <c r="Q7" s="25">
        <v>0</v>
      </c>
      <c r="R7" s="25">
        <v>0</v>
      </c>
      <c r="S7" s="12">
        <f t="shared" ref="S7:S22" si="0">+Q7*R7</f>
        <v>0</v>
      </c>
      <c r="T7" s="5">
        <v>0</v>
      </c>
      <c r="U7" s="12">
        <f t="shared" ref="U7:U22" si="1">S7*(1-T7)</f>
        <v>0</v>
      </c>
      <c r="V7" s="25" t="s">
        <v>10</v>
      </c>
      <c r="W7" s="11">
        <f>IFERROR(VLOOKUP(V7,Curr!$B$2:$C$13,2,FALSE),0)</f>
        <v>11</v>
      </c>
      <c r="X7" s="12">
        <f t="shared" ref="X7:X22" si="2">U7*W7</f>
        <v>0</v>
      </c>
      <c r="Y7" s="26">
        <f t="shared" ref="Y7:Y22" si="3">Q7</f>
        <v>0</v>
      </c>
      <c r="Z7" s="12">
        <f t="shared" ref="Z7:Z68" si="4">+Y7*R7</f>
        <v>0</v>
      </c>
      <c r="AA7" s="4" t="s">
        <v>10</v>
      </c>
      <c r="AB7" s="11">
        <f>IFERROR(VLOOKUP(AA7,Curr!$B$2:$C$13,2,FALSE),0)</f>
        <v>11</v>
      </c>
      <c r="AC7" s="12">
        <f t="shared" ref="AC7:AC68" si="5">+Y7*AB7*R7</f>
        <v>0</v>
      </c>
      <c r="AD7" s="12">
        <f t="shared" ref="AD7:AD68" si="6">+AC7-X7</f>
        <v>0</v>
      </c>
      <c r="AE7" s="13">
        <f t="shared" ref="AE7:AE68" si="7">IFERROR(AD7/AC7,0)</f>
        <v>0</v>
      </c>
    </row>
    <row r="8" spans="2:36" x14ac:dyDescent="0.25">
      <c r="B8" s="4"/>
      <c r="C8" s="1" t="s">
        <v>52</v>
      </c>
      <c r="D8" s="1" t="s">
        <v>54</v>
      </c>
      <c r="E8" s="3"/>
      <c r="F8" s="3"/>
      <c r="G8" s="24"/>
      <c r="H8" s="24"/>
      <c r="J8" s="1" t="s">
        <v>94</v>
      </c>
      <c r="K8" s="4"/>
      <c r="L8" s="4"/>
      <c r="M8" s="4"/>
      <c r="N8" s="4"/>
      <c r="O8" s="4"/>
      <c r="P8" s="33"/>
      <c r="Q8" s="25">
        <v>0</v>
      </c>
      <c r="R8" s="25">
        <v>0</v>
      </c>
      <c r="S8" s="12">
        <f t="shared" si="0"/>
        <v>0</v>
      </c>
      <c r="T8" s="5">
        <v>0</v>
      </c>
      <c r="U8" s="12">
        <f t="shared" si="1"/>
        <v>0</v>
      </c>
      <c r="V8" s="25" t="s">
        <v>10</v>
      </c>
      <c r="W8" s="11">
        <f>IFERROR(VLOOKUP(V8,Curr!$B$2:$C$13,2,FALSE),0)</f>
        <v>11</v>
      </c>
      <c r="X8" s="12">
        <f t="shared" si="2"/>
        <v>0</v>
      </c>
      <c r="Y8" s="26">
        <f t="shared" si="3"/>
        <v>0</v>
      </c>
      <c r="Z8" s="12">
        <f t="shared" si="4"/>
        <v>0</v>
      </c>
      <c r="AA8" s="4" t="s">
        <v>10</v>
      </c>
      <c r="AB8" s="11">
        <f>IFERROR(VLOOKUP(AA8,Curr!$B$2:$C$13,2,FALSE),0)</f>
        <v>11</v>
      </c>
      <c r="AC8" s="12">
        <f t="shared" si="5"/>
        <v>0</v>
      </c>
      <c r="AD8" s="12">
        <f t="shared" si="6"/>
        <v>0</v>
      </c>
      <c r="AE8" s="13">
        <f t="shared" si="7"/>
        <v>0</v>
      </c>
    </row>
    <row r="9" spans="2:36" x14ac:dyDescent="0.25">
      <c r="B9" s="4"/>
      <c r="C9" s="1" t="s">
        <v>52</v>
      </c>
      <c r="D9" s="1" t="s">
        <v>55</v>
      </c>
      <c r="E9" s="3"/>
      <c r="F9" s="3"/>
      <c r="G9" s="24"/>
      <c r="H9" s="24"/>
      <c r="J9" s="1" t="s">
        <v>113</v>
      </c>
      <c r="K9" s="4"/>
      <c r="L9" s="4"/>
      <c r="M9" s="4"/>
      <c r="N9" s="4"/>
      <c r="O9" s="4"/>
      <c r="P9" s="27"/>
      <c r="Q9" s="25">
        <v>440</v>
      </c>
      <c r="R9" s="25">
        <v>1</v>
      </c>
      <c r="S9" s="12">
        <f t="shared" si="0"/>
        <v>440</v>
      </c>
      <c r="T9" s="5">
        <v>0</v>
      </c>
      <c r="U9" s="12">
        <f t="shared" si="1"/>
        <v>440</v>
      </c>
      <c r="V9" s="25" t="s">
        <v>10</v>
      </c>
      <c r="W9" s="11">
        <f>IFERROR(VLOOKUP(V9,Curr!$B$2:$C$13,2,FALSE),0)</f>
        <v>11</v>
      </c>
      <c r="X9" s="12">
        <f t="shared" si="2"/>
        <v>4840</v>
      </c>
      <c r="Y9" s="26">
        <f>Q9/0.8</f>
        <v>550</v>
      </c>
      <c r="Z9" s="12">
        <f t="shared" si="4"/>
        <v>550</v>
      </c>
      <c r="AA9" s="4" t="s">
        <v>10</v>
      </c>
      <c r="AB9" s="11">
        <f>IFERROR(VLOOKUP(AA9,Curr!$B$2:$C$13,2,FALSE),0)</f>
        <v>11</v>
      </c>
      <c r="AC9" s="12">
        <f t="shared" si="5"/>
        <v>6050</v>
      </c>
      <c r="AD9" s="12">
        <f t="shared" si="6"/>
        <v>1210</v>
      </c>
      <c r="AE9" s="13">
        <f t="shared" si="7"/>
        <v>0.2</v>
      </c>
    </row>
    <row r="10" spans="2:36" x14ac:dyDescent="0.25">
      <c r="B10" s="4"/>
      <c r="C10" s="1" t="s">
        <v>52</v>
      </c>
      <c r="D10" s="1" t="s">
        <v>56</v>
      </c>
      <c r="E10" s="3"/>
      <c r="F10" s="3"/>
      <c r="G10" s="24"/>
      <c r="H10" s="24"/>
      <c r="J10" s="1" t="s">
        <v>80</v>
      </c>
      <c r="K10" s="4"/>
      <c r="L10" s="4"/>
      <c r="M10" s="4"/>
      <c r="N10" s="4"/>
      <c r="O10" s="4"/>
      <c r="P10" s="27"/>
      <c r="Q10" s="25">
        <v>0</v>
      </c>
      <c r="R10" s="25">
        <v>0</v>
      </c>
      <c r="S10" s="12">
        <f t="shared" si="0"/>
        <v>0</v>
      </c>
      <c r="T10" s="5">
        <v>0</v>
      </c>
      <c r="U10" s="12">
        <f t="shared" si="1"/>
        <v>0</v>
      </c>
      <c r="V10" s="25" t="s">
        <v>10</v>
      </c>
      <c r="W10" s="11">
        <f>IFERROR(VLOOKUP(V10,Curr!$B$2:$C$13,2,FALSE),0)</f>
        <v>11</v>
      </c>
      <c r="X10" s="12">
        <f t="shared" si="2"/>
        <v>0</v>
      </c>
      <c r="Y10" s="26">
        <f t="shared" si="3"/>
        <v>0</v>
      </c>
      <c r="Z10" s="12">
        <f t="shared" si="4"/>
        <v>0</v>
      </c>
      <c r="AA10" s="4" t="s">
        <v>10</v>
      </c>
      <c r="AB10" s="11">
        <f>IFERROR(VLOOKUP(AA10,Curr!$B$2:$C$13,2,FALSE),0)</f>
        <v>11</v>
      </c>
      <c r="AC10" s="12">
        <f t="shared" si="5"/>
        <v>0</v>
      </c>
      <c r="AD10" s="12">
        <f t="shared" si="6"/>
        <v>0</v>
      </c>
      <c r="AE10" s="13">
        <f t="shared" si="7"/>
        <v>0</v>
      </c>
    </row>
    <row r="11" spans="2:36" x14ac:dyDescent="0.25">
      <c r="B11" s="4"/>
      <c r="E11" s="3"/>
      <c r="F11" s="3"/>
      <c r="G11" s="24"/>
      <c r="H11" s="24"/>
      <c r="K11" s="4"/>
      <c r="L11" s="4"/>
      <c r="M11" s="4"/>
      <c r="N11" s="4"/>
      <c r="O11" s="4"/>
      <c r="P11" s="27"/>
      <c r="Q11" s="25"/>
      <c r="R11" s="25"/>
      <c r="S11" s="12">
        <f t="shared" si="0"/>
        <v>0</v>
      </c>
      <c r="T11" s="5">
        <v>0</v>
      </c>
      <c r="U11" s="12">
        <f t="shared" si="1"/>
        <v>0</v>
      </c>
      <c r="V11" s="25" t="s">
        <v>10</v>
      </c>
      <c r="W11" s="11">
        <f>IFERROR(VLOOKUP(V11,Curr!$B$2:$C$13,2,FALSE),0)</f>
        <v>11</v>
      </c>
      <c r="X11" s="12">
        <f t="shared" si="2"/>
        <v>0</v>
      </c>
      <c r="Y11" s="26">
        <f t="shared" si="3"/>
        <v>0</v>
      </c>
      <c r="Z11" s="12">
        <f t="shared" ref="Z11:Z33" si="8">+Y11*R11</f>
        <v>0</v>
      </c>
      <c r="AA11" s="4" t="s">
        <v>10</v>
      </c>
      <c r="AB11" s="11">
        <f>IFERROR(VLOOKUP(AA11,Curr!$B$2:$C$13,2,FALSE),0)</f>
        <v>11</v>
      </c>
      <c r="AC11" s="12">
        <f t="shared" ref="AC11:AC33" si="9">+Y11*AB11*R11</f>
        <v>0</v>
      </c>
      <c r="AD11" s="12">
        <f t="shared" ref="AD11:AD33" si="10">+AC11-X11</f>
        <v>0</v>
      </c>
      <c r="AE11" s="13">
        <f t="shared" ref="AE11:AE33" si="11">IFERROR(AD11/AC11,0)</f>
        <v>0</v>
      </c>
    </row>
    <row r="12" spans="2:36" x14ac:dyDescent="0.25">
      <c r="B12" s="4"/>
      <c r="C12" s="1" t="s">
        <v>59</v>
      </c>
      <c r="D12" s="1" t="s">
        <v>57</v>
      </c>
      <c r="E12" s="3"/>
      <c r="F12" s="3"/>
      <c r="G12" s="24"/>
      <c r="H12" s="24"/>
      <c r="J12" s="1" t="s">
        <v>95</v>
      </c>
      <c r="K12" s="4"/>
      <c r="L12" s="4"/>
      <c r="M12" s="4"/>
      <c r="N12" s="4"/>
      <c r="O12" s="4"/>
      <c r="P12" s="27" t="s">
        <v>96</v>
      </c>
      <c r="Q12" s="25">
        <v>54</v>
      </c>
      <c r="R12" s="25">
        <v>2</v>
      </c>
      <c r="S12" s="12">
        <f t="shared" si="0"/>
        <v>108</v>
      </c>
      <c r="T12" s="5">
        <v>0.2</v>
      </c>
      <c r="U12" s="12">
        <f t="shared" si="1"/>
        <v>86.4</v>
      </c>
      <c r="V12" s="25" t="s">
        <v>10</v>
      </c>
      <c r="W12" s="11">
        <f>IFERROR(VLOOKUP(V12,Curr!$B$2:$C$13,2,FALSE),0)</f>
        <v>11</v>
      </c>
      <c r="X12" s="12">
        <f t="shared" si="2"/>
        <v>950.40000000000009</v>
      </c>
      <c r="Y12" s="26">
        <f t="shared" si="3"/>
        <v>54</v>
      </c>
      <c r="Z12" s="12">
        <f t="shared" si="8"/>
        <v>108</v>
      </c>
      <c r="AA12" s="4" t="s">
        <v>10</v>
      </c>
      <c r="AB12" s="11">
        <f>IFERROR(VLOOKUP(AA12,Curr!$B$2:$C$13,2,FALSE),0)</f>
        <v>11</v>
      </c>
      <c r="AC12" s="12">
        <f t="shared" si="9"/>
        <v>1188</v>
      </c>
      <c r="AD12" s="12">
        <f t="shared" si="10"/>
        <v>237.59999999999991</v>
      </c>
      <c r="AE12" s="13">
        <f t="shared" si="11"/>
        <v>0.19999999999999993</v>
      </c>
    </row>
    <row r="13" spans="2:36" x14ac:dyDescent="0.25">
      <c r="B13" s="4"/>
      <c r="C13" s="1" t="s">
        <v>59</v>
      </c>
      <c r="D13" s="1" t="s">
        <v>56</v>
      </c>
      <c r="E13" s="3"/>
      <c r="F13" s="3"/>
      <c r="G13" s="24"/>
      <c r="H13" s="24"/>
      <c r="J13" s="1" t="s">
        <v>80</v>
      </c>
      <c r="K13" s="4"/>
      <c r="L13" s="4"/>
      <c r="M13" s="4"/>
      <c r="N13" s="4"/>
      <c r="O13" s="4"/>
      <c r="P13" s="27"/>
      <c r="Q13" s="25">
        <v>0</v>
      </c>
      <c r="R13" s="25">
        <v>0</v>
      </c>
      <c r="S13" s="12">
        <f t="shared" si="0"/>
        <v>0</v>
      </c>
      <c r="T13" s="5">
        <v>0</v>
      </c>
      <c r="U13" s="12">
        <f t="shared" si="1"/>
        <v>0</v>
      </c>
      <c r="V13" s="25" t="s">
        <v>10</v>
      </c>
      <c r="W13" s="11">
        <f>IFERROR(VLOOKUP(V13,Curr!$B$2:$C$13,2,FALSE),0)</f>
        <v>11</v>
      </c>
      <c r="X13" s="12">
        <f t="shared" si="2"/>
        <v>0</v>
      </c>
      <c r="Y13" s="26">
        <f t="shared" si="3"/>
        <v>0</v>
      </c>
      <c r="Z13" s="12">
        <f t="shared" si="8"/>
        <v>0</v>
      </c>
      <c r="AA13" s="4" t="s">
        <v>10</v>
      </c>
      <c r="AB13" s="11">
        <f>IFERROR(VLOOKUP(AA13,Curr!$B$2:$C$13,2,FALSE),0)</f>
        <v>11</v>
      </c>
      <c r="AC13" s="12">
        <f t="shared" si="9"/>
        <v>0</v>
      </c>
      <c r="AD13" s="12">
        <f t="shared" si="10"/>
        <v>0</v>
      </c>
      <c r="AE13" s="13">
        <f t="shared" si="11"/>
        <v>0</v>
      </c>
    </row>
    <row r="14" spans="2:36" x14ac:dyDescent="0.25">
      <c r="B14" s="4"/>
      <c r="E14" s="3"/>
      <c r="F14" s="3"/>
      <c r="G14" s="24"/>
      <c r="H14" s="24"/>
      <c r="K14" s="4"/>
      <c r="L14" s="4"/>
      <c r="M14" s="4"/>
      <c r="N14" s="4"/>
      <c r="O14" s="4"/>
      <c r="P14" s="33"/>
      <c r="Q14" s="25"/>
      <c r="R14" s="25"/>
      <c r="S14" s="12">
        <f t="shared" si="0"/>
        <v>0</v>
      </c>
      <c r="T14" s="5">
        <v>0</v>
      </c>
      <c r="U14" s="12">
        <f t="shared" si="1"/>
        <v>0</v>
      </c>
      <c r="V14" s="25" t="s">
        <v>10</v>
      </c>
      <c r="W14" s="11">
        <f>IFERROR(VLOOKUP(V14,Curr!$B$2:$C$13,2,FALSE),0)</f>
        <v>11</v>
      </c>
      <c r="X14" s="12">
        <f t="shared" si="2"/>
        <v>0</v>
      </c>
      <c r="Y14" s="26">
        <f t="shared" si="3"/>
        <v>0</v>
      </c>
      <c r="Z14" s="12">
        <f t="shared" si="8"/>
        <v>0</v>
      </c>
      <c r="AA14" s="4" t="s">
        <v>10</v>
      </c>
      <c r="AB14" s="11">
        <f>IFERROR(VLOOKUP(AA14,Curr!$B$2:$C$13,2,FALSE),0)</f>
        <v>11</v>
      </c>
      <c r="AC14" s="12">
        <f t="shared" si="9"/>
        <v>0</v>
      </c>
      <c r="AD14" s="12">
        <f t="shared" si="10"/>
        <v>0</v>
      </c>
      <c r="AE14" s="13">
        <f t="shared" si="11"/>
        <v>0</v>
      </c>
    </row>
    <row r="15" spans="2:36" x14ac:dyDescent="0.25">
      <c r="B15" s="4"/>
      <c r="C15" s="1" t="s">
        <v>61</v>
      </c>
      <c r="D15" s="1" t="s">
        <v>54</v>
      </c>
      <c r="E15" s="3"/>
      <c r="F15" s="3"/>
      <c r="G15" s="24"/>
      <c r="H15" s="24"/>
      <c r="J15" s="1" t="s">
        <v>98</v>
      </c>
      <c r="K15" s="4"/>
      <c r="L15" s="4"/>
      <c r="M15" s="4"/>
      <c r="N15" s="4"/>
      <c r="O15" s="4"/>
      <c r="P15" s="27"/>
      <c r="Q15" s="25">
        <v>0</v>
      </c>
      <c r="R15" s="25">
        <v>0</v>
      </c>
      <c r="S15" s="12">
        <f t="shared" si="0"/>
        <v>0</v>
      </c>
      <c r="T15" s="5">
        <v>0</v>
      </c>
      <c r="U15" s="12">
        <f t="shared" si="1"/>
        <v>0</v>
      </c>
      <c r="V15" s="25" t="s">
        <v>10</v>
      </c>
      <c r="W15" s="11">
        <f>IFERROR(VLOOKUP(V15,Curr!$B$2:$C$13,2,FALSE),0)</f>
        <v>11</v>
      </c>
      <c r="X15" s="12">
        <f t="shared" si="2"/>
        <v>0</v>
      </c>
      <c r="Y15" s="26">
        <f t="shared" si="3"/>
        <v>0</v>
      </c>
      <c r="Z15" s="12">
        <f t="shared" si="8"/>
        <v>0</v>
      </c>
      <c r="AA15" s="4" t="s">
        <v>10</v>
      </c>
      <c r="AB15" s="11">
        <f>IFERROR(VLOOKUP(AA15,Curr!$B$2:$C$13,2,FALSE),0)</f>
        <v>11</v>
      </c>
      <c r="AC15" s="12">
        <f t="shared" si="9"/>
        <v>0</v>
      </c>
      <c r="AD15" s="12">
        <f t="shared" si="10"/>
        <v>0</v>
      </c>
      <c r="AE15" s="13">
        <f t="shared" si="11"/>
        <v>0</v>
      </c>
    </row>
    <row r="16" spans="2:36" x14ac:dyDescent="0.25">
      <c r="B16" s="4"/>
      <c r="C16" s="1" t="s">
        <v>61</v>
      </c>
      <c r="D16" s="1" t="s">
        <v>86</v>
      </c>
      <c r="E16" s="3"/>
      <c r="F16" s="3"/>
      <c r="G16" s="24"/>
      <c r="H16" s="24"/>
      <c r="J16" s="1" t="s">
        <v>99</v>
      </c>
      <c r="K16" s="4"/>
      <c r="L16" s="4"/>
      <c r="M16" s="4"/>
      <c r="N16" s="4"/>
      <c r="O16" s="4" t="s">
        <v>42</v>
      </c>
      <c r="P16" s="33"/>
      <c r="Q16" s="25">
        <v>3000</v>
      </c>
      <c r="R16" s="25">
        <v>1</v>
      </c>
      <c r="S16" s="12">
        <f t="shared" si="0"/>
        <v>3000</v>
      </c>
      <c r="T16" s="5">
        <v>0</v>
      </c>
      <c r="U16" s="12">
        <f t="shared" si="1"/>
        <v>3000</v>
      </c>
      <c r="V16" s="25" t="s">
        <v>8</v>
      </c>
      <c r="W16" s="11">
        <f>IFERROR(VLOOKUP(V16,Curr!$B$2:$C$13,2,FALSE),0)</f>
        <v>1</v>
      </c>
      <c r="X16" s="12">
        <f t="shared" si="2"/>
        <v>3000</v>
      </c>
      <c r="Y16" s="26">
        <f t="shared" ref="Y16" si="12">Q16/11.3/0.8</f>
        <v>331.85840707964599</v>
      </c>
      <c r="Z16" s="12">
        <f t="shared" si="8"/>
        <v>331.85840707964599</v>
      </c>
      <c r="AA16" s="4" t="s">
        <v>10</v>
      </c>
      <c r="AB16" s="11">
        <f>IFERROR(VLOOKUP(AA16,Curr!$B$2:$C$13,2,FALSE),0)</f>
        <v>11</v>
      </c>
      <c r="AC16" s="12">
        <f t="shared" si="9"/>
        <v>3650.4424778761058</v>
      </c>
      <c r="AD16" s="12">
        <f t="shared" si="10"/>
        <v>650.44247787610584</v>
      </c>
      <c r="AE16" s="13">
        <f t="shared" si="11"/>
        <v>0.17818181818181811</v>
      </c>
    </row>
    <row r="17" spans="2:31" x14ac:dyDescent="0.25">
      <c r="B17" s="4"/>
      <c r="C17" s="1" t="s">
        <v>61</v>
      </c>
      <c r="D17" s="1" t="s">
        <v>54</v>
      </c>
      <c r="E17" s="3"/>
      <c r="F17" s="3"/>
      <c r="G17" s="24"/>
      <c r="H17" s="24"/>
      <c r="J17" s="1" t="s">
        <v>100</v>
      </c>
      <c r="K17" s="4"/>
      <c r="L17" s="4"/>
      <c r="M17" s="4"/>
      <c r="N17" s="4"/>
      <c r="O17" s="4"/>
      <c r="P17" s="33"/>
      <c r="Q17" s="25">
        <v>0</v>
      </c>
      <c r="R17" s="25">
        <v>0</v>
      </c>
      <c r="S17" s="12">
        <f t="shared" si="0"/>
        <v>0</v>
      </c>
      <c r="T17" s="5">
        <v>0</v>
      </c>
      <c r="U17" s="12">
        <f t="shared" si="1"/>
        <v>0</v>
      </c>
      <c r="V17" s="25" t="s">
        <v>10</v>
      </c>
      <c r="W17" s="11">
        <f>IFERROR(VLOOKUP(V17,Curr!$B$2:$C$13,2,FALSE),0)</f>
        <v>11</v>
      </c>
      <c r="X17" s="12">
        <f t="shared" si="2"/>
        <v>0</v>
      </c>
      <c r="Y17" s="26">
        <f t="shared" ref="Y17:Y19" si="13">Q17</f>
        <v>0</v>
      </c>
      <c r="Z17" s="12">
        <f t="shared" si="8"/>
        <v>0</v>
      </c>
      <c r="AA17" s="4" t="s">
        <v>10</v>
      </c>
      <c r="AB17" s="11">
        <f>IFERROR(VLOOKUP(AA17,Curr!$B$2:$C$13,2,FALSE),0)</f>
        <v>11</v>
      </c>
      <c r="AC17" s="12">
        <f t="shared" si="9"/>
        <v>0</v>
      </c>
      <c r="AD17" s="12">
        <f t="shared" si="10"/>
        <v>0</v>
      </c>
      <c r="AE17" s="13">
        <f t="shared" si="11"/>
        <v>0</v>
      </c>
    </row>
    <row r="18" spans="2:31" x14ac:dyDescent="0.25">
      <c r="B18" s="4"/>
      <c r="C18" s="1" t="s">
        <v>61</v>
      </c>
      <c r="D18" s="1" t="s">
        <v>55</v>
      </c>
      <c r="E18" s="3"/>
      <c r="F18" s="3"/>
      <c r="G18" s="24"/>
      <c r="H18" s="24"/>
      <c r="J18" s="1" t="s">
        <v>114</v>
      </c>
      <c r="K18" s="4"/>
      <c r="L18" s="4"/>
      <c r="M18" s="4"/>
      <c r="N18" s="4"/>
      <c r="O18" s="4"/>
      <c r="P18" s="27"/>
      <c r="Q18" s="25">
        <v>500</v>
      </c>
      <c r="R18" s="25">
        <v>1</v>
      </c>
      <c r="S18" s="12">
        <f t="shared" si="0"/>
        <v>500</v>
      </c>
      <c r="T18" s="5">
        <v>0</v>
      </c>
      <c r="U18" s="12">
        <f t="shared" si="1"/>
        <v>500</v>
      </c>
      <c r="V18" s="25" t="s">
        <v>10</v>
      </c>
      <c r="W18" s="11">
        <f>IFERROR(VLOOKUP(V18,Curr!$B$2:$C$13,2,FALSE),0)</f>
        <v>11</v>
      </c>
      <c r="X18" s="12">
        <f t="shared" si="2"/>
        <v>5500</v>
      </c>
      <c r="Y18" s="26">
        <f>Q18/0.8</f>
        <v>625</v>
      </c>
      <c r="Z18" s="12">
        <f t="shared" si="8"/>
        <v>625</v>
      </c>
      <c r="AA18" s="4" t="s">
        <v>10</v>
      </c>
      <c r="AB18" s="11">
        <f>IFERROR(VLOOKUP(AA18,Curr!$B$2:$C$13,2,FALSE),0)</f>
        <v>11</v>
      </c>
      <c r="AC18" s="12">
        <f t="shared" si="9"/>
        <v>6875</v>
      </c>
      <c r="AD18" s="12">
        <f t="shared" si="10"/>
        <v>1375</v>
      </c>
      <c r="AE18" s="13">
        <f t="shared" si="11"/>
        <v>0.2</v>
      </c>
    </row>
    <row r="19" spans="2:31" x14ac:dyDescent="0.25">
      <c r="B19" s="4"/>
      <c r="C19" s="1" t="s">
        <v>61</v>
      </c>
      <c r="D19" s="1" t="s">
        <v>56</v>
      </c>
      <c r="E19" s="3"/>
      <c r="F19" s="3"/>
      <c r="G19" s="24"/>
      <c r="H19" s="24"/>
      <c r="J19" s="1" t="s">
        <v>79</v>
      </c>
      <c r="K19" s="4"/>
      <c r="L19" s="4"/>
      <c r="M19" s="4"/>
      <c r="N19" s="4"/>
      <c r="O19" s="4"/>
      <c r="P19" s="27"/>
      <c r="Q19" s="25">
        <v>0</v>
      </c>
      <c r="R19" s="25">
        <v>0</v>
      </c>
      <c r="S19" s="12">
        <f t="shared" si="0"/>
        <v>0</v>
      </c>
      <c r="T19" s="5">
        <v>0</v>
      </c>
      <c r="U19" s="12">
        <f t="shared" si="1"/>
        <v>0</v>
      </c>
      <c r="V19" s="25" t="s">
        <v>10</v>
      </c>
      <c r="W19" s="11">
        <f>IFERROR(VLOOKUP(V19,Curr!$B$2:$C$13,2,FALSE),0)</f>
        <v>11</v>
      </c>
      <c r="X19" s="12">
        <f t="shared" si="2"/>
        <v>0</v>
      </c>
      <c r="Y19" s="26">
        <f t="shared" si="13"/>
        <v>0</v>
      </c>
      <c r="Z19" s="12">
        <f t="shared" si="8"/>
        <v>0</v>
      </c>
      <c r="AA19" s="4" t="s">
        <v>10</v>
      </c>
      <c r="AB19" s="11">
        <f>IFERROR(VLOOKUP(AA19,Curr!$B$2:$C$13,2,FALSE),0)</f>
        <v>11</v>
      </c>
      <c r="AC19" s="12">
        <f t="shared" si="9"/>
        <v>0</v>
      </c>
      <c r="AD19" s="12">
        <f t="shared" si="10"/>
        <v>0</v>
      </c>
      <c r="AE19" s="13">
        <f t="shared" si="11"/>
        <v>0</v>
      </c>
    </row>
    <row r="20" spans="2:31" x14ac:dyDescent="0.25">
      <c r="B20" s="4"/>
      <c r="E20" s="3"/>
      <c r="F20" s="3"/>
      <c r="G20" s="24"/>
      <c r="H20" s="24"/>
      <c r="K20" s="4"/>
      <c r="L20" s="4"/>
      <c r="M20" s="4"/>
      <c r="N20" s="4"/>
      <c r="O20" s="4"/>
      <c r="P20" s="27"/>
      <c r="Q20" s="25"/>
      <c r="R20" s="25"/>
      <c r="S20" s="12">
        <f t="shared" si="0"/>
        <v>0</v>
      </c>
      <c r="T20" s="5">
        <v>0</v>
      </c>
      <c r="U20" s="12">
        <f t="shared" si="1"/>
        <v>0</v>
      </c>
      <c r="V20" s="25" t="s">
        <v>10</v>
      </c>
      <c r="W20" s="11">
        <f>IFERROR(VLOOKUP(V20,Curr!$B$2:$C$13,2,FALSE),0)</f>
        <v>11</v>
      </c>
      <c r="X20" s="12">
        <f t="shared" si="2"/>
        <v>0</v>
      </c>
      <c r="Y20" s="26">
        <f t="shared" si="3"/>
        <v>0</v>
      </c>
      <c r="Z20" s="12">
        <f t="shared" si="8"/>
        <v>0</v>
      </c>
      <c r="AA20" s="4" t="s">
        <v>10</v>
      </c>
      <c r="AB20" s="11">
        <f>IFERROR(VLOOKUP(AA20,Curr!$B$2:$C$13,2,FALSE),0)</f>
        <v>11</v>
      </c>
      <c r="AC20" s="12">
        <f t="shared" si="9"/>
        <v>0</v>
      </c>
      <c r="AD20" s="12">
        <f t="shared" si="10"/>
        <v>0</v>
      </c>
      <c r="AE20" s="13">
        <f t="shared" si="11"/>
        <v>0</v>
      </c>
    </row>
    <row r="21" spans="2:31" x14ac:dyDescent="0.25">
      <c r="B21" s="4"/>
      <c r="C21" s="1" t="s">
        <v>62</v>
      </c>
      <c r="D21" s="1" t="s">
        <v>57</v>
      </c>
      <c r="E21" s="3"/>
      <c r="F21" s="3"/>
      <c r="G21" s="24"/>
      <c r="H21" s="24"/>
      <c r="J21" s="1" t="s">
        <v>101</v>
      </c>
      <c r="K21" s="4"/>
      <c r="L21" s="4"/>
      <c r="M21" s="4"/>
      <c r="N21" s="4"/>
      <c r="O21" s="4"/>
      <c r="P21" s="33" t="s">
        <v>102</v>
      </c>
      <c r="Q21" s="25">
        <v>156</v>
      </c>
      <c r="R21" s="25">
        <v>2</v>
      </c>
      <c r="S21" s="12">
        <f t="shared" si="0"/>
        <v>312</v>
      </c>
      <c r="T21" s="5">
        <v>0.2</v>
      </c>
      <c r="U21" s="12">
        <f t="shared" si="1"/>
        <v>249.60000000000002</v>
      </c>
      <c r="V21" s="25" t="s">
        <v>10</v>
      </c>
      <c r="W21" s="11">
        <f>IFERROR(VLOOKUP(V21,Curr!$B$2:$C$13,2,FALSE),0)</f>
        <v>11</v>
      </c>
      <c r="X21" s="12">
        <f t="shared" si="2"/>
        <v>2745.6000000000004</v>
      </c>
      <c r="Y21" s="26">
        <f t="shared" si="3"/>
        <v>156</v>
      </c>
      <c r="Z21" s="12">
        <f t="shared" si="8"/>
        <v>312</v>
      </c>
      <c r="AA21" s="4" t="s">
        <v>10</v>
      </c>
      <c r="AB21" s="11">
        <f>IFERROR(VLOOKUP(AA21,Curr!$B$2:$C$13,2,FALSE),0)</f>
        <v>11</v>
      </c>
      <c r="AC21" s="12">
        <f t="shared" si="9"/>
        <v>3432</v>
      </c>
      <c r="AD21" s="12">
        <f t="shared" si="10"/>
        <v>686.39999999999964</v>
      </c>
      <c r="AE21" s="13">
        <f t="shared" si="11"/>
        <v>0.1999999999999999</v>
      </c>
    </row>
    <row r="22" spans="2:31" x14ac:dyDescent="0.25">
      <c r="B22" s="4"/>
      <c r="C22" s="1" t="s">
        <v>62</v>
      </c>
      <c r="D22" s="1" t="s">
        <v>56</v>
      </c>
      <c r="E22" s="3"/>
      <c r="F22" s="3"/>
      <c r="G22" s="24"/>
      <c r="H22" s="24"/>
      <c r="J22" s="1" t="s">
        <v>79</v>
      </c>
      <c r="K22" s="4"/>
      <c r="L22" s="4"/>
      <c r="M22" s="4"/>
      <c r="N22" s="4"/>
      <c r="O22" s="4"/>
      <c r="P22" s="33"/>
      <c r="Q22" s="25">
        <v>0</v>
      </c>
      <c r="R22" s="25">
        <v>0</v>
      </c>
      <c r="S22" s="12">
        <f t="shared" si="0"/>
        <v>0</v>
      </c>
      <c r="T22" s="5">
        <v>0</v>
      </c>
      <c r="U22" s="12">
        <f t="shared" si="1"/>
        <v>0</v>
      </c>
      <c r="V22" s="25" t="s">
        <v>10</v>
      </c>
      <c r="W22" s="11">
        <f>IFERROR(VLOOKUP(V22,Curr!$B$2:$C$13,2,FALSE),0)</f>
        <v>11</v>
      </c>
      <c r="X22" s="12">
        <f t="shared" si="2"/>
        <v>0</v>
      </c>
      <c r="Y22" s="26">
        <f t="shared" si="3"/>
        <v>0</v>
      </c>
      <c r="Z22" s="12">
        <f t="shared" si="8"/>
        <v>0</v>
      </c>
      <c r="AA22" s="4" t="s">
        <v>10</v>
      </c>
      <c r="AB22" s="11">
        <f>IFERROR(VLOOKUP(AA22,Curr!$B$2:$C$13,2,FALSE),0)</f>
        <v>11</v>
      </c>
      <c r="AC22" s="12">
        <f t="shared" si="9"/>
        <v>0</v>
      </c>
      <c r="AD22" s="12">
        <f t="shared" si="10"/>
        <v>0</v>
      </c>
      <c r="AE22" s="13">
        <f t="shared" si="11"/>
        <v>0</v>
      </c>
    </row>
    <row r="23" spans="2:31" x14ac:dyDescent="0.25">
      <c r="B23" s="4"/>
      <c r="E23" s="3"/>
      <c r="F23" s="3"/>
      <c r="G23" s="24"/>
      <c r="H23" s="24"/>
      <c r="K23" s="4"/>
      <c r="L23" s="4"/>
      <c r="M23" s="4"/>
      <c r="N23" s="4"/>
      <c r="O23" s="4"/>
      <c r="P23" s="27"/>
      <c r="Q23" s="25"/>
      <c r="R23" s="25"/>
      <c r="S23" s="12">
        <f t="shared" ref="S23:S33" si="14">+Q23*R23</f>
        <v>0</v>
      </c>
      <c r="T23" s="5">
        <v>0</v>
      </c>
      <c r="U23" s="12">
        <f t="shared" ref="U23:U33" si="15">S23*(1-T23)</f>
        <v>0</v>
      </c>
      <c r="V23" s="25" t="s">
        <v>10</v>
      </c>
      <c r="W23" s="11">
        <f>IFERROR(VLOOKUP(V23,Curr!$B$2:$C$13,2,FALSE),0)</f>
        <v>11</v>
      </c>
      <c r="X23" s="12">
        <f t="shared" ref="X23:X33" si="16">U23*W23</f>
        <v>0</v>
      </c>
      <c r="Y23" s="26">
        <f t="shared" ref="Y23:Y33" si="17">Q23</f>
        <v>0</v>
      </c>
      <c r="Z23" s="12">
        <f t="shared" si="8"/>
        <v>0</v>
      </c>
      <c r="AA23" s="4" t="s">
        <v>10</v>
      </c>
      <c r="AB23" s="11">
        <f>IFERROR(VLOOKUP(AA23,Curr!$B$2:$C$13,2,FALSE),0)</f>
        <v>11</v>
      </c>
      <c r="AC23" s="12">
        <f t="shared" si="9"/>
        <v>0</v>
      </c>
      <c r="AD23" s="12">
        <f t="shared" si="10"/>
        <v>0</v>
      </c>
      <c r="AE23" s="13">
        <f t="shared" si="11"/>
        <v>0</v>
      </c>
    </row>
    <row r="24" spans="2:31" x14ac:dyDescent="0.25">
      <c r="B24" s="4"/>
      <c r="C24" s="1" t="s">
        <v>63</v>
      </c>
      <c r="D24" s="1" t="s">
        <v>54</v>
      </c>
      <c r="E24" s="3"/>
      <c r="F24" s="3"/>
      <c r="G24" s="24"/>
      <c r="H24" s="24"/>
      <c r="J24" s="1" t="s">
        <v>103</v>
      </c>
      <c r="K24" s="4"/>
      <c r="L24" s="4"/>
      <c r="M24" s="4"/>
      <c r="N24" s="4"/>
      <c r="O24" s="4"/>
      <c r="P24" s="27"/>
      <c r="Q24" s="25">
        <v>0</v>
      </c>
      <c r="R24" s="25">
        <v>0</v>
      </c>
      <c r="S24" s="12">
        <f t="shared" si="14"/>
        <v>0</v>
      </c>
      <c r="T24" s="5">
        <v>0</v>
      </c>
      <c r="U24" s="12">
        <f t="shared" si="15"/>
        <v>0</v>
      </c>
      <c r="V24" s="25" t="s">
        <v>10</v>
      </c>
      <c r="W24" s="11">
        <f>IFERROR(VLOOKUP(V24,Curr!$B$2:$C$13,2,FALSE),0)</f>
        <v>11</v>
      </c>
      <c r="X24" s="12">
        <f t="shared" si="16"/>
        <v>0</v>
      </c>
      <c r="Y24" s="26">
        <f t="shared" si="17"/>
        <v>0</v>
      </c>
      <c r="Z24" s="12">
        <f t="shared" si="8"/>
        <v>0</v>
      </c>
      <c r="AA24" s="4" t="s">
        <v>10</v>
      </c>
      <c r="AB24" s="11">
        <f>IFERROR(VLOOKUP(AA24,Curr!$B$2:$C$13,2,FALSE),0)</f>
        <v>11</v>
      </c>
      <c r="AC24" s="12">
        <f t="shared" si="9"/>
        <v>0</v>
      </c>
      <c r="AD24" s="12">
        <f t="shared" si="10"/>
        <v>0</v>
      </c>
      <c r="AE24" s="13">
        <f t="shared" si="11"/>
        <v>0</v>
      </c>
    </row>
    <row r="25" spans="2:31" x14ac:dyDescent="0.25">
      <c r="B25" s="4"/>
      <c r="C25" s="1" t="s">
        <v>63</v>
      </c>
      <c r="D25" s="1" t="s">
        <v>58</v>
      </c>
      <c r="E25" s="3"/>
      <c r="F25" s="3"/>
      <c r="G25" s="24"/>
      <c r="H25" s="24"/>
      <c r="J25" s="1" t="s">
        <v>134</v>
      </c>
      <c r="K25" s="4"/>
      <c r="L25" s="4"/>
      <c r="M25" s="4"/>
      <c r="N25" s="4"/>
      <c r="O25" s="4" t="s">
        <v>42</v>
      </c>
      <c r="P25" s="33" t="s">
        <v>97</v>
      </c>
      <c r="Q25" s="25">
        <v>1000</v>
      </c>
      <c r="R25" s="25">
        <v>1</v>
      </c>
      <c r="S25" s="12">
        <f t="shared" si="14"/>
        <v>1000</v>
      </c>
      <c r="T25" s="5">
        <v>0</v>
      </c>
      <c r="U25" s="12">
        <f t="shared" si="15"/>
        <v>1000</v>
      </c>
      <c r="V25" s="25" t="s">
        <v>8</v>
      </c>
      <c r="W25" s="11">
        <f>IFERROR(VLOOKUP(V25,Curr!$B$2:$C$13,2,FALSE),0)</f>
        <v>1</v>
      </c>
      <c r="X25" s="12">
        <f t="shared" si="16"/>
        <v>1000</v>
      </c>
      <c r="Y25" s="26">
        <f t="shared" ref="Y25" si="18">Q25/11.3/0.8</f>
        <v>110.61946902654867</v>
      </c>
      <c r="Z25" s="12">
        <f t="shared" si="8"/>
        <v>110.61946902654867</v>
      </c>
      <c r="AA25" s="4" t="s">
        <v>10</v>
      </c>
      <c r="AB25" s="11">
        <f>IFERROR(VLOOKUP(AA25,Curr!$B$2:$C$13,2,FALSE),0)</f>
        <v>11</v>
      </c>
      <c r="AC25" s="12">
        <f t="shared" si="9"/>
        <v>1216.8141592920354</v>
      </c>
      <c r="AD25" s="12">
        <f t="shared" si="10"/>
        <v>216.81415929203536</v>
      </c>
      <c r="AE25" s="13">
        <f t="shared" si="11"/>
        <v>0.17818181818181816</v>
      </c>
    </row>
    <row r="26" spans="2:31" x14ac:dyDescent="0.25">
      <c r="B26" s="4"/>
      <c r="C26" s="1" t="s">
        <v>63</v>
      </c>
      <c r="D26" s="1" t="s">
        <v>54</v>
      </c>
      <c r="E26" s="3"/>
      <c r="F26" s="3"/>
      <c r="G26" s="24"/>
      <c r="H26" s="24"/>
      <c r="J26" s="1" t="s">
        <v>137</v>
      </c>
      <c r="K26" s="4"/>
      <c r="L26" s="4"/>
      <c r="M26" s="4"/>
      <c r="N26" s="4"/>
      <c r="O26" s="4"/>
      <c r="P26" s="33"/>
      <c r="Q26" s="25">
        <v>0</v>
      </c>
      <c r="R26" s="25">
        <v>0</v>
      </c>
      <c r="S26" s="12">
        <f t="shared" si="14"/>
        <v>0</v>
      </c>
      <c r="T26" s="5">
        <v>0</v>
      </c>
      <c r="U26" s="12">
        <f t="shared" si="15"/>
        <v>0</v>
      </c>
      <c r="V26" s="25" t="s">
        <v>10</v>
      </c>
      <c r="W26" s="11">
        <f>IFERROR(VLOOKUP(V26,Curr!$B$2:$C$13,2,FALSE),0)</f>
        <v>11</v>
      </c>
      <c r="X26" s="12">
        <f t="shared" si="16"/>
        <v>0</v>
      </c>
      <c r="Y26" s="26">
        <f t="shared" si="17"/>
        <v>0</v>
      </c>
      <c r="Z26" s="12">
        <f t="shared" si="8"/>
        <v>0</v>
      </c>
      <c r="AA26" s="4" t="s">
        <v>10</v>
      </c>
      <c r="AB26" s="11">
        <f>IFERROR(VLOOKUP(AA26,Curr!$B$2:$C$13,2,FALSE),0)</f>
        <v>11</v>
      </c>
      <c r="AC26" s="12">
        <f t="shared" si="9"/>
        <v>0</v>
      </c>
      <c r="AD26" s="12">
        <f t="shared" si="10"/>
        <v>0</v>
      </c>
      <c r="AE26" s="13">
        <f t="shared" si="11"/>
        <v>0</v>
      </c>
    </row>
    <row r="27" spans="2:31" x14ac:dyDescent="0.25">
      <c r="B27" s="4"/>
      <c r="C27" s="1" t="s">
        <v>63</v>
      </c>
      <c r="D27" s="1" t="s">
        <v>55</v>
      </c>
      <c r="E27" s="3"/>
      <c r="F27" s="3"/>
      <c r="G27" s="24"/>
      <c r="H27" s="24"/>
      <c r="J27" s="1" t="s">
        <v>136</v>
      </c>
      <c r="K27" s="4"/>
      <c r="L27" s="4"/>
      <c r="M27" s="4"/>
      <c r="N27" s="4"/>
      <c r="O27" s="4"/>
      <c r="P27" s="27"/>
      <c r="Q27" s="25">
        <v>300</v>
      </c>
      <c r="R27" s="25">
        <v>1</v>
      </c>
      <c r="S27" s="12">
        <f t="shared" si="14"/>
        <v>300</v>
      </c>
      <c r="T27" s="5">
        <v>0</v>
      </c>
      <c r="U27" s="12">
        <f t="shared" si="15"/>
        <v>300</v>
      </c>
      <c r="V27" s="25" t="s">
        <v>10</v>
      </c>
      <c r="W27" s="11">
        <f>IFERROR(VLOOKUP(V27,Curr!$B$2:$C$13,2,FALSE),0)</f>
        <v>11</v>
      </c>
      <c r="X27" s="12">
        <f t="shared" si="16"/>
        <v>3300</v>
      </c>
      <c r="Y27" s="26">
        <f>Q27/0.8</f>
        <v>375</v>
      </c>
      <c r="Z27" s="12">
        <f t="shared" si="8"/>
        <v>375</v>
      </c>
      <c r="AA27" s="4" t="s">
        <v>10</v>
      </c>
      <c r="AB27" s="11">
        <f>IFERROR(VLOOKUP(AA27,Curr!$B$2:$C$13,2,FALSE),0)</f>
        <v>11</v>
      </c>
      <c r="AC27" s="12">
        <f t="shared" si="9"/>
        <v>4125</v>
      </c>
      <c r="AD27" s="12">
        <f t="shared" si="10"/>
        <v>825</v>
      </c>
      <c r="AE27" s="13">
        <f t="shared" si="11"/>
        <v>0.2</v>
      </c>
    </row>
    <row r="28" spans="2:31" x14ac:dyDescent="0.25">
      <c r="B28" s="4"/>
      <c r="C28" s="1" t="s">
        <v>63</v>
      </c>
      <c r="D28" s="1" t="s">
        <v>56</v>
      </c>
      <c r="E28" s="3"/>
      <c r="F28" s="3"/>
      <c r="G28" s="24"/>
      <c r="H28" s="24"/>
      <c r="J28" s="1" t="s">
        <v>135</v>
      </c>
      <c r="K28" s="4"/>
      <c r="L28" s="4"/>
      <c r="M28" s="4"/>
      <c r="N28" s="4"/>
      <c r="O28" s="4"/>
      <c r="P28" s="33"/>
      <c r="Q28" s="25">
        <v>0</v>
      </c>
      <c r="R28" s="25">
        <v>0</v>
      </c>
      <c r="S28" s="12">
        <f t="shared" si="14"/>
        <v>0</v>
      </c>
      <c r="T28" s="5">
        <v>0</v>
      </c>
      <c r="U28" s="12">
        <f t="shared" si="15"/>
        <v>0</v>
      </c>
      <c r="V28" s="25" t="s">
        <v>10</v>
      </c>
      <c r="W28" s="11">
        <f>IFERROR(VLOOKUP(V28,Curr!$B$2:$C$13,2,FALSE),0)</f>
        <v>11</v>
      </c>
      <c r="X28" s="12">
        <f t="shared" si="16"/>
        <v>0</v>
      </c>
      <c r="Y28" s="26">
        <f t="shared" si="17"/>
        <v>0</v>
      </c>
      <c r="Z28" s="12">
        <f t="shared" si="8"/>
        <v>0</v>
      </c>
      <c r="AA28" s="4" t="s">
        <v>10</v>
      </c>
      <c r="AB28" s="11">
        <f>IFERROR(VLOOKUP(AA28,Curr!$B$2:$C$13,2,FALSE),0)</f>
        <v>11</v>
      </c>
      <c r="AC28" s="12">
        <f t="shared" si="9"/>
        <v>0</v>
      </c>
      <c r="AD28" s="12">
        <f t="shared" si="10"/>
        <v>0</v>
      </c>
      <c r="AE28" s="13">
        <f t="shared" si="11"/>
        <v>0</v>
      </c>
    </row>
    <row r="29" spans="2:31" x14ac:dyDescent="0.25">
      <c r="B29" s="4"/>
      <c r="E29" s="3"/>
      <c r="F29" s="3"/>
      <c r="G29" s="24"/>
      <c r="H29" s="24"/>
      <c r="K29" s="4"/>
      <c r="L29" s="4"/>
      <c r="M29" s="4"/>
      <c r="N29" s="4"/>
      <c r="O29" s="4"/>
      <c r="P29" s="29"/>
      <c r="Q29" s="25"/>
      <c r="R29" s="25"/>
      <c r="S29" s="12">
        <f t="shared" si="14"/>
        <v>0</v>
      </c>
      <c r="T29" s="5">
        <v>0</v>
      </c>
      <c r="U29" s="12">
        <f t="shared" si="15"/>
        <v>0</v>
      </c>
      <c r="V29" s="25" t="s">
        <v>10</v>
      </c>
      <c r="W29" s="11">
        <f>IFERROR(VLOOKUP(V29,Curr!$B$2:$C$13,2,FALSE),0)</f>
        <v>11</v>
      </c>
      <c r="X29" s="12">
        <f t="shared" si="16"/>
        <v>0</v>
      </c>
      <c r="Y29" s="26">
        <f t="shared" si="17"/>
        <v>0</v>
      </c>
      <c r="Z29" s="12">
        <f t="shared" si="8"/>
        <v>0</v>
      </c>
      <c r="AA29" s="4" t="s">
        <v>10</v>
      </c>
      <c r="AB29" s="11">
        <f>IFERROR(VLOOKUP(AA29,Curr!$B$2:$C$13,2,FALSE),0)</f>
        <v>11</v>
      </c>
      <c r="AC29" s="12">
        <f t="shared" si="9"/>
        <v>0</v>
      </c>
      <c r="AD29" s="12">
        <f t="shared" si="10"/>
        <v>0</v>
      </c>
      <c r="AE29" s="13">
        <f t="shared" si="11"/>
        <v>0</v>
      </c>
    </row>
    <row r="30" spans="2:31" x14ac:dyDescent="0.25">
      <c r="B30" s="4"/>
      <c r="C30" s="1" t="s">
        <v>64</v>
      </c>
      <c r="D30" s="1" t="s">
        <v>57</v>
      </c>
      <c r="E30" s="3"/>
      <c r="F30" s="3"/>
      <c r="G30" s="24"/>
      <c r="H30" s="24"/>
      <c r="J30" s="1" t="s">
        <v>138</v>
      </c>
      <c r="K30" s="4"/>
      <c r="L30" s="4"/>
      <c r="M30" s="4"/>
      <c r="N30" s="4"/>
      <c r="O30" s="4"/>
      <c r="P30" s="33" t="s">
        <v>139</v>
      </c>
      <c r="Q30" s="25">
        <v>90</v>
      </c>
      <c r="R30" s="25">
        <v>2</v>
      </c>
      <c r="S30" s="12">
        <f t="shared" si="14"/>
        <v>180</v>
      </c>
      <c r="T30" s="5">
        <v>0.2</v>
      </c>
      <c r="U30" s="12">
        <f t="shared" si="15"/>
        <v>144</v>
      </c>
      <c r="V30" s="25" t="s">
        <v>10</v>
      </c>
      <c r="W30" s="11">
        <f>IFERROR(VLOOKUP(V30,Curr!$B$2:$C$13,2,FALSE),0)</f>
        <v>11</v>
      </c>
      <c r="X30" s="12">
        <f t="shared" si="16"/>
        <v>1584</v>
      </c>
      <c r="Y30" s="26">
        <f t="shared" si="17"/>
        <v>90</v>
      </c>
      <c r="Z30" s="12">
        <f t="shared" si="8"/>
        <v>180</v>
      </c>
      <c r="AA30" s="4" t="s">
        <v>10</v>
      </c>
      <c r="AB30" s="11">
        <f>IFERROR(VLOOKUP(AA30,Curr!$B$2:$C$13,2,FALSE),0)</f>
        <v>11</v>
      </c>
      <c r="AC30" s="12">
        <f t="shared" si="9"/>
        <v>1980</v>
      </c>
      <c r="AD30" s="12">
        <f t="shared" si="10"/>
        <v>396</v>
      </c>
      <c r="AE30" s="13">
        <f t="shared" si="11"/>
        <v>0.2</v>
      </c>
    </row>
    <row r="31" spans="2:31" x14ac:dyDescent="0.25">
      <c r="B31" s="4"/>
      <c r="C31" s="1" t="s">
        <v>64</v>
      </c>
      <c r="D31" s="1" t="s">
        <v>56</v>
      </c>
      <c r="E31" s="3"/>
      <c r="F31" s="3"/>
      <c r="G31" s="24"/>
      <c r="H31" s="24"/>
      <c r="J31" s="1" t="s">
        <v>135</v>
      </c>
      <c r="K31" s="4"/>
      <c r="L31" s="4"/>
      <c r="M31" s="4"/>
      <c r="N31" s="4"/>
      <c r="O31" s="4"/>
      <c r="P31" s="27"/>
      <c r="Q31" s="25">
        <v>0</v>
      </c>
      <c r="R31" s="25">
        <v>0</v>
      </c>
      <c r="S31" s="12">
        <f t="shared" si="14"/>
        <v>0</v>
      </c>
      <c r="T31" s="5">
        <v>0</v>
      </c>
      <c r="U31" s="12">
        <f t="shared" si="15"/>
        <v>0</v>
      </c>
      <c r="V31" s="25" t="s">
        <v>10</v>
      </c>
      <c r="W31" s="11">
        <f>IFERROR(VLOOKUP(V31,Curr!$B$2:$C$13,2,FALSE),0)</f>
        <v>11</v>
      </c>
      <c r="X31" s="12">
        <f t="shared" si="16"/>
        <v>0</v>
      </c>
      <c r="Y31" s="26">
        <f t="shared" si="17"/>
        <v>0</v>
      </c>
      <c r="Z31" s="12">
        <f t="shared" si="8"/>
        <v>0</v>
      </c>
      <c r="AA31" s="4" t="s">
        <v>10</v>
      </c>
      <c r="AB31" s="11">
        <f>IFERROR(VLOOKUP(AA31,Curr!$B$2:$C$13,2,FALSE),0)</f>
        <v>11</v>
      </c>
      <c r="AC31" s="12">
        <f t="shared" si="9"/>
        <v>0</v>
      </c>
      <c r="AD31" s="12">
        <f t="shared" si="10"/>
        <v>0</v>
      </c>
      <c r="AE31" s="13">
        <f t="shared" si="11"/>
        <v>0</v>
      </c>
    </row>
    <row r="32" spans="2:31" x14ac:dyDescent="0.25">
      <c r="B32" s="4"/>
      <c r="E32" s="3"/>
      <c r="F32" s="3"/>
      <c r="G32" s="24"/>
      <c r="H32" s="24"/>
      <c r="K32" s="4"/>
      <c r="L32" s="4"/>
      <c r="M32" s="4"/>
      <c r="N32" s="4"/>
      <c r="O32" s="4"/>
      <c r="P32" s="27"/>
      <c r="Q32" s="25"/>
      <c r="R32" s="25"/>
      <c r="S32" s="12">
        <f t="shared" si="14"/>
        <v>0</v>
      </c>
      <c r="T32" s="5">
        <v>0</v>
      </c>
      <c r="U32" s="12">
        <f t="shared" si="15"/>
        <v>0</v>
      </c>
      <c r="V32" s="25" t="s">
        <v>10</v>
      </c>
      <c r="W32" s="11">
        <f>IFERROR(VLOOKUP(V32,Curr!$B$2:$C$13,2,FALSE),0)</f>
        <v>11</v>
      </c>
      <c r="X32" s="12">
        <f t="shared" si="16"/>
        <v>0</v>
      </c>
      <c r="Y32" s="26">
        <f t="shared" si="17"/>
        <v>0</v>
      </c>
      <c r="Z32" s="12">
        <f t="shared" si="8"/>
        <v>0</v>
      </c>
      <c r="AA32" s="4" t="s">
        <v>10</v>
      </c>
      <c r="AB32" s="11">
        <f>IFERROR(VLOOKUP(AA32,Curr!$B$2:$C$13,2,FALSE),0)</f>
        <v>11</v>
      </c>
      <c r="AC32" s="12">
        <f t="shared" si="9"/>
        <v>0</v>
      </c>
      <c r="AD32" s="12">
        <f t="shared" si="10"/>
        <v>0</v>
      </c>
      <c r="AE32" s="13">
        <f t="shared" si="11"/>
        <v>0</v>
      </c>
    </row>
    <row r="33" spans="2:31" x14ac:dyDescent="0.25">
      <c r="B33" s="4"/>
      <c r="C33" s="1" t="s">
        <v>65</v>
      </c>
      <c r="D33" s="1" t="s">
        <v>54</v>
      </c>
      <c r="E33" s="3"/>
      <c r="F33" s="3"/>
      <c r="G33" s="24"/>
      <c r="H33" s="24"/>
      <c r="J33" s="1" t="s">
        <v>140</v>
      </c>
      <c r="K33" s="4"/>
      <c r="L33" s="4"/>
      <c r="M33" s="4"/>
      <c r="N33" s="4"/>
      <c r="O33" s="4"/>
      <c r="P33" s="27"/>
      <c r="Q33" s="25">
        <v>0</v>
      </c>
      <c r="R33" s="25">
        <v>0</v>
      </c>
      <c r="S33" s="12">
        <f t="shared" si="14"/>
        <v>0</v>
      </c>
      <c r="T33" s="5">
        <v>0</v>
      </c>
      <c r="U33" s="12">
        <f t="shared" si="15"/>
        <v>0</v>
      </c>
      <c r="V33" s="25" t="s">
        <v>10</v>
      </c>
      <c r="W33" s="11">
        <f>IFERROR(VLOOKUP(V33,Curr!$B$2:$C$13,2,FALSE),0)</f>
        <v>11</v>
      </c>
      <c r="X33" s="12">
        <f t="shared" si="16"/>
        <v>0</v>
      </c>
      <c r="Y33" s="26">
        <f t="shared" si="17"/>
        <v>0</v>
      </c>
      <c r="Z33" s="12">
        <f t="shared" si="8"/>
        <v>0</v>
      </c>
      <c r="AA33" s="4" t="s">
        <v>10</v>
      </c>
      <c r="AB33" s="11">
        <f>IFERROR(VLOOKUP(AA33,Curr!$B$2:$C$13,2,FALSE),0)</f>
        <v>11</v>
      </c>
      <c r="AC33" s="12">
        <f t="shared" si="9"/>
        <v>0</v>
      </c>
      <c r="AD33" s="12">
        <f t="shared" si="10"/>
        <v>0</v>
      </c>
      <c r="AE33" s="13">
        <f t="shared" si="11"/>
        <v>0</v>
      </c>
    </row>
    <row r="34" spans="2:31" x14ac:dyDescent="0.25">
      <c r="B34" s="4"/>
      <c r="C34" s="1" t="s">
        <v>65</v>
      </c>
      <c r="D34" s="1" t="s">
        <v>58</v>
      </c>
      <c r="E34" s="3"/>
      <c r="F34" s="3"/>
      <c r="G34" s="24"/>
      <c r="H34" s="24"/>
      <c r="J34" s="1" t="s">
        <v>141</v>
      </c>
      <c r="K34" s="4"/>
      <c r="L34" s="4"/>
      <c r="M34" s="4"/>
      <c r="N34" s="4"/>
      <c r="O34" s="4"/>
      <c r="P34" s="33"/>
      <c r="Q34" s="25">
        <v>800</v>
      </c>
      <c r="R34" s="25">
        <v>1</v>
      </c>
      <c r="S34" s="12">
        <f t="shared" ref="S34:S68" si="19">+Q34*R34</f>
        <v>800</v>
      </c>
      <c r="T34" s="5">
        <v>0</v>
      </c>
      <c r="U34" s="12">
        <f t="shared" ref="U34:U68" si="20">S34*(1-T34)</f>
        <v>800</v>
      </c>
      <c r="V34" s="25" t="s">
        <v>8</v>
      </c>
      <c r="W34" s="11">
        <f>IFERROR(VLOOKUP(V34,Curr!$B$2:$C$13,2,FALSE),0)</f>
        <v>1</v>
      </c>
      <c r="X34" s="12">
        <f t="shared" ref="X34:X68" si="21">U34*W34</f>
        <v>800</v>
      </c>
      <c r="Y34" s="26">
        <f t="shared" ref="Y34" si="22">Q34/11.3/0.8</f>
        <v>88.495575221238923</v>
      </c>
      <c r="Z34" s="12">
        <f t="shared" si="4"/>
        <v>88.495575221238923</v>
      </c>
      <c r="AA34" s="4" t="s">
        <v>10</v>
      </c>
      <c r="AB34" s="11">
        <f>IFERROR(VLOOKUP(AA34,Curr!$B$2:$C$13,2,FALSE),0)</f>
        <v>11</v>
      </c>
      <c r="AC34" s="12">
        <f t="shared" si="5"/>
        <v>973.45132743362819</v>
      </c>
      <c r="AD34" s="12">
        <f t="shared" si="6"/>
        <v>173.45132743362819</v>
      </c>
      <c r="AE34" s="13">
        <f t="shared" si="7"/>
        <v>0.17818181818181808</v>
      </c>
    </row>
    <row r="35" spans="2:31" x14ac:dyDescent="0.25">
      <c r="B35" s="4"/>
      <c r="C35" s="1" t="s">
        <v>65</v>
      </c>
      <c r="D35" s="1" t="s">
        <v>54</v>
      </c>
      <c r="E35" s="3"/>
      <c r="F35" s="3"/>
      <c r="G35" s="24"/>
      <c r="H35" s="24"/>
      <c r="J35" s="1" t="s">
        <v>105</v>
      </c>
      <c r="K35" s="4"/>
      <c r="L35" s="4"/>
      <c r="M35" s="4"/>
      <c r="N35" s="4"/>
      <c r="O35" s="4"/>
      <c r="P35" s="27"/>
      <c r="Q35" s="25">
        <v>0</v>
      </c>
      <c r="R35" s="25">
        <v>0</v>
      </c>
      <c r="S35" s="12">
        <f t="shared" si="19"/>
        <v>0</v>
      </c>
      <c r="T35" s="5">
        <v>0</v>
      </c>
      <c r="U35" s="12">
        <f t="shared" si="20"/>
        <v>0</v>
      </c>
      <c r="V35" s="25" t="s">
        <v>8</v>
      </c>
      <c r="W35" s="11">
        <f>IFERROR(VLOOKUP(V35,Curr!$B$2:$C$13,2,FALSE),0)</f>
        <v>1</v>
      </c>
      <c r="X35" s="12">
        <f t="shared" si="21"/>
        <v>0</v>
      </c>
      <c r="Y35" s="26">
        <f>Q35/11.3/0.8</f>
        <v>0</v>
      </c>
      <c r="Z35" s="12">
        <f t="shared" si="4"/>
        <v>0</v>
      </c>
      <c r="AA35" s="4" t="s">
        <v>10</v>
      </c>
      <c r="AB35" s="11">
        <f>IFERROR(VLOOKUP(AA35,Curr!$B$2:$C$13,2,FALSE),0)</f>
        <v>11</v>
      </c>
      <c r="AC35" s="12">
        <f t="shared" si="5"/>
        <v>0</v>
      </c>
      <c r="AD35" s="12">
        <f t="shared" si="6"/>
        <v>0</v>
      </c>
      <c r="AE35" s="13">
        <f t="shared" si="7"/>
        <v>0</v>
      </c>
    </row>
    <row r="36" spans="2:31" x14ac:dyDescent="0.25">
      <c r="B36" s="4"/>
      <c r="C36" s="1" t="s">
        <v>65</v>
      </c>
      <c r="D36" s="1" t="s">
        <v>55</v>
      </c>
      <c r="E36" s="3"/>
      <c r="F36" s="3"/>
      <c r="G36" s="24"/>
      <c r="H36" s="24"/>
      <c r="J36" s="1" t="s">
        <v>115</v>
      </c>
      <c r="K36" s="4"/>
      <c r="L36" s="4"/>
      <c r="M36" s="4"/>
      <c r="N36" s="4"/>
      <c r="O36" s="4"/>
      <c r="P36" s="33"/>
      <c r="Q36" s="25">
        <v>400</v>
      </c>
      <c r="R36" s="25">
        <v>1</v>
      </c>
      <c r="S36" s="12">
        <f t="shared" si="19"/>
        <v>400</v>
      </c>
      <c r="T36" s="5">
        <v>0</v>
      </c>
      <c r="U36" s="12">
        <f t="shared" si="20"/>
        <v>400</v>
      </c>
      <c r="V36" s="25" t="s">
        <v>10</v>
      </c>
      <c r="W36" s="11">
        <f>IFERROR(VLOOKUP(V36,Curr!$B$2:$C$13,2,FALSE),0)</f>
        <v>11</v>
      </c>
      <c r="X36" s="12">
        <f t="shared" si="21"/>
        <v>4400</v>
      </c>
      <c r="Y36" s="26">
        <f>Q36/0.8</f>
        <v>500</v>
      </c>
      <c r="Z36" s="12">
        <f t="shared" si="4"/>
        <v>500</v>
      </c>
      <c r="AA36" s="4" t="s">
        <v>10</v>
      </c>
      <c r="AB36" s="11">
        <f>IFERROR(VLOOKUP(AA36,Curr!$B$2:$C$13,2,FALSE),0)</f>
        <v>11</v>
      </c>
      <c r="AC36" s="12">
        <f t="shared" si="5"/>
        <v>5500</v>
      </c>
      <c r="AD36" s="12">
        <f t="shared" si="6"/>
        <v>1100</v>
      </c>
      <c r="AE36" s="13">
        <f t="shared" si="7"/>
        <v>0.2</v>
      </c>
    </row>
    <row r="37" spans="2:31" x14ac:dyDescent="0.25">
      <c r="B37" s="4"/>
      <c r="C37" s="1" t="s">
        <v>65</v>
      </c>
      <c r="D37" s="1" t="s">
        <v>56</v>
      </c>
      <c r="E37" s="3"/>
      <c r="F37" s="3"/>
      <c r="G37" s="24"/>
      <c r="H37" s="24"/>
      <c r="J37" s="1" t="s">
        <v>81</v>
      </c>
      <c r="K37" s="4"/>
      <c r="L37" s="4"/>
      <c r="M37" s="4"/>
      <c r="N37" s="4"/>
      <c r="O37" s="4"/>
      <c r="P37" s="27"/>
      <c r="Q37" s="25">
        <v>0</v>
      </c>
      <c r="R37" s="25">
        <v>0</v>
      </c>
      <c r="S37" s="12">
        <f t="shared" si="19"/>
        <v>0</v>
      </c>
      <c r="T37" s="5">
        <v>0</v>
      </c>
      <c r="U37" s="12">
        <f t="shared" si="20"/>
        <v>0</v>
      </c>
      <c r="V37" s="25" t="s">
        <v>10</v>
      </c>
      <c r="W37" s="11">
        <f>IFERROR(VLOOKUP(V37,Curr!$B$2:$C$13,2,FALSE),0)</f>
        <v>11</v>
      </c>
      <c r="X37" s="12">
        <f t="shared" si="21"/>
        <v>0</v>
      </c>
      <c r="Y37" s="26">
        <f t="shared" ref="Y37" si="23">Q37</f>
        <v>0</v>
      </c>
      <c r="Z37" s="12">
        <f t="shared" si="4"/>
        <v>0</v>
      </c>
      <c r="AA37" s="4" t="s">
        <v>10</v>
      </c>
      <c r="AB37" s="11">
        <f>IFERROR(VLOOKUP(AA37,Curr!$B$2:$C$13,2,FALSE),0)</f>
        <v>11</v>
      </c>
      <c r="AC37" s="12">
        <f t="shared" si="5"/>
        <v>0</v>
      </c>
      <c r="AD37" s="12">
        <f t="shared" si="6"/>
        <v>0</v>
      </c>
      <c r="AE37" s="13">
        <f t="shared" si="7"/>
        <v>0</v>
      </c>
    </row>
    <row r="38" spans="2:31" x14ac:dyDescent="0.25">
      <c r="B38" s="4"/>
      <c r="E38" s="3"/>
      <c r="F38" s="3"/>
      <c r="G38" s="24"/>
      <c r="H38" s="24"/>
      <c r="K38" s="4"/>
      <c r="L38" s="4"/>
      <c r="M38" s="4"/>
      <c r="N38" s="4"/>
      <c r="O38" s="4"/>
      <c r="P38" s="27"/>
      <c r="Q38" s="25"/>
      <c r="R38" s="25"/>
      <c r="S38" s="12">
        <f t="shared" si="19"/>
        <v>0</v>
      </c>
      <c r="T38" s="5">
        <v>0</v>
      </c>
      <c r="U38" s="12">
        <f t="shared" si="20"/>
        <v>0</v>
      </c>
      <c r="V38" s="25" t="s">
        <v>10</v>
      </c>
      <c r="W38" s="11">
        <f>IFERROR(VLOOKUP(V38,Curr!$B$2:$C$13,2,FALSE),0)</f>
        <v>11</v>
      </c>
      <c r="X38" s="12">
        <f t="shared" si="21"/>
        <v>0</v>
      </c>
      <c r="Y38" s="26">
        <f t="shared" ref="Y38:Y68" si="24">Q38</f>
        <v>0</v>
      </c>
      <c r="Z38" s="12">
        <f t="shared" si="4"/>
        <v>0</v>
      </c>
      <c r="AA38" s="4" t="s">
        <v>10</v>
      </c>
      <c r="AB38" s="11">
        <f>IFERROR(VLOOKUP(AA38,Curr!$B$2:$C$13,2,FALSE),0)</f>
        <v>11</v>
      </c>
      <c r="AC38" s="12">
        <f t="shared" si="5"/>
        <v>0</v>
      </c>
      <c r="AD38" s="12">
        <f t="shared" si="6"/>
        <v>0</v>
      </c>
      <c r="AE38" s="13">
        <f t="shared" si="7"/>
        <v>0</v>
      </c>
    </row>
    <row r="39" spans="2:31" x14ac:dyDescent="0.25">
      <c r="B39" s="4"/>
      <c r="C39" s="1" t="s">
        <v>72</v>
      </c>
      <c r="D39" s="1" t="s">
        <v>57</v>
      </c>
      <c r="E39" s="3"/>
      <c r="F39" s="3"/>
      <c r="G39" s="24"/>
      <c r="H39" s="24"/>
      <c r="J39" s="1" t="s">
        <v>107</v>
      </c>
      <c r="K39" s="4"/>
      <c r="L39" s="4"/>
      <c r="M39" s="4"/>
      <c r="N39" s="4"/>
      <c r="O39" s="4" t="s">
        <v>42</v>
      </c>
      <c r="P39" s="33" t="s">
        <v>108</v>
      </c>
      <c r="Q39" s="25">
        <v>38</v>
      </c>
      <c r="R39" s="25">
        <v>2</v>
      </c>
      <c r="S39" s="12">
        <f t="shared" si="19"/>
        <v>76</v>
      </c>
      <c r="T39" s="5">
        <v>0.2</v>
      </c>
      <c r="U39" s="12">
        <f t="shared" si="20"/>
        <v>60.800000000000004</v>
      </c>
      <c r="V39" s="25" t="s">
        <v>10</v>
      </c>
      <c r="W39" s="11">
        <f>IFERROR(VLOOKUP(V39,Curr!$B$2:$C$13,2,FALSE),0)</f>
        <v>11</v>
      </c>
      <c r="X39" s="12">
        <f t="shared" si="21"/>
        <v>668.80000000000007</v>
      </c>
      <c r="Y39" s="26">
        <f>Q39</f>
        <v>38</v>
      </c>
      <c r="Z39" s="12">
        <f t="shared" si="4"/>
        <v>76</v>
      </c>
      <c r="AA39" s="4" t="s">
        <v>10</v>
      </c>
      <c r="AB39" s="11">
        <f>IFERROR(VLOOKUP(AA39,Curr!$B$2:$C$13,2,FALSE),0)</f>
        <v>11</v>
      </c>
      <c r="AC39" s="12">
        <f t="shared" si="5"/>
        <v>836</v>
      </c>
      <c r="AD39" s="12">
        <f t="shared" si="6"/>
        <v>167.19999999999993</v>
      </c>
      <c r="AE39" s="13">
        <f t="shared" si="7"/>
        <v>0.19999999999999993</v>
      </c>
    </row>
    <row r="40" spans="2:31" x14ac:dyDescent="0.25">
      <c r="B40" s="4"/>
      <c r="C40" s="1" t="s">
        <v>72</v>
      </c>
      <c r="D40" s="1" t="s">
        <v>56</v>
      </c>
      <c r="E40" s="3"/>
      <c r="F40" s="3"/>
      <c r="G40" s="24"/>
      <c r="H40" s="24"/>
      <c r="J40" s="1" t="s">
        <v>81</v>
      </c>
      <c r="K40" s="4"/>
      <c r="L40" s="4"/>
      <c r="M40" s="4"/>
      <c r="N40" s="4"/>
      <c r="O40" s="4"/>
      <c r="P40" s="27"/>
      <c r="Q40" s="25">
        <v>0</v>
      </c>
      <c r="R40" s="25">
        <v>0</v>
      </c>
      <c r="S40" s="12">
        <f t="shared" si="19"/>
        <v>0</v>
      </c>
      <c r="T40" s="5">
        <v>0</v>
      </c>
      <c r="U40" s="12">
        <f t="shared" si="20"/>
        <v>0</v>
      </c>
      <c r="V40" s="25" t="s">
        <v>10</v>
      </c>
      <c r="W40" s="11">
        <f>IFERROR(VLOOKUP(V40,Curr!$B$2:$C$13,2,FALSE),0)</f>
        <v>11</v>
      </c>
      <c r="X40" s="12">
        <f t="shared" si="21"/>
        <v>0</v>
      </c>
      <c r="Y40" s="26">
        <f t="shared" si="24"/>
        <v>0</v>
      </c>
      <c r="Z40" s="12">
        <f t="shared" si="4"/>
        <v>0</v>
      </c>
      <c r="AA40" s="4" t="s">
        <v>10</v>
      </c>
      <c r="AB40" s="11">
        <f>IFERROR(VLOOKUP(AA40,Curr!$B$2:$C$13,2,FALSE),0)</f>
        <v>11</v>
      </c>
      <c r="AC40" s="12">
        <f t="shared" si="5"/>
        <v>0</v>
      </c>
      <c r="AD40" s="12">
        <f t="shared" si="6"/>
        <v>0</v>
      </c>
      <c r="AE40" s="13">
        <f t="shared" si="7"/>
        <v>0</v>
      </c>
    </row>
    <row r="41" spans="2:31" x14ac:dyDescent="0.25">
      <c r="B41" s="4"/>
      <c r="E41" s="3"/>
      <c r="F41" s="3"/>
      <c r="G41" s="24"/>
      <c r="H41" s="24"/>
      <c r="K41" s="4"/>
      <c r="L41" s="4"/>
      <c r="M41" s="4"/>
      <c r="N41" s="4"/>
      <c r="O41" s="4"/>
      <c r="P41" s="33"/>
      <c r="Q41" s="25"/>
      <c r="R41" s="25"/>
      <c r="S41" s="12">
        <f t="shared" si="19"/>
        <v>0</v>
      </c>
      <c r="T41" s="5">
        <v>0</v>
      </c>
      <c r="U41" s="12">
        <f t="shared" si="20"/>
        <v>0</v>
      </c>
      <c r="V41" s="25" t="s">
        <v>10</v>
      </c>
      <c r="W41" s="11">
        <f>IFERROR(VLOOKUP(V41,Curr!$B$2:$C$13,2,FALSE),0)</f>
        <v>11</v>
      </c>
      <c r="X41" s="12">
        <f t="shared" si="21"/>
        <v>0</v>
      </c>
      <c r="Y41" s="26">
        <f t="shared" si="24"/>
        <v>0</v>
      </c>
      <c r="Z41" s="12">
        <f t="shared" si="4"/>
        <v>0</v>
      </c>
      <c r="AA41" s="4" t="s">
        <v>10</v>
      </c>
      <c r="AB41" s="11">
        <f>IFERROR(VLOOKUP(AA41,Curr!$B$2:$C$13,2,FALSE),0)</f>
        <v>11</v>
      </c>
      <c r="AC41" s="12">
        <f t="shared" si="5"/>
        <v>0</v>
      </c>
      <c r="AD41" s="12">
        <f t="shared" si="6"/>
        <v>0</v>
      </c>
      <c r="AE41" s="13">
        <f t="shared" si="7"/>
        <v>0</v>
      </c>
    </row>
    <row r="42" spans="2:31" x14ac:dyDescent="0.25">
      <c r="B42" s="4"/>
      <c r="C42" s="1" t="s">
        <v>67</v>
      </c>
      <c r="D42" s="1" t="s">
        <v>54</v>
      </c>
      <c r="E42" s="3"/>
      <c r="F42" s="3"/>
      <c r="G42" s="24"/>
      <c r="H42" s="24"/>
      <c r="J42" s="1" t="s">
        <v>122</v>
      </c>
      <c r="K42" s="4"/>
      <c r="L42" s="4"/>
      <c r="M42" s="4"/>
      <c r="N42" s="4"/>
      <c r="O42" s="4"/>
      <c r="P42" s="27"/>
      <c r="Q42" s="25">
        <v>0</v>
      </c>
      <c r="R42" s="25">
        <v>0</v>
      </c>
      <c r="S42" s="12">
        <f t="shared" si="19"/>
        <v>0</v>
      </c>
      <c r="T42" s="5">
        <v>0</v>
      </c>
      <c r="U42" s="12">
        <f t="shared" si="20"/>
        <v>0</v>
      </c>
      <c r="V42" s="25" t="s">
        <v>10</v>
      </c>
      <c r="W42" s="11">
        <f>IFERROR(VLOOKUP(V42,Curr!$B$2:$C$13,2,FALSE),0)</f>
        <v>11</v>
      </c>
      <c r="X42" s="12">
        <f t="shared" si="21"/>
        <v>0</v>
      </c>
      <c r="Y42" s="26">
        <f t="shared" si="24"/>
        <v>0</v>
      </c>
      <c r="Z42" s="12">
        <f t="shared" si="4"/>
        <v>0</v>
      </c>
      <c r="AA42" s="4" t="s">
        <v>10</v>
      </c>
      <c r="AB42" s="11">
        <f>IFERROR(VLOOKUP(AA42,Curr!$B$2:$C$13,2,FALSE),0)</f>
        <v>11</v>
      </c>
      <c r="AC42" s="12">
        <f t="shared" si="5"/>
        <v>0</v>
      </c>
      <c r="AD42" s="12">
        <f t="shared" si="6"/>
        <v>0</v>
      </c>
      <c r="AE42" s="13">
        <f t="shared" si="7"/>
        <v>0</v>
      </c>
    </row>
    <row r="43" spans="2:31" x14ac:dyDescent="0.25">
      <c r="B43" s="4"/>
      <c r="C43" s="1" t="s">
        <v>67</v>
      </c>
      <c r="D43" s="1" t="s">
        <v>58</v>
      </c>
      <c r="E43" s="3"/>
      <c r="F43" s="3"/>
      <c r="G43" s="24"/>
      <c r="H43" s="24"/>
      <c r="J43" s="1" t="s">
        <v>131</v>
      </c>
      <c r="K43" s="4"/>
      <c r="L43" s="4"/>
      <c r="M43" s="4"/>
      <c r="N43" s="4"/>
      <c r="O43" s="4" t="s">
        <v>42</v>
      </c>
      <c r="P43" s="33" t="s">
        <v>132</v>
      </c>
      <c r="Q43" s="25">
        <v>2500</v>
      </c>
      <c r="R43" s="25">
        <v>1</v>
      </c>
      <c r="S43" s="12">
        <f t="shared" si="19"/>
        <v>2500</v>
      </c>
      <c r="T43" s="5">
        <v>0</v>
      </c>
      <c r="U43" s="12">
        <f t="shared" si="20"/>
        <v>2500</v>
      </c>
      <c r="V43" s="25" t="s">
        <v>8</v>
      </c>
      <c r="W43" s="11">
        <f>IFERROR(VLOOKUP(V43,Curr!$B$2:$C$13,2,FALSE),0)</f>
        <v>1</v>
      </c>
      <c r="X43" s="12">
        <f t="shared" si="21"/>
        <v>2500</v>
      </c>
      <c r="Y43" s="26">
        <f>Q43/11.3/0.8</f>
        <v>276.54867256637164</v>
      </c>
      <c r="Z43" s="12">
        <f t="shared" si="4"/>
        <v>276.54867256637164</v>
      </c>
      <c r="AA43" s="4" t="s">
        <v>10</v>
      </c>
      <c r="AB43" s="11">
        <f>IFERROR(VLOOKUP(AA43,Curr!$B$2:$C$13,2,FALSE),0)</f>
        <v>11</v>
      </c>
      <c r="AC43" s="12">
        <f t="shared" si="5"/>
        <v>3042.035398230088</v>
      </c>
      <c r="AD43" s="12">
        <f t="shared" si="6"/>
        <v>542.03539823008805</v>
      </c>
      <c r="AE43" s="13">
        <f t="shared" si="7"/>
        <v>0.17818181818181805</v>
      </c>
    </row>
    <row r="44" spans="2:31" x14ac:dyDescent="0.25">
      <c r="B44" s="4"/>
      <c r="C44" s="1" t="s">
        <v>67</v>
      </c>
      <c r="D44" s="1" t="s">
        <v>54</v>
      </c>
      <c r="E44" s="3"/>
      <c r="F44" s="3"/>
      <c r="G44" s="24"/>
      <c r="H44" s="24"/>
      <c r="J44" s="1" t="s">
        <v>123</v>
      </c>
      <c r="K44" s="4"/>
      <c r="L44" s="4"/>
      <c r="M44" s="4"/>
      <c r="N44" s="4"/>
      <c r="O44" s="4"/>
      <c r="P44" s="33"/>
      <c r="Q44" s="25">
        <v>0</v>
      </c>
      <c r="R44" s="25">
        <v>0</v>
      </c>
      <c r="S44" s="12">
        <f t="shared" si="19"/>
        <v>0</v>
      </c>
      <c r="T44" s="5">
        <v>0</v>
      </c>
      <c r="U44" s="12">
        <f t="shared" si="20"/>
        <v>0</v>
      </c>
      <c r="V44" s="25" t="s">
        <v>10</v>
      </c>
      <c r="W44" s="11">
        <f>IFERROR(VLOOKUP(V44,Curr!$B$2:$C$13,2,FALSE),0)</f>
        <v>11</v>
      </c>
      <c r="X44" s="12">
        <f t="shared" si="21"/>
        <v>0</v>
      </c>
      <c r="Y44" s="26">
        <f t="shared" si="24"/>
        <v>0</v>
      </c>
      <c r="Z44" s="12">
        <f t="shared" si="4"/>
        <v>0</v>
      </c>
      <c r="AA44" s="4" t="s">
        <v>10</v>
      </c>
      <c r="AB44" s="11">
        <f>IFERROR(VLOOKUP(AA44,Curr!$B$2:$C$13,2,FALSE),0)</f>
        <v>11</v>
      </c>
      <c r="AC44" s="12">
        <f t="shared" si="5"/>
        <v>0</v>
      </c>
      <c r="AD44" s="12">
        <f t="shared" si="6"/>
        <v>0</v>
      </c>
      <c r="AE44" s="13">
        <f t="shared" si="7"/>
        <v>0</v>
      </c>
    </row>
    <row r="45" spans="2:31" x14ac:dyDescent="0.25">
      <c r="B45" s="4"/>
      <c r="C45" s="1" t="s">
        <v>67</v>
      </c>
      <c r="D45" s="1" t="s">
        <v>55</v>
      </c>
      <c r="E45" s="3"/>
      <c r="F45" s="3"/>
      <c r="G45" s="24"/>
      <c r="H45" s="24"/>
      <c r="J45" s="1" t="s">
        <v>133</v>
      </c>
      <c r="K45" s="4"/>
      <c r="L45" s="4"/>
      <c r="M45" s="4"/>
      <c r="N45" s="4"/>
      <c r="O45" s="4"/>
      <c r="P45" s="33"/>
      <c r="Q45" s="25">
        <v>350</v>
      </c>
      <c r="R45" s="25">
        <v>1</v>
      </c>
      <c r="S45" s="12">
        <f t="shared" si="19"/>
        <v>350</v>
      </c>
      <c r="T45" s="5">
        <v>0</v>
      </c>
      <c r="U45" s="12">
        <f t="shared" si="20"/>
        <v>350</v>
      </c>
      <c r="V45" s="25" t="s">
        <v>10</v>
      </c>
      <c r="W45" s="11">
        <f>IFERROR(VLOOKUP(V45,Curr!$B$2:$C$13,2,FALSE),0)</f>
        <v>11</v>
      </c>
      <c r="X45" s="12">
        <f t="shared" si="21"/>
        <v>3850</v>
      </c>
      <c r="Y45" s="26">
        <f>Q45/0.85</f>
        <v>411.76470588235293</v>
      </c>
      <c r="Z45" s="12">
        <f t="shared" si="4"/>
        <v>411.76470588235293</v>
      </c>
      <c r="AA45" s="4" t="s">
        <v>10</v>
      </c>
      <c r="AB45" s="11">
        <f>IFERROR(VLOOKUP(AA45,Curr!$B$2:$C$13,2,FALSE),0)</f>
        <v>11</v>
      </c>
      <c r="AC45" s="12">
        <f t="shared" si="5"/>
        <v>4529.411764705882</v>
      </c>
      <c r="AD45" s="12">
        <f t="shared" si="6"/>
        <v>679.41176470588198</v>
      </c>
      <c r="AE45" s="13">
        <f t="shared" si="7"/>
        <v>0.14999999999999994</v>
      </c>
    </row>
    <row r="46" spans="2:31" x14ac:dyDescent="0.25">
      <c r="B46" s="4"/>
      <c r="C46" s="1" t="s">
        <v>67</v>
      </c>
      <c r="D46" s="1" t="s">
        <v>56</v>
      </c>
      <c r="E46" s="3"/>
      <c r="F46" s="3"/>
      <c r="G46" s="24"/>
      <c r="H46" s="24"/>
      <c r="J46" s="1" t="s">
        <v>124</v>
      </c>
      <c r="K46" s="4"/>
      <c r="L46" s="4"/>
      <c r="M46" s="4"/>
      <c r="N46" s="4"/>
      <c r="O46" s="4"/>
      <c r="P46" s="33"/>
      <c r="Q46" s="25">
        <v>0</v>
      </c>
      <c r="R46" s="25">
        <v>0</v>
      </c>
      <c r="S46" s="12">
        <f t="shared" si="19"/>
        <v>0</v>
      </c>
      <c r="T46" s="5">
        <v>0</v>
      </c>
      <c r="U46" s="12">
        <f t="shared" si="20"/>
        <v>0</v>
      </c>
      <c r="V46" s="25" t="s">
        <v>10</v>
      </c>
      <c r="W46" s="11">
        <f>IFERROR(VLOOKUP(V46,Curr!$B$2:$C$13,2,FALSE),0)</f>
        <v>11</v>
      </c>
      <c r="X46" s="12">
        <f t="shared" si="21"/>
        <v>0</v>
      </c>
      <c r="Y46" s="26">
        <f t="shared" si="24"/>
        <v>0</v>
      </c>
      <c r="Z46" s="12">
        <f t="shared" si="4"/>
        <v>0</v>
      </c>
      <c r="AA46" s="4" t="s">
        <v>10</v>
      </c>
      <c r="AB46" s="11">
        <f>IFERROR(VLOOKUP(AA46,Curr!$B$2:$C$13,2,FALSE),0)</f>
        <v>11</v>
      </c>
      <c r="AC46" s="12">
        <f t="shared" si="5"/>
        <v>0</v>
      </c>
      <c r="AD46" s="12">
        <f t="shared" si="6"/>
        <v>0</v>
      </c>
      <c r="AE46" s="13">
        <f t="shared" si="7"/>
        <v>0</v>
      </c>
    </row>
    <row r="47" spans="2:31" x14ac:dyDescent="0.25">
      <c r="B47" s="4"/>
      <c r="E47" s="3"/>
      <c r="F47" s="3"/>
      <c r="G47" s="24"/>
      <c r="H47" s="24"/>
      <c r="K47" s="4"/>
      <c r="L47" s="4"/>
      <c r="M47" s="4"/>
      <c r="N47" s="4"/>
      <c r="O47" s="4"/>
      <c r="P47" s="27"/>
      <c r="Q47" s="25"/>
      <c r="R47" s="25"/>
      <c r="S47" s="12">
        <f t="shared" si="19"/>
        <v>0</v>
      </c>
      <c r="T47" s="5">
        <v>0</v>
      </c>
      <c r="U47" s="12">
        <f t="shared" si="20"/>
        <v>0</v>
      </c>
      <c r="V47" s="25" t="s">
        <v>10</v>
      </c>
      <c r="W47" s="11">
        <f>IFERROR(VLOOKUP(V47,Curr!$B$2:$C$13,2,FALSE),0)</f>
        <v>11</v>
      </c>
      <c r="X47" s="12">
        <f t="shared" si="21"/>
        <v>0</v>
      </c>
      <c r="Y47" s="26">
        <f t="shared" si="24"/>
        <v>0</v>
      </c>
      <c r="Z47" s="12">
        <f t="shared" si="4"/>
        <v>0</v>
      </c>
      <c r="AA47" s="4" t="s">
        <v>10</v>
      </c>
      <c r="AB47" s="11">
        <f>IFERROR(VLOOKUP(AA47,Curr!$B$2:$C$13,2,FALSE),0)</f>
        <v>11</v>
      </c>
      <c r="AC47" s="12">
        <f t="shared" si="5"/>
        <v>0</v>
      </c>
      <c r="AD47" s="12">
        <f t="shared" si="6"/>
        <v>0</v>
      </c>
      <c r="AE47" s="13">
        <f t="shared" si="7"/>
        <v>0</v>
      </c>
    </row>
    <row r="48" spans="2:31" x14ac:dyDescent="0.25">
      <c r="B48" s="4"/>
      <c r="C48" s="1" t="s">
        <v>74</v>
      </c>
      <c r="D48" s="1" t="s">
        <v>57</v>
      </c>
      <c r="E48" s="3"/>
      <c r="F48" s="3"/>
      <c r="G48" s="24"/>
      <c r="H48" s="24"/>
      <c r="J48" s="1" t="s">
        <v>125</v>
      </c>
      <c r="K48" s="4"/>
      <c r="L48" s="4"/>
      <c r="M48" s="4"/>
      <c r="N48" s="4"/>
      <c r="O48" s="4" t="s">
        <v>42</v>
      </c>
      <c r="P48" s="33" t="s">
        <v>126</v>
      </c>
      <c r="Q48" s="25">
        <v>290</v>
      </c>
      <c r="R48" s="25">
        <v>2</v>
      </c>
      <c r="S48" s="12">
        <f t="shared" si="19"/>
        <v>580</v>
      </c>
      <c r="T48" s="5">
        <v>0.2</v>
      </c>
      <c r="U48" s="12">
        <f t="shared" si="20"/>
        <v>464</v>
      </c>
      <c r="V48" s="25" t="s">
        <v>8</v>
      </c>
      <c r="W48" s="11">
        <f>IFERROR(VLOOKUP(V48,Curr!$B$2:$C$13,2,FALSE),0)</f>
        <v>1</v>
      </c>
      <c r="X48" s="12">
        <f t="shared" si="21"/>
        <v>464</v>
      </c>
      <c r="Y48" s="26">
        <f>Q48/11.3/0.64</f>
        <v>40.099557522123888</v>
      </c>
      <c r="Z48" s="12">
        <f t="shared" si="4"/>
        <v>80.199115044247776</v>
      </c>
      <c r="AA48" s="4" t="s">
        <v>10</v>
      </c>
      <c r="AB48" s="11">
        <f>IFERROR(VLOOKUP(AA48,Curr!$B$2:$C$13,2,FALSE),0)</f>
        <v>11</v>
      </c>
      <c r="AC48" s="12">
        <f t="shared" si="5"/>
        <v>882.19026548672559</v>
      </c>
      <c r="AD48" s="12">
        <f t="shared" si="6"/>
        <v>418.19026548672559</v>
      </c>
      <c r="AE48" s="13">
        <f t="shared" si="7"/>
        <v>0.47403636363636359</v>
      </c>
    </row>
    <row r="49" spans="2:31" x14ac:dyDescent="0.25">
      <c r="B49" s="4"/>
      <c r="C49" s="1" t="s">
        <v>74</v>
      </c>
      <c r="D49" s="1" t="s">
        <v>57</v>
      </c>
      <c r="E49" s="3"/>
      <c r="F49" s="3"/>
      <c r="G49" s="24"/>
      <c r="H49" s="24"/>
      <c r="J49" s="1" t="s">
        <v>127</v>
      </c>
      <c r="K49" s="4"/>
      <c r="L49" s="4"/>
      <c r="M49" s="4"/>
      <c r="N49" s="4"/>
      <c r="O49" s="4" t="s">
        <v>42</v>
      </c>
      <c r="P49" s="33" t="s">
        <v>128</v>
      </c>
      <c r="Q49" s="25">
        <v>140</v>
      </c>
      <c r="R49" s="25">
        <v>2</v>
      </c>
      <c r="S49" s="12">
        <f t="shared" si="19"/>
        <v>280</v>
      </c>
      <c r="T49" s="5">
        <v>0</v>
      </c>
      <c r="U49" s="12">
        <f t="shared" si="20"/>
        <v>280</v>
      </c>
      <c r="V49" s="25" t="s">
        <v>8</v>
      </c>
      <c r="W49" s="11">
        <f>IFERROR(VLOOKUP(V49,Curr!$B$2:$C$13,2,FALSE),0)</f>
        <v>1</v>
      </c>
      <c r="X49" s="12">
        <f t="shared" si="21"/>
        <v>280</v>
      </c>
      <c r="Y49" s="26">
        <f>Q49/11.3/0.5</f>
        <v>24.778761061946902</v>
      </c>
      <c r="Z49" s="12">
        <f t="shared" si="4"/>
        <v>49.557522123893804</v>
      </c>
      <c r="AA49" s="4" t="s">
        <v>10</v>
      </c>
      <c r="AB49" s="11">
        <f>IFERROR(VLOOKUP(AA49,Curr!$B$2:$C$13,2,FALSE),0)</f>
        <v>11</v>
      </c>
      <c r="AC49" s="12">
        <f t="shared" si="5"/>
        <v>545.13274336283189</v>
      </c>
      <c r="AD49" s="12">
        <f t="shared" si="6"/>
        <v>265.13274336283189</v>
      </c>
      <c r="AE49" s="13">
        <f t="shared" si="7"/>
        <v>0.48636363636363639</v>
      </c>
    </row>
    <row r="50" spans="2:31" x14ac:dyDescent="0.25">
      <c r="B50" s="4"/>
      <c r="C50" s="1" t="s">
        <v>74</v>
      </c>
      <c r="D50" s="1" t="s">
        <v>56</v>
      </c>
      <c r="E50" s="3"/>
      <c r="F50" s="3"/>
      <c r="G50" s="24"/>
      <c r="H50" s="24"/>
      <c r="J50" s="1" t="s">
        <v>124</v>
      </c>
      <c r="K50" s="4"/>
      <c r="L50" s="4"/>
      <c r="M50" s="4"/>
      <c r="N50" s="4"/>
      <c r="O50" s="4"/>
      <c r="P50" s="33"/>
      <c r="Q50" s="25">
        <v>0</v>
      </c>
      <c r="R50" s="25">
        <v>0</v>
      </c>
      <c r="S50" s="12">
        <f t="shared" si="19"/>
        <v>0</v>
      </c>
      <c r="T50" s="5">
        <v>0</v>
      </c>
      <c r="U50" s="12">
        <f t="shared" si="20"/>
        <v>0</v>
      </c>
      <c r="V50" s="25" t="s">
        <v>10</v>
      </c>
      <c r="W50" s="11">
        <f>IFERROR(VLOOKUP(V50,Curr!$B$2:$C$13,2,FALSE),0)</f>
        <v>11</v>
      </c>
      <c r="X50" s="12">
        <f t="shared" si="21"/>
        <v>0</v>
      </c>
      <c r="Y50" s="26">
        <f t="shared" ref="Y50:Y53" si="25">Q50</f>
        <v>0</v>
      </c>
      <c r="Z50" s="12">
        <f t="shared" si="4"/>
        <v>0</v>
      </c>
      <c r="AA50" s="4" t="s">
        <v>10</v>
      </c>
      <c r="AB50" s="11">
        <f>IFERROR(VLOOKUP(AA50,Curr!$B$2:$C$13,2,FALSE),0)</f>
        <v>11</v>
      </c>
      <c r="AC50" s="12">
        <f t="shared" si="5"/>
        <v>0</v>
      </c>
      <c r="AD50" s="12">
        <f t="shared" si="6"/>
        <v>0</v>
      </c>
      <c r="AE50" s="13">
        <f t="shared" si="7"/>
        <v>0</v>
      </c>
    </row>
    <row r="51" spans="2:31" x14ac:dyDescent="0.25">
      <c r="B51" s="4"/>
      <c r="E51" s="3"/>
      <c r="F51" s="3"/>
      <c r="G51" s="24"/>
      <c r="H51" s="24"/>
      <c r="K51" s="4"/>
      <c r="L51" s="4"/>
      <c r="M51" s="4"/>
      <c r="N51" s="4"/>
      <c r="O51" s="4"/>
      <c r="P51" s="27"/>
      <c r="Q51" s="25"/>
      <c r="R51" s="25"/>
      <c r="S51" s="12">
        <f t="shared" si="19"/>
        <v>0</v>
      </c>
      <c r="T51" s="5">
        <v>0</v>
      </c>
      <c r="U51" s="12">
        <f t="shared" si="20"/>
        <v>0</v>
      </c>
      <c r="V51" s="25" t="s">
        <v>10</v>
      </c>
      <c r="W51" s="11">
        <f>IFERROR(VLOOKUP(V51,Curr!$B$2:$C$13,2,FALSE),0)</f>
        <v>11</v>
      </c>
      <c r="X51" s="12">
        <f t="shared" si="21"/>
        <v>0</v>
      </c>
      <c r="Y51" s="26">
        <f t="shared" si="25"/>
        <v>0</v>
      </c>
      <c r="Z51" s="12">
        <f t="shared" si="4"/>
        <v>0</v>
      </c>
      <c r="AA51" s="4" t="s">
        <v>10</v>
      </c>
      <c r="AB51" s="11">
        <f>IFERROR(VLOOKUP(AA51,Curr!$B$2:$C$13,2,FALSE),0)</f>
        <v>11</v>
      </c>
      <c r="AC51" s="12">
        <f t="shared" si="5"/>
        <v>0</v>
      </c>
      <c r="AD51" s="12">
        <f t="shared" si="6"/>
        <v>0</v>
      </c>
      <c r="AE51" s="13">
        <f t="shared" si="7"/>
        <v>0</v>
      </c>
    </row>
    <row r="52" spans="2:31" x14ac:dyDescent="0.25">
      <c r="B52" s="4"/>
      <c r="C52" s="1" t="s">
        <v>75</v>
      </c>
      <c r="D52" s="1" t="s">
        <v>54</v>
      </c>
      <c r="E52" s="3"/>
      <c r="F52" s="3"/>
      <c r="G52" s="24"/>
      <c r="H52" s="24"/>
      <c r="J52" s="1" t="s">
        <v>129</v>
      </c>
      <c r="K52" s="4"/>
      <c r="L52" s="4"/>
      <c r="M52" s="4"/>
      <c r="N52" s="4"/>
      <c r="O52" s="4"/>
      <c r="P52" s="27"/>
      <c r="Q52" s="25">
        <v>0</v>
      </c>
      <c r="R52" s="25">
        <v>0</v>
      </c>
      <c r="S52" s="12">
        <f t="shared" si="19"/>
        <v>0</v>
      </c>
      <c r="T52" s="5">
        <v>0</v>
      </c>
      <c r="U52" s="12">
        <f t="shared" si="20"/>
        <v>0</v>
      </c>
      <c r="V52" s="25" t="s">
        <v>10</v>
      </c>
      <c r="W52" s="11">
        <f>IFERROR(VLOOKUP(V52,Curr!$B$2:$C$13,2,FALSE),0)</f>
        <v>11</v>
      </c>
      <c r="X52" s="12">
        <f t="shared" si="21"/>
        <v>0</v>
      </c>
      <c r="Y52" s="26">
        <f t="shared" si="25"/>
        <v>0</v>
      </c>
      <c r="Z52" s="12">
        <f t="shared" si="4"/>
        <v>0</v>
      </c>
      <c r="AA52" s="4" t="s">
        <v>10</v>
      </c>
      <c r="AB52" s="11">
        <f>IFERROR(VLOOKUP(AA52,Curr!$B$2:$C$13,2,FALSE),0)</f>
        <v>11</v>
      </c>
      <c r="AC52" s="12">
        <f t="shared" si="5"/>
        <v>0</v>
      </c>
      <c r="AD52" s="12">
        <f t="shared" si="6"/>
        <v>0</v>
      </c>
      <c r="AE52" s="13">
        <f t="shared" si="7"/>
        <v>0</v>
      </c>
    </row>
    <row r="53" spans="2:31" x14ac:dyDescent="0.25">
      <c r="B53" s="4"/>
      <c r="C53" s="1" t="s">
        <v>75</v>
      </c>
      <c r="D53" s="1" t="s">
        <v>60</v>
      </c>
      <c r="E53" s="3"/>
      <c r="F53" s="3"/>
      <c r="G53" s="24"/>
      <c r="H53" s="24"/>
      <c r="J53" s="1" t="s">
        <v>130</v>
      </c>
      <c r="K53" s="4"/>
      <c r="L53" s="4"/>
      <c r="M53" s="4"/>
      <c r="N53" s="4"/>
      <c r="O53" s="4"/>
      <c r="P53" s="27"/>
      <c r="Q53" s="25">
        <v>0</v>
      </c>
      <c r="R53" s="25">
        <v>0</v>
      </c>
      <c r="S53" s="12">
        <f t="shared" si="19"/>
        <v>0</v>
      </c>
      <c r="T53" s="5">
        <v>0</v>
      </c>
      <c r="U53" s="12">
        <f t="shared" si="20"/>
        <v>0</v>
      </c>
      <c r="V53" s="25" t="s">
        <v>10</v>
      </c>
      <c r="W53" s="11">
        <f>IFERROR(VLOOKUP(V53,Curr!$B$2:$C$13,2,FALSE),0)</f>
        <v>11</v>
      </c>
      <c r="X53" s="12">
        <f t="shared" si="21"/>
        <v>0</v>
      </c>
      <c r="Y53" s="26">
        <f t="shared" si="25"/>
        <v>0</v>
      </c>
      <c r="Z53" s="12">
        <f t="shared" si="4"/>
        <v>0</v>
      </c>
      <c r="AA53" s="4" t="s">
        <v>10</v>
      </c>
      <c r="AB53" s="11">
        <f>IFERROR(VLOOKUP(AA53,Curr!$B$2:$C$13,2,FALSE),0)</f>
        <v>11</v>
      </c>
      <c r="AC53" s="12">
        <f t="shared" si="5"/>
        <v>0</v>
      </c>
      <c r="AD53" s="12">
        <f t="shared" si="6"/>
        <v>0</v>
      </c>
      <c r="AE53" s="13">
        <f t="shared" si="7"/>
        <v>0</v>
      </c>
    </row>
    <row r="54" spans="2:31" x14ac:dyDescent="0.25">
      <c r="B54" s="4"/>
      <c r="E54" s="3"/>
      <c r="F54" s="3"/>
      <c r="G54" s="24"/>
      <c r="H54" s="24"/>
      <c r="K54" s="4"/>
      <c r="L54" s="4"/>
      <c r="M54" s="4"/>
      <c r="N54" s="4"/>
      <c r="O54" s="4"/>
      <c r="P54" s="27"/>
      <c r="Q54" s="25"/>
      <c r="R54" s="25"/>
      <c r="S54" s="12">
        <f t="shared" si="19"/>
        <v>0</v>
      </c>
      <c r="T54" s="5">
        <v>0</v>
      </c>
      <c r="U54" s="12">
        <f t="shared" si="20"/>
        <v>0</v>
      </c>
      <c r="V54" s="25" t="s">
        <v>10</v>
      </c>
      <c r="W54" s="11">
        <f>IFERROR(VLOOKUP(V54,Curr!$B$2:$C$13,2,FALSE),0)</f>
        <v>11</v>
      </c>
      <c r="X54" s="12">
        <f t="shared" si="21"/>
        <v>0</v>
      </c>
      <c r="Y54" s="26">
        <f t="shared" si="24"/>
        <v>0</v>
      </c>
      <c r="Z54" s="12">
        <f t="shared" si="4"/>
        <v>0</v>
      </c>
      <c r="AA54" s="4" t="s">
        <v>10</v>
      </c>
      <c r="AB54" s="11">
        <f>IFERROR(VLOOKUP(AA54,Curr!$B$2:$C$13,2,FALSE),0)</f>
        <v>11</v>
      </c>
      <c r="AC54" s="12">
        <f t="shared" si="5"/>
        <v>0</v>
      </c>
      <c r="AD54" s="12">
        <f t="shared" si="6"/>
        <v>0</v>
      </c>
      <c r="AE54" s="13">
        <f t="shared" si="7"/>
        <v>0</v>
      </c>
    </row>
    <row r="55" spans="2:31" x14ac:dyDescent="0.25">
      <c r="B55" s="4"/>
      <c r="E55" s="3"/>
      <c r="F55" s="3"/>
      <c r="G55" s="24"/>
      <c r="H55" s="24"/>
      <c r="K55" s="4"/>
      <c r="L55" s="4"/>
      <c r="M55" s="4"/>
      <c r="N55" s="4"/>
      <c r="O55" s="4"/>
      <c r="P55" s="27"/>
      <c r="Q55" s="25"/>
      <c r="R55" s="25"/>
      <c r="S55" s="12">
        <f t="shared" si="19"/>
        <v>0</v>
      </c>
      <c r="T55" s="5">
        <v>0</v>
      </c>
      <c r="U55" s="12">
        <f t="shared" si="20"/>
        <v>0</v>
      </c>
      <c r="V55" s="25" t="s">
        <v>10</v>
      </c>
      <c r="W55" s="11">
        <f>IFERROR(VLOOKUP(V55,Curr!$B$2:$C$13,2,FALSE),0)</f>
        <v>11</v>
      </c>
      <c r="X55" s="12">
        <f t="shared" si="21"/>
        <v>0</v>
      </c>
      <c r="Y55" s="26">
        <f t="shared" si="24"/>
        <v>0</v>
      </c>
      <c r="Z55" s="12">
        <f t="shared" si="4"/>
        <v>0</v>
      </c>
      <c r="AA55" s="4" t="s">
        <v>10</v>
      </c>
      <c r="AB55" s="11">
        <f>IFERROR(VLOOKUP(AA55,Curr!$B$2:$C$13,2,FALSE),0)</f>
        <v>11</v>
      </c>
      <c r="AC55" s="12">
        <f t="shared" si="5"/>
        <v>0</v>
      </c>
      <c r="AD55" s="12">
        <f t="shared" si="6"/>
        <v>0</v>
      </c>
      <c r="AE55" s="13">
        <f t="shared" si="7"/>
        <v>0</v>
      </c>
    </row>
    <row r="56" spans="2:31" x14ac:dyDescent="0.25">
      <c r="B56" s="4"/>
      <c r="C56" s="1" t="s">
        <v>52</v>
      </c>
      <c r="D56" s="1" t="s">
        <v>109</v>
      </c>
      <c r="E56" s="3"/>
      <c r="F56" s="3"/>
      <c r="G56" s="24"/>
      <c r="H56" s="24"/>
      <c r="J56" s="1" t="s">
        <v>120</v>
      </c>
      <c r="K56" s="4"/>
      <c r="L56" s="4"/>
      <c r="M56" s="4"/>
      <c r="N56" s="4"/>
      <c r="O56" s="4"/>
      <c r="P56" s="27"/>
      <c r="Q56" s="25"/>
      <c r="R56" s="25"/>
      <c r="S56" s="12">
        <f t="shared" si="19"/>
        <v>0</v>
      </c>
      <c r="T56" s="5">
        <v>0</v>
      </c>
      <c r="U56" s="12">
        <f t="shared" si="20"/>
        <v>0</v>
      </c>
      <c r="V56" s="25" t="s">
        <v>10</v>
      </c>
      <c r="W56" s="11">
        <f>IFERROR(VLOOKUP(V56,Curr!$B$2:$C$13,2,FALSE),0)</f>
        <v>11</v>
      </c>
      <c r="X56" s="12">
        <f t="shared" si="21"/>
        <v>0</v>
      </c>
      <c r="Y56" s="26">
        <f t="shared" si="24"/>
        <v>0</v>
      </c>
      <c r="Z56" s="12">
        <f t="shared" si="4"/>
        <v>0</v>
      </c>
      <c r="AA56" s="4" t="s">
        <v>10</v>
      </c>
      <c r="AB56" s="11">
        <f>IFERROR(VLOOKUP(AA56,Curr!$B$2:$C$13,2,FALSE),0)</f>
        <v>11</v>
      </c>
      <c r="AC56" s="12">
        <f t="shared" si="5"/>
        <v>0</v>
      </c>
      <c r="AD56" s="12">
        <f t="shared" si="6"/>
        <v>0</v>
      </c>
      <c r="AE56" s="13">
        <f t="shared" si="7"/>
        <v>0</v>
      </c>
    </row>
    <row r="57" spans="2:31" x14ac:dyDescent="0.25">
      <c r="B57" s="4"/>
      <c r="C57" s="1" t="s">
        <v>75</v>
      </c>
      <c r="D57" s="1" t="s">
        <v>109</v>
      </c>
      <c r="E57" s="3"/>
      <c r="F57" s="3"/>
      <c r="G57" s="24"/>
      <c r="H57" s="24"/>
      <c r="J57" s="1" t="s">
        <v>142</v>
      </c>
      <c r="K57" s="4"/>
      <c r="L57" s="4"/>
      <c r="M57" s="4"/>
      <c r="N57" s="4"/>
      <c r="O57" s="4"/>
      <c r="P57" s="27"/>
      <c r="Q57" s="25">
        <v>1690</v>
      </c>
      <c r="R57" s="25">
        <v>0</v>
      </c>
      <c r="S57" s="12">
        <f t="shared" si="19"/>
        <v>0</v>
      </c>
      <c r="T57" s="5">
        <v>0.15</v>
      </c>
      <c r="U57" s="12">
        <f t="shared" si="20"/>
        <v>0</v>
      </c>
      <c r="V57" s="25" t="s">
        <v>8</v>
      </c>
      <c r="W57" s="11">
        <f>IFERROR(VLOOKUP(V57,Curr!$B$2:$C$13,2,FALSE),0)</f>
        <v>1</v>
      </c>
      <c r="X57" s="12">
        <f t="shared" si="21"/>
        <v>0</v>
      </c>
      <c r="Y57" s="26">
        <f>Q57/11.3/0.9</f>
        <v>166.17502458210421</v>
      </c>
      <c r="Z57" s="12">
        <f t="shared" si="4"/>
        <v>0</v>
      </c>
      <c r="AA57" s="4" t="s">
        <v>10</v>
      </c>
      <c r="AB57" s="11">
        <f>IFERROR(VLOOKUP(AA57,Curr!$B$2:$C$13,2,FALSE),0)</f>
        <v>11</v>
      </c>
      <c r="AC57" s="12">
        <f t="shared" si="5"/>
        <v>0</v>
      </c>
      <c r="AD57" s="12">
        <f t="shared" si="6"/>
        <v>0</v>
      </c>
      <c r="AE57" s="13">
        <f t="shared" si="7"/>
        <v>0</v>
      </c>
    </row>
    <row r="58" spans="2:31" x14ac:dyDescent="0.25">
      <c r="B58" s="4"/>
      <c r="E58" s="3"/>
      <c r="F58" s="3"/>
      <c r="G58" s="24"/>
      <c r="H58" s="24"/>
      <c r="K58" s="4"/>
      <c r="L58" s="4"/>
      <c r="M58" s="4"/>
      <c r="N58" s="4"/>
      <c r="O58" s="4"/>
      <c r="P58" s="27"/>
      <c r="Q58" s="25"/>
      <c r="R58" s="25"/>
      <c r="S58" s="12">
        <f t="shared" si="19"/>
        <v>0</v>
      </c>
      <c r="T58" s="5">
        <v>0</v>
      </c>
      <c r="U58" s="12">
        <f t="shared" si="20"/>
        <v>0</v>
      </c>
      <c r="V58" s="25" t="s">
        <v>10</v>
      </c>
      <c r="W58" s="11">
        <f>IFERROR(VLOOKUP(V58,Curr!$B$2:$C$13,2,FALSE),0)</f>
        <v>11</v>
      </c>
      <c r="X58" s="12">
        <f t="shared" si="21"/>
        <v>0</v>
      </c>
      <c r="Y58" s="26">
        <f t="shared" si="24"/>
        <v>0</v>
      </c>
      <c r="Z58" s="12">
        <f t="shared" si="4"/>
        <v>0</v>
      </c>
      <c r="AA58" s="4" t="s">
        <v>10</v>
      </c>
      <c r="AB58" s="11">
        <f>IFERROR(VLOOKUP(AA58,Curr!$B$2:$C$13,2,FALSE),0)</f>
        <v>11</v>
      </c>
      <c r="AC58" s="12">
        <f t="shared" si="5"/>
        <v>0</v>
      </c>
      <c r="AD58" s="12">
        <f t="shared" si="6"/>
        <v>0</v>
      </c>
      <c r="AE58" s="13">
        <f t="shared" si="7"/>
        <v>0</v>
      </c>
    </row>
    <row r="59" spans="2:31" x14ac:dyDescent="0.25">
      <c r="B59" s="4"/>
      <c r="E59" s="3"/>
      <c r="F59" s="3"/>
      <c r="G59" s="24"/>
      <c r="H59" s="24"/>
      <c r="K59" s="4"/>
      <c r="L59" s="4"/>
      <c r="M59" s="4"/>
      <c r="N59" s="4"/>
      <c r="O59" s="4"/>
      <c r="P59" s="27"/>
      <c r="Q59" s="25"/>
      <c r="R59" s="25"/>
      <c r="S59" s="12">
        <f t="shared" si="19"/>
        <v>0</v>
      </c>
      <c r="T59" s="5">
        <v>0</v>
      </c>
      <c r="U59" s="12">
        <f t="shared" si="20"/>
        <v>0</v>
      </c>
      <c r="V59" s="25" t="s">
        <v>10</v>
      </c>
      <c r="W59" s="11">
        <f>IFERROR(VLOOKUP(V59,Curr!$B$2:$C$13,2,FALSE),0)</f>
        <v>11</v>
      </c>
      <c r="X59" s="12">
        <f t="shared" si="21"/>
        <v>0</v>
      </c>
      <c r="Y59" s="26">
        <f t="shared" si="24"/>
        <v>0</v>
      </c>
      <c r="Z59" s="12">
        <f t="shared" si="4"/>
        <v>0</v>
      </c>
      <c r="AA59" s="4" t="s">
        <v>10</v>
      </c>
      <c r="AB59" s="11">
        <f>IFERROR(VLOOKUP(AA59,Curr!$B$2:$C$13,2,FALSE),0)</f>
        <v>11</v>
      </c>
      <c r="AC59" s="12">
        <f t="shared" si="5"/>
        <v>0</v>
      </c>
      <c r="AD59" s="12">
        <f t="shared" si="6"/>
        <v>0</v>
      </c>
      <c r="AE59" s="13">
        <f t="shared" si="7"/>
        <v>0</v>
      </c>
    </row>
    <row r="60" spans="2:31" x14ac:dyDescent="0.25">
      <c r="B60" s="4"/>
      <c r="C60" s="1" t="s">
        <v>59</v>
      </c>
      <c r="D60" s="1" t="s">
        <v>110</v>
      </c>
      <c r="E60" s="3"/>
      <c r="F60" s="3"/>
      <c r="G60" s="24"/>
      <c r="H60" s="24"/>
      <c r="J60" s="1" t="s">
        <v>116</v>
      </c>
      <c r="K60" s="4"/>
      <c r="L60" s="4"/>
      <c r="M60" s="4"/>
      <c r="N60" s="4"/>
      <c r="O60" s="4"/>
      <c r="P60" s="33" t="s">
        <v>117</v>
      </c>
      <c r="Q60" s="25">
        <v>110</v>
      </c>
      <c r="R60" s="25">
        <v>0</v>
      </c>
      <c r="S60" s="12">
        <f t="shared" si="19"/>
        <v>0</v>
      </c>
      <c r="T60" s="5">
        <v>0.2</v>
      </c>
      <c r="U60" s="12">
        <f t="shared" si="20"/>
        <v>0</v>
      </c>
      <c r="V60" s="25" t="s">
        <v>10</v>
      </c>
      <c r="W60" s="11">
        <f>IFERROR(VLOOKUP(V60,Curr!$B$2:$C$13,2,FALSE),0)</f>
        <v>11</v>
      </c>
      <c r="X60" s="12">
        <f t="shared" si="21"/>
        <v>0</v>
      </c>
      <c r="Y60" s="26">
        <f t="shared" si="24"/>
        <v>110</v>
      </c>
      <c r="Z60" s="12">
        <f t="shared" si="4"/>
        <v>0</v>
      </c>
      <c r="AA60" s="4" t="s">
        <v>10</v>
      </c>
      <c r="AB60" s="11">
        <f>IFERROR(VLOOKUP(AA60,Curr!$B$2:$C$13,2,FALSE),0)</f>
        <v>11</v>
      </c>
      <c r="AC60" s="12">
        <f t="shared" si="5"/>
        <v>0</v>
      </c>
      <c r="AD60" s="12">
        <f t="shared" si="6"/>
        <v>0</v>
      </c>
      <c r="AE60" s="13">
        <f t="shared" si="7"/>
        <v>0</v>
      </c>
    </row>
    <row r="61" spans="2:31" x14ac:dyDescent="0.25">
      <c r="B61" s="4"/>
      <c r="C61" s="1" t="s">
        <v>72</v>
      </c>
      <c r="D61" s="1" t="s">
        <v>110</v>
      </c>
      <c r="E61" s="3"/>
      <c r="F61" s="3"/>
      <c r="G61" s="24"/>
      <c r="H61" s="24"/>
      <c r="J61" s="1" t="s">
        <v>111</v>
      </c>
      <c r="K61" s="4"/>
      <c r="L61" s="4"/>
      <c r="M61" s="4"/>
      <c r="N61" s="4"/>
      <c r="O61" s="4" t="s">
        <v>42</v>
      </c>
      <c r="P61" s="33" t="s">
        <v>112</v>
      </c>
      <c r="Q61" s="25">
        <v>126</v>
      </c>
      <c r="R61" s="25">
        <v>0</v>
      </c>
      <c r="S61" s="12">
        <f t="shared" si="19"/>
        <v>0</v>
      </c>
      <c r="T61" s="5">
        <v>0</v>
      </c>
      <c r="U61" s="12">
        <f t="shared" si="20"/>
        <v>0</v>
      </c>
      <c r="V61" s="25" t="s">
        <v>10</v>
      </c>
      <c r="W61" s="11">
        <f>IFERROR(VLOOKUP(V61,Curr!$B$2:$C$13,2,FALSE),0)</f>
        <v>11</v>
      </c>
      <c r="X61" s="12">
        <f t="shared" si="21"/>
        <v>0</v>
      </c>
      <c r="Y61" s="26">
        <f t="shared" si="24"/>
        <v>126</v>
      </c>
      <c r="Z61" s="12">
        <f t="shared" si="4"/>
        <v>0</v>
      </c>
      <c r="AA61" s="4" t="s">
        <v>10</v>
      </c>
      <c r="AB61" s="11">
        <f>IFERROR(VLOOKUP(AA61,Curr!$B$2:$C$13,2,FALSE),0)</f>
        <v>11</v>
      </c>
      <c r="AC61" s="12">
        <f t="shared" si="5"/>
        <v>0</v>
      </c>
      <c r="AD61" s="12">
        <f t="shared" si="6"/>
        <v>0</v>
      </c>
      <c r="AE61" s="13">
        <f t="shared" si="7"/>
        <v>0</v>
      </c>
    </row>
    <row r="62" spans="2:31" x14ac:dyDescent="0.25">
      <c r="B62" s="4"/>
      <c r="C62" s="1" t="s">
        <v>67</v>
      </c>
      <c r="D62" s="1" t="s">
        <v>110</v>
      </c>
      <c r="E62" s="3"/>
      <c r="F62" s="3"/>
      <c r="G62" s="24"/>
      <c r="H62" s="24"/>
      <c r="J62" s="1" t="s">
        <v>157</v>
      </c>
      <c r="K62" s="4"/>
      <c r="L62" s="4"/>
      <c r="M62" s="4"/>
      <c r="N62" s="4"/>
      <c r="O62" s="4" t="s">
        <v>42</v>
      </c>
      <c r="P62" s="33" t="s">
        <v>158</v>
      </c>
      <c r="Q62" s="25">
        <v>3250</v>
      </c>
      <c r="R62" s="25">
        <v>0</v>
      </c>
      <c r="S62" s="12">
        <f t="shared" si="19"/>
        <v>0</v>
      </c>
      <c r="T62" s="5">
        <v>0.08</v>
      </c>
      <c r="U62" s="12">
        <f t="shared" si="20"/>
        <v>0</v>
      </c>
      <c r="V62" s="25" t="s">
        <v>8</v>
      </c>
      <c r="W62" s="11">
        <f>IFERROR(VLOOKUP(V62,Curr!$B$2:$C$13,2,FALSE),0)</f>
        <v>1</v>
      </c>
      <c r="X62" s="12">
        <f t="shared" si="21"/>
        <v>0</v>
      </c>
      <c r="Y62" s="26">
        <f>Q62/11.3/0.9</f>
        <v>319.56735496558503</v>
      </c>
      <c r="Z62" s="12">
        <f t="shared" si="4"/>
        <v>0</v>
      </c>
      <c r="AA62" s="4" t="s">
        <v>10</v>
      </c>
      <c r="AB62" s="11">
        <f>IFERROR(VLOOKUP(AA62,Curr!$B$2:$C$13,2,FALSE),0)</f>
        <v>11</v>
      </c>
      <c r="AC62" s="12">
        <f t="shared" si="5"/>
        <v>0</v>
      </c>
      <c r="AD62" s="12">
        <f t="shared" si="6"/>
        <v>0</v>
      </c>
      <c r="AE62" s="13">
        <f t="shared" si="7"/>
        <v>0</v>
      </c>
    </row>
    <row r="63" spans="2:31" x14ac:dyDescent="0.25">
      <c r="B63" s="4"/>
      <c r="C63" s="1" t="s">
        <v>67</v>
      </c>
      <c r="D63" s="1" t="s">
        <v>110</v>
      </c>
      <c r="E63" s="3"/>
      <c r="F63" s="3"/>
      <c r="G63" s="24"/>
      <c r="H63" s="24"/>
      <c r="J63" s="1" t="s">
        <v>159</v>
      </c>
      <c r="K63" s="4"/>
      <c r="L63" s="4"/>
      <c r="M63" s="4"/>
      <c r="N63" s="4"/>
      <c r="O63" s="4"/>
      <c r="P63" s="33"/>
      <c r="Q63" s="25">
        <v>450</v>
      </c>
      <c r="R63" s="25">
        <v>0</v>
      </c>
      <c r="S63" s="12">
        <f t="shared" si="19"/>
        <v>0</v>
      </c>
      <c r="T63" s="5">
        <v>0</v>
      </c>
      <c r="U63" s="12">
        <f t="shared" si="20"/>
        <v>0</v>
      </c>
      <c r="V63" s="25" t="s">
        <v>8</v>
      </c>
      <c r="W63" s="11">
        <f>IFERROR(VLOOKUP(V63,Curr!$B$2:$C$13,2,FALSE),0)</f>
        <v>1</v>
      </c>
      <c r="X63" s="12">
        <f t="shared" si="21"/>
        <v>0</v>
      </c>
      <c r="Y63" s="26">
        <f>Q63/11.3/0.8</f>
        <v>49.778761061946895</v>
      </c>
      <c r="Z63" s="12">
        <f t="shared" si="4"/>
        <v>0</v>
      </c>
      <c r="AA63" s="4" t="s">
        <v>10</v>
      </c>
      <c r="AB63" s="11">
        <f>IFERROR(VLOOKUP(AA63,Curr!$B$2:$C$13,2,FALSE),0)</f>
        <v>11</v>
      </c>
      <c r="AC63" s="12">
        <f t="shared" si="5"/>
        <v>0</v>
      </c>
      <c r="AD63" s="12">
        <f t="shared" si="6"/>
        <v>0</v>
      </c>
      <c r="AE63" s="13">
        <f t="shared" si="7"/>
        <v>0</v>
      </c>
    </row>
    <row r="64" spans="2:31" x14ac:dyDescent="0.25">
      <c r="B64" s="4"/>
      <c r="E64" s="3"/>
      <c r="F64" s="3"/>
      <c r="G64" s="24"/>
      <c r="H64" s="24"/>
      <c r="K64" s="4"/>
      <c r="L64" s="4"/>
      <c r="M64" s="4"/>
      <c r="N64" s="4"/>
      <c r="O64" s="4"/>
      <c r="P64" s="27"/>
      <c r="Q64" s="25"/>
      <c r="R64" s="25"/>
      <c r="S64" s="12">
        <f t="shared" si="19"/>
        <v>0</v>
      </c>
      <c r="T64" s="5">
        <v>0</v>
      </c>
      <c r="U64" s="12">
        <f t="shared" si="20"/>
        <v>0</v>
      </c>
      <c r="V64" s="25" t="s">
        <v>10</v>
      </c>
      <c r="W64" s="11">
        <f>IFERROR(VLOOKUP(V64,Curr!$B$2:$C$13,2,FALSE),0)</f>
        <v>11</v>
      </c>
      <c r="X64" s="12">
        <f t="shared" si="21"/>
        <v>0</v>
      </c>
      <c r="Y64" s="26">
        <f t="shared" si="24"/>
        <v>0</v>
      </c>
      <c r="Z64" s="12">
        <f t="shared" si="4"/>
        <v>0</v>
      </c>
      <c r="AA64" s="4" t="s">
        <v>10</v>
      </c>
      <c r="AB64" s="11">
        <f>IFERROR(VLOOKUP(AA64,Curr!$B$2:$C$13,2,FALSE),0)</f>
        <v>11</v>
      </c>
      <c r="AC64" s="12">
        <f t="shared" si="5"/>
        <v>0</v>
      </c>
      <c r="AD64" s="12">
        <f t="shared" si="6"/>
        <v>0</v>
      </c>
      <c r="AE64" s="13">
        <f t="shared" si="7"/>
        <v>0</v>
      </c>
    </row>
    <row r="65" spans="2:36" x14ac:dyDescent="0.25">
      <c r="B65" s="4"/>
      <c r="E65" s="3"/>
      <c r="F65" s="3"/>
      <c r="G65" s="24"/>
      <c r="H65" s="24"/>
      <c r="K65" s="4"/>
      <c r="L65" s="4"/>
      <c r="M65" s="4"/>
      <c r="N65" s="4"/>
      <c r="O65" s="4"/>
      <c r="P65" s="27"/>
      <c r="Q65" s="25"/>
      <c r="R65" s="25"/>
      <c r="S65" s="12">
        <f t="shared" si="19"/>
        <v>0</v>
      </c>
      <c r="T65" s="5">
        <v>0</v>
      </c>
      <c r="U65" s="12">
        <f t="shared" si="20"/>
        <v>0</v>
      </c>
      <c r="V65" s="25" t="s">
        <v>10</v>
      </c>
      <c r="W65" s="11">
        <f>IFERROR(VLOOKUP(V65,Curr!$B$2:$C$13,2,FALSE),0)</f>
        <v>11</v>
      </c>
      <c r="X65" s="12">
        <f t="shared" si="21"/>
        <v>0</v>
      </c>
      <c r="Y65" s="26">
        <f t="shared" si="24"/>
        <v>0</v>
      </c>
      <c r="Z65" s="12">
        <f t="shared" si="4"/>
        <v>0</v>
      </c>
      <c r="AA65" s="4" t="s">
        <v>10</v>
      </c>
      <c r="AB65" s="11">
        <f>IFERROR(VLOOKUP(AA65,Curr!$B$2:$C$13,2,FALSE),0)</f>
        <v>11</v>
      </c>
      <c r="AC65" s="12">
        <f t="shared" si="5"/>
        <v>0</v>
      </c>
      <c r="AD65" s="12">
        <f t="shared" si="6"/>
        <v>0</v>
      </c>
      <c r="AE65" s="13">
        <f t="shared" si="7"/>
        <v>0</v>
      </c>
    </row>
    <row r="66" spans="2:36" x14ac:dyDescent="0.25">
      <c r="B66" s="4"/>
      <c r="E66" s="3"/>
      <c r="F66" s="3"/>
      <c r="G66" s="24"/>
      <c r="H66" s="24"/>
      <c r="K66" s="4"/>
      <c r="L66" s="4"/>
      <c r="M66" s="4"/>
      <c r="N66" s="4"/>
      <c r="O66" s="4"/>
      <c r="P66" s="27"/>
      <c r="Q66" s="25"/>
      <c r="R66" s="25"/>
      <c r="S66" s="12">
        <f t="shared" si="19"/>
        <v>0</v>
      </c>
      <c r="T66" s="5">
        <v>0</v>
      </c>
      <c r="U66" s="12">
        <f t="shared" si="20"/>
        <v>0</v>
      </c>
      <c r="V66" s="25" t="s">
        <v>10</v>
      </c>
      <c r="W66" s="11">
        <f>IFERROR(VLOOKUP(V66,Curr!$B$2:$C$13,2,FALSE),0)</f>
        <v>11</v>
      </c>
      <c r="X66" s="12">
        <f t="shared" si="21"/>
        <v>0</v>
      </c>
      <c r="Y66" s="26">
        <f t="shared" si="24"/>
        <v>0</v>
      </c>
      <c r="Z66" s="12">
        <f t="shared" si="4"/>
        <v>0</v>
      </c>
      <c r="AA66" s="4" t="s">
        <v>10</v>
      </c>
      <c r="AB66" s="11">
        <f>IFERROR(VLOOKUP(AA66,Curr!$B$2:$C$13,2,FALSE),0)</f>
        <v>11</v>
      </c>
      <c r="AC66" s="12">
        <f t="shared" si="5"/>
        <v>0</v>
      </c>
      <c r="AD66" s="12">
        <f t="shared" si="6"/>
        <v>0</v>
      </c>
      <c r="AE66" s="13">
        <f t="shared" si="7"/>
        <v>0</v>
      </c>
    </row>
    <row r="67" spans="2:36" x14ac:dyDescent="0.25">
      <c r="B67" s="4"/>
      <c r="E67" s="3"/>
      <c r="F67" s="3"/>
      <c r="G67" s="24"/>
      <c r="H67" s="24"/>
      <c r="K67" s="4"/>
      <c r="L67" s="4"/>
      <c r="M67" s="4"/>
      <c r="N67" s="4"/>
      <c r="O67" s="4"/>
      <c r="P67" s="27"/>
      <c r="Q67" s="25"/>
      <c r="R67" s="25"/>
      <c r="S67" s="12">
        <f t="shared" si="19"/>
        <v>0</v>
      </c>
      <c r="T67" s="5">
        <v>0</v>
      </c>
      <c r="U67" s="12">
        <f t="shared" si="20"/>
        <v>0</v>
      </c>
      <c r="V67" s="25" t="s">
        <v>10</v>
      </c>
      <c r="W67" s="11">
        <f>IFERROR(VLOOKUP(V67,Curr!$B$2:$C$13,2,FALSE),0)</f>
        <v>11</v>
      </c>
      <c r="X67" s="12">
        <f t="shared" si="21"/>
        <v>0</v>
      </c>
      <c r="Y67" s="26">
        <f t="shared" si="24"/>
        <v>0</v>
      </c>
      <c r="Z67" s="12">
        <f t="shared" si="4"/>
        <v>0</v>
      </c>
      <c r="AA67" s="4" t="s">
        <v>10</v>
      </c>
      <c r="AB67" s="11">
        <f>IFERROR(VLOOKUP(AA67,Curr!$B$2:$C$13,2,FALSE),0)</f>
        <v>11</v>
      </c>
      <c r="AC67" s="12">
        <f t="shared" si="5"/>
        <v>0</v>
      </c>
      <c r="AD67" s="12">
        <f t="shared" si="6"/>
        <v>0</v>
      </c>
      <c r="AE67" s="13">
        <f t="shared" si="7"/>
        <v>0</v>
      </c>
    </row>
    <row r="68" spans="2:36" x14ac:dyDescent="0.25">
      <c r="B68" s="4"/>
      <c r="E68" s="3"/>
      <c r="F68" s="3"/>
      <c r="G68" s="24"/>
      <c r="H68" s="24"/>
      <c r="K68" s="4"/>
      <c r="L68" s="4"/>
      <c r="M68" s="4"/>
      <c r="N68" s="4"/>
      <c r="O68" s="4"/>
      <c r="P68" s="27"/>
      <c r="Q68" s="25"/>
      <c r="R68" s="25"/>
      <c r="S68" s="12">
        <f t="shared" si="19"/>
        <v>0</v>
      </c>
      <c r="T68" s="5">
        <v>0</v>
      </c>
      <c r="U68" s="12">
        <f t="shared" si="20"/>
        <v>0</v>
      </c>
      <c r="V68" s="25" t="s">
        <v>10</v>
      </c>
      <c r="W68" s="11">
        <f>IFERROR(VLOOKUP(V68,Curr!$B$2:$C$13,2,FALSE),0)</f>
        <v>11</v>
      </c>
      <c r="X68" s="12">
        <f t="shared" si="21"/>
        <v>0</v>
      </c>
      <c r="Y68" s="26">
        <f t="shared" si="24"/>
        <v>0</v>
      </c>
      <c r="Z68" s="12">
        <f t="shared" si="4"/>
        <v>0</v>
      </c>
      <c r="AA68" s="4" t="s">
        <v>10</v>
      </c>
      <c r="AB68" s="11">
        <f>IFERROR(VLOOKUP(AA68,Curr!$B$2:$C$13,2,FALSE),0)</f>
        <v>11</v>
      </c>
      <c r="AC68" s="12">
        <f t="shared" si="5"/>
        <v>0</v>
      </c>
      <c r="AD68" s="12">
        <f t="shared" si="6"/>
        <v>0</v>
      </c>
      <c r="AE68" s="13">
        <f t="shared" si="7"/>
        <v>0</v>
      </c>
    </row>
    <row r="69" spans="2:36" x14ac:dyDescent="0.25">
      <c r="B69" s="4"/>
      <c r="E69" s="3"/>
      <c r="F69" s="3"/>
      <c r="G69" s="3"/>
      <c r="H69" s="3"/>
      <c r="L69" s="4"/>
      <c r="M69" s="4"/>
      <c r="N69" s="4"/>
      <c r="O69" s="4"/>
      <c r="P69" s="22"/>
      <c r="Q69" s="4"/>
      <c r="R69" s="4"/>
      <c r="S69" s="4"/>
      <c r="T69" s="4"/>
      <c r="U69" s="4"/>
      <c r="V69" s="4"/>
      <c r="W69" s="4"/>
      <c r="X69" s="4"/>
      <c r="Y69" s="4"/>
      <c r="Z69" s="4"/>
      <c r="AA69" s="4"/>
      <c r="AB69" s="4"/>
      <c r="AC69" s="4"/>
      <c r="AD69" s="4"/>
      <c r="AE69" s="4"/>
      <c r="AF69" s="4"/>
    </row>
    <row r="70" spans="2:36" x14ac:dyDescent="0.25">
      <c r="B70" s="14" t="s">
        <v>18</v>
      </c>
      <c r="C70" s="14"/>
      <c r="D70" s="28" t="s">
        <v>42</v>
      </c>
      <c r="E70" s="30" t="s">
        <v>42</v>
      </c>
      <c r="F70" s="30" t="s">
        <v>42</v>
      </c>
      <c r="G70" s="30" t="s">
        <v>42</v>
      </c>
      <c r="H70" s="30" t="s">
        <v>42</v>
      </c>
      <c r="I70" s="28" t="s">
        <v>42</v>
      </c>
      <c r="J70" s="28" t="s">
        <v>42</v>
      </c>
      <c r="K70" s="28" t="s">
        <v>42</v>
      </c>
      <c r="L70" s="28" t="s">
        <v>42</v>
      </c>
      <c r="M70" s="28" t="s">
        <v>42</v>
      </c>
      <c r="N70" s="28" t="s">
        <v>42</v>
      </c>
      <c r="O70" s="28" t="s">
        <v>42</v>
      </c>
      <c r="P70" s="28" t="s">
        <v>42</v>
      </c>
      <c r="Q70" s="31" t="s">
        <v>42</v>
      </c>
      <c r="R70" s="28" t="s">
        <v>42</v>
      </c>
      <c r="S70" s="32" t="s">
        <v>42</v>
      </c>
      <c r="T70" s="28" t="s">
        <v>42</v>
      </c>
      <c r="U70" s="32" t="s">
        <v>42</v>
      </c>
      <c r="V70" s="28" t="s">
        <v>42</v>
      </c>
      <c r="W70" s="28" t="s">
        <v>42</v>
      </c>
      <c r="X70" s="32" t="s">
        <v>42</v>
      </c>
      <c r="Y70" s="32" t="s">
        <v>42</v>
      </c>
      <c r="Z70" s="15">
        <f>SUM(Z7:Z68)</f>
        <v>4075.0434669442993</v>
      </c>
      <c r="AA70" s="14"/>
      <c r="AB70" s="14"/>
      <c r="AC70" s="15">
        <f>SUM(AC7:AC68)</f>
        <v>44825.47813638729</v>
      </c>
      <c r="AD70" s="15">
        <f>SUM(AD7:AD68)</f>
        <v>8942.6781363872979</v>
      </c>
      <c r="AE70" s="21">
        <f t="shared" ref="AE70" si="26">IFERROR(AD70/AC70,0)</f>
        <v>0.19949989399283255</v>
      </c>
      <c r="AF70" s="15">
        <f>SUM(AF8:AF69)</f>
        <v>0</v>
      </c>
      <c r="AG70" s="15">
        <f>SUM(AG8:AG69)</f>
        <v>0</v>
      </c>
      <c r="AH70" s="15">
        <f>SUM(AH8:AH69)</f>
        <v>0</v>
      </c>
      <c r="AI70" s="15">
        <f>SUM(AI8:AI69)</f>
        <v>0</v>
      </c>
      <c r="AJ70" s="15">
        <f>SUM(AJ8:AJ69)</f>
        <v>0</v>
      </c>
    </row>
    <row r="71" spans="2:36" x14ac:dyDescent="0.25">
      <c r="B71" s="4"/>
      <c r="E71" s="3"/>
      <c r="F71" s="3"/>
      <c r="G71" s="3"/>
      <c r="H71" s="3"/>
      <c r="L71" s="4"/>
      <c r="M71" s="4"/>
      <c r="N71" s="4"/>
      <c r="O71" s="4"/>
      <c r="Q71" s="4"/>
      <c r="R71" s="4"/>
      <c r="S71" s="4"/>
      <c r="T71" s="4"/>
      <c r="U71" s="4"/>
      <c r="V71" s="4"/>
      <c r="W71" s="4"/>
      <c r="X71" s="4"/>
      <c r="Y71" s="9"/>
      <c r="Z71" s="9"/>
      <c r="AA71" s="9"/>
      <c r="AB71" s="9"/>
      <c r="AC71" s="9"/>
      <c r="AD71" s="9"/>
      <c r="AE71" s="9"/>
    </row>
    <row r="72" spans="2:36" x14ac:dyDescent="0.25">
      <c r="B72" s="4"/>
      <c r="E72" s="3"/>
      <c r="F72" s="3"/>
      <c r="G72" s="3"/>
      <c r="H72" s="3"/>
      <c r="L72" s="4"/>
      <c r="M72" s="4"/>
      <c r="N72" s="4"/>
      <c r="O72" s="4"/>
      <c r="Q72" s="9"/>
      <c r="R72" s="9"/>
      <c r="S72" s="9"/>
      <c r="T72" s="9"/>
      <c r="U72" s="9"/>
      <c r="V72" s="9"/>
      <c r="W72" s="9"/>
      <c r="X72" s="23"/>
      <c r="Y72" s="34" t="s">
        <v>43</v>
      </c>
      <c r="Z72" s="34">
        <v>4080</v>
      </c>
      <c r="AA72" s="9"/>
      <c r="AB72" s="9"/>
      <c r="AC72" s="9"/>
      <c r="AD72" s="9"/>
      <c r="AE72" s="9"/>
    </row>
    <row r="73" spans="2:36" x14ac:dyDescent="0.25">
      <c r="B73" s="4"/>
      <c r="E73" s="3"/>
      <c r="F73" s="3"/>
      <c r="G73" s="3"/>
      <c r="H73" s="3"/>
      <c r="L73" s="4"/>
      <c r="M73" s="4"/>
      <c r="N73" s="4"/>
      <c r="O73" s="4"/>
      <c r="Q73" s="9"/>
      <c r="R73" s="9"/>
      <c r="S73" s="9"/>
      <c r="T73" s="9"/>
      <c r="U73" s="9"/>
      <c r="V73" s="9"/>
      <c r="W73" s="9"/>
      <c r="X73" s="9"/>
      <c r="Y73" s="34" t="s">
        <v>44</v>
      </c>
      <c r="Z73" s="34">
        <f>Z72/2</f>
        <v>2040</v>
      </c>
      <c r="AA73" s="9"/>
      <c r="AB73" s="9"/>
      <c r="AC73" s="9"/>
      <c r="AD73" s="9"/>
      <c r="AE73" s="9"/>
      <c r="AF73" s="18"/>
    </row>
    <row r="74" spans="2:36" x14ac:dyDescent="0.25">
      <c r="B74" s="4"/>
      <c r="E74" s="3"/>
      <c r="F74" s="3"/>
      <c r="G74" s="3"/>
      <c r="H74" s="3"/>
      <c r="I74" s="19"/>
      <c r="L74" s="4"/>
      <c r="M74" s="4"/>
      <c r="N74" s="4"/>
      <c r="O74" s="20"/>
      <c r="Q74" s="20"/>
      <c r="R74" s="20"/>
      <c r="S74" s="20"/>
      <c r="T74" s="20"/>
      <c r="U74" s="20"/>
      <c r="V74" s="20"/>
      <c r="W74" s="20"/>
      <c r="X74" s="20"/>
      <c r="Y74" s="9"/>
      <c r="Z74" s="9"/>
      <c r="AA74" s="9"/>
      <c r="AB74" s="9"/>
      <c r="AC74" s="9"/>
      <c r="AD74" s="9"/>
      <c r="AE74" s="9"/>
      <c r="AF74" s="18"/>
    </row>
    <row r="75" spans="2:36" x14ac:dyDescent="0.25">
      <c r="B75" s="4"/>
      <c r="E75" s="3"/>
      <c r="F75" s="3"/>
      <c r="G75" s="3"/>
      <c r="H75" s="3"/>
      <c r="L75" s="4"/>
      <c r="M75" s="4"/>
      <c r="N75" s="4"/>
      <c r="O75" s="20"/>
      <c r="Q75" s="20"/>
      <c r="R75" s="20"/>
      <c r="S75" s="20"/>
      <c r="T75" s="20"/>
      <c r="U75" s="20"/>
      <c r="V75" s="20"/>
      <c r="W75" s="20"/>
      <c r="X75" s="20"/>
      <c r="Y75" s="9"/>
      <c r="Z75" s="9"/>
      <c r="AA75" s="9"/>
      <c r="AB75" s="9"/>
      <c r="AC75" s="9"/>
      <c r="AD75" s="9"/>
      <c r="AE75" s="9"/>
      <c r="AF75" s="18"/>
    </row>
    <row r="76" spans="2:36" x14ac:dyDescent="0.25">
      <c r="B76" s="4"/>
      <c r="E76" s="3"/>
      <c r="F76" s="3"/>
      <c r="G76" s="3"/>
      <c r="H76" s="3"/>
      <c r="L76" s="4"/>
      <c r="M76" s="4"/>
      <c r="N76" s="4"/>
      <c r="O76" s="4"/>
      <c r="Q76" s="9"/>
      <c r="R76" s="9"/>
      <c r="S76" s="9"/>
      <c r="T76" s="9"/>
      <c r="U76" s="9"/>
      <c r="V76" s="9"/>
      <c r="W76" s="9"/>
      <c r="X76" s="9"/>
      <c r="Y76" s="37" t="s">
        <v>302</v>
      </c>
      <c r="Z76" s="9">
        <f>Z72</f>
        <v>4080</v>
      </c>
      <c r="AA76" s="9"/>
      <c r="AB76" s="9"/>
      <c r="AC76" s="9"/>
      <c r="AD76" s="9"/>
      <c r="AE76" s="9"/>
      <c r="AF76" s="18"/>
    </row>
    <row r="77" spans="2:36" x14ac:dyDescent="0.25">
      <c r="F77" s="1"/>
      <c r="G77" s="1"/>
      <c r="H77" s="1"/>
      <c r="J77" s="1" t="s">
        <v>32</v>
      </c>
      <c r="Q77" s="9"/>
      <c r="R77" s="4"/>
      <c r="S77" s="9"/>
      <c r="T77" s="5"/>
      <c r="U77" s="9"/>
      <c r="V77" s="4"/>
      <c r="W77" s="4"/>
      <c r="X77" s="9"/>
      <c r="Y77" s="37" t="s">
        <v>299</v>
      </c>
      <c r="Z77" s="9">
        <f>Z76*1.12</f>
        <v>4569.6000000000004</v>
      </c>
      <c r="AA77" s="9"/>
      <c r="AB77" s="9"/>
      <c r="AC77" s="9"/>
      <c r="AD77" s="9"/>
      <c r="AE77" s="9"/>
    </row>
    <row r="78" spans="2:36" x14ac:dyDescent="0.25">
      <c r="R78" s="4"/>
      <c r="S78" s="17"/>
      <c r="T78" s="17"/>
      <c r="U78" s="9"/>
      <c r="V78" s="4"/>
      <c r="W78" s="4"/>
      <c r="X78" s="9"/>
      <c r="Y78" s="37" t="s">
        <v>303</v>
      </c>
      <c r="Z78" s="9">
        <f>Z76*1.2</f>
        <v>4896</v>
      </c>
      <c r="AA78" s="9"/>
      <c r="AB78" s="9"/>
      <c r="AC78" s="9"/>
      <c r="AD78" s="9"/>
      <c r="AE78" s="9"/>
    </row>
    <row r="79" spans="2:36" x14ac:dyDescent="0.25">
      <c r="Q79" s="9"/>
      <c r="R79" s="4"/>
      <c r="S79" s="16"/>
      <c r="T79" s="16"/>
      <c r="U79" s="9"/>
      <c r="V79" s="4"/>
      <c r="W79" s="4"/>
      <c r="X79" s="9"/>
      <c r="Y79" s="37" t="s">
        <v>300</v>
      </c>
      <c r="Z79" s="9">
        <f>Z76*0.8</f>
        <v>3264</v>
      </c>
      <c r="AA79" s="9"/>
      <c r="AB79" s="9"/>
      <c r="AC79" s="9"/>
      <c r="AD79" s="9"/>
      <c r="AE79" s="9"/>
    </row>
    <row r="80" spans="2:36" x14ac:dyDescent="0.25">
      <c r="R80" s="4"/>
      <c r="S80" s="16"/>
      <c r="T80" s="16"/>
      <c r="Y80" s="9"/>
      <c r="Z80" s="9"/>
      <c r="AA80" s="9"/>
      <c r="AB80" s="9"/>
      <c r="AC80" s="9"/>
      <c r="AD80" s="9"/>
      <c r="AE80" s="9"/>
    </row>
    <row r="81" spans="20:31" x14ac:dyDescent="0.25">
      <c r="T81" s="5"/>
      <c r="Y81" s="9"/>
      <c r="Z81" s="9"/>
      <c r="AA81" s="9"/>
      <c r="AB81" s="9"/>
      <c r="AC81" s="9"/>
      <c r="AD81" s="9"/>
      <c r="AE81" s="9"/>
    </row>
    <row r="82" spans="20:31" x14ac:dyDescent="0.25">
      <c r="T82" s="5"/>
      <c r="Y82" s="9"/>
      <c r="Z82" s="9"/>
      <c r="AA82" s="9"/>
      <c r="AB82" s="9"/>
      <c r="AC82" s="9"/>
      <c r="AD82" s="9"/>
      <c r="AE82" s="9"/>
    </row>
    <row r="83" spans="20:31" x14ac:dyDescent="0.25">
      <c r="T83" s="5"/>
      <c r="Y83" s="9"/>
      <c r="Z83" s="9"/>
      <c r="AA83" s="9"/>
      <c r="AB83" s="9"/>
      <c r="AC83" s="9"/>
      <c r="AD83" s="9"/>
      <c r="AE83" s="9"/>
    </row>
    <row r="84" spans="20:31" x14ac:dyDescent="0.25">
      <c r="T84" s="5"/>
      <c r="Y84" s="9"/>
      <c r="Z84" s="9"/>
      <c r="AA84" s="9"/>
      <c r="AB84" s="9"/>
      <c r="AC84" s="9"/>
      <c r="AD84" s="9"/>
      <c r="AE84" s="9"/>
    </row>
    <row r="85" spans="20:31" x14ac:dyDescent="0.25">
      <c r="T85" s="5"/>
      <c r="Y85" s="9"/>
      <c r="Z85" s="9"/>
      <c r="AA85" s="9"/>
      <c r="AB85" s="9"/>
      <c r="AC85" s="9"/>
      <c r="AD85" s="9"/>
      <c r="AE85" s="9"/>
    </row>
    <row r="86" spans="20:31" x14ac:dyDescent="0.25">
      <c r="T86" s="5"/>
      <c r="Y86" s="9"/>
      <c r="Z86" s="9"/>
      <c r="AA86" s="9"/>
      <c r="AB86" s="9"/>
      <c r="AC86" s="9"/>
      <c r="AD86" s="9"/>
      <c r="AE86" s="9"/>
    </row>
    <row r="87" spans="20:31" x14ac:dyDescent="0.25">
      <c r="T87" s="5"/>
      <c r="Y87" s="9"/>
      <c r="Z87" s="9"/>
      <c r="AA87" s="9"/>
      <c r="AB87" s="9"/>
      <c r="AC87" s="9"/>
      <c r="AD87" s="9"/>
      <c r="AE87" s="9"/>
    </row>
    <row r="88" spans="20:31" x14ac:dyDescent="0.25">
      <c r="T88" s="5"/>
      <c r="Y88" s="9"/>
      <c r="Z88" s="9"/>
      <c r="AA88" s="9"/>
      <c r="AB88" s="9"/>
      <c r="AC88" s="9"/>
      <c r="AD88" s="9"/>
      <c r="AE88" s="9"/>
    </row>
    <row r="89" spans="20:31" x14ac:dyDescent="0.25">
      <c r="T89" s="5"/>
    </row>
    <row r="90" spans="20:31" x14ac:dyDescent="0.25">
      <c r="T90" s="5"/>
    </row>
    <row r="91" spans="20:31" x14ac:dyDescent="0.25">
      <c r="T91" s="5"/>
    </row>
    <row r="92" spans="20:31" x14ac:dyDescent="0.25">
      <c r="T92" s="5"/>
    </row>
    <row r="93" spans="20:31" x14ac:dyDescent="0.25">
      <c r="T93" s="5"/>
    </row>
  </sheetData>
  <autoFilter ref="B6:AE70" xr:uid="{65FA6D9B-E0AF-46CD-BA0D-86BB75FE6AB0}"/>
  <hyperlinks>
    <hyperlink ref="P21" r:id="rId1" xr:uid="{147907C5-3BB1-4911-B7AF-65C9567EE5CF}"/>
    <hyperlink ref="P25" r:id="rId2" xr:uid="{07FAD2A5-5CC3-4E2F-99D3-53DF400A10BA}"/>
    <hyperlink ref="P30" r:id="rId3" xr:uid="{7C426D86-8958-4624-B17D-1790DC6C6E17}"/>
    <hyperlink ref="P39" r:id="rId4" xr:uid="{3CAD54A0-2167-4583-BEDF-402997792BA7}"/>
    <hyperlink ref="P43" r:id="rId5" location="reisesok" xr:uid="{3869F87A-D43C-4181-A98F-DCAB7E6644AA}"/>
    <hyperlink ref="P48" r:id="rId6" xr:uid="{B38B8406-00CA-4149-9963-F072B533961E}"/>
    <hyperlink ref="P49" r:id="rId7" xr:uid="{00AD8E30-FAB1-48C7-AA6F-FAFE5667AF69}"/>
    <hyperlink ref="P60" r:id="rId8" xr:uid="{42D83B42-34A6-4659-832B-A92472C679A6}"/>
    <hyperlink ref="P61" r:id="rId9" xr:uid="{D8DB9660-22A4-4D30-B55A-16EFD1535738}"/>
    <hyperlink ref="P62" r:id="rId10" xr:uid="{6C8FEC73-A57A-480F-951B-933F9B9886F6}"/>
  </hyperlinks>
  <pageMargins left="0.7" right="0.7" top="0.75" bottom="0.75" header="0.3" footer="0.3"/>
  <pageSetup paperSize="9" orientation="portrait" r:id="rId1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57D9F-9999-49C0-BC2F-E1A028A9C2F7}">
  <sheetPr>
    <tabColor rgb="FFFFFF00"/>
  </sheetPr>
  <dimension ref="B1:AK86"/>
  <sheetViews>
    <sheetView topLeftCell="A12" zoomScale="80" zoomScaleNormal="80" workbookViewId="0">
      <selection activeCell="J29" sqref="J29"/>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1" spans="2:36" x14ac:dyDescent="0.25">
      <c r="B1" s="2" t="s">
        <v>70</v>
      </c>
    </row>
    <row r="2" spans="2:36" x14ac:dyDescent="0.25">
      <c r="B2" s="2" t="s">
        <v>73</v>
      </c>
    </row>
    <row r="3" spans="2:36" x14ac:dyDescent="0.25">
      <c r="B3" s="2" t="s">
        <v>50</v>
      </c>
    </row>
    <row r="4" spans="2:36" x14ac:dyDescent="0.25">
      <c r="B4" s="2" t="s">
        <v>51</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52</v>
      </c>
      <c r="D7" s="1" t="s">
        <v>53</v>
      </c>
      <c r="E7" s="3"/>
      <c r="F7" s="3"/>
      <c r="G7" s="3"/>
      <c r="H7" s="3"/>
      <c r="J7" s="1" t="s">
        <v>93</v>
      </c>
      <c r="K7" s="4"/>
      <c r="L7" s="4"/>
      <c r="M7" s="4"/>
      <c r="N7" s="4"/>
      <c r="O7" s="4"/>
      <c r="P7" s="27"/>
      <c r="Q7" s="25">
        <v>0</v>
      </c>
      <c r="R7" s="25">
        <v>0</v>
      </c>
      <c r="S7" s="12">
        <f t="shared" ref="S7:S40" si="0">+Q7*R7</f>
        <v>0</v>
      </c>
      <c r="T7" s="5">
        <v>0</v>
      </c>
      <c r="U7" s="12">
        <f t="shared" ref="U7:U40" si="1">S7*(1-T7)</f>
        <v>0</v>
      </c>
      <c r="V7" s="25" t="s">
        <v>10</v>
      </c>
      <c r="W7" s="11">
        <f>IFERROR(VLOOKUP(V7,Curr!$B$2:$C$13,2,FALSE),0)</f>
        <v>11</v>
      </c>
      <c r="X7" s="12">
        <f t="shared" ref="X7:X40" si="2">U7*W7</f>
        <v>0</v>
      </c>
      <c r="Y7" s="26">
        <f t="shared" ref="Y7:Y33" si="3">Q7</f>
        <v>0</v>
      </c>
      <c r="Z7" s="12">
        <f t="shared" ref="Z7:Z61" si="4">+Y7*R7</f>
        <v>0</v>
      </c>
      <c r="AA7" s="4" t="s">
        <v>10</v>
      </c>
      <c r="AB7" s="11">
        <f>IFERROR(VLOOKUP(AA7,Curr!$B$2:$C$13,2,FALSE),0)</f>
        <v>11</v>
      </c>
      <c r="AC7" s="12">
        <f t="shared" ref="AC7:AC61" si="5">+Y7*AB7*R7</f>
        <v>0</v>
      </c>
      <c r="AD7" s="12">
        <f t="shared" ref="AD7:AD61" si="6">+AC7-X7</f>
        <v>0</v>
      </c>
      <c r="AE7" s="13">
        <f t="shared" ref="AE7:AE61" si="7">IFERROR(AD7/AC7,0)</f>
        <v>0</v>
      </c>
    </row>
    <row r="8" spans="2:36" x14ac:dyDescent="0.25">
      <c r="B8" s="4"/>
      <c r="C8" s="1" t="s">
        <v>52</v>
      </c>
      <c r="D8" s="1" t="s">
        <v>54</v>
      </c>
      <c r="E8" s="3"/>
      <c r="F8" s="3"/>
      <c r="G8" s="24"/>
      <c r="H8" s="24"/>
      <c r="J8" s="1" t="s">
        <v>94</v>
      </c>
      <c r="K8" s="4"/>
      <c r="L8" s="4"/>
      <c r="M8" s="4"/>
      <c r="N8" s="4"/>
      <c r="O8" s="4"/>
      <c r="P8" s="33"/>
      <c r="Q8" s="25">
        <v>0</v>
      </c>
      <c r="R8" s="25">
        <v>0</v>
      </c>
      <c r="S8" s="12">
        <f t="shared" si="0"/>
        <v>0</v>
      </c>
      <c r="T8" s="5">
        <v>0</v>
      </c>
      <c r="U8" s="12">
        <f t="shared" si="1"/>
        <v>0</v>
      </c>
      <c r="V8" s="25" t="s">
        <v>10</v>
      </c>
      <c r="W8" s="11">
        <f>IFERROR(VLOOKUP(V8,Curr!$B$2:$C$13,2,FALSE),0)</f>
        <v>11</v>
      </c>
      <c r="X8" s="12">
        <f t="shared" si="2"/>
        <v>0</v>
      </c>
      <c r="Y8" s="26">
        <f t="shared" si="3"/>
        <v>0</v>
      </c>
      <c r="Z8" s="12">
        <f t="shared" si="4"/>
        <v>0</v>
      </c>
      <c r="AA8" s="4" t="s">
        <v>10</v>
      </c>
      <c r="AB8" s="11">
        <f>IFERROR(VLOOKUP(AA8,Curr!$B$2:$C$13,2,FALSE),0)</f>
        <v>11</v>
      </c>
      <c r="AC8" s="12">
        <f t="shared" si="5"/>
        <v>0</v>
      </c>
      <c r="AD8" s="12">
        <f t="shared" si="6"/>
        <v>0</v>
      </c>
      <c r="AE8" s="13">
        <f t="shared" si="7"/>
        <v>0</v>
      </c>
    </row>
    <row r="9" spans="2:36" x14ac:dyDescent="0.25">
      <c r="B9" s="4"/>
      <c r="C9" s="1" t="s">
        <v>52</v>
      </c>
      <c r="D9" s="1" t="s">
        <v>55</v>
      </c>
      <c r="E9" s="3"/>
      <c r="F9" s="3"/>
      <c r="G9" s="24"/>
      <c r="H9" s="24"/>
      <c r="J9" s="1" t="s">
        <v>113</v>
      </c>
      <c r="K9" s="4"/>
      <c r="L9" s="4"/>
      <c r="M9" s="4"/>
      <c r="N9" s="4"/>
      <c r="O9" s="4"/>
      <c r="P9" s="27"/>
      <c r="Q9" s="25">
        <v>440</v>
      </c>
      <c r="R9" s="25">
        <v>1</v>
      </c>
      <c r="S9" s="12">
        <f t="shared" si="0"/>
        <v>440</v>
      </c>
      <c r="T9" s="5">
        <v>0</v>
      </c>
      <c r="U9" s="12">
        <f t="shared" si="1"/>
        <v>440</v>
      </c>
      <c r="V9" s="25" t="s">
        <v>10</v>
      </c>
      <c r="W9" s="11">
        <f>IFERROR(VLOOKUP(V9,Curr!$B$2:$C$13,2,FALSE),0)</f>
        <v>11</v>
      </c>
      <c r="X9" s="12">
        <f t="shared" si="2"/>
        <v>4840</v>
      </c>
      <c r="Y9" s="26">
        <f>Q9/0.8</f>
        <v>550</v>
      </c>
      <c r="Z9" s="12">
        <f t="shared" si="4"/>
        <v>550</v>
      </c>
      <c r="AA9" s="4" t="s">
        <v>10</v>
      </c>
      <c r="AB9" s="11">
        <f>IFERROR(VLOOKUP(AA9,Curr!$B$2:$C$13,2,FALSE),0)</f>
        <v>11</v>
      </c>
      <c r="AC9" s="12">
        <f t="shared" si="5"/>
        <v>6050</v>
      </c>
      <c r="AD9" s="12">
        <f t="shared" si="6"/>
        <v>1210</v>
      </c>
      <c r="AE9" s="13">
        <f t="shared" si="7"/>
        <v>0.2</v>
      </c>
    </row>
    <row r="10" spans="2:36" x14ac:dyDescent="0.25">
      <c r="B10" s="4"/>
      <c r="C10" s="1" t="s">
        <v>52</v>
      </c>
      <c r="D10" s="1" t="s">
        <v>56</v>
      </c>
      <c r="E10" s="3"/>
      <c r="F10" s="3"/>
      <c r="G10" s="24"/>
      <c r="H10" s="24"/>
      <c r="J10" s="1" t="s">
        <v>80</v>
      </c>
      <c r="K10" s="4"/>
      <c r="L10" s="4"/>
      <c r="M10" s="4"/>
      <c r="N10" s="4"/>
      <c r="O10" s="4"/>
      <c r="P10" s="27"/>
      <c r="Q10" s="25">
        <v>0</v>
      </c>
      <c r="R10" s="25">
        <v>0</v>
      </c>
      <c r="S10" s="12">
        <f t="shared" si="0"/>
        <v>0</v>
      </c>
      <c r="T10" s="5">
        <v>0</v>
      </c>
      <c r="U10" s="12">
        <f t="shared" si="1"/>
        <v>0</v>
      </c>
      <c r="V10" s="25" t="s">
        <v>10</v>
      </c>
      <c r="W10" s="11">
        <f>IFERROR(VLOOKUP(V10,Curr!$B$2:$C$13,2,FALSE),0)</f>
        <v>11</v>
      </c>
      <c r="X10" s="12">
        <f t="shared" si="2"/>
        <v>0</v>
      </c>
      <c r="Y10" s="26">
        <f t="shared" si="3"/>
        <v>0</v>
      </c>
      <c r="Z10" s="12">
        <f t="shared" si="4"/>
        <v>0</v>
      </c>
      <c r="AA10" s="4" t="s">
        <v>10</v>
      </c>
      <c r="AB10" s="11">
        <f>IFERROR(VLOOKUP(AA10,Curr!$B$2:$C$13,2,FALSE),0)</f>
        <v>11</v>
      </c>
      <c r="AC10" s="12">
        <f t="shared" si="5"/>
        <v>0</v>
      </c>
      <c r="AD10" s="12">
        <f t="shared" si="6"/>
        <v>0</v>
      </c>
      <c r="AE10" s="13">
        <f t="shared" si="7"/>
        <v>0</v>
      </c>
    </row>
    <row r="11" spans="2:36" x14ac:dyDescent="0.25">
      <c r="B11" s="4"/>
      <c r="E11" s="3"/>
      <c r="F11" s="3"/>
      <c r="G11" s="24"/>
      <c r="H11" s="24"/>
      <c r="K11" s="4"/>
      <c r="L11" s="4"/>
      <c r="M11" s="4"/>
      <c r="N11" s="4"/>
      <c r="O11" s="4"/>
      <c r="P11" s="27"/>
      <c r="Q11" s="25"/>
      <c r="R11" s="25"/>
      <c r="S11" s="12">
        <f t="shared" si="0"/>
        <v>0</v>
      </c>
      <c r="T11" s="5">
        <v>0</v>
      </c>
      <c r="U11" s="12">
        <f t="shared" si="1"/>
        <v>0</v>
      </c>
      <c r="V11" s="25" t="s">
        <v>10</v>
      </c>
      <c r="W11" s="11">
        <f>IFERROR(VLOOKUP(V11,Curr!$B$2:$C$13,2,FALSE),0)</f>
        <v>11</v>
      </c>
      <c r="X11" s="12">
        <f t="shared" si="2"/>
        <v>0</v>
      </c>
      <c r="Y11" s="26">
        <f t="shared" si="3"/>
        <v>0</v>
      </c>
      <c r="Z11" s="12">
        <f t="shared" ref="Z11:Z52" si="8">+Y11*R11</f>
        <v>0</v>
      </c>
      <c r="AA11" s="4" t="s">
        <v>10</v>
      </c>
      <c r="AB11" s="11">
        <f>IFERROR(VLOOKUP(AA11,Curr!$B$2:$C$13,2,FALSE),0)</f>
        <v>11</v>
      </c>
      <c r="AC11" s="12">
        <f t="shared" ref="AC11:AC52" si="9">+Y11*AB11*R11</f>
        <v>0</v>
      </c>
      <c r="AD11" s="12">
        <f t="shared" ref="AD11:AD52" si="10">+AC11-X11</f>
        <v>0</v>
      </c>
      <c r="AE11" s="13">
        <f t="shared" ref="AE11:AE52" si="11">IFERROR(AD11/AC11,0)</f>
        <v>0</v>
      </c>
    </row>
    <row r="12" spans="2:36" x14ac:dyDescent="0.25">
      <c r="B12" s="4"/>
      <c r="C12" s="1" t="s">
        <v>59</v>
      </c>
      <c r="D12" s="1" t="s">
        <v>57</v>
      </c>
      <c r="E12" s="3"/>
      <c r="F12" s="3"/>
      <c r="G12" s="24"/>
      <c r="H12" s="24"/>
      <c r="J12" s="1" t="s">
        <v>95</v>
      </c>
      <c r="K12" s="4"/>
      <c r="L12" s="4"/>
      <c r="M12" s="4"/>
      <c r="N12" s="4"/>
      <c r="O12" s="4"/>
      <c r="P12" s="27" t="s">
        <v>96</v>
      </c>
      <c r="Q12" s="25">
        <v>54</v>
      </c>
      <c r="R12" s="25">
        <v>2</v>
      </c>
      <c r="S12" s="12">
        <f t="shared" si="0"/>
        <v>108</v>
      </c>
      <c r="T12" s="5">
        <v>0.2</v>
      </c>
      <c r="U12" s="12">
        <f t="shared" si="1"/>
        <v>86.4</v>
      </c>
      <c r="V12" s="25" t="s">
        <v>10</v>
      </c>
      <c r="W12" s="11">
        <f>IFERROR(VLOOKUP(V12,Curr!$B$2:$C$13,2,FALSE),0)</f>
        <v>11</v>
      </c>
      <c r="X12" s="12">
        <f t="shared" si="2"/>
        <v>950.40000000000009</v>
      </c>
      <c r="Y12" s="26">
        <f t="shared" si="3"/>
        <v>54</v>
      </c>
      <c r="Z12" s="12">
        <f t="shared" si="8"/>
        <v>108</v>
      </c>
      <c r="AA12" s="4" t="s">
        <v>10</v>
      </c>
      <c r="AB12" s="11">
        <f>IFERROR(VLOOKUP(AA12,Curr!$B$2:$C$13,2,FALSE),0)</f>
        <v>11</v>
      </c>
      <c r="AC12" s="12">
        <f t="shared" si="9"/>
        <v>1188</v>
      </c>
      <c r="AD12" s="12">
        <f t="shared" si="10"/>
        <v>237.59999999999991</v>
      </c>
      <c r="AE12" s="13">
        <f t="shared" si="11"/>
        <v>0.19999999999999993</v>
      </c>
    </row>
    <row r="13" spans="2:36" x14ac:dyDescent="0.25">
      <c r="B13" s="4"/>
      <c r="C13" s="1" t="s">
        <v>59</v>
      </c>
      <c r="D13" s="1" t="s">
        <v>56</v>
      </c>
      <c r="E13" s="3"/>
      <c r="F13" s="3"/>
      <c r="G13" s="24"/>
      <c r="H13" s="24"/>
      <c r="J13" s="1" t="s">
        <v>80</v>
      </c>
      <c r="K13" s="4"/>
      <c r="L13" s="4"/>
      <c r="M13" s="4"/>
      <c r="N13" s="4"/>
      <c r="O13" s="4"/>
      <c r="P13" s="27"/>
      <c r="Q13" s="25">
        <v>0</v>
      </c>
      <c r="R13" s="25">
        <v>0</v>
      </c>
      <c r="S13" s="12">
        <f t="shared" si="0"/>
        <v>0</v>
      </c>
      <c r="T13" s="5">
        <v>0</v>
      </c>
      <c r="U13" s="12">
        <f t="shared" si="1"/>
        <v>0</v>
      </c>
      <c r="V13" s="25" t="s">
        <v>10</v>
      </c>
      <c r="W13" s="11">
        <f>IFERROR(VLOOKUP(V13,Curr!$B$2:$C$13,2,FALSE),0)</f>
        <v>11</v>
      </c>
      <c r="X13" s="12">
        <f t="shared" si="2"/>
        <v>0</v>
      </c>
      <c r="Y13" s="26">
        <f t="shared" si="3"/>
        <v>0</v>
      </c>
      <c r="Z13" s="12">
        <f t="shared" si="8"/>
        <v>0</v>
      </c>
      <c r="AA13" s="4" t="s">
        <v>10</v>
      </c>
      <c r="AB13" s="11">
        <f>IFERROR(VLOOKUP(AA13,Curr!$B$2:$C$13,2,FALSE),0)</f>
        <v>11</v>
      </c>
      <c r="AC13" s="12">
        <f t="shared" si="9"/>
        <v>0</v>
      </c>
      <c r="AD13" s="12">
        <f t="shared" si="10"/>
        <v>0</v>
      </c>
      <c r="AE13" s="13">
        <f t="shared" si="11"/>
        <v>0</v>
      </c>
    </row>
    <row r="14" spans="2:36" x14ac:dyDescent="0.25">
      <c r="B14" s="4"/>
      <c r="E14" s="3"/>
      <c r="F14" s="3"/>
      <c r="G14" s="24"/>
      <c r="H14" s="24"/>
      <c r="K14" s="4"/>
      <c r="L14" s="4"/>
      <c r="M14" s="4"/>
      <c r="N14" s="4"/>
      <c r="O14" s="4"/>
      <c r="P14" s="33"/>
      <c r="Q14" s="25"/>
      <c r="R14" s="25"/>
      <c r="S14" s="12">
        <f t="shared" si="0"/>
        <v>0</v>
      </c>
      <c r="T14" s="5">
        <v>0</v>
      </c>
      <c r="U14" s="12">
        <f t="shared" si="1"/>
        <v>0</v>
      </c>
      <c r="V14" s="25" t="s">
        <v>10</v>
      </c>
      <c r="W14" s="11">
        <f>IFERROR(VLOOKUP(V14,Curr!$B$2:$C$13,2,FALSE),0)</f>
        <v>11</v>
      </c>
      <c r="X14" s="12">
        <f t="shared" si="2"/>
        <v>0</v>
      </c>
      <c r="Y14" s="26">
        <f t="shared" si="3"/>
        <v>0</v>
      </c>
      <c r="Z14" s="12">
        <f t="shared" si="8"/>
        <v>0</v>
      </c>
      <c r="AA14" s="4" t="s">
        <v>10</v>
      </c>
      <c r="AB14" s="11">
        <f>IFERROR(VLOOKUP(AA14,Curr!$B$2:$C$13,2,FALSE),0)</f>
        <v>11</v>
      </c>
      <c r="AC14" s="12">
        <f t="shared" si="9"/>
        <v>0</v>
      </c>
      <c r="AD14" s="12">
        <f t="shared" si="10"/>
        <v>0</v>
      </c>
      <c r="AE14" s="13">
        <f t="shared" si="11"/>
        <v>0</v>
      </c>
    </row>
    <row r="15" spans="2:36" x14ac:dyDescent="0.25">
      <c r="B15" s="4"/>
      <c r="C15" s="1" t="s">
        <v>61</v>
      </c>
      <c r="D15" s="1" t="s">
        <v>54</v>
      </c>
      <c r="E15" s="3"/>
      <c r="F15" s="3"/>
      <c r="G15" s="24"/>
      <c r="H15" s="24"/>
      <c r="J15" s="1" t="s">
        <v>98</v>
      </c>
      <c r="K15" s="4"/>
      <c r="L15" s="4"/>
      <c r="M15" s="4"/>
      <c r="N15" s="4"/>
      <c r="O15" s="4"/>
      <c r="P15" s="27"/>
      <c r="Q15" s="25">
        <v>0</v>
      </c>
      <c r="R15" s="25">
        <v>0</v>
      </c>
      <c r="S15" s="12">
        <f t="shared" si="0"/>
        <v>0</v>
      </c>
      <c r="T15" s="5">
        <v>0</v>
      </c>
      <c r="U15" s="12">
        <f t="shared" si="1"/>
        <v>0</v>
      </c>
      <c r="V15" s="25" t="s">
        <v>10</v>
      </c>
      <c r="W15" s="11">
        <f>IFERROR(VLOOKUP(V15,Curr!$B$2:$C$13,2,FALSE),0)</f>
        <v>11</v>
      </c>
      <c r="X15" s="12">
        <f t="shared" si="2"/>
        <v>0</v>
      </c>
      <c r="Y15" s="26">
        <f t="shared" si="3"/>
        <v>0</v>
      </c>
      <c r="Z15" s="12">
        <f t="shared" si="8"/>
        <v>0</v>
      </c>
      <c r="AA15" s="4" t="s">
        <v>10</v>
      </c>
      <c r="AB15" s="11">
        <f>IFERROR(VLOOKUP(AA15,Curr!$B$2:$C$13,2,FALSE),0)</f>
        <v>11</v>
      </c>
      <c r="AC15" s="12">
        <f t="shared" si="9"/>
        <v>0</v>
      </c>
      <c r="AD15" s="12">
        <f t="shared" si="10"/>
        <v>0</v>
      </c>
      <c r="AE15" s="13">
        <f t="shared" si="11"/>
        <v>0</v>
      </c>
    </row>
    <row r="16" spans="2:36" x14ac:dyDescent="0.25">
      <c r="B16" s="4"/>
      <c r="C16" s="1" t="s">
        <v>61</v>
      </c>
      <c r="D16" s="1" t="s">
        <v>86</v>
      </c>
      <c r="E16" s="3"/>
      <c r="F16" s="3"/>
      <c r="G16" s="24"/>
      <c r="H16" s="24"/>
      <c r="J16" s="1" t="s">
        <v>99</v>
      </c>
      <c r="K16" s="4"/>
      <c r="L16" s="4"/>
      <c r="M16" s="4"/>
      <c r="N16" s="4"/>
      <c r="O16" s="4" t="s">
        <v>42</v>
      </c>
      <c r="P16" s="33"/>
      <c r="Q16" s="25">
        <v>3000</v>
      </c>
      <c r="R16" s="25">
        <v>1</v>
      </c>
      <c r="S16" s="12">
        <f t="shared" si="0"/>
        <v>3000</v>
      </c>
      <c r="T16" s="5">
        <v>0</v>
      </c>
      <c r="U16" s="12">
        <f t="shared" si="1"/>
        <v>3000</v>
      </c>
      <c r="V16" s="25" t="s">
        <v>8</v>
      </c>
      <c r="W16" s="11">
        <f>IFERROR(VLOOKUP(V16,Curr!$B$2:$C$13,2,FALSE),0)</f>
        <v>1</v>
      </c>
      <c r="X16" s="12">
        <f t="shared" si="2"/>
        <v>3000</v>
      </c>
      <c r="Y16" s="26">
        <f t="shared" ref="Y16" si="12">Q16/11.3/0.8</f>
        <v>331.85840707964599</v>
      </c>
      <c r="Z16" s="12">
        <f t="shared" si="8"/>
        <v>331.85840707964599</v>
      </c>
      <c r="AA16" s="4" t="s">
        <v>10</v>
      </c>
      <c r="AB16" s="11">
        <f>IFERROR(VLOOKUP(AA16,Curr!$B$2:$C$13,2,FALSE),0)</f>
        <v>11</v>
      </c>
      <c r="AC16" s="12">
        <f t="shared" si="9"/>
        <v>3650.4424778761058</v>
      </c>
      <c r="AD16" s="12">
        <f t="shared" si="10"/>
        <v>650.44247787610584</v>
      </c>
      <c r="AE16" s="13">
        <f t="shared" si="11"/>
        <v>0.17818181818181811</v>
      </c>
    </row>
    <row r="17" spans="2:31" x14ac:dyDescent="0.25">
      <c r="B17" s="4"/>
      <c r="C17" s="1" t="s">
        <v>61</v>
      </c>
      <c r="D17" s="1" t="s">
        <v>54</v>
      </c>
      <c r="E17" s="3"/>
      <c r="F17" s="3"/>
      <c r="G17" s="24"/>
      <c r="H17" s="24"/>
      <c r="J17" s="1" t="s">
        <v>100</v>
      </c>
      <c r="K17" s="4"/>
      <c r="L17" s="4"/>
      <c r="M17" s="4"/>
      <c r="N17" s="4"/>
      <c r="O17" s="4"/>
      <c r="P17" s="33"/>
      <c r="Q17" s="25">
        <v>0</v>
      </c>
      <c r="R17" s="25">
        <v>0</v>
      </c>
      <c r="S17" s="12">
        <f t="shared" si="0"/>
        <v>0</v>
      </c>
      <c r="T17" s="5">
        <v>0</v>
      </c>
      <c r="U17" s="12">
        <f t="shared" si="1"/>
        <v>0</v>
      </c>
      <c r="V17" s="25" t="s">
        <v>10</v>
      </c>
      <c r="W17" s="11">
        <f>IFERROR(VLOOKUP(V17,Curr!$B$2:$C$13,2,FALSE),0)</f>
        <v>11</v>
      </c>
      <c r="X17" s="12">
        <f t="shared" si="2"/>
        <v>0</v>
      </c>
      <c r="Y17" s="26">
        <f t="shared" ref="Y17:Y19" si="13">Q17</f>
        <v>0</v>
      </c>
      <c r="Z17" s="12">
        <f t="shared" si="8"/>
        <v>0</v>
      </c>
      <c r="AA17" s="4" t="s">
        <v>10</v>
      </c>
      <c r="AB17" s="11">
        <f>IFERROR(VLOOKUP(AA17,Curr!$B$2:$C$13,2,FALSE),0)</f>
        <v>11</v>
      </c>
      <c r="AC17" s="12">
        <f t="shared" si="9"/>
        <v>0</v>
      </c>
      <c r="AD17" s="12">
        <f t="shared" si="10"/>
        <v>0</v>
      </c>
      <c r="AE17" s="13">
        <f t="shared" si="11"/>
        <v>0</v>
      </c>
    </row>
    <row r="18" spans="2:31" x14ac:dyDescent="0.25">
      <c r="B18" s="4"/>
      <c r="C18" s="1" t="s">
        <v>61</v>
      </c>
      <c r="D18" s="1" t="s">
        <v>55</v>
      </c>
      <c r="E18" s="3"/>
      <c r="F18" s="3"/>
      <c r="G18" s="24"/>
      <c r="H18" s="24"/>
      <c r="J18" s="1" t="s">
        <v>114</v>
      </c>
      <c r="K18" s="4"/>
      <c r="L18" s="4"/>
      <c r="M18" s="4"/>
      <c r="N18" s="4"/>
      <c r="O18" s="4"/>
      <c r="P18" s="27"/>
      <c r="Q18" s="25">
        <v>500</v>
      </c>
      <c r="R18" s="25">
        <v>1</v>
      </c>
      <c r="S18" s="12">
        <f t="shared" si="0"/>
        <v>500</v>
      </c>
      <c r="T18" s="5">
        <v>0</v>
      </c>
      <c r="U18" s="12">
        <f t="shared" si="1"/>
        <v>500</v>
      </c>
      <c r="V18" s="25" t="s">
        <v>10</v>
      </c>
      <c r="W18" s="11">
        <f>IFERROR(VLOOKUP(V18,Curr!$B$2:$C$13,2,FALSE),0)</f>
        <v>11</v>
      </c>
      <c r="X18" s="12">
        <f t="shared" si="2"/>
        <v>5500</v>
      </c>
      <c r="Y18" s="26">
        <f>Q18/0.8</f>
        <v>625</v>
      </c>
      <c r="Z18" s="12">
        <f t="shared" si="8"/>
        <v>625</v>
      </c>
      <c r="AA18" s="4" t="s">
        <v>10</v>
      </c>
      <c r="AB18" s="11">
        <f>IFERROR(VLOOKUP(AA18,Curr!$B$2:$C$13,2,FALSE),0)</f>
        <v>11</v>
      </c>
      <c r="AC18" s="12">
        <f t="shared" si="9"/>
        <v>6875</v>
      </c>
      <c r="AD18" s="12">
        <f t="shared" si="10"/>
        <v>1375</v>
      </c>
      <c r="AE18" s="13">
        <f t="shared" si="11"/>
        <v>0.2</v>
      </c>
    </row>
    <row r="19" spans="2:31" x14ac:dyDescent="0.25">
      <c r="B19" s="4"/>
      <c r="C19" s="1" t="s">
        <v>61</v>
      </c>
      <c r="D19" s="1" t="s">
        <v>56</v>
      </c>
      <c r="E19" s="3"/>
      <c r="F19" s="3"/>
      <c r="G19" s="24"/>
      <c r="H19" s="24"/>
      <c r="J19" s="1" t="s">
        <v>79</v>
      </c>
      <c r="K19" s="4"/>
      <c r="L19" s="4"/>
      <c r="M19" s="4"/>
      <c r="N19" s="4"/>
      <c r="O19" s="4"/>
      <c r="P19" s="27"/>
      <c r="Q19" s="25">
        <v>0</v>
      </c>
      <c r="R19" s="25">
        <v>0</v>
      </c>
      <c r="S19" s="12">
        <f t="shared" si="0"/>
        <v>0</v>
      </c>
      <c r="T19" s="5">
        <v>0</v>
      </c>
      <c r="U19" s="12">
        <f t="shared" si="1"/>
        <v>0</v>
      </c>
      <c r="V19" s="25" t="s">
        <v>10</v>
      </c>
      <c r="W19" s="11">
        <f>IFERROR(VLOOKUP(V19,Curr!$B$2:$C$13,2,FALSE),0)</f>
        <v>11</v>
      </c>
      <c r="X19" s="12">
        <f t="shared" si="2"/>
        <v>0</v>
      </c>
      <c r="Y19" s="26">
        <f t="shared" si="13"/>
        <v>0</v>
      </c>
      <c r="Z19" s="12">
        <f t="shared" si="8"/>
        <v>0</v>
      </c>
      <c r="AA19" s="4" t="s">
        <v>10</v>
      </c>
      <c r="AB19" s="11">
        <f>IFERROR(VLOOKUP(AA19,Curr!$B$2:$C$13,2,FALSE),0)</f>
        <v>11</v>
      </c>
      <c r="AC19" s="12">
        <f t="shared" si="9"/>
        <v>0</v>
      </c>
      <c r="AD19" s="12">
        <f t="shared" si="10"/>
        <v>0</v>
      </c>
      <c r="AE19" s="13">
        <f t="shared" si="11"/>
        <v>0</v>
      </c>
    </row>
    <row r="20" spans="2:31" x14ac:dyDescent="0.25">
      <c r="B20" s="4"/>
      <c r="E20" s="3"/>
      <c r="F20" s="3"/>
      <c r="G20" s="24"/>
      <c r="H20" s="24"/>
      <c r="K20" s="4"/>
      <c r="L20" s="4"/>
      <c r="M20" s="4"/>
      <c r="N20" s="4"/>
      <c r="O20" s="4"/>
      <c r="P20" s="27"/>
      <c r="Q20" s="25"/>
      <c r="R20" s="25"/>
      <c r="S20" s="12">
        <f t="shared" si="0"/>
        <v>0</v>
      </c>
      <c r="T20" s="5">
        <v>0</v>
      </c>
      <c r="U20" s="12">
        <f t="shared" si="1"/>
        <v>0</v>
      </c>
      <c r="V20" s="25" t="s">
        <v>10</v>
      </c>
      <c r="W20" s="11">
        <f>IFERROR(VLOOKUP(V20,Curr!$B$2:$C$13,2,FALSE),0)</f>
        <v>11</v>
      </c>
      <c r="X20" s="12">
        <f t="shared" si="2"/>
        <v>0</v>
      </c>
      <c r="Y20" s="26">
        <f t="shared" si="3"/>
        <v>0</v>
      </c>
      <c r="Z20" s="12">
        <f t="shared" si="8"/>
        <v>0</v>
      </c>
      <c r="AA20" s="4" t="s">
        <v>10</v>
      </c>
      <c r="AB20" s="11">
        <f>IFERROR(VLOOKUP(AA20,Curr!$B$2:$C$13,2,FALSE),0)</f>
        <v>11</v>
      </c>
      <c r="AC20" s="12">
        <f t="shared" si="9"/>
        <v>0</v>
      </c>
      <c r="AD20" s="12">
        <f t="shared" si="10"/>
        <v>0</v>
      </c>
      <c r="AE20" s="13">
        <f t="shared" si="11"/>
        <v>0</v>
      </c>
    </row>
    <row r="21" spans="2:31" x14ac:dyDescent="0.25">
      <c r="B21" s="4"/>
      <c r="C21" s="1" t="s">
        <v>62</v>
      </c>
      <c r="D21" s="1" t="s">
        <v>57</v>
      </c>
      <c r="E21" s="3"/>
      <c r="F21" s="3"/>
      <c r="G21" s="24"/>
      <c r="H21" s="24"/>
      <c r="J21" s="1" t="s">
        <v>101</v>
      </c>
      <c r="K21" s="4"/>
      <c r="L21" s="4"/>
      <c r="M21" s="4"/>
      <c r="N21" s="4"/>
      <c r="O21" s="4"/>
      <c r="P21" s="33" t="s">
        <v>102</v>
      </c>
      <c r="Q21" s="25">
        <v>156</v>
      </c>
      <c r="R21" s="25">
        <v>2</v>
      </c>
      <c r="S21" s="12">
        <f t="shared" si="0"/>
        <v>312</v>
      </c>
      <c r="T21" s="5">
        <v>0.2</v>
      </c>
      <c r="U21" s="12">
        <f t="shared" si="1"/>
        <v>249.60000000000002</v>
      </c>
      <c r="V21" s="25" t="s">
        <v>10</v>
      </c>
      <c r="W21" s="11">
        <f>IFERROR(VLOOKUP(V21,Curr!$B$2:$C$13,2,FALSE),0)</f>
        <v>11</v>
      </c>
      <c r="X21" s="12">
        <f t="shared" si="2"/>
        <v>2745.6000000000004</v>
      </c>
      <c r="Y21" s="26">
        <f t="shared" si="3"/>
        <v>156</v>
      </c>
      <c r="Z21" s="12">
        <f t="shared" si="8"/>
        <v>312</v>
      </c>
      <c r="AA21" s="4" t="s">
        <v>10</v>
      </c>
      <c r="AB21" s="11">
        <f>IFERROR(VLOOKUP(AA21,Curr!$B$2:$C$13,2,FALSE),0)</f>
        <v>11</v>
      </c>
      <c r="AC21" s="12">
        <f t="shared" si="9"/>
        <v>3432</v>
      </c>
      <c r="AD21" s="12">
        <f t="shared" si="10"/>
        <v>686.39999999999964</v>
      </c>
      <c r="AE21" s="13">
        <f t="shared" si="11"/>
        <v>0.1999999999999999</v>
      </c>
    </row>
    <row r="22" spans="2:31" x14ac:dyDescent="0.25">
      <c r="B22" s="4"/>
      <c r="C22" s="1" t="s">
        <v>62</v>
      </c>
      <c r="D22" s="1" t="s">
        <v>56</v>
      </c>
      <c r="E22" s="3"/>
      <c r="F22" s="3"/>
      <c r="G22" s="24"/>
      <c r="H22" s="24"/>
      <c r="J22" s="1" t="s">
        <v>79</v>
      </c>
      <c r="K22" s="4"/>
      <c r="L22" s="4"/>
      <c r="M22" s="4"/>
      <c r="N22" s="4"/>
      <c r="O22" s="4"/>
      <c r="P22" s="33"/>
      <c r="Q22" s="25">
        <v>0</v>
      </c>
      <c r="R22" s="25">
        <v>0</v>
      </c>
      <c r="S22" s="12">
        <f t="shared" si="0"/>
        <v>0</v>
      </c>
      <c r="T22" s="5">
        <v>0</v>
      </c>
      <c r="U22" s="12">
        <f t="shared" si="1"/>
        <v>0</v>
      </c>
      <c r="V22" s="25" t="s">
        <v>10</v>
      </c>
      <c r="W22" s="11">
        <f>IFERROR(VLOOKUP(V22,Curr!$B$2:$C$13,2,FALSE),0)</f>
        <v>11</v>
      </c>
      <c r="X22" s="12">
        <f t="shared" si="2"/>
        <v>0</v>
      </c>
      <c r="Y22" s="26">
        <f t="shared" si="3"/>
        <v>0</v>
      </c>
      <c r="Z22" s="12">
        <f t="shared" si="8"/>
        <v>0</v>
      </c>
      <c r="AA22" s="4" t="s">
        <v>10</v>
      </c>
      <c r="AB22" s="11">
        <f>IFERROR(VLOOKUP(AA22,Curr!$B$2:$C$13,2,FALSE),0)</f>
        <v>11</v>
      </c>
      <c r="AC22" s="12">
        <f t="shared" si="9"/>
        <v>0</v>
      </c>
      <c r="AD22" s="12">
        <f t="shared" si="10"/>
        <v>0</v>
      </c>
      <c r="AE22" s="13">
        <f t="shared" si="11"/>
        <v>0</v>
      </c>
    </row>
    <row r="23" spans="2:31" x14ac:dyDescent="0.25">
      <c r="B23" s="4"/>
      <c r="E23" s="3"/>
      <c r="F23" s="3"/>
      <c r="G23" s="24"/>
      <c r="H23" s="24"/>
      <c r="K23" s="4"/>
      <c r="L23" s="4"/>
      <c r="M23" s="4"/>
      <c r="N23" s="4"/>
      <c r="O23" s="4"/>
      <c r="P23" s="27"/>
      <c r="Q23" s="25"/>
      <c r="R23" s="25"/>
      <c r="S23" s="12">
        <f t="shared" si="0"/>
        <v>0</v>
      </c>
      <c r="T23" s="5">
        <v>0</v>
      </c>
      <c r="U23" s="12">
        <f t="shared" si="1"/>
        <v>0</v>
      </c>
      <c r="V23" s="25" t="s">
        <v>10</v>
      </c>
      <c r="W23" s="11">
        <f>IFERROR(VLOOKUP(V23,Curr!$B$2:$C$13,2,FALSE),0)</f>
        <v>11</v>
      </c>
      <c r="X23" s="12">
        <f t="shared" si="2"/>
        <v>0</v>
      </c>
      <c r="Y23" s="26">
        <f t="shared" si="3"/>
        <v>0</v>
      </c>
      <c r="Z23" s="12">
        <f t="shared" si="8"/>
        <v>0</v>
      </c>
      <c r="AA23" s="4" t="s">
        <v>10</v>
      </c>
      <c r="AB23" s="11">
        <f>IFERROR(VLOOKUP(AA23,Curr!$B$2:$C$13,2,FALSE),0)</f>
        <v>11</v>
      </c>
      <c r="AC23" s="12">
        <f t="shared" si="9"/>
        <v>0</v>
      </c>
      <c r="AD23" s="12">
        <f t="shared" si="10"/>
        <v>0</v>
      </c>
      <c r="AE23" s="13">
        <f t="shared" si="11"/>
        <v>0</v>
      </c>
    </row>
    <row r="24" spans="2:31" x14ac:dyDescent="0.25">
      <c r="B24" s="4"/>
      <c r="C24" s="1" t="s">
        <v>63</v>
      </c>
      <c r="D24" s="1" t="s">
        <v>54</v>
      </c>
      <c r="E24" s="3"/>
      <c r="F24" s="3"/>
      <c r="G24" s="24"/>
      <c r="H24" s="24"/>
      <c r="J24" s="1" t="s">
        <v>103</v>
      </c>
      <c r="K24" s="4"/>
      <c r="L24" s="4"/>
      <c r="M24" s="4"/>
      <c r="N24" s="4"/>
      <c r="O24" s="4"/>
      <c r="P24" s="27"/>
      <c r="Q24" s="25">
        <v>0</v>
      </c>
      <c r="R24" s="25">
        <v>0</v>
      </c>
      <c r="S24" s="12">
        <f t="shared" si="0"/>
        <v>0</v>
      </c>
      <c r="T24" s="5">
        <v>0</v>
      </c>
      <c r="U24" s="12">
        <f t="shared" si="1"/>
        <v>0</v>
      </c>
      <c r="V24" s="25" t="s">
        <v>10</v>
      </c>
      <c r="W24" s="11">
        <f>IFERROR(VLOOKUP(V24,Curr!$B$2:$C$13,2,FALSE),0)</f>
        <v>11</v>
      </c>
      <c r="X24" s="12">
        <f t="shared" si="2"/>
        <v>0</v>
      </c>
      <c r="Y24" s="26">
        <f t="shared" si="3"/>
        <v>0</v>
      </c>
      <c r="Z24" s="12">
        <f t="shared" si="8"/>
        <v>0</v>
      </c>
      <c r="AA24" s="4" t="s">
        <v>10</v>
      </c>
      <c r="AB24" s="11">
        <f>IFERROR(VLOOKUP(AA24,Curr!$B$2:$C$13,2,FALSE),0)</f>
        <v>11</v>
      </c>
      <c r="AC24" s="12">
        <f t="shared" si="9"/>
        <v>0</v>
      </c>
      <c r="AD24" s="12">
        <f t="shared" si="10"/>
        <v>0</v>
      </c>
      <c r="AE24" s="13">
        <f t="shared" si="11"/>
        <v>0</v>
      </c>
    </row>
    <row r="25" spans="2:31" x14ac:dyDescent="0.25">
      <c r="B25" s="4"/>
      <c r="C25" s="1" t="s">
        <v>63</v>
      </c>
      <c r="D25" s="1" t="s">
        <v>58</v>
      </c>
      <c r="E25" s="3"/>
      <c r="F25" s="3"/>
      <c r="G25" s="24"/>
      <c r="H25" s="24"/>
      <c r="J25" s="1" t="s">
        <v>134</v>
      </c>
      <c r="K25" s="4"/>
      <c r="L25" s="4"/>
      <c r="M25" s="4"/>
      <c r="N25" s="4"/>
      <c r="O25" s="4" t="s">
        <v>42</v>
      </c>
      <c r="P25" s="33" t="s">
        <v>97</v>
      </c>
      <c r="Q25" s="25">
        <v>1000</v>
      </c>
      <c r="R25" s="25">
        <v>1</v>
      </c>
      <c r="S25" s="12">
        <f t="shared" si="0"/>
        <v>1000</v>
      </c>
      <c r="T25" s="5">
        <v>0</v>
      </c>
      <c r="U25" s="12">
        <f t="shared" si="1"/>
        <v>1000</v>
      </c>
      <c r="V25" s="25" t="s">
        <v>8</v>
      </c>
      <c r="W25" s="11">
        <f>IFERROR(VLOOKUP(V25,Curr!$B$2:$C$13,2,FALSE),0)</f>
        <v>1</v>
      </c>
      <c r="X25" s="12">
        <f t="shared" si="2"/>
        <v>1000</v>
      </c>
      <c r="Y25" s="26">
        <f t="shared" ref="Y25" si="14">Q25/11.3/0.8</f>
        <v>110.61946902654867</v>
      </c>
      <c r="Z25" s="12">
        <f t="shared" si="8"/>
        <v>110.61946902654867</v>
      </c>
      <c r="AA25" s="4" t="s">
        <v>10</v>
      </c>
      <c r="AB25" s="11">
        <f>IFERROR(VLOOKUP(AA25,Curr!$B$2:$C$13,2,FALSE),0)</f>
        <v>11</v>
      </c>
      <c r="AC25" s="12">
        <f t="shared" si="9"/>
        <v>1216.8141592920354</v>
      </c>
      <c r="AD25" s="12">
        <f t="shared" si="10"/>
        <v>216.81415929203536</v>
      </c>
      <c r="AE25" s="13">
        <f t="shared" si="11"/>
        <v>0.17818181818181816</v>
      </c>
    </row>
    <row r="26" spans="2:31" x14ac:dyDescent="0.25">
      <c r="B26" s="4"/>
      <c r="C26" s="1" t="s">
        <v>63</v>
      </c>
      <c r="D26" s="1" t="s">
        <v>54</v>
      </c>
      <c r="E26" s="3"/>
      <c r="F26" s="3"/>
      <c r="G26" s="24"/>
      <c r="H26" s="24"/>
      <c r="J26" s="1" t="s">
        <v>137</v>
      </c>
      <c r="K26" s="4"/>
      <c r="L26" s="4"/>
      <c r="M26" s="4"/>
      <c r="N26" s="4"/>
      <c r="O26" s="4"/>
      <c r="P26" s="33"/>
      <c r="Q26" s="25">
        <v>0</v>
      </c>
      <c r="R26" s="25">
        <v>0</v>
      </c>
      <c r="S26" s="12">
        <f t="shared" si="0"/>
        <v>0</v>
      </c>
      <c r="T26" s="5">
        <v>0</v>
      </c>
      <c r="U26" s="12">
        <f t="shared" si="1"/>
        <v>0</v>
      </c>
      <c r="V26" s="25" t="s">
        <v>10</v>
      </c>
      <c r="W26" s="11">
        <f>IFERROR(VLOOKUP(V26,Curr!$B$2:$C$13,2,FALSE),0)</f>
        <v>11</v>
      </c>
      <c r="X26" s="12">
        <f t="shared" si="2"/>
        <v>0</v>
      </c>
      <c r="Y26" s="26">
        <f t="shared" si="3"/>
        <v>0</v>
      </c>
      <c r="Z26" s="12">
        <f t="shared" si="8"/>
        <v>0</v>
      </c>
      <c r="AA26" s="4" t="s">
        <v>10</v>
      </c>
      <c r="AB26" s="11">
        <f>IFERROR(VLOOKUP(AA26,Curr!$B$2:$C$13,2,FALSE),0)</f>
        <v>11</v>
      </c>
      <c r="AC26" s="12">
        <f t="shared" si="9"/>
        <v>0</v>
      </c>
      <c r="AD26" s="12">
        <f t="shared" si="10"/>
        <v>0</v>
      </c>
      <c r="AE26" s="13">
        <f t="shared" si="11"/>
        <v>0</v>
      </c>
    </row>
    <row r="27" spans="2:31" x14ac:dyDescent="0.25">
      <c r="B27" s="4"/>
      <c r="C27" s="1" t="s">
        <v>63</v>
      </c>
      <c r="D27" s="1" t="s">
        <v>55</v>
      </c>
      <c r="E27" s="3"/>
      <c r="F27" s="3"/>
      <c r="G27" s="24"/>
      <c r="H27" s="24"/>
      <c r="J27" s="1" t="s">
        <v>136</v>
      </c>
      <c r="K27" s="4"/>
      <c r="L27" s="4"/>
      <c r="M27" s="4"/>
      <c r="N27" s="4"/>
      <c r="O27" s="4"/>
      <c r="P27" s="27"/>
      <c r="Q27" s="25">
        <v>300</v>
      </c>
      <c r="R27" s="25">
        <v>1</v>
      </c>
      <c r="S27" s="12">
        <f t="shared" si="0"/>
        <v>300</v>
      </c>
      <c r="T27" s="5">
        <v>0</v>
      </c>
      <c r="U27" s="12">
        <f t="shared" si="1"/>
        <v>300</v>
      </c>
      <c r="V27" s="25" t="s">
        <v>10</v>
      </c>
      <c r="W27" s="11">
        <f>IFERROR(VLOOKUP(V27,Curr!$B$2:$C$13,2,FALSE),0)</f>
        <v>11</v>
      </c>
      <c r="X27" s="12">
        <f t="shared" si="2"/>
        <v>3300</v>
      </c>
      <c r="Y27" s="26">
        <f>Q27/0.8</f>
        <v>375</v>
      </c>
      <c r="Z27" s="12">
        <f t="shared" si="8"/>
        <v>375</v>
      </c>
      <c r="AA27" s="4" t="s">
        <v>10</v>
      </c>
      <c r="AB27" s="11">
        <f>IFERROR(VLOOKUP(AA27,Curr!$B$2:$C$13,2,FALSE),0)</f>
        <v>11</v>
      </c>
      <c r="AC27" s="12">
        <f t="shared" si="9"/>
        <v>4125</v>
      </c>
      <c r="AD27" s="12">
        <f t="shared" si="10"/>
        <v>825</v>
      </c>
      <c r="AE27" s="13">
        <f t="shared" si="11"/>
        <v>0.2</v>
      </c>
    </row>
    <row r="28" spans="2:31" x14ac:dyDescent="0.25">
      <c r="B28" s="4"/>
      <c r="C28" s="1" t="s">
        <v>63</v>
      </c>
      <c r="D28" s="1" t="s">
        <v>56</v>
      </c>
      <c r="E28" s="3"/>
      <c r="F28" s="3"/>
      <c r="G28" s="24"/>
      <c r="H28" s="24"/>
      <c r="J28" s="1" t="s">
        <v>135</v>
      </c>
      <c r="K28" s="4"/>
      <c r="L28" s="4"/>
      <c r="M28" s="4"/>
      <c r="N28" s="4"/>
      <c r="O28" s="4"/>
      <c r="P28" s="33"/>
      <c r="Q28" s="25">
        <v>0</v>
      </c>
      <c r="R28" s="25">
        <v>0</v>
      </c>
      <c r="S28" s="12">
        <f t="shared" si="0"/>
        <v>0</v>
      </c>
      <c r="T28" s="5">
        <v>0</v>
      </c>
      <c r="U28" s="12">
        <f t="shared" si="1"/>
        <v>0</v>
      </c>
      <c r="V28" s="25" t="s">
        <v>10</v>
      </c>
      <c r="W28" s="11">
        <f>IFERROR(VLOOKUP(V28,Curr!$B$2:$C$13,2,FALSE),0)</f>
        <v>11</v>
      </c>
      <c r="X28" s="12">
        <f t="shared" si="2"/>
        <v>0</v>
      </c>
      <c r="Y28" s="26">
        <f t="shared" si="3"/>
        <v>0</v>
      </c>
      <c r="Z28" s="12">
        <f t="shared" si="8"/>
        <v>0</v>
      </c>
      <c r="AA28" s="4" t="s">
        <v>10</v>
      </c>
      <c r="AB28" s="11">
        <f>IFERROR(VLOOKUP(AA28,Curr!$B$2:$C$13,2,FALSE),0)</f>
        <v>11</v>
      </c>
      <c r="AC28" s="12">
        <f t="shared" si="9"/>
        <v>0</v>
      </c>
      <c r="AD28" s="12">
        <f t="shared" si="10"/>
        <v>0</v>
      </c>
      <c r="AE28" s="13">
        <f t="shared" si="11"/>
        <v>0</v>
      </c>
    </row>
    <row r="29" spans="2:31" x14ac:dyDescent="0.25">
      <c r="B29" s="4"/>
      <c r="E29" s="3"/>
      <c r="F29" s="3"/>
      <c r="G29" s="24"/>
      <c r="H29" s="24"/>
      <c r="K29" s="4"/>
      <c r="L29" s="4"/>
      <c r="M29" s="4"/>
      <c r="N29" s="4"/>
      <c r="O29" s="4"/>
      <c r="P29" s="29"/>
      <c r="Q29" s="25"/>
      <c r="R29" s="25"/>
      <c r="S29" s="12">
        <f t="shared" si="0"/>
        <v>0</v>
      </c>
      <c r="T29" s="5">
        <v>0</v>
      </c>
      <c r="U29" s="12">
        <f t="shared" si="1"/>
        <v>0</v>
      </c>
      <c r="V29" s="25" t="s">
        <v>10</v>
      </c>
      <c r="W29" s="11">
        <f>IFERROR(VLOOKUP(V29,Curr!$B$2:$C$13,2,FALSE),0)</f>
        <v>11</v>
      </c>
      <c r="X29" s="12">
        <f t="shared" si="2"/>
        <v>0</v>
      </c>
      <c r="Y29" s="26">
        <f t="shared" si="3"/>
        <v>0</v>
      </c>
      <c r="Z29" s="12">
        <f t="shared" si="8"/>
        <v>0</v>
      </c>
      <c r="AA29" s="4" t="s">
        <v>10</v>
      </c>
      <c r="AB29" s="11">
        <f>IFERROR(VLOOKUP(AA29,Curr!$B$2:$C$13,2,FALSE),0)</f>
        <v>11</v>
      </c>
      <c r="AC29" s="12">
        <f t="shared" si="9"/>
        <v>0</v>
      </c>
      <c r="AD29" s="12">
        <f t="shared" si="10"/>
        <v>0</v>
      </c>
      <c r="AE29" s="13">
        <f t="shared" si="11"/>
        <v>0</v>
      </c>
    </row>
    <row r="30" spans="2:31" x14ac:dyDescent="0.25">
      <c r="B30" s="4"/>
      <c r="C30" s="1" t="s">
        <v>64</v>
      </c>
      <c r="D30" s="1" t="s">
        <v>57</v>
      </c>
      <c r="E30" s="3"/>
      <c r="F30" s="3"/>
      <c r="G30" s="24"/>
      <c r="H30" s="24"/>
      <c r="J30" s="1" t="s">
        <v>138</v>
      </c>
      <c r="K30" s="4"/>
      <c r="L30" s="4"/>
      <c r="M30" s="4"/>
      <c r="N30" s="4"/>
      <c r="O30" s="4"/>
      <c r="P30" s="33" t="s">
        <v>139</v>
      </c>
      <c r="Q30" s="25">
        <v>90</v>
      </c>
      <c r="R30" s="25">
        <v>2</v>
      </c>
      <c r="S30" s="12">
        <f t="shared" si="0"/>
        <v>180</v>
      </c>
      <c r="T30" s="5">
        <v>0.2</v>
      </c>
      <c r="U30" s="12">
        <f t="shared" si="1"/>
        <v>144</v>
      </c>
      <c r="V30" s="25" t="s">
        <v>10</v>
      </c>
      <c r="W30" s="11">
        <f>IFERROR(VLOOKUP(V30,Curr!$B$2:$C$13,2,FALSE),0)</f>
        <v>11</v>
      </c>
      <c r="X30" s="12">
        <f t="shared" si="2"/>
        <v>1584</v>
      </c>
      <c r="Y30" s="26">
        <f t="shared" si="3"/>
        <v>90</v>
      </c>
      <c r="Z30" s="12">
        <f t="shared" si="8"/>
        <v>180</v>
      </c>
      <c r="AA30" s="4" t="s">
        <v>10</v>
      </c>
      <c r="AB30" s="11">
        <f>IFERROR(VLOOKUP(AA30,Curr!$B$2:$C$13,2,FALSE),0)</f>
        <v>11</v>
      </c>
      <c r="AC30" s="12">
        <f t="shared" si="9"/>
        <v>1980</v>
      </c>
      <c r="AD30" s="12">
        <f t="shared" si="10"/>
        <v>396</v>
      </c>
      <c r="AE30" s="13">
        <f t="shared" si="11"/>
        <v>0.2</v>
      </c>
    </row>
    <row r="31" spans="2:31" x14ac:dyDescent="0.25">
      <c r="B31" s="4"/>
      <c r="C31" s="1" t="s">
        <v>64</v>
      </c>
      <c r="D31" s="1" t="s">
        <v>56</v>
      </c>
      <c r="E31" s="3"/>
      <c r="F31" s="3"/>
      <c r="G31" s="24"/>
      <c r="H31" s="24"/>
      <c r="J31" s="1" t="s">
        <v>135</v>
      </c>
      <c r="K31" s="4"/>
      <c r="L31" s="4"/>
      <c r="M31" s="4"/>
      <c r="N31" s="4"/>
      <c r="O31" s="4"/>
      <c r="P31" s="27"/>
      <c r="Q31" s="25">
        <v>0</v>
      </c>
      <c r="R31" s="25">
        <v>0</v>
      </c>
      <c r="S31" s="12">
        <f t="shared" si="0"/>
        <v>0</v>
      </c>
      <c r="T31" s="5">
        <v>0</v>
      </c>
      <c r="U31" s="12">
        <f t="shared" si="1"/>
        <v>0</v>
      </c>
      <c r="V31" s="25" t="s">
        <v>10</v>
      </c>
      <c r="W31" s="11">
        <f>IFERROR(VLOOKUP(V31,Curr!$B$2:$C$13,2,FALSE),0)</f>
        <v>11</v>
      </c>
      <c r="X31" s="12">
        <f t="shared" si="2"/>
        <v>0</v>
      </c>
      <c r="Y31" s="26">
        <f t="shared" si="3"/>
        <v>0</v>
      </c>
      <c r="Z31" s="12">
        <f t="shared" si="8"/>
        <v>0</v>
      </c>
      <c r="AA31" s="4" t="s">
        <v>10</v>
      </c>
      <c r="AB31" s="11">
        <f>IFERROR(VLOOKUP(AA31,Curr!$B$2:$C$13,2,FALSE),0)</f>
        <v>11</v>
      </c>
      <c r="AC31" s="12">
        <f t="shared" si="9"/>
        <v>0</v>
      </c>
      <c r="AD31" s="12">
        <f t="shared" si="10"/>
        <v>0</v>
      </c>
      <c r="AE31" s="13">
        <f t="shared" si="11"/>
        <v>0</v>
      </c>
    </row>
    <row r="32" spans="2:31" x14ac:dyDescent="0.25">
      <c r="B32" s="4"/>
      <c r="E32" s="3"/>
      <c r="F32" s="3"/>
      <c r="G32" s="24"/>
      <c r="H32" s="24"/>
      <c r="K32" s="4"/>
      <c r="L32" s="4"/>
      <c r="M32" s="4"/>
      <c r="N32" s="4"/>
      <c r="O32" s="4"/>
      <c r="P32" s="27"/>
      <c r="Q32" s="25"/>
      <c r="R32" s="25"/>
      <c r="S32" s="12">
        <f t="shared" si="0"/>
        <v>0</v>
      </c>
      <c r="T32" s="5">
        <v>0</v>
      </c>
      <c r="U32" s="12">
        <f t="shared" si="1"/>
        <v>0</v>
      </c>
      <c r="V32" s="25" t="s">
        <v>10</v>
      </c>
      <c r="W32" s="11">
        <f>IFERROR(VLOOKUP(V32,Curr!$B$2:$C$13,2,FALSE),0)</f>
        <v>11</v>
      </c>
      <c r="X32" s="12">
        <f t="shared" si="2"/>
        <v>0</v>
      </c>
      <c r="Y32" s="26">
        <f t="shared" si="3"/>
        <v>0</v>
      </c>
      <c r="Z32" s="12">
        <f t="shared" si="8"/>
        <v>0</v>
      </c>
      <c r="AA32" s="4" t="s">
        <v>10</v>
      </c>
      <c r="AB32" s="11">
        <f>IFERROR(VLOOKUP(AA32,Curr!$B$2:$C$13,2,FALSE),0)</f>
        <v>11</v>
      </c>
      <c r="AC32" s="12">
        <f t="shared" si="9"/>
        <v>0</v>
      </c>
      <c r="AD32" s="12">
        <f t="shared" si="10"/>
        <v>0</v>
      </c>
      <c r="AE32" s="13">
        <f t="shared" si="11"/>
        <v>0</v>
      </c>
    </row>
    <row r="33" spans="2:31" x14ac:dyDescent="0.25">
      <c r="B33" s="4"/>
      <c r="C33" s="1" t="s">
        <v>65</v>
      </c>
      <c r="D33" s="1" t="s">
        <v>54</v>
      </c>
      <c r="E33" s="3"/>
      <c r="F33" s="3"/>
      <c r="G33" s="24"/>
      <c r="H33" s="24"/>
      <c r="J33" s="1" t="s">
        <v>140</v>
      </c>
      <c r="K33" s="4"/>
      <c r="L33" s="4"/>
      <c r="M33" s="4"/>
      <c r="N33" s="4"/>
      <c r="O33" s="4"/>
      <c r="P33" s="27"/>
      <c r="Q33" s="25">
        <v>0</v>
      </c>
      <c r="R33" s="25">
        <v>0</v>
      </c>
      <c r="S33" s="12">
        <f t="shared" si="0"/>
        <v>0</v>
      </c>
      <c r="T33" s="5">
        <v>0</v>
      </c>
      <c r="U33" s="12">
        <f t="shared" si="1"/>
        <v>0</v>
      </c>
      <c r="V33" s="25" t="s">
        <v>10</v>
      </c>
      <c r="W33" s="11">
        <f>IFERROR(VLOOKUP(V33,Curr!$B$2:$C$13,2,FALSE),0)</f>
        <v>11</v>
      </c>
      <c r="X33" s="12">
        <f t="shared" si="2"/>
        <v>0</v>
      </c>
      <c r="Y33" s="26">
        <f t="shared" si="3"/>
        <v>0</v>
      </c>
      <c r="Z33" s="12">
        <f t="shared" si="8"/>
        <v>0</v>
      </c>
      <c r="AA33" s="4" t="s">
        <v>10</v>
      </c>
      <c r="AB33" s="11">
        <f>IFERROR(VLOOKUP(AA33,Curr!$B$2:$C$13,2,FALSE),0)</f>
        <v>11</v>
      </c>
      <c r="AC33" s="12">
        <f t="shared" si="9"/>
        <v>0</v>
      </c>
      <c r="AD33" s="12">
        <f t="shared" si="10"/>
        <v>0</v>
      </c>
      <c r="AE33" s="13">
        <f t="shared" si="11"/>
        <v>0</v>
      </c>
    </row>
    <row r="34" spans="2:31" x14ac:dyDescent="0.25">
      <c r="B34" s="4"/>
      <c r="C34" s="1" t="s">
        <v>65</v>
      </c>
      <c r="D34" s="1" t="s">
        <v>58</v>
      </c>
      <c r="E34" s="3"/>
      <c r="F34" s="3"/>
      <c r="G34" s="24"/>
      <c r="H34" s="24"/>
      <c r="J34" s="1" t="s">
        <v>141</v>
      </c>
      <c r="K34" s="4"/>
      <c r="L34" s="4"/>
      <c r="M34" s="4"/>
      <c r="N34" s="4"/>
      <c r="O34" s="4"/>
      <c r="P34" s="33"/>
      <c r="Q34" s="25">
        <v>800</v>
      </c>
      <c r="R34" s="25">
        <v>1</v>
      </c>
      <c r="S34" s="12">
        <f t="shared" si="0"/>
        <v>800</v>
      </c>
      <c r="T34" s="5">
        <v>0</v>
      </c>
      <c r="U34" s="12">
        <f t="shared" si="1"/>
        <v>800</v>
      </c>
      <c r="V34" s="25" t="s">
        <v>8</v>
      </c>
      <c r="W34" s="11">
        <f>IFERROR(VLOOKUP(V34,Curr!$B$2:$C$13,2,FALSE),0)</f>
        <v>1</v>
      </c>
      <c r="X34" s="12">
        <f t="shared" si="2"/>
        <v>800</v>
      </c>
      <c r="Y34" s="26">
        <f t="shared" ref="Y34" si="15">Q34/11.3/0.8</f>
        <v>88.495575221238923</v>
      </c>
      <c r="Z34" s="12">
        <f t="shared" si="8"/>
        <v>88.495575221238923</v>
      </c>
      <c r="AA34" s="4" t="s">
        <v>10</v>
      </c>
      <c r="AB34" s="11">
        <f>IFERROR(VLOOKUP(AA34,Curr!$B$2:$C$13,2,FALSE),0)</f>
        <v>11</v>
      </c>
      <c r="AC34" s="12">
        <f t="shared" si="9"/>
        <v>973.45132743362819</v>
      </c>
      <c r="AD34" s="12">
        <f t="shared" si="10"/>
        <v>173.45132743362819</v>
      </c>
      <c r="AE34" s="13">
        <f t="shared" si="11"/>
        <v>0.17818181818181808</v>
      </c>
    </row>
    <row r="35" spans="2:31" x14ac:dyDescent="0.25">
      <c r="B35" s="4"/>
      <c r="C35" s="1" t="s">
        <v>65</v>
      </c>
      <c r="D35" s="1" t="s">
        <v>54</v>
      </c>
      <c r="E35" s="3"/>
      <c r="F35" s="3"/>
      <c r="G35" s="24"/>
      <c r="H35" s="24"/>
      <c r="J35" s="1" t="s">
        <v>105</v>
      </c>
      <c r="K35" s="4"/>
      <c r="L35" s="4"/>
      <c r="M35" s="4"/>
      <c r="N35" s="4"/>
      <c r="O35" s="4"/>
      <c r="P35" s="27"/>
      <c r="Q35" s="25">
        <v>0</v>
      </c>
      <c r="R35" s="25">
        <v>0</v>
      </c>
      <c r="S35" s="12">
        <f t="shared" si="0"/>
        <v>0</v>
      </c>
      <c r="T35" s="5">
        <v>0</v>
      </c>
      <c r="U35" s="12">
        <f t="shared" si="1"/>
        <v>0</v>
      </c>
      <c r="V35" s="25" t="s">
        <v>8</v>
      </c>
      <c r="W35" s="11">
        <f>IFERROR(VLOOKUP(V35,Curr!$B$2:$C$13,2,FALSE),0)</f>
        <v>1</v>
      </c>
      <c r="X35" s="12">
        <f t="shared" si="2"/>
        <v>0</v>
      </c>
      <c r="Y35" s="26">
        <f>Q35/11.3/0.8</f>
        <v>0</v>
      </c>
      <c r="Z35" s="12">
        <f t="shared" si="8"/>
        <v>0</v>
      </c>
      <c r="AA35" s="4" t="s">
        <v>10</v>
      </c>
      <c r="AB35" s="11">
        <f>IFERROR(VLOOKUP(AA35,Curr!$B$2:$C$13,2,FALSE),0)</f>
        <v>11</v>
      </c>
      <c r="AC35" s="12">
        <f t="shared" si="9"/>
        <v>0</v>
      </c>
      <c r="AD35" s="12">
        <f t="shared" si="10"/>
        <v>0</v>
      </c>
      <c r="AE35" s="13">
        <f t="shared" si="11"/>
        <v>0</v>
      </c>
    </row>
    <row r="36" spans="2:31" x14ac:dyDescent="0.25">
      <c r="B36" s="4"/>
      <c r="C36" s="1" t="s">
        <v>65</v>
      </c>
      <c r="D36" s="1" t="s">
        <v>55</v>
      </c>
      <c r="E36" s="3"/>
      <c r="F36" s="3"/>
      <c r="G36" s="24"/>
      <c r="H36" s="24"/>
      <c r="J36" s="1" t="s">
        <v>115</v>
      </c>
      <c r="K36" s="4"/>
      <c r="L36" s="4"/>
      <c r="M36" s="4"/>
      <c r="N36" s="4"/>
      <c r="O36" s="4"/>
      <c r="P36" s="33"/>
      <c r="Q36" s="25">
        <v>350</v>
      </c>
      <c r="R36" s="25">
        <v>1</v>
      </c>
      <c r="S36" s="12">
        <f t="shared" si="0"/>
        <v>350</v>
      </c>
      <c r="T36" s="5">
        <v>0</v>
      </c>
      <c r="U36" s="12">
        <f t="shared" si="1"/>
        <v>350</v>
      </c>
      <c r="V36" s="25" t="s">
        <v>10</v>
      </c>
      <c r="W36" s="11">
        <f>IFERROR(VLOOKUP(V36,Curr!$B$2:$C$13,2,FALSE),0)</f>
        <v>11</v>
      </c>
      <c r="X36" s="12">
        <f t="shared" si="2"/>
        <v>3850</v>
      </c>
      <c r="Y36" s="26">
        <f>Q36/0.8</f>
        <v>437.5</v>
      </c>
      <c r="Z36" s="12">
        <f t="shared" si="8"/>
        <v>437.5</v>
      </c>
      <c r="AA36" s="4" t="s">
        <v>10</v>
      </c>
      <c r="AB36" s="11">
        <f>IFERROR(VLOOKUP(AA36,Curr!$B$2:$C$13,2,FALSE),0)</f>
        <v>11</v>
      </c>
      <c r="AC36" s="12">
        <f t="shared" si="9"/>
        <v>4812.5</v>
      </c>
      <c r="AD36" s="12">
        <f t="shared" si="10"/>
        <v>962.5</v>
      </c>
      <c r="AE36" s="13">
        <f t="shared" si="11"/>
        <v>0.2</v>
      </c>
    </row>
    <row r="37" spans="2:31" x14ac:dyDescent="0.25">
      <c r="B37" s="4"/>
      <c r="C37" s="1" t="s">
        <v>65</v>
      </c>
      <c r="D37" s="1" t="s">
        <v>56</v>
      </c>
      <c r="E37" s="3"/>
      <c r="F37" s="3"/>
      <c r="G37" s="24"/>
      <c r="H37" s="24"/>
      <c r="J37" s="1" t="s">
        <v>81</v>
      </c>
      <c r="K37" s="4"/>
      <c r="L37" s="4"/>
      <c r="M37" s="4"/>
      <c r="N37" s="4"/>
      <c r="O37" s="4"/>
      <c r="P37" s="27"/>
      <c r="Q37" s="25">
        <v>0</v>
      </c>
      <c r="R37" s="25">
        <v>0</v>
      </c>
      <c r="S37" s="12">
        <f t="shared" si="0"/>
        <v>0</v>
      </c>
      <c r="T37" s="5">
        <v>0</v>
      </c>
      <c r="U37" s="12">
        <f t="shared" si="1"/>
        <v>0</v>
      </c>
      <c r="V37" s="25" t="s">
        <v>10</v>
      </c>
      <c r="W37" s="11">
        <f>IFERROR(VLOOKUP(V37,Curr!$B$2:$C$13,2,FALSE),0)</f>
        <v>11</v>
      </c>
      <c r="X37" s="12">
        <f t="shared" si="2"/>
        <v>0</v>
      </c>
      <c r="Y37" s="26">
        <f t="shared" ref="Y37:Y40" si="16">Q37</f>
        <v>0</v>
      </c>
      <c r="Z37" s="12">
        <f t="shared" si="8"/>
        <v>0</v>
      </c>
      <c r="AA37" s="4" t="s">
        <v>10</v>
      </c>
      <c r="AB37" s="11">
        <f>IFERROR(VLOOKUP(AA37,Curr!$B$2:$C$13,2,FALSE),0)</f>
        <v>11</v>
      </c>
      <c r="AC37" s="12">
        <f t="shared" si="9"/>
        <v>0</v>
      </c>
      <c r="AD37" s="12">
        <f t="shared" si="10"/>
        <v>0</v>
      </c>
      <c r="AE37" s="13">
        <f t="shared" si="11"/>
        <v>0</v>
      </c>
    </row>
    <row r="38" spans="2:31" x14ac:dyDescent="0.25">
      <c r="B38" s="4"/>
      <c r="E38" s="3"/>
      <c r="F38" s="3"/>
      <c r="G38" s="24"/>
      <c r="H38" s="24"/>
      <c r="K38" s="4"/>
      <c r="L38" s="4"/>
      <c r="M38" s="4"/>
      <c r="N38" s="4"/>
      <c r="O38" s="4"/>
      <c r="P38" s="27"/>
      <c r="Q38" s="25"/>
      <c r="R38" s="25"/>
      <c r="S38" s="12">
        <f t="shared" si="0"/>
        <v>0</v>
      </c>
      <c r="T38" s="5">
        <v>0</v>
      </c>
      <c r="U38" s="12">
        <f t="shared" si="1"/>
        <v>0</v>
      </c>
      <c r="V38" s="25" t="s">
        <v>10</v>
      </c>
      <c r="W38" s="11">
        <f>IFERROR(VLOOKUP(V38,Curr!$B$2:$C$13,2,FALSE),0)</f>
        <v>11</v>
      </c>
      <c r="X38" s="12">
        <f t="shared" si="2"/>
        <v>0</v>
      </c>
      <c r="Y38" s="26">
        <f t="shared" si="16"/>
        <v>0</v>
      </c>
      <c r="Z38" s="12">
        <f t="shared" si="8"/>
        <v>0</v>
      </c>
      <c r="AA38" s="4" t="s">
        <v>10</v>
      </c>
      <c r="AB38" s="11">
        <f>IFERROR(VLOOKUP(AA38,Curr!$B$2:$C$13,2,FALSE),0)</f>
        <v>11</v>
      </c>
      <c r="AC38" s="12">
        <f t="shared" si="9"/>
        <v>0</v>
      </c>
      <c r="AD38" s="12">
        <f t="shared" si="10"/>
        <v>0</v>
      </c>
      <c r="AE38" s="13">
        <f t="shared" si="11"/>
        <v>0</v>
      </c>
    </row>
    <row r="39" spans="2:31" x14ac:dyDescent="0.25">
      <c r="B39" s="4"/>
      <c r="C39" s="1" t="s">
        <v>72</v>
      </c>
      <c r="D39" s="1" t="s">
        <v>57</v>
      </c>
      <c r="E39" s="3"/>
      <c r="F39" s="3"/>
      <c r="G39" s="24"/>
      <c r="H39" s="24"/>
      <c r="J39" s="1" t="s">
        <v>107</v>
      </c>
      <c r="K39" s="4"/>
      <c r="L39" s="4"/>
      <c r="M39" s="4"/>
      <c r="N39" s="4"/>
      <c r="O39" s="4" t="s">
        <v>42</v>
      </c>
      <c r="P39" s="33" t="s">
        <v>108</v>
      </c>
      <c r="Q39" s="25">
        <v>38</v>
      </c>
      <c r="R39" s="25">
        <v>2</v>
      </c>
      <c r="S39" s="12">
        <f t="shared" si="0"/>
        <v>76</v>
      </c>
      <c r="T39" s="5">
        <v>0.2</v>
      </c>
      <c r="U39" s="12">
        <f t="shared" si="1"/>
        <v>60.800000000000004</v>
      </c>
      <c r="V39" s="25" t="s">
        <v>10</v>
      </c>
      <c r="W39" s="11">
        <f>IFERROR(VLOOKUP(V39,Curr!$B$2:$C$13,2,FALSE),0)</f>
        <v>11</v>
      </c>
      <c r="X39" s="12">
        <f t="shared" si="2"/>
        <v>668.80000000000007</v>
      </c>
      <c r="Y39" s="26">
        <f>Q39</f>
        <v>38</v>
      </c>
      <c r="Z39" s="12">
        <f t="shared" si="8"/>
        <v>76</v>
      </c>
      <c r="AA39" s="4" t="s">
        <v>10</v>
      </c>
      <c r="AB39" s="11">
        <f>IFERROR(VLOOKUP(AA39,Curr!$B$2:$C$13,2,FALSE),0)</f>
        <v>11</v>
      </c>
      <c r="AC39" s="12">
        <f t="shared" si="9"/>
        <v>836</v>
      </c>
      <c r="AD39" s="12">
        <f t="shared" si="10"/>
        <v>167.19999999999993</v>
      </c>
      <c r="AE39" s="13">
        <f t="shared" si="11"/>
        <v>0.19999999999999993</v>
      </c>
    </row>
    <row r="40" spans="2:31" x14ac:dyDescent="0.25">
      <c r="B40" s="4"/>
      <c r="C40" s="1" t="s">
        <v>72</v>
      </c>
      <c r="D40" s="1" t="s">
        <v>56</v>
      </c>
      <c r="E40" s="3"/>
      <c r="F40" s="3"/>
      <c r="G40" s="24"/>
      <c r="H40" s="24"/>
      <c r="J40" s="1" t="s">
        <v>81</v>
      </c>
      <c r="K40" s="4"/>
      <c r="L40" s="4"/>
      <c r="M40" s="4"/>
      <c r="N40" s="4"/>
      <c r="O40" s="4"/>
      <c r="P40" s="27"/>
      <c r="Q40" s="25">
        <v>0</v>
      </c>
      <c r="R40" s="25">
        <v>0</v>
      </c>
      <c r="S40" s="12">
        <f t="shared" si="0"/>
        <v>0</v>
      </c>
      <c r="T40" s="5">
        <v>0</v>
      </c>
      <c r="U40" s="12">
        <f t="shared" si="1"/>
        <v>0</v>
      </c>
      <c r="V40" s="25" t="s">
        <v>10</v>
      </c>
      <c r="W40" s="11">
        <f>IFERROR(VLOOKUP(V40,Curr!$B$2:$C$13,2,FALSE),0)</f>
        <v>11</v>
      </c>
      <c r="X40" s="12">
        <f t="shared" si="2"/>
        <v>0</v>
      </c>
      <c r="Y40" s="26">
        <f t="shared" si="16"/>
        <v>0</v>
      </c>
      <c r="Z40" s="12">
        <f t="shared" si="8"/>
        <v>0</v>
      </c>
      <c r="AA40" s="4" t="s">
        <v>10</v>
      </c>
      <c r="AB40" s="11">
        <f>IFERROR(VLOOKUP(AA40,Curr!$B$2:$C$13,2,FALSE),0)</f>
        <v>11</v>
      </c>
      <c r="AC40" s="12">
        <f t="shared" si="9"/>
        <v>0</v>
      </c>
      <c r="AD40" s="12">
        <f t="shared" si="10"/>
        <v>0</v>
      </c>
      <c r="AE40" s="13">
        <f t="shared" si="11"/>
        <v>0</v>
      </c>
    </row>
    <row r="41" spans="2:31" x14ac:dyDescent="0.25">
      <c r="B41" s="4"/>
      <c r="E41" s="3"/>
      <c r="F41" s="3"/>
      <c r="G41" s="24"/>
      <c r="H41" s="24"/>
      <c r="K41" s="4"/>
      <c r="L41" s="4"/>
      <c r="M41" s="4"/>
      <c r="N41" s="4"/>
      <c r="O41" s="4"/>
      <c r="P41" s="33"/>
      <c r="Q41" s="25"/>
      <c r="R41" s="25"/>
      <c r="S41" s="12">
        <f t="shared" ref="S41:S52" si="17">+Q41*R41</f>
        <v>0</v>
      </c>
      <c r="T41" s="5">
        <v>0</v>
      </c>
      <c r="U41" s="12">
        <f t="shared" ref="U41:U52" si="18">S41*(1-T41)</f>
        <v>0</v>
      </c>
      <c r="V41" s="25" t="s">
        <v>10</v>
      </c>
      <c r="W41" s="11">
        <f>IFERROR(VLOOKUP(V41,Curr!$B$2:$C$13,2,FALSE),0)</f>
        <v>11</v>
      </c>
      <c r="X41" s="12">
        <f t="shared" ref="X41:X52" si="19">U41*W41</f>
        <v>0</v>
      </c>
      <c r="Y41" s="26">
        <f t="shared" ref="Y41:Y52" si="20">Q41</f>
        <v>0</v>
      </c>
      <c r="Z41" s="12">
        <f t="shared" si="8"/>
        <v>0</v>
      </c>
      <c r="AA41" s="4" t="s">
        <v>10</v>
      </c>
      <c r="AB41" s="11">
        <f>IFERROR(VLOOKUP(AA41,Curr!$B$2:$C$13,2,FALSE),0)</f>
        <v>11</v>
      </c>
      <c r="AC41" s="12">
        <f t="shared" si="9"/>
        <v>0</v>
      </c>
      <c r="AD41" s="12">
        <f t="shared" si="10"/>
        <v>0</v>
      </c>
      <c r="AE41" s="13">
        <f t="shared" si="11"/>
        <v>0</v>
      </c>
    </row>
    <row r="42" spans="2:31" x14ac:dyDescent="0.25">
      <c r="B42" s="4"/>
      <c r="C42" s="1" t="s">
        <v>67</v>
      </c>
      <c r="D42" s="1" t="s">
        <v>54</v>
      </c>
      <c r="E42" s="3"/>
      <c r="F42" s="3"/>
      <c r="G42" s="24"/>
      <c r="H42" s="24"/>
      <c r="J42" s="1" t="s">
        <v>106</v>
      </c>
      <c r="K42" s="4"/>
      <c r="L42" s="4"/>
      <c r="M42" s="4"/>
      <c r="N42" s="4"/>
      <c r="O42" s="4"/>
      <c r="P42" s="27"/>
      <c r="Q42" s="25">
        <v>0</v>
      </c>
      <c r="R42" s="25">
        <v>0</v>
      </c>
      <c r="S42" s="12">
        <f t="shared" si="17"/>
        <v>0</v>
      </c>
      <c r="T42" s="5">
        <v>0</v>
      </c>
      <c r="U42" s="12">
        <f t="shared" si="18"/>
        <v>0</v>
      </c>
      <c r="V42" s="25" t="s">
        <v>10</v>
      </c>
      <c r="W42" s="11">
        <f>IFERROR(VLOOKUP(V42,Curr!$B$2:$C$13,2,FALSE),0)</f>
        <v>11</v>
      </c>
      <c r="X42" s="12">
        <f t="shared" si="19"/>
        <v>0</v>
      </c>
      <c r="Y42" s="26">
        <f t="shared" si="20"/>
        <v>0</v>
      </c>
      <c r="Z42" s="12">
        <f t="shared" si="8"/>
        <v>0</v>
      </c>
      <c r="AA42" s="4" t="s">
        <v>10</v>
      </c>
      <c r="AB42" s="11">
        <f>IFERROR(VLOOKUP(AA42,Curr!$B$2:$C$13,2,FALSE),0)</f>
        <v>11</v>
      </c>
      <c r="AC42" s="12">
        <f t="shared" si="9"/>
        <v>0</v>
      </c>
      <c r="AD42" s="12">
        <f t="shared" si="10"/>
        <v>0</v>
      </c>
      <c r="AE42" s="13">
        <f t="shared" si="11"/>
        <v>0</v>
      </c>
    </row>
    <row r="43" spans="2:31" x14ac:dyDescent="0.25">
      <c r="B43" s="4"/>
      <c r="C43" s="1" t="s">
        <v>67</v>
      </c>
      <c r="D43" s="1" t="s">
        <v>60</v>
      </c>
      <c r="E43" s="3"/>
      <c r="F43" s="3"/>
      <c r="G43" s="24"/>
      <c r="H43" s="24"/>
      <c r="J43" s="1" t="s">
        <v>82</v>
      </c>
      <c r="K43" s="4"/>
      <c r="L43" s="4"/>
      <c r="M43" s="4"/>
      <c r="N43" s="4"/>
      <c r="O43" s="4"/>
      <c r="P43" s="27"/>
      <c r="Q43" s="25">
        <v>0</v>
      </c>
      <c r="R43" s="25">
        <v>0</v>
      </c>
      <c r="S43" s="12">
        <f t="shared" si="17"/>
        <v>0</v>
      </c>
      <c r="T43" s="5">
        <v>0</v>
      </c>
      <c r="U43" s="12">
        <f t="shared" si="18"/>
        <v>0</v>
      </c>
      <c r="V43" s="25" t="s">
        <v>10</v>
      </c>
      <c r="W43" s="11">
        <f>IFERROR(VLOOKUP(V43,Curr!$B$2:$C$13,2,FALSE),0)</f>
        <v>11</v>
      </c>
      <c r="X43" s="12">
        <f t="shared" si="19"/>
        <v>0</v>
      </c>
      <c r="Y43" s="26">
        <f t="shared" si="20"/>
        <v>0</v>
      </c>
      <c r="Z43" s="12">
        <f t="shared" si="8"/>
        <v>0</v>
      </c>
      <c r="AA43" s="4" t="s">
        <v>10</v>
      </c>
      <c r="AB43" s="11">
        <f>IFERROR(VLOOKUP(AA43,Curr!$B$2:$C$13,2,FALSE),0)</f>
        <v>11</v>
      </c>
      <c r="AC43" s="12">
        <f t="shared" si="9"/>
        <v>0</v>
      </c>
      <c r="AD43" s="12">
        <f t="shared" si="10"/>
        <v>0</v>
      </c>
      <c r="AE43" s="13">
        <f t="shared" si="11"/>
        <v>0</v>
      </c>
    </row>
    <row r="44" spans="2:31" x14ac:dyDescent="0.25">
      <c r="B44" s="4"/>
      <c r="E44" s="3"/>
      <c r="F44" s="3"/>
      <c r="G44" s="24"/>
      <c r="H44" s="24"/>
      <c r="K44" s="4"/>
      <c r="L44" s="4"/>
      <c r="M44" s="4"/>
      <c r="N44" s="4"/>
      <c r="O44" s="4"/>
      <c r="P44" s="27"/>
      <c r="Q44" s="25"/>
      <c r="R44" s="25"/>
      <c r="S44" s="12">
        <f t="shared" si="17"/>
        <v>0</v>
      </c>
      <c r="T44" s="5">
        <v>0</v>
      </c>
      <c r="U44" s="12">
        <f t="shared" si="18"/>
        <v>0</v>
      </c>
      <c r="V44" s="25" t="s">
        <v>10</v>
      </c>
      <c r="W44" s="11">
        <f>IFERROR(VLOOKUP(V44,Curr!$B$2:$C$13,2,FALSE),0)</f>
        <v>11</v>
      </c>
      <c r="X44" s="12">
        <f t="shared" si="19"/>
        <v>0</v>
      </c>
      <c r="Y44" s="26">
        <f t="shared" si="20"/>
        <v>0</v>
      </c>
      <c r="Z44" s="12">
        <f t="shared" si="8"/>
        <v>0</v>
      </c>
      <c r="AA44" s="4" t="s">
        <v>10</v>
      </c>
      <c r="AB44" s="11">
        <f>IFERROR(VLOOKUP(AA44,Curr!$B$2:$C$13,2,FALSE),0)</f>
        <v>11</v>
      </c>
      <c r="AC44" s="12">
        <f t="shared" si="9"/>
        <v>0</v>
      </c>
      <c r="AD44" s="12">
        <f t="shared" si="10"/>
        <v>0</v>
      </c>
      <c r="AE44" s="13">
        <f t="shared" si="11"/>
        <v>0</v>
      </c>
    </row>
    <row r="45" spans="2:31" x14ac:dyDescent="0.25">
      <c r="B45" s="4"/>
      <c r="E45" s="3"/>
      <c r="F45" s="3"/>
      <c r="G45" s="24"/>
      <c r="H45" s="24"/>
      <c r="K45" s="4"/>
      <c r="L45" s="4"/>
      <c r="M45" s="4"/>
      <c r="N45" s="4"/>
      <c r="O45" s="4"/>
      <c r="P45" s="33"/>
      <c r="Q45" s="25"/>
      <c r="R45" s="25"/>
      <c r="S45" s="12">
        <f t="shared" si="17"/>
        <v>0</v>
      </c>
      <c r="T45" s="5">
        <v>0</v>
      </c>
      <c r="U45" s="12">
        <f t="shared" si="18"/>
        <v>0</v>
      </c>
      <c r="V45" s="25" t="s">
        <v>10</v>
      </c>
      <c r="W45" s="11">
        <f>IFERROR(VLOOKUP(V45,Curr!$B$2:$C$13,2,FALSE),0)</f>
        <v>11</v>
      </c>
      <c r="X45" s="12">
        <f t="shared" si="19"/>
        <v>0</v>
      </c>
      <c r="Y45" s="26">
        <f t="shared" si="20"/>
        <v>0</v>
      </c>
      <c r="Z45" s="12">
        <f t="shared" si="8"/>
        <v>0</v>
      </c>
      <c r="AA45" s="4" t="s">
        <v>10</v>
      </c>
      <c r="AB45" s="11">
        <f>IFERROR(VLOOKUP(AA45,Curr!$B$2:$C$13,2,FALSE),0)</f>
        <v>11</v>
      </c>
      <c r="AC45" s="12">
        <f t="shared" si="9"/>
        <v>0</v>
      </c>
      <c r="AD45" s="12">
        <f t="shared" si="10"/>
        <v>0</v>
      </c>
      <c r="AE45" s="13">
        <f t="shared" si="11"/>
        <v>0</v>
      </c>
    </row>
    <row r="46" spans="2:31" x14ac:dyDescent="0.25">
      <c r="B46" s="4"/>
      <c r="C46" s="1" t="s">
        <v>52</v>
      </c>
      <c r="D46" s="1" t="s">
        <v>109</v>
      </c>
      <c r="E46" s="3"/>
      <c r="F46" s="3"/>
      <c r="G46" s="24"/>
      <c r="H46" s="24"/>
      <c r="J46" s="1" t="s">
        <v>120</v>
      </c>
      <c r="K46" s="4"/>
      <c r="L46" s="4"/>
      <c r="M46" s="4"/>
      <c r="N46" s="4"/>
      <c r="O46" s="4"/>
      <c r="P46" s="27"/>
      <c r="Q46" s="25"/>
      <c r="R46" s="25"/>
      <c r="S46" s="12">
        <f t="shared" si="17"/>
        <v>0</v>
      </c>
      <c r="T46" s="5">
        <v>0</v>
      </c>
      <c r="U46" s="12">
        <f t="shared" si="18"/>
        <v>0</v>
      </c>
      <c r="V46" s="25" t="s">
        <v>10</v>
      </c>
      <c r="W46" s="11">
        <f>IFERROR(VLOOKUP(V46,Curr!$B$2:$C$13,2,FALSE),0)</f>
        <v>11</v>
      </c>
      <c r="X46" s="12">
        <f t="shared" si="19"/>
        <v>0</v>
      </c>
      <c r="Y46" s="26">
        <f t="shared" si="20"/>
        <v>0</v>
      </c>
      <c r="Z46" s="12">
        <f t="shared" si="8"/>
        <v>0</v>
      </c>
      <c r="AA46" s="4" t="s">
        <v>10</v>
      </c>
      <c r="AB46" s="11">
        <f>IFERROR(VLOOKUP(AA46,Curr!$B$2:$C$13,2,FALSE),0)</f>
        <v>11</v>
      </c>
      <c r="AC46" s="12">
        <f t="shared" si="9"/>
        <v>0</v>
      </c>
      <c r="AD46" s="12">
        <f t="shared" si="10"/>
        <v>0</v>
      </c>
      <c r="AE46" s="13">
        <f t="shared" si="11"/>
        <v>0</v>
      </c>
    </row>
    <row r="47" spans="2:31" x14ac:dyDescent="0.25">
      <c r="B47" s="4"/>
      <c r="C47" s="1" t="s">
        <v>67</v>
      </c>
      <c r="D47" s="1" t="s">
        <v>109</v>
      </c>
      <c r="E47" s="3"/>
      <c r="F47" s="3"/>
      <c r="G47" s="24"/>
      <c r="H47" s="24"/>
      <c r="J47" s="1" t="s">
        <v>121</v>
      </c>
      <c r="K47" s="4"/>
      <c r="L47" s="4"/>
      <c r="M47" s="4"/>
      <c r="N47" s="4"/>
      <c r="O47" s="4"/>
      <c r="P47" s="27"/>
      <c r="Q47" s="25">
        <v>1850</v>
      </c>
      <c r="R47" s="25">
        <v>0</v>
      </c>
      <c r="S47" s="12">
        <f t="shared" si="17"/>
        <v>0</v>
      </c>
      <c r="T47" s="5">
        <v>0.15</v>
      </c>
      <c r="U47" s="12">
        <f t="shared" si="18"/>
        <v>0</v>
      </c>
      <c r="V47" s="25" t="s">
        <v>8</v>
      </c>
      <c r="W47" s="11">
        <f>IFERROR(VLOOKUP(V47,Curr!$B$2:$C$13,2,FALSE),0)</f>
        <v>1</v>
      </c>
      <c r="X47" s="12">
        <f t="shared" si="19"/>
        <v>0</v>
      </c>
      <c r="Y47" s="26">
        <f>Q47/11.3/0.9</f>
        <v>181.90757128810225</v>
      </c>
      <c r="Z47" s="12">
        <f t="shared" si="8"/>
        <v>0</v>
      </c>
      <c r="AA47" s="4" t="s">
        <v>10</v>
      </c>
      <c r="AB47" s="11">
        <f>IFERROR(VLOOKUP(AA47,Curr!$B$2:$C$13,2,FALSE),0)</f>
        <v>11</v>
      </c>
      <c r="AC47" s="12">
        <f t="shared" si="9"/>
        <v>0</v>
      </c>
      <c r="AD47" s="12">
        <f t="shared" si="10"/>
        <v>0</v>
      </c>
      <c r="AE47" s="13">
        <f t="shared" si="11"/>
        <v>0</v>
      </c>
    </row>
    <row r="48" spans="2:31" x14ac:dyDescent="0.25">
      <c r="B48" s="4"/>
      <c r="E48" s="3"/>
      <c r="F48" s="3"/>
      <c r="G48" s="24"/>
      <c r="H48" s="24"/>
      <c r="K48" s="4"/>
      <c r="L48" s="4"/>
      <c r="M48" s="4"/>
      <c r="N48" s="4"/>
      <c r="O48" s="4"/>
      <c r="P48" s="27"/>
      <c r="Q48" s="25"/>
      <c r="R48" s="25"/>
      <c r="S48" s="12">
        <f t="shared" si="17"/>
        <v>0</v>
      </c>
      <c r="T48" s="5">
        <v>0</v>
      </c>
      <c r="U48" s="12">
        <f t="shared" si="18"/>
        <v>0</v>
      </c>
      <c r="V48" s="25" t="s">
        <v>10</v>
      </c>
      <c r="W48" s="11">
        <f>IFERROR(VLOOKUP(V48,Curr!$B$2:$C$13,2,FALSE),0)</f>
        <v>11</v>
      </c>
      <c r="X48" s="12">
        <f t="shared" si="19"/>
        <v>0</v>
      </c>
      <c r="Y48" s="26">
        <f t="shared" si="20"/>
        <v>0</v>
      </c>
      <c r="Z48" s="12">
        <f t="shared" si="8"/>
        <v>0</v>
      </c>
      <c r="AA48" s="4" t="s">
        <v>10</v>
      </c>
      <c r="AB48" s="11">
        <f>IFERROR(VLOOKUP(AA48,Curr!$B$2:$C$13,2,FALSE),0)</f>
        <v>11</v>
      </c>
      <c r="AC48" s="12">
        <f t="shared" si="9"/>
        <v>0</v>
      </c>
      <c r="AD48" s="12">
        <f t="shared" si="10"/>
        <v>0</v>
      </c>
      <c r="AE48" s="13">
        <f t="shared" si="11"/>
        <v>0</v>
      </c>
    </row>
    <row r="49" spans="2:36" x14ac:dyDescent="0.25">
      <c r="B49" s="4"/>
      <c r="E49" s="3"/>
      <c r="F49" s="3"/>
      <c r="G49" s="24"/>
      <c r="H49" s="24"/>
      <c r="K49" s="4"/>
      <c r="L49" s="4"/>
      <c r="M49" s="4"/>
      <c r="N49" s="4"/>
      <c r="O49" s="4"/>
      <c r="P49" s="33"/>
      <c r="Q49" s="25"/>
      <c r="R49" s="25"/>
      <c r="S49" s="12">
        <f t="shared" si="17"/>
        <v>0</v>
      </c>
      <c r="T49" s="5">
        <v>0</v>
      </c>
      <c r="U49" s="12">
        <f t="shared" si="18"/>
        <v>0</v>
      </c>
      <c r="V49" s="25" t="s">
        <v>10</v>
      </c>
      <c r="W49" s="11">
        <f>IFERROR(VLOOKUP(V49,Curr!$B$2:$C$13,2,FALSE),0)</f>
        <v>11</v>
      </c>
      <c r="X49" s="12">
        <f t="shared" si="19"/>
        <v>0</v>
      </c>
      <c r="Y49" s="26">
        <f t="shared" si="20"/>
        <v>0</v>
      </c>
      <c r="Z49" s="12">
        <f t="shared" si="8"/>
        <v>0</v>
      </c>
      <c r="AA49" s="4" t="s">
        <v>10</v>
      </c>
      <c r="AB49" s="11">
        <f>IFERROR(VLOOKUP(AA49,Curr!$B$2:$C$13,2,FALSE),0)</f>
        <v>11</v>
      </c>
      <c r="AC49" s="12">
        <f t="shared" si="9"/>
        <v>0</v>
      </c>
      <c r="AD49" s="12">
        <f t="shared" si="10"/>
        <v>0</v>
      </c>
      <c r="AE49" s="13">
        <f t="shared" si="11"/>
        <v>0</v>
      </c>
    </row>
    <row r="50" spans="2:36" x14ac:dyDescent="0.25">
      <c r="B50" s="4"/>
      <c r="C50" s="1" t="s">
        <v>59</v>
      </c>
      <c r="D50" s="1" t="s">
        <v>110</v>
      </c>
      <c r="E50" s="3"/>
      <c r="F50" s="3"/>
      <c r="G50" s="24"/>
      <c r="H50" s="24"/>
      <c r="J50" s="1" t="s">
        <v>116</v>
      </c>
      <c r="K50" s="4"/>
      <c r="L50" s="4"/>
      <c r="M50" s="4"/>
      <c r="N50" s="4"/>
      <c r="O50" s="4"/>
      <c r="P50" s="33" t="s">
        <v>117</v>
      </c>
      <c r="Q50" s="25">
        <v>110</v>
      </c>
      <c r="R50" s="25">
        <v>0</v>
      </c>
      <c r="S50" s="12">
        <f t="shared" si="17"/>
        <v>0</v>
      </c>
      <c r="T50" s="5">
        <v>0.2</v>
      </c>
      <c r="U50" s="12">
        <f t="shared" si="18"/>
        <v>0</v>
      </c>
      <c r="V50" s="25" t="s">
        <v>10</v>
      </c>
      <c r="W50" s="11">
        <f>IFERROR(VLOOKUP(V50,Curr!$B$2:$C$13,2,FALSE),0)</f>
        <v>11</v>
      </c>
      <c r="X50" s="12">
        <f t="shared" si="19"/>
        <v>0</v>
      </c>
      <c r="Y50" s="26">
        <f t="shared" si="20"/>
        <v>110</v>
      </c>
      <c r="Z50" s="12">
        <f t="shared" si="8"/>
        <v>0</v>
      </c>
      <c r="AA50" s="4" t="s">
        <v>10</v>
      </c>
      <c r="AB50" s="11">
        <f>IFERROR(VLOOKUP(AA50,Curr!$B$2:$C$13,2,FALSE),0)</f>
        <v>11</v>
      </c>
      <c r="AC50" s="12">
        <f t="shared" si="9"/>
        <v>0</v>
      </c>
      <c r="AD50" s="12">
        <f t="shared" si="10"/>
        <v>0</v>
      </c>
      <c r="AE50" s="13">
        <f t="shared" si="11"/>
        <v>0</v>
      </c>
    </row>
    <row r="51" spans="2:36" x14ac:dyDescent="0.25">
      <c r="B51" s="4"/>
      <c r="C51" s="1" t="s">
        <v>72</v>
      </c>
      <c r="D51" s="1" t="s">
        <v>110</v>
      </c>
      <c r="E51" s="3"/>
      <c r="F51" s="3"/>
      <c r="G51" s="24"/>
      <c r="H51" s="24"/>
      <c r="J51" s="1" t="s">
        <v>111</v>
      </c>
      <c r="K51" s="4"/>
      <c r="L51" s="4"/>
      <c r="M51" s="4"/>
      <c r="N51" s="4"/>
      <c r="O51" s="4" t="s">
        <v>42</v>
      </c>
      <c r="P51" s="33" t="s">
        <v>112</v>
      </c>
      <c r="Q51" s="25">
        <v>126</v>
      </c>
      <c r="R51" s="25">
        <v>0</v>
      </c>
      <c r="S51" s="12">
        <f t="shared" si="17"/>
        <v>0</v>
      </c>
      <c r="T51" s="5">
        <v>0</v>
      </c>
      <c r="U51" s="12">
        <f t="shared" si="18"/>
        <v>0</v>
      </c>
      <c r="V51" s="25" t="s">
        <v>10</v>
      </c>
      <c r="W51" s="11">
        <f>IFERROR(VLOOKUP(V51,Curr!$B$2:$C$13,2,FALSE),0)</f>
        <v>11</v>
      </c>
      <c r="X51" s="12">
        <f t="shared" si="19"/>
        <v>0</v>
      </c>
      <c r="Y51" s="26">
        <f t="shared" si="20"/>
        <v>126</v>
      </c>
      <c r="Z51" s="12">
        <f t="shared" si="8"/>
        <v>0</v>
      </c>
      <c r="AA51" s="4" t="s">
        <v>10</v>
      </c>
      <c r="AB51" s="11">
        <f>IFERROR(VLOOKUP(AA51,Curr!$B$2:$C$13,2,FALSE),0)</f>
        <v>11</v>
      </c>
      <c r="AC51" s="12">
        <f t="shared" si="9"/>
        <v>0</v>
      </c>
      <c r="AD51" s="12">
        <f t="shared" si="10"/>
        <v>0</v>
      </c>
      <c r="AE51" s="13">
        <f t="shared" si="11"/>
        <v>0</v>
      </c>
    </row>
    <row r="52" spans="2:36" x14ac:dyDescent="0.25">
      <c r="B52" s="4"/>
      <c r="E52" s="3"/>
      <c r="F52" s="3"/>
      <c r="G52" s="24"/>
      <c r="H52" s="24"/>
      <c r="K52" s="4"/>
      <c r="L52" s="4"/>
      <c r="M52" s="4"/>
      <c r="N52" s="4"/>
      <c r="O52" s="4"/>
      <c r="P52" s="27"/>
      <c r="Q52" s="25"/>
      <c r="R52" s="25"/>
      <c r="S52" s="12">
        <f t="shared" si="17"/>
        <v>0</v>
      </c>
      <c r="T52" s="5">
        <v>0</v>
      </c>
      <c r="U52" s="12">
        <f t="shared" si="18"/>
        <v>0</v>
      </c>
      <c r="V52" s="25" t="s">
        <v>10</v>
      </c>
      <c r="W52" s="11">
        <f>IFERROR(VLOOKUP(V52,Curr!$B$2:$C$13,2,FALSE),0)</f>
        <v>11</v>
      </c>
      <c r="X52" s="12">
        <f t="shared" si="19"/>
        <v>0</v>
      </c>
      <c r="Y52" s="26">
        <f t="shared" si="20"/>
        <v>0</v>
      </c>
      <c r="Z52" s="12">
        <f t="shared" si="8"/>
        <v>0</v>
      </c>
      <c r="AA52" s="4" t="s">
        <v>10</v>
      </c>
      <c r="AB52" s="11">
        <f>IFERROR(VLOOKUP(AA52,Curr!$B$2:$C$13,2,FALSE),0)</f>
        <v>11</v>
      </c>
      <c r="AC52" s="12">
        <f t="shared" si="9"/>
        <v>0</v>
      </c>
      <c r="AD52" s="12">
        <f t="shared" si="10"/>
        <v>0</v>
      </c>
      <c r="AE52" s="13">
        <f t="shared" si="11"/>
        <v>0</v>
      </c>
    </row>
    <row r="53" spans="2:36" x14ac:dyDescent="0.25">
      <c r="B53" s="4"/>
      <c r="E53" s="3"/>
      <c r="F53" s="3"/>
      <c r="G53" s="24"/>
      <c r="H53" s="24"/>
      <c r="K53" s="4"/>
      <c r="L53" s="4"/>
      <c r="M53" s="4"/>
      <c r="N53" s="4"/>
      <c r="O53" s="4"/>
      <c r="P53" s="27"/>
      <c r="Q53" s="25"/>
      <c r="R53" s="25"/>
      <c r="S53" s="12">
        <f t="shared" ref="S53:S61" si="21">+Q53*R53</f>
        <v>0</v>
      </c>
      <c r="T53" s="5">
        <v>0</v>
      </c>
      <c r="U53" s="12">
        <f t="shared" ref="U53:U61" si="22">S53*(1-T53)</f>
        <v>0</v>
      </c>
      <c r="V53" s="25" t="s">
        <v>10</v>
      </c>
      <c r="W53" s="11">
        <f>IFERROR(VLOOKUP(V53,Curr!$B$2:$C$13,2,FALSE),0)</f>
        <v>11</v>
      </c>
      <c r="X53" s="12">
        <f t="shared" ref="X53:X61" si="23">U53*W53</f>
        <v>0</v>
      </c>
      <c r="Y53" s="26">
        <f t="shared" ref="Y53:Y61" si="24">Q53</f>
        <v>0</v>
      </c>
      <c r="Z53" s="12">
        <f t="shared" si="4"/>
        <v>0</v>
      </c>
      <c r="AA53" s="4" t="s">
        <v>10</v>
      </c>
      <c r="AB53" s="11">
        <f>IFERROR(VLOOKUP(AA53,Curr!$B$2:$C$13,2,FALSE),0)</f>
        <v>11</v>
      </c>
      <c r="AC53" s="12">
        <f t="shared" si="5"/>
        <v>0</v>
      </c>
      <c r="AD53" s="12">
        <f t="shared" si="6"/>
        <v>0</v>
      </c>
      <c r="AE53" s="13">
        <f t="shared" si="7"/>
        <v>0</v>
      </c>
    </row>
    <row r="54" spans="2:36" x14ac:dyDescent="0.25">
      <c r="B54" s="4"/>
      <c r="E54" s="3"/>
      <c r="F54" s="3"/>
      <c r="G54" s="24"/>
      <c r="H54" s="24"/>
      <c r="K54" s="4"/>
      <c r="L54" s="4"/>
      <c r="M54" s="4"/>
      <c r="N54" s="4"/>
      <c r="O54" s="4"/>
      <c r="P54" s="27"/>
      <c r="Q54" s="25"/>
      <c r="R54" s="25"/>
      <c r="S54" s="12">
        <f t="shared" si="21"/>
        <v>0</v>
      </c>
      <c r="T54" s="5">
        <v>0</v>
      </c>
      <c r="U54" s="12">
        <f t="shared" si="22"/>
        <v>0</v>
      </c>
      <c r="V54" s="25" t="s">
        <v>10</v>
      </c>
      <c r="W54" s="11">
        <f>IFERROR(VLOOKUP(V54,Curr!$B$2:$C$13,2,FALSE),0)</f>
        <v>11</v>
      </c>
      <c r="X54" s="12">
        <f t="shared" si="23"/>
        <v>0</v>
      </c>
      <c r="Y54" s="26">
        <f t="shared" si="24"/>
        <v>0</v>
      </c>
      <c r="Z54" s="12">
        <f t="shared" si="4"/>
        <v>0</v>
      </c>
      <c r="AA54" s="4" t="s">
        <v>10</v>
      </c>
      <c r="AB54" s="11">
        <f>IFERROR(VLOOKUP(AA54,Curr!$B$2:$C$13,2,FALSE),0)</f>
        <v>11</v>
      </c>
      <c r="AC54" s="12">
        <f t="shared" si="5"/>
        <v>0</v>
      </c>
      <c r="AD54" s="12">
        <f t="shared" si="6"/>
        <v>0</v>
      </c>
      <c r="AE54" s="13">
        <f t="shared" si="7"/>
        <v>0</v>
      </c>
    </row>
    <row r="55" spans="2:36" x14ac:dyDescent="0.25">
      <c r="B55" s="4"/>
      <c r="E55" s="3"/>
      <c r="F55" s="3"/>
      <c r="G55" s="24"/>
      <c r="H55" s="24"/>
      <c r="K55" s="4"/>
      <c r="L55" s="4"/>
      <c r="M55" s="4"/>
      <c r="N55" s="4"/>
      <c r="O55" s="4"/>
      <c r="P55" s="27"/>
      <c r="Q55" s="25"/>
      <c r="R55" s="25"/>
      <c r="S55" s="12">
        <f t="shared" si="21"/>
        <v>0</v>
      </c>
      <c r="T55" s="5">
        <v>0</v>
      </c>
      <c r="U55" s="12">
        <f t="shared" si="22"/>
        <v>0</v>
      </c>
      <c r="V55" s="25" t="s">
        <v>10</v>
      </c>
      <c r="W55" s="11">
        <f>IFERROR(VLOOKUP(V55,Curr!$B$2:$C$13,2,FALSE),0)</f>
        <v>11</v>
      </c>
      <c r="X55" s="12">
        <f t="shared" si="23"/>
        <v>0</v>
      </c>
      <c r="Y55" s="26">
        <f t="shared" si="24"/>
        <v>0</v>
      </c>
      <c r="Z55" s="12">
        <f t="shared" si="4"/>
        <v>0</v>
      </c>
      <c r="AA55" s="4" t="s">
        <v>10</v>
      </c>
      <c r="AB55" s="11">
        <f>IFERROR(VLOOKUP(AA55,Curr!$B$2:$C$13,2,FALSE),0)</f>
        <v>11</v>
      </c>
      <c r="AC55" s="12">
        <f t="shared" si="5"/>
        <v>0</v>
      </c>
      <c r="AD55" s="12">
        <f t="shared" si="6"/>
        <v>0</v>
      </c>
      <c r="AE55" s="13">
        <f t="shared" si="7"/>
        <v>0</v>
      </c>
    </row>
    <row r="56" spans="2:36" x14ac:dyDescent="0.25">
      <c r="B56" s="4"/>
      <c r="E56" s="3"/>
      <c r="F56" s="3"/>
      <c r="G56" s="24"/>
      <c r="H56" s="24"/>
      <c r="K56" s="4"/>
      <c r="L56" s="4"/>
      <c r="M56" s="4"/>
      <c r="N56" s="4"/>
      <c r="O56" s="4"/>
      <c r="P56" s="27"/>
      <c r="Q56" s="25"/>
      <c r="R56" s="25"/>
      <c r="S56" s="12">
        <f t="shared" si="21"/>
        <v>0</v>
      </c>
      <c r="T56" s="5">
        <v>0</v>
      </c>
      <c r="U56" s="12">
        <f t="shared" si="22"/>
        <v>0</v>
      </c>
      <c r="V56" s="25" t="s">
        <v>10</v>
      </c>
      <c r="W56" s="11">
        <f>IFERROR(VLOOKUP(V56,Curr!$B$2:$C$13,2,FALSE),0)</f>
        <v>11</v>
      </c>
      <c r="X56" s="12">
        <f t="shared" si="23"/>
        <v>0</v>
      </c>
      <c r="Y56" s="26">
        <f t="shared" si="24"/>
        <v>0</v>
      </c>
      <c r="Z56" s="12">
        <f t="shared" si="4"/>
        <v>0</v>
      </c>
      <c r="AA56" s="4" t="s">
        <v>10</v>
      </c>
      <c r="AB56" s="11">
        <f>IFERROR(VLOOKUP(AA56,Curr!$B$2:$C$13,2,FALSE),0)</f>
        <v>11</v>
      </c>
      <c r="AC56" s="12">
        <f t="shared" si="5"/>
        <v>0</v>
      </c>
      <c r="AD56" s="12">
        <f t="shared" si="6"/>
        <v>0</v>
      </c>
      <c r="AE56" s="13">
        <f t="shared" si="7"/>
        <v>0</v>
      </c>
    </row>
    <row r="57" spans="2:36" x14ac:dyDescent="0.25">
      <c r="B57" s="4"/>
      <c r="E57" s="3"/>
      <c r="F57" s="3"/>
      <c r="G57" s="24"/>
      <c r="H57" s="24"/>
      <c r="K57" s="4"/>
      <c r="L57" s="4"/>
      <c r="M57" s="4"/>
      <c r="N57" s="4"/>
      <c r="O57" s="4"/>
      <c r="P57" s="27"/>
      <c r="Q57" s="25"/>
      <c r="R57" s="25"/>
      <c r="S57" s="12">
        <f t="shared" si="21"/>
        <v>0</v>
      </c>
      <c r="T57" s="5">
        <v>0</v>
      </c>
      <c r="U57" s="12">
        <f t="shared" si="22"/>
        <v>0</v>
      </c>
      <c r="V57" s="25" t="s">
        <v>10</v>
      </c>
      <c r="W57" s="11">
        <f>IFERROR(VLOOKUP(V57,Curr!$B$2:$C$13,2,FALSE),0)</f>
        <v>11</v>
      </c>
      <c r="X57" s="12">
        <f t="shared" si="23"/>
        <v>0</v>
      </c>
      <c r="Y57" s="26">
        <f t="shared" si="24"/>
        <v>0</v>
      </c>
      <c r="Z57" s="12">
        <f t="shared" si="4"/>
        <v>0</v>
      </c>
      <c r="AA57" s="4" t="s">
        <v>10</v>
      </c>
      <c r="AB57" s="11">
        <f>IFERROR(VLOOKUP(AA57,Curr!$B$2:$C$13,2,FALSE),0)</f>
        <v>11</v>
      </c>
      <c r="AC57" s="12">
        <f t="shared" si="5"/>
        <v>0</v>
      </c>
      <c r="AD57" s="12">
        <f t="shared" si="6"/>
        <v>0</v>
      </c>
      <c r="AE57" s="13">
        <f t="shared" si="7"/>
        <v>0</v>
      </c>
    </row>
    <row r="58" spans="2:36" x14ac:dyDescent="0.25">
      <c r="B58" s="4"/>
      <c r="E58" s="3"/>
      <c r="F58" s="3"/>
      <c r="G58" s="24"/>
      <c r="H58" s="24"/>
      <c r="K58" s="4"/>
      <c r="L58" s="4"/>
      <c r="M58" s="4"/>
      <c r="N58" s="4"/>
      <c r="O58" s="4"/>
      <c r="P58" s="27"/>
      <c r="Q58" s="25"/>
      <c r="R58" s="25"/>
      <c r="S58" s="12">
        <f t="shared" si="21"/>
        <v>0</v>
      </c>
      <c r="T58" s="5">
        <v>0</v>
      </c>
      <c r="U58" s="12">
        <f t="shared" si="22"/>
        <v>0</v>
      </c>
      <c r="V58" s="25" t="s">
        <v>10</v>
      </c>
      <c r="W58" s="11">
        <f>IFERROR(VLOOKUP(V58,Curr!$B$2:$C$13,2,FALSE),0)</f>
        <v>11</v>
      </c>
      <c r="X58" s="12">
        <f t="shared" si="23"/>
        <v>0</v>
      </c>
      <c r="Y58" s="26">
        <f t="shared" si="24"/>
        <v>0</v>
      </c>
      <c r="Z58" s="12">
        <f t="shared" si="4"/>
        <v>0</v>
      </c>
      <c r="AA58" s="4" t="s">
        <v>10</v>
      </c>
      <c r="AB58" s="11">
        <f>IFERROR(VLOOKUP(AA58,Curr!$B$2:$C$13,2,FALSE),0)</f>
        <v>11</v>
      </c>
      <c r="AC58" s="12">
        <f t="shared" si="5"/>
        <v>0</v>
      </c>
      <c r="AD58" s="12">
        <f t="shared" si="6"/>
        <v>0</v>
      </c>
      <c r="AE58" s="13">
        <f t="shared" si="7"/>
        <v>0</v>
      </c>
    </row>
    <row r="59" spans="2:36" x14ac:dyDescent="0.25">
      <c r="B59" s="4"/>
      <c r="E59" s="3"/>
      <c r="F59" s="3"/>
      <c r="G59" s="24"/>
      <c r="H59" s="24"/>
      <c r="K59" s="4"/>
      <c r="L59" s="4"/>
      <c r="M59" s="4"/>
      <c r="N59" s="4"/>
      <c r="O59" s="4"/>
      <c r="P59" s="27"/>
      <c r="Q59" s="25"/>
      <c r="R59" s="25"/>
      <c r="S59" s="12">
        <f t="shared" si="21"/>
        <v>0</v>
      </c>
      <c r="T59" s="5">
        <v>0</v>
      </c>
      <c r="U59" s="12">
        <f t="shared" si="22"/>
        <v>0</v>
      </c>
      <c r="V59" s="25" t="s">
        <v>10</v>
      </c>
      <c r="W59" s="11">
        <f>IFERROR(VLOOKUP(V59,Curr!$B$2:$C$13,2,FALSE),0)</f>
        <v>11</v>
      </c>
      <c r="X59" s="12">
        <f t="shared" si="23"/>
        <v>0</v>
      </c>
      <c r="Y59" s="26">
        <f t="shared" si="24"/>
        <v>0</v>
      </c>
      <c r="Z59" s="12">
        <f t="shared" si="4"/>
        <v>0</v>
      </c>
      <c r="AA59" s="4" t="s">
        <v>10</v>
      </c>
      <c r="AB59" s="11">
        <f>IFERROR(VLOOKUP(AA59,Curr!$B$2:$C$13,2,FALSE),0)</f>
        <v>11</v>
      </c>
      <c r="AC59" s="12">
        <f t="shared" si="5"/>
        <v>0</v>
      </c>
      <c r="AD59" s="12">
        <f t="shared" si="6"/>
        <v>0</v>
      </c>
      <c r="AE59" s="13">
        <f t="shared" si="7"/>
        <v>0</v>
      </c>
    </row>
    <row r="60" spans="2:36" x14ac:dyDescent="0.25">
      <c r="B60" s="4"/>
      <c r="E60" s="3"/>
      <c r="F60" s="3"/>
      <c r="G60" s="24"/>
      <c r="H60" s="24"/>
      <c r="K60" s="4"/>
      <c r="L60" s="4"/>
      <c r="M60" s="4"/>
      <c r="N60" s="4"/>
      <c r="O60" s="4"/>
      <c r="P60" s="27"/>
      <c r="Q60" s="25"/>
      <c r="R60" s="25"/>
      <c r="S60" s="12">
        <f t="shared" si="21"/>
        <v>0</v>
      </c>
      <c r="T60" s="5">
        <v>0</v>
      </c>
      <c r="U60" s="12">
        <f t="shared" si="22"/>
        <v>0</v>
      </c>
      <c r="V60" s="25" t="s">
        <v>10</v>
      </c>
      <c r="W60" s="11">
        <f>IFERROR(VLOOKUP(V60,Curr!$B$2:$C$13,2,FALSE),0)</f>
        <v>11</v>
      </c>
      <c r="X60" s="12">
        <f t="shared" si="23"/>
        <v>0</v>
      </c>
      <c r="Y60" s="26">
        <f t="shared" si="24"/>
        <v>0</v>
      </c>
      <c r="Z60" s="12">
        <f t="shared" si="4"/>
        <v>0</v>
      </c>
      <c r="AA60" s="4" t="s">
        <v>10</v>
      </c>
      <c r="AB60" s="11">
        <f>IFERROR(VLOOKUP(AA60,Curr!$B$2:$C$13,2,FALSE),0)</f>
        <v>11</v>
      </c>
      <c r="AC60" s="12">
        <f t="shared" si="5"/>
        <v>0</v>
      </c>
      <c r="AD60" s="12">
        <f t="shared" si="6"/>
        <v>0</v>
      </c>
      <c r="AE60" s="13">
        <f t="shared" si="7"/>
        <v>0</v>
      </c>
    </row>
    <row r="61" spans="2:36" x14ac:dyDescent="0.25">
      <c r="B61" s="4"/>
      <c r="E61" s="3"/>
      <c r="F61" s="3"/>
      <c r="G61" s="24"/>
      <c r="H61" s="24"/>
      <c r="K61" s="4"/>
      <c r="L61" s="4"/>
      <c r="M61" s="4"/>
      <c r="N61" s="4"/>
      <c r="O61" s="4"/>
      <c r="P61" s="27"/>
      <c r="Q61" s="25"/>
      <c r="R61" s="25"/>
      <c r="S61" s="12">
        <f t="shared" si="21"/>
        <v>0</v>
      </c>
      <c r="T61" s="5">
        <v>0</v>
      </c>
      <c r="U61" s="12">
        <f t="shared" si="22"/>
        <v>0</v>
      </c>
      <c r="V61" s="25" t="s">
        <v>10</v>
      </c>
      <c r="W61" s="11">
        <f>IFERROR(VLOOKUP(V61,Curr!$B$2:$C$13,2,FALSE),0)</f>
        <v>11</v>
      </c>
      <c r="X61" s="12">
        <f t="shared" si="23"/>
        <v>0</v>
      </c>
      <c r="Y61" s="26">
        <f t="shared" si="24"/>
        <v>0</v>
      </c>
      <c r="Z61" s="12">
        <f t="shared" si="4"/>
        <v>0</v>
      </c>
      <c r="AA61" s="4" t="s">
        <v>10</v>
      </c>
      <c r="AB61" s="11">
        <f>IFERROR(VLOOKUP(AA61,Curr!$B$2:$C$13,2,FALSE),0)</f>
        <v>11</v>
      </c>
      <c r="AC61" s="12">
        <f t="shared" si="5"/>
        <v>0</v>
      </c>
      <c r="AD61" s="12">
        <f t="shared" si="6"/>
        <v>0</v>
      </c>
      <c r="AE61" s="13">
        <f t="shared" si="7"/>
        <v>0</v>
      </c>
    </row>
    <row r="62" spans="2:36" x14ac:dyDescent="0.25">
      <c r="B62" s="4"/>
      <c r="E62" s="3"/>
      <c r="F62" s="3"/>
      <c r="G62" s="3"/>
      <c r="H62" s="3"/>
      <c r="L62" s="4"/>
      <c r="M62" s="4"/>
      <c r="N62" s="4"/>
      <c r="O62" s="4"/>
      <c r="P62" s="22"/>
      <c r="Q62" s="4"/>
      <c r="R62" s="4"/>
      <c r="S62" s="4"/>
      <c r="T62" s="4"/>
      <c r="U62" s="4"/>
      <c r="V62" s="4"/>
      <c r="W62" s="4"/>
      <c r="X62" s="4"/>
      <c r="Y62" s="4"/>
      <c r="Z62" s="4"/>
      <c r="AA62" s="4"/>
      <c r="AB62" s="4"/>
      <c r="AC62" s="4"/>
      <c r="AD62" s="4"/>
      <c r="AE62" s="4"/>
      <c r="AF62" s="4"/>
    </row>
    <row r="63" spans="2:36" x14ac:dyDescent="0.25">
      <c r="B63" s="14" t="s">
        <v>18</v>
      </c>
      <c r="C63" s="14"/>
      <c r="D63" s="28" t="s">
        <v>42</v>
      </c>
      <c r="E63" s="30" t="s">
        <v>42</v>
      </c>
      <c r="F63" s="30" t="s">
        <v>42</v>
      </c>
      <c r="G63" s="30" t="s">
        <v>42</v>
      </c>
      <c r="H63" s="30" t="s">
        <v>42</v>
      </c>
      <c r="I63" s="28" t="s">
        <v>42</v>
      </c>
      <c r="J63" s="28" t="s">
        <v>42</v>
      </c>
      <c r="K63" s="28" t="s">
        <v>42</v>
      </c>
      <c r="L63" s="28" t="s">
        <v>42</v>
      </c>
      <c r="M63" s="28" t="s">
        <v>42</v>
      </c>
      <c r="N63" s="28" t="s">
        <v>42</v>
      </c>
      <c r="O63" s="28" t="s">
        <v>42</v>
      </c>
      <c r="P63" s="28" t="s">
        <v>42</v>
      </c>
      <c r="Q63" s="31" t="s">
        <v>42</v>
      </c>
      <c r="R63" s="28" t="s">
        <v>42</v>
      </c>
      <c r="S63" s="32" t="s">
        <v>42</v>
      </c>
      <c r="T63" s="28" t="s">
        <v>42</v>
      </c>
      <c r="U63" s="32" t="s">
        <v>42</v>
      </c>
      <c r="V63" s="28" t="s">
        <v>42</v>
      </c>
      <c r="W63" s="28" t="s">
        <v>42</v>
      </c>
      <c r="X63" s="32" t="s">
        <v>42</v>
      </c>
      <c r="Y63" s="32" t="s">
        <v>42</v>
      </c>
      <c r="Z63" s="15">
        <f>SUM(Z7:Z61)</f>
        <v>3194.4734513274334</v>
      </c>
      <c r="AA63" s="14"/>
      <c r="AB63" s="14"/>
      <c r="AC63" s="15">
        <f>SUM(AC7:AC61)</f>
        <v>35139.207964601766</v>
      </c>
      <c r="AD63" s="15">
        <f>SUM(AD7:AD61)</f>
        <v>6900.4079646017699</v>
      </c>
      <c r="AE63" s="21">
        <f t="shared" ref="AE63" si="25">IFERROR(AD63/AC63,0)</f>
        <v>0.19637346327080119</v>
      </c>
      <c r="AF63" s="15">
        <f>SUM(AF8:AF62)</f>
        <v>0</v>
      </c>
      <c r="AG63" s="15">
        <f>SUM(AG8:AG62)</f>
        <v>0</v>
      </c>
      <c r="AH63" s="15">
        <f>SUM(AH8:AH62)</f>
        <v>0</v>
      </c>
      <c r="AI63" s="15">
        <f>SUM(AI8:AI62)</f>
        <v>0</v>
      </c>
      <c r="AJ63" s="15">
        <f>SUM(AJ8:AJ62)</f>
        <v>0</v>
      </c>
    </row>
    <row r="64" spans="2:36" x14ac:dyDescent="0.25">
      <c r="B64" s="4"/>
      <c r="E64" s="3"/>
      <c r="F64" s="3"/>
      <c r="G64" s="3"/>
      <c r="H64" s="3"/>
      <c r="L64" s="4"/>
      <c r="M64" s="4"/>
      <c r="N64" s="4"/>
      <c r="O64" s="4"/>
      <c r="Q64" s="4"/>
      <c r="R64" s="4"/>
      <c r="S64" s="4"/>
      <c r="T64" s="4"/>
      <c r="U64" s="4"/>
      <c r="V64" s="4"/>
      <c r="W64" s="4"/>
      <c r="X64" s="4"/>
      <c r="Y64" s="9"/>
      <c r="Z64" s="9"/>
      <c r="AA64" s="9"/>
      <c r="AB64" s="9"/>
      <c r="AC64" s="9"/>
      <c r="AD64" s="9"/>
      <c r="AE64" s="9"/>
    </row>
    <row r="65" spans="2:32" x14ac:dyDescent="0.25">
      <c r="B65" s="4"/>
      <c r="E65" s="3"/>
      <c r="F65" s="3"/>
      <c r="G65" s="3"/>
      <c r="H65" s="3"/>
      <c r="L65" s="4"/>
      <c r="M65" s="4"/>
      <c r="N65" s="4"/>
      <c r="O65" s="4"/>
      <c r="Q65" s="9"/>
      <c r="R65" s="9"/>
      <c r="S65" s="9"/>
      <c r="T65" s="9"/>
      <c r="U65" s="9"/>
      <c r="V65" s="9"/>
      <c r="W65" s="9"/>
      <c r="X65" s="23"/>
      <c r="Y65" s="34" t="s">
        <v>43</v>
      </c>
      <c r="Z65" s="34">
        <v>3180</v>
      </c>
      <c r="AA65" s="9"/>
      <c r="AB65" s="9"/>
      <c r="AC65" s="9"/>
      <c r="AD65" s="9"/>
      <c r="AE65" s="9"/>
    </row>
    <row r="66" spans="2:32" x14ac:dyDescent="0.25">
      <c r="B66" s="4"/>
      <c r="E66" s="3"/>
      <c r="F66" s="3"/>
      <c r="G66" s="3"/>
      <c r="H66" s="3"/>
      <c r="L66" s="4"/>
      <c r="M66" s="4"/>
      <c r="N66" s="4"/>
      <c r="O66" s="4"/>
      <c r="Q66" s="9"/>
      <c r="R66" s="9"/>
      <c r="S66" s="9"/>
      <c r="T66" s="9"/>
      <c r="U66" s="9"/>
      <c r="V66" s="9"/>
      <c r="W66" s="9"/>
      <c r="X66" s="9"/>
      <c r="Y66" s="34" t="s">
        <v>44</v>
      </c>
      <c r="Z66" s="34">
        <f>Z65/2</f>
        <v>1590</v>
      </c>
      <c r="AA66" s="9"/>
      <c r="AB66" s="9"/>
      <c r="AC66" s="9"/>
      <c r="AD66" s="9"/>
      <c r="AE66" s="9"/>
      <c r="AF66" s="18"/>
    </row>
    <row r="67" spans="2:32" x14ac:dyDescent="0.25">
      <c r="B67" s="4"/>
      <c r="E67" s="3"/>
      <c r="F67" s="3"/>
      <c r="G67" s="3"/>
      <c r="H67" s="3"/>
      <c r="I67" s="19"/>
      <c r="L67" s="4"/>
      <c r="M67" s="4"/>
      <c r="N67" s="4"/>
      <c r="O67" s="20"/>
      <c r="Q67" s="20"/>
      <c r="R67" s="20"/>
      <c r="S67" s="20"/>
      <c r="T67" s="20"/>
      <c r="U67" s="20"/>
      <c r="V67" s="20"/>
      <c r="W67" s="20"/>
      <c r="X67" s="20"/>
      <c r="Y67" s="9"/>
      <c r="Z67" s="9"/>
      <c r="AA67" s="9"/>
      <c r="AB67" s="9"/>
      <c r="AC67" s="9"/>
      <c r="AD67" s="9"/>
      <c r="AE67" s="9"/>
      <c r="AF67" s="18"/>
    </row>
    <row r="68" spans="2:32" x14ac:dyDescent="0.25">
      <c r="B68" s="4"/>
      <c r="E68" s="3"/>
      <c r="F68" s="3"/>
      <c r="G68" s="3"/>
      <c r="H68" s="3"/>
      <c r="L68" s="4"/>
      <c r="M68" s="4"/>
      <c r="N68" s="4"/>
      <c r="O68" s="20"/>
      <c r="Q68" s="20"/>
      <c r="R68" s="20"/>
      <c r="S68" s="20"/>
      <c r="T68" s="20"/>
      <c r="U68" s="20"/>
      <c r="V68" s="20"/>
      <c r="W68" s="20"/>
      <c r="X68" s="20"/>
      <c r="Y68" s="9"/>
      <c r="Z68" s="9"/>
      <c r="AA68" s="9"/>
      <c r="AB68" s="9"/>
      <c r="AC68" s="9"/>
      <c r="AD68" s="9"/>
      <c r="AE68" s="9"/>
      <c r="AF68" s="18"/>
    </row>
    <row r="69" spans="2:32" x14ac:dyDescent="0.25">
      <c r="B69" s="4"/>
      <c r="E69" s="3"/>
      <c r="F69" s="3"/>
      <c r="G69" s="3"/>
      <c r="H69" s="3"/>
      <c r="L69" s="4"/>
      <c r="M69" s="4"/>
      <c r="N69" s="4"/>
      <c r="O69" s="4"/>
      <c r="Q69" s="9"/>
      <c r="R69" s="9"/>
      <c r="S69" s="9"/>
      <c r="T69" s="9"/>
      <c r="U69" s="9"/>
      <c r="V69" s="9"/>
      <c r="W69" s="9"/>
      <c r="X69" s="9"/>
      <c r="Y69" s="37" t="s">
        <v>302</v>
      </c>
      <c r="Z69" s="9">
        <f>Z65</f>
        <v>3180</v>
      </c>
      <c r="AA69" s="9"/>
      <c r="AB69" s="9"/>
      <c r="AC69" s="9"/>
      <c r="AD69" s="9"/>
      <c r="AE69" s="9"/>
      <c r="AF69" s="18"/>
    </row>
    <row r="70" spans="2:32" x14ac:dyDescent="0.25">
      <c r="F70" s="1"/>
      <c r="G70" s="1"/>
      <c r="H70" s="1"/>
      <c r="J70" s="1" t="s">
        <v>32</v>
      </c>
      <c r="Q70" s="9"/>
      <c r="R70" s="4"/>
      <c r="S70" s="9"/>
      <c r="T70" s="5"/>
      <c r="U70" s="9"/>
      <c r="V70" s="4"/>
      <c r="W70" s="4"/>
      <c r="X70" s="9"/>
      <c r="Y70" s="37" t="s">
        <v>299</v>
      </c>
      <c r="Z70" s="9">
        <f>Z69*1.12</f>
        <v>3561.6000000000004</v>
      </c>
      <c r="AA70" s="9"/>
      <c r="AB70" s="9"/>
      <c r="AC70" s="9"/>
      <c r="AD70" s="9"/>
      <c r="AE70" s="9"/>
    </row>
    <row r="71" spans="2:32" x14ac:dyDescent="0.25">
      <c r="R71" s="4"/>
      <c r="S71" s="17"/>
      <c r="T71" s="17"/>
      <c r="U71" s="9"/>
      <c r="V71" s="4"/>
      <c r="W71" s="4"/>
      <c r="X71" s="9"/>
      <c r="Y71" s="37" t="s">
        <v>303</v>
      </c>
      <c r="Z71" s="9">
        <f>Z69*1.2</f>
        <v>3816</v>
      </c>
      <c r="AA71" s="9"/>
      <c r="AB71" s="9"/>
      <c r="AC71" s="9"/>
      <c r="AD71" s="9"/>
      <c r="AE71" s="9"/>
    </row>
    <row r="72" spans="2:32" x14ac:dyDescent="0.25">
      <c r="Q72" s="9"/>
      <c r="R72" s="4"/>
      <c r="S72" s="16"/>
      <c r="T72" s="16"/>
      <c r="U72" s="9"/>
      <c r="V72" s="4"/>
      <c r="W72" s="4"/>
      <c r="X72" s="9"/>
      <c r="Y72" s="37" t="s">
        <v>300</v>
      </c>
      <c r="Z72" s="9">
        <f>Z69*0.8</f>
        <v>2544</v>
      </c>
      <c r="AA72" s="9"/>
      <c r="AB72" s="9"/>
      <c r="AC72" s="9"/>
      <c r="AD72" s="9"/>
      <c r="AE72" s="9"/>
    </row>
    <row r="73" spans="2:32" x14ac:dyDescent="0.25">
      <c r="R73" s="4"/>
      <c r="S73" s="16"/>
      <c r="T73" s="16"/>
      <c r="Y73" s="9"/>
      <c r="Z73" s="9"/>
      <c r="AA73" s="9"/>
      <c r="AB73" s="9"/>
      <c r="AC73" s="9"/>
      <c r="AD73" s="9"/>
      <c r="AE73" s="9"/>
    </row>
    <row r="74" spans="2:32" x14ac:dyDescent="0.25">
      <c r="T74" s="5"/>
      <c r="Y74" s="9"/>
      <c r="Z74" s="9"/>
      <c r="AA74" s="9"/>
      <c r="AB74" s="9"/>
      <c r="AC74" s="9"/>
      <c r="AD74" s="9"/>
      <c r="AE74" s="9"/>
    </row>
    <row r="75" spans="2:32" x14ac:dyDescent="0.25">
      <c r="T75" s="5"/>
      <c r="Y75" s="9"/>
      <c r="Z75" s="9"/>
      <c r="AA75" s="9"/>
      <c r="AB75" s="9"/>
      <c r="AC75" s="9"/>
      <c r="AD75" s="9"/>
      <c r="AE75" s="9"/>
    </row>
    <row r="76" spans="2:32" x14ac:dyDescent="0.25">
      <c r="T76" s="5"/>
      <c r="Y76" s="9"/>
      <c r="Z76" s="9"/>
      <c r="AA76" s="9"/>
      <c r="AB76" s="9"/>
      <c r="AC76" s="9"/>
      <c r="AD76" s="9"/>
      <c r="AE76" s="9"/>
    </row>
    <row r="77" spans="2:32" x14ac:dyDescent="0.25">
      <c r="T77" s="5"/>
      <c r="Y77" s="9"/>
      <c r="Z77" s="9"/>
      <c r="AA77" s="9"/>
      <c r="AB77" s="9"/>
      <c r="AC77" s="9"/>
      <c r="AD77" s="9"/>
      <c r="AE77" s="9"/>
    </row>
    <row r="78" spans="2:32" x14ac:dyDescent="0.25">
      <c r="T78" s="5"/>
      <c r="Y78" s="9"/>
      <c r="Z78" s="9"/>
      <c r="AA78" s="9"/>
      <c r="AB78" s="9"/>
      <c r="AC78" s="9"/>
      <c r="AD78" s="9"/>
      <c r="AE78" s="9"/>
    </row>
    <row r="79" spans="2:32" x14ac:dyDescent="0.25">
      <c r="T79" s="5"/>
      <c r="Y79" s="9"/>
      <c r="Z79" s="9"/>
      <c r="AA79" s="9"/>
      <c r="AB79" s="9"/>
      <c r="AC79" s="9"/>
      <c r="AD79" s="9"/>
      <c r="AE79" s="9"/>
    </row>
    <row r="80" spans="2:32" x14ac:dyDescent="0.25">
      <c r="T80" s="5"/>
      <c r="Y80" s="9"/>
      <c r="Z80" s="9"/>
      <c r="AA80" s="9"/>
      <c r="AB80" s="9"/>
      <c r="AC80" s="9"/>
      <c r="AD80" s="9"/>
      <c r="AE80" s="9"/>
    </row>
    <row r="81" spans="20:31" x14ac:dyDescent="0.25">
      <c r="T81" s="5"/>
      <c r="Y81" s="9"/>
      <c r="Z81" s="9"/>
      <c r="AA81" s="9"/>
      <c r="AB81" s="9"/>
      <c r="AC81" s="9"/>
      <c r="AD81" s="9"/>
      <c r="AE81" s="9"/>
    </row>
    <row r="82" spans="20:31" x14ac:dyDescent="0.25">
      <c r="T82" s="5"/>
    </row>
    <row r="83" spans="20:31" x14ac:dyDescent="0.25">
      <c r="T83" s="5"/>
    </row>
    <row r="84" spans="20:31" x14ac:dyDescent="0.25">
      <c r="T84" s="5"/>
    </row>
    <row r="85" spans="20:31" x14ac:dyDescent="0.25">
      <c r="T85" s="5"/>
    </row>
    <row r="86" spans="20:31" x14ac:dyDescent="0.25">
      <c r="T86" s="5"/>
    </row>
  </sheetData>
  <autoFilter ref="B6:AE63" xr:uid="{65FA6D9B-E0AF-46CD-BA0D-86BB75FE6AB0}"/>
  <hyperlinks>
    <hyperlink ref="P21" r:id="rId1" xr:uid="{D59C9FB6-8642-4B31-A219-5CDC8A14837A}"/>
    <hyperlink ref="P25" r:id="rId2" xr:uid="{FC2B024D-D17F-4056-8B21-4697D4EC79C1}"/>
    <hyperlink ref="P30" r:id="rId3" xr:uid="{9EA5343B-93AC-49F8-94A5-740DC142ECDA}"/>
    <hyperlink ref="P39" r:id="rId4" xr:uid="{FD66A890-E788-4A8F-9A4F-16E14E3C22BF}"/>
    <hyperlink ref="P51" r:id="rId5" xr:uid="{6B66486F-70CB-42BD-8572-FC564419D710}"/>
    <hyperlink ref="P50" r:id="rId6" xr:uid="{A0F87DF2-DC22-4E1A-A4BF-15FBA5FD55C0}"/>
  </hyperlinks>
  <pageMargins left="0.7" right="0.7" top="0.75" bottom="0.75" header="0.3" footer="0.3"/>
  <pageSetup paperSize="9" orientation="portrait" r:id="rId7"/>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1709B-1C5D-4B48-B112-E2AF5285E0A6}">
  <sheetPr>
    <tabColor rgb="FFFFFF00"/>
  </sheetPr>
  <dimension ref="B1:AK88"/>
  <sheetViews>
    <sheetView topLeftCell="A15" zoomScale="80" zoomScaleNormal="80" workbookViewId="0">
      <selection activeCell="J10" sqref="J10"/>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1" spans="2:36" x14ac:dyDescent="0.25">
      <c r="B1" s="2" t="s">
        <v>76</v>
      </c>
    </row>
    <row r="2" spans="2:36" x14ac:dyDescent="0.25">
      <c r="B2" s="2" t="s">
        <v>73</v>
      </c>
    </row>
    <row r="3" spans="2:36" x14ac:dyDescent="0.25">
      <c r="B3" s="2" t="s">
        <v>50</v>
      </c>
    </row>
    <row r="4" spans="2:36" x14ac:dyDescent="0.25">
      <c r="B4" s="2" t="s">
        <v>51</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52</v>
      </c>
      <c r="D7" s="1" t="s">
        <v>53</v>
      </c>
      <c r="E7" s="3"/>
      <c r="F7" s="3"/>
      <c r="G7" s="3"/>
      <c r="H7" s="3"/>
      <c r="J7" s="1" t="s">
        <v>143</v>
      </c>
      <c r="K7" s="4"/>
      <c r="L7" s="4"/>
      <c r="M7" s="4"/>
      <c r="N7" s="4"/>
      <c r="O7" s="4"/>
      <c r="P7" s="27"/>
      <c r="Q7" s="25">
        <v>0</v>
      </c>
      <c r="R7" s="25">
        <v>0</v>
      </c>
      <c r="S7" s="12">
        <f t="shared" ref="S7:S10" si="0">+Q7*R7</f>
        <v>0</v>
      </c>
      <c r="T7" s="5">
        <v>0</v>
      </c>
      <c r="U7" s="12">
        <f>S7*(1-T7)</f>
        <v>0</v>
      </c>
      <c r="V7" s="25" t="s">
        <v>10</v>
      </c>
      <c r="W7" s="11">
        <f>IFERROR(VLOOKUP(V7,Curr!$B$2:$C$13,2,FALSE),0)</f>
        <v>11</v>
      </c>
      <c r="X7" s="12">
        <f t="shared" ref="X7:X10" si="1">U7*W7</f>
        <v>0</v>
      </c>
      <c r="Y7" s="26">
        <f>Q7</f>
        <v>0</v>
      </c>
      <c r="Z7" s="12">
        <f t="shared" ref="Z7:Z63" si="2">+Y7*R7</f>
        <v>0</v>
      </c>
      <c r="AA7" s="4" t="s">
        <v>10</v>
      </c>
      <c r="AB7" s="11">
        <f>IFERROR(VLOOKUP(AA7,Curr!$B$2:$C$13,2,FALSE),0)</f>
        <v>11</v>
      </c>
      <c r="AC7" s="12">
        <f t="shared" ref="AC7:AC63" si="3">+Y7*AB7*R7</f>
        <v>0</v>
      </c>
      <c r="AD7" s="12">
        <f t="shared" ref="AD7:AD63" si="4">+AC7-X7</f>
        <v>0</v>
      </c>
      <c r="AE7" s="13">
        <f t="shared" ref="AE7:AE63" si="5">IFERROR(AD7/AC7,0)</f>
        <v>0</v>
      </c>
    </row>
    <row r="8" spans="2:36" x14ac:dyDescent="0.25">
      <c r="B8" s="4"/>
      <c r="C8" s="1" t="s">
        <v>52</v>
      </c>
      <c r="D8" s="1" t="s">
        <v>54</v>
      </c>
      <c r="E8" s="3"/>
      <c r="F8" s="3"/>
      <c r="G8" s="24"/>
      <c r="H8" s="24"/>
      <c r="J8" s="1" t="s">
        <v>144</v>
      </c>
      <c r="K8" s="4"/>
      <c r="L8" s="4"/>
      <c r="M8" s="4"/>
      <c r="N8" s="4"/>
      <c r="O8" s="4"/>
      <c r="P8" s="27"/>
      <c r="Q8" s="25">
        <v>0</v>
      </c>
      <c r="R8" s="25">
        <v>0</v>
      </c>
      <c r="S8" s="12">
        <f t="shared" si="0"/>
        <v>0</v>
      </c>
      <c r="T8" s="5">
        <v>0</v>
      </c>
      <c r="U8" s="12">
        <f t="shared" ref="U8:U10" si="6">S8*(1-T8)</f>
        <v>0</v>
      </c>
      <c r="V8" s="25" t="s">
        <v>10</v>
      </c>
      <c r="W8" s="11">
        <f>IFERROR(VLOOKUP(V8,Curr!$B$2:$C$13,2,FALSE),0)</f>
        <v>11</v>
      </c>
      <c r="X8" s="12">
        <f t="shared" si="1"/>
        <v>0</v>
      </c>
      <c r="Y8" s="26">
        <f>Q8/0.8</f>
        <v>0</v>
      </c>
      <c r="Z8" s="12">
        <f t="shared" si="2"/>
        <v>0</v>
      </c>
      <c r="AA8" s="4" t="s">
        <v>10</v>
      </c>
      <c r="AB8" s="11">
        <f>IFERROR(VLOOKUP(AA8,Curr!$B$2:$C$13,2,FALSE),0)</f>
        <v>11</v>
      </c>
      <c r="AC8" s="12">
        <f t="shared" si="3"/>
        <v>0</v>
      </c>
      <c r="AD8" s="12">
        <f t="shared" si="4"/>
        <v>0</v>
      </c>
      <c r="AE8" s="13">
        <f t="shared" si="5"/>
        <v>0</v>
      </c>
    </row>
    <row r="9" spans="2:36" x14ac:dyDescent="0.25">
      <c r="B9" s="4"/>
      <c r="C9" s="1" t="s">
        <v>52</v>
      </c>
      <c r="D9" s="1" t="s">
        <v>55</v>
      </c>
      <c r="E9" s="3"/>
      <c r="F9" s="3"/>
      <c r="G9" s="24"/>
      <c r="H9" s="24"/>
      <c r="J9" s="1" t="s">
        <v>152</v>
      </c>
      <c r="K9" s="4"/>
      <c r="L9" s="4"/>
      <c r="M9" s="4"/>
      <c r="N9" s="4"/>
      <c r="O9" s="4"/>
      <c r="P9" s="33"/>
      <c r="Q9" s="25">
        <v>350</v>
      </c>
      <c r="R9" s="25">
        <v>1</v>
      </c>
      <c r="S9" s="12">
        <f t="shared" si="0"/>
        <v>350</v>
      </c>
      <c r="T9" s="5">
        <v>0</v>
      </c>
      <c r="U9" s="12">
        <f t="shared" si="6"/>
        <v>350</v>
      </c>
      <c r="V9" s="25" t="s">
        <v>10</v>
      </c>
      <c r="W9" s="11">
        <f>IFERROR(VLOOKUP(V9,Curr!$B$2:$C$13,2,FALSE),0)</f>
        <v>11</v>
      </c>
      <c r="X9" s="12">
        <f t="shared" si="1"/>
        <v>3850</v>
      </c>
      <c r="Y9" s="26">
        <f>Q9/0.85</f>
        <v>411.76470588235293</v>
      </c>
      <c r="Z9" s="12">
        <f t="shared" si="2"/>
        <v>411.76470588235293</v>
      </c>
      <c r="AA9" s="4" t="s">
        <v>10</v>
      </c>
      <c r="AB9" s="11">
        <f>IFERROR(VLOOKUP(AA9,Curr!$B$2:$C$13,2,FALSE),0)</f>
        <v>11</v>
      </c>
      <c r="AC9" s="12">
        <f t="shared" si="3"/>
        <v>4529.411764705882</v>
      </c>
      <c r="AD9" s="12">
        <f t="shared" si="4"/>
        <v>679.41176470588198</v>
      </c>
      <c r="AE9" s="13">
        <f t="shared" si="5"/>
        <v>0.14999999999999994</v>
      </c>
    </row>
    <row r="10" spans="2:36" x14ac:dyDescent="0.25">
      <c r="B10" s="4"/>
      <c r="C10" s="1" t="s">
        <v>52</v>
      </c>
      <c r="D10" s="1" t="s">
        <v>56</v>
      </c>
      <c r="E10" s="3"/>
      <c r="F10" s="3"/>
      <c r="G10" s="24"/>
      <c r="H10" s="24"/>
      <c r="J10" s="1" t="s">
        <v>78</v>
      </c>
      <c r="K10" s="4"/>
      <c r="L10" s="4"/>
      <c r="M10" s="4"/>
      <c r="N10" s="4"/>
      <c r="O10" s="4"/>
      <c r="P10" s="27"/>
      <c r="Q10" s="25">
        <v>0</v>
      </c>
      <c r="R10" s="25">
        <v>0</v>
      </c>
      <c r="S10" s="12">
        <f t="shared" si="0"/>
        <v>0</v>
      </c>
      <c r="T10" s="5">
        <v>0</v>
      </c>
      <c r="U10" s="12">
        <f t="shared" si="6"/>
        <v>0</v>
      </c>
      <c r="V10" s="25" t="s">
        <v>10</v>
      </c>
      <c r="W10" s="11">
        <f>IFERROR(VLOOKUP(V10,Curr!$B$2:$C$13,2,FALSE),0)</f>
        <v>11</v>
      </c>
      <c r="X10" s="12">
        <f t="shared" si="1"/>
        <v>0</v>
      </c>
      <c r="Y10" s="26">
        <f t="shared" ref="Y10" si="7">Q10</f>
        <v>0</v>
      </c>
      <c r="Z10" s="12">
        <f t="shared" si="2"/>
        <v>0</v>
      </c>
      <c r="AA10" s="4" t="s">
        <v>10</v>
      </c>
      <c r="AB10" s="11">
        <f>IFERROR(VLOOKUP(AA10,Curr!$B$2:$C$13,2,FALSE),0)</f>
        <v>11</v>
      </c>
      <c r="AC10" s="12">
        <f t="shared" si="3"/>
        <v>0</v>
      </c>
      <c r="AD10" s="12">
        <f t="shared" si="4"/>
        <v>0</v>
      </c>
      <c r="AE10" s="13">
        <f t="shared" si="5"/>
        <v>0</v>
      </c>
    </row>
    <row r="11" spans="2:36" x14ac:dyDescent="0.25">
      <c r="B11" s="4"/>
      <c r="E11" s="3"/>
      <c r="F11" s="3"/>
      <c r="G11" s="24"/>
      <c r="H11" s="24"/>
      <c r="K11" s="4"/>
      <c r="L11" s="4"/>
      <c r="M11" s="4"/>
      <c r="N11" s="4"/>
      <c r="O11" s="4"/>
      <c r="P11" s="27"/>
      <c r="Q11" s="25"/>
      <c r="R11" s="25"/>
      <c r="S11" s="12">
        <f t="shared" ref="S11:S12" si="8">+Q11*R11</f>
        <v>0</v>
      </c>
      <c r="T11" s="5">
        <v>0</v>
      </c>
      <c r="U11" s="12">
        <f t="shared" ref="U11:U12" si="9">S11*(1-T11)</f>
        <v>0</v>
      </c>
      <c r="V11" s="25" t="s">
        <v>10</v>
      </c>
      <c r="W11" s="11">
        <f>IFERROR(VLOOKUP(V11,Curr!$B$2:$C$13,2,FALSE),0)</f>
        <v>11</v>
      </c>
      <c r="X11" s="12">
        <f t="shared" ref="X11:X12" si="10">U11*W11</f>
        <v>0</v>
      </c>
      <c r="Y11" s="26">
        <f t="shared" ref="Y11" si="11">Q11</f>
        <v>0</v>
      </c>
      <c r="Z11" s="12">
        <f t="shared" ref="Z11" si="12">+Y11*R11</f>
        <v>0</v>
      </c>
      <c r="AA11" s="4" t="s">
        <v>10</v>
      </c>
      <c r="AB11" s="11">
        <f>IFERROR(VLOOKUP(AA11,Curr!$B$2:$C$13,2,FALSE),0)</f>
        <v>11</v>
      </c>
      <c r="AC11" s="12">
        <f t="shared" ref="AC11" si="13">+Y11*AB11*R11</f>
        <v>0</v>
      </c>
      <c r="AD11" s="12">
        <f t="shared" ref="AD11" si="14">+AC11-X11</f>
        <v>0</v>
      </c>
      <c r="AE11" s="13">
        <f t="shared" ref="AE11" si="15">IFERROR(AD11/AC11,0)</f>
        <v>0</v>
      </c>
    </row>
    <row r="12" spans="2:36" x14ac:dyDescent="0.25">
      <c r="B12" s="4"/>
      <c r="C12" s="1" t="s">
        <v>59</v>
      </c>
      <c r="D12" s="1" t="s">
        <v>57</v>
      </c>
      <c r="E12" s="3"/>
      <c r="F12" s="3"/>
      <c r="G12" s="24"/>
      <c r="H12" s="24"/>
      <c r="J12" s="1" t="s">
        <v>145</v>
      </c>
      <c r="K12" s="4"/>
      <c r="L12" s="4"/>
      <c r="M12" s="4"/>
      <c r="N12" s="4"/>
      <c r="O12" s="4" t="s">
        <v>42</v>
      </c>
      <c r="P12" s="29" t="s">
        <v>146</v>
      </c>
      <c r="Q12" s="25">
        <f>(40+40)+(50*2)</f>
        <v>180</v>
      </c>
      <c r="R12" s="25">
        <v>1</v>
      </c>
      <c r="S12" s="12">
        <f t="shared" si="8"/>
        <v>180</v>
      </c>
      <c r="T12" s="5">
        <v>0</v>
      </c>
      <c r="U12" s="12">
        <f t="shared" si="9"/>
        <v>180</v>
      </c>
      <c r="V12" s="25" t="s">
        <v>10</v>
      </c>
      <c r="W12" s="11">
        <f>IFERROR(VLOOKUP(V12,Curr!$B$2:$C$13,2,FALSE),0)</f>
        <v>11</v>
      </c>
      <c r="X12" s="12">
        <f t="shared" si="10"/>
        <v>1980</v>
      </c>
      <c r="Y12" s="26">
        <f>Q12/0.7</f>
        <v>257.14285714285717</v>
      </c>
      <c r="Z12" s="12">
        <f t="shared" si="2"/>
        <v>257.14285714285717</v>
      </c>
      <c r="AA12" s="4" t="s">
        <v>10</v>
      </c>
      <c r="AB12" s="11">
        <f>IFERROR(VLOOKUP(AA12,Curr!$B$2:$C$13,2,FALSE),0)</f>
        <v>11</v>
      </c>
      <c r="AC12" s="12">
        <f t="shared" si="3"/>
        <v>2828.5714285714289</v>
      </c>
      <c r="AD12" s="12">
        <f t="shared" si="4"/>
        <v>848.5714285714289</v>
      </c>
      <c r="AE12" s="13">
        <f t="shared" si="5"/>
        <v>0.3000000000000001</v>
      </c>
    </row>
    <row r="13" spans="2:36" x14ac:dyDescent="0.25">
      <c r="B13" s="4"/>
      <c r="C13" s="1" t="s">
        <v>59</v>
      </c>
      <c r="D13" s="1" t="s">
        <v>56</v>
      </c>
      <c r="E13" s="3"/>
      <c r="F13" s="3"/>
      <c r="G13" s="24"/>
      <c r="H13" s="24"/>
      <c r="J13" s="1" t="s">
        <v>78</v>
      </c>
      <c r="K13" s="4"/>
      <c r="L13" s="4"/>
      <c r="M13" s="4"/>
      <c r="N13" s="4"/>
      <c r="O13" s="4"/>
      <c r="P13" s="27"/>
      <c r="Q13" s="25">
        <v>0</v>
      </c>
      <c r="R13" s="25">
        <v>0</v>
      </c>
      <c r="S13" s="12">
        <f t="shared" ref="S13:S63" si="16">+Q13*R13</f>
        <v>0</v>
      </c>
      <c r="T13" s="5">
        <v>0</v>
      </c>
      <c r="U13" s="12">
        <f t="shared" ref="U13:U63" si="17">S13*(1-T13)</f>
        <v>0</v>
      </c>
      <c r="V13" s="25" t="s">
        <v>10</v>
      </c>
      <c r="W13" s="11">
        <f>IFERROR(VLOOKUP(V13,Curr!$B$2:$C$13,2,FALSE),0)</f>
        <v>11</v>
      </c>
      <c r="X13" s="12">
        <f t="shared" ref="X13:X63" si="18">U13*W13</f>
        <v>0</v>
      </c>
      <c r="Y13" s="26">
        <f t="shared" ref="Y13:Y63" si="19">Q13</f>
        <v>0</v>
      </c>
      <c r="Z13" s="12">
        <f t="shared" si="2"/>
        <v>0</v>
      </c>
      <c r="AA13" s="4" t="s">
        <v>10</v>
      </c>
      <c r="AB13" s="11">
        <f>IFERROR(VLOOKUP(AA13,Curr!$B$2:$C$13,2,FALSE),0)</f>
        <v>11</v>
      </c>
      <c r="AC13" s="12">
        <f t="shared" si="3"/>
        <v>0</v>
      </c>
      <c r="AD13" s="12">
        <f t="shared" si="4"/>
        <v>0</v>
      </c>
      <c r="AE13" s="13">
        <f t="shared" si="5"/>
        <v>0</v>
      </c>
    </row>
    <row r="14" spans="2:36" x14ac:dyDescent="0.25">
      <c r="B14" s="4"/>
      <c r="E14" s="3"/>
      <c r="F14" s="3"/>
      <c r="G14" s="24"/>
      <c r="H14" s="24"/>
      <c r="K14" s="4"/>
      <c r="L14" s="4"/>
      <c r="M14" s="4"/>
      <c r="N14" s="4"/>
      <c r="O14" s="4"/>
      <c r="P14" s="33"/>
      <c r="Q14" s="25"/>
      <c r="R14" s="25"/>
      <c r="S14" s="12">
        <f t="shared" si="16"/>
        <v>0</v>
      </c>
      <c r="T14" s="5">
        <v>0</v>
      </c>
      <c r="U14" s="12">
        <f t="shared" si="17"/>
        <v>0</v>
      </c>
      <c r="V14" s="25" t="s">
        <v>10</v>
      </c>
      <c r="W14" s="11">
        <f>IFERROR(VLOOKUP(V14,Curr!$B$2:$C$13,2,FALSE),0)</f>
        <v>11</v>
      </c>
      <c r="X14" s="12">
        <f t="shared" si="18"/>
        <v>0</v>
      </c>
      <c r="Y14" s="26">
        <f t="shared" si="19"/>
        <v>0</v>
      </c>
      <c r="Z14" s="12">
        <f t="shared" si="2"/>
        <v>0</v>
      </c>
      <c r="AA14" s="4" t="s">
        <v>10</v>
      </c>
      <c r="AB14" s="11">
        <f>IFERROR(VLOOKUP(AA14,Curr!$B$2:$C$13,2,FALSE),0)</f>
        <v>11</v>
      </c>
      <c r="AC14" s="12">
        <f t="shared" si="3"/>
        <v>0</v>
      </c>
      <c r="AD14" s="12">
        <f t="shared" si="4"/>
        <v>0</v>
      </c>
      <c r="AE14" s="13">
        <f t="shared" si="5"/>
        <v>0</v>
      </c>
    </row>
    <row r="15" spans="2:36" x14ac:dyDescent="0.25">
      <c r="B15" s="4"/>
      <c r="C15" s="1" t="s">
        <v>61</v>
      </c>
      <c r="D15" s="1" t="s">
        <v>56</v>
      </c>
      <c r="E15" s="3"/>
      <c r="F15" s="3"/>
      <c r="G15" s="24"/>
      <c r="H15" s="24"/>
      <c r="J15" s="1" t="s">
        <v>78</v>
      </c>
      <c r="K15" s="4"/>
      <c r="L15" s="4"/>
      <c r="M15" s="4"/>
      <c r="N15" s="4"/>
      <c r="O15" s="4"/>
      <c r="P15" s="27"/>
      <c r="Q15" s="25">
        <v>0</v>
      </c>
      <c r="R15" s="25">
        <v>0</v>
      </c>
      <c r="S15" s="12">
        <f t="shared" ref="S15" si="20">+Q15*R15</f>
        <v>0</v>
      </c>
      <c r="T15" s="5">
        <v>0</v>
      </c>
      <c r="U15" s="12">
        <f t="shared" ref="U15" si="21">S15*(1-T15)</f>
        <v>0</v>
      </c>
      <c r="V15" s="25" t="s">
        <v>10</v>
      </c>
      <c r="W15" s="11">
        <f>IFERROR(VLOOKUP(V15,Curr!$B$2:$C$13,2,FALSE),0)</f>
        <v>11</v>
      </c>
      <c r="X15" s="12">
        <f t="shared" ref="X15" si="22">U15*W15</f>
        <v>0</v>
      </c>
      <c r="Y15" s="26">
        <f t="shared" ref="Y15" si="23">Q15</f>
        <v>0</v>
      </c>
      <c r="Z15" s="12">
        <f t="shared" ref="Z15" si="24">+Y15*R15</f>
        <v>0</v>
      </c>
      <c r="AA15" s="4" t="s">
        <v>10</v>
      </c>
      <c r="AB15" s="11">
        <f>IFERROR(VLOOKUP(AA15,Curr!$B$2:$C$13,2,FALSE),0)</f>
        <v>11</v>
      </c>
      <c r="AC15" s="12">
        <f t="shared" ref="AC15" si="25">+Y15*AB15*R15</f>
        <v>0</v>
      </c>
      <c r="AD15" s="12">
        <f t="shared" ref="AD15" si="26">+AC15-X15</f>
        <v>0</v>
      </c>
      <c r="AE15" s="13">
        <f t="shared" ref="AE15" si="27">IFERROR(AD15/AC15,0)</f>
        <v>0</v>
      </c>
    </row>
    <row r="16" spans="2:36" x14ac:dyDescent="0.25">
      <c r="B16" s="4"/>
      <c r="C16" s="1" t="s">
        <v>61</v>
      </c>
      <c r="D16" s="1" t="s">
        <v>54</v>
      </c>
      <c r="E16" s="3"/>
      <c r="F16" s="3"/>
      <c r="G16" s="24"/>
      <c r="H16" s="24"/>
      <c r="J16" s="1" t="s">
        <v>147</v>
      </c>
      <c r="K16" s="4"/>
      <c r="L16" s="4"/>
      <c r="M16" s="4"/>
      <c r="N16" s="4"/>
      <c r="O16" s="4"/>
      <c r="P16" s="33"/>
      <c r="Q16" s="25">
        <v>0</v>
      </c>
      <c r="R16" s="25">
        <v>0</v>
      </c>
      <c r="S16" s="12">
        <f t="shared" si="16"/>
        <v>0</v>
      </c>
      <c r="T16" s="5">
        <v>0</v>
      </c>
      <c r="U16" s="12">
        <f t="shared" si="17"/>
        <v>0</v>
      </c>
      <c r="V16" s="25" t="s">
        <v>10</v>
      </c>
      <c r="W16" s="11">
        <f>IFERROR(VLOOKUP(V16,Curr!$B$2:$C$13,2,FALSE),0)</f>
        <v>11</v>
      </c>
      <c r="X16" s="12">
        <f t="shared" si="18"/>
        <v>0</v>
      </c>
      <c r="Y16" s="26">
        <f t="shared" si="19"/>
        <v>0</v>
      </c>
      <c r="Z16" s="12">
        <f t="shared" si="2"/>
        <v>0</v>
      </c>
      <c r="AA16" s="4" t="s">
        <v>10</v>
      </c>
      <c r="AB16" s="11">
        <f>IFERROR(VLOOKUP(AA16,Curr!$B$2:$C$13,2,FALSE),0)</f>
        <v>11</v>
      </c>
      <c r="AC16" s="12">
        <f t="shared" si="3"/>
        <v>0</v>
      </c>
      <c r="AD16" s="12">
        <f t="shared" si="4"/>
        <v>0</v>
      </c>
      <c r="AE16" s="13">
        <f t="shared" si="5"/>
        <v>0</v>
      </c>
    </row>
    <row r="17" spans="2:31" x14ac:dyDescent="0.25">
      <c r="B17" s="4"/>
      <c r="C17" s="1" t="s">
        <v>61</v>
      </c>
      <c r="D17" s="1" t="s">
        <v>77</v>
      </c>
      <c r="E17" s="3"/>
      <c r="F17" s="3"/>
      <c r="G17" s="24"/>
      <c r="H17" s="24"/>
      <c r="J17" s="1" t="s">
        <v>148</v>
      </c>
      <c r="K17" s="4"/>
      <c r="L17" s="4"/>
      <c r="M17" s="4"/>
      <c r="N17" s="4"/>
      <c r="O17" s="4" t="s">
        <v>42</v>
      </c>
      <c r="P17" s="29" t="s">
        <v>146</v>
      </c>
      <c r="Q17" s="25">
        <v>120</v>
      </c>
      <c r="R17" s="25">
        <v>1</v>
      </c>
      <c r="S17" s="12">
        <f t="shared" si="16"/>
        <v>120</v>
      </c>
      <c r="T17" s="5">
        <v>0</v>
      </c>
      <c r="U17" s="12">
        <f t="shared" si="17"/>
        <v>120</v>
      </c>
      <c r="V17" s="25" t="s">
        <v>10</v>
      </c>
      <c r="W17" s="11">
        <f>IFERROR(VLOOKUP(V17,Curr!$B$2:$C$13,2,FALSE),0)</f>
        <v>11</v>
      </c>
      <c r="X17" s="12">
        <f t="shared" si="18"/>
        <v>1320</v>
      </c>
      <c r="Y17" s="26">
        <f>Q17/0.75</f>
        <v>160</v>
      </c>
      <c r="Z17" s="12">
        <f t="shared" si="2"/>
        <v>160</v>
      </c>
      <c r="AA17" s="4" t="s">
        <v>10</v>
      </c>
      <c r="AB17" s="11">
        <f>IFERROR(VLOOKUP(AA17,Curr!$B$2:$C$13,2,FALSE),0)</f>
        <v>11</v>
      </c>
      <c r="AC17" s="12">
        <f t="shared" si="3"/>
        <v>1760</v>
      </c>
      <c r="AD17" s="12">
        <f t="shared" si="4"/>
        <v>440</v>
      </c>
      <c r="AE17" s="13">
        <f t="shared" si="5"/>
        <v>0.25</v>
      </c>
    </row>
    <row r="18" spans="2:31" x14ac:dyDescent="0.25">
      <c r="B18" s="4"/>
      <c r="E18" s="3"/>
      <c r="F18" s="3"/>
      <c r="G18" s="24"/>
      <c r="H18" s="24"/>
      <c r="K18" s="4"/>
      <c r="L18" s="4"/>
      <c r="M18" s="4"/>
      <c r="N18" s="4"/>
      <c r="O18" s="4"/>
      <c r="P18" s="27"/>
      <c r="Q18" s="25"/>
      <c r="R18" s="25"/>
      <c r="S18" s="12">
        <f t="shared" si="16"/>
        <v>0</v>
      </c>
      <c r="T18" s="5">
        <v>0</v>
      </c>
      <c r="U18" s="12">
        <f t="shared" si="17"/>
        <v>0</v>
      </c>
      <c r="V18" s="25" t="s">
        <v>10</v>
      </c>
      <c r="W18" s="11">
        <f>IFERROR(VLOOKUP(V18,Curr!$B$2:$C$13,2,FALSE),0)</f>
        <v>11</v>
      </c>
      <c r="X18" s="12">
        <f t="shared" si="18"/>
        <v>0</v>
      </c>
      <c r="Y18" s="26">
        <f t="shared" si="19"/>
        <v>0</v>
      </c>
      <c r="Z18" s="12">
        <f t="shared" si="2"/>
        <v>0</v>
      </c>
      <c r="AA18" s="4" t="s">
        <v>10</v>
      </c>
      <c r="AB18" s="11">
        <f>IFERROR(VLOOKUP(AA18,Curr!$B$2:$C$13,2,FALSE),0)</f>
        <v>11</v>
      </c>
      <c r="AC18" s="12">
        <f t="shared" si="3"/>
        <v>0</v>
      </c>
      <c r="AD18" s="12">
        <f t="shared" si="4"/>
        <v>0</v>
      </c>
      <c r="AE18" s="13">
        <f t="shared" si="5"/>
        <v>0</v>
      </c>
    </row>
    <row r="19" spans="2:31" x14ac:dyDescent="0.25">
      <c r="B19" s="4"/>
      <c r="C19" s="1" t="s">
        <v>62</v>
      </c>
      <c r="D19" s="1" t="s">
        <v>54</v>
      </c>
      <c r="E19" s="3"/>
      <c r="F19" s="3"/>
      <c r="G19" s="24"/>
      <c r="H19" s="24"/>
      <c r="J19" s="1" t="s">
        <v>100</v>
      </c>
      <c r="K19" s="4"/>
      <c r="L19" s="4"/>
      <c r="M19" s="4"/>
      <c r="N19" s="4"/>
      <c r="O19" s="4"/>
      <c r="P19" s="33"/>
      <c r="Q19" s="25">
        <v>0</v>
      </c>
      <c r="R19" s="25">
        <v>0</v>
      </c>
      <c r="S19" s="12">
        <f t="shared" si="16"/>
        <v>0</v>
      </c>
      <c r="T19" s="5">
        <v>0</v>
      </c>
      <c r="U19" s="12">
        <f t="shared" si="17"/>
        <v>0</v>
      </c>
      <c r="V19" s="25" t="s">
        <v>10</v>
      </c>
      <c r="W19" s="11">
        <f>IFERROR(VLOOKUP(V19,Curr!$B$2:$C$13,2,FALSE),0)</f>
        <v>11</v>
      </c>
      <c r="X19" s="12">
        <f t="shared" si="18"/>
        <v>0</v>
      </c>
      <c r="Y19" s="26">
        <f t="shared" si="19"/>
        <v>0</v>
      </c>
      <c r="Z19" s="12">
        <f t="shared" si="2"/>
        <v>0</v>
      </c>
      <c r="AA19" s="4" t="s">
        <v>10</v>
      </c>
      <c r="AB19" s="11">
        <f>IFERROR(VLOOKUP(AA19,Curr!$B$2:$C$13,2,FALSE),0)</f>
        <v>11</v>
      </c>
      <c r="AC19" s="12">
        <f t="shared" si="3"/>
        <v>0</v>
      </c>
      <c r="AD19" s="12">
        <f t="shared" si="4"/>
        <v>0</v>
      </c>
      <c r="AE19" s="13">
        <f t="shared" si="5"/>
        <v>0</v>
      </c>
    </row>
    <row r="20" spans="2:31" x14ac:dyDescent="0.25">
      <c r="B20" s="4"/>
      <c r="C20" s="1" t="s">
        <v>62</v>
      </c>
      <c r="D20" s="1" t="s">
        <v>55</v>
      </c>
      <c r="E20" s="3"/>
      <c r="F20" s="3"/>
      <c r="G20" s="24"/>
      <c r="H20" s="24"/>
      <c r="J20" s="1" t="s">
        <v>114</v>
      </c>
      <c r="K20" s="4"/>
      <c r="L20" s="4"/>
      <c r="M20" s="4"/>
      <c r="N20" s="4"/>
      <c r="O20" s="4"/>
      <c r="P20" s="27"/>
      <c r="Q20" s="25">
        <v>500</v>
      </c>
      <c r="R20" s="25">
        <v>1</v>
      </c>
      <c r="S20" s="12">
        <f t="shared" si="16"/>
        <v>500</v>
      </c>
      <c r="T20" s="5">
        <v>0</v>
      </c>
      <c r="U20" s="12">
        <f t="shared" si="17"/>
        <v>500</v>
      </c>
      <c r="V20" s="25" t="s">
        <v>10</v>
      </c>
      <c r="W20" s="11">
        <f>IFERROR(VLOOKUP(V20,Curr!$B$2:$C$13,2,FALSE),0)</f>
        <v>11</v>
      </c>
      <c r="X20" s="12">
        <f t="shared" si="18"/>
        <v>5500</v>
      </c>
      <c r="Y20" s="26">
        <f>Q20/0.8</f>
        <v>625</v>
      </c>
      <c r="Z20" s="12">
        <f t="shared" ref="Z20" si="28">+Y20*R20</f>
        <v>625</v>
      </c>
      <c r="AA20" s="4" t="s">
        <v>10</v>
      </c>
      <c r="AB20" s="11">
        <f>IFERROR(VLOOKUP(AA20,Curr!$B$2:$C$13,2,FALSE),0)</f>
        <v>11</v>
      </c>
      <c r="AC20" s="12">
        <f t="shared" ref="AC20" si="29">+Y20*AB20*R20</f>
        <v>6875</v>
      </c>
      <c r="AD20" s="12">
        <f t="shared" ref="AD20" si="30">+AC20-X20</f>
        <v>1375</v>
      </c>
      <c r="AE20" s="13">
        <f t="shared" ref="AE20" si="31">IFERROR(AD20/AC20,0)</f>
        <v>0.2</v>
      </c>
    </row>
    <row r="21" spans="2:31" x14ac:dyDescent="0.25">
      <c r="B21" s="4"/>
      <c r="C21" s="1" t="s">
        <v>62</v>
      </c>
      <c r="D21" s="1" t="s">
        <v>56</v>
      </c>
      <c r="E21" s="3"/>
      <c r="F21" s="3"/>
      <c r="G21" s="24"/>
      <c r="H21" s="24"/>
      <c r="J21" s="1" t="s">
        <v>79</v>
      </c>
      <c r="K21" s="4"/>
      <c r="L21" s="4"/>
      <c r="M21" s="4"/>
      <c r="N21" s="4"/>
      <c r="O21" s="4"/>
      <c r="P21" s="27"/>
      <c r="Q21" s="25">
        <v>0</v>
      </c>
      <c r="R21" s="25">
        <v>0</v>
      </c>
      <c r="S21" s="12">
        <f t="shared" si="16"/>
        <v>0</v>
      </c>
      <c r="T21" s="5">
        <v>0</v>
      </c>
      <c r="U21" s="12">
        <f t="shared" si="17"/>
        <v>0</v>
      </c>
      <c r="V21" s="25" t="s">
        <v>10</v>
      </c>
      <c r="W21" s="11">
        <f>IFERROR(VLOOKUP(V21,Curr!$B$2:$C$13,2,FALSE),0)</f>
        <v>11</v>
      </c>
      <c r="X21" s="12">
        <f t="shared" si="18"/>
        <v>0</v>
      </c>
      <c r="Y21" s="26">
        <f t="shared" si="19"/>
        <v>0</v>
      </c>
      <c r="Z21" s="12">
        <f t="shared" si="2"/>
        <v>0</v>
      </c>
      <c r="AA21" s="4" t="s">
        <v>10</v>
      </c>
      <c r="AB21" s="11">
        <f>IFERROR(VLOOKUP(AA21,Curr!$B$2:$C$13,2,FALSE),0)</f>
        <v>11</v>
      </c>
      <c r="AC21" s="12">
        <f t="shared" si="3"/>
        <v>0</v>
      </c>
      <c r="AD21" s="12">
        <f t="shared" si="4"/>
        <v>0</v>
      </c>
      <c r="AE21" s="13">
        <f t="shared" si="5"/>
        <v>0</v>
      </c>
    </row>
    <row r="22" spans="2:31" x14ac:dyDescent="0.25">
      <c r="B22" s="4"/>
      <c r="E22" s="3"/>
      <c r="F22" s="3"/>
      <c r="G22" s="24"/>
      <c r="H22" s="24"/>
      <c r="K22" s="4"/>
      <c r="L22" s="4"/>
      <c r="M22" s="4"/>
      <c r="N22" s="4"/>
      <c r="O22" s="4"/>
      <c r="P22" s="33"/>
      <c r="Q22" s="25"/>
      <c r="R22" s="25"/>
      <c r="S22" s="12">
        <f t="shared" si="16"/>
        <v>0</v>
      </c>
      <c r="T22" s="5">
        <v>0</v>
      </c>
      <c r="U22" s="12">
        <f t="shared" si="17"/>
        <v>0</v>
      </c>
      <c r="V22" s="25" t="s">
        <v>10</v>
      </c>
      <c r="W22" s="11">
        <f>IFERROR(VLOOKUP(V22,Curr!$B$2:$C$13,2,FALSE),0)</f>
        <v>11</v>
      </c>
      <c r="X22" s="12">
        <f t="shared" si="18"/>
        <v>0</v>
      </c>
      <c r="Y22" s="26">
        <f t="shared" si="19"/>
        <v>0</v>
      </c>
      <c r="Z22" s="12">
        <f t="shared" si="2"/>
        <v>0</v>
      </c>
      <c r="AA22" s="4" t="s">
        <v>10</v>
      </c>
      <c r="AB22" s="11">
        <f>IFERROR(VLOOKUP(AA22,Curr!$B$2:$C$13,2,FALSE),0)</f>
        <v>11</v>
      </c>
      <c r="AC22" s="12">
        <f t="shared" si="3"/>
        <v>0</v>
      </c>
      <c r="AD22" s="12">
        <f t="shared" si="4"/>
        <v>0</v>
      </c>
      <c r="AE22" s="13">
        <f t="shared" si="5"/>
        <v>0</v>
      </c>
    </row>
    <row r="23" spans="2:31" x14ac:dyDescent="0.25">
      <c r="B23" s="4"/>
      <c r="C23" s="1" t="s">
        <v>63</v>
      </c>
      <c r="D23" s="1" t="s">
        <v>57</v>
      </c>
      <c r="E23" s="3"/>
      <c r="F23" s="3"/>
      <c r="G23" s="24"/>
      <c r="H23" s="24"/>
      <c r="J23" s="1" t="s">
        <v>101</v>
      </c>
      <c r="K23" s="4"/>
      <c r="L23" s="4"/>
      <c r="M23" s="4"/>
      <c r="N23" s="4"/>
      <c r="O23" s="4"/>
      <c r="P23" s="33" t="s">
        <v>102</v>
      </c>
      <c r="Q23" s="25">
        <v>156</v>
      </c>
      <c r="R23" s="25">
        <v>2</v>
      </c>
      <c r="S23" s="12">
        <f t="shared" si="16"/>
        <v>312</v>
      </c>
      <c r="T23" s="5">
        <v>0.2</v>
      </c>
      <c r="U23" s="12">
        <f t="shared" si="17"/>
        <v>249.60000000000002</v>
      </c>
      <c r="V23" s="25" t="s">
        <v>10</v>
      </c>
      <c r="W23" s="11">
        <f>IFERROR(VLOOKUP(V23,Curr!$B$2:$C$13,2,FALSE),0)</f>
        <v>11</v>
      </c>
      <c r="X23" s="12">
        <f t="shared" si="18"/>
        <v>2745.6000000000004</v>
      </c>
      <c r="Y23" s="26">
        <f t="shared" si="19"/>
        <v>156</v>
      </c>
      <c r="Z23" s="12">
        <f t="shared" ref="Z23" si="32">+Y23*R23</f>
        <v>312</v>
      </c>
      <c r="AA23" s="4" t="s">
        <v>10</v>
      </c>
      <c r="AB23" s="11">
        <f>IFERROR(VLOOKUP(AA23,Curr!$B$2:$C$13,2,FALSE),0)</f>
        <v>11</v>
      </c>
      <c r="AC23" s="12">
        <f t="shared" ref="AC23" si="33">+Y23*AB23*R23</f>
        <v>3432</v>
      </c>
      <c r="AD23" s="12">
        <f t="shared" ref="AD23" si="34">+AC23-X23</f>
        <v>686.39999999999964</v>
      </c>
      <c r="AE23" s="13">
        <f t="shared" ref="AE23" si="35">IFERROR(AD23/AC23,0)</f>
        <v>0.1999999999999999</v>
      </c>
    </row>
    <row r="24" spans="2:31" x14ac:dyDescent="0.25">
      <c r="B24" s="4"/>
      <c r="C24" s="1" t="s">
        <v>63</v>
      </c>
      <c r="D24" s="1" t="s">
        <v>56</v>
      </c>
      <c r="E24" s="3"/>
      <c r="F24" s="3"/>
      <c r="G24" s="24"/>
      <c r="H24" s="24"/>
      <c r="J24" s="1" t="s">
        <v>79</v>
      </c>
      <c r="K24" s="4"/>
      <c r="L24" s="4"/>
      <c r="M24" s="4"/>
      <c r="N24" s="4"/>
      <c r="O24" s="4"/>
      <c r="P24" s="27"/>
      <c r="Q24" s="25">
        <v>0</v>
      </c>
      <c r="R24" s="25">
        <v>0</v>
      </c>
      <c r="S24" s="12">
        <f t="shared" si="16"/>
        <v>0</v>
      </c>
      <c r="T24" s="5">
        <v>0</v>
      </c>
      <c r="U24" s="12">
        <f t="shared" si="17"/>
        <v>0</v>
      </c>
      <c r="V24" s="25" t="s">
        <v>10</v>
      </c>
      <c r="W24" s="11">
        <f>IFERROR(VLOOKUP(V24,Curr!$B$2:$C$13,2,FALSE),0)</f>
        <v>11</v>
      </c>
      <c r="X24" s="12">
        <f t="shared" si="18"/>
        <v>0</v>
      </c>
      <c r="Y24" s="26">
        <f t="shared" si="19"/>
        <v>0</v>
      </c>
      <c r="Z24" s="12">
        <f t="shared" si="2"/>
        <v>0</v>
      </c>
      <c r="AA24" s="4" t="s">
        <v>10</v>
      </c>
      <c r="AB24" s="11">
        <f>IFERROR(VLOOKUP(AA24,Curr!$B$2:$C$13,2,FALSE),0)</f>
        <v>11</v>
      </c>
      <c r="AC24" s="12">
        <f t="shared" si="3"/>
        <v>0</v>
      </c>
      <c r="AD24" s="12">
        <f t="shared" si="4"/>
        <v>0</v>
      </c>
      <c r="AE24" s="13">
        <f t="shared" si="5"/>
        <v>0</v>
      </c>
    </row>
    <row r="25" spans="2:31" x14ac:dyDescent="0.25">
      <c r="B25" s="4"/>
      <c r="E25" s="3"/>
      <c r="F25" s="3"/>
      <c r="G25" s="24"/>
      <c r="H25" s="24"/>
      <c r="K25" s="4"/>
      <c r="L25" s="4"/>
      <c r="M25" s="4"/>
      <c r="N25" s="4"/>
      <c r="O25" s="4"/>
      <c r="P25" s="27"/>
      <c r="Q25" s="25"/>
      <c r="R25" s="25"/>
      <c r="S25" s="12">
        <f t="shared" si="16"/>
        <v>0</v>
      </c>
      <c r="T25" s="5">
        <v>0</v>
      </c>
      <c r="U25" s="12">
        <f t="shared" si="17"/>
        <v>0</v>
      </c>
      <c r="V25" s="25" t="s">
        <v>10</v>
      </c>
      <c r="W25" s="11">
        <f>IFERROR(VLOOKUP(V25,Curr!$B$2:$C$13,2,FALSE),0)</f>
        <v>11</v>
      </c>
      <c r="X25" s="12">
        <f t="shared" si="18"/>
        <v>0</v>
      </c>
      <c r="Y25" s="26">
        <f t="shared" si="19"/>
        <v>0</v>
      </c>
      <c r="Z25" s="12">
        <f t="shared" si="2"/>
        <v>0</v>
      </c>
      <c r="AA25" s="4" t="s">
        <v>10</v>
      </c>
      <c r="AB25" s="11">
        <f>IFERROR(VLOOKUP(AA25,Curr!$B$2:$C$13,2,FALSE),0)</f>
        <v>11</v>
      </c>
      <c r="AC25" s="12">
        <f t="shared" si="3"/>
        <v>0</v>
      </c>
      <c r="AD25" s="12">
        <f t="shared" si="4"/>
        <v>0</v>
      </c>
      <c r="AE25" s="13">
        <f t="shared" si="5"/>
        <v>0</v>
      </c>
    </row>
    <row r="26" spans="2:31" x14ac:dyDescent="0.25">
      <c r="B26" s="4"/>
      <c r="C26" s="1" t="s">
        <v>64</v>
      </c>
      <c r="D26" s="1" t="s">
        <v>54</v>
      </c>
      <c r="E26" s="3"/>
      <c r="F26" s="3"/>
      <c r="G26" s="24"/>
      <c r="H26" s="24"/>
      <c r="J26" s="1" t="s">
        <v>103</v>
      </c>
      <c r="K26" s="4"/>
      <c r="L26" s="4"/>
      <c r="M26" s="4"/>
      <c r="N26" s="4"/>
      <c r="O26" s="4"/>
      <c r="P26" s="33"/>
      <c r="Q26" s="25">
        <v>0</v>
      </c>
      <c r="R26" s="25">
        <v>0</v>
      </c>
      <c r="S26" s="12">
        <f t="shared" si="16"/>
        <v>0</v>
      </c>
      <c r="T26" s="5">
        <v>0</v>
      </c>
      <c r="U26" s="12">
        <f t="shared" si="17"/>
        <v>0</v>
      </c>
      <c r="V26" s="25" t="s">
        <v>10</v>
      </c>
      <c r="W26" s="11">
        <f>IFERROR(VLOOKUP(V26,Curr!$B$2:$C$13,2,FALSE),0)</f>
        <v>11</v>
      </c>
      <c r="X26" s="12">
        <f t="shared" si="18"/>
        <v>0</v>
      </c>
      <c r="Y26" s="26">
        <f t="shared" si="19"/>
        <v>0</v>
      </c>
      <c r="Z26" s="12">
        <f t="shared" si="2"/>
        <v>0</v>
      </c>
      <c r="AA26" s="4" t="s">
        <v>10</v>
      </c>
      <c r="AB26" s="11">
        <f>IFERROR(VLOOKUP(AA26,Curr!$B$2:$C$13,2,FALSE),0)</f>
        <v>11</v>
      </c>
      <c r="AC26" s="12">
        <f t="shared" si="3"/>
        <v>0</v>
      </c>
      <c r="AD26" s="12">
        <f t="shared" si="4"/>
        <v>0</v>
      </c>
      <c r="AE26" s="13">
        <f t="shared" si="5"/>
        <v>0</v>
      </c>
    </row>
    <row r="27" spans="2:31" x14ac:dyDescent="0.25">
      <c r="B27" s="4"/>
      <c r="C27" s="1" t="s">
        <v>64</v>
      </c>
      <c r="D27" s="1" t="s">
        <v>58</v>
      </c>
      <c r="E27" s="3"/>
      <c r="F27" s="3"/>
      <c r="G27" s="24"/>
      <c r="H27" s="24"/>
      <c r="J27" s="1" t="s">
        <v>149</v>
      </c>
      <c r="K27" s="4"/>
      <c r="L27" s="4"/>
      <c r="M27" s="4"/>
      <c r="N27" s="4"/>
      <c r="O27" s="4"/>
      <c r="P27" s="27"/>
      <c r="Q27" s="25">
        <v>2000</v>
      </c>
      <c r="R27" s="25">
        <v>1</v>
      </c>
      <c r="S27" s="12">
        <f t="shared" si="16"/>
        <v>2000</v>
      </c>
      <c r="T27" s="5">
        <v>0</v>
      </c>
      <c r="U27" s="12">
        <f t="shared" si="17"/>
        <v>2000</v>
      </c>
      <c r="V27" s="25" t="s">
        <v>8</v>
      </c>
      <c r="W27" s="11">
        <f>IFERROR(VLOOKUP(V27,Curr!$B$2:$C$13,2,FALSE),0)</f>
        <v>1</v>
      </c>
      <c r="X27" s="12">
        <f t="shared" si="18"/>
        <v>2000</v>
      </c>
      <c r="Y27" s="26">
        <f>Q27/11.3/0.8</f>
        <v>221.23893805309734</v>
      </c>
      <c r="Z27" s="12">
        <f t="shared" si="2"/>
        <v>221.23893805309734</v>
      </c>
      <c r="AA27" s="4" t="s">
        <v>10</v>
      </c>
      <c r="AB27" s="11">
        <f>IFERROR(VLOOKUP(AA27,Curr!$B$2:$C$13,2,FALSE),0)</f>
        <v>11</v>
      </c>
      <c r="AC27" s="12">
        <f t="shared" si="3"/>
        <v>2433.6283185840707</v>
      </c>
      <c r="AD27" s="12">
        <f t="shared" si="4"/>
        <v>433.62831858407071</v>
      </c>
      <c r="AE27" s="13">
        <f t="shared" si="5"/>
        <v>0.17818181818181816</v>
      </c>
    </row>
    <row r="28" spans="2:31" x14ac:dyDescent="0.25">
      <c r="B28" s="4"/>
      <c r="C28" s="1" t="s">
        <v>64</v>
      </c>
      <c r="D28" s="1" t="s">
        <v>54</v>
      </c>
      <c r="E28" s="3"/>
      <c r="F28" s="3"/>
      <c r="G28" s="24"/>
      <c r="H28" s="24"/>
      <c r="J28" s="1" t="s">
        <v>94</v>
      </c>
      <c r="K28" s="4"/>
      <c r="L28" s="4"/>
      <c r="M28" s="4"/>
      <c r="N28" s="4"/>
      <c r="O28" s="4"/>
      <c r="P28" s="33"/>
      <c r="Q28" s="25">
        <v>0</v>
      </c>
      <c r="R28" s="25">
        <v>0</v>
      </c>
      <c r="S28" s="12">
        <f t="shared" si="16"/>
        <v>0</v>
      </c>
      <c r="T28" s="5">
        <v>0</v>
      </c>
      <c r="U28" s="12">
        <f t="shared" si="17"/>
        <v>0</v>
      </c>
      <c r="V28" s="25" t="s">
        <v>10</v>
      </c>
      <c r="W28" s="11">
        <f>IFERROR(VLOOKUP(V28,Curr!$B$2:$C$13,2,FALSE),0)</f>
        <v>11</v>
      </c>
      <c r="X28" s="12">
        <f t="shared" si="18"/>
        <v>0</v>
      </c>
      <c r="Y28" s="26">
        <f t="shared" ref="Y28:Y30" si="36">Q28</f>
        <v>0</v>
      </c>
      <c r="Z28" s="12">
        <f t="shared" si="2"/>
        <v>0</v>
      </c>
      <c r="AA28" s="4" t="s">
        <v>10</v>
      </c>
      <c r="AB28" s="11">
        <f>IFERROR(VLOOKUP(AA28,Curr!$B$2:$C$13,2,FALSE),0)</f>
        <v>11</v>
      </c>
      <c r="AC28" s="12">
        <f t="shared" si="3"/>
        <v>0</v>
      </c>
      <c r="AD28" s="12">
        <f t="shared" si="4"/>
        <v>0</v>
      </c>
      <c r="AE28" s="13">
        <f t="shared" si="5"/>
        <v>0</v>
      </c>
    </row>
    <row r="29" spans="2:31" x14ac:dyDescent="0.25">
      <c r="B29" s="4"/>
      <c r="C29" s="1" t="s">
        <v>64</v>
      </c>
      <c r="D29" s="1" t="s">
        <v>55</v>
      </c>
      <c r="E29" s="3"/>
      <c r="F29" s="3"/>
      <c r="G29" s="24"/>
      <c r="H29" s="24"/>
      <c r="J29" s="1" t="s">
        <v>113</v>
      </c>
      <c r="K29" s="4"/>
      <c r="L29" s="4"/>
      <c r="M29" s="4"/>
      <c r="N29" s="4"/>
      <c r="O29" s="4"/>
      <c r="P29" s="27"/>
      <c r="Q29" s="25">
        <v>440</v>
      </c>
      <c r="R29" s="25">
        <v>1</v>
      </c>
      <c r="S29" s="12">
        <f t="shared" si="16"/>
        <v>440</v>
      </c>
      <c r="T29" s="5">
        <v>0</v>
      </c>
      <c r="U29" s="12">
        <f t="shared" si="17"/>
        <v>440</v>
      </c>
      <c r="V29" s="25" t="s">
        <v>10</v>
      </c>
      <c r="W29" s="11">
        <f>IFERROR(VLOOKUP(V29,Curr!$B$2:$C$13,2,FALSE),0)</f>
        <v>11</v>
      </c>
      <c r="X29" s="12">
        <f t="shared" si="18"/>
        <v>4840</v>
      </c>
      <c r="Y29" s="26">
        <f>Q29/0.8</f>
        <v>550</v>
      </c>
      <c r="Z29" s="12">
        <f t="shared" ref="Z29" si="37">+Y29*R29</f>
        <v>550</v>
      </c>
      <c r="AA29" s="4" t="s">
        <v>10</v>
      </c>
      <c r="AB29" s="11">
        <f>IFERROR(VLOOKUP(AA29,Curr!$B$2:$C$13,2,FALSE),0)</f>
        <v>11</v>
      </c>
      <c r="AC29" s="12">
        <f t="shared" ref="AC29" si="38">+Y29*AB29*R29</f>
        <v>6050</v>
      </c>
      <c r="AD29" s="12">
        <f t="shared" ref="AD29" si="39">+AC29-X29</f>
        <v>1210</v>
      </c>
      <c r="AE29" s="13">
        <f t="shared" ref="AE29" si="40">IFERROR(AD29/AC29,0)</f>
        <v>0.2</v>
      </c>
    </row>
    <row r="30" spans="2:31" x14ac:dyDescent="0.25">
      <c r="B30" s="4"/>
      <c r="C30" s="1" t="s">
        <v>64</v>
      </c>
      <c r="D30" s="1" t="s">
        <v>56</v>
      </c>
      <c r="E30" s="3"/>
      <c r="F30" s="3"/>
      <c r="G30" s="24"/>
      <c r="H30" s="24"/>
      <c r="J30" s="1" t="s">
        <v>80</v>
      </c>
      <c r="K30" s="4"/>
      <c r="L30" s="4"/>
      <c r="M30" s="4"/>
      <c r="N30" s="4"/>
      <c r="O30" s="4"/>
      <c r="P30" s="27"/>
      <c r="Q30" s="25">
        <v>0</v>
      </c>
      <c r="R30" s="25">
        <v>0</v>
      </c>
      <c r="S30" s="12">
        <f t="shared" si="16"/>
        <v>0</v>
      </c>
      <c r="T30" s="5">
        <v>0</v>
      </c>
      <c r="U30" s="12">
        <f t="shared" si="17"/>
        <v>0</v>
      </c>
      <c r="V30" s="25" t="s">
        <v>10</v>
      </c>
      <c r="W30" s="11">
        <f>IFERROR(VLOOKUP(V30,Curr!$B$2:$C$13,2,FALSE),0)</f>
        <v>11</v>
      </c>
      <c r="X30" s="12">
        <f t="shared" si="18"/>
        <v>0</v>
      </c>
      <c r="Y30" s="26">
        <f t="shared" si="36"/>
        <v>0</v>
      </c>
      <c r="Z30" s="12">
        <f t="shared" si="2"/>
        <v>0</v>
      </c>
      <c r="AA30" s="4" t="s">
        <v>10</v>
      </c>
      <c r="AB30" s="11">
        <f>IFERROR(VLOOKUP(AA30,Curr!$B$2:$C$13,2,FALSE),0)</f>
        <v>11</v>
      </c>
      <c r="AC30" s="12">
        <f t="shared" si="3"/>
        <v>0</v>
      </c>
      <c r="AD30" s="12">
        <f t="shared" si="4"/>
        <v>0</v>
      </c>
      <c r="AE30" s="13">
        <f t="shared" si="5"/>
        <v>0</v>
      </c>
    </row>
    <row r="31" spans="2:31" x14ac:dyDescent="0.25">
      <c r="B31" s="4"/>
      <c r="E31" s="3"/>
      <c r="F31" s="3"/>
      <c r="G31" s="24"/>
      <c r="H31" s="24"/>
      <c r="K31" s="4"/>
      <c r="L31" s="4"/>
      <c r="M31" s="4"/>
      <c r="N31" s="4"/>
      <c r="O31" s="4"/>
      <c r="P31" s="27"/>
      <c r="Q31" s="25"/>
      <c r="R31" s="25"/>
      <c r="S31" s="12">
        <f t="shared" si="16"/>
        <v>0</v>
      </c>
      <c r="T31" s="5">
        <v>0</v>
      </c>
      <c r="U31" s="12">
        <f t="shared" si="17"/>
        <v>0</v>
      </c>
      <c r="V31" s="25" t="s">
        <v>10</v>
      </c>
      <c r="W31" s="11">
        <f>IFERROR(VLOOKUP(V31,Curr!$B$2:$C$13,2,FALSE),0)</f>
        <v>11</v>
      </c>
      <c r="X31" s="12">
        <f t="shared" si="18"/>
        <v>0</v>
      </c>
      <c r="Y31" s="26">
        <f t="shared" si="19"/>
        <v>0</v>
      </c>
      <c r="Z31" s="12">
        <f t="shared" si="2"/>
        <v>0</v>
      </c>
      <c r="AA31" s="4" t="s">
        <v>10</v>
      </c>
      <c r="AB31" s="11">
        <f>IFERROR(VLOOKUP(AA31,Curr!$B$2:$C$13,2,FALSE),0)</f>
        <v>11</v>
      </c>
      <c r="AC31" s="12">
        <f t="shared" si="3"/>
        <v>0</v>
      </c>
      <c r="AD31" s="12">
        <f t="shared" si="4"/>
        <v>0</v>
      </c>
      <c r="AE31" s="13">
        <f t="shared" si="5"/>
        <v>0</v>
      </c>
    </row>
    <row r="32" spans="2:31" x14ac:dyDescent="0.25">
      <c r="B32" s="4"/>
      <c r="C32" s="1" t="s">
        <v>65</v>
      </c>
      <c r="D32" s="1" t="s">
        <v>57</v>
      </c>
      <c r="E32" s="3"/>
      <c r="F32" s="3"/>
      <c r="G32" s="24"/>
      <c r="H32" s="24"/>
      <c r="J32" s="1" t="s">
        <v>95</v>
      </c>
      <c r="K32" s="4"/>
      <c r="L32" s="4"/>
      <c r="M32" s="4"/>
      <c r="N32" s="4"/>
      <c r="O32" s="4"/>
      <c r="P32" s="27" t="s">
        <v>96</v>
      </c>
      <c r="Q32" s="25">
        <v>54</v>
      </c>
      <c r="R32" s="25">
        <v>2</v>
      </c>
      <c r="S32" s="12">
        <f t="shared" si="16"/>
        <v>108</v>
      </c>
      <c r="T32" s="5">
        <v>0.2</v>
      </c>
      <c r="U32" s="12">
        <f t="shared" si="17"/>
        <v>86.4</v>
      </c>
      <c r="V32" s="25" t="s">
        <v>10</v>
      </c>
      <c r="W32" s="11">
        <f>IFERROR(VLOOKUP(V32,Curr!$B$2:$C$13,2,FALSE),0)</f>
        <v>11</v>
      </c>
      <c r="X32" s="12">
        <f t="shared" si="18"/>
        <v>950.40000000000009</v>
      </c>
      <c r="Y32" s="26">
        <f t="shared" si="19"/>
        <v>54</v>
      </c>
      <c r="Z32" s="12">
        <f t="shared" ref="Z32" si="41">+Y32*R32</f>
        <v>108</v>
      </c>
      <c r="AA32" s="4" t="s">
        <v>10</v>
      </c>
      <c r="AB32" s="11">
        <f>IFERROR(VLOOKUP(AA32,Curr!$B$2:$C$13,2,FALSE),0)</f>
        <v>11</v>
      </c>
      <c r="AC32" s="12">
        <f t="shared" ref="AC32" si="42">+Y32*AB32*R32</f>
        <v>1188</v>
      </c>
      <c r="AD32" s="12">
        <f t="shared" ref="AD32" si="43">+AC32-X32</f>
        <v>237.59999999999991</v>
      </c>
      <c r="AE32" s="13">
        <f t="shared" ref="AE32" si="44">IFERROR(AD32/AC32,0)</f>
        <v>0.19999999999999993</v>
      </c>
    </row>
    <row r="33" spans="2:31" x14ac:dyDescent="0.25">
      <c r="B33" s="4"/>
      <c r="C33" s="1" t="s">
        <v>65</v>
      </c>
      <c r="D33" s="1" t="s">
        <v>56</v>
      </c>
      <c r="E33" s="3"/>
      <c r="F33" s="3"/>
      <c r="G33" s="24"/>
      <c r="H33" s="24"/>
      <c r="J33" s="1" t="s">
        <v>80</v>
      </c>
      <c r="K33" s="4"/>
      <c r="L33" s="4"/>
      <c r="M33" s="4"/>
      <c r="N33" s="4"/>
      <c r="O33" s="4"/>
      <c r="P33" s="27"/>
      <c r="Q33" s="25">
        <v>0</v>
      </c>
      <c r="R33" s="25">
        <v>0</v>
      </c>
      <c r="S33" s="12">
        <f t="shared" si="16"/>
        <v>0</v>
      </c>
      <c r="T33" s="5">
        <v>0</v>
      </c>
      <c r="U33" s="12">
        <f t="shared" si="17"/>
        <v>0</v>
      </c>
      <c r="V33" s="25" t="s">
        <v>10</v>
      </c>
      <c r="W33" s="11">
        <f>IFERROR(VLOOKUP(V33,Curr!$B$2:$C$13,2,FALSE),0)</f>
        <v>11</v>
      </c>
      <c r="X33" s="12">
        <f t="shared" si="18"/>
        <v>0</v>
      </c>
      <c r="Y33" s="26">
        <f t="shared" si="19"/>
        <v>0</v>
      </c>
      <c r="Z33" s="12">
        <f t="shared" si="2"/>
        <v>0</v>
      </c>
      <c r="AA33" s="4" t="s">
        <v>10</v>
      </c>
      <c r="AB33" s="11">
        <f>IFERROR(VLOOKUP(AA33,Curr!$B$2:$C$13,2,FALSE),0)</f>
        <v>11</v>
      </c>
      <c r="AC33" s="12">
        <f t="shared" si="3"/>
        <v>0</v>
      </c>
      <c r="AD33" s="12">
        <f t="shared" si="4"/>
        <v>0</v>
      </c>
      <c r="AE33" s="13">
        <f t="shared" si="5"/>
        <v>0</v>
      </c>
    </row>
    <row r="34" spans="2:31" x14ac:dyDescent="0.25">
      <c r="B34" s="4"/>
      <c r="E34" s="3"/>
      <c r="F34" s="3"/>
      <c r="G34" s="24"/>
      <c r="H34" s="24"/>
      <c r="K34" s="4"/>
      <c r="L34" s="4"/>
      <c r="M34" s="4"/>
      <c r="N34" s="4"/>
      <c r="O34" s="4"/>
      <c r="P34" s="33"/>
      <c r="Q34" s="25"/>
      <c r="R34" s="25"/>
      <c r="S34" s="12">
        <f t="shared" si="16"/>
        <v>0</v>
      </c>
      <c r="T34" s="5">
        <v>0</v>
      </c>
      <c r="U34" s="12">
        <f t="shared" si="17"/>
        <v>0</v>
      </c>
      <c r="V34" s="25" t="s">
        <v>10</v>
      </c>
      <c r="W34" s="11">
        <f>IFERROR(VLOOKUP(V34,Curr!$B$2:$C$13,2,FALSE),0)</f>
        <v>11</v>
      </c>
      <c r="X34" s="12">
        <f t="shared" si="18"/>
        <v>0</v>
      </c>
      <c r="Y34" s="26">
        <f t="shared" si="19"/>
        <v>0</v>
      </c>
      <c r="Z34" s="12">
        <f t="shared" si="2"/>
        <v>0</v>
      </c>
      <c r="AA34" s="4" t="s">
        <v>10</v>
      </c>
      <c r="AB34" s="11">
        <f>IFERROR(VLOOKUP(AA34,Curr!$B$2:$C$13,2,FALSE),0)</f>
        <v>11</v>
      </c>
      <c r="AC34" s="12">
        <f t="shared" si="3"/>
        <v>0</v>
      </c>
      <c r="AD34" s="12">
        <f t="shared" si="4"/>
        <v>0</v>
      </c>
      <c r="AE34" s="13">
        <f t="shared" si="5"/>
        <v>0</v>
      </c>
    </row>
    <row r="35" spans="2:31" x14ac:dyDescent="0.25">
      <c r="B35" s="4"/>
      <c r="C35" s="1" t="s">
        <v>66</v>
      </c>
      <c r="D35" s="1" t="s">
        <v>56</v>
      </c>
      <c r="E35" s="3"/>
      <c r="F35" s="3"/>
      <c r="G35" s="24"/>
      <c r="H35" s="24"/>
      <c r="J35" s="1" t="s">
        <v>80</v>
      </c>
      <c r="K35" s="4"/>
      <c r="L35" s="4"/>
      <c r="M35" s="4"/>
      <c r="N35" s="4"/>
      <c r="O35" s="4"/>
      <c r="P35" s="27"/>
      <c r="Q35" s="25">
        <v>0</v>
      </c>
      <c r="R35" s="25">
        <v>0</v>
      </c>
      <c r="S35" s="12">
        <f t="shared" si="16"/>
        <v>0</v>
      </c>
      <c r="T35" s="5">
        <v>0</v>
      </c>
      <c r="U35" s="12">
        <f t="shared" si="17"/>
        <v>0</v>
      </c>
      <c r="V35" s="25" t="s">
        <v>10</v>
      </c>
      <c r="W35" s="11">
        <f>IFERROR(VLOOKUP(V35,Curr!$B$2:$C$13,2,FALSE),0)</f>
        <v>11</v>
      </c>
      <c r="X35" s="12">
        <f t="shared" si="18"/>
        <v>0</v>
      </c>
      <c r="Y35" s="26">
        <f t="shared" si="19"/>
        <v>0</v>
      </c>
      <c r="Z35" s="12">
        <f t="shared" si="2"/>
        <v>0</v>
      </c>
      <c r="AA35" s="4" t="s">
        <v>10</v>
      </c>
      <c r="AB35" s="11">
        <f>IFERROR(VLOOKUP(AA35,Curr!$B$2:$C$13,2,FALSE),0)</f>
        <v>11</v>
      </c>
      <c r="AC35" s="12">
        <f t="shared" si="3"/>
        <v>0</v>
      </c>
      <c r="AD35" s="12">
        <f t="shared" si="4"/>
        <v>0</v>
      </c>
      <c r="AE35" s="13">
        <f t="shared" si="5"/>
        <v>0</v>
      </c>
    </row>
    <row r="36" spans="2:31" x14ac:dyDescent="0.25">
      <c r="B36" s="4"/>
      <c r="C36" s="1" t="s">
        <v>66</v>
      </c>
      <c r="D36" s="1" t="s">
        <v>54</v>
      </c>
      <c r="E36" s="3"/>
      <c r="F36" s="3"/>
      <c r="G36" s="24"/>
      <c r="H36" s="24"/>
      <c r="J36" s="1" t="s">
        <v>150</v>
      </c>
      <c r="K36" s="4"/>
      <c r="L36" s="4"/>
      <c r="M36" s="4"/>
      <c r="N36" s="4"/>
      <c r="O36" s="4"/>
      <c r="P36" s="33"/>
      <c r="Q36" s="25">
        <v>0</v>
      </c>
      <c r="R36" s="25">
        <v>0</v>
      </c>
      <c r="S36" s="12">
        <f t="shared" si="16"/>
        <v>0</v>
      </c>
      <c r="T36" s="5">
        <v>0</v>
      </c>
      <c r="U36" s="12">
        <f t="shared" si="17"/>
        <v>0</v>
      </c>
      <c r="V36" s="25" t="s">
        <v>10</v>
      </c>
      <c r="W36" s="11">
        <f>IFERROR(VLOOKUP(V36,Curr!$B$2:$C$13,2,FALSE),0)</f>
        <v>11</v>
      </c>
      <c r="X36" s="12">
        <f t="shared" si="18"/>
        <v>0</v>
      </c>
      <c r="Y36" s="26">
        <f t="shared" si="19"/>
        <v>0</v>
      </c>
      <c r="Z36" s="12">
        <f t="shared" si="2"/>
        <v>0</v>
      </c>
      <c r="AA36" s="4" t="s">
        <v>10</v>
      </c>
      <c r="AB36" s="11">
        <f>IFERROR(VLOOKUP(AA36,Curr!$B$2:$C$13,2,FALSE),0)</f>
        <v>11</v>
      </c>
      <c r="AC36" s="12">
        <f t="shared" si="3"/>
        <v>0</v>
      </c>
      <c r="AD36" s="12">
        <f t="shared" si="4"/>
        <v>0</v>
      </c>
      <c r="AE36" s="13">
        <f t="shared" si="5"/>
        <v>0</v>
      </c>
    </row>
    <row r="37" spans="2:31" x14ac:dyDescent="0.25">
      <c r="B37" s="4"/>
      <c r="C37" s="1" t="s">
        <v>66</v>
      </c>
      <c r="D37" s="1" t="s">
        <v>77</v>
      </c>
      <c r="E37" s="3"/>
      <c r="F37" s="3"/>
      <c r="G37" s="24"/>
      <c r="H37" s="24"/>
      <c r="J37" s="1" t="s">
        <v>151</v>
      </c>
      <c r="K37" s="4"/>
      <c r="L37" s="4"/>
      <c r="M37" s="4"/>
      <c r="N37" s="4"/>
      <c r="O37" s="4" t="s">
        <v>42</v>
      </c>
      <c r="P37" s="33"/>
      <c r="Q37" s="25">
        <v>120</v>
      </c>
      <c r="R37" s="25">
        <v>1</v>
      </c>
      <c r="S37" s="12">
        <f t="shared" si="16"/>
        <v>120</v>
      </c>
      <c r="T37" s="5">
        <v>0</v>
      </c>
      <c r="U37" s="12">
        <f t="shared" si="17"/>
        <v>120</v>
      </c>
      <c r="V37" s="25" t="s">
        <v>10</v>
      </c>
      <c r="W37" s="11">
        <f>IFERROR(VLOOKUP(V37,Curr!$B$2:$C$13,2,FALSE),0)</f>
        <v>11</v>
      </c>
      <c r="X37" s="12">
        <f t="shared" si="18"/>
        <v>1320</v>
      </c>
      <c r="Y37" s="26">
        <f>Q37/0.8</f>
        <v>150</v>
      </c>
      <c r="Z37" s="12">
        <f t="shared" si="2"/>
        <v>150</v>
      </c>
      <c r="AA37" s="4" t="s">
        <v>10</v>
      </c>
      <c r="AB37" s="11">
        <f>IFERROR(VLOOKUP(AA37,Curr!$B$2:$C$13,2,FALSE),0)</f>
        <v>11</v>
      </c>
      <c r="AC37" s="12">
        <f t="shared" si="3"/>
        <v>1650</v>
      </c>
      <c r="AD37" s="12">
        <f t="shared" si="4"/>
        <v>330</v>
      </c>
      <c r="AE37" s="13">
        <f t="shared" si="5"/>
        <v>0.2</v>
      </c>
    </row>
    <row r="38" spans="2:31" x14ac:dyDescent="0.25">
      <c r="B38" s="4"/>
      <c r="E38" s="3"/>
      <c r="F38" s="3"/>
      <c r="G38" s="24"/>
      <c r="H38" s="24"/>
      <c r="K38" s="4"/>
      <c r="L38" s="4"/>
      <c r="M38" s="4"/>
      <c r="N38" s="4"/>
      <c r="O38" s="4"/>
      <c r="P38" s="27"/>
      <c r="Q38" s="25"/>
      <c r="R38" s="25"/>
      <c r="S38" s="12">
        <f t="shared" si="16"/>
        <v>0</v>
      </c>
      <c r="T38" s="5">
        <v>0</v>
      </c>
      <c r="U38" s="12">
        <f t="shared" si="17"/>
        <v>0</v>
      </c>
      <c r="V38" s="25" t="s">
        <v>10</v>
      </c>
      <c r="W38" s="11">
        <f>IFERROR(VLOOKUP(V38,Curr!$B$2:$C$13,2,FALSE),0)</f>
        <v>11</v>
      </c>
      <c r="X38" s="12">
        <f t="shared" si="18"/>
        <v>0</v>
      </c>
      <c r="Y38" s="26">
        <f t="shared" si="19"/>
        <v>0</v>
      </c>
      <c r="Z38" s="12">
        <f t="shared" si="2"/>
        <v>0</v>
      </c>
      <c r="AA38" s="4" t="s">
        <v>10</v>
      </c>
      <c r="AB38" s="11">
        <f>IFERROR(VLOOKUP(AA38,Curr!$B$2:$C$13,2,FALSE),0)</f>
        <v>11</v>
      </c>
      <c r="AC38" s="12">
        <f t="shared" si="3"/>
        <v>0</v>
      </c>
      <c r="AD38" s="12">
        <f t="shared" si="4"/>
        <v>0</v>
      </c>
      <c r="AE38" s="13">
        <f t="shared" si="5"/>
        <v>0</v>
      </c>
    </row>
    <row r="39" spans="2:31" x14ac:dyDescent="0.25">
      <c r="B39" s="4"/>
      <c r="C39" s="1" t="s">
        <v>67</v>
      </c>
      <c r="D39" s="1" t="s">
        <v>54</v>
      </c>
      <c r="E39" s="3"/>
      <c r="F39" s="3"/>
      <c r="G39" s="24"/>
      <c r="H39" s="24"/>
      <c r="J39" s="1" t="s">
        <v>105</v>
      </c>
      <c r="K39" s="4"/>
      <c r="L39" s="4"/>
      <c r="M39" s="4"/>
      <c r="N39" s="4"/>
      <c r="O39" s="4"/>
      <c r="P39" s="33"/>
      <c r="Q39" s="25">
        <v>0</v>
      </c>
      <c r="R39" s="25">
        <v>0</v>
      </c>
      <c r="S39" s="12">
        <f t="shared" si="16"/>
        <v>0</v>
      </c>
      <c r="T39" s="5">
        <v>0</v>
      </c>
      <c r="U39" s="12">
        <f t="shared" si="17"/>
        <v>0</v>
      </c>
      <c r="V39" s="25" t="s">
        <v>10</v>
      </c>
      <c r="W39" s="11">
        <f>IFERROR(VLOOKUP(V39,Curr!$B$2:$C$13,2,FALSE),0)</f>
        <v>11</v>
      </c>
      <c r="X39" s="12">
        <f t="shared" si="18"/>
        <v>0</v>
      </c>
      <c r="Y39" s="26">
        <f t="shared" si="19"/>
        <v>0</v>
      </c>
      <c r="Z39" s="12">
        <f t="shared" si="2"/>
        <v>0</v>
      </c>
      <c r="AA39" s="4" t="s">
        <v>10</v>
      </c>
      <c r="AB39" s="11">
        <f>IFERROR(VLOOKUP(AA39,Curr!$B$2:$C$13,2,FALSE),0)</f>
        <v>11</v>
      </c>
      <c r="AC39" s="12">
        <f t="shared" si="3"/>
        <v>0</v>
      </c>
      <c r="AD39" s="12">
        <f t="shared" si="4"/>
        <v>0</v>
      </c>
      <c r="AE39" s="13">
        <f t="shared" si="5"/>
        <v>0</v>
      </c>
    </row>
    <row r="40" spans="2:31" x14ac:dyDescent="0.25">
      <c r="B40" s="4"/>
      <c r="C40" s="1" t="s">
        <v>67</v>
      </c>
      <c r="D40" s="1" t="s">
        <v>55</v>
      </c>
      <c r="E40" s="3"/>
      <c r="F40" s="3"/>
      <c r="G40" s="24"/>
      <c r="H40" s="24"/>
      <c r="J40" s="1" t="s">
        <v>115</v>
      </c>
      <c r="K40" s="4"/>
      <c r="L40" s="4"/>
      <c r="M40" s="4"/>
      <c r="N40" s="4"/>
      <c r="O40" s="4"/>
      <c r="P40" s="33"/>
      <c r="Q40" s="25">
        <v>350</v>
      </c>
      <c r="R40" s="25">
        <v>1</v>
      </c>
      <c r="S40" s="12">
        <f t="shared" si="16"/>
        <v>350</v>
      </c>
      <c r="T40" s="5">
        <v>0</v>
      </c>
      <c r="U40" s="12">
        <f t="shared" si="17"/>
        <v>350</v>
      </c>
      <c r="V40" s="25" t="s">
        <v>10</v>
      </c>
      <c r="W40" s="11">
        <f>IFERROR(VLOOKUP(V40,Curr!$B$2:$C$13,2,FALSE),0)</f>
        <v>11</v>
      </c>
      <c r="X40" s="12">
        <f t="shared" si="18"/>
        <v>3850</v>
      </c>
      <c r="Y40" s="26">
        <f>Q40/0.8</f>
        <v>437.5</v>
      </c>
      <c r="Z40" s="12">
        <f t="shared" si="2"/>
        <v>437.5</v>
      </c>
      <c r="AA40" s="4" t="s">
        <v>10</v>
      </c>
      <c r="AB40" s="11">
        <f>IFERROR(VLOOKUP(AA40,Curr!$B$2:$C$13,2,FALSE),0)</f>
        <v>11</v>
      </c>
      <c r="AC40" s="12">
        <f t="shared" si="3"/>
        <v>4812.5</v>
      </c>
      <c r="AD40" s="12">
        <f t="shared" si="4"/>
        <v>962.5</v>
      </c>
      <c r="AE40" s="13">
        <f t="shared" si="5"/>
        <v>0.2</v>
      </c>
    </row>
    <row r="41" spans="2:31" x14ac:dyDescent="0.25">
      <c r="B41" s="4"/>
      <c r="C41" s="1" t="s">
        <v>67</v>
      </c>
      <c r="D41" s="1" t="s">
        <v>56</v>
      </c>
      <c r="E41" s="3"/>
      <c r="F41" s="3"/>
      <c r="G41" s="24"/>
      <c r="H41" s="24"/>
      <c r="J41" s="1" t="s">
        <v>81</v>
      </c>
      <c r="K41" s="4"/>
      <c r="L41" s="4"/>
      <c r="M41" s="4"/>
      <c r="N41" s="4"/>
      <c r="O41" s="4"/>
      <c r="P41" s="33"/>
      <c r="Q41" s="25">
        <v>0</v>
      </c>
      <c r="R41" s="25">
        <v>0</v>
      </c>
      <c r="S41" s="12">
        <f t="shared" si="16"/>
        <v>0</v>
      </c>
      <c r="T41" s="5">
        <v>0</v>
      </c>
      <c r="U41" s="12">
        <f t="shared" si="17"/>
        <v>0</v>
      </c>
      <c r="V41" s="25" t="s">
        <v>10</v>
      </c>
      <c r="W41" s="11">
        <f>IFERROR(VLOOKUP(V41,Curr!$B$2:$C$13,2,FALSE),0)</f>
        <v>11</v>
      </c>
      <c r="X41" s="12">
        <f t="shared" si="18"/>
        <v>0</v>
      </c>
      <c r="Y41" s="26">
        <f t="shared" si="19"/>
        <v>0</v>
      </c>
      <c r="Z41" s="12">
        <f t="shared" si="2"/>
        <v>0</v>
      </c>
      <c r="AA41" s="4" t="s">
        <v>10</v>
      </c>
      <c r="AB41" s="11">
        <f>IFERROR(VLOOKUP(AA41,Curr!$B$2:$C$13,2,FALSE),0)</f>
        <v>11</v>
      </c>
      <c r="AC41" s="12">
        <f t="shared" si="3"/>
        <v>0</v>
      </c>
      <c r="AD41" s="12">
        <f t="shared" si="4"/>
        <v>0</v>
      </c>
      <c r="AE41" s="13">
        <f t="shared" si="5"/>
        <v>0</v>
      </c>
    </row>
    <row r="42" spans="2:31" x14ac:dyDescent="0.25">
      <c r="B42" s="4"/>
      <c r="E42" s="3"/>
      <c r="F42" s="3"/>
      <c r="G42" s="24"/>
      <c r="H42" s="24"/>
      <c r="K42" s="4"/>
      <c r="L42" s="4"/>
      <c r="M42" s="4"/>
      <c r="N42" s="4"/>
      <c r="O42" s="4"/>
      <c r="P42" s="27"/>
      <c r="Q42" s="25"/>
      <c r="R42" s="25"/>
      <c r="S42" s="12">
        <f t="shared" si="16"/>
        <v>0</v>
      </c>
      <c r="T42" s="5">
        <v>0</v>
      </c>
      <c r="U42" s="12">
        <f t="shared" si="17"/>
        <v>0</v>
      </c>
      <c r="V42" s="25" t="s">
        <v>10</v>
      </c>
      <c r="W42" s="11">
        <f>IFERROR(VLOOKUP(V42,Curr!$B$2:$C$13,2,FALSE),0)</f>
        <v>11</v>
      </c>
      <c r="X42" s="12">
        <f t="shared" si="18"/>
        <v>0</v>
      </c>
      <c r="Y42" s="26">
        <f t="shared" si="19"/>
        <v>0</v>
      </c>
      <c r="Z42" s="12">
        <f t="shared" si="2"/>
        <v>0</v>
      </c>
      <c r="AA42" s="4" t="s">
        <v>10</v>
      </c>
      <c r="AB42" s="11">
        <f>IFERROR(VLOOKUP(AA42,Curr!$B$2:$C$13,2,FALSE),0)</f>
        <v>11</v>
      </c>
      <c r="AC42" s="12">
        <f t="shared" si="3"/>
        <v>0</v>
      </c>
      <c r="AD42" s="12">
        <f t="shared" si="4"/>
        <v>0</v>
      </c>
      <c r="AE42" s="13">
        <f t="shared" si="5"/>
        <v>0</v>
      </c>
    </row>
    <row r="43" spans="2:31" x14ac:dyDescent="0.25">
      <c r="B43" s="4"/>
      <c r="C43" s="1" t="s">
        <v>74</v>
      </c>
      <c r="D43" s="1" t="s">
        <v>57</v>
      </c>
      <c r="E43" s="3"/>
      <c r="F43" s="3"/>
      <c r="G43" s="24"/>
      <c r="H43" s="24"/>
      <c r="J43" s="1" t="s">
        <v>107</v>
      </c>
      <c r="K43" s="4"/>
      <c r="L43" s="4"/>
      <c r="M43" s="4"/>
      <c r="N43" s="4"/>
      <c r="O43" s="4" t="s">
        <v>42</v>
      </c>
      <c r="P43" s="33" t="s">
        <v>108</v>
      </c>
      <c r="Q43" s="25">
        <v>38</v>
      </c>
      <c r="R43" s="25">
        <v>2</v>
      </c>
      <c r="S43" s="12">
        <f t="shared" si="16"/>
        <v>76</v>
      </c>
      <c r="T43" s="5">
        <v>0.2</v>
      </c>
      <c r="U43" s="12">
        <f t="shared" si="17"/>
        <v>60.800000000000004</v>
      </c>
      <c r="V43" s="25" t="s">
        <v>10</v>
      </c>
      <c r="W43" s="11">
        <f>IFERROR(VLOOKUP(V43,Curr!$B$2:$C$13,2,FALSE),0)</f>
        <v>11</v>
      </c>
      <c r="X43" s="12">
        <f t="shared" si="18"/>
        <v>668.80000000000007</v>
      </c>
      <c r="Y43" s="26">
        <f>Q43</f>
        <v>38</v>
      </c>
      <c r="Z43" s="12">
        <f t="shared" si="2"/>
        <v>76</v>
      </c>
      <c r="AA43" s="4" t="s">
        <v>10</v>
      </c>
      <c r="AB43" s="11">
        <f>IFERROR(VLOOKUP(AA43,Curr!$B$2:$C$13,2,FALSE),0)</f>
        <v>11</v>
      </c>
      <c r="AC43" s="12">
        <f t="shared" si="3"/>
        <v>836</v>
      </c>
      <c r="AD43" s="12">
        <f t="shared" si="4"/>
        <v>167.19999999999993</v>
      </c>
      <c r="AE43" s="13">
        <f t="shared" si="5"/>
        <v>0.19999999999999993</v>
      </c>
    </row>
    <row r="44" spans="2:31" x14ac:dyDescent="0.25">
      <c r="B44" s="4"/>
      <c r="C44" s="1" t="s">
        <v>74</v>
      </c>
      <c r="D44" s="1" t="s">
        <v>56</v>
      </c>
      <c r="E44" s="3"/>
      <c r="F44" s="3"/>
      <c r="G44" s="24"/>
      <c r="H44" s="24"/>
      <c r="J44" s="1" t="s">
        <v>81</v>
      </c>
      <c r="K44" s="4"/>
      <c r="L44" s="4"/>
      <c r="M44" s="4"/>
      <c r="N44" s="4"/>
      <c r="O44" s="4"/>
      <c r="P44" s="27"/>
      <c r="Q44" s="25">
        <v>0</v>
      </c>
      <c r="R44" s="25">
        <v>0</v>
      </c>
      <c r="S44" s="12">
        <f t="shared" si="16"/>
        <v>0</v>
      </c>
      <c r="T44" s="5">
        <v>0</v>
      </c>
      <c r="U44" s="12">
        <f t="shared" si="17"/>
        <v>0</v>
      </c>
      <c r="V44" s="25" t="s">
        <v>10</v>
      </c>
      <c r="W44" s="11">
        <f>IFERROR(VLOOKUP(V44,Curr!$B$2:$C$13,2,FALSE),0)</f>
        <v>11</v>
      </c>
      <c r="X44" s="12">
        <f t="shared" si="18"/>
        <v>0</v>
      </c>
      <c r="Y44" s="26">
        <f t="shared" si="19"/>
        <v>0</v>
      </c>
      <c r="Z44" s="12">
        <f t="shared" si="2"/>
        <v>0</v>
      </c>
      <c r="AA44" s="4" t="s">
        <v>10</v>
      </c>
      <c r="AB44" s="11">
        <f>IFERROR(VLOOKUP(AA44,Curr!$B$2:$C$13,2,FALSE),0)</f>
        <v>11</v>
      </c>
      <c r="AC44" s="12">
        <f t="shared" si="3"/>
        <v>0</v>
      </c>
      <c r="AD44" s="12">
        <f t="shared" si="4"/>
        <v>0</v>
      </c>
      <c r="AE44" s="13">
        <f t="shared" si="5"/>
        <v>0</v>
      </c>
    </row>
    <row r="45" spans="2:31" x14ac:dyDescent="0.25">
      <c r="B45" s="4"/>
      <c r="E45" s="3"/>
      <c r="F45" s="3"/>
      <c r="G45" s="24"/>
      <c r="H45" s="24"/>
      <c r="K45" s="4"/>
      <c r="L45" s="4"/>
      <c r="M45" s="4"/>
      <c r="N45" s="4"/>
      <c r="O45" s="4"/>
      <c r="P45" s="33"/>
      <c r="Q45" s="25"/>
      <c r="R45" s="25"/>
      <c r="S45" s="12">
        <f t="shared" si="16"/>
        <v>0</v>
      </c>
      <c r="T45" s="5">
        <v>0</v>
      </c>
      <c r="U45" s="12">
        <f t="shared" si="17"/>
        <v>0</v>
      </c>
      <c r="V45" s="25" t="s">
        <v>10</v>
      </c>
      <c r="W45" s="11">
        <f>IFERROR(VLOOKUP(V45,Curr!$B$2:$C$13,2,FALSE),0)</f>
        <v>11</v>
      </c>
      <c r="X45" s="12">
        <f t="shared" si="18"/>
        <v>0</v>
      </c>
      <c r="Y45" s="26">
        <f t="shared" si="19"/>
        <v>0</v>
      </c>
      <c r="Z45" s="12">
        <f t="shared" si="2"/>
        <v>0</v>
      </c>
      <c r="AA45" s="4" t="s">
        <v>10</v>
      </c>
      <c r="AB45" s="11">
        <f>IFERROR(VLOOKUP(AA45,Curr!$B$2:$C$13,2,FALSE),0)</f>
        <v>11</v>
      </c>
      <c r="AC45" s="12">
        <f t="shared" si="3"/>
        <v>0</v>
      </c>
      <c r="AD45" s="12">
        <f t="shared" si="4"/>
        <v>0</v>
      </c>
      <c r="AE45" s="13">
        <f t="shared" si="5"/>
        <v>0</v>
      </c>
    </row>
    <row r="46" spans="2:31" x14ac:dyDescent="0.25">
      <c r="B46" s="4"/>
      <c r="C46" s="1" t="s">
        <v>75</v>
      </c>
      <c r="D46" s="1" t="s">
        <v>54</v>
      </c>
      <c r="E46" s="3"/>
      <c r="F46" s="3"/>
      <c r="G46" s="24"/>
      <c r="H46" s="24"/>
      <c r="J46" s="1" t="s">
        <v>106</v>
      </c>
      <c r="K46" s="4"/>
      <c r="L46" s="4"/>
      <c r="M46" s="4"/>
      <c r="N46" s="4"/>
      <c r="O46" s="4"/>
      <c r="P46" s="27"/>
      <c r="Q46" s="25">
        <v>0</v>
      </c>
      <c r="R46" s="25">
        <v>0</v>
      </c>
      <c r="S46" s="12">
        <f t="shared" si="16"/>
        <v>0</v>
      </c>
      <c r="T46" s="5">
        <v>0</v>
      </c>
      <c r="U46" s="12">
        <f t="shared" si="17"/>
        <v>0</v>
      </c>
      <c r="V46" s="25" t="s">
        <v>10</v>
      </c>
      <c r="W46" s="11">
        <f>IFERROR(VLOOKUP(V46,Curr!$B$2:$C$13,2,FALSE),0)</f>
        <v>11</v>
      </c>
      <c r="X46" s="12">
        <f t="shared" si="18"/>
        <v>0</v>
      </c>
      <c r="Y46" s="26">
        <f t="shared" si="19"/>
        <v>0</v>
      </c>
      <c r="Z46" s="12">
        <f t="shared" si="2"/>
        <v>0</v>
      </c>
      <c r="AA46" s="4" t="s">
        <v>10</v>
      </c>
      <c r="AB46" s="11">
        <f>IFERROR(VLOOKUP(AA46,Curr!$B$2:$C$13,2,FALSE),0)</f>
        <v>11</v>
      </c>
      <c r="AC46" s="12">
        <f t="shared" si="3"/>
        <v>0</v>
      </c>
      <c r="AD46" s="12">
        <f t="shared" si="4"/>
        <v>0</v>
      </c>
      <c r="AE46" s="13">
        <f t="shared" si="5"/>
        <v>0</v>
      </c>
    </row>
    <row r="47" spans="2:31" x14ac:dyDescent="0.25">
      <c r="B47" s="4"/>
      <c r="C47" s="1" t="s">
        <v>75</v>
      </c>
      <c r="D47" s="1" t="s">
        <v>60</v>
      </c>
      <c r="E47" s="3"/>
      <c r="F47" s="3"/>
      <c r="G47" s="24"/>
      <c r="H47" s="24"/>
      <c r="J47" s="1" t="s">
        <v>82</v>
      </c>
      <c r="K47" s="4"/>
      <c r="L47" s="4"/>
      <c r="M47" s="4"/>
      <c r="N47" s="4"/>
      <c r="O47" s="4"/>
      <c r="P47" s="27"/>
      <c r="Q47" s="25">
        <v>0</v>
      </c>
      <c r="R47" s="25">
        <v>0</v>
      </c>
      <c r="S47" s="12">
        <f t="shared" si="16"/>
        <v>0</v>
      </c>
      <c r="T47" s="5">
        <v>0</v>
      </c>
      <c r="U47" s="12">
        <f t="shared" si="17"/>
        <v>0</v>
      </c>
      <c r="V47" s="25" t="s">
        <v>10</v>
      </c>
      <c r="W47" s="11">
        <f>IFERROR(VLOOKUP(V47,Curr!$B$2:$C$13,2,FALSE),0)</f>
        <v>11</v>
      </c>
      <c r="X47" s="12">
        <f t="shared" si="18"/>
        <v>0</v>
      </c>
      <c r="Y47" s="26">
        <f t="shared" si="19"/>
        <v>0</v>
      </c>
      <c r="Z47" s="12">
        <f t="shared" si="2"/>
        <v>0</v>
      </c>
      <c r="AA47" s="4" t="s">
        <v>10</v>
      </c>
      <c r="AB47" s="11">
        <f>IFERROR(VLOOKUP(AA47,Curr!$B$2:$C$13,2,FALSE),0)</f>
        <v>11</v>
      </c>
      <c r="AC47" s="12">
        <f t="shared" si="3"/>
        <v>0</v>
      </c>
      <c r="AD47" s="12">
        <f t="shared" si="4"/>
        <v>0</v>
      </c>
      <c r="AE47" s="13">
        <f t="shared" si="5"/>
        <v>0</v>
      </c>
    </row>
    <row r="48" spans="2:31" x14ac:dyDescent="0.25">
      <c r="B48" s="4"/>
      <c r="E48" s="3"/>
      <c r="F48" s="3"/>
      <c r="G48" s="24"/>
      <c r="H48" s="24"/>
      <c r="K48" s="4"/>
      <c r="L48" s="4"/>
      <c r="M48" s="4"/>
      <c r="N48" s="4"/>
      <c r="O48" s="4"/>
      <c r="P48" s="27"/>
      <c r="Q48" s="25"/>
      <c r="R48" s="25"/>
      <c r="S48" s="12">
        <f t="shared" si="16"/>
        <v>0</v>
      </c>
      <c r="T48" s="5">
        <v>0</v>
      </c>
      <c r="U48" s="12">
        <f t="shared" si="17"/>
        <v>0</v>
      </c>
      <c r="V48" s="25" t="s">
        <v>10</v>
      </c>
      <c r="W48" s="11">
        <f>IFERROR(VLOOKUP(V48,Curr!$B$2:$C$13,2,FALSE),0)</f>
        <v>11</v>
      </c>
      <c r="X48" s="12">
        <f t="shared" si="18"/>
        <v>0</v>
      </c>
      <c r="Y48" s="26">
        <f t="shared" si="19"/>
        <v>0</v>
      </c>
      <c r="Z48" s="12">
        <f t="shared" si="2"/>
        <v>0</v>
      </c>
      <c r="AA48" s="4" t="s">
        <v>10</v>
      </c>
      <c r="AB48" s="11">
        <f>IFERROR(VLOOKUP(AA48,Curr!$B$2:$C$13,2,FALSE),0)</f>
        <v>11</v>
      </c>
      <c r="AC48" s="12">
        <f t="shared" si="3"/>
        <v>0</v>
      </c>
      <c r="AD48" s="12">
        <f t="shared" si="4"/>
        <v>0</v>
      </c>
      <c r="AE48" s="13">
        <f t="shared" si="5"/>
        <v>0</v>
      </c>
    </row>
    <row r="49" spans="2:32" x14ac:dyDescent="0.25">
      <c r="B49" s="4"/>
      <c r="E49" s="3"/>
      <c r="F49" s="3"/>
      <c r="G49" s="24"/>
      <c r="H49" s="24"/>
      <c r="K49" s="4"/>
      <c r="L49" s="4"/>
      <c r="M49" s="4"/>
      <c r="N49" s="4"/>
      <c r="O49" s="4"/>
      <c r="P49" s="33"/>
      <c r="Q49" s="25"/>
      <c r="R49" s="25"/>
      <c r="S49" s="12">
        <f t="shared" si="16"/>
        <v>0</v>
      </c>
      <c r="T49" s="5">
        <v>0</v>
      </c>
      <c r="U49" s="12">
        <f t="shared" si="17"/>
        <v>0</v>
      </c>
      <c r="V49" s="25" t="s">
        <v>10</v>
      </c>
      <c r="W49" s="11">
        <f>IFERROR(VLOOKUP(V49,Curr!$B$2:$C$13,2,FALSE),0)</f>
        <v>11</v>
      </c>
      <c r="X49" s="12">
        <f t="shared" si="18"/>
        <v>0</v>
      </c>
      <c r="Y49" s="26">
        <f t="shared" si="19"/>
        <v>0</v>
      </c>
      <c r="Z49" s="12">
        <f t="shared" si="2"/>
        <v>0</v>
      </c>
      <c r="AA49" s="4" t="s">
        <v>10</v>
      </c>
      <c r="AB49" s="11">
        <f>IFERROR(VLOOKUP(AA49,Curr!$B$2:$C$13,2,FALSE),0)</f>
        <v>11</v>
      </c>
      <c r="AC49" s="12">
        <f t="shared" si="3"/>
        <v>0</v>
      </c>
      <c r="AD49" s="12">
        <f t="shared" si="4"/>
        <v>0</v>
      </c>
      <c r="AE49" s="13">
        <f t="shared" si="5"/>
        <v>0</v>
      </c>
    </row>
    <row r="50" spans="2:32" x14ac:dyDescent="0.25">
      <c r="B50" s="4"/>
      <c r="C50" s="1" t="s">
        <v>52</v>
      </c>
      <c r="D50" s="1" t="s">
        <v>109</v>
      </c>
      <c r="E50" s="3"/>
      <c r="F50" s="3"/>
      <c r="G50" s="24"/>
      <c r="H50" s="24"/>
      <c r="J50" s="1" t="s">
        <v>153</v>
      </c>
      <c r="K50" s="4"/>
      <c r="L50" s="4"/>
      <c r="M50" s="4"/>
      <c r="N50" s="4"/>
      <c r="O50" s="4"/>
      <c r="P50" s="27"/>
      <c r="Q50" s="25">
        <v>80</v>
      </c>
      <c r="R50" s="25">
        <v>0</v>
      </c>
      <c r="S50" s="12">
        <f t="shared" si="16"/>
        <v>0</v>
      </c>
      <c r="T50" s="5">
        <v>0</v>
      </c>
      <c r="U50" s="12">
        <f t="shared" si="17"/>
        <v>0</v>
      </c>
      <c r="V50" s="25" t="s">
        <v>10</v>
      </c>
      <c r="W50" s="11">
        <f>IFERROR(VLOOKUP(V50,Curr!$B$2:$C$13,2,FALSE),0)</f>
        <v>11</v>
      </c>
      <c r="X50" s="12">
        <f t="shared" si="18"/>
        <v>0</v>
      </c>
      <c r="Y50" s="26">
        <f>Q50/0.8</f>
        <v>100</v>
      </c>
      <c r="Z50" s="12">
        <f t="shared" si="2"/>
        <v>0</v>
      </c>
      <c r="AA50" s="4" t="s">
        <v>10</v>
      </c>
      <c r="AB50" s="11">
        <f>IFERROR(VLOOKUP(AA50,Curr!$B$2:$C$13,2,FALSE),0)</f>
        <v>11</v>
      </c>
      <c r="AC50" s="12">
        <f t="shared" si="3"/>
        <v>0</v>
      </c>
      <c r="AD50" s="12">
        <f t="shared" si="4"/>
        <v>0</v>
      </c>
      <c r="AE50" s="13">
        <f t="shared" si="5"/>
        <v>0</v>
      </c>
    </row>
    <row r="51" spans="2:32" x14ac:dyDescent="0.25">
      <c r="B51" s="4"/>
      <c r="C51" s="1" t="s">
        <v>61</v>
      </c>
      <c r="D51" s="1" t="s">
        <v>109</v>
      </c>
      <c r="E51" s="3"/>
      <c r="F51" s="3"/>
      <c r="G51" s="24"/>
      <c r="H51" s="24"/>
      <c r="J51" s="1" t="s">
        <v>154</v>
      </c>
      <c r="K51" s="4"/>
      <c r="L51" s="4"/>
      <c r="M51" s="4"/>
      <c r="N51" s="4"/>
      <c r="O51" s="4"/>
      <c r="P51" s="27"/>
      <c r="Q51" s="25">
        <v>80</v>
      </c>
      <c r="R51" s="25">
        <v>0</v>
      </c>
      <c r="S51" s="12">
        <f t="shared" si="16"/>
        <v>0</v>
      </c>
      <c r="T51" s="5">
        <v>0</v>
      </c>
      <c r="U51" s="12">
        <f t="shared" si="17"/>
        <v>0</v>
      </c>
      <c r="V51" s="25" t="s">
        <v>10</v>
      </c>
      <c r="W51" s="11">
        <f>IFERROR(VLOOKUP(V51,Curr!$B$2:$C$13,2,FALSE),0)</f>
        <v>11</v>
      </c>
      <c r="X51" s="12">
        <f t="shared" si="18"/>
        <v>0</v>
      </c>
      <c r="Y51" s="26">
        <f>Q51/0.8</f>
        <v>100</v>
      </c>
      <c r="Z51" s="12">
        <f t="shared" si="2"/>
        <v>0</v>
      </c>
      <c r="AA51" s="4" t="s">
        <v>10</v>
      </c>
      <c r="AB51" s="11">
        <f>IFERROR(VLOOKUP(AA51,Curr!$B$2:$C$13,2,FALSE),0)</f>
        <v>11</v>
      </c>
      <c r="AC51" s="12">
        <f t="shared" si="3"/>
        <v>0</v>
      </c>
      <c r="AD51" s="12">
        <f t="shared" si="4"/>
        <v>0</v>
      </c>
      <c r="AE51" s="13">
        <f t="shared" si="5"/>
        <v>0</v>
      </c>
    </row>
    <row r="52" spans="2:32" x14ac:dyDescent="0.25">
      <c r="B52" s="4"/>
      <c r="C52" s="1" t="s">
        <v>62</v>
      </c>
      <c r="D52" s="1" t="s">
        <v>109</v>
      </c>
      <c r="E52" s="3"/>
      <c r="F52" s="3"/>
      <c r="G52" s="24"/>
      <c r="H52" s="24"/>
      <c r="J52" s="1" t="s">
        <v>155</v>
      </c>
      <c r="K52" s="4"/>
      <c r="L52" s="4"/>
      <c r="M52" s="4"/>
      <c r="N52" s="4"/>
      <c r="O52" s="4"/>
      <c r="P52" s="27"/>
      <c r="Q52" s="25">
        <v>150</v>
      </c>
      <c r="R52" s="25">
        <v>0</v>
      </c>
      <c r="S52" s="12">
        <f t="shared" si="16"/>
        <v>0</v>
      </c>
      <c r="T52" s="5">
        <v>0</v>
      </c>
      <c r="U52" s="12">
        <f t="shared" si="17"/>
        <v>0</v>
      </c>
      <c r="V52" s="25" t="s">
        <v>10</v>
      </c>
      <c r="W52" s="11">
        <f>IFERROR(VLOOKUP(V52,Curr!$B$2:$C$13,2,FALSE),0)</f>
        <v>11</v>
      </c>
      <c r="X52" s="12">
        <f t="shared" si="18"/>
        <v>0</v>
      </c>
      <c r="Y52" s="26">
        <f>Q52/0.8</f>
        <v>187.5</v>
      </c>
      <c r="Z52" s="12">
        <f t="shared" si="2"/>
        <v>0</v>
      </c>
      <c r="AA52" s="4" t="s">
        <v>10</v>
      </c>
      <c r="AB52" s="11">
        <f>IFERROR(VLOOKUP(AA52,Curr!$B$2:$C$13,2,FALSE),0)</f>
        <v>11</v>
      </c>
      <c r="AC52" s="12">
        <f t="shared" si="3"/>
        <v>0</v>
      </c>
      <c r="AD52" s="12">
        <f t="shared" si="4"/>
        <v>0</v>
      </c>
      <c r="AE52" s="13">
        <f t="shared" si="5"/>
        <v>0</v>
      </c>
    </row>
    <row r="53" spans="2:32" x14ac:dyDescent="0.25">
      <c r="B53" s="4"/>
      <c r="C53" s="1" t="s">
        <v>66</v>
      </c>
      <c r="D53" s="1" t="s">
        <v>109</v>
      </c>
      <c r="E53" s="3"/>
      <c r="F53" s="3"/>
      <c r="G53" s="24"/>
      <c r="H53" s="24"/>
      <c r="J53" s="1" t="s">
        <v>156</v>
      </c>
      <c r="K53" s="4"/>
      <c r="L53" s="4"/>
      <c r="M53" s="4"/>
      <c r="N53" s="4"/>
      <c r="O53" s="4"/>
      <c r="P53" s="27"/>
      <c r="Q53" s="25">
        <v>150</v>
      </c>
      <c r="R53" s="25">
        <v>0</v>
      </c>
      <c r="S53" s="12">
        <f t="shared" si="16"/>
        <v>0</v>
      </c>
      <c r="T53" s="5">
        <v>0</v>
      </c>
      <c r="U53" s="12">
        <f t="shared" si="17"/>
        <v>0</v>
      </c>
      <c r="V53" s="25" t="s">
        <v>10</v>
      </c>
      <c r="W53" s="11">
        <f>IFERROR(VLOOKUP(V53,Curr!$B$2:$C$13,2,FALSE),0)</f>
        <v>11</v>
      </c>
      <c r="X53" s="12">
        <f t="shared" si="18"/>
        <v>0</v>
      </c>
      <c r="Y53" s="26">
        <f>Q53/0.8</f>
        <v>187.5</v>
      </c>
      <c r="Z53" s="12">
        <f t="shared" si="2"/>
        <v>0</v>
      </c>
      <c r="AA53" s="4" t="s">
        <v>10</v>
      </c>
      <c r="AB53" s="11">
        <f>IFERROR(VLOOKUP(AA53,Curr!$B$2:$C$13,2,FALSE),0)</f>
        <v>11</v>
      </c>
      <c r="AC53" s="12">
        <f t="shared" si="3"/>
        <v>0</v>
      </c>
      <c r="AD53" s="12">
        <f t="shared" si="4"/>
        <v>0</v>
      </c>
      <c r="AE53" s="13">
        <f t="shared" si="5"/>
        <v>0</v>
      </c>
    </row>
    <row r="54" spans="2:32" x14ac:dyDescent="0.25">
      <c r="B54" s="4"/>
      <c r="C54" s="1" t="s">
        <v>75</v>
      </c>
      <c r="D54" s="1" t="s">
        <v>109</v>
      </c>
      <c r="E54" s="3"/>
      <c r="F54" s="3"/>
      <c r="G54" s="24"/>
      <c r="H54" s="24"/>
      <c r="J54" s="1" t="s">
        <v>121</v>
      </c>
      <c r="K54" s="4"/>
      <c r="L54" s="4"/>
      <c r="M54" s="4"/>
      <c r="N54" s="4"/>
      <c r="O54" s="4"/>
      <c r="P54" s="27"/>
      <c r="Q54" s="25">
        <v>1850</v>
      </c>
      <c r="R54" s="25">
        <v>0</v>
      </c>
      <c r="S54" s="12">
        <f t="shared" si="16"/>
        <v>0</v>
      </c>
      <c r="T54" s="5">
        <v>0</v>
      </c>
      <c r="U54" s="12">
        <f t="shared" si="17"/>
        <v>0</v>
      </c>
      <c r="V54" s="25" t="s">
        <v>8</v>
      </c>
      <c r="W54" s="11">
        <f>IFERROR(VLOOKUP(V54,Curr!$B$2:$C$13,2,FALSE),0)</f>
        <v>1</v>
      </c>
      <c r="X54" s="12">
        <f t="shared" si="18"/>
        <v>0</v>
      </c>
      <c r="Y54" s="26">
        <f>Q54/11.3/0.8</f>
        <v>204.64601769911502</v>
      </c>
      <c r="Z54" s="12">
        <f t="shared" si="2"/>
        <v>0</v>
      </c>
      <c r="AA54" s="4" t="s">
        <v>10</v>
      </c>
      <c r="AB54" s="11">
        <f>IFERROR(VLOOKUP(AA54,Curr!$B$2:$C$13,2,FALSE),0)</f>
        <v>11</v>
      </c>
      <c r="AC54" s="12">
        <f t="shared" si="3"/>
        <v>0</v>
      </c>
      <c r="AD54" s="12">
        <f t="shared" si="4"/>
        <v>0</v>
      </c>
      <c r="AE54" s="13">
        <f t="shared" si="5"/>
        <v>0</v>
      </c>
    </row>
    <row r="55" spans="2:32" x14ac:dyDescent="0.25">
      <c r="B55" s="4"/>
      <c r="E55" s="3"/>
      <c r="F55" s="3"/>
      <c r="G55" s="24"/>
      <c r="H55" s="24"/>
      <c r="K55" s="4"/>
      <c r="L55" s="4"/>
      <c r="M55" s="4"/>
      <c r="N55" s="4"/>
      <c r="O55" s="4"/>
      <c r="P55" s="27"/>
      <c r="Q55" s="25"/>
      <c r="R55" s="25"/>
      <c r="S55" s="12">
        <f t="shared" si="16"/>
        <v>0</v>
      </c>
      <c r="T55" s="5">
        <v>0</v>
      </c>
      <c r="U55" s="12">
        <f t="shared" si="17"/>
        <v>0</v>
      </c>
      <c r="V55" s="25" t="s">
        <v>10</v>
      </c>
      <c r="W55" s="11">
        <f>IFERROR(VLOOKUP(V55,Curr!$B$2:$C$13,2,FALSE),0)</f>
        <v>11</v>
      </c>
      <c r="X55" s="12">
        <f t="shared" si="18"/>
        <v>0</v>
      </c>
      <c r="Y55" s="26">
        <f t="shared" si="19"/>
        <v>0</v>
      </c>
      <c r="Z55" s="12">
        <f t="shared" si="2"/>
        <v>0</v>
      </c>
      <c r="AA55" s="4" t="s">
        <v>10</v>
      </c>
      <c r="AB55" s="11">
        <f>IFERROR(VLOOKUP(AA55,Curr!$B$2:$C$13,2,FALSE),0)</f>
        <v>11</v>
      </c>
      <c r="AC55" s="12">
        <f t="shared" si="3"/>
        <v>0</v>
      </c>
      <c r="AD55" s="12">
        <f t="shared" si="4"/>
        <v>0</v>
      </c>
      <c r="AE55" s="13">
        <f t="shared" si="5"/>
        <v>0</v>
      </c>
    </row>
    <row r="56" spans="2:32" x14ac:dyDescent="0.25">
      <c r="B56" s="4"/>
      <c r="E56" s="3"/>
      <c r="F56" s="3"/>
      <c r="G56" s="24"/>
      <c r="H56" s="24"/>
      <c r="K56" s="4"/>
      <c r="L56" s="4"/>
      <c r="M56" s="4"/>
      <c r="N56" s="4"/>
      <c r="O56" s="4"/>
      <c r="P56" s="27"/>
      <c r="Q56" s="25"/>
      <c r="R56" s="25"/>
      <c r="S56" s="12">
        <f t="shared" si="16"/>
        <v>0</v>
      </c>
      <c r="T56" s="5">
        <v>0</v>
      </c>
      <c r="U56" s="12">
        <f t="shared" si="17"/>
        <v>0</v>
      </c>
      <c r="V56" s="25" t="s">
        <v>10</v>
      </c>
      <c r="W56" s="11">
        <f>IFERROR(VLOOKUP(V56,Curr!$B$2:$C$13,2,FALSE),0)</f>
        <v>11</v>
      </c>
      <c r="X56" s="12">
        <f t="shared" si="18"/>
        <v>0</v>
      </c>
      <c r="Y56" s="26">
        <f t="shared" si="19"/>
        <v>0</v>
      </c>
      <c r="Z56" s="12">
        <f t="shared" si="2"/>
        <v>0</v>
      </c>
      <c r="AA56" s="4" t="s">
        <v>10</v>
      </c>
      <c r="AB56" s="11">
        <f>IFERROR(VLOOKUP(AA56,Curr!$B$2:$C$13,2,FALSE),0)</f>
        <v>11</v>
      </c>
      <c r="AC56" s="12">
        <f t="shared" si="3"/>
        <v>0</v>
      </c>
      <c r="AD56" s="12">
        <f t="shared" si="4"/>
        <v>0</v>
      </c>
      <c r="AE56" s="13">
        <f t="shared" si="5"/>
        <v>0</v>
      </c>
    </row>
    <row r="57" spans="2:32" x14ac:dyDescent="0.25">
      <c r="B57" s="4"/>
      <c r="C57" s="1" t="s">
        <v>65</v>
      </c>
      <c r="D57" s="1" t="s">
        <v>110</v>
      </c>
      <c r="E57" s="3"/>
      <c r="F57" s="3"/>
      <c r="G57" s="24"/>
      <c r="H57" s="24"/>
      <c r="J57" s="1" t="s">
        <v>116</v>
      </c>
      <c r="K57" s="4"/>
      <c r="L57" s="4"/>
      <c r="M57" s="4"/>
      <c r="N57" s="4"/>
      <c r="O57" s="4"/>
      <c r="P57" s="33" t="s">
        <v>117</v>
      </c>
      <c r="Q57" s="25">
        <v>110</v>
      </c>
      <c r="R57" s="25">
        <v>0</v>
      </c>
      <c r="S57" s="12">
        <f t="shared" si="16"/>
        <v>0</v>
      </c>
      <c r="T57" s="5">
        <v>0.2</v>
      </c>
      <c r="U57" s="12">
        <f t="shared" si="17"/>
        <v>0</v>
      </c>
      <c r="V57" s="25" t="s">
        <v>10</v>
      </c>
      <c r="W57" s="11">
        <f>IFERROR(VLOOKUP(V57,Curr!$B$2:$C$13,2,FALSE),0)</f>
        <v>11</v>
      </c>
      <c r="X57" s="12">
        <f t="shared" si="18"/>
        <v>0</v>
      </c>
      <c r="Y57" s="26">
        <f t="shared" si="19"/>
        <v>110</v>
      </c>
      <c r="Z57" s="12">
        <f t="shared" si="2"/>
        <v>0</v>
      </c>
      <c r="AA57" s="4" t="s">
        <v>10</v>
      </c>
      <c r="AB57" s="11">
        <f>IFERROR(VLOOKUP(AA57,Curr!$B$2:$C$13,2,FALSE),0)</f>
        <v>11</v>
      </c>
      <c r="AC57" s="12">
        <f t="shared" si="3"/>
        <v>0</v>
      </c>
      <c r="AD57" s="12">
        <f t="shared" si="4"/>
        <v>0</v>
      </c>
      <c r="AE57" s="13">
        <f t="shared" si="5"/>
        <v>0</v>
      </c>
    </row>
    <row r="58" spans="2:32" x14ac:dyDescent="0.25">
      <c r="B58" s="4"/>
      <c r="C58" s="1" t="s">
        <v>74</v>
      </c>
      <c r="D58" s="1" t="s">
        <v>110</v>
      </c>
      <c r="E58" s="3"/>
      <c r="F58" s="3"/>
      <c r="G58" s="24"/>
      <c r="H58" s="24"/>
      <c r="J58" s="1" t="s">
        <v>111</v>
      </c>
      <c r="K58" s="4"/>
      <c r="L58" s="4"/>
      <c r="M58" s="4"/>
      <c r="N58" s="4"/>
      <c r="O58" s="4" t="s">
        <v>42</v>
      </c>
      <c r="P58" s="33" t="s">
        <v>112</v>
      </c>
      <c r="Q58" s="25">
        <v>126</v>
      </c>
      <c r="R58" s="25">
        <v>0</v>
      </c>
      <c r="S58" s="12">
        <f t="shared" si="16"/>
        <v>0</v>
      </c>
      <c r="T58" s="5">
        <v>0</v>
      </c>
      <c r="U58" s="12">
        <f t="shared" si="17"/>
        <v>0</v>
      </c>
      <c r="V58" s="25" t="s">
        <v>10</v>
      </c>
      <c r="W58" s="11">
        <f>IFERROR(VLOOKUP(V58,Curr!$B$2:$C$13,2,FALSE),0)</f>
        <v>11</v>
      </c>
      <c r="X58" s="12">
        <f t="shared" si="18"/>
        <v>0</v>
      </c>
      <c r="Y58" s="26">
        <f t="shared" si="19"/>
        <v>126</v>
      </c>
      <c r="Z58" s="12">
        <f t="shared" si="2"/>
        <v>0</v>
      </c>
      <c r="AA58" s="4" t="s">
        <v>10</v>
      </c>
      <c r="AB58" s="11">
        <f>IFERROR(VLOOKUP(AA58,Curr!$B$2:$C$13,2,FALSE),0)</f>
        <v>11</v>
      </c>
      <c r="AC58" s="12">
        <f t="shared" si="3"/>
        <v>0</v>
      </c>
      <c r="AD58" s="12">
        <f t="shared" si="4"/>
        <v>0</v>
      </c>
      <c r="AE58" s="13">
        <f t="shared" si="5"/>
        <v>0</v>
      </c>
    </row>
    <row r="59" spans="2:32" x14ac:dyDescent="0.25">
      <c r="B59" s="4"/>
      <c r="E59" s="3"/>
      <c r="F59" s="3"/>
      <c r="G59" s="24"/>
      <c r="H59" s="24"/>
      <c r="K59" s="4"/>
      <c r="L59" s="4"/>
      <c r="M59" s="4"/>
      <c r="N59" s="4"/>
      <c r="O59" s="4"/>
      <c r="P59" s="27"/>
      <c r="Q59" s="25"/>
      <c r="R59" s="25"/>
      <c r="S59" s="12">
        <f t="shared" si="16"/>
        <v>0</v>
      </c>
      <c r="T59" s="5">
        <v>0</v>
      </c>
      <c r="U59" s="12">
        <f t="shared" si="17"/>
        <v>0</v>
      </c>
      <c r="V59" s="25" t="s">
        <v>10</v>
      </c>
      <c r="W59" s="11">
        <f>IFERROR(VLOOKUP(V59,Curr!$B$2:$C$13,2,FALSE),0)</f>
        <v>11</v>
      </c>
      <c r="X59" s="12">
        <f t="shared" si="18"/>
        <v>0</v>
      </c>
      <c r="Y59" s="26">
        <f t="shared" si="19"/>
        <v>0</v>
      </c>
      <c r="Z59" s="12">
        <f t="shared" si="2"/>
        <v>0</v>
      </c>
      <c r="AA59" s="4" t="s">
        <v>10</v>
      </c>
      <c r="AB59" s="11">
        <f>IFERROR(VLOOKUP(AA59,Curr!$B$2:$C$13,2,FALSE),0)</f>
        <v>11</v>
      </c>
      <c r="AC59" s="12">
        <f t="shared" si="3"/>
        <v>0</v>
      </c>
      <c r="AD59" s="12">
        <f t="shared" si="4"/>
        <v>0</v>
      </c>
      <c r="AE59" s="13">
        <f t="shared" si="5"/>
        <v>0</v>
      </c>
    </row>
    <row r="60" spans="2:32" x14ac:dyDescent="0.25">
      <c r="B60" s="4"/>
      <c r="E60" s="3"/>
      <c r="F60" s="3"/>
      <c r="G60" s="24"/>
      <c r="H60" s="24"/>
      <c r="K60" s="4"/>
      <c r="L60" s="4"/>
      <c r="M60" s="4"/>
      <c r="N60" s="4"/>
      <c r="O60" s="4"/>
      <c r="P60" s="27"/>
      <c r="Q60" s="25"/>
      <c r="R60" s="25"/>
      <c r="S60" s="12">
        <f t="shared" si="16"/>
        <v>0</v>
      </c>
      <c r="T60" s="5">
        <v>0</v>
      </c>
      <c r="U60" s="12">
        <f t="shared" si="17"/>
        <v>0</v>
      </c>
      <c r="V60" s="25" t="s">
        <v>10</v>
      </c>
      <c r="W60" s="11">
        <f>IFERROR(VLOOKUP(V60,Curr!$B$2:$C$13,2,FALSE),0)</f>
        <v>11</v>
      </c>
      <c r="X60" s="12">
        <f t="shared" si="18"/>
        <v>0</v>
      </c>
      <c r="Y60" s="26">
        <f t="shared" si="19"/>
        <v>0</v>
      </c>
      <c r="Z60" s="12">
        <f t="shared" si="2"/>
        <v>0</v>
      </c>
      <c r="AA60" s="4" t="s">
        <v>10</v>
      </c>
      <c r="AB60" s="11">
        <f>IFERROR(VLOOKUP(AA60,Curr!$B$2:$C$13,2,FALSE),0)</f>
        <v>11</v>
      </c>
      <c r="AC60" s="12">
        <f t="shared" si="3"/>
        <v>0</v>
      </c>
      <c r="AD60" s="12">
        <f t="shared" si="4"/>
        <v>0</v>
      </c>
      <c r="AE60" s="13">
        <f t="shared" si="5"/>
        <v>0</v>
      </c>
    </row>
    <row r="61" spans="2:32" x14ac:dyDescent="0.25">
      <c r="B61" s="4"/>
      <c r="E61" s="3"/>
      <c r="F61" s="3"/>
      <c r="G61" s="24"/>
      <c r="H61" s="24"/>
      <c r="K61" s="4"/>
      <c r="L61" s="4"/>
      <c r="M61" s="4"/>
      <c r="N61" s="4"/>
      <c r="O61" s="4"/>
      <c r="P61" s="27"/>
      <c r="Q61" s="25"/>
      <c r="R61" s="25"/>
      <c r="S61" s="12">
        <f t="shared" si="16"/>
        <v>0</v>
      </c>
      <c r="T61" s="5">
        <v>0</v>
      </c>
      <c r="U61" s="12">
        <f t="shared" si="17"/>
        <v>0</v>
      </c>
      <c r="V61" s="25" t="s">
        <v>10</v>
      </c>
      <c r="W61" s="11">
        <f>IFERROR(VLOOKUP(V61,Curr!$B$2:$C$13,2,FALSE),0)</f>
        <v>11</v>
      </c>
      <c r="X61" s="12">
        <f t="shared" si="18"/>
        <v>0</v>
      </c>
      <c r="Y61" s="26">
        <f t="shared" si="19"/>
        <v>0</v>
      </c>
      <c r="Z61" s="12">
        <f t="shared" si="2"/>
        <v>0</v>
      </c>
      <c r="AA61" s="4" t="s">
        <v>10</v>
      </c>
      <c r="AB61" s="11">
        <f>IFERROR(VLOOKUP(AA61,Curr!$B$2:$C$13,2,FALSE),0)</f>
        <v>11</v>
      </c>
      <c r="AC61" s="12">
        <f t="shared" si="3"/>
        <v>0</v>
      </c>
      <c r="AD61" s="12">
        <f t="shared" si="4"/>
        <v>0</v>
      </c>
      <c r="AE61" s="13">
        <f t="shared" si="5"/>
        <v>0</v>
      </c>
    </row>
    <row r="62" spans="2:32" x14ac:dyDescent="0.25">
      <c r="B62" s="4"/>
      <c r="E62" s="3"/>
      <c r="F62" s="3"/>
      <c r="G62" s="24"/>
      <c r="H62" s="24"/>
      <c r="K62" s="4"/>
      <c r="L62" s="4"/>
      <c r="M62" s="4"/>
      <c r="N62" s="4"/>
      <c r="O62" s="4"/>
      <c r="P62" s="27"/>
      <c r="Q62" s="25"/>
      <c r="R62" s="25"/>
      <c r="S62" s="12">
        <f t="shared" si="16"/>
        <v>0</v>
      </c>
      <c r="T62" s="5">
        <v>0</v>
      </c>
      <c r="U62" s="12">
        <f t="shared" si="17"/>
        <v>0</v>
      </c>
      <c r="V62" s="25" t="s">
        <v>10</v>
      </c>
      <c r="W62" s="11">
        <f>IFERROR(VLOOKUP(V62,Curr!$B$2:$C$13,2,FALSE),0)</f>
        <v>11</v>
      </c>
      <c r="X62" s="12">
        <f t="shared" si="18"/>
        <v>0</v>
      </c>
      <c r="Y62" s="26">
        <f t="shared" si="19"/>
        <v>0</v>
      </c>
      <c r="Z62" s="12">
        <f t="shared" si="2"/>
        <v>0</v>
      </c>
      <c r="AA62" s="4" t="s">
        <v>10</v>
      </c>
      <c r="AB62" s="11">
        <f>IFERROR(VLOOKUP(AA62,Curr!$B$2:$C$13,2,FALSE),0)</f>
        <v>11</v>
      </c>
      <c r="AC62" s="12">
        <f t="shared" si="3"/>
        <v>0</v>
      </c>
      <c r="AD62" s="12">
        <f t="shared" si="4"/>
        <v>0</v>
      </c>
      <c r="AE62" s="13">
        <f t="shared" si="5"/>
        <v>0</v>
      </c>
    </row>
    <row r="63" spans="2:32" x14ac:dyDescent="0.25">
      <c r="B63" s="4"/>
      <c r="E63" s="3"/>
      <c r="F63" s="3"/>
      <c r="G63" s="24"/>
      <c r="H63" s="24"/>
      <c r="K63" s="4"/>
      <c r="L63" s="4"/>
      <c r="M63" s="4"/>
      <c r="N63" s="4"/>
      <c r="O63" s="4"/>
      <c r="P63" s="27"/>
      <c r="Q63" s="25"/>
      <c r="R63" s="25"/>
      <c r="S63" s="12">
        <f t="shared" si="16"/>
        <v>0</v>
      </c>
      <c r="T63" s="5">
        <v>0</v>
      </c>
      <c r="U63" s="12">
        <f t="shared" si="17"/>
        <v>0</v>
      </c>
      <c r="V63" s="25" t="s">
        <v>10</v>
      </c>
      <c r="W63" s="11">
        <f>IFERROR(VLOOKUP(V63,Curr!$B$2:$C$13,2,FALSE),0)</f>
        <v>11</v>
      </c>
      <c r="X63" s="12">
        <f t="shared" si="18"/>
        <v>0</v>
      </c>
      <c r="Y63" s="26">
        <f t="shared" si="19"/>
        <v>0</v>
      </c>
      <c r="Z63" s="12">
        <f t="shared" si="2"/>
        <v>0</v>
      </c>
      <c r="AA63" s="4" t="s">
        <v>10</v>
      </c>
      <c r="AB63" s="11">
        <f>IFERROR(VLOOKUP(AA63,Curr!$B$2:$C$13,2,FALSE),0)</f>
        <v>11</v>
      </c>
      <c r="AC63" s="12">
        <f t="shared" si="3"/>
        <v>0</v>
      </c>
      <c r="AD63" s="12">
        <f t="shared" si="4"/>
        <v>0</v>
      </c>
      <c r="AE63" s="13">
        <f t="shared" si="5"/>
        <v>0</v>
      </c>
    </row>
    <row r="64" spans="2:32" x14ac:dyDescent="0.25">
      <c r="B64" s="4"/>
      <c r="E64" s="3"/>
      <c r="F64" s="3"/>
      <c r="G64" s="3"/>
      <c r="H64" s="3"/>
      <c r="L64" s="4"/>
      <c r="M64" s="4"/>
      <c r="N64" s="4"/>
      <c r="O64" s="4"/>
      <c r="P64" s="22"/>
      <c r="Q64" s="4"/>
      <c r="R64" s="4"/>
      <c r="S64" s="4"/>
      <c r="T64" s="4"/>
      <c r="U64" s="4"/>
      <c r="V64" s="4"/>
      <c r="W64" s="4"/>
      <c r="X64" s="4"/>
      <c r="Y64" s="4"/>
      <c r="Z64" s="4"/>
      <c r="AA64" s="4"/>
      <c r="AB64" s="4"/>
      <c r="AC64" s="4"/>
      <c r="AD64" s="4"/>
      <c r="AE64" s="4"/>
      <c r="AF64" s="4"/>
    </row>
    <row r="65" spans="2:36" x14ac:dyDescent="0.25">
      <c r="B65" s="14" t="s">
        <v>18</v>
      </c>
      <c r="C65" s="14"/>
      <c r="D65" s="28" t="s">
        <v>42</v>
      </c>
      <c r="E65" s="30" t="s">
        <v>42</v>
      </c>
      <c r="F65" s="30" t="s">
        <v>42</v>
      </c>
      <c r="G65" s="30" t="s">
        <v>42</v>
      </c>
      <c r="H65" s="30" t="s">
        <v>42</v>
      </c>
      <c r="I65" s="28" t="s">
        <v>42</v>
      </c>
      <c r="J65" s="28" t="s">
        <v>42</v>
      </c>
      <c r="K65" s="28" t="s">
        <v>42</v>
      </c>
      <c r="L65" s="28" t="s">
        <v>42</v>
      </c>
      <c r="M65" s="28" t="s">
        <v>42</v>
      </c>
      <c r="N65" s="28" t="s">
        <v>42</v>
      </c>
      <c r="O65" s="28" t="s">
        <v>42</v>
      </c>
      <c r="P65" s="28" t="s">
        <v>42</v>
      </c>
      <c r="Q65" s="31" t="s">
        <v>42</v>
      </c>
      <c r="R65" s="28" t="s">
        <v>42</v>
      </c>
      <c r="S65" s="32" t="s">
        <v>42</v>
      </c>
      <c r="T65" s="28" t="s">
        <v>42</v>
      </c>
      <c r="U65" s="32" t="s">
        <v>42</v>
      </c>
      <c r="V65" s="28" t="s">
        <v>42</v>
      </c>
      <c r="W65" s="28" t="s">
        <v>42</v>
      </c>
      <c r="X65" s="32" t="s">
        <v>42</v>
      </c>
      <c r="Y65" s="32" t="s">
        <v>42</v>
      </c>
      <c r="Z65" s="15">
        <f>SUM(Z7:Z63)</f>
        <v>3308.6465010783077</v>
      </c>
      <c r="AA65" s="14"/>
      <c r="AB65" s="14"/>
      <c r="AC65" s="15">
        <f>SUM(AC7:AC63)</f>
        <v>36395.111511861382</v>
      </c>
      <c r="AD65" s="15">
        <f>SUM(AD7:AD63)</f>
        <v>7370.3115118613814</v>
      </c>
      <c r="AE65" s="21">
        <f t="shared" ref="AE65" si="45">IFERROR(AD65/AC65,0)</f>
        <v>0.20250828217573544</v>
      </c>
      <c r="AF65" s="15">
        <f>SUM(AF8:AF64)</f>
        <v>0</v>
      </c>
      <c r="AG65" s="15">
        <f>SUM(AG8:AG64)</f>
        <v>0</v>
      </c>
      <c r="AH65" s="15">
        <f>SUM(AH8:AH64)</f>
        <v>0</v>
      </c>
      <c r="AI65" s="15">
        <f>SUM(AI8:AI64)</f>
        <v>0</v>
      </c>
      <c r="AJ65" s="15">
        <f>SUM(AJ8:AJ64)</f>
        <v>0</v>
      </c>
    </row>
    <row r="66" spans="2:36" x14ac:dyDescent="0.25">
      <c r="B66" s="4"/>
      <c r="E66" s="3"/>
      <c r="F66" s="3"/>
      <c r="G66" s="3"/>
      <c r="H66" s="3"/>
      <c r="L66" s="4"/>
      <c r="M66" s="4"/>
      <c r="N66" s="4"/>
      <c r="O66" s="4"/>
      <c r="Q66" s="4"/>
      <c r="R66" s="4"/>
      <c r="S66" s="4"/>
      <c r="T66" s="4"/>
      <c r="U66" s="4"/>
      <c r="V66" s="4"/>
      <c r="W66" s="4"/>
      <c r="X66" s="4"/>
      <c r="Y66" s="9"/>
      <c r="Z66" s="9"/>
      <c r="AA66" s="9"/>
      <c r="AB66" s="9"/>
      <c r="AC66" s="9"/>
      <c r="AD66" s="9"/>
      <c r="AE66" s="9"/>
    </row>
    <row r="67" spans="2:36" x14ac:dyDescent="0.25">
      <c r="B67" s="4"/>
      <c r="E67" s="3"/>
      <c r="F67" s="3"/>
      <c r="G67" s="3"/>
      <c r="H67" s="3"/>
      <c r="L67" s="4"/>
      <c r="M67" s="4"/>
      <c r="N67" s="4"/>
      <c r="O67" s="4"/>
      <c r="Q67" s="9"/>
      <c r="R67" s="9"/>
      <c r="S67" s="9"/>
      <c r="T67" s="9"/>
      <c r="U67" s="9"/>
      <c r="V67" s="9"/>
      <c r="W67" s="9"/>
      <c r="X67" s="23"/>
      <c r="Y67" s="34" t="s">
        <v>43</v>
      </c>
      <c r="Z67" s="34">
        <v>3320</v>
      </c>
      <c r="AA67" s="9"/>
      <c r="AB67" s="9"/>
      <c r="AC67" s="9"/>
      <c r="AD67" s="9"/>
      <c r="AE67" s="9"/>
    </row>
    <row r="68" spans="2:36" x14ac:dyDescent="0.25">
      <c r="B68" s="4"/>
      <c r="E68" s="3"/>
      <c r="F68" s="3"/>
      <c r="G68" s="3"/>
      <c r="H68" s="3"/>
      <c r="L68" s="4"/>
      <c r="M68" s="4"/>
      <c r="N68" s="4"/>
      <c r="O68" s="4"/>
      <c r="Q68" s="9"/>
      <c r="R68" s="9"/>
      <c r="S68" s="9"/>
      <c r="T68" s="9"/>
      <c r="U68" s="9"/>
      <c r="V68" s="9"/>
      <c r="W68" s="9"/>
      <c r="X68" s="9"/>
      <c r="Y68" s="34" t="s">
        <v>44</v>
      </c>
      <c r="Z68" s="34">
        <f>Z67/2</f>
        <v>1660</v>
      </c>
      <c r="AA68" s="9"/>
      <c r="AB68" s="9"/>
      <c r="AC68" s="9"/>
      <c r="AD68" s="9"/>
      <c r="AE68" s="9"/>
      <c r="AF68" s="18"/>
    </row>
    <row r="69" spans="2:36" x14ac:dyDescent="0.25">
      <c r="B69" s="4"/>
      <c r="E69" s="3"/>
      <c r="F69" s="3"/>
      <c r="G69" s="3"/>
      <c r="H69" s="3"/>
      <c r="I69" s="19"/>
      <c r="L69" s="4"/>
      <c r="M69" s="4"/>
      <c r="N69" s="4"/>
      <c r="O69" s="20"/>
      <c r="Q69" s="20"/>
      <c r="R69" s="20"/>
      <c r="S69" s="20"/>
      <c r="T69" s="20"/>
      <c r="U69" s="20"/>
      <c r="V69" s="20"/>
      <c r="W69" s="20"/>
      <c r="X69" s="20"/>
      <c r="Y69" s="9"/>
      <c r="Z69" s="9"/>
      <c r="AA69" s="9"/>
      <c r="AB69" s="9"/>
      <c r="AC69" s="9"/>
      <c r="AD69" s="9"/>
      <c r="AE69" s="9"/>
      <c r="AF69" s="18"/>
    </row>
    <row r="70" spans="2:36" x14ac:dyDescent="0.25">
      <c r="B70" s="4"/>
      <c r="E70" s="3"/>
      <c r="F70" s="3"/>
      <c r="G70" s="3"/>
      <c r="H70" s="3"/>
      <c r="L70" s="4"/>
      <c r="M70" s="4"/>
      <c r="N70" s="4"/>
      <c r="O70" s="20"/>
      <c r="Q70" s="20"/>
      <c r="R70" s="20"/>
      <c r="S70" s="20"/>
      <c r="T70" s="20"/>
      <c r="U70" s="20"/>
      <c r="V70" s="20"/>
      <c r="W70" s="20"/>
      <c r="X70" s="20"/>
      <c r="Y70" s="9"/>
      <c r="Z70" s="9"/>
      <c r="AA70" s="9"/>
      <c r="AB70" s="9"/>
      <c r="AC70" s="9"/>
      <c r="AD70" s="9"/>
      <c r="AE70" s="9"/>
      <c r="AF70" s="18"/>
    </row>
    <row r="71" spans="2:36" x14ac:dyDescent="0.25">
      <c r="B71" s="4"/>
      <c r="E71" s="3"/>
      <c r="F71" s="3"/>
      <c r="G71" s="3"/>
      <c r="H71" s="3"/>
      <c r="L71" s="4"/>
      <c r="M71" s="4"/>
      <c r="N71" s="4"/>
      <c r="O71" s="4"/>
      <c r="Q71" s="9"/>
      <c r="R71" s="9"/>
      <c r="S71" s="9"/>
      <c r="T71" s="9"/>
      <c r="U71" s="9"/>
      <c r="V71" s="9"/>
      <c r="W71" s="9"/>
      <c r="X71" s="9"/>
      <c r="Y71" s="37" t="s">
        <v>302</v>
      </c>
      <c r="Z71" s="9">
        <f>Z67</f>
        <v>3320</v>
      </c>
      <c r="AA71" s="9"/>
      <c r="AB71" s="9"/>
      <c r="AC71" s="9"/>
      <c r="AD71" s="9"/>
      <c r="AE71" s="9"/>
      <c r="AF71" s="18"/>
    </row>
    <row r="72" spans="2:36" x14ac:dyDescent="0.25">
      <c r="F72" s="1"/>
      <c r="G72" s="1"/>
      <c r="H72" s="1"/>
      <c r="J72" s="1" t="s">
        <v>32</v>
      </c>
      <c r="Q72" s="9"/>
      <c r="R72" s="4"/>
      <c r="S72" s="9"/>
      <c r="T72" s="5"/>
      <c r="U72" s="9"/>
      <c r="V72" s="4"/>
      <c r="W72" s="4"/>
      <c r="X72" s="9"/>
      <c r="Y72" s="37" t="s">
        <v>299</v>
      </c>
      <c r="Z72" s="9">
        <f>Z71*1.12</f>
        <v>3718.4000000000005</v>
      </c>
      <c r="AA72" s="9"/>
      <c r="AB72" s="9"/>
      <c r="AC72" s="9"/>
      <c r="AD72" s="9"/>
      <c r="AE72" s="9"/>
    </row>
    <row r="73" spans="2:36" x14ac:dyDescent="0.25">
      <c r="R73" s="4"/>
      <c r="S73" s="17"/>
      <c r="T73" s="17"/>
      <c r="U73" s="9"/>
      <c r="V73" s="4"/>
      <c r="W73" s="4"/>
      <c r="X73" s="9"/>
      <c r="Y73" s="37" t="s">
        <v>303</v>
      </c>
      <c r="Z73" s="9">
        <f>Z71*1.2</f>
        <v>3984</v>
      </c>
      <c r="AA73" s="9"/>
      <c r="AB73" s="9"/>
      <c r="AC73" s="9"/>
      <c r="AD73" s="9"/>
      <c r="AE73" s="9"/>
    </row>
    <row r="74" spans="2:36" x14ac:dyDescent="0.25">
      <c r="Q74" s="9"/>
      <c r="R74" s="4"/>
      <c r="S74" s="16"/>
      <c r="T74" s="16"/>
      <c r="U74" s="9"/>
      <c r="V74" s="4"/>
      <c r="W74" s="4"/>
      <c r="X74" s="9"/>
      <c r="Y74" s="37" t="s">
        <v>300</v>
      </c>
      <c r="Z74" s="9">
        <f>Z71*0.8</f>
        <v>2656</v>
      </c>
      <c r="AA74" s="9"/>
      <c r="AB74" s="9"/>
      <c r="AC74" s="9"/>
      <c r="AD74" s="9"/>
      <c r="AE74" s="9"/>
    </row>
    <row r="75" spans="2:36" x14ac:dyDescent="0.25">
      <c r="R75" s="4"/>
      <c r="S75" s="16"/>
      <c r="T75" s="16"/>
      <c r="Y75" s="9"/>
      <c r="Z75" s="9"/>
      <c r="AA75" s="9"/>
      <c r="AB75" s="9"/>
      <c r="AC75" s="9"/>
      <c r="AD75" s="9"/>
      <c r="AE75" s="9"/>
    </row>
    <row r="76" spans="2:36" x14ac:dyDescent="0.25">
      <c r="T76" s="5"/>
      <c r="Y76" s="9"/>
      <c r="Z76" s="9"/>
      <c r="AA76" s="9"/>
      <c r="AB76" s="9"/>
      <c r="AC76" s="9"/>
      <c r="AD76" s="9"/>
      <c r="AE76" s="9"/>
    </row>
    <row r="77" spans="2:36" x14ac:dyDescent="0.25">
      <c r="T77" s="5"/>
      <c r="Y77" s="9"/>
      <c r="Z77" s="9"/>
      <c r="AA77" s="9"/>
      <c r="AB77" s="9"/>
      <c r="AC77" s="9"/>
      <c r="AD77" s="9"/>
      <c r="AE77" s="9"/>
    </row>
    <row r="78" spans="2:36" x14ac:dyDescent="0.25">
      <c r="T78" s="5"/>
      <c r="Y78" s="9"/>
      <c r="Z78" s="9"/>
      <c r="AA78" s="9"/>
      <c r="AB78" s="9"/>
      <c r="AC78" s="9"/>
      <c r="AD78" s="9"/>
      <c r="AE78" s="9"/>
    </row>
    <row r="79" spans="2:36" x14ac:dyDescent="0.25">
      <c r="T79" s="5"/>
      <c r="Y79" s="9"/>
      <c r="Z79" s="9"/>
      <c r="AA79" s="9"/>
      <c r="AB79" s="9"/>
      <c r="AC79" s="9"/>
      <c r="AD79" s="9"/>
      <c r="AE79" s="9"/>
    </row>
    <row r="80" spans="2:36" x14ac:dyDescent="0.25">
      <c r="T80" s="5"/>
      <c r="Y80" s="9"/>
      <c r="Z80" s="9"/>
      <c r="AA80" s="9"/>
      <c r="AB80" s="9"/>
      <c r="AC80" s="9"/>
      <c r="AD80" s="9"/>
      <c r="AE80" s="9"/>
    </row>
    <row r="81" spans="20:31" x14ac:dyDescent="0.25">
      <c r="T81" s="5"/>
      <c r="Y81" s="9"/>
      <c r="Z81" s="9"/>
      <c r="AA81" s="9"/>
      <c r="AB81" s="9"/>
      <c r="AC81" s="9"/>
      <c r="AD81" s="9"/>
      <c r="AE81" s="9"/>
    </row>
    <row r="82" spans="20:31" x14ac:dyDescent="0.25">
      <c r="T82" s="5"/>
      <c r="Y82" s="9"/>
      <c r="Z82" s="9"/>
      <c r="AA82" s="9"/>
      <c r="AB82" s="9"/>
      <c r="AC82" s="9"/>
      <c r="AD82" s="9"/>
      <c r="AE82" s="9"/>
    </row>
    <row r="83" spans="20:31" x14ac:dyDescent="0.25">
      <c r="T83" s="5"/>
      <c r="Y83" s="9"/>
      <c r="Z83" s="9"/>
      <c r="AA83" s="9"/>
      <c r="AB83" s="9"/>
      <c r="AC83" s="9"/>
      <c r="AD83" s="9"/>
      <c r="AE83" s="9"/>
    </row>
    <row r="84" spans="20:31" x14ac:dyDescent="0.25">
      <c r="T84" s="5"/>
    </row>
    <row r="85" spans="20:31" x14ac:dyDescent="0.25">
      <c r="T85" s="5"/>
    </row>
    <row r="86" spans="20:31" x14ac:dyDescent="0.25">
      <c r="T86" s="5"/>
    </row>
    <row r="87" spans="20:31" x14ac:dyDescent="0.25">
      <c r="T87" s="5"/>
    </row>
    <row r="88" spans="20:31" x14ac:dyDescent="0.25">
      <c r="T88" s="5"/>
    </row>
  </sheetData>
  <autoFilter ref="B6:AE65" xr:uid="{65FA6D9B-E0AF-46CD-BA0D-86BB75FE6AB0}"/>
  <hyperlinks>
    <hyperlink ref="P12" r:id="rId1" xr:uid="{371DCA17-6C09-4583-A09F-68731192A4D6}"/>
    <hyperlink ref="P17" r:id="rId2" xr:uid="{CFB7314E-B8F9-4363-BFB1-459E64A8205D}"/>
    <hyperlink ref="P23" r:id="rId3" xr:uid="{3E8CADA6-30B7-43BE-A937-E129E38A2810}"/>
    <hyperlink ref="P43" r:id="rId4" xr:uid="{B7F4422A-2220-416A-800D-6555509DB116}"/>
    <hyperlink ref="P58" r:id="rId5" xr:uid="{10675AA4-FF1A-48E2-9080-EA33973CD672}"/>
    <hyperlink ref="P57" r:id="rId6" xr:uid="{32423C5A-FF03-4967-9597-CE70985E3C90}"/>
  </hyperlinks>
  <pageMargins left="0.7" right="0.7" top="0.75" bottom="0.75" header="0.3" footer="0.3"/>
  <pageSetup paperSize="9" orientation="portrait" r:id="rId7"/>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4EE39-D5AE-4E67-B4E9-AB690FF7E4AD}">
  <sheetPr>
    <tabColor rgb="FFFFFF00"/>
  </sheetPr>
  <dimension ref="B1:AK83"/>
  <sheetViews>
    <sheetView topLeftCell="A6" zoomScale="80" zoomScaleNormal="80" workbookViewId="0">
      <selection activeCell="J19" sqref="J19"/>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1" spans="2:36" x14ac:dyDescent="0.25">
      <c r="B1" s="2" t="s">
        <v>84</v>
      </c>
    </row>
    <row r="2" spans="2:36" x14ac:dyDescent="0.25">
      <c r="B2" s="2" t="s">
        <v>83</v>
      </c>
    </row>
    <row r="3" spans="2:36" x14ac:dyDescent="0.25">
      <c r="B3" s="2" t="s">
        <v>50</v>
      </c>
    </row>
    <row r="4" spans="2:36" x14ac:dyDescent="0.25">
      <c r="B4" s="2" t="s">
        <v>51</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52</v>
      </c>
      <c r="D7" s="1" t="s">
        <v>53</v>
      </c>
      <c r="E7" s="3"/>
      <c r="F7" s="3"/>
      <c r="G7" s="3"/>
      <c r="H7" s="3"/>
      <c r="J7" s="1" t="s">
        <v>160</v>
      </c>
      <c r="K7" s="4"/>
      <c r="L7" s="4"/>
      <c r="M7" s="4"/>
      <c r="N7" s="4"/>
      <c r="O7" s="4"/>
      <c r="P7" s="27"/>
      <c r="Q7" s="25">
        <v>0</v>
      </c>
      <c r="R7" s="25">
        <v>0</v>
      </c>
      <c r="S7" s="12">
        <f t="shared" ref="S7:S10" si="0">+Q7*R7</f>
        <v>0</v>
      </c>
      <c r="T7" s="5">
        <v>0</v>
      </c>
      <c r="U7" s="12">
        <f t="shared" ref="U7:U10" si="1">S7*(1-T7)</f>
        <v>0</v>
      </c>
      <c r="V7" s="25" t="s">
        <v>10</v>
      </c>
      <c r="W7" s="11">
        <f>IFERROR(VLOOKUP(V7,Curr!$B$2:$C$13,2,FALSE),0)</f>
        <v>11</v>
      </c>
      <c r="X7" s="12">
        <f t="shared" ref="X7:X10" si="2">U7*W7</f>
        <v>0</v>
      </c>
      <c r="Y7" s="26">
        <f t="shared" ref="Y7:Y10" si="3">Q7</f>
        <v>0</v>
      </c>
      <c r="Z7" s="12">
        <f t="shared" ref="Z7:Z58" si="4">+Y7*R7</f>
        <v>0</v>
      </c>
      <c r="AA7" s="4" t="s">
        <v>10</v>
      </c>
      <c r="AB7" s="11">
        <f>IFERROR(VLOOKUP(AA7,Curr!$B$2:$C$13,2,FALSE),0)</f>
        <v>11</v>
      </c>
      <c r="AC7" s="12">
        <f t="shared" ref="AC7:AC58" si="5">+Y7*AB7*R7</f>
        <v>0</v>
      </c>
      <c r="AD7" s="12">
        <f t="shared" ref="AD7:AD58" si="6">+AC7-X7</f>
        <v>0</v>
      </c>
      <c r="AE7" s="13">
        <f t="shared" ref="AE7:AE58" si="7">IFERROR(AD7/AC7,0)</f>
        <v>0</v>
      </c>
    </row>
    <row r="8" spans="2:36" x14ac:dyDescent="0.25">
      <c r="B8" s="4"/>
      <c r="C8" s="1" t="s">
        <v>52</v>
      </c>
      <c r="D8" s="1" t="s">
        <v>54</v>
      </c>
      <c r="E8" s="3"/>
      <c r="F8" s="3"/>
      <c r="G8" s="24"/>
      <c r="H8" s="24"/>
      <c r="J8" s="1" t="s">
        <v>100</v>
      </c>
      <c r="K8" s="4"/>
      <c r="L8" s="4"/>
      <c r="M8" s="4"/>
      <c r="N8" s="4"/>
      <c r="O8" s="4"/>
      <c r="P8" s="33"/>
      <c r="Q8" s="25">
        <v>0</v>
      </c>
      <c r="R8" s="25">
        <v>0</v>
      </c>
      <c r="S8" s="12">
        <f t="shared" si="0"/>
        <v>0</v>
      </c>
      <c r="T8" s="5">
        <v>0</v>
      </c>
      <c r="U8" s="12">
        <f t="shared" si="1"/>
        <v>0</v>
      </c>
      <c r="V8" s="25" t="s">
        <v>10</v>
      </c>
      <c r="W8" s="11">
        <f>IFERROR(VLOOKUP(V8,Curr!$B$2:$C$13,2,FALSE),0)</f>
        <v>11</v>
      </c>
      <c r="X8" s="12">
        <f t="shared" si="2"/>
        <v>0</v>
      </c>
      <c r="Y8" s="26">
        <f t="shared" si="3"/>
        <v>0</v>
      </c>
      <c r="Z8" s="12">
        <f t="shared" si="4"/>
        <v>0</v>
      </c>
      <c r="AA8" s="4" t="s">
        <v>10</v>
      </c>
      <c r="AB8" s="11">
        <f>IFERROR(VLOOKUP(AA8,Curr!$B$2:$C$13,2,FALSE),0)</f>
        <v>11</v>
      </c>
      <c r="AC8" s="12">
        <f t="shared" si="5"/>
        <v>0</v>
      </c>
      <c r="AD8" s="12">
        <f t="shared" si="6"/>
        <v>0</v>
      </c>
      <c r="AE8" s="13">
        <f t="shared" si="7"/>
        <v>0</v>
      </c>
    </row>
    <row r="9" spans="2:36" x14ac:dyDescent="0.25">
      <c r="B9" s="4"/>
      <c r="C9" s="1" t="s">
        <v>52</v>
      </c>
      <c r="D9" s="1" t="s">
        <v>55</v>
      </c>
      <c r="E9" s="3"/>
      <c r="F9" s="3"/>
      <c r="G9" s="24"/>
      <c r="H9" s="24"/>
      <c r="J9" s="1" t="s">
        <v>170</v>
      </c>
      <c r="K9" s="4"/>
      <c r="L9" s="4"/>
      <c r="M9" s="4"/>
      <c r="N9" s="4"/>
      <c r="O9" s="4"/>
      <c r="P9" s="27"/>
      <c r="Q9" s="25">
        <v>200</v>
      </c>
      <c r="R9" s="25">
        <v>1</v>
      </c>
      <c r="S9" s="12">
        <f t="shared" si="0"/>
        <v>200</v>
      </c>
      <c r="T9" s="5">
        <v>0</v>
      </c>
      <c r="U9" s="12">
        <f t="shared" si="1"/>
        <v>200</v>
      </c>
      <c r="V9" s="25" t="s">
        <v>10</v>
      </c>
      <c r="W9" s="11">
        <f>IFERROR(VLOOKUP(V9,Curr!$B$2:$C$13,2,FALSE),0)</f>
        <v>11</v>
      </c>
      <c r="X9" s="12">
        <f t="shared" si="2"/>
        <v>2200</v>
      </c>
      <c r="Y9" s="26">
        <f>Q9/0.8</f>
        <v>250</v>
      </c>
      <c r="Z9" s="12">
        <f t="shared" si="4"/>
        <v>250</v>
      </c>
      <c r="AA9" s="4" t="s">
        <v>10</v>
      </c>
      <c r="AB9" s="11">
        <f>IFERROR(VLOOKUP(AA9,Curr!$B$2:$C$13,2,FALSE),0)</f>
        <v>11</v>
      </c>
      <c r="AC9" s="12">
        <f t="shared" si="5"/>
        <v>2750</v>
      </c>
      <c r="AD9" s="12">
        <f t="shared" si="6"/>
        <v>550</v>
      </c>
      <c r="AE9" s="13">
        <f t="shared" si="7"/>
        <v>0.2</v>
      </c>
    </row>
    <row r="10" spans="2:36" x14ac:dyDescent="0.25">
      <c r="B10" s="4"/>
      <c r="C10" s="1" t="s">
        <v>52</v>
      </c>
      <c r="D10" s="1" t="s">
        <v>56</v>
      </c>
      <c r="E10" s="3"/>
      <c r="F10" s="3"/>
      <c r="G10" s="24"/>
      <c r="H10" s="24"/>
      <c r="J10" s="1" t="s">
        <v>79</v>
      </c>
      <c r="K10" s="4"/>
      <c r="L10" s="4"/>
      <c r="M10" s="4"/>
      <c r="N10" s="4"/>
      <c r="O10" s="4"/>
      <c r="P10" s="27"/>
      <c r="Q10" s="25">
        <v>0</v>
      </c>
      <c r="R10" s="25">
        <v>0</v>
      </c>
      <c r="S10" s="12">
        <f t="shared" si="0"/>
        <v>0</v>
      </c>
      <c r="T10" s="5">
        <v>0</v>
      </c>
      <c r="U10" s="12">
        <f t="shared" si="1"/>
        <v>0</v>
      </c>
      <c r="V10" s="25" t="s">
        <v>10</v>
      </c>
      <c r="W10" s="11">
        <f>IFERROR(VLOOKUP(V10,Curr!$B$2:$C$13,2,FALSE),0)</f>
        <v>11</v>
      </c>
      <c r="X10" s="12">
        <f t="shared" si="2"/>
        <v>0</v>
      </c>
      <c r="Y10" s="26">
        <f t="shared" si="3"/>
        <v>0</v>
      </c>
      <c r="Z10" s="12">
        <f t="shared" si="4"/>
        <v>0</v>
      </c>
      <c r="AA10" s="4" t="s">
        <v>10</v>
      </c>
      <c r="AB10" s="11">
        <f>IFERROR(VLOOKUP(AA10,Curr!$B$2:$C$13,2,FALSE),0)</f>
        <v>11</v>
      </c>
      <c r="AC10" s="12">
        <f t="shared" si="5"/>
        <v>0</v>
      </c>
      <c r="AD10" s="12">
        <f t="shared" si="6"/>
        <v>0</v>
      </c>
      <c r="AE10" s="13">
        <f t="shared" si="7"/>
        <v>0</v>
      </c>
    </row>
    <row r="11" spans="2:36" x14ac:dyDescent="0.25">
      <c r="B11" s="4"/>
      <c r="E11" s="3"/>
      <c r="F11" s="3"/>
      <c r="G11" s="24"/>
      <c r="H11" s="24"/>
      <c r="K11" s="4"/>
      <c r="L11" s="4"/>
      <c r="M11" s="4"/>
      <c r="N11" s="4"/>
      <c r="O11" s="4"/>
      <c r="P11" s="27"/>
      <c r="Q11" s="25"/>
      <c r="R11" s="25"/>
      <c r="S11" s="12">
        <f t="shared" ref="S11:S58" si="8">+Q11*R11</f>
        <v>0</v>
      </c>
      <c r="T11" s="5">
        <v>0</v>
      </c>
      <c r="U11" s="12">
        <f t="shared" ref="U11:U58" si="9">S11*(1-T11)</f>
        <v>0</v>
      </c>
      <c r="V11" s="25" t="s">
        <v>10</v>
      </c>
      <c r="W11" s="11">
        <f>IFERROR(VLOOKUP(V11,Curr!$B$2:$C$13,2,FALSE),0)</f>
        <v>11</v>
      </c>
      <c r="X11" s="12">
        <f t="shared" ref="X11:X58" si="10">U11*W11</f>
        <v>0</v>
      </c>
      <c r="Y11" s="26">
        <f t="shared" ref="Y11:Y58" si="11">Q11</f>
        <v>0</v>
      </c>
      <c r="Z11" s="12">
        <f t="shared" si="4"/>
        <v>0</v>
      </c>
      <c r="AA11" s="4" t="s">
        <v>10</v>
      </c>
      <c r="AB11" s="11">
        <f>IFERROR(VLOOKUP(AA11,Curr!$B$2:$C$13,2,FALSE),0)</f>
        <v>11</v>
      </c>
      <c r="AC11" s="12">
        <f t="shared" si="5"/>
        <v>0</v>
      </c>
      <c r="AD11" s="12">
        <f t="shared" si="6"/>
        <v>0</v>
      </c>
      <c r="AE11" s="13">
        <f t="shared" si="7"/>
        <v>0</v>
      </c>
    </row>
    <row r="12" spans="2:36" x14ac:dyDescent="0.25">
      <c r="B12" s="4"/>
      <c r="C12" s="1" t="s">
        <v>59</v>
      </c>
      <c r="D12" s="1" t="s">
        <v>54</v>
      </c>
      <c r="E12" s="3"/>
      <c r="F12" s="3"/>
      <c r="G12" s="24"/>
      <c r="H12" s="24"/>
      <c r="J12" s="1" t="s">
        <v>161</v>
      </c>
      <c r="K12" s="4"/>
      <c r="L12" s="4"/>
      <c r="M12" s="4"/>
      <c r="N12" s="4"/>
      <c r="O12" s="4"/>
      <c r="P12" s="33"/>
      <c r="Q12" s="25">
        <v>0</v>
      </c>
      <c r="R12" s="25">
        <v>0</v>
      </c>
      <c r="S12" s="12">
        <f t="shared" si="8"/>
        <v>0</v>
      </c>
      <c r="T12" s="5">
        <v>0</v>
      </c>
      <c r="U12" s="12">
        <f t="shared" si="9"/>
        <v>0</v>
      </c>
      <c r="V12" s="25" t="s">
        <v>10</v>
      </c>
      <c r="W12" s="11">
        <f>IFERROR(VLOOKUP(V12,Curr!$B$2:$C$13,2,FALSE),0)</f>
        <v>11</v>
      </c>
      <c r="X12" s="12">
        <f t="shared" si="10"/>
        <v>0</v>
      </c>
      <c r="Y12" s="26">
        <f t="shared" si="11"/>
        <v>0</v>
      </c>
      <c r="Z12" s="12">
        <f t="shared" si="4"/>
        <v>0</v>
      </c>
      <c r="AA12" s="4" t="s">
        <v>10</v>
      </c>
      <c r="AB12" s="11">
        <f>IFERROR(VLOOKUP(AA12,Curr!$B$2:$C$13,2,FALSE),0)</f>
        <v>11</v>
      </c>
      <c r="AC12" s="12">
        <f t="shared" si="5"/>
        <v>0</v>
      </c>
      <c r="AD12" s="12">
        <f t="shared" si="6"/>
        <v>0</v>
      </c>
      <c r="AE12" s="13">
        <f t="shared" si="7"/>
        <v>0</v>
      </c>
    </row>
    <row r="13" spans="2:36" x14ac:dyDescent="0.25">
      <c r="B13" s="4"/>
      <c r="C13" s="1" t="s">
        <v>59</v>
      </c>
      <c r="D13" s="1" t="s">
        <v>85</v>
      </c>
      <c r="E13" s="3"/>
      <c r="F13" s="3"/>
      <c r="G13" s="24"/>
      <c r="H13" s="24"/>
      <c r="J13" s="1" t="s">
        <v>162</v>
      </c>
      <c r="K13" s="4"/>
      <c r="L13" s="4"/>
      <c r="M13" s="4"/>
      <c r="N13" s="4"/>
      <c r="O13" s="4"/>
      <c r="P13" s="33" t="s">
        <v>171</v>
      </c>
      <c r="Q13" s="25">
        <v>2000</v>
      </c>
      <c r="R13" s="25">
        <v>2</v>
      </c>
      <c r="S13" s="12">
        <f t="shared" si="8"/>
        <v>4000</v>
      </c>
      <c r="T13" s="5">
        <v>0</v>
      </c>
      <c r="U13" s="12">
        <f t="shared" si="9"/>
        <v>4000</v>
      </c>
      <c r="V13" s="25" t="s">
        <v>8</v>
      </c>
      <c r="W13" s="11">
        <f>IFERROR(VLOOKUP(V13,Curr!$B$2:$C$13,2,FALSE),0)</f>
        <v>1</v>
      </c>
      <c r="X13" s="12">
        <f t="shared" si="10"/>
        <v>4000</v>
      </c>
      <c r="Y13" s="26">
        <f>Q13/11.3/0.8</f>
        <v>221.23893805309734</v>
      </c>
      <c r="Z13" s="12">
        <f t="shared" si="4"/>
        <v>442.47787610619469</v>
      </c>
      <c r="AA13" s="4" t="s">
        <v>10</v>
      </c>
      <c r="AB13" s="11">
        <f>IFERROR(VLOOKUP(AA13,Curr!$B$2:$C$13,2,FALSE),0)</f>
        <v>11</v>
      </c>
      <c r="AC13" s="12">
        <f t="shared" si="5"/>
        <v>4867.2566371681414</v>
      </c>
      <c r="AD13" s="12">
        <f t="shared" si="6"/>
        <v>867.25663716814142</v>
      </c>
      <c r="AE13" s="13">
        <f t="shared" si="7"/>
        <v>0.17818181818181816</v>
      </c>
    </row>
    <row r="14" spans="2:36" x14ac:dyDescent="0.25">
      <c r="B14" s="4"/>
      <c r="C14" s="1" t="s">
        <v>59</v>
      </c>
      <c r="D14" s="1" t="s">
        <v>54</v>
      </c>
      <c r="E14" s="3"/>
      <c r="F14" s="3"/>
      <c r="G14" s="24"/>
      <c r="H14" s="24"/>
      <c r="J14" s="1" t="s">
        <v>164</v>
      </c>
      <c r="K14" s="4"/>
      <c r="L14" s="4"/>
      <c r="M14" s="4"/>
      <c r="N14" s="4"/>
      <c r="O14" s="4"/>
      <c r="P14" s="33"/>
      <c r="Q14" s="25">
        <v>0</v>
      </c>
      <c r="R14" s="25">
        <v>0</v>
      </c>
      <c r="S14" s="12">
        <f t="shared" si="8"/>
        <v>0</v>
      </c>
      <c r="T14" s="5">
        <v>0</v>
      </c>
      <c r="U14" s="12">
        <f t="shared" si="9"/>
        <v>0</v>
      </c>
      <c r="V14" s="25" t="s">
        <v>10</v>
      </c>
      <c r="W14" s="11">
        <f>IFERROR(VLOOKUP(V14,Curr!$B$2:$C$13,2,FALSE),0)</f>
        <v>11</v>
      </c>
      <c r="X14" s="12">
        <f t="shared" si="10"/>
        <v>0</v>
      </c>
      <c r="Y14" s="26">
        <f t="shared" si="11"/>
        <v>0</v>
      </c>
      <c r="Z14" s="12">
        <f t="shared" si="4"/>
        <v>0</v>
      </c>
      <c r="AA14" s="4" t="s">
        <v>10</v>
      </c>
      <c r="AB14" s="11">
        <f>IFERROR(VLOOKUP(AA14,Curr!$B$2:$C$13,2,FALSE),0)</f>
        <v>11</v>
      </c>
      <c r="AC14" s="12">
        <f t="shared" si="5"/>
        <v>0</v>
      </c>
      <c r="AD14" s="12">
        <f t="shared" si="6"/>
        <v>0</v>
      </c>
      <c r="AE14" s="13">
        <f t="shared" si="7"/>
        <v>0</v>
      </c>
    </row>
    <row r="15" spans="2:36" x14ac:dyDescent="0.25">
      <c r="B15" s="4"/>
      <c r="C15" s="1" t="s">
        <v>59</v>
      </c>
      <c r="D15" s="1" t="s">
        <v>55</v>
      </c>
      <c r="E15" s="3"/>
      <c r="F15" s="3"/>
      <c r="G15" s="24"/>
      <c r="H15" s="24"/>
      <c r="J15" s="1" t="s">
        <v>167</v>
      </c>
      <c r="K15" s="4"/>
      <c r="L15" s="4"/>
      <c r="M15" s="4"/>
      <c r="N15" s="4"/>
      <c r="O15" s="4"/>
      <c r="P15" s="27"/>
      <c r="Q15" s="25">
        <v>600</v>
      </c>
      <c r="R15" s="25">
        <v>1</v>
      </c>
      <c r="S15" s="12">
        <f t="shared" si="8"/>
        <v>600</v>
      </c>
      <c r="T15" s="5">
        <v>0</v>
      </c>
      <c r="U15" s="12">
        <f t="shared" si="9"/>
        <v>600</v>
      </c>
      <c r="V15" s="25" t="s">
        <v>10</v>
      </c>
      <c r="W15" s="11">
        <f>IFERROR(VLOOKUP(V15,Curr!$B$2:$C$13,2,FALSE),0)</f>
        <v>11</v>
      </c>
      <c r="X15" s="12">
        <f t="shared" si="10"/>
        <v>6600</v>
      </c>
      <c r="Y15" s="26">
        <f>Q15/0.8</f>
        <v>750</v>
      </c>
      <c r="Z15" s="12">
        <f t="shared" si="4"/>
        <v>750</v>
      </c>
      <c r="AA15" s="4" t="s">
        <v>10</v>
      </c>
      <c r="AB15" s="11">
        <f>IFERROR(VLOOKUP(AA15,Curr!$B$2:$C$13,2,FALSE),0)</f>
        <v>11</v>
      </c>
      <c r="AC15" s="12">
        <f t="shared" si="5"/>
        <v>8250</v>
      </c>
      <c r="AD15" s="12">
        <f t="shared" si="6"/>
        <v>1650</v>
      </c>
      <c r="AE15" s="13">
        <f t="shared" si="7"/>
        <v>0.2</v>
      </c>
    </row>
    <row r="16" spans="2:36" x14ac:dyDescent="0.25">
      <c r="B16" s="4"/>
      <c r="C16" s="1" t="s">
        <v>59</v>
      </c>
      <c r="D16" s="1" t="s">
        <v>56</v>
      </c>
      <c r="E16" s="3"/>
      <c r="F16" s="3"/>
      <c r="G16" s="24"/>
      <c r="H16" s="24"/>
      <c r="J16" s="1" t="s">
        <v>89</v>
      </c>
      <c r="K16" s="4"/>
      <c r="L16" s="4"/>
      <c r="M16" s="4"/>
      <c r="N16" s="4"/>
      <c r="O16" s="4"/>
      <c r="P16" s="33"/>
      <c r="Q16" s="25">
        <v>0</v>
      </c>
      <c r="R16" s="25">
        <v>0</v>
      </c>
      <c r="S16" s="12">
        <f t="shared" si="8"/>
        <v>0</v>
      </c>
      <c r="T16" s="5">
        <v>0</v>
      </c>
      <c r="U16" s="12">
        <f t="shared" si="9"/>
        <v>0</v>
      </c>
      <c r="V16" s="25" t="s">
        <v>10</v>
      </c>
      <c r="W16" s="11">
        <f>IFERROR(VLOOKUP(V16,Curr!$B$2:$C$13,2,FALSE),0)</f>
        <v>11</v>
      </c>
      <c r="X16" s="12">
        <f t="shared" si="10"/>
        <v>0</v>
      </c>
      <c r="Y16" s="26">
        <f t="shared" si="11"/>
        <v>0</v>
      </c>
      <c r="Z16" s="12">
        <f t="shared" si="4"/>
        <v>0</v>
      </c>
      <c r="AA16" s="4" t="s">
        <v>10</v>
      </c>
      <c r="AB16" s="11">
        <f>IFERROR(VLOOKUP(AA16,Curr!$B$2:$C$13,2,FALSE),0)</f>
        <v>11</v>
      </c>
      <c r="AC16" s="12">
        <f t="shared" si="5"/>
        <v>0</v>
      </c>
      <c r="AD16" s="12">
        <f t="shared" si="6"/>
        <v>0</v>
      </c>
      <c r="AE16" s="13">
        <f t="shared" si="7"/>
        <v>0</v>
      </c>
    </row>
    <row r="17" spans="2:31" x14ac:dyDescent="0.25">
      <c r="B17" s="4"/>
      <c r="C17" s="1" t="s">
        <v>59</v>
      </c>
      <c r="D17" s="1" t="s">
        <v>57</v>
      </c>
      <c r="E17" s="3"/>
      <c r="F17" s="3"/>
      <c r="G17" s="24"/>
      <c r="H17" s="24"/>
      <c r="J17" s="1" t="s">
        <v>172</v>
      </c>
      <c r="K17" s="4"/>
      <c r="L17" s="4"/>
      <c r="M17" s="4"/>
      <c r="N17" s="4"/>
      <c r="O17" s="4"/>
      <c r="P17" s="29" t="s">
        <v>173</v>
      </c>
      <c r="Q17" s="25">
        <v>2050</v>
      </c>
      <c r="R17" s="25">
        <v>2</v>
      </c>
      <c r="S17" s="12">
        <f t="shared" si="8"/>
        <v>4100</v>
      </c>
      <c r="T17" s="5">
        <v>0.2</v>
      </c>
      <c r="U17" s="12">
        <f t="shared" si="9"/>
        <v>3280</v>
      </c>
      <c r="V17" s="25" t="s">
        <v>8</v>
      </c>
      <c r="W17" s="11">
        <f>IFERROR(VLOOKUP(V17,Curr!$B$2:$C$13,2,FALSE),0)</f>
        <v>1</v>
      </c>
      <c r="X17" s="12">
        <f t="shared" si="10"/>
        <v>3280</v>
      </c>
      <c r="Y17" s="26">
        <f>Q17/11.3</f>
        <v>181.4159292035398</v>
      </c>
      <c r="Z17" s="12">
        <f t="shared" si="4"/>
        <v>362.83185840707961</v>
      </c>
      <c r="AA17" s="4" t="s">
        <v>10</v>
      </c>
      <c r="AB17" s="11">
        <f>IFERROR(VLOOKUP(AA17,Curr!$B$2:$C$13,2,FALSE),0)</f>
        <v>11</v>
      </c>
      <c r="AC17" s="12">
        <f t="shared" si="5"/>
        <v>3991.1504424778759</v>
      </c>
      <c r="AD17" s="12">
        <f t="shared" si="6"/>
        <v>711.15044247787591</v>
      </c>
      <c r="AE17" s="13">
        <f t="shared" si="7"/>
        <v>0.17818181818181814</v>
      </c>
    </row>
    <row r="18" spans="2:31" x14ac:dyDescent="0.25">
      <c r="B18" s="4"/>
      <c r="E18" s="3"/>
      <c r="F18" s="3"/>
      <c r="G18" s="24"/>
      <c r="H18" s="24"/>
      <c r="K18" s="4"/>
      <c r="L18" s="4"/>
      <c r="M18" s="4"/>
      <c r="N18" s="4"/>
      <c r="O18" s="4"/>
      <c r="P18" s="27"/>
      <c r="Q18" s="25"/>
      <c r="R18" s="25"/>
      <c r="S18" s="12">
        <f t="shared" si="8"/>
        <v>0</v>
      </c>
      <c r="T18" s="5">
        <v>0</v>
      </c>
      <c r="U18" s="12">
        <f t="shared" si="9"/>
        <v>0</v>
      </c>
      <c r="V18" s="25" t="s">
        <v>10</v>
      </c>
      <c r="W18" s="11">
        <f>IFERROR(VLOOKUP(V18,Curr!$B$2:$C$13,2,FALSE),0)</f>
        <v>11</v>
      </c>
      <c r="X18" s="12">
        <f t="shared" si="10"/>
        <v>0</v>
      </c>
      <c r="Y18" s="26">
        <f t="shared" si="11"/>
        <v>0</v>
      </c>
      <c r="Z18" s="12">
        <f t="shared" si="4"/>
        <v>0</v>
      </c>
      <c r="AA18" s="4" t="s">
        <v>10</v>
      </c>
      <c r="AB18" s="11">
        <f>IFERROR(VLOOKUP(AA18,Curr!$B$2:$C$13,2,FALSE),0)</f>
        <v>11</v>
      </c>
      <c r="AC18" s="12">
        <f t="shared" si="5"/>
        <v>0</v>
      </c>
      <c r="AD18" s="12">
        <f t="shared" si="6"/>
        <v>0</v>
      </c>
      <c r="AE18" s="13">
        <f t="shared" si="7"/>
        <v>0</v>
      </c>
    </row>
    <row r="19" spans="2:31" x14ac:dyDescent="0.25">
      <c r="B19" s="4"/>
      <c r="C19" s="1" t="s">
        <v>61</v>
      </c>
      <c r="D19" s="1" t="s">
        <v>57</v>
      </c>
      <c r="E19" s="3"/>
      <c r="F19" s="3"/>
      <c r="G19" s="24"/>
      <c r="H19" s="24"/>
      <c r="J19" s="1" t="s">
        <v>174</v>
      </c>
      <c r="K19" s="4"/>
      <c r="L19" s="4"/>
      <c r="M19" s="4"/>
      <c r="N19" s="4"/>
      <c r="O19" s="4"/>
      <c r="P19" s="33" t="s">
        <v>181</v>
      </c>
      <c r="Q19" s="25">
        <v>140</v>
      </c>
      <c r="R19" s="25">
        <v>2</v>
      </c>
      <c r="S19" s="12">
        <f t="shared" si="8"/>
        <v>280</v>
      </c>
      <c r="T19" s="5">
        <v>0.2</v>
      </c>
      <c r="U19" s="12">
        <f t="shared" si="9"/>
        <v>224</v>
      </c>
      <c r="V19" s="25" t="s">
        <v>10</v>
      </c>
      <c r="W19" s="11">
        <f>IFERROR(VLOOKUP(V19,Curr!$B$2:$C$13,2,FALSE),0)</f>
        <v>11</v>
      </c>
      <c r="X19" s="12">
        <f t="shared" si="10"/>
        <v>2464</v>
      </c>
      <c r="Y19" s="26">
        <f t="shared" si="11"/>
        <v>140</v>
      </c>
      <c r="Z19" s="12">
        <f t="shared" si="4"/>
        <v>280</v>
      </c>
      <c r="AA19" s="4" t="s">
        <v>10</v>
      </c>
      <c r="AB19" s="11">
        <f>IFERROR(VLOOKUP(AA19,Curr!$B$2:$C$13,2,FALSE),0)</f>
        <v>11</v>
      </c>
      <c r="AC19" s="12">
        <f t="shared" si="5"/>
        <v>3080</v>
      </c>
      <c r="AD19" s="12">
        <f t="shared" si="6"/>
        <v>616</v>
      </c>
      <c r="AE19" s="13">
        <f t="shared" si="7"/>
        <v>0.2</v>
      </c>
    </row>
    <row r="20" spans="2:31" x14ac:dyDescent="0.25">
      <c r="B20" s="4"/>
      <c r="C20" s="1" t="s">
        <v>61</v>
      </c>
      <c r="D20" s="1" t="s">
        <v>56</v>
      </c>
      <c r="E20" s="3"/>
      <c r="F20" s="3"/>
      <c r="G20" s="24"/>
      <c r="H20" s="24"/>
      <c r="J20" s="1" t="s">
        <v>89</v>
      </c>
      <c r="K20" s="4"/>
      <c r="L20" s="4"/>
      <c r="M20" s="4"/>
      <c r="N20" s="4"/>
      <c r="O20" s="4"/>
      <c r="P20" s="27"/>
      <c r="Q20" s="25">
        <v>0</v>
      </c>
      <c r="R20" s="25">
        <v>0</v>
      </c>
      <c r="S20" s="12">
        <f t="shared" si="8"/>
        <v>0</v>
      </c>
      <c r="T20" s="5">
        <v>0</v>
      </c>
      <c r="U20" s="12">
        <f t="shared" si="9"/>
        <v>0</v>
      </c>
      <c r="V20" s="25" t="s">
        <v>10</v>
      </c>
      <c r="W20" s="11">
        <f>IFERROR(VLOOKUP(V20,Curr!$B$2:$C$13,2,FALSE),0)</f>
        <v>11</v>
      </c>
      <c r="X20" s="12">
        <f t="shared" si="10"/>
        <v>0</v>
      </c>
      <c r="Y20" s="26">
        <f t="shared" si="11"/>
        <v>0</v>
      </c>
      <c r="Z20" s="12">
        <f t="shared" si="4"/>
        <v>0</v>
      </c>
      <c r="AA20" s="4" t="s">
        <v>10</v>
      </c>
      <c r="AB20" s="11">
        <f>IFERROR(VLOOKUP(AA20,Curr!$B$2:$C$13,2,FALSE),0)</f>
        <v>11</v>
      </c>
      <c r="AC20" s="12">
        <f t="shared" si="5"/>
        <v>0</v>
      </c>
      <c r="AD20" s="12">
        <f t="shared" si="6"/>
        <v>0</v>
      </c>
      <c r="AE20" s="13">
        <f t="shared" si="7"/>
        <v>0</v>
      </c>
    </row>
    <row r="21" spans="2:31" x14ac:dyDescent="0.25">
      <c r="B21" s="4"/>
      <c r="E21" s="3"/>
      <c r="F21" s="3"/>
      <c r="G21" s="24"/>
      <c r="H21" s="24"/>
      <c r="K21" s="4"/>
      <c r="L21" s="4"/>
      <c r="M21" s="4"/>
      <c r="N21" s="4"/>
      <c r="O21" s="4"/>
      <c r="P21" s="33"/>
      <c r="Q21" s="25"/>
      <c r="R21" s="25"/>
      <c r="S21" s="12">
        <f t="shared" si="8"/>
        <v>0</v>
      </c>
      <c r="T21" s="5">
        <v>0</v>
      </c>
      <c r="U21" s="12">
        <f t="shared" si="9"/>
        <v>0</v>
      </c>
      <c r="V21" s="25" t="s">
        <v>10</v>
      </c>
      <c r="W21" s="11">
        <f>IFERROR(VLOOKUP(V21,Curr!$B$2:$C$13,2,FALSE),0)</f>
        <v>11</v>
      </c>
      <c r="X21" s="12">
        <f t="shared" si="10"/>
        <v>0</v>
      </c>
      <c r="Y21" s="26">
        <f t="shared" si="11"/>
        <v>0</v>
      </c>
      <c r="Z21" s="12">
        <f t="shared" si="4"/>
        <v>0</v>
      </c>
      <c r="AA21" s="4" t="s">
        <v>10</v>
      </c>
      <c r="AB21" s="11">
        <f>IFERROR(VLOOKUP(AA21,Curr!$B$2:$C$13,2,FALSE),0)</f>
        <v>11</v>
      </c>
      <c r="AC21" s="12">
        <f t="shared" si="5"/>
        <v>0</v>
      </c>
      <c r="AD21" s="12">
        <f t="shared" si="6"/>
        <v>0</v>
      </c>
      <c r="AE21" s="13">
        <f t="shared" si="7"/>
        <v>0</v>
      </c>
    </row>
    <row r="22" spans="2:31" x14ac:dyDescent="0.25">
      <c r="B22" s="4"/>
      <c r="C22" s="1" t="s">
        <v>62</v>
      </c>
      <c r="D22" s="1" t="s">
        <v>54</v>
      </c>
      <c r="E22" s="3"/>
      <c r="F22" s="3"/>
      <c r="G22" s="24"/>
      <c r="H22" s="24"/>
      <c r="J22" s="1" t="s">
        <v>165</v>
      </c>
      <c r="K22" s="4"/>
      <c r="L22" s="4"/>
      <c r="M22" s="4"/>
      <c r="N22" s="4"/>
      <c r="O22" s="4"/>
      <c r="P22" s="27"/>
      <c r="Q22" s="25">
        <v>0</v>
      </c>
      <c r="R22" s="25">
        <v>0</v>
      </c>
      <c r="S22" s="12">
        <f t="shared" si="8"/>
        <v>0</v>
      </c>
      <c r="T22" s="5">
        <v>0</v>
      </c>
      <c r="U22" s="12">
        <f t="shared" si="9"/>
        <v>0</v>
      </c>
      <c r="V22" s="25" t="s">
        <v>10</v>
      </c>
      <c r="W22" s="11">
        <f>IFERROR(VLOOKUP(V22,Curr!$B$2:$C$13,2,FALSE),0)</f>
        <v>11</v>
      </c>
      <c r="X22" s="12">
        <f t="shared" si="10"/>
        <v>0</v>
      </c>
      <c r="Y22" s="26">
        <f t="shared" si="11"/>
        <v>0</v>
      </c>
      <c r="Z22" s="12">
        <f t="shared" si="4"/>
        <v>0</v>
      </c>
      <c r="AA22" s="4" t="s">
        <v>10</v>
      </c>
      <c r="AB22" s="11">
        <f>IFERROR(VLOOKUP(AA22,Curr!$B$2:$C$13,2,FALSE),0)</f>
        <v>11</v>
      </c>
      <c r="AC22" s="12">
        <f t="shared" si="5"/>
        <v>0</v>
      </c>
      <c r="AD22" s="12">
        <f t="shared" si="6"/>
        <v>0</v>
      </c>
      <c r="AE22" s="13">
        <f t="shared" si="7"/>
        <v>0</v>
      </c>
    </row>
    <row r="23" spans="2:31" x14ac:dyDescent="0.25">
      <c r="B23" s="4"/>
      <c r="C23" s="1" t="s">
        <v>62</v>
      </c>
      <c r="D23" s="1" t="s">
        <v>58</v>
      </c>
      <c r="E23" s="3"/>
      <c r="F23" s="3"/>
      <c r="G23" s="24"/>
      <c r="H23" s="24"/>
      <c r="J23" s="1" t="s">
        <v>183</v>
      </c>
      <c r="K23" s="4"/>
      <c r="L23" s="4"/>
      <c r="M23" s="4"/>
      <c r="N23" s="4"/>
      <c r="O23" s="4"/>
      <c r="P23" s="33" t="s">
        <v>184</v>
      </c>
      <c r="Q23" s="25">
        <v>300</v>
      </c>
      <c r="R23" s="25">
        <v>1</v>
      </c>
      <c r="S23" s="12">
        <f t="shared" si="8"/>
        <v>300</v>
      </c>
      <c r="T23" s="5">
        <v>0</v>
      </c>
      <c r="U23" s="12">
        <f t="shared" si="9"/>
        <v>300</v>
      </c>
      <c r="V23" s="25" t="s">
        <v>8</v>
      </c>
      <c r="W23" s="11">
        <f>IFERROR(VLOOKUP(V23,Curr!$B$2:$C$13,2,FALSE),0)</f>
        <v>1</v>
      </c>
      <c r="X23" s="12">
        <f t="shared" si="10"/>
        <v>300</v>
      </c>
      <c r="Y23" s="26">
        <f>Q23/11.3/0.6</f>
        <v>44.247787610619469</v>
      </c>
      <c r="Z23" s="12">
        <f t="shared" si="4"/>
        <v>44.247787610619469</v>
      </c>
      <c r="AA23" s="4" t="s">
        <v>10</v>
      </c>
      <c r="AB23" s="11">
        <f>IFERROR(VLOOKUP(AA23,Curr!$B$2:$C$13,2,FALSE),0)</f>
        <v>11</v>
      </c>
      <c r="AC23" s="12">
        <f t="shared" si="5"/>
        <v>486.72566371681415</v>
      </c>
      <c r="AD23" s="12">
        <f t="shared" si="6"/>
        <v>186.72566371681415</v>
      </c>
      <c r="AE23" s="13">
        <f t="shared" si="7"/>
        <v>0.38363636363636361</v>
      </c>
    </row>
    <row r="24" spans="2:31" x14ac:dyDescent="0.25">
      <c r="B24" s="4"/>
      <c r="C24" s="1" t="s">
        <v>62</v>
      </c>
      <c r="D24" s="1" t="s">
        <v>54</v>
      </c>
      <c r="E24" s="3"/>
      <c r="F24" s="3"/>
      <c r="G24" s="24"/>
      <c r="H24" s="24"/>
      <c r="J24" s="1" t="s">
        <v>166</v>
      </c>
      <c r="K24" s="4"/>
      <c r="L24" s="4"/>
      <c r="M24" s="4"/>
      <c r="N24" s="4"/>
      <c r="O24" s="4"/>
      <c r="P24" s="27"/>
      <c r="Q24" s="25">
        <v>0</v>
      </c>
      <c r="R24" s="25">
        <v>0</v>
      </c>
      <c r="S24" s="12">
        <f t="shared" si="8"/>
        <v>0</v>
      </c>
      <c r="T24" s="5">
        <v>0</v>
      </c>
      <c r="U24" s="12">
        <f t="shared" si="9"/>
        <v>0</v>
      </c>
      <c r="V24" s="25" t="s">
        <v>10</v>
      </c>
      <c r="W24" s="11">
        <f>IFERROR(VLOOKUP(V24,Curr!$B$2:$C$13,2,FALSE),0)</f>
        <v>11</v>
      </c>
      <c r="X24" s="12">
        <f t="shared" si="10"/>
        <v>0</v>
      </c>
      <c r="Y24" s="26">
        <f t="shared" si="11"/>
        <v>0</v>
      </c>
      <c r="Z24" s="12">
        <f t="shared" si="4"/>
        <v>0</v>
      </c>
      <c r="AA24" s="4" t="s">
        <v>10</v>
      </c>
      <c r="AB24" s="11">
        <f>IFERROR(VLOOKUP(AA24,Curr!$B$2:$C$13,2,FALSE),0)</f>
        <v>11</v>
      </c>
      <c r="AC24" s="12">
        <f t="shared" si="5"/>
        <v>0</v>
      </c>
      <c r="AD24" s="12">
        <f t="shared" si="6"/>
        <v>0</v>
      </c>
      <c r="AE24" s="13">
        <f t="shared" si="7"/>
        <v>0</v>
      </c>
    </row>
    <row r="25" spans="2:31" x14ac:dyDescent="0.25">
      <c r="B25" s="4"/>
      <c r="C25" s="1" t="s">
        <v>62</v>
      </c>
      <c r="D25" s="1" t="s">
        <v>55</v>
      </c>
      <c r="E25" s="3"/>
      <c r="F25" s="3"/>
      <c r="G25" s="24"/>
      <c r="H25" s="24"/>
      <c r="J25" s="1" t="s">
        <v>185</v>
      </c>
      <c r="K25" s="4"/>
      <c r="L25" s="4"/>
      <c r="M25" s="4"/>
      <c r="N25" s="4"/>
      <c r="O25" s="4"/>
      <c r="P25" s="33"/>
      <c r="Q25" s="25">
        <v>200</v>
      </c>
      <c r="R25" s="25">
        <v>1</v>
      </c>
      <c r="S25" s="12">
        <f t="shared" si="8"/>
        <v>200</v>
      </c>
      <c r="T25" s="5">
        <v>0</v>
      </c>
      <c r="U25" s="12">
        <f t="shared" si="9"/>
        <v>200</v>
      </c>
      <c r="V25" s="25" t="s">
        <v>10</v>
      </c>
      <c r="W25" s="11">
        <f>IFERROR(VLOOKUP(V25,Curr!$B$2:$C$13,2,FALSE),0)</f>
        <v>11</v>
      </c>
      <c r="X25" s="12">
        <f t="shared" si="10"/>
        <v>2200</v>
      </c>
      <c r="Y25" s="26">
        <f>Q25/0.8</f>
        <v>250</v>
      </c>
      <c r="Z25" s="12">
        <f t="shared" si="4"/>
        <v>250</v>
      </c>
      <c r="AA25" s="4" t="s">
        <v>10</v>
      </c>
      <c r="AB25" s="11">
        <f>IFERROR(VLOOKUP(AA25,Curr!$B$2:$C$13,2,FALSE),0)</f>
        <v>11</v>
      </c>
      <c r="AC25" s="12">
        <f t="shared" si="5"/>
        <v>2750</v>
      </c>
      <c r="AD25" s="12">
        <f t="shared" si="6"/>
        <v>550</v>
      </c>
      <c r="AE25" s="13">
        <f t="shared" si="7"/>
        <v>0.2</v>
      </c>
    </row>
    <row r="26" spans="2:31" x14ac:dyDescent="0.25">
      <c r="B26" s="4"/>
      <c r="C26" s="1" t="s">
        <v>62</v>
      </c>
      <c r="D26" s="1" t="s">
        <v>56</v>
      </c>
      <c r="E26" s="3"/>
      <c r="F26" s="3"/>
      <c r="G26" s="24"/>
      <c r="H26" s="24"/>
      <c r="J26" s="1" t="s">
        <v>88</v>
      </c>
      <c r="K26" s="4"/>
      <c r="L26" s="4"/>
      <c r="M26" s="4"/>
      <c r="N26" s="4"/>
      <c r="O26" s="4"/>
      <c r="P26" s="27"/>
      <c r="Q26" s="25">
        <v>0</v>
      </c>
      <c r="R26" s="25">
        <v>0</v>
      </c>
      <c r="S26" s="12">
        <f t="shared" si="8"/>
        <v>0</v>
      </c>
      <c r="T26" s="5">
        <v>0</v>
      </c>
      <c r="U26" s="12">
        <f t="shared" si="9"/>
        <v>0</v>
      </c>
      <c r="V26" s="25" t="s">
        <v>10</v>
      </c>
      <c r="W26" s="11">
        <f>IFERROR(VLOOKUP(V26,Curr!$B$2:$C$13,2,FALSE),0)</f>
        <v>11</v>
      </c>
      <c r="X26" s="12">
        <f t="shared" si="10"/>
        <v>0</v>
      </c>
      <c r="Y26" s="26">
        <f t="shared" si="11"/>
        <v>0</v>
      </c>
      <c r="Z26" s="12">
        <f t="shared" si="4"/>
        <v>0</v>
      </c>
      <c r="AA26" s="4" t="s">
        <v>10</v>
      </c>
      <c r="AB26" s="11">
        <f>IFERROR(VLOOKUP(AA26,Curr!$B$2:$C$13,2,FALSE),0)</f>
        <v>11</v>
      </c>
      <c r="AC26" s="12">
        <f t="shared" si="5"/>
        <v>0</v>
      </c>
      <c r="AD26" s="12">
        <f t="shared" si="6"/>
        <v>0</v>
      </c>
      <c r="AE26" s="13">
        <f t="shared" si="7"/>
        <v>0</v>
      </c>
    </row>
    <row r="27" spans="2:31" x14ac:dyDescent="0.25">
      <c r="B27" s="4"/>
      <c r="C27" s="1" t="s">
        <v>62</v>
      </c>
      <c r="D27" s="1" t="s">
        <v>57</v>
      </c>
      <c r="E27" s="3"/>
      <c r="F27" s="3"/>
      <c r="G27" s="24"/>
      <c r="H27" s="24"/>
      <c r="J27" s="1" t="s">
        <v>182</v>
      </c>
      <c r="K27" s="4"/>
      <c r="L27" s="4"/>
      <c r="M27" s="4"/>
      <c r="N27" s="4"/>
      <c r="O27" s="4"/>
      <c r="P27" s="33" t="s">
        <v>90</v>
      </c>
      <c r="Q27" s="25">
        <v>1495</v>
      </c>
      <c r="R27" s="25">
        <v>2</v>
      </c>
      <c r="S27" s="12">
        <f t="shared" si="8"/>
        <v>2990</v>
      </c>
      <c r="T27" s="5">
        <v>0</v>
      </c>
      <c r="U27" s="12">
        <f t="shared" si="9"/>
        <v>2990</v>
      </c>
      <c r="V27" s="25" t="s">
        <v>8</v>
      </c>
      <c r="W27" s="11">
        <f>IFERROR(VLOOKUP(V27,Curr!$B$2:$C$13,2,FALSE),0)</f>
        <v>1</v>
      </c>
      <c r="X27" s="12">
        <f t="shared" si="10"/>
        <v>2990</v>
      </c>
      <c r="Y27" s="26">
        <f>Q27/11.3/0.8</f>
        <v>165.37610619469024</v>
      </c>
      <c r="Z27" s="12">
        <f t="shared" si="4"/>
        <v>330.75221238938047</v>
      </c>
      <c r="AA27" s="4" t="s">
        <v>10</v>
      </c>
      <c r="AB27" s="11">
        <f>IFERROR(VLOOKUP(AA27,Curr!$B$2:$C$13,2,FALSE),0)</f>
        <v>11</v>
      </c>
      <c r="AC27" s="12">
        <f t="shared" si="5"/>
        <v>3638.2743362831852</v>
      </c>
      <c r="AD27" s="12">
        <f t="shared" si="6"/>
        <v>648.27433628318522</v>
      </c>
      <c r="AE27" s="13">
        <f t="shared" si="7"/>
        <v>0.17818181818181805</v>
      </c>
    </row>
    <row r="28" spans="2:31" x14ac:dyDescent="0.25">
      <c r="B28" s="4"/>
      <c r="E28" s="3"/>
      <c r="F28" s="3"/>
      <c r="G28" s="24"/>
      <c r="H28" s="24"/>
      <c r="K28" s="4"/>
      <c r="L28" s="4"/>
      <c r="M28" s="4"/>
      <c r="N28" s="4"/>
      <c r="O28" s="4"/>
      <c r="P28" s="29"/>
      <c r="Q28" s="25"/>
      <c r="R28" s="25"/>
      <c r="S28" s="12">
        <f t="shared" si="8"/>
        <v>0</v>
      </c>
      <c r="T28" s="5">
        <v>0</v>
      </c>
      <c r="U28" s="12">
        <f t="shared" si="9"/>
        <v>0</v>
      </c>
      <c r="V28" s="25" t="s">
        <v>10</v>
      </c>
      <c r="W28" s="11">
        <f>IFERROR(VLOOKUP(V28,Curr!$B$2:$C$13,2,FALSE),0)</f>
        <v>11</v>
      </c>
      <c r="X28" s="12">
        <f t="shared" si="10"/>
        <v>0</v>
      </c>
      <c r="Y28" s="26">
        <f t="shared" si="11"/>
        <v>0</v>
      </c>
      <c r="Z28" s="12">
        <f t="shared" si="4"/>
        <v>0</v>
      </c>
      <c r="AA28" s="4" t="s">
        <v>10</v>
      </c>
      <c r="AB28" s="11">
        <f>IFERROR(VLOOKUP(AA28,Curr!$B$2:$C$13,2,FALSE),0)</f>
        <v>11</v>
      </c>
      <c r="AC28" s="12">
        <f t="shared" si="5"/>
        <v>0</v>
      </c>
      <c r="AD28" s="12">
        <f t="shared" si="6"/>
        <v>0</v>
      </c>
      <c r="AE28" s="13">
        <f t="shared" si="7"/>
        <v>0</v>
      </c>
    </row>
    <row r="29" spans="2:31" x14ac:dyDescent="0.25">
      <c r="B29" s="4"/>
      <c r="C29" s="1" t="s">
        <v>63</v>
      </c>
      <c r="D29" s="1" t="s">
        <v>54</v>
      </c>
      <c r="E29" s="3"/>
      <c r="F29" s="3"/>
      <c r="G29" s="24"/>
      <c r="H29" s="24"/>
      <c r="J29" s="1" t="s">
        <v>187</v>
      </c>
      <c r="K29" s="4"/>
      <c r="L29" s="4"/>
      <c r="M29" s="4"/>
      <c r="N29" s="4"/>
      <c r="O29" s="4"/>
      <c r="P29" s="33"/>
      <c r="Q29" s="25">
        <v>0</v>
      </c>
      <c r="R29" s="25">
        <v>0</v>
      </c>
      <c r="S29" s="12">
        <f t="shared" si="8"/>
        <v>0</v>
      </c>
      <c r="T29" s="5">
        <v>0</v>
      </c>
      <c r="U29" s="12">
        <f t="shared" si="9"/>
        <v>0</v>
      </c>
      <c r="V29" s="25" t="s">
        <v>10</v>
      </c>
      <c r="W29" s="11">
        <f>IFERROR(VLOOKUP(V29,Curr!$B$2:$C$13,2,FALSE),0)</f>
        <v>11</v>
      </c>
      <c r="X29" s="12">
        <f t="shared" si="10"/>
        <v>0</v>
      </c>
      <c r="Y29" s="26">
        <f t="shared" si="11"/>
        <v>0</v>
      </c>
      <c r="Z29" s="12">
        <f t="shared" si="4"/>
        <v>0</v>
      </c>
      <c r="AA29" s="4" t="s">
        <v>10</v>
      </c>
      <c r="AB29" s="11">
        <f>IFERROR(VLOOKUP(AA29,Curr!$B$2:$C$13,2,FALSE),0)</f>
        <v>11</v>
      </c>
      <c r="AC29" s="12">
        <f t="shared" si="5"/>
        <v>0</v>
      </c>
      <c r="AD29" s="12">
        <f t="shared" si="6"/>
        <v>0</v>
      </c>
      <c r="AE29" s="13">
        <f t="shared" si="7"/>
        <v>0</v>
      </c>
    </row>
    <row r="30" spans="2:31" x14ac:dyDescent="0.25">
      <c r="B30" s="4"/>
      <c r="C30" s="1" t="s">
        <v>63</v>
      </c>
      <c r="D30" s="1" t="s">
        <v>86</v>
      </c>
      <c r="E30" s="3"/>
      <c r="F30" s="3"/>
      <c r="G30" s="24"/>
      <c r="H30" s="24"/>
      <c r="J30" s="1" t="s">
        <v>186</v>
      </c>
      <c r="K30" s="4"/>
      <c r="L30" s="4"/>
      <c r="M30" s="4"/>
      <c r="N30" s="4"/>
      <c r="O30" s="4"/>
      <c r="P30" s="27"/>
      <c r="Q30" s="25">
        <v>790</v>
      </c>
      <c r="R30" s="25">
        <v>2</v>
      </c>
      <c r="S30" s="12">
        <f t="shared" si="8"/>
        <v>1580</v>
      </c>
      <c r="T30" s="5">
        <v>0.2</v>
      </c>
      <c r="U30" s="12">
        <f t="shared" si="9"/>
        <v>1264</v>
      </c>
      <c r="V30" s="25" t="s">
        <v>8</v>
      </c>
      <c r="W30" s="11">
        <f>IFERROR(VLOOKUP(V30,Curr!$B$2:$C$13,2,FALSE),0)</f>
        <v>1</v>
      </c>
      <c r="X30" s="12">
        <f t="shared" si="10"/>
        <v>1264</v>
      </c>
      <c r="Y30" s="26">
        <f>Q30/11.3</f>
        <v>69.911504424778755</v>
      </c>
      <c r="Z30" s="12">
        <f t="shared" si="4"/>
        <v>139.82300884955751</v>
      </c>
      <c r="AA30" s="4" t="s">
        <v>10</v>
      </c>
      <c r="AB30" s="11">
        <f>IFERROR(VLOOKUP(AA30,Curr!$B$2:$C$13,2,FALSE),0)</f>
        <v>11</v>
      </c>
      <c r="AC30" s="12">
        <f t="shared" si="5"/>
        <v>1538.0530973451325</v>
      </c>
      <c r="AD30" s="12">
        <f t="shared" si="6"/>
        <v>274.05309734513253</v>
      </c>
      <c r="AE30" s="13">
        <f t="shared" si="7"/>
        <v>0.17818181818181808</v>
      </c>
    </row>
    <row r="31" spans="2:31" x14ac:dyDescent="0.25">
      <c r="B31" s="4"/>
      <c r="C31" s="1" t="s">
        <v>63</v>
      </c>
      <c r="D31" s="1" t="s">
        <v>54</v>
      </c>
      <c r="E31" s="3"/>
      <c r="F31" s="3"/>
      <c r="G31" s="24"/>
      <c r="H31" s="24"/>
      <c r="J31" s="1" t="s">
        <v>168</v>
      </c>
      <c r="K31" s="4"/>
      <c r="L31" s="4"/>
      <c r="M31" s="4"/>
      <c r="N31" s="4"/>
      <c r="O31" s="4"/>
      <c r="P31" s="27"/>
      <c r="Q31" s="25">
        <v>0</v>
      </c>
      <c r="R31" s="25">
        <v>0</v>
      </c>
      <c r="S31" s="12">
        <f t="shared" si="8"/>
        <v>0</v>
      </c>
      <c r="T31" s="5">
        <v>0</v>
      </c>
      <c r="U31" s="12">
        <f t="shared" si="9"/>
        <v>0</v>
      </c>
      <c r="V31" s="25" t="s">
        <v>10</v>
      </c>
      <c r="W31" s="11">
        <f>IFERROR(VLOOKUP(V31,Curr!$B$2:$C$13,2,FALSE),0)</f>
        <v>11</v>
      </c>
      <c r="X31" s="12">
        <f t="shared" si="10"/>
        <v>0</v>
      </c>
      <c r="Y31" s="26">
        <f t="shared" si="11"/>
        <v>0</v>
      </c>
      <c r="Z31" s="12">
        <f t="shared" si="4"/>
        <v>0</v>
      </c>
      <c r="AA31" s="4" t="s">
        <v>10</v>
      </c>
      <c r="AB31" s="11">
        <f>IFERROR(VLOOKUP(AA31,Curr!$B$2:$C$13,2,FALSE),0)</f>
        <v>11</v>
      </c>
      <c r="AC31" s="12">
        <f t="shared" si="5"/>
        <v>0</v>
      </c>
      <c r="AD31" s="12">
        <f t="shared" si="6"/>
        <v>0</v>
      </c>
      <c r="AE31" s="13">
        <f t="shared" si="7"/>
        <v>0</v>
      </c>
    </row>
    <row r="32" spans="2:31" x14ac:dyDescent="0.25">
      <c r="B32" s="4"/>
      <c r="C32" s="1" t="s">
        <v>63</v>
      </c>
      <c r="D32" s="1" t="s">
        <v>55</v>
      </c>
      <c r="E32" s="3"/>
      <c r="F32" s="3"/>
      <c r="G32" s="24"/>
      <c r="H32" s="24"/>
      <c r="J32" s="1" t="s">
        <v>169</v>
      </c>
      <c r="K32" s="4"/>
      <c r="L32" s="4"/>
      <c r="M32" s="4"/>
      <c r="N32" s="4"/>
      <c r="O32" s="4"/>
      <c r="P32" s="27"/>
      <c r="Q32" s="25">
        <v>500</v>
      </c>
      <c r="R32" s="25">
        <v>1</v>
      </c>
      <c r="S32" s="12">
        <f t="shared" si="8"/>
        <v>500</v>
      </c>
      <c r="T32" s="5">
        <v>0</v>
      </c>
      <c r="U32" s="12">
        <f t="shared" si="9"/>
        <v>500</v>
      </c>
      <c r="V32" s="25" t="s">
        <v>10</v>
      </c>
      <c r="W32" s="11">
        <f>IFERROR(VLOOKUP(V32,Curr!$B$2:$C$13,2,FALSE),0)</f>
        <v>11</v>
      </c>
      <c r="X32" s="12">
        <f t="shared" si="10"/>
        <v>5500</v>
      </c>
      <c r="Y32" s="26">
        <f>Q32/0.85</f>
        <v>588.23529411764707</v>
      </c>
      <c r="Z32" s="12">
        <f t="shared" si="4"/>
        <v>588.23529411764707</v>
      </c>
      <c r="AA32" s="4" t="s">
        <v>10</v>
      </c>
      <c r="AB32" s="11">
        <f>IFERROR(VLOOKUP(AA32,Curr!$B$2:$C$13,2,FALSE),0)</f>
        <v>11</v>
      </c>
      <c r="AC32" s="12">
        <f t="shared" si="5"/>
        <v>6470.588235294118</v>
      </c>
      <c r="AD32" s="12">
        <f t="shared" si="6"/>
        <v>970.58823529411802</v>
      </c>
      <c r="AE32" s="13">
        <f t="shared" si="7"/>
        <v>0.15000000000000005</v>
      </c>
    </row>
    <row r="33" spans="2:31" x14ac:dyDescent="0.25">
      <c r="B33" s="4"/>
      <c r="C33" s="1" t="s">
        <v>63</v>
      </c>
      <c r="D33" s="1" t="s">
        <v>56</v>
      </c>
      <c r="E33" s="3"/>
      <c r="F33" s="3"/>
      <c r="G33" s="24"/>
      <c r="H33" s="24"/>
      <c r="J33" s="1" t="s">
        <v>91</v>
      </c>
      <c r="K33" s="4"/>
      <c r="L33" s="4"/>
      <c r="M33" s="4"/>
      <c r="N33" s="4"/>
      <c r="O33" s="4"/>
      <c r="P33" s="33"/>
      <c r="Q33" s="25">
        <v>0</v>
      </c>
      <c r="R33" s="25">
        <v>0</v>
      </c>
      <c r="S33" s="12">
        <f t="shared" si="8"/>
        <v>0</v>
      </c>
      <c r="T33" s="5">
        <v>0</v>
      </c>
      <c r="U33" s="12">
        <f t="shared" si="9"/>
        <v>0</v>
      </c>
      <c r="V33" s="25" t="s">
        <v>10</v>
      </c>
      <c r="W33" s="11">
        <f>IFERROR(VLOOKUP(V33,Curr!$B$2:$C$13,2,FALSE),0)</f>
        <v>11</v>
      </c>
      <c r="X33" s="12">
        <f t="shared" si="10"/>
        <v>0</v>
      </c>
      <c r="Y33" s="26">
        <f t="shared" si="11"/>
        <v>0</v>
      </c>
      <c r="Z33" s="12">
        <f t="shared" si="4"/>
        <v>0</v>
      </c>
      <c r="AA33" s="4" t="s">
        <v>10</v>
      </c>
      <c r="AB33" s="11">
        <f>IFERROR(VLOOKUP(AA33,Curr!$B$2:$C$13,2,FALSE),0)</f>
        <v>11</v>
      </c>
      <c r="AC33" s="12">
        <f t="shared" si="5"/>
        <v>0</v>
      </c>
      <c r="AD33" s="12">
        <f t="shared" si="6"/>
        <v>0</v>
      </c>
      <c r="AE33" s="13">
        <f t="shared" si="7"/>
        <v>0</v>
      </c>
    </row>
    <row r="34" spans="2:31" x14ac:dyDescent="0.25">
      <c r="B34" s="4"/>
      <c r="E34" s="3"/>
      <c r="F34" s="3"/>
      <c r="G34" s="24"/>
      <c r="H34" s="24"/>
      <c r="K34" s="4"/>
      <c r="L34" s="4"/>
      <c r="M34" s="4"/>
      <c r="N34" s="4"/>
      <c r="O34" s="4"/>
      <c r="P34" s="27"/>
      <c r="Q34" s="25"/>
      <c r="R34" s="25"/>
      <c r="S34" s="12">
        <f t="shared" si="8"/>
        <v>0</v>
      </c>
      <c r="T34" s="5">
        <v>0</v>
      </c>
      <c r="U34" s="12">
        <f t="shared" si="9"/>
        <v>0</v>
      </c>
      <c r="V34" s="25" t="s">
        <v>10</v>
      </c>
      <c r="W34" s="11">
        <f>IFERROR(VLOOKUP(V34,Curr!$B$2:$C$13,2,FALSE),0)</f>
        <v>11</v>
      </c>
      <c r="X34" s="12">
        <f t="shared" si="10"/>
        <v>0</v>
      </c>
      <c r="Y34" s="26">
        <f t="shared" si="11"/>
        <v>0</v>
      </c>
      <c r="Z34" s="12">
        <f t="shared" si="4"/>
        <v>0</v>
      </c>
      <c r="AA34" s="4" t="s">
        <v>10</v>
      </c>
      <c r="AB34" s="11">
        <f>IFERROR(VLOOKUP(AA34,Curr!$B$2:$C$13,2,FALSE),0)</f>
        <v>11</v>
      </c>
      <c r="AC34" s="12">
        <f t="shared" si="5"/>
        <v>0</v>
      </c>
      <c r="AD34" s="12">
        <f t="shared" si="6"/>
        <v>0</v>
      </c>
      <c r="AE34" s="13">
        <f t="shared" si="7"/>
        <v>0</v>
      </c>
    </row>
    <row r="35" spans="2:31" x14ac:dyDescent="0.25">
      <c r="B35" s="4"/>
      <c r="C35" s="1" t="s">
        <v>64</v>
      </c>
      <c r="D35" s="1" t="s">
        <v>57</v>
      </c>
      <c r="E35" s="3"/>
      <c r="F35" s="3"/>
      <c r="G35" s="24"/>
      <c r="H35" s="24"/>
      <c r="J35" s="1" t="s">
        <v>190</v>
      </c>
      <c r="K35" s="4"/>
      <c r="L35" s="4"/>
      <c r="M35" s="4"/>
      <c r="N35" s="4"/>
      <c r="O35" s="4" t="s">
        <v>42</v>
      </c>
      <c r="P35" s="33" t="s">
        <v>191</v>
      </c>
      <c r="Q35" s="25">
        <v>1695</v>
      </c>
      <c r="R35" s="25">
        <v>2</v>
      </c>
      <c r="S35" s="12">
        <f t="shared" si="8"/>
        <v>3390</v>
      </c>
      <c r="T35" s="5">
        <v>0.2</v>
      </c>
      <c r="U35" s="12">
        <f t="shared" si="9"/>
        <v>2712</v>
      </c>
      <c r="V35" s="25" t="s">
        <v>8</v>
      </c>
      <c r="W35" s="11">
        <f>IFERROR(VLOOKUP(V35,Curr!$B$2:$C$13,2,FALSE),0)</f>
        <v>1</v>
      </c>
      <c r="X35" s="12">
        <f t="shared" si="10"/>
        <v>2712</v>
      </c>
      <c r="Y35" s="26">
        <f>Q35/11.3</f>
        <v>150</v>
      </c>
      <c r="Z35" s="12">
        <f t="shared" si="4"/>
        <v>300</v>
      </c>
      <c r="AA35" s="4" t="s">
        <v>10</v>
      </c>
      <c r="AB35" s="11">
        <f>IFERROR(VLOOKUP(AA35,Curr!$B$2:$C$13,2,FALSE),0)</f>
        <v>11</v>
      </c>
      <c r="AC35" s="12">
        <f t="shared" si="5"/>
        <v>3300</v>
      </c>
      <c r="AD35" s="12">
        <f t="shared" si="6"/>
        <v>588</v>
      </c>
      <c r="AE35" s="13">
        <f t="shared" si="7"/>
        <v>0.17818181818181819</v>
      </c>
    </row>
    <row r="36" spans="2:31" x14ac:dyDescent="0.25">
      <c r="B36" s="4"/>
      <c r="C36" s="1" t="s">
        <v>64</v>
      </c>
      <c r="D36" s="1" t="s">
        <v>56</v>
      </c>
      <c r="E36" s="3"/>
      <c r="F36" s="3"/>
      <c r="G36" s="24"/>
      <c r="H36" s="24"/>
      <c r="J36" s="1" t="s">
        <v>91</v>
      </c>
      <c r="K36" s="4"/>
      <c r="L36" s="4"/>
      <c r="M36" s="4"/>
      <c r="N36" s="4"/>
      <c r="O36" s="4"/>
      <c r="P36" s="33"/>
      <c r="Q36" s="25">
        <v>0</v>
      </c>
      <c r="R36" s="25">
        <v>0</v>
      </c>
      <c r="S36" s="12">
        <f t="shared" si="8"/>
        <v>0</v>
      </c>
      <c r="T36" s="5">
        <v>0</v>
      </c>
      <c r="U36" s="12">
        <f t="shared" si="9"/>
        <v>0</v>
      </c>
      <c r="V36" s="25" t="s">
        <v>10</v>
      </c>
      <c r="W36" s="11">
        <f>IFERROR(VLOOKUP(V36,Curr!$B$2:$C$13,2,FALSE),0)</f>
        <v>11</v>
      </c>
      <c r="X36" s="12">
        <f t="shared" si="10"/>
        <v>0</v>
      </c>
      <c r="Y36" s="26">
        <f t="shared" si="11"/>
        <v>0</v>
      </c>
      <c r="Z36" s="12">
        <f t="shared" si="4"/>
        <v>0</v>
      </c>
      <c r="AA36" s="4" t="s">
        <v>10</v>
      </c>
      <c r="AB36" s="11">
        <f>IFERROR(VLOOKUP(AA36,Curr!$B$2:$C$13,2,FALSE),0)</f>
        <v>11</v>
      </c>
      <c r="AC36" s="12">
        <f t="shared" si="5"/>
        <v>0</v>
      </c>
      <c r="AD36" s="12">
        <f t="shared" si="6"/>
        <v>0</v>
      </c>
      <c r="AE36" s="13">
        <f t="shared" si="7"/>
        <v>0</v>
      </c>
    </row>
    <row r="37" spans="2:31" x14ac:dyDescent="0.25">
      <c r="B37" s="4"/>
      <c r="C37" s="1" t="s">
        <v>64</v>
      </c>
      <c r="D37" s="1" t="s">
        <v>57</v>
      </c>
      <c r="E37" s="3"/>
      <c r="F37" s="3"/>
      <c r="G37" s="24"/>
      <c r="H37" s="24"/>
      <c r="J37" s="1" t="s">
        <v>188</v>
      </c>
      <c r="K37" s="4"/>
      <c r="L37" s="4"/>
      <c r="M37" s="4"/>
      <c r="N37" s="4"/>
      <c r="O37" s="4" t="s">
        <v>42</v>
      </c>
      <c r="P37" s="33" t="s">
        <v>189</v>
      </c>
      <c r="Q37" s="25">
        <v>110</v>
      </c>
      <c r="R37" s="25">
        <v>2</v>
      </c>
      <c r="S37" s="12">
        <f t="shared" si="8"/>
        <v>220</v>
      </c>
      <c r="T37" s="5">
        <v>0.2</v>
      </c>
      <c r="U37" s="12">
        <f t="shared" si="9"/>
        <v>176</v>
      </c>
      <c r="V37" s="25" t="s">
        <v>10</v>
      </c>
      <c r="W37" s="11">
        <f>IFERROR(VLOOKUP(V37,Curr!$B$2:$C$13,2,FALSE),0)</f>
        <v>11</v>
      </c>
      <c r="X37" s="12">
        <f t="shared" si="10"/>
        <v>1936</v>
      </c>
      <c r="Y37" s="26">
        <f t="shared" si="11"/>
        <v>110</v>
      </c>
      <c r="Z37" s="12">
        <f t="shared" si="4"/>
        <v>220</v>
      </c>
      <c r="AA37" s="4" t="s">
        <v>10</v>
      </c>
      <c r="AB37" s="11">
        <f>IFERROR(VLOOKUP(AA37,Curr!$B$2:$C$13,2,FALSE),0)</f>
        <v>11</v>
      </c>
      <c r="AC37" s="12">
        <f t="shared" si="5"/>
        <v>2420</v>
      </c>
      <c r="AD37" s="12">
        <f t="shared" si="6"/>
        <v>484</v>
      </c>
      <c r="AE37" s="13">
        <f t="shared" si="7"/>
        <v>0.2</v>
      </c>
    </row>
    <row r="38" spans="2:31" x14ac:dyDescent="0.25">
      <c r="B38" s="4"/>
      <c r="E38" s="3"/>
      <c r="F38" s="3"/>
      <c r="G38" s="24"/>
      <c r="H38" s="24"/>
      <c r="K38" s="4"/>
      <c r="L38" s="4"/>
      <c r="M38" s="4"/>
      <c r="N38" s="4"/>
      <c r="O38" s="4"/>
      <c r="P38" s="33"/>
      <c r="Q38" s="25"/>
      <c r="R38" s="25"/>
      <c r="S38" s="12">
        <f t="shared" si="8"/>
        <v>0</v>
      </c>
      <c r="T38" s="5">
        <v>0</v>
      </c>
      <c r="U38" s="12">
        <f t="shared" si="9"/>
        <v>0</v>
      </c>
      <c r="V38" s="25" t="s">
        <v>10</v>
      </c>
      <c r="W38" s="11">
        <f>IFERROR(VLOOKUP(V38,Curr!$B$2:$C$13,2,FALSE),0)</f>
        <v>11</v>
      </c>
      <c r="X38" s="12">
        <f t="shared" si="10"/>
        <v>0</v>
      </c>
      <c r="Y38" s="26">
        <f t="shared" si="11"/>
        <v>0</v>
      </c>
      <c r="Z38" s="12">
        <f t="shared" si="4"/>
        <v>0</v>
      </c>
      <c r="AA38" s="4" t="s">
        <v>10</v>
      </c>
      <c r="AB38" s="11">
        <f>IFERROR(VLOOKUP(AA38,Curr!$B$2:$C$13,2,FALSE),0)</f>
        <v>11</v>
      </c>
      <c r="AC38" s="12">
        <f t="shared" si="5"/>
        <v>0</v>
      </c>
      <c r="AD38" s="12">
        <f t="shared" si="6"/>
        <v>0</v>
      </c>
      <c r="AE38" s="13">
        <f t="shared" si="7"/>
        <v>0</v>
      </c>
    </row>
    <row r="39" spans="2:31" x14ac:dyDescent="0.25">
      <c r="B39" s="4"/>
      <c r="C39" s="1" t="s">
        <v>65</v>
      </c>
      <c r="D39" s="1" t="s">
        <v>54</v>
      </c>
      <c r="E39" s="3"/>
      <c r="F39" s="3"/>
      <c r="G39" s="24"/>
      <c r="H39" s="24"/>
      <c r="J39" s="1" t="s">
        <v>92</v>
      </c>
      <c r="K39" s="4"/>
      <c r="L39" s="4"/>
      <c r="M39" s="4"/>
      <c r="N39" s="4"/>
      <c r="O39" s="4"/>
      <c r="P39" s="27"/>
      <c r="Q39" s="25">
        <v>0</v>
      </c>
      <c r="R39" s="25">
        <v>0</v>
      </c>
      <c r="S39" s="12">
        <f t="shared" si="8"/>
        <v>0</v>
      </c>
      <c r="T39" s="5">
        <v>0</v>
      </c>
      <c r="U39" s="12">
        <f t="shared" si="9"/>
        <v>0</v>
      </c>
      <c r="V39" s="25" t="s">
        <v>10</v>
      </c>
      <c r="W39" s="11">
        <f>IFERROR(VLOOKUP(V39,Curr!$B$2:$C$13,2,FALSE),0)</f>
        <v>11</v>
      </c>
      <c r="X39" s="12">
        <f t="shared" si="10"/>
        <v>0</v>
      </c>
      <c r="Y39" s="26">
        <f t="shared" si="11"/>
        <v>0</v>
      </c>
      <c r="Z39" s="12">
        <f t="shared" si="4"/>
        <v>0</v>
      </c>
      <c r="AA39" s="4" t="s">
        <v>10</v>
      </c>
      <c r="AB39" s="11">
        <f>IFERROR(VLOOKUP(AA39,Curr!$B$2:$C$13,2,FALSE),0)</f>
        <v>11</v>
      </c>
      <c r="AC39" s="12">
        <f t="shared" si="5"/>
        <v>0</v>
      </c>
      <c r="AD39" s="12">
        <f t="shared" si="6"/>
        <v>0</v>
      </c>
      <c r="AE39" s="13">
        <f t="shared" si="7"/>
        <v>0</v>
      </c>
    </row>
    <row r="40" spans="2:31" x14ac:dyDescent="0.25">
      <c r="B40" s="4"/>
      <c r="C40" s="1" t="s">
        <v>65</v>
      </c>
      <c r="D40" s="1" t="s">
        <v>60</v>
      </c>
      <c r="E40" s="3"/>
      <c r="F40" s="3"/>
      <c r="G40" s="24"/>
      <c r="H40" s="24"/>
      <c r="J40" s="1" t="s">
        <v>87</v>
      </c>
      <c r="K40" s="4"/>
      <c r="L40" s="4"/>
      <c r="M40" s="4"/>
      <c r="N40" s="4"/>
      <c r="O40" s="4"/>
      <c r="P40" s="33"/>
      <c r="Q40" s="25">
        <v>0</v>
      </c>
      <c r="R40" s="25">
        <v>0</v>
      </c>
      <c r="S40" s="12">
        <f t="shared" si="8"/>
        <v>0</v>
      </c>
      <c r="T40" s="5">
        <v>0</v>
      </c>
      <c r="U40" s="12">
        <f t="shared" si="9"/>
        <v>0</v>
      </c>
      <c r="V40" s="25" t="s">
        <v>10</v>
      </c>
      <c r="W40" s="11">
        <f>IFERROR(VLOOKUP(V40,Curr!$B$2:$C$13,2,FALSE),0)</f>
        <v>11</v>
      </c>
      <c r="X40" s="12">
        <f t="shared" si="10"/>
        <v>0</v>
      </c>
      <c r="Y40" s="26">
        <f t="shared" si="11"/>
        <v>0</v>
      </c>
      <c r="Z40" s="12">
        <f t="shared" si="4"/>
        <v>0</v>
      </c>
      <c r="AA40" s="4" t="s">
        <v>10</v>
      </c>
      <c r="AB40" s="11">
        <f>IFERROR(VLOOKUP(AA40,Curr!$B$2:$C$13,2,FALSE),0)</f>
        <v>11</v>
      </c>
      <c r="AC40" s="12">
        <f t="shared" si="5"/>
        <v>0</v>
      </c>
      <c r="AD40" s="12">
        <f t="shared" si="6"/>
        <v>0</v>
      </c>
      <c r="AE40" s="13">
        <f t="shared" si="7"/>
        <v>0</v>
      </c>
    </row>
    <row r="41" spans="2:31" x14ac:dyDescent="0.25">
      <c r="B41" s="4"/>
      <c r="E41" s="3"/>
      <c r="F41" s="3"/>
      <c r="G41" s="24"/>
      <c r="H41" s="24"/>
      <c r="K41" s="4"/>
      <c r="L41" s="4"/>
      <c r="M41" s="4"/>
      <c r="N41" s="4"/>
      <c r="O41" s="4"/>
      <c r="P41" s="27"/>
      <c r="Q41" s="25"/>
      <c r="R41" s="25"/>
      <c r="S41" s="12">
        <f t="shared" si="8"/>
        <v>0</v>
      </c>
      <c r="T41" s="5">
        <v>0</v>
      </c>
      <c r="U41" s="12">
        <f t="shared" si="9"/>
        <v>0</v>
      </c>
      <c r="V41" s="25" t="s">
        <v>10</v>
      </c>
      <c r="W41" s="11">
        <f>IFERROR(VLOOKUP(V41,Curr!$B$2:$C$13,2,FALSE),0)</f>
        <v>11</v>
      </c>
      <c r="X41" s="12">
        <f t="shared" si="10"/>
        <v>0</v>
      </c>
      <c r="Y41" s="26">
        <f t="shared" si="11"/>
        <v>0</v>
      </c>
      <c r="Z41" s="12">
        <f t="shared" si="4"/>
        <v>0</v>
      </c>
      <c r="AA41" s="4" t="s">
        <v>10</v>
      </c>
      <c r="AB41" s="11">
        <f>IFERROR(VLOOKUP(AA41,Curr!$B$2:$C$13,2,FALSE),0)</f>
        <v>11</v>
      </c>
      <c r="AC41" s="12">
        <f t="shared" si="5"/>
        <v>0</v>
      </c>
      <c r="AD41" s="12">
        <f t="shared" si="6"/>
        <v>0</v>
      </c>
      <c r="AE41" s="13">
        <f t="shared" si="7"/>
        <v>0</v>
      </c>
    </row>
    <row r="42" spans="2:31" x14ac:dyDescent="0.25">
      <c r="B42" s="4"/>
      <c r="E42" s="3"/>
      <c r="F42" s="3"/>
      <c r="G42" s="24"/>
      <c r="H42" s="24"/>
      <c r="K42" s="4"/>
      <c r="L42" s="4"/>
      <c r="M42" s="4"/>
      <c r="N42" s="4"/>
      <c r="O42" s="4"/>
      <c r="P42" s="27"/>
      <c r="Q42" s="25"/>
      <c r="R42" s="25"/>
      <c r="S42" s="12">
        <f t="shared" si="8"/>
        <v>0</v>
      </c>
      <c r="T42" s="5">
        <v>0</v>
      </c>
      <c r="U42" s="12">
        <f t="shared" si="9"/>
        <v>0</v>
      </c>
      <c r="V42" s="25" t="s">
        <v>10</v>
      </c>
      <c r="W42" s="11">
        <f>IFERROR(VLOOKUP(V42,Curr!$B$2:$C$13,2,FALSE),0)</f>
        <v>11</v>
      </c>
      <c r="X42" s="12">
        <f t="shared" si="10"/>
        <v>0</v>
      </c>
      <c r="Y42" s="26">
        <f t="shared" si="11"/>
        <v>0</v>
      </c>
      <c r="Z42" s="12">
        <f t="shared" si="4"/>
        <v>0</v>
      </c>
      <c r="AA42" s="4" t="s">
        <v>10</v>
      </c>
      <c r="AB42" s="11">
        <f>IFERROR(VLOOKUP(AA42,Curr!$B$2:$C$13,2,FALSE),0)</f>
        <v>11</v>
      </c>
      <c r="AC42" s="12">
        <f t="shared" si="5"/>
        <v>0</v>
      </c>
      <c r="AD42" s="12">
        <f t="shared" si="6"/>
        <v>0</v>
      </c>
      <c r="AE42" s="13">
        <f t="shared" si="7"/>
        <v>0</v>
      </c>
    </row>
    <row r="43" spans="2:31" x14ac:dyDescent="0.25">
      <c r="B43" s="4"/>
      <c r="C43" s="1" t="s">
        <v>52</v>
      </c>
      <c r="D43" s="1" t="s">
        <v>175</v>
      </c>
      <c r="E43" s="3"/>
      <c r="F43" s="3"/>
      <c r="G43" s="24"/>
      <c r="H43" s="24"/>
      <c r="J43" s="1" t="s">
        <v>155</v>
      </c>
      <c r="K43" s="4"/>
      <c r="L43" s="4"/>
      <c r="M43" s="4"/>
      <c r="N43" s="4"/>
      <c r="O43" s="4"/>
      <c r="P43" s="27"/>
      <c r="Q43" s="25">
        <v>0</v>
      </c>
      <c r="R43" s="25">
        <v>0</v>
      </c>
      <c r="S43" s="12">
        <f t="shared" si="8"/>
        <v>0</v>
      </c>
      <c r="T43" s="5">
        <v>0</v>
      </c>
      <c r="U43" s="12">
        <f t="shared" si="9"/>
        <v>0</v>
      </c>
      <c r="V43" s="25" t="s">
        <v>10</v>
      </c>
      <c r="W43" s="11">
        <f>IFERROR(VLOOKUP(V43,Curr!$B$2:$C$13,2,FALSE),0)</f>
        <v>11</v>
      </c>
      <c r="X43" s="12">
        <f t="shared" si="10"/>
        <v>0</v>
      </c>
      <c r="Y43" s="26">
        <f t="shared" si="11"/>
        <v>0</v>
      </c>
      <c r="Z43" s="12">
        <f t="shared" si="4"/>
        <v>0</v>
      </c>
      <c r="AA43" s="4" t="s">
        <v>10</v>
      </c>
      <c r="AB43" s="11">
        <f>IFERROR(VLOOKUP(AA43,Curr!$B$2:$C$13,2,FALSE),0)</f>
        <v>11</v>
      </c>
      <c r="AC43" s="12">
        <f t="shared" si="5"/>
        <v>0</v>
      </c>
      <c r="AD43" s="12">
        <f t="shared" si="6"/>
        <v>0</v>
      </c>
      <c r="AE43" s="13">
        <f t="shared" si="7"/>
        <v>0</v>
      </c>
    </row>
    <row r="44" spans="2:31" x14ac:dyDescent="0.25">
      <c r="B44" s="4"/>
      <c r="C44" s="1" t="s">
        <v>59</v>
      </c>
      <c r="D44" s="1" t="s">
        <v>175</v>
      </c>
      <c r="E44" s="3"/>
      <c r="F44" s="3"/>
      <c r="G44" s="24"/>
      <c r="H44" s="24"/>
      <c r="J44" s="1" t="s">
        <v>176</v>
      </c>
      <c r="K44" s="4"/>
      <c r="L44" s="4"/>
      <c r="M44" s="4"/>
      <c r="N44" s="4"/>
      <c r="O44" s="4"/>
      <c r="P44" s="33"/>
      <c r="Q44" s="25">
        <v>0</v>
      </c>
      <c r="R44" s="25">
        <v>0</v>
      </c>
      <c r="S44" s="12">
        <f t="shared" si="8"/>
        <v>0</v>
      </c>
      <c r="T44" s="5">
        <v>0</v>
      </c>
      <c r="U44" s="12">
        <f t="shared" si="9"/>
        <v>0</v>
      </c>
      <c r="V44" s="25" t="s">
        <v>10</v>
      </c>
      <c r="W44" s="11">
        <f>IFERROR(VLOOKUP(V44,Curr!$B$2:$C$13,2,FALSE),0)</f>
        <v>11</v>
      </c>
      <c r="X44" s="12">
        <f t="shared" si="10"/>
        <v>0</v>
      </c>
      <c r="Y44" s="26">
        <f t="shared" si="11"/>
        <v>0</v>
      </c>
      <c r="Z44" s="12">
        <f t="shared" si="4"/>
        <v>0</v>
      </c>
      <c r="AA44" s="4" t="s">
        <v>10</v>
      </c>
      <c r="AB44" s="11">
        <f>IFERROR(VLOOKUP(AA44,Curr!$B$2:$C$13,2,FALSE),0)</f>
        <v>11</v>
      </c>
      <c r="AC44" s="12">
        <f t="shared" si="5"/>
        <v>0</v>
      </c>
      <c r="AD44" s="12">
        <f t="shared" si="6"/>
        <v>0</v>
      </c>
      <c r="AE44" s="13">
        <f t="shared" si="7"/>
        <v>0</v>
      </c>
    </row>
    <row r="45" spans="2:31" x14ac:dyDescent="0.25">
      <c r="B45" s="4"/>
      <c r="C45" s="1" t="s">
        <v>59</v>
      </c>
      <c r="D45" s="1" t="s">
        <v>175</v>
      </c>
      <c r="E45" s="3"/>
      <c r="F45" s="3"/>
      <c r="G45" s="24"/>
      <c r="H45" s="24"/>
      <c r="J45" s="1" t="s">
        <v>177</v>
      </c>
      <c r="K45" s="4"/>
      <c r="L45" s="4"/>
      <c r="M45" s="4"/>
      <c r="N45" s="4"/>
      <c r="O45" s="4"/>
      <c r="P45" s="27"/>
      <c r="Q45" s="25">
        <v>0</v>
      </c>
      <c r="R45" s="25">
        <v>0</v>
      </c>
      <c r="S45" s="12">
        <f t="shared" si="8"/>
        <v>0</v>
      </c>
      <c r="T45" s="5">
        <v>0</v>
      </c>
      <c r="U45" s="12">
        <f t="shared" si="9"/>
        <v>0</v>
      </c>
      <c r="V45" s="25" t="s">
        <v>10</v>
      </c>
      <c r="W45" s="11">
        <f>IFERROR(VLOOKUP(V45,Curr!$B$2:$C$13,2,FALSE),0)</f>
        <v>11</v>
      </c>
      <c r="X45" s="12">
        <f t="shared" si="10"/>
        <v>0</v>
      </c>
      <c r="Y45" s="26">
        <f t="shared" si="11"/>
        <v>0</v>
      </c>
      <c r="Z45" s="12">
        <f t="shared" si="4"/>
        <v>0</v>
      </c>
      <c r="AA45" s="4" t="s">
        <v>10</v>
      </c>
      <c r="AB45" s="11">
        <f>IFERROR(VLOOKUP(AA45,Curr!$B$2:$C$13,2,FALSE),0)</f>
        <v>11</v>
      </c>
      <c r="AC45" s="12">
        <f t="shared" si="5"/>
        <v>0</v>
      </c>
      <c r="AD45" s="12">
        <f t="shared" si="6"/>
        <v>0</v>
      </c>
      <c r="AE45" s="13">
        <f t="shared" si="7"/>
        <v>0</v>
      </c>
    </row>
    <row r="46" spans="2:31" x14ac:dyDescent="0.25">
      <c r="B46" s="4"/>
      <c r="C46" s="1" t="s">
        <v>62</v>
      </c>
      <c r="D46" s="1" t="s">
        <v>175</v>
      </c>
      <c r="E46" s="3"/>
      <c r="F46" s="3"/>
      <c r="G46" s="24"/>
      <c r="H46" s="24"/>
      <c r="J46" s="1" t="s">
        <v>178</v>
      </c>
      <c r="K46" s="4"/>
      <c r="L46" s="4"/>
      <c r="M46" s="4"/>
      <c r="N46" s="4"/>
      <c r="O46" s="4"/>
      <c r="P46" s="27"/>
      <c r="Q46" s="25">
        <v>0</v>
      </c>
      <c r="R46" s="25">
        <v>0</v>
      </c>
      <c r="S46" s="12">
        <f t="shared" si="8"/>
        <v>0</v>
      </c>
      <c r="T46" s="5">
        <v>0</v>
      </c>
      <c r="U46" s="12">
        <f t="shared" si="9"/>
        <v>0</v>
      </c>
      <c r="V46" s="25" t="s">
        <v>10</v>
      </c>
      <c r="W46" s="11">
        <f>IFERROR(VLOOKUP(V46,Curr!$B$2:$C$13,2,FALSE),0)</f>
        <v>11</v>
      </c>
      <c r="X46" s="12">
        <f t="shared" si="10"/>
        <v>0</v>
      </c>
      <c r="Y46" s="26">
        <f t="shared" si="11"/>
        <v>0</v>
      </c>
      <c r="Z46" s="12">
        <f t="shared" si="4"/>
        <v>0</v>
      </c>
      <c r="AA46" s="4" t="s">
        <v>10</v>
      </c>
      <c r="AB46" s="11">
        <f>IFERROR(VLOOKUP(AA46,Curr!$B$2:$C$13,2,FALSE),0)</f>
        <v>11</v>
      </c>
      <c r="AC46" s="12">
        <f t="shared" si="5"/>
        <v>0</v>
      </c>
      <c r="AD46" s="12">
        <f t="shared" si="6"/>
        <v>0</v>
      </c>
      <c r="AE46" s="13">
        <f t="shared" si="7"/>
        <v>0</v>
      </c>
    </row>
    <row r="47" spans="2:31" x14ac:dyDescent="0.25">
      <c r="B47" s="4"/>
      <c r="C47" s="1" t="s">
        <v>65</v>
      </c>
      <c r="D47" s="1" t="s">
        <v>54</v>
      </c>
      <c r="E47" s="3"/>
      <c r="F47" s="3"/>
      <c r="G47" s="24"/>
      <c r="H47" s="24"/>
      <c r="J47" s="1" t="s">
        <v>218</v>
      </c>
      <c r="K47" s="4"/>
      <c r="L47" s="4"/>
      <c r="M47" s="4"/>
      <c r="N47" s="4"/>
      <c r="O47" s="4"/>
      <c r="P47" s="27"/>
      <c r="Q47" s="25">
        <v>900</v>
      </c>
      <c r="R47" s="25">
        <v>0</v>
      </c>
      <c r="S47" s="12">
        <f t="shared" si="8"/>
        <v>0</v>
      </c>
      <c r="T47" s="5">
        <v>0</v>
      </c>
      <c r="U47" s="12">
        <f t="shared" si="9"/>
        <v>0</v>
      </c>
      <c r="V47" s="25" t="s">
        <v>8</v>
      </c>
      <c r="W47" s="11">
        <f>IFERROR(VLOOKUP(V47,Curr!$B$2:$C$13,2,FALSE),0)</f>
        <v>1</v>
      </c>
      <c r="X47" s="12">
        <f t="shared" si="10"/>
        <v>0</v>
      </c>
      <c r="Y47" s="26">
        <f>Q47/11.3/0.8</f>
        <v>99.55752212389379</v>
      </c>
      <c r="Z47" s="12">
        <f t="shared" si="4"/>
        <v>0</v>
      </c>
      <c r="AA47" s="4" t="s">
        <v>10</v>
      </c>
      <c r="AB47" s="11">
        <f>IFERROR(VLOOKUP(AA47,Curr!$B$2:$C$13,2,FALSE),0)</f>
        <v>11</v>
      </c>
      <c r="AC47" s="12">
        <f t="shared" si="5"/>
        <v>0</v>
      </c>
      <c r="AD47" s="12">
        <f t="shared" si="6"/>
        <v>0</v>
      </c>
      <c r="AE47" s="13">
        <f t="shared" si="7"/>
        <v>0</v>
      </c>
    </row>
    <row r="48" spans="2:31" x14ac:dyDescent="0.25">
      <c r="B48" s="4"/>
      <c r="E48" s="3"/>
      <c r="F48" s="3"/>
      <c r="G48" s="24"/>
      <c r="H48" s="24"/>
      <c r="K48" s="4"/>
      <c r="L48" s="4"/>
      <c r="M48" s="4"/>
      <c r="N48" s="4"/>
      <c r="O48" s="4"/>
      <c r="P48" s="33"/>
      <c r="Q48" s="25"/>
      <c r="R48" s="25"/>
      <c r="S48" s="12">
        <f t="shared" si="8"/>
        <v>0</v>
      </c>
      <c r="T48" s="5">
        <v>0</v>
      </c>
      <c r="U48" s="12">
        <f t="shared" si="9"/>
        <v>0</v>
      </c>
      <c r="V48" s="25" t="s">
        <v>10</v>
      </c>
      <c r="W48" s="11">
        <f>IFERROR(VLOOKUP(V48,Curr!$B$2:$C$13,2,FALSE),0)</f>
        <v>11</v>
      </c>
      <c r="X48" s="12">
        <f t="shared" si="10"/>
        <v>0</v>
      </c>
      <c r="Y48" s="26">
        <f t="shared" si="11"/>
        <v>0</v>
      </c>
      <c r="Z48" s="12">
        <f t="shared" si="4"/>
        <v>0</v>
      </c>
      <c r="AA48" s="4" t="s">
        <v>10</v>
      </c>
      <c r="AB48" s="11">
        <f>IFERROR(VLOOKUP(AA48,Curr!$B$2:$C$13,2,FALSE),0)</f>
        <v>11</v>
      </c>
      <c r="AC48" s="12">
        <f t="shared" si="5"/>
        <v>0</v>
      </c>
      <c r="AD48" s="12">
        <f t="shared" si="6"/>
        <v>0</v>
      </c>
      <c r="AE48" s="13">
        <f t="shared" si="7"/>
        <v>0</v>
      </c>
    </row>
    <row r="49" spans="2:36" x14ac:dyDescent="0.25">
      <c r="B49" s="4"/>
      <c r="E49" s="3"/>
      <c r="F49" s="3"/>
      <c r="G49" s="24"/>
      <c r="H49" s="24"/>
      <c r="K49" s="4"/>
      <c r="L49" s="4"/>
      <c r="M49" s="4"/>
      <c r="N49" s="4"/>
      <c r="O49" s="4"/>
      <c r="P49" s="27"/>
      <c r="Q49" s="25"/>
      <c r="R49" s="25"/>
      <c r="S49" s="12">
        <f t="shared" si="8"/>
        <v>0</v>
      </c>
      <c r="T49" s="5">
        <v>0</v>
      </c>
      <c r="U49" s="12">
        <f t="shared" si="9"/>
        <v>0</v>
      </c>
      <c r="V49" s="25" t="s">
        <v>10</v>
      </c>
      <c r="W49" s="11">
        <f>IFERROR(VLOOKUP(V49,Curr!$B$2:$C$13,2,FALSE),0)</f>
        <v>11</v>
      </c>
      <c r="X49" s="12">
        <f t="shared" si="10"/>
        <v>0</v>
      </c>
      <c r="Y49" s="26">
        <f t="shared" si="11"/>
        <v>0</v>
      </c>
      <c r="Z49" s="12">
        <f t="shared" si="4"/>
        <v>0</v>
      </c>
      <c r="AA49" s="4" t="s">
        <v>10</v>
      </c>
      <c r="AB49" s="11">
        <f>IFERROR(VLOOKUP(AA49,Curr!$B$2:$C$13,2,FALSE),0)</f>
        <v>11</v>
      </c>
      <c r="AC49" s="12">
        <f t="shared" si="5"/>
        <v>0</v>
      </c>
      <c r="AD49" s="12">
        <f t="shared" si="6"/>
        <v>0</v>
      </c>
      <c r="AE49" s="13">
        <f t="shared" si="7"/>
        <v>0</v>
      </c>
    </row>
    <row r="50" spans="2:36" x14ac:dyDescent="0.25">
      <c r="B50" s="4"/>
      <c r="C50" s="1" t="s">
        <v>61</v>
      </c>
      <c r="D50" s="1" t="s">
        <v>110</v>
      </c>
      <c r="E50" s="3"/>
      <c r="F50" s="3"/>
      <c r="G50" s="24"/>
      <c r="H50" s="24"/>
      <c r="J50" s="1" t="s">
        <v>179</v>
      </c>
      <c r="K50" s="4"/>
      <c r="L50" s="4"/>
      <c r="M50" s="4"/>
      <c r="N50" s="4"/>
      <c r="O50" s="4"/>
      <c r="P50" s="33" t="s">
        <v>180</v>
      </c>
      <c r="Q50" s="25">
        <v>180</v>
      </c>
      <c r="R50" s="25">
        <v>0</v>
      </c>
      <c r="S50" s="12">
        <f t="shared" si="8"/>
        <v>0</v>
      </c>
      <c r="T50" s="5">
        <v>0.2</v>
      </c>
      <c r="U50" s="12">
        <f t="shared" si="9"/>
        <v>0</v>
      </c>
      <c r="V50" s="25" t="s">
        <v>10</v>
      </c>
      <c r="W50" s="11">
        <f>IFERROR(VLOOKUP(V50,Curr!$B$2:$C$13,2,FALSE),0)</f>
        <v>11</v>
      </c>
      <c r="X50" s="12">
        <f t="shared" si="10"/>
        <v>0</v>
      </c>
      <c r="Y50" s="26">
        <f t="shared" si="11"/>
        <v>180</v>
      </c>
      <c r="Z50" s="12">
        <f t="shared" si="4"/>
        <v>0</v>
      </c>
      <c r="AA50" s="4" t="s">
        <v>10</v>
      </c>
      <c r="AB50" s="11">
        <f>IFERROR(VLOOKUP(AA50,Curr!$B$2:$C$13,2,FALSE),0)</f>
        <v>11</v>
      </c>
      <c r="AC50" s="12">
        <f t="shared" si="5"/>
        <v>0</v>
      </c>
      <c r="AD50" s="12">
        <f t="shared" si="6"/>
        <v>0</v>
      </c>
      <c r="AE50" s="13">
        <f t="shared" si="7"/>
        <v>0</v>
      </c>
    </row>
    <row r="51" spans="2:36" x14ac:dyDescent="0.25">
      <c r="B51" s="4"/>
      <c r="C51" s="1" t="s">
        <v>64</v>
      </c>
      <c r="D51" s="1" t="s">
        <v>110</v>
      </c>
      <c r="E51" s="3"/>
      <c r="F51" s="3"/>
      <c r="G51" s="24"/>
      <c r="H51" s="24"/>
      <c r="J51" s="1" t="s">
        <v>216</v>
      </c>
      <c r="K51" s="4"/>
      <c r="L51" s="4"/>
      <c r="M51" s="4"/>
      <c r="N51" s="4"/>
      <c r="O51" s="4" t="s">
        <v>42</v>
      </c>
      <c r="P51" s="33" t="s">
        <v>217</v>
      </c>
      <c r="Q51" s="25">
        <v>2195</v>
      </c>
      <c r="R51" s="25">
        <v>0</v>
      </c>
      <c r="S51" s="12">
        <f t="shared" si="8"/>
        <v>0</v>
      </c>
      <c r="T51" s="5">
        <v>0.2</v>
      </c>
      <c r="U51" s="12">
        <f t="shared" si="9"/>
        <v>0</v>
      </c>
      <c r="V51" s="25" t="s">
        <v>8</v>
      </c>
      <c r="W51" s="11">
        <f>IFERROR(VLOOKUP(V51,Curr!$B$2:$C$13,2,FALSE),0)</f>
        <v>1</v>
      </c>
      <c r="X51" s="12">
        <f t="shared" si="10"/>
        <v>0</v>
      </c>
      <c r="Y51" s="26">
        <f t="shared" ref="Y51" si="12">Q51/11.3</f>
        <v>194.24778761061947</v>
      </c>
      <c r="Z51" s="12">
        <f t="shared" si="4"/>
        <v>0</v>
      </c>
      <c r="AA51" s="4" t="s">
        <v>10</v>
      </c>
      <c r="AB51" s="11">
        <f>IFERROR(VLOOKUP(AA51,Curr!$B$2:$C$13,2,FALSE),0)</f>
        <v>11</v>
      </c>
      <c r="AC51" s="12">
        <f t="shared" si="5"/>
        <v>0</v>
      </c>
      <c r="AD51" s="12">
        <f t="shared" si="6"/>
        <v>0</v>
      </c>
      <c r="AE51" s="13">
        <f t="shared" si="7"/>
        <v>0</v>
      </c>
    </row>
    <row r="52" spans="2:36" x14ac:dyDescent="0.25">
      <c r="B52" s="4"/>
      <c r="E52" s="3"/>
      <c r="F52" s="3"/>
      <c r="G52" s="24"/>
      <c r="H52" s="24"/>
      <c r="K52" s="4"/>
      <c r="L52" s="4"/>
      <c r="M52" s="4"/>
      <c r="N52" s="4"/>
      <c r="O52" s="4"/>
      <c r="P52" s="27"/>
      <c r="Q52" s="25"/>
      <c r="R52" s="25"/>
      <c r="S52" s="12">
        <f t="shared" si="8"/>
        <v>0</v>
      </c>
      <c r="T52" s="5">
        <v>0</v>
      </c>
      <c r="U52" s="12">
        <f t="shared" si="9"/>
        <v>0</v>
      </c>
      <c r="V52" s="25" t="s">
        <v>10</v>
      </c>
      <c r="W52" s="11">
        <f>IFERROR(VLOOKUP(V52,Curr!$B$2:$C$13,2,FALSE),0)</f>
        <v>11</v>
      </c>
      <c r="X52" s="12">
        <f t="shared" si="10"/>
        <v>0</v>
      </c>
      <c r="Y52" s="26">
        <f t="shared" si="11"/>
        <v>0</v>
      </c>
      <c r="Z52" s="12">
        <f t="shared" si="4"/>
        <v>0</v>
      </c>
      <c r="AA52" s="4" t="s">
        <v>10</v>
      </c>
      <c r="AB52" s="11">
        <f>IFERROR(VLOOKUP(AA52,Curr!$B$2:$C$13,2,FALSE),0)</f>
        <v>11</v>
      </c>
      <c r="AC52" s="12">
        <f t="shared" si="5"/>
        <v>0</v>
      </c>
      <c r="AD52" s="12">
        <f t="shared" si="6"/>
        <v>0</v>
      </c>
      <c r="AE52" s="13">
        <f t="shared" si="7"/>
        <v>0</v>
      </c>
    </row>
    <row r="53" spans="2:36" x14ac:dyDescent="0.25">
      <c r="B53" s="4"/>
      <c r="E53" s="3"/>
      <c r="F53" s="3"/>
      <c r="G53" s="24"/>
      <c r="H53" s="24"/>
      <c r="K53" s="4"/>
      <c r="L53" s="4"/>
      <c r="M53" s="4"/>
      <c r="N53" s="4"/>
      <c r="O53" s="4"/>
      <c r="P53" s="27"/>
      <c r="Q53" s="25"/>
      <c r="R53" s="25"/>
      <c r="S53" s="12">
        <f t="shared" si="8"/>
        <v>0</v>
      </c>
      <c r="T53" s="5">
        <v>0</v>
      </c>
      <c r="U53" s="12">
        <f t="shared" si="9"/>
        <v>0</v>
      </c>
      <c r="V53" s="25" t="s">
        <v>10</v>
      </c>
      <c r="W53" s="11">
        <f>IFERROR(VLOOKUP(V53,Curr!$B$2:$C$13,2,FALSE),0)</f>
        <v>11</v>
      </c>
      <c r="X53" s="12">
        <f t="shared" si="10"/>
        <v>0</v>
      </c>
      <c r="Y53" s="26">
        <f t="shared" si="11"/>
        <v>0</v>
      </c>
      <c r="Z53" s="12">
        <f t="shared" si="4"/>
        <v>0</v>
      </c>
      <c r="AA53" s="4" t="s">
        <v>10</v>
      </c>
      <c r="AB53" s="11">
        <f>IFERROR(VLOOKUP(AA53,Curr!$B$2:$C$13,2,FALSE),0)</f>
        <v>11</v>
      </c>
      <c r="AC53" s="12">
        <f t="shared" si="5"/>
        <v>0</v>
      </c>
      <c r="AD53" s="12">
        <f t="shared" si="6"/>
        <v>0</v>
      </c>
      <c r="AE53" s="13">
        <f t="shared" si="7"/>
        <v>0</v>
      </c>
    </row>
    <row r="54" spans="2:36" x14ac:dyDescent="0.25">
      <c r="B54" s="4"/>
      <c r="E54" s="3"/>
      <c r="F54" s="3"/>
      <c r="G54" s="24"/>
      <c r="H54" s="24"/>
      <c r="K54" s="4"/>
      <c r="L54" s="4"/>
      <c r="M54" s="4"/>
      <c r="N54" s="4"/>
      <c r="O54" s="4"/>
      <c r="P54" s="33"/>
      <c r="Q54" s="25"/>
      <c r="R54" s="25"/>
      <c r="S54" s="12">
        <f t="shared" si="8"/>
        <v>0</v>
      </c>
      <c r="T54" s="5">
        <v>0</v>
      </c>
      <c r="U54" s="12">
        <f t="shared" si="9"/>
        <v>0</v>
      </c>
      <c r="V54" s="25" t="s">
        <v>10</v>
      </c>
      <c r="W54" s="11">
        <f>IFERROR(VLOOKUP(V54,Curr!$B$2:$C$13,2,FALSE),0)</f>
        <v>11</v>
      </c>
      <c r="X54" s="12">
        <f t="shared" si="10"/>
        <v>0</v>
      </c>
      <c r="Y54" s="26">
        <f t="shared" si="11"/>
        <v>0</v>
      </c>
      <c r="Z54" s="12">
        <f t="shared" si="4"/>
        <v>0</v>
      </c>
      <c r="AA54" s="4" t="s">
        <v>10</v>
      </c>
      <c r="AB54" s="11">
        <f>IFERROR(VLOOKUP(AA54,Curr!$B$2:$C$13,2,FALSE),0)</f>
        <v>11</v>
      </c>
      <c r="AC54" s="12">
        <f t="shared" si="5"/>
        <v>0</v>
      </c>
      <c r="AD54" s="12">
        <f t="shared" si="6"/>
        <v>0</v>
      </c>
      <c r="AE54" s="13">
        <f t="shared" si="7"/>
        <v>0</v>
      </c>
    </row>
    <row r="55" spans="2:36" x14ac:dyDescent="0.25">
      <c r="B55" s="4"/>
      <c r="E55" s="3"/>
      <c r="F55" s="3"/>
      <c r="G55" s="24"/>
      <c r="H55" s="24"/>
      <c r="K55" s="4"/>
      <c r="L55" s="4"/>
      <c r="M55" s="4"/>
      <c r="N55" s="4"/>
      <c r="O55" s="4"/>
      <c r="P55" s="27"/>
      <c r="Q55" s="25"/>
      <c r="R55" s="25"/>
      <c r="S55" s="12">
        <f t="shared" si="8"/>
        <v>0</v>
      </c>
      <c r="T55" s="5">
        <v>0</v>
      </c>
      <c r="U55" s="12">
        <f t="shared" si="9"/>
        <v>0</v>
      </c>
      <c r="V55" s="25" t="s">
        <v>10</v>
      </c>
      <c r="W55" s="11">
        <f>IFERROR(VLOOKUP(V55,Curr!$B$2:$C$13,2,FALSE),0)</f>
        <v>11</v>
      </c>
      <c r="X55" s="12">
        <f t="shared" si="10"/>
        <v>0</v>
      </c>
      <c r="Y55" s="26">
        <f t="shared" si="11"/>
        <v>0</v>
      </c>
      <c r="Z55" s="12">
        <f t="shared" si="4"/>
        <v>0</v>
      </c>
      <c r="AA55" s="4" t="s">
        <v>10</v>
      </c>
      <c r="AB55" s="11">
        <f>IFERROR(VLOOKUP(AA55,Curr!$B$2:$C$13,2,FALSE),0)</f>
        <v>11</v>
      </c>
      <c r="AC55" s="12">
        <f t="shared" si="5"/>
        <v>0</v>
      </c>
      <c r="AD55" s="12">
        <f t="shared" si="6"/>
        <v>0</v>
      </c>
      <c r="AE55" s="13">
        <f t="shared" si="7"/>
        <v>0</v>
      </c>
    </row>
    <row r="56" spans="2:36" x14ac:dyDescent="0.25">
      <c r="B56" s="4"/>
      <c r="E56" s="3"/>
      <c r="F56" s="3"/>
      <c r="G56" s="24"/>
      <c r="H56" s="24"/>
      <c r="K56" s="4"/>
      <c r="L56" s="4"/>
      <c r="M56" s="4"/>
      <c r="N56" s="4"/>
      <c r="O56" s="4"/>
      <c r="P56" s="27"/>
      <c r="Q56" s="25"/>
      <c r="R56" s="25"/>
      <c r="S56" s="12">
        <f t="shared" si="8"/>
        <v>0</v>
      </c>
      <c r="T56" s="5">
        <v>0</v>
      </c>
      <c r="U56" s="12">
        <f t="shared" si="9"/>
        <v>0</v>
      </c>
      <c r="V56" s="25" t="s">
        <v>10</v>
      </c>
      <c r="W56" s="11">
        <f>IFERROR(VLOOKUP(V56,Curr!$B$2:$C$13,2,FALSE),0)</f>
        <v>11</v>
      </c>
      <c r="X56" s="12">
        <f t="shared" si="10"/>
        <v>0</v>
      </c>
      <c r="Y56" s="26">
        <f t="shared" si="11"/>
        <v>0</v>
      </c>
      <c r="Z56" s="12">
        <f t="shared" si="4"/>
        <v>0</v>
      </c>
      <c r="AA56" s="4" t="s">
        <v>10</v>
      </c>
      <c r="AB56" s="11">
        <f>IFERROR(VLOOKUP(AA56,Curr!$B$2:$C$13,2,FALSE),0)</f>
        <v>11</v>
      </c>
      <c r="AC56" s="12">
        <f t="shared" si="5"/>
        <v>0</v>
      </c>
      <c r="AD56" s="12">
        <f t="shared" si="6"/>
        <v>0</v>
      </c>
      <c r="AE56" s="13">
        <f t="shared" si="7"/>
        <v>0</v>
      </c>
    </row>
    <row r="57" spans="2:36" x14ac:dyDescent="0.25">
      <c r="B57" s="4"/>
      <c r="E57" s="3"/>
      <c r="F57" s="3"/>
      <c r="G57" s="24"/>
      <c r="H57" s="24"/>
      <c r="K57" s="4"/>
      <c r="L57" s="4"/>
      <c r="M57" s="4"/>
      <c r="N57" s="4"/>
      <c r="O57" s="4"/>
      <c r="P57" s="27"/>
      <c r="Q57" s="25"/>
      <c r="R57" s="25"/>
      <c r="S57" s="12">
        <f t="shared" si="8"/>
        <v>0</v>
      </c>
      <c r="T57" s="5">
        <v>0</v>
      </c>
      <c r="U57" s="12">
        <f t="shared" si="9"/>
        <v>0</v>
      </c>
      <c r="V57" s="25" t="s">
        <v>10</v>
      </c>
      <c r="W57" s="11">
        <f>IFERROR(VLOOKUP(V57,Curr!$B$2:$C$13,2,FALSE),0)</f>
        <v>11</v>
      </c>
      <c r="X57" s="12">
        <f t="shared" si="10"/>
        <v>0</v>
      </c>
      <c r="Y57" s="26">
        <f t="shared" si="11"/>
        <v>0</v>
      </c>
      <c r="Z57" s="12">
        <f t="shared" si="4"/>
        <v>0</v>
      </c>
      <c r="AA57" s="4" t="s">
        <v>10</v>
      </c>
      <c r="AB57" s="11">
        <f>IFERROR(VLOOKUP(AA57,Curr!$B$2:$C$13,2,FALSE),0)</f>
        <v>11</v>
      </c>
      <c r="AC57" s="12">
        <f t="shared" si="5"/>
        <v>0</v>
      </c>
      <c r="AD57" s="12">
        <f t="shared" si="6"/>
        <v>0</v>
      </c>
      <c r="AE57" s="13">
        <f t="shared" si="7"/>
        <v>0</v>
      </c>
    </row>
    <row r="58" spans="2:36" x14ac:dyDescent="0.25">
      <c r="B58" s="4"/>
      <c r="E58" s="3"/>
      <c r="F58" s="3"/>
      <c r="G58" s="24"/>
      <c r="H58" s="24"/>
      <c r="K58" s="4"/>
      <c r="L58" s="4"/>
      <c r="M58" s="4"/>
      <c r="N58" s="4"/>
      <c r="O58" s="4"/>
      <c r="P58" s="27"/>
      <c r="Q58" s="25"/>
      <c r="R58" s="25"/>
      <c r="S58" s="12">
        <f t="shared" si="8"/>
        <v>0</v>
      </c>
      <c r="T58" s="5">
        <v>0</v>
      </c>
      <c r="U58" s="12">
        <f t="shared" si="9"/>
        <v>0</v>
      </c>
      <c r="V58" s="25" t="s">
        <v>10</v>
      </c>
      <c r="W58" s="11">
        <f>IFERROR(VLOOKUP(V58,Curr!$B$2:$C$13,2,FALSE),0)</f>
        <v>11</v>
      </c>
      <c r="X58" s="12">
        <f t="shared" si="10"/>
        <v>0</v>
      </c>
      <c r="Y58" s="26">
        <f t="shared" si="11"/>
        <v>0</v>
      </c>
      <c r="Z58" s="12">
        <f t="shared" si="4"/>
        <v>0</v>
      </c>
      <c r="AA58" s="4" t="s">
        <v>10</v>
      </c>
      <c r="AB58" s="11">
        <f>IFERROR(VLOOKUP(AA58,Curr!$B$2:$C$13,2,FALSE),0)</f>
        <v>11</v>
      </c>
      <c r="AC58" s="12">
        <f t="shared" si="5"/>
        <v>0</v>
      </c>
      <c r="AD58" s="12">
        <f t="shared" si="6"/>
        <v>0</v>
      </c>
      <c r="AE58" s="13">
        <f t="shared" si="7"/>
        <v>0</v>
      </c>
    </row>
    <row r="59" spans="2:36" x14ac:dyDescent="0.25">
      <c r="B59" s="4"/>
      <c r="E59" s="3"/>
      <c r="F59" s="3"/>
      <c r="G59" s="3"/>
      <c r="H59" s="3"/>
      <c r="L59" s="4"/>
      <c r="M59" s="4"/>
      <c r="N59" s="4"/>
      <c r="O59" s="4"/>
      <c r="P59" s="22"/>
      <c r="Q59" s="4"/>
      <c r="R59" s="4"/>
      <c r="S59" s="4"/>
      <c r="T59" s="4"/>
      <c r="U59" s="4"/>
      <c r="V59" s="4"/>
      <c r="W59" s="4"/>
      <c r="X59" s="4"/>
      <c r="Y59" s="4"/>
      <c r="Z59" s="4"/>
      <c r="AA59" s="4"/>
      <c r="AB59" s="4"/>
      <c r="AC59" s="4"/>
      <c r="AD59" s="4"/>
      <c r="AE59" s="4"/>
      <c r="AF59" s="4"/>
    </row>
    <row r="60" spans="2:36" x14ac:dyDescent="0.25">
      <c r="B60" s="14" t="s">
        <v>18</v>
      </c>
      <c r="C60" s="14"/>
      <c r="D60" s="28" t="s">
        <v>42</v>
      </c>
      <c r="E60" s="30" t="s">
        <v>42</v>
      </c>
      <c r="F60" s="30" t="s">
        <v>42</v>
      </c>
      <c r="G60" s="30" t="s">
        <v>42</v>
      </c>
      <c r="H60" s="30" t="s">
        <v>42</v>
      </c>
      <c r="I60" s="28" t="s">
        <v>42</v>
      </c>
      <c r="J60" s="28" t="s">
        <v>42</v>
      </c>
      <c r="K60" s="28" t="s">
        <v>42</v>
      </c>
      <c r="L60" s="28" t="s">
        <v>42</v>
      </c>
      <c r="M60" s="28" t="s">
        <v>42</v>
      </c>
      <c r="N60" s="28" t="s">
        <v>42</v>
      </c>
      <c r="O60" s="28" t="s">
        <v>42</v>
      </c>
      <c r="P60" s="28" t="s">
        <v>42</v>
      </c>
      <c r="Q60" s="31" t="s">
        <v>42</v>
      </c>
      <c r="R60" s="28" t="s">
        <v>42</v>
      </c>
      <c r="S60" s="32" t="s">
        <v>42</v>
      </c>
      <c r="T60" s="28" t="s">
        <v>42</v>
      </c>
      <c r="U60" s="32" t="s">
        <v>42</v>
      </c>
      <c r="V60" s="28" t="s">
        <v>42</v>
      </c>
      <c r="W60" s="28" t="s">
        <v>42</v>
      </c>
      <c r="X60" s="32" t="s">
        <v>42</v>
      </c>
      <c r="Y60" s="32" t="s">
        <v>42</v>
      </c>
      <c r="Z60" s="15">
        <f>SUM(Z7:Z58)</f>
        <v>3958.368037480479</v>
      </c>
      <c r="AA60" s="14"/>
      <c r="AB60" s="14"/>
      <c r="AC60" s="15">
        <f>SUM(AC7:AC58)</f>
        <v>43542.048412285265</v>
      </c>
      <c r="AD60" s="15">
        <f>SUM(AD7:AD58)</f>
        <v>8096.0484122852667</v>
      </c>
      <c r="AE60" s="21">
        <f t="shared" ref="AE60" si="13">IFERROR(AD60/AC60,0)</f>
        <v>0.18593632379502362</v>
      </c>
      <c r="AF60" s="15">
        <f>SUM(AF8:AF59)</f>
        <v>0</v>
      </c>
      <c r="AG60" s="15">
        <f>SUM(AG8:AG59)</f>
        <v>0</v>
      </c>
      <c r="AH60" s="15">
        <f>SUM(AH8:AH59)</f>
        <v>0</v>
      </c>
      <c r="AI60" s="15">
        <f>SUM(AI8:AI59)</f>
        <v>0</v>
      </c>
      <c r="AJ60" s="15">
        <f>SUM(AJ8:AJ59)</f>
        <v>0</v>
      </c>
    </row>
    <row r="61" spans="2:36" x14ac:dyDescent="0.25">
      <c r="B61" s="4"/>
      <c r="E61" s="3"/>
      <c r="F61" s="3"/>
      <c r="G61" s="3"/>
      <c r="H61" s="3"/>
      <c r="L61" s="4"/>
      <c r="M61" s="4"/>
      <c r="N61" s="4"/>
      <c r="O61" s="4"/>
      <c r="Q61" s="4"/>
      <c r="R61" s="4"/>
      <c r="S61" s="4"/>
      <c r="T61" s="4"/>
      <c r="U61" s="4"/>
      <c r="V61" s="4"/>
      <c r="W61" s="4"/>
      <c r="X61" s="4"/>
      <c r="Y61" s="9"/>
      <c r="Z61" s="9"/>
      <c r="AA61" s="9"/>
      <c r="AB61" s="9"/>
      <c r="AC61" s="9"/>
      <c r="AD61" s="9"/>
      <c r="AE61" s="9"/>
    </row>
    <row r="62" spans="2:36" x14ac:dyDescent="0.25">
      <c r="B62" s="4"/>
      <c r="E62" s="3"/>
      <c r="F62" s="3"/>
      <c r="G62" s="3"/>
      <c r="H62" s="3"/>
      <c r="L62" s="4"/>
      <c r="M62" s="4"/>
      <c r="N62" s="4"/>
      <c r="O62" s="4"/>
      <c r="Q62" s="9"/>
      <c r="R62" s="9"/>
      <c r="S62" s="9"/>
      <c r="T62" s="9"/>
      <c r="U62" s="9"/>
      <c r="V62" s="9"/>
      <c r="W62" s="9"/>
      <c r="X62" s="23"/>
      <c r="Y62" s="34" t="s">
        <v>43</v>
      </c>
      <c r="Z62" s="34">
        <v>3960</v>
      </c>
      <c r="AA62" s="9"/>
      <c r="AB62" s="9"/>
      <c r="AC62" s="9"/>
      <c r="AD62" s="9"/>
      <c r="AE62" s="9"/>
    </row>
    <row r="63" spans="2:36" x14ac:dyDescent="0.25">
      <c r="B63" s="4"/>
      <c r="E63" s="3"/>
      <c r="F63" s="3"/>
      <c r="G63" s="3"/>
      <c r="H63" s="3"/>
      <c r="L63" s="4"/>
      <c r="M63" s="4"/>
      <c r="N63" s="4"/>
      <c r="O63" s="4"/>
      <c r="Q63" s="9"/>
      <c r="R63" s="9"/>
      <c r="S63" s="9"/>
      <c r="T63" s="9"/>
      <c r="U63" s="9"/>
      <c r="V63" s="9"/>
      <c r="W63" s="9"/>
      <c r="X63" s="9"/>
      <c r="Y63" s="34" t="s">
        <v>44</v>
      </c>
      <c r="Z63" s="34">
        <f>Z62/2</f>
        <v>1980</v>
      </c>
      <c r="AA63" s="9"/>
      <c r="AB63" s="9"/>
      <c r="AC63" s="9"/>
      <c r="AD63" s="9"/>
      <c r="AE63" s="9"/>
      <c r="AF63" s="18"/>
    </row>
    <row r="64" spans="2:36" x14ac:dyDescent="0.25">
      <c r="B64" s="4"/>
      <c r="E64" s="3"/>
      <c r="F64" s="3"/>
      <c r="G64" s="3"/>
      <c r="H64" s="3"/>
      <c r="I64" s="19"/>
      <c r="L64" s="4"/>
      <c r="M64" s="4"/>
      <c r="N64" s="4"/>
      <c r="O64" s="20"/>
      <c r="Q64" s="20"/>
      <c r="R64" s="20"/>
      <c r="S64" s="20"/>
      <c r="T64" s="20"/>
      <c r="U64" s="20"/>
      <c r="V64" s="20"/>
      <c r="W64" s="20"/>
      <c r="X64" s="20"/>
      <c r="Y64" s="9"/>
      <c r="Z64" s="9"/>
      <c r="AA64" s="9"/>
      <c r="AB64" s="9"/>
      <c r="AC64" s="9"/>
      <c r="AD64" s="9"/>
      <c r="AE64" s="9"/>
      <c r="AF64" s="18"/>
    </row>
    <row r="65" spans="2:32" x14ac:dyDescent="0.25">
      <c r="B65" s="4"/>
      <c r="E65" s="3"/>
      <c r="F65" s="3"/>
      <c r="G65" s="3"/>
      <c r="H65" s="3"/>
      <c r="L65" s="4"/>
      <c r="M65" s="4"/>
      <c r="N65" s="4"/>
      <c r="O65" s="20"/>
      <c r="Q65" s="20"/>
      <c r="R65" s="20"/>
      <c r="S65" s="20"/>
      <c r="T65" s="20"/>
      <c r="U65" s="20"/>
      <c r="V65" s="20"/>
      <c r="W65" s="20"/>
      <c r="X65" s="20"/>
      <c r="Y65" s="9"/>
      <c r="Z65" s="9"/>
      <c r="AA65" s="9"/>
      <c r="AB65" s="9"/>
      <c r="AC65" s="9"/>
      <c r="AD65" s="9"/>
      <c r="AE65" s="9"/>
      <c r="AF65" s="18"/>
    </row>
    <row r="66" spans="2:32" x14ac:dyDescent="0.25">
      <c r="B66" s="4"/>
      <c r="E66" s="3"/>
      <c r="F66" s="3"/>
      <c r="G66" s="3"/>
      <c r="H66" s="3"/>
      <c r="L66" s="4"/>
      <c r="M66" s="4"/>
      <c r="N66" s="4"/>
      <c r="O66" s="4"/>
      <c r="Q66" s="9"/>
      <c r="R66" s="9"/>
      <c r="S66" s="9"/>
      <c r="T66" s="9"/>
      <c r="U66" s="9"/>
      <c r="V66" s="9"/>
      <c r="W66" s="9"/>
      <c r="X66" s="9"/>
      <c r="Y66" s="37" t="s">
        <v>298</v>
      </c>
      <c r="Z66" s="9">
        <f>Z62</f>
        <v>3960</v>
      </c>
      <c r="AA66" s="9"/>
      <c r="AB66" s="9"/>
      <c r="AC66" s="9"/>
      <c r="AD66" s="9"/>
      <c r="AE66" s="9"/>
      <c r="AF66" s="18"/>
    </row>
    <row r="67" spans="2:32" x14ac:dyDescent="0.25">
      <c r="F67" s="1"/>
      <c r="G67" s="1"/>
      <c r="H67" s="1"/>
      <c r="J67" s="1" t="s">
        <v>32</v>
      </c>
      <c r="Q67" s="9"/>
      <c r="R67" s="4"/>
      <c r="S67" s="9"/>
      <c r="T67" s="5"/>
      <c r="U67" s="9"/>
      <c r="V67" s="4"/>
      <c r="W67" s="4"/>
      <c r="X67" s="9"/>
      <c r="Y67" s="37" t="s">
        <v>299</v>
      </c>
      <c r="Z67" s="9">
        <f>Z66*1.18</f>
        <v>4672.8</v>
      </c>
      <c r="AA67" s="9"/>
      <c r="AB67" s="9"/>
      <c r="AC67" s="9"/>
      <c r="AD67" s="9"/>
      <c r="AE67" s="9"/>
    </row>
    <row r="68" spans="2:32" x14ac:dyDescent="0.25">
      <c r="R68" s="4"/>
      <c r="S68" s="17"/>
      <c r="T68" s="17"/>
      <c r="U68" s="9"/>
      <c r="V68" s="4"/>
      <c r="W68" s="4"/>
      <c r="X68" s="9"/>
      <c r="Y68" s="37" t="s">
        <v>301</v>
      </c>
      <c r="Z68" s="9">
        <f>Z66*1.3</f>
        <v>5148</v>
      </c>
      <c r="AA68" s="9"/>
      <c r="AB68" s="9"/>
      <c r="AC68" s="9"/>
      <c r="AD68" s="9"/>
      <c r="AE68" s="9"/>
    </row>
    <row r="69" spans="2:32" x14ac:dyDescent="0.25">
      <c r="Q69" s="9"/>
      <c r="R69" s="4"/>
      <c r="S69" s="16"/>
      <c r="T69" s="16"/>
      <c r="U69" s="9"/>
      <c r="V69" s="4"/>
      <c r="W69" s="4"/>
      <c r="X69" s="9"/>
      <c r="Y69" s="37" t="s">
        <v>300</v>
      </c>
      <c r="Z69" s="9">
        <f>Z66*0.85</f>
        <v>3366</v>
      </c>
      <c r="AA69" s="9"/>
      <c r="AB69" s="9"/>
      <c r="AC69" s="9"/>
      <c r="AD69" s="9"/>
      <c r="AE69" s="9"/>
    </row>
    <row r="70" spans="2:32" x14ac:dyDescent="0.25">
      <c r="R70" s="4"/>
      <c r="S70" s="16"/>
      <c r="T70" s="16"/>
      <c r="Y70" s="9"/>
      <c r="Z70" s="9"/>
      <c r="AA70" s="9"/>
      <c r="AB70" s="9"/>
      <c r="AC70" s="9"/>
      <c r="AD70" s="9"/>
      <c r="AE70" s="9"/>
    </row>
    <row r="71" spans="2:32" x14ac:dyDescent="0.25">
      <c r="T71" s="5"/>
      <c r="Y71" s="9"/>
      <c r="Z71" s="9"/>
      <c r="AA71" s="9"/>
      <c r="AB71" s="9"/>
      <c r="AC71" s="9"/>
      <c r="AD71" s="9"/>
      <c r="AE71" s="9"/>
    </row>
    <row r="72" spans="2:32" x14ac:dyDescent="0.25">
      <c r="T72" s="5"/>
      <c r="Y72" s="9"/>
      <c r="Z72" s="9"/>
      <c r="AA72" s="9"/>
      <c r="AB72" s="9"/>
      <c r="AC72" s="9"/>
      <c r="AD72" s="9"/>
      <c r="AE72" s="9"/>
    </row>
    <row r="73" spans="2:32" x14ac:dyDescent="0.25">
      <c r="T73" s="5"/>
      <c r="Y73" s="9"/>
      <c r="Z73" s="9"/>
      <c r="AA73" s="9"/>
      <c r="AB73" s="9"/>
      <c r="AC73" s="9"/>
      <c r="AD73" s="9"/>
      <c r="AE73" s="9"/>
    </row>
    <row r="74" spans="2:32" x14ac:dyDescent="0.25">
      <c r="T74" s="5"/>
      <c r="Y74" s="9"/>
      <c r="Z74" s="9"/>
      <c r="AA74" s="9"/>
      <c r="AB74" s="9"/>
      <c r="AC74" s="9"/>
      <c r="AD74" s="9"/>
      <c r="AE74" s="9"/>
    </row>
    <row r="75" spans="2:32" x14ac:dyDescent="0.25">
      <c r="T75" s="5"/>
      <c r="Y75" s="9"/>
      <c r="Z75" s="9"/>
      <c r="AA75" s="9"/>
      <c r="AB75" s="9"/>
      <c r="AC75" s="9"/>
      <c r="AD75" s="9"/>
      <c r="AE75" s="9"/>
    </row>
    <row r="76" spans="2:32" x14ac:dyDescent="0.25">
      <c r="T76" s="5"/>
      <c r="Y76" s="9"/>
      <c r="Z76" s="9"/>
      <c r="AA76" s="9"/>
      <c r="AB76" s="9"/>
      <c r="AC76" s="9"/>
      <c r="AD76" s="9"/>
      <c r="AE76" s="9"/>
    </row>
    <row r="77" spans="2:32" x14ac:dyDescent="0.25">
      <c r="T77" s="5"/>
      <c r="Y77" s="9"/>
      <c r="Z77" s="9"/>
      <c r="AA77" s="9"/>
      <c r="AB77" s="9"/>
      <c r="AC77" s="9"/>
      <c r="AD77" s="9"/>
      <c r="AE77" s="9"/>
    </row>
    <row r="78" spans="2:32" x14ac:dyDescent="0.25">
      <c r="T78" s="5"/>
      <c r="Y78" s="9"/>
      <c r="Z78" s="9"/>
      <c r="AA78" s="9"/>
      <c r="AB78" s="9"/>
      <c r="AC78" s="9"/>
      <c r="AD78" s="9"/>
      <c r="AE78" s="9"/>
    </row>
    <row r="79" spans="2:32" x14ac:dyDescent="0.25">
      <c r="T79" s="5"/>
    </row>
    <row r="80" spans="2:32" x14ac:dyDescent="0.25">
      <c r="T80" s="5"/>
    </row>
    <row r="81" spans="20:20" x14ac:dyDescent="0.25">
      <c r="T81" s="5"/>
    </row>
    <row r="82" spans="20:20" x14ac:dyDescent="0.25">
      <c r="T82" s="5"/>
    </row>
    <row r="83" spans="20:20" x14ac:dyDescent="0.25">
      <c r="T83" s="5"/>
    </row>
  </sheetData>
  <autoFilter ref="B6:AE60" xr:uid="{65FA6D9B-E0AF-46CD-BA0D-86BB75FE6AB0}"/>
  <hyperlinks>
    <hyperlink ref="P27" r:id="rId1" xr:uid="{61E2FC9E-063A-427C-9550-B1FFADD1BA4A}"/>
    <hyperlink ref="P13" r:id="rId2" xr:uid="{AE8AC07C-45B0-4393-996A-7F486DB04D40}"/>
    <hyperlink ref="P17" r:id="rId3" xr:uid="{B69A69B4-B68E-4E80-948B-49D671AB5644}"/>
    <hyperlink ref="P19" r:id="rId4" xr:uid="{E3E1DE91-F745-4D4E-AB74-93BEF8E2693D}"/>
    <hyperlink ref="P23" r:id="rId5" xr:uid="{E5A6B05F-80CA-4FB8-8A2C-C234B49E1CCF}"/>
    <hyperlink ref="P37" r:id="rId6" xr:uid="{99B0A368-84C2-4781-AB75-F41A0FCE7915}"/>
    <hyperlink ref="P35" r:id="rId7" xr:uid="{537E020E-B52A-455B-88E4-BC4730BF7FFF}"/>
    <hyperlink ref="P50" r:id="rId8" xr:uid="{C464472C-9F57-4F2C-96B8-6D05B6AF90C2}"/>
    <hyperlink ref="P51" r:id="rId9" xr:uid="{81979C59-27C7-4EEE-98CB-5F32ECDFAD27}"/>
  </hyperlinks>
  <pageMargins left="0.7" right="0.7" top="0.75" bottom="0.75" header="0.3" footer="0.3"/>
  <pageSetup paperSize="9" orientation="portrait" r:id="rId1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7FFB5-6CDA-4973-94CD-D964D2E23988}">
  <sheetPr>
    <tabColor rgb="FFFFFF00"/>
  </sheetPr>
  <dimension ref="B1:AK111"/>
  <sheetViews>
    <sheetView tabSelected="1" topLeftCell="A6" zoomScale="80" zoomScaleNormal="80" workbookViewId="0">
      <selection activeCell="J21" sqref="J21"/>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1" spans="2:36" x14ac:dyDescent="0.25">
      <c r="B1" s="2" t="s">
        <v>163</v>
      </c>
    </row>
    <row r="2" spans="2:36" x14ac:dyDescent="0.25">
      <c r="B2" s="2" t="s">
        <v>83</v>
      </c>
    </row>
    <row r="3" spans="2:36" x14ac:dyDescent="0.25">
      <c r="B3" s="2" t="s">
        <v>50</v>
      </c>
    </row>
    <row r="4" spans="2:36" x14ac:dyDescent="0.25">
      <c r="B4" s="2" t="s">
        <v>51</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52</v>
      </c>
      <c r="D7" s="1" t="s">
        <v>53</v>
      </c>
      <c r="E7" s="3"/>
      <c r="F7" s="3"/>
      <c r="G7" s="3"/>
      <c r="H7" s="3"/>
      <c r="J7" s="1" t="s">
        <v>160</v>
      </c>
      <c r="K7" s="4"/>
      <c r="L7" s="4"/>
      <c r="M7" s="4"/>
      <c r="N7" s="4"/>
      <c r="O7" s="4"/>
      <c r="P7" s="27"/>
      <c r="Q7" s="25">
        <v>0</v>
      </c>
      <c r="R7" s="25">
        <v>0</v>
      </c>
      <c r="S7" s="12">
        <f t="shared" ref="S7:S37" si="0">+Q7*R7</f>
        <v>0</v>
      </c>
      <c r="T7" s="5">
        <v>0</v>
      </c>
      <c r="U7" s="12">
        <f t="shared" ref="U7:U37" si="1">S7*(1-T7)</f>
        <v>0</v>
      </c>
      <c r="V7" s="25" t="s">
        <v>10</v>
      </c>
      <c r="W7" s="11">
        <f>IFERROR(VLOOKUP(V7,Curr!$B$2:$C$13,2,FALSE),0)</f>
        <v>11</v>
      </c>
      <c r="X7" s="12">
        <f t="shared" ref="X7:X37" si="2">U7*W7</f>
        <v>0</v>
      </c>
      <c r="Y7" s="26">
        <f t="shared" ref="Y7:Y37" si="3">Q7</f>
        <v>0</v>
      </c>
      <c r="Z7" s="12">
        <f t="shared" ref="Z7:Z70" si="4">+Y7*R7</f>
        <v>0</v>
      </c>
      <c r="AA7" s="4" t="s">
        <v>10</v>
      </c>
      <c r="AB7" s="11">
        <f>IFERROR(VLOOKUP(AA7,Curr!$B$2:$C$13,2,FALSE),0)</f>
        <v>11</v>
      </c>
      <c r="AC7" s="12">
        <f t="shared" ref="AC7:AC70" si="5">+Y7*AB7*R7</f>
        <v>0</v>
      </c>
      <c r="AD7" s="12">
        <f t="shared" ref="AD7:AD70" si="6">+AC7-X7</f>
        <v>0</v>
      </c>
      <c r="AE7" s="13">
        <f t="shared" ref="AE7:AE70" si="7">IFERROR(AD7/AC7,0)</f>
        <v>0</v>
      </c>
    </row>
    <row r="8" spans="2:36" x14ac:dyDescent="0.25">
      <c r="B8" s="4"/>
      <c r="C8" s="1" t="s">
        <v>52</v>
      </c>
      <c r="D8" s="1" t="s">
        <v>54</v>
      </c>
      <c r="E8" s="3"/>
      <c r="F8" s="3"/>
      <c r="G8" s="24"/>
      <c r="H8" s="24"/>
      <c r="J8" s="1" t="s">
        <v>100</v>
      </c>
      <c r="K8" s="4"/>
      <c r="L8" s="4"/>
      <c r="M8" s="4"/>
      <c r="N8" s="4"/>
      <c r="O8" s="4"/>
      <c r="P8" s="33"/>
      <c r="Q8" s="25">
        <v>0</v>
      </c>
      <c r="R8" s="25">
        <v>0</v>
      </c>
      <c r="S8" s="12">
        <f t="shared" si="0"/>
        <v>0</v>
      </c>
      <c r="T8" s="5">
        <v>0</v>
      </c>
      <c r="U8" s="12">
        <f t="shared" si="1"/>
        <v>0</v>
      </c>
      <c r="V8" s="25" t="s">
        <v>10</v>
      </c>
      <c r="W8" s="11">
        <f>IFERROR(VLOOKUP(V8,Curr!$B$2:$C$13,2,FALSE),0)</f>
        <v>11</v>
      </c>
      <c r="X8" s="12">
        <f t="shared" si="2"/>
        <v>0</v>
      </c>
      <c r="Y8" s="26">
        <f t="shared" si="3"/>
        <v>0</v>
      </c>
      <c r="Z8" s="12">
        <f t="shared" ref="Z8:Z37" si="8">+Y8*R8</f>
        <v>0</v>
      </c>
      <c r="AA8" s="4" t="s">
        <v>10</v>
      </c>
      <c r="AB8" s="11">
        <f>IFERROR(VLOOKUP(AA8,Curr!$B$2:$C$13,2,FALSE),0)</f>
        <v>11</v>
      </c>
      <c r="AC8" s="12">
        <f t="shared" ref="AC8:AC37" si="9">+Y8*AB8*R8</f>
        <v>0</v>
      </c>
      <c r="AD8" s="12">
        <f t="shared" ref="AD8:AD37" si="10">+AC8-X8</f>
        <v>0</v>
      </c>
      <c r="AE8" s="13">
        <f t="shared" ref="AE8:AE37" si="11">IFERROR(AD8/AC8,0)</f>
        <v>0</v>
      </c>
    </row>
    <row r="9" spans="2:36" x14ac:dyDescent="0.25">
      <c r="B9" s="4"/>
      <c r="C9" s="1" t="s">
        <v>52</v>
      </c>
      <c r="D9" s="1" t="s">
        <v>55</v>
      </c>
      <c r="E9" s="3"/>
      <c r="F9" s="3"/>
      <c r="G9" s="24"/>
      <c r="H9" s="24"/>
      <c r="J9" s="1" t="s">
        <v>170</v>
      </c>
      <c r="K9" s="4"/>
      <c r="L9" s="4"/>
      <c r="M9" s="4"/>
      <c r="N9" s="4"/>
      <c r="O9" s="4"/>
      <c r="P9" s="27"/>
      <c r="Q9" s="25">
        <v>200</v>
      </c>
      <c r="R9" s="25">
        <v>1</v>
      </c>
      <c r="S9" s="12">
        <f t="shared" si="0"/>
        <v>200</v>
      </c>
      <c r="T9" s="5">
        <v>0</v>
      </c>
      <c r="U9" s="12">
        <f t="shared" si="1"/>
        <v>200</v>
      </c>
      <c r="V9" s="25" t="s">
        <v>10</v>
      </c>
      <c r="W9" s="11">
        <f>IFERROR(VLOOKUP(V9,Curr!$B$2:$C$13,2,FALSE),0)</f>
        <v>11</v>
      </c>
      <c r="X9" s="12">
        <f t="shared" si="2"/>
        <v>2200</v>
      </c>
      <c r="Y9" s="26">
        <f>Q9/0.85</f>
        <v>235.29411764705884</v>
      </c>
      <c r="Z9" s="12">
        <f t="shared" si="8"/>
        <v>235.29411764705884</v>
      </c>
      <c r="AA9" s="4" t="s">
        <v>10</v>
      </c>
      <c r="AB9" s="11">
        <f>IFERROR(VLOOKUP(AA9,Curr!$B$2:$C$13,2,FALSE),0)</f>
        <v>11</v>
      </c>
      <c r="AC9" s="12">
        <f t="shared" si="9"/>
        <v>2588.2352941176473</v>
      </c>
      <c r="AD9" s="12">
        <f t="shared" si="10"/>
        <v>388.2352941176473</v>
      </c>
      <c r="AE9" s="13">
        <f t="shared" si="11"/>
        <v>0.15000000000000008</v>
      </c>
    </row>
    <row r="10" spans="2:36" x14ac:dyDescent="0.25">
      <c r="B10" s="4"/>
      <c r="C10" s="1" t="s">
        <v>52</v>
      </c>
      <c r="D10" s="1" t="s">
        <v>56</v>
      </c>
      <c r="E10" s="3"/>
      <c r="F10" s="3"/>
      <c r="G10" s="24"/>
      <c r="H10" s="24"/>
      <c r="J10" s="1" t="s">
        <v>79</v>
      </c>
      <c r="K10" s="4"/>
      <c r="L10" s="4"/>
      <c r="M10" s="4"/>
      <c r="N10" s="4"/>
      <c r="O10" s="4"/>
      <c r="P10" s="27"/>
      <c r="Q10" s="25">
        <v>0</v>
      </c>
      <c r="R10" s="25">
        <v>0</v>
      </c>
      <c r="S10" s="12">
        <f t="shared" si="0"/>
        <v>0</v>
      </c>
      <c r="T10" s="5">
        <v>0</v>
      </c>
      <c r="U10" s="12">
        <f t="shared" si="1"/>
        <v>0</v>
      </c>
      <c r="V10" s="25" t="s">
        <v>10</v>
      </c>
      <c r="W10" s="11">
        <f>IFERROR(VLOOKUP(V10,Curr!$B$2:$C$13,2,FALSE),0)</f>
        <v>11</v>
      </c>
      <c r="X10" s="12">
        <f t="shared" si="2"/>
        <v>0</v>
      </c>
      <c r="Y10" s="26">
        <f t="shared" si="3"/>
        <v>0</v>
      </c>
      <c r="Z10" s="12">
        <f t="shared" si="8"/>
        <v>0</v>
      </c>
      <c r="AA10" s="4" t="s">
        <v>10</v>
      </c>
      <c r="AB10" s="11">
        <f>IFERROR(VLOOKUP(AA10,Curr!$B$2:$C$13,2,FALSE),0)</f>
        <v>11</v>
      </c>
      <c r="AC10" s="12">
        <f t="shared" si="9"/>
        <v>0</v>
      </c>
      <c r="AD10" s="12">
        <f t="shared" si="10"/>
        <v>0</v>
      </c>
      <c r="AE10" s="13">
        <f t="shared" si="11"/>
        <v>0</v>
      </c>
    </row>
    <row r="11" spans="2:36" x14ac:dyDescent="0.25">
      <c r="B11" s="4"/>
      <c r="E11" s="3"/>
      <c r="F11" s="3"/>
      <c r="G11" s="24"/>
      <c r="H11" s="24"/>
      <c r="K11" s="4"/>
      <c r="L11" s="4"/>
      <c r="M11" s="4"/>
      <c r="N11" s="4"/>
      <c r="O11" s="4"/>
      <c r="P11" s="27"/>
      <c r="Q11" s="25"/>
      <c r="R11" s="25"/>
      <c r="S11" s="12">
        <f t="shared" si="0"/>
        <v>0</v>
      </c>
      <c r="T11" s="5">
        <v>0</v>
      </c>
      <c r="U11" s="12">
        <f t="shared" si="1"/>
        <v>0</v>
      </c>
      <c r="V11" s="25" t="s">
        <v>10</v>
      </c>
      <c r="W11" s="11">
        <f>IFERROR(VLOOKUP(V11,Curr!$B$2:$C$13,2,FALSE),0)</f>
        <v>11</v>
      </c>
      <c r="X11" s="12">
        <f t="shared" si="2"/>
        <v>0</v>
      </c>
      <c r="Y11" s="26">
        <f t="shared" si="3"/>
        <v>0</v>
      </c>
      <c r="Z11" s="12">
        <f t="shared" si="8"/>
        <v>0</v>
      </c>
      <c r="AA11" s="4" t="s">
        <v>10</v>
      </c>
      <c r="AB11" s="11">
        <f>IFERROR(VLOOKUP(AA11,Curr!$B$2:$C$13,2,FALSE),0)</f>
        <v>11</v>
      </c>
      <c r="AC11" s="12">
        <f t="shared" si="9"/>
        <v>0</v>
      </c>
      <c r="AD11" s="12">
        <f t="shared" si="10"/>
        <v>0</v>
      </c>
      <c r="AE11" s="13">
        <f t="shared" si="11"/>
        <v>0</v>
      </c>
    </row>
    <row r="12" spans="2:36" x14ac:dyDescent="0.25">
      <c r="B12" s="4"/>
      <c r="C12" s="1" t="s">
        <v>59</v>
      </c>
      <c r="D12" s="1" t="s">
        <v>54</v>
      </c>
      <c r="E12" s="3"/>
      <c r="F12" s="3"/>
      <c r="G12" s="24"/>
      <c r="H12" s="24"/>
      <c r="J12" s="1" t="s">
        <v>161</v>
      </c>
      <c r="K12" s="4"/>
      <c r="L12" s="4"/>
      <c r="M12" s="4"/>
      <c r="N12" s="4"/>
      <c r="O12" s="4"/>
      <c r="P12" s="33"/>
      <c r="Q12" s="25">
        <v>0</v>
      </c>
      <c r="R12" s="25">
        <v>0</v>
      </c>
      <c r="S12" s="12">
        <f t="shared" si="0"/>
        <v>0</v>
      </c>
      <c r="T12" s="5">
        <v>0</v>
      </c>
      <c r="U12" s="12">
        <f t="shared" si="1"/>
        <v>0</v>
      </c>
      <c r="V12" s="25" t="s">
        <v>10</v>
      </c>
      <c r="W12" s="11">
        <f>IFERROR(VLOOKUP(V12,Curr!$B$2:$C$13,2,FALSE),0)</f>
        <v>11</v>
      </c>
      <c r="X12" s="12">
        <f t="shared" si="2"/>
        <v>0</v>
      </c>
      <c r="Y12" s="26">
        <f t="shared" si="3"/>
        <v>0</v>
      </c>
      <c r="Z12" s="12">
        <f t="shared" si="8"/>
        <v>0</v>
      </c>
      <c r="AA12" s="4" t="s">
        <v>10</v>
      </c>
      <c r="AB12" s="11">
        <f>IFERROR(VLOOKUP(AA12,Curr!$B$2:$C$13,2,FALSE),0)</f>
        <v>11</v>
      </c>
      <c r="AC12" s="12">
        <f t="shared" si="9"/>
        <v>0</v>
      </c>
      <c r="AD12" s="12">
        <f t="shared" si="10"/>
        <v>0</v>
      </c>
      <c r="AE12" s="13">
        <f t="shared" si="11"/>
        <v>0</v>
      </c>
    </row>
    <row r="13" spans="2:36" x14ac:dyDescent="0.25">
      <c r="B13" s="4"/>
      <c r="C13" s="1" t="s">
        <v>59</v>
      </c>
      <c r="D13" s="1" t="s">
        <v>85</v>
      </c>
      <c r="E13" s="3"/>
      <c r="F13" s="3"/>
      <c r="G13" s="24"/>
      <c r="H13" s="24"/>
      <c r="J13" s="1" t="s">
        <v>162</v>
      </c>
      <c r="K13" s="4"/>
      <c r="L13" s="4"/>
      <c r="M13" s="4"/>
      <c r="N13" s="4"/>
      <c r="O13" s="4"/>
      <c r="P13" s="33" t="s">
        <v>171</v>
      </c>
      <c r="Q13" s="25">
        <v>2000</v>
      </c>
      <c r="R13" s="25">
        <v>2</v>
      </c>
      <c r="S13" s="12">
        <f t="shared" si="0"/>
        <v>4000</v>
      </c>
      <c r="T13" s="5">
        <v>0</v>
      </c>
      <c r="U13" s="12">
        <f t="shared" si="1"/>
        <v>4000</v>
      </c>
      <c r="V13" s="25" t="s">
        <v>8</v>
      </c>
      <c r="W13" s="11">
        <f>IFERROR(VLOOKUP(V13,Curr!$B$2:$C$13,2,FALSE),0)</f>
        <v>1</v>
      </c>
      <c r="X13" s="12">
        <f t="shared" si="2"/>
        <v>4000</v>
      </c>
      <c r="Y13" s="26">
        <f>Q13/11.3/0.8</f>
        <v>221.23893805309734</v>
      </c>
      <c r="Z13" s="12">
        <f t="shared" si="8"/>
        <v>442.47787610619469</v>
      </c>
      <c r="AA13" s="4" t="s">
        <v>10</v>
      </c>
      <c r="AB13" s="11">
        <f>IFERROR(VLOOKUP(AA13,Curr!$B$2:$C$13,2,FALSE),0)</f>
        <v>11</v>
      </c>
      <c r="AC13" s="12">
        <f t="shared" si="9"/>
        <v>4867.2566371681414</v>
      </c>
      <c r="AD13" s="12">
        <f t="shared" si="10"/>
        <v>867.25663716814142</v>
      </c>
      <c r="AE13" s="13">
        <f t="shared" si="11"/>
        <v>0.17818181818181816</v>
      </c>
    </row>
    <row r="14" spans="2:36" x14ac:dyDescent="0.25">
      <c r="B14" s="4"/>
      <c r="C14" s="1" t="s">
        <v>59</v>
      </c>
      <c r="D14" s="1" t="s">
        <v>54</v>
      </c>
      <c r="E14" s="3"/>
      <c r="F14" s="3"/>
      <c r="G14" s="24"/>
      <c r="H14" s="24"/>
      <c r="J14" s="1" t="s">
        <v>164</v>
      </c>
      <c r="K14" s="4"/>
      <c r="L14" s="4"/>
      <c r="M14" s="4"/>
      <c r="N14" s="4"/>
      <c r="O14" s="4"/>
      <c r="P14" s="33"/>
      <c r="Q14" s="25">
        <v>0</v>
      </c>
      <c r="R14" s="25">
        <v>0</v>
      </c>
      <c r="S14" s="12">
        <f t="shared" si="0"/>
        <v>0</v>
      </c>
      <c r="T14" s="5">
        <v>0</v>
      </c>
      <c r="U14" s="12">
        <f t="shared" si="1"/>
        <v>0</v>
      </c>
      <c r="V14" s="25" t="s">
        <v>10</v>
      </c>
      <c r="W14" s="11">
        <f>IFERROR(VLOOKUP(V14,Curr!$B$2:$C$13,2,FALSE),0)</f>
        <v>11</v>
      </c>
      <c r="X14" s="12">
        <f t="shared" si="2"/>
        <v>0</v>
      </c>
      <c r="Y14" s="26">
        <f t="shared" si="3"/>
        <v>0</v>
      </c>
      <c r="Z14" s="12">
        <f t="shared" si="8"/>
        <v>0</v>
      </c>
      <c r="AA14" s="4" t="s">
        <v>10</v>
      </c>
      <c r="AB14" s="11">
        <f>IFERROR(VLOOKUP(AA14,Curr!$B$2:$C$13,2,FALSE),0)</f>
        <v>11</v>
      </c>
      <c r="AC14" s="12">
        <f t="shared" si="9"/>
        <v>0</v>
      </c>
      <c r="AD14" s="12">
        <f t="shared" si="10"/>
        <v>0</v>
      </c>
      <c r="AE14" s="13">
        <f t="shared" si="11"/>
        <v>0</v>
      </c>
    </row>
    <row r="15" spans="2:36" x14ac:dyDescent="0.25">
      <c r="B15" s="4"/>
      <c r="C15" s="1" t="s">
        <v>59</v>
      </c>
      <c r="D15" s="1" t="s">
        <v>55</v>
      </c>
      <c r="E15" s="3"/>
      <c r="F15" s="3"/>
      <c r="G15" s="24"/>
      <c r="H15" s="24"/>
      <c r="J15" s="1" t="s">
        <v>167</v>
      </c>
      <c r="K15" s="4"/>
      <c r="L15" s="4"/>
      <c r="M15" s="4"/>
      <c r="N15" s="4"/>
      <c r="O15" s="4"/>
      <c r="P15" s="27"/>
      <c r="Q15" s="25">
        <v>600</v>
      </c>
      <c r="R15" s="25">
        <v>1</v>
      </c>
      <c r="S15" s="12">
        <f t="shared" si="0"/>
        <v>600</v>
      </c>
      <c r="T15" s="5">
        <v>0</v>
      </c>
      <c r="U15" s="12">
        <f t="shared" si="1"/>
        <v>600</v>
      </c>
      <c r="V15" s="25" t="s">
        <v>10</v>
      </c>
      <c r="W15" s="11">
        <f>IFERROR(VLOOKUP(V15,Curr!$B$2:$C$13,2,FALSE),0)</f>
        <v>11</v>
      </c>
      <c r="X15" s="12">
        <f t="shared" si="2"/>
        <v>6600</v>
      </c>
      <c r="Y15" s="26">
        <f>Q15/0.85</f>
        <v>705.88235294117646</v>
      </c>
      <c r="Z15" s="12">
        <f t="shared" si="8"/>
        <v>705.88235294117646</v>
      </c>
      <c r="AA15" s="4" t="s">
        <v>10</v>
      </c>
      <c r="AB15" s="11">
        <f>IFERROR(VLOOKUP(AA15,Curr!$B$2:$C$13,2,FALSE),0)</f>
        <v>11</v>
      </c>
      <c r="AC15" s="12">
        <f t="shared" si="9"/>
        <v>7764.7058823529414</v>
      </c>
      <c r="AD15" s="12">
        <f t="shared" si="10"/>
        <v>1164.7058823529414</v>
      </c>
      <c r="AE15" s="13">
        <f t="shared" si="11"/>
        <v>0.15000000000000002</v>
      </c>
    </row>
    <row r="16" spans="2:36" x14ac:dyDescent="0.25">
      <c r="B16" s="4"/>
      <c r="C16" s="1" t="s">
        <v>59</v>
      </c>
      <c r="D16" s="1" t="s">
        <v>56</v>
      </c>
      <c r="E16" s="3"/>
      <c r="F16" s="3"/>
      <c r="G16" s="24"/>
      <c r="H16" s="24"/>
      <c r="J16" s="1" t="s">
        <v>89</v>
      </c>
      <c r="K16" s="4"/>
      <c r="L16" s="4"/>
      <c r="M16" s="4"/>
      <c r="N16" s="4"/>
      <c r="O16" s="4"/>
      <c r="P16" s="33"/>
      <c r="Q16" s="25">
        <v>0</v>
      </c>
      <c r="R16" s="25">
        <v>0</v>
      </c>
      <c r="S16" s="12">
        <f t="shared" si="0"/>
        <v>0</v>
      </c>
      <c r="T16" s="5">
        <v>0</v>
      </c>
      <c r="U16" s="12">
        <f t="shared" si="1"/>
        <v>0</v>
      </c>
      <c r="V16" s="25" t="s">
        <v>10</v>
      </c>
      <c r="W16" s="11">
        <f>IFERROR(VLOOKUP(V16,Curr!$B$2:$C$13,2,FALSE),0)</f>
        <v>11</v>
      </c>
      <c r="X16" s="12">
        <f t="shared" si="2"/>
        <v>0</v>
      </c>
      <c r="Y16" s="26">
        <f t="shared" si="3"/>
        <v>0</v>
      </c>
      <c r="Z16" s="12">
        <f t="shared" si="8"/>
        <v>0</v>
      </c>
      <c r="AA16" s="4" t="s">
        <v>10</v>
      </c>
      <c r="AB16" s="11">
        <f>IFERROR(VLOOKUP(AA16,Curr!$B$2:$C$13,2,FALSE),0)</f>
        <v>11</v>
      </c>
      <c r="AC16" s="12">
        <f t="shared" si="9"/>
        <v>0</v>
      </c>
      <c r="AD16" s="12">
        <f t="shared" si="10"/>
        <v>0</v>
      </c>
      <c r="AE16" s="13">
        <f t="shared" si="11"/>
        <v>0</v>
      </c>
    </row>
    <row r="17" spans="2:31" x14ac:dyDescent="0.25">
      <c r="B17" s="4"/>
      <c r="C17" s="1" t="s">
        <v>59</v>
      </c>
      <c r="D17" s="1" t="s">
        <v>57</v>
      </c>
      <c r="E17" s="3"/>
      <c r="F17" s="3"/>
      <c r="G17" s="24"/>
      <c r="H17" s="24"/>
      <c r="J17" s="1" t="s">
        <v>172</v>
      </c>
      <c r="K17" s="4"/>
      <c r="L17" s="4"/>
      <c r="M17" s="4"/>
      <c r="N17" s="4"/>
      <c r="O17" s="4"/>
      <c r="P17" s="29" t="s">
        <v>173</v>
      </c>
      <c r="Q17" s="25">
        <v>2050</v>
      </c>
      <c r="R17" s="25">
        <v>2</v>
      </c>
      <c r="S17" s="12">
        <f t="shared" si="0"/>
        <v>4100</v>
      </c>
      <c r="T17" s="5">
        <v>0.2</v>
      </c>
      <c r="U17" s="12">
        <f t="shared" si="1"/>
        <v>3280</v>
      </c>
      <c r="V17" s="25" t="s">
        <v>8</v>
      </c>
      <c r="W17" s="11">
        <f>IFERROR(VLOOKUP(V17,Curr!$B$2:$C$13,2,FALSE),0)</f>
        <v>1</v>
      </c>
      <c r="X17" s="12">
        <f t="shared" si="2"/>
        <v>3280</v>
      </c>
      <c r="Y17" s="26">
        <f>Q17/11.3</f>
        <v>181.4159292035398</v>
      </c>
      <c r="Z17" s="12">
        <f t="shared" si="8"/>
        <v>362.83185840707961</v>
      </c>
      <c r="AA17" s="4" t="s">
        <v>10</v>
      </c>
      <c r="AB17" s="11">
        <f>IFERROR(VLOOKUP(AA17,Curr!$B$2:$C$13,2,FALSE),0)</f>
        <v>11</v>
      </c>
      <c r="AC17" s="12">
        <f t="shared" si="9"/>
        <v>3991.1504424778759</v>
      </c>
      <c r="AD17" s="12">
        <f t="shared" si="10"/>
        <v>711.15044247787591</v>
      </c>
      <c r="AE17" s="13">
        <f t="shared" si="11"/>
        <v>0.17818181818181814</v>
      </c>
    </row>
    <row r="18" spans="2:31" x14ac:dyDescent="0.25">
      <c r="B18" s="4"/>
      <c r="E18" s="3"/>
      <c r="F18" s="3"/>
      <c r="G18" s="24"/>
      <c r="H18" s="24"/>
      <c r="K18" s="4"/>
      <c r="L18" s="4"/>
      <c r="M18" s="4"/>
      <c r="N18" s="4"/>
      <c r="O18" s="4"/>
      <c r="P18" s="27"/>
      <c r="Q18" s="25"/>
      <c r="R18" s="25"/>
      <c r="S18" s="12">
        <f t="shared" si="0"/>
        <v>0</v>
      </c>
      <c r="T18" s="5">
        <v>0</v>
      </c>
      <c r="U18" s="12">
        <f t="shared" si="1"/>
        <v>0</v>
      </c>
      <c r="V18" s="25" t="s">
        <v>10</v>
      </c>
      <c r="W18" s="11">
        <f>IFERROR(VLOOKUP(V18,Curr!$B$2:$C$13,2,FALSE),0)</f>
        <v>11</v>
      </c>
      <c r="X18" s="12">
        <f t="shared" si="2"/>
        <v>0</v>
      </c>
      <c r="Y18" s="26">
        <f t="shared" si="3"/>
        <v>0</v>
      </c>
      <c r="Z18" s="12">
        <f t="shared" si="8"/>
        <v>0</v>
      </c>
      <c r="AA18" s="4" t="s">
        <v>10</v>
      </c>
      <c r="AB18" s="11">
        <f>IFERROR(VLOOKUP(AA18,Curr!$B$2:$C$13,2,FALSE),0)</f>
        <v>11</v>
      </c>
      <c r="AC18" s="12">
        <f t="shared" si="9"/>
        <v>0</v>
      </c>
      <c r="AD18" s="12">
        <f t="shared" si="10"/>
        <v>0</v>
      </c>
      <c r="AE18" s="13">
        <f t="shared" si="11"/>
        <v>0</v>
      </c>
    </row>
    <row r="19" spans="2:31" x14ac:dyDescent="0.25">
      <c r="B19" s="4"/>
      <c r="C19" s="1" t="s">
        <v>61</v>
      </c>
      <c r="D19" s="1" t="s">
        <v>57</v>
      </c>
      <c r="E19" s="3"/>
      <c r="F19" s="3"/>
      <c r="G19" s="24"/>
      <c r="H19" s="24"/>
      <c r="J19" s="1" t="s">
        <v>174</v>
      </c>
      <c r="K19" s="4"/>
      <c r="L19" s="4"/>
      <c r="M19" s="4"/>
      <c r="N19" s="4"/>
      <c r="O19" s="4"/>
      <c r="P19" s="33" t="s">
        <v>181</v>
      </c>
      <c r="Q19" s="25">
        <v>140</v>
      </c>
      <c r="R19" s="25">
        <v>2</v>
      </c>
      <c r="S19" s="12">
        <f t="shared" si="0"/>
        <v>280</v>
      </c>
      <c r="T19" s="5">
        <v>0.2</v>
      </c>
      <c r="U19" s="12">
        <f t="shared" si="1"/>
        <v>224</v>
      </c>
      <c r="V19" s="25" t="s">
        <v>10</v>
      </c>
      <c r="W19" s="11">
        <f>IFERROR(VLOOKUP(V19,Curr!$B$2:$C$13,2,FALSE),0)</f>
        <v>11</v>
      </c>
      <c r="X19" s="12">
        <f t="shared" si="2"/>
        <v>2464</v>
      </c>
      <c r="Y19" s="26">
        <f t="shared" si="3"/>
        <v>140</v>
      </c>
      <c r="Z19" s="12">
        <f t="shared" si="8"/>
        <v>280</v>
      </c>
      <c r="AA19" s="4" t="s">
        <v>10</v>
      </c>
      <c r="AB19" s="11">
        <f>IFERROR(VLOOKUP(AA19,Curr!$B$2:$C$13,2,FALSE),0)</f>
        <v>11</v>
      </c>
      <c r="AC19" s="12">
        <f t="shared" si="9"/>
        <v>3080</v>
      </c>
      <c r="AD19" s="12">
        <f t="shared" si="10"/>
        <v>616</v>
      </c>
      <c r="AE19" s="13">
        <f t="shared" si="11"/>
        <v>0.2</v>
      </c>
    </row>
    <row r="20" spans="2:31" x14ac:dyDescent="0.25">
      <c r="B20" s="4"/>
      <c r="C20" s="1" t="s">
        <v>61</v>
      </c>
      <c r="D20" s="1" t="s">
        <v>56</v>
      </c>
      <c r="E20" s="3"/>
      <c r="F20" s="3"/>
      <c r="G20" s="24"/>
      <c r="H20" s="24"/>
      <c r="J20" s="1" t="s">
        <v>89</v>
      </c>
      <c r="K20" s="4"/>
      <c r="L20" s="4"/>
      <c r="M20" s="4"/>
      <c r="N20" s="4"/>
      <c r="O20" s="4"/>
      <c r="P20" s="27"/>
      <c r="Q20" s="25">
        <v>0</v>
      </c>
      <c r="R20" s="25">
        <v>0</v>
      </c>
      <c r="S20" s="12">
        <f t="shared" si="0"/>
        <v>0</v>
      </c>
      <c r="T20" s="5">
        <v>0</v>
      </c>
      <c r="U20" s="12">
        <f t="shared" si="1"/>
        <v>0</v>
      </c>
      <c r="V20" s="25" t="s">
        <v>10</v>
      </c>
      <c r="W20" s="11">
        <f>IFERROR(VLOOKUP(V20,Curr!$B$2:$C$13,2,FALSE),0)</f>
        <v>11</v>
      </c>
      <c r="X20" s="12">
        <f t="shared" si="2"/>
        <v>0</v>
      </c>
      <c r="Y20" s="26">
        <f t="shared" si="3"/>
        <v>0</v>
      </c>
      <c r="Z20" s="12">
        <f t="shared" si="8"/>
        <v>0</v>
      </c>
      <c r="AA20" s="4" t="s">
        <v>10</v>
      </c>
      <c r="AB20" s="11">
        <f>IFERROR(VLOOKUP(AA20,Curr!$B$2:$C$13,2,FALSE),0)</f>
        <v>11</v>
      </c>
      <c r="AC20" s="12">
        <f t="shared" si="9"/>
        <v>0</v>
      </c>
      <c r="AD20" s="12">
        <f t="shared" si="10"/>
        <v>0</v>
      </c>
      <c r="AE20" s="13">
        <f t="shared" si="11"/>
        <v>0</v>
      </c>
    </row>
    <row r="21" spans="2:31" x14ac:dyDescent="0.25">
      <c r="B21" s="4"/>
      <c r="E21" s="3"/>
      <c r="F21" s="3"/>
      <c r="G21" s="24"/>
      <c r="H21" s="24"/>
      <c r="K21" s="4"/>
      <c r="L21" s="4"/>
      <c r="M21" s="4"/>
      <c r="N21" s="4"/>
      <c r="O21" s="4"/>
      <c r="P21" s="33"/>
      <c r="Q21" s="25"/>
      <c r="R21" s="25"/>
      <c r="S21" s="12">
        <f t="shared" si="0"/>
        <v>0</v>
      </c>
      <c r="T21" s="5">
        <v>0</v>
      </c>
      <c r="U21" s="12">
        <f t="shared" si="1"/>
        <v>0</v>
      </c>
      <c r="V21" s="25" t="s">
        <v>10</v>
      </c>
      <c r="W21" s="11">
        <f>IFERROR(VLOOKUP(V21,Curr!$B$2:$C$13,2,FALSE),0)</f>
        <v>11</v>
      </c>
      <c r="X21" s="12">
        <f t="shared" si="2"/>
        <v>0</v>
      </c>
      <c r="Y21" s="26">
        <f t="shared" si="3"/>
        <v>0</v>
      </c>
      <c r="Z21" s="12">
        <f t="shared" si="8"/>
        <v>0</v>
      </c>
      <c r="AA21" s="4" t="s">
        <v>10</v>
      </c>
      <c r="AB21" s="11">
        <f>IFERROR(VLOOKUP(AA21,Curr!$B$2:$C$13,2,FALSE),0)</f>
        <v>11</v>
      </c>
      <c r="AC21" s="12">
        <f t="shared" si="9"/>
        <v>0</v>
      </c>
      <c r="AD21" s="12">
        <f t="shared" si="10"/>
        <v>0</v>
      </c>
      <c r="AE21" s="13">
        <f t="shared" si="11"/>
        <v>0</v>
      </c>
    </row>
    <row r="22" spans="2:31" x14ac:dyDescent="0.25">
      <c r="B22" s="4"/>
      <c r="C22" s="1" t="s">
        <v>62</v>
      </c>
      <c r="D22" s="1" t="s">
        <v>54</v>
      </c>
      <c r="E22" s="3"/>
      <c r="F22" s="3"/>
      <c r="G22" s="24"/>
      <c r="H22" s="24"/>
      <c r="J22" s="1" t="s">
        <v>165</v>
      </c>
      <c r="K22" s="4"/>
      <c r="L22" s="4"/>
      <c r="M22" s="4"/>
      <c r="N22" s="4"/>
      <c r="O22" s="4"/>
      <c r="P22" s="27"/>
      <c r="Q22" s="25">
        <v>0</v>
      </c>
      <c r="R22" s="25">
        <v>0</v>
      </c>
      <c r="S22" s="12">
        <f t="shared" si="0"/>
        <v>0</v>
      </c>
      <c r="T22" s="5">
        <v>0</v>
      </c>
      <c r="U22" s="12">
        <f t="shared" si="1"/>
        <v>0</v>
      </c>
      <c r="V22" s="25" t="s">
        <v>10</v>
      </c>
      <c r="W22" s="11">
        <f>IFERROR(VLOOKUP(V22,Curr!$B$2:$C$13,2,FALSE),0)</f>
        <v>11</v>
      </c>
      <c r="X22" s="12">
        <f t="shared" si="2"/>
        <v>0</v>
      </c>
      <c r="Y22" s="26">
        <f t="shared" si="3"/>
        <v>0</v>
      </c>
      <c r="Z22" s="12">
        <f t="shared" si="8"/>
        <v>0</v>
      </c>
      <c r="AA22" s="4" t="s">
        <v>10</v>
      </c>
      <c r="AB22" s="11">
        <f>IFERROR(VLOOKUP(AA22,Curr!$B$2:$C$13,2,FALSE),0)</f>
        <v>11</v>
      </c>
      <c r="AC22" s="12">
        <f t="shared" si="9"/>
        <v>0</v>
      </c>
      <c r="AD22" s="12">
        <f t="shared" si="10"/>
        <v>0</v>
      </c>
      <c r="AE22" s="13">
        <f t="shared" si="11"/>
        <v>0</v>
      </c>
    </row>
    <row r="23" spans="2:31" x14ac:dyDescent="0.25">
      <c r="B23" s="4"/>
      <c r="C23" s="1" t="s">
        <v>62</v>
      </c>
      <c r="D23" s="1" t="s">
        <v>58</v>
      </c>
      <c r="E23" s="3"/>
      <c r="F23" s="3"/>
      <c r="G23" s="24"/>
      <c r="H23" s="24"/>
      <c r="J23" s="1" t="s">
        <v>183</v>
      </c>
      <c r="K23" s="4"/>
      <c r="L23" s="4"/>
      <c r="M23" s="4"/>
      <c r="N23" s="4"/>
      <c r="O23" s="4"/>
      <c r="P23" s="33" t="s">
        <v>184</v>
      </c>
      <c r="Q23" s="25">
        <v>300</v>
      </c>
      <c r="R23" s="25">
        <v>1</v>
      </c>
      <c r="S23" s="12">
        <f t="shared" si="0"/>
        <v>300</v>
      </c>
      <c r="T23" s="5">
        <v>0</v>
      </c>
      <c r="U23" s="12">
        <f t="shared" si="1"/>
        <v>300</v>
      </c>
      <c r="V23" s="25" t="s">
        <v>8</v>
      </c>
      <c r="W23" s="11">
        <f>IFERROR(VLOOKUP(V23,Curr!$B$2:$C$13,2,FALSE),0)</f>
        <v>1</v>
      </c>
      <c r="X23" s="12">
        <f t="shared" si="2"/>
        <v>300</v>
      </c>
      <c r="Y23" s="26">
        <f>Q23/11.3/0.6</f>
        <v>44.247787610619469</v>
      </c>
      <c r="Z23" s="12">
        <f t="shared" si="8"/>
        <v>44.247787610619469</v>
      </c>
      <c r="AA23" s="4" t="s">
        <v>10</v>
      </c>
      <c r="AB23" s="11">
        <f>IFERROR(VLOOKUP(AA23,Curr!$B$2:$C$13,2,FALSE),0)</f>
        <v>11</v>
      </c>
      <c r="AC23" s="12">
        <f t="shared" si="9"/>
        <v>486.72566371681415</v>
      </c>
      <c r="AD23" s="12">
        <f t="shared" si="10"/>
        <v>186.72566371681415</v>
      </c>
      <c r="AE23" s="13">
        <f t="shared" si="11"/>
        <v>0.38363636363636361</v>
      </c>
    </row>
    <row r="24" spans="2:31" x14ac:dyDescent="0.25">
      <c r="B24" s="4"/>
      <c r="C24" s="1" t="s">
        <v>62</v>
      </c>
      <c r="D24" s="1" t="s">
        <v>54</v>
      </c>
      <c r="E24" s="3"/>
      <c r="F24" s="3"/>
      <c r="G24" s="24"/>
      <c r="H24" s="24"/>
      <c r="J24" s="1" t="s">
        <v>166</v>
      </c>
      <c r="K24" s="4"/>
      <c r="L24" s="4"/>
      <c r="M24" s="4"/>
      <c r="N24" s="4"/>
      <c r="O24" s="4"/>
      <c r="P24" s="27"/>
      <c r="Q24" s="25">
        <v>0</v>
      </c>
      <c r="R24" s="25">
        <v>0</v>
      </c>
      <c r="S24" s="12">
        <f t="shared" si="0"/>
        <v>0</v>
      </c>
      <c r="T24" s="5">
        <v>0</v>
      </c>
      <c r="U24" s="12">
        <f t="shared" si="1"/>
        <v>0</v>
      </c>
      <c r="V24" s="25" t="s">
        <v>10</v>
      </c>
      <c r="W24" s="11">
        <f>IFERROR(VLOOKUP(V24,Curr!$B$2:$C$13,2,FALSE),0)</f>
        <v>11</v>
      </c>
      <c r="X24" s="12">
        <f t="shared" si="2"/>
        <v>0</v>
      </c>
      <c r="Y24" s="26">
        <f t="shared" si="3"/>
        <v>0</v>
      </c>
      <c r="Z24" s="12">
        <f t="shared" si="8"/>
        <v>0</v>
      </c>
      <c r="AA24" s="4" t="s">
        <v>10</v>
      </c>
      <c r="AB24" s="11">
        <f>IFERROR(VLOOKUP(AA24,Curr!$B$2:$C$13,2,FALSE),0)</f>
        <v>11</v>
      </c>
      <c r="AC24" s="12">
        <f t="shared" si="9"/>
        <v>0</v>
      </c>
      <c r="AD24" s="12">
        <f t="shared" si="10"/>
        <v>0</v>
      </c>
      <c r="AE24" s="13">
        <f t="shared" si="11"/>
        <v>0</v>
      </c>
    </row>
    <row r="25" spans="2:31" x14ac:dyDescent="0.25">
      <c r="B25" s="4"/>
      <c r="C25" s="1" t="s">
        <v>62</v>
      </c>
      <c r="D25" s="1" t="s">
        <v>55</v>
      </c>
      <c r="E25" s="3"/>
      <c r="F25" s="3"/>
      <c r="G25" s="24"/>
      <c r="H25" s="24"/>
      <c r="J25" s="1" t="s">
        <v>185</v>
      </c>
      <c r="K25" s="4"/>
      <c r="L25" s="4"/>
      <c r="M25" s="4"/>
      <c r="N25" s="4"/>
      <c r="O25" s="4"/>
      <c r="P25" s="33"/>
      <c r="Q25" s="25">
        <v>200</v>
      </c>
      <c r="R25" s="25">
        <v>1</v>
      </c>
      <c r="S25" s="12">
        <f t="shared" si="0"/>
        <v>200</v>
      </c>
      <c r="T25" s="5">
        <v>0</v>
      </c>
      <c r="U25" s="12">
        <f t="shared" si="1"/>
        <v>200</v>
      </c>
      <c r="V25" s="25" t="s">
        <v>10</v>
      </c>
      <c r="W25" s="11">
        <f>IFERROR(VLOOKUP(V25,Curr!$B$2:$C$13,2,FALSE),0)</f>
        <v>11</v>
      </c>
      <c r="X25" s="12">
        <f t="shared" si="2"/>
        <v>2200</v>
      </c>
      <c r="Y25" s="26">
        <f>Q25/0.8</f>
        <v>250</v>
      </c>
      <c r="Z25" s="12">
        <f t="shared" si="8"/>
        <v>250</v>
      </c>
      <c r="AA25" s="4" t="s">
        <v>10</v>
      </c>
      <c r="AB25" s="11">
        <f>IFERROR(VLOOKUP(AA25,Curr!$B$2:$C$13,2,FALSE),0)</f>
        <v>11</v>
      </c>
      <c r="AC25" s="12">
        <f t="shared" si="9"/>
        <v>2750</v>
      </c>
      <c r="AD25" s="12">
        <f t="shared" si="10"/>
        <v>550</v>
      </c>
      <c r="AE25" s="13">
        <f t="shared" si="11"/>
        <v>0.2</v>
      </c>
    </row>
    <row r="26" spans="2:31" x14ac:dyDescent="0.25">
      <c r="B26" s="4"/>
      <c r="C26" s="1" t="s">
        <v>62</v>
      </c>
      <c r="D26" s="1" t="s">
        <v>56</v>
      </c>
      <c r="E26" s="3"/>
      <c r="F26" s="3"/>
      <c r="G26" s="24"/>
      <c r="H26" s="24"/>
      <c r="J26" s="1" t="s">
        <v>88</v>
      </c>
      <c r="K26" s="4"/>
      <c r="L26" s="4"/>
      <c r="M26" s="4"/>
      <c r="N26" s="4"/>
      <c r="O26" s="4"/>
      <c r="P26" s="27"/>
      <c r="Q26" s="25">
        <v>0</v>
      </c>
      <c r="R26" s="25">
        <v>0</v>
      </c>
      <c r="S26" s="12">
        <f t="shared" si="0"/>
        <v>0</v>
      </c>
      <c r="T26" s="5">
        <v>0</v>
      </c>
      <c r="U26" s="12">
        <f t="shared" si="1"/>
        <v>0</v>
      </c>
      <c r="V26" s="25" t="s">
        <v>10</v>
      </c>
      <c r="W26" s="11">
        <f>IFERROR(VLOOKUP(V26,Curr!$B$2:$C$13,2,FALSE),0)</f>
        <v>11</v>
      </c>
      <c r="X26" s="12">
        <f t="shared" si="2"/>
        <v>0</v>
      </c>
      <c r="Y26" s="26">
        <f t="shared" si="3"/>
        <v>0</v>
      </c>
      <c r="Z26" s="12">
        <f t="shared" si="8"/>
        <v>0</v>
      </c>
      <c r="AA26" s="4" t="s">
        <v>10</v>
      </c>
      <c r="AB26" s="11">
        <f>IFERROR(VLOOKUP(AA26,Curr!$B$2:$C$13,2,FALSE),0)</f>
        <v>11</v>
      </c>
      <c r="AC26" s="12">
        <f t="shared" si="9"/>
        <v>0</v>
      </c>
      <c r="AD26" s="12">
        <f t="shared" si="10"/>
        <v>0</v>
      </c>
      <c r="AE26" s="13">
        <f t="shared" si="11"/>
        <v>0</v>
      </c>
    </row>
    <row r="27" spans="2:31" x14ac:dyDescent="0.25">
      <c r="B27" s="4"/>
      <c r="C27" s="1" t="s">
        <v>62</v>
      </c>
      <c r="D27" s="1" t="s">
        <v>57</v>
      </c>
      <c r="E27" s="3"/>
      <c r="F27" s="3"/>
      <c r="G27" s="24"/>
      <c r="H27" s="24"/>
      <c r="J27" s="1" t="s">
        <v>182</v>
      </c>
      <c r="K27" s="4"/>
      <c r="L27" s="4"/>
      <c r="M27" s="4"/>
      <c r="N27" s="4"/>
      <c r="O27" s="4"/>
      <c r="P27" s="33" t="s">
        <v>90</v>
      </c>
      <c r="Q27" s="25">
        <v>1495</v>
      </c>
      <c r="R27" s="25">
        <v>2</v>
      </c>
      <c r="S27" s="12">
        <f t="shared" si="0"/>
        <v>2990</v>
      </c>
      <c r="T27" s="5">
        <v>0</v>
      </c>
      <c r="U27" s="12">
        <f t="shared" si="1"/>
        <v>2990</v>
      </c>
      <c r="V27" s="25" t="s">
        <v>8</v>
      </c>
      <c r="W27" s="11">
        <f>IFERROR(VLOOKUP(V27,Curr!$B$2:$C$13,2,FALSE),0)</f>
        <v>1</v>
      </c>
      <c r="X27" s="12">
        <f t="shared" si="2"/>
        <v>2990</v>
      </c>
      <c r="Y27" s="26">
        <f>Q27/11.3/0.8</f>
        <v>165.37610619469024</v>
      </c>
      <c r="Z27" s="12">
        <f t="shared" si="8"/>
        <v>330.75221238938047</v>
      </c>
      <c r="AA27" s="4" t="s">
        <v>10</v>
      </c>
      <c r="AB27" s="11">
        <f>IFERROR(VLOOKUP(AA27,Curr!$B$2:$C$13,2,FALSE),0)</f>
        <v>11</v>
      </c>
      <c r="AC27" s="12">
        <f t="shared" si="9"/>
        <v>3638.2743362831852</v>
      </c>
      <c r="AD27" s="12">
        <f t="shared" si="10"/>
        <v>648.27433628318522</v>
      </c>
      <c r="AE27" s="13">
        <f t="shared" si="11"/>
        <v>0.17818181818181805</v>
      </c>
    </row>
    <row r="28" spans="2:31" x14ac:dyDescent="0.25">
      <c r="B28" s="4"/>
      <c r="E28" s="3"/>
      <c r="F28" s="3"/>
      <c r="G28" s="24"/>
      <c r="H28" s="24"/>
      <c r="K28" s="4"/>
      <c r="L28" s="4"/>
      <c r="M28" s="4"/>
      <c r="N28" s="4"/>
      <c r="O28" s="4"/>
      <c r="P28" s="29"/>
      <c r="Q28" s="25"/>
      <c r="R28" s="25"/>
      <c r="S28" s="12">
        <f t="shared" si="0"/>
        <v>0</v>
      </c>
      <c r="T28" s="5">
        <v>0</v>
      </c>
      <c r="U28" s="12">
        <f t="shared" si="1"/>
        <v>0</v>
      </c>
      <c r="V28" s="25" t="s">
        <v>10</v>
      </c>
      <c r="W28" s="11">
        <f>IFERROR(VLOOKUP(V28,Curr!$B$2:$C$13,2,FALSE),0)</f>
        <v>11</v>
      </c>
      <c r="X28" s="12">
        <f t="shared" si="2"/>
        <v>0</v>
      </c>
      <c r="Y28" s="26">
        <f t="shared" si="3"/>
        <v>0</v>
      </c>
      <c r="Z28" s="12">
        <f t="shared" si="8"/>
        <v>0</v>
      </c>
      <c r="AA28" s="4" t="s">
        <v>10</v>
      </c>
      <c r="AB28" s="11">
        <f>IFERROR(VLOOKUP(AA28,Curr!$B$2:$C$13,2,FALSE),0)</f>
        <v>11</v>
      </c>
      <c r="AC28" s="12">
        <f t="shared" si="9"/>
        <v>0</v>
      </c>
      <c r="AD28" s="12">
        <f t="shared" si="10"/>
        <v>0</v>
      </c>
      <c r="AE28" s="13">
        <f t="shared" si="11"/>
        <v>0</v>
      </c>
    </row>
    <row r="29" spans="2:31" x14ac:dyDescent="0.25">
      <c r="B29" s="4"/>
      <c r="C29" s="1" t="s">
        <v>63</v>
      </c>
      <c r="D29" s="1" t="s">
        <v>54</v>
      </c>
      <c r="E29" s="3"/>
      <c r="F29" s="3"/>
      <c r="G29" s="24"/>
      <c r="H29" s="24"/>
      <c r="J29" s="1" t="s">
        <v>187</v>
      </c>
      <c r="K29" s="4"/>
      <c r="L29" s="4"/>
      <c r="M29" s="4"/>
      <c r="N29" s="4"/>
      <c r="O29" s="4"/>
      <c r="P29" s="33"/>
      <c r="Q29" s="25">
        <v>0</v>
      </c>
      <c r="R29" s="25">
        <v>0</v>
      </c>
      <c r="S29" s="12">
        <f t="shared" si="0"/>
        <v>0</v>
      </c>
      <c r="T29" s="5">
        <v>0</v>
      </c>
      <c r="U29" s="12">
        <f t="shared" si="1"/>
        <v>0</v>
      </c>
      <c r="V29" s="25" t="s">
        <v>10</v>
      </c>
      <c r="W29" s="11">
        <f>IFERROR(VLOOKUP(V29,Curr!$B$2:$C$13,2,FALSE),0)</f>
        <v>11</v>
      </c>
      <c r="X29" s="12">
        <f t="shared" si="2"/>
        <v>0</v>
      </c>
      <c r="Y29" s="26">
        <f t="shared" si="3"/>
        <v>0</v>
      </c>
      <c r="Z29" s="12">
        <f t="shared" si="8"/>
        <v>0</v>
      </c>
      <c r="AA29" s="4" t="s">
        <v>10</v>
      </c>
      <c r="AB29" s="11">
        <f>IFERROR(VLOOKUP(AA29,Curr!$B$2:$C$13,2,FALSE),0)</f>
        <v>11</v>
      </c>
      <c r="AC29" s="12">
        <f t="shared" si="9"/>
        <v>0</v>
      </c>
      <c r="AD29" s="12">
        <f t="shared" si="10"/>
        <v>0</v>
      </c>
      <c r="AE29" s="13">
        <f t="shared" si="11"/>
        <v>0</v>
      </c>
    </row>
    <row r="30" spans="2:31" x14ac:dyDescent="0.25">
      <c r="B30" s="4"/>
      <c r="C30" s="1" t="s">
        <v>63</v>
      </c>
      <c r="D30" s="1" t="s">
        <v>86</v>
      </c>
      <c r="E30" s="3"/>
      <c r="F30" s="3"/>
      <c r="G30" s="24"/>
      <c r="H30" s="24"/>
      <c r="J30" s="1" t="s">
        <v>186</v>
      </c>
      <c r="K30" s="4"/>
      <c r="L30" s="4"/>
      <c r="M30" s="4"/>
      <c r="N30" s="4"/>
      <c r="O30" s="4"/>
      <c r="P30" s="27"/>
      <c r="Q30" s="25">
        <v>790</v>
      </c>
      <c r="R30" s="25">
        <v>2</v>
      </c>
      <c r="S30" s="12">
        <f t="shared" si="0"/>
        <v>1580</v>
      </c>
      <c r="T30" s="5">
        <v>0.2</v>
      </c>
      <c r="U30" s="12">
        <f t="shared" si="1"/>
        <v>1264</v>
      </c>
      <c r="V30" s="25" t="s">
        <v>8</v>
      </c>
      <c r="W30" s="11">
        <f>IFERROR(VLOOKUP(V30,Curr!$B$2:$C$13,2,FALSE),0)</f>
        <v>1</v>
      </c>
      <c r="X30" s="12">
        <f t="shared" si="2"/>
        <v>1264</v>
      </c>
      <c r="Y30" s="26">
        <f>Q30/11.3</f>
        <v>69.911504424778755</v>
      </c>
      <c r="Z30" s="12">
        <f t="shared" si="8"/>
        <v>139.82300884955751</v>
      </c>
      <c r="AA30" s="4" t="s">
        <v>10</v>
      </c>
      <c r="AB30" s="11">
        <f>IFERROR(VLOOKUP(AA30,Curr!$B$2:$C$13,2,FALSE),0)</f>
        <v>11</v>
      </c>
      <c r="AC30" s="12">
        <f t="shared" si="9"/>
        <v>1538.0530973451325</v>
      </c>
      <c r="AD30" s="12">
        <f t="shared" si="10"/>
        <v>274.05309734513253</v>
      </c>
      <c r="AE30" s="13">
        <f t="shared" si="11"/>
        <v>0.17818181818181808</v>
      </c>
    </row>
    <row r="31" spans="2:31" x14ac:dyDescent="0.25">
      <c r="B31" s="4"/>
      <c r="C31" s="1" t="s">
        <v>63</v>
      </c>
      <c r="D31" s="1" t="s">
        <v>54</v>
      </c>
      <c r="E31" s="3"/>
      <c r="F31" s="3"/>
      <c r="G31" s="24"/>
      <c r="H31" s="24"/>
      <c r="J31" s="1" t="s">
        <v>168</v>
      </c>
      <c r="K31" s="4"/>
      <c r="L31" s="4"/>
      <c r="M31" s="4"/>
      <c r="N31" s="4"/>
      <c r="O31" s="4"/>
      <c r="P31" s="27"/>
      <c r="Q31" s="25">
        <v>0</v>
      </c>
      <c r="R31" s="25">
        <v>0</v>
      </c>
      <c r="S31" s="12">
        <f t="shared" si="0"/>
        <v>0</v>
      </c>
      <c r="T31" s="5">
        <v>0</v>
      </c>
      <c r="U31" s="12">
        <f t="shared" si="1"/>
        <v>0</v>
      </c>
      <c r="V31" s="25" t="s">
        <v>10</v>
      </c>
      <c r="W31" s="11">
        <f>IFERROR(VLOOKUP(V31,Curr!$B$2:$C$13,2,FALSE),0)</f>
        <v>11</v>
      </c>
      <c r="X31" s="12">
        <f t="shared" si="2"/>
        <v>0</v>
      </c>
      <c r="Y31" s="26">
        <f t="shared" si="3"/>
        <v>0</v>
      </c>
      <c r="Z31" s="12">
        <f t="shared" si="8"/>
        <v>0</v>
      </c>
      <c r="AA31" s="4" t="s">
        <v>10</v>
      </c>
      <c r="AB31" s="11">
        <f>IFERROR(VLOOKUP(AA31,Curr!$B$2:$C$13,2,FALSE),0)</f>
        <v>11</v>
      </c>
      <c r="AC31" s="12">
        <f t="shared" si="9"/>
        <v>0</v>
      </c>
      <c r="AD31" s="12">
        <f t="shared" si="10"/>
        <v>0</v>
      </c>
      <c r="AE31" s="13">
        <f t="shared" si="11"/>
        <v>0</v>
      </c>
    </row>
    <row r="32" spans="2:31" x14ac:dyDescent="0.25">
      <c r="B32" s="4"/>
      <c r="C32" s="1" t="s">
        <v>63</v>
      </c>
      <c r="D32" s="1" t="s">
        <v>55</v>
      </c>
      <c r="E32" s="3"/>
      <c r="F32" s="3"/>
      <c r="G32" s="24"/>
      <c r="H32" s="24"/>
      <c r="J32" s="1" t="s">
        <v>169</v>
      </c>
      <c r="K32" s="4"/>
      <c r="L32" s="4"/>
      <c r="M32" s="4"/>
      <c r="N32" s="4"/>
      <c r="O32" s="4"/>
      <c r="P32" s="27"/>
      <c r="Q32" s="25">
        <v>500</v>
      </c>
      <c r="R32" s="25">
        <v>1</v>
      </c>
      <c r="S32" s="12">
        <f t="shared" si="0"/>
        <v>500</v>
      </c>
      <c r="T32" s="5">
        <v>0</v>
      </c>
      <c r="U32" s="12">
        <f t="shared" si="1"/>
        <v>500</v>
      </c>
      <c r="V32" s="25" t="s">
        <v>10</v>
      </c>
      <c r="W32" s="11">
        <f>IFERROR(VLOOKUP(V32,Curr!$B$2:$C$13,2,FALSE),0)</f>
        <v>11</v>
      </c>
      <c r="X32" s="12">
        <f t="shared" si="2"/>
        <v>5500</v>
      </c>
      <c r="Y32" s="26">
        <f>Q32/0.85</f>
        <v>588.23529411764707</v>
      </c>
      <c r="Z32" s="12">
        <f t="shared" si="8"/>
        <v>588.23529411764707</v>
      </c>
      <c r="AA32" s="4" t="s">
        <v>10</v>
      </c>
      <c r="AB32" s="11">
        <f>IFERROR(VLOOKUP(AA32,Curr!$B$2:$C$13,2,FALSE),0)</f>
        <v>11</v>
      </c>
      <c r="AC32" s="12">
        <f t="shared" si="9"/>
        <v>6470.588235294118</v>
      </c>
      <c r="AD32" s="12">
        <f t="shared" si="10"/>
        <v>970.58823529411802</v>
      </c>
      <c r="AE32" s="13">
        <f t="shared" si="11"/>
        <v>0.15000000000000005</v>
      </c>
    </row>
    <row r="33" spans="2:31" x14ac:dyDescent="0.25">
      <c r="B33" s="4"/>
      <c r="C33" s="1" t="s">
        <v>63</v>
      </c>
      <c r="D33" s="1" t="s">
        <v>56</v>
      </c>
      <c r="E33" s="3"/>
      <c r="F33" s="3"/>
      <c r="G33" s="24"/>
      <c r="H33" s="24"/>
      <c r="J33" s="1" t="s">
        <v>91</v>
      </c>
      <c r="K33" s="4"/>
      <c r="L33" s="4"/>
      <c r="M33" s="4"/>
      <c r="N33" s="4"/>
      <c r="O33" s="4"/>
      <c r="P33" s="33"/>
      <c r="Q33" s="25">
        <v>0</v>
      </c>
      <c r="R33" s="25">
        <v>0</v>
      </c>
      <c r="S33" s="12">
        <f t="shared" si="0"/>
        <v>0</v>
      </c>
      <c r="T33" s="5">
        <v>0</v>
      </c>
      <c r="U33" s="12">
        <f t="shared" si="1"/>
        <v>0</v>
      </c>
      <c r="V33" s="25" t="s">
        <v>10</v>
      </c>
      <c r="W33" s="11">
        <f>IFERROR(VLOOKUP(V33,Curr!$B$2:$C$13,2,FALSE),0)</f>
        <v>11</v>
      </c>
      <c r="X33" s="12">
        <f t="shared" si="2"/>
        <v>0</v>
      </c>
      <c r="Y33" s="26">
        <f t="shared" si="3"/>
        <v>0</v>
      </c>
      <c r="Z33" s="12">
        <f t="shared" si="8"/>
        <v>0</v>
      </c>
      <c r="AA33" s="4" t="s">
        <v>10</v>
      </c>
      <c r="AB33" s="11">
        <f>IFERROR(VLOOKUP(AA33,Curr!$B$2:$C$13,2,FALSE),0)</f>
        <v>11</v>
      </c>
      <c r="AC33" s="12">
        <f t="shared" si="9"/>
        <v>0</v>
      </c>
      <c r="AD33" s="12">
        <f t="shared" si="10"/>
        <v>0</v>
      </c>
      <c r="AE33" s="13">
        <f t="shared" si="11"/>
        <v>0</v>
      </c>
    </row>
    <row r="34" spans="2:31" x14ac:dyDescent="0.25">
      <c r="B34" s="4"/>
      <c r="E34" s="3"/>
      <c r="F34" s="3"/>
      <c r="G34" s="24"/>
      <c r="H34" s="24"/>
      <c r="K34" s="4"/>
      <c r="L34" s="4"/>
      <c r="M34" s="4"/>
      <c r="N34" s="4"/>
      <c r="O34" s="4"/>
      <c r="P34" s="27"/>
      <c r="Q34" s="25"/>
      <c r="R34" s="25"/>
      <c r="S34" s="12">
        <f t="shared" si="0"/>
        <v>0</v>
      </c>
      <c r="T34" s="5">
        <v>0</v>
      </c>
      <c r="U34" s="12">
        <f t="shared" si="1"/>
        <v>0</v>
      </c>
      <c r="V34" s="25" t="s">
        <v>10</v>
      </c>
      <c r="W34" s="11">
        <f>IFERROR(VLOOKUP(V34,Curr!$B$2:$C$13,2,FALSE),0)</f>
        <v>11</v>
      </c>
      <c r="X34" s="12">
        <f t="shared" si="2"/>
        <v>0</v>
      </c>
      <c r="Y34" s="26">
        <f t="shared" si="3"/>
        <v>0</v>
      </c>
      <c r="Z34" s="12">
        <f t="shared" si="8"/>
        <v>0</v>
      </c>
      <c r="AA34" s="4" t="s">
        <v>10</v>
      </c>
      <c r="AB34" s="11">
        <f>IFERROR(VLOOKUP(AA34,Curr!$B$2:$C$13,2,FALSE),0)</f>
        <v>11</v>
      </c>
      <c r="AC34" s="12">
        <f t="shared" si="9"/>
        <v>0</v>
      </c>
      <c r="AD34" s="12">
        <f t="shared" si="10"/>
        <v>0</v>
      </c>
      <c r="AE34" s="13">
        <f t="shared" si="11"/>
        <v>0</v>
      </c>
    </row>
    <row r="35" spans="2:31" x14ac:dyDescent="0.25">
      <c r="B35" s="4"/>
      <c r="C35" s="1" t="s">
        <v>64</v>
      </c>
      <c r="D35" s="1" t="s">
        <v>57</v>
      </c>
      <c r="E35" s="3"/>
      <c r="F35" s="3"/>
      <c r="G35" s="24"/>
      <c r="H35" s="24"/>
      <c r="J35" s="1" t="s">
        <v>190</v>
      </c>
      <c r="K35" s="4"/>
      <c r="L35" s="4"/>
      <c r="M35" s="4"/>
      <c r="N35" s="4"/>
      <c r="O35" s="4" t="s">
        <v>42</v>
      </c>
      <c r="P35" s="33" t="s">
        <v>191</v>
      </c>
      <c r="Q35" s="25">
        <v>1695</v>
      </c>
      <c r="R35" s="25">
        <v>2</v>
      </c>
      <c r="S35" s="12">
        <f t="shared" si="0"/>
        <v>3390</v>
      </c>
      <c r="T35" s="5">
        <v>0.2</v>
      </c>
      <c r="U35" s="12">
        <f t="shared" si="1"/>
        <v>2712</v>
      </c>
      <c r="V35" s="25" t="s">
        <v>8</v>
      </c>
      <c r="W35" s="11">
        <f>IFERROR(VLOOKUP(V35,Curr!$B$2:$C$13,2,FALSE),0)</f>
        <v>1</v>
      </c>
      <c r="X35" s="12">
        <f t="shared" si="2"/>
        <v>2712</v>
      </c>
      <c r="Y35" s="26">
        <f>Q35/11.3</f>
        <v>150</v>
      </c>
      <c r="Z35" s="12">
        <f t="shared" si="8"/>
        <v>300</v>
      </c>
      <c r="AA35" s="4" t="s">
        <v>10</v>
      </c>
      <c r="AB35" s="11">
        <f>IFERROR(VLOOKUP(AA35,Curr!$B$2:$C$13,2,FALSE),0)</f>
        <v>11</v>
      </c>
      <c r="AC35" s="12">
        <f t="shared" si="9"/>
        <v>3300</v>
      </c>
      <c r="AD35" s="12">
        <f t="shared" si="10"/>
        <v>588</v>
      </c>
      <c r="AE35" s="13">
        <f t="shared" si="11"/>
        <v>0.17818181818181819</v>
      </c>
    </row>
    <row r="36" spans="2:31" x14ac:dyDescent="0.25">
      <c r="B36" s="4"/>
      <c r="C36" s="1" t="s">
        <v>64</v>
      </c>
      <c r="D36" s="1" t="s">
        <v>56</v>
      </c>
      <c r="E36" s="3"/>
      <c r="F36" s="3"/>
      <c r="G36" s="24"/>
      <c r="H36" s="24"/>
      <c r="J36" s="1" t="s">
        <v>91</v>
      </c>
      <c r="K36" s="4"/>
      <c r="L36" s="4"/>
      <c r="M36" s="4"/>
      <c r="N36" s="4"/>
      <c r="O36" s="4"/>
      <c r="P36" s="33"/>
      <c r="Q36" s="25">
        <v>0</v>
      </c>
      <c r="R36" s="25">
        <v>0</v>
      </c>
      <c r="S36" s="12">
        <f t="shared" si="0"/>
        <v>0</v>
      </c>
      <c r="T36" s="5">
        <v>0</v>
      </c>
      <c r="U36" s="12">
        <f t="shared" si="1"/>
        <v>0</v>
      </c>
      <c r="V36" s="25" t="s">
        <v>10</v>
      </c>
      <c r="W36" s="11">
        <f>IFERROR(VLOOKUP(V36,Curr!$B$2:$C$13,2,FALSE),0)</f>
        <v>11</v>
      </c>
      <c r="X36" s="12">
        <f t="shared" si="2"/>
        <v>0</v>
      </c>
      <c r="Y36" s="26">
        <f t="shared" si="3"/>
        <v>0</v>
      </c>
      <c r="Z36" s="12">
        <f t="shared" si="8"/>
        <v>0</v>
      </c>
      <c r="AA36" s="4" t="s">
        <v>10</v>
      </c>
      <c r="AB36" s="11">
        <f>IFERROR(VLOOKUP(AA36,Curr!$B$2:$C$13,2,FALSE),0)</f>
        <v>11</v>
      </c>
      <c r="AC36" s="12">
        <f t="shared" si="9"/>
        <v>0</v>
      </c>
      <c r="AD36" s="12">
        <f t="shared" si="10"/>
        <v>0</v>
      </c>
      <c r="AE36" s="13">
        <f t="shared" si="11"/>
        <v>0</v>
      </c>
    </row>
    <row r="37" spans="2:31" x14ac:dyDescent="0.25">
      <c r="B37" s="4"/>
      <c r="C37" s="1" t="s">
        <v>64</v>
      </c>
      <c r="D37" s="1" t="s">
        <v>57</v>
      </c>
      <c r="E37" s="3"/>
      <c r="F37" s="3"/>
      <c r="G37" s="24"/>
      <c r="H37" s="24"/>
      <c r="J37" s="1" t="s">
        <v>188</v>
      </c>
      <c r="K37" s="4"/>
      <c r="L37" s="4"/>
      <c r="M37" s="4"/>
      <c r="N37" s="4"/>
      <c r="O37" s="4" t="s">
        <v>42</v>
      </c>
      <c r="P37" s="33" t="s">
        <v>189</v>
      </c>
      <c r="Q37" s="25">
        <v>110</v>
      </c>
      <c r="R37" s="25">
        <v>2</v>
      </c>
      <c r="S37" s="12">
        <f t="shared" si="0"/>
        <v>220</v>
      </c>
      <c r="T37" s="5">
        <v>0.2</v>
      </c>
      <c r="U37" s="12">
        <f t="shared" si="1"/>
        <v>176</v>
      </c>
      <c r="V37" s="25" t="s">
        <v>10</v>
      </c>
      <c r="W37" s="11">
        <f>IFERROR(VLOOKUP(V37,Curr!$B$2:$C$13,2,FALSE),0)</f>
        <v>11</v>
      </c>
      <c r="X37" s="12">
        <f t="shared" si="2"/>
        <v>1936</v>
      </c>
      <c r="Y37" s="26">
        <f t="shared" si="3"/>
        <v>110</v>
      </c>
      <c r="Z37" s="12">
        <f t="shared" si="8"/>
        <v>220</v>
      </c>
      <c r="AA37" s="4" t="s">
        <v>10</v>
      </c>
      <c r="AB37" s="11">
        <f>IFERROR(VLOOKUP(AA37,Curr!$B$2:$C$13,2,FALSE),0)</f>
        <v>11</v>
      </c>
      <c r="AC37" s="12">
        <f t="shared" si="9"/>
        <v>2420</v>
      </c>
      <c r="AD37" s="12">
        <f t="shared" si="10"/>
        <v>484</v>
      </c>
      <c r="AE37" s="13">
        <f t="shared" si="11"/>
        <v>0.2</v>
      </c>
    </row>
    <row r="38" spans="2:31" x14ac:dyDescent="0.25">
      <c r="B38" s="4"/>
      <c r="E38" s="3"/>
      <c r="F38" s="3"/>
      <c r="G38" s="24"/>
      <c r="H38" s="24"/>
      <c r="K38" s="4"/>
      <c r="L38" s="4"/>
      <c r="M38" s="4"/>
      <c r="N38" s="4"/>
      <c r="O38" s="4"/>
      <c r="P38" s="27"/>
      <c r="Q38" s="25"/>
      <c r="R38" s="25"/>
      <c r="S38" s="12">
        <f t="shared" ref="S38:S70" si="12">+Q38*R38</f>
        <v>0</v>
      </c>
      <c r="T38" s="5">
        <v>0</v>
      </c>
      <c r="U38" s="12">
        <f t="shared" ref="U38:U71" si="13">S38*(1-T38)</f>
        <v>0</v>
      </c>
      <c r="V38" s="25" t="s">
        <v>10</v>
      </c>
      <c r="W38" s="11">
        <f>IFERROR(VLOOKUP(V38,Curr!$B$2:$C$13,2,FALSE),0)</f>
        <v>11</v>
      </c>
      <c r="X38" s="12">
        <f t="shared" ref="X38:X70" si="14">U38*W38</f>
        <v>0</v>
      </c>
      <c r="Y38" s="26">
        <f t="shared" ref="Y38:Y65" si="15">Q38</f>
        <v>0</v>
      </c>
      <c r="Z38" s="12">
        <f t="shared" si="4"/>
        <v>0</v>
      </c>
      <c r="AA38" s="4" t="s">
        <v>10</v>
      </c>
      <c r="AB38" s="11">
        <f>IFERROR(VLOOKUP(AA38,Curr!$B$2:$C$13,2,FALSE),0)</f>
        <v>11</v>
      </c>
      <c r="AC38" s="12">
        <f t="shared" si="5"/>
        <v>0</v>
      </c>
      <c r="AD38" s="12">
        <f t="shared" si="6"/>
        <v>0</v>
      </c>
      <c r="AE38" s="13">
        <f t="shared" si="7"/>
        <v>0</v>
      </c>
    </row>
    <row r="39" spans="2:31" x14ac:dyDescent="0.25">
      <c r="B39" s="4"/>
      <c r="C39" s="1" t="s">
        <v>65</v>
      </c>
      <c r="D39" s="1" t="s">
        <v>54</v>
      </c>
      <c r="E39" s="3"/>
      <c r="F39" s="3"/>
      <c r="G39" s="24"/>
      <c r="H39" s="24"/>
      <c r="J39" s="1" t="s">
        <v>192</v>
      </c>
      <c r="K39" s="4"/>
      <c r="L39" s="4"/>
      <c r="M39" s="4"/>
      <c r="N39" s="4"/>
      <c r="O39" s="4"/>
      <c r="P39" s="33"/>
      <c r="Q39" s="25">
        <v>0</v>
      </c>
      <c r="R39" s="25">
        <v>0</v>
      </c>
      <c r="S39" s="12">
        <f t="shared" si="12"/>
        <v>0</v>
      </c>
      <c r="T39" s="5">
        <v>0</v>
      </c>
      <c r="U39" s="12">
        <f t="shared" si="13"/>
        <v>0</v>
      </c>
      <c r="V39" s="25" t="s">
        <v>10</v>
      </c>
      <c r="W39" s="11">
        <f>IFERROR(VLOOKUP(V39,Curr!$B$2:$C$13,2,FALSE),0)</f>
        <v>11</v>
      </c>
      <c r="X39" s="12">
        <f t="shared" si="14"/>
        <v>0</v>
      </c>
      <c r="Y39" s="26">
        <f t="shared" si="15"/>
        <v>0</v>
      </c>
      <c r="Z39" s="12">
        <f t="shared" si="4"/>
        <v>0</v>
      </c>
      <c r="AA39" s="4" t="s">
        <v>10</v>
      </c>
      <c r="AB39" s="11">
        <f>IFERROR(VLOOKUP(AA39,Curr!$B$2:$C$13,2,FALSE),0)</f>
        <v>11</v>
      </c>
      <c r="AC39" s="12">
        <f t="shared" si="5"/>
        <v>0</v>
      </c>
      <c r="AD39" s="12">
        <f t="shared" si="6"/>
        <v>0</v>
      </c>
      <c r="AE39" s="13">
        <f t="shared" si="7"/>
        <v>0</v>
      </c>
    </row>
    <row r="40" spans="2:31" x14ac:dyDescent="0.25">
      <c r="B40" s="4"/>
      <c r="C40" s="1" t="s">
        <v>65</v>
      </c>
      <c r="D40" s="1" t="s">
        <v>57</v>
      </c>
      <c r="E40" s="3"/>
      <c r="F40" s="3"/>
      <c r="G40" s="24"/>
      <c r="H40" s="24"/>
      <c r="J40" s="1" t="s">
        <v>193</v>
      </c>
      <c r="K40" s="4"/>
      <c r="L40" s="4"/>
      <c r="M40" s="4"/>
      <c r="N40" s="4"/>
      <c r="O40" s="4" t="s">
        <v>42</v>
      </c>
      <c r="P40" s="33" t="s">
        <v>194</v>
      </c>
      <c r="Q40" s="25">
        <v>1830</v>
      </c>
      <c r="R40" s="25">
        <v>2</v>
      </c>
      <c r="S40" s="12">
        <f t="shared" si="12"/>
        <v>3660</v>
      </c>
      <c r="T40" s="5">
        <v>0.2</v>
      </c>
      <c r="U40" s="12">
        <f t="shared" si="13"/>
        <v>2928</v>
      </c>
      <c r="V40" s="25" t="s">
        <v>8</v>
      </c>
      <c r="W40" s="11">
        <f>IFERROR(VLOOKUP(V40,Curr!$B$2:$C$13,2,FALSE),0)</f>
        <v>1</v>
      </c>
      <c r="X40" s="12">
        <f t="shared" si="14"/>
        <v>2928</v>
      </c>
      <c r="Y40" s="26">
        <f>Q40/11.3</f>
        <v>161.94690265486724</v>
      </c>
      <c r="Z40" s="12">
        <f t="shared" si="4"/>
        <v>323.89380530973449</v>
      </c>
      <c r="AA40" s="4" t="s">
        <v>10</v>
      </c>
      <c r="AB40" s="11">
        <f>IFERROR(VLOOKUP(AA40,Curr!$B$2:$C$13,2,FALSE),0)</f>
        <v>11</v>
      </c>
      <c r="AC40" s="12">
        <f t="shared" si="5"/>
        <v>3562.8318584070794</v>
      </c>
      <c r="AD40" s="12">
        <f t="shared" si="6"/>
        <v>634.83185840707938</v>
      </c>
      <c r="AE40" s="13">
        <f t="shared" si="7"/>
        <v>0.17818181818181811</v>
      </c>
    </row>
    <row r="41" spans="2:31" x14ac:dyDescent="0.25">
      <c r="B41" s="4"/>
      <c r="C41" s="1" t="s">
        <v>65</v>
      </c>
      <c r="D41" s="1" t="s">
        <v>54</v>
      </c>
      <c r="E41" s="3"/>
      <c r="F41" s="3"/>
      <c r="G41" s="24"/>
      <c r="H41" s="24"/>
      <c r="J41" s="1" t="s">
        <v>195</v>
      </c>
      <c r="K41" s="4"/>
      <c r="L41" s="4"/>
      <c r="M41" s="4"/>
      <c r="N41" s="4"/>
      <c r="O41" s="4"/>
      <c r="P41" s="27"/>
      <c r="Q41" s="25">
        <v>0</v>
      </c>
      <c r="R41" s="25">
        <v>0</v>
      </c>
      <c r="S41" s="12">
        <f t="shared" si="12"/>
        <v>0</v>
      </c>
      <c r="T41" s="5">
        <v>0</v>
      </c>
      <c r="U41" s="12">
        <f t="shared" si="13"/>
        <v>0</v>
      </c>
      <c r="V41" s="25" t="s">
        <v>10</v>
      </c>
      <c r="W41" s="11">
        <f>IFERROR(VLOOKUP(V41,Curr!$B$2:$C$13,2,FALSE),0)</f>
        <v>11</v>
      </c>
      <c r="X41" s="12">
        <f t="shared" si="14"/>
        <v>0</v>
      </c>
      <c r="Y41" s="26">
        <f>Q41/0.67</f>
        <v>0</v>
      </c>
      <c r="Z41" s="12">
        <f t="shared" si="4"/>
        <v>0</v>
      </c>
      <c r="AA41" s="4" t="s">
        <v>10</v>
      </c>
      <c r="AB41" s="11">
        <f>IFERROR(VLOOKUP(AA41,Curr!$B$2:$C$13,2,FALSE),0)</f>
        <v>11</v>
      </c>
      <c r="AC41" s="12">
        <f t="shared" si="5"/>
        <v>0</v>
      </c>
      <c r="AD41" s="12">
        <f t="shared" si="6"/>
        <v>0</v>
      </c>
      <c r="AE41" s="13">
        <f t="shared" si="7"/>
        <v>0</v>
      </c>
    </row>
    <row r="42" spans="2:31" x14ac:dyDescent="0.25">
      <c r="B42" s="4"/>
      <c r="C42" s="1" t="s">
        <v>65</v>
      </c>
      <c r="D42" s="1" t="s">
        <v>55</v>
      </c>
      <c r="E42" s="3"/>
      <c r="F42" s="3"/>
      <c r="G42" s="24"/>
      <c r="H42" s="24"/>
      <c r="J42" s="1" t="s">
        <v>211</v>
      </c>
      <c r="K42" s="4"/>
      <c r="L42" s="4"/>
      <c r="M42" s="4"/>
      <c r="N42" s="4"/>
      <c r="O42" s="4"/>
      <c r="P42" s="33"/>
      <c r="Q42" s="25">
        <v>550</v>
      </c>
      <c r="R42" s="25">
        <v>1</v>
      </c>
      <c r="S42" s="12">
        <f t="shared" si="12"/>
        <v>550</v>
      </c>
      <c r="T42" s="5">
        <v>0</v>
      </c>
      <c r="U42" s="12">
        <f t="shared" si="13"/>
        <v>550</v>
      </c>
      <c r="V42" s="25" t="s">
        <v>10</v>
      </c>
      <c r="W42" s="11">
        <f>IFERROR(VLOOKUP(V42,Curr!$B$2:$C$13,2,FALSE),0)</f>
        <v>11</v>
      </c>
      <c r="X42" s="12">
        <f t="shared" si="14"/>
        <v>6050</v>
      </c>
      <c r="Y42" s="26">
        <f>Q42/0.85</f>
        <v>647.05882352941182</v>
      </c>
      <c r="Z42" s="12">
        <f t="shared" si="4"/>
        <v>647.05882352941182</v>
      </c>
      <c r="AA42" s="4" t="s">
        <v>10</v>
      </c>
      <c r="AB42" s="11">
        <f>IFERROR(VLOOKUP(AA42,Curr!$B$2:$C$13,2,FALSE),0)</f>
        <v>11</v>
      </c>
      <c r="AC42" s="12">
        <f t="shared" si="5"/>
        <v>7117.6470588235297</v>
      </c>
      <c r="AD42" s="12">
        <f t="shared" si="6"/>
        <v>1067.6470588235297</v>
      </c>
      <c r="AE42" s="13">
        <f t="shared" si="7"/>
        <v>0.15000000000000005</v>
      </c>
    </row>
    <row r="43" spans="2:31" x14ac:dyDescent="0.25">
      <c r="B43" s="4"/>
      <c r="C43" s="1" t="s">
        <v>65</v>
      </c>
      <c r="D43" s="1" t="s">
        <v>56</v>
      </c>
      <c r="E43" s="3"/>
      <c r="F43" s="3"/>
      <c r="G43" s="24"/>
      <c r="H43" s="24"/>
      <c r="J43" s="1" t="s">
        <v>196</v>
      </c>
      <c r="K43" s="4"/>
      <c r="L43" s="4"/>
      <c r="M43" s="4"/>
      <c r="N43" s="4"/>
      <c r="O43" s="4"/>
      <c r="P43" s="27"/>
      <c r="Q43" s="25">
        <v>0</v>
      </c>
      <c r="R43" s="25">
        <v>0</v>
      </c>
      <c r="S43" s="12">
        <f t="shared" si="12"/>
        <v>0</v>
      </c>
      <c r="T43" s="5">
        <v>0</v>
      </c>
      <c r="U43" s="12">
        <f t="shared" si="13"/>
        <v>0</v>
      </c>
      <c r="V43" s="25" t="s">
        <v>10</v>
      </c>
      <c r="W43" s="11">
        <f>IFERROR(VLOOKUP(V43,Curr!$B$2:$C$13,2,FALSE),0)</f>
        <v>11</v>
      </c>
      <c r="X43" s="12">
        <f t="shared" si="14"/>
        <v>0</v>
      </c>
      <c r="Y43" s="26">
        <f t="shared" ref="Y43" si="16">Q43</f>
        <v>0</v>
      </c>
      <c r="Z43" s="12">
        <f t="shared" si="4"/>
        <v>0</v>
      </c>
      <c r="AA43" s="4" t="s">
        <v>10</v>
      </c>
      <c r="AB43" s="11">
        <f>IFERROR(VLOOKUP(AA43,Curr!$B$2:$C$13,2,FALSE),0)</f>
        <v>11</v>
      </c>
      <c r="AC43" s="12">
        <f t="shared" si="5"/>
        <v>0</v>
      </c>
      <c r="AD43" s="12">
        <f t="shared" si="6"/>
        <v>0</v>
      </c>
      <c r="AE43" s="13">
        <f t="shared" si="7"/>
        <v>0</v>
      </c>
    </row>
    <row r="44" spans="2:31" x14ac:dyDescent="0.25">
      <c r="B44" s="4"/>
      <c r="E44" s="3"/>
      <c r="F44" s="3"/>
      <c r="G44" s="24"/>
      <c r="H44" s="24"/>
      <c r="K44" s="4"/>
      <c r="L44" s="4"/>
      <c r="M44" s="4"/>
      <c r="N44" s="4"/>
      <c r="O44" s="4"/>
      <c r="P44" s="27"/>
      <c r="Q44" s="25"/>
      <c r="R44" s="25"/>
      <c r="S44" s="12">
        <f t="shared" si="12"/>
        <v>0</v>
      </c>
      <c r="T44" s="5">
        <v>0</v>
      </c>
      <c r="U44" s="12">
        <f t="shared" si="13"/>
        <v>0</v>
      </c>
      <c r="V44" s="25" t="s">
        <v>10</v>
      </c>
      <c r="W44" s="11">
        <f>IFERROR(VLOOKUP(V44,Curr!$B$2:$C$13,2,FALSE),0)</f>
        <v>11</v>
      </c>
      <c r="X44" s="12">
        <f t="shared" si="14"/>
        <v>0</v>
      </c>
      <c r="Y44" s="26">
        <f t="shared" si="15"/>
        <v>0</v>
      </c>
      <c r="Z44" s="12">
        <f t="shared" si="4"/>
        <v>0</v>
      </c>
      <c r="AA44" s="4" t="s">
        <v>10</v>
      </c>
      <c r="AB44" s="11">
        <f>IFERROR(VLOOKUP(AA44,Curr!$B$2:$C$13,2,FALSE),0)</f>
        <v>11</v>
      </c>
      <c r="AC44" s="12">
        <f t="shared" si="5"/>
        <v>0</v>
      </c>
      <c r="AD44" s="12">
        <f t="shared" si="6"/>
        <v>0</v>
      </c>
      <c r="AE44" s="13">
        <f t="shared" si="7"/>
        <v>0</v>
      </c>
    </row>
    <row r="45" spans="2:31" x14ac:dyDescent="0.25">
      <c r="B45" s="4"/>
      <c r="C45" s="1" t="s">
        <v>66</v>
      </c>
      <c r="D45" s="1" t="s">
        <v>57</v>
      </c>
      <c r="E45" s="3"/>
      <c r="F45" s="3"/>
      <c r="G45" s="24"/>
      <c r="H45" s="24"/>
      <c r="J45" s="1" t="s">
        <v>197</v>
      </c>
      <c r="K45" s="4"/>
      <c r="L45" s="4"/>
      <c r="M45" s="4"/>
      <c r="N45" s="4"/>
      <c r="O45" s="4" t="s">
        <v>42</v>
      </c>
      <c r="P45" s="33" t="s">
        <v>198</v>
      </c>
      <c r="Q45" s="25">
        <v>188</v>
      </c>
      <c r="R45" s="25">
        <v>2</v>
      </c>
      <c r="S45" s="12">
        <f t="shared" si="12"/>
        <v>376</v>
      </c>
      <c r="T45" s="5">
        <v>0.2</v>
      </c>
      <c r="U45" s="12">
        <f t="shared" si="13"/>
        <v>300.8</v>
      </c>
      <c r="V45" s="25" t="s">
        <v>10</v>
      </c>
      <c r="W45" s="11">
        <f>IFERROR(VLOOKUP(V45,Curr!$B$2:$C$13,2,FALSE),0)</f>
        <v>11</v>
      </c>
      <c r="X45" s="12">
        <f t="shared" si="14"/>
        <v>3308.8</v>
      </c>
      <c r="Y45" s="26">
        <f t="shared" si="15"/>
        <v>188</v>
      </c>
      <c r="Z45" s="12">
        <f t="shared" si="4"/>
        <v>376</v>
      </c>
      <c r="AA45" s="4" t="s">
        <v>10</v>
      </c>
      <c r="AB45" s="11">
        <f>IFERROR(VLOOKUP(AA45,Curr!$B$2:$C$13,2,FALSE),0)</f>
        <v>11</v>
      </c>
      <c r="AC45" s="12">
        <f t="shared" si="5"/>
        <v>4136</v>
      </c>
      <c r="AD45" s="12">
        <f t="shared" si="6"/>
        <v>827.19999999999982</v>
      </c>
      <c r="AE45" s="13">
        <f t="shared" si="7"/>
        <v>0.19999999999999996</v>
      </c>
    </row>
    <row r="46" spans="2:31" x14ac:dyDescent="0.25">
      <c r="B46" s="4"/>
      <c r="C46" s="1" t="s">
        <v>66</v>
      </c>
      <c r="D46" s="1" t="s">
        <v>56</v>
      </c>
      <c r="E46" s="3"/>
      <c r="F46" s="3"/>
      <c r="G46" s="24"/>
      <c r="H46" s="24"/>
      <c r="J46" s="1" t="s">
        <v>196</v>
      </c>
      <c r="K46" s="4"/>
      <c r="L46" s="4"/>
      <c r="M46" s="4"/>
      <c r="N46" s="4"/>
      <c r="O46" s="4"/>
      <c r="P46" s="27"/>
      <c r="Q46" s="25">
        <v>0</v>
      </c>
      <c r="R46" s="25">
        <v>0</v>
      </c>
      <c r="S46" s="12">
        <f t="shared" si="12"/>
        <v>0</v>
      </c>
      <c r="T46" s="5">
        <v>0</v>
      </c>
      <c r="U46" s="12">
        <f t="shared" si="13"/>
        <v>0</v>
      </c>
      <c r="V46" s="25" t="s">
        <v>10</v>
      </c>
      <c r="W46" s="11">
        <f>IFERROR(VLOOKUP(V46,Curr!$B$2:$C$13,2,FALSE),0)</f>
        <v>11</v>
      </c>
      <c r="X46" s="12">
        <f t="shared" si="14"/>
        <v>0</v>
      </c>
      <c r="Y46" s="26">
        <f t="shared" si="15"/>
        <v>0</v>
      </c>
      <c r="Z46" s="12">
        <f t="shared" si="4"/>
        <v>0</v>
      </c>
      <c r="AA46" s="4" t="s">
        <v>10</v>
      </c>
      <c r="AB46" s="11">
        <f>IFERROR(VLOOKUP(AA46,Curr!$B$2:$C$13,2,FALSE),0)</f>
        <v>11</v>
      </c>
      <c r="AC46" s="12">
        <f t="shared" si="5"/>
        <v>0</v>
      </c>
      <c r="AD46" s="12">
        <f t="shared" si="6"/>
        <v>0</v>
      </c>
      <c r="AE46" s="13">
        <f t="shared" si="7"/>
        <v>0</v>
      </c>
    </row>
    <row r="47" spans="2:31" x14ac:dyDescent="0.25">
      <c r="B47" s="4"/>
      <c r="C47" s="1" t="s">
        <v>66</v>
      </c>
      <c r="D47" s="1" t="s">
        <v>57</v>
      </c>
      <c r="E47" s="3"/>
      <c r="F47" s="3"/>
      <c r="G47" s="24"/>
      <c r="H47" s="24"/>
      <c r="J47" s="1" t="s">
        <v>199</v>
      </c>
      <c r="K47" s="4"/>
      <c r="L47" s="4"/>
      <c r="M47" s="4"/>
      <c r="N47" s="4"/>
      <c r="O47" s="4" t="s">
        <v>42</v>
      </c>
      <c r="P47" s="33" t="s">
        <v>200</v>
      </c>
      <c r="Q47" s="25">
        <v>89</v>
      </c>
      <c r="R47" s="25">
        <v>2</v>
      </c>
      <c r="S47" s="12">
        <f t="shared" si="12"/>
        <v>178</v>
      </c>
      <c r="T47" s="5">
        <v>0.2</v>
      </c>
      <c r="U47" s="12">
        <f t="shared" si="13"/>
        <v>142.4</v>
      </c>
      <c r="V47" s="25" t="s">
        <v>10</v>
      </c>
      <c r="W47" s="11">
        <f>IFERROR(VLOOKUP(V47,Curr!$B$2:$C$13,2,FALSE),0)</f>
        <v>11</v>
      </c>
      <c r="X47" s="12">
        <f t="shared" si="14"/>
        <v>1566.4</v>
      </c>
      <c r="Y47" s="26">
        <f t="shared" si="15"/>
        <v>89</v>
      </c>
      <c r="Z47" s="12">
        <f t="shared" si="4"/>
        <v>178</v>
      </c>
      <c r="AA47" s="4" t="s">
        <v>10</v>
      </c>
      <c r="AB47" s="11">
        <f>IFERROR(VLOOKUP(AA47,Curr!$B$2:$C$13,2,FALSE),0)</f>
        <v>11</v>
      </c>
      <c r="AC47" s="12">
        <f t="shared" si="5"/>
        <v>1958</v>
      </c>
      <c r="AD47" s="12">
        <f t="shared" si="6"/>
        <v>391.59999999999991</v>
      </c>
      <c r="AE47" s="13">
        <f t="shared" si="7"/>
        <v>0.19999999999999996</v>
      </c>
    </row>
    <row r="48" spans="2:31" x14ac:dyDescent="0.25">
      <c r="B48" s="4"/>
      <c r="E48" s="3"/>
      <c r="F48" s="3"/>
      <c r="G48" s="24"/>
      <c r="H48" s="24"/>
      <c r="K48" s="4"/>
      <c r="L48" s="4"/>
      <c r="M48" s="4"/>
      <c r="N48" s="4"/>
      <c r="O48" s="4"/>
      <c r="P48" s="27"/>
      <c r="Q48" s="25"/>
      <c r="R48" s="25"/>
      <c r="S48" s="12">
        <f t="shared" si="12"/>
        <v>0</v>
      </c>
      <c r="T48" s="5">
        <v>0</v>
      </c>
      <c r="U48" s="12">
        <f t="shared" si="13"/>
        <v>0</v>
      </c>
      <c r="V48" s="25" t="s">
        <v>10</v>
      </c>
      <c r="W48" s="11">
        <f>IFERROR(VLOOKUP(V48,Curr!$B$2:$C$13,2,FALSE),0)</f>
        <v>11</v>
      </c>
      <c r="X48" s="12">
        <f t="shared" si="14"/>
        <v>0</v>
      </c>
      <c r="Y48" s="26">
        <f t="shared" si="15"/>
        <v>0</v>
      </c>
      <c r="Z48" s="12">
        <f t="shared" si="4"/>
        <v>0</v>
      </c>
      <c r="AA48" s="4" t="s">
        <v>10</v>
      </c>
      <c r="AB48" s="11">
        <f>IFERROR(VLOOKUP(AA48,Curr!$B$2:$C$13,2,FALSE),0)</f>
        <v>11</v>
      </c>
      <c r="AC48" s="12">
        <f t="shared" si="5"/>
        <v>0</v>
      </c>
      <c r="AD48" s="12">
        <f t="shared" si="6"/>
        <v>0</v>
      </c>
      <c r="AE48" s="13">
        <f t="shared" si="7"/>
        <v>0</v>
      </c>
    </row>
    <row r="49" spans="2:31" x14ac:dyDescent="0.25">
      <c r="B49" s="4"/>
      <c r="C49" s="1" t="s">
        <v>67</v>
      </c>
      <c r="D49" s="1" t="s">
        <v>57</v>
      </c>
      <c r="E49" s="3"/>
      <c r="F49" s="3"/>
      <c r="G49" s="24"/>
      <c r="H49" s="24"/>
      <c r="J49" s="1" t="s">
        <v>201</v>
      </c>
      <c r="K49" s="4"/>
      <c r="L49" s="4"/>
      <c r="M49" s="4"/>
      <c r="N49" s="4"/>
      <c r="O49" s="4" t="s">
        <v>42</v>
      </c>
      <c r="P49" s="33" t="s">
        <v>202</v>
      </c>
      <c r="Q49" s="25">
        <v>109</v>
      </c>
      <c r="R49" s="25">
        <v>2</v>
      </c>
      <c r="S49" s="12">
        <f t="shared" si="12"/>
        <v>218</v>
      </c>
      <c r="T49" s="5">
        <v>0.2</v>
      </c>
      <c r="U49" s="12">
        <f t="shared" si="13"/>
        <v>174.4</v>
      </c>
      <c r="V49" s="25" t="s">
        <v>10</v>
      </c>
      <c r="W49" s="11">
        <f>IFERROR(VLOOKUP(V49,Curr!$B$2:$C$13,2,FALSE),0)</f>
        <v>11</v>
      </c>
      <c r="X49" s="12">
        <f t="shared" si="14"/>
        <v>1918.4</v>
      </c>
      <c r="Y49" s="26">
        <f t="shared" si="15"/>
        <v>109</v>
      </c>
      <c r="Z49" s="12">
        <f t="shared" si="4"/>
        <v>218</v>
      </c>
      <c r="AA49" s="4" t="s">
        <v>10</v>
      </c>
      <c r="AB49" s="11">
        <f>IFERROR(VLOOKUP(AA49,Curr!$B$2:$C$13,2,FALSE),0)</f>
        <v>11</v>
      </c>
      <c r="AC49" s="12">
        <f t="shared" si="5"/>
        <v>2398</v>
      </c>
      <c r="AD49" s="12">
        <f t="shared" si="6"/>
        <v>479.59999999999991</v>
      </c>
      <c r="AE49" s="13">
        <f t="shared" si="7"/>
        <v>0.19999999999999996</v>
      </c>
    </row>
    <row r="50" spans="2:31" x14ac:dyDescent="0.25">
      <c r="B50" s="4"/>
      <c r="C50" s="1" t="s">
        <v>67</v>
      </c>
      <c r="D50" s="1" t="s">
        <v>56</v>
      </c>
      <c r="E50" s="3"/>
      <c r="F50" s="3"/>
      <c r="G50" s="24"/>
      <c r="H50" s="24"/>
      <c r="J50" s="1" t="s">
        <v>196</v>
      </c>
      <c r="K50" s="4"/>
      <c r="L50" s="4"/>
      <c r="M50" s="4"/>
      <c r="N50" s="4"/>
      <c r="O50" s="4"/>
      <c r="P50" s="27"/>
      <c r="Q50" s="25">
        <v>0</v>
      </c>
      <c r="R50" s="25">
        <v>0</v>
      </c>
      <c r="S50" s="12">
        <f t="shared" si="12"/>
        <v>0</v>
      </c>
      <c r="T50" s="5">
        <v>0</v>
      </c>
      <c r="U50" s="12">
        <f t="shared" si="13"/>
        <v>0</v>
      </c>
      <c r="V50" s="25" t="s">
        <v>10</v>
      </c>
      <c r="W50" s="11">
        <f>IFERROR(VLOOKUP(V50,Curr!$B$2:$C$13,2,FALSE),0)</f>
        <v>11</v>
      </c>
      <c r="X50" s="12">
        <f t="shared" si="14"/>
        <v>0</v>
      </c>
      <c r="Y50" s="26">
        <f t="shared" si="15"/>
        <v>0</v>
      </c>
      <c r="Z50" s="12">
        <f t="shared" si="4"/>
        <v>0</v>
      </c>
      <c r="AA50" s="4" t="s">
        <v>10</v>
      </c>
      <c r="AB50" s="11">
        <f>IFERROR(VLOOKUP(AA50,Curr!$B$2:$C$13,2,FALSE),0)</f>
        <v>11</v>
      </c>
      <c r="AC50" s="12">
        <f t="shared" si="5"/>
        <v>0</v>
      </c>
      <c r="AD50" s="12">
        <f t="shared" si="6"/>
        <v>0</v>
      </c>
      <c r="AE50" s="13">
        <f t="shared" si="7"/>
        <v>0</v>
      </c>
    </row>
    <row r="51" spans="2:31" x14ac:dyDescent="0.25">
      <c r="B51" s="4"/>
      <c r="E51" s="3"/>
      <c r="F51" s="3"/>
      <c r="G51" s="24"/>
      <c r="H51" s="24"/>
      <c r="K51" s="4"/>
      <c r="L51" s="4"/>
      <c r="M51" s="4"/>
      <c r="N51" s="4"/>
      <c r="O51" s="4"/>
      <c r="P51" s="27"/>
      <c r="Q51" s="25"/>
      <c r="R51" s="25"/>
      <c r="S51" s="12">
        <f t="shared" si="12"/>
        <v>0</v>
      </c>
      <c r="T51" s="5">
        <v>0</v>
      </c>
      <c r="U51" s="12">
        <f t="shared" si="13"/>
        <v>0</v>
      </c>
      <c r="V51" s="25" t="s">
        <v>10</v>
      </c>
      <c r="W51" s="11">
        <f>IFERROR(VLOOKUP(V51,Curr!$B$2:$C$13,2,FALSE),0)</f>
        <v>11</v>
      </c>
      <c r="X51" s="12">
        <f t="shared" si="14"/>
        <v>0</v>
      </c>
      <c r="Y51" s="26">
        <f t="shared" si="15"/>
        <v>0</v>
      </c>
      <c r="Z51" s="12">
        <f t="shared" si="4"/>
        <v>0</v>
      </c>
      <c r="AA51" s="4" t="s">
        <v>10</v>
      </c>
      <c r="AB51" s="11">
        <f>IFERROR(VLOOKUP(AA51,Curr!$B$2:$C$13,2,FALSE),0)</f>
        <v>11</v>
      </c>
      <c r="AC51" s="12">
        <f t="shared" si="5"/>
        <v>0</v>
      </c>
      <c r="AD51" s="12">
        <f t="shared" si="6"/>
        <v>0</v>
      </c>
      <c r="AE51" s="13">
        <f t="shared" si="7"/>
        <v>0</v>
      </c>
    </row>
    <row r="52" spans="2:31" x14ac:dyDescent="0.25">
      <c r="B52" s="4"/>
      <c r="C52" s="1" t="s">
        <v>74</v>
      </c>
      <c r="D52" s="1" t="s">
        <v>57</v>
      </c>
      <c r="E52" s="3"/>
      <c r="F52" s="3"/>
      <c r="G52" s="24"/>
      <c r="H52" s="24"/>
      <c r="J52" s="1" t="s">
        <v>203</v>
      </c>
      <c r="K52" s="4"/>
      <c r="L52" s="4"/>
      <c r="M52" s="4"/>
      <c r="N52" s="4"/>
      <c r="O52" s="4" t="s">
        <v>42</v>
      </c>
      <c r="P52" s="33" t="s">
        <v>204</v>
      </c>
      <c r="Q52" s="25">
        <v>129</v>
      </c>
      <c r="R52" s="25">
        <v>2</v>
      </c>
      <c r="S52" s="12">
        <f t="shared" si="12"/>
        <v>258</v>
      </c>
      <c r="T52" s="5">
        <v>0.2</v>
      </c>
      <c r="U52" s="12">
        <f t="shared" si="13"/>
        <v>206.4</v>
      </c>
      <c r="V52" s="25" t="s">
        <v>10</v>
      </c>
      <c r="W52" s="11">
        <f>IFERROR(VLOOKUP(V52,Curr!$B$2:$C$13,2,FALSE),0)</f>
        <v>11</v>
      </c>
      <c r="X52" s="12">
        <f t="shared" si="14"/>
        <v>2270.4</v>
      </c>
      <c r="Y52" s="26">
        <f t="shared" si="15"/>
        <v>129</v>
      </c>
      <c r="Z52" s="12">
        <f t="shared" si="4"/>
        <v>258</v>
      </c>
      <c r="AA52" s="4" t="s">
        <v>10</v>
      </c>
      <c r="AB52" s="11">
        <f>IFERROR(VLOOKUP(AA52,Curr!$B$2:$C$13,2,FALSE),0)</f>
        <v>11</v>
      </c>
      <c r="AC52" s="12">
        <f t="shared" si="5"/>
        <v>2838</v>
      </c>
      <c r="AD52" s="12">
        <f t="shared" si="6"/>
        <v>567.59999999999991</v>
      </c>
      <c r="AE52" s="13">
        <f t="shared" si="7"/>
        <v>0.19999999999999996</v>
      </c>
    </row>
    <row r="53" spans="2:31" x14ac:dyDescent="0.25">
      <c r="B53" s="4"/>
      <c r="C53" s="1" t="s">
        <v>74</v>
      </c>
      <c r="D53" s="1" t="s">
        <v>54</v>
      </c>
      <c r="E53" s="3"/>
      <c r="F53" s="3"/>
      <c r="G53" s="24"/>
      <c r="H53" s="24"/>
      <c r="J53" s="1" t="s">
        <v>205</v>
      </c>
      <c r="K53" s="4"/>
      <c r="L53" s="4"/>
      <c r="M53" s="4"/>
      <c r="N53" s="4"/>
      <c r="O53" s="4"/>
      <c r="P53" s="27"/>
      <c r="Q53" s="25">
        <v>0</v>
      </c>
      <c r="R53" s="25">
        <v>0</v>
      </c>
      <c r="S53" s="12">
        <f t="shared" si="12"/>
        <v>0</v>
      </c>
      <c r="T53" s="5">
        <v>0</v>
      </c>
      <c r="U53" s="12">
        <f t="shared" si="13"/>
        <v>0</v>
      </c>
      <c r="V53" s="25" t="s">
        <v>10</v>
      </c>
      <c r="W53" s="11">
        <f>IFERROR(VLOOKUP(V53,Curr!$B$2:$C$13,2,FALSE),0)</f>
        <v>11</v>
      </c>
      <c r="X53" s="12">
        <f t="shared" si="14"/>
        <v>0</v>
      </c>
      <c r="Y53" s="26">
        <f t="shared" si="15"/>
        <v>0</v>
      </c>
      <c r="Z53" s="12">
        <f t="shared" si="4"/>
        <v>0</v>
      </c>
      <c r="AA53" s="4" t="s">
        <v>10</v>
      </c>
      <c r="AB53" s="11">
        <f>IFERROR(VLOOKUP(AA53,Curr!$B$2:$C$13,2,FALSE),0)</f>
        <v>11</v>
      </c>
      <c r="AC53" s="12">
        <f t="shared" si="5"/>
        <v>0</v>
      </c>
      <c r="AD53" s="12">
        <f t="shared" si="6"/>
        <v>0</v>
      </c>
      <c r="AE53" s="13">
        <f t="shared" si="7"/>
        <v>0</v>
      </c>
    </row>
    <row r="54" spans="2:31" x14ac:dyDescent="0.25">
      <c r="B54" s="4"/>
      <c r="C54" s="1" t="s">
        <v>74</v>
      </c>
      <c r="D54" s="1" t="s">
        <v>58</v>
      </c>
      <c r="E54" s="3"/>
      <c r="F54" s="3"/>
      <c r="G54" s="24"/>
      <c r="H54" s="24"/>
      <c r="J54" s="1" t="s">
        <v>206</v>
      </c>
      <c r="K54" s="4"/>
      <c r="L54" s="4"/>
      <c r="M54" s="4"/>
      <c r="N54" s="4" t="s">
        <v>42</v>
      </c>
      <c r="O54" s="4"/>
      <c r="P54" s="33" t="s">
        <v>207</v>
      </c>
      <c r="Q54" s="25">
        <v>200</v>
      </c>
      <c r="R54" s="25">
        <v>1</v>
      </c>
      <c r="S54" s="12">
        <f t="shared" si="12"/>
        <v>200</v>
      </c>
      <c r="T54" s="5">
        <v>0</v>
      </c>
      <c r="U54" s="12">
        <f t="shared" si="13"/>
        <v>200</v>
      </c>
      <c r="V54" s="25" t="s">
        <v>10</v>
      </c>
      <c r="W54" s="11">
        <f>IFERROR(VLOOKUP(V54,Curr!$B$2:$C$13,2,FALSE),0)</f>
        <v>11</v>
      </c>
      <c r="X54" s="12">
        <f t="shared" si="14"/>
        <v>2200</v>
      </c>
      <c r="Y54" s="26">
        <f>Q54/0.8</f>
        <v>250</v>
      </c>
      <c r="Z54" s="12">
        <f t="shared" si="4"/>
        <v>250</v>
      </c>
      <c r="AA54" s="4" t="s">
        <v>10</v>
      </c>
      <c r="AB54" s="11">
        <f>IFERROR(VLOOKUP(AA54,Curr!$B$2:$C$13,2,FALSE),0)</f>
        <v>11</v>
      </c>
      <c r="AC54" s="12">
        <f t="shared" si="5"/>
        <v>2750</v>
      </c>
      <c r="AD54" s="12">
        <f t="shared" si="6"/>
        <v>550</v>
      </c>
      <c r="AE54" s="13">
        <f t="shared" si="7"/>
        <v>0.2</v>
      </c>
    </row>
    <row r="55" spans="2:31" x14ac:dyDescent="0.25">
      <c r="B55" s="4"/>
      <c r="E55" s="3"/>
      <c r="F55" s="3"/>
      <c r="G55" s="24"/>
      <c r="H55" s="24"/>
      <c r="K55" s="4"/>
      <c r="L55" s="4"/>
      <c r="M55" s="4"/>
      <c r="N55" s="4"/>
      <c r="O55" s="4"/>
      <c r="P55" s="27"/>
      <c r="Q55" s="25"/>
      <c r="R55" s="25"/>
      <c r="S55" s="12">
        <f t="shared" si="12"/>
        <v>0</v>
      </c>
      <c r="T55" s="5">
        <v>0</v>
      </c>
      <c r="U55" s="12">
        <f t="shared" si="13"/>
        <v>0</v>
      </c>
      <c r="V55" s="25" t="s">
        <v>10</v>
      </c>
      <c r="W55" s="11">
        <f>IFERROR(VLOOKUP(V55,Curr!$B$2:$C$13,2,FALSE),0)</f>
        <v>11</v>
      </c>
      <c r="X55" s="12">
        <f t="shared" si="14"/>
        <v>0</v>
      </c>
      <c r="Y55" s="26">
        <f t="shared" si="15"/>
        <v>0</v>
      </c>
      <c r="Z55" s="12">
        <f t="shared" si="4"/>
        <v>0</v>
      </c>
      <c r="AA55" s="4" t="s">
        <v>10</v>
      </c>
      <c r="AB55" s="11">
        <f>IFERROR(VLOOKUP(AA55,Curr!$B$2:$C$13,2,FALSE),0)</f>
        <v>11</v>
      </c>
      <c r="AC55" s="12">
        <f t="shared" si="5"/>
        <v>0</v>
      </c>
      <c r="AD55" s="12">
        <f t="shared" si="6"/>
        <v>0</v>
      </c>
      <c r="AE55" s="13">
        <f t="shared" si="7"/>
        <v>0</v>
      </c>
    </row>
    <row r="56" spans="2:31" x14ac:dyDescent="0.25">
      <c r="B56" s="4"/>
      <c r="C56" s="1" t="s">
        <v>75</v>
      </c>
      <c r="D56" s="1" t="s">
        <v>54</v>
      </c>
      <c r="E56" s="3"/>
      <c r="F56" s="3"/>
      <c r="G56" s="24"/>
      <c r="H56" s="24"/>
      <c r="J56" s="1" t="s">
        <v>144</v>
      </c>
      <c r="K56" s="4"/>
      <c r="L56" s="4"/>
      <c r="M56" s="4"/>
      <c r="N56" s="4"/>
      <c r="O56" s="4"/>
      <c r="P56" s="27"/>
      <c r="Q56" s="25">
        <v>0</v>
      </c>
      <c r="R56" s="25">
        <v>0</v>
      </c>
      <c r="S56" s="12">
        <f t="shared" si="12"/>
        <v>0</v>
      </c>
      <c r="T56" s="5">
        <v>0</v>
      </c>
      <c r="U56" s="12">
        <f t="shared" si="13"/>
        <v>0</v>
      </c>
      <c r="V56" s="25" t="s">
        <v>10</v>
      </c>
      <c r="W56" s="11">
        <f>IFERROR(VLOOKUP(V56,Curr!$B$2:$C$13,2,FALSE),0)</f>
        <v>11</v>
      </c>
      <c r="X56" s="12">
        <f t="shared" si="14"/>
        <v>0</v>
      </c>
      <c r="Y56" s="26">
        <f>Q56/0.8</f>
        <v>0</v>
      </c>
      <c r="Z56" s="12">
        <f t="shared" si="4"/>
        <v>0</v>
      </c>
      <c r="AA56" s="4" t="s">
        <v>10</v>
      </c>
      <c r="AB56" s="11">
        <f>IFERROR(VLOOKUP(AA56,Curr!$B$2:$C$13,2,FALSE),0)</f>
        <v>11</v>
      </c>
      <c r="AC56" s="12">
        <f t="shared" si="5"/>
        <v>0</v>
      </c>
      <c r="AD56" s="12">
        <f t="shared" si="6"/>
        <v>0</v>
      </c>
      <c r="AE56" s="13">
        <f t="shared" si="7"/>
        <v>0</v>
      </c>
    </row>
    <row r="57" spans="2:31" x14ac:dyDescent="0.25">
      <c r="B57" s="4"/>
      <c r="C57" s="1" t="s">
        <v>75</v>
      </c>
      <c r="D57" s="1" t="s">
        <v>55</v>
      </c>
      <c r="E57" s="3"/>
      <c r="F57" s="3"/>
      <c r="G57" s="24"/>
      <c r="H57" s="24"/>
      <c r="J57" s="1" t="s">
        <v>212</v>
      </c>
      <c r="K57" s="4"/>
      <c r="L57" s="4"/>
      <c r="M57" s="4"/>
      <c r="N57" s="4"/>
      <c r="O57" s="4"/>
      <c r="P57" s="33"/>
      <c r="Q57" s="25">
        <v>200</v>
      </c>
      <c r="R57" s="25">
        <v>1</v>
      </c>
      <c r="S57" s="12">
        <f t="shared" si="12"/>
        <v>200</v>
      </c>
      <c r="T57" s="5">
        <v>0</v>
      </c>
      <c r="U57" s="12">
        <f t="shared" si="13"/>
        <v>200</v>
      </c>
      <c r="V57" s="25" t="s">
        <v>10</v>
      </c>
      <c r="W57" s="11">
        <f>IFERROR(VLOOKUP(V57,Curr!$B$2:$C$13,2,FALSE),0)</f>
        <v>11</v>
      </c>
      <c r="X57" s="12">
        <f t="shared" si="14"/>
        <v>2200</v>
      </c>
      <c r="Y57" s="26">
        <f>Q57/0.85</f>
        <v>235.29411764705884</v>
      </c>
      <c r="Z57" s="12">
        <f t="shared" si="4"/>
        <v>235.29411764705884</v>
      </c>
      <c r="AA57" s="4" t="s">
        <v>10</v>
      </c>
      <c r="AB57" s="11">
        <f>IFERROR(VLOOKUP(AA57,Curr!$B$2:$C$13,2,FALSE),0)</f>
        <v>11</v>
      </c>
      <c r="AC57" s="12">
        <f t="shared" si="5"/>
        <v>2588.2352941176473</v>
      </c>
      <c r="AD57" s="12">
        <f t="shared" si="6"/>
        <v>388.2352941176473</v>
      </c>
      <c r="AE57" s="13">
        <f t="shared" si="7"/>
        <v>0.15000000000000008</v>
      </c>
    </row>
    <row r="58" spans="2:31" x14ac:dyDescent="0.25">
      <c r="B58" s="4"/>
      <c r="C58" s="1" t="s">
        <v>75</v>
      </c>
      <c r="D58" s="1" t="s">
        <v>56</v>
      </c>
      <c r="E58" s="3"/>
      <c r="F58" s="3"/>
      <c r="G58" s="24"/>
      <c r="H58" s="24"/>
      <c r="J58" s="1" t="s">
        <v>78</v>
      </c>
      <c r="K58" s="4"/>
      <c r="L58" s="4"/>
      <c r="M58" s="4"/>
      <c r="N58" s="4"/>
      <c r="O58" s="4"/>
      <c r="P58" s="27"/>
      <c r="Q58" s="25">
        <v>0</v>
      </c>
      <c r="R58" s="25">
        <v>0</v>
      </c>
      <c r="S58" s="12">
        <f t="shared" si="12"/>
        <v>0</v>
      </c>
      <c r="T58" s="5">
        <v>0</v>
      </c>
      <c r="U58" s="12">
        <f t="shared" si="13"/>
        <v>0</v>
      </c>
      <c r="V58" s="25" t="s">
        <v>10</v>
      </c>
      <c r="W58" s="11">
        <f>IFERROR(VLOOKUP(V58,Curr!$B$2:$C$13,2,FALSE),0)</f>
        <v>11</v>
      </c>
      <c r="X58" s="12">
        <f t="shared" si="14"/>
        <v>0</v>
      </c>
      <c r="Y58" s="26">
        <f t="shared" ref="Y58" si="17">Q58</f>
        <v>0</v>
      </c>
      <c r="Z58" s="12">
        <f t="shared" si="4"/>
        <v>0</v>
      </c>
      <c r="AA58" s="4" t="s">
        <v>10</v>
      </c>
      <c r="AB58" s="11">
        <f>IFERROR(VLOOKUP(AA58,Curr!$B$2:$C$13,2,FALSE),0)</f>
        <v>11</v>
      </c>
      <c r="AC58" s="12">
        <f t="shared" si="5"/>
        <v>0</v>
      </c>
      <c r="AD58" s="12">
        <f t="shared" si="6"/>
        <v>0</v>
      </c>
      <c r="AE58" s="13">
        <f t="shared" si="7"/>
        <v>0</v>
      </c>
    </row>
    <row r="59" spans="2:31" x14ac:dyDescent="0.25">
      <c r="B59" s="4"/>
      <c r="E59" s="3"/>
      <c r="F59" s="3"/>
      <c r="G59" s="24"/>
      <c r="H59" s="24"/>
      <c r="K59" s="4"/>
      <c r="L59" s="4"/>
      <c r="M59" s="4"/>
      <c r="N59" s="4"/>
      <c r="O59" s="4"/>
      <c r="P59" s="27"/>
      <c r="Q59" s="25"/>
      <c r="R59" s="25"/>
      <c r="S59" s="12">
        <f t="shared" si="12"/>
        <v>0</v>
      </c>
      <c r="T59" s="5">
        <v>0</v>
      </c>
      <c r="U59" s="12">
        <f t="shared" si="13"/>
        <v>0</v>
      </c>
      <c r="V59" s="25" t="s">
        <v>10</v>
      </c>
      <c r="W59" s="11">
        <f>IFERROR(VLOOKUP(V59,Curr!$B$2:$C$13,2,FALSE),0)</f>
        <v>11</v>
      </c>
      <c r="X59" s="12">
        <f t="shared" si="14"/>
        <v>0</v>
      </c>
      <c r="Y59" s="26">
        <f t="shared" si="15"/>
        <v>0</v>
      </c>
      <c r="Z59" s="12">
        <f t="shared" si="4"/>
        <v>0</v>
      </c>
      <c r="AA59" s="4" t="s">
        <v>10</v>
      </c>
      <c r="AB59" s="11">
        <f>IFERROR(VLOOKUP(AA59,Curr!$B$2:$C$13,2,FALSE),0)</f>
        <v>11</v>
      </c>
      <c r="AC59" s="12">
        <f t="shared" si="5"/>
        <v>0</v>
      </c>
      <c r="AD59" s="12">
        <f t="shared" si="6"/>
        <v>0</v>
      </c>
      <c r="AE59" s="13">
        <f t="shared" si="7"/>
        <v>0</v>
      </c>
    </row>
    <row r="60" spans="2:31" x14ac:dyDescent="0.25">
      <c r="B60" s="4"/>
      <c r="C60" s="1" t="s">
        <v>208</v>
      </c>
      <c r="D60" s="1" t="s">
        <v>54</v>
      </c>
      <c r="E60" s="3"/>
      <c r="F60" s="3"/>
      <c r="G60" s="24"/>
      <c r="H60" s="24"/>
      <c r="J60" s="1" t="s">
        <v>209</v>
      </c>
      <c r="K60" s="4"/>
      <c r="L60" s="4"/>
      <c r="M60" s="4"/>
      <c r="N60" s="4"/>
      <c r="O60" s="4"/>
      <c r="P60" s="27"/>
      <c r="Q60" s="25">
        <v>0</v>
      </c>
      <c r="R60" s="25">
        <v>0</v>
      </c>
      <c r="S60" s="12">
        <f t="shared" si="12"/>
        <v>0</v>
      </c>
      <c r="T60" s="5">
        <v>0</v>
      </c>
      <c r="U60" s="12">
        <f t="shared" si="13"/>
        <v>0</v>
      </c>
      <c r="V60" s="25" t="s">
        <v>10</v>
      </c>
      <c r="W60" s="11">
        <f>IFERROR(VLOOKUP(V60,Curr!$B$2:$C$13,2,FALSE),0)</f>
        <v>11</v>
      </c>
      <c r="X60" s="12">
        <f t="shared" si="14"/>
        <v>0</v>
      </c>
      <c r="Y60" s="26">
        <f t="shared" si="15"/>
        <v>0</v>
      </c>
      <c r="Z60" s="12">
        <f t="shared" si="4"/>
        <v>0</v>
      </c>
      <c r="AA60" s="4" t="s">
        <v>10</v>
      </c>
      <c r="AB60" s="11">
        <f>IFERROR(VLOOKUP(AA60,Curr!$B$2:$C$13,2,FALSE),0)</f>
        <v>11</v>
      </c>
      <c r="AC60" s="12">
        <f t="shared" si="5"/>
        <v>0</v>
      </c>
      <c r="AD60" s="12">
        <f t="shared" si="6"/>
        <v>0</v>
      </c>
      <c r="AE60" s="13">
        <f t="shared" si="7"/>
        <v>0</v>
      </c>
    </row>
    <row r="61" spans="2:31" x14ac:dyDescent="0.25">
      <c r="B61" s="4"/>
      <c r="C61" s="1" t="s">
        <v>208</v>
      </c>
      <c r="D61" s="1" t="s">
        <v>60</v>
      </c>
      <c r="E61" s="3"/>
      <c r="F61" s="3"/>
      <c r="G61" s="24"/>
      <c r="H61" s="24"/>
      <c r="J61" s="1" t="s">
        <v>210</v>
      </c>
      <c r="K61" s="4"/>
      <c r="L61" s="4"/>
      <c r="M61" s="4"/>
      <c r="N61" s="4"/>
      <c r="O61" s="4"/>
      <c r="P61" s="27"/>
      <c r="Q61" s="25">
        <v>0</v>
      </c>
      <c r="R61" s="25">
        <v>0</v>
      </c>
      <c r="S61" s="12">
        <f t="shared" si="12"/>
        <v>0</v>
      </c>
      <c r="T61" s="5">
        <v>0</v>
      </c>
      <c r="U61" s="12">
        <f t="shared" si="13"/>
        <v>0</v>
      </c>
      <c r="V61" s="25" t="s">
        <v>10</v>
      </c>
      <c r="W61" s="11">
        <f>IFERROR(VLOOKUP(V61,Curr!$B$2:$C$13,2,FALSE),0)</f>
        <v>11</v>
      </c>
      <c r="X61" s="12">
        <f t="shared" si="14"/>
        <v>0</v>
      </c>
      <c r="Y61" s="26">
        <f t="shared" si="15"/>
        <v>0</v>
      </c>
      <c r="Z61" s="12">
        <f t="shared" si="4"/>
        <v>0</v>
      </c>
      <c r="AA61" s="4" t="s">
        <v>10</v>
      </c>
      <c r="AB61" s="11">
        <f>IFERROR(VLOOKUP(AA61,Curr!$B$2:$C$13,2,FALSE),0)</f>
        <v>11</v>
      </c>
      <c r="AC61" s="12">
        <f t="shared" si="5"/>
        <v>0</v>
      </c>
      <c r="AD61" s="12">
        <f t="shared" si="6"/>
        <v>0</v>
      </c>
      <c r="AE61" s="13">
        <f t="shared" si="7"/>
        <v>0</v>
      </c>
    </row>
    <row r="62" spans="2:31" x14ac:dyDescent="0.25">
      <c r="B62" s="4"/>
      <c r="E62" s="3"/>
      <c r="F62" s="3"/>
      <c r="G62" s="24"/>
      <c r="H62" s="24"/>
      <c r="K62" s="4"/>
      <c r="L62" s="4"/>
      <c r="M62" s="4"/>
      <c r="N62" s="4"/>
      <c r="O62" s="4"/>
      <c r="P62" s="27"/>
      <c r="Q62" s="25"/>
      <c r="R62" s="25"/>
      <c r="S62" s="12">
        <f t="shared" si="12"/>
        <v>0</v>
      </c>
      <c r="T62" s="5">
        <v>0</v>
      </c>
      <c r="U62" s="12">
        <f t="shared" si="13"/>
        <v>0</v>
      </c>
      <c r="V62" s="25" t="s">
        <v>10</v>
      </c>
      <c r="W62" s="11">
        <f>IFERROR(VLOOKUP(V62,Curr!$B$2:$C$13,2,FALSE),0)</f>
        <v>11</v>
      </c>
      <c r="X62" s="12">
        <f t="shared" si="14"/>
        <v>0</v>
      </c>
      <c r="Y62" s="26">
        <f t="shared" si="15"/>
        <v>0</v>
      </c>
      <c r="Z62" s="12">
        <f t="shared" si="4"/>
        <v>0</v>
      </c>
      <c r="AA62" s="4" t="s">
        <v>10</v>
      </c>
      <c r="AB62" s="11">
        <f>IFERROR(VLOOKUP(AA62,Curr!$B$2:$C$13,2,FALSE),0)</f>
        <v>11</v>
      </c>
      <c r="AC62" s="12">
        <f t="shared" si="5"/>
        <v>0</v>
      </c>
      <c r="AD62" s="12">
        <f t="shared" si="6"/>
        <v>0</v>
      </c>
      <c r="AE62" s="13">
        <f t="shared" si="7"/>
        <v>0</v>
      </c>
    </row>
    <row r="63" spans="2:31" x14ac:dyDescent="0.25">
      <c r="B63" s="4"/>
      <c r="E63" s="3"/>
      <c r="F63" s="3"/>
      <c r="G63" s="24"/>
      <c r="H63" s="24"/>
      <c r="K63" s="4"/>
      <c r="L63" s="4"/>
      <c r="M63" s="4"/>
      <c r="N63" s="4"/>
      <c r="O63" s="4"/>
      <c r="P63" s="27"/>
      <c r="Q63" s="25"/>
      <c r="R63" s="25"/>
      <c r="S63" s="12">
        <f t="shared" si="12"/>
        <v>0</v>
      </c>
      <c r="T63" s="5">
        <v>0</v>
      </c>
      <c r="U63" s="12">
        <f t="shared" si="13"/>
        <v>0</v>
      </c>
      <c r="V63" s="25" t="s">
        <v>10</v>
      </c>
      <c r="W63" s="11">
        <f>IFERROR(VLOOKUP(V63,Curr!$B$2:$C$13,2,FALSE),0)</f>
        <v>11</v>
      </c>
      <c r="X63" s="12">
        <f t="shared" si="14"/>
        <v>0</v>
      </c>
      <c r="Y63" s="26">
        <f t="shared" si="15"/>
        <v>0</v>
      </c>
      <c r="Z63" s="12">
        <f t="shared" si="4"/>
        <v>0</v>
      </c>
      <c r="AA63" s="4" t="s">
        <v>10</v>
      </c>
      <c r="AB63" s="11">
        <f>IFERROR(VLOOKUP(AA63,Curr!$B$2:$C$13,2,FALSE),0)</f>
        <v>11</v>
      </c>
      <c r="AC63" s="12">
        <f t="shared" si="5"/>
        <v>0</v>
      </c>
      <c r="AD63" s="12">
        <f t="shared" si="6"/>
        <v>0</v>
      </c>
      <c r="AE63" s="13">
        <f t="shared" si="7"/>
        <v>0</v>
      </c>
    </row>
    <row r="64" spans="2:31" x14ac:dyDescent="0.25">
      <c r="B64" s="4"/>
      <c r="C64" s="1" t="s">
        <v>52</v>
      </c>
      <c r="D64" s="1" t="s">
        <v>175</v>
      </c>
      <c r="E64" s="3"/>
      <c r="F64" s="3"/>
      <c r="G64" s="24"/>
      <c r="H64" s="24"/>
      <c r="J64" s="1" t="s">
        <v>155</v>
      </c>
      <c r="K64" s="4"/>
      <c r="L64" s="4"/>
      <c r="M64" s="4"/>
      <c r="N64" s="4"/>
      <c r="O64" s="4"/>
      <c r="P64" s="27"/>
      <c r="Q64" s="25">
        <v>0</v>
      </c>
      <c r="R64" s="25">
        <v>0</v>
      </c>
      <c r="S64" s="12">
        <f t="shared" si="12"/>
        <v>0</v>
      </c>
      <c r="T64" s="5">
        <v>0</v>
      </c>
      <c r="U64" s="12">
        <f t="shared" si="13"/>
        <v>0</v>
      </c>
      <c r="V64" s="25" t="s">
        <v>10</v>
      </c>
      <c r="W64" s="11">
        <f>IFERROR(VLOOKUP(V64,Curr!$B$2:$C$13,2,FALSE),0)</f>
        <v>11</v>
      </c>
      <c r="X64" s="12">
        <f t="shared" si="14"/>
        <v>0</v>
      </c>
      <c r="Y64" s="26">
        <f t="shared" si="15"/>
        <v>0</v>
      </c>
      <c r="Z64" s="12">
        <f t="shared" si="4"/>
        <v>0</v>
      </c>
      <c r="AA64" s="4" t="s">
        <v>10</v>
      </c>
      <c r="AB64" s="11">
        <f>IFERROR(VLOOKUP(AA64,Curr!$B$2:$C$13,2,FALSE),0)</f>
        <v>11</v>
      </c>
      <c r="AC64" s="12">
        <f t="shared" si="5"/>
        <v>0</v>
      </c>
      <c r="AD64" s="12">
        <f t="shared" si="6"/>
        <v>0</v>
      </c>
      <c r="AE64" s="13">
        <f t="shared" si="7"/>
        <v>0</v>
      </c>
    </row>
    <row r="65" spans="2:31" x14ac:dyDescent="0.25">
      <c r="B65" s="4"/>
      <c r="C65" s="1" t="s">
        <v>59</v>
      </c>
      <c r="D65" s="1" t="s">
        <v>175</v>
      </c>
      <c r="E65" s="3"/>
      <c r="F65" s="3"/>
      <c r="G65" s="24"/>
      <c r="H65" s="24"/>
      <c r="J65" s="1" t="s">
        <v>176</v>
      </c>
      <c r="K65" s="4"/>
      <c r="L65" s="4"/>
      <c r="M65" s="4"/>
      <c r="N65" s="4"/>
      <c r="O65" s="4"/>
      <c r="P65" s="27"/>
      <c r="Q65" s="25">
        <v>0</v>
      </c>
      <c r="R65" s="25">
        <v>0</v>
      </c>
      <c r="S65" s="12">
        <f t="shared" si="12"/>
        <v>0</v>
      </c>
      <c r="T65" s="5">
        <v>0</v>
      </c>
      <c r="U65" s="12">
        <f t="shared" si="13"/>
        <v>0</v>
      </c>
      <c r="V65" s="25" t="s">
        <v>10</v>
      </c>
      <c r="W65" s="11">
        <f>IFERROR(VLOOKUP(V65,Curr!$B$2:$C$13,2,FALSE),0)</f>
        <v>11</v>
      </c>
      <c r="X65" s="12">
        <f t="shared" si="14"/>
        <v>0</v>
      </c>
      <c r="Y65" s="26">
        <f t="shared" si="15"/>
        <v>0</v>
      </c>
      <c r="Z65" s="12">
        <f t="shared" si="4"/>
        <v>0</v>
      </c>
      <c r="AA65" s="4" t="s">
        <v>10</v>
      </c>
      <c r="AB65" s="11">
        <f>IFERROR(VLOOKUP(AA65,Curr!$B$2:$C$13,2,FALSE),0)</f>
        <v>11</v>
      </c>
      <c r="AC65" s="12">
        <f t="shared" si="5"/>
        <v>0</v>
      </c>
      <c r="AD65" s="12">
        <f t="shared" si="6"/>
        <v>0</v>
      </c>
      <c r="AE65" s="13">
        <f t="shared" si="7"/>
        <v>0</v>
      </c>
    </row>
    <row r="66" spans="2:31" x14ac:dyDescent="0.25">
      <c r="B66" s="4"/>
      <c r="C66" s="1" t="s">
        <v>59</v>
      </c>
      <c r="D66" s="1" t="s">
        <v>175</v>
      </c>
      <c r="E66" s="3"/>
      <c r="F66" s="3"/>
      <c r="G66" s="24"/>
      <c r="H66" s="24"/>
      <c r="J66" s="1" t="s">
        <v>177</v>
      </c>
      <c r="K66" s="4"/>
      <c r="L66" s="4"/>
      <c r="M66" s="4"/>
      <c r="N66" s="4"/>
      <c r="O66" s="4"/>
      <c r="P66" s="27"/>
      <c r="Q66" s="25">
        <v>900</v>
      </c>
      <c r="R66" s="25">
        <v>0</v>
      </c>
      <c r="S66" s="12">
        <f t="shared" si="12"/>
        <v>0</v>
      </c>
      <c r="T66" s="5">
        <v>0</v>
      </c>
      <c r="U66" s="12">
        <f t="shared" si="13"/>
        <v>0</v>
      </c>
      <c r="V66" s="25" t="s">
        <v>10</v>
      </c>
      <c r="W66" s="11">
        <f>IFERROR(VLOOKUP(V66,Curr!$B$2:$C$13,2,FALSE),0)</f>
        <v>11</v>
      </c>
      <c r="X66" s="12">
        <f t="shared" si="14"/>
        <v>0</v>
      </c>
      <c r="Y66" s="26">
        <f>Q66/11.3/0.8</f>
        <v>99.55752212389379</v>
      </c>
      <c r="Z66" s="12">
        <f t="shared" si="4"/>
        <v>0</v>
      </c>
      <c r="AA66" s="4" t="s">
        <v>10</v>
      </c>
      <c r="AB66" s="11">
        <f>IFERROR(VLOOKUP(AA66,Curr!$B$2:$C$13,2,FALSE),0)</f>
        <v>11</v>
      </c>
      <c r="AC66" s="12">
        <f t="shared" si="5"/>
        <v>0</v>
      </c>
      <c r="AD66" s="12">
        <f t="shared" si="6"/>
        <v>0</v>
      </c>
      <c r="AE66" s="13">
        <f t="shared" si="7"/>
        <v>0</v>
      </c>
    </row>
    <row r="67" spans="2:31" x14ac:dyDescent="0.25">
      <c r="B67" s="4"/>
      <c r="C67" s="1" t="s">
        <v>62</v>
      </c>
      <c r="D67" s="1" t="s">
        <v>175</v>
      </c>
      <c r="E67" s="3"/>
      <c r="F67" s="3"/>
      <c r="G67" s="24"/>
      <c r="H67" s="24"/>
      <c r="J67" s="1" t="s">
        <v>178</v>
      </c>
      <c r="K67" s="4"/>
      <c r="L67" s="4"/>
      <c r="M67" s="4"/>
      <c r="N67" s="4"/>
      <c r="O67" s="4"/>
      <c r="P67" s="27"/>
      <c r="Q67" s="25">
        <v>900</v>
      </c>
      <c r="R67" s="25">
        <v>0</v>
      </c>
      <c r="S67" s="12">
        <f t="shared" si="12"/>
        <v>0</v>
      </c>
      <c r="T67" s="5">
        <v>0</v>
      </c>
      <c r="U67" s="12">
        <f t="shared" si="13"/>
        <v>0</v>
      </c>
      <c r="V67" s="25" t="s">
        <v>10</v>
      </c>
      <c r="W67" s="11">
        <f>IFERROR(VLOOKUP(V67,Curr!$B$2:$C$13,2,FALSE),0)</f>
        <v>11</v>
      </c>
      <c r="X67" s="12">
        <f t="shared" si="14"/>
        <v>0</v>
      </c>
      <c r="Y67" s="26">
        <f>Q67/11.3/0.8</f>
        <v>99.55752212389379</v>
      </c>
      <c r="Z67" s="12">
        <f t="shared" si="4"/>
        <v>0</v>
      </c>
      <c r="AA67" s="4" t="s">
        <v>10</v>
      </c>
      <c r="AB67" s="11">
        <f>IFERROR(VLOOKUP(AA67,Curr!$B$2:$C$13,2,FALSE),0)</f>
        <v>11</v>
      </c>
      <c r="AC67" s="12">
        <f t="shared" si="5"/>
        <v>0</v>
      </c>
      <c r="AD67" s="12">
        <f t="shared" si="6"/>
        <v>0</v>
      </c>
      <c r="AE67" s="13">
        <f t="shared" si="7"/>
        <v>0</v>
      </c>
    </row>
    <row r="68" spans="2:31" x14ac:dyDescent="0.25">
      <c r="B68" s="4"/>
      <c r="C68" s="1" t="s">
        <v>65</v>
      </c>
      <c r="D68" s="1" t="s">
        <v>175</v>
      </c>
      <c r="E68" s="3"/>
      <c r="F68" s="3"/>
      <c r="G68" s="24"/>
      <c r="H68" s="24"/>
      <c r="J68" s="1" t="s">
        <v>213</v>
      </c>
      <c r="K68" s="4"/>
      <c r="L68" s="4"/>
      <c r="M68" s="4"/>
      <c r="N68" s="4"/>
      <c r="O68" s="4"/>
      <c r="P68" s="27"/>
      <c r="Q68" s="25">
        <v>40</v>
      </c>
      <c r="R68" s="25">
        <v>0</v>
      </c>
      <c r="S68" s="12">
        <f t="shared" si="12"/>
        <v>0</v>
      </c>
      <c r="T68" s="5">
        <v>0</v>
      </c>
      <c r="U68" s="12">
        <f t="shared" si="13"/>
        <v>0</v>
      </c>
      <c r="V68" s="25" t="s">
        <v>10</v>
      </c>
      <c r="W68" s="11">
        <f>IFERROR(VLOOKUP(V68,Curr!$B$2:$C$13,2,FALSE),0)</f>
        <v>11</v>
      </c>
      <c r="X68" s="12">
        <f t="shared" si="14"/>
        <v>0</v>
      </c>
      <c r="Y68" s="26">
        <f>Q68/0.67</f>
        <v>59.701492537313428</v>
      </c>
      <c r="Z68" s="12">
        <f t="shared" si="4"/>
        <v>0</v>
      </c>
      <c r="AA68" s="4" t="s">
        <v>10</v>
      </c>
      <c r="AB68" s="11">
        <f>IFERROR(VLOOKUP(AA68,Curr!$B$2:$C$13,2,FALSE),0)</f>
        <v>11</v>
      </c>
      <c r="AC68" s="12">
        <f t="shared" si="5"/>
        <v>0</v>
      </c>
      <c r="AD68" s="12">
        <f t="shared" si="6"/>
        <v>0</v>
      </c>
      <c r="AE68" s="13">
        <f t="shared" si="7"/>
        <v>0</v>
      </c>
    </row>
    <row r="69" spans="2:31" x14ac:dyDescent="0.25">
      <c r="B69" s="4"/>
      <c r="C69" s="1" t="s">
        <v>74</v>
      </c>
      <c r="D69" s="1" t="s">
        <v>175</v>
      </c>
      <c r="E69" s="3"/>
      <c r="F69" s="3"/>
      <c r="G69" s="24"/>
      <c r="H69" s="24"/>
      <c r="J69" s="1" t="s">
        <v>214</v>
      </c>
      <c r="K69" s="4"/>
      <c r="L69" s="4"/>
      <c r="M69" s="4"/>
      <c r="N69" s="4"/>
      <c r="O69" s="4"/>
      <c r="P69" s="27"/>
      <c r="Q69" s="25">
        <v>40</v>
      </c>
      <c r="R69" s="25">
        <v>0</v>
      </c>
      <c r="S69" s="12">
        <f t="shared" si="12"/>
        <v>0</v>
      </c>
      <c r="T69" s="5">
        <v>0</v>
      </c>
      <c r="U69" s="12">
        <f t="shared" si="13"/>
        <v>0</v>
      </c>
      <c r="V69" s="25" t="s">
        <v>10</v>
      </c>
      <c r="W69" s="11">
        <f>IFERROR(VLOOKUP(V69,Curr!$B$2:$C$13,2,FALSE),0)</f>
        <v>11</v>
      </c>
      <c r="X69" s="12">
        <f t="shared" si="14"/>
        <v>0</v>
      </c>
      <c r="Y69" s="26">
        <f>Q69/0.67</f>
        <v>59.701492537313428</v>
      </c>
      <c r="Z69" s="12">
        <f t="shared" si="4"/>
        <v>0</v>
      </c>
      <c r="AA69" s="4" t="s">
        <v>10</v>
      </c>
      <c r="AB69" s="11">
        <f>IFERROR(VLOOKUP(AA69,Curr!$B$2:$C$13,2,FALSE),0)</f>
        <v>11</v>
      </c>
      <c r="AC69" s="12">
        <f t="shared" si="5"/>
        <v>0</v>
      </c>
      <c r="AD69" s="12">
        <f t="shared" si="6"/>
        <v>0</v>
      </c>
      <c r="AE69" s="13">
        <f t="shared" si="7"/>
        <v>0</v>
      </c>
    </row>
    <row r="70" spans="2:31" x14ac:dyDescent="0.25">
      <c r="B70" s="4"/>
      <c r="C70" s="1" t="s">
        <v>75</v>
      </c>
      <c r="D70" s="1" t="s">
        <v>175</v>
      </c>
      <c r="E70" s="3"/>
      <c r="F70" s="3"/>
      <c r="G70" s="24"/>
      <c r="H70" s="24"/>
      <c r="J70" s="1" t="s">
        <v>153</v>
      </c>
      <c r="K70" s="4"/>
      <c r="L70" s="4"/>
      <c r="M70" s="4"/>
      <c r="N70" s="4"/>
      <c r="O70" s="4"/>
      <c r="P70" s="27"/>
      <c r="Q70" s="25">
        <v>80</v>
      </c>
      <c r="R70" s="25">
        <v>0</v>
      </c>
      <c r="S70" s="12">
        <f t="shared" si="12"/>
        <v>0</v>
      </c>
      <c r="T70" s="5">
        <v>0</v>
      </c>
      <c r="U70" s="12">
        <f t="shared" si="13"/>
        <v>0</v>
      </c>
      <c r="V70" s="25" t="s">
        <v>10</v>
      </c>
      <c r="W70" s="11">
        <f>IFERROR(VLOOKUP(V70,Curr!$B$2:$C$13,2,FALSE),0)</f>
        <v>11</v>
      </c>
      <c r="X70" s="12">
        <f t="shared" si="14"/>
        <v>0</v>
      </c>
      <c r="Y70" s="26">
        <f>Q70/0.8</f>
        <v>100</v>
      </c>
      <c r="Z70" s="12">
        <f t="shared" si="4"/>
        <v>0</v>
      </c>
      <c r="AA70" s="4" t="s">
        <v>10</v>
      </c>
      <c r="AB70" s="11">
        <f>IFERROR(VLOOKUP(AA70,Curr!$B$2:$C$13,2,FALSE),0)</f>
        <v>11</v>
      </c>
      <c r="AC70" s="12">
        <f t="shared" si="5"/>
        <v>0</v>
      </c>
      <c r="AD70" s="12">
        <f t="shared" si="6"/>
        <v>0</v>
      </c>
      <c r="AE70" s="13">
        <f t="shared" si="7"/>
        <v>0</v>
      </c>
    </row>
    <row r="71" spans="2:31" x14ac:dyDescent="0.25">
      <c r="B71" s="4"/>
      <c r="C71" s="1" t="s">
        <v>208</v>
      </c>
      <c r="D71" s="1" t="s">
        <v>175</v>
      </c>
      <c r="E71" s="3"/>
      <c r="F71" s="3"/>
      <c r="G71" s="24"/>
      <c r="H71" s="24"/>
      <c r="J71" s="1" t="s">
        <v>215</v>
      </c>
      <c r="K71" s="4"/>
      <c r="L71" s="4"/>
      <c r="M71" s="4"/>
      <c r="N71" s="4"/>
      <c r="O71" s="4"/>
      <c r="P71" s="27"/>
      <c r="Q71" s="25">
        <v>80</v>
      </c>
      <c r="R71" s="25">
        <v>0</v>
      </c>
      <c r="S71" s="12">
        <f t="shared" ref="S71:S86" si="18">+Q71*R71</f>
        <v>0</v>
      </c>
      <c r="T71" s="5">
        <v>0</v>
      </c>
      <c r="U71" s="12">
        <f t="shared" si="13"/>
        <v>0</v>
      </c>
      <c r="V71" s="25" t="s">
        <v>10</v>
      </c>
      <c r="W71" s="11">
        <f>IFERROR(VLOOKUP(V71,Curr!$B$2:$C$13,2,FALSE),0)</f>
        <v>11</v>
      </c>
      <c r="X71" s="12">
        <f t="shared" ref="X71:X86" si="19">U71*W71</f>
        <v>0</v>
      </c>
      <c r="Y71" s="26">
        <f>Q71/0.8</f>
        <v>100</v>
      </c>
      <c r="Z71" s="12">
        <f t="shared" ref="Z71:Z86" si="20">+Y71*R71</f>
        <v>0</v>
      </c>
      <c r="AA71" s="4" t="s">
        <v>10</v>
      </c>
      <c r="AB71" s="11">
        <f>IFERROR(VLOOKUP(AA71,Curr!$B$2:$C$13,2,FALSE),0)</f>
        <v>11</v>
      </c>
      <c r="AC71" s="12">
        <f t="shared" ref="AC71:AC86" si="21">+Y71*AB71*R71</f>
        <v>0</v>
      </c>
      <c r="AD71" s="12">
        <f t="shared" ref="AD71:AD86" si="22">+AC71-X71</f>
        <v>0</v>
      </c>
      <c r="AE71" s="13">
        <f t="shared" ref="AE71:AE86" si="23">IFERROR(AD71/AC71,0)</f>
        <v>0</v>
      </c>
    </row>
    <row r="72" spans="2:31" x14ac:dyDescent="0.25">
      <c r="B72" s="4"/>
      <c r="E72" s="3"/>
      <c r="F72" s="3"/>
      <c r="G72" s="24"/>
      <c r="H72" s="24"/>
      <c r="K72" s="4"/>
      <c r="L72" s="4"/>
      <c r="M72" s="4"/>
      <c r="N72" s="4"/>
      <c r="O72" s="4"/>
      <c r="P72" s="27"/>
      <c r="Q72" s="25"/>
      <c r="R72" s="25"/>
      <c r="S72" s="12">
        <f t="shared" si="18"/>
        <v>0</v>
      </c>
      <c r="T72" s="5">
        <v>0</v>
      </c>
      <c r="U72" s="12">
        <f t="shared" ref="U72:U86" si="24">S72*(1-T72)</f>
        <v>0</v>
      </c>
      <c r="V72" s="25" t="s">
        <v>10</v>
      </c>
      <c r="W72" s="11">
        <f>IFERROR(VLOOKUP(V72,Curr!$B$2:$C$13,2,FALSE),0)</f>
        <v>11</v>
      </c>
      <c r="X72" s="12">
        <f t="shared" si="19"/>
        <v>0</v>
      </c>
      <c r="Y72" s="26">
        <f t="shared" ref="Y72:Y86" si="25">Q72</f>
        <v>0</v>
      </c>
      <c r="Z72" s="12">
        <f t="shared" si="20"/>
        <v>0</v>
      </c>
      <c r="AA72" s="4" t="s">
        <v>10</v>
      </c>
      <c r="AB72" s="11">
        <f>IFERROR(VLOOKUP(AA72,Curr!$B$2:$C$13,2,FALSE),0)</f>
        <v>11</v>
      </c>
      <c r="AC72" s="12">
        <f t="shared" si="21"/>
        <v>0</v>
      </c>
      <c r="AD72" s="12">
        <f t="shared" si="22"/>
        <v>0</v>
      </c>
      <c r="AE72" s="13">
        <f t="shared" si="23"/>
        <v>0</v>
      </c>
    </row>
    <row r="73" spans="2:31" x14ac:dyDescent="0.25">
      <c r="B73" s="4"/>
      <c r="E73" s="3"/>
      <c r="F73" s="3"/>
      <c r="G73" s="24"/>
      <c r="H73" s="24"/>
      <c r="K73" s="4"/>
      <c r="L73" s="4"/>
      <c r="M73" s="4"/>
      <c r="N73" s="4"/>
      <c r="O73" s="4"/>
      <c r="P73" s="27"/>
      <c r="Q73" s="25"/>
      <c r="R73" s="25"/>
      <c r="S73" s="12">
        <f t="shared" si="18"/>
        <v>0</v>
      </c>
      <c r="T73" s="5">
        <v>0</v>
      </c>
      <c r="U73" s="12">
        <f t="shared" si="24"/>
        <v>0</v>
      </c>
      <c r="V73" s="25" t="s">
        <v>10</v>
      </c>
      <c r="W73" s="11">
        <f>IFERROR(VLOOKUP(V73,Curr!$B$2:$C$13,2,FALSE),0)</f>
        <v>11</v>
      </c>
      <c r="X73" s="12">
        <f t="shared" si="19"/>
        <v>0</v>
      </c>
      <c r="Y73" s="26">
        <f t="shared" si="25"/>
        <v>0</v>
      </c>
      <c r="Z73" s="12">
        <f t="shared" si="20"/>
        <v>0</v>
      </c>
      <c r="AA73" s="4" t="s">
        <v>10</v>
      </c>
      <c r="AB73" s="11">
        <f>IFERROR(VLOOKUP(AA73,Curr!$B$2:$C$13,2,FALSE),0)</f>
        <v>11</v>
      </c>
      <c r="AC73" s="12">
        <f t="shared" si="21"/>
        <v>0</v>
      </c>
      <c r="AD73" s="12">
        <f t="shared" si="22"/>
        <v>0</v>
      </c>
      <c r="AE73" s="13">
        <f t="shared" si="23"/>
        <v>0</v>
      </c>
    </row>
    <row r="74" spans="2:31" x14ac:dyDescent="0.25">
      <c r="B74" s="4"/>
      <c r="C74" s="1" t="s">
        <v>61</v>
      </c>
      <c r="D74" s="1" t="s">
        <v>110</v>
      </c>
      <c r="E74" s="3"/>
      <c r="F74" s="3"/>
      <c r="G74" s="24"/>
      <c r="H74" s="24"/>
      <c r="J74" s="1" t="s">
        <v>179</v>
      </c>
      <c r="K74" s="4"/>
      <c r="L74" s="4"/>
      <c r="M74" s="4"/>
      <c r="N74" s="4"/>
      <c r="O74" s="4"/>
      <c r="P74" s="33" t="s">
        <v>180</v>
      </c>
      <c r="Q74" s="25">
        <v>180</v>
      </c>
      <c r="R74" s="25">
        <v>0</v>
      </c>
      <c r="S74" s="12">
        <f t="shared" si="18"/>
        <v>0</v>
      </c>
      <c r="T74" s="5">
        <v>0</v>
      </c>
      <c r="U74" s="12">
        <f t="shared" si="24"/>
        <v>0</v>
      </c>
      <c r="V74" s="25" t="s">
        <v>10</v>
      </c>
      <c r="W74" s="11">
        <f>IFERROR(VLOOKUP(V74,Curr!$B$2:$C$13,2,FALSE),0)</f>
        <v>11</v>
      </c>
      <c r="X74" s="12">
        <f t="shared" si="19"/>
        <v>0</v>
      </c>
      <c r="Y74" s="26">
        <f t="shared" si="25"/>
        <v>180</v>
      </c>
      <c r="Z74" s="12">
        <f t="shared" si="20"/>
        <v>0</v>
      </c>
      <c r="AA74" s="4" t="s">
        <v>10</v>
      </c>
      <c r="AB74" s="11">
        <f>IFERROR(VLOOKUP(AA74,Curr!$B$2:$C$13,2,FALSE),0)</f>
        <v>11</v>
      </c>
      <c r="AC74" s="12">
        <f t="shared" si="21"/>
        <v>0</v>
      </c>
      <c r="AD74" s="12">
        <f t="shared" si="22"/>
        <v>0</v>
      </c>
      <c r="AE74" s="13">
        <f t="shared" si="23"/>
        <v>0</v>
      </c>
    </row>
    <row r="75" spans="2:31" x14ac:dyDescent="0.25">
      <c r="B75" s="4"/>
      <c r="C75" s="1" t="s">
        <v>64</v>
      </c>
      <c r="D75" s="1" t="s">
        <v>110</v>
      </c>
      <c r="E75" s="3"/>
      <c r="F75" s="3"/>
      <c r="G75" s="24"/>
      <c r="H75" s="24"/>
      <c r="J75" s="1" t="s">
        <v>216</v>
      </c>
      <c r="K75" s="4"/>
      <c r="L75" s="4"/>
      <c r="M75" s="4"/>
      <c r="N75" s="4"/>
      <c r="O75" s="4" t="s">
        <v>42</v>
      </c>
      <c r="P75" s="33" t="s">
        <v>217</v>
      </c>
      <c r="Q75" s="25">
        <v>2195</v>
      </c>
      <c r="R75" s="25">
        <v>0</v>
      </c>
      <c r="S75" s="12">
        <f t="shared" si="18"/>
        <v>0</v>
      </c>
      <c r="T75" s="5">
        <v>0</v>
      </c>
      <c r="U75" s="12">
        <f t="shared" si="24"/>
        <v>0</v>
      </c>
      <c r="V75" s="25" t="s">
        <v>10</v>
      </c>
      <c r="W75" s="11">
        <f>IFERROR(VLOOKUP(V75,Curr!$B$2:$C$13,2,FALSE),0)</f>
        <v>11</v>
      </c>
      <c r="X75" s="12">
        <f t="shared" si="19"/>
        <v>0</v>
      </c>
      <c r="Y75" s="26">
        <f t="shared" si="25"/>
        <v>2195</v>
      </c>
      <c r="Z75" s="12">
        <f t="shared" si="20"/>
        <v>0</v>
      </c>
      <c r="AA75" s="4" t="s">
        <v>10</v>
      </c>
      <c r="AB75" s="11">
        <f>IFERROR(VLOOKUP(AA75,Curr!$B$2:$C$13,2,FALSE),0)</f>
        <v>11</v>
      </c>
      <c r="AC75" s="12">
        <f t="shared" si="21"/>
        <v>0</v>
      </c>
      <c r="AD75" s="12">
        <f t="shared" si="22"/>
        <v>0</v>
      </c>
      <c r="AE75" s="13">
        <f t="shared" si="23"/>
        <v>0</v>
      </c>
    </row>
    <row r="76" spans="2:31" x14ac:dyDescent="0.25">
      <c r="B76" s="4"/>
      <c r="C76" s="1" t="s">
        <v>66</v>
      </c>
      <c r="D76" s="1" t="s">
        <v>110</v>
      </c>
      <c r="E76" s="3"/>
      <c r="F76" s="3"/>
      <c r="G76" s="24"/>
      <c r="H76" s="24"/>
      <c r="J76" s="1" t="s">
        <v>219</v>
      </c>
      <c r="K76" s="4"/>
      <c r="L76" s="4"/>
      <c r="M76" s="4"/>
      <c r="N76" s="4"/>
      <c r="O76" s="4" t="s">
        <v>42</v>
      </c>
      <c r="P76" s="33" t="s">
        <v>220</v>
      </c>
      <c r="Q76" s="25">
        <v>252</v>
      </c>
      <c r="R76" s="25">
        <v>0</v>
      </c>
      <c r="S76" s="12">
        <f t="shared" si="18"/>
        <v>0</v>
      </c>
      <c r="T76" s="5">
        <v>0.2</v>
      </c>
      <c r="U76" s="12">
        <f t="shared" si="24"/>
        <v>0</v>
      </c>
      <c r="V76" s="25" t="s">
        <v>10</v>
      </c>
      <c r="W76" s="11">
        <f>IFERROR(VLOOKUP(V76,Curr!$B$2:$C$13,2,FALSE),0)</f>
        <v>11</v>
      </c>
      <c r="X76" s="12">
        <f t="shared" si="19"/>
        <v>0</v>
      </c>
      <c r="Y76" s="26">
        <f t="shared" si="25"/>
        <v>252</v>
      </c>
      <c r="Z76" s="12">
        <f t="shared" si="20"/>
        <v>0</v>
      </c>
      <c r="AA76" s="4" t="s">
        <v>10</v>
      </c>
      <c r="AB76" s="11">
        <f>IFERROR(VLOOKUP(AA76,Curr!$B$2:$C$13,2,FALSE),0)</f>
        <v>11</v>
      </c>
      <c r="AC76" s="12">
        <f t="shared" si="21"/>
        <v>0</v>
      </c>
      <c r="AD76" s="12">
        <f t="shared" si="22"/>
        <v>0</v>
      </c>
      <c r="AE76" s="13">
        <f t="shared" si="23"/>
        <v>0</v>
      </c>
    </row>
    <row r="77" spans="2:31" x14ac:dyDescent="0.25">
      <c r="B77" s="4"/>
      <c r="C77" s="1" t="s">
        <v>67</v>
      </c>
      <c r="D77" s="1" t="s">
        <v>110</v>
      </c>
      <c r="E77" s="3"/>
      <c r="F77" s="3"/>
      <c r="G77" s="24"/>
      <c r="H77" s="24"/>
      <c r="J77" s="1" t="s">
        <v>221</v>
      </c>
      <c r="K77" s="4"/>
      <c r="L77" s="4"/>
      <c r="M77" s="4"/>
      <c r="N77" s="4"/>
      <c r="O77" s="4" t="s">
        <v>42</v>
      </c>
      <c r="P77" s="33" t="s">
        <v>222</v>
      </c>
      <c r="Q77" s="25">
        <v>500</v>
      </c>
      <c r="R77" s="25">
        <v>0</v>
      </c>
      <c r="S77" s="12">
        <f t="shared" si="18"/>
        <v>0</v>
      </c>
      <c r="T77" s="5">
        <v>0.12</v>
      </c>
      <c r="U77" s="12">
        <f t="shared" si="24"/>
        <v>0</v>
      </c>
      <c r="V77" s="25" t="s">
        <v>10</v>
      </c>
      <c r="W77" s="11">
        <f>IFERROR(VLOOKUP(V77,Curr!$B$2:$C$13,2,FALSE),0)</f>
        <v>11</v>
      </c>
      <c r="X77" s="12">
        <f t="shared" si="19"/>
        <v>0</v>
      </c>
      <c r="Y77" s="26">
        <f>Q77/0.97</f>
        <v>515.46391752577324</v>
      </c>
      <c r="Z77" s="12">
        <f t="shared" si="20"/>
        <v>0</v>
      </c>
      <c r="AA77" s="4" t="s">
        <v>10</v>
      </c>
      <c r="AB77" s="11">
        <f>IFERROR(VLOOKUP(AA77,Curr!$B$2:$C$13,2,FALSE),0)</f>
        <v>11</v>
      </c>
      <c r="AC77" s="12">
        <f t="shared" si="21"/>
        <v>0</v>
      </c>
      <c r="AD77" s="12">
        <f t="shared" si="22"/>
        <v>0</v>
      </c>
      <c r="AE77" s="13">
        <f t="shared" si="23"/>
        <v>0</v>
      </c>
    </row>
    <row r="78" spans="2:31" x14ac:dyDescent="0.25">
      <c r="B78" s="4"/>
      <c r="E78" s="3"/>
      <c r="F78" s="3"/>
      <c r="G78" s="24"/>
      <c r="H78" s="24"/>
      <c r="K78" s="4"/>
      <c r="L78" s="4"/>
      <c r="M78" s="4"/>
      <c r="N78" s="4"/>
      <c r="O78" s="4"/>
      <c r="P78" s="27"/>
      <c r="Q78" s="25"/>
      <c r="R78" s="25"/>
      <c r="S78" s="12">
        <f t="shared" si="18"/>
        <v>0</v>
      </c>
      <c r="T78" s="5">
        <v>0</v>
      </c>
      <c r="U78" s="12">
        <f t="shared" si="24"/>
        <v>0</v>
      </c>
      <c r="V78" s="25" t="s">
        <v>10</v>
      </c>
      <c r="W78" s="11">
        <f>IFERROR(VLOOKUP(V78,Curr!$B$2:$C$13,2,FALSE),0)</f>
        <v>11</v>
      </c>
      <c r="X78" s="12">
        <f t="shared" si="19"/>
        <v>0</v>
      </c>
      <c r="Y78" s="26">
        <f t="shared" si="25"/>
        <v>0</v>
      </c>
      <c r="Z78" s="12">
        <f t="shared" si="20"/>
        <v>0</v>
      </c>
      <c r="AA78" s="4" t="s">
        <v>10</v>
      </c>
      <c r="AB78" s="11">
        <f>IFERROR(VLOOKUP(AA78,Curr!$B$2:$C$13,2,FALSE),0)</f>
        <v>11</v>
      </c>
      <c r="AC78" s="12">
        <f t="shared" si="21"/>
        <v>0</v>
      </c>
      <c r="AD78" s="12">
        <f t="shared" si="22"/>
        <v>0</v>
      </c>
      <c r="AE78" s="13">
        <f t="shared" si="23"/>
        <v>0</v>
      </c>
    </row>
    <row r="79" spans="2:31" x14ac:dyDescent="0.25">
      <c r="B79" s="4"/>
      <c r="E79" s="3"/>
      <c r="F79" s="3"/>
      <c r="G79" s="24"/>
      <c r="H79" s="24"/>
      <c r="K79" s="4"/>
      <c r="L79" s="4"/>
      <c r="M79" s="4"/>
      <c r="N79" s="4"/>
      <c r="O79" s="4"/>
      <c r="P79" s="27"/>
      <c r="Q79" s="25"/>
      <c r="R79" s="25"/>
      <c r="S79" s="12">
        <f t="shared" si="18"/>
        <v>0</v>
      </c>
      <c r="T79" s="5">
        <v>0</v>
      </c>
      <c r="U79" s="12">
        <f t="shared" si="24"/>
        <v>0</v>
      </c>
      <c r="V79" s="25" t="s">
        <v>10</v>
      </c>
      <c r="W79" s="11">
        <f>IFERROR(VLOOKUP(V79,Curr!$B$2:$C$13,2,FALSE),0)</f>
        <v>11</v>
      </c>
      <c r="X79" s="12">
        <f t="shared" si="19"/>
        <v>0</v>
      </c>
      <c r="Y79" s="26">
        <f t="shared" si="25"/>
        <v>0</v>
      </c>
      <c r="Z79" s="12">
        <f t="shared" si="20"/>
        <v>0</v>
      </c>
      <c r="AA79" s="4" t="s">
        <v>10</v>
      </c>
      <c r="AB79" s="11">
        <f>IFERROR(VLOOKUP(AA79,Curr!$B$2:$C$13,2,FALSE),0)</f>
        <v>11</v>
      </c>
      <c r="AC79" s="12">
        <f t="shared" si="21"/>
        <v>0</v>
      </c>
      <c r="AD79" s="12">
        <f t="shared" si="22"/>
        <v>0</v>
      </c>
      <c r="AE79" s="13">
        <f t="shared" si="23"/>
        <v>0</v>
      </c>
    </row>
    <row r="80" spans="2:31" x14ac:dyDescent="0.25">
      <c r="B80" s="4"/>
      <c r="C80" s="1" t="s">
        <v>59</v>
      </c>
      <c r="D80" s="1" t="s">
        <v>223</v>
      </c>
      <c r="E80" s="3"/>
      <c r="F80" s="3"/>
      <c r="G80" s="24"/>
      <c r="H80" s="24"/>
      <c r="J80" s="1" t="s">
        <v>224</v>
      </c>
      <c r="K80" s="4"/>
      <c r="L80" s="4"/>
      <c r="M80" s="4"/>
      <c r="N80" s="4"/>
      <c r="O80" s="4"/>
      <c r="P80" s="27"/>
      <c r="Q80" s="25"/>
      <c r="R80" s="25"/>
      <c r="S80" s="12">
        <f t="shared" si="18"/>
        <v>0</v>
      </c>
      <c r="T80" s="5">
        <v>0</v>
      </c>
      <c r="U80" s="12">
        <f t="shared" si="24"/>
        <v>0</v>
      </c>
      <c r="V80" s="25" t="s">
        <v>10</v>
      </c>
      <c r="W80" s="11">
        <f>IFERROR(VLOOKUP(V80,Curr!$B$2:$C$13,2,FALSE),0)</f>
        <v>11</v>
      </c>
      <c r="X80" s="12">
        <f t="shared" si="19"/>
        <v>0</v>
      </c>
      <c r="Y80" s="26">
        <f t="shared" si="25"/>
        <v>0</v>
      </c>
      <c r="Z80" s="12">
        <f t="shared" si="20"/>
        <v>0</v>
      </c>
      <c r="AA80" s="4" t="s">
        <v>10</v>
      </c>
      <c r="AB80" s="11">
        <f>IFERROR(VLOOKUP(AA80,Curr!$B$2:$C$13,2,FALSE),0)</f>
        <v>11</v>
      </c>
      <c r="AC80" s="12">
        <f t="shared" si="21"/>
        <v>0</v>
      </c>
      <c r="AD80" s="12">
        <f t="shared" si="22"/>
        <v>0</v>
      </c>
      <c r="AE80" s="13">
        <f t="shared" si="23"/>
        <v>0</v>
      </c>
    </row>
    <row r="81" spans="2:36" x14ac:dyDescent="0.25">
      <c r="B81" s="4"/>
      <c r="C81" s="1" t="s">
        <v>67</v>
      </c>
      <c r="D81" s="1" t="s">
        <v>223</v>
      </c>
      <c r="E81" s="3"/>
      <c r="F81" s="3"/>
      <c r="G81" s="24"/>
      <c r="H81" s="24"/>
      <c r="J81" s="1" t="s">
        <v>225</v>
      </c>
      <c r="K81" s="4"/>
      <c r="L81" s="4"/>
      <c r="M81" s="4"/>
      <c r="N81" s="4"/>
      <c r="O81" s="4"/>
      <c r="P81" s="27"/>
      <c r="Q81" s="25"/>
      <c r="R81" s="25"/>
      <c r="S81" s="12">
        <f t="shared" si="18"/>
        <v>0</v>
      </c>
      <c r="T81" s="5">
        <v>0</v>
      </c>
      <c r="U81" s="12">
        <f t="shared" si="24"/>
        <v>0</v>
      </c>
      <c r="V81" s="25" t="s">
        <v>10</v>
      </c>
      <c r="W81" s="11">
        <f>IFERROR(VLOOKUP(V81,Curr!$B$2:$C$13,2,FALSE),0)</f>
        <v>11</v>
      </c>
      <c r="X81" s="12">
        <f t="shared" si="19"/>
        <v>0</v>
      </c>
      <c r="Y81" s="26">
        <f t="shared" si="25"/>
        <v>0</v>
      </c>
      <c r="Z81" s="12">
        <f t="shared" si="20"/>
        <v>0</v>
      </c>
      <c r="AA81" s="4" t="s">
        <v>10</v>
      </c>
      <c r="AB81" s="11">
        <f>IFERROR(VLOOKUP(AA81,Curr!$B$2:$C$13,2,FALSE),0)</f>
        <v>11</v>
      </c>
      <c r="AC81" s="12">
        <f t="shared" si="21"/>
        <v>0</v>
      </c>
      <c r="AD81" s="12">
        <f t="shared" si="22"/>
        <v>0</v>
      </c>
      <c r="AE81" s="13">
        <f t="shared" si="23"/>
        <v>0</v>
      </c>
    </row>
    <row r="82" spans="2:36" x14ac:dyDescent="0.25">
      <c r="B82" s="4"/>
      <c r="E82" s="3"/>
      <c r="F82" s="3"/>
      <c r="G82" s="24"/>
      <c r="H82" s="24"/>
      <c r="K82" s="4"/>
      <c r="L82" s="4"/>
      <c r="M82" s="4"/>
      <c r="N82" s="4"/>
      <c r="O82" s="4"/>
      <c r="P82" s="27"/>
      <c r="Q82" s="25"/>
      <c r="R82" s="25"/>
      <c r="S82" s="12">
        <f t="shared" si="18"/>
        <v>0</v>
      </c>
      <c r="T82" s="5">
        <v>0</v>
      </c>
      <c r="U82" s="12">
        <f t="shared" si="24"/>
        <v>0</v>
      </c>
      <c r="V82" s="25" t="s">
        <v>10</v>
      </c>
      <c r="W82" s="11">
        <f>IFERROR(VLOOKUP(V82,Curr!$B$2:$C$13,2,FALSE),0)</f>
        <v>11</v>
      </c>
      <c r="X82" s="12">
        <f t="shared" si="19"/>
        <v>0</v>
      </c>
      <c r="Y82" s="26">
        <f t="shared" si="25"/>
        <v>0</v>
      </c>
      <c r="Z82" s="12">
        <f t="shared" si="20"/>
        <v>0</v>
      </c>
      <c r="AA82" s="4" t="s">
        <v>10</v>
      </c>
      <c r="AB82" s="11">
        <f>IFERROR(VLOOKUP(AA82,Curr!$B$2:$C$13,2,FALSE),0)</f>
        <v>11</v>
      </c>
      <c r="AC82" s="12">
        <f t="shared" si="21"/>
        <v>0</v>
      </c>
      <c r="AD82" s="12">
        <f t="shared" si="22"/>
        <v>0</v>
      </c>
      <c r="AE82" s="13">
        <f t="shared" si="23"/>
        <v>0</v>
      </c>
    </row>
    <row r="83" spans="2:36" x14ac:dyDescent="0.25">
      <c r="B83" s="4"/>
      <c r="E83" s="3"/>
      <c r="F83" s="3"/>
      <c r="G83" s="24"/>
      <c r="H83" s="24"/>
      <c r="K83" s="4"/>
      <c r="L83" s="4"/>
      <c r="M83" s="4"/>
      <c r="N83" s="4"/>
      <c r="O83" s="4"/>
      <c r="P83" s="27"/>
      <c r="Q83" s="25"/>
      <c r="R83" s="25"/>
      <c r="S83" s="12">
        <f t="shared" si="18"/>
        <v>0</v>
      </c>
      <c r="T83" s="5">
        <v>0</v>
      </c>
      <c r="U83" s="12">
        <f t="shared" si="24"/>
        <v>0</v>
      </c>
      <c r="V83" s="25" t="s">
        <v>10</v>
      </c>
      <c r="W83" s="11">
        <f>IFERROR(VLOOKUP(V83,Curr!$B$2:$C$13,2,FALSE),0)</f>
        <v>11</v>
      </c>
      <c r="X83" s="12">
        <f t="shared" si="19"/>
        <v>0</v>
      </c>
      <c r="Y83" s="26">
        <f t="shared" si="25"/>
        <v>0</v>
      </c>
      <c r="Z83" s="12">
        <f t="shared" si="20"/>
        <v>0</v>
      </c>
      <c r="AA83" s="4" t="s">
        <v>10</v>
      </c>
      <c r="AB83" s="11">
        <f>IFERROR(VLOOKUP(AA83,Curr!$B$2:$C$13,2,FALSE),0)</f>
        <v>11</v>
      </c>
      <c r="AC83" s="12">
        <f t="shared" si="21"/>
        <v>0</v>
      </c>
      <c r="AD83" s="12">
        <f t="shared" si="22"/>
        <v>0</v>
      </c>
      <c r="AE83" s="13">
        <f t="shared" si="23"/>
        <v>0</v>
      </c>
    </row>
    <row r="84" spans="2:36" x14ac:dyDescent="0.25">
      <c r="B84" s="4"/>
      <c r="E84" s="3"/>
      <c r="F84" s="3"/>
      <c r="G84" s="24"/>
      <c r="H84" s="24"/>
      <c r="K84" s="4"/>
      <c r="L84" s="4"/>
      <c r="M84" s="4"/>
      <c r="N84" s="4"/>
      <c r="O84" s="4"/>
      <c r="P84" s="27"/>
      <c r="Q84" s="25"/>
      <c r="R84" s="25"/>
      <c r="S84" s="12">
        <f t="shared" si="18"/>
        <v>0</v>
      </c>
      <c r="T84" s="5">
        <v>0</v>
      </c>
      <c r="U84" s="12">
        <f t="shared" si="24"/>
        <v>0</v>
      </c>
      <c r="V84" s="25" t="s">
        <v>10</v>
      </c>
      <c r="W84" s="11">
        <f>IFERROR(VLOOKUP(V84,Curr!$B$2:$C$13,2,FALSE),0)</f>
        <v>11</v>
      </c>
      <c r="X84" s="12">
        <f t="shared" si="19"/>
        <v>0</v>
      </c>
      <c r="Y84" s="26">
        <f t="shared" si="25"/>
        <v>0</v>
      </c>
      <c r="Z84" s="12">
        <f t="shared" si="20"/>
        <v>0</v>
      </c>
      <c r="AA84" s="4" t="s">
        <v>10</v>
      </c>
      <c r="AB84" s="11">
        <f>IFERROR(VLOOKUP(AA84,Curr!$B$2:$C$13,2,FALSE),0)</f>
        <v>11</v>
      </c>
      <c r="AC84" s="12">
        <f t="shared" si="21"/>
        <v>0</v>
      </c>
      <c r="AD84" s="12">
        <f t="shared" si="22"/>
        <v>0</v>
      </c>
      <c r="AE84" s="13">
        <f t="shared" si="23"/>
        <v>0</v>
      </c>
    </row>
    <row r="85" spans="2:36" x14ac:dyDescent="0.25">
      <c r="B85" s="4"/>
      <c r="E85" s="3"/>
      <c r="F85" s="3"/>
      <c r="G85" s="24"/>
      <c r="H85" s="24"/>
      <c r="K85" s="4"/>
      <c r="L85" s="4"/>
      <c r="M85" s="4"/>
      <c r="N85" s="4"/>
      <c r="O85" s="4"/>
      <c r="P85" s="27"/>
      <c r="Q85" s="25"/>
      <c r="R85" s="25"/>
      <c r="S85" s="12">
        <f t="shared" si="18"/>
        <v>0</v>
      </c>
      <c r="T85" s="5">
        <v>0</v>
      </c>
      <c r="U85" s="12">
        <f t="shared" si="24"/>
        <v>0</v>
      </c>
      <c r="V85" s="25" t="s">
        <v>10</v>
      </c>
      <c r="W85" s="11">
        <f>IFERROR(VLOOKUP(V85,Curr!$B$2:$C$13,2,FALSE),0)</f>
        <v>11</v>
      </c>
      <c r="X85" s="12">
        <f t="shared" si="19"/>
        <v>0</v>
      </c>
      <c r="Y85" s="26">
        <f t="shared" si="25"/>
        <v>0</v>
      </c>
      <c r="Z85" s="12">
        <f t="shared" si="20"/>
        <v>0</v>
      </c>
      <c r="AA85" s="4" t="s">
        <v>10</v>
      </c>
      <c r="AB85" s="11">
        <f>IFERROR(VLOOKUP(AA85,Curr!$B$2:$C$13,2,FALSE),0)</f>
        <v>11</v>
      </c>
      <c r="AC85" s="12">
        <f t="shared" si="21"/>
        <v>0</v>
      </c>
      <c r="AD85" s="12">
        <f t="shared" si="22"/>
        <v>0</v>
      </c>
      <c r="AE85" s="13">
        <f t="shared" si="23"/>
        <v>0</v>
      </c>
    </row>
    <row r="86" spans="2:36" x14ac:dyDescent="0.25">
      <c r="B86" s="4"/>
      <c r="E86" s="3"/>
      <c r="F86" s="3"/>
      <c r="G86" s="24"/>
      <c r="H86" s="24"/>
      <c r="K86" s="4"/>
      <c r="L86" s="4"/>
      <c r="M86" s="4"/>
      <c r="N86" s="4"/>
      <c r="O86" s="4"/>
      <c r="P86" s="27"/>
      <c r="Q86" s="25"/>
      <c r="R86" s="25"/>
      <c r="S86" s="12">
        <f t="shared" si="18"/>
        <v>0</v>
      </c>
      <c r="T86" s="5">
        <v>0</v>
      </c>
      <c r="U86" s="12">
        <f t="shared" si="24"/>
        <v>0</v>
      </c>
      <c r="V86" s="25" t="s">
        <v>10</v>
      </c>
      <c r="W86" s="11">
        <f>IFERROR(VLOOKUP(V86,Curr!$B$2:$C$13,2,FALSE),0)</f>
        <v>11</v>
      </c>
      <c r="X86" s="12">
        <f t="shared" si="19"/>
        <v>0</v>
      </c>
      <c r="Y86" s="26">
        <f t="shared" si="25"/>
        <v>0</v>
      </c>
      <c r="Z86" s="12">
        <f t="shared" si="20"/>
        <v>0</v>
      </c>
      <c r="AA86" s="4" t="s">
        <v>10</v>
      </c>
      <c r="AB86" s="11">
        <f>IFERROR(VLOOKUP(AA86,Curr!$B$2:$C$13,2,FALSE),0)</f>
        <v>11</v>
      </c>
      <c r="AC86" s="12">
        <f t="shared" si="21"/>
        <v>0</v>
      </c>
      <c r="AD86" s="12">
        <f t="shared" si="22"/>
        <v>0</v>
      </c>
      <c r="AE86" s="13">
        <f t="shared" si="23"/>
        <v>0</v>
      </c>
    </row>
    <row r="87" spans="2:36" x14ac:dyDescent="0.25">
      <c r="B87" s="4"/>
      <c r="E87" s="3"/>
      <c r="F87" s="3"/>
      <c r="G87" s="3"/>
      <c r="H87" s="3"/>
      <c r="L87" s="4"/>
      <c r="M87" s="4"/>
      <c r="N87" s="4"/>
      <c r="O87" s="4"/>
      <c r="P87" s="22"/>
      <c r="Q87" s="4"/>
      <c r="R87" s="4"/>
      <c r="S87" s="4"/>
      <c r="T87" s="4"/>
      <c r="U87" s="4"/>
      <c r="V87" s="4"/>
      <c r="W87" s="4"/>
      <c r="X87" s="4"/>
      <c r="Y87" s="4"/>
      <c r="Z87" s="4"/>
      <c r="AA87" s="4"/>
      <c r="AB87" s="4"/>
      <c r="AC87" s="4"/>
      <c r="AD87" s="4"/>
      <c r="AE87" s="4"/>
      <c r="AF87" s="4"/>
    </row>
    <row r="88" spans="2:36" x14ac:dyDescent="0.25">
      <c r="B88" s="14" t="s">
        <v>18</v>
      </c>
      <c r="C88" s="14"/>
      <c r="D88" s="28" t="s">
        <v>42</v>
      </c>
      <c r="E88" s="30" t="s">
        <v>42</v>
      </c>
      <c r="F88" s="30" t="s">
        <v>42</v>
      </c>
      <c r="G88" s="30" t="s">
        <v>42</v>
      </c>
      <c r="H88" s="30" t="s">
        <v>42</v>
      </c>
      <c r="I88" s="28" t="s">
        <v>42</v>
      </c>
      <c r="J88" s="28" t="s">
        <v>42</v>
      </c>
      <c r="K88" s="28" t="s">
        <v>42</v>
      </c>
      <c r="L88" s="28" t="s">
        <v>42</v>
      </c>
      <c r="M88" s="28" t="s">
        <v>42</v>
      </c>
      <c r="N88" s="28" t="s">
        <v>42</v>
      </c>
      <c r="O88" s="28" t="s">
        <v>42</v>
      </c>
      <c r="P88" s="28" t="s">
        <v>42</v>
      </c>
      <c r="Q88" s="31" t="s">
        <v>42</v>
      </c>
      <c r="R88" s="28" t="s">
        <v>42</v>
      </c>
      <c r="S88" s="32" t="s">
        <v>42</v>
      </c>
      <c r="T88" s="28" t="s">
        <v>42</v>
      </c>
      <c r="U88" s="32" t="s">
        <v>42</v>
      </c>
      <c r="V88" s="28" t="s">
        <v>42</v>
      </c>
      <c r="W88" s="28" t="s">
        <v>42</v>
      </c>
      <c r="X88" s="32" t="s">
        <v>42</v>
      </c>
      <c r="Y88" s="32" t="s">
        <v>42</v>
      </c>
      <c r="Z88" s="15">
        <f>SUM(Z7:Z86)</f>
        <v>6385.7912545549189</v>
      </c>
      <c r="AA88" s="14"/>
      <c r="AB88" s="14"/>
      <c r="AC88" s="15">
        <f>SUM(AC7:AC86)</f>
        <v>70243.703800104122</v>
      </c>
      <c r="AD88" s="15">
        <f>SUM(AD7:AD86)</f>
        <v>12355.703800104113</v>
      </c>
      <c r="AE88" s="21">
        <f t="shared" ref="AE88" si="26">IFERROR(AD88/AC88,0)</f>
        <v>0.17589766956573549</v>
      </c>
      <c r="AF88" s="15">
        <f>SUM(AF8:AF87)</f>
        <v>0</v>
      </c>
      <c r="AG88" s="15">
        <f>SUM(AG8:AG87)</f>
        <v>0</v>
      </c>
      <c r="AH88" s="15">
        <f>SUM(AH8:AH87)</f>
        <v>0</v>
      </c>
      <c r="AI88" s="15">
        <f>SUM(AI8:AI87)</f>
        <v>0</v>
      </c>
      <c r="AJ88" s="15">
        <f>SUM(AJ8:AJ87)</f>
        <v>0</v>
      </c>
    </row>
    <row r="89" spans="2:36" x14ac:dyDescent="0.25">
      <c r="B89" s="4"/>
      <c r="E89" s="3"/>
      <c r="F89" s="3"/>
      <c r="G89" s="3"/>
      <c r="H89" s="3"/>
      <c r="L89" s="4"/>
      <c r="M89" s="4"/>
      <c r="N89" s="4"/>
      <c r="O89" s="4"/>
      <c r="Q89" s="4"/>
      <c r="R89" s="4"/>
      <c r="S89" s="4"/>
      <c r="T89" s="4"/>
      <c r="U89" s="4"/>
      <c r="V89" s="4"/>
      <c r="W89" s="4"/>
      <c r="X89" s="4"/>
      <c r="Y89" s="9"/>
      <c r="Z89" s="9"/>
      <c r="AA89" s="9"/>
      <c r="AB89" s="9"/>
      <c r="AC89" s="9"/>
      <c r="AD89" s="9"/>
      <c r="AE89" s="9"/>
    </row>
    <row r="90" spans="2:36" x14ac:dyDescent="0.25">
      <c r="B90" s="4"/>
      <c r="E90" s="3"/>
      <c r="F90" s="3"/>
      <c r="G90" s="3"/>
      <c r="H90" s="3"/>
      <c r="L90" s="4"/>
      <c r="M90" s="4"/>
      <c r="N90" s="4"/>
      <c r="O90" s="4"/>
      <c r="Q90" s="9"/>
      <c r="R90" s="9"/>
      <c r="S90" s="9"/>
      <c r="T90" s="9"/>
      <c r="U90" s="9"/>
      <c r="V90" s="9"/>
      <c r="W90" s="9"/>
      <c r="X90" s="23"/>
      <c r="Y90" s="34" t="s">
        <v>43</v>
      </c>
      <c r="Z90" s="34">
        <v>6380</v>
      </c>
      <c r="AA90" s="9"/>
      <c r="AB90" s="9"/>
      <c r="AC90" s="9"/>
      <c r="AD90" s="9"/>
      <c r="AE90" s="9"/>
    </row>
    <row r="91" spans="2:36" x14ac:dyDescent="0.25">
      <c r="B91" s="4"/>
      <c r="E91" s="3"/>
      <c r="F91" s="3"/>
      <c r="G91" s="3"/>
      <c r="H91" s="3"/>
      <c r="L91" s="4"/>
      <c r="M91" s="4"/>
      <c r="N91" s="4"/>
      <c r="O91" s="4"/>
      <c r="Q91" s="9"/>
      <c r="R91" s="9"/>
      <c r="S91" s="9"/>
      <c r="T91" s="9"/>
      <c r="U91" s="9"/>
      <c r="V91" s="9"/>
      <c r="W91" s="9"/>
      <c r="X91" s="9"/>
      <c r="Y91" s="34" t="s">
        <v>44</v>
      </c>
      <c r="Z91" s="34">
        <f>Z90/2</f>
        <v>3190</v>
      </c>
      <c r="AA91" s="9"/>
      <c r="AB91" s="9"/>
      <c r="AC91" s="9"/>
      <c r="AD91" s="9"/>
      <c r="AE91" s="9"/>
      <c r="AF91" s="18"/>
    </row>
    <row r="92" spans="2:36" x14ac:dyDescent="0.25">
      <c r="B92" s="4"/>
      <c r="E92" s="3"/>
      <c r="F92" s="3"/>
      <c r="G92" s="3"/>
      <c r="H92" s="3"/>
      <c r="I92" s="19"/>
      <c r="L92" s="4"/>
      <c r="M92" s="4"/>
      <c r="N92" s="4"/>
      <c r="O92" s="20"/>
      <c r="Q92" s="20"/>
      <c r="R92" s="20"/>
      <c r="S92" s="20"/>
      <c r="T92" s="20"/>
      <c r="U92" s="20"/>
      <c r="V92" s="20"/>
      <c r="W92" s="20"/>
      <c r="X92" s="20"/>
      <c r="Y92" s="9"/>
      <c r="Z92" s="9"/>
      <c r="AA92" s="9"/>
      <c r="AB92" s="9"/>
      <c r="AC92" s="9"/>
      <c r="AD92" s="9"/>
      <c r="AE92" s="9"/>
      <c r="AF92" s="18"/>
    </row>
    <row r="93" spans="2:36" x14ac:dyDescent="0.25">
      <c r="B93" s="4"/>
      <c r="E93" s="3"/>
      <c r="F93" s="3"/>
      <c r="G93" s="3"/>
      <c r="H93" s="3"/>
      <c r="L93" s="4"/>
      <c r="M93" s="4"/>
      <c r="N93" s="4"/>
      <c r="O93" s="20"/>
      <c r="Q93" s="20"/>
      <c r="R93" s="20"/>
      <c r="S93" s="20"/>
      <c r="T93" s="20"/>
      <c r="U93" s="20"/>
      <c r="V93" s="20"/>
      <c r="W93" s="20"/>
      <c r="X93" s="20"/>
      <c r="AA93" s="9"/>
      <c r="AB93" s="9"/>
      <c r="AC93" s="9"/>
      <c r="AD93" s="9"/>
      <c r="AE93" s="9"/>
      <c r="AF93" s="18"/>
    </row>
    <row r="94" spans="2:36" x14ac:dyDescent="0.25">
      <c r="B94" s="4"/>
      <c r="E94" s="3"/>
      <c r="F94" s="3"/>
      <c r="G94" s="3"/>
      <c r="H94" s="3"/>
      <c r="L94" s="4"/>
      <c r="M94" s="4"/>
      <c r="N94" s="4"/>
      <c r="O94" s="4"/>
      <c r="Q94" s="9"/>
      <c r="R94" s="9"/>
      <c r="S94" s="9"/>
      <c r="T94" s="9"/>
      <c r="U94" s="9"/>
      <c r="V94" s="9"/>
      <c r="W94" s="9"/>
      <c r="X94" s="9"/>
      <c r="Y94" s="37" t="s">
        <v>298</v>
      </c>
      <c r="Z94" s="9">
        <f>Z90</f>
        <v>6380</v>
      </c>
      <c r="AA94" s="9"/>
      <c r="AB94" s="9"/>
      <c r="AC94" s="9"/>
      <c r="AD94" s="9"/>
      <c r="AE94" s="9"/>
      <c r="AF94" s="18"/>
    </row>
    <row r="95" spans="2:36" x14ac:dyDescent="0.25">
      <c r="F95" s="1"/>
      <c r="G95" s="1"/>
      <c r="H95" s="1"/>
      <c r="J95" s="1" t="s">
        <v>32</v>
      </c>
      <c r="Q95" s="9"/>
      <c r="R95" s="4"/>
      <c r="S95" s="9"/>
      <c r="T95" s="5"/>
      <c r="U95" s="9"/>
      <c r="V95" s="4"/>
      <c r="W95" s="4"/>
      <c r="X95" s="9"/>
      <c r="Y95" s="37" t="s">
        <v>299</v>
      </c>
      <c r="Z95" s="9">
        <f>Z94*1.18</f>
        <v>7528.4</v>
      </c>
      <c r="AA95" s="9"/>
      <c r="AB95" s="9"/>
      <c r="AC95" s="9"/>
      <c r="AD95" s="9"/>
      <c r="AE95" s="9"/>
    </row>
    <row r="96" spans="2:36" x14ac:dyDescent="0.25">
      <c r="R96" s="4"/>
      <c r="S96" s="17"/>
      <c r="T96" s="17"/>
      <c r="U96" s="9"/>
      <c r="V96" s="4"/>
      <c r="W96" s="4"/>
      <c r="X96" s="9"/>
      <c r="Y96" s="37" t="s">
        <v>301</v>
      </c>
      <c r="Z96" s="9">
        <f>Z94*1.3</f>
        <v>8294</v>
      </c>
      <c r="AA96" s="9"/>
      <c r="AB96" s="9"/>
      <c r="AC96" s="9"/>
      <c r="AD96" s="9"/>
      <c r="AE96" s="9"/>
    </row>
    <row r="97" spans="17:31" x14ac:dyDescent="0.25">
      <c r="Q97" s="9"/>
      <c r="R97" s="4"/>
      <c r="S97" s="16"/>
      <c r="T97" s="16"/>
      <c r="U97" s="9"/>
      <c r="V97" s="4"/>
      <c r="W97" s="4"/>
      <c r="X97" s="9"/>
      <c r="Y97" s="37" t="s">
        <v>300</v>
      </c>
      <c r="Z97" s="9">
        <f>Z94*0.85</f>
        <v>5423</v>
      </c>
      <c r="AA97" s="9"/>
      <c r="AB97" s="9"/>
      <c r="AC97" s="9"/>
      <c r="AD97" s="9"/>
      <c r="AE97" s="9"/>
    </row>
    <row r="98" spans="17:31" x14ac:dyDescent="0.25">
      <c r="R98" s="4"/>
      <c r="S98" s="16"/>
      <c r="T98" s="16"/>
      <c r="Y98" s="9"/>
      <c r="Z98" s="9"/>
      <c r="AA98" s="9"/>
      <c r="AB98" s="9"/>
      <c r="AC98" s="9"/>
      <c r="AD98" s="9"/>
      <c r="AE98" s="9"/>
    </row>
    <row r="99" spans="17:31" x14ac:dyDescent="0.25">
      <c r="T99" s="5"/>
      <c r="Y99" s="9"/>
      <c r="Z99" s="9"/>
      <c r="AA99" s="9"/>
      <c r="AB99" s="9"/>
      <c r="AC99" s="9"/>
      <c r="AD99" s="9"/>
      <c r="AE99" s="9"/>
    </row>
    <row r="100" spans="17:31" x14ac:dyDescent="0.25">
      <c r="T100" s="5"/>
      <c r="Y100" s="9"/>
      <c r="Z100" s="9"/>
      <c r="AA100" s="9"/>
      <c r="AB100" s="9"/>
      <c r="AC100" s="9"/>
      <c r="AD100" s="9"/>
      <c r="AE100" s="9"/>
    </row>
    <row r="101" spans="17:31" x14ac:dyDescent="0.25">
      <c r="T101" s="5"/>
      <c r="Y101" s="9"/>
      <c r="Z101" s="9"/>
      <c r="AA101" s="9"/>
      <c r="AB101" s="9"/>
      <c r="AC101" s="9"/>
      <c r="AD101" s="9"/>
      <c r="AE101" s="9"/>
    </row>
    <row r="102" spans="17:31" x14ac:dyDescent="0.25">
      <c r="T102" s="5"/>
      <c r="Y102" s="9"/>
      <c r="Z102" s="9"/>
      <c r="AA102" s="9"/>
      <c r="AB102" s="9"/>
      <c r="AC102" s="9"/>
      <c r="AD102" s="9"/>
      <c r="AE102" s="9"/>
    </row>
    <row r="103" spans="17:31" x14ac:dyDescent="0.25">
      <c r="T103" s="5"/>
      <c r="Y103" s="9"/>
      <c r="Z103" s="9"/>
      <c r="AA103" s="9"/>
      <c r="AB103" s="9"/>
      <c r="AC103" s="9"/>
      <c r="AD103" s="9"/>
      <c r="AE103" s="9"/>
    </row>
    <row r="104" spans="17:31" x14ac:dyDescent="0.25">
      <c r="T104" s="5"/>
      <c r="Y104" s="9"/>
      <c r="Z104" s="9"/>
      <c r="AA104" s="9"/>
      <c r="AB104" s="9"/>
      <c r="AC104" s="9"/>
      <c r="AD104" s="9"/>
      <c r="AE104" s="9"/>
    </row>
    <row r="105" spans="17:31" x14ac:dyDescent="0.25">
      <c r="T105" s="5"/>
      <c r="Y105" s="9"/>
      <c r="Z105" s="9"/>
      <c r="AA105" s="9"/>
      <c r="AB105" s="9"/>
      <c r="AC105" s="9"/>
      <c r="AD105" s="9"/>
      <c r="AE105" s="9"/>
    </row>
    <row r="106" spans="17:31" x14ac:dyDescent="0.25">
      <c r="T106" s="5"/>
      <c r="Y106" s="9"/>
      <c r="Z106" s="9"/>
      <c r="AA106" s="9"/>
      <c r="AB106" s="9"/>
      <c r="AC106" s="9"/>
      <c r="AD106" s="9"/>
      <c r="AE106" s="9"/>
    </row>
    <row r="107" spans="17:31" x14ac:dyDescent="0.25">
      <c r="T107" s="5"/>
    </row>
    <row r="108" spans="17:31" x14ac:dyDescent="0.25">
      <c r="T108" s="5"/>
    </row>
    <row r="109" spans="17:31" x14ac:dyDescent="0.25">
      <c r="T109" s="5"/>
    </row>
    <row r="110" spans="17:31" x14ac:dyDescent="0.25">
      <c r="T110" s="5"/>
    </row>
    <row r="111" spans="17:31" x14ac:dyDescent="0.25">
      <c r="T111" s="5"/>
    </row>
  </sheetData>
  <autoFilter ref="B6:AE88" xr:uid="{65FA6D9B-E0AF-46CD-BA0D-86BB75FE6AB0}"/>
  <hyperlinks>
    <hyperlink ref="P27" r:id="rId1" xr:uid="{33612819-2FAE-47AB-B798-BB175617BD0C}"/>
    <hyperlink ref="P13" r:id="rId2" xr:uid="{32A9C890-C6C8-4214-BE32-EC0C47F8038D}"/>
    <hyperlink ref="P17" r:id="rId3" xr:uid="{6C66DD60-3352-4368-804B-6B870070E8E0}"/>
    <hyperlink ref="P19" r:id="rId4" xr:uid="{C38ADBFF-6181-4E50-8F06-B2B898585973}"/>
    <hyperlink ref="P23" r:id="rId5" xr:uid="{F696520E-3668-4CE1-BB0B-7306C00B9C97}"/>
    <hyperlink ref="P37" r:id="rId6" xr:uid="{99199777-5BAF-42CC-A70C-FE972CC53AC2}"/>
    <hyperlink ref="P35" r:id="rId7" xr:uid="{B0639C27-CDB7-4A76-B41F-1927D4ADFA17}"/>
    <hyperlink ref="P40" r:id="rId8" xr:uid="{0F1A9BAB-A019-488C-93A5-B99ED0C77F01}"/>
    <hyperlink ref="P45" r:id="rId9" xr:uid="{676A3FE6-452F-4830-ABC6-FFE234542E43}"/>
    <hyperlink ref="P47" r:id="rId10" xr:uid="{7D4CD0A8-6CCA-430E-84CE-9F5BFF0CF58F}"/>
    <hyperlink ref="P49" r:id="rId11" xr:uid="{0E40895A-D0A1-4D84-BEA5-E29B4C2201FE}"/>
    <hyperlink ref="P52" r:id="rId12" xr:uid="{E88608EF-85FA-4B57-A983-B534D01D03C0}"/>
    <hyperlink ref="P74" r:id="rId13" xr:uid="{80D410F9-67B5-4247-A7E8-A7AEAB6C861F}"/>
    <hyperlink ref="P75" r:id="rId14" xr:uid="{B2A4AC32-A975-419D-8FA1-51DDB3106587}"/>
    <hyperlink ref="P76" r:id="rId15" xr:uid="{88C6FEDA-3C59-4FAE-B795-45EB7294988D}"/>
    <hyperlink ref="P77" r:id="rId16" xr:uid="{FF58425A-82AF-4C70-BFA0-8D29329E7130}"/>
  </hyperlinks>
  <pageMargins left="0.7" right="0.7" top="0.75" bottom="0.75" header="0.3" footer="0.3"/>
  <pageSetup paperSize="9" orientation="portrait" r:id="rId17"/>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F2B0D-6DF6-44C6-AADE-616160DE6CC6}">
  <sheetPr>
    <tabColor rgb="FFFFFF00"/>
  </sheetPr>
  <dimension ref="B2:AK124"/>
  <sheetViews>
    <sheetView zoomScale="80" zoomScaleNormal="80" workbookViewId="0">
      <selection activeCell="D14" sqref="D14"/>
    </sheetView>
  </sheetViews>
  <sheetFormatPr defaultColWidth="8.7109375" defaultRowHeight="15" outlineLevelCol="1" x14ac:dyDescent="0.25"/>
  <cols>
    <col min="1" max="1" width="2.7109375" style="1" customWidth="1"/>
    <col min="2" max="2" width="3.85546875" style="2" customWidth="1"/>
    <col min="3" max="4" width="8.85546875" style="1" customWidth="1"/>
    <col min="5" max="6" width="11.140625" style="2" customWidth="1"/>
    <col min="7" max="8" width="11.140625" style="2" hidden="1" customWidth="1" outlineLevel="1"/>
    <col min="9" max="9" width="21.7109375" style="1" hidden="1" customWidth="1" outlineLevel="1"/>
    <col min="10" max="10" width="53.85546875" style="1" customWidth="1" collapsed="1"/>
    <col min="11" max="12" width="8.140625" style="1" hidden="1" customWidth="1" outlineLevel="1"/>
    <col min="13" max="13" width="24" style="1" hidden="1" customWidth="1" outlineLevel="1"/>
    <col min="14" max="15" width="11.7109375" style="1" hidden="1" customWidth="1" outlineLevel="1"/>
    <col min="16" max="16" width="8.140625" style="1" customWidth="1" collapsed="1"/>
    <col min="17" max="17" width="8.140625" style="10" customWidth="1"/>
    <col min="18" max="18" width="8.140625" style="1" customWidth="1"/>
    <col min="19" max="19" width="8.140625" style="10" customWidth="1"/>
    <col min="20" max="20" width="8.140625" style="1" customWidth="1"/>
    <col min="21" max="21" width="8.140625" style="10" customWidth="1"/>
    <col min="22" max="23" width="8.140625" style="1" customWidth="1"/>
    <col min="24" max="26" width="8.140625" style="10" customWidth="1"/>
    <col min="27" max="28" width="8.140625" style="1" customWidth="1"/>
    <col min="29" max="30" width="8.140625" style="10" customWidth="1"/>
    <col min="31" max="31" width="8.140625" style="1" customWidth="1"/>
    <col min="32" max="36" width="9" style="1" hidden="1" customWidth="1" outlineLevel="1"/>
    <col min="37" max="37" width="9" style="1" customWidth="1" collapsed="1"/>
    <col min="38" max="82" width="9" style="1" customWidth="1"/>
    <col min="83" max="16384" width="8.7109375" style="1"/>
  </cols>
  <sheetData>
    <row r="2" spans="2:36" x14ac:dyDescent="0.25">
      <c r="B2" s="2" t="s">
        <v>83</v>
      </c>
    </row>
    <row r="3" spans="2:36" x14ac:dyDescent="0.25">
      <c r="B3" s="2" t="s">
        <v>50</v>
      </c>
    </row>
    <row r="4" spans="2:36" x14ac:dyDescent="0.25">
      <c r="B4" s="2" t="s">
        <v>51</v>
      </c>
    </row>
    <row r="6" spans="2:36" s="6" customFormat="1" ht="29.1" customHeight="1" x14ac:dyDescent="0.25">
      <c r="B6" s="7" t="s">
        <v>19</v>
      </c>
      <c r="C6" s="7" t="s">
        <v>35</v>
      </c>
      <c r="D6" s="7" t="s">
        <v>5</v>
      </c>
      <c r="E6" s="7" t="s">
        <v>23</v>
      </c>
      <c r="F6" s="7" t="s">
        <v>6</v>
      </c>
      <c r="G6" s="7" t="s">
        <v>24</v>
      </c>
      <c r="H6" s="7" t="s">
        <v>25</v>
      </c>
      <c r="I6" s="7" t="s">
        <v>0</v>
      </c>
      <c r="J6" s="7" t="s">
        <v>34</v>
      </c>
      <c r="K6" s="7" t="s">
        <v>36</v>
      </c>
      <c r="L6" s="7" t="s">
        <v>21</v>
      </c>
      <c r="M6" s="7" t="s">
        <v>33</v>
      </c>
      <c r="N6" s="7" t="s">
        <v>37</v>
      </c>
      <c r="O6" s="7" t="s">
        <v>38</v>
      </c>
      <c r="P6" s="7" t="s">
        <v>1</v>
      </c>
      <c r="Q6" s="8" t="s">
        <v>40</v>
      </c>
      <c r="R6" s="7" t="s">
        <v>14</v>
      </c>
      <c r="S6" s="8" t="s">
        <v>39</v>
      </c>
      <c r="T6" s="7" t="s">
        <v>22</v>
      </c>
      <c r="U6" s="8" t="s">
        <v>2</v>
      </c>
      <c r="V6" s="7" t="s">
        <v>7</v>
      </c>
      <c r="W6" s="7" t="s">
        <v>3</v>
      </c>
      <c r="X6" s="8" t="s">
        <v>4</v>
      </c>
      <c r="Y6" s="8" t="s">
        <v>41</v>
      </c>
      <c r="Z6" s="8" t="s">
        <v>20</v>
      </c>
      <c r="AA6" s="7" t="s">
        <v>9</v>
      </c>
      <c r="AB6" s="7" t="s">
        <v>3</v>
      </c>
      <c r="AC6" s="8" t="s">
        <v>11</v>
      </c>
      <c r="AD6" s="8" t="s">
        <v>12</v>
      </c>
      <c r="AE6" s="7" t="s">
        <v>13</v>
      </c>
      <c r="AF6" s="7" t="s">
        <v>26</v>
      </c>
      <c r="AG6" s="7" t="s">
        <v>27</v>
      </c>
      <c r="AH6" s="7" t="s">
        <v>30</v>
      </c>
      <c r="AI6" s="7" t="s">
        <v>28</v>
      </c>
      <c r="AJ6" s="7" t="s">
        <v>29</v>
      </c>
    </row>
    <row r="7" spans="2:36" x14ac:dyDescent="0.25">
      <c r="B7" s="4"/>
      <c r="C7" s="1" t="s">
        <v>52</v>
      </c>
      <c r="D7" s="1" t="s">
        <v>53</v>
      </c>
      <c r="E7" s="3"/>
      <c r="F7" s="3"/>
      <c r="G7" s="3"/>
      <c r="H7" s="3"/>
      <c r="K7" s="4"/>
      <c r="L7" s="4"/>
      <c r="M7" s="4"/>
      <c r="N7" s="4"/>
      <c r="O7" s="4"/>
      <c r="P7" s="27"/>
      <c r="Q7" s="25">
        <v>0</v>
      </c>
      <c r="R7" s="25">
        <v>0</v>
      </c>
      <c r="S7" s="12">
        <f t="shared" ref="S7:S70" si="0">+Q7*R7</f>
        <v>0</v>
      </c>
      <c r="T7" s="5">
        <v>0</v>
      </c>
      <c r="U7" s="12">
        <f>S7*(1-T7)</f>
        <v>0</v>
      </c>
      <c r="V7" s="25" t="s">
        <v>10</v>
      </c>
      <c r="W7" s="11">
        <f>IFERROR(VLOOKUP(V7,[1]Curr!$B$2:$C$13,2,FALSE),0)</f>
        <v>11.3</v>
      </c>
      <c r="X7" s="12">
        <f t="shared" ref="X7:X70" si="1">U7*W7</f>
        <v>0</v>
      </c>
      <c r="Y7" s="26">
        <f>Q7</f>
        <v>0</v>
      </c>
      <c r="Z7" s="12">
        <f t="shared" ref="Z7:Z70" si="2">+Y7*R7</f>
        <v>0</v>
      </c>
      <c r="AA7" s="4" t="s">
        <v>10</v>
      </c>
      <c r="AB7" s="11">
        <f>IFERROR(VLOOKUP(AA7,Curr!$B$2:$C$13,2,FALSE),0)</f>
        <v>11</v>
      </c>
      <c r="AC7" s="12">
        <f t="shared" ref="AC7:AC70" si="3">+Y7*AB7*R7</f>
        <v>0</v>
      </c>
      <c r="AD7" s="12">
        <f t="shared" ref="AD7:AD70" si="4">+AC7-X7</f>
        <v>0</v>
      </c>
      <c r="AE7" s="13">
        <f t="shared" ref="AE7:AE70" si="5">IFERROR(AD7/AC7,0)</f>
        <v>0</v>
      </c>
    </row>
    <row r="8" spans="2:36" x14ac:dyDescent="0.25">
      <c r="B8" s="4"/>
      <c r="C8" s="1" t="s">
        <v>52</v>
      </c>
      <c r="D8" s="1" t="s">
        <v>54</v>
      </c>
      <c r="E8" s="3"/>
      <c r="F8" s="3"/>
      <c r="G8" s="24"/>
      <c r="H8" s="24"/>
      <c r="K8" s="4"/>
      <c r="L8" s="4"/>
      <c r="M8" s="4"/>
      <c r="N8" s="4"/>
      <c r="O8" s="4"/>
      <c r="P8" s="27"/>
      <c r="Q8" s="25">
        <v>0</v>
      </c>
      <c r="R8" s="25">
        <v>0</v>
      </c>
      <c r="S8" s="12">
        <f t="shared" si="0"/>
        <v>0</v>
      </c>
      <c r="T8" s="5">
        <v>0</v>
      </c>
      <c r="U8" s="12">
        <f t="shared" ref="U8:U71" si="6">S8*(1-T8)</f>
        <v>0</v>
      </c>
      <c r="V8" s="25" t="s">
        <v>10</v>
      </c>
      <c r="W8" s="11">
        <f>IFERROR(VLOOKUP(V8,[1]Curr!$B$2:$C$13,2,FALSE),0)</f>
        <v>11.3</v>
      </c>
      <c r="X8" s="12">
        <f t="shared" si="1"/>
        <v>0</v>
      </c>
      <c r="Y8" s="26">
        <f t="shared" ref="Y8:Y71" si="7">Q8</f>
        <v>0</v>
      </c>
      <c r="Z8" s="12">
        <f t="shared" si="2"/>
        <v>0</v>
      </c>
      <c r="AA8" s="4" t="s">
        <v>10</v>
      </c>
      <c r="AB8" s="11">
        <f>IFERROR(VLOOKUP(AA8,Curr!$B$2:$C$13,2,FALSE),0)</f>
        <v>11</v>
      </c>
      <c r="AC8" s="12">
        <f t="shared" si="3"/>
        <v>0</v>
      </c>
      <c r="AD8" s="12">
        <f t="shared" si="4"/>
        <v>0</v>
      </c>
      <c r="AE8" s="13">
        <f t="shared" si="5"/>
        <v>0</v>
      </c>
    </row>
    <row r="9" spans="2:36" x14ac:dyDescent="0.25">
      <c r="B9" s="4"/>
      <c r="C9" s="1" t="s">
        <v>52</v>
      </c>
      <c r="D9" s="1" t="s">
        <v>55</v>
      </c>
      <c r="E9" s="3"/>
      <c r="F9" s="3"/>
      <c r="G9" s="24"/>
      <c r="H9" s="24"/>
      <c r="K9" s="4"/>
      <c r="L9" s="4"/>
      <c r="M9" s="4"/>
      <c r="N9" s="4"/>
      <c r="O9" s="4"/>
      <c r="P9" s="33"/>
      <c r="Q9" s="25">
        <v>0</v>
      </c>
      <c r="R9" s="25">
        <v>0</v>
      </c>
      <c r="S9" s="12">
        <f t="shared" si="0"/>
        <v>0</v>
      </c>
      <c r="T9" s="5">
        <v>0</v>
      </c>
      <c r="U9" s="12">
        <f t="shared" si="6"/>
        <v>0</v>
      </c>
      <c r="V9" s="25" t="s">
        <v>10</v>
      </c>
      <c r="W9" s="11">
        <f>IFERROR(VLOOKUP(V9,[1]Curr!$B$2:$C$13,2,FALSE),0)</f>
        <v>11.3</v>
      </c>
      <c r="X9" s="12">
        <f t="shared" si="1"/>
        <v>0</v>
      </c>
      <c r="Y9" s="26">
        <f t="shared" si="7"/>
        <v>0</v>
      </c>
      <c r="Z9" s="12">
        <f t="shared" si="2"/>
        <v>0</v>
      </c>
      <c r="AA9" s="4" t="s">
        <v>10</v>
      </c>
      <c r="AB9" s="11">
        <f>IFERROR(VLOOKUP(AA9,Curr!$B$2:$C$13,2,FALSE),0)</f>
        <v>11</v>
      </c>
      <c r="AC9" s="12">
        <f t="shared" si="3"/>
        <v>0</v>
      </c>
      <c r="AD9" s="12">
        <f t="shared" si="4"/>
        <v>0</v>
      </c>
      <c r="AE9" s="13">
        <f t="shared" si="5"/>
        <v>0</v>
      </c>
    </row>
    <row r="10" spans="2:36" x14ac:dyDescent="0.25">
      <c r="B10" s="4"/>
      <c r="C10" s="1" t="s">
        <v>52</v>
      </c>
      <c r="D10" s="1" t="s">
        <v>56</v>
      </c>
      <c r="E10" s="3"/>
      <c r="F10" s="3"/>
      <c r="G10" s="24"/>
      <c r="H10" s="24"/>
      <c r="K10" s="4"/>
      <c r="L10" s="4"/>
      <c r="M10" s="4"/>
      <c r="N10" s="4"/>
      <c r="O10" s="4"/>
      <c r="P10" s="27"/>
      <c r="Q10" s="25">
        <v>0</v>
      </c>
      <c r="R10" s="25">
        <v>0</v>
      </c>
      <c r="S10" s="12">
        <f t="shared" si="0"/>
        <v>0</v>
      </c>
      <c r="T10" s="5">
        <v>0</v>
      </c>
      <c r="U10" s="12">
        <f t="shared" si="6"/>
        <v>0</v>
      </c>
      <c r="V10" s="25" t="s">
        <v>10</v>
      </c>
      <c r="W10" s="11">
        <f>IFERROR(VLOOKUP(V10,[1]Curr!$B$2:$C$13,2,FALSE),0)</f>
        <v>11.3</v>
      </c>
      <c r="X10" s="12">
        <f t="shared" si="1"/>
        <v>0</v>
      </c>
      <c r="Y10" s="26">
        <f t="shared" si="7"/>
        <v>0</v>
      </c>
      <c r="Z10" s="12">
        <f t="shared" si="2"/>
        <v>0</v>
      </c>
      <c r="AA10" s="4" t="s">
        <v>10</v>
      </c>
      <c r="AB10" s="11">
        <f>IFERROR(VLOOKUP(AA10,Curr!$B$2:$C$13,2,FALSE),0)</f>
        <v>11</v>
      </c>
      <c r="AC10" s="12">
        <f t="shared" si="3"/>
        <v>0</v>
      </c>
      <c r="AD10" s="12">
        <f t="shared" si="4"/>
        <v>0</v>
      </c>
      <c r="AE10" s="13">
        <f t="shared" si="5"/>
        <v>0</v>
      </c>
    </row>
    <row r="11" spans="2:36" x14ac:dyDescent="0.25">
      <c r="B11" s="4"/>
      <c r="E11" s="3"/>
      <c r="F11" s="3"/>
      <c r="G11" s="24"/>
      <c r="H11" s="24"/>
      <c r="K11" s="4"/>
      <c r="L11" s="4"/>
      <c r="M11" s="4"/>
      <c r="N11" s="4"/>
      <c r="O11" s="4"/>
      <c r="P11" s="27"/>
      <c r="Q11" s="25">
        <v>0</v>
      </c>
      <c r="R11" s="25">
        <v>0</v>
      </c>
      <c r="S11" s="12">
        <f t="shared" si="0"/>
        <v>0</v>
      </c>
      <c r="T11" s="5">
        <v>0</v>
      </c>
      <c r="U11" s="12">
        <f t="shared" si="6"/>
        <v>0</v>
      </c>
      <c r="V11" s="25" t="s">
        <v>10</v>
      </c>
      <c r="W11" s="11">
        <f>IFERROR(VLOOKUP(V11,[1]Curr!$B$2:$C$13,2,FALSE),0)</f>
        <v>11.3</v>
      </c>
      <c r="X11" s="12">
        <f t="shared" si="1"/>
        <v>0</v>
      </c>
      <c r="Y11" s="26">
        <f t="shared" si="7"/>
        <v>0</v>
      </c>
      <c r="Z11" s="12">
        <f t="shared" si="2"/>
        <v>0</v>
      </c>
      <c r="AA11" s="4" t="s">
        <v>10</v>
      </c>
      <c r="AB11" s="11">
        <f>IFERROR(VLOOKUP(AA11,Curr!$B$2:$C$13,2,FALSE),0)</f>
        <v>11</v>
      </c>
      <c r="AC11" s="12">
        <f t="shared" si="3"/>
        <v>0</v>
      </c>
      <c r="AD11" s="12">
        <f t="shared" si="4"/>
        <v>0</v>
      </c>
      <c r="AE11" s="13">
        <f t="shared" si="5"/>
        <v>0</v>
      </c>
    </row>
    <row r="12" spans="2:36" x14ac:dyDescent="0.25">
      <c r="B12" s="4"/>
      <c r="C12" s="1" t="s">
        <v>59</v>
      </c>
      <c r="E12" s="3"/>
      <c r="F12" s="3"/>
      <c r="G12" s="24"/>
      <c r="H12" s="24"/>
      <c r="K12" s="4"/>
      <c r="L12" s="4"/>
      <c r="M12" s="4"/>
      <c r="N12" s="4"/>
      <c r="O12" s="4"/>
      <c r="P12" s="33"/>
      <c r="Q12" s="25">
        <v>0</v>
      </c>
      <c r="R12" s="25">
        <v>0</v>
      </c>
      <c r="S12" s="12">
        <f t="shared" si="0"/>
        <v>0</v>
      </c>
      <c r="T12" s="5">
        <v>0</v>
      </c>
      <c r="U12" s="12">
        <f t="shared" si="6"/>
        <v>0</v>
      </c>
      <c r="V12" s="25" t="s">
        <v>10</v>
      </c>
      <c r="W12" s="11">
        <f>IFERROR(VLOOKUP(V12,[1]Curr!$B$2:$C$13,2,FALSE),0)</f>
        <v>11.3</v>
      </c>
      <c r="X12" s="12">
        <f t="shared" si="1"/>
        <v>0</v>
      </c>
      <c r="Y12" s="26">
        <f t="shared" si="7"/>
        <v>0</v>
      </c>
      <c r="Z12" s="12">
        <f t="shared" si="2"/>
        <v>0</v>
      </c>
      <c r="AA12" s="4" t="s">
        <v>10</v>
      </c>
      <c r="AB12" s="11">
        <f>IFERROR(VLOOKUP(AA12,Curr!$B$2:$C$13,2,FALSE),0)</f>
        <v>11</v>
      </c>
      <c r="AC12" s="12">
        <f t="shared" si="3"/>
        <v>0</v>
      </c>
      <c r="AD12" s="12">
        <f t="shared" si="4"/>
        <v>0</v>
      </c>
      <c r="AE12" s="13">
        <f t="shared" si="5"/>
        <v>0</v>
      </c>
    </row>
    <row r="13" spans="2:36" x14ac:dyDescent="0.25">
      <c r="B13" s="4"/>
      <c r="E13" s="3"/>
      <c r="F13" s="3"/>
      <c r="G13" s="24"/>
      <c r="H13" s="24"/>
      <c r="K13" s="4"/>
      <c r="L13" s="4"/>
      <c r="M13" s="4"/>
      <c r="N13" s="4"/>
      <c r="O13" s="4"/>
      <c r="P13" s="27"/>
      <c r="Q13" s="25">
        <v>0</v>
      </c>
      <c r="R13" s="25">
        <v>0</v>
      </c>
      <c r="S13" s="12">
        <f t="shared" si="0"/>
        <v>0</v>
      </c>
      <c r="T13" s="5">
        <v>0</v>
      </c>
      <c r="U13" s="12">
        <f t="shared" si="6"/>
        <v>0</v>
      </c>
      <c r="V13" s="25" t="s">
        <v>10</v>
      </c>
      <c r="W13" s="11">
        <f>IFERROR(VLOOKUP(V13,[1]Curr!$B$2:$C$13,2,FALSE),0)</f>
        <v>11.3</v>
      </c>
      <c r="X13" s="12">
        <f t="shared" si="1"/>
        <v>0</v>
      </c>
      <c r="Y13" s="26">
        <f t="shared" si="7"/>
        <v>0</v>
      </c>
      <c r="Z13" s="12">
        <f t="shared" si="2"/>
        <v>0</v>
      </c>
      <c r="AA13" s="4" t="s">
        <v>10</v>
      </c>
      <c r="AB13" s="11">
        <f>IFERROR(VLOOKUP(AA13,Curr!$B$2:$C$13,2,FALSE),0)</f>
        <v>11</v>
      </c>
      <c r="AC13" s="12">
        <f t="shared" si="3"/>
        <v>0</v>
      </c>
      <c r="AD13" s="12">
        <f t="shared" si="4"/>
        <v>0</v>
      </c>
      <c r="AE13" s="13">
        <f t="shared" si="5"/>
        <v>0</v>
      </c>
    </row>
    <row r="14" spans="2:36" x14ac:dyDescent="0.25">
      <c r="B14" s="4"/>
      <c r="E14" s="3"/>
      <c r="F14" s="3"/>
      <c r="G14" s="24"/>
      <c r="H14" s="24"/>
      <c r="K14" s="4"/>
      <c r="L14" s="4"/>
      <c r="M14" s="4"/>
      <c r="N14" s="4"/>
      <c r="O14" s="4"/>
      <c r="P14" s="33"/>
      <c r="Q14" s="25">
        <v>0</v>
      </c>
      <c r="R14" s="25">
        <v>0</v>
      </c>
      <c r="S14" s="12">
        <f t="shared" si="0"/>
        <v>0</v>
      </c>
      <c r="T14" s="5">
        <v>0</v>
      </c>
      <c r="U14" s="12">
        <f t="shared" si="6"/>
        <v>0</v>
      </c>
      <c r="V14" s="25" t="s">
        <v>10</v>
      </c>
      <c r="W14" s="11">
        <f>IFERROR(VLOOKUP(V14,[1]Curr!$B$2:$C$13,2,FALSE),0)</f>
        <v>11.3</v>
      </c>
      <c r="X14" s="12">
        <f t="shared" si="1"/>
        <v>0</v>
      </c>
      <c r="Y14" s="26">
        <f t="shared" si="7"/>
        <v>0</v>
      </c>
      <c r="Z14" s="12">
        <f t="shared" si="2"/>
        <v>0</v>
      </c>
      <c r="AA14" s="4" t="s">
        <v>10</v>
      </c>
      <c r="AB14" s="11">
        <f>IFERROR(VLOOKUP(AA14,Curr!$B$2:$C$13,2,FALSE),0)</f>
        <v>11</v>
      </c>
      <c r="AC14" s="12">
        <f t="shared" si="3"/>
        <v>0</v>
      </c>
      <c r="AD14" s="12">
        <f t="shared" si="4"/>
        <v>0</v>
      </c>
      <c r="AE14" s="13">
        <f t="shared" si="5"/>
        <v>0</v>
      </c>
    </row>
    <row r="15" spans="2:36" x14ac:dyDescent="0.25">
      <c r="B15" s="4"/>
      <c r="E15" s="3"/>
      <c r="F15" s="3"/>
      <c r="G15" s="24"/>
      <c r="H15" s="24"/>
      <c r="K15" s="4"/>
      <c r="L15" s="4"/>
      <c r="M15" s="4"/>
      <c r="N15" s="4"/>
      <c r="O15" s="4"/>
      <c r="P15" s="27"/>
      <c r="Q15" s="25">
        <v>0</v>
      </c>
      <c r="R15" s="25">
        <v>0</v>
      </c>
      <c r="S15" s="12">
        <f t="shared" si="0"/>
        <v>0</v>
      </c>
      <c r="T15" s="5">
        <v>0</v>
      </c>
      <c r="U15" s="12">
        <f t="shared" si="6"/>
        <v>0</v>
      </c>
      <c r="V15" s="25" t="s">
        <v>10</v>
      </c>
      <c r="W15" s="11">
        <f>IFERROR(VLOOKUP(V15,[1]Curr!$B$2:$C$13,2,FALSE),0)</f>
        <v>11.3</v>
      </c>
      <c r="X15" s="12">
        <f t="shared" si="1"/>
        <v>0</v>
      </c>
      <c r="Y15" s="26">
        <f t="shared" si="7"/>
        <v>0</v>
      </c>
      <c r="Z15" s="12">
        <f t="shared" si="2"/>
        <v>0</v>
      </c>
      <c r="AA15" s="4" t="s">
        <v>10</v>
      </c>
      <c r="AB15" s="11">
        <f>IFERROR(VLOOKUP(AA15,Curr!$B$2:$C$13,2,FALSE),0)</f>
        <v>11</v>
      </c>
      <c r="AC15" s="12">
        <f t="shared" si="3"/>
        <v>0</v>
      </c>
      <c r="AD15" s="12">
        <f t="shared" si="4"/>
        <v>0</v>
      </c>
      <c r="AE15" s="13">
        <f t="shared" si="5"/>
        <v>0</v>
      </c>
    </row>
    <row r="16" spans="2:36" x14ac:dyDescent="0.25">
      <c r="B16" s="4"/>
      <c r="E16" s="3"/>
      <c r="F16" s="3"/>
      <c r="G16" s="24"/>
      <c r="H16" s="24"/>
      <c r="K16" s="4"/>
      <c r="L16" s="4"/>
      <c r="M16" s="4"/>
      <c r="N16" s="4"/>
      <c r="O16" s="4"/>
      <c r="P16" s="33"/>
      <c r="Q16" s="25">
        <v>0</v>
      </c>
      <c r="R16" s="25">
        <v>0</v>
      </c>
      <c r="S16" s="12">
        <f t="shared" si="0"/>
        <v>0</v>
      </c>
      <c r="T16" s="5">
        <v>0</v>
      </c>
      <c r="U16" s="12">
        <f t="shared" si="6"/>
        <v>0</v>
      </c>
      <c r="V16" s="25" t="s">
        <v>10</v>
      </c>
      <c r="W16" s="11">
        <f>IFERROR(VLOOKUP(V16,[1]Curr!$B$2:$C$13,2,FALSE),0)</f>
        <v>11.3</v>
      </c>
      <c r="X16" s="12">
        <f t="shared" si="1"/>
        <v>0</v>
      </c>
      <c r="Y16" s="26">
        <f t="shared" si="7"/>
        <v>0</v>
      </c>
      <c r="Z16" s="12">
        <f t="shared" si="2"/>
        <v>0</v>
      </c>
      <c r="AA16" s="4" t="s">
        <v>10</v>
      </c>
      <c r="AB16" s="11">
        <f>IFERROR(VLOOKUP(AA16,Curr!$B$2:$C$13,2,FALSE),0)</f>
        <v>11</v>
      </c>
      <c r="AC16" s="12">
        <f t="shared" si="3"/>
        <v>0</v>
      </c>
      <c r="AD16" s="12">
        <f t="shared" si="4"/>
        <v>0</v>
      </c>
      <c r="AE16" s="13">
        <f t="shared" si="5"/>
        <v>0</v>
      </c>
    </row>
    <row r="17" spans="2:31" x14ac:dyDescent="0.25">
      <c r="B17" s="4"/>
      <c r="E17" s="3"/>
      <c r="F17" s="3"/>
      <c r="G17" s="24"/>
      <c r="H17" s="24"/>
      <c r="K17" s="4"/>
      <c r="L17" s="4"/>
      <c r="M17" s="4"/>
      <c r="N17" s="4"/>
      <c r="O17" s="4"/>
      <c r="P17" s="29"/>
      <c r="Q17" s="25">
        <v>0</v>
      </c>
      <c r="R17" s="25">
        <v>0</v>
      </c>
      <c r="S17" s="12">
        <f t="shared" si="0"/>
        <v>0</v>
      </c>
      <c r="T17" s="5">
        <v>0</v>
      </c>
      <c r="U17" s="12">
        <f t="shared" si="6"/>
        <v>0</v>
      </c>
      <c r="V17" s="25" t="s">
        <v>10</v>
      </c>
      <c r="W17" s="11">
        <f>IFERROR(VLOOKUP(V17,[1]Curr!$B$2:$C$13,2,FALSE),0)</f>
        <v>11.3</v>
      </c>
      <c r="X17" s="12">
        <f t="shared" si="1"/>
        <v>0</v>
      </c>
      <c r="Y17" s="26">
        <f t="shared" si="7"/>
        <v>0</v>
      </c>
      <c r="Z17" s="12">
        <f t="shared" si="2"/>
        <v>0</v>
      </c>
      <c r="AA17" s="4" t="s">
        <v>10</v>
      </c>
      <c r="AB17" s="11">
        <f>IFERROR(VLOOKUP(AA17,Curr!$B$2:$C$13,2,FALSE),0)</f>
        <v>11</v>
      </c>
      <c r="AC17" s="12">
        <f t="shared" si="3"/>
        <v>0</v>
      </c>
      <c r="AD17" s="12">
        <f t="shared" si="4"/>
        <v>0</v>
      </c>
      <c r="AE17" s="13">
        <f t="shared" si="5"/>
        <v>0</v>
      </c>
    </row>
    <row r="18" spans="2:31" x14ac:dyDescent="0.25">
      <c r="B18" s="4"/>
      <c r="E18" s="3"/>
      <c r="F18" s="3"/>
      <c r="G18" s="24"/>
      <c r="H18" s="24"/>
      <c r="K18" s="4"/>
      <c r="L18" s="4"/>
      <c r="M18" s="4"/>
      <c r="N18" s="4"/>
      <c r="O18" s="4"/>
      <c r="P18" s="27"/>
      <c r="Q18" s="25">
        <v>0</v>
      </c>
      <c r="R18" s="25">
        <v>0</v>
      </c>
      <c r="S18" s="12">
        <f t="shared" si="0"/>
        <v>0</v>
      </c>
      <c r="T18" s="5">
        <v>0</v>
      </c>
      <c r="U18" s="12">
        <f t="shared" si="6"/>
        <v>0</v>
      </c>
      <c r="V18" s="25" t="s">
        <v>10</v>
      </c>
      <c r="W18" s="11">
        <f>IFERROR(VLOOKUP(V18,[1]Curr!$B$2:$C$13,2,FALSE),0)</f>
        <v>11.3</v>
      </c>
      <c r="X18" s="12">
        <f t="shared" si="1"/>
        <v>0</v>
      </c>
      <c r="Y18" s="26">
        <f t="shared" si="7"/>
        <v>0</v>
      </c>
      <c r="Z18" s="12">
        <f t="shared" si="2"/>
        <v>0</v>
      </c>
      <c r="AA18" s="4" t="s">
        <v>10</v>
      </c>
      <c r="AB18" s="11">
        <f>IFERROR(VLOOKUP(AA18,Curr!$B$2:$C$13,2,FALSE),0)</f>
        <v>11</v>
      </c>
      <c r="AC18" s="12">
        <f t="shared" si="3"/>
        <v>0</v>
      </c>
      <c r="AD18" s="12">
        <f t="shared" si="4"/>
        <v>0</v>
      </c>
      <c r="AE18" s="13">
        <f t="shared" si="5"/>
        <v>0</v>
      </c>
    </row>
    <row r="19" spans="2:31" x14ac:dyDescent="0.25">
      <c r="B19" s="4"/>
      <c r="E19" s="3"/>
      <c r="F19" s="3"/>
      <c r="G19" s="24"/>
      <c r="H19" s="24"/>
      <c r="K19" s="4"/>
      <c r="L19" s="4"/>
      <c r="M19" s="4"/>
      <c r="N19" s="4"/>
      <c r="O19" s="4"/>
      <c r="P19" s="27"/>
      <c r="Q19" s="25">
        <v>0</v>
      </c>
      <c r="R19" s="25">
        <v>0</v>
      </c>
      <c r="S19" s="12">
        <f t="shared" si="0"/>
        <v>0</v>
      </c>
      <c r="T19" s="5">
        <v>0</v>
      </c>
      <c r="U19" s="12">
        <f t="shared" si="6"/>
        <v>0</v>
      </c>
      <c r="V19" s="25" t="s">
        <v>10</v>
      </c>
      <c r="W19" s="11">
        <f>IFERROR(VLOOKUP(V19,[1]Curr!$B$2:$C$13,2,FALSE),0)</f>
        <v>11.3</v>
      </c>
      <c r="X19" s="12">
        <f t="shared" si="1"/>
        <v>0</v>
      </c>
      <c r="Y19" s="26">
        <f t="shared" si="7"/>
        <v>0</v>
      </c>
      <c r="Z19" s="12">
        <f t="shared" si="2"/>
        <v>0</v>
      </c>
      <c r="AA19" s="4" t="s">
        <v>10</v>
      </c>
      <c r="AB19" s="11">
        <f>IFERROR(VLOOKUP(AA19,Curr!$B$2:$C$13,2,FALSE),0)</f>
        <v>11</v>
      </c>
      <c r="AC19" s="12">
        <f t="shared" si="3"/>
        <v>0</v>
      </c>
      <c r="AD19" s="12">
        <f t="shared" si="4"/>
        <v>0</v>
      </c>
      <c r="AE19" s="13">
        <f t="shared" si="5"/>
        <v>0</v>
      </c>
    </row>
    <row r="20" spans="2:31" x14ac:dyDescent="0.25">
      <c r="B20" s="4"/>
      <c r="E20" s="3"/>
      <c r="F20" s="3"/>
      <c r="G20" s="24"/>
      <c r="H20" s="24"/>
      <c r="K20" s="4"/>
      <c r="L20" s="4"/>
      <c r="M20" s="4"/>
      <c r="N20" s="4"/>
      <c r="O20" s="4"/>
      <c r="P20" s="27"/>
      <c r="Q20" s="25">
        <v>0</v>
      </c>
      <c r="R20" s="25">
        <v>0</v>
      </c>
      <c r="S20" s="12">
        <f t="shared" si="0"/>
        <v>0</v>
      </c>
      <c r="T20" s="5">
        <v>0</v>
      </c>
      <c r="U20" s="12">
        <f t="shared" si="6"/>
        <v>0</v>
      </c>
      <c r="V20" s="25" t="s">
        <v>10</v>
      </c>
      <c r="W20" s="11">
        <f>IFERROR(VLOOKUP(V20,[1]Curr!$B$2:$C$13,2,FALSE),0)</f>
        <v>11.3</v>
      </c>
      <c r="X20" s="12">
        <f t="shared" si="1"/>
        <v>0</v>
      </c>
      <c r="Y20" s="26">
        <f t="shared" si="7"/>
        <v>0</v>
      </c>
      <c r="Z20" s="12">
        <f t="shared" si="2"/>
        <v>0</v>
      </c>
      <c r="AA20" s="4" t="s">
        <v>10</v>
      </c>
      <c r="AB20" s="11">
        <f>IFERROR(VLOOKUP(AA20,Curr!$B$2:$C$13,2,FALSE),0)</f>
        <v>11</v>
      </c>
      <c r="AC20" s="12">
        <f t="shared" si="3"/>
        <v>0</v>
      </c>
      <c r="AD20" s="12">
        <f t="shared" si="4"/>
        <v>0</v>
      </c>
      <c r="AE20" s="13">
        <f t="shared" si="5"/>
        <v>0</v>
      </c>
    </row>
    <row r="21" spans="2:31" x14ac:dyDescent="0.25">
      <c r="B21" s="4"/>
      <c r="E21" s="3"/>
      <c r="F21" s="3"/>
      <c r="G21" s="24"/>
      <c r="H21" s="24"/>
      <c r="K21" s="4"/>
      <c r="L21" s="4"/>
      <c r="M21" s="4"/>
      <c r="N21" s="4"/>
      <c r="O21" s="4"/>
      <c r="P21" s="33"/>
      <c r="Q21" s="25">
        <v>0</v>
      </c>
      <c r="R21" s="25">
        <v>0</v>
      </c>
      <c r="S21" s="12">
        <f t="shared" si="0"/>
        <v>0</v>
      </c>
      <c r="T21" s="5">
        <v>0</v>
      </c>
      <c r="U21" s="12">
        <f t="shared" si="6"/>
        <v>0</v>
      </c>
      <c r="V21" s="25" t="s">
        <v>10</v>
      </c>
      <c r="W21" s="11">
        <f>IFERROR(VLOOKUP(V21,[1]Curr!$B$2:$C$13,2,FALSE),0)</f>
        <v>11.3</v>
      </c>
      <c r="X21" s="12">
        <f t="shared" si="1"/>
        <v>0</v>
      </c>
      <c r="Y21" s="26">
        <f t="shared" si="7"/>
        <v>0</v>
      </c>
      <c r="Z21" s="12">
        <f t="shared" si="2"/>
        <v>0</v>
      </c>
      <c r="AA21" s="4" t="s">
        <v>10</v>
      </c>
      <c r="AB21" s="11">
        <f>IFERROR(VLOOKUP(AA21,Curr!$B$2:$C$13,2,FALSE),0)</f>
        <v>11</v>
      </c>
      <c r="AC21" s="12">
        <f t="shared" si="3"/>
        <v>0</v>
      </c>
      <c r="AD21" s="12">
        <f t="shared" si="4"/>
        <v>0</v>
      </c>
      <c r="AE21" s="13">
        <f t="shared" si="5"/>
        <v>0</v>
      </c>
    </row>
    <row r="22" spans="2:31" x14ac:dyDescent="0.25">
      <c r="B22" s="4"/>
      <c r="E22" s="3"/>
      <c r="F22" s="3"/>
      <c r="G22" s="24"/>
      <c r="H22" s="24"/>
      <c r="K22" s="4"/>
      <c r="L22" s="4"/>
      <c r="M22" s="4"/>
      <c r="N22" s="4"/>
      <c r="O22" s="4"/>
      <c r="P22" s="33"/>
      <c r="Q22" s="25">
        <v>0</v>
      </c>
      <c r="R22" s="25">
        <v>0</v>
      </c>
      <c r="S22" s="12">
        <f t="shared" si="0"/>
        <v>0</v>
      </c>
      <c r="T22" s="5">
        <v>0</v>
      </c>
      <c r="U22" s="12">
        <f t="shared" si="6"/>
        <v>0</v>
      </c>
      <c r="V22" s="25" t="s">
        <v>10</v>
      </c>
      <c r="W22" s="11">
        <f>IFERROR(VLOOKUP(V22,[1]Curr!$B$2:$C$13,2,FALSE),0)</f>
        <v>11.3</v>
      </c>
      <c r="X22" s="12">
        <f t="shared" si="1"/>
        <v>0</v>
      </c>
      <c r="Y22" s="26">
        <f t="shared" si="7"/>
        <v>0</v>
      </c>
      <c r="Z22" s="12">
        <f t="shared" si="2"/>
        <v>0</v>
      </c>
      <c r="AA22" s="4" t="s">
        <v>10</v>
      </c>
      <c r="AB22" s="11">
        <f>IFERROR(VLOOKUP(AA22,Curr!$B$2:$C$13,2,FALSE),0)</f>
        <v>11</v>
      </c>
      <c r="AC22" s="12">
        <f t="shared" si="3"/>
        <v>0</v>
      </c>
      <c r="AD22" s="12">
        <f t="shared" si="4"/>
        <v>0</v>
      </c>
      <c r="AE22" s="13">
        <f t="shared" si="5"/>
        <v>0</v>
      </c>
    </row>
    <row r="23" spans="2:31" x14ac:dyDescent="0.25">
      <c r="B23" s="4"/>
      <c r="E23" s="3"/>
      <c r="F23" s="3"/>
      <c r="G23" s="24"/>
      <c r="H23" s="24"/>
      <c r="K23" s="4"/>
      <c r="L23" s="4"/>
      <c r="M23" s="4"/>
      <c r="N23" s="4"/>
      <c r="O23" s="4"/>
      <c r="P23" s="27"/>
      <c r="Q23" s="25">
        <v>0</v>
      </c>
      <c r="R23" s="25">
        <v>0</v>
      </c>
      <c r="S23" s="12">
        <f t="shared" si="0"/>
        <v>0</v>
      </c>
      <c r="T23" s="5">
        <v>0</v>
      </c>
      <c r="U23" s="12">
        <f t="shared" si="6"/>
        <v>0</v>
      </c>
      <c r="V23" s="25" t="s">
        <v>10</v>
      </c>
      <c r="W23" s="11">
        <f>IFERROR(VLOOKUP(V23,[1]Curr!$B$2:$C$13,2,FALSE),0)</f>
        <v>11.3</v>
      </c>
      <c r="X23" s="12">
        <f t="shared" si="1"/>
        <v>0</v>
      </c>
      <c r="Y23" s="26">
        <f t="shared" si="7"/>
        <v>0</v>
      </c>
      <c r="Z23" s="12">
        <f t="shared" si="2"/>
        <v>0</v>
      </c>
      <c r="AA23" s="4" t="s">
        <v>10</v>
      </c>
      <c r="AB23" s="11">
        <f>IFERROR(VLOOKUP(AA23,Curr!$B$2:$C$13,2,FALSE),0)</f>
        <v>11</v>
      </c>
      <c r="AC23" s="12">
        <f t="shared" si="3"/>
        <v>0</v>
      </c>
      <c r="AD23" s="12">
        <f t="shared" si="4"/>
        <v>0</v>
      </c>
      <c r="AE23" s="13">
        <f t="shared" si="5"/>
        <v>0</v>
      </c>
    </row>
    <row r="24" spans="2:31" x14ac:dyDescent="0.25">
      <c r="B24" s="4"/>
      <c r="E24" s="3"/>
      <c r="F24" s="3"/>
      <c r="G24" s="24"/>
      <c r="H24" s="24"/>
      <c r="K24" s="4"/>
      <c r="L24" s="4"/>
      <c r="M24" s="4"/>
      <c r="N24" s="4"/>
      <c r="O24" s="4"/>
      <c r="P24" s="27"/>
      <c r="Q24" s="25">
        <v>0</v>
      </c>
      <c r="R24" s="25">
        <v>0</v>
      </c>
      <c r="S24" s="12">
        <f t="shared" si="0"/>
        <v>0</v>
      </c>
      <c r="T24" s="5">
        <v>0</v>
      </c>
      <c r="U24" s="12">
        <f t="shared" si="6"/>
        <v>0</v>
      </c>
      <c r="V24" s="25" t="s">
        <v>10</v>
      </c>
      <c r="W24" s="11">
        <f>IFERROR(VLOOKUP(V24,[1]Curr!$B$2:$C$13,2,FALSE),0)</f>
        <v>11.3</v>
      </c>
      <c r="X24" s="12">
        <f t="shared" si="1"/>
        <v>0</v>
      </c>
      <c r="Y24" s="26">
        <f t="shared" si="7"/>
        <v>0</v>
      </c>
      <c r="Z24" s="12">
        <f t="shared" si="2"/>
        <v>0</v>
      </c>
      <c r="AA24" s="4" t="s">
        <v>10</v>
      </c>
      <c r="AB24" s="11">
        <f>IFERROR(VLOOKUP(AA24,Curr!$B$2:$C$13,2,FALSE),0)</f>
        <v>11</v>
      </c>
      <c r="AC24" s="12">
        <f t="shared" si="3"/>
        <v>0</v>
      </c>
      <c r="AD24" s="12">
        <f t="shared" si="4"/>
        <v>0</v>
      </c>
      <c r="AE24" s="13">
        <f t="shared" si="5"/>
        <v>0</v>
      </c>
    </row>
    <row r="25" spans="2:31" x14ac:dyDescent="0.25">
      <c r="B25" s="4"/>
      <c r="E25" s="3"/>
      <c r="F25" s="3"/>
      <c r="G25" s="24"/>
      <c r="H25" s="24"/>
      <c r="K25" s="4"/>
      <c r="L25" s="4"/>
      <c r="M25" s="4"/>
      <c r="N25" s="4"/>
      <c r="O25" s="4"/>
      <c r="P25" s="27"/>
      <c r="Q25" s="25">
        <v>0</v>
      </c>
      <c r="R25" s="25">
        <v>0</v>
      </c>
      <c r="S25" s="12">
        <f t="shared" si="0"/>
        <v>0</v>
      </c>
      <c r="T25" s="5">
        <v>0</v>
      </c>
      <c r="U25" s="12">
        <f t="shared" si="6"/>
        <v>0</v>
      </c>
      <c r="V25" s="25" t="s">
        <v>10</v>
      </c>
      <c r="W25" s="11">
        <f>IFERROR(VLOOKUP(V25,[1]Curr!$B$2:$C$13,2,FALSE),0)</f>
        <v>11.3</v>
      </c>
      <c r="X25" s="12">
        <f t="shared" si="1"/>
        <v>0</v>
      </c>
      <c r="Y25" s="26">
        <f t="shared" si="7"/>
        <v>0</v>
      </c>
      <c r="Z25" s="12">
        <f t="shared" si="2"/>
        <v>0</v>
      </c>
      <c r="AA25" s="4" t="s">
        <v>10</v>
      </c>
      <c r="AB25" s="11">
        <f>IFERROR(VLOOKUP(AA25,Curr!$B$2:$C$13,2,FALSE),0)</f>
        <v>11</v>
      </c>
      <c r="AC25" s="12">
        <f t="shared" si="3"/>
        <v>0</v>
      </c>
      <c r="AD25" s="12">
        <f t="shared" si="4"/>
        <v>0</v>
      </c>
      <c r="AE25" s="13">
        <f t="shared" si="5"/>
        <v>0</v>
      </c>
    </row>
    <row r="26" spans="2:31" x14ac:dyDescent="0.25">
      <c r="B26" s="4"/>
      <c r="E26" s="3"/>
      <c r="F26" s="3"/>
      <c r="G26" s="24"/>
      <c r="H26" s="24"/>
      <c r="K26" s="4"/>
      <c r="L26" s="4"/>
      <c r="M26" s="4"/>
      <c r="N26" s="4"/>
      <c r="O26" s="4"/>
      <c r="P26" s="33"/>
      <c r="Q26" s="25">
        <v>0</v>
      </c>
      <c r="R26" s="25">
        <v>0</v>
      </c>
      <c r="S26" s="12">
        <f t="shared" si="0"/>
        <v>0</v>
      </c>
      <c r="T26" s="5">
        <v>0</v>
      </c>
      <c r="U26" s="12">
        <f t="shared" si="6"/>
        <v>0</v>
      </c>
      <c r="V26" s="25" t="s">
        <v>10</v>
      </c>
      <c r="W26" s="11">
        <f>IFERROR(VLOOKUP(V26,[1]Curr!$B$2:$C$13,2,FALSE),0)</f>
        <v>11.3</v>
      </c>
      <c r="X26" s="12">
        <f t="shared" si="1"/>
        <v>0</v>
      </c>
      <c r="Y26" s="26">
        <f t="shared" si="7"/>
        <v>0</v>
      </c>
      <c r="Z26" s="12">
        <f t="shared" si="2"/>
        <v>0</v>
      </c>
      <c r="AA26" s="4" t="s">
        <v>10</v>
      </c>
      <c r="AB26" s="11">
        <f>IFERROR(VLOOKUP(AA26,Curr!$B$2:$C$13,2,FALSE),0)</f>
        <v>11</v>
      </c>
      <c r="AC26" s="12">
        <f t="shared" si="3"/>
        <v>0</v>
      </c>
      <c r="AD26" s="12">
        <f t="shared" si="4"/>
        <v>0</v>
      </c>
      <c r="AE26" s="13">
        <f t="shared" si="5"/>
        <v>0</v>
      </c>
    </row>
    <row r="27" spans="2:31" x14ac:dyDescent="0.25">
      <c r="B27" s="4"/>
      <c r="E27" s="3"/>
      <c r="F27" s="3"/>
      <c r="G27" s="24"/>
      <c r="H27" s="24"/>
      <c r="K27" s="4"/>
      <c r="L27" s="4"/>
      <c r="M27" s="4"/>
      <c r="N27" s="4"/>
      <c r="O27" s="4"/>
      <c r="P27" s="27"/>
      <c r="Q27" s="25">
        <v>0</v>
      </c>
      <c r="R27" s="25">
        <v>0</v>
      </c>
      <c r="S27" s="12">
        <f t="shared" si="0"/>
        <v>0</v>
      </c>
      <c r="T27" s="5">
        <v>0</v>
      </c>
      <c r="U27" s="12">
        <f t="shared" si="6"/>
        <v>0</v>
      </c>
      <c r="V27" s="25" t="s">
        <v>10</v>
      </c>
      <c r="W27" s="11">
        <f>IFERROR(VLOOKUP(V27,[1]Curr!$B$2:$C$13,2,FALSE),0)</f>
        <v>11.3</v>
      </c>
      <c r="X27" s="12">
        <f t="shared" si="1"/>
        <v>0</v>
      </c>
      <c r="Y27" s="26">
        <f t="shared" si="7"/>
        <v>0</v>
      </c>
      <c r="Z27" s="12">
        <f t="shared" si="2"/>
        <v>0</v>
      </c>
      <c r="AA27" s="4" t="s">
        <v>10</v>
      </c>
      <c r="AB27" s="11">
        <f>IFERROR(VLOOKUP(AA27,Curr!$B$2:$C$13,2,FALSE),0)</f>
        <v>11</v>
      </c>
      <c r="AC27" s="12">
        <f t="shared" si="3"/>
        <v>0</v>
      </c>
      <c r="AD27" s="12">
        <f t="shared" si="4"/>
        <v>0</v>
      </c>
      <c r="AE27" s="13">
        <f t="shared" si="5"/>
        <v>0</v>
      </c>
    </row>
    <row r="28" spans="2:31" x14ac:dyDescent="0.25">
      <c r="B28" s="4"/>
      <c r="E28" s="3"/>
      <c r="F28" s="3"/>
      <c r="G28" s="24"/>
      <c r="H28" s="24"/>
      <c r="K28" s="4"/>
      <c r="L28" s="4"/>
      <c r="M28" s="4"/>
      <c r="N28" s="4"/>
      <c r="O28" s="4"/>
      <c r="P28" s="33"/>
      <c r="Q28" s="25">
        <v>0</v>
      </c>
      <c r="R28" s="25">
        <v>0</v>
      </c>
      <c r="S28" s="12">
        <f t="shared" si="0"/>
        <v>0</v>
      </c>
      <c r="T28" s="5">
        <v>0</v>
      </c>
      <c r="U28" s="12">
        <f t="shared" si="6"/>
        <v>0</v>
      </c>
      <c r="V28" s="25" t="s">
        <v>10</v>
      </c>
      <c r="W28" s="11">
        <f>IFERROR(VLOOKUP(V28,[1]Curr!$B$2:$C$13,2,FALSE),0)</f>
        <v>11.3</v>
      </c>
      <c r="X28" s="12">
        <f t="shared" si="1"/>
        <v>0</v>
      </c>
      <c r="Y28" s="26">
        <f t="shared" si="7"/>
        <v>0</v>
      </c>
      <c r="Z28" s="12">
        <f t="shared" si="2"/>
        <v>0</v>
      </c>
      <c r="AA28" s="4" t="s">
        <v>10</v>
      </c>
      <c r="AB28" s="11">
        <f>IFERROR(VLOOKUP(AA28,Curr!$B$2:$C$13,2,FALSE),0)</f>
        <v>11</v>
      </c>
      <c r="AC28" s="12">
        <f t="shared" si="3"/>
        <v>0</v>
      </c>
      <c r="AD28" s="12">
        <f t="shared" si="4"/>
        <v>0</v>
      </c>
      <c r="AE28" s="13">
        <f t="shared" si="5"/>
        <v>0</v>
      </c>
    </row>
    <row r="29" spans="2:31" x14ac:dyDescent="0.25">
      <c r="B29" s="4"/>
      <c r="E29" s="3"/>
      <c r="F29" s="3"/>
      <c r="G29" s="24"/>
      <c r="H29" s="24"/>
      <c r="K29" s="4"/>
      <c r="L29" s="4"/>
      <c r="M29" s="4"/>
      <c r="N29" s="4"/>
      <c r="O29" s="4"/>
      <c r="P29" s="29"/>
      <c r="Q29" s="25">
        <v>0</v>
      </c>
      <c r="R29" s="25">
        <v>0</v>
      </c>
      <c r="S29" s="12">
        <f t="shared" si="0"/>
        <v>0</v>
      </c>
      <c r="T29" s="5">
        <v>0</v>
      </c>
      <c r="U29" s="12">
        <f t="shared" si="6"/>
        <v>0</v>
      </c>
      <c r="V29" s="25" t="s">
        <v>10</v>
      </c>
      <c r="W29" s="11">
        <f>IFERROR(VLOOKUP(V29,[1]Curr!$B$2:$C$13,2,FALSE),0)</f>
        <v>11.3</v>
      </c>
      <c r="X29" s="12">
        <f t="shared" si="1"/>
        <v>0</v>
      </c>
      <c r="Y29" s="26">
        <f t="shared" si="7"/>
        <v>0</v>
      </c>
      <c r="Z29" s="12">
        <f t="shared" si="2"/>
        <v>0</v>
      </c>
      <c r="AA29" s="4" t="s">
        <v>10</v>
      </c>
      <c r="AB29" s="11">
        <f>IFERROR(VLOOKUP(AA29,Curr!$B$2:$C$13,2,FALSE),0)</f>
        <v>11</v>
      </c>
      <c r="AC29" s="12">
        <f t="shared" si="3"/>
        <v>0</v>
      </c>
      <c r="AD29" s="12">
        <f t="shared" si="4"/>
        <v>0</v>
      </c>
      <c r="AE29" s="13">
        <f t="shared" si="5"/>
        <v>0</v>
      </c>
    </row>
    <row r="30" spans="2:31" x14ac:dyDescent="0.25">
      <c r="B30" s="4"/>
      <c r="E30" s="3"/>
      <c r="F30" s="3"/>
      <c r="G30" s="24"/>
      <c r="H30" s="24"/>
      <c r="K30" s="4"/>
      <c r="L30" s="4"/>
      <c r="M30" s="4"/>
      <c r="N30" s="4"/>
      <c r="O30" s="4"/>
      <c r="P30" s="33"/>
      <c r="Q30" s="25">
        <v>0</v>
      </c>
      <c r="R30" s="25">
        <v>0</v>
      </c>
      <c r="S30" s="12">
        <f t="shared" si="0"/>
        <v>0</v>
      </c>
      <c r="T30" s="5">
        <v>0</v>
      </c>
      <c r="U30" s="12">
        <f t="shared" si="6"/>
        <v>0</v>
      </c>
      <c r="V30" s="25" t="s">
        <v>10</v>
      </c>
      <c r="W30" s="11">
        <f>IFERROR(VLOOKUP(V30,[1]Curr!$B$2:$C$13,2,FALSE),0)</f>
        <v>11.3</v>
      </c>
      <c r="X30" s="12">
        <f t="shared" si="1"/>
        <v>0</v>
      </c>
      <c r="Y30" s="26">
        <f t="shared" si="7"/>
        <v>0</v>
      </c>
      <c r="Z30" s="12">
        <f t="shared" si="2"/>
        <v>0</v>
      </c>
      <c r="AA30" s="4" t="s">
        <v>10</v>
      </c>
      <c r="AB30" s="11">
        <f>IFERROR(VLOOKUP(AA30,Curr!$B$2:$C$13,2,FALSE),0)</f>
        <v>11</v>
      </c>
      <c r="AC30" s="12">
        <f t="shared" si="3"/>
        <v>0</v>
      </c>
      <c r="AD30" s="12">
        <f t="shared" si="4"/>
        <v>0</v>
      </c>
      <c r="AE30" s="13">
        <f t="shared" si="5"/>
        <v>0</v>
      </c>
    </row>
    <row r="31" spans="2:31" x14ac:dyDescent="0.25">
      <c r="B31" s="4"/>
      <c r="E31" s="3"/>
      <c r="F31" s="3"/>
      <c r="G31" s="24"/>
      <c r="H31" s="24"/>
      <c r="K31" s="4"/>
      <c r="L31" s="4"/>
      <c r="M31" s="4"/>
      <c r="N31" s="4"/>
      <c r="O31" s="4"/>
      <c r="P31" s="27"/>
      <c r="Q31" s="25">
        <v>0</v>
      </c>
      <c r="R31" s="25">
        <v>0</v>
      </c>
      <c r="S31" s="12">
        <f t="shared" si="0"/>
        <v>0</v>
      </c>
      <c r="T31" s="5">
        <v>0</v>
      </c>
      <c r="U31" s="12">
        <f t="shared" si="6"/>
        <v>0</v>
      </c>
      <c r="V31" s="25" t="s">
        <v>10</v>
      </c>
      <c r="W31" s="11">
        <f>IFERROR(VLOOKUP(V31,[1]Curr!$B$2:$C$13,2,FALSE),0)</f>
        <v>11.3</v>
      </c>
      <c r="X31" s="12">
        <f t="shared" si="1"/>
        <v>0</v>
      </c>
      <c r="Y31" s="26">
        <f t="shared" si="7"/>
        <v>0</v>
      </c>
      <c r="Z31" s="12">
        <f t="shared" si="2"/>
        <v>0</v>
      </c>
      <c r="AA31" s="4" t="s">
        <v>10</v>
      </c>
      <c r="AB31" s="11">
        <f>IFERROR(VLOOKUP(AA31,Curr!$B$2:$C$13,2,FALSE),0)</f>
        <v>11</v>
      </c>
      <c r="AC31" s="12">
        <f t="shared" si="3"/>
        <v>0</v>
      </c>
      <c r="AD31" s="12">
        <f t="shared" si="4"/>
        <v>0</v>
      </c>
      <c r="AE31" s="13">
        <f t="shared" si="5"/>
        <v>0</v>
      </c>
    </row>
    <row r="32" spans="2:31" x14ac:dyDescent="0.25">
      <c r="B32" s="4"/>
      <c r="E32" s="3"/>
      <c r="F32" s="3"/>
      <c r="G32" s="24"/>
      <c r="H32" s="24"/>
      <c r="K32" s="4"/>
      <c r="L32" s="4"/>
      <c r="M32" s="4"/>
      <c r="N32" s="4"/>
      <c r="O32" s="4"/>
      <c r="P32" s="27"/>
      <c r="Q32" s="25">
        <v>0</v>
      </c>
      <c r="R32" s="25">
        <v>0</v>
      </c>
      <c r="S32" s="12">
        <f t="shared" si="0"/>
        <v>0</v>
      </c>
      <c r="T32" s="5">
        <v>0</v>
      </c>
      <c r="U32" s="12">
        <f t="shared" si="6"/>
        <v>0</v>
      </c>
      <c r="V32" s="25" t="s">
        <v>10</v>
      </c>
      <c r="W32" s="11">
        <f>IFERROR(VLOOKUP(V32,[1]Curr!$B$2:$C$13,2,FALSE),0)</f>
        <v>11.3</v>
      </c>
      <c r="X32" s="12">
        <f t="shared" si="1"/>
        <v>0</v>
      </c>
      <c r="Y32" s="26">
        <f t="shared" si="7"/>
        <v>0</v>
      </c>
      <c r="Z32" s="12">
        <f t="shared" si="2"/>
        <v>0</v>
      </c>
      <c r="AA32" s="4" t="s">
        <v>10</v>
      </c>
      <c r="AB32" s="11">
        <f>IFERROR(VLOOKUP(AA32,Curr!$B$2:$C$13,2,FALSE),0)</f>
        <v>11</v>
      </c>
      <c r="AC32" s="12">
        <f t="shared" si="3"/>
        <v>0</v>
      </c>
      <c r="AD32" s="12">
        <f t="shared" si="4"/>
        <v>0</v>
      </c>
      <c r="AE32" s="13">
        <f t="shared" si="5"/>
        <v>0</v>
      </c>
    </row>
    <row r="33" spans="2:31" x14ac:dyDescent="0.25">
      <c r="B33" s="4"/>
      <c r="E33" s="3"/>
      <c r="F33" s="3"/>
      <c r="G33" s="24"/>
      <c r="H33" s="24"/>
      <c r="K33" s="4"/>
      <c r="L33" s="4"/>
      <c r="M33" s="4"/>
      <c r="N33" s="4"/>
      <c r="O33" s="4"/>
      <c r="P33" s="27"/>
      <c r="Q33" s="25">
        <v>0</v>
      </c>
      <c r="R33" s="25">
        <v>0</v>
      </c>
      <c r="S33" s="12">
        <f t="shared" si="0"/>
        <v>0</v>
      </c>
      <c r="T33" s="5">
        <v>0</v>
      </c>
      <c r="U33" s="12">
        <f t="shared" si="6"/>
        <v>0</v>
      </c>
      <c r="V33" s="25" t="s">
        <v>10</v>
      </c>
      <c r="W33" s="11">
        <f>IFERROR(VLOOKUP(V33,[1]Curr!$B$2:$C$13,2,FALSE),0)</f>
        <v>11.3</v>
      </c>
      <c r="X33" s="12">
        <f t="shared" si="1"/>
        <v>0</v>
      </c>
      <c r="Y33" s="26">
        <f t="shared" si="7"/>
        <v>0</v>
      </c>
      <c r="Z33" s="12">
        <f t="shared" si="2"/>
        <v>0</v>
      </c>
      <c r="AA33" s="4" t="s">
        <v>10</v>
      </c>
      <c r="AB33" s="11">
        <f>IFERROR(VLOOKUP(AA33,Curr!$B$2:$C$13,2,FALSE),0)</f>
        <v>11</v>
      </c>
      <c r="AC33" s="12">
        <f t="shared" si="3"/>
        <v>0</v>
      </c>
      <c r="AD33" s="12">
        <f t="shared" si="4"/>
        <v>0</v>
      </c>
      <c r="AE33" s="13">
        <f t="shared" si="5"/>
        <v>0</v>
      </c>
    </row>
    <row r="34" spans="2:31" x14ac:dyDescent="0.25">
      <c r="B34" s="4"/>
      <c r="E34" s="3"/>
      <c r="F34" s="3"/>
      <c r="G34" s="24"/>
      <c r="H34" s="24"/>
      <c r="K34" s="4"/>
      <c r="L34" s="4"/>
      <c r="M34" s="4"/>
      <c r="N34" s="4"/>
      <c r="O34" s="4"/>
      <c r="P34" s="33"/>
      <c r="Q34" s="25">
        <v>0</v>
      </c>
      <c r="R34" s="25">
        <v>0</v>
      </c>
      <c r="S34" s="12">
        <f t="shared" si="0"/>
        <v>0</v>
      </c>
      <c r="T34" s="5">
        <v>0</v>
      </c>
      <c r="U34" s="12">
        <f t="shared" si="6"/>
        <v>0</v>
      </c>
      <c r="V34" s="25" t="s">
        <v>10</v>
      </c>
      <c r="W34" s="11">
        <f>IFERROR(VLOOKUP(V34,[1]Curr!$B$2:$C$13,2,FALSE),0)</f>
        <v>11.3</v>
      </c>
      <c r="X34" s="12">
        <f t="shared" si="1"/>
        <v>0</v>
      </c>
      <c r="Y34" s="26">
        <f t="shared" si="7"/>
        <v>0</v>
      </c>
      <c r="Z34" s="12">
        <f t="shared" si="2"/>
        <v>0</v>
      </c>
      <c r="AA34" s="4" t="s">
        <v>10</v>
      </c>
      <c r="AB34" s="11">
        <f>IFERROR(VLOOKUP(AA34,Curr!$B$2:$C$13,2,FALSE),0)</f>
        <v>11</v>
      </c>
      <c r="AC34" s="12">
        <f t="shared" si="3"/>
        <v>0</v>
      </c>
      <c r="AD34" s="12">
        <f t="shared" si="4"/>
        <v>0</v>
      </c>
      <c r="AE34" s="13">
        <f t="shared" si="5"/>
        <v>0</v>
      </c>
    </row>
    <row r="35" spans="2:31" x14ac:dyDescent="0.25">
      <c r="B35" s="4"/>
      <c r="E35" s="3"/>
      <c r="F35" s="3"/>
      <c r="G35" s="24"/>
      <c r="H35" s="24"/>
      <c r="K35" s="4"/>
      <c r="L35" s="4"/>
      <c r="M35" s="4"/>
      <c r="N35" s="4"/>
      <c r="O35" s="4"/>
      <c r="P35" s="27"/>
      <c r="Q35" s="25">
        <v>0</v>
      </c>
      <c r="R35" s="25">
        <v>0</v>
      </c>
      <c r="S35" s="12">
        <f t="shared" si="0"/>
        <v>0</v>
      </c>
      <c r="T35" s="5">
        <v>0</v>
      </c>
      <c r="U35" s="12">
        <f t="shared" si="6"/>
        <v>0</v>
      </c>
      <c r="V35" s="25" t="s">
        <v>10</v>
      </c>
      <c r="W35" s="11">
        <f>IFERROR(VLOOKUP(V35,[1]Curr!$B$2:$C$13,2,FALSE),0)</f>
        <v>11.3</v>
      </c>
      <c r="X35" s="12">
        <f t="shared" si="1"/>
        <v>0</v>
      </c>
      <c r="Y35" s="26">
        <f t="shared" si="7"/>
        <v>0</v>
      </c>
      <c r="Z35" s="12">
        <f t="shared" si="2"/>
        <v>0</v>
      </c>
      <c r="AA35" s="4" t="s">
        <v>10</v>
      </c>
      <c r="AB35" s="11">
        <f>IFERROR(VLOOKUP(AA35,Curr!$B$2:$C$13,2,FALSE),0)</f>
        <v>11</v>
      </c>
      <c r="AC35" s="12">
        <f t="shared" si="3"/>
        <v>0</v>
      </c>
      <c r="AD35" s="12">
        <f t="shared" si="4"/>
        <v>0</v>
      </c>
      <c r="AE35" s="13">
        <f t="shared" si="5"/>
        <v>0</v>
      </c>
    </row>
    <row r="36" spans="2:31" x14ac:dyDescent="0.25">
      <c r="B36" s="4"/>
      <c r="E36" s="3"/>
      <c r="F36" s="3"/>
      <c r="G36" s="24"/>
      <c r="H36" s="24"/>
      <c r="K36" s="4"/>
      <c r="L36" s="4"/>
      <c r="M36" s="4"/>
      <c r="N36" s="4"/>
      <c r="O36" s="4"/>
      <c r="P36" s="33"/>
      <c r="Q36" s="25">
        <v>0</v>
      </c>
      <c r="R36" s="25">
        <v>0</v>
      </c>
      <c r="S36" s="12">
        <f t="shared" si="0"/>
        <v>0</v>
      </c>
      <c r="T36" s="5">
        <v>0</v>
      </c>
      <c r="U36" s="12">
        <f t="shared" si="6"/>
        <v>0</v>
      </c>
      <c r="V36" s="25" t="s">
        <v>10</v>
      </c>
      <c r="W36" s="11">
        <f>IFERROR(VLOOKUP(V36,[1]Curr!$B$2:$C$13,2,FALSE),0)</f>
        <v>11.3</v>
      </c>
      <c r="X36" s="12">
        <f t="shared" si="1"/>
        <v>0</v>
      </c>
      <c r="Y36" s="26">
        <f t="shared" si="7"/>
        <v>0</v>
      </c>
      <c r="Z36" s="12">
        <f t="shared" si="2"/>
        <v>0</v>
      </c>
      <c r="AA36" s="4" t="s">
        <v>10</v>
      </c>
      <c r="AB36" s="11">
        <f>IFERROR(VLOOKUP(AA36,Curr!$B$2:$C$13,2,FALSE),0)</f>
        <v>11</v>
      </c>
      <c r="AC36" s="12">
        <f t="shared" si="3"/>
        <v>0</v>
      </c>
      <c r="AD36" s="12">
        <f t="shared" si="4"/>
        <v>0</v>
      </c>
      <c r="AE36" s="13">
        <f t="shared" si="5"/>
        <v>0</v>
      </c>
    </row>
    <row r="37" spans="2:31" x14ac:dyDescent="0.25">
      <c r="B37" s="4"/>
      <c r="E37" s="3"/>
      <c r="F37" s="3"/>
      <c r="G37" s="24"/>
      <c r="H37" s="24"/>
      <c r="K37" s="4"/>
      <c r="L37" s="4"/>
      <c r="M37" s="4"/>
      <c r="N37" s="4"/>
      <c r="O37" s="4"/>
      <c r="P37" s="33"/>
      <c r="Q37" s="25">
        <v>0</v>
      </c>
      <c r="R37" s="25">
        <v>0</v>
      </c>
      <c r="S37" s="12">
        <f t="shared" si="0"/>
        <v>0</v>
      </c>
      <c r="T37" s="5">
        <v>0</v>
      </c>
      <c r="U37" s="12">
        <f t="shared" si="6"/>
        <v>0</v>
      </c>
      <c r="V37" s="25" t="s">
        <v>10</v>
      </c>
      <c r="W37" s="11">
        <f>IFERROR(VLOOKUP(V37,[1]Curr!$B$2:$C$13,2,FALSE),0)</f>
        <v>11.3</v>
      </c>
      <c r="X37" s="12">
        <f t="shared" si="1"/>
        <v>0</v>
      </c>
      <c r="Y37" s="26">
        <f t="shared" si="7"/>
        <v>0</v>
      </c>
      <c r="Z37" s="12">
        <f t="shared" si="2"/>
        <v>0</v>
      </c>
      <c r="AA37" s="4" t="s">
        <v>10</v>
      </c>
      <c r="AB37" s="11">
        <f>IFERROR(VLOOKUP(AA37,Curr!$B$2:$C$13,2,FALSE),0)</f>
        <v>11</v>
      </c>
      <c r="AC37" s="12">
        <f t="shared" si="3"/>
        <v>0</v>
      </c>
      <c r="AD37" s="12">
        <f t="shared" si="4"/>
        <v>0</v>
      </c>
      <c r="AE37" s="13">
        <f t="shared" si="5"/>
        <v>0</v>
      </c>
    </row>
    <row r="38" spans="2:31" x14ac:dyDescent="0.25">
      <c r="B38" s="4"/>
      <c r="E38" s="3"/>
      <c r="F38" s="3"/>
      <c r="G38" s="24"/>
      <c r="H38" s="24"/>
      <c r="K38" s="4"/>
      <c r="L38" s="4"/>
      <c r="M38" s="4"/>
      <c r="N38" s="4"/>
      <c r="O38" s="4"/>
      <c r="P38" s="27"/>
      <c r="Q38" s="25">
        <v>0</v>
      </c>
      <c r="R38" s="25">
        <v>0</v>
      </c>
      <c r="S38" s="12">
        <f t="shared" si="0"/>
        <v>0</v>
      </c>
      <c r="T38" s="5">
        <v>0</v>
      </c>
      <c r="U38" s="12">
        <f t="shared" si="6"/>
        <v>0</v>
      </c>
      <c r="V38" s="25" t="s">
        <v>10</v>
      </c>
      <c r="W38" s="11">
        <f>IFERROR(VLOOKUP(V38,[1]Curr!$B$2:$C$13,2,FALSE),0)</f>
        <v>11.3</v>
      </c>
      <c r="X38" s="12">
        <f t="shared" si="1"/>
        <v>0</v>
      </c>
      <c r="Y38" s="26">
        <f t="shared" si="7"/>
        <v>0</v>
      </c>
      <c r="Z38" s="12">
        <f t="shared" si="2"/>
        <v>0</v>
      </c>
      <c r="AA38" s="4" t="s">
        <v>10</v>
      </c>
      <c r="AB38" s="11">
        <f>IFERROR(VLOOKUP(AA38,Curr!$B$2:$C$13,2,FALSE),0)</f>
        <v>11</v>
      </c>
      <c r="AC38" s="12">
        <f t="shared" si="3"/>
        <v>0</v>
      </c>
      <c r="AD38" s="12">
        <f t="shared" si="4"/>
        <v>0</v>
      </c>
      <c r="AE38" s="13">
        <f t="shared" si="5"/>
        <v>0</v>
      </c>
    </row>
    <row r="39" spans="2:31" x14ac:dyDescent="0.25">
      <c r="B39" s="4"/>
      <c r="E39" s="3"/>
      <c r="F39" s="3"/>
      <c r="G39" s="24"/>
      <c r="H39" s="24"/>
      <c r="K39" s="4"/>
      <c r="L39" s="4"/>
      <c r="M39" s="4"/>
      <c r="N39" s="4"/>
      <c r="O39" s="4"/>
      <c r="P39" s="33"/>
      <c r="Q39" s="25">
        <v>0</v>
      </c>
      <c r="R39" s="25">
        <v>0</v>
      </c>
      <c r="S39" s="12">
        <f t="shared" si="0"/>
        <v>0</v>
      </c>
      <c r="T39" s="5">
        <v>0</v>
      </c>
      <c r="U39" s="12">
        <f t="shared" si="6"/>
        <v>0</v>
      </c>
      <c r="V39" s="25" t="s">
        <v>10</v>
      </c>
      <c r="W39" s="11">
        <f>IFERROR(VLOOKUP(V39,[1]Curr!$B$2:$C$13,2,FALSE),0)</f>
        <v>11.3</v>
      </c>
      <c r="X39" s="12">
        <f t="shared" si="1"/>
        <v>0</v>
      </c>
      <c r="Y39" s="26">
        <f t="shared" si="7"/>
        <v>0</v>
      </c>
      <c r="Z39" s="12">
        <f t="shared" si="2"/>
        <v>0</v>
      </c>
      <c r="AA39" s="4" t="s">
        <v>10</v>
      </c>
      <c r="AB39" s="11">
        <f>IFERROR(VLOOKUP(AA39,Curr!$B$2:$C$13,2,FALSE),0)</f>
        <v>11</v>
      </c>
      <c r="AC39" s="12">
        <f t="shared" si="3"/>
        <v>0</v>
      </c>
      <c r="AD39" s="12">
        <f t="shared" si="4"/>
        <v>0</v>
      </c>
      <c r="AE39" s="13">
        <f t="shared" si="5"/>
        <v>0</v>
      </c>
    </row>
    <row r="40" spans="2:31" x14ac:dyDescent="0.25">
      <c r="B40" s="4"/>
      <c r="E40" s="3"/>
      <c r="F40" s="3"/>
      <c r="G40" s="24"/>
      <c r="H40" s="24"/>
      <c r="K40" s="4"/>
      <c r="L40" s="4"/>
      <c r="M40" s="4"/>
      <c r="N40" s="4"/>
      <c r="O40" s="4"/>
      <c r="P40" s="27"/>
      <c r="Q40" s="25">
        <v>0</v>
      </c>
      <c r="R40" s="25">
        <v>0</v>
      </c>
      <c r="S40" s="12">
        <f t="shared" si="0"/>
        <v>0</v>
      </c>
      <c r="T40" s="5">
        <v>0</v>
      </c>
      <c r="U40" s="12">
        <f t="shared" si="6"/>
        <v>0</v>
      </c>
      <c r="V40" s="25" t="s">
        <v>10</v>
      </c>
      <c r="W40" s="11">
        <f>IFERROR(VLOOKUP(V40,[1]Curr!$B$2:$C$13,2,FALSE),0)</f>
        <v>11.3</v>
      </c>
      <c r="X40" s="12">
        <f t="shared" si="1"/>
        <v>0</v>
      </c>
      <c r="Y40" s="26">
        <f t="shared" si="7"/>
        <v>0</v>
      </c>
      <c r="Z40" s="12">
        <f t="shared" si="2"/>
        <v>0</v>
      </c>
      <c r="AA40" s="4" t="s">
        <v>10</v>
      </c>
      <c r="AB40" s="11">
        <f>IFERROR(VLOOKUP(AA40,Curr!$B$2:$C$13,2,FALSE),0)</f>
        <v>11</v>
      </c>
      <c r="AC40" s="12">
        <f t="shared" si="3"/>
        <v>0</v>
      </c>
      <c r="AD40" s="12">
        <f t="shared" si="4"/>
        <v>0</v>
      </c>
      <c r="AE40" s="13">
        <f t="shared" si="5"/>
        <v>0</v>
      </c>
    </row>
    <row r="41" spans="2:31" x14ac:dyDescent="0.25">
      <c r="B41" s="4"/>
      <c r="E41" s="3"/>
      <c r="F41" s="3"/>
      <c r="G41" s="24"/>
      <c r="H41" s="24"/>
      <c r="K41" s="4"/>
      <c r="L41" s="4"/>
      <c r="M41" s="4"/>
      <c r="N41" s="4"/>
      <c r="O41" s="4"/>
      <c r="P41" s="33"/>
      <c r="Q41" s="25">
        <v>0</v>
      </c>
      <c r="R41" s="25">
        <v>0</v>
      </c>
      <c r="S41" s="12">
        <f t="shared" si="0"/>
        <v>0</v>
      </c>
      <c r="T41" s="5">
        <v>0</v>
      </c>
      <c r="U41" s="12">
        <f t="shared" si="6"/>
        <v>0</v>
      </c>
      <c r="V41" s="25" t="s">
        <v>10</v>
      </c>
      <c r="W41" s="11">
        <f>IFERROR(VLOOKUP(V41,[1]Curr!$B$2:$C$13,2,FALSE),0)</f>
        <v>11.3</v>
      </c>
      <c r="X41" s="12">
        <f t="shared" si="1"/>
        <v>0</v>
      </c>
      <c r="Y41" s="26">
        <f t="shared" si="7"/>
        <v>0</v>
      </c>
      <c r="Z41" s="12">
        <f t="shared" si="2"/>
        <v>0</v>
      </c>
      <c r="AA41" s="4" t="s">
        <v>10</v>
      </c>
      <c r="AB41" s="11">
        <f>IFERROR(VLOOKUP(AA41,Curr!$B$2:$C$13,2,FALSE),0)</f>
        <v>11</v>
      </c>
      <c r="AC41" s="12">
        <f t="shared" si="3"/>
        <v>0</v>
      </c>
      <c r="AD41" s="12">
        <f t="shared" si="4"/>
        <v>0</v>
      </c>
      <c r="AE41" s="13">
        <f t="shared" si="5"/>
        <v>0</v>
      </c>
    </row>
    <row r="42" spans="2:31" x14ac:dyDescent="0.25">
      <c r="B42" s="4"/>
      <c r="E42" s="3"/>
      <c r="F42" s="3"/>
      <c r="G42" s="24"/>
      <c r="H42" s="24"/>
      <c r="K42" s="4"/>
      <c r="L42" s="4"/>
      <c r="M42" s="4"/>
      <c r="N42" s="4"/>
      <c r="O42" s="4"/>
      <c r="P42" s="27"/>
      <c r="Q42" s="25">
        <v>0</v>
      </c>
      <c r="R42" s="25">
        <v>0</v>
      </c>
      <c r="S42" s="12">
        <f t="shared" si="0"/>
        <v>0</v>
      </c>
      <c r="T42" s="5">
        <v>0</v>
      </c>
      <c r="U42" s="12">
        <f t="shared" si="6"/>
        <v>0</v>
      </c>
      <c r="V42" s="25" t="s">
        <v>10</v>
      </c>
      <c r="W42" s="11">
        <f>IFERROR(VLOOKUP(V42,[1]Curr!$B$2:$C$13,2,FALSE),0)</f>
        <v>11.3</v>
      </c>
      <c r="X42" s="12">
        <f t="shared" si="1"/>
        <v>0</v>
      </c>
      <c r="Y42" s="26">
        <f t="shared" si="7"/>
        <v>0</v>
      </c>
      <c r="Z42" s="12">
        <f t="shared" si="2"/>
        <v>0</v>
      </c>
      <c r="AA42" s="4" t="s">
        <v>10</v>
      </c>
      <c r="AB42" s="11">
        <f>IFERROR(VLOOKUP(AA42,Curr!$B$2:$C$13,2,FALSE),0)</f>
        <v>11</v>
      </c>
      <c r="AC42" s="12">
        <f t="shared" si="3"/>
        <v>0</v>
      </c>
      <c r="AD42" s="12">
        <f t="shared" si="4"/>
        <v>0</v>
      </c>
      <c r="AE42" s="13">
        <f t="shared" si="5"/>
        <v>0</v>
      </c>
    </row>
    <row r="43" spans="2:31" x14ac:dyDescent="0.25">
      <c r="B43" s="4"/>
      <c r="E43" s="3"/>
      <c r="F43" s="3"/>
      <c r="G43" s="24"/>
      <c r="H43" s="24"/>
      <c r="K43" s="4"/>
      <c r="L43" s="4"/>
      <c r="M43" s="4"/>
      <c r="N43" s="4"/>
      <c r="O43" s="4"/>
      <c r="P43" s="27"/>
      <c r="Q43" s="25">
        <v>0</v>
      </c>
      <c r="R43" s="25">
        <v>0</v>
      </c>
      <c r="S43" s="12">
        <f t="shared" si="0"/>
        <v>0</v>
      </c>
      <c r="T43" s="5">
        <v>0</v>
      </c>
      <c r="U43" s="12">
        <f t="shared" si="6"/>
        <v>0</v>
      </c>
      <c r="V43" s="25" t="s">
        <v>10</v>
      </c>
      <c r="W43" s="11">
        <f>IFERROR(VLOOKUP(V43,[1]Curr!$B$2:$C$13,2,FALSE),0)</f>
        <v>11.3</v>
      </c>
      <c r="X43" s="12">
        <f t="shared" si="1"/>
        <v>0</v>
      </c>
      <c r="Y43" s="26">
        <f t="shared" si="7"/>
        <v>0</v>
      </c>
      <c r="Z43" s="12">
        <f t="shared" si="2"/>
        <v>0</v>
      </c>
      <c r="AA43" s="4" t="s">
        <v>10</v>
      </c>
      <c r="AB43" s="11">
        <f>IFERROR(VLOOKUP(AA43,Curr!$B$2:$C$13,2,FALSE),0)</f>
        <v>11</v>
      </c>
      <c r="AC43" s="12">
        <f t="shared" si="3"/>
        <v>0</v>
      </c>
      <c r="AD43" s="12">
        <f t="shared" si="4"/>
        <v>0</v>
      </c>
      <c r="AE43" s="13">
        <f t="shared" si="5"/>
        <v>0</v>
      </c>
    </row>
    <row r="44" spans="2:31" x14ac:dyDescent="0.25">
      <c r="B44" s="4"/>
      <c r="E44" s="3"/>
      <c r="F44" s="3"/>
      <c r="G44" s="24"/>
      <c r="H44" s="24"/>
      <c r="K44" s="4"/>
      <c r="L44" s="4"/>
      <c r="M44" s="4"/>
      <c r="N44" s="4"/>
      <c r="O44" s="4"/>
      <c r="P44" s="27"/>
      <c r="Q44" s="25">
        <v>0</v>
      </c>
      <c r="R44" s="25">
        <v>0</v>
      </c>
      <c r="S44" s="12">
        <f t="shared" si="0"/>
        <v>0</v>
      </c>
      <c r="T44" s="5">
        <v>0</v>
      </c>
      <c r="U44" s="12">
        <f t="shared" si="6"/>
        <v>0</v>
      </c>
      <c r="V44" s="25" t="s">
        <v>10</v>
      </c>
      <c r="W44" s="11">
        <f>IFERROR(VLOOKUP(V44,[1]Curr!$B$2:$C$13,2,FALSE),0)</f>
        <v>11.3</v>
      </c>
      <c r="X44" s="12">
        <f t="shared" si="1"/>
        <v>0</v>
      </c>
      <c r="Y44" s="26">
        <f t="shared" si="7"/>
        <v>0</v>
      </c>
      <c r="Z44" s="12">
        <f t="shared" si="2"/>
        <v>0</v>
      </c>
      <c r="AA44" s="4" t="s">
        <v>10</v>
      </c>
      <c r="AB44" s="11">
        <f>IFERROR(VLOOKUP(AA44,Curr!$B$2:$C$13,2,FALSE),0)</f>
        <v>11</v>
      </c>
      <c r="AC44" s="12">
        <f t="shared" si="3"/>
        <v>0</v>
      </c>
      <c r="AD44" s="12">
        <f t="shared" si="4"/>
        <v>0</v>
      </c>
      <c r="AE44" s="13">
        <f t="shared" si="5"/>
        <v>0</v>
      </c>
    </row>
    <row r="45" spans="2:31" x14ac:dyDescent="0.25">
      <c r="B45" s="4"/>
      <c r="E45" s="3"/>
      <c r="F45" s="3"/>
      <c r="G45" s="24"/>
      <c r="H45" s="24"/>
      <c r="K45" s="4"/>
      <c r="L45" s="4"/>
      <c r="M45" s="4"/>
      <c r="N45" s="4"/>
      <c r="O45" s="4"/>
      <c r="P45" s="33"/>
      <c r="Q45" s="25">
        <v>0</v>
      </c>
      <c r="R45" s="25">
        <v>0</v>
      </c>
      <c r="S45" s="12">
        <f t="shared" si="0"/>
        <v>0</v>
      </c>
      <c r="T45" s="5">
        <v>0</v>
      </c>
      <c r="U45" s="12">
        <f t="shared" si="6"/>
        <v>0</v>
      </c>
      <c r="V45" s="25" t="s">
        <v>10</v>
      </c>
      <c r="W45" s="11">
        <f>IFERROR(VLOOKUP(V45,[1]Curr!$B$2:$C$13,2,FALSE),0)</f>
        <v>11.3</v>
      </c>
      <c r="X45" s="12">
        <f t="shared" si="1"/>
        <v>0</v>
      </c>
      <c r="Y45" s="26">
        <f t="shared" si="7"/>
        <v>0</v>
      </c>
      <c r="Z45" s="12">
        <f t="shared" si="2"/>
        <v>0</v>
      </c>
      <c r="AA45" s="4" t="s">
        <v>10</v>
      </c>
      <c r="AB45" s="11">
        <f>IFERROR(VLOOKUP(AA45,Curr!$B$2:$C$13,2,FALSE),0)</f>
        <v>11</v>
      </c>
      <c r="AC45" s="12">
        <f t="shared" si="3"/>
        <v>0</v>
      </c>
      <c r="AD45" s="12">
        <f t="shared" si="4"/>
        <v>0</v>
      </c>
      <c r="AE45" s="13">
        <f t="shared" si="5"/>
        <v>0</v>
      </c>
    </row>
    <row r="46" spans="2:31" x14ac:dyDescent="0.25">
      <c r="B46" s="4"/>
      <c r="E46" s="3"/>
      <c r="F46" s="3"/>
      <c r="G46" s="24"/>
      <c r="H46" s="24"/>
      <c r="K46" s="4"/>
      <c r="L46" s="4"/>
      <c r="M46" s="4"/>
      <c r="N46" s="4"/>
      <c r="O46" s="4"/>
      <c r="P46" s="27"/>
      <c r="Q46" s="25">
        <v>0</v>
      </c>
      <c r="R46" s="25">
        <v>0</v>
      </c>
      <c r="S46" s="12">
        <f t="shared" si="0"/>
        <v>0</v>
      </c>
      <c r="T46" s="5">
        <v>0</v>
      </c>
      <c r="U46" s="12">
        <f t="shared" si="6"/>
        <v>0</v>
      </c>
      <c r="V46" s="25" t="s">
        <v>10</v>
      </c>
      <c r="W46" s="11">
        <f>IFERROR(VLOOKUP(V46,[1]Curr!$B$2:$C$13,2,FALSE),0)</f>
        <v>11.3</v>
      </c>
      <c r="X46" s="12">
        <f t="shared" si="1"/>
        <v>0</v>
      </c>
      <c r="Y46" s="26">
        <f t="shared" si="7"/>
        <v>0</v>
      </c>
      <c r="Z46" s="12">
        <f t="shared" si="2"/>
        <v>0</v>
      </c>
      <c r="AA46" s="4" t="s">
        <v>10</v>
      </c>
      <c r="AB46" s="11">
        <f>IFERROR(VLOOKUP(AA46,Curr!$B$2:$C$13,2,FALSE),0)</f>
        <v>11</v>
      </c>
      <c r="AC46" s="12">
        <f t="shared" si="3"/>
        <v>0</v>
      </c>
      <c r="AD46" s="12">
        <f t="shared" si="4"/>
        <v>0</v>
      </c>
      <c r="AE46" s="13">
        <f t="shared" si="5"/>
        <v>0</v>
      </c>
    </row>
    <row r="47" spans="2:31" x14ac:dyDescent="0.25">
      <c r="B47" s="4"/>
      <c r="E47" s="3"/>
      <c r="F47" s="3"/>
      <c r="G47" s="24"/>
      <c r="H47" s="24"/>
      <c r="K47" s="4"/>
      <c r="L47" s="4"/>
      <c r="M47" s="4"/>
      <c r="N47" s="4"/>
      <c r="O47" s="4"/>
      <c r="P47" s="27"/>
      <c r="Q47" s="25">
        <v>0</v>
      </c>
      <c r="R47" s="25">
        <v>0</v>
      </c>
      <c r="S47" s="12">
        <f t="shared" si="0"/>
        <v>0</v>
      </c>
      <c r="T47" s="5">
        <v>0</v>
      </c>
      <c r="U47" s="12">
        <f t="shared" si="6"/>
        <v>0</v>
      </c>
      <c r="V47" s="25" t="s">
        <v>10</v>
      </c>
      <c r="W47" s="11">
        <f>IFERROR(VLOOKUP(V47,[1]Curr!$B$2:$C$13,2,FALSE),0)</f>
        <v>11.3</v>
      </c>
      <c r="X47" s="12">
        <f t="shared" si="1"/>
        <v>0</v>
      </c>
      <c r="Y47" s="26">
        <f t="shared" si="7"/>
        <v>0</v>
      </c>
      <c r="Z47" s="12">
        <f t="shared" si="2"/>
        <v>0</v>
      </c>
      <c r="AA47" s="4" t="s">
        <v>10</v>
      </c>
      <c r="AB47" s="11">
        <f>IFERROR(VLOOKUP(AA47,Curr!$B$2:$C$13,2,FALSE),0)</f>
        <v>11</v>
      </c>
      <c r="AC47" s="12">
        <f t="shared" si="3"/>
        <v>0</v>
      </c>
      <c r="AD47" s="12">
        <f t="shared" si="4"/>
        <v>0</v>
      </c>
      <c r="AE47" s="13">
        <f t="shared" si="5"/>
        <v>0</v>
      </c>
    </row>
    <row r="48" spans="2:31" x14ac:dyDescent="0.25">
      <c r="B48" s="4"/>
      <c r="E48" s="3"/>
      <c r="F48" s="3"/>
      <c r="G48" s="24"/>
      <c r="H48" s="24"/>
      <c r="K48" s="4"/>
      <c r="L48" s="4"/>
      <c r="M48" s="4"/>
      <c r="N48" s="4"/>
      <c r="O48" s="4"/>
      <c r="P48" s="27"/>
      <c r="Q48" s="25">
        <v>0</v>
      </c>
      <c r="R48" s="25">
        <v>0</v>
      </c>
      <c r="S48" s="12">
        <f t="shared" si="0"/>
        <v>0</v>
      </c>
      <c r="T48" s="5">
        <v>0</v>
      </c>
      <c r="U48" s="12">
        <f t="shared" si="6"/>
        <v>0</v>
      </c>
      <c r="V48" s="25" t="s">
        <v>10</v>
      </c>
      <c r="W48" s="11">
        <f>IFERROR(VLOOKUP(V48,[1]Curr!$B$2:$C$13,2,FALSE),0)</f>
        <v>11.3</v>
      </c>
      <c r="X48" s="12">
        <f t="shared" si="1"/>
        <v>0</v>
      </c>
      <c r="Y48" s="26">
        <f t="shared" si="7"/>
        <v>0</v>
      </c>
      <c r="Z48" s="12">
        <f t="shared" si="2"/>
        <v>0</v>
      </c>
      <c r="AA48" s="4" t="s">
        <v>10</v>
      </c>
      <c r="AB48" s="11">
        <f>IFERROR(VLOOKUP(AA48,Curr!$B$2:$C$13,2,FALSE),0)</f>
        <v>11</v>
      </c>
      <c r="AC48" s="12">
        <f t="shared" si="3"/>
        <v>0</v>
      </c>
      <c r="AD48" s="12">
        <f t="shared" si="4"/>
        <v>0</v>
      </c>
      <c r="AE48" s="13">
        <f t="shared" si="5"/>
        <v>0</v>
      </c>
    </row>
    <row r="49" spans="2:31" x14ac:dyDescent="0.25">
      <c r="B49" s="4"/>
      <c r="E49" s="3"/>
      <c r="F49" s="3"/>
      <c r="G49" s="24"/>
      <c r="H49" s="24"/>
      <c r="K49" s="4"/>
      <c r="L49" s="4"/>
      <c r="M49" s="4"/>
      <c r="N49" s="4"/>
      <c r="O49" s="4"/>
      <c r="P49" s="33"/>
      <c r="Q49" s="25">
        <v>0</v>
      </c>
      <c r="R49" s="25">
        <v>0</v>
      </c>
      <c r="S49" s="12">
        <f t="shared" si="0"/>
        <v>0</v>
      </c>
      <c r="T49" s="5">
        <v>0</v>
      </c>
      <c r="U49" s="12">
        <f t="shared" si="6"/>
        <v>0</v>
      </c>
      <c r="V49" s="25" t="s">
        <v>10</v>
      </c>
      <c r="W49" s="11">
        <f>IFERROR(VLOOKUP(V49,[1]Curr!$B$2:$C$13,2,FALSE),0)</f>
        <v>11.3</v>
      </c>
      <c r="X49" s="12">
        <f t="shared" si="1"/>
        <v>0</v>
      </c>
      <c r="Y49" s="26">
        <f t="shared" si="7"/>
        <v>0</v>
      </c>
      <c r="Z49" s="12">
        <f t="shared" si="2"/>
        <v>0</v>
      </c>
      <c r="AA49" s="4" t="s">
        <v>10</v>
      </c>
      <c r="AB49" s="11">
        <f>IFERROR(VLOOKUP(AA49,Curr!$B$2:$C$13,2,FALSE),0)</f>
        <v>11</v>
      </c>
      <c r="AC49" s="12">
        <f t="shared" si="3"/>
        <v>0</v>
      </c>
      <c r="AD49" s="12">
        <f t="shared" si="4"/>
        <v>0</v>
      </c>
      <c r="AE49" s="13">
        <f t="shared" si="5"/>
        <v>0</v>
      </c>
    </row>
    <row r="50" spans="2:31" x14ac:dyDescent="0.25">
      <c r="B50" s="4"/>
      <c r="E50" s="3"/>
      <c r="F50" s="3"/>
      <c r="G50" s="24"/>
      <c r="H50" s="24"/>
      <c r="K50" s="4"/>
      <c r="L50" s="4"/>
      <c r="M50" s="4"/>
      <c r="N50" s="4"/>
      <c r="O50" s="4"/>
      <c r="P50" s="27"/>
      <c r="Q50" s="25">
        <v>0</v>
      </c>
      <c r="R50" s="25">
        <v>0</v>
      </c>
      <c r="S50" s="12">
        <f t="shared" si="0"/>
        <v>0</v>
      </c>
      <c r="T50" s="5">
        <v>0</v>
      </c>
      <c r="U50" s="12">
        <f t="shared" si="6"/>
        <v>0</v>
      </c>
      <c r="V50" s="25" t="s">
        <v>10</v>
      </c>
      <c r="W50" s="11">
        <f>IFERROR(VLOOKUP(V50,[1]Curr!$B$2:$C$13,2,FALSE),0)</f>
        <v>11.3</v>
      </c>
      <c r="X50" s="12">
        <f t="shared" si="1"/>
        <v>0</v>
      </c>
      <c r="Y50" s="26">
        <f t="shared" si="7"/>
        <v>0</v>
      </c>
      <c r="Z50" s="12">
        <f t="shared" si="2"/>
        <v>0</v>
      </c>
      <c r="AA50" s="4" t="s">
        <v>10</v>
      </c>
      <c r="AB50" s="11">
        <f>IFERROR(VLOOKUP(AA50,Curr!$B$2:$C$13,2,FALSE),0)</f>
        <v>11</v>
      </c>
      <c r="AC50" s="12">
        <f t="shared" si="3"/>
        <v>0</v>
      </c>
      <c r="AD50" s="12">
        <f t="shared" si="4"/>
        <v>0</v>
      </c>
      <c r="AE50" s="13">
        <f t="shared" si="5"/>
        <v>0</v>
      </c>
    </row>
    <row r="51" spans="2:31" x14ac:dyDescent="0.25">
      <c r="B51" s="4"/>
      <c r="E51" s="3"/>
      <c r="F51" s="3"/>
      <c r="G51" s="24"/>
      <c r="H51" s="24"/>
      <c r="K51" s="4"/>
      <c r="L51" s="4"/>
      <c r="M51" s="4"/>
      <c r="N51" s="4"/>
      <c r="O51" s="4"/>
      <c r="P51" s="27"/>
      <c r="Q51" s="25">
        <v>0</v>
      </c>
      <c r="R51" s="25">
        <v>0</v>
      </c>
      <c r="S51" s="12">
        <f t="shared" si="0"/>
        <v>0</v>
      </c>
      <c r="T51" s="5">
        <v>0</v>
      </c>
      <c r="U51" s="12">
        <f t="shared" si="6"/>
        <v>0</v>
      </c>
      <c r="V51" s="25" t="s">
        <v>10</v>
      </c>
      <c r="W51" s="11">
        <f>IFERROR(VLOOKUP(V51,[1]Curr!$B$2:$C$13,2,FALSE),0)</f>
        <v>11.3</v>
      </c>
      <c r="X51" s="12">
        <f t="shared" si="1"/>
        <v>0</v>
      </c>
      <c r="Y51" s="26">
        <f t="shared" si="7"/>
        <v>0</v>
      </c>
      <c r="Z51" s="12">
        <f t="shared" si="2"/>
        <v>0</v>
      </c>
      <c r="AA51" s="4" t="s">
        <v>10</v>
      </c>
      <c r="AB51" s="11">
        <f>IFERROR(VLOOKUP(AA51,Curr!$B$2:$C$13,2,FALSE),0)</f>
        <v>11</v>
      </c>
      <c r="AC51" s="12">
        <f t="shared" si="3"/>
        <v>0</v>
      </c>
      <c r="AD51" s="12">
        <f t="shared" si="4"/>
        <v>0</v>
      </c>
      <c r="AE51" s="13">
        <f t="shared" si="5"/>
        <v>0</v>
      </c>
    </row>
    <row r="52" spans="2:31" x14ac:dyDescent="0.25">
      <c r="B52" s="4"/>
      <c r="E52" s="3"/>
      <c r="F52" s="3"/>
      <c r="G52" s="24"/>
      <c r="H52" s="24"/>
      <c r="K52" s="4"/>
      <c r="L52" s="4"/>
      <c r="M52" s="4"/>
      <c r="N52" s="4"/>
      <c r="O52" s="4"/>
      <c r="P52" s="27"/>
      <c r="Q52" s="25">
        <v>0</v>
      </c>
      <c r="R52" s="25">
        <v>0</v>
      </c>
      <c r="S52" s="12">
        <f t="shared" si="0"/>
        <v>0</v>
      </c>
      <c r="T52" s="5">
        <v>0</v>
      </c>
      <c r="U52" s="12">
        <f t="shared" si="6"/>
        <v>0</v>
      </c>
      <c r="V52" s="25" t="s">
        <v>10</v>
      </c>
      <c r="W52" s="11">
        <f>IFERROR(VLOOKUP(V52,[1]Curr!$B$2:$C$13,2,FALSE),0)</f>
        <v>11.3</v>
      </c>
      <c r="X52" s="12">
        <f t="shared" si="1"/>
        <v>0</v>
      </c>
      <c r="Y52" s="26">
        <f t="shared" si="7"/>
        <v>0</v>
      </c>
      <c r="Z52" s="12">
        <f t="shared" si="2"/>
        <v>0</v>
      </c>
      <c r="AA52" s="4" t="s">
        <v>10</v>
      </c>
      <c r="AB52" s="11">
        <f>IFERROR(VLOOKUP(AA52,Curr!$B$2:$C$13,2,FALSE),0)</f>
        <v>11</v>
      </c>
      <c r="AC52" s="12">
        <f t="shared" si="3"/>
        <v>0</v>
      </c>
      <c r="AD52" s="12">
        <f t="shared" si="4"/>
        <v>0</v>
      </c>
      <c r="AE52" s="13">
        <f t="shared" si="5"/>
        <v>0</v>
      </c>
    </row>
    <row r="53" spans="2:31" x14ac:dyDescent="0.25">
      <c r="B53" s="4"/>
      <c r="E53" s="3"/>
      <c r="F53" s="3"/>
      <c r="G53" s="24"/>
      <c r="H53" s="24"/>
      <c r="K53" s="4"/>
      <c r="L53" s="4"/>
      <c r="M53" s="4"/>
      <c r="N53" s="4"/>
      <c r="O53" s="4"/>
      <c r="P53" s="27"/>
      <c r="Q53" s="25">
        <v>0</v>
      </c>
      <c r="R53" s="25">
        <v>0</v>
      </c>
      <c r="S53" s="12">
        <f t="shared" si="0"/>
        <v>0</v>
      </c>
      <c r="T53" s="5">
        <v>0</v>
      </c>
      <c r="U53" s="12">
        <f t="shared" si="6"/>
        <v>0</v>
      </c>
      <c r="V53" s="25" t="s">
        <v>10</v>
      </c>
      <c r="W53" s="11">
        <f>IFERROR(VLOOKUP(V53,[1]Curr!$B$2:$C$13,2,FALSE),0)</f>
        <v>11.3</v>
      </c>
      <c r="X53" s="12">
        <f t="shared" si="1"/>
        <v>0</v>
      </c>
      <c r="Y53" s="26">
        <f t="shared" si="7"/>
        <v>0</v>
      </c>
      <c r="Z53" s="12">
        <f t="shared" si="2"/>
        <v>0</v>
      </c>
      <c r="AA53" s="4" t="s">
        <v>10</v>
      </c>
      <c r="AB53" s="11">
        <f>IFERROR(VLOOKUP(AA53,Curr!$B$2:$C$13,2,FALSE),0)</f>
        <v>11</v>
      </c>
      <c r="AC53" s="12">
        <f t="shared" si="3"/>
        <v>0</v>
      </c>
      <c r="AD53" s="12">
        <f t="shared" si="4"/>
        <v>0</v>
      </c>
      <c r="AE53" s="13">
        <f t="shared" si="5"/>
        <v>0</v>
      </c>
    </row>
    <row r="54" spans="2:31" x14ac:dyDescent="0.25">
      <c r="B54" s="4"/>
      <c r="E54" s="3"/>
      <c r="F54" s="3"/>
      <c r="G54" s="24"/>
      <c r="H54" s="24"/>
      <c r="K54" s="4"/>
      <c r="L54" s="4"/>
      <c r="M54" s="4"/>
      <c r="N54" s="4"/>
      <c r="O54" s="4"/>
      <c r="P54" s="27"/>
      <c r="Q54" s="25">
        <v>0</v>
      </c>
      <c r="R54" s="25">
        <v>0</v>
      </c>
      <c r="S54" s="12">
        <f t="shared" si="0"/>
        <v>0</v>
      </c>
      <c r="T54" s="5">
        <v>0</v>
      </c>
      <c r="U54" s="12">
        <f t="shared" si="6"/>
        <v>0</v>
      </c>
      <c r="V54" s="25" t="s">
        <v>10</v>
      </c>
      <c r="W54" s="11">
        <f>IFERROR(VLOOKUP(V54,[1]Curr!$B$2:$C$13,2,FALSE),0)</f>
        <v>11.3</v>
      </c>
      <c r="X54" s="12">
        <f t="shared" si="1"/>
        <v>0</v>
      </c>
      <c r="Y54" s="26">
        <f t="shared" si="7"/>
        <v>0</v>
      </c>
      <c r="Z54" s="12">
        <f t="shared" si="2"/>
        <v>0</v>
      </c>
      <c r="AA54" s="4" t="s">
        <v>10</v>
      </c>
      <c r="AB54" s="11">
        <f>IFERROR(VLOOKUP(AA54,Curr!$B$2:$C$13,2,FALSE),0)</f>
        <v>11</v>
      </c>
      <c r="AC54" s="12">
        <f t="shared" si="3"/>
        <v>0</v>
      </c>
      <c r="AD54" s="12">
        <f t="shared" si="4"/>
        <v>0</v>
      </c>
      <c r="AE54" s="13">
        <f t="shared" si="5"/>
        <v>0</v>
      </c>
    </row>
    <row r="55" spans="2:31" x14ac:dyDescent="0.25">
      <c r="B55" s="4"/>
      <c r="E55" s="3"/>
      <c r="F55" s="3"/>
      <c r="G55" s="24"/>
      <c r="H55" s="24"/>
      <c r="K55" s="4"/>
      <c r="L55" s="4"/>
      <c r="M55" s="4"/>
      <c r="N55" s="4"/>
      <c r="O55" s="4"/>
      <c r="P55" s="27"/>
      <c r="Q55" s="25">
        <v>0</v>
      </c>
      <c r="R55" s="25">
        <v>0</v>
      </c>
      <c r="S55" s="12">
        <f t="shared" si="0"/>
        <v>0</v>
      </c>
      <c r="T55" s="5">
        <v>0</v>
      </c>
      <c r="U55" s="12">
        <f t="shared" si="6"/>
        <v>0</v>
      </c>
      <c r="V55" s="25" t="s">
        <v>10</v>
      </c>
      <c r="W55" s="11">
        <f>IFERROR(VLOOKUP(V55,[1]Curr!$B$2:$C$13,2,FALSE),0)</f>
        <v>11.3</v>
      </c>
      <c r="X55" s="12">
        <f t="shared" si="1"/>
        <v>0</v>
      </c>
      <c r="Y55" s="26">
        <f t="shared" si="7"/>
        <v>0</v>
      </c>
      <c r="Z55" s="12">
        <f t="shared" si="2"/>
        <v>0</v>
      </c>
      <c r="AA55" s="4" t="s">
        <v>10</v>
      </c>
      <c r="AB55" s="11">
        <f>IFERROR(VLOOKUP(AA55,Curr!$B$2:$C$13,2,FALSE),0)</f>
        <v>11</v>
      </c>
      <c r="AC55" s="12">
        <f t="shared" si="3"/>
        <v>0</v>
      </c>
      <c r="AD55" s="12">
        <f t="shared" si="4"/>
        <v>0</v>
      </c>
      <c r="AE55" s="13">
        <f t="shared" si="5"/>
        <v>0</v>
      </c>
    </row>
    <row r="56" spans="2:31" x14ac:dyDescent="0.25">
      <c r="B56" s="4"/>
      <c r="E56" s="3"/>
      <c r="F56" s="3"/>
      <c r="G56" s="24"/>
      <c r="H56" s="24"/>
      <c r="K56" s="4"/>
      <c r="L56" s="4"/>
      <c r="M56" s="4"/>
      <c r="N56" s="4"/>
      <c r="O56" s="4"/>
      <c r="P56" s="27"/>
      <c r="Q56" s="25">
        <v>0</v>
      </c>
      <c r="R56" s="25">
        <v>0</v>
      </c>
      <c r="S56" s="12">
        <f t="shared" si="0"/>
        <v>0</v>
      </c>
      <c r="T56" s="5">
        <v>0</v>
      </c>
      <c r="U56" s="12">
        <f t="shared" si="6"/>
        <v>0</v>
      </c>
      <c r="V56" s="25" t="s">
        <v>10</v>
      </c>
      <c r="W56" s="11">
        <f>IFERROR(VLOOKUP(V56,[1]Curr!$B$2:$C$13,2,FALSE),0)</f>
        <v>11.3</v>
      </c>
      <c r="X56" s="12">
        <f t="shared" si="1"/>
        <v>0</v>
      </c>
      <c r="Y56" s="26">
        <f t="shared" si="7"/>
        <v>0</v>
      </c>
      <c r="Z56" s="12">
        <f t="shared" si="2"/>
        <v>0</v>
      </c>
      <c r="AA56" s="4" t="s">
        <v>10</v>
      </c>
      <c r="AB56" s="11">
        <f>IFERROR(VLOOKUP(AA56,Curr!$B$2:$C$13,2,FALSE),0)</f>
        <v>11</v>
      </c>
      <c r="AC56" s="12">
        <f t="shared" si="3"/>
        <v>0</v>
      </c>
      <c r="AD56" s="12">
        <f t="shared" si="4"/>
        <v>0</v>
      </c>
      <c r="AE56" s="13">
        <f t="shared" si="5"/>
        <v>0</v>
      </c>
    </row>
    <row r="57" spans="2:31" x14ac:dyDescent="0.25">
      <c r="B57" s="4"/>
      <c r="E57" s="3"/>
      <c r="F57" s="3"/>
      <c r="G57" s="24"/>
      <c r="H57" s="24"/>
      <c r="K57" s="4"/>
      <c r="L57" s="4"/>
      <c r="M57" s="4"/>
      <c r="N57" s="4"/>
      <c r="O57" s="4"/>
      <c r="P57" s="27"/>
      <c r="Q57" s="25">
        <v>0</v>
      </c>
      <c r="R57" s="25">
        <v>0</v>
      </c>
      <c r="S57" s="12">
        <f t="shared" si="0"/>
        <v>0</v>
      </c>
      <c r="T57" s="5">
        <v>0</v>
      </c>
      <c r="U57" s="12">
        <f t="shared" si="6"/>
        <v>0</v>
      </c>
      <c r="V57" s="25" t="s">
        <v>10</v>
      </c>
      <c r="W57" s="11">
        <f>IFERROR(VLOOKUP(V57,[1]Curr!$B$2:$C$13,2,FALSE),0)</f>
        <v>11.3</v>
      </c>
      <c r="X57" s="12">
        <f t="shared" si="1"/>
        <v>0</v>
      </c>
      <c r="Y57" s="26">
        <f t="shared" si="7"/>
        <v>0</v>
      </c>
      <c r="Z57" s="12">
        <f t="shared" si="2"/>
        <v>0</v>
      </c>
      <c r="AA57" s="4" t="s">
        <v>10</v>
      </c>
      <c r="AB57" s="11">
        <f>IFERROR(VLOOKUP(AA57,Curr!$B$2:$C$13,2,FALSE),0)</f>
        <v>11</v>
      </c>
      <c r="AC57" s="12">
        <f t="shared" si="3"/>
        <v>0</v>
      </c>
      <c r="AD57" s="12">
        <f t="shared" si="4"/>
        <v>0</v>
      </c>
      <c r="AE57" s="13">
        <f t="shared" si="5"/>
        <v>0</v>
      </c>
    </row>
    <row r="58" spans="2:31" x14ac:dyDescent="0.25">
      <c r="B58" s="4"/>
      <c r="E58" s="3"/>
      <c r="F58" s="3"/>
      <c r="G58" s="24"/>
      <c r="H58" s="24"/>
      <c r="K58" s="4"/>
      <c r="L58" s="4"/>
      <c r="M58" s="4"/>
      <c r="N58" s="4"/>
      <c r="O58" s="4"/>
      <c r="P58" s="27"/>
      <c r="Q58" s="25">
        <v>0</v>
      </c>
      <c r="R58" s="25">
        <v>0</v>
      </c>
      <c r="S58" s="12">
        <f t="shared" si="0"/>
        <v>0</v>
      </c>
      <c r="T58" s="5">
        <v>0</v>
      </c>
      <c r="U58" s="12">
        <f t="shared" si="6"/>
        <v>0</v>
      </c>
      <c r="V58" s="25" t="s">
        <v>10</v>
      </c>
      <c r="W58" s="11">
        <f>IFERROR(VLOOKUP(V58,[1]Curr!$B$2:$C$13,2,FALSE),0)</f>
        <v>11.3</v>
      </c>
      <c r="X58" s="12">
        <f t="shared" si="1"/>
        <v>0</v>
      </c>
      <c r="Y58" s="26">
        <f t="shared" si="7"/>
        <v>0</v>
      </c>
      <c r="Z58" s="12">
        <f t="shared" si="2"/>
        <v>0</v>
      </c>
      <c r="AA58" s="4" t="s">
        <v>10</v>
      </c>
      <c r="AB58" s="11">
        <f>IFERROR(VLOOKUP(AA58,Curr!$B$2:$C$13,2,FALSE),0)</f>
        <v>11</v>
      </c>
      <c r="AC58" s="12">
        <f t="shared" si="3"/>
        <v>0</v>
      </c>
      <c r="AD58" s="12">
        <f t="shared" si="4"/>
        <v>0</v>
      </c>
      <c r="AE58" s="13">
        <f t="shared" si="5"/>
        <v>0</v>
      </c>
    </row>
    <row r="59" spans="2:31" x14ac:dyDescent="0.25">
      <c r="B59" s="4"/>
      <c r="E59" s="3"/>
      <c r="F59" s="3"/>
      <c r="G59" s="24"/>
      <c r="H59" s="24"/>
      <c r="K59" s="4"/>
      <c r="L59" s="4"/>
      <c r="M59" s="4"/>
      <c r="N59" s="4"/>
      <c r="O59" s="4"/>
      <c r="P59" s="27"/>
      <c r="Q59" s="25">
        <v>0</v>
      </c>
      <c r="R59" s="25">
        <v>0</v>
      </c>
      <c r="S59" s="12">
        <f t="shared" si="0"/>
        <v>0</v>
      </c>
      <c r="T59" s="5">
        <v>0</v>
      </c>
      <c r="U59" s="12">
        <f t="shared" si="6"/>
        <v>0</v>
      </c>
      <c r="V59" s="25" t="s">
        <v>10</v>
      </c>
      <c r="W59" s="11">
        <f>IFERROR(VLOOKUP(V59,[1]Curr!$B$2:$C$13,2,FALSE),0)</f>
        <v>11.3</v>
      </c>
      <c r="X59" s="12">
        <f t="shared" si="1"/>
        <v>0</v>
      </c>
      <c r="Y59" s="26">
        <f t="shared" si="7"/>
        <v>0</v>
      </c>
      <c r="Z59" s="12">
        <f t="shared" si="2"/>
        <v>0</v>
      </c>
      <c r="AA59" s="4" t="s">
        <v>10</v>
      </c>
      <c r="AB59" s="11">
        <f>IFERROR(VLOOKUP(AA59,Curr!$B$2:$C$13,2,FALSE),0)</f>
        <v>11</v>
      </c>
      <c r="AC59" s="12">
        <f t="shared" si="3"/>
        <v>0</v>
      </c>
      <c r="AD59" s="12">
        <f t="shared" si="4"/>
        <v>0</v>
      </c>
      <c r="AE59" s="13">
        <f t="shared" si="5"/>
        <v>0</v>
      </c>
    </row>
    <row r="60" spans="2:31" x14ac:dyDescent="0.25">
      <c r="B60" s="4"/>
      <c r="E60" s="3"/>
      <c r="F60" s="3"/>
      <c r="G60" s="24"/>
      <c r="H60" s="24"/>
      <c r="K60" s="4"/>
      <c r="L60" s="4"/>
      <c r="M60" s="4"/>
      <c r="N60" s="4"/>
      <c r="O60" s="4"/>
      <c r="P60" s="27"/>
      <c r="Q60" s="25">
        <v>0</v>
      </c>
      <c r="R60" s="25">
        <v>0</v>
      </c>
      <c r="S60" s="12">
        <f t="shared" si="0"/>
        <v>0</v>
      </c>
      <c r="T60" s="5">
        <v>0</v>
      </c>
      <c r="U60" s="12">
        <f t="shared" si="6"/>
        <v>0</v>
      </c>
      <c r="V60" s="25" t="s">
        <v>10</v>
      </c>
      <c r="W60" s="11">
        <f>IFERROR(VLOOKUP(V60,[1]Curr!$B$2:$C$13,2,FALSE),0)</f>
        <v>11.3</v>
      </c>
      <c r="X60" s="12">
        <f t="shared" si="1"/>
        <v>0</v>
      </c>
      <c r="Y60" s="26">
        <f t="shared" si="7"/>
        <v>0</v>
      </c>
      <c r="Z60" s="12">
        <f t="shared" si="2"/>
        <v>0</v>
      </c>
      <c r="AA60" s="4" t="s">
        <v>10</v>
      </c>
      <c r="AB60" s="11">
        <f>IFERROR(VLOOKUP(AA60,Curr!$B$2:$C$13,2,FALSE),0)</f>
        <v>11</v>
      </c>
      <c r="AC60" s="12">
        <f t="shared" si="3"/>
        <v>0</v>
      </c>
      <c r="AD60" s="12">
        <f t="shared" si="4"/>
        <v>0</v>
      </c>
      <c r="AE60" s="13">
        <f t="shared" si="5"/>
        <v>0</v>
      </c>
    </row>
    <row r="61" spans="2:31" x14ac:dyDescent="0.25">
      <c r="B61" s="4"/>
      <c r="E61" s="3"/>
      <c r="F61" s="3"/>
      <c r="G61" s="24"/>
      <c r="H61" s="24"/>
      <c r="K61" s="4"/>
      <c r="L61" s="4"/>
      <c r="M61" s="4"/>
      <c r="N61" s="4"/>
      <c r="O61" s="4"/>
      <c r="P61" s="27"/>
      <c r="Q61" s="25">
        <v>0</v>
      </c>
      <c r="R61" s="25">
        <v>0</v>
      </c>
      <c r="S61" s="12">
        <f t="shared" si="0"/>
        <v>0</v>
      </c>
      <c r="T61" s="5">
        <v>0</v>
      </c>
      <c r="U61" s="12">
        <f t="shared" si="6"/>
        <v>0</v>
      </c>
      <c r="V61" s="25" t="s">
        <v>10</v>
      </c>
      <c r="W61" s="11">
        <f>IFERROR(VLOOKUP(V61,[1]Curr!$B$2:$C$13,2,FALSE),0)</f>
        <v>11.3</v>
      </c>
      <c r="X61" s="12">
        <f t="shared" si="1"/>
        <v>0</v>
      </c>
      <c r="Y61" s="26">
        <f t="shared" si="7"/>
        <v>0</v>
      </c>
      <c r="Z61" s="12">
        <f t="shared" si="2"/>
        <v>0</v>
      </c>
      <c r="AA61" s="4" t="s">
        <v>10</v>
      </c>
      <c r="AB61" s="11">
        <f>IFERROR(VLOOKUP(AA61,Curr!$B$2:$C$13,2,FALSE),0)</f>
        <v>11</v>
      </c>
      <c r="AC61" s="12">
        <f t="shared" si="3"/>
        <v>0</v>
      </c>
      <c r="AD61" s="12">
        <f t="shared" si="4"/>
        <v>0</v>
      </c>
      <c r="AE61" s="13">
        <f t="shared" si="5"/>
        <v>0</v>
      </c>
    </row>
    <row r="62" spans="2:31" x14ac:dyDescent="0.25">
      <c r="B62" s="4"/>
      <c r="E62" s="3"/>
      <c r="F62" s="3"/>
      <c r="G62" s="24"/>
      <c r="H62" s="24"/>
      <c r="K62" s="4"/>
      <c r="L62" s="4"/>
      <c r="M62" s="4"/>
      <c r="N62" s="4"/>
      <c r="O62" s="4"/>
      <c r="P62" s="27"/>
      <c r="Q62" s="25">
        <v>0</v>
      </c>
      <c r="R62" s="25">
        <v>0</v>
      </c>
      <c r="S62" s="12">
        <f t="shared" si="0"/>
        <v>0</v>
      </c>
      <c r="T62" s="5">
        <v>0</v>
      </c>
      <c r="U62" s="12">
        <f t="shared" si="6"/>
        <v>0</v>
      </c>
      <c r="V62" s="25" t="s">
        <v>10</v>
      </c>
      <c r="W62" s="11">
        <f>IFERROR(VLOOKUP(V62,[1]Curr!$B$2:$C$13,2,FALSE),0)</f>
        <v>11.3</v>
      </c>
      <c r="X62" s="12">
        <f t="shared" si="1"/>
        <v>0</v>
      </c>
      <c r="Y62" s="26">
        <f t="shared" si="7"/>
        <v>0</v>
      </c>
      <c r="Z62" s="12">
        <f t="shared" si="2"/>
        <v>0</v>
      </c>
      <c r="AA62" s="4" t="s">
        <v>10</v>
      </c>
      <c r="AB62" s="11">
        <f>IFERROR(VLOOKUP(AA62,Curr!$B$2:$C$13,2,FALSE),0)</f>
        <v>11</v>
      </c>
      <c r="AC62" s="12">
        <f t="shared" si="3"/>
        <v>0</v>
      </c>
      <c r="AD62" s="12">
        <f t="shared" si="4"/>
        <v>0</v>
      </c>
      <c r="AE62" s="13">
        <f t="shared" si="5"/>
        <v>0</v>
      </c>
    </row>
    <row r="63" spans="2:31" x14ac:dyDescent="0.25">
      <c r="B63" s="4"/>
      <c r="E63" s="3"/>
      <c r="F63" s="3"/>
      <c r="G63" s="24"/>
      <c r="H63" s="24"/>
      <c r="K63" s="4"/>
      <c r="L63" s="4"/>
      <c r="M63" s="4"/>
      <c r="N63" s="4"/>
      <c r="O63" s="4"/>
      <c r="P63" s="27"/>
      <c r="Q63" s="25">
        <v>0</v>
      </c>
      <c r="R63" s="25">
        <v>0</v>
      </c>
      <c r="S63" s="12">
        <f t="shared" si="0"/>
        <v>0</v>
      </c>
      <c r="T63" s="5">
        <v>0</v>
      </c>
      <c r="U63" s="12">
        <f t="shared" si="6"/>
        <v>0</v>
      </c>
      <c r="V63" s="25" t="s">
        <v>10</v>
      </c>
      <c r="W63" s="11">
        <f>IFERROR(VLOOKUP(V63,[1]Curr!$B$2:$C$13,2,FALSE),0)</f>
        <v>11.3</v>
      </c>
      <c r="X63" s="12">
        <f t="shared" si="1"/>
        <v>0</v>
      </c>
      <c r="Y63" s="26">
        <f t="shared" si="7"/>
        <v>0</v>
      </c>
      <c r="Z63" s="12">
        <f t="shared" si="2"/>
        <v>0</v>
      </c>
      <c r="AA63" s="4" t="s">
        <v>10</v>
      </c>
      <c r="AB63" s="11">
        <f>IFERROR(VLOOKUP(AA63,Curr!$B$2:$C$13,2,FALSE),0)</f>
        <v>11</v>
      </c>
      <c r="AC63" s="12">
        <f t="shared" si="3"/>
        <v>0</v>
      </c>
      <c r="AD63" s="12">
        <f t="shared" si="4"/>
        <v>0</v>
      </c>
      <c r="AE63" s="13">
        <f t="shared" si="5"/>
        <v>0</v>
      </c>
    </row>
    <row r="64" spans="2:31" x14ac:dyDescent="0.25">
      <c r="B64" s="4"/>
      <c r="E64" s="3"/>
      <c r="F64" s="3"/>
      <c r="G64" s="24"/>
      <c r="H64" s="24"/>
      <c r="K64" s="4"/>
      <c r="L64" s="4"/>
      <c r="M64" s="4"/>
      <c r="N64" s="4"/>
      <c r="O64" s="4"/>
      <c r="P64" s="27"/>
      <c r="Q64" s="25">
        <v>0</v>
      </c>
      <c r="R64" s="25">
        <v>0</v>
      </c>
      <c r="S64" s="12">
        <f t="shared" si="0"/>
        <v>0</v>
      </c>
      <c r="T64" s="5">
        <v>0</v>
      </c>
      <c r="U64" s="12">
        <f t="shared" si="6"/>
        <v>0</v>
      </c>
      <c r="V64" s="25" t="s">
        <v>10</v>
      </c>
      <c r="W64" s="11">
        <f>IFERROR(VLOOKUP(V64,[1]Curr!$B$2:$C$13,2,FALSE),0)</f>
        <v>11.3</v>
      </c>
      <c r="X64" s="12">
        <f t="shared" si="1"/>
        <v>0</v>
      </c>
      <c r="Y64" s="26">
        <f t="shared" si="7"/>
        <v>0</v>
      </c>
      <c r="Z64" s="12">
        <f t="shared" si="2"/>
        <v>0</v>
      </c>
      <c r="AA64" s="4" t="s">
        <v>10</v>
      </c>
      <c r="AB64" s="11">
        <f>IFERROR(VLOOKUP(AA64,Curr!$B$2:$C$13,2,FALSE),0)</f>
        <v>11</v>
      </c>
      <c r="AC64" s="12">
        <f t="shared" si="3"/>
        <v>0</v>
      </c>
      <c r="AD64" s="12">
        <f t="shared" si="4"/>
        <v>0</v>
      </c>
      <c r="AE64" s="13">
        <f t="shared" si="5"/>
        <v>0</v>
      </c>
    </row>
    <row r="65" spans="2:31" x14ac:dyDescent="0.25">
      <c r="B65" s="4"/>
      <c r="E65" s="3"/>
      <c r="F65" s="3"/>
      <c r="G65" s="24"/>
      <c r="H65" s="24"/>
      <c r="K65" s="4"/>
      <c r="L65" s="4"/>
      <c r="M65" s="4"/>
      <c r="N65" s="4"/>
      <c r="O65" s="4"/>
      <c r="P65" s="27"/>
      <c r="Q65" s="25">
        <v>0</v>
      </c>
      <c r="R65" s="25">
        <v>0</v>
      </c>
      <c r="S65" s="12">
        <f t="shared" si="0"/>
        <v>0</v>
      </c>
      <c r="T65" s="5">
        <v>0</v>
      </c>
      <c r="U65" s="12">
        <f t="shared" si="6"/>
        <v>0</v>
      </c>
      <c r="V65" s="25" t="s">
        <v>10</v>
      </c>
      <c r="W65" s="11">
        <f>IFERROR(VLOOKUP(V65,[1]Curr!$B$2:$C$13,2,FALSE),0)</f>
        <v>11.3</v>
      </c>
      <c r="X65" s="12">
        <f t="shared" si="1"/>
        <v>0</v>
      </c>
      <c r="Y65" s="26">
        <f t="shared" si="7"/>
        <v>0</v>
      </c>
      <c r="Z65" s="12">
        <f t="shared" si="2"/>
        <v>0</v>
      </c>
      <c r="AA65" s="4" t="s">
        <v>10</v>
      </c>
      <c r="AB65" s="11">
        <f>IFERROR(VLOOKUP(AA65,Curr!$B$2:$C$13,2,FALSE),0)</f>
        <v>11</v>
      </c>
      <c r="AC65" s="12">
        <f t="shared" si="3"/>
        <v>0</v>
      </c>
      <c r="AD65" s="12">
        <f t="shared" si="4"/>
        <v>0</v>
      </c>
      <c r="AE65" s="13">
        <f t="shared" si="5"/>
        <v>0</v>
      </c>
    </row>
    <row r="66" spans="2:31" x14ac:dyDescent="0.25">
      <c r="B66" s="4"/>
      <c r="E66" s="3"/>
      <c r="F66" s="3"/>
      <c r="G66" s="24"/>
      <c r="H66" s="24"/>
      <c r="K66" s="4"/>
      <c r="L66" s="4"/>
      <c r="M66" s="4"/>
      <c r="N66" s="4"/>
      <c r="O66" s="4"/>
      <c r="P66" s="27"/>
      <c r="Q66" s="25">
        <v>0</v>
      </c>
      <c r="R66" s="25">
        <v>0</v>
      </c>
      <c r="S66" s="12">
        <f t="shared" si="0"/>
        <v>0</v>
      </c>
      <c r="T66" s="5">
        <v>0</v>
      </c>
      <c r="U66" s="12">
        <f t="shared" si="6"/>
        <v>0</v>
      </c>
      <c r="V66" s="25" t="s">
        <v>10</v>
      </c>
      <c r="W66" s="11">
        <f>IFERROR(VLOOKUP(V66,[1]Curr!$B$2:$C$13,2,FALSE),0)</f>
        <v>11.3</v>
      </c>
      <c r="X66" s="12">
        <f t="shared" si="1"/>
        <v>0</v>
      </c>
      <c r="Y66" s="26">
        <f t="shared" si="7"/>
        <v>0</v>
      </c>
      <c r="Z66" s="12">
        <f t="shared" si="2"/>
        <v>0</v>
      </c>
      <c r="AA66" s="4" t="s">
        <v>10</v>
      </c>
      <c r="AB66" s="11">
        <f>IFERROR(VLOOKUP(AA66,Curr!$B$2:$C$13,2,FALSE),0)</f>
        <v>11</v>
      </c>
      <c r="AC66" s="12">
        <f t="shared" si="3"/>
        <v>0</v>
      </c>
      <c r="AD66" s="12">
        <f t="shared" si="4"/>
        <v>0</v>
      </c>
      <c r="AE66" s="13">
        <f t="shared" si="5"/>
        <v>0</v>
      </c>
    </row>
    <row r="67" spans="2:31" x14ac:dyDescent="0.25">
      <c r="B67" s="4"/>
      <c r="E67" s="3"/>
      <c r="F67" s="3"/>
      <c r="G67" s="24"/>
      <c r="H67" s="24"/>
      <c r="K67" s="4"/>
      <c r="L67" s="4"/>
      <c r="M67" s="4"/>
      <c r="N67" s="4"/>
      <c r="O67" s="4"/>
      <c r="P67" s="27"/>
      <c r="Q67" s="25">
        <v>0</v>
      </c>
      <c r="R67" s="25">
        <v>0</v>
      </c>
      <c r="S67" s="12">
        <f t="shared" si="0"/>
        <v>0</v>
      </c>
      <c r="T67" s="5">
        <v>0</v>
      </c>
      <c r="U67" s="12">
        <f t="shared" si="6"/>
        <v>0</v>
      </c>
      <c r="V67" s="25" t="s">
        <v>10</v>
      </c>
      <c r="W67" s="11">
        <f>IFERROR(VLOOKUP(V67,[1]Curr!$B$2:$C$13,2,FALSE),0)</f>
        <v>11.3</v>
      </c>
      <c r="X67" s="12">
        <f t="shared" si="1"/>
        <v>0</v>
      </c>
      <c r="Y67" s="26">
        <f t="shared" si="7"/>
        <v>0</v>
      </c>
      <c r="Z67" s="12">
        <f t="shared" si="2"/>
        <v>0</v>
      </c>
      <c r="AA67" s="4" t="s">
        <v>10</v>
      </c>
      <c r="AB67" s="11">
        <f>IFERROR(VLOOKUP(AA67,Curr!$B$2:$C$13,2,FALSE),0)</f>
        <v>11</v>
      </c>
      <c r="AC67" s="12">
        <f t="shared" si="3"/>
        <v>0</v>
      </c>
      <c r="AD67" s="12">
        <f t="shared" si="4"/>
        <v>0</v>
      </c>
      <c r="AE67" s="13">
        <f t="shared" si="5"/>
        <v>0</v>
      </c>
    </row>
    <row r="68" spans="2:31" x14ac:dyDescent="0.25">
      <c r="B68" s="4"/>
      <c r="E68" s="3"/>
      <c r="F68" s="3"/>
      <c r="G68" s="24"/>
      <c r="H68" s="24"/>
      <c r="K68" s="4"/>
      <c r="L68" s="4"/>
      <c r="M68" s="4"/>
      <c r="N68" s="4"/>
      <c r="O68" s="4"/>
      <c r="P68" s="27"/>
      <c r="Q68" s="25">
        <v>0</v>
      </c>
      <c r="R68" s="25">
        <v>0</v>
      </c>
      <c r="S68" s="12">
        <f t="shared" si="0"/>
        <v>0</v>
      </c>
      <c r="T68" s="5">
        <v>0</v>
      </c>
      <c r="U68" s="12">
        <f t="shared" si="6"/>
        <v>0</v>
      </c>
      <c r="V68" s="25" t="s">
        <v>10</v>
      </c>
      <c r="W68" s="11">
        <f>IFERROR(VLOOKUP(V68,[1]Curr!$B$2:$C$13,2,FALSE),0)</f>
        <v>11.3</v>
      </c>
      <c r="X68" s="12">
        <f t="shared" si="1"/>
        <v>0</v>
      </c>
      <c r="Y68" s="26">
        <f t="shared" si="7"/>
        <v>0</v>
      </c>
      <c r="Z68" s="12">
        <f t="shared" si="2"/>
        <v>0</v>
      </c>
      <c r="AA68" s="4" t="s">
        <v>10</v>
      </c>
      <c r="AB68" s="11">
        <f>IFERROR(VLOOKUP(AA68,Curr!$B$2:$C$13,2,FALSE),0)</f>
        <v>11</v>
      </c>
      <c r="AC68" s="12">
        <f t="shared" si="3"/>
        <v>0</v>
      </c>
      <c r="AD68" s="12">
        <f t="shared" si="4"/>
        <v>0</v>
      </c>
      <c r="AE68" s="13">
        <f t="shared" si="5"/>
        <v>0</v>
      </c>
    </row>
    <row r="69" spans="2:31" x14ac:dyDescent="0.25">
      <c r="B69" s="4"/>
      <c r="E69" s="3"/>
      <c r="F69" s="3"/>
      <c r="G69" s="24"/>
      <c r="H69" s="24"/>
      <c r="K69" s="4"/>
      <c r="L69" s="4"/>
      <c r="M69" s="4"/>
      <c r="N69" s="4"/>
      <c r="O69" s="4"/>
      <c r="P69" s="27"/>
      <c r="Q69" s="25">
        <v>0</v>
      </c>
      <c r="R69" s="25">
        <v>0</v>
      </c>
      <c r="S69" s="12">
        <f t="shared" si="0"/>
        <v>0</v>
      </c>
      <c r="T69" s="5">
        <v>0</v>
      </c>
      <c r="U69" s="12">
        <f t="shared" si="6"/>
        <v>0</v>
      </c>
      <c r="V69" s="25" t="s">
        <v>10</v>
      </c>
      <c r="W69" s="11">
        <f>IFERROR(VLOOKUP(V69,[1]Curr!$B$2:$C$13,2,FALSE),0)</f>
        <v>11.3</v>
      </c>
      <c r="X69" s="12">
        <f t="shared" si="1"/>
        <v>0</v>
      </c>
      <c r="Y69" s="26">
        <f t="shared" si="7"/>
        <v>0</v>
      </c>
      <c r="Z69" s="12">
        <f t="shared" si="2"/>
        <v>0</v>
      </c>
      <c r="AA69" s="4" t="s">
        <v>10</v>
      </c>
      <c r="AB69" s="11">
        <f>IFERROR(VLOOKUP(AA69,Curr!$B$2:$C$13,2,FALSE),0)</f>
        <v>11</v>
      </c>
      <c r="AC69" s="12">
        <f t="shared" si="3"/>
        <v>0</v>
      </c>
      <c r="AD69" s="12">
        <f t="shared" si="4"/>
        <v>0</v>
      </c>
      <c r="AE69" s="13">
        <f t="shared" si="5"/>
        <v>0</v>
      </c>
    </row>
    <row r="70" spans="2:31" x14ac:dyDescent="0.25">
      <c r="B70" s="4"/>
      <c r="E70" s="3"/>
      <c r="F70" s="3"/>
      <c r="G70" s="24"/>
      <c r="H70" s="24"/>
      <c r="K70" s="4"/>
      <c r="L70" s="4"/>
      <c r="M70" s="4"/>
      <c r="N70" s="4"/>
      <c r="O70" s="4"/>
      <c r="P70" s="27"/>
      <c r="Q70" s="25">
        <v>0</v>
      </c>
      <c r="R70" s="25">
        <v>0</v>
      </c>
      <c r="S70" s="12">
        <f t="shared" si="0"/>
        <v>0</v>
      </c>
      <c r="T70" s="5">
        <v>0</v>
      </c>
      <c r="U70" s="12">
        <f t="shared" si="6"/>
        <v>0</v>
      </c>
      <c r="V70" s="25" t="s">
        <v>10</v>
      </c>
      <c r="W70" s="11">
        <f>IFERROR(VLOOKUP(V70,[1]Curr!$B$2:$C$13,2,FALSE),0)</f>
        <v>11.3</v>
      </c>
      <c r="X70" s="12">
        <f t="shared" si="1"/>
        <v>0</v>
      </c>
      <c r="Y70" s="26">
        <f t="shared" si="7"/>
        <v>0</v>
      </c>
      <c r="Z70" s="12">
        <f t="shared" si="2"/>
        <v>0</v>
      </c>
      <c r="AA70" s="4" t="s">
        <v>10</v>
      </c>
      <c r="AB70" s="11">
        <f>IFERROR(VLOOKUP(AA70,Curr!$B$2:$C$13,2,FALSE),0)</f>
        <v>11</v>
      </c>
      <c r="AC70" s="12">
        <f t="shared" si="3"/>
        <v>0</v>
      </c>
      <c r="AD70" s="12">
        <f t="shared" si="4"/>
        <v>0</v>
      </c>
      <c r="AE70" s="13">
        <f t="shared" si="5"/>
        <v>0</v>
      </c>
    </row>
    <row r="71" spans="2:31" x14ac:dyDescent="0.25">
      <c r="B71" s="4"/>
      <c r="E71" s="3"/>
      <c r="F71" s="3"/>
      <c r="G71" s="24"/>
      <c r="H71" s="24"/>
      <c r="K71" s="4"/>
      <c r="L71" s="4"/>
      <c r="M71" s="4"/>
      <c r="N71" s="4"/>
      <c r="O71" s="4"/>
      <c r="P71" s="27"/>
      <c r="Q71" s="25">
        <v>0</v>
      </c>
      <c r="R71" s="25">
        <v>0</v>
      </c>
      <c r="S71" s="12">
        <f t="shared" ref="S71:S99" si="8">+Q71*R71</f>
        <v>0</v>
      </c>
      <c r="T71" s="5">
        <v>0</v>
      </c>
      <c r="U71" s="12">
        <f t="shared" si="6"/>
        <v>0</v>
      </c>
      <c r="V71" s="25" t="s">
        <v>10</v>
      </c>
      <c r="W71" s="11">
        <f>IFERROR(VLOOKUP(V71,[1]Curr!$B$2:$C$13,2,FALSE),0)</f>
        <v>11.3</v>
      </c>
      <c r="X71" s="12">
        <f t="shared" ref="X71:X99" si="9">U71*W71</f>
        <v>0</v>
      </c>
      <c r="Y71" s="26">
        <f t="shared" si="7"/>
        <v>0</v>
      </c>
      <c r="Z71" s="12">
        <f t="shared" ref="Z71:Z99" si="10">+Y71*R71</f>
        <v>0</v>
      </c>
      <c r="AA71" s="4" t="s">
        <v>10</v>
      </c>
      <c r="AB71" s="11">
        <f>IFERROR(VLOOKUP(AA71,Curr!$B$2:$C$13,2,FALSE),0)</f>
        <v>11</v>
      </c>
      <c r="AC71" s="12">
        <f t="shared" ref="AC71:AC99" si="11">+Y71*AB71*R71</f>
        <v>0</v>
      </c>
      <c r="AD71" s="12">
        <f t="shared" ref="AD71:AD99" si="12">+AC71-X71</f>
        <v>0</v>
      </c>
      <c r="AE71" s="13">
        <f t="shared" ref="AE71:AE99" si="13">IFERROR(AD71/AC71,0)</f>
        <v>0</v>
      </c>
    </row>
    <row r="72" spans="2:31" x14ac:dyDescent="0.25">
      <c r="B72" s="4"/>
      <c r="E72" s="3"/>
      <c r="F72" s="3"/>
      <c r="G72" s="24"/>
      <c r="H72" s="24"/>
      <c r="K72" s="4"/>
      <c r="L72" s="4"/>
      <c r="M72" s="4"/>
      <c r="N72" s="4"/>
      <c r="O72" s="4"/>
      <c r="P72" s="27"/>
      <c r="Q72" s="25">
        <v>0</v>
      </c>
      <c r="R72" s="25">
        <v>0</v>
      </c>
      <c r="S72" s="12">
        <f t="shared" si="8"/>
        <v>0</v>
      </c>
      <c r="T72" s="5">
        <v>0</v>
      </c>
      <c r="U72" s="12">
        <f t="shared" ref="U72:U99" si="14">S72*(1-T72)</f>
        <v>0</v>
      </c>
      <c r="V72" s="25" t="s">
        <v>10</v>
      </c>
      <c r="W72" s="11">
        <f>IFERROR(VLOOKUP(V72,[1]Curr!$B$2:$C$13,2,FALSE),0)</f>
        <v>11.3</v>
      </c>
      <c r="X72" s="12">
        <f t="shared" si="9"/>
        <v>0</v>
      </c>
      <c r="Y72" s="26">
        <f t="shared" ref="Y72:Y99" si="15">Q72</f>
        <v>0</v>
      </c>
      <c r="Z72" s="12">
        <f t="shared" si="10"/>
        <v>0</v>
      </c>
      <c r="AA72" s="4" t="s">
        <v>10</v>
      </c>
      <c r="AB72" s="11">
        <f>IFERROR(VLOOKUP(AA72,Curr!$B$2:$C$13,2,FALSE),0)</f>
        <v>11</v>
      </c>
      <c r="AC72" s="12">
        <f t="shared" si="11"/>
        <v>0</v>
      </c>
      <c r="AD72" s="12">
        <f t="shared" si="12"/>
        <v>0</v>
      </c>
      <c r="AE72" s="13">
        <f t="shared" si="13"/>
        <v>0</v>
      </c>
    </row>
    <row r="73" spans="2:31" x14ac:dyDescent="0.25">
      <c r="B73" s="4"/>
      <c r="E73" s="3"/>
      <c r="F73" s="3"/>
      <c r="G73" s="24"/>
      <c r="H73" s="24"/>
      <c r="K73" s="4"/>
      <c r="L73" s="4"/>
      <c r="M73" s="4"/>
      <c r="N73" s="4"/>
      <c r="O73" s="4"/>
      <c r="P73" s="27"/>
      <c r="Q73" s="25">
        <v>0</v>
      </c>
      <c r="R73" s="25">
        <v>0</v>
      </c>
      <c r="S73" s="12">
        <f t="shared" si="8"/>
        <v>0</v>
      </c>
      <c r="T73" s="5">
        <v>0</v>
      </c>
      <c r="U73" s="12">
        <f t="shared" si="14"/>
        <v>0</v>
      </c>
      <c r="V73" s="25" t="s">
        <v>10</v>
      </c>
      <c r="W73" s="11">
        <f>IFERROR(VLOOKUP(V73,[1]Curr!$B$2:$C$13,2,FALSE),0)</f>
        <v>11.3</v>
      </c>
      <c r="X73" s="12">
        <f t="shared" si="9"/>
        <v>0</v>
      </c>
      <c r="Y73" s="26">
        <f t="shared" si="15"/>
        <v>0</v>
      </c>
      <c r="Z73" s="12">
        <f t="shared" si="10"/>
        <v>0</v>
      </c>
      <c r="AA73" s="4" t="s">
        <v>10</v>
      </c>
      <c r="AB73" s="11">
        <f>IFERROR(VLOOKUP(AA73,Curr!$B$2:$C$13,2,FALSE),0)</f>
        <v>11</v>
      </c>
      <c r="AC73" s="12">
        <f t="shared" si="11"/>
        <v>0</v>
      </c>
      <c r="AD73" s="12">
        <f t="shared" si="12"/>
        <v>0</v>
      </c>
      <c r="AE73" s="13">
        <f t="shared" si="13"/>
        <v>0</v>
      </c>
    </row>
    <row r="74" spans="2:31" x14ac:dyDescent="0.25">
      <c r="B74" s="4"/>
      <c r="E74" s="3"/>
      <c r="F74" s="3"/>
      <c r="G74" s="24"/>
      <c r="H74" s="24"/>
      <c r="K74" s="4"/>
      <c r="L74" s="4"/>
      <c r="M74" s="4"/>
      <c r="N74" s="4"/>
      <c r="O74" s="4"/>
      <c r="P74" s="27"/>
      <c r="Q74" s="25">
        <v>0</v>
      </c>
      <c r="R74" s="25">
        <v>0</v>
      </c>
      <c r="S74" s="12">
        <f t="shared" si="8"/>
        <v>0</v>
      </c>
      <c r="T74" s="5">
        <v>0</v>
      </c>
      <c r="U74" s="12">
        <f t="shared" si="14"/>
        <v>0</v>
      </c>
      <c r="V74" s="25" t="s">
        <v>10</v>
      </c>
      <c r="W74" s="11">
        <f>IFERROR(VLOOKUP(V74,[1]Curr!$B$2:$C$13,2,FALSE),0)</f>
        <v>11.3</v>
      </c>
      <c r="X74" s="12">
        <f t="shared" si="9"/>
        <v>0</v>
      </c>
      <c r="Y74" s="26">
        <f t="shared" si="15"/>
        <v>0</v>
      </c>
      <c r="Z74" s="12">
        <f t="shared" si="10"/>
        <v>0</v>
      </c>
      <c r="AA74" s="4" t="s">
        <v>10</v>
      </c>
      <c r="AB74" s="11">
        <f>IFERROR(VLOOKUP(AA74,Curr!$B$2:$C$13,2,FALSE),0)</f>
        <v>11</v>
      </c>
      <c r="AC74" s="12">
        <f t="shared" si="11"/>
        <v>0</v>
      </c>
      <c r="AD74" s="12">
        <f t="shared" si="12"/>
        <v>0</v>
      </c>
      <c r="AE74" s="13">
        <f t="shared" si="13"/>
        <v>0</v>
      </c>
    </row>
    <row r="75" spans="2:31" x14ac:dyDescent="0.25">
      <c r="B75" s="4"/>
      <c r="E75" s="3"/>
      <c r="F75" s="3"/>
      <c r="G75" s="24"/>
      <c r="H75" s="24"/>
      <c r="K75" s="4"/>
      <c r="L75" s="4"/>
      <c r="M75" s="4"/>
      <c r="N75" s="4"/>
      <c r="O75" s="4"/>
      <c r="P75" s="27"/>
      <c r="Q75" s="25">
        <v>0</v>
      </c>
      <c r="R75" s="25">
        <v>0</v>
      </c>
      <c r="S75" s="12">
        <f t="shared" si="8"/>
        <v>0</v>
      </c>
      <c r="T75" s="5">
        <v>0</v>
      </c>
      <c r="U75" s="12">
        <f t="shared" si="14"/>
        <v>0</v>
      </c>
      <c r="V75" s="25" t="s">
        <v>10</v>
      </c>
      <c r="W75" s="11">
        <f>IFERROR(VLOOKUP(V75,[1]Curr!$B$2:$C$13,2,FALSE),0)</f>
        <v>11.3</v>
      </c>
      <c r="X75" s="12">
        <f t="shared" si="9"/>
        <v>0</v>
      </c>
      <c r="Y75" s="26">
        <f t="shared" si="15"/>
        <v>0</v>
      </c>
      <c r="Z75" s="12">
        <f t="shared" si="10"/>
        <v>0</v>
      </c>
      <c r="AA75" s="4" t="s">
        <v>10</v>
      </c>
      <c r="AB75" s="11">
        <f>IFERROR(VLOOKUP(AA75,Curr!$B$2:$C$13,2,FALSE),0)</f>
        <v>11</v>
      </c>
      <c r="AC75" s="12">
        <f t="shared" si="11"/>
        <v>0</v>
      </c>
      <c r="AD75" s="12">
        <f t="shared" si="12"/>
        <v>0</v>
      </c>
      <c r="AE75" s="13">
        <f t="shared" si="13"/>
        <v>0</v>
      </c>
    </row>
    <row r="76" spans="2:31" x14ac:dyDescent="0.25">
      <c r="B76" s="4"/>
      <c r="E76" s="3"/>
      <c r="F76" s="3"/>
      <c r="G76" s="24"/>
      <c r="H76" s="24"/>
      <c r="K76" s="4"/>
      <c r="L76" s="4"/>
      <c r="M76" s="4"/>
      <c r="N76" s="4"/>
      <c r="O76" s="4"/>
      <c r="P76" s="27"/>
      <c r="Q76" s="25">
        <v>0</v>
      </c>
      <c r="R76" s="25">
        <v>0</v>
      </c>
      <c r="S76" s="12">
        <f t="shared" si="8"/>
        <v>0</v>
      </c>
      <c r="T76" s="5">
        <v>0</v>
      </c>
      <c r="U76" s="12">
        <f t="shared" si="14"/>
        <v>0</v>
      </c>
      <c r="V76" s="25" t="s">
        <v>10</v>
      </c>
      <c r="W76" s="11">
        <f>IFERROR(VLOOKUP(V76,[1]Curr!$B$2:$C$13,2,FALSE),0)</f>
        <v>11.3</v>
      </c>
      <c r="X76" s="12">
        <f t="shared" si="9"/>
        <v>0</v>
      </c>
      <c r="Y76" s="26">
        <f t="shared" si="15"/>
        <v>0</v>
      </c>
      <c r="Z76" s="12">
        <f t="shared" si="10"/>
        <v>0</v>
      </c>
      <c r="AA76" s="4" t="s">
        <v>10</v>
      </c>
      <c r="AB76" s="11">
        <f>IFERROR(VLOOKUP(AA76,Curr!$B$2:$C$13,2,FALSE),0)</f>
        <v>11</v>
      </c>
      <c r="AC76" s="12">
        <f t="shared" si="11"/>
        <v>0</v>
      </c>
      <c r="AD76" s="12">
        <f t="shared" si="12"/>
        <v>0</v>
      </c>
      <c r="AE76" s="13">
        <f t="shared" si="13"/>
        <v>0</v>
      </c>
    </row>
    <row r="77" spans="2:31" x14ac:dyDescent="0.25">
      <c r="B77" s="4"/>
      <c r="E77" s="3"/>
      <c r="F77" s="3"/>
      <c r="G77" s="24"/>
      <c r="H77" s="24"/>
      <c r="K77" s="4"/>
      <c r="L77" s="4"/>
      <c r="M77" s="4"/>
      <c r="N77" s="4"/>
      <c r="O77" s="4"/>
      <c r="P77" s="27"/>
      <c r="Q77" s="25">
        <v>0</v>
      </c>
      <c r="R77" s="25">
        <v>0</v>
      </c>
      <c r="S77" s="12">
        <f t="shared" si="8"/>
        <v>0</v>
      </c>
      <c r="T77" s="5">
        <v>0</v>
      </c>
      <c r="U77" s="12">
        <f t="shared" si="14"/>
        <v>0</v>
      </c>
      <c r="V77" s="25" t="s">
        <v>10</v>
      </c>
      <c r="W77" s="11">
        <f>IFERROR(VLOOKUP(V77,[1]Curr!$B$2:$C$13,2,FALSE),0)</f>
        <v>11.3</v>
      </c>
      <c r="X77" s="12">
        <f t="shared" si="9"/>
        <v>0</v>
      </c>
      <c r="Y77" s="26">
        <f t="shared" si="15"/>
        <v>0</v>
      </c>
      <c r="Z77" s="12">
        <f t="shared" si="10"/>
        <v>0</v>
      </c>
      <c r="AA77" s="4" t="s">
        <v>10</v>
      </c>
      <c r="AB77" s="11">
        <f>IFERROR(VLOOKUP(AA77,Curr!$B$2:$C$13,2,FALSE),0)</f>
        <v>11</v>
      </c>
      <c r="AC77" s="12">
        <f t="shared" si="11"/>
        <v>0</v>
      </c>
      <c r="AD77" s="12">
        <f t="shared" si="12"/>
        <v>0</v>
      </c>
      <c r="AE77" s="13">
        <f t="shared" si="13"/>
        <v>0</v>
      </c>
    </row>
    <row r="78" spans="2:31" x14ac:dyDescent="0.25">
      <c r="B78" s="4"/>
      <c r="E78" s="3"/>
      <c r="F78" s="3"/>
      <c r="G78" s="24"/>
      <c r="H78" s="24"/>
      <c r="K78" s="4"/>
      <c r="L78" s="4"/>
      <c r="M78" s="4"/>
      <c r="N78" s="4"/>
      <c r="O78" s="4"/>
      <c r="P78" s="27"/>
      <c r="Q78" s="25">
        <v>0</v>
      </c>
      <c r="R78" s="25">
        <v>0</v>
      </c>
      <c r="S78" s="12">
        <f t="shared" si="8"/>
        <v>0</v>
      </c>
      <c r="T78" s="5">
        <v>0</v>
      </c>
      <c r="U78" s="12">
        <f t="shared" si="14"/>
        <v>0</v>
      </c>
      <c r="V78" s="25" t="s">
        <v>10</v>
      </c>
      <c r="W78" s="11">
        <f>IFERROR(VLOOKUP(V78,[1]Curr!$B$2:$C$13,2,FALSE),0)</f>
        <v>11.3</v>
      </c>
      <c r="X78" s="12">
        <f t="shared" si="9"/>
        <v>0</v>
      </c>
      <c r="Y78" s="26">
        <f t="shared" si="15"/>
        <v>0</v>
      </c>
      <c r="Z78" s="12">
        <f t="shared" si="10"/>
        <v>0</v>
      </c>
      <c r="AA78" s="4" t="s">
        <v>10</v>
      </c>
      <c r="AB78" s="11">
        <f>IFERROR(VLOOKUP(AA78,Curr!$B$2:$C$13,2,FALSE),0)</f>
        <v>11</v>
      </c>
      <c r="AC78" s="12">
        <f t="shared" si="11"/>
        <v>0</v>
      </c>
      <c r="AD78" s="12">
        <f t="shared" si="12"/>
        <v>0</v>
      </c>
      <c r="AE78" s="13">
        <f t="shared" si="13"/>
        <v>0</v>
      </c>
    </row>
    <row r="79" spans="2:31" x14ac:dyDescent="0.25">
      <c r="B79" s="4"/>
      <c r="E79" s="3"/>
      <c r="F79" s="3"/>
      <c r="G79" s="24"/>
      <c r="H79" s="24"/>
      <c r="K79" s="4"/>
      <c r="L79" s="4"/>
      <c r="M79" s="4"/>
      <c r="N79" s="4"/>
      <c r="O79" s="4"/>
      <c r="P79" s="27"/>
      <c r="Q79" s="25">
        <v>0</v>
      </c>
      <c r="R79" s="25">
        <v>0</v>
      </c>
      <c r="S79" s="12">
        <f t="shared" si="8"/>
        <v>0</v>
      </c>
      <c r="T79" s="5">
        <v>0</v>
      </c>
      <c r="U79" s="12">
        <f t="shared" si="14"/>
        <v>0</v>
      </c>
      <c r="V79" s="25" t="s">
        <v>10</v>
      </c>
      <c r="W79" s="11">
        <f>IFERROR(VLOOKUP(V79,[1]Curr!$B$2:$C$13,2,FALSE),0)</f>
        <v>11.3</v>
      </c>
      <c r="X79" s="12">
        <f t="shared" si="9"/>
        <v>0</v>
      </c>
      <c r="Y79" s="26">
        <f t="shared" si="15"/>
        <v>0</v>
      </c>
      <c r="Z79" s="12">
        <f t="shared" si="10"/>
        <v>0</v>
      </c>
      <c r="AA79" s="4" t="s">
        <v>10</v>
      </c>
      <c r="AB79" s="11">
        <f>IFERROR(VLOOKUP(AA79,Curr!$B$2:$C$13,2,FALSE),0)</f>
        <v>11</v>
      </c>
      <c r="AC79" s="12">
        <f t="shared" si="11"/>
        <v>0</v>
      </c>
      <c r="AD79" s="12">
        <f t="shared" si="12"/>
        <v>0</v>
      </c>
      <c r="AE79" s="13">
        <f t="shared" si="13"/>
        <v>0</v>
      </c>
    </row>
    <row r="80" spans="2:31" x14ac:dyDescent="0.25">
      <c r="B80" s="4"/>
      <c r="E80" s="3"/>
      <c r="F80" s="3"/>
      <c r="G80" s="24"/>
      <c r="H80" s="24"/>
      <c r="K80" s="4"/>
      <c r="L80" s="4"/>
      <c r="M80" s="4"/>
      <c r="N80" s="4"/>
      <c r="O80" s="4"/>
      <c r="P80" s="27"/>
      <c r="Q80" s="25">
        <v>0</v>
      </c>
      <c r="R80" s="25">
        <v>0</v>
      </c>
      <c r="S80" s="12">
        <f t="shared" si="8"/>
        <v>0</v>
      </c>
      <c r="T80" s="5">
        <v>0</v>
      </c>
      <c r="U80" s="12">
        <f t="shared" si="14"/>
        <v>0</v>
      </c>
      <c r="V80" s="25" t="s">
        <v>10</v>
      </c>
      <c r="W80" s="11">
        <f>IFERROR(VLOOKUP(V80,[1]Curr!$B$2:$C$13,2,FALSE),0)</f>
        <v>11.3</v>
      </c>
      <c r="X80" s="12">
        <f t="shared" si="9"/>
        <v>0</v>
      </c>
      <c r="Y80" s="26">
        <f t="shared" si="15"/>
        <v>0</v>
      </c>
      <c r="Z80" s="12">
        <f t="shared" si="10"/>
        <v>0</v>
      </c>
      <c r="AA80" s="4" t="s">
        <v>10</v>
      </c>
      <c r="AB80" s="11">
        <f>IFERROR(VLOOKUP(AA80,Curr!$B$2:$C$13,2,FALSE),0)</f>
        <v>11</v>
      </c>
      <c r="AC80" s="12">
        <f t="shared" si="11"/>
        <v>0</v>
      </c>
      <c r="AD80" s="12">
        <f t="shared" si="12"/>
        <v>0</v>
      </c>
      <c r="AE80" s="13">
        <f t="shared" si="13"/>
        <v>0</v>
      </c>
    </row>
    <row r="81" spans="2:31" x14ac:dyDescent="0.25">
      <c r="B81" s="4"/>
      <c r="E81" s="3"/>
      <c r="F81" s="3"/>
      <c r="G81" s="24"/>
      <c r="H81" s="24"/>
      <c r="K81" s="4"/>
      <c r="L81" s="4"/>
      <c r="M81" s="4"/>
      <c r="N81" s="4"/>
      <c r="O81" s="4"/>
      <c r="P81" s="27"/>
      <c r="Q81" s="25">
        <v>0</v>
      </c>
      <c r="R81" s="25">
        <v>0</v>
      </c>
      <c r="S81" s="12">
        <f t="shared" si="8"/>
        <v>0</v>
      </c>
      <c r="T81" s="5">
        <v>0</v>
      </c>
      <c r="U81" s="12">
        <f t="shared" si="14"/>
        <v>0</v>
      </c>
      <c r="V81" s="25" t="s">
        <v>10</v>
      </c>
      <c r="W81" s="11">
        <f>IFERROR(VLOOKUP(V81,[1]Curr!$B$2:$C$13,2,FALSE),0)</f>
        <v>11.3</v>
      </c>
      <c r="X81" s="12">
        <f t="shared" si="9"/>
        <v>0</v>
      </c>
      <c r="Y81" s="26">
        <f t="shared" si="15"/>
        <v>0</v>
      </c>
      <c r="Z81" s="12">
        <f t="shared" si="10"/>
        <v>0</v>
      </c>
      <c r="AA81" s="4" t="s">
        <v>10</v>
      </c>
      <c r="AB81" s="11">
        <f>IFERROR(VLOOKUP(AA81,Curr!$B$2:$C$13,2,FALSE),0)</f>
        <v>11</v>
      </c>
      <c r="AC81" s="12">
        <f t="shared" si="11"/>
        <v>0</v>
      </c>
      <c r="AD81" s="12">
        <f t="shared" si="12"/>
        <v>0</v>
      </c>
      <c r="AE81" s="13">
        <f t="shared" si="13"/>
        <v>0</v>
      </c>
    </row>
    <row r="82" spans="2:31" x14ac:dyDescent="0.25">
      <c r="B82" s="4"/>
      <c r="E82" s="3"/>
      <c r="F82" s="3"/>
      <c r="G82" s="24"/>
      <c r="H82" s="24"/>
      <c r="K82" s="4"/>
      <c r="L82" s="4"/>
      <c r="M82" s="4"/>
      <c r="N82" s="4"/>
      <c r="O82" s="4"/>
      <c r="P82" s="27"/>
      <c r="Q82" s="25">
        <v>0</v>
      </c>
      <c r="R82" s="25">
        <v>0</v>
      </c>
      <c r="S82" s="12">
        <f t="shared" si="8"/>
        <v>0</v>
      </c>
      <c r="T82" s="5">
        <v>0</v>
      </c>
      <c r="U82" s="12">
        <f t="shared" si="14"/>
        <v>0</v>
      </c>
      <c r="V82" s="25" t="s">
        <v>10</v>
      </c>
      <c r="W82" s="11">
        <f>IFERROR(VLOOKUP(V82,[1]Curr!$B$2:$C$13,2,FALSE),0)</f>
        <v>11.3</v>
      </c>
      <c r="X82" s="12">
        <f t="shared" si="9"/>
        <v>0</v>
      </c>
      <c r="Y82" s="26">
        <f t="shared" si="15"/>
        <v>0</v>
      </c>
      <c r="Z82" s="12">
        <f t="shared" si="10"/>
        <v>0</v>
      </c>
      <c r="AA82" s="4" t="s">
        <v>10</v>
      </c>
      <c r="AB82" s="11">
        <f>IFERROR(VLOOKUP(AA82,Curr!$B$2:$C$13,2,FALSE),0)</f>
        <v>11</v>
      </c>
      <c r="AC82" s="12">
        <f t="shared" si="11"/>
        <v>0</v>
      </c>
      <c r="AD82" s="12">
        <f t="shared" si="12"/>
        <v>0</v>
      </c>
      <c r="AE82" s="13">
        <f t="shared" si="13"/>
        <v>0</v>
      </c>
    </row>
    <row r="83" spans="2:31" x14ac:dyDescent="0.25">
      <c r="B83" s="4"/>
      <c r="E83" s="3"/>
      <c r="F83" s="3"/>
      <c r="G83" s="24"/>
      <c r="H83" s="24"/>
      <c r="K83" s="4"/>
      <c r="L83" s="4"/>
      <c r="M83" s="4"/>
      <c r="N83" s="4"/>
      <c r="O83" s="4"/>
      <c r="P83" s="27"/>
      <c r="Q83" s="25">
        <v>0</v>
      </c>
      <c r="R83" s="25">
        <v>0</v>
      </c>
      <c r="S83" s="12">
        <f t="shared" si="8"/>
        <v>0</v>
      </c>
      <c r="T83" s="5">
        <v>0</v>
      </c>
      <c r="U83" s="12">
        <f t="shared" si="14"/>
        <v>0</v>
      </c>
      <c r="V83" s="25" t="s">
        <v>10</v>
      </c>
      <c r="W83" s="11">
        <f>IFERROR(VLOOKUP(V83,[1]Curr!$B$2:$C$13,2,FALSE),0)</f>
        <v>11.3</v>
      </c>
      <c r="X83" s="12">
        <f t="shared" si="9"/>
        <v>0</v>
      </c>
      <c r="Y83" s="26">
        <f t="shared" si="15"/>
        <v>0</v>
      </c>
      <c r="Z83" s="12">
        <f t="shared" si="10"/>
        <v>0</v>
      </c>
      <c r="AA83" s="4" t="s">
        <v>10</v>
      </c>
      <c r="AB83" s="11">
        <f>IFERROR(VLOOKUP(AA83,Curr!$B$2:$C$13,2,FALSE),0)</f>
        <v>11</v>
      </c>
      <c r="AC83" s="12">
        <f t="shared" si="11"/>
        <v>0</v>
      </c>
      <c r="AD83" s="12">
        <f t="shared" si="12"/>
        <v>0</v>
      </c>
      <c r="AE83" s="13">
        <f t="shared" si="13"/>
        <v>0</v>
      </c>
    </row>
    <row r="84" spans="2:31" x14ac:dyDescent="0.25">
      <c r="B84" s="4"/>
      <c r="E84" s="3"/>
      <c r="F84" s="3"/>
      <c r="G84" s="24"/>
      <c r="H84" s="24"/>
      <c r="K84" s="4"/>
      <c r="L84" s="4"/>
      <c r="M84" s="4"/>
      <c r="N84" s="4"/>
      <c r="O84" s="4"/>
      <c r="P84" s="27"/>
      <c r="Q84" s="25">
        <v>0</v>
      </c>
      <c r="R84" s="25">
        <v>0</v>
      </c>
      <c r="S84" s="12">
        <f t="shared" si="8"/>
        <v>0</v>
      </c>
      <c r="T84" s="5">
        <v>0</v>
      </c>
      <c r="U84" s="12">
        <f t="shared" si="14"/>
        <v>0</v>
      </c>
      <c r="V84" s="25" t="s">
        <v>10</v>
      </c>
      <c r="W84" s="11">
        <f>IFERROR(VLOOKUP(V84,[1]Curr!$B$2:$C$13,2,FALSE),0)</f>
        <v>11.3</v>
      </c>
      <c r="X84" s="12">
        <f t="shared" si="9"/>
        <v>0</v>
      </c>
      <c r="Y84" s="26">
        <f t="shared" si="15"/>
        <v>0</v>
      </c>
      <c r="Z84" s="12">
        <f t="shared" si="10"/>
        <v>0</v>
      </c>
      <c r="AA84" s="4" t="s">
        <v>10</v>
      </c>
      <c r="AB84" s="11">
        <f>IFERROR(VLOOKUP(AA84,Curr!$B$2:$C$13,2,FALSE),0)</f>
        <v>11</v>
      </c>
      <c r="AC84" s="12">
        <f t="shared" si="11"/>
        <v>0</v>
      </c>
      <c r="AD84" s="12">
        <f t="shared" si="12"/>
        <v>0</v>
      </c>
      <c r="AE84" s="13">
        <f t="shared" si="13"/>
        <v>0</v>
      </c>
    </row>
    <row r="85" spans="2:31" x14ac:dyDescent="0.25">
      <c r="B85" s="4"/>
      <c r="E85" s="3"/>
      <c r="F85" s="3"/>
      <c r="G85" s="24"/>
      <c r="H85" s="24"/>
      <c r="K85" s="4"/>
      <c r="L85" s="4"/>
      <c r="M85" s="4"/>
      <c r="N85" s="4"/>
      <c r="O85" s="4"/>
      <c r="P85" s="27"/>
      <c r="Q85" s="25">
        <v>0</v>
      </c>
      <c r="R85" s="25">
        <v>0</v>
      </c>
      <c r="S85" s="12">
        <f t="shared" si="8"/>
        <v>0</v>
      </c>
      <c r="T85" s="5">
        <v>0</v>
      </c>
      <c r="U85" s="12">
        <f t="shared" si="14"/>
        <v>0</v>
      </c>
      <c r="V85" s="25" t="s">
        <v>10</v>
      </c>
      <c r="W85" s="11">
        <f>IFERROR(VLOOKUP(V85,[1]Curr!$B$2:$C$13,2,FALSE),0)</f>
        <v>11.3</v>
      </c>
      <c r="X85" s="12">
        <f t="shared" si="9"/>
        <v>0</v>
      </c>
      <c r="Y85" s="26">
        <f t="shared" si="15"/>
        <v>0</v>
      </c>
      <c r="Z85" s="12">
        <f t="shared" si="10"/>
        <v>0</v>
      </c>
      <c r="AA85" s="4" t="s">
        <v>10</v>
      </c>
      <c r="AB85" s="11">
        <f>IFERROR(VLOOKUP(AA85,Curr!$B$2:$C$13,2,FALSE),0)</f>
        <v>11</v>
      </c>
      <c r="AC85" s="12">
        <f t="shared" si="11"/>
        <v>0</v>
      </c>
      <c r="AD85" s="12">
        <f t="shared" si="12"/>
        <v>0</v>
      </c>
      <c r="AE85" s="13">
        <f t="shared" si="13"/>
        <v>0</v>
      </c>
    </row>
    <row r="86" spans="2:31" x14ac:dyDescent="0.25">
      <c r="B86" s="4"/>
      <c r="E86" s="3"/>
      <c r="F86" s="3"/>
      <c r="G86" s="24"/>
      <c r="H86" s="24"/>
      <c r="K86" s="4"/>
      <c r="L86" s="4"/>
      <c r="M86" s="4"/>
      <c r="N86" s="4"/>
      <c r="O86" s="4"/>
      <c r="P86" s="27"/>
      <c r="Q86" s="25">
        <v>0</v>
      </c>
      <c r="R86" s="25">
        <v>0</v>
      </c>
      <c r="S86" s="12">
        <f t="shared" si="8"/>
        <v>0</v>
      </c>
      <c r="T86" s="5">
        <v>0</v>
      </c>
      <c r="U86" s="12">
        <f t="shared" si="14"/>
        <v>0</v>
      </c>
      <c r="V86" s="25" t="s">
        <v>10</v>
      </c>
      <c r="W86" s="11">
        <f>IFERROR(VLOOKUP(V86,[1]Curr!$B$2:$C$13,2,FALSE),0)</f>
        <v>11.3</v>
      </c>
      <c r="X86" s="12">
        <f t="shared" si="9"/>
        <v>0</v>
      </c>
      <c r="Y86" s="26">
        <f t="shared" si="15"/>
        <v>0</v>
      </c>
      <c r="Z86" s="12">
        <f t="shared" si="10"/>
        <v>0</v>
      </c>
      <c r="AA86" s="4" t="s">
        <v>10</v>
      </c>
      <c r="AB86" s="11">
        <f>IFERROR(VLOOKUP(AA86,Curr!$B$2:$C$13,2,FALSE),0)</f>
        <v>11</v>
      </c>
      <c r="AC86" s="12">
        <f t="shared" si="11"/>
        <v>0</v>
      </c>
      <c r="AD86" s="12">
        <f t="shared" si="12"/>
        <v>0</v>
      </c>
      <c r="AE86" s="13">
        <f t="shared" si="13"/>
        <v>0</v>
      </c>
    </row>
    <row r="87" spans="2:31" x14ac:dyDescent="0.25">
      <c r="B87" s="4"/>
      <c r="E87" s="3"/>
      <c r="F87" s="3"/>
      <c r="G87" s="24"/>
      <c r="H87" s="24"/>
      <c r="K87" s="4"/>
      <c r="L87" s="4"/>
      <c r="M87" s="4"/>
      <c r="N87" s="4"/>
      <c r="O87" s="4"/>
      <c r="P87" s="27"/>
      <c r="Q87" s="25">
        <v>0</v>
      </c>
      <c r="R87" s="25">
        <v>0</v>
      </c>
      <c r="S87" s="12">
        <f t="shared" si="8"/>
        <v>0</v>
      </c>
      <c r="T87" s="5">
        <v>0</v>
      </c>
      <c r="U87" s="12">
        <f t="shared" si="14"/>
        <v>0</v>
      </c>
      <c r="V87" s="25" t="s">
        <v>10</v>
      </c>
      <c r="W87" s="11">
        <f>IFERROR(VLOOKUP(V87,[1]Curr!$B$2:$C$13,2,FALSE),0)</f>
        <v>11.3</v>
      </c>
      <c r="X87" s="12">
        <f t="shared" si="9"/>
        <v>0</v>
      </c>
      <c r="Y87" s="26">
        <f t="shared" si="15"/>
        <v>0</v>
      </c>
      <c r="Z87" s="12">
        <f t="shared" si="10"/>
        <v>0</v>
      </c>
      <c r="AA87" s="4" t="s">
        <v>10</v>
      </c>
      <c r="AB87" s="11">
        <f>IFERROR(VLOOKUP(AA87,Curr!$B$2:$C$13,2,FALSE),0)</f>
        <v>11</v>
      </c>
      <c r="AC87" s="12">
        <f t="shared" si="11"/>
        <v>0</v>
      </c>
      <c r="AD87" s="12">
        <f t="shared" si="12"/>
        <v>0</v>
      </c>
      <c r="AE87" s="13">
        <f t="shared" si="13"/>
        <v>0</v>
      </c>
    </row>
    <row r="88" spans="2:31" x14ac:dyDescent="0.25">
      <c r="B88" s="4"/>
      <c r="E88" s="3"/>
      <c r="F88" s="3"/>
      <c r="G88" s="24"/>
      <c r="H88" s="24"/>
      <c r="K88" s="4"/>
      <c r="L88" s="4"/>
      <c r="M88" s="4"/>
      <c r="N88" s="4"/>
      <c r="O88" s="4"/>
      <c r="P88" s="27"/>
      <c r="Q88" s="25">
        <v>0</v>
      </c>
      <c r="R88" s="25">
        <v>0</v>
      </c>
      <c r="S88" s="12">
        <f t="shared" si="8"/>
        <v>0</v>
      </c>
      <c r="T88" s="5">
        <v>0</v>
      </c>
      <c r="U88" s="12">
        <f t="shared" si="14"/>
        <v>0</v>
      </c>
      <c r="V88" s="25" t="s">
        <v>10</v>
      </c>
      <c r="W88" s="11">
        <f>IFERROR(VLOOKUP(V88,[1]Curr!$B$2:$C$13,2,FALSE),0)</f>
        <v>11.3</v>
      </c>
      <c r="X88" s="12">
        <f t="shared" si="9"/>
        <v>0</v>
      </c>
      <c r="Y88" s="26">
        <f t="shared" si="15"/>
        <v>0</v>
      </c>
      <c r="Z88" s="12">
        <f t="shared" si="10"/>
        <v>0</v>
      </c>
      <c r="AA88" s="4" t="s">
        <v>10</v>
      </c>
      <c r="AB88" s="11">
        <f>IFERROR(VLOOKUP(AA88,Curr!$B$2:$C$13,2,FALSE),0)</f>
        <v>11</v>
      </c>
      <c r="AC88" s="12">
        <f t="shared" si="11"/>
        <v>0</v>
      </c>
      <c r="AD88" s="12">
        <f t="shared" si="12"/>
        <v>0</v>
      </c>
      <c r="AE88" s="13">
        <f t="shared" si="13"/>
        <v>0</v>
      </c>
    </row>
    <row r="89" spans="2:31" x14ac:dyDescent="0.25">
      <c r="B89" s="4"/>
      <c r="E89" s="3"/>
      <c r="F89" s="3"/>
      <c r="G89" s="24"/>
      <c r="H89" s="24"/>
      <c r="K89" s="4"/>
      <c r="L89" s="4"/>
      <c r="M89" s="4"/>
      <c r="N89" s="4"/>
      <c r="O89" s="4"/>
      <c r="P89" s="27"/>
      <c r="Q89" s="25">
        <v>0</v>
      </c>
      <c r="R89" s="25">
        <v>0</v>
      </c>
      <c r="S89" s="12">
        <f t="shared" si="8"/>
        <v>0</v>
      </c>
      <c r="T89" s="5">
        <v>0</v>
      </c>
      <c r="U89" s="12">
        <f t="shared" si="14"/>
        <v>0</v>
      </c>
      <c r="V89" s="25" t="s">
        <v>10</v>
      </c>
      <c r="W89" s="11">
        <f>IFERROR(VLOOKUP(V89,[1]Curr!$B$2:$C$13,2,FALSE),0)</f>
        <v>11.3</v>
      </c>
      <c r="X89" s="12">
        <f t="shared" si="9"/>
        <v>0</v>
      </c>
      <c r="Y89" s="26">
        <f t="shared" si="15"/>
        <v>0</v>
      </c>
      <c r="Z89" s="12">
        <f t="shared" si="10"/>
        <v>0</v>
      </c>
      <c r="AA89" s="4" t="s">
        <v>10</v>
      </c>
      <c r="AB89" s="11">
        <f>IFERROR(VLOOKUP(AA89,Curr!$B$2:$C$13,2,FALSE),0)</f>
        <v>11</v>
      </c>
      <c r="AC89" s="12">
        <f t="shared" si="11"/>
        <v>0</v>
      </c>
      <c r="AD89" s="12">
        <f t="shared" si="12"/>
        <v>0</v>
      </c>
      <c r="AE89" s="13">
        <f t="shared" si="13"/>
        <v>0</v>
      </c>
    </row>
    <row r="90" spans="2:31" x14ac:dyDescent="0.25">
      <c r="B90" s="4"/>
      <c r="E90" s="3"/>
      <c r="F90" s="3"/>
      <c r="G90" s="24"/>
      <c r="H90" s="24"/>
      <c r="K90" s="4"/>
      <c r="L90" s="4"/>
      <c r="M90" s="4"/>
      <c r="N90" s="4"/>
      <c r="O90" s="4"/>
      <c r="P90" s="27"/>
      <c r="Q90" s="25">
        <v>0</v>
      </c>
      <c r="R90" s="25">
        <v>0</v>
      </c>
      <c r="S90" s="12">
        <f t="shared" si="8"/>
        <v>0</v>
      </c>
      <c r="T90" s="5">
        <v>0</v>
      </c>
      <c r="U90" s="12">
        <f t="shared" si="14"/>
        <v>0</v>
      </c>
      <c r="V90" s="25" t="s">
        <v>10</v>
      </c>
      <c r="W90" s="11">
        <f>IFERROR(VLOOKUP(V90,[1]Curr!$B$2:$C$13,2,FALSE),0)</f>
        <v>11.3</v>
      </c>
      <c r="X90" s="12">
        <f t="shared" si="9"/>
        <v>0</v>
      </c>
      <c r="Y90" s="26">
        <f t="shared" si="15"/>
        <v>0</v>
      </c>
      <c r="Z90" s="12">
        <f t="shared" si="10"/>
        <v>0</v>
      </c>
      <c r="AA90" s="4" t="s">
        <v>10</v>
      </c>
      <c r="AB90" s="11">
        <f>IFERROR(VLOOKUP(AA90,Curr!$B$2:$C$13,2,FALSE),0)</f>
        <v>11</v>
      </c>
      <c r="AC90" s="12">
        <f t="shared" si="11"/>
        <v>0</v>
      </c>
      <c r="AD90" s="12">
        <f t="shared" si="12"/>
        <v>0</v>
      </c>
      <c r="AE90" s="13">
        <f t="shared" si="13"/>
        <v>0</v>
      </c>
    </row>
    <row r="91" spans="2:31" x14ac:dyDescent="0.25">
      <c r="B91" s="4"/>
      <c r="E91" s="3"/>
      <c r="F91" s="3"/>
      <c r="G91" s="24"/>
      <c r="H91" s="24"/>
      <c r="K91" s="4"/>
      <c r="L91" s="4"/>
      <c r="M91" s="4"/>
      <c r="N91" s="4"/>
      <c r="O91" s="4"/>
      <c r="P91" s="27"/>
      <c r="Q91" s="25">
        <v>0</v>
      </c>
      <c r="R91" s="25">
        <v>0</v>
      </c>
      <c r="S91" s="12">
        <f t="shared" si="8"/>
        <v>0</v>
      </c>
      <c r="T91" s="5">
        <v>0</v>
      </c>
      <c r="U91" s="12">
        <f t="shared" si="14"/>
        <v>0</v>
      </c>
      <c r="V91" s="25" t="s">
        <v>10</v>
      </c>
      <c r="W91" s="11">
        <f>IFERROR(VLOOKUP(V91,[1]Curr!$B$2:$C$13,2,FALSE),0)</f>
        <v>11.3</v>
      </c>
      <c r="X91" s="12">
        <f t="shared" si="9"/>
        <v>0</v>
      </c>
      <c r="Y91" s="26">
        <f t="shared" si="15"/>
        <v>0</v>
      </c>
      <c r="Z91" s="12">
        <f t="shared" si="10"/>
        <v>0</v>
      </c>
      <c r="AA91" s="4" t="s">
        <v>10</v>
      </c>
      <c r="AB91" s="11">
        <f>IFERROR(VLOOKUP(AA91,Curr!$B$2:$C$13,2,FALSE),0)</f>
        <v>11</v>
      </c>
      <c r="AC91" s="12">
        <f t="shared" si="11"/>
        <v>0</v>
      </c>
      <c r="AD91" s="12">
        <f t="shared" si="12"/>
        <v>0</v>
      </c>
      <c r="AE91" s="13">
        <f t="shared" si="13"/>
        <v>0</v>
      </c>
    </row>
    <row r="92" spans="2:31" x14ac:dyDescent="0.25">
      <c r="B92" s="4"/>
      <c r="E92" s="3"/>
      <c r="F92" s="3"/>
      <c r="G92" s="24"/>
      <c r="H92" s="24"/>
      <c r="K92" s="4"/>
      <c r="L92" s="4"/>
      <c r="M92" s="4"/>
      <c r="N92" s="4"/>
      <c r="O92" s="4"/>
      <c r="P92" s="27"/>
      <c r="Q92" s="25">
        <v>0</v>
      </c>
      <c r="R92" s="25">
        <v>0</v>
      </c>
      <c r="S92" s="12">
        <f t="shared" si="8"/>
        <v>0</v>
      </c>
      <c r="T92" s="5">
        <v>0</v>
      </c>
      <c r="U92" s="12">
        <f t="shared" si="14"/>
        <v>0</v>
      </c>
      <c r="V92" s="25" t="s">
        <v>10</v>
      </c>
      <c r="W92" s="11">
        <f>IFERROR(VLOOKUP(V92,[1]Curr!$B$2:$C$13,2,FALSE),0)</f>
        <v>11.3</v>
      </c>
      <c r="X92" s="12">
        <f t="shared" si="9"/>
        <v>0</v>
      </c>
      <c r="Y92" s="26">
        <f t="shared" si="15"/>
        <v>0</v>
      </c>
      <c r="Z92" s="12">
        <f t="shared" si="10"/>
        <v>0</v>
      </c>
      <c r="AA92" s="4" t="s">
        <v>10</v>
      </c>
      <c r="AB92" s="11">
        <f>IFERROR(VLOOKUP(AA92,Curr!$B$2:$C$13,2,FALSE),0)</f>
        <v>11</v>
      </c>
      <c r="AC92" s="12">
        <f t="shared" si="11"/>
        <v>0</v>
      </c>
      <c r="AD92" s="12">
        <f t="shared" si="12"/>
        <v>0</v>
      </c>
      <c r="AE92" s="13">
        <f t="shared" si="13"/>
        <v>0</v>
      </c>
    </row>
    <row r="93" spans="2:31" x14ac:dyDescent="0.25">
      <c r="B93" s="4"/>
      <c r="E93" s="3"/>
      <c r="F93" s="3"/>
      <c r="G93" s="24"/>
      <c r="H93" s="24"/>
      <c r="K93" s="4"/>
      <c r="L93" s="4"/>
      <c r="M93" s="4"/>
      <c r="N93" s="4"/>
      <c r="O93" s="4"/>
      <c r="P93" s="27"/>
      <c r="Q93" s="25">
        <v>0</v>
      </c>
      <c r="R93" s="25">
        <v>0</v>
      </c>
      <c r="S93" s="12">
        <f t="shared" si="8"/>
        <v>0</v>
      </c>
      <c r="T93" s="5">
        <v>0</v>
      </c>
      <c r="U93" s="12">
        <f t="shared" si="14"/>
        <v>0</v>
      </c>
      <c r="V93" s="25" t="s">
        <v>10</v>
      </c>
      <c r="W93" s="11">
        <f>IFERROR(VLOOKUP(V93,[1]Curr!$B$2:$C$13,2,FALSE),0)</f>
        <v>11.3</v>
      </c>
      <c r="X93" s="12">
        <f t="shared" si="9"/>
        <v>0</v>
      </c>
      <c r="Y93" s="26">
        <f t="shared" si="15"/>
        <v>0</v>
      </c>
      <c r="Z93" s="12">
        <f t="shared" si="10"/>
        <v>0</v>
      </c>
      <c r="AA93" s="4" t="s">
        <v>10</v>
      </c>
      <c r="AB93" s="11">
        <f>IFERROR(VLOOKUP(AA93,Curr!$B$2:$C$13,2,FALSE),0)</f>
        <v>11</v>
      </c>
      <c r="AC93" s="12">
        <f t="shared" si="11"/>
        <v>0</v>
      </c>
      <c r="AD93" s="12">
        <f t="shared" si="12"/>
        <v>0</v>
      </c>
      <c r="AE93" s="13">
        <f t="shared" si="13"/>
        <v>0</v>
      </c>
    </row>
    <row r="94" spans="2:31" x14ac:dyDescent="0.25">
      <c r="B94" s="4"/>
      <c r="E94" s="3"/>
      <c r="F94" s="3"/>
      <c r="G94" s="24"/>
      <c r="H94" s="24"/>
      <c r="K94" s="4"/>
      <c r="L94" s="4"/>
      <c r="M94" s="4"/>
      <c r="N94" s="4"/>
      <c r="O94" s="4"/>
      <c r="P94" s="27"/>
      <c r="Q94" s="25">
        <v>0</v>
      </c>
      <c r="R94" s="25">
        <v>0</v>
      </c>
      <c r="S94" s="12">
        <f t="shared" si="8"/>
        <v>0</v>
      </c>
      <c r="T94" s="5">
        <v>0</v>
      </c>
      <c r="U94" s="12">
        <f t="shared" si="14"/>
        <v>0</v>
      </c>
      <c r="V94" s="25" t="s">
        <v>10</v>
      </c>
      <c r="W94" s="11">
        <f>IFERROR(VLOOKUP(V94,[1]Curr!$B$2:$C$13,2,FALSE),0)</f>
        <v>11.3</v>
      </c>
      <c r="X94" s="12">
        <f t="shared" si="9"/>
        <v>0</v>
      </c>
      <c r="Y94" s="26">
        <f t="shared" si="15"/>
        <v>0</v>
      </c>
      <c r="Z94" s="12">
        <f t="shared" si="10"/>
        <v>0</v>
      </c>
      <c r="AA94" s="4" t="s">
        <v>10</v>
      </c>
      <c r="AB94" s="11">
        <f>IFERROR(VLOOKUP(AA94,Curr!$B$2:$C$13,2,FALSE),0)</f>
        <v>11</v>
      </c>
      <c r="AC94" s="12">
        <f t="shared" si="11"/>
        <v>0</v>
      </c>
      <c r="AD94" s="12">
        <f t="shared" si="12"/>
        <v>0</v>
      </c>
      <c r="AE94" s="13">
        <f t="shared" si="13"/>
        <v>0</v>
      </c>
    </row>
    <row r="95" spans="2:31" x14ac:dyDescent="0.25">
      <c r="B95" s="4"/>
      <c r="E95" s="3"/>
      <c r="F95" s="3"/>
      <c r="G95" s="24"/>
      <c r="H95" s="24"/>
      <c r="K95" s="4"/>
      <c r="L95" s="4"/>
      <c r="M95" s="4"/>
      <c r="N95" s="4"/>
      <c r="O95" s="4"/>
      <c r="P95" s="27"/>
      <c r="Q95" s="25">
        <v>0</v>
      </c>
      <c r="R95" s="25">
        <v>0</v>
      </c>
      <c r="S95" s="12">
        <f t="shared" si="8"/>
        <v>0</v>
      </c>
      <c r="T95" s="5">
        <v>0</v>
      </c>
      <c r="U95" s="12">
        <f t="shared" si="14"/>
        <v>0</v>
      </c>
      <c r="V95" s="25" t="s">
        <v>10</v>
      </c>
      <c r="W95" s="11">
        <f>IFERROR(VLOOKUP(V95,[1]Curr!$B$2:$C$13,2,FALSE),0)</f>
        <v>11.3</v>
      </c>
      <c r="X95" s="12">
        <f t="shared" si="9"/>
        <v>0</v>
      </c>
      <c r="Y95" s="26">
        <f t="shared" si="15"/>
        <v>0</v>
      </c>
      <c r="Z95" s="12">
        <f t="shared" si="10"/>
        <v>0</v>
      </c>
      <c r="AA95" s="4" t="s">
        <v>10</v>
      </c>
      <c r="AB95" s="11">
        <f>IFERROR(VLOOKUP(AA95,Curr!$B$2:$C$13,2,FALSE),0)</f>
        <v>11</v>
      </c>
      <c r="AC95" s="12">
        <f t="shared" si="11"/>
        <v>0</v>
      </c>
      <c r="AD95" s="12">
        <f t="shared" si="12"/>
        <v>0</v>
      </c>
      <c r="AE95" s="13">
        <f t="shared" si="13"/>
        <v>0</v>
      </c>
    </row>
    <row r="96" spans="2:31" x14ac:dyDescent="0.25">
      <c r="B96" s="4"/>
      <c r="E96" s="3"/>
      <c r="F96" s="3"/>
      <c r="G96" s="24"/>
      <c r="H96" s="24"/>
      <c r="K96" s="4"/>
      <c r="L96" s="4"/>
      <c r="M96" s="4"/>
      <c r="N96" s="4"/>
      <c r="O96" s="4"/>
      <c r="P96" s="27"/>
      <c r="Q96" s="25">
        <v>0</v>
      </c>
      <c r="R96" s="25">
        <v>0</v>
      </c>
      <c r="S96" s="12">
        <f t="shared" si="8"/>
        <v>0</v>
      </c>
      <c r="T96" s="5">
        <v>0</v>
      </c>
      <c r="U96" s="12">
        <f t="shared" si="14"/>
        <v>0</v>
      </c>
      <c r="V96" s="25" t="s">
        <v>10</v>
      </c>
      <c r="W96" s="11">
        <f>IFERROR(VLOOKUP(V96,[1]Curr!$B$2:$C$13,2,FALSE),0)</f>
        <v>11.3</v>
      </c>
      <c r="X96" s="12">
        <f t="shared" si="9"/>
        <v>0</v>
      </c>
      <c r="Y96" s="26">
        <f t="shared" si="15"/>
        <v>0</v>
      </c>
      <c r="Z96" s="12">
        <f t="shared" si="10"/>
        <v>0</v>
      </c>
      <c r="AA96" s="4" t="s">
        <v>10</v>
      </c>
      <c r="AB96" s="11">
        <f>IFERROR(VLOOKUP(AA96,Curr!$B$2:$C$13,2,FALSE),0)</f>
        <v>11</v>
      </c>
      <c r="AC96" s="12">
        <f t="shared" si="11"/>
        <v>0</v>
      </c>
      <c r="AD96" s="12">
        <f t="shared" si="12"/>
        <v>0</v>
      </c>
      <c r="AE96" s="13">
        <f t="shared" si="13"/>
        <v>0</v>
      </c>
    </row>
    <row r="97" spans="2:36" x14ac:dyDescent="0.25">
      <c r="B97" s="4"/>
      <c r="E97" s="3"/>
      <c r="F97" s="3"/>
      <c r="G97" s="24"/>
      <c r="H97" s="24"/>
      <c r="K97" s="4"/>
      <c r="L97" s="4"/>
      <c r="M97" s="4"/>
      <c r="N97" s="4"/>
      <c r="O97" s="4"/>
      <c r="P97" s="27"/>
      <c r="Q97" s="25">
        <v>0</v>
      </c>
      <c r="R97" s="25">
        <v>0</v>
      </c>
      <c r="S97" s="12">
        <f t="shared" si="8"/>
        <v>0</v>
      </c>
      <c r="T97" s="5">
        <v>0</v>
      </c>
      <c r="U97" s="12">
        <f t="shared" si="14"/>
        <v>0</v>
      </c>
      <c r="V97" s="25" t="s">
        <v>10</v>
      </c>
      <c r="W97" s="11">
        <f>IFERROR(VLOOKUP(V97,[1]Curr!$B$2:$C$13,2,FALSE),0)</f>
        <v>11.3</v>
      </c>
      <c r="X97" s="12">
        <f t="shared" si="9"/>
        <v>0</v>
      </c>
      <c r="Y97" s="26">
        <f t="shared" si="15"/>
        <v>0</v>
      </c>
      <c r="Z97" s="12">
        <f t="shared" si="10"/>
        <v>0</v>
      </c>
      <c r="AA97" s="4" t="s">
        <v>10</v>
      </c>
      <c r="AB97" s="11">
        <f>IFERROR(VLOOKUP(AA97,Curr!$B$2:$C$13,2,FALSE),0)</f>
        <v>11</v>
      </c>
      <c r="AC97" s="12">
        <f t="shared" si="11"/>
        <v>0</v>
      </c>
      <c r="AD97" s="12">
        <f t="shared" si="12"/>
        <v>0</v>
      </c>
      <c r="AE97" s="13">
        <f t="shared" si="13"/>
        <v>0</v>
      </c>
    </row>
    <row r="98" spans="2:36" x14ac:dyDescent="0.25">
      <c r="B98" s="4"/>
      <c r="E98" s="3"/>
      <c r="F98" s="3"/>
      <c r="G98" s="24"/>
      <c r="H98" s="24"/>
      <c r="K98" s="4"/>
      <c r="L98" s="4"/>
      <c r="M98" s="4"/>
      <c r="N98" s="4"/>
      <c r="O98" s="4"/>
      <c r="P98" s="27"/>
      <c r="Q98" s="25">
        <v>0</v>
      </c>
      <c r="R98" s="25">
        <v>0</v>
      </c>
      <c r="S98" s="12">
        <f t="shared" si="8"/>
        <v>0</v>
      </c>
      <c r="T98" s="5">
        <v>0</v>
      </c>
      <c r="U98" s="12">
        <f t="shared" si="14"/>
        <v>0</v>
      </c>
      <c r="V98" s="25" t="s">
        <v>10</v>
      </c>
      <c r="W98" s="11">
        <f>IFERROR(VLOOKUP(V98,[1]Curr!$B$2:$C$13,2,FALSE),0)</f>
        <v>11.3</v>
      </c>
      <c r="X98" s="12">
        <f t="shared" si="9"/>
        <v>0</v>
      </c>
      <c r="Y98" s="26">
        <f t="shared" si="15"/>
        <v>0</v>
      </c>
      <c r="Z98" s="12">
        <f t="shared" si="10"/>
        <v>0</v>
      </c>
      <c r="AA98" s="4" t="s">
        <v>10</v>
      </c>
      <c r="AB98" s="11">
        <f>IFERROR(VLOOKUP(AA98,Curr!$B$2:$C$13,2,FALSE),0)</f>
        <v>11</v>
      </c>
      <c r="AC98" s="12">
        <f t="shared" si="11"/>
        <v>0</v>
      </c>
      <c r="AD98" s="12">
        <f t="shared" si="12"/>
        <v>0</v>
      </c>
      <c r="AE98" s="13">
        <f t="shared" si="13"/>
        <v>0</v>
      </c>
    </row>
    <row r="99" spans="2:36" x14ac:dyDescent="0.25">
      <c r="B99" s="4"/>
      <c r="E99" s="3"/>
      <c r="F99" s="3"/>
      <c r="G99" s="24"/>
      <c r="H99" s="24"/>
      <c r="K99" s="4"/>
      <c r="L99" s="4"/>
      <c r="M99" s="4"/>
      <c r="N99" s="4"/>
      <c r="O99" s="4"/>
      <c r="P99" s="27"/>
      <c r="Q99" s="25">
        <v>0</v>
      </c>
      <c r="R99" s="25">
        <v>0</v>
      </c>
      <c r="S99" s="12">
        <f t="shared" si="8"/>
        <v>0</v>
      </c>
      <c r="T99" s="5">
        <v>0</v>
      </c>
      <c r="U99" s="12">
        <f t="shared" si="14"/>
        <v>0</v>
      </c>
      <c r="V99" s="25" t="s">
        <v>10</v>
      </c>
      <c r="W99" s="11">
        <f>IFERROR(VLOOKUP(V99,[1]Curr!$B$2:$C$13,2,FALSE),0)</f>
        <v>11.3</v>
      </c>
      <c r="X99" s="12">
        <f t="shared" si="9"/>
        <v>0</v>
      </c>
      <c r="Y99" s="26">
        <f t="shared" si="15"/>
        <v>0</v>
      </c>
      <c r="Z99" s="12">
        <f t="shared" si="10"/>
        <v>0</v>
      </c>
      <c r="AA99" s="4" t="s">
        <v>10</v>
      </c>
      <c r="AB99" s="11">
        <f>IFERROR(VLOOKUP(AA99,Curr!$B$2:$C$13,2,FALSE),0)</f>
        <v>11</v>
      </c>
      <c r="AC99" s="12">
        <f t="shared" si="11"/>
        <v>0</v>
      </c>
      <c r="AD99" s="12">
        <f t="shared" si="12"/>
        <v>0</v>
      </c>
      <c r="AE99" s="13">
        <f t="shared" si="13"/>
        <v>0</v>
      </c>
    </row>
    <row r="100" spans="2:36" x14ac:dyDescent="0.25">
      <c r="B100" s="4"/>
      <c r="E100" s="3"/>
      <c r="F100" s="3"/>
      <c r="G100" s="3"/>
      <c r="H100" s="3"/>
      <c r="L100" s="4"/>
      <c r="M100" s="4"/>
      <c r="N100" s="4"/>
      <c r="O100" s="4"/>
      <c r="P100" s="22"/>
      <c r="Q100" s="4"/>
      <c r="R100" s="4"/>
      <c r="S100" s="4"/>
      <c r="T100" s="4"/>
      <c r="U100" s="4"/>
      <c r="V100" s="4"/>
      <c r="W100" s="4"/>
      <c r="X100" s="4"/>
      <c r="Y100" s="4"/>
      <c r="Z100" s="4"/>
      <c r="AA100" s="4"/>
      <c r="AB100" s="4"/>
      <c r="AC100" s="4"/>
      <c r="AD100" s="4"/>
      <c r="AE100" s="4"/>
      <c r="AF100" s="4"/>
    </row>
    <row r="101" spans="2:36" x14ac:dyDescent="0.25">
      <c r="B101" s="14" t="s">
        <v>18</v>
      </c>
      <c r="C101" s="14"/>
      <c r="D101" s="28" t="s">
        <v>42</v>
      </c>
      <c r="E101" s="30" t="s">
        <v>42</v>
      </c>
      <c r="F101" s="30" t="s">
        <v>42</v>
      </c>
      <c r="G101" s="30" t="s">
        <v>42</v>
      </c>
      <c r="H101" s="30" t="s">
        <v>42</v>
      </c>
      <c r="I101" s="28" t="s">
        <v>42</v>
      </c>
      <c r="J101" s="28" t="s">
        <v>42</v>
      </c>
      <c r="K101" s="28" t="s">
        <v>42</v>
      </c>
      <c r="L101" s="28" t="s">
        <v>42</v>
      </c>
      <c r="M101" s="28" t="s">
        <v>42</v>
      </c>
      <c r="N101" s="28" t="s">
        <v>42</v>
      </c>
      <c r="O101" s="28" t="s">
        <v>42</v>
      </c>
      <c r="P101" s="28" t="s">
        <v>42</v>
      </c>
      <c r="Q101" s="31" t="s">
        <v>42</v>
      </c>
      <c r="R101" s="28" t="s">
        <v>42</v>
      </c>
      <c r="S101" s="32" t="s">
        <v>42</v>
      </c>
      <c r="T101" s="28" t="s">
        <v>42</v>
      </c>
      <c r="U101" s="32" t="s">
        <v>42</v>
      </c>
      <c r="V101" s="28" t="s">
        <v>42</v>
      </c>
      <c r="W101" s="28" t="s">
        <v>42</v>
      </c>
      <c r="X101" s="32" t="s">
        <v>42</v>
      </c>
      <c r="Y101" s="32" t="s">
        <v>42</v>
      </c>
      <c r="Z101" s="15">
        <f>SUM(Z7:Z99)</f>
        <v>0</v>
      </c>
      <c r="AA101" s="14"/>
      <c r="AB101" s="14"/>
      <c r="AC101" s="15">
        <f>SUM(AC7:AC99)</f>
        <v>0</v>
      </c>
      <c r="AD101" s="15">
        <f>SUM(AD7:AD99)</f>
        <v>0</v>
      </c>
      <c r="AE101" s="21">
        <f t="shared" ref="AE101" si="16">IFERROR(AD101/AC101,0)</f>
        <v>0</v>
      </c>
      <c r="AF101" s="15">
        <f>SUM(AF8:AF100)</f>
        <v>0</v>
      </c>
      <c r="AG101" s="15">
        <f>SUM(AG8:AG100)</f>
        <v>0</v>
      </c>
      <c r="AH101" s="15">
        <f>SUM(AH8:AH100)</f>
        <v>0</v>
      </c>
      <c r="AI101" s="15">
        <f>SUM(AI8:AI100)</f>
        <v>0</v>
      </c>
      <c r="AJ101" s="15">
        <f>SUM(AJ8:AJ100)</f>
        <v>0</v>
      </c>
    </row>
    <row r="102" spans="2:36" x14ac:dyDescent="0.25">
      <c r="B102" s="4"/>
      <c r="E102" s="3"/>
      <c r="F102" s="3"/>
      <c r="G102" s="3"/>
      <c r="H102" s="3"/>
      <c r="L102" s="4"/>
      <c r="M102" s="4"/>
      <c r="N102" s="4"/>
      <c r="O102" s="4"/>
      <c r="Q102" s="4"/>
      <c r="R102" s="4"/>
      <c r="S102" s="4"/>
      <c r="T102" s="4"/>
      <c r="U102" s="4"/>
      <c r="V102" s="4"/>
      <c r="W102" s="4"/>
      <c r="X102" s="4"/>
      <c r="Y102" s="9"/>
      <c r="Z102" s="9"/>
      <c r="AA102" s="9"/>
      <c r="AB102" s="9"/>
      <c r="AC102" s="9"/>
      <c r="AD102" s="9"/>
      <c r="AE102" s="9"/>
    </row>
    <row r="103" spans="2:36" x14ac:dyDescent="0.25">
      <c r="B103" s="4"/>
      <c r="E103" s="3"/>
      <c r="F103" s="3"/>
      <c r="G103" s="3"/>
      <c r="H103" s="3"/>
      <c r="L103" s="4"/>
      <c r="M103" s="4"/>
      <c r="N103" s="4"/>
      <c r="O103" s="4"/>
      <c r="Q103" s="9"/>
      <c r="R103" s="9"/>
      <c r="S103" s="9"/>
      <c r="T103" s="9"/>
      <c r="U103" s="9"/>
      <c r="V103" s="9"/>
      <c r="W103" s="9"/>
      <c r="X103" s="23"/>
      <c r="Y103" s="34" t="s">
        <v>43</v>
      </c>
      <c r="Z103" s="34"/>
      <c r="AA103" s="9"/>
      <c r="AB103" s="9"/>
      <c r="AC103" s="9"/>
      <c r="AD103" s="9"/>
      <c r="AE103" s="9"/>
    </row>
    <row r="104" spans="2:36" x14ac:dyDescent="0.25">
      <c r="B104" s="4"/>
      <c r="E104" s="3"/>
      <c r="F104" s="3"/>
      <c r="G104" s="3"/>
      <c r="H104" s="3"/>
      <c r="L104" s="4"/>
      <c r="M104" s="4"/>
      <c r="N104" s="4"/>
      <c r="O104" s="4"/>
      <c r="Q104" s="9"/>
      <c r="R104" s="9"/>
      <c r="S104" s="9"/>
      <c r="T104" s="9"/>
      <c r="U104" s="9"/>
      <c r="V104" s="9"/>
      <c r="W104" s="9"/>
      <c r="X104" s="9"/>
      <c r="Y104" s="34" t="s">
        <v>44</v>
      </c>
      <c r="Z104" s="34">
        <f>Z103/2</f>
        <v>0</v>
      </c>
      <c r="AA104" s="9"/>
      <c r="AB104" s="9"/>
      <c r="AC104" s="9"/>
      <c r="AD104" s="9"/>
      <c r="AE104" s="9"/>
      <c r="AF104" s="18"/>
    </row>
    <row r="105" spans="2:36" x14ac:dyDescent="0.25">
      <c r="B105" s="4"/>
      <c r="E105" s="3"/>
      <c r="F105" s="3"/>
      <c r="G105" s="3"/>
      <c r="H105" s="3"/>
      <c r="I105" s="19"/>
      <c r="L105" s="4"/>
      <c r="M105" s="4"/>
      <c r="N105" s="4"/>
      <c r="O105" s="20"/>
      <c r="Q105" s="20"/>
      <c r="R105" s="20"/>
      <c r="S105" s="20"/>
      <c r="T105" s="20"/>
      <c r="U105" s="20"/>
      <c r="V105" s="20"/>
      <c r="W105" s="20"/>
      <c r="X105" s="20"/>
      <c r="Y105" s="9"/>
      <c r="Z105" s="9"/>
      <c r="AA105" s="9"/>
      <c r="AB105" s="9"/>
      <c r="AC105" s="9"/>
      <c r="AD105" s="9"/>
      <c r="AE105" s="9"/>
      <c r="AF105" s="18"/>
    </row>
    <row r="106" spans="2:36" x14ac:dyDescent="0.25">
      <c r="B106" s="4"/>
      <c r="E106" s="3"/>
      <c r="F106" s="3"/>
      <c r="G106" s="3"/>
      <c r="H106" s="3"/>
      <c r="L106" s="4"/>
      <c r="M106" s="4"/>
      <c r="N106" s="4"/>
      <c r="O106" s="20"/>
      <c r="Q106" s="20"/>
      <c r="R106" s="20"/>
      <c r="S106" s="20"/>
      <c r="T106" s="20"/>
      <c r="U106" s="20"/>
      <c r="V106" s="20"/>
      <c r="W106" s="20"/>
      <c r="X106" s="20"/>
      <c r="Y106" s="9" t="s">
        <v>45</v>
      </c>
      <c r="Z106" s="9">
        <f>Z103-Z107</f>
        <v>0</v>
      </c>
      <c r="AA106" s="9"/>
      <c r="AB106" s="9"/>
      <c r="AC106" s="9"/>
      <c r="AD106" s="9"/>
      <c r="AE106" s="9"/>
      <c r="AF106" s="18"/>
    </row>
    <row r="107" spans="2:36" x14ac:dyDescent="0.25">
      <c r="B107" s="4"/>
      <c r="E107" s="3"/>
      <c r="F107" s="3"/>
      <c r="G107" s="3"/>
      <c r="H107" s="3"/>
      <c r="L107" s="4"/>
      <c r="M107" s="4"/>
      <c r="N107" s="4"/>
      <c r="O107" s="4"/>
      <c r="Q107" s="9"/>
      <c r="R107" s="9"/>
      <c r="S107" s="9"/>
      <c r="T107" s="9"/>
      <c r="U107" s="9"/>
      <c r="V107" s="9"/>
      <c r="W107" s="9"/>
      <c r="X107" s="9"/>
      <c r="Y107" s="9" t="s">
        <v>46</v>
      </c>
      <c r="Z107" s="9"/>
      <c r="AA107" s="9"/>
      <c r="AB107" s="9"/>
      <c r="AC107" s="9"/>
      <c r="AD107" s="9"/>
      <c r="AE107" s="9"/>
      <c r="AF107" s="18"/>
    </row>
    <row r="108" spans="2:36" x14ac:dyDescent="0.25">
      <c r="F108" s="1"/>
      <c r="G108" s="1"/>
      <c r="H108" s="1"/>
      <c r="J108" s="1" t="s">
        <v>32</v>
      </c>
      <c r="Q108" s="9"/>
      <c r="R108" s="4"/>
      <c r="S108" s="9"/>
      <c r="T108" s="5"/>
      <c r="U108" s="9"/>
      <c r="V108" s="4"/>
      <c r="W108" s="4"/>
      <c r="X108" s="9"/>
      <c r="Y108" s="9"/>
      <c r="Z108" s="9"/>
      <c r="AA108" s="9"/>
      <c r="AB108" s="9"/>
      <c r="AC108" s="9"/>
      <c r="AD108" s="9"/>
      <c r="AE108" s="9"/>
    </row>
    <row r="109" spans="2:36" x14ac:dyDescent="0.25">
      <c r="R109" s="4"/>
      <c r="S109" s="17"/>
      <c r="T109" s="17"/>
      <c r="U109" s="9"/>
      <c r="V109" s="4"/>
      <c r="W109" s="4"/>
      <c r="X109" s="9"/>
      <c r="Y109" s="9" t="s">
        <v>47</v>
      </c>
      <c r="Z109" s="9">
        <f>Z103*0.3</f>
        <v>0</v>
      </c>
      <c r="AA109" s="9"/>
      <c r="AB109" s="9"/>
      <c r="AC109" s="9"/>
      <c r="AD109" s="9"/>
      <c r="AE109" s="9"/>
    </row>
    <row r="110" spans="2:36" x14ac:dyDescent="0.25">
      <c r="Q110" s="9"/>
      <c r="R110" s="4"/>
      <c r="S110" s="16"/>
      <c r="T110" s="16"/>
      <c r="U110" s="9"/>
      <c r="V110" s="4"/>
      <c r="W110" s="4"/>
      <c r="X110" s="9"/>
      <c r="Y110" s="9" t="s">
        <v>49</v>
      </c>
      <c r="Z110" s="9">
        <f>Z107-Z109</f>
        <v>0</v>
      </c>
      <c r="AA110" s="9"/>
      <c r="AB110" s="9"/>
      <c r="AC110" s="9"/>
      <c r="AD110" s="9"/>
      <c r="AE110" s="9"/>
    </row>
    <row r="111" spans="2:36" x14ac:dyDescent="0.25">
      <c r="R111" s="4"/>
      <c r="S111" s="16"/>
      <c r="T111" s="16"/>
      <c r="Y111" s="9" t="s">
        <v>48</v>
      </c>
      <c r="Z111" s="9">
        <f>Z103-Z109-Z110</f>
        <v>0</v>
      </c>
      <c r="AA111" s="9"/>
      <c r="AB111" s="9"/>
      <c r="AC111" s="9"/>
      <c r="AD111" s="9"/>
      <c r="AE111" s="9"/>
    </row>
    <row r="112" spans="2:36" x14ac:dyDescent="0.25">
      <c r="T112" s="5"/>
      <c r="Y112" s="9"/>
      <c r="Z112" s="9"/>
      <c r="AA112" s="9"/>
      <c r="AB112" s="9"/>
      <c r="AC112" s="9"/>
      <c r="AD112" s="9"/>
      <c r="AE112" s="9"/>
    </row>
    <row r="113" spans="20:31" x14ac:dyDescent="0.25">
      <c r="T113" s="5"/>
      <c r="Y113" s="9"/>
      <c r="Z113" s="9"/>
      <c r="AA113" s="9"/>
      <c r="AB113" s="9"/>
      <c r="AC113" s="9"/>
      <c r="AD113" s="9"/>
      <c r="AE113" s="9"/>
    </row>
    <row r="114" spans="20:31" x14ac:dyDescent="0.25">
      <c r="T114" s="5"/>
      <c r="Y114" s="9"/>
      <c r="Z114" s="9"/>
      <c r="AA114" s="9"/>
      <c r="AB114" s="9"/>
      <c r="AC114" s="9"/>
      <c r="AD114" s="9"/>
      <c r="AE114" s="9"/>
    </row>
    <row r="115" spans="20:31" x14ac:dyDescent="0.25">
      <c r="T115" s="5"/>
      <c r="Y115" s="9"/>
      <c r="Z115" s="9"/>
      <c r="AA115" s="9"/>
      <c r="AB115" s="9"/>
      <c r="AC115" s="9"/>
      <c r="AD115" s="9"/>
      <c r="AE115" s="9"/>
    </row>
    <row r="116" spans="20:31" x14ac:dyDescent="0.25">
      <c r="T116" s="5"/>
      <c r="Y116" s="9"/>
      <c r="Z116" s="9"/>
      <c r="AA116" s="9"/>
      <c r="AB116" s="9"/>
      <c r="AC116" s="9"/>
      <c r="AD116" s="9"/>
      <c r="AE116" s="9"/>
    </row>
    <row r="117" spans="20:31" x14ac:dyDescent="0.25">
      <c r="T117" s="5"/>
      <c r="Y117" s="9"/>
      <c r="Z117" s="9"/>
      <c r="AA117" s="9"/>
      <c r="AB117" s="9"/>
      <c r="AC117" s="9"/>
      <c r="AD117" s="9"/>
      <c r="AE117" s="9"/>
    </row>
    <row r="118" spans="20:31" x14ac:dyDescent="0.25">
      <c r="T118" s="5"/>
      <c r="Y118" s="9"/>
      <c r="Z118" s="9"/>
      <c r="AA118" s="9"/>
      <c r="AB118" s="9"/>
      <c r="AC118" s="9"/>
      <c r="AD118" s="9"/>
      <c r="AE118" s="9"/>
    </row>
    <row r="119" spans="20:31" x14ac:dyDescent="0.25">
      <c r="T119" s="5"/>
      <c r="Y119" s="9"/>
      <c r="Z119" s="9"/>
      <c r="AA119" s="9"/>
      <c r="AB119" s="9"/>
      <c r="AC119" s="9"/>
      <c r="AD119" s="9"/>
      <c r="AE119" s="9"/>
    </row>
    <row r="120" spans="20:31" x14ac:dyDescent="0.25">
      <c r="T120" s="5"/>
    </row>
    <row r="121" spans="20:31" x14ac:dyDescent="0.25">
      <c r="T121" s="5"/>
    </row>
    <row r="122" spans="20:31" x14ac:dyDescent="0.25">
      <c r="T122" s="5"/>
    </row>
    <row r="123" spans="20:31" x14ac:dyDescent="0.25">
      <c r="T123" s="5"/>
    </row>
    <row r="124" spans="20:31" x14ac:dyDescent="0.25">
      <c r="T124" s="5"/>
    </row>
  </sheetData>
  <autoFilter ref="B6:AE101" xr:uid="{65FA6D9B-E0AF-46CD-BA0D-86BB75FE6AB0}"/>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DD0E7-AA69-4177-AE66-DC1004ADE474}">
  <sheetPr>
    <tabColor rgb="FFFFFF00"/>
  </sheetPr>
  <dimension ref="A1:L30"/>
  <sheetViews>
    <sheetView workbookViewId="0">
      <selection activeCell="F15" sqref="F15"/>
    </sheetView>
  </sheetViews>
  <sheetFormatPr defaultRowHeight="15" x14ac:dyDescent="0.25"/>
  <cols>
    <col min="1" max="1" width="15.5703125" customWidth="1"/>
    <col min="2" max="11" width="16.28515625" style="35" customWidth="1"/>
    <col min="12" max="12" width="9.140625" style="36"/>
  </cols>
  <sheetData>
    <row r="1" spans="1:12" x14ac:dyDescent="0.25">
      <c r="A1" t="s">
        <v>226</v>
      </c>
      <c r="B1" s="35" t="s">
        <v>227</v>
      </c>
      <c r="C1" s="35" t="s">
        <v>228</v>
      </c>
      <c r="D1" s="35" t="s">
        <v>229</v>
      </c>
      <c r="E1" s="35" t="s">
        <v>230</v>
      </c>
      <c r="F1" s="35" t="s">
        <v>231</v>
      </c>
      <c r="G1" s="35" t="s">
        <v>232</v>
      </c>
      <c r="H1" s="35" t="s">
        <v>233</v>
      </c>
      <c r="I1" s="35" t="s">
        <v>234</v>
      </c>
      <c r="J1" s="35" t="s">
        <v>235</v>
      </c>
      <c r="K1" s="35" t="s">
        <v>239</v>
      </c>
      <c r="L1" s="36" t="s">
        <v>238</v>
      </c>
    </row>
    <row r="2" spans="1:12" x14ac:dyDescent="0.25">
      <c r="A2" t="s">
        <v>248</v>
      </c>
      <c r="B2" s="35" t="s">
        <v>236</v>
      </c>
      <c r="C2" s="35" t="s">
        <v>240</v>
      </c>
      <c r="D2" s="35" t="s">
        <v>241</v>
      </c>
      <c r="E2" s="35" t="s">
        <v>242</v>
      </c>
      <c r="F2" s="35" t="s">
        <v>243</v>
      </c>
      <c r="G2" s="35" t="s">
        <v>236</v>
      </c>
      <c r="H2" s="35" t="s">
        <v>60</v>
      </c>
      <c r="L2" s="36" t="s">
        <v>237</v>
      </c>
    </row>
    <row r="3" spans="1:12" x14ac:dyDescent="0.25">
      <c r="A3" t="s">
        <v>249</v>
      </c>
      <c r="B3" s="35" t="s">
        <v>236</v>
      </c>
      <c r="C3" s="35" t="s">
        <v>240</v>
      </c>
      <c r="D3" s="35" t="s">
        <v>244</v>
      </c>
      <c r="E3" s="35" t="s">
        <v>245</v>
      </c>
      <c r="F3" s="35" t="s">
        <v>246</v>
      </c>
      <c r="G3" s="35" t="s">
        <v>242</v>
      </c>
      <c r="H3" s="35" t="s">
        <v>243</v>
      </c>
      <c r="I3" s="35" t="s">
        <v>236</v>
      </c>
      <c r="J3" s="35" t="s">
        <v>60</v>
      </c>
      <c r="L3" s="36" t="s">
        <v>247</v>
      </c>
    </row>
    <row r="4" spans="1:12" x14ac:dyDescent="0.25">
      <c r="A4" t="s">
        <v>250</v>
      </c>
    </row>
    <row r="5" spans="1:12" x14ac:dyDescent="0.25">
      <c r="A5" t="s">
        <v>251</v>
      </c>
    </row>
    <row r="6" spans="1:12" x14ac:dyDescent="0.25">
      <c r="A6" t="s">
        <v>252</v>
      </c>
    </row>
    <row r="8" spans="1:12" x14ac:dyDescent="0.25">
      <c r="A8" t="s">
        <v>253</v>
      </c>
      <c r="B8" s="35" t="s">
        <v>246</v>
      </c>
      <c r="C8" s="35" t="s">
        <v>256</v>
      </c>
      <c r="D8" s="35" t="s">
        <v>257</v>
      </c>
      <c r="E8" s="35" t="s">
        <v>258</v>
      </c>
      <c r="F8" s="35" t="s">
        <v>259</v>
      </c>
      <c r="G8" s="35" t="s">
        <v>246</v>
      </c>
      <c r="H8" s="35" t="s">
        <v>60</v>
      </c>
      <c r="L8" s="36" t="s">
        <v>260</v>
      </c>
    </row>
    <row r="9" spans="1:12" x14ac:dyDescent="0.25">
      <c r="A9" t="s">
        <v>254</v>
      </c>
      <c r="B9" s="35" t="s">
        <v>261</v>
      </c>
      <c r="C9" s="35" t="s">
        <v>262</v>
      </c>
      <c r="D9" s="35" t="s">
        <v>263</v>
      </c>
      <c r="E9" s="35" t="s">
        <v>264</v>
      </c>
      <c r="F9" s="35" t="s">
        <v>265</v>
      </c>
      <c r="G9" s="35" t="s">
        <v>266</v>
      </c>
      <c r="H9" s="35" t="s">
        <v>261</v>
      </c>
      <c r="I9" s="35" t="s">
        <v>60</v>
      </c>
    </row>
    <row r="10" spans="1:12" x14ac:dyDescent="0.25">
      <c r="A10" t="s">
        <v>255</v>
      </c>
      <c r="B10" s="35" t="s">
        <v>273</v>
      </c>
      <c r="C10" s="35" t="s">
        <v>274</v>
      </c>
      <c r="D10" s="35" t="s">
        <v>275</v>
      </c>
      <c r="E10" s="35" t="s">
        <v>276</v>
      </c>
      <c r="F10" s="35" t="s">
        <v>277</v>
      </c>
      <c r="G10" s="35" t="s">
        <v>273</v>
      </c>
      <c r="H10" s="35" t="s">
        <v>60</v>
      </c>
    </row>
    <row r="12" spans="1:12" x14ac:dyDescent="0.25">
      <c r="A12" t="s">
        <v>267</v>
      </c>
      <c r="B12" s="35" t="s">
        <v>270</v>
      </c>
      <c r="C12" s="35" t="s">
        <v>271</v>
      </c>
      <c r="D12" s="35" t="s">
        <v>242</v>
      </c>
      <c r="E12" s="35" t="s">
        <v>243</v>
      </c>
      <c r="F12" s="35" t="s">
        <v>272</v>
      </c>
      <c r="G12" s="35" t="s">
        <v>270</v>
      </c>
      <c r="H12" s="35" t="s">
        <v>60</v>
      </c>
    </row>
    <row r="13" spans="1:12" x14ac:dyDescent="0.25">
      <c r="A13" t="s">
        <v>268</v>
      </c>
    </row>
    <row r="14" spans="1:12" x14ac:dyDescent="0.25">
      <c r="A14" t="s">
        <v>269</v>
      </c>
    </row>
    <row r="15" spans="1:12" x14ac:dyDescent="0.25">
      <c r="B15" s="35" t="s">
        <v>294</v>
      </c>
      <c r="C15" s="35" t="s">
        <v>295</v>
      </c>
      <c r="D15" s="35" t="s">
        <v>296</v>
      </c>
      <c r="E15" s="35" t="s">
        <v>297</v>
      </c>
    </row>
    <row r="21" spans="1:10" x14ac:dyDescent="0.25">
      <c r="A21" t="s">
        <v>278</v>
      </c>
    </row>
    <row r="22" spans="1:10" x14ac:dyDescent="0.25">
      <c r="A22" t="s">
        <v>278</v>
      </c>
      <c r="B22" s="35" t="s">
        <v>279</v>
      </c>
      <c r="C22" s="35" t="s">
        <v>280</v>
      </c>
      <c r="D22" s="35" t="s">
        <v>281</v>
      </c>
      <c r="E22" s="35" t="s">
        <v>284</v>
      </c>
      <c r="F22" s="35" t="s">
        <v>287</v>
      </c>
      <c r="G22" s="35" t="s">
        <v>284</v>
      </c>
      <c r="H22" s="35" t="s">
        <v>265</v>
      </c>
      <c r="I22" s="35" t="s">
        <v>292</v>
      </c>
      <c r="J22" s="35" t="s">
        <v>288</v>
      </c>
    </row>
    <row r="23" spans="1:10" x14ac:dyDescent="0.25">
      <c r="B23" s="35" t="s">
        <v>282</v>
      </c>
      <c r="C23" s="35" t="s">
        <v>283</v>
      </c>
      <c r="D23" s="35" t="s">
        <v>282</v>
      </c>
      <c r="E23" s="35" t="s">
        <v>286</v>
      </c>
      <c r="F23" s="35" t="s">
        <v>289</v>
      </c>
      <c r="G23" s="35" t="s">
        <v>290</v>
      </c>
      <c r="H23" s="35" t="s">
        <v>291</v>
      </c>
      <c r="J23" s="35" t="s">
        <v>289</v>
      </c>
    </row>
    <row r="24" spans="1:10" x14ac:dyDescent="0.25">
      <c r="B24" s="35" t="s">
        <v>285</v>
      </c>
      <c r="D24" s="35" t="s">
        <v>285</v>
      </c>
      <c r="F24" s="35" t="s">
        <v>285</v>
      </c>
      <c r="J24" s="35" t="s">
        <v>285</v>
      </c>
    </row>
    <row r="29" spans="1:10" x14ac:dyDescent="0.25">
      <c r="A29" t="s">
        <v>278</v>
      </c>
      <c r="B29" s="35" t="s">
        <v>246</v>
      </c>
      <c r="C29" s="35" t="s">
        <v>279</v>
      </c>
      <c r="D29" s="35" t="s">
        <v>281</v>
      </c>
      <c r="E29" s="35" t="s">
        <v>287</v>
      </c>
      <c r="F29" s="35" t="s">
        <v>288</v>
      </c>
    </row>
    <row r="30" spans="1:10" x14ac:dyDescent="0.25">
      <c r="A30" t="s">
        <v>293</v>
      </c>
      <c r="B30" s="35" t="s">
        <v>282</v>
      </c>
      <c r="C30" s="35" t="s">
        <v>282</v>
      </c>
      <c r="D30" s="35" t="s">
        <v>282</v>
      </c>
      <c r="E30" s="35" t="s">
        <v>289</v>
      </c>
      <c r="F30" s="35" t="s">
        <v>289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1123EF72DA63D44FA2A28E00AC11E8EE" ma:contentTypeVersion="18" ma:contentTypeDescription="Opprett et nytt dokument." ma:contentTypeScope="" ma:versionID="0e7978918f7ba2b56dd79afad014a1ed">
  <xsd:schema xmlns:xsd="http://www.w3.org/2001/XMLSchema" xmlns:xs="http://www.w3.org/2001/XMLSchema" xmlns:p="http://schemas.microsoft.com/office/2006/metadata/properties" xmlns:ns2="9b6e2739-bd71-49a7-afc4-e179dfe94dc1" xmlns:ns3="2b30070a-7262-4d8b-a938-b3248c635664" targetNamespace="http://schemas.microsoft.com/office/2006/metadata/properties" ma:root="true" ma:fieldsID="c48e0c1802030b8740a8f4de73b33bbb" ns2:_="" ns3:_="">
    <xsd:import namespace="9b6e2739-bd71-49a7-afc4-e179dfe94dc1"/>
    <xsd:import namespace="2b30070a-7262-4d8b-a938-b3248c635664"/>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Location" minOccurs="0"/>
                <xsd:element ref="ns2:MediaServiceAutoKeyPoints" minOccurs="0"/>
                <xsd:element ref="ns2:MediaServiceKeyPoints"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6e2739-bd71-49a7-afc4-e179dfe94dc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Bildemerkelapper" ma:readOnly="false" ma:fieldId="{5cf76f15-5ced-4ddc-b409-7134ff3c332f}" ma:taxonomyMulti="true" ma:sspId="cfc72ce7-c435-4f97-944d-94ae49e3dcf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b30070a-7262-4d8b-a938-b3248c635664" elementFormDefault="qualified">
    <xsd:import namespace="http://schemas.microsoft.com/office/2006/documentManagement/types"/>
    <xsd:import namespace="http://schemas.microsoft.com/office/infopath/2007/PartnerControls"/>
    <xsd:element name="SharedWithUsers" ma:index="19" nillable="true" ma:displayName="Del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Delingsdetaljer" ma:internalName="SharedWithDetails" ma:readOnly="true">
      <xsd:simpleType>
        <xsd:restriction base="dms:Note">
          <xsd:maxLength value="255"/>
        </xsd:restriction>
      </xsd:simpleType>
    </xsd:element>
    <xsd:element name="TaxCatchAll" ma:index="23" nillable="true" ma:displayName="Taxonomy Catch All Column" ma:hidden="true" ma:list="{5266e5a3-2fe4-433c-87fb-0dc58561f75a}" ma:internalName="TaxCatchAll" ma:showField="CatchAllData" ma:web="2b30070a-7262-4d8b-a938-b3248c6356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holdstype"/>
        <xsd:element ref="dc:title" minOccurs="0" maxOccurs="1" ma:index="4" ma:displayName="Tit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b6e2739-bd71-49a7-afc4-e179dfe94dc1">
      <Terms xmlns="http://schemas.microsoft.com/office/infopath/2007/PartnerControls"/>
    </lcf76f155ced4ddcb4097134ff3c332f>
    <TaxCatchAll xmlns="2b30070a-7262-4d8b-a938-b3248c635664" xsi:nil="true"/>
  </documentManagement>
</p:properties>
</file>

<file path=customXml/itemProps1.xml><?xml version="1.0" encoding="utf-8"?>
<ds:datastoreItem xmlns:ds="http://schemas.openxmlformats.org/officeDocument/2006/customXml" ds:itemID="{A477E57D-ABDD-4DAE-B3A5-315ED7FE90BD}">
  <ds:schemaRefs>
    <ds:schemaRef ds:uri="http://schemas.microsoft.com/sharepoint/v3/contenttype/forms"/>
  </ds:schemaRefs>
</ds:datastoreItem>
</file>

<file path=customXml/itemProps2.xml><?xml version="1.0" encoding="utf-8"?>
<ds:datastoreItem xmlns:ds="http://schemas.openxmlformats.org/officeDocument/2006/customXml" ds:itemID="{B5583956-6198-441D-88CE-2DAC6C9CB2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6e2739-bd71-49a7-afc4-e179dfe94dc1"/>
    <ds:schemaRef ds:uri="2b30070a-7262-4d8b-a938-b3248c63566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A692FD7-DCDA-4048-8BCD-FC2D85C5421C}">
  <ds:schemaRefs>
    <ds:schemaRef ds:uri="http://schemas.microsoft.com/office/2006/metadata/properties"/>
    <ds:schemaRef ds:uri="http://schemas.microsoft.com/office/infopath/2007/PartnerControls"/>
    <ds:schemaRef ds:uri="9b6e2739-bd71-49a7-afc4-e179dfe94dc1"/>
    <ds:schemaRef ds:uri="2b30070a-7262-4d8b-a938-b3248c63566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Curr</vt:lpstr>
      <vt:lpstr>Overview</vt:lpstr>
      <vt:lpstr>Mal</vt:lpstr>
      <vt:lpstr>2001</vt:lpstr>
      <vt:lpstr>2002</vt:lpstr>
      <vt:lpstr>2003</vt:lpstr>
      <vt:lpstr>2004</vt:lpstr>
      <vt:lpstr>2005</vt:lpstr>
      <vt:lpstr>2006</vt:lpstr>
      <vt:lpstr>2010</vt:lpstr>
      <vt:lpstr>2011</vt:lpstr>
      <vt:lpstr>2012</vt:lpstr>
      <vt:lpstr>Ideas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Christer Andre Olsen</dc:creator>
  <cp:lastModifiedBy>Dennis Kålen</cp:lastModifiedBy>
  <dcterms:created xsi:type="dcterms:W3CDTF">2023-07-31T16:02:03Z</dcterms:created>
  <dcterms:modified xsi:type="dcterms:W3CDTF">2026-03-24T16:15:44Z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0x0101001123EF72DA63D44FA2A28E00AC11E8EE</vt:lpwstr>
  </property>
  <property fmtid="{D5CDD505-2E9C-101B-9397-08002B2CF9AE}" pid="3" name="MediaServiceImageTags">
    <vt:lpwstr/>
  </property>
</Properties>
</file>