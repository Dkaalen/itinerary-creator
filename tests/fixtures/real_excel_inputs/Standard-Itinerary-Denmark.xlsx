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Kålen\Desktop\Standard Itineraries\Denmark\"/>
    </mc:Choice>
  </mc:AlternateContent>
  <xr:revisionPtr revIDLastSave="0" documentId="13_ncr:1_{11FBFF5D-F7FA-4BA4-BAF7-B21B3F5B2FAD}" xr6:coauthVersionLast="47" xr6:coauthVersionMax="47" xr10:uidLastSave="{00000000-0000-0000-0000-000000000000}"/>
  <bookViews>
    <workbookView xWindow="7320" yWindow="0" windowWidth="21600" windowHeight="11295" activeTab="4" xr2:uid="{F0120B8F-C750-4EFC-83CE-D7DAB56C8915}"/>
  </bookViews>
  <sheets>
    <sheet name="Curr" sheetId="5" r:id="rId1"/>
    <sheet name="Mal" sheetId="6" r:id="rId2"/>
    <sheet name="501" sheetId="7" r:id="rId3"/>
    <sheet name="502" sheetId="9" r:id="rId4"/>
    <sheet name="503" sheetId="10" r:id="rId5"/>
    <sheet name="504" sheetId="11" r:id="rId6"/>
    <sheet name="505" sheetId="12" r:id="rId7"/>
    <sheet name="506" sheetId="13" r:id="rId8"/>
  </sheets>
  <definedNames>
    <definedName name="_xlnm._FilterDatabase" localSheetId="2" hidden="1">'501'!$B$6:$AE$43</definedName>
    <definedName name="_xlnm._FilterDatabase" localSheetId="3" hidden="1">'502'!$B$6:$AE$28</definedName>
    <definedName name="_xlnm._FilterDatabase" localSheetId="4" hidden="1">'503'!$B$6:$AE$43</definedName>
    <definedName name="_xlnm._FilterDatabase" localSheetId="5" hidden="1">'504'!$B$6:$AE$47</definedName>
    <definedName name="_xlnm._FilterDatabase" localSheetId="6" hidden="1">'505'!$B$6:$AE$67</definedName>
    <definedName name="_xlnm._FilterDatabase" localSheetId="7" hidden="1">'506'!$B$6:$AE$67</definedName>
    <definedName name="_xlnm._FilterDatabase" localSheetId="1" hidden="1">Mal!$B$6:$AE$67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9" l="1"/>
  <c r="Y10" i="7"/>
  <c r="Y30" i="7"/>
  <c r="Z72" i="13"/>
  <c r="Z75" i="13" s="1"/>
  <c r="Z70" i="13"/>
  <c r="AJ67" i="13"/>
  <c r="AI67" i="13"/>
  <c r="AH67" i="13"/>
  <c r="AG67" i="13"/>
  <c r="AF67" i="13"/>
  <c r="AD65" i="13"/>
  <c r="AE65" i="13" s="1"/>
  <c r="AB65" i="13"/>
  <c r="Y65" i="13"/>
  <c r="AC65" i="13" s="1"/>
  <c r="W65" i="13"/>
  <c r="S65" i="13"/>
  <c r="U65" i="13" s="1"/>
  <c r="X65" i="13" s="1"/>
  <c r="AB64" i="13"/>
  <c r="Z64" i="13"/>
  <c r="Y64" i="13"/>
  <c r="AC64" i="13" s="1"/>
  <c r="W64" i="13"/>
  <c r="S64" i="13"/>
  <c r="U64" i="13" s="1"/>
  <c r="AB63" i="13"/>
  <c r="Y63" i="13"/>
  <c r="W63" i="13"/>
  <c r="S63" i="13"/>
  <c r="U63" i="13" s="1"/>
  <c r="X63" i="13" s="1"/>
  <c r="AB62" i="13"/>
  <c r="AC62" i="13" s="1"/>
  <c r="Y62" i="13"/>
  <c r="Z62" i="13" s="1"/>
  <c r="W62" i="13"/>
  <c r="U62" i="13"/>
  <c r="X62" i="13" s="1"/>
  <c r="S62" i="13"/>
  <c r="AB61" i="13"/>
  <c r="Y61" i="13"/>
  <c r="AC61" i="13" s="1"/>
  <c r="AD61" i="13" s="1"/>
  <c r="AE61" i="13" s="1"/>
  <c r="W61" i="13"/>
  <c r="S61" i="13"/>
  <c r="U61" i="13" s="1"/>
  <c r="X61" i="13" s="1"/>
  <c r="AB60" i="13"/>
  <c r="Z60" i="13"/>
  <c r="Y60" i="13"/>
  <c r="AC60" i="13" s="1"/>
  <c r="AD60" i="13" s="1"/>
  <c r="AE60" i="13" s="1"/>
  <c r="W60" i="13"/>
  <c r="S60" i="13"/>
  <c r="U60" i="13" s="1"/>
  <c r="X60" i="13" s="1"/>
  <c r="AB59" i="13"/>
  <c r="Y59" i="13"/>
  <c r="W59" i="13"/>
  <c r="S59" i="13"/>
  <c r="U59" i="13" s="1"/>
  <c r="X59" i="13" s="1"/>
  <c r="AB58" i="13"/>
  <c r="AC58" i="13" s="1"/>
  <c r="AD58" i="13" s="1"/>
  <c r="AE58" i="13" s="1"/>
  <c r="Y58" i="13"/>
  <c r="Z58" i="13" s="1"/>
  <c r="W58" i="13"/>
  <c r="U58" i="13"/>
  <c r="X58" i="13" s="1"/>
  <c r="S58" i="13"/>
  <c r="AB57" i="13"/>
  <c r="Y57" i="13"/>
  <c r="AC57" i="13" s="1"/>
  <c r="AD57" i="13" s="1"/>
  <c r="AE57" i="13" s="1"/>
  <c r="W57" i="13"/>
  <c r="S57" i="13"/>
  <c r="U57" i="13" s="1"/>
  <c r="X57" i="13" s="1"/>
  <c r="AB56" i="13"/>
  <c r="Z56" i="13"/>
  <c r="Y56" i="13"/>
  <c r="AC56" i="13" s="1"/>
  <c r="W56" i="13"/>
  <c r="S56" i="13"/>
  <c r="U56" i="13" s="1"/>
  <c r="X56" i="13" s="1"/>
  <c r="AB55" i="13"/>
  <c r="Y55" i="13"/>
  <c r="W55" i="13"/>
  <c r="S55" i="13"/>
  <c r="U55" i="13" s="1"/>
  <c r="X55" i="13" s="1"/>
  <c r="AB54" i="13"/>
  <c r="AC54" i="13" s="1"/>
  <c r="Y54" i="13"/>
  <c r="Z54" i="13" s="1"/>
  <c r="W54" i="13"/>
  <c r="U54" i="13"/>
  <c r="X54" i="13" s="1"/>
  <c r="S54" i="13"/>
  <c r="AD53" i="13"/>
  <c r="AE53" i="13" s="1"/>
  <c r="AB53" i="13"/>
  <c r="Y53" i="13"/>
  <c r="AC53" i="13" s="1"/>
  <c r="W53" i="13"/>
  <c r="S53" i="13"/>
  <c r="U53" i="13" s="1"/>
  <c r="X53" i="13" s="1"/>
  <c r="AB52" i="13"/>
  <c r="Z52" i="13"/>
  <c r="Y52" i="13"/>
  <c r="AC52" i="13" s="1"/>
  <c r="W52" i="13"/>
  <c r="S52" i="13"/>
  <c r="U52" i="13" s="1"/>
  <c r="AB51" i="13"/>
  <c r="Y51" i="13"/>
  <c r="W51" i="13"/>
  <c r="S51" i="13"/>
  <c r="U51" i="13" s="1"/>
  <c r="X51" i="13" s="1"/>
  <c r="AB50" i="13"/>
  <c r="AC50" i="13" s="1"/>
  <c r="AD50" i="13" s="1"/>
  <c r="AE50" i="13" s="1"/>
  <c r="Y50" i="13"/>
  <c r="Z50" i="13" s="1"/>
  <c r="W50" i="13"/>
  <c r="U50" i="13"/>
  <c r="X50" i="13" s="1"/>
  <c r="S50" i="13"/>
  <c r="AB49" i="13"/>
  <c r="Y49" i="13"/>
  <c r="AC49" i="13" s="1"/>
  <c r="W49" i="13"/>
  <c r="S49" i="13"/>
  <c r="U49" i="13" s="1"/>
  <c r="X49" i="13" s="1"/>
  <c r="AD49" i="13" s="1"/>
  <c r="AE49" i="13" s="1"/>
  <c r="AB48" i="13"/>
  <c r="Z48" i="13"/>
  <c r="Y48" i="13"/>
  <c r="AC48" i="13" s="1"/>
  <c r="W48" i="13"/>
  <c r="S48" i="13"/>
  <c r="U48" i="13" s="1"/>
  <c r="AB47" i="13"/>
  <c r="Y47" i="13"/>
  <c r="W47" i="13"/>
  <c r="S47" i="13"/>
  <c r="U47" i="13" s="1"/>
  <c r="X47" i="13" s="1"/>
  <c r="AB46" i="13"/>
  <c r="AC46" i="13" s="1"/>
  <c r="AD46" i="13" s="1"/>
  <c r="AE46" i="13" s="1"/>
  <c r="Y46" i="13"/>
  <c r="Z46" i="13" s="1"/>
  <c r="W46" i="13"/>
  <c r="U46" i="13"/>
  <c r="X46" i="13" s="1"/>
  <c r="S46" i="13"/>
  <c r="AD45" i="13"/>
  <c r="AE45" i="13" s="1"/>
  <c r="AB45" i="13"/>
  <c r="Y45" i="13"/>
  <c r="AC45" i="13" s="1"/>
  <c r="W45" i="13"/>
  <c r="S45" i="13"/>
  <c r="U45" i="13" s="1"/>
  <c r="X45" i="13" s="1"/>
  <c r="AB44" i="13"/>
  <c r="Z44" i="13"/>
  <c r="Y44" i="13"/>
  <c r="AC44" i="13" s="1"/>
  <c r="W44" i="13"/>
  <c r="S44" i="13"/>
  <c r="U44" i="13" s="1"/>
  <c r="X44" i="13" s="1"/>
  <c r="AB43" i="13"/>
  <c r="Y43" i="13"/>
  <c r="W43" i="13"/>
  <c r="S43" i="13"/>
  <c r="U43" i="13" s="1"/>
  <c r="X43" i="13" s="1"/>
  <c r="AB42" i="13"/>
  <c r="AC42" i="13" s="1"/>
  <c r="Y42" i="13"/>
  <c r="Z42" i="13" s="1"/>
  <c r="W42" i="13"/>
  <c r="U42" i="13"/>
  <c r="X42" i="13" s="1"/>
  <c r="S42" i="13"/>
  <c r="AD41" i="13"/>
  <c r="AE41" i="13" s="1"/>
  <c r="AB41" i="13"/>
  <c r="Y41" i="13"/>
  <c r="AC41" i="13" s="1"/>
  <c r="W41" i="13"/>
  <c r="S41" i="13"/>
  <c r="U41" i="13" s="1"/>
  <c r="X41" i="13" s="1"/>
  <c r="AB40" i="13"/>
  <c r="Z40" i="13"/>
  <c r="Y40" i="13"/>
  <c r="AC40" i="13" s="1"/>
  <c r="W40" i="13"/>
  <c r="S40" i="13"/>
  <c r="U40" i="13" s="1"/>
  <c r="AB39" i="13"/>
  <c r="Y39" i="13"/>
  <c r="W39" i="13"/>
  <c r="S39" i="13"/>
  <c r="U39" i="13" s="1"/>
  <c r="X39" i="13" s="1"/>
  <c r="AB38" i="13"/>
  <c r="AC38" i="13" s="1"/>
  <c r="AD38" i="13" s="1"/>
  <c r="AE38" i="13" s="1"/>
  <c r="Y38" i="13"/>
  <c r="Z38" i="13" s="1"/>
  <c r="W38" i="13"/>
  <c r="U38" i="13"/>
  <c r="X38" i="13" s="1"/>
  <c r="S38" i="13"/>
  <c r="AB37" i="13"/>
  <c r="Y37" i="13"/>
  <c r="AC37" i="13" s="1"/>
  <c r="AD37" i="13" s="1"/>
  <c r="AE37" i="13" s="1"/>
  <c r="W37" i="13"/>
  <c r="S37" i="13"/>
  <c r="U37" i="13" s="1"/>
  <c r="X37" i="13" s="1"/>
  <c r="AB36" i="13"/>
  <c r="Z36" i="13"/>
  <c r="Y36" i="13"/>
  <c r="AC36" i="13" s="1"/>
  <c r="W36" i="13"/>
  <c r="S36" i="13"/>
  <c r="U36" i="13" s="1"/>
  <c r="AB35" i="13"/>
  <c r="Y35" i="13"/>
  <c r="W35" i="13"/>
  <c r="S35" i="13"/>
  <c r="U35" i="13" s="1"/>
  <c r="X35" i="13" s="1"/>
  <c r="AB34" i="13"/>
  <c r="AC34" i="13" s="1"/>
  <c r="Y34" i="13"/>
  <c r="Z34" i="13" s="1"/>
  <c r="W34" i="13"/>
  <c r="U34" i="13"/>
  <c r="X34" i="13" s="1"/>
  <c r="S34" i="13"/>
  <c r="AD33" i="13"/>
  <c r="AE33" i="13" s="1"/>
  <c r="AB33" i="13"/>
  <c r="Y33" i="13"/>
  <c r="AC33" i="13" s="1"/>
  <c r="W33" i="13"/>
  <c r="S33" i="13"/>
  <c r="U33" i="13" s="1"/>
  <c r="X33" i="13" s="1"/>
  <c r="AB32" i="13"/>
  <c r="Z32" i="13"/>
  <c r="Y32" i="13"/>
  <c r="AC32" i="13" s="1"/>
  <c r="W32" i="13"/>
  <c r="S32" i="13"/>
  <c r="U32" i="13" s="1"/>
  <c r="AB31" i="13"/>
  <c r="Y31" i="13"/>
  <c r="W31" i="13"/>
  <c r="S31" i="13"/>
  <c r="U31" i="13" s="1"/>
  <c r="X31" i="13" s="1"/>
  <c r="AB30" i="13"/>
  <c r="AC30" i="13" s="1"/>
  <c r="Y30" i="13"/>
  <c r="Z30" i="13" s="1"/>
  <c r="W30" i="13"/>
  <c r="U30" i="13"/>
  <c r="X30" i="13" s="1"/>
  <c r="S30" i="13"/>
  <c r="AB29" i="13"/>
  <c r="Y29" i="13"/>
  <c r="AC29" i="13" s="1"/>
  <c r="AD29" i="13" s="1"/>
  <c r="AE29" i="13" s="1"/>
  <c r="W29" i="13"/>
  <c r="S29" i="13"/>
  <c r="U29" i="13" s="1"/>
  <c r="X29" i="13" s="1"/>
  <c r="AB28" i="13"/>
  <c r="Z28" i="13"/>
  <c r="Y28" i="13"/>
  <c r="AC28" i="13" s="1"/>
  <c r="AD28" i="13" s="1"/>
  <c r="AE28" i="13" s="1"/>
  <c r="W28" i="13"/>
  <c r="S28" i="13"/>
  <c r="U28" i="13" s="1"/>
  <c r="X28" i="13" s="1"/>
  <c r="AB27" i="13"/>
  <c r="Y27" i="13"/>
  <c r="W27" i="13"/>
  <c r="S27" i="13"/>
  <c r="U27" i="13" s="1"/>
  <c r="X27" i="13" s="1"/>
  <c r="AB26" i="13"/>
  <c r="AC26" i="13" s="1"/>
  <c r="AD26" i="13" s="1"/>
  <c r="AE26" i="13" s="1"/>
  <c r="Y26" i="13"/>
  <c r="Z26" i="13" s="1"/>
  <c r="W26" i="13"/>
  <c r="U26" i="13"/>
  <c r="X26" i="13" s="1"/>
  <c r="S26" i="13"/>
  <c r="AB25" i="13"/>
  <c r="Y25" i="13"/>
  <c r="AC25" i="13" s="1"/>
  <c r="AD25" i="13" s="1"/>
  <c r="AE25" i="13" s="1"/>
  <c r="W25" i="13"/>
  <c r="S25" i="13"/>
  <c r="U25" i="13" s="1"/>
  <c r="X25" i="13" s="1"/>
  <c r="AB24" i="13"/>
  <c r="Z24" i="13"/>
  <c r="Y24" i="13"/>
  <c r="AC24" i="13" s="1"/>
  <c r="W24" i="13"/>
  <c r="S24" i="13"/>
  <c r="U24" i="13" s="1"/>
  <c r="X24" i="13" s="1"/>
  <c r="AB23" i="13"/>
  <c r="Y23" i="13"/>
  <c r="W23" i="13"/>
  <c r="S23" i="13"/>
  <c r="U23" i="13" s="1"/>
  <c r="X23" i="13" s="1"/>
  <c r="AB22" i="13"/>
  <c r="AC22" i="13" s="1"/>
  <c r="Y22" i="13"/>
  <c r="Z22" i="13" s="1"/>
  <c r="W22" i="13"/>
  <c r="U22" i="13"/>
  <c r="X22" i="13" s="1"/>
  <c r="S22" i="13"/>
  <c r="AD21" i="13"/>
  <c r="AE21" i="13" s="1"/>
  <c r="AB21" i="13"/>
  <c r="Y21" i="13"/>
  <c r="AC21" i="13" s="1"/>
  <c r="W21" i="13"/>
  <c r="S21" i="13"/>
  <c r="U21" i="13" s="1"/>
  <c r="X21" i="13" s="1"/>
  <c r="AB20" i="13"/>
  <c r="Z20" i="13"/>
  <c r="Y20" i="13"/>
  <c r="AC20" i="13" s="1"/>
  <c r="W20" i="13"/>
  <c r="S20" i="13"/>
  <c r="U20" i="13" s="1"/>
  <c r="AB19" i="13"/>
  <c r="Y19" i="13"/>
  <c r="W19" i="13"/>
  <c r="S19" i="13"/>
  <c r="U19" i="13" s="1"/>
  <c r="X19" i="13" s="1"/>
  <c r="AB18" i="13"/>
  <c r="AC18" i="13" s="1"/>
  <c r="AD18" i="13" s="1"/>
  <c r="AE18" i="13" s="1"/>
  <c r="Y18" i="13"/>
  <c r="Z18" i="13" s="1"/>
  <c r="W18" i="13"/>
  <c r="U18" i="13"/>
  <c r="X18" i="13" s="1"/>
  <c r="S18" i="13"/>
  <c r="AB17" i="13"/>
  <c r="Y17" i="13"/>
  <c r="AC17" i="13" s="1"/>
  <c r="W17" i="13"/>
  <c r="S17" i="13"/>
  <c r="U17" i="13" s="1"/>
  <c r="X17" i="13" s="1"/>
  <c r="AD17" i="13" s="1"/>
  <c r="AE17" i="13" s="1"/>
  <c r="AB16" i="13"/>
  <c r="Z16" i="13"/>
  <c r="Y16" i="13"/>
  <c r="AC16" i="13" s="1"/>
  <c r="W16" i="13"/>
  <c r="S16" i="13"/>
  <c r="U16" i="13" s="1"/>
  <c r="AB15" i="13"/>
  <c r="Y15" i="13"/>
  <c r="W15" i="13"/>
  <c r="S15" i="13"/>
  <c r="U15" i="13" s="1"/>
  <c r="X15" i="13" s="1"/>
  <c r="AB14" i="13"/>
  <c r="AC14" i="13" s="1"/>
  <c r="AD14" i="13" s="1"/>
  <c r="AE14" i="13" s="1"/>
  <c r="Y14" i="13"/>
  <c r="Z14" i="13" s="1"/>
  <c r="W14" i="13"/>
  <c r="U14" i="13"/>
  <c r="X14" i="13" s="1"/>
  <c r="S14" i="13"/>
  <c r="AD13" i="13"/>
  <c r="AE13" i="13" s="1"/>
  <c r="AB13" i="13"/>
  <c r="Y13" i="13"/>
  <c r="AC13" i="13" s="1"/>
  <c r="W13" i="13"/>
  <c r="S13" i="13"/>
  <c r="U13" i="13" s="1"/>
  <c r="X13" i="13" s="1"/>
  <c r="AB12" i="13"/>
  <c r="Z12" i="13"/>
  <c r="Y12" i="13"/>
  <c r="AC12" i="13" s="1"/>
  <c r="W12" i="13"/>
  <c r="S12" i="13"/>
  <c r="U12" i="13" s="1"/>
  <c r="X12" i="13" s="1"/>
  <c r="AB11" i="13"/>
  <c r="Y11" i="13"/>
  <c r="W11" i="13"/>
  <c r="S11" i="13"/>
  <c r="U11" i="13" s="1"/>
  <c r="X11" i="13" s="1"/>
  <c r="AB10" i="13"/>
  <c r="AC10" i="13" s="1"/>
  <c r="Y10" i="13"/>
  <c r="Z10" i="13" s="1"/>
  <c r="W10" i="13"/>
  <c r="U10" i="13"/>
  <c r="X10" i="13" s="1"/>
  <c r="S10" i="13"/>
  <c r="AB9" i="13"/>
  <c r="Y9" i="13"/>
  <c r="AC9" i="13" s="1"/>
  <c r="W9" i="13"/>
  <c r="S9" i="13"/>
  <c r="U9" i="13" s="1"/>
  <c r="X9" i="13" s="1"/>
  <c r="AB8" i="13"/>
  <c r="Z8" i="13"/>
  <c r="Y8" i="13"/>
  <c r="AC8" i="13" s="1"/>
  <c r="X8" i="13"/>
  <c r="W8" i="13"/>
  <c r="S8" i="13"/>
  <c r="U8" i="13" s="1"/>
  <c r="AB7" i="13"/>
  <c r="Z7" i="13"/>
  <c r="Y7" i="13"/>
  <c r="AC7" i="13" s="1"/>
  <c r="W7" i="13"/>
  <c r="S7" i="13"/>
  <c r="U7" i="13" s="1"/>
  <c r="X7" i="13" s="1"/>
  <c r="Z74" i="12"/>
  <c r="Z72" i="12"/>
  <c r="Z75" i="12" s="1"/>
  <c r="Z70" i="12"/>
  <c r="AJ67" i="12"/>
  <c r="AI67" i="12"/>
  <c r="AH67" i="12"/>
  <c r="AG67" i="12"/>
  <c r="AF67" i="12"/>
  <c r="AB65" i="12"/>
  <c r="AC65" i="12" s="1"/>
  <c r="Y65" i="12"/>
  <c r="Z65" i="12" s="1"/>
  <c r="W65" i="12"/>
  <c r="U65" i="12"/>
  <c r="X65" i="12" s="1"/>
  <c r="S65" i="12"/>
  <c r="AB64" i="12"/>
  <c r="Z64" i="12"/>
  <c r="Y64" i="12"/>
  <c r="AC64" i="12" s="1"/>
  <c r="W64" i="12"/>
  <c r="S64" i="12"/>
  <c r="U64" i="12" s="1"/>
  <c r="X64" i="12" s="1"/>
  <c r="AB63" i="12"/>
  <c r="Y63" i="12"/>
  <c r="W63" i="12"/>
  <c r="S63" i="12"/>
  <c r="U63" i="12" s="1"/>
  <c r="X63" i="12" s="1"/>
  <c r="AB62" i="12"/>
  <c r="AC62" i="12" s="1"/>
  <c r="AD62" i="12" s="1"/>
  <c r="AE62" i="12" s="1"/>
  <c r="Y62" i="12"/>
  <c r="Z62" i="12" s="1"/>
  <c r="W62" i="12"/>
  <c r="U62" i="12"/>
  <c r="X62" i="12" s="1"/>
  <c r="S62" i="12"/>
  <c r="AD61" i="12"/>
  <c r="AE61" i="12" s="1"/>
  <c r="AB61" i="12"/>
  <c r="Y61" i="12"/>
  <c r="AC61" i="12" s="1"/>
  <c r="W61" i="12"/>
  <c r="S61" i="12"/>
  <c r="U61" i="12" s="1"/>
  <c r="X61" i="12" s="1"/>
  <c r="AB60" i="12"/>
  <c r="Z60" i="12"/>
  <c r="Y60" i="12"/>
  <c r="AC60" i="12" s="1"/>
  <c r="W60" i="12"/>
  <c r="S60" i="12"/>
  <c r="U60" i="12" s="1"/>
  <c r="AB59" i="12"/>
  <c r="Y59" i="12"/>
  <c r="W59" i="12"/>
  <c r="S59" i="12"/>
  <c r="U59" i="12" s="1"/>
  <c r="X59" i="12" s="1"/>
  <c r="AB58" i="12"/>
  <c r="AC58" i="12" s="1"/>
  <c r="AD58" i="12" s="1"/>
  <c r="AE58" i="12" s="1"/>
  <c r="Y58" i="12"/>
  <c r="Z58" i="12" s="1"/>
  <c r="W58" i="12"/>
  <c r="U58" i="12"/>
  <c r="X58" i="12" s="1"/>
  <c r="S58" i="12"/>
  <c r="AD57" i="12"/>
  <c r="AE57" i="12" s="1"/>
  <c r="AB57" i="12"/>
  <c r="Y57" i="12"/>
  <c r="AC57" i="12" s="1"/>
  <c r="W57" i="12"/>
  <c r="S57" i="12"/>
  <c r="U57" i="12" s="1"/>
  <c r="X57" i="12" s="1"/>
  <c r="AB56" i="12"/>
  <c r="Z56" i="12"/>
  <c r="Y56" i="12"/>
  <c r="AC56" i="12" s="1"/>
  <c r="W56" i="12"/>
  <c r="S56" i="12"/>
  <c r="U56" i="12" s="1"/>
  <c r="AB55" i="12"/>
  <c r="Y55" i="12"/>
  <c r="W55" i="12"/>
  <c r="S55" i="12"/>
  <c r="U55" i="12" s="1"/>
  <c r="X55" i="12" s="1"/>
  <c r="AB54" i="12"/>
  <c r="AC54" i="12" s="1"/>
  <c r="AD54" i="12" s="1"/>
  <c r="AE54" i="12" s="1"/>
  <c r="Y54" i="12"/>
  <c r="Z54" i="12" s="1"/>
  <c r="W54" i="12"/>
  <c r="U54" i="12"/>
  <c r="X54" i="12" s="1"/>
  <c r="S54" i="12"/>
  <c r="AD53" i="12"/>
  <c r="AE53" i="12" s="1"/>
  <c r="AB53" i="12"/>
  <c r="Y53" i="12"/>
  <c r="AC53" i="12" s="1"/>
  <c r="W53" i="12"/>
  <c r="S53" i="12"/>
  <c r="U53" i="12" s="1"/>
  <c r="X53" i="12" s="1"/>
  <c r="AB52" i="12"/>
  <c r="Z52" i="12"/>
  <c r="Y52" i="12"/>
  <c r="AC52" i="12" s="1"/>
  <c r="W52" i="12"/>
  <c r="S52" i="12"/>
  <c r="U52" i="12" s="1"/>
  <c r="AB51" i="12"/>
  <c r="Y51" i="12"/>
  <c r="W51" i="12"/>
  <c r="S51" i="12"/>
  <c r="U51" i="12" s="1"/>
  <c r="X51" i="12" s="1"/>
  <c r="AB50" i="12"/>
  <c r="AC50" i="12" s="1"/>
  <c r="Y50" i="12"/>
  <c r="Z50" i="12" s="1"/>
  <c r="W50" i="12"/>
  <c r="U50" i="12"/>
  <c r="X50" i="12" s="1"/>
  <c r="S50" i="12"/>
  <c r="AB49" i="12"/>
  <c r="Y49" i="12"/>
  <c r="AC49" i="12" s="1"/>
  <c r="AD49" i="12" s="1"/>
  <c r="AE49" i="12" s="1"/>
  <c r="W49" i="12"/>
  <c r="S49" i="12"/>
  <c r="U49" i="12" s="1"/>
  <c r="X49" i="12" s="1"/>
  <c r="AB48" i="12"/>
  <c r="Z48" i="12"/>
  <c r="Y48" i="12"/>
  <c r="AC48" i="12" s="1"/>
  <c r="AD48" i="12" s="1"/>
  <c r="AE48" i="12" s="1"/>
  <c r="W48" i="12"/>
  <c r="S48" i="12"/>
  <c r="U48" i="12" s="1"/>
  <c r="X48" i="12" s="1"/>
  <c r="AB47" i="12"/>
  <c r="Y47" i="12"/>
  <c r="W47" i="12"/>
  <c r="S47" i="12"/>
  <c r="U47" i="12" s="1"/>
  <c r="X47" i="12" s="1"/>
  <c r="AB46" i="12"/>
  <c r="AC46" i="12" s="1"/>
  <c r="Y46" i="12"/>
  <c r="Z46" i="12" s="1"/>
  <c r="W46" i="12"/>
  <c r="U46" i="12"/>
  <c r="X46" i="12" s="1"/>
  <c r="S46" i="12"/>
  <c r="AB45" i="12"/>
  <c r="Y45" i="12"/>
  <c r="AC45" i="12" s="1"/>
  <c r="AD45" i="12" s="1"/>
  <c r="AE45" i="12" s="1"/>
  <c r="W45" i="12"/>
  <c r="S45" i="12"/>
  <c r="U45" i="12" s="1"/>
  <c r="X45" i="12" s="1"/>
  <c r="AB44" i="12"/>
  <c r="Z44" i="12"/>
  <c r="Y44" i="12"/>
  <c r="AC44" i="12" s="1"/>
  <c r="AD44" i="12" s="1"/>
  <c r="AE44" i="12" s="1"/>
  <c r="W44" i="12"/>
  <c r="S44" i="12"/>
  <c r="U44" i="12" s="1"/>
  <c r="X44" i="12" s="1"/>
  <c r="AB43" i="12"/>
  <c r="Y43" i="12"/>
  <c r="W43" i="12"/>
  <c r="S43" i="12"/>
  <c r="U43" i="12" s="1"/>
  <c r="X43" i="12" s="1"/>
  <c r="AB42" i="12"/>
  <c r="AC42" i="12" s="1"/>
  <c r="AD42" i="12" s="1"/>
  <c r="AE42" i="12" s="1"/>
  <c r="Y42" i="12"/>
  <c r="Z42" i="12" s="1"/>
  <c r="W42" i="12"/>
  <c r="U42" i="12"/>
  <c r="X42" i="12" s="1"/>
  <c r="S42" i="12"/>
  <c r="AB41" i="12"/>
  <c r="Y41" i="12"/>
  <c r="AC41" i="12" s="1"/>
  <c r="W41" i="12"/>
  <c r="S41" i="12"/>
  <c r="U41" i="12" s="1"/>
  <c r="X41" i="12" s="1"/>
  <c r="AD41" i="12" s="1"/>
  <c r="AE41" i="12" s="1"/>
  <c r="AB40" i="12"/>
  <c r="Z40" i="12"/>
  <c r="Y40" i="12"/>
  <c r="AC40" i="12" s="1"/>
  <c r="AD40" i="12" s="1"/>
  <c r="AE40" i="12" s="1"/>
  <c r="W40" i="12"/>
  <c r="S40" i="12"/>
  <c r="U40" i="12" s="1"/>
  <c r="X40" i="12" s="1"/>
  <c r="AB39" i="12"/>
  <c r="Y39" i="12"/>
  <c r="W39" i="12"/>
  <c r="S39" i="12"/>
  <c r="U39" i="12" s="1"/>
  <c r="X39" i="12" s="1"/>
  <c r="AB38" i="12"/>
  <c r="AC38" i="12" s="1"/>
  <c r="Y38" i="12"/>
  <c r="Z38" i="12" s="1"/>
  <c r="W38" i="12"/>
  <c r="U38" i="12"/>
  <c r="X38" i="12" s="1"/>
  <c r="S38" i="12"/>
  <c r="AB37" i="12"/>
  <c r="Y37" i="12"/>
  <c r="AC37" i="12" s="1"/>
  <c r="W37" i="12"/>
  <c r="S37" i="12"/>
  <c r="U37" i="12" s="1"/>
  <c r="X37" i="12" s="1"/>
  <c r="AD37" i="12" s="1"/>
  <c r="AE37" i="12" s="1"/>
  <c r="AB36" i="12"/>
  <c r="Z36" i="12"/>
  <c r="Y36" i="12"/>
  <c r="AC36" i="12" s="1"/>
  <c r="W36" i="12"/>
  <c r="S36" i="12"/>
  <c r="U36" i="12" s="1"/>
  <c r="X36" i="12" s="1"/>
  <c r="AB35" i="12"/>
  <c r="Y35" i="12"/>
  <c r="W35" i="12"/>
  <c r="S35" i="12"/>
  <c r="U35" i="12" s="1"/>
  <c r="X35" i="12" s="1"/>
  <c r="AB34" i="12"/>
  <c r="AC34" i="12" s="1"/>
  <c r="Y34" i="12"/>
  <c r="Z34" i="12" s="1"/>
  <c r="W34" i="12"/>
  <c r="U34" i="12"/>
  <c r="X34" i="12" s="1"/>
  <c r="S34" i="12"/>
  <c r="AD33" i="12"/>
  <c r="AE33" i="12" s="1"/>
  <c r="AB33" i="12"/>
  <c r="Y33" i="12"/>
  <c r="AC33" i="12" s="1"/>
  <c r="W33" i="12"/>
  <c r="S33" i="12"/>
  <c r="U33" i="12" s="1"/>
  <c r="X33" i="12" s="1"/>
  <c r="AB32" i="12"/>
  <c r="Z32" i="12"/>
  <c r="Y32" i="12"/>
  <c r="AC32" i="12" s="1"/>
  <c r="W32" i="12"/>
  <c r="S32" i="12"/>
  <c r="U32" i="12" s="1"/>
  <c r="X32" i="12" s="1"/>
  <c r="AB31" i="12"/>
  <c r="Y31" i="12"/>
  <c r="W31" i="12"/>
  <c r="S31" i="12"/>
  <c r="U31" i="12" s="1"/>
  <c r="X31" i="12" s="1"/>
  <c r="AB30" i="12"/>
  <c r="AC30" i="12" s="1"/>
  <c r="AD30" i="12" s="1"/>
  <c r="AE30" i="12" s="1"/>
  <c r="Y30" i="12"/>
  <c r="Z30" i="12" s="1"/>
  <c r="W30" i="12"/>
  <c r="U30" i="12"/>
  <c r="X30" i="12" s="1"/>
  <c r="S30" i="12"/>
  <c r="AD29" i="12"/>
  <c r="AE29" i="12" s="1"/>
  <c r="AB29" i="12"/>
  <c r="Y29" i="12"/>
  <c r="AC29" i="12" s="1"/>
  <c r="W29" i="12"/>
  <c r="S29" i="12"/>
  <c r="U29" i="12" s="1"/>
  <c r="X29" i="12" s="1"/>
  <c r="AB28" i="12"/>
  <c r="Z28" i="12"/>
  <c r="Y28" i="12"/>
  <c r="AC28" i="12" s="1"/>
  <c r="W28" i="12"/>
  <c r="S28" i="12"/>
  <c r="U28" i="12" s="1"/>
  <c r="AB27" i="12"/>
  <c r="Y27" i="12"/>
  <c r="W27" i="12"/>
  <c r="S27" i="12"/>
  <c r="U27" i="12" s="1"/>
  <c r="X27" i="12" s="1"/>
  <c r="AB26" i="12"/>
  <c r="AC26" i="12" s="1"/>
  <c r="AD26" i="12" s="1"/>
  <c r="AE26" i="12" s="1"/>
  <c r="Y26" i="12"/>
  <c r="Z26" i="12" s="1"/>
  <c r="W26" i="12"/>
  <c r="U26" i="12"/>
  <c r="X26" i="12" s="1"/>
  <c r="S26" i="12"/>
  <c r="AD25" i="12"/>
  <c r="AE25" i="12" s="1"/>
  <c r="AB25" i="12"/>
  <c r="Y25" i="12"/>
  <c r="AC25" i="12" s="1"/>
  <c r="W25" i="12"/>
  <c r="S25" i="12"/>
  <c r="U25" i="12" s="1"/>
  <c r="X25" i="12" s="1"/>
  <c r="AB24" i="12"/>
  <c r="Z24" i="12"/>
  <c r="Y24" i="12"/>
  <c r="AC24" i="12" s="1"/>
  <c r="W24" i="12"/>
  <c r="S24" i="12"/>
  <c r="U24" i="12" s="1"/>
  <c r="AB23" i="12"/>
  <c r="Y23" i="12"/>
  <c r="W23" i="12"/>
  <c r="S23" i="12"/>
  <c r="U23" i="12" s="1"/>
  <c r="X23" i="12" s="1"/>
  <c r="AB22" i="12"/>
  <c r="AC22" i="12" s="1"/>
  <c r="AD22" i="12" s="1"/>
  <c r="AE22" i="12" s="1"/>
  <c r="Y22" i="12"/>
  <c r="Z22" i="12" s="1"/>
  <c r="W22" i="12"/>
  <c r="U22" i="12"/>
  <c r="X22" i="12" s="1"/>
  <c r="S22" i="12"/>
  <c r="AD21" i="12"/>
  <c r="AE21" i="12" s="1"/>
  <c r="AB21" i="12"/>
  <c r="Y21" i="12"/>
  <c r="AC21" i="12" s="1"/>
  <c r="W21" i="12"/>
  <c r="S21" i="12"/>
  <c r="U21" i="12" s="1"/>
  <c r="X21" i="12" s="1"/>
  <c r="AB20" i="12"/>
  <c r="Y20" i="12"/>
  <c r="AC20" i="12" s="1"/>
  <c r="W20" i="12"/>
  <c r="S20" i="12"/>
  <c r="U20" i="12" s="1"/>
  <c r="X20" i="12" s="1"/>
  <c r="AB19" i="12"/>
  <c r="Y19" i="12"/>
  <c r="W19" i="12"/>
  <c r="S19" i="12"/>
  <c r="U19" i="12" s="1"/>
  <c r="X19" i="12" s="1"/>
  <c r="AB18" i="12"/>
  <c r="AC18" i="12" s="1"/>
  <c r="AD18" i="12" s="1"/>
  <c r="AE18" i="12" s="1"/>
  <c r="Y18" i="12"/>
  <c r="Z18" i="12" s="1"/>
  <c r="W18" i="12"/>
  <c r="S18" i="12"/>
  <c r="U18" i="12" s="1"/>
  <c r="X18" i="12" s="1"/>
  <c r="AB17" i="12"/>
  <c r="Y17" i="12"/>
  <c r="AC17" i="12" s="1"/>
  <c r="W17" i="12"/>
  <c r="S17" i="12"/>
  <c r="U17" i="12" s="1"/>
  <c r="X17" i="12" s="1"/>
  <c r="AD17" i="12" s="1"/>
  <c r="AE17" i="12" s="1"/>
  <c r="AB16" i="12"/>
  <c r="Y16" i="12"/>
  <c r="AC16" i="12" s="1"/>
  <c r="W16" i="12"/>
  <c r="S16" i="12"/>
  <c r="U16" i="12" s="1"/>
  <c r="AB15" i="12"/>
  <c r="Y15" i="12"/>
  <c r="W15" i="12"/>
  <c r="S15" i="12"/>
  <c r="U15" i="12" s="1"/>
  <c r="X15" i="12" s="1"/>
  <c r="AB14" i="12"/>
  <c r="AC14" i="12" s="1"/>
  <c r="Y14" i="12"/>
  <c r="Z14" i="12" s="1"/>
  <c r="W14" i="12"/>
  <c r="S14" i="12"/>
  <c r="U14" i="12" s="1"/>
  <c r="X14" i="12" s="1"/>
  <c r="AD13" i="12"/>
  <c r="AE13" i="12" s="1"/>
  <c r="AB13" i="12"/>
  <c r="Y13" i="12"/>
  <c r="AC13" i="12" s="1"/>
  <c r="W13" i="12"/>
  <c r="S13" i="12"/>
  <c r="U13" i="12" s="1"/>
  <c r="X13" i="12" s="1"/>
  <c r="AB12" i="12"/>
  <c r="Y12" i="12"/>
  <c r="AC12" i="12" s="1"/>
  <c r="AD12" i="12" s="1"/>
  <c r="AE12" i="12" s="1"/>
  <c r="W12" i="12"/>
  <c r="S12" i="12"/>
  <c r="U12" i="12" s="1"/>
  <c r="X12" i="12" s="1"/>
  <c r="AB11" i="12"/>
  <c r="Y11" i="12"/>
  <c r="W11" i="12"/>
  <c r="S11" i="12"/>
  <c r="U11" i="12" s="1"/>
  <c r="X11" i="12" s="1"/>
  <c r="AB10" i="12"/>
  <c r="AC10" i="12" s="1"/>
  <c r="Y10" i="12"/>
  <c r="Z10" i="12" s="1"/>
  <c r="W10" i="12"/>
  <c r="S10" i="12"/>
  <c r="U10" i="12" s="1"/>
  <c r="X10" i="12" s="1"/>
  <c r="AB9" i="12"/>
  <c r="Y9" i="12"/>
  <c r="AC9" i="12" s="1"/>
  <c r="AD9" i="12" s="1"/>
  <c r="AE9" i="12" s="1"/>
  <c r="W9" i="12"/>
  <c r="S9" i="12"/>
  <c r="U9" i="12" s="1"/>
  <c r="X9" i="12" s="1"/>
  <c r="AB8" i="12"/>
  <c r="Y8" i="12"/>
  <c r="AC8" i="12" s="1"/>
  <c r="W8" i="12"/>
  <c r="S8" i="12"/>
  <c r="U8" i="12" s="1"/>
  <c r="AB7" i="12"/>
  <c r="Y7" i="12"/>
  <c r="W7" i="12"/>
  <c r="S7" i="12"/>
  <c r="U7" i="12" s="1"/>
  <c r="X7" i="12" s="1"/>
  <c r="Z55" i="11"/>
  <c r="Z52" i="11"/>
  <c r="Z54" i="11" s="1"/>
  <c r="Z50" i="11"/>
  <c r="AJ47" i="11"/>
  <c r="AI47" i="11"/>
  <c r="AH47" i="11"/>
  <c r="AG47" i="11"/>
  <c r="AF47" i="11"/>
  <c r="AB45" i="11"/>
  <c r="Y45" i="11"/>
  <c r="Z45" i="11" s="1"/>
  <c r="W45" i="11"/>
  <c r="S45" i="11"/>
  <c r="U45" i="11" s="1"/>
  <c r="X45" i="11" s="1"/>
  <c r="AB44" i="11"/>
  <c r="Z44" i="11"/>
  <c r="Y44" i="11"/>
  <c r="W44" i="11"/>
  <c r="S44" i="11"/>
  <c r="U44" i="11" s="1"/>
  <c r="X44" i="11" s="1"/>
  <c r="AB43" i="11"/>
  <c r="Y43" i="11"/>
  <c r="AC43" i="11" s="1"/>
  <c r="W43" i="11"/>
  <c r="S43" i="11"/>
  <c r="U43" i="11" s="1"/>
  <c r="AB42" i="11"/>
  <c r="Y42" i="11"/>
  <c r="W42" i="11"/>
  <c r="S42" i="11"/>
  <c r="U42" i="11" s="1"/>
  <c r="AB41" i="11"/>
  <c r="Y41" i="11"/>
  <c r="Z41" i="11" s="1"/>
  <c r="W41" i="11"/>
  <c r="S41" i="11"/>
  <c r="U41" i="11" s="1"/>
  <c r="X41" i="11" s="1"/>
  <c r="AB40" i="11"/>
  <c r="Y40" i="11"/>
  <c r="AC40" i="11" s="1"/>
  <c r="W40" i="11"/>
  <c r="U40" i="11"/>
  <c r="S40" i="11"/>
  <c r="AB39" i="11"/>
  <c r="Y39" i="11"/>
  <c r="W39" i="11"/>
  <c r="S39" i="11"/>
  <c r="U39" i="11" s="1"/>
  <c r="AB38" i="11"/>
  <c r="Y38" i="11"/>
  <c r="AC38" i="11" s="1"/>
  <c r="W38" i="11"/>
  <c r="S38" i="11"/>
  <c r="U38" i="11" s="1"/>
  <c r="X38" i="11" s="1"/>
  <c r="AB37" i="11"/>
  <c r="Y37" i="11"/>
  <c r="Z37" i="11" s="1"/>
  <c r="W37" i="11"/>
  <c r="S37" i="11"/>
  <c r="U37" i="11" s="1"/>
  <c r="X37" i="11" s="1"/>
  <c r="AB36" i="11"/>
  <c r="Z36" i="11"/>
  <c r="Y36" i="11"/>
  <c r="W36" i="11"/>
  <c r="S36" i="11"/>
  <c r="U36" i="11" s="1"/>
  <c r="AB35" i="11"/>
  <c r="Y35" i="11"/>
  <c r="W35" i="11"/>
  <c r="S35" i="11"/>
  <c r="U35" i="11" s="1"/>
  <c r="X35" i="11" s="1"/>
  <c r="AB34" i="11"/>
  <c r="Y34" i="11"/>
  <c r="AC34" i="11" s="1"/>
  <c r="W34" i="11"/>
  <c r="U34" i="11"/>
  <c r="X34" i="11" s="1"/>
  <c r="S34" i="11"/>
  <c r="AB33" i="11"/>
  <c r="Y33" i="11"/>
  <c r="Z33" i="11" s="1"/>
  <c r="W33" i="11"/>
  <c r="S33" i="11"/>
  <c r="U33" i="11" s="1"/>
  <c r="X33" i="11" s="1"/>
  <c r="AB32" i="11"/>
  <c r="Y32" i="11"/>
  <c r="AC32" i="11" s="1"/>
  <c r="W32" i="11"/>
  <c r="S32" i="11"/>
  <c r="U32" i="11" s="1"/>
  <c r="X32" i="11" s="1"/>
  <c r="AB31" i="11"/>
  <c r="Y31" i="11"/>
  <c r="W31" i="11"/>
  <c r="S31" i="11"/>
  <c r="U31" i="11" s="1"/>
  <c r="X31" i="11" s="1"/>
  <c r="AB30" i="11"/>
  <c r="Z30" i="11"/>
  <c r="Y30" i="11"/>
  <c r="W30" i="11"/>
  <c r="U30" i="11"/>
  <c r="X30" i="11" s="1"/>
  <c r="S30" i="11"/>
  <c r="AB29" i="11"/>
  <c r="Y29" i="11"/>
  <c r="Z29" i="11" s="1"/>
  <c r="W29" i="11"/>
  <c r="S29" i="11"/>
  <c r="U29" i="11" s="1"/>
  <c r="X29" i="11" s="1"/>
  <c r="AB28" i="11"/>
  <c r="Y28" i="11"/>
  <c r="AC28" i="11" s="1"/>
  <c r="W28" i="11"/>
  <c r="S28" i="11"/>
  <c r="U28" i="11" s="1"/>
  <c r="X28" i="11" s="1"/>
  <c r="AB27" i="11"/>
  <c r="Y27" i="11"/>
  <c r="AC27" i="11" s="1"/>
  <c r="AD27" i="11" s="1"/>
  <c r="AE27" i="11" s="1"/>
  <c r="W27" i="11"/>
  <c r="S27" i="11"/>
  <c r="U27" i="11" s="1"/>
  <c r="X27" i="11" s="1"/>
  <c r="AB26" i="11"/>
  <c r="Z26" i="11"/>
  <c r="Y26" i="11"/>
  <c r="W26" i="11"/>
  <c r="S26" i="11"/>
  <c r="U26" i="11" s="1"/>
  <c r="X26" i="11" s="1"/>
  <c r="AB25" i="11"/>
  <c r="Y25" i="11"/>
  <c r="Z25" i="11" s="1"/>
  <c r="W25" i="11"/>
  <c r="S25" i="11"/>
  <c r="U25" i="11" s="1"/>
  <c r="AB24" i="11"/>
  <c r="Y24" i="11"/>
  <c r="AC24" i="11" s="1"/>
  <c r="W24" i="11"/>
  <c r="S24" i="11"/>
  <c r="U24" i="11" s="1"/>
  <c r="X24" i="11" s="1"/>
  <c r="AB23" i="11"/>
  <c r="Y23" i="11"/>
  <c r="W23" i="11"/>
  <c r="S23" i="11"/>
  <c r="U23" i="11" s="1"/>
  <c r="AB22" i="11"/>
  <c r="Y22" i="11"/>
  <c r="W22" i="11"/>
  <c r="U22" i="11"/>
  <c r="S22" i="11"/>
  <c r="AB21" i="11"/>
  <c r="Y21" i="11"/>
  <c r="Z21" i="11" s="1"/>
  <c r="W21" i="11"/>
  <c r="S21" i="11"/>
  <c r="U21" i="11" s="1"/>
  <c r="X21" i="11" s="1"/>
  <c r="AB20" i="11"/>
  <c r="Y20" i="11"/>
  <c r="W20" i="11"/>
  <c r="S20" i="11"/>
  <c r="U20" i="11" s="1"/>
  <c r="X20" i="11" s="1"/>
  <c r="AB19" i="11"/>
  <c r="Y19" i="11"/>
  <c r="AC19" i="11" s="1"/>
  <c r="W19" i="11"/>
  <c r="S19" i="11"/>
  <c r="U19" i="11" s="1"/>
  <c r="X19" i="11" s="1"/>
  <c r="AB18" i="11"/>
  <c r="Z18" i="11"/>
  <c r="Y18" i="11"/>
  <c r="W18" i="11"/>
  <c r="S18" i="11"/>
  <c r="U18" i="11" s="1"/>
  <c r="X18" i="11" s="1"/>
  <c r="AB17" i="11"/>
  <c r="Y17" i="11"/>
  <c r="Z17" i="11" s="1"/>
  <c r="W17" i="11"/>
  <c r="S17" i="11"/>
  <c r="U17" i="11" s="1"/>
  <c r="AB16" i="11"/>
  <c r="Y16" i="11"/>
  <c r="AC16" i="11" s="1"/>
  <c r="W16" i="11"/>
  <c r="S16" i="11"/>
  <c r="U16" i="11" s="1"/>
  <c r="X16" i="11" s="1"/>
  <c r="AB15" i="11"/>
  <c r="Y15" i="11"/>
  <c r="W15" i="11"/>
  <c r="S15" i="11"/>
  <c r="U15" i="11" s="1"/>
  <c r="AB14" i="11"/>
  <c r="Y14" i="11"/>
  <c r="W14" i="11"/>
  <c r="S14" i="11"/>
  <c r="U14" i="11" s="1"/>
  <c r="AB13" i="11"/>
  <c r="Y13" i="11"/>
  <c r="Z13" i="11" s="1"/>
  <c r="W13" i="11"/>
  <c r="S13" i="11"/>
  <c r="U13" i="11" s="1"/>
  <c r="AB12" i="11"/>
  <c r="Y12" i="11"/>
  <c r="AC12" i="11" s="1"/>
  <c r="W12" i="11"/>
  <c r="S12" i="11"/>
  <c r="U12" i="11" s="1"/>
  <c r="X12" i="11" s="1"/>
  <c r="AB11" i="11"/>
  <c r="Y11" i="11"/>
  <c r="W11" i="11"/>
  <c r="S11" i="11"/>
  <c r="U11" i="11" s="1"/>
  <c r="X11" i="11" s="1"/>
  <c r="AB10" i="11"/>
  <c r="Y10" i="11"/>
  <c r="AC10" i="11" s="1"/>
  <c r="W10" i="11"/>
  <c r="U10" i="11"/>
  <c r="X10" i="11" s="1"/>
  <c r="S10" i="11"/>
  <c r="AB9" i="11"/>
  <c r="Y9" i="11"/>
  <c r="Z9" i="11" s="1"/>
  <c r="W9" i="11"/>
  <c r="S9" i="11"/>
  <c r="U9" i="11" s="1"/>
  <c r="X9" i="11" s="1"/>
  <c r="AB8" i="11"/>
  <c r="Z8" i="11"/>
  <c r="Y8" i="11"/>
  <c r="W8" i="11"/>
  <c r="U8" i="11"/>
  <c r="X8" i="11" s="1"/>
  <c r="S8" i="11"/>
  <c r="AB7" i="11"/>
  <c r="Y7" i="11"/>
  <c r="AC7" i="11" s="1"/>
  <c r="W7" i="11"/>
  <c r="S7" i="11"/>
  <c r="U7" i="11" s="1"/>
  <c r="X7" i="11" s="1"/>
  <c r="Y16" i="10"/>
  <c r="Y20" i="10"/>
  <c r="Z12" i="11" l="1"/>
  <c r="AD9" i="11"/>
  <c r="AE9" i="11" s="1"/>
  <c r="AD34" i="11"/>
  <c r="AE34" i="11" s="1"/>
  <c r="Z10" i="11"/>
  <c r="AC13" i="11"/>
  <c r="AC15" i="11"/>
  <c r="X17" i="11"/>
  <c r="AC18" i="11"/>
  <c r="AD18" i="11" s="1"/>
  <c r="AE18" i="11" s="1"/>
  <c r="AC23" i="11"/>
  <c r="AD23" i="11" s="1"/>
  <c r="AE23" i="11" s="1"/>
  <c r="X25" i="11"/>
  <c r="AD25" i="11" s="1"/>
  <c r="AE25" i="11" s="1"/>
  <c r="AC26" i="11"/>
  <c r="Z34" i="11"/>
  <c r="AC36" i="11"/>
  <c r="AC21" i="11"/>
  <c r="AD12" i="11"/>
  <c r="AE12" i="11" s="1"/>
  <c r="X14" i="11"/>
  <c r="AD14" i="11" s="1"/>
  <c r="AE14" i="11" s="1"/>
  <c r="AC20" i="11"/>
  <c r="AD20" i="11" s="1"/>
  <c r="AE20" i="11" s="1"/>
  <c r="X22" i="11"/>
  <c r="AC31" i="11"/>
  <c r="AD31" i="11" s="1"/>
  <c r="AE31" i="11" s="1"/>
  <c r="X40" i="11"/>
  <c r="X42" i="11"/>
  <c r="AC9" i="11"/>
  <c r="AC14" i="11"/>
  <c r="AD21" i="11"/>
  <c r="AE21" i="11" s="1"/>
  <c r="AC22" i="11"/>
  <c r="AD22" i="11" s="1"/>
  <c r="AE22" i="11" s="1"/>
  <c r="Z28" i="11"/>
  <c r="AC33" i="11"/>
  <c r="AD33" i="11" s="1"/>
  <c r="AE33" i="11" s="1"/>
  <c r="AD40" i="11"/>
  <c r="AE40" i="11" s="1"/>
  <c r="AC42" i="11"/>
  <c r="AD28" i="11"/>
  <c r="AE28" i="11" s="1"/>
  <c r="AC8" i="11"/>
  <c r="AC11" i="11"/>
  <c r="X13" i="11"/>
  <c r="AD13" i="11" s="1"/>
  <c r="AE13" i="11" s="1"/>
  <c r="Z14" i="11"/>
  <c r="AC17" i="11"/>
  <c r="Z22" i="11"/>
  <c r="AC25" i="11"/>
  <c r="AC30" i="11"/>
  <c r="AD30" i="11" s="1"/>
  <c r="AE30" i="11" s="1"/>
  <c r="AC35" i="11"/>
  <c r="X39" i="11"/>
  <c r="Z42" i="11"/>
  <c r="AC44" i="11"/>
  <c r="AD24" i="11"/>
  <c r="AE24" i="11" s="1"/>
  <c r="X15" i="11"/>
  <c r="Z16" i="11"/>
  <c r="X23" i="11"/>
  <c r="Z24" i="11"/>
  <c r="X36" i="11"/>
  <c r="AD36" i="11" s="1"/>
  <c r="AE36" i="11" s="1"/>
  <c r="AC39" i="11"/>
  <c r="AD39" i="11" s="1"/>
  <c r="AE39" i="11" s="1"/>
  <c r="X43" i="11"/>
  <c r="AC37" i="11"/>
  <c r="AD37" i="11" s="1"/>
  <c r="AE37" i="11" s="1"/>
  <c r="AC45" i="11"/>
  <c r="AD44" i="11"/>
  <c r="AE44" i="11" s="1"/>
  <c r="Z38" i="11"/>
  <c r="AC41" i="11"/>
  <c r="AD41" i="11" s="1"/>
  <c r="AE41" i="11" s="1"/>
  <c r="AD45" i="11"/>
  <c r="AE45" i="11" s="1"/>
  <c r="Z40" i="11"/>
  <c r="Z32" i="11"/>
  <c r="Z20" i="11"/>
  <c r="AC29" i="11"/>
  <c r="AD29" i="11" s="1"/>
  <c r="AE29" i="11" s="1"/>
  <c r="AD9" i="13"/>
  <c r="AE9" i="13" s="1"/>
  <c r="AC15" i="13"/>
  <c r="AD15" i="13" s="1"/>
  <c r="AE15" i="13" s="1"/>
  <c r="Z15" i="13"/>
  <c r="AC47" i="13"/>
  <c r="AD47" i="13" s="1"/>
  <c r="AE47" i="13" s="1"/>
  <c r="Z47" i="13"/>
  <c r="AD12" i="13"/>
  <c r="AE12" i="13" s="1"/>
  <c r="AC27" i="13"/>
  <c r="AD27" i="13" s="1"/>
  <c r="AE27" i="13" s="1"/>
  <c r="Z27" i="13"/>
  <c r="AD30" i="13"/>
  <c r="AE30" i="13" s="1"/>
  <c r="X36" i="13"/>
  <c r="AD44" i="13"/>
  <c r="AE44" i="13" s="1"/>
  <c r="AC59" i="13"/>
  <c r="AD59" i="13" s="1"/>
  <c r="AE59" i="13" s="1"/>
  <c r="Z59" i="13"/>
  <c r="AD62" i="13"/>
  <c r="AE62" i="13" s="1"/>
  <c r="AC35" i="13"/>
  <c r="AD35" i="13" s="1"/>
  <c r="AE35" i="13" s="1"/>
  <c r="Z35" i="13"/>
  <c r="AD10" i="13"/>
  <c r="AE10" i="13" s="1"/>
  <c r="X16" i="13"/>
  <c r="AD24" i="13"/>
  <c r="AE24" i="13" s="1"/>
  <c r="AC39" i="13"/>
  <c r="AD39" i="13" s="1"/>
  <c r="AE39" i="13" s="1"/>
  <c r="Z39" i="13"/>
  <c r="AD42" i="13"/>
  <c r="AE42" i="13" s="1"/>
  <c r="X48" i="13"/>
  <c r="AD56" i="13"/>
  <c r="AE56" i="13" s="1"/>
  <c r="AC19" i="13"/>
  <c r="AD19" i="13" s="1"/>
  <c r="AE19" i="13" s="1"/>
  <c r="Z19" i="13"/>
  <c r="AD22" i="13"/>
  <c r="AE22" i="13" s="1"/>
  <c r="AD36" i="13"/>
  <c r="AE36" i="13" s="1"/>
  <c r="AC51" i="13"/>
  <c r="AD51" i="13" s="1"/>
  <c r="AE51" i="13" s="1"/>
  <c r="Z51" i="13"/>
  <c r="AD54" i="13"/>
  <c r="AE54" i="13" s="1"/>
  <c r="AD8" i="13"/>
  <c r="AE8" i="13" s="1"/>
  <c r="AD16" i="13"/>
  <c r="AE16" i="13" s="1"/>
  <c r="AC31" i="13"/>
  <c r="AD31" i="13" s="1"/>
  <c r="AE31" i="13" s="1"/>
  <c r="Z31" i="13"/>
  <c r="AD34" i="13"/>
  <c r="AE34" i="13" s="1"/>
  <c r="X40" i="13"/>
  <c r="AD40" i="13" s="1"/>
  <c r="AE40" i="13" s="1"/>
  <c r="AD48" i="13"/>
  <c r="AE48" i="13" s="1"/>
  <c r="AC63" i="13"/>
  <c r="AD63" i="13" s="1"/>
  <c r="AE63" i="13" s="1"/>
  <c r="Z63" i="13"/>
  <c r="AC11" i="13"/>
  <c r="AD11" i="13" s="1"/>
  <c r="AE11" i="13" s="1"/>
  <c r="Z11" i="13"/>
  <c r="X20" i="13"/>
  <c r="AD20" i="13" s="1"/>
  <c r="AE20" i="13" s="1"/>
  <c r="AC43" i="13"/>
  <c r="AD43" i="13" s="1"/>
  <c r="AE43" i="13" s="1"/>
  <c r="Z43" i="13"/>
  <c r="X52" i="13"/>
  <c r="AD52" i="13" s="1"/>
  <c r="AE52" i="13" s="1"/>
  <c r="AD7" i="13"/>
  <c r="AC23" i="13"/>
  <c r="AD23" i="13" s="1"/>
  <c r="AE23" i="13" s="1"/>
  <c r="Z23" i="13"/>
  <c r="X32" i="13"/>
  <c r="AD32" i="13" s="1"/>
  <c r="AE32" i="13" s="1"/>
  <c r="AC55" i="13"/>
  <c r="AD55" i="13" s="1"/>
  <c r="AE55" i="13" s="1"/>
  <c r="Z55" i="13"/>
  <c r="X64" i="13"/>
  <c r="AD64" i="13" s="1"/>
  <c r="AE64" i="13" s="1"/>
  <c r="Z9" i="13"/>
  <c r="Z13" i="13"/>
  <c r="Z17" i="13"/>
  <c r="Z21" i="13"/>
  <c r="Z25" i="13"/>
  <c r="Z29" i="13"/>
  <c r="Z33" i="13"/>
  <c r="Z37" i="13"/>
  <c r="Z41" i="13"/>
  <c r="Z45" i="13"/>
  <c r="Z49" i="13"/>
  <c r="Z53" i="13"/>
  <c r="Z57" i="13"/>
  <c r="Z61" i="13"/>
  <c r="Z65" i="13"/>
  <c r="Z73" i="13"/>
  <c r="Z74" i="13"/>
  <c r="AD10" i="12"/>
  <c r="AE10" i="12" s="1"/>
  <c r="Z35" i="12"/>
  <c r="AC35" i="12"/>
  <c r="AD35" i="12" s="1"/>
  <c r="AE35" i="12" s="1"/>
  <c r="AD38" i="12"/>
  <c r="AE38" i="12" s="1"/>
  <c r="AD52" i="12"/>
  <c r="AE52" i="12" s="1"/>
  <c r="AD65" i="12"/>
  <c r="AE65" i="12" s="1"/>
  <c r="AD14" i="12"/>
  <c r="AE14" i="12" s="1"/>
  <c r="AD20" i="12"/>
  <c r="AE20" i="12" s="1"/>
  <c r="X24" i="12"/>
  <c r="AD24" i="12" s="1"/>
  <c r="AE24" i="12" s="1"/>
  <c r="AD32" i="12"/>
  <c r="AE32" i="12" s="1"/>
  <c r="Z47" i="12"/>
  <c r="AC47" i="12"/>
  <c r="AD47" i="12" s="1"/>
  <c r="AE47" i="12" s="1"/>
  <c r="AD50" i="12"/>
  <c r="AE50" i="12" s="1"/>
  <c r="X56" i="12"/>
  <c r="AD56" i="12" s="1"/>
  <c r="AE56" i="12" s="1"/>
  <c r="AD64" i="12"/>
  <c r="AE64" i="12" s="1"/>
  <c r="AC59" i="12"/>
  <c r="AD59" i="12" s="1"/>
  <c r="AE59" i="12" s="1"/>
  <c r="Z59" i="12"/>
  <c r="Z11" i="12"/>
  <c r="AC11" i="12"/>
  <c r="AD11" i="12" s="1"/>
  <c r="AE11" i="12" s="1"/>
  <c r="AC39" i="12"/>
  <c r="AD39" i="12" s="1"/>
  <c r="AE39" i="12" s="1"/>
  <c r="Z39" i="12"/>
  <c r="X8" i="12"/>
  <c r="Z15" i="12"/>
  <c r="AC15" i="12"/>
  <c r="AD15" i="12" s="1"/>
  <c r="AE15" i="12" s="1"/>
  <c r="X28" i="12"/>
  <c r="AD36" i="12"/>
  <c r="AE36" i="12" s="1"/>
  <c r="Z51" i="12"/>
  <c r="AC51" i="12"/>
  <c r="AD51" i="12" s="1"/>
  <c r="AE51" i="12" s="1"/>
  <c r="X60" i="12"/>
  <c r="AD60" i="12" s="1"/>
  <c r="AE60" i="12" s="1"/>
  <c r="Z19" i="12"/>
  <c r="AC19" i="12"/>
  <c r="AD19" i="12" s="1"/>
  <c r="AE19" i="12" s="1"/>
  <c r="Z31" i="12"/>
  <c r="AC31" i="12"/>
  <c r="AD31" i="12" s="1"/>
  <c r="AE31" i="12" s="1"/>
  <c r="AD34" i="12"/>
  <c r="AE34" i="12" s="1"/>
  <c r="Z63" i="12"/>
  <c r="AC63" i="12"/>
  <c r="AD63" i="12" s="1"/>
  <c r="AE63" i="12" s="1"/>
  <c r="Z7" i="12"/>
  <c r="AC7" i="12"/>
  <c r="Z27" i="12"/>
  <c r="AC27" i="12"/>
  <c r="AD27" i="12" s="1"/>
  <c r="AE27" i="12" s="1"/>
  <c r="AD8" i="12"/>
  <c r="AE8" i="12" s="1"/>
  <c r="X16" i="12"/>
  <c r="AD16" i="12" s="1"/>
  <c r="AE16" i="12" s="1"/>
  <c r="AD28" i="12"/>
  <c r="AE28" i="12" s="1"/>
  <c r="Z43" i="12"/>
  <c r="AC43" i="12"/>
  <c r="AD43" i="12" s="1"/>
  <c r="AE43" i="12" s="1"/>
  <c r="AD46" i="12"/>
  <c r="AE46" i="12" s="1"/>
  <c r="X52" i="12"/>
  <c r="Z23" i="12"/>
  <c r="AC23" i="12"/>
  <c r="AD23" i="12" s="1"/>
  <c r="AE23" i="12" s="1"/>
  <c r="Z55" i="12"/>
  <c r="AC55" i="12"/>
  <c r="AD55" i="12" s="1"/>
  <c r="AE55" i="12" s="1"/>
  <c r="Z8" i="12"/>
  <c r="Z12" i="12"/>
  <c r="Z16" i="12"/>
  <c r="Z20" i="12"/>
  <c r="Z9" i="12"/>
  <c r="Z13" i="12"/>
  <c r="Z17" i="12"/>
  <c r="Z21" i="12"/>
  <c r="Z25" i="12"/>
  <c r="Z29" i="12"/>
  <c r="Z33" i="12"/>
  <c r="Z37" i="12"/>
  <c r="Z41" i="12"/>
  <c r="Z45" i="12"/>
  <c r="Z49" i="12"/>
  <c r="Z53" i="12"/>
  <c r="Z57" i="12"/>
  <c r="Z61" i="12"/>
  <c r="Z73" i="12"/>
  <c r="AD32" i="11"/>
  <c r="AE32" i="11" s="1"/>
  <c r="AD35" i="11"/>
  <c r="AE35" i="11" s="1"/>
  <c r="AD38" i="11"/>
  <c r="AE38" i="11" s="1"/>
  <c r="AD26" i="11"/>
  <c r="AE26" i="11" s="1"/>
  <c r="AD11" i="11"/>
  <c r="AE11" i="11" s="1"/>
  <c r="AD16" i="11"/>
  <c r="AE16" i="11" s="1"/>
  <c r="AD19" i="11"/>
  <c r="AE19" i="11" s="1"/>
  <c r="AD8" i="11"/>
  <c r="AE8" i="11" s="1"/>
  <c r="AD43" i="11"/>
  <c r="AE43" i="11" s="1"/>
  <c r="AD7" i="11"/>
  <c r="AD10" i="11"/>
  <c r="AE10" i="11" s="1"/>
  <c r="AD42" i="11"/>
  <c r="AE42" i="11" s="1"/>
  <c r="Z7" i="11"/>
  <c r="Z11" i="11"/>
  <c r="Z15" i="11"/>
  <c r="Z19" i="11"/>
  <c r="Z23" i="11"/>
  <c r="Z27" i="11"/>
  <c r="Z31" i="11"/>
  <c r="Z35" i="11"/>
  <c r="Z39" i="11"/>
  <c r="Z43" i="11"/>
  <c r="Z53" i="11"/>
  <c r="AC47" i="11" l="1"/>
  <c r="AD17" i="11"/>
  <c r="AE17" i="11" s="1"/>
  <c r="AD15" i="11"/>
  <c r="AE15" i="11" s="1"/>
  <c r="Z67" i="12"/>
  <c r="Z67" i="13"/>
  <c r="AE7" i="13"/>
  <c r="AD67" i="13"/>
  <c r="AC67" i="13"/>
  <c r="AD7" i="12"/>
  <c r="AC67" i="12"/>
  <c r="Z47" i="11"/>
  <c r="AE7" i="11"/>
  <c r="AD47" i="11" l="1"/>
  <c r="AE47" i="11" s="1"/>
  <c r="AE67" i="13"/>
  <c r="AE7" i="12"/>
  <c r="AD67" i="12"/>
  <c r="AE67" i="12" s="1"/>
  <c r="Y9" i="10" l="1"/>
  <c r="AC9" i="10" s="1"/>
  <c r="Y8" i="10"/>
  <c r="AC20" i="10"/>
  <c r="Y9" i="9"/>
  <c r="Z9" i="9" s="1"/>
  <c r="Y12" i="9"/>
  <c r="Y18" i="9"/>
  <c r="AC18" i="9" s="1"/>
  <c r="W18" i="9"/>
  <c r="S18" i="9"/>
  <c r="U18" i="9" s="1"/>
  <c r="X18" i="9" s="1"/>
  <c r="Y8" i="9"/>
  <c r="Z48" i="10"/>
  <c r="Z50" i="10" s="1"/>
  <c r="Z46" i="10"/>
  <c r="AJ43" i="10"/>
  <c r="AI43" i="10"/>
  <c r="AH43" i="10"/>
  <c r="AG43" i="10"/>
  <c r="AF43" i="10"/>
  <c r="AB41" i="10"/>
  <c r="Y41" i="10"/>
  <c r="W41" i="10"/>
  <c r="S41" i="10"/>
  <c r="U41" i="10" s="1"/>
  <c r="AB40" i="10"/>
  <c r="Y40" i="10"/>
  <c r="AC40" i="10" s="1"/>
  <c r="W40" i="10"/>
  <c r="S40" i="10"/>
  <c r="U40" i="10" s="1"/>
  <c r="AB39" i="10"/>
  <c r="Y39" i="10"/>
  <c r="W39" i="10"/>
  <c r="S39" i="10"/>
  <c r="U39" i="10" s="1"/>
  <c r="AB38" i="10"/>
  <c r="Z38" i="10"/>
  <c r="Y38" i="10"/>
  <c r="W38" i="10"/>
  <c r="S38" i="10"/>
  <c r="U38" i="10" s="1"/>
  <c r="X38" i="10" s="1"/>
  <c r="AB37" i="10"/>
  <c r="Y37" i="10"/>
  <c r="W37" i="10"/>
  <c r="S37" i="10"/>
  <c r="U37" i="10" s="1"/>
  <c r="X37" i="10" s="1"/>
  <c r="AB36" i="10"/>
  <c r="Y36" i="10"/>
  <c r="W36" i="10"/>
  <c r="U36" i="10"/>
  <c r="S36" i="10"/>
  <c r="AB35" i="10"/>
  <c r="Y35" i="10"/>
  <c r="W35" i="10"/>
  <c r="S35" i="10"/>
  <c r="U35" i="10" s="1"/>
  <c r="X35" i="10" s="1"/>
  <c r="AB34" i="10"/>
  <c r="Z34" i="10"/>
  <c r="Y34" i="10"/>
  <c r="AC34" i="10" s="1"/>
  <c r="W34" i="10"/>
  <c r="S34" i="10"/>
  <c r="U34" i="10" s="1"/>
  <c r="AB33" i="10"/>
  <c r="Y33" i="10"/>
  <c r="AC33" i="10" s="1"/>
  <c r="W33" i="10"/>
  <c r="S33" i="10"/>
  <c r="U33" i="10" s="1"/>
  <c r="X33" i="10" s="1"/>
  <c r="AB32" i="10"/>
  <c r="Y32" i="10"/>
  <c r="W32" i="10"/>
  <c r="S32" i="10"/>
  <c r="U32" i="10" s="1"/>
  <c r="AB31" i="10"/>
  <c r="Y31" i="10"/>
  <c r="W31" i="10"/>
  <c r="S31" i="10"/>
  <c r="U31" i="10" s="1"/>
  <c r="X31" i="10" s="1"/>
  <c r="AC30" i="10"/>
  <c r="AB30" i="10"/>
  <c r="Y30" i="10"/>
  <c r="Z30" i="10" s="1"/>
  <c r="W30" i="10"/>
  <c r="S30" i="10"/>
  <c r="U30" i="10" s="1"/>
  <c r="X30" i="10" s="1"/>
  <c r="AB29" i="10"/>
  <c r="Y29" i="10"/>
  <c r="AC29" i="10" s="1"/>
  <c r="W29" i="10"/>
  <c r="U29" i="10"/>
  <c r="S29" i="10"/>
  <c r="AB28" i="10"/>
  <c r="Y28" i="10"/>
  <c r="AC28" i="10" s="1"/>
  <c r="W28" i="10"/>
  <c r="S28" i="10"/>
  <c r="U28" i="10" s="1"/>
  <c r="AB27" i="10"/>
  <c r="Y27" i="10"/>
  <c r="AC27" i="10" s="1"/>
  <c r="W27" i="10"/>
  <c r="S27" i="10"/>
  <c r="U27" i="10" s="1"/>
  <c r="AB26" i="10"/>
  <c r="Y26" i="10"/>
  <c r="Z26" i="10" s="1"/>
  <c r="W26" i="10"/>
  <c r="S26" i="10"/>
  <c r="U26" i="10" s="1"/>
  <c r="X26" i="10" s="1"/>
  <c r="AB25" i="10"/>
  <c r="Y25" i="10"/>
  <c r="W25" i="10"/>
  <c r="S25" i="10"/>
  <c r="U25" i="10" s="1"/>
  <c r="AB24" i="10"/>
  <c r="Y24" i="10"/>
  <c r="AC24" i="10" s="1"/>
  <c r="W24" i="10"/>
  <c r="S24" i="10"/>
  <c r="U24" i="10" s="1"/>
  <c r="AB23" i="10"/>
  <c r="Y23" i="10"/>
  <c r="W23" i="10"/>
  <c r="S23" i="10"/>
  <c r="U23" i="10" s="1"/>
  <c r="X23" i="10" s="1"/>
  <c r="AB22" i="10"/>
  <c r="Y22" i="10"/>
  <c r="Z22" i="10" s="1"/>
  <c r="W22" i="10"/>
  <c r="S22" i="10"/>
  <c r="U22" i="10" s="1"/>
  <c r="AB21" i="10"/>
  <c r="Y21" i="10"/>
  <c r="W21" i="10"/>
  <c r="U21" i="10"/>
  <c r="X21" i="10" s="1"/>
  <c r="S21" i="10"/>
  <c r="AB20" i="10"/>
  <c r="W20" i="10"/>
  <c r="S20" i="10"/>
  <c r="U20" i="10" s="1"/>
  <c r="AB19" i="10"/>
  <c r="Y19" i="10"/>
  <c r="AC19" i="10" s="1"/>
  <c r="W19" i="10"/>
  <c r="S19" i="10"/>
  <c r="U19" i="10" s="1"/>
  <c r="AB18" i="10"/>
  <c r="AC18" i="10" s="1"/>
  <c r="AD18" i="10" s="1"/>
  <c r="AE18" i="10" s="1"/>
  <c r="Z18" i="10"/>
  <c r="Y18" i="10"/>
  <c r="W18" i="10"/>
  <c r="S18" i="10"/>
  <c r="U18" i="10" s="1"/>
  <c r="X18" i="10" s="1"/>
  <c r="AB17" i="10"/>
  <c r="Y17" i="10"/>
  <c r="W17" i="10"/>
  <c r="U17" i="10"/>
  <c r="X17" i="10" s="1"/>
  <c r="S17" i="10"/>
  <c r="AB16" i="10"/>
  <c r="W16" i="10"/>
  <c r="S16" i="10"/>
  <c r="U16" i="10" s="1"/>
  <c r="AB15" i="10"/>
  <c r="Y15" i="10"/>
  <c r="AC15" i="10" s="1"/>
  <c r="W15" i="10"/>
  <c r="S15" i="10"/>
  <c r="U15" i="10" s="1"/>
  <c r="AB14" i="10"/>
  <c r="Y14" i="10"/>
  <c r="Z14" i="10" s="1"/>
  <c r="W14" i="10"/>
  <c r="S14" i="10"/>
  <c r="U14" i="10" s="1"/>
  <c r="AB13" i="10"/>
  <c r="Y13" i="10"/>
  <c r="AC13" i="10" s="1"/>
  <c r="W13" i="10"/>
  <c r="U13" i="10"/>
  <c r="S13" i="10"/>
  <c r="AB12" i="10"/>
  <c r="Y12" i="10"/>
  <c r="AC12" i="10" s="1"/>
  <c r="W12" i="10"/>
  <c r="S12" i="10"/>
  <c r="U12" i="10" s="1"/>
  <c r="AB11" i="10"/>
  <c r="Y11" i="10"/>
  <c r="W11" i="10"/>
  <c r="S11" i="10"/>
  <c r="U11" i="10" s="1"/>
  <c r="X11" i="10" s="1"/>
  <c r="AB10" i="10"/>
  <c r="Y10" i="10"/>
  <c r="AC10" i="10" s="1"/>
  <c r="W10" i="10"/>
  <c r="S10" i="10"/>
  <c r="U10" i="10" s="1"/>
  <c r="AB9" i="10"/>
  <c r="W9" i="10"/>
  <c r="S9" i="10"/>
  <c r="U9" i="10" s="1"/>
  <c r="X9" i="10" s="1"/>
  <c r="AB8" i="10"/>
  <c r="W8" i="10"/>
  <c r="S8" i="10"/>
  <c r="U8" i="10" s="1"/>
  <c r="AB7" i="10"/>
  <c r="Y7" i="10"/>
  <c r="W7" i="10"/>
  <c r="S7" i="10"/>
  <c r="U7" i="10" s="1"/>
  <c r="X7" i="10" s="1"/>
  <c r="Z33" i="9"/>
  <c r="Z34" i="9" s="1"/>
  <c r="Z31" i="9"/>
  <c r="AJ28" i="9"/>
  <c r="AI28" i="9"/>
  <c r="AH28" i="9"/>
  <c r="AG28" i="9"/>
  <c r="AF28" i="9"/>
  <c r="AB26" i="9"/>
  <c r="Y26" i="9"/>
  <c r="AC26" i="9" s="1"/>
  <c r="AD26" i="9" s="1"/>
  <c r="AE26" i="9" s="1"/>
  <c r="W26" i="9"/>
  <c r="S26" i="9"/>
  <c r="U26" i="9" s="1"/>
  <c r="X26" i="9" s="1"/>
  <c r="AB25" i="9"/>
  <c r="Y25" i="9"/>
  <c r="Z25" i="9" s="1"/>
  <c r="W25" i="9"/>
  <c r="S25" i="9"/>
  <c r="U25" i="9" s="1"/>
  <c r="X25" i="9" s="1"/>
  <c r="AB24" i="9"/>
  <c r="Y24" i="9"/>
  <c r="AC24" i="9" s="1"/>
  <c r="W24" i="9"/>
  <c r="S24" i="9"/>
  <c r="U24" i="9" s="1"/>
  <c r="X24" i="9" s="1"/>
  <c r="AB23" i="9"/>
  <c r="Z23" i="9"/>
  <c r="Y23" i="9"/>
  <c r="AC23" i="9" s="1"/>
  <c r="W23" i="9"/>
  <c r="S23" i="9"/>
  <c r="U23" i="9" s="1"/>
  <c r="AB22" i="9"/>
  <c r="Y22" i="9"/>
  <c r="W22" i="9"/>
  <c r="S22" i="9"/>
  <c r="U22" i="9" s="1"/>
  <c r="X22" i="9" s="1"/>
  <c r="AB21" i="9"/>
  <c r="Y21" i="9"/>
  <c r="Z21" i="9" s="1"/>
  <c r="W21" i="9"/>
  <c r="S21" i="9"/>
  <c r="U21" i="9" s="1"/>
  <c r="AB20" i="9"/>
  <c r="Y20" i="9"/>
  <c r="W20" i="9"/>
  <c r="S20" i="9"/>
  <c r="U20" i="9" s="1"/>
  <c r="X20" i="9" s="1"/>
  <c r="AB19" i="9"/>
  <c r="Y19" i="9"/>
  <c r="AC19" i="9" s="1"/>
  <c r="W19" i="9"/>
  <c r="S19" i="9"/>
  <c r="U19" i="9" s="1"/>
  <c r="X19" i="9" s="1"/>
  <c r="AB18" i="9"/>
  <c r="AB17" i="9"/>
  <c r="Y17" i="9"/>
  <c r="Z17" i="9" s="1"/>
  <c r="W17" i="9"/>
  <c r="S17" i="9"/>
  <c r="U17" i="9" s="1"/>
  <c r="X17" i="9" s="1"/>
  <c r="AB16" i="9"/>
  <c r="Y16" i="9"/>
  <c r="AC16" i="9" s="1"/>
  <c r="W16" i="9"/>
  <c r="S16" i="9"/>
  <c r="U16" i="9" s="1"/>
  <c r="X16" i="9" s="1"/>
  <c r="AB15" i="9"/>
  <c r="Z15" i="9"/>
  <c r="W15" i="9"/>
  <c r="S15" i="9"/>
  <c r="U15" i="9" s="1"/>
  <c r="X15" i="9" s="1"/>
  <c r="AB14" i="9"/>
  <c r="Y14" i="9"/>
  <c r="W14" i="9"/>
  <c r="S14" i="9"/>
  <c r="U14" i="9" s="1"/>
  <c r="AB13" i="9"/>
  <c r="AC13" i="9" s="1"/>
  <c r="Y13" i="9"/>
  <c r="Z13" i="9" s="1"/>
  <c r="W13" i="9"/>
  <c r="S13" i="9"/>
  <c r="U13" i="9" s="1"/>
  <c r="X13" i="9" s="1"/>
  <c r="AB12" i="9"/>
  <c r="W12" i="9"/>
  <c r="S12" i="9"/>
  <c r="U12" i="9" s="1"/>
  <c r="AB11" i="9"/>
  <c r="Y11" i="9"/>
  <c r="W11" i="9"/>
  <c r="S11" i="9"/>
  <c r="U11" i="9" s="1"/>
  <c r="X11" i="9" s="1"/>
  <c r="AB10" i="9"/>
  <c r="Y10" i="9"/>
  <c r="Z10" i="9" s="1"/>
  <c r="W10" i="9"/>
  <c r="S10" i="9"/>
  <c r="U10" i="9" s="1"/>
  <c r="X10" i="9" s="1"/>
  <c r="AB9" i="9"/>
  <c r="W9" i="9"/>
  <c r="S9" i="9"/>
  <c r="U9" i="9" s="1"/>
  <c r="X9" i="9" s="1"/>
  <c r="AB8" i="9"/>
  <c r="AC8" i="9"/>
  <c r="W8" i="9"/>
  <c r="S8" i="9"/>
  <c r="U8" i="9" s="1"/>
  <c r="X8" i="9" s="1"/>
  <c r="AB7" i="9"/>
  <c r="Y7" i="9"/>
  <c r="AC7" i="9" s="1"/>
  <c r="W7" i="9"/>
  <c r="S7" i="9"/>
  <c r="U7" i="9" s="1"/>
  <c r="Z75" i="6"/>
  <c r="Z72" i="6"/>
  <c r="Z74" i="6" s="1"/>
  <c r="Y8" i="7"/>
  <c r="Y18" i="7"/>
  <c r="Y22" i="7"/>
  <c r="Y26" i="7"/>
  <c r="Y29" i="7"/>
  <c r="Z48" i="7"/>
  <c r="Z50" i="7" s="1"/>
  <c r="Z51" i="7"/>
  <c r="AD34" i="10" l="1"/>
  <c r="AE34" i="10" s="1"/>
  <c r="AD10" i="10"/>
  <c r="AE10" i="10" s="1"/>
  <c r="Z10" i="10"/>
  <c r="AC7" i="10"/>
  <c r="X12" i="10"/>
  <c r="AD12" i="10" s="1"/>
  <c r="AE12" i="10" s="1"/>
  <c r="X14" i="10"/>
  <c r="AC17" i="10"/>
  <c r="AD17" i="10" s="1"/>
  <c r="AE17" i="10" s="1"/>
  <c r="X19" i="10"/>
  <c r="X24" i="10"/>
  <c r="AD24" i="10" s="1"/>
  <c r="AE24" i="10" s="1"/>
  <c r="AC31" i="10"/>
  <c r="AD31" i="10" s="1"/>
  <c r="AE31" i="10" s="1"/>
  <c r="AC36" i="10"/>
  <c r="AC38" i="10"/>
  <c r="AD38" i="10" s="1"/>
  <c r="AE38" i="10" s="1"/>
  <c r="AC22" i="10"/>
  <c r="X36" i="10"/>
  <c r="AD36" i="10" s="1"/>
  <c r="AE36" i="10" s="1"/>
  <c r="AD9" i="10"/>
  <c r="AE9" i="10" s="1"/>
  <c r="X16" i="10"/>
  <c r="AD16" i="10" s="1"/>
  <c r="AE16" i="10" s="1"/>
  <c r="AD19" i="10"/>
  <c r="AE19" i="10" s="1"/>
  <c r="AC16" i="10"/>
  <c r="AC21" i="10"/>
  <c r="AD21" i="10" s="1"/>
  <c r="AE21" i="10" s="1"/>
  <c r="X25" i="10"/>
  <c r="AC26" i="10"/>
  <c r="X34" i="10"/>
  <c r="AC35" i="10"/>
  <c r="AD35" i="10" s="1"/>
  <c r="AE35" i="10" s="1"/>
  <c r="X39" i="10"/>
  <c r="X41" i="10"/>
  <c r="X8" i="10"/>
  <c r="X10" i="10"/>
  <c r="AC11" i="10"/>
  <c r="AD11" i="10" s="1"/>
  <c r="AE11" i="10" s="1"/>
  <c r="X13" i="10"/>
  <c r="AD13" i="10" s="1"/>
  <c r="AE13" i="10" s="1"/>
  <c r="X15" i="10"/>
  <c r="AD15" i="10" s="1"/>
  <c r="AE15" i="10" s="1"/>
  <c r="AC23" i="10"/>
  <c r="AD23" i="10" s="1"/>
  <c r="AE23" i="10" s="1"/>
  <c r="X27" i="10"/>
  <c r="AD27" i="10" s="1"/>
  <c r="AE27" i="10" s="1"/>
  <c r="AC32" i="10"/>
  <c r="AC37" i="10"/>
  <c r="AC8" i="10"/>
  <c r="X22" i="10"/>
  <c r="AC25" i="10"/>
  <c r="X29" i="10"/>
  <c r="AD29" i="10" s="1"/>
  <c r="AE29" i="10" s="1"/>
  <c r="AC39" i="10"/>
  <c r="AD39" i="10" s="1"/>
  <c r="AE39" i="10" s="1"/>
  <c r="AC41" i="10"/>
  <c r="AD41" i="10" s="1"/>
  <c r="AE41" i="10" s="1"/>
  <c r="X40" i="10"/>
  <c r="AD33" i="10"/>
  <c r="AE33" i="10" s="1"/>
  <c r="Z39" i="10"/>
  <c r="X32" i="10"/>
  <c r="AD32" i="10" s="1"/>
  <c r="AE32" i="10" s="1"/>
  <c r="AD30" i="10"/>
  <c r="AE30" i="10" s="1"/>
  <c r="Z35" i="10"/>
  <c r="AD37" i="10"/>
  <c r="AE37" i="10" s="1"/>
  <c r="X28" i="10"/>
  <c r="AD28" i="10" s="1"/>
  <c r="AE28" i="10" s="1"/>
  <c r="AD25" i="10"/>
  <c r="AE25" i="10" s="1"/>
  <c r="AD26" i="10"/>
  <c r="AE26" i="10" s="1"/>
  <c r="X20" i="10"/>
  <c r="AD20" i="10" s="1"/>
  <c r="AE20" i="10" s="1"/>
  <c r="AC14" i="10"/>
  <c r="AD14" i="10" s="1"/>
  <c r="AE14" i="10" s="1"/>
  <c r="Z36" i="9"/>
  <c r="AD8" i="9"/>
  <c r="AE8" i="9" s="1"/>
  <c r="Z18" i="9"/>
  <c r="AC25" i="9"/>
  <c r="Z7" i="9"/>
  <c r="AC9" i="9"/>
  <c r="AC11" i="9"/>
  <c r="AC15" i="9"/>
  <c r="AD15" i="9" s="1"/>
  <c r="AE15" i="9" s="1"/>
  <c r="AC20" i="9"/>
  <c r="AC22" i="9"/>
  <c r="AD22" i="9" s="1"/>
  <c r="AE22" i="9" s="1"/>
  <c r="AD18" i="9"/>
  <c r="AE18" i="9" s="1"/>
  <c r="X12" i="9"/>
  <c r="X14" i="9"/>
  <c r="X21" i="9"/>
  <c r="X23" i="9"/>
  <c r="AD23" i="9" s="1"/>
  <c r="AE23" i="9" s="1"/>
  <c r="Z35" i="9"/>
  <c r="X7" i="9"/>
  <c r="AC12" i="9"/>
  <c r="AC14" i="9"/>
  <c r="Z19" i="9"/>
  <c r="Z26" i="9"/>
  <c r="Z11" i="9"/>
  <c r="Z14" i="9"/>
  <c r="AD14" i="9"/>
  <c r="AE14" i="9" s="1"/>
  <c r="AC17" i="9"/>
  <c r="AD17" i="9" s="1"/>
  <c r="AE17" i="9" s="1"/>
  <c r="Z22" i="9"/>
  <c r="AC21" i="9"/>
  <c r="AD20" i="9"/>
  <c r="AE20" i="9" s="1"/>
  <c r="AD40" i="10"/>
  <c r="AE40" i="10" s="1"/>
  <c r="AD7" i="10"/>
  <c r="Z7" i="10"/>
  <c r="Z11" i="10"/>
  <c r="Z15" i="10"/>
  <c r="Z19" i="10"/>
  <c r="Z23" i="10"/>
  <c r="Z27" i="10"/>
  <c r="Z31" i="10"/>
  <c r="Z8" i="10"/>
  <c r="Z12" i="10"/>
  <c r="Z16" i="10"/>
  <c r="Z20" i="10"/>
  <c r="Z24" i="10"/>
  <c r="Z28" i="10"/>
  <c r="Z32" i="10"/>
  <c r="Z36" i="10"/>
  <c r="Z40" i="10"/>
  <c r="Z9" i="10"/>
  <c r="Z13" i="10"/>
  <c r="Z17" i="10"/>
  <c r="Z21" i="10"/>
  <c r="Z25" i="10"/>
  <c r="Z29" i="10"/>
  <c r="Z33" i="10"/>
  <c r="Z37" i="10"/>
  <c r="Z41" i="10"/>
  <c r="Z49" i="10"/>
  <c r="AD16" i="9"/>
  <c r="AE16" i="9" s="1"/>
  <c r="AD9" i="9"/>
  <c r="AE9" i="9" s="1"/>
  <c r="AD25" i="9"/>
  <c r="AE25" i="9" s="1"/>
  <c r="AD13" i="9"/>
  <c r="AE13" i="9" s="1"/>
  <c r="AD24" i="9"/>
  <c r="AE24" i="9" s="1"/>
  <c r="AD7" i="9"/>
  <c r="AC10" i="9"/>
  <c r="AD10" i="9" s="1"/>
  <c r="AE10" i="9" s="1"/>
  <c r="AD11" i="9"/>
  <c r="AE11" i="9" s="1"/>
  <c r="AD19" i="9"/>
  <c r="AE19" i="9" s="1"/>
  <c r="Z8" i="9"/>
  <c r="Z12" i="9"/>
  <c r="Z16" i="9"/>
  <c r="Z20" i="9"/>
  <c r="Z24" i="9"/>
  <c r="Z73" i="6"/>
  <c r="Z49" i="7"/>
  <c r="AD8" i="10" l="1"/>
  <c r="AE8" i="10" s="1"/>
  <c r="AD22" i="10"/>
  <c r="AE22" i="10" s="1"/>
  <c r="AC43" i="10"/>
  <c r="AD12" i="9"/>
  <c r="AE12" i="9" s="1"/>
  <c r="AD21" i="9"/>
  <c r="AE21" i="9" s="1"/>
  <c r="Z28" i="9"/>
  <c r="AE7" i="10"/>
  <c r="Z43" i="10"/>
  <c r="AC28" i="9"/>
  <c r="AE7" i="9"/>
  <c r="AD43" i="10" l="1"/>
  <c r="AE43" i="10" s="1"/>
  <c r="AD28" i="9"/>
  <c r="AE28" i="9" s="1"/>
  <c r="AB57" i="6" l="1"/>
  <c r="Z57" i="6"/>
  <c r="Y57" i="6"/>
  <c r="AC57" i="6" s="1"/>
  <c r="W57" i="6"/>
  <c r="U57" i="6"/>
  <c r="X57" i="6" s="1"/>
  <c r="S57" i="6"/>
  <c r="AB56" i="6"/>
  <c r="Y56" i="6"/>
  <c r="AC56" i="6" s="1"/>
  <c r="W56" i="6"/>
  <c r="S56" i="6"/>
  <c r="U56" i="6" s="1"/>
  <c r="X56" i="6" s="1"/>
  <c r="AB55" i="6"/>
  <c r="AC55" i="6" s="1"/>
  <c r="Z55" i="6"/>
  <c r="Y55" i="6"/>
  <c r="W55" i="6"/>
  <c r="U55" i="6"/>
  <c r="X55" i="6" s="1"/>
  <c r="S55" i="6"/>
  <c r="AC54" i="6"/>
  <c r="AB54" i="6"/>
  <c r="Y54" i="6"/>
  <c r="Z54" i="6" s="1"/>
  <c r="W54" i="6"/>
  <c r="S54" i="6"/>
  <c r="U54" i="6" s="1"/>
  <c r="X54" i="6" s="1"/>
  <c r="AB53" i="6"/>
  <c r="Z53" i="6"/>
  <c r="Y53" i="6"/>
  <c r="AC53" i="6" s="1"/>
  <c r="W53" i="6"/>
  <c r="U53" i="6"/>
  <c r="X53" i="6" s="1"/>
  <c r="S53" i="6"/>
  <c r="AB52" i="6"/>
  <c r="Y52" i="6"/>
  <c r="AC52" i="6" s="1"/>
  <c r="W52" i="6"/>
  <c r="S52" i="6"/>
  <c r="U52" i="6" s="1"/>
  <c r="X52" i="6" s="1"/>
  <c r="AB51" i="6"/>
  <c r="AC51" i="6" s="1"/>
  <c r="Z51" i="6"/>
  <c r="Y51" i="6"/>
  <c r="W51" i="6"/>
  <c r="U51" i="6"/>
  <c r="X51" i="6" s="1"/>
  <c r="S51" i="6"/>
  <c r="AC50" i="6"/>
  <c r="AB50" i="6"/>
  <c r="Y50" i="6"/>
  <c r="Z50" i="6" s="1"/>
  <c r="W50" i="6"/>
  <c r="S50" i="6"/>
  <c r="U50" i="6" s="1"/>
  <c r="X50" i="6" s="1"/>
  <c r="AB49" i="6"/>
  <c r="Z49" i="6"/>
  <c r="Y49" i="6"/>
  <c r="AC49" i="6" s="1"/>
  <c r="W49" i="6"/>
  <c r="U49" i="6"/>
  <c r="X49" i="6" s="1"/>
  <c r="S49" i="6"/>
  <c r="AB48" i="6"/>
  <c r="Y48" i="6"/>
  <c r="AC48" i="6" s="1"/>
  <c r="AD48" i="6" s="1"/>
  <c r="AE48" i="6" s="1"/>
  <c r="W48" i="6"/>
  <c r="S48" i="6"/>
  <c r="U48" i="6" s="1"/>
  <c r="X48" i="6" s="1"/>
  <c r="AB47" i="6"/>
  <c r="AC47" i="6" s="1"/>
  <c r="AD47" i="6" s="1"/>
  <c r="AE47" i="6" s="1"/>
  <c r="Z47" i="6"/>
  <c r="Y47" i="6"/>
  <c r="W47" i="6"/>
  <c r="U47" i="6"/>
  <c r="X47" i="6" s="1"/>
  <c r="S47" i="6"/>
  <c r="AC46" i="6"/>
  <c r="AB46" i="6"/>
  <c r="Y46" i="6"/>
  <c r="Z46" i="6" s="1"/>
  <c r="W46" i="6"/>
  <c r="S46" i="6"/>
  <c r="U46" i="6" s="1"/>
  <c r="X46" i="6" s="1"/>
  <c r="AB45" i="6"/>
  <c r="Z45" i="6"/>
  <c r="Y45" i="6"/>
  <c r="AC45" i="6" s="1"/>
  <c r="AD45" i="6" s="1"/>
  <c r="AE45" i="6" s="1"/>
  <c r="W45" i="6"/>
  <c r="U45" i="6"/>
  <c r="X45" i="6" s="1"/>
  <c r="S45" i="6"/>
  <c r="AB44" i="6"/>
  <c r="Y44" i="6"/>
  <c r="AC44" i="6" s="1"/>
  <c r="AD44" i="6" s="1"/>
  <c r="AE44" i="6" s="1"/>
  <c r="W44" i="6"/>
  <c r="S44" i="6"/>
  <c r="U44" i="6" s="1"/>
  <c r="X44" i="6" s="1"/>
  <c r="AB43" i="6"/>
  <c r="AC43" i="6" s="1"/>
  <c r="AD43" i="6" s="1"/>
  <c r="AE43" i="6" s="1"/>
  <c r="Z43" i="6"/>
  <c r="Y43" i="6"/>
  <c r="W43" i="6"/>
  <c r="U43" i="6"/>
  <c r="X43" i="6" s="1"/>
  <c r="S43" i="6"/>
  <c r="AC42" i="6"/>
  <c r="AB42" i="6"/>
  <c r="Y42" i="6"/>
  <c r="Z42" i="6" s="1"/>
  <c r="W42" i="6"/>
  <c r="S42" i="6"/>
  <c r="U42" i="6" s="1"/>
  <c r="X42" i="6" s="1"/>
  <c r="AB41" i="6"/>
  <c r="Z41" i="6"/>
  <c r="Y41" i="6"/>
  <c r="AC41" i="6" s="1"/>
  <c r="AD41" i="6" s="1"/>
  <c r="AE41" i="6" s="1"/>
  <c r="W41" i="6"/>
  <c r="U41" i="6"/>
  <c r="X41" i="6" s="1"/>
  <c r="S41" i="6"/>
  <c r="AB40" i="6"/>
  <c r="Y40" i="6"/>
  <c r="AC40" i="6" s="1"/>
  <c r="AD40" i="6" s="1"/>
  <c r="AE40" i="6" s="1"/>
  <c r="W40" i="6"/>
  <c r="S40" i="6"/>
  <c r="U40" i="6" s="1"/>
  <c r="X40" i="6" s="1"/>
  <c r="AB39" i="6"/>
  <c r="AC39" i="6" s="1"/>
  <c r="AD39" i="6" s="1"/>
  <c r="AE39" i="6" s="1"/>
  <c r="Z39" i="6"/>
  <c r="Y39" i="6"/>
  <c r="W39" i="6"/>
  <c r="U39" i="6"/>
  <c r="X39" i="6" s="1"/>
  <c r="S39" i="6"/>
  <c r="AC38" i="6"/>
  <c r="AD38" i="6" s="1"/>
  <c r="AE38" i="6" s="1"/>
  <c r="AB38" i="6"/>
  <c r="Y38" i="6"/>
  <c r="Z38" i="6" s="1"/>
  <c r="W38" i="6"/>
  <c r="S38" i="6"/>
  <c r="U38" i="6" s="1"/>
  <c r="X38" i="6" s="1"/>
  <c r="AB37" i="6"/>
  <c r="Z37" i="6"/>
  <c r="Y37" i="6"/>
  <c r="AC37" i="6" s="1"/>
  <c r="AD37" i="6" s="1"/>
  <c r="AE37" i="6" s="1"/>
  <c r="W37" i="6"/>
  <c r="U37" i="6"/>
  <c r="X37" i="6" s="1"/>
  <c r="S37" i="6"/>
  <c r="AB36" i="6"/>
  <c r="Y36" i="6"/>
  <c r="AC36" i="6" s="1"/>
  <c r="AD36" i="6" s="1"/>
  <c r="AE36" i="6" s="1"/>
  <c r="W36" i="6"/>
  <c r="S36" i="6"/>
  <c r="U36" i="6" s="1"/>
  <c r="X36" i="6" s="1"/>
  <c r="AB35" i="6"/>
  <c r="AC35" i="6" s="1"/>
  <c r="AD35" i="6" s="1"/>
  <c r="AE35" i="6" s="1"/>
  <c r="Z35" i="6"/>
  <c r="Y35" i="6"/>
  <c r="W35" i="6"/>
  <c r="U35" i="6"/>
  <c r="X35" i="6" s="1"/>
  <c r="S35" i="6"/>
  <c r="AC34" i="6"/>
  <c r="AD34" i="6" s="1"/>
  <c r="AE34" i="6" s="1"/>
  <c r="AB34" i="6"/>
  <c r="Y34" i="6"/>
  <c r="Z34" i="6" s="1"/>
  <c r="W34" i="6"/>
  <c r="S34" i="6"/>
  <c r="U34" i="6" s="1"/>
  <c r="X34" i="6" s="1"/>
  <c r="AB65" i="6"/>
  <c r="Y65" i="6"/>
  <c r="W65" i="6"/>
  <c r="S65" i="6"/>
  <c r="U65" i="6" s="1"/>
  <c r="AB64" i="6"/>
  <c r="Y64" i="6"/>
  <c r="Z64" i="6" s="1"/>
  <c r="W64" i="6"/>
  <c r="S64" i="6"/>
  <c r="U64" i="6" s="1"/>
  <c r="AB63" i="6"/>
  <c r="Y63" i="6"/>
  <c r="W63" i="6"/>
  <c r="S63" i="6"/>
  <c r="U63" i="6" s="1"/>
  <c r="AB62" i="6"/>
  <c r="Y62" i="6"/>
  <c r="Z62" i="6" s="1"/>
  <c r="W62" i="6"/>
  <c r="S62" i="6"/>
  <c r="U62" i="6" s="1"/>
  <c r="AB61" i="6"/>
  <c r="Y61" i="6"/>
  <c r="W61" i="6"/>
  <c r="S61" i="6"/>
  <c r="U61" i="6" s="1"/>
  <c r="AB60" i="6"/>
  <c r="Y60" i="6"/>
  <c r="W60" i="6"/>
  <c r="S60" i="6"/>
  <c r="U60" i="6" s="1"/>
  <c r="AB59" i="6"/>
  <c r="Y59" i="6"/>
  <c r="Z59" i="6" s="1"/>
  <c r="W59" i="6"/>
  <c r="S59" i="6"/>
  <c r="U59" i="6" s="1"/>
  <c r="AB58" i="6"/>
  <c r="Y58" i="6"/>
  <c r="Z58" i="6" s="1"/>
  <c r="W58" i="6"/>
  <c r="S58" i="6"/>
  <c r="U58" i="6" s="1"/>
  <c r="AB33" i="6"/>
  <c r="Y33" i="6"/>
  <c r="W33" i="6"/>
  <c r="S33" i="6"/>
  <c r="U33" i="6" s="1"/>
  <c r="AB32" i="6"/>
  <c r="Y32" i="6"/>
  <c r="Z32" i="6" s="1"/>
  <c r="W32" i="6"/>
  <c r="S32" i="6"/>
  <c r="U32" i="6" s="1"/>
  <c r="AB31" i="6"/>
  <c r="Y31" i="6"/>
  <c r="W31" i="6"/>
  <c r="S31" i="6"/>
  <c r="U31" i="6" s="1"/>
  <c r="AB30" i="6"/>
  <c r="Y30" i="6"/>
  <c r="Z30" i="6" s="1"/>
  <c r="W30" i="6"/>
  <c r="S30" i="6"/>
  <c r="U30" i="6" s="1"/>
  <c r="AB29" i="6"/>
  <c r="Y29" i="6"/>
  <c r="W29" i="6"/>
  <c r="S29" i="6"/>
  <c r="U29" i="6" s="1"/>
  <c r="AB28" i="6"/>
  <c r="Y28" i="6"/>
  <c r="W28" i="6"/>
  <c r="S28" i="6"/>
  <c r="U28" i="6" s="1"/>
  <c r="AB27" i="6"/>
  <c r="Y27" i="6"/>
  <c r="W27" i="6"/>
  <c r="S27" i="6"/>
  <c r="U27" i="6" s="1"/>
  <c r="AB26" i="6"/>
  <c r="Y26" i="6"/>
  <c r="Z26" i="6" s="1"/>
  <c r="W26" i="6"/>
  <c r="S26" i="6"/>
  <c r="U26" i="6" s="1"/>
  <c r="AB25" i="6"/>
  <c r="Y25" i="6"/>
  <c r="W25" i="6"/>
  <c r="S25" i="6"/>
  <c r="U25" i="6" s="1"/>
  <c r="AB24" i="6"/>
  <c r="Y24" i="6"/>
  <c r="Z24" i="6" s="1"/>
  <c r="W24" i="6"/>
  <c r="S24" i="6"/>
  <c r="U24" i="6" s="1"/>
  <c r="AB23" i="6"/>
  <c r="Y23" i="6"/>
  <c r="W23" i="6"/>
  <c r="S23" i="6"/>
  <c r="U23" i="6" s="1"/>
  <c r="AB22" i="6"/>
  <c r="Y22" i="6"/>
  <c r="Z22" i="6" s="1"/>
  <c r="W22" i="6"/>
  <c r="S22" i="6"/>
  <c r="U22" i="6" s="1"/>
  <c r="AB21" i="6"/>
  <c r="Y21" i="6"/>
  <c r="W21" i="6"/>
  <c r="S21" i="6"/>
  <c r="U21" i="6" s="1"/>
  <c r="AB20" i="6"/>
  <c r="Y20" i="6"/>
  <c r="W20" i="6"/>
  <c r="S20" i="6"/>
  <c r="U20" i="6" s="1"/>
  <c r="AB19" i="6"/>
  <c r="Y19" i="6"/>
  <c r="W19" i="6"/>
  <c r="S19" i="6"/>
  <c r="U19" i="6" s="1"/>
  <c r="AB18" i="6"/>
  <c r="Y18" i="6"/>
  <c r="Z18" i="6" s="1"/>
  <c r="W18" i="6"/>
  <c r="S18" i="6"/>
  <c r="U18" i="6" s="1"/>
  <c r="AB17" i="6"/>
  <c r="Y17" i="6"/>
  <c r="W17" i="6"/>
  <c r="S17" i="6"/>
  <c r="U17" i="6" s="1"/>
  <c r="AB16" i="6"/>
  <c r="Y16" i="6"/>
  <c r="Z16" i="6" s="1"/>
  <c r="W16" i="6"/>
  <c r="S16" i="6"/>
  <c r="U16" i="6" s="1"/>
  <c r="AB15" i="6"/>
  <c r="Y15" i="6"/>
  <c r="Z15" i="6" s="1"/>
  <c r="W15" i="6"/>
  <c r="S15" i="6"/>
  <c r="U15" i="6" s="1"/>
  <c r="AB14" i="6"/>
  <c r="Y14" i="6"/>
  <c r="Z14" i="6" s="1"/>
  <c r="W14" i="6"/>
  <c r="S14" i="6"/>
  <c r="U14" i="6" s="1"/>
  <c r="AB13" i="6"/>
  <c r="Y13" i="6"/>
  <c r="W13" i="6"/>
  <c r="S13" i="6"/>
  <c r="U13" i="6" s="1"/>
  <c r="AB12" i="6"/>
  <c r="Y12" i="6"/>
  <c r="W12" i="6"/>
  <c r="S12" i="6"/>
  <c r="U12" i="6" s="1"/>
  <c r="AB11" i="6"/>
  <c r="Y11" i="6"/>
  <c r="W11" i="6"/>
  <c r="S11" i="6"/>
  <c r="U11" i="6" s="1"/>
  <c r="AB10" i="6"/>
  <c r="Y10" i="6"/>
  <c r="Z10" i="6" s="1"/>
  <c r="W10" i="6"/>
  <c r="S10" i="6"/>
  <c r="U10" i="6" s="1"/>
  <c r="AB9" i="6"/>
  <c r="Y9" i="6"/>
  <c r="W9" i="6"/>
  <c r="S9" i="6"/>
  <c r="U9" i="6" s="1"/>
  <c r="AB8" i="6"/>
  <c r="Y8" i="6"/>
  <c r="W8" i="6"/>
  <c r="S8" i="6"/>
  <c r="U8" i="6" s="1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7" i="6"/>
  <c r="AD42" i="6" l="1"/>
  <c r="AE42" i="6" s="1"/>
  <c r="AD51" i="6"/>
  <c r="AE51" i="6" s="1"/>
  <c r="AD53" i="6"/>
  <c r="AE53" i="6" s="1"/>
  <c r="AD56" i="6"/>
  <c r="AE56" i="6" s="1"/>
  <c r="AD50" i="6"/>
  <c r="AE50" i="6" s="1"/>
  <c r="AD49" i="6"/>
  <c r="AE49" i="6" s="1"/>
  <c r="AD52" i="6"/>
  <c r="AE52" i="6" s="1"/>
  <c r="AD46" i="6"/>
  <c r="AE46" i="6" s="1"/>
  <c r="AD55" i="6"/>
  <c r="AE55" i="6" s="1"/>
  <c r="AD57" i="6"/>
  <c r="AE57" i="6" s="1"/>
  <c r="AD54" i="6"/>
  <c r="AE54" i="6" s="1"/>
  <c r="Z36" i="6"/>
  <c r="Z40" i="6"/>
  <c r="Z44" i="6"/>
  <c r="Z48" i="6"/>
  <c r="Z52" i="6"/>
  <c r="Z56" i="6"/>
  <c r="X17" i="6"/>
  <c r="X21" i="6"/>
  <c r="X23" i="6"/>
  <c r="X61" i="6"/>
  <c r="X63" i="6"/>
  <c r="AC14" i="6"/>
  <c r="AC22" i="6"/>
  <c r="AC30" i="6"/>
  <c r="AC27" i="6"/>
  <c r="AC62" i="6"/>
  <c r="X14" i="6"/>
  <c r="X16" i="6"/>
  <c r="X22" i="6"/>
  <c r="X24" i="6"/>
  <c r="X32" i="6"/>
  <c r="AC9" i="6"/>
  <c r="AC11" i="6"/>
  <c r="AC13" i="6"/>
  <c r="X29" i="6"/>
  <c r="X31" i="6"/>
  <c r="AC60" i="6"/>
  <c r="AC17" i="6"/>
  <c r="AC19" i="6"/>
  <c r="X33" i="6"/>
  <c r="AC25" i="6"/>
  <c r="AC29" i="6"/>
  <c r="X18" i="6"/>
  <c r="AC33" i="6"/>
  <c r="AC8" i="6"/>
  <c r="AD8" i="6" s="1"/>
  <c r="AE8" i="6" s="1"/>
  <c r="AC12" i="6"/>
  <c r="X26" i="6"/>
  <c r="X30" i="6"/>
  <c r="AC20" i="6"/>
  <c r="AC65" i="6"/>
  <c r="X13" i="6"/>
  <c r="AC28" i="6"/>
  <c r="X62" i="6"/>
  <c r="X64" i="6"/>
  <c r="AC18" i="6"/>
  <c r="Z20" i="6"/>
  <c r="AC58" i="6"/>
  <c r="Z60" i="6"/>
  <c r="X8" i="6"/>
  <c r="X10" i="6"/>
  <c r="X12" i="6"/>
  <c r="X19" i="6"/>
  <c r="AC24" i="6"/>
  <c r="X28" i="6"/>
  <c r="AC31" i="6"/>
  <c r="X59" i="6"/>
  <c r="AC64" i="6"/>
  <c r="AC10" i="6"/>
  <c r="Z12" i="6"/>
  <c r="AC21" i="6"/>
  <c r="X25" i="6"/>
  <c r="AC26" i="6"/>
  <c r="Z28" i="6"/>
  <c r="AC61" i="6"/>
  <c r="X65" i="6"/>
  <c r="X15" i="6"/>
  <c r="X9" i="6"/>
  <c r="X11" i="6"/>
  <c r="AC16" i="6"/>
  <c r="X20" i="6"/>
  <c r="AC23" i="6"/>
  <c r="X27" i="6"/>
  <c r="AC32" i="6"/>
  <c r="X58" i="6"/>
  <c r="X60" i="6"/>
  <c r="AD60" i="6" s="1"/>
  <c r="AE60" i="6" s="1"/>
  <c r="AC63" i="6"/>
  <c r="Z11" i="6"/>
  <c r="Z19" i="6"/>
  <c r="Z23" i="6"/>
  <c r="Z27" i="6"/>
  <c r="Z31" i="6"/>
  <c r="Z63" i="6"/>
  <c r="Z8" i="6"/>
  <c r="AC15" i="6"/>
  <c r="AC59" i="6"/>
  <c r="Z9" i="6"/>
  <c r="Z13" i="6"/>
  <c r="Z17" i="6"/>
  <c r="Z21" i="6"/>
  <c r="Z25" i="6"/>
  <c r="Z29" i="6"/>
  <c r="Z33" i="6"/>
  <c r="Z61" i="6"/>
  <c r="Z65" i="6"/>
  <c r="AD24" i="6" l="1"/>
  <c r="AE24" i="6" s="1"/>
  <c r="AD30" i="6"/>
  <c r="AE30" i="6" s="1"/>
  <c r="AD22" i="6"/>
  <c r="AE22" i="6" s="1"/>
  <c r="AD21" i="6"/>
  <c r="AE21" i="6" s="1"/>
  <c r="AD20" i="6"/>
  <c r="AE20" i="6" s="1"/>
  <c r="AD17" i="6"/>
  <c r="AE17" i="6" s="1"/>
  <c r="AD63" i="6"/>
  <c r="AE63" i="6" s="1"/>
  <c r="AD12" i="6"/>
  <c r="AE12" i="6" s="1"/>
  <c r="AD33" i="6"/>
  <c r="AE33" i="6" s="1"/>
  <c r="AD9" i="6"/>
  <c r="AE9" i="6" s="1"/>
  <c r="AD28" i="6"/>
  <c r="AE28" i="6" s="1"/>
  <c r="AD61" i="6"/>
  <c r="AE61" i="6" s="1"/>
  <c r="AD13" i="6"/>
  <c r="AE13" i="6" s="1"/>
  <c r="AD23" i="6"/>
  <c r="AE23" i="6" s="1"/>
  <c r="AD11" i="6"/>
  <c r="AE11" i="6" s="1"/>
  <c r="AD25" i="6"/>
  <c r="AE25" i="6" s="1"/>
  <c r="AD27" i="6"/>
  <c r="AE27" i="6" s="1"/>
  <c r="AD29" i="6"/>
  <c r="AE29" i="6" s="1"/>
  <c r="AD14" i="6"/>
  <c r="AE14" i="6" s="1"/>
  <c r="AD18" i="6"/>
  <c r="AE18" i="6" s="1"/>
  <c r="AD32" i="6"/>
  <c r="AE32" i="6" s="1"/>
  <c r="AD65" i="6"/>
  <c r="AE65" i="6" s="1"/>
  <c r="AD62" i="6"/>
  <c r="AE62" i="6" s="1"/>
  <c r="AD16" i="6"/>
  <c r="AE16" i="6" s="1"/>
  <c r="AD59" i="6"/>
  <c r="AE59" i="6" s="1"/>
  <c r="AD10" i="6"/>
  <c r="AE10" i="6" s="1"/>
  <c r="AD19" i="6"/>
  <c r="AE19" i="6" s="1"/>
  <c r="AD64" i="6"/>
  <c r="AE64" i="6" s="1"/>
  <c r="AD26" i="6"/>
  <c r="AE26" i="6" s="1"/>
  <c r="AD15" i="6"/>
  <c r="AE15" i="6" s="1"/>
  <c r="AD31" i="6"/>
  <c r="AE31" i="6" s="1"/>
  <c r="AD58" i="6"/>
  <c r="AE58" i="6" s="1"/>
  <c r="Z46" i="7" l="1"/>
  <c r="AJ43" i="7"/>
  <c r="AI43" i="7"/>
  <c r="AH43" i="7"/>
  <c r="AG43" i="7"/>
  <c r="AF43" i="7"/>
  <c r="AB41" i="7"/>
  <c r="Z41" i="7"/>
  <c r="Y41" i="7"/>
  <c r="AC41" i="7" s="1"/>
  <c r="U41" i="7"/>
  <c r="X41" i="7" s="1"/>
  <c r="S41" i="7"/>
  <c r="AC40" i="7"/>
  <c r="AB40" i="7"/>
  <c r="Y40" i="7"/>
  <c r="Z40" i="7" s="1"/>
  <c r="S40" i="7"/>
  <c r="U40" i="7" s="1"/>
  <c r="X40" i="7" s="1"/>
  <c r="AB39" i="7"/>
  <c r="Z39" i="7"/>
  <c r="Y39" i="7"/>
  <c r="AC39" i="7" s="1"/>
  <c r="U39" i="7"/>
  <c r="X39" i="7" s="1"/>
  <c r="S39" i="7"/>
  <c r="AB38" i="7"/>
  <c r="Y38" i="7"/>
  <c r="AC38" i="7" s="1"/>
  <c r="S38" i="7"/>
  <c r="U38" i="7" s="1"/>
  <c r="X38" i="7" s="1"/>
  <c r="AB37" i="7"/>
  <c r="Z37" i="7"/>
  <c r="Y37" i="7"/>
  <c r="AC37" i="7" s="1"/>
  <c r="U37" i="7"/>
  <c r="X37" i="7" s="1"/>
  <c r="S37" i="7"/>
  <c r="AC36" i="7"/>
  <c r="AB36" i="7"/>
  <c r="Y36" i="7"/>
  <c r="Z36" i="7" s="1"/>
  <c r="S36" i="7"/>
  <c r="U36" i="7" s="1"/>
  <c r="X36" i="7" s="1"/>
  <c r="AB35" i="7"/>
  <c r="Y35" i="7"/>
  <c r="AC35" i="7" s="1"/>
  <c r="U35" i="7"/>
  <c r="X35" i="7" s="1"/>
  <c r="S35" i="7"/>
  <c r="AB34" i="7"/>
  <c r="Y34" i="7"/>
  <c r="AC34" i="7" s="1"/>
  <c r="S34" i="7"/>
  <c r="U34" i="7" s="1"/>
  <c r="X34" i="7" s="1"/>
  <c r="AB33" i="7"/>
  <c r="Z33" i="7"/>
  <c r="Y33" i="7"/>
  <c r="AC33" i="7" s="1"/>
  <c r="S33" i="7"/>
  <c r="U33" i="7" s="1"/>
  <c r="X33" i="7" s="1"/>
  <c r="AC32" i="7"/>
  <c r="AB32" i="7"/>
  <c r="Y32" i="7"/>
  <c r="Z32" i="7" s="1"/>
  <c r="S32" i="7"/>
  <c r="U32" i="7" s="1"/>
  <c r="X32" i="7" s="1"/>
  <c r="AB31" i="7"/>
  <c r="Y31" i="7"/>
  <c r="AC31" i="7" s="1"/>
  <c r="U31" i="7"/>
  <c r="X31" i="7" s="1"/>
  <c r="S31" i="7"/>
  <c r="AB30" i="7"/>
  <c r="AC30" i="7"/>
  <c r="S30" i="7"/>
  <c r="U30" i="7" s="1"/>
  <c r="X30" i="7" s="1"/>
  <c r="AB29" i="7"/>
  <c r="Z29" i="7"/>
  <c r="AC29" i="7"/>
  <c r="S29" i="7"/>
  <c r="U29" i="7" s="1"/>
  <c r="X29" i="7" s="1"/>
  <c r="AC28" i="7"/>
  <c r="AB28" i="7"/>
  <c r="Y28" i="7"/>
  <c r="Z28" i="7" s="1"/>
  <c r="S28" i="7"/>
  <c r="U28" i="7" s="1"/>
  <c r="X28" i="7" s="1"/>
  <c r="AB27" i="7"/>
  <c r="Y27" i="7"/>
  <c r="AC27" i="7" s="1"/>
  <c r="AD27" i="7" s="1"/>
  <c r="AE27" i="7" s="1"/>
  <c r="U27" i="7"/>
  <c r="X27" i="7" s="1"/>
  <c r="S27" i="7"/>
  <c r="AB26" i="7"/>
  <c r="AC26" i="7"/>
  <c r="S26" i="7"/>
  <c r="U26" i="7" s="1"/>
  <c r="X26" i="7" s="1"/>
  <c r="AB25" i="7"/>
  <c r="Z25" i="7"/>
  <c r="Y25" i="7"/>
  <c r="AC25" i="7" s="1"/>
  <c r="S25" i="7"/>
  <c r="U25" i="7" s="1"/>
  <c r="X25" i="7" s="1"/>
  <c r="AC24" i="7"/>
  <c r="AB24" i="7"/>
  <c r="Y24" i="7"/>
  <c r="Z24" i="7" s="1"/>
  <c r="S24" i="7"/>
  <c r="U24" i="7" s="1"/>
  <c r="X24" i="7" s="1"/>
  <c r="AB23" i="7"/>
  <c r="Y23" i="7"/>
  <c r="AC23" i="7" s="1"/>
  <c r="U23" i="7"/>
  <c r="X23" i="7" s="1"/>
  <c r="S23" i="7"/>
  <c r="AB22" i="7"/>
  <c r="AC22" i="7"/>
  <c r="AD22" i="7" s="1"/>
  <c r="AE22" i="7" s="1"/>
  <c r="S22" i="7"/>
  <c r="U22" i="7" s="1"/>
  <c r="X22" i="7" s="1"/>
  <c r="AB21" i="7"/>
  <c r="Z21" i="7"/>
  <c r="Y21" i="7"/>
  <c r="AC21" i="7" s="1"/>
  <c r="S21" i="7"/>
  <c r="U21" i="7" s="1"/>
  <c r="X21" i="7" s="1"/>
  <c r="AC20" i="7"/>
  <c r="AB20" i="7"/>
  <c r="Y20" i="7"/>
  <c r="Z20" i="7" s="1"/>
  <c r="S20" i="7"/>
  <c r="U20" i="7" s="1"/>
  <c r="X20" i="7" s="1"/>
  <c r="AB19" i="7"/>
  <c r="Y19" i="7"/>
  <c r="AC19" i="7" s="1"/>
  <c r="U19" i="7"/>
  <c r="X19" i="7" s="1"/>
  <c r="S19" i="7"/>
  <c r="AB18" i="7"/>
  <c r="AC18" i="7"/>
  <c r="S18" i="7"/>
  <c r="U18" i="7" s="1"/>
  <c r="X18" i="7" s="1"/>
  <c r="AB17" i="7"/>
  <c r="Z17" i="7"/>
  <c r="Y17" i="7"/>
  <c r="AC17" i="7" s="1"/>
  <c r="S17" i="7"/>
  <c r="U17" i="7" s="1"/>
  <c r="X17" i="7" s="1"/>
  <c r="AC16" i="7"/>
  <c r="AB16" i="7"/>
  <c r="Y16" i="7"/>
  <c r="Z16" i="7" s="1"/>
  <c r="S16" i="7"/>
  <c r="U16" i="7" s="1"/>
  <c r="X16" i="7" s="1"/>
  <c r="AB15" i="7"/>
  <c r="Y15" i="7"/>
  <c r="AC15" i="7" s="1"/>
  <c r="U15" i="7"/>
  <c r="X15" i="7" s="1"/>
  <c r="S15" i="7"/>
  <c r="AB14" i="7"/>
  <c r="Y14" i="7"/>
  <c r="AC14" i="7" s="1"/>
  <c r="S14" i="7"/>
  <c r="U14" i="7" s="1"/>
  <c r="X14" i="7" s="1"/>
  <c r="AB13" i="7"/>
  <c r="Z13" i="7"/>
  <c r="Y13" i="7"/>
  <c r="AC13" i="7" s="1"/>
  <c r="S13" i="7"/>
  <c r="U13" i="7" s="1"/>
  <c r="X13" i="7" s="1"/>
  <c r="AC12" i="7"/>
  <c r="AD12" i="7" s="1"/>
  <c r="AE12" i="7" s="1"/>
  <c r="AB12" i="7"/>
  <c r="Y12" i="7"/>
  <c r="Z12" i="7" s="1"/>
  <c r="S12" i="7"/>
  <c r="U12" i="7" s="1"/>
  <c r="X12" i="7" s="1"/>
  <c r="AB11" i="7"/>
  <c r="Y11" i="7"/>
  <c r="AC11" i="7" s="1"/>
  <c r="U11" i="7"/>
  <c r="X11" i="7" s="1"/>
  <c r="S11" i="7"/>
  <c r="AB10" i="7"/>
  <c r="AC10" i="7"/>
  <c r="AD10" i="7" s="1"/>
  <c r="AE10" i="7" s="1"/>
  <c r="S10" i="7"/>
  <c r="U10" i="7" s="1"/>
  <c r="X10" i="7" s="1"/>
  <c r="AB9" i="7"/>
  <c r="Y9" i="7"/>
  <c r="Z9" i="7" s="1"/>
  <c r="S9" i="7"/>
  <c r="U9" i="7" s="1"/>
  <c r="X9" i="7" s="1"/>
  <c r="AB8" i="7"/>
  <c r="AC8" i="7" s="1"/>
  <c r="Z8" i="7"/>
  <c r="S8" i="7"/>
  <c r="U8" i="7" s="1"/>
  <c r="X8" i="7" s="1"/>
  <c r="AB7" i="7"/>
  <c r="Y7" i="7"/>
  <c r="AC7" i="7" s="1"/>
  <c r="S7" i="7"/>
  <c r="U7" i="7" s="1"/>
  <c r="X7" i="7" s="1"/>
  <c r="Z70" i="6"/>
  <c r="AD8" i="7" l="1"/>
  <c r="AE8" i="7" s="1"/>
  <c r="AD15" i="7"/>
  <c r="AE15" i="7" s="1"/>
  <c r="AD26" i="7"/>
  <c r="AE26" i="7" s="1"/>
  <c r="AD21" i="7"/>
  <c r="AE21" i="7" s="1"/>
  <c r="AD17" i="7"/>
  <c r="AE17" i="7" s="1"/>
  <c r="AD37" i="7"/>
  <c r="AE37" i="7" s="1"/>
  <c r="AD39" i="7"/>
  <c r="AE39" i="7" s="1"/>
  <c r="AD20" i="7"/>
  <c r="AE20" i="7" s="1"/>
  <c r="AD31" i="7"/>
  <c r="AE31" i="7" s="1"/>
  <c r="AD29" i="7"/>
  <c r="AE29" i="7" s="1"/>
  <c r="AD32" i="7"/>
  <c r="AE32" i="7" s="1"/>
  <c r="AD34" i="7"/>
  <c r="AE34" i="7" s="1"/>
  <c r="AD40" i="7"/>
  <c r="AE40" i="7" s="1"/>
  <c r="AD14" i="7"/>
  <c r="AE14" i="7" s="1"/>
  <c r="AD11" i="7"/>
  <c r="AE11" i="7" s="1"/>
  <c r="AD33" i="7"/>
  <c r="AE33" i="7" s="1"/>
  <c r="AD36" i="7"/>
  <c r="AE36" i="7" s="1"/>
  <c r="AD19" i="7"/>
  <c r="AE19" i="7" s="1"/>
  <c r="AD7" i="7"/>
  <c r="AD13" i="7"/>
  <c r="AE13" i="7" s="1"/>
  <c r="AD16" i="7"/>
  <c r="AE16" i="7" s="1"/>
  <c r="AD18" i="7"/>
  <c r="AE18" i="7" s="1"/>
  <c r="AD23" i="7"/>
  <c r="AE23" i="7" s="1"/>
  <c r="AD38" i="7"/>
  <c r="AE38" i="7" s="1"/>
  <c r="AD41" i="7"/>
  <c r="AE41" i="7" s="1"/>
  <c r="AD24" i="7"/>
  <c r="AE24" i="7" s="1"/>
  <c r="AD25" i="7"/>
  <c r="AE25" i="7" s="1"/>
  <c r="AD28" i="7"/>
  <c r="AE28" i="7" s="1"/>
  <c r="AD30" i="7"/>
  <c r="AE30" i="7" s="1"/>
  <c r="AD35" i="7"/>
  <c r="AE35" i="7" s="1"/>
  <c r="AC9" i="7"/>
  <c r="AD9" i="7" s="1"/>
  <c r="AE9" i="7" s="1"/>
  <c r="Z10" i="7"/>
  <c r="Z14" i="7"/>
  <c r="Z18" i="7"/>
  <c r="Z22" i="7"/>
  <c r="Z26" i="7"/>
  <c r="Z30" i="7"/>
  <c r="Z34" i="7"/>
  <c r="Z38" i="7"/>
  <c r="Z7" i="7"/>
  <c r="Z43" i="7" s="1"/>
  <c r="Z11" i="7"/>
  <c r="Z15" i="7"/>
  <c r="Z19" i="7"/>
  <c r="Z23" i="7"/>
  <c r="Z27" i="7"/>
  <c r="Z31" i="7"/>
  <c r="Z35" i="7"/>
  <c r="AJ67" i="6"/>
  <c r="AI67" i="6"/>
  <c r="AH67" i="6"/>
  <c r="AG67" i="6"/>
  <c r="AF67" i="6"/>
  <c r="AB7" i="6"/>
  <c r="Y7" i="6"/>
  <c r="S7" i="6"/>
  <c r="U7" i="6" s="1"/>
  <c r="AD43" i="7" l="1"/>
  <c r="AE7" i="7"/>
  <c r="AC43" i="7"/>
  <c r="AC7" i="6"/>
  <c r="X7" i="6"/>
  <c r="Z7" i="6"/>
  <c r="AE43" i="7" l="1"/>
  <c r="AD7" i="6"/>
  <c r="AE7" i="6" s="1"/>
  <c r="AC67" i="6"/>
  <c r="Z67" i="6"/>
  <c r="AD67" i="6" l="1"/>
  <c r="AE67" i="6" s="1"/>
</calcChain>
</file>

<file path=xl/sharedStrings.xml><?xml version="1.0" encoding="utf-8"?>
<sst xmlns="http://schemas.openxmlformats.org/spreadsheetml/2006/main" count="1340" uniqueCount="128">
  <si>
    <t>Supplier</t>
  </si>
  <si>
    <t>URL</t>
  </si>
  <si>
    <t>Net P</t>
  </si>
  <si>
    <t>X-rate</t>
  </si>
  <si>
    <t>Net P NOK</t>
  </si>
  <si>
    <t>Type</t>
  </si>
  <si>
    <t>To date</t>
  </si>
  <si>
    <t>Supp curr</t>
  </si>
  <si>
    <t>NOK</t>
  </si>
  <si>
    <t>Sales curr</t>
  </si>
  <si>
    <t>EUR</t>
  </si>
  <si>
    <t>Sales P NOK tot</t>
  </si>
  <si>
    <t>GP NOK</t>
  </si>
  <si>
    <t>GP %</t>
  </si>
  <si>
    <t>Units</t>
  </si>
  <si>
    <t>SEK</t>
  </si>
  <si>
    <t>DKK</t>
  </si>
  <si>
    <t>ISK</t>
  </si>
  <si>
    <t>Totals</t>
  </si>
  <si>
    <t>ID</t>
  </si>
  <si>
    <t>Price</t>
  </si>
  <si>
    <t>Status</t>
  </si>
  <si>
    <t>Supp Comm</t>
  </si>
  <si>
    <t>From date</t>
  </si>
  <si>
    <t>From time</t>
  </si>
  <si>
    <t>To time</t>
  </si>
  <si>
    <t>VAT25</t>
  </si>
  <si>
    <t>VAT15</t>
  </si>
  <si>
    <t>VAT0-D</t>
  </si>
  <si>
    <t>VAT0-I</t>
  </si>
  <si>
    <t>VAT12</t>
  </si>
  <si>
    <t>USD</t>
  </si>
  <si>
    <t xml:space="preserve"> </t>
  </si>
  <si>
    <t>Comments</t>
  </si>
  <si>
    <t>Travel element</t>
  </si>
  <si>
    <t>Day</t>
  </si>
  <si>
    <t>Manual booking?</t>
  </si>
  <si>
    <t>Non-refundable</t>
  </si>
  <si>
    <t>Refundable</t>
  </si>
  <si>
    <t>Gross P</t>
  </si>
  <si>
    <t>Gross P per unit</t>
  </si>
  <si>
    <t>Sales P per unit</t>
  </si>
  <si>
    <t>x</t>
  </si>
  <si>
    <t xml:space="preserve">Rooming: </t>
  </si>
  <si>
    <t xml:space="preserve">Pax: </t>
  </si>
  <si>
    <t>Quote</t>
  </si>
  <si>
    <t>PP</t>
  </si>
  <si>
    <t xml:space="preserve">Dates: </t>
  </si>
  <si>
    <t>Day 1</t>
  </si>
  <si>
    <t>Arrival</t>
  </si>
  <si>
    <t>Copenhagen: Welcome to Denmark</t>
  </si>
  <si>
    <t>Car</t>
  </si>
  <si>
    <t xml:space="preserve">Copenhagen: Pick up your rental car at the Airport Car Rental Office </t>
  </si>
  <si>
    <t>Drive</t>
  </si>
  <si>
    <t>Copenhagen: Drive to your accommodation</t>
  </si>
  <si>
    <t>Leisure</t>
  </si>
  <si>
    <t>Copenhagen: Spend time at leisure</t>
  </si>
  <si>
    <t>Day 2</t>
  </si>
  <si>
    <t>Copenhagen: Drive to Helsingör - 45 minute drive</t>
  </si>
  <si>
    <t>Helsingör: Explore Kronborg Castle at leisure</t>
  </si>
  <si>
    <t>Helsingör: Drive to Hillerød - 20 minute drive</t>
  </si>
  <si>
    <t>Hillerød: Explore Fredriskborg Castle at leisure</t>
  </si>
  <si>
    <t>Hillerød: Drive to Roskilde - 45 minute drive</t>
  </si>
  <si>
    <t>Roskilde: Explore the Viking Ship Museum at leisure</t>
  </si>
  <si>
    <t>Hotel</t>
  </si>
  <si>
    <t>Roskilde: Check in to your accommodation for a 1 night stay - Central Hotel - standard room - brekfast included</t>
  </si>
  <si>
    <t>Copenhagen: Check in to your accommodation for a 1 night stay - Central Hotel - standard room - brekfast included</t>
  </si>
  <si>
    <t>Day 3</t>
  </si>
  <si>
    <t>Roskilde: Drive to Odense - 1 hr 45 minute drive</t>
  </si>
  <si>
    <t>Odense: Check in to your accommodation for a 1 night stay - Central Hotel - standard room - brekfast included</t>
  </si>
  <si>
    <t>Odense: Spend time at leisure</t>
  </si>
  <si>
    <t>Day 4</t>
  </si>
  <si>
    <t xml:space="preserve">Odense: Drive to Århus - 2 hr drive </t>
  </si>
  <si>
    <t>Århus: Check in to your accommodation for a 1 night stay - Central Hotel - standard room - brekfast included</t>
  </si>
  <si>
    <t>Århus: Spend time at leisure</t>
  </si>
  <si>
    <t>Day 5</t>
  </si>
  <si>
    <t>Departure</t>
  </si>
  <si>
    <t>Day 6</t>
  </si>
  <si>
    <t>Copenhagen: Drive to Copenhagen Airport</t>
  </si>
  <si>
    <t>Copenhagen: Deliver your car at Copenhagen Car rental office</t>
  </si>
  <si>
    <t>Copenhagen: Departure home</t>
  </si>
  <si>
    <t>Århus: Ferry to Sjællands Odde, then drive to Copenhagen - 1 hr 30 minute ferry, 1 hr 30 minute drive - Ferry departure: 09:00 am  - Includes: Business Lounge</t>
  </si>
  <si>
    <t>https://www.molslinjen.com/booking/departure-and-ticket</t>
  </si>
  <si>
    <t>Shoulder</t>
  </si>
  <si>
    <t>High</t>
  </si>
  <si>
    <t>Chirstmas</t>
  </si>
  <si>
    <t>Low</t>
  </si>
  <si>
    <t>Transfer</t>
  </si>
  <si>
    <t>Activity</t>
  </si>
  <si>
    <t>Copenhagen: Check in to your accommodaiton for a 3 night stay - Central 4-star hotel - Standard Room - Breakfast included</t>
  </si>
  <si>
    <t>Copenhagen: Private transfer to your accommodation</t>
  </si>
  <si>
    <t>Copenhagen: Private transfer to Copenhagen Airport</t>
  </si>
  <si>
    <t xml:space="preserve">Copenhagen: Full-Day Tour to Kronborg, Frederiksborg, Roskilde Cathedral, and The Viking Ship Museum in Roskilde - Time: 08:45 am - 06:45 pm - Meeting point: Hotel Pick up - Includes: Professional tour guide sharing Danish and Scandinavian history, culture, and stories, Guided tour of Kronborg Castle, Guided tour of Roskilde Cathedral, Transportation, Free time in Hillerød </t>
  </si>
  <si>
    <t>https://opheliatoursaps.rezdy.com/635106/full-day-tour-summer-may-sept?_ga_data=e30%253D</t>
  </si>
  <si>
    <t>Copenhagen: Full-Day tour to Møns Klint - Time: 09:00 am - 06:00 pm - Includes: Fanefjord Church, UNESCO-Møns Klint, Guide</t>
  </si>
  <si>
    <t>Legoland Family Tour</t>
  </si>
  <si>
    <t>Train</t>
  </si>
  <si>
    <t>Billund: Departure home</t>
  </si>
  <si>
    <t>Coach</t>
  </si>
  <si>
    <t>Legoland: Spend time at the Legoland Activity Park - Tickets included</t>
  </si>
  <si>
    <t>Legoland: Spend time at leisure</t>
  </si>
  <si>
    <t>Pax: 2 adults, 2 kids</t>
  </si>
  <si>
    <t>Legoland: Check in to your accommodation for a 2 night stay - Legoland Accommodation - Standard Family Room - Breakfast included</t>
  </si>
  <si>
    <t>Legoland: Self transfer to your accommodation</t>
  </si>
  <si>
    <t>Copenhagen: Check in to your accommodation for a 2 night stay - Central 3/4-star hotel - Standard Family Room - Breakfast included</t>
  </si>
  <si>
    <t>Copenhagen: Self transfer to Copenhagen Central Station</t>
  </si>
  <si>
    <t>Vejle: Self transfer to Vejle Trafikcenter</t>
  </si>
  <si>
    <t>Vejle: Coach transfer to Legoland - Time: TBD - Includes: Tickets</t>
  </si>
  <si>
    <t>Legoland: Coach transfer to Billund Airport - Time: TBD - Includes: Tickets</t>
  </si>
  <si>
    <t xml:space="preserve">Copenhagen: Walk &amp; Canal Tour of Highlights &amp; Change of Guards - Time: 09:00 am - 12:00 pm - Meeting point: Copenhagen Central Station - Includes: Personal recommendations, Born-and-raised local host, Premium small group experience, Harbor ferry ride through the canals </t>
  </si>
  <si>
    <t>https://booknordics.com/denmark/eastern-denmark/copenhagen/walk-ferry-copenhagen-highlights-change-of-guards-finale</t>
  </si>
  <si>
    <t>Holiday</t>
  </si>
  <si>
    <t>Copenhagen: Self transfer to your accommodation</t>
  </si>
  <si>
    <t>Copenhagen: Check in to your accommodaiton for a 2 night stay - Central 4-star hotel - Standard Room - Breakfast included</t>
  </si>
  <si>
    <t>Transer</t>
  </si>
  <si>
    <t>Deparure</t>
  </si>
  <si>
    <t>Day 7</t>
  </si>
  <si>
    <t>Århus: Spend time at leisrue</t>
  </si>
  <si>
    <t>Århus: Departure home</t>
  </si>
  <si>
    <t>Århus: Self transfer to Århus Airport</t>
  </si>
  <si>
    <t>Århus: Check in to your accommodaiton for a 2 night stay - Central 4-star hotel - Standard Room - Breakfast included</t>
  </si>
  <si>
    <t>Odense: Check in to your accommodaiton for a 2 night stay - Central 4-star hotel - Standard Room - Breakfast included</t>
  </si>
  <si>
    <t>Odense: Self transfer to your accommodaiton</t>
  </si>
  <si>
    <t>Århus: Self transfer to your accommodaiton</t>
  </si>
  <si>
    <t>Odense: Self transfer to Odense Central Station</t>
  </si>
  <si>
    <t>Copenhagen: Scenic Train Transfer to Odense - Time: TBD - Includes: Tickets</t>
  </si>
  <si>
    <t>Odense: Scenic Train Transfer to Århus - Time: TBD - Includes: Tickets</t>
  </si>
  <si>
    <t xml:space="preserve">Copenhagen: Scenic train transfer to Vejle - Time: TBD - Includes: Tickets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</si>
</sst>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\ 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 vertical="distributed" wrapText="1"/>
    </xf>
    <xf numFmtId="49" fontId="2" fillId="3" borderId="1" xfId="0" applyNumberFormat="1" applyFont="1" applyFill="1" applyBorder="1" applyAlignment="1">
      <alignment horizontal="center" vertical="distributed" wrapText="1"/>
    </xf>
    <xf numFmtId="3" fontId="2" fillId="3" borderId="1" xfId="0" applyNumberFormat="1" applyFont="1" applyFill="1" applyBorder="1" applyAlignment="1">
      <alignment horizontal="center" vertical="distributed" wrapText="1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0" fillId="3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9" fontId="0" fillId="4" borderId="0" xfId="1" applyFont="1" applyFill="1" applyAlignment="1">
      <alignment horizontal="center"/>
    </xf>
    <xf numFmtId="0" fontId="2" fillId="2" borderId="2" xfId="0" applyFont="1" applyFill="1" applyBorder="1"/>
    <xf numFmtId="3" fontId="2" fillId="2" borderId="2" xfId="0" applyNumberFormat="1" applyFont="1" applyFill="1" applyBorder="1"/>
    <xf numFmtId="4" fontId="0" fillId="2" borderId="0" xfId="0" applyNumberFormat="1" applyFill="1" applyAlignment="1">
      <alignment horizontal="center"/>
    </xf>
    <xf numFmtId="9" fontId="0" fillId="2" borderId="0" xfId="0" applyNumberFormat="1" applyFill="1"/>
    <xf numFmtId="2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 applyAlignment="1">
      <alignment horizontal="center"/>
    </xf>
    <xf numFmtId="9" fontId="2" fillId="2" borderId="2" xfId="1" applyFont="1" applyFill="1" applyBorder="1"/>
    <xf numFmtId="0" fontId="3" fillId="2" borderId="0" xfId="2" applyFill="1"/>
    <xf numFmtId="3" fontId="0" fillId="2" borderId="0" xfId="0" applyNumberFormat="1" applyFill="1" applyAlignment="1">
      <alignment horizontal="left"/>
    </xf>
    <xf numFmtId="164" fontId="0" fillId="2" borderId="0" xfId="0" quotePrefix="1" applyNumberFormat="1" applyFill="1" applyAlignment="1">
      <alignment horizontal="left"/>
    </xf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4" fillId="2" borderId="2" xfId="0" applyFont="1" applyFill="1" applyBorder="1"/>
    <xf numFmtId="0" fontId="3" fillId="0" borderId="0" xfId="2"/>
    <xf numFmtId="164" fontId="4" fillId="2" borderId="2" xfId="0" applyNumberFormat="1" applyFont="1" applyFill="1" applyBorder="1"/>
    <xf numFmtId="4" fontId="4" fillId="2" borderId="2" xfId="0" applyNumberFormat="1" applyFont="1" applyFill="1" applyBorder="1" applyAlignment="1">
      <alignment horizontal="left"/>
    </xf>
    <xf numFmtId="3" fontId="4" fillId="2" borderId="2" xfId="0" applyNumberFormat="1" applyFont="1" applyFill="1" applyBorder="1"/>
    <xf numFmtId="0" fontId="3" fillId="2" borderId="0" xfId="2" applyFill="1" applyAlignment="1">
      <alignment horizontal="left"/>
    </xf>
    <xf numFmtId="3" fontId="0" fillId="6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olslinjen.com/booking/departure-and-ticke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opheliatoursaps.rezdy.com/635106/full-day-tour-summer-may-sept?_ga_data=e30%253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booknordics.com/denmark/eastern-denmark/copenhagen/walk-ferry-copenhagen-highlights-change-of-guards-final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booknordics.com/denmark/eastern-denmark/copenhagen/walk-ferry-copenhagen-highlights-change-of-guards-final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04EA-7225-42CC-89DC-05C1D7355F04}">
  <dimension ref="B1:C7"/>
  <sheetViews>
    <sheetView workbookViewId="0">
      <selection activeCell="C2" sqref="C2"/>
    </sheetView>
  </sheetViews>
  <sheetFormatPr defaultRowHeight="15" x14ac:dyDescent="0.25"/>
  <cols>
    <col min="1" max="1" width="2.5703125" customWidth="1"/>
  </cols>
  <sheetData>
    <row r="1" spans="2:3" x14ac:dyDescent="0.25">
      <c r="C1" t="s">
        <v>8</v>
      </c>
    </row>
    <row r="2" spans="2:3" x14ac:dyDescent="0.25">
      <c r="B2" t="s">
        <v>10</v>
      </c>
      <c r="C2">
        <v>11.3</v>
      </c>
    </row>
    <row r="3" spans="2:3" x14ac:dyDescent="0.25">
      <c r="B3" t="s">
        <v>15</v>
      </c>
      <c r="C3">
        <v>1.02</v>
      </c>
    </row>
    <row r="4" spans="2:3" x14ac:dyDescent="0.25">
      <c r="B4" t="s">
        <v>16</v>
      </c>
      <c r="C4">
        <v>1.5</v>
      </c>
    </row>
    <row r="5" spans="2:3" x14ac:dyDescent="0.25">
      <c r="B5" t="s">
        <v>17</v>
      </c>
      <c r="C5">
        <v>7.4999999999999997E-2</v>
      </c>
    </row>
    <row r="6" spans="2:3" x14ac:dyDescent="0.25">
      <c r="B6" t="s">
        <v>8</v>
      </c>
      <c r="C6">
        <v>1</v>
      </c>
    </row>
    <row r="7" spans="2:3" x14ac:dyDescent="0.25">
      <c r="B7" t="s">
        <v>31</v>
      </c>
      <c r="C7">
        <v>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E6C0-BF7F-4EA5-97F6-74A08C367EEF}">
  <sheetPr>
    <tabColor rgb="FFFFFF00"/>
  </sheetPr>
  <dimension ref="B2:AK90"/>
  <sheetViews>
    <sheetView topLeftCell="A42" zoomScale="80" zoomScaleNormal="80" workbookViewId="0">
      <selection activeCell="T72" sqref="T72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47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E7" s="3"/>
      <c r="F7" s="3"/>
      <c r="G7" s="3"/>
      <c r="H7" s="3"/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11.3</v>
      </c>
      <c r="X7" s="12">
        <f t="shared" ref="X7" si="1">U7*W7</f>
        <v>0</v>
      </c>
      <c r="Y7" s="26">
        <f>Q7</f>
        <v>0</v>
      </c>
      <c r="Z7" s="12">
        <f t="shared" ref="Z7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" si="3">+Y7*AB7*R7</f>
        <v>0</v>
      </c>
      <c r="AD7" s="12">
        <f t="shared" ref="AD7" si="4">+AC7-X7</f>
        <v>0</v>
      </c>
      <c r="AE7" s="13">
        <f t="shared" ref="AE7" si="5">IFERROR(AD7/AC7,0)</f>
        <v>0</v>
      </c>
    </row>
    <row r="8" spans="2:36" x14ac:dyDescent="0.25">
      <c r="B8" s="4"/>
      <c r="E8" s="3"/>
      <c r="F8" s="3"/>
      <c r="G8" s="24"/>
      <c r="H8" s="24"/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ref="S8:S65" si="6">+Q8*R8</f>
        <v>0</v>
      </c>
      <c r="T8" s="5">
        <v>0</v>
      </c>
      <c r="U8" s="12">
        <f t="shared" ref="U8:U65" si="7">S8*(1-T8)</f>
        <v>0</v>
      </c>
      <c r="V8" s="25" t="s">
        <v>10</v>
      </c>
      <c r="W8" s="11">
        <f>IFERROR(VLOOKUP(V8,Curr!$B$2:$C$13,2,FALSE),0)</f>
        <v>11.3</v>
      </c>
      <c r="X8" s="12">
        <f t="shared" ref="X8:X65" si="8">U8*W8</f>
        <v>0</v>
      </c>
      <c r="Y8" s="26">
        <f t="shared" ref="Y8:Y65" si="9">Q8</f>
        <v>0</v>
      </c>
      <c r="Z8" s="12">
        <f t="shared" ref="Z8:Z65" si="10">+Y8*R8</f>
        <v>0</v>
      </c>
      <c r="AA8" s="4" t="s">
        <v>10</v>
      </c>
      <c r="AB8" s="11">
        <f>IFERROR(VLOOKUP(AA8,Curr!$B$2:$C$13,2,FALSE),0)</f>
        <v>11.3</v>
      </c>
      <c r="AC8" s="12">
        <f t="shared" ref="AC8:AC65" si="11">+Y8*AB8*R8</f>
        <v>0</v>
      </c>
      <c r="AD8" s="12">
        <f t="shared" ref="AD8:AD65" si="12">+AC8-X8</f>
        <v>0</v>
      </c>
      <c r="AE8" s="13">
        <f t="shared" ref="AE8:AE65" si="13">IFERROR(AD8/AC8,0)</f>
        <v>0</v>
      </c>
    </row>
    <row r="9" spans="2:36" x14ac:dyDescent="0.25">
      <c r="B9" s="4"/>
      <c r="E9" s="3"/>
      <c r="F9" s="3"/>
      <c r="G9" s="24"/>
      <c r="H9" s="24"/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6"/>
        <v>0</v>
      </c>
      <c r="T9" s="5">
        <v>0</v>
      </c>
      <c r="U9" s="12">
        <f t="shared" si="7"/>
        <v>0</v>
      </c>
      <c r="V9" s="25" t="s">
        <v>10</v>
      </c>
      <c r="W9" s="11">
        <f>IFERROR(VLOOKUP(V9,Curr!$B$2:$C$13,2,FALSE),0)</f>
        <v>11.3</v>
      </c>
      <c r="X9" s="12">
        <f t="shared" si="8"/>
        <v>0</v>
      </c>
      <c r="Y9" s="26">
        <f t="shared" si="9"/>
        <v>0</v>
      </c>
      <c r="Z9" s="12">
        <f t="shared" si="10"/>
        <v>0</v>
      </c>
      <c r="AA9" s="4" t="s">
        <v>10</v>
      </c>
      <c r="AB9" s="11">
        <f>IFERROR(VLOOKUP(AA9,Curr!$B$2:$C$13,2,FALSE),0)</f>
        <v>11.3</v>
      </c>
      <c r="AC9" s="12">
        <f t="shared" si="11"/>
        <v>0</v>
      </c>
      <c r="AD9" s="12">
        <f t="shared" si="12"/>
        <v>0</v>
      </c>
      <c r="AE9" s="13">
        <f t="shared" si="13"/>
        <v>0</v>
      </c>
    </row>
    <row r="10" spans="2:36" x14ac:dyDescent="0.25">
      <c r="B10" s="4"/>
      <c r="E10" s="3"/>
      <c r="F10" s="3"/>
      <c r="G10" s="24"/>
      <c r="H10" s="24"/>
      <c r="K10" s="4"/>
      <c r="L10" s="4"/>
      <c r="M10" s="4"/>
      <c r="N10" s="4"/>
      <c r="O10" s="4"/>
      <c r="P10" s="33"/>
      <c r="Q10" s="25">
        <v>0</v>
      </c>
      <c r="R10" s="25">
        <v>0</v>
      </c>
      <c r="S10" s="12">
        <f t="shared" si="6"/>
        <v>0</v>
      </c>
      <c r="T10" s="5">
        <v>0</v>
      </c>
      <c r="U10" s="12">
        <f t="shared" si="7"/>
        <v>0</v>
      </c>
      <c r="V10" s="25" t="s">
        <v>10</v>
      </c>
      <c r="W10" s="11">
        <f>IFERROR(VLOOKUP(V10,Curr!$B$2:$C$13,2,FALSE),0)</f>
        <v>11.3</v>
      </c>
      <c r="X10" s="12">
        <f t="shared" si="8"/>
        <v>0</v>
      </c>
      <c r="Y10" s="26">
        <f t="shared" si="9"/>
        <v>0</v>
      </c>
      <c r="Z10" s="12">
        <f t="shared" si="10"/>
        <v>0</v>
      </c>
      <c r="AA10" s="4" t="s">
        <v>10</v>
      </c>
      <c r="AB10" s="11">
        <f>IFERROR(VLOOKUP(AA10,Curr!$B$2:$C$13,2,FALSE),0)</f>
        <v>11.3</v>
      </c>
      <c r="AC10" s="12">
        <f t="shared" si="11"/>
        <v>0</v>
      </c>
      <c r="AD10" s="12">
        <f t="shared" si="12"/>
        <v>0</v>
      </c>
      <c r="AE10" s="13">
        <f t="shared" si="13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>
        <v>0</v>
      </c>
      <c r="R11" s="25">
        <v>0</v>
      </c>
      <c r="S11" s="12">
        <f t="shared" si="6"/>
        <v>0</v>
      </c>
      <c r="T11" s="5">
        <v>0</v>
      </c>
      <c r="U11" s="12">
        <f t="shared" si="7"/>
        <v>0</v>
      </c>
      <c r="V11" s="25" t="s">
        <v>10</v>
      </c>
      <c r="W11" s="11">
        <f>IFERROR(VLOOKUP(V11,Curr!$B$2:$C$13,2,FALSE),0)</f>
        <v>11.3</v>
      </c>
      <c r="X11" s="12">
        <f t="shared" si="8"/>
        <v>0</v>
      </c>
      <c r="Y11" s="26">
        <f t="shared" si="9"/>
        <v>0</v>
      </c>
      <c r="Z11" s="12">
        <f t="shared" si="10"/>
        <v>0</v>
      </c>
      <c r="AA11" s="4" t="s">
        <v>10</v>
      </c>
      <c r="AB11" s="11">
        <f>IFERROR(VLOOKUP(AA11,Curr!$B$2:$C$13,2,FALSE),0)</f>
        <v>11.3</v>
      </c>
      <c r="AC11" s="12">
        <f t="shared" si="11"/>
        <v>0</v>
      </c>
      <c r="AD11" s="12">
        <f t="shared" si="12"/>
        <v>0</v>
      </c>
      <c r="AE11" s="13">
        <f t="shared" si="13"/>
        <v>0</v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27"/>
      <c r="Q12" s="25">
        <v>0</v>
      </c>
      <c r="R12" s="25">
        <v>0</v>
      </c>
      <c r="S12" s="12">
        <f t="shared" si="6"/>
        <v>0</v>
      </c>
      <c r="T12" s="5">
        <v>0</v>
      </c>
      <c r="U12" s="12">
        <f t="shared" si="7"/>
        <v>0</v>
      </c>
      <c r="V12" s="25" t="s">
        <v>10</v>
      </c>
      <c r="W12" s="11">
        <f>IFERROR(VLOOKUP(V12,Curr!$B$2:$C$13,2,FALSE),0)</f>
        <v>11.3</v>
      </c>
      <c r="X12" s="12">
        <f t="shared" si="8"/>
        <v>0</v>
      </c>
      <c r="Y12" s="26">
        <f t="shared" si="9"/>
        <v>0</v>
      </c>
      <c r="Z12" s="12">
        <f t="shared" si="10"/>
        <v>0</v>
      </c>
      <c r="AA12" s="4" t="s">
        <v>10</v>
      </c>
      <c r="AB12" s="11">
        <f>IFERROR(VLOOKUP(AA12,Curr!$B$2:$C$13,2,FALSE),0)</f>
        <v>11.3</v>
      </c>
      <c r="AC12" s="12">
        <f t="shared" si="11"/>
        <v>0</v>
      </c>
      <c r="AD12" s="12">
        <f t="shared" si="12"/>
        <v>0</v>
      </c>
      <c r="AE12" s="13">
        <f t="shared" si="13"/>
        <v>0</v>
      </c>
    </row>
    <row r="13" spans="2:36" x14ac:dyDescent="0.25">
      <c r="B13" s="4"/>
      <c r="E13" s="3"/>
      <c r="F13" s="3"/>
      <c r="G13" s="24"/>
      <c r="H13" s="24"/>
      <c r="K13" s="4"/>
      <c r="L13" s="4"/>
      <c r="M13" s="4"/>
      <c r="N13" s="4"/>
      <c r="O13" s="4"/>
      <c r="P13" s="33"/>
      <c r="Q13" s="25">
        <v>0</v>
      </c>
      <c r="R13" s="25">
        <v>0</v>
      </c>
      <c r="S13" s="12">
        <f t="shared" si="6"/>
        <v>0</v>
      </c>
      <c r="T13" s="5">
        <v>0</v>
      </c>
      <c r="U13" s="12">
        <f t="shared" si="7"/>
        <v>0</v>
      </c>
      <c r="V13" s="25" t="s">
        <v>10</v>
      </c>
      <c r="W13" s="11">
        <f>IFERROR(VLOOKUP(V13,Curr!$B$2:$C$13,2,FALSE),0)</f>
        <v>11.3</v>
      </c>
      <c r="X13" s="12">
        <f t="shared" si="8"/>
        <v>0</v>
      </c>
      <c r="Y13" s="26">
        <f t="shared" si="9"/>
        <v>0</v>
      </c>
      <c r="Z13" s="12">
        <f t="shared" si="10"/>
        <v>0</v>
      </c>
      <c r="AA13" s="4" t="s">
        <v>10</v>
      </c>
      <c r="AB13" s="11">
        <f>IFERROR(VLOOKUP(AA13,Curr!$B$2:$C$13,2,FALSE),0)</f>
        <v>11.3</v>
      </c>
      <c r="AC13" s="12">
        <f t="shared" si="11"/>
        <v>0</v>
      </c>
      <c r="AD13" s="12">
        <f t="shared" si="12"/>
        <v>0</v>
      </c>
      <c r="AE13" s="13">
        <f t="shared" si="13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27"/>
      <c r="Q14" s="25">
        <v>0</v>
      </c>
      <c r="R14" s="25">
        <v>0</v>
      </c>
      <c r="S14" s="12">
        <f t="shared" si="6"/>
        <v>0</v>
      </c>
      <c r="T14" s="5">
        <v>0</v>
      </c>
      <c r="U14" s="12">
        <f t="shared" si="7"/>
        <v>0</v>
      </c>
      <c r="V14" s="25" t="s">
        <v>10</v>
      </c>
      <c r="W14" s="11">
        <f>IFERROR(VLOOKUP(V14,Curr!$B$2:$C$13,2,FALSE),0)</f>
        <v>11.3</v>
      </c>
      <c r="X14" s="12">
        <f t="shared" si="8"/>
        <v>0</v>
      </c>
      <c r="Y14" s="26">
        <f t="shared" si="9"/>
        <v>0</v>
      </c>
      <c r="Z14" s="12">
        <f t="shared" si="10"/>
        <v>0</v>
      </c>
      <c r="AA14" s="4" t="s">
        <v>10</v>
      </c>
      <c r="AB14" s="11">
        <f>IFERROR(VLOOKUP(AA14,Curr!$B$2:$C$13,2,FALSE),0)</f>
        <v>11.3</v>
      </c>
      <c r="AC14" s="12">
        <f t="shared" si="11"/>
        <v>0</v>
      </c>
      <c r="AD14" s="12">
        <f t="shared" si="12"/>
        <v>0</v>
      </c>
      <c r="AE14" s="13">
        <f t="shared" si="13"/>
        <v>0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33"/>
      <c r="Q15" s="25">
        <v>0</v>
      </c>
      <c r="R15" s="25">
        <v>0</v>
      </c>
      <c r="S15" s="12">
        <f t="shared" si="6"/>
        <v>0</v>
      </c>
      <c r="T15" s="5">
        <v>0</v>
      </c>
      <c r="U15" s="12">
        <f t="shared" si="7"/>
        <v>0</v>
      </c>
      <c r="V15" s="25" t="s">
        <v>10</v>
      </c>
      <c r="W15" s="11">
        <f>IFERROR(VLOOKUP(V15,Curr!$B$2:$C$13,2,FALSE),0)</f>
        <v>11.3</v>
      </c>
      <c r="X15" s="12">
        <f t="shared" si="8"/>
        <v>0</v>
      </c>
      <c r="Y15" s="26">
        <f t="shared" si="9"/>
        <v>0</v>
      </c>
      <c r="Z15" s="12">
        <f t="shared" si="10"/>
        <v>0</v>
      </c>
      <c r="AA15" s="4" t="s">
        <v>10</v>
      </c>
      <c r="AB15" s="11">
        <f>IFERROR(VLOOKUP(AA15,Curr!$B$2:$C$13,2,FALSE),0)</f>
        <v>11.3</v>
      </c>
      <c r="AC15" s="12">
        <f t="shared" si="11"/>
        <v>0</v>
      </c>
      <c r="AD15" s="12">
        <f t="shared" si="12"/>
        <v>0</v>
      </c>
      <c r="AE15" s="13">
        <f t="shared" si="13"/>
        <v>0</v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6"/>
        <v>0</v>
      </c>
      <c r="T16" s="5">
        <v>0</v>
      </c>
      <c r="U16" s="12">
        <f t="shared" si="7"/>
        <v>0</v>
      </c>
      <c r="V16" s="25" t="s">
        <v>10</v>
      </c>
      <c r="W16" s="11">
        <f>IFERROR(VLOOKUP(V16,Curr!$B$2:$C$13,2,FALSE),0)</f>
        <v>11.3</v>
      </c>
      <c r="X16" s="12">
        <f t="shared" si="8"/>
        <v>0</v>
      </c>
      <c r="Y16" s="26">
        <f t="shared" si="9"/>
        <v>0</v>
      </c>
      <c r="Z16" s="12">
        <f t="shared" si="10"/>
        <v>0</v>
      </c>
      <c r="AA16" s="4" t="s">
        <v>10</v>
      </c>
      <c r="AB16" s="11">
        <f>IFERROR(VLOOKUP(AA16,Curr!$B$2:$C$13,2,FALSE),0)</f>
        <v>11.3</v>
      </c>
      <c r="AC16" s="12">
        <f t="shared" si="11"/>
        <v>0</v>
      </c>
      <c r="AD16" s="12">
        <f t="shared" si="12"/>
        <v>0</v>
      </c>
      <c r="AE16" s="13">
        <f t="shared" si="13"/>
        <v>0</v>
      </c>
    </row>
    <row r="17" spans="2:31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6"/>
        <v>0</v>
      </c>
      <c r="T17" s="5">
        <v>0</v>
      </c>
      <c r="U17" s="12">
        <f t="shared" si="7"/>
        <v>0</v>
      </c>
      <c r="V17" s="25" t="s">
        <v>10</v>
      </c>
      <c r="W17" s="11">
        <f>IFERROR(VLOOKUP(V17,Curr!$B$2:$C$13,2,FALSE),0)</f>
        <v>11.3</v>
      </c>
      <c r="X17" s="12">
        <f t="shared" si="8"/>
        <v>0</v>
      </c>
      <c r="Y17" s="26">
        <f t="shared" si="9"/>
        <v>0</v>
      </c>
      <c r="Z17" s="12">
        <f t="shared" si="10"/>
        <v>0</v>
      </c>
      <c r="AA17" s="4" t="s">
        <v>10</v>
      </c>
      <c r="AB17" s="11">
        <f>IFERROR(VLOOKUP(AA17,Curr!$B$2:$C$13,2,FALSE),0)</f>
        <v>11.3</v>
      </c>
      <c r="AC17" s="12">
        <f t="shared" si="11"/>
        <v>0</v>
      </c>
      <c r="AD17" s="12">
        <f t="shared" si="12"/>
        <v>0</v>
      </c>
      <c r="AE17" s="13">
        <f t="shared" si="13"/>
        <v>0</v>
      </c>
    </row>
    <row r="18" spans="2:31" x14ac:dyDescent="0.25">
      <c r="B18" s="4"/>
      <c r="E18" s="3"/>
      <c r="F18" s="3"/>
      <c r="G18" s="24"/>
      <c r="H18" s="24"/>
      <c r="K18" s="4"/>
      <c r="L18" s="4"/>
      <c r="M18" s="4"/>
      <c r="N18" s="4"/>
      <c r="O18" s="4"/>
      <c r="P18" s="29"/>
      <c r="Q18" s="25">
        <v>0</v>
      </c>
      <c r="R18" s="25">
        <v>0</v>
      </c>
      <c r="S18" s="12">
        <f t="shared" si="6"/>
        <v>0</v>
      </c>
      <c r="T18" s="5">
        <v>0</v>
      </c>
      <c r="U18" s="12">
        <f t="shared" si="7"/>
        <v>0</v>
      </c>
      <c r="V18" s="25" t="s">
        <v>10</v>
      </c>
      <c r="W18" s="11">
        <f>IFERROR(VLOOKUP(V18,Curr!$B$2:$C$13,2,FALSE),0)</f>
        <v>11.3</v>
      </c>
      <c r="X18" s="12">
        <f t="shared" si="8"/>
        <v>0</v>
      </c>
      <c r="Y18" s="26">
        <f t="shared" si="9"/>
        <v>0</v>
      </c>
      <c r="Z18" s="12">
        <f t="shared" si="10"/>
        <v>0</v>
      </c>
      <c r="AA18" s="4" t="s">
        <v>10</v>
      </c>
      <c r="AB18" s="11">
        <f>IFERROR(VLOOKUP(AA18,Curr!$B$2:$C$13,2,FALSE),0)</f>
        <v>11.3</v>
      </c>
      <c r="AC18" s="12">
        <f t="shared" si="11"/>
        <v>0</v>
      </c>
      <c r="AD18" s="12">
        <f t="shared" si="12"/>
        <v>0</v>
      </c>
      <c r="AE18" s="13">
        <f t="shared" si="13"/>
        <v>0</v>
      </c>
    </row>
    <row r="19" spans="2:31" x14ac:dyDescent="0.25">
      <c r="B19" s="4"/>
      <c r="E19" s="3"/>
      <c r="F19" s="3"/>
      <c r="G19" s="24"/>
      <c r="H19" s="24"/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6"/>
        <v>0</v>
      </c>
      <c r="T19" s="5">
        <v>0</v>
      </c>
      <c r="U19" s="12">
        <f t="shared" si="7"/>
        <v>0</v>
      </c>
      <c r="V19" s="25" t="s">
        <v>10</v>
      </c>
      <c r="W19" s="11">
        <f>IFERROR(VLOOKUP(V19,Curr!$B$2:$C$13,2,FALSE),0)</f>
        <v>11.3</v>
      </c>
      <c r="X19" s="12">
        <f t="shared" si="8"/>
        <v>0</v>
      </c>
      <c r="Y19" s="26">
        <f t="shared" si="9"/>
        <v>0</v>
      </c>
      <c r="Z19" s="12">
        <f t="shared" si="10"/>
        <v>0</v>
      </c>
      <c r="AA19" s="4" t="s">
        <v>10</v>
      </c>
      <c r="AB19" s="11">
        <f>IFERROR(VLOOKUP(AA19,Curr!$B$2:$C$13,2,FALSE),0)</f>
        <v>11.3</v>
      </c>
      <c r="AC19" s="12">
        <f t="shared" si="11"/>
        <v>0</v>
      </c>
      <c r="AD19" s="12">
        <f t="shared" si="12"/>
        <v>0</v>
      </c>
      <c r="AE19" s="13">
        <f t="shared" si="13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 t="shared" si="6"/>
        <v>0</v>
      </c>
      <c r="T20" s="5">
        <v>0</v>
      </c>
      <c r="U20" s="12">
        <f t="shared" si="7"/>
        <v>0</v>
      </c>
      <c r="V20" s="25" t="s">
        <v>10</v>
      </c>
      <c r="W20" s="11">
        <f>IFERROR(VLOOKUP(V20,Curr!$B$2:$C$13,2,FALSE),0)</f>
        <v>11.3</v>
      </c>
      <c r="X20" s="12">
        <f t="shared" si="8"/>
        <v>0</v>
      </c>
      <c r="Y20" s="26">
        <f t="shared" si="9"/>
        <v>0</v>
      </c>
      <c r="Z20" s="12">
        <f t="shared" si="10"/>
        <v>0</v>
      </c>
      <c r="AA20" s="4" t="s">
        <v>10</v>
      </c>
      <c r="AB20" s="11">
        <f>IFERROR(VLOOKUP(AA20,Curr!$B$2:$C$13,2,FALSE),0)</f>
        <v>11.3</v>
      </c>
      <c r="AC20" s="12">
        <f t="shared" si="11"/>
        <v>0</v>
      </c>
      <c r="AD20" s="12">
        <f t="shared" si="12"/>
        <v>0</v>
      </c>
      <c r="AE20" s="13">
        <f t="shared" si="13"/>
        <v>0</v>
      </c>
    </row>
    <row r="21" spans="2:31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6"/>
        <v>0</v>
      </c>
      <c r="T21" s="5">
        <v>0</v>
      </c>
      <c r="U21" s="12">
        <f t="shared" si="7"/>
        <v>0</v>
      </c>
      <c r="V21" s="25" t="s">
        <v>10</v>
      </c>
      <c r="W21" s="11">
        <f>IFERROR(VLOOKUP(V21,Curr!$B$2:$C$13,2,FALSE),0)</f>
        <v>11.3</v>
      </c>
      <c r="X21" s="12">
        <f t="shared" si="8"/>
        <v>0</v>
      </c>
      <c r="Y21" s="26">
        <f t="shared" si="9"/>
        <v>0</v>
      </c>
      <c r="Z21" s="12">
        <f t="shared" si="10"/>
        <v>0</v>
      </c>
      <c r="AA21" s="4" t="s">
        <v>10</v>
      </c>
      <c r="AB21" s="11">
        <f>IFERROR(VLOOKUP(AA21,Curr!$B$2:$C$13,2,FALSE),0)</f>
        <v>11.3</v>
      </c>
      <c r="AC21" s="12">
        <f t="shared" si="11"/>
        <v>0</v>
      </c>
      <c r="AD21" s="12">
        <f t="shared" si="12"/>
        <v>0</v>
      </c>
      <c r="AE21" s="13">
        <f t="shared" si="13"/>
        <v>0</v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6"/>
        <v>0</v>
      </c>
      <c r="T22" s="5">
        <v>0</v>
      </c>
      <c r="U22" s="12">
        <f t="shared" si="7"/>
        <v>0</v>
      </c>
      <c r="V22" s="25" t="s">
        <v>10</v>
      </c>
      <c r="W22" s="11">
        <f>IFERROR(VLOOKUP(V22,Curr!$B$2:$C$13,2,FALSE),0)</f>
        <v>11.3</v>
      </c>
      <c r="X22" s="12">
        <f t="shared" si="8"/>
        <v>0</v>
      </c>
      <c r="Y22" s="26">
        <f t="shared" si="9"/>
        <v>0</v>
      </c>
      <c r="Z22" s="12">
        <f t="shared" si="10"/>
        <v>0</v>
      </c>
      <c r="AA22" s="4" t="s">
        <v>10</v>
      </c>
      <c r="AB22" s="11">
        <f>IFERROR(VLOOKUP(AA22,Curr!$B$2:$C$13,2,FALSE),0)</f>
        <v>11.3</v>
      </c>
      <c r="AC22" s="12">
        <f t="shared" si="11"/>
        <v>0</v>
      </c>
      <c r="AD22" s="12">
        <f t="shared" si="12"/>
        <v>0</v>
      </c>
      <c r="AE22" s="13">
        <f t="shared" si="13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33"/>
      <c r="Q23" s="25">
        <v>0</v>
      </c>
      <c r="R23" s="25">
        <v>0</v>
      </c>
      <c r="S23" s="12">
        <f t="shared" si="6"/>
        <v>0</v>
      </c>
      <c r="T23" s="5">
        <v>0</v>
      </c>
      <c r="U23" s="12">
        <f t="shared" si="7"/>
        <v>0</v>
      </c>
      <c r="V23" s="25" t="s">
        <v>10</v>
      </c>
      <c r="W23" s="11">
        <f>IFERROR(VLOOKUP(V23,Curr!$B$2:$C$13,2,FALSE),0)</f>
        <v>11.3</v>
      </c>
      <c r="X23" s="12">
        <f t="shared" si="8"/>
        <v>0</v>
      </c>
      <c r="Y23" s="26">
        <f t="shared" si="9"/>
        <v>0</v>
      </c>
      <c r="Z23" s="12">
        <f t="shared" si="10"/>
        <v>0</v>
      </c>
      <c r="AA23" s="4" t="s">
        <v>10</v>
      </c>
      <c r="AB23" s="11">
        <f>IFERROR(VLOOKUP(AA23,Curr!$B$2:$C$13,2,FALSE),0)</f>
        <v>11.3</v>
      </c>
      <c r="AC23" s="12">
        <f t="shared" si="11"/>
        <v>0</v>
      </c>
      <c r="AD23" s="12">
        <f t="shared" si="12"/>
        <v>0</v>
      </c>
      <c r="AE23" s="13">
        <f t="shared" si="13"/>
        <v>0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6"/>
        <v>0</v>
      </c>
      <c r="T24" s="5">
        <v>0</v>
      </c>
      <c r="U24" s="12">
        <f t="shared" si="7"/>
        <v>0</v>
      </c>
      <c r="V24" s="25" t="s">
        <v>10</v>
      </c>
      <c r="W24" s="11">
        <f>IFERROR(VLOOKUP(V24,Curr!$B$2:$C$13,2,FALSE),0)</f>
        <v>11.3</v>
      </c>
      <c r="X24" s="12">
        <f t="shared" si="8"/>
        <v>0</v>
      </c>
      <c r="Y24" s="26">
        <f t="shared" si="9"/>
        <v>0</v>
      </c>
      <c r="Z24" s="12">
        <f t="shared" si="10"/>
        <v>0</v>
      </c>
      <c r="AA24" s="4" t="s">
        <v>10</v>
      </c>
      <c r="AB24" s="11">
        <f>IFERROR(VLOOKUP(AA24,Curr!$B$2:$C$13,2,FALSE),0)</f>
        <v>11.3</v>
      </c>
      <c r="AC24" s="12">
        <f t="shared" si="11"/>
        <v>0</v>
      </c>
      <c r="AD24" s="12">
        <f t="shared" si="12"/>
        <v>0</v>
      </c>
      <c r="AE24" s="13">
        <f t="shared" si="13"/>
        <v>0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6"/>
        <v>0</v>
      </c>
      <c r="T25" s="5">
        <v>0</v>
      </c>
      <c r="U25" s="12">
        <f t="shared" si="7"/>
        <v>0</v>
      </c>
      <c r="V25" s="25" t="s">
        <v>10</v>
      </c>
      <c r="W25" s="11">
        <f>IFERROR(VLOOKUP(V25,Curr!$B$2:$C$13,2,FALSE),0)</f>
        <v>11.3</v>
      </c>
      <c r="X25" s="12">
        <f t="shared" si="8"/>
        <v>0</v>
      </c>
      <c r="Y25" s="26">
        <f t="shared" si="9"/>
        <v>0</v>
      </c>
      <c r="Z25" s="12">
        <f t="shared" si="10"/>
        <v>0</v>
      </c>
      <c r="AA25" s="4" t="s">
        <v>10</v>
      </c>
      <c r="AB25" s="11">
        <f>IFERROR(VLOOKUP(AA25,Curr!$B$2:$C$13,2,FALSE),0)</f>
        <v>11.3</v>
      </c>
      <c r="AC25" s="12">
        <f t="shared" si="11"/>
        <v>0</v>
      </c>
      <c r="AD25" s="12">
        <f t="shared" si="12"/>
        <v>0</v>
      </c>
      <c r="AE25" s="13">
        <f t="shared" si="13"/>
        <v>0</v>
      </c>
    </row>
    <row r="26" spans="2:31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27"/>
      <c r="Q26" s="25">
        <v>0</v>
      </c>
      <c r="R26" s="25">
        <v>0</v>
      </c>
      <c r="S26" s="12">
        <f t="shared" si="6"/>
        <v>0</v>
      </c>
      <c r="T26" s="5">
        <v>0</v>
      </c>
      <c r="U26" s="12">
        <f t="shared" si="7"/>
        <v>0</v>
      </c>
      <c r="V26" s="25" t="s">
        <v>10</v>
      </c>
      <c r="W26" s="11">
        <f>IFERROR(VLOOKUP(V26,Curr!$B$2:$C$13,2,FALSE),0)</f>
        <v>11.3</v>
      </c>
      <c r="X26" s="12">
        <f t="shared" si="8"/>
        <v>0</v>
      </c>
      <c r="Y26" s="26">
        <f t="shared" si="9"/>
        <v>0</v>
      </c>
      <c r="Z26" s="12">
        <f t="shared" si="10"/>
        <v>0</v>
      </c>
      <c r="AA26" s="4" t="s">
        <v>10</v>
      </c>
      <c r="AB26" s="11">
        <f>IFERROR(VLOOKUP(AA26,Curr!$B$2:$C$13,2,FALSE),0)</f>
        <v>11.3</v>
      </c>
      <c r="AC26" s="12">
        <f t="shared" si="11"/>
        <v>0</v>
      </c>
      <c r="AD26" s="12">
        <f t="shared" si="12"/>
        <v>0</v>
      </c>
      <c r="AE26" s="13">
        <f t="shared" si="13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33"/>
      <c r="Q27" s="25">
        <v>0</v>
      </c>
      <c r="R27" s="25">
        <v>0</v>
      </c>
      <c r="S27" s="12">
        <f t="shared" si="6"/>
        <v>0</v>
      </c>
      <c r="T27" s="5">
        <v>0</v>
      </c>
      <c r="U27" s="12">
        <f t="shared" si="7"/>
        <v>0</v>
      </c>
      <c r="V27" s="25" t="s">
        <v>10</v>
      </c>
      <c r="W27" s="11">
        <f>IFERROR(VLOOKUP(V27,Curr!$B$2:$C$13,2,FALSE),0)</f>
        <v>11.3</v>
      </c>
      <c r="X27" s="12">
        <f t="shared" si="8"/>
        <v>0</v>
      </c>
      <c r="Y27" s="26">
        <f t="shared" si="9"/>
        <v>0</v>
      </c>
      <c r="Z27" s="12">
        <f t="shared" si="10"/>
        <v>0</v>
      </c>
      <c r="AA27" s="4" t="s">
        <v>10</v>
      </c>
      <c r="AB27" s="11">
        <f>IFERROR(VLOOKUP(AA27,Curr!$B$2:$C$13,2,FALSE),0)</f>
        <v>11.3</v>
      </c>
      <c r="AC27" s="12">
        <f t="shared" si="11"/>
        <v>0</v>
      </c>
      <c r="AD27" s="12">
        <f t="shared" si="12"/>
        <v>0</v>
      </c>
      <c r="AE27" s="13">
        <f t="shared" si="13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27"/>
      <c r="Q28" s="25">
        <v>0</v>
      </c>
      <c r="R28" s="25">
        <v>0</v>
      </c>
      <c r="S28" s="12">
        <f t="shared" si="6"/>
        <v>0</v>
      </c>
      <c r="T28" s="5">
        <v>0</v>
      </c>
      <c r="U28" s="12">
        <f t="shared" si="7"/>
        <v>0</v>
      </c>
      <c r="V28" s="25" t="s">
        <v>10</v>
      </c>
      <c r="W28" s="11">
        <f>IFERROR(VLOOKUP(V28,Curr!$B$2:$C$13,2,FALSE),0)</f>
        <v>11.3</v>
      </c>
      <c r="X28" s="12">
        <f t="shared" si="8"/>
        <v>0</v>
      </c>
      <c r="Y28" s="26">
        <f t="shared" si="9"/>
        <v>0</v>
      </c>
      <c r="Z28" s="12">
        <f t="shared" si="10"/>
        <v>0</v>
      </c>
      <c r="AA28" s="4" t="s">
        <v>10</v>
      </c>
      <c r="AB28" s="11">
        <f>IFERROR(VLOOKUP(AA28,Curr!$B$2:$C$13,2,FALSE),0)</f>
        <v>11.3</v>
      </c>
      <c r="AC28" s="12">
        <f t="shared" si="11"/>
        <v>0</v>
      </c>
      <c r="AD28" s="12">
        <f t="shared" si="12"/>
        <v>0</v>
      </c>
      <c r="AE28" s="13">
        <f t="shared" si="13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6"/>
        <v>0</v>
      </c>
      <c r="T29" s="5">
        <v>0</v>
      </c>
      <c r="U29" s="12">
        <f t="shared" si="7"/>
        <v>0</v>
      </c>
      <c r="V29" s="25" t="s">
        <v>10</v>
      </c>
      <c r="W29" s="11">
        <f>IFERROR(VLOOKUP(V29,Curr!$B$2:$C$13,2,FALSE),0)</f>
        <v>11.3</v>
      </c>
      <c r="X29" s="12">
        <f t="shared" si="8"/>
        <v>0</v>
      </c>
      <c r="Y29" s="26">
        <f t="shared" si="9"/>
        <v>0</v>
      </c>
      <c r="Z29" s="12">
        <f t="shared" si="10"/>
        <v>0</v>
      </c>
      <c r="AA29" s="4" t="s">
        <v>10</v>
      </c>
      <c r="AB29" s="11">
        <f>IFERROR(VLOOKUP(AA29,Curr!$B$2:$C$13,2,FALSE),0)</f>
        <v>11.3</v>
      </c>
      <c r="AC29" s="12">
        <f t="shared" si="11"/>
        <v>0</v>
      </c>
      <c r="AD29" s="12">
        <f t="shared" si="12"/>
        <v>0</v>
      </c>
      <c r="AE29" s="13">
        <f t="shared" si="13"/>
        <v>0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29"/>
      <c r="Q30" s="25">
        <v>0</v>
      </c>
      <c r="R30" s="25">
        <v>0</v>
      </c>
      <c r="S30" s="12">
        <f t="shared" si="6"/>
        <v>0</v>
      </c>
      <c r="T30" s="5">
        <v>0</v>
      </c>
      <c r="U30" s="12">
        <f t="shared" si="7"/>
        <v>0</v>
      </c>
      <c r="V30" s="25" t="s">
        <v>10</v>
      </c>
      <c r="W30" s="11">
        <f>IFERROR(VLOOKUP(V30,Curr!$B$2:$C$13,2,FALSE),0)</f>
        <v>11.3</v>
      </c>
      <c r="X30" s="12">
        <f t="shared" si="8"/>
        <v>0</v>
      </c>
      <c r="Y30" s="26">
        <f t="shared" si="9"/>
        <v>0</v>
      </c>
      <c r="Z30" s="12">
        <f t="shared" si="10"/>
        <v>0</v>
      </c>
      <c r="AA30" s="4" t="s">
        <v>10</v>
      </c>
      <c r="AB30" s="11">
        <f>IFERROR(VLOOKUP(AA30,Curr!$B$2:$C$13,2,FALSE),0)</f>
        <v>11.3</v>
      </c>
      <c r="AC30" s="12">
        <f t="shared" si="11"/>
        <v>0</v>
      </c>
      <c r="AD30" s="12">
        <f t="shared" si="12"/>
        <v>0</v>
      </c>
      <c r="AE30" s="13">
        <f t="shared" si="13"/>
        <v>0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33"/>
      <c r="Q31" s="25">
        <v>0</v>
      </c>
      <c r="R31" s="25">
        <v>0</v>
      </c>
      <c r="S31" s="12">
        <f t="shared" si="6"/>
        <v>0</v>
      </c>
      <c r="T31" s="5">
        <v>0</v>
      </c>
      <c r="U31" s="12">
        <f t="shared" si="7"/>
        <v>0</v>
      </c>
      <c r="V31" s="25" t="s">
        <v>10</v>
      </c>
      <c r="W31" s="11">
        <f>IFERROR(VLOOKUP(V31,Curr!$B$2:$C$13,2,FALSE),0)</f>
        <v>11.3</v>
      </c>
      <c r="X31" s="12">
        <f t="shared" si="8"/>
        <v>0</v>
      </c>
      <c r="Y31" s="26">
        <f t="shared" si="9"/>
        <v>0</v>
      </c>
      <c r="Z31" s="12">
        <f t="shared" si="10"/>
        <v>0</v>
      </c>
      <c r="AA31" s="4" t="s">
        <v>10</v>
      </c>
      <c r="AB31" s="11">
        <f>IFERROR(VLOOKUP(AA31,Curr!$B$2:$C$13,2,FALSE),0)</f>
        <v>11.3</v>
      </c>
      <c r="AC31" s="12">
        <f t="shared" si="11"/>
        <v>0</v>
      </c>
      <c r="AD31" s="12">
        <f t="shared" si="12"/>
        <v>0</v>
      </c>
      <c r="AE31" s="13">
        <f t="shared" si="13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 t="shared" si="6"/>
        <v>0</v>
      </c>
      <c r="T32" s="5">
        <v>0</v>
      </c>
      <c r="U32" s="12">
        <f t="shared" si="7"/>
        <v>0</v>
      </c>
      <c r="V32" s="25" t="s">
        <v>10</v>
      </c>
      <c r="W32" s="11">
        <f>IFERROR(VLOOKUP(V32,Curr!$B$2:$C$13,2,FALSE),0)</f>
        <v>11.3</v>
      </c>
      <c r="X32" s="12">
        <f t="shared" si="8"/>
        <v>0</v>
      </c>
      <c r="Y32" s="26">
        <f t="shared" si="9"/>
        <v>0</v>
      </c>
      <c r="Z32" s="12">
        <f t="shared" si="10"/>
        <v>0</v>
      </c>
      <c r="AA32" s="4" t="s">
        <v>10</v>
      </c>
      <c r="AB32" s="11">
        <f>IFERROR(VLOOKUP(AA32,Curr!$B$2:$C$13,2,FALSE),0)</f>
        <v>11.3</v>
      </c>
      <c r="AC32" s="12">
        <f t="shared" si="11"/>
        <v>0</v>
      </c>
      <c r="AD32" s="12">
        <f t="shared" si="12"/>
        <v>0</v>
      </c>
      <c r="AE32" s="13">
        <f t="shared" si="13"/>
        <v>0</v>
      </c>
    </row>
    <row r="33" spans="2:31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6"/>
        <v>0</v>
      </c>
      <c r="T33" s="5">
        <v>0</v>
      </c>
      <c r="U33" s="12">
        <f t="shared" si="7"/>
        <v>0</v>
      </c>
      <c r="V33" s="25" t="s">
        <v>10</v>
      </c>
      <c r="W33" s="11">
        <f>IFERROR(VLOOKUP(V33,Curr!$B$2:$C$13,2,FALSE),0)</f>
        <v>11.3</v>
      </c>
      <c r="X33" s="12">
        <f t="shared" si="8"/>
        <v>0</v>
      </c>
      <c r="Y33" s="26">
        <f t="shared" si="9"/>
        <v>0</v>
      </c>
      <c r="Z33" s="12">
        <f t="shared" si="10"/>
        <v>0</v>
      </c>
      <c r="AA33" s="4" t="s">
        <v>10</v>
      </c>
      <c r="AB33" s="11">
        <f>IFERROR(VLOOKUP(AA33,Curr!$B$2:$C$13,2,FALSE),0)</f>
        <v>11.3</v>
      </c>
      <c r="AC33" s="12">
        <f t="shared" si="11"/>
        <v>0</v>
      </c>
      <c r="AD33" s="12">
        <f t="shared" si="12"/>
        <v>0</v>
      </c>
      <c r="AE33" s="13">
        <f t="shared" si="13"/>
        <v>0</v>
      </c>
    </row>
    <row r="34" spans="2:31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ref="S34:S57" si="14">+Q34*R34</f>
        <v>0</v>
      </c>
      <c r="T34" s="5">
        <v>0</v>
      </c>
      <c r="U34" s="12">
        <f t="shared" ref="U34:U57" si="15">S34*(1-T34)</f>
        <v>0</v>
      </c>
      <c r="V34" s="25" t="s">
        <v>10</v>
      </c>
      <c r="W34" s="11">
        <f>IFERROR(VLOOKUP(V34,Curr!$B$2:$C$13,2,FALSE),0)</f>
        <v>11.3</v>
      </c>
      <c r="X34" s="12">
        <f t="shared" ref="X34:X57" si="16">U34*W34</f>
        <v>0</v>
      </c>
      <c r="Y34" s="26">
        <f t="shared" ref="Y34:Y57" si="17">Q34</f>
        <v>0</v>
      </c>
      <c r="Z34" s="12">
        <f t="shared" ref="Z34:Z57" si="18">+Y34*R34</f>
        <v>0</v>
      </c>
      <c r="AA34" s="4" t="s">
        <v>10</v>
      </c>
      <c r="AB34" s="11">
        <f>IFERROR(VLOOKUP(AA34,Curr!$B$2:$C$13,2,FALSE),0)</f>
        <v>11.3</v>
      </c>
      <c r="AC34" s="12">
        <f t="shared" ref="AC34:AC57" si="19">+Y34*AB34*R34</f>
        <v>0</v>
      </c>
      <c r="AD34" s="12">
        <f t="shared" ref="AD34:AD57" si="20">+AC34-X34</f>
        <v>0</v>
      </c>
      <c r="AE34" s="13">
        <f t="shared" ref="AE34:AE57" si="21">IFERROR(AD34/AC34,0)</f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>
        <v>0</v>
      </c>
      <c r="R35" s="25">
        <v>0</v>
      </c>
      <c r="S35" s="12">
        <f t="shared" si="14"/>
        <v>0</v>
      </c>
      <c r="T35" s="5">
        <v>0</v>
      </c>
      <c r="U35" s="12">
        <f t="shared" si="15"/>
        <v>0</v>
      </c>
      <c r="V35" s="25" t="s">
        <v>10</v>
      </c>
      <c r="W35" s="11">
        <f>IFERROR(VLOOKUP(V35,Curr!$B$2:$C$13,2,FALSE),0)</f>
        <v>11.3</v>
      </c>
      <c r="X35" s="12">
        <f t="shared" si="16"/>
        <v>0</v>
      </c>
      <c r="Y35" s="26">
        <f t="shared" si="17"/>
        <v>0</v>
      </c>
      <c r="Z35" s="12">
        <f t="shared" si="18"/>
        <v>0</v>
      </c>
      <c r="AA35" s="4" t="s">
        <v>10</v>
      </c>
      <c r="AB35" s="11">
        <f>IFERROR(VLOOKUP(AA35,Curr!$B$2:$C$13,2,FALSE),0)</f>
        <v>11.3</v>
      </c>
      <c r="AC35" s="12">
        <f t="shared" si="19"/>
        <v>0</v>
      </c>
      <c r="AD35" s="12">
        <f t="shared" si="20"/>
        <v>0</v>
      </c>
      <c r="AE35" s="13">
        <f t="shared" si="21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27"/>
      <c r="Q36" s="25">
        <v>0</v>
      </c>
      <c r="R36" s="25">
        <v>0</v>
      </c>
      <c r="S36" s="12">
        <f t="shared" si="14"/>
        <v>0</v>
      </c>
      <c r="T36" s="5">
        <v>0</v>
      </c>
      <c r="U36" s="12">
        <f t="shared" si="15"/>
        <v>0</v>
      </c>
      <c r="V36" s="25" t="s">
        <v>10</v>
      </c>
      <c r="W36" s="11">
        <f>IFERROR(VLOOKUP(V36,Curr!$B$2:$C$13,2,FALSE),0)</f>
        <v>11.3</v>
      </c>
      <c r="X36" s="12">
        <f t="shared" si="16"/>
        <v>0</v>
      </c>
      <c r="Y36" s="26">
        <f t="shared" si="17"/>
        <v>0</v>
      </c>
      <c r="Z36" s="12">
        <f t="shared" si="18"/>
        <v>0</v>
      </c>
      <c r="AA36" s="4" t="s">
        <v>10</v>
      </c>
      <c r="AB36" s="11">
        <f>IFERROR(VLOOKUP(AA36,Curr!$B$2:$C$13,2,FALSE),0)</f>
        <v>11.3</v>
      </c>
      <c r="AC36" s="12">
        <f t="shared" si="19"/>
        <v>0</v>
      </c>
      <c r="AD36" s="12">
        <f t="shared" si="20"/>
        <v>0</v>
      </c>
      <c r="AE36" s="13">
        <f t="shared" si="21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>
        <v>0</v>
      </c>
      <c r="R37" s="25">
        <v>0</v>
      </c>
      <c r="S37" s="12">
        <f t="shared" si="14"/>
        <v>0</v>
      </c>
      <c r="T37" s="5">
        <v>0</v>
      </c>
      <c r="U37" s="12">
        <f t="shared" si="15"/>
        <v>0</v>
      </c>
      <c r="V37" s="25" t="s">
        <v>10</v>
      </c>
      <c r="W37" s="11">
        <f>IFERROR(VLOOKUP(V37,Curr!$B$2:$C$13,2,FALSE),0)</f>
        <v>11.3</v>
      </c>
      <c r="X37" s="12">
        <f t="shared" si="16"/>
        <v>0</v>
      </c>
      <c r="Y37" s="26">
        <f t="shared" si="17"/>
        <v>0</v>
      </c>
      <c r="Z37" s="12">
        <f t="shared" si="18"/>
        <v>0</v>
      </c>
      <c r="AA37" s="4" t="s">
        <v>10</v>
      </c>
      <c r="AB37" s="11">
        <f>IFERROR(VLOOKUP(AA37,Curr!$B$2:$C$13,2,FALSE),0)</f>
        <v>11.3</v>
      </c>
      <c r="AC37" s="12">
        <f t="shared" si="19"/>
        <v>0</v>
      </c>
      <c r="AD37" s="12">
        <f t="shared" si="20"/>
        <v>0</v>
      </c>
      <c r="AE37" s="13">
        <f t="shared" si="21"/>
        <v>0</v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14"/>
        <v>0</v>
      </c>
      <c r="T38" s="5">
        <v>0</v>
      </c>
      <c r="U38" s="12">
        <f t="shared" si="15"/>
        <v>0</v>
      </c>
      <c r="V38" s="25" t="s">
        <v>10</v>
      </c>
      <c r="W38" s="11">
        <f>IFERROR(VLOOKUP(V38,Curr!$B$2:$C$13,2,FALSE),0)</f>
        <v>11.3</v>
      </c>
      <c r="X38" s="12">
        <f t="shared" si="16"/>
        <v>0</v>
      </c>
      <c r="Y38" s="26">
        <f t="shared" si="17"/>
        <v>0</v>
      </c>
      <c r="Z38" s="12">
        <f t="shared" si="18"/>
        <v>0</v>
      </c>
      <c r="AA38" s="4" t="s">
        <v>10</v>
      </c>
      <c r="AB38" s="11">
        <f>IFERROR(VLOOKUP(AA38,Curr!$B$2:$C$13,2,FALSE),0)</f>
        <v>11.3</v>
      </c>
      <c r="AC38" s="12">
        <f t="shared" si="19"/>
        <v>0</v>
      </c>
      <c r="AD38" s="12">
        <f t="shared" si="20"/>
        <v>0</v>
      </c>
      <c r="AE38" s="13">
        <f t="shared" si="21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>
        <v>0</v>
      </c>
      <c r="R39" s="25">
        <v>0</v>
      </c>
      <c r="S39" s="12">
        <f t="shared" si="14"/>
        <v>0</v>
      </c>
      <c r="T39" s="5">
        <v>0</v>
      </c>
      <c r="U39" s="12">
        <f t="shared" si="15"/>
        <v>0</v>
      </c>
      <c r="V39" s="25" t="s">
        <v>10</v>
      </c>
      <c r="W39" s="11">
        <f>IFERROR(VLOOKUP(V39,Curr!$B$2:$C$13,2,FALSE),0)</f>
        <v>11.3</v>
      </c>
      <c r="X39" s="12">
        <f t="shared" si="16"/>
        <v>0</v>
      </c>
      <c r="Y39" s="26">
        <f t="shared" si="17"/>
        <v>0</v>
      </c>
      <c r="Z39" s="12">
        <f t="shared" si="18"/>
        <v>0</v>
      </c>
      <c r="AA39" s="4" t="s">
        <v>10</v>
      </c>
      <c r="AB39" s="11">
        <f>IFERROR(VLOOKUP(AA39,Curr!$B$2:$C$13,2,FALSE),0)</f>
        <v>11.3</v>
      </c>
      <c r="AC39" s="12">
        <f t="shared" si="19"/>
        <v>0</v>
      </c>
      <c r="AD39" s="12">
        <f t="shared" si="20"/>
        <v>0</v>
      </c>
      <c r="AE39" s="13">
        <f t="shared" si="21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>
        <v>0</v>
      </c>
      <c r="R40" s="25">
        <v>0</v>
      </c>
      <c r="S40" s="12">
        <f t="shared" si="14"/>
        <v>0</v>
      </c>
      <c r="T40" s="5">
        <v>0</v>
      </c>
      <c r="U40" s="12">
        <f t="shared" si="15"/>
        <v>0</v>
      </c>
      <c r="V40" s="25" t="s">
        <v>10</v>
      </c>
      <c r="W40" s="11">
        <f>IFERROR(VLOOKUP(V40,Curr!$B$2:$C$13,2,FALSE),0)</f>
        <v>11.3</v>
      </c>
      <c r="X40" s="12">
        <f t="shared" si="16"/>
        <v>0</v>
      </c>
      <c r="Y40" s="26">
        <f t="shared" si="17"/>
        <v>0</v>
      </c>
      <c r="Z40" s="12">
        <f t="shared" si="18"/>
        <v>0</v>
      </c>
      <c r="AA40" s="4" t="s">
        <v>10</v>
      </c>
      <c r="AB40" s="11">
        <f>IFERROR(VLOOKUP(AA40,Curr!$B$2:$C$13,2,FALSE),0)</f>
        <v>11.3</v>
      </c>
      <c r="AC40" s="12">
        <f t="shared" si="19"/>
        <v>0</v>
      </c>
      <c r="AD40" s="12">
        <f t="shared" si="20"/>
        <v>0</v>
      </c>
      <c r="AE40" s="13">
        <f t="shared" si="21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>
        <v>0</v>
      </c>
      <c r="R41" s="25">
        <v>0</v>
      </c>
      <c r="S41" s="12">
        <f t="shared" si="14"/>
        <v>0</v>
      </c>
      <c r="T41" s="5">
        <v>0</v>
      </c>
      <c r="U41" s="12">
        <f t="shared" si="15"/>
        <v>0</v>
      </c>
      <c r="V41" s="25" t="s">
        <v>10</v>
      </c>
      <c r="W41" s="11">
        <f>IFERROR(VLOOKUP(V41,Curr!$B$2:$C$13,2,FALSE),0)</f>
        <v>11.3</v>
      </c>
      <c r="X41" s="12">
        <f t="shared" si="16"/>
        <v>0</v>
      </c>
      <c r="Y41" s="26">
        <f t="shared" si="17"/>
        <v>0</v>
      </c>
      <c r="Z41" s="12">
        <f t="shared" si="18"/>
        <v>0</v>
      </c>
      <c r="AA41" s="4" t="s">
        <v>10</v>
      </c>
      <c r="AB41" s="11">
        <f>IFERROR(VLOOKUP(AA41,Curr!$B$2:$C$13,2,FALSE),0)</f>
        <v>11.3</v>
      </c>
      <c r="AC41" s="12">
        <f t="shared" si="19"/>
        <v>0</v>
      </c>
      <c r="AD41" s="12">
        <f t="shared" si="20"/>
        <v>0</v>
      </c>
      <c r="AE41" s="13">
        <f t="shared" si="21"/>
        <v>0</v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 t="shared" si="14"/>
        <v>0</v>
      </c>
      <c r="T42" s="5">
        <v>0</v>
      </c>
      <c r="U42" s="12">
        <f t="shared" si="15"/>
        <v>0</v>
      </c>
      <c r="V42" s="25" t="s">
        <v>10</v>
      </c>
      <c r="W42" s="11">
        <f>IFERROR(VLOOKUP(V42,Curr!$B$2:$C$13,2,FALSE),0)</f>
        <v>11.3</v>
      </c>
      <c r="X42" s="12">
        <f t="shared" si="16"/>
        <v>0</v>
      </c>
      <c r="Y42" s="26">
        <f t="shared" si="17"/>
        <v>0</v>
      </c>
      <c r="Z42" s="12">
        <f t="shared" si="18"/>
        <v>0</v>
      </c>
      <c r="AA42" s="4" t="s">
        <v>10</v>
      </c>
      <c r="AB42" s="11">
        <f>IFERROR(VLOOKUP(AA42,Curr!$B$2:$C$13,2,FALSE),0)</f>
        <v>11.3</v>
      </c>
      <c r="AC42" s="12">
        <f t="shared" si="19"/>
        <v>0</v>
      </c>
      <c r="AD42" s="12">
        <f t="shared" si="20"/>
        <v>0</v>
      </c>
      <c r="AE42" s="13">
        <f t="shared" si="21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>
        <v>0</v>
      </c>
      <c r="R43" s="25">
        <v>0</v>
      </c>
      <c r="S43" s="12">
        <f t="shared" si="14"/>
        <v>0</v>
      </c>
      <c r="T43" s="5">
        <v>0</v>
      </c>
      <c r="U43" s="12">
        <f t="shared" si="15"/>
        <v>0</v>
      </c>
      <c r="V43" s="25" t="s">
        <v>10</v>
      </c>
      <c r="W43" s="11">
        <f>IFERROR(VLOOKUP(V43,Curr!$B$2:$C$13,2,FALSE),0)</f>
        <v>11.3</v>
      </c>
      <c r="X43" s="12">
        <f t="shared" si="16"/>
        <v>0</v>
      </c>
      <c r="Y43" s="26">
        <f t="shared" si="17"/>
        <v>0</v>
      </c>
      <c r="Z43" s="12">
        <f t="shared" si="18"/>
        <v>0</v>
      </c>
      <c r="AA43" s="4" t="s">
        <v>10</v>
      </c>
      <c r="AB43" s="11">
        <f>IFERROR(VLOOKUP(AA43,Curr!$B$2:$C$13,2,FALSE),0)</f>
        <v>11.3</v>
      </c>
      <c r="AC43" s="12">
        <f t="shared" si="19"/>
        <v>0</v>
      </c>
      <c r="AD43" s="12">
        <f t="shared" si="20"/>
        <v>0</v>
      </c>
      <c r="AE43" s="13">
        <f t="shared" si="21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>
        <v>0</v>
      </c>
      <c r="R44" s="25">
        <v>0</v>
      </c>
      <c r="S44" s="12">
        <f t="shared" si="14"/>
        <v>0</v>
      </c>
      <c r="T44" s="5">
        <v>0</v>
      </c>
      <c r="U44" s="12">
        <f t="shared" si="15"/>
        <v>0</v>
      </c>
      <c r="V44" s="25" t="s">
        <v>10</v>
      </c>
      <c r="W44" s="11">
        <f>IFERROR(VLOOKUP(V44,Curr!$B$2:$C$13,2,FALSE),0)</f>
        <v>11.3</v>
      </c>
      <c r="X44" s="12">
        <f t="shared" si="16"/>
        <v>0</v>
      </c>
      <c r="Y44" s="26">
        <f t="shared" si="17"/>
        <v>0</v>
      </c>
      <c r="Z44" s="12">
        <f t="shared" si="18"/>
        <v>0</v>
      </c>
      <c r="AA44" s="4" t="s">
        <v>10</v>
      </c>
      <c r="AB44" s="11">
        <f>IFERROR(VLOOKUP(AA44,Curr!$B$2:$C$13,2,FALSE),0)</f>
        <v>11.3</v>
      </c>
      <c r="AC44" s="12">
        <f t="shared" si="19"/>
        <v>0</v>
      </c>
      <c r="AD44" s="12">
        <f t="shared" si="20"/>
        <v>0</v>
      </c>
      <c r="AE44" s="13">
        <f t="shared" si="21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>
        <v>0</v>
      </c>
      <c r="R45" s="25">
        <v>0</v>
      </c>
      <c r="S45" s="12">
        <f t="shared" si="14"/>
        <v>0</v>
      </c>
      <c r="T45" s="5">
        <v>0</v>
      </c>
      <c r="U45" s="12">
        <f t="shared" si="15"/>
        <v>0</v>
      </c>
      <c r="V45" s="25" t="s">
        <v>10</v>
      </c>
      <c r="W45" s="11">
        <f>IFERROR(VLOOKUP(V45,Curr!$B$2:$C$13,2,FALSE),0)</f>
        <v>11.3</v>
      </c>
      <c r="X45" s="12">
        <f t="shared" si="16"/>
        <v>0</v>
      </c>
      <c r="Y45" s="26">
        <f t="shared" si="17"/>
        <v>0</v>
      </c>
      <c r="Z45" s="12">
        <f t="shared" si="18"/>
        <v>0</v>
      </c>
      <c r="AA45" s="4" t="s">
        <v>10</v>
      </c>
      <c r="AB45" s="11">
        <f>IFERROR(VLOOKUP(AA45,Curr!$B$2:$C$13,2,FALSE),0)</f>
        <v>11.3</v>
      </c>
      <c r="AC45" s="12">
        <f t="shared" si="19"/>
        <v>0</v>
      </c>
      <c r="AD45" s="12">
        <f t="shared" si="20"/>
        <v>0</v>
      </c>
      <c r="AE45" s="13">
        <f t="shared" si="21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>
        <v>0</v>
      </c>
      <c r="R46" s="25">
        <v>0</v>
      </c>
      <c r="S46" s="12">
        <f t="shared" si="14"/>
        <v>0</v>
      </c>
      <c r="T46" s="5">
        <v>0</v>
      </c>
      <c r="U46" s="12">
        <f t="shared" si="15"/>
        <v>0</v>
      </c>
      <c r="V46" s="25" t="s">
        <v>10</v>
      </c>
      <c r="W46" s="11">
        <f>IFERROR(VLOOKUP(V46,Curr!$B$2:$C$13,2,FALSE),0)</f>
        <v>11.3</v>
      </c>
      <c r="X46" s="12">
        <f t="shared" si="16"/>
        <v>0</v>
      </c>
      <c r="Y46" s="26">
        <f t="shared" si="17"/>
        <v>0</v>
      </c>
      <c r="Z46" s="12">
        <f t="shared" si="18"/>
        <v>0</v>
      </c>
      <c r="AA46" s="4" t="s">
        <v>10</v>
      </c>
      <c r="AB46" s="11">
        <f>IFERROR(VLOOKUP(AA46,Curr!$B$2:$C$13,2,FALSE),0)</f>
        <v>11.3</v>
      </c>
      <c r="AC46" s="12">
        <f t="shared" si="19"/>
        <v>0</v>
      </c>
      <c r="AD46" s="12">
        <f t="shared" si="20"/>
        <v>0</v>
      </c>
      <c r="AE46" s="13">
        <f t="shared" si="21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>
        <v>0</v>
      </c>
      <c r="R47" s="25">
        <v>0</v>
      </c>
      <c r="S47" s="12">
        <f t="shared" si="14"/>
        <v>0</v>
      </c>
      <c r="T47" s="5">
        <v>0</v>
      </c>
      <c r="U47" s="12">
        <f t="shared" si="15"/>
        <v>0</v>
      </c>
      <c r="V47" s="25" t="s">
        <v>10</v>
      </c>
      <c r="W47" s="11">
        <f>IFERROR(VLOOKUP(V47,Curr!$B$2:$C$13,2,FALSE),0)</f>
        <v>11.3</v>
      </c>
      <c r="X47" s="12">
        <f t="shared" si="16"/>
        <v>0</v>
      </c>
      <c r="Y47" s="26">
        <f t="shared" si="17"/>
        <v>0</v>
      </c>
      <c r="Z47" s="12">
        <f t="shared" si="18"/>
        <v>0</v>
      </c>
      <c r="AA47" s="4" t="s">
        <v>10</v>
      </c>
      <c r="AB47" s="11">
        <f>IFERROR(VLOOKUP(AA47,Curr!$B$2:$C$13,2,FALSE),0)</f>
        <v>11.3</v>
      </c>
      <c r="AC47" s="12">
        <f t="shared" si="19"/>
        <v>0</v>
      </c>
      <c r="AD47" s="12">
        <f t="shared" si="20"/>
        <v>0</v>
      </c>
      <c r="AE47" s="13">
        <f t="shared" si="21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27"/>
      <c r="Q48" s="25">
        <v>0</v>
      </c>
      <c r="R48" s="25">
        <v>0</v>
      </c>
      <c r="S48" s="12">
        <f t="shared" si="14"/>
        <v>0</v>
      </c>
      <c r="T48" s="5">
        <v>0</v>
      </c>
      <c r="U48" s="12">
        <f t="shared" si="15"/>
        <v>0</v>
      </c>
      <c r="V48" s="25" t="s">
        <v>10</v>
      </c>
      <c r="W48" s="11">
        <f>IFERROR(VLOOKUP(V48,Curr!$B$2:$C$13,2,FALSE),0)</f>
        <v>11.3</v>
      </c>
      <c r="X48" s="12">
        <f t="shared" si="16"/>
        <v>0</v>
      </c>
      <c r="Y48" s="26">
        <f t="shared" si="17"/>
        <v>0</v>
      </c>
      <c r="Z48" s="12">
        <f t="shared" si="18"/>
        <v>0</v>
      </c>
      <c r="AA48" s="4" t="s">
        <v>10</v>
      </c>
      <c r="AB48" s="11">
        <f>IFERROR(VLOOKUP(AA48,Curr!$B$2:$C$13,2,FALSE),0)</f>
        <v>11.3</v>
      </c>
      <c r="AC48" s="12">
        <f t="shared" si="19"/>
        <v>0</v>
      </c>
      <c r="AD48" s="12">
        <f t="shared" si="20"/>
        <v>0</v>
      </c>
      <c r="AE48" s="13">
        <f t="shared" si="21"/>
        <v>0</v>
      </c>
    </row>
    <row r="49" spans="2:31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27"/>
      <c r="Q49" s="25">
        <v>0</v>
      </c>
      <c r="R49" s="25">
        <v>0</v>
      </c>
      <c r="S49" s="12">
        <f t="shared" si="14"/>
        <v>0</v>
      </c>
      <c r="T49" s="5">
        <v>0</v>
      </c>
      <c r="U49" s="12">
        <f t="shared" si="15"/>
        <v>0</v>
      </c>
      <c r="V49" s="25" t="s">
        <v>10</v>
      </c>
      <c r="W49" s="11">
        <f>IFERROR(VLOOKUP(V49,Curr!$B$2:$C$13,2,FALSE),0)</f>
        <v>11.3</v>
      </c>
      <c r="X49" s="12">
        <f t="shared" si="16"/>
        <v>0</v>
      </c>
      <c r="Y49" s="26">
        <f t="shared" si="17"/>
        <v>0</v>
      </c>
      <c r="Z49" s="12">
        <f t="shared" si="18"/>
        <v>0</v>
      </c>
      <c r="AA49" s="4" t="s">
        <v>10</v>
      </c>
      <c r="AB49" s="11">
        <f>IFERROR(VLOOKUP(AA49,Curr!$B$2:$C$13,2,FALSE),0)</f>
        <v>11.3</v>
      </c>
      <c r="AC49" s="12">
        <f t="shared" si="19"/>
        <v>0</v>
      </c>
      <c r="AD49" s="12">
        <f t="shared" si="20"/>
        <v>0</v>
      </c>
      <c r="AE49" s="13">
        <f t="shared" si="21"/>
        <v>0</v>
      </c>
    </row>
    <row r="50" spans="2:31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>
        <v>0</v>
      </c>
      <c r="R50" s="25">
        <v>0</v>
      </c>
      <c r="S50" s="12">
        <f t="shared" si="14"/>
        <v>0</v>
      </c>
      <c r="T50" s="5">
        <v>0</v>
      </c>
      <c r="U50" s="12">
        <f t="shared" si="15"/>
        <v>0</v>
      </c>
      <c r="V50" s="25" t="s">
        <v>10</v>
      </c>
      <c r="W50" s="11">
        <f>IFERROR(VLOOKUP(V50,Curr!$B$2:$C$13,2,FALSE),0)</f>
        <v>11.3</v>
      </c>
      <c r="X50" s="12">
        <f t="shared" si="16"/>
        <v>0</v>
      </c>
      <c r="Y50" s="26">
        <f t="shared" si="17"/>
        <v>0</v>
      </c>
      <c r="Z50" s="12">
        <f t="shared" si="18"/>
        <v>0</v>
      </c>
      <c r="AA50" s="4" t="s">
        <v>10</v>
      </c>
      <c r="AB50" s="11">
        <f>IFERROR(VLOOKUP(AA50,Curr!$B$2:$C$13,2,FALSE),0)</f>
        <v>11.3</v>
      </c>
      <c r="AC50" s="12">
        <f t="shared" si="19"/>
        <v>0</v>
      </c>
      <c r="AD50" s="12">
        <f t="shared" si="20"/>
        <v>0</v>
      </c>
      <c r="AE50" s="13">
        <f t="shared" si="21"/>
        <v>0</v>
      </c>
    </row>
    <row r="51" spans="2:31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>
        <v>0</v>
      </c>
      <c r="R51" s="25">
        <v>0</v>
      </c>
      <c r="S51" s="12">
        <f t="shared" si="14"/>
        <v>0</v>
      </c>
      <c r="T51" s="5">
        <v>0</v>
      </c>
      <c r="U51" s="12">
        <f t="shared" si="15"/>
        <v>0</v>
      </c>
      <c r="V51" s="25" t="s">
        <v>10</v>
      </c>
      <c r="W51" s="11">
        <f>IFERROR(VLOOKUP(V51,Curr!$B$2:$C$13,2,FALSE),0)</f>
        <v>11.3</v>
      </c>
      <c r="X51" s="12">
        <f t="shared" si="16"/>
        <v>0</v>
      </c>
      <c r="Y51" s="26">
        <f t="shared" si="17"/>
        <v>0</v>
      </c>
      <c r="Z51" s="12">
        <f t="shared" si="18"/>
        <v>0</v>
      </c>
      <c r="AA51" s="4" t="s">
        <v>10</v>
      </c>
      <c r="AB51" s="11">
        <f>IFERROR(VLOOKUP(AA51,Curr!$B$2:$C$13,2,FALSE),0)</f>
        <v>11.3</v>
      </c>
      <c r="AC51" s="12">
        <f t="shared" si="19"/>
        <v>0</v>
      </c>
      <c r="AD51" s="12">
        <f t="shared" si="20"/>
        <v>0</v>
      </c>
      <c r="AE51" s="13">
        <f t="shared" si="21"/>
        <v>0</v>
      </c>
    </row>
    <row r="52" spans="2:31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>
        <v>0</v>
      </c>
      <c r="R52" s="25">
        <v>0</v>
      </c>
      <c r="S52" s="12">
        <f t="shared" si="14"/>
        <v>0</v>
      </c>
      <c r="T52" s="5">
        <v>0</v>
      </c>
      <c r="U52" s="12">
        <f t="shared" si="15"/>
        <v>0</v>
      </c>
      <c r="V52" s="25" t="s">
        <v>10</v>
      </c>
      <c r="W52" s="11">
        <f>IFERROR(VLOOKUP(V52,Curr!$B$2:$C$13,2,FALSE),0)</f>
        <v>11.3</v>
      </c>
      <c r="X52" s="12">
        <f t="shared" si="16"/>
        <v>0</v>
      </c>
      <c r="Y52" s="26">
        <f t="shared" si="17"/>
        <v>0</v>
      </c>
      <c r="Z52" s="12">
        <f t="shared" si="18"/>
        <v>0</v>
      </c>
      <c r="AA52" s="4" t="s">
        <v>10</v>
      </c>
      <c r="AB52" s="11">
        <f>IFERROR(VLOOKUP(AA52,Curr!$B$2:$C$13,2,FALSE),0)</f>
        <v>11.3</v>
      </c>
      <c r="AC52" s="12">
        <f t="shared" si="19"/>
        <v>0</v>
      </c>
      <c r="AD52" s="12">
        <f t="shared" si="20"/>
        <v>0</v>
      </c>
      <c r="AE52" s="13">
        <f t="shared" si="21"/>
        <v>0</v>
      </c>
    </row>
    <row r="53" spans="2:31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>
        <v>0</v>
      </c>
      <c r="R53" s="25">
        <v>0</v>
      </c>
      <c r="S53" s="12">
        <f t="shared" si="14"/>
        <v>0</v>
      </c>
      <c r="T53" s="5">
        <v>0</v>
      </c>
      <c r="U53" s="12">
        <f t="shared" si="15"/>
        <v>0</v>
      </c>
      <c r="V53" s="25" t="s">
        <v>10</v>
      </c>
      <c r="W53" s="11">
        <f>IFERROR(VLOOKUP(V53,Curr!$B$2:$C$13,2,FALSE),0)</f>
        <v>11.3</v>
      </c>
      <c r="X53" s="12">
        <f t="shared" si="16"/>
        <v>0</v>
      </c>
      <c r="Y53" s="26">
        <f t="shared" si="17"/>
        <v>0</v>
      </c>
      <c r="Z53" s="12">
        <f t="shared" si="18"/>
        <v>0</v>
      </c>
      <c r="AA53" s="4" t="s">
        <v>10</v>
      </c>
      <c r="AB53" s="11">
        <f>IFERROR(VLOOKUP(AA53,Curr!$B$2:$C$13,2,FALSE),0)</f>
        <v>11.3</v>
      </c>
      <c r="AC53" s="12">
        <f t="shared" si="19"/>
        <v>0</v>
      </c>
      <c r="AD53" s="12">
        <f t="shared" si="20"/>
        <v>0</v>
      </c>
      <c r="AE53" s="13">
        <f t="shared" si="21"/>
        <v>0</v>
      </c>
    </row>
    <row r="54" spans="2:31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>
        <v>0</v>
      </c>
      <c r="R54" s="25">
        <v>0</v>
      </c>
      <c r="S54" s="12">
        <f t="shared" si="14"/>
        <v>0</v>
      </c>
      <c r="T54" s="5">
        <v>0</v>
      </c>
      <c r="U54" s="12">
        <f t="shared" si="15"/>
        <v>0</v>
      </c>
      <c r="V54" s="25" t="s">
        <v>10</v>
      </c>
      <c r="W54" s="11">
        <f>IFERROR(VLOOKUP(V54,Curr!$B$2:$C$13,2,FALSE),0)</f>
        <v>11.3</v>
      </c>
      <c r="X54" s="12">
        <f t="shared" si="16"/>
        <v>0</v>
      </c>
      <c r="Y54" s="26">
        <f t="shared" si="17"/>
        <v>0</v>
      </c>
      <c r="Z54" s="12">
        <f t="shared" si="18"/>
        <v>0</v>
      </c>
      <c r="AA54" s="4" t="s">
        <v>10</v>
      </c>
      <c r="AB54" s="11">
        <f>IFERROR(VLOOKUP(AA54,Curr!$B$2:$C$13,2,FALSE),0)</f>
        <v>11.3</v>
      </c>
      <c r="AC54" s="12">
        <f t="shared" si="19"/>
        <v>0</v>
      </c>
      <c r="AD54" s="12">
        <f t="shared" si="20"/>
        <v>0</v>
      </c>
      <c r="AE54" s="13">
        <f t="shared" si="21"/>
        <v>0</v>
      </c>
    </row>
    <row r="55" spans="2:31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>
        <v>0</v>
      </c>
      <c r="R55" s="25">
        <v>0</v>
      </c>
      <c r="S55" s="12">
        <f t="shared" si="14"/>
        <v>0</v>
      </c>
      <c r="T55" s="5">
        <v>0</v>
      </c>
      <c r="U55" s="12">
        <f t="shared" si="15"/>
        <v>0</v>
      </c>
      <c r="V55" s="25" t="s">
        <v>10</v>
      </c>
      <c r="W55" s="11">
        <f>IFERROR(VLOOKUP(V55,Curr!$B$2:$C$13,2,FALSE),0)</f>
        <v>11.3</v>
      </c>
      <c r="X55" s="12">
        <f t="shared" si="16"/>
        <v>0</v>
      </c>
      <c r="Y55" s="26">
        <f t="shared" si="17"/>
        <v>0</v>
      </c>
      <c r="Z55" s="12">
        <f t="shared" si="18"/>
        <v>0</v>
      </c>
      <c r="AA55" s="4" t="s">
        <v>10</v>
      </c>
      <c r="AB55" s="11">
        <f>IFERROR(VLOOKUP(AA55,Curr!$B$2:$C$13,2,FALSE),0)</f>
        <v>11.3</v>
      </c>
      <c r="AC55" s="12">
        <f t="shared" si="19"/>
        <v>0</v>
      </c>
      <c r="AD55" s="12">
        <f t="shared" si="20"/>
        <v>0</v>
      </c>
      <c r="AE55" s="13">
        <f t="shared" si="21"/>
        <v>0</v>
      </c>
    </row>
    <row r="56" spans="2:31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>
        <v>0</v>
      </c>
      <c r="R56" s="25">
        <v>0</v>
      </c>
      <c r="S56" s="12">
        <f t="shared" si="14"/>
        <v>0</v>
      </c>
      <c r="T56" s="5">
        <v>0</v>
      </c>
      <c r="U56" s="12">
        <f t="shared" si="15"/>
        <v>0</v>
      </c>
      <c r="V56" s="25" t="s">
        <v>10</v>
      </c>
      <c r="W56" s="11">
        <f>IFERROR(VLOOKUP(V56,Curr!$B$2:$C$13,2,FALSE),0)</f>
        <v>11.3</v>
      </c>
      <c r="X56" s="12">
        <f t="shared" si="16"/>
        <v>0</v>
      </c>
      <c r="Y56" s="26">
        <f t="shared" si="17"/>
        <v>0</v>
      </c>
      <c r="Z56" s="12">
        <f t="shared" si="18"/>
        <v>0</v>
      </c>
      <c r="AA56" s="4" t="s">
        <v>10</v>
      </c>
      <c r="AB56" s="11">
        <f>IFERROR(VLOOKUP(AA56,Curr!$B$2:$C$13,2,FALSE),0)</f>
        <v>11.3</v>
      </c>
      <c r="AC56" s="12">
        <f t="shared" si="19"/>
        <v>0</v>
      </c>
      <c r="AD56" s="12">
        <f t="shared" si="20"/>
        <v>0</v>
      </c>
      <c r="AE56" s="13">
        <f t="shared" si="21"/>
        <v>0</v>
      </c>
    </row>
    <row r="57" spans="2:31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>
        <v>0</v>
      </c>
      <c r="R57" s="25">
        <v>0</v>
      </c>
      <c r="S57" s="12">
        <f t="shared" si="14"/>
        <v>0</v>
      </c>
      <c r="T57" s="5">
        <v>0</v>
      </c>
      <c r="U57" s="12">
        <f t="shared" si="15"/>
        <v>0</v>
      </c>
      <c r="V57" s="25" t="s">
        <v>10</v>
      </c>
      <c r="W57" s="11">
        <f>IFERROR(VLOOKUP(V57,Curr!$B$2:$C$13,2,FALSE),0)</f>
        <v>11.3</v>
      </c>
      <c r="X57" s="12">
        <f t="shared" si="16"/>
        <v>0</v>
      </c>
      <c r="Y57" s="26">
        <f t="shared" si="17"/>
        <v>0</v>
      </c>
      <c r="Z57" s="12">
        <f t="shared" si="18"/>
        <v>0</v>
      </c>
      <c r="AA57" s="4" t="s">
        <v>10</v>
      </c>
      <c r="AB57" s="11">
        <f>IFERROR(VLOOKUP(AA57,Curr!$B$2:$C$13,2,FALSE),0)</f>
        <v>11.3</v>
      </c>
      <c r="AC57" s="12">
        <f t="shared" si="19"/>
        <v>0</v>
      </c>
      <c r="AD57" s="12">
        <f t="shared" si="20"/>
        <v>0</v>
      </c>
      <c r="AE57" s="13">
        <f t="shared" si="21"/>
        <v>0</v>
      </c>
    </row>
    <row r="58" spans="2:31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27"/>
      <c r="Q58" s="25">
        <v>0</v>
      </c>
      <c r="R58" s="25">
        <v>0</v>
      </c>
      <c r="S58" s="12">
        <f t="shared" si="6"/>
        <v>0</v>
      </c>
      <c r="T58" s="5">
        <v>0</v>
      </c>
      <c r="U58" s="12">
        <f t="shared" si="7"/>
        <v>0</v>
      </c>
      <c r="V58" s="25" t="s">
        <v>10</v>
      </c>
      <c r="W58" s="11">
        <f>IFERROR(VLOOKUP(V58,Curr!$B$2:$C$13,2,FALSE),0)</f>
        <v>11.3</v>
      </c>
      <c r="X58" s="12">
        <f t="shared" si="8"/>
        <v>0</v>
      </c>
      <c r="Y58" s="26">
        <f t="shared" si="9"/>
        <v>0</v>
      </c>
      <c r="Z58" s="12">
        <f t="shared" si="10"/>
        <v>0</v>
      </c>
      <c r="AA58" s="4" t="s">
        <v>10</v>
      </c>
      <c r="AB58" s="11">
        <f>IFERROR(VLOOKUP(AA58,Curr!$B$2:$C$13,2,FALSE),0)</f>
        <v>11.3</v>
      </c>
      <c r="AC58" s="12">
        <f t="shared" si="11"/>
        <v>0</v>
      </c>
      <c r="AD58" s="12">
        <f t="shared" si="12"/>
        <v>0</v>
      </c>
      <c r="AE58" s="13">
        <f t="shared" si="13"/>
        <v>0</v>
      </c>
    </row>
    <row r="59" spans="2:31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33"/>
      <c r="Q59" s="25">
        <v>0</v>
      </c>
      <c r="R59" s="25">
        <v>0</v>
      </c>
      <c r="S59" s="12">
        <f t="shared" si="6"/>
        <v>0</v>
      </c>
      <c r="T59" s="5">
        <v>0</v>
      </c>
      <c r="U59" s="12">
        <f t="shared" si="7"/>
        <v>0</v>
      </c>
      <c r="V59" s="25" t="s">
        <v>10</v>
      </c>
      <c r="W59" s="11">
        <f>IFERROR(VLOOKUP(V59,Curr!$B$2:$C$13,2,FALSE),0)</f>
        <v>11.3</v>
      </c>
      <c r="X59" s="12">
        <f t="shared" si="8"/>
        <v>0</v>
      </c>
      <c r="Y59" s="26">
        <f t="shared" si="9"/>
        <v>0</v>
      </c>
      <c r="Z59" s="12">
        <f t="shared" si="10"/>
        <v>0</v>
      </c>
      <c r="AA59" s="4" t="s">
        <v>10</v>
      </c>
      <c r="AB59" s="11">
        <f>IFERROR(VLOOKUP(AA59,Curr!$B$2:$C$13,2,FALSE),0)</f>
        <v>11.3</v>
      </c>
      <c r="AC59" s="12">
        <f t="shared" si="11"/>
        <v>0</v>
      </c>
      <c r="AD59" s="12">
        <f t="shared" si="12"/>
        <v>0</v>
      </c>
      <c r="AE59" s="13">
        <f t="shared" si="13"/>
        <v>0</v>
      </c>
    </row>
    <row r="60" spans="2:31" x14ac:dyDescent="0.25">
      <c r="B60" s="4"/>
      <c r="E60" s="3"/>
      <c r="F60" s="3"/>
      <c r="G60" s="24"/>
      <c r="H60" s="24"/>
      <c r="K60" s="4"/>
      <c r="L60" s="4"/>
      <c r="M60" s="4"/>
      <c r="N60" s="4"/>
      <c r="O60" s="4"/>
      <c r="P60" s="27"/>
      <c r="Q60" s="25">
        <v>0</v>
      </c>
      <c r="R60" s="25">
        <v>0</v>
      </c>
      <c r="S60" s="12">
        <f t="shared" si="6"/>
        <v>0</v>
      </c>
      <c r="T60" s="5">
        <v>0</v>
      </c>
      <c r="U60" s="12">
        <f t="shared" si="7"/>
        <v>0</v>
      </c>
      <c r="V60" s="25" t="s">
        <v>10</v>
      </c>
      <c r="W60" s="11">
        <f>IFERROR(VLOOKUP(V60,Curr!$B$2:$C$13,2,FALSE),0)</f>
        <v>11.3</v>
      </c>
      <c r="X60" s="12">
        <f t="shared" si="8"/>
        <v>0</v>
      </c>
      <c r="Y60" s="26">
        <f t="shared" si="9"/>
        <v>0</v>
      </c>
      <c r="Z60" s="12">
        <f t="shared" si="10"/>
        <v>0</v>
      </c>
      <c r="AA60" s="4" t="s">
        <v>10</v>
      </c>
      <c r="AB60" s="11">
        <f>IFERROR(VLOOKUP(AA60,Curr!$B$2:$C$13,2,FALSE),0)</f>
        <v>11.3</v>
      </c>
      <c r="AC60" s="12">
        <f t="shared" si="11"/>
        <v>0</v>
      </c>
      <c r="AD60" s="12">
        <f t="shared" si="12"/>
        <v>0</v>
      </c>
      <c r="AE60" s="13">
        <f t="shared" si="13"/>
        <v>0</v>
      </c>
    </row>
    <row r="61" spans="2:31" x14ac:dyDescent="0.25">
      <c r="B61" s="4"/>
      <c r="E61" s="3"/>
      <c r="F61" s="3"/>
      <c r="G61" s="24"/>
      <c r="H61" s="24"/>
      <c r="K61" s="4"/>
      <c r="L61" s="4"/>
      <c r="M61" s="4"/>
      <c r="N61" s="4"/>
      <c r="O61" s="4"/>
      <c r="P61" s="33"/>
      <c r="Q61" s="25">
        <v>0</v>
      </c>
      <c r="R61" s="25">
        <v>0</v>
      </c>
      <c r="S61" s="12">
        <f t="shared" si="6"/>
        <v>0</v>
      </c>
      <c r="T61" s="5">
        <v>0</v>
      </c>
      <c r="U61" s="12">
        <f t="shared" si="7"/>
        <v>0</v>
      </c>
      <c r="V61" s="25" t="s">
        <v>10</v>
      </c>
      <c r="W61" s="11">
        <f>IFERROR(VLOOKUP(V61,Curr!$B$2:$C$13,2,FALSE),0)</f>
        <v>11.3</v>
      </c>
      <c r="X61" s="12">
        <f t="shared" si="8"/>
        <v>0</v>
      </c>
      <c r="Y61" s="26">
        <f t="shared" si="9"/>
        <v>0</v>
      </c>
      <c r="Z61" s="12">
        <f t="shared" si="10"/>
        <v>0</v>
      </c>
      <c r="AA61" s="4" t="s">
        <v>10</v>
      </c>
      <c r="AB61" s="11">
        <f>IFERROR(VLOOKUP(AA61,Curr!$B$2:$C$13,2,FALSE),0)</f>
        <v>11.3</v>
      </c>
      <c r="AC61" s="12">
        <f t="shared" si="11"/>
        <v>0</v>
      </c>
      <c r="AD61" s="12">
        <f t="shared" si="12"/>
        <v>0</v>
      </c>
      <c r="AE61" s="13">
        <f t="shared" si="13"/>
        <v>0</v>
      </c>
    </row>
    <row r="62" spans="2:31" x14ac:dyDescent="0.25">
      <c r="B62" s="4"/>
      <c r="E62" s="3"/>
      <c r="F62" s="3"/>
      <c r="G62" s="24"/>
      <c r="H62" s="24"/>
      <c r="K62" s="4"/>
      <c r="L62" s="4"/>
      <c r="M62" s="4"/>
      <c r="N62" s="4"/>
      <c r="O62" s="4"/>
      <c r="P62" s="33"/>
      <c r="Q62" s="25">
        <v>0</v>
      </c>
      <c r="R62" s="25">
        <v>0</v>
      </c>
      <c r="S62" s="12">
        <f t="shared" si="6"/>
        <v>0</v>
      </c>
      <c r="T62" s="5">
        <v>0</v>
      </c>
      <c r="U62" s="12">
        <f t="shared" si="7"/>
        <v>0</v>
      </c>
      <c r="V62" s="25" t="s">
        <v>10</v>
      </c>
      <c r="W62" s="11">
        <f>IFERROR(VLOOKUP(V62,Curr!$B$2:$C$13,2,FALSE),0)</f>
        <v>11.3</v>
      </c>
      <c r="X62" s="12">
        <f t="shared" si="8"/>
        <v>0</v>
      </c>
      <c r="Y62" s="26">
        <f t="shared" si="9"/>
        <v>0</v>
      </c>
      <c r="Z62" s="12">
        <f t="shared" si="10"/>
        <v>0</v>
      </c>
      <c r="AA62" s="4" t="s">
        <v>10</v>
      </c>
      <c r="AB62" s="11">
        <f>IFERROR(VLOOKUP(AA62,Curr!$B$2:$C$13,2,FALSE),0)</f>
        <v>11.3</v>
      </c>
      <c r="AC62" s="12">
        <f t="shared" si="11"/>
        <v>0</v>
      </c>
      <c r="AD62" s="12">
        <f t="shared" si="12"/>
        <v>0</v>
      </c>
      <c r="AE62" s="13">
        <f t="shared" si="13"/>
        <v>0</v>
      </c>
    </row>
    <row r="63" spans="2:31" x14ac:dyDescent="0.25">
      <c r="B63" s="4"/>
      <c r="E63" s="3"/>
      <c r="F63" s="3"/>
      <c r="G63" s="24"/>
      <c r="H63" s="24"/>
      <c r="K63" s="4"/>
      <c r="L63" s="4"/>
      <c r="M63" s="4"/>
      <c r="N63" s="4"/>
      <c r="O63" s="4"/>
      <c r="P63" s="27"/>
      <c r="Q63" s="25">
        <v>0</v>
      </c>
      <c r="R63" s="25">
        <v>0</v>
      </c>
      <c r="S63" s="12">
        <f t="shared" si="6"/>
        <v>0</v>
      </c>
      <c r="T63" s="5">
        <v>0</v>
      </c>
      <c r="U63" s="12">
        <f t="shared" si="7"/>
        <v>0</v>
      </c>
      <c r="V63" s="25" t="s">
        <v>10</v>
      </c>
      <c r="W63" s="11">
        <f>IFERROR(VLOOKUP(V63,Curr!$B$2:$C$13,2,FALSE),0)</f>
        <v>11.3</v>
      </c>
      <c r="X63" s="12">
        <f t="shared" si="8"/>
        <v>0</v>
      </c>
      <c r="Y63" s="26">
        <f t="shared" si="9"/>
        <v>0</v>
      </c>
      <c r="Z63" s="12">
        <f t="shared" si="10"/>
        <v>0</v>
      </c>
      <c r="AA63" s="4" t="s">
        <v>10</v>
      </c>
      <c r="AB63" s="11">
        <f>IFERROR(VLOOKUP(AA63,Curr!$B$2:$C$13,2,FALSE),0)</f>
        <v>11.3</v>
      </c>
      <c r="AC63" s="12">
        <f t="shared" si="11"/>
        <v>0</v>
      </c>
      <c r="AD63" s="12">
        <f t="shared" si="12"/>
        <v>0</v>
      </c>
      <c r="AE63" s="13">
        <f t="shared" si="13"/>
        <v>0</v>
      </c>
    </row>
    <row r="64" spans="2:31" x14ac:dyDescent="0.25">
      <c r="B64" s="4"/>
      <c r="E64" s="3"/>
      <c r="F64" s="3"/>
      <c r="G64" s="24"/>
      <c r="H64" s="24"/>
      <c r="K64" s="4"/>
      <c r="L64" s="4"/>
      <c r="M64" s="4"/>
      <c r="N64" s="4"/>
      <c r="O64" s="4"/>
      <c r="P64" s="33"/>
      <c r="Q64" s="25">
        <v>0</v>
      </c>
      <c r="R64" s="25">
        <v>0</v>
      </c>
      <c r="S64" s="12">
        <f t="shared" si="6"/>
        <v>0</v>
      </c>
      <c r="T64" s="5">
        <v>0</v>
      </c>
      <c r="U64" s="12">
        <f t="shared" si="7"/>
        <v>0</v>
      </c>
      <c r="V64" s="25" t="s">
        <v>10</v>
      </c>
      <c r="W64" s="11">
        <f>IFERROR(VLOOKUP(V64,Curr!$B$2:$C$13,2,FALSE),0)</f>
        <v>11.3</v>
      </c>
      <c r="X64" s="12">
        <f t="shared" si="8"/>
        <v>0</v>
      </c>
      <c r="Y64" s="26">
        <f t="shared" si="9"/>
        <v>0</v>
      </c>
      <c r="Z64" s="12">
        <f t="shared" si="10"/>
        <v>0</v>
      </c>
      <c r="AA64" s="4" t="s">
        <v>10</v>
      </c>
      <c r="AB64" s="11">
        <f>IFERROR(VLOOKUP(AA64,Curr!$B$2:$C$13,2,FALSE),0)</f>
        <v>11.3</v>
      </c>
      <c r="AC64" s="12">
        <f t="shared" si="11"/>
        <v>0</v>
      </c>
      <c r="AD64" s="12">
        <f t="shared" si="12"/>
        <v>0</v>
      </c>
      <c r="AE64" s="13">
        <f t="shared" si="13"/>
        <v>0</v>
      </c>
    </row>
    <row r="65" spans="2:36" x14ac:dyDescent="0.25">
      <c r="B65" s="4"/>
      <c r="E65" s="3"/>
      <c r="F65" s="3"/>
      <c r="G65" s="24"/>
      <c r="H65" s="24"/>
      <c r="K65" s="4"/>
      <c r="L65" s="4"/>
      <c r="M65" s="4"/>
      <c r="N65" s="4"/>
      <c r="O65" s="4"/>
      <c r="P65" s="27"/>
      <c r="Q65" s="25">
        <v>0</v>
      </c>
      <c r="R65" s="25">
        <v>0</v>
      </c>
      <c r="S65" s="12">
        <f t="shared" si="6"/>
        <v>0</v>
      </c>
      <c r="T65" s="5">
        <v>0</v>
      </c>
      <c r="U65" s="12">
        <f t="shared" si="7"/>
        <v>0</v>
      </c>
      <c r="V65" s="25" t="s">
        <v>10</v>
      </c>
      <c r="W65" s="11">
        <f>IFERROR(VLOOKUP(V65,Curr!$B$2:$C$13,2,FALSE),0)</f>
        <v>11.3</v>
      </c>
      <c r="X65" s="12">
        <f t="shared" si="8"/>
        <v>0</v>
      </c>
      <c r="Y65" s="26">
        <f t="shared" si="9"/>
        <v>0</v>
      </c>
      <c r="Z65" s="12">
        <f t="shared" si="10"/>
        <v>0</v>
      </c>
      <c r="AA65" s="4" t="s">
        <v>10</v>
      </c>
      <c r="AB65" s="11">
        <f>IFERROR(VLOOKUP(AA65,Curr!$B$2:$C$13,2,FALSE),0)</f>
        <v>11.3</v>
      </c>
      <c r="AC65" s="12">
        <f t="shared" si="11"/>
        <v>0</v>
      </c>
      <c r="AD65" s="12">
        <f t="shared" si="12"/>
        <v>0</v>
      </c>
      <c r="AE65" s="13">
        <f t="shared" si="13"/>
        <v>0</v>
      </c>
    </row>
    <row r="66" spans="2:36" x14ac:dyDescent="0.25">
      <c r="B66" s="4"/>
      <c r="E66" s="3"/>
      <c r="F66" s="3"/>
      <c r="G66" s="3"/>
      <c r="H66" s="3"/>
      <c r="L66" s="4"/>
      <c r="M66" s="4"/>
      <c r="N66" s="4"/>
      <c r="O66" s="4"/>
      <c r="P66" s="22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2:36" x14ac:dyDescent="0.25">
      <c r="B67" s="14" t="s">
        <v>18</v>
      </c>
      <c r="C67" s="14"/>
      <c r="D67" s="28" t="s">
        <v>42</v>
      </c>
      <c r="E67" s="30" t="s">
        <v>42</v>
      </c>
      <c r="F67" s="30" t="s">
        <v>42</v>
      </c>
      <c r="G67" s="30" t="s">
        <v>42</v>
      </c>
      <c r="H67" s="30" t="s">
        <v>42</v>
      </c>
      <c r="I67" s="28" t="s">
        <v>42</v>
      </c>
      <c r="J67" s="28" t="s">
        <v>42</v>
      </c>
      <c r="K67" s="28" t="s">
        <v>42</v>
      </c>
      <c r="L67" s="28" t="s">
        <v>42</v>
      </c>
      <c r="M67" s="28" t="s">
        <v>42</v>
      </c>
      <c r="N67" s="28" t="s">
        <v>42</v>
      </c>
      <c r="O67" s="28" t="s">
        <v>42</v>
      </c>
      <c r="P67" s="28" t="s">
        <v>42</v>
      </c>
      <c r="Q67" s="31" t="s">
        <v>42</v>
      </c>
      <c r="R67" s="28" t="s">
        <v>42</v>
      </c>
      <c r="S67" s="32" t="s">
        <v>42</v>
      </c>
      <c r="T67" s="28" t="s">
        <v>42</v>
      </c>
      <c r="U67" s="32" t="s">
        <v>42</v>
      </c>
      <c r="V67" s="28" t="s">
        <v>42</v>
      </c>
      <c r="W67" s="28" t="s">
        <v>42</v>
      </c>
      <c r="X67" s="32" t="s">
        <v>42</v>
      </c>
      <c r="Y67" s="32" t="s">
        <v>42</v>
      </c>
      <c r="Z67" s="15">
        <f>SUM(Z7:Z65)</f>
        <v>0</v>
      </c>
      <c r="AA67" s="14"/>
      <c r="AB67" s="14"/>
      <c r="AC67" s="15">
        <f>SUM(AC7:AC65)</f>
        <v>0</v>
      </c>
      <c r="AD67" s="15">
        <f>SUM(AD7:AD65)</f>
        <v>0</v>
      </c>
      <c r="AE67" s="21">
        <f t="shared" ref="AE67" si="22">IFERROR(AD67/AC67,0)</f>
        <v>0</v>
      </c>
      <c r="AF67" s="15">
        <f>SUM(AF8:AF66)</f>
        <v>0</v>
      </c>
      <c r="AG67" s="15">
        <f>SUM(AG8:AG66)</f>
        <v>0</v>
      </c>
      <c r="AH67" s="15">
        <f>SUM(AH8:AH66)</f>
        <v>0</v>
      </c>
      <c r="AI67" s="15">
        <f>SUM(AI8:AI66)</f>
        <v>0</v>
      </c>
      <c r="AJ67" s="15">
        <f>SUM(AJ8:AJ66)</f>
        <v>0</v>
      </c>
    </row>
    <row r="68" spans="2:36" x14ac:dyDescent="0.25">
      <c r="B68" s="4"/>
      <c r="E68" s="3"/>
      <c r="F68" s="3"/>
      <c r="G68" s="3"/>
      <c r="H68" s="3"/>
      <c r="L68" s="4"/>
      <c r="M68" s="4"/>
      <c r="N68" s="4"/>
      <c r="O68" s="4"/>
      <c r="Q68" s="4"/>
      <c r="R68" s="4"/>
      <c r="S68" s="4"/>
      <c r="T68" s="4"/>
      <c r="U68" s="4"/>
      <c r="V68" s="4"/>
      <c r="W68" s="4"/>
      <c r="X68" s="4"/>
      <c r="Y68" s="9"/>
      <c r="Z68" s="9"/>
      <c r="AA68" s="9"/>
      <c r="AB68" s="9"/>
      <c r="AC68" s="9"/>
      <c r="AD68" s="9"/>
      <c r="AE68" s="9"/>
    </row>
    <row r="69" spans="2:36" x14ac:dyDescent="0.25">
      <c r="B69" s="4"/>
      <c r="E69" s="3"/>
      <c r="F69" s="3"/>
      <c r="G69" s="3"/>
      <c r="H69" s="3"/>
      <c r="L69" s="4"/>
      <c r="M69" s="4"/>
      <c r="N69" s="4"/>
      <c r="O69" s="4"/>
      <c r="Q69" s="9"/>
      <c r="R69" s="9"/>
      <c r="S69" s="9"/>
      <c r="T69" s="9"/>
      <c r="U69" s="9"/>
      <c r="V69" s="9"/>
      <c r="W69" s="9"/>
      <c r="X69" s="23"/>
      <c r="Y69" s="34" t="s">
        <v>45</v>
      </c>
      <c r="Z69" s="34">
        <v>0</v>
      </c>
      <c r="AA69" s="9"/>
      <c r="AB69" s="9"/>
      <c r="AC69" s="9"/>
      <c r="AD69" s="9"/>
      <c r="AE69" s="9"/>
    </row>
    <row r="70" spans="2:36" x14ac:dyDescent="0.25">
      <c r="B70" s="4"/>
      <c r="E70" s="3"/>
      <c r="F70" s="3"/>
      <c r="G70" s="3"/>
      <c r="H70" s="3"/>
      <c r="L70" s="4"/>
      <c r="M70" s="4"/>
      <c r="N70" s="4"/>
      <c r="O70" s="4"/>
      <c r="Q70" s="9"/>
      <c r="R70" s="9"/>
      <c r="S70" s="9"/>
      <c r="T70" s="9"/>
      <c r="U70" s="9"/>
      <c r="V70" s="9"/>
      <c r="W70" s="9"/>
      <c r="X70" s="9"/>
      <c r="Y70" s="34" t="s">
        <v>46</v>
      </c>
      <c r="Z70" s="34">
        <f>Z69/2</f>
        <v>0</v>
      </c>
      <c r="AA70" s="9"/>
      <c r="AB70" s="9"/>
      <c r="AC70" s="9"/>
      <c r="AD70" s="9"/>
      <c r="AE70" s="9"/>
      <c r="AF70" s="18"/>
    </row>
    <row r="71" spans="2:36" x14ac:dyDescent="0.25">
      <c r="B71" s="4"/>
      <c r="E71" s="3"/>
      <c r="F71" s="3"/>
      <c r="G71" s="3"/>
      <c r="H71" s="3"/>
      <c r="I71" s="19"/>
      <c r="L71" s="4"/>
      <c r="M71" s="4"/>
      <c r="N71" s="4"/>
      <c r="O71" s="20"/>
      <c r="Q71" s="20"/>
      <c r="R71" s="20"/>
      <c r="S71" s="20"/>
      <c r="T71" s="20"/>
      <c r="U71" s="20"/>
      <c r="V71" s="20"/>
      <c r="W71" s="20"/>
      <c r="X71" s="20"/>
      <c r="Y71" s="9"/>
      <c r="Z71" s="9"/>
      <c r="AA71" s="9"/>
      <c r="AB71" s="9"/>
      <c r="AC71" s="9"/>
      <c r="AD71" s="9"/>
      <c r="AE71" s="9"/>
      <c r="AF71" s="18"/>
    </row>
    <row r="72" spans="2:36" x14ac:dyDescent="0.25">
      <c r="B72" s="4"/>
      <c r="E72" s="3"/>
      <c r="F72" s="3"/>
      <c r="G72" s="3"/>
      <c r="H72" s="3"/>
      <c r="L72" s="4"/>
      <c r="M72" s="4"/>
      <c r="N72" s="4"/>
      <c r="O72" s="20"/>
      <c r="Q72" s="20"/>
      <c r="R72" s="20"/>
      <c r="S72" s="20"/>
      <c r="T72" s="20"/>
      <c r="U72" s="20"/>
      <c r="V72" s="20"/>
      <c r="W72" s="20"/>
      <c r="X72" s="20"/>
      <c r="Y72" s="35" t="s">
        <v>83</v>
      </c>
      <c r="Z72" s="9">
        <f>Z69</f>
        <v>0</v>
      </c>
      <c r="AA72" s="9"/>
      <c r="AB72" s="9"/>
      <c r="AC72" s="9"/>
      <c r="AD72" s="9"/>
      <c r="AE72" s="9"/>
      <c r="AF72" s="18"/>
    </row>
    <row r="73" spans="2:36" x14ac:dyDescent="0.25">
      <c r="B73" s="4"/>
      <c r="E73" s="3"/>
      <c r="F73" s="3"/>
      <c r="G73" s="3"/>
      <c r="H73" s="3"/>
      <c r="L73" s="4"/>
      <c r="M73" s="4"/>
      <c r="N73" s="4"/>
      <c r="O73" s="4"/>
      <c r="Q73" s="9"/>
      <c r="R73" s="9"/>
      <c r="S73" s="9"/>
      <c r="T73" s="9"/>
      <c r="U73" s="9"/>
      <c r="V73" s="9"/>
      <c r="W73" s="9"/>
      <c r="X73" s="9"/>
      <c r="Y73" s="36" t="s">
        <v>84</v>
      </c>
      <c r="Z73" s="9">
        <f>Z72*1.15</f>
        <v>0</v>
      </c>
      <c r="AA73" s="9"/>
      <c r="AB73" s="9"/>
      <c r="AC73" s="9"/>
      <c r="AD73" s="9"/>
      <c r="AE73" s="9"/>
      <c r="AF73" s="18"/>
    </row>
    <row r="74" spans="2:36" x14ac:dyDescent="0.25">
      <c r="F74" s="1"/>
      <c r="G74" s="1"/>
      <c r="H74" s="1"/>
      <c r="J74" s="1" t="s">
        <v>32</v>
      </c>
      <c r="Q74" s="9"/>
      <c r="R74" s="4"/>
      <c r="S74" s="9"/>
      <c r="T74" s="5"/>
      <c r="U74" s="9"/>
      <c r="V74" s="4"/>
      <c r="W74" s="4"/>
      <c r="X74" s="9"/>
      <c r="Y74" s="36" t="s">
        <v>85</v>
      </c>
      <c r="Z74" s="9">
        <f>Z72*1.2</f>
        <v>0</v>
      </c>
      <c r="AA74" s="9"/>
      <c r="AB74" s="9"/>
      <c r="AC74" s="9"/>
      <c r="AD74" s="9"/>
      <c r="AE74" s="9"/>
    </row>
    <row r="75" spans="2:36" x14ac:dyDescent="0.25">
      <c r="R75" s="4"/>
      <c r="S75" s="17"/>
      <c r="T75" s="17"/>
      <c r="U75" s="9"/>
      <c r="V75" s="4"/>
      <c r="W75" s="4"/>
      <c r="X75" s="9"/>
      <c r="Y75" s="36" t="s">
        <v>86</v>
      </c>
      <c r="Z75" s="9">
        <f>Z72*0.84</f>
        <v>0</v>
      </c>
      <c r="AA75" s="9"/>
      <c r="AB75" s="9"/>
      <c r="AC75" s="9"/>
      <c r="AD75" s="9"/>
      <c r="AE75" s="9"/>
    </row>
    <row r="76" spans="2:36" x14ac:dyDescent="0.25">
      <c r="Q76" s="9"/>
      <c r="R76" s="4"/>
      <c r="S76" s="16"/>
      <c r="T76" s="16"/>
      <c r="U76" s="9"/>
      <c r="V76" s="4"/>
      <c r="W76" s="4"/>
      <c r="X76" s="9"/>
      <c r="Y76" s="9"/>
      <c r="Z76" s="9"/>
      <c r="AA76" s="9"/>
      <c r="AB76" s="9"/>
      <c r="AC76" s="9"/>
      <c r="AD76" s="9"/>
      <c r="AE76" s="9"/>
    </row>
    <row r="77" spans="2:36" x14ac:dyDescent="0.25">
      <c r="R77" s="4"/>
      <c r="S77" s="16"/>
      <c r="T77" s="16"/>
      <c r="Y77" s="9"/>
      <c r="Z77" s="9"/>
      <c r="AA77" s="9"/>
      <c r="AB77" s="9"/>
      <c r="AC77" s="9"/>
      <c r="AD77" s="9"/>
      <c r="AE77" s="9"/>
    </row>
    <row r="78" spans="2:36" x14ac:dyDescent="0.25">
      <c r="T78" s="5"/>
      <c r="Y78" s="9"/>
      <c r="Z78" s="9"/>
      <c r="AA78" s="9"/>
      <c r="AB78" s="9"/>
      <c r="AC78" s="9"/>
      <c r="AD78" s="9"/>
      <c r="AE78" s="9"/>
    </row>
    <row r="79" spans="2:36" x14ac:dyDescent="0.25">
      <c r="T79" s="5"/>
      <c r="Y79" s="9"/>
      <c r="Z79" s="9"/>
      <c r="AA79" s="9"/>
      <c r="AB79" s="9"/>
      <c r="AC79" s="9"/>
      <c r="AD79" s="9"/>
      <c r="AE79" s="9"/>
    </row>
    <row r="80" spans="2:36" x14ac:dyDescent="0.25">
      <c r="T80" s="5"/>
      <c r="Y80" s="9"/>
      <c r="Z80" s="9"/>
      <c r="AA80" s="9"/>
      <c r="AB80" s="9"/>
      <c r="AC80" s="9"/>
      <c r="AD80" s="9"/>
      <c r="AE80" s="9"/>
    </row>
    <row r="81" spans="20:31" x14ac:dyDescent="0.25">
      <c r="T81" s="5"/>
      <c r="Y81" s="9"/>
      <c r="Z81" s="9"/>
      <c r="AA81" s="9"/>
      <c r="AB81" s="9"/>
      <c r="AC81" s="9"/>
      <c r="AD81" s="9"/>
      <c r="AE81" s="9"/>
    </row>
    <row r="82" spans="20:31" x14ac:dyDescent="0.25">
      <c r="T82" s="5"/>
      <c r="Y82" s="9"/>
      <c r="Z82" s="9"/>
      <c r="AA82" s="9"/>
      <c r="AB82" s="9"/>
      <c r="AC82" s="9"/>
      <c r="AD82" s="9"/>
      <c r="AE82" s="9"/>
    </row>
    <row r="83" spans="20:31" x14ac:dyDescent="0.25">
      <c r="T83" s="5"/>
      <c r="Y83" s="9"/>
      <c r="Z83" s="9"/>
      <c r="AA83" s="9"/>
      <c r="AB83" s="9"/>
      <c r="AC83" s="9"/>
      <c r="AD83" s="9"/>
      <c r="AE83" s="9"/>
    </row>
    <row r="84" spans="20:31" x14ac:dyDescent="0.25">
      <c r="T84" s="5"/>
      <c r="Y84" s="9"/>
      <c r="Z84" s="9"/>
      <c r="AA84" s="9"/>
      <c r="AB84" s="9"/>
      <c r="AC84" s="9"/>
      <c r="AD84" s="9"/>
      <c r="AE84" s="9"/>
    </row>
    <row r="85" spans="20:31" x14ac:dyDescent="0.25">
      <c r="T85" s="5"/>
      <c r="Y85" s="9"/>
      <c r="Z85" s="9"/>
      <c r="AA85" s="9"/>
      <c r="AB85" s="9"/>
      <c r="AC85" s="9"/>
      <c r="AD85" s="9"/>
      <c r="AE85" s="9"/>
    </row>
    <row r="86" spans="20:31" x14ac:dyDescent="0.25">
      <c r="T86" s="5"/>
    </row>
    <row r="87" spans="20:31" x14ac:dyDescent="0.25">
      <c r="T87" s="5"/>
    </row>
    <row r="88" spans="20:31" x14ac:dyDescent="0.25">
      <c r="T88" s="5"/>
    </row>
    <row r="89" spans="20:31" x14ac:dyDescent="0.25">
      <c r="T89" s="5"/>
    </row>
    <row r="90" spans="20:31" x14ac:dyDescent="0.25">
      <c r="T90" s="5"/>
    </row>
  </sheetData>
  <autoFilter ref="B6:AE67" xr:uid="{65FA6D9B-E0AF-46CD-BA0D-86BB75FE6AB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44A7-E9F3-4DC0-898E-B3429F98DE6F}">
  <sheetPr>
    <tabColor rgb="FFFFFF00"/>
  </sheetPr>
  <dimension ref="B2:AK66"/>
  <sheetViews>
    <sheetView topLeftCell="A24" zoomScale="85" zoomScaleNormal="85" workbookViewId="0">
      <selection activeCell="Z48" sqref="Z48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47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48</v>
      </c>
      <c r="D7" s="1" t="s">
        <v>49</v>
      </c>
      <c r="E7" s="3"/>
      <c r="F7" s="3"/>
      <c r="G7" s="3"/>
      <c r="H7" s="3"/>
      <c r="J7" s="1" t="s">
        <v>50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41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11.3</v>
      </c>
      <c r="X7" s="12">
        <f t="shared" ref="X7:X41" si="1">U7*W7</f>
        <v>0</v>
      </c>
      <c r="Y7" s="26">
        <f>Q7</f>
        <v>0</v>
      </c>
      <c r="Z7" s="12">
        <f t="shared" ref="Z7:Z41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:AC41" si="3">+Y7*AB7*R7</f>
        <v>0</v>
      </c>
      <c r="AD7" s="12">
        <f t="shared" ref="AD7:AD41" si="4">+AC7-X7</f>
        <v>0</v>
      </c>
      <c r="AE7" s="13">
        <f t="shared" ref="AE7:AE41" si="5">IFERROR(AD7/AC7,0)</f>
        <v>0</v>
      </c>
    </row>
    <row r="8" spans="2:36" x14ac:dyDescent="0.25">
      <c r="B8" s="4"/>
      <c r="C8" s="1" t="s">
        <v>48</v>
      </c>
      <c r="D8" s="1" t="s">
        <v>51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350</v>
      </c>
      <c r="R8" s="25">
        <v>1</v>
      </c>
      <c r="S8" s="12">
        <f t="shared" si="0"/>
        <v>350</v>
      </c>
      <c r="T8" s="5">
        <v>0</v>
      </c>
      <c r="U8" s="12">
        <f t="shared" ref="U8:U41" si="6">S8*(1-T8)</f>
        <v>350</v>
      </c>
      <c r="V8" s="25" t="s">
        <v>10</v>
      </c>
      <c r="W8" s="11">
        <f>IFERROR(VLOOKUP(V8,Curr!$B$2:$C$13,2,FALSE),0)</f>
        <v>11.3</v>
      </c>
      <c r="X8" s="12">
        <f t="shared" si="1"/>
        <v>3955.0000000000005</v>
      </c>
      <c r="Y8" s="26">
        <f>Q8/0.8</f>
        <v>437.5</v>
      </c>
      <c r="Z8" s="12">
        <f t="shared" si="2"/>
        <v>437.5</v>
      </c>
      <c r="AA8" s="4" t="s">
        <v>10</v>
      </c>
      <c r="AB8" s="11">
        <f>IFERROR(VLOOKUP(AA8,Curr!$B$2:$C$13,2,FALSE),0)</f>
        <v>11.3</v>
      </c>
      <c r="AC8" s="12">
        <f t="shared" si="3"/>
        <v>4943.75</v>
      </c>
      <c r="AD8" s="12">
        <f t="shared" si="4"/>
        <v>988.74999999999955</v>
      </c>
      <c r="AE8" s="13">
        <f t="shared" si="5"/>
        <v>0.1999999999999999</v>
      </c>
    </row>
    <row r="9" spans="2:36" x14ac:dyDescent="0.25">
      <c r="B9" s="4"/>
      <c r="C9" s="1" t="s">
        <v>48</v>
      </c>
      <c r="D9" s="1" t="s">
        <v>53</v>
      </c>
      <c r="E9" s="3"/>
      <c r="F9" s="3"/>
      <c r="G9" s="24"/>
      <c r="H9" s="24"/>
      <c r="J9" s="1" t="s">
        <v>54</v>
      </c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0"/>
        <v>0</v>
      </c>
      <c r="T9" s="5">
        <v>0</v>
      </c>
      <c r="U9" s="12">
        <f t="shared" si="6"/>
        <v>0</v>
      </c>
      <c r="V9" s="25" t="s">
        <v>10</v>
      </c>
      <c r="W9" s="11">
        <f>IFERROR(VLOOKUP(V9,Curr!$B$2:$C$13,2,FALSE),0)</f>
        <v>11.3</v>
      </c>
      <c r="X9" s="12">
        <f t="shared" si="1"/>
        <v>0</v>
      </c>
      <c r="Y9" s="26">
        <f t="shared" ref="Y9:Y41" si="7">Q9</f>
        <v>0</v>
      </c>
      <c r="Z9" s="12">
        <f t="shared" si="2"/>
        <v>0</v>
      </c>
      <c r="AA9" s="4" t="s">
        <v>10</v>
      </c>
      <c r="AB9" s="11">
        <f>IFERROR(VLOOKUP(AA9,Curr!$B$2:$C$13,2,FALSE),0)</f>
        <v>11.3</v>
      </c>
      <c r="AC9" s="12">
        <f t="shared" si="3"/>
        <v>0</v>
      </c>
      <c r="AD9" s="12">
        <f t="shared" si="4"/>
        <v>0</v>
      </c>
      <c r="AE9" s="13">
        <f t="shared" si="5"/>
        <v>0</v>
      </c>
    </row>
    <row r="10" spans="2:36" x14ac:dyDescent="0.25">
      <c r="B10" s="4"/>
      <c r="C10" s="1" t="s">
        <v>48</v>
      </c>
      <c r="D10" s="1" t="s">
        <v>64</v>
      </c>
      <c r="E10" s="3"/>
      <c r="F10" s="3"/>
      <c r="G10" s="24"/>
      <c r="H10" s="24"/>
      <c r="J10" s="1" t="s">
        <v>66</v>
      </c>
      <c r="K10" s="4"/>
      <c r="L10" s="4"/>
      <c r="M10" s="4"/>
      <c r="N10" s="4"/>
      <c r="O10" s="4"/>
      <c r="P10" s="33"/>
      <c r="Q10" s="25">
        <v>250</v>
      </c>
      <c r="R10" s="25">
        <v>1</v>
      </c>
      <c r="S10" s="12">
        <f t="shared" si="0"/>
        <v>250</v>
      </c>
      <c r="T10" s="5">
        <v>0</v>
      </c>
      <c r="U10" s="12">
        <f t="shared" si="6"/>
        <v>250</v>
      </c>
      <c r="V10" s="25" t="s">
        <v>10</v>
      </c>
      <c r="W10" s="11">
        <f>IFERROR(VLOOKUP(V10,Curr!$B$2:$C$13,2,FALSE),0)</f>
        <v>11.3</v>
      </c>
      <c r="X10" s="12">
        <f t="shared" si="1"/>
        <v>2825</v>
      </c>
      <c r="Y10" s="26">
        <f>Q10/0.75</f>
        <v>333.33333333333331</v>
      </c>
      <c r="Z10" s="12">
        <f t="shared" si="2"/>
        <v>333.33333333333331</v>
      </c>
      <c r="AA10" s="4" t="s">
        <v>10</v>
      </c>
      <c r="AB10" s="11">
        <f>IFERROR(VLOOKUP(AA10,Curr!$B$2:$C$13,2,FALSE),0)</f>
        <v>11.3</v>
      </c>
      <c r="AC10" s="12">
        <f t="shared" si="3"/>
        <v>3766.6666666666665</v>
      </c>
      <c r="AD10" s="12">
        <f t="shared" si="4"/>
        <v>941.66666666666652</v>
      </c>
      <c r="AE10" s="13">
        <f t="shared" si="5"/>
        <v>0.24999999999999997</v>
      </c>
    </row>
    <row r="11" spans="2:36" x14ac:dyDescent="0.25">
      <c r="B11" s="4"/>
      <c r="C11" s="1" t="s">
        <v>48</v>
      </c>
      <c r="D11" s="1" t="s">
        <v>55</v>
      </c>
      <c r="E11" s="3"/>
      <c r="F11" s="3"/>
      <c r="G11" s="24"/>
      <c r="H11" s="24"/>
      <c r="J11" s="1" t="s">
        <v>56</v>
      </c>
      <c r="K11" s="4"/>
      <c r="L11" s="4"/>
      <c r="M11" s="4"/>
      <c r="N11" s="4"/>
      <c r="O11" s="4"/>
      <c r="P11" s="27"/>
      <c r="Q11" s="25">
        <v>0</v>
      </c>
      <c r="R11" s="25">
        <v>0</v>
      </c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11.3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11.3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27"/>
      <c r="Q12" s="25"/>
      <c r="R12" s="25"/>
      <c r="S12" s="12">
        <f t="shared" si="0"/>
        <v>0</v>
      </c>
      <c r="T12" s="5">
        <v>0</v>
      </c>
      <c r="U12" s="12">
        <f t="shared" si="6"/>
        <v>0</v>
      </c>
      <c r="V12" s="25" t="s">
        <v>10</v>
      </c>
      <c r="W12" s="11">
        <f>IFERROR(VLOOKUP(V12,Curr!$B$2:$C$13,2,FALSE),0)</f>
        <v>11.3</v>
      </c>
      <c r="X12" s="12">
        <f t="shared" si="1"/>
        <v>0</v>
      </c>
      <c r="Y12" s="26">
        <f t="shared" si="7"/>
        <v>0</v>
      </c>
      <c r="Z12" s="12">
        <f t="shared" si="2"/>
        <v>0</v>
      </c>
      <c r="AA12" s="4" t="s">
        <v>10</v>
      </c>
      <c r="AB12" s="11">
        <f>IFERROR(VLOOKUP(AA12,Curr!$B$2:$C$13,2,FALSE),0)</f>
        <v>11.3</v>
      </c>
      <c r="AC12" s="12">
        <f t="shared" si="3"/>
        <v>0</v>
      </c>
      <c r="AD12" s="12">
        <f t="shared" si="4"/>
        <v>0</v>
      </c>
      <c r="AE12" s="13">
        <f t="shared" si="5"/>
        <v>0</v>
      </c>
    </row>
    <row r="13" spans="2:36" x14ac:dyDescent="0.25">
      <c r="B13" s="4"/>
      <c r="C13" s="1" t="s">
        <v>57</v>
      </c>
      <c r="D13" s="1" t="s">
        <v>53</v>
      </c>
      <c r="E13" s="3"/>
      <c r="F13" s="3"/>
      <c r="G13" s="24"/>
      <c r="H13" s="24"/>
      <c r="J13" s="1" t="s">
        <v>58</v>
      </c>
      <c r="K13" s="4"/>
      <c r="L13" s="4"/>
      <c r="M13" s="4"/>
      <c r="N13" s="4"/>
      <c r="O13" s="4"/>
      <c r="P13" s="33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11.3</v>
      </c>
      <c r="X13" s="12">
        <f t="shared" si="1"/>
        <v>0</v>
      </c>
      <c r="Y13" s="26">
        <f t="shared" si="7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11.3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57</v>
      </c>
      <c r="D14" s="1" t="s">
        <v>55</v>
      </c>
      <c r="E14" s="3"/>
      <c r="F14" s="3"/>
      <c r="G14" s="24"/>
      <c r="H14" s="24"/>
      <c r="J14" s="1" t="s">
        <v>59</v>
      </c>
      <c r="K14" s="4"/>
      <c r="L14" s="4"/>
      <c r="M14" s="4"/>
      <c r="N14" s="4"/>
      <c r="O14" s="4"/>
      <c r="P14" s="27"/>
      <c r="Q14" s="25">
        <v>0</v>
      </c>
      <c r="R14" s="25">
        <v>0</v>
      </c>
      <c r="S14" s="12">
        <f t="shared" si="0"/>
        <v>0</v>
      </c>
      <c r="T14" s="5">
        <v>0</v>
      </c>
      <c r="U14" s="12">
        <f t="shared" si="6"/>
        <v>0</v>
      </c>
      <c r="V14" s="25" t="s">
        <v>10</v>
      </c>
      <c r="W14" s="11">
        <f>IFERROR(VLOOKUP(V14,Curr!$B$2:$C$13,2,FALSE),0)</f>
        <v>11.3</v>
      </c>
      <c r="X14" s="12">
        <f t="shared" si="1"/>
        <v>0</v>
      </c>
      <c r="Y14" s="26">
        <f t="shared" si="7"/>
        <v>0</v>
      </c>
      <c r="Z14" s="12">
        <f t="shared" si="2"/>
        <v>0</v>
      </c>
      <c r="AA14" s="4" t="s">
        <v>10</v>
      </c>
      <c r="AB14" s="11">
        <f>IFERROR(VLOOKUP(AA14,Curr!$B$2:$C$13,2,FALSE),0)</f>
        <v>11.3</v>
      </c>
      <c r="AC14" s="12">
        <f t="shared" si="3"/>
        <v>0</v>
      </c>
      <c r="AD14" s="12">
        <f t="shared" si="4"/>
        <v>0</v>
      </c>
      <c r="AE14" s="13">
        <f t="shared" si="5"/>
        <v>0</v>
      </c>
    </row>
    <row r="15" spans="2:36" x14ac:dyDescent="0.25">
      <c r="B15" s="4"/>
      <c r="C15" s="1" t="s">
        <v>57</v>
      </c>
      <c r="D15" s="1" t="s">
        <v>53</v>
      </c>
      <c r="E15" s="3"/>
      <c r="F15" s="3"/>
      <c r="G15" s="24"/>
      <c r="H15" s="24"/>
      <c r="J15" s="1" t="s">
        <v>60</v>
      </c>
      <c r="K15" s="4"/>
      <c r="L15" s="4"/>
      <c r="M15" s="4"/>
      <c r="N15" s="4"/>
      <c r="O15" s="4"/>
      <c r="P15" s="33"/>
      <c r="Q15" s="25">
        <v>0</v>
      </c>
      <c r="R15" s="25">
        <v>0</v>
      </c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11.3</v>
      </c>
      <c r="X15" s="12">
        <f t="shared" si="1"/>
        <v>0</v>
      </c>
      <c r="Y15" s="26">
        <f t="shared" si="7"/>
        <v>0</v>
      </c>
      <c r="Z15" s="12">
        <f t="shared" si="2"/>
        <v>0</v>
      </c>
      <c r="AA15" s="4" t="s">
        <v>10</v>
      </c>
      <c r="AB15" s="11">
        <f>IFERROR(VLOOKUP(AA15,Curr!$B$2:$C$13,2,FALSE),0)</f>
        <v>11.3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57</v>
      </c>
      <c r="D16" s="1" t="s">
        <v>55</v>
      </c>
      <c r="E16" s="3"/>
      <c r="F16" s="3"/>
      <c r="G16" s="24"/>
      <c r="H16" s="24"/>
      <c r="J16" s="1" t="s">
        <v>61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11.3</v>
      </c>
      <c r="X16" s="12">
        <f t="shared" si="1"/>
        <v>0</v>
      </c>
      <c r="Y16" s="26">
        <f t="shared" si="7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11.3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57</v>
      </c>
      <c r="D17" s="1" t="s">
        <v>53</v>
      </c>
      <c r="E17" s="3"/>
      <c r="F17" s="3"/>
      <c r="G17" s="24"/>
      <c r="H17" s="24"/>
      <c r="J17" s="1" t="s">
        <v>62</v>
      </c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0"/>
        <v>0</v>
      </c>
      <c r="T17" s="5">
        <v>0</v>
      </c>
      <c r="U17" s="12">
        <f t="shared" si="6"/>
        <v>0</v>
      </c>
      <c r="V17" s="25" t="s">
        <v>10</v>
      </c>
      <c r="W17" s="11">
        <f>IFERROR(VLOOKUP(V17,Curr!$B$2:$C$13,2,FALSE),0)</f>
        <v>11.3</v>
      </c>
      <c r="X17" s="12">
        <f t="shared" si="1"/>
        <v>0</v>
      </c>
      <c r="Y17" s="26">
        <f t="shared" si="7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11.3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1" x14ac:dyDescent="0.25">
      <c r="B18" s="4"/>
      <c r="C18" s="1" t="s">
        <v>57</v>
      </c>
      <c r="D18" s="1" t="s">
        <v>64</v>
      </c>
      <c r="E18" s="3"/>
      <c r="F18" s="3"/>
      <c r="G18" s="24"/>
      <c r="H18" s="24"/>
      <c r="J18" s="1" t="s">
        <v>65</v>
      </c>
      <c r="K18" s="4"/>
      <c r="L18" s="4"/>
      <c r="M18" s="4"/>
      <c r="N18" s="4"/>
      <c r="O18" s="4"/>
      <c r="P18" s="29"/>
      <c r="Q18" s="25">
        <v>250</v>
      </c>
      <c r="R18" s="25">
        <v>1</v>
      </c>
      <c r="S18" s="12">
        <f t="shared" si="0"/>
        <v>250</v>
      </c>
      <c r="T18" s="5">
        <v>0</v>
      </c>
      <c r="U18" s="12">
        <f t="shared" si="6"/>
        <v>250</v>
      </c>
      <c r="V18" s="25" t="s">
        <v>10</v>
      </c>
      <c r="W18" s="11">
        <f>IFERROR(VLOOKUP(V18,Curr!$B$2:$C$13,2,FALSE),0)</f>
        <v>11.3</v>
      </c>
      <c r="X18" s="12">
        <f t="shared" si="1"/>
        <v>2825</v>
      </c>
      <c r="Y18" s="26">
        <f>Q18/0.8</f>
        <v>312.5</v>
      </c>
      <c r="Z18" s="12">
        <f t="shared" si="2"/>
        <v>312.5</v>
      </c>
      <c r="AA18" s="4" t="s">
        <v>10</v>
      </c>
      <c r="AB18" s="11">
        <f>IFERROR(VLOOKUP(AA18,Curr!$B$2:$C$13,2,FALSE),0)</f>
        <v>11.3</v>
      </c>
      <c r="AC18" s="12">
        <f t="shared" si="3"/>
        <v>3531.25</v>
      </c>
      <c r="AD18" s="12">
        <f t="shared" si="4"/>
        <v>706.25</v>
      </c>
      <c r="AE18" s="13">
        <f t="shared" si="5"/>
        <v>0.2</v>
      </c>
    </row>
    <row r="19" spans="2:31" x14ac:dyDescent="0.25">
      <c r="B19" s="4"/>
      <c r="C19" s="1" t="s">
        <v>57</v>
      </c>
      <c r="D19" s="1" t="s">
        <v>55</v>
      </c>
      <c r="E19" s="3"/>
      <c r="F19" s="3"/>
      <c r="G19" s="24"/>
      <c r="H19" s="24"/>
      <c r="J19" s="1" t="s">
        <v>63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11.3</v>
      </c>
      <c r="X19" s="12">
        <f t="shared" si="1"/>
        <v>0</v>
      </c>
      <c r="Y19" s="26">
        <f t="shared" si="7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11.3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0"/>
        <v>0</v>
      </c>
      <c r="T20" s="5">
        <v>0</v>
      </c>
      <c r="U20" s="12">
        <f t="shared" si="6"/>
        <v>0</v>
      </c>
      <c r="V20" s="25" t="s">
        <v>10</v>
      </c>
      <c r="W20" s="11">
        <f>IFERROR(VLOOKUP(V20,Curr!$B$2:$C$13,2,FALSE),0)</f>
        <v>11.3</v>
      </c>
      <c r="X20" s="12">
        <f t="shared" si="1"/>
        <v>0</v>
      </c>
      <c r="Y20" s="26">
        <f t="shared" si="7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11.3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67</v>
      </c>
      <c r="D21" s="1" t="s">
        <v>53</v>
      </c>
      <c r="E21" s="3"/>
      <c r="F21" s="3"/>
      <c r="G21" s="24"/>
      <c r="H21" s="24"/>
      <c r="J21" s="1" t="s">
        <v>68</v>
      </c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0"/>
        <v>0</v>
      </c>
      <c r="T21" s="5">
        <v>0</v>
      </c>
      <c r="U21" s="12">
        <f t="shared" si="6"/>
        <v>0</v>
      </c>
      <c r="V21" s="25" t="s">
        <v>10</v>
      </c>
      <c r="W21" s="11">
        <f>IFERROR(VLOOKUP(V21,Curr!$B$2:$C$13,2,FALSE),0)</f>
        <v>11.3</v>
      </c>
      <c r="X21" s="12">
        <f t="shared" si="1"/>
        <v>0</v>
      </c>
      <c r="Y21" s="26">
        <f t="shared" si="7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11.3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C22" s="1" t="s">
        <v>67</v>
      </c>
      <c r="D22" s="1" t="s">
        <v>64</v>
      </c>
      <c r="E22" s="3"/>
      <c r="F22" s="3"/>
      <c r="G22" s="24"/>
      <c r="H22" s="24"/>
      <c r="J22" s="1" t="s">
        <v>69</v>
      </c>
      <c r="K22" s="4"/>
      <c r="L22" s="4"/>
      <c r="M22" s="4"/>
      <c r="N22" s="4"/>
      <c r="O22" s="4"/>
      <c r="P22" s="33"/>
      <c r="Q22" s="25">
        <v>200</v>
      </c>
      <c r="R22" s="25">
        <v>1</v>
      </c>
      <c r="S22" s="12">
        <f t="shared" si="0"/>
        <v>200</v>
      </c>
      <c r="T22" s="5">
        <v>0</v>
      </c>
      <c r="U22" s="12">
        <f t="shared" si="6"/>
        <v>200</v>
      </c>
      <c r="V22" s="25" t="s">
        <v>10</v>
      </c>
      <c r="W22" s="11">
        <f>IFERROR(VLOOKUP(V22,Curr!$B$2:$C$13,2,FALSE),0)</f>
        <v>11.3</v>
      </c>
      <c r="X22" s="12">
        <f t="shared" si="1"/>
        <v>2260</v>
      </c>
      <c r="Y22" s="26">
        <f>Q22/0.8</f>
        <v>250</v>
      </c>
      <c r="Z22" s="12">
        <f t="shared" si="2"/>
        <v>250</v>
      </c>
      <c r="AA22" s="4" t="s">
        <v>10</v>
      </c>
      <c r="AB22" s="11">
        <f>IFERROR(VLOOKUP(AA22,Curr!$B$2:$C$13,2,FALSE),0)</f>
        <v>11.3</v>
      </c>
      <c r="AC22" s="12">
        <f t="shared" si="3"/>
        <v>2825</v>
      </c>
      <c r="AD22" s="12">
        <f t="shared" si="4"/>
        <v>565</v>
      </c>
      <c r="AE22" s="13">
        <f t="shared" si="5"/>
        <v>0.2</v>
      </c>
    </row>
    <row r="23" spans="2:31" x14ac:dyDescent="0.25">
      <c r="B23" s="4"/>
      <c r="C23" s="1" t="s">
        <v>67</v>
      </c>
      <c r="D23" s="1" t="s">
        <v>55</v>
      </c>
      <c r="E23" s="3"/>
      <c r="F23" s="3"/>
      <c r="G23" s="24"/>
      <c r="H23" s="24"/>
      <c r="J23" s="1" t="s">
        <v>70</v>
      </c>
      <c r="K23" s="4"/>
      <c r="L23" s="4"/>
      <c r="M23" s="4"/>
      <c r="N23" s="4"/>
      <c r="O23" s="4"/>
      <c r="P23" s="33"/>
      <c r="Q23" s="25">
        <v>0</v>
      </c>
      <c r="R23" s="25">
        <v>0</v>
      </c>
      <c r="S23" s="12">
        <f t="shared" si="0"/>
        <v>0</v>
      </c>
      <c r="T23" s="5">
        <v>0</v>
      </c>
      <c r="U23" s="12">
        <f t="shared" si="6"/>
        <v>0</v>
      </c>
      <c r="V23" s="25" t="s">
        <v>10</v>
      </c>
      <c r="W23" s="11">
        <f>IFERROR(VLOOKUP(V23,Curr!$B$2:$C$13,2,FALSE),0)</f>
        <v>11.3</v>
      </c>
      <c r="X23" s="12">
        <f t="shared" si="1"/>
        <v>0</v>
      </c>
      <c r="Y23" s="26">
        <f t="shared" si="7"/>
        <v>0</v>
      </c>
      <c r="Z23" s="12">
        <f t="shared" si="2"/>
        <v>0</v>
      </c>
      <c r="AA23" s="4" t="s">
        <v>10</v>
      </c>
      <c r="AB23" s="11">
        <f>IFERROR(VLOOKUP(AA23,Curr!$B$2:$C$13,2,FALSE),0)</f>
        <v>11.3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/>
      <c r="R24" s="25"/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IFERROR(VLOOKUP(V24,Curr!$B$2:$C$13,2,FALSE),0)</f>
        <v>11.3</v>
      </c>
      <c r="X24" s="12">
        <f t="shared" si="1"/>
        <v>0</v>
      </c>
      <c r="Y24" s="26">
        <f t="shared" si="7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11.3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C25" s="1" t="s">
        <v>71</v>
      </c>
      <c r="D25" s="1" t="s">
        <v>53</v>
      </c>
      <c r="E25" s="3"/>
      <c r="F25" s="3"/>
      <c r="G25" s="24"/>
      <c r="H25" s="24"/>
      <c r="J25" s="1" t="s">
        <v>72</v>
      </c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0"/>
        <v>0</v>
      </c>
      <c r="T25" s="5">
        <v>0</v>
      </c>
      <c r="U25" s="12">
        <f t="shared" si="6"/>
        <v>0</v>
      </c>
      <c r="V25" s="25" t="s">
        <v>10</v>
      </c>
      <c r="W25" s="11">
        <f>IFERROR(VLOOKUP(V25,Curr!$B$2:$C$13,2,FALSE),0)</f>
        <v>11.3</v>
      </c>
      <c r="X25" s="12">
        <f t="shared" si="1"/>
        <v>0</v>
      </c>
      <c r="Y25" s="26">
        <f t="shared" si="7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11.3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C26" s="1" t="s">
        <v>71</v>
      </c>
      <c r="D26" s="1" t="s">
        <v>64</v>
      </c>
      <c r="E26" s="3"/>
      <c r="F26" s="3"/>
      <c r="G26" s="24"/>
      <c r="H26" s="24"/>
      <c r="J26" s="1" t="s">
        <v>73</v>
      </c>
      <c r="K26" s="4"/>
      <c r="L26" s="4"/>
      <c r="M26" s="4"/>
      <c r="N26" s="4"/>
      <c r="O26" s="4"/>
      <c r="P26" s="27"/>
      <c r="Q26" s="25">
        <v>200</v>
      </c>
      <c r="R26" s="25">
        <v>1</v>
      </c>
      <c r="S26" s="12">
        <f t="shared" si="0"/>
        <v>200</v>
      </c>
      <c r="T26" s="5">
        <v>0</v>
      </c>
      <c r="U26" s="12">
        <f t="shared" si="6"/>
        <v>200</v>
      </c>
      <c r="V26" s="25" t="s">
        <v>10</v>
      </c>
      <c r="W26" s="11">
        <f>IFERROR(VLOOKUP(V26,Curr!$B$2:$C$13,2,FALSE),0)</f>
        <v>11.3</v>
      </c>
      <c r="X26" s="12">
        <f t="shared" si="1"/>
        <v>2260</v>
      </c>
      <c r="Y26" s="26">
        <f>Q26/0.8</f>
        <v>250</v>
      </c>
      <c r="Z26" s="12">
        <f t="shared" si="2"/>
        <v>250</v>
      </c>
      <c r="AA26" s="4" t="s">
        <v>10</v>
      </c>
      <c r="AB26" s="11">
        <f>IFERROR(VLOOKUP(AA26,Curr!$B$2:$C$13,2,FALSE),0)</f>
        <v>11.3</v>
      </c>
      <c r="AC26" s="12">
        <f t="shared" si="3"/>
        <v>2825</v>
      </c>
      <c r="AD26" s="12">
        <f t="shared" si="4"/>
        <v>565</v>
      </c>
      <c r="AE26" s="13">
        <f t="shared" si="5"/>
        <v>0.2</v>
      </c>
    </row>
    <row r="27" spans="2:31" x14ac:dyDescent="0.25">
      <c r="B27" s="4"/>
      <c r="C27" s="1" t="s">
        <v>71</v>
      </c>
      <c r="D27" s="1" t="s">
        <v>55</v>
      </c>
      <c r="E27" s="3"/>
      <c r="F27" s="3"/>
      <c r="G27" s="24"/>
      <c r="H27" s="24"/>
      <c r="J27" s="1" t="s">
        <v>74</v>
      </c>
      <c r="K27" s="4"/>
      <c r="L27" s="4"/>
      <c r="M27" s="4"/>
      <c r="N27" s="4"/>
      <c r="O27" s="4"/>
      <c r="P27" s="33"/>
      <c r="Q27" s="25">
        <v>0</v>
      </c>
      <c r="R27" s="25">
        <v>0</v>
      </c>
      <c r="S27" s="12">
        <f t="shared" si="0"/>
        <v>0</v>
      </c>
      <c r="T27" s="5">
        <v>0</v>
      </c>
      <c r="U27" s="12">
        <f t="shared" si="6"/>
        <v>0</v>
      </c>
      <c r="V27" s="25" t="s">
        <v>10</v>
      </c>
      <c r="W27" s="11">
        <f>IFERROR(VLOOKUP(V27,Curr!$B$2:$C$13,2,FALSE),0)</f>
        <v>11.3</v>
      </c>
      <c r="X27" s="12">
        <f t="shared" si="1"/>
        <v>0</v>
      </c>
      <c r="Y27" s="26">
        <f t="shared" si="7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11.3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27"/>
      <c r="Q28" s="25"/>
      <c r="R28" s="25"/>
      <c r="S28" s="12">
        <f t="shared" si="0"/>
        <v>0</v>
      </c>
      <c r="T28" s="5">
        <v>0</v>
      </c>
      <c r="U28" s="12">
        <f t="shared" si="6"/>
        <v>0</v>
      </c>
      <c r="V28" s="25" t="s">
        <v>10</v>
      </c>
      <c r="W28" s="11">
        <f>IFERROR(VLOOKUP(V28,Curr!$B$2:$C$13,2,FALSE),0)</f>
        <v>11.3</v>
      </c>
      <c r="X28" s="12">
        <f t="shared" si="1"/>
        <v>0</v>
      </c>
      <c r="Y28" s="26">
        <f t="shared" si="7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11.3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C29" s="1" t="s">
        <v>75</v>
      </c>
      <c r="D29" s="1" t="s">
        <v>53</v>
      </c>
      <c r="E29" s="3"/>
      <c r="F29" s="3"/>
      <c r="G29" s="24"/>
      <c r="H29" s="24"/>
      <c r="J29" s="1" t="s">
        <v>81</v>
      </c>
      <c r="K29" s="4"/>
      <c r="L29" s="4"/>
      <c r="M29" s="4"/>
      <c r="N29" s="4"/>
      <c r="O29" s="4"/>
      <c r="P29" s="33" t="s">
        <v>82</v>
      </c>
      <c r="Q29" s="25">
        <v>1400</v>
      </c>
      <c r="R29" s="25">
        <v>1</v>
      </c>
      <c r="S29" s="12">
        <f t="shared" si="0"/>
        <v>1400</v>
      </c>
      <c r="T29" s="5">
        <v>0</v>
      </c>
      <c r="U29" s="12">
        <f t="shared" si="6"/>
        <v>1400</v>
      </c>
      <c r="V29" s="25" t="s">
        <v>8</v>
      </c>
      <c r="W29" s="11">
        <f>IFERROR(VLOOKUP(V29,Curr!$B$2:$C$13,2,FALSE),0)</f>
        <v>1</v>
      </c>
      <c r="X29" s="12">
        <f t="shared" si="1"/>
        <v>1400</v>
      </c>
      <c r="Y29" s="26">
        <f>Q29/11/0.7</f>
        <v>181.81818181818181</v>
      </c>
      <c r="Z29" s="12">
        <f t="shared" si="2"/>
        <v>181.81818181818181</v>
      </c>
      <c r="AA29" s="4" t="s">
        <v>10</v>
      </c>
      <c r="AB29" s="11">
        <f>IFERROR(VLOOKUP(AA29,Curr!$B$2:$C$13,2,FALSE),0)</f>
        <v>11.3</v>
      </c>
      <c r="AC29" s="12">
        <f t="shared" si="3"/>
        <v>2054.5454545454545</v>
      </c>
      <c r="AD29" s="12">
        <f t="shared" si="4"/>
        <v>654.5454545454545</v>
      </c>
      <c r="AE29" s="13">
        <f t="shared" si="5"/>
        <v>0.31858407079646017</v>
      </c>
    </row>
    <row r="30" spans="2:31" x14ac:dyDescent="0.25">
      <c r="B30" s="4"/>
      <c r="C30" s="1" t="s">
        <v>75</v>
      </c>
      <c r="D30" s="1" t="s">
        <v>64</v>
      </c>
      <c r="E30" s="3"/>
      <c r="F30" s="3"/>
      <c r="G30" s="24"/>
      <c r="H30" s="24"/>
      <c r="J30" s="1" t="s">
        <v>66</v>
      </c>
      <c r="K30" s="4"/>
      <c r="L30" s="4"/>
      <c r="M30" s="4"/>
      <c r="N30" s="4"/>
      <c r="O30" s="4"/>
      <c r="P30" s="29"/>
      <c r="Q30" s="25">
        <v>250</v>
      </c>
      <c r="R30" s="25">
        <v>1</v>
      </c>
      <c r="S30" s="12">
        <f t="shared" si="0"/>
        <v>250</v>
      </c>
      <c r="T30" s="5">
        <v>0</v>
      </c>
      <c r="U30" s="12">
        <f t="shared" si="6"/>
        <v>250</v>
      </c>
      <c r="V30" s="25" t="s">
        <v>10</v>
      </c>
      <c r="W30" s="11">
        <f>IFERROR(VLOOKUP(V30,Curr!$B$2:$C$13,2,FALSE),0)</f>
        <v>11.3</v>
      </c>
      <c r="X30" s="12">
        <f t="shared" si="1"/>
        <v>2825</v>
      </c>
      <c r="Y30" s="26">
        <f>Q30/0.7</f>
        <v>357.14285714285717</v>
      </c>
      <c r="Z30" s="12">
        <f t="shared" si="2"/>
        <v>357.14285714285717</v>
      </c>
      <c r="AA30" s="4" t="s">
        <v>10</v>
      </c>
      <c r="AB30" s="11">
        <f>IFERROR(VLOOKUP(AA30,Curr!$B$2:$C$13,2,FALSE),0)</f>
        <v>11.3</v>
      </c>
      <c r="AC30" s="12">
        <f t="shared" si="3"/>
        <v>4035.7142857142862</v>
      </c>
      <c r="AD30" s="12">
        <f t="shared" si="4"/>
        <v>1210.7142857142862</v>
      </c>
      <c r="AE30" s="13">
        <f t="shared" si="5"/>
        <v>0.3000000000000001</v>
      </c>
    </row>
    <row r="31" spans="2:31" x14ac:dyDescent="0.25">
      <c r="B31" s="4"/>
      <c r="C31" s="1" t="s">
        <v>75</v>
      </c>
      <c r="D31" s="1" t="s">
        <v>55</v>
      </c>
      <c r="E31" s="3"/>
      <c r="F31" s="3"/>
      <c r="G31" s="24"/>
      <c r="H31" s="24"/>
      <c r="J31" s="1" t="s">
        <v>56</v>
      </c>
      <c r="K31" s="4"/>
      <c r="L31" s="4"/>
      <c r="M31" s="4"/>
      <c r="N31" s="4"/>
      <c r="O31" s="4"/>
      <c r="P31" s="33"/>
      <c r="Q31" s="25">
        <v>0</v>
      </c>
      <c r="R31" s="25">
        <v>0</v>
      </c>
      <c r="S31" s="12">
        <f t="shared" si="0"/>
        <v>0</v>
      </c>
      <c r="T31" s="5">
        <v>0</v>
      </c>
      <c r="U31" s="12">
        <f t="shared" si="6"/>
        <v>0</v>
      </c>
      <c r="V31" s="25" t="s">
        <v>10</v>
      </c>
      <c r="W31" s="11">
        <f>IFERROR(VLOOKUP(V31,Curr!$B$2:$C$13,2,FALSE),0)</f>
        <v>11.3</v>
      </c>
      <c r="X31" s="12">
        <f t="shared" si="1"/>
        <v>0</v>
      </c>
      <c r="Y31" s="26">
        <f t="shared" si="7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11.3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/>
      <c r="R32" s="25"/>
      <c r="S32" s="12">
        <f t="shared" si="0"/>
        <v>0</v>
      </c>
      <c r="T32" s="5">
        <v>0</v>
      </c>
      <c r="U32" s="12">
        <f t="shared" si="6"/>
        <v>0</v>
      </c>
      <c r="V32" s="25" t="s">
        <v>10</v>
      </c>
      <c r="W32" s="11">
        <f>IFERROR(VLOOKUP(V32,Curr!$B$2:$C$13,2,FALSE),0)</f>
        <v>11.3</v>
      </c>
      <c r="X32" s="12">
        <f t="shared" si="1"/>
        <v>0</v>
      </c>
      <c r="Y32" s="26">
        <f t="shared" si="7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11.3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6" x14ac:dyDescent="0.25">
      <c r="B33" s="4"/>
      <c r="C33" s="1" t="s">
        <v>77</v>
      </c>
      <c r="D33" s="1" t="s">
        <v>53</v>
      </c>
      <c r="E33" s="3"/>
      <c r="F33" s="3"/>
      <c r="G33" s="24"/>
      <c r="H33" s="24"/>
      <c r="J33" s="1" t="s">
        <v>78</v>
      </c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0"/>
        <v>0</v>
      </c>
      <c r="T33" s="5">
        <v>0</v>
      </c>
      <c r="U33" s="12">
        <f t="shared" si="6"/>
        <v>0</v>
      </c>
      <c r="V33" s="25" t="s">
        <v>10</v>
      </c>
      <c r="W33" s="11">
        <f>IFERROR(VLOOKUP(V33,Curr!$B$2:$C$13,2,FALSE),0)</f>
        <v>11.3</v>
      </c>
      <c r="X33" s="12">
        <f t="shared" si="1"/>
        <v>0</v>
      </c>
      <c r="Y33" s="26">
        <f t="shared" si="7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11.3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6" x14ac:dyDescent="0.25">
      <c r="B34" s="4"/>
      <c r="C34" s="1" t="s">
        <v>77</v>
      </c>
      <c r="D34" s="1" t="s">
        <v>51</v>
      </c>
      <c r="E34" s="3"/>
      <c r="F34" s="3"/>
      <c r="G34" s="24"/>
      <c r="H34" s="24"/>
      <c r="J34" s="1" t="s">
        <v>79</v>
      </c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0"/>
        <v>0</v>
      </c>
      <c r="T34" s="5">
        <v>0</v>
      </c>
      <c r="U34" s="12">
        <f t="shared" si="6"/>
        <v>0</v>
      </c>
      <c r="V34" s="25" t="s">
        <v>10</v>
      </c>
      <c r="W34" s="11">
        <f>IFERROR(VLOOKUP(V34,Curr!$B$2:$C$13,2,FALSE),0)</f>
        <v>11.3</v>
      </c>
      <c r="X34" s="12">
        <f t="shared" si="1"/>
        <v>0</v>
      </c>
      <c r="Y34" s="26">
        <f t="shared" si="7"/>
        <v>0</v>
      </c>
      <c r="Z34" s="12">
        <f t="shared" si="2"/>
        <v>0</v>
      </c>
      <c r="AA34" s="4" t="s">
        <v>10</v>
      </c>
      <c r="AB34" s="11">
        <f>IFERROR(VLOOKUP(AA34,Curr!$B$2:$C$13,2,FALSE),0)</f>
        <v>11.3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6" x14ac:dyDescent="0.25">
      <c r="B35" s="4"/>
      <c r="C35" s="1" t="s">
        <v>77</v>
      </c>
      <c r="D35" s="1" t="s">
        <v>76</v>
      </c>
      <c r="E35" s="3"/>
      <c r="F35" s="3"/>
      <c r="G35" s="24"/>
      <c r="H35" s="24"/>
      <c r="J35" s="1" t="s">
        <v>80</v>
      </c>
      <c r="K35" s="4"/>
      <c r="L35" s="4"/>
      <c r="M35" s="4"/>
      <c r="N35" s="4"/>
      <c r="O35" s="4"/>
      <c r="P35" s="33"/>
      <c r="Q35" s="25">
        <v>0</v>
      </c>
      <c r="R35" s="25">
        <v>0</v>
      </c>
      <c r="S35" s="12">
        <f t="shared" si="0"/>
        <v>0</v>
      </c>
      <c r="T35" s="5">
        <v>0</v>
      </c>
      <c r="U35" s="12">
        <f t="shared" si="6"/>
        <v>0</v>
      </c>
      <c r="V35" s="25" t="s">
        <v>10</v>
      </c>
      <c r="W35" s="11">
        <f>IFERROR(VLOOKUP(V35,Curr!$B$2:$C$13,2,FALSE),0)</f>
        <v>11.3</v>
      </c>
      <c r="X35" s="12">
        <f t="shared" si="1"/>
        <v>0</v>
      </c>
      <c r="Y35" s="26">
        <f t="shared" si="7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11.3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6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27"/>
      <c r="Q36" s="25"/>
      <c r="R36" s="25"/>
      <c r="S36" s="12">
        <f t="shared" si="0"/>
        <v>0</v>
      </c>
      <c r="T36" s="5">
        <v>0</v>
      </c>
      <c r="U36" s="12">
        <f t="shared" si="6"/>
        <v>0</v>
      </c>
      <c r="V36" s="25" t="s">
        <v>10</v>
      </c>
      <c r="W36" s="11">
        <f>IFERROR(VLOOKUP(V36,Curr!$B$2:$C$13,2,FALSE),0)</f>
        <v>11.3</v>
      </c>
      <c r="X36" s="12">
        <f t="shared" si="1"/>
        <v>0</v>
      </c>
      <c r="Y36" s="26">
        <f t="shared" si="7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11.3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6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33"/>
      <c r="Q37" s="25"/>
      <c r="R37" s="25"/>
      <c r="S37" s="12">
        <f t="shared" si="0"/>
        <v>0</v>
      </c>
      <c r="T37" s="5">
        <v>0</v>
      </c>
      <c r="U37" s="12">
        <f t="shared" si="6"/>
        <v>0</v>
      </c>
      <c r="V37" s="25" t="s">
        <v>10</v>
      </c>
      <c r="W37" s="11">
        <f>IFERROR(VLOOKUP(V37,Curr!$B$2:$C$13,2,FALSE),0)</f>
        <v>11.3</v>
      </c>
      <c r="X37" s="12">
        <f t="shared" si="1"/>
        <v>0</v>
      </c>
      <c r="Y37" s="26">
        <f t="shared" si="7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11.3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6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33"/>
      <c r="Q38" s="25"/>
      <c r="R38" s="25"/>
      <c r="S38" s="12">
        <f t="shared" si="0"/>
        <v>0</v>
      </c>
      <c r="T38" s="5">
        <v>0</v>
      </c>
      <c r="U38" s="12">
        <f t="shared" si="6"/>
        <v>0</v>
      </c>
      <c r="V38" s="25" t="s">
        <v>10</v>
      </c>
      <c r="W38" s="11">
        <f>IFERROR(VLOOKUP(V38,Curr!$B$2:$C$13,2,FALSE),0)</f>
        <v>11.3</v>
      </c>
      <c r="X38" s="12">
        <f t="shared" si="1"/>
        <v>0</v>
      </c>
      <c r="Y38" s="26">
        <f t="shared" si="7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11.3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6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/>
      <c r="R39" s="25"/>
      <c r="S39" s="12">
        <f t="shared" si="0"/>
        <v>0</v>
      </c>
      <c r="T39" s="5">
        <v>0</v>
      </c>
      <c r="U39" s="12">
        <f t="shared" si="6"/>
        <v>0</v>
      </c>
      <c r="V39" s="25" t="s">
        <v>10</v>
      </c>
      <c r="W39" s="11">
        <f>IFERROR(VLOOKUP(V39,Curr!$B$2:$C$13,2,FALSE),0)</f>
        <v>11.3</v>
      </c>
      <c r="X39" s="12">
        <f t="shared" si="1"/>
        <v>0</v>
      </c>
      <c r="Y39" s="26">
        <f t="shared" si="7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11.3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6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33"/>
      <c r="Q40" s="25"/>
      <c r="R40" s="25"/>
      <c r="S40" s="12">
        <f t="shared" si="0"/>
        <v>0</v>
      </c>
      <c r="T40" s="5">
        <v>0</v>
      </c>
      <c r="U40" s="12">
        <f t="shared" si="6"/>
        <v>0</v>
      </c>
      <c r="V40" s="25" t="s">
        <v>10</v>
      </c>
      <c r="W40" s="11">
        <f>IFERROR(VLOOKUP(V40,Curr!$B$2:$C$13,2,FALSE),0)</f>
        <v>11.3</v>
      </c>
      <c r="X40" s="12">
        <f t="shared" si="1"/>
        <v>0</v>
      </c>
      <c r="Y40" s="26">
        <f t="shared" si="7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11.3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6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/>
      <c r="R41" s="25"/>
      <c r="S41" s="12">
        <f t="shared" si="0"/>
        <v>0</v>
      </c>
      <c r="T41" s="5">
        <v>0</v>
      </c>
      <c r="U41" s="12">
        <f t="shared" si="6"/>
        <v>0</v>
      </c>
      <c r="V41" s="25" t="s">
        <v>10</v>
      </c>
      <c r="W41" s="11">
        <f>IFERROR(VLOOKUP(V41,Curr!$B$2:$C$13,2,FALSE),0)</f>
        <v>11.3</v>
      </c>
      <c r="X41" s="12">
        <f t="shared" si="1"/>
        <v>0</v>
      </c>
      <c r="Y41" s="26">
        <f t="shared" si="7"/>
        <v>0</v>
      </c>
      <c r="Z41" s="12">
        <f t="shared" si="2"/>
        <v>0</v>
      </c>
      <c r="AA41" s="4" t="s">
        <v>10</v>
      </c>
      <c r="AB41" s="11">
        <f>IFERROR(VLOOKUP(AA41,Curr!$B$2:$C$13,2,FALSE),0)</f>
        <v>11.3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6" x14ac:dyDescent="0.25">
      <c r="B42" s="4"/>
      <c r="E42" s="3"/>
      <c r="F42" s="3"/>
      <c r="G42" s="3"/>
      <c r="H42" s="3"/>
      <c r="L42" s="4"/>
      <c r="M42" s="4"/>
      <c r="N42" s="4"/>
      <c r="O42" s="4"/>
      <c r="P42" s="2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2:36" x14ac:dyDescent="0.25">
      <c r="B43" s="14" t="s">
        <v>18</v>
      </c>
      <c r="C43" s="14"/>
      <c r="D43" s="28" t="s">
        <v>42</v>
      </c>
      <c r="E43" s="30" t="s">
        <v>42</v>
      </c>
      <c r="F43" s="30" t="s">
        <v>42</v>
      </c>
      <c r="G43" s="30" t="s">
        <v>42</v>
      </c>
      <c r="H43" s="30" t="s">
        <v>42</v>
      </c>
      <c r="I43" s="28" t="s">
        <v>42</v>
      </c>
      <c r="J43" s="28" t="s">
        <v>42</v>
      </c>
      <c r="K43" s="28" t="s">
        <v>42</v>
      </c>
      <c r="L43" s="28" t="s">
        <v>42</v>
      </c>
      <c r="M43" s="28" t="s">
        <v>42</v>
      </c>
      <c r="N43" s="28" t="s">
        <v>42</v>
      </c>
      <c r="O43" s="28" t="s">
        <v>42</v>
      </c>
      <c r="P43" s="28" t="s">
        <v>42</v>
      </c>
      <c r="Q43" s="31" t="s">
        <v>42</v>
      </c>
      <c r="R43" s="28" t="s">
        <v>42</v>
      </c>
      <c r="S43" s="32" t="s">
        <v>42</v>
      </c>
      <c r="T43" s="28" t="s">
        <v>42</v>
      </c>
      <c r="U43" s="32" t="s">
        <v>42</v>
      </c>
      <c r="V43" s="28" t="s">
        <v>42</v>
      </c>
      <c r="W43" s="28" t="s">
        <v>42</v>
      </c>
      <c r="X43" s="32" t="s">
        <v>42</v>
      </c>
      <c r="Y43" s="32" t="s">
        <v>42</v>
      </c>
      <c r="Z43" s="15">
        <f>SUM(Z7:Z41)</f>
        <v>2122.2943722943724</v>
      </c>
      <c r="AA43" s="14"/>
      <c r="AB43" s="14"/>
      <c r="AC43" s="15">
        <f>SUM(AC7:AC41)</f>
        <v>23981.926406926406</v>
      </c>
      <c r="AD43" s="15">
        <f>SUM(AD7:AD41)</f>
        <v>5631.9264069264063</v>
      </c>
      <c r="AE43" s="21">
        <f t="shared" ref="AE43" si="8">IFERROR(AD43/AC43,0)</f>
        <v>0.2348404507362597</v>
      </c>
      <c r="AF43" s="15">
        <f>SUM(AF8:AF42)</f>
        <v>0</v>
      </c>
      <c r="AG43" s="15">
        <f>SUM(AG8:AG42)</f>
        <v>0</v>
      </c>
      <c r="AH43" s="15">
        <f>SUM(AH8:AH42)</f>
        <v>0</v>
      </c>
      <c r="AI43" s="15">
        <f>SUM(AI8:AI42)</f>
        <v>0</v>
      </c>
      <c r="AJ43" s="15">
        <f>SUM(AJ8:AJ42)</f>
        <v>0</v>
      </c>
    </row>
    <row r="44" spans="2:36" x14ac:dyDescent="0.25">
      <c r="B44" s="4"/>
      <c r="E44" s="3"/>
      <c r="F44" s="3"/>
      <c r="G44" s="3"/>
      <c r="H44" s="3"/>
      <c r="L44" s="4"/>
      <c r="M44" s="4"/>
      <c r="N44" s="4"/>
      <c r="O44" s="4"/>
      <c r="Q44" s="4"/>
      <c r="R44" s="4"/>
      <c r="S44" s="4"/>
      <c r="T44" s="4"/>
      <c r="U44" s="4"/>
      <c r="V44" s="4"/>
      <c r="W44" s="4"/>
      <c r="X44" s="4"/>
      <c r="Y44" s="9"/>
      <c r="Z44" s="9"/>
      <c r="AA44" s="9"/>
      <c r="AB44" s="9"/>
      <c r="AC44" s="9"/>
      <c r="AD44" s="9"/>
      <c r="AE44" s="9"/>
    </row>
    <row r="45" spans="2:36" x14ac:dyDescent="0.25">
      <c r="B45" s="4"/>
      <c r="E45" s="3"/>
      <c r="F45" s="3"/>
      <c r="G45" s="3"/>
      <c r="H45" s="3"/>
      <c r="L45" s="4"/>
      <c r="M45" s="4"/>
      <c r="N45" s="4"/>
      <c r="O45" s="4"/>
      <c r="Q45" s="9"/>
      <c r="R45" s="9"/>
      <c r="S45" s="9"/>
      <c r="T45" s="9"/>
      <c r="U45" s="9"/>
      <c r="V45" s="9"/>
      <c r="W45" s="9"/>
      <c r="X45" s="23"/>
      <c r="Y45" s="34" t="s">
        <v>45</v>
      </c>
      <c r="Z45" s="34">
        <v>2120</v>
      </c>
      <c r="AA45" s="9"/>
      <c r="AB45" s="9"/>
      <c r="AC45" s="9"/>
      <c r="AD45" s="9"/>
      <c r="AE45" s="9"/>
    </row>
    <row r="46" spans="2:36" x14ac:dyDescent="0.25">
      <c r="B46" s="4"/>
      <c r="E46" s="3"/>
      <c r="F46" s="3"/>
      <c r="G46" s="3"/>
      <c r="H46" s="3"/>
      <c r="L46" s="4"/>
      <c r="M46" s="4"/>
      <c r="N46" s="4"/>
      <c r="O46" s="4"/>
      <c r="Q46" s="9"/>
      <c r="R46" s="9"/>
      <c r="S46" s="9"/>
      <c r="T46" s="9"/>
      <c r="U46" s="9"/>
      <c r="V46" s="9"/>
      <c r="W46" s="9"/>
      <c r="X46" s="9"/>
      <c r="Y46" s="34" t="s">
        <v>46</v>
      </c>
      <c r="Z46" s="34">
        <f>Z45/2</f>
        <v>1060</v>
      </c>
      <c r="AA46" s="9"/>
      <c r="AB46" s="9"/>
      <c r="AC46" s="9"/>
      <c r="AD46" s="9"/>
      <c r="AE46" s="9"/>
      <c r="AF46" s="18"/>
    </row>
    <row r="47" spans="2:36" x14ac:dyDescent="0.25">
      <c r="B47" s="4"/>
      <c r="E47" s="3"/>
      <c r="F47" s="3"/>
      <c r="G47" s="3"/>
      <c r="H47" s="3"/>
      <c r="I47" s="19"/>
      <c r="L47" s="4"/>
      <c r="M47" s="4"/>
      <c r="N47" s="4"/>
      <c r="O47" s="20"/>
      <c r="Q47" s="20"/>
      <c r="R47" s="20"/>
      <c r="S47" s="20"/>
      <c r="T47" s="20"/>
      <c r="U47" s="20"/>
      <c r="V47" s="20"/>
      <c r="W47" s="20"/>
      <c r="X47" s="20"/>
      <c r="Y47" s="9"/>
      <c r="Z47" s="9"/>
      <c r="AA47" s="9"/>
      <c r="AB47" s="9"/>
      <c r="AC47" s="9"/>
      <c r="AD47" s="9"/>
      <c r="AE47" s="9"/>
      <c r="AF47" s="18"/>
    </row>
    <row r="48" spans="2:36" x14ac:dyDescent="0.25">
      <c r="B48" s="4"/>
      <c r="E48" s="3"/>
      <c r="F48" s="3"/>
      <c r="G48" s="3"/>
      <c r="H48" s="3"/>
      <c r="L48" s="4"/>
      <c r="M48" s="4"/>
      <c r="N48" s="4"/>
      <c r="O48" s="20"/>
      <c r="Q48" s="20"/>
      <c r="R48" s="20"/>
      <c r="S48" s="20"/>
      <c r="T48" s="20"/>
      <c r="U48" s="20"/>
      <c r="V48" s="20"/>
      <c r="W48" s="20"/>
      <c r="X48" s="20"/>
      <c r="Y48" s="35" t="s">
        <v>83</v>
      </c>
      <c r="Z48" s="9">
        <f>Z45</f>
        <v>2120</v>
      </c>
      <c r="AA48" s="9"/>
      <c r="AB48" s="9"/>
      <c r="AC48" s="9"/>
      <c r="AD48" s="9"/>
      <c r="AE48" s="9"/>
      <c r="AF48" s="18"/>
    </row>
    <row r="49" spans="2:32" x14ac:dyDescent="0.25">
      <c r="B49" s="4"/>
      <c r="E49" s="3"/>
      <c r="F49" s="3"/>
      <c r="G49" s="3"/>
      <c r="H49" s="3"/>
      <c r="L49" s="4"/>
      <c r="M49" s="4"/>
      <c r="N49" s="4"/>
      <c r="O49" s="4"/>
      <c r="Q49" s="9"/>
      <c r="R49" s="9"/>
      <c r="S49" s="9"/>
      <c r="T49" s="9"/>
      <c r="U49" s="9"/>
      <c r="V49" s="9"/>
      <c r="W49" s="9"/>
      <c r="X49" s="9"/>
      <c r="Y49" s="36" t="s">
        <v>84</v>
      </c>
      <c r="Z49" s="9">
        <f>Z48*1.15</f>
        <v>2438</v>
      </c>
      <c r="AA49" s="9"/>
      <c r="AB49" s="9"/>
      <c r="AC49" s="9"/>
      <c r="AD49" s="9"/>
      <c r="AE49" s="9"/>
      <c r="AF49" s="18"/>
    </row>
    <row r="50" spans="2:32" x14ac:dyDescent="0.25">
      <c r="F50" s="1"/>
      <c r="G50" s="1"/>
      <c r="H50" s="1"/>
      <c r="J50" s="1" t="s">
        <v>32</v>
      </c>
      <c r="Q50" s="9"/>
      <c r="R50" s="4"/>
      <c r="S50" s="9"/>
      <c r="T50" s="5"/>
      <c r="U50" s="9"/>
      <c r="V50" s="4"/>
      <c r="W50" s="4"/>
      <c r="X50" s="9"/>
      <c r="Y50" s="36" t="s">
        <v>85</v>
      </c>
      <c r="Z50" s="9">
        <f>Z48*1.2</f>
        <v>2544</v>
      </c>
      <c r="AA50" s="9"/>
      <c r="AB50" s="9"/>
      <c r="AC50" s="9"/>
      <c r="AD50" s="9"/>
      <c r="AE50" s="9"/>
    </row>
    <row r="51" spans="2:32" x14ac:dyDescent="0.25">
      <c r="R51" s="4"/>
      <c r="S51" s="17"/>
      <c r="T51" s="17"/>
      <c r="U51" s="9"/>
      <c r="V51" s="4"/>
      <c r="W51" s="4"/>
      <c r="X51" s="9"/>
      <c r="Y51" s="36" t="s">
        <v>86</v>
      </c>
      <c r="Z51" s="9">
        <f>Z48*0.84</f>
        <v>1780.8</v>
      </c>
      <c r="AA51" s="9"/>
      <c r="AB51" s="9"/>
      <c r="AC51" s="9"/>
      <c r="AD51" s="9"/>
      <c r="AE51" s="9"/>
    </row>
    <row r="52" spans="2:32" x14ac:dyDescent="0.25">
      <c r="Q52" s="9"/>
      <c r="R52" s="4"/>
      <c r="S52" s="16"/>
      <c r="T52" s="16"/>
      <c r="U52" s="9"/>
      <c r="V52" s="4"/>
      <c r="W52" s="4"/>
      <c r="X52" s="9"/>
      <c r="Y52" s="9"/>
      <c r="Z52" s="9"/>
      <c r="AA52" s="9"/>
      <c r="AB52" s="9"/>
      <c r="AC52" s="9"/>
      <c r="AD52" s="9"/>
      <c r="AE52" s="9"/>
    </row>
    <row r="53" spans="2:32" x14ac:dyDescent="0.25">
      <c r="R53" s="4"/>
      <c r="S53" s="16"/>
      <c r="T53" s="16"/>
      <c r="Y53" s="9"/>
      <c r="Z53" s="9"/>
      <c r="AA53" s="9"/>
      <c r="AB53" s="9"/>
      <c r="AC53" s="9"/>
      <c r="AD53" s="9"/>
      <c r="AE53" s="9"/>
    </row>
    <row r="54" spans="2:32" x14ac:dyDescent="0.25">
      <c r="T54" s="5"/>
      <c r="Y54" s="9"/>
      <c r="Z54" s="9"/>
      <c r="AA54" s="9"/>
      <c r="AB54" s="9"/>
      <c r="AC54" s="9"/>
      <c r="AD54" s="9"/>
      <c r="AE54" s="9"/>
    </row>
    <row r="55" spans="2:32" x14ac:dyDescent="0.25">
      <c r="T55" s="5"/>
      <c r="Y55" s="9"/>
      <c r="Z55" s="9"/>
      <c r="AA55" s="9"/>
      <c r="AB55" s="9"/>
      <c r="AC55" s="9"/>
      <c r="AD55" s="9"/>
      <c r="AE55" s="9"/>
    </row>
    <row r="56" spans="2:32" x14ac:dyDescent="0.25">
      <c r="T56" s="5"/>
      <c r="Y56" s="9"/>
      <c r="Z56" s="9"/>
      <c r="AA56" s="9"/>
      <c r="AB56" s="9"/>
      <c r="AC56" s="9"/>
      <c r="AD56" s="9"/>
      <c r="AE56" s="9"/>
    </row>
    <row r="57" spans="2:32" x14ac:dyDescent="0.25">
      <c r="T57" s="5"/>
      <c r="Y57" s="9"/>
      <c r="Z57" s="9"/>
      <c r="AA57" s="9"/>
      <c r="AB57" s="9"/>
      <c r="AC57" s="9"/>
      <c r="AD57" s="9"/>
      <c r="AE57" s="9"/>
    </row>
    <row r="58" spans="2:32" x14ac:dyDescent="0.25">
      <c r="T58" s="5"/>
      <c r="Y58" s="9"/>
      <c r="Z58" s="9"/>
      <c r="AA58" s="9"/>
      <c r="AB58" s="9"/>
      <c r="AC58" s="9"/>
      <c r="AD58" s="9"/>
      <c r="AE58" s="9"/>
    </row>
    <row r="59" spans="2:32" x14ac:dyDescent="0.25">
      <c r="T59" s="5"/>
      <c r="Y59" s="9"/>
      <c r="Z59" s="9"/>
      <c r="AA59" s="9"/>
      <c r="AB59" s="9"/>
      <c r="AC59" s="9"/>
      <c r="AD59" s="9"/>
      <c r="AE59" s="9"/>
    </row>
    <row r="60" spans="2:32" x14ac:dyDescent="0.25">
      <c r="T60" s="5"/>
      <c r="Y60" s="9"/>
      <c r="Z60" s="9"/>
      <c r="AA60" s="9"/>
      <c r="AB60" s="9"/>
      <c r="AC60" s="9"/>
      <c r="AD60" s="9"/>
      <c r="AE60" s="9"/>
    </row>
    <row r="61" spans="2:32" x14ac:dyDescent="0.25">
      <c r="T61" s="5"/>
      <c r="Y61" s="9"/>
      <c r="Z61" s="9"/>
      <c r="AA61" s="9"/>
      <c r="AB61" s="9"/>
      <c r="AC61" s="9"/>
      <c r="AD61" s="9"/>
      <c r="AE61" s="9"/>
    </row>
    <row r="62" spans="2:32" x14ac:dyDescent="0.25">
      <c r="T62" s="5"/>
    </row>
    <row r="63" spans="2:32" x14ac:dyDescent="0.25">
      <c r="T63" s="5"/>
    </row>
    <row r="64" spans="2:32" x14ac:dyDescent="0.25">
      <c r="T64" s="5"/>
    </row>
    <row r="65" spans="20:20" x14ac:dyDescent="0.25">
      <c r="T65" s="5"/>
    </row>
    <row r="66" spans="20:20" x14ac:dyDescent="0.25">
      <c r="T66" s="5"/>
    </row>
  </sheetData>
  <autoFilter ref="B6:AE43" xr:uid="{65FA6D9B-E0AF-46CD-BA0D-86BB75FE6AB0}"/>
  <hyperlinks>
    <hyperlink ref="P29" r:id="rId1" xr:uid="{EBA8F3E4-88C5-4FEA-B080-F79501A108E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1E35-4EE9-4428-8D09-B69D60C9FB65}">
  <sheetPr>
    <tabColor rgb="FFFFFF00"/>
  </sheetPr>
  <dimension ref="B2:AK51"/>
  <sheetViews>
    <sheetView zoomScale="80" zoomScaleNormal="80" workbookViewId="0">
      <selection activeCell="Z31" sqref="Z31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47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48</v>
      </c>
      <c r="D7" s="1" t="s">
        <v>49</v>
      </c>
      <c r="E7" s="3"/>
      <c r="F7" s="3"/>
      <c r="G7" s="3"/>
      <c r="H7" s="3"/>
      <c r="J7" s="1" t="s">
        <v>50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26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11.3</v>
      </c>
      <c r="X7" s="12">
        <f t="shared" ref="X7:X26" si="1">U7*W7</f>
        <v>0</v>
      </c>
      <c r="Y7" s="26">
        <f>Q7</f>
        <v>0</v>
      </c>
      <c r="Z7" s="12">
        <f t="shared" ref="Z7:Z26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:AC26" si="3">+Y7*AB7*R7</f>
        <v>0</v>
      </c>
      <c r="AD7" s="12">
        <f t="shared" ref="AD7:AD26" si="4">+AC7-X7</f>
        <v>0</v>
      </c>
      <c r="AE7" s="13">
        <f t="shared" ref="AE7:AE26" si="5">IFERROR(AD7/AC7,0)</f>
        <v>0</v>
      </c>
    </row>
    <row r="8" spans="2:36" x14ac:dyDescent="0.25">
      <c r="B8" s="4"/>
      <c r="C8" s="1" t="s">
        <v>48</v>
      </c>
      <c r="D8" s="1" t="s">
        <v>87</v>
      </c>
      <c r="E8" s="3"/>
      <c r="F8" s="3"/>
      <c r="G8" s="24"/>
      <c r="H8" s="24"/>
      <c r="J8" s="1" t="s">
        <v>90</v>
      </c>
      <c r="K8" s="4"/>
      <c r="L8" s="4"/>
      <c r="M8" s="4"/>
      <c r="N8" s="4"/>
      <c r="O8" s="4"/>
      <c r="P8" s="27"/>
      <c r="Q8" s="25">
        <v>215</v>
      </c>
      <c r="R8" s="25">
        <v>1</v>
      </c>
      <c r="S8" s="12">
        <f t="shared" si="0"/>
        <v>215</v>
      </c>
      <c r="T8" s="5">
        <v>0</v>
      </c>
      <c r="U8" s="12">
        <f t="shared" ref="U8:U26" si="6">S8*(1-T8)</f>
        <v>215</v>
      </c>
      <c r="V8" s="25" t="s">
        <v>10</v>
      </c>
      <c r="W8" s="11">
        <f>IFERROR(VLOOKUP(V8,Curr!$B$2:$C$13,2,FALSE),0)</f>
        <v>11.3</v>
      </c>
      <c r="X8" s="12">
        <f t="shared" si="1"/>
        <v>2429.5</v>
      </c>
      <c r="Y8" s="26">
        <f>Q8/0.8</f>
        <v>268.75</v>
      </c>
      <c r="Z8" s="12">
        <f t="shared" si="2"/>
        <v>268.75</v>
      </c>
      <c r="AA8" s="4" t="s">
        <v>10</v>
      </c>
      <c r="AB8" s="11">
        <f>IFERROR(VLOOKUP(AA8,Curr!$B$2:$C$13,2,FALSE),0)</f>
        <v>11.3</v>
      </c>
      <c r="AC8" s="12">
        <f t="shared" si="3"/>
        <v>3036.875</v>
      </c>
      <c r="AD8" s="12">
        <f t="shared" si="4"/>
        <v>607.375</v>
      </c>
      <c r="AE8" s="13">
        <f t="shared" si="5"/>
        <v>0.2</v>
      </c>
    </row>
    <row r="9" spans="2:36" x14ac:dyDescent="0.25">
      <c r="B9" s="4"/>
      <c r="C9" s="1" t="s">
        <v>48</v>
      </c>
      <c r="D9" s="1" t="s">
        <v>64</v>
      </c>
      <c r="E9" s="3"/>
      <c r="F9" s="3"/>
      <c r="G9" s="24"/>
      <c r="H9" s="24"/>
      <c r="J9" s="1" t="s">
        <v>89</v>
      </c>
      <c r="K9" s="4"/>
      <c r="L9" s="4"/>
      <c r="M9" s="4"/>
      <c r="N9" s="4"/>
      <c r="O9" s="4"/>
      <c r="P9" s="33"/>
      <c r="Q9" s="25">
        <v>750</v>
      </c>
      <c r="R9" s="25">
        <v>1</v>
      </c>
      <c r="S9" s="12">
        <f t="shared" si="0"/>
        <v>750</v>
      </c>
      <c r="T9" s="5">
        <v>0</v>
      </c>
      <c r="U9" s="12">
        <f t="shared" si="6"/>
        <v>750</v>
      </c>
      <c r="V9" s="25" t="s">
        <v>10</v>
      </c>
      <c r="W9" s="11">
        <f>IFERROR(VLOOKUP(V9,Curr!$B$2:$C$13,2,FALSE),0)</f>
        <v>11.3</v>
      </c>
      <c r="X9" s="12">
        <f t="shared" si="1"/>
        <v>8475</v>
      </c>
      <c r="Y9" s="26">
        <f>Q9/0.8</f>
        <v>937.5</v>
      </c>
      <c r="Z9" s="12">
        <f t="shared" si="2"/>
        <v>937.5</v>
      </c>
      <c r="AA9" s="4" t="s">
        <v>10</v>
      </c>
      <c r="AB9" s="11">
        <f>IFERROR(VLOOKUP(AA9,Curr!$B$2:$C$13,2,FALSE),0)</f>
        <v>11.3</v>
      </c>
      <c r="AC9" s="12">
        <f t="shared" si="3"/>
        <v>10593.75</v>
      </c>
      <c r="AD9" s="12">
        <f t="shared" si="4"/>
        <v>2118.75</v>
      </c>
      <c r="AE9" s="13">
        <f t="shared" si="5"/>
        <v>0.2</v>
      </c>
    </row>
    <row r="10" spans="2:36" x14ac:dyDescent="0.25">
      <c r="B10" s="4"/>
      <c r="C10" s="1" t="s">
        <v>48</v>
      </c>
      <c r="D10" s="1" t="s">
        <v>55</v>
      </c>
      <c r="E10" s="3"/>
      <c r="F10" s="3"/>
      <c r="G10" s="24"/>
      <c r="H10" s="24"/>
      <c r="J10" s="1" t="s">
        <v>56</v>
      </c>
      <c r="K10" s="4"/>
      <c r="L10" s="4"/>
      <c r="M10" s="4"/>
      <c r="N10" s="4"/>
      <c r="O10" s="4"/>
      <c r="P10" s="33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11.3</v>
      </c>
      <c r="X10" s="12">
        <f t="shared" si="1"/>
        <v>0</v>
      </c>
      <c r="Y10" s="26">
        <f t="shared" ref="Y10:Y26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11.3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11.3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11.3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57</v>
      </c>
      <c r="D12" s="1" t="s">
        <v>88</v>
      </c>
      <c r="E12" s="3"/>
      <c r="F12" s="3"/>
      <c r="G12" s="24"/>
      <c r="H12" s="24"/>
      <c r="J12" s="1" t="s">
        <v>92</v>
      </c>
      <c r="K12" s="4"/>
      <c r="L12" s="4"/>
      <c r="M12" s="4"/>
      <c r="N12" s="4"/>
      <c r="O12" s="4"/>
      <c r="P12" s="33" t="s">
        <v>93</v>
      </c>
      <c r="Q12" s="25">
        <v>158</v>
      </c>
      <c r="R12" s="25">
        <v>2</v>
      </c>
      <c r="S12" s="12">
        <f t="shared" si="0"/>
        <v>316</v>
      </c>
      <c r="T12" s="5">
        <v>0</v>
      </c>
      <c r="U12" s="12">
        <f t="shared" si="6"/>
        <v>316</v>
      </c>
      <c r="V12" s="25" t="s">
        <v>10</v>
      </c>
      <c r="W12" s="11">
        <f>IFERROR(VLOOKUP(V12,Curr!$B$2:$C$13,2,FALSE),0)</f>
        <v>11.3</v>
      </c>
      <c r="X12" s="12">
        <f t="shared" si="1"/>
        <v>3570.8</v>
      </c>
      <c r="Y12" s="26">
        <f>Q12/0.8</f>
        <v>197.5</v>
      </c>
      <c r="Z12" s="12">
        <f t="shared" si="2"/>
        <v>395</v>
      </c>
      <c r="AA12" s="4" t="s">
        <v>10</v>
      </c>
      <c r="AB12" s="11">
        <f>IFERROR(VLOOKUP(AA12,Curr!$B$2:$C$13,2,FALSE),0)</f>
        <v>11.3</v>
      </c>
      <c r="AC12" s="12">
        <f t="shared" si="3"/>
        <v>4463.5</v>
      </c>
      <c r="AD12" s="12">
        <f t="shared" si="4"/>
        <v>892.69999999999982</v>
      </c>
      <c r="AE12" s="13">
        <f t="shared" si="5"/>
        <v>0.19999999999999996</v>
      </c>
    </row>
    <row r="13" spans="2:36" x14ac:dyDescent="0.25">
      <c r="B13" s="4"/>
      <c r="C13" s="1" t="s">
        <v>57</v>
      </c>
      <c r="D13" s="1" t="s">
        <v>55</v>
      </c>
      <c r="E13" s="3"/>
      <c r="F13" s="3"/>
      <c r="G13" s="24"/>
      <c r="H13" s="24"/>
      <c r="J13" s="1" t="s">
        <v>56</v>
      </c>
      <c r="K13" s="4"/>
      <c r="L13" s="4"/>
      <c r="M13" s="4"/>
      <c r="N13" s="4"/>
      <c r="O13" s="4"/>
      <c r="P13" s="33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11.3</v>
      </c>
      <c r="X13" s="12">
        <f t="shared" si="1"/>
        <v>0</v>
      </c>
      <c r="Y13" s="26">
        <f t="shared" si="7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11.3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27"/>
      <c r="Q14" s="25"/>
      <c r="R14" s="25"/>
      <c r="S14" s="12">
        <f t="shared" si="0"/>
        <v>0</v>
      </c>
      <c r="T14" s="5">
        <v>0</v>
      </c>
      <c r="U14" s="12">
        <f t="shared" si="6"/>
        <v>0</v>
      </c>
      <c r="V14" s="25" t="s">
        <v>10</v>
      </c>
      <c r="W14" s="11">
        <f>IFERROR(VLOOKUP(V14,Curr!$B$2:$C$13,2,FALSE),0)</f>
        <v>11.3</v>
      </c>
      <c r="X14" s="12">
        <f t="shared" si="1"/>
        <v>0</v>
      </c>
      <c r="Y14" s="26">
        <f t="shared" si="7"/>
        <v>0</v>
      </c>
      <c r="Z14" s="12">
        <f t="shared" si="2"/>
        <v>0</v>
      </c>
      <c r="AA14" s="4" t="s">
        <v>10</v>
      </c>
      <c r="AB14" s="11">
        <f>IFERROR(VLOOKUP(AA14,Curr!$B$2:$C$13,2,FALSE),0)</f>
        <v>11.3</v>
      </c>
      <c r="AC14" s="12">
        <f t="shared" si="3"/>
        <v>0</v>
      </c>
      <c r="AD14" s="12">
        <f t="shared" si="4"/>
        <v>0</v>
      </c>
      <c r="AE14" s="13">
        <f t="shared" si="5"/>
        <v>0</v>
      </c>
    </row>
    <row r="15" spans="2:36" x14ac:dyDescent="0.25">
      <c r="B15" s="4"/>
      <c r="C15" s="1" t="s">
        <v>67</v>
      </c>
      <c r="D15" s="1" t="s">
        <v>88</v>
      </c>
      <c r="E15" s="3"/>
      <c r="F15" s="3"/>
      <c r="G15" s="24"/>
      <c r="H15" s="24"/>
      <c r="J15" s="1" t="s">
        <v>94</v>
      </c>
      <c r="K15" s="4"/>
      <c r="L15" s="4"/>
      <c r="M15" s="4"/>
      <c r="N15" s="4"/>
      <c r="O15" s="4"/>
      <c r="P15" s="33"/>
      <c r="Q15" s="25">
        <v>160</v>
      </c>
      <c r="R15" s="25">
        <v>2</v>
      </c>
      <c r="S15" s="12">
        <f t="shared" si="0"/>
        <v>320</v>
      </c>
      <c r="T15" s="5">
        <v>0</v>
      </c>
      <c r="U15" s="12">
        <f t="shared" si="6"/>
        <v>320</v>
      </c>
      <c r="V15" s="25" t="s">
        <v>10</v>
      </c>
      <c r="W15" s="11">
        <f>IFERROR(VLOOKUP(V15,Curr!$B$2:$C$13,2,FALSE),0)</f>
        <v>11.3</v>
      </c>
      <c r="X15" s="12">
        <f t="shared" si="1"/>
        <v>3616</v>
      </c>
      <c r="Y15" s="26">
        <f>Q15/0.7</f>
        <v>228.57142857142858</v>
      </c>
      <c r="Z15" s="12">
        <f t="shared" si="2"/>
        <v>457.14285714285717</v>
      </c>
      <c r="AA15" s="4" t="s">
        <v>10</v>
      </c>
      <c r="AB15" s="11">
        <f>IFERROR(VLOOKUP(AA15,Curr!$B$2:$C$13,2,FALSE),0)</f>
        <v>11.3</v>
      </c>
      <c r="AC15" s="12">
        <f t="shared" si="3"/>
        <v>5165.7142857142862</v>
      </c>
      <c r="AD15" s="12">
        <f t="shared" si="4"/>
        <v>1549.7142857142862</v>
      </c>
      <c r="AE15" s="13">
        <f t="shared" si="5"/>
        <v>0.30000000000000004</v>
      </c>
    </row>
    <row r="16" spans="2:36" x14ac:dyDescent="0.25">
      <c r="B16" s="4"/>
      <c r="C16" s="1" t="s">
        <v>67</v>
      </c>
      <c r="D16" s="1" t="s">
        <v>55</v>
      </c>
      <c r="E16" s="3"/>
      <c r="F16" s="3"/>
      <c r="G16" s="24"/>
      <c r="H16" s="24"/>
      <c r="J16" s="1" t="s">
        <v>56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11.3</v>
      </c>
      <c r="X16" s="12">
        <f t="shared" si="1"/>
        <v>0</v>
      </c>
      <c r="Y16" s="26">
        <f t="shared" si="7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11.3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6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33"/>
      <c r="Q17" s="25"/>
      <c r="R17" s="25"/>
      <c r="S17" s="12">
        <f t="shared" si="0"/>
        <v>0</v>
      </c>
      <c r="T17" s="5">
        <v>0</v>
      </c>
      <c r="U17" s="12">
        <f t="shared" si="6"/>
        <v>0</v>
      </c>
      <c r="V17" s="25" t="s">
        <v>10</v>
      </c>
      <c r="W17" s="11">
        <f>IFERROR(VLOOKUP(V17,Curr!$B$2:$C$13,2,FALSE),0)</f>
        <v>11.3</v>
      </c>
      <c r="X17" s="12">
        <f t="shared" si="1"/>
        <v>0</v>
      </c>
      <c r="Y17" s="26">
        <f t="shared" si="7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11.3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6" x14ac:dyDescent="0.25">
      <c r="B18" s="4"/>
      <c r="C18" s="1" t="s">
        <v>71</v>
      </c>
      <c r="D18" s="1" t="s">
        <v>87</v>
      </c>
      <c r="E18" s="3"/>
      <c r="F18" s="3"/>
      <c r="G18" s="24"/>
      <c r="H18" s="24"/>
      <c r="J18" s="1" t="s">
        <v>91</v>
      </c>
      <c r="K18" s="4"/>
      <c r="L18" s="4"/>
      <c r="M18" s="4"/>
      <c r="N18" s="4"/>
      <c r="O18" s="4"/>
      <c r="P18" s="29"/>
      <c r="Q18" s="25">
        <v>215</v>
      </c>
      <c r="R18" s="25">
        <v>1</v>
      </c>
      <c r="S18" s="12">
        <f t="shared" ref="S18" si="8">+Q18*R18</f>
        <v>215</v>
      </c>
      <c r="T18" s="5">
        <v>0</v>
      </c>
      <c r="U18" s="12">
        <f t="shared" ref="U18" si="9">S18*(1-T18)</f>
        <v>215</v>
      </c>
      <c r="V18" s="25" t="s">
        <v>10</v>
      </c>
      <c r="W18" s="11">
        <f>IFERROR(VLOOKUP(V18,Curr!$B$2:$C$13,2,FALSE),0)</f>
        <v>11.3</v>
      </c>
      <c r="X18" s="12">
        <f t="shared" ref="X18" si="10">U18*W18</f>
        <v>2429.5</v>
      </c>
      <c r="Y18" s="26">
        <f>Q18/0.8</f>
        <v>268.75</v>
      </c>
      <c r="Z18" s="12">
        <f t="shared" si="2"/>
        <v>268.75</v>
      </c>
      <c r="AA18" s="4" t="s">
        <v>10</v>
      </c>
      <c r="AB18" s="11">
        <f>IFERROR(VLOOKUP(AA18,Curr!$B$2:$C$13,2,FALSE),0)</f>
        <v>11.3</v>
      </c>
      <c r="AC18" s="12">
        <f t="shared" si="3"/>
        <v>3036.875</v>
      </c>
      <c r="AD18" s="12">
        <f t="shared" si="4"/>
        <v>607.375</v>
      </c>
      <c r="AE18" s="13">
        <f t="shared" si="5"/>
        <v>0.2</v>
      </c>
    </row>
    <row r="19" spans="2:36" x14ac:dyDescent="0.25">
      <c r="B19" s="4"/>
      <c r="C19" s="1" t="s">
        <v>71</v>
      </c>
      <c r="D19" s="1" t="s">
        <v>76</v>
      </c>
      <c r="E19" s="3"/>
      <c r="F19" s="3"/>
      <c r="G19" s="24"/>
      <c r="H19" s="24"/>
      <c r="J19" s="1" t="s">
        <v>80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11.3</v>
      </c>
      <c r="X19" s="12">
        <f t="shared" si="1"/>
        <v>0</v>
      </c>
      <c r="Y19" s="26">
        <f t="shared" si="7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11.3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6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0"/>
        <v>0</v>
      </c>
      <c r="T20" s="5">
        <v>0</v>
      </c>
      <c r="U20" s="12">
        <f t="shared" si="6"/>
        <v>0</v>
      </c>
      <c r="V20" s="25" t="s">
        <v>10</v>
      </c>
      <c r="W20" s="11">
        <f>IFERROR(VLOOKUP(V20,Curr!$B$2:$C$13,2,FALSE),0)</f>
        <v>11.3</v>
      </c>
      <c r="X20" s="12">
        <f t="shared" si="1"/>
        <v>0</v>
      </c>
      <c r="Y20" s="26">
        <f t="shared" si="7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11.3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6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27"/>
      <c r="Q21" s="25"/>
      <c r="R21" s="25"/>
      <c r="S21" s="12">
        <f t="shared" si="0"/>
        <v>0</v>
      </c>
      <c r="T21" s="5">
        <v>0</v>
      </c>
      <c r="U21" s="12">
        <f t="shared" si="6"/>
        <v>0</v>
      </c>
      <c r="V21" s="25" t="s">
        <v>10</v>
      </c>
      <c r="W21" s="11">
        <f>IFERROR(VLOOKUP(V21,Curr!$B$2:$C$13,2,FALSE),0)</f>
        <v>11.3</v>
      </c>
      <c r="X21" s="12">
        <f t="shared" si="1"/>
        <v>0</v>
      </c>
      <c r="Y21" s="26">
        <f t="shared" si="7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11.3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6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/>
      <c r="R22" s="25"/>
      <c r="S22" s="12">
        <f t="shared" si="0"/>
        <v>0</v>
      </c>
      <c r="T22" s="5">
        <v>0</v>
      </c>
      <c r="U22" s="12">
        <f t="shared" si="6"/>
        <v>0</v>
      </c>
      <c r="V22" s="25" t="s">
        <v>10</v>
      </c>
      <c r="W22" s="11">
        <f>IFERROR(VLOOKUP(V22,Curr!$B$2:$C$13,2,FALSE),0)</f>
        <v>11.3</v>
      </c>
      <c r="X22" s="12">
        <f t="shared" si="1"/>
        <v>0</v>
      </c>
      <c r="Y22" s="26">
        <f t="shared" si="7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11.3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6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33"/>
      <c r="Q23" s="25"/>
      <c r="R23" s="25"/>
      <c r="S23" s="12">
        <f t="shared" si="0"/>
        <v>0</v>
      </c>
      <c r="T23" s="5">
        <v>0</v>
      </c>
      <c r="U23" s="12">
        <f t="shared" si="6"/>
        <v>0</v>
      </c>
      <c r="V23" s="25" t="s">
        <v>10</v>
      </c>
      <c r="W23" s="11">
        <f>IFERROR(VLOOKUP(V23,Curr!$B$2:$C$13,2,FALSE),0)</f>
        <v>11.3</v>
      </c>
      <c r="X23" s="12">
        <f t="shared" si="1"/>
        <v>0</v>
      </c>
      <c r="Y23" s="26">
        <f t="shared" si="7"/>
        <v>0</v>
      </c>
      <c r="Z23" s="12">
        <f t="shared" si="2"/>
        <v>0</v>
      </c>
      <c r="AA23" s="4" t="s">
        <v>10</v>
      </c>
      <c r="AB23" s="11">
        <f>IFERROR(VLOOKUP(AA23,Curr!$B$2:$C$13,2,FALSE),0)</f>
        <v>11.3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6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/>
      <c r="R24" s="25"/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IFERROR(VLOOKUP(V24,Curr!$B$2:$C$13,2,FALSE),0)</f>
        <v>11.3</v>
      </c>
      <c r="X24" s="12">
        <f t="shared" si="1"/>
        <v>0</v>
      </c>
      <c r="Y24" s="26">
        <f t="shared" si="7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11.3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6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/>
      <c r="R25" s="25"/>
      <c r="S25" s="12">
        <f t="shared" si="0"/>
        <v>0</v>
      </c>
      <c r="T25" s="5">
        <v>0</v>
      </c>
      <c r="U25" s="12">
        <f t="shared" si="6"/>
        <v>0</v>
      </c>
      <c r="V25" s="25" t="s">
        <v>10</v>
      </c>
      <c r="W25" s="11">
        <f>IFERROR(VLOOKUP(V25,Curr!$B$2:$C$13,2,FALSE),0)</f>
        <v>11.3</v>
      </c>
      <c r="X25" s="12">
        <f t="shared" si="1"/>
        <v>0</v>
      </c>
      <c r="Y25" s="26">
        <f t="shared" si="7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11.3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6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27"/>
      <c r="Q26" s="25"/>
      <c r="R26" s="25"/>
      <c r="S26" s="12">
        <f t="shared" si="0"/>
        <v>0</v>
      </c>
      <c r="T26" s="5">
        <v>0</v>
      </c>
      <c r="U26" s="12">
        <f t="shared" si="6"/>
        <v>0</v>
      </c>
      <c r="V26" s="25" t="s">
        <v>10</v>
      </c>
      <c r="W26" s="11">
        <f>IFERROR(VLOOKUP(V26,Curr!$B$2:$C$13,2,FALSE),0)</f>
        <v>11.3</v>
      </c>
      <c r="X26" s="12">
        <f t="shared" si="1"/>
        <v>0</v>
      </c>
      <c r="Y26" s="26">
        <f t="shared" si="7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11.3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6" x14ac:dyDescent="0.25">
      <c r="B27" s="4"/>
      <c r="E27" s="3"/>
      <c r="F27" s="3"/>
      <c r="G27" s="3"/>
      <c r="H27" s="3"/>
      <c r="L27" s="4"/>
      <c r="M27" s="4"/>
      <c r="N27" s="4"/>
      <c r="O27" s="4"/>
      <c r="P27" s="22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2:36" x14ac:dyDescent="0.25">
      <c r="B28" s="14" t="s">
        <v>18</v>
      </c>
      <c r="C28" s="14"/>
      <c r="D28" s="28" t="s">
        <v>42</v>
      </c>
      <c r="E28" s="30" t="s">
        <v>42</v>
      </c>
      <c r="F28" s="30" t="s">
        <v>42</v>
      </c>
      <c r="G28" s="30" t="s">
        <v>42</v>
      </c>
      <c r="H28" s="30" t="s">
        <v>42</v>
      </c>
      <c r="I28" s="28" t="s">
        <v>42</v>
      </c>
      <c r="J28" s="28" t="s">
        <v>42</v>
      </c>
      <c r="K28" s="28" t="s">
        <v>42</v>
      </c>
      <c r="L28" s="28" t="s">
        <v>42</v>
      </c>
      <c r="M28" s="28" t="s">
        <v>42</v>
      </c>
      <c r="N28" s="28" t="s">
        <v>42</v>
      </c>
      <c r="O28" s="28" t="s">
        <v>42</v>
      </c>
      <c r="P28" s="28" t="s">
        <v>42</v>
      </c>
      <c r="Q28" s="31" t="s">
        <v>42</v>
      </c>
      <c r="R28" s="28" t="s">
        <v>42</v>
      </c>
      <c r="S28" s="32" t="s">
        <v>42</v>
      </c>
      <c r="T28" s="28" t="s">
        <v>42</v>
      </c>
      <c r="U28" s="32" t="s">
        <v>42</v>
      </c>
      <c r="V28" s="28" t="s">
        <v>42</v>
      </c>
      <c r="W28" s="28" t="s">
        <v>42</v>
      </c>
      <c r="X28" s="32" t="s">
        <v>42</v>
      </c>
      <c r="Y28" s="32" t="s">
        <v>42</v>
      </c>
      <c r="Z28" s="15">
        <f>SUM(Z7:Z26)</f>
        <v>2327.1428571428573</v>
      </c>
      <c r="AA28" s="14"/>
      <c r="AB28" s="14"/>
      <c r="AC28" s="15">
        <f>SUM(AC7:AC26)</f>
        <v>26296.714285714286</v>
      </c>
      <c r="AD28" s="15">
        <f>SUM(AD7:AD26)</f>
        <v>5775.9142857142861</v>
      </c>
      <c r="AE28" s="21">
        <f t="shared" ref="AE28" si="11">IFERROR(AD28/AC28,0)</f>
        <v>0.21964395334561082</v>
      </c>
      <c r="AF28" s="15">
        <f>SUM(AF8:AF27)</f>
        <v>0</v>
      </c>
      <c r="AG28" s="15">
        <f>SUM(AG8:AG27)</f>
        <v>0</v>
      </c>
      <c r="AH28" s="15">
        <f>SUM(AH8:AH27)</f>
        <v>0</v>
      </c>
      <c r="AI28" s="15">
        <f>SUM(AI8:AI27)</f>
        <v>0</v>
      </c>
      <c r="AJ28" s="15">
        <f>SUM(AJ8:AJ27)</f>
        <v>0</v>
      </c>
    </row>
    <row r="29" spans="2:36" x14ac:dyDescent="0.25">
      <c r="B29" s="4"/>
      <c r="E29" s="3"/>
      <c r="F29" s="3"/>
      <c r="G29" s="3"/>
      <c r="H29" s="3"/>
      <c r="L29" s="4"/>
      <c r="M29" s="4"/>
      <c r="N29" s="4"/>
      <c r="O29" s="4"/>
      <c r="Q29" s="4"/>
      <c r="R29" s="4"/>
      <c r="S29" s="4"/>
      <c r="T29" s="4"/>
      <c r="U29" s="4"/>
      <c r="V29" s="4"/>
      <c r="W29" s="4"/>
      <c r="X29" s="4"/>
      <c r="Y29" s="9"/>
      <c r="Z29" s="9"/>
      <c r="AA29" s="9"/>
      <c r="AB29" s="9"/>
      <c r="AC29" s="9"/>
      <c r="AD29" s="9"/>
      <c r="AE29" s="9"/>
    </row>
    <row r="30" spans="2:36" x14ac:dyDescent="0.25">
      <c r="B30" s="4"/>
      <c r="E30" s="3"/>
      <c r="F30" s="3"/>
      <c r="G30" s="3"/>
      <c r="H30" s="3"/>
      <c r="L30" s="4"/>
      <c r="M30" s="4"/>
      <c r="N30" s="4"/>
      <c r="O30" s="4"/>
      <c r="Q30" s="9"/>
      <c r="R30" s="9"/>
      <c r="S30" s="9"/>
      <c r="T30" s="9"/>
      <c r="U30" s="9"/>
      <c r="V30" s="9"/>
      <c r="W30" s="9"/>
      <c r="X30" s="23"/>
      <c r="Y30" s="34" t="s">
        <v>45</v>
      </c>
      <c r="Z30" s="34">
        <v>2320</v>
      </c>
      <c r="AA30" s="9"/>
      <c r="AB30" s="9"/>
      <c r="AC30" s="9"/>
      <c r="AD30" s="9"/>
      <c r="AE30" s="9"/>
    </row>
    <row r="31" spans="2:36" x14ac:dyDescent="0.25">
      <c r="B31" s="4"/>
      <c r="E31" s="3"/>
      <c r="F31" s="3"/>
      <c r="G31" s="3"/>
      <c r="H31" s="3"/>
      <c r="L31" s="4"/>
      <c r="M31" s="4"/>
      <c r="N31" s="4"/>
      <c r="O31" s="4"/>
      <c r="Q31" s="9"/>
      <c r="R31" s="9"/>
      <c r="S31" s="9"/>
      <c r="T31" s="9"/>
      <c r="U31" s="9"/>
      <c r="V31" s="9"/>
      <c r="W31" s="9"/>
      <c r="X31" s="9"/>
      <c r="Y31" s="34" t="s">
        <v>46</v>
      </c>
      <c r="Z31" s="34">
        <f>Z30/2</f>
        <v>1160</v>
      </c>
      <c r="AA31" s="9"/>
      <c r="AB31" s="9"/>
      <c r="AC31" s="9"/>
      <c r="AD31" s="9"/>
      <c r="AE31" s="9"/>
      <c r="AF31" s="18"/>
    </row>
    <row r="32" spans="2:36" x14ac:dyDescent="0.25">
      <c r="B32" s="4"/>
      <c r="E32" s="3"/>
      <c r="F32" s="3"/>
      <c r="G32" s="3"/>
      <c r="H32" s="3"/>
      <c r="I32" s="19"/>
      <c r="L32" s="4"/>
      <c r="M32" s="4"/>
      <c r="N32" s="4"/>
      <c r="O32" s="20"/>
      <c r="Q32" s="20"/>
      <c r="R32" s="20"/>
      <c r="S32" s="20"/>
      <c r="T32" s="20"/>
      <c r="U32" s="20"/>
      <c r="V32" s="20"/>
      <c r="W32" s="20"/>
      <c r="X32" s="20"/>
      <c r="Y32" s="9"/>
      <c r="Z32" s="9"/>
      <c r="AA32" s="9"/>
      <c r="AB32" s="9"/>
      <c r="AC32" s="9"/>
      <c r="AD32" s="9"/>
      <c r="AE32" s="9"/>
      <c r="AF32" s="18"/>
    </row>
    <row r="33" spans="2:32" x14ac:dyDescent="0.25">
      <c r="B33" s="4"/>
      <c r="E33" s="3"/>
      <c r="F33" s="3"/>
      <c r="G33" s="3"/>
      <c r="H33" s="3"/>
      <c r="L33" s="4"/>
      <c r="M33" s="4"/>
      <c r="N33" s="4"/>
      <c r="O33" s="20"/>
      <c r="Q33" s="20"/>
      <c r="R33" s="20"/>
      <c r="S33" s="20"/>
      <c r="T33" s="20"/>
      <c r="U33" s="20"/>
      <c r="V33" s="20"/>
      <c r="W33" s="20"/>
      <c r="X33" s="20"/>
      <c r="Y33" s="35" t="s">
        <v>83</v>
      </c>
      <c r="Z33" s="9">
        <f>Z30</f>
        <v>2320</v>
      </c>
      <c r="AA33" s="9"/>
      <c r="AB33" s="9"/>
      <c r="AC33" s="9"/>
      <c r="AD33" s="9"/>
      <c r="AE33" s="9"/>
      <c r="AF33" s="18"/>
    </row>
    <row r="34" spans="2:32" x14ac:dyDescent="0.25">
      <c r="B34" s="4"/>
      <c r="E34" s="3"/>
      <c r="F34" s="3"/>
      <c r="G34" s="3"/>
      <c r="H34" s="3"/>
      <c r="L34" s="4"/>
      <c r="M34" s="4"/>
      <c r="N34" s="4"/>
      <c r="O34" s="4"/>
      <c r="Q34" s="9"/>
      <c r="R34" s="9"/>
      <c r="S34" s="9"/>
      <c r="T34" s="9"/>
      <c r="U34" s="9"/>
      <c r="V34" s="9"/>
      <c r="W34" s="9"/>
      <c r="X34" s="9"/>
      <c r="Y34" s="36" t="s">
        <v>84</v>
      </c>
      <c r="Z34" s="9">
        <f>Z33*1.15</f>
        <v>2668</v>
      </c>
      <c r="AA34" s="9"/>
      <c r="AB34" s="9"/>
      <c r="AC34" s="9"/>
      <c r="AD34" s="9"/>
      <c r="AE34" s="9"/>
      <c r="AF34" s="18"/>
    </row>
    <row r="35" spans="2:32" x14ac:dyDescent="0.25">
      <c r="F35" s="1"/>
      <c r="G35" s="1"/>
      <c r="H35" s="1"/>
      <c r="J35" s="1" t="s">
        <v>32</v>
      </c>
      <c r="Q35" s="9"/>
      <c r="R35" s="4"/>
      <c r="S35" s="9"/>
      <c r="T35" s="5"/>
      <c r="U35" s="9"/>
      <c r="V35" s="4"/>
      <c r="W35" s="4"/>
      <c r="X35" s="9"/>
      <c r="Y35" s="36" t="s">
        <v>85</v>
      </c>
      <c r="Z35" s="9">
        <f>Z33*1.2</f>
        <v>2784</v>
      </c>
      <c r="AA35" s="9"/>
      <c r="AB35" s="9"/>
      <c r="AC35" s="9"/>
      <c r="AD35" s="9"/>
      <c r="AE35" s="9"/>
    </row>
    <row r="36" spans="2:32" x14ac:dyDescent="0.25">
      <c r="R36" s="4"/>
      <c r="S36" s="17"/>
      <c r="T36" s="17"/>
      <c r="U36" s="9"/>
      <c r="V36" s="4"/>
      <c r="W36" s="4"/>
      <c r="X36" s="9"/>
      <c r="Y36" s="36" t="s">
        <v>86</v>
      </c>
      <c r="Z36" s="9">
        <f>Z33*0.84</f>
        <v>1948.8</v>
      </c>
      <c r="AA36" s="9"/>
      <c r="AB36" s="9"/>
      <c r="AC36" s="9"/>
      <c r="AD36" s="9"/>
      <c r="AE36" s="9"/>
    </row>
    <row r="37" spans="2:32" x14ac:dyDescent="0.25">
      <c r="Q37" s="9"/>
      <c r="R37" s="4"/>
      <c r="S37" s="16"/>
      <c r="T37" s="16"/>
      <c r="U37" s="9"/>
      <c r="V37" s="4"/>
      <c r="W37" s="4"/>
      <c r="X37" s="9"/>
      <c r="Y37" s="9"/>
      <c r="Z37" s="9"/>
      <c r="AA37" s="9"/>
      <c r="AB37" s="9"/>
      <c r="AC37" s="9"/>
      <c r="AD37" s="9"/>
      <c r="AE37" s="9"/>
    </row>
    <row r="38" spans="2:32" x14ac:dyDescent="0.25">
      <c r="R38" s="4"/>
      <c r="S38" s="16"/>
      <c r="T38" s="16"/>
      <c r="Y38" s="9"/>
      <c r="Z38" s="9"/>
      <c r="AA38" s="9"/>
      <c r="AB38" s="9"/>
      <c r="AC38" s="9"/>
      <c r="AD38" s="9"/>
      <c r="AE38" s="9"/>
    </row>
    <row r="39" spans="2:32" x14ac:dyDescent="0.25">
      <c r="T39" s="5"/>
      <c r="Y39" s="9"/>
      <c r="Z39" s="9"/>
      <c r="AA39" s="9"/>
      <c r="AB39" s="9"/>
      <c r="AC39" s="9"/>
      <c r="AD39" s="9"/>
      <c r="AE39" s="9"/>
    </row>
    <row r="40" spans="2:32" x14ac:dyDescent="0.25">
      <c r="T40" s="5"/>
      <c r="Y40" s="9"/>
      <c r="Z40" s="9"/>
      <c r="AA40" s="9"/>
      <c r="AB40" s="9"/>
      <c r="AC40" s="9"/>
      <c r="AD40" s="9"/>
      <c r="AE40" s="9"/>
    </row>
    <row r="41" spans="2:32" x14ac:dyDescent="0.25">
      <c r="T41" s="5"/>
      <c r="Y41" s="9"/>
      <c r="Z41" s="9"/>
      <c r="AA41" s="9"/>
      <c r="AB41" s="9"/>
      <c r="AC41" s="9"/>
      <c r="AD41" s="9"/>
      <c r="AE41" s="9"/>
    </row>
    <row r="42" spans="2:32" x14ac:dyDescent="0.25">
      <c r="T42" s="5"/>
      <c r="Y42" s="9"/>
      <c r="Z42" s="9"/>
      <c r="AA42" s="9"/>
      <c r="AB42" s="9"/>
      <c r="AC42" s="9"/>
      <c r="AD42" s="9"/>
      <c r="AE42" s="9"/>
    </row>
    <row r="43" spans="2:32" x14ac:dyDescent="0.25">
      <c r="T43" s="5"/>
      <c r="Y43" s="9"/>
      <c r="Z43" s="9"/>
      <c r="AA43" s="9"/>
      <c r="AB43" s="9"/>
      <c r="AC43" s="9"/>
      <c r="AD43" s="9"/>
      <c r="AE43" s="9"/>
    </row>
    <row r="44" spans="2:32" x14ac:dyDescent="0.25">
      <c r="T44" s="5"/>
      <c r="Y44" s="9"/>
      <c r="Z44" s="9"/>
      <c r="AA44" s="9"/>
      <c r="AB44" s="9"/>
      <c r="AC44" s="9"/>
      <c r="AD44" s="9"/>
      <c r="AE44" s="9"/>
    </row>
    <row r="45" spans="2:32" x14ac:dyDescent="0.25">
      <c r="T45" s="5"/>
      <c r="Y45" s="9"/>
      <c r="Z45" s="9"/>
      <c r="AA45" s="9"/>
      <c r="AB45" s="9"/>
      <c r="AC45" s="9"/>
      <c r="AD45" s="9"/>
      <c r="AE45" s="9"/>
    </row>
    <row r="46" spans="2:32" x14ac:dyDescent="0.25">
      <c r="T46" s="5"/>
      <c r="Y46" s="9"/>
      <c r="Z46" s="9"/>
      <c r="AA46" s="9"/>
      <c r="AB46" s="9"/>
      <c r="AC46" s="9"/>
      <c r="AD46" s="9"/>
      <c r="AE46" s="9"/>
    </row>
    <row r="47" spans="2:32" x14ac:dyDescent="0.25">
      <c r="T47" s="5"/>
    </row>
    <row r="48" spans="2:32" x14ac:dyDescent="0.25">
      <c r="T48" s="5"/>
    </row>
    <row r="49" spans="20:20" x14ac:dyDescent="0.25">
      <c r="T49" s="5"/>
    </row>
    <row r="50" spans="20:20" x14ac:dyDescent="0.25">
      <c r="T50" s="5"/>
    </row>
    <row r="51" spans="20:20" x14ac:dyDescent="0.25">
      <c r="T51" s="5"/>
    </row>
  </sheetData>
  <autoFilter ref="B6:AE28" xr:uid="{65FA6D9B-E0AF-46CD-BA0D-86BB75FE6AB0}"/>
  <hyperlinks>
    <hyperlink ref="P12" r:id="rId1" xr:uid="{A6E9F348-6798-4015-9D04-BBFBB923726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60D3-96C3-43DF-A49F-4F74DBD596B2}">
  <sheetPr>
    <tabColor rgb="FFFFFF00"/>
  </sheetPr>
  <dimension ref="B1:AK66"/>
  <sheetViews>
    <sheetView tabSelected="1" topLeftCell="A12" zoomScale="80" zoomScaleNormal="80" workbookViewId="0">
      <selection activeCell="W49" sqref="W49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1" spans="2:36" x14ac:dyDescent="0.25">
      <c r="B1" s="2" t="s">
        <v>95</v>
      </c>
    </row>
    <row r="2" spans="2:36" x14ac:dyDescent="0.25">
      <c r="B2" s="2" t="s">
        <v>47</v>
      </c>
    </row>
    <row r="3" spans="2:36" x14ac:dyDescent="0.25">
      <c r="B3" s="2" t="s">
        <v>101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48</v>
      </c>
      <c r="D7" s="1" t="s">
        <v>49</v>
      </c>
      <c r="E7" s="3"/>
      <c r="F7" s="3"/>
      <c r="G7" s="3"/>
      <c r="H7" s="3"/>
      <c r="J7" s="1" t="s">
        <v>50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41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11.3</v>
      </c>
      <c r="X7" s="12">
        <f t="shared" ref="X7:X41" si="1">U7*W7</f>
        <v>0</v>
      </c>
      <c r="Y7" s="26">
        <f>Q7</f>
        <v>0</v>
      </c>
      <c r="Z7" s="12">
        <f t="shared" ref="Z7:Z41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:AC41" si="3">+Y7*AB7*R7</f>
        <v>0</v>
      </c>
      <c r="AD7" s="12">
        <f t="shared" ref="AD7:AD41" si="4">+AC7-X7</f>
        <v>0</v>
      </c>
      <c r="AE7" s="13">
        <f t="shared" ref="AE7:AE41" si="5">IFERROR(AD7/AC7,0)</f>
        <v>0</v>
      </c>
    </row>
    <row r="8" spans="2:36" x14ac:dyDescent="0.25">
      <c r="B8" s="4"/>
      <c r="C8" s="1" t="s">
        <v>48</v>
      </c>
      <c r="D8" s="1" t="s">
        <v>87</v>
      </c>
      <c r="E8" s="3"/>
      <c r="F8" s="3"/>
      <c r="G8" s="24"/>
      <c r="H8" s="24"/>
      <c r="J8" s="1" t="s">
        <v>90</v>
      </c>
      <c r="K8" s="4"/>
      <c r="L8" s="4"/>
      <c r="M8" s="4"/>
      <c r="N8" s="4"/>
      <c r="O8" s="4"/>
      <c r="P8" s="27"/>
      <c r="Q8" s="25">
        <v>160</v>
      </c>
      <c r="R8" s="25">
        <v>1</v>
      </c>
      <c r="S8" s="12">
        <f t="shared" si="0"/>
        <v>160</v>
      </c>
      <c r="T8" s="5">
        <v>0</v>
      </c>
      <c r="U8" s="12">
        <f t="shared" ref="U8:U41" si="6">S8*(1-T8)</f>
        <v>160</v>
      </c>
      <c r="V8" s="25" t="s">
        <v>10</v>
      </c>
      <c r="W8" s="11">
        <f>IFERROR(VLOOKUP(V8,Curr!$B$2:$C$13,2,FALSE),0)</f>
        <v>11.3</v>
      </c>
      <c r="X8" s="12">
        <f t="shared" si="1"/>
        <v>1808</v>
      </c>
      <c r="Y8" s="26">
        <f>Q8/0.8</f>
        <v>200</v>
      </c>
      <c r="Z8" s="12">
        <f t="shared" si="2"/>
        <v>200</v>
      </c>
      <c r="AA8" s="4" t="s">
        <v>10</v>
      </c>
      <c r="AB8" s="11">
        <f>IFERROR(VLOOKUP(AA8,Curr!$B$2:$C$13,2,FALSE),0)</f>
        <v>11.3</v>
      </c>
      <c r="AC8" s="12">
        <f t="shared" si="3"/>
        <v>2260</v>
      </c>
      <c r="AD8" s="12">
        <f t="shared" si="4"/>
        <v>452</v>
      </c>
      <c r="AE8" s="13">
        <f t="shared" si="5"/>
        <v>0.2</v>
      </c>
    </row>
    <row r="9" spans="2:36" x14ac:dyDescent="0.25">
      <c r="B9" s="4"/>
      <c r="C9" s="1" t="s">
        <v>48</v>
      </c>
      <c r="D9" s="1" t="s">
        <v>64</v>
      </c>
      <c r="E9" s="3"/>
      <c r="F9" s="3"/>
      <c r="G9" s="24"/>
      <c r="H9" s="24"/>
      <c r="J9" s="1" t="s">
        <v>104</v>
      </c>
      <c r="K9" s="4"/>
      <c r="L9" s="4"/>
      <c r="M9" s="4"/>
      <c r="N9" s="4"/>
      <c r="O9" s="4"/>
      <c r="P9" s="33"/>
      <c r="Q9" s="25">
        <v>500</v>
      </c>
      <c r="R9" s="25">
        <v>1</v>
      </c>
      <c r="S9" s="12">
        <f t="shared" si="0"/>
        <v>500</v>
      </c>
      <c r="T9" s="5">
        <v>0</v>
      </c>
      <c r="U9" s="12">
        <f t="shared" si="6"/>
        <v>500</v>
      </c>
      <c r="V9" s="25" t="s">
        <v>10</v>
      </c>
      <c r="W9" s="11">
        <f>IFERROR(VLOOKUP(V9,Curr!$B$2:$C$13,2,FALSE),0)</f>
        <v>11.3</v>
      </c>
      <c r="X9" s="12">
        <f t="shared" si="1"/>
        <v>5650</v>
      </c>
      <c r="Y9" s="26">
        <f>Q9/0.8</f>
        <v>625</v>
      </c>
      <c r="Z9" s="12">
        <f t="shared" si="2"/>
        <v>625</v>
      </c>
      <c r="AA9" s="4" t="s">
        <v>10</v>
      </c>
      <c r="AB9" s="11">
        <f>IFERROR(VLOOKUP(AA9,Curr!$B$2:$C$13,2,FALSE),0)</f>
        <v>11.3</v>
      </c>
      <c r="AC9" s="12">
        <f t="shared" si="3"/>
        <v>7062.5</v>
      </c>
      <c r="AD9" s="12">
        <f t="shared" si="4"/>
        <v>1412.5</v>
      </c>
      <c r="AE9" s="13">
        <f t="shared" si="5"/>
        <v>0.2</v>
      </c>
    </row>
    <row r="10" spans="2:36" x14ac:dyDescent="0.25">
      <c r="B10" s="4"/>
      <c r="C10" s="1" t="s">
        <v>48</v>
      </c>
      <c r="D10" s="1" t="s">
        <v>55</v>
      </c>
      <c r="E10" s="3"/>
      <c r="F10" s="3"/>
      <c r="G10" s="24"/>
      <c r="H10" s="24"/>
      <c r="J10" s="1" t="s">
        <v>56</v>
      </c>
      <c r="K10" s="4"/>
      <c r="L10" s="4"/>
      <c r="M10" s="4"/>
      <c r="N10" s="4"/>
      <c r="O10" s="4"/>
      <c r="P10" s="33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11.3</v>
      </c>
      <c r="X10" s="12">
        <f t="shared" si="1"/>
        <v>0</v>
      </c>
      <c r="Y10" s="26">
        <f t="shared" ref="Y10:Y4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11.3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11.3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11.3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57</v>
      </c>
      <c r="D12" s="1" t="s">
        <v>88</v>
      </c>
      <c r="E12" s="3"/>
      <c r="F12" s="3"/>
      <c r="G12" s="24"/>
      <c r="H12" s="24"/>
      <c r="J12" s="1" t="s">
        <v>109</v>
      </c>
      <c r="K12" s="4"/>
      <c r="L12" s="4"/>
      <c r="M12" s="4"/>
      <c r="N12" s="4"/>
      <c r="O12" s="4"/>
      <c r="P12" s="33" t="s">
        <v>110</v>
      </c>
      <c r="Q12" s="25">
        <v>55</v>
      </c>
      <c r="R12" s="25">
        <v>4</v>
      </c>
      <c r="S12" s="12">
        <f t="shared" si="0"/>
        <v>220</v>
      </c>
      <c r="T12" s="5">
        <v>0.2</v>
      </c>
      <c r="U12" s="12">
        <f t="shared" si="6"/>
        <v>176</v>
      </c>
      <c r="V12" s="25" t="s">
        <v>10</v>
      </c>
      <c r="W12" s="11">
        <f>IFERROR(VLOOKUP(V12,Curr!$B$2:$C$13,2,FALSE),0)</f>
        <v>11.3</v>
      </c>
      <c r="X12" s="12">
        <f t="shared" si="1"/>
        <v>1988.8000000000002</v>
      </c>
      <c r="Y12" s="26">
        <f t="shared" si="7"/>
        <v>55</v>
      </c>
      <c r="Z12" s="12">
        <f t="shared" si="2"/>
        <v>220</v>
      </c>
      <c r="AA12" s="4" t="s">
        <v>10</v>
      </c>
      <c r="AB12" s="11">
        <f>IFERROR(VLOOKUP(AA12,Curr!$B$2:$C$13,2,FALSE),0)</f>
        <v>11.3</v>
      </c>
      <c r="AC12" s="12">
        <f t="shared" si="3"/>
        <v>2486</v>
      </c>
      <c r="AD12" s="12">
        <f t="shared" si="4"/>
        <v>497.19999999999982</v>
      </c>
      <c r="AE12" s="13">
        <f t="shared" si="5"/>
        <v>0.19999999999999993</v>
      </c>
    </row>
    <row r="13" spans="2:36" x14ac:dyDescent="0.25">
      <c r="B13" s="4"/>
      <c r="C13" s="1" t="s">
        <v>57</v>
      </c>
      <c r="D13" s="1" t="s">
        <v>55</v>
      </c>
      <c r="E13" s="3"/>
      <c r="F13" s="3"/>
      <c r="G13" s="24"/>
      <c r="H13" s="24"/>
      <c r="J13" s="1" t="s">
        <v>56</v>
      </c>
      <c r="K13" s="4"/>
      <c r="L13" s="4"/>
      <c r="M13" s="4"/>
      <c r="N13" s="4"/>
      <c r="O13" s="4"/>
      <c r="P13" s="33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11.3</v>
      </c>
      <c r="X13" s="12">
        <f t="shared" si="1"/>
        <v>0</v>
      </c>
      <c r="Y13" s="26">
        <f t="shared" si="7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11.3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27"/>
      <c r="Q14" s="25"/>
      <c r="R14" s="25"/>
      <c r="S14" s="12">
        <f t="shared" si="0"/>
        <v>0</v>
      </c>
      <c r="T14" s="5">
        <v>0</v>
      </c>
      <c r="U14" s="12">
        <f t="shared" si="6"/>
        <v>0</v>
      </c>
      <c r="V14" s="25" t="s">
        <v>10</v>
      </c>
      <c r="W14" s="11">
        <f>IFERROR(VLOOKUP(V14,Curr!$B$2:$C$13,2,FALSE),0)</f>
        <v>11.3</v>
      </c>
      <c r="X14" s="12">
        <f t="shared" si="1"/>
        <v>0</v>
      </c>
      <c r="Y14" s="26">
        <f t="shared" si="7"/>
        <v>0</v>
      </c>
      <c r="Z14" s="12">
        <f t="shared" si="2"/>
        <v>0</v>
      </c>
      <c r="AA14" s="4" t="s">
        <v>10</v>
      </c>
      <c r="AB14" s="11">
        <f>IFERROR(VLOOKUP(AA14,Curr!$B$2:$C$13,2,FALSE),0)</f>
        <v>11.3</v>
      </c>
      <c r="AC14" s="12">
        <f t="shared" si="3"/>
        <v>0</v>
      </c>
      <c r="AD14" s="12">
        <f t="shared" si="4"/>
        <v>0</v>
      </c>
      <c r="AE14" s="13">
        <f t="shared" si="5"/>
        <v>0</v>
      </c>
    </row>
    <row r="15" spans="2:36" x14ac:dyDescent="0.25">
      <c r="B15" s="4"/>
      <c r="C15" s="1" t="s">
        <v>67</v>
      </c>
      <c r="D15" s="1" t="s">
        <v>87</v>
      </c>
      <c r="E15" s="3"/>
      <c r="F15" s="3"/>
      <c r="G15" s="24"/>
      <c r="H15" s="24"/>
      <c r="J15" s="1" t="s">
        <v>105</v>
      </c>
      <c r="K15" s="4"/>
      <c r="L15" s="4"/>
      <c r="M15" s="4"/>
      <c r="N15" s="4"/>
      <c r="O15" s="4"/>
      <c r="P15" s="33"/>
      <c r="Q15" s="25">
        <v>0</v>
      </c>
      <c r="R15" s="25">
        <v>0</v>
      </c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11.3</v>
      </c>
      <c r="X15" s="12">
        <f t="shared" si="1"/>
        <v>0</v>
      </c>
      <c r="Y15" s="26">
        <f t="shared" si="7"/>
        <v>0</v>
      </c>
      <c r="Z15" s="12">
        <f t="shared" si="2"/>
        <v>0</v>
      </c>
      <c r="AA15" s="4" t="s">
        <v>10</v>
      </c>
      <c r="AB15" s="11">
        <f>IFERROR(VLOOKUP(AA15,Curr!$B$2:$C$13,2,FALSE),0)</f>
        <v>11.3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67</v>
      </c>
      <c r="D16" s="1" t="s">
        <v>96</v>
      </c>
      <c r="E16" s="3"/>
      <c r="F16" s="3"/>
      <c r="G16" s="24"/>
      <c r="H16" s="24"/>
      <c r="J16" s="1" t="s">
        <v>127</v>
      </c>
      <c r="K16" s="4"/>
      <c r="L16" s="4"/>
      <c r="M16" s="4"/>
      <c r="N16" s="4"/>
      <c r="O16" s="4"/>
      <c r="P16" s="27"/>
      <c r="Q16" s="25">
        <v>1500</v>
      </c>
      <c r="R16" s="25">
        <v>1</v>
      </c>
      <c r="S16" s="12">
        <f t="shared" si="0"/>
        <v>1500</v>
      </c>
      <c r="T16" s="5">
        <v>0</v>
      </c>
      <c r="U16" s="12">
        <f t="shared" si="6"/>
        <v>1500</v>
      </c>
      <c r="V16" s="25" t="s">
        <v>8</v>
      </c>
      <c r="W16" s="11">
        <f>IFERROR(VLOOKUP(V16,Curr!$B$2:$C$13,2,FALSE),0)</f>
        <v>1</v>
      </c>
      <c r="X16" s="12">
        <f t="shared" si="1"/>
        <v>1500</v>
      </c>
      <c r="Y16" s="26">
        <f>Q16/11/0.7</f>
        <v>194.80519480519484</v>
      </c>
      <c r="Z16" s="12">
        <f t="shared" si="2"/>
        <v>194.80519480519484</v>
      </c>
      <c r="AA16" s="4" t="s">
        <v>10</v>
      </c>
      <c r="AB16" s="11">
        <f>IFERROR(VLOOKUP(AA16,Curr!$B$2:$C$13,2,FALSE),0)</f>
        <v>11.3</v>
      </c>
      <c r="AC16" s="12">
        <f t="shared" si="3"/>
        <v>2201.2987012987019</v>
      </c>
      <c r="AD16" s="12">
        <f t="shared" si="4"/>
        <v>701.29870129870187</v>
      </c>
      <c r="AE16" s="13">
        <f t="shared" si="5"/>
        <v>0.31858407079646034</v>
      </c>
    </row>
    <row r="17" spans="2:31" x14ac:dyDescent="0.25">
      <c r="B17" s="4"/>
      <c r="C17" s="1" t="s">
        <v>67</v>
      </c>
      <c r="D17" s="1" t="s">
        <v>87</v>
      </c>
      <c r="E17" s="3"/>
      <c r="F17" s="3"/>
      <c r="G17" s="24"/>
      <c r="H17" s="24"/>
      <c r="J17" s="1" t="s">
        <v>106</v>
      </c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0"/>
        <v>0</v>
      </c>
      <c r="T17" s="5">
        <v>0</v>
      </c>
      <c r="U17" s="12">
        <f t="shared" si="6"/>
        <v>0</v>
      </c>
      <c r="V17" s="25" t="s">
        <v>10</v>
      </c>
      <c r="W17" s="11">
        <f>IFERROR(VLOOKUP(V17,Curr!$B$2:$C$13,2,FALSE),0)</f>
        <v>11.3</v>
      </c>
      <c r="X17" s="12">
        <f t="shared" si="1"/>
        <v>0</v>
      </c>
      <c r="Y17" s="26">
        <f t="shared" si="7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11.3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1" x14ac:dyDescent="0.25">
      <c r="B18" s="4"/>
      <c r="C18" s="1" t="s">
        <v>67</v>
      </c>
      <c r="D18" s="1" t="s">
        <v>98</v>
      </c>
      <c r="E18" s="3"/>
      <c r="F18" s="3"/>
      <c r="G18" s="24"/>
      <c r="H18" s="24"/>
      <c r="J18" s="1" t="s">
        <v>107</v>
      </c>
      <c r="K18" s="4"/>
      <c r="L18" s="4"/>
      <c r="M18" s="4"/>
      <c r="N18" s="4"/>
      <c r="O18" s="4"/>
      <c r="P18" s="29"/>
      <c r="Q18" s="25">
        <v>0</v>
      </c>
      <c r="R18" s="25">
        <v>0</v>
      </c>
      <c r="S18" s="12">
        <f t="shared" si="0"/>
        <v>0</v>
      </c>
      <c r="T18" s="5">
        <v>0</v>
      </c>
      <c r="U18" s="12">
        <f t="shared" si="6"/>
        <v>0</v>
      </c>
      <c r="V18" s="25" t="s">
        <v>10</v>
      </c>
      <c r="W18" s="11">
        <f>IFERROR(VLOOKUP(V18,Curr!$B$2:$C$13,2,FALSE),0)</f>
        <v>11.3</v>
      </c>
      <c r="X18" s="12">
        <f t="shared" si="1"/>
        <v>0</v>
      </c>
      <c r="Y18" s="26">
        <f t="shared" si="7"/>
        <v>0</v>
      </c>
      <c r="Z18" s="12">
        <f t="shared" si="2"/>
        <v>0</v>
      </c>
      <c r="AA18" s="4" t="s">
        <v>10</v>
      </c>
      <c r="AB18" s="11">
        <f>IFERROR(VLOOKUP(AA18,Curr!$B$2:$C$13,2,FALSE),0)</f>
        <v>11.3</v>
      </c>
      <c r="AC18" s="12">
        <f t="shared" si="3"/>
        <v>0</v>
      </c>
      <c r="AD18" s="12">
        <f t="shared" si="4"/>
        <v>0</v>
      </c>
      <c r="AE18" s="13">
        <f t="shared" si="5"/>
        <v>0</v>
      </c>
    </row>
    <row r="19" spans="2:31" x14ac:dyDescent="0.25">
      <c r="B19" s="4"/>
      <c r="C19" s="1" t="s">
        <v>67</v>
      </c>
      <c r="D19" s="1" t="s">
        <v>87</v>
      </c>
      <c r="E19" s="3"/>
      <c r="F19" s="3"/>
      <c r="G19" s="24"/>
      <c r="H19" s="24"/>
      <c r="J19" s="1" t="s">
        <v>103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11.3</v>
      </c>
      <c r="X19" s="12">
        <f t="shared" si="1"/>
        <v>0</v>
      </c>
      <c r="Y19" s="26">
        <f t="shared" si="7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11.3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C20" s="1" t="s">
        <v>67</v>
      </c>
      <c r="D20" s="1" t="s">
        <v>64</v>
      </c>
      <c r="E20" s="3"/>
      <c r="F20" s="3"/>
      <c r="G20" s="24"/>
      <c r="H20" s="24"/>
      <c r="J20" s="1" t="s">
        <v>102</v>
      </c>
      <c r="K20" s="4"/>
      <c r="L20" s="4"/>
      <c r="M20" s="4"/>
      <c r="N20" s="4"/>
      <c r="O20" s="4"/>
      <c r="P20" s="27"/>
      <c r="Q20" s="25">
        <v>11500</v>
      </c>
      <c r="R20" s="25">
        <v>1</v>
      </c>
      <c r="S20" s="12">
        <f t="shared" si="0"/>
        <v>11500</v>
      </c>
      <c r="T20" s="5">
        <v>0</v>
      </c>
      <c r="U20" s="12">
        <f t="shared" si="6"/>
        <v>11500</v>
      </c>
      <c r="V20" s="25" t="s">
        <v>8</v>
      </c>
      <c r="W20" s="11">
        <f>IFERROR(VLOOKUP(V20,Curr!$B$2:$C$13,2,FALSE),0)</f>
        <v>1</v>
      </c>
      <c r="X20" s="12">
        <f t="shared" si="1"/>
        <v>11500</v>
      </c>
      <c r="Y20" s="26">
        <f>Q20/11/0.7</f>
        <v>1493.5064935064936</v>
      </c>
      <c r="Z20" s="12">
        <f t="shared" si="2"/>
        <v>1493.5064935064936</v>
      </c>
      <c r="AA20" s="4" t="s">
        <v>10</v>
      </c>
      <c r="AB20" s="11">
        <f>IFERROR(VLOOKUP(AA20,Curr!$B$2:$C$13,2,FALSE),0)</f>
        <v>11.3</v>
      </c>
      <c r="AC20" s="12">
        <f t="shared" si="3"/>
        <v>16876.623376623378</v>
      </c>
      <c r="AD20" s="12">
        <f t="shared" si="4"/>
        <v>5376.6233766233781</v>
      </c>
      <c r="AE20" s="13">
        <f t="shared" si="5"/>
        <v>0.31858407079646023</v>
      </c>
    </row>
    <row r="21" spans="2:31" x14ac:dyDescent="0.25">
      <c r="B21" s="4"/>
      <c r="C21" s="1" t="s">
        <v>67</v>
      </c>
      <c r="D21" s="1" t="s">
        <v>88</v>
      </c>
      <c r="E21" s="3"/>
      <c r="F21" s="3"/>
      <c r="G21" s="24"/>
      <c r="H21" s="24"/>
      <c r="J21" s="1" t="s">
        <v>99</v>
      </c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0"/>
        <v>0</v>
      </c>
      <c r="T21" s="5">
        <v>0</v>
      </c>
      <c r="U21" s="12">
        <f t="shared" si="6"/>
        <v>0</v>
      </c>
      <c r="V21" s="25" t="s">
        <v>10</v>
      </c>
      <c r="W21" s="11">
        <f>IFERROR(VLOOKUP(V21,Curr!$B$2:$C$13,2,FALSE),0)</f>
        <v>11.3</v>
      </c>
      <c r="X21" s="12">
        <f t="shared" si="1"/>
        <v>0</v>
      </c>
      <c r="Y21" s="26">
        <f t="shared" si="7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11.3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/>
      <c r="R22" s="25"/>
      <c r="S22" s="12">
        <f t="shared" si="0"/>
        <v>0</v>
      </c>
      <c r="T22" s="5">
        <v>0</v>
      </c>
      <c r="U22" s="12">
        <f t="shared" si="6"/>
        <v>0</v>
      </c>
      <c r="V22" s="25" t="s">
        <v>10</v>
      </c>
      <c r="W22" s="11">
        <f>IFERROR(VLOOKUP(V22,Curr!$B$2:$C$13,2,FALSE),0)</f>
        <v>11.3</v>
      </c>
      <c r="X22" s="12">
        <f t="shared" si="1"/>
        <v>0</v>
      </c>
      <c r="Y22" s="26">
        <f t="shared" si="7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11.3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1" x14ac:dyDescent="0.25">
      <c r="B23" s="4"/>
      <c r="C23" s="1" t="s">
        <v>71</v>
      </c>
      <c r="D23" s="1" t="s">
        <v>88</v>
      </c>
      <c r="E23" s="3"/>
      <c r="F23" s="3"/>
      <c r="G23" s="24"/>
      <c r="H23" s="24"/>
      <c r="J23" s="1" t="s">
        <v>99</v>
      </c>
      <c r="K23" s="4"/>
      <c r="L23" s="4"/>
      <c r="M23" s="4"/>
      <c r="N23" s="4"/>
      <c r="O23" s="4"/>
      <c r="P23" s="33"/>
      <c r="Q23" s="25">
        <v>0</v>
      </c>
      <c r="R23" s="25">
        <v>0</v>
      </c>
      <c r="S23" s="12">
        <f t="shared" si="0"/>
        <v>0</v>
      </c>
      <c r="T23" s="5">
        <v>0</v>
      </c>
      <c r="U23" s="12">
        <f t="shared" si="6"/>
        <v>0</v>
      </c>
      <c r="V23" s="25" t="s">
        <v>10</v>
      </c>
      <c r="W23" s="11">
        <f>IFERROR(VLOOKUP(V23,Curr!$B$2:$C$13,2,FALSE),0)</f>
        <v>11.3</v>
      </c>
      <c r="X23" s="12">
        <f t="shared" si="1"/>
        <v>0</v>
      </c>
      <c r="Y23" s="26">
        <f t="shared" si="7"/>
        <v>0</v>
      </c>
      <c r="Z23" s="12">
        <f t="shared" si="2"/>
        <v>0</v>
      </c>
      <c r="AA23" s="4" t="s">
        <v>10</v>
      </c>
      <c r="AB23" s="11">
        <f>IFERROR(VLOOKUP(AA23,Curr!$B$2:$C$13,2,FALSE),0)</f>
        <v>11.3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C24" s="1" t="s">
        <v>71</v>
      </c>
      <c r="D24" s="1" t="s">
        <v>55</v>
      </c>
      <c r="E24" s="3"/>
      <c r="F24" s="3"/>
      <c r="G24" s="24"/>
      <c r="H24" s="24"/>
      <c r="J24" s="1" t="s">
        <v>100</v>
      </c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IFERROR(VLOOKUP(V24,Curr!$B$2:$C$13,2,FALSE),0)</f>
        <v>11.3</v>
      </c>
      <c r="X24" s="12">
        <f t="shared" si="1"/>
        <v>0</v>
      </c>
      <c r="Y24" s="26">
        <f t="shared" si="7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11.3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/>
      <c r="R25" s="25"/>
      <c r="S25" s="12">
        <f t="shared" si="0"/>
        <v>0</v>
      </c>
      <c r="T25" s="5">
        <v>0</v>
      </c>
      <c r="U25" s="12">
        <f t="shared" si="6"/>
        <v>0</v>
      </c>
      <c r="V25" s="25" t="s">
        <v>10</v>
      </c>
      <c r="W25" s="11">
        <f>IFERROR(VLOOKUP(V25,Curr!$B$2:$C$13,2,FALSE),0)</f>
        <v>11.3</v>
      </c>
      <c r="X25" s="12">
        <f t="shared" si="1"/>
        <v>0</v>
      </c>
      <c r="Y25" s="26">
        <f t="shared" si="7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11.3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C26" s="1" t="s">
        <v>75</v>
      </c>
      <c r="D26" s="1" t="s">
        <v>87</v>
      </c>
      <c r="E26" s="3"/>
      <c r="F26" s="3"/>
      <c r="G26" s="24"/>
      <c r="H26" s="24"/>
      <c r="J26" s="1" t="s">
        <v>108</v>
      </c>
      <c r="K26" s="4"/>
      <c r="L26" s="4"/>
      <c r="M26" s="4"/>
      <c r="N26" s="4"/>
      <c r="O26" s="4"/>
      <c r="P26" s="27"/>
      <c r="Q26" s="25">
        <v>0</v>
      </c>
      <c r="R26" s="25">
        <v>0</v>
      </c>
      <c r="S26" s="12">
        <f t="shared" si="0"/>
        <v>0</v>
      </c>
      <c r="T26" s="5">
        <v>0</v>
      </c>
      <c r="U26" s="12">
        <f t="shared" si="6"/>
        <v>0</v>
      </c>
      <c r="V26" s="25" t="s">
        <v>10</v>
      </c>
      <c r="W26" s="11">
        <f>IFERROR(VLOOKUP(V26,Curr!$B$2:$C$13,2,FALSE),0)</f>
        <v>11.3</v>
      </c>
      <c r="X26" s="12">
        <f t="shared" si="1"/>
        <v>0</v>
      </c>
      <c r="Y26" s="26">
        <f t="shared" si="7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11.3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1" x14ac:dyDescent="0.25">
      <c r="B27" s="4"/>
      <c r="C27" s="1" t="s">
        <v>75</v>
      </c>
      <c r="D27" s="1" t="s">
        <v>76</v>
      </c>
      <c r="E27" s="3"/>
      <c r="F27" s="3"/>
      <c r="G27" s="24"/>
      <c r="H27" s="24"/>
      <c r="J27" s="1" t="s">
        <v>97</v>
      </c>
      <c r="K27" s="4"/>
      <c r="L27" s="4"/>
      <c r="M27" s="4"/>
      <c r="N27" s="4"/>
      <c r="O27" s="4"/>
      <c r="P27" s="33"/>
      <c r="Q27" s="25">
        <v>0</v>
      </c>
      <c r="R27" s="25">
        <v>0</v>
      </c>
      <c r="S27" s="12">
        <f t="shared" si="0"/>
        <v>0</v>
      </c>
      <c r="T27" s="5">
        <v>0</v>
      </c>
      <c r="U27" s="12">
        <f t="shared" si="6"/>
        <v>0</v>
      </c>
      <c r="V27" s="25" t="s">
        <v>10</v>
      </c>
      <c r="W27" s="11">
        <f>IFERROR(VLOOKUP(V27,Curr!$B$2:$C$13,2,FALSE),0)</f>
        <v>11.3</v>
      </c>
      <c r="X27" s="12">
        <f t="shared" si="1"/>
        <v>0</v>
      </c>
      <c r="Y27" s="26">
        <f t="shared" si="7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11.3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27"/>
      <c r="Q28" s="25"/>
      <c r="R28" s="25"/>
      <c r="S28" s="12">
        <f t="shared" si="0"/>
        <v>0</v>
      </c>
      <c r="T28" s="5">
        <v>0</v>
      </c>
      <c r="U28" s="12">
        <f t="shared" si="6"/>
        <v>0</v>
      </c>
      <c r="V28" s="25" t="s">
        <v>10</v>
      </c>
      <c r="W28" s="11">
        <f>IFERROR(VLOOKUP(V28,Curr!$B$2:$C$13,2,FALSE),0)</f>
        <v>11.3</v>
      </c>
      <c r="X28" s="12">
        <f t="shared" si="1"/>
        <v>0</v>
      </c>
      <c r="Y28" s="26">
        <f t="shared" si="7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11.3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33"/>
      <c r="Q29" s="25"/>
      <c r="R29" s="25"/>
      <c r="S29" s="12">
        <f t="shared" si="0"/>
        <v>0</v>
      </c>
      <c r="T29" s="5">
        <v>0</v>
      </c>
      <c r="U29" s="12">
        <f t="shared" si="6"/>
        <v>0</v>
      </c>
      <c r="V29" s="25" t="s">
        <v>10</v>
      </c>
      <c r="W29" s="11">
        <f>IFERROR(VLOOKUP(V29,Curr!$B$2:$C$13,2,FALSE),0)</f>
        <v>11.3</v>
      </c>
      <c r="X29" s="12">
        <f t="shared" si="1"/>
        <v>0</v>
      </c>
      <c r="Y29" s="26">
        <f t="shared" si="7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11.3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29"/>
      <c r="Q30" s="25"/>
      <c r="R30" s="25"/>
      <c r="S30" s="12">
        <f t="shared" si="0"/>
        <v>0</v>
      </c>
      <c r="T30" s="5">
        <v>0</v>
      </c>
      <c r="U30" s="12">
        <f t="shared" si="6"/>
        <v>0</v>
      </c>
      <c r="V30" s="25" t="s">
        <v>10</v>
      </c>
      <c r="W30" s="11">
        <f>IFERROR(VLOOKUP(V30,Curr!$B$2:$C$13,2,FALSE),0)</f>
        <v>11.3</v>
      </c>
      <c r="X30" s="12">
        <f t="shared" si="1"/>
        <v>0</v>
      </c>
      <c r="Y30" s="26">
        <f t="shared" si="7"/>
        <v>0</v>
      </c>
      <c r="Z30" s="12">
        <f t="shared" si="2"/>
        <v>0</v>
      </c>
      <c r="AA30" s="4" t="s">
        <v>10</v>
      </c>
      <c r="AB30" s="11">
        <f>IFERROR(VLOOKUP(AA30,Curr!$B$2:$C$13,2,FALSE),0)</f>
        <v>11.3</v>
      </c>
      <c r="AC30" s="12">
        <f t="shared" si="3"/>
        <v>0</v>
      </c>
      <c r="AD30" s="12">
        <f t="shared" si="4"/>
        <v>0</v>
      </c>
      <c r="AE30" s="13">
        <f t="shared" si="5"/>
        <v>0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33"/>
      <c r="Q31" s="25"/>
      <c r="R31" s="25"/>
      <c r="S31" s="12">
        <f t="shared" si="0"/>
        <v>0</v>
      </c>
      <c r="T31" s="5">
        <v>0</v>
      </c>
      <c r="U31" s="12">
        <f t="shared" si="6"/>
        <v>0</v>
      </c>
      <c r="V31" s="25" t="s">
        <v>10</v>
      </c>
      <c r="W31" s="11">
        <f>IFERROR(VLOOKUP(V31,Curr!$B$2:$C$13,2,FALSE),0)</f>
        <v>11.3</v>
      </c>
      <c r="X31" s="12">
        <f t="shared" si="1"/>
        <v>0</v>
      </c>
      <c r="Y31" s="26">
        <f t="shared" si="7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11.3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/>
      <c r="R32" s="25"/>
      <c r="S32" s="12">
        <f t="shared" si="0"/>
        <v>0</v>
      </c>
      <c r="T32" s="5">
        <v>0</v>
      </c>
      <c r="U32" s="12">
        <f t="shared" si="6"/>
        <v>0</v>
      </c>
      <c r="V32" s="25" t="s">
        <v>10</v>
      </c>
      <c r="W32" s="11">
        <f>IFERROR(VLOOKUP(V32,Curr!$B$2:$C$13,2,FALSE),0)</f>
        <v>11.3</v>
      </c>
      <c r="X32" s="12">
        <f t="shared" si="1"/>
        <v>0</v>
      </c>
      <c r="Y32" s="26">
        <f t="shared" si="7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11.3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6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/>
      <c r="R33" s="25"/>
      <c r="S33" s="12">
        <f t="shared" si="0"/>
        <v>0</v>
      </c>
      <c r="T33" s="5">
        <v>0</v>
      </c>
      <c r="U33" s="12">
        <f t="shared" si="6"/>
        <v>0</v>
      </c>
      <c r="V33" s="25" t="s">
        <v>10</v>
      </c>
      <c r="W33" s="11">
        <f>IFERROR(VLOOKUP(V33,Curr!$B$2:$C$13,2,FALSE),0)</f>
        <v>11.3</v>
      </c>
      <c r="X33" s="12">
        <f t="shared" si="1"/>
        <v>0</v>
      </c>
      <c r="Y33" s="26">
        <f t="shared" si="7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11.3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6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27"/>
      <c r="Q34" s="25"/>
      <c r="R34" s="25"/>
      <c r="S34" s="12">
        <f t="shared" si="0"/>
        <v>0</v>
      </c>
      <c r="T34" s="5">
        <v>0</v>
      </c>
      <c r="U34" s="12">
        <f t="shared" si="6"/>
        <v>0</v>
      </c>
      <c r="V34" s="25" t="s">
        <v>10</v>
      </c>
      <c r="W34" s="11">
        <f>IFERROR(VLOOKUP(V34,Curr!$B$2:$C$13,2,FALSE),0)</f>
        <v>11.3</v>
      </c>
      <c r="X34" s="12">
        <f t="shared" si="1"/>
        <v>0</v>
      </c>
      <c r="Y34" s="26">
        <f t="shared" si="7"/>
        <v>0</v>
      </c>
      <c r="Z34" s="12">
        <f t="shared" si="2"/>
        <v>0</v>
      </c>
      <c r="AA34" s="4" t="s">
        <v>10</v>
      </c>
      <c r="AB34" s="11">
        <f>IFERROR(VLOOKUP(AA34,Curr!$B$2:$C$13,2,FALSE),0)</f>
        <v>11.3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6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/>
      <c r="R35" s="25"/>
      <c r="S35" s="12">
        <f t="shared" si="0"/>
        <v>0</v>
      </c>
      <c r="T35" s="5">
        <v>0</v>
      </c>
      <c r="U35" s="12">
        <f t="shared" si="6"/>
        <v>0</v>
      </c>
      <c r="V35" s="25" t="s">
        <v>10</v>
      </c>
      <c r="W35" s="11">
        <f>IFERROR(VLOOKUP(V35,Curr!$B$2:$C$13,2,FALSE),0)</f>
        <v>11.3</v>
      </c>
      <c r="X35" s="12">
        <f t="shared" si="1"/>
        <v>0</v>
      </c>
      <c r="Y35" s="26">
        <f t="shared" si="7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11.3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6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27"/>
      <c r="Q36" s="25"/>
      <c r="R36" s="25"/>
      <c r="S36" s="12">
        <f t="shared" si="0"/>
        <v>0</v>
      </c>
      <c r="T36" s="5">
        <v>0</v>
      </c>
      <c r="U36" s="12">
        <f t="shared" si="6"/>
        <v>0</v>
      </c>
      <c r="V36" s="25" t="s">
        <v>10</v>
      </c>
      <c r="W36" s="11">
        <f>IFERROR(VLOOKUP(V36,Curr!$B$2:$C$13,2,FALSE),0)</f>
        <v>11.3</v>
      </c>
      <c r="X36" s="12">
        <f t="shared" si="1"/>
        <v>0</v>
      </c>
      <c r="Y36" s="26">
        <f t="shared" si="7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11.3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6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/>
      <c r="R37" s="25"/>
      <c r="S37" s="12">
        <f t="shared" si="0"/>
        <v>0</v>
      </c>
      <c r="T37" s="5">
        <v>0</v>
      </c>
      <c r="U37" s="12">
        <f t="shared" si="6"/>
        <v>0</v>
      </c>
      <c r="V37" s="25" t="s">
        <v>10</v>
      </c>
      <c r="W37" s="11">
        <f>IFERROR(VLOOKUP(V37,Curr!$B$2:$C$13,2,FALSE),0)</f>
        <v>11.3</v>
      </c>
      <c r="X37" s="12">
        <f t="shared" si="1"/>
        <v>0</v>
      </c>
      <c r="Y37" s="26">
        <f t="shared" si="7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11.3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6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/>
      <c r="R38" s="25"/>
      <c r="S38" s="12">
        <f t="shared" si="0"/>
        <v>0</v>
      </c>
      <c r="T38" s="5">
        <v>0</v>
      </c>
      <c r="U38" s="12">
        <f t="shared" si="6"/>
        <v>0</v>
      </c>
      <c r="V38" s="25" t="s">
        <v>10</v>
      </c>
      <c r="W38" s="11">
        <f>IFERROR(VLOOKUP(V38,Curr!$B$2:$C$13,2,FALSE),0)</f>
        <v>11.3</v>
      </c>
      <c r="X38" s="12">
        <f t="shared" si="1"/>
        <v>0</v>
      </c>
      <c r="Y38" s="26">
        <f t="shared" si="7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11.3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6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/>
      <c r="R39" s="25"/>
      <c r="S39" s="12">
        <f t="shared" si="0"/>
        <v>0</v>
      </c>
      <c r="T39" s="5">
        <v>0</v>
      </c>
      <c r="U39" s="12">
        <f t="shared" si="6"/>
        <v>0</v>
      </c>
      <c r="V39" s="25" t="s">
        <v>10</v>
      </c>
      <c r="W39" s="11">
        <f>IFERROR(VLOOKUP(V39,Curr!$B$2:$C$13,2,FALSE),0)</f>
        <v>11.3</v>
      </c>
      <c r="X39" s="12">
        <f t="shared" si="1"/>
        <v>0</v>
      </c>
      <c r="Y39" s="26">
        <f t="shared" si="7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11.3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6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/>
      <c r="R40" s="25"/>
      <c r="S40" s="12">
        <f t="shared" si="0"/>
        <v>0</v>
      </c>
      <c r="T40" s="5">
        <v>0</v>
      </c>
      <c r="U40" s="12">
        <f t="shared" si="6"/>
        <v>0</v>
      </c>
      <c r="V40" s="25" t="s">
        <v>10</v>
      </c>
      <c r="W40" s="11">
        <f>IFERROR(VLOOKUP(V40,Curr!$B$2:$C$13,2,FALSE),0)</f>
        <v>11.3</v>
      </c>
      <c r="X40" s="12">
        <f t="shared" si="1"/>
        <v>0</v>
      </c>
      <c r="Y40" s="26">
        <f t="shared" si="7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11.3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6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/>
      <c r="R41" s="25"/>
      <c r="S41" s="12">
        <f t="shared" si="0"/>
        <v>0</v>
      </c>
      <c r="T41" s="5">
        <v>0</v>
      </c>
      <c r="U41" s="12">
        <f t="shared" si="6"/>
        <v>0</v>
      </c>
      <c r="V41" s="25" t="s">
        <v>10</v>
      </c>
      <c r="W41" s="11">
        <f>IFERROR(VLOOKUP(V41,Curr!$B$2:$C$13,2,FALSE),0)</f>
        <v>11.3</v>
      </c>
      <c r="X41" s="12">
        <f t="shared" si="1"/>
        <v>0</v>
      </c>
      <c r="Y41" s="26">
        <f t="shared" si="7"/>
        <v>0</v>
      </c>
      <c r="Z41" s="12">
        <f t="shared" si="2"/>
        <v>0</v>
      </c>
      <c r="AA41" s="4" t="s">
        <v>10</v>
      </c>
      <c r="AB41" s="11">
        <f>IFERROR(VLOOKUP(AA41,Curr!$B$2:$C$13,2,FALSE),0)</f>
        <v>11.3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6" x14ac:dyDescent="0.25">
      <c r="B42" s="4"/>
      <c r="E42" s="3"/>
      <c r="F42" s="3"/>
      <c r="G42" s="3"/>
      <c r="H42" s="3"/>
      <c r="L42" s="4"/>
      <c r="M42" s="4"/>
      <c r="N42" s="4"/>
      <c r="O42" s="4"/>
      <c r="P42" s="2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2:36" x14ac:dyDescent="0.25">
      <c r="B43" s="14" t="s">
        <v>18</v>
      </c>
      <c r="C43" s="14"/>
      <c r="D43" s="28" t="s">
        <v>42</v>
      </c>
      <c r="E43" s="30" t="s">
        <v>42</v>
      </c>
      <c r="F43" s="30" t="s">
        <v>42</v>
      </c>
      <c r="G43" s="30" t="s">
        <v>42</v>
      </c>
      <c r="H43" s="30" t="s">
        <v>42</v>
      </c>
      <c r="I43" s="28" t="s">
        <v>42</v>
      </c>
      <c r="J43" s="28" t="s">
        <v>42</v>
      </c>
      <c r="K43" s="28" t="s">
        <v>42</v>
      </c>
      <c r="L43" s="28" t="s">
        <v>42</v>
      </c>
      <c r="M43" s="28" t="s">
        <v>42</v>
      </c>
      <c r="N43" s="28" t="s">
        <v>42</v>
      </c>
      <c r="O43" s="28" t="s">
        <v>42</v>
      </c>
      <c r="P43" s="28" t="s">
        <v>42</v>
      </c>
      <c r="Q43" s="31" t="s">
        <v>42</v>
      </c>
      <c r="R43" s="28" t="s">
        <v>42</v>
      </c>
      <c r="S43" s="32" t="s">
        <v>42</v>
      </c>
      <c r="T43" s="28" t="s">
        <v>42</v>
      </c>
      <c r="U43" s="32" t="s">
        <v>42</v>
      </c>
      <c r="V43" s="28" t="s">
        <v>42</v>
      </c>
      <c r="W43" s="28" t="s">
        <v>42</v>
      </c>
      <c r="X43" s="32" t="s">
        <v>42</v>
      </c>
      <c r="Y43" s="32" t="s">
        <v>42</v>
      </c>
      <c r="Z43" s="15">
        <f>SUM(Z7:Z41)</f>
        <v>2733.3116883116882</v>
      </c>
      <c r="AA43" s="14"/>
      <c r="AB43" s="14"/>
      <c r="AC43" s="15">
        <f>SUM(AC7:AC41)</f>
        <v>30886.422077922078</v>
      </c>
      <c r="AD43" s="15">
        <f>SUM(AD7:AD41)</f>
        <v>8439.6220779220803</v>
      </c>
      <c r="AE43" s="21">
        <f t="shared" ref="AE43" si="8">IFERROR(AD43/AC43,0)</f>
        <v>0.2732469969046627</v>
      </c>
      <c r="AF43" s="15">
        <f>SUM(AF8:AF42)</f>
        <v>0</v>
      </c>
      <c r="AG43" s="15">
        <f>SUM(AG8:AG42)</f>
        <v>0</v>
      </c>
      <c r="AH43" s="15">
        <f>SUM(AH8:AH42)</f>
        <v>0</v>
      </c>
      <c r="AI43" s="15">
        <f>SUM(AI8:AI42)</f>
        <v>0</v>
      </c>
      <c r="AJ43" s="15">
        <f>SUM(AJ8:AJ42)</f>
        <v>0</v>
      </c>
    </row>
    <row r="44" spans="2:36" x14ac:dyDescent="0.25">
      <c r="B44" s="4"/>
      <c r="E44" s="3"/>
      <c r="F44" s="3"/>
      <c r="G44" s="3"/>
      <c r="H44" s="3"/>
      <c r="L44" s="4"/>
      <c r="M44" s="4"/>
      <c r="N44" s="4"/>
      <c r="O44" s="4"/>
      <c r="Q44" s="4"/>
      <c r="R44" s="4"/>
      <c r="S44" s="4"/>
      <c r="T44" s="4"/>
      <c r="U44" s="4"/>
      <c r="V44" s="4"/>
      <c r="W44" s="4"/>
      <c r="X44" s="4"/>
      <c r="Y44" s="9"/>
      <c r="Z44" s="9"/>
      <c r="AA44" s="9"/>
      <c r="AB44" s="9"/>
      <c r="AC44" s="9"/>
      <c r="AD44" s="9"/>
      <c r="AE44" s="9"/>
    </row>
    <row r="45" spans="2:36" x14ac:dyDescent="0.25">
      <c r="B45" s="4"/>
      <c r="E45" s="3"/>
      <c r="F45" s="3"/>
      <c r="G45" s="3"/>
      <c r="H45" s="3"/>
      <c r="L45" s="4"/>
      <c r="M45" s="4"/>
      <c r="N45" s="4"/>
      <c r="O45" s="4"/>
      <c r="Q45" s="9"/>
      <c r="R45" s="9"/>
      <c r="S45" s="9"/>
      <c r="T45" s="9"/>
      <c r="U45" s="9"/>
      <c r="V45" s="9"/>
      <c r="W45" s="9"/>
      <c r="X45" s="23"/>
      <c r="Y45" s="34" t="s">
        <v>45</v>
      </c>
      <c r="Z45" s="34">
        <v>2740</v>
      </c>
      <c r="AA45" s="9"/>
      <c r="AB45" s="9"/>
      <c r="AC45" s="9"/>
      <c r="AD45" s="9"/>
      <c r="AE45" s="9"/>
    </row>
    <row r="46" spans="2:36" x14ac:dyDescent="0.25">
      <c r="B46" s="4"/>
      <c r="E46" s="3"/>
      <c r="F46" s="3"/>
      <c r="G46" s="3"/>
      <c r="H46" s="3"/>
      <c r="L46" s="4"/>
      <c r="M46" s="4"/>
      <c r="N46" s="4"/>
      <c r="O46" s="4"/>
      <c r="Q46" s="9"/>
      <c r="R46" s="9"/>
      <c r="S46" s="9"/>
      <c r="T46" s="9"/>
      <c r="U46" s="9"/>
      <c r="V46" s="9"/>
      <c r="W46" s="9"/>
      <c r="X46" s="9"/>
      <c r="Y46" s="34" t="s">
        <v>46</v>
      </c>
      <c r="Z46" s="34">
        <f>Z45/2</f>
        <v>1370</v>
      </c>
      <c r="AA46" s="9"/>
      <c r="AB46" s="9"/>
      <c r="AC46" s="9"/>
      <c r="AD46" s="9"/>
      <c r="AE46" s="9"/>
      <c r="AF46" s="18"/>
    </row>
    <row r="47" spans="2:36" x14ac:dyDescent="0.25">
      <c r="B47" s="4"/>
      <c r="E47" s="3"/>
      <c r="F47" s="3"/>
      <c r="G47" s="3"/>
      <c r="H47" s="3"/>
      <c r="I47" s="19"/>
      <c r="L47" s="4"/>
      <c r="M47" s="4"/>
      <c r="N47" s="4"/>
      <c r="O47" s="20"/>
      <c r="Q47" s="20"/>
      <c r="R47" s="20"/>
      <c r="S47" s="20"/>
      <c r="T47" s="20"/>
      <c r="U47" s="20"/>
      <c r="V47" s="20"/>
      <c r="W47" s="20"/>
      <c r="X47" s="20"/>
      <c r="Y47" s="9"/>
      <c r="Z47" s="9"/>
      <c r="AA47" s="9"/>
      <c r="AB47" s="9"/>
      <c r="AC47" s="9"/>
      <c r="AD47" s="9"/>
      <c r="AE47" s="9"/>
      <c r="AF47" s="18"/>
    </row>
    <row r="48" spans="2:36" x14ac:dyDescent="0.25">
      <c r="B48" s="4"/>
      <c r="E48" s="3"/>
      <c r="F48" s="3"/>
      <c r="G48" s="3"/>
      <c r="H48" s="3"/>
      <c r="L48" s="4"/>
      <c r="M48" s="4"/>
      <c r="N48" s="4"/>
      <c r="O48" s="20"/>
      <c r="Q48" s="20"/>
      <c r="R48" s="20"/>
      <c r="S48" s="20"/>
      <c r="T48" s="20"/>
      <c r="U48" s="20"/>
      <c r="V48" s="20"/>
      <c r="W48" s="20"/>
      <c r="X48" s="20"/>
      <c r="Y48" s="35" t="s">
        <v>83</v>
      </c>
      <c r="Z48" s="9">
        <f>Z45</f>
        <v>2740</v>
      </c>
      <c r="AA48" s="9"/>
      <c r="AB48" s="9"/>
      <c r="AC48" s="9"/>
      <c r="AD48" s="9"/>
      <c r="AE48" s="9"/>
      <c r="AF48" s="18"/>
    </row>
    <row r="49" spans="2:32" x14ac:dyDescent="0.25">
      <c r="B49" s="4"/>
      <c r="E49" s="3"/>
      <c r="F49" s="3"/>
      <c r="G49" s="3"/>
      <c r="H49" s="3"/>
      <c r="L49" s="4"/>
      <c r="M49" s="4"/>
      <c r="N49" s="4"/>
      <c r="O49" s="4"/>
      <c r="Q49" s="9"/>
      <c r="R49" s="9"/>
      <c r="S49" s="9"/>
      <c r="T49" s="9"/>
      <c r="U49" s="9"/>
      <c r="V49" s="9"/>
      <c r="W49" s="9"/>
      <c r="X49" s="9"/>
      <c r="Y49" s="36" t="s">
        <v>84</v>
      </c>
      <c r="Z49" s="9">
        <f>Z48*1.15</f>
        <v>3150.9999999999995</v>
      </c>
      <c r="AA49" s="9"/>
      <c r="AB49" s="9"/>
      <c r="AC49" s="9"/>
      <c r="AD49" s="9"/>
      <c r="AE49" s="9"/>
      <c r="AF49" s="18"/>
    </row>
    <row r="50" spans="2:32" x14ac:dyDescent="0.25">
      <c r="F50" s="1"/>
      <c r="G50" s="1"/>
      <c r="H50" s="1"/>
      <c r="J50" s="1" t="s">
        <v>32</v>
      </c>
      <c r="Q50" s="9"/>
      <c r="R50" s="4"/>
      <c r="S50" s="9"/>
      <c r="T50" s="5"/>
      <c r="U50" s="9"/>
      <c r="V50" s="4"/>
      <c r="W50" s="4"/>
      <c r="X50" s="9"/>
      <c r="Y50" s="36" t="s">
        <v>111</v>
      </c>
      <c r="Z50" s="9">
        <f>Z48*1.2</f>
        <v>3288</v>
      </c>
      <c r="AA50" s="9"/>
      <c r="AB50" s="9"/>
      <c r="AC50" s="9"/>
      <c r="AD50" s="9"/>
      <c r="AE50" s="9"/>
    </row>
    <row r="51" spans="2:32" x14ac:dyDescent="0.25">
      <c r="R51" s="4"/>
      <c r="S51" s="17"/>
      <c r="T51" s="17"/>
      <c r="U51" s="9"/>
      <c r="V51" s="4"/>
      <c r="W51" s="4"/>
      <c r="X51" s="9"/>
      <c r="Y51" s="36"/>
      <c r="Z51" s="9"/>
      <c r="AA51" s="9"/>
      <c r="AB51" s="9"/>
      <c r="AC51" s="9"/>
      <c r="AD51" s="9"/>
      <c r="AE51" s="9"/>
    </row>
    <row r="52" spans="2:32" x14ac:dyDescent="0.25">
      <c r="Q52" s="9"/>
      <c r="R52" s="4"/>
      <c r="S52" s="16"/>
      <c r="T52" s="16"/>
      <c r="U52" s="9"/>
      <c r="V52" s="4"/>
      <c r="W52" s="4"/>
      <c r="X52" s="9"/>
      <c r="Y52" s="9"/>
      <c r="Z52" s="9"/>
      <c r="AA52" s="9"/>
      <c r="AB52" s="9"/>
      <c r="AC52" s="9"/>
      <c r="AD52" s="9"/>
      <c r="AE52" s="9"/>
    </row>
    <row r="53" spans="2:32" x14ac:dyDescent="0.25">
      <c r="R53" s="4"/>
      <c r="S53" s="16"/>
      <c r="T53" s="16"/>
      <c r="Y53" s="9"/>
      <c r="Z53" s="9"/>
      <c r="AA53" s="9"/>
      <c r="AB53" s="9"/>
      <c r="AC53" s="9"/>
      <c r="AD53" s="9"/>
      <c r="AE53" s="9"/>
    </row>
    <row r="54" spans="2:32" x14ac:dyDescent="0.25">
      <c r="T54" s="5"/>
      <c r="Y54" s="9"/>
      <c r="Z54" s="9"/>
      <c r="AA54" s="9"/>
      <c r="AB54" s="9"/>
      <c r="AC54" s="9"/>
      <c r="AD54" s="9"/>
      <c r="AE54" s="9"/>
    </row>
    <row r="55" spans="2:32" x14ac:dyDescent="0.25">
      <c r="T55" s="5"/>
      <c r="Y55" s="9"/>
      <c r="Z55" s="9"/>
      <c r="AA55" s="9"/>
      <c r="AB55" s="9"/>
      <c r="AC55" s="9"/>
      <c r="AD55" s="9"/>
      <c r="AE55" s="9"/>
    </row>
    <row r="56" spans="2:32" x14ac:dyDescent="0.25">
      <c r="T56" s="5"/>
      <c r="Y56" s="9"/>
      <c r="Z56" s="9"/>
      <c r="AA56" s="9"/>
      <c r="AB56" s="9"/>
      <c r="AC56" s="9"/>
      <c r="AD56" s="9"/>
      <c r="AE56" s="9"/>
    </row>
    <row r="57" spans="2:32" x14ac:dyDescent="0.25">
      <c r="T57" s="5"/>
      <c r="Y57" s="9"/>
      <c r="Z57" s="9"/>
      <c r="AA57" s="9"/>
      <c r="AB57" s="9"/>
      <c r="AC57" s="9"/>
      <c r="AD57" s="9"/>
      <c r="AE57" s="9"/>
    </row>
    <row r="58" spans="2:32" x14ac:dyDescent="0.25">
      <c r="T58" s="5"/>
      <c r="Y58" s="9"/>
      <c r="Z58" s="9"/>
      <c r="AA58" s="9"/>
      <c r="AB58" s="9"/>
      <c r="AC58" s="9"/>
      <c r="AD58" s="9"/>
      <c r="AE58" s="9"/>
    </row>
    <row r="59" spans="2:32" x14ac:dyDescent="0.25">
      <c r="T59" s="5"/>
      <c r="Y59" s="9"/>
      <c r="Z59" s="9"/>
      <c r="AA59" s="9"/>
      <c r="AB59" s="9"/>
      <c r="AC59" s="9"/>
      <c r="AD59" s="9"/>
      <c r="AE59" s="9"/>
    </row>
    <row r="60" spans="2:32" x14ac:dyDescent="0.25">
      <c r="T60" s="5"/>
      <c r="Y60" s="9"/>
      <c r="Z60" s="9"/>
      <c r="AA60" s="9"/>
      <c r="AB60" s="9"/>
      <c r="AC60" s="9"/>
      <c r="AD60" s="9"/>
      <c r="AE60" s="9"/>
    </row>
    <row r="61" spans="2:32" x14ac:dyDescent="0.25">
      <c r="T61" s="5"/>
      <c r="Y61" s="9"/>
      <c r="Z61" s="9"/>
      <c r="AA61" s="9"/>
      <c r="AB61" s="9"/>
      <c r="AC61" s="9"/>
      <c r="AD61" s="9"/>
      <c r="AE61" s="9"/>
    </row>
    <row r="62" spans="2:32" x14ac:dyDescent="0.25">
      <c r="T62" s="5"/>
    </row>
    <row r="63" spans="2:32" x14ac:dyDescent="0.25">
      <c r="T63" s="5"/>
    </row>
    <row r="64" spans="2:32" x14ac:dyDescent="0.25">
      <c r="T64" s="5"/>
    </row>
    <row r="65" spans="20:20" x14ac:dyDescent="0.25">
      <c r="T65" s="5"/>
    </row>
    <row r="66" spans="20:20" x14ac:dyDescent="0.25">
      <c r="T66" s="5"/>
    </row>
  </sheetData>
  <autoFilter ref="B6:AE43" xr:uid="{65FA6D9B-E0AF-46CD-BA0D-86BB75FE6AB0}"/>
  <hyperlinks>
    <hyperlink ref="P12" r:id="rId1" xr:uid="{A2DB470E-542D-4C6D-BB45-CF30C36F492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D76D-AA66-4C9D-ACFA-B60FD5EBF969}">
  <sheetPr>
    <tabColor rgb="FFFFFF00"/>
  </sheetPr>
  <dimension ref="B2:AK70"/>
  <sheetViews>
    <sheetView zoomScale="80" zoomScaleNormal="80" workbookViewId="0">
      <selection activeCell="Y7" sqref="Y7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47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48</v>
      </c>
      <c r="D7" s="1" t="s">
        <v>49</v>
      </c>
      <c r="E7" s="3"/>
      <c r="F7" s="3"/>
      <c r="G7" s="3"/>
      <c r="H7" s="3"/>
      <c r="J7" s="1" t="s">
        <v>50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45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11.3</v>
      </c>
      <c r="X7" s="12">
        <f t="shared" ref="X7:X45" si="1">U7*W7</f>
        <v>0</v>
      </c>
      <c r="Y7" s="26">
        <f>Q7</f>
        <v>0</v>
      </c>
      <c r="Z7" s="12">
        <f t="shared" ref="Z7:Z45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:AC45" si="3">+Y7*AB7*R7</f>
        <v>0</v>
      </c>
      <c r="AD7" s="12">
        <f t="shared" ref="AD7:AD45" si="4">+AC7-X7</f>
        <v>0</v>
      </c>
      <c r="AE7" s="13">
        <f t="shared" ref="AE7:AE45" si="5">IFERROR(AD7/AC7,0)</f>
        <v>0</v>
      </c>
    </row>
    <row r="8" spans="2:36" x14ac:dyDescent="0.25">
      <c r="B8" s="4"/>
      <c r="C8" s="1" t="s">
        <v>48</v>
      </c>
      <c r="D8" s="1" t="s">
        <v>87</v>
      </c>
      <c r="E8" s="3"/>
      <c r="F8" s="3"/>
      <c r="G8" s="24"/>
      <c r="H8" s="24"/>
      <c r="J8" s="1" t="s">
        <v>112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45" si="6">S8*(1-T8)</f>
        <v>0</v>
      </c>
      <c r="V8" s="25" t="s">
        <v>10</v>
      </c>
      <c r="W8" s="11">
        <f>IFERROR(VLOOKUP(V8,Curr!$B$2:$C$13,2,FALSE),0)</f>
        <v>11.3</v>
      </c>
      <c r="X8" s="12">
        <f t="shared" si="1"/>
        <v>0</v>
      </c>
      <c r="Y8" s="26">
        <f t="shared" ref="Y8:Y45" si="7">Q8</f>
        <v>0</v>
      </c>
      <c r="Z8" s="12">
        <f t="shared" si="2"/>
        <v>0</v>
      </c>
      <c r="AA8" s="4" t="s">
        <v>10</v>
      </c>
      <c r="AB8" s="11">
        <f>IFERROR(VLOOKUP(AA8,Curr!$B$2:$C$13,2,FALSE),0)</f>
        <v>11.3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48</v>
      </c>
      <c r="D9" s="1" t="s">
        <v>64</v>
      </c>
      <c r="E9" s="3"/>
      <c r="F9" s="3"/>
      <c r="G9" s="24"/>
      <c r="H9" s="24"/>
      <c r="J9" s="1" t="s">
        <v>113</v>
      </c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0"/>
        <v>0</v>
      </c>
      <c r="T9" s="5">
        <v>0</v>
      </c>
      <c r="U9" s="12">
        <f t="shared" si="6"/>
        <v>0</v>
      </c>
      <c r="V9" s="25" t="s">
        <v>10</v>
      </c>
      <c r="W9" s="11">
        <f>IFERROR(VLOOKUP(V9,Curr!$B$2:$C$13,2,FALSE),0)</f>
        <v>11.3</v>
      </c>
      <c r="X9" s="12">
        <f t="shared" si="1"/>
        <v>0</v>
      </c>
      <c r="Y9" s="26">
        <f t="shared" si="7"/>
        <v>0</v>
      </c>
      <c r="Z9" s="12">
        <f t="shared" si="2"/>
        <v>0</v>
      </c>
      <c r="AA9" s="4" t="s">
        <v>10</v>
      </c>
      <c r="AB9" s="11">
        <f>IFERROR(VLOOKUP(AA9,Curr!$B$2:$C$13,2,FALSE),0)</f>
        <v>11.3</v>
      </c>
      <c r="AC9" s="12">
        <f t="shared" si="3"/>
        <v>0</v>
      </c>
      <c r="AD9" s="12">
        <f t="shared" si="4"/>
        <v>0</v>
      </c>
      <c r="AE9" s="13">
        <f t="shared" si="5"/>
        <v>0</v>
      </c>
    </row>
    <row r="10" spans="2:36" x14ac:dyDescent="0.25">
      <c r="B10" s="4"/>
      <c r="C10" s="1" t="s">
        <v>48</v>
      </c>
      <c r="D10" s="1" t="s">
        <v>55</v>
      </c>
      <c r="E10" s="3"/>
      <c r="F10" s="3"/>
      <c r="G10" s="24"/>
      <c r="H10" s="24"/>
      <c r="J10" s="1" t="s">
        <v>56</v>
      </c>
      <c r="K10" s="4"/>
      <c r="L10" s="4"/>
      <c r="M10" s="4"/>
      <c r="N10" s="4"/>
      <c r="O10" s="4"/>
      <c r="P10" s="33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11.3</v>
      </c>
      <c r="X10" s="12">
        <f t="shared" si="1"/>
        <v>0</v>
      </c>
      <c r="Y10" s="26">
        <f t="shared" si="7"/>
        <v>0</v>
      </c>
      <c r="Z10" s="12">
        <f t="shared" si="2"/>
        <v>0</v>
      </c>
      <c r="AA10" s="4" t="s">
        <v>10</v>
      </c>
      <c r="AB10" s="11">
        <f>IFERROR(VLOOKUP(AA10,Curr!$B$2:$C$13,2,FALSE),0)</f>
        <v>11.3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11.3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11.3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57</v>
      </c>
      <c r="D12" s="1" t="s">
        <v>88</v>
      </c>
      <c r="E12" s="3"/>
      <c r="F12" s="3"/>
      <c r="G12" s="24"/>
      <c r="H12" s="24"/>
      <c r="J12" s="1" t="s">
        <v>109</v>
      </c>
      <c r="K12" s="4"/>
      <c r="L12" s="4"/>
      <c r="M12" s="4"/>
      <c r="N12" s="4"/>
      <c r="O12" s="4"/>
      <c r="P12" s="33" t="s">
        <v>110</v>
      </c>
      <c r="Q12" s="25">
        <v>55</v>
      </c>
      <c r="R12" s="25">
        <v>2</v>
      </c>
      <c r="S12" s="12">
        <f t="shared" si="0"/>
        <v>110</v>
      </c>
      <c r="T12" s="5">
        <v>0</v>
      </c>
      <c r="U12" s="12">
        <f t="shared" si="6"/>
        <v>110</v>
      </c>
      <c r="V12" s="25" t="s">
        <v>10</v>
      </c>
      <c r="W12" s="11">
        <f>IFERROR(VLOOKUP(V12,Curr!$B$2:$C$13,2,FALSE),0)</f>
        <v>11.3</v>
      </c>
      <c r="X12" s="12">
        <f t="shared" si="1"/>
        <v>1243</v>
      </c>
      <c r="Y12" s="26">
        <f t="shared" si="7"/>
        <v>55</v>
      </c>
      <c r="Z12" s="12">
        <f t="shared" si="2"/>
        <v>110</v>
      </c>
      <c r="AA12" s="4" t="s">
        <v>10</v>
      </c>
      <c r="AB12" s="11">
        <f>IFERROR(VLOOKUP(AA12,Curr!$B$2:$C$13,2,FALSE),0)</f>
        <v>11.3</v>
      </c>
      <c r="AC12" s="12">
        <f t="shared" si="3"/>
        <v>1243</v>
      </c>
      <c r="AD12" s="12">
        <f t="shared" si="4"/>
        <v>0</v>
      </c>
      <c r="AE12" s="13">
        <f t="shared" si="5"/>
        <v>0</v>
      </c>
    </row>
    <row r="13" spans="2:36" x14ac:dyDescent="0.25">
      <c r="B13" s="4"/>
      <c r="C13" s="1" t="s">
        <v>57</v>
      </c>
      <c r="D13" s="1" t="s">
        <v>55</v>
      </c>
      <c r="E13" s="3"/>
      <c r="F13" s="3"/>
      <c r="G13" s="24"/>
      <c r="H13" s="24"/>
      <c r="J13" s="1" t="s">
        <v>56</v>
      </c>
      <c r="K13" s="4"/>
      <c r="L13" s="4"/>
      <c r="M13" s="4"/>
      <c r="N13" s="4"/>
      <c r="O13" s="4"/>
      <c r="P13" s="33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11.3</v>
      </c>
      <c r="X13" s="12">
        <f t="shared" si="1"/>
        <v>0</v>
      </c>
      <c r="Y13" s="26">
        <f t="shared" si="7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11.3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27"/>
      <c r="Q14" s="25"/>
      <c r="R14" s="25"/>
      <c r="S14" s="12">
        <f t="shared" si="0"/>
        <v>0</v>
      </c>
      <c r="T14" s="5">
        <v>0</v>
      </c>
      <c r="U14" s="12">
        <f t="shared" si="6"/>
        <v>0</v>
      </c>
      <c r="V14" s="25" t="s">
        <v>10</v>
      </c>
      <c r="W14" s="11">
        <f>IFERROR(VLOOKUP(V14,Curr!$B$2:$C$13,2,FALSE),0)</f>
        <v>11.3</v>
      </c>
      <c r="X14" s="12">
        <f t="shared" si="1"/>
        <v>0</v>
      </c>
      <c r="Y14" s="26">
        <f t="shared" si="7"/>
        <v>0</v>
      </c>
      <c r="Z14" s="12">
        <f t="shared" si="2"/>
        <v>0</v>
      </c>
      <c r="AA14" s="4" t="s">
        <v>10</v>
      </c>
      <c r="AB14" s="11">
        <f>IFERROR(VLOOKUP(AA14,Curr!$B$2:$C$13,2,FALSE),0)</f>
        <v>11.3</v>
      </c>
      <c r="AC14" s="12">
        <f t="shared" si="3"/>
        <v>0</v>
      </c>
      <c r="AD14" s="12">
        <f t="shared" si="4"/>
        <v>0</v>
      </c>
      <c r="AE14" s="13">
        <f t="shared" si="5"/>
        <v>0</v>
      </c>
    </row>
    <row r="15" spans="2:36" x14ac:dyDescent="0.25">
      <c r="B15" s="4"/>
      <c r="C15" s="1" t="s">
        <v>67</v>
      </c>
      <c r="D15" s="1" t="s">
        <v>87</v>
      </c>
      <c r="E15" s="3"/>
      <c r="F15" s="3"/>
      <c r="G15" s="24"/>
      <c r="H15" s="24"/>
      <c r="J15" s="1" t="s">
        <v>105</v>
      </c>
      <c r="K15" s="4"/>
      <c r="L15" s="4"/>
      <c r="M15" s="4"/>
      <c r="N15" s="4"/>
      <c r="O15" s="4"/>
      <c r="P15" s="33"/>
      <c r="Q15" s="25">
        <v>0</v>
      </c>
      <c r="R15" s="25">
        <v>0</v>
      </c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11.3</v>
      </c>
      <c r="X15" s="12">
        <f t="shared" si="1"/>
        <v>0</v>
      </c>
      <c r="Y15" s="26">
        <f t="shared" si="7"/>
        <v>0</v>
      </c>
      <c r="Z15" s="12">
        <f t="shared" si="2"/>
        <v>0</v>
      </c>
      <c r="AA15" s="4" t="s">
        <v>10</v>
      </c>
      <c r="AB15" s="11">
        <f>IFERROR(VLOOKUP(AA15,Curr!$B$2:$C$13,2,FALSE),0)</f>
        <v>11.3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67</v>
      </c>
      <c r="D16" s="1" t="s">
        <v>96</v>
      </c>
      <c r="E16" s="3"/>
      <c r="F16" s="3"/>
      <c r="G16" s="24"/>
      <c r="H16" s="24"/>
      <c r="J16" s="1" t="s">
        <v>125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11.3</v>
      </c>
      <c r="X16" s="12">
        <f t="shared" si="1"/>
        <v>0</v>
      </c>
      <c r="Y16" s="26">
        <f t="shared" si="7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11.3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67</v>
      </c>
      <c r="D17" s="1" t="s">
        <v>114</v>
      </c>
      <c r="E17" s="3"/>
      <c r="F17" s="3"/>
      <c r="G17" s="24"/>
      <c r="H17" s="24"/>
      <c r="J17" s="1" t="s">
        <v>122</v>
      </c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0"/>
        <v>0</v>
      </c>
      <c r="T17" s="5">
        <v>0</v>
      </c>
      <c r="U17" s="12">
        <f t="shared" si="6"/>
        <v>0</v>
      </c>
      <c r="V17" s="25" t="s">
        <v>10</v>
      </c>
      <c r="W17" s="11">
        <f>IFERROR(VLOOKUP(V17,Curr!$B$2:$C$13,2,FALSE),0)</f>
        <v>11.3</v>
      </c>
      <c r="X17" s="12">
        <f t="shared" si="1"/>
        <v>0</v>
      </c>
      <c r="Y17" s="26">
        <f t="shared" si="7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11.3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1" x14ac:dyDescent="0.25">
      <c r="B18" s="4"/>
      <c r="C18" s="1" t="s">
        <v>67</v>
      </c>
      <c r="D18" s="1" t="s">
        <v>64</v>
      </c>
      <c r="E18" s="3"/>
      <c r="F18" s="3"/>
      <c r="G18" s="24"/>
      <c r="H18" s="24"/>
      <c r="J18" s="1" t="s">
        <v>121</v>
      </c>
      <c r="K18" s="4"/>
      <c r="L18" s="4"/>
      <c r="M18" s="4"/>
      <c r="N18" s="4"/>
      <c r="O18" s="4"/>
      <c r="P18" s="29"/>
      <c r="Q18" s="25">
        <v>0</v>
      </c>
      <c r="R18" s="25">
        <v>0</v>
      </c>
      <c r="S18" s="12">
        <f t="shared" si="0"/>
        <v>0</v>
      </c>
      <c r="T18" s="5">
        <v>0</v>
      </c>
      <c r="U18" s="12">
        <f t="shared" si="6"/>
        <v>0</v>
      </c>
      <c r="V18" s="25" t="s">
        <v>10</v>
      </c>
      <c r="W18" s="11">
        <f>IFERROR(VLOOKUP(V18,Curr!$B$2:$C$13,2,FALSE),0)</f>
        <v>11.3</v>
      </c>
      <c r="X18" s="12">
        <f t="shared" si="1"/>
        <v>0</v>
      </c>
      <c r="Y18" s="26">
        <f t="shared" si="7"/>
        <v>0</v>
      </c>
      <c r="Z18" s="12">
        <f t="shared" si="2"/>
        <v>0</v>
      </c>
      <c r="AA18" s="4" t="s">
        <v>10</v>
      </c>
      <c r="AB18" s="11">
        <f>IFERROR(VLOOKUP(AA18,Curr!$B$2:$C$13,2,FALSE),0)</f>
        <v>11.3</v>
      </c>
      <c r="AC18" s="12">
        <f t="shared" si="3"/>
        <v>0</v>
      </c>
      <c r="AD18" s="12">
        <f t="shared" si="4"/>
        <v>0</v>
      </c>
      <c r="AE18" s="13">
        <f t="shared" si="5"/>
        <v>0</v>
      </c>
    </row>
    <row r="19" spans="2:31" x14ac:dyDescent="0.25">
      <c r="B19" s="4"/>
      <c r="C19" s="1" t="s">
        <v>67</v>
      </c>
      <c r="D19" s="1" t="s">
        <v>55</v>
      </c>
      <c r="E19" s="3"/>
      <c r="F19" s="3"/>
      <c r="G19" s="24"/>
      <c r="H19" s="24"/>
      <c r="J19" s="1" t="s">
        <v>70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11.3</v>
      </c>
      <c r="X19" s="12">
        <f t="shared" si="1"/>
        <v>0</v>
      </c>
      <c r="Y19" s="26">
        <f t="shared" si="7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11.3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0"/>
        <v>0</v>
      </c>
      <c r="T20" s="5">
        <v>0</v>
      </c>
      <c r="U20" s="12">
        <f t="shared" si="6"/>
        <v>0</v>
      </c>
      <c r="V20" s="25" t="s">
        <v>10</v>
      </c>
      <c r="W20" s="11">
        <f>IFERROR(VLOOKUP(V20,Curr!$B$2:$C$13,2,FALSE),0)</f>
        <v>11.3</v>
      </c>
      <c r="X20" s="12">
        <f t="shared" si="1"/>
        <v>0</v>
      </c>
      <c r="Y20" s="26">
        <f t="shared" si="7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11.3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71</v>
      </c>
      <c r="D21" s="1" t="s">
        <v>88</v>
      </c>
      <c r="E21" s="3"/>
      <c r="F21" s="3"/>
      <c r="G21" s="24"/>
      <c r="H21" s="24"/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0"/>
        <v>0</v>
      </c>
      <c r="T21" s="5">
        <v>0</v>
      </c>
      <c r="U21" s="12">
        <f t="shared" si="6"/>
        <v>0</v>
      </c>
      <c r="V21" s="25" t="s">
        <v>10</v>
      </c>
      <c r="W21" s="11">
        <f>IFERROR(VLOOKUP(V21,Curr!$B$2:$C$13,2,FALSE),0)</f>
        <v>11.3</v>
      </c>
      <c r="X21" s="12">
        <f t="shared" si="1"/>
        <v>0</v>
      </c>
      <c r="Y21" s="26">
        <f t="shared" si="7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11.3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C22" s="1" t="s">
        <v>71</v>
      </c>
      <c r="D22" s="1" t="s">
        <v>55</v>
      </c>
      <c r="E22" s="3"/>
      <c r="F22" s="3"/>
      <c r="G22" s="24"/>
      <c r="H22" s="24"/>
      <c r="J22" s="1" t="s">
        <v>70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0"/>
        <v>0</v>
      </c>
      <c r="T22" s="5">
        <v>0</v>
      </c>
      <c r="U22" s="12">
        <f t="shared" si="6"/>
        <v>0</v>
      </c>
      <c r="V22" s="25" t="s">
        <v>10</v>
      </c>
      <c r="W22" s="11">
        <f>IFERROR(VLOOKUP(V22,Curr!$B$2:$C$13,2,FALSE),0)</f>
        <v>11.3</v>
      </c>
      <c r="X22" s="12">
        <f t="shared" si="1"/>
        <v>0</v>
      </c>
      <c r="Y22" s="26">
        <f t="shared" si="7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11.3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33"/>
      <c r="Q23" s="25"/>
      <c r="R23" s="25"/>
      <c r="S23" s="12">
        <f t="shared" si="0"/>
        <v>0</v>
      </c>
      <c r="T23" s="5">
        <v>0</v>
      </c>
      <c r="U23" s="12">
        <f t="shared" si="6"/>
        <v>0</v>
      </c>
      <c r="V23" s="25" t="s">
        <v>10</v>
      </c>
      <c r="W23" s="11">
        <f>IFERROR(VLOOKUP(V23,Curr!$B$2:$C$13,2,FALSE),0)</f>
        <v>11.3</v>
      </c>
      <c r="X23" s="12">
        <f t="shared" si="1"/>
        <v>0</v>
      </c>
      <c r="Y23" s="26">
        <f t="shared" si="7"/>
        <v>0</v>
      </c>
      <c r="Z23" s="12">
        <f t="shared" si="2"/>
        <v>0</v>
      </c>
      <c r="AA23" s="4" t="s">
        <v>10</v>
      </c>
      <c r="AB23" s="11">
        <f>IFERROR(VLOOKUP(AA23,Curr!$B$2:$C$13,2,FALSE),0)</f>
        <v>11.3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C24" s="1" t="s">
        <v>75</v>
      </c>
      <c r="D24" s="1" t="s">
        <v>87</v>
      </c>
      <c r="E24" s="3"/>
      <c r="F24" s="3"/>
      <c r="G24" s="24"/>
      <c r="H24" s="24"/>
      <c r="J24" s="1" t="s">
        <v>124</v>
      </c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IFERROR(VLOOKUP(V24,Curr!$B$2:$C$13,2,FALSE),0)</f>
        <v>11.3</v>
      </c>
      <c r="X24" s="12">
        <f t="shared" si="1"/>
        <v>0</v>
      </c>
      <c r="Y24" s="26">
        <f t="shared" si="7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11.3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C25" s="1" t="s">
        <v>75</v>
      </c>
      <c r="D25" s="1" t="s">
        <v>96</v>
      </c>
      <c r="E25" s="3"/>
      <c r="F25" s="3"/>
      <c r="G25" s="24"/>
      <c r="H25" s="24"/>
      <c r="J25" s="1" t="s">
        <v>126</v>
      </c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0"/>
        <v>0</v>
      </c>
      <c r="T25" s="5">
        <v>0</v>
      </c>
      <c r="U25" s="12">
        <f t="shared" si="6"/>
        <v>0</v>
      </c>
      <c r="V25" s="25" t="s">
        <v>10</v>
      </c>
      <c r="W25" s="11">
        <f>IFERROR(VLOOKUP(V25,Curr!$B$2:$C$13,2,FALSE),0)</f>
        <v>11.3</v>
      </c>
      <c r="X25" s="12">
        <f t="shared" si="1"/>
        <v>0</v>
      </c>
      <c r="Y25" s="26">
        <f t="shared" si="7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11.3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C26" s="1" t="s">
        <v>75</v>
      </c>
      <c r="D26" s="1" t="s">
        <v>114</v>
      </c>
      <c r="E26" s="3"/>
      <c r="F26" s="3"/>
      <c r="G26" s="24"/>
      <c r="H26" s="24"/>
      <c r="J26" s="1" t="s">
        <v>123</v>
      </c>
      <c r="K26" s="4"/>
      <c r="L26" s="4"/>
      <c r="M26" s="4"/>
      <c r="N26" s="4"/>
      <c r="O26" s="4"/>
      <c r="P26" s="27"/>
      <c r="Q26" s="25">
        <v>0</v>
      </c>
      <c r="R26" s="25">
        <v>0</v>
      </c>
      <c r="S26" s="12">
        <f t="shared" si="0"/>
        <v>0</v>
      </c>
      <c r="T26" s="5">
        <v>0</v>
      </c>
      <c r="U26" s="12">
        <f t="shared" si="6"/>
        <v>0</v>
      </c>
      <c r="V26" s="25" t="s">
        <v>10</v>
      </c>
      <c r="W26" s="11">
        <f>IFERROR(VLOOKUP(V26,Curr!$B$2:$C$13,2,FALSE),0)</f>
        <v>11.3</v>
      </c>
      <c r="X26" s="12">
        <f t="shared" si="1"/>
        <v>0</v>
      </c>
      <c r="Y26" s="26">
        <f t="shared" si="7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11.3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1" x14ac:dyDescent="0.25">
      <c r="B27" s="4"/>
      <c r="C27" s="1" t="s">
        <v>75</v>
      </c>
      <c r="D27" s="1" t="s">
        <v>64</v>
      </c>
      <c r="E27" s="3"/>
      <c r="F27" s="3"/>
      <c r="G27" s="24"/>
      <c r="H27" s="24"/>
      <c r="J27" s="1" t="s">
        <v>120</v>
      </c>
      <c r="K27" s="4"/>
      <c r="L27" s="4"/>
      <c r="M27" s="4"/>
      <c r="N27" s="4"/>
      <c r="O27" s="4"/>
      <c r="P27" s="33"/>
      <c r="Q27" s="25">
        <v>0</v>
      </c>
      <c r="R27" s="25">
        <v>0</v>
      </c>
      <c r="S27" s="12">
        <f t="shared" si="0"/>
        <v>0</v>
      </c>
      <c r="T27" s="5">
        <v>0</v>
      </c>
      <c r="U27" s="12">
        <f t="shared" si="6"/>
        <v>0</v>
      </c>
      <c r="V27" s="25" t="s">
        <v>10</v>
      </c>
      <c r="W27" s="11">
        <f>IFERROR(VLOOKUP(V27,Curr!$B$2:$C$13,2,FALSE),0)</f>
        <v>11.3</v>
      </c>
      <c r="X27" s="12">
        <f t="shared" si="1"/>
        <v>0</v>
      </c>
      <c r="Y27" s="26">
        <f t="shared" si="7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11.3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C28" s="1" t="s">
        <v>75</v>
      </c>
      <c r="D28" s="1" t="s">
        <v>55</v>
      </c>
      <c r="E28" s="3"/>
      <c r="F28" s="3"/>
      <c r="G28" s="24"/>
      <c r="H28" s="24"/>
      <c r="J28" s="1" t="s">
        <v>117</v>
      </c>
      <c r="K28" s="4"/>
      <c r="L28" s="4"/>
      <c r="M28" s="4"/>
      <c r="N28" s="4"/>
      <c r="O28" s="4"/>
      <c r="P28" s="27"/>
      <c r="Q28" s="25">
        <v>0</v>
      </c>
      <c r="R28" s="25">
        <v>0</v>
      </c>
      <c r="S28" s="12">
        <f t="shared" si="0"/>
        <v>0</v>
      </c>
      <c r="T28" s="5">
        <v>0</v>
      </c>
      <c r="U28" s="12">
        <f t="shared" si="6"/>
        <v>0</v>
      </c>
      <c r="V28" s="25" t="s">
        <v>10</v>
      </c>
      <c r="W28" s="11">
        <f>IFERROR(VLOOKUP(V28,Curr!$B$2:$C$13,2,FALSE),0)</f>
        <v>11.3</v>
      </c>
      <c r="X28" s="12">
        <f t="shared" si="1"/>
        <v>0</v>
      </c>
      <c r="Y28" s="26">
        <f t="shared" si="7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11.3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33"/>
      <c r="Q29" s="25"/>
      <c r="R29" s="25"/>
      <c r="S29" s="12">
        <f t="shared" si="0"/>
        <v>0</v>
      </c>
      <c r="T29" s="5">
        <v>0</v>
      </c>
      <c r="U29" s="12">
        <f t="shared" si="6"/>
        <v>0</v>
      </c>
      <c r="V29" s="25" t="s">
        <v>10</v>
      </c>
      <c r="W29" s="11">
        <f>IFERROR(VLOOKUP(V29,Curr!$B$2:$C$13,2,FALSE),0)</f>
        <v>11.3</v>
      </c>
      <c r="X29" s="12">
        <f t="shared" si="1"/>
        <v>0</v>
      </c>
      <c r="Y29" s="26">
        <f t="shared" si="7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11.3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C30" s="1" t="s">
        <v>77</v>
      </c>
      <c r="D30" s="1" t="s">
        <v>88</v>
      </c>
      <c r="E30" s="3"/>
      <c r="F30" s="3"/>
      <c r="G30" s="24"/>
      <c r="H30" s="24"/>
      <c r="K30" s="4"/>
      <c r="L30" s="4"/>
      <c r="M30" s="4"/>
      <c r="N30" s="4"/>
      <c r="O30" s="4"/>
      <c r="P30" s="29"/>
      <c r="Q30" s="25">
        <v>0</v>
      </c>
      <c r="R30" s="25">
        <v>0</v>
      </c>
      <c r="S30" s="12">
        <f t="shared" si="0"/>
        <v>0</v>
      </c>
      <c r="T30" s="5">
        <v>0</v>
      </c>
      <c r="U30" s="12">
        <f t="shared" si="6"/>
        <v>0</v>
      </c>
      <c r="V30" s="25" t="s">
        <v>10</v>
      </c>
      <c r="W30" s="11">
        <f>IFERROR(VLOOKUP(V30,Curr!$B$2:$C$13,2,FALSE),0)</f>
        <v>11.3</v>
      </c>
      <c r="X30" s="12">
        <f t="shared" si="1"/>
        <v>0</v>
      </c>
      <c r="Y30" s="26">
        <f t="shared" si="7"/>
        <v>0</v>
      </c>
      <c r="Z30" s="12">
        <f t="shared" si="2"/>
        <v>0</v>
      </c>
      <c r="AA30" s="4" t="s">
        <v>10</v>
      </c>
      <c r="AB30" s="11">
        <f>IFERROR(VLOOKUP(AA30,Curr!$B$2:$C$13,2,FALSE),0)</f>
        <v>11.3</v>
      </c>
      <c r="AC30" s="12">
        <f t="shared" si="3"/>
        <v>0</v>
      </c>
      <c r="AD30" s="12">
        <f t="shared" si="4"/>
        <v>0</v>
      </c>
      <c r="AE30" s="13">
        <f t="shared" si="5"/>
        <v>0</v>
      </c>
    </row>
    <row r="31" spans="2:31" x14ac:dyDescent="0.25">
      <c r="B31" s="4"/>
      <c r="C31" s="1" t="s">
        <v>77</v>
      </c>
      <c r="D31" s="1" t="s">
        <v>55</v>
      </c>
      <c r="E31" s="3"/>
      <c r="F31" s="3"/>
      <c r="G31" s="24"/>
      <c r="H31" s="24"/>
      <c r="J31" s="1" t="s">
        <v>117</v>
      </c>
      <c r="K31" s="4"/>
      <c r="L31" s="4"/>
      <c r="M31" s="4"/>
      <c r="N31" s="4"/>
      <c r="O31" s="4"/>
      <c r="P31" s="33"/>
      <c r="Q31" s="25">
        <v>0</v>
      </c>
      <c r="R31" s="25">
        <v>0</v>
      </c>
      <c r="S31" s="12">
        <f t="shared" si="0"/>
        <v>0</v>
      </c>
      <c r="T31" s="5">
        <v>0</v>
      </c>
      <c r="U31" s="12">
        <f t="shared" si="6"/>
        <v>0</v>
      </c>
      <c r="V31" s="25" t="s">
        <v>10</v>
      </c>
      <c r="W31" s="11">
        <f>IFERROR(VLOOKUP(V31,Curr!$B$2:$C$13,2,FALSE),0)</f>
        <v>11.3</v>
      </c>
      <c r="X31" s="12">
        <f t="shared" si="1"/>
        <v>0</v>
      </c>
      <c r="Y31" s="26">
        <f t="shared" si="7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11.3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/>
      <c r="R32" s="25"/>
      <c r="S32" s="12">
        <f t="shared" si="0"/>
        <v>0</v>
      </c>
      <c r="T32" s="5">
        <v>0</v>
      </c>
      <c r="U32" s="12">
        <f t="shared" si="6"/>
        <v>0</v>
      </c>
      <c r="V32" s="25" t="s">
        <v>10</v>
      </c>
      <c r="W32" s="11">
        <f>IFERROR(VLOOKUP(V32,Curr!$B$2:$C$13,2,FALSE),0)</f>
        <v>11.3</v>
      </c>
      <c r="X32" s="12">
        <f t="shared" si="1"/>
        <v>0</v>
      </c>
      <c r="Y32" s="26">
        <f t="shared" si="7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11.3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6" x14ac:dyDescent="0.25">
      <c r="B33" s="4"/>
      <c r="C33" s="1" t="s">
        <v>116</v>
      </c>
      <c r="D33" s="1" t="s">
        <v>87</v>
      </c>
      <c r="E33" s="3"/>
      <c r="F33" s="3"/>
      <c r="G33" s="24"/>
      <c r="H33" s="24"/>
      <c r="J33" s="1" t="s">
        <v>119</v>
      </c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0"/>
        <v>0</v>
      </c>
      <c r="T33" s="5">
        <v>0</v>
      </c>
      <c r="U33" s="12">
        <f t="shared" si="6"/>
        <v>0</v>
      </c>
      <c r="V33" s="25" t="s">
        <v>10</v>
      </c>
      <c r="W33" s="11">
        <f>IFERROR(VLOOKUP(V33,Curr!$B$2:$C$13,2,FALSE),0)</f>
        <v>11.3</v>
      </c>
      <c r="X33" s="12">
        <f t="shared" si="1"/>
        <v>0</v>
      </c>
      <c r="Y33" s="26">
        <f t="shared" si="7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11.3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6" x14ac:dyDescent="0.25">
      <c r="B34" s="4"/>
      <c r="C34" s="1" t="s">
        <v>116</v>
      </c>
      <c r="D34" s="1" t="s">
        <v>115</v>
      </c>
      <c r="E34" s="3"/>
      <c r="F34" s="3"/>
      <c r="G34" s="24"/>
      <c r="H34" s="24"/>
      <c r="J34" s="1" t="s">
        <v>118</v>
      </c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0"/>
        <v>0</v>
      </c>
      <c r="T34" s="5">
        <v>0</v>
      </c>
      <c r="U34" s="12">
        <f t="shared" si="6"/>
        <v>0</v>
      </c>
      <c r="V34" s="25" t="s">
        <v>10</v>
      </c>
      <c r="W34" s="11">
        <f>IFERROR(VLOOKUP(V34,Curr!$B$2:$C$13,2,FALSE),0)</f>
        <v>11.3</v>
      </c>
      <c r="X34" s="12">
        <f t="shared" si="1"/>
        <v>0</v>
      </c>
      <c r="Y34" s="26">
        <f t="shared" si="7"/>
        <v>0</v>
      </c>
      <c r="Z34" s="12">
        <f t="shared" si="2"/>
        <v>0</v>
      </c>
      <c r="AA34" s="4" t="s">
        <v>10</v>
      </c>
      <c r="AB34" s="11">
        <f>IFERROR(VLOOKUP(AA34,Curr!$B$2:$C$13,2,FALSE),0)</f>
        <v>11.3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6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/>
      <c r="R35" s="25"/>
      <c r="S35" s="12">
        <f t="shared" si="0"/>
        <v>0</v>
      </c>
      <c r="T35" s="5">
        <v>0</v>
      </c>
      <c r="U35" s="12">
        <f t="shared" si="6"/>
        <v>0</v>
      </c>
      <c r="V35" s="25" t="s">
        <v>10</v>
      </c>
      <c r="W35" s="11">
        <f>IFERROR(VLOOKUP(V35,Curr!$B$2:$C$13,2,FALSE),0)</f>
        <v>11.3</v>
      </c>
      <c r="X35" s="12">
        <f t="shared" si="1"/>
        <v>0</v>
      </c>
      <c r="Y35" s="26">
        <f t="shared" si="7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11.3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6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27"/>
      <c r="Q36" s="25"/>
      <c r="R36" s="25"/>
      <c r="S36" s="12">
        <f t="shared" si="0"/>
        <v>0</v>
      </c>
      <c r="T36" s="5">
        <v>0</v>
      </c>
      <c r="U36" s="12">
        <f t="shared" si="6"/>
        <v>0</v>
      </c>
      <c r="V36" s="25" t="s">
        <v>10</v>
      </c>
      <c r="W36" s="11">
        <f>IFERROR(VLOOKUP(V36,Curr!$B$2:$C$13,2,FALSE),0)</f>
        <v>11.3</v>
      </c>
      <c r="X36" s="12">
        <f t="shared" si="1"/>
        <v>0</v>
      </c>
      <c r="Y36" s="26">
        <f t="shared" si="7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11.3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6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/>
      <c r="R37" s="25"/>
      <c r="S37" s="12">
        <f t="shared" si="0"/>
        <v>0</v>
      </c>
      <c r="T37" s="5">
        <v>0</v>
      </c>
      <c r="U37" s="12">
        <f t="shared" si="6"/>
        <v>0</v>
      </c>
      <c r="V37" s="25" t="s">
        <v>10</v>
      </c>
      <c r="W37" s="11">
        <f>IFERROR(VLOOKUP(V37,Curr!$B$2:$C$13,2,FALSE),0)</f>
        <v>11.3</v>
      </c>
      <c r="X37" s="12">
        <f t="shared" si="1"/>
        <v>0</v>
      </c>
      <c r="Y37" s="26">
        <f t="shared" si="7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11.3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6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/>
      <c r="R38" s="25"/>
      <c r="S38" s="12">
        <f t="shared" si="0"/>
        <v>0</v>
      </c>
      <c r="T38" s="5">
        <v>0</v>
      </c>
      <c r="U38" s="12">
        <f t="shared" si="6"/>
        <v>0</v>
      </c>
      <c r="V38" s="25" t="s">
        <v>10</v>
      </c>
      <c r="W38" s="11">
        <f>IFERROR(VLOOKUP(V38,Curr!$B$2:$C$13,2,FALSE),0)</f>
        <v>11.3</v>
      </c>
      <c r="X38" s="12">
        <f t="shared" si="1"/>
        <v>0</v>
      </c>
      <c r="Y38" s="26">
        <f t="shared" si="7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11.3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6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/>
      <c r="R39" s="25"/>
      <c r="S39" s="12">
        <f t="shared" si="0"/>
        <v>0</v>
      </c>
      <c r="T39" s="5">
        <v>0</v>
      </c>
      <c r="U39" s="12">
        <f t="shared" si="6"/>
        <v>0</v>
      </c>
      <c r="V39" s="25" t="s">
        <v>10</v>
      </c>
      <c r="W39" s="11">
        <f>IFERROR(VLOOKUP(V39,Curr!$B$2:$C$13,2,FALSE),0)</f>
        <v>11.3</v>
      </c>
      <c r="X39" s="12">
        <f t="shared" si="1"/>
        <v>0</v>
      </c>
      <c r="Y39" s="26">
        <f t="shared" si="7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11.3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6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/>
      <c r="R40" s="25"/>
      <c r="S40" s="12">
        <f t="shared" si="0"/>
        <v>0</v>
      </c>
      <c r="T40" s="5">
        <v>0</v>
      </c>
      <c r="U40" s="12">
        <f t="shared" si="6"/>
        <v>0</v>
      </c>
      <c r="V40" s="25" t="s">
        <v>10</v>
      </c>
      <c r="W40" s="11">
        <f>IFERROR(VLOOKUP(V40,Curr!$B$2:$C$13,2,FALSE),0)</f>
        <v>11.3</v>
      </c>
      <c r="X40" s="12">
        <f t="shared" si="1"/>
        <v>0</v>
      </c>
      <c r="Y40" s="26">
        <f t="shared" si="7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11.3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6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/>
      <c r="R41" s="25"/>
      <c r="S41" s="12">
        <f t="shared" si="0"/>
        <v>0</v>
      </c>
      <c r="T41" s="5">
        <v>0</v>
      </c>
      <c r="U41" s="12">
        <f t="shared" si="6"/>
        <v>0</v>
      </c>
      <c r="V41" s="25" t="s">
        <v>10</v>
      </c>
      <c r="W41" s="11">
        <f>IFERROR(VLOOKUP(V41,Curr!$B$2:$C$13,2,FALSE),0)</f>
        <v>11.3</v>
      </c>
      <c r="X41" s="12">
        <f t="shared" si="1"/>
        <v>0</v>
      </c>
      <c r="Y41" s="26">
        <f t="shared" si="7"/>
        <v>0</v>
      </c>
      <c r="Z41" s="12">
        <f t="shared" si="2"/>
        <v>0</v>
      </c>
      <c r="AA41" s="4" t="s">
        <v>10</v>
      </c>
      <c r="AB41" s="11">
        <f>IFERROR(VLOOKUP(AA41,Curr!$B$2:$C$13,2,FALSE),0)</f>
        <v>11.3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6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/>
      <c r="R42" s="25"/>
      <c r="S42" s="12">
        <f t="shared" si="0"/>
        <v>0</v>
      </c>
      <c r="T42" s="5">
        <v>0</v>
      </c>
      <c r="U42" s="12">
        <f t="shared" si="6"/>
        <v>0</v>
      </c>
      <c r="V42" s="25" t="s">
        <v>10</v>
      </c>
      <c r="W42" s="11">
        <f>IFERROR(VLOOKUP(V42,Curr!$B$2:$C$13,2,FALSE),0)</f>
        <v>11.3</v>
      </c>
      <c r="X42" s="12">
        <f t="shared" si="1"/>
        <v>0</v>
      </c>
      <c r="Y42" s="26">
        <f t="shared" si="7"/>
        <v>0</v>
      </c>
      <c r="Z42" s="12">
        <f t="shared" si="2"/>
        <v>0</v>
      </c>
      <c r="AA42" s="4" t="s">
        <v>10</v>
      </c>
      <c r="AB42" s="11">
        <f>IFERROR(VLOOKUP(AA42,Curr!$B$2:$C$13,2,FALSE),0)</f>
        <v>11.3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6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/>
      <c r="R43" s="25"/>
      <c r="S43" s="12">
        <f t="shared" si="0"/>
        <v>0</v>
      </c>
      <c r="T43" s="5">
        <v>0</v>
      </c>
      <c r="U43" s="12">
        <f t="shared" si="6"/>
        <v>0</v>
      </c>
      <c r="V43" s="25" t="s">
        <v>10</v>
      </c>
      <c r="W43" s="11">
        <f>IFERROR(VLOOKUP(V43,Curr!$B$2:$C$13,2,FALSE),0)</f>
        <v>11.3</v>
      </c>
      <c r="X43" s="12">
        <f t="shared" si="1"/>
        <v>0</v>
      </c>
      <c r="Y43" s="26">
        <f t="shared" si="7"/>
        <v>0</v>
      </c>
      <c r="Z43" s="12">
        <f t="shared" si="2"/>
        <v>0</v>
      </c>
      <c r="AA43" s="4" t="s">
        <v>10</v>
      </c>
      <c r="AB43" s="11">
        <f>IFERROR(VLOOKUP(AA43,Curr!$B$2:$C$13,2,FALSE),0)</f>
        <v>11.3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6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/>
      <c r="R44" s="25"/>
      <c r="S44" s="12">
        <f t="shared" si="0"/>
        <v>0</v>
      </c>
      <c r="T44" s="5">
        <v>0</v>
      </c>
      <c r="U44" s="12">
        <f t="shared" si="6"/>
        <v>0</v>
      </c>
      <c r="V44" s="25" t="s">
        <v>10</v>
      </c>
      <c r="W44" s="11">
        <f>IFERROR(VLOOKUP(V44,Curr!$B$2:$C$13,2,FALSE),0)</f>
        <v>11.3</v>
      </c>
      <c r="X44" s="12">
        <f t="shared" si="1"/>
        <v>0</v>
      </c>
      <c r="Y44" s="26">
        <f t="shared" si="7"/>
        <v>0</v>
      </c>
      <c r="Z44" s="12">
        <f t="shared" si="2"/>
        <v>0</v>
      </c>
      <c r="AA44" s="4" t="s">
        <v>10</v>
      </c>
      <c r="AB44" s="11">
        <f>IFERROR(VLOOKUP(AA44,Curr!$B$2:$C$13,2,FALSE),0)</f>
        <v>11.3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6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/>
      <c r="R45" s="25"/>
      <c r="S45" s="12">
        <f t="shared" si="0"/>
        <v>0</v>
      </c>
      <c r="T45" s="5">
        <v>0</v>
      </c>
      <c r="U45" s="12">
        <f t="shared" si="6"/>
        <v>0</v>
      </c>
      <c r="V45" s="25" t="s">
        <v>10</v>
      </c>
      <c r="W45" s="11">
        <f>IFERROR(VLOOKUP(V45,Curr!$B$2:$C$13,2,FALSE),0)</f>
        <v>11.3</v>
      </c>
      <c r="X45" s="12">
        <f t="shared" si="1"/>
        <v>0</v>
      </c>
      <c r="Y45" s="26">
        <f t="shared" si="7"/>
        <v>0</v>
      </c>
      <c r="Z45" s="12">
        <f t="shared" si="2"/>
        <v>0</v>
      </c>
      <c r="AA45" s="4" t="s">
        <v>10</v>
      </c>
      <c r="AB45" s="11">
        <f>IFERROR(VLOOKUP(AA45,Curr!$B$2:$C$13,2,FALSE),0)</f>
        <v>11.3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6" x14ac:dyDescent="0.25">
      <c r="B46" s="4"/>
      <c r="E46" s="3"/>
      <c r="F46" s="3"/>
      <c r="G46" s="3"/>
      <c r="H46" s="3"/>
      <c r="L46" s="4"/>
      <c r="M46" s="4"/>
      <c r="N46" s="4"/>
      <c r="O46" s="4"/>
      <c r="P46" s="22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2:36" x14ac:dyDescent="0.25">
      <c r="B47" s="14" t="s">
        <v>18</v>
      </c>
      <c r="C47" s="14"/>
      <c r="D47" s="28" t="s">
        <v>42</v>
      </c>
      <c r="E47" s="30" t="s">
        <v>42</v>
      </c>
      <c r="F47" s="30" t="s">
        <v>42</v>
      </c>
      <c r="G47" s="30" t="s">
        <v>42</v>
      </c>
      <c r="H47" s="30" t="s">
        <v>42</v>
      </c>
      <c r="I47" s="28" t="s">
        <v>42</v>
      </c>
      <c r="J47" s="28" t="s">
        <v>42</v>
      </c>
      <c r="K47" s="28" t="s">
        <v>42</v>
      </c>
      <c r="L47" s="28" t="s">
        <v>42</v>
      </c>
      <c r="M47" s="28" t="s">
        <v>42</v>
      </c>
      <c r="N47" s="28" t="s">
        <v>42</v>
      </c>
      <c r="O47" s="28" t="s">
        <v>42</v>
      </c>
      <c r="P47" s="28" t="s">
        <v>42</v>
      </c>
      <c r="Q47" s="31" t="s">
        <v>42</v>
      </c>
      <c r="R47" s="28" t="s">
        <v>42</v>
      </c>
      <c r="S47" s="32" t="s">
        <v>42</v>
      </c>
      <c r="T47" s="28" t="s">
        <v>42</v>
      </c>
      <c r="U47" s="32" t="s">
        <v>42</v>
      </c>
      <c r="V47" s="28" t="s">
        <v>42</v>
      </c>
      <c r="W47" s="28" t="s">
        <v>42</v>
      </c>
      <c r="X47" s="32" t="s">
        <v>42</v>
      </c>
      <c r="Y47" s="32" t="s">
        <v>42</v>
      </c>
      <c r="Z47" s="15">
        <f>SUM(Z7:Z45)</f>
        <v>110</v>
      </c>
      <c r="AA47" s="14"/>
      <c r="AB47" s="14"/>
      <c r="AC47" s="15">
        <f>SUM(AC7:AC45)</f>
        <v>1243</v>
      </c>
      <c r="AD47" s="15">
        <f>SUM(AD7:AD45)</f>
        <v>0</v>
      </c>
      <c r="AE47" s="21">
        <f t="shared" ref="AE47" si="8">IFERROR(AD47/AC47,0)</f>
        <v>0</v>
      </c>
      <c r="AF47" s="15">
        <f>SUM(AF8:AF46)</f>
        <v>0</v>
      </c>
      <c r="AG47" s="15">
        <f>SUM(AG8:AG46)</f>
        <v>0</v>
      </c>
      <c r="AH47" s="15">
        <f>SUM(AH8:AH46)</f>
        <v>0</v>
      </c>
      <c r="AI47" s="15">
        <f>SUM(AI8:AI46)</f>
        <v>0</v>
      </c>
      <c r="AJ47" s="15">
        <f>SUM(AJ8:AJ46)</f>
        <v>0</v>
      </c>
    </row>
    <row r="48" spans="2:36" x14ac:dyDescent="0.25">
      <c r="B48" s="4"/>
      <c r="E48" s="3"/>
      <c r="F48" s="3"/>
      <c r="G48" s="3"/>
      <c r="H48" s="3"/>
      <c r="L48" s="4"/>
      <c r="M48" s="4"/>
      <c r="N48" s="4"/>
      <c r="O48" s="4"/>
      <c r="Q48" s="4"/>
      <c r="R48" s="4"/>
      <c r="S48" s="4"/>
      <c r="T48" s="4"/>
      <c r="U48" s="4"/>
      <c r="V48" s="4"/>
      <c r="W48" s="4"/>
      <c r="X48" s="4"/>
      <c r="Y48" s="9"/>
      <c r="Z48" s="9"/>
      <c r="AA48" s="9"/>
      <c r="AB48" s="9"/>
      <c r="AC48" s="9"/>
      <c r="AD48" s="9"/>
      <c r="AE48" s="9"/>
    </row>
    <row r="49" spans="2:32" x14ac:dyDescent="0.25">
      <c r="B49" s="4"/>
      <c r="E49" s="3"/>
      <c r="F49" s="3"/>
      <c r="G49" s="3"/>
      <c r="H49" s="3"/>
      <c r="L49" s="4"/>
      <c r="M49" s="4"/>
      <c r="N49" s="4"/>
      <c r="O49" s="4"/>
      <c r="Q49" s="9"/>
      <c r="R49" s="9"/>
      <c r="S49" s="9"/>
      <c r="T49" s="9"/>
      <c r="U49" s="9"/>
      <c r="V49" s="9"/>
      <c r="W49" s="9"/>
      <c r="X49" s="23"/>
      <c r="Y49" s="34" t="s">
        <v>45</v>
      </c>
      <c r="Z49" s="34">
        <v>0</v>
      </c>
      <c r="AA49" s="9"/>
      <c r="AB49" s="9"/>
      <c r="AC49" s="9"/>
      <c r="AD49" s="9"/>
      <c r="AE49" s="9"/>
    </row>
    <row r="50" spans="2:32" x14ac:dyDescent="0.25">
      <c r="B50" s="4"/>
      <c r="E50" s="3"/>
      <c r="F50" s="3"/>
      <c r="G50" s="3"/>
      <c r="H50" s="3"/>
      <c r="L50" s="4"/>
      <c r="M50" s="4"/>
      <c r="N50" s="4"/>
      <c r="O50" s="4"/>
      <c r="Q50" s="9"/>
      <c r="R50" s="9"/>
      <c r="S50" s="9"/>
      <c r="T50" s="9"/>
      <c r="U50" s="9"/>
      <c r="V50" s="9"/>
      <c r="W50" s="9"/>
      <c r="X50" s="9"/>
      <c r="Y50" s="34" t="s">
        <v>46</v>
      </c>
      <c r="Z50" s="34">
        <f>Z49/2</f>
        <v>0</v>
      </c>
      <c r="AA50" s="9"/>
      <c r="AB50" s="9"/>
      <c r="AC50" s="9"/>
      <c r="AD50" s="9"/>
      <c r="AE50" s="9"/>
      <c r="AF50" s="18"/>
    </row>
    <row r="51" spans="2:32" x14ac:dyDescent="0.25">
      <c r="B51" s="4"/>
      <c r="E51" s="3"/>
      <c r="F51" s="3"/>
      <c r="G51" s="3"/>
      <c r="H51" s="3"/>
      <c r="I51" s="19"/>
      <c r="L51" s="4"/>
      <c r="M51" s="4"/>
      <c r="N51" s="4"/>
      <c r="O51" s="20"/>
      <c r="Q51" s="20"/>
      <c r="R51" s="20"/>
      <c r="S51" s="20"/>
      <c r="T51" s="20"/>
      <c r="U51" s="20"/>
      <c r="V51" s="20"/>
      <c r="W51" s="20"/>
      <c r="X51" s="20"/>
      <c r="Y51" s="9"/>
      <c r="Z51" s="9"/>
      <c r="AA51" s="9"/>
      <c r="AB51" s="9"/>
      <c r="AC51" s="9"/>
      <c r="AD51" s="9"/>
      <c r="AE51" s="9"/>
      <c r="AF51" s="18"/>
    </row>
    <row r="52" spans="2:32" x14ac:dyDescent="0.25">
      <c r="B52" s="4"/>
      <c r="E52" s="3"/>
      <c r="F52" s="3"/>
      <c r="G52" s="3"/>
      <c r="H52" s="3"/>
      <c r="L52" s="4"/>
      <c r="M52" s="4"/>
      <c r="N52" s="4"/>
      <c r="O52" s="20"/>
      <c r="Q52" s="20"/>
      <c r="R52" s="20"/>
      <c r="S52" s="20"/>
      <c r="T52" s="20"/>
      <c r="U52" s="20"/>
      <c r="V52" s="20"/>
      <c r="W52" s="20"/>
      <c r="X52" s="20"/>
      <c r="Y52" s="35" t="s">
        <v>83</v>
      </c>
      <c r="Z52" s="9">
        <f>Z49</f>
        <v>0</v>
      </c>
      <c r="AA52" s="9"/>
      <c r="AB52" s="9"/>
      <c r="AC52" s="9"/>
      <c r="AD52" s="9"/>
      <c r="AE52" s="9"/>
      <c r="AF52" s="18"/>
    </row>
    <row r="53" spans="2:32" x14ac:dyDescent="0.25">
      <c r="B53" s="4"/>
      <c r="E53" s="3"/>
      <c r="F53" s="3"/>
      <c r="G53" s="3"/>
      <c r="H53" s="3"/>
      <c r="L53" s="4"/>
      <c r="M53" s="4"/>
      <c r="N53" s="4"/>
      <c r="O53" s="4"/>
      <c r="Q53" s="9"/>
      <c r="R53" s="9"/>
      <c r="S53" s="9"/>
      <c r="T53" s="9"/>
      <c r="U53" s="9"/>
      <c r="V53" s="9"/>
      <c r="W53" s="9"/>
      <c r="X53" s="9"/>
      <c r="Y53" s="36" t="s">
        <v>84</v>
      </c>
      <c r="Z53" s="9">
        <f>Z52*1.15</f>
        <v>0</v>
      </c>
      <c r="AA53" s="9"/>
      <c r="AB53" s="9"/>
      <c r="AC53" s="9"/>
      <c r="AD53" s="9"/>
      <c r="AE53" s="9"/>
      <c r="AF53" s="18"/>
    </row>
    <row r="54" spans="2:32" x14ac:dyDescent="0.25">
      <c r="F54" s="1"/>
      <c r="G54" s="1"/>
      <c r="H54" s="1"/>
      <c r="J54" s="1" t="s">
        <v>32</v>
      </c>
      <c r="Q54" s="9"/>
      <c r="R54" s="4"/>
      <c r="S54" s="9"/>
      <c r="T54" s="5"/>
      <c r="U54" s="9"/>
      <c r="V54" s="4"/>
      <c r="W54" s="4"/>
      <c r="X54" s="9"/>
      <c r="Y54" s="36" t="s">
        <v>85</v>
      </c>
      <c r="Z54" s="9">
        <f>Z52*1.2</f>
        <v>0</v>
      </c>
      <c r="AA54" s="9"/>
      <c r="AB54" s="9"/>
      <c r="AC54" s="9"/>
      <c r="AD54" s="9"/>
      <c r="AE54" s="9"/>
    </row>
    <row r="55" spans="2:32" x14ac:dyDescent="0.25">
      <c r="R55" s="4"/>
      <c r="S55" s="17"/>
      <c r="T55" s="17"/>
      <c r="U55" s="9"/>
      <c r="V55" s="4"/>
      <c r="W55" s="4"/>
      <c r="X55" s="9"/>
      <c r="Y55" s="36" t="s">
        <v>86</v>
      </c>
      <c r="Z55" s="9">
        <f>Z52*0.84</f>
        <v>0</v>
      </c>
      <c r="AA55" s="9"/>
      <c r="AB55" s="9"/>
      <c r="AC55" s="9"/>
      <c r="AD55" s="9"/>
      <c r="AE55" s="9"/>
    </row>
    <row r="56" spans="2:32" x14ac:dyDescent="0.25">
      <c r="Q56" s="9"/>
      <c r="R56" s="4"/>
      <c r="S56" s="16"/>
      <c r="T56" s="16"/>
      <c r="U56" s="9"/>
      <c r="V56" s="4"/>
      <c r="W56" s="4"/>
      <c r="X56" s="9"/>
      <c r="Y56" s="9"/>
      <c r="Z56" s="9"/>
      <c r="AA56" s="9"/>
      <c r="AB56" s="9"/>
      <c r="AC56" s="9"/>
      <c r="AD56" s="9"/>
      <c r="AE56" s="9"/>
    </row>
    <row r="57" spans="2:32" x14ac:dyDescent="0.25">
      <c r="R57" s="4"/>
      <c r="S57" s="16"/>
      <c r="T57" s="16"/>
      <c r="Y57" s="9"/>
      <c r="Z57" s="9"/>
      <c r="AA57" s="9"/>
      <c r="AB57" s="9"/>
      <c r="AC57" s="9"/>
      <c r="AD57" s="9"/>
      <c r="AE57" s="9"/>
    </row>
    <row r="58" spans="2:32" x14ac:dyDescent="0.25">
      <c r="T58" s="5"/>
      <c r="Y58" s="9"/>
      <c r="Z58" s="9"/>
      <c r="AA58" s="9"/>
      <c r="AB58" s="9"/>
      <c r="AC58" s="9"/>
      <c r="AD58" s="9"/>
      <c r="AE58" s="9"/>
    </row>
    <row r="59" spans="2:32" x14ac:dyDescent="0.25">
      <c r="T59" s="5"/>
      <c r="Y59" s="9"/>
      <c r="Z59" s="9"/>
      <c r="AA59" s="9"/>
      <c r="AB59" s="9"/>
      <c r="AC59" s="9"/>
      <c r="AD59" s="9"/>
      <c r="AE59" s="9"/>
    </row>
    <row r="60" spans="2:32" x14ac:dyDescent="0.25">
      <c r="T60" s="5"/>
      <c r="Y60" s="9"/>
      <c r="Z60" s="9"/>
      <c r="AA60" s="9"/>
      <c r="AB60" s="9"/>
      <c r="AC60" s="9"/>
      <c r="AD60" s="9"/>
      <c r="AE60" s="9"/>
    </row>
    <row r="61" spans="2:32" x14ac:dyDescent="0.25">
      <c r="T61" s="5"/>
      <c r="Y61" s="9"/>
      <c r="Z61" s="9"/>
      <c r="AA61" s="9"/>
      <c r="AB61" s="9"/>
      <c r="AC61" s="9"/>
      <c r="AD61" s="9"/>
      <c r="AE61" s="9"/>
    </row>
    <row r="62" spans="2:32" x14ac:dyDescent="0.25">
      <c r="T62" s="5"/>
      <c r="Y62" s="9"/>
      <c r="Z62" s="9"/>
      <c r="AA62" s="9"/>
      <c r="AB62" s="9"/>
      <c r="AC62" s="9"/>
      <c r="AD62" s="9"/>
      <c r="AE62" s="9"/>
    </row>
    <row r="63" spans="2:32" x14ac:dyDescent="0.25">
      <c r="T63" s="5"/>
      <c r="Y63" s="9"/>
      <c r="Z63" s="9"/>
      <c r="AA63" s="9"/>
      <c r="AB63" s="9"/>
      <c r="AC63" s="9"/>
      <c r="AD63" s="9"/>
      <c r="AE63" s="9"/>
    </row>
    <row r="64" spans="2:32" x14ac:dyDescent="0.25">
      <c r="T64" s="5"/>
      <c r="Y64" s="9"/>
      <c r="Z64" s="9"/>
      <c r="AA64" s="9"/>
      <c r="AB64" s="9"/>
      <c r="AC64" s="9"/>
      <c r="AD64" s="9"/>
      <c r="AE64" s="9"/>
    </row>
    <row r="65" spans="20:31" x14ac:dyDescent="0.25">
      <c r="T65" s="5"/>
      <c r="Y65" s="9"/>
      <c r="Z65" s="9"/>
      <c r="AA65" s="9"/>
      <c r="AB65" s="9"/>
      <c r="AC65" s="9"/>
      <c r="AD65" s="9"/>
      <c r="AE65" s="9"/>
    </row>
    <row r="66" spans="20:31" x14ac:dyDescent="0.25">
      <c r="T66" s="5"/>
    </row>
    <row r="67" spans="20:31" x14ac:dyDescent="0.25">
      <c r="T67" s="5"/>
    </row>
    <row r="68" spans="20:31" x14ac:dyDescent="0.25">
      <c r="T68" s="5"/>
    </row>
    <row r="69" spans="20:31" x14ac:dyDescent="0.25">
      <c r="T69" s="5"/>
    </row>
    <row r="70" spans="20:31" x14ac:dyDescent="0.25">
      <c r="T70" s="5"/>
    </row>
  </sheetData>
  <autoFilter ref="B6:AE47" xr:uid="{65FA6D9B-E0AF-46CD-BA0D-86BB75FE6AB0}"/>
  <hyperlinks>
    <hyperlink ref="P12" r:id="rId1" xr:uid="{48910FC6-40A1-463B-81D6-87089CCFD14C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4E0C-CFBE-40F8-9366-2F72A96BABA2}">
  <sheetPr>
    <tabColor rgb="FFFFFF00"/>
  </sheetPr>
  <dimension ref="B2:AK90"/>
  <sheetViews>
    <sheetView zoomScale="80" zoomScaleNormal="80" workbookViewId="0">
      <selection activeCell="Q11" sqref="Q11:R11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47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48</v>
      </c>
      <c r="D7" s="1" t="s">
        <v>49</v>
      </c>
      <c r="E7" s="3"/>
      <c r="F7" s="3"/>
      <c r="G7" s="3"/>
      <c r="H7" s="3"/>
      <c r="J7" s="1" t="s">
        <v>50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65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11.3</v>
      </c>
      <c r="X7" s="12">
        <f t="shared" ref="X7:X65" si="1">U7*W7</f>
        <v>0</v>
      </c>
      <c r="Y7" s="26">
        <f>Q7</f>
        <v>0</v>
      </c>
      <c r="Z7" s="12">
        <f t="shared" ref="Z7:Z65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:AC65" si="3">+Y7*AB7*R7</f>
        <v>0</v>
      </c>
      <c r="AD7" s="12">
        <f t="shared" ref="AD7:AD65" si="4">+AC7-X7</f>
        <v>0</v>
      </c>
      <c r="AE7" s="13">
        <f t="shared" ref="AE7:AE65" si="5">IFERROR(AD7/AC7,0)</f>
        <v>0</v>
      </c>
    </row>
    <row r="8" spans="2:36" x14ac:dyDescent="0.25">
      <c r="B8" s="4"/>
      <c r="C8" s="1" t="s">
        <v>48</v>
      </c>
      <c r="D8" s="1" t="s">
        <v>87</v>
      </c>
      <c r="E8" s="3"/>
      <c r="F8" s="3"/>
      <c r="G8" s="24"/>
      <c r="H8" s="24"/>
      <c r="J8" s="1" t="s">
        <v>112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65" si="6">S8*(1-T8)</f>
        <v>0</v>
      </c>
      <c r="V8" s="25" t="s">
        <v>10</v>
      </c>
      <c r="W8" s="11">
        <f>IFERROR(VLOOKUP(V8,Curr!$B$2:$C$13,2,FALSE),0)</f>
        <v>11.3</v>
      </c>
      <c r="X8" s="12">
        <f t="shared" si="1"/>
        <v>0</v>
      </c>
      <c r="Y8" s="26">
        <f t="shared" ref="Y8:Y65" si="7">Q8</f>
        <v>0</v>
      </c>
      <c r="Z8" s="12">
        <f t="shared" si="2"/>
        <v>0</v>
      </c>
      <c r="AA8" s="4" t="s">
        <v>10</v>
      </c>
      <c r="AB8" s="11">
        <f>IFERROR(VLOOKUP(AA8,Curr!$B$2:$C$13,2,FALSE),0)</f>
        <v>11.3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48</v>
      </c>
      <c r="D9" s="1" t="s">
        <v>64</v>
      </c>
      <c r="E9" s="3"/>
      <c r="F9" s="3"/>
      <c r="G9" s="24"/>
      <c r="H9" s="24"/>
      <c r="J9" s="1" t="s">
        <v>113</v>
      </c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0"/>
        <v>0</v>
      </c>
      <c r="T9" s="5">
        <v>0</v>
      </c>
      <c r="U9" s="12">
        <f t="shared" si="6"/>
        <v>0</v>
      </c>
      <c r="V9" s="25" t="s">
        <v>10</v>
      </c>
      <c r="W9" s="11">
        <f>IFERROR(VLOOKUP(V9,Curr!$B$2:$C$13,2,FALSE),0)</f>
        <v>11.3</v>
      </c>
      <c r="X9" s="12">
        <f t="shared" si="1"/>
        <v>0</v>
      </c>
      <c r="Y9" s="26">
        <f t="shared" si="7"/>
        <v>0</v>
      </c>
      <c r="Z9" s="12">
        <f t="shared" si="2"/>
        <v>0</v>
      </c>
      <c r="AA9" s="4" t="s">
        <v>10</v>
      </c>
      <c r="AB9" s="11">
        <f>IFERROR(VLOOKUP(AA9,Curr!$B$2:$C$13,2,FALSE),0)</f>
        <v>11.3</v>
      </c>
      <c r="AC9" s="12">
        <f t="shared" si="3"/>
        <v>0</v>
      </c>
      <c r="AD9" s="12">
        <f t="shared" si="4"/>
        <v>0</v>
      </c>
      <c r="AE9" s="13">
        <f t="shared" si="5"/>
        <v>0</v>
      </c>
    </row>
    <row r="10" spans="2:36" x14ac:dyDescent="0.25">
      <c r="B10" s="4"/>
      <c r="C10" s="1" t="s">
        <v>48</v>
      </c>
      <c r="D10" s="1" t="s">
        <v>55</v>
      </c>
      <c r="E10" s="3"/>
      <c r="F10" s="3"/>
      <c r="G10" s="24"/>
      <c r="H10" s="24"/>
      <c r="J10" s="1" t="s">
        <v>56</v>
      </c>
      <c r="K10" s="4"/>
      <c r="L10" s="4"/>
      <c r="M10" s="4"/>
      <c r="N10" s="4"/>
      <c r="O10" s="4"/>
      <c r="P10" s="33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11.3</v>
      </c>
      <c r="X10" s="12">
        <f t="shared" si="1"/>
        <v>0</v>
      </c>
      <c r="Y10" s="26">
        <f t="shared" si="7"/>
        <v>0</v>
      </c>
      <c r="Z10" s="12">
        <f t="shared" si="2"/>
        <v>0</v>
      </c>
      <c r="AA10" s="4" t="s">
        <v>10</v>
      </c>
      <c r="AB10" s="11">
        <f>IFERROR(VLOOKUP(AA10,Curr!$B$2:$C$13,2,FALSE),0)</f>
        <v>11.3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11.3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11.3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27"/>
      <c r="Q12" s="25">
        <v>0</v>
      </c>
      <c r="R12" s="25">
        <v>0</v>
      </c>
      <c r="S12" s="12">
        <f t="shared" si="0"/>
        <v>0</v>
      </c>
      <c r="T12" s="5">
        <v>0</v>
      </c>
      <c r="U12" s="12">
        <f t="shared" si="6"/>
        <v>0</v>
      </c>
      <c r="V12" s="25" t="s">
        <v>10</v>
      </c>
      <c r="W12" s="11">
        <f>IFERROR(VLOOKUP(V12,Curr!$B$2:$C$13,2,FALSE),0)</f>
        <v>11.3</v>
      </c>
      <c r="X12" s="12">
        <f t="shared" si="1"/>
        <v>0</v>
      </c>
      <c r="Y12" s="26">
        <f t="shared" si="7"/>
        <v>0</v>
      </c>
      <c r="Z12" s="12">
        <f t="shared" si="2"/>
        <v>0</v>
      </c>
      <c r="AA12" s="4" t="s">
        <v>10</v>
      </c>
      <c r="AB12" s="11">
        <f>IFERROR(VLOOKUP(AA12,Curr!$B$2:$C$13,2,FALSE),0)</f>
        <v>11.3</v>
      </c>
      <c r="AC12" s="12">
        <f t="shared" si="3"/>
        <v>0</v>
      </c>
      <c r="AD12" s="12">
        <f t="shared" si="4"/>
        <v>0</v>
      </c>
      <c r="AE12" s="13">
        <f t="shared" si="5"/>
        <v>0</v>
      </c>
    </row>
    <row r="13" spans="2:36" x14ac:dyDescent="0.25">
      <c r="B13" s="4"/>
      <c r="E13" s="3"/>
      <c r="F13" s="3"/>
      <c r="G13" s="24"/>
      <c r="H13" s="24"/>
      <c r="K13" s="4"/>
      <c r="L13" s="4"/>
      <c r="M13" s="4"/>
      <c r="N13" s="4"/>
      <c r="O13" s="4"/>
      <c r="P13" s="33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11.3</v>
      </c>
      <c r="X13" s="12">
        <f t="shared" si="1"/>
        <v>0</v>
      </c>
      <c r="Y13" s="26">
        <f t="shared" si="7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11.3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27"/>
      <c r="Q14" s="25">
        <v>0</v>
      </c>
      <c r="R14" s="25">
        <v>0</v>
      </c>
      <c r="S14" s="12">
        <f t="shared" si="0"/>
        <v>0</v>
      </c>
      <c r="T14" s="5">
        <v>0</v>
      </c>
      <c r="U14" s="12">
        <f t="shared" si="6"/>
        <v>0</v>
      </c>
      <c r="V14" s="25" t="s">
        <v>10</v>
      </c>
      <c r="W14" s="11">
        <f>IFERROR(VLOOKUP(V14,Curr!$B$2:$C$13,2,FALSE),0)</f>
        <v>11.3</v>
      </c>
      <c r="X14" s="12">
        <f t="shared" si="1"/>
        <v>0</v>
      </c>
      <c r="Y14" s="26">
        <f t="shared" si="7"/>
        <v>0</v>
      </c>
      <c r="Z14" s="12">
        <f t="shared" si="2"/>
        <v>0</v>
      </c>
      <c r="AA14" s="4" t="s">
        <v>10</v>
      </c>
      <c r="AB14" s="11">
        <f>IFERROR(VLOOKUP(AA14,Curr!$B$2:$C$13,2,FALSE),0)</f>
        <v>11.3</v>
      </c>
      <c r="AC14" s="12">
        <f t="shared" si="3"/>
        <v>0</v>
      </c>
      <c r="AD14" s="12">
        <f t="shared" si="4"/>
        <v>0</v>
      </c>
      <c r="AE14" s="13">
        <f t="shared" si="5"/>
        <v>0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33"/>
      <c r="Q15" s="25">
        <v>0</v>
      </c>
      <c r="R15" s="25">
        <v>0</v>
      </c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11.3</v>
      </c>
      <c r="X15" s="12">
        <f t="shared" si="1"/>
        <v>0</v>
      </c>
      <c r="Y15" s="26">
        <f t="shared" si="7"/>
        <v>0</v>
      </c>
      <c r="Z15" s="12">
        <f t="shared" si="2"/>
        <v>0</v>
      </c>
      <c r="AA15" s="4" t="s">
        <v>10</v>
      </c>
      <c r="AB15" s="11">
        <f>IFERROR(VLOOKUP(AA15,Curr!$B$2:$C$13,2,FALSE),0)</f>
        <v>11.3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11.3</v>
      </c>
      <c r="X16" s="12">
        <f t="shared" si="1"/>
        <v>0</v>
      </c>
      <c r="Y16" s="26">
        <f t="shared" si="7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11.3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0"/>
        <v>0</v>
      </c>
      <c r="T17" s="5">
        <v>0</v>
      </c>
      <c r="U17" s="12">
        <f t="shared" si="6"/>
        <v>0</v>
      </c>
      <c r="V17" s="25" t="s">
        <v>10</v>
      </c>
      <c r="W17" s="11">
        <f>IFERROR(VLOOKUP(V17,Curr!$B$2:$C$13,2,FALSE),0)</f>
        <v>11.3</v>
      </c>
      <c r="X17" s="12">
        <f t="shared" si="1"/>
        <v>0</v>
      </c>
      <c r="Y17" s="26">
        <f t="shared" si="7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11.3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1" x14ac:dyDescent="0.25">
      <c r="B18" s="4"/>
      <c r="E18" s="3"/>
      <c r="F18" s="3"/>
      <c r="G18" s="24"/>
      <c r="H18" s="24"/>
      <c r="K18" s="4"/>
      <c r="L18" s="4"/>
      <c r="M18" s="4"/>
      <c r="N18" s="4"/>
      <c r="O18" s="4"/>
      <c r="P18" s="29"/>
      <c r="Q18" s="25">
        <v>0</v>
      </c>
      <c r="R18" s="25">
        <v>0</v>
      </c>
      <c r="S18" s="12">
        <f t="shared" si="0"/>
        <v>0</v>
      </c>
      <c r="T18" s="5">
        <v>0</v>
      </c>
      <c r="U18" s="12">
        <f t="shared" si="6"/>
        <v>0</v>
      </c>
      <c r="V18" s="25" t="s">
        <v>10</v>
      </c>
      <c r="W18" s="11">
        <f>IFERROR(VLOOKUP(V18,Curr!$B$2:$C$13,2,FALSE),0)</f>
        <v>11.3</v>
      </c>
      <c r="X18" s="12">
        <f t="shared" si="1"/>
        <v>0</v>
      </c>
      <c r="Y18" s="26">
        <f t="shared" si="7"/>
        <v>0</v>
      </c>
      <c r="Z18" s="12">
        <f t="shared" si="2"/>
        <v>0</v>
      </c>
      <c r="AA18" s="4" t="s">
        <v>10</v>
      </c>
      <c r="AB18" s="11">
        <f>IFERROR(VLOOKUP(AA18,Curr!$B$2:$C$13,2,FALSE),0)</f>
        <v>11.3</v>
      </c>
      <c r="AC18" s="12">
        <f t="shared" si="3"/>
        <v>0</v>
      </c>
      <c r="AD18" s="12">
        <f t="shared" si="4"/>
        <v>0</v>
      </c>
      <c r="AE18" s="13">
        <f t="shared" si="5"/>
        <v>0</v>
      </c>
    </row>
    <row r="19" spans="2:31" x14ac:dyDescent="0.25">
      <c r="B19" s="4"/>
      <c r="E19" s="3"/>
      <c r="F19" s="3"/>
      <c r="G19" s="24"/>
      <c r="H19" s="24"/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11.3</v>
      </c>
      <c r="X19" s="12">
        <f t="shared" si="1"/>
        <v>0</v>
      </c>
      <c r="Y19" s="26">
        <f t="shared" si="7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11.3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 t="shared" si="0"/>
        <v>0</v>
      </c>
      <c r="T20" s="5">
        <v>0</v>
      </c>
      <c r="U20" s="12">
        <f t="shared" si="6"/>
        <v>0</v>
      </c>
      <c r="V20" s="25" t="s">
        <v>10</v>
      </c>
      <c r="W20" s="11">
        <f>IFERROR(VLOOKUP(V20,Curr!$B$2:$C$13,2,FALSE),0)</f>
        <v>11.3</v>
      </c>
      <c r="X20" s="12">
        <f t="shared" si="1"/>
        <v>0</v>
      </c>
      <c r="Y20" s="26">
        <f t="shared" si="7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11.3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0"/>
        <v>0</v>
      </c>
      <c r="T21" s="5">
        <v>0</v>
      </c>
      <c r="U21" s="12">
        <f t="shared" si="6"/>
        <v>0</v>
      </c>
      <c r="V21" s="25" t="s">
        <v>10</v>
      </c>
      <c r="W21" s="11">
        <f>IFERROR(VLOOKUP(V21,Curr!$B$2:$C$13,2,FALSE),0)</f>
        <v>11.3</v>
      </c>
      <c r="X21" s="12">
        <f t="shared" si="1"/>
        <v>0</v>
      </c>
      <c r="Y21" s="26">
        <f t="shared" si="7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11.3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0"/>
        <v>0</v>
      </c>
      <c r="T22" s="5">
        <v>0</v>
      </c>
      <c r="U22" s="12">
        <f t="shared" si="6"/>
        <v>0</v>
      </c>
      <c r="V22" s="25" t="s">
        <v>10</v>
      </c>
      <c r="W22" s="11">
        <f>IFERROR(VLOOKUP(V22,Curr!$B$2:$C$13,2,FALSE),0)</f>
        <v>11.3</v>
      </c>
      <c r="X22" s="12">
        <f t="shared" si="1"/>
        <v>0</v>
      </c>
      <c r="Y22" s="26">
        <f t="shared" si="7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11.3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33"/>
      <c r="Q23" s="25">
        <v>0</v>
      </c>
      <c r="R23" s="25">
        <v>0</v>
      </c>
      <c r="S23" s="12">
        <f t="shared" si="0"/>
        <v>0</v>
      </c>
      <c r="T23" s="5">
        <v>0</v>
      </c>
      <c r="U23" s="12">
        <f t="shared" si="6"/>
        <v>0</v>
      </c>
      <c r="V23" s="25" t="s">
        <v>10</v>
      </c>
      <c r="W23" s="11">
        <f>IFERROR(VLOOKUP(V23,Curr!$B$2:$C$13,2,FALSE),0)</f>
        <v>11.3</v>
      </c>
      <c r="X23" s="12">
        <f t="shared" si="1"/>
        <v>0</v>
      </c>
      <c r="Y23" s="26">
        <f t="shared" si="7"/>
        <v>0</v>
      </c>
      <c r="Z23" s="12">
        <f t="shared" si="2"/>
        <v>0</v>
      </c>
      <c r="AA23" s="4" t="s">
        <v>10</v>
      </c>
      <c r="AB23" s="11">
        <f>IFERROR(VLOOKUP(AA23,Curr!$B$2:$C$13,2,FALSE),0)</f>
        <v>11.3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IFERROR(VLOOKUP(V24,Curr!$B$2:$C$13,2,FALSE),0)</f>
        <v>11.3</v>
      </c>
      <c r="X24" s="12">
        <f t="shared" si="1"/>
        <v>0</v>
      </c>
      <c r="Y24" s="26">
        <f t="shared" si="7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11.3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0"/>
        <v>0</v>
      </c>
      <c r="T25" s="5">
        <v>0</v>
      </c>
      <c r="U25" s="12">
        <f t="shared" si="6"/>
        <v>0</v>
      </c>
      <c r="V25" s="25" t="s">
        <v>10</v>
      </c>
      <c r="W25" s="11">
        <f>IFERROR(VLOOKUP(V25,Curr!$B$2:$C$13,2,FALSE),0)</f>
        <v>11.3</v>
      </c>
      <c r="X25" s="12">
        <f t="shared" si="1"/>
        <v>0</v>
      </c>
      <c r="Y25" s="26">
        <f t="shared" si="7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11.3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27"/>
      <c r="Q26" s="25">
        <v>0</v>
      </c>
      <c r="R26" s="25">
        <v>0</v>
      </c>
      <c r="S26" s="12">
        <f t="shared" si="0"/>
        <v>0</v>
      </c>
      <c r="T26" s="5">
        <v>0</v>
      </c>
      <c r="U26" s="12">
        <f t="shared" si="6"/>
        <v>0</v>
      </c>
      <c r="V26" s="25" t="s">
        <v>10</v>
      </c>
      <c r="W26" s="11">
        <f>IFERROR(VLOOKUP(V26,Curr!$B$2:$C$13,2,FALSE),0)</f>
        <v>11.3</v>
      </c>
      <c r="X26" s="12">
        <f t="shared" si="1"/>
        <v>0</v>
      </c>
      <c r="Y26" s="26">
        <f t="shared" si="7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11.3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33"/>
      <c r="Q27" s="25">
        <v>0</v>
      </c>
      <c r="R27" s="25">
        <v>0</v>
      </c>
      <c r="S27" s="12">
        <f t="shared" si="0"/>
        <v>0</v>
      </c>
      <c r="T27" s="5">
        <v>0</v>
      </c>
      <c r="U27" s="12">
        <f t="shared" si="6"/>
        <v>0</v>
      </c>
      <c r="V27" s="25" t="s">
        <v>10</v>
      </c>
      <c r="W27" s="11">
        <f>IFERROR(VLOOKUP(V27,Curr!$B$2:$C$13,2,FALSE),0)</f>
        <v>11.3</v>
      </c>
      <c r="X27" s="12">
        <f t="shared" si="1"/>
        <v>0</v>
      </c>
      <c r="Y27" s="26">
        <f t="shared" si="7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11.3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27"/>
      <c r="Q28" s="25">
        <v>0</v>
      </c>
      <c r="R28" s="25">
        <v>0</v>
      </c>
      <c r="S28" s="12">
        <f t="shared" si="0"/>
        <v>0</v>
      </c>
      <c r="T28" s="5">
        <v>0</v>
      </c>
      <c r="U28" s="12">
        <f t="shared" si="6"/>
        <v>0</v>
      </c>
      <c r="V28" s="25" t="s">
        <v>10</v>
      </c>
      <c r="W28" s="11">
        <f>IFERROR(VLOOKUP(V28,Curr!$B$2:$C$13,2,FALSE),0)</f>
        <v>11.3</v>
      </c>
      <c r="X28" s="12">
        <f t="shared" si="1"/>
        <v>0</v>
      </c>
      <c r="Y28" s="26">
        <f t="shared" si="7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11.3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0"/>
        <v>0</v>
      </c>
      <c r="T29" s="5">
        <v>0</v>
      </c>
      <c r="U29" s="12">
        <f t="shared" si="6"/>
        <v>0</v>
      </c>
      <c r="V29" s="25" t="s">
        <v>10</v>
      </c>
      <c r="W29" s="11">
        <f>IFERROR(VLOOKUP(V29,Curr!$B$2:$C$13,2,FALSE),0)</f>
        <v>11.3</v>
      </c>
      <c r="X29" s="12">
        <f t="shared" si="1"/>
        <v>0</v>
      </c>
      <c r="Y29" s="26">
        <f t="shared" si="7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11.3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29"/>
      <c r="Q30" s="25">
        <v>0</v>
      </c>
      <c r="R30" s="25">
        <v>0</v>
      </c>
      <c r="S30" s="12">
        <f t="shared" si="0"/>
        <v>0</v>
      </c>
      <c r="T30" s="5">
        <v>0</v>
      </c>
      <c r="U30" s="12">
        <f t="shared" si="6"/>
        <v>0</v>
      </c>
      <c r="V30" s="25" t="s">
        <v>10</v>
      </c>
      <c r="W30" s="11">
        <f>IFERROR(VLOOKUP(V30,Curr!$B$2:$C$13,2,FALSE),0)</f>
        <v>11.3</v>
      </c>
      <c r="X30" s="12">
        <f t="shared" si="1"/>
        <v>0</v>
      </c>
      <c r="Y30" s="26">
        <f t="shared" si="7"/>
        <v>0</v>
      </c>
      <c r="Z30" s="12">
        <f t="shared" si="2"/>
        <v>0</v>
      </c>
      <c r="AA30" s="4" t="s">
        <v>10</v>
      </c>
      <c r="AB30" s="11">
        <f>IFERROR(VLOOKUP(AA30,Curr!$B$2:$C$13,2,FALSE),0)</f>
        <v>11.3</v>
      </c>
      <c r="AC30" s="12">
        <f t="shared" si="3"/>
        <v>0</v>
      </c>
      <c r="AD30" s="12">
        <f t="shared" si="4"/>
        <v>0</v>
      </c>
      <c r="AE30" s="13">
        <f t="shared" si="5"/>
        <v>0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33"/>
      <c r="Q31" s="25">
        <v>0</v>
      </c>
      <c r="R31" s="25">
        <v>0</v>
      </c>
      <c r="S31" s="12">
        <f t="shared" si="0"/>
        <v>0</v>
      </c>
      <c r="T31" s="5">
        <v>0</v>
      </c>
      <c r="U31" s="12">
        <f t="shared" si="6"/>
        <v>0</v>
      </c>
      <c r="V31" s="25" t="s">
        <v>10</v>
      </c>
      <c r="W31" s="11">
        <f>IFERROR(VLOOKUP(V31,Curr!$B$2:$C$13,2,FALSE),0)</f>
        <v>11.3</v>
      </c>
      <c r="X31" s="12">
        <f t="shared" si="1"/>
        <v>0</v>
      </c>
      <c r="Y31" s="26">
        <f t="shared" si="7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11.3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 t="shared" si="0"/>
        <v>0</v>
      </c>
      <c r="T32" s="5">
        <v>0</v>
      </c>
      <c r="U32" s="12">
        <f t="shared" si="6"/>
        <v>0</v>
      </c>
      <c r="V32" s="25" t="s">
        <v>10</v>
      </c>
      <c r="W32" s="11">
        <f>IFERROR(VLOOKUP(V32,Curr!$B$2:$C$13,2,FALSE),0)</f>
        <v>11.3</v>
      </c>
      <c r="X32" s="12">
        <f t="shared" si="1"/>
        <v>0</v>
      </c>
      <c r="Y32" s="26">
        <f t="shared" si="7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11.3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1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0"/>
        <v>0</v>
      </c>
      <c r="T33" s="5">
        <v>0</v>
      </c>
      <c r="U33" s="12">
        <f t="shared" si="6"/>
        <v>0</v>
      </c>
      <c r="V33" s="25" t="s">
        <v>10</v>
      </c>
      <c r="W33" s="11">
        <f>IFERROR(VLOOKUP(V33,Curr!$B$2:$C$13,2,FALSE),0)</f>
        <v>11.3</v>
      </c>
      <c r="X33" s="12">
        <f t="shared" si="1"/>
        <v>0</v>
      </c>
      <c r="Y33" s="26">
        <f t="shared" si="7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11.3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1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0"/>
        <v>0</v>
      </c>
      <c r="T34" s="5">
        <v>0</v>
      </c>
      <c r="U34" s="12">
        <f t="shared" si="6"/>
        <v>0</v>
      </c>
      <c r="V34" s="25" t="s">
        <v>10</v>
      </c>
      <c r="W34" s="11">
        <f>IFERROR(VLOOKUP(V34,Curr!$B$2:$C$13,2,FALSE),0)</f>
        <v>11.3</v>
      </c>
      <c r="X34" s="12">
        <f t="shared" si="1"/>
        <v>0</v>
      </c>
      <c r="Y34" s="26">
        <f t="shared" si="7"/>
        <v>0</v>
      </c>
      <c r="Z34" s="12">
        <f t="shared" si="2"/>
        <v>0</v>
      </c>
      <c r="AA34" s="4" t="s">
        <v>10</v>
      </c>
      <c r="AB34" s="11">
        <f>IFERROR(VLOOKUP(AA34,Curr!$B$2:$C$13,2,FALSE),0)</f>
        <v>11.3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>
        <v>0</v>
      </c>
      <c r="R35" s="25">
        <v>0</v>
      </c>
      <c r="S35" s="12">
        <f t="shared" si="0"/>
        <v>0</v>
      </c>
      <c r="T35" s="5">
        <v>0</v>
      </c>
      <c r="U35" s="12">
        <f t="shared" si="6"/>
        <v>0</v>
      </c>
      <c r="V35" s="25" t="s">
        <v>10</v>
      </c>
      <c r="W35" s="11">
        <f>IFERROR(VLOOKUP(V35,Curr!$B$2:$C$13,2,FALSE),0)</f>
        <v>11.3</v>
      </c>
      <c r="X35" s="12">
        <f t="shared" si="1"/>
        <v>0</v>
      </c>
      <c r="Y35" s="26">
        <f t="shared" si="7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11.3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27"/>
      <c r="Q36" s="25">
        <v>0</v>
      </c>
      <c r="R36" s="25">
        <v>0</v>
      </c>
      <c r="S36" s="12">
        <f t="shared" si="0"/>
        <v>0</v>
      </c>
      <c r="T36" s="5">
        <v>0</v>
      </c>
      <c r="U36" s="12">
        <f t="shared" si="6"/>
        <v>0</v>
      </c>
      <c r="V36" s="25" t="s">
        <v>10</v>
      </c>
      <c r="W36" s="11">
        <f>IFERROR(VLOOKUP(V36,Curr!$B$2:$C$13,2,FALSE),0)</f>
        <v>11.3</v>
      </c>
      <c r="X36" s="12">
        <f t="shared" si="1"/>
        <v>0</v>
      </c>
      <c r="Y36" s="26">
        <f t="shared" si="7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11.3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>
        <v>0</v>
      </c>
      <c r="R37" s="25">
        <v>0</v>
      </c>
      <c r="S37" s="12">
        <f t="shared" si="0"/>
        <v>0</v>
      </c>
      <c r="T37" s="5">
        <v>0</v>
      </c>
      <c r="U37" s="12">
        <f t="shared" si="6"/>
        <v>0</v>
      </c>
      <c r="V37" s="25" t="s">
        <v>10</v>
      </c>
      <c r="W37" s="11">
        <f>IFERROR(VLOOKUP(V37,Curr!$B$2:$C$13,2,FALSE),0)</f>
        <v>11.3</v>
      </c>
      <c r="X37" s="12">
        <f t="shared" si="1"/>
        <v>0</v>
      </c>
      <c r="Y37" s="26">
        <f t="shared" si="7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11.3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0"/>
        <v>0</v>
      </c>
      <c r="T38" s="5">
        <v>0</v>
      </c>
      <c r="U38" s="12">
        <f t="shared" si="6"/>
        <v>0</v>
      </c>
      <c r="V38" s="25" t="s">
        <v>10</v>
      </c>
      <c r="W38" s="11">
        <f>IFERROR(VLOOKUP(V38,Curr!$B$2:$C$13,2,FALSE),0)</f>
        <v>11.3</v>
      </c>
      <c r="X38" s="12">
        <f t="shared" si="1"/>
        <v>0</v>
      </c>
      <c r="Y38" s="26">
        <f t="shared" si="7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11.3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>
        <v>0</v>
      </c>
      <c r="R39" s="25">
        <v>0</v>
      </c>
      <c r="S39" s="12">
        <f t="shared" si="0"/>
        <v>0</v>
      </c>
      <c r="T39" s="5">
        <v>0</v>
      </c>
      <c r="U39" s="12">
        <f t="shared" si="6"/>
        <v>0</v>
      </c>
      <c r="V39" s="25" t="s">
        <v>10</v>
      </c>
      <c r="W39" s="11">
        <f>IFERROR(VLOOKUP(V39,Curr!$B$2:$C$13,2,FALSE),0)</f>
        <v>11.3</v>
      </c>
      <c r="X39" s="12">
        <f t="shared" si="1"/>
        <v>0</v>
      </c>
      <c r="Y39" s="26">
        <f t="shared" si="7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11.3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>
        <v>0</v>
      </c>
      <c r="R40" s="25">
        <v>0</v>
      </c>
      <c r="S40" s="12">
        <f t="shared" si="0"/>
        <v>0</v>
      </c>
      <c r="T40" s="5">
        <v>0</v>
      </c>
      <c r="U40" s="12">
        <f t="shared" si="6"/>
        <v>0</v>
      </c>
      <c r="V40" s="25" t="s">
        <v>10</v>
      </c>
      <c r="W40" s="11">
        <f>IFERROR(VLOOKUP(V40,Curr!$B$2:$C$13,2,FALSE),0)</f>
        <v>11.3</v>
      </c>
      <c r="X40" s="12">
        <f t="shared" si="1"/>
        <v>0</v>
      </c>
      <c r="Y40" s="26">
        <f t="shared" si="7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11.3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>
        <v>0</v>
      </c>
      <c r="R41" s="25">
        <v>0</v>
      </c>
      <c r="S41" s="12">
        <f t="shared" si="0"/>
        <v>0</v>
      </c>
      <c r="T41" s="5">
        <v>0</v>
      </c>
      <c r="U41" s="12">
        <f t="shared" si="6"/>
        <v>0</v>
      </c>
      <c r="V41" s="25" t="s">
        <v>10</v>
      </c>
      <c r="W41" s="11">
        <f>IFERROR(VLOOKUP(V41,Curr!$B$2:$C$13,2,FALSE),0)</f>
        <v>11.3</v>
      </c>
      <c r="X41" s="12">
        <f t="shared" si="1"/>
        <v>0</v>
      </c>
      <c r="Y41" s="26">
        <f t="shared" si="7"/>
        <v>0</v>
      </c>
      <c r="Z41" s="12">
        <f t="shared" si="2"/>
        <v>0</v>
      </c>
      <c r="AA41" s="4" t="s">
        <v>10</v>
      </c>
      <c r="AB41" s="11">
        <f>IFERROR(VLOOKUP(AA41,Curr!$B$2:$C$13,2,FALSE),0)</f>
        <v>11.3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 t="shared" si="0"/>
        <v>0</v>
      </c>
      <c r="T42" s="5">
        <v>0</v>
      </c>
      <c r="U42" s="12">
        <f t="shared" si="6"/>
        <v>0</v>
      </c>
      <c r="V42" s="25" t="s">
        <v>10</v>
      </c>
      <c r="W42" s="11">
        <f>IFERROR(VLOOKUP(V42,Curr!$B$2:$C$13,2,FALSE),0)</f>
        <v>11.3</v>
      </c>
      <c r="X42" s="12">
        <f t="shared" si="1"/>
        <v>0</v>
      </c>
      <c r="Y42" s="26">
        <f t="shared" si="7"/>
        <v>0</v>
      </c>
      <c r="Z42" s="12">
        <f t="shared" si="2"/>
        <v>0</v>
      </c>
      <c r="AA42" s="4" t="s">
        <v>10</v>
      </c>
      <c r="AB42" s="11">
        <f>IFERROR(VLOOKUP(AA42,Curr!$B$2:$C$13,2,FALSE),0)</f>
        <v>11.3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>
        <v>0</v>
      </c>
      <c r="R43" s="25">
        <v>0</v>
      </c>
      <c r="S43" s="12">
        <f t="shared" si="0"/>
        <v>0</v>
      </c>
      <c r="T43" s="5">
        <v>0</v>
      </c>
      <c r="U43" s="12">
        <f t="shared" si="6"/>
        <v>0</v>
      </c>
      <c r="V43" s="25" t="s">
        <v>10</v>
      </c>
      <c r="W43" s="11">
        <f>IFERROR(VLOOKUP(V43,Curr!$B$2:$C$13,2,FALSE),0)</f>
        <v>11.3</v>
      </c>
      <c r="X43" s="12">
        <f t="shared" si="1"/>
        <v>0</v>
      </c>
      <c r="Y43" s="26">
        <f t="shared" si="7"/>
        <v>0</v>
      </c>
      <c r="Z43" s="12">
        <f t="shared" si="2"/>
        <v>0</v>
      </c>
      <c r="AA43" s="4" t="s">
        <v>10</v>
      </c>
      <c r="AB43" s="11">
        <f>IFERROR(VLOOKUP(AA43,Curr!$B$2:$C$13,2,FALSE),0)</f>
        <v>11.3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>
        <v>0</v>
      </c>
      <c r="R44" s="25">
        <v>0</v>
      </c>
      <c r="S44" s="12">
        <f t="shared" si="0"/>
        <v>0</v>
      </c>
      <c r="T44" s="5">
        <v>0</v>
      </c>
      <c r="U44" s="12">
        <f t="shared" si="6"/>
        <v>0</v>
      </c>
      <c r="V44" s="25" t="s">
        <v>10</v>
      </c>
      <c r="W44" s="11">
        <f>IFERROR(VLOOKUP(V44,Curr!$B$2:$C$13,2,FALSE),0)</f>
        <v>11.3</v>
      </c>
      <c r="X44" s="12">
        <f t="shared" si="1"/>
        <v>0</v>
      </c>
      <c r="Y44" s="26">
        <f t="shared" si="7"/>
        <v>0</v>
      </c>
      <c r="Z44" s="12">
        <f t="shared" si="2"/>
        <v>0</v>
      </c>
      <c r="AA44" s="4" t="s">
        <v>10</v>
      </c>
      <c r="AB44" s="11">
        <f>IFERROR(VLOOKUP(AA44,Curr!$B$2:$C$13,2,FALSE),0)</f>
        <v>11.3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>
        <v>0</v>
      </c>
      <c r="R45" s="25">
        <v>0</v>
      </c>
      <c r="S45" s="12">
        <f t="shared" si="0"/>
        <v>0</v>
      </c>
      <c r="T45" s="5">
        <v>0</v>
      </c>
      <c r="U45" s="12">
        <f t="shared" si="6"/>
        <v>0</v>
      </c>
      <c r="V45" s="25" t="s">
        <v>10</v>
      </c>
      <c r="W45" s="11">
        <f>IFERROR(VLOOKUP(V45,Curr!$B$2:$C$13,2,FALSE),0)</f>
        <v>11.3</v>
      </c>
      <c r="X45" s="12">
        <f t="shared" si="1"/>
        <v>0</v>
      </c>
      <c r="Y45" s="26">
        <f t="shared" si="7"/>
        <v>0</v>
      </c>
      <c r="Z45" s="12">
        <f t="shared" si="2"/>
        <v>0</v>
      </c>
      <c r="AA45" s="4" t="s">
        <v>10</v>
      </c>
      <c r="AB45" s="11">
        <f>IFERROR(VLOOKUP(AA45,Curr!$B$2:$C$13,2,FALSE),0)</f>
        <v>11.3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>
        <v>0</v>
      </c>
      <c r="R46" s="25">
        <v>0</v>
      </c>
      <c r="S46" s="12">
        <f t="shared" si="0"/>
        <v>0</v>
      </c>
      <c r="T46" s="5">
        <v>0</v>
      </c>
      <c r="U46" s="12">
        <f t="shared" si="6"/>
        <v>0</v>
      </c>
      <c r="V46" s="25" t="s">
        <v>10</v>
      </c>
      <c r="W46" s="11">
        <f>IFERROR(VLOOKUP(V46,Curr!$B$2:$C$13,2,FALSE),0)</f>
        <v>11.3</v>
      </c>
      <c r="X46" s="12">
        <f t="shared" si="1"/>
        <v>0</v>
      </c>
      <c r="Y46" s="26">
        <f t="shared" si="7"/>
        <v>0</v>
      </c>
      <c r="Z46" s="12">
        <f t="shared" si="2"/>
        <v>0</v>
      </c>
      <c r="AA46" s="4" t="s">
        <v>10</v>
      </c>
      <c r="AB46" s="11">
        <f>IFERROR(VLOOKUP(AA46,Curr!$B$2:$C$13,2,FALSE),0)</f>
        <v>11.3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>
        <v>0</v>
      </c>
      <c r="R47" s="25">
        <v>0</v>
      </c>
      <c r="S47" s="12">
        <f t="shared" si="0"/>
        <v>0</v>
      </c>
      <c r="T47" s="5">
        <v>0</v>
      </c>
      <c r="U47" s="12">
        <f t="shared" si="6"/>
        <v>0</v>
      </c>
      <c r="V47" s="25" t="s">
        <v>10</v>
      </c>
      <c r="W47" s="11">
        <f>IFERROR(VLOOKUP(V47,Curr!$B$2:$C$13,2,FALSE),0)</f>
        <v>11.3</v>
      </c>
      <c r="X47" s="12">
        <f t="shared" si="1"/>
        <v>0</v>
      </c>
      <c r="Y47" s="26">
        <f t="shared" si="7"/>
        <v>0</v>
      </c>
      <c r="Z47" s="12">
        <f t="shared" si="2"/>
        <v>0</v>
      </c>
      <c r="AA47" s="4" t="s">
        <v>10</v>
      </c>
      <c r="AB47" s="11">
        <f>IFERROR(VLOOKUP(AA47,Curr!$B$2:$C$13,2,FALSE),0)</f>
        <v>11.3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27"/>
      <c r="Q48" s="25">
        <v>0</v>
      </c>
      <c r="R48" s="25">
        <v>0</v>
      </c>
      <c r="S48" s="12">
        <f t="shared" si="0"/>
        <v>0</v>
      </c>
      <c r="T48" s="5">
        <v>0</v>
      </c>
      <c r="U48" s="12">
        <f t="shared" si="6"/>
        <v>0</v>
      </c>
      <c r="V48" s="25" t="s">
        <v>10</v>
      </c>
      <c r="W48" s="11">
        <f>IFERROR(VLOOKUP(V48,Curr!$B$2:$C$13,2,FALSE),0)</f>
        <v>11.3</v>
      </c>
      <c r="X48" s="12">
        <f t="shared" si="1"/>
        <v>0</v>
      </c>
      <c r="Y48" s="26">
        <f t="shared" si="7"/>
        <v>0</v>
      </c>
      <c r="Z48" s="12">
        <f t="shared" si="2"/>
        <v>0</v>
      </c>
      <c r="AA48" s="4" t="s">
        <v>10</v>
      </c>
      <c r="AB48" s="11">
        <f>IFERROR(VLOOKUP(AA48,Curr!$B$2:$C$13,2,FALSE),0)</f>
        <v>11.3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1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27"/>
      <c r="Q49" s="25">
        <v>0</v>
      </c>
      <c r="R49" s="25">
        <v>0</v>
      </c>
      <c r="S49" s="12">
        <f t="shared" si="0"/>
        <v>0</v>
      </c>
      <c r="T49" s="5">
        <v>0</v>
      </c>
      <c r="U49" s="12">
        <f t="shared" si="6"/>
        <v>0</v>
      </c>
      <c r="V49" s="25" t="s">
        <v>10</v>
      </c>
      <c r="W49" s="11">
        <f>IFERROR(VLOOKUP(V49,Curr!$B$2:$C$13,2,FALSE),0)</f>
        <v>11.3</v>
      </c>
      <c r="X49" s="12">
        <f t="shared" si="1"/>
        <v>0</v>
      </c>
      <c r="Y49" s="26">
        <f t="shared" si="7"/>
        <v>0</v>
      </c>
      <c r="Z49" s="12">
        <f t="shared" si="2"/>
        <v>0</v>
      </c>
      <c r="AA49" s="4" t="s">
        <v>10</v>
      </c>
      <c r="AB49" s="11">
        <f>IFERROR(VLOOKUP(AA49,Curr!$B$2:$C$13,2,FALSE),0)</f>
        <v>11.3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1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>
        <v>0</v>
      </c>
      <c r="R50" s="25">
        <v>0</v>
      </c>
      <c r="S50" s="12">
        <f t="shared" si="0"/>
        <v>0</v>
      </c>
      <c r="T50" s="5">
        <v>0</v>
      </c>
      <c r="U50" s="12">
        <f t="shared" si="6"/>
        <v>0</v>
      </c>
      <c r="V50" s="25" t="s">
        <v>10</v>
      </c>
      <c r="W50" s="11">
        <f>IFERROR(VLOOKUP(V50,Curr!$B$2:$C$13,2,FALSE),0)</f>
        <v>11.3</v>
      </c>
      <c r="X50" s="12">
        <f t="shared" si="1"/>
        <v>0</v>
      </c>
      <c r="Y50" s="26">
        <f t="shared" si="7"/>
        <v>0</v>
      </c>
      <c r="Z50" s="12">
        <f t="shared" si="2"/>
        <v>0</v>
      </c>
      <c r="AA50" s="4" t="s">
        <v>10</v>
      </c>
      <c r="AB50" s="11">
        <f>IFERROR(VLOOKUP(AA50,Curr!$B$2:$C$13,2,FALSE),0)</f>
        <v>11.3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1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>
        <v>0</v>
      </c>
      <c r="R51" s="25">
        <v>0</v>
      </c>
      <c r="S51" s="12">
        <f t="shared" si="0"/>
        <v>0</v>
      </c>
      <c r="T51" s="5">
        <v>0</v>
      </c>
      <c r="U51" s="12">
        <f t="shared" si="6"/>
        <v>0</v>
      </c>
      <c r="V51" s="25" t="s">
        <v>10</v>
      </c>
      <c r="W51" s="11">
        <f>IFERROR(VLOOKUP(V51,Curr!$B$2:$C$13,2,FALSE),0)</f>
        <v>11.3</v>
      </c>
      <c r="X51" s="12">
        <f t="shared" si="1"/>
        <v>0</v>
      </c>
      <c r="Y51" s="26">
        <f t="shared" si="7"/>
        <v>0</v>
      </c>
      <c r="Z51" s="12">
        <f t="shared" si="2"/>
        <v>0</v>
      </c>
      <c r="AA51" s="4" t="s">
        <v>10</v>
      </c>
      <c r="AB51" s="11">
        <f>IFERROR(VLOOKUP(AA51,Curr!$B$2:$C$13,2,FALSE),0)</f>
        <v>11.3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1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>
        <v>0</v>
      </c>
      <c r="R52" s="25">
        <v>0</v>
      </c>
      <c r="S52" s="12">
        <f t="shared" si="0"/>
        <v>0</v>
      </c>
      <c r="T52" s="5">
        <v>0</v>
      </c>
      <c r="U52" s="12">
        <f t="shared" si="6"/>
        <v>0</v>
      </c>
      <c r="V52" s="25" t="s">
        <v>10</v>
      </c>
      <c r="W52" s="11">
        <f>IFERROR(VLOOKUP(V52,Curr!$B$2:$C$13,2,FALSE),0)</f>
        <v>11.3</v>
      </c>
      <c r="X52" s="12">
        <f t="shared" si="1"/>
        <v>0</v>
      </c>
      <c r="Y52" s="26">
        <f t="shared" si="7"/>
        <v>0</v>
      </c>
      <c r="Z52" s="12">
        <f t="shared" si="2"/>
        <v>0</v>
      </c>
      <c r="AA52" s="4" t="s">
        <v>10</v>
      </c>
      <c r="AB52" s="11">
        <f>IFERROR(VLOOKUP(AA52,Curr!$B$2:$C$13,2,FALSE),0)</f>
        <v>11.3</v>
      </c>
      <c r="AC52" s="12">
        <f t="shared" si="3"/>
        <v>0</v>
      </c>
      <c r="AD52" s="12">
        <f t="shared" si="4"/>
        <v>0</v>
      </c>
      <c r="AE52" s="13">
        <f t="shared" si="5"/>
        <v>0</v>
      </c>
    </row>
    <row r="53" spans="2:31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>
        <v>0</v>
      </c>
      <c r="R53" s="25">
        <v>0</v>
      </c>
      <c r="S53" s="12">
        <f t="shared" si="0"/>
        <v>0</v>
      </c>
      <c r="T53" s="5">
        <v>0</v>
      </c>
      <c r="U53" s="12">
        <f t="shared" si="6"/>
        <v>0</v>
      </c>
      <c r="V53" s="25" t="s">
        <v>10</v>
      </c>
      <c r="W53" s="11">
        <f>IFERROR(VLOOKUP(V53,Curr!$B$2:$C$13,2,FALSE),0)</f>
        <v>11.3</v>
      </c>
      <c r="X53" s="12">
        <f t="shared" si="1"/>
        <v>0</v>
      </c>
      <c r="Y53" s="26">
        <f t="shared" si="7"/>
        <v>0</v>
      </c>
      <c r="Z53" s="12">
        <f t="shared" si="2"/>
        <v>0</v>
      </c>
      <c r="AA53" s="4" t="s">
        <v>10</v>
      </c>
      <c r="AB53" s="11">
        <f>IFERROR(VLOOKUP(AA53,Curr!$B$2:$C$13,2,FALSE),0)</f>
        <v>11.3</v>
      </c>
      <c r="AC53" s="12">
        <f t="shared" si="3"/>
        <v>0</v>
      </c>
      <c r="AD53" s="12">
        <f t="shared" si="4"/>
        <v>0</v>
      </c>
      <c r="AE53" s="13">
        <f t="shared" si="5"/>
        <v>0</v>
      </c>
    </row>
    <row r="54" spans="2:31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>
        <v>0</v>
      </c>
      <c r="R54" s="25">
        <v>0</v>
      </c>
      <c r="S54" s="12">
        <f t="shared" si="0"/>
        <v>0</v>
      </c>
      <c r="T54" s="5">
        <v>0</v>
      </c>
      <c r="U54" s="12">
        <f t="shared" si="6"/>
        <v>0</v>
      </c>
      <c r="V54" s="25" t="s">
        <v>10</v>
      </c>
      <c r="W54" s="11">
        <f>IFERROR(VLOOKUP(V54,Curr!$B$2:$C$13,2,FALSE),0)</f>
        <v>11.3</v>
      </c>
      <c r="X54" s="12">
        <f t="shared" si="1"/>
        <v>0</v>
      </c>
      <c r="Y54" s="26">
        <f t="shared" si="7"/>
        <v>0</v>
      </c>
      <c r="Z54" s="12">
        <f t="shared" si="2"/>
        <v>0</v>
      </c>
      <c r="AA54" s="4" t="s">
        <v>10</v>
      </c>
      <c r="AB54" s="11">
        <f>IFERROR(VLOOKUP(AA54,Curr!$B$2:$C$13,2,FALSE),0)</f>
        <v>11.3</v>
      </c>
      <c r="AC54" s="12">
        <f t="shared" si="3"/>
        <v>0</v>
      </c>
      <c r="AD54" s="12">
        <f t="shared" si="4"/>
        <v>0</v>
      </c>
      <c r="AE54" s="13">
        <f t="shared" si="5"/>
        <v>0</v>
      </c>
    </row>
    <row r="55" spans="2:31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>
        <v>0</v>
      </c>
      <c r="R55" s="25">
        <v>0</v>
      </c>
      <c r="S55" s="12">
        <f t="shared" si="0"/>
        <v>0</v>
      </c>
      <c r="T55" s="5">
        <v>0</v>
      </c>
      <c r="U55" s="12">
        <f t="shared" si="6"/>
        <v>0</v>
      </c>
      <c r="V55" s="25" t="s">
        <v>10</v>
      </c>
      <c r="W55" s="11">
        <f>IFERROR(VLOOKUP(V55,Curr!$B$2:$C$13,2,FALSE),0)</f>
        <v>11.3</v>
      </c>
      <c r="X55" s="12">
        <f t="shared" si="1"/>
        <v>0</v>
      </c>
      <c r="Y55" s="26">
        <f t="shared" si="7"/>
        <v>0</v>
      </c>
      <c r="Z55" s="12">
        <f t="shared" si="2"/>
        <v>0</v>
      </c>
      <c r="AA55" s="4" t="s">
        <v>10</v>
      </c>
      <c r="AB55" s="11">
        <f>IFERROR(VLOOKUP(AA55,Curr!$B$2:$C$13,2,FALSE),0)</f>
        <v>11.3</v>
      </c>
      <c r="AC55" s="12">
        <f t="shared" si="3"/>
        <v>0</v>
      </c>
      <c r="AD55" s="12">
        <f t="shared" si="4"/>
        <v>0</v>
      </c>
      <c r="AE55" s="13">
        <f t="shared" si="5"/>
        <v>0</v>
      </c>
    </row>
    <row r="56" spans="2:31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>
        <v>0</v>
      </c>
      <c r="R56" s="25">
        <v>0</v>
      </c>
      <c r="S56" s="12">
        <f t="shared" si="0"/>
        <v>0</v>
      </c>
      <c r="T56" s="5">
        <v>0</v>
      </c>
      <c r="U56" s="12">
        <f t="shared" si="6"/>
        <v>0</v>
      </c>
      <c r="V56" s="25" t="s">
        <v>10</v>
      </c>
      <c r="W56" s="11">
        <f>IFERROR(VLOOKUP(V56,Curr!$B$2:$C$13,2,FALSE),0)</f>
        <v>11.3</v>
      </c>
      <c r="X56" s="12">
        <f t="shared" si="1"/>
        <v>0</v>
      </c>
      <c r="Y56" s="26">
        <f t="shared" si="7"/>
        <v>0</v>
      </c>
      <c r="Z56" s="12">
        <f t="shared" si="2"/>
        <v>0</v>
      </c>
      <c r="AA56" s="4" t="s">
        <v>10</v>
      </c>
      <c r="AB56" s="11">
        <f>IFERROR(VLOOKUP(AA56,Curr!$B$2:$C$13,2,FALSE),0)</f>
        <v>11.3</v>
      </c>
      <c r="AC56" s="12">
        <f t="shared" si="3"/>
        <v>0</v>
      </c>
      <c r="AD56" s="12">
        <f t="shared" si="4"/>
        <v>0</v>
      </c>
      <c r="AE56" s="13">
        <f t="shared" si="5"/>
        <v>0</v>
      </c>
    </row>
    <row r="57" spans="2:31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>
        <v>0</v>
      </c>
      <c r="R57" s="25">
        <v>0</v>
      </c>
      <c r="S57" s="12">
        <f t="shared" si="0"/>
        <v>0</v>
      </c>
      <c r="T57" s="5">
        <v>0</v>
      </c>
      <c r="U57" s="12">
        <f t="shared" si="6"/>
        <v>0</v>
      </c>
      <c r="V57" s="25" t="s">
        <v>10</v>
      </c>
      <c r="W57" s="11">
        <f>IFERROR(VLOOKUP(V57,Curr!$B$2:$C$13,2,FALSE),0)</f>
        <v>11.3</v>
      </c>
      <c r="X57" s="12">
        <f t="shared" si="1"/>
        <v>0</v>
      </c>
      <c r="Y57" s="26">
        <f t="shared" si="7"/>
        <v>0</v>
      </c>
      <c r="Z57" s="12">
        <f t="shared" si="2"/>
        <v>0</v>
      </c>
      <c r="AA57" s="4" t="s">
        <v>10</v>
      </c>
      <c r="AB57" s="11">
        <f>IFERROR(VLOOKUP(AA57,Curr!$B$2:$C$13,2,FALSE),0)</f>
        <v>11.3</v>
      </c>
      <c r="AC57" s="12">
        <f t="shared" si="3"/>
        <v>0</v>
      </c>
      <c r="AD57" s="12">
        <f t="shared" si="4"/>
        <v>0</v>
      </c>
      <c r="AE57" s="13">
        <f t="shared" si="5"/>
        <v>0</v>
      </c>
    </row>
    <row r="58" spans="2:31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27"/>
      <c r="Q58" s="25">
        <v>0</v>
      </c>
      <c r="R58" s="25">
        <v>0</v>
      </c>
      <c r="S58" s="12">
        <f t="shared" si="0"/>
        <v>0</v>
      </c>
      <c r="T58" s="5">
        <v>0</v>
      </c>
      <c r="U58" s="12">
        <f t="shared" si="6"/>
        <v>0</v>
      </c>
      <c r="V58" s="25" t="s">
        <v>10</v>
      </c>
      <c r="W58" s="11">
        <f>IFERROR(VLOOKUP(V58,Curr!$B$2:$C$13,2,FALSE),0)</f>
        <v>11.3</v>
      </c>
      <c r="X58" s="12">
        <f t="shared" si="1"/>
        <v>0</v>
      </c>
      <c r="Y58" s="26">
        <f t="shared" si="7"/>
        <v>0</v>
      </c>
      <c r="Z58" s="12">
        <f t="shared" si="2"/>
        <v>0</v>
      </c>
      <c r="AA58" s="4" t="s">
        <v>10</v>
      </c>
      <c r="AB58" s="11">
        <f>IFERROR(VLOOKUP(AA58,Curr!$B$2:$C$13,2,FALSE),0)</f>
        <v>11.3</v>
      </c>
      <c r="AC58" s="12">
        <f t="shared" si="3"/>
        <v>0</v>
      </c>
      <c r="AD58" s="12">
        <f t="shared" si="4"/>
        <v>0</v>
      </c>
      <c r="AE58" s="13">
        <f t="shared" si="5"/>
        <v>0</v>
      </c>
    </row>
    <row r="59" spans="2:31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33"/>
      <c r="Q59" s="25">
        <v>0</v>
      </c>
      <c r="R59" s="25">
        <v>0</v>
      </c>
      <c r="S59" s="12">
        <f t="shared" si="0"/>
        <v>0</v>
      </c>
      <c r="T59" s="5">
        <v>0</v>
      </c>
      <c r="U59" s="12">
        <f t="shared" si="6"/>
        <v>0</v>
      </c>
      <c r="V59" s="25" t="s">
        <v>10</v>
      </c>
      <c r="W59" s="11">
        <f>IFERROR(VLOOKUP(V59,Curr!$B$2:$C$13,2,FALSE),0)</f>
        <v>11.3</v>
      </c>
      <c r="X59" s="12">
        <f t="shared" si="1"/>
        <v>0</v>
      </c>
      <c r="Y59" s="26">
        <f t="shared" si="7"/>
        <v>0</v>
      </c>
      <c r="Z59" s="12">
        <f t="shared" si="2"/>
        <v>0</v>
      </c>
      <c r="AA59" s="4" t="s">
        <v>10</v>
      </c>
      <c r="AB59" s="11">
        <f>IFERROR(VLOOKUP(AA59,Curr!$B$2:$C$13,2,FALSE),0)</f>
        <v>11.3</v>
      </c>
      <c r="AC59" s="12">
        <f t="shared" si="3"/>
        <v>0</v>
      </c>
      <c r="AD59" s="12">
        <f t="shared" si="4"/>
        <v>0</v>
      </c>
      <c r="AE59" s="13">
        <f t="shared" si="5"/>
        <v>0</v>
      </c>
    </row>
    <row r="60" spans="2:31" x14ac:dyDescent="0.25">
      <c r="B60" s="4"/>
      <c r="E60" s="3"/>
      <c r="F60" s="3"/>
      <c r="G60" s="24"/>
      <c r="H60" s="24"/>
      <c r="K60" s="4"/>
      <c r="L60" s="4"/>
      <c r="M60" s="4"/>
      <c r="N60" s="4"/>
      <c r="O60" s="4"/>
      <c r="P60" s="27"/>
      <c r="Q60" s="25">
        <v>0</v>
      </c>
      <c r="R60" s="25">
        <v>0</v>
      </c>
      <c r="S60" s="12">
        <f t="shared" si="0"/>
        <v>0</v>
      </c>
      <c r="T60" s="5">
        <v>0</v>
      </c>
      <c r="U60" s="12">
        <f t="shared" si="6"/>
        <v>0</v>
      </c>
      <c r="V60" s="25" t="s">
        <v>10</v>
      </c>
      <c r="W60" s="11">
        <f>IFERROR(VLOOKUP(V60,Curr!$B$2:$C$13,2,FALSE),0)</f>
        <v>11.3</v>
      </c>
      <c r="X60" s="12">
        <f t="shared" si="1"/>
        <v>0</v>
      </c>
      <c r="Y60" s="26">
        <f t="shared" si="7"/>
        <v>0</v>
      </c>
      <c r="Z60" s="12">
        <f t="shared" si="2"/>
        <v>0</v>
      </c>
      <c r="AA60" s="4" t="s">
        <v>10</v>
      </c>
      <c r="AB60" s="11">
        <f>IFERROR(VLOOKUP(AA60,Curr!$B$2:$C$13,2,FALSE),0)</f>
        <v>11.3</v>
      </c>
      <c r="AC60" s="12">
        <f t="shared" si="3"/>
        <v>0</v>
      </c>
      <c r="AD60" s="12">
        <f t="shared" si="4"/>
        <v>0</v>
      </c>
      <c r="AE60" s="13">
        <f t="shared" si="5"/>
        <v>0</v>
      </c>
    </row>
    <row r="61" spans="2:31" x14ac:dyDescent="0.25">
      <c r="B61" s="4"/>
      <c r="E61" s="3"/>
      <c r="F61" s="3"/>
      <c r="G61" s="24"/>
      <c r="H61" s="24"/>
      <c r="K61" s="4"/>
      <c r="L61" s="4"/>
      <c r="M61" s="4"/>
      <c r="N61" s="4"/>
      <c r="O61" s="4"/>
      <c r="P61" s="33"/>
      <c r="Q61" s="25">
        <v>0</v>
      </c>
      <c r="R61" s="25">
        <v>0</v>
      </c>
      <c r="S61" s="12">
        <f t="shared" si="0"/>
        <v>0</v>
      </c>
      <c r="T61" s="5">
        <v>0</v>
      </c>
      <c r="U61" s="12">
        <f t="shared" si="6"/>
        <v>0</v>
      </c>
      <c r="V61" s="25" t="s">
        <v>10</v>
      </c>
      <c r="W61" s="11">
        <f>IFERROR(VLOOKUP(V61,Curr!$B$2:$C$13,2,FALSE),0)</f>
        <v>11.3</v>
      </c>
      <c r="X61" s="12">
        <f t="shared" si="1"/>
        <v>0</v>
      </c>
      <c r="Y61" s="26">
        <f t="shared" si="7"/>
        <v>0</v>
      </c>
      <c r="Z61" s="12">
        <f t="shared" si="2"/>
        <v>0</v>
      </c>
      <c r="AA61" s="4" t="s">
        <v>10</v>
      </c>
      <c r="AB61" s="11">
        <f>IFERROR(VLOOKUP(AA61,Curr!$B$2:$C$13,2,FALSE),0)</f>
        <v>11.3</v>
      </c>
      <c r="AC61" s="12">
        <f t="shared" si="3"/>
        <v>0</v>
      </c>
      <c r="AD61" s="12">
        <f t="shared" si="4"/>
        <v>0</v>
      </c>
      <c r="AE61" s="13">
        <f t="shared" si="5"/>
        <v>0</v>
      </c>
    </row>
    <row r="62" spans="2:31" x14ac:dyDescent="0.25">
      <c r="B62" s="4"/>
      <c r="E62" s="3"/>
      <c r="F62" s="3"/>
      <c r="G62" s="24"/>
      <c r="H62" s="24"/>
      <c r="K62" s="4"/>
      <c r="L62" s="4"/>
      <c r="M62" s="4"/>
      <c r="N62" s="4"/>
      <c r="O62" s="4"/>
      <c r="P62" s="33"/>
      <c r="Q62" s="25">
        <v>0</v>
      </c>
      <c r="R62" s="25">
        <v>0</v>
      </c>
      <c r="S62" s="12">
        <f t="shared" si="0"/>
        <v>0</v>
      </c>
      <c r="T62" s="5">
        <v>0</v>
      </c>
      <c r="U62" s="12">
        <f t="shared" si="6"/>
        <v>0</v>
      </c>
      <c r="V62" s="25" t="s">
        <v>10</v>
      </c>
      <c r="W62" s="11">
        <f>IFERROR(VLOOKUP(V62,Curr!$B$2:$C$13,2,FALSE),0)</f>
        <v>11.3</v>
      </c>
      <c r="X62" s="12">
        <f t="shared" si="1"/>
        <v>0</v>
      </c>
      <c r="Y62" s="26">
        <f t="shared" si="7"/>
        <v>0</v>
      </c>
      <c r="Z62" s="12">
        <f t="shared" si="2"/>
        <v>0</v>
      </c>
      <c r="AA62" s="4" t="s">
        <v>10</v>
      </c>
      <c r="AB62" s="11">
        <f>IFERROR(VLOOKUP(AA62,Curr!$B$2:$C$13,2,FALSE),0)</f>
        <v>11.3</v>
      </c>
      <c r="AC62" s="12">
        <f t="shared" si="3"/>
        <v>0</v>
      </c>
      <c r="AD62" s="12">
        <f t="shared" si="4"/>
        <v>0</v>
      </c>
      <c r="AE62" s="13">
        <f t="shared" si="5"/>
        <v>0</v>
      </c>
    </row>
    <row r="63" spans="2:31" x14ac:dyDescent="0.25">
      <c r="B63" s="4"/>
      <c r="E63" s="3"/>
      <c r="F63" s="3"/>
      <c r="G63" s="24"/>
      <c r="H63" s="24"/>
      <c r="K63" s="4"/>
      <c r="L63" s="4"/>
      <c r="M63" s="4"/>
      <c r="N63" s="4"/>
      <c r="O63" s="4"/>
      <c r="P63" s="27"/>
      <c r="Q63" s="25">
        <v>0</v>
      </c>
      <c r="R63" s="25">
        <v>0</v>
      </c>
      <c r="S63" s="12">
        <f t="shared" si="0"/>
        <v>0</v>
      </c>
      <c r="T63" s="5">
        <v>0</v>
      </c>
      <c r="U63" s="12">
        <f t="shared" si="6"/>
        <v>0</v>
      </c>
      <c r="V63" s="25" t="s">
        <v>10</v>
      </c>
      <c r="W63" s="11">
        <f>IFERROR(VLOOKUP(V63,Curr!$B$2:$C$13,2,FALSE),0)</f>
        <v>11.3</v>
      </c>
      <c r="X63" s="12">
        <f t="shared" si="1"/>
        <v>0</v>
      </c>
      <c r="Y63" s="26">
        <f t="shared" si="7"/>
        <v>0</v>
      </c>
      <c r="Z63" s="12">
        <f t="shared" si="2"/>
        <v>0</v>
      </c>
      <c r="AA63" s="4" t="s">
        <v>10</v>
      </c>
      <c r="AB63" s="11">
        <f>IFERROR(VLOOKUP(AA63,Curr!$B$2:$C$13,2,FALSE),0)</f>
        <v>11.3</v>
      </c>
      <c r="AC63" s="12">
        <f t="shared" si="3"/>
        <v>0</v>
      </c>
      <c r="AD63" s="12">
        <f t="shared" si="4"/>
        <v>0</v>
      </c>
      <c r="AE63" s="13">
        <f t="shared" si="5"/>
        <v>0</v>
      </c>
    </row>
    <row r="64" spans="2:31" x14ac:dyDescent="0.25">
      <c r="B64" s="4"/>
      <c r="E64" s="3"/>
      <c r="F64" s="3"/>
      <c r="G64" s="24"/>
      <c r="H64" s="24"/>
      <c r="K64" s="4"/>
      <c r="L64" s="4"/>
      <c r="M64" s="4"/>
      <c r="N64" s="4"/>
      <c r="O64" s="4"/>
      <c r="P64" s="33"/>
      <c r="Q64" s="25">
        <v>0</v>
      </c>
      <c r="R64" s="25">
        <v>0</v>
      </c>
      <c r="S64" s="12">
        <f t="shared" si="0"/>
        <v>0</v>
      </c>
      <c r="T64" s="5">
        <v>0</v>
      </c>
      <c r="U64" s="12">
        <f t="shared" si="6"/>
        <v>0</v>
      </c>
      <c r="V64" s="25" t="s">
        <v>10</v>
      </c>
      <c r="W64" s="11">
        <f>IFERROR(VLOOKUP(V64,Curr!$B$2:$C$13,2,FALSE),0)</f>
        <v>11.3</v>
      </c>
      <c r="X64" s="12">
        <f t="shared" si="1"/>
        <v>0</v>
      </c>
      <c r="Y64" s="26">
        <f t="shared" si="7"/>
        <v>0</v>
      </c>
      <c r="Z64" s="12">
        <f t="shared" si="2"/>
        <v>0</v>
      </c>
      <c r="AA64" s="4" t="s">
        <v>10</v>
      </c>
      <c r="AB64" s="11">
        <f>IFERROR(VLOOKUP(AA64,Curr!$B$2:$C$13,2,FALSE),0)</f>
        <v>11.3</v>
      </c>
      <c r="AC64" s="12">
        <f t="shared" si="3"/>
        <v>0</v>
      </c>
      <c r="AD64" s="12">
        <f t="shared" si="4"/>
        <v>0</v>
      </c>
      <c r="AE64" s="13">
        <f t="shared" si="5"/>
        <v>0</v>
      </c>
    </row>
    <row r="65" spans="2:36" x14ac:dyDescent="0.25">
      <c r="B65" s="4"/>
      <c r="E65" s="3"/>
      <c r="F65" s="3"/>
      <c r="G65" s="24"/>
      <c r="H65" s="24"/>
      <c r="K65" s="4"/>
      <c r="L65" s="4"/>
      <c r="M65" s="4"/>
      <c r="N65" s="4"/>
      <c r="O65" s="4"/>
      <c r="P65" s="27"/>
      <c r="Q65" s="25">
        <v>0</v>
      </c>
      <c r="R65" s="25">
        <v>0</v>
      </c>
      <c r="S65" s="12">
        <f t="shared" si="0"/>
        <v>0</v>
      </c>
      <c r="T65" s="5">
        <v>0</v>
      </c>
      <c r="U65" s="12">
        <f t="shared" si="6"/>
        <v>0</v>
      </c>
      <c r="V65" s="25" t="s">
        <v>10</v>
      </c>
      <c r="W65" s="11">
        <f>IFERROR(VLOOKUP(V65,Curr!$B$2:$C$13,2,FALSE),0)</f>
        <v>11.3</v>
      </c>
      <c r="X65" s="12">
        <f t="shared" si="1"/>
        <v>0</v>
      </c>
      <c r="Y65" s="26">
        <f t="shared" si="7"/>
        <v>0</v>
      </c>
      <c r="Z65" s="12">
        <f t="shared" si="2"/>
        <v>0</v>
      </c>
      <c r="AA65" s="4" t="s">
        <v>10</v>
      </c>
      <c r="AB65" s="11">
        <f>IFERROR(VLOOKUP(AA65,Curr!$B$2:$C$13,2,FALSE),0)</f>
        <v>11.3</v>
      </c>
      <c r="AC65" s="12">
        <f t="shared" si="3"/>
        <v>0</v>
      </c>
      <c r="AD65" s="12">
        <f t="shared" si="4"/>
        <v>0</v>
      </c>
      <c r="AE65" s="13">
        <f t="shared" si="5"/>
        <v>0</v>
      </c>
    </row>
    <row r="66" spans="2:36" x14ac:dyDescent="0.25">
      <c r="B66" s="4"/>
      <c r="E66" s="3"/>
      <c r="F66" s="3"/>
      <c r="G66" s="3"/>
      <c r="H66" s="3"/>
      <c r="L66" s="4"/>
      <c r="M66" s="4"/>
      <c r="N66" s="4"/>
      <c r="O66" s="4"/>
      <c r="P66" s="22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2:36" x14ac:dyDescent="0.25">
      <c r="B67" s="14" t="s">
        <v>18</v>
      </c>
      <c r="C67" s="14"/>
      <c r="D67" s="28" t="s">
        <v>42</v>
      </c>
      <c r="E67" s="30" t="s">
        <v>42</v>
      </c>
      <c r="F67" s="30" t="s">
        <v>42</v>
      </c>
      <c r="G67" s="30" t="s">
        <v>42</v>
      </c>
      <c r="H67" s="30" t="s">
        <v>42</v>
      </c>
      <c r="I67" s="28" t="s">
        <v>42</v>
      </c>
      <c r="J67" s="28" t="s">
        <v>42</v>
      </c>
      <c r="K67" s="28" t="s">
        <v>42</v>
      </c>
      <c r="L67" s="28" t="s">
        <v>42</v>
      </c>
      <c r="M67" s="28" t="s">
        <v>42</v>
      </c>
      <c r="N67" s="28" t="s">
        <v>42</v>
      </c>
      <c r="O67" s="28" t="s">
        <v>42</v>
      </c>
      <c r="P67" s="28" t="s">
        <v>42</v>
      </c>
      <c r="Q67" s="31" t="s">
        <v>42</v>
      </c>
      <c r="R67" s="28" t="s">
        <v>42</v>
      </c>
      <c r="S67" s="32" t="s">
        <v>42</v>
      </c>
      <c r="T67" s="28" t="s">
        <v>42</v>
      </c>
      <c r="U67" s="32" t="s">
        <v>42</v>
      </c>
      <c r="V67" s="28" t="s">
        <v>42</v>
      </c>
      <c r="W67" s="28" t="s">
        <v>42</v>
      </c>
      <c r="X67" s="32" t="s">
        <v>42</v>
      </c>
      <c r="Y67" s="32" t="s">
        <v>42</v>
      </c>
      <c r="Z67" s="15">
        <f>SUM(Z7:Z65)</f>
        <v>0</v>
      </c>
      <c r="AA67" s="14"/>
      <c r="AB67" s="14"/>
      <c r="AC67" s="15">
        <f>SUM(AC7:AC65)</f>
        <v>0</v>
      </c>
      <c r="AD67" s="15">
        <f>SUM(AD7:AD65)</f>
        <v>0</v>
      </c>
      <c r="AE67" s="21">
        <f t="shared" ref="AE67" si="8">IFERROR(AD67/AC67,0)</f>
        <v>0</v>
      </c>
      <c r="AF67" s="15">
        <f>SUM(AF8:AF66)</f>
        <v>0</v>
      </c>
      <c r="AG67" s="15">
        <f>SUM(AG8:AG66)</f>
        <v>0</v>
      </c>
      <c r="AH67" s="15">
        <f>SUM(AH8:AH66)</f>
        <v>0</v>
      </c>
      <c r="AI67" s="15">
        <f>SUM(AI8:AI66)</f>
        <v>0</v>
      </c>
      <c r="AJ67" s="15">
        <f>SUM(AJ8:AJ66)</f>
        <v>0</v>
      </c>
    </row>
    <row r="68" spans="2:36" x14ac:dyDescent="0.25">
      <c r="B68" s="4"/>
      <c r="E68" s="3"/>
      <c r="F68" s="3"/>
      <c r="G68" s="3"/>
      <c r="H68" s="3"/>
      <c r="L68" s="4"/>
      <c r="M68" s="4"/>
      <c r="N68" s="4"/>
      <c r="O68" s="4"/>
      <c r="Q68" s="4"/>
      <c r="R68" s="4"/>
      <c r="S68" s="4"/>
      <c r="T68" s="4"/>
      <c r="U68" s="4"/>
      <c r="V68" s="4"/>
      <c r="W68" s="4"/>
      <c r="X68" s="4"/>
      <c r="Y68" s="9"/>
      <c r="Z68" s="9"/>
      <c r="AA68" s="9"/>
      <c r="AB68" s="9"/>
      <c r="AC68" s="9"/>
      <c r="AD68" s="9"/>
      <c r="AE68" s="9"/>
    </row>
    <row r="69" spans="2:36" x14ac:dyDescent="0.25">
      <c r="B69" s="4"/>
      <c r="E69" s="3"/>
      <c r="F69" s="3"/>
      <c r="G69" s="3"/>
      <c r="H69" s="3"/>
      <c r="L69" s="4"/>
      <c r="M69" s="4"/>
      <c r="N69" s="4"/>
      <c r="O69" s="4"/>
      <c r="Q69" s="9"/>
      <c r="R69" s="9"/>
      <c r="S69" s="9"/>
      <c r="T69" s="9"/>
      <c r="U69" s="9"/>
      <c r="V69" s="9"/>
      <c r="W69" s="9"/>
      <c r="X69" s="23"/>
      <c r="Y69" s="34" t="s">
        <v>45</v>
      </c>
      <c r="Z69" s="34">
        <v>0</v>
      </c>
      <c r="AA69" s="9"/>
      <c r="AB69" s="9"/>
      <c r="AC69" s="9"/>
      <c r="AD69" s="9"/>
      <c r="AE69" s="9"/>
    </row>
    <row r="70" spans="2:36" x14ac:dyDescent="0.25">
      <c r="B70" s="4"/>
      <c r="E70" s="3"/>
      <c r="F70" s="3"/>
      <c r="G70" s="3"/>
      <c r="H70" s="3"/>
      <c r="L70" s="4"/>
      <c r="M70" s="4"/>
      <c r="N70" s="4"/>
      <c r="O70" s="4"/>
      <c r="Q70" s="9"/>
      <c r="R70" s="9"/>
      <c r="S70" s="9"/>
      <c r="T70" s="9"/>
      <c r="U70" s="9"/>
      <c r="V70" s="9"/>
      <c r="W70" s="9"/>
      <c r="X70" s="9"/>
      <c r="Y70" s="34" t="s">
        <v>46</v>
      </c>
      <c r="Z70" s="34">
        <f>Z69/2</f>
        <v>0</v>
      </c>
      <c r="AA70" s="9"/>
      <c r="AB70" s="9"/>
      <c r="AC70" s="9"/>
      <c r="AD70" s="9"/>
      <c r="AE70" s="9"/>
      <c r="AF70" s="18"/>
    </row>
    <row r="71" spans="2:36" x14ac:dyDescent="0.25">
      <c r="B71" s="4"/>
      <c r="E71" s="3"/>
      <c r="F71" s="3"/>
      <c r="G71" s="3"/>
      <c r="H71" s="3"/>
      <c r="I71" s="19"/>
      <c r="L71" s="4"/>
      <c r="M71" s="4"/>
      <c r="N71" s="4"/>
      <c r="O71" s="20"/>
      <c r="Q71" s="20"/>
      <c r="R71" s="20"/>
      <c r="S71" s="20"/>
      <c r="T71" s="20"/>
      <c r="U71" s="20"/>
      <c r="V71" s="20"/>
      <c r="W71" s="20"/>
      <c r="X71" s="20"/>
      <c r="Y71" s="9"/>
      <c r="Z71" s="9"/>
      <c r="AA71" s="9"/>
      <c r="AB71" s="9"/>
      <c r="AC71" s="9"/>
      <c r="AD71" s="9"/>
      <c r="AE71" s="9"/>
      <c r="AF71" s="18"/>
    </row>
    <row r="72" spans="2:36" x14ac:dyDescent="0.25">
      <c r="B72" s="4"/>
      <c r="E72" s="3"/>
      <c r="F72" s="3"/>
      <c r="G72" s="3"/>
      <c r="H72" s="3"/>
      <c r="L72" s="4"/>
      <c r="M72" s="4"/>
      <c r="N72" s="4"/>
      <c r="O72" s="20"/>
      <c r="Q72" s="20"/>
      <c r="R72" s="20"/>
      <c r="S72" s="20"/>
      <c r="T72" s="20"/>
      <c r="U72" s="20"/>
      <c r="V72" s="20"/>
      <c r="W72" s="20"/>
      <c r="X72" s="20"/>
      <c r="Y72" s="35" t="s">
        <v>83</v>
      </c>
      <c r="Z72" s="9">
        <f>Z69</f>
        <v>0</v>
      </c>
      <c r="AA72" s="9"/>
      <c r="AB72" s="9"/>
      <c r="AC72" s="9"/>
      <c r="AD72" s="9"/>
      <c r="AE72" s="9"/>
      <c r="AF72" s="18"/>
    </row>
    <row r="73" spans="2:36" x14ac:dyDescent="0.25">
      <c r="B73" s="4"/>
      <c r="E73" s="3"/>
      <c r="F73" s="3"/>
      <c r="G73" s="3"/>
      <c r="H73" s="3"/>
      <c r="L73" s="4"/>
      <c r="M73" s="4"/>
      <c r="N73" s="4"/>
      <c r="O73" s="4"/>
      <c r="Q73" s="9"/>
      <c r="R73" s="9"/>
      <c r="S73" s="9"/>
      <c r="T73" s="9"/>
      <c r="U73" s="9"/>
      <c r="V73" s="9"/>
      <c r="W73" s="9"/>
      <c r="X73" s="9"/>
      <c r="Y73" s="36" t="s">
        <v>84</v>
      </c>
      <c r="Z73" s="9">
        <f>Z72*1.15</f>
        <v>0</v>
      </c>
      <c r="AA73" s="9"/>
      <c r="AB73" s="9"/>
      <c r="AC73" s="9"/>
      <c r="AD73" s="9"/>
      <c r="AE73" s="9"/>
      <c r="AF73" s="18"/>
    </row>
    <row r="74" spans="2:36" x14ac:dyDescent="0.25">
      <c r="F74" s="1"/>
      <c r="G74" s="1"/>
      <c r="H74" s="1"/>
      <c r="J74" s="1" t="s">
        <v>32</v>
      </c>
      <c r="Q74" s="9"/>
      <c r="R74" s="4"/>
      <c r="S74" s="9"/>
      <c r="T74" s="5"/>
      <c r="U74" s="9"/>
      <c r="V74" s="4"/>
      <c r="W74" s="4"/>
      <c r="X74" s="9"/>
      <c r="Y74" s="36" t="s">
        <v>85</v>
      </c>
      <c r="Z74" s="9">
        <f>Z72*1.2</f>
        <v>0</v>
      </c>
      <c r="AA74" s="9"/>
      <c r="AB74" s="9"/>
      <c r="AC74" s="9"/>
      <c r="AD74" s="9"/>
      <c r="AE74" s="9"/>
    </row>
    <row r="75" spans="2:36" x14ac:dyDescent="0.25">
      <c r="R75" s="4"/>
      <c r="S75" s="17"/>
      <c r="T75" s="17"/>
      <c r="U75" s="9"/>
      <c r="V75" s="4"/>
      <c r="W75" s="4"/>
      <c r="X75" s="9"/>
      <c r="Y75" s="36" t="s">
        <v>86</v>
      </c>
      <c r="Z75" s="9">
        <f>Z72*0.84</f>
        <v>0</v>
      </c>
      <c r="AA75" s="9"/>
      <c r="AB75" s="9"/>
      <c r="AC75" s="9"/>
      <c r="AD75" s="9"/>
      <c r="AE75" s="9"/>
    </row>
    <row r="76" spans="2:36" x14ac:dyDescent="0.25">
      <c r="Q76" s="9"/>
      <c r="R76" s="4"/>
      <c r="S76" s="16"/>
      <c r="T76" s="16"/>
      <c r="U76" s="9"/>
      <c r="V76" s="4"/>
      <c r="W76" s="4"/>
      <c r="X76" s="9"/>
      <c r="Y76" s="9"/>
      <c r="Z76" s="9"/>
      <c r="AA76" s="9"/>
      <c r="AB76" s="9"/>
      <c r="AC76" s="9"/>
      <c r="AD76" s="9"/>
      <c r="AE76" s="9"/>
    </row>
    <row r="77" spans="2:36" x14ac:dyDescent="0.25">
      <c r="R77" s="4"/>
      <c r="S77" s="16"/>
      <c r="T77" s="16"/>
      <c r="Y77" s="9"/>
      <c r="Z77" s="9"/>
      <c r="AA77" s="9"/>
      <c r="AB77" s="9"/>
      <c r="AC77" s="9"/>
      <c r="AD77" s="9"/>
      <c r="AE77" s="9"/>
    </row>
    <row r="78" spans="2:36" x14ac:dyDescent="0.25">
      <c r="T78" s="5"/>
      <c r="Y78" s="9"/>
      <c r="Z78" s="9"/>
      <c r="AA78" s="9"/>
      <c r="AB78" s="9"/>
      <c r="AC78" s="9"/>
      <c r="AD78" s="9"/>
      <c r="AE78" s="9"/>
    </row>
    <row r="79" spans="2:36" x14ac:dyDescent="0.25">
      <c r="T79" s="5"/>
      <c r="Y79" s="9"/>
      <c r="Z79" s="9"/>
      <c r="AA79" s="9"/>
      <c r="AB79" s="9"/>
      <c r="AC79" s="9"/>
      <c r="AD79" s="9"/>
      <c r="AE79" s="9"/>
    </row>
    <row r="80" spans="2:36" x14ac:dyDescent="0.25">
      <c r="T80" s="5"/>
      <c r="Y80" s="9"/>
      <c r="Z80" s="9"/>
      <c r="AA80" s="9"/>
      <c r="AB80" s="9"/>
      <c r="AC80" s="9"/>
      <c r="AD80" s="9"/>
      <c r="AE80" s="9"/>
    </row>
    <row r="81" spans="20:31" x14ac:dyDescent="0.25">
      <c r="T81" s="5"/>
      <c r="Y81" s="9"/>
      <c r="Z81" s="9"/>
      <c r="AA81" s="9"/>
      <c r="AB81" s="9"/>
      <c r="AC81" s="9"/>
      <c r="AD81" s="9"/>
      <c r="AE81" s="9"/>
    </row>
    <row r="82" spans="20:31" x14ac:dyDescent="0.25">
      <c r="T82" s="5"/>
      <c r="Y82" s="9"/>
      <c r="Z82" s="9"/>
      <c r="AA82" s="9"/>
      <c r="AB82" s="9"/>
      <c r="AC82" s="9"/>
      <c r="AD82" s="9"/>
      <c r="AE82" s="9"/>
    </row>
    <row r="83" spans="20:31" x14ac:dyDescent="0.25">
      <c r="T83" s="5"/>
      <c r="Y83" s="9"/>
      <c r="Z83" s="9"/>
      <c r="AA83" s="9"/>
      <c r="AB83" s="9"/>
      <c r="AC83" s="9"/>
      <c r="AD83" s="9"/>
      <c r="AE83" s="9"/>
    </row>
    <row r="84" spans="20:31" x14ac:dyDescent="0.25">
      <c r="T84" s="5"/>
      <c r="Y84" s="9"/>
      <c r="Z84" s="9"/>
      <c r="AA84" s="9"/>
      <c r="AB84" s="9"/>
      <c r="AC84" s="9"/>
      <c r="AD84" s="9"/>
      <c r="AE84" s="9"/>
    </row>
    <row r="85" spans="20:31" x14ac:dyDescent="0.25">
      <c r="T85" s="5"/>
      <c r="Y85" s="9"/>
      <c r="Z85" s="9"/>
      <c r="AA85" s="9"/>
      <c r="AB85" s="9"/>
      <c r="AC85" s="9"/>
      <c r="AD85" s="9"/>
      <c r="AE85" s="9"/>
    </row>
    <row r="86" spans="20:31" x14ac:dyDescent="0.25">
      <c r="T86" s="5"/>
    </row>
    <row r="87" spans="20:31" x14ac:dyDescent="0.25">
      <c r="T87" s="5"/>
    </row>
    <row r="88" spans="20:31" x14ac:dyDescent="0.25">
      <c r="T88" s="5"/>
    </row>
    <row r="89" spans="20:31" x14ac:dyDescent="0.25">
      <c r="T89" s="5"/>
    </row>
    <row r="90" spans="20:31" x14ac:dyDescent="0.25">
      <c r="T90" s="5"/>
    </row>
  </sheetData>
  <autoFilter ref="B6:AE67" xr:uid="{65FA6D9B-E0AF-46CD-BA0D-86BB75FE6AB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9480-407D-481D-A70C-9436C4EE3C68}">
  <sheetPr>
    <tabColor rgb="FFFFFF00"/>
  </sheetPr>
  <dimension ref="B2:AK90"/>
  <sheetViews>
    <sheetView zoomScale="80" zoomScaleNormal="80" workbookViewId="0">
      <selection activeCell="C12" sqref="C12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47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48</v>
      </c>
      <c r="D7" s="1" t="s">
        <v>49</v>
      </c>
      <c r="E7" s="3"/>
      <c r="F7" s="3"/>
      <c r="G7" s="3"/>
      <c r="H7" s="3"/>
      <c r="J7" s="1" t="s">
        <v>50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65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11.3</v>
      </c>
      <c r="X7" s="12">
        <f t="shared" ref="X7:X65" si="1">U7*W7</f>
        <v>0</v>
      </c>
      <c r="Y7" s="26">
        <f>Q7</f>
        <v>0</v>
      </c>
      <c r="Z7" s="12">
        <f t="shared" ref="Z7:Z65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:AC65" si="3">+Y7*AB7*R7</f>
        <v>0</v>
      </c>
      <c r="AD7" s="12">
        <f t="shared" ref="AD7:AD65" si="4">+AC7-X7</f>
        <v>0</v>
      </c>
      <c r="AE7" s="13">
        <f t="shared" ref="AE7:AE65" si="5">IFERROR(AD7/AC7,0)</f>
        <v>0</v>
      </c>
    </row>
    <row r="8" spans="2:36" x14ac:dyDescent="0.25">
      <c r="B8" s="4"/>
      <c r="C8" s="1" t="s">
        <v>48</v>
      </c>
      <c r="D8" s="1" t="s">
        <v>87</v>
      </c>
      <c r="E8" s="3"/>
      <c r="F8" s="3"/>
      <c r="G8" s="24"/>
      <c r="H8" s="24"/>
      <c r="J8" s="1" t="s">
        <v>112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65" si="6">S8*(1-T8)</f>
        <v>0</v>
      </c>
      <c r="V8" s="25" t="s">
        <v>10</v>
      </c>
      <c r="W8" s="11">
        <f>IFERROR(VLOOKUP(V8,Curr!$B$2:$C$13,2,FALSE),0)</f>
        <v>11.3</v>
      </c>
      <c r="X8" s="12">
        <f t="shared" si="1"/>
        <v>0</v>
      </c>
      <c r="Y8" s="26">
        <f t="shared" ref="Y8:Y65" si="7">Q8</f>
        <v>0</v>
      </c>
      <c r="Z8" s="12">
        <f t="shared" si="2"/>
        <v>0</v>
      </c>
      <c r="AA8" s="4" t="s">
        <v>10</v>
      </c>
      <c r="AB8" s="11">
        <f>IFERROR(VLOOKUP(AA8,Curr!$B$2:$C$13,2,FALSE),0)</f>
        <v>11.3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48</v>
      </c>
      <c r="D9" s="1" t="s">
        <v>64</v>
      </c>
      <c r="E9" s="3"/>
      <c r="F9" s="3"/>
      <c r="G9" s="24"/>
      <c r="H9" s="24"/>
      <c r="J9" s="1" t="s">
        <v>113</v>
      </c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0"/>
        <v>0</v>
      </c>
      <c r="T9" s="5">
        <v>0</v>
      </c>
      <c r="U9" s="12">
        <f t="shared" si="6"/>
        <v>0</v>
      </c>
      <c r="V9" s="25" t="s">
        <v>10</v>
      </c>
      <c r="W9" s="11">
        <f>IFERROR(VLOOKUP(V9,Curr!$B$2:$C$13,2,FALSE),0)</f>
        <v>11.3</v>
      </c>
      <c r="X9" s="12">
        <f t="shared" si="1"/>
        <v>0</v>
      </c>
      <c r="Y9" s="26">
        <f t="shared" si="7"/>
        <v>0</v>
      </c>
      <c r="Z9" s="12">
        <f t="shared" si="2"/>
        <v>0</v>
      </c>
      <c r="AA9" s="4" t="s">
        <v>10</v>
      </c>
      <c r="AB9" s="11">
        <f>IFERROR(VLOOKUP(AA9,Curr!$B$2:$C$13,2,FALSE),0)</f>
        <v>11.3</v>
      </c>
      <c r="AC9" s="12">
        <f t="shared" si="3"/>
        <v>0</v>
      </c>
      <c r="AD9" s="12">
        <f t="shared" si="4"/>
        <v>0</v>
      </c>
      <c r="AE9" s="13">
        <f t="shared" si="5"/>
        <v>0</v>
      </c>
    </row>
    <row r="10" spans="2:36" x14ac:dyDescent="0.25">
      <c r="B10" s="4"/>
      <c r="C10" s="1" t="s">
        <v>48</v>
      </c>
      <c r="D10" s="1" t="s">
        <v>55</v>
      </c>
      <c r="E10" s="3"/>
      <c r="F10" s="3"/>
      <c r="G10" s="24"/>
      <c r="H10" s="24"/>
      <c r="J10" s="1" t="s">
        <v>56</v>
      </c>
      <c r="K10" s="4"/>
      <c r="L10" s="4"/>
      <c r="M10" s="4"/>
      <c r="N10" s="4"/>
      <c r="O10" s="4"/>
      <c r="P10" s="33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11.3</v>
      </c>
      <c r="X10" s="12">
        <f t="shared" si="1"/>
        <v>0</v>
      </c>
      <c r="Y10" s="26">
        <f t="shared" si="7"/>
        <v>0</v>
      </c>
      <c r="Z10" s="12">
        <f t="shared" si="2"/>
        <v>0</v>
      </c>
      <c r="AA10" s="4" t="s">
        <v>10</v>
      </c>
      <c r="AB10" s="11">
        <f>IFERROR(VLOOKUP(AA10,Curr!$B$2:$C$13,2,FALSE),0)</f>
        <v>11.3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11.3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11.3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27"/>
      <c r="Q12" s="25">
        <v>0</v>
      </c>
      <c r="R12" s="25">
        <v>0</v>
      </c>
      <c r="S12" s="12">
        <f t="shared" si="0"/>
        <v>0</v>
      </c>
      <c r="T12" s="5">
        <v>0</v>
      </c>
      <c r="U12" s="12">
        <f t="shared" si="6"/>
        <v>0</v>
      </c>
      <c r="V12" s="25" t="s">
        <v>10</v>
      </c>
      <c r="W12" s="11">
        <f>IFERROR(VLOOKUP(V12,Curr!$B$2:$C$13,2,FALSE),0)</f>
        <v>11.3</v>
      </c>
      <c r="X12" s="12">
        <f t="shared" si="1"/>
        <v>0</v>
      </c>
      <c r="Y12" s="26">
        <f t="shared" si="7"/>
        <v>0</v>
      </c>
      <c r="Z12" s="12">
        <f t="shared" si="2"/>
        <v>0</v>
      </c>
      <c r="AA12" s="4" t="s">
        <v>10</v>
      </c>
      <c r="AB12" s="11">
        <f>IFERROR(VLOOKUP(AA12,Curr!$B$2:$C$13,2,FALSE),0)</f>
        <v>11.3</v>
      </c>
      <c r="AC12" s="12">
        <f t="shared" si="3"/>
        <v>0</v>
      </c>
      <c r="AD12" s="12">
        <f t="shared" si="4"/>
        <v>0</v>
      </c>
      <c r="AE12" s="13">
        <f t="shared" si="5"/>
        <v>0</v>
      </c>
    </row>
    <row r="13" spans="2:36" x14ac:dyDescent="0.25">
      <c r="B13" s="4"/>
      <c r="E13" s="3"/>
      <c r="F13" s="3"/>
      <c r="G13" s="24"/>
      <c r="H13" s="24"/>
      <c r="K13" s="4"/>
      <c r="L13" s="4"/>
      <c r="M13" s="4"/>
      <c r="N13" s="4"/>
      <c r="O13" s="4"/>
      <c r="P13" s="33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11.3</v>
      </c>
      <c r="X13" s="12">
        <f t="shared" si="1"/>
        <v>0</v>
      </c>
      <c r="Y13" s="26">
        <f t="shared" si="7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11.3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27"/>
      <c r="Q14" s="25">
        <v>0</v>
      </c>
      <c r="R14" s="25">
        <v>0</v>
      </c>
      <c r="S14" s="12">
        <f t="shared" si="0"/>
        <v>0</v>
      </c>
      <c r="T14" s="5">
        <v>0</v>
      </c>
      <c r="U14" s="12">
        <f t="shared" si="6"/>
        <v>0</v>
      </c>
      <c r="V14" s="25" t="s">
        <v>10</v>
      </c>
      <c r="W14" s="11">
        <f>IFERROR(VLOOKUP(V14,Curr!$B$2:$C$13,2,FALSE),0)</f>
        <v>11.3</v>
      </c>
      <c r="X14" s="12">
        <f t="shared" si="1"/>
        <v>0</v>
      </c>
      <c r="Y14" s="26">
        <f t="shared" si="7"/>
        <v>0</v>
      </c>
      <c r="Z14" s="12">
        <f t="shared" si="2"/>
        <v>0</v>
      </c>
      <c r="AA14" s="4" t="s">
        <v>10</v>
      </c>
      <c r="AB14" s="11">
        <f>IFERROR(VLOOKUP(AA14,Curr!$B$2:$C$13,2,FALSE),0)</f>
        <v>11.3</v>
      </c>
      <c r="AC14" s="12">
        <f t="shared" si="3"/>
        <v>0</v>
      </c>
      <c r="AD14" s="12">
        <f t="shared" si="4"/>
        <v>0</v>
      </c>
      <c r="AE14" s="13">
        <f t="shared" si="5"/>
        <v>0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33"/>
      <c r="Q15" s="25">
        <v>0</v>
      </c>
      <c r="R15" s="25">
        <v>0</v>
      </c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11.3</v>
      </c>
      <c r="X15" s="12">
        <f t="shared" si="1"/>
        <v>0</v>
      </c>
      <c r="Y15" s="26">
        <f t="shared" si="7"/>
        <v>0</v>
      </c>
      <c r="Z15" s="12">
        <f t="shared" si="2"/>
        <v>0</v>
      </c>
      <c r="AA15" s="4" t="s">
        <v>10</v>
      </c>
      <c r="AB15" s="11">
        <f>IFERROR(VLOOKUP(AA15,Curr!$B$2:$C$13,2,FALSE),0)</f>
        <v>11.3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11.3</v>
      </c>
      <c r="X16" s="12">
        <f t="shared" si="1"/>
        <v>0</v>
      </c>
      <c r="Y16" s="26">
        <f t="shared" si="7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11.3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0"/>
        <v>0</v>
      </c>
      <c r="T17" s="5">
        <v>0</v>
      </c>
      <c r="U17" s="12">
        <f t="shared" si="6"/>
        <v>0</v>
      </c>
      <c r="V17" s="25" t="s">
        <v>10</v>
      </c>
      <c r="W17" s="11">
        <f>IFERROR(VLOOKUP(V17,Curr!$B$2:$C$13,2,FALSE),0)</f>
        <v>11.3</v>
      </c>
      <c r="X17" s="12">
        <f t="shared" si="1"/>
        <v>0</v>
      </c>
      <c r="Y17" s="26">
        <f t="shared" si="7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11.3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1" x14ac:dyDescent="0.25">
      <c r="B18" s="4"/>
      <c r="E18" s="3"/>
      <c r="F18" s="3"/>
      <c r="G18" s="24"/>
      <c r="H18" s="24"/>
      <c r="K18" s="4"/>
      <c r="L18" s="4"/>
      <c r="M18" s="4"/>
      <c r="N18" s="4"/>
      <c r="O18" s="4"/>
      <c r="P18" s="29"/>
      <c r="Q18" s="25">
        <v>0</v>
      </c>
      <c r="R18" s="25">
        <v>0</v>
      </c>
      <c r="S18" s="12">
        <f t="shared" si="0"/>
        <v>0</v>
      </c>
      <c r="T18" s="5">
        <v>0</v>
      </c>
      <c r="U18" s="12">
        <f t="shared" si="6"/>
        <v>0</v>
      </c>
      <c r="V18" s="25" t="s">
        <v>10</v>
      </c>
      <c r="W18" s="11">
        <f>IFERROR(VLOOKUP(V18,Curr!$B$2:$C$13,2,FALSE),0)</f>
        <v>11.3</v>
      </c>
      <c r="X18" s="12">
        <f t="shared" si="1"/>
        <v>0</v>
      </c>
      <c r="Y18" s="26">
        <f t="shared" si="7"/>
        <v>0</v>
      </c>
      <c r="Z18" s="12">
        <f t="shared" si="2"/>
        <v>0</v>
      </c>
      <c r="AA18" s="4" t="s">
        <v>10</v>
      </c>
      <c r="AB18" s="11">
        <f>IFERROR(VLOOKUP(AA18,Curr!$B$2:$C$13,2,FALSE),0)</f>
        <v>11.3</v>
      </c>
      <c r="AC18" s="12">
        <f t="shared" si="3"/>
        <v>0</v>
      </c>
      <c r="AD18" s="12">
        <f t="shared" si="4"/>
        <v>0</v>
      </c>
      <c r="AE18" s="13">
        <f t="shared" si="5"/>
        <v>0</v>
      </c>
    </row>
    <row r="19" spans="2:31" x14ac:dyDescent="0.25">
      <c r="B19" s="4"/>
      <c r="E19" s="3"/>
      <c r="F19" s="3"/>
      <c r="G19" s="24"/>
      <c r="H19" s="24"/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11.3</v>
      </c>
      <c r="X19" s="12">
        <f t="shared" si="1"/>
        <v>0</v>
      </c>
      <c r="Y19" s="26">
        <f t="shared" si="7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11.3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 t="shared" si="0"/>
        <v>0</v>
      </c>
      <c r="T20" s="5">
        <v>0</v>
      </c>
      <c r="U20" s="12">
        <f t="shared" si="6"/>
        <v>0</v>
      </c>
      <c r="V20" s="25" t="s">
        <v>10</v>
      </c>
      <c r="W20" s="11">
        <f>IFERROR(VLOOKUP(V20,Curr!$B$2:$C$13,2,FALSE),0)</f>
        <v>11.3</v>
      </c>
      <c r="X20" s="12">
        <f t="shared" si="1"/>
        <v>0</v>
      </c>
      <c r="Y20" s="26">
        <f t="shared" si="7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11.3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0"/>
        <v>0</v>
      </c>
      <c r="T21" s="5">
        <v>0</v>
      </c>
      <c r="U21" s="12">
        <f t="shared" si="6"/>
        <v>0</v>
      </c>
      <c r="V21" s="25" t="s">
        <v>10</v>
      </c>
      <c r="W21" s="11">
        <f>IFERROR(VLOOKUP(V21,Curr!$B$2:$C$13,2,FALSE),0)</f>
        <v>11.3</v>
      </c>
      <c r="X21" s="12">
        <f t="shared" si="1"/>
        <v>0</v>
      </c>
      <c r="Y21" s="26">
        <f t="shared" si="7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11.3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0"/>
        <v>0</v>
      </c>
      <c r="T22" s="5">
        <v>0</v>
      </c>
      <c r="U22" s="12">
        <f t="shared" si="6"/>
        <v>0</v>
      </c>
      <c r="V22" s="25" t="s">
        <v>10</v>
      </c>
      <c r="W22" s="11">
        <f>IFERROR(VLOOKUP(V22,Curr!$B$2:$C$13,2,FALSE),0)</f>
        <v>11.3</v>
      </c>
      <c r="X22" s="12">
        <f t="shared" si="1"/>
        <v>0</v>
      </c>
      <c r="Y22" s="26">
        <f t="shared" si="7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11.3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33"/>
      <c r="Q23" s="25">
        <v>0</v>
      </c>
      <c r="R23" s="25">
        <v>0</v>
      </c>
      <c r="S23" s="12">
        <f t="shared" si="0"/>
        <v>0</v>
      </c>
      <c r="T23" s="5">
        <v>0</v>
      </c>
      <c r="U23" s="12">
        <f t="shared" si="6"/>
        <v>0</v>
      </c>
      <c r="V23" s="25" t="s">
        <v>10</v>
      </c>
      <c r="W23" s="11">
        <f>IFERROR(VLOOKUP(V23,Curr!$B$2:$C$13,2,FALSE),0)</f>
        <v>11.3</v>
      </c>
      <c r="X23" s="12">
        <f t="shared" si="1"/>
        <v>0</v>
      </c>
      <c r="Y23" s="26">
        <f t="shared" si="7"/>
        <v>0</v>
      </c>
      <c r="Z23" s="12">
        <f t="shared" si="2"/>
        <v>0</v>
      </c>
      <c r="AA23" s="4" t="s">
        <v>10</v>
      </c>
      <c r="AB23" s="11">
        <f>IFERROR(VLOOKUP(AA23,Curr!$B$2:$C$13,2,FALSE),0)</f>
        <v>11.3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IFERROR(VLOOKUP(V24,Curr!$B$2:$C$13,2,FALSE),0)</f>
        <v>11.3</v>
      </c>
      <c r="X24" s="12">
        <f t="shared" si="1"/>
        <v>0</v>
      </c>
      <c r="Y24" s="26">
        <f t="shared" si="7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11.3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0"/>
        <v>0</v>
      </c>
      <c r="T25" s="5">
        <v>0</v>
      </c>
      <c r="U25" s="12">
        <f t="shared" si="6"/>
        <v>0</v>
      </c>
      <c r="V25" s="25" t="s">
        <v>10</v>
      </c>
      <c r="W25" s="11">
        <f>IFERROR(VLOOKUP(V25,Curr!$B$2:$C$13,2,FALSE),0)</f>
        <v>11.3</v>
      </c>
      <c r="X25" s="12">
        <f t="shared" si="1"/>
        <v>0</v>
      </c>
      <c r="Y25" s="26">
        <f t="shared" si="7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11.3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27"/>
      <c r="Q26" s="25">
        <v>0</v>
      </c>
      <c r="R26" s="25">
        <v>0</v>
      </c>
      <c r="S26" s="12">
        <f t="shared" si="0"/>
        <v>0</v>
      </c>
      <c r="T26" s="5">
        <v>0</v>
      </c>
      <c r="U26" s="12">
        <f t="shared" si="6"/>
        <v>0</v>
      </c>
      <c r="V26" s="25" t="s">
        <v>10</v>
      </c>
      <c r="W26" s="11">
        <f>IFERROR(VLOOKUP(V26,Curr!$B$2:$C$13,2,FALSE),0)</f>
        <v>11.3</v>
      </c>
      <c r="X26" s="12">
        <f t="shared" si="1"/>
        <v>0</v>
      </c>
      <c r="Y26" s="26">
        <f t="shared" si="7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11.3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33"/>
      <c r="Q27" s="25">
        <v>0</v>
      </c>
      <c r="R27" s="25">
        <v>0</v>
      </c>
      <c r="S27" s="12">
        <f t="shared" si="0"/>
        <v>0</v>
      </c>
      <c r="T27" s="5">
        <v>0</v>
      </c>
      <c r="U27" s="12">
        <f t="shared" si="6"/>
        <v>0</v>
      </c>
      <c r="V27" s="25" t="s">
        <v>10</v>
      </c>
      <c r="W27" s="11">
        <f>IFERROR(VLOOKUP(V27,Curr!$B$2:$C$13,2,FALSE),0)</f>
        <v>11.3</v>
      </c>
      <c r="X27" s="12">
        <f t="shared" si="1"/>
        <v>0</v>
      </c>
      <c r="Y27" s="26">
        <f t="shared" si="7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11.3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27"/>
      <c r="Q28" s="25">
        <v>0</v>
      </c>
      <c r="R28" s="25">
        <v>0</v>
      </c>
      <c r="S28" s="12">
        <f t="shared" si="0"/>
        <v>0</v>
      </c>
      <c r="T28" s="5">
        <v>0</v>
      </c>
      <c r="U28" s="12">
        <f t="shared" si="6"/>
        <v>0</v>
      </c>
      <c r="V28" s="25" t="s">
        <v>10</v>
      </c>
      <c r="W28" s="11">
        <f>IFERROR(VLOOKUP(V28,Curr!$B$2:$C$13,2,FALSE),0)</f>
        <v>11.3</v>
      </c>
      <c r="X28" s="12">
        <f t="shared" si="1"/>
        <v>0</v>
      </c>
      <c r="Y28" s="26">
        <f t="shared" si="7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11.3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0"/>
        <v>0</v>
      </c>
      <c r="T29" s="5">
        <v>0</v>
      </c>
      <c r="U29" s="12">
        <f t="shared" si="6"/>
        <v>0</v>
      </c>
      <c r="V29" s="25" t="s">
        <v>10</v>
      </c>
      <c r="W29" s="11">
        <f>IFERROR(VLOOKUP(V29,Curr!$B$2:$C$13,2,FALSE),0)</f>
        <v>11.3</v>
      </c>
      <c r="X29" s="12">
        <f t="shared" si="1"/>
        <v>0</v>
      </c>
      <c r="Y29" s="26">
        <f t="shared" si="7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11.3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29"/>
      <c r="Q30" s="25">
        <v>0</v>
      </c>
      <c r="R30" s="25">
        <v>0</v>
      </c>
      <c r="S30" s="12">
        <f t="shared" si="0"/>
        <v>0</v>
      </c>
      <c r="T30" s="5">
        <v>0</v>
      </c>
      <c r="U30" s="12">
        <f t="shared" si="6"/>
        <v>0</v>
      </c>
      <c r="V30" s="25" t="s">
        <v>10</v>
      </c>
      <c r="W30" s="11">
        <f>IFERROR(VLOOKUP(V30,Curr!$B$2:$C$13,2,FALSE),0)</f>
        <v>11.3</v>
      </c>
      <c r="X30" s="12">
        <f t="shared" si="1"/>
        <v>0</v>
      </c>
      <c r="Y30" s="26">
        <f t="shared" si="7"/>
        <v>0</v>
      </c>
      <c r="Z30" s="12">
        <f t="shared" si="2"/>
        <v>0</v>
      </c>
      <c r="AA30" s="4" t="s">
        <v>10</v>
      </c>
      <c r="AB30" s="11">
        <f>IFERROR(VLOOKUP(AA30,Curr!$B$2:$C$13,2,FALSE),0)</f>
        <v>11.3</v>
      </c>
      <c r="AC30" s="12">
        <f t="shared" si="3"/>
        <v>0</v>
      </c>
      <c r="AD30" s="12">
        <f t="shared" si="4"/>
        <v>0</v>
      </c>
      <c r="AE30" s="13">
        <f t="shared" si="5"/>
        <v>0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33"/>
      <c r="Q31" s="25">
        <v>0</v>
      </c>
      <c r="R31" s="25">
        <v>0</v>
      </c>
      <c r="S31" s="12">
        <f t="shared" si="0"/>
        <v>0</v>
      </c>
      <c r="T31" s="5">
        <v>0</v>
      </c>
      <c r="U31" s="12">
        <f t="shared" si="6"/>
        <v>0</v>
      </c>
      <c r="V31" s="25" t="s">
        <v>10</v>
      </c>
      <c r="W31" s="11">
        <f>IFERROR(VLOOKUP(V31,Curr!$B$2:$C$13,2,FALSE),0)</f>
        <v>11.3</v>
      </c>
      <c r="X31" s="12">
        <f t="shared" si="1"/>
        <v>0</v>
      </c>
      <c r="Y31" s="26">
        <f t="shared" si="7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11.3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 t="shared" si="0"/>
        <v>0</v>
      </c>
      <c r="T32" s="5">
        <v>0</v>
      </c>
      <c r="U32" s="12">
        <f t="shared" si="6"/>
        <v>0</v>
      </c>
      <c r="V32" s="25" t="s">
        <v>10</v>
      </c>
      <c r="W32" s="11">
        <f>IFERROR(VLOOKUP(V32,Curr!$B$2:$C$13,2,FALSE),0)</f>
        <v>11.3</v>
      </c>
      <c r="X32" s="12">
        <f t="shared" si="1"/>
        <v>0</v>
      </c>
      <c r="Y32" s="26">
        <f t="shared" si="7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11.3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1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0"/>
        <v>0</v>
      </c>
      <c r="T33" s="5">
        <v>0</v>
      </c>
      <c r="U33" s="12">
        <f t="shared" si="6"/>
        <v>0</v>
      </c>
      <c r="V33" s="25" t="s">
        <v>10</v>
      </c>
      <c r="W33" s="11">
        <f>IFERROR(VLOOKUP(V33,Curr!$B$2:$C$13,2,FALSE),0)</f>
        <v>11.3</v>
      </c>
      <c r="X33" s="12">
        <f t="shared" si="1"/>
        <v>0</v>
      </c>
      <c r="Y33" s="26">
        <f t="shared" si="7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11.3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1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0"/>
        <v>0</v>
      </c>
      <c r="T34" s="5">
        <v>0</v>
      </c>
      <c r="U34" s="12">
        <f t="shared" si="6"/>
        <v>0</v>
      </c>
      <c r="V34" s="25" t="s">
        <v>10</v>
      </c>
      <c r="W34" s="11">
        <f>IFERROR(VLOOKUP(V34,Curr!$B$2:$C$13,2,FALSE),0)</f>
        <v>11.3</v>
      </c>
      <c r="X34" s="12">
        <f t="shared" si="1"/>
        <v>0</v>
      </c>
      <c r="Y34" s="26">
        <f t="shared" si="7"/>
        <v>0</v>
      </c>
      <c r="Z34" s="12">
        <f t="shared" si="2"/>
        <v>0</v>
      </c>
      <c r="AA34" s="4" t="s">
        <v>10</v>
      </c>
      <c r="AB34" s="11">
        <f>IFERROR(VLOOKUP(AA34,Curr!$B$2:$C$13,2,FALSE),0)</f>
        <v>11.3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>
        <v>0</v>
      </c>
      <c r="R35" s="25">
        <v>0</v>
      </c>
      <c r="S35" s="12">
        <f t="shared" si="0"/>
        <v>0</v>
      </c>
      <c r="T35" s="5">
        <v>0</v>
      </c>
      <c r="U35" s="12">
        <f t="shared" si="6"/>
        <v>0</v>
      </c>
      <c r="V35" s="25" t="s">
        <v>10</v>
      </c>
      <c r="W35" s="11">
        <f>IFERROR(VLOOKUP(V35,Curr!$B$2:$C$13,2,FALSE),0)</f>
        <v>11.3</v>
      </c>
      <c r="X35" s="12">
        <f t="shared" si="1"/>
        <v>0</v>
      </c>
      <c r="Y35" s="26">
        <f t="shared" si="7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11.3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27"/>
      <c r="Q36" s="25">
        <v>0</v>
      </c>
      <c r="R36" s="25">
        <v>0</v>
      </c>
      <c r="S36" s="12">
        <f t="shared" si="0"/>
        <v>0</v>
      </c>
      <c r="T36" s="5">
        <v>0</v>
      </c>
      <c r="U36" s="12">
        <f t="shared" si="6"/>
        <v>0</v>
      </c>
      <c r="V36" s="25" t="s">
        <v>10</v>
      </c>
      <c r="W36" s="11">
        <f>IFERROR(VLOOKUP(V36,Curr!$B$2:$C$13,2,FALSE),0)</f>
        <v>11.3</v>
      </c>
      <c r="X36" s="12">
        <f t="shared" si="1"/>
        <v>0</v>
      </c>
      <c r="Y36" s="26">
        <f t="shared" si="7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11.3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>
        <v>0</v>
      </c>
      <c r="R37" s="25">
        <v>0</v>
      </c>
      <c r="S37" s="12">
        <f t="shared" si="0"/>
        <v>0</v>
      </c>
      <c r="T37" s="5">
        <v>0</v>
      </c>
      <c r="U37" s="12">
        <f t="shared" si="6"/>
        <v>0</v>
      </c>
      <c r="V37" s="25" t="s">
        <v>10</v>
      </c>
      <c r="W37" s="11">
        <f>IFERROR(VLOOKUP(V37,Curr!$B$2:$C$13,2,FALSE),0)</f>
        <v>11.3</v>
      </c>
      <c r="X37" s="12">
        <f t="shared" si="1"/>
        <v>0</v>
      </c>
      <c r="Y37" s="26">
        <f t="shared" si="7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11.3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0"/>
        <v>0</v>
      </c>
      <c r="T38" s="5">
        <v>0</v>
      </c>
      <c r="U38" s="12">
        <f t="shared" si="6"/>
        <v>0</v>
      </c>
      <c r="V38" s="25" t="s">
        <v>10</v>
      </c>
      <c r="W38" s="11">
        <f>IFERROR(VLOOKUP(V38,Curr!$B$2:$C$13,2,FALSE),0)</f>
        <v>11.3</v>
      </c>
      <c r="X38" s="12">
        <f t="shared" si="1"/>
        <v>0</v>
      </c>
      <c r="Y38" s="26">
        <f t="shared" si="7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11.3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>
        <v>0</v>
      </c>
      <c r="R39" s="25">
        <v>0</v>
      </c>
      <c r="S39" s="12">
        <f t="shared" si="0"/>
        <v>0</v>
      </c>
      <c r="T39" s="5">
        <v>0</v>
      </c>
      <c r="U39" s="12">
        <f t="shared" si="6"/>
        <v>0</v>
      </c>
      <c r="V39" s="25" t="s">
        <v>10</v>
      </c>
      <c r="W39" s="11">
        <f>IFERROR(VLOOKUP(V39,Curr!$B$2:$C$13,2,FALSE),0)</f>
        <v>11.3</v>
      </c>
      <c r="X39" s="12">
        <f t="shared" si="1"/>
        <v>0</v>
      </c>
      <c r="Y39" s="26">
        <f t="shared" si="7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11.3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>
        <v>0</v>
      </c>
      <c r="R40" s="25">
        <v>0</v>
      </c>
      <c r="S40" s="12">
        <f t="shared" si="0"/>
        <v>0</v>
      </c>
      <c r="T40" s="5">
        <v>0</v>
      </c>
      <c r="U40" s="12">
        <f t="shared" si="6"/>
        <v>0</v>
      </c>
      <c r="V40" s="25" t="s">
        <v>10</v>
      </c>
      <c r="W40" s="11">
        <f>IFERROR(VLOOKUP(V40,Curr!$B$2:$C$13,2,FALSE),0)</f>
        <v>11.3</v>
      </c>
      <c r="X40" s="12">
        <f t="shared" si="1"/>
        <v>0</v>
      </c>
      <c r="Y40" s="26">
        <f t="shared" si="7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11.3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>
        <v>0</v>
      </c>
      <c r="R41" s="25">
        <v>0</v>
      </c>
      <c r="S41" s="12">
        <f t="shared" si="0"/>
        <v>0</v>
      </c>
      <c r="T41" s="5">
        <v>0</v>
      </c>
      <c r="U41" s="12">
        <f t="shared" si="6"/>
        <v>0</v>
      </c>
      <c r="V41" s="25" t="s">
        <v>10</v>
      </c>
      <c r="W41" s="11">
        <f>IFERROR(VLOOKUP(V41,Curr!$B$2:$C$13,2,FALSE),0)</f>
        <v>11.3</v>
      </c>
      <c r="X41" s="12">
        <f t="shared" si="1"/>
        <v>0</v>
      </c>
      <c r="Y41" s="26">
        <f t="shared" si="7"/>
        <v>0</v>
      </c>
      <c r="Z41" s="12">
        <f t="shared" si="2"/>
        <v>0</v>
      </c>
      <c r="AA41" s="4" t="s">
        <v>10</v>
      </c>
      <c r="AB41" s="11">
        <f>IFERROR(VLOOKUP(AA41,Curr!$B$2:$C$13,2,FALSE),0)</f>
        <v>11.3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 t="shared" si="0"/>
        <v>0</v>
      </c>
      <c r="T42" s="5">
        <v>0</v>
      </c>
      <c r="U42" s="12">
        <f t="shared" si="6"/>
        <v>0</v>
      </c>
      <c r="V42" s="25" t="s">
        <v>10</v>
      </c>
      <c r="W42" s="11">
        <f>IFERROR(VLOOKUP(V42,Curr!$B$2:$C$13,2,FALSE),0)</f>
        <v>11.3</v>
      </c>
      <c r="X42" s="12">
        <f t="shared" si="1"/>
        <v>0</v>
      </c>
      <c r="Y42" s="26">
        <f t="shared" si="7"/>
        <v>0</v>
      </c>
      <c r="Z42" s="12">
        <f t="shared" si="2"/>
        <v>0</v>
      </c>
      <c r="AA42" s="4" t="s">
        <v>10</v>
      </c>
      <c r="AB42" s="11">
        <f>IFERROR(VLOOKUP(AA42,Curr!$B$2:$C$13,2,FALSE),0)</f>
        <v>11.3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>
        <v>0</v>
      </c>
      <c r="R43" s="25">
        <v>0</v>
      </c>
      <c r="S43" s="12">
        <f t="shared" si="0"/>
        <v>0</v>
      </c>
      <c r="T43" s="5">
        <v>0</v>
      </c>
      <c r="U43" s="12">
        <f t="shared" si="6"/>
        <v>0</v>
      </c>
      <c r="V43" s="25" t="s">
        <v>10</v>
      </c>
      <c r="W43" s="11">
        <f>IFERROR(VLOOKUP(V43,Curr!$B$2:$C$13,2,FALSE),0)</f>
        <v>11.3</v>
      </c>
      <c r="X43" s="12">
        <f t="shared" si="1"/>
        <v>0</v>
      </c>
      <c r="Y43" s="26">
        <f t="shared" si="7"/>
        <v>0</v>
      </c>
      <c r="Z43" s="12">
        <f t="shared" si="2"/>
        <v>0</v>
      </c>
      <c r="AA43" s="4" t="s">
        <v>10</v>
      </c>
      <c r="AB43" s="11">
        <f>IFERROR(VLOOKUP(AA43,Curr!$B$2:$C$13,2,FALSE),0)</f>
        <v>11.3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>
        <v>0</v>
      </c>
      <c r="R44" s="25">
        <v>0</v>
      </c>
      <c r="S44" s="12">
        <f t="shared" si="0"/>
        <v>0</v>
      </c>
      <c r="T44" s="5">
        <v>0</v>
      </c>
      <c r="U44" s="12">
        <f t="shared" si="6"/>
        <v>0</v>
      </c>
      <c r="V44" s="25" t="s">
        <v>10</v>
      </c>
      <c r="W44" s="11">
        <f>IFERROR(VLOOKUP(V44,Curr!$B$2:$C$13,2,FALSE),0)</f>
        <v>11.3</v>
      </c>
      <c r="X44" s="12">
        <f t="shared" si="1"/>
        <v>0</v>
      </c>
      <c r="Y44" s="26">
        <f t="shared" si="7"/>
        <v>0</v>
      </c>
      <c r="Z44" s="12">
        <f t="shared" si="2"/>
        <v>0</v>
      </c>
      <c r="AA44" s="4" t="s">
        <v>10</v>
      </c>
      <c r="AB44" s="11">
        <f>IFERROR(VLOOKUP(AA44,Curr!$B$2:$C$13,2,FALSE),0)</f>
        <v>11.3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>
        <v>0</v>
      </c>
      <c r="R45" s="25">
        <v>0</v>
      </c>
      <c r="S45" s="12">
        <f t="shared" si="0"/>
        <v>0</v>
      </c>
      <c r="T45" s="5">
        <v>0</v>
      </c>
      <c r="U45" s="12">
        <f t="shared" si="6"/>
        <v>0</v>
      </c>
      <c r="V45" s="25" t="s">
        <v>10</v>
      </c>
      <c r="W45" s="11">
        <f>IFERROR(VLOOKUP(V45,Curr!$B$2:$C$13,2,FALSE),0)</f>
        <v>11.3</v>
      </c>
      <c r="X45" s="12">
        <f t="shared" si="1"/>
        <v>0</v>
      </c>
      <c r="Y45" s="26">
        <f t="shared" si="7"/>
        <v>0</v>
      </c>
      <c r="Z45" s="12">
        <f t="shared" si="2"/>
        <v>0</v>
      </c>
      <c r="AA45" s="4" t="s">
        <v>10</v>
      </c>
      <c r="AB45" s="11">
        <f>IFERROR(VLOOKUP(AA45,Curr!$B$2:$C$13,2,FALSE),0)</f>
        <v>11.3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>
        <v>0</v>
      </c>
      <c r="R46" s="25">
        <v>0</v>
      </c>
      <c r="S46" s="12">
        <f t="shared" si="0"/>
        <v>0</v>
      </c>
      <c r="T46" s="5">
        <v>0</v>
      </c>
      <c r="U46" s="12">
        <f t="shared" si="6"/>
        <v>0</v>
      </c>
      <c r="V46" s="25" t="s">
        <v>10</v>
      </c>
      <c r="W46" s="11">
        <f>IFERROR(VLOOKUP(V46,Curr!$B$2:$C$13,2,FALSE),0)</f>
        <v>11.3</v>
      </c>
      <c r="X46" s="12">
        <f t="shared" si="1"/>
        <v>0</v>
      </c>
      <c r="Y46" s="26">
        <f t="shared" si="7"/>
        <v>0</v>
      </c>
      <c r="Z46" s="12">
        <f t="shared" si="2"/>
        <v>0</v>
      </c>
      <c r="AA46" s="4" t="s">
        <v>10</v>
      </c>
      <c r="AB46" s="11">
        <f>IFERROR(VLOOKUP(AA46,Curr!$B$2:$C$13,2,FALSE),0)</f>
        <v>11.3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>
        <v>0</v>
      </c>
      <c r="R47" s="25">
        <v>0</v>
      </c>
      <c r="S47" s="12">
        <f t="shared" si="0"/>
        <v>0</v>
      </c>
      <c r="T47" s="5">
        <v>0</v>
      </c>
      <c r="U47" s="12">
        <f t="shared" si="6"/>
        <v>0</v>
      </c>
      <c r="V47" s="25" t="s">
        <v>10</v>
      </c>
      <c r="W47" s="11">
        <f>IFERROR(VLOOKUP(V47,Curr!$B$2:$C$13,2,FALSE),0)</f>
        <v>11.3</v>
      </c>
      <c r="X47" s="12">
        <f t="shared" si="1"/>
        <v>0</v>
      </c>
      <c r="Y47" s="26">
        <f t="shared" si="7"/>
        <v>0</v>
      </c>
      <c r="Z47" s="12">
        <f t="shared" si="2"/>
        <v>0</v>
      </c>
      <c r="AA47" s="4" t="s">
        <v>10</v>
      </c>
      <c r="AB47" s="11">
        <f>IFERROR(VLOOKUP(AA47,Curr!$B$2:$C$13,2,FALSE),0)</f>
        <v>11.3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27"/>
      <c r="Q48" s="25">
        <v>0</v>
      </c>
      <c r="R48" s="25">
        <v>0</v>
      </c>
      <c r="S48" s="12">
        <f t="shared" si="0"/>
        <v>0</v>
      </c>
      <c r="T48" s="5">
        <v>0</v>
      </c>
      <c r="U48" s="12">
        <f t="shared" si="6"/>
        <v>0</v>
      </c>
      <c r="V48" s="25" t="s">
        <v>10</v>
      </c>
      <c r="W48" s="11">
        <f>IFERROR(VLOOKUP(V48,Curr!$B$2:$C$13,2,FALSE),0)</f>
        <v>11.3</v>
      </c>
      <c r="X48" s="12">
        <f t="shared" si="1"/>
        <v>0</v>
      </c>
      <c r="Y48" s="26">
        <f t="shared" si="7"/>
        <v>0</v>
      </c>
      <c r="Z48" s="12">
        <f t="shared" si="2"/>
        <v>0</v>
      </c>
      <c r="AA48" s="4" t="s">
        <v>10</v>
      </c>
      <c r="AB48" s="11">
        <f>IFERROR(VLOOKUP(AA48,Curr!$B$2:$C$13,2,FALSE),0)</f>
        <v>11.3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1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27"/>
      <c r="Q49" s="25">
        <v>0</v>
      </c>
      <c r="R49" s="25">
        <v>0</v>
      </c>
      <c r="S49" s="12">
        <f t="shared" si="0"/>
        <v>0</v>
      </c>
      <c r="T49" s="5">
        <v>0</v>
      </c>
      <c r="U49" s="12">
        <f t="shared" si="6"/>
        <v>0</v>
      </c>
      <c r="V49" s="25" t="s">
        <v>10</v>
      </c>
      <c r="W49" s="11">
        <f>IFERROR(VLOOKUP(V49,Curr!$B$2:$C$13,2,FALSE),0)</f>
        <v>11.3</v>
      </c>
      <c r="X49" s="12">
        <f t="shared" si="1"/>
        <v>0</v>
      </c>
      <c r="Y49" s="26">
        <f t="shared" si="7"/>
        <v>0</v>
      </c>
      <c r="Z49" s="12">
        <f t="shared" si="2"/>
        <v>0</v>
      </c>
      <c r="AA49" s="4" t="s">
        <v>10</v>
      </c>
      <c r="AB49" s="11">
        <f>IFERROR(VLOOKUP(AA49,Curr!$B$2:$C$13,2,FALSE),0)</f>
        <v>11.3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1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>
        <v>0</v>
      </c>
      <c r="R50" s="25">
        <v>0</v>
      </c>
      <c r="S50" s="12">
        <f t="shared" si="0"/>
        <v>0</v>
      </c>
      <c r="T50" s="5">
        <v>0</v>
      </c>
      <c r="U50" s="12">
        <f t="shared" si="6"/>
        <v>0</v>
      </c>
      <c r="V50" s="25" t="s">
        <v>10</v>
      </c>
      <c r="W50" s="11">
        <f>IFERROR(VLOOKUP(V50,Curr!$B$2:$C$13,2,FALSE),0)</f>
        <v>11.3</v>
      </c>
      <c r="X50" s="12">
        <f t="shared" si="1"/>
        <v>0</v>
      </c>
      <c r="Y50" s="26">
        <f t="shared" si="7"/>
        <v>0</v>
      </c>
      <c r="Z50" s="12">
        <f t="shared" si="2"/>
        <v>0</v>
      </c>
      <c r="AA50" s="4" t="s">
        <v>10</v>
      </c>
      <c r="AB50" s="11">
        <f>IFERROR(VLOOKUP(AA50,Curr!$B$2:$C$13,2,FALSE),0)</f>
        <v>11.3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1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>
        <v>0</v>
      </c>
      <c r="R51" s="25">
        <v>0</v>
      </c>
      <c r="S51" s="12">
        <f t="shared" si="0"/>
        <v>0</v>
      </c>
      <c r="T51" s="5">
        <v>0</v>
      </c>
      <c r="U51" s="12">
        <f t="shared" si="6"/>
        <v>0</v>
      </c>
      <c r="V51" s="25" t="s">
        <v>10</v>
      </c>
      <c r="W51" s="11">
        <f>IFERROR(VLOOKUP(V51,Curr!$B$2:$C$13,2,FALSE),0)</f>
        <v>11.3</v>
      </c>
      <c r="X51" s="12">
        <f t="shared" si="1"/>
        <v>0</v>
      </c>
      <c r="Y51" s="26">
        <f t="shared" si="7"/>
        <v>0</v>
      </c>
      <c r="Z51" s="12">
        <f t="shared" si="2"/>
        <v>0</v>
      </c>
      <c r="AA51" s="4" t="s">
        <v>10</v>
      </c>
      <c r="AB51" s="11">
        <f>IFERROR(VLOOKUP(AA51,Curr!$B$2:$C$13,2,FALSE),0)</f>
        <v>11.3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1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>
        <v>0</v>
      </c>
      <c r="R52" s="25">
        <v>0</v>
      </c>
      <c r="S52" s="12">
        <f t="shared" si="0"/>
        <v>0</v>
      </c>
      <c r="T52" s="5">
        <v>0</v>
      </c>
      <c r="U52" s="12">
        <f t="shared" si="6"/>
        <v>0</v>
      </c>
      <c r="V52" s="25" t="s">
        <v>10</v>
      </c>
      <c r="W52" s="11">
        <f>IFERROR(VLOOKUP(V52,Curr!$B$2:$C$13,2,FALSE),0)</f>
        <v>11.3</v>
      </c>
      <c r="X52" s="12">
        <f t="shared" si="1"/>
        <v>0</v>
      </c>
      <c r="Y52" s="26">
        <f t="shared" si="7"/>
        <v>0</v>
      </c>
      <c r="Z52" s="12">
        <f t="shared" si="2"/>
        <v>0</v>
      </c>
      <c r="AA52" s="4" t="s">
        <v>10</v>
      </c>
      <c r="AB52" s="11">
        <f>IFERROR(VLOOKUP(AA52,Curr!$B$2:$C$13,2,FALSE),0)</f>
        <v>11.3</v>
      </c>
      <c r="AC52" s="12">
        <f t="shared" si="3"/>
        <v>0</v>
      </c>
      <c r="AD52" s="12">
        <f t="shared" si="4"/>
        <v>0</v>
      </c>
      <c r="AE52" s="13">
        <f t="shared" si="5"/>
        <v>0</v>
      </c>
    </row>
    <row r="53" spans="2:31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>
        <v>0</v>
      </c>
      <c r="R53" s="25">
        <v>0</v>
      </c>
      <c r="S53" s="12">
        <f t="shared" si="0"/>
        <v>0</v>
      </c>
      <c r="T53" s="5">
        <v>0</v>
      </c>
      <c r="U53" s="12">
        <f t="shared" si="6"/>
        <v>0</v>
      </c>
      <c r="V53" s="25" t="s">
        <v>10</v>
      </c>
      <c r="W53" s="11">
        <f>IFERROR(VLOOKUP(V53,Curr!$B$2:$C$13,2,FALSE),0)</f>
        <v>11.3</v>
      </c>
      <c r="X53" s="12">
        <f t="shared" si="1"/>
        <v>0</v>
      </c>
      <c r="Y53" s="26">
        <f t="shared" si="7"/>
        <v>0</v>
      </c>
      <c r="Z53" s="12">
        <f t="shared" si="2"/>
        <v>0</v>
      </c>
      <c r="AA53" s="4" t="s">
        <v>10</v>
      </c>
      <c r="AB53" s="11">
        <f>IFERROR(VLOOKUP(AA53,Curr!$B$2:$C$13,2,FALSE),0)</f>
        <v>11.3</v>
      </c>
      <c r="AC53" s="12">
        <f t="shared" si="3"/>
        <v>0</v>
      </c>
      <c r="AD53" s="12">
        <f t="shared" si="4"/>
        <v>0</v>
      </c>
      <c r="AE53" s="13">
        <f t="shared" si="5"/>
        <v>0</v>
      </c>
    </row>
    <row r="54" spans="2:31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>
        <v>0</v>
      </c>
      <c r="R54" s="25">
        <v>0</v>
      </c>
      <c r="S54" s="12">
        <f t="shared" si="0"/>
        <v>0</v>
      </c>
      <c r="T54" s="5">
        <v>0</v>
      </c>
      <c r="U54" s="12">
        <f t="shared" si="6"/>
        <v>0</v>
      </c>
      <c r="V54" s="25" t="s">
        <v>10</v>
      </c>
      <c r="W54" s="11">
        <f>IFERROR(VLOOKUP(V54,Curr!$B$2:$C$13,2,FALSE),0)</f>
        <v>11.3</v>
      </c>
      <c r="X54" s="12">
        <f t="shared" si="1"/>
        <v>0</v>
      </c>
      <c r="Y54" s="26">
        <f t="shared" si="7"/>
        <v>0</v>
      </c>
      <c r="Z54" s="12">
        <f t="shared" si="2"/>
        <v>0</v>
      </c>
      <c r="AA54" s="4" t="s">
        <v>10</v>
      </c>
      <c r="AB54" s="11">
        <f>IFERROR(VLOOKUP(AA54,Curr!$B$2:$C$13,2,FALSE),0)</f>
        <v>11.3</v>
      </c>
      <c r="AC54" s="12">
        <f t="shared" si="3"/>
        <v>0</v>
      </c>
      <c r="AD54" s="12">
        <f t="shared" si="4"/>
        <v>0</v>
      </c>
      <c r="AE54" s="13">
        <f t="shared" si="5"/>
        <v>0</v>
      </c>
    </row>
    <row r="55" spans="2:31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>
        <v>0</v>
      </c>
      <c r="R55" s="25">
        <v>0</v>
      </c>
      <c r="S55" s="12">
        <f t="shared" si="0"/>
        <v>0</v>
      </c>
      <c r="T55" s="5">
        <v>0</v>
      </c>
      <c r="U55" s="12">
        <f t="shared" si="6"/>
        <v>0</v>
      </c>
      <c r="V55" s="25" t="s">
        <v>10</v>
      </c>
      <c r="W55" s="11">
        <f>IFERROR(VLOOKUP(V55,Curr!$B$2:$C$13,2,FALSE),0)</f>
        <v>11.3</v>
      </c>
      <c r="X55" s="12">
        <f t="shared" si="1"/>
        <v>0</v>
      </c>
      <c r="Y55" s="26">
        <f t="shared" si="7"/>
        <v>0</v>
      </c>
      <c r="Z55" s="12">
        <f t="shared" si="2"/>
        <v>0</v>
      </c>
      <c r="AA55" s="4" t="s">
        <v>10</v>
      </c>
      <c r="AB55" s="11">
        <f>IFERROR(VLOOKUP(AA55,Curr!$B$2:$C$13,2,FALSE),0)</f>
        <v>11.3</v>
      </c>
      <c r="AC55" s="12">
        <f t="shared" si="3"/>
        <v>0</v>
      </c>
      <c r="AD55" s="12">
        <f t="shared" si="4"/>
        <v>0</v>
      </c>
      <c r="AE55" s="13">
        <f t="shared" si="5"/>
        <v>0</v>
      </c>
    </row>
    <row r="56" spans="2:31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>
        <v>0</v>
      </c>
      <c r="R56" s="25">
        <v>0</v>
      </c>
      <c r="S56" s="12">
        <f t="shared" si="0"/>
        <v>0</v>
      </c>
      <c r="T56" s="5">
        <v>0</v>
      </c>
      <c r="U56" s="12">
        <f t="shared" si="6"/>
        <v>0</v>
      </c>
      <c r="V56" s="25" t="s">
        <v>10</v>
      </c>
      <c r="W56" s="11">
        <f>IFERROR(VLOOKUP(V56,Curr!$B$2:$C$13,2,FALSE),0)</f>
        <v>11.3</v>
      </c>
      <c r="X56" s="12">
        <f t="shared" si="1"/>
        <v>0</v>
      </c>
      <c r="Y56" s="26">
        <f t="shared" si="7"/>
        <v>0</v>
      </c>
      <c r="Z56" s="12">
        <f t="shared" si="2"/>
        <v>0</v>
      </c>
      <c r="AA56" s="4" t="s">
        <v>10</v>
      </c>
      <c r="AB56" s="11">
        <f>IFERROR(VLOOKUP(AA56,Curr!$B$2:$C$13,2,FALSE),0)</f>
        <v>11.3</v>
      </c>
      <c r="AC56" s="12">
        <f t="shared" si="3"/>
        <v>0</v>
      </c>
      <c r="AD56" s="12">
        <f t="shared" si="4"/>
        <v>0</v>
      </c>
      <c r="AE56" s="13">
        <f t="shared" si="5"/>
        <v>0</v>
      </c>
    </row>
    <row r="57" spans="2:31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>
        <v>0</v>
      </c>
      <c r="R57" s="25">
        <v>0</v>
      </c>
      <c r="S57" s="12">
        <f t="shared" si="0"/>
        <v>0</v>
      </c>
      <c r="T57" s="5">
        <v>0</v>
      </c>
      <c r="U57" s="12">
        <f t="shared" si="6"/>
        <v>0</v>
      </c>
      <c r="V57" s="25" t="s">
        <v>10</v>
      </c>
      <c r="W57" s="11">
        <f>IFERROR(VLOOKUP(V57,Curr!$B$2:$C$13,2,FALSE),0)</f>
        <v>11.3</v>
      </c>
      <c r="X57" s="12">
        <f t="shared" si="1"/>
        <v>0</v>
      </c>
      <c r="Y57" s="26">
        <f t="shared" si="7"/>
        <v>0</v>
      </c>
      <c r="Z57" s="12">
        <f t="shared" si="2"/>
        <v>0</v>
      </c>
      <c r="AA57" s="4" t="s">
        <v>10</v>
      </c>
      <c r="AB57" s="11">
        <f>IFERROR(VLOOKUP(AA57,Curr!$B$2:$C$13,2,FALSE),0)</f>
        <v>11.3</v>
      </c>
      <c r="AC57" s="12">
        <f t="shared" si="3"/>
        <v>0</v>
      </c>
      <c r="AD57" s="12">
        <f t="shared" si="4"/>
        <v>0</v>
      </c>
      <c r="AE57" s="13">
        <f t="shared" si="5"/>
        <v>0</v>
      </c>
    </row>
    <row r="58" spans="2:31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27"/>
      <c r="Q58" s="25">
        <v>0</v>
      </c>
      <c r="R58" s="25">
        <v>0</v>
      </c>
      <c r="S58" s="12">
        <f t="shared" si="0"/>
        <v>0</v>
      </c>
      <c r="T58" s="5">
        <v>0</v>
      </c>
      <c r="U58" s="12">
        <f t="shared" si="6"/>
        <v>0</v>
      </c>
      <c r="V58" s="25" t="s">
        <v>10</v>
      </c>
      <c r="W58" s="11">
        <f>IFERROR(VLOOKUP(V58,Curr!$B$2:$C$13,2,FALSE),0)</f>
        <v>11.3</v>
      </c>
      <c r="X58" s="12">
        <f t="shared" si="1"/>
        <v>0</v>
      </c>
      <c r="Y58" s="26">
        <f t="shared" si="7"/>
        <v>0</v>
      </c>
      <c r="Z58" s="12">
        <f t="shared" si="2"/>
        <v>0</v>
      </c>
      <c r="AA58" s="4" t="s">
        <v>10</v>
      </c>
      <c r="AB58" s="11">
        <f>IFERROR(VLOOKUP(AA58,Curr!$B$2:$C$13,2,FALSE),0)</f>
        <v>11.3</v>
      </c>
      <c r="AC58" s="12">
        <f t="shared" si="3"/>
        <v>0</v>
      </c>
      <c r="AD58" s="12">
        <f t="shared" si="4"/>
        <v>0</v>
      </c>
      <c r="AE58" s="13">
        <f t="shared" si="5"/>
        <v>0</v>
      </c>
    </row>
    <row r="59" spans="2:31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33"/>
      <c r="Q59" s="25">
        <v>0</v>
      </c>
      <c r="R59" s="25">
        <v>0</v>
      </c>
      <c r="S59" s="12">
        <f t="shared" si="0"/>
        <v>0</v>
      </c>
      <c r="T59" s="5">
        <v>0</v>
      </c>
      <c r="U59" s="12">
        <f t="shared" si="6"/>
        <v>0</v>
      </c>
      <c r="V59" s="25" t="s">
        <v>10</v>
      </c>
      <c r="W59" s="11">
        <f>IFERROR(VLOOKUP(V59,Curr!$B$2:$C$13,2,FALSE),0)</f>
        <v>11.3</v>
      </c>
      <c r="X59" s="12">
        <f t="shared" si="1"/>
        <v>0</v>
      </c>
      <c r="Y59" s="26">
        <f t="shared" si="7"/>
        <v>0</v>
      </c>
      <c r="Z59" s="12">
        <f t="shared" si="2"/>
        <v>0</v>
      </c>
      <c r="AA59" s="4" t="s">
        <v>10</v>
      </c>
      <c r="AB59" s="11">
        <f>IFERROR(VLOOKUP(AA59,Curr!$B$2:$C$13,2,FALSE),0)</f>
        <v>11.3</v>
      </c>
      <c r="AC59" s="12">
        <f t="shared" si="3"/>
        <v>0</v>
      </c>
      <c r="AD59" s="12">
        <f t="shared" si="4"/>
        <v>0</v>
      </c>
      <c r="AE59" s="13">
        <f t="shared" si="5"/>
        <v>0</v>
      </c>
    </row>
    <row r="60" spans="2:31" x14ac:dyDescent="0.25">
      <c r="B60" s="4"/>
      <c r="E60" s="3"/>
      <c r="F60" s="3"/>
      <c r="G60" s="24"/>
      <c r="H60" s="24"/>
      <c r="K60" s="4"/>
      <c r="L60" s="4"/>
      <c r="M60" s="4"/>
      <c r="N60" s="4"/>
      <c r="O60" s="4"/>
      <c r="P60" s="27"/>
      <c r="Q60" s="25">
        <v>0</v>
      </c>
      <c r="R60" s="25">
        <v>0</v>
      </c>
      <c r="S60" s="12">
        <f t="shared" si="0"/>
        <v>0</v>
      </c>
      <c r="T60" s="5">
        <v>0</v>
      </c>
      <c r="U60" s="12">
        <f t="shared" si="6"/>
        <v>0</v>
      </c>
      <c r="V60" s="25" t="s">
        <v>10</v>
      </c>
      <c r="W60" s="11">
        <f>IFERROR(VLOOKUP(V60,Curr!$B$2:$C$13,2,FALSE),0)</f>
        <v>11.3</v>
      </c>
      <c r="X60" s="12">
        <f t="shared" si="1"/>
        <v>0</v>
      </c>
      <c r="Y60" s="26">
        <f t="shared" si="7"/>
        <v>0</v>
      </c>
      <c r="Z60" s="12">
        <f t="shared" si="2"/>
        <v>0</v>
      </c>
      <c r="AA60" s="4" t="s">
        <v>10</v>
      </c>
      <c r="AB60" s="11">
        <f>IFERROR(VLOOKUP(AA60,Curr!$B$2:$C$13,2,FALSE),0)</f>
        <v>11.3</v>
      </c>
      <c r="AC60" s="12">
        <f t="shared" si="3"/>
        <v>0</v>
      </c>
      <c r="AD60" s="12">
        <f t="shared" si="4"/>
        <v>0</v>
      </c>
      <c r="AE60" s="13">
        <f t="shared" si="5"/>
        <v>0</v>
      </c>
    </row>
    <row r="61" spans="2:31" x14ac:dyDescent="0.25">
      <c r="B61" s="4"/>
      <c r="E61" s="3"/>
      <c r="F61" s="3"/>
      <c r="G61" s="24"/>
      <c r="H61" s="24"/>
      <c r="K61" s="4"/>
      <c r="L61" s="4"/>
      <c r="M61" s="4"/>
      <c r="N61" s="4"/>
      <c r="O61" s="4"/>
      <c r="P61" s="33"/>
      <c r="Q61" s="25">
        <v>0</v>
      </c>
      <c r="R61" s="25">
        <v>0</v>
      </c>
      <c r="S61" s="12">
        <f t="shared" si="0"/>
        <v>0</v>
      </c>
      <c r="T61" s="5">
        <v>0</v>
      </c>
      <c r="U61" s="12">
        <f t="shared" si="6"/>
        <v>0</v>
      </c>
      <c r="V61" s="25" t="s">
        <v>10</v>
      </c>
      <c r="W61" s="11">
        <f>IFERROR(VLOOKUP(V61,Curr!$B$2:$C$13,2,FALSE),0)</f>
        <v>11.3</v>
      </c>
      <c r="X61" s="12">
        <f t="shared" si="1"/>
        <v>0</v>
      </c>
      <c r="Y61" s="26">
        <f t="shared" si="7"/>
        <v>0</v>
      </c>
      <c r="Z61" s="12">
        <f t="shared" si="2"/>
        <v>0</v>
      </c>
      <c r="AA61" s="4" t="s">
        <v>10</v>
      </c>
      <c r="AB61" s="11">
        <f>IFERROR(VLOOKUP(AA61,Curr!$B$2:$C$13,2,FALSE),0)</f>
        <v>11.3</v>
      </c>
      <c r="AC61" s="12">
        <f t="shared" si="3"/>
        <v>0</v>
      </c>
      <c r="AD61" s="12">
        <f t="shared" si="4"/>
        <v>0</v>
      </c>
      <c r="AE61" s="13">
        <f t="shared" si="5"/>
        <v>0</v>
      </c>
    </row>
    <row r="62" spans="2:31" x14ac:dyDescent="0.25">
      <c r="B62" s="4"/>
      <c r="E62" s="3"/>
      <c r="F62" s="3"/>
      <c r="G62" s="24"/>
      <c r="H62" s="24"/>
      <c r="K62" s="4"/>
      <c r="L62" s="4"/>
      <c r="M62" s="4"/>
      <c r="N62" s="4"/>
      <c r="O62" s="4"/>
      <c r="P62" s="33"/>
      <c r="Q62" s="25">
        <v>0</v>
      </c>
      <c r="R62" s="25">
        <v>0</v>
      </c>
      <c r="S62" s="12">
        <f t="shared" si="0"/>
        <v>0</v>
      </c>
      <c r="T62" s="5">
        <v>0</v>
      </c>
      <c r="U62" s="12">
        <f t="shared" si="6"/>
        <v>0</v>
      </c>
      <c r="V62" s="25" t="s">
        <v>10</v>
      </c>
      <c r="W62" s="11">
        <f>IFERROR(VLOOKUP(V62,Curr!$B$2:$C$13,2,FALSE),0)</f>
        <v>11.3</v>
      </c>
      <c r="X62" s="12">
        <f t="shared" si="1"/>
        <v>0</v>
      </c>
      <c r="Y62" s="26">
        <f t="shared" si="7"/>
        <v>0</v>
      </c>
      <c r="Z62" s="12">
        <f t="shared" si="2"/>
        <v>0</v>
      </c>
      <c r="AA62" s="4" t="s">
        <v>10</v>
      </c>
      <c r="AB62" s="11">
        <f>IFERROR(VLOOKUP(AA62,Curr!$B$2:$C$13,2,FALSE),0)</f>
        <v>11.3</v>
      </c>
      <c r="AC62" s="12">
        <f t="shared" si="3"/>
        <v>0</v>
      </c>
      <c r="AD62" s="12">
        <f t="shared" si="4"/>
        <v>0</v>
      </c>
      <c r="AE62" s="13">
        <f t="shared" si="5"/>
        <v>0</v>
      </c>
    </row>
    <row r="63" spans="2:31" x14ac:dyDescent="0.25">
      <c r="B63" s="4"/>
      <c r="E63" s="3"/>
      <c r="F63" s="3"/>
      <c r="G63" s="24"/>
      <c r="H63" s="24"/>
      <c r="K63" s="4"/>
      <c r="L63" s="4"/>
      <c r="M63" s="4"/>
      <c r="N63" s="4"/>
      <c r="O63" s="4"/>
      <c r="P63" s="27"/>
      <c r="Q63" s="25">
        <v>0</v>
      </c>
      <c r="R63" s="25">
        <v>0</v>
      </c>
      <c r="S63" s="12">
        <f t="shared" si="0"/>
        <v>0</v>
      </c>
      <c r="T63" s="5">
        <v>0</v>
      </c>
      <c r="U63" s="12">
        <f t="shared" si="6"/>
        <v>0</v>
      </c>
      <c r="V63" s="25" t="s">
        <v>10</v>
      </c>
      <c r="W63" s="11">
        <f>IFERROR(VLOOKUP(V63,Curr!$B$2:$C$13,2,FALSE),0)</f>
        <v>11.3</v>
      </c>
      <c r="X63" s="12">
        <f t="shared" si="1"/>
        <v>0</v>
      </c>
      <c r="Y63" s="26">
        <f t="shared" si="7"/>
        <v>0</v>
      </c>
      <c r="Z63" s="12">
        <f t="shared" si="2"/>
        <v>0</v>
      </c>
      <c r="AA63" s="4" t="s">
        <v>10</v>
      </c>
      <c r="AB63" s="11">
        <f>IFERROR(VLOOKUP(AA63,Curr!$B$2:$C$13,2,FALSE),0)</f>
        <v>11.3</v>
      </c>
      <c r="AC63" s="12">
        <f t="shared" si="3"/>
        <v>0</v>
      </c>
      <c r="AD63" s="12">
        <f t="shared" si="4"/>
        <v>0</v>
      </c>
      <c r="AE63" s="13">
        <f t="shared" si="5"/>
        <v>0</v>
      </c>
    </row>
    <row r="64" spans="2:31" x14ac:dyDescent="0.25">
      <c r="B64" s="4"/>
      <c r="E64" s="3"/>
      <c r="F64" s="3"/>
      <c r="G64" s="24"/>
      <c r="H64" s="24"/>
      <c r="K64" s="4"/>
      <c r="L64" s="4"/>
      <c r="M64" s="4"/>
      <c r="N64" s="4"/>
      <c r="O64" s="4"/>
      <c r="P64" s="33"/>
      <c r="Q64" s="25">
        <v>0</v>
      </c>
      <c r="R64" s="25">
        <v>0</v>
      </c>
      <c r="S64" s="12">
        <f t="shared" si="0"/>
        <v>0</v>
      </c>
      <c r="T64" s="5">
        <v>0</v>
      </c>
      <c r="U64" s="12">
        <f t="shared" si="6"/>
        <v>0</v>
      </c>
      <c r="V64" s="25" t="s">
        <v>10</v>
      </c>
      <c r="W64" s="11">
        <f>IFERROR(VLOOKUP(V64,Curr!$B$2:$C$13,2,FALSE),0)</f>
        <v>11.3</v>
      </c>
      <c r="X64" s="12">
        <f t="shared" si="1"/>
        <v>0</v>
      </c>
      <c r="Y64" s="26">
        <f t="shared" si="7"/>
        <v>0</v>
      </c>
      <c r="Z64" s="12">
        <f t="shared" si="2"/>
        <v>0</v>
      </c>
      <c r="AA64" s="4" t="s">
        <v>10</v>
      </c>
      <c r="AB64" s="11">
        <f>IFERROR(VLOOKUP(AA64,Curr!$B$2:$C$13,2,FALSE),0)</f>
        <v>11.3</v>
      </c>
      <c r="AC64" s="12">
        <f t="shared" si="3"/>
        <v>0</v>
      </c>
      <c r="AD64" s="12">
        <f t="shared" si="4"/>
        <v>0</v>
      </c>
      <c r="AE64" s="13">
        <f t="shared" si="5"/>
        <v>0</v>
      </c>
    </row>
    <row r="65" spans="2:36" x14ac:dyDescent="0.25">
      <c r="B65" s="4"/>
      <c r="E65" s="3"/>
      <c r="F65" s="3"/>
      <c r="G65" s="24"/>
      <c r="H65" s="24"/>
      <c r="K65" s="4"/>
      <c r="L65" s="4"/>
      <c r="M65" s="4"/>
      <c r="N65" s="4"/>
      <c r="O65" s="4"/>
      <c r="P65" s="27"/>
      <c r="Q65" s="25">
        <v>0</v>
      </c>
      <c r="R65" s="25">
        <v>0</v>
      </c>
      <c r="S65" s="12">
        <f t="shared" si="0"/>
        <v>0</v>
      </c>
      <c r="T65" s="5">
        <v>0</v>
      </c>
      <c r="U65" s="12">
        <f t="shared" si="6"/>
        <v>0</v>
      </c>
      <c r="V65" s="25" t="s">
        <v>10</v>
      </c>
      <c r="W65" s="11">
        <f>IFERROR(VLOOKUP(V65,Curr!$B$2:$C$13,2,FALSE),0)</f>
        <v>11.3</v>
      </c>
      <c r="X65" s="12">
        <f t="shared" si="1"/>
        <v>0</v>
      </c>
      <c r="Y65" s="26">
        <f t="shared" si="7"/>
        <v>0</v>
      </c>
      <c r="Z65" s="12">
        <f t="shared" si="2"/>
        <v>0</v>
      </c>
      <c r="AA65" s="4" t="s">
        <v>10</v>
      </c>
      <c r="AB65" s="11">
        <f>IFERROR(VLOOKUP(AA65,Curr!$B$2:$C$13,2,FALSE),0)</f>
        <v>11.3</v>
      </c>
      <c r="AC65" s="12">
        <f t="shared" si="3"/>
        <v>0</v>
      </c>
      <c r="AD65" s="12">
        <f t="shared" si="4"/>
        <v>0</v>
      </c>
      <c r="AE65" s="13">
        <f t="shared" si="5"/>
        <v>0</v>
      </c>
    </row>
    <row r="66" spans="2:36" x14ac:dyDescent="0.25">
      <c r="B66" s="4"/>
      <c r="E66" s="3"/>
      <c r="F66" s="3"/>
      <c r="G66" s="3"/>
      <c r="H66" s="3"/>
      <c r="L66" s="4"/>
      <c r="M66" s="4"/>
      <c r="N66" s="4"/>
      <c r="O66" s="4"/>
      <c r="P66" s="22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2:36" x14ac:dyDescent="0.25">
      <c r="B67" s="14" t="s">
        <v>18</v>
      </c>
      <c r="C67" s="14"/>
      <c r="D67" s="28" t="s">
        <v>42</v>
      </c>
      <c r="E67" s="30" t="s">
        <v>42</v>
      </c>
      <c r="F67" s="30" t="s">
        <v>42</v>
      </c>
      <c r="G67" s="30" t="s">
        <v>42</v>
      </c>
      <c r="H67" s="30" t="s">
        <v>42</v>
      </c>
      <c r="I67" s="28" t="s">
        <v>42</v>
      </c>
      <c r="J67" s="28" t="s">
        <v>42</v>
      </c>
      <c r="K67" s="28" t="s">
        <v>42</v>
      </c>
      <c r="L67" s="28" t="s">
        <v>42</v>
      </c>
      <c r="M67" s="28" t="s">
        <v>42</v>
      </c>
      <c r="N67" s="28" t="s">
        <v>42</v>
      </c>
      <c r="O67" s="28" t="s">
        <v>42</v>
      </c>
      <c r="P67" s="28" t="s">
        <v>42</v>
      </c>
      <c r="Q67" s="31" t="s">
        <v>42</v>
      </c>
      <c r="R67" s="28" t="s">
        <v>42</v>
      </c>
      <c r="S67" s="32" t="s">
        <v>42</v>
      </c>
      <c r="T67" s="28" t="s">
        <v>42</v>
      </c>
      <c r="U67" s="32" t="s">
        <v>42</v>
      </c>
      <c r="V67" s="28" t="s">
        <v>42</v>
      </c>
      <c r="W67" s="28" t="s">
        <v>42</v>
      </c>
      <c r="X67" s="32" t="s">
        <v>42</v>
      </c>
      <c r="Y67" s="32" t="s">
        <v>42</v>
      </c>
      <c r="Z67" s="15">
        <f>SUM(Z7:Z65)</f>
        <v>0</v>
      </c>
      <c r="AA67" s="14"/>
      <c r="AB67" s="14"/>
      <c r="AC67" s="15">
        <f>SUM(AC7:AC65)</f>
        <v>0</v>
      </c>
      <c r="AD67" s="15">
        <f>SUM(AD7:AD65)</f>
        <v>0</v>
      </c>
      <c r="AE67" s="21">
        <f t="shared" ref="AE67" si="8">IFERROR(AD67/AC67,0)</f>
        <v>0</v>
      </c>
      <c r="AF67" s="15">
        <f>SUM(AF8:AF66)</f>
        <v>0</v>
      </c>
      <c r="AG67" s="15">
        <f>SUM(AG8:AG66)</f>
        <v>0</v>
      </c>
      <c r="AH67" s="15">
        <f>SUM(AH8:AH66)</f>
        <v>0</v>
      </c>
      <c r="AI67" s="15">
        <f>SUM(AI8:AI66)</f>
        <v>0</v>
      </c>
      <c r="AJ67" s="15">
        <f>SUM(AJ8:AJ66)</f>
        <v>0</v>
      </c>
    </row>
    <row r="68" spans="2:36" x14ac:dyDescent="0.25">
      <c r="B68" s="4"/>
      <c r="E68" s="3"/>
      <c r="F68" s="3"/>
      <c r="G68" s="3"/>
      <c r="H68" s="3"/>
      <c r="L68" s="4"/>
      <c r="M68" s="4"/>
      <c r="N68" s="4"/>
      <c r="O68" s="4"/>
      <c r="Q68" s="4"/>
      <c r="R68" s="4"/>
      <c r="S68" s="4"/>
      <c r="T68" s="4"/>
      <c r="U68" s="4"/>
      <c r="V68" s="4"/>
      <c r="W68" s="4"/>
      <c r="X68" s="4"/>
      <c r="Y68" s="9"/>
      <c r="Z68" s="9"/>
      <c r="AA68" s="9"/>
      <c r="AB68" s="9"/>
      <c r="AC68" s="9"/>
      <c r="AD68" s="9"/>
      <c r="AE68" s="9"/>
    </row>
    <row r="69" spans="2:36" x14ac:dyDescent="0.25">
      <c r="B69" s="4"/>
      <c r="E69" s="3"/>
      <c r="F69" s="3"/>
      <c r="G69" s="3"/>
      <c r="H69" s="3"/>
      <c r="L69" s="4"/>
      <c r="M69" s="4"/>
      <c r="N69" s="4"/>
      <c r="O69" s="4"/>
      <c r="Q69" s="9"/>
      <c r="R69" s="9"/>
      <c r="S69" s="9"/>
      <c r="T69" s="9"/>
      <c r="U69" s="9"/>
      <c r="V69" s="9"/>
      <c r="W69" s="9"/>
      <c r="X69" s="23"/>
      <c r="Y69" s="34" t="s">
        <v>45</v>
      </c>
      <c r="Z69" s="34">
        <v>0</v>
      </c>
      <c r="AA69" s="9"/>
      <c r="AB69" s="9"/>
      <c r="AC69" s="9"/>
      <c r="AD69" s="9"/>
      <c r="AE69" s="9"/>
    </row>
    <row r="70" spans="2:36" x14ac:dyDescent="0.25">
      <c r="B70" s="4"/>
      <c r="E70" s="3"/>
      <c r="F70" s="3"/>
      <c r="G70" s="3"/>
      <c r="H70" s="3"/>
      <c r="L70" s="4"/>
      <c r="M70" s="4"/>
      <c r="N70" s="4"/>
      <c r="O70" s="4"/>
      <c r="Q70" s="9"/>
      <c r="R70" s="9"/>
      <c r="S70" s="9"/>
      <c r="T70" s="9"/>
      <c r="U70" s="9"/>
      <c r="V70" s="9"/>
      <c r="W70" s="9"/>
      <c r="X70" s="9"/>
      <c r="Y70" s="34" t="s">
        <v>46</v>
      </c>
      <c r="Z70" s="34">
        <f>Z69/2</f>
        <v>0</v>
      </c>
      <c r="AA70" s="9"/>
      <c r="AB70" s="9"/>
      <c r="AC70" s="9"/>
      <c r="AD70" s="9"/>
      <c r="AE70" s="9"/>
      <c r="AF70" s="18"/>
    </row>
    <row r="71" spans="2:36" x14ac:dyDescent="0.25">
      <c r="B71" s="4"/>
      <c r="E71" s="3"/>
      <c r="F71" s="3"/>
      <c r="G71" s="3"/>
      <c r="H71" s="3"/>
      <c r="I71" s="19"/>
      <c r="L71" s="4"/>
      <c r="M71" s="4"/>
      <c r="N71" s="4"/>
      <c r="O71" s="20"/>
      <c r="Q71" s="20"/>
      <c r="R71" s="20"/>
      <c r="S71" s="20"/>
      <c r="T71" s="20"/>
      <c r="U71" s="20"/>
      <c r="V71" s="20"/>
      <c r="W71" s="20"/>
      <c r="X71" s="20"/>
      <c r="Y71" s="9"/>
      <c r="Z71" s="9"/>
      <c r="AA71" s="9"/>
      <c r="AB71" s="9"/>
      <c r="AC71" s="9"/>
      <c r="AD71" s="9"/>
      <c r="AE71" s="9"/>
      <c r="AF71" s="18"/>
    </row>
    <row r="72" spans="2:36" x14ac:dyDescent="0.25">
      <c r="B72" s="4"/>
      <c r="E72" s="3"/>
      <c r="F72" s="3"/>
      <c r="G72" s="3"/>
      <c r="H72" s="3"/>
      <c r="L72" s="4"/>
      <c r="M72" s="4"/>
      <c r="N72" s="4"/>
      <c r="O72" s="20"/>
      <c r="Q72" s="20"/>
      <c r="R72" s="20"/>
      <c r="S72" s="20"/>
      <c r="T72" s="20"/>
      <c r="U72" s="20"/>
      <c r="V72" s="20"/>
      <c r="W72" s="20"/>
      <c r="X72" s="20"/>
      <c r="Y72" s="35" t="s">
        <v>83</v>
      </c>
      <c r="Z72" s="9">
        <f>Z69</f>
        <v>0</v>
      </c>
      <c r="AA72" s="9"/>
      <c r="AB72" s="9"/>
      <c r="AC72" s="9"/>
      <c r="AD72" s="9"/>
      <c r="AE72" s="9"/>
      <c r="AF72" s="18"/>
    </row>
    <row r="73" spans="2:36" x14ac:dyDescent="0.25">
      <c r="B73" s="4"/>
      <c r="E73" s="3"/>
      <c r="F73" s="3"/>
      <c r="G73" s="3"/>
      <c r="H73" s="3"/>
      <c r="L73" s="4"/>
      <c r="M73" s="4"/>
      <c r="N73" s="4"/>
      <c r="O73" s="4"/>
      <c r="Q73" s="9"/>
      <c r="R73" s="9"/>
      <c r="S73" s="9"/>
      <c r="T73" s="9"/>
      <c r="U73" s="9"/>
      <c r="V73" s="9"/>
      <c r="W73" s="9"/>
      <c r="X73" s="9"/>
      <c r="Y73" s="36" t="s">
        <v>84</v>
      </c>
      <c r="Z73" s="9">
        <f>Z72*1.15</f>
        <v>0</v>
      </c>
      <c r="AA73" s="9"/>
      <c r="AB73" s="9"/>
      <c r="AC73" s="9"/>
      <c r="AD73" s="9"/>
      <c r="AE73" s="9"/>
      <c r="AF73" s="18"/>
    </row>
    <row r="74" spans="2:36" x14ac:dyDescent="0.25">
      <c r="F74" s="1"/>
      <c r="G74" s="1"/>
      <c r="H74" s="1"/>
      <c r="J74" s="1" t="s">
        <v>32</v>
      </c>
      <c r="Q74" s="9"/>
      <c r="R74" s="4"/>
      <c r="S74" s="9"/>
      <c r="T74" s="5"/>
      <c r="U74" s="9"/>
      <c r="V74" s="4"/>
      <c r="W74" s="4"/>
      <c r="X74" s="9"/>
      <c r="Y74" s="36" t="s">
        <v>85</v>
      </c>
      <c r="Z74" s="9">
        <f>Z72*1.2</f>
        <v>0</v>
      </c>
      <c r="AA74" s="9"/>
      <c r="AB74" s="9"/>
      <c r="AC74" s="9"/>
      <c r="AD74" s="9"/>
      <c r="AE74" s="9"/>
    </row>
    <row r="75" spans="2:36" x14ac:dyDescent="0.25">
      <c r="R75" s="4"/>
      <c r="S75" s="17"/>
      <c r="T75" s="17"/>
      <c r="U75" s="9"/>
      <c r="V75" s="4"/>
      <c r="W75" s="4"/>
      <c r="X75" s="9"/>
      <c r="Y75" s="36" t="s">
        <v>86</v>
      </c>
      <c r="Z75" s="9">
        <f>Z72*0.84</f>
        <v>0</v>
      </c>
      <c r="AA75" s="9"/>
      <c r="AB75" s="9"/>
      <c r="AC75" s="9"/>
      <c r="AD75" s="9"/>
      <c r="AE75" s="9"/>
    </row>
    <row r="76" spans="2:36" x14ac:dyDescent="0.25">
      <c r="Q76" s="9"/>
      <c r="R76" s="4"/>
      <c r="S76" s="16"/>
      <c r="T76" s="16"/>
      <c r="U76" s="9"/>
      <c r="V76" s="4"/>
      <c r="W76" s="4"/>
      <c r="X76" s="9"/>
      <c r="Y76" s="9"/>
      <c r="Z76" s="9"/>
      <c r="AA76" s="9"/>
      <c r="AB76" s="9"/>
      <c r="AC76" s="9"/>
      <c r="AD76" s="9"/>
      <c r="AE76" s="9"/>
    </row>
    <row r="77" spans="2:36" x14ac:dyDescent="0.25">
      <c r="R77" s="4"/>
      <c r="S77" s="16"/>
      <c r="T77" s="16"/>
      <c r="Y77" s="9"/>
      <c r="Z77" s="9"/>
      <c r="AA77" s="9"/>
      <c r="AB77" s="9"/>
      <c r="AC77" s="9"/>
      <c r="AD77" s="9"/>
      <c r="AE77" s="9"/>
    </row>
    <row r="78" spans="2:36" x14ac:dyDescent="0.25">
      <c r="T78" s="5"/>
      <c r="Y78" s="9"/>
      <c r="Z78" s="9"/>
      <c r="AA78" s="9"/>
      <c r="AB78" s="9"/>
      <c r="AC78" s="9"/>
      <c r="AD78" s="9"/>
      <c r="AE78" s="9"/>
    </row>
    <row r="79" spans="2:36" x14ac:dyDescent="0.25">
      <c r="T79" s="5"/>
      <c r="Y79" s="9"/>
      <c r="Z79" s="9"/>
      <c r="AA79" s="9"/>
      <c r="AB79" s="9"/>
      <c r="AC79" s="9"/>
      <c r="AD79" s="9"/>
      <c r="AE79" s="9"/>
    </row>
    <row r="80" spans="2:36" x14ac:dyDescent="0.25">
      <c r="T80" s="5"/>
      <c r="Y80" s="9"/>
      <c r="Z80" s="9"/>
      <c r="AA80" s="9"/>
      <c r="AB80" s="9"/>
      <c r="AC80" s="9"/>
      <c r="AD80" s="9"/>
      <c r="AE80" s="9"/>
    </row>
    <row r="81" spans="20:31" x14ac:dyDescent="0.25">
      <c r="T81" s="5"/>
      <c r="Y81" s="9"/>
      <c r="Z81" s="9"/>
      <c r="AA81" s="9"/>
      <c r="AB81" s="9"/>
      <c r="AC81" s="9"/>
      <c r="AD81" s="9"/>
      <c r="AE81" s="9"/>
    </row>
    <row r="82" spans="20:31" x14ac:dyDescent="0.25">
      <c r="T82" s="5"/>
      <c r="Y82" s="9"/>
      <c r="Z82" s="9"/>
      <c r="AA82" s="9"/>
      <c r="AB82" s="9"/>
      <c r="AC82" s="9"/>
      <c r="AD82" s="9"/>
      <c r="AE82" s="9"/>
    </row>
    <row r="83" spans="20:31" x14ac:dyDescent="0.25">
      <c r="T83" s="5"/>
      <c r="Y83" s="9"/>
      <c r="Z83" s="9"/>
      <c r="AA83" s="9"/>
      <c r="AB83" s="9"/>
      <c r="AC83" s="9"/>
      <c r="AD83" s="9"/>
      <c r="AE83" s="9"/>
    </row>
    <row r="84" spans="20:31" x14ac:dyDescent="0.25">
      <c r="T84" s="5"/>
      <c r="Y84" s="9"/>
      <c r="Z84" s="9"/>
      <c r="AA84" s="9"/>
      <c r="AB84" s="9"/>
      <c r="AC84" s="9"/>
      <c r="AD84" s="9"/>
      <c r="AE84" s="9"/>
    </row>
    <row r="85" spans="20:31" x14ac:dyDescent="0.25">
      <c r="T85" s="5"/>
      <c r="Y85" s="9"/>
      <c r="Z85" s="9"/>
      <c r="AA85" s="9"/>
      <c r="AB85" s="9"/>
      <c r="AC85" s="9"/>
      <c r="AD85" s="9"/>
      <c r="AE85" s="9"/>
    </row>
    <row r="86" spans="20:31" x14ac:dyDescent="0.25">
      <c r="T86" s="5"/>
    </row>
    <row r="87" spans="20:31" x14ac:dyDescent="0.25">
      <c r="T87" s="5"/>
    </row>
    <row r="88" spans="20:31" x14ac:dyDescent="0.25">
      <c r="T88" s="5"/>
    </row>
    <row r="89" spans="20:31" x14ac:dyDescent="0.25">
      <c r="T89" s="5"/>
    </row>
    <row r="90" spans="20:31" x14ac:dyDescent="0.25">
      <c r="T90" s="5"/>
    </row>
  </sheetData>
  <autoFilter ref="B6:AE67" xr:uid="{65FA6D9B-E0AF-46CD-BA0D-86BB75FE6AB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23EF72DA63D44FA2A28E00AC11E8EE" ma:contentTypeVersion="18" ma:contentTypeDescription="Opprett et nytt dokument." ma:contentTypeScope="" ma:versionID="0e7978918f7ba2b56dd79afad014a1ed">
  <xsd:schema xmlns:xsd="http://www.w3.org/2001/XMLSchema" xmlns:xs="http://www.w3.org/2001/XMLSchema" xmlns:p="http://schemas.microsoft.com/office/2006/metadata/properties" xmlns:ns2="9b6e2739-bd71-49a7-afc4-e179dfe94dc1" xmlns:ns3="2b30070a-7262-4d8b-a938-b3248c635664" targetNamespace="http://schemas.microsoft.com/office/2006/metadata/properties" ma:root="true" ma:fieldsID="c48e0c1802030b8740a8f4de73b33bbb" ns2:_="" ns3:_="">
    <xsd:import namespace="9b6e2739-bd71-49a7-afc4-e179dfe94dc1"/>
    <xsd:import namespace="2b30070a-7262-4d8b-a938-b3248c6356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e2739-bd71-49a7-afc4-e179dfe94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cfc72ce7-c435-4f97-944d-94ae49e3d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70a-7262-4d8b-a938-b3248c63566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266e5a3-2fe4-433c-87fb-0dc58561f75a}" ma:internalName="TaxCatchAll" ma:showField="CatchAllData" ma:web="2b30070a-7262-4d8b-a938-b3248c6356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e2739-bd71-49a7-afc4-e179dfe94dc1">
      <Terms xmlns="http://schemas.microsoft.com/office/infopath/2007/PartnerControls"/>
    </lcf76f155ced4ddcb4097134ff3c332f>
    <TaxCatchAll xmlns="2b30070a-7262-4d8b-a938-b3248c635664" xsi:nil="true"/>
  </documentManagement>
</p:properties>
</file>

<file path=customXml/itemProps1.xml><?xml version="1.0" encoding="utf-8"?>
<ds:datastoreItem xmlns:ds="http://schemas.openxmlformats.org/officeDocument/2006/customXml" ds:itemID="{B5583956-6198-441D-88CE-2DAC6C9CB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e2739-bd71-49a7-afc4-e179dfe94dc1"/>
    <ds:schemaRef ds:uri="2b30070a-7262-4d8b-a938-b3248c635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77E57D-ABDD-4DAE-B3A5-315ED7FE9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692FD7-DCDA-4048-8BCD-FC2D85C5421C}">
  <ds:schemaRefs>
    <ds:schemaRef ds:uri="http://schemas.microsoft.com/office/2006/metadata/properties"/>
    <ds:schemaRef ds:uri="http://schemas.microsoft.com/office/infopath/2007/PartnerControls"/>
    <ds:schemaRef ds:uri="9b6e2739-bd71-49a7-afc4-e179dfe94dc1"/>
    <ds:schemaRef ds:uri="2b30070a-7262-4d8b-a938-b3248c6356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Curr</vt:lpstr>
      <vt:lpstr>Mal</vt:lpstr>
      <vt:lpstr>501</vt:lpstr>
      <vt:lpstr>502</vt:lpstr>
      <vt:lpstr>503</vt:lpstr>
      <vt:lpstr>504</vt:lpstr>
      <vt:lpstr>505</vt:lpstr>
      <vt:lpstr>506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Christer Andre Olsen</dc:creator>
  <cp:lastModifiedBy>Dennis Kålen</cp:lastModifiedBy>
  <dcterms:created xsi:type="dcterms:W3CDTF">2023-07-31T16:02:03Z</dcterms:created>
  <dcterms:modified xsi:type="dcterms:W3CDTF">2026-04-20T09:59:27Z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0x0101001123EF72DA63D44FA2A28E00AC11E8EE</vt:lpwstr>
  </property>
  <property fmtid="{D5CDD505-2E9C-101B-9397-08002B2CF9AE}" pid="3" name="MediaServiceImageTags">
    <vt:lpwstr/>
  </property>
</Properties>
</file>