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ennisKålen\Desktop\Itineraries\Standard Itineraries\Norway\"/>
    </mc:Choice>
  </mc:AlternateContent>
  <xr:revisionPtr revIDLastSave="0" documentId="13_ncr:1_{3A90965A-026E-49C0-80D1-55274A0EE5B5}" xr6:coauthVersionLast="47" xr6:coauthVersionMax="47" xr10:uidLastSave="{00000000-0000-0000-0000-000000000000}"/>
  <bookViews>
    <workbookView xWindow="3570" yWindow="600" windowWidth="21600" windowHeight="11295" firstSheet="11" activeTab="23" xr2:uid="{F0120B8F-C750-4EFC-83CE-D7DAB56C8915}"/>
  </bookViews>
  <sheets>
    <sheet name="Curr" sheetId="5" r:id="rId1"/>
    <sheet name="Mal" sheetId="19" r:id="rId2"/>
    <sheet name="201" sheetId="6" r:id="rId3"/>
    <sheet name="202" sheetId="7" r:id="rId4"/>
    <sheet name="203" sheetId="8" r:id="rId5"/>
    <sheet name="204" sheetId="9" r:id="rId6"/>
    <sheet name="205" sheetId="10" r:id="rId7"/>
    <sheet name="206" sheetId="11" r:id="rId8"/>
    <sheet name="207" sheetId="12" r:id="rId9"/>
    <sheet name="208" sheetId="13" r:id="rId10"/>
    <sheet name="209" sheetId="14" r:id="rId11"/>
    <sheet name="210" sheetId="15" r:id="rId12"/>
    <sheet name="211" sheetId="20" r:id="rId13"/>
    <sheet name="212" sheetId="21" r:id="rId14"/>
    <sheet name="213" sheetId="25" r:id="rId15"/>
    <sheet name="214" sheetId="22" r:id="rId16"/>
    <sheet name="215" sheetId="23" r:id="rId17"/>
    <sheet name="216" sheetId="24" r:id="rId18"/>
    <sheet name="217" sheetId="30" r:id="rId19"/>
    <sheet name="218" sheetId="27" r:id="rId20"/>
    <sheet name="219" sheetId="26" r:id="rId21"/>
    <sheet name="2x2" sheetId="28" r:id="rId22"/>
    <sheet name="2x3" sheetId="29" r:id="rId23"/>
    <sheet name="Example" sheetId="31" r:id="rId24"/>
  </sheets>
  <definedNames>
    <definedName name="_xlnm._FilterDatabase" localSheetId="2" hidden="1">'201'!$B$6:$AE$55</definedName>
    <definedName name="_xlnm._FilterDatabase" localSheetId="3" hidden="1">'202'!$B$6:$AE$63</definedName>
    <definedName name="_xlnm._FilterDatabase" localSheetId="4" hidden="1">'203'!$B$6:$AE$65</definedName>
    <definedName name="_xlnm._FilterDatabase" localSheetId="5" hidden="1">'204'!$B$6:$AE$73</definedName>
    <definedName name="_xlnm._FilterDatabase" localSheetId="6" hidden="1">'205'!$B$6:$AE$70</definedName>
    <definedName name="_xlnm._FilterDatabase" localSheetId="7" hidden="1">'206'!$B$6:$AE$55</definedName>
    <definedName name="_xlnm._FilterDatabase" localSheetId="8" hidden="1">'207'!$B$6:$AE$70</definedName>
    <definedName name="_xlnm._FilterDatabase" localSheetId="9" hidden="1">'208'!$B$6:$AE$79</definedName>
    <definedName name="_xlnm._FilterDatabase" localSheetId="10" hidden="1">'209'!$B$6:$AE$84</definedName>
    <definedName name="_xlnm._FilterDatabase" localSheetId="11" hidden="1">'210'!$B$6:$AE$59</definedName>
    <definedName name="_xlnm._FilterDatabase" localSheetId="12" hidden="1">'211'!$B$6:$AE$51</definedName>
    <definedName name="_xlnm._FilterDatabase" localSheetId="13" hidden="1">'212'!$B$6:$AE$63</definedName>
    <definedName name="_xlnm._FilterDatabase" localSheetId="14" hidden="1">'213'!$B$6:$AE$51</definedName>
    <definedName name="_xlnm._FilterDatabase" localSheetId="15" hidden="1">'214'!$B$6:$AE$63</definedName>
    <definedName name="_xlnm._FilterDatabase" localSheetId="16" hidden="1">'215'!$B$6:$AE$62</definedName>
    <definedName name="_xlnm._FilterDatabase" localSheetId="17" hidden="1">'216'!$B$6:$AE$47</definedName>
    <definedName name="_xlnm._FilterDatabase" localSheetId="18" hidden="1">'217'!$B$6:$AE$48</definedName>
    <definedName name="_xlnm._FilterDatabase" localSheetId="19" hidden="1">'218'!$B$6:$AE$68</definedName>
    <definedName name="_xlnm._FilterDatabase" localSheetId="20" hidden="1">'219'!$B$6:$AE$33</definedName>
    <definedName name="_xlnm._FilterDatabase" localSheetId="21" hidden="1">'2x2'!$B$6:$AE$100</definedName>
    <definedName name="_xlnm._FilterDatabase" localSheetId="22" hidden="1">'2x3'!$B$6:$AE$100</definedName>
    <definedName name="_xlnm._FilterDatabase" localSheetId="23" hidden="1">Example!$B$6:$AE$55</definedName>
    <definedName name="_xlnm._FilterDatabase" localSheetId="1" hidden="1">Mal!$B$6:$AE$100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1" i="31" l="1"/>
  <c r="Z70" i="31"/>
  <c r="Z69" i="31"/>
  <c r="Z68" i="31"/>
  <c r="Z60" i="31"/>
  <c r="AJ55" i="31"/>
  <c r="AI55" i="31"/>
  <c r="AH55" i="31"/>
  <c r="AG55" i="31"/>
  <c r="AF55" i="31"/>
  <c r="AB53" i="31"/>
  <c r="Y53" i="31"/>
  <c r="AC53" i="31" s="1"/>
  <c r="W53" i="31"/>
  <c r="S53" i="31"/>
  <c r="U53" i="31" s="1"/>
  <c r="X53" i="31" s="1"/>
  <c r="AB52" i="31"/>
  <c r="Y52" i="31"/>
  <c r="AC52" i="31" s="1"/>
  <c r="AD52" i="31" s="1"/>
  <c r="AE52" i="31" s="1"/>
  <c r="W52" i="31"/>
  <c r="S52" i="31"/>
  <c r="U52" i="31" s="1"/>
  <c r="X52" i="31" s="1"/>
  <c r="AB51" i="31"/>
  <c r="Y51" i="31"/>
  <c r="AC51" i="31" s="1"/>
  <c r="W51" i="31"/>
  <c r="S51" i="31"/>
  <c r="U51" i="31" s="1"/>
  <c r="X51" i="31" s="1"/>
  <c r="AB50" i="31"/>
  <c r="Y50" i="31"/>
  <c r="Z50" i="31" s="1"/>
  <c r="W50" i="31"/>
  <c r="S50" i="31"/>
  <c r="U50" i="31" s="1"/>
  <c r="X50" i="31" s="1"/>
  <c r="AB49" i="31"/>
  <c r="Y49" i="31"/>
  <c r="AC49" i="31" s="1"/>
  <c r="W49" i="31"/>
  <c r="S49" i="31"/>
  <c r="U49" i="31" s="1"/>
  <c r="X49" i="31" s="1"/>
  <c r="AB48" i="31"/>
  <c r="Y48" i="31"/>
  <c r="AC48" i="31" s="1"/>
  <c r="AD48" i="31" s="1"/>
  <c r="AE48" i="31" s="1"/>
  <c r="W48" i="31"/>
  <c r="S48" i="31"/>
  <c r="U48" i="31" s="1"/>
  <c r="X48" i="31" s="1"/>
  <c r="AB47" i="31"/>
  <c r="Y47" i="31"/>
  <c r="AC47" i="31" s="1"/>
  <c r="W47" i="31"/>
  <c r="S47" i="31"/>
  <c r="U47" i="31" s="1"/>
  <c r="X47" i="31" s="1"/>
  <c r="AB46" i="31"/>
  <c r="Y46" i="31"/>
  <c r="Z46" i="31" s="1"/>
  <c r="W46" i="31"/>
  <c r="S46" i="31"/>
  <c r="U46" i="31" s="1"/>
  <c r="X46" i="31" s="1"/>
  <c r="AB45" i="31"/>
  <c r="Y45" i="31"/>
  <c r="AC45" i="31" s="1"/>
  <c r="W45" i="31"/>
  <c r="S45" i="31"/>
  <c r="U45" i="31" s="1"/>
  <c r="X45" i="31" s="1"/>
  <c r="AB44" i="31"/>
  <c r="Y44" i="31"/>
  <c r="AC44" i="31" s="1"/>
  <c r="AD44" i="31" s="1"/>
  <c r="AE44" i="31" s="1"/>
  <c r="W44" i="31"/>
  <c r="S44" i="31"/>
  <c r="U44" i="31" s="1"/>
  <c r="X44" i="31" s="1"/>
  <c r="AB43" i="31"/>
  <c r="Y43" i="31"/>
  <c r="AC43" i="31" s="1"/>
  <c r="W43" i="31"/>
  <c r="S43" i="31"/>
  <c r="U43" i="31" s="1"/>
  <c r="X43" i="31" s="1"/>
  <c r="AB42" i="31"/>
  <c r="Y42" i="31"/>
  <c r="Z42" i="31" s="1"/>
  <c r="W42" i="31"/>
  <c r="S42" i="31"/>
  <c r="U42" i="31" s="1"/>
  <c r="X42" i="31" s="1"/>
  <c r="AB41" i="31"/>
  <c r="Y41" i="31"/>
  <c r="AC41" i="31" s="1"/>
  <c r="W41" i="31"/>
  <c r="S41" i="31"/>
  <c r="U41" i="31" s="1"/>
  <c r="X41" i="31" s="1"/>
  <c r="AB40" i="31"/>
  <c r="Y40" i="31"/>
  <c r="AC40" i="31" s="1"/>
  <c r="AD40" i="31" s="1"/>
  <c r="AE40" i="31" s="1"/>
  <c r="W40" i="31"/>
  <c r="S40" i="31"/>
  <c r="U40" i="31" s="1"/>
  <c r="X40" i="31" s="1"/>
  <c r="AB39" i="31"/>
  <c r="Y39" i="31"/>
  <c r="AC39" i="31" s="1"/>
  <c r="W39" i="31"/>
  <c r="S39" i="31"/>
  <c r="U39" i="31" s="1"/>
  <c r="X39" i="31" s="1"/>
  <c r="AB38" i="31"/>
  <c r="Y38" i="31"/>
  <c r="Z38" i="31" s="1"/>
  <c r="W38" i="31"/>
  <c r="S38" i="31"/>
  <c r="U38" i="31" s="1"/>
  <c r="X38" i="31" s="1"/>
  <c r="AB37" i="31"/>
  <c r="Y37" i="31"/>
  <c r="AC37" i="31" s="1"/>
  <c r="W37" i="31"/>
  <c r="S37" i="31"/>
  <c r="U37" i="31" s="1"/>
  <c r="X37" i="31" s="1"/>
  <c r="AB36" i="31"/>
  <c r="Y36" i="31"/>
  <c r="AC36" i="31" s="1"/>
  <c r="AD36" i="31" s="1"/>
  <c r="AE36" i="31" s="1"/>
  <c r="W36" i="31"/>
  <c r="S36" i="31"/>
  <c r="U36" i="31" s="1"/>
  <c r="X36" i="31" s="1"/>
  <c r="AB35" i="31"/>
  <c r="Y35" i="31"/>
  <c r="AC35" i="31" s="1"/>
  <c r="AD35" i="31" s="1"/>
  <c r="AE35" i="31" s="1"/>
  <c r="W35" i="31"/>
  <c r="S35" i="31"/>
  <c r="U35" i="31" s="1"/>
  <c r="X35" i="31" s="1"/>
  <c r="AB34" i="31"/>
  <c r="Y34" i="31"/>
  <c r="Z34" i="31" s="1"/>
  <c r="W34" i="31"/>
  <c r="S34" i="31"/>
  <c r="U34" i="31" s="1"/>
  <c r="X34" i="31" s="1"/>
  <c r="AB33" i="31"/>
  <c r="Y33" i="31"/>
  <c r="AC33" i="31" s="1"/>
  <c r="W33" i="31"/>
  <c r="S33" i="31"/>
  <c r="U33" i="31" s="1"/>
  <c r="X33" i="31" s="1"/>
  <c r="AB32" i="31"/>
  <c r="Y32" i="31"/>
  <c r="AC32" i="31" s="1"/>
  <c r="AD32" i="31" s="1"/>
  <c r="AE32" i="31" s="1"/>
  <c r="W32" i="31"/>
  <c r="S32" i="31"/>
  <c r="U32" i="31" s="1"/>
  <c r="X32" i="31" s="1"/>
  <c r="AB31" i="31"/>
  <c r="Y31" i="31"/>
  <c r="AC31" i="31" s="1"/>
  <c r="AD31" i="31" s="1"/>
  <c r="AE31" i="31" s="1"/>
  <c r="W31" i="31"/>
  <c r="S31" i="31"/>
  <c r="U31" i="31" s="1"/>
  <c r="X31" i="31" s="1"/>
  <c r="AB30" i="31"/>
  <c r="Y30" i="31"/>
  <c r="Z30" i="31" s="1"/>
  <c r="W30" i="31"/>
  <c r="S30" i="31"/>
  <c r="U30" i="31" s="1"/>
  <c r="X30" i="31" s="1"/>
  <c r="AB29" i="31"/>
  <c r="Y29" i="31"/>
  <c r="AC29" i="31" s="1"/>
  <c r="W29" i="31"/>
  <c r="S29" i="31"/>
  <c r="U29" i="31" s="1"/>
  <c r="X29" i="31" s="1"/>
  <c r="AB28" i="31"/>
  <c r="Y28" i="31"/>
  <c r="AC28" i="31" s="1"/>
  <c r="AD28" i="31" s="1"/>
  <c r="AE28" i="31" s="1"/>
  <c r="W28" i="31"/>
  <c r="S28" i="31"/>
  <c r="U28" i="31" s="1"/>
  <c r="X28" i="31" s="1"/>
  <c r="AB27" i="31"/>
  <c r="Y27" i="31"/>
  <c r="AC27" i="31" s="1"/>
  <c r="AD27" i="31" s="1"/>
  <c r="AE27" i="31" s="1"/>
  <c r="W27" i="31"/>
  <c r="S27" i="31"/>
  <c r="U27" i="31" s="1"/>
  <c r="X27" i="31" s="1"/>
  <c r="AB26" i="31"/>
  <c r="Y26" i="31"/>
  <c r="Z26" i="31" s="1"/>
  <c r="W26" i="31"/>
  <c r="S26" i="31"/>
  <c r="U26" i="31" s="1"/>
  <c r="X26" i="31" s="1"/>
  <c r="AB25" i="31"/>
  <c r="Y25" i="31"/>
  <c r="AC25" i="31" s="1"/>
  <c r="AD25" i="31" s="1"/>
  <c r="AE25" i="31" s="1"/>
  <c r="W25" i="31"/>
  <c r="S25" i="31"/>
  <c r="U25" i="31" s="1"/>
  <c r="X25" i="31" s="1"/>
  <c r="AB24" i="31"/>
  <c r="Y24" i="31"/>
  <c r="AC24" i="31" s="1"/>
  <c r="AD24" i="31" s="1"/>
  <c r="AE24" i="31" s="1"/>
  <c r="W24" i="31"/>
  <c r="S24" i="31"/>
  <c r="U24" i="31" s="1"/>
  <c r="X24" i="31" s="1"/>
  <c r="AB23" i="31"/>
  <c r="Y23" i="31"/>
  <c r="AC23" i="31" s="1"/>
  <c r="AD23" i="31" s="1"/>
  <c r="AE23" i="31" s="1"/>
  <c r="W23" i="31"/>
  <c r="S23" i="31"/>
  <c r="U23" i="31" s="1"/>
  <c r="X23" i="31" s="1"/>
  <c r="AB22" i="31"/>
  <c r="Y22" i="31"/>
  <c r="Z22" i="31" s="1"/>
  <c r="W22" i="31"/>
  <c r="S22" i="31"/>
  <c r="U22" i="31" s="1"/>
  <c r="X22" i="31" s="1"/>
  <c r="AB21" i="31"/>
  <c r="Y21" i="31"/>
  <c r="AC21" i="31" s="1"/>
  <c r="AD21" i="31" s="1"/>
  <c r="AE21" i="31" s="1"/>
  <c r="W21" i="31"/>
  <c r="S21" i="31"/>
  <c r="U21" i="31" s="1"/>
  <c r="X21" i="31" s="1"/>
  <c r="AB20" i="31"/>
  <c r="Y20" i="31"/>
  <c r="AC20" i="31" s="1"/>
  <c r="AD20" i="31" s="1"/>
  <c r="AE20" i="31" s="1"/>
  <c r="W20" i="31"/>
  <c r="S20" i="31"/>
  <c r="U20" i="31" s="1"/>
  <c r="X20" i="31" s="1"/>
  <c r="AB19" i="31"/>
  <c r="Y19" i="31"/>
  <c r="AC19" i="31" s="1"/>
  <c r="AD19" i="31" s="1"/>
  <c r="AE19" i="31" s="1"/>
  <c r="W19" i="31"/>
  <c r="S19" i="31"/>
  <c r="U19" i="31" s="1"/>
  <c r="X19" i="31" s="1"/>
  <c r="AB18" i="31"/>
  <c r="Y18" i="31"/>
  <c r="Z18" i="31" s="1"/>
  <c r="W18" i="31"/>
  <c r="S18" i="31"/>
  <c r="U18" i="31" s="1"/>
  <c r="X18" i="31" s="1"/>
  <c r="AB17" i="31"/>
  <c r="Y17" i="31"/>
  <c r="AC17" i="31" s="1"/>
  <c r="AD17" i="31" s="1"/>
  <c r="AE17" i="31" s="1"/>
  <c r="W17" i="31"/>
  <c r="S17" i="31"/>
  <c r="U17" i="31" s="1"/>
  <c r="X17" i="31" s="1"/>
  <c r="AB16" i="31"/>
  <c r="Y16" i="31"/>
  <c r="AC16" i="31" s="1"/>
  <c r="AD16" i="31" s="1"/>
  <c r="AE16" i="31" s="1"/>
  <c r="W16" i="31"/>
  <c r="S16" i="31"/>
  <c r="U16" i="31" s="1"/>
  <c r="X16" i="31" s="1"/>
  <c r="AB15" i="31"/>
  <c r="Y15" i="31"/>
  <c r="AC15" i="31" s="1"/>
  <c r="W15" i="31"/>
  <c r="S15" i="31"/>
  <c r="U15" i="31" s="1"/>
  <c r="X15" i="31" s="1"/>
  <c r="AB14" i="31"/>
  <c r="Y14" i="31"/>
  <c r="Z14" i="31" s="1"/>
  <c r="W14" i="31"/>
  <c r="S14" i="31"/>
  <c r="U14" i="31" s="1"/>
  <c r="X14" i="31" s="1"/>
  <c r="AB13" i="31"/>
  <c r="Y13" i="31"/>
  <c r="AC13" i="31" s="1"/>
  <c r="W13" i="31"/>
  <c r="S13" i="31"/>
  <c r="U13" i="31" s="1"/>
  <c r="X13" i="31" s="1"/>
  <c r="AB12" i="31"/>
  <c r="Y12" i="31"/>
  <c r="AC12" i="31" s="1"/>
  <c r="AD12" i="31" s="1"/>
  <c r="AE12" i="31" s="1"/>
  <c r="W12" i="31"/>
  <c r="S12" i="31"/>
  <c r="U12" i="31" s="1"/>
  <c r="X12" i="31" s="1"/>
  <c r="AB11" i="31"/>
  <c r="Y11" i="31"/>
  <c r="AC11" i="31" s="1"/>
  <c r="W11" i="31"/>
  <c r="S11" i="31"/>
  <c r="U11" i="31" s="1"/>
  <c r="X11" i="31" s="1"/>
  <c r="AB10" i="31"/>
  <c r="Y10" i="31"/>
  <c r="Z10" i="31" s="1"/>
  <c r="W10" i="31"/>
  <c r="S10" i="31"/>
  <c r="U10" i="31" s="1"/>
  <c r="X10" i="31" s="1"/>
  <c r="AB9" i="31"/>
  <c r="Y9" i="31"/>
  <c r="AC9" i="31" s="1"/>
  <c r="W9" i="31"/>
  <c r="S9" i="31"/>
  <c r="U9" i="31" s="1"/>
  <c r="X9" i="31" s="1"/>
  <c r="AB8" i="31"/>
  <c r="Y8" i="31"/>
  <c r="AC8" i="31" s="1"/>
  <c r="AD8" i="31" s="1"/>
  <c r="AE8" i="31" s="1"/>
  <c r="W8" i="31"/>
  <c r="S8" i="31"/>
  <c r="U8" i="31" s="1"/>
  <c r="X8" i="31" s="1"/>
  <c r="AB7" i="31"/>
  <c r="Y7" i="31"/>
  <c r="AC7" i="31" s="1"/>
  <c r="W7" i="31"/>
  <c r="S7" i="31"/>
  <c r="U7" i="31" s="1"/>
  <c r="X7" i="31" s="1"/>
  <c r="Y27" i="26"/>
  <c r="Z36" i="26"/>
  <c r="AD11" i="31" l="1"/>
  <c r="AE11" i="31" s="1"/>
  <c r="AD15" i="31"/>
  <c r="AE15" i="31" s="1"/>
  <c r="AD41" i="31"/>
  <c r="AE41" i="31" s="1"/>
  <c r="AD45" i="31"/>
  <c r="AE45" i="31" s="1"/>
  <c r="AD49" i="31"/>
  <c r="AE49" i="31" s="1"/>
  <c r="AD53" i="31"/>
  <c r="AE53" i="31" s="1"/>
  <c r="AD13" i="31"/>
  <c r="AE13" i="31" s="1"/>
  <c r="AD29" i="31"/>
  <c r="AE29" i="31" s="1"/>
  <c r="AD33" i="31"/>
  <c r="AE33" i="31" s="1"/>
  <c r="AD37" i="31"/>
  <c r="AE37" i="31" s="1"/>
  <c r="AD39" i="31"/>
  <c r="AE39" i="31" s="1"/>
  <c r="AD43" i="31"/>
  <c r="AE43" i="31" s="1"/>
  <c r="AD47" i="31"/>
  <c r="AE47" i="31" s="1"/>
  <c r="AD51" i="31"/>
  <c r="AE51" i="31" s="1"/>
  <c r="AD9" i="31"/>
  <c r="AE9" i="31" s="1"/>
  <c r="AD7" i="31"/>
  <c r="Z7" i="31"/>
  <c r="AC10" i="31"/>
  <c r="AD10" i="31" s="1"/>
  <c r="AE10" i="31" s="1"/>
  <c r="Z11" i="31"/>
  <c r="AC14" i="31"/>
  <c r="AD14" i="31" s="1"/>
  <c r="AE14" i="31" s="1"/>
  <c r="Z15" i="31"/>
  <c r="AC18" i="31"/>
  <c r="AD18" i="31" s="1"/>
  <c r="AE18" i="31" s="1"/>
  <c r="Z19" i="31"/>
  <c r="AC22" i="31"/>
  <c r="AD22" i="31" s="1"/>
  <c r="AE22" i="31" s="1"/>
  <c r="Z23" i="31"/>
  <c r="AC26" i="31"/>
  <c r="AD26" i="31" s="1"/>
  <c r="AE26" i="31" s="1"/>
  <c r="Z27" i="31"/>
  <c r="AC30" i="31"/>
  <c r="AD30" i="31" s="1"/>
  <c r="AE30" i="31" s="1"/>
  <c r="Z31" i="31"/>
  <c r="AC34" i="31"/>
  <c r="AD34" i="31" s="1"/>
  <c r="AE34" i="31" s="1"/>
  <c r="Z35" i="31"/>
  <c r="AC38" i="31"/>
  <c r="AD38" i="31" s="1"/>
  <c r="AE38" i="31" s="1"/>
  <c r="Z39" i="31"/>
  <c r="AC42" i="31"/>
  <c r="AD42" i="31" s="1"/>
  <c r="AE42" i="31" s="1"/>
  <c r="Z43" i="31"/>
  <c r="AC46" i="31"/>
  <c r="AD46" i="31" s="1"/>
  <c r="AE46" i="31" s="1"/>
  <c r="Z47" i="31"/>
  <c r="AC50" i="31"/>
  <c r="AD50" i="31" s="1"/>
  <c r="AE50" i="31" s="1"/>
  <c r="Z51" i="31"/>
  <c r="Z8" i="31"/>
  <c r="Z12" i="31"/>
  <c r="Z16" i="31"/>
  <c r="Z20" i="31"/>
  <c r="Z24" i="31"/>
  <c r="Z28" i="31"/>
  <c r="Z32" i="31"/>
  <c r="Z36" i="31"/>
  <c r="Z40" i="31"/>
  <c r="Z44" i="31"/>
  <c r="Z48" i="31"/>
  <c r="Z52" i="31"/>
  <c r="Z9" i="31"/>
  <c r="Z13" i="31"/>
  <c r="Z17" i="31"/>
  <c r="Z21" i="31"/>
  <c r="Z25" i="31"/>
  <c r="Z29" i="31"/>
  <c r="Z33" i="31"/>
  <c r="Z37" i="31"/>
  <c r="Z41" i="31"/>
  <c r="Z45" i="31"/>
  <c r="Z49" i="31"/>
  <c r="Z53" i="31"/>
  <c r="AB30" i="26"/>
  <c r="Y30" i="26"/>
  <c r="AC30" i="26" s="1"/>
  <c r="W30" i="26"/>
  <c r="S30" i="26"/>
  <c r="U30" i="26" s="1"/>
  <c r="X30" i="26" s="1"/>
  <c r="AB29" i="26"/>
  <c r="Y29" i="26"/>
  <c r="AC29" i="26" s="1"/>
  <c r="W29" i="26"/>
  <c r="S29" i="26"/>
  <c r="U29" i="26" s="1"/>
  <c r="X29" i="26" s="1"/>
  <c r="AB28" i="26"/>
  <c r="AC28" i="26" s="1"/>
  <c r="Y28" i="26"/>
  <c r="Z28" i="26" s="1"/>
  <c r="W28" i="26"/>
  <c r="S28" i="26"/>
  <c r="U28" i="26" s="1"/>
  <c r="X28" i="26" s="1"/>
  <c r="AB27" i="26"/>
  <c r="Z27" i="26"/>
  <c r="W27" i="26"/>
  <c r="S27" i="26"/>
  <c r="U27" i="26" s="1"/>
  <c r="AB26" i="26"/>
  <c r="Y26" i="26"/>
  <c r="AC26" i="26" s="1"/>
  <c r="W26" i="26"/>
  <c r="S26" i="26"/>
  <c r="U26" i="26" s="1"/>
  <c r="X26" i="26" s="1"/>
  <c r="AB25" i="26"/>
  <c r="Y25" i="26"/>
  <c r="Z25" i="26" s="1"/>
  <c r="W25" i="26"/>
  <c r="S25" i="26"/>
  <c r="U25" i="26" s="1"/>
  <c r="X25" i="26" s="1"/>
  <c r="AB24" i="26"/>
  <c r="AC24" i="26" s="1"/>
  <c r="Z24" i="26"/>
  <c r="Y24" i="26"/>
  <c r="W24" i="26"/>
  <c r="S24" i="26"/>
  <c r="U24" i="26" s="1"/>
  <c r="X24" i="26" s="1"/>
  <c r="AC23" i="26"/>
  <c r="AB23" i="26"/>
  <c r="Y23" i="26"/>
  <c r="Z23" i="26" s="1"/>
  <c r="W23" i="26"/>
  <c r="S23" i="26"/>
  <c r="U23" i="26" s="1"/>
  <c r="X23" i="26" s="1"/>
  <c r="AB31" i="26"/>
  <c r="Y31" i="26"/>
  <c r="W31" i="26"/>
  <c r="S31" i="26"/>
  <c r="U31" i="26" s="1"/>
  <c r="AB22" i="26"/>
  <c r="Y22" i="26"/>
  <c r="W22" i="26"/>
  <c r="S22" i="26"/>
  <c r="U22" i="26" s="1"/>
  <c r="AB19" i="26"/>
  <c r="Y19" i="26"/>
  <c r="W19" i="26"/>
  <c r="S19" i="26"/>
  <c r="U19" i="26" s="1"/>
  <c r="AB15" i="26"/>
  <c r="Y15" i="26"/>
  <c r="W15" i="26"/>
  <c r="S15" i="26"/>
  <c r="U15" i="26" s="1"/>
  <c r="X15" i="26" s="1"/>
  <c r="AB11" i="26"/>
  <c r="Y11" i="26"/>
  <c r="W11" i="26"/>
  <c r="S11" i="26"/>
  <c r="U11" i="26" s="1"/>
  <c r="AB18" i="26"/>
  <c r="Y18" i="26"/>
  <c r="W18" i="26"/>
  <c r="S18" i="26"/>
  <c r="U18" i="26" s="1"/>
  <c r="X18" i="26" s="1"/>
  <c r="AB20" i="26"/>
  <c r="Y20" i="26"/>
  <c r="W20" i="26"/>
  <c r="S20" i="26"/>
  <c r="U20" i="26" s="1"/>
  <c r="AB17" i="26"/>
  <c r="Y17" i="26"/>
  <c r="W17" i="26"/>
  <c r="S17" i="26"/>
  <c r="U17" i="26" s="1"/>
  <c r="AB16" i="26"/>
  <c r="Y16" i="26"/>
  <c r="Z16" i="26" s="1"/>
  <c r="W16" i="26"/>
  <c r="S16" i="26"/>
  <c r="U16" i="26" s="1"/>
  <c r="AC55" i="31" l="1"/>
  <c r="AE7" i="31"/>
  <c r="AD55" i="31"/>
  <c r="AE55" i="31" s="1"/>
  <c r="Z58" i="31"/>
  <c r="Z55" i="31"/>
  <c r="X27" i="26"/>
  <c r="AC27" i="26"/>
  <c r="AD27" i="26" s="1"/>
  <c r="AE27" i="26" s="1"/>
  <c r="AD29" i="26"/>
  <c r="AE29" i="26" s="1"/>
  <c r="AD24" i="26"/>
  <c r="AE24" i="26" s="1"/>
  <c r="AD26" i="26"/>
  <c r="AE26" i="26" s="1"/>
  <c r="AD28" i="26"/>
  <c r="AE28" i="26" s="1"/>
  <c r="AD30" i="26"/>
  <c r="AE30" i="26" s="1"/>
  <c r="AD23" i="26"/>
  <c r="AE23" i="26" s="1"/>
  <c r="Z29" i="26"/>
  <c r="AC25" i="26"/>
  <c r="AD25" i="26" s="1"/>
  <c r="AE25" i="26" s="1"/>
  <c r="Z26" i="26"/>
  <c r="Z30" i="26"/>
  <c r="AC20" i="26"/>
  <c r="AC31" i="26"/>
  <c r="AC22" i="26"/>
  <c r="X11" i="26"/>
  <c r="X19" i="26"/>
  <c r="X16" i="26"/>
  <c r="AC18" i="26"/>
  <c r="AD18" i="26" s="1"/>
  <c r="AE18" i="26" s="1"/>
  <c r="AC15" i="26"/>
  <c r="AD15" i="26" s="1"/>
  <c r="AE15" i="26" s="1"/>
  <c r="Z22" i="26"/>
  <c r="X17" i="26"/>
  <c r="Z20" i="26"/>
  <c r="AC11" i="26"/>
  <c r="AD11" i="26" s="1"/>
  <c r="AE11" i="26" s="1"/>
  <c r="AC19" i="26"/>
  <c r="X31" i="26"/>
  <c r="Z19" i="26"/>
  <c r="X20" i="26"/>
  <c r="X22" i="26"/>
  <c r="Z31" i="26"/>
  <c r="Z15" i="26"/>
  <c r="Z11" i="26"/>
  <c r="Z18" i="26"/>
  <c r="AC17" i="26"/>
  <c r="AC16" i="26"/>
  <c r="AD16" i="26" s="1"/>
  <c r="AE16" i="26" s="1"/>
  <c r="Z17" i="26"/>
  <c r="AD19" i="26" l="1"/>
  <c r="AE19" i="26" s="1"/>
  <c r="AD31" i="26"/>
  <c r="AE31" i="26" s="1"/>
  <c r="AD20" i="26"/>
  <c r="AE20" i="26" s="1"/>
  <c r="AD17" i="26"/>
  <c r="AE17" i="26" s="1"/>
  <c r="AD22" i="26"/>
  <c r="AE22" i="26" s="1"/>
  <c r="Z42" i="26"/>
  <c r="Z43" i="26" s="1"/>
  <c r="Z38" i="26"/>
  <c r="AB21" i="26"/>
  <c r="Y21" i="26"/>
  <c r="Z21" i="26" s="1"/>
  <c r="W21" i="26"/>
  <c r="S21" i="26"/>
  <c r="U21" i="26" s="1"/>
  <c r="AB14" i="26"/>
  <c r="Y14" i="26"/>
  <c r="W14" i="26"/>
  <c r="S14" i="26"/>
  <c r="U14" i="26" s="1"/>
  <c r="AB13" i="26"/>
  <c r="Y13" i="26"/>
  <c r="Z13" i="26" s="1"/>
  <c r="W13" i="26"/>
  <c r="S13" i="26"/>
  <c r="U13" i="26" s="1"/>
  <c r="AB12" i="26"/>
  <c r="Y12" i="26"/>
  <c r="W12" i="26"/>
  <c r="S12" i="26"/>
  <c r="U12" i="26" s="1"/>
  <c r="AB10" i="26"/>
  <c r="Y10" i="26"/>
  <c r="Z10" i="26" s="1"/>
  <c r="W10" i="26"/>
  <c r="S10" i="26"/>
  <c r="U10" i="26" s="1"/>
  <c r="AB9" i="26"/>
  <c r="Y9" i="26"/>
  <c r="Z9" i="26" s="1"/>
  <c r="W9" i="26"/>
  <c r="S9" i="26"/>
  <c r="U9" i="26" s="1"/>
  <c r="AB8" i="26"/>
  <c r="Y8" i="26"/>
  <c r="W8" i="26"/>
  <c r="S8" i="26"/>
  <c r="U8" i="26" s="1"/>
  <c r="W98" i="29"/>
  <c r="W97" i="29"/>
  <c r="W96" i="29"/>
  <c r="W95" i="29"/>
  <c r="W94" i="29"/>
  <c r="W93" i="29"/>
  <c r="W92" i="29"/>
  <c r="W91" i="29"/>
  <c r="W90" i="29"/>
  <c r="W89" i="29"/>
  <c r="W88" i="29"/>
  <c r="W87" i="29"/>
  <c r="W86" i="29"/>
  <c r="W85" i="29"/>
  <c r="W84" i="29"/>
  <c r="W83" i="29"/>
  <c r="W82" i="29"/>
  <c r="W81" i="29"/>
  <c r="W80" i="29"/>
  <c r="W79" i="29"/>
  <c r="W78" i="29"/>
  <c r="W77" i="29"/>
  <c r="W76" i="29"/>
  <c r="W75" i="29"/>
  <c r="W74" i="29"/>
  <c r="W73" i="29"/>
  <c r="W72" i="29"/>
  <c r="W71" i="29"/>
  <c r="W70" i="29"/>
  <c r="W69" i="29"/>
  <c r="W68" i="29"/>
  <c r="W67" i="29"/>
  <c r="W66" i="29"/>
  <c r="W65" i="29"/>
  <c r="W64" i="29"/>
  <c r="W63" i="29"/>
  <c r="W62" i="29"/>
  <c r="W61" i="29"/>
  <c r="W60" i="29"/>
  <c r="W59" i="29"/>
  <c r="W58" i="29"/>
  <c r="W57" i="29"/>
  <c r="W56" i="29"/>
  <c r="W55" i="29"/>
  <c r="W54" i="29"/>
  <c r="W53" i="29"/>
  <c r="W52" i="29"/>
  <c r="W51" i="29"/>
  <c r="W50" i="29"/>
  <c r="W49" i="29"/>
  <c r="W48" i="29"/>
  <c r="W47" i="29"/>
  <c r="W46" i="29"/>
  <c r="W45" i="29"/>
  <c r="W44" i="29"/>
  <c r="W43" i="29"/>
  <c r="W42" i="29"/>
  <c r="W41" i="29"/>
  <c r="W40" i="29"/>
  <c r="W39" i="29"/>
  <c r="W38" i="29"/>
  <c r="W37" i="29"/>
  <c r="W36" i="29"/>
  <c r="W35" i="29"/>
  <c r="W34" i="29"/>
  <c r="W33" i="29"/>
  <c r="W32" i="29"/>
  <c r="W31" i="29"/>
  <c r="W30" i="29"/>
  <c r="W29" i="29"/>
  <c r="W28" i="29"/>
  <c r="W27" i="29"/>
  <c r="W26" i="29"/>
  <c r="W25" i="29"/>
  <c r="W24" i="29"/>
  <c r="W23" i="29"/>
  <c r="W22" i="29"/>
  <c r="W21" i="29"/>
  <c r="W20" i="29"/>
  <c r="W19" i="29"/>
  <c r="W18" i="29"/>
  <c r="W17" i="29"/>
  <c r="W16" i="29"/>
  <c r="W15" i="29"/>
  <c r="W14" i="29"/>
  <c r="W13" i="29"/>
  <c r="W12" i="29"/>
  <c r="W11" i="29"/>
  <c r="W10" i="29"/>
  <c r="W9" i="29"/>
  <c r="W8" i="29"/>
  <c r="W7" i="29"/>
  <c r="W98" i="28"/>
  <c r="W97" i="28"/>
  <c r="W96" i="28"/>
  <c r="W95" i="28"/>
  <c r="W94" i="28"/>
  <c r="W93" i="28"/>
  <c r="W92" i="28"/>
  <c r="W91" i="28"/>
  <c r="W90" i="28"/>
  <c r="W89" i="28"/>
  <c r="W88" i="28"/>
  <c r="W87" i="28"/>
  <c r="W86" i="28"/>
  <c r="W85" i="28"/>
  <c r="W84" i="28"/>
  <c r="W83" i="28"/>
  <c r="W82" i="28"/>
  <c r="W81" i="28"/>
  <c r="W80" i="28"/>
  <c r="W79" i="28"/>
  <c r="W78" i="28"/>
  <c r="W77" i="28"/>
  <c r="W76" i="28"/>
  <c r="W75" i="28"/>
  <c r="W74" i="28"/>
  <c r="W73" i="28"/>
  <c r="W72" i="28"/>
  <c r="W71" i="28"/>
  <c r="W70" i="28"/>
  <c r="W69" i="28"/>
  <c r="W68" i="28"/>
  <c r="W67" i="28"/>
  <c r="W66" i="28"/>
  <c r="W65" i="28"/>
  <c r="W64" i="28"/>
  <c r="W63" i="28"/>
  <c r="W62" i="28"/>
  <c r="W61" i="28"/>
  <c r="W60" i="28"/>
  <c r="W59" i="28"/>
  <c r="W58" i="28"/>
  <c r="W57" i="28"/>
  <c r="W56" i="28"/>
  <c r="W55" i="28"/>
  <c r="W54" i="28"/>
  <c r="W53" i="28"/>
  <c r="W52" i="28"/>
  <c r="W51" i="28"/>
  <c r="W50" i="28"/>
  <c r="W49" i="28"/>
  <c r="W48" i="28"/>
  <c r="W47" i="28"/>
  <c r="W46" i="28"/>
  <c r="W45" i="28"/>
  <c r="W44" i="28"/>
  <c r="W43" i="28"/>
  <c r="W42" i="28"/>
  <c r="W41" i="28"/>
  <c r="W40" i="28"/>
  <c r="W39" i="28"/>
  <c r="W38" i="28"/>
  <c r="W37" i="28"/>
  <c r="W36" i="28"/>
  <c r="W35" i="28"/>
  <c r="W34" i="28"/>
  <c r="W33" i="28"/>
  <c r="W32" i="28"/>
  <c r="W31" i="28"/>
  <c r="W30" i="28"/>
  <c r="W29" i="28"/>
  <c r="W28" i="28"/>
  <c r="W27" i="28"/>
  <c r="W26" i="28"/>
  <c r="W25" i="28"/>
  <c r="W24" i="28"/>
  <c r="W23" i="28"/>
  <c r="W22" i="28"/>
  <c r="W21" i="28"/>
  <c r="W20" i="28"/>
  <c r="W19" i="28"/>
  <c r="W18" i="28"/>
  <c r="W17" i="28"/>
  <c r="W16" i="28"/>
  <c r="W15" i="28"/>
  <c r="W14" i="28"/>
  <c r="W13" i="28"/>
  <c r="W12" i="28"/>
  <c r="W11" i="28"/>
  <c r="W10" i="28"/>
  <c r="W9" i="28"/>
  <c r="W8" i="28"/>
  <c r="W7" i="28"/>
  <c r="W7" i="26"/>
  <c r="W66" i="27"/>
  <c r="W65" i="27"/>
  <c r="W64" i="27"/>
  <c r="W63" i="27"/>
  <c r="W62" i="27"/>
  <c r="W61" i="27"/>
  <c r="W60" i="27"/>
  <c r="W59" i="27"/>
  <c r="W58" i="27"/>
  <c r="W57" i="27"/>
  <c r="W56" i="27"/>
  <c r="W55" i="27"/>
  <c r="W54" i="27"/>
  <c r="W53" i="27"/>
  <c r="W52" i="27"/>
  <c r="W51" i="27"/>
  <c r="W50" i="27"/>
  <c r="W49" i="27"/>
  <c r="W48" i="27"/>
  <c r="W47" i="27"/>
  <c r="W46" i="27"/>
  <c r="W45" i="27"/>
  <c r="W44" i="27"/>
  <c r="W43" i="27"/>
  <c r="W42" i="27"/>
  <c r="W41" i="27"/>
  <c r="W40" i="27"/>
  <c r="W39" i="27"/>
  <c r="W38" i="27"/>
  <c r="W37" i="27"/>
  <c r="W36" i="27"/>
  <c r="W35" i="27"/>
  <c r="W34" i="27"/>
  <c r="W33" i="27"/>
  <c r="W32" i="27"/>
  <c r="W31" i="27"/>
  <c r="W30" i="27"/>
  <c r="W29" i="27"/>
  <c r="W28" i="27"/>
  <c r="W27" i="27"/>
  <c r="W26" i="27"/>
  <c r="W25" i="27"/>
  <c r="W24" i="27"/>
  <c r="W23" i="27"/>
  <c r="W22" i="27"/>
  <c r="W21" i="27"/>
  <c r="W20" i="27"/>
  <c r="W19" i="27"/>
  <c r="W18" i="27"/>
  <c r="W17" i="27"/>
  <c r="W16" i="27"/>
  <c r="W15" i="27"/>
  <c r="W14" i="27"/>
  <c r="W13" i="27"/>
  <c r="W12" i="27"/>
  <c r="W11" i="27"/>
  <c r="W10" i="27"/>
  <c r="W9" i="27"/>
  <c r="W8" i="27"/>
  <c r="W7" i="27"/>
  <c r="W46" i="30"/>
  <c r="W45" i="30"/>
  <c r="W44" i="30"/>
  <c r="W43" i="30"/>
  <c r="W42" i="30"/>
  <c r="W41" i="30"/>
  <c r="W40" i="30"/>
  <c r="W39" i="30"/>
  <c r="W38" i="30"/>
  <c r="W37" i="30"/>
  <c r="W36" i="30"/>
  <c r="W35" i="30"/>
  <c r="W34" i="30"/>
  <c r="W33" i="30"/>
  <c r="W32" i="30"/>
  <c r="W31" i="30"/>
  <c r="W30" i="30"/>
  <c r="W29" i="30"/>
  <c r="W28" i="30"/>
  <c r="W27" i="30"/>
  <c r="W26" i="30"/>
  <c r="W25" i="30"/>
  <c r="W24" i="30"/>
  <c r="W23" i="30"/>
  <c r="W22" i="30"/>
  <c r="W21" i="30"/>
  <c r="W20" i="30"/>
  <c r="W19" i="30"/>
  <c r="W18" i="30"/>
  <c r="W17" i="30"/>
  <c r="W16" i="30"/>
  <c r="W15" i="30"/>
  <c r="W14" i="30"/>
  <c r="W13" i="30"/>
  <c r="W12" i="30"/>
  <c r="W11" i="30"/>
  <c r="W10" i="30"/>
  <c r="W9" i="30"/>
  <c r="W8" i="30"/>
  <c r="W7" i="30"/>
  <c r="W45" i="24"/>
  <c r="W44" i="24"/>
  <c r="W43" i="24"/>
  <c r="W42" i="24"/>
  <c r="W41" i="24"/>
  <c r="W40" i="24"/>
  <c r="W39" i="24"/>
  <c r="W38" i="24"/>
  <c r="W37" i="24"/>
  <c r="W36" i="24"/>
  <c r="W35" i="24"/>
  <c r="W34" i="24"/>
  <c r="W33" i="24"/>
  <c r="W32" i="24"/>
  <c r="W31" i="24"/>
  <c r="W30" i="24"/>
  <c r="W29" i="24"/>
  <c r="W28" i="24"/>
  <c r="W27" i="24"/>
  <c r="W26" i="24"/>
  <c r="W25" i="24"/>
  <c r="W24" i="24"/>
  <c r="W23" i="24"/>
  <c r="W22" i="24"/>
  <c r="W21" i="24"/>
  <c r="W20" i="24"/>
  <c r="W19" i="24"/>
  <c r="W18" i="24"/>
  <c r="W17" i="24"/>
  <c r="W16" i="24"/>
  <c r="W15" i="24"/>
  <c r="W14" i="24"/>
  <c r="W13" i="24"/>
  <c r="W12" i="24"/>
  <c r="W11" i="24"/>
  <c r="W10" i="24"/>
  <c r="W9" i="24"/>
  <c r="W8" i="24"/>
  <c r="W7" i="24"/>
  <c r="W60" i="23"/>
  <c r="W59" i="23"/>
  <c r="W58" i="23"/>
  <c r="W57" i="23"/>
  <c r="W56" i="23"/>
  <c r="W55" i="23"/>
  <c r="W54" i="23"/>
  <c r="W53" i="23"/>
  <c r="W52" i="23"/>
  <c r="W51" i="23"/>
  <c r="W50" i="23"/>
  <c r="W49" i="23"/>
  <c r="W48" i="23"/>
  <c r="W47" i="23"/>
  <c r="W46" i="23"/>
  <c r="W45" i="23"/>
  <c r="W44" i="23"/>
  <c r="W43" i="23"/>
  <c r="W42" i="23"/>
  <c r="W41" i="23"/>
  <c r="W40" i="23"/>
  <c r="W39" i="23"/>
  <c r="W38" i="23"/>
  <c r="W37" i="23"/>
  <c r="W36" i="23"/>
  <c r="W35" i="23"/>
  <c r="W34" i="23"/>
  <c r="W33" i="23"/>
  <c r="W32" i="23"/>
  <c r="W31" i="23"/>
  <c r="W30" i="23"/>
  <c r="W29" i="23"/>
  <c r="W28" i="23"/>
  <c r="W27" i="23"/>
  <c r="W26" i="23"/>
  <c r="W25" i="23"/>
  <c r="W24" i="23"/>
  <c r="W23" i="23"/>
  <c r="W22" i="23"/>
  <c r="W21" i="23"/>
  <c r="W20" i="23"/>
  <c r="W19" i="23"/>
  <c r="W18" i="23"/>
  <c r="W17" i="23"/>
  <c r="W16" i="23"/>
  <c r="W15" i="23"/>
  <c r="W14" i="23"/>
  <c r="W13" i="23"/>
  <c r="W12" i="23"/>
  <c r="W11" i="23"/>
  <c r="W10" i="23"/>
  <c r="W9" i="23"/>
  <c r="W8" i="23"/>
  <c r="W7" i="23"/>
  <c r="W61" i="22"/>
  <c r="W60" i="22"/>
  <c r="W59" i="22"/>
  <c r="W58" i="22"/>
  <c r="W57" i="22"/>
  <c r="W56" i="22"/>
  <c r="W55" i="22"/>
  <c r="W54" i="22"/>
  <c r="W53" i="22"/>
  <c r="W52" i="22"/>
  <c r="W51" i="22"/>
  <c r="W50" i="22"/>
  <c r="W49" i="22"/>
  <c r="W48" i="22"/>
  <c r="W47" i="22"/>
  <c r="W46" i="22"/>
  <c r="W45" i="22"/>
  <c r="W44" i="22"/>
  <c r="W43" i="22"/>
  <c r="W42" i="22"/>
  <c r="W41" i="22"/>
  <c r="W40" i="22"/>
  <c r="W39" i="22"/>
  <c r="W38" i="22"/>
  <c r="W37" i="22"/>
  <c r="W36" i="22"/>
  <c r="W35" i="22"/>
  <c r="W34" i="22"/>
  <c r="W33" i="22"/>
  <c r="W32" i="22"/>
  <c r="W31" i="22"/>
  <c r="W30" i="22"/>
  <c r="W29" i="22"/>
  <c r="W28" i="22"/>
  <c r="W27" i="22"/>
  <c r="W26" i="22"/>
  <c r="W25" i="22"/>
  <c r="W24" i="22"/>
  <c r="W23" i="22"/>
  <c r="W22" i="22"/>
  <c r="W21" i="22"/>
  <c r="W20" i="22"/>
  <c r="W19" i="22"/>
  <c r="W18" i="22"/>
  <c r="W17" i="22"/>
  <c r="W16" i="22"/>
  <c r="W15" i="22"/>
  <c r="W14" i="22"/>
  <c r="W13" i="22"/>
  <c r="W12" i="22"/>
  <c r="W11" i="22"/>
  <c r="W10" i="22"/>
  <c r="W9" i="22"/>
  <c r="W8" i="22"/>
  <c r="W7" i="22"/>
  <c r="W49" i="25"/>
  <c r="W48" i="25"/>
  <c r="W47" i="25"/>
  <c r="W46" i="25"/>
  <c r="W45" i="25"/>
  <c r="W44" i="25"/>
  <c r="W43" i="25"/>
  <c r="W42" i="25"/>
  <c r="W41" i="25"/>
  <c r="W40" i="25"/>
  <c r="W39" i="25"/>
  <c r="W38" i="25"/>
  <c r="W37" i="25"/>
  <c r="W36" i="25"/>
  <c r="W35" i="25"/>
  <c r="W34" i="25"/>
  <c r="W33" i="25"/>
  <c r="W32" i="25"/>
  <c r="W31" i="25"/>
  <c r="W30" i="25"/>
  <c r="W29" i="25"/>
  <c r="W28" i="25"/>
  <c r="W27" i="25"/>
  <c r="W26" i="25"/>
  <c r="W25" i="25"/>
  <c r="W24" i="25"/>
  <c r="W23" i="25"/>
  <c r="W22" i="25"/>
  <c r="W21" i="25"/>
  <c r="W20" i="25"/>
  <c r="W19" i="25"/>
  <c r="W18" i="25"/>
  <c r="W17" i="25"/>
  <c r="W16" i="25"/>
  <c r="W15" i="25"/>
  <c r="W14" i="25"/>
  <c r="W13" i="25"/>
  <c r="W12" i="25"/>
  <c r="W11" i="25"/>
  <c r="W10" i="25"/>
  <c r="W9" i="25"/>
  <c r="W8" i="25"/>
  <c r="W7" i="25"/>
  <c r="W61" i="21"/>
  <c r="W60" i="21"/>
  <c r="W59" i="21"/>
  <c r="W58" i="21"/>
  <c r="W57" i="21"/>
  <c r="W56" i="21"/>
  <c r="W55" i="21"/>
  <c r="W54" i="21"/>
  <c r="W53" i="21"/>
  <c r="W52" i="21"/>
  <c r="W51" i="21"/>
  <c r="W50" i="21"/>
  <c r="W49" i="21"/>
  <c r="W48" i="21"/>
  <c r="W47" i="21"/>
  <c r="W46" i="21"/>
  <c r="W45" i="21"/>
  <c r="W44" i="21"/>
  <c r="W43" i="21"/>
  <c r="W42" i="21"/>
  <c r="W41" i="21"/>
  <c r="W40" i="21"/>
  <c r="W39" i="21"/>
  <c r="W38" i="21"/>
  <c r="W37" i="21"/>
  <c r="W36" i="21"/>
  <c r="W35" i="21"/>
  <c r="W34" i="21"/>
  <c r="W33" i="21"/>
  <c r="W32" i="21"/>
  <c r="W31" i="21"/>
  <c r="W30" i="21"/>
  <c r="W29" i="21"/>
  <c r="W28" i="21"/>
  <c r="W27" i="21"/>
  <c r="W26" i="21"/>
  <c r="W25" i="21"/>
  <c r="W24" i="21"/>
  <c r="W23" i="21"/>
  <c r="W22" i="21"/>
  <c r="W21" i="21"/>
  <c r="W20" i="21"/>
  <c r="W19" i="21"/>
  <c r="W18" i="21"/>
  <c r="W17" i="21"/>
  <c r="W16" i="21"/>
  <c r="W15" i="21"/>
  <c r="W14" i="21"/>
  <c r="W13" i="21"/>
  <c r="W12" i="21"/>
  <c r="W11" i="21"/>
  <c r="W10" i="21"/>
  <c r="W9" i="21"/>
  <c r="W8" i="21"/>
  <c r="W7" i="21"/>
  <c r="W49" i="20"/>
  <c r="W48" i="20"/>
  <c r="W47" i="20"/>
  <c r="W46" i="20"/>
  <c r="W45" i="20"/>
  <c r="W44" i="20"/>
  <c r="W43" i="20"/>
  <c r="W42" i="20"/>
  <c r="W41" i="20"/>
  <c r="W40" i="20"/>
  <c r="W39" i="20"/>
  <c r="W38" i="20"/>
  <c r="W37" i="20"/>
  <c r="W36" i="20"/>
  <c r="W35" i="20"/>
  <c r="W34" i="20"/>
  <c r="W33" i="20"/>
  <c r="W32" i="20"/>
  <c r="W31" i="20"/>
  <c r="W30" i="20"/>
  <c r="W29" i="20"/>
  <c r="W28" i="20"/>
  <c r="W27" i="20"/>
  <c r="W26" i="20"/>
  <c r="W25" i="20"/>
  <c r="W24" i="20"/>
  <c r="W23" i="20"/>
  <c r="W22" i="20"/>
  <c r="W21" i="20"/>
  <c r="W20" i="20"/>
  <c r="W19" i="20"/>
  <c r="W18" i="20"/>
  <c r="W17" i="20"/>
  <c r="W16" i="20"/>
  <c r="W15" i="20"/>
  <c r="W14" i="20"/>
  <c r="W13" i="20"/>
  <c r="W12" i="20"/>
  <c r="W11" i="20"/>
  <c r="W10" i="20"/>
  <c r="W9" i="20"/>
  <c r="W8" i="20"/>
  <c r="W7" i="20"/>
  <c r="W57" i="15"/>
  <c r="W56" i="15"/>
  <c r="W55" i="15"/>
  <c r="W54" i="15"/>
  <c r="W53" i="15"/>
  <c r="W52" i="15"/>
  <c r="W51" i="15"/>
  <c r="W50" i="15"/>
  <c r="W49" i="15"/>
  <c r="W48" i="15"/>
  <c r="W47" i="15"/>
  <c r="W46" i="15"/>
  <c r="W45" i="15"/>
  <c r="W44" i="15"/>
  <c r="W43" i="15"/>
  <c r="W42" i="15"/>
  <c r="W41" i="15"/>
  <c r="W40" i="15"/>
  <c r="W39" i="15"/>
  <c r="W38" i="15"/>
  <c r="W37" i="15"/>
  <c r="W36" i="15"/>
  <c r="W35" i="15"/>
  <c r="W34" i="15"/>
  <c r="W33" i="15"/>
  <c r="W32" i="15"/>
  <c r="W31" i="15"/>
  <c r="W30" i="15"/>
  <c r="W29" i="15"/>
  <c r="W28" i="15"/>
  <c r="W27" i="15"/>
  <c r="W26" i="15"/>
  <c r="W25" i="15"/>
  <c r="W24" i="15"/>
  <c r="W23" i="15"/>
  <c r="W22" i="15"/>
  <c r="W21" i="15"/>
  <c r="W20" i="15"/>
  <c r="W19" i="15"/>
  <c r="W18" i="15"/>
  <c r="W17" i="15"/>
  <c r="W16" i="15"/>
  <c r="W15" i="15"/>
  <c r="W14" i="15"/>
  <c r="W13" i="15"/>
  <c r="W12" i="15"/>
  <c r="W11" i="15"/>
  <c r="W10" i="15"/>
  <c r="W9" i="15"/>
  <c r="W8" i="15"/>
  <c r="W7" i="15"/>
  <c r="W82" i="14"/>
  <c r="W81" i="14"/>
  <c r="W80" i="14"/>
  <c r="W79" i="14"/>
  <c r="W78" i="14"/>
  <c r="W77" i="14"/>
  <c r="W76" i="14"/>
  <c r="W75" i="14"/>
  <c r="W74" i="14"/>
  <c r="W73" i="14"/>
  <c r="W72" i="14"/>
  <c r="W71" i="14"/>
  <c r="W70" i="14"/>
  <c r="W69" i="14"/>
  <c r="W68" i="14"/>
  <c r="W67" i="14"/>
  <c r="W66" i="14"/>
  <c r="W65" i="14"/>
  <c r="W64" i="14"/>
  <c r="W63" i="14"/>
  <c r="W62" i="14"/>
  <c r="W61" i="14"/>
  <c r="W60" i="14"/>
  <c r="W59" i="14"/>
  <c r="W58" i="14"/>
  <c r="W57" i="14"/>
  <c r="W56" i="14"/>
  <c r="W55" i="14"/>
  <c r="W54" i="14"/>
  <c r="W53" i="14"/>
  <c r="W52" i="14"/>
  <c r="W51" i="14"/>
  <c r="W50" i="14"/>
  <c r="W49" i="14"/>
  <c r="W48" i="14"/>
  <c r="W47" i="14"/>
  <c r="W46" i="14"/>
  <c r="W45" i="14"/>
  <c r="W44" i="14"/>
  <c r="W43" i="14"/>
  <c r="W42" i="14"/>
  <c r="W41" i="14"/>
  <c r="W40" i="14"/>
  <c r="W39" i="14"/>
  <c r="W38" i="14"/>
  <c r="W37" i="14"/>
  <c r="W36" i="14"/>
  <c r="W35" i="14"/>
  <c r="W34" i="14"/>
  <c r="W33" i="14"/>
  <c r="W32" i="14"/>
  <c r="W31" i="14"/>
  <c r="W30" i="14"/>
  <c r="W29" i="14"/>
  <c r="W28" i="14"/>
  <c r="W27" i="14"/>
  <c r="W26" i="14"/>
  <c r="W25" i="14"/>
  <c r="W24" i="14"/>
  <c r="W23" i="14"/>
  <c r="W22" i="14"/>
  <c r="W21" i="14"/>
  <c r="W20" i="14"/>
  <c r="W19" i="14"/>
  <c r="W18" i="14"/>
  <c r="W17" i="14"/>
  <c r="W16" i="14"/>
  <c r="W15" i="14"/>
  <c r="W14" i="14"/>
  <c r="W13" i="14"/>
  <c r="W12" i="14"/>
  <c r="W11" i="14"/>
  <c r="W10" i="14"/>
  <c r="W9" i="14"/>
  <c r="W8" i="14"/>
  <c r="W7" i="14"/>
  <c r="W77" i="13"/>
  <c r="W76" i="13"/>
  <c r="W75" i="13"/>
  <c r="W74" i="13"/>
  <c r="W73" i="13"/>
  <c r="W72" i="13"/>
  <c r="W71" i="13"/>
  <c r="W70" i="13"/>
  <c r="W69" i="13"/>
  <c r="W68" i="13"/>
  <c r="W67" i="13"/>
  <c r="W66" i="13"/>
  <c r="W65" i="13"/>
  <c r="W64" i="13"/>
  <c r="W63" i="13"/>
  <c r="W62" i="13"/>
  <c r="W61" i="13"/>
  <c r="W60" i="13"/>
  <c r="W59" i="13"/>
  <c r="W58" i="13"/>
  <c r="W57" i="13"/>
  <c r="W56" i="13"/>
  <c r="W55" i="13"/>
  <c r="W54" i="13"/>
  <c r="W53" i="13"/>
  <c r="W52" i="13"/>
  <c r="W51" i="13"/>
  <c r="W50" i="13"/>
  <c r="W49" i="13"/>
  <c r="W48" i="13"/>
  <c r="W47" i="13"/>
  <c r="W46" i="13"/>
  <c r="W45" i="13"/>
  <c r="W44" i="13"/>
  <c r="W43" i="13"/>
  <c r="W42" i="13"/>
  <c r="W41" i="13"/>
  <c r="W40" i="13"/>
  <c r="W39" i="13"/>
  <c r="W38" i="13"/>
  <c r="W37" i="13"/>
  <c r="W36" i="13"/>
  <c r="W35" i="13"/>
  <c r="W34" i="13"/>
  <c r="W33" i="13"/>
  <c r="W32" i="13"/>
  <c r="W31" i="13"/>
  <c r="W30" i="13"/>
  <c r="W29" i="13"/>
  <c r="W28" i="13"/>
  <c r="W27" i="13"/>
  <c r="W26" i="13"/>
  <c r="W25" i="13"/>
  <c r="W24" i="13"/>
  <c r="W23" i="13"/>
  <c r="W22" i="13"/>
  <c r="W21" i="13"/>
  <c r="W20" i="13"/>
  <c r="W19" i="13"/>
  <c r="W18" i="13"/>
  <c r="W17" i="13"/>
  <c r="W16" i="13"/>
  <c r="W15" i="13"/>
  <c r="W14" i="13"/>
  <c r="W13" i="13"/>
  <c r="W12" i="13"/>
  <c r="W11" i="13"/>
  <c r="W10" i="13"/>
  <c r="W9" i="13"/>
  <c r="W8" i="13"/>
  <c r="W7" i="13"/>
  <c r="W68" i="12"/>
  <c r="W67" i="12"/>
  <c r="W66" i="12"/>
  <c r="W65" i="12"/>
  <c r="W64" i="12"/>
  <c r="W63" i="12"/>
  <c r="W62" i="12"/>
  <c r="W61" i="12"/>
  <c r="W60" i="12"/>
  <c r="W59" i="12"/>
  <c r="W58" i="12"/>
  <c r="W57" i="12"/>
  <c r="W56" i="12"/>
  <c r="W55" i="12"/>
  <c r="W54" i="12"/>
  <c r="W53" i="12"/>
  <c r="W52" i="12"/>
  <c r="W51" i="12"/>
  <c r="W50" i="12"/>
  <c r="W49" i="12"/>
  <c r="W48" i="12"/>
  <c r="W47" i="12"/>
  <c r="W46" i="12"/>
  <c r="W45" i="12"/>
  <c r="W44" i="12"/>
  <c r="W43" i="12"/>
  <c r="W42" i="12"/>
  <c r="W41" i="12"/>
  <c r="W40" i="12"/>
  <c r="W39" i="12"/>
  <c r="W38" i="12"/>
  <c r="W37" i="12"/>
  <c r="W36" i="12"/>
  <c r="W35" i="12"/>
  <c r="W34" i="12"/>
  <c r="W33" i="12"/>
  <c r="W32" i="12"/>
  <c r="W31" i="12"/>
  <c r="W30" i="12"/>
  <c r="W29" i="12"/>
  <c r="W28" i="12"/>
  <c r="W27" i="12"/>
  <c r="W26" i="12"/>
  <c r="W25" i="12"/>
  <c r="W24" i="12"/>
  <c r="W23" i="12"/>
  <c r="W22" i="12"/>
  <c r="W21" i="12"/>
  <c r="W20" i="12"/>
  <c r="W19" i="12"/>
  <c r="W18" i="12"/>
  <c r="W17" i="12"/>
  <c r="W16" i="12"/>
  <c r="W15" i="12"/>
  <c r="W14" i="12"/>
  <c r="W13" i="12"/>
  <c r="W12" i="12"/>
  <c r="W11" i="12"/>
  <c r="W10" i="12"/>
  <c r="W9" i="12"/>
  <c r="W8" i="12"/>
  <c r="W7" i="12"/>
  <c r="W53" i="11"/>
  <c r="W52" i="11"/>
  <c r="W51" i="11"/>
  <c r="W50" i="11"/>
  <c r="W49" i="11"/>
  <c r="W48" i="11"/>
  <c r="W47" i="11"/>
  <c r="W46" i="11"/>
  <c r="W45" i="11"/>
  <c r="W44" i="11"/>
  <c r="W43" i="11"/>
  <c r="W42" i="11"/>
  <c r="W41" i="11"/>
  <c r="W40" i="11"/>
  <c r="W39" i="11"/>
  <c r="W38" i="11"/>
  <c r="W37" i="11"/>
  <c r="W36" i="11"/>
  <c r="W35" i="11"/>
  <c r="W34" i="11"/>
  <c r="W33" i="11"/>
  <c r="W32" i="11"/>
  <c r="W31" i="11"/>
  <c r="W30" i="11"/>
  <c r="W29" i="11"/>
  <c r="W28" i="11"/>
  <c r="W27" i="11"/>
  <c r="W26" i="11"/>
  <c r="W25" i="11"/>
  <c r="W24" i="11"/>
  <c r="W23" i="11"/>
  <c r="W22" i="11"/>
  <c r="W21" i="11"/>
  <c r="W20" i="11"/>
  <c r="W19" i="11"/>
  <c r="W18" i="11"/>
  <c r="W17" i="11"/>
  <c r="W16" i="11"/>
  <c r="W15" i="11"/>
  <c r="W14" i="11"/>
  <c r="W13" i="11"/>
  <c r="W12" i="11"/>
  <c r="W11" i="11"/>
  <c r="W10" i="11"/>
  <c r="W9" i="11"/>
  <c r="W8" i="11"/>
  <c r="W7" i="11"/>
  <c r="W68" i="10"/>
  <c r="W67" i="10"/>
  <c r="W66" i="10"/>
  <c r="W65" i="10"/>
  <c r="W64" i="10"/>
  <c r="W63" i="10"/>
  <c r="W62" i="10"/>
  <c r="W61" i="10"/>
  <c r="W60" i="10"/>
  <c r="W59" i="10"/>
  <c r="W58" i="10"/>
  <c r="W57" i="10"/>
  <c r="W56" i="10"/>
  <c r="W55" i="10"/>
  <c r="W54" i="10"/>
  <c r="W53" i="10"/>
  <c r="W52" i="10"/>
  <c r="W51" i="10"/>
  <c r="W50" i="10"/>
  <c r="W49" i="10"/>
  <c r="W48" i="10"/>
  <c r="W47" i="10"/>
  <c r="W46" i="10"/>
  <c r="W45" i="10"/>
  <c r="W44" i="10"/>
  <c r="W43" i="10"/>
  <c r="W42" i="10"/>
  <c r="W41" i="10"/>
  <c r="W40" i="10"/>
  <c r="W39" i="10"/>
  <c r="W38" i="10"/>
  <c r="W37" i="10"/>
  <c r="W36" i="10"/>
  <c r="W35" i="10"/>
  <c r="W34" i="10"/>
  <c r="W33" i="10"/>
  <c r="W32" i="10"/>
  <c r="W31" i="10"/>
  <c r="W30" i="10"/>
  <c r="W29" i="10"/>
  <c r="W28" i="10"/>
  <c r="W27" i="10"/>
  <c r="W26" i="10"/>
  <c r="W25" i="10"/>
  <c r="W24" i="10"/>
  <c r="W23" i="10"/>
  <c r="W22" i="10"/>
  <c r="W21" i="10"/>
  <c r="W20" i="10"/>
  <c r="W19" i="10"/>
  <c r="W18" i="10"/>
  <c r="W17" i="10"/>
  <c r="W16" i="10"/>
  <c r="W15" i="10"/>
  <c r="W14" i="10"/>
  <c r="W13" i="10"/>
  <c r="W12" i="10"/>
  <c r="W11" i="10"/>
  <c r="W10" i="10"/>
  <c r="W9" i="10"/>
  <c r="W8" i="10"/>
  <c r="W7" i="10"/>
  <c r="W71" i="9"/>
  <c r="W70" i="9"/>
  <c r="W69" i="9"/>
  <c r="W68" i="9"/>
  <c r="W67" i="9"/>
  <c r="W66" i="9"/>
  <c r="W65" i="9"/>
  <c r="W64" i="9"/>
  <c r="W63" i="9"/>
  <c r="W62" i="9"/>
  <c r="W61" i="9"/>
  <c r="W60" i="9"/>
  <c r="W59" i="9"/>
  <c r="W58" i="9"/>
  <c r="W57" i="9"/>
  <c r="W56" i="9"/>
  <c r="W55" i="9"/>
  <c r="W54" i="9"/>
  <c r="W53" i="9"/>
  <c r="W52" i="9"/>
  <c r="W51" i="9"/>
  <c r="W50" i="9"/>
  <c r="W49" i="9"/>
  <c r="W48" i="9"/>
  <c r="W47" i="9"/>
  <c r="W46" i="9"/>
  <c r="W45" i="9"/>
  <c r="W44" i="9"/>
  <c r="W43" i="9"/>
  <c r="W42" i="9"/>
  <c r="W41" i="9"/>
  <c r="W40" i="9"/>
  <c r="W39" i="9"/>
  <c r="W38" i="9"/>
  <c r="W37" i="9"/>
  <c r="W36" i="9"/>
  <c r="W35" i="9"/>
  <c r="W34" i="9"/>
  <c r="W33" i="9"/>
  <c r="W32" i="9"/>
  <c r="W31" i="9"/>
  <c r="W30" i="9"/>
  <c r="W29" i="9"/>
  <c r="W28" i="9"/>
  <c r="W27" i="9"/>
  <c r="W26" i="9"/>
  <c r="W25" i="9"/>
  <c r="W24" i="9"/>
  <c r="W23" i="9"/>
  <c r="W22" i="9"/>
  <c r="W21" i="9"/>
  <c r="W20" i="9"/>
  <c r="W19" i="9"/>
  <c r="W18" i="9"/>
  <c r="W17" i="9"/>
  <c r="W16" i="9"/>
  <c r="W15" i="9"/>
  <c r="W14" i="9"/>
  <c r="W13" i="9"/>
  <c r="W12" i="9"/>
  <c r="W11" i="9"/>
  <c r="W10" i="9"/>
  <c r="W9" i="9"/>
  <c r="W8" i="9"/>
  <c r="W7" i="9"/>
  <c r="W98" i="19"/>
  <c r="W97" i="19"/>
  <c r="W96" i="19"/>
  <c r="W95" i="19"/>
  <c r="W94" i="19"/>
  <c r="W93" i="19"/>
  <c r="W92" i="19"/>
  <c r="W91" i="19"/>
  <c r="W90" i="19"/>
  <c r="W89" i="19"/>
  <c r="W88" i="19"/>
  <c r="W87" i="19"/>
  <c r="W86" i="19"/>
  <c r="W85" i="19"/>
  <c r="W84" i="19"/>
  <c r="W83" i="19"/>
  <c r="W82" i="19"/>
  <c r="W81" i="19"/>
  <c r="W80" i="19"/>
  <c r="W79" i="19"/>
  <c r="W78" i="19"/>
  <c r="W77" i="19"/>
  <c r="W76" i="19"/>
  <c r="W75" i="19"/>
  <c r="W74" i="19"/>
  <c r="W73" i="19"/>
  <c r="W72" i="19"/>
  <c r="W71" i="19"/>
  <c r="W70" i="19"/>
  <c r="W69" i="19"/>
  <c r="W68" i="19"/>
  <c r="W67" i="19"/>
  <c r="W66" i="19"/>
  <c r="W65" i="19"/>
  <c r="W64" i="19"/>
  <c r="W63" i="19"/>
  <c r="W62" i="19"/>
  <c r="W61" i="19"/>
  <c r="W60" i="19"/>
  <c r="W59" i="19"/>
  <c r="W58" i="19"/>
  <c r="W57" i="19"/>
  <c r="W56" i="19"/>
  <c r="W55" i="19"/>
  <c r="W54" i="19"/>
  <c r="W53" i="19"/>
  <c r="W52" i="19"/>
  <c r="W51" i="19"/>
  <c r="W50" i="19"/>
  <c r="W49" i="19"/>
  <c r="W48" i="19"/>
  <c r="W47" i="19"/>
  <c r="W46" i="19"/>
  <c r="W45" i="19"/>
  <c r="W44" i="19"/>
  <c r="W43" i="19"/>
  <c r="W42" i="19"/>
  <c r="W41" i="19"/>
  <c r="W40" i="19"/>
  <c r="W39" i="19"/>
  <c r="W38" i="19"/>
  <c r="W37" i="19"/>
  <c r="W36" i="19"/>
  <c r="W35" i="19"/>
  <c r="W34" i="19"/>
  <c r="W33" i="19"/>
  <c r="W32" i="19"/>
  <c r="W31" i="19"/>
  <c r="W30" i="19"/>
  <c r="W29" i="19"/>
  <c r="W28" i="19"/>
  <c r="W27" i="19"/>
  <c r="W26" i="19"/>
  <c r="W25" i="19"/>
  <c r="W24" i="19"/>
  <c r="W23" i="19"/>
  <c r="W22" i="19"/>
  <c r="W21" i="19"/>
  <c r="W20" i="19"/>
  <c r="W19" i="19"/>
  <c r="W18" i="19"/>
  <c r="W17" i="19"/>
  <c r="W16" i="19"/>
  <c r="W15" i="19"/>
  <c r="W14" i="19"/>
  <c r="W13" i="19"/>
  <c r="W12" i="19"/>
  <c r="W11" i="19"/>
  <c r="W10" i="19"/>
  <c r="W9" i="19"/>
  <c r="W8" i="19"/>
  <c r="W7" i="19"/>
  <c r="W63" i="8"/>
  <c r="W62" i="8"/>
  <c r="W61" i="8"/>
  <c r="W60" i="8"/>
  <c r="W59" i="8"/>
  <c r="W58" i="8"/>
  <c r="W57" i="8"/>
  <c r="W56" i="8"/>
  <c r="W55" i="8"/>
  <c r="W54" i="8"/>
  <c r="W53" i="8"/>
  <c r="W52" i="8"/>
  <c r="W51" i="8"/>
  <c r="W50" i="8"/>
  <c r="W49" i="8"/>
  <c r="W48" i="8"/>
  <c r="W47" i="8"/>
  <c r="W46" i="8"/>
  <c r="W45" i="8"/>
  <c r="W44" i="8"/>
  <c r="W43" i="8"/>
  <c r="W42" i="8"/>
  <c r="W41" i="8"/>
  <c r="W40" i="8"/>
  <c r="W39" i="8"/>
  <c r="W38" i="8"/>
  <c r="W37" i="8"/>
  <c r="W36" i="8"/>
  <c r="W35" i="8"/>
  <c r="W34" i="8"/>
  <c r="W33" i="8"/>
  <c r="W32" i="8"/>
  <c r="W31" i="8"/>
  <c r="W30" i="8"/>
  <c r="W29" i="8"/>
  <c r="W28" i="8"/>
  <c r="W27" i="8"/>
  <c r="W26" i="8"/>
  <c r="W25" i="8"/>
  <c r="W24" i="8"/>
  <c r="W23" i="8"/>
  <c r="W22" i="8"/>
  <c r="W21" i="8"/>
  <c r="W20" i="8"/>
  <c r="W19" i="8"/>
  <c r="W18" i="8"/>
  <c r="W17" i="8"/>
  <c r="W16" i="8"/>
  <c r="W15" i="8"/>
  <c r="W14" i="8"/>
  <c r="W13" i="8"/>
  <c r="W12" i="8"/>
  <c r="W11" i="8"/>
  <c r="W10" i="8"/>
  <c r="W9" i="8"/>
  <c r="W8" i="8"/>
  <c r="W7" i="8"/>
  <c r="W61" i="7"/>
  <c r="W60" i="7"/>
  <c r="W59" i="7"/>
  <c r="W58" i="7"/>
  <c r="W57" i="7"/>
  <c r="W56" i="7"/>
  <c r="W55" i="7"/>
  <c r="W54" i="7"/>
  <c r="W53" i="7"/>
  <c r="W52" i="7"/>
  <c r="W51" i="7"/>
  <c r="W50" i="7"/>
  <c r="W49" i="7"/>
  <c r="W48" i="7"/>
  <c r="W47" i="7"/>
  <c r="W46" i="7"/>
  <c r="W45" i="7"/>
  <c r="W44" i="7"/>
  <c r="W43" i="7"/>
  <c r="W42" i="7"/>
  <c r="W41" i="7"/>
  <c r="W40" i="7"/>
  <c r="W39" i="7"/>
  <c r="W38" i="7"/>
  <c r="W37" i="7"/>
  <c r="W36" i="7"/>
  <c r="W35" i="7"/>
  <c r="W34" i="7"/>
  <c r="W33" i="7"/>
  <c r="W32" i="7"/>
  <c r="W31" i="7"/>
  <c r="W30" i="7"/>
  <c r="W29" i="7"/>
  <c r="W28" i="7"/>
  <c r="W27" i="7"/>
  <c r="W26" i="7"/>
  <c r="W25" i="7"/>
  <c r="W24" i="7"/>
  <c r="W23" i="7"/>
  <c r="W22" i="7"/>
  <c r="W21" i="7"/>
  <c r="W20" i="7"/>
  <c r="W19" i="7"/>
  <c r="W18" i="7"/>
  <c r="W17" i="7"/>
  <c r="W16" i="7"/>
  <c r="W15" i="7"/>
  <c r="W14" i="7"/>
  <c r="W13" i="7"/>
  <c r="W12" i="7"/>
  <c r="W11" i="7"/>
  <c r="W10" i="7"/>
  <c r="W9" i="7"/>
  <c r="W8" i="7"/>
  <c r="W7" i="7"/>
  <c r="W53" i="6"/>
  <c r="W52" i="6"/>
  <c r="W51" i="6"/>
  <c r="W50" i="6"/>
  <c r="W49" i="6"/>
  <c r="W48" i="6"/>
  <c r="W47" i="6"/>
  <c r="W46" i="6"/>
  <c r="W45" i="6"/>
  <c r="W44" i="6"/>
  <c r="W43" i="6"/>
  <c r="W42" i="6"/>
  <c r="W41" i="6"/>
  <c r="W40" i="6"/>
  <c r="W39" i="6"/>
  <c r="W38" i="6"/>
  <c r="W37" i="6"/>
  <c r="W36" i="6"/>
  <c r="W35" i="6"/>
  <c r="W34" i="6"/>
  <c r="W33" i="6"/>
  <c r="W32" i="6"/>
  <c r="W31" i="6"/>
  <c r="W30" i="6"/>
  <c r="W29" i="6"/>
  <c r="W28" i="6"/>
  <c r="W27" i="6"/>
  <c r="W26" i="6"/>
  <c r="W25" i="6"/>
  <c r="W24" i="6"/>
  <c r="W23" i="6"/>
  <c r="W22" i="6"/>
  <c r="W21" i="6"/>
  <c r="W20" i="6"/>
  <c r="W19" i="6"/>
  <c r="W18" i="6"/>
  <c r="W17" i="6"/>
  <c r="W16" i="6"/>
  <c r="W15" i="6"/>
  <c r="W14" i="6"/>
  <c r="W13" i="6"/>
  <c r="W12" i="6"/>
  <c r="W11" i="6"/>
  <c r="W10" i="6"/>
  <c r="W9" i="6"/>
  <c r="W8" i="6"/>
  <c r="W7" i="6"/>
  <c r="X9" i="26" l="1"/>
  <c r="X12" i="26"/>
  <c r="Z44" i="26"/>
  <c r="AC12" i="26"/>
  <c r="AC14" i="26"/>
  <c r="Z45" i="26"/>
  <c r="X8" i="26"/>
  <c r="X13" i="26"/>
  <c r="Z14" i="26"/>
  <c r="X10" i="26"/>
  <c r="X21" i="26"/>
  <c r="AC8" i="26"/>
  <c r="AC10" i="26"/>
  <c r="X14" i="26"/>
  <c r="AC9" i="26"/>
  <c r="AC13" i="26"/>
  <c r="AC21" i="26"/>
  <c r="Z8" i="26"/>
  <c r="Z12" i="26"/>
  <c r="AA58" i="30"/>
  <c r="AA57" i="30"/>
  <c r="AA57" i="24"/>
  <c r="AA56" i="24"/>
  <c r="Y29" i="21"/>
  <c r="Z59" i="30"/>
  <c r="Z58" i="30"/>
  <c r="Z57" i="24"/>
  <c r="Z71" i="23"/>
  <c r="Z73" i="23" s="1"/>
  <c r="Z72" i="22"/>
  <c r="Z75" i="22" s="1"/>
  <c r="Z60" i="25"/>
  <c r="Z61" i="25" s="1"/>
  <c r="Z72" i="21"/>
  <c r="Z75" i="21" s="1"/>
  <c r="Z71" i="15"/>
  <c r="Z69" i="15"/>
  <c r="Z68" i="15"/>
  <c r="Z70" i="15" s="1"/>
  <c r="Z62" i="20"/>
  <c r="Z60" i="20"/>
  <c r="Z61" i="20" s="1"/>
  <c r="Z93" i="14"/>
  <c r="Z94" i="14" s="1"/>
  <c r="Z91" i="13"/>
  <c r="Z88" i="13"/>
  <c r="Z89" i="13" s="1"/>
  <c r="Z82" i="12"/>
  <c r="Z81" i="12"/>
  <c r="Z80" i="12"/>
  <c r="AA80" i="27"/>
  <c r="AA79" i="27"/>
  <c r="AA78" i="27"/>
  <c r="AA77" i="27"/>
  <c r="Z72" i="27"/>
  <c r="Z68" i="6"/>
  <c r="Y39" i="27"/>
  <c r="S39" i="27"/>
  <c r="U39" i="27" s="1"/>
  <c r="X39" i="27" s="1"/>
  <c r="Y35" i="15"/>
  <c r="S35" i="15"/>
  <c r="U35" i="15" s="1"/>
  <c r="X35" i="15" s="1"/>
  <c r="Y31" i="10"/>
  <c r="S31" i="10"/>
  <c r="U31" i="10" s="1"/>
  <c r="X31" i="10" s="1"/>
  <c r="Y31" i="9"/>
  <c r="S31" i="9"/>
  <c r="U31" i="9" s="1"/>
  <c r="X31" i="9" s="1"/>
  <c r="Y31" i="8"/>
  <c r="S31" i="8"/>
  <c r="U31" i="8" s="1"/>
  <c r="X31" i="8" s="1"/>
  <c r="Y37" i="7"/>
  <c r="S37" i="7"/>
  <c r="U37" i="7" s="1"/>
  <c r="X37" i="7" s="1"/>
  <c r="Y31" i="6"/>
  <c r="S31" i="6"/>
  <c r="AD9" i="26" l="1"/>
  <c r="AE9" i="26" s="1"/>
  <c r="AD12" i="26"/>
  <c r="AE12" i="26" s="1"/>
  <c r="AD14" i="26"/>
  <c r="AE14" i="26" s="1"/>
  <c r="AD21" i="26"/>
  <c r="AE21" i="26" s="1"/>
  <c r="AD8" i="26"/>
  <c r="AE8" i="26" s="1"/>
  <c r="AD10" i="26"/>
  <c r="AE10" i="26" s="1"/>
  <c r="AD13" i="26"/>
  <c r="AE13" i="26" s="1"/>
  <c r="Z60" i="30"/>
  <c r="Z59" i="24"/>
  <c r="Z58" i="24"/>
  <c r="Z74" i="23"/>
  <c r="Z62" i="25"/>
  <c r="Z63" i="25"/>
  <c r="Z74" i="21"/>
  <c r="Z95" i="14"/>
  <c r="Z96" i="14"/>
  <c r="Z90" i="13"/>
  <c r="Z72" i="23"/>
  <c r="Z73" i="22"/>
  <c r="Z74" i="22"/>
  <c r="Z73" i="21"/>
  <c r="Z63" i="20"/>
  <c r="Z77" i="27" l="1"/>
  <c r="Z78" i="27" s="1"/>
  <c r="Z79" i="12"/>
  <c r="Z66" i="11"/>
  <c r="Z64" i="11"/>
  <c r="Z65" i="11" s="1"/>
  <c r="Z79" i="10"/>
  <c r="Z80" i="10" s="1"/>
  <c r="Z82" i="9"/>
  <c r="Z83" i="9" s="1"/>
  <c r="Z74" i="8"/>
  <c r="Z77" i="8" s="1"/>
  <c r="Z72" i="7"/>
  <c r="Z75" i="7" s="1"/>
  <c r="Z70" i="6"/>
  <c r="Z69" i="6"/>
  <c r="Z71" i="6"/>
  <c r="Y59" i="27"/>
  <c r="S59" i="27"/>
  <c r="U59" i="27" s="1"/>
  <c r="Y18" i="27"/>
  <c r="Y35" i="27"/>
  <c r="X35" i="27"/>
  <c r="Y28" i="27"/>
  <c r="Y37" i="27"/>
  <c r="Y24" i="27"/>
  <c r="Y15" i="27"/>
  <c r="Y22" i="27"/>
  <c r="Y13" i="27"/>
  <c r="Y41" i="27"/>
  <c r="S41" i="27"/>
  <c r="U41" i="27" s="1"/>
  <c r="Y43" i="27"/>
  <c r="S43" i="27"/>
  <c r="U43" i="27" s="1"/>
  <c r="Y34" i="27"/>
  <c r="S34" i="27"/>
  <c r="U34" i="27" s="1"/>
  <c r="Y33" i="27"/>
  <c r="S33" i="27"/>
  <c r="U33" i="27" s="1"/>
  <c r="Y32" i="27"/>
  <c r="S32" i="27"/>
  <c r="U32" i="27" s="1"/>
  <c r="Y31" i="27"/>
  <c r="Z31" i="27" s="1"/>
  <c r="S31" i="27"/>
  <c r="U31" i="27" s="1"/>
  <c r="X31" i="27" s="1"/>
  <c r="Y30" i="27"/>
  <c r="Z30" i="27" s="1"/>
  <c r="U30" i="27"/>
  <c r="X30" i="27" s="1"/>
  <c r="S30" i="27"/>
  <c r="Y29" i="27"/>
  <c r="S29" i="27"/>
  <c r="U29" i="27" s="1"/>
  <c r="Z29" i="27"/>
  <c r="AB29" i="27"/>
  <c r="AC29" i="27" s="1"/>
  <c r="AB30" i="27"/>
  <c r="AB31" i="27"/>
  <c r="Z32" i="27"/>
  <c r="AB32" i="27"/>
  <c r="Z33" i="27"/>
  <c r="AB33" i="27"/>
  <c r="Z34" i="27"/>
  <c r="AB34" i="27"/>
  <c r="AC34" i="27" s="1"/>
  <c r="Y10" i="27"/>
  <c r="S10" i="27"/>
  <c r="U10" i="27" s="1"/>
  <c r="X10" i="27" s="1"/>
  <c r="Y9" i="27"/>
  <c r="S9" i="27"/>
  <c r="U9" i="27" s="1"/>
  <c r="Y8" i="27"/>
  <c r="S8" i="27"/>
  <c r="U8" i="27" s="1"/>
  <c r="Y7" i="27"/>
  <c r="S7" i="27"/>
  <c r="U7" i="27" s="1"/>
  <c r="Z79" i="27" l="1"/>
  <c r="Z80" i="27"/>
  <c r="Z67" i="11"/>
  <c r="Z73" i="7"/>
  <c r="Z74" i="7"/>
  <c r="X34" i="27"/>
  <c r="AD34" i="27" s="1"/>
  <c r="AE34" i="27" s="1"/>
  <c r="X7" i="27"/>
  <c r="X41" i="27"/>
  <c r="X43" i="27"/>
  <c r="X33" i="27"/>
  <c r="X59" i="27"/>
  <c r="Z82" i="10"/>
  <c r="Z81" i="10"/>
  <c r="Z84" i="9"/>
  <c r="Z85" i="9"/>
  <c r="Z75" i="8"/>
  <c r="Z76" i="8"/>
  <c r="X29" i="27"/>
  <c r="AD29" i="27" s="1"/>
  <c r="AE29" i="27" s="1"/>
  <c r="AC33" i="27"/>
  <c r="X9" i="27"/>
  <c r="X8" i="27"/>
  <c r="X32" i="27"/>
  <c r="AD33" i="27"/>
  <c r="AE33" i="27" s="1"/>
  <c r="AC30" i="27"/>
  <c r="AD30" i="27" s="1"/>
  <c r="AE30" i="27" s="1"/>
  <c r="AC32" i="27"/>
  <c r="AC31" i="27"/>
  <c r="AD31" i="27" s="1"/>
  <c r="AE31" i="27" s="1"/>
  <c r="AD32" i="27" l="1"/>
  <c r="AE32" i="27" s="1"/>
  <c r="Y33" i="30" l="1"/>
  <c r="Z33" i="30" s="1"/>
  <c r="Y34" i="30"/>
  <c r="Z34" i="30" s="1"/>
  <c r="Y35" i="30"/>
  <c r="Z35" i="30" s="1"/>
  <c r="Y29" i="30"/>
  <c r="S29" i="30"/>
  <c r="U29" i="30" s="1"/>
  <c r="Y28" i="30"/>
  <c r="S28" i="30"/>
  <c r="U28" i="30" s="1"/>
  <c r="Y27" i="30"/>
  <c r="Z27" i="30" s="1"/>
  <c r="S27" i="30"/>
  <c r="U27" i="30" s="1"/>
  <c r="Y26" i="30"/>
  <c r="S26" i="30"/>
  <c r="U26" i="30" s="1"/>
  <c r="Y25" i="30"/>
  <c r="U25" i="30"/>
  <c r="S25" i="30"/>
  <c r="Y24" i="30"/>
  <c r="U24" i="30"/>
  <c r="S24" i="30"/>
  <c r="Y23" i="30"/>
  <c r="Z23" i="30" s="1"/>
  <c r="S23" i="30"/>
  <c r="U23" i="30" s="1"/>
  <c r="Y22" i="30"/>
  <c r="S22" i="30"/>
  <c r="U22" i="30" s="1"/>
  <c r="Y19" i="30"/>
  <c r="Z19" i="30" s="1"/>
  <c r="U19" i="30"/>
  <c r="S19" i="30"/>
  <c r="Y18" i="30"/>
  <c r="S18" i="30"/>
  <c r="U18" i="30" s="1"/>
  <c r="Y15" i="30"/>
  <c r="Z15" i="30" s="1"/>
  <c r="S15" i="30"/>
  <c r="U15" i="30" s="1"/>
  <c r="X15" i="30" s="1"/>
  <c r="Y13" i="30"/>
  <c r="AC13" i="30" s="1"/>
  <c r="S13" i="30"/>
  <c r="U13" i="30" s="1"/>
  <c r="Y10" i="30"/>
  <c r="U10" i="30"/>
  <c r="S10" i="30"/>
  <c r="Y9" i="30"/>
  <c r="S9" i="30"/>
  <c r="U9" i="30" s="1"/>
  <c r="Y8" i="30"/>
  <c r="S8" i="30"/>
  <c r="U8" i="30" s="1"/>
  <c r="Y7" i="30"/>
  <c r="Z7" i="30" s="1"/>
  <c r="S7" i="30"/>
  <c r="U7" i="30" s="1"/>
  <c r="Z53" i="30"/>
  <c r="AJ48" i="30"/>
  <c r="AI48" i="30"/>
  <c r="AH48" i="30"/>
  <c r="AG48" i="30"/>
  <c r="AF48" i="30"/>
  <c r="AB46" i="30"/>
  <c r="Y46" i="30"/>
  <c r="S46" i="30"/>
  <c r="U46" i="30" s="1"/>
  <c r="AB45" i="30"/>
  <c r="Y45" i="30"/>
  <c r="Z45" i="30" s="1"/>
  <c r="X45" i="30"/>
  <c r="S45" i="30"/>
  <c r="U45" i="30" s="1"/>
  <c r="AB44" i="30"/>
  <c r="Y44" i="30"/>
  <c r="U44" i="30"/>
  <c r="S44" i="30"/>
  <c r="AB43" i="30"/>
  <c r="Y43" i="30"/>
  <c r="Z43" i="30" s="1"/>
  <c r="S43" i="30"/>
  <c r="U43" i="30" s="1"/>
  <c r="AB42" i="30"/>
  <c r="Y42" i="30"/>
  <c r="S42" i="30"/>
  <c r="U42" i="30" s="1"/>
  <c r="AB41" i="30"/>
  <c r="AC41" i="30" s="1"/>
  <c r="Y41" i="30"/>
  <c r="Z41" i="30" s="1"/>
  <c r="S41" i="30"/>
  <c r="U41" i="30" s="1"/>
  <c r="AB40" i="30"/>
  <c r="Y40" i="30"/>
  <c r="S40" i="30"/>
  <c r="U40" i="30" s="1"/>
  <c r="AB39" i="30"/>
  <c r="Y39" i="30"/>
  <c r="Z39" i="30" s="1"/>
  <c r="S39" i="30"/>
  <c r="U39" i="30" s="1"/>
  <c r="AB38" i="30"/>
  <c r="Y38" i="30"/>
  <c r="Z38" i="30" s="1"/>
  <c r="S38" i="30"/>
  <c r="U38" i="30" s="1"/>
  <c r="AB37" i="30"/>
  <c r="Y37" i="30"/>
  <c r="Z37" i="30" s="1"/>
  <c r="S37" i="30"/>
  <c r="U37" i="30" s="1"/>
  <c r="AB36" i="30"/>
  <c r="Y36" i="30"/>
  <c r="S36" i="30"/>
  <c r="U36" i="30" s="1"/>
  <c r="AB35" i="30"/>
  <c r="S35" i="30"/>
  <c r="U35" i="30" s="1"/>
  <c r="AB34" i="30"/>
  <c r="S34" i="30"/>
  <c r="U34" i="30" s="1"/>
  <c r="AB33" i="30"/>
  <c r="S33" i="30"/>
  <c r="U33" i="30" s="1"/>
  <c r="AB32" i="30"/>
  <c r="Y32" i="30"/>
  <c r="S32" i="30"/>
  <c r="U32" i="30" s="1"/>
  <c r="AB31" i="30"/>
  <c r="Y31" i="30"/>
  <c r="Z31" i="30" s="1"/>
  <c r="S31" i="30"/>
  <c r="U31" i="30" s="1"/>
  <c r="AB30" i="30"/>
  <c r="Y30" i="30"/>
  <c r="Z30" i="30" s="1"/>
  <c r="S30" i="30"/>
  <c r="U30" i="30" s="1"/>
  <c r="AB29" i="30"/>
  <c r="AC29" i="30" s="1"/>
  <c r="AB28" i="30"/>
  <c r="AC28" i="30" s="1"/>
  <c r="AB27" i="30"/>
  <c r="AB26" i="30"/>
  <c r="AB25" i="30"/>
  <c r="AC25" i="30"/>
  <c r="AB24" i="30"/>
  <c r="AB23" i="30"/>
  <c r="AB22" i="30"/>
  <c r="AC22" i="30" s="1"/>
  <c r="Z22" i="30"/>
  <c r="AB21" i="30"/>
  <c r="Y21" i="30"/>
  <c r="S21" i="30"/>
  <c r="U21" i="30" s="1"/>
  <c r="AB20" i="30"/>
  <c r="Y20" i="30"/>
  <c r="AC20" i="30" s="1"/>
  <c r="S20" i="30"/>
  <c r="U20" i="30" s="1"/>
  <c r="AB19" i="30"/>
  <c r="AB18" i="30"/>
  <c r="AC18" i="30" s="1"/>
  <c r="Z18" i="30"/>
  <c r="AB17" i="30"/>
  <c r="Y17" i="30"/>
  <c r="S17" i="30"/>
  <c r="U17" i="30" s="1"/>
  <c r="AB16" i="30"/>
  <c r="Y16" i="30"/>
  <c r="S16" i="30"/>
  <c r="U16" i="30" s="1"/>
  <c r="AB15" i="30"/>
  <c r="AB14" i="30"/>
  <c r="Y14" i="30"/>
  <c r="Z14" i="30" s="1"/>
  <c r="S14" i="30"/>
  <c r="U14" i="30" s="1"/>
  <c r="AB13" i="30"/>
  <c r="AB12" i="30"/>
  <c r="Y12" i="30"/>
  <c r="S12" i="30"/>
  <c r="U12" i="30" s="1"/>
  <c r="AB11" i="30"/>
  <c r="Y11" i="30"/>
  <c r="S11" i="30"/>
  <c r="U11" i="30" s="1"/>
  <c r="AB10" i="30"/>
  <c r="AC10" i="30" s="1"/>
  <c r="Z10" i="30"/>
  <c r="AB9" i="30"/>
  <c r="AB8" i="30"/>
  <c r="AC8" i="30" s="1"/>
  <c r="AB7" i="30"/>
  <c r="Y7" i="26"/>
  <c r="S7" i="26"/>
  <c r="U7" i="26" s="1"/>
  <c r="Y35" i="24"/>
  <c r="Y34" i="24"/>
  <c r="Y33" i="24"/>
  <c r="Y32" i="24"/>
  <c r="Y22" i="24"/>
  <c r="Y20" i="24"/>
  <c r="Y13" i="24"/>
  <c r="Y9" i="24"/>
  <c r="Y25" i="24"/>
  <c r="S25" i="24"/>
  <c r="U25" i="24" s="1"/>
  <c r="AC46" i="30" l="1"/>
  <c r="AC9" i="30"/>
  <c r="X19" i="30"/>
  <c r="X21" i="30"/>
  <c r="X43" i="30"/>
  <c r="X24" i="30"/>
  <c r="X10" i="30"/>
  <c r="AD10" i="30" s="1"/>
  <c r="AE10" i="30" s="1"/>
  <c r="X22" i="30"/>
  <c r="AD22" i="30" s="1"/>
  <c r="AE22" i="30" s="1"/>
  <c r="X11" i="30"/>
  <c r="X30" i="30"/>
  <c r="X32" i="30"/>
  <c r="X7" i="30"/>
  <c r="AD7" i="30" s="1"/>
  <c r="X26" i="30"/>
  <c r="X29" i="30"/>
  <c r="AD29" i="30" s="1"/>
  <c r="AE29" i="30" s="1"/>
  <c r="X7" i="26"/>
  <c r="X16" i="30"/>
  <c r="X8" i="30"/>
  <c r="AD8" i="30" s="1"/>
  <c r="AE8" i="30" s="1"/>
  <c r="X20" i="30"/>
  <c r="AD20" i="30" s="1"/>
  <c r="AE20" i="30" s="1"/>
  <c r="X36" i="30"/>
  <c r="X38" i="30"/>
  <c r="X40" i="30"/>
  <c r="X34" i="30"/>
  <c r="AC12" i="30"/>
  <c r="AC14" i="30"/>
  <c r="AC17" i="30"/>
  <c r="X28" i="30"/>
  <c r="AD28" i="30" s="1"/>
  <c r="AE28" i="30" s="1"/>
  <c r="AC23" i="30"/>
  <c r="AC32" i="30"/>
  <c r="X42" i="30"/>
  <c r="AC11" i="30"/>
  <c r="X14" i="30"/>
  <c r="AC16" i="30"/>
  <c r="AD16" i="30" s="1"/>
  <c r="AE16" i="30" s="1"/>
  <c r="AC30" i="30"/>
  <c r="Z32" i="30"/>
  <c r="AC36" i="30"/>
  <c r="AD36" i="30" s="1"/>
  <c r="AE36" i="30" s="1"/>
  <c r="X13" i="30"/>
  <c r="AD13" i="30" s="1"/>
  <c r="AE13" i="30" s="1"/>
  <c r="X18" i="30"/>
  <c r="AD18" i="30" s="1"/>
  <c r="AE18" i="30" s="1"/>
  <c r="AC24" i="30"/>
  <c r="AC26" i="30"/>
  <c r="AC19" i="30"/>
  <c r="X31" i="30"/>
  <c r="AC42" i="30"/>
  <c r="X46" i="30"/>
  <c r="AD46" i="30" s="1"/>
  <c r="AE46" i="30" s="1"/>
  <c r="X9" i="30"/>
  <c r="AD9" i="30" s="1"/>
  <c r="AE9" i="30" s="1"/>
  <c r="X23" i="30"/>
  <c r="X27" i="30"/>
  <c r="X12" i="30"/>
  <c r="X17" i="30"/>
  <c r="AC21" i="30"/>
  <c r="AD21" i="30" s="1"/>
  <c r="AE21" i="30" s="1"/>
  <c r="X33" i="30"/>
  <c r="X35" i="30"/>
  <c r="X37" i="30"/>
  <c r="X39" i="30"/>
  <c r="X41" i="30"/>
  <c r="AD41" i="30" s="1"/>
  <c r="AE41" i="30" s="1"/>
  <c r="AC44" i="30"/>
  <c r="X25" i="30"/>
  <c r="AD25" i="30" s="1"/>
  <c r="AE25" i="30" s="1"/>
  <c r="Z44" i="30"/>
  <c r="AC35" i="30"/>
  <c r="AC39" i="30"/>
  <c r="Z26" i="30"/>
  <c r="AC27" i="30"/>
  <c r="AC15" i="30"/>
  <c r="AD15" i="30" s="1"/>
  <c r="AE15" i="30" s="1"/>
  <c r="AC7" i="30"/>
  <c r="Z11" i="30"/>
  <c r="AD14" i="30"/>
  <c r="AE14" i="30" s="1"/>
  <c r="AC37" i="30"/>
  <c r="X44" i="30"/>
  <c r="AD44" i="30" s="1"/>
  <c r="AE44" i="30" s="1"/>
  <c r="AC31" i="30"/>
  <c r="AD31" i="30" s="1"/>
  <c r="AE31" i="30" s="1"/>
  <c r="AC33" i="30"/>
  <c r="Z46" i="30"/>
  <c r="Z8" i="30"/>
  <c r="Z12" i="30"/>
  <c r="Z16" i="30"/>
  <c r="Z20" i="30"/>
  <c r="Z24" i="30"/>
  <c r="Z28" i="30"/>
  <c r="AC40" i="30"/>
  <c r="Z42" i="30"/>
  <c r="AC45" i="30"/>
  <c r="AD45" i="30" s="1"/>
  <c r="AE45" i="30" s="1"/>
  <c r="Z9" i="30"/>
  <c r="Z13" i="30"/>
  <c r="Z17" i="30"/>
  <c r="Z21" i="30"/>
  <c r="Z25" i="30"/>
  <c r="Z29" i="30"/>
  <c r="AC38" i="30"/>
  <c r="Z40" i="30"/>
  <c r="AC43" i="30"/>
  <c r="AD43" i="30" s="1"/>
  <c r="AE43" i="30" s="1"/>
  <c r="AC34" i="30"/>
  <c r="Z36" i="30"/>
  <c r="X25" i="24"/>
  <c r="AD27" i="30" l="1"/>
  <c r="AE27" i="30" s="1"/>
  <c r="AD19" i="30"/>
  <c r="AE19" i="30" s="1"/>
  <c r="AD34" i="30"/>
  <c r="AE34" i="30" s="1"/>
  <c r="AD32" i="30"/>
  <c r="AE32" i="30" s="1"/>
  <c r="AD17" i="30"/>
  <c r="AE17" i="30" s="1"/>
  <c r="AD37" i="30"/>
  <c r="AE37" i="30" s="1"/>
  <c r="AD23" i="30"/>
  <c r="AE23" i="30" s="1"/>
  <c r="AD30" i="30"/>
  <c r="AE30" i="30" s="1"/>
  <c r="AD38" i="30"/>
  <c r="AE38" i="30" s="1"/>
  <c r="AD26" i="30"/>
  <c r="AE26" i="30" s="1"/>
  <c r="AD40" i="30"/>
  <c r="AE40" i="30" s="1"/>
  <c r="AD33" i="30"/>
  <c r="AE33" i="30" s="1"/>
  <c r="AD24" i="30"/>
  <c r="AE24" i="30" s="1"/>
  <c r="AD11" i="30"/>
  <c r="AE11" i="30" s="1"/>
  <c r="AD12" i="30"/>
  <c r="AE12" i="30" s="1"/>
  <c r="AD39" i="30"/>
  <c r="AE39" i="30" s="1"/>
  <c r="AD42" i="30"/>
  <c r="AE42" i="30" s="1"/>
  <c r="AD35" i="30"/>
  <c r="AE35" i="30" s="1"/>
  <c r="Z48" i="30"/>
  <c r="AE7" i="30"/>
  <c r="AC48" i="30"/>
  <c r="AD48" i="30" l="1"/>
  <c r="AE48" i="30" s="1"/>
  <c r="Y14" i="24" l="1"/>
  <c r="Z105" i="29"/>
  <c r="AJ100" i="29"/>
  <c r="AI100" i="29"/>
  <c r="AH100" i="29"/>
  <c r="AG100" i="29"/>
  <c r="AF100" i="29"/>
  <c r="AC98" i="29"/>
  <c r="AB98" i="29"/>
  <c r="Z98" i="29"/>
  <c r="Y98" i="29"/>
  <c r="S98" i="29"/>
  <c r="U98" i="29" s="1"/>
  <c r="AB97" i="29"/>
  <c r="AC97" i="29" s="1"/>
  <c r="Y97" i="29"/>
  <c r="Z97" i="29" s="1"/>
  <c r="U97" i="29"/>
  <c r="S97" i="29"/>
  <c r="AB96" i="29"/>
  <c r="Y96" i="29"/>
  <c r="X96" i="29"/>
  <c r="U96" i="29"/>
  <c r="S96" i="29"/>
  <c r="AB95" i="29"/>
  <c r="Z95" i="29"/>
  <c r="Y95" i="29"/>
  <c r="X95" i="29"/>
  <c r="S95" i="29"/>
  <c r="U95" i="29" s="1"/>
  <c r="AB94" i="29"/>
  <c r="AC94" i="29" s="1"/>
  <c r="Z94" i="29"/>
  <c r="Y94" i="29"/>
  <c r="S94" i="29"/>
  <c r="U94" i="29" s="1"/>
  <c r="AB93" i="29"/>
  <c r="AC93" i="29" s="1"/>
  <c r="Y93" i="29"/>
  <c r="Z93" i="29" s="1"/>
  <c r="U93" i="29"/>
  <c r="S93" i="29"/>
  <c r="AB92" i="29"/>
  <c r="Y92" i="29"/>
  <c r="X92" i="29"/>
  <c r="U92" i="29"/>
  <c r="S92" i="29"/>
  <c r="AB91" i="29"/>
  <c r="Z91" i="29"/>
  <c r="Y91" i="29"/>
  <c r="S91" i="29"/>
  <c r="U91" i="29" s="1"/>
  <c r="X91" i="29" s="1"/>
  <c r="AB90" i="29"/>
  <c r="AC90" i="29" s="1"/>
  <c r="Z90" i="29"/>
  <c r="Y90" i="29"/>
  <c r="S90" i="29"/>
  <c r="U90" i="29" s="1"/>
  <c r="AC89" i="29"/>
  <c r="AB89" i="29"/>
  <c r="Y89" i="29"/>
  <c r="Z89" i="29" s="1"/>
  <c r="U89" i="29"/>
  <c r="S89" i="29"/>
  <c r="AB88" i="29"/>
  <c r="Y88" i="29"/>
  <c r="U88" i="29"/>
  <c r="S88" i="29"/>
  <c r="AB87" i="29"/>
  <c r="Z87" i="29"/>
  <c r="Y87" i="29"/>
  <c r="AC87" i="29" s="1"/>
  <c r="S87" i="29"/>
  <c r="U87" i="29" s="1"/>
  <c r="AC86" i="29"/>
  <c r="AB86" i="29"/>
  <c r="Z86" i="29"/>
  <c r="Y86" i="29"/>
  <c r="S86" i="29"/>
  <c r="U86" i="29" s="1"/>
  <c r="AC85" i="29"/>
  <c r="AB85" i="29"/>
  <c r="Y85" i="29"/>
  <c r="Z85" i="29" s="1"/>
  <c r="U85" i="29"/>
  <c r="S85" i="29"/>
  <c r="AB84" i="29"/>
  <c r="Y84" i="29"/>
  <c r="AC84" i="29" s="1"/>
  <c r="X84" i="29"/>
  <c r="U84" i="29"/>
  <c r="S84" i="29"/>
  <c r="AB83" i="29"/>
  <c r="Z83" i="29"/>
  <c r="Y83" i="29"/>
  <c r="AC83" i="29" s="1"/>
  <c r="X83" i="29"/>
  <c r="S83" i="29"/>
  <c r="U83" i="29" s="1"/>
  <c r="AC82" i="29"/>
  <c r="AB82" i="29"/>
  <c r="Z82" i="29"/>
  <c r="Y82" i="29"/>
  <c r="S82" i="29"/>
  <c r="U82" i="29" s="1"/>
  <c r="AB81" i="29"/>
  <c r="Y81" i="29"/>
  <c r="Z81" i="29" s="1"/>
  <c r="S81" i="29"/>
  <c r="U81" i="29" s="1"/>
  <c r="AB80" i="29"/>
  <c r="Y80" i="29"/>
  <c r="S80" i="29"/>
  <c r="U80" i="29" s="1"/>
  <c r="AB79" i="29"/>
  <c r="Y79" i="29"/>
  <c r="S79" i="29"/>
  <c r="U79" i="29" s="1"/>
  <c r="AB78" i="29"/>
  <c r="Y78" i="29"/>
  <c r="Z78" i="29" s="1"/>
  <c r="S78" i="29"/>
  <c r="U78" i="29" s="1"/>
  <c r="AB77" i="29"/>
  <c r="Y77" i="29"/>
  <c r="Z77" i="29" s="1"/>
  <c r="U77" i="29"/>
  <c r="S77" i="29"/>
  <c r="AB76" i="29"/>
  <c r="Y76" i="29"/>
  <c r="U76" i="29"/>
  <c r="S76" i="29"/>
  <c r="AB75" i="29"/>
  <c r="Y75" i="29"/>
  <c r="S75" i="29"/>
  <c r="U75" i="29" s="1"/>
  <c r="AB74" i="29"/>
  <c r="Y74" i="29"/>
  <c r="AC74" i="29" s="1"/>
  <c r="S74" i="29"/>
  <c r="U74" i="29" s="1"/>
  <c r="AB73" i="29"/>
  <c r="AC73" i="29" s="1"/>
  <c r="Y73" i="29"/>
  <c r="Z73" i="29" s="1"/>
  <c r="S73" i="29"/>
  <c r="U73" i="29" s="1"/>
  <c r="AB72" i="29"/>
  <c r="Y72" i="29"/>
  <c r="S72" i="29"/>
  <c r="U72" i="29" s="1"/>
  <c r="AB71" i="29"/>
  <c r="Y71" i="29"/>
  <c r="S71" i="29"/>
  <c r="U71" i="29" s="1"/>
  <c r="AB70" i="29"/>
  <c r="Y70" i="29"/>
  <c r="AC70" i="29" s="1"/>
  <c r="S70" i="29"/>
  <c r="U70" i="29" s="1"/>
  <c r="AB69" i="29"/>
  <c r="Y69" i="29"/>
  <c r="Z69" i="29" s="1"/>
  <c r="S69" i="29"/>
  <c r="U69" i="29" s="1"/>
  <c r="AB68" i="29"/>
  <c r="Y68" i="29"/>
  <c r="S68" i="29"/>
  <c r="U68" i="29" s="1"/>
  <c r="AB67" i="29"/>
  <c r="Z67" i="29"/>
  <c r="Y67" i="29"/>
  <c r="X67" i="29"/>
  <c r="S67" i="29"/>
  <c r="U67" i="29" s="1"/>
  <c r="AB66" i="29"/>
  <c r="Z66" i="29"/>
  <c r="Y66" i="29"/>
  <c r="AC66" i="29" s="1"/>
  <c r="S66" i="29"/>
  <c r="U66" i="29" s="1"/>
  <c r="AB65" i="29"/>
  <c r="Y65" i="29"/>
  <c r="Z65" i="29" s="1"/>
  <c r="S65" i="29"/>
  <c r="U65" i="29" s="1"/>
  <c r="AB64" i="29"/>
  <c r="Y64" i="29"/>
  <c r="S64" i="29"/>
  <c r="U64" i="29" s="1"/>
  <c r="AB63" i="29"/>
  <c r="Y63" i="29"/>
  <c r="S63" i="29"/>
  <c r="U63" i="29" s="1"/>
  <c r="AB62" i="29"/>
  <c r="Y62" i="29"/>
  <c r="Z62" i="29" s="1"/>
  <c r="S62" i="29"/>
  <c r="U62" i="29" s="1"/>
  <c r="AB61" i="29"/>
  <c r="AC61" i="29" s="1"/>
  <c r="Y61" i="29"/>
  <c r="Z61" i="29" s="1"/>
  <c r="U61" i="29"/>
  <c r="S61" i="29"/>
  <c r="AB60" i="29"/>
  <c r="Y60" i="29"/>
  <c r="U60" i="29"/>
  <c r="S60" i="29"/>
  <c r="AB59" i="29"/>
  <c r="Y59" i="29"/>
  <c r="S59" i="29"/>
  <c r="U59" i="29" s="1"/>
  <c r="AB58" i="29"/>
  <c r="Y58" i="29"/>
  <c r="S58" i="29"/>
  <c r="U58" i="29" s="1"/>
  <c r="AB57" i="29"/>
  <c r="AC57" i="29" s="1"/>
  <c r="Y57" i="29"/>
  <c r="Z57" i="29" s="1"/>
  <c r="S57" i="29"/>
  <c r="U57" i="29" s="1"/>
  <c r="AB56" i="29"/>
  <c r="Y56" i="29"/>
  <c r="S56" i="29"/>
  <c r="U56" i="29" s="1"/>
  <c r="AB55" i="29"/>
  <c r="Y55" i="29"/>
  <c r="X55" i="29"/>
  <c r="S55" i="29"/>
  <c r="U55" i="29" s="1"/>
  <c r="AB54" i="29"/>
  <c r="Y54" i="29"/>
  <c r="S54" i="29"/>
  <c r="U54" i="29" s="1"/>
  <c r="AB53" i="29"/>
  <c r="Y53" i="29"/>
  <c r="Z53" i="29" s="1"/>
  <c r="S53" i="29"/>
  <c r="U53" i="29" s="1"/>
  <c r="AB52" i="29"/>
  <c r="Y52" i="29"/>
  <c r="S52" i="29"/>
  <c r="U52" i="29" s="1"/>
  <c r="AB51" i="29"/>
  <c r="Z51" i="29"/>
  <c r="Y51" i="29"/>
  <c r="X51" i="29"/>
  <c r="S51" i="29"/>
  <c r="U51" i="29" s="1"/>
  <c r="AB50" i="29"/>
  <c r="Z50" i="29"/>
  <c r="Y50" i="29"/>
  <c r="S50" i="29"/>
  <c r="U50" i="29" s="1"/>
  <c r="AB49" i="29"/>
  <c r="Y49" i="29"/>
  <c r="Z49" i="29" s="1"/>
  <c r="S49" i="29"/>
  <c r="U49" i="29" s="1"/>
  <c r="AB48" i="29"/>
  <c r="Y48" i="29"/>
  <c r="S48" i="29"/>
  <c r="U48" i="29" s="1"/>
  <c r="AB47" i="29"/>
  <c r="Y47" i="29"/>
  <c r="S47" i="29"/>
  <c r="U47" i="29" s="1"/>
  <c r="AB46" i="29"/>
  <c r="Y46" i="29"/>
  <c r="Z46" i="29" s="1"/>
  <c r="S46" i="29"/>
  <c r="U46" i="29" s="1"/>
  <c r="AB45" i="29"/>
  <c r="AC45" i="29" s="1"/>
  <c r="Y45" i="29"/>
  <c r="Z45" i="29" s="1"/>
  <c r="S45" i="29"/>
  <c r="U45" i="29" s="1"/>
  <c r="AB44" i="29"/>
  <c r="Y44" i="29"/>
  <c r="S44" i="29"/>
  <c r="U44" i="29" s="1"/>
  <c r="AB43" i="29"/>
  <c r="Y43" i="29"/>
  <c r="S43" i="29"/>
  <c r="U43" i="29" s="1"/>
  <c r="AB42" i="29"/>
  <c r="Y42" i="29"/>
  <c r="S42" i="29"/>
  <c r="U42" i="29" s="1"/>
  <c r="AB41" i="29"/>
  <c r="AC41" i="29" s="1"/>
  <c r="Y41" i="29"/>
  <c r="Z41" i="29" s="1"/>
  <c r="S41" i="29"/>
  <c r="U41" i="29" s="1"/>
  <c r="AB40" i="29"/>
  <c r="Y40" i="29"/>
  <c r="S40" i="29"/>
  <c r="U40" i="29" s="1"/>
  <c r="AB39" i="29"/>
  <c r="Y39" i="29"/>
  <c r="AC39" i="29" s="1"/>
  <c r="X39" i="29"/>
  <c r="S39" i="29"/>
  <c r="U39" i="29" s="1"/>
  <c r="AB38" i="29"/>
  <c r="Y38" i="29"/>
  <c r="S38" i="29"/>
  <c r="U38" i="29" s="1"/>
  <c r="AB37" i="29"/>
  <c r="Y37" i="29"/>
  <c r="Z37" i="29" s="1"/>
  <c r="S37" i="29"/>
  <c r="U37" i="29" s="1"/>
  <c r="AB36" i="29"/>
  <c r="Y36" i="29"/>
  <c r="S36" i="29"/>
  <c r="U36" i="29" s="1"/>
  <c r="AB35" i="29"/>
  <c r="Y35" i="29"/>
  <c r="X35" i="29"/>
  <c r="S35" i="29"/>
  <c r="U35" i="29" s="1"/>
  <c r="AB34" i="29"/>
  <c r="Y34" i="29"/>
  <c r="S34" i="29"/>
  <c r="U34" i="29" s="1"/>
  <c r="AB33" i="29"/>
  <c r="Y33" i="29"/>
  <c r="Z33" i="29" s="1"/>
  <c r="S33" i="29"/>
  <c r="U33" i="29" s="1"/>
  <c r="AB32" i="29"/>
  <c r="Y32" i="29"/>
  <c r="S32" i="29"/>
  <c r="U32" i="29" s="1"/>
  <c r="AB31" i="29"/>
  <c r="Z31" i="29"/>
  <c r="Y31" i="29"/>
  <c r="AC31" i="29" s="1"/>
  <c r="U31" i="29"/>
  <c r="S31" i="29"/>
  <c r="AB30" i="29"/>
  <c r="Y30" i="29"/>
  <c r="X30" i="29"/>
  <c r="U30" i="29"/>
  <c r="S30" i="29"/>
  <c r="AB29" i="29"/>
  <c r="AC29" i="29" s="1"/>
  <c r="Z29" i="29"/>
  <c r="Y29" i="29"/>
  <c r="X29" i="29"/>
  <c r="U29" i="29"/>
  <c r="S29" i="29"/>
  <c r="AB28" i="29"/>
  <c r="AC28" i="29" s="1"/>
  <c r="Z28" i="29"/>
  <c r="Y28" i="29"/>
  <c r="S28" i="29"/>
  <c r="U28" i="29" s="1"/>
  <c r="X28" i="29" s="1"/>
  <c r="AB27" i="29"/>
  <c r="AC27" i="29" s="1"/>
  <c r="Z27" i="29"/>
  <c r="Y27" i="29"/>
  <c r="U27" i="29"/>
  <c r="S27" i="29"/>
  <c r="AB26" i="29"/>
  <c r="Y26" i="29"/>
  <c r="X26" i="29"/>
  <c r="U26" i="29"/>
  <c r="S26" i="29"/>
  <c r="AB25" i="29"/>
  <c r="AC25" i="29" s="1"/>
  <c r="Z25" i="29"/>
  <c r="Y25" i="29"/>
  <c r="X25" i="29"/>
  <c r="U25" i="29"/>
  <c r="S25" i="29"/>
  <c r="AB24" i="29"/>
  <c r="AC24" i="29" s="1"/>
  <c r="Z24" i="29"/>
  <c r="Y24" i="29"/>
  <c r="S24" i="29"/>
  <c r="U24" i="29" s="1"/>
  <c r="AB23" i="29"/>
  <c r="AC23" i="29" s="1"/>
  <c r="Z23" i="29"/>
  <c r="Y23" i="29"/>
  <c r="U23" i="29"/>
  <c r="S23" i="29"/>
  <c r="AB22" i="29"/>
  <c r="Y22" i="29"/>
  <c r="X22" i="29"/>
  <c r="U22" i="29"/>
  <c r="S22" i="29"/>
  <c r="AB21" i="29"/>
  <c r="AC21" i="29" s="1"/>
  <c r="Z21" i="29"/>
  <c r="Y21" i="29"/>
  <c r="X21" i="29"/>
  <c r="U21" i="29"/>
  <c r="S21" i="29"/>
  <c r="AC20" i="29"/>
  <c r="AB20" i="29"/>
  <c r="Z20" i="29"/>
  <c r="Y20" i="29"/>
  <c r="S20" i="29"/>
  <c r="U20" i="29" s="1"/>
  <c r="AB19" i="29"/>
  <c r="AC19" i="29" s="1"/>
  <c r="Z19" i="29"/>
  <c r="Y19" i="29"/>
  <c r="U19" i="29"/>
  <c r="S19" i="29"/>
  <c r="AB18" i="29"/>
  <c r="Y18" i="29"/>
  <c r="AC18" i="29" s="1"/>
  <c r="X18" i="29"/>
  <c r="U18" i="29"/>
  <c r="S18" i="29"/>
  <c r="AB17" i="29"/>
  <c r="AC17" i="29" s="1"/>
  <c r="Z17" i="29"/>
  <c r="Y17" i="29"/>
  <c r="X17" i="29"/>
  <c r="U17" i="29"/>
  <c r="S17" i="29"/>
  <c r="AC16" i="29"/>
  <c r="AB16" i="29"/>
  <c r="Z16" i="29"/>
  <c r="Y16" i="29"/>
  <c r="S16" i="29"/>
  <c r="U16" i="29" s="1"/>
  <c r="AB15" i="29"/>
  <c r="AC15" i="29" s="1"/>
  <c r="Z15" i="29"/>
  <c r="Y15" i="29"/>
  <c r="U15" i="29"/>
  <c r="S15" i="29"/>
  <c r="AB14" i="29"/>
  <c r="Y14" i="29"/>
  <c r="AC14" i="29" s="1"/>
  <c r="X14" i="29"/>
  <c r="U14" i="29"/>
  <c r="S14" i="29"/>
  <c r="AB13" i="29"/>
  <c r="AC13" i="29" s="1"/>
  <c r="Z13" i="29"/>
  <c r="Y13" i="29"/>
  <c r="S13" i="29"/>
  <c r="U13" i="29" s="1"/>
  <c r="AB12" i="29"/>
  <c r="AC12" i="29" s="1"/>
  <c r="Z12" i="29"/>
  <c r="Y12" i="29"/>
  <c r="S12" i="29"/>
  <c r="U12" i="29" s="1"/>
  <c r="AB11" i="29"/>
  <c r="AC11" i="29" s="1"/>
  <c r="Y11" i="29"/>
  <c r="Z11" i="29" s="1"/>
  <c r="U11" i="29"/>
  <c r="S11" i="29"/>
  <c r="AB10" i="29"/>
  <c r="Y10" i="29"/>
  <c r="AC10" i="29" s="1"/>
  <c r="X10" i="29"/>
  <c r="U10" i="29"/>
  <c r="S10" i="29"/>
  <c r="AB9" i="29"/>
  <c r="AC9" i="29" s="1"/>
  <c r="Z9" i="29"/>
  <c r="Y9" i="29"/>
  <c r="S9" i="29"/>
  <c r="U9" i="29" s="1"/>
  <c r="AB8" i="29"/>
  <c r="AC8" i="29" s="1"/>
  <c r="Z8" i="29"/>
  <c r="Y8" i="29"/>
  <c r="S8" i="29"/>
  <c r="U8" i="29" s="1"/>
  <c r="AB7" i="29"/>
  <c r="AC7" i="29" s="1"/>
  <c r="Y7" i="29"/>
  <c r="Z7" i="29" s="1"/>
  <c r="U7" i="29"/>
  <c r="S7" i="29"/>
  <c r="Z105" i="28"/>
  <c r="AJ100" i="28"/>
  <c r="AI100" i="28"/>
  <c r="AH100" i="28"/>
  <c r="AG100" i="28"/>
  <c r="AF100" i="28"/>
  <c r="AB98" i="28"/>
  <c r="AC98" i="28" s="1"/>
  <c r="Z98" i="28"/>
  <c r="Y98" i="28"/>
  <c r="S98" i="28"/>
  <c r="U98" i="28" s="1"/>
  <c r="AB97" i="28"/>
  <c r="AC97" i="28" s="1"/>
  <c r="Y97" i="28"/>
  <c r="Z97" i="28" s="1"/>
  <c r="U97" i="28"/>
  <c r="S97" i="28"/>
  <c r="AB96" i="28"/>
  <c r="Y96" i="28"/>
  <c r="AC96" i="28" s="1"/>
  <c r="X96" i="28"/>
  <c r="U96" i="28"/>
  <c r="S96" i="28"/>
  <c r="AB95" i="28"/>
  <c r="Z95" i="28"/>
  <c r="Y95" i="28"/>
  <c r="S95" i="28"/>
  <c r="U95" i="28" s="1"/>
  <c r="AB94" i="28"/>
  <c r="AC94" i="28" s="1"/>
  <c r="Z94" i="28"/>
  <c r="Y94" i="28"/>
  <c r="S94" i="28"/>
  <c r="U94" i="28" s="1"/>
  <c r="AB93" i="28"/>
  <c r="AC93" i="28" s="1"/>
  <c r="Y93" i="28"/>
  <c r="Z93" i="28" s="1"/>
  <c r="U93" i="28"/>
  <c r="S93" i="28"/>
  <c r="AB92" i="28"/>
  <c r="Y92" i="28"/>
  <c r="AC92" i="28" s="1"/>
  <c r="X92" i="28"/>
  <c r="U92" i="28"/>
  <c r="S92" i="28"/>
  <c r="AB91" i="28"/>
  <c r="Z91" i="28"/>
  <c r="Y91" i="28"/>
  <c r="AC91" i="28" s="1"/>
  <c r="X91" i="28"/>
  <c r="S91" i="28"/>
  <c r="U91" i="28" s="1"/>
  <c r="AB90" i="28"/>
  <c r="AC90" i="28" s="1"/>
  <c r="Z90" i="28"/>
  <c r="Y90" i="28"/>
  <c r="S90" i="28"/>
  <c r="U90" i="28" s="1"/>
  <c r="AB89" i="28"/>
  <c r="AC89" i="28" s="1"/>
  <c r="Y89" i="28"/>
  <c r="Z89" i="28" s="1"/>
  <c r="U89" i="28"/>
  <c r="S89" i="28"/>
  <c r="AB88" i="28"/>
  <c r="Y88" i="28"/>
  <c r="AC88" i="28" s="1"/>
  <c r="U88" i="28"/>
  <c r="S88" i="28"/>
  <c r="AB87" i="28"/>
  <c r="Z87" i="28"/>
  <c r="Y87" i="28"/>
  <c r="AC87" i="28" s="1"/>
  <c r="S87" i="28"/>
  <c r="U87" i="28" s="1"/>
  <c r="AB86" i="28"/>
  <c r="AC86" i="28" s="1"/>
  <c r="Z86" i="28"/>
  <c r="Y86" i="28"/>
  <c r="S86" i="28"/>
  <c r="U86" i="28" s="1"/>
  <c r="AB85" i="28"/>
  <c r="AC85" i="28" s="1"/>
  <c r="Y85" i="28"/>
  <c r="Z85" i="28" s="1"/>
  <c r="U85" i="28"/>
  <c r="X85" i="28" s="1"/>
  <c r="S85" i="28"/>
  <c r="AB84" i="28"/>
  <c r="Y84" i="28"/>
  <c r="AC84" i="28" s="1"/>
  <c r="U84" i="28"/>
  <c r="S84" i="28"/>
  <c r="AB83" i="28"/>
  <c r="Z83" i="28"/>
  <c r="Y83" i="28"/>
  <c r="X83" i="28"/>
  <c r="S83" i="28"/>
  <c r="U83" i="28" s="1"/>
  <c r="AB82" i="28"/>
  <c r="AC82" i="28" s="1"/>
  <c r="Z82" i="28"/>
  <c r="Y82" i="28"/>
  <c r="S82" i="28"/>
  <c r="U82" i="28" s="1"/>
  <c r="AB81" i="28"/>
  <c r="AC81" i="28" s="1"/>
  <c r="Y81" i="28"/>
  <c r="Z81" i="28" s="1"/>
  <c r="U81" i="28"/>
  <c r="S81" i="28"/>
  <c r="AB80" i="28"/>
  <c r="Y80" i="28"/>
  <c r="AC80" i="28" s="1"/>
  <c r="X80" i="28"/>
  <c r="U80" i="28"/>
  <c r="S80" i="28"/>
  <c r="AB79" i="28"/>
  <c r="Z79" i="28"/>
  <c r="Y79" i="28"/>
  <c r="S79" i="28"/>
  <c r="U79" i="28" s="1"/>
  <c r="AB78" i="28"/>
  <c r="AC78" i="28" s="1"/>
  <c r="Z78" i="28"/>
  <c r="Y78" i="28"/>
  <c r="S78" i="28"/>
  <c r="U78" i="28" s="1"/>
  <c r="AB77" i="28"/>
  <c r="AC77" i="28" s="1"/>
  <c r="Y77" i="28"/>
  <c r="Z77" i="28" s="1"/>
  <c r="U77" i="28"/>
  <c r="S77" i="28"/>
  <c r="AB76" i="28"/>
  <c r="Y76" i="28"/>
  <c r="AC76" i="28" s="1"/>
  <c r="U76" i="28"/>
  <c r="S76" i="28"/>
  <c r="AB75" i="28"/>
  <c r="Z75" i="28"/>
  <c r="Y75" i="28"/>
  <c r="S75" i="28"/>
  <c r="U75" i="28" s="1"/>
  <c r="AB74" i="28"/>
  <c r="AC74" i="28" s="1"/>
  <c r="Z74" i="28"/>
  <c r="Y74" i="28"/>
  <c r="S74" i="28"/>
  <c r="U74" i="28" s="1"/>
  <c r="AB73" i="28"/>
  <c r="AC73" i="28" s="1"/>
  <c r="Y73" i="28"/>
  <c r="Z73" i="28" s="1"/>
  <c r="S73" i="28"/>
  <c r="U73" i="28" s="1"/>
  <c r="X73" i="28" s="1"/>
  <c r="AB72" i="28"/>
  <c r="Y72" i="28"/>
  <c r="S72" i="28"/>
  <c r="U72" i="28" s="1"/>
  <c r="AB71" i="28"/>
  <c r="Z71" i="28"/>
  <c r="Y71" i="28"/>
  <c r="X71" i="28"/>
  <c r="S71" i="28"/>
  <c r="U71" i="28" s="1"/>
  <c r="AC70" i="28"/>
  <c r="AB70" i="28"/>
  <c r="Z70" i="28"/>
  <c r="Y70" i="28"/>
  <c r="S70" i="28"/>
  <c r="U70" i="28" s="1"/>
  <c r="AB69" i="28"/>
  <c r="Y69" i="28"/>
  <c r="Z69" i="28" s="1"/>
  <c r="U69" i="28"/>
  <c r="S69" i="28"/>
  <c r="AB68" i="28"/>
  <c r="Y68" i="28"/>
  <c r="X68" i="28"/>
  <c r="U68" i="28"/>
  <c r="S68" i="28"/>
  <c r="AB67" i="28"/>
  <c r="Z67" i="28"/>
  <c r="Y67" i="28"/>
  <c r="X67" i="28"/>
  <c r="S67" i="28"/>
  <c r="U67" i="28" s="1"/>
  <c r="AB66" i="28"/>
  <c r="Z66" i="28"/>
  <c r="Y66" i="28"/>
  <c r="AC66" i="28" s="1"/>
  <c r="S66" i="28"/>
  <c r="U66" i="28" s="1"/>
  <c r="AB65" i="28"/>
  <c r="Y65" i="28"/>
  <c r="Z65" i="28" s="1"/>
  <c r="U65" i="28"/>
  <c r="S65" i="28"/>
  <c r="AB64" i="28"/>
  <c r="Y64" i="28"/>
  <c r="U64" i="28"/>
  <c r="X64" i="28" s="1"/>
  <c r="S64" i="28"/>
  <c r="AB63" i="28"/>
  <c r="Y63" i="28"/>
  <c r="AC63" i="28" s="1"/>
  <c r="S63" i="28"/>
  <c r="U63" i="28" s="1"/>
  <c r="AB62" i="28"/>
  <c r="AC62" i="28" s="1"/>
  <c r="Y62" i="28"/>
  <c r="Z62" i="28" s="1"/>
  <c r="S62" i="28"/>
  <c r="U62" i="28" s="1"/>
  <c r="AB61" i="28"/>
  <c r="AC61" i="28" s="1"/>
  <c r="Y61" i="28"/>
  <c r="Z61" i="28" s="1"/>
  <c r="U61" i="28"/>
  <c r="S61" i="28"/>
  <c r="AB60" i="28"/>
  <c r="Y60" i="28"/>
  <c r="U60" i="28"/>
  <c r="S60" i="28"/>
  <c r="AB59" i="28"/>
  <c r="Z59" i="28"/>
  <c r="Y59" i="28"/>
  <c r="S59" i="28"/>
  <c r="U59" i="28" s="1"/>
  <c r="AB58" i="28"/>
  <c r="AC58" i="28" s="1"/>
  <c r="Z58" i="28"/>
  <c r="Y58" i="28"/>
  <c r="S58" i="28"/>
  <c r="U58" i="28" s="1"/>
  <c r="X58" i="28" s="1"/>
  <c r="AC57" i="28"/>
  <c r="AB57" i="28"/>
  <c r="Y57" i="28"/>
  <c r="Z57" i="28" s="1"/>
  <c r="S57" i="28"/>
  <c r="U57" i="28" s="1"/>
  <c r="AB56" i="28"/>
  <c r="Y56" i="28"/>
  <c r="S56" i="28"/>
  <c r="U56" i="28" s="1"/>
  <c r="AB55" i="28"/>
  <c r="Z55" i="28"/>
  <c r="Y55" i="28"/>
  <c r="AC55" i="28" s="1"/>
  <c r="X55" i="28"/>
  <c r="AD55" i="28" s="1"/>
  <c r="AE55" i="28" s="1"/>
  <c r="S55" i="28"/>
  <c r="U55" i="28" s="1"/>
  <c r="AC54" i="28"/>
  <c r="AB54" i="28"/>
  <c r="Z54" i="28"/>
  <c r="Y54" i="28"/>
  <c r="S54" i="28"/>
  <c r="U54" i="28" s="1"/>
  <c r="AB53" i="28"/>
  <c r="Y53" i="28"/>
  <c r="Z53" i="28" s="1"/>
  <c r="U53" i="28"/>
  <c r="S53" i="28"/>
  <c r="AB52" i="28"/>
  <c r="Y52" i="28"/>
  <c r="X52" i="28"/>
  <c r="U52" i="28"/>
  <c r="S52" i="28"/>
  <c r="AB51" i="28"/>
  <c r="Z51" i="28"/>
  <c r="Y51" i="28"/>
  <c r="X51" i="28"/>
  <c r="S51" i="28"/>
  <c r="U51" i="28" s="1"/>
  <c r="AB50" i="28"/>
  <c r="Z50" i="28"/>
  <c r="Y50" i="28"/>
  <c r="S50" i="28"/>
  <c r="U50" i="28" s="1"/>
  <c r="AB49" i="28"/>
  <c r="Y49" i="28"/>
  <c r="Z49" i="28" s="1"/>
  <c r="U49" i="28"/>
  <c r="S49" i="28"/>
  <c r="AB48" i="28"/>
  <c r="Y48" i="28"/>
  <c r="U48" i="28"/>
  <c r="S48" i="28"/>
  <c r="AB47" i="28"/>
  <c r="Y47" i="28"/>
  <c r="AC47" i="28" s="1"/>
  <c r="S47" i="28"/>
  <c r="U47" i="28" s="1"/>
  <c r="AC46" i="28"/>
  <c r="AB46" i="28"/>
  <c r="Y46" i="28"/>
  <c r="Z46" i="28" s="1"/>
  <c r="S46" i="28"/>
  <c r="U46" i="28" s="1"/>
  <c r="AB45" i="28"/>
  <c r="AC45" i="28" s="1"/>
  <c r="Y45" i="28"/>
  <c r="Z45" i="28" s="1"/>
  <c r="U45" i="28"/>
  <c r="S45" i="28"/>
  <c r="AB44" i="28"/>
  <c r="Y44" i="28"/>
  <c r="U44" i="28"/>
  <c r="S44" i="28"/>
  <c r="AB43" i="28"/>
  <c r="Z43" i="28"/>
  <c r="Y43" i="28"/>
  <c r="S43" i="28"/>
  <c r="U43" i="28" s="1"/>
  <c r="AB42" i="28"/>
  <c r="AC42" i="28" s="1"/>
  <c r="Z42" i="28"/>
  <c r="Y42" i="28"/>
  <c r="S42" i="28"/>
  <c r="U42" i="28" s="1"/>
  <c r="AB41" i="28"/>
  <c r="AC41" i="28" s="1"/>
  <c r="Y41" i="28"/>
  <c r="Z41" i="28" s="1"/>
  <c r="S41" i="28"/>
  <c r="U41" i="28" s="1"/>
  <c r="AB40" i="28"/>
  <c r="Y40" i="28"/>
  <c r="S40" i="28"/>
  <c r="U40" i="28" s="1"/>
  <c r="X40" i="28" s="1"/>
  <c r="AB39" i="28"/>
  <c r="Z39" i="28"/>
  <c r="Y39" i="28"/>
  <c r="AC39" i="28" s="1"/>
  <c r="X39" i="28"/>
  <c r="S39" i="28"/>
  <c r="U39" i="28" s="1"/>
  <c r="AB38" i="28"/>
  <c r="AC38" i="28" s="1"/>
  <c r="Z38" i="28"/>
  <c r="Y38" i="28"/>
  <c r="S38" i="28"/>
  <c r="U38" i="28" s="1"/>
  <c r="AB37" i="28"/>
  <c r="Y37" i="28"/>
  <c r="Z37" i="28" s="1"/>
  <c r="U37" i="28"/>
  <c r="S37" i="28"/>
  <c r="AB36" i="28"/>
  <c r="Y36" i="28"/>
  <c r="X36" i="28"/>
  <c r="U36" i="28"/>
  <c r="S36" i="28"/>
  <c r="AB35" i="28"/>
  <c r="Z35" i="28"/>
  <c r="Y35" i="28"/>
  <c r="X35" i="28"/>
  <c r="S35" i="28"/>
  <c r="U35" i="28" s="1"/>
  <c r="AB34" i="28"/>
  <c r="Z34" i="28"/>
  <c r="Y34" i="28"/>
  <c r="S34" i="28"/>
  <c r="U34" i="28" s="1"/>
  <c r="AB33" i="28"/>
  <c r="Y33" i="28"/>
  <c r="Z33" i="28" s="1"/>
  <c r="U33" i="28"/>
  <c r="S33" i="28"/>
  <c r="AB32" i="28"/>
  <c r="Y32" i="28"/>
  <c r="U32" i="28"/>
  <c r="S32" i="28"/>
  <c r="AB31" i="28"/>
  <c r="Y31" i="28"/>
  <c r="AC31" i="28" s="1"/>
  <c r="U31" i="28"/>
  <c r="S31" i="28"/>
  <c r="AB30" i="28"/>
  <c r="Y30" i="28"/>
  <c r="AC30" i="28" s="1"/>
  <c r="X30" i="28"/>
  <c r="U30" i="28"/>
  <c r="S30" i="28"/>
  <c r="AB29" i="28"/>
  <c r="Z29" i="28"/>
  <c r="Y29" i="28"/>
  <c r="S29" i="28"/>
  <c r="U29" i="28" s="1"/>
  <c r="AB28" i="28"/>
  <c r="AC28" i="28" s="1"/>
  <c r="Z28" i="28"/>
  <c r="Y28" i="28"/>
  <c r="S28" i="28"/>
  <c r="U28" i="28" s="1"/>
  <c r="X28" i="28" s="1"/>
  <c r="AB27" i="28"/>
  <c r="Y27" i="28"/>
  <c r="AC27" i="28" s="1"/>
  <c r="U27" i="28"/>
  <c r="S27" i="28"/>
  <c r="AB26" i="28"/>
  <c r="Y26" i="28"/>
  <c r="AC26" i="28" s="1"/>
  <c r="X26" i="28"/>
  <c r="U26" i="28"/>
  <c r="S26" i="28"/>
  <c r="AB25" i="28"/>
  <c r="Z25" i="28"/>
  <c r="Y25" i="28"/>
  <c r="S25" i="28"/>
  <c r="U25" i="28" s="1"/>
  <c r="X25" i="28" s="1"/>
  <c r="AB24" i="28"/>
  <c r="AC24" i="28" s="1"/>
  <c r="Z24" i="28"/>
  <c r="Y24" i="28"/>
  <c r="S24" i="28"/>
  <c r="U24" i="28" s="1"/>
  <c r="AB23" i="28"/>
  <c r="Y23" i="28"/>
  <c r="U23" i="28"/>
  <c r="S23" i="28"/>
  <c r="AB22" i="28"/>
  <c r="Y22" i="28"/>
  <c r="AC22" i="28" s="1"/>
  <c r="X22" i="28"/>
  <c r="U22" i="28"/>
  <c r="S22" i="28"/>
  <c r="AB21" i="28"/>
  <c r="Z21" i="28"/>
  <c r="Y21" i="28"/>
  <c r="AC21" i="28" s="1"/>
  <c r="S21" i="28"/>
  <c r="U21" i="28" s="1"/>
  <c r="AB20" i="28"/>
  <c r="AC20" i="28" s="1"/>
  <c r="Z20" i="28"/>
  <c r="Y20" i="28"/>
  <c r="S20" i="28"/>
  <c r="U20" i="28" s="1"/>
  <c r="AB19" i="28"/>
  <c r="Y19" i="28"/>
  <c r="AC19" i="28" s="1"/>
  <c r="U19" i="28"/>
  <c r="S19" i="28"/>
  <c r="AB18" i="28"/>
  <c r="Y18" i="28"/>
  <c r="AC18" i="28" s="1"/>
  <c r="X18" i="28"/>
  <c r="U18" i="28"/>
  <c r="S18" i="28"/>
  <c r="AB17" i="28"/>
  <c r="Z17" i="28"/>
  <c r="Y17" i="28"/>
  <c r="S17" i="28"/>
  <c r="U17" i="28" s="1"/>
  <c r="AB16" i="28"/>
  <c r="AC16" i="28" s="1"/>
  <c r="Z16" i="28"/>
  <c r="Y16" i="28"/>
  <c r="S16" i="28"/>
  <c r="U16" i="28" s="1"/>
  <c r="X16" i="28" s="1"/>
  <c r="AB15" i="28"/>
  <c r="Y15" i="28"/>
  <c r="AC15" i="28" s="1"/>
  <c r="U15" i="28"/>
  <c r="S15" i="28"/>
  <c r="AB14" i="28"/>
  <c r="Y14" i="28"/>
  <c r="AC14" i="28" s="1"/>
  <c r="X14" i="28"/>
  <c r="U14" i="28"/>
  <c r="S14" i="28"/>
  <c r="AB13" i="28"/>
  <c r="Z13" i="28"/>
  <c r="Y13" i="28"/>
  <c r="S13" i="28"/>
  <c r="U13" i="28" s="1"/>
  <c r="X13" i="28" s="1"/>
  <c r="AB12" i="28"/>
  <c r="AC12" i="28" s="1"/>
  <c r="Z12" i="28"/>
  <c r="Y12" i="28"/>
  <c r="S12" i="28"/>
  <c r="U12" i="28" s="1"/>
  <c r="AB11" i="28"/>
  <c r="Y11" i="28"/>
  <c r="U11" i="28"/>
  <c r="S11" i="28"/>
  <c r="AB10" i="28"/>
  <c r="Y10" i="28"/>
  <c r="AC10" i="28" s="1"/>
  <c r="X10" i="28"/>
  <c r="U10" i="28"/>
  <c r="S10" i="28"/>
  <c r="AB9" i="28"/>
  <c r="Z9" i="28"/>
  <c r="Y9" i="28"/>
  <c r="AC9" i="28" s="1"/>
  <c r="S9" i="28"/>
  <c r="U9" i="28" s="1"/>
  <c r="AB8" i="28"/>
  <c r="AC8" i="28" s="1"/>
  <c r="Z8" i="28"/>
  <c r="Y8" i="28"/>
  <c r="S8" i="28"/>
  <c r="U8" i="28" s="1"/>
  <c r="X8" i="28" s="1"/>
  <c r="AB7" i="28"/>
  <c r="Y7" i="28"/>
  <c r="AC7" i="28" s="1"/>
  <c r="S7" i="28"/>
  <c r="U7" i="28" s="1"/>
  <c r="Z73" i="27"/>
  <c r="AJ68" i="27"/>
  <c r="AI68" i="27"/>
  <c r="AH68" i="27"/>
  <c r="AG68" i="27"/>
  <c r="AF68" i="27"/>
  <c r="AB66" i="27"/>
  <c r="Y66" i="27"/>
  <c r="S66" i="27"/>
  <c r="U66" i="27" s="1"/>
  <c r="AB65" i="27"/>
  <c r="AC65" i="27" s="1"/>
  <c r="Y65" i="27"/>
  <c r="Z65" i="27" s="1"/>
  <c r="S65" i="27"/>
  <c r="U65" i="27" s="1"/>
  <c r="AB64" i="27"/>
  <c r="Y64" i="27"/>
  <c r="U64" i="27"/>
  <c r="S64" i="27"/>
  <c r="AB63" i="27"/>
  <c r="Y63" i="27"/>
  <c r="S63" i="27"/>
  <c r="U63" i="27" s="1"/>
  <c r="AB62" i="27"/>
  <c r="Y62" i="27"/>
  <c r="S62" i="27"/>
  <c r="U62" i="27" s="1"/>
  <c r="AB61" i="27"/>
  <c r="Y61" i="27"/>
  <c r="Z61" i="27" s="1"/>
  <c r="S61" i="27"/>
  <c r="U61" i="27" s="1"/>
  <c r="AB60" i="27"/>
  <c r="Y60" i="27"/>
  <c r="S60" i="27"/>
  <c r="U60" i="27" s="1"/>
  <c r="AB59" i="27"/>
  <c r="AB58" i="27"/>
  <c r="Y58" i="27"/>
  <c r="Z58" i="27" s="1"/>
  <c r="S58" i="27"/>
  <c r="U58" i="27" s="1"/>
  <c r="AB57" i="27"/>
  <c r="Y57" i="27"/>
  <c r="Z57" i="27" s="1"/>
  <c r="S57" i="27"/>
  <c r="U57" i="27" s="1"/>
  <c r="AB56" i="27"/>
  <c r="Y56" i="27"/>
  <c r="S56" i="27"/>
  <c r="U56" i="27" s="1"/>
  <c r="AB55" i="27"/>
  <c r="Y55" i="27"/>
  <c r="Z55" i="27" s="1"/>
  <c r="S55" i="27"/>
  <c r="U55" i="27" s="1"/>
  <c r="AB54" i="27"/>
  <c r="Y54" i="27"/>
  <c r="S54" i="27"/>
  <c r="U54" i="27" s="1"/>
  <c r="AB53" i="27"/>
  <c r="Y53" i="27"/>
  <c r="Z53" i="27" s="1"/>
  <c r="S53" i="27"/>
  <c r="U53" i="27" s="1"/>
  <c r="AB52" i="27"/>
  <c r="Y52" i="27"/>
  <c r="S52" i="27"/>
  <c r="U52" i="27" s="1"/>
  <c r="AB51" i="27"/>
  <c r="Y51" i="27"/>
  <c r="S51" i="27"/>
  <c r="U51" i="27" s="1"/>
  <c r="AB50" i="27"/>
  <c r="Y50" i="27"/>
  <c r="S50" i="27"/>
  <c r="U50" i="27" s="1"/>
  <c r="AB49" i="27"/>
  <c r="Y49" i="27"/>
  <c r="Z49" i="27" s="1"/>
  <c r="S49" i="27"/>
  <c r="U49" i="27" s="1"/>
  <c r="AB48" i="27"/>
  <c r="Y48" i="27"/>
  <c r="S48" i="27"/>
  <c r="U48" i="27" s="1"/>
  <c r="AB47" i="27"/>
  <c r="Y47" i="27"/>
  <c r="S47" i="27"/>
  <c r="U47" i="27" s="1"/>
  <c r="AB46" i="27"/>
  <c r="Y46" i="27"/>
  <c r="S46" i="27"/>
  <c r="U46" i="27" s="1"/>
  <c r="AB45" i="27"/>
  <c r="Y45" i="27"/>
  <c r="Z45" i="27" s="1"/>
  <c r="S45" i="27"/>
  <c r="U45" i="27" s="1"/>
  <c r="AB44" i="27"/>
  <c r="Y44" i="27"/>
  <c r="S44" i="27"/>
  <c r="U44" i="27" s="1"/>
  <c r="AB43" i="27"/>
  <c r="AB42" i="27"/>
  <c r="AC42" i="27" s="1"/>
  <c r="Y42" i="27"/>
  <c r="Z42" i="27" s="1"/>
  <c r="S42" i="27"/>
  <c r="U42" i="27" s="1"/>
  <c r="AC41" i="27"/>
  <c r="AB41" i="27"/>
  <c r="Z41" i="27"/>
  <c r="AB40" i="27"/>
  <c r="Y40" i="27"/>
  <c r="S40" i="27"/>
  <c r="U40" i="27" s="1"/>
  <c r="AB39" i="27"/>
  <c r="Z39" i="27"/>
  <c r="AB38" i="27"/>
  <c r="Y38" i="27"/>
  <c r="S38" i="27"/>
  <c r="U38" i="27" s="1"/>
  <c r="AB37" i="27"/>
  <c r="Z37" i="27"/>
  <c r="S37" i="27"/>
  <c r="U37" i="27" s="1"/>
  <c r="AB36" i="27"/>
  <c r="Y36" i="27"/>
  <c r="S36" i="27"/>
  <c r="U36" i="27" s="1"/>
  <c r="AB35" i="27"/>
  <c r="S35" i="27"/>
  <c r="U35" i="27" s="1"/>
  <c r="AB28" i="27"/>
  <c r="AC28" i="27"/>
  <c r="S28" i="27"/>
  <c r="U28" i="27" s="1"/>
  <c r="AB27" i="27"/>
  <c r="Y27" i="27"/>
  <c r="Z27" i="27" s="1"/>
  <c r="U27" i="27"/>
  <c r="S27" i="27"/>
  <c r="AB26" i="27"/>
  <c r="Y26" i="27"/>
  <c r="Z26" i="27" s="1"/>
  <c r="S26" i="27"/>
  <c r="U26" i="27" s="1"/>
  <c r="AB25" i="27"/>
  <c r="AC25" i="27" s="1"/>
  <c r="Z25" i="27"/>
  <c r="Y25" i="27"/>
  <c r="U25" i="27"/>
  <c r="X25" i="27" s="1"/>
  <c r="S25" i="27"/>
  <c r="AB24" i="27"/>
  <c r="AC24" i="27"/>
  <c r="S24" i="27"/>
  <c r="U24" i="27" s="1"/>
  <c r="AB23" i="27"/>
  <c r="AC23" i="27" s="1"/>
  <c r="Z23" i="27"/>
  <c r="Y23" i="27"/>
  <c r="S23" i="27"/>
  <c r="U23" i="27" s="1"/>
  <c r="X23" i="27" s="1"/>
  <c r="AB22" i="27"/>
  <c r="Z22" i="27"/>
  <c r="AC22" i="27"/>
  <c r="S22" i="27"/>
  <c r="U22" i="27" s="1"/>
  <c r="AB21" i="27"/>
  <c r="Y21" i="27"/>
  <c r="AC21" i="27" s="1"/>
  <c r="S21" i="27"/>
  <c r="U21" i="27" s="1"/>
  <c r="AB20" i="27"/>
  <c r="Y20" i="27"/>
  <c r="S20" i="27"/>
  <c r="U20" i="27" s="1"/>
  <c r="AB19" i="27"/>
  <c r="AC19" i="27" s="1"/>
  <c r="Z19" i="27"/>
  <c r="Y19" i="27"/>
  <c r="S19" i="27"/>
  <c r="U19" i="27" s="1"/>
  <c r="X19" i="27" s="1"/>
  <c r="AB18" i="27"/>
  <c r="Z18" i="27"/>
  <c r="S18" i="27"/>
  <c r="U18" i="27" s="1"/>
  <c r="AB17" i="27"/>
  <c r="Y17" i="27"/>
  <c r="S17" i="27"/>
  <c r="U17" i="27" s="1"/>
  <c r="AB16" i="27"/>
  <c r="Y16" i="27"/>
  <c r="U16" i="27"/>
  <c r="S16" i="27"/>
  <c r="AB15" i="27"/>
  <c r="S15" i="27"/>
  <c r="U15" i="27" s="1"/>
  <c r="AB14" i="27"/>
  <c r="AC14" i="27" s="1"/>
  <c r="Z14" i="27"/>
  <c r="Y14" i="27"/>
  <c r="S14" i="27"/>
  <c r="U14" i="27" s="1"/>
  <c r="AB13" i="27"/>
  <c r="AC13" i="27"/>
  <c r="S13" i="27"/>
  <c r="U13" i="27" s="1"/>
  <c r="AB12" i="27"/>
  <c r="Y12" i="27"/>
  <c r="U12" i="27"/>
  <c r="S12" i="27"/>
  <c r="AB11" i="27"/>
  <c r="Y11" i="27"/>
  <c r="S11" i="27"/>
  <c r="U11" i="27" s="1"/>
  <c r="AB10" i="27"/>
  <c r="AC10" i="27" s="1"/>
  <c r="Z10" i="27"/>
  <c r="AB9" i="27"/>
  <c r="AC9" i="27" s="1"/>
  <c r="Z9" i="27"/>
  <c r="AB8" i="27"/>
  <c r="AC8" i="27" s="1"/>
  <c r="AB7" i="27"/>
  <c r="AC7" i="27" s="1"/>
  <c r="Z7" i="27"/>
  <c r="AJ33" i="26"/>
  <c r="AI33" i="26"/>
  <c r="AH33" i="26"/>
  <c r="AG33" i="26"/>
  <c r="AF33" i="26"/>
  <c r="AB7" i="26"/>
  <c r="AC7" i="26" s="1"/>
  <c r="Z7" i="26"/>
  <c r="Y52" i="23"/>
  <c r="S52" i="23"/>
  <c r="U52" i="23" s="1"/>
  <c r="Y51" i="23"/>
  <c r="S51" i="23"/>
  <c r="U51" i="23" s="1"/>
  <c r="Y50" i="23"/>
  <c r="S50" i="23"/>
  <c r="U50" i="23" s="1"/>
  <c r="Y49" i="23"/>
  <c r="U49" i="23"/>
  <c r="S49" i="23"/>
  <c r="Y48" i="23"/>
  <c r="S48" i="23"/>
  <c r="U48" i="23" s="1"/>
  <c r="Y47" i="23"/>
  <c r="S47" i="23"/>
  <c r="U47" i="23" s="1"/>
  <c r="Y46" i="23"/>
  <c r="S46" i="23"/>
  <c r="U46" i="23" s="1"/>
  <c r="Y45" i="23"/>
  <c r="S45" i="23"/>
  <c r="U45" i="23" s="1"/>
  <c r="Y44" i="23"/>
  <c r="S44" i="23"/>
  <c r="U44" i="23" s="1"/>
  <c r="Y38" i="23"/>
  <c r="S38" i="23"/>
  <c r="U38" i="23" s="1"/>
  <c r="Y37" i="23"/>
  <c r="S37" i="23"/>
  <c r="U37" i="23" s="1"/>
  <c r="Y36" i="23"/>
  <c r="S36" i="23"/>
  <c r="U36" i="23" s="1"/>
  <c r="X36" i="23" s="1"/>
  <c r="Y35" i="23"/>
  <c r="S35" i="23"/>
  <c r="U35" i="23" s="1"/>
  <c r="Y34" i="23"/>
  <c r="S34" i="23"/>
  <c r="U34" i="23" s="1"/>
  <c r="Y33" i="23"/>
  <c r="S33" i="23"/>
  <c r="U33" i="23" s="1"/>
  <c r="Y32" i="23"/>
  <c r="U32" i="23"/>
  <c r="S32" i="23"/>
  <c r="Y31" i="23"/>
  <c r="S31" i="23"/>
  <c r="U31" i="23" s="1"/>
  <c r="X31" i="23" s="1"/>
  <c r="Y30" i="23"/>
  <c r="S30" i="23"/>
  <c r="U30" i="23" s="1"/>
  <c r="Y29" i="23"/>
  <c r="U29" i="23"/>
  <c r="S29" i="23"/>
  <c r="Y28" i="23"/>
  <c r="S28" i="23"/>
  <c r="U28" i="23" s="1"/>
  <c r="Y27" i="23"/>
  <c r="U27" i="23"/>
  <c r="S27" i="23"/>
  <c r="Y26" i="23"/>
  <c r="S26" i="23"/>
  <c r="U26" i="23" s="1"/>
  <c r="Y25" i="23"/>
  <c r="S25" i="23"/>
  <c r="U25" i="23" s="1"/>
  <c r="Y24" i="23"/>
  <c r="S24" i="23"/>
  <c r="U24" i="23" s="1"/>
  <c r="X24" i="23" s="1"/>
  <c r="Y23" i="23"/>
  <c r="S23" i="23"/>
  <c r="U23" i="23" s="1"/>
  <c r="Y22" i="23"/>
  <c r="S22" i="23"/>
  <c r="U22" i="23" s="1"/>
  <c r="Y21" i="23"/>
  <c r="S21" i="23"/>
  <c r="U21" i="23" s="1"/>
  <c r="Y20" i="23"/>
  <c r="S20" i="23"/>
  <c r="U20" i="23" s="1"/>
  <c r="Y19" i="23"/>
  <c r="S19" i="23"/>
  <c r="U19" i="23" s="1"/>
  <c r="Y18" i="23"/>
  <c r="U18" i="23"/>
  <c r="X18" i="23" s="1"/>
  <c r="S18" i="23"/>
  <c r="Y17" i="23"/>
  <c r="S17" i="23"/>
  <c r="U17" i="23" s="1"/>
  <c r="Y16" i="23"/>
  <c r="S16" i="23"/>
  <c r="U16" i="23" s="1"/>
  <c r="Y15" i="23"/>
  <c r="S15" i="23"/>
  <c r="U15" i="23" s="1"/>
  <c r="Y14" i="23"/>
  <c r="S14" i="23"/>
  <c r="U14" i="23" s="1"/>
  <c r="Y13" i="23"/>
  <c r="U13" i="23"/>
  <c r="S13" i="23"/>
  <c r="Y12" i="23"/>
  <c r="S12" i="23"/>
  <c r="U12" i="23" s="1"/>
  <c r="Y11" i="23"/>
  <c r="U11" i="23"/>
  <c r="S11" i="23"/>
  <c r="Y10" i="23"/>
  <c r="S10" i="23"/>
  <c r="U10" i="23" s="1"/>
  <c r="Y9" i="23"/>
  <c r="S9" i="23"/>
  <c r="U9" i="23" s="1"/>
  <c r="X9" i="23" s="1"/>
  <c r="Y8" i="23"/>
  <c r="S8" i="23"/>
  <c r="U8" i="23" s="1"/>
  <c r="Y7" i="23"/>
  <c r="S7" i="23"/>
  <c r="U7" i="23" s="1"/>
  <c r="Y52" i="22"/>
  <c r="Y51" i="22"/>
  <c r="Y53" i="22"/>
  <c r="Y50" i="22"/>
  <c r="Y54" i="22"/>
  <c r="Y58" i="22"/>
  <c r="S58" i="22"/>
  <c r="U58" i="22" s="1"/>
  <c r="Y59" i="22"/>
  <c r="S59" i="22"/>
  <c r="U59" i="22" s="1"/>
  <c r="Y57" i="22"/>
  <c r="S57" i="22"/>
  <c r="U57" i="22" s="1"/>
  <c r="Y43" i="22"/>
  <c r="S43" i="22"/>
  <c r="U43" i="22" s="1"/>
  <c r="Y39" i="22"/>
  <c r="Y42" i="22"/>
  <c r="S42" i="22"/>
  <c r="U42" i="22" s="1"/>
  <c r="X42" i="22" s="1"/>
  <c r="Y34" i="22"/>
  <c r="Y35" i="22"/>
  <c r="Y37" i="22"/>
  <c r="Y25" i="22"/>
  <c r="S25" i="22"/>
  <c r="U25" i="22" s="1"/>
  <c r="Y24" i="22"/>
  <c r="S24" i="22"/>
  <c r="U24" i="22" s="1"/>
  <c r="Y23" i="22"/>
  <c r="S23" i="22"/>
  <c r="U23" i="22" s="1"/>
  <c r="Y22" i="22"/>
  <c r="U22" i="22"/>
  <c r="S22" i="22"/>
  <c r="Y21" i="22"/>
  <c r="U21" i="22"/>
  <c r="S21" i="22"/>
  <c r="Y20" i="22"/>
  <c r="S20" i="22"/>
  <c r="U20" i="22" s="1"/>
  <c r="Y19" i="22"/>
  <c r="X19" i="22"/>
  <c r="U19" i="22"/>
  <c r="S19" i="22"/>
  <c r="Y18" i="22"/>
  <c r="S18" i="22"/>
  <c r="U18" i="22" s="1"/>
  <c r="Y17" i="22"/>
  <c r="S17" i="22"/>
  <c r="U17" i="22" s="1"/>
  <c r="Y16" i="22"/>
  <c r="S16" i="22"/>
  <c r="U16" i="22" s="1"/>
  <c r="Y15" i="22"/>
  <c r="S15" i="22"/>
  <c r="U15" i="22" s="1"/>
  <c r="Y14" i="22"/>
  <c r="U14" i="22"/>
  <c r="S14" i="22"/>
  <c r="Y13" i="22"/>
  <c r="U13" i="22"/>
  <c r="S13" i="22"/>
  <c r="Y12" i="22"/>
  <c r="S12" i="22"/>
  <c r="U12" i="22" s="1"/>
  <c r="Y11" i="22"/>
  <c r="X11" i="22"/>
  <c r="U11" i="22"/>
  <c r="S11" i="22"/>
  <c r="Y10" i="22"/>
  <c r="S10" i="22"/>
  <c r="U10" i="22" s="1"/>
  <c r="Y9" i="22"/>
  <c r="S9" i="22"/>
  <c r="U9" i="22" s="1"/>
  <c r="Y8" i="22"/>
  <c r="S8" i="22"/>
  <c r="U8" i="22" s="1"/>
  <c r="Y7" i="22"/>
  <c r="S7" i="22"/>
  <c r="U7" i="22" s="1"/>
  <c r="Y28" i="22"/>
  <c r="S28" i="22"/>
  <c r="U28" i="22" s="1"/>
  <c r="Y43" i="25"/>
  <c r="U43" i="25"/>
  <c r="X43" i="25" s="1"/>
  <c r="S43" i="25"/>
  <c r="Y42" i="25"/>
  <c r="S42" i="25"/>
  <c r="U42" i="25" s="1"/>
  <c r="Y25" i="25"/>
  <c r="Y36" i="25"/>
  <c r="Y37" i="25"/>
  <c r="Y39" i="25"/>
  <c r="Y38" i="25"/>
  <c r="Y35" i="25"/>
  <c r="Y23" i="25"/>
  <c r="Y28" i="25"/>
  <c r="S28" i="25"/>
  <c r="U28" i="25" s="1"/>
  <c r="AC63" i="27" l="1"/>
  <c r="AC22" i="29"/>
  <c r="AC26" i="29"/>
  <c r="AC30" i="29"/>
  <c r="AD30" i="29" s="1"/>
  <c r="AE30" i="29" s="1"/>
  <c r="AC55" i="29"/>
  <c r="AD55" i="29" s="1"/>
  <c r="AE55" i="29" s="1"/>
  <c r="AC96" i="29"/>
  <c r="AC71" i="28"/>
  <c r="AD71" i="28" s="1"/>
  <c r="AE71" i="28" s="1"/>
  <c r="AC83" i="28"/>
  <c r="AC17" i="27"/>
  <c r="AC11" i="28"/>
  <c r="AD16" i="28"/>
  <c r="AE16" i="28" s="1"/>
  <c r="AC17" i="28"/>
  <c r="AC23" i="28"/>
  <c r="AD28" i="28"/>
  <c r="AE28" i="28" s="1"/>
  <c r="AC29" i="28"/>
  <c r="AC34" i="29"/>
  <c r="AC38" i="29"/>
  <c r="AC42" i="29"/>
  <c r="AC50" i="29"/>
  <c r="AC92" i="29"/>
  <c r="AC95" i="29"/>
  <c r="AC34" i="28"/>
  <c r="AC79" i="28"/>
  <c r="AC95" i="28"/>
  <c r="AC13" i="28"/>
  <c r="AD13" i="28" s="1"/>
  <c r="AE13" i="28" s="1"/>
  <c r="AC25" i="28"/>
  <c r="AD39" i="28"/>
  <c r="AE39" i="28" s="1"/>
  <c r="AC50" i="28"/>
  <c r="AC54" i="29"/>
  <c r="AC58" i="29"/>
  <c r="AC71" i="29"/>
  <c r="AC88" i="29"/>
  <c r="AC91" i="29"/>
  <c r="AD91" i="29" s="1"/>
  <c r="AE91" i="29" s="1"/>
  <c r="X21" i="27"/>
  <c r="X19" i="28"/>
  <c r="AD19" i="28" s="1"/>
  <c r="AE19" i="28" s="1"/>
  <c r="X95" i="28"/>
  <c r="AD95" i="28" s="1"/>
  <c r="AE95" i="28" s="1"/>
  <c r="X16" i="29"/>
  <c r="X25" i="22"/>
  <c r="X59" i="22"/>
  <c r="X88" i="29"/>
  <c r="X42" i="27"/>
  <c r="AD42" i="27" s="1"/>
  <c r="AE42" i="27" s="1"/>
  <c r="AD73" i="28"/>
  <c r="AE73" i="28" s="1"/>
  <c r="X42" i="25"/>
  <c r="X43" i="22"/>
  <c r="X74" i="28"/>
  <c r="X84" i="28"/>
  <c r="X87" i="28"/>
  <c r="X90" i="28"/>
  <c r="X11" i="29"/>
  <c r="AD11" i="29" s="1"/>
  <c r="AE11" i="29" s="1"/>
  <c r="X49" i="29"/>
  <c r="X64" i="29"/>
  <c r="X66" i="29"/>
  <c r="AD66" i="29" s="1"/>
  <c r="AE66" i="29" s="1"/>
  <c r="X77" i="29"/>
  <c r="X79" i="29"/>
  <c r="X81" i="29"/>
  <c r="X87" i="29"/>
  <c r="X90" i="29"/>
  <c r="X51" i="27"/>
  <c r="AC18" i="27"/>
  <c r="Z13" i="27"/>
  <c r="AC15" i="27"/>
  <c r="X53" i="27"/>
  <c r="AC62" i="27"/>
  <c r="AC11" i="27"/>
  <c r="Z15" i="27"/>
  <c r="Z21" i="27"/>
  <c r="X28" i="27"/>
  <c r="AD28" i="27" s="1"/>
  <c r="AE28" i="27" s="1"/>
  <c r="AC66" i="27"/>
  <c r="AC47" i="27"/>
  <c r="AC20" i="27"/>
  <c r="X24" i="27"/>
  <c r="AD24" i="27" s="1"/>
  <c r="AE24" i="27" s="1"/>
  <c r="X27" i="27"/>
  <c r="AC38" i="27"/>
  <c r="X15" i="27"/>
  <c r="X12" i="27"/>
  <c r="AD12" i="27" s="1"/>
  <c r="AE12" i="27" s="1"/>
  <c r="X16" i="27"/>
  <c r="AD16" i="27" s="1"/>
  <c r="AE16" i="27" s="1"/>
  <c r="AC57" i="27"/>
  <c r="AC12" i="27"/>
  <c r="AC16" i="27"/>
  <c r="AC27" i="27"/>
  <c r="AD27" i="27" s="1"/>
  <c r="AE27" i="27" s="1"/>
  <c r="AC46" i="27"/>
  <c r="AC50" i="27"/>
  <c r="AC54" i="27"/>
  <c r="X60" i="27"/>
  <c r="X62" i="27"/>
  <c r="AD62" i="27" s="1"/>
  <c r="AE62" i="27" s="1"/>
  <c r="Z54" i="27"/>
  <c r="AC49" i="27"/>
  <c r="AC58" i="27"/>
  <c r="Z38" i="27"/>
  <c r="AC26" i="27"/>
  <c r="X20" i="27"/>
  <c r="Z11" i="27"/>
  <c r="X11" i="27"/>
  <c r="Z17" i="27"/>
  <c r="X13" i="23"/>
  <c r="X57" i="27"/>
  <c r="AD57" i="27" s="1"/>
  <c r="AE57" i="27" s="1"/>
  <c r="X9" i="28"/>
  <c r="AD9" i="28" s="1"/>
  <c r="AE9" i="28" s="1"/>
  <c r="X12" i="28"/>
  <c r="AD12" i="28" s="1"/>
  <c r="AE12" i="28" s="1"/>
  <c r="AD58" i="28"/>
  <c r="AE58" i="28" s="1"/>
  <c r="X65" i="28"/>
  <c r="X86" i="28"/>
  <c r="AD86" i="28" s="1"/>
  <c r="AE86" i="28" s="1"/>
  <c r="X23" i="29"/>
  <c r="AD23" i="29" s="1"/>
  <c r="AE23" i="29" s="1"/>
  <c r="X48" i="27"/>
  <c r="X27" i="29"/>
  <c r="X9" i="22"/>
  <c r="X23" i="22"/>
  <c r="AD10" i="27"/>
  <c r="AE10" i="27" s="1"/>
  <c r="AD41" i="27"/>
  <c r="AE41" i="27" s="1"/>
  <c r="X56" i="28"/>
  <c r="X13" i="29"/>
  <c r="X33" i="29"/>
  <c r="X37" i="29"/>
  <c r="X41" i="29"/>
  <c r="AD41" i="29" s="1"/>
  <c r="AE41" i="29" s="1"/>
  <c r="X43" i="29"/>
  <c r="X45" i="29"/>
  <c r="X47" i="29"/>
  <c r="X21" i="22"/>
  <c r="X7" i="22"/>
  <c r="AD25" i="27"/>
  <c r="AE25" i="27" s="1"/>
  <c r="X36" i="27"/>
  <c r="X38" i="27"/>
  <c r="X45" i="27"/>
  <c r="X47" i="27"/>
  <c r="AD47" i="27" s="1"/>
  <c r="AE47" i="27" s="1"/>
  <c r="X23" i="28"/>
  <c r="X29" i="28"/>
  <c r="X44" i="28"/>
  <c r="X12" i="29"/>
  <c r="AD28" i="29"/>
  <c r="AE28" i="29" s="1"/>
  <c r="AD39" i="29"/>
  <c r="AE39" i="29" s="1"/>
  <c r="X53" i="29"/>
  <c r="X57" i="29"/>
  <c r="AD57" i="29" s="1"/>
  <c r="AE57" i="29" s="1"/>
  <c r="X59" i="29"/>
  <c r="X68" i="29"/>
  <c r="X70" i="29"/>
  <c r="X72" i="29"/>
  <c r="X74" i="29"/>
  <c r="AD74" i="29" s="1"/>
  <c r="AE74" i="29" s="1"/>
  <c r="X10" i="23"/>
  <c r="X27" i="23"/>
  <c r="X26" i="27"/>
  <c r="X49" i="28"/>
  <c r="X81" i="28"/>
  <c r="AD81" i="28" s="1"/>
  <c r="AE81" i="28" s="1"/>
  <c r="AD22" i="29"/>
  <c r="AE22" i="29" s="1"/>
  <c r="X76" i="29"/>
  <c r="X89" i="29"/>
  <c r="AD89" i="29" s="1"/>
  <c r="AE89" i="29" s="1"/>
  <c r="X16" i="22"/>
  <c r="X11" i="23"/>
  <c r="X16" i="23"/>
  <c r="X21" i="23"/>
  <c r="X26" i="23"/>
  <c r="X33" i="23"/>
  <c r="X46" i="23"/>
  <c r="X51" i="23"/>
  <c r="X17" i="27"/>
  <c r="AD17" i="27" s="1"/>
  <c r="AE17" i="27" s="1"/>
  <c r="X22" i="27"/>
  <c r="AD22" i="27" s="1"/>
  <c r="AE22" i="27" s="1"/>
  <c r="X37" i="27"/>
  <c r="X44" i="27"/>
  <c r="X46" i="27"/>
  <c r="X55" i="27"/>
  <c r="X64" i="27"/>
  <c r="X7" i="28"/>
  <c r="AD7" i="28" s="1"/>
  <c r="AD14" i="28"/>
  <c r="AE14" i="28" s="1"/>
  <c r="AD30" i="28"/>
  <c r="AE30" i="28" s="1"/>
  <c r="X32" i="28"/>
  <c r="X41" i="28"/>
  <c r="AD41" i="28" s="1"/>
  <c r="AE41" i="28" s="1"/>
  <c r="X47" i="28"/>
  <c r="AD47" i="28" s="1"/>
  <c r="AE47" i="28" s="1"/>
  <c r="X59" i="28"/>
  <c r="X77" i="28"/>
  <c r="AD77" i="28" s="1"/>
  <c r="AE77" i="28" s="1"/>
  <c r="X88" i="28"/>
  <c r="AD88" i="28" s="1"/>
  <c r="AE88" i="28" s="1"/>
  <c r="X7" i="29"/>
  <c r="AD7" i="29" s="1"/>
  <c r="AD17" i="29"/>
  <c r="AE17" i="29" s="1"/>
  <c r="X19" i="29"/>
  <c r="X24" i="29"/>
  <c r="AD24" i="29" s="1"/>
  <c r="AE24" i="29" s="1"/>
  <c r="X94" i="29"/>
  <c r="X98" i="29"/>
  <c r="AD98" i="29" s="1"/>
  <c r="AE98" i="29" s="1"/>
  <c r="AD8" i="27"/>
  <c r="AE8" i="27" s="1"/>
  <c r="X10" i="22"/>
  <c r="X12" i="22"/>
  <c r="X14" i="22"/>
  <c r="X58" i="22"/>
  <c r="X7" i="23"/>
  <c r="X14" i="23"/>
  <c r="X19" i="23"/>
  <c r="X49" i="23"/>
  <c r="AD19" i="27"/>
  <c r="AE19" i="27" s="1"/>
  <c r="AD10" i="28"/>
  <c r="AE10" i="28" s="1"/>
  <c r="AD26" i="28"/>
  <c r="AE26" i="28" s="1"/>
  <c r="AD21" i="29"/>
  <c r="AE21" i="29" s="1"/>
  <c r="AD14" i="27"/>
  <c r="AE14" i="27" s="1"/>
  <c r="AD95" i="29"/>
  <c r="AE95" i="29" s="1"/>
  <c r="X17" i="22"/>
  <c r="X12" i="23"/>
  <c r="X17" i="23"/>
  <c r="X29" i="23"/>
  <c r="X34" i="23"/>
  <c r="X47" i="23"/>
  <c r="X52" i="23"/>
  <c r="X52" i="27"/>
  <c r="X54" i="27"/>
  <c r="X61" i="27"/>
  <c r="X63" i="27"/>
  <c r="X15" i="28"/>
  <c r="AD15" i="28" s="1"/>
  <c r="AE15" i="28" s="1"/>
  <c r="X21" i="28"/>
  <c r="AD21" i="28" s="1"/>
  <c r="AE21" i="28" s="1"/>
  <c r="X24" i="28"/>
  <c r="AD24" i="28" s="1"/>
  <c r="AE24" i="28" s="1"/>
  <c r="X31" i="28"/>
  <c r="AD31" i="28" s="1"/>
  <c r="AE31" i="28" s="1"/>
  <c r="X43" i="28"/>
  <c r="X61" i="28"/>
  <c r="AD61" i="28" s="1"/>
  <c r="AE61" i="28" s="1"/>
  <c r="X76" i="28"/>
  <c r="AD76" i="28" s="1"/>
  <c r="AE76" i="28" s="1"/>
  <c r="X79" i="28"/>
  <c r="AD79" i="28" s="1"/>
  <c r="AE79" i="28" s="1"/>
  <c r="AD91" i="28"/>
  <c r="AE91" i="28" s="1"/>
  <c r="X94" i="28"/>
  <c r="AD94" i="28" s="1"/>
  <c r="AE94" i="28" s="1"/>
  <c r="X98" i="28"/>
  <c r="AD98" i="28" s="1"/>
  <c r="AE98" i="28" s="1"/>
  <c r="X9" i="29"/>
  <c r="AD9" i="29" s="1"/>
  <c r="AE9" i="29" s="1"/>
  <c r="AD14" i="29"/>
  <c r="AE14" i="29" s="1"/>
  <c r="X32" i="29"/>
  <c r="X34" i="29"/>
  <c r="AD34" i="29" s="1"/>
  <c r="AE34" i="29" s="1"/>
  <c r="X36" i="29"/>
  <c r="X38" i="29"/>
  <c r="AD38" i="29" s="1"/>
  <c r="AE38" i="29" s="1"/>
  <c r="X40" i="29"/>
  <c r="X42" i="29"/>
  <c r="X44" i="29"/>
  <c r="X46" i="29"/>
  <c r="X48" i="29"/>
  <c r="X50" i="29"/>
  <c r="X63" i="29"/>
  <c r="X65" i="29"/>
  <c r="AD70" i="29"/>
  <c r="AE70" i="29" s="1"/>
  <c r="X80" i="29"/>
  <c r="X82" i="29"/>
  <c r="AD82" i="29" s="1"/>
  <c r="AE82" i="29" s="1"/>
  <c r="X86" i="29"/>
  <c r="AD86" i="29" s="1"/>
  <c r="AE86" i="29" s="1"/>
  <c r="X93" i="29"/>
  <c r="AD93" i="29" s="1"/>
  <c r="AE93" i="29" s="1"/>
  <c r="X97" i="29"/>
  <c r="AD97" i="29" s="1"/>
  <c r="AE97" i="29" s="1"/>
  <c r="AD26" i="29"/>
  <c r="AE26" i="29" s="1"/>
  <c r="X8" i="22"/>
  <c r="X24" i="22"/>
  <c r="X57" i="22"/>
  <c r="AD9" i="27"/>
  <c r="AE9" i="27" s="1"/>
  <c r="X14" i="27"/>
  <c r="AD23" i="27"/>
  <c r="AE23" i="27" s="1"/>
  <c r="AD22" i="28"/>
  <c r="AE22" i="28" s="1"/>
  <c r="AD74" i="28"/>
  <c r="AE74" i="28" s="1"/>
  <c r="AD10" i="29"/>
  <c r="AE10" i="29" s="1"/>
  <c r="AD25" i="29"/>
  <c r="AE25" i="29" s="1"/>
  <c r="X28" i="25"/>
  <c r="X15" i="22"/>
  <c r="X15" i="23"/>
  <c r="X20" i="23"/>
  <c r="X25" i="23"/>
  <c r="X32" i="23"/>
  <c r="X50" i="23"/>
  <c r="X56" i="27"/>
  <c r="X11" i="28"/>
  <c r="X17" i="28"/>
  <c r="AD17" i="28" s="1"/>
  <c r="AE17" i="28" s="1"/>
  <c r="X20" i="28"/>
  <c r="AD20" i="28" s="1"/>
  <c r="AE20" i="28" s="1"/>
  <c r="X27" i="28"/>
  <c r="AD27" i="28" s="1"/>
  <c r="AE27" i="28" s="1"/>
  <c r="X33" i="28"/>
  <c r="X42" i="28"/>
  <c r="AD42" i="28" s="1"/>
  <c r="AE42" i="28" s="1"/>
  <c r="X48" i="28"/>
  <c r="X57" i="28"/>
  <c r="AD57" i="28" s="1"/>
  <c r="AE57" i="28" s="1"/>
  <c r="X63" i="28"/>
  <c r="AD63" i="28" s="1"/>
  <c r="AE63" i="28" s="1"/>
  <c r="X75" i="28"/>
  <c r="X78" i="28"/>
  <c r="AD78" i="28" s="1"/>
  <c r="AE78" i="28" s="1"/>
  <c r="X82" i="28"/>
  <c r="AD82" i="28" s="1"/>
  <c r="AE82" i="28" s="1"/>
  <c r="X89" i="28"/>
  <c r="X93" i="28"/>
  <c r="AD93" i="28" s="1"/>
  <c r="AE93" i="28" s="1"/>
  <c r="X97" i="28"/>
  <c r="AD97" i="28" s="1"/>
  <c r="AE97" i="28" s="1"/>
  <c r="X8" i="29"/>
  <c r="AD8" i="29" s="1"/>
  <c r="AE8" i="29" s="1"/>
  <c r="AD18" i="29"/>
  <c r="AE18" i="29" s="1"/>
  <c r="AD19" i="29"/>
  <c r="AE19" i="29" s="1"/>
  <c r="X52" i="29"/>
  <c r="X54" i="29"/>
  <c r="AD54" i="29" s="1"/>
  <c r="AE54" i="29" s="1"/>
  <c r="X56" i="29"/>
  <c r="X58" i="29"/>
  <c r="AD58" i="29" s="1"/>
  <c r="AE58" i="29" s="1"/>
  <c r="X69" i="29"/>
  <c r="X71" i="29"/>
  <c r="AD71" i="29" s="1"/>
  <c r="AE71" i="29" s="1"/>
  <c r="X73" i="29"/>
  <c r="AD73" i="29" s="1"/>
  <c r="AE73" i="29" s="1"/>
  <c r="X75" i="29"/>
  <c r="AD94" i="29"/>
  <c r="AE94" i="29" s="1"/>
  <c r="X28" i="22"/>
  <c r="X13" i="22"/>
  <c r="X18" i="22"/>
  <c r="X20" i="22"/>
  <c r="X22" i="22"/>
  <c r="X30" i="23"/>
  <c r="X35" i="23"/>
  <c r="X48" i="23"/>
  <c r="AD7" i="26"/>
  <c r="X13" i="27"/>
  <c r="AD13" i="27" s="1"/>
  <c r="AE13" i="27" s="1"/>
  <c r="X18" i="27"/>
  <c r="X40" i="27"/>
  <c r="X58" i="27"/>
  <c r="AD18" i="28"/>
  <c r="AE18" i="28" s="1"/>
  <c r="X45" i="28"/>
  <c r="AD45" i="28" s="1"/>
  <c r="AE45" i="28" s="1"/>
  <c r="X60" i="28"/>
  <c r="X72" i="28"/>
  <c r="AD13" i="29"/>
  <c r="AE13" i="29" s="1"/>
  <c r="X15" i="29"/>
  <c r="AD15" i="29" s="1"/>
  <c r="AE15" i="29" s="1"/>
  <c r="X20" i="29"/>
  <c r="AD20" i="29" s="1"/>
  <c r="AE20" i="29" s="1"/>
  <c r="AD29" i="29"/>
  <c r="AE29" i="29" s="1"/>
  <c r="X31" i="29"/>
  <c r="AD31" i="29" s="1"/>
  <c r="AE31" i="29" s="1"/>
  <c r="X60" i="29"/>
  <c r="X85" i="29"/>
  <c r="AD85" i="29" s="1"/>
  <c r="AE85" i="29" s="1"/>
  <c r="AD90" i="29"/>
  <c r="AE90" i="29" s="1"/>
  <c r="AD12" i="29"/>
  <c r="AE12" i="29" s="1"/>
  <c r="AD16" i="29"/>
  <c r="AE16" i="29" s="1"/>
  <c r="AD27" i="29"/>
  <c r="AE27" i="29" s="1"/>
  <c r="AD45" i="29"/>
  <c r="AE45" i="29" s="1"/>
  <c r="AC43" i="29"/>
  <c r="AD43" i="29" s="1"/>
  <c r="AE43" i="29" s="1"/>
  <c r="AC44" i="29"/>
  <c r="Z44" i="29"/>
  <c r="AC59" i="29"/>
  <c r="AC60" i="29"/>
  <c r="AD60" i="29" s="1"/>
  <c r="AE60" i="29" s="1"/>
  <c r="Z60" i="29"/>
  <c r="AC75" i="29"/>
  <c r="AC76" i="29"/>
  <c r="Z76" i="29"/>
  <c r="Z42" i="29"/>
  <c r="Z43" i="29"/>
  <c r="AC46" i="29"/>
  <c r="AD46" i="29" s="1"/>
  <c r="AE46" i="29" s="1"/>
  <c r="Z58" i="29"/>
  <c r="Z59" i="29"/>
  <c r="AC62" i="29"/>
  <c r="Z74" i="29"/>
  <c r="Z75" i="29"/>
  <c r="AC77" i="29"/>
  <c r="AD77" i="29" s="1"/>
  <c r="AE77" i="29" s="1"/>
  <c r="AC78" i="29"/>
  <c r="AD96" i="29"/>
  <c r="AE96" i="29" s="1"/>
  <c r="Z54" i="29"/>
  <c r="AD84" i="29"/>
  <c r="AE84" i="29" s="1"/>
  <c r="Z10" i="29"/>
  <c r="Z100" i="29" s="1"/>
  <c r="Z14" i="29"/>
  <c r="Z18" i="29"/>
  <c r="Z22" i="29"/>
  <c r="Z26" i="29"/>
  <c r="Z30" i="29"/>
  <c r="AC35" i="29"/>
  <c r="AD35" i="29" s="1"/>
  <c r="AE35" i="29" s="1"/>
  <c r="AC36" i="29"/>
  <c r="Z36" i="29"/>
  <c r="AC51" i="29"/>
  <c r="AD51" i="29" s="1"/>
  <c r="AE51" i="29" s="1"/>
  <c r="AC52" i="29"/>
  <c r="Z52" i="29"/>
  <c r="X62" i="29"/>
  <c r="AC67" i="29"/>
  <c r="AD67" i="29" s="1"/>
  <c r="AE67" i="29" s="1"/>
  <c r="AC68" i="29"/>
  <c r="AD68" i="29" s="1"/>
  <c r="AE68" i="29" s="1"/>
  <c r="Z68" i="29"/>
  <c r="X78" i="29"/>
  <c r="AD83" i="29"/>
  <c r="AE83" i="29" s="1"/>
  <c r="AC40" i="29"/>
  <c r="Z40" i="29"/>
  <c r="Z38" i="29"/>
  <c r="Z55" i="29"/>
  <c r="Z70" i="29"/>
  <c r="Z34" i="29"/>
  <c r="Z35" i="29"/>
  <c r="AC37" i="29"/>
  <c r="AC53" i="29"/>
  <c r="AD53" i="29" s="1"/>
  <c r="AE53" i="29" s="1"/>
  <c r="X61" i="29"/>
  <c r="AD61" i="29" s="1"/>
  <c r="AE61" i="29" s="1"/>
  <c r="AC69" i="29"/>
  <c r="AD69" i="29" s="1"/>
  <c r="AE69" i="29" s="1"/>
  <c r="AC56" i="29"/>
  <c r="Z56" i="29"/>
  <c r="AC72" i="29"/>
  <c r="AD72" i="29" s="1"/>
  <c r="AE72" i="29" s="1"/>
  <c r="Z72" i="29"/>
  <c r="Z71" i="29"/>
  <c r="AC32" i="29"/>
  <c r="Z32" i="29"/>
  <c r="AC47" i="29"/>
  <c r="AC48" i="29"/>
  <c r="Z48" i="29"/>
  <c r="AC63" i="29"/>
  <c r="AC64" i="29"/>
  <c r="AD64" i="29" s="1"/>
  <c r="AE64" i="29" s="1"/>
  <c r="Z64" i="29"/>
  <c r="AC79" i="29"/>
  <c r="AD79" i="29" s="1"/>
  <c r="AE79" i="29" s="1"/>
  <c r="AC80" i="29"/>
  <c r="Z80" i="29"/>
  <c r="AD87" i="29"/>
  <c r="AE87" i="29" s="1"/>
  <c r="Z39" i="29"/>
  <c r="AC33" i="29"/>
  <c r="AD33" i="29" s="1"/>
  <c r="AE33" i="29" s="1"/>
  <c r="Z47" i="29"/>
  <c r="AC49" i="29"/>
  <c r="AD49" i="29" s="1"/>
  <c r="AE49" i="29" s="1"/>
  <c r="Z63" i="29"/>
  <c r="AC65" i="29"/>
  <c r="AD65" i="29" s="1"/>
  <c r="AE65" i="29" s="1"/>
  <c r="Z79" i="29"/>
  <c r="AC81" i="29"/>
  <c r="AD81" i="29" s="1"/>
  <c r="AE81" i="29" s="1"/>
  <c r="AD92" i="29"/>
  <c r="AE92" i="29" s="1"/>
  <c r="Z84" i="29"/>
  <c r="Z88" i="29"/>
  <c r="Z92" i="29"/>
  <c r="Z96" i="29"/>
  <c r="AD8" i="28"/>
  <c r="AE8" i="28" s="1"/>
  <c r="AD29" i="28"/>
  <c r="AE29" i="28" s="1"/>
  <c r="AD23" i="28"/>
  <c r="AE23" i="28" s="1"/>
  <c r="AD25" i="28"/>
  <c r="AE25" i="28" s="1"/>
  <c r="Z10" i="28"/>
  <c r="Z14" i="28"/>
  <c r="Z18" i="28"/>
  <c r="Z22" i="28"/>
  <c r="Z26" i="28"/>
  <c r="Z30" i="28"/>
  <c r="AC35" i="28"/>
  <c r="AD35" i="28" s="1"/>
  <c r="AE35" i="28" s="1"/>
  <c r="AC36" i="28"/>
  <c r="AD36" i="28" s="1"/>
  <c r="AE36" i="28" s="1"/>
  <c r="Z36" i="28"/>
  <c r="X46" i="28"/>
  <c r="AD46" i="28" s="1"/>
  <c r="AE46" i="28" s="1"/>
  <c r="AC51" i="28"/>
  <c r="AD51" i="28" s="1"/>
  <c r="AE51" i="28" s="1"/>
  <c r="AC52" i="28"/>
  <c r="AD52" i="28" s="1"/>
  <c r="AE52" i="28" s="1"/>
  <c r="Z52" i="28"/>
  <c r="X62" i="28"/>
  <c r="AD62" i="28" s="1"/>
  <c r="AE62" i="28" s="1"/>
  <c r="AC67" i="28"/>
  <c r="AD67" i="28" s="1"/>
  <c r="AE67" i="28" s="1"/>
  <c r="AC68" i="28"/>
  <c r="AD68" i="28" s="1"/>
  <c r="AE68" i="28" s="1"/>
  <c r="Z68" i="28"/>
  <c r="Z103" i="28" s="1"/>
  <c r="AD80" i="28"/>
  <c r="AE80" i="28" s="1"/>
  <c r="AD96" i="28"/>
  <c r="AE96" i="28" s="1"/>
  <c r="AC69" i="28"/>
  <c r="AD69" i="28" s="1"/>
  <c r="AE69" i="28" s="1"/>
  <c r="Z7" i="28"/>
  <c r="Z11" i="28"/>
  <c r="Z15" i="28"/>
  <c r="Z19" i="28"/>
  <c r="Z23" i="28"/>
  <c r="Z27" i="28"/>
  <c r="Z31" i="28"/>
  <c r="AC32" i="28"/>
  <c r="Z32" i="28"/>
  <c r="AC48" i="28"/>
  <c r="Z48" i="28"/>
  <c r="AC64" i="28"/>
  <c r="AD64" i="28" s="1"/>
  <c r="AE64" i="28" s="1"/>
  <c r="Z64" i="28"/>
  <c r="AD84" i="28"/>
  <c r="AE84" i="28" s="1"/>
  <c r="AD85" i="28"/>
  <c r="AE85" i="28" s="1"/>
  <c r="AC37" i="28"/>
  <c r="AC33" i="28"/>
  <c r="Z47" i="28"/>
  <c r="AC49" i="28"/>
  <c r="AD49" i="28" s="1"/>
  <c r="AE49" i="28" s="1"/>
  <c r="Z63" i="28"/>
  <c r="AC65" i="28"/>
  <c r="AD83" i="28"/>
  <c r="AE83" i="28" s="1"/>
  <c r="AD90" i="28"/>
  <c r="AE90" i="28" s="1"/>
  <c r="AC53" i="28"/>
  <c r="X38" i="28"/>
  <c r="AD38" i="28" s="1"/>
  <c r="AE38" i="28" s="1"/>
  <c r="AC43" i="28"/>
  <c r="AC44" i="28"/>
  <c r="AD44" i="28" s="1"/>
  <c r="AE44" i="28" s="1"/>
  <c r="Z44" i="28"/>
  <c r="X54" i="28"/>
  <c r="AD54" i="28" s="1"/>
  <c r="AE54" i="28" s="1"/>
  <c r="AC59" i="28"/>
  <c r="AD59" i="28" s="1"/>
  <c r="AE59" i="28" s="1"/>
  <c r="AC60" i="28"/>
  <c r="Z60" i="28"/>
  <c r="X70" i="28"/>
  <c r="AD70" i="28" s="1"/>
  <c r="AE70" i="28" s="1"/>
  <c r="AC75" i="28"/>
  <c r="AD89" i="28"/>
  <c r="AE89" i="28" s="1"/>
  <c r="X37" i="28"/>
  <c r="X53" i="28"/>
  <c r="X69" i="28"/>
  <c r="AD87" i="28"/>
  <c r="AE87" i="28" s="1"/>
  <c r="X34" i="28"/>
  <c r="AD34" i="28" s="1"/>
  <c r="AE34" i="28" s="1"/>
  <c r="AC40" i="28"/>
  <c r="AD40" i="28" s="1"/>
  <c r="AE40" i="28" s="1"/>
  <c r="Z40" i="28"/>
  <c r="X50" i="28"/>
  <c r="AD50" i="28" s="1"/>
  <c r="AE50" i="28" s="1"/>
  <c r="AC56" i="28"/>
  <c r="AD56" i="28" s="1"/>
  <c r="AE56" i="28" s="1"/>
  <c r="Z56" i="28"/>
  <c r="X66" i="28"/>
  <c r="AD66" i="28" s="1"/>
  <c r="AE66" i="28" s="1"/>
  <c r="AC72" i="28"/>
  <c r="Z72" i="28"/>
  <c r="AD92" i="28"/>
  <c r="AE92" i="28" s="1"/>
  <c r="Z76" i="28"/>
  <c r="Z80" i="28"/>
  <c r="Z84" i="28"/>
  <c r="Z88" i="28"/>
  <c r="Z92" i="28"/>
  <c r="Z96" i="28"/>
  <c r="AD7" i="27"/>
  <c r="AD63" i="27"/>
  <c r="AE63" i="27" s="1"/>
  <c r="AD21" i="27"/>
  <c r="AE21" i="27" s="1"/>
  <c r="AC35" i="27"/>
  <c r="AD35" i="27" s="1"/>
  <c r="AE35" i="27" s="1"/>
  <c r="AC36" i="27"/>
  <c r="Z36" i="27"/>
  <c r="AC51" i="27"/>
  <c r="AD51" i="27" s="1"/>
  <c r="AE51" i="27" s="1"/>
  <c r="AC52" i="27"/>
  <c r="Z52" i="27"/>
  <c r="Z35" i="27"/>
  <c r="AC37" i="27"/>
  <c r="Z50" i="27"/>
  <c r="Z51" i="27"/>
  <c r="AC53" i="27"/>
  <c r="AD53" i="27" s="1"/>
  <c r="AE53" i="27" s="1"/>
  <c r="Z66" i="27"/>
  <c r="Z46" i="27"/>
  <c r="Z63" i="27"/>
  <c r="Z8" i="27"/>
  <c r="Z12" i="27"/>
  <c r="Z16" i="27"/>
  <c r="Z20" i="27"/>
  <c r="Z24" i="27"/>
  <c r="Z28" i="27"/>
  <c r="AC43" i="27"/>
  <c r="AD43" i="27" s="1"/>
  <c r="AE43" i="27" s="1"/>
  <c r="AC44" i="27"/>
  <c r="Z44" i="27"/>
  <c r="AC59" i="27"/>
  <c r="AD59" i="27" s="1"/>
  <c r="AE59" i="27" s="1"/>
  <c r="AC60" i="27"/>
  <c r="Z60" i="27"/>
  <c r="Z47" i="27"/>
  <c r="Z62" i="27"/>
  <c r="Z43" i="27"/>
  <c r="AC45" i="27"/>
  <c r="AD45" i="27" s="1"/>
  <c r="AE45" i="27" s="1"/>
  <c r="Z59" i="27"/>
  <c r="AC61" i="27"/>
  <c r="AC48" i="27"/>
  <c r="AD48" i="27" s="1"/>
  <c r="AE48" i="27" s="1"/>
  <c r="Z48" i="27"/>
  <c r="AC64" i="27"/>
  <c r="AD64" i="27" s="1"/>
  <c r="AE64" i="27" s="1"/>
  <c r="Z64" i="27"/>
  <c r="AC39" i="27"/>
  <c r="AD39" i="27" s="1"/>
  <c r="AE39" i="27" s="1"/>
  <c r="AC40" i="27"/>
  <c r="Z40" i="27"/>
  <c r="X50" i="27"/>
  <c r="AD50" i="27" s="1"/>
  <c r="AE50" i="27" s="1"/>
  <c r="AC55" i="27"/>
  <c r="AC56" i="27"/>
  <c r="AD56" i="27" s="1"/>
  <c r="AE56" i="27" s="1"/>
  <c r="Z56" i="27"/>
  <c r="X66" i="27"/>
  <c r="AD66" i="27" s="1"/>
  <c r="AE66" i="27" s="1"/>
  <c r="X49" i="27"/>
  <c r="X65" i="27"/>
  <c r="AD65" i="27" s="1"/>
  <c r="AE65" i="27" s="1"/>
  <c r="X38" i="23"/>
  <c r="X22" i="23"/>
  <c r="X28" i="23"/>
  <c r="X44" i="23"/>
  <c r="X8" i="23"/>
  <c r="X23" i="23"/>
  <c r="X37" i="23"/>
  <c r="X45" i="23"/>
  <c r="AD59" i="29" l="1"/>
  <c r="AE59" i="29" s="1"/>
  <c r="AD50" i="29"/>
  <c r="AE50" i="29" s="1"/>
  <c r="AD88" i="29"/>
  <c r="AE88" i="29" s="1"/>
  <c r="AD47" i="29"/>
  <c r="AE47" i="29" s="1"/>
  <c r="AD80" i="29"/>
  <c r="AE80" i="29" s="1"/>
  <c r="AD44" i="29"/>
  <c r="AE44" i="29" s="1"/>
  <c r="AD37" i="29"/>
  <c r="AE37" i="29" s="1"/>
  <c r="AD72" i="28"/>
  <c r="AE72" i="28" s="1"/>
  <c r="AD65" i="28"/>
  <c r="AE65" i="28" s="1"/>
  <c r="AD32" i="28"/>
  <c r="AE32" i="28" s="1"/>
  <c r="AD60" i="27"/>
  <c r="AE60" i="27" s="1"/>
  <c r="AD61" i="27"/>
  <c r="AE61" i="27" s="1"/>
  <c r="AD42" i="29"/>
  <c r="AE42" i="29" s="1"/>
  <c r="AD11" i="28"/>
  <c r="AE11" i="28" s="1"/>
  <c r="AD11" i="27"/>
  <c r="AE11" i="27" s="1"/>
  <c r="AD58" i="27"/>
  <c r="AE58" i="27" s="1"/>
  <c r="AD15" i="27"/>
  <c r="AE15" i="27" s="1"/>
  <c r="AD40" i="29"/>
  <c r="AE40" i="29" s="1"/>
  <c r="AD52" i="29"/>
  <c r="AE52" i="29" s="1"/>
  <c r="AD26" i="27"/>
  <c r="AE26" i="27" s="1"/>
  <c r="AD46" i="27"/>
  <c r="AE46" i="27" s="1"/>
  <c r="AD52" i="27"/>
  <c r="AE52" i="27" s="1"/>
  <c r="AD49" i="27"/>
  <c r="AE49" i="27" s="1"/>
  <c r="AD18" i="27"/>
  <c r="AE18" i="27" s="1"/>
  <c r="AD37" i="27"/>
  <c r="AE37" i="27" s="1"/>
  <c r="AD54" i="27"/>
  <c r="AE54" i="27" s="1"/>
  <c r="AD44" i="27"/>
  <c r="AE44" i="27" s="1"/>
  <c r="AD38" i="27"/>
  <c r="AE38" i="27" s="1"/>
  <c r="AD20" i="27"/>
  <c r="AE20" i="27" s="1"/>
  <c r="AD55" i="27"/>
  <c r="AE55" i="27" s="1"/>
  <c r="Z68" i="27"/>
  <c r="AD32" i="29"/>
  <c r="AE32" i="29" s="1"/>
  <c r="AD76" i="29"/>
  <c r="AE76" i="29" s="1"/>
  <c r="AD36" i="27"/>
  <c r="AE36" i="27" s="1"/>
  <c r="AD48" i="29"/>
  <c r="AE48" i="29" s="1"/>
  <c r="AD56" i="29"/>
  <c r="AE56" i="29" s="1"/>
  <c r="Z33" i="26"/>
  <c r="AD40" i="27"/>
  <c r="AE40" i="27" s="1"/>
  <c r="AD75" i="28"/>
  <c r="AE75" i="28" s="1"/>
  <c r="AD43" i="28"/>
  <c r="AE43" i="28" s="1"/>
  <c r="AD63" i="29"/>
  <c r="AE63" i="29" s="1"/>
  <c r="AD33" i="28"/>
  <c r="AE33" i="28" s="1"/>
  <c r="AD36" i="29"/>
  <c r="AE36" i="29" s="1"/>
  <c r="AD62" i="29"/>
  <c r="AE62" i="29" s="1"/>
  <c r="AD48" i="28"/>
  <c r="AE48" i="28" s="1"/>
  <c r="AD60" i="28"/>
  <c r="AE60" i="28" s="1"/>
  <c r="AD75" i="29"/>
  <c r="AE75" i="29" s="1"/>
  <c r="AD37" i="28"/>
  <c r="AE37" i="28" s="1"/>
  <c r="AE7" i="29"/>
  <c r="Z103" i="29"/>
  <c r="AC100" i="29"/>
  <c r="AD78" i="29"/>
  <c r="AE78" i="29" s="1"/>
  <c r="AE7" i="28"/>
  <c r="AD53" i="28"/>
  <c r="AE53" i="28" s="1"/>
  <c r="AC100" i="28"/>
  <c r="Z100" i="28"/>
  <c r="AE7" i="27"/>
  <c r="AC68" i="27"/>
  <c r="AE7" i="26"/>
  <c r="AC33" i="26"/>
  <c r="Y29" i="22"/>
  <c r="S29" i="22"/>
  <c r="U29" i="22" s="1"/>
  <c r="Y27" i="22"/>
  <c r="S27" i="22"/>
  <c r="U27" i="22" s="1"/>
  <c r="Y26" i="22"/>
  <c r="U26" i="22"/>
  <c r="S26" i="22"/>
  <c r="Y22" i="25"/>
  <c r="Z22" i="25" s="1"/>
  <c r="S22" i="25"/>
  <c r="U22" i="25" s="1"/>
  <c r="Y21" i="25"/>
  <c r="U21" i="25"/>
  <c r="S21" i="25"/>
  <c r="Y20" i="25"/>
  <c r="Z20" i="25" s="1"/>
  <c r="U20" i="25"/>
  <c r="S20" i="25"/>
  <c r="Y19" i="25"/>
  <c r="Z19" i="25" s="1"/>
  <c r="S19" i="25"/>
  <c r="U19" i="25" s="1"/>
  <c r="Y18" i="25"/>
  <c r="S18" i="25"/>
  <c r="U18" i="25" s="1"/>
  <c r="Y17" i="25"/>
  <c r="S17" i="25"/>
  <c r="U17" i="25" s="1"/>
  <c r="Y16" i="25"/>
  <c r="S16" i="25"/>
  <c r="U16" i="25" s="1"/>
  <c r="Y15" i="25"/>
  <c r="Z15" i="25" s="1"/>
  <c r="S15" i="25"/>
  <c r="U15" i="25" s="1"/>
  <c r="Y14" i="25"/>
  <c r="S14" i="25"/>
  <c r="U14" i="25" s="1"/>
  <c r="Y13" i="25"/>
  <c r="Z13" i="25" s="1"/>
  <c r="U13" i="25"/>
  <c r="S13" i="25"/>
  <c r="Y12" i="25"/>
  <c r="U12" i="25"/>
  <c r="S12" i="25"/>
  <c r="Y11" i="25"/>
  <c r="Z11" i="25" s="1"/>
  <c r="X11" i="25"/>
  <c r="U11" i="25"/>
  <c r="S11" i="25"/>
  <c r="Y10" i="25"/>
  <c r="S10" i="25"/>
  <c r="U10" i="25" s="1"/>
  <c r="Y9" i="25"/>
  <c r="S9" i="25"/>
  <c r="U9" i="25" s="1"/>
  <c r="Y8" i="25"/>
  <c r="S8" i="25"/>
  <c r="U8" i="25" s="1"/>
  <c r="Y7" i="25"/>
  <c r="S7" i="25"/>
  <c r="U7" i="25" s="1"/>
  <c r="Z56" i="25"/>
  <c r="AJ51" i="25"/>
  <c r="AI51" i="25"/>
  <c r="AH51" i="25"/>
  <c r="AG51" i="25"/>
  <c r="AF51" i="25"/>
  <c r="AB49" i="25"/>
  <c r="Y49" i="25"/>
  <c r="Z49" i="25" s="1"/>
  <c r="S49" i="25"/>
  <c r="U49" i="25" s="1"/>
  <c r="AB48" i="25"/>
  <c r="Y48" i="25"/>
  <c r="S48" i="25"/>
  <c r="U48" i="25" s="1"/>
  <c r="X48" i="25" s="1"/>
  <c r="AB47" i="25"/>
  <c r="Y47" i="25"/>
  <c r="S47" i="25"/>
  <c r="U47" i="25" s="1"/>
  <c r="AB46" i="25"/>
  <c r="Y46" i="25"/>
  <c r="S46" i="25"/>
  <c r="U46" i="25" s="1"/>
  <c r="AB45" i="25"/>
  <c r="Y45" i="25"/>
  <c r="Z45" i="25" s="1"/>
  <c r="S45" i="25"/>
  <c r="U45" i="25" s="1"/>
  <c r="AB44" i="25"/>
  <c r="Y44" i="25"/>
  <c r="S44" i="25"/>
  <c r="U44" i="25" s="1"/>
  <c r="AB43" i="25"/>
  <c r="Z43" i="25"/>
  <c r="AB42" i="25"/>
  <c r="Z42" i="25"/>
  <c r="AB41" i="25"/>
  <c r="Y41" i="25"/>
  <c r="Z41" i="25" s="1"/>
  <c r="S41" i="25"/>
  <c r="U41" i="25" s="1"/>
  <c r="AB40" i="25"/>
  <c r="Y40" i="25"/>
  <c r="S40" i="25"/>
  <c r="U40" i="25" s="1"/>
  <c r="AB39" i="25"/>
  <c r="S39" i="25"/>
  <c r="U39" i="25" s="1"/>
  <c r="AB38" i="25"/>
  <c r="S38" i="25"/>
  <c r="U38" i="25" s="1"/>
  <c r="AB37" i="25"/>
  <c r="Z37" i="25"/>
  <c r="S37" i="25"/>
  <c r="U37" i="25" s="1"/>
  <c r="AB36" i="25"/>
  <c r="S36" i="25"/>
  <c r="U36" i="25" s="1"/>
  <c r="AB35" i="25"/>
  <c r="Z35" i="25"/>
  <c r="S35" i="25"/>
  <c r="U35" i="25" s="1"/>
  <c r="AB34" i="25"/>
  <c r="Y34" i="25"/>
  <c r="Z34" i="25" s="1"/>
  <c r="S34" i="25"/>
  <c r="U34" i="25" s="1"/>
  <c r="AB33" i="25"/>
  <c r="AC33" i="25" s="1"/>
  <c r="Y33" i="25"/>
  <c r="Z33" i="25" s="1"/>
  <c r="S33" i="25"/>
  <c r="U33" i="25" s="1"/>
  <c r="AB32" i="25"/>
  <c r="Y32" i="25"/>
  <c r="S32" i="25"/>
  <c r="U32" i="25" s="1"/>
  <c r="AB31" i="25"/>
  <c r="Y31" i="25"/>
  <c r="Z31" i="25" s="1"/>
  <c r="S31" i="25"/>
  <c r="U31" i="25" s="1"/>
  <c r="AB30" i="25"/>
  <c r="Y30" i="25"/>
  <c r="Z30" i="25" s="1"/>
  <c r="S30" i="25"/>
  <c r="U30" i="25" s="1"/>
  <c r="AB29" i="25"/>
  <c r="Y29" i="25"/>
  <c r="AC29" i="25" s="1"/>
  <c r="S29" i="25"/>
  <c r="U29" i="25" s="1"/>
  <c r="AB28" i="25"/>
  <c r="Z28" i="25"/>
  <c r="AB27" i="25"/>
  <c r="Y27" i="25"/>
  <c r="S27" i="25"/>
  <c r="U27" i="25" s="1"/>
  <c r="AB26" i="25"/>
  <c r="Y26" i="25"/>
  <c r="Z26" i="25" s="1"/>
  <c r="X26" i="25"/>
  <c r="S26" i="25"/>
  <c r="U26" i="25" s="1"/>
  <c r="AB25" i="25"/>
  <c r="Z25" i="25"/>
  <c r="S25" i="25"/>
  <c r="U25" i="25" s="1"/>
  <c r="AB24" i="25"/>
  <c r="Y24" i="25"/>
  <c r="Z24" i="25" s="1"/>
  <c r="X24" i="25"/>
  <c r="S24" i="25"/>
  <c r="U24" i="25" s="1"/>
  <c r="AB23" i="25"/>
  <c r="Z23" i="25"/>
  <c r="S23" i="25"/>
  <c r="U23" i="25" s="1"/>
  <c r="AB22" i="25"/>
  <c r="AC22" i="25" s="1"/>
  <c r="AB21" i="25"/>
  <c r="Z21" i="25"/>
  <c r="AB20" i="25"/>
  <c r="AB19" i="25"/>
  <c r="AC18" i="25"/>
  <c r="AB18" i="25"/>
  <c r="Z18" i="25"/>
  <c r="AB17" i="25"/>
  <c r="AC17" i="25" s="1"/>
  <c r="Z17" i="25"/>
  <c r="AC16" i="25"/>
  <c r="AB16" i="25"/>
  <c r="Z16" i="25"/>
  <c r="AB15" i="25"/>
  <c r="AB14" i="25"/>
  <c r="AB13" i="25"/>
  <c r="AC13" i="25" s="1"/>
  <c r="AB12" i="25"/>
  <c r="AC12" i="25" s="1"/>
  <c r="Z12" i="25"/>
  <c r="AB11" i="25"/>
  <c r="AC11" i="25"/>
  <c r="AC10" i="25"/>
  <c r="AB10" i="25"/>
  <c r="Z10" i="25"/>
  <c r="AB9" i="25"/>
  <c r="Z9" i="25"/>
  <c r="AB8" i="25"/>
  <c r="AC8" i="25" s="1"/>
  <c r="Z8" i="25"/>
  <c r="AB7" i="25"/>
  <c r="Z7" i="25"/>
  <c r="Y55" i="21"/>
  <c r="S55" i="21"/>
  <c r="U55" i="21" s="1"/>
  <c r="Y54" i="21"/>
  <c r="S54" i="21"/>
  <c r="U54" i="21" s="1"/>
  <c r="Y49" i="21"/>
  <c r="Y50" i="21"/>
  <c r="Y51" i="21"/>
  <c r="Y48" i="21"/>
  <c r="S48" i="21"/>
  <c r="U48" i="21" s="1"/>
  <c r="X48" i="21" s="1"/>
  <c r="S49" i="21"/>
  <c r="U49" i="21" s="1"/>
  <c r="Y39" i="21"/>
  <c r="Y33" i="21"/>
  <c r="Y26" i="21"/>
  <c r="Y35" i="21"/>
  <c r="Y42" i="21"/>
  <c r="S42" i="21"/>
  <c r="U42" i="21" s="1"/>
  <c r="Y41" i="21"/>
  <c r="S41" i="21"/>
  <c r="U41" i="21" s="1"/>
  <c r="Y40" i="21"/>
  <c r="S40" i="21"/>
  <c r="U40" i="21" s="1"/>
  <c r="Y25" i="21"/>
  <c r="Y24" i="21"/>
  <c r="S24" i="21"/>
  <c r="U24" i="21" s="1"/>
  <c r="AC9" i="25" l="1"/>
  <c r="AC7" i="25"/>
  <c r="AC15" i="25"/>
  <c r="X13" i="25"/>
  <c r="AD13" i="25" s="1"/>
  <c r="AE13" i="25" s="1"/>
  <c r="X7" i="25"/>
  <c r="AD7" i="25" s="1"/>
  <c r="AD68" i="27"/>
  <c r="AE68" i="27" s="1"/>
  <c r="X49" i="25"/>
  <c r="X9" i="25"/>
  <c r="AD9" i="25" s="1"/>
  <c r="AE9" i="25" s="1"/>
  <c r="X26" i="22"/>
  <c r="X20" i="25"/>
  <c r="AD100" i="28"/>
  <c r="AE100" i="28" s="1"/>
  <c r="AD100" i="29"/>
  <c r="AE100" i="29" s="1"/>
  <c r="AD33" i="26"/>
  <c r="AE33" i="26" s="1"/>
  <c r="X23" i="25"/>
  <c r="X12" i="25"/>
  <c r="AD12" i="25" s="1"/>
  <c r="AE12" i="25" s="1"/>
  <c r="X17" i="25"/>
  <c r="AD17" i="25" s="1"/>
  <c r="AE17" i="25" s="1"/>
  <c r="X8" i="25"/>
  <c r="X25" i="25"/>
  <c r="X54" i="21"/>
  <c r="X42" i="21"/>
  <c r="X27" i="25"/>
  <c r="X29" i="25"/>
  <c r="AD29" i="25" s="1"/>
  <c r="AE29" i="25" s="1"/>
  <c r="X31" i="25"/>
  <c r="X47" i="25"/>
  <c r="X19" i="25"/>
  <c r="X21" i="25"/>
  <c r="X55" i="21"/>
  <c r="X24" i="21"/>
  <c r="X29" i="22"/>
  <c r="X27" i="22"/>
  <c r="AC27" i="25"/>
  <c r="AC20" i="25"/>
  <c r="AC23" i="25"/>
  <c r="AC24" i="25"/>
  <c r="Z27" i="25"/>
  <c r="X32" i="25"/>
  <c r="X34" i="25"/>
  <c r="X40" i="25"/>
  <c r="X10" i="25"/>
  <c r="X14" i="25"/>
  <c r="AD14" i="25" s="1"/>
  <c r="AE14" i="25" s="1"/>
  <c r="AC14" i="25"/>
  <c r="Z29" i="25"/>
  <c r="X15" i="25"/>
  <c r="AD15" i="25" s="1"/>
  <c r="AE15" i="25" s="1"/>
  <c r="AC21" i="25"/>
  <c r="AC25" i="25"/>
  <c r="AC26" i="25"/>
  <c r="AD26" i="25" s="1"/>
  <c r="AE26" i="25" s="1"/>
  <c r="X33" i="25"/>
  <c r="AD33" i="25" s="1"/>
  <c r="AE33" i="25" s="1"/>
  <c r="X39" i="25"/>
  <c r="X41" i="25"/>
  <c r="AC42" i="25"/>
  <c r="X18" i="25"/>
  <c r="AD18" i="25" s="1"/>
  <c r="AE18" i="25" s="1"/>
  <c r="X22" i="25"/>
  <c r="AD22" i="25" s="1"/>
  <c r="AE22" i="25" s="1"/>
  <c r="AC28" i="25"/>
  <c r="AD28" i="25" s="1"/>
  <c r="AE28" i="25" s="1"/>
  <c r="X30" i="25"/>
  <c r="X16" i="25"/>
  <c r="AD16" i="25" s="1"/>
  <c r="AE16" i="25" s="1"/>
  <c r="X44" i="25"/>
  <c r="AC49" i="25"/>
  <c r="AC41" i="25"/>
  <c r="AC34" i="25"/>
  <c r="X36" i="25"/>
  <c r="X35" i="25"/>
  <c r="AC30" i="25"/>
  <c r="AD10" i="25"/>
  <c r="AE10" i="25" s="1"/>
  <c r="AD11" i="25"/>
  <c r="AE11" i="25" s="1"/>
  <c r="AC19" i="25"/>
  <c r="Z14" i="25"/>
  <c r="AC47" i="25"/>
  <c r="Z47" i="25"/>
  <c r="AC39" i="25"/>
  <c r="Z39" i="25"/>
  <c r="AC46" i="25"/>
  <c r="Z46" i="25"/>
  <c r="AC48" i="25"/>
  <c r="AD48" i="25" s="1"/>
  <c r="AE48" i="25" s="1"/>
  <c r="Z48" i="25"/>
  <c r="AC40" i="25"/>
  <c r="Z40" i="25"/>
  <c r="AC38" i="25"/>
  <c r="Z38" i="25"/>
  <c r="AD8" i="25"/>
  <c r="AE8" i="25" s="1"/>
  <c r="AD24" i="25"/>
  <c r="AE24" i="25" s="1"/>
  <c r="AC32" i="25"/>
  <c r="Z32" i="25"/>
  <c r="AC35" i="25"/>
  <c r="AC36" i="25"/>
  <c r="Z36" i="25"/>
  <c r="X46" i="25"/>
  <c r="AC31" i="25"/>
  <c r="AD31" i="25" s="1"/>
  <c r="AE31" i="25" s="1"/>
  <c r="AC37" i="25"/>
  <c r="X45" i="25"/>
  <c r="X38" i="25"/>
  <c r="AC43" i="25"/>
  <c r="AD43" i="25" s="1"/>
  <c r="AE43" i="25" s="1"/>
  <c r="AC44" i="25"/>
  <c r="Z44" i="25"/>
  <c r="X37" i="25"/>
  <c r="AC45" i="25"/>
  <c r="X49" i="21"/>
  <c r="X41" i="21"/>
  <c r="X40" i="21"/>
  <c r="AD30" i="25" l="1"/>
  <c r="AE30" i="25" s="1"/>
  <c r="AD20" i="25"/>
  <c r="AE20" i="25" s="1"/>
  <c r="AD41" i="25"/>
  <c r="AE41" i="25" s="1"/>
  <c r="AD19" i="25"/>
  <c r="AE19" i="25" s="1"/>
  <c r="AD34" i="25"/>
  <c r="AE34" i="25" s="1"/>
  <c r="AD47" i="25"/>
  <c r="AE47" i="25" s="1"/>
  <c r="AD32" i="25"/>
  <c r="AE32" i="25" s="1"/>
  <c r="AD40" i="25"/>
  <c r="AE40" i="25" s="1"/>
  <c r="AD49" i="25"/>
  <c r="AE49" i="25" s="1"/>
  <c r="AD44" i="25"/>
  <c r="AE44" i="25" s="1"/>
  <c r="AD25" i="25"/>
  <c r="AE25" i="25" s="1"/>
  <c r="AD35" i="25"/>
  <c r="AE35" i="25" s="1"/>
  <c r="AD23" i="25"/>
  <c r="AE23" i="25" s="1"/>
  <c r="AD27" i="25"/>
  <c r="AE27" i="25" s="1"/>
  <c r="AD21" i="25"/>
  <c r="AE21" i="25" s="1"/>
  <c r="AD39" i="25"/>
  <c r="AE39" i="25" s="1"/>
  <c r="AD42" i="25"/>
  <c r="AE42" i="25" s="1"/>
  <c r="AD36" i="25"/>
  <c r="AE36" i="25" s="1"/>
  <c r="Z51" i="25"/>
  <c r="AD38" i="25"/>
  <c r="AE38" i="25" s="1"/>
  <c r="AD37" i="25"/>
  <c r="AE37" i="25" s="1"/>
  <c r="AD46" i="25"/>
  <c r="AE46" i="25" s="1"/>
  <c r="AE7" i="25"/>
  <c r="AD45" i="25"/>
  <c r="AE45" i="25" s="1"/>
  <c r="AC51" i="25"/>
  <c r="Y20" i="21"/>
  <c r="S20" i="21"/>
  <c r="U20" i="21" s="1"/>
  <c r="Y19" i="21"/>
  <c r="S19" i="21"/>
  <c r="U19" i="21" s="1"/>
  <c r="Y18" i="21"/>
  <c r="S18" i="21"/>
  <c r="U18" i="21" s="1"/>
  <c r="Y13" i="21"/>
  <c r="Z13" i="21" s="1"/>
  <c r="S13" i="21"/>
  <c r="U13" i="21" s="1"/>
  <c r="Y16" i="21"/>
  <c r="S16" i="21"/>
  <c r="U16" i="21" s="1"/>
  <c r="Y15" i="21"/>
  <c r="S15" i="21"/>
  <c r="U15" i="21" s="1"/>
  <c r="Y14" i="21"/>
  <c r="U14" i="21"/>
  <c r="S14" i="21"/>
  <c r="Y12" i="21"/>
  <c r="U12" i="21"/>
  <c r="S12" i="21"/>
  <c r="Y10" i="21"/>
  <c r="S10" i="21"/>
  <c r="U10" i="21" s="1"/>
  <c r="Y9" i="21"/>
  <c r="Z9" i="21" s="1"/>
  <c r="S9" i="21"/>
  <c r="U9" i="21" s="1"/>
  <c r="Y8" i="21"/>
  <c r="S8" i="21"/>
  <c r="U8" i="21" s="1"/>
  <c r="Y7" i="21"/>
  <c r="Z7" i="21" s="1"/>
  <c r="S7" i="21"/>
  <c r="U7" i="21" s="1"/>
  <c r="Z52" i="24"/>
  <c r="AJ47" i="24"/>
  <c r="AI47" i="24"/>
  <c r="AH47" i="24"/>
  <c r="AG47" i="24"/>
  <c r="AF47" i="24"/>
  <c r="AB45" i="24"/>
  <c r="Y45" i="24"/>
  <c r="Z45" i="24" s="1"/>
  <c r="S45" i="24"/>
  <c r="U45" i="24" s="1"/>
  <c r="AB44" i="24"/>
  <c r="Y44" i="24"/>
  <c r="S44" i="24"/>
  <c r="U44" i="24" s="1"/>
  <c r="AB43" i="24"/>
  <c r="Y43" i="24"/>
  <c r="S43" i="24"/>
  <c r="U43" i="24" s="1"/>
  <c r="AB42" i="24"/>
  <c r="Y42" i="24"/>
  <c r="S42" i="24"/>
  <c r="U42" i="24" s="1"/>
  <c r="AB41" i="24"/>
  <c r="Y41" i="24"/>
  <c r="Z41" i="24" s="1"/>
  <c r="S41" i="24"/>
  <c r="U41" i="24" s="1"/>
  <c r="AB40" i="24"/>
  <c r="Y40" i="24"/>
  <c r="S40" i="24"/>
  <c r="U40" i="24" s="1"/>
  <c r="AB39" i="24"/>
  <c r="Y39" i="24"/>
  <c r="S39" i="24"/>
  <c r="U39" i="24" s="1"/>
  <c r="AB38" i="24"/>
  <c r="Y38" i="24"/>
  <c r="S38" i="24"/>
  <c r="U38" i="24" s="1"/>
  <c r="AB37" i="24"/>
  <c r="Y37" i="24"/>
  <c r="Z37" i="24" s="1"/>
  <c r="S37" i="24"/>
  <c r="U37" i="24" s="1"/>
  <c r="AB36" i="24"/>
  <c r="Y36" i="24"/>
  <c r="S36" i="24"/>
  <c r="U36" i="24" s="1"/>
  <c r="AB35" i="24"/>
  <c r="S35" i="24"/>
  <c r="U35" i="24" s="1"/>
  <c r="AB34" i="24"/>
  <c r="AC34" i="24" s="1"/>
  <c r="S34" i="24"/>
  <c r="U34" i="24" s="1"/>
  <c r="AB33" i="24"/>
  <c r="Z33" i="24"/>
  <c r="S33" i="24"/>
  <c r="U33" i="24" s="1"/>
  <c r="AB32" i="24"/>
  <c r="S32" i="24"/>
  <c r="U32" i="24" s="1"/>
  <c r="AB31" i="24"/>
  <c r="Y31" i="24"/>
  <c r="S31" i="24"/>
  <c r="U31" i="24" s="1"/>
  <c r="X31" i="24" s="1"/>
  <c r="AB30" i="24"/>
  <c r="Y30" i="24"/>
  <c r="S30" i="24"/>
  <c r="U30" i="24" s="1"/>
  <c r="AB29" i="24"/>
  <c r="Y29" i="24"/>
  <c r="Z29" i="24" s="1"/>
  <c r="S29" i="24"/>
  <c r="U29" i="24" s="1"/>
  <c r="AB28" i="24"/>
  <c r="Y28" i="24"/>
  <c r="U28" i="24"/>
  <c r="S28" i="24"/>
  <c r="AB27" i="24"/>
  <c r="Y27" i="24"/>
  <c r="S27" i="24"/>
  <c r="U27" i="24" s="1"/>
  <c r="AB26" i="24"/>
  <c r="Y26" i="24"/>
  <c r="S26" i="24"/>
  <c r="U26" i="24" s="1"/>
  <c r="AB25" i="24"/>
  <c r="AC25" i="24" s="1"/>
  <c r="Z25" i="24"/>
  <c r="AB24" i="24"/>
  <c r="Y24" i="24"/>
  <c r="S24" i="24"/>
  <c r="U24" i="24" s="1"/>
  <c r="AB23" i="24"/>
  <c r="Y23" i="24"/>
  <c r="S23" i="24"/>
  <c r="U23" i="24" s="1"/>
  <c r="AB22" i="24"/>
  <c r="AC22" i="24" s="1"/>
  <c r="S22" i="24"/>
  <c r="U22" i="24" s="1"/>
  <c r="AB21" i="24"/>
  <c r="AC21" i="24" s="1"/>
  <c r="Y21" i="24"/>
  <c r="Z21" i="24" s="1"/>
  <c r="S21" i="24"/>
  <c r="U21" i="24" s="1"/>
  <c r="AB20" i="24"/>
  <c r="S20" i="24"/>
  <c r="U20" i="24" s="1"/>
  <c r="AB19" i="24"/>
  <c r="Y19" i="24"/>
  <c r="S19" i="24"/>
  <c r="U19" i="24" s="1"/>
  <c r="AB18" i="24"/>
  <c r="Y18" i="24"/>
  <c r="S18" i="24"/>
  <c r="U18" i="24" s="1"/>
  <c r="AB17" i="24"/>
  <c r="Y17" i="24"/>
  <c r="Z17" i="24" s="1"/>
  <c r="S17" i="24"/>
  <c r="U17" i="24" s="1"/>
  <c r="AB16" i="24"/>
  <c r="Y16" i="24"/>
  <c r="S16" i="24"/>
  <c r="U16" i="24" s="1"/>
  <c r="AB15" i="24"/>
  <c r="Y15" i="24"/>
  <c r="S15" i="24"/>
  <c r="U15" i="24" s="1"/>
  <c r="AB14" i="24"/>
  <c r="AC14" i="24" s="1"/>
  <c r="S14" i="24"/>
  <c r="U14" i="24" s="1"/>
  <c r="AB13" i="24"/>
  <c r="Z13" i="24"/>
  <c r="S13" i="24"/>
  <c r="U13" i="24" s="1"/>
  <c r="AB12" i="24"/>
  <c r="Y12" i="24"/>
  <c r="AC12" i="24" s="1"/>
  <c r="S12" i="24"/>
  <c r="U12" i="24" s="1"/>
  <c r="AB11" i="24"/>
  <c r="Y11" i="24"/>
  <c r="AC11" i="24" s="1"/>
  <c r="S11" i="24"/>
  <c r="U11" i="24" s="1"/>
  <c r="AB10" i="24"/>
  <c r="Y10" i="24"/>
  <c r="Z10" i="24" s="1"/>
  <c r="S10" i="24"/>
  <c r="U10" i="24" s="1"/>
  <c r="AB9" i="24"/>
  <c r="Z9" i="24"/>
  <c r="S9" i="24"/>
  <c r="U9" i="24" s="1"/>
  <c r="AB8" i="24"/>
  <c r="Y8" i="24"/>
  <c r="AC8" i="24" s="1"/>
  <c r="S8" i="24"/>
  <c r="U8" i="24" s="1"/>
  <c r="AB7" i="24"/>
  <c r="Y7" i="24"/>
  <c r="AC7" i="24" s="1"/>
  <c r="S7" i="24"/>
  <c r="U7" i="24" s="1"/>
  <c r="Z67" i="23"/>
  <c r="AJ62" i="23"/>
  <c r="AI62" i="23"/>
  <c r="AH62" i="23"/>
  <c r="AG62" i="23"/>
  <c r="AF62" i="23"/>
  <c r="AB60" i="23"/>
  <c r="Y60" i="23"/>
  <c r="S60" i="23"/>
  <c r="U60" i="23" s="1"/>
  <c r="AB59" i="23"/>
  <c r="Y59" i="23"/>
  <c r="S59" i="23"/>
  <c r="U59" i="23" s="1"/>
  <c r="AB58" i="23"/>
  <c r="Z58" i="23"/>
  <c r="Y58" i="23"/>
  <c r="S58" i="23"/>
  <c r="U58" i="23" s="1"/>
  <c r="AB57" i="23"/>
  <c r="Y57" i="23"/>
  <c r="Z57" i="23" s="1"/>
  <c r="S57" i="23"/>
  <c r="U57" i="23" s="1"/>
  <c r="AB56" i="23"/>
  <c r="Y56" i="23"/>
  <c r="U56" i="23"/>
  <c r="S56" i="23"/>
  <c r="AB55" i="23"/>
  <c r="Y55" i="23"/>
  <c r="S55" i="23"/>
  <c r="U55" i="23" s="1"/>
  <c r="AB54" i="23"/>
  <c r="Y54" i="23"/>
  <c r="S54" i="23"/>
  <c r="U54" i="23" s="1"/>
  <c r="AB53" i="23"/>
  <c r="Y53" i="23"/>
  <c r="Z53" i="23" s="1"/>
  <c r="S53" i="23"/>
  <c r="U53" i="23" s="1"/>
  <c r="AB52" i="23"/>
  <c r="AB51" i="23"/>
  <c r="AB50" i="23"/>
  <c r="AC50" i="23" s="1"/>
  <c r="AB49" i="23"/>
  <c r="AC49" i="23" s="1"/>
  <c r="Z49" i="23"/>
  <c r="AB48" i="23"/>
  <c r="AB47" i="23"/>
  <c r="AB46" i="23"/>
  <c r="Z46" i="23"/>
  <c r="AB45" i="23"/>
  <c r="Z45" i="23"/>
  <c r="AB44" i="23"/>
  <c r="AB43" i="23"/>
  <c r="Y43" i="23"/>
  <c r="S43" i="23"/>
  <c r="U43" i="23" s="1"/>
  <c r="AB42" i="23"/>
  <c r="Y42" i="23"/>
  <c r="S42" i="23"/>
  <c r="U42" i="23" s="1"/>
  <c r="AB41" i="23"/>
  <c r="Y41" i="23"/>
  <c r="Z41" i="23" s="1"/>
  <c r="S41" i="23"/>
  <c r="U41" i="23" s="1"/>
  <c r="AB40" i="23"/>
  <c r="Y40" i="23"/>
  <c r="S40" i="23"/>
  <c r="U40" i="23" s="1"/>
  <c r="AB39" i="23"/>
  <c r="Y39" i="23"/>
  <c r="S39" i="23"/>
  <c r="U39" i="23" s="1"/>
  <c r="AB38" i="23"/>
  <c r="Z38" i="23"/>
  <c r="AB37" i="23"/>
  <c r="AC37" i="23" s="1"/>
  <c r="Z37" i="23"/>
  <c r="AB36" i="23"/>
  <c r="AB35" i="23"/>
  <c r="AB34" i="23"/>
  <c r="AC34" i="23"/>
  <c r="AB33" i="23"/>
  <c r="AC33" i="23" s="1"/>
  <c r="Z33" i="23"/>
  <c r="AB32" i="23"/>
  <c r="AB31" i="23"/>
  <c r="AB30" i="23"/>
  <c r="AC30" i="23" s="1"/>
  <c r="Z30" i="23"/>
  <c r="AB29" i="23"/>
  <c r="AC29" i="23" s="1"/>
  <c r="Z29" i="23"/>
  <c r="AB28" i="23"/>
  <c r="AC28" i="23" s="1"/>
  <c r="Z28" i="23"/>
  <c r="AB27" i="23"/>
  <c r="AC27" i="23"/>
  <c r="AB26" i="23"/>
  <c r="AC26" i="23" s="1"/>
  <c r="Z26" i="23"/>
  <c r="AB25" i="23"/>
  <c r="AC25" i="23" s="1"/>
  <c r="Z25" i="23"/>
  <c r="AB24" i="23"/>
  <c r="AC24" i="23" s="1"/>
  <c r="Z24" i="23"/>
  <c r="AB23" i="23"/>
  <c r="AC23" i="23" s="1"/>
  <c r="AB22" i="23"/>
  <c r="AC22" i="23" s="1"/>
  <c r="Z22" i="23"/>
  <c r="AB21" i="23"/>
  <c r="AC21" i="23" s="1"/>
  <c r="Z21" i="23"/>
  <c r="AB20" i="23"/>
  <c r="AC20" i="23" s="1"/>
  <c r="Z20" i="23"/>
  <c r="AB19" i="23"/>
  <c r="AC19" i="23" s="1"/>
  <c r="AB18" i="23"/>
  <c r="AC18" i="23" s="1"/>
  <c r="Z18" i="23"/>
  <c r="AC17" i="23"/>
  <c r="AB17" i="23"/>
  <c r="Z17" i="23"/>
  <c r="AB16" i="23"/>
  <c r="AC16" i="23" s="1"/>
  <c r="AB15" i="23"/>
  <c r="AC15" i="23"/>
  <c r="AB14" i="23"/>
  <c r="AC14" i="23" s="1"/>
  <c r="Z14" i="23"/>
  <c r="AB13" i="23"/>
  <c r="AC13" i="23" s="1"/>
  <c r="Z13" i="23"/>
  <c r="AB12" i="23"/>
  <c r="AC12" i="23"/>
  <c r="AB11" i="23"/>
  <c r="AC11" i="23"/>
  <c r="AB10" i="23"/>
  <c r="AC10" i="23" s="1"/>
  <c r="Z10" i="23"/>
  <c r="AB9" i="23"/>
  <c r="AC9" i="23" s="1"/>
  <c r="Z9" i="23"/>
  <c r="AB8" i="23"/>
  <c r="AC8" i="23" s="1"/>
  <c r="AB7" i="23"/>
  <c r="AC7" i="23" s="1"/>
  <c r="Z68" i="22"/>
  <c r="AJ63" i="22"/>
  <c r="AI63" i="22"/>
  <c r="AH63" i="22"/>
  <c r="AG63" i="22"/>
  <c r="AF63" i="22"/>
  <c r="AB61" i="22"/>
  <c r="Y61" i="22"/>
  <c r="U61" i="22"/>
  <c r="S61" i="22"/>
  <c r="AB60" i="22"/>
  <c r="Y60" i="22"/>
  <c r="Z60" i="22" s="1"/>
  <c r="S60" i="22"/>
  <c r="U60" i="22" s="1"/>
  <c r="AB59" i="22"/>
  <c r="Z59" i="22"/>
  <c r="AB58" i="22"/>
  <c r="Z58" i="22"/>
  <c r="AB57" i="22"/>
  <c r="AC57" i="22" s="1"/>
  <c r="AB56" i="22"/>
  <c r="Y56" i="22"/>
  <c r="Z56" i="22" s="1"/>
  <c r="S56" i="22"/>
  <c r="U56" i="22" s="1"/>
  <c r="AB55" i="22"/>
  <c r="Y55" i="22"/>
  <c r="S55" i="22"/>
  <c r="U55" i="22" s="1"/>
  <c r="AB54" i="22"/>
  <c r="Z54" i="22"/>
  <c r="S54" i="22"/>
  <c r="U54" i="22" s="1"/>
  <c r="AB53" i="22"/>
  <c r="S53" i="22"/>
  <c r="U53" i="22" s="1"/>
  <c r="AB52" i="22"/>
  <c r="Z52" i="22"/>
  <c r="S52" i="22"/>
  <c r="U52" i="22" s="1"/>
  <c r="AB51" i="22"/>
  <c r="Z51" i="22"/>
  <c r="S51" i="22"/>
  <c r="U51" i="22" s="1"/>
  <c r="AB50" i="22"/>
  <c r="Z50" i="22"/>
  <c r="S50" i="22"/>
  <c r="U50" i="22" s="1"/>
  <c r="AB49" i="22"/>
  <c r="Y49" i="22"/>
  <c r="S49" i="22"/>
  <c r="U49" i="22" s="1"/>
  <c r="AB48" i="22"/>
  <c r="Y48" i="22"/>
  <c r="Z48" i="22" s="1"/>
  <c r="S48" i="22"/>
  <c r="U48" i="22" s="1"/>
  <c r="AB47" i="22"/>
  <c r="Y47" i="22"/>
  <c r="S47" i="22"/>
  <c r="U47" i="22" s="1"/>
  <c r="AB46" i="22"/>
  <c r="AC46" i="22" s="1"/>
  <c r="Y46" i="22"/>
  <c r="Z46" i="22" s="1"/>
  <c r="S46" i="22"/>
  <c r="U46" i="22" s="1"/>
  <c r="AB45" i="22"/>
  <c r="Y45" i="22"/>
  <c r="S45" i="22"/>
  <c r="U45" i="22" s="1"/>
  <c r="AB44" i="22"/>
  <c r="Y44" i="22"/>
  <c r="Z44" i="22" s="1"/>
  <c r="S44" i="22"/>
  <c r="U44" i="22" s="1"/>
  <c r="AB43" i="22"/>
  <c r="Z43" i="22"/>
  <c r="AB42" i="22"/>
  <c r="Z42" i="22"/>
  <c r="AB41" i="22"/>
  <c r="Y41" i="22"/>
  <c r="S41" i="22"/>
  <c r="U41" i="22" s="1"/>
  <c r="AB40" i="22"/>
  <c r="Y40" i="22"/>
  <c r="Z40" i="22" s="1"/>
  <c r="S40" i="22"/>
  <c r="U40" i="22" s="1"/>
  <c r="AB39" i="22"/>
  <c r="AC39" i="22" s="1"/>
  <c r="S39" i="22"/>
  <c r="U39" i="22" s="1"/>
  <c r="AB38" i="22"/>
  <c r="Y38" i="22"/>
  <c r="Z38" i="22" s="1"/>
  <c r="S38" i="22"/>
  <c r="U38" i="22" s="1"/>
  <c r="AB37" i="22"/>
  <c r="AC37" i="22" s="1"/>
  <c r="S37" i="22"/>
  <c r="U37" i="22" s="1"/>
  <c r="AB36" i="22"/>
  <c r="Y36" i="22"/>
  <c r="Z36" i="22" s="1"/>
  <c r="S36" i="22"/>
  <c r="U36" i="22" s="1"/>
  <c r="AB35" i="22"/>
  <c r="Z35" i="22"/>
  <c r="S35" i="22"/>
  <c r="U35" i="22" s="1"/>
  <c r="AB34" i="22"/>
  <c r="Z34" i="22"/>
  <c r="S34" i="22"/>
  <c r="U34" i="22" s="1"/>
  <c r="AB33" i="22"/>
  <c r="Y33" i="22"/>
  <c r="S33" i="22"/>
  <c r="U33" i="22" s="1"/>
  <c r="AB32" i="22"/>
  <c r="Y32" i="22"/>
  <c r="Z32" i="22" s="1"/>
  <c r="S32" i="22"/>
  <c r="U32" i="22" s="1"/>
  <c r="AB31" i="22"/>
  <c r="Z31" i="22"/>
  <c r="Y31" i="22"/>
  <c r="S31" i="22"/>
  <c r="U31" i="22" s="1"/>
  <c r="AB30" i="22"/>
  <c r="Y30" i="22"/>
  <c r="Z30" i="22" s="1"/>
  <c r="S30" i="22"/>
  <c r="U30" i="22" s="1"/>
  <c r="AB29" i="22"/>
  <c r="Z29" i="22"/>
  <c r="AB28" i="22"/>
  <c r="AC28" i="22" s="1"/>
  <c r="Z28" i="22"/>
  <c r="AB27" i="22"/>
  <c r="AC27" i="22" s="1"/>
  <c r="Z27" i="22"/>
  <c r="AB26" i="22"/>
  <c r="AC26" i="22" s="1"/>
  <c r="Z26" i="22"/>
  <c r="AB25" i="22"/>
  <c r="AC25" i="22"/>
  <c r="AB24" i="22"/>
  <c r="AC24" i="22" s="1"/>
  <c r="Z24" i="22"/>
  <c r="AB23" i="22"/>
  <c r="AC23" i="22" s="1"/>
  <c r="Z23" i="22"/>
  <c r="AB22" i="22"/>
  <c r="AC22" i="22" s="1"/>
  <c r="Z22" i="22"/>
  <c r="AB21" i="22"/>
  <c r="Z21" i="22"/>
  <c r="AB20" i="22"/>
  <c r="AC20" i="22" s="1"/>
  <c r="Z20" i="22"/>
  <c r="AC19" i="22"/>
  <c r="AB19" i="22"/>
  <c r="Z19" i="22"/>
  <c r="AC18" i="22"/>
  <c r="AB18" i="22"/>
  <c r="Z18" i="22"/>
  <c r="AB17" i="22"/>
  <c r="AC17" i="22" s="1"/>
  <c r="AB16" i="22"/>
  <c r="AC16" i="22" s="1"/>
  <c r="Z16" i="22"/>
  <c r="AB15" i="22"/>
  <c r="AC15" i="22" s="1"/>
  <c r="Z15" i="22"/>
  <c r="AB14" i="22"/>
  <c r="AC14" i="22" s="1"/>
  <c r="AB13" i="22"/>
  <c r="AC13" i="22" s="1"/>
  <c r="AB12" i="22"/>
  <c r="AC12" i="22" s="1"/>
  <c r="Z12" i="22"/>
  <c r="AC11" i="22"/>
  <c r="AB11" i="22"/>
  <c r="Z11" i="22"/>
  <c r="AB10" i="22"/>
  <c r="AC10" i="22" s="1"/>
  <c r="AB9" i="22"/>
  <c r="Z9" i="22"/>
  <c r="AB8" i="22"/>
  <c r="AC8" i="22" s="1"/>
  <c r="Z8" i="22"/>
  <c r="AB7" i="22"/>
  <c r="AC7" i="22" s="1"/>
  <c r="Z7" i="22"/>
  <c r="Z68" i="21"/>
  <c r="AJ63" i="21"/>
  <c r="AI63" i="21"/>
  <c r="AH63" i="21"/>
  <c r="AG63" i="21"/>
  <c r="AF63" i="21"/>
  <c r="AB61" i="21"/>
  <c r="Y61" i="21"/>
  <c r="Z61" i="21" s="1"/>
  <c r="S61" i="21"/>
  <c r="U61" i="21" s="1"/>
  <c r="AB60" i="21"/>
  <c r="Y60" i="21"/>
  <c r="S60" i="21"/>
  <c r="U60" i="21" s="1"/>
  <c r="AB59" i="21"/>
  <c r="Y59" i="21"/>
  <c r="Z59" i="21" s="1"/>
  <c r="S59" i="21"/>
  <c r="U59" i="21" s="1"/>
  <c r="AB58" i="21"/>
  <c r="Y58" i="21"/>
  <c r="S58" i="21"/>
  <c r="U58" i="21" s="1"/>
  <c r="AB57" i="21"/>
  <c r="Y57" i="21"/>
  <c r="Z57" i="21" s="1"/>
  <c r="X57" i="21"/>
  <c r="S57" i="21"/>
  <c r="U57" i="21" s="1"/>
  <c r="AB56" i="21"/>
  <c r="Y56" i="21"/>
  <c r="S56" i="21"/>
  <c r="U56" i="21" s="1"/>
  <c r="AB55" i="21"/>
  <c r="AC55" i="21" s="1"/>
  <c r="Z55" i="21"/>
  <c r="AB54" i="21"/>
  <c r="Z54" i="21"/>
  <c r="AB53" i="21"/>
  <c r="Y53" i="21"/>
  <c r="Z53" i="21" s="1"/>
  <c r="S53" i="21"/>
  <c r="U53" i="21" s="1"/>
  <c r="AB52" i="21"/>
  <c r="Y52" i="21"/>
  <c r="Z52" i="21" s="1"/>
  <c r="S52" i="21"/>
  <c r="U52" i="21" s="1"/>
  <c r="AB51" i="21"/>
  <c r="Z51" i="21"/>
  <c r="S51" i="21"/>
  <c r="U51" i="21" s="1"/>
  <c r="AB50" i="21"/>
  <c r="AC50" i="21" s="1"/>
  <c r="S50" i="21"/>
  <c r="U50" i="21" s="1"/>
  <c r="AB49" i="21"/>
  <c r="Z49" i="21"/>
  <c r="AB48" i="21"/>
  <c r="AB47" i="21"/>
  <c r="Y47" i="21"/>
  <c r="Z47" i="21" s="1"/>
  <c r="S47" i="21"/>
  <c r="U47" i="21" s="1"/>
  <c r="AB46" i="21"/>
  <c r="Y46" i="21"/>
  <c r="Z46" i="21" s="1"/>
  <c r="S46" i="21"/>
  <c r="U46" i="21" s="1"/>
  <c r="AB45" i="21"/>
  <c r="Y45" i="21"/>
  <c r="Z45" i="21" s="1"/>
  <c r="S45" i="21"/>
  <c r="U45" i="21" s="1"/>
  <c r="AB44" i="21"/>
  <c r="Y44" i="21"/>
  <c r="AC44" i="21" s="1"/>
  <c r="S44" i="21"/>
  <c r="U44" i="21" s="1"/>
  <c r="AB43" i="21"/>
  <c r="Y43" i="21"/>
  <c r="Z43" i="21" s="1"/>
  <c r="S43" i="21"/>
  <c r="U43" i="21" s="1"/>
  <c r="AB42" i="21"/>
  <c r="AC42" i="21" s="1"/>
  <c r="AB41" i="21"/>
  <c r="Z41" i="21"/>
  <c r="AB40" i="21"/>
  <c r="AC40" i="21" s="1"/>
  <c r="AB39" i="21"/>
  <c r="Z39" i="21"/>
  <c r="S39" i="21"/>
  <c r="U39" i="21" s="1"/>
  <c r="AB38" i="21"/>
  <c r="Y38" i="21"/>
  <c r="Z38" i="21" s="1"/>
  <c r="S38" i="21"/>
  <c r="U38" i="21" s="1"/>
  <c r="AB37" i="21"/>
  <c r="AC37" i="21" s="1"/>
  <c r="Y37" i="21"/>
  <c r="Z37" i="21" s="1"/>
  <c r="S37" i="21"/>
  <c r="U37" i="21" s="1"/>
  <c r="AB36" i="21"/>
  <c r="Y36" i="21"/>
  <c r="Z36" i="21" s="1"/>
  <c r="S36" i="21"/>
  <c r="U36" i="21" s="1"/>
  <c r="AB35" i="21"/>
  <c r="Z35" i="21"/>
  <c r="S35" i="21"/>
  <c r="U35" i="21" s="1"/>
  <c r="AB34" i="21"/>
  <c r="Z34" i="21"/>
  <c r="Y34" i="21"/>
  <c r="S34" i="21"/>
  <c r="U34" i="21" s="1"/>
  <c r="AB33" i="21"/>
  <c r="Z33" i="21"/>
  <c r="S33" i="21"/>
  <c r="U33" i="21" s="1"/>
  <c r="AB32" i="21"/>
  <c r="Y32" i="21"/>
  <c r="S32" i="21"/>
  <c r="U32" i="21" s="1"/>
  <c r="AB31" i="21"/>
  <c r="Y31" i="21"/>
  <c r="Z31" i="21" s="1"/>
  <c r="S31" i="21"/>
  <c r="U31" i="21" s="1"/>
  <c r="AB30" i="21"/>
  <c r="Y30" i="21"/>
  <c r="S30" i="21"/>
  <c r="U30" i="21" s="1"/>
  <c r="AB29" i="21"/>
  <c r="Z29" i="21"/>
  <c r="S29" i="21"/>
  <c r="U29" i="21" s="1"/>
  <c r="AB28" i="21"/>
  <c r="Y28" i="21"/>
  <c r="S28" i="21"/>
  <c r="U28" i="21" s="1"/>
  <c r="AB27" i="21"/>
  <c r="AC27" i="21" s="1"/>
  <c r="Y27" i="21"/>
  <c r="Z27" i="21" s="1"/>
  <c r="S27" i="21"/>
  <c r="U27" i="21" s="1"/>
  <c r="AB26" i="21"/>
  <c r="S26" i="21"/>
  <c r="U26" i="21" s="1"/>
  <c r="AB25" i="21"/>
  <c r="Z25" i="21"/>
  <c r="S25" i="21"/>
  <c r="U25" i="21" s="1"/>
  <c r="AB24" i="21"/>
  <c r="AC24" i="21" s="1"/>
  <c r="AB23" i="21"/>
  <c r="AC23" i="21" s="1"/>
  <c r="Y23" i="21"/>
  <c r="Z23" i="21" s="1"/>
  <c r="S23" i="21"/>
  <c r="U23" i="21" s="1"/>
  <c r="AB22" i="21"/>
  <c r="Y22" i="21"/>
  <c r="S22" i="21"/>
  <c r="U22" i="21" s="1"/>
  <c r="AB21" i="21"/>
  <c r="Y21" i="21"/>
  <c r="Z21" i="21" s="1"/>
  <c r="S21" i="21"/>
  <c r="U21" i="21" s="1"/>
  <c r="AB20" i="21"/>
  <c r="AC20" i="21" s="1"/>
  <c r="AB19" i="21"/>
  <c r="AC19" i="21" s="1"/>
  <c r="Z19" i="21"/>
  <c r="AB18" i="21"/>
  <c r="AC18" i="21" s="1"/>
  <c r="AB17" i="21"/>
  <c r="Y17" i="21"/>
  <c r="Z17" i="21" s="1"/>
  <c r="S17" i="21"/>
  <c r="U17" i="21" s="1"/>
  <c r="AB16" i="21"/>
  <c r="AC16" i="21" s="1"/>
  <c r="AB15" i="21"/>
  <c r="AC15" i="21" s="1"/>
  <c r="Z15" i="21"/>
  <c r="AB14" i="21"/>
  <c r="AC14" i="21" s="1"/>
  <c r="AB13" i="21"/>
  <c r="AB12" i="21"/>
  <c r="AC12" i="21"/>
  <c r="AB11" i="21"/>
  <c r="Y11" i="21"/>
  <c r="Z11" i="21" s="1"/>
  <c r="S11" i="21"/>
  <c r="U11" i="21" s="1"/>
  <c r="AB10" i="21"/>
  <c r="AC10" i="21"/>
  <c r="AB9" i="21"/>
  <c r="AB8" i="21"/>
  <c r="AC8" i="21" s="1"/>
  <c r="AB7" i="21"/>
  <c r="AC34" i="21" l="1"/>
  <c r="AC38" i="24"/>
  <c r="AC26" i="24"/>
  <c r="AC30" i="24"/>
  <c r="AC27" i="24"/>
  <c r="AC23" i="24"/>
  <c r="AC15" i="24"/>
  <c r="AC19" i="24"/>
  <c r="X18" i="24"/>
  <c r="X9" i="24"/>
  <c r="AC9" i="24"/>
  <c r="AC16" i="24"/>
  <c r="AC18" i="24"/>
  <c r="X13" i="24"/>
  <c r="AC20" i="24"/>
  <c r="X24" i="24"/>
  <c r="X28" i="24"/>
  <c r="AC29" i="24"/>
  <c r="AC24" i="24"/>
  <c r="AC28" i="24"/>
  <c r="AC10" i="24"/>
  <c r="AC13" i="24"/>
  <c r="AD13" i="24" s="1"/>
  <c r="AE13" i="24" s="1"/>
  <c r="X43" i="24"/>
  <c r="X61" i="21"/>
  <c r="X45" i="22"/>
  <c r="X23" i="24"/>
  <c r="X11" i="21"/>
  <c r="X45" i="21"/>
  <c r="X49" i="22"/>
  <c r="X7" i="24"/>
  <c r="AD7" i="24" s="1"/>
  <c r="X12" i="24"/>
  <c r="AD12" i="24" s="1"/>
  <c r="AE12" i="24" s="1"/>
  <c r="X31" i="22"/>
  <c r="X29" i="24"/>
  <c r="X7" i="21"/>
  <c r="X19" i="24"/>
  <c r="AD19" i="24" s="1"/>
  <c r="AE19" i="24" s="1"/>
  <c r="X39" i="24"/>
  <c r="X13" i="21"/>
  <c r="AC37" i="24"/>
  <c r="Z38" i="24"/>
  <c r="Z18" i="24"/>
  <c r="X14" i="24"/>
  <c r="AD14" i="24" s="1"/>
  <c r="AE14" i="24" s="1"/>
  <c r="Z14" i="24"/>
  <c r="Z30" i="24"/>
  <c r="AC33" i="24"/>
  <c r="Z26" i="24"/>
  <c r="AC17" i="24"/>
  <c r="Z22" i="24"/>
  <c r="AC54" i="23"/>
  <c r="X60" i="23"/>
  <c r="X55" i="23"/>
  <c r="X59" i="23"/>
  <c r="X43" i="23"/>
  <c r="AC34" i="22"/>
  <c r="X11" i="24"/>
  <c r="AD11" i="24" s="1"/>
  <c r="AE11" i="24" s="1"/>
  <c r="X16" i="24"/>
  <c r="AD16" i="24" s="1"/>
  <c r="AE16" i="24" s="1"/>
  <c r="X36" i="24"/>
  <c r="X38" i="24"/>
  <c r="X12" i="21"/>
  <c r="AD12" i="21" s="1"/>
  <c r="AE12" i="21" s="1"/>
  <c r="X16" i="21"/>
  <c r="X32" i="21"/>
  <c r="X33" i="22"/>
  <c r="X39" i="23"/>
  <c r="X38" i="21"/>
  <c r="AD28" i="23"/>
  <c r="AE28" i="23" s="1"/>
  <c r="X41" i="23"/>
  <c r="X27" i="24"/>
  <c r="AD27" i="24" s="1"/>
  <c r="AE27" i="24" s="1"/>
  <c r="X35" i="24"/>
  <c r="AC41" i="22"/>
  <c r="X38" i="22"/>
  <c r="AC47" i="22"/>
  <c r="AC60" i="22"/>
  <c r="AC31" i="22"/>
  <c r="X46" i="22"/>
  <c r="AD46" i="22" s="1"/>
  <c r="AE46" i="22" s="1"/>
  <c r="Z47" i="22"/>
  <c r="AC51" i="22"/>
  <c r="AC53" i="22"/>
  <c r="AC55" i="22"/>
  <c r="AC35" i="22"/>
  <c r="X52" i="22"/>
  <c r="AC50" i="22"/>
  <c r="X54" i="22"/>
  <c r="X56" i="22"/>
  <c r="X60" i="22"/>
  <c r="AC44" i="22"/>
  <c r="X44" i="22"/>
  <c r="X40" i="22"/>
  <c r="AC30" i="22"/>
  <c r="AD51" i="25"/>
  <c r="AE51" i="25" s="1"/>
  <c r="AC39" i="21"/>
  <c r="AC33" i="21"/>
  <c r="AC22" i="21"/>
  <c r="X27" i="21"/>
  <c r="X29" i="21"/>
  <c r="X31" i="21"/>
  <c r="X52" i="21"/>
  <c r="X21" i="21"/>
  <c r="X23" i="21"/>
  <c r="AD23" i="21" s="1"/>
  <c r="AE23" i="21" s="1"/>
  <c r="X33" i="21"/>
  <c r="AD33" i="21" s="1"/>
  <c r="AE33" i="21" s="1"/>
  <c r="X47" i="21"/>
  <c r="Z50" i="21"/>
  <c r="AC56" i="21"/>
  <c r="AC58" i="21"/>
  <c r="AC60" i="21"/>
  <c r="X8" i="21"/>
  <c r="AD8" i="21" s="1"/>
  <c r="AE8" i="21" s="1"/>
  <c r="AC47" i="21"/>
  <c r="X53" i="21"/>
  <c r="AC7" i="21"/>
  <c r="X59" i="21"/>
  <c r="AC26" i="21"/>
  <c r="AC28" i="21"/>
  <c r="AC30" i="21"/>
  <c r="AC49" i="21"/>
  <c r="AD49" i="21" s="1"/>
  <c r="AE49" i="21" s="1"/>
  <c r="AC53" i="21"/>
  <c r="X25" i="21"/>
  <c r="AD25" i="22"/>
  <c r="AE25" i="22" s="1"/>
  <c r="X36" i="21"/>
  <c r="X43" i="21"/>
  <c r="X50" i="21"/>
  <c r="AD50" i="21" s="1"/>
  <c r="AE50" i="21" s="1"/>
  <c r="AD55" i="21"/>
  <c r="AE55" i="21" s="1"/>
  <c r="X36" i="22"/>
  <c r="X48" i="22"/>
  <c r="X50" i="22"/>
  <c r="AD8" i="23"/>
  <c r="AE8" i="23" s="1"/>
  <c r="AD14" i="23"/>
  <c r="AE14" i="23" s="1"/>
  <c r="AD17" i="23"/>
  <c r="AE17" i="23" s="1"/>
  <c r="AD29" i="23"/>
  <c r="AE29" i="23" s="1"/>
  <c r="X21" i="24"/>
  <c r="AD21" i="24" s="1"/>
  <c r="AE21" i="24" s="1"/>
  <c r="X26" i="24"/>
  <c r="X32" i="24"/>
  <c r="X41" i="24"/>
  <c r="X10" i="21"/>
  <c r="AD10" i="21" s="1"/>
  <c r="AE10" i="21" s="1"/>
  <c r="X14" i="21"/>
  <c r="AD14" i="21" s="1"/>
  <c r="AE14" i="21" s="1"/>
  <c r="X19" i="21"/>
  <c r="AD19" i="21" s="1"/>
  <c r="AE19" i="21" s="1"/>
  <c r="AD9" i="23"/>
  <c r="AE9" i="23" s="1"/>
  <c r="AD15" i="23"/>
  <c r="AE15" i="23" s="1"/>
  <c r="AD14" i="22"/>
  <c r="AE14" i="22" s="1"/>
  <c r="AD16" i="22"/>
  <c r="AE16" i="22" s="1"/>
  <c r="AD18" i="22"/>
  <c r="AE18" i="22" s="1"/>
  <c r="X35" i="22"/>
  <c r="X47" i="22"/>
  <c r="AD47" i="22" s="1"/>
  <c r="AE47" i="22" s="1"/>
  <c r="AD57" i="22"/>
  <c r="AE57" i="22" s="1"/>
  <c r="AD11" i="23"/>
  <c r="AE11" i="23" s="1"/>
  <c r="AD50" i="23"/>
  <c r="AE50" i="23" s="1"/>
  <c r="X56" i="23"/>
  <c r="X58" i="23"/>
  <c r="X8" i="24"/>
  <c r="AD8" i="24" s="1"/>
  <c r="AE8" i="24" s="1"/>
  <c r="X15" i="21"/>
  <c r="AD15" i="21" s="1"/>
  <c r="AE15" i="21" s="1"/>
  <c r="X20" i="21"/>
  <c r="X35" i="21"/>
  <c r="AD17" i="22"/>
  <c r="AE17" i="22" s="1"/>
  <c r="AD28" i="22"/>
  <c r="AE28" i="22" s="1"/>
  <c r="X30" i="22"/>
  <c r="X61" i="22"/>
  <c r="AD16" i="23"/>
  <c r="AE16" i="23" s="1"/>
  <c r="AD49" i="23"/>
  <c r="AE49" i="23" s="1"/>
  <c r="X10" i="24"/>
  <c r="AD10" i="24" s="1"/>
  <c r="AE10" i="24" s="1"/>
  <c r="X15" i="24"/>
  <c r="X20" i="24"/>
  <c r="X30" i="24"/>
  <c r="AD30" i="24" s="1"/>
  <c r="AE30" i="24" s="1"/>
  <c r="X33" i="24"/>
  <c r="X40" i="24"/>
  <c r="X42" i="24"/>
  <c r="X44" i="24"/>
  <c r="X22" i="21"/>
  <c r="AD22" i="21" s="1"/>
  <c r="AE22" i="21" s="1"/>
  <c r="X26" i="21"/>
  <c r="X28" i="21"/>
  <c r="AD28" i="21" s="1"/>
  <c r="AE28" i="21" s="1"/>
  <c r="X30" i="21"/>
  <c r="AD30" i="21" s="1"/>
  <c r="AE30" i="21" s="1"/>
  <c r="X37" i="21"/>
  <c r="AD37" i="21" s="1"/>
  <c r="AE37" i="21" s="1"/>
  <c r="X44" i="21"/>
  <c r="AD44" i="21" s="1"/>
  <c r="AE44" i="21" s="1"/>
  <c r="X46" i="21"/>
  <c r="X51" i="21"/>
  <c r="X56" i="21"/>
  <c r="AD56" i="21" s="1"/>
  <c r="AE56" i="21" s="1"/>
  <c r="X58" i="21"/>
  <c r="AD24" i="22"/>
  <c r="AE24" i="22" s="1"/>
  <c r="AD26" i="22"/>
  <c r="AE26" i="22" s="1"/>
  <c r="X37" i="22"/>
  <c r="AD37" i="22" s="1"/>
  <c r="AE37" i="22" s="1"/>
  <c r="X39" i="22"/>
  <c r="AD39" i="22" s="1"/>
  <c r="AE39" i="22" s="1"/>
  <c r="X51" i="22"/>
  <c r="X17" i="24"/>
  <c r="X22" i="24"/>
  <c r="AD22" i="24" s="1"/>
  <c r="AE22" i="24" s="1"/>
  <c r="X9" i="21"/>
  <c r="X18" i="21"/>
  <c r="AD40" i="21"/>
  <c r="AE40" i="21" s="1"/>
  <c r="AD13" i="22"/>
  <c r="AE13" i="22" s="1"/>
  <c r="AD20" i="22"/>
  <c r="AE20" i="22" s="1"/>
  <c r="AD22" i="22"/>
  <c r="AE22" i="22" s="1"/>
  <c r="X32" i="22"/>
  <c r="X34" i="22"/>
  <c r="AD12" i="23"/>
  <c r="AE12" i="23" s="1"/>
  <c r="AD22" i="23"/>
  <c r="AE22" i="23" s="1"/>
  <c r="X40" i="23"/>
  <c r="X42" i="23"/>
  <c r="X53" i="23"/>
  <c r="X17" i="21"/>
  <c r="X34" i="21"/>
  <c r="AD34" i="21" s="1"/>
  <c r="AE34" i="21" s="1"/>
  <c r="X39" i="21"/>
  <c r="AD39" i="21" s="1"/>
  <c r="AE39" i="21" s="1"/>
  <c r="X60" i="21"/>
  <c r="AD8" i="22"/>
  <c r="AE8" i="22" s="1"/>
  <c r="AD11" i="22"/>
  <c r="AE11" i="22" s="1"/>
  <c r="AD27" i="22"/>
  <c r="AE27" i="22" s="1"/>
  <c r="X41" i="22"/>
  <c r="X53" i="22"/>
  <c r="X55" i="22"/>
  <c r="AD55" i="22" s="1"/>
  <c r="AE55" i="22" s="1"/>
  <c r="AD13" i="23"/>
  <c r="AE13" i="23" s="1"/>
  <c r="AD19" i="23"/>
  <c r="AE19" i="23" s="1"/>
  <c r="AD23" i="23"/>
  <c r="AE23" i="23" s="1"/>
  <c r="AD27" i="23"/>
  <c r="AE27" i="23" s="1"/>
  <c r="AD30" i="23"/>
  <c r="AE30" i="23" s="1"/>
  <c r="AD33" i="23"/>
  <c r="AE33" i="23" s="1"/>
  <c r="AD25" i="24"/>
  <c r="AE25" i="24" s="1"/>
  <c r="AC31" i="21"/>
  <c r="AD31" i="21" s="1"/>
  <c r="AE31" i="21" s="1"/>
  <c r="AC11" i="21"/>
  <c r="AD11" i="21" s="1"/>
  <c r="AE11" i="21" s="1"/>
  <c r="AD18" i="24"/>
  <c r="AE18" i="24" s="1"/>
  <c r="AC31" i="24"/>
  <c r="AD31" i="24" s="1"/>
  <c r="AE31" i="24" s="1"/>
  <c r="Z31" i="24"/>
  <c r="AC36" i="24"/>
  <c r="Z36" i="24"/>
  <c r="Z7" i="24"/>
  <c r="Z11" i="24"/>
  <c r="Z15" i="24"/>
  <c r="Z19" i="24"/>
  <c r="Z23" i="24"/>
  <c r="Z27" i="24"/>
  <c r="X34" i="24"/>
  <c r="AD34" i="24" s="1"/>
  <c r="AE34" i="24" s="1"/>
  <c r="AC40" i="24"/>
  <c r="Z40" i="24"/>
  <c r="AC41" i="24"/>
  <c r="Z8" i="24"/>
  <c r="Z12" i="24"/>
  <c r="Z16" i="24"/>
  <c r="Z20" i="24"/>
  <c r="Z24" i="24"/>
  <c r="Z28" i="24"/>
  <c r="AC39" i="24"/>
  <c r="AD39" i="24" s="1"/>
  <c r="AE39" i="24" s="1"/>
  <c r="Z39" i="24"/>
  <c r="AC32" i="24"/>
  <c r="Z32" i="24"/>
  <c r="Z34" i="24"/>
  <c r="X37" i="24"/>
  <c r="AC43" i="24"/>
  <c r="Z43" i="24"/>
  <c r="AC45" i="24"/>
  <c r="AC42" i="24"/>
  <c r="AC35" i="24"/>
  <c r="Z35" i="24"/>
  <c r="AC44" i="24"/>
  <c r="Z44" i="24"/>
  <c r="Z42" i="24"/>
  <c r="X45" i="24"/>
  <c r="AD18" i="23"/>
  <c r="AE18" i="23" s="1"/>
  <c r="AD26" i="23"/>
  <c r="AE26" i="23" s="1"/>
  <c r="AD10" i="23"/>
  <c r="AE10" i="23" s="1"/>
  <c r="AD20" i="23"/>
  <c r="AE20" i="23" s="1"/>
  <c r="AD21" i="23"/>
  <c r="AE21" i="23" s="1"/>
  <c r="AD24" i="23"/>
  <c r="AE24" i="23" s="1"/>
  <c r="AD25" i="23"/>
  <c r="AE25" i="23" s="1"/>
  <c r="AD7" i="23"/>
  <c r="Z7" i="23"/>
  <c r="Z11" i="23"/>
  <c r="Z15" i="23"/>
  <c r="Z19" i="23"/>
  <c r="Z23" i="23"/>
  <c r="Z27" i="23"/>
  <c r="AD34" i="23"/>
  <c r="AE34" i="23" s="1"/>
  <c r="AC40" i="23"/>
  <c r="Z40" i="23"/>
  <c r="AC41" i="23"/>
  <c r="Z54" i="23"/>
  <c r="X57" i="23"/>
  <c r="AC58" i="23"/>
  <c r="AC35" i="23"/>
  <c r="AD35" i="23" s="1"/>
  <c r="AE35" i="23" s="1"/>
  <c r="Z35" i="23"/>
  <c r="AC44" i="23"/>
  <c r="AD44" i="23" s="1"/>
  <c r="AE44" i="23" s="1"/>
  <c r="Z44" i="23"/>
  <c r="AC45" i="23"/>
  <c r="AC32" i="23"/>
  <c r="AD32" i="23" s="1"/>
  <c r="AE32" i="23" s="1"/>
  <c r="Z32" i="23"/>
  <c r="AC55" i="23"/>
  <c r="AD55" i="23" s="1"/>
  <c r="AE55" i="23" s="1"/>
  <c r="Z55" i="23"/>
  <c r="Z8" i="23"/>
  <c r="Z12" i="23"/>
  <c r="Z16" i="23"/>
  <c r="AC39" i="23"/>
  <c r="Z39" i="23"/>
  <c r="AC48" i="23"/>
  <c r="Z48" i="23"/>
  <c r="AC36" i="23"/>
  <c r="Z36" i="23"/>
  <c r="Z50" i="23"/>
  <c r="Z34" i="23"/>
  <c r="AD37" i="23"/>
  <c r="AE37" i="23" s="1"/>
  <c r="AC38" i="23"/>
  <c r="AC43" i="23"/>
  <c r="AD43" i="23" s="1"/>
  <c r="AE43" i="23" s="1"/>
  <c r="Z43" i="23"/>
  <c r="AC52" i="23"/>
  <c r="Z52" i="23"/>
  <c r="AC53" i="23"/>
  <c r="AC31" i="23"/>
  <c r="AD31" i="23" s="1"/>
  <c r="AE31" i="23" s="1"/>
  <c r="Z31" i="23"/>
  <c r="AC42" i="23"/>
  <c r="AC47" i="23"/>
  <c r="Z47" i="23"/>
  <c r="AC56" i="23"/>
  <c r="Z56" i="23"/>
  <c r="AC57" i="23"/>
  <c r="AC59" i="23"/>
  <c r="Z59" i="23"/>
  <c r="Z42" i="23"/>
  <c r="AC46" i="23"/>
  <c r="AD46" i="23" s="1"/>
  <c r="AE46" i="23" s="1"/>
  <c r="AC51" i="23"/>
  <c r="Z51" i="23"/>
  <c r="X54" i="23"/>
  <c r="AD54" i="23" s="1"/>
  <c r="AE54" i="23" s="1"/>
  <c r="AC60" i="23"/>
  <c r="Z60" i="23"/>
  <c r="AD10" i="22"/>
  <c r="AE10" i="22" s="1"/>
  <c r="AD23" i="22"/>
  <c r="AE23" i="22" s="1"/>
  <c r="AD12" i="22"/>
  <c r="AE12" i="22" s="1"/>
  <c r="AD19" i="22"/>
  <c r="AE19" i="22" s="1"/>
  <c r="AD15" i="22"/>
  <c r="AE15" i="22" s="1"/>
  <c r="Z13" i="22"/>
  <c r="Z25" i="22"/>
  <c r="Z41" i="22"/>
  <c r="Z37" i="22"/>
  <c r="AC40" i="22"/>
  <c r="Z53" i="22"/>
  <c r="AC56" i="22"/>
  <c r="Z17" i="22"/>
  <c r="Z39" i="22"/>
  <c r="AC58" i="22"/>
  <c r="AC9" i="22"/>
  <c r="AD9" i="22" s="1"/>
  <c r="AE9" i="22" s="1"/>
  <c r="Z10" i="22"/>
  <c r="Z14" i="22"/>
  <c r="AC21" i="22"/>
  <c r="AD21" i="22" s="1"/>
  <c r="AE21" i="22" s="1"/>
  <c r="AC29" i="22"/>
  <c r="AD29" i="22" s="1"/>
  <c r="AE29" i="22" s="1"/>
  <c r="AC33" i="22"/>
  <c r="AC38" i="22"/>
  <c r="AD38" i="22" s="1"/>
  <c r="AE38" i="22" s="1"/>
  <c r="AC49" i="22"/>
  <c r="AC54" i="22"/>
  <c r="AC42" i="22"/>
  <c r="Z33" i="22"/>
  <c r="AC36" i="22"/>
  <c r="Z49" i="22"/>
  <c r="AC52" i="22"/>
  <c r="AD7" i="22"/>
  <c r="Z57" i="22"/>
  <c r="AC45" i="22"/>
  <c r="AC61" i="22"/>
  <c r="Z55" i="22"/>
  <c r="AC32" i="22"/>
  <c r="AC43" i="22"/>
  <c r="Z45" i="22"/>
  <c r="AC48" i="22"/>
  <c r="AC59" i="22"/>
  <c r="Z61" i="22"/>
  <c r="AD27" i="21"/>
  <c r="AE27" i="21" s="1"/>
  <c r="AD16" i="21"/>
  <c r="AE16" i="21" s="1"/>
  <c r="AD18" i="21"/>
  <c r="AE18" i="21" s="1"/>
  <c r="AD20" i="21"/>
  <c r="AE20" i="21" s="1"/>
  <c r="AD24" i="21"/>
  <c r="AE24" i="21" s="1"/>
  <c r="AD42" i="21"/>
  <c r="AE42" i="21" s="1"/>
  <c r="Z60" i="21"/>
  <c r="AC36" i="21"/>
  <c r="AC41" i="21"/>
  <c r="AD41" i="21" s="1"/>
  <c r="AE41" i="21" s="1"/>
  <c r="AC52" i="21"/>
  <c r="AC57" i="21"/>
  <c r="AD57" i="21" s="1"/>
  <c r="AE57" i="21" s="1"/>
  <c r="Z28" i="21"/>
  <c r="AC9" i="21"/>
  <c r="Z10" i="21"/>
  <c r="AC13" i="21"/>
  <c r="AD13" i="21" s="1"/>
  <c r="AE13" i="21" s="1"/>
  <c r="Z14" i="21"/>
  <c r="AC17" i="21"/>
  <c r="Z18" i="21"/>
  <c r="AC21" i="21"/>
  <c r="Z22" i="21"/>
  <c r="AC25" i="21"/>
  <c r="Z26" i="21"/>
  <c r="AC29" i="21"/>
  <c r="Z30" i="21"/>
  <c r="AC32" i="21"/>
  <c r="AC48" i="21"/>
  <c r="Z44" i="21"/>
  <c r="Z32" i="21"/>
  <c r="AC35" i="21"/>
  <c r="AC46" i="21"/>
  <c r="Z48" i="21"/>
  <c r="AC51" i="21"/>
  <c r="Z8" i="21"/>
  <c r="Z12" i="21"/>
  <c r="Z16" i="21"/>
  <c r="Z20" i="21"/>
  <c r="Z24" i="21"/>
  <c r="Z42" i="21"/>
  <c r="AC45" i="21"/>
  <c r="AD45" i="21" s="1"/>
  <c r="AE45" i="21" s="1"/>
  <c r="Z58" i="21"/>
  <c r="AC61" i="21"/>
  <c r="AC38" i="21"/>
  <c r="Z40" i="21"/>
  <c r="AC43" i="21"/>
  <c r="AD43" i="21" s="1"/>
  <c r="AE43" i="21" s="1"/>
  <c r="AC54" i="21"/>
  <c r="AD54" i="21" s="1"/>
  <c r="AE54" i="21" s="1"/>
  <c r="Z56" i="21"/>
  <c r="AC59" i="21"/>
  <c r="Z53" i="20"/>
  <c r="Y39" i="20"/>
  <c r="Y38" i="20"/>
  <c r="Y42" i="20"/>
  <c r="S42" i="20"/>
  <c r="U42" i="20" s="1"/>
  <c r="Y37" i="20"/>
  <c r="S37" i="20"/>
  <c r="U37" i="20" s="1"/>
  <c r="Y36" i="20"/>
  <c r="Y12" i="20"/>
  <c r="S12" i="20"/>
  <c r="U12" i="20" s="1"/>
  <c r="AD9" i="24" l="1"/>
  <c r="AE9" i="24" s="1"/>
  <c r="AD33" i="22"/>
  <c r="AE33" i="22" s="1"/>
  <c r="AD49" i="22"/>
  <c r="AE49" i="22" s="1"/>
  <c r="AD38" i="21"/>
  <c r="AE38" i="21" s="1"/>
  <c r="AD52" i="21"/>
  <c r="AE52" i="21" s="1"/>
  <c r="AD33" i="24"/>
  <c r="AE33" i="24" s="1"/>
  <c r="AD30" i="22"/>
  <c r="AE30" i="22" s="1"/>
  <c r="AD26" i="24"/>
  <c r="AE26" i="24" s="1"/>
  <c r="AD58" i="21"/>
  <c r="AE58" i="21" s="1"/>
  <c r="AD15" i="24"/>
  <c r="AE15" i="24" s="1"/>
  <c r="AD60" i="22"/>
  <c r="AE60" i="22" s="1"/>
  <c r="AD7" i="21"/>
  <c r="AE7" i="21" s="1"/>
  <c r="AD23" i="24"/>
  <c r="AE23" i="24" s="1"/>
  <c r="AD38" i="24"/>
  <c r="AE38" i="24" s="1"/>
  <c r="AD29" i="24"/>
  <c r="AE29" i="24" s="1"/>
  <c r="AD28" i="24"/>
  <c r="AE28" i="24" s="1"/>
  <c r="AD35" i="24"/>
  <c r="AE35" i="24" s="1"/>
  <c r="AD61" i="21"/>
  <c r="AE61" i="21" s="1"/>
  <c r="AD60" i="23"/>
  <c r="AE60" i="23" s="1"/>
  <c r="AD57" i="23"/>
  <c r="AE57" i="23" s="1"/>
  <c r="AD40" i="24"/>
  <c r="AE40" i="24" s="1"/>
  <c r="AD52" i="22"/>
  <c r="AE52" i="22" s="1"/>
  <c r="AD43" i="24"/>
  <c r="AE43" i="24" s="1"/>
  <c r="AD24" i="24"/>
  <c r="AE24" i="24" s="1"/>
  <c r="AD32" i="24"/>
  <c r="AE32" i="24" s="1"/>
  <c r="AD20" i="24"/>
  <c r="AE20" i="24" s="1"/>
  <c r="AD42" i="24"/>
  <c r="AE42" i="24" s="1"/>
  <c r="AD53" i="21"/>
  <c r="AE53" i="21" s="1"/>
  <c r="AD59" i="21"/>
  <c r="AE59" i="21" s="1"/>
  <c r="AD31" i="22"/>
  <c r="AE31" i="22" s="1"/>
  <c r="AD46" i="21"/>
  <c r="AE46" i="21" s="1"/>
  <c r="AD32" i="22"/>
  <c r="AE32" i="22" s="1"/>
  <c r="AD45" i="22"/>
  <c r="AE45" i="22" s="1"/>
  <c r="AD39" i="23"/>
  <c r="AE39" i="23" s="1"/>
  <c r="AD35" i="21"/>
  <c r="AE35" i="21" s="1"/>
  <c r="AD25" i="21"/>
  <c r="AE25" i="21" s="1"/>
  <c r="AD9" i="21"/>
  <c r="AE9" i="21" s="1"/>
  <c r="AD36" i="24"/>
  <c r="AE36" i="24" s="1"/>
  <c r="AD37" i="24"/>
  <c r="AE37" i="24" s="1"/>
  <c r="AD17" i="24"/>
  <c r="AE17" i="24" s="1"/>
  <c r="AD41" i="23"/>
  <c r="AE41" i="23" s="1"/>
  <c r="AD59" i="23"/>
  <c r="AE59" i="23" s="1"/>
  <c r="AD53" i="22"/>
  <c r="AE53" i="22" s="1"/>
  <c r="AD50" i="22"/>
  <c r="AE50" i="22" s="1"/>
  <c r="AD54" i="22"/>
  <c r="AE54" i="22" s="1"/>
  <c r="AD34" i="22"/>
  <c r="AE34" i="22" s="1"/>
  <c r="AD32" i="21"/>
  <c r="AE32" i="21" s="1"/>
  <c r="AD43" i="22"/>
  <c r="AE43" i="22" s="1"/>
  <c r="AD47" i="23"/>
  <c r="AE47" i="23" s="1"/>
  <c r="AD53" i="23"/>
  <c r="AE53" i="23" s="1"/>
  <c r="AD40" i="23"/>
  <c r="AE40" i="23" s="1"/>
  <c r="AD44" i="24"/>
  <c r="AE44" i="24" s="1"/>
  <c r="AD41" i="24"/>
  <c r="AE41" i="24" s="1"/>
  <c r="AD29" i="21"/>
  <c r="AE29" i="21" s="1"/>
  <c r="AD40" i="22"/>
  <c r="AE40" i="22" s="1"/>
  <c r="AD48" i="23"/>
  <c r="AE48" i="23" s="1"/>
  <c r="AD42" i="22"/>
  <c r="AE42" i="22" s="1"/>
  <c r="AD58" i="23"/>
  <c r="AE58" i="23" s="1"/>
  <c r="AD47" i="21"/>
  <c r="AE47" i="21" s="1"/>
  <c r="AD48" i="22"/>
  <c r="AE48" i="22" s="1"/>
  <c r="AD51" i="22"/>
  <c r="AE51" i="22" s="1"/>
  <c r="AD56" i="22"/>
  <c r="AE56" i="22" s="1"/>
  <c r="AD35" i="22"/>
  <c r="AE35" i="22" s="1"/>
  <c r="AD59" i="22"/>
  <c r="AE59" i="22" s="1"/>
  <c r="AD41" i="22"/>
  <c r="AE41" i="22" s="1"/>
  <c r="AD58" i="22"/>
  <c r="AE58" i="22" s="1"/>
  <c r="AD44" i="22"/>
  <c r="AE44" i="22" s="1"/>
  <c r="Z63" i="22"/>
  <c r="AD26" i="21"/>
  <c r="AE26" i="21" s="1"/>
  <c r="AD48" i="21"/>
  <c r="AE48" i="21" s="1"/>
  <c r="AD21" i="21"/>
  <c r="AE21" i="21" s="1"/>
  <c r="AD51" i="21"/>
  <c r="AE51" i="21" s="1"/>
  <c r="AD36" i="21"/>
  <c r="AE36" i="21" s="1"/>
  <c r="AD60" i="21"/>
  <c r="AE60" i="21" s="1"/>
  <c r="Z63" i="21"/>
  <c r="AD56" i="23"/>
  <c r="AE56" i="23" s="1"/>
  <c r="AD42" i="23"/>
  <c r="AE42" i="23" s="1"/>
  <c r="AD36" i="22"/>
  <c r="AE36" i="22" s="1"/>
  <c r="AD51" i="23"/>
  <c r="AE51" i="23" s="1"/>
  <c r="AD45" i="23"/>
  <c r="AE45" i="23" s="1"/>
  <c r="AD61" i="22"/>
  <c r="AE61" i="22" s="1"/>
  <c r="AD36" i="23"/>
  <c r="AE36" i="23" s="1"/>
  <c r="AD17" i="21"/>
  <c r="AE17" i="21" s="1"/>
  <c r="Z47" i="24"/>
  <c r="AE7" i="24"/>
  <c r="AD45" i="24"/>
  <c r="AE45" i="24" s="1"/>
  <c r="AC47" i="24"/>
  <c r="AE7" i="23"/>
  <c r="AD38" i="23"/>
  <c r="AE38" i="23" s="1"/>
  <c r="Z62" i="23"/>
  <c r="AD52" i="23"/>
  <c r="AE52" i="23" s="1"/>
  <c r="AC62" i="23"/>
  <c r="AE7" i="22"/>
  <c r="AC63" i="22"/>
  <c r="AC63" i="21"/>
  <c r="X12" i="20"/>
  <c r="X37" i="20"/>
  <c r="X42" i="20"/>
  <c r="Y29" i="20"/>
  <c r="Z29" i="20" s="1"/>
  <c r="S29" i="20"/>
  <c r="U29" i="20" s="1"/>
  <c r="Y19" i="20"/>
  <c r="Z19" i="20" s="1"/>
  <c r="S19" i="20"/>
  <c r="U19" i="20" s="1"/>
  <c r="Y18" i="20"/>
  <c r="S18" i="20"/>
  <c r="U18" i="20" s="1"/>
  <c r="Y17" i="20"/>
  <c r="S17" i="20"/>
  <c r="U17" i="20" s="1"/>
  <c r="Y10" i="20"/>
  <c r="S10" i="20"/>
  <c r="U10" i="20" s="1"/>
  <c r="Y9" i="20"/>
  <c r="S9" i="20"/>
  <c r="U9" i="20" s="1"/>
  <c r="Y8" i="20"/>
  <c r="S8" i="20"/>
  <c r="U8" i="20" s="1"/>
  <c r="Y7" i="20"/>
  <c r="Z7" i="20" s="1"/>
  <c r="S7" i="20"/>
  <c r="U7" i="20" s="1"/>
  <c r="Y16" i="20"/>
  <c r="Z16" i="20" s="1"/>
  <c r="S16" i="20"/>
  <c r="U16" i="20" s="1"/>
  <c r="Z56" i="20"/>
  <c r="AJ51" i="20"/>
  <c r="AI51" i="20"/>
  <c r="AH51" i="20"/>
  <c r="AG51" i="20"/>
  <c r="AF51" i="20"/>
  <c r="AB49" i="20"/>
  <c r="Y49" i="20"/>
  <c r="S49" i="20"/>
  <c r="U49" i="20" s="1"/>
  <c r="AB48" i="20"/>
  <c r="Y48" i="20"/>
  <c r="X48" i="20"/>
  <c r="S48" i="20"/>
  <c r="U48" i="20" s="1"/>
  <c r="AB47" i="20"/>
  <c r="Y47" i="20"/>
  <c r="S47" i="20"/>
  <c r="U47" i="20" s="1"/>
  <c r="AB46" i="20"/>
  <c r="Y46" i="20"/>
  <c r="Z46" i="20" s="1"/>
  <c r="S46" i="20"/>
  <c r="U46" i="20" s="1"/>
  <c r="AB45" i="20"/>
  <c r="Y45" i="20"/>
  <c r="S45" i="20"/>
  <c r="U45" i="20" s="1"/>
  <c r="AB44" i="20"/>
  <c r="Y44" i="20"/>
  <c r="S44" i="20"/>
  <c r="U44" i="20" s="1"/>
  <c r="AB43" i="20"/>
  <c r="Y43" i="20"/>
  <c r="S43" i="20"/>
  <c r="U43" i="20" s="1"/>
  <c r="AB42" i="20"/>
  <c r="Z42" i="20"/>
  <c r="AB41" i="20"/>
  <c r="Y41" i="20"/>
  <c r="S41" i="20"/>
  <c r="U41" i="20" s="1"/>
  <c r="AB40" i="20"/>
  <c r="Y40" i="20"/>
  <c r="S40" i="20"/>
  <c r="U40" i="20" s="1"/>
  <c r="AB39" i="20"/>
  <c r="S39" i="20"/>
  <c r="U39" i="20" s="1"/>
  <c r="AB38" i="20"/>
  <c r="Z38" i="20"/>
  <c r="S38" i="20"/>
  <c r="U38" i="20" s="1"/>
  <c r="AB37" i="20"/>
  <c r="AB36" i="20"/>
  <c r="S36" i="20"/>
  <c r="U36" i="20" s="1"/>
  <c r="AB35" i="20"/>
  <c r="Y35" i="20"/>
  <c r="S35" i="20"/>
  <c r="U35" i="20" s="1"/>
  <c r="AB34" i="20"/>
  <c r="Y34" i="20"/>
  <c r="Z34" i="20" s="1"/>
  <c r="S34" i="20"/>
  <c r="U34" i="20" s="1"/>
  <c r="AB33" i="20"/>
  <c r="Y33" i="20"/>
  <c r="S33" i="20"/>
  <c r="U33" i="20" s="1"/>
  <c r="AB32" i="20"/>
  <c r="Y32" i="20"/>
  <c r="S32" i="20"/>
  <c r="U32" i="20" s="1"/>
  <c r="AB31" i="20"/>
  <c r="Y31" i="20"/>
  <c r="Z31" i="20" s="1"/>
  <c r="S31" i="20"/>
  <c r="U31" i="20" s="1"/>
  <c r="AB30" i="20"/>
  <c r="Y30" i="20"/>
  <c r="S30" i="20"/>
  <c r="U30" i="20" s="1"/>
  <c r="AB29" i="20"/>
  <c r="AB28" i="20"/>
  <c r="Y28" i="20"/>
  <c r="AC28" i="20" s="1"/>
  <c r="S28" i="20"/>
  <c r="U28" i="20" s="1"/>
  <c r="AB27" i="20"/>
  <c r="AC27" i="20" s="1"/>
  <c r="Y27" i="20"/>
  <c r="Z27" i="20" s="1"/>
  <c r="S27" i="20"/>
  <c r="U27" i="20" s="1"/>
  <c r="AB26" i="20"/>
  <c r="Y26" i="20"/>
  <c r="AC26" i="20" s="1"/>
  <c r="S26" i="20"/>
  <c r="U26" i="20" s="1"/>
  <c r="AB25" i="20"/>
  <c r="Y25" i="20"/>
  <c r="Z25" i="20" s="1"/>
  <c r="S25" i="20"/>
  <c r="U25" i="20" s="1"/>
  <c r="AB24" i="20"/>
  <c r="Y24" i="20"/>
  <c r="AC24" i="20" s="1"/>
  <c r="S24" i="20"/>
  <c r="U24" i="20" s="1"/>
  <c r="AB23" i="20"/>
  <c r="AC23" i="20" s="1"/>
  <c r="Y23" i="20"/>
  <c r="Z23" i="20" s="1"/>
  <c r="S23" i="20"/>
  <c r="U23" i="20" s="1"/>
  <c r="AB22" i="20"/>
  <c r="Y22" i="20"/>
  <c r="AC22" i="20" s="1"/>
  <c r="S22" i="20"/>
  <c r="U22" i="20" s="1"/>
  <c r="AB21" i="20"/>
  <c r="Y21" i="20"/>
  <c r="Z21" i="20" s="1"/>
  <c r="X21" i="20"/>
  <c r="S21" i="20"/>
  <c r="U21" i="20" s="1"/>
  <c r="AB20" i="20"/>
  <c r="Y20" i="20"/>
  <c r="AC20" i="20" s="1"/>
  <c r="S20" i="20"/>
  <c r="U20" i="20" s="1"/>
  <c r="AB19" i="20"/>
  <c r="AB18" i="20"/>
  <c r="AB17" i="20"/>
  <c r="Z17" i="20"/>
  <c r="AB16" i="20"/>
  <c r="AB15" i="20"/>
  <c r="Y15" i="20"/>
  <c r="Z15" i="20" s="1"/>
  <c r="S15" i="20"/>
  <c r="U15" i="20" s="1"/>
  <c r="AB14" i="20"/>
  <c r="Y14" i="20"/>
  <c r="S14" i="20"/>
  <c r="U14" i="20" s="1"/>
  <c r="AB13" i="20"/>
  <c r="Y13" i="20"/>
  <c r="Z13" i="20" s="1"/>
  <c r="S13" i="20"/>
  <c r="U13" i="20" s="1"/>
  <c r="AB12" i="20"/>
  <c r="AB11" i="20"/>
  <c r="Y11" i="20"/>
  <c r="Z11" i="20" s="1"/>
  <c r="S11" i="20"/>
  <c r="U11" i="20" s="1"/>
  <c r="AB10" i="20"/>
  <c r="AC10" i="20" s="1"/>
  <c r="AB9" i="20"/>
  <c r="AB8" i="20"/>
  <c r="AC8" i="20"/>
  <c r="AB7" i="20"/>
  <c r="AC18" i="20" l="1"/>
  <c r="AC35" i="20"/>
  <c r="AC47" i="20"/>
  <c r="Z54" i="20"/>
  <c r="Z9" i="20"/>
  <c r="X7" i="20"/>
  <c r="X41" i="20"/>
  <c r="AD63" i="21"/>
  <c r="AE63" i="21" s="1"/>
  <c r="AD63" i="22"/>
  <c r="AE63" i="22" s="1"/>
  <c r="AD47" i="24"/>
  <c r="AE47" i="24" s="1"/>
  <c r="AD62" i="23"/>
  <c r="AE62" i="23" s="1"/>
  <c r="X20" i="20"/>
  <c r="AD20" i="20" s="1"/>
  <c r="AE20" i="20" s="1"/>
  <c r="X22" i="20"/>
  <c r="AD22" i="20" s="1"/>
  <c r="AE22" i="20" s="1"/>
  <c r="X31" i="20"/>
  <c r="X33" i="20"/>
  <c r="X35" i="20"/>
  <c r="AD35" i="20" s="1"/>
  <c r="AE35" i="20" s="1"/>
  <c r="X14" i="20"/>
  <c r="X43" i="20"/>
  <c r="X45" i="20"/>
  <c r="X47" i="20"/>
  <c r="AD47" i="20" s="1"/>
  <c r="AE47" i="20" s="1"/>
  <c r="X49" i="20"/>
  <c r="X17" i="20"/>
  <c r="X10" i="20"/>
  <c r="AD10" i="20" s="1"/>
  <c r="AE10" i="20" s="1"/>
  <c r="X19" i="20"/>
  <c r="AD19" i="20" s="1"/>
  <c r="AE19" i="20" s="1"/>
  <c r="X16" i="20"/>
  <c r="X25" i="20"/>
  <c r="X27" i="20"/>
  <c r="AD27" i="20" s="1"/>
  <c r="AE27" i="20" s="1"/>
  <c r="X30" i="20"/>
  <c r="X18" i="20"/>
  <c r="AD18" i="20" s="1"/>
  <c r="AE18" i="20" s="1"/>
  <c r="AC15" i="20"/>
  <c r="X24" i="20"/>
  <c r="AD24" i="20" s="1"/>
  <c r="AE24" i="20" s="1"/>
  <c r="X26" i="20"/>
  <c r="AD26" i="20" s="1"/>
  <c r="AE26" i="20" s="1"/>
  <c r="X28" i="20"/>
  <c r="AD28" i="20" s="1"/>
  <c r="AE28" i="20" s="1"/>
  <c r="AC30" i="20"/>
  <c r="AC12" i="20"/>
  <c r="AD12" i="20" s="1"/>
  <c r="AE12" i="20" s="1"/>
  <c r="AC14" i="20"/>
  <c r="X23" i="20"/>
  <c r="AD23" i="20" s="1"/>
  <c r="AE23" i="20" s="1"/>
  <c r="X8" i="20"/>
  <c r="AD8" i="20" s="1"/>
  <c r="AE8" i="20" s="1"/>
  <c r="X11" i="20"/>
  <c r="X13" i="20"/>
  <c r="X15" i="20"/>
  <c r="X29" i="20"/>
  <c r="AC19" i="20"/>
  <c r="X32" i="20"/>
  <c r="X34" i="20"/>
  <c r="X36" i="20"/>
  <c r="X38" i="20"/>
  <c r="X40" i="20"/>
  <c r="X44" i="20"/>
  <c r="X9" i="20"/>
  <c r="Z35" i="20"/>
  <c r="Z47" i="20"/>
  <c r="AC34" i="20"/>
  <c r="AC29" i="20"/>
  <c r="AC7" i="20"/>
  <c r="AC16" i="20"/>
  <c r="AC11" i="20"/>
  <c r="Z49" i="20"/>
  <c r="AC49" i="20"/>
  <c r="Z8" i="20"/>
  <c r="AC40" i="20"/>
  <c r="Z40" i="20"/>
  <c r="AC39" i="20"/>
  <c r="Z39" i="20"/>
  <c r="AC44" i="20"/>
  <c r="Z44" i="20"/>
  <c r="Z24" i="20"/>
  <c r="Z20" i="20"/>
  <c r="Z12" i="20"/>
  <c r="Z28" i="20"/>
  <c r="AC9" i="20"/>
  <c r="Z14" i="20"/>
  <c r="AC17" i="20"/>
  <c r="Z22" i="20"/>
  <c r="AC25" i="20"/>
  <c r="AC31" i="20"/>
  <c r="AC32" i="20"/>
  <c r="Z32" i="20"/>
  <c r="Z41" i="20"/>
  <c r="AC41" i="20"/>
  <c r="AD41" i="20" s="1"/>
  <c r="AE41" i="20" s="1"/>
  <c r="AC42" i="20"/>
  <c r="Z33" i="20"/>
  <c r="AC33" i="20"/>
  <c r="Z10" i="20"/>
  <c r="AC13" i="20"/>
  <c r="Z18" i="20"/>
  <c r="AC21" i="20"/>
  <c r="AD21" i="20" s="1"/>
  <c r="AE21" i="20" s="1"/>
  <c r="Z26" i="20"/>
  <c r="Z30" i="20"/>
  <c r="Z37" i="20"/>
  <c r="AC37" i="20"/>
  <c r="AD37" i="20" s="1"/>
  <c r="AE37" i="20" s="1"/>
  <c r="AC38" i="20"/>
  <c r="AC36" i="20"/>
  <c r="Z36" i="20"/>
  <c r="X39" i="20"/>
  <c r="Z45" i="20"/>
  <c r="AC45" i="20"/>
  <c r="AC46" i="20"/>
  <c r="AC43" i="20"/>
  <c r="AC48" i="20"/>
  <c r="AD48" i="20" s="1"/>
  <c r="AE48" i="20" s="1"/>
  <c r="Z48" i="20"/>
  <c r="Z43" i="20"/>
  <c r="X46" i="20"/>
  <c r="AD7" i="20" l="1"/>
  <c r="AD34" i="20"/>
  <c r="AE34" i="20" s="1"/>
  <c r="AD31" i="20"/>
  <c r="AE31" i="20" s="1"/>
  <c r="AD25" i="20"/>
  <c r="AE25" i="20" s="1"/>
  <c r="AD45" i="20"/>
  <c r="AE45" i="20" s="1"/>
  <c r="AD17" i="20"/>
  <c r="AE17" i="20" s="1"/>
  <c r="AD49" i="20"/>
  <c r="AE49" i="20" s="1"/>
  <c r="AD11" i="20"/>
  <c r="AE11" i="20" s="1"/>
  <c r="AD43" i="20"/>
  <c r="AE43" i="20" s="1"/>
  <c r="AD33" i="20"/>
  <c r="AE33" i="20" s="1"/>
  <c r="AD16" i="20"/>
  <c r="AE16" i="20" s="1"/>
  <c r="AD14" i="20"/>
  <c r="AE14" i="20" s="1"/>
  <c r="AD13" i="20"/>
  <c r="AE13" i="20" s="1"/>
  <c r="AD32" i="20"/>
  <c r="AE32" i="20" s="1"/>
  <c r="AD38" i="20"/>
  <c r="AE38" i="20" s="1"/>
  <c r="AD36" i="20"/>
  <c r="AE36" i="20" s="1"/>
  <c r="AD9" i="20"/>
  <c r="AE9" i="20" s="1"/>
  <c r="AD30" i="20"/>
  <c r="AE30" i="20" s="1"/>
  <c r="AD44" i="20"/>
  <c r="AE44" i="20" s="1"/>
  <c r="AD29" i="20"/>
  <c r="AE29" i="20" s="1"/>
  <c r="AD40" i="20"/>
  <c r="AE40" i="20" s="1"/>
  <c r="AD15" i="20"/>
  <c r="AE15" i="20" s="1"/>
  <c r="AD46" i="20"/>
  <c r="AE46" i="20" s="1"/>
  <c r="Z51" i="20"/>
  <c r="AD42" i="20"/>
  <c r="AE42" i="20" s="1"/>
  <c r="AC51" i="20"/>
  <c r="AD39" i="20"/>
  <c r="AE39" i="20" s="1"/>
  <c r="AE7" i="20"/>
  <c r="AD51" i="20" l="1"/>
  <c r="AE51" i="20" s="1"/>
  <c r="Z105" i="19" l="1"/>
  <c r="AJ100" i="19"/>
  <c r="AI100" i="19"/>
  <c r="AH100" i="19"/>
  <c r="AG100" i="19"/>
  <c r="AF100" i="19"/>
  <c r="AB98" i="19"/>
  <c r="AC98" i="19" s="1"/>
  <c r="Z98" i="19"/>
  <c r="Y98" i="19"/>
  <c r="S98" i="19"/>
  <c r="U98" i="19" s="1"/>
  <c r="AB97" i="19"/>
  <c r="AC97" i="19" s="1"/>
  <c r="Y97" i="19"/>
  <c r="Z97" i="19" s="1"/>
  <c r="U97" i="19"/>
  <c r="S97" i="19"/>
  <c r="AB96" i="19"/>
  <c r="Y96" i="19"/>
  <c r="X96" i="19"/>
  <c r="U96" i="19"/>
  <c r="S96" i="19"/>
  <c r="AB95" i="19"/>
  <c r="Z95" i="19"/>
  <c r="Y95" i="19"/>
  <c r="S95" i="19"/>
  <c r="U95" i="19" s="1"/>
  <c r="AB94" i="19"/>
  <c r="AC94" i="19" s="1"/>
  <c r="Z94" i="19"/>
  <c r="Y94" i="19"/>
  <c r="S94" i="19"/>
  <c r="U94" i="19" s="1"/>
  <c r="AC93" i="19"/>
  <c r="AB93" i="19"/>
  <c r="Y93" i="19"/>
  <c r="Z93" i="19" s="1"/>
  <c r="U93" i="19"/>
  <c r="S93" i="19"/>
  <c r="AB92" i="19"/>
  <c r="Y92" i="19"/>
  <c r="S92" i="19"/>
  <c r="U92" i="19" s="1"/>
  <c r="AB91" i="19"/>
  <c r="Z91" i="19"/>
  <c r="Y91" i="19"/>
  <c r="AC91" i="19" s="1"/>
  <c r="S91" i="19"/>
  <c r="U91" i="19" s="1"/>
  <c r="AB90" i="19"/>
  <c r="Y90" i="19"/>
  <c r="Z90" i="19" s="1"/>
  <c r="S90" i="19"/>
  <c r="U90" i="19" s="1"/>
  <c r="AB89" i="19"/>
  <c r="AC89" i="19" s="1"/>
  <c r="Y89" i="19"/>
  <c r="Z89" i="19" s="1"/>
  <c r="U89" i="19"/>
  <c r="S89" i="19"/>
  <c r="AB88" i="19"/>
  <c r="Y88" i="19"/>
  <c r="X88" i="19"/>
  <c r="U88" i="19"/>
  <c r="S88" i="19"/>
  <c r="AB87" i="19"/>
  <c r="Z87" i="19"/>
  <c r="Y87" i="19"/>
  <c r="AC87" i="19" s="1"/>
  <c r="S87" i="19"/>
  <c r="U87" i="19" s="1"/>
  <c r="AB86" i="19"/>
  <c r="AC86" i="19" s="1"/>
  <c r="Z86" i="19"/>
  <c r="Y86" i="19"/>
  <c r="S86" i="19"/>
  <c r="U86" i="19" s="1"/>
  <c r="AB85" i="19"/>
  <c r="AC85" i="19" s="1"/>
  <c r="Y85" i="19"/>
  <c r="Z85" i="19" s="1"/>
  <c r="U85" i="19"/>
  <c r="S85" i="19"/>
  <c r="AB84" i="19"/>
  <c r="Y84" i="19"/>
  <c r="S84" i="19"/>
  <c r="U84" i="19" s="1"/>
  <c r="AB83" i="19"/>
  <c r="Z83" i="19"/>
  <c r="Y83" i="19"/>
  <c r="AC83" i="19" s="1"/>
  <c r="X83" i="19"/>
  <c r="S83" i="19"/>
  <c r="U83" i="19" s="1"/>
  <c r="AB82" i="19"/>
  <c r="Y82" i="19"/>
  <c r="AC82" i="19" s="1"/>
  <c r="S82" i="19"/>
  <c r="U82" i="19" s="1"/>
  <c r="AB81" i="19"/>
  <c r="AC81" i="19" s="1"/>
  <c r="Y81" i="19"/>
  <c r="Z81" i="19" s="1"/>
  <c r="U81" i="19"/>
  <c r="S81" i="19"/>
  <c r="AB80" i="19"/>
  <c r="Y80" i="19"/>
  <c r="U80" i="19"/>
  <c r="S80" i="19"/>
  <c r="AB79" i="19"/>
  <c r="Z79" i="19"/>
  <c r="Y79" i="19"/>
  <c r="AC79" i="19" s="1"/>
  <c r="X79" i="19"/>
  <c r="S79" i="19"/>
  <c r="U79" i="19" s="1"/>
  <c r="AB78" i="19"/>
  <c r="AC78" i="19" s="1"/>
  <c r="Z78" i="19"/>
  <c r="Y78" i="19"/>
  <c r="S78" i="19"/>
  <c r="U78" i="19" s="1"/>
  <c r="AB77" i="19"/>
  <c r="AC77" i="19" s="1"/>
  <c r="Y77" i="19"/>
  <c r="Z77" i="19" s="1"/>
  <c r="U77" i="19"/>
  <c r="S77" i="19"/>
  <c r="AB76" i="19"/>
  <c r="Y76" i="19"/>
  <c r="U76" i="19"/>
  <c r="S76" i="19"/>
  <c r="AB75" i="19"/>
  <c r="Z75" i="19"/>
  <c r="Y75" i="19"/>
  <c r="AC75" i="19" s="1"/>
  <c r="X75" i="19"/>
  <c r="S75" i="19"/>
  <c r="U75" i="19" s="1"/>
  <c r="AC74" i="19"/>
  <c r="AB74" i="19"/>
  <c r="Z74" i="19"/>
  <c r="Y74" i="19"/>
  <c r="S74" i="19"/>
  <c r="U74" i="19" s="1"/>
  <c r="AB73" i="19"/>
  <c r="Y73" i="19"/>
  <c r="Z73" i="19" s="1"/>
  <c r="U73" i="19"/>
  <c r="S73" i="19"/>
  <c r="AB72" i="19"/>
  <c r="Y72" i="19"/>
  <c r="U72" i="19"/>
  <c r="S72" i="19"/>
  <c r="AB71" i="19"/>
  <c r="Z71" i="19"/>
  <c r="Y71" i="19"/>
  <c r="S71" i="19"/>
  <c r="U71" i="19" s="1"/>
  <c r="AC70" i="19"/>
  <c r="AB70" i="19"/>
  <c r="Z70" i="19"/>
  <c r="Y70" i="19"/>
  <c r="S70" i="19"/>
  <c r="U70" i="19" s="1"/>
  <c r="AB69" i="19"/>
  <c r="AC69" i="19" s="1"/>
  <c r="Y69" i="19"/>
  <c r="Z69" i="19" s="1"/>
  <c r="U69" i="19"/>
  <c r="S69" i="19"/>
  <c r="AB68" i="19"/>
  <c r="Y68" i="19"/>
  <c r="U68" i="19"/>
  <c r="S68" i="19"/>
  <c r="AB67" i="19"/>
  <c r="Z67" i="19"/>
  <c r="Y67" i="19"/>
  <c r="AC67" i="19" s="1"/>
  <c r="S67" i="19"/>
  <c r="U67" i="19" s="1"/>
  <c r="AB66" i="19"/>
  <c r="AC66" i="19" s="1"/>
  <c r="Z66" i="19"/>
  <c r="Y66" i="19"/>
  <c r="S66" i="19"/>
  <c r="U66" i="19" s="1"/>
  <c r="AC65" i="19"/>
  <c r="AB65" i="19"/>
  <c r="Y65" i="19"/>
  <c r="Z65" i="19" s="1"/>
  <c r="U65" i="19"/>
  <c r="S65" i="19"/>
  <c r="AB64" i="19"/>
  <c r="Y64" i="19"/>
  <c r="X64" i="19"/>
  <c r="U64" i="19"/>
  <c r="S64" i="19"/>
  <c r="AB63" i="19"/>
  <c r="Z63" i="19"/>
  <c r="Y63" i="19"/>
  <c r="X63" i="19"/>
  <c r="S63" i="19"/>
  <c r="U63" i="19" s="1"/>
  <c r="AB62" i="19"/>
  <c r="Z62" i="19"/>
  <c r="Y62" i="19"/>
  <c r="S62" i="19"/>
  <c r="U62" i="19" s="1"/>
  <c r="AB61" i="19"/>
  <c r="Y61" i="19"/>
  <c r="Z61" i="19" s="1"/>
  <c r="U61" i="19"/>
  <c r="S61" i="19"/>
  <c r="AB60" i="19"/>
  <c r="Y60" i="19"/>
  <c r="X60" i="19"/>
  <c r="U60" i="19"/>
  <c r="S60" i="19"/>
  <c r="AB59" i="19"/>
  <c r="Z59" i="19"/>
  <c r="Y59" i="19"/>
  <c r="X59" i="19"/>
  <c r="S59" i="19"/>
  <c r="U59" i="19" s="1"/>
  <c r="AC58" i="19"/>
  <c r="AB58" i="19"/>
  <c r="Z58" i="19"/>
  <c r="Y58" i="19"/>
  <c r="S58" i="19"/>
  <c r="U58" i="19" s="1"/>
  <c r="AB57" i="19"/>
  <c r="Y57" i="19"/>
  <c r="Z57" i="19" s="1"/>
  <c r="U57" i="19"/>
  <c r="S57" i="19"/>
  <c r="AB56" i="19"/>
  <c r="Y56" i="19"/>
  <c r="U56" i="19"/>
  <c r="S56" i="19"/>
  <c r="AB55" i="19"/>
  <c r="Z55" i="19"/>
  <c r="Y55" i="19"/>
  <c r="S55" i="19"/>
  <c r="U55" i="19" s="1"/>
  <c r="AB54" i="19"/>
  <c r="AC54" i="19" s="1"/>
  <c r="Z54" i="19"/>
  <c r="Y54" i="19"/>
  <c r="S54" i="19"/>
  <c r="U54" i="19" s="1"/>
  <c r="AB53" i="19"/>
  <c r="AC53" i="19" s="1"/>
  <c r="Y53" i="19"/>
  <c r="Z53" i="19" s="1"/>
  <c r="U53" i="19"/>
  <c r="S53" i="19"/>
  <c r="AB52" i="19"/>
  <c r="Y52" i="19"/>
  <c r="U52" i="19"/>
  <c r="S52" i="19"/>
  <c r="AB51" i="19"/>
  <c r="Z51" i="19"/>
  <c r="Y51" i="19"/>
  <c r="AC51" i="19" s="1"/>
  <c r="S51" i="19"/>
  <c r="U51" i="19" s="1"/>
  <c r="AB50" i="19"/>
  <c r="AC50" i="19" s="1"/>
  <c r="Y50" i="19"/>
  <c r="Z50" i="19" s="1"/>
  <c r="S50" i="19"/>
  <c r="U50" i="19" s="1"/>
  <c r="AB49" i="19"/>
  <c r="AC49" i="19" s="1"/>
  <c r="Y49" i="19"/>
  <c r="Z49" i="19" s="1"/>
  <c r="U49" i="19"/>
  <c r="S49" i="19"/>
  <c r="AB48" i="19"/>
  <c r="Y48" i="19"/>
  <c r="X48" i="19"/>
  <c r="U48" i="19"/>
  <c r="S48" i="19"/>
  <c r="AB47" i="19"/>
  <c r="Z47" i="19"/>
  <c r="Y47" i="19"/>
  <c r="AC47" i="19" s="1"/>
  <c r="X47" i="19"/>
  <c r="S47" i="19"/>
  <c r="U47" i="19" s="1"/>
  <c r="AB46" i="19"/>
  <c r="Z46" i="19"/>
  <c r="Y46" i="19"/>
  <c r="S46" i="19"/>
  <c r="U46" i="19" s="1"/>
  <c r="AB45" i="19"/>
  <c r="Y45" i="19"/>
  <c r="Z45" i="19" s="1"/>
  <c r="S45" i="19"/>
  <c r="U45" i="19" s="1"/>
  <c r="AB44" i="19"/>
  <c r="Y44" i="19"/>
  <c r="S44" i="19"/>
  <c r="U44" i="19" s="1"/>
  <c r="AB43" i="19"/>
  <c r="Z43" i="19"/>
  <c r="Y43" i="19"/>
  <c r="X43" i="19"/>
  <c r="S43" i="19"/>
  <c r="U43" i="19" s="1"/>
  <c r="AC42" i="19"/>
  <c r="AB42" i="19"/>
  <c r="Z42" i="19"/>
  <c r="Y42" i="19"/>
  <c r="S42" i="19"/>
  <c r="U42" i="19" s="1"/>
  <c r="AB41" i="19"/>
  <c r="Y41" i="19"/>
  <c r="Z41" i="19" s="1"/>
  <c r="U41" i="19"/>
  <c r="S41" i="19"/>
  <c r="AB40" i="19"/>
  <c r="Y40" i="19"/>
  <c r="U40" i="19"/>
  <c r="S40" i="19"/>
  <c r="AB39" i="19"/>
  <c r="Z39" i="19"/>
  <c r="Y39" i="19"/>
  <c r="S39" i="19"/>
  <c r="U39" i="19" s="1"/>
  <c r="AB38" i="19"/>
  <c r="AC38" i="19" s="1"/>
  <c r="Z38" i="19"/>
  <c r="Y38" i="19"/>
  <c r="S38" i="19"/>
  <c r="U38" i="19" s="1"/>
  <c r="AB37" i="19"/>
  <c r="AC37" i="19" s="1"/>
  <c r="Y37" i="19"/>
  <c r="Z37" i="19" s="1"/>
  <c r="U37" i="19"/>
  <c r="S37" i="19"/>
  <c r="AB36" i="19"/>
  <c r="Y36" i="19"/>
  <c r="U36" i="19"/>
  <c r="S36" i="19"/>
  <c r="AB35" i="19"/>
  <c r="Y35" i="19"/>
  <c r="AC35" i="19" s="1"/>
  <c r="S35" i="19"/>
  <c r="U35" i="19" s="1"/>
  <c r="AB34" i="19"/>
  <c r="Y34" i="19"/>
  <c r="Z34" i="19" s="1"/>
  <c r="S34" i="19"/>
  <c r="U34" i="19" s="1"/>
  <c r="AB33" i="19"/>
  <c r="AC33" i="19" s="1"/>
  <c r="Y33" i="19"/>
  <c r="Z33" i="19" s="1"/>
  <c r="U33" i="19"/>
  <c r="S33" i="19"/>
  <c r="AB32" i="19"/>
  <c r="Y32" i="19"/>
  <c r="X32" i="19"/>
  <c r="U32" i="19"/>
  <c r="S32" i="19"/>
  <c r="AB31" i="19"/>
  <c r="Y31" i="19"/>
  <c r="S31" i="19"/>
  <c r="U31" i="19" s="1"/>
  <c r="AB30" i="19"/>
  <c r="AC30" i="19" s="1"/>
  <c r="Z30" i="19"/>
  <c r="Y30" i="19"/>
  <c r="S30" i="19"/>
  <c r="U30" i="19" s="1"/>
  <c r="AC29" i="19"/>
  <c r="AB29" i="19"/>
  <c r="Y29" i="19"/>
  <c r="Z29" i="19" s="1"/>
  <c r="S29" i="19"/>
  <c r="U29" i="19" s="1"/>
  <c r="AB28" i="19"/>
  <c r="Y28" i="19"/>
  <c r="AC28" i="19" s="1"/>
  <c r="U28" i="19"/>
  <c r="S28" i="19"/>
  <c r="AB27" i="19"/>
  <c r="Y27" i="19"/>
  <c r="Z27" i="19" s="1"/>
  <c r="S27" i="19"/>
  <c r="U27" i="19" s="1"/>
  <c r="AB26" i="19"/>
  <c r="AC26" i="19" s="1"/>
  <c r="Z26" i="19"/>
  <c r="Y26" i="19"/>
  <c r="S26" i="19"/>
  <c r="U26" i="19" s="1"/>
  <c r="AC25" i="19"/>
  <c r="AB25" i="19"/>
  <c r="Y25" i="19"/>
  <c r="Z25" i="19" s="1"/>
  <c r="S25" i="19"/>
  <c r="U25" i="19" s="1"/>
  <c r="AB24" i="19"/>
  <c r="Y24" i="19"/>
  <c r="U24" i="19"/>
  <c r="S24" i="19"/>
  <c r="AB23" i="19"/>
  <c r="Y23" i="19"/>
  <c r="Z23" i="19" s="1"/>
  <c r="S23" i="19"/>
  <c r="U23" i="19" s="1"/>
  <c r="AB22" i="19"/>
  <c r="AC22" i="19" s="1"/>
  <c r="Z22" i="19"/>
  <c r="Y22" i="19"/>
  <c r="S22" i="19"/>
  <c r="U22" i="19" s="1"/>
  <c r="AB21" i="19"/>
  <c r="AC21" i="19" s="1"/>
  <c r="Y21" i="19"/>
  <c r="Z21" i="19" s="1"/>
  <c r="S21" i="19"/>
  <c r="U21" i="19" s="1"/>
  <c r="AB20" i="19"/>
  <c r="Y20" i="19"/>
  <c r="U20" i="19"/>
  <c r="S20" i="19"/>
  <c r="AB19" i="19"/>
  <c r="Y19" i="19"/>
  <c r="Z19" i="19" s="1"/>
  <c r="S19" i="19"/>
  <c r="U19" i="19" s="1"/>
  <c r="AB18" i="19"/>
  <c r="AC18" i="19" s="1"/>
  <c r="Z18" i="19"/>
  <c r="Y18" i="19"/>
  <c r="S18" i="19"/>
  <c r="U18" i="19" s="1"/>
  <c r="AB17" i="19"/>
  <c r="AC17" i="19" s="1"/>
  <c r="Y17" i="19"/>
  <c r="Z17" i="19" s="1"/>
  <c r="S17" i="19"/>
  <c r="U17" i="19" s="1"/>
  <c r="AB16" i="19"/>
  <c r="Y16" i="19"/>
  <c r="AC16" i="19" s="1"/>
  <c r="U16" i="19"/>
  <c r="S16" i="19"/>
  <c r="AB15" i="19"/>
  <c r="Y15" i="19"/>
  <c r="Z15" i="19" s="1"/>
  <c r="S15" i="19"/>
  <c r="U15" i="19" s="1"/>
  <c r="AB14" i="19"/>
  <c r="AC14" i="19" s="1"/>
  <c r="Z14" i="19"/>
  <c r="Y14" i="19"/>
  <c r="S14" i="19"/>
  <c r="U14" i="19" s="1"/>
  <c r="AB13" i="19"/>
  <c r="AC13" i="19" s="1"/>
  <c r="Y13" i="19"/>
  <c r="Z13" i="19" s="1"/>
  <c r="S13" i="19"/>
  <c r="U13" i="19" s="1"/>
  <c r="AB12" i="19"/>
  <c r="Y12" i="19"/>
  <c r="AC12" i="19" s="1"/>
  <c r="U12" i="19"/>
  <c r="S12" i="19"/>
  <c r="AB11" i="19"/>
  <c r="Y11" i="19"/>
  <c r="Z11" i="19" s="1"/>
  <c r="S11" i="19"/>
  <c r="U11" i="19" s="1"/>
  <c r="AB10" i="19"/>
  <c r="AC10" i="19" s="1"/>
  <c r="Z10" i="19"/>
  <c r="Y10" i="19"/>
  <c r="S10" i="19"/>
  <c r="U10" i="19" s="1"/>
  <c r="AC9" i="19"/>
  <c r="AB9" i="19"/>
  <c r="Y9" i="19"/>
  <c r="Z9" i="19" s="1"/>
  <c r="S9" i="19"/>
  <c r="U9" i="19" s="1"/>
  <c r="AB8" i="19"/>
  <c r="Y8" i="19"/>
  <c r="AC8" i="19" s="1"/>
  <c r="U8" i="19"/>
  <c r="S8" i="19"/>
  <c r="AB7" i="19"/>
  <c r="Y7" i="19"/>
  <c r="Z7" i="19" s="1"/>
  <c r="S7" i="19"/>
  <c r="U7" i="19" s="1"/>
  <c r="AC62" i="19" l="1"/>
  <c r="AC20" i="19"/>
  <c r="AC80" i="19"/>
  <c r="AC88" i="19"/>
  <c r="AD88" i="19" s="1"/>
  <c r="AE88" i="19" s="1"/>
  <c r="AC96" i="19"/>
  <c r="AC24" i="19"/>
  <c r="AC76" i="19"/>
  <c r="AC84" i="19"/>
  <c r="AC92" i="19"/>
  <c r="AC95" i="19"/>
  <c r="AC46" i="19"/>
  <c r="AC63" i="19"/>
  <c r="X52" i="19"/>
  <c r="X78" i="19"/>
  <c r="AD78" i="19" s="1"/>
  <c r="AE78" i="19" s="1"/>
  <c r="X11" i="19"/>
  <c r="X16" i="19"/>
  <c r="AD16" i="19" s="1"/>
  <c r="AE16" i="19" s="1"/>
  <c r="X41" i="19"/>
  <c r="X69" i="19"/>
  <c r="AD69" i="19" s="1"/>
  <c r="AE69" i="19" s="1"/>
  <c r="X89" i="19"/>
  <c r="AD89" i="19" s="1"/>
  <c r="AE89" i="19" s="1"/>
  <c r="X94" i="19"/>
  <c r="AD94" i="19" s="1"/>
  <c r="AE94" i="19" s="1"/>
  <c r="X7" i="19"/>
  <c r="X12" i="19"/>
  <c r="AD12" i="19" s="1"/>
  <c r="AE12" i="19" s="1"/>
  <c r="X29" i="19"/>
  <c r="AD29" i="19" s="1"/>
  <c r="AE29" i="19" s="1"/>
  <c r="X39" i="19"/>
  <c r="X10" i="19"/>
  <c r="AD10" i="19" s="1"/>
  <c r="AE10" i="19" s="1"/>
  <c r="X15" i="19"/>
  <c r="X20" i="19"/>
  <c r="AD20" i="19" s="1"/>
  <c r="AE20" i="19" s="1"/>
  <c r="X40" i="19"/>
  <c r="X68" i="19"/>
  <c r="X71" i="19"/>
  <c r="X77" i="19"/>
  <c r="AD77" i="19" s="1"/>
  <c r="AE77" i="19" s="1"/>
  <c r="X80" i="19"/>
  <c r="X93" i="19"/>
  <c r="AD93" i="19" s="1"/>
  <c r="AE93" i="19" s="1"/>
  <c r="X55" i="19"/>
  <c r="X53" i="19"/>
  <c r="AD53" i="19" s="1"/>
  <c r="AE53" i="19" s="1"/>
  <c r="X56" i="19"/>
  <c r="X91" i="19"/>
  <c r="AD91" i="19" s="1"/>
  <c r="AE91" i="19" s="1"/>
  <c r="X97" i="19"/>
  <c r="AD97" i="19" s="1"/>
  <c r="AE97" i="19" s="1"/>
  <c r="X21" i="19"/>
  <c r="AD21" i="19" s="1"/>
  <c r="AE21" i="19" s="1"/>
  <c r="X26" i="19"/>
  <c r="AD26" i="19" s="1"/>
  <c r="AE26" i="19" s="1"/>
  <c r="X31" i="19"/>
  <c r="X36" i="19"/>
  <c r="X44" i="19"/>
  <c r="X46" i="19"/>
  <c r="X61" i="19"/>
  <c r="X73" i="19"/>
  <c r="X82" i="19"/>
  <c r="AD82" i="19" s="1"/>
  <c r="AE82" i="19" s="1"/>
  <c r="X13" i="19"/>
  <c r="AD13" i="19" s="1"/>
  <c r="AE13" i="19" s="1"/>
  <c r="X18" i="19"/>
  <c r="AD18" i="19" s="1"/>
  <c r="AE18" i="19" s="1"/>
  <c r="X23" i="19"/>
  <c r="X28" i="19"/>
  <c r="AD28" i="19" s="1"/>
  <c r="AE28" i="19" s="1"/>
  <c r="X84" i="19"/>
  <c r="AD84" i="19" s="1"/>
  <c r="AE84" i="19" s="1"/>
  <c r="X17" i="19"/>
  <c r="AD17" i="19" s="1"/>
  <c r="AE17" i="19" s="1"/>
  <c r="X22" i="19"/>
  <c r="AD22" i="19" s="1"/>
  <c r="AE22" i="19" s="1"/>
  <c r="X27" i="19"/>
  <c r="X37" i="19"/>
  <c r="AD37" i="19" s="1"/>
  <c r="AE37" i="19" s="1"/>
  <c r="X45" i="19"/>
  <c r="X76" i="19"/>
  <c r="X87" i="19"/>
  <c r="AD87" i="19" s="1"/>
  <c r="AE87" i="19" s="1"/>
  <c r="AD63" i="19"/>
  <c r="AE63" i="19" s="1"/>
  <c r="X90" i="19"/>
  <c r="X9" i="19"/>
  <c r="AD9" i="19" s="1"/>
  <c r="AE9" i="19" s="1"/>
  <c r="X14" i="19"/>
  <c r="AD14" i="19" s="1"/>
  <c r="AE14" i="19" s="1"/>
  <c r="X19" i="19"/>
  <c r="X24" i="19"/>
  <c r="X72" i="19"/>
  <c r="X81" i="19"/>
  <c r="AD81" i="19" s="1"/>
  <c r="AE81" i="19" s="1"/>
  <c r="X86" i="19"/>
  <c r="AD86" i="19" s="1"/>
  <c r="AE86" i="19" s="1"/>
  <c r="X92" i="19"/>
  <c r="AD92" i="19" s="1"/>
  <c r="AE92" i="19" s="1"/>
  <c r="X95" i="19"/>
  <c r="AD95" i="19" s="1"/>
  <c r="AE95" i="19" s="1"/>
  <c r="AD96" i="19"/>
  <c r="AE96" i="19" s="1"/>
  <c r="X98" i="19"/>
  <c r="AD98" i="19" s="1"/>
  <c r="AE98" i="19" s="1"/>
  <c r="X8" i="19"/>
  <c r="AD8" i="19" s="1"/>
  <c r="AE8" i="19" s="1"/>
  <c r="X25" i="19"/>
  <c r="AD25" i="19" s="1"/>
  <c r="AE25" i="19" s="1"/>
  <c r="X30" i="19"/>
  <c r="AD30" i="19" s="1"/>
  <c r="AE30" i="19" s="1"/>
  <c r="X35" i="19"/>
  <c r="AD35" i="19" s="1"/>
  <c r="AE35" i="19" s="1"/>
  <c r="X51" i="19"/>
  <c r="AD51" i="19" s="1"/>
  <c r="AE51" i="19" s="1"/>
  <c r="X57" i="19"/>
  <c r="X67" i="19"/>
  <c r="AD67" i="19" s="1"/>
  <c r="AE67" i="19" s="1"/>
  <c r="X85" i="19"/>
  <c r="AD85" i="19" s="1"/>
  <c r="AE85" i="19" s="1"/>
  <c r="AD47" i="19"/>
  <c r="AE47" i="19" s="1"/>
  <c r="AC7" i="19"/>
  <c r="Z8" i="19"/>
  <c r="AC11" i="19"/>
  <c r="Z12" i="19"/>
  <c r="Z100" i="19" s="1"/>
  <c r="AC15" i="19"/>
  <c r="Z16" i="19"/>
  <c r="AC19" i="19"/>
  <c r="Z20" i="19"/>
  <c r="AC23" i="19"/>
  <c r="Z24" i="19"/>
  <c r="AC27" i="19"/>
  <c r="Z28" i="19"/>
  <c r="X38" i="19"/>
  <c r="AD38" i="19" s="1"/>
  <c r="AE38" i="19" s="1"/>
  <c r="AC43" i="19"/>
  <c r="AD43" i="19" s="1"/>
  <c r="AE43" i="19" s="1"/>
  <c r="AC44" i="19"/>
  <c r="Z44" i="19"/>
  <c r="X54" i="19"/>
  <c r="AD54" i="19" s="1"/>
  <c r="AE54" i="19" s="1"/>
  <c r="AC59" i="19"/>
  <c r="AD59" i="19" s="1"/>
  <c r="AE59" i="19" s="1"/>
  <c r="AC60" i="19"/>
  <c r="AD60" i="19" s="1"/>
  <c r="AE60" i="19" s="1"/>
  <c r="Z60" i="19"/>
  <c r="X70" i="19"/>
  <c r="AD70" i="19" s="1"/>
  <c r="AE70" i="19" s="1"/>
  <c r="AD75" i="19"/>
  <c r="AE75" i="19" s="1"/>
  <c r="Z82" i="19"/>
  <c r="AC90" i="19"/>
  <c r="AC34" i="19"/>
  <c r="AC45" i="19"/>
  <c r="AC61" i="19"/>
  <c r="X34" i="19"/>
  <c r="AC39" i="19"/>
  <c r="AC40" i="19"/>
  <c r="Z40" i="19"/>
  <c r="X50" i="19"/>
  <c r="AD50" i="19" s="1"/>
  <c r="AE50" i="19" s="1"/>
  <c r="AC55" i="19"/>
  <c r="AC56" i="19"/>
  <c r="Z56" i="19"/>
  <c r="X66" i="19"/>
  <c r="AD66" i="19" s="1"/>
  <c r="AE66" i="19" s="1"/>
  <c r="AC71" i="19"/>
  <c r="AC72" i="19"/>
  <c r="Z72" i="19"/>
  <c r="X33" i="19"/>
  <c r="AD33" i="19" s="1"/>
  <c r="AE33" i="19" s="1"/>
  <c r="AC41" i="19"/>
  <c r="X49" i="19"/>
  <c r="AD49" i="19" s="1"/>
  <c r="AE49" i="19" s="1"/>
  <c r="Z103" i="19"/>
  <c r="AC57" i="19"/>
  <c r="X65" i="19"/>
  <c r="AD65" i="19" s="1"/>
  <c r="AE65" i="19" s="1"/>
  <c r="AC73" i="19"/>
  <c r="AD79" i="19"/>
  <c r="AE79" i="19" s="1"/>
  <c r="AC36" i="19"/>
  <c r="Z36" i="19"/>
  <c r="AC52" i="19"/>
  <c r="Z52" i="19"/>
  <c r="X62" i="19"/>
  <c r="AD62" i="19" s="1"/>
  <c r="AE62" i="19" s="1"/>
  <c r="AC68" i="19"/>
  <c r="Z68" i="19"/>
  <c r="AC31" i="19"/>
  <c r="Z35" i="19"/>
  <c r="Z31" i="19"/>
  <c r="AC32" i="19"/>
  <c r="AD32" i="19" s="1"/>
  <c r="AE32" i="19" s="1"/>
  <c r="Z32" i="19"/>
  <c r="X42" i="19"/>
  <c r="AD42" i="19" s="1"/>
  <c r="AE42" i="19" s="1"/>
  <c r="AC48" i="19"/>
  <c r="AD48" i="19" s="1"/>
  <c r="AE48" i="19" s="1"/>
  <c r="Z48" i="19"/>
  <c r="X58" i="19"/>
  <c r="AD58" i="19" s="1"/>
  <c r="AE58" i="19" s="1"/>
  <c r="AC64" i="19"/>
  <c r="AD64" i="19" s="1"/>
  <c r="AE64" i="19" s="1"/>
  <c r="Z64" i="19"/>
  <c r="X74" i="19"/>
  <c r="AD74" i="19" s="1"/>
  <c r="AE74" i="19" s="1"/>
  <c r="AD83" i="19"/>
  <c r="AE83" i="19" s="1"/>
  <c r="Z76" i="19"/>
  <c r="Z80" i="19"/>
  <c r="Z84" i="19"/>
  <c r="Z88" i="19"/>
  <c r="Z92" i="19"/>
  <c r="Z96" i="19"/>
  <c r="AD52" i="19" l="1"/>
  <c r="AE52" i="19" s="1"/>
  <c r="AD46" i="19"/>
  <c r="AE46" i="19" s="1"/>
  <c r="AD76" i="19"/>
  <c r="AE76" i="19" s="1"/>
  <c r="AD24" i="19"/>
  <c r="AE24" i="19" s="1"/>
  <c r="AD80" i="19"/>
  <c r="AE80" i="19" s="1"/>
  <c r="AD39" i="19"/>
  <c r="AE39" i="19" s="1"/>
  <c r="AD15" i="19"/>
  <c r="AE15" i="19" s="1"/>
  <c r="AD23" i="19"/>
  <c r="AE23" i="19" s="1"/>
  <c r="AD68" i="19"/>
  <c r="AE68" i="19" s="1"/>
  <c r="AD73" i="19"/>
  <c r="AE73" i="19" s="1"/>
  <c r="AD11" i="19"/>
  <c r="AE11" i="19" s="1"/>
  <c r="AD56" i="19"/>
  <c r="AE56" i="19" s="1"/>
  <c r="AD45" i="19"/>
  <c r="AE45" i="19" s="1"/>
  <c r="AD90" i="19"/>
  <c r="AE90" i="19" s="1"/>
  <c r="AD40" i="19"/>
  <c r="AE40" i="19" s="1"/>
  <c r="AD61" i="19"/>
  <c r="AE61" i="19" s="1"/>
  <c r="AD41" i="19"/>
  <c r="AE41" i="19" s="1"/>
  <c r="AD55" i="19"/>
  <c r="AE55" i="19" s="1"/>
  <c r="AD71" i="19"/>
  <c r="AE71" i="19" s="1"/>
  <c r="AD36" i="19"/>
  <c r="AE36" i="19" s="1"/>
  <c r="AD44" i="19"/>
  <c r="AE44" i="19" s="1"/>
  <c r="AD31" i="19"/>
  <c r="AE31" i="19" s="1"/>
  <c r="AD27" i="19"/>
  <c r="AE27" i="19" s="1"/>
  <c r="AD57" i="19"/>
  <c r="AE57" i="19" s="1"/>
  <c r="AD72" i="19"/>
  <c r="AE72" i="19" s="1"/>
  <c r="AD19" i="19"/>
  <c r="AE19" i="19" s="1"/>
  <c r="AD34" i="19"/>
  <c r="AE34" i="19" s="1"/>
  <c r="AC100" i="19"/>
  <c r="AD7" i="19"/>
  <c r="AE7" i="19" l="1"/>
  <c r="AD100" i="19"/>
  <c r="AE100" i="19" s="1"/>
  <c r="Y27" i="15" l="1"/>
  <c r="S27" i="15"/>
  <c r="U27" i="15" s="1"/>
  <c r="Y13" i="15"/>
  <c r="Y49" i="15"/>
  <c r="S49" i="15"/>
  <c r="U49" i="15" s="1"/>
  <c r="Y45" i="15"/>
  <c r="Y44" i="15"/>
  <c r="Y43" i="15"/>
  <c r="Y42" i="15"/>
  <c r="Y41" i="15"/>
  <c r="Y40" i="15"/>
  <c r="U40" i="15"/>
  <c r="S40" i="15"/>
  <c r="Y21" i="15"/>
  <c r="S21" i="15"/>
  <c r="U21" i="15" s="1"/>
  <c r="Y20" i="15"/>
  <c r="S20" i="15"/>
  <c r="U20" i="15" s="1"/>
  <c r="Y19" i="15"/>
  <c r="S19" i="15"/>
  <c r="U19" i="15" s="1"/>
  <c r="Y18" i="15"/>
  <c r="U18" i="15"/>
  <c r="S18" i="15"/>
  <c r="Y17" i="15"/>
  <c r="S17" i="15"/>
  <c r="U17" i="15" s="1"/>
  <c r="Y16" i="15"/>
  <c r="U16" i="15"/>
  <c r="S16" i="15"/>
  <c r="Y15" i="15"/>
  <c r="S15" i="15"/>
  <c r="U15" i="15" s="1"/>
  <c r="Y14" i="15"/>
  <c r="S14" i="15"/>
  <c r="U14" i="15" s="1"/>
  <c r="Y38" i="15"/>
  <c r="S38" i="15"/>
  <c r="U38" i="15" s="1"/>
  <c r="Y37" i="15"/>
  <c r="S37" i="15"/>
  <c r="U37" i="15" s="1"/>
  <c r="Y36" i="15"/>
  <c r="S36" i="15"/>
  <c r="U36" i="15" s="1"/>
  <c r="Y34" i="15"/>
  <c r="S34" i="15"/>
  <c r="U34" i="15" s="1"/>
  <c r="Y33" i="15"/>
  <c r="S33" i="15"/>
  <c r="U33" i="15" s="1"/>
  <c r="Y32" i="15"/>
  <c r="S32" i="15"/>
  <c r="U32" i="15" s="1"/>
  <c r="Y31" i="15"/>
  <c r="S31" i="15"/>
  <c r="U31" i="15" s="1"/>
  <c r="Y30" i="15"/>
  <c r="S30" i="15"/>
  <c r="U30" i="15" s="1"/>
  <c r="Y29" i="15"/>
  <c r="S29" i="15"/>
  <c r="U29" i="15" s="1"/>
  <c r="Y28" i="15"/>
  <c r="S28" i="15"/>
  <c r="U28" i="15" s="1"/>
  <c r="Y54" i="14"/>
  <c r="Y48" i="14"/>
  <c r="Y43" i="14"/>
  <c r="Y33" i="14"/>
  <c r="Y75" i="14"/>
  <c r="S75" i="14"/>
  <c r="U75" i="14" s="1"/>
  <c r="Y74" i="14"/>
  <c r="S74" i="14"/>
  <c r="U74" i="14" s="1"/>
  <c r="Y73" i="14"/>
  <c r="S73" i="14"/>
  <c r="U73" i="14" s="1"/>
  <c r="Y72" i="14"/>
  <c r="S72" i="14"/>
  <c r="U72" i="14" s="1"/>
  <c r="Y70" i="14"/>
  <c r="Y69" i="14"/>
  <c r="S69" i="14"/>
  <c r="U69" i="14" s="1"/>
  <c r="Y68" i="14"/>
  <c r="S68" i="14"/>
  <c r="U68" i="14" s="1"/>
  <c r="Y56" i="14"/>
  <c r="S56" i="14"/>
  <c r="U56" i="14" s="1"/>
  <c r="S70" i="14"/>
  <c r="U70" i="14" s="1"/>
  <c r="Y67" i="14"/>
  <c r="U67" i="14"/>
  <c r="S67" i="14"/>
  <c r="Y66" i="14"/>
  <c r="S66" i="14"/>
  <c r="U66" i="14" s="1"/>
  <c r="Y65" i="14"/>
  <c r="S65" i="14"/>
  <c r="U65" i="14" s="1"/>
  <c r="Y64" i="14"/>
  <c r="S64" i="14"/>
  <c r="U64" i="14" s="1"/>
  <c r="Y63" i="14"/>
  <c r="S63" i="14"/>
  <c r="U63" i="14" s="1"/>
  <c r="S62" i="14"/>
  <c r="U62" i="14" s="1"/>
  <c r="Y62" i="14"/>
  <c r="Y37" i="14"/>
  <c r="U37" i="14"/>
  <c r="S37" i="14"/>
  <c r="Y36" i="14"/>
  <c r="S36" i="14"/>
  <c r="U36" i="14" s="1"/>
  <c r="Y35" i="14"/>
  <c r="S35" i="14"/>
  <c r="U35" i="14" s="1"/>
  <c r="Y32" i="14"/>
  <c r="S32" i="14"/>
  <c r="U32" i="14" s="1"/>
  <c r="Y31" i="14"/>
  <c r="S31" i="14"/>
  <c r="U31" i="14" s="1"/>
  <c r="Y30" i="14"/>
  <c r="S30" i="14"/>
  <c r="U30" i="14" s="1"/>
  <c r="Y29" i="14"/>
  <c r="S29" i="14"/>
  <c r="U29" i="14" s="1"/>
  <c r="Y28" i="14"/>
  <c r="S28" i="14"/>
  <c r="U28" i="14" s="1"/>
  <c r="Y27" i="14"/>
  <c r="S27" i="14"/>
  <c r="U27" i="14" s="1"/>
  <c r="Y26" i="14"/>
  <c r="S26" i="14"/>
  <c r="U26" i="14" s="1"/>
  <c r="Y25" i="14"/>
  <c r="S25" i="14"/>
  <c r="U25" i="14" s="1"/>
  <c r="Y24" i="14"/>
  <c r="S24" i="14"/>
  <c r="U24" i="14" s="1"/>
  <c r="Y23" i="14"/>
  <c r="S23" i="14"/>
  <c r="U23" i="14" s="1"/>
  <c r="Y22" i="14"/>
  <c r="S22" i="14"/>
  <c r="U22" i="14" s="1"/>
  <c r="Y21" i="14"/>
  <c r="U21" i="14"/>
  <c r="S21" i="14"/>
  <c r="Y20" i="14"/>
  <c r="U20" i="14"/>
  <c r="S20" i="14"/>
  <c r="Y19" i="14"/>
  <c r="S19" i="14"/>
  <c r="U19" i="14" s="1"/>
  <c r="Y18" i="14"/>
  <c r="S18" i="14"/>
  <c r="U18" i="14" s="1"/>
  <c r="Y17" i="14"/>
  <c r="S17" i="14"/>
  <c r="U17" i="14" s="1"/>
  <c r="Y16" i="14"/>
  <c r="S16" i="14"/>
  <c r="U16" i="14" s="1"/>
  <c r="Y15" i="14"/>
  <c r="S15" i="14"/>
  <c r="U15" i="14" s="1"/>
  <c r="Y14" i="14"/>
  <c r="S14" i="14"/>
  <c r="U14" i="14" s="1"/>
  <c r="Y13" i="14"/>
  <c r="S13" i="14"/>
  <c r="U13" i="14" s="1"/>
  <c r="Y12" i="14"/>
  <c r="U12" i="14"/>
  <c r="S12" i="14"/>
  <c r="Y11" i="14"/>
  <c r="S11" i="14"/>
  <c r="U11" i="14" s="1"/>
  <c r="Y10" i="14"/>
  <c r="S10" i="14"/>
  <c r="U10" i="14" s="1"/>
  <c r="Y9" i="14"/>
  <c r="S9" i="14"/>
  <c r="U9" i="14" s="1"/>
  <c r="Y8" i="14"/>
  <c r="S8" i="14"/>
  <c r="U8" i="14" s="1"/>
  <c r="Y7" i="14"/>
  <c r="S7" i="14"/>
  <c r="U7" i="14" s="1"/>
  <c r="Y68" i="13"/>
  <c r="S68" i="13"/>
  <c r="U68" i="13" s="1"/>
  <c r="Y66" i="13"/>
  <c r="S66" i="13"/>
  <c r="U66" i="13" s="1"/>
  <c r="Y65" i="13"/>
  <c r="S65" i="13"/>
  <c r="U65" i="13" s="1"/>
  <c r="Y64" i="13"/>
  <c r="S64" i="13"/>
  <c r="U64" i="13" s="1"/>
  <c r="Y61" i="13"/>
  <c r="U61" i="13"/>
  <c r="S61" i="13"/>
  <c r="Y60" i="13"/>
  <c r="S60" i="13"/>
  <c r="U60" i="13" s="1"/>
  <c r="Y59" i="13"/>
  <c r="S59" i="13"/>
  <c r="U59" i="13" s="1"/>
  <c r="Y58" i="13"/>
  <c r="S58" i="13"/>
  <c r="U58" i="13" s="1"/>
  <c r="Y57" i="13"/>
  <c r="S57" i="13"/>
  <c r="U57" i="13" s="1"/>
  <c r="Y56" i="13"/>
  <c r="S56" i="13"/>
  <c r="U56" i="13" s="1"/>
  <c r="Y55" i="13"/>
  <c r="S55" i="13"/>
  <c r="U55" i="13" s="1"/>
  <c r="Y54" i="13"/>
  <c r="S54" i="13"/>
  <c r="U54" i="13" s="1"/>
  <c r="Y51" i="13"/>
  <c r="Z51" i="13" s="1"/>
  <c r="S51" i="13"/>
  <c r="U51" i="13" s="1"/>
  <c r="Y50" i="13"/>
  <c r="Z50" i="13" s="1"/>
  <c r="S50" i="13"/>
  <c r="U50" i="13" s="1"/>
  <c r="AB50" i="13"/>
  <c r="AB51" i="13"/>
  <c r="Y42" i="13"/>
  <c r="S42" i="13"/>
  <c r="U42" i="13" s="1"/>
  <c r="X64" i="14" l="1"/>
  <c r="X68" i="14"/>
  <c r="X34" i="15"/>
  <c r="X59" i="13"/>
  <c r="X25" i="14"/>
  <c r="X17" i="14"/>
  <c r="X29" i="15"/>
  <c r="X54" i="13"/>
  <c r="X20" i="15"/>
  <c r="X17" i="15"/>
  <c r="X55" i="13"/>
  <c r="X29" i="14"/>
  <c r="X73" i="14"/>
  <c r="X31" i="15"/>
  <c r="X36" i="15"/>
  <c r="X16" i="15"/>
  <c r="X19" i="15"/>
  <c r="X61" i="13"/>
  <c r="X30" i="14"/>
  <c r="X32" i="15"/>
  <c r="X10" i="14"/>
  <c r="X15" i="14"/>
  <c r="X18" i="14"/>
  <c r="X27" i="15"/>
  <c r="X64" i="13"/>
  <c r="X8" i="14"/>
  <c r="X13" i="14"/>
  <c r="X23" i="14"/>
  <c r="X31" i="14"/>
  <c r="X67" i="14"/>
  <c r="X33" i="15"/>
  <c r="X38" i="15"/>
  <c r="X11" i="14"/>
  <c r="X16" i="14"/>
  <c r="X36" i="14"/>
  <c r="X28" i="15"/>
  <c r="X18" i="15"/>
  <c r="X65" i="13"/>
  <c r="X9" i="14"/>
  <c r="X24" i="14"/>
  <c r="X32" i="14"/>
  <c r="X63" i="14"/>
  <c r="X14" i="15"/>
  <c r="X21" i="15"/>
  <c r="X49" i="15"/>
  <c r="X30" i="15"/>
  <c r="X37" i="15"/>
  <c r="X15" i="15"/>
  <c r="X40" i="15"/>
  <c r="X22" i="14"/>
  <c r="X27" i="14"/>
  <c r="X72" i="14"/>
  <c r="X75" i="14"/>
  <c r="X20" i="14"/>
  <c r="X62" i="14"/>
  <c r="X65" i="14"/>
  <c r="X7" i="14"/>
  <c r="X14" i="14"/>
  <c r="X35" i="14"/>
  <c r="X69" i="14"/>
  <c r="X19" i="14"/>
  <c r="X21" i="14"/>
  <c r="X26" i="14"/>
  <c r="X28" i="14"/>
  <c r="X37" i="14"/>
  <c r="X66" i="14"/>
  <c r="X56" i="14"/>
  <c r="X74" i="14"/>
  <c r="X12" i="14"/>
  <c r="X70" i="14"/>
  <c r="X66" i="13"/>
  <c r="AC51" i="13"/>
  <c r="X68" i="13"/>
  <c r="X56" i="13"/>
  <c r="X42" i="13"/>
  <c r="X50" i="13"/>
  <c r="X57" i="13"/>
  <c r="X60" i="13"/>
  <c r="X51" i="13"/>
  <c r="X58" i="13"/>
  <c r="AC50" i="13"/>
  <c r="AD51" i="13" l="1"/>
  <c r="AE51" i="13" s="1"/>
  <c r="AD50" i="13"/>
  <c r="AE50" i="13" s="1"/>
  <c r="Y45" i="13" l="1"/>
  <c r="S45" i="13"/>
  <c r="U45" i="13" s="1"/>
  <c r="Y44" i="13"/>
  <c r="S44" i="13"/>
  <c r="U44" i="13" s="1"/>
  <c r="Y39" i="13"/>
  <c r="S39" i="13"/>
  <c r="U39" i="13" s="1"/>
  <c r="Y38" i="13"/>
  <c r="U38" i="13"/>
  <c r="S38" i="13"/>
  <c r="Y37" i="13"/>
  <c r="S37" i="13"/>
  <c r="U37" i="13" s="1"/>
  <c r="Y36" i="13"/>
  <c r="S36" i="13"/>
  <c r="U36" i="13" s="1"/>
  <c r="Y35" i="13"/>
  <c r="S35" i="13"/>
  <c r="U35" i="13" s="1"/>
  <c r="Y34" i="13"/>
  <c r="S34" i="13"/>
  <c r="U34" i="13" s="1"/>
  <c r="Y33" i="13"/>
  <c r="U33" i="13"/>
  <c r="S33" i="13"/>
  <c r="Y32" i="13"/>
  <c r="S32" i="13"/>
  <c r="U32" i="13" s="1"/>
  <c r="Y31" i="13"/>
  <c r="S31" i="13"/>
  <c r="U31" i="13" s="1"/>
  <c r="Y30" i="13"/>
  <c r="S30" i="13"/>
  <c r="U30" i="13" s="1"/>
  <c r="Y29" i="13"/>
  <c r="S29" i="13"/>
  <c r="U29" i="13" s="1"/>
  <c r="Y28" i="13"/>
  <c r="S28" i="13"/>
  <c r="U28" i="13" s="1"/>
  <c r="Y27" i="13"/>
  <c r="S27" i="13"/>
  <c r="U27" i="13" s="1"/>
  <c r="Y26" i="13"/>
  <c r="S26" i="13"/>
  <c r="U26" i="13" s="1"/>
  <c r="Y25" i="13"/>
  <c r="S25" i="13"/>
  <c r="U25" i="13" s="1"/>
  <c r="Y24" i="13"/>
  <c r="S24" i="13"/>
  <c r="U24" i="13" s="1"/>
  <c r="Y23" i="13"/>
  <c r="S23" i="13"/>
  <c r="U23" i="13" s="1"/>
  <c r="Y22" i="13"/>
  <c r="S22" i="13"/>
  <c r="U22" i="13" s="1"/>
  <c r="Y21" i="13"/>
  <c r="S21" i="13"/>
  <c r="U21" i="13" s="1"/>
  <c r="Y20" i="13"/>
  <c r="S20" i="13"/>
  <c r="U20" i="13" s="1"/>
  <c r="Y19" i="13"/>
  <c r="S19" i="13"/>
  <c r="U19" i="13" s="1"/>
  <c r="Y18" i="13"/>
  <c r="S18" i="13"/>
  <c r="U18" i="13" s="1"/>
  <c r="Y17" i="13"/>
  <c r="S17" i="13"/>
  <c r="U17" i="13" s="1"/>
  <c r="Y16" i="13"/>
  <c r="S16" i="13"/>
  <c r="U16" i="13" s="1"/>
  <c r="Y15" i="13"/>
  <c r="S15" i="13"/>
  <c r="U15" i="13" s="1"/>
  <c r="Y14" i="13"/>
  <c r="S14" i="13"/>
  <c r="U14" i="13" s="1"/>
  <c r="Y13" i="13"/>
  <c r="S13" i="13"/>
  <c r="U13" i="13" s="1"/>
  <c r="Y12" i="13"/>
  <c r="S12" i="13"/>
  <c r="U12" i="13" s="1"/>
  <c r="Y11" i="13"/>
  <c r="S11" i="13"/>
  <c r="U11" i="13" s="1"/>
  <c r="Y10" i="13"/>
  <c r="S10" i="13"/>
  <c r="U10" i="13" s="1"/>
  <c r="Y9" i="13"/>
  <c r="S9" i="13"/>
  <c r="U9" i="13" s="1"/>
  <c r="Y8" i="13"/>
  <c r="S8" i="13"/>
  <c r="U8" i="13" s="1"/>
  <c r="Y7" i="13"/>
  <c r="S7" i="13"/>
  <c r="U7" i="13" s="1"/>
  <c r="Y59" i="12"/>
  <c r="S59" i="12"/>
  <c r="U59" i="12" s="1"/>
  <c r="Y58" i="12"/>
  <c r="S58" i="12"/>
  <c r="U58" i="12" s="1"/>
  <c r="Y57" i="12"/>
  <c r="S57" i="12"/>
  <c r="U57" i="12" s="1"/>
  <c r="Y53" i="12"/>
  <c r="S53" i="12"/>
  <c r="U53" i="12" s="1"/>
  <c r="Y54" i="12"/>
  <c r="S54" i="12"/>
  <c r="U54" i="12" s="1"/>
  <c r="Y52" i="12"/>
  <c r="S52" i="12"/>
  <c r="U52" i="12" s="1"/>
  <c r="Y51" i="12"/>
  <c r="S51" i="12"/>
  <c r="U51" i="12" s="1"/>
  <c r="Y50" i="12"/>
  <c r="S50" i="12"/>
  <c r="U50" i="12" s="1"/>
  <c r="Y49" i="12"/>
  <c r="U49" i="12"/>
  <c r="S49" i="12"/>
  <c r="Y48" i="12"/>
  <c r="S48" i="12"/>
  <c r="U48" i="12" s="1"/>
  <c r="Y41" i="12"/>
  <c r="S41" i="12"/>
  <c r="U41" i="12" s="1"/>
  <c r="Y38" i="12"/>
  <c r="S38" i="12"/>
  <c r="U38" i="12" s="1"/>
  <c r="Y36" i="12"/>
  <c r="S36" i="12"/>
  <c r="U36" i="12" s="1"/>
  <c r="Y32" i="12"/>
  <c r="Y35" i="12"/>
  <c r="S35" i="12"/>
  <c r="U35" i="12" s="1"/>
  <c r="Y34" i="12"/>
  <c r="S34" i="12"/>
  <c r="U34" i="12" s="1"/>
  <c r="Y33" i="12"/>
  <c r="S33" i="12"/>
  <c r="U33" i="12" s="1"/>
  <c r="Y28" i="12"/>
  <c r="S28" i="12"/>
  <c r="U28" i="12" s="1"/>
  <c r="Y29" i="12"/>
  <c r="S29" i="12"/>
  <c r="U29" i="12" s="1"/>
  <c r="Y27" i="12"/>
  <c r="S27" i="12"/>
  <c r="U27" i="12" s="1"/>
  <c r="Y26" i="12"/>
  <c r="S26" i="12"/>
  <c r="U26" i="12" s="1"/>
  <c r="Y25" i="12"/>
  <c r="S25" i="12"/>
  <c r="U25" i="12" s="1"/>
  <c r="Y24" i="12"/>
  <c r="S24" i="12"/>
  <c r="U24" i="12" s="1"/>
  <c r="Y23" i="12"/>
  <c r="S23" i="12"/>
  <c r="U23" i="12" s="1"/>
  <c r="Y22" i="12"/>
  <c r="S22" i="12"/>
  <c r="U22" i="12" s="1"/>
  <c r="Y21" i="12"/>
  <c r="S21" i="12"/>
  <c r="U21" i="12" s="1"/>
  <c r="Y20" i="12"/>
  <c r="S20" i="12"/>
  <c r="U20" i="12" s="1"/>
  <c r="Y19" i="12"/>
  <c r="S19" i="12"/>
  <c r="U19" i="12" s="1"/>
  <c r="Y18" i="12"/>
  <c r="S18" i="12"/>
  <c r="U18" i="12" s="1"/>
  <c r="Y17" i="12"/>
  <c r="S17" i="12"/>
  <c r="U17" i="12" s="1"/>
  <c r="Y16" i="12"/>
  <c r="S16" i="12"/>
  <c r="U16" i="12" s="1"/>
  <c r="Y15" i="12"/>
  <c r="S15" i="12"/>
  <c r="U15" i="12" s="1"/>
  <c r="Y14" i="12"/>
  <c r="S14" i="12"/>
  <c r="U14" i="12" s="1"/>
  <c r="Y13" i="12"/>
  <c r="S13" i="12"/>
  <c r="U13" i="12" s="1"/>
  <c r="Y12" i="12"/>
  <c r="S12" i="12"/>
  <c r="U12" i="12" s="1"/>
  <c r="Y47" i="11"/>
  <c r="S47" i="11"/>
  <c r="U47" i="11" s="1"/>
  <c r="Y46" i="11"/>
  <c r="S46" i="11"/>
  <c r="U46" i="11" s="1"/>
  <c r="Y45" i="11"/>
  <c r="S45" i="11"/>
  <c r="U45" i="11" s="1"/>
  <c r="Y44" i="11"/>
  <c r="S44" i="11"/>
  <c r="U44" i="11" s="1"/>
  <c r="Y27" i="11"/>
  <c r="Y25" i="11"/>
  <c r="Y31" i="11"/>
  <c r="X31" i="11"/>
  <c r="U31" i="11"/>
  <c r="S31" i="11"/>
  <c r="Y29" i="11"/>
  <c r="S29" i="11"/>
  <c r="U29" i="11" s="1"/>
  <c r="Y26" i="11"/>
  <c r="S26" i="11"/>
  <c r="U26" i="11" s="1"/>
  <c r="S25" i="11"/>
  <c r="U25" i="11" s="1"/>
  <c r="Y24" i="11"/>
  <c r="S24" i="11"/>
  <c r="U24" i="11" s="1"/>
  <c r="Y41" i="11"/>
  <c r="S41" i="11"/>
  <c r="U41" i="11" s="1"/>
  <c r="Y40" i="11"/>
  <c r="S40" i="11"/>
  <c r="U40" i="11" s="1"/>
  <c r="Y39" i="11"/>
  <c r="S39" i="11"/>
  <c r="U39" i="11" s="1"/>
  <c r="Y38" i="11"/>
  <c r="S38" i="11"/>
  <c r="U38" i="11" s="1"/>
  <c r="Y37" i="11"/>
  <c r="S37" i="11"/>
  <c r="U37" i="11" s="1"/>
  <c r="Y23" i="11"/>
  <c r="S23" i="11"/>
  <c r="U23" i="11" s="1"/>
  <c r="Y22" i="11"/>
  <c r="S22" i="11"/>
  <c r="U22" i="11" s="1"/>
  <c r="Y21" i="11"/>
  <c r="S21" i="11"/>
  <c r="U21" i="11" s="1"/>
  <c r="Y20" i="11"/>
  <c r="S20" i="11"/>
  <c r="U20" i="11" s="1"/>
  <c r="Y19" i="11"/>
  <c r="S19" i="11"/>
  <c r="U19" i="11" s="1"/>
  <c r="Y18" i="11"/>
  <c r="U18" i="11"/>
  <c r="S18" i="11"/>
  <c r="Y17" i="11"/>
  <c r="U17" i="11"/>
  <c r="S17" i="11"/>
  <c r="Y16" i="11"/>
  <c r="S16" i="11"/>
  <c r="U16" i="11" s="1"/>
  <c r="Y15" i="11"/>
  <c r="S15" i="11"/>
  <c r="U15" i="11" s="1"/>
  <c r="Y14" i="11"/>
  <c r="U14" i="11"/>
  <c r="S14" i="11"/>
  <c r="Y13" i="11"/>
  <c r="S13" i="11"/>
  <c r="U13" i="11" s="1"/>
  <c r="Y12" i="11"/>
  <c r="S12" i="11"/>
  <c r="U12" i="11" s="1"/>
  <c r="Y60" i="10"/>
  <c r="S60" i="10"/>
  <c r="U60" i="10" s="1"/>
  <c r="Y59" i="10"/>
  <c r="S59" i="10"/>
  <c r="U59" i="10" s="1"/>
  <c r="Y58" i="10"/>
  <c r="S58" i="10"/>
  <c r="U58" i="10" s="1"/>
  <c r="Y57" i="10"/>
  <c r="S57" i="10"/>
  <c r="U57" i="10" s="1"/>
  <c r="Y56" i="10"/>
  <c r="U56" i="10"/>
  <c r="S56" i="10"/>
  <c r="Y55" i="10"/>
  <c r="S55" i="10"/>
  <c r="U55" i="10" s="1"/>
  <c r="Y54" i="10"/>
  <c r="S54" i="10"/>
  <c r="U54" i="10" s="1"/>
  <c r="Y53" i="10"/>
  <c r="S53" i="10"/>
  <c r="U53" i="10" s="1"/>
  <c r="Y52" i="10"/>
  <c r="S52" i="10"/>
  <c r="U52" i="10" s="1"/>
  <c r="Y51" i="10"/>
  <c r="S51" i="10"/>
  <c r="U51" i="10" s="1"/>
  <c r="Y50" i="10"/>
  <c r="S50" i="10"/>
  <c r="U50" i="10" s="1"/>
  <c r="Y49" i="10"/>
  <c r="S49" i="10"/>
  <c r="U49" i="10" s="1"/>
  <c r="Y48" i="10"/>
  <c r="S48" i="10"/>
  <c r="U48" i="10" s="1"/>
  <c r="Y45" i="10"/>
  <c r="S45" i="10"/>
  <c r="U45" i="10" s="1"/>
  <c r="Y44" i="10"/>
  <c r="S44" i="10"/>
  <c r="U44" i="10" s="1"/>
  <c r="Y43" i="10"/>
  <c r="S43" i="10"/>
  <c r="U43" i="10" s="1"/>
  <c r="Y42" i="10"/>
  <c r="U42" i="10"/>
  <c r="S42" i="10"/>
  <c r="Y41" i="10"/>
  <c r="U41" i="10"/>
  <c r="S41" i="10"/>
  <c r="Y40" i="10"/>
  <c r="S40" i="10"/>
  <c r="U40" i="10" s="1"/>
  <c r="Y39" i="10"/>
  <c r="S39" i="10"/>
  <c r="U39" i="10" s="1"/>
  <c r="Y38" i="10"/>
  <c r="S38" i="10"/>
  <c r="U38" i="10" s="1"/>
  <c r="Y37" i="10"/>
  <c r="S37" i="10"/>
  <c r="U37" i="10" s="1"/>
  <c r="Y36" i="10"/>
  <c r="S36" i="10"/>
  <c r="U36" i="10" s="1"/>
  <c r="Y35" i="10"/>
  <c r="S35" i="10"/>
  <c r="U35" i="10" s="1"/>
  <c r="Y33" i="10"/>
  <c r="S33" i="10"/>
  <c r="U33" i="10" s="1"/>
  <c r="Y32" i="10"/>
  <c r="S32" i="10"/>
  <c r="U32" i="10" s="1"/>
  <c r="Y30" i="10"/>
  <c r="S30" i="10"/>
  <c r="U30" i="10" s="1"/>
  <c r="Y29" i="10"/>
  <c r="U29" i="10"/>
  <c r="S29" i="10"/>
  <c r="Y28" i="10"/>
  <c r="S28" i="10"/>
  <c r="U28" i="10" s="1"/>
  <c r="Y27" i="10"/>
  <c r="S27" i="10"/>
  <c r="U27" i="10" s="1"/>
  <c r="Y26" i="10"/>
  <c r="S26" i="10"/>
  <c r="U26" i="10" s="1"/>
  <c r="Y25" i="10"/>
  <c r="S25" i="10"/>
  <c r="U25" i="10" s="1"/>
  <c r="Y24" i="10"/>
  <c r="S24" i="10"/>
  <c r="U24" i="10" s="1"/>
  <c r="Y23" i="10"/>
  <c r="S23" i="10"/>
  <c r="U23" i="10" s="1"/>
  <c r="Y22" i="10"/>
  <c r="S22" i="10"/>
  <c r="U22" i="10" s="1"/>
  <c r="Y21" i="10"/>
  <c r="U21" i="10"/>
  <c r="S21" i="10"/>
  <c r="Y20" i="10"/>
  <c r="S20" i="10"/>
  <c r="U20" i="10" s="1"/>
  <c r="Y19" i="10"/>
  <c r="S19" i="10"/>
  <c r="U19" i="10" s="1"/>
  <c r="Y18" i="10"/>
  <c r="S18" i="10"/>
  <c r="U18" i="10" s="1"/>
  <c r="Y17" i="10"/>
  <c r="S17" i="10"/>
  <c r="U17" i="10" s="1"/>
  <c r="Y16" i="10"/>
  <c r="S16" i="10"/>
  <c r="U16" i="10" s="1"/>
  <c r="Y15" i="10"/>
  <c r="S15" i="10"/>
  <c r="U15" i="10" s="1"/>
  <c r="Y14" i="10"/>
  <c r="S14" i="10"/>
  <c r="U14" i="10" s="1"/>
  <c r="Y13" i="10"/>
  <c r="S13" i="10"/>
  <c r="U13" i="10" s="1"/>
  <c r="Y12" i="10"/>
  <c r="S12" i="10"/>
  <c r="U12" i="10" s="1"/>
  <c r="Y11" i="10"/>
  <c r="U11" i="10"/>
  <c r="S11" i="10"/>
  <c r="Y10" i="10"/>
  <c r="S10" i="10"/>
  <c r="U10" i="10" s="1"/>
  <c r="Y9" i="10"/>
  <c r="S9" i="10"/>
  <c r="U9" i="10" s="1"/>
  <c r="Y8" i="10"/>
  <c r="S8" i="10"/>
  <c r="U8" i="10" s="1"/>
  <c r="Y7" i="10"/>
  <c r="S7" i="10"/>
  <c r="U7" i="10" s="1"/>
  <c r="Y63" i="9"/>
  <c r="S63" i="9"/>
  <c r="U63" i="9" s="1"/>
  <c r="Y62" i="9"/>
  <c r="S62" i="9"/>
  <c r="U62" i="9" s="1"/>
  <c r="Y43" i="9"/>
  <c r="S43" i="9"/>
  <c r="U43" i="9" s="1"/>
  <c r="Y61" i="9"/>
  <c r="S61" i="9"/>
  <c r="U61" i="9" s="1"/>
  <c r="Y60" i="9"/>
  <c r="S60" i="9"/>
  <c r="U60" i="9" s="1"/>
  <c r="Y59" i="9"/>
  <c r="S59" i="9"/>
  <c r="U59" i="9" s="1"/>
  <c r="Y58" i="9"/>
  <c r="S58" i="9"/>
  <c r="U58" i="9" s="1"/>
  <c r="Y55" i="9"/>
  <c r="S55" i="9"/>
  <c r="U55" i="9" s="1"/>
  <c r="Y54" i="9"/>
  <c r="S54" i="9"/>
  <c r="U54" i="9" s="1"/>
  <c r="Y53" i="9"/>
  <c r="S53" i="9"/>
  <c r="U53" i="9" s="1"/>
  <c r="Y52" i="9"/>
  <c r="U52" i="9"/>
  <c r="S52" i="9"/>
  <c r="Y51" i="9"/>
  <c r="S51" i="9"/>
  <c r="U51" i="9" s="1"/>
  <c r="Y45" i="9"/>
  <c r="S45" i="9"/>
  <c r="U45" i="9" s="1"/>
  <c r="Y40" i="9"/>
  <c r="S40" i="9"/>
  <c r="U40" i="9" s="1"/>
  <c r="Y38" i="9"/>
  <c r="S38" i="9"/>
  <c r="U38" i="9" s="1"/>
  <c r="Y36" i="9"/>
  <c r="S36" i="9"/>
  <c r="U36" i="9" s="1"/>
  <c r="Y35" i="9"/>
  <c r="S35" i="9"/>
  <c r="U35" i="9" s="1"/>
  <c r="Y34" i="9"/>
  <c r="S34" i="9"/>
  <c r="U34" i="9" s="1"/>
  <c r="Y33" i="9"/>
  <c r="S33" i="9"/>
  <c r="U33" i="9" s="1"/>
  <c r="Y32" i="9"/>
  <c r="U32" i="9"/>
  <c r="S32" i="9"/>
  <c r="Y30" i="9"/>
  <c r="S30" i="9"/>
  <c r="U30" i="9" s="1"/>
  <c r="Y29" i="9"/>
  <c r="S29" i="9"/>
  <c r="U29" i="9" s="1"/>
  <c r="Y28" i="9"/>
  <c r="S28" i="9"/>
  <c r="U28" i="9" s="1"/>
  <c r="Y27" i="9"/>
  <c r="S27" i="9"/>
  <c r="U27" i="9" s="1"/>
  <c r="Y26" i="9"/>
  <c r="S26" i="9"/>
  <c r="U26" i="9" s="1"/>
  <c r="Y25" i="9"/>
  <c r="S25" i="9"/>
  <c r="U25" i="9" s="1"/>
  <c r="Y24" i="9"/>
  <c r="S24" i="9"/>
  <c r="U24" i="9" s="1"/>
  <c r="Y23" i="9"/>
  <c r="S23" i="9"/>
  <c r="U23" i="9" s="1"/>
  <c r="Y22" i="9"/>
  <c r="S22" i="9"/>
  <c r="U22" i="9" s="1"/>
  <c r="Y21" i="9"/>
  <c r="S21" i="9"/>
  <c r="U21" i="9" s="1"/>
  <c r="Y20" i="9"/>
  <c r="S20" i="9"/>
  <c r="U20" i="9" s="1"/>
  <c r="Y19" i="9"/>
  <c r="S19" i="9"/>
  <c r="U19" i="9" s="1"/>
  <c r="Y18" i="9"/>
  <c r="S18" i="9"/>
  <c r="U18" i="9" s="1"/>
  <c r="Y17" i="9"/>
  <c r="U17" i="9"/>
  <c r="S17" i="9"/>
  <c r="Y16" i="9"/>
  <c r="S16" i="9"/>
  <c r="U16" i="9" s="1"/>
  <c r="Y15" i="9"/>
  <c r="S15" i="9"/>
  <c r="U15" i="9" s="1"/>
  <c r="Y14" i="9"/>
  <c r="S14" i="9"/>
  <c r="U14" i="9" s="1"/>
  <c r="Y13" i="9"/>
  <c r="S13" i="9"/>
  <c r="U13" i="9" s="1"/>
  <c r="Y12" i="9"/>
  <c r="S12" i="9"/>
  <c r="U12" i="9" s="1"/>
  <c r="Y11" i="9"/>
  <c r="S11" i="9"/>
  <c r="U11" i="9" s="1"/>
  <c r="Y10" i="9"/>
  <c r="S10" i="9"/>
  <c r="U10" i="9" s="1"/>
  <c r="Y9" i="9"/>
  <c r="S9" i="9"/>
  <c r="U9" i="9" s="1"/>
  <c r="Y8" i="9"/>
  <c r="S8" i="9"/>
  <c r="U8" i="9" s="1"/>
  <c r="Y7" i="9"/>
  <c r="S7" i="9"/>
  <c r="U7" i="9" s="1"/>
  <c r="Y56" i="8"/>
  <c r="S56" i="8"/>
  <c r="U56" i="8" s="1"/>
  <c r="Y55" i="8"/>
  <c r="U55" i="8"/>
  <c r="S55" i="8"/>
  <c r="Y54" i="8"/>
  <c r="S54" i="8"/>
  <c r="U54" i="8" s="1"/>
  <c r="Y53" i="8"/>
  <c r="S53" i="8"/>
  <c r="U53" i="8" s="1"/>
  <c r="Y52" i="8"/>
  <c r="S52" i="8"/>
  <c r="U52" i="8" s="1"/>
  <c r="Y51" i="8"/>
  <c r="U51" i="8"/>
  <c r="S51" i="8"/>
  <c r="Y48" i="8"/>
  <c r="S48" i="8"/>
  <c r="U48" i="8" s="1"/>
  <c r="Y47" i="8"/>
  <c r="S47" i="8"/>
  <c r="U47" i="8" s="1"/>
  <c r="Y46" i="8"/>
  <c r="S46" i="8"/>
  <c r="U46" i="8" s="1"/>
  <c r="Y45" i="8"/>
  <c r="S45" i="8"/>
  <c r="U45" i="8" s="1"/>
  <c r="Y44" i="8"/>
  <c r="S44" i="8"/>
  <c r="U44" i="8" s="1"/>
  <c r="Y41" i="8"/>
  <c r="S41" i="8"/>
  <c r="U41" i="8" s="1"/>
  <c r="Y40" i="8"/>
  <c r="S40" i="8"/>
  <c r="U40" i="8" s="1"/>
  <c r="Y37" i="8"/>
  <c r="Y34" i="8"/>
  <c r="S34" i="8"/>
  <c r="U34" i="8" s="1"/>
  <c r="Y30" i="8"/>
  <c r="S30" i="8"/>
  <c r="U30" i="8" s="1"/>
  <c r="Y29" i="8"/>
  <c r="S29" i="8"/>
  <c r="U29" i="8" s="1"/>
  <c r="Y28" i="8"/>
  <c r="U28" i="8"/>
  <c r="S28" i="8"/>
  <c r="Y27" i="8"/>
  <c r="S27" i="8"/>
  <c r="U27" i="8" s="1"/>
  <c r="Y26" i="8"/>
  <c r="U26" i="8"/>
  <c r="S26" i="8"/>
  <c r="Y25" i="8"/>
  <c r="S25" i="8"/>
  <c r="U25" i="8" s="1"/>
  <c r="Y24" i="8"/>
  <c r="S24" i="8"/>
  <c r="U24" i="8" s="1"/>
  <c r="Y23" i="8"/>
  <c r="S23" i="8"/>
  <c r="U23" i="8" s="1"/>
  <c r="Y22" i="8"/>
  <c r="S22" i="8"/>
  <c r="U22" i="8" s="1"/>
  <c r="Y21" i="8"/>
  <c r="S21" i="8"/>
  <c r="U21" i="8" s="1"/>
  <c r="Y20" i="8"/>
  <c r="U20" i="8"/>
  <c r="S20" i="8"/>
  <c r="Y19" i="8"/>
  <c r="S19" i="8"/>
  <c r="U19" i="8" s="1"/>
  <c r="Y18" i="8"/>
  <c r="U18" i="8"/>
  <c r="S18" i="8"/>
  <c r="Y17" i="8"/>
  <c r="S17" i="8"/>
  <c r="U17" i="8" s="1"/>
  <c r="Y16" i="8"/>
  <c r="S16" i="8"/>
  <c r="U16" i="8" s="1"/>
  <c r="Y15" i="8"/>
  <c r="S15" i="8"/>
  <c r="U15" i="8" s="1"/>
  <c r="Y14" i="8"/>
  <c r="S14" i="8"/>
  <c r="U14" i="8" s="1"/>
  <c r="Y13" i="8"/>
  <c r="S13" i="8"/>
  <c r="U13" i="8" s="1"/>
  <c r="Y12" i="8"/>
  <c r="U12" i="8"/>
  <c r="S12" i="8"/>
  <c r="X20" i="8" l="1"/>
  <c r="X30" i="8"/>
  <c r="X44" i="8"/>
  <c r="X51" i="8"/>
  <c r="X56" i="8"/>
  <c r="X14" i="10"/>
  <c r="X16" i="8"/>
  <c r="X12" i="10"/>
  <c r="X20" i="10"/>
  <c r="X30" i="10"/>
  <c r="X14" i="8"/>
  <c r="X19" i="8"/>
  <c r="X50" i="10"/>
  <c r="X48" i="12"/>
  <c r="X26" i="11"/>
  <c r="X10" i="10"/>
  <c r="X15" i="10"/>
  <c r="X28" i="10"/>
  <c r="X33" i="10"/>
  <c r="X17" i="11"/>
  <c r="X11" i="13"/>
  <c r="X57" i="12"/>
  <c r="X20" i="13"/>
  <c r="X51" i="9"/>
  <c r="X58" i="9"/>
  <c r="X52" i="12"/>
  <c r="X57" i="10"/>
  <c r="X50" i="12"/>
  <c r="X29" i="8"/>
  <c r="X41" i="8"/>
  <c r="X55" i="8"/>
  <c r="X10" i="9"/>
  <c r="X11" i="10"/>
  <c r="X19" i="10"/>
  <c r="X24" i="10"/>
  <c r="X38" i="10"/>
  <c r="X16" i="11"/>
  <c r="X18" i="11"/>
  <c r="X39" i="11"/>
  <c r="X36" i="13"/>
  <c r="X12" i="8"/>
  <c r="X22" i="8"/>
  <c r="X27" i="8"/>
  <c r="X46" i="8"/>
  <c r="X53" i="8"/>
  <c r="X27" i="10"/>
  <c r="X53" i="10"/>
  <c r="X29" i="11"/>
  <c r="X39" i="13"/>
  <c r="X31" i="13"/>
  <c r="X27" i="13"/>
  <c r="X10" i="13"/>
  <c r="X33" i="13"/>
  <c r="X28" i="13"/>
  <c r="X17" i="13"/>
  <c r="X44" i="13"/>
  <c r="X15" i="13"/>
  <c r="X34" i="13"/>
  <c r="X23" i="13"/>
  <c r="X25" i="13"/>
  <c r="X9" i="13"/>
  <c r="X12" i="13"/>
  <c r="X7" i="13"/>
  <c r="X38" i="13"/>
  <c r="X15" i="8"/>
  <c r="X16" i="9"/>
  <c r="X60" i="9"/>
  <c r="X17" i="10"/>
  <c r="X22" i="10"/>
  <c r="X36" i="10"/>
  <c r="X41" i="10"/>
  <c r="X48" i="10"/>
  <c r="X14" i="11"/>
  <c r="X46" i="11"/>
  <c r="X54" i="12"/>
  <c r="X18" i="13"/>
  <c r="X24" i="9"/>
  <c r="X56" i="10"/>
  <c r="X40" i="11"/>
  <c r="X51" i="12"/>
  <c r="X58" i="12"/>
  <c r="X14" i="13"/>
  <c r="X16" i="13"/>
  <c r="X21" i="13"/>
  <c r="X30" i="13"/>
  <c r="X32" i="13"/>
  <c r="X45" i="13"/>
  <c r="X13" i="8"/>
  <c r="X18" i="8"/>
  <c r="X23" i="8"/>
  <c r="X59" i="10"/>
  <c r="X22" i="11"/>
  <c r="X44" i="11"/>
  <c r="X37" i="13"/>
  <c r="X28" i="8"/>
  <c r="X40" i="8"/>
  <c r="X61" i="9"/>
  <c r="X37" i="10"/>
  <c r="X49" i="10"/>
  <c r="X15" i="11"/>
  <c r="X49" i="12"/>
  <c r="X53" i="12"/>
  <c r="X19" i="13"/>
  <c r="X21" i="8"/>
  <c r="X26" i="8"/>
  <c r="X45" i="8"/>
  <c r="X52" i="8"/>
  <c r="X25" i="9"/>
  <c r="X54" i="9"/>
  <c r="X8" i="10"/>
  <c r="X13" i="10"/>
  <c r="X26" i="10"/>
  <c r="X40" i="10"/>
  <c r="X42" i="10"/>
  <c r="X52" i="10"/>
  <c r="X13" i="11"/>
  <c r="X20" i="11"/>
  <c r="X41" i="11"/>
  <c r="X14" i="12"/>
  <c r="X26" i="13"/>
  <c r="X35" i="13"/>
  <c r="X20" i="9"/>
  <c r="X33" i="9"/>
  <c r="X59" i="9"/>
  <c r="X21" i="10"/>
  <c r="X55" i="10"/>
  <c r="X23" i="11"/>
  <c r="X45" i="11"/>
  <c r="X8" i="13"/>
  <c r="X13" i="13"/>
  <c r="X22" i="13"/>
  <c r="X24" i="13"/>
  <c r="X29" i="13"/>
  <c r="X59" i="12"/>
  <c r="X21" i="12"/>
  <c r="X16" i="12"/>
  <c r="X12" i="12"/>
  <c r="X22" i="12"/>
  <c r="X26" i="12"/>
  <c r="X34" i="12"/>
  <c r="X29" i="12"/>
  <c r="X19" i="12"/>
  <c r="X24" i="12"/>
  <c r="X33" i="12"/>
  <c r="X38" i="12"/>
  <c r="X17" i="12"/>
  <c r="X15" i="12"/>
  <c r="X25" i="12"/>
  <c r="X41" i="12"/>
  <c r="X18" i="12"/>
  <c r="X20" i="12"/>
  <c r="X27" i="12"/>
  <c r="X13" i="12"/>
  <c r="X23" i="12"/>
  <c r="X35" i="12"/>
  <c r="X36" i="12"/>
  <c r="X28" i="12"/>
  <c r="X38" i="11"/>
  <c r="X21" i="11"/>
  <c r="X12" i="11"/>
  <c r="X19" i="11"/>
  <c r="X37" i="11"/>
  <c r="X24" i="11"/>
  <c r="X47" i="11"/>
  <c r="X25" i="11"/>
  <c r="X39" i="10"/>
  <c r="X43" i="10"/>
  <c r="X9" i="10"/>
  <c r="X18" i="10"/>
  <c r="X44" i="10"/>
  <c r="X7" i="10"/>
  <c r="X16" i="10"/>
  <c r="X25" i="10"/>
  <c r="X29" i="10"/>
  <c r="X35" i="10"/>
  <c r="X51" i="10"/>
  <c r="X60" i="10"/>
  <c r="X23" i="10"/>
  <c r="X32" i="10"/>
  <c r="X45" i="10"/>
  <c r="X54" i="10"/>
  <c r="X58" i="10"/>
  <c r="X11" i="9"/>
  <c r="X21" i="9"/>
  <c r="X26" i="9"/>
  <c r="X62" i="9"/>
  <c r="X9" i="9"/>
  <c r="X19" i="9"/>
  <c r="X45" i="9"/>
  <c r="X52" i="9"/>
  <c r="X55" i="9"/>
  <c r="X7" i="9"/>
  <c r="X63" i="9"/>
  <c r="X53" i="9"/>
  <c r="X43" i="9"/>
  <c r="X13" i="9"/>
  <c r="X23" i="9"/>
  <c r="X28" i="9"/>
  <c r="X35" i="9"/>
  <c r="X8" i="9"/>
  <c r="X18" i="9"/>
  <c r="X40" i="9"/>
  <c r="X14" i="9"/>
  <c r="X29" i="9"/>
  <c r="X36" i="9"/>
  <c r="X12" i="9"/>
  <c r="X22" i="9"/>
  <c r="X27" i="9"/>
  <c r="X34" i="9"/>
  <c r="X15" i="9"/>
  <c r="X17" i="9"/>
  <c r="X30" i="9"/>
  <c r="X32" i="9"/>
  <c r="X38" i="9"/>
  <c r="X25" i="8"/>
  <c r="X34" i="8"/>
  <c r="X48" i="8"/>
  <c r="X17" i="8"/>
  <c r="X24" i="8"/>
  <c r="X47" i="8"/>
  <c r="X54" i="8"/>
  <c r="Y55" i="7"/>
  <c r="Z55" i="7" s="1"/>
  <c r="S55" i="7"/>
  <c r="U55" i="7" s="1"/>
  <c r="AB55" i="7"/>
  <c r="Y48" i="6"/>
  <c r="S48" i="6"/>
  <c r="U48" i="6" s="1"/>
  <c r="Y54" i="7"/>
  <c r="S54" i="7"/>
  <c r="U54" i="7" s="1"/>
  <c r="Y53" i="7"/>
  <c r="S53" i="7"/>
  <c r="U53" i="7" s="1"/>
  <c r="Z64" i="15"/>
  <c r="Z89" i="14"/>
  <c r="Z84" i="13"/>
  <c r="Z75" i="12"/>
  <c r="Z60" i="11"/>
  <c r="Z75" i="10"/>
  <c r="Z78" i="9"/>
  <c r="Z70" i="8"/>
  <c r="Z68" i="7"/>
  <c r="Y15" i="7"/>
  <c r="Y50" i="7"/>
  <c r="S50" i="7"/>
  <c r="U50" i="7" s="1"/>
  <c r="Y49" i="7"/>
  <c r="S49" i="7"/>
  <c r="U49" i="7" s="1"/>
  <c r="Y48" i="7"/>
  <c r="S48" i="7"/>
  <c r="U48" i="7" s="1"/>
  <c r="Y47" i="7"/>
  <c r="S47" i="7"/>
  <c r="U47" i="7" s="1"/>
  <c r="Y46" i="7"/>
  <c r="S46" i="7"/>
  <c r="U46" i="7" s="1"/>
  <c r="Y39" i="7"/>
  <c r="S39" i="7"/>
  <c r="U39" i="7" s="1"/>
  <c r="X46" i="7" l="1"/>
  <c r="X48" i="7"/>
  <c r="X54" i="7"/>
  <c r="X39" i="7"/>
  <c r="X47" i="7"/>
  <c r="X53" i="7"/>
  <c r="X50" i="7"/>
  <c r="X55" i="7"/>
  <c r="X49" i="7"/>
  <c r="X48" i="6"/>
  <c r="AC55" i="7"/>
  <c r="Y9" i="15"/>
  <c r="S9" i="15"/>
  <c r="U9" i="15" s="1"/>
  <c r="S8" i="15"/>
  <c r="U8" i="15" s="1"/>
  <c r="Y8" i="15"/>
  <c r="Y9" i="12"/>
  <c r="S9" i="12"/>
  <c r="U9" i="12" s="1"/>
  <c r="Y9" i="11"/>
  <c r="S9" i="11"/>
  <c r="U9" i="11" s="1"/>
  <c r="Y9" i="8"/>
  <c r="S9" i="8"/>
  <c r="U9" i="8" s="1"/>
  <c r="Y9" i="7"/>
  <c r="S9" i="7"/>
  <c r="U9" i="7" s="1"/>
  <c r="Y43" i="7"/>
  <c r="S43" i="7"/>
  <c r="U43" i="7" s="1"/>
  <c r="Y42" i="7"/>
  <c r="S42" i="7"/>
  <c r="U42" i="7" s="1"/>
  <c r="Y36" i="7"/>
  <c r="S36" i="7"/>
  <c r="U36" i="7" s="1"/>
  <c r="Y35" i="7"/>
  <c r="S35" i="7"/>
  <c r="U35" i="7" s="1"/>
  <c r="Y33" i="7"/>
  <c r="S33" i="7"/>
  <c r="U33" i="7" s="1"/>
  <c r="Y32" i="7"/>
  <c r="S32" i="7"/>
  <c r="U32" i="7" s="1"/>
  <c r="Y31" i="7"/>
  <c r="S31" i="7"/>
  <c r="U31" i="7" s="1"/>
  <c r="Y30" i="7"/>
  <c r="U30" i="7"/>
  <c r="S30" i="7"/>
  <c r="Y29" i="7"/>
  <c r="S29" i="7"/>
  <c r="U29" i="7" s="1"/>
  <c r="Y28" i="7"/>
  <c r="U28" i="7"/>
  <c r="S28" i="7"/>
  <c r="Y26" i="7"/>
  <c r="S26" i="7"/>
  <c r="U26" i="7" s="1"/>
  <c r="Y25" i="7"/>
  <c r="S25" i="7"/>
  <c r="U25" i="7" s="1"/>
  <c r="Y24" i="7"/>
  <c r="S24" i="7"/>
  <c r="U24" i="7" s="1"/>
  <c r="Y22" i="7"/>
  <c r="S22" i="7"/>
  <c r="U22" i="7" s="1"/>
  <c r="Y21" i="7"/>
  <c r="S21" i="7"/>
  <c r="U21" i="7" s="1"/>
  <c r="Y20" i="7"/>
  <c r="S20" i="7"/>
  <c r="U20" i="7" s="1"/>
  <c r="Y19" i="7"/>
  <c r="S19" i="7"/>
  <c r="U19" i="7" s="1"/>
  <c r="Y13" i="7"/>
  <c r="S13" i="7"/>
  <c r="U13" i="7" s="1"/>
  <c r="Y12" i="7"/>
  <c r="S12" i="7"/>
  <c r="U12" i="7" s="1"/>
  <c r="Y47" i="6"/>
  <c r="S47" i="6"/>
  <c r="U47" i="6" s="1"/>
  <c r="Y46" i="6"/>
  <c r="S46" i="6"/>
  <c r="U46" i="6" s="1"/>
  <c r="X42" i="7" l="1"/>
  <c r="AD55" i="7"/>
  <c r="AE55" i="7" s="1"/>
  <c r="X8" i="15"/>
  <c r="X46" i="6"/>
  <c r="X24" i="7"/>
  <c r="X32" i="7"/>
  <c r="X33" i="7"/>
  <c r="X25" i="7"/>
  <c r="X12" i="7"/>
  <c r="X29" i="7"/>
  <c r="X26" i="7"/>
  <c r="X21" i="7"/>
  <c r="X43" i="7"/>
  <c r="X22" i="7"/>
  <c r="X9" i="7"/>
  <c r="X19" i="7"/>
  <c r="X28" i="7"/>
  <c r="X30" i="7"/>
  <c r="X36" i="7"/>
  <c r="X9" i="11"/>
  <c r="X20" i="7"/>
  <c r="X31" i="7"/>
  <c r="X9" i="12"/>
  <c r="X13" i="7"/>
  <c r="X35" i="7"/>
  <c r="X47" i="6"/>
  <c r="X9" i="8"/>
  <c r="X9" i="15"/>
  <c r="Y38" i="6" l="1"/>
  <c r="Y39" i="6"/>
  <c r="Y41" i="6"/>
  <c r="Y40" i="6"/>
  <c r="Y37" i="6"/>
  <c r="Z60" i="6"/>
  <c r="Y15" i="6"/>
  <c r="Z15" i="6" s="1"/>
  <c r="Y45" i="6"/>
  <c r="S45" i="6"/>
  <c r="U45" i="6" s="1"/>
  <c r="Y33" i="6"/>
  <c r="S33" i="6"/>
  <c r="U33" i="6" s="1"/>
  <c r="Y29" i="6"/>
  <c r="Z29" i="6" s="1"/>
  <c r="S29" i="6"/>
  <c r="U29" i="6" s="1"/>
  <c r="U31" i="6"/>
  <c r="Y27" i="6"/>
  <c r="S27" i="6"/>
  <c r="U27" i="6" s="1"/>
  <c r="Y26" i="6"/>
  <c r="U26" i="6"/>
  <c r="S26" i="6"/>
  <c r="Y25" i="6"/>
  <c r="Z25" i="6" s="1"/>
  <c r="S25" i="6"/>
  <c r="U25" i="6" s="1"/>
  <c r="Y24" i="6"/>
  <c r="U24" i="6"/>
  <c r="S24" i="6"/>
  <c r="Y23" i="6"/>
  <c r="S23" i="6"/>
  <c r="U23" i="6" s="1"/>
  <c r="Y22" i="6"/>
  <c r="S22" i="6"/>
  <c r="U22" i="6" s="1"/>
  <c r="Y19" i="6"/>
  <c r="S19" i="6"/>
  <c r="U19" i="6" s="1"/>
  <c r="Y18" i="6"/>
  <c r="Z18" i="6" s="1"/>
  <c r="U18" i="6"/>
  <c r="S18" i="6"/>
  <c r="Y16" i="6"/>
  <c r="S16" i="6"/>
  <c r="U16" i="6" s="1"/>
  <c r="S15" i="6"/>
  <c r="U15" i="6" s="1"/>
  <c r="Y14" i="6"/>
  <c r="S14" i="6"/>
  <c r="U14" i="6" s="1"/>
  <c r="Y13" i="6"/>
  <c r="Z13" i="6" s="1"/>
  <c r="S13" i="6"/>
  <c r="U13" i="6" s="1"/>
  <c r="Y12" i="6"/>
  <c r="U12" i="6"/>
  <c r="S12" i="6"/>
  <c r="AB12" i="6"/>
  <c r="AJ59" i="15"/>
  <c r="AI59" i="15"/>
  <c r="AH59" i="15"/>
  <c r="AG59" i="15"/>
  <c r="AF59" i="15"/>
  <c r="AB57" i="15"/>
  <c r="Y57" i="15"/>
  <c r="S57" i="15"/>
  <c r="U57" i="15" s="1"/>
  <c r="AB56" i="15"/>
  <c r="Y56" i="15"/>
  <c r="S56" i="15"/>
  <c r="U56" i="15" s="1"/>
  <c r="AB55" i="15"/>
  <c r="Y55" i="15"/>
  <c r="S55" i="15"/>
  <c r="U55" i="15" s="1"/>
  <c r="AB54" i="15"/>
  <c r="Y54" i="15"/>
  <c r="Z54" i="15" s="1"/>
  <c r="S54" i="15"/>
  <c r="U54" i="15" s="1"/>
  <c r="AB53" i="15"/>
  <c r="Y53" i="15"/>
  <c r="Z53" i="15" s="1"/>
  <c r="S53" i="15"/>
  <c r="U53" i="15" s="1"/>
  <c r="AB52" i="15"/>
  <c r="Y52" i="15"/>
  <c r="X52" i="15"/>
  <c r="S52" i="15"/>
  <c r="U52" i="15" s="1"/>
  <c r="AB51" i="15"/>
  <c r="Y51" i="15"/>
  <c r="S51" i="15"/>
  <c r="U51" i="15" s="1"/>
  <c r="AB50" i="15"/>
  <c r="Y50" i="15"/>
  <c r="Z50" i="15" s="1"/>
  <c r="S50" i="15"/>
  <c r="U50" i="15" s="1"/>
  <c r="AB49" i="15"/>
  <c r="Z49" i="15"/>
  <c r="AB48" i="15"/>
  <c r="Y48" i="15"/>
  <c r="Z48" i="15" s="1"/>
  <c r="S48" i="15"/>
  <c r="U48" i="15" s="1"/>
  <c r="AB47" i="15"/>
  <c r="Y47" i="15"/>
  <c r="Z47" i="15" s="1"/>
  <c r="S47" i="15"/>
  <c r="U47" i="15" s="1"/>
  <c r="AB46" i="15"/>
  <c r="Y46" i="15"/>
  <c r="Z46" i="15" s="1"/>
  <c r="S46" i="15"/>
  <c r="U46" i="15" s="1"/>
  <c r="AB45" i="15"/>
  <c r="AC45" i="15" s="1"/>
  <c r="S45" i="15"/>
  <c r="U45" i="15" s="1"/>
  <c r="X45" i="15" s="1"/>
  <c r="AB44" i="15"/>
  <c r="AC44" i="15" s="1"/>
  <c r="S44" i="15"/>
  <c r="U44" i="15" s="1"/>
  <c r="X44" i="15" s="1"/>
  <c r="AB43" i="15"/>
  <c r="Z43" i="15"/>
  <c r="S43" i="15"/>
  <c r="U43" i="15" s="1"/>
  <c r="X43" i="15" s="1"/>
  <c r="AB42" i="15"/>
  <c r="AC42" i="15" s="1"/>
  <c r="Z42" i="15"/>
  <c r="S42" i="15"/>
  <c r="U42" i="15" s="1"/>
  <c r="X42" i="15" s="1"/>
  <c r="AB41" i="15"/>
  <c r="S41" i="15"/>
  <c r="U41" i="15" s="1"/>
  <c r="X41" i="15" s="1"/>
  <c r="AB40" i="15"/>
  <c r="Z40" i="15"/>
  <c r="AB39" i="15"/>
  <c r="Y39" i="15"/>
  <c r="Z39" i="15" s="1"/>
  <c r="S39" i="15"/>
  <c r="U39" i="15" s="1"/>
  <c r="AB38" i="15"/>
  <c r="Z38" i="15"/>
  <c r="AB37" i="15"/>
  <c r="AC37" i="15" s="1"/>
  <c r="AB36" i="15"/>
  <c r="Z36" i="15"/>
  <c r="AB35" i="15"/>
  <c r="AC35" i="15" s="1"/>
  <c r="AB34" i="15"/>
  <c r="Z34" i="15"/>
  <c r="AB33" i="15"/>
  <c r="AB32" i="15"/>
  <c r="Z32" i="15"/>
  <c r="AB31" i="15"/>
  <c r="AC31" i="15" s="1"/>
  <c r="AB30" i="15"/>
  <c r="AC30" i="15" s="1"/>
  <c r="Z30" i="15"/>
  <c r="AB29" i="15"/>
  <c r="AC29" i="15" s="1"/>
  <c r="AB28" i="15"/>
  <c r="AC28" i="15" s="1"/>
  <c r="AB27" i="15"/>
  <c r="AC27" i="15" s="1"/>
  <c r="AB26" i="15"/>
  <c r="Y26" i="15"/>
  <c r="S26" i="15"/>
  <c r="U26" i="15" s="1"/>
  <c r="AB25" i="15"/>
  <c r="Y25" i="15"/>
  <c r="Z25" i="15" s="1"/>
  <c r="S25" i="15"/>
  <c r="U25" i="15" s="1"/>
  <c r="AB24" i="15"/>
  <c r="Y24" i="15"/>
  <c r="S24" i="15"/>
  <c r="U24" i="15" s="1"/>
  <c r="AB23" i="15"/>
  <c r="Y23" i="15"/>
  <c r="S23" i="15"/>
  <c r="U23" i="15" s="1"/>
  <c r="AB22" i="15"/>
  <c r="Y22" i="15"/>
  <c r="S22" i="15"/>
  <c r="U22" i="15" s="1"/>
  <c r="AB21" i="15"/>
  <c r="AB20" i="15"/>
  <c r="AC20" i="15"/>
  <c r="AB19" i="15"/>
  <c r="AB18" i="15"/>
  <c r="Z18" i="15"/>
  <c r="AB17" i="15"/>
  <c r="AC17" i="15" s="1"/>
  <c r="AB16" i="15"/>
  <c r="AC16" i="15" s="1"/>
  <c r="AB15" i="15"/>
  <c r="AB14" i="15"/>
  <c r="Z14" i="15"/>
  <c r="AB13" i="15"/>
  <c r="AC13" i="15" s="1"/>
  <c r="S13" i="15"/>
  <c r="U13" i="15" s="1"/>
  <c r="AB12" i="15"/>
  <c r="Y12" i="15"/>
  <c r="U12" i="15"/>
  <c r="S12" i="15"/>
  <c r="AB11" i="15"/>
  <c r="Y11" i="15"/>
  <c r="S11" i="15"/>
  <c r="U11" i="15" s="1"/>
  <c r="AB10" i="15"/>
  <c r="Y10" i="15"/>
  <c r="S10" i="15"/>
  <c r="U10" i="15" s="1"/>
  <c r="AB9" i="15"/>
  <c r="AC9" i="15"/>
  <c r="AB8" i="15"/>
  <c r="AC8" i="15" s="1"/>
  <c r="AB7" i="15"/>
  <c r="Y7" i="15"/>
  <c r="S7" i="15"/>
  <c r="U7" i="15" s="1"/>
  <c r="AJ84" i="14"/>
  <c r="AI84" i="14"/>
  <c r="AH84" i="14"/>
  <c r="AG84" i="14"/>
  <c r="AF84" i="14"/>
  <c r="AB82" i="14"/>
  <c r="Y82" i="14"/>
  <c r="S82" i="14"/>
  <c r="U82" i="14" s="1"/>
  <c r="AB81" i="14"/>
  <c r="Y81" i="14"/>
  <c r="S81" i="14"/>
  <c r="U81" i="14" s="1"/>
  <c r="AB80" i="14"/>
  <c r="Y80" i="14"/>
  <c r="Z80" i="14" s="1"/>
  <c r="S80" i="14"/>
  <c r="U80" i="14" s="1"/>
  <c r="AB79" i="14"/>
  <c r="Y79" i="14"/>
  <c r="S79" i="14"/>
  <c r="U79" i="14" s="1"/>
  <c r="AB78" i="14"/>
  <c r="Y78" i="14"/>
  <c r="S78" i="14"/>
  <c r="U78" i="14" s="1"/>
  <c r="AB77" i="14"/>
  <c r="Y77" i="14"/>
  <c r="S77" i="14"/>
  <c r="U77" i="14" s="1"/>
  <c r="AB76" i="14"/>
  <c r="Y76" i="14"/>
  <c r="Z76" i="14" s="1"/>
  <c r="S76" i="14"/>
  <c r="U76" i="14" s="1"/>
  <c r="AB75" i="14"/>
  <c r="AB74" i="14"/>
  <c r="AB73" i="14"/>
  <c r="Z73" i="14"/>
  <c r="AB72" i="14"/>
  <c r="Z72" i="14"/>
  <c r="AB71" i="14"/>
  <c r="Y71" i="14"/>
  <c r="S71" i="14"/>
  <c r="U71" i="14" s="1"/>
  <c r="AB70" i="14"/>
  <c r="AB69" i="14"/>
  <c r="AC69" i="14" s="1"/>
  <c r="AB68" i="14"/>
  <c r="Z68" i="14"/>
  <c r="AB67" i="14"/>
  <c r="AB66" i="14"/>
  <c r="AB65" i="14"/>
  <c r="Z65" i="14"/>
  <c r="AB64" i="14"/>
  <c r="AC64" i="14" s="1"/>
  <c r="Z64" i="14"/>
  <c r="AB63" i="14"/>
  <c r="AB62" i="14"/>
  <c r="AB61" i="14"/>
  <c r="Y61" i="14"/>
  <c r="Z61" i="14" s="1"/>
  <c r="S61" i="14"/>
  <c r="U61" i="14" s="1"/>
  <c r="AB60" i="14"/>
  <c r="Y60" i="14"/>
  <c r="Z60" i="14" s="1"/>
  <c r="S60" i="14"/>
  <c r="U60" i="14" s="1"/>
  <c r="AB59" i="14"/>
  <c r="Y59" i="14"/>
  <c r="S59" i="14"/>
  <c r="U59" i="14" s="1"/>
  <c r="AB58" i="14"/>
  <c r="Y58" i="14"/>
  <c r="S58" i="14"/>
  <c r="U58" i="14" s="1"/>
  <c r="AB57" i="14"/>
  <c r="Y57" i="14"/>
  <c r="Z57" i="14" s="1"/>
  <c r="S57" i="14"/>
  <c r="U57" i="14" s="1"/>
  <c r="AB56" i="14"/>
  <c r="AC56" i="14" s="1"/>
  <c r="Z56" i="14"/>
  <c r="AB55" i="14"/>
  <c r="Y55" i="14"/>
  <c r="S55" i="14"/>
  <c r="U55" i="14" s="1"/>
  <c r="AB54" i="14"/>
  <c r="S54" i="14"/>
  <c r="U54" i="14" s="1"/>
  <c r="AB53" i="14"/>
  <c r="Y53" i="14"/>
  <c r="S53" i="14"/>
  <c r="U53" i="14" s="1"/>
  <c r="AB52" i="14"/>
  <c r="AC52" i="14" s="1"/>
  <c r="Y52" i="14"/>
  <c r="Z52" i="14" s="1"/>
  <c r="S52" i="14"/>
  <c r="U52" i="14" s="1"/>
  <c r="AB51" i="14"/>
  <c r="Y51" i="14"/>
  <c r="S51" i="14"/>
  <c r="U51" i="14" s="1"/>
  <c r="AB50" i="14"/>
  <c r="Y50" i="14"/>
  <c r="S50" i="14"/>
  <c r="U50" i="14" s="1"/>
  <c r="AB49" i="14"/>
  <c r="Y49" i="14"/>
  <c r="S49" i="14"/>
  <c r="U49" i="14" s="1"/>
  <c r="AB48" i="14"/>
  <c r="AC48" i="14" s="1"/>
  <c r="Z48" i="14"/>
  <c r="S48" i="14"/>
  <c r="U48" i="14" s="1"/>
  <c r="AB47" i="14"/>
  <c r="Y47" i="14"/>
  <c r="S47" i="14"/>
  <c r="U47" i="14" s="1"/>
  <c r="AB46" i="14"/>
  <c r="Y46" i="14"/>
  <c r="S46" i="14"/>
  <c r="U46" i="14" s="1"/>
  <c r="AB45" i="14"/>
  <c r="Y45" i="14"/>
  <c r="S45" i="14"/>
  <c r="U45" i="14" s="1"/>
  <c r="AC44" i="14"/>
  <c r="AB44" i="14"/>
  <c r="Y44" i="14"/>
  <c r="Z44" i="14" s="1"/>
  <c r="S44" i="14"/>
  <c r="U44" i="14" s="1"/>
  <c r="AB43" i="14"/>
  <c r="S43" i="14"/>
  <c r="U43" i="14" s="1"/>
  <c r="AB42" i="14"/>
  <c r="Y42" i="14"/>
  <c r="X42" i="14"/>
  <c r="S42" i="14"/>
  <c r="U42" i="14" s="1"/>
  <c r="AB41" i="14"/>
  <c r="Y41" i="14"/>
  <c r="Z41" i="14" s="1"/>
  <c r="S41" i="14"/>
  <c r="U41" i="14" s="1"/>
  <c r="AB40" i="14"/>
  <c r="Y40" i="14"/>
  <c r="Z40" i="14" s="1"/>
  <c r="S40" i="14"/>
  <c r="U40" i="14" s="1"/>
  <c r="AB39" i="14"/>
  <c r="Y39" i="14"/>
  <c r="S39" i="14"/>
  <c r="U39" i="14" s="1"/>
  <c r="AB38" i="14"/>
  <c r="Y38" i="14"/>
  <c r="S38" i="14"/>
  <c r="U38" i="14" s="1"/>
  <c r="AB37" i="14"/>
  <c r="AC37" i="14" s="1"/>
  <c r="AB36" i="14"/>
  <c r="Z36" i="14"/>
  <c r="AC36" i="14"/>
  <c r="AB35" i="14"/>
  <c r="Z35" i="14"/>
  <c r="AB34" i="14"/>
  <c r="Y34" i="14"/>
  <c r="S34" i="14"/>
  <c r="U34" i="14" s="1"/>
  <c r="AB33" i="14"/>
  <c r="AC33" i="14" s="1"/>
  <c r="S33" i="14"/>
  <c r="U33" i="14" s="1"/>
  <c r="AB32" i="14"/>
  <c r="AC32" i="14" s="1"/>
  <c r="Z32" i="14"/>
  <c r="AB31" i="14"/>
  <c r="AC31" i="14" s="1"/>
  <c r="Z31" i="14"/>
  <c r="AB30" i="14"/>
  <c r="AC30" i="14" s="1"/>
  <c r="Z30" i="14"/>
  <c r="AC29" i="14"/>
  <c r="AB29" i="14"/>
  <c r="Z29" i="14"/>
  <c r="AB28" i="14"/>
  <c r="AC28" i="14" s="1"/>
  <c r="Z28" i="14"/>
  <c r="AB27" i="14"/>
  <c r="Z27" i="14"/>
  <c r="AC27" i="14"/>
  <c r="AB26" i="14"/>
  <c r="AC26" i="14" s="1"/>
  <c r="Z26" i="14"/>
  <c r="AB25" i="14"/>
  <c r="AC25" i="14" s="1"/>
  <c r="Z25" i="14"/>
  <c r="AB24" i="14"/>
  <c r="AC24" i="14" s="1"/>
  <c r="Z24" i="14"/>
  <c r="AB23" i="14"/>
  <c r="AC23" i="14" s="1"/>
  <c r="Z23" i="14"/>
  <c r="AB22" i="14"/>
  <c r="AC22" i="14" s="1"/>
  <c r="Z22" i="14"/>
  <c r="AB21" i="14"/>
  <c r="AC21" i="14" s="1"/>
  <c r="Z21" i="14"/>
  <c r="AC20" i="14"/>
  <c r="AB20" i="14"/>
  <c r="Z20" i="14"/>
  <c r="AB19" i="14"/>
  <c r="AC19" i="14" s="1"/>
  <c r="Z19" i="14"/>
  <c r="AB18" i="14"/>
  <c r="AC18" i="14" s="1"/>
  <c r="Z18" i="14"/>
  <c r="AB17" i="14"/>
  <c r="AC17" i="14" s="1"/>
  <c r="Z17" i="14"/>
  <c r="AB16" i="14"/>
  <c r="AC16" i="14" s="1"/>
  <c r="Z16" i="14"/>
  <c r="AB15" i="14"/>
  <c r="AC15" i="14" s="1"/>
  <c r="Z15" i="14"/>
  <c r="AB14" i="14"/>
  <c r="AC14" i="14" s="1"/>
  <c r="Z14" i="14"/>
  <c r="AC13" i="14"/>
  <c r="AB13" i="14"/>
  <c r="Z13" i="14"/>
  <c r="AB12" i="14"/>
  <c r="AC12" i="14" s="1"/>
  <c r="Z12" i="14"/>
  <c r="AB11" i="14"/>
  <c r="AC11" i="14" s="1"/>
  <c r="Z11" i="14"/>
  <c r="AB10" i="14"/>
  <c r="AC10" i="14" s="1"/>
  <c r="Z10" i="14"/>
  <c r="AB9" i="14"/>
  <c r="AC9" i="14" s="1"/>
  <c r="Z9" i="14"/>
  <c r="AB8" i="14"/>
  <c r="AC8" i="14" s="1"/>
  <c r="Z8" i="14"/>
  <c r="AB7" i="14"/>
  <c r="AC7" i="14" s="1"/>
  <c r="Z7" i="14"/>
  <c r="AJ79" i="13"/>
  <c r="AI79" i="13"/>
  <c r="AH79" i="13"/>
  <c r="AG79" i="13"/>
  <c r="AF79" i="13"/>
  <c r="AB77" i="13"/>
  <c r="Y77" i="13"/>
  <c r="S77" i="13"/>
  <c r="U77" i="13" s="1"/>
  <c r="AB76" i="13"/>
  <c r="Y76" i="13"/>
  <c r="S76" i="13"/>
  <c r="U76" i="13" s="1"/>
  <c r="AB75" i="13"/>
  <c r="Y75" i="13"/>
  <c r="Z75" i="13" s="1"/>
  <c r="S75" i="13"/>
  <c r="U75" i="13" s="1"/>
  <c r="AB74" i="13"/>
  <c r="Y74" i="13"/>
  <c r="Z74" i="13" s="1"/>
  <c r="S74" i="13"/>
  <c r="U74" i="13" s="1"/>
  <c r="AB73" i="13"/>
  <c r="Y73" i="13"/>
  <c r="S73" i="13"/>
  <c r="U73" i="13" s="1"/>
  <c r="AB72" i="13"/>
  <c r="Z72" i="13"/>
  <c r="Y72" i="13"/>
  <c r="S72" i="13"/>
  <c r="U72" i="13" s="1"/>
  <c r="AB71" i="13"/>
  <c r="Y71" i="13"/>
  <c r="Z71" i="13" s="1"/>
  <c r="S71" i="13"/>
  <c r="U71" i="13" s="1"/>
  <c r="AB70" i="13"/>
  <c r="Y70" i="13"/>
  <c r="Z70" i="13" s="1"/>
  <c r="S70" i="13"/>
  <c r="U70" i="13" s="1"/>
  <c r="AB69" i="13"/>
  <c r="Y69" i="13"/>
  <c r="S69" i="13"/>
  <c r="U69" i="13" s="1"/>
  <c r="AB68" i="13"/>
  <c r="Z68" i="13"/>
  <c r="AB67" i="13"/>
  <c r="Y67" i="13"/>
  <c r="Z67" i="13" s="1"/>
  <c r="S67" i="13"/>
  <c r="U67" i="13" s="1"/>
  <c r="AB66" i="13"/>
  <c r="Z66" i="13"/>
  <c r="AB65" i="13"/>
  <c r="AB64" i="13"/>
  <c r="AB63" i="13"/>
  <c r="Y63" i="13"/>
  <c r="S63" i="13"/>
  <c r="U63" i="13" s="1"/>
  <c r="AB62" i="13"/>
  <c r="Y62" i="13"/>
  <c r="Z62" i="13" s="1"/>
  <c r="S62" i="13"/>
  <c r="U62" i="13" s="1"/>
  <c r="AB61" i="13"/>
  <c r="AB60" i="13"/>
  <c r="AC60" i="13" s="1"/>
  <c r="Z60" i="13"/>
  <c r="AB59" i="13"/>
  <c r="AC59" i="13" s="1"/>
  <c r="Z59" i="13"/>
  <c r="AB58" i="13"/>
  <c r="AB57" i="13"/>
  <c r="AC57" i="13" s="1"/>
  <c r="AD57" i="13" s="1"/>
  <c r="AE57" i="13" s="1"/>
  <c r="Z57" i="13"/>
  <c r="AB56" i="13"/>
  <c r="AC56" i="13" s="1"/>
  <c r="Z56" i="13"/>
  <c r="AB55" i="13"/>
  <c r="AC55" i="13" s="1"/>
  <c r="Z55" i="13"/>
  <c r="AB54" i="13"/>
  <c r="AB53" i="13"/>
  <c r="Y53" i="13"/>
  <c r="Z53" i="13" s="1"/>
  <c r="S53" i="13"/>
  <c r="U53" i="13" s="1"/>
  <c r="AB52" i="13"/>
  <c r="Y52" i="13"/>
  <c r="S52" i="13"/>
  <c r="U52" i="13" s="1"/>
  <c r="AB49" i="13"/>
  <c r="Y49" i="13"/>
  <c r="S49" i="13"/>
  <c r="U49" i="13" s="1"/>
  <c r="AB48" i="13"/>
  <c r="Y48" i="13"/>
  <c r="S48" i="13"/>
  <c r="U48" i="13" s="1"/>
  <c r="AB47" i="13"/>
  <c r="Y47" i="13"/>
  <c r="Z47" i="13" s="1"/>
  <c r="S47" i="13"/>
  <c r="U47" i="13" s="1"/>
  <c r="AB46" i="13"/>
  <c r="Y46" i="13"/>
  <c r="S46" i="13"/>
  <c r="U46" i="13" s="1"/>
  <c r="AB45" i="13"/>
  <c r="AB44" i="13"/>
  <c r="AC44" i="13" s="1"/>
  <c r="Z44" i="13"/>
  <c r="AB43" i="13"/>
  <c r="Y43" i="13"/>
  <c r="Z43" i="13" s="1"/>
  <c r="S43" i="13"/>
  <c r="U43" i="13" s="1"/>
  <c r="AB42" i="13"/>
  <c r="AB41" i="13"/>
  <c r="Y41" i="13"/>
  <c r="S41" i="13"/>
  <c r="U41" i="13" s="1"/>
  <c r="AB40" i="13"/>
  <c r="Y40" i="13"/>
  <c r="S40" i="13"/>
  <c r="U40" i="13" s="1"/>
  <c r="AB39" i="13"/>
  <c r="AC39" i="13" s="1"/>
  <c r="Z39" i="13"/>
  <c r="AB38" i="13"/>
  <c r="AB37" i="13"/>
  <c r="Z37" i="13"/>
  <c r="AB36" i="13"/>
  <c r="AC36" i="13" s="1"/>
  <c r="Z36" i="13"/>
  <c r="AB35" i="13"/>
  <c r="Z35" i="13"/>
  <c r="AB34" i="13"/>
  <c r="AB33" i="13"/>
  <c r="AC33" i="13" s="1"/>
  <c r="AB32" i="13"/>
  <c r="AC32" i="13" s="1"/>
  <c r="AB31" i="13"/>
  <c r="AC31" i="13" s="1"/>
  <c r="Z31" i="13"/>
  <c r="AB30" i="13"/>
  <c r="AC30" i="13" s="1"/>
  <c r="Z30" i="13"/>
  <c r="AB29" i="13"/>
  <c r="AC29" i="13" s="1"/>
  <c r="Z29" i="13"/>
  <c r="AB28" i="13"/>
  <c r="AC28" i="13" s="1"/>
  <c r="AB27" i="13"/>
  <c r="AC27" i="13" s="1"/>
  <c r="Z27" i="13"/>
  <c r="AB26" i="13"/>
  <c r="AC26" i="13" s="1"/>
  <c r="Z26" i="13"/>
  <c r="AB25" i="13"/>
  <c r="AC25" i="13" s="1"/>
  <c r="Z25" i="13"/>
  <c r="AB24" i="13"/>
  <c r="AC24" i="13" s="1"/>
  <c r="AB23" i="13"/>
  <c r="AC23" i="13" s="1"/>
  <c r="Z23" i="13"/>
  <c r="AB22" i="13"/>
  <c r="AC22" i="13" s="1"/>
  <c r="Z22" i="13"/>
  <c r="AB21" i="13"/>
  <c r="AC21" i="13" s="1"/>
  <c r="Z21" i="13"/>
  <c r="AB20" i="13"/>
  <c r="AC20" i="13" s="1"/>
  <c r="AB19" i="13"/>
  <c r="AC19" i="13" s="1"/>
  <c r="Z19" i="13"/>
  <c r="AB18" i="13"/>
  <c r="AC18" i="13" s="1"/>
  <c r="Z18" i="13"/>
  <c r="AB17" i="13"/>
  <c r="AC17" i="13" s="1"/>
  <c r="Z17" i="13"/>
  <c r="AB16" i="13"/>
  <c r="AC16" i="13" s="1"/>
  <c r="AB15" i="13"/>
  <c r="AC15" i="13" s="1"/>
  <c r="Z15" i="13"/>
  <c r="AB14" i="13"/>
  <c r="AC14" i="13" s="1"/>
  <c r="Z14" i="13"/>
  <c r="AB13" i="13"/>
  <c r="AC13" i="13" s="1"/>
  <c r="Z13" i="13"/>
  <c r="AB12" i="13"/>
  <c r="AC12" i="13" s="1"/>
  <c r="AB11" i="13"/>
  <c r="AC11" i="13" s="1"/>
  <c r="Z11" i="13"/>
  <c r="AB10" i="13"/>
  <c r="AC10" i="13" s="1"/>
  <c r="Z10" i="13"/>
  <c r="AB9" i="13"/>
  <c r="AC9" i="13" s="1"/>
  <c r="Z9" i="13"/>
  <c r="AB8" i="13"/>
  <c r="AC8" i="13" s="1"/>
  <c r="AB7" i="13"/>
  <c r="AC7" i="13" s="1"/>
  <c r="Z7" i="13"/>
  <c r="AJ70" i="12"/>
  <c r="AI70" i="12"/>
  <c r="AH70" i="12"/>
  <c r="AG70" i="12"/>
  <c r="AF70" i="12"/>
  <c r="AB68" i="12"/>
  <c r="Y68" i="12"/>
  <c r="Z68" i="12" s="1"/>
  <c r="S68" i="12"/>
  <c r="U68" i="12" s="1"/>
  <c r="AB67" i="12"/>
  <c r="Y67" i="12"/>
  <c r="Z67" i="12" s="1"/>
  <c r="S67" i="12"/>
  <c r="U67" i="12" s="1"/>
  <c r="AB66" i="12"/>
  <c r="Y66" i="12"/>
  <c r="S66" i="12"/>
  <c r="U66" i="12" s="1"/>
  <c r="AB65" i="12"/>
  <c r="Y65" i="12"/>
  <c r="S65" i="12"/>
  <c r="U65" i="12" s="1"/>
  <c r="AB64" i="12"/>
  <c r="Y64" i="12"/>
  <c r="S64" i="12"/>
  <c r="U64" i="12" s="1"/>
  <c r="AB63" i="12"/>
  <c r="Y63" i="12"/>
  <c r="Z63" i="12" s="1"/>
  <c r="S63" i="12"/>
  <c r="U63" i="12" s="1"/>
  <c r="AB62" i="12"/>
  <c r="Z62" i="12"/>
  <c r="Y62" i="12"/>
  <c r="S62" i="12"/>
  <c r="U62" i="12" s="1"/>
  <c r="AB61" i="12"/>
  <c r="Y61" i="12"/>
  <c r="Z61" i="12" s="1"/>
  <c r="S61" i="12"/>
  <c r="U61" i="12" s="1"/>
  <c r="AB60" i="12"/>
  <c r="Y60" i="12"/>
  <c r="Z60" i="12" s="1"/>
  <c r="S60" i="12"/>
  <c r="U60" i="12" s="1"/>
  <c r="AB59" i="12"/>
  <c r="Z59" i="12"/>
  <c r="AB58" i="12"/>
  <c r="Z58" i="12"/>
  <c r="AB57" i="12"/>
  <c r="Z57" i="12"/>
  <c r="AB56" i="12"/>
  <c r="Y56" i="12"/>
  <c r="Z56" i="12" s="1"/>
  <c r="S56" i="12"/>
  <c r="U56" i="12" s="1"/>
  <c r="AB55" i="12"/>
  <c r="Y55" i="12"/>
  <c r="Z55" i="12" s="1"/>
  <c r="S55" i="12"/>
  <c r="U55" i="12" s="1"/>
  <c r="AB54" i="12"/>
  <c r="AB53" i="12"/>
  <c r="Z53" i="12"/>
  <c r="AB52" i="12"/>
  <c r="Z52" i="12"/>
  <c r="AB51" i="12"/>
  <c r="Z51" i="12"/>
  <c r="AB50" i="12"/>
  <c r="AB49" i="12"/>
  <c r="Z49" i="12"/>
  <c r="AB48" i="12"/>
  <c r="AB47" i="12"/>
  <c r="Y47" i="12"/>
  <c r="Z47" i="12" s="1"/>
  <c r="S47" i="12"/>
  <c r="U47" i="12" s="1"/>
  <c r="AB46" i="12"/>
  <c r="Y46" i="12"/>
  <c r="Z46" i="12" s="1"/>
  <c r="S46" i="12"/>
  <c r="U46" i="12" s="1"/>
  <c r="AB45" i="12"/>
  <c r="Y45" i="12"/>
  <c r="Z45" i="12" s="1"/>
  <c r="S45" i="12"/>
  <c r="U45" i="12" s="1"/>
  <c r="AB44" i="12"/>
  <c r="Y44" i="12"/>
  <c r="S44" i="12"/>
  <c r="U44" i="12" s="1"/>
  <c r="AB43" i="12"/>
  <c r="Y43" i="12"/>
  <c r="Z43" i="12" s="1"/>
  <c r="S43" i="12"/>
  <c r="U43" i="12" s="1"/>
  <c r="AB42" i="12"/>
  <c r="Y42" i="12"/>
  <c r="Z42" i="12" s="1"/>
  <c r="S42" i="12"/>
  <c r="U42" i="12" s="1"/>
  <c r="AB41" i="12"/>
  <c r="AC41" i="12" s="1"/>
  <c r="Z41" i="12"/>
  <c r="AB40" i="12"/>
  <c r="Y40" i="12"/>
  <c r="Z40" i="12" s="1"/>
  <c r="S40" i="12"/>
  <c r="U40" i="12" s="1"/>
  <c r="AB39" i="12"/>
  <c r="Y39" i="12"/>
  <c r="S39" i="12"/>
  <c r="U39" i="12" s="1"/>
  <c r="AB38" i="12"/>
  <c r="AC38" i="12" s="1"/>
  <c r="Z38" i="12"/>
  <c r="AB37" i="12"/>
  <c r="Y37" i="12"/>
  <c r="Z37" i="12" s="1"/>
  <c r="S37" i="12"/>
  <c r="U37" i="12" s="1"/>
  <c r="AB36" i="12"/>
  <c r="Z36" i="12"/>
  <c r="AB35" i="12"/>
  <c r="AC35" i="12" s="1"/>
  <c r="AB34" i="12"/>
  <c r="AC34" i="12" s="1"/>
  <c r="AB33" i="12"/>
  <c r="AC33" i="12" s="1"/>
  <c r="Z33" i="12"/>
  <c r="AB32" i="12"/>
  <c r="Z32" i="12"/>
  <c r="S32" i="12"/>
  <c r="U32" i="12" s="1"/>
  <c r="AB31" i="12"/>
  <c r="Z31" i="12"/>
  <c r="Y31" i="12"/>
  <c r="S31" i="12"/>
  <c r="U31" i="12" s="1"/>
  <c r="AB30" i="12"/>
  <c r="Y30" i="12"/>
  <c r="Z30" i="12" s="1"/>
  <c r="S30" i="12"/>
  <c r="U30" i="12" s="1"/>
  <c r="AB29" i="12"/>
  <c r="AC29" i="12" s="1"/>
  <c r="Z29" i="12"/>
  <c r="AB28" i="12"/>
  <c r="AC28" i="12" s="1"/>
  <c r="Z28" i="12"/>
  <c r="AB27" i="12"/>
  <c r="AC27" i="12" s="1"/>
  <c r="Z27" i="12"/>
  <c r="AB26" i="12"/>
  <c r="AC26" i="12" s="1"/>
  <c r="Z26" i="12"/>
  <c r="AB25" i="12"/>
  <c r="AC25" i="12" s="1"/>
  <c r="Z25" i="12"/>
  <c r="AB24" i="12"/>
  <c r="AC24" i="12" s="1"/>
  <c r="Z24" i="12"/>
  <c r="AB23" i="12"/>
  <c r="AC23" i="12" s="1"/>
  <c r="Z23" i="12"/>
  <c r="AB22" i="12"/>
  <c r="AC22" i="12" s="1"/>
  <c r="Z22" i="12"/>
  <c r="AB21" i="12"/>
  <c r="AC21" i="12" s="1"/>
  <c r="Z21" i="12"/>
  <c r="AB20" i="12"/>
  <c r="AC20" i="12" s="1"/>
  <c r="Z20" i="12"/>
  <c r="AB19" i="12"/>
  <c r="AC19" i="12" s="1"/>
  <c r="Z19" i="12"/>
  <c r="AB18" i="12"/>
  <c r="AC18" i="12" s="1"/>
  <c r="Z18" i="12"/>
  <c r="AB17" i="12"/>
  <c r="AC17" i="12" s="1"/>
  <c r="Z17" i="12"/>
  <c r="AB16" i="12"/>
  <c r="AC16" i="12" s="1"/>
  <c r="Z16" i="12"/>
  <c r="AB15" i="12"/>
  <c r="AC15" i="12" s="1"/>
  <c r="Z15" i="12"/>
  <c r="AB14" i="12"/>
  <c r="AC14" i="12" s="1"/>
  <c r="Z14" i="12"/>
  <c r="AB13" i="12"/>
  <c r="AC13" i="12" s="1"/>
  <c r="Z13" i="12"/>
  <c r="AB12" i="12"/>
  <c r="AC12" i="12" s="1"/>
  <c r="Z12" i="12"/>
  <c r="AB11" i="12"/>
  <c r="Y11" i="12"/>
  <c r="S11" i="12"/>
  <c r="U11" i="12" s="1"/>
  <c r="AB10" i="12"/>
  <c r="Y10" i="12"/>
  <c r="Z10" i="12" s="1"/>
  <c r="S10" i="12"/>
  <c r="U10" i="12" s="1"/>
  <c r="AB9" i="12"/>
  <c r="AC9" i="12" s="1"/>
  <c r="Z9" i="12"/>
  <c r="AB8" i="12"/>
  <c r="Y8" i="12"/>
  <c r="Z8" i="12" s="1"/>
  <c r="S8" i="12"/>
  <c r="U8" i="12" s="1"/>
  <c r="AB7" i="12"/>
  <c r="Y7" i="12"/>
  <c r="S7" i="12"/>
  <c r="U7" i="12" s="1"/>
  <c r="AJ55" i="11"/>
  <c r="AI55" i="11"/>
  <c r="AH55" i="11"/>
  <c r="AG55" i="11"/>
  <c r="AF55" i="11"/>
  <c r="AB53" i="11"/>
  <c r="Y53" i="11"/>
  <c r="S53" i="11"/>
  <c r="U53" i="11" s="1"/>
  <c r="AB52" i="11"/>
  <c r="Y52" i="11"/>
  <c r="S52" i="11"/>
  <c r="U52" i="11" s="1"/>
  <c r="AB51" i="11"/>
  <c r="Y51" i="11"/>
  <c r="Z51" i="11" s="1"/>
  <c r="S51" i="11"/>
  <c r="U51" i="11" s="1"/>
  <c r="AB50" i="11"/>
  <c r="Y50" i="11"/>
  <c r="S50" i="11"/>
  <c r="U50" i="11" s="1"/>
  <c r="AB49" i="11"/>
  <c r="Y49" i="11"/>
  <c r="S49" i="11"/>
  <c r="U49" i="11" s="1"/>
  <c r="AB48" i="11"/>
  <c r="Y48" i="11"/>
  <c r="S48" i="11"/>
  <c r="U48" i="11" s="1"/>
  <c r="AB47" i="11"/>
  <c r="Z47" i="11"/>
  <c r="AB46" i="11"/>
  <c r="AB45" i="11"/>
  <c r="AB44" i="11"/>
  <c r="AC44" i="11" s="1"/>
  <c r="Z44" i="11"/>
  <c r="AB43" i="11"/>
  <c r="Y43" i="11"/>
  <c r="Z43" i="11" s="1"/>
  <c r="S43" i="11"/>
  <c r="U43" i="11" s="1"/>
  <c r="AB42" i="11"/>
  <c r="Y42" i="11"/>
  <c r="S42" i="11"/>
  <c r="U42" i="11" s="1"/>
  <c r="AB41" i="11"/>
  <c r="AC41" i="11" s="1"/>
  <c r="AB40" i="11"/>
  <c r="Z40" i="11"/>
  <c r="AB39" i="11"/>
  <c r="Z39" i="11"/>
  <c r="AB38" i="11"/>
  <c r="AB37" i="11"/>
  <c r="AC37" i="11" s="1"/>
  <c r="AB36" i="11"/>
  <c r="Y36" i="11"/>
  <c r="S36" i="11"/>
  <c r="U36" i="11" s="1"/>
  <c r="AB35" i="11"/>
  <c r="Y35" i="11"/>
  <c r="Z35" i="11" s="1"/>
  <c r="S35" i="11"/>
  <c r="U35" i="11" s="1"/>
  <c r="AB34" i="11"/>
  <c r="Y34" i="11"/>
  <c r="S34" i="11"/>
  <c r="U34" i="11" s="1"/>
  <c r="AB33" i="11"/>
  <c r="Y33" i="11"/>
  <c r="S33" i="11"/>
  <c r="U33" i="11" s="1"/>
  <c r="AB32" i="11"/>
  <c r="Y32" i="11"/>
  <c r="S32" i="11"/>
  <c r="U32" i="11" s="1"/>
  <c r="AB31" i="11"/>
  <c r="AC31" i="11" s="1"/>
  <c r="AB30" i="11"/>
  <c r="Y30" i="11"/>
  <c r="S30" i="11"/>
  <c r="U30" i="11" s="1"/>
  <c r="AB29" i="11"/>
  <c r="AC29" i="11" s="1"/>
  <c r="Z29" i="11"/>
  <c r="AB28" i="11"/>
  <c r="Y28" i="11"/>
  <c r="S28" i="11"/>
  <c r="U28" i="11" s="1"/>
  <c r="AB27" i="11"/>
  <c r="AC27" i="11" s="1"/>
  <c r="S27" i="11"/>
  <c r="U27" i="11" s="1"/>
  <c r="AB26" i="11"/>
  <c r="Z26" i="11"/>
  <c r="AB25" i="11"/>
  <c r="AC25" i="11" s="1"/>
  <c r="Z25" i="11"/>
  <c r="AB24" i="11"/>
  <c r="AC24" i="11" s="1"/>
  <c r="AB23" i="11"/>
  <c r="AC23" i="11" s="1"/>
  <c r="AB22" i="11"/>
  <c r="Z22" i="11"/>
  <c r="AB21" i="11"/>
  <c r="AC21" i="11" s="1"/>
  <c r="Z21" i="11"/>
  <c r="AB20" i="11"/>
  <c r="AC20" i="11"/>
  <c r="AB19" i="11"/>
  <c r="AC19" i="11" s="1"/>
  <c r="AB18" i="11"/>
  <c r="AC18" i="11" s="1"/>
  <c r="AB17" i="11"/>
  <c r="AC17" i="11" s="1"/>
  <c r="Z17" i="11"/>
  <c r="AB16" i="11"/>
  <c r="AC16" i="11" s="1"/>
  <c r="AB15" i="11"/>
  <c r="AC15" i="11" s="1"/>
  <c r="AB14" i="11"/>
  <c r="AB13" i="11"/>
  <c r="AC13" i="11" s="1"/>
  <c r="Z13" i="11"/>
  <c r="AB12" i="11"/>
  <c r="AC12" i="11"/>
  <c r="AB11" i="11"/>
  <c r="Y11" i="11"/>
  <c r="AC11" i="11" s="1"/>
  <c r="S11" i="11"/>
  <c r="U11" i="11" s="1"/>
  <c r="AB10" i="11"/>
  <c r="Y10" i="11"/>
  <c r="S10" i="11"/>
  <c r="U10" i="11" s="1"/>
  <c r="AB9" i="11"/>
  <c r="AC9" i="11" s="1"/>
  <c r="Z9" i="11"/>
  <c r="AB8" i="11"/>
  <c r="Y8" i="11"/>
  <c r="AC8" i="11" s="1"/>
  <c r="S8" i="11"/>
  <c r="U8" i="11" s="1"/>
  <c r="AB7" i="11"/>
  <c r="Y7" i="11"/>
  <c r="S7" i="11"/>
  <c r="U7" i="11" s="1"/>
  <c r="AJ70" i="10"/>
  <c r="AI70" i="10"/>
  <c r="AH70" i="10"/>
  <c r="AG70" i="10"/>
  <c r="AF70" i="10"/>
  <c r="AB68" i="10"/>
  <c r="Y68" i="10"/>
  <c r="Z68" i="10" s="1"/>
  <c r="S68" i="10"/>
  <c r="U68" i="10" s="1"/>
  <c r="AB67" i="10"/>
  <c r="Y67" i="10"/>
  <c r="Z67" i="10" s="1"/>
  <c r="S67" i="10"/>
  <c r="U67" i="10" s="1"/>
  <c r="AB66" i="10"/>
  <c r="Y66" i="10"/>
  <c r="S66" i="10"/>
  <c r="U66" i="10" s="1"/>
  <c r="AB65" i="10"/>
  <c r="Y65" i="10"/>
  <c r="Z65" i="10" s="1"/>
  <c r="S65" i="10"/>
  <c r="U65" i="10" s="1"/>
  <c r="AB64" i="10"/>
  <c r="Y64" i="10"/>
  <c r="S64" i="10"/>
  <c r="U64" i="10" s="1"/>
  <c r="AB63" i="10"/>
  <c r="Y63" i="10"/>
  <c r="Z63" i="10" s="1"/>
  <c r="S63" i="10"/>
  <c r="U63" i="10" s="1"/>
  <c r="AB62" i="10"/>
  <c r="Y62" i="10"/>
  <c r="S62" i="10"/>
  <c r="U62" i="10" s="1"/>
  <c r="AB61" i="10"/>
  <c r="Y61" i="10"/>
  <c r="Z61" i="10" s="1"/>
  <c r="S61" i="10"/>
  <c r="U61" i="10" s="1"/>
  <c r="AB60" i="10"/>
  <c r="AC60" i="10" s="1"/>
  <c r="Z60" i="10"/>
  <c r="AB59" i="10"/>
  <c r="AC59" i="10" s="1"/>
  <c r="Z59" i="10"/>
  <c r="AB58" i="10"/>
  <c r="AB57" i="10"/>
  <c r="AC57" i="10"/>
  <c r="AB56" i="10"/>
  <c r="AC56" i="10"/>
  <c r="AB55" i="10"/>
  <c r="Z55" i="10"/>
  <c r="AB54" i="10"/>
  <c r="AB53" i="10"/>
  <c r="AC53" i="10" s="1"/>
  <c r="AD53" i="10" s="1"/>
  <c r="AE53" i="10" s="1"/>
  <c r="AB52" i="10"/>
  <c r="AC52" i="10" s="1"/>
  <c r="Z52" i="10"/>
  <c r="AB51" i="10"/>
  <c r="AC51" i="10" s="1"/>
  <c r="Z51" i="10"/>
  <c r="AB50" i="10"/>
  <c r="AB49" i="10"/>
  <c r="Z49" i="10"/>
  <c r="AB48" i="10"/>
  <c r="Z48" i="10"/>
  <c r="AC48" i="10"/>
  <c r="AB47" i="10"/>
  <c r="Y47" i="10"/>
  <c r="Z47" i="10" s="1"/>
  <c r="S47" i="10"/>
  <c r="U47" i="10" s="1"/>
  <c r="AB46" i="10"/>
  <c r="Y46" i="10"/>
  <c r="S46" i="10"/>
  <c r="U46" i="10" s="1"/>
  <c r="AB45" i="10"/>
  <c r="Z45" i="10"/>
  <c r="AB44" i="10"/>
  <c r="AC44" i="10" s="1"/>
  <c r="Z44" i="10"/>
  <c r="AB43" i="10"/>
  <c r="AC43" i="10" s="1"/>
  <c r="Z43" i="10"/>
  <c r="AB42" i="10"/>
  <c r="AB41" i="10"/>
  <c r="AC41" i="10" s="1"/>
  <c r="AB40" i="10"/>
  <c r="AC40" i="10" s="1"/>
  <c r="AB39" i="10"/>
  <c r="Z39" i="10"/>
  <c r="AB38" i="10"/>
  <c r="AB37" i="10"/>
  <c r="AC37" i="10" s="1"/>
  <c r="AD37" i="10" s="1"/>
  <c r="AE37" i="10" s="1"/>
  <c r="AC36" i="10"/>
  <c r="AB36" i="10"/>
  <c r="Z36" i="10"/>
  <c r="AB35" i="10"/>
  <c r="AC35" i="10" s="1"/>
  <c r="Z35" i="10"/>
  <c r="AB34" i="10"/>
  <c r="Y34" i="10"/>
  <c r="S34" i="10"/>
  <c r="U34" i="10" s="1"/>
  <c r="AB33" i="10"/>
  <c r="Z33" i="10"/>
  <c r="AB32" i="10"/>
  <c r="AC32" i="10" s="1"/>
  <c r="Z32" i="10"/>
  <c r="AB31" i="10"/>
  <c r="AC31" i="10" s="1"/>
  <c r="Z31" i="10"/>
  <c r="AB30" i="10"/>
  <c r="AC30" i="10" s="1"/>
  <c r="AB29" i="10"/>
  <c r="AC29" i="10" s="1"/>
  <c r="Z29" i="10"/>
  <c r="AB28" i="10"/>
  <c r="AC28" i="10" s="1"/>
  <c r="Z28" i="10"/>
  <c r="AB27" i="10"/>
  <c r="AC27" i="10" s="1"/>
  <c r="AB26" i="10"/>
  <c r="AC26" i="10" s="1"/>
  <c r="AB25" i="10"/>
  <c r="AC25" i="10" s="1"/>
  <c r="Z25" i="10"/>
  <c r="AB24" i="10"/>
  <c r="AC24" i="10" s="1"/>
  <c r="Z24" i="10"/>
  <c r="AB23" i="10"/>
  <c r="AC23" i="10" s="1"/>
  <c r="AB22" i="10"/>
  <c r="AC22" i="10" s="1"/>
  <c r="AB21" i="10"/>
  <c r="AC21" i="10" s="1"/>
  <c r="Z21" i="10"/>
  <c r="AB20" i="10"/>
  <c r="AC20" i="10" s="1"/>
  <c r="Z20" i="10"/>
  <c r="AB19" i="10"/>
  <c r="AC19" i="10"/>
  <c r="AB18" i="10"/>
  <c r="AC18" i="10" s="1"/>
  <c r="AB17" i="10"/>
  <c r="AC17" i="10" s="1"/>
  <c r="Z17" i="10"/>
  <c r="AB16" i="10"/>
  <c r="AC16" i="10" s="1"/>
  <c r="Z16" i="10"/>
  <c r="AB15" i="10"/>
  <c r="AC15" i="10" s="1"/>
  <c r="AB14" i="10"/>
  <c r="AC14" i="10"/>
  <c r="AB13" i="10"/>
  <c r="AC13" i="10" s="1"/>
  <c r="Z13" i="10"/>
  <c r="AB12" i="10"/>
  <c r="AC12" i="10" s="1"/>
  <c r="Z12" i="10"/>
  <c r="AB11" i="10"/>
  <c r="AC11" i="10" s="1"/>
  <c r="AB10" i="10"/>
  <c r="AC10" i="10" s="1"/>
  <c r="AB9" i="10"/>
  <c r="AC9" i="10" s="1"/>
  <c r="Z9" i="10"/>
  <c r="AB8" i="10"/>
  <c r="AC8" i="10" s="1"/>
  <c r="Z8" i="10"/>
  <c r="AB7" i="10"/>
  <c r="AC7" i="10"/>
  <c r="AJ73" i="9"/>
  <c r="AI73" i="9"/>
  <c r="AH73" i="9"/>
  <c r="AG73" i="9"/>
  <c r="AF73" i="9"/>
  <c r="AB71" i="9"/>
  <c r="Y71" i="9"/>
  <c r="Z71" i="9" s="1"/>
  <c r="S71" i="9"/>
  <c r="U71" i="9" s="1"/>
  <c r="AB70" i="9"/>
  <c r="Y70" i="9"/>
  <c r="S70" i="9"/>
  <c r="U70" i="9" s="1"/>
  <c r="AB69" i="9"/>
  <c r="Y69" i="9"/>
  <c r="S69" i="9"/>
  <c r="U69" i="9" s="1"/>
  <c r="AB68" i="9"/>
  <c r="Y68" i="9"/>
  <c r="Z68" i="9" s="1"/>
  <c r="S68" i="9"/>
  <c r="U68" i="9" s="1"/>
  <c r="AB67" i="9"/>
  <c r="Y67" i="9"/>
  <c r="Z67" i="9" s="1"/>
  <c r="S67" i="9"/>
  <c r="U67" i="9" s="1"/>
  <c r="AB66" i="9"/>
  <c r="Y66" i="9"/>
  <c r="S66" i="9"/>
  <c r="U66" i="9" s="1"/>
  <c r="AB65" i="9"/>
  <c r="Y65" i="9"/>
  <c r="Z65" i="9" s="1"/>
  <c r="S65" i="9"/>
  <c r="U65" i="9" s="1"/>
  <c r="AB64" i="9"/>
  <c r="Y64" i="9"/>
  <c r="Z64" i="9" s="1"/>
  <c r="S64" i="9"/>
  <c r="U64" i="9" s="1"/>
  <c r="AB63" i="9"/>
  <c r="Z63" i="9"/>
  <c r="AB62" i="9"/>
  <c r="AB61" i="9"/>
  <c r="Z61" i="9"/>
  <c r="AB60" i="9"/>
  <c r="Z60" i="9"/>
  <c r="AB59" i="9"/>
  <c r="Z59" i="9"/>
  <c r="AB58" i="9"/>
  <c r="AB57" i="9"/>
  <c r="Y57" i="9"/>
  <c r="S57" i="9"/>
  <c r="U57" i="9" s="1"/>
  <c r="AB56" i="9"/>
  <c r="Y56" i="9"/>
  <c r="S56" i="9"/>
  <c r="U56" i="9" s="1"/>
  <c r="AB55" i="9"/>
  <c r="Z55" i="9"/>
  <c r="AB54" i="9"/>
  <c r="AB53" i="9"/>
  <c r="AB52" i="9"/>
  <c r="Z52" i="9"/>
  <c r="AC51" i="9"/>
  <c r="AB51" i="9"/>
  <c r="Z51" i="9"/>
  <c r="AB50" i="9"/>
  <c r="Y50" i="9"/>
  <c r="S50" i="9"/>
  <c r="U50" i="9" s="1"/>
  <c r="AB49" i="9"/>
  <c r="Y49" i="9"/>
  <c r="Z49" i="9" s="1"/>
  <c r="S49" i="9"/>
  <c r="U49" i="9" s="1"/>
  <c r="AB48" i="9"/>
  <c r="Z48" i="9"/>
  <c r="Y48" i="9"/>
  <c r="S48" i="9"/>
  <c r="U48" i="9" s="1"/>
  <c r="AB47" i="9"/>
  <c r="Y47" i="9"/>
  <c r="Z47" i="9" s="1"/>
  <c r="S47" i="9"/>
  <c r="U47" i="9" s="1"/>
  <c r="AB46" i="9"/>
  <c r="Y46" i="9"/>
  <c r="S46" i="9"/>
  <c r="U46" i="9" s="1"/>
  <c r="AB45" i="9"/>
  <c r="Z45" i="9"/>
  <c r="AB44" i="9"/>
  <c r="AC44" i="9" s="1"/>
  <c r="Y44" i="9"/>
  <c r="Z44" i="9" s="1"/>
  <c r="S44" i="9"/>
  <c r="U44" i="9" s="1"/>
  <c r="AB43" i="9"/>
  <c r="AC43" i="9" s="1"/>
  <c r="Z43" i="9"/>
  <c r="AB42" i="9"/>
  <c r="Y42" i="9"/>
  <c r="S42" i="9"/>
  <c r="U42" i="9" s="1"/>
  <c r="AB41" i="9"/>
  <c r="Y41" i="9"/>
  <c r="S41" i="9"/>
  <c r="U41" i="9" s="1"/>
  <c r="AB40" i="9"/>
  <c r="AC40" i="9" s="1"/>
  <c r="Z40" i="9"/>
  <c r="AB39" i="9"/>
  <c r="AC39" i="9" s="1"/>
  <c r="Y39" i="9"/>
  <c r="Z39" i="9" s="1"/>
  <c r="S39" i="9"/>
  <c r="U39" i="9" s="1"/>
  <c r="AB38" i="9"/>
  <c r="AC38" i="9" s="1"/>
  <c r="Z38" i="9"/>
  <c r="AB37" i="9"/>
  <c r="Y37" i="9"/>
  <c r="S37" i="9"/>
  <c r="U37" i="9" s="1"/>
  <c r="AB36" i="9"/>
  <c r="AC36" i="9" s="1"/>
  <c r="Z36" i="9"/>
  <c r="AB35" i="9"/>
  <c r="AC35" i="9" s="1"/>
  <c r="Z35" i="9"/>
  <c r="AB34" i="9"/>
  <c r="AC34" i="9" s="1"/>
  <c r="Z34" i="9"/>
  <c r="AB33" i="9"/>
  <c r="AC33" i="9" s="1"/>
  <c r="AB32" i="9"/>
  <c r="AC32" i="9" s="1"/>
  <c r="AB31" i="9"/>
  <c r="AC31" i="9" s="1"/>
  <c r="Z31" i="9"/>
  <c r="AB30" i="9"/>
  <c r="AC30" i="9" s="1"/>
  <c r="Z30" i="9"/>
  <c r="AB29" i="9"/>
  <c r="AC29" i="9" s="1"/>
  <c r="Z29" i="9"/>
  <c r="AB28" i="9"/>
  <c r="AC28" i="9" s="1"/>
  <c r="AB27" i="9"/>
  <c r="AC27" i="9" s="1"/>
  <c r="Z27" i="9"/>
  <c r="AB26" i="9"/>
  <c r="AC26" i="9" s="1"/>
  <c r="Z26" i="9"/>
  <c r="AB25" i="9"/>
  <c r="AC25" i="9" s="1"/>
  <c r="Z25" i="9"/>
  <c r="AB24" i="9"/>
  <c r="AC24" i="9" s="1"/>
  <c r="AB23" i="9"/>
  <c r="AC23" i="9" s="1"/>
  <c r="Z23" i="9"/>
  <c r="AB22" i="9"/>
  <c r="AC22" i="9" s="1"/>
  <c r="Z22" i="9"/>
  <c r="AB21" i="9"/>
  <c r="AC21" i="9" s="1"/>
  <c r="Z21" i="9"/>
  <c r="AB20" i="9"/>
  <c r="AC20" i="9"/>
  <c r="AB19" i="9"/>
  <c r="AC19" i="9" s="1"/>
  <c r="Z19" i="9"/>
  <c r="AB18" i="9"/>
  <c r="AC18" i="9" s="1"/>
  <c r="Z18" i="9"/>
  <c r="AB17" i="9"/>
  <c r="AC17" i="9" s="1"/>
  <c r="Z17" i="9"/>
  <c r="AB16" i="9"/>
  <c r="AC16" i="9"/>
  <c r="AB15" i="9"/>
  <c r="AC15" i="9" s="1"/>
  <c r="Z15" i="9"/>
  <c r="AB14" i="9"/>
  <c r="AC14" i="9" s="1"/>
  <c r="Z14" i="9"/>
  <c r="AB13" i="9"/>
  <c r="AC13" i="9" s="1"/>
  <c r="Z13" i="9"/>
  <c r="AB12" i="9"/>
  <c r="AC12" i="9" s="1"/>
  <c r="AB11" i="9"/>
  <c r="AC11" i="9" s="1"/>
  <c r="Z11" i="9"/>
  <c r="AB10" i="9"/>
  <c r="AC10" i="9" s="1"/>
  <c r="Z10" i="9"/>
  <c r="AB9" i="9"/>
  <c r="AC9" i="9" s="1"/>
  <c r="Z9" i="9"/>
  <c r="AB8" i="9"/>
  <c r="AC8" i="9" s="1"/>
  <c r="AB7" i="9"/>
  <c r="AC7" i="9" s="1"/>
  <c r="Z7" i="9"/>
  <c r="AJ65" i="8"/>
  <c r="AI65" i="8"/>
  <c r="AH65" i="8"/>
  <c r="AG65" i="8"/>
  <c r="AF65" i="8"/>
  <c r="AB63" i="8"/>
  <c r="Y63" i="8"/>
  <c r="Z63" i="8" s="1"/>
  <c r="S63" i="8"/>
  <c r="U63" i="8" s="1"/>
  <c r="AB62" i="8"/>
  <c r="Y62" i="8"/>
  <c r="S62" i="8"/>
  <c r="U62" i="8" s="1"/>
  <c r="AB61" i="8"/>
  <c r="Y61" i="8"/>
  <c r="Z61" i="8" s="1"/>
  <c r="S61" i="8"/>
  <c r="U61" i="8" s="1"/>
  <c r="AB60" i="8"/>
  <c r="Y60" i="8"/>
  <c r="S60" i="8"/>
  <c r="U60" i="8" s="1"/>
  <c r="AB59" i="8"/>
  <c r="Y59" i="8"/>
  <c r="Z59" i="8" s="1"/>
  <c r="S59" i="8"/>
  <c r="U59" i="8" s="1"/>
  <c r="AB58" i="8"/>
  <c r="Y58" i="8"/>
  <c r="S58" i="8"/>
  <c r="U58" i="8" s="1"/>
  <c r="AB57" i="8"/>
  <c r="Y57" i="8"/>
  <c r="S57" i="8"/>
  <c r="U57" i="8" s="1"/>
  <c r="AB56" i="8"/>
  <c r="AC56" i="8" s="1"/>
  <c r="AB55" i="8"/>
  <c r="Z55" i="8"/>
  <c r="AB54" i="8"/>
  <c r="AB53" i="8"/>
  <c r="AC53" i="8" s="1"/>
  <c r="AB52" i="8"/>
  <c r="AC52" i="8" s="1"/>
  <c r="Z52" i="8"/>
  <c r="AB51" i="8"/>
  <c r="AC51" i="8" s="1"/>
  <c r="AD51" i="8" s="1"/>
  <c r="AE51" i="8" s="1"/>
  <c r="Z51" i="8"/>
  <c r="AB50" i="8"/>
  <c r="Y50" i="8"/>
  <c r="S50" i="8"/>
  <c r="U50" i="8" s="1"/>
  <c r="AB49" i="8"/>
  <c r="Y49" i="8"/>
  <c r="Z49" i="8" s="1"/>
  <c r="S49" i="8"/>
  <c r="U49" i="8" s="1"/>
  <c r="AB48" i="8"/>
  <c r="AC48" i="8" s="1"/>
  <c r="Z48" i="8"/>
  <c r="AB47" i="8"/>
  <c r="AC47" i="8" s="1"/>
  <c r="Z47" i="8"/>
  <c r="AB46" i="8"/>
  <c r="AB45" i="8"/>
  <c r="Z45" i="8"/>
  <c r="AB44" i="8"/>
  <c r="AC44" i="8" s="1"/>
  <c r="Z44" i="8"/>
  <c r="AB43" i="8"/>
  <c r="Y43" i="8"/>
  <c r="Z43" i="8" s="1"/>
  <c r="S43" i="8"/>
  <c r="U43" i="8" s="1"/>
  <c r="AB42" i="8"/>
  <c r="Y42" i="8"/>
  <c r="S42" i="8"/>
  <c r="U42" i="8" s="1"/>
  <c r="AB41" i="8"/>
  <c r="AC41" i="8" s="1"/>
  <c r="AB40" i="8"/>
  <c r="AC40" i="8" s="1"/>
  <c r="AB39" i="8"/>
  <c r="Y39" i="8"/>
  <c r="Z39" i="8" s="1"/>
  <c r="S39" i="8"/>
  <c r="U39" i="8" s="1"/>
  <c r="AB38" i="8"/>
  <c r="Y38" i="8"/>
  <c r="U38" i="8"/>
  <c r="S38" i="8"/>
  <c r="AB37" i="8"/>
  <c r="AC37" i="8"/>
  <c r="S37" i="8"/>
  <c r="U37" i="8" s="1"/>
  <c r="AB36" i="8"/>
  <c r="Y36" i="8"/>
  <c r="Z36" i="8" s="1"/>
  <c r="S36" i="8"/>
  <c r="U36" i="8" s="1"/>
  <c r="AB35" i="8"/>
  <c r="Y35" i="8"/>
  <c r="Z35" i="8" s="1"/>
  <c r="S35" i="8"/>
  <c r="U35" i="8" s="1"/>
  <c r="AB34" i="8"/>
  <c r="AB33" i="8"/>
  <c r="Z33" i="8"/>
  <c r="Y33" i="8"/>
  <c r="S33" i="8"/>
  <c r="U33" i="8" s="1"/>
  <c r="AB32" i="8"/>
  <c r="Y32" i="8"/>
  <c r="S32" i="8"/>
  <c r="U32" i="8" s="1"/>
  <c r="AB31" i="8"/>
  <c r="AC31" i="8" s="1"/>
  <c r="Z31" i="8"/>
  <c r="AB30" i="8"/>
  <c r="AC30" i="8"/>
  <c r="AB29" i="8"/>
  <c r="Z29" i="8"/>
  <c r="AC29" i="8"/>
  <c r="AB28" i="8"/>
  <c r="AC28" i="8" s="1"/>
  <c r="Z28" i="8"/>
  <c r="AB27" i="8"/>
  <c r="AC27" i="8" s="1"/>
  <c r="Z27" i="8"/>
  <c r="AB26" i="8"/>
  <c r="AC26" i="8" s="1"/>
  <c r="AB25" i="8"/>
  <c r="Z25" i="8"/>
  <c r="AC25" i="8"/>
  <c r="AB24" i="8"/>
  <c r="AC24" i="8" s="1"/>
  <c r="Z24" i="8"/>
  <c r="AC23" i="8"/>
  <c r="AB23" i="8"/>
  <c r="Z23" i="8"/>
  <c r="AB22" i="8"/>
  <c r="AC22" i="8" s="1"/>
  <c r="AB21" i="8"/>
  <c r="AC21" i="8" s="1"/>
  <c r="Z21" i="8"/>
  <c r="AC20" i="8"/>
  <c r="AB20" i="8"/>
  <c r="Z20" i="8"/>
  <c r="AB19" i="8"/>
  <c r="AC19" i="8" s="1"/>
  <c r="Z19" i="8"/>
  <c r="AB18" i="8"/>
  <c r="AC18" i="8" s="1"/>
  <c r="AB17" i="8"/>
  <c r="AC17" i="8" s="1"/>
  <c r="Z17" i="8"/>
  <c r="AB16" i="8"/>
  <c r="AC16" i="8" s="1"/>
  <c r="Z16" i="8"/>
  <c r="AB15" i="8"/>
  <c r="AC15" i="8" s="1"/>
  <c r="AB14" i="8"/>
  <c r="AC14" i="8" s="1"/>
  <c r="AB13" i="8"/>
  <c r="AC13" i="8" s="1"/>
  <c r="Z13" i="8"/>
  <c r="AB12" i="8"/>
  <c r="AC12" i="8" s="1"/>
  <c r="Z12" i="8"/>
  <c r="AB11" i="8"/>
  <c r="Y11" i="8"/>
  <c r="S11" i="8"/>
  <c r="U11" i="8" s="1"/>
  <c r="AB10" i="8"/>
  <c r="Y10" i="8"/>
  <c r="S10" i="8"/>
  <c r="U10" i="8" s="1"/>
  <c r="AB9" i="8"/>
  <c r="AC9" i="8" s="1"/>
  <c r="Z9" i="8"/>
  <c r="AB8" i="8"/>
  <c r="Y8" i="8"/>
  <c r="Z8" i="8" s="1"/>
  <c r="S8" i="8"/>
  <c r="U8" i="8" s="1"/>
  <c r="AB7" i="8"/>
  <c r="Y7" i="8"/>
  <c r="S7" i="8"/>
  <c r="U7" i="8" s="1"/>
  <c r="AJ63" i="7"/>
  <c r="AI63" i="7"/>
  <c r="AH63" i="7"/>
  <c r="AG63" i="7"/>
  <c r="AF63" i="7"/>
  <c r="AB61" i="7"/>
  <c r="Y61" i="7"/>
  <c r="S61" i="7"/>
  <c r="U61" i="7" s="1"/>
  <c r="AB60" i="7"/>
  <c r="Y60" i="7"/>
  <c r="Z60" i="7" s="1"/>
  <c r="S60" i="7"/>
  <c r="U60" i="7" s="1"/>
  <c r="AB59" i="7"/>
  <c r="Y59" i="7"/>
  <c r="S59" i="7"/>
  <c r="U59" i="7" s="1"/>
  <c r="AB58" i="7"/>
  <c r="Y58" i="7"/>
  <c r="S58" i="7"/>
  <c r="U58" i="7" s="1"/>
  <c r="AB57" i="7"/>
  <c r="Y57" i="7"/>
  <c r="S57" i="7"/>
  <c r="U57" i="7" s="1"/>
  <c r="AB56" i="7"/>
  <c r="Y56" i="7"/>
  <c r="Z56" i="7" s="1"/>
  <c r="S56" i="7"/>
  <c r="U56" i="7" s="1"/>
  <c r="AB54" i="7"/>
  <c r="AC54" i="7" s="1"/>
  <c r="Z54" i="7"/>
  <c r="AB53" i="7"/>
  <c r="AC53" i="7" s="1"/>
  <c r="AB52" i="7"/>
  <c r="Y52" i="7"/>
  <c r="Z52" i="7" s="1"/>
  <c r="S52" i="7"/>
  <c r="U52" i="7" s="1"/>
  <c r="AB51" i="7"/>
  <c r="Y51" i="7"/>
  <c r="S51" i="7"/>
  <c r="U51" i="7" s="1"/>
  <c r="AB50" i="7"/>
  <c r="AC50" i="7" s="1"/>
  <c r="Z50" i="7"/>
  <c r="AB49" i="7"/>
  <c r="AC49" i="7" s="1"/>
  <c r="AB48" i="7"/>
  <c r="Z48" i="7"/>
  <c r="AB47" i="7"/>
  <c r="AC47" i="7"/>
  <c r="AB46" i="7"/>
  <c r="AC46" i="7"/>
  <c r="AB45" i="7"/>
  <c r="Y45" i="7"/>
  <c r="AC45" i="7" s="1"/>
  <c r="S45" i="7"/>
  <c r="U45" i="7" s="1"/>
  <c r="AB44" i="7"/>
  <c r="Y44" i="7"/>
  <c r="Z44" i="7" s="1"/>
  <c r="S44" i="7"/>
  <c r="U44" i="7" s="1"/>
  <c r="AB43" i="7"/>
  <c r="AC43" i="7"/>
  <c r="AB42" i="7"/>
  <c r="AC42" i="7" s="1"/>
  <c r="Z42" i="7"/>
  <c r="AB41" i="7"/>
  <c r="Y41" i="7"/>
  <c r="AC41" i="7" s="1"/>
  <c r="S41" i="7"/>
  <c r="U41" i="7" s="1"/>
  <c r="AB40" i="7"/>
  <c r="Y40" i="7"/>
  <c r="Z40" i="7" s="1"/>
  <c r="S40" i="7"/>
  <c r="U40" i="7" s="1"/>
  <c r="AB39" i="7"/>
  <c r="AC39" i="7" s="1"/>
  <c r="AB38" i="7"/>
  <c r="Y38" i="7"/>
  <c r="AC38" i="7" s="1"/>
  <c r="S38" i="7"/>
  <c r="U38" i="7" s="1"/>
  <c r="AB37" i="7"/>
  <c r="AB36" i="7"/>
  <c r="AC36" i="7" s="1"/>
  <c r="Z36" i="7"/>
  <c r="AB35" i="7"/>
  <c r="AC35" i="7" s="1"/>
  <c r="AB34" i="7"/>
  <c r="Y34" i="7"/>
  <c r="S34" i="7"/>
  <c r="U34" i="7" s="1"/>
  <c r="AB33" i="7"/>
  <c r="AC33" i="7" s="1"/>
  <c r="AB32" i="7"/>
  <c r="AC32" i="7" s="1"/>
  <c r="Z32" i="7"/>
  <c r="AB31" i="7"/>
  <c r="AC31" i="7" s="1"/>
  <c r="Z31" i="7"/>
  <c r="AB30" i="7"/>
  <c r="AC30" i="7" s="1"/>
  <c r="Z30" i="7"/>
  <c r="AB29" i="7"/>
  <c r="AC29" i="7" s="1"/>
  <c r="AB28" i="7"/>
  <c r="AC28" i="7" s="1"/>
  <c r="Z28" i="7"/>
  <c r="AB27" i="7"/>
  <c r="Y27" i="7"/>
  <c r="Z27" i="7" s="1"/>
  <c r="S27" i="7"/>
  <c r="U27" i="7" s="1"/>
  <c r="AB26" i="7"/>
  <c r="AC26" i="7" s="1"/>
  <c r="Z26" i="7"/>
  <c r="AB25" i="7"/>
  <c r="AC25" i="7" s="1"/>
  <c r="AD25" i="7" s="1"/>
  <c r="AE25" i="7" s="1"/>
  <c r="AB24" i="7"/>
  <c r="AC24" i="7" s="1"/>
  <c r="AD24" i="7" s="1"/>
  <c r="AE24" i="7" s="1"/>
  <c r="Z24" i="7"/>
  <c r="AB23" i="7"/>
  <c r="Y23" i="7"/>
  <c r="S23" i="7"/>
  <c r="U23" i="7" s="1"/>
  <c r="AB22" i="7"/>
  <c r="AC22" i="7" s="1"/>
  <c r="Z22" i="7"/>
  <c r="AB21" i="7"/>
  <c r="AC21" i="7"/>
  <c r="AD21" i="7" s="1"/>
  <c r="AE21" i="7" s="1"/>
  <c r="AB20" i="7"/>
  <c r="AC20" i="7" s="1"/>
  <c r="Z20" i="7"/>
  <c r="AB19" i="7"/>
  <c r="AC19" i="7" s="1"/>
  <c r="Z19" i="7"/>
  <c r="AC18" i="7"/>
  <c r="AB18" i="7"/>
  <c r="Z18" i="7"/>
  <c r="Y18" i="7"/>
  <c r="S18" i="7"/>
  <c r="U18" i="7" s="1"/>
  <c r="AB17" i="7"/>
  <c r="Y17" i="7"/>
  <c r="S17" i="7"/>
  <c r="U17" i="7" s="1"/>
  <c r="AB16" i="7"/>
  <c r="AC16" i="7" s="1"/>
  <c r="Z16" i="7"/>
  <c r="Y16" i="7"/>
  <c r="S16" i="7"/>
  <c r="U16" i="7" s="1"/>
  <c r="AB15" i="7"/>
  <c r="AC15" i="7"/>
  <c r="S15" i="7"/>
  <c r="U15" i="7" s="1"/>
  <c r="AB14" i="7"/>
  <c r="Y14" i="7"/>
  <c r="U14" i="7"/>
  <c r="S14" i="7"/>
  <c r="AB13" i="7"/>
  <c r="AC13" i="7" s="1"/>
  <c r="AB12" i="7"/>
  <c r="AC12" i="7" s="1"/>
  <c r="Z12" i="7"/>
  <c r="AB11" i="7"/>
  <c r="Z11" i="7"/>
  <c r="Y11" i="7"/>
  <c r="AC11" i="7" s="1"/>
  <c r="S11" i="7"/>
  <c r="U11" i="7" s="1"/>
  <c r="AB10" i="7"/>
  <c r="Y10" i="7"/>
  <c r="AC10" i="7" s="1"/>
  <c r="U10" i="7"/>
  <c r="S10" i="7"/>
  <c r="AB9" i="7"/>
  <c r="AC9" i="7"/>
  <c r="AB8" i="7"/>
  <c r="Y8" i="7"/>
  <c r="Z8" i="7" s="1"/>
  <c r="X8" i="7"/>
  <c r="U8" i="7"/>
  <c r="S8" i="7"/>
  <c r="AB7" i="7"/>
  <c r="Y7" i="7"/>
  <c r="S7" i="7"/>
  <c r="U7" i="7" s="1"/>
  <c r="Y10" i="6"/>
  <c r="S10" i="6"/>
  <c r="U10" i="6" s="1"/>
  <c r="Y9" i="6"/>
  <c r="S9" i="6"/>
  <c r="U9" i="6" s="1"/>
  <c r="Y8" i="6"/>
  <c r="S8" i="6"/>
  <c r="U8" i="6" s="1"/>
  <c r="Y7" i="6"/>
  <c r="Z7" i="6" s="1"/>
  <c r="S7" i="6"/>
  <c r="U7" i="6" s="1"/>
  <c r="AB7" i="6"/>
  <c r="AB8" i="6"/>
  <c r="AC8" i="6" s="1"/>
  <c r="AB9" i="6"/>
  <c r="Z10" i="6"/>
  <c r="AB10" i="6"/>
  <c r="S11" i="6"/>
  <c r="U11" i="6" s="1"/>
  <c r="Y11" i="6"/>
  <c r="Z11" i="6" s="1"/>
  <c r="AB11" i="6"/>
  <c r="AB13" i="6"/>
  <c r="Z14" i="6"/>
  <c r="AB14" i="6"/>
  <c r="AB15" i="6"/>
  <c r="AB16" i="6"/>
  <c r="S17" i="6"/>
  <c r="U17" i="6" s="1"/>
  <c r="Y17" i="6"/>
  <c r="Z17" i="6" s="1"/>
  <c r="AB17" i="6"/>
  <c r="AB18" i="6"/>
  <c r="AB19" i="6"/>
  <c r="S20" i="6"/>
  <c r="U20" i="6" s="1"/>
  <c r="Y20" i="6"/>
  <c r="Z20" i="6" s="1"/>
  <c r="AB20" i="6"/>
  <c r="S21" i="6"/>
  <c r="U21" i="6" s="1"/>
  <c r="Y21" i="6"/>
  <c r="Z21" i="6" s="1"/>
  <c r="AB21" i="6"/>
  <c r="Z22" i="6"/>
  <c r="AB22" i="6"/>
  <c r="Z23" i="6"/>
  <c r="AB23" i="6"/>
  <c r="AB24" i="6"/>
  <c r="AB25" i="6"/>
  <c r="Z26" i="6"/>
  <c r="AB26" i="6"/>
  <c r="Z27" i="6"/>
  <c r="AB27" i="6"/>
  <c r="S28" i="6"/>
  <c r="U28" i="6" s="1"/>
  <c r="Y28" i="6"/>
  <c r="Z28" i="6" s="1"/>
  <c r="AB28" i="6"/>
  <c r="AB29" i="6"/>
  <c r="S30" i="6"/>
  <c r="U30" i="6" s="1"/>
  <c r="Y30" i="6"/>
  <c r="Z30" i="6" s="1"/>
  <c r="AB30" i="6"/>
  <c r="Z31" i="6"/>
  <c r="AB31" i="6"/>
  <c r="S32" i="6"/>
  <c r="U32" i="6" s="1"/>
  <c r="Y32" i="6"/>
  <c r="AB32" i="6"/>
  <c r="Z33" i="6"/>
  <c r="AB33" i="6"/>
  <c r="S34" i="6"/>
  <c r="U34" i="6" s="1"/>
  <c r="Y34" i="6"/>
  <c r="Z34" i="6" s="1"/>
  <c r="AB34" i="6"/>
  <c r="S35" i="6"/>
  <c r="U35" i="6" s="1"/>
  <c r="Y35" i="6"/>
  <c r="Z35" i="6" s="1"/>
  <c r="AB35" i="6"/>
  <c r="S36" i="6"/>
  <c r="U36" i="6" s="1"/>
  <c r="Y36" i="6"/>
  <c r="Z36" i="6" s="1"/>
  <c r="AB36" i="6"/>
  <c r="S37" i="6"/>
  <c r="U37" i="6" s="1"/>
  <c r="Z37" i="6"/>
  <c r="AB37" i="6"/>
  <c r="S38" i="6"/>
  <c r="U38" i="6" s="1"/>
  <c r="Z38" i="6"/>
  <c r="AB38" i="6"/>
  <c r="S39" i="6"/>
  <c r="U39" i="6" s="1"/>
  <c r="Z39" i="6"/>
  <c r="AB39" i="6"/>
  <c r="S40" i="6"/>
  <c r="U40" i="6" s="1"/>
  <c r="AB40" i="6"/>
  <c r="S41" i="6"/>
  <c r="U41" i="6" s="1"/>
  <c r="Z41" i="6"/>
  <c r="AB41" i="6"/>
  <c r="S42" i="6"/>
  <c r="U42" i="6" s="1"/>
  <c r="Y42" i="6"/>
  <c r="Z42" i="6" s="1"/>
  <c r="AB42" i="6"/>
  <c r="S43" i="6"/>
  <c r="U43" i="6" s="1"/>
  <c r="Y43" i="6"/>
  <c r="Z43" i="6" s="1"/>
  <c r="AB43" i="6"/>
  <c r="S44" i="6"/>
  <c r="U44" i="6" s="1"/>
  <c r="Y44" i="6"/>
  <c r="Z44" i="6" s="1"/>
  <c r="AB44" i="6"/>
  <c r="AB45" i="6"/>
  <c r="Z46" i="6"/>
  <c r="AB46" i="6"/>
  <c r="Z47" i="6"/>
  <c r="AB47" i="6"/>
  <c r="Z48" i="6"/>
  <c r="AB48" i="6"/>
  <c r="S49" i="6"/>
  <c r="U49" i="6" s="1"/>
  <c r="Y49" i="6"/>
  <c r="AB49" i="6"/>
  <c r="S50" i="6"/>
  <c r="U50" i="6" s="1"/>
  <c r="Y50" i="6"/>
  <c r="Z50" i="6" s="1"/>
  <c r="AB50" i="6"/>
  <c r="S51" i="6"/>
  <c r="U51" i="6" s="1"/>
  <c r="Y51" i="6"/>
  <c r="Z51" i="6" s="1"/>
  <c r="AB51" i="6"/>
  <c r="S52" i="6"/>
  <c r="U52" i="6" s="1"/>
  <c r="Y52" i="6"/>
  <c r="Z52" i="6" s="1"/>
  <c r="AB52" i="6"/>
  <c r="S53" i="6"/>
  <c r="U53" i="6" s="1"/>
  <c r="Y53" i="6"/>
  <c r="AB53" i="6"/>
  <c r="AC32" i="11" l="1"/>
  <c r="AC36" i="11"/>
  <c r="AC24" i="15"/>
  <c r="AC34" i="7"/>
  <c r="AC10" i="8"/>
  <c r="AC14" i="7"/>
  <c r="AC56" i="9"/>
  <c r="AC28" i="11"/>
  <c r="AC40" i="13"/>
  <c r="AC52" i="13"/>
  <c r="AC45" i="14"/>
  <c r="AC49" i="14"/>
  <c r="AC12" i="15"/>
  <c r="AC51" i="15"/>
  <c r="AC55" i="15"/>
  <c r="AC7" i="7"/>
  <c r="AC17" i="7"/>
  <c r="Z76" i="9"/>
  <c r="X16" i="6"/>
  <c r="X26" i="6"/>
  <c r="X11" i="8"/>
  <c r="X27" i="7"/>
  <c r="AC22" i="15"/>
  <c r="AC7" i="15"/>
  <c r="AC52" i="15"/>
  <c r="AC56" i="15"/>
  <c r="Z51" i="15"/>
  <c r="AC50" i="15"/>
  <c r="AC46" i="15"/>
  <c r="AC40" i="15"/>
  <c r="AD40" i="15" s="1"/>
  <c r="AE40" i="15" s="1"/>
  <c r="AC39" i="15"/>
  <c r="AC11" i="15"/>
  <c r="AC48" i="15"/>
  <c r="AC15" i="15"/>
  <c r="AD15" i="15" s="1"/>
  <c r="AE15" i="15" s="1"/>
  <c r="Z22" i="15"/>
  <c r="Z29" i="15"/>
  <c r="AC41" i="15"/>
  <c r="AD41" i="15" s="1"/>
  <c r="AE41" i="15" s="1"/>
  <c r="Z44" i="15"/>
  <c r="AC47" i="15"/>
  <c r="AC10" i="15"/>
  <c r="AC36" i="15"/>
  <c r="AD36" i="15" s="1"/>
  <c r="AE36" i="15" s="1"/>
  <c r="Z55" i="15"/>
  <c r="Z10" i="15"/>
  <c r="AC19" i="15"/>
  <c r="AD19" i="15" s="1"/>
  <c r="AE19" i="15" s="1"/>
  <c r="AC26" i="15"/>
  <c r="AC33" i="15"/>
  <c r="AD33" i="15" s="1"/>
  <c r="AE33" i="15" s="1"/>
  <c r="AC43" i="15"/>
  <c r="X54" i="15"/>
  <c r="AC14" i="15"/>
  <c r="AC21" i="15"/>
  <c r="AC38" i="15"/>
  <c r="AC23" i="15"/>
  <c r="X53" i="15"/>
  <c r="AC18" i="15"/>
  <c r="AD18" i="15" s="1"/>
  <c r="AE18" i="15" s="1"/>
  <c r="AC25" i="15"/>
  <c r="AC32" i="15"/>
  <c r="AD32" i="15" s="1"/>
  <c r="AE32" i="15" s="1"/>
  <c r="AC77" i="14"/>
  <c r="AC81" i="14"/>
  <c r="X82" i="14"/>
  <c r="X78" i="14"/>
  <c r="AC80" i="14"/>
  <c r="AC76" i="14"/>
  <c r="X46" i="14"/>
  <c r="X38" i="14"/>
  <c r="Z52" i="13"/>
  <c r="AC67" i="13"/>
  <c r="AC72" i="13"/>
  <c r="AC43" i="13"/>
  <c r="AC64" i="13"/>
  <c r="AC71" i="13"/>
  <c r="AC41" i="13"/>
  <c r="AC49" i="13"/>
  <c r="Z41" i="13"/>
  <c r="AC70" i="13"/>
  <c r="AC75" i="13"/>
  <c r="Z40" i="13"/>
  <c r="AC74" i="13"/>
  <c r="AC48" i="13"/>
  <c r="AC63" i="13"/>
  <c r="X53" i="13"/>
  <c r="X49" i="13"/>
  <c r="X18" i="7"/>
  <c r="AD18" i="7" s="1"/>
  <c r="AE18" i="7" s="1"/>
  <c r="X37" i="9"/>
  <c r="X62" i="10"/>
  <c r="X64" i="10"/>
  <c r="AD64" i="10" s="1"/>
  <c r="AE64" i="10" s="1"/>
  <c r="X71" i="13"/>
  <c r="X47" i="10"/>
  <c r="AC64" i="12"/>
  <c r="AC66" i="12"/>
  <c r="AC63" i="12"/>
  <c r="AC7" i="12"/>
  <c r="X55" i="12"/>
  <c r="X68" i="12"/>
  <c r="AC39" i="12"/>
  <c r="AC51" i="12"/>
  <c r="X61" i="12"/>
  <c r="AC8" i="12"/>
  <c r="AC10" i="12"/>
  <c r="AC48" i="12"/>
  <c r="AD48" i="12" s="1"/>
  <c r="AE48" i="12" s="1"/>
  <c r="AC65" i="12"/>
  <c r="AC67" i="12"/>
  <c r="Z7" i="12"/>
  <c r="X45" i="12"/>
  <c r="Z48" i="12"/>
  <c r="AC50" i="12"/>
  <c r="AC53" i="12"/>
  <c r="AC56" i="12"/>
  <c r="AC61" i="12"/>
  <c r="X31" i="12"/>
  <c r="AC11" i="12"/>
  <c r="Z64" i="12"/>
  <c r="Z11" i="12"/>
  <c r="AC45" i="12"/>
  <c r="X62" i="12"/>
  <c r="X67" i="12"/>
  <c r="AC47" i="12"/>
  <c r="AC68" i="12"/>
  <c r="AC44" i="12"/>
  <c r="AC52" i="12"/>
  <c r="AC54" i="12"/>
  <c r="AC57" i="12"/>
  <c r="AC32" i="12"/>
  <c r="X46" i="12"/>
  <c r="AC30" i="12"/>
  <c r="AC37" i="12"/>
  <c r="AC36" i="12"/>
  <c r="AD36" i="12" s="1"/>
  <c r="AE36" i="12" s="1"/>
  <c r="AC53" i="11"/>
  <c r="AC7" i="11"/>
  <c r="AC30" i="11"/>
  <c r="AC48" i="11"/>
  <c r="AC52" i="11"/>
  <c r="X53" i="11"/>
  <c r="AC43" i="11"/>
  <c r="AC64" i="10"/>
  <c r="X61" i="10"/>
  <c r="X65" i="10"/>
  <c r="AC68" i="10"/>
  <c r="AC67" i="10"/>
  <c r="Z64" i="10"/>
  <c r="X47" i="9"/>
  <c r="X65" i="9"/>
  <c r="X56" i="9"/>
  <c r="AD56" i="9" s="1"/>
  <c r="AE56" i="9" s="1"/>
  <c r="X69" i="9"/>
  <c r="AC64" i="9"/>
  <c r="AC59" i="9"/>
  <c r="AD59" i="9" s="1"/>
  <c r="AE59" i="9" s="1"/>
  <c r="AC68" i="9"/>
  <c r="AC52" i="9"/>
  <c r="AC41" i="9"/>
  <c r="AC37" i="9"/>
  <c r="AC60" i="9"/>
  <c r="AC67" i="9"/>
  <c r="AC69" i="9"/>
  <c r="X42" i="9"/>
  <c r="AC48" i="9"/>
  <c r="AC53" i="9"/>
  <c r="AC57" i="9"/>
  <c r="AC32" i="8"/>
  <c r="AC36" i="8"/>
  <c r="AC60" i="8"/>
  <c r="AC8" i="8"/>
  <c r="AC7" i="8"/>
  <c r="AC11" i="8"/>
  <c r="X38" i="8"/>
  <c r="X49" i="8"/>
  <c r="AC57" i="8"/>
  <c r="X61" i="8"/>
  <c r="X57" i="8"/>
  <c r="Z60" i="8"/>
  <c r="X58" i="8"/>
  <c r="X42" i="8"/>
  <c r="Z32" i="8"/>
  <c r="AC35" i="8"/>
  <c r="X10" i="7"/>
  <c r="AD10" i="7" s="1"/>
  <c r="AE10" i="7" s="1"/>
  <c r="AC23" i="7"/>
  <c r="AC57" i="7"/>
  <c r="AC59" i="7"/>
  <c r="AC61" i="7"/>
  <c r="Z10" i="7"/>
  <c r="Z7" i="7"/>
  <c r="AC8" i="7"/>
  <c r="Z14" i="7"/>
  <c r="AC58" i="7"/>
  <c r="X16" i="7"/>
  <c r="AD16" i="7" s="1"/>
  <c r="AE16" i="7" s="1"/>
  <c r="AC27" i="7"/>
  <c r="AC51" i="7"/>
  <c r="AC40" i="7"/>
  <c r="AC56" i="7"/>
  <c r="Z58" i="7"/>
  <c r="AC60" i="7"/>
  <c r="X32" i="8"/>
  <c r="AD52" i="8"/>
  <c r="AE52" i="8" s="1"/>
  <c r="X12" i="15"/>
  <c r="AD12" i="15" s="1"/>
  <c r="AE12" i="15" s="1"/>
  <c r="AD14" i="15"/>
  <c r="AE14" i="15" s="1"/>
  <c r="AD25" i="12"/>
  <c r="AE25" i="12" s="1"/>
  <c r="X40" i="12"/>
  <c r="X42" i="12"/>
  <c r="X66" i="10"/>
  <c r="AD18" i="13"/>
  <c r="AE18" i="13" s="1"/>
  <c r="AD32" i="14"/>
  <c r="AE32" i="14" s="1"/>
  <c r="AD37" i="14"/>
  <c r="AE37" i="14" s="1"/>
  <c r="X39" i="14"/>
  <c r="AD20" i="15"/>
  <c r="AE20" i="15" s="1"/>
  <c r="X22" i="15"/>
  <c r="AD22" i="15" s="1"/>
  <c r="AE22" i="15" s="1"/>
  <c r="X34" i="7"/>
  <c r="AD34" i="7" s="1"/>
  <c r="AE34" i="7" s="1"/>
  <c r="X51" i="7"/>
  <c r="AD51" i="7" s="1"/>
  <c r="AE51" i="7" s="1"/>
  <c r="X46" i="9"/>
  <c r="X48" i="9"/>
  <c r="X57" i="9"/>
  <c r="AD57" i="9" s="1"/>
  <c r="AE57" i="9" s="1"/>
  <c r="AD20" i="8"/>
  <c r="AE20" i="8" s="1"/>
  <c r="X33" i="8"/>
  <c r="Z15" i="7"/>
  <c r="AC52" i="7"/>
  <c r="AC44" i="7"/>
  <c r="Z46" i="7"/>
  <c r="AC48" i="7"/>
  <c r="Z38" i="7"/>
  <c r="X39" i="12"/>
  <c r="AD39" i="12" s="1"/>
  <c r="AE39" i="12" s="1"/>
  <c r="AD11" i="13"/>
  <c r="AE11" i="13" s="1"/>
  <c r="AD31" i="13"/>
  <c r="AE31" i="13" s="1"/>
  <c r="X69" i="13"/>
  <c r="X74" i="13"/>
  <c r="X47" i="14"/>
  <c r="X60" i="14"/>
  <c r="X46" i="15"/>
  <c r="AD18" i="8"/>
  <c r="AE18" i="8" s="1"/>
  <c r="AD20" i="10"/>
  <c r="AE20" i="10" s="1"/>
  <c r="AD37" i="11"/>
  <c r="AE37" i="11" s="1"/>
  <c r="X7" i="6"/>
  <c r="X41" i="7"/>
  <c r="AD41" i="7" s="1"/>
  <c r="AE41" i="7" s="1"/>
  <c r="X56" i="7"/>
  <c r="AD56" i="7" s="1"/>
  <c r="AE56" i="7" s="1"/>
  <c r="X58" i="7"/>
  <c r="AD58" i="7" s="1"/>
  <c r="AE58" i="7" s="1"/>
  <c r="AD53" i="8"/>
  <c r="AE53" i="8" s="1"/>
  <c r="AD28" i="9"/>
  <c r="AE28" i="9" s="1"/>
  <c r="X66" i="9"/>
  <c r="AD56" i="10"/>
  <c r="AE56" i="10" s="1"/>
  <c r="AD41" i="12"/>
  <c r="AE41" i="12" s="1"/>
  <c r="AD59" i="13"/>
  <c r="AE59" i="13" s="1"/>
  <c r="X13" i="15"/>
  <c r="AD13" i="15" s="1"/>
  <c r="AE13" i="15" s="1"/>
  <c r="AD19" i="8"/>
  <c r="AE19" i="8" s="1"/>
  <c r="AD33" i="9"/>
  <c r="AE33" i="9" s="1"/>
  <c r="AD38" i="9"/>
  <c r="AE38" i="9" s="1"/>
  <c r="X41" i="9"/>
  <c r="X50" i="9"/>
  <c r="X68" i="9"/>
  <c r="X10" i="11"/>
  <c r="AD12" i="11"/>
  <c r="AE12" i="11" s="1"/>
  <c r="AD22" i="12"/>
  <c r="AE22" i="12" s="1"/>
  <c r="AD35" i="12"/>
  <c r="AE35" i="12" s="1"/>
  <c r="AD50" i="12"/>
  <c r="AE50" i="12" s="1"/>
  <c r="X66" i="12"/>
  <c r="AD66" i="12" s="1"/>
  <c r="AE66" i="12" s="1"/>
  <c r="AD56" i="13"/>
  <c r="AE56" i="13" s="1"/>
  <c r="AD24" i="14"/>
  <c r="AE24" i="14" s="1"/>
  <c r="X76" i="14"/>
  <c r="AD27" i="10"/>
  <c r="AE27" i="10" s="1"/>
  <c r="X15" i="7"/>
  <c r="AD15" i="7" s="1"/>
  <c r="AE15" i="7" s="1"/>
  <c r="X10" i="8"/>
  <c r="AD10" i="8" s="1"/>
  <c r="AE10" i="8" s="1"/>
  <c r="X37" i="8"/>
  <c r="AD37" i="8" s="1"/>
  <c r="AE37" i="8" s="1"/>
  <c r="X62" i="8"/>
  <c r="AD10" i="9"/>
  <c r="AE10" i="9" s="1"/>
  <c r="AD24" i="13"/>
  <c r="AE24" i="13" s="1"/>
  <c r="AD26" i="13"/>
  <c r="AE26" i="13" s="1"/>
  <c r="X41" i="13"/>
  <c r="X46" i="13"/>
  <c r="X70" i="13"/>
  <c r="X73" i="13"/>
  <c r="AD16" i="14"/>
  <c r="AE16" i="14" s="1"/>
  <c r="AD18" i="14"/>
  <c r="AE18" i="14" s="1"/>
  <c r="X48" i="14"/>
  <c r="AD48" i="14" s="1"/>
  <c r="AE48" i="14" s="1"/>
  <c r="X50" i="14"/>
  <c r="X59" i="14"/>
  <c r="X61" i="14"/>
  <c r="AD37" i="15"/>
  <c r="AE37" i="15" s="1"/>
  <c r="X8" i="11"/>
  <c r="AD8" i="11" s="1"/>
  <c r="AE8" i="11" s="1"/>
  <c r="X52" i="14"/>
  <c r="AD52" i="14" s="1"/>
  <c r="AE52" i="14" s="1"/>
  <c r="X7" i="7"/>
  <c r="X40" i="7"/>
  <c r="AD40" i="7" s="1"/>
  <c r="AE40" i="7" s="1"/>
  <c r="AD50" i="7"/>
  <c r="AE50" i="7" s="1"/>
  <c r="X57" i="7"/>
  <c r="AD57" i="7" s="1"/>
  <c r="AE57" i="7" s="1"/>
  <c r="AD31" i="8"/>
  <c r="AE31" i="8" s="1"/>
  <c r="X39" i="8"/>
  <c r="AD8" i="9"/>
  <c r="AE8" i="9" s="1"/>
  <c r="X49" i="9"/>
  <c r="X67" i="9"/>
  <c r="AD25" i="10"/>
  <c r="AE25" i="10" s="1"/>
  <c r="X63" i="12"/>
  <c r="AD63" i="12" s="1"/>
  <c r="AE63" i="12" s="1"/>
  <c r="AD17" i="11"/>
  <c r="AE17" i="11" s="1"/>
  <c r="AD19" i="11"/>
  <c r="AE19" i="11" s="1"/>
  <c r="X27" i="11"/>
  <c r="AD27" i="11" s="1"/>
  <c r="AE27" i="11" s="1"/>
  <c r="AD31" i="11"/>
  <c r="AE31" i="11" s="1"/>
  <c r="X33" i="11"/>
  <c r="X35" i="11"/>
  <c r="X43" i="11"/>
  <c r="X49" i="11"/>
  <c r="X51" i="11"/>
  <c r="X72" i="13"/>
  <c r="AD72" i="13" s="1"/>
  <c r="AE72" i="13" s="1"/>
  <c r="AD21" i="14"/>
  <c r="AE21" i="14" s="1"/>
  <c r="X34" i="14"/>
  <c r="X23" i="15"/>
  <c r="X14" i="6"/>
  <c r="Z34" i="7"/>
  <c r="Z23" i="7"/>
  <c r="X17" i="7"/>
  <c r="AD17" i="7" s="1"/>
  <c r="AE17" i="7" s="1"/>
  <c r="AD9" i="7"/>
  <c r="AE9" i="7" s="1"/>
  <c r="X9" i="6"/>
  <c r="X11" i="7"/>
  <c r="AD11" i="7" s="1"/>
  <c r="AE11" i="7" s="1"/>
  <c r="AD20" i="7"/>
  <c r="AE20" i="7" s="1"/>
  <c r="AD14" i="8"/>
  <c r="AE14" i="8" s="1"/>
  <c r="AD23" i="8"/>
  <c r="AE23" i="8" s="1"/>
  <c r="AD41" i="8"/>
  <c r="AE41" i="8" s="1"/>
  <c r="AD17" i="10"/>
  <c r="AE17" i="10" s="1"/>
  <c r="AD30" i="8"/>
  <c r="AE30" i="8" s="1"/>
  <c r="AD8" i="7"/>
  <c r="AE8" i="7" s="1"/>
  <c r="AD9" i="9"/>
  <c r="AE9" i="9" s="1"/>
  <c r="AD14" i="9"/>
  <c r="AE14" i="9" s="1"/>
  <c r="AD19" i="9"/>
  <c r="AE19" i="9" s="1"/>
  <c r="AD29" i="9"/>
  <c r="AE29" i="9" s="1"/>
  <c r="AD13" i="7"/>
  <c r="AE13" i="7" s="1"/>
  <c r="AD22" i="7"/>
  <c r="AE22" i="7" s="1"/>
  <c r="X38" i="7"/>
  <c r="AD38" i="7" s="1"/>
  <c r="AE38" i="7" s="1"/>
  <c r="X45" i="7"/>
  <c r="AD45" i="7" s="1"/>
  <c r="AE45" i="7" s="1"/>
  <c r="X52" i="7"/>
  <c r="X61" i="7"/>
  <c r="AD61" i="7" s="1"/>
  <c r="AE61" i="7" s="1"/>
  <c r="X7" i="8"/>
  <c r="AD7" i="8" s="1"/>
  <c r="AD26" i="8"/>
  <c r="AE26" i="8" s="1"/>
  <c r="AD28" i="8"/>
  <c r="AE28" i="8" s="1"/>
  <c r="X50" i="8"/>
  <c r="X23" i="7"/>
  <c r="AD23" i="7" s="1"/>
  <c r="AE23" i="7" s="1"/>
  <c r="AD47" i="7"/>
  <c r="AE47" i="7" s="1"/>
  <c r="AD15" i="8"/>
  <c r="AE15" i="8" s="1"/>
  <c r="AD22" i="8"/>
  <c r="AE22" i="8" s="1"/>
  <c r="AD24" i="8"/>
  <c r="AE24" i="8" s="1"/>
  <c r="AD25" i="8"/>
  <c r="AE25" i="8" s="1"/>
  <c r="AD31" i="7"/>
  <c r="AE31" i="7" s="1"/>
  <c r="AD54" i="7"/>
  <c r="AE54" i="7" s="1"/>
  <c r="AD26" i="7"/>
  <c r="AE26" i="7" s="1"/>
  <c r="X7" i="12"/>
  <c r="AD7" i="12" s="1"/>
  <c r="X10" i="12"/>
  <c r="X43" i="12"/>
  <c r="AD13" i="13"/>
  <c r="AE13" i="13" s="1"/>
  <c r="AD22" i="13"/>
  <c r="AE22" i="13" s="1"/>
  <c r="AD29" i="13"/>
  <c r="AE29" i="13" s="1"/>
  <c r="AD32" i="13"/>
  <c r="AE32" i="13" s="1"/>
  <c r="X62" i="13"/>
  <c r="X75" i="13"/>
  <c r="AD10" i="14"/>
  <c r="AE10" i="14" s="1"/>
  <c r="AD26" i="14"/>
  <c r="AE26" i="14" s="1"/>
  <c r="X33" i="14"/>
  <c r="AD33" i="14" s="1"/>
  <c r="AE33" i="14" s="1"/>
  <c r="X51" i="14"/>
  <c r="X77" i="14"/>
  <c r="AD77" i="14" s="1"/>
  <c r="AE77" i="14" s="1"/>
  <c r="AD30" i="15"/>
  <c r="AE30" i="15" s="1"/>
  <c r="AD35" i="15"/>
  <c r="AE35" i="15" s="1"/>
  <c r="X51" i="15"/>
  <c r="AD51" i="15" s="1"/>
  <c r="AE51" i="15" s="1"/>
  <c r="X55" i="15"/>
  <c r="AD55" i="15" s="1"/>
  <c r="AE55" i="15" s="1"/>
  <c r="X25" i="6"/>
  <c r="X33" i="6"/>
  <c r="X46" i="10"/>
  <c r="AD48" i="10"/>
  <c r="AE48" i="10" s="1"/>
  <c r="AD57" i="10"/>
  <c r="AE57" i="10" s="1"/>
  <c r="AD13" i="12"/>
  <c r="AE13" i="12" s="1"/>
  <c r="AD16" i="12"/>
  <c r="AE16" i="12" s="1"/>
  <c r="X30" i="12"/>
  <c r="X64" i="12"/>
  <c r="AD28" i="13"/>
  <c r="AE28" i="13" s="1"/>
  <c r="AD30" i="13"/>
  <c r="AE30" i="13" s="1"/>
  <c r="AD39" i="13"/>
  <c r="AE39" i="13" s="1"/>
  <c r="X47" i="13"/>
  <c r="X77" i="13"/>
  <c r="AD17" i="14"/>
  <c r="AE17" i="14" s="1"/>
  <c r="AD19" i="14"/>
  <c r="AE19" i="14" s="1"/>
  <c r="AD22" i="14"/>
  <c r="AE22" i="14" s="1"/>
  <c r="AD28" i="14"/>
  <c r="AE28" i="14" s="1"/>
  <c r="X44" i="14"/>
  <c r="AD44" i="14" s="1"/>
  <c r="AE44" i="14" s="1"/>
  <c r="X53" i="14"/>
  <c r="X55" i="14"/>
  <c r="X57" i="14"/>
  <c r="X79" i="14"/>
  <c r="AD8" i="15"/>
  <c r="AE8" i="15" s="1"/>
  <c r="X10" i="15"/>
  <c r="AD17" i="15"/>
  <c r="AE17" i="15" s="1"/>
  <c r="X24" i="15"/>
  <c r="AD24" i="15" s="1"/>
  <c r="AE24" i="15" s="1"/>
  <c r="X25" i="15"/>
  <c r="AD25" i="15" s="1"/>
  <c r="AE25" i="15" s="1"/>
  <c r="AD28" i="15"/>
  <c r="AE28" i="15" s="1"/>
  <c r="X48" i="15"/>
  <c r="AD48" i="15" s="1"/>
  <c r="AE48" i="15" s="1"/>
  <c r="AD52" i="15"/>
  <c r="AE52" i="15" s="1"/>
  <c r="X57" i="15"/>
  <c r="X23" i="6"/>
  <c r="AD12" i="7"/>
  <c r="AE12" i="7" s="1"/>
  <c r="X14" i="7"/>
  <c r="AD14" i="7" s="1"/>
  <c r="AE14" i="7" s="1"/>
  <c r="AD28" i="7"/>
  <c r="AE28" i="7" s="1"/>
  <c r="AD39" i="7"/>
  <c r="AE39" i="7" s="1"/>
  <c r="AD43" i="7"/>
  <c r="AE43" i="7" s="1"/>
  <c r="X59" i="7"/>
  <c r="AD59" i="7" s="1"/>
  <c r="AE59" i="7" s="1"/>
  <c r="AD12" i="8"/>
  <c r="AE12" i="8" s="1"/>
  <c r="AD29" i="8"/>
  <c r="AE29" i="8" s="1"/>
  <c r="X35" i="8"/>
  <c r="AD35" i="8" s="1"/>
  <c r="AE35" i="8" s="1"/>
  <c r="AD48" i="8"/>
  <c r="AE48" i="8" s="1"/>
  <c r="AD26" i="9"/>
  <c r="AE26" i="9" s="1"/>
  <c r="AD34" i="9"/>
  <c r="AE34" i="9" s="1"/>
  <c r="AD36" i="9"/>
  <c r="AE36" i="9" s="1"/>
  <c r="AD51" i="9"/>
  <c r="AE51" i="9" s="1"/>
  <c r="AD27" i="13"/>
  <c r="AE27" i="13" s="1"/>
  <c r="AD22" i="9"/>
  <c r="AE22" i="9" s="1"/>
  <c r="AD27" i="9"/>
  <c r="AE27" i="9" s="1"/>
  <c r="AD35" i="9"/>
  <c r="AE35" i="9" s="1"/>
  <c r="AD43" i="9"/>
  <c r="AE43" i="9" s="1"/>
  <c r="AD52" i="9"/>
  <c r="AE52" i="9" s="1"/>
  <c r="X70" i="9"/>
  <c r="AD11" i="10"/>
  <c r="AE11" i="10" s="1"/>
  <c r="AD18" i="10"/>
  <c r="AE18" i="10" s="1"/>
  <c r="AD59" i="10"/>
  <c r="AE59" i="10" s="1"/>
  <c r="X68" i="10"/>
  <c r="AD68" i="10" s="1"/>
  <c r="AE68" i="10" s="1"/>
  <c r="AD16" i="11"/>
  <c r="AE16" i="11" s="1"/>
  <c r="AD20" i="12"/>
  <c r="AE20" i="12" s="1"/>
  <c r="AD28" i="12"/>
  <c r="AE28" i="12" s="1"/>
  <c r="AD33" i="12"/>
  <c r="AE33" i="12" s="1"/>
  <c r="AD20" i="13"/>
  <c r="AE20" i="13" s="1"/>
  <c r="AD64" i="13"/>
  <c r="AE64" i="13" s="1"/>
  <c r="AD23" i="14"/>
  <c r="AE23" i="14" s="1"/>
  <c r="AD27" i="15"/>
  <c r="AE27" i="15" s="1"/>
  <c r="AD29" i="15"/>
  <c r="AE29" i="15" s="1"/>
  <c r="X39" i="15"/>
  <c r="AD39" i="15" s="1"/>
  <c r="AE39" i="15" s="1"/>
  <c r="AD45" i="15"/>
  <c r="AE45" i="15" s="1"/>
  <c r="X19" i="6"/>
  <c r="AD29" i="10"/>
  <c r="AE29" i="10" s="1"/>
  <c r="X34" i="10"/>
  <c r="AD35" i="10"/>
  <c r="AE35" i="10" s="1"/>
  <c r="AD52" i="10"/>
  <c r="AE52" i="10" s="1"/>
  <c r="X63" i="10"/>
  <c r="AD18" i="11"/>
  <c r="AE18" i="11" s="1"/>
  <c r="AD24" i="11"/>
  <c r="AE24" i="11" s="1"/>
  <c r="X28" i="11"/>
  <c r="X30" i="11"/>
  <c r="AD30" i="11" s="1"/>
  <c r="AE30" i="11" s="1"/>
  <c r="X32" i="11"/>
  <c r="AD32" i="11" s="1"/>
  <c r="AE32" i="11" s="1"/>
  <c r="X34" i="11"/>
  <c r="X36" i="11"/>
  <c r="AD36" i="11" s="1"/>
  <c r="AE36" i="11" s="1"/>
  <c r="X42" i="11"/>
  <c r="AD44" i="11"/>
  <c r="AE44" i="11" s="1"/>
  <c r="X48" i="11"/>
  <c r="AD48" i="11" s="1"/>
  <c r="AE48" i="11" s="1"/>
  <c r="X50" i="11"/>
  <c r="X52" i="11"/>
  <c r="AD52" i="11" s="1"/>
  <c r="AE52" i="11" s="1"/>
  <c r="AD18" i="12"/>
  <c r="AE18" i="12" s="1"/>
  <c r="X44" i="12"/>
  <c r="X60" i="12"/>
  <c r="AD16" i="13"/>
  <c r="AE16" i="13" s="1"/>
  <c r="X7" i="15"/>
  <c r="X50" i="15"/>
  <c r="AD50" i="15" s="1"/>
  <c r="AE50" i="15" s="1"/>
  <c r="AD9" i="10"/>
  <c r="AE9" i="10" s="1"/>
  <c r="AD15" i="10"/>
  <c r="AE15" i="10" s="1"/>
  <c r="AD22" i="10"/>
  <c r="AE22" i="10" s="1"/>
  <c r="AD31" i="10"/>
  <c r="AE31" i="10" s="1"/>
  <c r="AD36" i="10"/>
  <c r="AE36" i="10" s="1"/>
  <c r="X8" i="12"/>
  <c r="AD8" i="12" s="1"/>
  <c r="AE8" i="12" s="1"/>
  <c r="AD21" i="12"/>
  <c r="AE21" i="12" s="1"/>
  <c r="AD24" i="12"/>
  <c r="AE24" i="12" s="1"/>
  <c r="X32" i="12"/>
  <c r="X37" i="12"/>
  <c r="X47" i="12"/>
  <c r="AD7" i="13"/>
  <c r="AD12" i="13"/>
  <c r="AE12" i="13" s="1"/>
  <c r="AD14" i="13"/>
  <c r="AE14" i="13" s="1"/>
  <c r="AD25" i="13"/>
  <c r="AE25" i="13" s="1"/>
  <c r="AD33" i="13"/>
  <c r="AE33" i="13" s="1"/>
  <c r="X43" i="13"/>
  <c r="AD43" i="13" s="1"/>
  <c r="AE43" i="13" s="1"/>
  <c r="AD60" i="13"/>
  <c r="AE60" i="13" s="1"/>
  <c r="X76" i="13"/>
  <c r="AD11" i="14"/>
  <c r="AE11" i="14" s="1"/>
  <c r="AD12" i="14"/>
  <c r="AE12" i="14" s="1"/>
  <c r="AD14" i="14"/>
  <c r="AE14" i="14" s="1"/>
  <c r="AD27" i="14"/>
  <c r="AE27" i="14" s="1"/>
  <c r="X43" i="14"/>
  <c r="X54" i="14"/>
  <c r="AD69" i="14"/>
  <c r="AE69" i="14" s="1"/>
  <c r="X80" i="14"/>
  <c r="AD80" i="14" s="1"/>
  <c r="AE80" i="14" s="1"/>
  <c r="AD9" i="15"/>
  <c r="AE9" i="15" s="1"/>
  <c r="AD31" i="15"/>
  <c r="AE31" i="15" s="1"/>
  <c r="X56" i="15"/>
  <c r="AD56" i="15" s="1"/>
  <c r="AE56" i="15" s="1"/>
  <c r="X24" i="6"/>
  <c r="AD40" i="10"/>
  <c r="AE40" i="10" s="1"/>
  <c r="X67" i="10"/>
  <c r="AD67" i="10" s="1"/>
  <c r="AE67" i="10" s="1"/>
  <c r="AD9" i="11"/>
  <c r="AE9" i="11" s="1"/>
  <c r="AD20" i="11"/>
  <c r="AE20" i="11" s="1"/>
  <c r="X11" i="12"/>
  <c r="AD14" i="12"/>
  <c r="AE14" i="12" s="1"/>
  <c r="AD29" i="12"/>
  <c r="AE29" i="12" s="1"/>
  <c r="AD34" i="12"/>
  <c r="AE34" i="12" s="1"/>
  <c r="X65" i="12"/>
  <c r="AD65" i="12" s="1"/>
  <c r="AE65" i="12" s="1"/>
  <c r="AD8" i="13"/>
  <c r="AE8" i="13" s="1"/>
  <c r="AD10" i="13"/>
  <c r="AE10" i="13" s="1"/>
  <c r="AD21" i="13"/>
  <c r="AE21" i="13" s="1"/>
  <c r="X40" i="13"/>
  <c r="AD40" i="13" s="1"/>
  <c r="AE40" i="13" s="1"/>
  <c r="AD44" i="13"/>
  <c r="AE44" i="13" s="1"/>
  <c r="X45" i="14"/>
  <c r="AD45" i="14" s="1"/>
  <c r="AE45" i="14" s="1"/>
  <c r="X58" i="14"/>
  <c r="X71" i="14"/>
  <c r="X11" i="15"/>
  <c r="AD11" i="15" s="1"/>
  <c r="AE11" i="15" s="1"/>
  <c r="X26" i="15"/>
  <c r="X22" i="6"/>
  <c r="AD29" i="7"/>
  <c r="AE29" i="7" s="1"/>
  <c r="X44" i="7"/>
  <c r="AD44" i="7" s="1"/>
  <c r="AE44" i="7" s="1"/>
  <c r="AD46" i="7"/>
  <c r="AE46" i="7" s="1"/>
  <c r="AD53" i="7"/>
  <c r="AE53" i="7" s="1"/>
  <c r="X60" i="7"/>
  <c r="AD60" i="7" s="1"/>
  <c r="AE60" i="7" s="1"/>
  <c r="X8" i="8"/>
  <c r="AD8" i="8" s="1"/>
  <c r="AE8" i="8" s="1"/>
  <c r="AD13" i="8"/>
  <c r="AE13" i="8" s="1"/>
  <c r="AD16" i="8"/>
  <c r="AE16" i="8" s="1"/>
  <c r="AD27" i="8"/>
  <c r="AE27" i="8" s="1"/>
  <c r="X36" i="8"/>
  <c r="AD36" i="8" s="1"/>
  <c r="AE36" i="8" s="1"/>
  <c r="X63" i="8"/>
  <c r="AD11" i="9"/>
  <c r="AE11" i="9" s="1"/>
  <c r="AD17" i="9"/>
  <c r="AE17" i="9" s="1"/>
  <c r="AD21" i="9"/>
  <c r="AE21" i="9" s="1"/>
  <c r="AD24" i="9"/>
  <c r="AE24" i="9" s="1"/>
  <c r="AD32" i="9"/>
  <c r="AE32" i="9" s="1"/>
  <c r="AD40" i="9"/>
  <c r="AE40" i="9" s="1"/>
  <c r="X64" i="9"/>
  <c r="X71" i="9"/>
  <c r="AD8" i="10"/>
  <c r="AE8" i="10" s="1"/>
  <c r="AD12" i="10"/>
  <c r="AE12" i="10" s="1"/>
  <c r="AD13" i="10"/>
  <c r="AE13" i="10" s="1"/>
  <c r="AD24" i="10"/>
  <c r="AE24" i="10" s="1"/>
  <c r="AD26" i="10"/>
  <c r="AE26" i="10" s="1"/>
  <c r="AD28" i="10"/>
  <c r="AE28" i="10" s="1"/>
  <c r="AD43" i="10"/>
  <c r="AE43" i="10" s="1"/>
  <c r="AD13" i="11"/>
  <c r="AE13" i="11" s="1"/>
  <c r="AD15" i="11"/>
  <c r="AE15" i="11" s="1"/>
  <c r="AD15" i="14"/>
  <c r="AE15" i="14" s="1"/>
  <c r="AD31" i="14"/>
  <c r="AE31" i="14" s="1"/>
  <c r="AD42" i="15"/>
  <c r="AE42" i="15" s="1"/>
  <c r="X27" i="6"/>
  <c r="Z9" i="6"/>
  <c r="Z58" i="6" s="1"/>
  <c r="X10" i="6"/>
  <c r="X12" i="6"/>
  <c r="X31" i="6"/>
  <c r="X8" i="6"/>
  <c r="AD8" i="6" s="1"/>
  <c r="AE8" i="6" s="1"/>
  <c r="AC12" i="6"/>
  <c r="X45" i="6"/>
  <c r="X13" i="6"/>
  <c r="X15" i="6"/>
  <c r="X18" i="6"/>
  <c r="X29" i="6"/>
  <c r="Z12" i="6"/>
  <c r="AD16" i="15"/>
  <c r="AE16" i="15" s="1"/>
  <c r="AD44" i="15"/>
  <c r="AE44" i="15" s="1"/>
  <c r="Z7" i="15"/>
  <c r="Z11" i="15"/>
  <c r="Z15" i="15"/>
  <c r="Z19" i="15"/>
  <c r="Z23" i="15"/>
  <c r="Z26" i="15"/>
  <c r="Z8" i="15"/>
  <c r="Z12" i="15"/>
  <c r="Z16" i="15"/>
  <c r="Z20" i="15"/>
  <c r="Z24" i="15"/>
  <c r="Z27" i="15"/>
  <c r="Z31" i="15"/>
  <c r="Z41" i="15"/>
  <c r="Z52" i="15"/>
  <c r="AC53" i="15"/>
  <c r="X47" i="15"/>
  <c r="Z9" i="15"/>
  <c r="Z13" i="15"/>
  <c r="Z17" i="15"/>
  <c r="Z21" i="15"/>
  <c r="Z28" i="15"/>
  <c r="Z33" i="15"/>
  <c r="Z35" i="15"/>
  <c r="Z45" i="15"/>
  <c r="AC54" i="15"/>
  <c r="Z56" i="15"/>
  <c r="AC57" i="15"/>
  <c r="AC34" i="15"/>
  <c r="AD34" i="15" s="1"/>
  <c r="AE34" i="15" s="1"/>
  <c r="Z57" i="15"/>
  <c r="Z37" i="15"/>
  <c r="AC49" i="15"/>
  <c r="AD13" i="14"/>
  <c r="AE13" i="14" s="1"/>
  <c r="AD29" i="14"/>
  <c r="AE29" i="14" s="1"/>
  <c r="AD20" i="14"/>
  <c r="AE20" i="14" s="1"/>
  <c r="AD9" i="14"/>
  <c r="AE9" i="14" s="1"/>
  <c r="AD25" i="14"/>
  <c r="AE25" i="14" s="1"/>
  <c r="AD30" i="14"/>
  <c r="AE30" i="14" s="1"/>
  <c r="AD7" i="14"/>
  <c r="AD8" i="14"/>
  <c r="AE8" i="14" s="1"/>
  <c r="AD36" i="14"/>
  <c r="AE36" i="14" s="1"/>
  <c r="AC38" i="14"/>
  <c r="Z38" i="14"/>
  <c r="X41" i="14"/>
  <c r="AC47" i="14"/>
  <c r="Z47" i="14"/>
  <c r="AD64" i="14"/>
  <c r="AE64" i="14" s="1"/>
  <c r="AC65" i="14"/>
  <c r="AC70" i="14"/>
  <c r="AD70" i="14" s="1"/>
  <c r="AE70" i="14" s="1"/>
  <c r="Z70" i="14"/>
  <c r="AC79" i="14"/>
  <c r="Z79" i="14"/>
  <c r="AC42" i="14"/>
  <c r="AD42" i="14" s="1"/>
  <c r="AE42" i="14" s="1"/>
  <c r="Z42" i="14"/>
  <c r="AC51" i="14"/>
  <c r="Z51" i="14"/>
  <c r="AC74" i="14"/>
  <c r="AD74" i="14" s="1"/>
  <c r="AE74" i="14" s="1"/>
  <c r="Z74" i="14"/>
  <c r="Z37" i="14"/>
  <c r="X40" i="14"/>
  <c r="AC41" i="14"/>
  <c r="AC46" i="14"/>
  <c r="Z46" i="14"/>
  <c r="X49" i="14"/>
  <c r="AD49" i="14" s="1"/>
  <c r="AE49" i="14" s="1"/>
  <c r="AC55" i="14"/>
  <c r="Z55" i="14"/>
  <c r="Z69" i="14"/>
  <c r="AC73" i="14"/>
  <c r="AC78" i="14"/>
  <c r="Z78" i="14"/>
  <c r="X81" i="14"/>
  <c r="AD81" i="14" s="1"/>
  <c r="AE81" i="14" s="1"/>
  <c r="AC50" i="14"/>
  <c r="Z50" i="14"/>
  <c r="AC59" i="14"/>
  <c r="Z59" i="14"/>
  <c r="AC60" i="14"/>
  <c r="AC82" i="14"/>
  <c r="Z82" i="14"/>
  <c r="AC34" i="14"/>
  <c r="Z34" i="14"/>
  <c r="Z45" i="14"/>
  <c r="AC54" i="14"/>
  <c r="Z54" i="14"/>
  <c r="AC63" i="14"/>
  <c r="AD63" i="14" s="1"/>
  <c r="AE63" i="14" s="1"/>
  <c r="Z63" i="14"/>
  <c r="Z77" i="14"/>
  <c r="Z33" i="14"/>
  <c r="AC35" i="14"/>
  <c r="Z49" i="14"/>
  <c r="AC53" i="14"/>
  <c r="AC58" i="14"/>
  <c r="Z58" i="14"/>
  <c r="AC67" i="14"/>
  <c r="Z67" i="14"/>
  <c r="AC68" i="14"/>
  <c r="Z81" i="14"/>
  <c r="AC39" i="14"/>
  <c r="Z39" i="14"/>
  <c r="AC40" i="14"/>
  <c r="Z53" i="14"/>
  <c r="AD56" i="14"/>
  <c r="AE56" i="14" s="1"/>
  <c r="AC57" i="14"/>
  <c r="AC62" i="14"/>
  <c r="AD62" i="14" s="1"/>
  <c r="AE62" i="14" s="1"/>
  <c r="Z62" i="14"/>
  <c r="AC71" i="14"/>
  <c r="Z71" i="14"/>
  <c r="AC72" i="14"/>
  <c r="AC43" i="14"/>
  <c r="Z43" i="14"/>
  <c r="Z87" i="14" s="1"/>
  <c r="AC61" i="14"/>
  <c r="AC66" i="14"/>
  <c r="Z66" i="14"/>
  <c r="AC75" i="14"/>
  <c r="Z75" i="14"/>
  <c r="AD17" i="13"/>
  <c r="AE17" i="13" s="1"/>
  <c r="AD23" i="13"/>
  <c r="AE23" i="13" s="1"/>
  <c r="AD19" i="13"/>
  <c r="AE19" i="13" s="1"/>
  <c r="AD55" i="13"/>
  <c r="AE55" i="13" s="1"/>
  <c r="AD9" i="13"/>
  <c r="AE9" i="13" s="1"/>
  <c r="AD15" i="13"/>
  <c r="AE15" i="13" s="1"/>
  <c r="AC37" i="13"/>
  <c r="AD37" i="13" s="1"/>
  <c r="AE37" i="13" s="1"/>
  <c r="AC38" i="13"/>
  <c r="Z38" i="13"/>
  <c r="X48" i="13"/>
  <c r="AD48" i="13" s="1"/>
  <c r="AE48" i="13" s="1"/>
  <c r="AC53" i="13"/>
  <c r="AC54" i="13"/>
  <c r="Z54" i="13"/>
  <c r="X63" i="13"/>
  <c r="AC68" i="13"/>
  <c r="AD68" i="13" s="1"/>
  <c r="AE68" i="13" s="1"/>
  <c r="AC69" i="13"/>
  <c r="Z69" i="13"/>
  <c r="Z8" i="13"/>
  <c r="Z12" i="13"/>
  <c r="Z16" i="13"/>
  <c r="Z20" i="13"/>
  <c r="Z24" i="13"/>
  <c r="Z28" i="13"/>
  <c r="Z32" i="13"/>
  <c r="Z33" i="13"/>
  <c r="AC35" i="13"/>
  <c r="Z48" i="13"/>
  <c r="Z49" i="13"/>
  <c r="Z63" i="13"/>
  <c r="Z64" i="13"/>
  <c r="AC66" i="13"/>
  <c r="AD66" i="13" s="1"/>
  <c r="AE66" i="13" s="1"/>
  <c r="AC77" i="13"/>
  <c r="Z77" i="13"/>
  <c r="AC65" i="13"/>
  <c r="AD65" i="13" s="1"/>
  <c r="AE65" i="13" s="1"/>
  <c r="Z65" i="13"/>
  <c r="AC45" i="13"/>
  <c r="AD45" i="13" s="1"/>
  <c r="AE45" i="13" s="1"/>
  <c r="AC46" i="13"/>
  <c r="Z46" i="13"/>
  <c r="AC61" i="13"/>
  <c r="AC76" i="13"/>
  <c r="Z45" i="13"/>
  <c r="AC47" i="13"/>
  <c r="Z61" i="13"/>
  <c r="AC62" i="13"/>
  <c r="Z76" i="13"/>
  <c r="AC34" i="13"/>
  <c r="AD34" i="13" s="1"/>
  <c r="AE34" i="13" s="1"/>
  <c r="Z34" i="13"/>
  <c r="AD36" i="13"/>
  <c r="AE36" i="13" s="1"/>
  <c r="AC42" i="13"/>
  <c r="Z42" i="13"/>
  <c r="X52" i="13"/>
  <c r="AD52" i="13" s="1"/>
  <c r="AE52" i="13" s="1"/>
  <c r="AC58" i="13"/>
  <c r="AD58" i="13" s="1"/>
  <c r="AE58" i="13" s="1"/>
  <c r="Z58" i="13"/>
  <c r="X67" i="13"/>
  <c r="AD67" i="13" s="1"/>
  <c r="AE67" i="13" s="1"/>
  <c r="AC73" i="13"/>
  <c r="Z73" i="13"/>
  <c r="AD26" i="12"/>
  <c r="AE26" i="12" s="1"/>
  <c r="AD9" i="12"/>
  <c r="AE9" i="12" s="1"/>
  <c r="AD38" i="12"/>
  <c r="AE38" i="12" s="1"/>
  <c r="AD15" i="12"/>
  <c r="AE15" i="12" s="1"/>
  <c r="AD12" i="12"/>
  <c r="AE12" i="12" s="1"/>
  <c r="AD27" i="12"/>
  <c r="AE27" i="12" s="1"/>
  <c r="AD17" i="12"/>
  <c r="AE17" i="12" s="1"/>
  <c r="AD23" i="12"/>
  <c r="AE23" i="12" s="1"/>
  <c r="AD19" i="12"/>
  <c r="AE19" i="12" s="1"/>
  <c r="AC31" i="12"/>
  <c r="Z50" i="12"/>
  <c r="AC59" i="12"/>
  <c r="AD59" i="12" s="1"/>
  <c r="AE59" i="12" s="1"/>
  <c r="AC62" i="12"/>
  <c r="AC40" i="12"/>
  <c r="AC42" i="12"/>
  <c r="AC49" i="12"/>
  <c r="AD49" i="12" s="1"/>
  <c r="AE49" i="12" s="1"/>
  <c r="X56" i="12"/>
  <c r="AC60" i="12"/>
  <c r="Z34" i="12"/>
  <c r="Z73" i="12" s="1"/>
  <c r="Z44" i="12"/>
  <c r="Z54" i="12"/>
  <c r="Z65" i="12"/>
  <c r="Z35" i="12"/>
  <c r="AC43" i="12"/>
  <c r="AC46" i="12"/>
  <c r="Z66" i="12"/>
  <c r="AC55" i="12"/>
  <c r="AC58" i="12"/>
  <c r="AD58" i="12" s="1"/>
  <c r="AE58" i="12" s="1"/>
  <c r="Z39" i="12"/>
  <c r="AD23" i="11"/>
  <c r="AE23" i="11" s="1"/>
  <c r="AD41" i="11"/>
  <c r="AE41" i="11" s="1"/>
  <c r="AD21" i="11"/>
  <c r="AE21" i="11" s="1"/>
  <c r="AD25" i="11"/>
  <c r="AE25" i="11" s="1"/>
  <c r="AD29" i="11"/>
  <c r="AE29" i="11" s="1"/>
  <c r="Z10" i="11"/>
  <c r="AC10" i="11"/>
  <c r="X7" i="11"/>
  <c r="Z14" i="11"/>
  <c r="AC14" i="11"/>
  <c r="AD14" i="11" s="1"/>
  <c r="AE14" i="11" s="1"/>
  <c r="X11" i="11"/>
  <c r="AD11" i="11" s="1"/>
  <c r="AE11" i="11" s="1"/>
  <c r="Z30" i="11"/>
  <c r="AC38" i="11"/>
  <c r="Z38" i="11"/>
  <c r="Z18" i="11"/>
  <c r="Z7" i="11"/>
  <c r="Z11" i="11"/>
  <c r="Z15" i="11"/>
  <c r="Z58" i="11" s="1"/>
  <c r="Z19" i="11"/>
  <c r="AC22" i="11"/>
  <c r="Z23" i="11"/>
  <c r="AC26" i="11"/>
  <c r="AD26" i="11" s="1"/>
  <c r="AE26" i="11" s="1"/>
  <c r="Z27" i="11"/>
  <c r="Z31" i="11"/>
  <c r="Z36" i="11"/>
  <c r="Z37" i="11"/>
  <c r="AC39" i="11"/>
  <c r="AD39" i="11" s="1"/>
  <c r="AE39" i="11" s="1"/>
  <c r="AC40" i="11"/>
  <c r="Z52" i="11"/>
  <c r="Z53" i="11"/>
  <c r="AC33" i="11"/>
  <c r="AC34" i="11"/>
  <c r="Z34" i="11"/>
  <c r="AC49" i="11"/>
  <c r="AC50" i="11"/>
  <c r="Z50" i="11"/>
  <c r="Z41" i="11"/>
  <c r="Z8" i="11"/>
  <c r="Z12" i="11"/>
  <c r="Z16" i="11"/>
  <c r="Z20" i="11"/>
  <c r="Z24" i="11"/>
  <c r="Z28" i="11"/>
  <c r="Z32" i="11"/>
  <c r="Z33" i="11"/>
  <c r="AC35" i="11"/>
  <c r="Z48" i="11"/>
  <c r="Z49" i="11"/>
  <c r="AC51" i="11"/>
  <c r="AC45" i="11"/>
  <c r="AD45" i="11" s="1"/>
  <c r="AE45" i="11" s="1"/>
  <c r="AC46" i="11"/>
  <c r="Z46" i="11"/>
  <c r="AC42" i="11"/>
  <c r="Z42" i="11"/>
  <c r="Z45" i="11"/>
  <c r="AC47" i="11"/>
  <c r="AD47" i="11" s="1"/>
  <c r="AE47" i="11" s="1"/>
  <c r="AD10" i="10"/>
  <c r="AE10" i="10" s="1"/>
  <c r="AD19" i="10"/>
  <c r="AE19" i="10" s="1"/>
  <c r="AD7" i="10"/>
  <c r="AD14" i="10"/>
  <c r="AE14" i="10" s="1"/>
  <c r="AD16" i="10"/>
  <c r="AE16" i="10" s="1"/>
  <c r="AD21" i="10"/>
  <c r="AE21" i="10" s="1"/>
  <c r="AD23" i="10"/>
  <c r="AE23" i="10" s="1"/>
  <c r="AD30" i="10"/>
  <c r="AE30" i="10" s="1"/>
  <c r="AD51" i="10"/>
  <c r="AE51" i="10" s="1"/>
  <c r="AD32" i="10"/>
  <c r="AE32" i="10" s="1"/>
  <c r="AD41" i="10"/>
  <c r="AE41" i="10" s="1"/>
  <c r="AC47" i="10"/>
  <c r="AC63" i="10"/>
  <c r="Z10" i="10"/>
  <c r="Z14" i="10"/>
  <c r="Z18" i="10"/>
  <c r="Z22" i="10"/>
  <c r="Z26" i="10"/>
  <c r="Z30" i="10"/>
  <c r="Z40" i="10"/>
  <c r="Z41" i="10"/>
  <c r="Z56" i="10"/>
  <c r="Z57" i="10"/>
  <c r="AC38" i="10"/>
  <c r="Z38" i="10"/>
  <c r="AC54" i="10"/>
  <c r="AD54" i="10" s="1"/>
  <c r="AE54" i="10" s="1"/>
  <c r="Z54" i="10"/>
  <c r="AC42" i="10"/>
  <c r="Z42" i="10"/>
  <c r="Z7" i="10"/>
  <c r="Z11" i="10"/>
  <c r="Z15" i="10"/>
  <c r="Z73" i="10" s="1"/>
  <c r="Z19" i="10"/>
  <c r="Z23" i="10"/>
  <c r="Z27" i="10"/>
  <c r="Z37" i="10"/>
  <c r="AC39" i="10"/>
  <c r="Z53" i="10"/>
  <c r="AC55" i="10"/>
  <c r="AD55" i="10" s="1"/>
  <c r="AE55" i="10" s="1"/>
  <c r="AC33" i="10"/>
  <c r="AD33" i="10" s="1"/>
  <c r="AE33" i="10" s="1"/>
  <c r="AC34" i="10"/>
  <c r="Z34" i="10"/>
  <c r="AD44" i="10"/>
  <c r="AE44" i="10" s="1"/>
  <c r="AC49" i="10"/>
  <c r="AD49" i="10" s="1"/>
  <c r="AE49" i="10" s="1"/>
  <c r="AC50" i="10"/>
  <c r="AD50" i="10" s="1"/>
  <c r="AE50" i="10" s="1"/>
  <c r="Z50" i="10"/>
  <c r="AD60" i="10"/>
  <c r="AE60" i="10" s="1"/>
  <c r="AC65" i="10"/>
  <c r="AC66" i="10"/>
  <c r="Z66" i="10"/>
  <c r="AC58" i="10"/>
  <c r="Z58" i="10"/>
  <c r="AC45" i="10"/>
  <c r="AD45" i="10" s="1"/>
  <c r="AE45" i="10" s="1"/>
  <c r="AC46" i="10"/>
  <c r="Z46" i="10"/>
  <c r="AC61" i="10"/>
  <c r="AC62" i="10"/>
  <c r="Z62" i="10"/>
  <c r="AD7" i="9"/>
  <c r="AD16" i="9"/>
  <c r="AE16" i="9" s="1"/>
  <c r="AD13" i="9"/>
  <c r="AE13" i="9" s="1"/>
  <c r="AD18" i="9"/>
  <c r="AE18" i="9" s="1"/>
  <c r="AD20" i="9"/>
  <c r="AE20" i="9" s="1"/>
  <c r="AD23" i="9"/>
  <c r="AE23" i="9" s="1"/>
  <c r="AD31" i="9"/>
  <c r="AE31" i="9" s="1"/>
  <c r="AD25" i="9"/>
  <c r="AE25" i="9" s="1"/>
  <c r="AD12" i="9"/>
  <c r="AE12" i="9" s="1"/>
  <c r="AD15" i="9"/>
  <c r="AE15" i="9" s="1"/>
  <c r="AD30" i="9"/>
  <c r="AE30" i="9" s="1"/>
  <c r="AC47" i="9"/>
  <c r="AC63" i="9"/>
  <c r="Z41" i="9"/>
  <c r="Z56" i="9"/>
  <c r="Z8" i="9"/>
  <c r="Z12" i="9"/>
  <c r="Z16" i="9"/>
  <c r="Z20" i="9"/>
  <c r="Z24" i="9"/>
  <c r="Z28" i="9"/>
  <c r="Z32" i="9"/>
  <c r="AC54" i="9"/>
  <c r="AD54" i="9" s="1"/>
  <c r="AE54" i="9" s="1"/>
  <c r="Z54" i="9"/>
  <c r="AC70" i="9"/>
  <c r="Z70" i="9"/>
  <c r="Z33" i="9"/>
  <c r="Z53" i="9"/>
  <c r="AC55" i="9"/>
  <c r="AD55" i="9" s="1"/>
  <c r="AE55" i="9" s="1"/>
  <c r="Z69" i="9"/>
  <c r="AC71" i="9"/>
  <c r="AC42" i="9"/>
  <c r="Z42" i="9"/>
  <c r="Z57" i="9"/>
  <c r="X39" i="9"/>
  <c r="AD39" i="9" s="1"/>
  <c r="AE39" i="9" s="1"/>
  <c r="X44" i="9"/>
  <c r="AD44" i="9" s="1"/>
  <c r="AE44" i="9" s="1"/>
  <c r="AC49" i="9"/>
  <c r="AC50" i="9"/>
  <c r="Z50" i="9"/>
  <c r="AD60" i="9"/>
  <c r="AE60" i="9" s="1"/>
  <c r="AC65" i="9"/>
  <c r="AC66" i="9"/>
  <c r="Z66" i="9"/>
  <c r="AC58" i="9"/>
  <c r="AD58" i="9" s="1"/>
  <c r="AE58" i="9" s="1"/>
  <c r="Z58" i="9"/>
  <c r="Z37" i="9"/>
  <c r="AC45" i="9"/>
  <c r="AD45" i="9" s="1"/>
  <c r="AE45" i="9" s="1"/>
  <c r="AC46" i="9"/>
  <c r="Z46" i="9"/>
  <c r="AC61" i="9"/>
  <c r="AD61" i="9" s="1"/>
  <c r="AE61" i="9" s="1"/>
  <c r="AC62" i="9"/>
  <c r="AD62" i="9" s="1"/>
  <c r="AE62" i="9" s="1"/>
  <c r="Z62" i="9"/>
  <c r="AD9" i="8"/>
  <c r="AE9" i="8" s="1"/>
  <c r="AD21" i="8"/>
  <c r="AE21" i="8" s="1"/>
  <c r="AD17" i="8"/>
  <c r="AE17" i="8" s="1"/>
  <c r="AD47" i="8"/>
  <c r="AE47" i="8" s="1"/>
  <c r="Z10" i="8"/>
  <c r="Z14" i="8"/>
  <c r="Z18" i="8"/>
  <c r="Z22" i="8"/>
  <c r="Z26" i="8"/>
  <c r="Z30" i="8"/>
  <c r="Z40" i="8"/>
  <c r="Z41" i="8"/>
  <c r="AC43" i="8"/>
  <c r="Z56" i="8"/>
  <c r="Z57" i="8"/>
  <c r="AC59" i="8"/>
  <c r="AC38" i="8"/>
  <c r="Z38" i="8"/>
  <c r="AC54" i="8"/>
  <c r="AD54" i="8" s="1"/>
  <c r="AE54" i="8" s="1"/>
  <c r="Z54" i="8"/>
  <c r="AC63" i="8"/>
  <c r="AC42" i="8"/>
  <c r="Z42" i="8"/>
  <c r="Z7" i="8"/>
  <c r="Z11" i="8"/>
  <c r="Z15" i="8"/>
  <c r="Z37" i="8"/>
  <c r="AC39" i="8"/>
  <c r="Z53" i="8"/>
  <c r="AC55" i="8"/>
  <c r="AD55" i="8" s="1"/>
  <c r="AE55" i="8" s="1"/>
  <c r="AC58" i="8"/>
  <c r="Z58" i="8"/>
  <c r="AC33" i="8"/>
  <c r="AC34" i="8"/>
  <c r="AD34" i="8" s="1"/>
  <c r="AE34" i="8" s="1"/>
  <c r="Z34" i="8"/>
  <c r="AD44" i="8"/>
  <c r="AE44" i="8" s="1"/>
  <c r="AC49" i="8"/>
  <c r="AC50" i="8"/>
  <c r="Z50" i="8"/>
  <c r="X60" i="8"/>
  <c r="AD60" i="8" s="1"/>
  <c r="AE60" i="8" s="1"/>
  <c r="X43" i="8"/>
  <c r="X59" i="8"/>
  <c r="AD40" i="8"/>
  <c r="AE40" i="8" s="1"/>
  <c r="AC45" i="8"/>
  <c r="AD45" i="8" s="1"/>
  <c r="AE45" i="8" s="1"/>
  <c r="AC46" i="8"/>
  <c r="AD46" i="8" s="1"/>
  <c r="AE46" i="8" s="1"/>
  <c r="Z46" i="8"/>
  <c r="AD56" i="8"/>
  <c r="AE56" i="8" s="1"/>
  <c r="AC61" i="8"/>
  <c r="AC62" i="8"/>
  <c r="Z62" i="8"/>
  <c r="AD32" i="7"/>
  <c r="AE32" i="7" s="1"/>
  <c r="AD48" i="7"/>
  <c r="AE48" i="7" s="1"/>
  <c r="AD36" i="7"/>
  <c r="AE36" i="7" s="1"/>
  <c r="AD19" i="7"/>
  <c r="AE19" i="7" s="1"/>
  <c r="AD30" i="7"/>
  <c r="AE30" i="7" s="1"/>
  <c r="AD33" i="7"/>
  <c r="AE33" i="7" s="1"/>
  <c r="AD42" i="7"/>
  <c r="AE42" i="7" s="1"/>
  <c r="AD49" i="7"/>
  <c r="AE49" i="7" s="1"/>
  <c r="AD35" i="7"/>
  <c r="AE35" i="7" s="1"/>
  <c r="AC37" i="7"/>
  <c r="AD37" i="7" s="1"/>
  <c r="AE37" i="7" s="1"/>
  <c r="Z37" i="7"/>
  <c r="Z49" i="7"/>
  <c r="Z53" i="7"/>
  <c r="Z57" i="7"/>
  <c r="Z61" i="7"/>
  <c r="Z9" i="7"/>
  <c r="Z13" i="7"/>
  <c r="Z17" i="7"/>
  <c r="Z21" i="7"/>
  <c r="Z25" i="7"/>
  <c r="Z29" i="7"/>
  <c r="Z33" i="7"/>
  <c r="Z41" i="7"/>
  <c r="Z45" i="7"/>
  <c r="Z35" i="7"/>
  <c r="Z39" i="7"/>
  <c r="Z43" i="7"/>
  <c r="Z47" i="7"/>
  <c r="Z51" i="7"/>
  <c r="Z59" i="7"/>
  <c r="AC7" i="6"/>
  <c r="Z8" i="6"/>
  <c r="AC10" i="6"/>
  <c r="AC9" i="6"/>
  <c r="AC24" i="6"/>
  <c r="X21" i="6"/>
  <c r="X49" i="6"/>
  <c r="AC30" i="6"/>
  <c r="AC43" i="6"/>
  <c r="X39" i="6"/>
  <c r="X51" i="6"/>
  <c r="AC39" i="6"/>
  <c r="AC26" i="6"/>
  <c r="AC15" i="6"/>
  <c r="AC16" i="6"/>
  <c r="AC35" i="6"/>
  <c r="X17" i="6"/>
  <c r="X41" i="6"/>
  <c r="X36" i="6"/>
  <c r="X44" i="6"/>
  <c r="X34" i="6"/>
  <c r="AC23" i="6"/>
  <c r="AC51" i="6"/>
  <c r="AC46" i="6"/>
  <c r="AC14" i="6"/>
  <c r="X28" i="6"/>
  <c r="AC32" i="6"/>
  <c r="X53" i="6"/>
  <c r="AC40" i="6"/>
  <c r="X37" i="6"/>
  <c r="AC31" i="6"/>
  <c r="X20" i="6"/>
  <c r="AC50" i="6"/>
  <c r="AC19" i="6"/>
  <c r="Z32" i="6"/>
  <c r="Z19" i="6"/>
  <c r="Z16" i="6"/>
  <c r="AC11" i="6"/>
  <c r="X52" i="6"/>
  <c r="X38" i="6"/>
  <c r="AC36" i="6"/>
  <c r="X35" i="6"/>
  <c r="X32" i="6"/>
  <c r="AC20" i="6"/>
  <c r="AC47" i="6"/>
  <c r="AC27" i="6"/>
  <c r="Z40" i="6"/>
  <c r="AC34" i="6"/>
  <c r="Z24" i="6"/>
  <c r="AC18" i="6"/>
  <c r="AC38" i="6"/>
  <c r="X43" i="6"/>
  <c r="X30" i="6"/>
  <c r="AC22" i="6"/>
  <c r="AC42" i="6"/>
  <c r="X40" i="6"/>
  <c r="AC28" i="6"/>
  <c r="X11" i="6"/>
  <c r="AC52" i="6"/>
  <c r="X50" i="6"/>
  <c r="Z53" i="6"/>
  <c r="AC53" i="6"/>
  <c r="AC48" i="6"/>
  <c r="X42" i="6"/>
  <c r="Z49" i="6"/>
  <c r="AC49" i="6"/>
  <c r="AC44" i="6"/>
  <c r="Z45" i="6"/>
  <c r="AC45" i="6"/>
  <c r="AC41" i="6"/>
  <c r="AC37" i="6"/>
  <c r="AC33" i="6"/>
  <c r="AC29" i="6"/>
  <c r="AC25" i="6"/>
  <c r="AC21" i="6"/>
  <c r="AC17" i="6"/>
  <c r="AC13" i="6"/>
  <c r="AJ55" i="6"/>
  <c r="AI55" i="6"/>
  <c r="AH55" i="6"/>
  <c r="AG55" i="6"/>
  <c r="AF55" i="6"/>
  <c r="AD57" i="8" l="1"/>
  <c r="AE57" i="8" s="1"/>
  <c r="AD32" i="8"/>
  <c r="AE32" i="8" s="1"/>
  <c r="AD27" i="7"/>
  <c r="AE27" i="7" s="1"/>
  <c r="AD12" i="6"/>
  <c r="AE12" i="6" s="1"/>
  <c r="AD7" i="15"/>
  <c r="AD68" i="12"/>
  <c r="AE68" i="12" s="1"/>
  <c r="AD11" i="8"/>
  <c r="AE11" i="8" s="1"/>
  <c r="AD28" i="11"/>
  <c r="AE28" i="11" s="1"/>
  <c r="AD43" i="11"/>
  <c r="AE43" i="11" s="1"/>
  <c r="AD53" i="11"/>
  <c r="AE53" i="11" s="1"/>
  <c r="AD7" i="11"/>
  <c r="AE7" i="11" s="1"/>
  <c r="AD7" i="7"/>
  <c r="AE7" i="7" s="1"/>
  <c r="AD67" i="12"/>
  <c r="AE67" i="12" s="1"/>
  <c r="AD37" i="9"/>
  <c r="AE37" i="9" s="1"/>
  <c r="AD10" i="15"/>
  <c r="AE10" i="15" s="1"/>
  <c r="AC63" i="7"/>
  <c r="AD33" i="8"/>
  <c r="AE33" i="8" s="1"/>
  <c r="AD47" i="10"/>
  <c r="AE47" i="10" s="1"/>
  <c r="AD60" i="14"/>
  <c r="AE60" i="14" s="1"/>
  <c r="AD34" i="14"/>
  <c r="AE34" i="14" s="1"/>
  <c r="AD50" i="8"/>
  <c r="AE50" i="8" s="1"/>
  <c r="AD47" i="9"/>
  <c r="AE47" i="9" s="1"/>
  <c r="AD55" i="12"/>
  <c r="AE55" i="12" s="1"/>
  <c r="AD47" i="14"/>
  <c r="AE47" i="14" s="1"/>
  <c r="AD38" i="14"/>
  <c r="AE38" i="14" s="1"/>
  <c r="AD39" i="8"/>
  <c r="AE39" i="8" s="1"/>
  <c r="AD53" i="14"/>
  <c r="AE53" i="14" s="1"/>
  <c r="AD42" i="12"/>
  <c r="AE42" i="12" s="1"/>
  <c r="AD62" i="12"/>
  <c r="AE62" i="12" s="1"/>
  <c r="AD62" i="10"/>
  <c r="AE62" i="10" s="1"/>
  <c r="AD46" i="12"/>
  <c r="AE46" i="12" s="1"/>
  <c r="AD76" i="13"/>
  <c r="AE76" i="13" s="1"/>
  <c r="AD78" i="14"/>
  <c r="AE78" i="14" s="1"/>
  <c r="AD65" i="10"/>
  <c r="AE65" i="10" s="1"/>
  <c r="AD46" i="13"/>
  <c r="AE46" i="13" s="1"/>
  <c r="AD34" i="11"/>
  <c r="AE34" i="11" s="1"/>
  <c r="AD82" i="14"/>
  <c r="AE82" i="14" s="1"/>
  <c r="AD42" i="11"/>
  <c r="AE42" i="11" s="1"/>
  <c r="AD61" i="14"/>
  <c r="AE61" i="14" s="1"/>
  <c r="AD31" i="12"/>
  <c r="AE31" i="12" s="1"/>
  <c r="AD65" i="9"/>
  <c r="AE65" i="9" s="1"/>
  <c r="AD9" i="6"/>
  <c r="AE9" i="6" s="1"/>
  <c r="AD50" i="9"/>
  <c r="AE50" i="9" s="1"/>
  <c r="AD67" i="9"/>
  <c r="AE67" i="9" s="1"/>
  <c r="AD44" i="12"/>
  <c r="AE44" i="12" s="1"/>
  <c r="AD49" i="13"/>
  <c r="AE49" i="13" s="1"/>
  <c r="Z62" i="15"/>
  <c r="AD46" i="15"/>
  <c r="AE46" i="15" s="1"/>
  <c r="AD26" i="15"/>
  <c r="AE26" i="15" s="1"/>
  <c r="AD53" i="15"/>
  <c r="AE53" i="15" s="1"/>
  <c r="AD57" i="15"/>
  <c r="AE57" i="15" s="1"/>
  <c r="AD47" i="15"/>
  <c r="AE47" i="15" s="1"/>
  <c r="AD23" i="15"/>
  <c r="AE23" i="15" s="1"/>
  <c r="AD43" i="15"/>
  <c r="AE43" i="15" s="1"/>
  <c r="AD38" i="15"/>
  <c r="AE38" i="15" s="1"/>
  <c r="AD21" i="15"/>
  <c r="AE21" i="15" s="1"/>
  <c r="AD54" i="15"/>
  <c r="AE54" i="15" s="1"/>
  <c r="Z82" i="13"/>
  <c r="AD76" i="14"/>
  <c r="AE76" i="14" s="1"/>
  <c r="AD79" i="14"/>
  <c r="AE79" i="14" s="1"/>
  <c r="Z84" i="14"/>
  <c r="AD46" i="14"/>
  <c r="AE46" i="14" s="1"/>
  <c r="AD41" i="13"/>
  <c r="AE41" i="13" s="1"/>
  <c r="AD53" i="13"/>
  <c r="AE53" i="13" s="1"/>
  <c r="AD47" i="13"/>
  <c r="AE47" i="13" s="1"/>
  <c r="AD70" i="13"/>
  <c r="AE70" i="13" s="1"/>
  <c r="AD74" i="13"/>
  <c r="AE74" i="13" s="1"/>
  <c r="AD71" i="13"/>
  <c r="AE71" i="13" s="1"/>
  <c r="AD63" i="13"/>
  <c r="AE63" i="13" s="1"/>
  <c r="AD75" i="13"/>
  <c r="AE75" i="13" s="1"/>
  <c r="Z79" i="13"/>
  <c r="AD70" i="9"/>
  <c r="AE70" i="9" s="1"/>
  <c r="AD46" i="9"/>
  <c r="AE46" i="9" s="1"/>
  <c r="AD40" i="14"/>
  <c r="AE40" i="14" s="1"/>
  <c r="AD48" i="9"/>
  <c r="AE48" i="9" s="1"/>
  <c r="AD10" i="6"/>
  <c r="AE10" i="6" s="1"/>
  <c r="AD61" i="8"/>
  <c r="AE61" i="8" s="1"/>
  <c r="AD61" i="10"/>
  <c r="AE61" i="10" s="1"/>
  <c r="AD39" i="14"/>
  <c r="AE39" i="14" s="1"/>
  <c r="AD69" i="9"/>
  <c r="AE69" i="9" s="1"/>
  <c r="AD32" i="12"/>
  <c r="AE32" i="12" s="1"/>
  <c r="AD11" i="12"/>
  <c r="AE11" i="12" s="1"/>
  <c r="AD64" i="12"/>
  <c r="AE64" i="12" s="1"/>
  <c r="AD61" i="12"/>
  <c r="AE61" i="12" s="1"/>
  <c r="AD30" i="12"/>
  <c r="AE30" i="12" s="1"/>
  <c r="AD60" i="12"/>
  <c r="AE60" i="12" s="1"/>
  <c r="AD37" i="12"/>
  <c r="AE37" i="12" s="1"/>
  <c r="AD40" i="12"/>
  <c r="AE40" i="12" s="1"/>
  <c r="AD51" i="12"/>
  <c r="AE51" i="12" s="1"/>
  <c r="AD45" i="12"/>
  <c r="AE45" i="12" s="1"/>
  <c r="AD53" i="12"/>
  <c r="AE53" i="12" s="1"/>
  <c r="AD57" i="12"/>
  <c r="AE57" i="12" s="1"/>
  <c r="AD10" i="12"/>
  <c r="AE10" i="12" s="1"/>
  <c r="AD52" i="12"/>
  <c r="AE52" i="12" s="1"/>
  <c r="AD47" i="12"/>
  <c r="AE47" i="12" s="1"/>
  <c r="AD54" i="12"/>
  <c r="AE54" i="12" s="1"/>
  <c r="AD56" i="12"/>
  <c r="AE56" i="12" s="1"/>
  <c r="Z70" i="12"/>
  <c r="AD50" i="11"/>
  <c r="AE50" i="11" s="1"/>
  <c r="AD66" i="10"/>
  <c r="AE66" i="10" s="1"/>
  <c r="Z70" i="10"/>
  <c r="AD66" i="9"/>
  <c r="AE66" i="9" s="1"/>
  <c r="AD42" i="9"/>
  <c r="AE42" i="9" s="1"/>
  <c r="AD68" i="9"/>
  <c r="AE68" i="9" s="1"/>
  <c r="AD64" i="9"/>
  <c r="AE64" i="9" s="1"/>
  <c r="AD41" i="9"/>
  <c r="AE41" i="9" s="1"/>
  <c r="AD49" i="9"/>
  <c r="AE49" i="9" s="1"/>
  <c r="AD63" i="9"/>
  <c r="AE63" i="9" s="1"/>
  <c r="AD53" i="9"/>
  <c r="AE53" i="9" s="1"/>
  <c r="Z73" i="9"/>
  <c r="Z68" i="8"/>
  <c r="AD62" i="8"/>
  <c r="AE62" i="8" s="1"/>
  <c r="AD38" i="8"/>
  <c r="AE38" i="8" s="1"/>
  <c r="AD42" i="8"/>
  <c r="AE42" i="8" s="1"/>
  <c r="AD58" i="8"/>
  <c r="AE58" i="8" s="1"/>
  <c r="AD49" i="8"/>
  <c r="AE49" i="8" s="1"/>
  <c r="Z66" i="7"/>
  <c r="AD52" i="7"/>
  <c r="AE52" i="7" s="1"/>
  <c r="AD10" i="11"/>
  <c r="AE10" i="11" s="1"/>
  <c r="AD57" i="14"/>
  <c r="AE57" i="14" s="1"/>
  <c r="AD66" i="14"/>
  <c r="AE66" i="14" s="1"/>
  <c r="AD49" i="15"/>
  <c r="AE49" i="15" s="1"/>
  <c r="AD69" i="13"/>
  <c r="AE69" i="13" s="1"/>
  <c r="AD51" i="14"/>
  <c r="AE51" i="14" s="1"/>
  <c r="AD7" i="6"/>
  <c r="AE7" i="6" s="1"/>
  <c r="AD62" i="13"/>
  <c r="AE62" i="13" s="1"/>
  <c r="AD35" i="14"/>
  <c r="AE35" i="14" s="1"/>
  <c r="AD49" i="11"/>
  <c r="AE49" i="11" s="1"/>
  <c r="AD55" i="14"/>
  <c r="AE55" i="14" s="1"/>
  <c r="AD67" i="14"/>
  <c r="AE67" i="14" s="1"/>
  <c r="AD71" i="9"/>
  <c r="AE71" i="9" s="1"/>
  <c r="AD34" i="10"/>
  <c r="AE34" i="10" s="1"/>
  <c r="AD51" i="11"/>
  <c r="AE51" i="11" s="1"/>
  <c r="AD75" i="14"/>
  <c r="AE75" i="14" s="1"/>
  <c r="AD54" i="14"/>
  <c r="AE54" i="14" s="1"/>
  <c r="AD38" i="13"/>
  <c r="AE38" i="13" s="1"/>
  <c r="AD59" i="14"/>
  <c r="AE59" i="14" s="1"/>
  <c r="AD33" i="11"/>
  <c r="AE33" i="11" s="1"/>
  <c r="AD43" i="12"/>
  <c r="AE43" i="12" s="1"/>
  <c r="AD61" i="13"/>
  <c r="AE61" i="13" s="1"/>
  <c r="AD39" i="10"/>
  <c r="AE39" i="10" s="1"/>
  <c r="AD38" i="10"/>
  <c r="AE38" i="10" s="1"/>
  <c r="AD22" i="11"/>
  <c r="AE22" i="11" s="1"/>
  <c r="AD54" i="13"/>
  <c r="AE54" i="13" s="1"/>
  <c r="AD68" i="14"/>
  <c r="AE68" i="14" s="1"/>
  <c r="AD35" i="11"/>
  <c r="AE35" i="11" s="1"/>
  <c r="AD40" i="11"/>
  <c r="AE40" i="11" s="1"/>
  <c r="AD50" i="14"/>
  <c r="AE50" i="14" s="1"/>
  <c r="AD73" i="13"/>
  <c r="AE73" i="13" s="1"/>
  <c r="AD35" i="13"/>
  <c r="AE35" i="13" s="1"/>
  <c r="Z63" i="7"/>
  <c r="AD38" i="11"/>
  <c r="AE38" i="11" s="1"/>
  <c r="AD58" i="10"/>
  <c r="AE58" i="10" s="1"/>
  <c r="AD46" i="11"/>
  <c r="AE46" i="11" s="1"/>
  <c r="AD59" i="8"/>
  <c r="AE59" i="8" s="1"/>
  <c r="AD77" i="13"/>
  <c r="AE77" i="13" s="1"/>
  <c r="AD43" i="14"/>
  <c r="AE43" i="14" s="1"/>
  <c r="AD72" i="14"/>
  <c r="AE72" i="14" s="1"/>
  <c r="AD46" i="10"/>
  <c r="AE46" i="10" s="1"/>
  <c r="AD42" i="10"/>
  <c r="AE42" i="10" s="1"/>
  <c r="AD63" i="10"/>
  <c r="AE63" i="10" s="1"/>
  <c r="AD71" i="14"/>
  <c r="AE71" i="14" s="1"/>
  <c r="AD63" i="8"/>
  <c r="AE63" i="8" s="1"/>
  <c r="AD42" i="13"/>
  <c r="AE42" i="13" s="1"/>
  <c r="AD58" i="14"/>
  <c r="AE58" i="14" s="1"/>
  <c r="AE7" i="15"/>
  <c r="Z59" i="15"/>
  <c r="AC59" i="15"/>
  <c r="AC84" i="14"/>
  <c r="AE7" i="14"/>
  <c r="AD73" i="14"/>
  <c r="AE73" i="14" s="1"/>
  <c r="AD41" i="14"/>
  <c r="AE41" i="14" s="1"/>
  <c r="AD65" i="14"/>
  <c r="AE65" i="14" s="1"/>
  <c r="AE7" i="13"/>
  <c r="AC79" i="13"/>
  <c r="AC70" i="12"/>
  <c r="AE7" i="12"/>
  <c r="Z55" i="11"/>
  <c r="AC55" i="11"/>
  <c r="AE7" i="10"/>
  <c r="AC70" i="10"/>
  <c r="AE7" i="9"/>
  <c r="AC73" i="9"/>
  <c r="AC65" i="8"/>
  <c r="Z65" i="8"/>
  <c r="AD43" i="8"/>
  <c r="AE43" i="8" s="1"/>
  <c r="AE7" i="8"/>
  <c r="AD49" i="6"/>
  <c r="AE49" i="6" s="1"/>
  <c r="AD16" i="6"/>
  <c r="AE16" i="6" s="1"/>
  <c r="AD45" i="6"/>
  <c r="AE45" i="6" s="1"/>
  <c r="AD21" i="6"/>
  <c r="AE21" i="6" s="1"/>
  <c r="AD40" i="6"/>
  <c r="AE40" i="6" s="1"/>
  <c r="AD24" i="6"/>
  <c r="AE24" i="6" s="1"/>
  <c r="AD22" i="6"/>
  <c r="AE22" i="6" s="1"/>
  <c r="AD26" i="6"/>
  <c r="AE26" i="6" s="1"/>
  <c r="AD41" i="6"/>
  <c r="AE41" i="6" s="1"/>
  <c r="AD46" i="6"/>
  <c r="AE46" i="6" s="1"/>
  <c r="AD33" i="6"/>
  <c r="AE33" i="6" s="1"/>
  <c r="AD43" i="6"/>
  <c r="AE43" i="6" s="1"/>
  <c r="AD39" i="6"/>
  <c r="AE39" i="6" s="1"/>
  <c r="AD31" i="6"/>
  <c r="AE31" i="6" s="1"/>
  <c r="AD23" i="6"/>
  <c r="AE23" i="6" s="1"/>
  <c r="AD27" i="6"/>
  <c r="AE27" i="6" s="1"/>
  <c r="AD30" i="6"/>
  <c r="AE30" i="6" s="1"/>
  <c r="AD32" i="6"/>
  <c r="AE32" i="6" s="1"/>
  <c r="AD28" i="6"/>
  <c r="AE28" i="6" s="1"/>
  <c r="AD51" i="6"/>
  <c r="AE51" i="6" s="1"/>
  <c r="AD35" i="6"/>
  <c r="AE35" i="6" s="1"/>
  <c r="AD20" i="6"/>
  <c r="AE20" i="6" s="1"/>
  <c r="AD17" i="6"/>
  <c r="AE17" i="6" s="1"/>
  <c r="AD11" i="6"/>
  <c r="AE11" i="6" s="1"/>
  <c r="AD14" i="6"/>
  <c r="AE14" i="6" s="1"/>
  <c r="AD42" i="6"/>
  <c r="AE42" i="6" s="1"/>
  <c r="AD50" i="6"/>
  <c r="AE50" i="6" s="1"/>
  <c r="AD18" i="6"/>
  <c r="AE18" i="6" s="1"/>
  <c r="AD36" i="6"/>
  <c r="AE36" i="6" s="1"/>
  <c r="AD53" i="6"/>
  <c r="AE53" i="6" s="1"/>
  <c r="AD15" i="6"/>
  <c r="AE15" i="6" s="1"/>
  <c r="AD25" i="6"/>
  <c r="AE25" i="6" s="1"/>
  <c r="AD38" i="6"/>
  <c r="AE38" i="6" s="1"/>
  <c r="AD34" i="6"/>
  <c r="AE34" i="6" s="1"/>
  <c r="AD37" i="6"/>
  <c r="AE37" i="6" s="1"/>
  <c r="AD52" i="6"/>
  <c r="AE52" i="6" s="1"/>
  <c r="AD48" i="6"/>
  <c r="AE48" i="6" s="1"/>
  <c r="AD44" i="6"/>
  <c r="AE44" i="6" s="1"/>
  <c r="AD47" i="6"/>
  <c r="AE47" i="6" s="1"/>
  <c r="AD19" i="6"/>
  <c r="AE19" i="6" s="1"/>
  <c r="AD29" i="6"/>
  <c r="AE29" i="6" s="1"/>
  <c r="AD13" i="6"/>
  <c r="AE13" i="6" s="1"/>
  <c r="AD63" i="7" l="1"/>
  <c r="AE63" i="7" s="1"/>
  <c r="AD70" i="12"/>
  <c r="AE70" i="12" s="1"/>
  <c r="AD59" i="15"/>
  <c r="AE59" i="15" s="1"/>
  <c r="AD73" i="9"/>
  <c r="AE73" i="9" s="1"/>
  <c r="AD79" i="13"/>
  <c r="AE79" i="13" s="1"/>
  <c r="AD65" i="8"/>
  <c r="AE65" i="8" s="1"/>
  <c r="AD70" i="10"/>
  <c r="AE70" i="10" s="1"/>
  <c r="AD55" i="11"/>
  <c r="AE55" i="11" s="1"/>
  <c r="AD84" i="14"/>
  <c r="AE84" i="14" s="1"/>
  <c r="AC55" i="6"/>
  <c r="Z55" i="6"/>
  <c r="AD55" i="6" l="1"/>
  <c r="AE55" i="6" s="1"/>
</calcChain>
</file>

<file path=xl/sharedStrings.xml><?xml version="1.0" encoding="utf-8"?>
<sst xmlns="http://schemas.openxmlformats.org/spreadsheetml/2006/main" count="6759" uniqueCount="347">
  <si>
    <t>Supplier</t>
  </si>
  <si>
    <t>URL</t>
  </si>
  <si>
    <t>Net P</t>
  </si>
  <si>
    <t>X-rate</t>
  </si>
  <si>
    <t>Net P NOK</t>
  </si>
  <si>
    <t>Type</t>
  </si>
  <si>
    <t>To date</t>
  </si>
  <si>
    <t>Supp curr</t>
  </si>
  <si>
    <t>NOK</t>
  </si>
  <si>
    <t>Sales curr</t>
  </si>
  <si>
    <t>EUR</t>
  </si>
  <si>
    <t>Sales P NOK tot</t>
  </si>
  <si>
    <t>GP NOK</t>
  </si>
  <si>
    <t>GP %</t>
  </si>
  <si>
    <t>Units</t>
  </si>
  <si>
    <t>SEK</t>
  </si>
  <si>
    <t>DKK</t>
  </si>
  <si>
    <t>ISK</t>
  </si>
  <si>
    <t>Totals</t>
  </si>
  <si>
    <t>ID</t>
  </si>
  <si>
    <t>Price</t>
  </si>
  <si>
    <t>Status</t>
  </si>
  <si>
    <t>Supp Comm</t>
  </si>
  <si>
    <t>From date</t>
  </si>
  <si>
    <t>From time</t>
  </si>
  <si>
    <t>To time</t>
  </si>
  <si>
    <t>VAT25</t>
  </si>
  <si>
    <t>VAT15</t>
  </si>
  <si>
    <t>VAT0-D</t>
  </si>
  <si>
    <t>VAT0-I</t>
  </si>
  <si>
    <t>VAT12</t>
  </si>
  <si>
    <t>USD</t>
  </si>
  <si>
    <t xml:space="preserve"> </t>
  </si>
  <si>
    <t>Comments</t>
  </si>
  <si>
    <t>Travel element</t>
  </si>
  <si>
    <t>Day</t>
  </si>
  <si>
    <t>Manual booking?</t>
  </si>
  <si>
    <t>Non-refundable</t>
  </si>
  <si>
    <t>Refundable</t>
  </si>
  <si>
    <t>Gross P</t>
  </si>
  <si>
    <t>Gross P per unit</t>
  </si>
  <si>
    <t>Sales P per unit</t>
  </si>
  <si>
    <t>x</t>
  </si>
  <si>
    <t>PP</t>
  </si>
  <si>
    <t>Ref</t>
  </si>
  <si>
    <t>NoRef</t>
  </si>
  <si>
    <t>Deposit</t>
  </si>
  <si>
    <t>Rest</t>
  </si>
  <si>
    <t>Arrival</t>
  </si>
  <si>
    <t>Oslo: Welcome to Norway</t>
  </si>
  <si>
    <t>Transfer</t>
  </si>
  <si>
    <t>Oslo: Self transfer to your accommodation</t>
  </si>
  <si>
    <t>Hotel</t>
  </si>
  <si>
    <t>Leisure</t>
  </si>
  <si>
    <t>Oslo: Spend time at leisure</t>
  </si>
  <si>
    <t>Day 1</t>
  </si>
  <si>
    <t>Pax: 2</t>
  </si>
  <si>
    <t>Rooming: Double</t>
  </si>
  <si>
    <t>Places: Oslo 1N - Bergen 2N - Tromsø 2N</t>
  </si>
  <si>
    <t>Places: Oslo 1N - Flåm 1N - Bergen 2N - Tromsø 3N</t>
  </si>
  <si>
    <t xml:space="preserve">Places: Oslo 1N - Bergen 2N - Tromsø 2N - Lyngen 1N - Tromsø 1N </t>
  </si>
  <si>
    <t xml:space="preserve">Places: Oslo 1N - Bergen 2N - Bodø 2N - Svolvær 2N - Nusfjord 1N - Reine 1N - Oslo 1N </t>
  </si>
  <si>
    <t xml:space="preserve">Places: Oslo 1N - Bodø 3N - Tromsø 2N </t>
  </si>
  <si>
    <t>Day 2</t>
  </si>
  <si>
    <t>Oslo: Self transfer to Oslo Central Station</t>
  </si>
  <si>
    <t>https://www.vy.no/#reisesok</t>
  </si>
  <si>
    <t>Train</t>
  </si>
  <si>
    <t>Bergen: Self transfer to your accommodation</t>
  </si>
  <si>
    <t>Bergen: Spend time at leisure</t>
  </si>
  <si>
    <t>Day 3</t>
  </si>
  <si>
    <t>Oslo: Check in to your accommodation for a 1 night stay - Centrally located 3/4-star hotel - Standard Room - Breakfast included</t>
  </si>
  <si>
    <t>Bergen: Check in to your accommodation for a 2 night stay - Centrally located 3/4-star hotel - Standard Room - Breakfast included</t>
  </si>
  <si>
    <t>Oslo: Scenic Long Distance Train transfer to Bergen - Time: 08:25 am - 3:00 pm - Includes: Tickets</t>
  </si>
  <si>
    <t>Activity</t>
  </si>
  <si>
    <t>Bergen: 2 hr walk Through Bergen Past &amp; Present - Time: 10:00 am - 12:00 pm - Meeting point: Bradbenken 1 - Includes: Profesional Guide</t>
  </si>
  <si>
    <t>https://www.ilovebergen.net/tour/a-walk-through-bergen-past-present/</t>
  </si>
  <si>
    <t>Bergen: Fløibanen Funicual - Time: Flexible - Meeting point: Vetrlidsallmenningen 23A - Includes: Tickets</t>
  </si>
  <si>
    <t>https://www.floyen.no/en/floibanen/buy-tickets/</t>
  </si>
  <si>
    <t>Day 4</t>
  </si>
  <si>
    <t>Flight</t>
  </si>
  <si>
    <t>Day 5</t>
  </si>
  <si>
    <t>Day 6</t>
  </si>
  <si>
    <t>Departure</t>
  </si>
  <si>
    <t>Bergen: Self transfer to Bergen Airport</t>
  </si>
  <si>
    <t>Tromsø: Self transfer to your accommodation</t>
  </si>
  <si>
    <t>Tromsø: Spend time at leisure</t>
  </si>
  <si>
    <t>Tromsø: Check in to your accommodation for a 2 night stay - Centrally located 3/4-star hotel - Standard Room - Breakfast included</t>
  </si>
  <si>
    <t>Tromsø: Northern Lights Cruise with Silent Electric Ship - Time: 7:00 pm - 10:00 pm - Meeting point: Kaigata 6 - Includes: Departure from central Tromsø, 3-hour fjord cruise, Light meal (soup and bread) and water, English speaking guides, Warm indoor saloons, Free wifi, Toilets</t>
  </si>
  <si>
    <t>https://booknordics.com/norway/northern-norway/tromso-region/northern-lights-cruise-electric-ship</t>
  </si>
  <si>
    <t>Tromsø: Reindeer Feeding and Sámi Culture - Time: 09:45 am - 2:30 pm - Meeting point: Radisson Blu Hotel's main entrance (Sjøgata 7) - Includes: Scenic transfers (45 min each way), Knowledgeable English and Norwegian speaking guide, Feeding the herd at our camp, Hot beverages and hot meal (traditional Sámi stew or vegetable/lentil soup), Cultural introduction about Sámi history and daily life, A chance to see the northern lights from our camp, Thermal suit and warm snow boots</t>
  </si>
  <si>
    <t>https://www.tromsolapland.no/activities/reindeer-feeding-and-sami-culture</t>
  </si>
  <si>
    <t>Tromsø: Self transfer to Tromsø Airport</t>
  </si>
  <si>
    <t>Tromsø: Departure home</t>
  </si>
  <si>
    <t>Transfer Package</t>
  </si>
  <si>
    <t>Activity Upgrade</t>
  </si>
  <si>
    <t>Oslo: Private transfer to your accommodation</t>
  </si>
  <si>
    <t>Bergen: Private transfer to your accommodation</t>
  </si>
  <si>
    <t>Bergen: Private transfer to Bergen Airport</t>
  </si>
  <si>
    <t>Tromsø: Private transfer to Tromsø Airport</t>
  </si>
  <si>
    <t>Tromsø: Private transfer to your accommodation</t>
  </si>
  <si>
    <t>https://www.fjordtours.com/en</t>
  </si>
  <si>
    <t>Oslo: Norway in a Nutshell to Bergen - Time: 08:00 am - 09:00 pm - Meeting point. Oslo Central Station - Includes: Train transfer Oslo to Myrdal, Train tranfser Myrdal to Flåm, Fjord Cruise Flåm to Gudvangen, Coach Transfer Gudvangen to Voss, Train transfer Voss to Bergen</t>
  </si>
  <si>
    <t>Fixed</t>
  </si>
  <si>
    <t>Variable</t>
  </si>
  <si>
    <t>Total</t>
  </si>
  <si>
    <t xml:space="preserve">Oslo: Norway in a Nutshell Porter Service - Includes: Luggage transfer from your accommodation in Oslo to your accommodaiton in Bergen </t>
  </si>
  <si>
    <t>Bergen: Mostraumen Majestic Fjord &amp; Waterfall Cruise - Time: 12:00 pm - 4:00 pm - Meeting point: Strandkaien 13 - Includes: 4-hour panoramic fjord cruise, Expert captain navigating through the fjords, English-audio guide</t>
  </si>
  <si>
    <t>https://booknordics.com/norway/western-fjord-norway/bergen-and-hardanger/mostraumen-fjord-waterfall-cruise</t>
  </si>
  <si>
    <t>Oslo: Norway in a Nutshell to Flåm - Time: 08:00 am - 2:00 pm - Meeting point: Oslo Central Station - Includes:  Train transfer Oslo to Myrdal, Train tranfser Myrdal to Flåm</t>
  </si>
  <si>
    <t>Flåm: Self transfer to your accommodation</t>
  </si>
  <si>
    <t>Flåm: Check in to your accommodation for a 1 night stay - Centrally located 3/4-star hotel - Standard Room - Breakfast included</t>
  </si>
  <si>
    <t>Flåm: Spend time at leisure</t>
  </si>
  <si>
    <t>Flåm: Self transfer to Flåm Harbor</t>
  </si>
  <si>
    <t>Flåm: Norway in a Nutshell to Bergen - Time:  - Meeting point: Flåm Harbor - Includes: Fjord Cruise Flåm to Gudvangen, Coach Transfer Gudvangen to Voss, Train transfer Voss to Bergen</t>
  </si>
  <si>
    <t>Day 7</t>
  </si>
  <si>
    <t>Day 8</t>
  </si>
  <si>
    <t>Tromsø: Photo Tour to Arctic Landscapes and Fjords - Time: 10:00 am - 3:00 pm - Meeting point: Roald Amundsens plass 1A - Includes: Departure from central Tromsø. Drop-off to your hotel, Professional, English-speaking photo guides, Scenic fjord safari by comfortable minivan vehicle, Help with camera settings and nature photography, Usually a small-group experience with 4-8 guests, Soup or expedition food, coffee and waffles/cookies</t>
  </si>
  <si>
    <t>https://booknordics.com/norway/northern-norway/tromso-region/tromso-fjord-photo-tour</t>
  </si>
  <si>
    <t>Tromsø: Reindeer Sledding, Reindeer Feeding and Sami Culture - Time: 09:45 am - 2:30 pm - Meeting point: Radisson Blu Hotel's main entrance (Sjøgata 7) - Includes: Scenic transfers (45 min each way), Knowledgeable English- and Norwegian-speaking guide, Thermal winter suit, warm boots, Reindeer sledding (approx. 30 min, depending on weather and snow conditions), Feeding the herd on our camp, Hot traditional Sámi meal (bithos) and hot drinks. Vegetarian option available on request, Cultural introduction about Sámi history and daily life</t>
  </si>
  <si>
    <t>https://booknordics.com/norway/northern-norway/tromso-region/reindeer-sledding-reindeer-feeding-and-sami-culture-3</t>
  </si>
  <si>
    <t>Tromsø: Self transfer to Scandic Ishavs Hotel</t>
  </si>
  <si>
    <t>Tromsø: Crystal Lavvo Stay with Auroras, Meals &amp; Activities - Time: 11:30 am - 10: 50 am (the next day) - Meeting point: Samuel Arnesens gate 5 - Includes: Pick-up/drop-off in Tromsø with scenic transfers, Comfortable overnight stay in crystal lavvo, Fireplace heating with unlimited firewood, Northern Lights hunt with photo workshop, Snowshoeing experience nearby, Lunch and dinner included on day 1, Bathroom/toilet facilities in the main house, Breakfast and return transfer included on day 2</t>
  </si>
  <si>
    <t>https://booknordics.com/norway/northern-norway/tromso-region/crystal-lavvy-stay-northern-lights-snowshoeing</t>
  </si>
  <si>
    <t>Lyngen: Included transfer back to Central Tromsø</t>
  </si>
  <si>
    <t>Tromsø: Check in to your accommodation for a 1 night stay - Centrally located 3/4-star hotel - Standard Room - Breakfast included</t>
  </si>
  <si>
    <t>Tromsø: Midnight Concert in Tromsø Cathedral - Time: 10:45 pm - 11:45 pm - Meeteing point: Tromsø Cathedral - Includes: Admission to Tromsø Cathedral (Northern Europe's largest wooden cathedral), Evening concert with professional musicians (30 minutes)</t>
  </si>
  <si>
    <t>https://booknordics.com/norway/northern-norway/tromso-region/midnight-concert-in-tromso-cathedral</t>
  </si>
  <si>
    <t>Tromsø: Magic Ice Bar - Time: Flexible - Meeting point: Kaigata 4 - Includes: Entry to the ice bar &amp; gallery, Gloves and winter poncho, Our signature drink</t>
  </si>
  <si>
    <t>https://booknordics.com/norway/northern-norway/tromso-region/tromso-norway</t>
  </si>
  <si>
    <t>Coach</t>
  </si>
  <si>
    <t>Tromsø: Long distance panorama coach transfer to Alta - Bus 150 - Time: 4:00 pm - 10:20 pm - Excludes: Tickets (To be bought on site)</t>
  </si>
  <si>
    <t>Alta: Self transfer to your accommodation</t>
  </si>
  <si>
    <t>Alta: Check in to your accommodation for a 2 night stay - Centrally located 3/4-star hotel - Standard Room - Breakfast included</t>
  </si>
  <si>
    <t>Alta: Spend time at leisure</t>
  </si>
  <si>
    <t>Alta: Dog Sledding in Alta - Time: 10:00 am - 2:00 pm - Meeting point: Æventyr Booking Point - Includes: Dog Sledding: Approximately 50 minutes on the trail, Transport: From Alta to Gargia and back (approximately 30 minutes each way), Dog Sledding Training and Equipment: Learn the basics of dog sledding and get equipped with the necessary gear, Warm Clothing: Stay cozy in the Arctic cold, Coffee &amp; Tea, Storytelling: Discover the history of dog sledding and Gargia, Assistance with Dressing/Undressing the Dogs, Meet the Huskies</t>
  </si>
  <si>
    <t>https://www.aeventyr.no/activities/embark-on-an-arctic-adventure-dog-sledding-in-alta</t>
  </si>
  <si>
    <t>Alta: Small Group Northern Lights Hunt - Time: 7:00 pm - 11:00 pm - Meeting point: Æventyr Booking Point - Includes: Professional guide, Northern Lights lectures and local history, Coffee / tea and snacks, Warm overalls for loan</t>
  </si>
  <si>
    <t>https://www.aeventyr.no/activities/small-group-northern-lights-hunt</t>
  </si>
  <si>
    <t>Day 9</t>
  </si>
  <si>
    <t>Alta: Self transfer to Alta Airport</t>
  </si>
  <si>
    <t>Alta: Departure home</t>
  </si>
  <si>
    <t>Alta: Private transfer to Alta Airport</t>
  </si>
  <si>
    <t>Alta: Visit to Sorrisniva Igloo Hotel - Time: Flexible - Meeting point: Sorrisniva Arctic Wilderness Lodge - Includes: Entry ticket to explore Sorrisniva Igloo Hotel</t>
  </si>
  <si>
    <t>https://booknordics.com/norway/northern-norway/alta-and-north-cape/entrance-ticket-igloo-hotel</t>
  </si>
  <si>
    <t>Alta: Northern Lights Dog Sledding - Time: 7:00 pm - 11:00 pm - Meeting point: Æventyr Booking Point - Includes: Dog Sledding: Approximately 50 minutes on the trail, Transport: From Alta to Gargia and back (approximately 30 minutes each way), Dog Sledding Training and Equipment: Learn the basics of dog sledding and get equipped with the necessary gear, Warm Clothing: Stay cozy in the Arctic cold, Coffee &amp; Tea, Storytelling: Discover the history of dog sledding and Gargia, Assistance with Dressing/Undressing the Dogs</t>
  </si>
  <si>
    <t>https://www.aeventyr.no/activities/northern-lights-dog-sledding-trip-in-alta</t>
  </si>
  <si>
    <t>Places: Oslo 1N - Bergen 2N - Tromsø 2N - Lyngen 1N - Alta 2N</t>
  </si>
  <si>
    <t xml:space="preserve">Places: Oslo 1N - Bergen 2N - Tromsø 2N - Alta 2N </t>
  </si>
  <si>
    <t>Tromsø: Self transfer to Tromsø Bus Terminal Prostneset</t>
  </si>
  <si>
    <t>Places: Oslo 1N - Bergen 2N - Bodø 2N</t>
  </si>
  <si>
    <t>Bodø: Private transfer to your accommodation</t>
  </si>
  <si>
    <t>Bodø: Private transfer to Bodø Airport</t>
  </si>
  <si>
    <t>Bodø: Spend time at leisure</t>
  </si>
  <si>
    <t>Bodø: Self transfer to your accommodation</t>
  </si>
  <si>
    <t>Bodø: Check in to your accommodation for a 2 night stay - Centrally located 3/4-star hotel - Standard Room - Breakfast included</t>
  </si>
  <si>
    <t>Bodø: Self transfer to Bodø Airport</t>
  </si>
  <si>
    <t>Bodø: Departure home</t>
  </si>
  <si>
    <t>Bodø: Scenic Walk on Arctic Sandy Beaches - Time: 12:45 pm - 2:45 pm - Meeting point: The Hurtigruten Quay - Includes: Knowledgeable, English-speaking guide, Coastal hike on sandy beaches, Spikes for shoes during the winter</t>
  </si>
  <si>
    <t>https://booknordics.com/norway/northern-norway/bodo-and-helgeland-coast/arctic-coastal-walk</t>
  </si>
  <si>
    <t>Bodø: Northern Lights Tour by Minivan with Panoramic Roof - Time: 7:00 pm - 2:00 am - Meeting point: Hotel pick up - Includes: Pick-up/drop-off in central Tromsø, Knowledgeable, English-speaking guide, Winter clothes, headlamp, tripod &amp; hot drink</t>
  </si>
  <si>
    <t>https://booknordics.com/norway/northern-norway/bodo-and-helgeland-coast/northern-lights-tours-bodo-norway</t>
  </si>
  <si>
    <t>Bodø: The hunt for the northern lights - Time: 7:00 pm - 10:30 pm - Meeting point: Rampen Adventure Hub - Includes: Transportation, guide, hot drink</t>
  </si>
  <si>
    <t>Season: Summer</t>
  </si>
  <si>
    <t>Season: Winter</t>
  </si>
  <si>
    <t>Places: Oslo 1N - Bergen 2N - Bodø 2N - Svolær 2N - Tromsø 2N</t>
  </si>
  <si>
    <t>Bodø: Cruise to Kjerringøy by Silent Electric Ship - Time: 09:00 am - 1:00 pm - Meeting point: Quality Hotel Ramsalt - Includes: Knowledgeable, English-speaking guide, Fully licensed bar with drinks for sale, Cafe with food &amp; beverages for purchase, Warm indoor saloons, toilets &amp; free wifi</t>
  </si>
  <si>
    <t>https://booknordics.com/norway/northern-norway/bodo-and-helgeland-coast/bodo-kjerringoy-nordfjord-cruise</t>
  </si>
  <si>
    <t>Svolvær: Self transfer to your accommodation</t>
  </si>
  <si>
    <t>Svolvær: Spend time at leisure</t>
  </si>
  <si>
    <t>Svolvær: Self transfer to Svolvær Airport</t>
  </si>
  <si>
    <t>Svolvær: Departure home</t>
  </si>
  <si>
    <t>Places: Oslo 1N - Bergen 2N - Bodø 2N - Svolvær 3N</t>
  </si>
  <si>
    <t>Svolvær: Sail to Skrova, Lofoten’s Secret Paradise Awaits - Time: 2:00 pm - 5:00 pm - Meeting point: Svolvær Harbor - Includes: Knowledgeable, English-speaking guide, 1-hour island visit at Skrova with storytelling, Comfortable thermal suits and lifejackets, Unique piece of digital art as a memory, Warm coffee, tea, and light snacks</t>
  </si>
  <si>
    <t>https://booknordics.com/norway/northern-norway/lofoten-and-vesteralen/sail-to-skrova-lofotens-secret-paradise-awaits</t>
  </si>
  <si>
    <t>Svolvær: Photo Tour to Reine in the Lofoten - Time: 09:30 am - 4:30 pm - Meeting point: Svolvær Tourist Information office - Includes: Pick-up/drop-off in central Svolvær, Knowledgeable, English-speaking guide, Private minivan transportation, Small group, maximum 7 adults, Coffee or tea to keep you warm</t>
  </si>
  <si>
    <t>https://booknordics.com/norway/northern-norway/lofoten-and-vesteralen/winter-photography-tour-to-reine</t>
  </si>
  <si>
    <t>Svolvær: Photo Tour Henningsvær &amp; Haukland Beach - Time: 09:30 am - 4:30 pm - Meeting point: Svolvær Tourist Information office - Includes: Pick-up/drop-off in central Svolvær, Knowledgeable, English-speaking guide, Private minivan transportation, Professional photos &amp; instructions, Small group, maximum 7 adults, Coffee or tea to keep you warm</t>
  </si>
  <si>
    <t>https://booknordics.com/norway/northern-norway/lofoten-and-vesteralen/winter-photography-tour-to-henningsvaer-haukland-beach</t>
  </si>
  <si>
    <t>Bergen: Flight to Bodø - Time: Date dependandt - Luggage included: 1 x 23 kg check in and 1 x 8 kg carry on per person</t>
  </si>
  <si>
    <t>Svolvær: Private transfer to your accommodation</t>
  </si>
  <si>
    <t>Svolvær: Private transfer to Svolvær Airport</t>
  </si>
  <si>
    <t>Svolvær: Long distance panorama coach transfer to Tromsø - Time: 07:40 am - 8:25 pm - Meeting point: Svolvær Hurtigruten Port Terminal - Includes: Tickets</t>
  </si>
  <si>
    <t>https://bestarctic.com/the-arctic-route/arctic-summer-routes-explore-the-arctic/bus-between-tromso-and-lofoten-norway/</t>
  </si>
  <si>
    <t>Svolvær: Self transfer to Svolvær Hurtigruten Port Terminal</t>
  </si>
  <si>
    <t>Tromsø: Fjord Adventure Tour with Wildlife, Photos &amp; Lunch - Time: 10:00 am - 2:00 pm - Meeting point: Quality Grand Hotel, Storgata 44 - Includes: Pick-up/drop-off in central Tromsø, Knowledgeable, English-speaking guide, Professional photographer, Comfortable air-conditioned vehicle, Delicious local seaside lunch</t>
  </si>
  <si>
    <t>https://booknordics.com/norway/northern-norway/tromso-region/tromso-fjord-adventure-tour-with-wildlife-and-lunch</t>
  </si>
  <si>
    <t>Day 10</t>
  </si>
  <si>
    <t>Bodø: White-Tailed Eagle &amp; RIB Safari to Saltstraumen - Time: 10:00 am - 12:00 pm - Meeting point: Bodø Ambulansekaien - Includes: RIB-safari to Saltstraumen from/to central Bodø, Experienced and knowledgeable skippers, Cruising alongside the whirpools and narrow straits, Cruising up-close to white-tailed eagles, Safety equipment and life jackets, Thermal suit and goggles</t>
  </si>
  <si>
    <t>Tromsø: Trip to Sommarøy with Round Tour of Kvaløya Island - Time: 08:30 am - 3:30 pm - Meeting point: Tromsø Havn Prostneset Terminal, Samuel Arnesens gate 5 - Includes: Pick-up/drop-off in central Tromsø, Certified, English-speaking guide, Professional and local driver, Transport in Mercedes Sprinter, Photos sent 48 hrs after via email, Coffee, tea, hot chocolate &amp; cookies, Local lunch: Taste of Norway</t>
  </si>
  <si>
    <t>Car</t>
  </si>
  <si>
    <t>Drive</t>
  </si>
  <si>
    <t>Svolvær: Drive to your accommodation</t>
  </si>
  <si>
    <t>Self Explore</t>
  </si>
  <si>
    <t>Day 11</t>
  </si>
  <si>
    <t>Oslo: Departure home</t>
  </si>
  <si>
    <t>Oslo: Self transfer to Oslo Airport</t>
  </si>
  <si>
    <t>Oslo: Private transfer to Oslo Airport</t>
  </si>
  <si>
    <t>https://booknordics.com/norway/northern-norway/bodo-and-helgeland-coast/ribzodiac-to-saltstraumen-with-white-tailed-eagle-safari</t>
  </si>
  <si>
    <t>https://booknordics.com/norway/northern-norway/tromso-region/sommaroy-arctic-day-trip-a-round-tour-of-kvaloya-island</t>
  </si>
  <si>
    <t>Svolvær: Pick up your rental car at the airport car rental office - Car: Toyota Corolla Autotaic or similar - Includes: Vehicle licence fee / road fund licence, Theft protection, Cancellation fee, Other taxes and service charges, Fuel information, Unlimited mileage, Collision damage waiver, Vat</t>
  </si>
  <si>
    <t>Svolvær: Reccomended places to visit - Henningsvær, Hessand  beach, Morfjord, Midnight sun road, Laukvika</t>
  </si>
  <si>
    <t>Svolvær: Self drive to your accommodation in Nusfjord</t>
  </si>
  <si>
    <t>Svolvær: Check in to your accommodation for a 2 night stay - Centrally located 3/4-star hotel - Standard Room - Breakfast included</t>
  </si>
  <si>
    <t>Svolvær: Check in to your accommodation for a 3 night stay - Centrally located 3/4-star hotel - Standard Room - Breakfast included</t>
  </si>
  <si>
    <t>Nusfjord: Check in to your accommodation for a 1 night stay - Centrally located 3/4-star hotel - Standard Room - Breakfast included</t>
  </si>
  <si>
    <t>Reine: Check in to your accommodation for a 1 night stay - Centrally located 3/4-star hotel - Standard Room - Breakfast included</t>
  </si>
  <si>
    <t>Nusfjord: Self explore the nearby area with your car</t>
  </si>
  <si>
    <t>Reine: Self explore the nearby area with your car</t>
  </si>
  <si>
    <t>Reine: Spend time at leisure</t>
  </si>
  <si>
    <t>Nusfjord: Spend time at leisure</t>
  </si>
  <si>
    <t>Nusfjord: Self drive to your accommodaiton in Reine</t>
  </si>
  <si>
    <t>Reine: Self drive to Svolvær Airport</t>
  </si>
  <si>
    <t>Svolvær: Deliver your car at the car rental office</t>
  </si>
  <si>
    <t>Bodø: Guided Art and Culture Walk in the City Centre - Time: to be determined - Meeting point: Bodø Torg, Storgata - Includes: Knowledgeable, English-speaking guide, Guided walk through Bodø city centre, Other cultural Bodø recommendations</t>
  </si>
  <si>
    <t>https://booknordics.com/norway/northern-norway/bodo-and-helgeland-coast/bodo-kunst-og-historievandring-i-bodo-sentrum</t>
  </si>
  <si>
    <t>Bodø: Ultimate Northern Norway Caving Adventure - Time: 10:00 am - 5:00 pm - Meeting point: Hotel Pick up - Includes: Pick-up/drop-off in central Bodø, Knowledgeable, English-speaking guide, Equipment: Coverall, helmet and headlights</t>
  </si>
  <si>
    <t>Bodø: Flight to Tromsø - Time: Date dependant - Luggage included: 1 x 23 kg check in and 1 x 8 kg carry on per person</t>
  </si>
  <si>
    <t>Oslo: Flight to Bodø - Time: Date dependant - Luggage included: 1 x 23 kg check in and 1 x 8 kg carry on per person</t>
  </si>
  <si>
    <t>Bodø: Check in to your accommodation for a 3 night stay - Centrally located 3/4-star hotel - Standard Room - Breakfast included</t>
  </si>
  <si>
    <t>https://booknordics.com/norway/northern-norway/bodo-and-helgeland-coast/ultimate-caving-adventure-in-bodo</t>
  </si>
  <si>
    <t>Bodø: Flight to Svolvær - Time: Date dependant - Luggage included: 1 x 23 kg check in and 1 x 8 kg carry on per person</t>
  </si>
  <si>
    <t>Svolvær: Flight to Oslo, via Bodø - Time: Date dependant - Luggage included: 1 x 23 kg check in and 1 x 8 kg carry on per person</t>
  </si>
  <si>
    <t>Bergen: Flight to Bodø - Time: Date dependant - Luggage included: 1 x 23 kg check in and 1 x 8 kg carry on per person</t>
  </si>
  <si>
    <t>Bergen: Flight to Tromsø - Time: Date dependant - Luggage included: 1 x 23 kg check in and 1 x 8 kg carry on per person</t>
  </si>
  <si>
    <t>Trondheim: Self transfer to your accommodation</t>
  </si>
  <si>
    <t>Trondheim: Check in to your accommodation for a 1 night stay - Centrally located 3/4-star hotel - Standard Room - Breakfast included</t>
  </si>
  <si>
    <t>Trondheim: Spend time at leisure</t>
  </si>
  <si>
    <t>https://www.trondheimcitytours.com/tours/city-walk</t>
  </si>
  <si>
    <t>Trondheim: Self transfer to Trondheim Airport</t>
  </si>
  <si>
    <t>Trondheim: Private transfer to Trondheim Airport</t>
  </si>
  <si>
    <t xml:space="preserve">Places: Trondheim - Sandnessjøen - Svolvær </t>
  </si>
  <si>
    <t>Oslo: Check in to your accommodation for a 1 night stay - Centrally located 4-star hotel - Standard Room - Breakfast included</t>
  </si>
  <si>
    <t xml:space="preserve">Places: Oslo - </t>
  </si>
  <si>
    <t>Oslo: Flight to Sandnessjøen - Time: Date dependandt - Luggage included: 1 x 23 kg check in and 1 x 8 kg carry on per person</t>
  </si>
  <si>
    <t xml:space="preserve">Sandnessjøen: Self transfer to your accommodation </t>
  </si>
  <si>
    <t>Sandnessjøen: Spend time at leisure</t>
  </si>
  <si>
    <t>Sandnessjøen: Check in to your accommodation for a 1 night stay - Scandic Syv Søstre or similar - Standard Room - Breakfast included</t>
  </si>
  <si>
    <t>Sandnessjøen: Self transfer to Sandnessjøen havn</t>
  </si>
  <si>
    <t>Sandnessjøen: 3-Day Archipelago Sailing around Vega Islands - Time: 10:00 am - Meeting point: Sandnessjøen havn - Includes: Pick-up/drop-off at Sandnessjøen guest pier, Knowledgeable, English-speaking guide, Your own comfortable cabin on the boat, Hotel accommodation during nights, All meals, with a variety of options</t>
  </si>
  <si>
    <t>Activity Overview</t>
  </si>
  <si>
    <t>National Geographic has named the Helgeland Coast one of the world's most beautiful travel routes. UNESCO has given the unique coastal culture world heritage status. DNT has named it Norway's Most Beautiful Coastal Pearl. Have you discovered it yet? 
We explore the islands by sailboat and where we can't reach we use light boats that take us into areas that no one would have believed existed. The locals have been doing this for thousands of years. By boat we have unique access, and with several days at our disposal, access to the ocean's pantry and access to all the fantastic sights, experiences, mountains, fjord and not least top-class restaurants we have set the standard for this fantastic journey. We sail to all the amazing places like Ylvingen, Omnøy Lånan, Hysvær, Skogsholmen, Skjærvær, Bremstein, Muddvær, Søla, Kilvær, Halmøyværet, Flovær, Tåvær and Store and Lille Emårsøy, and into narrow straits and fjords. We spend a lot of time stopping and enjoying delicious meals at the best the route has to offer. With Skogsholmen and Skogsholmen Guesthouse as a base camp for the entire stay, this experience provides opportunities for a sea of ​​culinary excesses as well as sailing and archipelago experiences. The Helgeland coast offers northern Norwegian nature at its very best, as if made for an unforgettable sailing holiday! The Helgeland coast is not populated in the same way as other places in Northern Norway in the summer, and you quickly discover that you have more to yourself here. On all our trips along the Helgeland coast, we enrich the trips with exciting and eventful experiences.</t>
  </si>
  <si>
    <t>Sandnessjøen: Day 2 Archipelago Sailing around Vega Islands</t>
  </si>
  <si>
    <t>Sandnessjøen: Day 3 Archipelago Sailing around Vega Islands</t>
  </si>
  <si>
    <t>https://booknordics.com/norway/northern-norway/bodo-and-helgeland-coast/3-dagers-skjaergardsseiling-rundt-vega-oyene</t>
  </si>
  <si>
    <t>Sandnessjøen: Departure home</t>
  </si>
  <si>
    <t>Sandnessjøen: Self transfer to Sandnessjøen Airport</t>
  </si>
  <si>
    <t>Oslo: Fjord Sightseeing Cruise onboard Electric Boat - Time: 11:00 am/1:30 pm - 01:00 pm /3:30 pm - Meeting point: Platform E, behind Fisketorget by ‘’TROLLCRUISE’’ sign - Includes: Electric fjord cruise with audio guidance, Access to outdoor deck and blankets, Charging ports and free Wi-FI, Comfortable seating, Panoramic windows, Accessibility features, Onboard toilets</t>
  </si>
  <si>
    <t>https://booknordics.com/norway/eastern-norway/oslo/oslofjord-sightseeing-cruise</t>
  </si>
  <si>
    <t>Oslo: Gourmet Dinner Fjord Cruise with Silent Electric Ship - Time: 06:00 pm - 09:00 pm - Meeting point: Aker Brygge Pier - Includes: Oslo fjord cruise by silent, electric ship, English and Norwegian speaking hosts, Set 3-course dinner menu by pro chef, Bar with all rights onboard, Free tap water and free WiFi</t>
  </si>
  <si>
    <t>https://booknordics.com/norway/eastern-norway/oslo/oslo-fjord-gourmet-dinner-cruise</t>
  </si>
  <si>
    <t>Cruise</t>
  </si>
  <si>
    <t>Bergen: Self transfer to Bergen Cruise Port</t>
  </si>
  <si>
    <t>Stavanger: Private transfer to your accommodation</t>
  </si>
  <si>
    <t>Stavanger: Spend time at leisure</t>
  </si>
  <si>
    <t>Kristiansand: Spend time at leisure</t>
  </si>
  <si>
    <t>Bergen: Atlantic Ocean Cruise to Stavanger - Time: 2:00 pm - 7:30 pm - Meeting point: Bergen Cruise Harbor - Includes: tickets, fjord lounge, free wifi, coffee, tea</t>
  </si>
  <si>
    <t>https://bookingv3.fjordline.com/nb/journey</t>
  </si>
  <si>
    <t>Kristiansand: Self transfer to your accommodation</t>
  </si>
  <si>
    <t>Stavanger: Check in to your accommodation for a 2 night stay - Centrally located 3/4-star hotel - Standard Room - Breakfast included</t>
  </si>
  <si>
    <t>Stavanger: Self transfer to Stavanger Station</t>
  </si>
  <si>
    <t>Kristiansand: Check in to your accommodation for a 2 night stay - Centrally located 3/4-star hotel - Standard Room - Breakfast included</t>
  </si>
  <si>
    <t>Stavanger: Scenic Train Transfer to Kristiansand - Time: TBD - Incldues: Tickets</t>
  </si>
  <si>
    <t>Kristiansand: Scenic Train Transfer to Oslo - Time: TBD - Incldues: Tickets</t>
  </si>
  <si>
    <t>Kristiansand: Self transfer to Kristiansand Station</t>
  </si>
  <si>
    <t>https://www.vy.no/bestill-v2/58bfb11e-6ddd-4bfc-8f17-c9e9484cf4b4/billett</t>
  </si>
  <si>
    <t>Bergen: Private transfer to Bergen Cruise Port</t>
  </si>
  <si>
    <t>Ålesund: Departure home</t>
  </si>
  <si>
    <t>Ålesund: Self transfer to Ålesund Airport</t>
  </si>
  <si>
    <t>Ålesund: Spend time at leisure</t>
  </si>
  <si>
    <t>Bergen: Flight to Ålesund - Time: TBD - Luggage included: 1 x 23 kg check in and 1 x 8 kg carry on per person</t>
  </si>
  <si>
    <t>Ålesund: Self transfer to your accommodation</t>
  </si>
  <si>
    <t>Ålesund: Check in to your accommodation for a 2 night stay - Centrally located 3/4-star hotel - Standard Room - Breakfast included</t>
  </si>
  <si>
    <t>Places: Oslo - Bergen - Ålesund</t>
  </si>
  <si>
    <t>Places: Oslo - Bergen - Ålesund - Trondheim - Oslo</t>
  </si>
  <si>
    <t xml:space="preserve">Ålesund: Round Trip Fjord Cruise to Geiranger - Time: 08:30 am - 6:00 pm - Departure Ålesund: 08:30 am - Meeting point: Skutvika,  Nedre Strandgate 53 - Arrival Geiranger: 11:30 am - Departure Geiranger: 3:00 pm - Arrival Ålesund: 6:00 pm - Includes: Return tickets Ålesund - Geiranger - Ålesund, scenic fjord cruise </t>
  </si>
  <si>
    <t>https://www.geirangerfjord.no/</t>
  </si>
  <si>
    <t>Transfer package</t>
  </si>
  <si>
    <t>https://booknordics.com/norway/western-fjord-norway/alesund-and-geiranger/family-kayaking-in-alesund</t>
  </si>
  <si>
    <t>Ålesund: Classic Kayaking City &amp; Sea Experience Family Friendly - Time: 10:00 am - 1:00 pm - Meeting point: Notenesgata 3 - Includes: Knowledgeable, English-speaking guides, Kayaks and paddles are provided, Wetsuit, spray skirt and life jacket, Possible to borrow a paddling jacket</t>
  </si>
  <si>
    <t>Ålesund: Self transfer to Skateflukaia</t>
  </si>
  <si>
    <t>Ålesund: Long distance Coach transfer to Trondheim - Skateflukaia to Molde trafikkterminal: 07:50 am - 10:10 am. Molde trafikkterminal to Trondheim 10:25 am - 2:36 pm. Note: Tickets to be bought on site</t>
  </si>
  <si>
    <t xml:space="preserve">Trondheim: Overnight train transfer to Oslo - Time:  </t>
  </si>
  <si>
    <t>Oslo: Spend time at leisrue</t>
  </si>
  <si>
    <t xml:space="preserve">Trondheim: 2hr City Walk - Time: 10:00 am - 12:00 pm - Meeting point: Rockheim Museum (in front of the museum entrance) - Includes: Guide, local insights </t>
  </si>
  <si>
    <t>Trondheim: 1-Day Hop-On Hop-Off Sightseeing Bus Tour - Time: Flexible - Meeting point: Trondheim Cruise Terminal - Includes: 24 hr ticket, audio guide</t>
  </si>
  <si>
    <t>https://www.getyourguide.com/trondheim-l32374/trondheim-1-day-hop-on-hop-off-sightseeing-bus-grayline-t1010536/?ranking_uuid=26fe0a5d-d50f-4b57-bc51-010d10c8cf45</t>
  </si>
  <si>
    <t>Ålesund: Private transfer to your accommodation</t>
  </si>
  <si>
    <t>Trondheim: Departure home</t>
  </si>
  <si>
    <t>Group Tour</t>
  </si>
  <si>
    <t>Pax: 25 - 45</t>
  </si>
  <si>
    <t>Heritage Signature: UNESCO Expedition</t>
  </si>
  <si>
    <t>Brønnøysund</t>
  </si>
  <si>
    <t>Sandnessjøen</t>
  </si>
  <si>
    <t>Ocean Passage Signature: Immersion</t>
  </si>
  <si>
    <t>Transer</t>
  </si>
  <si>
    <t>Oslo: Welcome to Oslo</t>
  </si>
  <si>
    <t>Oslo: Check in to your accommodation for a 1 night stay - Centraly Located Hotel - Standard Room - Breakfast included</t>
  </si>
  <si>
    <t>Oslo: Flight to Sandnessjøen - Time: TBD - Luggage included: 1 x 23 kg check in and 1 x 8 kg carry on per person</t>
  </si>
  <si>
    <t>Sandnessjøen: Helgeland Heritage Signature – The UNESCO Expedition - Duration: 3 days - Includes: Airport transfers, accommodations for 2 nights, Vega UNESCO world heritage, wildlife safari, viking history, autentic norwegian accommodations, breakfast, lunch, dinner</t>
  </si>
  <si>
    <t>Sandnessjøen: The UNESCO Expedition Day 1: Upon arrival to Sandnessjøen, enjoy a private transfer to your accommodation. Embark on a archipelago boat tour to Skogsholmen. In the evening, enjoy dinner under the open sky currated from local ingredients</t>
  </si>
  <si>
    <t xml:space="preserve">Sandnessjøen: The UNESCO Expedition Day 2: Start your day with a scenic boat transfer to Havkanten Guest house, which will be your accommodaiton for the night. This day is dedicated to the "Ocean Passage Signature". You will enjoy Kayaking on crystal clear water, followed by a nice relaxing hot tub at the beach. Dinner will be served in the evening </t>
  </si>
  <si>
    <t>Sandnessjøen: The UNESCO Expedition Day 3: Today you will make your way to Dønna and Alstahaug . You will enjoy a tour of the Viking House, as well as the famous Petter Dass museeum. After the tours, you will have a private transfer to Sandnessjøen airport.</t>
  </si>
  <si>
    <t>Sandnessjen: Flight to Svolær - Time: TBD - Luggage included: 1 x 23 kg check in and 1 x 8 kg carry on per person</t>
  </si>
  <si>
    <t>Svolvær: Check in to your accommodation for a 2 night stay - Centraly Located Hotel - Standard Room - Breakfast included</t>
  </si>
  <si>
    <t>https://pub.dialogapi.no/v/b92d1fec-3684-42d6-9b69-b40769573a1b</t>
  </si>
  <si>
    <t>Norway - UNESCO</t>
  </si>
  <si>
    <t>pax: 2</t>
  </si>
  <si>
    <t>Summer</t>
  </si>
  <si>
    <t>Oslo: Norway in a Nutshell to Bergen - Time:  - Meeting point. Oslo Central Station - Includes: Train transfer Oslo to Myrdal, Train tranfser Myrdal to Flåm, Fjord Cruise Flåm to Gudvangen, Coach Transfer Gudvangen to Voss, Train transfer Voss to Bergen</t>
  </si>
  <si>
    <t>Bergen: Check in to your accommodation for a 2 night stay -  - Standard Room - Breakfast included</t>
  </si>
  <si>
    <t>Bergen: Flight to Sanddnessjøen - Time: TBD - Luggage included: 1 x 23 kg check in and 1 x 8 kg carry on per person</t>
  </si>
  <si>
    <t>Oslo: Scenic Train Transfer to Røros, via Hamar - Time: TBD - Includes: Tickets</t>
  </si>
  <si>
    <t>Røros: Self transfer to your accommodaiton</t>
  </si>
  <si>
    <t>Røros: Check in to your accommodation for a 2 night stay - Centraly Located Hotel - Standard Room - Breakfast included</t>
  </si>
  <si>
    <t>Røros: Spend time at leisure</t>
  </si>
  <si>
    <t>Røros: Self transfer to Røros Train Station</t>
  </si>
  <si>
    <t>Trondheim: Check in to your accommodation for a 1 night stay - Centraly Located Hotel - Standard Room - Breakfast included</t>
  </si>
  <si>
    <t>Trondheim: Flight to Sandnessjøen - Time: TBD - Luggage included: 1 x 23 kg check in and 1 x 8 kg carry on per person</t>
  </si>
  <si>
    <t>Tromsø: Check in to your accommodation for a 2 night stay - Centraly Located Hotel - Standard Room - Breakfast included</t>
  </si>
  <si>
    <t>Deparure</t>
  </si>
  <si>
    <t>Røros: Scenic Train transfer to Trondheim - Time: TBD - Includes: Tickets</t>
  </si>
  <si>
    <t>https://www.vy.no/</t>
  </si>
  <si>
    <t>Sandnessjøen: Flight to Tromsø, via Bodø - Time: TBD - Luggage included: 1 x 23 kg check in and 1 x 8 kg carry on per person</t>
  </si>
  <si>
    <t>Røros: Rørosmuseet Smelthytta - Opening houers: 10:00 am - 3:00 pm - Includes: Tickets</t>
  </si>
  <si>
    <t>https://rorosmuseet.no/apningstider-smelthytta</t>
  </si>
  <si>
    <t>Shoulder</t>
  </si>
  <si>
    <t>High</t>
  </si>
  <si>
    <t>Holiday</t>
  </si>
  <si>
    <t>Low</t>
  </si>
  <si>
    <t>NA</t>
  </si>
  <si>
    <t>Winter</t>
  </si>
  <si>
    <t>Tromsø: Check in to your accommodation for a 3 night stay - Centrally located 3/4-star hotel - Standard Room - Breakfast included</t>
  </si>
  <si>
    <t>Tromsø: All-Evening Northern Lights Hunt by Minibus or Bus - Time: 7:00 pm - 12:00 am - Meeting point: Kaigata 4 - Includes: Knowledgeable, English-speaking guides, Photos shared with you after the tour, Thermo clothing and warm gear, Light snacks and warm/cold beverages, Drop-off at hotel, up to 5 km from Tromsø</t>
  </si>
  <si>
    <t>https://booknordics.com/norway/northern-norway/tromso-region/full-day-magic-of-the-arctic-lights-in-tromso</t>
  </si>
  <si>
    <t>Stavanger: Fjordcruise to Lysefjorden og Preikestolen - Time: 10:00 am - 1:30 pm - Meeting point: Stavanger Strandkaien - Includes: Fjord cruise, audio guide, refreshment for purchase at the kios onboard</t>
  </si>
  <si>
    <t>https://rodne.no/fjordopplevelser/stavanger/fjordcruise-lysefjorden-preikestolen/</t>
  </si>
  <si>
    <t>Trondheim: Check in to your accommodation for a 2 night stay - Centrally located 3/4-star hotel - Standard Room - Breakfast included</t>
  </si>
  <si>
    <t>Hurdalsjøen: Private transfer to Oslo Airport</t>
  </si>
  <si>
    <t>Hurdalsjøen: Spend time at leisure</t>
  </si>
  <si>
    <t>Hurdalsjøen: Check in to your accommodation for a 2 night stay - Hurdalsjøen Hotell &amp; Spa - Standard Room - Dinner and breakfast included</t>
  </si>
  <si>
    <t>Dinner</t>
  </si>
  <si>
    <t>Hurdalsjøen: Enjoy dinner at your accommodation</t>
  </si>
  <si>
    <t>Hurdalsjøen: Historical Cruise on Mjøsa - Time: 12:00 pm - 5:00 pm - Meeting point: Evjua Strandpark - Include: Cruise, dinner</t>
  </si>
  <si>
    <t>Hurdalsjøen: Norwegian History and Oslo Exploration - Time: TBA - Meeting point: Hotel Reception - Includes: Guided tour of Eidsvollsbygningen, train transfer to Oslo, leisure time in Oslo, return train tickets to Eidsvoll verk station</t>
  </si>
  <si>
    <t>Optional</t>
  </si>
  <si>
    <t xml:space="preserve">Transfer </t>
  </si>
  <si>
    <t>Hurdalsjøen: Optional Morning Kayaking/Canooing - Time: 08:00 am - 10:00 am - Meeting point: Hotel receptiion - Includes: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</si>
</sst>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
  </numFmts>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
      <sz val="10"/>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38">
    <xf numFmtId="0" fontId="0" fillId="0" borderId="0" xfId="0"/>
    <xf numFmtId="0" fontId="0" fillId="2" borderId="0" xfId="0" applyFill="1"/>
    <xf numFmtId="164" fontId="0" fillId="2" borderId="0" xfId="0" applyNumberFormat="1" applyFill="1"/>
    <xf numFmtId="164" fontId="0" fillId="2" borderId="0" xfId="0" applyNumberFormat="1" applyFill="1" applyAlignment="1">
      <alignment horizontal="left"/>
    </xf>
    <xf numFmtId="0" fontId="0" fillId="2" borderId="0" xfId="0" applyFill="1" applyAlignment="1">
      <alignment horizontal="center"/>
    </xf>
    <xf numFmtId="9" fontId="0" fillId="2" borderId="0" xfId="0" applyNumberFormat="1" applyFill="1" applyAlignment="1">
      <alignment horizontal="center"/>
    </xf>
    <xf numFmtId="49" fontId="0" fillId="2" borderId="0" xfId="0" applyNumberFormat="1" applyFill="1" applyAlignment="1">
      <alignment horizontal="center" vertical="distributed" wrapText="1"/>
    </xf>
    <xf numFmtId="49" fontId="2" fillId="3" borderId="1" xfId="0" applyNumberFormat="1" applyFont="1" applyFill="1" applyBorder="1" applyAlignment="1">
      <alignment horizontal="center" vertical="distributed" wrapText="1"/>
    </xf>
    <xf numFmtId="3" fontId="2" fillId="3" borderId="1" xfId="0" applyNumberFormat="1" applyFont="1" applyFill="1" applyBorder="1" applyAlignment="1">
      <alignment horizontal="center" vertical="distributed" wrapText="1"/>
    </xf>
    <xf numFmtId="3" fontId="0" fillId="2" borderId="0" xfId="0" applyNumberFormat="1" applyFill="1" applyAlignment="1">
      <alignment horizontal="center"/>
    </xf>
    <xf numFmtId="3" fontId="0" fillId="2" borderId="0" xfId="0" applyNumberFormat="1" applyFill="1"/>
    <xf numFmtId="0" fontId="0" fillId="3" borderId="0" xfId="0" applyFill="1" applyAlignment="1">
      <alignment horizontal="center"/>
    </xf>
    <xf numFmtId="3" fontId="0" fillId="4" borderId="0" xfId="0" applyNumberFormat="1" applyFill="1" applyAlignment="1">
      <alignment horizontal="center"/>
    </xf>
    <xf numFmtId="9" fontId="0" fillId="4" borderId="0" xfId="1" applyFont="1" applyFill="1" applyAlignment="1">
      <alignment horizontal="center"/>
    </xf>
    <xf numFmtId="0" fontId="2" fillId="2" borderId="2" xfId="0" applyFont="1" applyFill="1" applyBorder="1"/>
    <xf numFmtId="3" fontId="2" fillId="2" borderId="2" xfId="0" applyNumberFormat="1" applyFont="1" applyFill="1" applyBorder="1"/>
    <xf numFmtId="4" fontId="0" fillId="2" borderId="0" xfId="0" applyNumberFormat="1" applyFill="1" applyAlignment="1">
      <alignment horizontal="center"/>
    </xf>
    <xf numFmtId="9" fontId="0" fillId="2" borderId="0" xfId="0" applyNumberFormat="1" applyFill="1"/>
    <xf numFmtId="2" fontId="0" fillId="2" borderId="0" xfId="0" applyNumberFormat="1" applyFill="1"/>
    <xf numFmtId="165" fontId="0" fillId="2" borderId="0" xfId="1" applyNumberFormat="1" applyFont="1" applyFill="1"/>
    <xf numFmtId="2" fontId="0" fillId="2" borderId="0" xfId="0" applyNumberFormat="1" applyFill="1" applyAlignment="1">
      <alignment horizontal="center"/>
    </xf>
    <xf numFmtId="9" fontId="2" fillId="2" borderId="2" xfId="1" applyFont="1" applyFill="1" applyBorder="1"/>
    <xf numFmtId="0" fontId="3" fillId="2" borderId="0" xfId="2" applyFill="1"/>
    <xf numFmtId="3" fontId="0" fillId="2" borderId="0" xfId="0" applyNumberFormat="1" applyFill="1" applyAlignment="1">
      <alignment horizontal="left"/>
    </xf>
    <xf numFmtId="164" fontId="0" fillId="2" borderId="0" xfId="0" quotePrefix="1" applyNumberFormat="1" applyFill="1" applyAlignment="1">
      <alignment horizontal="left"/>
    </xf>
    <xf numFmtId="0" fontId="0" fillId="5" borderId="0" xfId="0" applyFill="1" applyAlignment="1">
      <alignment horizontal="center"/>
    </xf>
    <xf numFmtId="3" fontId="0" fillId="5" borderId="0" xfId="0" applyNumberFormat="1" applyFill="1" applyAlignment="1">
      <alignment horizontal="center"/>
    </xf>
    <xf numFmtId="0" fontId="0" fillId="2" borderId="0" xfId="0" applyFill="1" applyAlignment="1">
      <alignment horizontal="left"/>
    </xf>
    <xf numFmtId="0" fontId="4" fillId="2" borderId="2" xfId="0" applyFont="1" applyFill="1" applyBorder="1"/>
    <xf numFmtId="0" fontId="3" fillId="0" borderId="0" xfId="2"/>
    <xf numFmtId="164" fontId="4" fillId="2" borderId="2" xfId="0" applyNumberFormat="1" applyFont="1" applyFill="1" applyBorder="1"/>
    <xf numFmtId="4" fontId="4" fillId="2" borderId="2" xfId="0" applyNumberFormat="1" applyFont="1" applyFill="1" applyBorder="1" applyAlignment="1">
      <alignment horizontal="left"/>
    </xf>
    <xf numFmtId="3" fontId="4" fillId="2" borderId="2" xfId="0" applyNumberFormat="1" applyFont="1" applyFill="1" applyBorder="1"/>
    <xf numFmtId="0" fontId="3" fillId="2" borderId="0" xfId="2" applyFill="1" applyAlignment="1">
      <alignment horizontal="left"/>
    </xf>
    <xf numFmtId="3" fontId="0" fillId="6" borderId="0" xfId="0" applyNumberFormat="1" applyFill="1" applyAlignment="1">
      <alignment horizontal="center"/>
    </xf>
    <xf numFmtId="3" fontId="5" fillId="6" borderId="0" xfId="0" applyNumberFormat="1" applyFont="1" applyFill="1" applyAlignment="1">
      <alignment horizontal="center"/>
    </xf>
    <xf numFmtId="0" fontId="0" fillId="2" borderId="0" xfId="0" applyFill="1" applyAlignment="1">
      <alignment wrapText="1"/>
    </xf>
    <xf numFmtId="3" fontId="0" fillId="2" borderId="0" xfId="0" applyNumberFormat="1" applyFill="1" applyAlignment="1">
      <alignment horizontal="right"/>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booknordics.com/norway/northern-norway/tromso-region/reindeer-sledding-reindeer-feeding-and-sami-culture-3" TargetMode="External"/><Relationship Id="rId3" Type="http://schemas.openxmlformats.org/officeDocument/2006/relationships/hyperlink" Target="https://www.floyen.no/en/floibanen/buy-tickets/" TargetMode="External"/><Relationship Id="rId7" Type="http://schemas.openxmlformats.org/officeDocument/2006/relationships/hyperlink" Target="https://booknordics.com/norway/western-fjord-norway/bergen-and-hardanger/mostraumen-fjord-waterfall-cruise" TargetMode="External"/><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vy.no/" TargetMode="External"/><Relationship Id="rId6" Type="http://schemas.openxmlformats.org/officeDocument/2006/relationships/hyperlink" Target="https://www.fjordtours.com/en" TargetMode="External"/><Relationship Id="rId5" Type="http://schemas.openxmlformats.org/officeDocument/2006/relationships/hyperlink" Target="https://www.tromsolapland.no/activities/reindeer-feeding-and-sami-culture" TargetMode="External"/><Relationship Id="rId10" Type="http://schemas.openxmlformats.org/officeDocument/2006/relationships/printerSettings" Target="../printerSettings/printerSettings2.bin"/><Relationship Id="rId4" Type="http://schemas.openxmlformats.org/officeDocument/2006/relationships/hyperlink" Target="https://booknordics.com/norway/northern-norway/tromso-region/northern-lights-cruise-electric-ship" TargetMode="External"/><Relationship Id="rId9" Type="http://schemas.openxmlformats.org/officeDocument/2006/relationships/hyperlink" Target="https://booknordics.com/norway/northern-norway/tromso-region/full-day-magic-of-the-arctic-lights-in-tromso"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booknordics.com/norway/western-fjord-norway/bergen-and-hardanger/mostraumen-fjord-waterfall-cruise" TargetMode="External"/><Relationship Id="rId3" Type="http://schemas.openxmlformats.org/officeDocument/2006/relationships/hyperlink" Target="https://www.ilovebergen.net/tour/a-walk-through-bergen-past-present/" TargetMode="External"/><Relationship Id="rId7" Type="http://schemas.openxmlformats.org/officeDocument/2006/relationships/hyperlink" Target="https://booknordics.com/norway/northern-norway/tromso-region/tromso-fjord-photo-tour" TargetMode="External"/><Relationship Id="rId2" Type="http://schemas.openxmlformats.org/officeDocument/2006/relationships/hyperlink" Target="https://www.fjordtours.com/en" TargetMode="External"/><Relationship Id="rId1" Type="http://schemas.openxmlformats.org/officeDocument/2006/relationships/hyperlink" Target="https://www.fjordtours.com/en" TargetMode="External"/><Relationship Id="rId6" Type="http://schemas.openxmlformats.org/officeDocument/2006/relationships/hyperlink" Target="https://www.tromsolapland.no/activities/reindeer-feeding-and-sami-culture" TargetMode="External"/><Relationship Id="rId11" Type="http://schemas.openxmlformats.org/officeDocument/2006/relationships/printerSettings" Target="../printerSettings/printerSettings3.bin"/><Relationship Id="rId5" Type="http://schemas.openxmlformats.org/officeDocument/2006/relationships/hyperlink" Target="https://booknordics.com/norway/northern-norway/tromso-region/northern-lights-cruise-electric-ship" TargetMode="External"/><Relationship Id="rId10" Type="http://schemas.openxmlformats.org/officeDocument/2006/relationships/hyperlink" Target="https://booknordics.com/norway/northern-norway/tromso-region/full-day-magic-of-the-arctic-lights-in-tromso" TargetMode="External"/><Relationship Id="rId4" Type="http://schemas.openxmlformats.org/officeDocument/2006/relationships/hyperlink" Target="https://www.floyen.no/en/floibanen/buy-tickets/" TargetMode="External"/><Relationship Id="rId9" Type="http://schemas.openxmlformats.org/officeDocument/2006/relationships/hyperlink" Target="https://booknordics.com/norway/northern-norway/tromso-region/reindeer-sledding-reindeer-feeding-and-sami-culture-3"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booknordics.com/norway/western-fjord-norway/bergen-and-hardanger/mostraumen-fjord-waterfall-cruise" TargetMode="External"/><Relationship Id="rId13" Type="http://schemas.openxmlformats.org/officeDocument/2006/relationships/printerSettings" Target="../printerSettings/printerSettings4.bin"/><Relationship Id="rId3" Type="http://schemas.openxmlformats.org/officeDocument/2006/relationships/hyperlink" Target="https://www.floyen.no/en/floibanen/buy-tickets/" TargetMode="External"/><Relationship Id="rId7" Type="http://schemas.openxmlformats.org/officeDocument/2006/relationships/hyperlink" Target="https://www.fjordtours.com/en" TargetMode="External"/><Relationship Id="rId12" Type="http://schemas.openxmlformats.org/officeDocument/2006/relationships/hyperlink" Target="https://booknordics.com/norway/northern-norway/tromso-region/full-day-magic-of-the-arctic-lights-in-tromso" TargetMode="External"/><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vy.no/" TargetMode="External"/><Relationship Id="rId6" Type="http://schemas.openxmlformats.org/officeDocument/2006/relationships/hyperlink" Target="https://booknordics.com/norway/northern-norway/tromso-region/crystal-lavvy-stay-northern-lights-snowshoeing" TargetMode="External"/><Relationship Id="rId11" Type="http://schemas.openxmlformats.org/officeDocument/2006/relationships/hyperlink" Target="https://booknordics.com/norway/northern-norway/tromso-region/tromso-norway" TargetMode="External"/><Relationship Id="rId5" Type="http://schemas.openxmlformats.org/officeDocument/2006/relationships/hyperlink" Target="https://www.tromsolapland.no/activities/reindeer-feeding-and-sami-culture" TargetMode="External"/><Relationship Id="rId10" Type="http://schemas.openxmlformats.org/officeDocument/2006/relationships/hyperlink" Target="https://booknordics.com/norway/northern-norway/tromso-region/midnight-concert-in-tromso-cathedral" TargetMode="External"/><Relationship Id="rId4" Type="http://schemas.openxmlformats.org/officeDocument/2006/relationships/hyperlink" Target="https://booknordics.com/norway/northern-norway/tromso-region/northern-lights-cruise-electric-ship" TargetMode="External"/><Relationship Id="rId9" Type="http://schemas.openxmlformats.org/officeDocument/2006/relationships/hyperlink" Target="https://booknordics.com/norway/northern-norway/tromso-region/reindeer-sledding-reindeer-feeding-and-sami-culture-3"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fjordtours.com/en" TargetMode="External"/><Relationship Id="rId13" Type="http://schemas.openxmlformats.org/officeDocument/2006/relationships/hyperlink" Target="https://www.aeventyr.no/activities/northern-lights-dog-sledding-trip-in-alta" TargetMode="External"/><Relationship Id="rId3" Type="http://schemas.openxmlformats.org/officeDocument/2006/relationships/hyperlink" Target="https://www.floyen.no/en/floibanen/buy-tickets/" TargetMode="External"/><Relationship Id="rId7" Type="http://schemas.openxmlformats.org/officeDocument/2006/relationships/hyperlink" Target="https://www.aeventyr.no/activities/small-group-northern-lights-hunt" TargetMode="External"/><Relationship Id="rId12" Type="http://schemas.openxmlformats.org/officeDocument/2006/relationships/hyperlink" Target="https://www.aeventyr.no/activities/embark-on-an-arctic-adventure-dog-sledding-in-alta" TargetMode="External"/><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vy.no/" TargetMode="External"/><Relationship Id="rId6" Type="http://schemas.openxmlformats.org/officeDocument/2006/relationships/hyperlink" Target="https://booknordics.com/norway/northern-norway/tromso-region/crystal-lavvy-stay-northern-lights-snowshoeing" TargetMode="External"/><Relationship Id="rId11" Type="http://schemas.openxmlformats.org/officeDocument/2006/relationships/hyperlink" Target="https://booknordics.com/norway/northern-norway/alta-and-north-cape/entrance-ticket-igloo-hotel" TargetMode="External"/><Relationship Id="rId5" Type="http://schemas.openxmlformats.org/officeDocument/2006/relationships/hyperlink" Target="https://www.tromsolapland.no/activities/reindeer-feeding-and-sami-culture" TargetMode="External"/><Relationship Id="rId15" Type="http://schemas.openxmlformats.org/officeDocument/2006/relationships/printerSettings" Target="../printerSettings/printerSettings5.bin"/><Relationship Id="rId10" Type="http://schemas.openxmlformats.org/officeDocument/2006/relationships/hyperlink" Target="https://booknordics.com/norway/northern-norway/tromso-region/reindeer-sledding-reindeer-feeding-and-sami-culture-3" TargetMode="External"/><Relationship Id="rId4" Type="http://schemas.openxmlformats.org/officeDocument/2006/relationships/hyperlink" Target="https://booknordics.com/norway/northern-norway/tromso-region/northern-lights-cruise-electric-ship" TargetMode="External"/><Relationship Id="rId9" Type="http://schemas.openxmlformats.org/officeDocument/2006/relationships/hyperlink" Target="https://booknordics.com/norway/western-fjord-norway/bergen-and-hardanger/mostraumen-fjord-waterfall-cruise" TargetMode="External"/><Relationship Id="rId14" Type="http://schemas.openxmlformats.org/officeDocument/2006/relationships/hyperlink" Target="https://booknordics.com/norway/northern-norway/tromso-region/full-day-magic-of-the-arctic-lights-in-tromso"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fjordtours.com/en" TargetMode="External"/><Relationship Id="rId13" Type="http://schemas.openxmlformats.org/officeDocument/2006/relationships/hyperlink" Target="https://booknordics.com/norway/northern-norway/tromso-region/full-day-magic-of-the-arctic-lights-in-tromso" TargetMode="External"/><Relationship Id="rId3" Type="http://schemas.openxmlformats.org/officeDocument/2006/relationships/hyperlink" Target="https://www.floyen.no/en/floibanen/buy-tickets/" TargetMode="External"/><Relationship Id="rId7" Type="http://schemas.openxmlformats.org/officeDocument/2006/relationships/hyperlink" Target="https://booknordics.com/norway/northern-norway/alta-and-north-cape/entrance-ticket-igloo-hotel" TargetMode="External"/><Relationship Id="rId12" Type="http://schemas.openxmlformats.org/officeDocument/2006/relationships/hyperlink" Target="https://www.aeventyr.no/activities/northern-lights-dog-sledding-trip-in-alta" TargetMode="External"/><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vy.no/" TargetMode="External"/><Relationship Id="rId6" Type="http://schemas.openxmlformats.org/officeDocument/2006/relationships/hyperlink" Target="https://www.aeventyr.no/activities/small-group-northern-lights-hunt" TargetMode="External"/><Relationship Id="rId11" Type="http://schemas.openxmlformats.org/officeDocument/2006/relationships/hyperlink" Target="https://www.aeventyr.no/activities/embark-on-an-arctic-adventure-dog-sledding-in-alta" TargetMode="External"/><Relationship Id="rId5" Type="http://schemas.openxmlformats.org/officeDocument/2006/relationships/hyperlink" Target="https://www.tromsolapland.no/activities/reindeer-feeding-and-sami-culture" TargetMode="External"/><Relationship Id="rId10" Type="http://schemas.openxmlformats.org/officeDocument/2006/relationships/hyperlink" Target="https://booknordics.com/norway/northern-norway/tromso-region/reindeer-sledding-reindeer-feeding-and-sami-culture-3" TargetMode="External"/><Relationship Id="rId4" Type="http://schemas.openxmlformats.org/officeDocument/2006/relationships/hyperlink" Target="https://booknordics.com/norway/northern-norway/tromso-region/northern-lights-cruise-electric-ship" TargetMode="External"/><Relationship Id="rId9" Type="http://schemas.openxmlformats.org/officeDocument/2006/relationships/hyperlink" Target="https://booknordics.com/norway/western-fjord-norway/bergen-and-hardanger/mostraumen-fjord-waterfall-cruise" TargetMode="External"/><Relationship Id="rId14"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www.floyen.no/en/floibanen/buy-tickets/" TargetMode="External"/><Relationship Id="rId7" Type="http://schemas.openxmlformats.org/officeDocument/2006/relationships/hyperlink" Target="https://booknordics.com/norway/western-fjord-norway/bergen-and-hardanger/mostraumen-fjord-waterfall-cruise" TargetMode="External"/><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vy.no/" TargetMode="External"/><Relationship Id="rId6" Type="http://schemas.openxmlformats.org/officeDocument/2006/relationships/hyperlink" Target="https://www.fjordtours.com/en" TargetMode="External"/><Relationship Id="rId5" Type="http://schemas.openxmlformats.org/officeDocument/2006/relationships/hyperlink" Target="https://booknordics.com/norway/northern-norway/bodo-and-helgeland-coast/northern-lights-tours-bodo-norway" TargetMode="External"/><Relationship Id="rId4" Type="http://schemas.openxmlformats.org/officeDocument/2006/relationships/hyperlink" Target="https://booknordics.com/norway/northern-norway/bodo-and-helgeland-coast/arctic-coastal-walk"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fjordtours.com/en" TargetMode="External"/><Relationship Id="rId3" Type="http://schemas.openxmlformats.org/officeDocument/2006/relationships/hyperlink" Target="https://www.floyen.no/en/floibanen/buy-tickets/" TargetMode="External"/><Relationship Id="rId7" Type="http://schemas.openxmlformats.org/officeDocument/2006/relationships/hyperlink" Target="https://booknordics.com/norway/northern-norway/lofoten-and-vesteralen/winter-photography-tour-to-henningsvaer-haukland-beach" TargetMode="External"/><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vy.no/" TargetMode="External"/><Relationship Id="rId6" Type="http://schemas.openxmlformats.org/officeDocument/2006/relationships/hyperlink" Target="https://booknordics.com/norway/northern-norway/lofoten-and-vesteralen/winter-photography-tour-to-reine" TargetMode="External"/><Relationship Id="rId5" Type="http://schemas.openxmlformats.org/officeDocument/2006/relationships/hyperlink" Target="https://booknordics.com/norway/northern-norway/lofoten-and-vesteralen/sail-to-skrova-lofotens-secret-paradise-awaits" TargetMode="External"/><Relationship Id="rId10" Type="http://schemas.openxmlformats.org/officeDocument/2006/relationships/printerSettings" Target="../printerSettings/printerSettings8.bin"/><Relationship Id="rId4" Type="http://schemas.openxmlformats.org/officeDocument/2006/relationships/hyperlink" Target="https://booknordics.com/norway/northern-norway/bodo-and-helgeland-coast/bodo-kjerringoy-nordfjord-cruise" TargetMode="External"/><Relationship Id="rId9" Type="http://schemas.openxmlformats.org/officeDocument/2006/relationships/hyperlink" Target="https://booknordics.com/norway/western-fjord-norway/bergen-and-hardanger/mostraumen-fjord-waterfall-cruise"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booknordics.com/norway/northern-norway/tromso-region/tromso-fjord-adventure-tour-with-wildlife-and-lunch" TargetMode="External"/><Relationship Id="rId13" Type="http://schemas.openxmlformats.org/officeDocument/2006/relationships/hyperlink" Target="https://booknordics.com/norway/northern-norway/tromso-region/sommaroy-arctic-day-trip-a-round-tour-of-kvaloya-island" TargetMode="External"/><Relationship Id="rId3" Type="http://schemas.openxmlformats.org/officeDocument/2006/relationships/hyperlink" Target="https://www.floyen.no/en/floibanen/buy-tickets/" TargetMode="External"/><Relationship Id="rId7" Type="http://schemas.openxmlformats.org/officeDocument/2006/relationships/hyperlink" Target="https://bestarctic.com/the-arctic-route/arctic-summer-routes-explore-the-arctic/bus-between-tromso-and-lofoten-norway/" TargetMode="External"/><Relationship Id="rId12" Type="http://schemas.openxmlformats.org/officeDocument/2006/relationships/hyperlink" Target="https://booknordics.com/norway/northern-norway/bodo-and-helgeland-coast/ribzodiac-to-saltstraumen-with-white-tailed-eagle-safari" TargetMode="External"/><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vy.no/" TargetMode="External"/><Relationship Id="rId6" Type="http://schemas.openxmlformats.org/officeDocument/2006/relationships/hyperlink" Target="https://booknordics.com/norway/northern-norway/lofoten-and-vesteralen/winter-photography-tour-to-reine" TargetMode="External"/><Relationship Id="rId11" Type="http://schemas.openxmlformats.org/officeDocument/2006/relationships/hyperlink" Target="https://booknordics.com/norway/northern-norway/lofoten-and-vesteralen/winter-photography-tour-to-henningsvaer-haukland-beach" TargetMode="External"/><Relationship Id="rId5" Type="http://schemas.openxmlformats.org/officeDocument/2006/relationships/hyperlink" Target="https://booknordics.com/norway/northern-norway/lofoten-and-vesteralen/sail-to-skrova-lofotens-secret-paradise-awaits" TargetMode="External"/><Relationship Id="rId10" Type="http://schemas.openxmlformats.org/officeDocument/2006/relationships/hyperlink" Target="https://booknordics.com/norway/western-fjord-norway/bergen-and-hardanger/mostraumen-fjord-waterfall-cruise" TargetMode="External"/><Relationship Id="rId4" Type="http://schemas.openxmlformats.org/officeDocument/2006/relationships/hyperlink" Target="https://booknordics.com/norway/northern-norway/bodo-and-helgeland-coast/bodo-kjerringoy-nordfjord-cruise" TargetMode="External"/><Relationship Id="rId9" Type="http://schemas.openxmlformats.org/officeDocument/2006/relationships/hyperlink" Target="https://www.fjordtours.com/en" TargetMode="External"/><Relationship Id="rId14"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8" Type="http://schemas.openxmlformats.org/officeDocument/2006/relationships/hyperlink" Target="https://booknordics.com/norway/northern-norway/bodo-and-helgeland-coast/ribzodiac-to-saltstraumen-with-white-tailed-eagle-safari" TargetMode="External"/><Relationship Id="rId3" Type="http://schemas.openxmlformats.org/officeDocument/2006/relationships/hyperlink" Target="https://www.floyen.no/en/floibanen/buy-tickets/" TargetMode="External"/><Relationship Id="rId7" Type="http://schemas.openxmlformats.org/officeDocument/2006/relationships/hyperlink" Target="https://booknordics.com/norway/western-fjord-norway/bergen-and-hardanger/mostraumen-fjord-waterfall-cruise" TargetMode="External"/><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vy.no/" TargetMode="External"/><Relationship Id="rId6" Type="http://schemas.openxmlformats.org/officeDocument/2006/relationships/hyperlink" Target="https://www.fjordtours.com/en" TargetMode="External"/><Relationship Id="rId5" Type="http://schemas.openxmlformats.org/officeDocument/2006/relationships/hyperlink" Target="https://booknordics.com/norway/northern-norway/lofoten-and-vesteralen/sail-to-skrova-lofotens-secret-paradise-awaits" TargetMode="External"/><Relationship Id="rId4" Type="http://schemas.openxmlformats.org/officeDocument/2006/relationships/hyperlink" Target="https://booknordics.com/norway/northern-norway/bodo-and-helgeland-coast/bodo-kjerringoy-nordfjord-cruise" TargetMode="External"/><Relationship Id="rId9"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8" Type="http://schemas.openxmlformats.org/officeDocument/2006/relationships/hyperlink" Target="https://booknordics.com/norway/northern-norway/tromso-region/full-day-magic-of-the-arctic-lights-in-tromso" TargetMode="External"/><Relationship Id="rId3" Type="http://schemas.openxmlformats.org/officeDocument/2006/relationships/hyperlink" Target="https://booknordics.com/norway/northern-norway/bodo-and-helgeland-coast/arctic-coastal-walk" TargetMode="External"/><Relationship Id="rId7" Type="http://schemas.openxmlformats.org/officeDocument/2006/relationships/hyperlink" Target="https://booknordics.com/norway/northern-norway/bodo-and-helgeland-coast/ultimate-caving-adventure-in-bodo" TargetMode="External"/><Relationship Id="rId2" Type="http://schemas.openxmlformats.org/officeDocument/2006/relationships/hyperlink" Target="https://www.tromsolapland.no/activities/reindeer-feeding-and-sami-culture" TargetMode="External"/><Relationship Id="rId1" Type="http://schemas.openxmlformats.org/officeDocument/2006/relationships/hyperlink" Target="https://booknordics.com/norway/northern-norway/tromso-region/northern-lights-cruise-electric-ship" TargetMode="External"/><Relationship Id="rId6" Type="http://schemas.openxmlformats.org/officeDocument/2006/relationships/hyperlink" Target="https://booknordics.com/norway/northern-norway/tromso-region/reindeer-sledding-reindeer-feeding-and-sami-culture-3" TargetMode="External"/><Relationship Id="rId5" Type="http://schemas.openxmlformats.org/officeDocument/2006/relationships/hyperlink" Target="https://booknordics.com/norway/northern-norway/bodo-and-helgeland-coast/bodo-kunst-og-historievandring-i-bodo-sentrum" TargetMode="External"/><Relationship Id="rId4" Type="http://schemas.openxmlformats.org/officeDocument/2006/relationships/hyperlink" Target="https://booknordics.com/norway/northern-norway/bodo-and-helgeland-coast/northern-lights-tours-bodo-norway" TargetMode="External"/><Relationship Id="rId9"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hyperlink" Target="https://booknordics.com/norway/eastern-norway/oslo/oslo-fjord-gourmet-dinner-cruise" TargetMode="External"/><Relationship Id="rId2" Type="http://schemas.openxmlformats.org/officeDocument/2006/relationships/hyperlink" Target="https://booknordics.com/norway/eastern-norway/oslo/oslofjord-sightseeing-cruise" TargetMode="External"/><Relationship Id="rId1" Type="http://schemas.openxmlformats.org/officeDocument/2006/relationships/hyperlink" Target="https://booknordics.com/norway/northern-norway/bodo-and-helgeland-coast/3-dagers-skjaergardsseiling-rundt-vega-oyene" TargetMode="External"/><Relationship Id="rId4"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13.bin"/><Relationship Id="rId3" Type="http://schemas.openxmlformats.org/officeDocument/2006/relationships/hyperlink" Target="https://www.floyen.no/en/floibanen/buy-tickets/" TargetMode="External"/><Relationship Id="rId7" Type="http://schemas.openxmlformats.org/officeDocument/2006/relationships/hyperlink" Target="https://rodne.no/fjordopplevelser/stavanger/fjordcruise-lysefjorden-preikestolen/" TargetMode="External"/><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fjordtours.com/en" TargetMode="External"/><Relationship Id="rId6" Type="http://schemas.openxmlformats.org/officeDocument/2006/relationships/hyperlink" Target="https://booknordics.com/norway/western-fjord-norway/bergen-and-hardanger/mostraumen-fjord-waterfall-cruise" TargetMode="External"/><Relationship Id="rId5" Type="http://schemas.openxmlformats.org/officeDocument/2006/relationships/hyperlink" Target="https://www.vy.no/bestill-v2/58bfb11e-6ddd-4bfc-8f17-c9e9484cf4b4/billett" TargetMode="External"/><Relationship Id="rId4" Type="http://schemas.openxmlformats.org/officeDocument/2006/relationships/hyperlink" Target="https://bookingv3.fjordline.com/nb/journey"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floyen.no/en/floibanen/buy-tickets/" TargetMode="External"/><Relationship Id="rId7" Type="http://schemas.openxmlformats.org/officeDocument/2006/relationships/printerSettings" Target="../printerSettings/printerSettings14.bin"/><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fjordtours.com/en" TargetMode="External"/><Relationship Id="rId6" Type="http://schemas.openxmlformats.org/officeDocument/2006/relationships/hyperlink" Target="https://booknordics.com/norway/western-fjord-norway/alesund-and-geiranger/family-kayaking-in-alesund" TargetMode="External"/><Relationship Id="rId5" Type="http://schemas.openxmlformats.org/officeDocument/2006/relationships/hyperlink" Target="https://booknordics.com/norway/western-fjord-norway/bergen-and-hardanger/mostraumen-fjord-waterfall-cruise" TargetMode="External"/><Relationship Id="rId4" Type="http://schemas.openxmlformats.org/officeDocument/2006/relationships/hyperlink" Target="https://www.geirangerfjord.no/"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booknordics.com/norway/eastern-norway/oslo/oslo-fjord-gourmet-dinner-cruise" TargetMode="External"/><Relationship Id="rId3" Type="http://schemas.openxmlformats.org/officeDocument/2006/relationships/hyperlink" Target="https://www.floyen.no/en/floibanen/buy-tickets/" TargetMode="External"/><Relationship Id="rId7" Type="http://schemas.openxmlformats.org/officeDocument/2006/relationships/hyperlink" Target="https://booknordics.com/norway/eastern-norway/oslo/oslofjord-sightseeing-cruise" TargetMode="External"/><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fjordtours.com/en" TargetMode="External"/><Relationship Id="rId6" Type="http://schemas.openxmlformats.org/officeDocument/2006/relationships/hyperlink" Target="https://www.getyourguide.com/trondheim-l32374/trondheim-1-day-hop-on-hop-off-sightseeing-bus-grayline-t1010536/?ranking_uuid=26fe0a5d-d50f-4b57-bc51-010d10c8cf45" TargetMode="External"/><Relationship Id="rId5" Type="http://schemas.openxmlformats.org/officeDocument/2006/relationships/hyperlink" Target="https://www.trondheimcitytours.com/tours/city-walk" TargetMode="External"/><Relationship Id="rId10" Type="http://schemas.openxmlformats.org/officeDocument/2006/relationships/printerSettings" Target="../printerSettings/printerSettings15.bin"/><Relationship Id="rId4" Type="http://schemas.openxmlformats.org/officeDocument/2006/relationships/hyperlink" Target="https://www.geirangerfjord.no/" TargetMode="External"/><Relationship Id="rId9" Type="http://schemas.openxmlformats.org/officeDocument/2006/relationships/hyperlink" Target="https://booknordics.com/norway/western-fjord-norway/bergen-and-hardanger/mostraumen-fjord-waterfall-cruise" TargetMode="External"/></Relationships>
</file>

<file path=xl/worksheets/_rels/sheet17.xml.rels><?xml version="1.0" encoding="UTF-8" standalone="yes"?>
<Relationships xmlns="http://schemas.openxmlformats.org/package/2006/relationships"><Relationship Id="rId8" Type="http://schemas.openxmlformats.org/officeDocument/2006/relationships/printerSettings" Target="../printerSettings/printerSettings16.bin"/><Relationship Id="rId3" Type="http://schemas.openxmlformats.org/officeDocument/2006/relationships/hyperlink" Target="https://www.floyen.no/en/floibanen/buy-tickets/" TargetMode="External"/><Relationship Id="rId7" Type="http://schemas.openxmlformats.org/officeDocument/2006/relationships/hyperlink" Target="https://booknordics.com/norway/western-fjord-norway/bergen-and-hardanger/mostraumen-fjord-waterfall-cruise" TargetMode="External"/><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fjordtours.com/en" TargetMode="External"/><Relationship Id="rId6" Type="http://schemas.openxmlformats.org/officeDocument/2006/relationships/hyperlink" Target="https://www.getyourguide.com/trondheim-l32374/trondheim-1-day-hop-on-hop-off-sightseeing-bus-grayline-t1010536/?ranking_uuid=26fe0a5d-d50f-4b57-bc51-010d10c8cf45" TargetMode="External"/><Relationship Id="rId5" Type="http://schemas.openxmlformats.org/officeDocument/2006/relationships/hyperlink" Target="https://www.trondheimcitytours.com/tours/city-walk" TargetMode="External"/><Relationship Id="rId4" Type="http://schemas.openxmlformats.org/officeDocument/2006/relationships/hyperlink" Target="https://www.geirangerfjord.no/"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pub.dialogapi.no/v/b92d1fec-3684-42d6-9b69-b40769573a1b" TargetMode="External"/><Relationship Id="rId1" Type="http://schemas.openxmlformats.org/officeDocument/2006/relationships/hyperlink" Target="https://booknordics.com/norway/northern-norway/lofoten-and-vesteralen/winter-photography-tour-to-henningsvaer-haukland-beach"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www.floyen.no/en/floibanen/buy-tickets/" TargetMode="External"/><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fjordtours.com/en" TargetMode="External"/><Relationship Id="rId5" Type="http://schemas.openxmlformats.org/officeDocument/2006/relationships/printerSettings" Target="../printerSettings/printerSettings18.bin"/><Relationship Id="rId4" Type="http://schemas.openxmlformats.org/officeDocument/2006/relationships/hyperlink" Target="https://pub.dialogapi.no/v/b92d1fec-3684-42d6-9b69-b40769573a1b"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booknordics.com/norway/northern-norway/tromso-region/full-day-magic-of-the-arctic-lights-in-tromso" TargetMode="External"/><Relationship Id="rId3" Type="http://schemas.openxmlformats.org/officeDocument/2006/relationships/hyperlink" Target="https://www.tromsolapland.no/activities/reindeer-feeding-and-sami-culture" TargetMode="External"/><Relationship Id="rId7" Type="http://schemas.openxmlformats.org/officeDocument/2006/relationships/hyperlink" Target="https://rorosmuseet.no/apningstider-smelthytta" TargetMode="External"/><Relationship Id="rId2" Type="http://schemas.openxmlformats.org/officeDocument/2006/relationships/hyperlink" Target="https://booknordics.com/norway/northern-norway/tromso-region/northern-lights-cruise-electric-ship" TargetMode="External"/><Relationship Id="rId1" Type="http://schemas.openxmlformats.org/officeDocument/2006/relationships/hyperlink" Target="https://pub.dialogapi.no/v/b92d1fec-3684-42d6-9b69-b40769573a1b" TargetMode="External"/><Relationship Id="rId6" Type="http://schemas.openxmlformats.org/officeDocument/2006/relationships/hyperlink" Target="https://booknordics.com/norway/northern-norway/tromso-region/reindeer-sledding-reindeer-feeding-and-sami-culture-3" TargetMode="External"/><Relationship Id="rId5" Type="http://schemas.openxmlformats.org/officeDocument/2006/relationships/hyperlink" Target="https://www.vy.no/" TargetMode="External"/><Relationship Id="rId4" Type="http://schemas.openxmlformats.org/officeDocument/2006/relationships/hyperlink" Target="https://www.vy.no/" TargetMode="External"/><Relationship Id="rId9"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8" Type="http://schemas.openxmlformats.org/officeDocument/2006/relationships/hyperlink" Target="https://booknordics.com/norway/northern-norway/tromso-region/reindeer-sledding-reindeer-feeding-and-sami-culture-3" TargetMode="External"/><Relationship Id="rId3" Type="http://schemas.openxmlformats.org/officeDocument/2006/relationships/hyperlink" Target="https://www.floyen.no/en/floibanen/buy-tickets/" TargetMode="External"/><Relationship Id="rId7" Type="http://schemas.openxmlformats.org/officeDocument/2006/relationships/hyperlink" Target="https://booknordics.com/norway/western-fjord-norway/bergen-and-hardanger/mostraumen-fjord-waterfall-cruise" TargetMode="External"/><Relationship Id="rId2" Type="http://schemas.openxmlformats.org/officeDocument/2006/relationships/hyperlink" Target="https://www.ilovebergen.net/tour/a-walk-through-bergen-past-present/" TargetMode="External"/><Relationship Id="rId1" Type="http://schemas.openxmlformats.org/officeDocument/2006/relationships/hyperlink" Target="https://www.vy.no/" TargetMode="External"/><Relationship Id="rId6" Type="http://schemas.openxmlformats.org/officeDocument/2006/relationships/hyperlink" Target="https://www.fjordtours.com/en" TargetMode="External"/><Relationship Id="rId5" Type="http://schemas.openxmlformats.org/officeDocument/2006/relationships/hyperlink" Target="https://www.tromsolapland.no/activities/reindeer-feeding-and-sami-culture" TargetMode="External"/><Relationship Id="rId10" Type="http://schemas.openxmlformats.org/officeDocument/2006/relationships/printerSettings" Target="../printerSettings/printerSettings23.bin"/><Relationship Id="rId4" Type="http://schemas.openxmlformats.org/officeDocument/2006/relationships/hyperlink" Target="https://booknordics.com/norway/northern-norway/tromso-region/northern-lights-cruise-electric-ship" TargetMode="External"/><Relationship Id="rId9" Type="http://schemas.openxmlformats.org/officeDocument/2006/relationships/hyperlink" Target="https://booknordics.com/norway/northern-norway/tromso-region/full-day-magic-of-the-arctic-lights-in-troms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904EA-7225-42CC-89DC-05C1D7355F04}">
  <dimension ref="B1:C7"/>
  <sheetViews>
    <sheetView workbookViewId="0">
      <selection activeCell="G17" sqref="G17"/>
    </sheetView>
  </sheetViews>
  <sheetFormatPr defaultRowHeight="15" x14ac:dyDescent="0.25"/>
  <cols>
    <col min="1" max="1" width="2.5703125" customWidth="1"/>
  </cols>
  <sheetData>
    <row r="1" spans="2:3" x14ac:dyDescent="0.25">
      <c r="C1" t="s">
        <v>8</v>
      </c>
    </row>
    <row r="2" spans="2:3" x14ac:dyDescent="0.25">
      <c r="B2" t="s">
        <v>10</v>
      </c>
      <c r="C2">
        <v>11.2</v>
      </c>
    </row>
    <row r="3" spans="2:3" x14ac:dyDescent="0.25">
      <c r="B3" t="s">
        <v>15</v>
      </c>
      <c r="C3">
        <v>1.02</v>
      </c>
    </row>
    <row r="4" spans="2:3" x14ac:dyDescent="0.25">
      <c r="B4" t="s">
        <v>16</v>
      </c>
      <c r="C4">
        <v>1.5</v>
      </c>
    </row>
    <row r="5" spans="2:3" x14ac:dyDescent="0.25">
      <c r="B5" t="s">
        <v>17</v>
      </c>
      <c r="C5">
        <v>7.4999999999999997E-2</v>
      </c>
    </row>
    <row r="6" spans="2:3" x14ac:dyDescent="0.25">
      <c r="B6" t="s">
        <v>8</v>
      </c>
      <c r="C6">
        <v>1</v>
      </c>
    </row>
    <row r="7" spans="2:3" x14ac:dyDescent="0.25">
      <c r="B7" t="s">
        <v>31</v>
      </c>
      <c r="C7">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F98B-198D-45E4-8C77-83B781E9DFDD}">
  <sheetPr>
    <tabColor rgb="FFFFFF00"/>
  </sheetPr>
  <dimension ref="B1:AK123"/>
  <sheetViews>
    <sheetView zoomScale="80" zoomScaleNormal="80" workbookViewId="0">
      <selection activeCell="W7" sqref="W7"/>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162</v>
      </c>
    </row>
    <row r="2" spans="2:36" x14ac:dyDescent="0.25">
      <c r="B2" s="2" t="s">
        <v>230</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E7" s="3"/>
      <c r="F7" s="3"/>
      <c r="G7" s="3"/>
      <c r="H7" s="3"/>
      <c r="K7" s="4"/>
      <c r="L7" s="4"/>
      <c r="M7" s="4"/>
      <c r="N7" s="4"/>
      <c r="O7" s="4"/>
      <c r="P7" s="27"/>
      <c r="Q7" s="25">
        <v>0</v>
      </c>
      <c r="R7" s="25">
        <v>0</v>
      </c>
      <c r="S7" s="12">
        <f t="shared" ref="S7:S70" si="0">+Q7*R7</f>
        <v>0</v>
      </c>
      <c r="T7" s="5">
        <v>0</v>
      </c>
      <c r="U7" s="12">
        <f t="shared" ref="U7:U70" si="1">S7*(1-T7)</f>
        <v>0</v>
      </c>
      <c r="V7" s="25" t="s">
        <v>10</v>
      </c>
      <c r="W7" s="11">
        <f>IFERROR(VLOOKUP(V7,Curr!$B$2:$C$13,2,FALSE),0)</f>
        <v>11.2</v>
      </c>
      <c r="X7" s="12">
        <f t="shared" ref="X7:X70" si="2">U7*W7</f>
        <v>0</v>
      </c>
      <c r="Y7" s="26">
        <f t="shared" ref="Y7:Y70" si="3">Q7</f>
        <v>0</v>
      </c>
      <c r="Z7" s="12">
        <f t="shared" ref="Z7:Z70" si="4">+Y7*R7</f>
        <v>0</v>
      </c>
      <c r="AA7" s="4" t="s">
        <v>10</v>
      </c>
      <c r="AB7" s="11">
        <f>IFERROR(VLOOKUP(AA7,Curr!$B$2:$C$13,2,FALSE),0)</f>
        <v>11.2</v>
      </c>
      <c r="AC7" s="12">
        <f t="shared" ref="AC7:AC70" si="5">+Y7*AB7*R7</f>
        <v>0</v>
      </c>
      <c r="AD7" s="12">
        <f t="shared" ref="AD7:AD70" si="6">+AC7-X7</f>
        <v>0</v>
      </c>
      <c r="AE7" s="13">
        <f t="shared" ref="AE7:AE70" si="7">IFERROR(AD7/AC7,0)</f>
        <v>0</v>
      </c>
    </row>
    <row r="8" spans="2:36" x14ac:dyDescent="0.25">
      <c r="B8" s="4"/>
      <c r="E8" s="3"/>
      <c r="F8" s="3"/>
      <c r="G8" s="24"/>
      <c r="H8" s="24"/>
      <c r="K8" s="4"/>
      <c r="L8" s="4"/>
      <c r="M8" s="4"/>
      <c r="N8" s="4"/>
      <c r="O8" s="4"/>
      <c r="P8" s="27"/>
      <c r="Q8" s="25">
        <v>0</v>
      </c>
      <c r="R8" s="25">
        <v>0</v>
      </c>
      <c r="S8" s="12">
        <f t="shared" si="0"/>
        <v>0</v>
      </c>
      <c r="T8" s="5">
        <v>0</v>
      </c>
      <c r="U8" s="12">
        <f t="shared" si="1"/>
        <v>0</v>
      </c>
      <c r="V8" s="25" t="s">
        <v>10</v>
      </c>
      <c r="W8" s="11">
        <f>IFERROR(VLOOKUP(V8,Curr!$B$2:$C$13,2,FALSE),0)</f>
        <v>11.2</v>
      </c>
      <c r="X8" s="12">
        <f t="shared" si="2"/>
        <v>0</v>
      </c>
      <c r="Y8" s="26">
        <f t="shared" si="3"/>
        <v>0</v>
      </c>
      <c r="Z8" s="12">
        <f t="shared" si="4"/>
        <v>0</v>
      </c>
      <c r="AA8" s="4" t="s">
        <v>10</v>
      </c>
      <c r="AB8" s="11">
        <f>IFERROR(VLOOKUP(AA8,Curr!$B$2:$C$13,2,FALSE),0)</f>
        <v>11.2</v>
      </c>
      <c r="AC8" s="12">
        <f t="shared" si="5"/>
        <v>0</v>
      </c>
      <c r="AD8" s="12">
        <f t="shared" si="6"/>
        <v>0</v>
      </c>
      <c r="AE8" s="13">
        <f t="shared" si="7"/>
        <v>0</v>
      </c>
    </row>
    <row r="9" spans="2:36" x14ac:dyDescent="0.25">
      <c r="B9" s="4"/>
      <c r="E9" s="3"/>
      <c r="F9" s="3"/>
      <c r="G9" s="24"/>
      <c r="H9" s="24"/>
      <c r="K9" s="4"/>
      <c r="L9" s="4"/>
      <c r="M9" s="4"/>
      <c r="N9" s="4"/>
      <c r="O9" s="4"/>
      <c r="P9" s="33"/>
      <c r="Q9" s="25">
        <v>0</v>
      </c>
      <c r="R9" s="25">
        <v>0</v>
      </c>
      <c r="S9" s="12">
        <f t="shared" si="0"/>
        <v>0</v>
      </c>
      <c r="T9" s="5">
        <v>0</v>
      </c>
      <c r="U9" s="12">
        <f t="shared" si="1"/>
        <v>0</v>
      </c>
      <c r="V9" s="25" t="s">
        <v>10</v>
      </c>
      <c r="W9" s="11">
        <f>IFERROR(VLOOKUP(V9,Curr!$B$2:$C$13,2,FALSE),0)</f>
        <v>11.2</v>
      </c>
      <c r="X9" s="12">
        <f t="shared" si="2"/>
        <v>0</v>
      </c>
      <c r="Y9" s="26">
        <f t="shared" si="3"/>
        <v>0</v>
      </c>
      <c r="Z9" s="12">
        <f t="shared" si="4"/>
        <v>0</v>
      </c>
      <c r="AA9" s="4" t="s">
        <v>10</v>
      </c>
      <c r="AB9" s="11">
        <f>IFERROR(VLOOKUP(AA9,Curr!$B$2:$C$13,2,FALSE),0)</f>
        <v>11.2</v>
      </c>
      <c r="AC9" s="12">
        <f t="shared" si="5"/>
        <v>0</v>
      </c>
      <c r="AD9" s="12">
        <f t="shared" si="6"/>
        <v>0</v>
      </c>
      <c r="AE9" s="13">
        <f t="shared" si="7"/>
        <v>0</v>
      </c>
    </row>
    <row r="10" spans="2:36" x14ac:dyDescent="0.25">
      <c r="B10" s="4"/>
      <c r="E10" s="3"/>
      <c r="F10" s="3"/>
      <c r="G10" s="24"/>
      <c r="H10" s="24"/>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v>0</v>
      </c>
      <c r="R11" s="25">
        <v>0</v>
      </c>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E12" s="3"/>
      <c r="F12" s="3"/>
      <c r="G12" s="24"/>
      <c r="H12" s="24"/>
      <c r="K12" s="4"/>
      <c r="L12" s="4"/>
      <c r="M12" s="4"/>
      <c r="N12" s="4"/>
      <c r="O12" s="4"/>
      <c r="P12" s="33"/>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E13" s="3"/>
      <c r="F13" s="3"/>
      <c r="G13" s="24"/>
      <c r="H13" s="24"/>
      <c r="K13" s="4"/>
      <c r="L13" s="4"/>
      <c r="M13" s="4"/>
      <c r="N13" s="4"/>
      <c r="O13" s="4"/>
      <c r="P13" s="27"/>
      <c r="Q13" s="25">
        <v>0</v>
      </c>
      <c r="R13" s="25">
        <v>0</v>
      </c>
      <c r="S13" s="12">
        <f t="shared" si="0"/>
        <v>0</v>
      </c>
      <c r="T13" s="5">
        <v>0</v>
      </c>
      <c r="U13" s="12">
        <f t="shared" si="1"/>
        <v>0</v>
      </c>
      <c r="V13" s="25" t="s">
        <v>10</v>
      </c>
      <c r="W13" s="11">
        <f>IFERROR(VLOOKUP(V13,Curr!$B$2:$C$13,2,FALSE),0)</f>
        <v>11.2</v>
      </c>
      <c r="X13" s="12">
        <f t="shared" si="2"/>
        <v>0</v>
      </c>
      <c r="Y13" s="26">
        <f t="shared" si="3"/>
        <v>0</v>
      </c>
      <c r="Z13" s="12">
        <f t="shared" si="4"/>
        <v>0</v>
      </c>
      <c r="AA13" s="4" t="s">
        <v>10</v>
      </c>
      <c r="AB13" s="11">
        <f>IFERROR(VLOOKUP(AA13,Curr!$B$2:$C$13,2,FALSE),0)</f>
        <v>11.2</v>
      </c>
      <c r="AC13" s="12">
        <f t="shared" si="5"/>
        <v>0</v>
      </c>
      <c r="AD13" s="12">
        <f t="shared" si="6"/>
        <v>0</v>
      </c>
      <c r="AE13" s="13">
        <f t="shared" si="7"/>
        <v>0</v>
      </c>
    </row>
    <row r="14" spans="2:36" x14ac:dyDescent="0.25">
      <c r="B14" s="4"/>
      <c r="E14" s="3"/>
      <c r="F14" s="3"/>
      <c r="G14" s="24"/>
      <c r="H14" s="24"/>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si="3"/>
        <v>0</v>
      </c>
      <c r="Z14" s="12">
        <f t="shared" si="4"/>
        <v>0</v>
      </c>
      <c r="AA14" s="4" t="s">
        <v>10</v>
      </c>
      <c r="AB14" s="11">
        <f>IFERROR(VLOOKUP(AA14,Curr!$B$2:$C$13,2,FALSE),0)</f>
        <v>11.2</v>
      </c>
      <c r="AC14" s="12">
        <f t="shared" si="5"/>
        <v>0</v>
      </c>
      <c r="AD14" s="12">
        <f t="shared" si="6"/>
        <v>0</v>
      </c>
      <c r="AE14" s="13">
        <f t="shared" si="7"/>
        <v>0</v>
      </c>
    </row>
    <row r="15" spans="2:36" x14ac:dyDescent="0.25">
      <c r="B15" s="4"/>
      <c r="E15" s="3"/>
      <c r="F15" s="3"/>
      <c r="G15" s="24"/>
      <c r="H15" s="24"/>
      <c r="K15" s="4"/>
      <c r="L15" s="4"/>
      <c r="M15" s="4"/>
      <c r="N15" s="4"/>
      <c r="O15" s="4"/>
      <c r="P15" s="27"/>
      <c r="Q15" s="25">
        <v>0</v>
      </c>
      <c r="R15" s="25">
        <v>0</v>
      </c>
      <c r="S15" s="12">
        <f t="shared" si="0"/>
        <v>0</v>
      </c>
      <c r="T15" s="5">
        <v>0</v>
      </c>
      <c r="U15" s="12">
        <f t="shared" si="1"/>
        <v>0</v>
      </c>
      <c r="V15" s="25" t="s">
        <v>10</v>
      </c>
      <c r="W15" s="11">
        <f>IFERROR(VLOOKUP(V15,Curr!$B$2:$C$13,2,FALSE),0)</f>
        <v>11.2</v>
      </c>
      <c r="X15" s="12">
        <f t="shared" si="2"/>
        <v>0</v>
      </c>
      <c r="Y15" s="26">
        <f t="shared" si="3"/>
        <v>0</v>
      </c>
      <c r="Z15" s="12">
        <f t="shared" si="4"/>
        <v>0</v>
      </c>
      <c r="AA15" s="4" t="s">
        <v>10</v>
      </c>
      <c r="AB15" s="11">
        <f>IFERROR(VLOOKUP(AA15,Curr!$B$2:$C$13,2,FALSE),0)</f>
        <v>11.2</v>
      </c>
      <c r="AC15" s="12">
        <f t="shared" si="5"/>
        <v>0</v>
      </c>
      <c r="AD15" s="12">
        <f t="shared" si="6"/>
        <v>0</v>
      </c>
      <c r="AE15" s="13">
        <f t="shared" si="7"/>
        <v>0</v>
      </c>
    </row>
    <row r="16" spans="2:36" x14ac:dyDescent="0.25">
      <c r="B16" s="4"/>
      <c r="E16" s="3"/>
      <c r="F16" s="3"/>
      <c r="G16" s="24"/>
      <c r="H16" s="24"/>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3"/>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v>0</v>
      </c>
      <c r="R17" s="25">
        <v>0</v>
      </c>
      <c r="S17" s="12">
        <f t="shared" si="0"/>
        <v>0</v>
      </c>
      <c r="T17" s="5">
        <v>0</v>
      </c>
      <c r="U17" s="12">
        <f t="shared" si="1"/>
        <v>0</v>
      </c>
      <c r="V17" s="25" t="s">
        <v>10</v>
      </c>
      <c r="W17" s="11">
        <f>IFERROR(VLOOKUP(V17,Curr!$B$2:$C$13,2,FALSE),0)</f>
        <v>11.2</v>
      </c>
      <c r="X17" s="12">
        <f t="shared" si="2"/>
        <v>0</v>
      </c>
      <c r="Y17" s="26">
        <f t="shared" si="3"/>
        <v>0</v>
      </c>
      <c r="Z17" s="12">
        <f t="shared" si="4"/>
        <v>0</v>
      </c>
      <c r="AA17" s="4" t="s">
        <v>10</v>
      </c>
      <c r="AB17" s="11">
        <f>IFERROR(VLOOKUP(AA17,Curr!$B$2:$C$13,2,FALSE),0)</f>
        <v>11.2</v>
      </c>
      <c r="AC17" s="12">
        <f t="shared" si="5"/>
        <v>0</v>
      </c>
      <c r="AD17" s="12">
        <f t="shared" si="6"/>
        <v>0</v>
      </c>
      <c r="AE17" s="13">
        <f t="shared" si="7"/>
        <v>0</v>
      </c>
    </row>
    <row r="18" spans="2:31" x14ac:dyDescent="0.25">
      <c r="B18" s="4"/>
      <c r="E18" s="3"/>
      <c r="F18" s="3"/>
      <c r="G18" s="24"/>
      <c r="H18" s="24"/>
      <c r="K18" s="4"/>
      <c r="L18" s="4"/>
      <c r="M18" s="4"/>
      <c r="N18" s="4"/>
      <c r="O18" s="4"/>
      <c r="P18" s="27"/>
      <c r="Q18" s="25">
        <v>0</v>
      </c>
      <c r="R18" s="25">
        <v>0</v>
      </c>
      <c r="S18" s="12">
        <f t="shared" si="0"/>
        <v>0</v>
      </c>
      <c r="T18" s="5">
        <v>0</v>
      </c>
      <c r="U18" s="12">
        <f t="shared" si="1"/>
        <v>0</v>
      </c>
      <c r="V18" s="25" t="s">
        <v>10</v>
      </c>
      <c r="W18" s="11">
        <f>IFERROR(VLOOKUP(V18,Curr!$B$2:$C$13,2,FALSE),0)</f>
        <v>11.2</v>
      </c>
      <c r="X18" s="12">
        <f t="shared" si="2"/>
        <v>0</v>
      </c>
      <c r="Y18" s="26">
        <f t="shared" si="3"/>
        <v>0</v>
      </c>
      <c r="Z18" s="12">
        <f t="shared" si="4"/>
        <v>0</v>
      </c>
      <c r="AA18" s="4" t="s">
        <v>10</v>
      </c>
      <c r="AB18" s="11">
        <f>IFERROR(VLOOKUP(AA18,Curr!$B$2:$C$13,2,FALSE),0)</f>
        <v>11.2</v>
      </c>
      <c r="AC18" s="12">
        <f t="shared" si="5"/>
        <v>0</v>
      </c>
      <c r="AD18" s="12">
        <f t="shared" si="6"/>
        <v>0</v>
      </c>
      <c r="AE18" s="13">
        <f t="shared" si="7"/>
        <v>0</v>
      </c>
    </row>
    <row r="19" spans="2:31" x14ac:dyDescent="0.25">
      <c r="B19" s="4"/>
      <c r="E19" s="3"/>
      <c r="F19" s="3"/>
      <c r="G19" s="24"/>
      <c r="H19" s="24"/>
      <c r="K19" s="4"/>
      <c r="L19" s="4"/>
      <c r="M19" s="4"/>
      <c r="N19" s="4"/>
      <c r="O19" s="4"/>
      <c r="P19" s="27"/>
      <c r="Q19" s="25">
        <v>0</v>
      </c>
      <c r="R19" s="25">
        <v>0</v>
      </c>
      <c r="S19" s="12">
        <f t="shared" si="0"/>
        <v>0</v>
      </c>
      <c r="T19" s="5">
        <v>0</v>
      </c>
      <c r="U19" s="12">
        <f t="shared" si="1"/>
        <v>0</v>
      </c>
      <c r="V19" s="25" t="s">
        <v>10</v>
      </c>
      <c r="W19" s="11">
        <f>IFERROR(VLOOKUP(V19,Curr!$B$2:$C$13,2,FALSE),0)</f>
        <v>11.2</v>
      </c>
      <c r="X19" s="12">
        <f t="shared" si="2"/>
        <v>0</v>
      </c>
      <c r="Y19" s="26">
        <f t="shared" si="3"/>
        <v>0</v>
      </c>
      <c r="Z19" s="12">
        <f t="shared" si="4"/>
        <v>0</v>
      </c>
      <c r="AA19" s="4" t="s">
        <v>10</v>
      </c>
      <c r="AB19" s="11">
        <f>IFERROR(VLOOKUP(AA19,Curr!$B$2:$C$13,2,FALSE),0)</f>
        <v>11.2</v>
      </c>
      <c r="AC19" s="12">
        <f t="shared" si="5"/>
        <v>0</v>
      </c>
      <c r="AD19" s="12">
        <f t="shared" si="6"/>
        <v>0</v>
      </c>
      <c r="AE19" s="13">
        <f t="shared" si="7"/>
        <v>0</v>
      </c>
    </row>
    <row r="20" spans="2:31" x14ac:dyDescent="0.25">
      <c r="B20" s="4"/>
      <c r="E20" s="3"/>
      <c r="F20" s="3"/>
      <c r="G20" s="24"/>
      <c r="H20" s="24"/>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si="3"/>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v>0</v>
      </c>
      <c r="R21" s="25">
        <v>0</v>
      </c>
      <c r="S21" s="12">
        <f t="shared" si="0"/>
        <v>0</v>
      </c>
      <c r="T21" s="5">
        <v>0</v>
      </c>
      <c r="U21" s="12">
        <f t="shared" si="1"/>
        <v>0</v>
      </c>
      <c r="V21" s="25" t="s">
        <v>10</v>
      </c>
      <c r="W21" s="11">
        <f>IFERROR(VLOOKUP(V21,Curr!$B$2:$C$13,2,FALSE),0)</f>
        <v>11.2</v>
      </c>
      <c r="X21" s="12">
        <f t="shared" si="2"/>
        <v>0</v>
      </c>
      <c r="Y21" s="26">
        <f t="shared" si="3"/>
        <v>0</v>
      </c>
      <c r="Z21" s="12">
        <f t="shared" si="4"/>
        <v>0</v>
      </c>
      <c r="AA21" s="4" t="s">
        <v>10</v>
      </c>
      <c r="AB21" s="11">
        <f>IFERROR(VLOOKUP(AA21,Curr!$B$2:$C$13,2,FALSE),0)</f>
        <v>11.2</v>
      </c>
      <c r="AC21" s="12">
        <f t="shared" si="5"/>
        <v>0</v>
      </c>
      <c r="AD21" s="12">
        <f t="shared" si="6"/>
        <v>0</v>
      </c>
      <c r="AE21" s="13">
        <f t="shared" si="7"/>
        <v>0</v>
      </c>
    </row>
    <row r="22" spans="2:31" x14ac:dyDescent="0.25">
      <c r="B22" s="4"/>
      <c r="E22" s="3"/>
      <c r="F22" s="3"/>
      <c r="G22" s="24"/>
      <c r="H22" s="24"/>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3"/>
        <v>0</v>
      </c>
      <c r="Z22" s="12">
        <f t="shared" si="4"/>
        <v>0</v>
      </c>
      <c r="AA22" s="4" t="s">
        <v>10</v>
      </c>
      <c r="AB22" s="11">
        <f>IFERROR(VLOOKUP(AA22,Curr!$B$2:$C$13,2,FALSE),0)</f>
        <v>11.2</v>
      </c>
      <c r="AC22" s="12">
        <f t="shared" si="5"/>
        <v>0</v>
      </c>
      <c r="AD22" s="12">
        <f t="shared" si="6"/>
        <v>0</v>
      </c>
      <c r="AE22" s="13">
        <f t="shared" si="7"/>
        <v>0</v>
      </c>
    </row>
    <row r="23" spans="2:31" x14ac:dyDescent="0.25">
      <c r="B23" s="4"/>
      <c r="E23" s="3"/>
      <c r="F23" s="3"/>
      <c r="G23" s="24"/>
      <c r="H23" s="24"/>
      <c r="K23" s="4"/>
      <c r="L23" s="4"/>
      <c r="M23" s="4"/>
      <c r="N23" s="4"/>
      <c r="O23" s="4"/>
      <c r="P23" s="29"/>
      <c r="Q23" s="25">
        <v>0</v>
      </c>
      <c r="R23" s="25">
        <v>0</v>
      </c>
      <c r="S23" s="12">
        <f t="shared" si="0"/>
        <v>0</v>
      </c>
      <c r="T23" s="5">
        <v>0</v>
      </c>
      <c r="U23" s="12">
        <f t="shared" si="1"/>
        <v>0</v>
      </c>
      <c r="V23" s="25" t="s">
        <v>10</v>
      </c>
      <c r="W23" s="11">
        <f>IFERROR(VLOOKUP(V23,Curr!$B$2:$C$13,2,FALSE),0)</f>
        <v>11.2</v>
      </c>
      <c r="X23" s="12">
        <f t="shared" si="2"/>
        <v>0</v>
      </c>
      <c r="Y23" s="26">
        <f t="shared" si="3"/>
        <v>0</v>
      </c>
      <c r="Z23" s="12">
        <f t="shared" si="4"/>
        <v>0</v>
      </c>
      <c r="AA23" s="4" t="s">
        <v>10</v>
      </c>
      <c r="AB23" s="11">
        <f>IFERROR(VLOOKUP(AA23,Curr!$B$2:$C$13,2,FALSE),0)</f>
        <v>11.2</v>
      </c>
      <c r="AC23" s="12">
        <f t="shared" si="5"/>
        <v>0</v>
      </c>
      <c r="AD23" s="12">
        <f t="shared" si="6"/>
        <v>0</v>
      </c>
      <c r="AE23" s="13">
        <f t="shared" si="7"/>
        <v>0</v>
      </c>
    </row>
    <row r="24" spans="2:31" x14ac:dyDescent="0.25">
      <c r="B24" s="4"/>
      <c r="E24" s="3"/>
      <c r="F24" s="3"/>
      <c r="G24" s="24"/>
      <c r="H24" s="24"/>
      <c r="K24" s="4"/>
      <c r="L24" s="4"/>
      <c r="M24" s="4"/>
      <c r="N24" s="4"/>
      <c r="O24" s="4"/>
      <c r="P24" s="27"/>
      <c r="Q24" s="25">
        <v>0</v>
      </c>
      <c r="R24" s="25">
        <v>0</v>
      </c>
      <c r="S24" s="12">
        <f t="shared" si="0"/>
        <v>0</v>
      </c>
      <c r="T24" s="5">
        <v>0</v>
      </c>
      <c r="U24" s="12">
        <f t="shared" si="1"/>
        <v>0</v>
      </c>
      <c r="V24" s="25" t="s">
        <v>10</v>
      </c>
      <c r="W24" s="11">
        <f>IFERROR(VLOOKUP(V24,Curr!$B$2:$C$13,2,FALSE),0)</f>
        <v>11.2</v>
      </c>
      <c r="X24" s="12">
        <f t="shared" si="2"/>
        <v>0</v>
      </c>
      <c r="Y24" s="26">
        <f t="shared" si="3"/>
        <v>0</v>
      </c>
      <c r="Z24" s="12">
        <f t="shared" si="4"/>
        <v>0</v>
      </c>
      <c r="AA24" s="4" t="s">
        <v>10</v>
      </c>
      <c r="AB24" s="11">
        <f>IFERROR(VLOOKUP(AA24,Curr!$B$2:$C$13,2,FALSE),0)</f>
        <v>11.2</v>
      </c>
      <c r="AC24" s="12">
        <f t="shared" si="5"/>
        <v>0</v>
      </c>
      <c r="AD24" s="12">
        <f t="shared" si="6"/>
        <v>0</v>
      </c>
      <c r="AE24" s="13">
        <f t="shared" si="7"/>
        <v>0</v>
      </c>
    </row>
    <row r="25" spans="2:31" x14ac:dyDescent="0.25">
      <c r="B25" s="4"/>
      <c r="E25" s="3"/>
      <c r="F25" s="3"/>
      <c r="G25" s="24"/>
      <c r="H25" s="24"/>
      <c r="K25" s="4"/>
      <c r="L25" s="4"/>
      <c r="M25" s="4"/>
      <c r="N25" s="4"/>
      <c r="O25" s="4"/>
      <c r="P25" s="27"/>
      <c r="Q25" s="25">
        <v>0</v>
      </c>
      <c r="R25" s="25">
        <v>0</v>
      </c>
      <c r="S25" s="12">
        <f t="shared" si="0"/>
        <v>0</v>
      </c>
      <c r="T25" s="5">
        <v>0</v>
      </c>
      <c r="U25" s="12">
        <f t="shared" si="1"/>
        <v>0</v>
      </c>
      <c r="V25" s="25" t="s">
        <v>10</v>
      </c>
      <c r="W25" s="11">
        <f>IFERROR(VLOOKUP(V25,Curr!$B$2:$C$13,2,FALSE),0)</f>
        <v>11.2</v>
      </c>
      <c r="X25" s="12">
        <f t="shared" si="2"/>
        <v>0</v>
      </c>
      <c r="Y25" s="26">
        <f t="shared" si="3"/>
        <v>0</v>
      </c>
      <c r="Z25" s="12">
        <f t="shared" si="4"/>
        <v>0</v>
      </c>
      <c r="AA25" s="4" t="s">
        <v>10</v>
      </c>
      <c r="AB25" s="11">
        <f>IFERROR(VLOOKUP(AA25,Curr!$B$2:$C$13,2,FALSE),0)</f>
        <v>11.2</v>
      </c>
      <c r="AC25" s="12">
        <f t="shared" si="5"/>
        <v>0</v>
      </c>
      <c r="AD25" s="12">
        <f t="shared" si="6"/>
        <v>0</v>
      </c>
      <c r="AE25" s="13">
        <f t="shared" si="7"/>
        <v>0</v>
      </c>
    </row>
    <row r="26" spans="2:31" x14ac:dyDescent="0.25">
      <c r="B26" s="4"/>
      <c r="E26" s="3"/>
      <c r="F26" s="3"/>
      <c r="G26" s="24"/>
      <c r="H26" s="24"/>
      <c r="K26" s="4"/>
      <c r="L26" s="4"/>
      <c r="M26" s="4"/>
      <c r="N26" s="4"/>
      <c r="O26" s="4"/>
      <c r="P26" s="27"/>
      <c r="Q26" s="25">
        <v>0</v>
      </c>
      <c r="R26" s="25">
        <v>0</v>
      </c>
      <c r="S26" s="12">
        <f t="shared" si="0"/>
        <v>0</v>
      </c>
      <c r="T26" s="5">
        <v>0</v>
      </c>
      <c r="U26" s="12">
        <f t="shared" si="1"/>
        <v>0</v>
      </c>
      <c r="V26" s="25" t="s">
        <v>10</v>
      </c>
      <c r="W26" s="11">
        <f>IFERROR(VLOOKUP(V26,Curr!$B$2:$C$13,2,FALSE),0)</f>
        <v>11.2</v>
      </c>
      <c r="X26" s="12">
        <f t="shared" si="2"/>
        <v>0</v>
      </c>
      <c r="Y26" s="26">
        <f t="shared" si="3"/>
        <v>0</v>
      </c>
      <c r="Z26" s="12">
        <f t="shared" si="4"/>
        <v>0</v>
      </c>
      <c r="AA26" s="4" t="s">
        <v>10</v>
      </c>
      <c r="AB26" s="11">
        <f>IFERROR(VLOOKUP(AA26,Curr!$B$2:$C$13,2,FALSE),0)</f>
        <v>11.2</v>
      </c>
      <c r="AC26" s="12">
        <f t="shared" si="5"/>
        <v>0</v>
      </c>
      <c r="AD26" s="12">
        <f t="shared" si="6"/>
        <v>0</v>
      </c>
      <c r="AE26" s="13">
        <f t="shared" si="7"/>
        <v>0</v>
      </c>
    </row>
    <row r="27" spans="2:31" x14ac:dyDescent="0.25">
      <c r="B27" s="4"/>
      <c r="E27" s="3"/>
      <c r="F27" s="3"/>
      <c r="G27" s="24"/>
      <c r="H27" s="24"/>
      <c r="K27" s="4"/>
      <c r="L27" s="4"/>
      <c r="M27" s="4"/>
      <c r="N27" s="4"/>
      <c r="O27" s="4"/>
      <c r="P27" s="33"/>
      <c r="Q27" s="25">
        <v>0</v>
      </c>
      <c r="R27" s="25">
        <v>0</v>
      </c>
      <c r="S27" s="12">
        <f t="shared" si="0"/>
        <v>0</v>
      </c>
      <c r="T27" s="5">
        <v>0</v>
      </c>
      <c r="U27" s="12">
        <f t="shared" si="1"/>
        <v>0</v>
      </c>
      <c r="V27" s="25" t="s">
        <v>10</v>
      </c>
      <c r="W27" s="11">
        <f>IFERROR(VLOOKUP(V27,Curr!$B$2:$C$13,2,FALSE),0)</f>
        <v>11.2</v>
      </c>
      <c r="X27" s="12">
        <f t="shared" si="2"/>
        <v>0</v>
      </c>
      <c r="Y27" s="26">
        <f t="shared" si="3"/>
        <v>0</v>
      </c>
      <c r="Z27" s="12">
        <f t="shared" si="4"/>
        <v>0</v>
      </c>
      <c r="AA27" s="4" t="s">
        <v>10</v>
      </c>
      <c r="AB27" s="11">
        <f>IFERROR(VLOOKUP(AA27,Curr!$B$2:$C$13,2,FALSE),0)</f>
        <v>11.2</v>
      </c>
      <c r="AC27" s="12">
        <f t="shared" si="5"/>
        <v>0</v>
      </c>
      <c r="AD27" s="12">
        <f t="shared" si="6"/>
        <v>0</v>
      </c>
      <c r="AE27" s="13">
        <f t="shared" si="7"/>
        <v>0</v>
      </c>
    </row>
    <row r="28" spans="2:31" x14ac:dyDescent="0.25">
      <c r="B28" s="4"/>
      <c r="E28" s="3"/>
      <c r="F28" s="3"/>
      <c r="G28" s="24"/>
      <c r="H28" s="24"/>
      <c r="K28" s="4"/>
      <c r="L28" s="4"/>
      <c r="M28" s="4"/>
      <c r="N28" s="4"/>
      <c r="O28" s="4"/>
      <c r="P28" s="33"/>
      <c r="Q28" s="25">
        <v>0</v>
      </c>
      <c r="R28" s="25">
        <v>0</v>
      </c>
      <c r="S28" s="12">
        <f t="shared" si="0"/>
        <v>0</v>
      </c>
      <c r="T28" s="5">
        <v>0</v>
      </c>
      <c r="U28" s="12">
        <f t="shared" si="1"/>
        <v>0</v>
      </c>
      <c r="V28" s="25" t="s">
        <v>10</v>
      </c>
      <c r="W28" s="11">
        <f>IFERROR(VLOOKUP(V28,Curr!$B$2:$C$13,2,FALSE),0)</f>
        <v>11.2</v>
      </c>
      <c r="X28" s="12">
        <f t="shared" si="2"/>
        <v>0</v>
      </c>
      <c r="Y28" s="26">
        <f t="shared" si="3"/>
        <v>0</v>
      </c>
      <c r="Z28" s="12">
        <f t="shared" si="4"/>
        <v>0</v>
      </c>
      <c r="AA28" s="4" t="s">
        <v>10</v>
      </c>
      <c r="AB28" s="11">
        <f>IFERROR(VLOOKUP(AA28,Curr!$B$2:$C$13,2,FALSE),0)</f>
        <v>11.2</v>
      </c>
      <c r="AC28" s="12">
        <f t="shared" si="5"/>
        <v>0</v>
      </c>
      <c r="AD28" s="12">
        <f t="shared" si="6"/>
        <v>0</v>
      </c>
      <c r="AE28" s="13">
        <f t="shared" si="7"/>
        <v>0</v>
      </c>
    </row>
    <row r="29" spans="2:31" x14ac:dyDescent="0.25">
      <c r="B29" s="4"/>
      <c r="E29" s="3"/>
      <c r="F29" s="3"/>
      <c r="G29" s="24"/>
      <c r="H29" s="24"/>
      <c r="K29" s="4"/>
      <c r="L29" s="4"/>
      <c r="M29" s="4"/>
      <c r="N29" s="4"/>
      <c r="O29" s="4"/>
      <c r="P29" s="29"/>
      <c r="Q29" s="25">
        <v>0</v>
      </c>
      <c r="R29" s="25">
        <v>0</v>
      </c>
      <c r="S29" s="12">
        <f t="shared" si="0"/>
        <v>0</v>
      </c>
      <c r="T29" s="5">
        <v>0</v>
      </c>
      <c r="U29" s="12">
        <f t="shared" si="1"/>
        <v>0</v>
      </c>
      <c r="V29" s="25" t="s">
        <v>10</v>
      </c>
      <c r="W29" s="11">
        <f>IFERROR(VLOOKUP(V29,Curr!$B$2:$C$13,2,FALSE),0)</f>
        <v>11.2</v>
      </c>
      <c r="X29" s="12">
        <f t="shared" si="2"/>
        <v>0</v>
      </c>
      <c r="Y29" s="26">
        <f t="shared" si="3"/>
        <v>0</v>
      </c>
      <c r="Z29" s="12">
        <f t="shared" si="4"/>
        <v>0</v>
      </c>
      <c r="AA29" s="4" t="s">
        <v>10</v>
      </c>
      <c r="AB29" s="11">
        <f>IFERROR(VLOOKUP(AA29,Curr!$B$2:$C$13,2,FALSE),0)</f>
        <v>11.2</v>
      </c>
      <c r="AC29" s="12">
        <f t="shared" si="5"/>
        <v>0</v>
      </c>
      <c r="AD29" s="12">
        <f t="shared" si="6"/>
        <v>0</v>
      </c>
      <c r="AE29" s="13">
        <f t="shared" si="7"/>
        <v>0</v>
      </c>
    </row>
    <row r="30" spans="2:31" x14ac:dyDescent="0.25">
      <c r="B30" s="4"/>
      <c r="E30" s="3"/>
      <c r="F30" s="3"/>
      <c r="G30" s="24"/>
      <c r="H30" s="24"/>
      <c r="K30" s="4"/>
      <c r="L30" s="4"/>
      <c r="M30" s="4"/>
      <c r="N30" s="4"/>
      <c r="O30" s="4"/>
      <c r="P30" s="33"/>
      <c r="Q30" s="25">
        <v>0</v>
      </c>
      <c r="R30" s="25">
        <v>0</v>
      </c>
      <c r="S30" s="12">
        <f t="shared" si="0"/>
        <v>0</v>
      </c>
      <c r="T30" s="5">
        <v>0</v>
      </c>
      <c r="U30" s="12">
        <f t="shared" si="1"/>
        <v>0</v>
      </c>
      <c r="V30" s="25" t="s">
        <v>10</v>
      </c>
      <c r="W30" s="11">
        <f>IFERROR(VLOOKUP(V30,Curr!$B$2:$C$13,2,FALSE),0)</f>
        <v>11.2</v>
      </c>
      <c r="X30" s="12">
        <f t="shared" si="2"/>
        <v>0</v>
      </c>
      <c r="Y30" s="26">
        <f t="shared" si="3"/>
        <v>0</v>
      </c>
      <c r="Z30" s="12">
        <f t="shared" si="4"/>
        <v>0</v>
      </c>
      <c r="AA30" s="4" t="s">
        <v>10</v>
      </c>
      <c r="AB30" s="11">
        <f>IFERROR(VLOOKUP(AA30,Curr!$B$2:$C$13,2,FALSE),0)</f>
        <v>11.2</v>
      </c>
      <c r="AC30" s="12">
        <f t="shared" si="5"/>
        <v>0</v>
      </c>
      <c r="AD30" s="12">
        <f t="shared" si="6"/>
        <v>0</v>
      </c>
      <c r="AE30" s="13">
        <f t="shared" si="7"/>
        <v>0</v>
      </c>
    </row>
    <row r="31" spans="2:31" x14ac:dyDescent="0.25">
      <c r="B31" s="4"/>
      <c r="E31" s="3"/>
      <c r="F31" s="3"/>
      <c r="G31" s="24"/>
      <c r="H31" s="24"/>
      <c r="K31" s="4"/>
      <c r="L31" s="4"/>
      <c r="M31" s="4"/>
      <c r="N31" s="4"/>
      <c r="O31" s="4"/>
      <c r="P31" s="33"/>
      <c r="Q31" s="25">
        <v>0</v>
      </c>
      <c r="R31" s="25">
        <v>0</v>
      </c>
      <c r="S31" s="12">
        <f t="shared" si="0"/>
        <v>0</v>
      </c>
      <c r="T31" s="5">
        <v>0</v>
      </c>
      <c r="U31" s="12">
        <f t="shared" si="1"/>
        <v>0</v>
      </c>
      <c r="V31" s="25" t="s">
        <v>10</v>
      </c>
      <c r="W31" s="11">
        <f>IFERROR(VLOOKUP(V31,Curr!$B$2:$C$13,2,FALSE),0)</f>
        <v>11.2</v>
      </c>
      <c r="X31" s="12">
        <f t="shared" si="2"/>
        <v>0</v>
      </c>
      <c r="Y31" s="26">
        <f t="shared" si="3"/>
        <v>0</v>
      </c>
      <c r="Z31" s="12">
        <f t="shared" si="4"/>
        <v>0</v>
      </c>
      <c r="AA31" s="4" t="s">
        <v>10</v>
      </c>
      <c r="AB31" s="11">
        <f>IFERROR(VLOOKUP(AA31,Curr!$B$2:$C$13,2,FALSE),0)</f>
        <v>11.2</v>
      </c>
      <c r="AC31" s="12">
        <f t="shared" si="5"/>
        <v>0</v>
      </c>
      <c r="AD31" s="12">
        <f t="shared" si="6"/>
        <v>0</v>
      </c>
      <c r="AE31" s="13">
        <f t="shared" si="7"/>
        <v>0</v>
      </c>
    </row>
    <row r="32" spans="2:31" x14ac:dyDescent="0.25">
      <c r="B32" s="4"/>
      <c r="E32" s="3"/>
      <c r="F32" s="3"/>
      <c r="G32" s="24"/>
      <c r="H32" s="24"/>
      <c r="K32" s="4"/>
      <c r="L32" s="4"/>
      <c r="M32" s="4"/>
      <c r="N32" s="4"/>
      <c r="O32" s="4"/>
      <c r="P32" s="33"/>
      <c r="Q32" s="25">
        <v>0</v>
      </c>
      <c r="R32" s="25">
        <v>0</v>
      </c>
      <c r="S32" s="12">
        <f t="shared" si="0"/>
        <v>0</v>
      </c>
      <c r="T32" s="5">
        <v>0</v>
      </c>
      <c r="U32" s="12">
        <f t="shared" si="1"/>
        <v>0</v>
      </c>
      <c r="V32" s="25" t="s">
        <v>10</v>
      </c>
      <c r="W32" s="11">
        <f>IFERROR(VLOOKUP(V32,Curr!$B$2:$C$13,2,FALSE),0)</f>
        <v>11.2</v>
      </c>
      <c r="X32" s="12">
        <f t="shared" si="2"/>
        <v>0</v>
      </c>
      <c r="Y32" s="26">
        <f t="shared" si="3"/>
        <v>0</v>
      </c>
      <c r="Z32" s="12">
        <f t="shared" si="4"/>
        <v>0</v>
      </c>
      <c r="AA32" s="4" t="s">
        <v>10</v>
      </c>
      <c r="AB32" s="11">
        <f>IFERROR(VLOOKUP(AA32,Curr!$B$2:$C$13,2,FALSE),0)</f>
        <v>11.2</v>
      </c>
      <c r="AC32" s="12">
        <f t="shared" si="5"/>
        <v>0</v>
      </c>
      <c r="AD32" s="12">
        <f t="shared" si="6"/>
        <v>0</v>
      </c>
      <c r="AE32" s="13">
        <f t="shared" si="7"/>
        <v>0</v>
      </c>
    </row>
    <row r="33" spans="2:31" x14ac:dyDescent="0.25">
      <c r="B33" s="4"/>
      <c r="E33" s="3"/>
      <c r="F33" s="3"/>
      <c r="G33" s="24"/>
      <c r="H33" s="24"/>
      <c r="K33" s="4"/>
      <c r="L33" s="4"/>
      <c r="M33" s="4"/>
      <c r="N33" s="4"/>
      <c r="O33" s="4"/>
      <c r="P33" s="33"/>
      <c r="Q33" s="25">
        <v>0</v>
      </c>
      <c r="R33" s="25">
        <v>0</v>
      </c>
      <c r="S33" s="12">
        <f t="shared" si="0"/>
        <v>0</v>
      </c>
      <c r="T33" s="5">
        <v>0</v>
      </c>
      <c r="U33" s="12">
        <f t="shared" si="1"/>
        <v>0</v>
      </c>
      <c r="V33" s="25" t="s">
        <v>10</v>
      </c>
      <c r="W33" s="11">
        <f>IFERROR(VLOOKUP(V33,Curr!$B$2:$C$13,2,FALSE),0)</f>
        <v>11.2</v>
      </c>
      <c r="X33" s="12">
        <f t="shared" si="2"/>
        <v>0</v>
      </c>
      <c r="Y33" s="26">
        <f t="shared" si="3"/>
        <v>0</v>
      </c>
      <c r="Z33" s="12">
        <f t="shared" si="4"/>
        <v>0</v>
      </c>
      <c r="AA33" s="4" t="s">
        <v>10</v>
      </c>
      <c r="AB33" s="11">
        <f>IFERROR(VLOOKUP(AA33,Curr!$B$2:$C$13,2,FALSE),0)</f>
        <v>11.2</v>
      </c>
      <c r="AC33" s="12">
        <f t="shared" si="5"/>
        <v>0</v>
      </c>
      <c r="AD33" s="12">
        <f t="shared" si="6"/>
        <v>0</v>
      </c>
      <c r="AE33" s="13">
        <f t="shared" si="7"/>
        <v>0</v>
      </c>
    </row>
    <row r="34" spans="2:31" x14ac:dyDescent="0.25">
      <c r="B34" s="4"/>
      <c r="E34" s="3"/>
      <c r="F34" s="3"/>
      <c r="G34" s="24"/>
      <c r="H34" s="24"/>
      <c r="K34" s="4"/>
      <c r="L34" s="4"/>
      <c r="M34" s="4"/>
      <c r="N34" s="4"/>
      <c r="O34" s="4"/>
      <c r="P34" s="33"/>
      <c r="Q34" s="25">
        <v>0</v>
      </c>
      <c r="R34" s="25">
        <v>0</v>
      </c>
      <c r="S34" s="12">
        <f t="shared" si="0"/>
        <v>0</v>
      </c>
      <c r="T34" s="5">
        <v>0</v>
      </c>
      <c r="U34" s="12">
        <f t="shared" si="1"/>
        <v>0</v>
      </c>
      <c r="V34" s="25" t="s">
        <v>10</v>
      </c>
      <c r="W34" s="11">
        <f>IFERROR(VLOOKUP(V34,Curr!$B$2:$C$13,2,FALSE),0)</f>
        <v>11.2</v>
      </c>
      <c r="X34" s="12">
        <f t="shared" si="2"/>
        <v>0</v>
      </c>
      <c r="Y34" s="26">
        <f t="shared" si="3"/>
        <v>0</v>
      </c>
      <c r="Z34" s="12">
        <f t="shared" si="4"/>
        <v>0</v>
      </c>
      <c r="AA34" s="4" t="s">
        <v>10</v>
      </c>
      <c r="AB34" s="11">
        <f>IFERROR(VLOOKUP(AA34,Curr!$B$2:$C$13,2,FALSE),0)</f>
        <v>11.2</v>
      </c>
      <c r="AC34" s="12">
        <f t="shared" si="5"/>
        <v>0</v>
      </c>
      <c r="AD34" s="12">
        <f t="shared" si="6"/>
        <v>0</v>
      </c>
      <c r="AE34" s="13">
        <f t="shared" si="7"/>
        <v>0</v>
      </c>
    </row>
    <row r="35" spans="2:31" x14ac:dyDescent="0.25">
      <c r="B35" s="4"/>
      <c r="E35" s="3"/>
      <c r="F35" s="3"/>
      <c r="G35" s="24"/>
      <c r="H35" s="24"/>
      <c r="K35" s="4"/>
      <c r="L35" s="4"/>
      <c r="M35" s="4"/>
      <c r="N35" s="4"/>
      <c r="O35" s="4"/>
      <c r="P35" s="33"/>
      <c r="Q35" s="25">
        <v>0</v>
      </c>
      <c r="R35" s="25">
        <v>0</v>
      </c>
      <c r="S35" s="12">
        <f t="shared" si="0"/>
        <v>0</v>
      </c>
      <c r="T35" s="5">
        <v>0</v>
      </c>
      <c r="U35" s="12">
        <f t="shared" si="1"/>
        <v>0</v>
      </c>
      <c r="V35" s="25" t="s">
        <v>10</v>
      </c>
      <c r="W35" s="11">
        <f>IFERROR(VLOOKUP(V35,Curr!$B$2:$C$13,2,FALSE),0)</f>
        <v>11.2</v>
      </c>
      <c r="X35" s="12">
        <f t="shared" si="2"/>
        <v>0</v>
      </c>
      <c r="Y35" s="26">
        <f t="shared" si="3"/>
        <v>0</v>
      </c>
      <c r="Z35" s="12">
        <f t="shared" si="4"/>
        <v>0</v>
      </c>
      <c r="AA35" s="4" t="s">
        <v>10</v>
      </c>
      <c r="AB35" s="11">
        <f>IFERROR(VLOOKUP(AA35,Curr!$B$2:$C$13,2,FALSE),0)</f>
        <v>11.2</v>
      </c>
      <c r="AC35" s="12">
        <f t="shared" si="5"/>
        <v>0</v>
      </c>
      <c r="AD35" s="12">
        <f t="shared" si="6"/>
        <v>0</v>
      </c>
      <c r="AE35" s="13">
        <f t="shared" si="7"/>
        <v>0</v>
      </c>
    </row>
    <row r="36" spans="2:31" x14ac:dyDescent="0.25">
      <c r="B36" s="4"/>
      <c r="E36" s="3"/>
      <c r="F36" s="3"/>
      <c r="G36" s="24"/>
      <c r="H36" s="24"/>
      <c r="K36" s="4"/>
      <c r="L36" s="4"/>
      <c r="M36" s="4"/>
      <c r="N36" s="4"/>
      <c r="O36" s="4"/>
      <c r="P36" s="33"/>
      <c r="Q36" s="25">
        <v>0</v>
      </c>
      <c r="R36" s="25">
        <v>0</v>
      </c>
      <c r="S36" s="12">
        <f t="shared" si="0"/>
        <v>0</v>
      </c>
      <c r="T36" s="5">
        <v>0</v>
      </c>
      <c r="U36" s="12">
        <f t="shared" si="1"/>
        <v>0</v>
      </c>
      <c r="V36" s="25" t="s">
        <v>10</v>
      </c>
      <c r="W36" s="11">
        <f>IFERROR(VLOOKUP(V36,Curr!$B$2:$C$13,2,FALSE),0)</f>
        <v>11.2</v>
      </c>
      <c r="X36" s="12">
        <f t="shared" si="2"/>
        <v>0</v>
      </c>
      <c r="Y36" s="26">
        <f t="shared" si="3"/>
        <v>0</v>
      </c>
      <c r="Z36" s="12">
        <f t="shared" si="4"/>
        <v>0</v>
      </c>
      <c r="AA36" s="4" t="s">
        <v>10</v>
      </c>
      <c r="AB36" s="11">
        <f>IFERROR(VLOOKUP(AA36,Curr!$B$2:$C$13,2,FALSE),0)</f>
        <v>11.2</v>
      </c>
      <c r="AC36" s="12">
        <f t="shared" si="5"/>
        <v>0</v>
      </c>
      <c r="AD36" s="12">
        <f t="shared" si="6"/>
        <v>0</v>
      </c>
      <c r="AE36" s="13">
        <f t="shared" si="7"/>
        <v>0</v>
      </c>
    </row>
    <row r="37" spans="2:31" x14ac:dyDescent="0.25">
      <c r="B37" s="4"/>
      <c r="E37" s="3"/>
      <c r="F37" s="3"/>
      <c r="G37" s="24"/>
      <c r="H37" s="24"/>
      <c r="K37" s="4"/>
      <c r="L37" s="4"/>
      <c r="M37" s="4"/>
      <c r="N37" s="4"/>
      <c r="O37" s="4"/>
      <c r="P37" s="33"/>
      <c r="Q37" s="25">
        <v>0</v>
      </c>
      <c r="R37" s="25">
        <v>0</v>
      </c>
      <c r="S37" s="12">
        <f t="shared" si="0"/>
        <v>0</v>
      </c>
      <c r="T37" s="5">
        <v>0</v>
      </c>
      <c r="U37" s="12">
        <f t="shared" si="1"/>
        <v>0</v>
      </c>
      <c r="V37" s="25" t="s">
        <v>10</v>
      </c>
      <c r="W37" s="11">
        <f>IFERROR(VLOOKUP(V37,Curr!$B$2:$C$13,2,FALSE),0)</f>
        <v>11.2</v>
      </c>
      <c r="X37" s="12">
        <f t="shared" si="2"/>
        <v>0</v>
      </c>
      <c r="Y37" s="26">
        <f t="shared" si="3"/>
        <v>0</v>
      </c>
      <c r="Z37" s="12">
        <f t="shared" si="4"/>
        <v>0</v>
      </c>
      <c r="AA37" s="4" t="s">
        <v>10</v>
      </c>
      <c r="AB37" s="11">
        <f>IFERROR(VLOOKUP(AA37,Curr!$B$2:$C$13,2,FALSE),0)</f>
        <v>11.2</v>
      </c>
      <c r="AC37" s="12">
        <f t="shared" si="5"/>
        <v>0</v>
      </c>
      <c r="AD37" s="12">
        <f t="shared" si="6"/>
        <v>0</v>
      </c>
      <c r="AE37" s="13">
        <f t="shared" si="7"/>
        <v>0</v>
      </c>
    </row>
    <row r="38" spans="2:31" x14ac:dyDescent="0.25">
      <c r="B38" s="4"/>
      <c r="E38" s="3"/>
      <c r="F38" s="3"/>
      <c r="G38" s="24"/>
      <c r="H38" s="24"/>
      <c r="K38" s="4"/>
      <c r="L38" s="4"/>
      <c r="M38" s="4"/>
      <c r="N38" s="4"/>
      <c r="O38" s="4"/>
      <c r="P38" s="27"/>
      <c r="Q38" s="25">
        <v>0</v>
      </c>
      <c r="R38" s="25">
        <v>0</v>
      </c>
      <c r="S38" s="12">
        <f t="shared" si="0"/>
        <v>0</v>
      </c>
      <c r="T38" s="5">
        <v>0</v>
      </c>
      <c r="U38" s="12">
        <f t="shared" si="1"/>
        <v>0</v>
      </c>
      <c r="V38" s="25" t="s">
        <v>10</v>
      </c>
      <c r="W38" s="11">
        <f>IFERROR(VLOOKUP(V38,Curr!$B$2:$C$13,2,FALSE),0)</f>
        <v>11.2</v>
      </c>
      <c r="X38" s="12">
        <f t="shared" si="2"/>
        <v>0</v>
      </c>
      <c r="Y38" s="26">
        <f t="shared" si="3"/>
        <v>0</v>
      </c>
      <c r="Z38" s="12">
        <f t="shared" si="4"/>
        <v>0</v>
      </c>
      <c r="AA38" s="4" t="s">
        <v>10</v>
      </c>
      <c r="AB38" s="11">
        <f>IFERROR(VLOOKUP(AA38,Curr!$B$2:$C$13,2,FALSE),0)</f>
        <v>11.2</v>
      </c>
      <c r="AC38" s="12">
        <f t="shared" si="5"/>
        <v>0</v>
      </c>
      <c r="AD38" s="12">
        <f t="shared" si="6"/>
        <v>0</v>
      </c>
      <c r="AE38" s="13">
        <f t="shared" si="7"/>
        <v>0</v>
      </c>
    </row>
    <row r="39" spans="2:31" x14ac:dyDescent="0.25">
      <c r="B39" s="4"/>
      <c r="E39" s="3"/>
      <c r="F39" s="3"/>
      <c r="G39" s="24"/>
      <c r="H39" s="24"/>
      <c r="K39" s="4"/>
      <c r="L39" s="4"/>
      <c r="M39" s="4"/>
      <c r="N39" s="4"/>
      <c r="O39" s="4"/>
      <c r="P39" s="33"/>
      <c r="Q39" s="25">
        <v>0</v>
      </c>
      <c r="R39" s="25">
        <v>0</v>
      </c>
      <c r="S39" s="12">
        <f t="shared" si="0"/>
        <v>0</v>
      </c>
      <c r="T39" s="5">
        <v>0</v>
      </c>
      <c r="U39" s="12">
        <f t="shared" si="1"/>
        <v>0</v>
      </c>
      <c r="V39" s="25" t="s">
        <v>10</v>
      </c>
      <c r="W39" s="11">
        <f>IFERROR(VLOOKUP(V39,Curr!$B$2:$C$13,2,FALSE),0)</f>
        <v>11.2</v>
      </c>
      <c r="X39" s="12">
        <f t="shared" si="2"/>
        <v>0</v>
      </c>
      <c r="Y39" s="26">
        <f t="shared" si="3"/>
        <v>0</v>
      </c>
      <c r="Z39" s="12">
        <f t="shared" si="4"/>
        <v>0</v>
      </c>
      <c r="AA39" s="4" t="s">
        <v>10</v>
      </c>
      <c r="AB39" s="11">
        <f>IFERROR(VLOOKUP(AA39,Curr!$B$2:$C$13,2,FALSE),0)</f>
        <v>11.2</v>
      </c>
      <c r="AC39" s="12">
        <f t="shared" si="5"/>
        <v>0</v>
      </c>
      <c r="AD39" s="12">
        <f t="shared" si="6"/>
        <v>0</v>
      </c>
      <c r="AE39" s="13">
        <f t="shared" si="7"/>
        <v>0</v>
      </c>
    </row>
    <row r="40" spans="2:31" x14ac:dyDescent="0.25">
      <c r="B40" s="4"/>
      <c r="E40" s="3"/>
      <c r="F40" s="3"/>
      <c r="G40" s="24"/>
      <c r="H40" s="24"/>
      <c r="K40" s="4"/>
      <c r="L40" s="4"/>
      <c r="M40" s="4"/>
      <c r="N40" s="4"/>
      <c r="O40" s="4"/>
      <c r="P40" s="33"/>
      <c r="Q40" s="25">
        <v>0</v>
      </c>
      <c r="R40" s="25">
        <v>0</v>
      </c>
      <c r="S40" s="12">
        <f t="shared" si="0"/>
        <v>0</v>
      </c>
      <c r="T40" s="5">
        <v>0</v>
      </c>
      <c r="U40" s="12">
        <f t="shared" si="1"/>
        <v>0</v>
      </c>
      <c r="V40" s="25" t="s">
        <v>10</v>
      </c>
      <c r="W40" s="11">
        <f>IFERROR(VLOOKUP(V40,Curr!$B$2:$C$13,2,FALSE),0)</f>
        <v>11.2</v>
      </c>
      <c r="X40" s="12">
        <f t="shared" si="2"/>
        <v>0</v>
      </c>
      <c r="Y40" s="26">
        <f t="shared" si="3"/>
        <v>0</v>
      </c>
      <c r="Z40" s="12">
        <f t="shared" si="4"/>
        <v>0</v>
      </c>
      <c r="AA40" s="4" t="s">
        <v>10</v>
      </c>
      <c r="AB40" s="11">
        <f>IFERROR(VLOOKUP(AA40,Curr!$B$2:$C$13,2,FALSE),0)</f>
        <v>11.2</v>
      </c>
      <c r="AC40" s="12">
        <f t="shared" si="5"/>
        <v>0</v>
      </c>
      <c r="AD40" s="12">
        <f t="shared" si="6"/>
        <v>0</v>
      </c>
      <c r="AE40" s="13">
        <f t="shared" si="7"/>
        <v>0</v>
      </c>
    </row>
    <row r="41" spans="2:31" x14ac:dyDescent="0.25">
      <c r="B41" s="4"/>
      <c r="E41" s="3"/>
      <c r="F41" s="3"/>
      <c r="G41" s="24"/>
      <c r="H41" s="24"/>
      <c r="K41" s="4"/>
      <c r="L41" s="4"/>
      <c r="M41" s="4"/>
      <c r="N41" s="4"/>
      <c r="O41" s="4"/>
      <c r="P41" s="27"/>
      <c r="Q41" s="25">
        <v>0</v>
      </c>
      <c r="R41" s="25">
        <v>0</v>
      </c>
      <c r="S41" s="12">
        <f t="shared" si="0"/>
        <v>0</v>
      </c>
      <c r="T41" s="5">
        <v>0</v>
      </c>
      <c r="U41" s="12">
        <f t="shared" si="1"/>
        <v>0</v>
      </c>
      <c r="V41" s="25" t="s">
        <v>10</v>
      </c>
      <c r="W41" s="11">
        <f>IFERROR(VLOOKUP(V41,Curr!$B$2:$C$13,2,FALSE),0)</f>
        <v>11.2</v>
      </c>
      <c r="X41" s="12">
        <f t="shared" si="2"/>
        <v>0</v>
      </c>
      <c r="Y41" s="26">
        <f t="shared" si="3"/>
        <v>0</v>
      </c>
      <c r="Z41" s="12">
        <f t="shared" si="4"/>
        <v>0</v>
      </c>
      <c r="AA41" s="4" t="s">
        <v>10</v>
      </c>
      <c r="AB41" s="11">
        <f>IFERROR(VLOOKUP(AA41,Curr!$B$2:$C$13,2,FALSE),0)</f>
        <v>11.2</v>
      </c>
      <c r="AC41" s="12">
        <f t="shared" si="5"/>
        <v>0</v>
      </c>
      <c r="AD41" s="12">
        <f t="shared" si="6"/>
        <v>0</v>
      </c>
      <c r="AE41" s="13">
        <f t="shared" si="7"/>
        <v>0</v>
      </c>
    </row>
    <row r="42" spans="2:31" x14ac:dyDescent="0.25">
      <c r="B42" s="4"/>
      <c r="E42" s="3"/>
      <c r="F42" s="3"/>
      <c r="G42" s="24"/>
      <c r="H42" s="24"/>
      <c r="K42" s="4"/>
      <c r="L42" s="4"/>
      <c r="M42" s="4"/>
      <c r="N42" s="4"/>
      <c r="O42" s="4"/>
      <c r="P42" s="27"/>
      <c r="Q42" s="25">
        <v>0</v>
      </c>
      <c r="R42" s="25">
        <v>0</v>
      </c>
      <c r="S42" s="12">
        <f t="shared" si="0"/>
        <v>0</v>
      </c>
      <c r="T42" s="5">
        <v>0</v>
      </c>
      <c r="U42" s="12">
        <f t="shared" si="1"/>
        <v>0</v>
      </c>
      <c r="V42" s="25" t="s">
        <v>10</v>
      </c>
      <c r="W42" s="11">
        <f>IFERROR(VLOOKUP(V42,Curr!$B$2:$C$13,2,FALSE),0)</f>
        <v>11.2</v>
      </c>
      <c r="X42" s="12">
        <f t="shared" si="2"/>
        <v>0</v>
      </c>
      <c r="Y42" s="26">
        <f t="shared" si="3"/>
        <v>0</v>
      </c>
      <c r="Z42" s="12">
        <f t="shared" si="4"/>
        <v>0</v>
      </c>
      <c r="AA42" s="4" t="s">
        <v>10</v>
      </c>
      <c r="AB42" s="11">
        <f>IFERROR(VLOOKUP(AA42,Curr!$B$2:$C$13,2,FALSE),0)</f>
        <v>11.2</v>
      </c>
      <c r="AC42" s="12">
        <f t="shared" si="5"/>
        <v>0</v>
      </c>
      <c r="AD42" s="12">
        <f t="shared" si="6"/>
        <v>0</v>
      </c>
      <c r="AE42" s="13">
        <f t="shared" si="7"/>
        <v>0</v>
      </c>
    </row>
    <row r="43" spans="2:31" x14ac:dyDescent="0.25">
      <c r="B43" s="4"/>
      <c r="E43" s="3"/>
      <c r="F43" s="3"/>
      <c r="G43" s="24"/>
      <c r="H43" s="24"/>
      <c r="K43" s="4"/>
      <c r="L43" s="4"/>
      <c r="M43" s="4"/>
      <c r="N43" s="4"/>
      <c r="O43" s="4"/>
      <c r="P43" s="27"/>
      <c r="Q43" s="25">
        <v>0</v>
      </c>
      <c r="R43" s="25">
        <v>0</v>
      </c>
      <c r="S43" s="12">
        <f t="shared" si="0"/>
        <v>0</v>
      </c>
      <c r="T43" s="5">
        <v>0</v>
      </c>
      <c r="U43" s="12">
        <f t="shared" si="1"/>
        <v>0</v>
      </c>
      <c r="V43" s="25" t="s">
        <v>10</v>
      </c>
      <c r="W43" s="11">
        <f>IFERROR(VLOOKUP(V43,Curr!$B$2:$C$13,2,FALSE),0)</f>
        <v>11.2</v>
      </c>
      <c r="X43" s="12">
        <f t="shared" si="2"/>
        <v>0</v>
      </c>
      <c r="Y43" s="26">
        <f t="shared" si="3"/>
        <v>0</v>
      </c>
      <c r="Z43" s="12">
        <f t="shared" si="4"/>
        <v>0</v>
      </c>
      <c r="AA43" s="4" t="s">
        <v>10</v>
      </c>
      <c r="AB43" s="11">
        <f>IFERROR(VLOOKUP(AA43,Curr!$B$2:$C$13,2,FALSE),0)</f>
        <v>11.2</v>
      </c>
      <c r="AC43" s="12">
        <f t="shared" si="5"/>
        <v>0</v>
      </c>
      <c r="AD43" s="12">
        <f t="shared" si="6"/>
        <v>0</v>
      </c>
      <c r="AE43" s="13">
        <f t="shared" si="7"/>
        <v>0</v>
      </c>
    </row>
    <row r="44" spans="2:31" x14ac:dyDescent="0.25">
      <c r="B44" s="4"/>
      <c r="E44" s="3"/>
      <c r="F44" s="3"/>
      <c r="G44" s="24"/>
      <c r="H44" s="24"/>
      <c r="K44" s="4"/>
      <c r="L44" s="4"/>
      <c r="M44" s="4"/>
      <c r="N44" s="4"/>
      <c r="O44" s="4"/>
      <c r="P44" s="33"/>
      <c r="Q44" s="25">
        <v>0</v>
      </c>
      <c r="R44" s="25">
        <v>0</v>
      </c>
      <c r="S44" s="12">
        <f t="shared" si="0"/>
        <v>0</v>
      </c>
      <c r="T44" s="5">
        <v>0</v>
      </c>
      <c r="U44" s="12">
        <f t="shared" si="1"/>
        <v>0</v>
      </c>
      <c r="V44" s="25" t="s">
        <v>10</v>
      </c>
      <c r="W44" s="11">
        <f>IFERROR(VLOOKUP(V44,Curr!$B$2:$C$13,2,FALSE),0)</f>
        <v>11.2</v>
      </c>
      <c r="X44" s="12">
        <f t="shared" si="2"/>
        <v>0</v>
      </c>
      <c r="Y44" s="26">
        <f t="shared" si="3"/>
        <v>0</v>
      </c>
      <c r="Z44" s="12">
        <f t="shared" si="4"/>
        <v>0</v>
      </c>
      <c r="AA44" s="4" t="s">
        <v>10</v>
      </c>
      <c r="AB44" s="11">
        <f>IFERROR(VLOOKUP(AA44,Curr!$B$2:$C$13,2,FALSE),0)</f>
        <v>11.2</v>
      </c>
      <c r="AC44" s="12">
        <f t="shared" si="5"/>
        <v>0</v>
      </c>
      <c r="AD44" s="12">
        <f t="shared" si="6"/>
        <v>0</v>
      </c>
      <c r="AE44" s="13">
        <f t="shared" si="7"/>
        <v>0</v>
      </c>
    </row>
    <row r="45" spans="2:31" x14ac:dyDescent="0.25">
      <c r="B45" s="4"/>
      <c r="E45" s="3"/>
      <c r="F45" s="3"/>
      <c r="G45" s="24"/>
      <c r="H45" s="24"/>
      <c r="K45" s="4"/>
      <c r="L45" s="4"/>
      <c r="M45" s="4"/>
      <c r="N45" s="4"/>
      <c r="O45" s="4"/>
      <c r="P45" s="27"/>
      <c r="Q45" s="25">
        <v>0</v>
      </c>
      <c r="R45" s="25">
        <v>0</v>
      </c>
      <c r="S45" s="12">
        <f t="shared" si="0"/>
        <v>0</v>
      </c>
      <c r="T45" s="5">
        <v>0</v>
      </c>
      <c r="U45" s="12">
        <f t="shared" si="1"/>
        <v>0</v>
      </c>
      <c r="V45" s="25" t="s">
        <v>10</v>
      </c>
      <c r="W45" s="11">
        <f>IFERROR(VLOOKUP(V45,Curr!$B$2:$C$13,2,FALSE),0)</f>
        <v>11.2</v>
      </c>
      <c r="X45" s="12">
        <f t="shared" si="2"/>
        <v>0</v>
      </c>
      <c r="Y45" s="26">
        <f t="shared" si="3"/>
        <v>0</v>
      </c>
      <c r="Z45" s="12">
        <f t="shared" si="4"/>
        <v>0</v>
      </c>
      <c r="AA45" s="4" t="s">
        <v>10</v>
      </c>
      <c r="AB45" s="11">
        <f>IFERROR(VLOOKUP(AA45,Curr!$B$2:$C$13,2,FALSE),0)</f>
        <v>11.2</v>
      </c>
      <c r="AC45" s="12">
        <f t="shared" si="5"/>
        <v>0</v>
      </c>
      <c r="AD45" s="12">
        <f t="shared" si="6"/>
        <v>0</v>
      </c>
      <c r="AE45" s="13">
        <f t="shared" si="7"/>
        <v>0</v>
      </c>
    </row>
    <row r="46" spans="2:31" x14ac:dyDescent="0.25">
      <c r="B46" s="4"/>
      <c r="E46" s="3"/>
      <c r="F46" s="3"/>
      <c r="G46" s="24"/>
      <c r="H46" s="24"/>
      <c r="K46" s="4"/>
      <c r="L46" s="4"/>
      <c r="M46" s="4"/>
      <c r="N46" s="4"/>
      <c r="O46" s="4"/>
      <c r="P46" s="27"/>
      <c r="Q46" s="25">
        <v>0</v>
      </c>
      <c r="R46" s="25">
        <v>0</v>
      </c>
      <c r="S46" s="12">
        <f t="shared" si="0"/>
        <v>0</v>
      </c>
      <c r="T46" s="5">
        <v>0</v>
      </c>
      <c r="U46" s="12">
        <f t="shared" si="1"/>
        <v>0</v>
      </c>
      <c r="V46" s="25" t="s">
        <v>10</v>
      </c>
      <c r="W46" s="11">
        <f>IFERROR(VLOOKUP(V46,Curr!$B$2:$C$13,2,FALSE),0)</f>
        <v>11.2</v>
      </c>
      <c r="X46" s="12">
        <f t="shared" si="2"/>
        <v>0</v>
      </c>
      <c r="Y46" s="26">
        <f t="shared" si="3"/>
        <v>0</v>
      </c>
      <c r="Z46" s="12">
        <f t="shared" si="4"/>
        <v>0</v>
      </c>
      <c r="AA46" s="4" t="s">
        <v>10</v>
      </c>
      <c r="AB46" s="11">
        <f>IFERROR(VLOOKUP(AA46,Curr!$B$2:$C$13,2,FALSE),0)</f>
        <v>11.2</v>
      </c>
      <c r="AC46" s="12">
        <f t="shared" si="5"/>
        <v>0</v>
      </c>
      <c r="AD46" s="12">
        <f t="shared" si="6"/>
        <v>0</v>
      </c>
      <c r="AE46" s="13">
        <f t="shared" si="7"/>
        <v>0</v>
      </c>
    </row>
    <row r="47" spans="2:31" x14ac:dyDescent="0.25">
      <c r="B47" s="4"/>
      <c r="E47" s="3"/>
      <c r="F47" s="3"/>
      <c r="G47" s="24"/>
      <c r="H47" s="24"/>
      <c r="K47" s="4"/>
      <c r="L47" s="4"/>
      <c r="M47" s="4"/>
      <c r="N47" s="4"/>
      <c r="O47" s="4"/>
      <c r="P47" s="27"/>
      <c r="Q47" s="25">
        <v>0</v>
      </c>
      <c r="R47" s="25">
        <v>0</v>
      </c>
      <c r="S47" s="12">
        <f t="shared" si="0"/>
        <v>0</v>
      </c>
      <c r="T47" s="5">
        <v>0</v>
      </c>
      <c r="U47" s="12">
        <f t="shared" si="1"/>
        <v>0</v>
      </c>
      <c r="V47" s="25" t="s">
        <v>10</v>
      </c>
      <c r="W47" s="11">
        <f>IFERROR(VLOOKUP(V47,Curr!$B$2:$C$13,2,FALSE),0)</f>
        <v>11.2</v>
      </c>
      <c r="X47" s="12">
        <f t="shared" si="2"/>
        <v>0</v>
      </c>
      <c r="Y47" s="26">
        <f t="shared" si="3"/>
        <v>0</v>
      </c>
      <c r="Z47" s="12">
        <f t="shared" si="4"/>
        <v>0</v>
      </c>
      <c r="AA47" s="4" t="s">
        <v>10</v>
      </c>
      <c r="AB47" s="11">
        <f>IFERROR(VLOOKUP(AA47,Curr!$B$2:$C$13,2,FALSE),0)</f>
        <v>11.2</v>
      </c>
      <c r="AC47" s="12">
        <f t="shared" si="5"/>
        <v>0</v>
      </c>
      <c r="AD47" s="12">
        <f t="shared" si="6"/>
        <v>0</v>
      </c>
      <c r="AE47" s="13">
        <f t="shared" si="7"/>
        <v>0</v>
      </c>
    </row>
    <row r="48" spans="2:31" x14ac:dyDescent="0.25">
      <c r="B48" s="4"/>
      <c r="E48" s="3"/>
      <c r="F48" s="3"/>
      <c r="G48" s="24"/>
      <c r="H48" s="24"/>
      <c r="K48" s="4"/>
      <c r="L48" s="4"/>
      <c r="M48" s="4"/>
      <c r="N48" s="4"/>
      <c r="O48" s="4"/>
      <c r="P48" s="33"/>
      <c r="Q48" s="25">
        <v>0</v>
      </c>
      <c r="R48" s="25">
        <v>0</v>
      </c>
      <c r="S48" s="12">
        <f t="shared" si="0"/>
        <v>0</v>
      </c>
      <c r="T48" s="5">
        <v>0</v>
      </c>
      <c r="U48" s="12">
        <f t="shared" si="1"/>
        <v>0</v>
      </c>
      <c r="V48" s="25" t="s">
        <v>10</v>
      </c>
      <c r="W48" s="11">
        <f>IFERROR(VLOOKUP(V48,Curr!$B$2:$C$13,2,FALSE),0)</f>
        <v>11.2</v>
      </c>
      <c r="X48" s="12">
        <f t="shared" si="2"/>
        <v>0</v>
      </c>
      <c r="Y48" s="26">
        <f t="shared" si="3"/>
        <v>0</v>
      </c>
      <c r="Z48" s="12">
        <f t="shared" si="4"/>
        <v>0</v>
      </c>
      <c r="AA48" s="4" t="s">
        <v>10</v>
      </c>
      <c r="AB48" s="11">
        <f>IFERROR(VLOOKUP(AA48,Curr!$B$2:$C$13,2,FALSE),0)</f>
        <v>11.2</v>
      </c>
      <c r="AC48" s="12">
        <f t="shared" si="5"/>
        <v>0</v>
      </c>
      <c r="AD48" s="12">
        <f t="shared" si="6"/>
        <v>0</v>
      </c>
      <c r="AE48" s="13">
        <f t="shared" si="7"/>
        <v>0</v>
      </c>
    </row>
    <row r="49" spans="2:31" x14ac:dyDescent="0.25">
      <c r="B49" s="4"/>
      <c r="E49" s="3"/>
      <c r="F49" s="3"/>
      <c r="G49" s="24"/>
      <c r="H49" s="24"/>
      <c r="K49" s="4"/>
      <c r="L49" s="4"/>
      <c r="M49" s="4"/>
      <c r="N49" s="4"/>
      <c r="O49" s="4"/>
      <c r="P49" s="27"/>
      <c r="Q49" s="25">
        <v>0</v>
      </c>
      <c r="R49" s="25">
        <v>0</v>
      </c>
      <c r="S49" s="12">
        <f t="shared" si="0"/>
        <v>0</v>
      </c>
      <c r="T49" s="5">
        <v>0</v>
      </c>
      <c r="U49" s="12">
        <f t="shared" si="1"/>
        <v>0</v>
      </c>
      <c r="V49" s="25" t="s">
        <v>10</v>
      </c>
      <c r="W49" s="11">
        <f>IFERROR(VLOOKUP(V49,Curr!$B$2:$C$13,2,FALSE),0)</f>
        <v>11.2</v>
      </c>
      <c r="X49" s="12">
        <f t="shared" si="2"/>
        <v>0</v>
      </c>
      <c r="Y49" s="26">
        <f t="shared" si="3"/>
        <v>0</v>
      </c>
      <c r="Z49" s="12">
        <f t="shared" si="4"/>
        <v>0</v>
      </c>
      <c r="AA49" s="4" t="s">
        <v>10</v>
      </c>
      <c r="AB49" s="11">
        <f>IFERROR(VLOOKUP(AA49,Curr!$B$2:$C$13,2,FALSE),0)</f>
        <v>11.2</v>
      </c>
      <c r="AC49" s="12">
        <f t="shared" si="5"/>
        <v>0</v>
      </c>
      <c r="AD49" s="12">
        <f t="shared" si="6"/>
        <v>0</v>
      </c>
      <c r="AE49" s="13">
        <f t="shared" si="7"/>
        <v>0</v>
      </c>
    </row>
    <row r="50" spans="2:31" x14ac:dyDescent="0.25">
      <c r="B50" s="4"/>
      <c r="E50" s="3"/>
      <c r="F50" s="3"/>
      <c r="G50" s="24"/>
      <c r="H50" s="24"/>
      <c r="K50" s="4"/>
      <c r="L50" s="4"/>
      <c r="M50" s="4"/>
      <c r="N50" s="4"/>
      <c r="O50" s="4"/>
      <c r="P50" s="27"/>
      <c r="Q50" s="25">
        <v>0</v>
      </c>
      <c r="R50" s="25">
        <v>0</v>
      </c>
      <c r="S50" s="12">
        <f t="shared" si="0"/>
        <v>0</v>
      </c>
      <c r="T50" s="5">
        <v>0</v>
      </c>
      <c r="U50" s="12">
        <f t="shared" si="1"/>
        <v>0</v>
      </c>
      <c r="V50" s="25" t="s">
        <v>10</v>
      </c>
      <c r="W50" s="11">
        <f>IFERROR(VLOOKUP(V50,Curr!$B$2:$C$13,2,FALSE),0)</f>
        <v>11.2</v>
      </c>
      <c r="X50" s="12">
        <f t="shared" si="2"/>
        <v>0</v>
      </c>
      <c r="Y50" s="26">
        <f t="shared" si="3"/>
        <v>0</v>
      </c>
      <c r="Z50" s="12">
        <f t="shared" si="4"/>
        <v>0</v>
      </c>
      <c r="AA50" s="4" t="s">
        <v>10</v>
      </c>
      <c r="AB50" s="11">
        <f>IFERROR(VLOOKUP(AA50,Curr!$B$2:$C$13,2,FALSE),0)</f>
        <v>11.2</v>
      </c>
      <c r="AC50" s="12">
        <f t="shared" si="5"/>
        <v>0</v>
      </c>
      <c r="AD50" s="12">
        <f t="shared" si="6"/>
        <v>0</v>
      </c>
      <c r="AE50" s="13">
        <f t="shared" si="7"/>
        <v>0</v>
      </c>
    </row>
    <row r="51" spans="2:31" x14ac:dyDescent="0.25">
      <c r="B51" s="4"/>
      <c r="E51" s="3"/>
      <c r="F51" s="3"/>
      <c r="G51" s="24"/>
      <c r="H51" s="24"/>
      <c r="K51" s="4"/>
      <c r="L51" s="4"/>
      <c r="M51" s="4"/>
      <c r="N51" s="4"/>
      <c r="O51" s="4"/>
      <c r="P51" s="27"/>
      <c r="Q51" s="25">
        <v>0</v>
      </c>
      <c r="R51" s="25">
        <v>0</v>
      </c>
      <c r="S51" s="12">
        <f t="shared" si="0"/>
        <v>0</v>
      </c>
      <c r="T51" s="5">
        <v>0</v>
      </c>
      <c r="U51" s="12">
        <f t="shared" si="1"/>
        <v>0</v>
      </c>
      <c r="V51" s="25" t="s">
        <v>10</v>
      </c>
      <c r="W51" s="11">
        <f>IFERROR(VLOOKUP(V51,Curr!$B$2:$C$13,2,FALSE),0)</f>
        <v>11.2</v>
      </c>
      <c r="X51" s="12">
        <f t="shared" si="2"/>
        <v>0</v>
      </c>
      <c r="Y51" s="26">
        <f t="shared" si="3"/>
        <v>0</v>
      </c>
      <c r="Z51" s="12">
        <f t="shared" si="4"/>
        <v>0</v>
      </c>
      <c r="AA51" s="4" t="s">
        <v>10</v>
      </c>
      <c r="AB51" s="11">
        <f>IFERROR(VLOOKUP(AA51,Curr!$B$2:$C$13,2,FALSE),0)</f>
        <v>11.2</v>
      </c>
      <c r="AC51" s="12">
        <f t="shared" si="5"/>
        <v>0</v>
      </c>
      <c r="AD51" s="12">
        <f t="shared" si="6"/>
        <v>0</v>
      </c>
      <c r="AE51" s="13">
        <f t="shared" si="7"/>
        <v>0</v>
      </c>
    </row>
    <row r="52" spans="2:31" x14ac:dyDescent="0.25">
      <c r="B52" s="4"/>
      <c r="E52" s="3"/>
      <c r="F52" s="3"/>
      <c r="G52" s="24"/>
      <c r="H52" s="24"/>
      <c r="K52" s="4"/>
      <c r="L52" s="4"/>
      <c r="M52" s="4"/>
      <c r="N52" s="4"/>
      <c r="O52" s="4"/>
      <c r="P52" s="27"/>
      <c r="Q52" s="25">
        <v>0</v>
      </c>
      <c r="R52" s="25">
        <v>0</v>
      </c>
      <c r="S52" s="12">
        <f t="shared" si="0"/>
        <v>0</v>
      </c>
      <c r="T52" s="5">
        <v>0</v>
      </c>
      <c r="U52" s="12">
        <f t="shared" si="1"/>
        <v>0</v>
      </c>
      <c r="V52" s="25" t="s">
        <v>10</v>
      </c>
      <c r="W52" s="11">
        <f>IFERROR(VLOOKUP(V52,Curr!$B$2:$C$13,2,FALSE),0)</f>
        <v>11.2</v>
      </c>
      <c r="X52" s="12">
        <f t="shared" si="2"/>
        <v>0</v>
      </c>
      <c r="Y52" s="26">
        <f t="shared" si="3"/>
        <v>0</v>
      </c>
      <c r="Z52" s="12">
        <f t="shared" si="4"/>
        <v>0</v>
      </c>
      <c r="AA52" s="4" t="s">
        <v>10</v>
      </c>
      <c r="AB52" s="11">
        <f>IFERROR(VLOOKUP(AA52,Curr!$B$2:$C$13,2,FALSE),0)</f>
        <v>11.2</v>
      </c>
      <c r="AC52" s="12">
        <f t="shared" si="5"/>
        <v>0</v>
      </c>
      <c r="AD52" s="12">
        <f t="shared" si="6"/>
        <v>0</v>
      </c>
      <c r="AE52" s="13">
        <f t="shared" si="7"/>
        <v>0</v>
      </c>
    </row>
    <row r="53" spans="2:31" x14ac:dyDescent="0.25">
      <c r="B53" s="4"/>
      <c r="E53" s="3"/>
      <c r="F53" s="3"/>
      <c r="G53" s="24"/>
      <c r="H53" s="24"/>
      <c r="K53" s="4"/>
      <c r="L53" s="4"/>
      <c r="M53" s="4"/>
      <c r="N53" s="4"/>
      <c r="O53" s="4"/>
      <c r="P53" s="27"/>
      <c r="Q53" s="25">
        <v>0</v>
      </c>
      <c r="R53" s="25">
        <v>0</v>
      </c>
      <c r="S53" s="12">
        <f t="shared" si="0"/>
        <v>0</v>
      </c>
      <c r="T53" s="5">
        <v>0</v>
      </c>
      <c r="U53" s="12">
        <f t="shared" si="1"/>
        <v>0</v>
      </c>
      <c r="V53" s="25" t="s">
        <v>10</v>
      </c>
      <c r="W53" s="11">
        <f>IFERROR(VLOOKUP(V53,Curr!$B$2:$C$13,2,FALSE),0)</f>
        <v>11.2</v>
      </c>
      <c r="X53" s="12">
        <f t="shared" si="2"/>
        <v>0</v>
      </c>
      <c r="Y53" s="26">
        <f t="shared" si="3"/>
        <v>0</v>
      </c>
      <c r="Z53" s="12">
        <f t="shared" si="4"/>
        <v>0</v>
      </c>
      <c r="AA53" s="4" t="s">
        <v>10</v>
      </c>
      <c r="AB53" s="11">
        <f>IFERROR(VLOOKUP(AA53,Curr!$B$2:$C$13,2,FALSE),0)</f>
        <v>11.2</v>
      </c>
      <c r="AC53" s="12">
        <f t="shared" si="5"/>
        <v>0</v>
      </c>
      <c r="AD53" s="12">
        <f t="shared" si="6"/>
        <v>0</v>
      </c>
      <c r="AE53" s="13">
        <f t="shared" si="7"/>
        <v>0</v>
      </c>
    </row>
    <row r="54" spans="2:31" x14ac:dyDescent="0.25">
      <c r="B54" s="4"/>
      <c r="E54" s="3"/>
      <c r="F54" s="3"/>
      <c r="G54" s="24"/>
      <c r="H54" s="24"/>
      <c r="K54" s="4"/>
      <c r="L54" s="4"/>
      <c r="M54" s="4"/>
      <c r="N54" s="4"/>
      <c r="O54" s="4"/>
      <c r="P54" s="27"/>
      <c r="Q54" s="25">
        <v>0</v>
      </c>
      <c r="R54" s="25">
        <v>0</v>
      </c>
      <c r="S54" s="12">
        <f t="shared" si="0"/>
        <v>0</v>
      </c>
      <c r="T54" s="5">
        <v>0</v>
      </c>
      <c r="U54" s="12">
        <f t="shared" si="1"/>
        <v>0</v>
      </c>
      <c r="V54" s="25" t="s">
        <v>10</v>
      </c>
      <c r="W54" s="11">
        <f>IFERROR(VLOOKUP(V54,Curr!$B$2:$C$13,2,FALSE),0)</f>
        <v>11.2</v>
      </c>
      <c r="X54" s="12">
        <f t="shared" si="2"/>
        <v>0</v>
      </c>
      <c r="Y54" s="26">
        <f t="shared" si="3"/>
        <v>0</v>
      </c>
      <c r="Z54" s="12">
        <f t="shared" si="4"/>
        <v>0</v>
      </c>
      <c r="AA54" s="4" t="s">
        <v>10</v>
      </c>
      <c r="AB54" s="11">
        <f>IFERROR(VLOOKUP(AA54,Curr!$B$2:$C$13,2,FALSE),0)</f>
        <v>11.2</v>
      </c>
      <c r="AC54" s="12">
        <f t="shared" si="5"/>
        <v>0</v>
      </c>
      <c r="AD54" s="12">
        <f t="shared" si="6"/>
        <v>0</v>
      </c>
      <c r="AE54" s="13">
        <f t="shared" si="7"/>
        <v>0</v>
      </c>
    </row>
    <row r="55" spans="2:31" x14ac:dyDescent="0.25">
      <c r="B55" s="4"/>
      <c r="E55" s="3"/>
      <c r="F55" s="3"/>
      <c r="G55" s="24"/>
      <c r="H55" s="24"/>
      <c r="K55" s="4"/>
      <c r="L55" s="4"/>
      <c r="M55" s="4"/>
      <c r="N55" s="4"/>
      <c r="O55" s="4"/>
      <c r="P55" s="27"/>
      <c r="Q55" s="25">
        <v>0</v>
      </c>
      <c r="R55" s="25">
        <v>0</v>
      </c>
      <c r="S55" s="12">
        <f t="shared" si="0"/>
        <v>0</v>
      </c>
      <c r="T55" s="5">
        <v>0</v>
      </c>
      <c r="U55" s="12">
        <f t="shared" si="1"/>
        <v>0</v>
      </c>
      <c r="V55" s="25" t="s">
        <v>10</v>
      </c>
      <c r="W55" s="11">
        <f>IFERROR(VLOOKUP(V55,Curr!$B$2:$C$13,2,FALSE),0)</f>
        <v>11.2</v>
      </c>
      <c r="X55" s="12">
        <f t="shared" si="2"/>
        <v>0</v>
      </c>
      <c r="Y55" s="26">
        <f t="shared" si="3"/>
        <v>0</v>
      </c>
      <c r="Z55" s="12">
        <f t="shared" si="4"/>
        <v>0</v>
      </c>
      <c r="AA55" s="4" t="s">
        <v>10</v>
      </c>
      <c r="AB55" s="11">
        <f>IFERROR(VLOOKUP(AA55,Curr!$B$2:$C$13,2,FALSE),0)</f>
        <v>11.2</v>
      </c>
      <c r="AC55" s="12">
        <f t="shared" si="5"/>
        <v>0</v>
      </c>
      <c r="AD55" s="12">
        <f t="shared" si="6"/>
        <v>0</v>
      </c>
      <c r="AE55" s="13">
        <f t="shared" si="7"/>
        <v>0</v>
      </c>
    </row>
    <row r="56" spans="2:31" x14ac:dyDescent="0.25">
      <c r="B56" s="4"/>
      <c r="E56" s="3"/>
      <c r="F56" s="3"/>
      <c r="G56" s="24"/>
      <c r="H56" s="24"/>
      <c r="K56" s="4"/>
      <c r="L56" s="4"/>
      <c r="M56" s="4"/>
      <c r="N56" s="4"/>
      <c r="O56" s="4"/>
      <c r="P56" s="27"/>
      <c r="Q56" s="25">
        <v>0</v>
      </c>
      <c r="R56" s="25">
        <v>0</v>
      </c>
      <c r="S56" s="12">
        <f t="shared" si="0"/>
        <v>0</v>
      </c>
      <c r="T56" s="5">
        <v>0</v>
      </c>
      <c r="U56" s="12">
        <f t="shared" si="1"/>
        <v>0</v>
      </c>
      <c r="V56" s="25" t="s">
        <v>10</v>
      </c>
      <c r="W56" s="11">
        <f>IFERROR(VLOOKUP(V56,Curr!$B$2:$C$13,2,FALSE),0)</f>
        <v>11.2</v>
      </c>
      <c r="X56" s="12">
        <f t="shared" si="2"/>
        <v>0</v>
      </c>
      <c r="Y56" s="26">
        <f t="shared" si="3"/>
        <v>0</v>
      </c>
      <c r="Z56" s="12">
        <f t="shared" si="4"/>
        <v>0</v>
      </c>
      <c r="AA56" s="4" t="s">
        <v>10</v>
      </c>
      <c r="AB56" s="11">
        <f>IFERROR(VLOOKUP(AA56,Curr!$B$2:$C$13,2,FALSE),0)</f>
        <v>11.2</v>
      </c>
      <c r="AC56" s="12">
        <f t="shared" si="5"/>
        <v>0</v>
      </c>
      <c r="AD56" s="12">
        <f t="shared" si="6"/>
        <v>0</v>
      </c>
      <c r="AE56" s="13">
        <f t="shared" si="7"/>
        <v>0</v>
      </c>
    </row>
    <row r="57" spans="2:31" x14ac:dyDescent="0.25">
      <c r="B57" s="4"/>
      <c r="E57" s="3"/>
      <c r="F57" s="3"/>
      <c r="G57" s="24"/>
      <c r="H57" s="24"/>
      <c r="K57" s="4"/>
      <c r="L57" s="4"/>
      <c r="M57" s="4"/>
      <c r="N57" s="4"/>
      <c r="O57" s="4"/>
      <c r="P57" s="27"/>
      <c r="Q57" s="25">
        <v>0</v>
      </c>
      <c r="R57" s="25">
        <v>0</v>
      </c>
      <c r="S57" s="12">
        <f t="shared" si="0"/>
        <v>0</v>
      </c>
      <c r="T57" s="5">
        <v>0</v>
      </c>
      <c r="U57" s="12">
        <f t="shared" si="1"/>
        <v>0</v>
      </c>
      <c r="V57" s="25" t="s">
        <v>10</v>
      </c>
      <c r="W57" s="11">
        <f>IFERROR(VLOOKUP(V57,Curr!$B$2:$C$13,2,FALSE),0)</f>
        <v>11.2</v>
      </c>
      <c r="X57" s="12">
        <f t="shared" si="2"/>
        <v>0</v>
      </c>
      <c r="Y57" s="26">
        <f t="shared" si="3"/>
        <v>0</v>
      </c>
      <c r="Z57" s="12">
        <f t="shared" si="4"/>
        <v>0</v>
      </c>
      <c r="AA57" s="4" t="s">
        <v>10</v>
      </c>
      <c r="AB57" s="11">
        <f>IFERROR(VLOOKUP(AA57,Curr!$B$2:$C$13,2,FALSE),0)</f>
        <v>11.2</v>
      </c>
      <c r="AC57" s="12">
        <f t="shared" si="5"/>
        <v>0</v>
      </c>
      <c r="AD57" s="12">
        <f t="shared" si="6"/>
        <v>0</v>
      </c>
      <c r="AE57" s="13">
        <f t="shared" si="7"/>
        <v>0</v>
      </c>
    </row>
    <row r="58" spans="2:31" x14ac:dyDescent="0.25">
      <c r="B58" s="4"/>
      <c r="E58" s="3"/>
      <c r="F58" s="3"/>
      <c r="G58" s="24"/>
      <c r="H58" s="24"/>
      <c r="K58" s="4"/>
      <c r="L58" s="4"/>
      <c r="M58" s="4"/>
      <c r="N58" s="4"/>
      <c r="O58" s="4"/>
      <c r="P58" s="27"/>
      <c r="Q58" s="25">
        <v>0</v>
      </c>
      <c r="R58" s="25">
        <v>0</v>
      </c>
      <c r="S58" s="12">
        <f t="shared" si="0"/>
        <v>0</v>
      </c>
      <c r="T58" s="5">
        <v>0</v>
      </c>
      <c r="U58" s="12">
        <f t="shared" si="1"/>
        <v>0</v>
      </c>
      <c r="V58" s="25" t="s">
        <v>10</v>
      </c>
      <c r="W58" s="11">
        <f>IFERROR(VLOOKUP(V58,Curr!$B$2:$C$13,2,FALSE),0)</f>
        <v>11.2</v>
      </c>
      <c r="X58" s="12">
        <f t="shared" si="2"/>
        <v>0</v>
      </c>
      <c r="Y58" s="26">
        <f t="shared" si="3"/>
        <v>0</v>
      </c>
      <c r="Z58" s="12">
        <f t="shared" si="4"/>
        <v>0</v>
      </c>
      <c r="AA58" s="4" t="s">
        <v>10</v>
      </c>
      <c r="AB58" s="11">
        <f>IFERROR(VLOOKUP(AA58,Curr!$B$2:$C$13,2,FALSE),0)</f>
        <v>11.2</v>
      </c>
      <c r="AC58" s="12">
        <f t="shared" si="5"/>
        <v>0</v>
      </c>
      <c r="AD58" s="12">
        <f t="shared" si="6"/>
        <v>0</v>
      </c>
      <c r="AE58" s="13">
        <f t="shared" si="7"/>
        <v>0</v>
      </c>
    </row>
    <row r="59" spans="2:31" x14ac:dyDescent="0.25">
      <c r="B59" s="4"/>
      <c r="E59" s="3"/>
      <c r="F59" s="3"/>
      <c r="G59" s="24"/>
      <c r="H59" s="24"/>
      <c r="K59" s="4"/>
      <c r="L59" s="4"/>
      <c r="M59" s="4"/>
      <c r="N59" s="4"/>
      <c r="O59" s="4"/>
      <c r="P59" s="27"/>
      <c r="Q59" s="25">
        <v>0</v>
      </c>
      <c r="R59" s="25">
        <v>0</v>
      </c>
      <c r="S59" s="12">
        <f t="shared" si="0"/>
        <v>0</v>
      </c>
      <c r="T59" s="5">
        <v>0</v>
      </c>
      <c r="U59" s="12">
        <f t="shared" si="1"/>
        <v>0</v>
      </c>
      <c r="V59" s="25" t="s">
        <v>10</v>
      </c>
      <c r="W59" s="11">
        <f>IFERROR(VLOOKUP(V59,Curr!$B$2:$C$13,2,FALSE),0)</f>
        <v>11.2</v>
      </c>
      <c r="X59" s="12">
        <f t="shared" si="2"/>
        <v>0</v>
      </c>
      <c r="Y59" s="26">
        <f t="shared" si="3"/>
        <v>0</v>
      </c>
      <c r="Z59" s="12">
        <f t="shared" si="4"/>
        <v>0</v>
      </c>
      <c r="AA59" s="4" t="s">
        <v>10</v>
      </c>
      <c r="AB59" s="11">
        <f>IFERROR(VLOOKUP(AA59,Curr!$B$2:$C$13,2,FALSE),0)</f>
        <v>11.2</v>
      </c>
      <c r="AC59" s="12">
        <f t="shared" si="5"/>
        <v>0</v>
      </c>
      <c r="AD59" s="12">
        <f t="shared" si="6"/>
        <v>0</v>
      </c>
      <c r="AE59" s="13">
        <f t="shared" si="7"/>
        <v>0</v>
      </c>
    </row>
    <row r="60" spans="2:31" x14ac:dyDescent="0.25">
      <c r="B60" s="4"/>
      <c r="E60" s="3"/>
      <c r="F60" s="3"/>
      <c r="G60" s="24"/>
      <c r="H60" s="24"/>
      <c r="K60" s="4"/>
      <c r="L60" s="4"/>
      <c r="M60" s="4"/>
      <c r="N60" s="4"/>
      <c r="O60" s="4"/>
      <c r="P60" s="27"/>
      <c r="Q60" s="25">
        <v>0</v>
      </c>
      <c r="R60" s="25">
        <v>0</v>
      </c>
      <c r="S60" s="12">
        <f t="shared" si="0"/>
        <v>0</v>
      </c>
      <c r="T60" s="5">
        <v>0</v>
      </c>
      <c r="U60" s="12">
        <f t="shared" si="1"/>
        <v>0</v>
      </c>
      <c r="V60" s="25" t="s">
        <v>10</v>
      </c>
      <c r="W60" s="11">
        <f>IFERROR(VLOOKUP(V60,Curr!$B$2:$C$13,2,FALSE),0)</f>
        <v>11.2</v>
      </c>
      <c r="X60" s="12">
        <f t="shared" si="2"/>
        <v>0</v>
      </c>
      <c r="Y60" s="26">
        <f t="shared" si="3"/>
        <v>0</v>
      </c>
      <c r="Z60" s="12">
        <f t="shared" si="4"/>
        <v>0</v>
      </c>
      <c r="AA60" s="4" t="s">
        <v>10</v>
      </c>
      <c r="AB60" s="11">
        <f>IFERROR(VLOOKUP(AA60,Curr!$B$2:$C$13,2,FALSE),0)</f>
        <v>11.2</v>
      </c>
      <c r="AC60" s="12">
        <f t="shared" si="5"/>
        <v>0</v>
      </c>
      <c r="AD60" s="12">
        <f t="shared" si="6"/>
        <v>0</v>
      </c>
      <c r="AE60" s="13">
        <f t="shared" si="7"/>
        <v>0</v>
      </c>
    </row>
    <row r="61" spans="2:31" x14ac:dyDescent="0.25">
      <c r="B61" s="4"/>
      <c r="E61" s="3"/>
      <c r="F61" s="3"/>
      <c r="G61" s="24"/>
      <c r="H61" s="24"/>
      <c r="K61" s="4"/>
      <c r="L61" s="4"/>
      <c r="M61" s="4"/>
      <c r="N61" s="4"/>
      <c r="O61" s="4"/>
      <c r="P61" s="27"/>
      <c r="Q61" s="25">
        <v>0</v>
      </c>
      <c r="R61" s="25">
        <v>0</v>
      </c>
      <c r="S61" s="12">
        <f t="shared" si="0"/>
        <v>0</v>
      </c>
      <c r="T61" s="5">
        <v>0</v>
      </c>
      <c r="U61" s="12">
        <f t="shared" si="1"/>
        <v>0</v>
      </c>
      <c r="V61" s="25" t="s">
        <v>10</v>
      </c>
      <c r="W61" s="11">
        <f>IFERROR(VLOOKUP(V61,Curr!$B$2:$C$13,2,FALSE),0)</f>
        <v>11.2</v>
      </c>
      <c r="X61" s="12">
        <f t="shared" si="2"/>
        <v>0</v>
      </c>
      <c r="Y61" s="26">
        <f t="shared" si="3"/>
        <v>0</v>
      </c>
      <c r="Z61" s="12">
        <f t="shared" si="4"/>
        <v>0</v>
      </c>
      <c r="AA61" s="4" t="s">
        <v>10</v>
      </c>
      <c r="AB61" s="11">
        <f>IFERROR(VLOOKUP(AA61,Curr!$B$2:$C$13,2,FALSE),0)</f>
        <v>11.2</v>
      </c>
      <c r="AC61" s="12">
        <f t="shared" si="5"/>
        <v>0</v>
      </c>
      <c r="AD61" s="12">
        <f t="shared" si="6"/>
        <v>0</v>
      </c>
      <c r="AE61" s="13">
        <f t="shared" si="7"/>
        <v>0</v>
      </c>
    </row>
    <row r="62" spans="2:31" x14ac:dyDescent="0.25">
      <c r="B62" s="4"/>
      <c r="E62" s="3"/>
      <c r="F62" s="3"/>
      <c r="G62" s="24"/>
      <c r="H62" s="24"/>
      <c r="K62" s="4"/>
      <c r="L62" s="4"/>
      <c r="M62" s="4"/>
      <c r="N62" s="4"/>
      <c r="O62" s="4"/>
      <c r="P62" s="27"/>
      <c r="Q62" s="25">
        <v>0</v>
      </c>
      <c r="R62" s="25">
        <v>0</v>
      </c>
      <c r="S62" s="12">
        <f t="shared" si="0"/>
        <v>0</v>
      </c>
      <c r="T62" s="5">
        <v>0</v>
      </c>
      <c r="U62" s="12">
        <f t="shared" si="1"/>
        <v>0</v>
      </c>
      <c r="V62" s="25" t="s">
        <v>10</v>
      </c>
      <c r="W62" s="11">
        <f>IFERROR(VLOOKUP(V62,Curr!$B$2:$C$13,2,FALSE),0)</f>
        <v>11.2</v>
      </c>
      <c r="X62" s="12">
        <f t="shared" si="2"/>
        <v>0</v>
      </c>
      <c r="Y62" s="26">
        <f t="shared" si="3"/>
        <v>0</v>
      </c>
      <c r="Z62" s="12">
        <f t="shared" si="4"/>
        <v>0</v>
      </c>
      <c r="AA62" s="4" t="s">
        <v>10</v>
      </c>
      <c r="AB62" s="11">
        <f>IFERROR(VLOOKUP(AA62,Curr!$B$2:$C$13,2,FALSE),0)</f>
        <v>11.2</v>
      </c>
      <c r="AC62" s="12">
        <f t="shared" si="5"/>
        <v>0</v>
      </c>
      <c r="AD62" s="12">
        <f t="shared" si="6"/>
        <v>0</v>
      </c>
      <c r="AE62" s="13">
        <f t="shared" si="7"/>
        <v>0</v>
      </c>
    </row>
    <row r="63" spans="2:31" x14ac:dyDescent="0.25">
      <c r="B63" s="4"/>
      <c r="E63" s="3"/>
      <c r="F63" s="3"/>
      <c r="G63" s="24"/>
      <c r="H63" s="24"/>
      <c r="K63" s="4"/>
      <c r="L63" s="4"/>
      <c r="M63" s="4"/>
      <c r="N63" s="4"/>
      <c r="O63" s="4"/>
      <c r="P63" s="27"/>
      <c r="Q63" s="25">
        <v>0</v>
      </c>
      <c r="R63" s="25">
        <v>0</v>
      </c>
      <c r="S63" s="12">
        <f t="shared" si="0"/>
        <v>0</v>
      </c>
      <c r="T63" s="5">
        <v>0</v>
      </c>
      <c r="U63" s="12">
        <f t="shared" si="1"/>
        <v>0</v>
      </c>
      <c r="V63" s="25" t="s">
        <v>10</v>
      </c>
      <c r="W63" s="11">
        <f>IFERROR(VLOOKUP(V63,Curr!$B$2:$C$13,2,FALSE),0)</f>
        <v>11.2</v>
      </c>
      <c r="X63" s="12">
        <f t="shared" si="2"/>
        <v>0</v>
      </c>
      <c r="Y63" s="26">
        <f t="shared" si="3"/>
        <v>0</v>
      </c>
      <c r="Z63" s="12">
        <f t="shared" si="4"/>
        <v>0</v>
      </c>
      <c r="AA63" s="4" t="s">
        <v>10</v>
      </c>
      <c r="AB63" s="11">
        <f>IFERROR(VLOOKUP(AA63,Curr!$B$2:$C$13,2,FALSE),0)</f>
        <v>11.2</v>
      </c>
      <c r="AC63" s="12">
        <f t="shared" si="5"/>
        <v>0</v>
      </c>
      <c r="AD63" s="12">
        <f t="shared" si="6"/>
        <v>0</v>
      </c>
      <c r="AE63" s="13">
        <f t="shared" si="7"/>
        <v>0</v>
      </c>
    </row>
    <row r="64" spans="2:31" x14ac:dyDescent="0.25">
      <c r="B64" s="4"/>
      <c r="E64" s="3"/>
      <c r="F64" s="3"/>
      <c r="G64" s="24"/>
      <c r="H64" s="24"/>
      <c r="K64" s="4"/>
      <c r="L64" s="4"/>
      <c r="M64" s="4"/>
      <c r="N64" s="4"/>
      <c r="O64" s="4"/>
      <c r="P64" s="27"/>
      <c r="Q64" s="25">
        <v>0</v>
      </c>
      <c r="R64" s="25">
        <v>0</v>
      </c>
      <c r="S64" s="12">
        <f t="shared" si="0"/>
        <v>0</v>
      </c>
      <c r="T64" s="5">
        <v>0</v>
      </c>
      <c r="U64" s="12">
        <f t="shared" si="1"/>
        <v>0</v>
      </c>
      <c r="V64" s="25" t="s">
        <v>10</v>
      </c>
      <c r="W64" s="11">
        <f>IFERROR(VLOOKUP(V64,Curr!$B$2:$C$13,2,FALSE),0)</f>
        <v>11.2</v>
      </c>
      <c r="X64" s="12">
        <f t="shared" si="2"/>
        <v>0</v>
      </c>
      <c r="Y64" s="26">
        <f t="shared" si="3"/>
        <v>0</v>
      </c>
      <c r="Z64" s="12">
        <f t="shared" si="4"/>
        <v>0</v>
      </c>
      <c r="AA64" s="4" t="s">
        <v>10</v>
      </c>
      <c r="AB64" s="11">
        <f>IFERROR(VLOOKUP(AA64,Curr!$B$2:$C$13,2,FALSE),0)</f>
        <v>11.2</v>
      </c>
      <c r="AC64" s="12">
        <f t="shared" si="5"/>
        <v>0</v>
      </c>
      <c r="AD64" s="12">
        <f t="shared" si="6"/>
        <v>0</v>
      </c>
      <c r="AE64" s="13">
        <f t="shared" si="7"/>
        <v>0</v>
      </c>
    </row>
    <row r="65" spans="2:31" x14ac:dyDescent="0.25">
      <c r="B65" s="4"/>
      <c r="E65" s="3"/>
      <c r="F65" s="3"/>
      <c r="G65" s="24"/>
      <c r="H65" s="24"/>
      <c r="K65" s="4"/>
      <c r="L65" s="4"/>
      <c r="M65" s="4"/>
      <c r="N65" s="4"/>
      <c r="O65" s="4"/>
      <c r="P65" s="27"/>
      <c r="Q65" s="25">
        <v>0</v>
      </c>
      <c r="R65" s="25">
        <v>0</v>
      </c>
      <c r="S65" s="12">
        <f t="shared" si="0"/>
        <v>0</v>
      </c>
      <c r="T65" s="5">
        <v>0</v>
      </c>
      <c r="U65" s="12">
        <f t="shared" si="1"/>
        <v>0</v>
      </c>
      <c r="V65" s="25" t="s">
        <v>10</v>
      </c>
      <c r="W65" s="11">
        <f>IFERROR(VLOOKUP(V65,Curr!$B$2:$C$13,2,FALSE),0)</f>
        <v>11.2</v>
      </c>
      <c r="X65" s="12">
        <f t="shared" si="2"/>
        <v>0</v>
      </c>
      <c r="Y65" s="26">
        <f t="shared" si="3"/>
        <v>0</v>
      </c>
      <c r="Z65" s="12">
        <f t="shared" si="4"/>
        <v>0</v>
      </c>
      <c r="AA65" s="4" t="s">
        <v>10</v>
      </c>
      <c r="AB65" s="11">
        <f>IFERROR(VLOOKUP(AA65,Curr!$B$2:$C$13,2,FALSE),0)</f>
        <v>11.2</v>
      </c>
      <c r="AC65" s="12">
        <f t="shared" si="5"/>
        <v>0</v>
      </c>
      <c r="AD65" s="12">
        <f t="shared" si="6"/>
        <v>0</v>
      </c>
      <c r="AE65" s="13">
        <f t="shared" si="7"/>
        <v>0</v>
      </c>
    </row>
    <row r="66" spans="2:31" x14ac:dyDescent="0.25">
      <c r="B66" s="4"/>
      <c r="E66" s="3"/>
      <c r="F66" s="3"/>
      <c r="G66" s="24"/>
      <c r="H66" s="24"/>
      <c r="K66" s="4"/>
      <c r="L66" s="4"/>
      <c r="M66" s="4"/>
      <c r="N66" s="4"/>
      <c r="O66" s="4"/>
      <c r="P66" s="27"/>
      <c r="Q66" s="25">
        <v>0</v>
      </c>
      <c r="R66" s="25">
        <v>0</v>
      </c>
      <c r="S66" s="12">
        <f t="shared" si="0"/>
        <v>0</v>
      </c>
      <c r="T66" s="5">
        <v>0</v>
      </c>
      <c r="U66" s="12">
        <f t="shared" si="1"/>
        <v>0</v>
      </c>
      <c r="V66" s="25" t="s">
        <v>10</v>
      </c>
      <c r="W66" s="11">
        <f>IFERROR(VLOOKUP(V66,Curr!$B$2:$C$13,2,FALSE),0)</f>
        <v>11.2</v>
      </c>
      <c r="X66" s="12">
        <f t="shared" si="2"/>
        <v>0</v>
      </c>
      <c r="Y66" s="26">
        <f t="shared" si="3"/>
        <v>0</v>
      </c>
      <c r="Z66" s="12">
        <f t="shared" si="4"/>
        <v>0</v>
      </c>
      <c r="AA66" s="4" t="s">
        <v>10</v>
      </c>
      <c r="AB66" s="11">
        <f>IFERROR(VLOOKUP(AA66,Curr!$B$2:$C$13,2,FALSE),0)</f>
        <v>11.2</v>
      </c>
      <c r="AC66" s="12">
        <f t="shared" si="5"/>
        <v>0</v>
      </c>
      <c r="AD66" s="12">
        <f t="shared" si="6"/>
        <v>0</v>
      </c>
      <c r="AE66" s="13">
        <f t="shared" si="7"/>
        <v>0</v>
      </c>
    </row>
    <row r="67" spans="2:31" x14ac:dyDescent="0.25">
      <c r="B67" s="4"/>
      <c r="E67" s="3"/>
      <c r="F67" s="3"/>
      <c r="G67" s="24"/>
      <c r="H67" s="24"/>
      <c r="K67" s="4"/>
      <c r="L67" s="4"/>
      <c r="M67" s="4"/>
      <c r="N67" s="4"/>
      <c r="O67" s="4"/>
      <c r="P67" s="27"/>
      <c r="Q67" s="25">
        <v>0</v>
      </c>
      <c r="R67" s="25">
        <v>0</v>
      </c>
      <c r="S67" s="12">
        <f t="shared" si="0"/>
        <v>0</v>
      </c>
      <c r="T67" s="5">
        <v>0</v>
      </c>
      <c r="U67" s="12">
        <f t="shared" si="1"/>
        <v>0</v>
      </c>
      <c r="V67" s="25" t="s">
        <v>10</v>
      </c>
      <c r="W67" s="11">
        <f>IFERROR(VLOOKUP(V67,Curr!$B$2:$C$13,2,FALSE),0)</f>
        <v>11.2</v>
      </c>
      <c r="X67" s="12">
        <f t="shared" si="2"/>
        <v>0</v>
      </c>
      <c r="Y67" s="26">
        <f t="shared" si="3"/>
        <v>0</v>
      </c>
      <c r="Z67" s="12">
        <f t="shared" si="4"/>
        <v>0</v>
      </c>
      <c r="AA67" s="4" t="s">
        <v>10</v>
      </c>
      <c r="AB67" s="11">
        <f>IFERROR(VLOOKUP(AA67,Curr!$B$2:$C$13,2,FALSE),0)</f>
        <v>11.2</v>
      </c>
      <c r="AC67" s="12">
        <f t="shared" si="5"/>
        <v>0</v>
      </c>
      <c r="AD67" s="12">
        <f t="shared" si="6"/>
        <v>0</v>
      </c>
      <c r="AE67" s="13">
        <f t="shared" si="7"/>
        <v>0</v>
      </c>
    </row>
    <row r="68" spans="2:31" x14ac:dyDescent="0.25">
      <c r="B68" s="4"/>
      <c r="E68" s="3"/>
      <c r="F68" s="3"/>
      <c r="G68" s="24"/>
      <c r="H68" s="24"/>
      <c r="K68" s="4"/>
      <c r="L68" s="4"/>
      <c r="M68" s="4"/>
      <c r="N68" s="4"/>
      <c r="O68" s="4"/>
      <c r="P68" s="27"/>
      <c r="Q68" s="25">
        <v>0</v>
      </c>
      <c r="R68" s="25">
        <v>0</v>
      </c>
      <c r="S68" s="12">
        <f t="shared" si="0"/>
        <v>0</v>
      </c>
      <c r="T68" s="5">
        <v>0</v>
      </c>
      <c r="U68" s="12">
        <f t="shared" si="1"/>
        <v>0</v>
      </c>
      <c r="V68" s="25" t="s">
        <v>10</v>
      </c>
      <c r="W68" s="11">
        <f>IFERROR(VLOOKUP(V68,Curr!$B$2:$C$13,2,FALSE),0)</f>
        <v>11.2</v>
      </c>
      <c r="X68" s="12">
        <f t="shared" si="2"/>
        <v>0</v>
      </c>
      <c r="Y68" s="26">
        <f t="shared" si="3"/>
        <v>0</v>
      </c>
      <c r="Z68" s="12">
        <f t="shared" si="4"/>
        <v>0</v>
      </c>
      <c r="AA68" s="4" t="s">
        <v>10</v>
      </c>
      <c r="AB68" s="11">
        <f>IFERROR(VLOOKUP(AA68,Curr!$B$2:$C$13,2,FALSE),0)</f>
        <v>11.2</v>
      </c>
      <c r="AC68" s="12">
        <f t="shared" si="5"/>
        <v>0</v>
      </c>
      <c r="AD68" s="12">
        <f t="shared" si="6"/>
        <v>0</v>
      </c>
      <c r="AE68" s="13">
        <f t="shared" si="7"/>
        <v>0</v>
      </c>
    </row>
    <row r="69" spans="2:31" x14ac:dyDescent="0.25">
      <c r="B69" s="4"/>
      <c r="E69" s="3"/>
      <c r="F69" s="3"/>
      <c r="G69" s="24"/>
      <c r="H69" s="24"/>
      <c r="K69" s="4"/>
      <c r="L69" s="4"/>
      <c r="M69" s="4"/>
      <c r="N69" s="4"/>
      <c r="O69" s="4"/>
      <c r="P69" s="27"/>
      <c r="Q69" s="25">
        <v>0</v>
      </c>
      <c r="R69" s="25">
        <v>0</v>
      </c>
      <c r="S69" s="12">
        <f t="shared" si="0"/>
        <v>0</v>
      </c>
      <c r="T69" s="5">
        <v>0</v>
      </c>
      <c r="U69" s="12">
        <f t="shared" si="1"/>
        <v>0</v>
      </c>
      <c r="V69" s="25" t="s">
        <v>10</v>
      </c>
      <c r="W69" s="11">
        <f>IFERROR(VLOOKUP(V69,Curr!$B$2:$C$13,2,FALSE),0)</f>
        <v>11.2</v>
      </c>
      <c r="X69" s="12">
        <f t="shared" si="2"/>
        <v>0</v>
      </c>
      <c r="Y69" s="26">
        <f t="shared" si="3"/>
        <v>0</v>
      </c>
      <c r="Z69" s="12">
        <f t="shared" si="4"/>
        <v>0</v>
      </c>
      <c r="AA69" s="4" t="s">
        <v>10</v>
      </c>
      <c r="AB69" s="11">
        <f>IFERROR(VLOOKUP(AA69,Curr!$B$2:$C$13,2,FALSE),0)</f>
        <v>11.2</v>
      </c>
      <c r="AC69" s="12">
        <f t="shared" si="5"/>
        <v>0</v>
      </c>
      <c r="AD69" s="12">
        <f t="shared" si="6"/>
        <v>0</v>
      </c>
      <c r="AE69" s="13">
        <f t="shared" si="7"/>
        <v>0</v>
      </c>
    </row>
    <row r="70" spans="2:31" x14ac:dyDescent="0.25">
      <c r="B70" s="4"/>
      <c r="E70" s="3"/>
      <c r="F70" s="3"/>
      <c r="G70" s="24"/>
      <c r="H70" s="24"/>
      <c r="K70" s="4"/>
      <c r="L70" s="4"/>
      <c r="M70" s="4"/>
      <c r="N70" s="4"/>
      <c r="O70" s="4"/>
      <c r="P70" s="27"/>
      <c r="Q70" s="25">
        <v>0</v>
      </c>
      <c r="R70" s="25">
        <v>0</v>
      </c>
      <c r="S70" s="12">
        <f t="shared" si="0"/>
        <v>0</v>
      </c>
      <c r="T70" s="5">
        <v>0</v>
      </c>
      <c r="U70" s="12">
        <f t="shared" si="1"/>
        <v>0</v>
      </c>
      <c r="V70" s="25" t="s">
        <v>10</v>
      </c>
      <c r="W70" s="11">
        <f>IFERROR(VLOOKUP(V70,Curr!$B$2:$C$13,2,FALSE),0)</f>
        <v>11.2</v>
      </c>
      <c r="X70" s="12">
        <f t="shared" si="2"/>
        <v>0</v>
      </c>
      <c r="Y70" s="26">
        <f t="shared" si="3"/>
        <v>0</v>
      </c>
      <c r="Z70" s="12">
        <f t="shared" si="4"/>
        <v>0</v>
      </c>
      <c r="AA70" s="4" t="s">
        <v>10</v>
      </c>
      <c r="AB70" s="11">
        <f>IFERROR(VLOOKUP(AA70,Curr!$B$2:$C$13,2,FALSE),0)</f>
        <v>11.2</v>
      </c>
      <c r="AC70" s="12">
        <f t="shared" si="5"/>
        <v>0</v>
      </c>
      <c r="AD70" s="12">
        <f t="shared" si="6"/>
        <v>0</v>
      </c>
      <c r="AE70" s="13">
        <f t="shared" si="7"/>
        <v>0</v>
      </c>
    </row>
    <row r="71" spans="2:31" x14ac:dyDescent="0.25">
      <c r="B71" s="4"/>
      <c r="E71" s="3"/>
      <c r="F71" s="3"/>
      <c r="G71" s="24"/>
      <c r="H71" s="24"/>
      <c r="K71" s="4"/>
      <c r="L71" s="4"/>
      <c r="M71" s="4"/>
      <c r="N71" s="4"/>
      <c r="O71" s="4"/>
      <c r="P71" s="27"/>
      <c r="Q71" s="25">
        <v>0</v>
      </c>
      <c r="R71" s="25">
        <v>0</v>
      </c>
      <c r="S71" s="12">
        <f t="shared" ref="S71:S98" si="8">+Q71*R71</f>
        <v>0</v>
      </c>
      <c r="T71" s="5">
        <v>0</v>
      </c>
      <c r="U71" s="12">
        <f t="shared" ref="U71:U98" si="9">S71*(1-T71)</f>
        <v>0</v>
      </c>
      <c r="V71" s="25" t="s">
        <v>10</v>
      </c>
      <c r="W71" s="11">
        <f>IFERROR(VLOOKUP(V71,Curr!$B$2:$C$13,2,FALSE),0)</f>
        <v>11.2</v>
      </c>
      <c r="X71" s="12">
        <f t="shared" ref="X71:X98" si="10">U71*W71</f>
        <v>0</v>
      </c>
      <c r="Y71" s="26">
        <f t="shared" ref="Y71:Y98" si="11">Q71</f>
        <v>0</v>
      </c>
      <c r="Z71" s="12">
        <f t="shared" ref="Z71:Z98" si="12">+Y71*R71</f>
        <v>0</v>
      </c>
      <c r="AA71" s="4" t="s">
        <v>10</v>
      </c>
      <c r="AB71" s="11">
        <f>IFERROR(VLOOKUP(AA71,Curr!$B$2:$C$13,2,FALSE),0)</f>
        <v>11.2</v>
      </c>
      <c r="AC71" s="12">
        <f t="shared" ref="AC71:AC98" si="13">+Y71*AB71*R71</f>
        <v>0</v>
      </c>
      <c r="AD71" s="12">
        <f t="shared" ref="AD71:AD98" si="14">+AC71-X71</f>
        <v>0</v>
      </c>
      <c r="AE71" s="13">
        <f t="shared" ref="AE71:AE98" si="15">IFERROR(AD71/AC71,0)</f>
        <v>0</v>
      </c>
    </row>
    <row r="72" spans="2:31" x14ac:dyDescent="0.25">
      <c r="B72" s="4"/>
      <c r="E72" s="3"/>
      <c r="F72" s="3"/>
      <c r="G72" s="24"/>
      <c r="H72" s="24"/>
      <c r="K72" s="4"/>
      <c r="L72" s="4"/>
      <c r="M72" s="4"/>
      <c r="N72" s="4"/>
      <c r="O72" s="4"/>
      <c r="P72" s="27"/>
      <c r="Q72" s="25">
        <v>0</v>
      </c>
      <c r="R72" s="25">
        <v>0</v>
      </c>
      <c r="S72" s="12">
        <f t="shared" si="8"/>
        <v>0</v>
      </c>
      <c r="T72" s="5">
        <v>0</v>
      </c>
      <c r="U72" s="12">
        <f t="shared" si="9"/>
        <v>0</v>
      </c>
      <c r="V72" s="25" t="s">
        <v>10</v>
      </c>
      <c r="W72" s="11">
        <f>IFERROR(VLOOKUP(V72,Curr!$B$2:$C$13,2,FALSE),0)</f>
        <v>11.2</v>
      </c>
      <c r="X72" s="12">
        <f t="shared" si="10"/>
        <v>0</v>
      </c>
      <c r="Y72" s="26">
        <f t="shared" si="11"/>
        <v>0</v>
      </c>
      <c r="Z72" s="12">
        <f t="shared" si="12"/>
        <v>0</v>
      </c>
      <c r="AA72" s="4" t="s">
        <v>10</v>
      </c>
      <c r="AB72" s="11">
        <f>IFERROR(VLOOKUP(AA72,Curr!$B$2:$C$13,2,FALSE),0)</f>
        <v>11.2</v>
      </c>
      <c r="AC72" s="12">
        <f t="shared" si="13"/>
        <v>0</v>
      </c>
      <c r="AD72" s="12">
        <f t="shared" si="14"/>
        <v>0</v>
      </c>
      <c r="AE72" s="13">
        <f t="shared" si="15"/>
        <v>0</v>
      </c>
    </row>
    <row r="73" spans="2:31" x14ac:dyDescent="0.25">
      <c r="B73" s="4"/>
      <c r="E73" s="3"/>
      <c r="F73" s="3"/>
      <c r="G73" s="24"/>
      <c r="H73" s="24"/>
      <c r="K73" s="4"/>
      <c r="L73" s="4"/>
      <c r="M73" s="4"/>
      <c r="N73" s="4"/>
      <c r="O73" s="4"/>
      <c r="P73" s="27"/>
      <c r="Q73" s="25">
        <v>0</v>
      </c>
      <c r="R73" s="25">
        <v>0</v>
      </c>
      <c r="S73" s="12">
        <f t="shared" si="8"/>
        <v>0</v>
      </c>
      <c r="T73" s="5">
        <v>0</v>
      </c>
      <c r="U73" s="12">
        <f t="shared" si="9"/>
        <v>0</v>
      </c>
      <c r="V73" s="25" t="s">
        <v>10</v>
      </c>
      <c r="W73" s="11">
        <f>IFERROR(VLOOKUP(V73,Curr!$B$2:$C$13,2,FALSE),0)</f>
        <v>11.2</v>
      </c>
      <c r="X73" s="12">
        <f t="shared" si="10"/>
        <v>0</v>
      </c>
      <c r="Y73" s="26">
        <f t="shared" si="11"/>
        <v>0</v>
      </c>
      <c r="Z73" s="12">
        <f t="shared" si="12"/>
        <v>0</v>
      </c>
      <c r="AA73" s="4" t="s">
        <v>10</v>
      </c>
      <c r="AB73" s="11">
        <f>IFERROR(VLOOKUP(AA73,Curr!$B$2:$C$13,2,FALSE),0)</f>
        <v>11.2</v>
      </c>
      <c r="AC73" s="12">
        <f t="shared" si="13"/>
        <v>0</v>
      </c>
      <c r="AD73" s="12">
        <f t="shared" si="14"/>
        <v>0</v>
      </c>
      <c r="AE73" s="13">
        <f t="shared" si="15"/>
        <v>0</v>
      </c>
    </row>
    <row r="74" spans="2:31" x14ac:dyDescent="0.25">
      <c r="B74" s="4"/>
      <c r="E74" s="3"/>
      <c r="F74" s="3"/>
      <c r="G74" s="24"/>
      <c r="H74" s="24"/>
      <c r="K74" s="4"/>
      <c r="L74" s="4"/>
      <c r="M74" s="4"/>
      <c r="N74" s="4"/>
      <c r="O74" s="4"/>
      <c r="P74" s="27"/>
      <c r="Q74" s="25">
        <v>0</v>
      </c>
      <c r="R74" s="25">
        <v>0</v>
      </c>
      <c r="S74" s="12">
        <f t="shared" si="8"/>
        <v>0</v>
      </c>
      <c r="T74" s="5">
        <v>0</v>
      </c>
      <c r="U74" s="12">
        <f t="shared" si="9"/>
        <v>0</v>
      </c>
      <c r="V74" s="25" t="s">
        <v>10</v>
      </c>
      <c r="W74" s="11">
        <f>IFERROR(VLOOKUP(V74,Curr!$B$2:$C$13,2,FALSE),0)</f>
        <v>11.2</v>
      </c>
      <c r="X74" s="12">
        <f t="shared" si="10"/>
        <v>0</v>
      </c>
      <c r="Y74" s="26">
        <f t="shared" si="11"/>
        <v>0</v>
      </c>
      <c r="Z74" s="12">
        <f t="shared" si="12"/>
        <v>0</v>
      </c>
      <c r="AA74" s="4" t="s">
        <v>10</v>
      </c>
      <c r="AB74" s="11">
        <f>IFERROR(VLOOKUP(AA74,Curr!$B$2:$C$13,2,FALSE),0)</f>
        <v>11.2</v>
      </c>
      <c r="AC74" s="12">
        <f t="shared" si="13"/>
        <v>0</v>
      </c>
      <c r="AD74" s="12">
        <f t="shared" si="14"/>
        <v>0</v>
      </c>
      <c r="AE74" s="13">
        <f t="shared" si="15"/>
        <v>0</v>
      </c>
    </row>
    <row r="75" spans="2:31" x14ac:dyDescent="0.25">
      <c r="B75" s="4"/>
      <c r="E75" s="3"/>
      <c r="F75" s="3"/>
      <c r="G75" s="24"/>
      <c r="H75" s="24"/>
      <c r="K75" s="4"/>
      <c r="L75" s="4"/>
      <c r="M75" s="4"/>
      <c r="N75" s="4"/>
      <c r="O75" s="4"/>
      <c r="P75" s="27"/>
      <c r="Q75" s="25">
        <v>0</v>
      </c>
      <c r="R75" s="25">
        <v>0</v>
      </c>
      <c r="S75" s="12">
        <f t="shared" si="8"/>
        <v>0</v>
      </c>
      <c r="T75" s="5">
        <v>0</v>
      </c>
      <c r="U75" s="12">
        <f t="shared" si="9"/>
        <v>0</v>
      </c>
      <c r="V75" s="25" t="s">
        <v>10</v>
      </c>
      <c r="W75" s="11">
        <f>IFERROR(VLOOKUP(V75,Curr!$B$2:$C$13,2,FALSE),0)</f>
        <v>11.2</v>
      </c>
      <c r="X75" s="12">
        <f t="shared" si="10"/>
        <v>0</v>
      </c>
      <c r="Y75" s="26">
        <f t="shared" si="11"/>
        <v>0</v>
      </c>
      <c r="Z75" s="12">
        <f t="shared" si="12"/>
        <v>0</v>
      </c>
      <c r="AA75" s="4" t="s">
        <v>10</v>
      </c>
      <c r="AB75" s="11">
        <f>IFERROR(VLOOKUP(AA75,Curr!$B$2:$C$13,2,FALSE),0)</f>
        <v>11.2</v>
      </c>
      <c r="AC75" s="12">
        <f t="shared" si="13"/>
        <v>0</v>
      </c>
      <c r="AD75" s="12">
        <f t="shared" si="14"/>
        <v>0</v>
      </c>
      <c r="AE75" s="13">
        <f t="shared" si="15"/>
        <v>0</v>
      </c>
    </row>
    <row r="76" spans="2:31" x14ac:dyDescent="0.25">
      <c r="B76" s="4"/>
      <c r="E76" s="3"/>
      <c r="F76" s="3"/>
      <c r="G76" s="24"/>
      <c r="H76" s="24"/>
      <c r="K76" s="4"/>
      <c r="L76" s="4"/>
      <c r="M76" s="4"/>
      <c r="N76" s="4"/>
      <c r="O76" s="4"/>
      <c r="P76" s="27"/>
      <c r="Q76" s="25">
        <v>0</v>
      </c>
      <c r="R76" s="25">
        <v>0</v>
      </c>
      <c r="S76" s="12">
        <f t="shared" si="8"/>
        <v>0</v>
      </c>
      <c r="T76" s="5">
        <v>0</v>
      </c>
      <c r="U76" s="12">
        <f t="shared" si="9"/>
        <v>0</v>
      </c>
      <c r="V76" s="25" t="s">
        <v>10</v>
      </c>
      <c r="W76" s="11">
        <f>IFERROR(VLOOKUP(V76,Curr!$B$2:$C$13,2,FALSE),0)</f>
        <v>11.2</v>
      </c>
      <c r="X76" s="12">
        <f t="shared" si="10"/>
        <v>0</v>
      </c>
      <c r="Y76" s="26">
        <f t="shared" si="11"/>
        <v>0</v>
      </c>
      <c r="Z76" s="12">
        <f t="shared" si="12"/>
        <v>0</v>
      </c>
      <c r="AA76" s="4" t="s">
        <v>10</v>
      </c>
      <c r="AB76" s="11">
        <f>IFERROR(VLOOKUP(AA76,Curr!$B$2:$C$13,2,FALSE),0)</f>
        <v>11.2</v>
      </c>
      <c r="AC76" s="12">
        <f t="shared" si="13"/>
        <v>0</v>
      </c>
      <c r="AD76" s="12">
        <f t="shared" si="14"/>
        <v>0</v>
      </c>
      <c r="AE76" s="13">
        <f t="shared" si="15"/>
        <v>0</v>
      </c>
    </row>
    <row r="77" spans="2:31" x14ac:dyDescent="0.25">
      <c r="B77" s="4"/>
      <c r="E77" s="3"/>
      <c r="F77" s="3"/>
      <c r="G77" s="24"/>
      <c r="H77" s="24"/>
      <c r="K77" s="4"/>
      <c r="L77" s="4"/>
      <c r="M77" s="4"/>
      <c r="N77" s="4"/>
      <c r="O77" s="4"/>
      <c r="P77" s="27"/>
      <c r="Q77" s="25">
        <v>0</v>
      </c>
      <c r="R77" s="25">
        <v>0</v>
      </c>
      <c r="S77" s="12">
        <f t="shared" si="8"/>
        <v>0</v>
      </c>
      <c r="T77" s="5">
        <v>0</v>
      </c>
      <c r="U77" s="12">
        <f t="shared" si="9"/>
        <v>0</v>
      </c>
      <c r="V77" s="25" t="s">
        <v>10</v>
      </c>
      <c r="W77" s="11">
        <f>IFERROR(VLOOKUP(V77,Curr!$B$2:$C$13,2,FALSE),0)</f>
        <v>11.2</v>
      </c>
      <c r="X77" s="12">
        <f t="shared" si="10"/>
        <v>0</v>
      </c>
      <c r="Y77" s="26">
        <f t="shared" si="11"/>
        <v>0</v>
      </c>
      <c r="Z77" s="12">
        <f t="shared" si="12"/>
        <v>0</v>
      </c>
      <c r="AA77" s="4" t="s">
        <v>10</v>
      </c>
      <c r="AB77" s="11">
        <f>IFERROR(VLOOKUP(AA77,Curr!$B$2:$C$13,2,FALSE),0)</f>
        <v>11.2</v>
      </c>
      <c r="AC77" s="12">
        <f t="shared" si="13"/>
        <v>0</v>
      </c>
      <c r="AD77" s="12">
        <f t="shared" si="14"/>
        <v>0</v>
      </c>
      <c r="AE77" s="13">
        <f t="shared" si="15"/>
        <v>0</v>
      </c>
    </row>
    <row r="78" spans="2:31" x14ac:dyDescent="0.25">
      <c r="B78" s="4"/>
      <c r="E78" s="3"/>
      <c r="F78" s="3"/>
      <c r="G78" s="24"/>
      <c r="H78" s="24"/>
      <c r="K78" s="4"/>
      <c r="L78" s="4"/>
      <c r="M78" s="4"/>
      <c r="N78" s="4"/>
      <c r="O78" s="4"/>
      <c r="P78" s="27"/>
      <c r="Q78" s="25">
        <v>0</v>
      </c>
      <c r="R78" s="25">
        <v>0</v>
      </c>
      <c r="S78" s="12">
        <f t="shared" si="8"/>
        <v>0</v>
      </c>
      <c r="T78" s="5">
        <v>0</v>
      </c>
      <c r="U78" s="12">
        <f t="shared" si="9"/>
        <v>0</v>
      </c>
      <c r="V78" s="25" t="s">
        <v>10</v>
      </c>
      <c r="W78" s="11">
        <f>IFERROR(VLOOKUP(V78,Curr!$B$2:$C$13,2,FALSE),0)</f>
        <v>11.2</v>
      </c>
      <c r="X78" s="12">
        <f t="shared" si="10"/>
        <v>0</v>
      </c>
      <c r="Y78" s="26">
        <f t="shared" si="11"/>
        <v>0</v>
      </c>
      <c r="Z78" s="12">
        <f t="shared" si="12"/>
        <v>0</v>
      </c>
      <c r="AA78" s="4" t="s">
        <v>10</v>
      </c>
      <c r="AB78" s="11">
        <f>IFERROR(VLOOKUP(AA78,Curr!$B$2:$C$13,2,FALSE),0)</f>
        <v>11.2</v>
      </c>
      <c r="AC78" s="12">
        <f t="shared" si="13"/>
        <v>0</v>
      </c>
      <c r="AD78" s="12">
        <f t="shared" si="14"/>
        <v>0</v>
      </c>
      <c r="AE78" s="13">
        <f t="shared" si="15"/>
        <v>0</v>
      </c>
    </row>
    <row r="79" spans="2:31" x14ac:dyDescent="0.25">
      <c r="B79" s="4"/>
      <c r="E79" s="3"/>
      <c r="F79" s="3"/>
      <c r="G79" s="24"/>
      <c r="H79" s="24"/>
      <c r="K79" s="4"/>
      <c r="L79" s="4"/>
      <c r="M79" s="4"/>
      <c r="N79" s="4"/>
      <c r="O79" s="4"/>
      <c r="P79" s="27"/>
      <c r="Q79" s="25">
        <v>0</v>
      </c>
      <c r="R79" s="25">
        <v>0</v>
      </c>
      <c r="S79" s="12">
        <f t="shared" si="8"/>
        <v>0</v>
      </c>
      <c r="T79" s="5">
        <v>0</v>
      </c>
      <c r="U79" s="12">
        <f t="shared" si="9"/>
        <v>0</v>
      </c>
      <c r="V79" s="25" t="s">
        <v>10</v>
      </c>
      <c r="W79" s="11">
        <f>IFERROR(VLOOKUP(V79,Curr!$B$2:$C$13,2,FALSE),0)</f>
        <v>11.2</v>
      </c>
      <c r="X79" s="12">
        <f t="shared" si="10"/>
        <v>0</v>
      </c>
      <c r="Y79" s="26">
        <f t="shared" si="11"/>
        <v>0</v>
      </c>
      <c r="Z79" s="12">
        <f t="shared" si="12"/>
        <v>0</v>
      </c>
      <c r="AA79" s="4" t="s">
        <v>10</v>
      </c>
      <c r="AB79" s="11">
        <f>IFERROR(VLOOKUP(AA79,Curr!$B$2:$C$13,2,FALSE),0)</f>
        <v>11.2</v>
      </c>
      <c r="AC79" s="12">
        <f t="shared" si="13"/>
        <v>0</v>
      </c>
      <c r="AD79" s="12">
        <f t="shared" si="14"/>
        <v>0</v>
      </c>
      <c r="AE79" s="13">
        <f t="shared" si="15"/>
        <v>0</v>
      </c>
    </row>
    <row r="80" spans="2:31" x14ac:dyDescent="0.25">
      <c r="B80" s="4"/>
      <c r="E80" s="3"/>
      <c r="F80" s="3"/>
      <c r="G80" s="24"/>
      <c r="H80" s="24"/>
      <c r="K80" s="4"/>
      <c r="L80" s="4"/>
      <c r="M80" s="4"/>
      <c r="N80" s="4"/>
      <c r="O80" s="4"/>
      <c r="P80" s="27"/>
      <c r="Q80" s="25">
        <v>0</v>
      </c>
      <c r="R80" s="25">
        <v>0</v>
      </c>
      <c r="S80" s="12">
        <f t="shared" si="8"/>
        <v>0</v>
      </c>
      <c r="T80" s="5">
        <v>0</v>
      </c>
      <c r="U80" s="12">
        <f t="shared" si="9"/>
        <v>0</v>
      </c>
      <c r="V80" s="25" t="s">
        <v>10</v>
      </c>
      <c r="W80" s="11">
        <f>IFERROR(VLOOKUP(V80,Curr!$B$2:$C$13,2,FALSE),0)</f>
        <v>11.2</v>
      </c>
      <c r="X80" s="12">
        <f t="shared" si="10"/>
        <v>0</v>
      </c>
      <c r="Y80" s="26">
        <f t="shared" si="11"/>
        <v>0</v>
      </c>
      <c r="Z80" s="12">
        <f t="shared" si="12"/>
        <v>0</v>
      </c>
      <c r="AA80" s="4" t="s">
        <v>10</v>
      </c>
      <c r="AB80" s="11">
        <f>IFERROR(VLOOKUP(AA80,Curr!$B$2:$C$13,2,FALSE),0)</f>
        <v>11.2</v>
      </c>
      <c r="AC80" s="12">
        <f t="shared" si="13"/>
        <v>0</v>
      </c>
      <c r="AD80" s="12">
        <f t="shared" si="14"/>
        <v>0</v>
      </c>
      <c r="AE80" s="13">
        <f t="shared" si="15"/>
        <v>0</v>
      </c>
    </row>
    <row r="81" spans="2:31" x14ac:dyDescent="0.25">
      <c r="B81" s="4"/>
      <c r="E81" s="3"/>
      <c r="F81" s="3"/>
      <c r="G81" s="24"/>
      <c r="H81" s="24"/>
      <c r="K81" s="4"/>
      <c r="L81" s="4"/>
      <c r="M81" s="4"/>
      <c r="N81" s="4"/>
      <c r="O81" s="4"/>
      <c r="P81" s="27"/>
      <c r="Q81" s="25">
        <v>0</v>
      </c>
      <c r="R81" s="25">
        <v>0</v>
      </c>
      <c r="S81" s="12">
        <f t="shared" si="8"/>
        <v>0</v>
      </c>
      <c r="T81" s="5">
        <v>0</v>
      </c>
      <c r="U81" s="12">
        <f t="shared" si="9"/>
        <v>0</v>
      </c>
      <c r="V81" s="25" t="s">
        <v>10</v>
      </c>
      <c r="W81" s="11">
        <f>IFERROR(VLOOKUP(V81,Curr!$B$2:$C$13,2,FALSE),0)</f>
        <v>11.2</v>
      </c>
      <c r="X81" s="12">
        <f t="shared" si="10"/>
        <v>0</v>
      </c>
      <c r="Y81" s="26">
        <f t="shared" si="11"/>
        <v>0</v>
      </c>
      <c r="Z81" s="12">
        <f t="shared" si="12"/>
        <v>0</v>
      </c>
      <c r="AA81" s="4" t="s">
        <v>10</v>
      </c>
      <c r="AB81" s="11">
        <f>IFERROR(VLOOKUP(AA81,Curr!$B$2:$C$13,2,FALSE),0)</f>
        <v>11.2</v>
      </c>
      <c r="AC81" s="12">
        <f t="shared" si="13"/>
        <v>0</v>
      </c>
      <c r="AD81" s="12">
        <f t="shared" si="14"/>
        <v>0</v>
      </c>
      <c r="AE81" s="13">
        <f t="shared" si="15"/>
        <v>0</v>
      </c>
    </row>
    <row r="82" spans="2:31" x14ac:dyDescent="0.25">
      <c r="B82" s="4"/>
      <c r="E82" s="3"/>
      <c r="F82" s="3"/>
      <c r="G82" s="24"/>
      <c r="H82" s="24"/>
      <c r="K82" s="4"/>
      <c r="L82" s="4"/>
      <c r="M82" s="4"/>
      <c r="N82" s="4"/>
      <c r="O82" s="4"/>
      <c r="P82" s="27"/>
      <c r="Q82" s="25">
        <v>0</v>
      </c>
      <c r="R82" s="25">
        <v>0</v>
      </c>
      <c r="S82" s="12">
        <f t="shared" si="8"/>
        <v>0</v>
      </c>
      <c r="T82" s="5">
        <v>0</v>
      </c>
      <c r="U82" s="12">
        <f t="shared" si="9"/>
        <v>0</v>
      </c>
      <c r="V82" s="25" t="s">
        <v>10</v>
      </c>
      <c r="W82" s="11">
        <f>IFERROR(VLOOKUP(V82,Curr!$B$2:$C$13,2,FALSE),0)</f>
        <v>11.2</v>
      </c>
      <c r="X82" s="12">
        <f t="shared" si="10"/>
        <v>0</v>
      </c>
      <c r="Y82" s="26">
        <f t="shared" si="11"/>
        <v>0</v>
      </c>
      <c r="Z82" s="12">
        <f t="shared" si="12"/>
        <v>0</v>
      </c>
      <c r="AA82" s="4" t="s">
        <v>10</v>
      </c>
      <c r="AB82" s="11">
        <f>IFERROR(VLOOKUP(AA82,Curr!$B$2:$C$13,2,FALSE),0)</f>
        <v>11.2</v>
      </c>
      <c r="AC82" s="12">
        <f t="shared" si="13"/>
        <v>0</v>
      </c>
      <c r="AD82" s="12">
        <f t="shared" si="14"/>
        <v>0</v>
      </c>
      <c r="AE82" s="13">
        <f t="shared" si="15"/>
        <v>0</v>
      </c>
    </row>
    <row r="83" spans="2:31" x14ac:dyDescent="0.25">
      <c r="B83" s="4"/>
      <c r="E83" s="3"/>
      <c r="F83" s="3"/>
      <c r="G83" s="24"/>
      <c r="H83" s="24"/>
      <c r="K83" s="4"/>
      <c r="L83" s="4"/>
      <c r="M83" s="4"/>
      <c r="N83" s="4"/>
      <c r="O83" s="4"/>
      <c r="P83" s="27"/>
      <c r="Q83" s="25">
        <v>0</v>
      </c>
      <c r="R83" s="25">
        <v>0</v>
      </c>
      <c r="S83" s="12">
        <f t="shared" si="8"/>
        <v>0</v>
      </c>
      <c r="T83" s="5">
        <v>0</v>
      </c>
      <c r="U83" s="12">
        <f t="shared" si="9"/>
        <v>0</v>
      </c>
      <c r="V83" s="25" t="s">
        <v>10</v>
      </c>
      <c r="W83" s="11">
        <f>IFERROR(VLOOKUP(V83,Curr!$B$2:$C$13,2,FALSE),0)</f>
        <v>11.2</v>
      </c>
      <c r="X83" s="12">
        <f t="shared" si="10"/>
        <v>0</v>
      </c>
      <c r="Y83" s="26">
        <f t="shared" si="11"/>
        <v>0</v>
      </c>
      <c r="Z83" s="12">
        <f t="shared" si="12"/>
        <v>0</v>
      </c>
      <c r="AA83" s="4" t="s">
        <v>10</v>
      </c>
      <c r="AB83" s="11">
        <f>IFERROR(VLOOKUP(AA83,Curr!$B$2:$C$13,2,FALSE),0)</f>
        <v>11.2</v>
      </c>
      <c r="AC83" s="12">
        <f t="shared" si="13"/>
        <v>0</v>
      </c>
      <c r="AD83" s="12">
        <f t="shared" si="14"/>
        <v>0</v>
      </c>
      <c r="AE83" s="13">
        <f t="shared" si="15"/>
        <v>0</v>
      </c>
    </row>
    <row r="84" spans="2:31" x14ac:dyDescent="0.25">
      <c r="B84" s="4"/>
      <c r="E84" s="3"/>
      <c r="F84" s="3"/>
      <c r="G84" s="24"/>
      <c r="H84" s="24"/>
      <c r="K84" s="4"/>
      <c r="L84" s="4"/>
      <c r="M84" s="4"/>
      <c r="N84" s="4"/>
      <c r="O84" s="4"/>
      <c r="P84" s="27"/>
      <c r="Q84" s="25">
        <v>0</v>
      </c>
      <c r="R84" s="25">
        <v>0</v>
      </c>
      <c r="S84" s="12">
        <f t="shared" si="8"/>
        <v>0</v>
      </c>
      <c r="T84" s="5">
        <v>0</v>
      </c>
      <c r="U84" s="12">
        <f t="shared" si="9"/>
        <v>0</v>
      </c>
      <c r="V84" s="25" t="s">
        <v>10</v>
      </c>
      <c r="W84" s="11">
        <f>IFERROR(VLOOKUP(V84,Curr!$B$2:$C$13,2,FALSE),0)</f>
        <v>11.2</v>
      </c>
      <c r="X84" s="12">
        <f t="shared" si="10"/>
        <v>0</v>
      </c>
      <c r="Y84" s="26">
        <f t="shared" si="11"/>
        <v>0</v>
      </c>
      <c r="Z84" s="12">
        <f t="shared" si="12"/>
        <v>0</v>
      </c>
      <c r="AA84" s="4" t="s">
        <v>10</v>
      </c>
      <c r="AB84" s="11">
        <f>IFERROR(VLOOKUP(AA84,Curr!$B$2:$C$13,2,FALSE),0)</f>
        <v>11.2</v>
      </c>
      <c r="AC84" s="12">
        <f t="shared" si="13"/>
        <v>0</v>
      </c>
      <c r="AD84" s="12">
        <f t="shared" si="14"/>
        <v>0</v>
      </c>
      <c r="AE84" s="13">
        <f t="shared" si="15"/>
        <v>0</v>
      </c>
    </row>
    <row r="85" spans="2:31" x14ac:dyDescent="0.25">
      <c r="B85" s="4"/>
      <c r="E85" s="3"/>
      <c r="F85" s="3"/>
      <c r="G85" s="24"/>
      <c r="H85" s="24"/>
      <c r="K85" s="4"/>
      <c r="L85" s="4"/>
      <c r="M85" s="4"/>
      <c r="N85" s="4"/>
      <c r="O85" s="4"/>
      <c r="P85" s="27"/>
      <c r="Q85" s="25">
        <v>0</v>
      </c>
      <c r="R85" s="25">
        <v>0</v>
      </c>
      <c r="S85" s="12">
        <f t="shared" si="8"/>
        <v>0</v>
      </c>
      <c r="T85" s="5">
        <v>0</v>
      </c>
      <c r="U85" s="12">
        <f t="shared" si="9"/>
        <v>0</v>
      </c>
      <c r="V85" s="25" t="s">
        <v>10</v>
      </c>
      <c r="W85" s="11">
        <f>IFERROR(VLOOKUP(V85,Curr!$B$2:$C$13,2,FALSE),0)</f>
        <v>11.2</v>
      </c>
      <c r="X85" s="12">
        <f t="shared" si="10"/>
        <v>0</v>
      </c>
      <c r="Y85" s="26">
        <f t="shared" si="11"/>
        <v>0</v>
      </c>
      <c r="Z85" s="12">
        <f t="shared" si="12"/>
        <v>0</v>
      </c>
      <c r="AA85" s="4" t="s">
        <v>10</v>
      </c>
      <c r="AB85" s="11">
        <f>IFERROR(VLOOKUP(AA85,Curr!$B$2:$C$13,2,FALSE),0)</f>
        <v>11.2</v>
      </c>
      <c r="AC85" s="12">
        <f t="shared" si="13"/>
        <v>0</v>
      </c>
      <c r="AD85" s="12">
        <f t="shared" si="14"/>
        <v>0</v>
      </c>
      <c r="AE85" s="13">
        <f t="shared" si="15"/>
        <v>0</v>
      </c>
    </row>
    <row r="86" spans="2:31" x14ac:dyDescent="0.25">
      <c r="B86" s="4"/>
      <c r="E86" s="3"/>
      <c r="F86" s="3"/>
      <c r="G86" s="24"/>
      <c r="H86" s="24"/>
      <c r="K86" s="4"/>
      <c r="L86" s="4"/>
      <c r="M86" s="4"/>
      <c r="N86" s="4"/>
      <c r="O86" s="4"/>
      <c r="P86" s="27"/>
      <c r="Q86" s="25">
        <v>0</v>
      </c>
      <c r="R86" s="25">
        <v>0</v>
      </c>
      <c r="S86" s="12">
        <f t="shared" si="8"/>
        <v>0</v>
      </c>
      <c r="T86" s="5">
        <v>0</v>
      </c>
      <c r="U86" s="12">
        <f t="shared" si="9"/>
        <v>0</v>
      </c>
      <c r="V86" s="25" t="s">
        <v>10</v>
      </c>
      <c r="W86" s="11">
        <f>IFERROR(VLOOKUP(V86,Curr!$B$2:$C$13,2,FALSE),0)</f>
        <v>11.2</v>
      </c>
      <c r="X86" s="12">
        <f t="shared" si="10"/>
        <v>0</v>
      </c>
      <c r="Y86" s="26">
        <f t="shared" si="11"/>
        <v>0</v>
      </c>
      <c r="Z86" s="12">
        <f t="shared" si="12"/>
        <v>0</v>
      </c>
      <c r="AA86" s="4" t="s">
        <v>10</v>
      </c>
      <c r="AB86" s="11">
        <f>IFERROR(VLOOKUP(AA86,Curr!$B$2:$C$13,2,FALSE),0)</f>
        <v>11.2</v>
      </c>
      <c r="AC86" s="12">
        <f t="shared" si="13"/>
        <v>0</v>
      </c>
      <c r="AD86" s="12">
        <f t="shared" si="14"/>
        <v>0</v>
      </c>
      <c r="AE86" s="13">
        <f t="shared" si="15"/>
        <v>0</v>
      </c>
    </row>
    <row r="87" spans="2:31" x14ac:dyDescent="0.25">
      <c r="B87" s="4"/>
      <c r="E87" s="3"/>
      <c r="F87" s="3"/>
      <c r="G87" s="24"/>
      <c r="H87" s="24"/>
      <c r="K87" s="4"/>
      <c r="L87" s="4"/>
      <c r="M87" s="4"/>
      <c r="N87" s="4"/>
      <c r="O87" s="4"/>
      <c r="P87" s="27"/>
      <c r="Q87" s="25">
        <v>0</v>
      </c>
      <c r="R87" s="25">
        <v>0</v>
      </c>
      <c r="S87" s="12">
        <f t="shared" si="8"/>
        <v>0</v>
      </c>
      <c r="T87" s="5">
        <v>0</v>
      </c>
      <c r="U87" s="12">
        <f t="shared" si="9"/>
        <v>0</v>
      </c>
      <c r="V87" s="25" t="s">
        <v>10</v>
      </c>
      <c r="W87" s="11">
        <f>IFERROR(VLOOKUP(V87,Curr!$B$2:$C$13,2,FALSE),0)</f>
        <v>11.2</v>
      </c>
      <c r="X87" s="12">
        <f t="shared" si="10"/>
        <v>0</v>
      </c>
      <c r="Y87" s="26">
        <f t="shared" si="11"/>
        <v>0</v>
      </c>
      <c r="Z87" s="12">
        <f t="shared" si="12"/>
        <v>0</v>
      </c>
      <c r="AA87" s="4" t="s">
        <v>10</v>
      </c>
      <c r="AB87" s="11">
        <f>IFERROR(VLOOKUP(AA87,Curr!$B$2:$C$13,2,FALSE),0)</f>
        <v>11.2</v>
      </c>
      <c r="AC87" s="12">
        <f t="shared" si="13"/>
        <v>0</v>
      </c>
      <c r="AD87" s="12">
        <f t="shared" si="14"/>
        <v>0</v>
      </c>
      <c r="AE87" s="13">
        <f t="shared" si="15"/>
        <v>0</v>
      </c>
    </row>
    <row r="88" spans="2:31" x14ac:dyDescent="0.25">
      <c r="B88" s="4"/>
      <c r="E88" s="3"/>
      <c r="F88" s="3"/>
      <c r="G88" s="24"/>
      <c r="H88" s="24"/>
      <c r="K88" s="4"/>
      <c r="L88" s="4"/>
      <c r="M88" s="4"/>
      <c r="N88" s="4"/>
      <c r="O88" s="4"/>
      <c r="P88" s="27"/>
      <c r="Q88" s="25">
        <v>0</v>
      </c>
      <c r="R88" s="25">
        <v>0</v>
      </c>
      <c r="S88" s="12">
        <f t="shared" si="8"/>
        <v>0</v>
      </c>
      <c r="T88" s="5">
        <v>0</v>
      </c>
      <c r="U88" s="12">
        <f t="shared" si="9"/>
        <v>0</v>
      </c>
      <c r="V88" s="25" t="s">
        <v>10</v>
      </c>
      <c r="W88" s="11">
        <f>IFERROR(VLOOKUP(V88,Curr!$B$2:$C$13,2,FALSE),0)</f>
        <v>11.2</v>
      </c>
      <c r="X88" s="12">
        <f t="shared" si="10"/>
        <v>0</v>
      </c>
      <c r="Y88" s="26">
        <f t="shared" si="11"/>
        <v>0</v>
      </c>
      <c r="Z88" s="12">
        <f t="shared" si="12"/>
        <v>0</v>
      </c>
      <c r="AA88" s="4" t="s">
        <v>10</v>
      </c>
      <c r="AB88" s="11">
        <f>IFERROR(VLOOKUP(AA88,Curr!$B$2:$C$13,2,FALSE),0)</f>
        <v>11.2</v>
      </c>
      <c r="AC88" s="12">
        <f t="shared" si="13"/>
        <v>0</v>
      </c>
      <c r="AD88" s="12">
        <f t="shared" si="14"/>
        <v>0</v>
      </c>
      <c r="AE88" s="13">
        <f t="shared" si="15"/>
        <v>0</v>
      </c>
    </row>
    <row r="89" spans="2:31" x14ac:dyDescent="0.25">
      <c r="B89" s="4"/>
      <c r="E89" s="3"/>
      <c r="F89" s="3"/>
      <c r="G89" s="24"/>
      <c r="H89" s="24"/>
      <c r="K89" s="4"/>
      <c r="L89" s="4"/>
      <c r="M89" s="4"/>
      <c r="N89" s="4"/>
      <c r="O89" s="4"/>
      <c r="P89" s="27"/>
      <c r="Q89" s="25">
        <v>0</v>
      </c>
      <c r="R89" s="25">
        <v>0</v>
      </c>
      <c r="S89" s="12">
        <f t="shared" si="8"/>
        <v>0</v>
      </c>
      <c r="T89" s="5">
        <v>0</v>
      </c>
      <c r="U89" s="12">
        <f t="shared" si="9"/>
        <v>0</v>
      </c>
      <c r="V89" s="25" t="s">
        <v>10</v>
      </c>
      <c r="W89" s="11">
        <f>IFERROR(VLOOKUP(V89,Curr!$B$2:$C$13,2,FALSE),0)</f>
        <v>11.2</v>
      </c>
      <c r="X89" s="12">
        <f t="shared" si="10"/>
        <v>0</v>
      </c>
      <c r="Y89" s="26">
        <f t="shared" si="11"/>
        <v>0</v>
      </c>
      <c r="Z89" s="12">
        <f t="shared" si="12"/>
        <v>0</v>
      </c>
      <c r="AA89" s="4" t="s">
        <v>10</v>
      </c>
      <c r="AB89" s="11">
        <f>IFERROR(VLOOKUP(AA89,Curr!$B$2:$C$13,2,FALSE),0)</f>
        <v>11.2</v>
      </c>
      <c r="AC89" s="12">
        <f t="shared" si="13"/>
        <v>0</v>
      </c>
      <c r="AD89" s="12">
        <f t="shared" si="14"/>
        <v>0</v>
      </c>
      <c r="AE89" s="13">
        <f t="shared" si="15"/>
        <v>0</v>
      </c>
    </row>
    <row r="90" spans="2:31" x14ac:dyDescent="0.25">
      <c r="B90" s="4"/>
      <c r="E90" s="3"/>
      <c r="F90" s="3"/>
      <c r="G90" s="24"/>
      <c r="H90" s="24"/>
      <c r="K90" s="4"/>
      <c r="L90" s="4"/>
      <c r="M90" s="4"/>
      <c r="N90" s="4"/>
      <c r="O90" s="4"/>
      <c r="P90" s="27"/>
      <c r="Q90" s="25">
        <v>0</v>
      </c>
      <c r="R90" s="25">
        <v>0</v>
      </c>
      <c r="S90" s="12">
        <f t="shared" si="8"/>
        <v>0</v>
      </c>
      <c r="T90" s="5">
        <v>0</v>
      </c>
      <c r="U90" s="12">
        <f t="shared" si="9"/>
        <v>0</v>
      </c>
      <c r="V90" s="25" t="s">
        <v>10</v>
      </c>
      <c r="W90" s="11">
        <f>IFERROR(VLOOKUP(V90,Curr!$B$2:$C$13,2,FALSE),0)</f>
        <v>11.2</v>
      </c>
      <c r="X90" s="12">
        <f t="shared" si="10"/>
        <v>0</v>
      </c>
      <c r="Y90" s="26">
        <f t="shared" si="11"/>
        <v>0</v>
      </c>
      <c r="Z90" s="12">
        <f t="shared" si="12"/>
        <v>0</v>
      </c>
      <c r="AA90" s="4" t="s">
        <v>10</v>
      </c>
      <c r="AB90" s="11">
        <f>IFERROR(VLOOKUP(AA90,Curr!$B$2:$C$13,2,FALSE),0)</f>
        <v>11.2</v>
      </c>
      <c r="AC90" s="12">
        <f t="shared" si="13"/>
        <v>0</v>
      </c>
      <c r="AD90" s="12">
        <f t="shared" si="14"/>
        <v>0</v>
      </c>
      <c r="AE90" s="13">
        <f t="shared" si="15"/>
        <v>0</v>
      </c>
    </row>
    <row r="91" spans="2:31" x14ac:dyDescent="0.25">
      <c r="B91" s="4"/>
      <c r="E91" s="3"/>
      <c r="F91" s="3"/>
      <c r="G91" s="24"/>
      <c r="H91" s="24"/>
      <c r="K91" s="4"/>
      <c r="L91" s="4"/>
      <c r="M91" s="4"/>
      <c r="N91" s="4"/>
      <c r="O91" s="4"/>
      <c r="P91" s="27"/>
      <c r="Q91" s="25">
        <v>0</v>
      </c>
      <c r="R91" s="25">
        <v>0</v>
      </c>
      <c r="S91" s="12">
        <f t="shared" si="8"/>
        <v>0</v>
      </c>
      <c r="T91" s="5">
        <v>0</v>
      </c>
      <c r="U91" s="12">
        <f t="shared" si="9"/>
        <v>0</v>
      </c>
      <c r="V91" s="25" t="s">
        <v>10</v>
      </c>
      <c r="W91" s="11">
        <f>IFERROR(VLOOKUP(V91,Curr!$B$2:$C$13,2,FALSE),0)</f>
        <v>11.2</v>
      </c>
      <c r="X91" s="12">
        <f t="shared" si="10"/>
        <v>0</v>
      </c>
      <c r="Y91" s="26">
        <f t="shared" si="11"/>
        <v>0</v>
      </c>
      <c r="Z91" s="12">
        <f t="shared" si="12"/>
        <v>0</v>
      </c>
      <c r="AA91" s="4" t="s">
        <v>10</v>
      </c>
      <c r="AB91" s="11">
        <f>IFERROR(VLOOKUP(AA91,Curr!$B$2:$C$13,2,FALSE),0)</f>
        <v>11.2</v>
      </c>
      <c r="AC91" s="12">
        <f t="shared" si="13"/>
        <v>0</v>
      </c>
      <c r="AD91" s="12">
        <f t="shared" si="14"/>
        <v>0</v>
      </c>
      <c r="AE91" s="13">
        <f t="shared" si="15"/>
        <v>0</v>
      </c>
    </row>
    <row r="92" spans="2:31" x14ac:dyDescent="0.25">
      <c r="B92" s="4"/>
      <c r="E92" s="3"/>
      <c r="F92" s="3"/>
      <c r="G92" s="24"/>
      <c r="H92" s="24"/>
      <c r="K92" s="4"/>
      <c r="L92" s="4"/>
      <c r="M92" s="4"/>
      <c r="N92" s="4"/>
      <c r="O92" s="4"/>
      <c r="P92" s="27"/>
      <c r="Q92" s="25">
        <v>0</v>
      </c>
      <c r="R92" s="25">
        <v>0</v>
      </c>
      <c r="S92" s="12">
        <f t="shared" si="8"/>
        <v>0</v>
      </c>
      <c r="T92" s="5">
        <v>0</v>
      </c>
      <c r="U92" s="12">
        <f t="shared" si="9"/>
        <v>0</v>
      </c>
      <c r="V92" s="25" t="s">
        <v>10</v>
      </c>
      <c r="W92" s="11">
        <f>IFERROR(VLOOKUP(V92,Curr!$B$2:$C$13,2,FALSE),0)</f>
        <v>11.2</v>
      </c>
      <c r="X92" s="12">
        <f t="shared" si="10"/>
        <v>0</v>
      </c>
      <c r="Y92" s="26">
        <f t="shared" si="11"/>
        <v>0</v>
      </c>
      <c r="Z92" s="12">
        <f t="shared" si="12"/>
        <v>0</v>
      </c>
      <c r="AA92" s="4" t="s">
        <v>10</v>
      </c>
      <c r="AB92" s="11">
        <f>IFERROR(VLOOKUP(AA92,Curr!$B$2:$C$13,2,FALSE),0)</f>
        <v>11.2</v>
      </c>
      <c r="AC92" s="12">
        <f t="shared" si="13"/>
        <v>0</v>
      </c>
      <c r="AD92" s="12">
        <f t="shared" si="14"/>
        <v>0</v>
      </c>
      <c r="AE92" s="13">
        <f t="shared" si="15"/>
        <v>0</v>
      </c>
    </row>
    <row r="93" spans="2:31" x14ac:dyDescent="0.25">
      <c r="B93" s="4"/>
      <c r="E93" s="3"/>
      <c r="F93" s="3"/>
      <c r="G93" s="24"/>
      <c r="H93" s="24"/>
      <c r="K93" s="4"/>
      <c r="L93" s="4"/>
      <c r="M93" s="4"/>
      <c r="N93" s="4"/>
      <c r="O93" s="4"/>
      <c r="P93" s="27"/>
      <c r="Q93" s="25">
        <v>0</v>
      </c>
      <c r="R93" s="25">
        <v>0</v>
      </c>
      <c r="S93" s="12">
        <f t="shared" si="8"/>
        <v>0</v>
      </c>
      <c r="T93" s="5">
        <v>0</v>
      </c>
      <c r="U93" s="12">
        <f t="shared" si="9"/>
        <v>0</v>
      </c>
      <c r="V93" s="25" t="s">
        <v>10</v>
      </c>
      <c r="W93" s="11">
        <f>IFERROR(VLOOKUP(V93,Curr!$B$2:$C$13,2,FALSE),0)</f>
        <v>11.2</v>
      </c>
      <c r="X93" s="12">
        <f t="shared" si="10"/>
        <v>0</v>
      </c>
      <c r="Y93" s="26">
        <f t="shared" si="11"/>
        <v>0</v>
      </c>
      <c r="Z93" s="12">
        <f t="shared" si="12"/>
        <v>0</v>
      </c>
      <c r="AA93" s="4" t="s">
        <v>10</v>
      </c>
      <c r="AB93" s="11">
        <f>IFERROR(VLOOKUP(AA93,Curr!$B$2:$C$13,2,FALSE),0)</f>
        <v>11.2</v>
      </c>
      <c r="AC93" s="12">
        <f t="shared" si="13"/>
        <v>0</v>
      </c>
      <c r="AD93" s="12">
        <f t="shared" si="14"/>
        <v>0</v>
      </c>
      <c r="AE93" s="13">
        <f t="shared" si="15"/>
        <v>0</v>
      </c>
    </row>
    <row r="94" spans="2:31" x14ac:dyDescent="0.25">
      <c r="B94" s="4"/>
      <c r="E94" s="3"/>
      <c r="F94" s="3"/>
      <c r="G94" s="24"/>
      <c r="H94" s="24"/>
      <c r="K94" s="4"/>
      <c r="L94" s="4"/>
      <c r="M94" s="4"/>
      <c r="N94" s="4"/>
      <c r="O94" s="4"/>
      <c r="P94" s="27"/>
      <c r="Q94" s="25">
        <v>0</v>
      </c>
      <c r="R94" s="25">
        <v>0</v>
      </c>
      <c r="S94" s="12">
        <f t="shared" si="8"/>
        <v>0</v>
      </c>
      <c r="T94" s="5">
        <v>0</v>
      </c>
      <c r="U94" s="12">
        <f t="shared" si="9"/>
        <v>0</v>
      </c>
      <c r="V94" s="25" t="s">
        <v>10</v>
      </c>
      <c r="W94" s="11">
        <f>IFERROR(VLOOKUP(V94,Curr!$B$2:$C$13,2,FALSE),0)</f>
        <v>11.2</v>
      </c>
      <c r="X94" s="12">
        <f t="shared" si="10"/>
        <v>0</v>
      </c>
      <c r="Y94" s="26">
        <f t="shared" si="11"/>
        <v>0</v>
      </c>
      <c r="Z94" s="12">
        <f t="shared" si="12"/>
        <v>0</v>
      </c>
      <c r="AA94" s="4" t="s">
        <v>10</v>
      </c>
      <c r="AB94" s="11">
        <f>IFERROR(VLOOKUP(AA94,Curr!$B$2:$C$13,2,FALSE),0)</f>
        <v>11.2</v>
      </c>
      <c r="AC94" s="12">
        <f t="shared" si="13"/>
        <v>0</v>
      </c>
      <c r="AD94" s="12">
        <f t="shared" si="14"/>
        <v>0</v>
      </c>
      <c r="AE94" s="13">
        <f t="shared" si="15"/>
        <v>0</v>
      </c>
    </row>
    <row r="95" spans="2:31" x14ac:dyDescent="0.25">
      <c r="B95" s="4"/>
      <c r="E95" s="3"/>
      <c r="F95" s="3"/>
      <c r="G95" s="24"/>
      <c r="H95" s="24"/>
      <c r="K95" s="4"/>
      <c r="L95" s="4"/>
      <c r="M95" s="4"/>
      <c r="N95" s="4"/>
      <c r="O95" s="4"/>
      <c r="P95" s="27"/>
      <c r="Q95" s="25">
        <v>0</v>
      </c>
      <c r="R95" s="25">
        <v>0</v>
      </c>
      <c r="S95" s="12">
        <f t="shared" si="8"/>
        <v>0</v>
      </c>
      <c r="T95" s="5">
        <v>0</v>
      </c>
      <c r="U95" s="12">
        <f t="shared" si="9"/>
        <v>0</v>
      </c>
      <c r="V95" s="25" t="s">
        <v>10</v>
      </c>
      <c r="W95" s="11">
        <f>IFERROR(VLOOKUP(V95,Curr!$B$2:$C$13,2,FALSE),0)</f>
        <v>11.2</v>
      </c>
      <c r="X95" s="12">
        <f t="shared" si="10"/>
        <v>0</v>
      </c>
      <c r="Y95" s="26">
        <f t="shared" si="11"/>
        <v>0</v>
      </c>
      <c r="Z95" s="12">
        <f t="shared" si="12"/>
        <v>0</v>
      </c>
      <c r="AA95" s="4" t="s">
        <v>10</v>
      </c>
      <c r="AB95" s="11">
        <f>IFERROR(VLOOKUP(AA95,Curr!$B$2:$C$13,2,FALSE),0)</f>
        <v>11.2</v>
      </c>
      <c r="AC95" s="12">
        <f t="shared" si="13"/>
        <v>0</v>
      </c>
      <c r="AD95" s="12">
        <f t="shared" si="14"/>
        <v>0</v>
      </c>
      <c r="AE95" s="13">
        <f t="shared" si="15"/>
        <v>0</v>
      </c>
    </row>
    <row r="96" spans="2:31" x14ac:dyDescent="0.25">
      <c r="B96" s="4"/>
      <c r="E96" s="3"/>
      <c r="F96" s="3"/>
      <c r="G96" s="24"/>
      <c r="H96" s="24"/>
      <c r="K96" s="4"/>
      <c r="L96" s="4"/>
      <c r="M96" s="4"/>
      <c r="N96" s="4"/>
      <c r="O96" s="4"/>
      <c r="P96" s="27"/>
      <c r="Q96" s="25">
        <v>0</v>
      </c>
      <c r="R96" s="25">
        <v>0</v>
      </c>
      <c r="S96" s="12">
        <f t="shared" si="8"/>
        <v>0</v>
      </c>
      <c r="T96" s="5">
        <v>0</v>
      </c>
      <c r="U96" s="12">
        <f t="shared" si="9"/>
        <v>0</v>
      </c>
      <c r="V96" s="25" t="s">
        <v>10</v>
      </c>
      <c r="W96" s="11">
        <f>IFERROR(VLOOKUP(V96,Curr!$B$2:$C$13,2,FALSE),0)</f>
        <v>11.2</v>
      </c>
      <c r="X96" s="12">
        <f t="shared" si="10"/>
        <v>0</v>
      </c>
      <c r="Y96" s="26">
        <f t="shared" si="11"/>
        <v>0</v>
      </c>
      <c r="Z96" s="12">
        <f t="shared" si="12"/>
        <v>0</v>
      </c>
      <c r="AA96" s="4" t="s">
        <v>10</v>
      </c>
      <c r="AB96" s="11">
        <f>IFERROR(VLOOKUP(AA96,Curr!$B$2:$C$13,2,FALSE),0)</f>
        <v>11.2</v>
      </c>
      <c r="AC96" s="12">
        <f t="shared" si="13"/>
        <v>0</v>
      </c>
      <c r="AD96" s="12">
        <f t="shared" si="14"/>
        <v>0</v>
      </c>
      <c r="AE96" s="13">
        <f t="shared" si="15"/>
        <v>0</v>
      </c>
    </row>
    <row r="97" spans="2:36" x14ac:dyDescent="0.25">
      <c r="B97" s="4"/>
      <c r="E97" s="3"/>
      <c r="F97" s="3"/>
      <c r="G97" s="24"/>
      <c r="H97" s="24"/>
      <c r="K97" s="4"/>
      <c r="L97" s="4"/>
      <c r="M97" s="4"/>
      <c r="N97" s="4"/>
      <c r="O97" s="4"/>
      <c r="P97" s="27"/>
      <c r="Q97" s="25">
        <v>0</v>
      </c>
      <c r="R97" s="25">
        <v>0</v>
      </c>
      <c r="S97" s="12">
        <f t="shared" si="8"/>
        <v>0</v>
      </c>
      <c r="T97" s="5">
        <v>0</v>
      </c>
      <c r="U97" s="12">
        <f t="shared" si="9"/>
        <v>0</v>
      </c>
      <c r="V97" s="25" t="s">
        <v>10</v>
      </c>
      <c r="W97" s="11">
        <f>IFERROR(VLOOKUP(V97,Curr!$B$2:$C$13,2,FALSE),0)</f>
        <v>11.2</v>
      </c>
      <c r="X97" s="12">
        <f t="shared" si="10"/>
        <v>0</v>
      </c>
      <c r="Y97" s="26">
        <f t="shared" si="11"/>
        <v>0</v>
      </c>
      <c r="Z97" s="12">
        <f t="shared" si="12"/>
        <v>0</v>
      </c>
      <c r="AA97" s="4" t="s">
        <v>10</v>
      </c>
      <c r="AB97" s="11">
        <f>IFERROR(VLOOKUP(AA97,Curr!$B$2:$C$13,2,FALSE),0)</f>
        <v>11.2</v>
      </c>
      <c r="AC97" s="12">
        <f t="shared" si="13"/>
        <v>0</v>
      </c>
      <c r="AD97" s="12">
        <f t="shared" si="14"/>
        <v>0</v>
      </c>
      <c r="AE97" s="13">
        <f t="shared" si="15"/>
        <v>0</v>
      </c>
    </row>
    <row r="98" spans="2:36" x14ac:dyDescent="0.25">
      <c r="B98" s="4"/>
      <c r="E98" s="3"/>
      <c r="F98" s="3"/>
      <c r="G98" s="24"/>
      <c r="H98" s="24"/>
      <c r="K98" s="4"/>
      <c r="L98" s="4"/>
      <c r="M98" s="4"/>
      <c r="N98" s="4"/>
      <c r="O98" s="4"/>
      <c r="P98" s="27"/>
      <c r="Q98" s="25">
        <v>0</v>
      </c>
      <c r="R98" s="25">
        <v>0</v>
      </c>
      <c r="S98" s="12">
        <f t="shared" si="8"/>
        <v>0</v>
      </c>
      <c r="T98" s="5">
        <v>0</v>
      </c>
      <c r="U98" s="12">
        <f t="shared" si="9"/>
        <v>0</v>
      </c>
      <c r="V98" s="25" t="s">
        <v>10</v>
      </c>
      <c r="W98" s="11">
        <f>IFERROR(VLOOKUP(V98,Curr!$B$2:$C$13,2,FALSE),0)</f>
        <v>11.2</v>
      </c>
      <c r="X98" s="12">
        <f t="shared" si="10"/>
        <v>0</v>
      </c>
      <c r="Y98" s="26">
        <f t="shared" si="11"/>
        <v>0</v>
      </c>
      <c r="Z98" s="12">
        <f t="shared" si="12"/>
        <v>0</v>
      </c>
      <c r="AA98" s="4" t="s">
        <v>10</v>
      </c>
      <c r="AB98" s="11">
        <f>IFERROR(VLOOKUP(AA98,Curr!$B$2:$C$13,2,FALSE),0)</f>
        <v>11.2</v>
      </c>
      <c r="AC98" s="12">
        <f t="shared" si="13"/>
        <v>0</v>
      </c>
      <c r="AD98" s="12">
        <f t="shared" si="14"/>
        <v>0</v>
      </c>
      <c r="AE98" s="13">
        <f t="shared" si="15"/>
        <v>0</v>
      </c>
    </row>
    <row r="99" spans="2:36" x14ac:dyDescent="0.25">
      <c r="B99" s="4"/>
      <c r="E99" s="3"/>
      <c r="F99" s="3"/>
      <c r="G99" s="3"/>
      <c r="H99" s="3"/>
      <c r="L99" s="4"/>
      <c r="M99" s="4"/>
      <c r="N99" s="4"/>
      <c r="O99" s="4"/>
      <c r="P99" s="22"/>
      <c r="Q99" s="4"/>
      <c r="R99" s="4"/>
      <c r="S99" s="4"/>
      <c r="T99" s="4"/>
      <c r="U99" s="4"/>
      <c r="V99" s="4"/>
      <c r="W99" s="4"/>
      <c r="X99" s="4"/>
      <c r="Y99" s="4"/>
      <c r="Z99" s="4"/>
      <c r="AA99" s="4"/>
      <c r="AB99" s="4"/>
      <c r="AC99" s="4"/>
      <c r="AD99" s="4"/>
      <c r="AE99" s="4"/>
      <c r="AF99" s="4"/>
    </row>
    <row r="100" spans="2:36" x14ac:dyDescent="0.25">
      <c r="B100" s="14" t="s">
        <v>18</v>
      </c>
      <c r="C100" s="14"/>
      <c r="D100" s="28" t="s">
        <v>42</v>
      </c>
      <c r="E100" s="30" t="s">
        <v>42</v>
      </c>
      <c r="F100" s="30" t="s">
        <v>42</v>
      </c>
      <c r="G100" s="30" t="s">
        <v>42</v>
      </c>
      <c r="H100" s="30" t="s">
        <v>42</v>
      </c>
      <c r="I100" s="28" t="s">
        <v>42</v>
      </c>
      <c r="J100" s="28" t="s">
        <v>42</v>
      </c>
      <c r="K100" s="28" t="s">
        <v>42</v>
      </c>
      <c r="L100" s="28" t="s">
        <v>42</v>
      </c>
      <c r="M100" s="28" t="s">
        <v>42</v>
      </c>
      <c r="N100" s="28" t="s">
        <v>42</v>
      </c>
      <c r="O100" s="28" t="s">
        <v>42</v>
      </c>
      <c r="P100" s="28" t="s">
        <v>42</v>
      </c>
      <c r="Q100" s="31" t="s">
        <v>42</v>
      </c>
      <c r="R100" s="28" t="s">
        <v>42</v>
      </c>
      <c r="S100" s="32" t="s">
        <v>42</v>
      </c>
      <c r="T100" s="28" t="s">
        <v>42</v>
      </c>
      <c r="U100" s="32" t="s">
        <v>42</v>
      </c>
      <c r="V100" s="28" t="s">
        <v>42</v>
      </c>
      <c r="W100" s="28" t="s">
        <v>42</v>
      </c>
      <c r="X100" s="32" t="s">
        <v>42</v>
      </c>
      <c r="Y100" s="32" t="s">
        <v>42</v>
      </c>
      <c r="Z100" s="15">
        <f>SUM(Z7:Z98)</f>
        <v>0</v>
      </c>
      <c r="AA100" s="14"/>
      <c r="AB100" s="14"/>
      <c r="AC100" s="15">
        <f>SUM(AC7:AC98)</f>
        <v>0</v>
      </c>
      <c r="AD100" s="15">
        <f>SUM(AD7:AD98)</f>
        <v>0</v>
      </c>
      <c r="AE100" s="21">
        <f t="shared" ref="AE100" si="16">IFERROR(AD100/AC100,0)</f>
        <v>0</v>
      </c>
      <c r="AF100" s="15">
        <f>SUM(AF8:AF99)</f>
        <v>0</v>
      </c>
      <c r="AG100" s="15">
        <f>SUM(AG8:AG99)</f>
        <v>0</v>
      </c>
      <c r="AH100" s="15">
        <f>SUM(AH8:AH99)</f>
        <v>0</v>
      </c>
      <c r="AI100" s="15">
        <f>SUM(AI8:AI99)</f>
        <v>0</v>
      </c>
      <c r="AJ100" s="15">
        <f>SUM(AJ8:AJ99)</f>
        <v>0</v>
      </c>
    </row>
    <row r="101" spans="2:36" x14ac:dyDescent="0.25">
      <c r="B101" s="4"/>
      <c r="E101" s="3"/>
      <c r="F101" s="3"/>
      <c r="G101" s="3"/>
      <c r="H101" s="3"/>
      <c r="L101" s="4"/>
      <c r="M101" s="4"/>
      <c r="N101" s="4"/>
      <c r="O101" s="4"/>
      <c r="Q101" s="4"/>
      <c r="R101" s="4"/>
      <c r="S101" s="4"/>
      <c r="T101" s="4"/>
      <c r="U101" s="4"/>
      <c r="V101" s="4"/>
      <c r="W101" s="4"/>
      <c r="X101" s="4"/>
      <c r="Y101" s="9"/>
      <c r="Z101" s="9"/>
      <c r="AA101" s="9"/>
      <c r="AB101" s="9"/>
      <c r="AC101" s="9"/>
      <c r="AD101" s="9"/>
      <c r="AE101" s="9"/>
    </row>
    <row r="102" spans="2:36" x14ac:dyDescent="0.25">
      <c r="B102" s="4"/>
      <c r="E102" s="3"/>
      <c r="F102" s="3"/>
      <c r="G102" s="3"/>
      <c r="H102" s="3"/>
      <c r="L102" s="4"/>
      <c r="M102" s="4"/>
      <c r="N102" s="4"/>
      <c r="O102" s="4"/>
      <c r="Q102" s="9"/>
      <c r="R102" s="9"/>
      <c r="S102" s="9"/>
      <c r="T102" s="9"/>
      <c r="U102" s="9"/>
      <c r="V102" s="9"/>
      <c r="W102" s="9"/>
      <c r="X102" s="23"/>
      <c r="Y102" s="34" t="s">
        <v>102</v>
      </c>
      <c r="Z102" s="34">
        <v>1290</v>
      </c>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9"/>
      <c r="Y103" s="35" t="s">
        <v>103</v>
      </c>
      <c r="Z103" s="34">
        <f>Z54+Z60+Z68+Z70</f>
        <v>0</v>
      </c>
      <c r="AA103" s="9"/>
      <c r="AB103" s="9"/>
      <c r="AC103" s="9"/>
      <c r="AD103" s="9"/>
      <c r="AE103" s="9"/>
      <c r="AF103" s="18"/>
    </row>
    <row r="104" spans="2:36" x14ac:dyDescent="0.25">
      <c r="B104" s="4"/>
      <c r="E104" s="3"/>
      <c r="F104" s="3"/>
      <c r="G104" s="3"/>
      <c r="H104" s="3"/>
      <c r="I104" s="19"/>
      <c r="L104" s="4"/>
      <c r="M104" s="4"/>
      <c r="N104" s="4"/>
      <c r="O104" s="20"/>
      <c r="Q104" s="20"/>
      <c r="R104" s="20"/>
      <c r="S104" s="20"/>
      <c r="T104" s="20"/>
      <c r="U104" s="20"/>
      <c r="V104" s="20"/>
      <c r="W104" s="20"/>
      <c r="X104" s="20"/>
      <c r="Y104" s="34" t="s">
        <v>104</v>
      </c>
      <c r="Z104" s="34">
        <v>2920</v>
      </c>
      <c r="AA104" s="9"/>
      <c r="AB104" s="9"/>
      <c r="AC104" s="9"/>
      <c r="AD104" s="9"/>
      <c r="AE104" s="9"/>
      <c r="AF104" s="18"/>
    </row>
    <row r="105" spans="2:36" x14ac:dyDescent="0.25">
      <c r="B105" s="4"/>
      <c r="E105" s="3"/>
      <c r="F105" s="3"/>
      <c r="G105" s="3"/>
      <c r="H105" s="3"/>
      <c r="L105" s="4"/>
      <c r="M105" s="4"/>
      <c r="N105" s="4"/>
      <c r="O105" s="20"/>
      <c r="Q105" s="20"/>
      <c r="R105" s="20"/>
      <c r="S105" s="20"/>
      <c r="T105" s="20"/>
      <c r="U105" s="20"/>
      <c r="V105" s="20"/>
      <c r="W105" s="20"/>
      <c r="X105" s="20"/>
      <c r="Y105" s="34" t="s">
        <v>43</v>
      </c>
      <c r="Z105" s="34">
        <f>Z104/2</f>
        <v>1460</v>
      </c>
      <c r="AA105" s="9"/>
      <c r="AB105" s="9"/>
      <c r="AC105" s="9"/>
      <c r="AD105" s="9"/>
      <c r="AE105" s="9"/>
      <c r="AF105" s="18"/>
    </row>
    <row r="106" spans="2:36" x14ac:dyDescent="0.25">
      <c r="B106" s="4"/>
      <c r="E106" s="3"/>
      <c r="F106" s="3"/>
      <c r="G106" s="3"/>
      <c r="H106" s="3"/>
      <c r="L106" s="4"/>
      <c r="M106" s="4"/>
      <c r="N106" s="4"/>
      <c r="O106" s="4"/>
      <c r="Q106" s="9"/>
      <c r="R106" s="9"/>
      <c r="S106" s="9"/>
      <c r="T106" s="9"/>
      <c r="U106" s="9"/>
      <c r="V106" s="9"/>
      <c r="W106" s="9"/>
      <c r="X106" s="9"/>
      <c r="Y106" s="1"/>
      <c r="Z106" s="1"/>
      <c r="AA106" s="9"/>
      <c r="AB106" s="9"/>
      <c r="AC106" s="9"/>
      <c r="AD106" s="9"/>
      <c r="AE106" s="9"/>
      <c r="AF106" s="18"/>
    </row>
    <row r="107" spans="2:36" x14ac:dyDescent="0.25">
      <c r="F107" s="1"/>
      <c r="G107" s="1"/>
      <c r="H107" s="1"/>
      <c r="J107" s="1" t="s">
        <v>32</v>
      </c>
      <c r="Q107" s="9"/>
      <c r="R107" s="4"/>
      <c r="S107" s="9"/>
      <c r="T107" s="5"/>
      <c r="U107" s="9"/>
      <c r="V107" s="4"/>
      <c r="W107" s="4"/>
      <c r="X107" s="9"/>
      <c r="Y107" s="9" t="s">
        <v>44</v>
      </c>
      <c r="Z107" s="9">
        <v>2920</v>
      </c>
      <c r="AA107" s="9"/>
      <c r="AB107" s="9"/>
      <c r="AC107" s="9"/>
      <c r="AD107" s="9"/>
      <c r="AE107" s="9"/>
    </row>
    <row r="108" spans="2:36" x14ac:dyDescent="0.25">
      <c r="R108" s="4"/>
      <c r="S108" s="17"/>
      <c r="T108" s="17"/>
      <c r="U108" s="9"/>
      <c r="V108" s="4"/>
      <c r="W108" s="4"/>
      <c r="X108" s="9"/>
      <c r="Y108" s="9" t="s">
        <v>45</v>
      </c>
      <c r="Z108" s="9">
        <v>0</v>
      </c>
      <c r="AA108" s="9"/>
      <c r="AB108" s="9"/>
      <c r="AC108" s="9"/>
      <c r="AD108" s="9"/>
      <c r="AE108" s="9"/>
    </row>
    <row r="109" spans="2:36" x14ac:dyDescent="0.25">
      <c r="Q109" s="9"/>
      <c r="R109" s="4"/>
      <c r="S109" s="16"/>
      <c r="T109" s="16"/>
      <c r="U109" s="9"/>
      <c r="V109" s="4"/>
      <c r="W109" s="4"/>
      <c r="X109" s="9"/>
      <c r="Y109" s="9"/>
      <c r="Z109" s="9"/>
      <c r="AA109" s="9"/>
      <c r="AB109" s="9"/>
      <c r="AC109" s="9"/>
      <c r="AD109" s="9"/>
      <c r="AE109" s="9"/>
    </row>
    <row r="110" spans="2:36" x14ac:dyDescent="0.25">
      <c r="R110" s="4"/>
      <c r="S110" s="16"/>
      <c r="T110" s="16"/>
      <c r="Y110" s="9" t="s">
        <v>46</v>
      </c>
      <c r="Z110" s="9">
        <v>850</v>
      </c>
      <c r="AA110" s="9"/>
      <c r="AB110" s="9"/>
      <c r="AC110" s="9"/>
      <c r="AD110" s="9"/>
      <c r="AE110" s="9"/>
    </row>
    <row r="111" spans="2:36" x14ac:dyDescent="0.25">
      <c r="T111" s="5"/>
      <c r="Y111" s="9" t="s">
        <v>47</v>
      </c>
      <c r="Z111" s="9">
        <v>1760</v>
      </c>
      <c r="AA111" s="9"/>
      <c r="AB111" s="9"/>
      <c r="AC111" s="9"/>
      <c r="AD111" s="9"/>
      <c r="AE111" s="9"/>
    </row>
    <row r="112" spans="2:36" x14ac:dyDescent="0.25">
      <c r="T112" s="5"/>
      <c r="Y112" s="9"/>
      <c r="Z112" s="9"/>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row>
    <row r="120" spans="20:31" x14ac:dyDescent="0.25">
      <c r="T120" s="5"/>
    </row>
    <row r="121" spans="20:31" x14ac:dyDescent="0.25">
      <c r="T121" s="5"/>
    </row>
    <row r="122" spans="20:31" x14ac:dyDescent="0.25">
      <c r="T122" s="5"/>
    </row>
    <row r="123" spans="20:31" x14ac:dyDescent="0.25">
      <c r="T123" s="5"/>
    </row>
  </sheetData>
  <autoFilter ref="B6:AE100" xr:uid="{65FA6D9B-E0AF-46CD-BA0D-86BB75FE6AB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E6C0-BF7F-4EA5-97F6-74A08C367EEF}">
  <sheetPr>
    <tabColor rgb="FFFFFF00"/>
  </sheetPr>
  <dimension ref="B1:AK78"/>
  <sheetViews>
    <sheetView topLeftCell="A8" zoomScale="85" zoomScaleNormal="85" workbookViewId="0">
      <selection activeCell="J7" sqref="J7"/>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163</v>
      </c>
    </row>
    <row r="2" spans="2:36" x14ac:dyDescent="0.25">
      <c r="B2" s="2" t="s">
        <v>58</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10" si="0">+Q7*R7</f>
        <v>0</v>
      </c>
      <c r="T7" s="5">
        <v>0</v>
      </c>
      <c r="U7" s="12">
        <f t="shared" ref="U7:U10" si="1">S7*(1-T7)</f>
        <v>0</v>
      </c>
      <c r="V7" s="25" t="s">
        <v>10</v>
      </c>
      <c r="W7" s="11">
        <f>IFERROR(VLOOKUP(V7,Curr!$B$2:$C$13,2,FALSE),0)</f>
        <v>11.2</v>
      </c>
      <c r="X7" s="12">
        <f t="shared" ref="X7:X10" si="2">U7*W7</f>
        <v>0</v>
      </c>
      <c r="Y7" s="26">
        <f t="shared" ref="Y7:Y10" si="3">Q7</f>
        <v>0</v>
      </c>
      <c r="Z7" s="12">
        <f t="shared" ref="Z7" si="4">+Y7*R7</f>
        <v>0</v>
      </c>
      <c r="AA7" s="4" t="s">
        <v>10</v>
      </c>
      <c r="AB7" s="11">
        <f>IFERROR(VLOOKUP(AA7,Curr!$B$2:$C$13,2,FALSE),0)</f>
        <v>11.2</v>
      </c>
      <c r="AC7" s="12">
        <f t="shared" ref="AC7" si="5">+Y7*AB7*R7</f>
        <v>0</v>
      </c>
      <c r="AD7" s="12">
        <f t="shared" ref="AD7" si="6">+AC7-X7</f>
        <v>0</v>
      </c>
      <c r="AE7" s="13">
        <f t="shared" ref="AE7"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ref="Z8:Z11" si="8">+Y8*R8</f>
        <v>0</v>
      </c>
      <c r="AA8" s="4" t="s">
        <v>10</v>
      </c>
      <c r="AB8" s="11">
        <f>IFERROR(VLOOKUP(AA8,Curr!$B$2:$C$13,2,FALSE),0)</f>
        <v>11.2</v>
      </c>
      <c r="AC8" s="12">
        <f t="shared" ref="AC8:AC11" si="9">+Y8*AB8*R8</f>
        <v>0</v>
      </c>
      <c r="AD8" s="12">
        <f t="shared" ref="AD8:AD11" si="10">+AC8-X8</f>
        <v>0</v>
      </c>
      <c r="AE8" s="13">
        <f t="shared" ref="AE8:AE11" si="11">IFERROR(AD8/AC8,0)</f>
        <v>0</v>
      </c>
    </row>
    <row r="9" spans="2:36" x14ac:dyDescent="0.25">
      <c r="B9" s="4"/>
      <c r="C9" s="1" t="s">
        <v>55</v>
      </c>
      <c r="D9" s="1" t="s">
        <v>52</v>
      </c>
      <c r="E9" s="3"/>
      <c r="F9" s="3"/>
      <c r="G9" s="24"/>
      <c r="H9" s="24"/>
      <c r="J9" s="1" t="s">
        <v>70</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Q9/0.85</f>
        <v>176.47058823529412</v>
      </c>
      <c r="Z9" s="12">
        <f t="shared" si="8"/>
        <v>176.47058823529412</v>
      </c>
      <c r="AA9" s="4" t="s">
        <v>10</v>
      </c>
      <c r="AB9" s="11">
        <f>IFERROR(VLOOKUP(AA9,Curr!$B$2:$C$13,2,FALSE),0)</f>
        <v>11.2</v>
      </c>
      <c r="AC9" s="12">
        <f t="shared" si="9"/>
        <v>1976.4705882352939</v>
      </c>
      <c r="AD9" s="12">
        <f t="shared" si="10"/>
        <v>296.47058823529392</v>
      </c>
      <c r="AE9" s="13">
        <f t="shared" si="11"/>
        <v>0.14999999999999991</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8"/>
        <v>0</v>
      </c>
      <c r="AA10" s="4" t="s">
        <v>10</v>
      </c>
      <c r="AB10" s="11">
        <f>IFERROR(VLOOKUP(AA10,Curr!$B$2:$C$13,2,FALSE),0)</f>
        <v>11.2</v>
      </c>
      <c r="AC10" s="12">
        <f t="shared" si="9"/>
        <v>0</v>
      </c>
      <c r="AD10" s="12">
        <f t="shared" si="10"/>
        <v>0</v>
      </c>
      <c r="AE10" s="13">
        <f t="shared" si="11"/>
        <v>0</v>
      </c>
    </row>
    <row r="11" spans="2:36" x14ac:dyDescent="0.25">
      <c r="B11" s="4"/>
      <c r="E11" s="3"/>
      <c r="F11" s="3"/>
      <c r="G11" s="24"/>
      <c r="H11" s="24"/>
      <c r="K11" s="4"/>
      <c r="L11" s="4"/>
      <c r="M11" s="4"/>
      <c r="N11" s="4"/>
      <c r="O11" s="4"/>
      <c r="P11" s="27"/>
      <c r="Q11" s="25"/>
      <c r="R11" s="25"/>
      <c r="S11" s="12">
        <f t="shared" ref="S11:S16" si="12">+Q11*R11</f>
        <v>0</v>
      </c>
      <c r="T11" s="5">
        <v>0</v>
      </c>
      <c r="U11" s="12">
        <f t="shared" ref="U11:U16" si="13">S11*(1-T11)</f>
        <v>0</v>
      </c>
      <c r="V11" s="25" t="s">
        <v>10</v>
      </c>
      <c r="W11" s="11">
        <f>IFERROR(VLOOKUP(V11,Curr!$B$2:$C$13,2,FALSE),0)</f>
        <v>11.2</v>
      </c>
      <c r="X11" s="12">
        <f t="shared" ref="X11:X16" si="14">U11*W11</f>
        <v>0</v>
      </c>
      <c r="Y11" s="26">
        <f t="shared" ref="Y11:Y12" si="15">Q11</f>
        <v>0</v>
      </c>
      <c r="Z11" s="12">
        <f t="shared" si="8"/>
        <v>0</v>
      </c>
      <c r="AA11" s="4" t="s">
        <v>10</v>
      </c>
      <c r="AB11" s="11">
        <f>IFERROR(VLOOKUP(AA11,Curr!$B$2:$C$13,2,FALSE),0)</f>
        <v>11.2</v>
      </c>
      <c r="AC11" s="12">
        <f t="shared" si="9"/>
        <v>0</v>
      </c>
      <c r="AD11" s="12">
        <f t="shared" si="10"/>
        <v>0</v>
      </c>
      <c r="AE11" s="13">
        <f t="shared" si="11"/>
        <v>0</v>
      </c>
    </row>
    <row r="12" spans="2:36" x14ac:dyDescent="0.25">
      <c r="B12" s="4"/>
      <c r="C12" s="1" t="s">
        <v>63</v>
      </c>
      <c r="D12" s="1" t="s">
        <v>50</v>
      </c>
      <c r="E12" s="3"/>
      <c r="F12" s="3"/>
      <c r="G12" s="24"/>
      <c r="H12" s="24"/>
      <c r="J12" s="1" t="s">
        <v>64</v>
      </c>
      <c r="K12" s="4"/>
      <c r="L12" s="4"/>
      <c r="M12" s="4"/>
      <c r="N12" s="4"/>
      <c r="O12" s="4"/>
      <c r="P12" s="27"/>
      <c r="Q12" s="25">
        <v>0</v>
      </c>
      <c r="R12" s="25">
        <v>0</v>
      </c>
      <c r="S12" s="12">
        <f t="shared" si="12"/>
        <v>0</v>
      </c>
      <c r="T12" s="5">
        <v>0</v>
      </c>
      <c r="U12" s="12">
        <f t="shared" si="13"/>
        <v>0</v>
      </c>
      <c r="V12" s="25" t="s">
        <v>10</v>
      </c>
      <c r="W12" s="11">
        <f>IFERROR(VLOOKUP(V12,Curr!$B$2:$C$13,2,FALSE),0)</f>
        <v>11.2</v>
      </c>
      <c r="X12" s="12">
        <f t="shared" si="14"/>
        <v>0</v>
      </c>
      <c r="Y12" s="26">
        <f t="shared" si="15"/>
        <v>0</v>
      </c>
      <c r="Z12" s="12">
        <f t="shared" ref="Z12:Z53" si="16">+Y12*R12</f>
        <v>0</v>
      </c>
      <c r="AA12" s="4" t="s">
        <v>10</v>
      </c>
      <c r="AB12" s="11">
        <f>IFERROR(VLOOKUP(AA12,Curr!$B$2:$C$13,2,FALSE),0)</f>
        <v>11.2</v>
      </c>
      <c r="AC12" s="12">
        <f t="shared" ref="AC12:AC53" si="17">+Y12*AB12*R12</f>
        <v>0</v>
      </c>
      <c r="AD12" s="12">
        <f t="shared" ref="AD12:AD53" si="18">+AC12-X12</f>
        <v>0</v>
      </c>
      <c r="AE12" s="13">
        <f t="shared" ref="AE12:AE53" si="19">IFERROR(AD12/AC12,0)</f>
        <v>0</v>
      </c>
    </row>
    <row r="13" spans="2:36" x14ac:dyDescent="0.25">
      <c r="B13" s="4"/>
      <c r="C13" s="1" t="s">
        <v>63</v>
      </c>
      <c r="D13" s="1" t="s">
        <v>66</v>
      </c>
      <c r="E13" s="3"/>
      <c r="F13" s="3"/>
      <c r="G13" s="24"/>
      <c r="H13" s="24"/>
      <c r="J13" s="1" t="s">
        <v>72</v>
      </c>
      <c r="K13" s="4"/>
      <c r="L13" s="4"/>
      <c r="M13" s="4"/>
      <c r="N13" s="4"/>
      <c r="O13" s="4" t="s">
        <v>42</v>
      </c>
      <c r="P13" s="33" t="s">
        <v>65</v>
      </c>
      <c r="Q13" s="25">
        <v>2400</v>
      </c>
      <c r="R13" s="25">
        <v>1</v>
      </c>
      <c r="S13" s="12">
        <f t="shared" si="12"/>
        <v>2400</v>
      </c>
      <c r="T13" s="5">
        <v>0</v>
      </c>
      <c r="U13" s="12">
        <f t="shared" si="13"/>
        <v>2400</v>
      </c>
      <c r="V13" s="25" t="s">
        <v>8</v>
      </c>
      <c r="W13" s="11">
        <f>IFERROR(VLOOKUP(V13,Curr!$B$2:$C$13,2,FALSE),0)</f>
        <v>1</v>
      </c>
      <c r="X13" s="12">
        <f t="shared" si="14"/>
        <v>2400</v>
      </c>
      <c r="Y13" s="26">
        <f>Q13/11.3/0.8</f>
        <v>265.48672566371675</v>
      </c>
      <c r="Z13" s="12">
        <f t="shared" si="16"/>
        <v>265.48672566371675</v>
      </c>
      <c r="AA13" s="4" t="s">
        <v>10</v>
      </c>
      <c r="AB13" s="11">
        <f>IFERROR(VLOOKUP(AA13,Curr!$B$2:$C$13,2,FALSE),0)</f>
        <v>11.2</v>
      </c>
      <c r="AC13" s="12">
        <f t="shared" si="17"/>
        <v>2973.4513274336273</v>
      </c>
      <c r="AD13" s="12">
        <f t="shared" si="18"/>
        <v>573.45132743362728</v>
      </c>
      <c r="AE13" s="13">
        <f t="shared" si="19"/>
        <v>0.19285714285714259</v>
      </c>
    </row>
    <row r="14" spans="2:36" x14ac:dyDescent="0.25">
      <c r="B14" s="4"/>
      <c r="C14" s="1" t="s">
        <v>63</v>
      </c>
      <c r="D14" s="1" t="s">
        <v>50</v>
      </c>
      <c r="E14" s="3"/>
      <c r="F14" s="3"/>
      <c r="G14" s="24"/>
      <c r="H14" s="24"/>
      <c r="J14" s="1" t="s">
        <v>67</v>
      </c>
      <c r="K14" s="4"/>
      <c r="L14" s="4"/>
      <c r="M14" s="4"/>
      <c r="N14" s="4"/>
      <c r="O14" s="4"/>
      <c r="P14" s="33"/>
      <c r="Q14" s="25">
        <v>0</v>
      </c>
      <c r="R14" s="25">
        <v>0</v>
      </c>
      <c r="S14" s="12">
        <f t="shared" si="12"/>
        <v>0</v>
      </c>
      <c r="T14" s="5">
        <v>0</v>
      </c>
      <c r="U14" s="12">
        <f t="shared" si="13"/>
        <v>0</v>
      </c>
      <c r="V14" s="25" t="s">
        <v>10</v>
      </c>
      <c r="W14" s="11">
        <f>IFERROR(VLOOKUP(V14,Curr!$B$2:$C$13,2,FALSE),0)</f>
        <v>11.2</v>
      </c>
      <c r="X14" s="12">
        <f t="shared" si="14"/>
        <v>0</v>
      </c>
      <c r="Y14" s="26">
        <f t="shared" ref="Y14:Y16" si="20">Q14</f>
        <v>0</v>
      </c>
      <c r="Z14" s="12">
        <f t="shared" si="16"/>
        <v>0</v>
      </c>
      <c r="AA14" s="4" t="s">
        <v>10</v>
      </c>
      <c r="AB14" s="11">
        <f>IFERROR(VLOOKUP(AA14,Curr!$B$2:$C$13,2,FALSE),0)</f>
        <v>11.2</v>
      </c>
      <c r="AC14" s="12">
        <f t="shared" si="17"/>
        <v>0</v>
      </c>
      <c r="AD14" s="12">
        <f t="shared" si="18"/>
        <v>0</v>
      </c>
      <c r="AE14" s="13">
        <f t="shared" si="19"/>
        <v>0</v>
      </c>
    </row>
    <row r="15" spans="2:36" x14ac:dyDescent="0.25">
      <c r="B15" s="4"/>
      <c r="C15" s="1" t="s">
        <v>63</v>
      </c>
      <c r="D15" s="1" t="s">
        <v>52</v>
      </c>
      <c r="E15" s="3"/>
      <c r="F15" s="3"/>
      <c r="G15" s="24"/>
      <c r="H15" s="24"/>
      <c r="J15" s="1" t="s">
        <v>71</v>
      </c>
      <c r="K15" s="4"/>
      <c r="L15" s="4"/>
      <c r="M15" s="4"/>
      <c r="N15" s="4"/>
      <c r="O15" s="4"/>
      <c r="P15" s="33"/>
      <c r="Q15" s="25">
        <v>280</v>
      </c>
      <c r="R15" s="25">
        <v>1</v>
      </c>
      <c r="S15" s="12">
        <f t="shared" si="12"/>
        <v>280</v>
      </c>
      <c r="T15" s="5">
        <v>0</v>
      </c>
      <c r="U15" s="12">
        <f t="shared" si="13"/>
        <v>280</v>
      </c>
      <c r="V15" s="25" t="s">
        <v>10</v>
      </c>
      <c r="W15" s="11">
        <f>IFERROR(VLOOKUP(V15,Curr!$B$2:$C$13,2,FALSE),0)</f>
        <v>11.2</v>
      </c>
      <c r="X15" s="12">
        <f t="shared" si="14"/>
        <v>3136</v>
      </c>
      <c r="Y15" s="26">
        <f>Q15/0.85</f>
        <v>329.41176470588238</v>
      </c>
      <c r="Z15" s="12">
        <f t="shared" si="16"/>
        <v>329.41176470588238</v>
      </c>
      <c r="AA15" s="4" t="s">
        <v>10</v>
      </c>
      <c r="AB15" s="11">
        <f>IFERROR(VLOOKUP(AA15,Curr!$B$2:$C$13,2,FALSE),0)</f>
        <v>11.2</v>
      </c>
      <c r="AC15" s="12">
        <f t="shared" si="17"/>
        <v>3689.4117647058824</v>
      </c>
      <c r="AD15" s="12">
        <f t="shared" si="18"/>
        <v>553.41176470588243</v>
      </c>
      <c r="AE15" s="13">
        <f t="shared" si="19"/>
        <v>0.15000000000000002</v>
      </c>
    </row>
    <row r="16" spans="2:36" x14ac:dyDescent="0.25">
      <c r="B16" s="4"/>
      <c r="C16" s="1" t="s">
        <v>63</v>
      </c>
      <c r="D16" s="1" t="s">
        <v>53</v>
      </c>
      <c r="E16" s="3"/>
      <c r="F16" s="3"/>
      <c r="G16" s="24"/>
      <c r="H16" s="24"/>
      <c r="J16" s="1" t="s">
        <v>68</v>
      </c>
      <c r="K16" s="4"/>
      <c r="L16" s="4"/>
      <c r="M16" s="4"/>
      <c r="N16" s="4"/>
      <c r="O16" s="4"/>
      <c r="P16" s="33"/>
      <c r="Q16" s="25">
        <v>0</v>
      </c>
      <c r="R16" s="25">
        <v>0</v>
      </c>
      <c r="S16" s="12">
        <f t="shared" si="12"/>
        <v>0</v>
      </c>
      <c r="T16" s="5">
        <v>0</v>
      </c>
      <c r="U16" s="12">
        <f t="shared" si="13"/>
        <v>0</v>
      </c>
      <c r="V16" s="25" t="s">
        <v>10</v>
      </c>
      <c r="W16" s="11">
        <f>IFERROR(VLOOKUP(V16,Curr!$B$2:$C$13,2,FALSE),0)</f>
        <v>11.2</v>
      </c>
      <c r="X16" s="12">
        <f t="shared" si="14"/>
        <v>0</v>
      </c>
      <c r="Y16" s="26">
        <f t="shared" si="20"/>
        <v>0</v>
      </c>
      <c r="Z16" s="12">
        <f t="shared" si="16"/>
        <v>0</v>
      </c>
      <c r="AA16" s="4" t="s">
        <v>10</v>
      </c>
      <c r="AB16" s="11">
        <f>IFERROR(VLOOKUP(AA16,Curr!$B$2:$C$13,2,FALSE),0)</f>
        <v>11.2</v>
      </c>
      <c r="AC16" s="12">
        <f t="shared" si="17"/>
        <v>0</v>
      </c>
      <c r="AD16" s="12">
        <f t="shared" si="18"/>
        <v>0</v>
      </c>
      <c r="AE16" s="13">
        <f t="shared" si="19"/>
        <v>0</v>
      </c>
    </row>
    <row r="17" spans="2:31" x14ac:dyDescent="0.25">
      <c r="B17" s="4"/>
      <c r="E17" s="3"/>
      <c r="F17" s="3"/>
      <c r="G17" s="24"/>
      <c r="H17" s="24"/>
      <c r="K17" s="4"/>
      <c r="L17" s="4"/>
      <c r="M17" s="4"/>
      <c r="N17" s="4"/>
      <c r="O17" s="4"/>
      <c r="P17" s="29"/>
      <c r="Q17" s="25"/>
      <c r="R17" s="25"/>
      <c r="S17" s="12">
        <f t="shared" ref="S17:S53" si="21">+Q17*R17</f>
        <v>0</v>
      </c>
      <c r="T17" s="5">
        <v>0</v>
      </c>
      <c r="U17" s="12">
        <f t="shared" ref="U17:U53" si="22">S17*(1-T17)</f>
        <v>0</v>
      </c>
      <c r="V17" s="25" t="s">
        <v>10</v>
      </c>
      <c r="W17" s="11">
        <f>IFERROR(VLOOKUP(V17,Curr!$B$2:$C$13,2,FALSE),0)</f>
        <v>11.2</v>
      </c>
      <c r="X17" s="12">
        <f t="shared" ref="X17:X53" si="23">U17*W17</f>
        <v>0</v>
      </c>
      <c r="Y17" s="26">
        <f t="shared" ref="Y17:Y53" si="24">Q17</f>
        <v>0</v>
      </c>
      <c r="Z17" s="12">
        <f t="shared" si="16"/>
        <v>0</v>
      </c>
      <c r="AA17" s="4" t="s">
        <v>10</v>
      </c>
      <c r="AB17" s="11">
        <f>IFERROR(VLOOKUP(AA17,Curr!$B$2:$C$13,2,FALSE),0)</f>
        <v>11.2</v>
      </c>
      <c r="AC17" s="12">
        <f t="shared" si="17"/>
        <v>0</v>
      </c>
      <c r="AD17" s="12">
        <f t="shared" si="18"/>
        <v>0</v>
      </c>
      <c r="AE17" s="13">
        <f t="shared" si="19"/>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21"/>
        <v>580</v>
      </c>
      <c r="T18" s="5">
        <v>0.2</v>
      </c>
      <c r="U18" s="12">
        <f t="shared" si="22"/>
        <v>464</v>
      </c>
      <c r="V18" s="25" t="s">
        <v>8</v>
      </c>
      <c r="W18" s="11">
        <f>IFERROR(VLOOKUP(V18,Curr!$B$2:$C$13,2,FALSE),0)</f>
        <v>1</v>
      </c>
      <c r="X18" s="12">
        <f t="shared" si="23"/>
        <v>464</v>
      </c>
      <c r="Y18" s="26">
        <f>Q18/11.3/0.64</f>
        <v>40.099557522123888</v>
      </c>
      <c r="Z18" s="12">
        <f t="shared" si="16"/>
        <v>80.199115044247776</v>
      </c>
      <c r="AA18" s="4" t="s">
        <v>10</v>
      </c>
      <c r="AB18" s="11">
        <f>IFERROR(VLOOKUP(AA18,Curr!$B$2:$C$13,2,FALSE),0)</f>
        <v>11.2</v>
      </c>
      <c r="AC18" s="12">
        <f t="shared" si="17"/>
        <v>898.23008849557505</v>
      </c>
      <c r="AD18" s="12">
        <f t="shared" si="18"/>
        <v>434.23008849557505</v>
      </c>
      <c r="AE18" s="13">
        <f t="shared" si="19"/>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21"/>
        <v>350</v>
      </c>
      <c r="T19" s="5">
        <v>0</v>
      </c>
      <c r="U19" s="12">
        <f t="shared" si="22"/>
        <v>350</v>
      </c>
      <c r="V19" s="25" t="s">
        <v>8</v>
      </c>
      <c r="W19" s="11">
        <f>IFERROR(VLOOKUP(V19,Curr!$B$2:$C$13,2,FALSE),0)</f>
        <v>1</v>
      </c>
      <c r="X19" s="12">
        <f t="shared" si="23"/>
        <v>350</v>
      </c>
      <c r="Y19" s="26">
        <f>Q19/11.3/0.5</f>
        <v>30.973451327433626</v>
      </c>
      <c r="Z19" s="12">
        <f t="shared" si="16"/>
        <v>61.946902654867252</v>
      </c>
      <c r="AA19" s="4" t="s">
        <v>10</v>
      </c>
      <c r="AB19" s="11">
        <f>IFERROR(VLOOKUP(AA19,Curr!$B$2:$C$13,2,FALSE),0)</f>
        <v>11.2</v>
      </c>
      <c r="AC19" s="12">
        <f t="shared" si="17"/>
        <v>693.80530973451323</v>
      </c>
      <c r="AD19" s="12">
        <f t="shared" si="18"/>
        <v>343.80530973451323</v>
      </c>
      <c r="AE19" s="13">
        <f t="shared" si="19"/>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21"/>
        <v>0</v>
      </c>
      <c r="T20" s="5">
        <v>0</v>
      </c>
      <c r="U20" s="12">
        <f t="shared" si="22"/>
        <v>0</v>
      </c>
      <c r="V20" s="25" t="s">
        <v>10</v>
      </c>
      <c r="W20" s="11">
        <f>IFERROR(VLOOKUP(V20,Curr!$B$2:$C$13,2,FALSE),0)</f>
        <v>11.2</v>
      </c>
      <c r="X20" s="12">
        <f t="shared" si="23"/>
        <v>0</v>
      </c>
      <c r="Y20" s="26">
        <f t="shared" si="24"/>
        <v>0</v>
      </c>
      <c r="Z20" s="12">
        <f t="shared" si="16"/>
        <v>0</v>
      </c>
      <c r="AA20" s="4" t="s">
        <v>10</v>
      </c>
      <c r="AB20" s="11">
        <f>IFERROR(VLOOKUP(AA20,Curr!$B$2:$C$13,2,FALSE),0)</f>
        <v>11.2</v>
      </c>
      <c r="AC20" s="12">
        <f t="shared" si="17"/>
        <v>0</v>
      </c>
      <c r="AD20" s="12">
        <f t="shared" si="18"/>
        <v>0</v>
      </c>
      <c r="AE20" s="13">
        <f t="shared" si="19"/>
        <v>0</v>
      </c>
    </row>
    <row r="21" spans="2:31" x14ac:dyDescent="0.25">
      <c r="B21" s="4"/>
      <c r="E21" s="3"/>
      <c r="F21" s="3"/>
      <c r="G21" s="24"/>
      <c r="H21" s="24"/>
      <c r="K21" s="4"/>
      <c r="L21" s="4"/>
      <c r="M21" s="4"/>
      <c r="N21" s="4"/>
      <c r="O21" s="4"/>
      <c r="P21" s="33"/>
      <c r="Q21" s="25"/>
      <c r="R21" s="25"/>
      <c r="S21" s="12">
        <f t="shared" si="21"/>
        <v>0</v>
      </c>
      <c r="T21" s="5">
        <v>0</v>
      </c>
      <c r="U21" s="12">
        <f t="shared" si="22"/>
        <v>0</v>
      </c>
      <c r="V21" s="25" t="s">
        <v>10</v>
      </c>
      <c r="W21" s="11">
        <f>IFERROR(VLOOKUP(V21,Curr!$B$2:$C$13,2,FALSE),0)</f>
        <v>11.2</v>
      </c>
      <c r="X21" s="12">
        <f t="shared" si="23"/>
        <v>0</v>
      </c>
      <c r="Y21" s="26">
        <f t="shared" si="24"/>
        <v>0</v>
      </c>
      <c r="Z21" s="12">
        <f t="shared" si="16"/>
        <v>0</v>
      </c>
      <c r="AA21" s="4" t="s">
        <v>10</v>
      </c>
      <c r="AB21" s="11">
        <f>IFERROR(VLOOKUP(AA21,Curr!$B$2:$C$13,2,FALSE),0)</f>
        <v>11.2</v>
      </c>
      <c r="AC21" s="12">
        <f t="shared" si="17"/>
        <v>0</v>
      </c>
      <c r="AD21" s="12">
        <f t="shared" si="18"/>
        <v>0</v>
      </c>
      <c r="AE21" s="13">
        <f t="shared" si="19"/>
        <v>0</v>
      </c>
    </row>
    <row r="22" spans="2:31" x14ac:dyDescent="0.25">
      <c r="B22" s="4"/>
      <c r="C22" s="1" t="s">
        <v>78</v>
      </c>
      <c r="D22" s="1" t="s">
        <v>50</v>
      </c>
      <c r="E22" s="3"/>
      <c r="F22" s="3"/>
      <c r="G22" s="24"/>
      <c r="H22" s="24"/>
      <c r="J22" s="1" t="s">
        <v>83</v>
      </c>
      <c r="K22" s="4"/>
      <c r="L22" s="4"/>
      <c r="M22" s="4"/>
      <c r="N22" s="4"/>
      <c r="O22" s="4"/>
      <c r="P22" s="33"/>
      <c r="Q22" s="25">
        <v>0</v>
      </c>
      <c r="R22" s="25">
        <v>0</v>
      </c>
      <c r="S22" s="12">
        <f t="shared" si="21"/>
        <v>0</v>
      </c>
      <c r="T22" s="5">
        <v>0</v>
      </c>
      <c r="U22" s="12">
        <f t="shared" si="22"/>
        <v>0</v>
      </c>
      <c r="V22" s="25" t="s">
        <v>10</v>
      </c>
      <c r="W22" s="11">
        <f>IFERROR(VLOOKUP(V22,Curr!$B$2:$C$13,2,FALSE),0)</f>
        <v>11.2</v>
      </c>
      <c r="X22" s="12">
        <f t="shared" si="23"/>
        <v>0</v>
      </c>
      <c r="Y22" s="26">
        <f t="shared" si="24"/>
        <v>0</v>
      </c>
      <c r="Z22" s="12">
        <f t="shared" si="16"/>
        <v>0</v>
      </c>
      <c r="AA22" s="4" t="s">
        <v>10</v>
      </c>
      <c r="AB22" s="11">
        <f>IFERROR(VLOOKUP(AA22,Curr!$B$2:$C$13,2,FALSE),0)</f>
        <v>11.2</v>
      </c>
      <c r="AC22" s="12">
        <f t="shared" si="17"/>
        <v>0</v>
      </c>
      <c r="AD22" s="12">
        <f t="shared" si="18"/>
        <v>0</v>
      </c>
      <c r="AE22" s="13">
        <f t="shared" si="19"/>
        <v>0</v>
      </c>
    </row>
    <row r="23" spans="2:31" x14ac:dyDescent="0.25">
      <c r="B23" s="4"/>
      <c r="C23" s="1" t="s">
        <v>78</v>
      </c>
      <c r="D23" s="1" t="s">
        <v>79</v>
      </c>
      <c r="E23" s="3"/>
      <c r="F23" s="3"/>
      <c r="G23" s="24"/>
      <c r="H23" s="24"/>
      <c r="J23" s="1" t="s">
        <v>223</v>
      </c>
      <c r="K23" s="4"/>
      <c r="L23" s="4"/>
      <c r="M23" s="4"/>
      <c r="N23" s="4"/>
      <c r="O23" s="4" t="s">
        <v>42</v>
      </c>
      <c r="P23" s="33"/>
      <c r="Q23" s="25">
        <v>1800</v>
      </c>
      <c r="R23" s="25">
        <v>2</v>
      </c>
      <c r="S23" s="12">
        <f t="shared" si="21"/>
        <v>3600</v>
      </c>
      <c r="T23" s="5">
        <v>0</v>
      </c>
      <c r="U23" s="12">
        <f t="shared" si="22"/>
        <v>3600</v>
      </c>
      <c r="V23" s="25" t="s">
        <v>8</v>
      </c>
      <c r="W23" s="11">
        <f>IFERROR(VLOOKUP(V23,Curr!$B$2:$C$13,2,FALSE),0)</f>
        <v>1</v>
      </c>
      <c r="X23" s="12">
        <f t="shared" si="23"/>
        <v>3600</v>
      </c>
      <c r="Y23" s="26">
        <f>Q23/11.3/0.8</f>
        <v>199.11504424778758</v>
      </c>
      <c r="Z23" s="12">
        <f t="shared" si="16"/>
        <v>398.23008849557516</v>
      </c>
      <c r="AA23" s="4" t="s">
        <v>10</v>
      </c>
      <c r="AB23" s="11">
        <f>IFERROR(VLOOKUP(AA23,Curr!$B$2:$C$13,2,FALSE),0)</f>
        <v>11.2</v>
      </c>
      <c r="AC23" s="12">
        <f t="shared" si="17"/>
        <v>4460.1769911504416</v>
      </c>
      <c r="AD23" s="12">
        <f t="shared" si="18"/>
        <v>860.17699115044161</v>
      </c>
      <c r="AE23" s="13">
        <f t="shared" si="19"/>
        <v>0.1928571428571427</v>
      </c>
    </row>
    <row r="24" spans="2:31" x14ac:dyDescent="0.25">
      <c r="B24" s="4"/>
      <c r="C24" s="1" t="s">
        <v>78</v>
      </c>
      <c r="D24" s="1" t="s">
        <v>50</v>
      </c>
      <c r="E24" s="3"/>
      <c r="F24" s="3"/>
      <c r="G24" s="24"/>
      <c r="H24" s="24"/>
      <c r="J24" s="1" t="s">
        <v>84</v>
      </c>
      <c r="K24" s="4"/>
      <c r="L24" s="4"/>
      <c r="M24" s="4"/>
      <c r="N24" s="4"/>
      <c r="O24" s="4"/>
      <c r="P24" s="33"/>
      <c r="Q24" s="25">
        <v>0</v>
      </c>
      <c r="R24" s="25">
        <v>0</v>
      </c>
      <c r="S24" s="12">
        <f t="shared" si="21"/>
        <v>0</v>
      </c>
      <c r="T24" s="5">
        <v>0</v>
      </c>
      <c r="U24" s="12">
        <f t="shared" si="22"/>
        <v>0</v>
      </c>
      <c r="V24" s="25" t="s">
        <v>8</v>
      </c>
      <c r="W24" s="11">
        <f>IFERROR(VLOOKUP(V24,Curr!$B$2:$C$13,2,FALSE),0)</f>
        <v>1</v>
      </c>
      <c r="X24" s="12">
        <f t="shared" si="23"/>
        <v>0</v>
      </c>
      <c r="Y24" s="26">
        <f>Q24/11.3/0.8</f>
        <v>0</v>
      </c>
      <c r="Z24" s="12">
        <f t="shared" si="16"/>
        <v>0</v>
      </c>
      <c r="AA24" s="4" t="s">
        <v>10</v>
      </c>
      <c r="AB24" s="11">
        <f>IFERROR(VLOOKUP(AA24,Curr!$B$2:$C$13,2,FALSE),0)</f>
        <v>11.2</v>
      </c>
      <c r="AC24" s="12">
        <f t="shared" si="17"/>
        <v>0</v>
      </c>
      <c r="AD24" s="12">
        <f t="shared" si="18"/>
        <v>0</v>
      </c>
      <c r="AE24" s="13">
        <f t="shared" si="19"/>
        <v>0</v>
      </c>
    </row>
    <row r="25" spans="2:31" x14ac:dyDescent="0.25">
      <c r="B25" s="4"/>
      <c r="C25" s="1" t="s">
        <v>78</v>
      </c>
      <c r="D25" s="1" t="s">
        <v>52</v>
      </c>
      <c r="E25" s="3"/>
      <c r="F25" s="3"/>
      <c r="G25" s="24"/>
      <c r="H25" s="24"/>
      <c r="J25" s="1" t="s">
        <v>86</v>
      </c>
      <c r="K25" s="4"/>
      <c r="L25" s="4"/>
      <c r="M25" s="4"/>
      <c r="N25" s="4"/>
      <c r="O25" s="4"/>
      <c r="P25" s="33"/>
      <c r="Q25" s="25">
        <v>500</v>
      </c>
      <c r="R25" s="25">
        <v>1</v>
      </c>
      <c r="S25" s="12">
        <f t="shared" si="21"/>
        <v>500</v>
      </c>
      <c r="T25" s="5">
        <v>0</v>
      </c>
      <c r="U25" s="12">
        <f t="shared" si="22"/>
        <v>500</v>
      </c>
      <c r="V25" s="25" t="s">
        <v>10</v>
      </c>
      <c r="W25" s="11">
        <f>IFERROR(VLOOKUP(V25,Curr!$B$2:$C$13,2,FALSE),0)</f>
        <v>11.2</v>
      </c>
      <c r="X25" s="12">
        <f t="shared" si="23"/>
        <v>5600</v>
      </c>
      <c r="Y25" s="26">
        <f>Q25/0.85</f>
        <v>588.23529411764707</v>
      </c>
      <c r="Z25" s="12">
        <f t="shared" si="16"/>
        <v>588.23529411764707</v>
      </c>
      <c r="AA25" s="4" t="s">
        <v>10</v>
      </c>
      <c r="AB25" s="11">
        <f>IFERROR(VLOOKUP(AA25,Curr!$B$2:$C$13,2,FALSE),0)</f>
        <v>11.2</v>
      </c>
      <c r="AC25" s="12">
        <f t="shared" si="17"/>
        <v>6588.2352941176468</v>
      </c>
      <c r="AD25" s="12">
        <f t="shared" si="18"/>
        <v>988.23529411764684</v>
      </c>
      <c r="AE25" s="13">
        <f t="shared" si="19"/>
        <v>0.14999999999999997</v>
      </c>
    </row>
    <row r="26" spans="2:31" x14ac:dyDescent="0.25">
      <c r="B26" s="4"/>
      <c r="C26" s="1" t="s">
        <v>78</v>
      </c>
      <c r="D26" s="1" t="s">
        <v>53</v>
      </c>
      <c r="E26" s="3"/>
      <c r="F26" s="3"/>
      <c r="G26" s="24"/>
      <c r="H26" s="24"/>
      <c r="J26" s="1" t="s">
        <v>85</v>
      </c>
      <c r="K26" s="4"/>
      <c r="L26" s="4"/>
      <c r="M26" s="4"/>
      <c r="N26" s="4"/>
      <c r="O26" s="4"/>
      <c r="P26" s="33"/>
      <c r="Q26" s="25">
        <v>0</v>
      </c>
      <c r="R26" s="25">
        <v>0</v>
      </c>
      <c r="S26" s="12">
        <f t="shared" si="21"/>
        <v>0</v>
      </c>
      <c r="T26" s="5">
        <v>0</v>
      </c>
      <c r="U26" s="12">
        <f t="shared" si="22"/>
        <v>0</v>
      </c>
      <c r="V26" s="25" t="s">
        <v>10</v>
      </c>
      <c r="W26" s="11">
        <f>IFERROR(VLOOKUP(V26,Curr!$B$2:$C$13,2,FALSE),0)</f>
        <v>11.2</v>
      </c>
      <c r="X26" s="12">
        <f t="shared" si="23"/>
        <v>0</v>
      </c>
      <c r="Y26" s="26">
        <f t="shared" ref="Y26:Y27" si="25">Q26</f>
        <v>0</v>
      </c>
      <c r="Z26" s="12">
        <f t="shared" si="16"/>
        <v>0</v>
      </c>
      <c r="AA26" s="4" t="s">
        <v>10</v>
      </c>
      <c r="AB26" s="11">
        <f>IFERROR(VLOOKUP(AA26,Curr!$B$2:$C$13,2,FALSE),0)</f>
        <v>11.2</v>
      </c>
      <c r="AC26" s="12">
        <f t="shared" si="17"/>
        <v>0</v>
      </c>
      <c r="AD26" s="12">
        <f t="shared" si="18"/>
        <v>0</v>
      </c>
      <c r="AE26" s="13">
        <f t="shared" si="19"/>
        <v>0</v>
      </c>
    </row>
    <row r="27" spans="2:31" x14ac:dyDescent="0.25">
      <c r="B27" s="4"/>
      <c r="C27" s="1" t="s">
        <v>78</v>
      </c>
      <c r="D27" s="1" t="s">
        <v>73</v>
      </c>
      <c r="E27" s="3"/>
      <c r="F27" s="3"/>
      <c r="G27" s="24"/>
      <c r="H27" s="24"/>
      <c r="J27" s="1" t="s">
        <v>87</v>
      </c>
      <c r="K27" s="4"/>
      <c r="L27" s="4"/>
      <c r="M27" s="4"/>
      <c r="N27" s="4"/>
      <c r="O27" s="4" t="s">
        <v>42</v>
      </c>
      <c r="P27" s="33" t="s">
        <v>88</v>
      </c>
      <c r="Q27" s="25">
        <v>105</v>
      </c>
      <c r="R27" s="25">
        <v>2</v>
      </c>
      <c r="S27" s="12">
        <f t="shared" si="21"/>
        <v>210</v>
      </c>
      <c r="T27" s="5">
        <v>0.2</v>
      </c>
      <c r="U27" s="12">
        <f t="shared" si="22"/>
        <v>168</v>
      </c>
      <c r="V27" s="25" t="s">
        <v>10</v>
      </c>
      <c r="W27" s="11">
        <f>IFERROR(VLOOKUP(V27,Curr!$B$2:$C$13,2,FALSE),0)</f>
        <v>11.2</v>
      </c>
      <c r="X27" s="12">
        <f t="shared" si="23"/>
        <v>1881.6</v>
      </c>
      <c r="Y27" s="26">
        <f t="shared" si="25"/>
        <v>105</v>
      </c>
      <c r="Z27" s="12">
        <f t="shared" si="16"/>
        <v>210</v>
      </c>
      <c r="AA27" s="4" t="s">
        <v>10</v>
      </c>
      <c r="AB27" s="11">
        <f>IFERROR(VLOOKUP(AA27,Curr!$B$2:$C$13,2,FALSE),0)</f>
        <v>11.2</v>
      </c>
      <c r="AC27" s="12">
        <f t="shared" si="17"/>
        <v>2352</v>
      </c>
      <c r="AD27" s="12">
        <f t="shared" si="18"/>
        <v>470.40000000000009</v>
      </c>
      <c r="AE27" s="13">
        <f t="shared" si="19"/>
        <v>0.20000000000000004</v>
      </c>
    </row>
    <row r="28" spans="2:31" x14ac:dyDescent="0.25">
      <c r="B28" s="4"/>
      <c r="E28" s="3"/>
      <c r="F28" s="3"/>
      <c r="G28" s="24"/>
      <c r="H28" s="24"/>
      <c r="K28" s="4"/>
      <c r="L28" s="4"/>
      <c r="M28" s="4"/>
      <c r="N28" s="4"/>
      <c r="O28" s="4"/>
      <c r="P28" s="33"/>
      <c r="Q28" s="25"/>
      <c r="R28" s="25"/>
      <c r="S28" s="12">
        <f t="shared" si="21"/>
        <v>0</v>
      </c>
      <c r="T28" s="5">
        <v>0</v>
      </c>
      <c r="U28" s="12">
        <f t="shared" si="22"/>
        <v>0</v>
      </c>
      <c r="V28" s="25" t="s">
        <v>10</v>
      </c>
      <c r="W28" s="11">
        <f>IFERROR(VLOOKUP(V28,Curr!$B$2:$C$13,2,FALSE),0)</f>
        <v>11.2</v>
      </c>
      <c r="X28" s="12">
        <f t="shared" si="23"/>
        <v>0</v>
      </c>
      <c r="Y28" s="26">
        <f t="shared" si="24"/>
        <v>0</v>
      </c>
      <c r="Z28" s="12">
        <f t="shared" si="16"/>
        <v>0</v>
      </c>
      <c r="AA28" s="4" t="s">
        <v>10</v>
      </c>
      <c r="AB28" s="11">
        <f>IFERROR(VLOOKUP(AA28,Curr!$B$2:$C$13,2,FALSE),0)</f>
        <v>11.2</v>
      </c>
      <c r="AC28" s="12">
        <f t="shared" si="17"/>
        <v>0</v>
      </c>
      <c r="AD28" s="12">
        <f t="shared" si="18"/>
        <v>0</v>
      </c>
      <c r="AE28" s="13">
        <f t="shared" si="19"/>
        <v>0</v>
      </c>
    </row>
    <row r="29" spans="2:31" x14ac:dyDescent="0.25">
      <c r="B29" s="4"/>
      <c r="C29" s="1" t="s">
        <v>80</v>
      </c>
      <c r="D29" s="1" t="s">
        <v>73</v>
      </c>
      <c r="E29" s="3"/>
      <c r="F29" s="3"/>
      <c r="G29" s="24"/>
      <c r="H29" s="24"/>
      <c r="J29" s="1" t="s">
        <v>89</v>
      </c>
      <c r="K29" s="4"/>
      <c r="L29" s="4"/>
      <c r="M29" s="4"/>
      <c r="N29" s="4"/>
      <c r="O29" s="4" t="s">
        <v>42</v>
      </c>
      <c r="P29" s="33" t="s">
        <v>90</v>
      </c>
      <c r="Q29" s="25">
        <v>1695</v>
      </c>
      <c r="R29" s="25">
        <v>2</v>
      </c>
      <c r="S29" s="12">
        <f t="shared" si="21"/>
        <v>3390</v>
      </c>
      <c r="T29" s="5">
        <v>0.2</v>
      </c>
      <c r="U29" s="12">
        <f t="shared" si="22"/>
        <v>2712</v>
      </c>
      <c r="V29" s="25" t="s">
        <v>8</v>
      </c>
      <c r="W29" s="11">
        <f>IFERROR(VLOOKUP(V29,Curr!$B$2:$C$13,2,FALSE),0)</f>
        <v>1</v>
      </c>
      <c r="X29" s="12">
        <f t="shared" si="23"/>
        <v>2712</v>
      </c>
      <c r="Y29" s="26">
        <f>Q29/11.3</f>
        <v>150</v>
      </c>
      <c r="Z29" s="12">
        <f t="shared" si="16"/>
        <v>300</v>
      </c>
      <c r="AA29" s="4" t="s">
        <v>10</v>
      </c>
      <c r="AB29" s="11">
        <f>IFERROR(VLOOKUP(AA29,Curr!$B$2:$C$13,2,FALSE),0)</f>
        <v>11.2</v>
      </c>
      <c r="AC29" s="12">
        <f t="shared" si="17"/>
        <v>3360</v>
      </c>
      <c r="AD29" s="12">
        <f t="shared" si="18"/>
        <v>648</v>
      </c>
      <c r="AE29" s="13">
        <f t="shared" si="19"/>
        <v>0.19285714285714287</v>
      </c>
    </row>
    <row r="30" spans="2:31" x14ac:dyDescent="0.25">
      <c r="B30" s="4"/>
      <c r="C30" s="1" t="s">
        <v>80</v>
      </c>
      <c r="D30" s="1" t="s">
        <v>53</v>
      </c>
      <c r="E30" s="3"/>
      <c r="F30" s="3"/>
      <c r="G30" s="24"/>
      <c r="H30" s="24"/>
      <c r="J30" s="1" t="s">
        <v>85</v>
      </c>
      <c r="K30" s="4"/>
      <c r="L30" s="4"/>
      <c r="M30" s="4"/>
      <c r="N30" s="4"/>
      <c r="O30" s="4"/>
      <c r="P30" s="33"/>
      <c r="Q30" s="25">
        <v>0</v>
      </c>
      <c r="R30" s="25">
        <v>0</v>
      </c>
      <c r="S30" s="12">
        <f t="shared" si="21"/>
        <v>0</v>
      </c>
      <c r="T30" s="5">
        <v>0</v>
      </c>
      <c r="U30" s="12">
        <f t="shared" si="22"/>
        <v>0</v>
      </c>
      <c r="V30" s="25" t="s">
        <v>10</v>
      </c>
      <c r="W30" s="11">
        <f>IFERROR(VLOOKUP(V30,Curr!$B$2:$C$13,2,FALSE),0)</f>
        <v>11.2</v>
      </c>
      <c r="X30" s="12">
        <f t="shared" si="23"/>
        <v>0</v>
      </c>
      <c r="Y30" s="26">
        <f t="shared" si="24"/>
        <v>0</v>
      </c>
      <c r="Z30" s="12">
        <f t="shared" si="16"/>
        <v>0</v>
      </c>
      <c r="AA30" s="4" t="s">
        <v>10</v>
      </c>
      <c r="AB30" s="11">
        <f>IFERROR(VLOOKUP(AA30,Curr!$B$2:$C$13,2,FALSE),0)</f>
        <v>11.2</v>
      </c>
      <c r="AC30" s="12">
        <f t="shared" si="17"/>
        <v>0</v>
      </c>
      <c r="AD30" s="12">
        <f t="shared" si="18"/>
        <v>0</v>
      </c>
      <c r="AE30" s="13">
        <f t="shared" si="19"/>
        <v>0</v>
      </c>
    </row>
    <row r="31" spans="2:31" x14ac:dyDescent="0.25">
      <c r="B31" s="4"/>
      <c r="C31" s="1" t="s">
        <v>80</v>
      </c>
      <c r="D31" s="1" t="s">
        <v>73</v>
      </c>
      <c r="E31" s="3"/>
      <c r="F31" s="3"/>
      <c r="G31" s="24"/>
      <c r="H31" s="24"/>
      <c r="J31" s="1" t="s">
        <v>332</v>
      </c>
      <c r="K31" s="4"/>
      <c r="L31" s="4"/>
      <c r="M31" s="4"/>
      <c r="N31" s="4"/>
      <c r="O31" s="4" t="s">
        <v>42</v>
      </c>
      <c r="P31" s="33" t="s">
        <v>333</v>
      </c>
      <c r="Q31" s="25">
        <v>120</v>
      </c>
      <c r="R31" s="25">
        <v>2</v>
      </c>
      <c r="S31" s="12">
        <f t="shared" si="21"/>
        <v>240</v>
      </c>
      <c r="T31" s="5">
        <v>0.2</v>
      </c>
      <c r="U31" s="12">
        <f t="shared" si="22"/>
        <v>192</v>
      </c>
      <c r="V31" s="25" t="s">
        <v>10</v>
      </c>
      <c r="W31" s="11">
        <f>IFERROR(VLOOKUP(V31,Curr!$B$2:$C$13,2,FALSE),0)</f>
        <v>11.2</v>
      </c>
      <c r="X31" s="12">
        <f t="shared" si="23"/>
        <v>2150.3999999999996</v>
      </c>
      <c r="Y31" s="26">
        <f>Q31</f>
        <v>120</v>
      </c>
      <c r="Z31" s="12">
        <f t="shared" si="16"/>
        <v>240</v>
      </c>
      <c r="AA31" s="4" t="s">
        <v>10</v>
      </c>
      <c r="AB31" s="11">
        <f>IFERROR(VLOOKUP(AA31,Curr!$B$2:$C$13,2,FALSE),0)</f>
        <v>11.2</v>
      </c>
      <c r="AC31" s="12">
        <f t="shared" si="17"/>
        <v>2688</v>
      </c>
      <c r="AD31" s="12">
        <f t="shared" si="18"/>
        <v>537.60000000000036</v>
      </c>
      <c r="AE31" s="13">
        <f t="shared" si="19"/>
        <v>0.20000000000000012</v>
      </c>
    </row>
    <row r="32" spans="2:31" x14ac:dyDescent="0.25">
      <c r="B32" s="4"/>
      <c r="E32" s="3"/>
      <c r="F32" s="3"/>
      <c r="G32" s="24"/>
      <c r="H32" s="24"/>
      <c r="K32" s="4"/>
      <c r="L32" s="4"/>
      <c r="M32" s="4"/>
      <c r="N32" s="4"/>
      <c r="O32" s="4"/>
      <c r="P32" s="27"/>
      <c r="Q32" s="25"/>
      <c r="R32" s="25"/>
      <c r="S32" s="12">
        <f t="shared" si="21"/>
        <v>0</v>
      </c>
      <c r="T32" s="5">
        <v>0</v>
      </c>
      <c r="U32" s="12">
        <f t="shared" si="22"/>
        <v>0</v>
      </c>
      <c r="V32" s="25" t="s">
        <v>10</v>
      </c>
      <c r="W32" s="11">
        <f>IFERROR(VLOOKUP(V32,Curr!$B$2:$C$13,2,FALSE),0)</f>
        <v>11.2</v>
      </c>
      <c r="X32" s="12">
        <f t="shared" si="23"/>
        <v>0</v>
      </c>
      <c r="Y32" s="26">
        <f t="shared" si="24"/>
        <v>0</v>
      </c>
      <c r="Z32" s="12">
        <f t="shared" si="16"/>
        <v>0</v>
      </c>
      <c r="AA32" s="4" t="s">
        <v>10</v>
      </c>
      <c r="AB32" s="11">
        <f>IFERROR(VLOOKUP(AA32,Curr!$B$2:$C$13,2,FALSE),0)</f>
        <v>11.2</v>
      </c>
      <c r="AC32" s="12">
        <f t="shared" si="17"/>
        <v>0</v>
      </c>
      <c r="AD32" s="12">
        <f t="shared" si="18"/>
        <v>0</v>
      </c>
      <c r="AE32" s="13">
        <f t="shared" si="19"/>
        <v>0</v>
      </c>
    </row>
    <row r="33" spans="2:31" x14ac:dyDescent="0.25">
      <c r="B33" s="4"/>
      <c r="C33" s="1" t="s">
        <v>81</v>
      </c>
      <c r="D33" s="1" t="s">
        <v>50</v>
      </c>
      <c r="E33" s="3"/>
      <c r="F33" s="3"/>
      <c r="G33" s="24"/>
      <c r="H33" s="24"/>
      <c r="J33" s="1" t="s">
        <v>91</v>
      </c>
      <c r="K33" s="4"/>
      <c r="L33" s="4"/>
      <c r="M33" s="4"/>
      <c r="N33" s="4"/>
      <c r="O33" s="4"/>
      <c r="P33" s="33"/>
      <c r="Q33" s="25">
        <v>0</v>
      </c>
      <c r="R33" s="25">
        <v>0</v>
      </c>
      <c r="S33" s="12">
        <f t="shared" si="21"/>
        <v>0</v>
      </c>
      <c r="T33" s="5">
        <v>0</v>
      </c>
      <c r="U33" s="12">
        <f t="shared" si="22"/>
        <v>0</v>
      </c>
      <c r="V33" s="25" t="s">
        <v>8</v>
      </c>
      <c r="W33" s="11">
        <f>IFERROR(VLOOKUP(V33,Curr!$B$2:$C$13,2,FALSE),0)</f>
        <v>1</v>
      </c>
      <c r="X33" s="12">
        <f t="shared" si="23"/>
        <v>0</v>
      </c>
      <c r="Y33" s="26">
        <f>Q33/11.3/0.8</f>
        <v>0</v>
      </c>
      <c r="Z33" s="12">
        <f t="shared" si="16"/>
        <v>0</v>
      </c>
      <c r="AA33" s="4" t="s">
        <v>10</v>
      </c>
      <c r="AB33" s="11">
        <f>IFERROR(VLOOKUP(AA33,Curr!$B$2:$C$13,2,FALSE),0)</f>
        <v>11.2</v>
      </c>
      <c r="AC33" s="12">
        <f t="shared" si="17"/>
        <v>0</v>
      </c>
      <c r="AD33" s="12">
        <f t="shared" si="18"/>
        <v>0</v>
      </c>
      <c r="AE33" s="13">
        <f t="shared" si="19"/>
        <v>0</v>
      </c>
    </row>
    <row r="34" spans="2:31" x14ac:dyDescent="0.25">
      <c r="B34" s="4"/>
      <c r="C34" s="1" t="s">
        <v>81</v>
      </c>
      <c r="D34" s="1" t="s">
        <v>82</v>
      </c>
      <c r="E34" s="3"/>
      <c r="F34" s="3"/>
      <c r="G34" s="24"/>
      <c r="H34" s="24"/>
      <c r="J34" s="1" t="s">
        <v>92</v>
      </c>
      <c r="K34" s="4"/>
      <c r="L34" s="4"/>
      <c r="M34" s="4"/>
      <c r="N34" s="4"/>
      <c r="O34" s="4"/>
      <c r="P34" s="33"/>
      <c r="Q34" s="25">
        <v>0</v>
      </c>
      <c r="R34" s="25">
        <v>0</v>
      </c>
      <c r="S34" s="12">
        <f t="shared" si="21"/>
        <v>0</v>
      </c>
      <c r="T34" s="5">
        <v>0</v>
      </c>
      <c r="U34" s="12">
        <f t="shared" si="22"/>
        <v>0</v>
      </c>
      <c r="V34" s="25" t="s">
        <v>10</v>
      </c>
      <c r="W34" s="11">
        <f>IFERROR(VLOOKUP(V34,Curr!$B$2:$C$13,2,FALSE),0)</f>
        <v>11.2</v>
      </c>
      <c r="X34" s="12">
        <f t="shared" si="23"/>
        <v>0</v>
      </c>
      <c r="Y34" s="26">
        <f t="shared" si="24"/>
        <v>0</v>
      </c>
      <c r="Z34" s="12">
        <f t="shared" si="16"/>
        <v>0</v>
      </c>
      <c r="AA34" s="4" t="s">
        <v>10</v>
      </c>
      <c r="AB34" s="11">
        <f>IFERROR(VLOOKUP(AA34,Curr!$B$2:$C$13,2,FALSE),0)</f>
        <v>11.2</v>
      </c>
      <c r="AC34" s="12">
        <f t="shared" si="17"/>
        <v>0</v>
      </c>
      <c r="AD34" s="12">
        <f t="shared" si="18"/>
        <v>0</v>
      </c>
      <c r="AE34" s="13">
        <f t="shared" si="19"/>
        <v>0</v>
      </c>
    </row>
    <row r="35" spans="2:31" x14ac:dyDescent="0.25">
      <c r="B35" s="4"/>
      <c r="E35" s="3"/>
      <c r="F35" s="3"/>
      <c r="G35" s="24"/>
      <c r="H35" s="24"/>
      <c r="K35" s="4"/>
      <c r="L35" s="4"/>
      <c r="M35" s="4"/>
      <c r="N35" s="4"/>
      <c r="O35" s="4"/>
      <c r="P35" s="27"/>
      <c r="Q35" s="25"/>
      <c r="R35" s="25"/>
      <c r="S35" s="12">
        <f t="shared" si="21"/>
        <v>0</v>
      </c>
      <c r="T35" s="5">
        <v>0</v>
      </c>
      <c r="U35" s="12">
        <f t="shared" si="22"/>
        <v>0</v>
      </c>
      <c r="V35" s="25" t="s">
        <v>10</v>
      </c>
      <c r="W35" s="11">
        <f>IFERROR(VLOOKUP(V35,Curr!$B$2:$C$13,2,FALSE),0)</f>
        <v>11.2</v>
      </c>
      <c r="X35" s="12">
        <f t="shared" si="23"/>
        <v>0</v>
      </c>
      <c r="Y35" s="26">
        <f t="shared" si="24"/>
        <v>0</v>
      </c>
      <c r="Z35" s="12">
        <f t="shared" si="16"/>
        <v>0</v>
      </c>
      <c r="AA35" s="4" t="s">
        <v>10</v>
      </c>
      <c r="AB35" s="11">
        <f>IFERROR(VLOOKUP(AA35,Curr!$B$2:$C$13,2,FALSE),0)</f>
        <v>11.2</v>
      </c>
      <c r="AC35" s="12">
        <f t="shared" si="17"/>
        <v>0</v>
      </c>
      <c r="AD35" s="12">
        <f t="shared" si="18"/>
        <v>0</v>
      </c>
      <c r="AE35" s="13">
        <f t="shared" si="19"/>
        <v>0</v>
      </c>
    </row>
    <row r="36" spans="2:31" x14ac:dyDescent="0.25">
      <c r="B36" s="4"/>
      <c r="E36" s="3"/>
      <c r="F36" s="3"/>
      <c r="G36" s="24"/>
      <c r="H36" s="24"/>
      <c r="K36" s="4"/>
      <c r="L36" s="4"/>
      <c r="M36" s="4"/>
      <c r="N36" s="4"/>
      <c r="O36" s="4"/>
      <c r="P36" s="33"/>
      <c r="Q36" s="25"/>
      <c r="R36" s="25"/>
      <c r="S36" s="12">
        <f t="shared" si="21"/>
        <v>0</v>
      </c>
      <c r="T36" s="5">
        <v>0</v>
      </c>
      <c r="U36" s="12">
        <f t="shared" si="22"/>
        <v>0</v>
      </c>
      <c r="V36" s="25" t="s">
        <v>10</v>
      </c>
      <c r="W36" s="11">
        <f>IFERROR(VLOOKUP(V36,Curr!$B$2:$C$13,2,FALSE),0)</f>
        <v>11.2</v>
      </c>
      <c r="X36" s="12">
        <f t="shared" si="23"/>
        <v>0</v>
      </c>
      <c r="Y36" s="26">
        <f t="shared" si="24"/>
        <v>0</v>
      </c>
      <c r="Z36" s="12">
        <f t="shared" si="16"/>
        <v>0</v>
      </c>
      <c r="AA36" s="4" t="s">
        <v>10</v>
      </c>
      <c r="AB36" s="11">
        <f>IFERROR(VLOOKUP(AA36,Curr!$B$2:$C$13,2,FALSE),0)</f>
        <v>11.2</v>
      </c>
      <c r="AC36" s="12">
        <f t="shared" si="17"/>
        <v>0</v>
      </c>
      <c r="AD36" s="12">
        <f t="shared" si="18"/>
        <v>0</v>
      </c>
      <c r="AE36" s="13">
        <f t="shared" si="19"/>
        <v>0</v>
      </c>
    </row>
    <row r="37" spans="2:31" x14ac:dyDescent="0.25">
      <c r="B37" s="4"/>
      <c r="C37" s="1" t="s">
        <v>55</v>
      </c>
      <c r="D37" s="1" t="s">
        <v>93</v>
      </c>
      <c r="E37" s="3"/>
      <c r="F37" s="3"/>
      <c r="G37" s="24"/>
      <c r="H37" s="24"/>
      <c r="J37" s="1" t="s">
        <v>95</v>
      </c>
      <c r="K37" s="4"/>
      <c r="L37" s="4"/>
      <c r="M37" s="4"/>
      <c r="N37" s="4"/>
      <c r="O37" s="4"/>
      <c r="P37" s="33"/>
      <c r="Q37" s="25">
        <v>1750</v>
      </c>
      <c r="R37" s="25">
        <v>0</v>
      </c>
      <c r="S37" s="12">
        <f t="shared" si="21"/>
        <v>0</v>
      </c>
      <c r="T37" s="5">
        <v>0</v>
      </c>
      <c r="U37" s="12">
        <f t="shared" si="22"/>
        <v>0</v>
      </c>
      <c r="V37" s="25" t="s">
        <v>8</v>
      </c>
      <c r="W37" s="11">
        <f>IFERROR(VLOOKUP(V37,Curr!$B$2:$C$13,2,FALSE),0)</f>
        <v>1</v>
      </c>
      <c r="X37" s="12">
        <f t="shared" si="23"/>
        <v>0</v>
      </c>
      <c r="Y37" s="26">
        <f>Q37/11.3/0.8</f>
        <v>193.58407079646017</v>
      </c>
      <c r="Z37" s="12">
        <f t="shared" si="16"/>
        <v>0</v>
      </c>
      <c r="AA37" s="4" t="s">
        <v>10</v>
      </c>
      <c r="AB37" s="11">
        <f>IFERROR(VLOOKUP(AA37,Curr!$B$2:$C$13,2,FALSE),0)</f>
        <v>11.2</v>
      </c>
      <c r="AC37" s="12">
        <f t="shared" si="17"/>
        <v>0</v>
      </c>
      <c r="AD37" s="12">
        <f t="shared" si="18"/>
        <v>0</v>
      </c>
      <c r="AE37" s="13">
        <f t="shared" si="19"/>
        <v>0</v>
      </c>
    </row>
    <row r="38" spans="2:31" x14ac:dyDescent="0.25">
      <c r="B38" s="4"/>
      <c r="C38" s="1" t="s">
        <v>63</v>
      </c>
      <c r="D38" s="1" t="s">
        <v>93</v>
      </c>
      <c r="E38" s="3"/>
      <c r="F38" s="3"/>
      <c r="G38" s="24"/>
      <c r="H38" s="24"/>
      <c r="J38" s="1" t="s">
        <v>96</v>
      </c>
      <c r="K38" s="4"/>
      <c r="L38" s="4"/>
      <c r="M38" s="4"/>
      <c r="N38" s="4"/>
      <c r="O38" s="4"/>
      <c r="P38" s="27"/>
      <c r="Q38" s="25">
        <v>1290</v>
      </c>
      <c r="R38" s="25">
        <v>0</v>
      </c>
      <c r="S38" s="12">
        <f t="shared" si="21"/>
        <v>0</v>
      </c>
      <c r="T38" s="5">
        <v>0.15</v>
      </c>
      <c r="U38" s="12">
        <f t="shared" si="22"/>
        <v>0</v>
      </c>
      <c r="V38" s="25" t="s">
        <v>8</v>
      </c>
      <c r="W38" s="11">
        <f>IFERROR(VLOOKUP(V38,Curr!$B$2:$C$13,2,FALSE),0)</f>
        <v>1</v>
      </c>
      <c r="X38" s="12">
        <f t="shared" si="23"/>
        <v>0</v>
      </c>
      <c r="Y38" s="26">
        <f>Q38/11.3/0.98</f>
        <v>116.48907350550839</v>
      </c>
      <c r="Z38" s="12">
        <f t="shared" si="16"/>
        <v>0</v>
      </c>
      <c r="AA38" s="4" t="s">
        <v>10</v>
      </c>
      <c r="AB38" s="11">
        <f>IFERROR(VLOOKUP(AA38,Curr!$B$2:$C$13,2,FALSE),0)</f>
        <v>11.2</v>
      </c>
      <c r="AC38" s="12">
        <f t="shared" si="17"/>
        <v>0</v>
      </c>
      <c r="AD38" s="12">
        <f t="shared" si="18"/>
        <v>0</v>
      </c>
      <c r="AE38" s="13">
        <f t="shared" si="19"/>
        <v>0</v>
      </c>
    </row>
    <row r="39" spans="2:31" x14ac:dyDescent="0.25">
      <c r="B39" s="4"/>
      <c r="C39" s="1" t="s">
        <v>78</v>
      </c>
      <c r="D39" s="1" t="s">
        <v>93</v>
      </c>
      <c r="E39" s="3"/>
      <c r="F39" s="3"/>
      <c r="G39" s="24"/>
      <c r="H39" s="24"/>
      <c r="J39" s="1" t="s">
        <v>97</v>
      </c>
      <c r="K39" s="4"/>
      <c r="L39" s="4"/>
      <c r="M39" s="4"/>
      <c r="N39" s="4"/>
      <c r="O39" s="4"/>
      <c r="P39" s="33"/>
      <c r="Q39" s="25">
        <v>1690</v>
      </c>
      <c r="R39" s="25">
        <v>0</v>
      </c>
      <c r="S39" s="12">
        <f t="shared" si="21"/>
        <v>0</v>
      </c>
      <c r="T39" s="5">
        <v>0.15</v>
      </c>
      <c r="U39" s="12">
        <f t="shared" si="22"/>
        <v>0</v>
      </c>
      <c r="V39" s="25" t="s">
        <v>8</v>
      </c>
      <c r="W39" s="11">
        <f>IFERROR(VLOOKUP(V39,Curr!$B$2:$C$13,2,FALSE),0)</f>
        <v>1</v>
      </c>
      <c r="X39" s="12">
        <f t="shared" si="23"/>
        <v>0</v>
      </c>
      <c r="Y39" s="26">
        <f>Q39/11.3/0.98</f>
        <v>152.60971645295285</v>
      </c>
      <c r="Z39" s="12">
        <f t="shared" si="16"/>
        <v>0</v>
      </c>
      <c r="AA39" s="4" t="s">
        <v>10</v>
      </c>
      <c r="AB39" s="11">
        <f>IFERROR(VLOOKUP(AA39,Curr!$B$2:$C$13,2,FALSE),0)</f>
        <v>11.2</v>
      </c>
      <c r="AC39" s="12">
        <f t="shared" si="17"/>
        <v>0</v>
      </c>
      <c r="AD39" s="12">
        <f t="shared" si="18"/>
        <v>0</v>
      </c>
      <c r="AE39" s="13">
        <f t="shared" si="19"/>
        <v>0</v>
      </c>
    </row>
    <row r="40" spans="2:31" x14ac:dyDescent="0.25">
      <c r="B40" s="4"/>
      <c r="C40" s="1" t="s">
        <v>78</v>
      </c>
      <c r="D40" s="1" t="s">
        <v>93</v>
      </c>
      <c r="E40" s="3"/>
      <c r="F40" s="3"/>
      <c r="G40" s="24"/>
      <c r="H40" s="24"/>
      <c r="J40" s="1" t="s">
        <v>99</v>
      </c>
      <c r="K40" s="4"/>
      <c r="L40" s="4"/>
      <c r="M40" s="4"/>
      <c r="N40" s="4"/>
      <c r="O40" s="4"/>
      <c r="P40" s="27"/>
      <c r="Q40" s="25">
        <v>900</v>
      </c>
      <c r="R40" s="25">
        <v>0</v>
      </c>
      <c r="S40" s="12">
        <f t="shared" si="21"/>
        <v>0</v>
      </c>
      <c r="T40" s="5">
        <v>0</v>
      </c>
      <c r="U40" s="12">
        <f t="shared" si="22"/>
        <v>0</v>
      </c>
      <c r="V40" s="25" t="s">
        <v>8</v>
      </c>
      <c r="W40" s="11">
        <f>IFERROR(VLOOKUP(V40,Curr!$B$2:$C$13,2,FALSE),0)</f>
        <v>1</v>
      </c>
      <c r="X40" s="12">
        <f t="shared" si="23"/>
        <v>0</v>
      </c>
      <c r="Y40" s="26">
        <f t="shared" ref="Y40:Y41" si="26">Q40/11.3/0.8</f>
        <v>99.55752212389379</v>
      </c>
      <c r="Z40" s="12">
        <f t="shared" si="16"/>
        <v>0</v>
      </c>
      <c r="AA40" s="4" t="s">
        <v>10</v>
      </c>
      <c r="AB40" s="11">
        <f>IFERROR(VLOOKUP(AA40,Curr!$B$2:$C$13,2,FALSE),0)</f>
        <v>11.2</v>
      </c>
      <c r="AC40" s="12">
        <f t="shared" si="17"/>
        <v>0</v>
      </c>
      <c r="AD40" s="12">
        <f t="shared" si="18"/>
        <v>0</v>
      </c>
      <c r="AE40" s="13">
        <f t="shared" si="19"/>
        <v>0</v>
      </c>
    </row>
    <row r="41" spans="2:31" x14ac:dyDescent="0.25">
      <c r="B41" s="4"/>
      <c r="C41" s="1" t="s">
        <v>81</v>
      </c>
      <c r="D41" s="1" t="s">
        <v>93</v>
      </c>
      <c r="E41" s="3"/>
      <c r="F41" s="3"/>
      <c r="G41" s="24"/>
      <c r="H41" s="24"/>
      <c r="J41" s="1" t="s">
        <v>98</v>
      </c>
      <c r="K41" s="4"/>
      <c r="L41" s="4"/>
      <c r="M41" s="4"/>
      <c r="N41" s="4"/>
      <c r="O41" s="4"/>
      <c r="P41" s="33"/>
      <c r="Q41" s="25">
        <v>900</v>
      </c>
      <c r="R41" s="25">
        <v>0</v>
      </c>
      <c r="S41" s="12">
        <f t="shared" si="21"/>
        <v>0</v>
      </c>
      <c r="T41" s="5">
        <v>0</v>
      </c>
      <c r="U41" s="12">
        <f t="shared" si="22"/>
        <v>0</v>
      </c>
      <c r="V41" s="25" t="s">
        <v>8</v>
      </c>
      <c r="W41" s="11">
        <f>IFERROR(VLOOKUP(V41,Curr!$B$2:$C$13,2,FALSE),0)</f>
        <v>1</v>
      </c>
      <c r="X41" s="12">
        <f t="shared" si="23"/>
        <v>0</v>
      </c>
      <c r="Y41" s="26">
        <f t="shared" si="26"/>
        <v>99.55752212389379</v>
      </c>
      <c r="Z41" s="12">
        <f t="shared" si="16"/>
        <v>0</v>
      </c>
      <c r="AA41" s="4" t="s">
        <v>10</v>
      </c>
      <c r="AB41" s="11">
        <f>IFERROR(VLOOKUP(AA41,Curr!$B$2:$C$13,2,FALSE),0)</f>
        <v>11.2</v>
      </c>
      <c r="AC41" s="12">
        <f t="shared" si="17"/>
        <v>0</v>
      </c>
      <c r="AD41" s="12">
        <f t="shared" si="18"/>
        <v>0</v>
      </c>
      <c r="AE41" s="13">
        <f t="shared" si="19"/>
        <v>0</v>
      </c>
    </row>
    <row r="42" spans="2:31" x14ac:dyDescent="0.25">
      <c r="B42" s="4"/>
      <c r="E42" s="3"/>
      <c r="F42" s="3"/>
      <c r="G42" s="24"/>
      <c r="H42" s="24"/>
      <c r="K42" s="4"/>
      <c r="L42" s="4"/>
      <c r="M42" s="4"/>
      <c r="N42" s="4"/>
      <c r="O42" s="4"/>
      <c r="P42" s="27"/>
      <c r="Q42" s="25"/>
      <c r="R42" s="25"/>
      <c r="S42" s="12">
        <f t="shared" si="21"/>
        <v>0</v>
      </c>
      <c r="T42" s="5">
        <v>0</v>
      </c>
      <c r="U42" s="12">
        <f t="shared" si="22"/>
        <v>0</v>
      </c>
      <c r="V42" s="25" t="s">
        <v>10</v>
      </c>
      <c r="W42" s="11">
        <f>IFERROR(VLOOKUP(V42,Curr!$B$2:$C$13,2,FALSE),0)</f>
        <v>11.2</v>
      </c>
      <c r="X42" s="12">
        <f t="shared" si="23"/>
        <v>0</v>
      </c>
      <c r="Y42" s="26">
        <f t="shared" si="24"/>
        <v>0</v>
      </c>
      <c r="Z42" s="12">
        <f t="shared" si="16"/>
        <v>0</v>
      </c>
      <c r="AA42" s="4" t="s">
        <v>10</v>
      </c>
      <c r="AB42" s="11">
        <f>IFERROR(VLOOKUP(AA42,Curr!$B$2:$C$13,2,FALSE),0)</f>
        <v>11.2</v>
      </c>
      <c r="AC42" s="12">
        <f t="shared" si="17"/>
        <v>0</v>
      </c>
      <c r="AD42" s="12">
        <f t="shared" si="18"/>
        <v>0</v>
      </c>
      <c r="AE42" s="13">
        <f t="shared" si="19"/>
        <v>0</v>
      </c>
    </row>
    <row r="43" spans="2:31" x14ac:dyDescent="0.25">
      <c r="B43" s="4"/>
      <c r="E43" s="3"/>
      <c r="F43" s="3"/>
      <c r="G43" s="24"/>
      <c r="H43" s="24"/>
      <c r="K43" s="4"/>
      <c r="L43" s="4"/>
      <c r="M43" s="4"/>
      <c r="N43" s="4"/>
      <c r="O43" s="4"/>
      <c r="P43" s="27"/>
      <c r="Q43" s="25"/>
      <c r="R43" s="25"/>
      <c r="S43" s="12">
        <f t="shared" si="21"/>
        <v>0</v>
      </c>
      <c r="T43" s="5">
        <v>0</v>
      </c>
      <c r="U43" s="12">
        <f t="shared" si="22"/>
        <v>0</v>
      </c>
      <c r="V43" s="25" t="s">
        <v>10</v>
      </c>
      <c r="W43" s="11">
        <f>IFERROR(VLOOKUP(V43,Curr!$B$2:$C$13,2,FALSE),0)</f>
        <v>11.2</v>
      </c>
      <c r="X43" s="12">
        <f t="shared" si="23"/>
        <v>0</v>
      </c>
      <c r="Y43" s="26">
        <f t="shared" si="24"/>
        <v>0</v>
      </c>
      <c r="Z43" s="12">
        <f t="shared" si="16"/>
        <v>0</v>
      </c>
      <c r="AA43" s="4" t="s">
        <v>10</v>
      </c>
      <c r="AB43" s="11">
        <f>IFERROR(VLOOKUP(AA43,Curr!$B$2:$C$13,2,FALSE),0)</f>
        <v>11.2</v>
      </c>
      <c r="AC43" s="12">
        <f t="shared" si="17"/>
        <v>0</v>
      </c>
      <c r="AD43" s="12">
        <f t="shared" si="18"/>
        <v>0</v>
      </c>
      <c r="AE43" s="13">
        <f t="shared" si="19"/>
        <v>0</v>
      </c>
    </row>
    <row r="44" spans="2:31" x14ac:dyDescent="0.25">
      <c r="B44" s="4"/>
      <c r="E44" s="3"/>
      <c r="F44" s="3"/>
      <c r="G44" s="24"/>
      <c r="H44" s="24"/>
      <c r="K44" s="4"/>
      <c r="L44" s="4"/>
      <c r="M44" s="4"/>
      <c r="N44" s="4"/>
      <c r="O44" s="4"/>
      <c r="P44" s="27"/>
      <c r="Q44" s="25">
        <v>0</v>
      </c>
      <c r="R44" s="25">
        <v>0</v>
      </c>
      <c r="S44" s="12">
        <f t="shared" si="21"/>
        <v>0</v>
      </c>
      <c r="T44" s="5">
        <v>0</v>
      </c>
      <c r="U44" s="12">
        <f t="shared" si="22"/>
        <v>0</v>
      </c>
      <c r="V44" s="25" t="s">
        <v>10</v>
      </c>
      <c r="W44" s="11">
        <f>IFERROR(VLOOKUP(V44,Curr!$B$2:$C$13,2,FALSE),0)</f>
        <v>11.2</v>
      </c>
      <c r="X44" s="12">
        <f t="shared" si="23"/>
        <v>0</v>
      </c>
      <c r="Y44" s="26">
        <f t="shared" si="24"/>
        <v>0</v>
      </c>
      <c r="Z44" s="12">
        <f t="shared" si="16"/>
        <v>0</v>
      </c>
      <c r="AA44" s="4" t="s">
        <v>10</v>
      </c>
      <c r="AB44" s="11">
        <f>IFERROR(VLOOKUP(AA44,Curr!$B$2:$C$13,2,FALSE),0)</f>
        <v>11.2</v>
      </c>
      <c r="AC44" s="12">
        <f t="shared" si="17"/>
        <v>0</v>
      </c>
      <c r="AD44" s="12">
        <f t="shared" si="18"/>
        <v>0</v>
      </c>
      <c r="AE44" s="13">
        <f t="shared" si="19"/>
        <v>0</v>
      </c>
    </row>
    <row r="45" spans="2:31" x14ac:dyDescent="0.25">
      <c r="B45" s="4"/>
      <c r="C45" s="1" t="s">
        <v>63</v>
      </c>
      <c r="D45" s="1" t="s">
        <v>94</v>
      </c>
      <c r="E45" s="3"/>
      <c r="F45" s="3"/>
      <c r="G45" s="24"/>
      <c r="H45" s="24"/>
      <c r="J45" s="1" t="s">
        <v>101</v>
      </c>
      <c r="K45" s="4"/>
      <c r="L45" s="4"/>
      <c r="M45" s="4"/>
      <c r="N45" s="4"/>
      <c r="O45" s="4" t="s">
        <v>42</v>
      </c>
      <c r="P45" s="33" t="s">
        <v>100</v>
      </c>
      <c r="Q45" s="25">
        <v>3250</v>
      </c>
      <c r="R45" s="25">
        <v>0</v>
      </c>
      <c r="S45" s="12">
        <f t="shared" si="21"/>
        <v>0</v>
      </c>
      <c r="T45" s="5">
        <v>0.08</v>
      </c>
      <c r="U45" s="12">
        <f t="shared" si="22"/>
        <v>0</v>
      </c>
      <c r="V45" s="25" t="s">
        <v>8</v>
      </c>
      <c r="W45" s="11">
        <f>IFERROR(VLOOKUP(V45,Curr!$B$2:$C$13,2,FALSE),0)</f>
        <v>1</v>
      </c>
      <c r="X45" s="12">
        <f t="shared" si="23"/>
        <v>0</v>
      </c>
      <c r="Y45" s="26">
        <f>Q45/11.3/0.9</f>
        <v>319.56735496558503</v>
      </c>
      <c r="Z45" s="12">
        <f t="shared" si="16"/>
        <v>0</v>
      </c>
      <c r="AA45" s="4" t="s">
        <v>10</v>
      </c>
      <c r="AB45" s="11">
        <f>IFERROR(VLOOKUP(AA45,Curr!$B$2:$C$13,2,FALSE),0)</f>
        <v>11.2</v>
      </c>
      <c r="AC45" s="12">
        <f t="shared" si="17"/>
        <v>0</v>
      </c>
      <c r="AD45" s="12">
        <f t="shared" si="18"/>
        <v>0</v>
      </c>
      <c r="AE45" s="13">
        <f t="shared" si="19"/>
        <v>0</v>
      </c>
    </row>
    <row r="46" spans="2:31" x14ac:dyDescent="0.25">
      <c r="B46" s="4"/>
      <c r="C46" s="1" t="s">
        <v>63</v>
      </c>
      <c r="D46" s="1" t="s">
        <v>94</v>
      </c>
      <c r="E46" s="3"/>
      <c r="F46" s="3"/>
      <c r="G46" s="24"/>
      <c r="H46" s="24"/>
      <c r="J46" s="1" t="s">
        <v>105</v>
      </c>
      <c r="K46" s="4"/>
      <c r="L46" s="4"/>
      <c r="M46" s="4"/>
      <c r="N46" s="4"/>
      <c r="O46" s="4"/>
      <c r="P46" s="33"/>
      <c r="Q46" s="25">
        <v>450</v>
      </c>
      <c r="R46" s="25">
        <v>0</v>
      </c>
      <c r="S46" s="12">
        <f t="shared" si="21"/>
        <v>0</v>
      </c>
      <c r="T46" s="5">
        <v>0</v>
      </c>
      <c r="U46" s="12">
        <f t="shared" si="22"/>
        <v>0</v>
      </c>
      <c r="V46" s="25" t="s">
        <v>8</v>
      </c>
      <c r="W46" s="11">
        <f>IFERROR(VLOOKUP(V46,Curr!$B$2:$C$13,2,FALSE),0)</f>
        <v>1</v>
      </c>
      <c r="X46" s="12">
        <f t="shared" si="23"/>
        <v>0</v>
      </c>
      <c r="Y46" s="26">
        <f>Q46/11.3/0.8</f>
        <v>49.778761061946895</v>
      </c>
      <c r="Z46" s="12">
        <f t="shared" si="16"/>
        <v>0</v>
      </c>
      <c r="AA46" s="4" t="s">
        <v>10</v>
      </c>
      <c r="AB46" s="11">
        <f>IFERROR(VLOOKUP(AA46,Curr!$B$2:$C$13,2,FALSE),0)</f>
        <v>11.2</v>
      </c>
      <c r="AC46" s="12">
        <f t="shared" si="17"/>
        <v>0</v>
      </c>
      <c r="AD46" s="12">
        <f t="shared" si="18"/>
        <v>0</v>
      </c>
      <c r="AE46" s="13">
        <f t="shared" si="19"/>
        <v>0</v>
      </c>
    </row>
    <row r="47" spans="2:31" x14ac:dyDescent="0.25">
      <c r="B47" s="4"/>
      <c r="C47" s="1" t="s">
        <v>69</v>
      </c>
      <c r="D47" s="1" t="s">
        <v>94</v>
      </c>
      <c r="E47" s="3"/>
      <c r="F47" s="3"/>
      <c r="G47" s="24"/>
      <c r="H47" s="24"/>
      <c r="J47" s="1" t="s">
        <v>106</v>
      </c>
      <c r="K47" s="4"/>
      <c r="L47" s="4"/>
      <c r="M47" s="4"/>
      <c r="N47" s="4"/>
      <c r="O47" s="4" t="s">
        <v>42</v>
      </c>
      <c r="P47" s="33" t="s">
        <v>107</v>
      </c>
      <c r="Q47" s="25">
        <v>71</v>
      </c>
      <c r="R47" s="25">
        <v>0</v>
      </c>
      <c r="S47" s="12">
        <f t="shared" si="21"/>
        <v>0</v>
      </c>
      <c r="T47" s="5">
        <v>0.2</v>
      </c>
      <c r="U47" s="12">
        <f t="shared" si="22"/>
        <v>0</v>
      </c>
      <c r="V47" s="25" t="s">
        <v>10</v>
      </c>
      <c r="W47" s="11">
        <f>IFERROR(VLOOKUP(V47,Curr!$B$2:$C$13,2,FALSE),0)</f>
        <v>11.2</v>
      </c>
      <c r="X47" s="12">
        <f t="shared" si="23"/>
        <v>0</v>
      </c>
      <c r="Y47" s="26">
        <f t="shared" ref="Y47" si="27">Q47</f>
        <v>71</v>
      </c>
      <c r="Z47" s="12">
        <f t="shared" si="16"/>
        <v>0</v>
      </c>
      <c r="AA47" s="4" t="s">
        <v>10</v>
      </c>
      <c r="AB47" s="11">
        <f>IFERROR(VLOOKUP(AA47,Curr!$B$2:$C$13,2,FALSE),0)</f>
        <v>11.2</v>
      </c>
      <c r="AC47" s="12">
        <f t="shared" si="17"/>
        <v>0</v>
      </c>
      <c r="AD47" s="12">
        <f t="shared" si="18"/>
        <v>0</v>
      </c>
      <c r="AE47" s="13">
        <f t="shared" si="19"/>
        <v>0</v>
      </c>
    </row>
    <row r="48" spans="2:31" x14ac:dyDescent="0.25">
      <c r="B48" s="4"/>
      <c r="C48" s="1" t="s">
        <v>80</v>
      </c>
      <c r="D48" s="1" t="s">
        <v>94</v>
      </c>
      <c r="E48" s="3"/>
      <c r="F48" s="3"/>
      <c r="G48" s="24"/>
      <c r="H48" s="24"/>
      <c r="J48" s="1" t="s">
        <v>118</v>
      </c>
      <c r="K48" s="4"/>
      <c r="L48" s="4"/>
      <c r="M48" s="4"/>
      <c r="N48" s="4"/>
      <c r="O48" s="4" t="s">
        <v>42</v>
      </c>
      <c r="P48" s="33" t="s">
        <v>119</v>
      </c>
      <c r="Q48" s="25">
        <v>2195</v>
      </c>
      <c r="R48" s="25">
        <v>0</v>
      </c>
      <c r="S48" s="12">
        <f t="shared" si="21"/>
        <v>0</v>
      </c>
      <c r="T48" s="5">
        <v>0.2</v>
      </c>
      <c r="U48" s="12">
        <f t="shared" si="22"/>
        <v>0</v>
      </c>
      <c r="V48" s="25" t="s">
        <v>8</v>
      </c>
      <c r="W48" s="11">
        <f>IFERROR(VLOOKUP(V48,Curr!$B$2:$C$13,2,FALSE),0)</f>
        <v>1</v>
      </c>
      <c r="X48" s="12">
        <f t="shared" si="23"/>
        <v>0</v>
      </c>
      <c r="Y48" s="26">
        <f t="shared" ref="Y48" si="28">Q48/11.3</f>
        <v>194.24778761061947</v>
      </c>
      <c r="Z48" s="12">
        <f t="shared" si="16"/>
        <v>0</v>
      </c>
      <c r="AA48" s="4" t="s">
        <v>10</v>
      </c>
      <c r="AB48" s="11">
        <f>IFERROR(VLOOKUP(AA48,Curr!$B$2:$C$13,2,FALSE),0)</f>
        <v>11.2</v>
      </c>
      <c r="AC48" s="12">
        <f t="shared" si="17"/>
        <v>0</v>
      </c>
      <c r="AD48" s="12">
        <f t="shared" si="18"/>
        <v>0</v>
      </c>
      <c r="AE48" s="13">
        <f t="shared" si="19"/>
        <v>0</v>
      </c>
    </row>
    <row r="49" spans="2:36" x14ac:dyDescent="0.25">
      <c r="B49" s="4"/>
      <c r="E49" s="3"/>
      <c r="F49" s="3"/>
      <c r="G49" s="24"/>
      <c r="H49" s="24"/>
      <c r="K49" s="4"/>
      <c r="L49" s="4"/>
      <c r="M49" s="4"/>
      <c r="N49" s="4"/>
      <c r="O49" s="4"/>
      <c r="P49" s="33"/>
      <c r="Q49" s="25"/>
      <c r="R49" s="25"/>
      <c r="S49" s="12">
        <f t="shared" si="21"/>
        <v>0</v>
      </c>
      <c r="T49" s="5">
        <v>0</v>
      </c>
      <c r="U49" s="12">
        <f t="shared" si="22"/>
        <v>0</v>
      </c>
      <c r="V49" s="25" t="s">
        <v>10</v>
      </c>
      <c r="W49" s="11">
        <f>IFERROR(VLOOKUP(V49,Curr!$B$2:$C$13,2,FALSE),0)</f>
        <v>11.2</v>
      </c>
      <c r="X49" s="12">
        <f t="shared" si="23"/>
        <v>0</v>
      </c>
      <c r="Y49" s="26">
        <f t="shared" si="24"/>
        <v>0</v>
      </c>
      <c r="Z49" s="12">
        <f t="shared" si="16"/>
        <v>0</v>
      </c>
      <c r="AA49" s="4" t="s">
        <v>10</v>
      </c>
      <c r="AB49" s="11">
        <f>IFERROR(VLOOKUP(AA49,Curr!$B$2:$C$13,2,FALSE),0)</f>
        <v>11.2</v>
      </c>
      <c r="AC49" s="12">
        <f t="shared" si="17"/>
        <v>0</v>
      </c>
      <c r="AD49" s="12">
        <f t="shared" si="18"/>
        <v>0</v>
      </c>
      <c r="AE49" s="13">
        <f t="shared" si="19"/>
        <v>0</v>
      </c>
    </row>
    <row r="50" spans="2:36" x14ac:dyDescent="0.25">
      <c r="B50" s="4"/>
      <c r="E50" s="3"/>
      <c r="F50" s="3"/>
      <c r="G50" s="24"/>
      <c r="H50" s="24"/>
      <c r="K50" s="4"/>
      <c r="L50" s="4"/>
      <c r="M50" s="4"/>
      <c r="N50" s="4"/>
      <c r="O50" s="4"/>
      <c r="P50" s="27"/>
      <c r="Q50" s="25"/>
      <c r="R50" s="25"/>
      <c r="S50" s="12">
        <f t="shared" si="21"/>
        <v>0</v>
      </c>
      <c r="T50" s="5">
        <v>0</v>
      </c>
      <c r="U50" s="12">
        <f t="shared" si="22"/>
        <v>0</v>
      </c>
      <c r="V50" s="25" t="s">
        <v>10</v>
      </c>
      <c r="W50" s="11">
        <f>IFERROR(VLOOKUP(V50,Curr!$B$2:$C$13,2,FALSE),0)</f>
        <v>11.2</v>
      </c>
      <c r="X50" s="12">
        <f t="shared" si="23"/>
        <v>0</v>
      </c>
      <c r="Y50" s="26">
        <f t="shared" si="24"/>
        <v>0</v>
      </c>
      <c r="Z50" s="12">
        <f t="shared" si="16"/>
        <v>0</v>
      </c>
      <c r="AA50" s="4" t="s">
        <v>10</v>
      </c>
      <c r="AB50" s="11">
        <f>IFERROR(VLOOKUP(AA50,Curr!$B$2:$C$13,2,FALSE),0)</f>
        <v>11.2</v>
      </c>
      <c r="AC50" s="12">
        <f t="shared" si="17"/>
        <v>0</v>
      </c>
      <c r="AD50" s="12">
        <f t="shared" si="18"/>
        <v>0</v>
      </c>
      <c r="AE50" s="13">
        <f t="shared" si="19"/>
        <v>0</v>
      </c>
    </row>
    <row r="51" spans="2:36" x14ac:dyDescent="0.25">
      <c r="B51" s="4"/>
      <c r="E51" s="3"/>
      <c r="F51" s="3"/>
      <c r="G51" s="24"/>
      <c r="H51" s="24"/>
      <c r="K51" s="4"/>
      <c r="L51" s="4"/>
      <c r="M51" s="4"/>
      <c r="N51" s="4"/>
      <c r="O51" s="4"/>
      <c r="P51" s="27"/>
      <c r="Q51" s="25"/>
      <c r="R51" s="25"/>
      <c r="S51" s="12">
        <f t="shared" si="21"/>
        <v>0</v>
      </c>
      <c r="T51" s="5">
        <v>0</v>
      </c>
      <c r="U51" s="12">
        <f t="shared" si="22"/>
        <v>0</v>
      </c>
      <c r="V51" s="25" t="s">
        <v>10</v>
      </c>
      <c r="W51" s="11">
        <f>IFERROR(VLOOKUP(V51,Curr!$B$2:$C$13,2,FALSE),0)</f>
        <v>11.2</v>
      </c>
      <c r="X51" s="12">
        <f t="shared" si="23"/>
        <v>0</v>
      </c>
      <c r="Y51" s="26">
        <f t="shared" si="24"/>
        <v>0</v>
      </c>
      <c r="Z51" s="12">
        <f t="shared" si="16"/>
        <v>0</v>
      </c>
      <c r="AA51" s="4" t="s">
        <v>10</v>
      </c>
      <c r="AB51" s="11">
        <f>IFERROR(VLOOKUP(AA51,Curr!$B$2:$C$13,2,FALSE),0)</f>
        <v>11.2</v>
      </c>
      <c r="AC51" s="12">
        <f t="shared" si="17"/>
        <v>0</v>
      </c>
      <c r="AD51" s="12">
        <f t="shared" si="18"/>
        <v>0</v>
      </c>
      <c r="AE51" s="13">
        <f t="shared" si="19"/>
        <v>0</v>
      </c>
    </row>
    <row r="52" spans="2:36" x14ac:dyDescent="0.25">
      <c r="B52" s="4"/>
      <c r="E52" s="3"/>
      <c r="F52" s="3"/>
      <c r="G52" s="24"/>
      <c r="H52" s="24"/>
      <c r="K52" s="4"/>
      <c r="L52" s="4"/>
      <c r="M52" s="4"/>
      <c r="N52" s="4"/>
      <c r="O52" s="4"/>
      <c r="P52" s="27"/>
      <c r="Q52" s="25"/>
      <c r="R52" s="25"/>
      <c r="S52" s="12">
        <f t="shared" si="21"/>
        <v>0</v>
      </c>
      <c r="T52" s="5">
        <v>0</v>
      </c>
      <c r="U52" s="12">
        <f t="shared" si="22"/>
        <v>0</v>
      </c>
      <c r="V52" s="25" t="s">
        <v>10</v>
      </c>
      <c r="W52" s="11">
        <f>IFERROR(VLOOKUP(V52,Curr!$B$2:$C$13,2,FALSE),0)</f>
        <v>11.2</v>
      </c>
      <c r="X52" s="12">
        <f t="shared" si="23"/>
        <v>0</v>
      </c>
      <c r="Y52" s="26">
        <f t="shared" si="24"/>
        <v>0</v>
      </c>
      <c r="Z52" s="12">
        <f t="shared" si="16"/>
        <v>0</v>
      </c>
      <c r="AA52" s="4" t="s">
        <v>10</v>
      </c>
      <c r="AB52" s="11">
        <f>IFERROR(VLOOKUP(AA52,Curr!$B$2:$C$13,2,FALSE),0)</f>
        <v>11.2</v>
      </c>
      <c r="AC52" s="12">
        <f t="shared" si="17"/>
        <v>0</v>
      </c>
      <c r="AD52" s="12">
        <f t="shared" si="18"/>
        <v>0</v>
      </c>
      <c r="AE52" s="13">
        <f t="shared" si="19"/>
        <v>0</v>
      </c>
    </row>
    <row r="53" spans="2:36" x14ac:dyDescent="0.25">
      <c r="B53" s="4"/>
      <c r="E53" s="3"/>
      <c r="F53" s="3"/>
      <c r="G53" s="24"/>
      <c r="H53" s="24"/>
      <c r="K53" s="4"/>
      <c r="L53" s="4"/>
      <c r="M53" s="4"/>
      <c r="N53" s="4"/>
      <c r="O53" s="4"/>
      <c r="P53" s="27"/>
      <c r="Q53" s="25"/>
      <c r="R53" s="25"/>
      <c r="S53" s="12">
        <f t="shared" si="21"/>
        <v>0</v>
      </c>
      <c r="T53" s="5">
        <v>0</v>
      </c>
      <c r="U53" s="12">
        <f t="shared" si="22"/>
        <v>0</v>
      </c>
      <c r="V53" s="25" t="s">
        <v>10</v>
      </c>
      <c r="W53" s="11">
        <f>IFERROR(VLOOKUP(V53,Curr!$B$2:$C$13,2,FALSE),0)</f>
        <v>11.2</v>
      </c>
      <c r="X53" s="12">
        <f t="shared" si="23"/>
        <v>0</v>
      </c>
      <c r="Y53" s="26">
        <f t="shared" si="24"/>
        <v>0</v>
      </c>
      <c r="Z53" s="12">
        <f t="shared" si="16"/>
        <v>0</v>
      </c>
      <c r="AA53" s="4" t="s">
        <v>10</v>
      </c>
      <c r="AB53" s="11">
        <f>IFERROR(VLOOKUP(AA53,Curr!$B$2:$C$13,2,FALSE),0)</f>
        <v>11.2</v>
      </c>
      <c r="AC53" s="12">
        <f t="shared" si="17"/>
        <v>0</v>
      </c>
      <c r="AD53" s="12">
        <f t="shared" si="18"/>
        <v>0</v>
      </c>
      <c r="AE53" s="13">
        <f t="shared" si="19"/>
        <v>0</v>
      </c>
    </row>
    <row r="54" spans="2:36" x14ac:dyDescent="0.25">
      <c r="B54" s="4"/>
      <c r="E54" s="3"/>
      <c r="F54" s="3"/>
      <c r="G54" s="3"/>
      <c r="H54" s="3"/>
      <c r="L54" s="4"/>
      <c r="M54" s="4"/>
      <c r="N54" s="4"/>
      <c r="O54" s="4"/>
      <c r="P54" s="22"/>
      <c r="Q54" s="4"/>
      <c r="R54" s="4"/>
      <c r="S54" s="4"/>
      <c r="T54" s="4"/>
      <c r="U54" s="4"/>
      <c r="V54" s="4"/>
      <c r="W54" s="4"/>
      <c r="X54" s="4"/>
      <c r="Y54" s="4"/>
      <c r="Z54" s="4"/>
      <c r="AA54" s="4"/>
      <c r="AB54" s="4"/>
      <c r="AC54" s="4"/>
      <c r="AD54" s="4"/>
      <c r="AE54" s="4"/>
      <c r="AF54" s="4"/>
    </row>
    <row r="55" spans="2:36" x14ac:dyDescent="0.25">
      <c r="B55" s="14" t="s">
        <v>18</v>
      </c>
      <c r="C55" s="14"/>
      <c r="D55" s="28" t="s">
        <v>42</v>
      </c>
      <c r="E55" s="30" t="s">
        <v>42</v>
      </c>
      <c r="F55" s="30" t="s">
        <v>42</v>
      </c>
      <c r="G55" s="30" t="s">
        <v>42</v>
      </c>
      <c r="H55" s="30" t="s">
        <v>42</v>
      </c>
      <c r="I55" s="28" t="s">
        <v>42</v>
      </c>
      <c r="J55" s="28" t="s">
        <v>42</v>
      </c>
      <c r="K55" s="28" t="s">
        <v>42</v>
      </c>
      <c r="L55" s="28" t="s">
        <v>42</v>
      </c>
      <c r="M55" s="28" t="s">
        <v>42</v>
      </c>
      <c r="N55" s="28" t="s">
        <v>42</v>
      </c>
      <c r="O55" s="28" t="s">
        <v>42</v>
      </c>
      <c r="P55" s="28" t="s">
        <v>42</v>
      </c>
      <c r="Q55" s="31" t="s">
        <v>42</v>
      </c>
      <c r="R55" s="28" t="s">
        <v>42</v>
      </c>
      <c r="S55" s="32" t="s">
        <v>42</v>
      </c>
      <c r="T55" s="28" t="s">
        <v>42</v>
      </c>
      <c r="U55" s="32" t="s">
        <v>42</v>
      </c>
      <c r="V55" s="28" t="s">
        <v>42</v>
      </c>
      <c r="W55" s="28" t="s">
        <v>42</v>
      </c>
      <c r="X55" s="32" t="s">
        <v>42</v>
      </c>
      <c r="Y55" s="32" t="s">
        <v>42</v>
      </c>
      <c r="Z55" s="15">
        <f>SUM(Z7:Z53)</f>
        <v>2649.9804789172304</v>
      </c>
      <c r="AA55" s="14"/>
      <c r="AB55" s="14"/>
      <c r="AC55" s="15">
        <f>SUM(AC7:AC53)</f>
        <v>29679.781363872979</v>
      </c>
      <c r="AD55" s="15">
        <f>SUM(AD7:AD53)</f>
        <v>5705.7813638729804</v>
      </c>
      <c r="AE55" s="21">
        <f t="shared" ref="AE55" si="29">IFERROR(AD55/AC55,0)</f>
        <v>0.19224472356855735</v>
      </c>
      <c r="AF55" s="15">
        <f>SUM(AF8:AF54)</f>
        <v>0</v>
      </c>
      <c r="AG55" s="15">
        <f>SUM(AG8:AG54)</f>
        <v>0</v>
      </c>
      <c r="AH55" s="15">
        <f>SUM(AH8:AH54)</f>
        <v>0</v>
      </c>
      <c r="AI55" s="15">
        <f>SUM(AI8:AI54)</f>
        <v>0</v>
      </c>
      <c r="AJ55" s="15">
        <f>SUM(AJ8:AJ54)</f>
        <v>0</v>
      </c>
    </row>
    <row r="56" spans="2:36" x14ac:dyDescent="0.25">
      <c r="B56" s="4"/>
      <c r="E56" s="3"/>
      <c r="F56" s="3"/>
      <c r="G56" s="3"/>
      <c r="H56" s="3"/>
      <c r="L56" s="4"/>
      <c r="M56" s="4"/>
      <c r="N56" s="4"/>
      <c r="O56" s="4"/>
      <c r="Q56" s="4"/>
      <c r="R56" s="4"/>
      <c r="S56" s="4"/>
      <c r="T56" s="4"/>
      <c r="U56" s="4"/>
      <c r="V56" s="4"/>
      <c r="W56" s="4"/>
      <c r="X56" s="4"/>
      <c r="Y56" s="9"/>
      <c r="Z56" s="9"/>
      <c r="AA56" s="9"/>
      <c r="AB56" s="9"/>
      <c r="AC56" s="9"/>
      <c r="AD56" s="9"/>
      <c r="AE56" s="9"/>
    </row>
    <row r="57" spans="2:36" x14ac:dyDescent="0.25">
      <c r="B57" s="4"/>
      <c r="E57" s="3"/>
      <c r="F57" s="3"/>
      <c r="G57" s="3"/>
      <c r="H57" s="3"/>
      <c r="L57" s="4"/>
      <c r="M57" s="4"/>
      <c r="N57" s="4"/>
      <c r="O57" s="4"/>
      <c r="Q57" s="9"/>
      <c r="R57" s="9"/>
      <c r="S57" s="9"/>
      <c r="T57" s="9"/>
      <c r="U57" s="9"/>
      <c r="V57" s="9"/>
      <c r="W57" s="9"/>
      <c r="X57" s="23"/>
      <c r="Y57" s="34" t="s">
        <v>102</v>
      </c>
      <c r="Z57" s="34">
        <v>1290</v>
      </c>
      <c r="AA57" s="9"/>
      <c r="AB57" s="9"/>
      <c r="AC57" s="9"/>
      <c r="AD57" s="9"/>
      <c r="AE57" s="9"/>
    </row>
    <row r="58" spans="2:36" x14ac:dyDescent="0.25">
      <c r="B58" s="4"/>
      <c r="E58" s="3"/>
      <c r="F58" s="3"/>
      <c r="G58" s="3"/>
      <c r="H58" s="3"/>
      <c r="L58" s="4"/>
      <c r="M58" s="4"/>
      <c r="N58" s="4"/>
      <c r="O58" s="4"/>
      <c r="Q58" s="9"/>
      <c r="R58" s="9"/>
      <c r="S58" s="9"/>
      <c r="T58" s="9"/>
      <c r="U58" s="9"/>
      <c r="V58" s="9"/>
      <c r="W58" s="9"/>
      <c r="X58" s="9"/>
      <c r="Y58" s="35" t="s">
        <v>103</v>
      </c>
      <c r="Z58" s="34">
        <f>Z9+Z15+Z23+Z25</f>
        <v>1492.3477355543987</v>
      </c>
      <c r="AA58" s="9"/>
      <c r="AB58" s="9"/>
      <c r="AC58" s="9"/>
      <c r="AD58" s="9"/>
      <c r="AE58" s="9"/>
      <c r="AF58" s="18"/>
    </row>
    <row r="59" spans="2:36" x14ac:dyDescent="0.25">
      <c r="B59" s="4"/>
      <c r="E59" s="3"/>
      <c r="F59" s="3"/>
      <c r="G59" s="3"/>
      <c r="H59" s="3"/>
      <c r="I59" s="19"/>
      <c r="L59" s="4"/>
      <c r="M59" s="4"/>
      <c r="N59" s="4"/>
      <c r="O59" s="20"/>
      <c r="Q59" s="20"/>
      <c r="R59" s="20"/>
      <c r="S59" s="20"/>
      <c r="T59" s="20"/>
      <c r="U59" s="20"/>
      <c r="V59" s="20"/>
      <c r="W59" s="20"/>
      <c r="X59" s="20"/>
      <c r="Y59" s="34" t="s">
        <v>104</v>
      </c>
      <c r="Z59" s="34">
        <v>2660</v>
      </c>
      <c r="AA59" s="9"/>
      <c r="AB59" s="9"/>
      <c r="AC59" s="9"/>
      <c r="AD59" s="9"/>
      <c r="AE59" s="9"/>
      <c r="AF59" s="18"/>
    </row>
    <row r="60" spans="2:36" x14ac:dyDescent="0.25">
      <c r="B60" s="4"/>
      <c r="E60" s="3"/>
      <c r="F60" s="3"/>
      <c r="G60" s="3"/>
      <c r="H60" s="3"/>
      <c r="L60" s="4"/>
      <c r="M60" s="4"/>
      <c r="N60" s="4"/>
      <c r="O60" s="20"/>
      <c r="Q60" s="20"/>
      <c r="R60" s="20"/>
      <c r="S60" s="20"/>
      <c r="T60" s="20"/>
      <c r="U60" s="20"/>
      <c r="V60" s="20"/>
      <c r="W60" s="20"/>
      <c r="X60" s="20"/>
      <c r="Y60" s="34" t="s">
        <v>43</v>
      </c>
      <c r="Z60" s="34">
        <f>Z59/2</f>
        <v>1330</v>
      </c>
      <c r="AA60" s="9"/>
      <c r="AB60" s="9"/>
      <c r="AC60" s="9"/>
      <c r="AD60" s="9"/>
      <c r="AE60" s="9"/>
      <c r="AF60" s="18"/>
    </row>
    <row r="61" spans="2:36" x14ac:dyDescent="0.25">
      <c r="B61" s="4"/>
      <c r="E61" s="3"/>
      <c r="F61" s="3"/>
      <c r="G61" s="3"/>
      <c r="H61" s="3"/>
      <c r="L61" s="4"/>
      <c r="M61" s="4"/>
      <c r="N61" s="4"/>
      <c r="O61" s="4"/>
      <c r="Q61" s="9"/>
      <c r="R61" s="9"/>
      <c r="S61" s="9"/>
      <c r="T61" s="9"/>
      <c r="U61" s="9"/>
      <c r="V61" s="9"/>
      <c r="W61" s="9"/>
      <c r="X61" s="9"/>
      <c r="Y61" s="1"/>
      <c r="Z61" s="1"/>
      <c r="AA61" s="9"/>
      <c r="AB61" s="9"/>
      <c r="AC61" s="9"/>
      <c r="AD61" s="9"/>
      <c r="AE61" s="9"/>
      <c r="AF61" s="18"/>
    </row>
    <row r="62" spans="2:36" x14ac:dyDescent="0.25">
      <c r="F62" s="1"/>
      <c r="G62" s="1"/>
      <c r="H62" s="1"/>
      <c r="J62" s="1" t="s">
        <v>32</v>
      </c>
      <c r="Q62" s="9"/>
      <c r="R62" s="4"/>
      <c r="S62" s="9"/>
      <c r="T62" s="5"/>
      <c r="U62" s="9"/>
      <c r="V62" s="4"/>
      <c r="W62" s="4"/>
      <c r="X62" s="9"/>
      <c r="Y62" s="9"/>
      <c r="Z62" s="9"/>
      <c r="AA62" s="9"/>
      <c r="AB62" s="9"/>
      <c r="AC62" s="9"/>
      <c r="AD62" s="9"/>
      <c r="AE62" s="9"/>
    </row>
    <row r="63" spans="2:36" x14ac:dyDescent="0.25">
      <c r="R63" s="4"/>
      <c r="S63" s="17"/>
      <c r="T63" s="17"/>
      <c r="U63" s="9"/>
      <c r="V63" s="4"/>
      <c r="W63" s="4"/>
      <c r="X63" s="9"/>
      <c r="Y63" s="9"/>
      <c r="Z63" s="9"/>
      <c r="AA63" s="9"/>
      <c r="AB63" s="9"/>
      <c r="AC63" s="9"/>
      <c r="AD63" s="9"/>
      <c r="AE63" s="9"/>
    </row>
    <row r="64" spans="2:36" x14ac:dyDescent="0.25">
      <c r="Q64" s="9"/>
      <c r="R64" s="4"/>
      <c r="S64" s="16"/>
      <c r="T64" s="16"/>
      <c r="U64" s="9"/>
      <c r="V64" s="4"/>
      <c r="W64" s="4"/>
      <c r="X64" s="9"/>
      <c r="Y64" s="9"/>
      <c r="Z64" s="9"/>
      <c r="AA64" s="9"/>
      <c r="AB64" s="9"/>
      <c r="AC64" s="9"/>
      <c r="AD64" s="9"/>
      <c r="AE64" s="9"/>
    </row>
    <row r="65" spans="18:31" x14ac:dyDescent="0.25">
      <c r="R65" s="4"/>
      <c r="S65" s="16"/>
      <c r="T65" s="16"/>
      <c r="Y65" s="9"/>
      <c r="Z65" s="9"/>
      <c r="AA65" s="9"/>
      <c r="AB65" s="9"/>
      <c r="AC65" s="9"/>
      <c r="AD65" s="9"/>
      <c r="AE65" s="9"/>
    </row>
    <row r="66" spans="18:31" x14ac:dyDescent="0.25">
      <c r="T66" s="5"/>
      <c r="Y66" s="9"/>
      <c r="Z66" s="9"/>
      <c r="AA66" s="9"/>
      <c r="AB66" s="9"/>
      <c r="AC66" s="9"/>
      <c r="AD66" s="9"/>
      <c r="AE66" s="9"/>
    </row>
    <row r="67" spans="18:31" x14ac:dyDescent="0.25">
      <c r="T67" s="5"/>
      <c r="Y67" s="9"/>
      <c r="Z67" s="9" t="s">
        <v>330</v>
      </c>
      <c r="AA67" s="9"/>
      <c r="AB67" s="9"/>
      <c r="AC67" s="9"/>
      <c r="AD67" s="9"/>
      <c r="AE67" s="9"/>
    </row>
    <row r="68" spans="18:31" x14ac:dyDescent="0.25">
      <c r="T68" s="5"/>
      <c r="Y68" s="37" t="s">
        <v>325</v>
      </c>
      <c r="Z68" s="9">
        <f>Z59</f>
        <v>2660</v>
      </c>
      <c r="AA68" s="9"/>
      <c r="AB68" s="37"/>
      <c r="AC68" s="9"/>
      <c r="AD68" s="9"/>
      <c r="AE68" s="9"/>
    </row>
    <row r="69" spans="18:31" x14ac:dyDescent="0.25">
      <c r="T69" s="5"/>
      <c r="Y69" s="37" t="s">
        <v>326</v>
      </c>
      <c r="Z69" s="9">
        <f>Z68*1.18</f>
        <v>3138.7999999999997</v>
      </c>
      <c r="AA69" s="9"/>
      <c r="AB69" s="37"/>
      <c r="AC69" s="9"/>
      <c r="AD69" s="9"/>
      <c r="AE69" s="9"/>
    </row>
    <row r="70" spans="18:31" x14ac:dyDescent="0.25">
      <c r="T70" s="5"/>
      <c r="Y70" s="37" t="s">
        <v>327</v>
      </c>
      <c r="Z70" s="9">
        <f>Z68*1.25</f>
        <v>3325</v>
      </c>
      <c r="AA70" s="9"/>
      <c r="AB70" s="37"/>
      <c r="AC70" s="9"/>
      <c r="AD70" s="9"/>
      <c r="AE70" s="9"/>
    </row>
    <row r="71" spans="18:31" x14ac:dyDescent="0.25">
      <c r="T71" s="5"/>
      <c r="Y71" s="37" t="s">
        <v>328</v>
      </c>
      <c r="Z71" s="9">
        <f>Z68*0.85</f>
        <v>2261</v>
      </c>
      <c r="AA71" s="9"/>
      <c r="AB71" s="37"/>
      <c r="AC71" s="9"/>
      <c r="AD71" s="9"/>
      <c r="AE71" s="9"/>
    </row>
    <row r="72" spans="18:31" x14ac:dyDescent="0.25">
      <c r="T72" s="5"/>
      <c r="Y72" s="37" t="s">
        <v>307</v>
      </c>
      <c r="Z72" s="9" t="s">
        <v>329</v>
      </c>
      <c r="AA72" s="9"/>
      <c r="AB72" s="37"/>
      <c r="AC72" s="9"/>
      <c r="AD72" s="9"/>
      <c r="AE72" s="9"/>
    </row>
    <row r="73" spans="18:31" x14ac:dyDescent="0.25">
      <c r="T73" s="5"/>
      <c r="Y73" s="9"/>
      <c r="Z73" s="9"/>
      <c r="AA73" s="9"/>
      <c r="AB73" s="9"/>
      <c r="AC73" s="9"/>
      <c r="AD73" s="9"/>
      <c r="AE73" s="9"/>
    </row>
    <row r="74" spans="18:31" x14ac:dyDescent="0.25">
      <c r="T74" s="5"/>
    </row>
    <row r="75" spans="18:31" x14ac:dyDescent="0.25">
      <c r="T75" s="5"/>
    </row>
    <row r="76" spans="18:31" x14ac:dyDescent="0.25">
      <c r="T76" s="5"/>
    </row>
    <row r="77" spans="18:31" x14ac:dyDescent="0.25">
      <c r="T77" s="5"/>
    </row>
    <row r="78" spans="18:31" x14ac:dyDescent="0.25">
      <c r="T78" s="5"/>
    </row>
  </sheetData>
  <autoFilter ref="B6:AE55" xr:uid="{65FA6D9B-E0AF-46CD-BA0D-86BB75FE6AB0}"/>
  <hyperlinks>
    <hyperlink ref="P13" r:id="rId1" location="reisesok" xr:uid="{5E26BB98-19B0-4505-BE36-4A407DECDF50}"/>
    <hyperlink ref="P18" r:id="rId2" xr:uid="{B08433CE-A952-442A-9F2D-E9752CBB0F42}"/>
    <hyperlink ref="P19" r:id="rId3" xr:uid="{79B493B6-50E3-415C-A80B-F480730A2E39}"/>
    <hyperlink ref="P27" r:id="rId4" xr:uid="{B6BDA1A0-A23E-493A-A7FD-5A39E17A2955}"/>
    <hyperlink ref="P29" r:id="rId5" xr:uid="{18C06A33-A48A-4DE0-9996-9EA83401BEB9}"/>
    <hyperlink ref="P45" r:id="rId6" xr:uid="{2577C109-7326-4E94-92C6-B7247633DDAA}"/>
    <hyperlink ref="P47" r:id="rId7" xr:uid="{5345AE02-1E84-48D3-A83E-98C4DEB4135B}"/>
    <hyperlink ref="P48" r:id="rId8" xr:uid="{C255F0C4-AFFC-4E00-ACC4-3568E7F3A739}"/>
    <hyperlink ref="P31" r:id="rId9" xr:uid="{037BEEE2-E487-4F72-B0CE-A46A492ACDEF}"/>
  </hyperlinks>
  <pageMargins left="0.7" right="0.7" top="0.75" bottom="0.75" header="0.3" footer="0.3"/>
  <pageSetup paperSize="9"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EAB69-0E66-4BB3-AE79-644203BACF22}">
  <sheetPr>
    <tabColor rgb="FFFFFF00"/>
  </sheetPr>
  <dimension ref="B1:AK86"/>
  <sheetViews>
    <sheetView topLeftCell="A6" zoomScale="85" zoomScaleNormal="85" workbookViewId="0">
      <selection activeCell="W10" sqref="W10"/>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163</v>
      </c>
    </row>
    <row r="2" spans="2:36" x14ac:dyDescent="0.25">
      <c r="B2" s="2" t="s">
        <v>59</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61" si="0">+Q7*R7</f>
        <v>0</v>
      </c>
      <c r="T7" s="5">
        <v>0</v>
      </c>
      <c r="U7" s="12">
        <f t="shared" ref="U7:U61" si="1">S7*(1-T7)</f>
        <v>0</v>
      </c>
      <c r="V7" s="25" t="s">
        <v>10</v>
      </c>
      <c r="W7" s="11">
        <f>IFERROR(VLOOKUP(V7,Curr!$B$2:$C$13,2,FALSE),0)</f>
        <v>11.2</v>
      </c>
      <c r="X7" s="12">
        <f t="shared" ref="X7:X61" si="2">U7*W7</f>
        <v>0</v>
      </c>
      <c r="Y7" s="26">
        <f t="shared" ref="Y7:Y61" si="3">Q7</f>
        <v>0</v>
      </c>
      <c r="Z7" s="12">
        <f t="shared" ref="Z7:Z61" si="4">+Y7*R7</f>
        <v>0</v>
      </c>
      <c r="AA7" s="4" t="s">
        <v>10</v>
      </c>
      <c r="AB7" s="11">
        <f>IFERROR(VLOOKUP(AA7,Curr!$B$2:$C$13,2,FALSE),0)</f>
        <v>11.2</v>
      </c>
      <c r="AC7" s="12">
        <f t="shared" ref="AC7:AC61" si="5">+Y7*AB7*R7</f>
        <v>0</v>
      </c>
      <c r="AD7" s="12">
        <f t="shared" ref="AD7:AD61" si="6">+AC7-X7</f>
        <v>0</v>
      </c>
      <c r="AE7" s="13">
        <f t="shared" ref="AE7:AE61"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70</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Q9/0.85</f>
        <v>176.47058823529412</v>
      </c>
      <c r="Z9" s="12">
        <f t="shared" si="4"/>
        <v>176.47058823529412</v>
      </c>
      <c r="AA9" s="4" t="s">
        <v>10</v>
      </c>
      <c r="AB9" s="11">
        <f>IFERROR(VLOOKUP(AA9,Curr!$B$2:$C$13,2,FALSE),0)</f>
        <v>11.2</v>
      </c>
      <c r="AC9" s="12">
        <f t="shared" si="5"/>
        <v>1976.4705882352939</v>
      </c>
      <c r="AD9" s="12">
        <f t="shared" si="6"/>
        <v>296.47058823529392</v>
      </c>
      <c r="AE9" s="13">
        <f t="shared" si="7"/>
        <v>0.14999999999999991</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27"/>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73</v>
      </c>
      <c r="E13" s="3"/>
      <c r="F13" s="3"/>
      <c r="G13" s="24"/>
      <c r="H13" s="24"/>
      <c r="J13" s="1" t="s">
        <v>108</v>
      </c>
      <c r="K13" s="4"/>
      <c r="L13" s="4"/>
      <c r="M13" s="4"/>
      <c r="N13" s="4"/>
      <c r="O13" s="4" t="s">
        <v>42</v>
      </c>
      <c r="P13" s="33" t="s">
        <v>100</v>
      </c>
      <c r="Q13" s="25">
        <v>3280</v>
      </c>
      <c r="R13" s="25">
        <v>2</v>
      </c>
      <c r="S13" s="12">
        <f t="shared" si="0"/>
        <v>6560</v>
      </c>
      <c r="T13" s="5">
        <v>0.08</v>
      </c>
      <c r="U13" s="12">
        <f t="shared" si="1"/>
        <v>6035.2</v>
      </c>
      <c r="V13" s="25" t="s">
        <v>8</v>
      </c>
      <c r="W13" s="11">
        <f>IFERROR(VLOOKUP(V13,Curr!$B$2:$C$13,2,FALSE),0)</f>
        <v>1</v>
      </c>
      <c r="X13" s="12">
        <f t="shared" si="2"/>
        <v>6035.2</v>
      </c>
      <c r="Y13" s="26">
        <f t="shared" ref="Y13" si="8">Q13/11.3/0.9</f>
        <v>322.51720747295968</v>
      </c>
      <c r="Z13" s="12">
        <f t="shared" si="4"/>
        <v>645.03441494591937</v>
      </c>
      <c r="AA13" s="4" t="s">
        <v>10</v>
      </c>
      <c r="AB13" s="11">
        <f>IFERROR(VLOOKUP(AA13,Curr!$B$2:$C$13,2,FALSE),0)</f>
        <v>11.2</v>
      </c>
      <c r="AC13" s="12">
        <f t="shared" si="5"/>
        <v>7224.3854473942965</v>
      </c>
      <c r="AD13" s="12">
        <f t="shared" si="6"/>
        <v>1189.1854473942967</v>
      </c>
      <c r="AE13" s="13">
        <f t="shared" si="7"/>
        <v>0.16460714285714284</v>
      </c>
    </row>
    <row r="14" spans="2:36" x14ac:dyDescent="0.25">
      <c r="B14" s="4"/>
      <c r="C14" s="1" t="s">
        <v>63</v>
      </c>
      <c r="D14" s="1" t="s">
        <v>50</v>
      </c>
      <c r="E14" s="3"/>
      <c r="F14" s="3"/>
      <c r="G14" s="24"/>
      <c r="H14" s="24"/>
      <c r="J14" s="1" t="s">
        <v>109</v>
      </c>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si="3"/>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110</v>
      </c>
      <c r="K15" s="4"/>
      <c r="L15" s="4"/>
      <c r="M15" s="4"/>
      <c r="N15" s="4"/>
      <c r="O15" s="4"/>
      <c r="P15" s="27"/>
      <c r="Q15" s="25">
        <v>225</v>
      </c>
      <c r="R15" s="25">
        <v>1</v>
      </c>
      <c r="S15" s="12">
        <f t="shared" si="0"/>
        <v>225</v>
      </c>
      <c r="T15" s="5">
        <v>0</v>
      </c>
      <c r="U15" s="12">
        <f t="shared" si="1"/>
        <v>225</v>
      </c>
      <c r="V15" s="25" t="s">
        <v>10</v>
      </c>
      <c r="W15" s="11">
        <f>IFERROR(VLOOKUP(V15,Curr!$B$2:$C$13,2,FALSE),0)</f>
        <v>11.2</v>
      </c>
      <c r="X15" s="12">
        <f t="shared" si="2"/>
        <v>2520</v>
      </c>
      <c r="Y15" s="26">
        <f>Q15/0.85</f>
        <v>264.70588235294116</v>
      </c>
      <c r="Z15" s="12">
        <f t="shared" si="4"/>
        <v>264.70588235294116</v>
      </c>
      <c r="AA15" s="4" t="s">
        <v>10</v>
      </c>
      <c r="AB15" s="11">
        <f>IFERROR(VLOOKUP(AA15,Curr!$B$2:$C$13,2,FALSE),0)</f>
        <v>11.2</v>
      </c>
      <c r="AC15" s="12">
        <f t="shared" si="5"/>
        <v>2964.705882352941</v>
      </c>
      <c r="AD15" s="12">
        <f t="shared" si="6"/>
        <v>444.70588235294099</v>
      </c>
      <c r="AE15" s="13">
        <f t="shared" si="7"/>
        <v>0.14999999999999994</v>
      </c>
    </row>
    <row r="16" spans="2:36" x14ac:dyDescent="0.25">
      <c r="B16" s="4"/>
      <c r="C16" s="1" t="s">
        <v>63</v>
      </c>
      <c r="D16" s="1" t="s">
        <v>53</v>
      </c>
      <c r="E16" s="3"/>
      <c r="F16" s="3"/>
      <c r="G16" s="24"/>
      <c r="H16" s="24"/>
      <c r="J16" s="1" t="s">
        <v>111</v>
      </c>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3"/>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0"/>
        <v>0</v>
      </c>
      <c r="T17" s="5">
        <v>0</v>
      </c>
      <c r="U17" s="12">
        <f t="shared" si="1"/>
        <v>0</v>
      </c>
      <c r="V17" s="25" t="s">
        <v>10</v>
      </c>
      <c r="W17" s="11">
        <f>IFERROR(VLOOKUP(V17,Curr!$B$2:$C$13,2,FALSE),0)</f>
        <v>11.2</v>
      </c>
      <c r="X17" s="12">
        <f t="shared" si="2"/>
        <v>0</v>
      </c>
      <c r="Y17" s="26">
        <f t="shared" si="3"/>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50</v>
      </c>
      <c r="E18" s="3"/>
      <c r="F18" s="3"/>
      <c r="G18" s="24"/>
      <c r="H18" s="24"/>
      <c r="J18" s="1" t="s">
        <v>112</v>
      </c>
      <c r="K18" s="4"/>
      <c r="L18" s="4"/>
      <c r="M18" s="4"/>
      <c r="N18" s="4"/>
      <c r="O18" s="4"/>
      <c r="P18" s="27"/>
      <c r="Q18" s="25">
        <v>0</v>
      </c>
      <c r="R18" s="25">
        <v>0</v>
      </c>
      <c r="S18" s="12">
        <f t="shared" si="0"/>
        <v>0</v>
      </c>
      <c r="T18" s="5">
        <v>0</v>
      </c>
      <c r="U18" s="12">
        <f t="shared" si="1"/>
        <v>0</v>
      </c>
      <c r="V18" s="25" t="s">
        <v>10</v>
      </c>
      <c r="W18" s="11">
        <f>IFERROR(VLOOKUP(V18,Curr!$B$2:$C$13,2,FALSE),0)</f>
        <v>11.2</v>
      </c>
      <c r="X18" s="12">
        <f t="shared" si="2"/>
        <v>0</v>
      </c>
      <c r="Y18" s="26">
        <f t="shared" si="3"/>
        <v>0</v>
      </c>
      <c r="Z18" s="12">
        <f t="shared" si="4"/>
        <v>0</v>
      </c>
      <c r="AA18" s="4" t="s">
        <v>10</v>
      </c>
      <c r="AB18" s="11">
        <f>IFERROR(VLOOKUP(AA18,Curr!$B$2:$C$13,2,FALSE),0)</f>
        <v>11.2</v>
      </c>
      <c r="AC18" s="12">
        <f t="shared" si="5"/>
        <v>0</v>
      </c>
      <c r="AD18" s="12">
        <f t="shared" si="6"/>
        <v>0</v>
      </c>
      <c r="AE18" s="13">
        <f t="shared" si="7"/>
        <v>0</v>
      </c>
    </row>
    <row r="19" spans="2:31" x14ac:dyDescent="0.25">
      <c r="B19" s="4"/>
      <c r="C19" s="1" t="s">
        <v>69</v>
      </c>
      <c r="D19" s="1" t="s">
        <v>73</v>
      </c>
      <c r="E19" s="3"/>
      <c r="F19" s="3"/>
      <c r="G19" s="24"/>
      <c r="H19" s="24"/>
      <c r="J19" s="1" t="s">
        <v>113</v>
      </c>
      <c r="K19" s="4"/>
      <c r="L19" s="4"/>
      <c r="M19" s="4"/>
      <c r="N19" s="4"/>
      <c r="O19" s="4" t="s">
        <v>42</v>
      </c>
      <c r="P19" s="33" t="s">
        <v>100</v>
      </c>
      <c r="Q19" s="25">
        <v>0</v>
      </c>
      <c r="R19" s="25">
        <v>0</v>
      </c>
      <c r="S19" s="12">
        <f t="shared" si="0"/>
        <v>0</v>
      </c>
      <c r="T19" s="5">
        <v>0.08</v>
      </c>
      <c r="U19" s="12">
        <f t="shared" si="1"/>
        <v>0</v>
      </c>
      <c r="V19" s="25" t="s">
        <v>8</v>
      </c>
      <c r="W19" s="11">
        <f>IFERROR(VLOOKUP(V19,Curr!$B$2:$C$13,2,FALSE),0)</f>
        <v>1</v>
      </c>
      <c r="X19" s="12">
        <f t="shared" si="2"/>
        <v>0</v>
      </c>
      <c r="Y19" s="26">
        <f t="shared" ref="Y19" si="9">Q19/11.3/0.9</f>
        <v>0</v>
      </c>
      <c r="Z19" s="12">
        <f t="shared" si="4"/>
        <v>0</v>
      </c>
      <c r="AA19" s="4" t="s">
        <v>10</v>
      </c>
      <c r="AB19" s="11">
        <f>IFERROR(VLOOKUP(AA19,Curr!$B$2:$C$13,2,FALSE),0)</f>
        <v>11.2</v>
      </c>
      <c r="AC19" s="12">
        <f t="shared" si="5"/>
        <v>0</v>
      </c>
      <c r="AD19" s="12">
        <f t="shared" si="6"/>
        <v>0</v>
      </c>
      <c r="AE19" s="13">
        <f t="shared" si="7"/>
        <v>0</v>
      </c>
    </row>
    <row r="20" spans="2:31" x14ac:dyDescent="0.25">
      <c r="B20" s="4"/>
      <c r="C20" s="1" t="s">
        <v>69</v>
      </c>
      <c r="D20" s="1" t="s">
        <v>50</v>
      </c>
      <c r="E20" s="3"/>
      <c r="F20" s="3"/>
      <c r="G20" s="24"/>
      <c r="H20" s="24"/>
      <c r="J20" s="1" t="s">
        <v>67</v>
      </c>
      <c r="K20" s="4"/>
      <c r="L20" s="4"/>
      <c r="M20" s="4"/>
      <c r="N20" s="4"/>
      <c r="O20" s="4"/>
      <c r="P20" s="33"/>
      <c r="Q20" s="25">
        <v>0</v>
      </c>
      <c r="R20" s="25">
        <v>0</v>
      </c>
      <c r="S20" s="12">
        <f t="shared" si="0"/>
        <v>0</v>
      </c>
      <c r="T20" s="5">
        <v>0</v>
      </c>
      <c r="U20" s="12">
        <f t="shared" si="1"/>
        <v>0</v>
      </c>
      <c r="V20" s="25" t="s">
        <v>10</v>
      </c>
      <c r="W20" s="11">
        <f>IFERROR(VLOOKUP(V20,Curr!$B$2:$C$13,2,FALSE),0)</f>
        <v>11.2</v>
      </c>
      <c r="X20" s="12">
        <f t="shared" si="2"/>
        <v>0</v>
      </c>
      <c r="Y20" s="26">
        <f t="shared" ref="Y20:Y22" si="10">Q20</f>
        <v>0</v>
      </c>
      <c r="Z20" s="12">
        <f t="shared" si="4"/>
        <v>0</v>
      </c>
      <c r="AA20" s="4" t="s">
        <v>10</v>
      </c>
      <c r="AB20" s="11">
        <f>IFERROR(VLOOKUP(AA20,Curr!$B$2:$C$13,2,FALSE),0)</f>
        <v>11.2</v>
      </c>
      <c r="AC20" s="12">
        <f t="shared" si="5"/>
        <v>0</v>
      </c>
      <c r="AD20" s="12">
        <f t="shared" si="6"/>
        <v>0</v>
      </c>
      <c r="AE20" s="13">
        <f t="shared" si="7"/>
        <v>0</v>
      </c>
    </row>
    <row r="21" spans="2:31" x14ac:dyDescent="0.25">
      <c r="B21" s="4"/>
      <c r="C21" s="1" t="s">
        <v>69</v>
      </c>
      <c r="D21" s="1" t="s">
        <v>52</v>
      </c>
      <c r="E21" s="3"/>
      <c r="F21" s="3"/>
      <c r="G21" s="24"/>
      <c r="H21" s="24"/>
      <c r="J21" s="1" t="s">
        <v>71</v>
      </c>
      <c r="K21" s="4"/>
      <c r="L21" s="4"/>
      <c r="M21" s="4"/>
      <c r="N21" s="4"/>
      <c r="O21" s="4"/>
      <c r="P21" s="33"/>
      <c r="Q21" s="25">
        <v>290</v>
      </c>
      <c r="R21" s="25">
        <v>1</v>
      </c>
      <c r="S21" s="12">
        <f t="shared" si="0"/>
        <v>290</v>
      </c>
      <c r="T21" s="5">
        <v>0</v>
      </c>
      <c r="U21" s="12">
        <f t="shared" si="1"/>
        <v>290</v>
      </c>
      <c r="V21" s="25" t="s">
        <v>10</v>
      </c>
      <c r="W21" s="11">
        <f>IFERROR(VLOOKUP(V21,Curr!$B$2:$C$13,2,FALSE),0)</f>
        <v>11.2</v>
      </c>
      <c r="X21" s="12">
        <f t="shared" si="2"/>
        <v>3248</v>
      </c>
      <c r="Y21" s="26">
        <f>Q21/0.85</f>
        <v>341.1764705882353</v>
      </c>
      <c r="Z21" s="12">
        <f t="shared" si="4"/>
        <v>341.1764705882353</v>
      </c>
      <c r="AA21" s="4" t="s">
        <v>10</v>
      </c>
      <c r="AB21" s="11">
        <f>IFERROR(VLOOKUP(AA21,Curr!$B$2:$C$13,2,FALSE),0)</f>
        <v>11.2</v>
      </c>
      <c r="AC21" s="12">
        <f t="shared" si="5"/>
        <v>3821.1764705882351</v>
      </c>
      <c r="AD21" s="12">
        <f t="shared" si="6"/>
        <v>573.17647058823513</v>
      </c>
      <c r="AE21" s="13">
        <f t="shared" si="7"/>
        <v>0.14999999999999997</v>
      </c>
    </row>
    <row r="22" spans="2:31" x14ac:dyDescent="0.25">
      <c r="B22" s="4"/>
      <c r="C22" s="1" t="s">
        <v>69</v>
      </c>
      <c r="D22" s="1" t="s">
        <v>53</v>
      </c>
      <c r="E22" s="3"/>
      <c r="F22" s="3"/>
      <c r="G22" s="24"/>
      <c r="H22" s="24"/>
      <c r="J22" s="1" t="s">
        <v>68</v>
      </c>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10"/>
        <v>0</v>
      </c>
      <c r="Z22" s="12">
        <f t="shared" si="4"/>
        <v>0</v>
      </c>
      <c r="AA22" s="4" t="s">
        <v>10</v>
      </c>
      <c r="AB22" s="11">
        <f>IFERROR(VLOOKUP(AA22,Curr!$B$2:$C$13,2,FALSE),0)</f>
        <v>11.2</v>
      </c>
      <c r="AC22" s="12">
        <f t="shared" si="5"/>
        <v>0</v>
      </c>
      <c r="AD22" s="12">
        <f t="shared" si="6"/>
        <v>0</v>
      </c>
      <c r="AE22" s="13">
        <f t="shared" si="7"/>
        <v>0</v>
      </c>
    </row>
    <row r="23" spans="2:31" x14ac:dyDescent="0.25">
      <c r="B23" s="4"/>
      <c r="E23" s="3"/>
      <c r="F23" s="3"/>
      <c r="G23" s="24"/>
      <c r="H23" s="24"/>
      <c r="K23" s="4"/>
      <c r="L23" s="4"/>
      <c r="M23" s="4"/>
      <c r="N23" s="4"/>
      <c r="O23" s="4"/>
      <c r="P23" s="27"/>
      <c r="Q23" s="25"/>
      <c r="R23" s="25"/>
      <c r="S23" s="12">
        <f t="shared" si="0"/>
        <v>0</v>
      </c>
      <c r="T23" s="5">
        <v>0</v>
      </c>
      <c r="U23" s="12">
        <f t="shared" si="1"/>
        <v>0</v>
      </c>
      <c r="V23" s="25" t="s">
        <v>10</v>
      </c>
      <c r="W23" s="11">
        <f>IFERROR(VLOOKUP(V23,Curr!$B$2:$C$13,2,FALSE),0)</f>
        <v>11.2</v>
      </c>
      <c r="X23" s="12">
        <f t="shared" si="2"/>
        <v>0</v>
      </c>
      <c r="Y23" s="26">
        <f t="shared" si="3"/>
        <v>0</v>
      </c>
      <c r="Z23" s="12">
        <f t="shared" si="4"/>
        <v>0</v>
      </c>
      <c r="AA23" s="4" t="s">
        <v>10</v>
      </c>
      <c r="AB23" s="11">
        <f>IFERROR(VLOOKUP(AA23,Curr!$B$2:$C$13,2,FALSE),0)</f>
        <v>11.2</v>
      </c>
      <c r="AC23" s="12">
        <f t="shared" si="5"/>
        <v>0</v>
      </c>
      <c r="AD23" s="12">
        <f t="shared" si="6"/>
        <v>0</v>
      </c>
      <c r="AE23" s="13">
        <f t="shared" si="7"/>
        <v>0</v>
      </c>
    </row>
    <row r="24" spans="2:31" x14ac:dyDescent="0.25">
      <c r="B24" s="4"/>
      <c r="C24" s="1" t="s">
        <v>78</v>
      </c>
      <c r="D24" s="1" t="s">
        <v>73</v>
      </c>
      <c r="E24" s="3"/>
      <c r="F24" s="3"/>
      <c r="G24" s="24"/>
      <c r="H24" s="24"/>
      <c r="J24" s="1" t="s">
        <v>74</v>
      </c>
      <c r="K24" s="4"/>
      <c r="L24" s="4"/>
      <c r="M24" s="4"/>
      <c r="N24" s="4"/>
      <c r="O24" s="4" t="s">
        <v>42</v>
      </c>
      <c r="P24" s="33" t="s">
        <v>75</v>
      </c>
      <c r="Q24" s="25">
        <v>290</v>
      </c>
      <c r="R24" s="25">
        <v>2</v>
      </c>
      <c r="S24" s="12">
        <f t="shared" si="0"/>
        <v>580</v>
      </c>
      <c r="T24" s="5">
        <v>0.2</v>
      </c>
      <c r="U24" s="12">
        <f t="shared" si="1"/>
        <v>464</v>
      </c>
      <c r="V24" s="25" t="s">
        <v>8</v>
      </c>
      <c r="W24" s="11">
        <f>IFERROR(VLOOKUP(V24,Curr!$B$2:$C$13,2,FALSE),0)</f>
        <v>1</v>
      </c>
      <c r="X24" s="12">
        <f t="shared" si="2"/>
        <v>464</v>
      </c>
      <c r="Y24" s="26">
        <f>Q24/11.3/0.64</f>
        <v>40.099557522123888</v>
      </c>
      <c r="Z24" s="12">
        <f t="shared" si="4"/>
        <v>80.199115044247776</v>
      </c>
      <c r="AA24" s="4" t="s">
        <v>10</v>
      </c>
      <c r="AB24" s="11">
        <f>IFERROR(VLOOKUP(AA24,Curr!$B$2:$C$13,2,FALSE),0)</f>
        <v>11.2</v>
      </c>
      <c r="AC24" s="12">
        <f t="shared" si="5"/>
        <v>898.23008849557505</v>
      </c>
      <c r="AD24" s="12">
        <f t="shared" si="6"/>
        <v>434.23008849557505</v>
      </c>
      <c r="AE24" s="13">
        <f t="shared" si="7"/>
        <v>0.48342857142857132</v>
      </c>
    </row>
    <row r="25" spans="2:31" x14ac:dyDescent="0.25">
      <c r="B25" s="4"/>
      <c r="C25" s="1" t="s">
        <v>78</v>
      </c>
      <c r="D25" s="1" t="s">
        <v>73</v>
      </c>
      <c r="E25" s="3"/>
      <c r="F25" s="3"/>
      <c r="G25" s="24"/>
      <c r="H25" s="24"/>
      <c r="J25" s="1" t="s">
        <v>76</v>
      </c>
      <c r="K25" s="4"/>
      <c r="L25" s="4"/>
      <c r="M25" s="4"/>
      <c r="N25" s="4"/>
      <c r="O25" s="4" t="s">
        <v>42</v>
      </c>
      <c r="P25" s="33" t="s">
        <v>77</v>
      </c>
      <c r="Q25" s="25">
        <v>175</v>
      </c>
      <c r="R25" s="25">
        <v>2</v>
      </c>
      <c r="S25" s="12">
        <f t="shared" si="0"/>
        <v>350</v>
      </c>
      <c r="T25" s="5">
        <v>0</v>
      </c>
      <c r="U25" s="12">
        <f t="shared" si="1"/>
        <v>350</v>
      </c>
      <c r="V25" s="25" t="s">
        <v>8</v>
      </c>
      <c r="W25" s="11">
        <f>IFERROR(VLOOKUP(V25,Curr!$B$2:$C$13,2,FALSE),0)</f>
        <v>1</v>
      </c>
      <c r="X25" s="12">
        <f t="shared" si="2"/>
        <v>350</v>
      </c>
      <c r="Y25" s="26">
        <f>Q25/11.3/0.5</f>
        <v>30.973451327433626</v>
      </c>
      <c r="Z25" s="12">
        <f t="shared" si="4"/>
        <v>61.946902654867252</v>
      </c>
      <c r="AA25" s="4" t="s">
        <v>10</v>
      </c>
      <c r="AB25" s="11">
        <f>IFERROR(VLOOKUP(AA25,Curr!$B$2:$C$13,2,FALSE),0)</f>
        <v>11.2</v>
      </c>
      <c r="AC25" s="12">
        <f t="shared" si="5"/>
        <v>693.80530973451323</v>
      </c>
      <c r="AD25" s="12">
        <f t="shared" si="6"/>
        <v>343.80530973451323</v>
      </c>
      <c r="AE25" s="13">
        <f t="shared" si="7"/>
        <v>0.49553571428571425</v>
      </c>
    </row>
    <row r="26" spans="2:31" x14ac:dyDescent="0.25">
      <c r="B26" s="4"/>
      <c r="C26" s="1" t="s">
        <v>78</v>
      </c>
      <c r="D26" s="1" t="s">
        <v>53</v>
      </c>
      <c r="E26" s="3"/>
      <c r="F26" s="3"/>
      <c r="G26" s="24"/>
      <c r="H26" s="24"/>
      <c r="J26" s="1" t="s">
        <v>68</v>
      </c>
      <c r="K26" s="4"/>
      <c r="L26" s="4"/>
      <c r="M26" s="4"/>
      <c r="N26" s="4"/>
      <c r="O26" s="4"/>
      <c r="P26" s="27"/>
      <c r="Q26" s="25">
        <v>0</v>
      </c>
      <c r="R26" s="25">
        <v>0</v>
      </c>
      <c r="S26" s="12">
        <f t="shared" si="0"/>
        <v>0</v>
      </c>
      <c r="T26" s="5">
        <v>0</v>
      </c>
      <c r="U26" s="12">
        <f t="shared" si="1"/>
        <v>0</v>
      </c>
      <c r="V26" s="25" t="s">
        <v>10</v>
      </c>
      <c r="W26" s="11">
        <f>IFERROR(VLOOKUP(V26,Curr!$B$2:$C$13,2,FALSE),0)</f>
        <v>11.2</v>
      </c>
      <c r="X26" s="12">
        <f t="shared" si="2"/>
        <v>0</v>
      </c>
      <c r="Y26" s="26">
        <f t="shared" ref="Y26" si="11">Q26</f>
        <v>0</v>
      </c>
      <c r="Z26" s="12">
        <f t="shared" si="4"/>
        <v>0</v>
      </c>
      <c r="AA26" s="4" t="s">
        <v>10</v>
      </c>
      <c r="AB26" s="11">
        <f>IFERROR(VLOOKUP(AA26,Curr!$B$2:$C$13,2,FALSE),0)</f>
        <v>11.2</v>
      </c>
      <c r="AC26" s="12">
        <f t="shared" si="5"/>
        <v>0</v>
      </c>
      <c r="AD26" s="12">
        <f t="shared" si="6"/>
        <v>0</v>
      </c>
      <c r="AE26" s="13">
        <f t="shared" si="7"/>
        <v>0</v>
      </c>
    </row>
    <row r="27" spans="2:31" x14ac:dyDescent="0.25">
      <c r="B27" s="4"/>
      <c r="E27" s="3"/>
      <c r="F27" s="3"/>
      <c r="G27" s="24"/>
      <c r="H27" s="24"/>
      <c r="K27" s="4"/>
      <c r="L27" s="4"/>
      <c r="M27" s="4"/>
      <c r="N27" s="4"/>
      <c r="O27" s="4"/>
      <c r="P27" s="27"/>
      <c r="Q27" s="25"/>
      <c r="R27" s="25"/>
      <c r="S27" s="12">
        <f t="shared" si="0"/>
        <v>0</v>
      </c>
      <c r="T27" s="5">
        <v>0</v>
      </c>
      <c r="U27" s="12">
        <f t="shared" si="1"/>
        <v>0</v>
      </c>
      <c r="V27" s="25" t="s">
        <v>10</v>
      </c>
      <c r="W27" s="11">
        <f>IFERROR(VLOOKUP(V27,Curr!$B$2:$C$13,2,FALSE),0)</f>
        <v>11.2</v>
      </c>
      <c r="X27" s="12">
        <f t="shared" si="2"/>
        <v>0</v>
      </c>
      <c r="Y27" s="26">
        <f t="shared" si="3"/>
        <v>0</v>
      </c>
      <c r="Z27" s="12">
        <f t="shared" si="4"/>
        <v>0</v>
      </c>
      <c r="AA27" s="4" t="s">
        <v>10</v>
      </c>
      <c r="AB27" s="11">
        <f>IFERROR(VLOOKUP(AA27,Curr!$B$2:$C$13,2,FALSE),0)</f>
        <v>11.2</v>
      </c>
      <c r="AC27" s="12">
        <f t="shared" si="5"/>
        <v>0</v>
      </c>
      <c r="AD27" s="12">
        <f t="shared" si="6"/>
        <v>0</v>
      </c>
      <c r="AE27" s="13">
        <f t="shared" si="7"/>
        <v>0</v>
      </c>
    </row>
    <row r="28" spans="2:31" x14ac:dyDescent="0.25">
      <c r="B28" s="4"/>
      <c r="C28" s="1" t="s">
        <v>80</v>
      </c>
      <c r="D28" s="1" t="s">
        <v>50</v>
      </c>
      <c r="E28" s="3"/>
      <c r="F28" s="3"/>
      <c r="G28" s="24"/>
      <c r="H28" s="24"/>
      <c r="J28" s="1" t="s">
        <v>83</v>
      </c>
      <c r="K28" s="4"/>
      <c r="L28" s="4"/>
      <c r="M28" s="4"/>
      <c r="N28" s="4"/>
      <c r="O28" s="4"/>
      <c r="P28" s="33"/>
      <c r="Q28" s="25">
        <v>0</v>
      </c>
      <c r="R28" s="25">
        <v>0</v>
      </c>
      <c r="S28" s="12">
        <f t="shared" si="0"/>
        <v>0</v>
      </c>
      <c r="T28" s="5">
        <v>0</v>
      </c>
      <c r="U28" s="12">
        <f t="shared" si="1"/>
        <v>0</v>
      </c>
      <c r="V28" s="25" t="s">
        <v>10</v>
      </c>
      <c r="W28" s="11">
        <f>IFERROR(VLOOKUP(V28,Curr!$B$2:$C$13,2,FALSE),0)</f>
        <v>11.2</v>
      </c>
      <c r="X28" s="12">
        <f t="shared" si="2"/>
        <v>0</v>
      </c>
      <c r="Y28" s="26">
        <f t="shared" si="3"/>
        <v>0</v>
      </c>
      <c r="Z28" s="12">
        <f t="shared" si="4"/>
        <v>0</v>
      </c>
      <c r="AA28" s="4" t="s">
        <v>10</v>
      </c>
      <c r="AB28" s="11">
        <f>IFERROR(VLOOKUP(AA28,Curr!$B$2:$C$13,2,FALSE),0)</f>
        <v>11.2</v>
      </c>
      <c r="AC28" s="12">
        <f t="shared" si="5"/>
        <v>0</v>
      </c>
      <c r="AD28" s="12">
        <f t="shared" si="6"/>
        <v>0</v>
      </c>
      <c r="AE28" s="13">
        <f t="shared" si="7"/>
        <v>0</v>
      </c>
    </row>
    <row r="29" spans="2:31" x14ac:dyDescent="0.25">
      <c r="B29" s="4"/>
      <c r="C29" s="1" t="s">
        <v>80</v>
      </c>
      <c r="D29" s="1" t="s">
        <v>79</v>
      </c>
      <c r="E29" s="3"/>
      <c r="F29" s="3"/>
      <c r="G29" s="24"/>
      <c r="H29" s="24"/>
      <c r="J29" s="1" t="s">
        <v>223</v>
      </c>
      <c r="K29" s="4"/>
      <c r="L29" s="4"/>
      <c r="M29" s="4"/>
      <c r="N29" s="4"/>
      <c r="O29" s="4" t="s">
        <v>42</v>
      </c>
      <c r="P29" s="33"/>
      <c r="Q29" s="25">
        <v>1800</v>
      </c>
      <c r="R29" s="25">
        <v>2</v>
      </c>
      <c r="S29" s="12">
        <f t="shared" si="0"/>
        <v>3600</v>
      </c>
      <c r="T29" s="5">
        <v>0</v>
      </c>
      <c r="U29" s="12">
        <f t="shared" si="1"/>
        <v>3600</v>
      </c>
      <c r="V29" s="25" t="s">
        <v>8</v>
      </c>
      <c r="W29" s="11">
        <f>IFERROR(VLOOKUP(V29,Curr!$B$2:$C$13,2,FALSE),0)</f>
        <v>1</v>
      </c>
      <c r="X29" s="12">
        <f t="shared" si="2"/>
        <v>3600</v>
      </c>
      <c r="Y29" s="26">
        <f>Q29/11.3/0.8</f>
        <v>199.11504424778758</v>
      </c>
      <c r="Z29" s="12">
        <f t="shared" si="4"/>
        <v>398.23008849557516</v>
      </c>
      <c r="AA29" s="4" t="s">
        <v>10</v>
      </c>
      <c r="AB29" s="11">
        <f>IFERROR(VLOOKUP(AA29,Curr!$B$2:$C$13,2,FALSE),0)</f>
        <v>11.2</v>
      </c>
      <c r="AC29" s="12">
        <f t="shared" si="5"/>
        <v>4460.1769911504416</v>
      </c>
      <c r="AD29" s="12">
        <f t="shared" si="6"/>
        <v>860.17699115044161</v>
      </c>
      <c r="AE29" s="13">
        <f t="shared" si="7"/>
        <v>0.1928571428571427</v>
      </c>
    </row>
    <row r="30" spans="2:31" x14ac:dyDescent="0.25">
      <c r="B30" s="4"/>
      <c r="C30" s="1" t="s">
        <v>80</v>
      </c>
      <c r="D30" s="1" t="s">
        <v>50</v>
      </c>
      <c r="E30" s="3"/>
      <c r="F30" s="3"/>
      <c r="G30" s="24"/>
      <c r="H30" s="24"/>
      <c r="J30" s="1" t="s">
        <v>84</v>
      </c>
      <c r="K30" s="4"/>
      <c r="L30" s="4"/>
      <c r="M30" s="4"/>
      <c r="N30" s="4"/>
      <c r="O30" s="4"/>
      <c r="P30" s="33"/>
      <c r="Q30" s="25">
        <v>0</v>
      </c>
      <c r="R30" s="25">
        <v>0</v>
      </c>
      <c r="S30" s="12">
        <f t="shared" si="0"/>
        <v>0</v>
      </c>
      <c r="T30" s="5">
        <v>0</v>
      </c>
      <c r="U30" s="12">
        <f t="shared" si="1"/>
        <v>0</v>
      </c>
      <c r="V30" s="25" t="s">
        <v>8</v>
      </c>
      <c r="W30" s="11">
        <f>IFERROR(VLOOKUP(V30,Curr!$B$2:$C$13,2,FALSE),0)</f>
        <v>1</v>
      </c>
      <c r="X30" s="12">
        <f t="shared" si="2"/>
        <v>0</v>
      </c>
      <c r="Y30" s="26">
        <f>Q30/11.3/0.8</f>
        <v>0</v>
      </c>
      <c r="Z30" s="12">
        <f t="shared" si="4"/>
        <v>0</v>
      </c>
      <c r="AA30" s="4" t="s">
        <v>10</v>
      </c>
      <c r="AB30" s="11">
        <f>IFERROR(VLOOKUP(AA30,Curr!$B$2:$C$13,2,FALSE),0)</f>
        <v>11.2</v>
      </c>
      <c r="AC30" s="12">
        <f t="shared" si="5"/>
        <v>0</v>
      </c>
      <c r="AD30" s="12">
        <f t="shared" si="6"/>
        <v>0</v>
      </c>
      <c r="AE30" s="13">
        <f t="shared" si="7"/>
        <v>0</v>
      </c>
    </row>
    <row r="31" spans="2:31" x14ac:dyDescent="0.25">
      <c r="B31" s="4"/>
      <c r="C31" s="1" t="s">
        <v>80</v>
      </c>
      <c r="D31" s="1" t="s">
        <v>52</v>
      </c>
      <c r="E31" s="3"/>
      <c r="F31" s="3"/>
      <c r="G31" s="24"/>
      <c r="H31" s="24"/>
      <c r="J31" s="1" t="s">
        <v>331</v>
      </c>
      <c r="K31" s="4"/>
      <c r="L31" s="4"/>
      <c r="M31" s="4"/>
      <c r="N31" s="4"/>
      <c r="O31" s="4"/>
      <c r="P31" s="33"/>
      <c r="Q31" s="25">
        <v>700</v>
      </c>
      <c r="R31" s="25">
        <v>1</v>
      </c>
      <c r="S31" s="12">
        <f t="shared" si="0"/>
        <v>700</v>
      </c>
      <c r="T31" s="5">
        <v>0</v>
      </c>
      <c r="U31" s="12">
        <f t="shared" si="1"/>
        <v>700</v>
      </c>
      <c r="V31" s="25" t="s">
        <v>10</v>
      </c>
      <c r="W31" s="11">
        <f>IFERROR(VLOOKUP(V31,Curr!$B$2:$C$13,2,FALSE),0)</f>
        <v>11.2</v>
      </c>
      <c r="X31" s="12">
        <f t="shared" si="2"/>
        <v>7839.9999999999991</v>
      </c>
      <c r="Y31" s="26">
        <f>Q31/0.85</f>
        <v>823.52941176470586</v>
      </c>
      <c r="Z31" s="12">
        <f t="shared" si="4"/>
        <v>823.52941176470586</v>
      </c>
      <c r="AA31" s="4" t="s">
        <v>10</v>
      </c>
      <c r="AB31" s="11">
        <f>IFERROR(VLOOKUP(AA31,Curr!$B$2:$C$13,2,FALSE),0)</f>
        <v>11.2</v>
      </c>
      <c r="AC31" s="12">
        <f t="shared" si="5"/>
        <v>9223.5294117647045</v>
      </c>
      <c r="AD31" s="12">
        <f t="shared" si="6"/>
        <v>1383.5294117647054</v>
      </c>
      <c r="AE31" s="13">
        <f t="shared" si="7"/>
        <v>0.14999999999999997</v>
      </c>
    </row>
    <row r="32" spans="2:31" x14ac:dyDescent="0.25">
      <c r="B32" s="4"/>
      <c r="C32" s="1" t="s">
        <v>80</v>
      </c>
      <c r="D32" s="1" t="s">
        <v>53</v>
      </c>
      <c r="E32" s="3"/>
      <c r="F32" s="3"/>
      <c r="G32" s="24"/>
      <c r="H32" s="24"/>
      <c r="J32" s="1" t="s">
        <v>85</v>
      </c>
      <c r="K32" s="4"/>
      <c r="L32" s="4"/>
      <c r="M32" s="4"/>
      <c r="N32" s="4"/>
      <c r="O32" s="4"/>
      <c r="P32" s="33"/>
      <c r="Q32" s="25">
        <v>0</v>
      </c>
      <c r="R32" s="25">
        <v>0</v>
      </c>
      <c r="S32" s="12">
        <f t="shared" si="0"/>
        <v>0</v>
      </c>
      <c r="T32" s="5">
        <v>0</v>
      </c>
      <c r="U32" s="12">
        <f t="shared" si="1"/>
        <v>0</v>
      </c>
      <c r="V32" s="25" t="s">
        <v>10</v>
      </c>
      <c r="W32" s="11">
        <f>IFERROR(VLOOKUP(V32,Curr!$B$2:$C$13,2,FALSE),0)</f>
        <v>11.2</v>
      </c>
      <c r="X32" s="12">
        <f t="shared" si="2"/>
        <v>0</v>
      </c>
      <c r="Y32" s="26">
        <f t="shared" ref="Y32:Y33" si="12">Q32</f>
        <v>0</v>
      </c>
      <c r="Z32" s="12">
        <f t="shared" si="4"/>
        <v>0</v>
      </c>
      <c r="AA32" s="4" t="s">
        <v>10</v>
      </c>
      <c r="AB32" s="11">
        <f>IFERROR(VLOOKUP(AA32,Curr!$B$2:$C$13,2,FALSE),0)</f>
        <v>11.2</v>
      </c>
      <c r="AC32" s="12">
        <f t="shared" si="5"/>
        <v>0</v>
      </c>
      <c r="AD32" s="12">
        <f t="shared" si="6"/>
        <v>0</v>
      </c>
      <c r="AE32" s="13">
        <f t="shared" si="7"/>
        <v>0</v>
      </c>
    </row>
    <row r="33" spans="2:31" x14ac:dyDescent="0.25">
      <c r="B33" s="4"/>
      <c r="C33" s="1" t="s">
        <v>80</v>
      </c>
      <c r="D33" s="1" t="s">
        <v>73</v>
      </c>
      <c r="E33" s="3"/>
      <c r="F33" s="3"/>
      <c r="G33" s="24"/>
      <c r="H33" s="24"/>
      <c r="J33" s="1" t="s">
        <v>87</v>
      </c>
      <c r="K33" s="4"/>
      <c r="L33" s="4"/>
      <c r="M33" s="4"/>
      <c r="N33" s="4"/>
      <c r="O33" s="4" t="s">
        <v>42</v>
      </c>
      <c r="P33" s="33" t="s">
        <v>88</v>
      </c>
      <c r="Q33" s="25">
        <v>105</v>
      </c>
      <c r="R33" s="25">
        <v>2</v>
      </c>
      <c r="S33" s="12">
        <f t="shared" si="0"/>
        <v>210</v>
      </c>
      <c r="T33" s="5">
        <v>0.2</v>
      </c>
      <c r="U33" s="12">
        <f t="shared" si="1"/>
        <v>168</v>
      </c>
      <c r="V33" s="25" t="s">
        <v>10</v>
      </c>
      <c r="W33" s="11">
        <f>IFERROR(VLOOKUP(V33,Curr!$B$2:$C$13,2,FALSE),0)</f>
        <v>11.2</v>
      </c>
      <c r="X33" s="12">
        <f t="shared" si="2"/>
        <v>1881.6</v>
      </c>
      <c r="Y33" s="26">
        <f t="shared" si="12"/>
        <v>105</v>
      </c>
      <c r="Z33" s="12">
        <f t="shared" si="4"/>
        <v>210</v>
      </c>
      <c r="AA33" s="4" t="s">
        <v>10</v>
      </c>
      <c r="AB33" s="11">
        <f>IFERROR(VLOOKUP(AA33,Curr!$B$2:$C$13,2,FALSE),0)</f>
        <v>11.2</v>
      </c>
      <c r="AC33" s="12">
        <f t="shared" si="5"/>
        <v>2352</v>
      </c>
      <c r="AD33" s="12">
        <f t="shared" si="6"/>
        <v>470.40000000000009</v>
      </c>
      <c r="AE33" s="13">
        <f t="shared" si="7"/>
        <v>0.20000000000000004</v>
      </c>
    </row>
    <row r="34" spans="2:31" x14ac:dyDescent="0.25">
      <c r="B34" s="4"/>
      <c r="E34" s="3"/>
      <c r="F34" s="3"/>
      <c r="G34" s="24"/>
      <c r="H34" s="24"/>
      <c r="K34" s="4"/>
      <c r="L34" s="4"/>
      <c r="M34" s="4"/>
      <c r="N34" s="4"/>
      <c r="O34" s="4"/>
      <c r="P34" s="33"/>
      <c r="Q34" s="25"/>
      <c r="R34" s="25"/>
      <c r="S34" s="12">
        <f t="shared" si="0"/>
        <v>0</v>
      </c>
      <c r="T34" s="5">
        <v>0</v>
      </c>
      <c r="U34" s="12">
        <f t="shared" si="1"/>
        <v>0</v>
      </c>
      <c r="V34" s="25" t="s">
        <v>10</v>
      </c>
      <c r="W34" s="11">
        <f>IFERROR(VLOOKUP(V34,Curr!$B$2:$C$13,2,FALSE),0)</f>
        <v>11.2</v>
      </c>
      <c r="X34" s="12">
        <f t="shared" si="2"/>
        <v>0</v>
      </c>
      <c r="Y34" s="26">
        <f t="shared" si="3"/>
        <v>0</v>
      </c>
      <c r="Z34" s="12">
        <f t="shared" si="4"/>
        <v>0</v>
      </c>
      <c r="AA34" s="4" t="s">
        <v>10</v>
      </c>
      <c r="AB34" s="11">
        <f>IFERROR(VLOOKUP(AA34,Curr!$B$2:$C$13,2,FALSE),0)</f>
        <v>11.2</v>
      </c>
      <c r="AC34" s="12">
        <f t="shared" si="5"/>
        <v>0</v>
      </c>
      <c r="AD34" s="12">
        <f t="shared" si="6"/>
        <v>0</v>
      </c>
      <c r="AE34" s="13">
        <f t="shared" si="7"/>
        <v>0</v>
      </c>
    </row>
    <row r="35" spans="2:31" x14ac:dyDescent="0.25">
      <c r="B35" s="4"/>
      <c r="C35" s="1" t="s">
        <v>81</v>
      </c>
      <c r="D35" s="1" t="s">
        <v>73</v>
      </c>
      <c r="E35" s="3"/>
      <c r="F35" s="3"/>
      <c r="G35" s="24"/>
      <c r="H35" s="24"/>
      <c r="J35" s="1" t="s">
        <v>89</v>
      </c>
      <c r="K35" s="4"/>
      <c r="L35" s="4"/>
      <c r="M35" s="4"/>
      <c r="N35" s="4"/>
      <c r="O35" s="4" t="s">
        <v>42</v>
      </c>
      <c r="P35" s="33" t="s">
        <v>90</v>
      </c>
      <c r="Q35" s="25">
        <v>1695</v>
      </c>
      <c r="R35" s="25">
        <v>2</v>
      </c>
      <c r="S35" s="12">
        <f t="shared" si="0"/>
        <v>3390</v>
      </c>
      <c r="T35" s="5">
        <v>0.2</v>
      </c>
      <c r="U35" s="12">
        <f t="shared" si="1"/>
        <v>2712</v>
      </c>
      <c r="V35" s="25" t="s">
        <v>8</v>
      </c>
      <c r="W35" s="11">
        <f>IFERROR(VLOOKUP(V35,Curr!$B$2:$C$13,2,FALSE),0)</f>
        <v>1</v>
      </c>
      <c r="X35" s="12">
        <f t="shared" si="2"/>
        <v>2712</v>
      </c>
      <c r="Y35" s="26">
        <f>Q35/11.3</f>
        <v>150</v>
      </c>
      <c r="Z35" s="12">
        <f t="shared" si="4"/>
        <v>300</v>
      </c>
      <c r="AA35" s="4" t="s">
        <v>10</v>
      </c>
      <c r="AB35" s="11">
        <f>IFERROR(VLOOKUP(AA35,Curr!$B$2:$C$13,2,FALSE),0)</f>
        <v>11.2</v>
      </c>
      <c r="AC35" s="12">
        <f t="shared" si="5"/>
        <v>3360</v>
      </c>
      <c r="AD35" s="12">
        <f t="shared" si="6"/>
        <v>648</v>
      </c>
      <c r="AE35" s="13">
        <f t="shared" si="7"/>
        <v>0.19285714285714287</v>
      </c>
    </row>
    <row r="36" spans="2:31" x14ac:dyDescent="0.25">
      <c r="B36" s="4"/>
      <c r="C36" s="1" t="s">
        <v>81</v>
      </c>
      <c r="D36" s="1" t="s">
        <v>53</v>
      </c>
      <c r="E36" s="3"/>
      <c r="F36" s="3"/>
      <c r="G36" s="24"/>
      <c r="H36" s="24"/>
      <c r="J36" s="1" t="s">
        <v>85</v>
      </c>
      <c r="K36" s="4"/>
      <c r="L36" s="4"/>
      <c r="M36" s="4"/>
      <c r="N36" s="4"/>
      <c r="O36" s="4"/>
      <c r="P36" s="33"/>
      <c r="Q36" s="25">
        <v>0</v>
      </c>
      <c r="R36" s="25">
        <v>0</v>
      </c>
      <c r="S36" s="12">
        <f t="shared" si="0"/>
        <v>0</v>
      </c>
      <c r="T36" s="5">
        <v>0</v>
      </c>
      <c r="U36" s="12">
        <f t="shared" si="1"/>
        <v>0</v>
      </c>
      <c r="V36" s="25" t="s">
        <v>10</v>
      </c>
      <c r="W36" s="11">
        <f>IFERROR(VLOOKUP(V36,Curr!$B$2:$C$13,2,FALSE),0)</f>
        <v>11.2</v>
      </c>
      <c r="X36" s="12">
        <f t="shared" si="2"/>
        <v>0</v>
      </c>
      <c r="Y36" s="26">
        <f t="shared" ref="Y36" si="13">Q36</f>
        <v>0</v>
      </c>
      <c r="Z36" s="12">
        <f t="shared" si="4"/>
        <v>0</v>
      </c>
      <c r="AA36" s="4" t="s">
        <v>10</v>
      </c>
      <c r="AB36" s="11">
        <f>IFERROR(VLOOKUP(AA36,Curr!$B$2:$C$13,2,FALSE),0)</f>
        <v>11.2</v>
      </c>
      <c r="AC36" s="12">
        <f t="shared" si="5"/>
        <v>0</v>
      </c>
      <c r="AD36" s="12">
        <f t="shared" si="6"/>
        <v>0</v>
      </c>
      <c r="AE36" s="13">
        <f t="shared" si="7"/>
        <v>0</v>
      </c>
    </row>
    <row r="37" spans="2:31" x14ac:dyDescent="0.25">
      <c r="B37" s="4"/>
      <c r="C37" s="1" t="s">
        <v>81</v>
      </c>
      <c r="D37" s="1" t="s">
        <v>73</v>
      </c>
      <c r="E37" s="3"/>
      <c r="F37" s="3"/>
      <c r="G37" s="24"/>
      <c r="H37" s="24"/>
      <c r="J37" s="1" t="s">
        <v>332</v>
      </c>
      <c r="K37" s="4"/>
      <c r="L37" s="4"/>
      <c r="M37" s="4"/>
      <c r="N37" s="4"/>
      <c r="O37" s="4" t="s">
        <v>42</v>
      </c>
      <c r="P37" s="33" t="s">
        <v>333</v>
      </c>
      <c r="Q37" s="25">
        <v>120</v>
      </c>
      <c r="R37" s="25">
        <v>2</v>
      </c>
      <c r="S37" s="12">
        <f t="shared" si="0"/>
        <v>240</v>
      </c>
      <c r="T37" s="5">
        <v>0.2</v>
      </c>
      <c r="U37" s="12">
        <f t="shared" si="1"/>
        <v>192</v>
      </c>
      <c r="V37" s="25" t="s">
        <v>10</v>
      </c>
      <c r="W37" s="11">
        <f>IFERROR(VLOOKUP(V37,Curr!$B$2:$C$13,2,FALSE),0)</f>
        <v>11.2</v>
      </c>
      <c r="X37" s="12">
        <f t="shared" si="2"/>
        <v>2150.3999999999996</v>
      </c>
      <c r="Y37" s="26">
        <f>Q37</f>
        <v>120</v>
      </c>
      <c r="Z37" s="12">
        <f t="shared" si="4"/>
        <v>240</v>
      </c>
      <c r="AA37" s="4" t="s">
        <v>10</v>
      </c>
      <c r="AB37" s="11">
        <f>IFERROR(VLOOKUP(AA37,Curr!$B$2:$C$13,2,FALSE),0)</f>
        <v>11.2</v>
      </c>
      <c r="AC37" s="12">
        <f t="shared" si="5"/>
        <v>2688</v>
      </c>
      <c r="AD37" s="12">
        <f t="shared" si="6"/>
        <v>537.60000000000036</v>
      </c>
      <c r="AE37" s="13">
        <f t="shared" si="7"/>
        <v>0.20000000000000012</v>
      </c>
    </row>
    <row r="38" spans="2:31" x14ac:dyDescent="0.25">
      <c r="B38" s="4"/>
      <c r="E38" s="3"/>
      <c r="F38" s="3"/>
      <c r="G38" s="24"/>
      <c r="H38" s="24"/>
      <c r="K38" s="4"/>
      <c r="L38" s="4"/>
      <c r="M38" s="4"/>
      <c r="N38" s="4"/>
      <c r="O38" s="4"/>
      <c r="P38" s="27"/>
      <c r="Q38" s="25"/>
      <c r="R38" s="25"/>
      <c r="S38" s="12">
        <f t="shared" si="0"/>
        <v>0</v>
      </c>
      <c r="T38" s="5">
        <v>0</v>
      </c>
      <c r="U38" s="12">
        <f t="shared" si="1"/>
        <v>0</v>
      </c>
      <c r="V38" s="25" t="s">
        <v>10</v>
      </c>
      <c r="W38" s="11">
        <f>IFERROR(VLOOKUP(V38,Curr!$B$2:$C$13,2,FALSE),0)</f>
        <v>11.2</v>
      </c>
      <c r="X38" s="12">
        <f t="shared" si="2"/>
        <v>0</v>
      </c>
      <c r="Y38" s="26">
        <f t="shared" si="3"/>
        <v>0</v>
      </c>
      <c r="Z38" s="12">
        <f t="shared" si="4"/>
        <v>0</v>
      </c>
      <c r="AA38" s="4" t="s">
        <v>10</v>
      </c>
      <c r="AB38" s="11">
        <f>IFERROR(VLOOKUP(AA38,Curr!$B$2:$C$13,2,FALSE),0)</f>
        <v>11.2</v>
      </c>
      <c r="AC38" s="12">
        <f t="shared" si="5"/>
        <v>0</v>
      </c>
      <c r="AD38" s="12">
        <f t="shared" si="6"/>
        <v>0</v>
      </c>
      <c r="AE38" s="13">
        <f t="shared" si="7"/>
        <v>0</v>
      </c>
    </row>
    <row r="39" spans="2:31" x14ac:dyDescent="0.25">
      <c r="B39" s="4"/>
      <c r="C39" s="1" t="s">
        <v>114</v>
      </c>
      <c r="D39" s="1" t="s">
        <v>73</v>
      </c>
      <c r="E39" s="3"/>
      <c r="F39" s="3"/>
      <c r="G39" s="24"/>
      <c r="H39" s="24"/>
      <c r="J39" s="1" t="s">
        <v>116</v>
      </c>
      <c r="K39" s="4"/>
      <c r="L39" s="4"/>
      <c r="M39" s="4"/>
      <c r="N39" s="4"/>
      <c r="O39" s="4" t="s">
        <v>42</v>
      </c>
      <c r="P39" s="33" t="s">
        <v>117</v>
      </c>
      <c r="Q39" s="25">
        <v>145</v>
      </c>
      <c r="R39" s="25">
        <v>2</v>
      </c>
      <c r="S39" s="12">
        <f t="shared" si="0"/>
        <v>290</v>
      </c>
      <c r="T39" s="5">
        <v>0.2</v>
      </c>
      <c r="U39" s="12">
        <f t="shared" si="1"/>
        <v>232</v>
      </c>
      <c r="V39" s="25" t="s">
        <v>10</v>
      </c>
      <c r="W39" s="11">
        <f>IFERROR(VLOOKUP(V39,Curr!$B$2:$C$13,2,FALSE),0)</f>
        <v>11.2</v>
      </c>
      <c r="X39" s="12">
        <f t="shared" si="2"/>
        <v>2598.3999999999996</v>
      </c>
      <c r="Y39" s="26">
        <f t="shared" si="3"/>
        <v>145</v>
      </c>
      <c r="Z39" s="12">
        <f t="shared" si="4"/>
        <v>290</v>
      </c>
      <c r="AA39" s="4" t="s">
        <v>10</v>
      </c>
      <c r="AB39" s="11">
        <f>IFERROR(VLOOKUP(AA39,Curr!$B$2:$C$13,2,FALSE),0)</f>
        <v>11.2</v>
      </c>
      <c r="AC39" s="12">
        <f t="shared" si="5"/>
        <v>3248</v>
      </c>
      <c r="AD39" s="12">
        <f t="shared" si="6"/>
        <v>649.60000000000036</v>
      </c>
      <c r="AE39" s="13">
        <f t="shared" si="7"/>
        <v>0.20000000000000012</v>
      </c>
    </row>
    <row r="40" spans="2:31" x14ac:dyDescent="0.25">
      <c r="B40" s="4"/>
      <c r="C40" s="1" t="s">
        <v>114</v>
      </c>
      <c r="D40" s="1" t="s">
        <v>53</v>
      </c>
      <c r="E40" s="3"/>
      <c r="F40" s="3"/>
      <c r="G40" s="24"/>
      <c r="H40" s="24"/>
      <c r="J40" s="1" t="s">
        <v>85</v>
      </c>
      <c r="K40" s="4"/>
      <c r="L40" s="4"/>
      <c r="M40" s="4"/>
      <c r="N40" s="4"/>
      <c r="O40" s="4"/>
      <c r="P40" s="27"/>
      <c r="Q40" s="25">
        <v>0</v>
      </c>
      <c r="R40" s="25">
        <v>0</v>
      </c>
      <c r="S40" s="12">
        <f t="shared" si="0"/>
        <v>0</v>
      </c>
      <c r="T40" s="5">
        <v>0</v>
      </c>
      <c r="U40" s="12">
        <f t="shared" si="1"/>
        <v>0</v>
      </c>
      <c r="V40" s="25" t="s">
        <v>10</v>
      </c>
      <c r="W40" s="11">
        <f>IFERROR(VLOOKUP(V40,Curr!$B$2:$C$13,2,FALSE),0)</f>
        <v>11.2</v>
      </c>
      <c r="X40" s="12">
        <f t="shared" si="2"/>
        <v>0</v>
      </c>
      <c r="Y40" s="26">
        <f t="shared" si="3"/>
        <v>0</v>
      </c>
      <c r="Z40" s="12">
        <f t="shared" si="4"/>
        <v>0</v>
      </c>
      <c r="AA40" s="4" t="s">
        <v>10</v>
      </c>
      <c r="AB40" s="11">
        <f>IFERROR(VLOOKUP(AA40,Curr!$B$2:$C$13,2,FALSE),0)</f>
        <v>11.2</v>
      </c>
      <c r="AC40" s="12">
        <f t="shared" si="5"/>
        <v>0</v>
      </c>
      <c r="AD40" s="12">
        <f t="shared" si="6"/>
        <v>0</v>
      </c>
      <c r="AE40" s="13">
        <f t="shared" si="7"/>
        <v>0</v>
      </c>
    </row>
    <row r="41" spans="2:31" x14ac:dyDescent="0.25">
      <c r="B41" s="4"/>
      <c r="E41" s="3"/>
      <c r="F41" s="3"/>
      <c r="G41" s="24"/>
      <c r="H41" s="24"/>
      <c r="K41" s="4"/>
      <c r="L41" s="4"/>
      <c r="M41" s="4"/>
      <c r="N41" s="4"/>
      <c r="O41" s="4"/>
      <c r="P41" s="33"/>
      <c r="Q41" s="25"/>
      <c r="R41" s="25"/>
      <c r="S41" s="12">
        <f t="shared" si="0"/>
        <v>0</v>
      </c>
      <c r="T41" s="5">
        <v>0</v>
      </c>
      <c r="U41" s="12">
        <f t="shared" si="1"/>
        <v>0</v>
      </c>
      <c r="V41" s="25" t="s">
        <v>10</v>
      </c>
      <c r="W41" s="11">
        <f>IFERROR(VLOOKUP(V41,Curr!$B$2:$C$13,2,FALSE),0)</f>
        <v>11.2</v>
      </c>
      <c r="X41" s="12">
        <f t="shared" si="2"/>
        <v>0</v>
      </c>
      <c r="Y41" s="26">
        <f t="shared" si="3"/>
        <v>0</v>
      </c>
      <c r="Z41" s="12">
        <f t="shared" si="4"/>
        <v>0</v>
      </c>
      <c r="AA41" s="4" t="s">
        <v>10</v>
      </c>
      <c r="AB41" s="11">
        <f>IFERROR(VLOOKUP(AA41,Curr!$B$2:$C$13,2,FALSE),0)</f>
        <v>11.2</v>
      </c>
      <c r="AC41" s="12">
        <f t="shared" si="5"/>
        <v>0</v>
      </c>
      <c r="AD41" s="12">
        <f t="shared" si="6"/>
        <v>0</v>
      </c>
      <c r="AE41" s="13">
        <f t="shared" si="7"/>
        <v>0</v>
      </c>
    </row>
    <row r="42" spans="2:31" x14ac:dyDescent="0.25">
      <c r="B42" s="4"/>
      <c r="C42" s="1" t="s">
        <v>115</v>
      </c>
      <c r="D42" s="1" t="s">
        <v>50</v>
      </c>
      <c r="E42" s="3"/>
      <c r="F42" s="3"/>
      <c r="G42" s="24"/>
      <c r="H42" s="24"/>
      <c r="J42" s="1" t="s">
        <v>91</v>
      </c>
      <c r="K42" s="4"/>
      <c r="L42" s="4"/>
      <c r="M42" s="4"/>
      <c r="N42" s="4"/>
      <c r="O42" s="4"/>
      <c r="P42" s="33"/>
      <c r="Q42" s="25">
        <v>0</v>
      </c>
      <c r="R42" s="25">
        <v>0</v>
      </c>
      <c r="S42" s="12">
        <f t="shared" si="0"/>
        <v>0</v>
      </c>
      <c r="T42" s="5">
        <v>0</v>
      </c>
      <c r="U42" s="12">
        <f t="shared" si="1"/>
        <v>0</v>
      </c>
      <c r="V42" s="25" t="s">
        <v>8</v>
      </c>
      <c r="W42" s="11">
        <f>IFERROR(VLOOKUP(V42,Curr!$B$2:$C$13,2,FALSE),0)</f>
        <v>1</v>
      </c>
      <c r="X42" s="12">
        <f t="shared" si="2"/>
        <v>0</v>
      </c>
      <c r="Y42" s="26">
        <f>Q42/11.3/0.8</f>
        <v>0</v>
      </c>
      <c r="Z42" s="12">
        <f t="shared" si="4"/>
        <v>0</v>
      </c>
      <c r="AA42" s="4" t="s">
        <v>10</v>
      </c>
      <c r="AB42" s="11">
        <f>IFERROR(VLOOKUP(AA42,Curr!$B$2:$C$13,2,FALSE),0)</f>
        <v>11.2</v>
      </c>
      <c r="AC42" s="12">
        <f t="shared" si="5"/>
        <v>0</v>
      </c>
      <c r="AD42" s="12">
        <f t="shared" si="6"/>
        <v>0</v>
      </c>
      <c r="AE42" s="13">
        <f t="shared" si="7"/>
        <v>0</v>
      </c>
    </row>
    <row r="43" spans="2:31" x14ac:dyDescent="0.25">
      <c r="B43" s="4"/>
      <c r="C43" s="1" t="s">
        <v>115</v>
      </c>
      <c r="D43" s="1" t="s">
        <v>82</v>
      </c>
      <c r="E43" s="3"/>
      <c r="F43" s="3"/>
      <c r="G43" s="24"/>
      <c r="H43" s="24"/>
      <c r="J43" s="1" t="s">
        <v>92</v>
      </c>
      <c r="K43" s="4"/>
      <c r="L43" s="4"/>
      <c r="M43" s="4"/>
      <c r="N43" s="4"/>
      <c r="O43" s="4"/>
      <c r="P43" s="33"/>
      <c r="Q43" s="25">
        <v>0</v>
      </c>
      <c r="R43" s="25">
        <v>0</v>
      </c>
      <c r="S43" s="12">
        <f t="shared" si="0"/>
        <v>0</v>
      </c>
      <c r="T43" s="5">
        <v>0</v>
      </c>
      <c r="U43" s="12">
        <f t="shared" si="1"/>
        <v>0</v>
      </c>
      <c r="V43" s="25" t="s">
        <v>10</v>
      </c>
      <c r="W43" s="11">
        <f>IFERROR(VLOOKUP(V43,Curr!$B$2:$C$13,2,FALSE),0)</f>
        <v>11.2</v>
      </c>
      <c r="X43" s="12">
        <f t="shared" si="2"/>
        <v>0</v>
      </c>
      <c r="Y43" s="26">
        <f t="shared" ref="Y43" si="14">Q43</f>
        <v>0</v>
      </c>
      <c r="Z43" s="12">
        <f t="shared" si="4"/>
        <v>0</v>
      </c>
      <c r="AA43" s="4" t="s">
        <v>10</v>
      </c>
      <c r="AB43" s="11">
        <f>IFERROR(VLOOKUP(AA43,Curr!$B$2:$C$13,2,FALSE),0)</f>
        <v>11.2</v>
      </c>
      <c r="AC43" s="12">
        <f t="shared" si="5"/>
        <v>0</v>
      </c>
      <c r="AD43" s="12">
        <f t="shared" si="6"/>
        <v>0</v>
      </c>
      <c r="AE43" s="13">
        <f t="shared" si="7"/>
        <v>0</v>
      </c>
    </row>
    <row r="44" spans="2:31" x14ac:dyDescent="0.25">
      <c r="B44" s="4"/>
      <c r="E44" s="3"/>
      <c r="F44" s="3"/>
      <c r="G44" s="24"/>
      <c r="H44" s="24"/>
      <c r="K44" s="4"/>
      <c r="L44" s="4"/>
      <c r="M44" s="4"/>
      <c r="N44" s="4"/>
      <c r="O44" s="4"/>
      <c r="P44" s="27"/>
      <c r="Q44" s="25"/>
      <c r="R44" s="25"/>
      <c r="S44" s="12">
        <f t="shared" si="0"/>
        <v>0</v>
      </c>
      <c r="T44" s="5">
        <v>0</v>
      </c>
      <c r="U44" s="12">
        <f t="shared" si="1"/>
        <v>0</v>
      </c>
      <c r="V44" s="25" t="s">
        <v>10</v>
      </c>
      <c r="W44" s="11">
        <f>IFERROR(VLOOKUP(V44,Curr!$B$2:$C$13,2,FALSE),0)</f>
        <v>11.2</v>
      </c>
      <c r="X44" s="12">
        <f t="shared" si="2"/>
        <v>0</v>
      </c>
      <c r="Y44" s="26">
        <f t="shared" si="3"/>
        <v>0</v>
      </c>
      <c r="Z44" s="12">
        <f t="shared" si="4"/>
        <v>0</v>
      </c>
      <c r="AA44" s="4" t="s">
        <v>10</v>
      </c>
      <c r="AB44" s="11">
        <f>IFERROR(VLOOKUP(AA44,Curr!$B$2:$C$13,2,FALSE),0)</f>
        <v>11.2</v>
      </c>
      <c r="AC44" s="12">
        <f t="shared" si="5"/>
        <v>0</v>
      </c>
      <c r="AD44" s="12">
        <f t="shared" si="6"/>
        <v>0</v>
      </c>
      <c r="AE44" s="13">
        <f t="shared" si="7"/>
        <v>0</v>
      </c>
    </row>
    <row r="45" spans="2:31" x14ac:dyDescent="0.25">
      <c r="B45" s="4"/>
      <c r="E45" s="3"/>
      <c r="F45" s="3"/>
      <c r="G45" s="24"/>
      <c r="H45" s="24"/>
      <c r="K45" s="4"/>
      <c r="L45" s="4"/>
      <c r="M45" s="4"/>
      <c r="N45" s="4"/>
      <c r="O45" s="4"/>
      <c r="P45" s="33"/>
      <c r="Q45" s="25"/>
      <c r="R45" s="25"/>
      <c r="S45" s="12">
        <f t="shared" si="0"/>
        <v>0</v>
      </c>
      <c r="T45" s="5">
        <v>0</v>
      </c>
      <c r="U45" s="12">
        <f t="shared" si="1"/>
        <v>0</v>
      </c>
      <c r="V45" s="25" t="s">
        <v>10</v>
      </c>
      <c r="W45" s="11">
        <f>IFERROR(VLOOKUP(V45,Curr!$B$2:$C$13,2,FALSE),0)</f>
        <v>11.2</v>
      </c>
      <c r="X45" s="12">
        <f t="shared" si="2"/>
        <v>0</v>
      </c>
      <c r="Y45" s="26">
        <f t="shared" si="3"/>
        <v>0</v>
      </c>
      <c r="Z45" s="12">
        <f t="shared" si="4"/>
        <v>0</v>
      </c>
      <c r="AA45" s="4" t="s">
        <v>10</v>
      </c>
      <c r="AB45" s="11">
        <f>IFERROR(VLOOKUP(AA45,Curr!$B$2:$C$13,2,FALSE),0)</f>
        <v>11.2</v>
      </c>
      <c r="AC45" s="12">
        <f t="shared" si="5"/>
        <v>0</v>
      </c>
      <c r="AD45" s="12">
        <f t="shared" si="6"/>
        <v>0</v>
      </c>
      <c r="AE45" s="13">
        <f t="shared" si="7"/>
        <v>0</v>
      </c>
    </row>
    <row r="46" spans="2:31" x14ac:dyDescent="0.25">
      <c r="B46" s="4"/>
      <c r="C46" s="1" t="s">
        <v>55</v>
      </c>
      <c r="D46" s="1" t="s">
        <v>93</v>
      </c>
      <c r="E46" s="3"/>
      <c r="F46" s="3"/>
      <c r="G46" s="24"/>
      <c r="H46" s="24"/>
      <c r="J46" s="1" t="s">
        <v>95</v>
      </c>
      <c r="K46" s="4"/>
      <c r="L46" s="4"/>
      <c r="M46" s="4"/>
      <c r="N46" s="4"/>
      <c r="O46" s="4"/>
      <c r="P46" s="33"/>
      <c r="Q46" s="25">
        <v>1750</v>
      </c>
      <c r="R46" s="25">
        <v>0</v>
      </c>
      <c r="S46" s="12">
        <f t="shared" si="0"/>
        <v>0</v>
      </c>
      <c r="T46" s="5">
        <v>0</v>
      </c>
      <c r="U46" s="12">
        <f t="shared" si="1"/>
        <v>0</v>
      </c>
      <c r="V46" s="25" t="s">
        <v>8</v>
      </c>
      <c r="W46" s="11">
        <f>IFERROR(VLOOKUP(V46,Curr!$B$2:$C$13,2,FALSE),0)</f>
        <v>1</v>
      </c>
      <c r="X46" s="12">
        <f t="shared" si="2"/>
        <v>0</v>
      </c>
      <c r="Y46" s="26">
        <f>Q46/11.3/0.8</f>
        <v>193.58407079646017</v>
      </c>
      <c r="Z46" s="12">
        <f t="shared" si="4"/>
        <v>0</v>
      </c>
      <c r="AA46" s="4" t="s">
        <v>10</v>
      </c>
      <c r="AB46" s="11">
        <f>IFERROR(VLOOKUP(AA46,Curr!$B$2:$C$13,2,FALSE),0)</f>
        <v>11.2</v>
      </c>
      <c r="AC46" s="12">
        <f t="shared" si="5"/>
        <v>0</v>
      </c>
      <c r="AD46" s="12">
        <f t="shared" si="6"/>
        <v>0</v>
      </c>
      <c r="AE46" s="13">
        <f t="shared" si="7"/>
        <v>0</v>
      </c>
    </row>
    <row r="47" spans="2:31" x14ac:dyDescent="0.25">
      <c r="B47" s="4"/>
      <c r="C47" s="1" t="s">
        <v>69</v>
      </c>
      <c r="D47" s="1" t="s">
        <v>93</v>
      </c>
      <c r="E47" s="3"/>
      <c r="F47" s="3"/>
      <c r="G47" s="24"/>
      <c r="H47" s="24"/>
      <c r="J47" s="1" t="s">
        <v>96</v>
      </c>
      <c r="K47" s="4"/>
      <c r="L47" s="4"/>
      <c r="M47" s="4"/>
      <c r="N47" s="4"/>
      <c r="O47" s="4"/>
      <c r="P47" s="27"/>
      <c r="Q47" s="25">
        <v>1290</v>
      </c>
      <c r="R47" s="25">
        <v>0</v>
      </c>
      <c r="S47" s="12">
        <f t="shared" si="0"/>
        <v>0</v>
      </c>
      <c r="T47" s="5">
        <v>0.15</v>
      </c>
      <c r="U47" s="12">
        <f t="shared" si="1"/>
        <v>0</v>
      </c>
      <c r="V47" s="25" t="s">
        <v>8</v>
      </c>
      <c r="W47" s="11">
        <f>IFERROR(VLOOKUP(V47,Curr!$B$2:$C$13,2,FALSE),0)</f>
        <v>1</v>
      </c>
      <c r="X47" s="12">
        <f t="shared" si="2"/>
        <v>0</v>
      </c>
      <c r="Y47" s="26">
        <f>Q47/11.3/0.98</f>
        <v>116.48907350550839</v>
      </c>
      <c r="Z47" s="12">
        <f t="shared" si="4"/>
        <v>0</v>
      </c>
      <c r="AA47" s="4" t="s">
        <v>10</v>
      </c>
      <c r="AB47" s="11">
        <f>IFERROR(VLOOKUP(AA47,Curr!$B$2:$C$13,2,FALSE),0)</f>
        <v>11.2</v>
      </c>
      <c r="AC47" s="12">
        <f t="shared" si="5"/>
        <v>0</v>
      </c>
      <c r="AD47" s="12">
        <f t="shared" si="6"/>
        <v>0</v>
      </c>
      <c r="AE47" s="13">
        <f t="shared" si="7"/>
        <v>0</v>
      </c>
    </row>
    <row r="48" spans="2:31" x14ac:dyDescent="0.25">
      <c r="B48" s="4"/>
      <c r="C48" s="1" t="s">
        <v>80</v>
      </c>
      <c r="D48" s="1" t="s">
        <v>93</v>
      </c>
      <c r="E48" s="3"/>
      <c r="F48" s="3"/>
      <c r="G48" s="24"/>
      <c r="H48" s="24"/>
      <c r="J48" s="1" t="s">
        <v>97</v>
      </c>
      <c r="K48" s="4"/>
      <c r="L48" s="4"/>
      <c r="M48" s="4"/>
      <c r="N48" s="4"/>
      <c r="O48" s="4"/>
      <c r="P48" s="33"/>
      <c r="Q48" s="25">
        <v>1690</v>
      </c>
      <c r="R48" s="25">
        <v>0</v>
      </c>
      <c r="S48" s="12">
        <f t="shared" si="0"/>
        <v>0</v>
      </c>
      <c r="T48" s="5">
        <v>0.15</v>
      </c>
      <c r="U48" s="12">
        <f t="shared" si="1"/>
        <v>0</v>
      </c>
      <c r="V48" s="25" t="s">
        <v>8</v>
      </c>
      <c r="W48" s="11">
        <f>IFERROR(VLOOKUP(V48,Curr!$B$2:$C$13,2,FALSE),0)</f>
        <v>1</v>
      </c>
      <c r="X48" s="12">
        <f t="shared" si="2"/>
        <v>0</v>
      </c>
      <c r="Y48" s="26">
        <f>Q48/11.3/0.98</f>
        <v>152.60971645295285</v>
      </c>
      <c r="Z48" s="12">
        <f t="shared" si="4"/>
        <v>0</v>
      </c>
      <c r="AA48" s="4" t="s">
        <v>10</v>
      </c>
      <c r="AB48" s="11">
        <f>IFERROR(VLOOKUP(AA48,Curr!$B$2:$C$13,2,FALSE),0)</f>
        <v>11.2</v>
      </c>
      <c r="AC48" s="12">
        <f t="shared" si="5"/>
        <v>0</v>
      </c>
      <c r="AD48" s="12">
        <f t="shared" si="6"/>
        <v>0</v>
      </c>
      <c r="AE48" s="13">
        <f t="shared" si="7"/>
        <v>0</v>
      </c>
    </row>
    <row r="49" spans="2:36" x14ac:dyDescent="0.25">
      <c r="B49" s="4"/>
      <c r="C49" s="1" t="s">
        <v>80</v>
      </c>
      <c r="D49" s="1" t="s">
        <v>93</v>
      </c>
      <c r="E49" s="3"/>
      <c r="F49" s="3"/>
      <c r="G49" s="24"/>
      <c r="H49" s="24"/>
      <c r="J49" s="1" t="s">
        <v>99</v>
      </c>
      <c r="K49" s="4"/>
      <c r="L49" s="4"/>
      <c r="M49" s="4"/>
      <c r="N49" s="4"/>
      <c r="O49" s="4"/>
      <c r="P49" s="27"/>
      <c r="Q49" s="25">
        <v>900</v>
      </c>
      <c r="R49" s="25">
        <v>0</v>
      </c>
      <c r="S49" s="12">
        <f t="shared" si="0"/>
        <v>0</v>
      </c>
      <c r="T49" s="5">
        <v>0</v>
      </c>
      <c r="U49" s="12">
        <f t="shared" si="1"/>
        <v>0</v>
      </c>
      <c r="V49" s="25" t="s">
        <v>8</v>
      </c>
      <c r="W49" s="11">
        <f>IFERROR(VLOOKUP(V49,Curr!$B$2:$C$13,2,FALSE),0)</f>
        <v>1</v>
      </c>
      <c r="X49" s="12">
        <f t="shared" si="2"/>
        <v>0</v>
      </c>
      <c r="Y49" s="26">
        <f t="shared" ref="Y49:Y50" si="15">Q49/11.3/0.8</f>
        <v>99.55752212389379</v>
      </c>
      <c r="Z49" s="12">
        <f t="shared" si="4"/>
        <v>0</v>
      </c>
      <c r="AA49" s="4" t="s">
        <v>10</v>
      </c>
      <c r="AB49" s="11">
        <f>IFERROR(VLOOKUP(AA49,Curr!$B$2:$C$13,2,FALSE),0)</f>
        <v>11.2</v>
      </c>
      <c r="AC49" s="12">
        <f t="shared" si="5"/>
        <v>0</v>
      </c>
      <c r="AD49" s="12">
        <f t="shared" si="6"/>
        <v>0</v>
      </c>
      <c r="AE49" s="13">
        <f t="shared" si="7"/>
        <v>0</v>
      </c>
    </row>
    <row r="50" spans="2:36" x14ac:dyDescent="0.25">
      <c r="B50" s="4"/>
      <c r="C50" s="1" t="s">
        <v>81</v>
      </c>
      <c r="D50" s="1" t="s">
        <v>93</v>
      </c>
      <c r="E50" s="3"/>
      <c r="F50" s="3"/>
      <c r="G50" s="24"/>
      <c r="H50" s="24"/>
      <c r="J50" s="1" t="s">
        <v>98</v>
      </c>
      <c r="K50" s="4"/>
      <c r="L50" s="4"/>
      <c r="M50" s="4"/>
      <c r="N50" s="4"/>
      <c r="O50" s="4"/>
      <c r="P50" s="33"/>
      <c r="Q50" s="25">
        <v>900</v>
      </c>
      <c r="R50" s="25">
        <v>0</v>
      </c>
      <c r="S50" s="12">
        <f t="shared" si="0"/>
        <v>0</v>
      </c>
      <c r="T50" s="5">
        <v>0</v>
      </c>
      <c r="U50" s="12">
        <f t="shared" si="1"/>
        <v>0</v>
      </c>
      <c r="V50" s="25" t="s">
        <v>8</v>
      </c>
      <c r="W50" s="11">
        <f>IFERROR(VLOOKUP(V50,Curr!$B$2:$C$13,2,FALSE),0)</f>
        <v>1</v>
      </c>
      <c r="X50" s="12">
        <f t="shared" si="2"/>
        <v>0</v>
      </c>
      <c r="Y50" s="26">
        <f t="shared" si="15"/>
        <v>99.55752212389379</v>
      </c>
      <c r="Z50" s="12">
        <f t="shared" si="4"/>
        <v>0</v>
      </c>
      <c r="AA50" s="4" t="s">
        <v>10</v>
      </c>
      <c r="AB50" s="11">
        <f>IFERROR(VLOOKUP(AA50,Curr!$B$2:$C$13,2,FALSE),0)</f>
        <v>11.2</v>
      </c>
      <c r="AC50" s="12">
        <f t="shared" si="5"/>
        <v>0</v>
      </c>
      <c r="AD50" s="12">
        <f t="shared" si="6"/>
        <v>0</v>
      </c>
      <c r="AE50" s="13">
        <f t="shared" si="7"/>
        <v>0</v>
      </c>
    </row>
    <row r="51" spans="2:36" x14ac:dyDescent="0.25">
      <c r="B51" s="4"/>
      <c r="E51" s="3"/>
      <c r="F51" s="3"/>
      <c r="G51" s="24"/>
      <c r="H51" s="24"/>
      <c r="K51" s="4"/>
      <c r="L51" s="4"/>
      <c r="M51" s="4"/>
      <c r="N51" s="4"/>
      <c r="O51" s="4"/>
      <c r="P51" s="27"/>
      <c r="Q51" s="25"/>
      <c r="R51" s="25"/>
      <c r="S51" s="12">
        <f t="shared" si="0"/>
        <v>0</v>
      </c>
      <c r="T51" s="5">
        <v>0</v>
      </c>
      <c r="U51" s="12">
        <f t="shared" si="1"/>
        <v>0</v>
      </c>
      <c r="V51" s="25" t="s">
        <v>10</v>
      </c>
      <c r="W51" s="11">
        <f>IFERROR(VLOOKUP(V51,Curr!$B$2:$C$13,2,FALSE),0)</f>
        <v>11.2</v>
      </c>
      <c r="X51" s="12">
        <f t="shared" si="2"/>
        <v>0</v>
      </c>
      <c r="Y51" s="26">
        <f t="shared" si="3"/>
        <v>0</v>
      </c>
      <c r="Z51" s="12">
        <f t="shared" si="4"/>
        <v>0</v>
      </c>
      <c r="AA51" s="4" t="s">
        <v>10</v>
      </c>
      <c r="AB51" s="11">
        <f>IFERROR(VLOOKUP(AA51,Curr!$B$2:$C$13,2,FALSE),0)</f>
        <v>11.2</v>
      </c>
      <c r="AC51" s="12">
        <f t="shared" si="5"/>
        <v>0</v>
      </c>
      <c r="AD51" s="12">
        <f t="shared" si="6"/>
        <v>0</v>
      </c>
      <c r="AE51" s="13">
        <f t="shared" si="7"/>
        <v>0</v>
      </c>
    </row>
    <row r="52" spans="2:36" x14ac:dyDescent="0.25">
      <c r="B52" s="4"/>
      <c r="C52" s="1" t="s">
        <v>63</v>
      </c>
      <c r="D52" s="1" t="s">
        <v>94</v>
      </c>
      <c r="E52" s="3"/>
      <c r="F52" s="3"/>
      <c r="G52" s="24"/>
      <c r="H52" s="24"/>
      <c r="J52" s="1" t="s">
        <v>105</v>
      </c>
      <c r="K52" s="4"/>
      <c r="L52" s="4"/>
      <c r="M52" s="4"/>
      <c r="N52" s="4"/>
      <c r="O52" s="4"/>
      <c r="P52" s="27"/>
      <c r="Q52" s="25"/>
      <c r="R52" s="25"/>
      <c r="S52" s="12">
        <f t="shared" si="0"/>
        <v>0</v>
      </c>
      <c r="T52" s="5">
        <v>0</v>
      </c>
      <c r="U52" s="12">
        <f t="shared" si="1"/>
        <v>0</v>
      </c>
      <c r="V52" s="25" t="s">
        <v>10</v>
      </c>
      <c r="W52" s="11">
        <f>IFERROR(VLOOKUP(V52,Curr!$B$2:$C$13,2,FALSE),0)</f>
        <v>11.2</v>
      </c>
      <c r="X52" s="12">
        <f t="shared" si="2"/>
        <v>0</v>
      </c>
      <c r="Y52" s="26">
        <f t="shared" si="3"/>
        <v>0</v>
      </c>
      <c r="Z52" s="12">
        <f t="shared" si="4"/>
        <v>0</v>
      </c>
      <c r="AA52" s="4" t="s">
        <v>10</v>
      </c>
      <c r="AB52" s="11">
        <f>IFERROR(VLOOKUP(AA52,Curr!$B$2:$C$13,2,FALSE),0)</f>
        <v>11.2</v>
      </c>
      <c r="AC52" s="12">
        <f t="shared" si="5"/>
        <v>0</v>
      </c>
      <c r="AD52" s="12">
        <f t="shared" si="6"/>
        <v>0</v>
      </c>
      <c r="AE52" s="13">
        <f t="shared" si="7"/>
        <v>0</v>
      </c>
    </row>
    <row r="53" spans="2:36" x14ac:dyDescent="0.25">
      <c r="B53" s="4"/>
      <c r="C53" s="1" t="s">
        <v>63</v>
      </c>
      <c r="D53" s="1" t="s">
        <v>94</v>
      </c>
      <c r="E53" s="3"/>
      <c r="F53" s="3"/>
      <c r="G53" s="24"/>
      <c r="H53" s="24"/>
      <c r="J53" s="1" t="s">
        <v>105</v>
      </c>
      <c r="K53" s="4"/>
      <c r="L53" s="4"/>
      <c r="M53" s="4"/>
      <c r="N53" s="4"/>
      <c r="O53" s="4"/>
      <c r="P53" s="33"/>
      <c r="Q53" s="25">
        <v>450</v>
      </c>
      <c r="R53" s="25">
        <v>0</v>
      </c>
      <c r="S53" s="12">
        <f t="shared" si="0"/>
        <v>0</v>
      </c>
      <c r="T53" s="5">
        <v>0</v>
      </c>
      <c r="U53" s="12">
        <f t="shared" si="1"/>
        <v>0</v>
      </c>
      <c r="V53" s="25" t="s">
        <v>8</v>
      </c>
      <c r="W53" s="11">
        <f>IFERROR(VLOOKUP(V53,Curr!$B$2:$C$13,2,FALSE),0)</f>
        <v>1</v>
      </c>
      <c r="X53" s="12">
        <f t="shared" si="2"/>
        <v>0</v>
      </c>
      <c r="Y53" s="26">
        <f>Q53/11.3/0.8</f>
        <v>49.778761061946895</v>
      </c>
      <c r="Z53" s="12">
        <f t="shared" si="4"/>
        <v>0</v>
      </c>
      <c r="AA53" s="4" t="s">
        <v>10</v>
      </c>
      <c r="AB53" s="11">
        <f>IFERROR(VLOOKUP(AA53,Curr!$B$2:$C$13,2,FALSE),0)</f>
        <v>11.2</v>
      </c>
      <c r="AC53" s="12">
        <f t="shared" si="5"/>
        <v>0</v>
      </c>
      <c r="AD53" s="12">
        <f t="shared" si="6"/>
        <v>0</v>
      </c>
      <c r="AE53" s="13">
        <f t="shared" si="7"/>
        <v>0</v>
      </c>
    </row>
    <row r="54" spans="2:36" x14ac:dyDescent="0.25">
      <c r="B54" s="4"/>
      <c r="C54" s="1" t="s">
        <v>78</v>
      </c>
      <c r="D54" s="1" t="s">
        <v>94</v>
      </c>
      <c r="E54" s="3"/>
      <c r="F54" s="3"/>
      <c r="G54" s="24"/>
      <c r="H54" s="24"/>
      <c r="J54" s="1" t="s">
        <v>106</v>
      </c>
      <c r="K54" s="4"/>
      <c r="L54" s="4"/>
      <c r="M54" s="4"/>
      <c r="N54" s="4"/>
      <c r="O54" s="4" t="s">
        <v>42</v>
      </c>
      <c r="P54" s="33" t="s">
        <v>107</v>
      </c>
      <c r="Q54" s="25">
        <v>71</v>
      </c>
      <c r="R54" s="25">
        <v>0</v>
      </c>
      <c r="S54" s="12">
        <f t="shared" si="0"/>
        <v>0</v>
      </c>
      <c r="T54" s="5">
        <v>0.2</v>
      </c>
      <c r="U54" s="12">
        <f t="shared" si="1"/>
        <v>0</v>
      </c>
      <c r="V54" s="25" t="s">
        <v>10</v>
      </c>
      <c r="W54" s="11">
        <f>IFERROR(VLOOKUP(V54,Curr!$B$2:$C$13,2,FALSE),0)</f>
        <v>11.2</v>
      </c>
      <c r="X54" s="12">
        <f t="shared" si="2"/>
        <v>0</v>
      </c>
      <c r="Y54" s="26">
        <f t="shared" ref="Y54" si="16">Q54</f>
        <v>71</v>
      </c>
      <c r="Z54" s="12">
        <f t="shared" si="4"/>
        <v>0</v>
      </c>
      <c r="AA54" s="4" t="s">
        <v>10</v>
      </c>
      <c r="AB54" s="11">
        <f>IFERROR(VLOOKUP(AA54,Curr!$B$2:$C$13,2,FALSE),0)</f>
        <v>11.2</v>
      </c>
      <c r="AC54" s="12">
        <f t="shared" si="5"/>
        <v>0</v>
      </c>
      <c r="AD54" s="12">
        <f t="shared" si="6"/>
        <v>0</v>
      </c>
      <c r="AE54" s="13">
        <f t="shared" si="7"/>
        <v>0</v>
      </c>
    </row>
    <row r="55" spans="2:36" x14ac:dyDescent="0.25">
      <c r="B55" s="4"/>
      <c r="C55" s="1" t="s">
        <v>81</v>
      </c>
      <c r="D55" s="1" t="s">
        <v>94</v>
      </c>
      <c r="E55" s="3"/>
      <c r="F55" s="3"/>
      <c r="G55" s="24"/>
      <c r="H55" s="24"/>
      <c r="J55" s="1" t="s">
        <v>118</v>
      </c>
      <c r="K55" s="4"/>
      <c r="L55" s="4"/>
      <c r="M55" s="4"/>
      <c r="N55" s="4"/>
      <c r="O55" s="4" t="s">
        <v>42</v>
      </c>
      <c r="P55" s="33" t="s">
        <v>119</v>
      </c>
      <c r="Q55" s="25">
        <v>2195</v>
      </c>
      <c r="R55" s="25">
        <v>0</v>
      </c>
      <c r="S55" s="12">
        <f t="shared" si="0"/>
        <v>0</v>
      </c>
      <c r="T55" s="5">
        <v>0.2</v>
      </c>
      <c r="U55" s="12">
        <f t="shared" si="1"/>
        <v>0</v>
      </c>
      <c r="V55" s="25" t="s">
        <v>8</v>
      </c>
      <c r="W55" s="11">
        <f>IFERROR(VLOOKUP(V55,Curr!$B$2:$C$13,2,FALSE),0)</f>
        <v>1</v>
      </c>
      <c r="X55" s="12">
        <f t="shared" si="2"/>
        <v>0</v>
      </c>
      <c r="Y55" s="26">
        <f t="shared" ref="Y55" si="17">Q55/11.3</f>
        <v>194.24778761061947</v>
      </c>
      <c r="Z55" s="12">
        <f t="shared" si="4"/>
        <v>0</v>
      </c>
      <c r="AA55" s="4" t="s">
        <v>10</v>
      </c>
      <c r="AB55" s="11">
        <f>IFERROR(VLOOKUP(AA55,Curr!$B$2:$C$13,2,FALSE),0)</f>
        <v>11.2</v>
      </c>
      <c r="AC55" s="12">
        <f t="shared" si="5"/>
        <v>0</v>
      </c>
      <c r="AD55" s="12">
        <f t="shared" si="6"/>
        <v>0</v>
      </c>
      <c r="AE55" s="13">
        <f t="shared" si="7"/>
        <v>0</v>
      </c>
    </row>
    <row r="56" spans="2:36" x14ac:dyDescent="0.25">
      <c r="B56" s="4"/>
      <c r="E56" s="3"/>
      <c r="F56" s="3"/>
      <c r="G56" s="24"/>
      <c r="H56" s="24"/>
      <c r="K56" s="4"/>
      <c r="L56" s="4"/>
      <c r="M56" s="4"/>
      <c r="N56" s="4"/>
      <c r="O56" s="4"/>
      <c r="P56" s="27"/>
      <c r="Q56" s="25"/>
      <c r="R56" s="25"/>
      <c r="S56" s="12">
        <f t="shared" si="0"/>
        <v>0</v>
      </c>
      <c r="T56" s="5">
        <v>0</v>
      </c>
      <c r="U56" s="12">
        <f t="shared" si="1"/>
        <v>0</v>
      </c>
      <c r="V56" s="25" t="s">
        <v>10</v>
      </c>
      <c r="W56" s="11">
        <f>IFERROR(VLOOKUP(V56,Curr!$B$2:$C$13,2,FALSE),0)</f>
        <v>11.2</v>
      </c>
      <c r="X56" s="12">
        <f t="shared" si="2"/>
        <v>0</v>
      </c>
      <c r="Y56" s="26">
        <f t="shared" si="3"/>
        <v>0</v>
      </c>
      <c r="Z56" s="12">
        <f t="shared" si="4"/>
        <v>0</v>
      </c>
      <c r="AA56" s="4" t="s">
        <v>10</v>
      </c>
      <c r="AB56" s="11">
        <f>IFERROR(VLOOKUP(AA56,Curr!$B$2:$C$13,2,FALSE),0)</f>
        <v>11.2</v>
      </c>
      <c r="AC56" s="12">
        <f t="shared" si="5"/>
        <v>0</v>
      </c>
      <c r="AD56" s="12">
        <f t="shared" si="6"/>
        <v>0</v>
      </c>
      <c r="AE56" s="13">
        <f t="shared" si="7"/>
        <v>0</v>
      </c>
    </row>
    <row r="57" spans="2:36" x14ac:dyDescent="0.25">
      <c r="B57" s="4"/>
      <c r="E57" s="3"/>
      <c r="F57" s="3"/>
      <c r="G57" s="24"/>
      <c r="H57" s="24"/>
      <c r="K57" s="4"/>
      <c r="L57" s="4"/>
      <c r="M57" s="4"/>
      <c r="N57" s="4"/>
      <c r="O57" s="4"/>
      <c r="P57" s="27"/>
      <c r="Q57" s="25"/>
      <c r="R57" s="25"/>
      <c r="S57" s="12">
        <f t="shared" si="0"/>
        <v>0</v>
      </c>
      <c r="T57" s="5">
        <v>0</v>
      </c>
      <c r="U57" s="12">
        <f t="shared" si="1"/>
        <v>0</v>
      </c>
      <c r="V57" s="25" t="s">
        <v>10</v>
      </c>
      <c r="W57" s="11">
        <f>IFERROR(VLOOKUP(V57,Curr!$B$2:$C$13,2,FALSE),0)</f>
        <v>11.2</v>
      </c>
      <c r="X57" s="12">
        <f t="shared" si="2"/>
        <v>0</v>
      </c>
      <c r="Y57" s="26">
        <f t="shared" si="3"/>
        <v>0</v>
      </c>
      <c r="Z57" s="12">
        <f t="shared" si="4"/>
        <v>0</v>
      </c>
      <c r="AA57" s="4" t="s">
        <v>10</v>
      </c>
      <c r="AB57" s="11">
        <f>IFERROR(VLOOKUP(AA57,Curr!$B$2:$C$13,2,FALSE),0)</f>
        <v>11.2</v>
      </c>
      <c r="AC57" s="12">
        <f t="shared" si="5"/>
        <v>0</v>
      </c>
      <c r="AD57" s="12">
        <f t="shared" si="6"/>
        <v>0</v>
      </c>
      <c r="AE57" s="13">
        <f t="shared" si="7"/>
        <v>0</v>
      </c>
    </row>
    <row r="58" spans="2:36" x14ac:dyDescent="0.25">
      <c r="B58" s="4"/>
      <c r="E58" s="3"/>
      <c r="F58" s="3"/>
      <c r="G58" s="24"/>
      <c r="H58" s="24"/>
      <c r="K58" s="4"/>
      <c r="L58" s="4"/>
      <c r="M58" s="4"/>
      <c r="N58" s="4"/>
      <c r="O58" s="4"/>
      <c r="P58" s="27"/>
      <c r="Q58" s="25"/>
      <c r="R58" s="25"/>
      <c r="S58" s="12">
        <f t="shared" si="0"/>
        <v>0</v>
      </c>
      <c r="T58" s="5">
        <v>0</v>
      </c>
      <c r="U58" s="12">
        <f t="shared" si="1"/>
        <v>0</v>
      </c>
      <c r="V58" s="25" t="s">
        <v>10</v>
      </c>
      <c r="W58" s="11">
        <f>IFERROR(VLOOKUP(V58,Curr!$B$2:$C$13,2,FALSE),0)</f>
        <v>11.2</v>
      </c>
      <c r="X58" s="12">
        <f t="shared" si="2"/>
        <v>0</v>
      </c>
      <c r="Y58" s="26">
        <f t="shared" si="3"/>
        <v>0</v>
      </c>
      <c r="Z58" s="12">
        <f t="shared" si="4"/>
        <v>0</v>
      </c>
      <c r="AA58" s="4" t="s">
        <v>10</v>
      </c>
      <c r="AB58" s="11">
        <f>IFERROR(VLOOKUP(AA58,Curr!$B$2:$C$13,2,FALSE),0)</f>
        <v>11.2</v>
      </c>
      <c r="AC58" s="12">
        <f t="shared" si="5"/>
        <v>0</v>
      </c>
      <c r="AD58" s="12">
        <f t="shared" si="6"/>
        <v>0</v>
      </c>
      <c r="AE58" s="13">
        <f t="shared" si="7"/>
        <v>0</v>
      </c>
    </row>
    <row r="59" spans="2:36" x14ac:dyDescent="0.25">
      <c r="B59" s="4"/>
      <c r="E59" s="3"/>
      <c r="F59" s="3"/>
      <c r="G59" s="24"/>
      <c r="H59" s="24"/>
      <c r="K59" s="4"/>
      <c r="L59" s="4"/>
      <c r="M59" s="4"/>
      <c r="N59" s="4"/>
      <c r="O59" s="4"/>
      <c r="P59" s="27"/>
      <c r="Q59" s="25"/>
      <c r="R59" s="25"/>
      <c r="S59" s="12">
        <f t="shared" si="0"/>
        <v>0</v>
      </c>
      <c r="T59" s="5">
        <v>0</v>
      </c>
      <c r="U59" s="12">
        <f t="shared" si="1"/>
        <v>0</v>
      </c>
      <c r="V59" s="25" t="s">
        <v>10</v>
      </c>
      <c r="W59" s="11">
        <f>IFERROR(VLOOKUP(V59,Curr!$B$2:$C$13,2,FALSE),0)</f>
        <v>11.2</v>
      </c>
      <c r="X59" s="12">
        <f t="shared" si="2"/>
        <v>0</v>
      </c>
      <c r="Y59" s="26">
        <f t="shared" si="3"/>
        <v>0</v>
      </c>
      <c r="Z59" s="12">
        <f t="shared" si="4"/>
        <v>0</v>
      </c>
      <c r="AA59" s="4" t="s">
        <v>10</v>
      </c>
      <c r="AB59" s="11">
        <f>IFERROR(VLOOKUP(AA59,Curr!$B$2:$C$13,2,FALSE),0)</f>
        <v>11.2</v>
      </c>
      <c r="AC59" s="12">
        <f t="shared" si="5"/>
        <v>0</v>
      </c>
      <c r="AD59" s="12">
        <f t="shared" si="6"/>
        <v>0</v>
      </c>
      <c r="AE59" s="13">
        <f t="shared" si="7"/>
        <v>0</v>
      </c>
    </row>
    <row r="60" spans="2:36" x14ac:dyDescent="0.25">
      <c r="B60" s="4"/>
      <c r="E60" s="3"/>
      <c r="F60" s="3"/>
      <c r="G60" s="24"/>
      <c r="H60" s="24"/>
      <c r="K60" s="4"/>
      <c r="L60" s="4"/>
      <c r="M60" s="4"/>
      <c r="N60" s="4"/>
      <c r="O60" s="4"/>
      <c r="P60" s="27"/>
      <c r="Q60" s="25"/>
      <c r="R60" s="25"/>
      <c r="S60" s="12">
        <f t="shared" si="0"/>
        <v>0</v>
      </c>
      <c r="T60" s="5">
        <v>0</v>
      </c>
      <c r="U60" s="12">
        <f t="shared" si="1"/>
        <v>0</v>
      </c>
      <c r="V60" s="25" t="s">
        <v>10</v>
      </c>
      <c r="W60" s="11">
        <f>IFERROR(VLOOKUP(V60,Curr!$B$2:$C$13,2,FALSE),0)</f>
        <v>11.2</v>
      </c>
      <c r="X60" s="12">
        <f t="shared" si="2"/>
        <v>0</v>
      </c>
      <c r="Y60" s="26">
        <f t="shared" si="3"/>
        <v>0</v>
      </c>
      <c r="Z60" s="12">
        <f t="shared" si="4"/>
        <v>0</v>
      </c>
      <c r="AA60" s="4" t="s">
        <v>10</v>
      </c>
      <c r="AB60" s="11">
        <f>IFERROR(VLOOKUP(AA60,Curr!$B$2:$C$13,2,FALSE),0)</f>
        <v>11.2</v>
      </c>
      <c r="AC60" s="12">
        <f t="shared" si="5"/>
        <v>0</v>
      </c>
      <c r="AD60" s="12">
        <f t="shared" si="6"/>
        <v>0</v>
      </c>
      <c r="AE60" s="13">
        <f t="shared" si="7"/>
        <v>0</v>
      </c>
    </row>
    <row r="61" spans="2:36" x14ac:dyDescent="0.25">
      <c r="B61" s="4"/>
      <c r="E61" s="3"/>
      <c r="F61" s="3"/>
      <c r="G61" s="24"/>
      <c r="H61" s="24"/>
      <c r="K61" s="4"/>
      <c r="L61" s="4"/>
      <c r="M61" s="4"/>
      <c r="N61" s="4"/>
      <c r="O61" s="4"/>
      <c r="P61" s="27"/>
      <c r="Q61" s="25"/>
      <c r="R61" s="25"/>
      <c r="S61" s="12">
        <f t="shared" si="0"/>
        <v>0</v>
      </c>
      <c r="T61" s="5">
        <v>0</v>
      </c>
      <c r="U61" s="12">
        <f t="shared" si="1"/>
        <v>0</v>
      </c>
      <c r="V61" s="25" t="s">
        <v>10</v>
      </c>
      <c r="W61" s="11">
        <f>IFERROR(VLOOKUP(V61,Curr!$B$2:$C$13,2,FALSE),0)</f>
        <v>11.2</v>
      </c>
      <c r="X61" s="12">
        <f t="shared" si="2"/>
        <v>0</v>
      </c>
      <c r="Y61" s="26">
        <f t="shared" si="3"/>
        <v>0</v>
      </c>
      <c r="Z61" s="12">
        <f t="shared" si="4"/>
        <v>0</v>
      </c>
      <c r="AA61" s="4" t="s">
        <v>10</v>
      </c>
      <c r="AB61" s="11">
        <f>IFERROR(VLOOKUP(AA61,Curr!$B$2:$C$13,2,FALSE),0)</f>
        <v>11.2</v>
      </c>
      <c r="AC61" s="12">
        <f t="shared" si="5"/>
        <v>0</v>
      </c>
      <c r="AD61" s="12">
        <f t="shared" si="6"/>
        <v>0</v>
      </c>
      <c r="AE61" s="13">
        <f t="shared" si="7"/>
        <v>0</v>
      </c>
    </row>
    <row r="62" spans="2:36" x14ac:dyDescent="0.25">
      <c r="B62" s="4"/>
      <c r="E62" s="3"/>
      <c r="F62" s="3"/>
      <c r="G62" s="3"/>
      <c r="H62" s="3"/>
      <c r="L62" s="4"/>
      <c r="M62" s="4"/>
      <c r="N62" s="4"/>
      <c r="O62" s="4"/>
      <c r="P62" s="22"/>
      <c r="Q62" s="4"/>
      <c r="R62" s="4"/>
      <c r="S62" s="4"/>
      <c r="T62" s="4"/>
      <c r="U62" s="4"/>
      <c r="V62" s="4"/>
      <c r="W62" s="4"/>
      <c r="X62" s="4"/>
      <c r="Y62" s="4"/>
      <c r="Z62" s="4"/>
      <c r="AA62" s="4"/>
      <c r="AB62" s="4"/>
      <c r="AC62" s="4"/>
      <c r="AD62" s="4"/>
      <c r="AE62" s="4"/>
      <c r="AF62" s="4"/>
    </row>
    <row r="63" spans="2:36" x14ac:dyDescent="0.25">
      <c r="B63" s="14" t="s">
        <v>18</v>
      </c>
      <c r="C63" s="14"/>
      <c r="D63" s="28" t="s">
        <v>42</v>
      </c>
      <c r="E63" s="30" t="s">
        <v>42</v>
      </c>
      <c r="F63" s="30" t="s">
        <v>42</v>
      </c>
      <c r="G63" s="30" t="s">
        <v>42</v>
      </c>
      <c r="H63" s="30" t="s">
        <v>42</v>
      </c>
      <c r="I63" s="28" t="s">
        <v>42</v>
      </c>
      <c r="J63" s="28" t="s">
        <v>42</v>
      </c>
      <c r="K63" s="28" t="s">
        <v>42</v>
      </c>
      <c r="L63" s="28" t="s">
        <v>42</v>
      </c>
      <c r="M63" s="28" t="s">
        <v>42</v>
      </c>
      <c r="N63" s="28" t="s">
        <v>42</v>
      </c>
      <c r="O63" s="28" t="s">
        <v>42</v>
      </c>
      <c r="P63" s="28" t="s">
        <v>42</v>
      </c>
      <c r="Q63" s="31" t="s">
        <v>42</v>
      </c>
      <c r="R63" s="28" t="s">
        <v>42</v>
      </c>
      <c r="S63" s="32" t="s">
        <v>42</v>
      </c>
      <c r="T63" s="28" t="s">
        <v>42</v>
      </c>
      <c r="U63" s="32" t="s">
        <v>42</v>
      </c>
      <c r="V63" s="28" t="s">
        <v>42</v>
      </c>
      <c r="W63" s="28" t="s">
        <v>42</v>
      </c>
      <c r="X63" s="32" t="s">
        <v>42</v>
      </c>
      <c r="Y63" s="32" t="s">
        <v>42</v>
      </c>
      <c r="Z63" s="15">
        <f>SUM(Z7:Z61)</f>
        <v>3831.2928740817861</v>
      </c>
      <c r="AA63" s="14"/>
      <c r="AB63" s="14"/>
      <c r="AC63" s="15">
        <f>SUM(AC7:AC61)</f>
        <v>42910.480189716007</v>
      </c>
      <c r="AD63" s="15">
        <f>SUM(AD7:AD61)</f>
        <v>7830.8801897160029</v>
      </c>
      <c r="AE63" s="21">
        <f t="shared" ref="AE63" si="18">IFERROR(AD63/AC63,0)</f>
        <v>0.18249341781061598</v>
      </c>
      <c r="AF63" s="15">
        <f>SUM(AF8:AF62)</f>
        <v>0</v>
      </c>
      <c r="AG63" s="15">
        <f>SUM(AG8:AG62)</f>
        <v>0</v>
      </c>
      <c r="AH63" s="15">
        <f>SUM(AH8:AH62)</f>
        <v>0</v>
      </c>
      <c r="AI63" s="15">
        <f>SUM(AI8:AI62)</f>
        <v>0</v>
      </c>
      <c r="AJ63" s="15">
        <f>SUM(AJ8:AJ62)</f>
        <v>0</v>
      </c>
    </row>
    <row r="64" spans="2:36" x14ac:dyDescent="0.25">
      <c r="B64" s="4"/>
      <c r="E64" s="3"/>
      <c r="F64" s="3"/>
      <c r="G64" s="3"/>
      <c r="H64" s="3"/>
      <c r="L64" s="4"/>
      <c r="M64" s="4"/>
      <c r="N64" s="4"/>
      <c r="O64" s="4"/>
      <c r="Q64" s="4"/>
      <c r="R64" s="4"/>
      <c r="S64" s="4"/>
      <c r="T64" s="4"/>
      <c r="U64" s="4"/>
      <c r="V64" s="4"/>
      <c r="W64" s="4"/>
      <c r="X64" s="4"/>
      <c r="Y64" s="9"/>
      <c r="Z64" s="9"/>
      <c r="AA64" s="9"/>
      <c r="AB64" s="9"/>
      <c r="AC64" s="9"/>
      <c r="AD64" s="9"/>
      <c r="AE64" s="9"/>
    </row>
    <row r="65" spans="2:32" x14ac:dyDescent="0.25">
      <c r="B65" s="4"/>
      <c r="E65" s="3"/>
      <c r="F65" s="3"/>
      <c r="G65" s="3"/>
      <c r="H65" s="3"/>
      <c r="L65" s="4"/>
      <c r="M65" s="4"/>
      <c r="N65" s="4"/>
      <c r="O65" s="4"/>
      <c r="Q65" s="9"/>
      <c r="R65" s="9"/>
      <c r="S65" s="9"/>
      <c r="T65" s="9"/>
      <c r="U65" s="9"/>
      <c r="V65" s="9"/>
      <c r="W65" s="9"/>
      <c r="X65" s="23"/>
      <c r="Y65" s="34" t="s">
        <v>102</v>
      </c>
      <c r="Z65" s="34">
        <v>1940</v>
      </c>
      <c r="AA65" s="9"/>
      <c r="AB65" s="9"/>
      <c r="AC65" s="9"/>
      <c r="AD65" s="9"/>
      <c r="AE65" s="9"/>
    </row>
    <row r="66" spans="2:32" x14ac:dyDescent="0.25">
      <c r="B66" s="4"/>
      <c r="E66" s="3"/>
      <c r="F66" s="3"/>
      <c r="G66" s="3"/>
      <c r="H66" s="3"/>
      <c r="L66" s="4"/>
      <c r="M66" s="4"/>
      <c r="N66" s="4"/>
      <c r="O66" s="4"/>
      <c r="Q66" s="9"/>
      <c r="R66" s="9"/>
      <c r="S66" s="9"/>
      <c r="T66" s="9"/>
      <c r="U66" s="9"/>
      <c r="V66" s="9"/>
      <c r="W66" s="9"/>
      <c r="X66" s="9"/>
      <c r="Y66" s="35" t="s">
        <v>103</v>
      </c>
      <c r="Z66" s="34">
        <f>Z9+Z15+Z21+Z29+Z31</f>
        <v>2004.1124414367514</v>
      </c>
      <c r="AA66" s="9"/>
      <c r="AB66" s="9"/>
      <c r="AC66" s="9"/>
      <c r="AD66" s="9"/>
      <c r="AE66" s="9"/>
      <c r="AF66" s="18"/>
    </row>
    <row r="67" spans="2:32" x14ac:dyDescent="0.25">
      <c r="B67" s="4"/>
      <c r="E67" s="3"/>
      <c r="F67" s="3"/>
      <c r="G67" s="3"/>
      <c r="H67" s="3"/>
      <c r="I67" s="19"/>
      <c r="L67" s="4"/>
      <c r="M67" s="4"/>
      <c r="N67" s="4"/>
      <c r="O67" s="20"/>
      <c r="Q67" s="20"/>
      <c r="R67" s="20"/>
      <c r="S67" s="20"/>
      <c r="T67" s="20"/>
      <c r="U67" s="20"/>
      <c r="V67" s="20"/>
      <c r="W67" s="20"/>
      <c r="X67" s="20"/>
      <c r="Y67" s="34" t="s">
        <v>104</v>
      </c>
      <c r="Z67" s="34">
        <v>3840</v>
      </c>
      <c r="AA67" s="9"/>
      <c r="AB67" s="9"/>
      <c r="AC67" s="9"/>
      <c r="AD67" s="9"/>
      <c r="AE67" s="9"/>
      <c r="AF67" s="18"/>
    </row>
    <row r="68" spans="2:32" x14ac:dyDescent="0.25">
      <c r="B68" s="4"/>
      <c r="E68" s="3"/>
      <c r="F68" s="3"/>
      <c r="G68" s="3"/>
      <c r="H68" s="3"/>
      <c r="L68" s="4"/>
      <c r="M68" s="4"/>
      <c r="N68" s="4"/>
      <c r="O68" s="20"/>
      <c r="Q68" s="20"/>
      <c r="R68" s="20"/>
      <c r="S68" s="20"/>
      <c r="T68" s="20"/>
      <c r="U68" s="20"/>
      <c r="V68" s="20"/>
      <c r="W68" s="20"/>
      <c r="X68" s="20"/>
      <c r="Y68" s="34" t="s">
        <v>43</v>
      </c>
      <c r="Z68" s="34">
        <f>Z67/2</f>
        <v>1920</v>
      </c>
      <c r="AA68" s="9"/>
      <c r="AB68" s="9"/>
      <c r="AC68" s="9"/>
      <c r="AD68" s="9"/>
      <c r="AE68" s="9"/>
      <c r="AF68" s="18"/>
    </row>
    <row r="69" spans="2:32" x14ac:dyDescent="0.25">
      <c r="B69" s="4"/>
      <c r="E69" s="3"/>
      <c r="F69" s="3"/>
      <c r="G69" s="3"/>
      <c r="H69" s="3"/>
      <c r="L69" s="4"/>
      <c r="M69" s="4"/>
      <c r="N69" s="4"/>
      <c r="O69" s="4"/>
      <c r="Q69" s="9"/>
      <c r="R69" s="9"/>
      <c r="S69" s="9"/>
      <c r="T69" s="9"/>
      <c r="U69" s="9"/>
      <c r="V69" s="9"/>
      <c r="W69" s="9"/>
      <c r="X69" s="9"/>
      <c r="Y69" s="1"/>
      <c r="Z69" s="1"/>
      <c r="AA69" s="9"/>
      <c r="AB69" s="9"/>
      <c r="AC69" s="9"/>
      <c r="AD69" s="9"/>
      <c r="AE69" s="9"/>
      <c r="AF69" s="18"/>
    </row>
    <row r="70" spans="2:32" x14ac:dyDescent="0.25">
      <c r="F70" s="1"/>
      <c r="G70" s="1"/>
      <c r="H70" s="1"/>
      <c r="J70" s="1" t="s">
        <v>32</v>
      </c>
      <c r="Q70" s="9"/>
      <c r="R70" s="4"/>
      <c r="S70" s="9"/>
      <c r="T70" s="5"/>
      <c r="U70" s="9"/>
      <c r="V70" s="4"/>
      <c r="W70" s="4"/>
      <c r="X70" s="9"/>
      <c r="Y70" s="9"/>
      <c r="Z70" s="9"/>
      <c r="AA70" s="9"/>
      <c r="AB70" s="9"/>
      <c r="AC70" s="9"/>
      <c r="AD70" s="9"/>
      <c r="AE70" s="9"/>
    </row>
    <row r="71" spans="2:32" x14ac:dyDescent="0.25">
      <c r="R71" s="4"/>
      <c r="S71" s="17"/>
      <c r="T71" s="17"/>
      <c r="U71" s="9"/>
      <c r="V71" s="4"/>
      <c r="W71" s="4"/>
      <c r="X71" s="9"/>
      <c r="Y71" s="9"/>
      <c r="Z71" s="9" t="s">
        <v>330</v>
      </c>
      <c r="AA71" s="9"/>
      <c r="AB71" s="9"/>
      <c r="AC71" s="9"/>
      <c r="AD71" s="9"/>
      <c r="AE71" s="9"/>
    </row>
    <row r="72" spans="2:32" x14ac:dyDescent="0.25">
      <c r="Q72" s="9"/>
      <c r="R72" s="4"/>
      <c r="S72" s="16"/>
      <c r="T72" s="16"/>
      <c r="U72" s="9"/>
      <c r="V72" s="4"/>
      <c r="W72" s="4"/>
      <c r="X72" s="9"/>
      <c r="Y72" s="37" t="s">
        <v>325</v>
      </c>
      <c r="Z72" s="9">
        <f>Z67</f>
        <v>3840</v>
      </c>
      <c r="AA72" s="9"/>
      <c r="AB72" s="9"/>
      <c r="AC72" s="9"/>
      <c r="AD72" s="9"/>
      <c r="AE72" s="9"/>
    </row>
    <row r="73" spans="2:32" x14ac:dyDescent="0.25">
      <c r="R73" s="4"/>
      <c r="S73" s="16"/>
      <c r="T73" s="16"/>
      <c r="Y73" s="37" t="s">
        <v>326</v>
      </c>
      <c r="Z73" s="9">
        <f>Z72*1.18</f>
        <v>4531.2</v>
      </c>
      <c r="AA73" s="9"/>
      <c r="AB73" s="9"/>
      <c r="AC73" s="9"/>
      <c r="AD73" s="9"/>
      <c r="AE73" s="9"/>
    </row>
    <row r="74" spans="2:32" x14ac:dyDescent="0.25">
      <c r="T74" s="5"/>
      <c r="Y74" s="37" t="s">
        <v>327</v>
      </c>
      <c r="Z74" s="9">
        <f>Z72*1.25</f>
        <v>4800</v>
      </c>
      <c r="AA74" s="9"/>
      <c r="AB74" s="9"/>
      <c r="AC74" s="9"/>
      <c r="AD74" s="9"/>
      <c r="AE74" s="9"/>
    </row>
    <row r="75" spans="2:32" x14ac:dyDescent="0.25">
      <c r="T75" s="5"/>
      <c r="Y75" s="37" t="s">
        <v>328</v>
      </c>
      <c r="Z75" s="9">
        <f>Z72*0.85</f>
        <v>3264</v>
      </c>
      <c r="AA75" s="9"/>
      <c r="AB75" s="9"/>
      <c r="AC75" s="9"/>
      <c r="AD75" s="9"/>
      <c r="AE75" s="9"/>
    </row>
    <row r="76" spans="2:32" x14ac:dyDescent="0.25">
      <c r="T76" s="5"/>
      <c r="Y76" s="37" t="s">
        <v>307</v>
      </c>
      <c r="Z76" s="9" t="s">
        <v>329</v>
      </c>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c r="Y79" s="9"/>
      <c r="Z79" s="9"/>
      <c r="AA79" s="9"/>
      <c r="AB79" s="9"/>
      <c r="AC79" s="9"/>
      <c r="AD79" s="9"/>
      <c r="AE79" s="9"/>
    </row>
    <row r="80" spans="2:32" x14ac:dyDescent="0.25">
      <c r="T80" s="5"/>
      <c r="Y80" s="9"/>
      <c r="Z80" s="9"/>
      <c r="AA80" s="9"/>
      <c r="AB80" s="9"/>
      <c r="AC80" s="9"/>
      <c r="AD80" s="9"/>
      <c r="AE80" s="9"/>
    </row>
    <row r="81" spans="20:31" x14ac:dyDescent="0.25">
      <c r="T81" s="5"/>
      <c r="Y81" s="9"/>
      <c r="Z81" s="9"/>
      <c r="AA81" s="9"/>
      <c r="AB81" s="9"/>
      <c r="AC81" s="9"/>
      <c r="AD81" s="9"/>
      <c r="AE81" s="9"/>
    </row>
    <row r="82" spans="20:31" x14ac:dyDescent="0.25">
      <c r="T82" s="5"/>
    </row>
    <row r="83" spans="20:31" x14ac:dyDescent="0.25">
      <c r="T83" s="5"/>
    </row>
    <row r="84" spans="20:31" x14ac:dyDescent="0.25">
      <c r="T84" s="5"/>
    </row>
    <row r="85" spans="20:31" x14ac:dyDescent="0.25">
      <c r="T85" s="5"/>
    </row>
    <row r="86" spans="20:31" x14ac:dyDescent="0.25">
      <c r="T86" s="5"/>
    </row>
  </sheetData>
  <autoFilter ref="B6:AE63" xr:uid="{65FA6D9B-E0AF-46CD-BA0D-86BB75FE6AB0}"/>
  <hyperlinks>
    <hyperlink ref="P13" r:id="rId1" xr:uid="{C1E9233F-663E-46C7-AB8F-A338FA9A19F3}"/>
    <hyperlink ref="P19" r:id="rId2" xr:uid="{16E9B8B5-F31C-428B-A542-9584521331DA}"/>
    <hyperlink ref="P24" r:id="rId3" xr:uid="{6E8558F2-2873-4350-9134-AD8040B82D61}"/>
    <hyperlink ref="P25" r:id="rId4" xr:uid="{CF709638-44A4-46E1-B268-8F1798748B47}"/>
    <hyperlink ref="P33" r:id="rId5" xr:uid="{C6E27A9D-57C2-461A-8ACD-8872F0FCAB7A}"/>
    <hyperlink ref="P35" r:id="rId6" xr:uid="{DEF0AAC3-D559-4809-ABCE-1AF9DC0DA23A}"/>
    <hyperlink ref="P39" r:id="rId7" xr:uid="{942ECDFF-EA91-4BD5-BA02-56986EB4F4BF}"/>
    <hyperlink ref="P54" r:id="rId8" xr:uid="{A83AE041-8DF1-4BB6-881B-772896779317}"/>
    <hyperlink ref="P55" r:id="rId9" xr:uid="{47381176-2465-4865-B952-F65FF97B98A5}"/>
    <hyperlink ref="P37" r:id="rId10" xr:uid="{A07C09BC-A757-43DA-80EA-F0CA553503AC}"/>
  </hyperlinks>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6CE73-C001-45F2-B995-45495F476096}">
  <sheetPr>
    <tabColor rgb="FFFFFF00"/>
  </sheetPr>
  <dimension ref="B1:AK88"/>
  <sheetViews>
    <sheetView topLeftCell="A9" zoomScale="85" zoomScaleNormal="85" workbookViewId="0">
      <selection activeCell="J34" sqref="J34"/>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163</v>
      </c>
    </row>
    <row r="2" spans="2:36" x14ac:dyDescent="0.25">
      <c r="B2" s="2" t="s">
        <v>60</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62" si="0">+Q7*R7</f>
        <v>0</v>
      </c>
      <c r="T7" s="5">
        <v>0</v>
      </c>
      <c r="U7" s="12">
        <f t="shared" ref="U7:U62" si="1">S7*(1-T7)</f>
        <v>0</v>
      </c>
      <c r="V7" s="25" t="s">
        <v>10</v>
      </c>
      <c r="W7" s="11">
        <f>IFERROR(VLOOKUP(V7,Curr!$B$2:$C$13,2,FALSE),0)</f>
        <v>11.2</v>
      </c>
      <c r="X7" s="12">
        <f t="shared" ref="X7:X62" si="2">U7*W7</f>
        <v>0</v>
      </c>
      <c r="Y7" s="26">
        <f t="shared" ref="Y7:Y62" si="3">Q7</f>
        <v>0</v>
      </c>
      <c r="Z7" s="12">
        <f t="shared" ref="Z7:Z62" si="4">+Y7*R7</f>
        <v>0</v>
      </c>
      <c r="AA7" s="4" t="s">
        <v>10</v>
      </c>
      <c r="AB7" s="11">
        <f>IFERROR(VLOOKUP(AA7,Curr!$B$2:$C$13,2,FALSE),0)</f>
        <v>11.2</v>
      </c>
      <c r="AC7" s="12">
        <f t="shared" ref="AC7:AC62" si="5">+Y7*AB7*R7</f>
        <v>0</v>
      </c>
      <c r="AD7" s="12">
        <f t="shared" ref="AD7:AD62" si="6">+AC7-X7</f>
        <v>0</v>
      </c>
      <c r="AE7" s="13">
        <f t="shared" ref="AE7:AE62"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70</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Q9/0.85</f>
        <v>176.47058823529412</v>
      </c>
      <c r="Z9" s="12">
        <f t="shared" si="4"/>
        <v>176.47058823529412</v>
      </c>
      <c r="AA9" s="4" t="s">
        <v>10</v>
      </c>
      <c r="AB9" s="11">
        <f>IFERROR(VLOOKUP(AA9,Curr!$B$2:$C$13,2,FALSE),0)</f>
        <v>11.2</v>
      </c>
      <c r="AC9" s="12">
        <f t="shared" si="5"/>
        <v>1976.4705882352939</v>
      </c>
      <c r="AD9" s="12">
        <f t="shared" si="6"/>
        <v>296.47058823529392</v>
      </c>
      <c r="AE9" s="13">
        <f t="shared" si="7"/>
        <v>0.14999999999999991</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27"/>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66</v>
      </c>
      <c r="E13" s="3"/>
      <c r="F13" s="3"/>
      <c r="G13" s="24"/>
      <c r="H13" s="24"/>
      <c r="J13" s="1" t="s">
        <v>72</v>
      </c>
      <c r="K13" s="4"/>
      <c r="L13" s="4"/>
      <c r="M13" s="4"/>
      <c r="N13" s="4"/>
      <c r="O13" s="4" t="s">
        <v>42</v>
      </c>
      <c r="P13" s="33" t="s">
        <v>65</v>
      </c>
      <c r="Q13" s="25">
        <v>2400</v>
      </c>
      <c r="R13" s="25">
        <v>1</v>
      </c>
      <c r="S13" s="12">
        <f t="shared" si="0"/>
        <v>2400</v>
      </c>
      <c r="T13" s="5">
        <v>0</v>
      </c>
      <c r="U13" s="12">
        <f t="shared" si="1"/>
        <v>2400</v>
      </c>
      <c r="V13" s="25" t="s">
        <v>8</v>
      </c>
      <c r="W13" s="11">
        <f>IFERROR(VLOOKUP(V13,Curr!$B$2:$C$13,2,FALSE),0)</f>
        <v>1</v>
      </c>
      <c r="X13" s="12">
        <f t="shared" si="2"/>
        <v>2400</v>
      </c>
      <c r="Y13" s="26">
        <f>Q13/11.3/0.8</f>
        <v>265.48672566371675</v>
      </c>
      <c r="Z13" s="12">
        <f t="shared" si="4"/>
        <v>265.48672566371675</v>
      </c>
      <c r="AA13" s="4" t="s">
        <v>10</v>
      </c>
      <c r="AB13" s="11">
        <f>IFERROR(VLOOKUP(AA13,Curr!$B$2:$C$13,2,FALSE),0)</f>
        <v>11.2</v>
      </c>
      <c r="AC13" s="12">
        <f t="shared" si="5"/>
        <v>2973.4513274336273</v>
      </c>
      <c r="AD13" s="12">
        <f t="shared" si="6"/>
        <v>573.45132743362728</v>
      </c>
      <c r="AE13" s="13">
        <f t="shared" si="7"/>
        <v>0.19285714285714259</v>
      </c>
    </row>
    <row r="14" spans="2:36" x14ac:dyDescent="0.25">
      <c r="B14" s="4"/>
      <c r="C14" s="1" t="s">
        <v>63</v>
      </c>
      <c r="D14" s="1" t="s">
        <v>50</v>
      </c>
      <c r="E14" s="3"/>
      <c r="F14" s="3"/>
      <c r="G14" s="24"/>
      <c r="H14" s="24"/>
      <c r="J14" s="1" t="s">
        <v>67</v>
      </c>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ref="Y14:Y30" si="8">Q14</f>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71</v>
      </c>
      <c r="K15" s="4"/>
      <c r="L15" s="4"/>
      <c r="M15" s="4"/>
      <c r="N15" s="4"/>
      <c r="O15" s="4"/>
      <c r="P15" s="33"/>
      <c r="Q15" s="25">
        <v>280</v>
      </c>
      <c r="R15" s="25">
        <v>1</v>
      </c>
      <c r="S15" s="12">
        <f t="shared" si="0"/>
        <v>280</v>
      </c>
      <c r="T15" s="5">
        <v>0</v>
      </c>
      <c r="U15" s="12">
        <f t="shared" si="1"/>
        <v>280</v>
      </c>
      <c r="V15" s="25" t="s">
        <v>10</v>
      </c>
      <c r="W15" s="11">
        <f>IFERROR(VLOOKUP(V15,Curr!$B$2:$C$13,2,FALSE),0)</f>
        <v>11.2</v>
      </c>
      <c r="X15" s="12">
        <f t="shared" si="2"/>
        <v>3136</v>
      </c>
      <c r="Y15" s="26">
        <f>Q15/0.85</f>
        <v>329.41176470588238</v>
      </c>
      <c r="Z15" s="12">
        <f t="shared" si="4"/>
        <v>329.41176470588238</v>
      </c>
      <c r="AA15" s="4" t="s">
        <v>10</v>
      </c>
      <c r="AB15" s="11">
        <f>IFERROR(VLOOKUP(AA15,Curr!$B$2:$C$13,2,FALSE),0)</f>
        <v>11.2</v>
      </c>
      <c r="AC15" s="12">
        <f t="shared" si="5"/>
        <v>3689.4117647058824</v>
      </c>
      <c r="AD15" s="12">
        <f t="shared" si="6"/>
        <v>553.41176470588243</v>
      </c>
      <c r="AE15" s="13">
        <f t="shared" si="7"/>
        <v>0.15000000000000002</v>
      </c>
    </row>
    <row r="16" spans="2:36" x14ac:dyDescent="0.25">
      <c r="B16" s="4"/>
      <c r="C16" s="1" t="s">
        <v>63</v>
      </c>
      <c r="D16" s="1" t="s">
        <v>53</v>
      </c>
      <c r="E16" s="3"/>
      <c r="F16" s="3"/>
      <c r="G16" s="24"/>
      <c r="H16" s="24"/>
      <c r="J16" s="1" t="s">
        <v>68</v>
      </c>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8"/>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0"/>
        <v>0</v>
      </c>
      <c r="T17" s="5">
        <v>0</v>
      </c>
      <c r="U17" s="12">
        <f t="shared" si="1"/>
        <v>0</v>
      </c>
      <c r="V17" s="25" t="s">
        <v>10</v>
      </c>
      <c r="W17" s="11">
        <f>IFERROR(VLOOKUP(V17,Curr!$B$2:$C$13,2,FALSE),0)</f>
        <v>11.2</v>
      </c>
      <c r="X17" s="12">
        <f t="shared" si="2"/>
        <v>0</v>
      </c>
      <c r="Y17" s="26">
        <f t="shared" si="8"/>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0"/>
        <v>580</v>
      </c>
      <c r="T18" s="5">
        <v>0.2</v>
      </c>
      <c r="U18" s="12">
        <f t="shared" si="1"/>
        <v>464</v>
      </c>
      <c r="V18" s="25" t="s">
        <v>8</v>
      </c>
      <c r="W18" s="11">
        <f>IFERROR(VLOOKUP(V18,Curr!$B$2:$C$13,2,FALSE),0)</f>
        <v>1</v>
      </c>
      <c r="X18" s="12">
        <f t="shared" si="2"/>
        <v>464</v>
      </c>
      <c r="Y18" s="26">
        <f>Q18/11.3/0.64</f>
        <v>40.099557522123888</v>
      </c>
      <c r="Z18" s="12">
        <f t="shared" si="4"/>
        <v>80.199115044247776</v>
      </c>
      <c r="AA18" s="4" t="s">
        <v>10</v>
      </c>
      <c r="AB18" s="11">
        <f>IFERROR(VLOOKUP(AA18,Curr!$B$2:$C$13,2,FALSE),0)</f>
        <v>11.2</v>
      </c>
      <c r="AC18" s="12">
        <f t="shared" si="5"/>
        <v>898.23008849557505</v>
      </c>
      <c r="AD18" s="12">
        <f t="shared" si="6"/>
        <v>434.23008849557505</v>
      </c>
      <c r="AE18" s="13">
        <f t="shared" si="7"/>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0"/>
        <v>350</v>
      </c>
      <c r="T19" s="5">
        <v>0</v>
      </c>
      <c r="U19" s="12">
        <f t="shared" si="1"/>
        <v>350</v>
      </c>
      <c r="V19" s="25" t="s">
        <v>8</v>
      </c>
      <c r="W19" s="11">
        <f>IFERROR(VLOOKUP(V19,Curr!$B$2:$C$13,2,FALSE),0)</f>
        <v>1</v>
      </c>
      <c r="X19" s="12">
        <f t="shared" si="2"/>
        <v>350</v>
      </c>
      <c r="Y19" s="26">
        <f>Q19/11.3/0.5</f>
        <v>30.973451327433626</v>
      </c>
      <c r="Z19" s="12">
        <f t="shared" si="4"/>
        <v>61.946902654867252</v>
      </c>
      <c r="AA19" s="4" t="s">
        <v>10</v>
      </c>
      <c r="AB19" s="11">
        <f>IFERROR(VLOOKUP(AA19,Curr!$B$2:$C$13,2,FALSE),0)</f>
        <v>11.2</v>
      </c>
      <c r="AC19" s="12">
        <f t="shared" si="5"/>
        <v>693.80530973451323</v>
      </c>
      <c r="AD19" s="12">
        <f t="shared" si="6"/>
        <v>343.80530973451323</v>
      </c>
      <c r="AE19" s="13">
        <f t="shared" si="7"/>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si="8"/>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11.2</v>
      </c>
      <c r="X21" s="12">
        <f t="shared" si="2"/>
        <v>0</v>
      </c>
      <c r="Y21" s="26">
        <f t="shared" si="8"/>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50</v>
      </c>
      <c r="E22" s="3"/>
      <c r="F22" s="3"/>
      <c r="G22" s="24"/>
      <c r="H22" s="24"/>
      <c r="J22" s="1" t="s">
        <v>83</v>
      </c>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8"/>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79</v>
      </c>
      <c r="E23" s="3"/>
      <c r="F23" s="3"/>
      <c r="G23" s="24"/>
      <c r="H23" s="24"/>
      <c r="J23" s="1" t="s">
        <v>223</v>
      </c>
      <c r="K23" s="4"/>
      <c r="L23" s="4"/>
      <c r="M23" s="4"/>
      <c r="N23" s="4"/>
      <c r="O23" s="4" t="s">
        <v>42</v>
      </c>
      <c r="P23" s="33"/>
      <c r="Q23" s="25">
        <v>1800</v>
      </c>
      <c r="R23" s="25">
        <v>2</v>
      </c>
      <c r="S23" s="12">
        <f t="shared" si="0"/>
        <v>3600</v>
      </c>
      <c r="T23" s="5">
        <v>0</v>
      </c>
      <c r="U23" s="12">
        <f t="shared" si="1"/>
        <v>3600</v>
      </c>
      <c r="V23" s="25" t="s">
        <v>8</v>
      </c>
      <c r="W23" s="11">
        <f>IFERROR(VLOOKUP(V23,Curr!$B$2:$C$13,2,FALSE),0)</f>
        <v>1</v>
      </c>
      <c r="X23" s="12">
        <f t="shared" si="2"/>
        <v>3600</v>
      </c>
      <c r="Y23" s="26">
        <f>Q23/11.3/0.8</f>
        <v>199.11504424778758</v>
      </c>
      <c r="Z23" s="12">
        <f t="shared" si="4"/>
        <v>398.23008849557516</v>
      </c>
      <c r="AA23" s="4" t="s">
        <v>10</v>
      </c>
      <c r="AB23" s="11">
        <f>IFERROR(VLOOKUP(AA23,Curr!$B$2:$C$13,2,FALSE),0)</f>
        <v>11.2</v>
      </c>
      <c r="AC23" s="12">
        <f t="shared" si="5"/>
        <v>4460.1769911504416</v>
      </c>
      <c r="AD23" s="12">
        <f t="shared" si="6"/>
        <v>860.17699115044161</v>
      </c>
      <c r="AE23" s="13">
        <f t="shared" si="7"/>
        <v>0.1928571428571427</v>
      </c>
    </row>
    <row r="24" spans="2:31" x14ac:dyDescent="0.25">
      <c r="B24" s="4"/>
      <c r="C24" s="1" t="s">
        <v>78</v>
      </c>
      <c r="D24" s="1" t="s">
        <v>50</v>
      </c>
      <c r="E24" s="3"/>
      <c r="F24" s="3"/>
      <c r="G24" s="24"/>
      <c r="H24" s="24"/>
      <c r="J24" s="1" t="s">
        <v>84</v>
      </c>
      <c r="K24" s="4"/>
      <c r="L24" s="4"/>
      <c r="M24" s="4"/>
      <c r="N24" s="4"/>
      <c r="O24" s="4"/>
      <c r="P24" s="33"/>
      <c r="Q24" s="25">
        <v>0</v>
      </c>
      <c r="R24" s="25">
        <v>0</v>
      </c>
      <c r="S24" s="12">
        <f t="shared" si="0"/>
        <v>0</v>
      </c>
      <c r="T24" s="5">
        <v>0</v>
      </c>
      <c r="U24" s="12">
        <f t="shared" si="1"/>
        <v>0</v>
      </c>
      <c r="V24" s="25" t="s">
        <v>8</v>
      </c>
      <c r="W24" s="11">
        <f>IFERROR(VLOOKUP(V24,Curr!$B$2:$C$13,2,FALSE),0)</f>
        <v>1</v>
      </c>
      <c r="X24" s="12">
        <f t="shared" si="2"/>
        <v>0</v>
      </c>
      <c r="Y24" s="26">
        <f>Q24/11.3/0.8</f>
        <v>0</v>
      </c>
      <c r="Z24" s="12">
        <f t="shared" si="4"/>
        <v>0</v>
      </c>
      <c r="AA24" s="4" t="s">
        <v>10</v>
      </c>
      <c r="AB24" s="11">
        <f>IFERROR(VLOOKUP(AA24,Curr!$B$2:$C$13,2,FALSE),0)</f>
        <v>11.2</v>
      </c>
      <c r="AC24" s="12">
        <f t="shared" si="5"/>
        <v>0</v>
      </c>
      <c r="AD24" s="12">
        <f t="shared" si="6"/>
        <v>0</v>
      </c>
      <c r="AE24" s="13">
        <f t="shared" si="7"/>
        <v>0</v>
      </c>
    </row>
    <row r="25" spans="2:31" x14ac:dyDescent="0.25">
      <c r="B25" s="4"/>
      <c r="C25" s="1" t="s">
        <v>78</v>
      </c>
      <c r="D25" s="1" t="s">
        <v>52</v>
      </c>
      <c r="E25" s="3"/>
      <c r="F25" s="3"/>
      <c r="G25" s="24"/>
      <c r="H25" s="24"/>
      <c r="J25" s="1" t="s">
        <v>86</v>
      </c>
      <c r="K25" s="4"/>
      <c r="L25" s="4"/>
      <c r="M25" s="4"/>
      <c r="N25" s="4"/>
      <c r="O25" s="4"/>
      <c r="P25" s="33"/>
      <c r="Q25" s="25">
        <v>500</v>
      </c>
      <c r="R25" s="25">
        <v>1</v>
      </c>
      <c r="S25" s="12">
        <f t="shared" si="0"/>
        <v>500</v>
      </c>
      <c r="T25" s="5">
        <v>0</v>
      </c>
      <c r="U25" s="12">
        <f t="shared" si="1"/>
        <v>500</v>
      </c>
      <c r="V25" s="25" t="s">
        <v>10</v>
      </c>
      <c r="W25" s="11">
        <f>IFERROR(VLOOKUP(V25,Curr!$B$2:$C$13,2,FALSE),0)</f>
        <v>11.2</v>
      </c>
      <c r="X25" s="12">
        <f t="shared" si="2"/>
        <v>5600</v>
      </c>
      <c r="Y25" s="26">
        <f>Q25/0.85</f>
        <v>588.23529411764707</v>
      </c>
      <c r="Z25" s="12">
        <f t="shared" si="4"/>
        <v>588.23529411764707</v>
      </c>
      <c r="AA25" s="4" t="s">
        <v>10</v>
      </c>
      <c r="AB25" s="11">
        <f>IFERROR(VLOOKUP(AA25,Curr!$B$2:$C$13,2,FALSE),0)</f>
        <v>11.2</v>
      </c>
      <c r="AC25" s="12">
        <f t="shared" si="5"/>
        <v>6588.2352941176468</v>
      </c>
      <c r="AD25" s="12">
        <f t="shared" si="6"/>
        <v>988.23529411764684</v>
      </c>
      <c r="AE25" s="13">
        <f t="shared" si="7"/>
        <v>0.14999999999999997</v>
      </c>
    </row>
    <row r="26" spans="2:31" x14ac:dyDescent="0.25">
      <c r="B26" s="4"/>
      <c r="C26" s="1" t="s">
        <v>78</v>
      </c>
      <c r="D26" s="1" t="s">
        <v>53</v>
      </c>
      <c r="E26" s="3"/>
      <c r="F26" s="3"/>
      <c r="G26" s="24"/>
      <c r="H26" s="24"/>
      <c r="J26" s="1" t="s">
        <v>85</v>
      </c>
      <c r="K26" s="4"/>
      <c r="L26" s="4"/>
      <c r="M26" s="4"/>
      <c r="N26" s="4"/>
      <c r="O26" s="4"/>
      <c r="P26" s="33"/>
      <c r="Q26" s="25">
        <v>0</v>
      </c>
      <c r="R26" s="25">
        <v>0</v>
      </c>
      <c r="S26" s="12">
        <f t="shared" si="0"/>
        <v>0</v>
      </c>
      <c r="T26" s="5">
        <v>0</v>
      </c>
      <c r="U26" s="12">
        <f t="shared" si="1"/>
        <v>0</v>
      </c>
      <c r="V26" s="25" t="s">
        <v>10</v>
      </c>
      <c r="W26" s="11">
        <f>IFERROR(VLOOKUP(V26,Curr!$B$2:$C$13,2,FALSE),0)</f>
        <v>11.2</v>
      </c>
      <c r="X26" s="12">
        <f t="shared" si="2"/>
        <v>0</v>
      </c>
      <c r="Y26" s="26">
        <f t="shared" ref="Y26:Y27" si="9">Q26</f>
        <v>0</v>
      </c>
      <c r="Z26" s="12">
        <f t="shared" si="4"/>
        <v>0</v>
      </c>
      <c r="AA26" s="4" t="s">
        <v>10</v>
      </c>
      <c r="AB26" s="11">
        <f>IFERROR(VLOOKUP(AA26,Curr!$B$2:$C$13,2,FALSE),0)</f>
        <v>11.2</v>
      </c>
      <c r="AC26" s="12">
        <f t="shared" si="5"/>
        <v>0</v>
      </c>
      <c r="AD26" s="12">
        <f t="shared" si="6"/>
        <v>0</v>
      </c>
      <c r="AE26" s="13">
        <f t="shared" si="7"/>
        <v>0</v>
      </c>
    </row>
    <row r="27" spans="2:31" x14ac:dyDescent="0.25">
      <c r="B27" s="4"/>
      <c r="C27" s="1" t="s">
        <v>78</v>
      </c>
      <c r="D27" s="1" t="s">
        <v>73</v>
      </c>
      <c r="E27" s="3"/>
      <c r="F27" s="3"/>
      <c r="G27" s="24"/>
      <c r="H27" s="24"/>
      <c r="J27" s="1" t="s">
        <v>87</v>
      </c>
      <c r="K27" s="4"/>
      <c r="L27" s="4"/>
      <c r="M27" s="4"/>
      <c r="N27" s="4"/>
      <c r="O27" s="4" t="s">
        <v>42</v>
      </c>
      <c r="P27" s="33" t="s">
        <v>88</v>
      </c>
      <c r="Q27" s="25">
        <v>105</v>
      </c>
      <c r="R27" s="25">
        <v>2</v>
      </c>
      <c r="S27" s="12">
        <f t="shared" si="0"/>
        <v>210</v>
      </c>
      <c r="T27" s="5">
        <v>0.2</v>
      </c>
      <c r="U27" s="12">
        <f t="shared" si="1"/>
        <v>168</v>
      </c>
      <c r="V27" s="25" t="s">
        <v>10</v>
      </c>
      <c r="W27" s="11">
        <f>IFERROR(VLOOKUP(V27,Curr!$B$2:$C$13,2,FALSE),0)</f>
        <v>11.2</v>
      </c>
      <c r="X27" s="12">
        <f t="shared" si="2"/>
        <v>1881.6</v>
      </c>
      <c r="Y27" s="26">
        <f t="shared" si="9"/>
        <v>105</v>
      </c>
      <c r="Z27" s="12">
        <f t="shared" si="4"/>
        <v>210</v>
      </c>
      <c r="AA27" s="4" t="s">
        <v>10</v>
      </c>
      <c r="AB27" s="11">
        <f>IFERROR(VLOOKUP(AA27,Curr!$B$2:$C$13,2,FALSE),0)</f>
        <v>11.2</v>
      </c>
      <c r="AC27" s="12">
        <f t="shared" si="5"/>
        <v>2352</v>
      </c>
      <c r="AD27" s="12">
        <f t="shared" si="6"/>
        <v>470.40000000000009</v>
      </c>
      <c r="AE27" s="13">
        <f t="shared" si="7"/>
        <v>0.20000000000000004</v>
      </c>
    </row>
    <row r="28" spans="2:31" x14ac:dyDescent="0.25">
      <c r="B28" s="4"/>
      <c r="E28" s="3"/>
      <c r="F28" s="3"/>
      <c r="G28" s="24"/>
      <c r="H28" s="24"/>
      <c r="K28" s="4"/>
      <c r="L28" s="4"/>
      <c r="M28" s="4"/>
      <c r="N28" s="4"/>
      <c r="O28" s="4"/>
      <c r="P28" s="33"/>
      <c r="Q28" s="25"/>
      <c r="R28" s="25"/>
      <c r="S28" s="12">
        <f t="shared" si="0"/>
        <v>0</v>
      </c>
      <c r="T28" s="5">
        <v>0</v>
      </c>
      <c r="U28" s="12">
        <f t="shared" si="1"/>
        <v>0</v>
      </c>
      <c r="V28" s="25" t="s">
        <v>10</v>
      </c>
      <c r="W28" s="11">
        <f>IFERROR(VLOOKUP(V28,Curr!$B$2:$C$13,2,FALSE),0)</f>
        <v>11.2</v>
      </c>
      <c r="X28" s="12">
        <f t="shared" si="2"/>
        <v>0</v>
      </c>
      <c r="Y28" s="26">
        <f t="shared" si="8"/>
        <v>0</v>
      </c>
      <c r="Z28" s="12">
        <f t="shared" si="4"/>
        <v>0</v>
      </c>
      <c r="AA28" s="4" t="s">
        <v>10</v>
      </c>
      <c r="AB28" s="11">
        <f>IFERROR(VLOOKUP(AA28,Curr!$B$2:$C$13,2,FALSE),0)</f>
        <v>11.2</v>
      </c>
      <c r="AC28" s="12">
        <f t="shared" si="5"/>
        <v>0</v>
      </c>
      <c r="AD28" s="12">
        <f t="shared" si="6"/>
        <v>0</v>
      </c>
      <c r="AE28" s="13">
        <f t="shared" si="7"/>
        <v>0</v>
      </c>
    </row>
    <row r="29" spans="2:31" x14ac:dyDescent="0.25">
      <c r="B29" s="4"/>
      <c r="C29" s="1" t="s">
        <v>80</v>
      </c>
      <c r="D29" s="1" t="s">
        <v>73</v>
      </c>
      <c r="E29" s="3"/>
      <c r="F29" s="3"/>
      <c r="G29" s="24"/>
      <c r="H29" s="24"/>
      <c r="J29" s="1" t="s">
        <v>89</v>
      </c>
      <c r="K29" s="4"/>
      <c r="L29" s="4"/>
      <c r="M29" s="4"/>
      <c r="N29" s="4"/>
      <c r="O29" s="4" t="s">
        <v>42</v>
      </c>
      <c r="P29" s="33" t="s">
        <v>90</v>
      </c>
      <c r="Q29" s="25">
        <v>1695</v>
      </c>
      <c r="R29" s="25">
        <v>2</v>
      </c>
      <c r="S29" s="12">
        <f t="shared" si="0"/>
        <v>3390</v>
      </c>
      <c r="T29" s="5">
        <v>0.2</v>
      </c>
      <c r="U29" s="12">
        <f t="shared" si="1"/>
        <v>2712</v>
      </c>
      <c r="V29" s="25" t="s">
        <v>8</v>
      </c>
      <c r="W29" s="11">
        <f>IFERROR(VLOOKUP(V29,Curr!$B$2:$C$13,2,FALSE),0)</f>
        <v>1</v>
      </c>
      <c r="X29" s="12">
        <f t="shared" si="2"/>
        <v>2712</v>
      </c>
      <c r="Y29" s="26">
        <f>Q29/11.3</f>
        <v>150</v>
      </c>
      <c r="Z29" s="12">
        <f t="shared" si="4"/>
        <v>300</v>
      </c>
      <c r="AA29" s="4" t="s">
        <v>10</v>
      </c>
      <c r="AB29" s="11">
        <f>IFERROR(VLOOKUP(AA29,Curr!$B$2:$C$13,2,FALSE),0)</f>
        <v>11.2</v>
      </c>
      <c r="AC29" s="12">
        <f t="shared" si="5"/>
        <v>3360</v>
      </c>
      <c r="AD29" s="12">
        <f t="shared" si="6"/>
        <v>648</v>
      </c>
      <c r="AE29" s="13">
        <f t="shared" si="7"/>
        <v>0.19285714285714287</v>
      </c>
    </row>
    <row r="30" spans="2:31" x14ac:dyDescent="0.25">
      <c r="B30" s="4"/>
      <c r="C30" s="1" t="s">
        <v>80</v>
      </c>
      <c r="D30" s="1" t="s">
        <v>53</v>
      </c>
      <c r="E30" s="3"/>
      <c r="F30" s="3"/>
      <c r="G30" s="24"/>
      <c r="H30" s="24"/>
      <c r="J30" s="1" t="s">
        <v>85</v>
      </c>
      <c r="K30" s="4"/>
      <c r="L30" s="4"/>
      <c r="M30" s="4"/>
      <c r="N30" s="4"/>
      <c r="O30" s="4"/>
      <c r="P30" s="33"/>
      <c r="Q30" s="25">
        <v>0</v>
      </c>
      <c r="R30" s="25">
        <v>0</v>
      </c>
      <c r="S30" s="12">
        <f t="shared" si="0"/>
        <v>0</v>
      </c>
      <c r="T30" s="5">
        <v>0</v>
      </c>
      <c r="U30" s="12">
        <f t="shared" si="1"/>
        <v>0</v>
      </c>
      <c r="V30" s="25" t="s">
        <v>10</v>
      </c>
      <c r="W30" s="11">
        <f>IFERROR(VLOOKUP(V30,Curr!$B$2:$C$13,2,FALSE),0)</f>
        <v>11.2</v>
      </c>
      <c r="X30" s="12">
        <f t="shared" si="2"/>
        <v>0</v>
      </c>
      <c r="Y30" s="26">
        <f t="shared" si="8"/>
        <v>0</v>
      </c>
      <c r="Z30" s="12">
        <f t="shared" si="4"/>
        <v>0</v>
      </c>
      <c r="AA30" s="4" t="s">
        <v>10</v>
      </c>
      <c r="AB30" s="11">
        <f>IFERROR(VLOOKUP(AA30,Curr!$B$2:$C$13,2,FALSE),0)</f>
        <v>11.2</v>
      </c>
      <c r="AC30" s="12">
        <f t="shared" si="5"/>
        <v>0</v>
      </c>
      <c r="AD30" s="12">
        <f t="shared" si="6"/>
        <v>0</v>
      </c>
      <c r="AE30" s="13">
        <f t="shared" si="7"/>
        <v>0</v>
      </c>
    </row>
    <row r="31" spans="2:31" x14ac:dyDescent="0.25">
      <c r="B31" s="4"/>
      <c r="C31" s="1" t="s">
        <v>80</v>
      </c>
      <c r="D31" s="1" t="s">
        <v>73</v>
      </c>
      <c r="E31" s="3"/>
      <c r="F31" s="3"/>
      <c r="G31" s="24"/>
      <c r="H31" s="24"/>
      <c r="J31" s="1" t="s">
        <v>332</v>
      </c>
      <c r="K31" s="4"/>
      <c r="L31" s="4"/>
      <c r="M31" s="4"/>
      <c r="N31" s="4"/>
      <c r="O31" s="4" t="s">
        <v>42</v>
      </c>
      <c r="P31" s="33" t="s">
        <v>333</v>
      </c>
      <c r="Q31" s="25">
        <v>120</v>
      </c>
      <c r="R31" s="25">
        <v>2</v>
      </c>
      <c r="S31" s="12">
        <f t="shared" si="0"/>
        <v>240</v>
      </c>
      <c r="T31" s="5">
        <v>0.2</v>
      </c>
      <c r="U31" s="12">
        <f t="shared" si="1"/>
        <v>192</v>
      </c>
      <c r="V31" s="25" t="s">
        <v>10</v>
      </c>
      <c r="W31" s="11">
        <f>IFERROR(VLOOKUP(V31,Curr!$B$2:$C$13,2,FALSE),0)</f>
        <v>11.2</v>
      </c>
      <c r="X31" s="12">
        <f t="shared" si="2"/>
        <v>2150.3999999999996</v>
      </c>
      <c r="Y31" s="26">
        <f>Q31</f>
        <v>120</v>
      </c>
      <c r="Z31" s="12">
        <f t="shared" si="4"/>
        <v>240</v>
      </c>
      <c r="AA31" s="4" t="s">
        <v>10</v>
      </c>
      <c r="AB31" s="11">
        <f>IFERROR(VLOOKUP(AA31,Curr!$B$2:$C$13,2,FALSE),0)</f>
        <v>11.2</v>
      </c>
      <c r="AC31" s="12">
        <f t="shared" si="5"/>
        <v>2688</v>
      </c>
      <c r="AD31" s="12">
        <f t="shared" si="6"/>
        <v>537.60000000000036</v>
      </c>
      <c r="AE31" s="13">
        <f t="shared" si="7"/>
        <v>0.20000000000000012</v>
      </c>
    </row>
    <row r="32" spans="2:31" x14ac:dyDescent="0.25">
      <c r="B32" s="4"/>
      <c r="E32" s="3"/>
      <c r="F32" s="3"/>
      <c r="G32" s="24"/>
      <c r="H32" s="24"/>
      <c r="K32" s="4"/>
      <c r="L32" s="4"/>
      <c r="M32" s="4"/>
      <c r="N32" s="4"/>
      <c r="O32" s="4"/>
      <c r="P32" s="27"/>
      <c r="Q32" s="25"/>
      <c r="R32" s="25"/>
      <c r="S32" s="12">
        <f t="shared" si="0"/>
        <v>0</v>
      </c>
      <c r="T32" s="5">
        <v>0</v>
      </c>
      <c r="U32" s="12">
        <f t="shared" si="1"/>
        <v>0</v>
      </c>
      <c r="V32" s="25" t="s">
        <v>10</v>
      </c>
      <c r="W32" s="11">
        <f>IFERROR(VLOOKUP(V32,Curr!$B$2:$C$13,2,FALSE),0)</f>
        <v>11.2</v>
      </c>
      <c r="X32" s="12">
        <f t="shared" si="2"/>
        <v>0</v>
      </c>
      <c r="Y32" s="26">
        <f t="shared" si="3"/>
        <v>0</v>
      </c>
      <c r="Z32" s="12">
        <f t="shared" si="4"/>
        <v>0</v>
      </c>
      <c r="AA32" s="4" t="s">
        <v>10</v>
      </c>
      <c r="AB32" s="11">
        <f>IFERROR(VLOOKUP(AA32,Curr!$B$2:$C$13,2,FALSE),0)</f>
        <v>11.2</v>
      </c>
      <c r="AC32" s="12">
        <f t="shared" si="5"/>
        <v>0</v>
      </c>
      <c r="AD32" s="12">
        <f t="shared" si="6"/>
        <v>0</v>
      </c>
      <c r="AE32" s="13">
        <f t="shared" si="7"/>
        <v>0</v>
      </c>
    </row>
    <row r="33" spans="2:31" x14ac:dyDescent="0.25">
      <c r="B33" s="4"/>
      <c r="C33" s="1" t="s">
        <v>81</v>
      </c>
      <c r="D33" s="1" t="s">
        <v>50</v>
      </c>
      <c r="E33" s="3"/>
      <c r="F33" s="3"/>
      <c r="G33" s="24"/>
      <c r="H33" s="24"/>
      <c r="J33" s="1" t="s">
        <v>120</v>
      </c>
      <c r="K33" s="4"/>
      <c r="L33" s="4"/>
      <c r="M33" s="4"/>
      <c r="N33" s="4"/>
      <c r="O33" s="4"/>
      <c r="P33" s="27"/>
      <c r="Q33" s="25">
        <v>0</v>
      </c>
      <c r="R33" s="25">
        <v>0</v>
      </c>
      <c r="S33" s="12">
        <f t="shared" si="0"/>
        <v>0</v>
      </c>
      <c r="T33" s="5">
        <v>0</v>
      </c>
      <c r="U33" s="12">
        <f t="shared" si="1"/>
        <v>0</v>
      </c>
      <c r="V33" s="25" t="s">
        <v>10</v>
      </c>
      <c r="W33" s="11">
        <f>IFERROR(VLOOKUP(V33,Curr!$B$2:$C$13,2,FALSE),0)</f>
        <v>11.2</v>
      </c>
      <c r="X33" s="12">
        <f t="shared" si="2"/>
        <v>0</v>
      </c>
      <c r="Y33" s="26">
        <f t="shared" si="3"/>
        <v>0</v>
      </c>
      <c r="Z33" s="12">
        <f t="shared" si="4"/>
        <v>0</v>
      </c>
      <c r="AA33" s="4" t="s">
        <v>10</v>
      </c>
      <c r="AB33" s="11">
        <f>IFERROR(VLOOKUP(AA33,Curr!$B$2:$C$13,2,FALSE),0)</f>
        <v>11.2</v>
      </c>
      <c r="AC33" s="12">
        <f t="shared" si="5"/>
        <v>0</v>
      </c>
      <c r="AD33" s="12">
        <f t="shared" si="6"/>
        <v>0</v>
      </c>
      <c r="AE33" s="13">
        <f t="shared" si="7"/>
        <v>0</v>
      </c>
    </row>
    <row r="34" spans="2:31" x14ac:dyDescent="0.25">
      <c r="B34" s="4"/>
      <c r="C34" s="1" t="s">
        <v>81</v>
      </c>
      <c r="D34" s="1" t="s">
        <v>73</v>
      </c>
      <c r="E34" s="3"/>
      <c r="F34" s="3"/>
      <c r="G34" s="24"/>
      <c r="H34" s="24"/>
      <c r="J34" s="1" t="s">
        <v>121</v>
      </c>
      <c r="K34" s="4"/>
      <c r="L34" s="4"/>
      <c r="M34" s="4"/>
      <c r="N34" s="4"/>
      <c r="O34" s="4" t="s">
        <v>42</v>
      </c>
      <c r="P34" s="33" t="s">
        <v>122</v>
      </c>
      <c r="Q34" s="25">
        <v>375</v>
      </c>
      <c r="R34" s="25">
        <v>2</v>
      </c>
      <c r="S34" s="12">
        <f t="shared" si="0"/>
        <v>750</v>
      </c>
      <c r="T34" s="5">
        <v>0.2</v>
      </c>
      <c r="U34" s="12">
        <f t="shared" si="1"/>
        <v>600</v>
      </c>
      <c r="V34" s="25" t="s">
        <v>10</v>
      </c>
      <c r="W34" s="11">
        <f>IFERROR(VLOOKUP(V34,Curr!$B$2:$C$13,2,FALSE),0)</f>
        <v>11.2</v>
      </c>
      <c r="X34" s="12">
        <f t="shared" si="2"/>
        <v>6720</v>
      </c>
      <c r="Y34" s="26">
        <f t="shared" si="3"/>
        <v>375</v>
      </c>
      <c r="Z34" s="12">
        <f t="shared" si="4"/>
        <v>750</v>
      </c>
      <c r="AA34" s="4" t="s">
        <v>10</v>
      </c>
      <c r="AB34" s="11">
        <f>IFERROR(VLOOKUP(AA34,Curr!$B$2:$C$13,2,FALSE),0)</f>
        <v>11.2</v>
      </c>
      <c r="AC34" s="12">
        <f t="shared" si="5"/>
        <v>8400</v>
      </c>
      <c r="AD34" s="12">
        <f t="shared" si="6"/>
        <v>1680</v>
      </c>
      <c r="AE34" s="13">
        <f t="shared" si="7"/>
        <v>0.2</v>
      </c>
    </row>
    <row r="35" spans="2:31" x14ac:dyDescent="0.25">
      <c r="B35" s="4"/>
      <c r="E35" s="3"/>
      <c r="F35" s="3"/>
      <c r="G35" s="24"/>
      <c r="H35" s="24"/>
      <c r="K35" s="4"/>
      <c r="L35" s="4"/>
      <c r="M35" s="4"/>
      <c r="N35" s="4"/>
      <c r="O35" s="4"/>
      <c r="P35" s="27"/>
      <c r="Q35" s="25"/>
      <c r="R35" s="25"/>
      <c r="S35" s="12">
        <f t="shared" si="0"/>
        <v>0</v>
      </c>
      <c r="T35" s="5">
        <v>0</v>
      </c>
      <c r="U35" s="12">
        <f t="shared" si="1"/>
        <v>0</v>
      </c>
      <c r="V35" s="25" t="s">
        <v>10</v>
      </c>
      <c r="W35" s="11">
        <f>IFERROR(VLOOKUP(V35,Curr!$B$2:$C$13,2,FALSE),0)</f>
        <v>11.2</v>
      </c>
      <c r="X35" s="12">
        <f t="shared" si="2"/>
        <v>0</v>
      </c>
      <c r="Y35" s="26">
        <f t="shared" si="3"/>
        <v>0</v>
      </c>
      <c r="Z35" s="12">
        <f t="shared" si="4"/>
        <v>0</v>
      </c>
      <c r="AA35" s="4" t="s">
        <v>10</v>
      </c>
      <c r="AB35" s="11">
        <f>IFERROR(VLOOKUP(AA35,Curr!$B$2:$C$13,2,FALSE),0)</f>
        <v>11.2</v>
      </c>
      <c r="AC35" s="12">
        <f t="shared" si="5"/>
        <v>0</v>
      </c>
      <c r="AD35" s="12">
        <f t="shared" si="6"/>
        <v>0</v>
      </c>
      <c r="AE35" s="13">
        <f t="shared" si="7"/>
        <v>0</v>
      </c>
    </row>
    <row r="36" spans="2:31" x14ac:dyDescent="0.25">
      <c r="B36" s="4"/>
      <c r="C36" s="1" t="s">
        <v>114</v>
      </c>
      <c r="D36" s="1" t="s">
        <v>50</v>
      </c>
      <c r="E36" s="3"/>
      <c r="F36" s="3"/>
      <c r="G36" s="24"/>
      <c r="H36" s="24"/>
      <c r="J36" s="1" t="s">
        <v>123</v>
      </c>
      <c r="K36" s="4"/>
      <c r="L36" s="4"/>
      <c r="M36" s="4"/>
      <c r="N36" s="4"/>
      <c r="O36" s="4"/>
      <c r="P36" s="33"/>
      <c r="Q36" s="25">
        <v>0</v>
      </c>
      <c r="R36" s="25">
        <v>0</v>
      </c>
      <c r="S36" s="12">
        <f t="shared" si="0"/>
        <v>0</v>
      </c>
      <c r="T36" s="5">
        <v>0</v>
      </c>
      <c r="U36" s="12">
        <f t="shared" si="1"/>
        <v>0</v>
      </c>
      <c r="V36" s="25" t="s">
        <v>10</v>
      </c>
      <c r="W36" s="11">
        <f>IFERROR(VLOOKUP(V36,Curr!$B$2:$C$13,2,FALSE),0)</f>
        <v>11.2</v>
      </c>
      <c r="X36" s="12">
        <f t="shared" si="2"/>
        <v>0</v>
      </c>
      <c r="Y36" s="26">
        <f t="shared" si="3"/>
        <v>0</v>
      </c>
      <c r="Z36" s="12">
        <f t="shared" si="4"/>
        <v>0</v>
      </c>
      <c r="AA36" s="4" t="s">
        <v>10</v>
      </c>
      <c r="AB36" s="11">
        <f>IFERROR(VLOOKUP(AA36,Curr!$B$2:$C$13,2,FALSE),0)</f>
        <v>11.2</v>
      </c>
      <c r="AC36" s="12">
        <f t="shared" si="5"/>
        <v>0</v>
      </c>
      <c r="AD36" s="12">
        <f t="shared" si="6"/>
        <v>0</v>
      </c>
      <c r="AE36" s="13">
        <f t="shared" si="7"/>
        <v>0</v>
      </c>
    </row>
    <row r="37" spans="2:31" x14ac:dyDescent="0.25">
      <c r="B37" s="4"/>
      <c r="C37" s="1" t="s">
        <v>114</v>
      </c>
      <c r="D37" s="1" t="s">
        <v>50</v>
      </c>
      <c r="E37" s="3"/>
      <c r="F37" s="3"/>
      <c r="G37" s="24"/>
      <c r="H37" s="24"/>
      <c r="J37" s="1" t="s">
        <v>124</v>
      </c>
      <c r="K37" s="4"/>
      <c r="L37" s="4"/>
      <c r="M37" s="4"/>
      <c r="N37" s="4"/>
      <c r="O37" s="4"/>
      <c r="P37" s="33"/>
      <c r="Q37" s="25">
        <v>250</v>
      </c>
      <c r="R37" s="25">
        <v>1</v>
      </c>
      <c r="S37" s="12">
        <f t="shared" si="0"/>
        <v>250</v>
      </c>
      <c r="T37" s="5">
        <v>0</v>
      </c>
      <c r="U37" s="12">
        <f t="shared" si="1"/>
        <v>250</v>
      </c>
      <c r="V37" s="25" t="s">
        <v>10</v>
      </c>
      <c r="W37" s="11">
        <f>IFERROR(VLOOKUP(V37,Curr!$B$2:$C$13,2,FALSE),0)</f>
        <v>11.2</v>
      </c>
      <c r="X37" s="12">
        <f t="shared" si="2"/>
        <v>2800</v>
      </c>
      <c r="Y37" s="26">
        <f>Q37/0.85</f>
        <v>294.11764705882354</v>
      </c>
      <c r="Z37" s="12">
        <f t="shared" si="4"/>
        <v>294.11764705882354</v>
      </c>
      <c r="AA37" s="4" t="s">
        <v>10</v>
      </c>
      <c r="AB37" s="11">
        <f>IFERROR(VLOOKUP(AA37,Curr!$B$2:$C$13,2,FALSE),0)</f>
        <v>11.2</v>
      </c>
      <c r="AC37" s="12">
        <f t="shared" si="5"/>
        <v>3294.1176470588234</v>
      </c>
      <c r="AD37" s="12">
        <f t="shared" si="6"/>
        <v>494.11764705882342</v>
      </c>
      <c r="AE37" s="13">
        <f t="shared" si="7"/>
        <v>0.14999999999999997</v>
      </c>
    </row>
    <row r="38" spans="2:31" x14ac:dyDescent="0.25">
      <c r="B38" s="4"/>
      <c r="C38" s="1" t="s">
        <v>114</v>
      </c>
      <c r="D38" s="1" t="s">
        <v>53</v>
      </c>
      <c r="E38" s="3"/>
      <c r="F38" s="3"/>
      <c r="G38" s="24"/>
      <c r="H38" s="24"/>
      <c r="J38" s="1" t="s">
        <v>85</v>
      </c>
      <c r="K38" s="4"/>
      <c r="L38" s="4"/>
      <c r="M38" s="4"/>
      <c r="N38" s="4"/>
      <c r="O38" s="4"/>
      <c r="P38" s="27"/>
      <c r="Q38" s="25">
        <v>0</v>
      </c>
      <c r="R38" s="25">
        <v>0</v>
      </c>
      <c r="S38" s="12">
        <f t="shared" si="0"/>
        <v>0</v>
      </c>
      <c r="T38" s="5">
        <v>0</v>
      </c>
      <c r="U38" s="12">
        <f t="shared" si="1"/>
        <v>0</v>
      </c>
      <c r="V38" s="25" t="s">
        <v>10</v>
      </c>
      <c r="W38" s="11">
        <f>IFERROR(VLOOKUP(V38,Curr!$B$2:$C$13,2,FALSE),0)</f>
        <v>11.2</v>
      </c>
      <c r="X38" s="12">
        <f t="shared" si="2"/>
        <v>0</v>
      </c>
      <c r="Y38" s="26">
        <f t="shared" si="3"/>
        <v>0</v>
      </c>
      <c r="Z38" s="12">
        <f t="shared" si="4"/>
        <v>0</v>
      </c>
      <c r="AA38" s="4" t="s">
        <v>10</v>
      </c>
      <c r="AB38" s="11">
        <f>IFERROR(VLOOKUP(AA38,Curr!$B$2:$C$13,2,FALSE),0)</f>
        <v>11.2</v>
      </c>
      <c r="AC38" s="12">
        <f t="shared" si="5"/>
        <v>0</v>
      </c>
      <c r="AD38" s="12">
        <f t="shared" si="6"/>
        <v>0</v>
      </c>
      <c r="AE38" s="13">
        <f t="shared" si="7"/>
        <v>0</v>
      </c>
    </row>
    <row r="39" spans="2:31" x14ac:dyDescent="0.25">
      <c r="B39" s="4"/>
      <c r="E39" s="3"/>
      <c r="F39" s="3"/>
      <c r="G39" s="24"/>
      <c r="H39" s="24"/>
      <c r="K39" s="4"/>
      <c r="L39" s="4"/>
      <c r="M39" s="4"/>
      <c r="N39" s="4"/>
      <c r="O39" s="4"/>
      <c r="P39" s="33"/>
      <c r="Q39" s="25"/>
      <c r="R39" s="25"/>
      <c r="S39" s="12">
        <f t="shared" si="0"/>
        <v>0</v>
      </c>
      <c r="T39" s="5">
        <v>0</v>
      </c>
      <c r="U39" s="12">
        <f t="shared" si="1"/>
        <v>0</v>
      </c>
      <c r="V39" s="25" t="s">
        <v>10</v>
      </c>
      <c r="W39" s="11">
        <f>IFERROR(VLOOKUP(V39,Curr!$B$2:$C$13,2,FALSE),0)</f>
        <v>11.2</v>
      </c>
      <c r="X39" s="12">
        <f t="shared" si="2"/>
        <v>0</v>
      </c>
      <c r="Y39" s="26">
        <f t="shared" si="3"/>
        <v>0</v>
      </c>
      <c r="Z39" s="12">
        <f t="shared" si="4"/>
        <v>0</v>
      </c>
      <c r="AA39" s="4" t="s">
        <v>10</v>
      </c>
      <c r="AB39" s="11">
        <f>IFERROR(VLOOKUP(AA39,Curr!$B$2:$C$13,2,FALSE),0)</f>
        <v>11.2</v>
      </c>
      <c r="AC39" s="12">
        <f t="shared" si="5"/>
        <v>0</v>
      </c>
      <c r="AD39" s="12">
        <f t="shared" si="6"/>
        <v>0</v>
      </c>
      <c r="AE39" s="13">
        <f t="shared" si="7"/>
        <v>0</v>
      </c>
    </row>
    <row r="40" spans="2:31" x14ac:dyDescent="0.25">
      <c r="B40" s="4"/>
      <c r="C40" s="1" t="s">
        <v>115</v>
      </c>
      <c r="D40" s="1" t="s">
        <v>50</v>
      </c>
      <c r="E40" s="3"/>
      <c r="F40" s="3"/>
      <c r="G40" s="24"/>
      <c r="H40" s="24"/>
      <c r="J40" s="1" t="s">
        <v>91</v>
      </c>
      <c r="K40" s="4"/>
      <c r="L40" s="4"/>
      <c r="M40" s="4"/>
      <c r="N40" s="4"/>
      <c r="O40" s="4"/>
      <c r="P40" s="33"/>
      <c r="Q40" s="25">
        <v>0</v>
      </c>
      <c r="R40" s="25">
        <v>0</v>
      </c>
      <c r="S40" s="12">
        <f t="shared" si="0"/>
        <v>0</v>
      </c>
      <c r="T40" s="5">
        <v>0</v>
      </c>
      <c r="U40" s="12">
        <f t="shared" si="1"/>
        <v>0</v>
      </c>
      <c r="V40" s="25" t="s">
        <v>8</v>
      </c>
      <c r="W40" s="11">
        <f>IFERROR(VLOOKUP(V40,Curr!$B$2:$C$13,2,FALSE),0)</f>
        <v>1</v>
      </c>
      <c r="X40" s="12">
        <f t="shared" si="2"/>
        <v>0</v>
      </c>
      <c r="Y40" s="26">
        <f>Q40/11.3/0.8</f>
        <v>0</v>
      </c>
      <c r="Z40" s="12">
        <f t="shared" si="4"/>
        <v>0</v>
      </c>
      <c r="AA40" s="4" t="s">
        <v>10</v>
      </c>
      <c r="AB40" s="11">
        <f>IFERROR(VLOOKUP(AA40,Curr!$B$2:$C$13,2,FALSE),0)</f>
        <v>11.2</v>
      </c>
      <c r="AC40" s="12">
        <f t="shared" si="5"/>
        <v>0</v>
      </c>
      <c r="AD40" s="12">
        <f t="shared" si="6"/>
        <v>0</v>
      </c>
      <c r="AE40" s="13">
        <f t="shared" si="7"/>
        <v>0</v>
      </c>
    </row>
    <row r="41" spans="2:31" x14ac:dyDescent="0.25">
      <c r="B41" s="4"/>
      <c r="C41" s="1" t="s">
        <v>115</v>
      </c>
      <c r="D41" s="1" t="s">
        <v>82</v>
      </c>
      <c r="E41" s="3"/>
      <c r="F41" s="3"/>
      <c r="G41" s="24"/>
      <c r="H41" s="24"/>
      <c r="J41" s="1" t="s">
        <v>92</v>
      </c>
      <c r="K41" s="4"/>
      <c r="L41" s="4"/>
      <c r="M41" s="4"/>
      <c r="N41" s="4"/>
      <c r="O41" s="4"/>
      <c r="P41" s="33"/>
      <c r="Q41" s="25">
        <v>0</v>
      </c>
      <c r="R41" s="25">
        <v>0</v>
      </c>
      <c r="S41" s="12">
        <f t="shared" si="0"/>
        <v>0</v>
      </c>
      <c r="T41" s="5">
        <v>0</v>
      </c>
      <c r="U41" s="12">
        <f t="shared" si="1"/>
        <v>0</v>
      </c>
      <c r="V41" s="25" t="s">
        <v>10</v>
      </c>
      <c r="W41" s="11">
        <f>IFERROR(VLOOKUP(V41,Curr!$B$2:$C$13,2,FALSE),0)</f>
        <v>11.2</v>
      </c>
      <c r="X41" s="12">
        <f t="shared" si="2"/>
        <v>0</v>
      </c>
      <c r="Y41" s="26">
        <f t="shared" ref="Y41" si="10">Q41</f>
        <v>0</v>
      </c>
      <c r="Z41" s="12">
        <f t="shared" si="4"/>
        <v>0</v>
      </c>
      <c r="AA41" s="4" t="s">
        <v>10</v>
      </c>
      <c r="AB41" s="11">
        <f>IFERROR(VLOOKUP(AA41,Curr!$B$2:$C$13,2,FALSE),0)</f>
        <v>11.2</v>
      </c>
      <c r="AC41" s="12">
        <f t="shared" si="5"/>
        <v>0</v>
      </c>
      <c r="AD41" s="12">
        <f t="shared" si="6"/>
        <v>0</v>
      </c>
      <c r="AE41" s="13">
        <f t="shared" si="7"/>
        <v>0</v>
      </c>
    </row>
    <row r="42" spans="2:31" x14ac:dyDescent="0.25">
      <c r="B42" s="4"/>
      <c r="E42" s="3"/>
      <c r="F42" s="3"/>
      <c r="G42" s="24"/>
      <c r="H42" s="24"/>
      <c r="K42" s="4"/>
      <c r="L42" s="4"/>
      <c r="M42" s="4"/>
      <c r="N42" s="4"/>
      <c r="O42" s="4"/>
      <c r="P42" s="27"/>
      <c r="Q42" s="25"/>
      <c r="R42" s="25"/>
      <c r="S42" s="12">
        <f t="shared" si="0"/>
        <v>0</v>
      </c>
      <c r="T42" s="5">
        <v>0</v>
      </c>
      <c r="U42" s="12">
        <f t="shared" si="1"/>
        <v>0</v>
      </c>
      <c r="V42" s="25" t="s">
        <v>10</v>
      </c>
      <c r="W42" s="11">
        <f>IFERROR(VLOOKUP(V42,Curr!$B$2:$C$13,2,FALSE),0)</f>
        <v>11.2</v>
      </c>
      <c r="X42" s="12">
        <f t="shared" si="2"/>
        <v>0</v>
      </c>
      <c r="Y42" s="26">
        <f t="shared" si="3"/>
        <v>0</v>
      </c>
      <c r="Z42" s="12">
        <f t="shared" si="4"/>
        <v>0</v>
      </c>
      <c r="AA42" s="4" t="s">
        <v>10</v>
      </c>
      <c r="AB42" s="11">
        <f>IFERROR(VLOOKUP(AA42,Curr!$B$2:$C$13,2,FALSE),0)</f>
        <v>11.2</v>
      </c>
      <c r="AC42" s="12">
        <f t="shared" si="5"/>
        <v>0</v>
      </c>
      <c r="AD42" s="12">
        <f t="shared" si="6"/>
        <v>0</v>
      </c>
      <c r="AE42" s="13">
        <f t="shared" si="7"/>
        <v>0</v>
      </c>
    </row>
    <row r="43" spans="2:31" x14ac:dyDescent="0.25">
      <c r="B43" s="4"/>
      <c r="E43" s="3"/>
      <c r="F43" s="3"/>
      <c r="G43" s="24"/>
      <c r="H43" s="24"/>
      <c r="K43" s="4"/>
      <c r="L43" s="4"/>
      <c r="M43" s="4"/>
      <c r="N43" s="4"/>
      <c r="O43" s="4"/>
      <c r="P43" s="27"/>
      <c r="Q43" s="25"/>
      <c r="R43" s="25"/>
      <c r="S43" s="12">
        <f t="shared" si="0"/>
        <v>0</v>
      </c>
      <c r="T43" s="5">
        <v>0</v>
      </c>
      <c r="U43" s="12">
        <f t="shared" si="1"/>
        <v>0</v>
      </c>
      <c r="V43" s="25" t="s">
        <v>10</v>
      </c>
      <c r="W43" s="11">
        <f>IFERROR(VLOOKUP(V43,Curr!$B$2:$C$13,2,FALSE),0)</f>
        <v>11.2</v>
      </c>
      <c r="X43" s="12">
        <f t="shared" si="2"/>
        <v>0</v>
      </c>
      <c r="Y43" s="26">
        <f t="shared" si="3"/>
        <v>0</v>
      </c>
      <c r="Z43" s="12">
        <f t="shared" si="4"/>
        <v>0</v>
      </c>
      <c r="AA43" s="4" t="s">
        <v>10</v>
      </c>
      <c r="AB43" s="11">
        <f>IFERROR(VLOOKUP(AA43,Curr!$B$2:$C$13,2,FALSE),0)</f>
        <v>11.2</v>
      </c>
      <c r="AC43" s="12">
        <f t="shared" si="5"/>
        <v>0</v>
      </c>
      <c r="AD43" s="12">
        <f t="shared" si="6"/>
        <v>0</v>
      </c>
      <c r="AE43" s="13">
        <f t="shared" si="7"/>
        <v>0</v>
      </c>
    </row>
    <row r="44" spans="2:31" x14ac:dyDescent="0.25">
      <c r="B44" s="4"/>
      <c r="C44" s="1" t="s">
        <v>55</v>
      </c>
      <c r="D44" s="1" t="s">
        <v>93</v>
      </c>
      <c r="E44" s="3"/>
      <c r="F44" s="3"/>
      <c r="G44" s="24"/>
      <c r="H44" s="24"/>
      <c r="J44" s="1" t="s">
        <v>95</v>
      </c>
      <c r="K44" s="4"/>
      <c r="L44" s="4"/>
      <c r="M44" s="4"/>
      <c r="N44" s="4"/>
      <c r="O44" s="4"/>
      <c r="P44" s="33"/>
      <c r="Q44" s="25">
        <v>1750</v>
      </c>
      <c r="R44" s="25">
        <v>0</v>
      </c>
      <c r="S44" s="12">
        <f t="shared" si="0"/>
        <v>0</v>
      </c>
      <c r="T44" s="5">
        <v>0</v>
      </c>
      <c r="U44" s="12">
        <f t="shared" si="1"/>
        <v>0</v>
      </c>
      <c r="V44" s="25" t="s">
        <v>8</v>
      </c>
      <c r="W44" s="11">
        <f>IFERROR(VLOOKUP(V44,Curr!$B$2:$C$13,2,FALSE),0)</f>
        <v>1</v>
      </c>
      <c r="X44" s="12">
        <f t="shared" si="2"/>
        <v>0</v>
      </c>
      <c r="Y44" s="26">
        <f>Q44/11.3/0.8</f>
        <v>193.58407079646017</v>
      </c>
      <c r="Z44" s="12">
        <f t="shared" si="4"/>
        <v>0</v>
      </c>
      <c r="AA44" s="4" t="s">
        <v>10</v>
      </c>
      <c r="AB44" s="11">
        <f>IFERROR(VLOOKUP(AA44,Curr!$B$2:$C$13,2,FALSE),0)</f>
        <v>11.2</v>
      </c>
      <c r="AC44" s="12">
        <f t="shared" si="5"/>
        <v>0</v>
      </c>
      <c r="AD44" s="12">
        <f t="shared" si="6"/>
        <v>0</v>
      </c>
      <c r="AE44" s="13">
        <f t="shared" si="7"/>
        <v>0</v>
      </c>
    </row>
    <row r="45" spans="2:31" x14ac:dyDescent="0.25">
      <c r="B45" s="4"/>
      <c r="C45" s="1" t="s">
        <v>63</v>
      </c>
      <c r="D45" s="1" t="s">
        <v>93</v>
      </c>
      <c r="E45" s="3"/>
      <c r="F45" s="3"/>
      <c r="G45" s="24"/>
      <c r="H45" s="24"/>
      <c r="J45" s="1" t="s">
        <v>96</v>
      </c>
      <c r="K45" s="4"/>
      <c r="L45" s="4"/>
      <c r="M45" s="4"/>
      <c r="N45" s="4"/>
      <c r="O45" s="4"/>
      <c r="P45" s="27"/>
      <c r="Q45" s="25">
        <v>1290</v>
      </c>
      <c r="R45" s="25">
        <v>0</v>
      </c>
      <c r="S45" s="12">
        <f t="shared" si="0"/>
        <v>0</v>
      </c>
      <c r="T45" s="5">
        <v>0.15</v>
      </c>
      <c r="U45" s="12">
        <f t="shared" si="1"/>
        <v>0</v>
      </c>
      <c r="V45" s="25" t="s">
        <v>8</v>
      </c>
      <c r="W45" s="11">
        <f>IFERROR(VLOOKUP(V45,Curr!$B$2:$C$13,2,FALSE),0)</f>
        <v>1</v>
      </c>
      <c r="X45" s="12">
        <f t="shared" si="2"/>
        <v>0</v>
      </c>
      <c r="Y45" s="26">
        <f>Q45/11.3/0.98</f>
        <v>116.48907350550839</v>
      </c>
      <c r="Z45" s="12">
        <f t="shared" si="4"/>
        <v>0</v>
      </c>
      <c r="AA45" s="4" t="s">
        <v>10</v>
      </c>
      <c r="AB45" s="11">
        <f>IFERROR(VLOOKUP(AA45,Curr!$B$2:$C$13,2,FALSE),0)</f>
        <v>11.2</v>
      </c>
      <c r="AC45" s="12">
        <f t="shared" si="5"/>
        <v>0</v>
      </c>
      <c r="AD45" s="12">
        <f t="shared" si="6"/>
        <v>0</v>
      </c>
      <c r="AE45" s="13">
        <f t="shared" si="7"/>
        <v>0</v>
      </c>
    </row>
    <row r="46" spans="2:31" x14ac:dyDescent="0.25">
      <c r="B46" s="4"/>
      <c r="C46" s="1" t="s">
        <v>78</v>
      </c>
      <c r="D46" s="1" t="s">
        <v>93</v>
      </c>
      <c r="E46" s="3"/>
      <c r="F46" s="3"/>
      <c r="G46" s="24"/>
      <c r="H46" s="24"/>
      <c r="J46" s="1" t="s">
        <v>97</v>
      </c>
      <c r="K46" s="4"/>
      <c r="L46" s="4"/>
      <c r="M46" s="4"/>
      <c r="N46" s="4"/>
      <c r="O46" s="4"/>
      <c r="P46" s="33"/>
      <c r="Q46" s="25">
        <v>1690</v>
      </c>
      <c r="R46" s="25">
        <v>0</v>
      </c>
      <c r="S46" s="12">
        <f t="shared" si="0"/>
        <v>0</v>
      </c>
      <c r="T46" s="5">
        <v>0.15</v>
      </c>
      <c r="U46" s="12">
        <f t="shared" si="1"/>
        <v>0</v>
      </c>
      <c r="V46" s="25" t="s">
        <v>8</v>
      </c>
      <c r="W46" s="11">
        <f>IFERROR(VLOOKUP(V46,Curr!$B$2:$C$13,2,FALSE),0)</f>
        <v>1</v>
      </c>
      <c r="X46" s="12">
        <f t="shared" si="2"/>
        <v>0</v>
      </c>
      <c r="Y46" s="26">
        <f>Q46/11.3/0.98</f>
        <v>152.60971645295285</v>
      </c>
      <c r="Z46" s="12">
        <f t="shared" si="4"/>
        <v>0</v>
      </c>
      <c r="AA46" s="4" t="s">
        <v>10</v>
      </c>
      <c r="AB46" s="11">
        <f>IFERROR(VLOOKUP(AA46,Curr!$B$2:$C$13,2,FALSE),0)</f>
        <v>11.2</v>
      </c>
      <c r="AC46" s="12">
        <f t="shared" si="5"/>
        <v>0</v>
      </c>
      <c r="AD46" s="12">
        <f t="shared" si="6"/>
        <v>0</v>
      </c>
      <c r="AE46" s="13">
        <f t="shared" si="7"/>
        <v>0</v>
      </c>
    </row>
    <row r="47" spans="2:31" x14ac:dyDescent="0.25">
      <c r="B47" s="4"/>
      <c r="C47" s="1" t="s">
        <v>78</v>
      </c>
      <c r="D47" s="1" t="s">
        <v>93</v>
      </c>
      <c r="E47" s="3"/>
      <c r="F47" s="3"/>
      <c r="G47" s="24"/>
      <c r="H47" s="24"/>
      <c r="J47" s="1" t="s">
        <v>99</v>
      </c>
      <c r="K47" s="4"/>
      <c r="L47" s="4"/>
      <c r="M47" s="4"/>
      <c r="N47" s="4"/>
      <c r="O47" s="4"/>
      <c r="P47" s="27"/>
      <c r="Q47" s="25">
        <v>900</v>
      </c>
      <c r="R47" s="25">
        <v>0</v>
      </c>
      <c r="S47" s="12">
        <f t="shared" si="0"/>
        <v>0</v>
      </c>
      <c r="T47" s="5">
        <v>0</v>
      </c>
      <c r="U47" s="12">
        <f t="shared" si="1"/>
        <v>0</v>
      </c>
      <c r="V47" s="25" t="s">
        <v>8</v>
      </c>
      <c r="W47" s="11">
        <f>IFERROR(VLOOKUP(V47,Curr!$B$2:$C$13,2,FALSE),0)</f>
        <v>1</v>
      </c>
      <c r="X47" s="12">
        <f t="shared" si="2"/>
        <v>0</v>
      </c>
      <c r="Y47" s="26">
        <f t="shared" ref="Y47:Y48" si="11">Q47/11.3/0.8</f>
        <v>99.55752212389379</v>
      </c>
      <c r="Z47" s="12">
        <f t="shared" si="4"/>
        <v>0</v>
      </c>
      <c r="AA47" s="4" t="s">
        <v>10</v>
      </c>
      <c r="AB47" s="11">
        <f>IFERROR(VLOOKUP(AA47,Curr!$B$2:$C$13,2,FALSE),0)</f>
        <v>11.2</v>
      </c>
      <c r="AC47" s="12">
        <f t="shared" si="5"/>
        <v>0</v>
      </c>
      <c r="AD47" s="12">
        <f t="shared" si="6"/>
        <v>0</v>
      </c>
      <c r="AE47" s="13">
        <f t="shared" si="7"/>
        <v>0</v>
      </c>
    </row>
    <row r="48" spans="2:31" x14ac:dyDescent="0.25">
      <c r="B48" s="4"/>
      <c r="C48" s="1" t="s">
        <v>115</v>
      </c>
      <c r="D48" s="1" t="s">
        <v>93</v>
      </c>
      <c r="E48" s="3"/>
      <c r="F48" s="3"/>
      <c r="G48" s="24"/>
      <c r="H48" s="24"/>
      <c r="J48" s="1" t="s">
        <v>98</v>
      </c>
      <c r="K48" s="4"/>
      <c r="L48" s="4"/>
      <c r="M48" s="4"/>
      <c r="N48" s="4"/>
      <c r="O48" s="4"/>
      <c r="P48" s="33"/>
      <c r="Q48" s="25">
        <v>900</v>
      </c>
      <c r="R48" s="25">
        <v>0</v>
      </c>
      <c r="S48" s="12">
        <f t="shared" si="0"/>
        <v>0</v>
      </c>
      <c r="T48" s="5">
        <v>0</v>
      </c>
      <c r="U48" s="12">
        <f t="shared" si="1"/>
        <v>0</v>
      </c>
      <c r="V48" s="25" t="s">
        <v>8</v>
      </c>
      <c r="W48" s="11">
        <f>IFERROR(VLOOKUP(V48,Curr!$B$2:$C$13,2,FALSE),0)</f>
        <v>1</v>
      </c>
      <c r="X48" s="12">
        <f t="shared" si="2"/>
        <v>0</v>
      </c>
      <c r="Y48" s="26">
        <f t="shared" si="11"/>
        <v>99.55752212389379</v>
      </c>
      <c r="Z48" s="12">
        <f t="shared" si="4"/>
        <v>0</v>
      </c>
      <c r="AA48" s="4" t="s">
        <v>10</v>
      </c>
      <c r="AB48" s="11">
        <f>IFERROR(VLOOKUP(AA48,Curr!$B$2:$C$13,2,FALSE),0)</f>
        <v>11.2</v>
      </c>
      <c r="AC48" s="12">
        <f t="shared" si="5"/>
        <v>0</v>
      </c>
      <c r="AD48" s="12">
        <f t="shared" si="6"/>
        <v>0</v>
      </c>
      <c r="AE48" s="13">
        <f t="shared" si="7"/>
        <v>0</v>
      </c>
    </row>
    <row r="49" spans="2:32" x14ac:dyDescent="0.25">
      <c r="B49" s="4"/>
      <c r="E49" s="3"/>
      <c r="F49" s="3"/>
      <c r="G49" s="24"/>
      <c r="H49" s="24"/>
      <c r="K49" s="4"/>
      <c r="L49" s="4"/>
      <c r="M49" s="4"/>
      <c r="N49" s="4"/>
      <c r="O49" s="4"/>
      <c r="P49" s="33"/>
      <c r="Q49" s="25"/>
      <c r="R49" s="25"/>
      <c r="S49" s="12">
        <f t="shared" si="0"/>
        <v>0</v>
      </c>
      <c r="T49" s="5">
        <v>0</v>
      </c>
      <c r="U49" s="12">
        <f t="shared" si="1"/>
        <v>0</v>
      </c>
      <c r="V49" s="25" t="s">
        <v>10</v>
      </c>
      <c r="W49" s="11">
        <f>IFERROR(VLOOKUP(V49,Curr!$B$2:$C$13,2,FALSE),0)</f>
        <v>11.2</v>
      </c>
      <c r="X49" s="12">
        <f t="shared" si="2"/>
        <v>0</v>
      </c>
      <c r="Y49" s="26">
        <f t="shared" si="3"/>
        <v>0</v>
      </c>
      <c r="Z49" s="12">
        <f t="shared" si="4"/>
        <v>0</v>
      </c>
      <c r="AA49" s="4" t="s">
        <v>10</v>
      </c>
      <c r="AB49" s="11">
        <f>IFERROR(VLOOKUP(AA49,Curr!$B$2:$C$13,2,FALSE),0)</f>
        <v>11.2</v>
      </c>
      <c r="AC49" s="12">
        <f t="shared" si="5"/>
        <v>0</v>
      </c>
      <c r="AD49" s="12">
        <f t="shared" si="6"/>
        <v>0</v>
      </c>
      <c r="AE49" s="13">
        <f t="shared" si="7"/>
        <v>0</v>
      </c>
    </row>
    <row r="50" spans="2:32" x14ac:dyDescent="0.25">
      <c r="B50" s="4"/>
      <c r="E50" s="3"/>
      <c r="F50" s="3"/>
      <c r="G50" s="24"/>
      <c r="H50" s="24"/>
      <c r="K50" s="4"/>
      <c r="L50" s="4"/>
      <c r="M50" s="4"/>
      <c r="N50" s="4"/>
      <c r="O50" s="4"/>
      <c r="P50" s="27"/>
      <c r="Q50" s="25"/>
      <c r="R50" s="25"/>
      <c r="S50" s="12">
        <f t="shared" si="0"/>
        <v>0</v>
      </c>
      <c r="T50" s="5">
        <v>0</v>
      </c>
      <c r="U50" s="12">
        <f t="shared" si="1"/>
        <v>0</v>
      </c>
      <c r="V50" s="25" t="s">
        <v>10</v>
      </c>
      <c r="W50" s="11">
        <f>IFERROR(VLOOKUP(V50,Curr!$B$2:$C$13,2,FALSE),0)</f>
        <v>11.2</v>
      </c>
      <c r="X50" s="12">
        <f t="shared" si="2"/>
        <v>0</v>
      </c>
      <c r="Y50" s="26">
        <f t="shared" si="3"/>
        <v>0</v>
      </c>
      <c r="Z50" s="12">
        <f t="shared" si="4"/>
        <v>0</v>
      </c>
      <c r="AA50" s="4" t="s">
        <v>10</v>
      </c>
      <c r="AB50" s="11">
        <f>IFERROR(VLOOKUP(AA50,Curr!$B$2:$C$13,2,FALSE),0)</f>
        <v>11.2</v>
      </c>
      <c r="AC50" s="12">
        <f t="shared" si="5"/>
        <v>0</v>
      </c>
      <c r="AD50" s="12">
        <f t="shared" si="6"/>
        <v>0</v>
      </c>
      <c r="AE50" s="13">
        <f t="shared" si="7"/>
        <v>0</v>
      </c>
    </row>
    <row r="51" spans="2:32" x14ac:dyDescent="0.25">
      <c r="B51" s="4"/>
      <c r="C51" s="1" t="s">
        <v>63</v>
      </c>
      <c r="D51" s="1" t="s">
        <v>94</v>
      </c>
      <c r="E51" s="3"/>
      <c r="F51" s="3"/>
      <c r="G51" s="24"/>
      <c r="H51" s="24"/>
      <c r="J51" s="1" t="s">
        <v>101</v>
      </c>
      <c r="K51" s="4"/>
      <c r="L51" s="4"/>
      <c r="M51" s="4"/>
      <c r="N51" s="4"/>
      <c r="O51" s="4" t="s">
        <v>42</v>
      </c>
      <c r="P51" s="33" t="s">
        <v>100</v>
      </c>
      <c r="Q51" s="25">
        <v>3250</v>
      </c>
      <c r="R51" s="25">
        <v>0</v>
      </c>
      <c r="S51" s="12">
        <f t="shared" si="0"/>
        <v>0</v>
      </c>
      <c r="T51" s="5">
        <v>0.08</v>
      </c>
      <c r="U51" s="12">
        <f t="shared" si="1"/>
        <v>0</v>
      </c>
      <c r="V51" s="25" t="s">
        <v>8</v>
      </c>
      <c r="W51" s="11">
        <f>IFERROR(VLOOKUP(V51,Curr!$B$2:$C$13,2,FALSE),0)</f>
        <v>1</v>
      </c>
      <c r="X51" s="12">
        <f t="shared" si="2"/>
        <v>0</v>
      </c>
      <c r="Y51" s="26">
        <f>Q51/11.3/0.9</f>
        <v>319.56735496558503</v>
      </c>
      <c r="Z51" s="12">
        <f t="shared" si="4"/>
        <v>0</v>
      </c>
      <c r="AA51" s="4" t="s">
        <v>10</v>
      </c>
      <c r="AB51" s="11">
        <f>IFERROR(VLOOKUP(AA51,Curr!$B$2:$C$13,2,FALSE),0)</f>
        <v>11.2</v>
      </c>
      <c r="AC51" s="12">
        <f t="shared" si="5"/>
        <v>0</v>
      </c>
      <c r="AD51" s="12">
        <f t="shared" si="6"/>
        <v>0</v>
      </c>
      <c r="AE51" s="13">
        <f t="shared" si="7"/>
        <v>0</v>
      </c>
    </row>
    <row r="52" spans="2:32" x14ac:dyDescent="0.25">
      <c r="B52" s="4"/>
      <c r="C52" s="1" t="s">
        <v>63</v>
      </c>
      <c r="D52" s="1" t="s">
        <v>94</v>
      </c>
      <c r="E52" s="3"/>
      <c r="F52" s="3"/>
      <c r="G52" s="24"/>
      <c r="H52" s="24"/>
      <c r="J52" s="1" t="s">
        <v>105</v>
      </c>
      <c r="K52" s="4"/>
      <c r="L52" s="4"/>
      <c r="M52" s="4"/>
      <c r="N52" s="4"/>
      <c r="O52" s="4"/>
      <c r="P52" s="33"/>
      <c r="Q52" s="25">
        <v>450</v>
      </c>
      <c r="R52" s="25">
        <v>0</v>
      </c>
      <c r="S52" s="12">
        <f t="shared" si="0"/>
        <v>0</v>
      </c>
      <c r="T52" s="5">
        <v>0</v>
      </c>
      <c r="U52" s="12">
        <f t="shared" si="1"/>
        <v>0</v>
      </c>
      <c r="V52" s="25" t="s">
        <v>8</v>
      </c>
      <c r="W52" s="11">
        <f>IFERROR(VLOOKUP(V52,Curr!$B$2:$C$13,2,FALSE),0)</f>
        <v>1</v>
      </c>
      <c r="X52" s="12">
        <f t="shared" si="2"/>
        <v>0</v>
      </c>
      <c r="Y52" s="26">
        <f>Q52/11.3/0.8</f>
        <v>49.778761061946895</v>
      </c>
      <c r="Z52" s="12">
        <f t="shared" si="4"/>
        <v>0</v>
      </c>
      <c r="AA52" s="4" t="s">
        <v>10</v>
      </c>
      <c r="AB52" s="11">
        <f>IFERROR(VLOOKUP(AA52,Curr!$B$2:$C$13,2,FALSE),0)</f>
        <v>11.2</v>
      </c>
      <c r="AC52" s="12">
        <f t="shared" si="5"/>
        <v>0</v>
      </c>
      <c r="AD52" s="12">
        <f t="shared" si="6"/>
        <v>0</v>
      </c>
      <c r="AE52" s="13">
        <f t="shared" si="7"/>
        <v>0</v>
      </c>
    </row>
    <row r="53" spans="2:32" x14ac:dyDescent="0.25">
      <c r="B53" s="4"/>
      <c r="C53" s="1" t="s">
        <v>69</v>
      </c>
      <c r="D53" s="1" t="s">
        <v>94</v>
      </c>
      <c r="E53" s="3"/>
      <c r="F53" s="3"/>
      <c r="G53" s="24"/>
      <c r="H53" s="24"/>
      <c r="J53" s="1" t="s">
        <v>106</v>
      </c>
      <c r="K53" s="4"/>
      <c r="L53" s="4"/>
      <c r="M53" s="4"/>
      <c r="N53" s="4"/>
      <c r="O53" s="4" t="s">
        <v>42</v>
      </c>
      <c r="P53" s="33" t="s">
        <v>107</v>
      </c>
      <c r="Q53" s="25">
        <v>71</v>
      </c>
      <c r="R53" s="25">
        <v>0</v>
      </c>
      <c r="S53" s="12">
        <f t="shared" si="0"/>
        <v>0</v>
      </c>
      <c r="T53" s="5">
        <v>0.2</v>
      </c>
      <c r="U53" s="12">
        <f t="shared" si="1"/>
        <v>0</v>
      </c>
      <c r="V53" s="25" t="s">
        <v>10</v>
      </c>
      <c r="W53" s="11">
        <f>IFERROR(VLOOKUP(V53,Curr!$B$2:$C$13,2,FALSE),0)</f>
        <v>11.2</v>
      </c>
      <c r="X53" s="12">
        <f t="shared" si="2"/>
        <v>0</v>
      </c>
      <c r="Y53" s="26">
        <f t="shared" ref="Y53" si="12">Q53</f>
        <v>71</v>
      </c>
      <c r="Z53" s="12">
        <f t="shared" si="4"/>
        <v>0</v>
      </c>
      <c r="AA53" s="4" t="s">
        <v>10</v>
      </c>
      <c r="AB53" s="11">
        <f>IFERROR(VLOOKUP(AA53,Curr!$B$2:$C$13,2,FALSE),0)</f>
        <v>11.2</v>
      </c>
      <c r="AC53" s="12">
        <f t="shared" si="5"/>
        <v>0</v>
      </c>
      <c r="AD53" s="12">
        <f t="shared" si="6"/>
        <v>0</v>
      </c>
      <c r="AE53" s="13">
        <f t="shared" si="7"/>
        <v>0</v>
      </c>
    </row>
    <row r="54" spans="2:32" x14ac:dyDescent="0.25">
      <c r="B54" s="4"/>
      <c r="C54" s="1" t="s">
        <v>80</v>
      </c>
      <c r="D54" s="1" t="s">
        <v>94</v>
      </c>
      <c r="E54" s="3"/>
      <c r="F54" s="3"/>
      <c r="G54" s="24"/>
      <c r="H54" s="24"/>
      <c r="J54" s="1" t="s">
        <v>118</v>
      </c>
      <c r="K54" s="4"/>
      <c r="L54" s="4"/>
      <c r="M54" s="4"/>
      <c r="N54" s="4"/>
      <c r="O54" s="4" t="s">
        <v>42</v>
      </c>
      <c r="P54" s="33" t="s">
        <v>119</v>
      </c>
      <c r="Q54" s="25">
        <v>2195</v>
      </c>
      <c r="R54" s="25">
        <v>0</v>
      </c>
      <c r="S54" s="12">
        <f t="shared" si="0"/>
        <v>0</v>
      </c>
      <c r="T54" s="5">
        <v>0.2</v>
      </c>
      <c r="U54" s="12">
        <f t="shared" si="1"/>
        <v>0</v>
      </c>
      <c r="V54" s="25" t="s">
        <v>8</v>
      </c>
      <c r="W54" s="11">
        <f>IFERROR(VLOOKUP(V54,Curr!$B$2:$C$13,2,FALSE),0)</f>
        <v>1</v>
      </c>
      <c r="X54" s="12">
        <f t="shared" si="2"/>
        <v>0</v>
      </c>
      <c r="Y54" s="26">
        <f t="shared" ref="Y54" si="13">Q54/11.3</f>
        <v>194.24778761061947</v>
      </c>
      <c r="Z54" s="12">
        <f t="shared" si="4"/>
        <v>0</v>
      </c>
      <c r="AA54" s="4" t="s">
        <v>10</v>
      </c>
      <c r="AB54" s="11">
        <f>IFERROR(VLOOKUP(AA54,Curr!$B$2:$C$13,2,FALSE),0)</f>
        <v>11.2</v>
      </c>
      <c r="AC54" s="12">
        <f t="shared" si="5"/>
        <v>0</v>
      </c>
      <c r="AD54" s="12">
        <f t="shared" si="6"/>
        <v>0</v>
      </c>
      <c r="AE54" s="13">
        <f t="shared" si="7"/>
        <v>0</v>
      </c>
    </row>
    <row r="55" spans="2:32" x14ac:dyDescent="0.25">
      <c r="B55" s="4"/>
      <c r="C55" s="1" t="s">
        <v>114</v>
      </c>
      <c r="D55" s="1" t="s">
        <v>94</v>
      </c>
      <c r="E55" s="3"/>
      <c r="F55" s="3"/>
      <c r="G55" s="24"/>
      <c r="H55" s="24"/>
      <c r="J55" s="1" t="s">
        <v>125</v>
      </c>
      <c r="K55" s="4"/>
      <c r="L55" s="4"/>
      <c r="M55" s="4"/>
      <c r="N55" s="4"/>
      <c r="O55" s="4" t="s">
        <v>42</v>
      </c>
      <c r="P55" s="33" t="s">
        <v>126</v>
      </c>
      <c r="Q55" s="25">
        <v>25</v>
      </c>
      <c r="R55" s="25">
        <v>0</v>
      </c>
      <c r="S55" s="12">
        <f t="shared" si="0"/>
        <v>0</v>
      </c>
      <c r="T55" s="5">
        <v>0.2</v>
      </c>
      <c r="U55" s="12">
        <f t="shared" si="1"/>
        <v>0</v>
      </c>
      <c r="V55" s="25" t="s">
        <v>10</v>
      </c>
      <c r="W55" s="11">
        <f>IFERROR(VLOOKUP(V55,Curr!$B$2:$C$13,2,FALSE),0)</f>
        <v>11.2</v>
      </c>
      <c r="X55" s="12">
        <f t="shared" si="2"/>
        <v>0</v>
      </c>
      <c r="Y55" s="26">
        <f t="shared" ref="Y55:Y56" si="14">Q55</f>
        <v>25</v>
      </c>
      <c r="Z55" s="12">
        <f t="shared" si="4"/>
        <v>0</v>
      </c>
      <c r="AA55" s="4" t="s">
        <v>10</v>
      </c>
      <c r="AB55" s="11">
        <f>IFERROR(VLOOKUP(AA55,Curr!$B$2:$C$13,2,FALSE),0)</f>
        <v>11.2</v>
      </c>
      <c r="AC55" s="12">
        <f t="shared" si="5"/>
        <v>0</v>
      </c>
      <c r="AD55" s="12">
        <f t="shared" si="6"/>
        <v>0</v>
      </c>
      <c r="AE55" s="13">
        <f t="shared" si="7"/>
        <v>0</v>
      </c>
    </row>
    <row r="56" spans="2:32" x14ac:dyDescent="0.25">
      <c r="B56" s="4"/>
      <c r="C56" s="1" t="s">
        <v>114</v>
      </c>
      <c r="D56" s="1" t="s">
        <v>94</v>
      </c>
      <c r="E56" s="3"/>
      <c r="F56" s="3"/>
      <c r="G56" s="24"/>
      <c r="H56" s="24"/>
      <c r="J56" s="1" t="s">
        <v>127</v>
      </c>
      <c r="K56" s="4"/>
      <c r="L56" s="4"/>
      <c r="M56" s="4"/>
      <c r="N56" s="4"/>
      <c r="O56" s="4" t="s">
        <v>42</v>
      </c>
      <c r="P56" s="33" t="s">
        <v>128</v>
      </c>
      <c r="Q56" s="25">
        <v>30</v>
      </c>
      <c r="R56" s="25">
        <v>0</v>
      </c>
      <c r="S56" s="12">
        <f t="shared" si="0"/>
        <v>0</v>
      </c>
      <c r="T56" s="5">
        <v>0.2</v>
      </c>
      <c r="U56" s="12">
        <f t="shared" si="1"/>
        <v>0</v>
      </c>
      <c r="V56" s="25" t="s">
        <v>10</v>
      </c>
      <c r="W56" s="11">
        <f>IFERROR(VLOOKUP(V56,Curr!$B$2:$C$13,2,FALSE),0)</f>
        <v>11.2</v>
      </c>
      <c r="X56" s="12">
        <f t="shared" si="2"/>
        <v>0</v>
      </c>
      <c r="Y56" s="26">
        <f t="shared" si="14"/>
        <v>30</v>
      </c>
      <c r="Z56" s="12">
        <f t="shared" si="4"/>
        <v>0</v>
      </c>
      <c r="AA56" s="4" t="s">
        <v>10</v>
      </c>
      <c r="AB56" s="11">
        <f>IFERROR(VLOOKUP(AA56,Curr!$B$2:$C$13,2,FALSE),0)</f>
        <v>11.2</v>
      </c>
      <c r="AC56" s="12">
        <f t="shared" si="5"/>
        <v>0</v>
      </c>
      <c r="AD56" s="12">
        <f t="shared" si="6"/>
        <v>0</v>
      </c>
      <c r="AE56" s="13">
        <f t="shared" si="7"/>
        <v>0</v>
      </c>
    </row>
    <row r="57" spans="2:32" x14ac:dyDescent="0.25">
      <c r="B57" s="4"/>
      <c r="E57" s="3"/>
      <c r="F57" s="3"/>
      <c r="G57" s="24"/>
      <c r="H57" s="24"/>
      <c r="K57" s="4"/>
      <c r="L57" s="4"/>
      <c r="M57" s="4"/>
      <c r="N57" s="4"/>
      <c r="O57" s="4"/>
      <c r="P57" s="27"/>
      <c r="Q57" s="25"/>
      <c r="R57" s="25"/>
      <c r="S57" s="12">
        <f t="shared" si="0"/>
        <v>0</v>
      </c>
      <c r="T57" s="5">
        <v>0</v>
      </c>
      <c r="U57" s="12">
        <f t="shared" si="1"/>
        <v>0</v>
      </c>
      <c r="V57" s="25" t="s">
        <v>10</v>
      </c>
      <c r="W57" s="11">
        <f>IFERROR(VLOOKUP(V57,Curr!$B$2:$C$13,2,FALSE),0)</f>
        <v>11.2</v>
      </c>
      <c r="X57" s="12">
        <f t="shared" si="2"/>
        <v>0</v>
      </c>
      <c r="Y57" s="26">
        <f t="shared" si="3"/>
        <v>0</v>
      </c>
      <c r="Z57" s="12">
        <f t="shared" si="4"/>
        <v>0</v>
      </c>
      <c r="AA57" s="4" t="s">
        <v>10</v>
      </c>
      <c r="AB57" s="11">
        <f>IFERROR(VLOOKUP(AA57,Curr!$B$2:$C$13,2,FALSE),0)</f>
        <v>11.2</v>
      </c>
      <c r="AC57" s="12">
        <f t="shared" si="5"/>
        <v>0</v>
      </c>
      <c r="AD57" s="12">
        <f t="shared" si="6"/>
        <v>0</v>
      </c>
      <c r="AE57" s="13">
        <f t="shared" si="7"/>
        <v>0</v>
      </c>
    </row>
    <row r="58" spans="2:32" x14ac:dyDescent="0.25">
      <c r="B58" s="4"/>
      <c r="E58" s="3"/>
      <c r="F58" s="3"/>
      <c r="G58" s="24"/>
      <c r="H58" s="24"/>
      <c r="K58" s="4"/>
      <c r="L58" s="4"/>
      <c r="M58" s="4"/>
      <c r="N58" s="4"/>
      <c r="O58" s="4"/>
      <c r="P58" s="27"/>
      <c r="Q58" s="25"/>
      <c r="R58" s="25"/>
      <c r="S58" s="12">
        <f t="shared" si="0"/>
        <v>0</v>
      </c>
      <c r="T58" s="5">
        <v>0</v>
      </c>
      <c r="U58" s="12">
        <f t="shared" si="1"/>
        <v>0</v>
      </c>
      <c r="V58" s="25" t="s">
        <v>10</v>
      </c>
      <c r="W58" s="11">
        <f>IFERROR(VLOOKUP(V58,Curr!$B$2:$C$13,2,FALSE),0)</f>
        <v>11.2</v>
      </c>
      <c r="X58" s="12">
        <f t="shared" si="2"/>
        <v>0</v>
      </c>
      <c r="Y58" s="26">
        <f t="shared" si="3"/>
        <v>0</v>
      </c>
      <c r="Z58" s="12">
        <f t="shared" si="4"/>
        <v>0</v>
      </c>
      <c r="AA58" s="4" t="s">
        <v>10</v>
      </c>
      <c r="AB58" s="11">
        <f>IFERROR(VLOOKUP(AA58,Curr!$B$2:$C$13,2,FALSE),0)</f>
        <v>11.2</v>
      </c>
      <c r="AC58" s="12">
        <f t="shared" si="5"/>
        <v>0</v>
      </c>
      <c r="AD58" s="12">
        <f t="shared" si="6"/>
        <v>0</v>
      </c>
      <c r="AE58" s="13">
        <f t="shared" si="7"/>
        <v>0</v>
      </c>
    </row>
    <row r="59" spans="2:32" x14ac:dyDescent="0.25">
      <c r="B59" s="4"/>
      <c r="E59" s="3"/>
      <c r="F59" s="3"/>
      <c r="G59" s="24"/>
      <c r="H59" s="24"/>
      <c r="K59" s="4"/>
      <c r="L59" s="4"/>
      <c r="M59" s="4"/>
      <c r="N59" s="4"/>
      <c r="O59" s="4"/>
      <c r="P59" s="27"/>
      <c r="Q59" s="25"/>
      <c r="R59" s="25"/>
      <c r="S59" s="12">
        <f t="shared" si="0"/>
        <v>0</v>
      </c>
      <c r="T59" s="5">
        <v>0</v>
      </c>
      <c r="U59" s="12">
        <f t="shared" si="1"/>
        <v>0</v>
      </c>
      <c r="V59" s="25" t="s">
        <v>10</v>
      </c>
      <c r="W59" s="11">
        <f>IFERROR(VLOOKUP(V59,Curr!$B$2:$C$13,2,FALSE),0)</f>
        <v>11.2</v>
      </c>
      <c r="X59" s="12">
        <f t="shared" si="2"/>
        <v>0</v>
      </c>
      <c r="Y59" s="26">
        <f t="shared" si="3"/>
        <v>0</v>
      </c>
      <c r="Z59" s="12">
        <f t="shared" si="4"/>
        <v>0</v>
      </c>
      <c r="AA59" s="4" t="s">
        <v>10</v>
      </c>
      <c r="AB59" s="11">
        <f>IFERROR(VLOOKUP(AA59,Curr!$B$2:$C$13,2,FALSE),0)</f>
        <v>11.2</v>
      </c>
      <c r="AC59" s="12">
        <f t="shared" si="5"/>
        <v>0</v>
      </c>
      <c r="AD59" s="12">
        <f t="shared" si="6"/>
        <v>0</v>
      </c>
      <c r="AE59" s="13">
        <f t="shared" si="7"/>
        <v>0</v>
      </c>
    </row>
    <row r="60" spans="2:32" x14ac:dyDescent="0.25">
      <c r="B60" s="4"/>
      <c r="E60" s="3"/>
      <c r="F60" s="3"/>
      <c r="G60" s="24"/>
      <c r="H60" s="24"/>
      <c r="K60" s="4"/>
      <c r="L60" s="4"/>
      <c r="M60" s="4"/>
      <c r="N60" s="4"/>
      <c r="O60" s="4"/>
      <c r="P60" s="27"/>
      <c r="Q60" s="25"/>
      <c r="R60" s="25"/>
      <c r="S60" s="12">
        <f t="shared" si="0"/>
        <v>0</v>
      </c>
      <c r="T60" s="5">
        <v>0</v>
      </c>
      <c r="U60" s="12">
        <f t="shared" si="1"/>
        <v>0</v>
      </c>
      <c r="V60" s="25" t="s">
        <v>10</v>
      </c>
      <c r="W60" s="11">
        <f>IFERROR(VLOOKUP(V60,Curr!$B$2:$C$13,2,FALSE),0)</f>
        <v>11.2</v>
      </c>
      <c r="X60" s="12">
        <f t="shared" si="2"/>
        <v>0</v>
      </c>
      <c r="Y60" s="26">
        <f t="shared" si="3"/>
        <v>0</v>
      </c>
      <c r="Z60" s="12">
        <f t="shared" si="4"/>
        <v>0</v>
      </c>
      <c r="AA60" s="4" t="s">
        <v>10</v>
      </c>
      <c r="AB60" s="11">
        <f>IFERROR(VLOOKUP(AA60,Curr!$B$2:$C$13,2,FALSE),0)</f>
        <v>11.2</v>
      </c>
      <c r="AC60" s="12">
        <f t="shared" si="5"/>
        <v>0</v>
      </c>
      <c r="AD60" s="12">
        <f t="shared" si="6"/>
        <v>0</v>
      </c>
      <c r="AE60" s="13">
        <f t="shared" si="7"/>
        <v>0</v>
      </c>
    </row>
    <row r="61" spans="2:32" x14ac:dyDescent="0.25">
      <c r="B61" s="4"/>
      <c r="E61" s="3"/>
      <c r="F61" s="3"/>
      <c r="G61" s="24"/>
      <c r="H61" s="24"/>
      <c r="K61" s="4"/>
      <c r="L61" s="4"/>
      <c r="M61" s="4"/>
      <c r="N61" s="4"/>
      <c r="O61" s="4"/>
      <c r="P61" s="27"/>
      <c r="Q61" s="25"/>
      <c r="R61" s="25"/>
      <c r="S61" s="12">
        <f t="shared" si="0"/>
        <v>0</v>
      </c>
      <c r="T61" s="5">
        <v>0</v>
      </c>
      <c r="U61" s="12">
        <f t="shared" si="1"/>
        <v>0</v>
      </c>
      <c r="V61" s="25" t="s">
        <v>10</v>
      </c>
      <c r="W61" s="11">
        <f>IFERROR(VLOOKUP(V61,Curr!$B$2:$C$13,2,FALSE),0)</f>
        <v>11.2</v>
      </c>
      <c r="X61" s="12">
        <f t="shared" si="2"/>
        <v>0</v>
      </c>
      <c r="Y61" s="26">
        <f t="shared" si="3"/>
        <v>0</v>
      </c>
      <c r="Z61" s="12">
        <f t="shared" si="4"/>
        <v>0</v>
      </c>
      <c r="AA61" s="4" t="s">
        <v>10</v>
      </c>
      <c r="AB61" s="11">
        <f>IFERROR(VLOOKUP(AA61,Curr!$B$2:$C$13,2,FALSE),0)</f>
        <v>11.2</v>
      </c>
      <c r="AC61" s="12">
        <f t="shared" si="5"/>
        <v>0</v>
      </c>
      <c r="AD61" s="12">
        <f t="shared" si="6"/>
        <v>0</v>
      </c>
      <c r="AE61" s="13">
        <f t="shared" si="7"/>
        <v>0</v>
      </c>
    </row>
    <row r="62" spans="2:32" x14ac:dyDescent="0.25">
      <c r="B62" s="4"/>
      <c r="E62" s="3"/>
      <c r="F62" s="3"/>
      <c r="G62" s="24"/>
      <c r="H62" s="24"/>
      <c r="K62" s="4"/>
      <c r="L62" s="4"/>
      <c r="M62" s="4"/>
      <c r="N62" s="4"/>
      <c r="O62" s="4"/>
      <c r="P62" s="27"/>
      <c r="Q62" s="25"/>
      <c r="R62" s="25"/>
      <c r="S62" s="12">
        <f t="shared" si="0"/>
        <v>0</v>
      </c>
      <c r="T62" s="5">
        <v>0</v>
      </c>
      <c r="U62" s="12">
        <f t="shared" si="1"/>
        <v>0</v>
      </c>
      <c r="V62" s="25" t="s">
        <v>10</v>
      </c>
      <c r="W62" s="11">
        <f>IFERROR(VLOOKUP(V62,Curr!$B$2:$C$13,2,FALSE),0)</f>
        <v>11.2</v>
      </c>
      <c r="X62" s="12">
        <f t="shared" si="2"/>
        <v>0</v>
      </c>
      <c r="Y62" s="26">
        <f t="shared" si="3"/>
        <v>0</v>
      </c>
      <c r="Z62" s="12">
        <f t="shared" si="4"/>
        <v>0</v>
      </c>
      <c r="AA62" s="4" t="s">
        <v>10</v>
      </c>
      <c r="AB62" s="11">
        <f>IFERROR(VLOOKUP(AA62,Curr!$B$2:$C$13,2,FALSE),0)</f>
        <v>11.2</v>
      </c>
      <c r="AC62" s="12">
        <f t="shared" si="5"/>
        <v>0</v>
      </c>
      <c r="AD62" s="12">
        <f t="shared" si="6"/>
        <v>0</v>
      </c>
      <c r="AE62" s="13">
        <f t="shared" si="7"/>
        <v>0</v>
      </c>
    </row>
    <row r="63" spans="2:32" x14ac:dyDescent="0.25">
      <c r="B63" s="4"/>
      <c r="E63" s="3"/>
      <c r="F63" s="3"/>
      <c r="G63" s="24"/>
      <c r="H63" s="24"/>
      <c r="K63" s="4"/>
      <c r="L63" s="4"/>
      <c r="M63" s="4"/>
      <c r="N63" s="4"/>
      <c r="O63" s="4"/>
      <c r="P63" s="27"/>
      <c r="Q63" s="25"/>
      <c r="R63" s="25"/>
      <c r="S63" s="12">
        <f t="shared" ref="S63" si="15">+Q63*R63</f>
        <v>0</v>
      </c>
      <c r="T63" s="5">
        <v>0</v>
      </c>
      <c r="U63" s="12">
        <f t="shared" ref="U63" si="16">S63*(1-T63)</f>
        <v>0</v>
      </c>
      <c r="V63" s="25" t="s">
        <v>10</v>
      </c>
      <c r="W63" s="11">
        <f>IFERROR(VLOOKUP(V63,Curr!$B$2:$C$13,2,FALSE),0)</f>
        <v>11.2</v>
      </c>
      <c r="X63" s="12">
        <f t="shared" ref="X63" si="17">U63*W63</f>
        <v>0</v>
      </c>
      <c r="Y63" s="26">
        <f t="shared" ref="Y63" si="18">Q63</f>
        <v>0</v>
      </c>
      <c r="Z63" s="12">
        <f t="shared" ref="Z63" si="19">+Y63*R63</f>
        <v>0</v>
      </c>
      <c r="AA63" s="4" t="s">
        <v>10</v>
      </c>
      <c r="AB63" s="11">
        <f>IFERROR(VLOOKUP(AA63,Curr!$B$2:$C$13,2,FALSE),0)</f>
        <v>11.2</v>
      </c>
      <c r="AC63" s="12">
        <f t="shared" ref="AC63" si="20">+Y63*AB63*R63</f>
        <v>0</v>
      </c>
      <c r="AD63" s="12">
        <f t="shared" ref="AD63" si="21">+AC63-X63</f>
        <v>0</v>
      </c>
      <c r="AE63" s="13">
        <f t="shared" ref="AE63" si="22">IFERROR(AD63/AC63,0)</f>
        <v>0</v>
      </c>
    </row>
    <row r="64" spans="2:32" x14ac:dyDescent="0.25">
      <c r="B64" s="4"/>
      <c r="E64" s="3"/>
      <c r="F64" s="3"/>
      <c r="G64" s="3"/>
      <c r="H64" s="3"/>
      <c r="L64" s="4"/>
      <c r="M64" s="4"/>
      <c r="N64" s="4"/>
      <c r="O64" s="4"/>
      <c r="P64" s="22"/>
      <c r="Q64" s="4"/>
      <c r="R64" s="4"/>
      <c r="S64" s="4"/>
      <c r="T64" s="4"/>
      <c r="U64" s="4"/>
      <c r="V64" s="4"/>
      <c r="W64" s="4"/>
      <c r="X64" s="4"/>
      <c r="Y64" s="4"/>
      <c r="Z64" s="4"/>
      <c r="AA64" s="4"/>
      <c r="AB64" s="4"/>
      <c r="AC64" s="4"/>
      <c r="AD64" s="4"/>
      <c r="AE64" s="4"/>
      <c r="AF64" s="4"/>
    </row>
    <row r="65" spans="2:36" x14ac:dyDescent="0.25">
      <c r="B65" s="14" t="s">
        <v>18</v>
      </c>
      <c r="C65" s="14"/>
      <c r="D65" s="28" t="s">
        <v>42</v>
      </c>
      <c r="E65" s="30" t="s">
        <v>42</v>
      </c>
      <c r="F65" s="30" t="s">
        <v>42</v>
      </c>
      <c r="G65" s="30" t="s">
        <v>42</v>
      </c>
      <c r="H65" s="30" t="s">
        <v>42</v>
      </c>
      <c r="I65" s="28" t="s">
        <v>42</v>
      </c>
      <c r="J65" s="28" t="s">
        <v>42</v>
      </c>
      <c r="K65" s="28" t="s">
        <v>42</v>
      </c>
      <c r="L65" s="28" t="s">
        <v>42</v>
      </c>
      <c r="M65" s="28" t="s">
        <v>42</v>
      </c>
      <c r="N65" s="28" t="s">
        <v>42</v>
      </c>
      <c r="O65" s="28" t="s">
        <v>42</v>
      </c>
      <c r="P65" s="28" t="s">
        <v>42</v>
      </c>
      <c r="Q65" s="31" t="s">
        <v>42</v>
      </c>
      <c r="R65" s="28" t="s">
        <v>42</v>
      </c>
      <c r="S65" s="32" t="s">
        <v>42</v>
      </c>
      <c r="T65" s="28" t="s">
        <v>42</v>
      </c>
      <c r="U65" s="32" t="s">
        <v>42</v>
      </c>
      <c r="V65" s="28" t="s">
        <v>42</v>
      </c>
      <c r="W65" s="28" t="s">
        <v>42</v>
      </c>
      <c r="X65" s="32" t="s">
        <v>42</v>
      </c>
      <c r="Y65" s="32" t="s">
        <v>42</v>
      </c>
      <c r="Z65" s="15">
        <f>SUM(Z7:Z63)</f>
        <v>3694.0981259760538</v>
      </c>
      <c r="AA65" s="14"/>
      <c r="AB65" s="14"/>
      <c r="AC65" s="15">
        <f>SUM(AC7:AC63)</f>
        <v>41373.899010931804</v>
      </c>
      <c r="AD65" s="15">
        <f>SUM(AD7:AD63)</f>
        <v>7879.8990109318038</v>
      </c>
      <c r="AE65" s="21">
        <f t="shared" ref="AE65" si="23">IFERROR(AD65/AC65,0)</f>
        <v>0.19045579941232463</v>
      </c>
      <c r="AF65" s="15">
        <f>SUM(AF8:AF64)</f>
        <v>0</v>
      </c>
      <c r="AG65" s="15">
        <f>SUM(AG8:AG64)</f>
        <v>0</v>
      </c>
      <c r="AH65" s="15">
        <f>SUM(AH8:AH64)</f>
        <v>0</v>
      </c>
      <c r="AI65" s="15">
        <f>SUM(AI8:AI64)</f>
        <v>0</v>
      </c>
      <c r="AJ65" s="15">
        <f>SUM(AJ8:AJ64)</f>
        <v>0</v>
      </c>
    </row>
    <row r="66" spans="2:36" x14ac:dyDescent="0.25">
      <c r="B66" s="4"/>
      <c r="E66" s="3"/>
      <c r="F66" s="3"/>
      <c r="G66" s="3"/>
      <c r="H66" s="3"/>
      <c r="L66" s="4"/>
      <c r="M66" s="4"/>
      <c r="N66" s="4"/>
      <c r="O66" s="4"/>
      <c r="Q66" s="4"/>
      <c r="R66" s="4"/>
      <c r="S66" s="4"/>
      <c r="T66" s="4"/>
      <c r="U66" s="4"/>
      <c r="V66" s="4"/>
      <c r="W66" s="4"/>
      <c r="X66" s="4"/>
      <c r="Y66" s="9"/>
      <c r="Z66" s="9"/>
      <c r="AA66" s="9"/>
      <c r="AB66" s="9"/>
      <c r="AC66" s="9"/>
      <c r="AD66" s="9"/>
      <c r="AE66" s="9"/>
    </row>
    <row r="67" spans="2:36" x14ac:dyDescent="0.25">
      <c r="B67" s="4"/>
      <c r="E67" s="3"/>
      <c r="F67" s="3"/>
      <c r="G67" s="3"/>
      <c r="H67" s="3"/>
      <c r="L67" s="4"/>
      <c r="M67" s="4"/>
      <c r="N67" s="4"/>
      <c r="O67" s="4"/>
      <c r="Q67" s="9"/>
      <c r="R67" s="9"/>
      <c r="S67" s="9"/>
      <c r="T67" s="9"/>
      <c r="U67" s="9"/>
      <c r="V67" s="9"/>
      <c r="W67" s="9"/>
      <c r="X67" s="23"/>
      <c r="Y67" s="34" t="s">
        <v>102</v>
      </c>
      <c r="Z67" s="34">
        <v>2040</v>
      </c>
      <c r="AA67" s="9"/>
      <c r="AB67" s="9"/>
      <c r="AC67" s="9"/>
      <c r="AD67" s="9"/>
      <c r="AE67" s="9"/>
    </row>
    <row r="68" spans="2:36" x14ac:dyDescent="0.25">
      <c r="B68" s="4"/>
      <c r="E68" s="3"/>
      <c r="F68" s="3"/>
      <c r="G68" s="3"/>
      <c r="H68" s="3"/>
      <c r="L68" s="4"/>
      <c r="M68" s="4"/>
      <c r="N68" s="4"/>
      <c r="O68" s="4"/>
      <c r="Q68" s="9"/>
      <c r="R68" s="9"/>
      <c r="S68" s="9"/>
      <c r="T68" s="9"/>
      <c r="U68" s="9"/>
      <c r="V68" s="9"/>
      <c r="W68" s="9"/>
      <c r="X68" s="9"/>
      <c r="Y68" s="35" t="s">
        <v>103</v>
      </c>
      <c r="Z68" s="34">
        <f>Z9+Z15+Z23+Z25+Z37</f>
        <v>1786.4653826132221</v>
      </c>
      <c r="AA68" s="9"/>
      <c r="AB68" s="9"/>
      <c r="AC68" s="9"/>
      <c r="AD68" s="9"/>
      <c r="AE68" s="9"/>
      <c r="AF68" s="18"/>
    </row>
    <row r="69" spans="2:36" x14ac:dyDescent="0.25">
      <c r="B69" s="4"/>
      <c r="E69" s="3"/>
      <c r="F69" s="3"/>
      <c r="G69" s="3"/>
      <c r="H69" s="3"/>
      <c r="I69" s="19"/>
      <c r="L69" s="4"/>
      <c r="M69" s="4"/>
      <c r="N69" s="4"/>
      <c r="O69" s="20"/>
      <c r="Q69" s="20"/>
      <c r="R69" s="20"/>
      <c r="S69" s="20"/>
      <c r="T69" s="20"/>
      <c r="U69" s="20"/>
      <c r="V69" s="20"/>
      <c r="W69" s="20"/>
      <c r="X69" s="20"/>
      <c r="Y69" s="34" t="s">
        <v>104</v>
      </c>
      <c r="Z69" s="34">
        <v>3720</v>
      </c>
      <c r="AA69" s="9"/>
      <c r="AB69" s="9"/>
      <c r="AC69" s="9"/>
      <c r="AD69" s="9"/>
      <c r="AE69" s="9"/>
      <c r="AF69" s="18"/>
    </row>
    <row r="70" spans="2:36" x14ac:dyDescent="0.25">
      <c r="B70" s="4"/>
      <c r="E70" s="3"/>
      <c r="F70" s="3"/>
      <c r="G70" s="3"/>
      <c r="H70" s="3"/>
      <c r="L70" s="4"/>
      <c r="M70" s="4"/>
      <c r="N70" s="4"/>
      <c r="O70" s="20"/>
      <c r="Q70" s="20"/>
      <c r="R70" s="20"/>
      <c r="S70" s="20"/>
      <c r="T70" s="20"/>
      <c r="U70" s="20"/>
      <c r="V70" s="20"/>
      <c r="W70" s="20"/>
      <c r="X70" s="20"/>
      <c r="Y70" s="34" t="s">
        <v>43</v>
      </c>
      <c r="Z70" s="34">
        <f>Z69/2</f>
        <v>1860</v>
      </c>
      <c r="AA70" s="9"/>
      <c r="AB70" s="9"/>
      <c r="AC70" s="9"/>
      <c r="AD70" s="9"/>
      <c r="AE70" s="9"/>
      <c r="AF70" s="18"/>
    </row>
    <row r="71" spans="2:36" x14ac:dyDescent="0.25">
      <c r="B71" s="4"/>
      <c r="E71" s="3"/>
      <c r="F71" s="3"/>
      <c r="G71" s="3"/>
      <c r="H71" s="3"/>
      <c r="L71" s="4"/>
      <c r="M71" s="4"/>
      <c r="N71" s="4"/>
      <c r="O71" s="4"/>
      <c r="Q71" s="9"/>
      <c r="R71" s="9"/>
      <c r="S71" s="9"/>
      <c r="T71" s="9"/>
      <c r="U71" s="9"/>
      <c r="V71" s="9"/>
      <c r="W71" s="9"/>
      <c r="X71" s="9"/>
      <c r="Y71" s="1"/>
      <c r="Z71" s="1"/>
      <c r="AA71" s="9"/>
      <c r="AB71" s="9"/>
      <c r="AC71" s="9"/>
      <c r="AD71" s="9"/>
      <c r="AE71" s="9"/>
      <c r="AF71" s="18"/>
    </row>
    <row r="72" spans="2:36" x14ac:dyDescent="0.25">
      <c r="F72" s="1"/>
      <c r="G72" s="1"/>
      <c r="H72" s="1"/>
      <c r="J72" s="1" t="s">
        <v>32</v>
      </c>
      <c r="Q72" s="9"/>
      <c r="R72" s="4"/>
      <c r="S72" s="9"/>
      <c r="T72" s="5"/>
      <c r="U72" s="9"/>
      <c r="V72" s="4"/>
      <c r="W72" s="4"/>
      <c r="X72" s="9"/>
      <c r="Y72" s="9"/>
      <c r="Z72" s="9"/>
      <c r="AA72" s="9"/>
      <c r="AB72" s="9"/>
      <c r="AC72" s="9"/>
      <c r="AD72" s="9"/>
      <c r="AE72" s="9"/>
    </row>
    <row r="73" spans="2:36" x14ac:dyDescent="0.25">
      <c r="R73" s="4"/>
      <c r="S73" s="17"/>
      <c r="T73" s="17"/>
      <c r="U73" s="9"/>
      <c r="V73" s="4"/>
      <c r="W73" s="4"/>
      <c r="X73" s="9"/>
      <c r="Y73" s="9"/>
      <c r="Z73" s="9" t="s">
        <v>330</v>
      </c>
      <c r="AA73" s="9"/>
      <c r="AB73" s="9"/>
      <c r="AC73" s="9"/>
      <c r="AD73" s="9"/>
      <c r="AE73" s="9"/>
    </row>
    <row r="74" spans="2:36" x14ac:dyDescent="0.25">
      <c r="Q74" s="9"/>
      <c r="R74" s="4"/>
      <c r="S74" s="16"/>
      <c r="T74" s="16"/>
      <c r="U74" s="9"/>
      <c r="V74" s="4"/>
      <c r="W74" s="4"/>
      <c r="X74" s="9"/>
      <c r="Y74" s="37" t="s">
        <v>325</v>
      </c>
      <c r="Z74" s="9">
        <f>Z69</f>
        <v>3720</v>
      </c>
      <c r="AA74" s="9"/>
      <c r="AB74" s="9"/>
      <c r="AC74" s="9"/>
      <c r="AD74" s="9"/>
      <c r="AE74" s="9"/>
    </row>
    <row r="75" spans="2:36" x14ac:dyDescent="0.25">
      <c r="R75" s="4"/>
      <c r="S75" s="16"/>
      <c r="T75" s="16"/>
      <c r="Y75" s="37" t="s">
        <v>326</v>
      </c>
      <c r="Z75" s="9">
        <f>Z74*1.18</f>
        <v>4389.5999999999995</v>
      </c>
      <c r="AA75" s="9"/>
      <c r="AB75" s="9"/>
      <c r="AC75" s="9"/>
      <c r="AD75" s="9"/>
      <c r="AE75" s="9"/>
    </row>
    <row r="76" spans="2:36" x14ac:dyDescent="0.25">
      <c r="T76" s="5"/>
      <c r="Y76" s="37" t="s">
        <v>327</v>
      </c>
      <c r="Z76" s="9">
        <f>Z74*1.25</f>
        <v>4650</v>
      </c>
      <c r="AA76" s="9"/>
      <c r="AB76" s="9"/>
      <c r="AC76" s="9"/>
      <c r="AD76" s="9"/>
      <c r="AE76" s="9"/>
    </row>
    <row r="77" spans="2:36" x14ac:dyDescent="0.25">
      <c r="T77" s="5"/>
      <c r="Y77" s="37" t="s">
        <v>328</v>
      </c>
      <c r="Z77" s="9">
        <f>Z74*0.85</f>
        <v>3162</v>
      </c>
      <c r="AA77" s="9"/>
      <c r="AB77" s="9"/>
      <c r="AC77" s="9"/>
      <c r="AD77" s="9"/>
      <c r="AE77" s="9"/>
    </row>
    <row r="78" spans="2:36" x14ac:dyDescent="0.25">
      <c r="T78" s="5"/>
      <c r="Y78" s="37" t="s">
        <v>307</v>
      </c>
      <c r="Z78" s="9" t="s">
        <v>329</v>
      </c>
      <c r="AA78" s="9"/>
      <c r="AB78" s="9"/>
      <c r="AC78" s="9"/>
      <c r="AD78" s="9"/>
      <c r="AE78" s="9"/>
    </row>
    <row r="79" spans="2:36" x14ac:dyDescent="0.25">
      <c r="T79" s="5"/>
      <c r="Y79" s="9"/>
      <c r="Z79" s="9"/>
      <c r="AA79" s="9"/>
      <c r="AB79" s="9"/>
      <c r="AC79" s="9"/>
      <c r="AD79" s="9"/>
      <c r="AE79" s="9"/>
    </row>
    <row r="80" spans="2:36" x14ac:dyDescent="0.25">
      <c r="T80" s="5"/>
      <c r="Y80" s="9"/>
      <c r="Z80" s="9"/>
      <c r="AA80" s="9"/>
      <c r="AB80" s="9"/>
      <c r="AC80" s="9"/>
      <c r="AD80" s="9"/>
      <c r="AE80" s="9"/>
    </row>
    <row r="81" spans="20:31" x14ac:dyDescent="0.25">
      <c r="T81" s="5"/>
      <c r="Y81" s="9"/>
      <c r="Z81" s="9"/>
      <c r="AA81" s="9"/>
      <c r="AB81" s="9"/>
      <c r="AC81" s="9"/>
      <c r="AD81" s="9"/>
      <c r="AE81" s="9"/>
    </row>
    <row r="82" spans="20:31" x14ac:dyDescent="0.25">
      <c r="T82" s="5"/>
      <c r="Y82" s="9"/>
      <c r="Z82" s="9"/>
      <c r="AA82" s="9"/>
      <c r="AB82" s="9"/>
      <c r="AC82" s="9"/>
      <c r="AD82" s="9"/>
      <c r="AE82" s="9"/>
    </row>
    <row r="83" spans="20:31" x14ac:dyDescent="0.25">
      <c r="T83" s="5"/>
      <c r="Y83" s="9"/>
      <c r="Z83" s="9"/>
      <c r="AA83" s="9"/>
      <c r="AB83" s="9"/>
      <c r="AC83" s="9"/>
      <c r="AD83" s="9"/>
      <c r="AE83" s="9"/>
    </row>
    <row r="84" spans="20:31" x14ac:dyDescent="0.25">
      <c r="T84" s="5"/>
    </row>
    <row r="85" spans="20:31" x14ac:dyDescent="0.25">
      <c r="T85" s="5"/>
    </row>
    <row r="86" spans="20:31" x14ac:dyDescent="0.25">
      <c r="T86" s="5"/>
    </row>
    <row r="87" spans="20:31" x14ac:dyDescent="0.25">
      <c r="T87" s="5"/>
    </row>
    <row r="88" spans="20:31" x14ac:dyDescent="0.25">
      <c r="T88" s="5"/>
    </row>
  </sheetData>
  <autoFilter ref="B6:AE65" xr:uid="{65FA6D9B-E0AF-46CD-BA0D-86BB75FE6AB0}"/>
  <hyperlinks>
    <hyperlink ref="P13" r:id="rId1" location="reisesok" xr:uid="{83D36906-9A67-41A9-9F5A-E708EDAB09E4}"/>
    <hyperlink ref="P18" r:id="rId2" xr:uid="{B6E03980-C1C5-4600-958F-1A33C860D81E}"/>
    <hyperlink ref="P19" r:id="rId3" xr:uid="{738FC5D3-ED0B-488B-B078-ECA9908FE5E5}"/>
    <hyperlink ref="P27" r:id="rId4" xr:uid="{FB6A4C85-BD98-47FC-8BA0-D2F340E50446}"/>
    <hyperlink ref="P29" r:id="rId5" xr:uid="{CD05E57C-7983-4D1C-9B80-E59B5ED40915}"/>
    <hyperlink ref="P34" r:id="rId6" xr:uid="{57926554-B808-4EC5-8A99-F2A69D2F57CE}"/>
    <hyperlink ref="P51" r:id="rId7" xr:uid="{4B0AAAB9-29E4-4126-B32E-D2BF4E04FBF4}"/>
    <hyperlink ref="P53" r:id="rId8" xr:uid="{4DD80419-B6CA-41E2-8EDB-A3A6DBAC588F}"/>
    <hyperlink ref="P54" r:id="rId9" xr:uid="{33241849-9204-4CB3-A266-9D9B1A7410C3}"/>
    <hyperlink ref="P55" r:id="rId10" xr:uid="{D5809D77-9545-4BEA-8F4C-E874CC0A2094}"/>
    <hyperlink ref="P56" r:id="rId11" xr:uid="{E1632533-7FCB-41B5-8772-FE31D8A89665}"/>
    <hyperlink ref="P31" r:id="rId12" xr:uid="{5D64D379-6296-48CA-9D1B-3862C2A96C24}"/>
  </hyperlinks>
  <pageMargins left="0.7" right="0.7" top="0.75" bottom="0.75" header="0.3" footer="0.3"/>
  <pageSetup paperSize="9" orientation="portrait"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BE64C-1742-48D9-82AF-EE9CF9A4E2A1}">
  <sheetPr>
    <tabColor rgb="FFFFFF00"/>
  </sheetPr>
  <dimension ref="B1:AK96"/>
  <sheetViews>
    <sheetView topLeftCell="A6" zoomScale="80" zoomScaleNormal="80" workbookViewId="0">
      <selection activeCell="W7" sqref="W7"/>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163</v>
      </c>
    </row>
    <row r="2" spans="2:36" x14ac:dyDescent="0.25">
      <c r="B2" s="2" t="s">
        <v>146</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36" si="0">+Q7*R7</f>
        <v>0</v>
      </c>
      <c r="T7" s="5">
        <v>0</v>
      </c>
      <c r="U7" s="12">
        <f t="shared" ref="U7:U36" si="1">S7*(1-T7)</f>
        <v>0</v>
      </c>
      <c r="V7" s="25" t="s">
        <v>10</v>
      </c>
      <c r="W7" s="11">
        <f>IFERROR(VLOOKUP(V7,Curr!$B$2:$C$13,2,FALSE),0)</f>
        <v>11.2</v>
      </c>
      <c r="X7" s="12">
        <f t="shared" ref="X7:X36" si="2">U7*W7</f>
        <v>0</v>
      </c>
      <c r="Y7" s="26">
        <f t="shared" ref="Y7:Y36" si="3">Q7</f>
        <v>0</v>
      </c>
      <c r="Z7" s="12">
        <f t="shared" ref="Z7:Z70" si="4">+Y7*R7</f>
        <v>0</v>
      </c>
      <c r="AA7" s="4" t="s">
        <v>10</v>
      </c>
      <c r="AB7" s="11">
        <f>IFERROR(VLOOKUP(AA7,Curr!$B$2:$C$13,2,FALSE),0)</f>
        <v>11.2</v>
      </c>
      <c r="AC7" s="12">
        <f t="shared" ref="AC7:AC70" si="5">+Y7*AB7*R7</f>
        <v>0</v>
      </c>
      <c r="AD7" s="12">
        <f t="shared" ref="AD7:AD70" si="6">+AC7-X7</f>
        <v>0</v>
      </c>
      <c r="AE7" s="13">
        <f t="shared" ref="AE7:AE70"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70</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Q9/0.85</f>
        <v>176.47058823529412</v>
      </c>
      <c r="Z9" s="12">
        <f t="shared" si="4"/>
        <v>176.47058823529412</v>
      </c>
      <c r="AA9" s="4" t="s">
        <v>10</v>
      </c>
      <c r="AB9" s="11">
        <f>IFERROR(VLOOKUP(AA9,Curr!$B$2:$C$13,2,FALSE),0)</f>
        <v>11.2</v>
      </c>
      <c r="AC9" s="12">
        <f t="shared" si="5"/>
        <v>1976.4705882352939</v>
      </c>
      <c r="AD9" s="12">
        <f t="shared" si="6"/>
        <v>296.47058823529392</v>
      </c>
      <c r="AE9" s="13">
        <f t="shared" si="7"/>
        <v>0.14999999999999991</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27"/>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66</v>
      </c>
      <c r="E13" s="3"/>
      <c r="F13" s="3"/>
      <c r="G13" s="24"/>
      <c r="H13" s="24"/>
      <c r="J13" s="1" t="s">
        <v>72</v>
      </c>
      <c r="K13" s="4"/>
      <c r="L13" s="4"/>
      <c r="M13" s="4"/>
      <c r="N13" s="4"/>
      <c r="O13" s="4" t="s">
        <v>42</v>
      </c>
      <c r="P13" s="33" t="s">
        <v>65</v>
      </c>
      <c r="Q13" s="25">
        <v>2400</v>
      </c>
      <c r="R13" s="25">
        <v>1</v>
      </c>
      <c r="S13" s="12">
        <f t="shared" si="0"/>
        <v>2400</v>
      </c>
      <c r="T13" s="5">
        <v>0</v>
      </c>
      <c r="U13" s="12">
        <f t="shared" si="1"/>
        <v>2400</v>
      </c>
      <c r="V13" s="25" t="s">
        <v>8</v>
      </c>
      <c r="W13" s="11">
        <f>IFERROR(VLOOKUP(V13,Curr!$B$2:$C$13,2,FALSE),0)</f>
        <v>1</v>
      </c>
      <c r="X13" s="12">
        <f t="shared" si="2"/>
        <v>2400</v>
      </c>
      <c r="Y13" s="26">
        <f>Q13/11.3/0.8</f>
        <v>265.48672566371675</v>
      </c>
      <c r="Z13" s="12">
        <f t="shared" si="4"/>
        <v>265.48672566371675</v>
      </c>
      <c r="AA13" s="4" t="s">
        <v>10</v>
      </c>
      <c r="AB13" s="11">
        <f>IFERROR(VLOOKUP(AA13,Curr!$B$2:$C$13,2,FALSE),0)</f>
        <v>11.2</v>
      </c>
      <c r="AC13" s="12">
        <f t="shared" si="5"/>
        <v>2973.4513274336273</v>
      </c>
      <c r="AD13" s="12">
        <f t="shared" si="6"/>
        <v>573.45132743362728</v>
      </c>
      <c r="AE13" s="13">
        <f t="shared" si="7"/>
        <v>0.19285714285714259</v>
      </c>
    </row>
    <row r="14" spans="2:36" x14ac:dyDescent="0.25">
      <c r="B14" s="4"/>
      <c r="C14" s="1" t="s">
        <v>63</v>
      </c>
      <c r="D14" s="1" t="s">
        <v>50</v>
      </c>
      <c r="E14" s="3"/>
      <c r="F14" s="3"/>
      <c r="G14" s="24"/>
      <c r="H14" s="24"/>
      <c r="J14" s="1" t="s">
        <v>67</v>
      </c>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ref="Y14:Y30" si="8">Q14</f>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71</v>
      </c>
      <c r="K15" s="4"/>
      <c r="L15" s="4"/>
      <c r="M15" s="4"/>
      <c r="N15" s="4"/>
      <c r="O15" s="4"/>
      <c r="P15" s="33"/>
      <c r="Q15" s="25">
        <v>280</v>
      </c>
      <c r="R15" s="25">
        <v>1</v>
      </c>
      <c r="S15" s="12">
        <f t="shared" si="0"/>
        <v>280</v>
      </c>
      <c r="T15" s="5">
        <v>0</v>
      </c>
      <c r="U15" s="12">
        <f t="shared" si="1"/>
        <v>280</v>
      </c>
      <c r="V15" s="25" t="s">
        <v>10</v>
      </c>
      <c r="W15" s="11">
        <f>IFERROR(VLOOKUP(V15,Curr!$B$2:$C$13,2,FALSE),0)</f>
        <v>11.2</v>
      </c>
      <c r="X15" s="12">
        <f t="shared" si="2"/>
        <v>3136</v>
      </c>
      <c r="Y15" s="26">
        <f>Q15/0.85</f>
        <v>329.41176470588238</v>
      </c>
      <c r="Z15" s="12">
        <f t="shared" si="4"/>
        <v>329.41176470588238</v>
      </c>
      <c r="AA15" s="4" t="s">
        <v>10</v>
      </c>
      <c r="AB15" s="11">
        <f>IFERROR(VLOOKUP(AA15,Curr!$B$2:$C$13,2,FALSE),0)</f>
        <v>11.2</v>
      </c>
      <c r="AC15" s="12">
        <f t="shared" si="5"/>
        <v>3689.4117647058824</v>
      </c>
      <c r="AD15" s="12">
        <f t="shared" si="6"/>
        <v>553.41176470588243</v>
      </c>
      <c r="AE15" s="13">
        <f t="shared" si="7"/>
        <v>0.15000000000000002</v>
      </c>
    </row>
    <row r="16" spans="2:36" x14ac:dyDescent="0.25">
      <c r="B16" s="4"/>
      <c r="C16" s="1" t="s">
        <v>63</v>
      </c>
      <c r="D16" s="1" t="s">
        <v>53</v>
      </c>
      <c r="E16" s="3"/>
      <c r="F16" s="3"/>
      <c r="G16" s="24"/>
      <c r="H16" s="24"/>
      <c r="J16" s="1" t="s">
        <v>68</v>
      </c>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8"/>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0"/>
        <v>0</v>
      </c>
      <c r="T17" s="5">
        <v>0</v>
      </c>
      <c r="U17" s="12">
        <f t="shared" si="1"/>
        <v>0</v>
      </c>
      <c r="V17" s="25" t="s">
        <v>10</v>
      </c>
      <c r="W17" s="11">
        <f>IFERROR(VLOOKUP(V17,Curr!$B$2:$C$13,2,FALSE),0)</f>
        <v>11.2</v>
      </c>
      <c r="X17" s="12">
        <f t="shared" si="2"/>
        <v>0</v>
      </c>
      <c r="Y17" s="26">
        <f t="shared" si="8"/>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0"/>
        <v>580</v>
      </c>
      <c r="T18" s="5">
        <v>0.2</v>
      </c>
      <c r="U18" s="12">
        <f t="shared" si="1"/>
        <v>464</v>
      </c>
      <c r="V18" s="25" t="s">
        <v>8</v>
      </c>
      <c r="W18" s="11">
        <f>IFERROR(VLOOKUP(V18,Curr!$B$2:$C$13,2,FALSE),0)</f>
        <v>1</v>
      </c>
      <c r="X18" s="12">
        <f t="shared" si="2"/>
        <v>464</v>
      </c>
      <c r="Y18" s="26">
        <f>Q18/11.3/0.64</f>
        <v>40.099557522123888</v>
      </c>
      <c r="Z18" s="12">
        <f t="shared" si="4"/>
        <v>80.199115044247776</v>
      </c>
      <c r="AA18" s="4" t="s">
        <v>10</v>
      </c>
      <c r="AB18" s="11">
        <f>IFERROR(VLOOKUP(AA18,Curr!$B$2:$C$13,2,FALSE),0)</f>
        <v>11.2</v>
      </c>
      <c r="AC18" s="12">
        <f t="shared" si="5"/>
        <v>898.23008849557505</v>
      </c>
      <c r="AD18" s="12">
        <f t="shared" si="6"/>
        <v>434.23008849557505</v>
      </c>
      <c r="AE18" s="13">
        <f t="shared" si="7"/>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0"/>
        <v>350</v>
      </c>
      <c r="T19" s="5">
        <v>0</v>
      </c>
      <c r="U19" s="12">
        <f t="shared" si="1"/>
        <v>350</v>
      </c>
      <c r="V19" s="25" t="s">
        <v>8</v>
      </c>
      <c r="W19" s="11">
        <f>IFERROR(VLOOKUP(V19,Curr!$B$2:$C$13,2,FALSE),0)</f>
        <v>1</v>
      </c>
      <c r="X19" s="12">
        <f t="shared" si="2"/>
        <v>350</v>
      </c>
      <c r="Y19" s="26">
        <f>Q19/11.3/0.5</f>
        <v>30.973451327433626</v>
      </c>
      <c r="Z19" s="12">
        <f t="shared" si="4"/>
        <v>61.946902654867252</v>
      </c>
      <c r="AA19" s="4" t="s">
        <v>10</v>
      </c>
      <c r="AB19" s="11">
        <f>IFERROR(VLOOKUP(AA19,Curr!$B$2:$C$13,2,FALSE),0)</f>
        <v>11.2</v>
      </c>
      <c r="AC19" s="12">
        <f t="shared" si="5"/>
        <v>693.80530973451323</v>
      </c>
      <c r="AD19" s="12">
        <f t="shared" si="6"/>
        <v>343.80530973451323</v>
      </c>
      <c r="AE19" s="13">
        <f t="shared" si="7"/>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si="8"/>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11.2</v>
      </c>
      <c r="X21" s="12">
        <f t="shared" si="2"/>
        <v>0</v>
      </c>
      <c r="Y21" s="26">
        <f t="shared" si="8"/>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50</v>
      </c>
      <c r="E22" s="3"/>
      <c r="F22" s="3"/>
      <c r="G22" s="24"/>
      <c r="H22" s="24"/>
      <c r="J22" s="1" t="s">
        <v>83</v>
      </c>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8"/>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79</v>
      </c>
      <c r="E23" s="3"/>
      <c r="F23" s="3"/>
      <c r="G23" s="24"/>
      <c r="H23" s="24"/>
      <c r="J23" s="1" t="s">
        <v>223</v>
      </c>
      <c r="K23" s="4"/>
      <c r="L23" s="4"/>
      <c r="M23" s="4"/>
      <c r="N23" s="4"/>
      <c r="O23" s="4" t="s">
        <v>42</v>
      </c>
      <c r="P23" s="33"/>
      <c r="Q23" s="25">
        <v>1800</v>
      </c>
      <c r="R23" s="25">
        <v>2</v>
      </c>
      <c r="S23" s="12">
        <f t="shared" si="0"/>
        <v>3600</v>
      </c>
      <c r="T23" s="5">
        <v>0</v>
      </c>
      <c r="U23" s="12">
        <f t="shared" si="1"/>
        <v>3600</v>
      </c>
      <c r="V23" s="25" t="s">
        <v>8</v>
      </c>
      <c r="W23" s="11">
        <f>IFERROR(VLOOKUP(V23,Curr!$B$2:$C$13,2,FALSE),0)</f>
        <v>1</v>
      </c>
      <c r="X23" s="12">
        <f t="shared" si="2"/>
        <v>3600</v>
      </c>
      <c r="Y23" s="26">
        <f>Q23/11.3/0.8</f>
        <v>199.11504424778758</v>
      </c>
      <c r="Z23" s="12">
        <f t="shared" si="4"/>
        <v>398.23008849557516</v>
      </c>
      <c r="AA23" s="4" t="s">
        <v>10</v>
      </c>
      <c r="AB23" s="11">
        <f>IFERROR(VLOOKUP(AA23,Curr!$B$2:$C$13,2,FALSE),0)</f>
        <v>11.2</v>
      </c>
      <c r="AC23" s="12">
        <f t="shared" si="5"/>
        <v>4460.1769911504416</v>
      </c>
      <c r="AD23" s="12">
        <f t="shared" si="6"/>
        <v>860.17699115044161</v>
      </c>
      <c r="AE23" s="13">
        <f t="shared" si="7"/>
        <v>0.1928571428571427</v>
      </c>
    </row>
    <row r="24" spans="2:31" x14ac:dyDescent="0.25">
      <c r="B24" s="4"/>
      <c r="C24" s="1" t="s">
        <v>78</v>
      </c>
      <c r="D24" s="1" t="s">
        <v>50</v>
      </c>
      <c r="E24" s="3"/>
      <c r="F24" s="3"/>
      <c r="G24" s="24"/>
      <c r="H24" s="24"/>
      <c r="J24" s="1" t="s">
        <v>84</v>
      </c>
      <c r="K24" s="4"/>
      <c r="L24" s="4"/>
      <c r="M24" s="4"/>
      <c r="N24" s="4"/>
      <c r="O24" s="4"/>
      <c r="P24" s="33"/>
      <c r="Q24" s="25">
        <v>0</v>
      </c>
      <c r="R24" s="25">
        <v>0</v>
      </c>
      <c r="S24" s="12">
        <f t="shared" si="0"/>
        <v>0</v>
      </c>
      <c r="T24" s="5">
        <v>0</v>
      </c>
      <c r="U24" s="12">
        <f t="shared" si="1"/>
        <v>0</v>
      </c>
      <c r="V24" s="25" t="s">
        <v>8</v>
      </c>
      <c r="W24" s="11">
        <f>IFERROR(VLOOKUP(V24,Curr!$B$2:$C$13,2,FALSE),0)</f>
        <v>1</v>
      </c>
      <c r="X24" s="12">
        <f t="shared" si="2"/>
        <v>0</v>
      </c>
      <c r="Y24" s="26">
        <f>Q24/11.3/0.8</f>
        <v>0</v>
      </c>
      <c r="Z24" s="12">
        <f t="shared" si="4"/>
        <v>0</v>
      </c>
      <c r="AA24" s="4" t="s">
        <v>10</v>
      </c>
      <c r="AB24" s="11">
        <f>IFERROR(VLOOKUP(AA24,Curr!$B$2:$C$13,2,FALSE),0)</f>
        <v>11.2</v>
      </c>
      <c r="AC24" s="12">
        <f t="shared" si="5"/>
        <v>0</v>
      </c>
      <c r="AD24" s="12">
        <f t="shared" si="6"/>
        <v>0</v>
      </c>
      <c r="AE24" s="13">
        <f t="shared" si="7"/>
        <v>0</v>
      </c>
    </row>
    <row r="25" spans="2:31" x14ac:dyDescent="0.25">
      <c r="B25" s="4"/>
      <c r="C25" s="1" t="s">
        <v>78</v>
      </c>
      <c r="D25" s="1" t="s">
        <v>52</v>
      </c>
      <c r="E25" s="3"/>
      <c r="F25" s="3"/>
      <c r="G25" s="24"/>
      <c r="H25" s="24"/>
      <c r="J25" s="1" t="s">
        <v>86</v>
      </c>
      <c r="K25" s="4"/>
      <c r="L25" s="4"/>
      <c r="M25" s="4"/>
      <c r="N25" s="4"/>
      <c r="O25" s="4"/>
      <c r="P25" s="33"/>
      <c r="Q25" s="25">
        <v>500</v>
      </c>
      <c r="R25" s="25">
        <v>1</v>
      </c>
      <c r="S25" s="12">
        <f t="shared" si="0"/>
        <v>500</v>
      </c>
      <c r="T25" s="5">
        <v>0</v>
      </c>
      <c r="U25" s="12">
        <f t="shared" si="1"/>
        <v>500</v>
      </c>
      <c r="V25" s="25" t="s">
        <v>10</v>
      </c>
      <c r="W25" s="11">
        <f>IFERROR(VLOOKUP(V25,Curr!$B$2:$C$13,2,FALSE),0)</f>
        <v>11.2</v>
      </c>
      <c r="X25" s="12">
        <f t="shared" si="2"/>
        <v>5600</v>
      </c>
      <c r="Y25" s="26">
        <f>Q25/0.85</f>
        <v>588.23529411764707</v>
      </c>
      <c r="Z25" s="12">
        <f t="shared" si="4"/>
        <v>588.23529411764707</v>
      </c>
      <c r="AA25" s="4" t="s">
        <v>10</v>
      </c>
      <c r="AB25" s="11">
        <f>IFERROR(VLOOKUP(AA25,Curr!$B$2:$C$13,2,FALSE),0)</f>
        <v>11.2</v>
      </c>
      <c r="AC25" s="12">
        <f t="shared" si="5"/>
        <v>6588.2352941176468</v>
      </c>
      <c r="AD25" s="12">
        <f t="shared" si="6"/>
        <v>988.23529411764684</v>
      </c>
      <c r="AE25" s="13">
        <f t="shared" si="7"/>
        <v>0.14999999999999997</v>
      </c>
    </row>
    <row r="26" spans="2:31" x14ac:dyDescent="0.25">
      <c r="B26" s="4"/>
      <c r="C26" s="1" t="s">
        <v>78</v>
      </c>
      <c r="D26" s="1" t="s">
        <v>53</v>
      </c>
      <c r="E26" s="3"/>
      <c r="F26" s="3"/>
      <c r="G26" s="24"/>
      <c r="H26" s="24"/>
      <c r="J26" s="1" t="s">
        <v>85</v>
      </c>
      <c r="K26" s="4"/>
      <c r="L26" s="4"/>
      <c r="M26" s="4"/>
      <c r="N26" s="4"/>
      <c r="O26" s="4"/>
      <c r="P26" s="33"/>
      <c r="Q26" s="25">
        <v>0</v>
      </c>
      <c r="R26" s="25">
        <v>0</v>
      </c>
      <c r="S26" s="12">
        <f t="shared" si="0"/>
        <v>0</v>
      </c>
      <c r="T26" s="5">
        <v>0</v>
      </c>
      <c r="U26" s="12">
        <f t="shared" si="1"/>
        <v>0</v>
      </c>
      <c r="V26" s="25" t="s">
        <v>10</v>
      </c>
      <c r="W26" s="11">
        <f>IFERROR(VLOOKUP(V26,Curr!$B$2:$C$13,2,FALSE),0)</f>
        <v>11.2</v>
      </c>
      <c r="X26" s="12">
        <f t="shared" si="2"/>
        <v>0</v>
      </c>
      <c r="Y26" s="26">
        <f t="shared" ref="Y26:Y27" si="9">Q26</f>
        <v>0</v>
      </c>
      <c r="Z26" s="12">
        <f t="shared" si="4"/>
        <v>0</v>
      </c>
      <c r="AA26" s="4" t="s">
        <v>10</v>
      </c>
      <c r="AB26" s="11">
        <f>IFERROR(VLOOKUP(AA26,Curr!$B$2:$C$13,2,FALSE),0)</f>
        <v>11.2</v>
      </c>
      <c r="AC26" s="12">
        <f t="shared" si="5"/>
        <v>0</v>
      </c>
      <c r="AD26" s="12">
        <f t="shared" si="6"/>
        <v>0</v>
      </c>
      <c r="AE26" s="13">
        <f t="shared" si="7"/>
        <v>0</v>
      </c>
    </row>
    <row r="27" spans="2:31" x14ac:dyDescent="0.25">
      <c r="B27" s="4"/>
      <c r="C27" s="1" t="s">
        <v>78</v>
      </c>
      <c r="D27" s="1" t="s">
        <v>73</v>
      </c>
      <c r="E27" s="3"/>
      <c r="F27" s="3"/>
      <c r="G27" s="24"/>
      <c r="H27" s="24"/>
      <c r="J27" s="1" t="s">
        <v>87</v>
      </c>
      <c r="K27" s="4"/>
      <c r="L27" s="4"/>
      <c r="M27" s="4"/>
      <c r="N27" s="4"/>
      <c r="O27" s="4" t="s">
        <v>42</v>
      </c>
      <c r="P27" s="33" t="s">
        <v>88</v>
      </c>
      <c r="Q27" s="25">
        <v>105</v>
      </c>
      <c r="R27" s="25">
        <v>2</v>
      </c>
      <c r="S27" s="12">
        <f t="shared" si="0"/>
        <v>210</v>
      </c>
      <c r="T27" s="5">
        <v>0.2</v>
      </c>
      <c r="U27" s="12">
        <f t="shared" si="1"/>
        <v>168</v>
      </c>
      <c r="V27" s="25" t="s">
        <v>10</v>
      </c>
      <c r="W27" s="11">
        <f>IFERROR(VLOOKUP(V27,Curr!$B$2:$C$13,2,FALSE),0)</f>
        <v>11.2</v>
      </c>
      <c r="X27" s="12">
        <f t="shared" si="2"/>
        <v>1881.6</v>
      </c>
      <c r="Y27" s="26">
        <f t="shared" si="9"/>
        <v>105</v>
      </c>
      <c r="Z27" s="12">
        <f t="shared" si="4"/>
        <v>210</v>
      </c>
      <c r="AA27" s="4" t="s">
        <v>10</v>
      </c>
      <c r="AB27" s="11">
        <f>IFERROR(VLOOKUP(AA27,Curr!$B$2:$C$13,2,FALSE),0)</f>
        <v>11.2</v>
      </c>
      <c r="AC27" s="12">
        <f t="shared" si="5"/>
        <v>2352</v>
      </c>
      <c r="AD27" s="12">
        <f t="shared" si="6"/>
        <v>470.40000000000009</v>
      </c>
      <c r="AE27" s="13">
        <f t="shared" si="7"/>
        <v>0.20000000000000004</v>
      </c>
    </row>
    <row r="28" spans="2:31" x14ac:dyDescent="0.25">
      <c r="B28" s="4"/>
      <c r="E28" s="3"/>
      <c r="F28" s="3"/>
      <c r="G28" s="24"/>
      <c r="H28" s="24"/>
      <c r="K28" s="4"/>
      <c r="L28" s="4"/>
      <c r="M28" s="4"/>
      <c r="N28" s="4"/>
      <c r="O28" s="4"/>
      <c r="P28" s="33"/>
      <c r="Q28" s="25"/>
      <c r="R28" s="25"/>
      <c r="S28" s="12">
        <f t="shared" si="0"/>
        <v>0</v>
      </c>
      <c r="T28" s="5">
        <v>0</v>
      </c>
      <c r="U28" s="12">
        <f t="shared" si="1"/>
        <v>0</v>
      </c>
      <c r="V28" s="25" t="s">
        <v>10</v>
      </c>
      <c r="W28" s="11">
        <f>IFERROR(VLOOKUP(V28,Curr!$B$2:$C$13,2,FALSE),0)</f>
        <v>11.2</v>
      </c>
      <c r="X28" s="12">
        <f t="shared" si="2"/>
        <v>0</v>
      </c>
      <c r="Y28" s="26">
        <f t="shared" si="8"/>
        <v>0</v>
      </c>
      <c r="Z28" s="12">
        <f t="shared" si="4"/>
        <v>0</v>
      </c>
      <c r="AA28" s="4" t="s">
        <v>10</v>
      </c>
      <c r="AB28" s="11">
        <f>IFERROR(VLOOKUP(AA28,Curr!$B$2:$C$13,2,FALSE),0)</f>
        <v>11.2</v>
      </c>
      <c r="AC28" s="12">
        <f t="shared" si="5"/>
        <v>0</v>
      </c>
      <c r="AD28" s="12">
        <f t="shared" si="6"/>
        <v>0</v>
      </c>
      <c r="AE28" s="13">
        <f t="shared" si="7"/>
        <v>0</v>
      </c>
    </row>
    <row r="29" spans="2:31" x14ac:dyDescent="0.25">
      <c r="B29" s="4"/>
      <c r="C29" s="1" t="s">
        <v>80</v>
      </c>
      <c r="D29" s="1" t="s">
        <v>73</v>
      </c>
      <c r="E29" s="3"/>
      <c r="F29" s="3"/>
      <c r="G29" s="24"/>
      <c r="H29" s="24"/>
      <c r="J29" s="1" t="s">
        <v>89</v>
      </c>
      <c r="K29" s="4"/>
      <c r="L29" s="4"/>
      <c r="M29" s="4"/>
      <c r="N29" s="4"/>
      <c r="O29" s="4" t="s">
        <v>42</v>
      </c>
      <c r="P29" s="33" t="s">
        <v>90</v>
      </c>
      <c r="Q29" s="25">
        <v>1695</v>
      </c>
      <c r="R29" s="25">
        <v>2</v>
      </c>
      <c r="S29" s="12">
        <f t="shared" si="0"/>
        <v>3390</v>
      </c>
      <c r="T29" s="5">
        <v>0.2</v>
      </c>
      <c r="U29" s="12">
        <f t="shared" si="1"/>
        <v>2712</v>
      </c>
      <c r="V29" s="25" t="s">
        <v>8</v>
      </c>
      <c r="W29" s="11">
        <f>IFERROR(VLOOKUP(V29,Curr!$B$2:$C$13,2,FALSE),0)</f>
        <v>1</v>
      </c>
      <c r="X29" s="12">
        <f t="shared" si="2"/>
        <v>2712</v>
      </c>
      <c r="Y29" s="26">
        <f>Q29/11.3</f>
        <v>150</v>
      </c>
      <c r="Z29" s="12">
        <f t="shared" si="4"/>
        <v>300</v>
      </c>
      <c r="AA29" s="4" t="s">
        <v>10</v>
      </c>
      <c r="AB29" s="11">
        <f>IFERROR(VLOOKUP(AA29,Curr!$B$2:$C$13,2,FALSE),0)</f>
        <v>11.2</v>
      </c>
      <c r="AC29" s="12">
        <f t="shared" si="5"/>
        <v>3360</v>
      </c>
      <c r="AD29" s="12">
        <f t="shared" si="6"/>
        <v>648</v>
      </c>
      <c r="AE29" s="13">
        <f t="shared" si="7"/>
        <v>0.19285714285714287</v>
      </c>
    </row>
    <row r="30" spans="2:31" x14ac:dyDescent="0.25">
      <c r="B30" s="4"/>
      <c r="C30" s="1" t="s">
        <v>80</v>
      </c>
      <c r="D30" s="1" t="s">
        <v>53</v>
      </c>
      <c r="E30" s="3"/>
      <c r="F30" s="3"/>
      <c r="G30" s="24"/>
      <c r="H30" s="24"/>
      <c r="J30" s="1" t="s">
        <v>85</v>
      </c>
      <c r="K30" s="4"/>
      <c r="L30" s="4"/>
      <c r="M30" s="4"/>
      <c r="N30" s="4"/>
      <c r="O30" s="4"/>
      <c r="P30" s="33"/>
      <c r="Q30" s="25">
        <v>0</v>
      </c>
      <c r="R30" s="25">
        <v>0</v>
      </c>
      <c r="S30" s="12">
        <f t="shared" si="0"/>
        <v>0</v>
      </c>
      <c r="T30" s="5">
        <v>0</v>
      </c>
      <c r="U30" s="12">
        <f t="shared" si="1"/>
        <v>0</v>
      </c>
      <c r="V30" s="25" t="s">
        <v>10</v>
      </c>
      <c r="W30" s="11">
        <f>IFERROR(VLOOKUP(V30,Curr!$B$2:$C$13,2,FALSE),0)</f>
        <v>11.2</v>
      </c>
      <c r="X30" s="12">
        <f t="shared" si="2"/>
        <v>0</v>
      </c>
      <c r="Y30" s="26">
        <f t="shared" si="8"/>
        <v>0</v>
      </c>
      <c r="Z30" s="12">
        <f t="shared" si="4"/>
        <v>0</v>
      </c>
      <c r="AA30" s="4" t="s">
        <v>10</v>
      </c>
      <c r="AB30" s="11">
        <f>IFERROR(VLOOKUP(AA30,Curr!$B$2:$C$13,2,FALSE),0)</f>
        <v>11.2</v>
      </c>
      <c r="AC30" s="12">
        <f t="shared" si="5"/>
        <v>0</v>
      </c>
      <c r="AD30" s="12">
        <f t="shared" si="6"/>
        <v>0</v>
      </c>
      <c r="AE30" s="13">
        <f t="shared" si="7"/>
        <v>0</v>
      </c>
    </row>
    <row r="31" spans="2:31" x14ac:dyDescent="0.25">
      <c r="B31" s="4"/>
      <c r="C31" s="1" t="s">
        <v>80</v>
      </c>
      <c r="D31" s="1" t="s">
        <v>73</v>
      </c>
      <c r="E31" s="3"/>
      <c r="F31" s="3"/>
      <c r="G31" s="24"/>
      <c r="H31" s="24"/>
      <c r="J31" s="1" t="s">
        <v>332</v>
      </c>
      <c r="K31" s="4"/>
      <c r="L31" s="4"/>
      <c r="M31" s="4"/>
      <c r="N31" s="4"/>
      <c r="O31" s="4" t="s">
        <v>42</v>
      </c>
      <c r="P31" s="33" t="s">
        <v>333</v>
      </c>
      <c r="Q31" s="25">
        <v>120</v>
      </c>
      <c r="R31" s="25">
        <v>2</v>
      </c>
      <c r="S31" s="12">
        <f t="shared" si="0"/>
        <v>240</v>
      </c>
      <c r="T31" s="5">
        <v>0.2</v>
      </c>
      <c r="U31" s="12">
        <f t="shared" si="1"/>
        <v>192</v>
      </c>
      <c r="V31" s="25" t="s">
        <v>10</v>
      </c>
      <c r="W31" s="11">
        <f>IFERROR(VLOOKUP(V31,Curr!$B$2:$C$13,2,FALSE),0)</f>
        <v>11.2</v>
      </c>
      <c r="X31" s="12">
        <f t="shared" si="2"/>
        <v>2150.3999999999996</v>
      </c>
      <c r="Y31" s="26">
        <f>Q31</f>
        <v>120</v>
      </c>
      <c r="Z31" s="12">
        <f t="shared" si="4"/>
        <v>240</v>
      </c>
      <c r="AA31" s="4" t="s">
        <v>10</v>
      </c>
      <c r="AB31" s="11">
        <f>IFERROR(VLOOKUP(AA31,Curr!$B$2:$C$13,2,FALSE),0)</f>
        <v>11.2</v>
      </c>
      <c r="AC31" s="12">
        <f t="shared" si="5"/>
        <v>2688</v>
      </c>
      <c r="AD31" s="12">
        <f t="shared" si="6"/>
        <v>537.60000000000036</v>
      </c>
      <c r="AE31" s="13">
        <f t="shared" si="7"/>
        <v>0.20000000000000012</v>
      </c>
    </row>
    <row r="32" spans="2:31" x14ac:dyDescent="0.25">
      <c r="B32" s="4"/>
      <c r="E32" s="3"/>
      <c r="F32" s="3"/>
      <c r="G32" s="24"/>
      <c r="H32" s="24"/>
      <c r="K32" s="4"/>
      <c r="L32" s="4"/>
      <c r="M32" s="4"/>
      <c r="N32" s="4"/>
      <c r="O32" s="4"/>
      <c r="P32" s="27"/>
      <c r="Q32" s="25"/>
      <c r="R32" s="25"/>
      <c r="S32" s="12">
        <f t="shared" si="0"/>
        <v>0</v>
      </c>
      <c r="T32" s="5">
        <v>0</v>
      </c>
      <c r="U32" s="12">
        <f t="shared" si="1"/>
        <v>0</v>
      </c>
      <c r="V32" s="25" t="s">
        <v>10</v>
      </c>
      <c r="W32" s="11">
        <f>IFERROR(VLOOKUP(V32,Curr!$B$2:$C$13,2,FALSE),0)</f>
        <v>11.2</v>
      </c>
      <c r="X32" s="12">
        <f t="shared" si="2"/>
        <v>0</v>
      </c>
      <c r="Y32" s="26">
        <f t="shared" si="3"/>
        <v>0</v>
      </c>
      <c r="Z32" s="12">
        <f t="shared" si="4"/>
        <v>0</v>
      </c>
      <c r="AA32" s="4" t="s">
        <v>10</v>
      </c>
      <c r="AB32" s="11">
        <f>IFERROR(VLOOKUP(AA32,Curr!$B$2:$C$13,2,FALSE),0)</f>
        <v>11.2</v>
      </c>
      <c r="AC32" s="12">
        <f t="shared" si="5"/>
        <v>0</v>
      </c>
      <c r="AD32" s="12">
        <f t="shared" si="6"/>
        <v>0</v>
      </c>
      <c r="AE32" s="13">
        <f t="shared" si="7"/>
        <v>0</v>
      </c>
    </row>
    <row r="33" spans="2:31" x14ac:dyDescent="0.25">
      <c r="B33" s="4"/>
      <c r="C33" s="1" t="s">
        <v>81</v>
      </c>
      <c r="D33" s="1" t="s">
        <v>50</v>
      </c>
      <c r="E33" s="3"/>
      <c r="F33" s="3"/>
      <c r="G33" s="24"/>
      <c r="H33" s="24"/>
      <c r="J33" s="1" t="s">
        <v>120</v>
      </c>
      <c r="K33" s="4"/>
      <c r="L33" s="4"/>
      <c r="M33" s="4"/>
      <c r="N33" s="4"/>
      <c r="O33" s="4"/>
      <c r="P33" s="27"/>
      <c r="Q33" s="25">
        <v>0</v>
      </c>
      <c r="R33" s="25">
        <v>0</v>
      </c>
      <c r="S33" s="12">
        <f t="shared" si="0"/>
        <v>0</v>
      </c>
      <c r="T33" s="5">
        <v>0</v>
      </c>
      <c r="U33" s="12">
        <f t="shared" si="1"/>
        <v>0</v>
      </c>
      <c r="V33" s="25" t="s">
        <v>10</v>
      </c>
      <c r="W33" s="11">
        <f>IFERROR(VLOOKUP(V33,Curr!$B$2:$C$13,2,FALSE),0)</f>
        <v>11.2</v>
      </c>
      <c r="X33" s="12">
        <f t="shared" si="2"/>
        <v>0</v>
      </c>
      <c r="Y33" s="26">
        <f t="shared" si="3"/>
        <v>0</v>
      </c>
      <c r="Z33" s="12">
        <f t="shared" si="4"/>
        <v>0</v>
      </c>
      <c r="AA33" s="4" t="s">
        <v>10</v>
      </c>
      <c r="AB33" s="11">
        <f>IFERROR(VLOOKUP(AA33,Curr!$B$2:$C$13,2,FALSE),0)</f>
        <v>11.2</v>
      </c>
      <c r="AC33" s="12">
        <f t="shared" si="5"/>
        <v>0</v>
      </c>
      <c r="AD33" s="12">
        <f t="shared" si="6"/>
        <v>0</v>
      </c>
      <c r="AE33" s="13">
        <f t="shared" si="7"/>
        <v>0</v>
      </c>
    </row>
    <row r="34" spans="2:31" x14ac:dyDescent="0.25">
      <c r="B34" s="4"/>
      <c r="C34" s="1" t="s">
        <v>81</v>
      </c>
      <c r="D34" s="1" t="s">
        <v>73</v>
      </c>
      <c r="E34" s="3"/>
      <c r="F34" s="3"/>
      <c r="G34" s="24"/>
      <c r="H34" s="24"/>
      <c r="J34" s="1" t="s">
        <v>121</v>
      </c>
      <c r="K34" s="4"/>
      <c r="L34" s="4"/>
      <c r="M34" s="4"/>
      <c r="N34" s="4"/>
      <c r="O34" s="4" t="s">
        <v>42</v>
      </c>
      <c r="P34" s="33" t="s">
        <v>122</v>
      </c>
      <c r="Q34" s="25">
        <v>375</v>
      </c>
      <c r="R34" s="25">
        <v>2</v>
      </c>
      <c r="S34" s="12">
        <f t="shared" si="0"/>
        <v>750</v>
      </c>
      <c r="T34" s="5">
        <v>0.2</v>
      </c>
      <c r="U34" s="12">
        <f t="shared" si="1"/>
        <v>600</v>
      </c>
      <c r="V34" s="25" t="s">
        <v>10</v>
      </c>
      <c r="W34" s="11">
        <f>IFERROR(VLOOKUP(V34,Curr!$B$2:$C$13,2,FALSE),0)</f>
        <v>11.2</v>
      </c>
      <c r="X34" s="12">
        <f t="shared" si="2"/>
        <v>6720</v>
      </c>
      <c r="Y34" s="26">
        <f t="shared" si="3"/>
        <v>375</v>
      </c>
      <c r="Z34" s="12">
        <f t="shared" si="4"/>
        <v>750</v>
      </c>
      <c r="AA34" s="4" t="s">
        <v>10</v>
      </c>
      <c r="AB34" s="11">
        <f>IFERROR(VLOOKUP(AA34,Curr!$B$2:$C$13,2,FALSE),0)</f>
        <v>11.2</v>
      </c>
      <c r="AC34" s="12">
        <f t="shared" si="5"/>
        <v>8400</v>
      </c>
      <c r="AD34" s="12">
        <f t="shared" si="6"/>
        <v>1680</v>
      </c>
      <c r="AE34" s="13">
        <f t="shared" si="7"/>
        <v>0.2</v>
      </c>
    </row>
    <row r="35" spans="2:31" x14ac:dyDescent="0.25">
      <c r="B35" s="4"/>
      <c r="E35" s="3"/>
      <c r="F35" s="3"/>
      <c r="G35" s="24"/>
      <c r="H35" s="24"/>
      <c r="K35" s="4"/>
      <c r="L35" s="4"/>
      <c r="M35" s="4"/>
      <c r="N35" s="4"/>
      <c r="O35" s="4"/>
      <c r="P35" s="27"/>
      <c r="Q35" s="25"/>
      <c r="R35" s="25"/>
      <c r="S35" s="12">
        <f t="shared" si="0"/>
        <v>0</v>
      </c>
      <c r="T35" s="5">
        <v>0</v>
      </c>
      <c r="U35" s="12">
        <f t="shared" si="1"/>
        <v>0</v>
      </c>
      <c r="V35" s="25" t="s">
        <v>10</v>
      </c>
      <c r="W35" s="11">
        <f>IFERROR(VLOOKUP(V35,Curr!$B$2:$C$13,2,FALSE),0)</f>
        <v>11.2</v>
      </c>
      <c r="X35" s="12">
        <f t="shared" si="2"/>
        <v>0</v>
      </c>
      <c r="Y35" s="26">
        <f t="shared" si="3"/>
        <v>0</v>
      </c>
      <c r="Z35" s="12">
        <f t="shared" si="4"/>
        <v>0</v>
      </c>
      <c r="AA35" s="4" t="s">
        <v>10</v>
      </c>
      <c r="AB35" s="11">
        <f>IFERROR(VLOOKUP(AA35,Curr!$B$2:$C$13,2,FALSE),0)</f>
        <v>11.2</v>
      </c>
      <c r="AC35" s="12">
        <f t="shared" si="5"/>
        <v>0</v>
      </c>
      <c r="AD35" s="12">
        <f t="shared" si="6"/>
        <v>0</v>
      </c>
      <c r="AE35" s="13">
        <f t="shared" si="7"/>
        <v>0</v>
      </c>
    </row>
    <row r="36" spans="2:31" x14ac:dyDescent="0.25">
      <c r="B36" s="4"/>
      <c r="C36" s="1" t="s">
        <v>114</v>
      </c>
      <c r="D36" s="1" t="s">
        <v>50</v>
      </c>
      <c r="E36" s="3"/>
      <c r="F36" s="3"/>
      <c r="G36" s="24"/>
      <c r="H36" s="24"/>
      <c r="J36" s="1" t="s">
        <v>123</v>
      </c>
      <c r="K36" s="4"/>
      <c r="L36" s="4"/>
      <c r="M36" s="4"/>
      <c r="N36" s="4"/>
      <c r="O36" s="4"/>
      <c r="P36" s="33"/>
      <c r="Q36" s="25">
        <v>0</v>
      </c>
      <c r="R36" s="25">
        <v>0</v>
      </c>
      <c r="S36" s="12">
        <f t="shared" si="0"/>
        <v>0</v>
      </c>
      <c r="T36" s="5">
        <v>0</v>
      </c>
      <c r="U36" s="12">
        <f t="shared" si="1"/>
        <v>0</v>
      </c>
      <c r="V36" s="25" t="s">
        <v>10</v>
      </c>
      <c r="W36" s="11">
        <f>IFERROR(VLOOKUP(V36,Curr!$B$2:$C$13,2,FALSE),0)</f>
        <v>11.2</v>
      </c>
      <c r="X36" s="12">
        <f t="shared" si="2"/>
        <v>0</v>
      </c>
      <c r="Y36" s="26">
        <f t="shared" si="3"/>
        <v>0</v>
      </c>
      <c r="Z36" s="12">
        <f t="shared" si="4"/>
        <v>0</v>
      </c>
      <c r="AA36" s="4" t="s">
        <v>10</v>
      </c>
      <c r="AB36" s="11">
        <f>IFERROR(VLOOKUP(AA36,Curr!$B$2:$C$13,2,FALSE),0)</f>
        <v>11.2</v>
      </c>
      <c r="AC36" s="12">
        <f t="shared" si="5"/>
        <v>0</v>
      </c>
      <c r="AD36" s="12">
        <f t="shared" si="6"/>
        <v>0</v>
      </c>
      <c r="AE36" s="13">
        <f t="shared" si="7"/>
        <v>0</v>
      </c>
    </row>
    <row r="37" spans="2:31" x14ac:dyDescent="0.25">
      <c r="B37" s="4"/>
      <c r="C37" s="1" t="s">
        <v>114</v>
      </c>
      <c r="D37" s="1" t="s">
        <v>53</v>
      </c>
      <c r="E37" s="3"/>
      <c r="F37" s="3"/>
      <c r="G37" s="24"/>
      <c r="H37" s="24"/>
      <c r="J37" s="1" t="s">
        <v>85</v>
      </c>
      <c r="K37" s="4"/>
      <c r="L37" s="4"/>
      <c r="M37" s="4"/>
      <c r="N37" s="4"/>
      <c r="O37" s="4"/>
      <c r="P37" s="33"/>
      <c r="Q37" s="25">
        <v>0</v>
      </c>
      <c r="R37" s="25">
        <v>0</v>
      </c>
      <c r="S37" s="12">
        <f t="shared" ref="S37:S70" si="10">+Q37*R37</f>
        <v>0</v>
      </c>
      <c r="T37" s="5">
        <v>0</v>
      </c>
      <c r="U37" s="12">
        <f t="shared" ref="U37:U70" si="11">S37*(1-T37)</f>
        <v>0</v>
      </c>
      <c r="V37" s="25" t="s">
        <v>10</v>
      </c>
      <c r="W37" s="11">
        <f>IFERROR(VLOOKUP(V37,Curr!$B$2:$C$13,2,FALSE),0)</f>
        <v>11.2</v>
      </c>
      <c r="X37" s="12">
        <f t="shared" ref="X37:X70" si="12">U37*W37</f>
        <v>0</v>
      </c>
      <c r="Y37" s="26">
        <f t="shared" ref="Y37:Y70" si="13">Q37</f>
        <v>0</v>
      </c>
      <c r="Z37" s="12">
        <f t="shared" si="4"/>
        <v>0</v>
      </c>
      <c r="AA37" s="4" t="s">
        <v>10</v>
      </c>
      <c r="AB37" s="11">
        <f>IFERROR(VLOOKUP(AA37,Curr!$B$2:$C$13,2,FALSE),0)</f>
        <v>11.2</v>
      </c>
      <c r="AC37" s="12">
        <f t="shared" si="5"/>
        <v>0</v>
      </c>
      <c r="AD37" s="12">
        <f t="shared" si="6"/>
        <v>0</v>
      </c>
      <c r="AE37" s="13">
        <f t="shared" si="7"/>
        <v>0</v>
      </c>
    </row>
    <row r="38" spans="2:31" x14ac:dyDescent="0.25">
      <c r="B38" s="4"/>
      <c r="C38" s="1" t="s">
        <v>114</v>
      </c>
      <c r="D38" s="1" t="s">
        <v>129</v>
      </c>
      <c r="E38" s="3"/>
      <c r="F38" s="3"/>
      <c r="G38" s="24"/>
      <c r="H38" s="24"/>
      <c r="J38" s="1" t="s">
        <v>130</v>
      </c>
      <c r="K38" s="4"/>
      <c r="L38" s="4"/>
      <c r="M38" s="4"/>
      <c r="N38" s="4"/>
      <c r="O38" s="4"/>
      <c r="P38" s="33"/>
      <c r="Q38" s="25">
        <v>0</v>
      </c>
      <c r="R38" s="25">
        <v>0</v>
      </c>
      <c r="S38" s="12">
        <f t="shared" si="10"/>
        <v>0</v>
      </c>
      <c r="T38" s="5">
        <v>0</v>
      </c>
      <c r="U38" s="12">
        <f t="shared" si="11"/>
        <v>0</v>
      </c>
      <c r="V38" s="25" t="s">
        <v>10</v>
      </c>
      <c r="W38" s="11">
        <f>IFERROR(VLOOKUP(V38,Curr!$B$2:$C$13,2,FALSE),0)</f>
        <v>11.2</v>
      </c>
      <c r="X38" s="12">
        <f t="shared" si="12"/>
        <v>0</v>
      </c>
      <c r="Y38" s="26">
        <f t="shared" si="13"/>
        <v>0</v>
      </c>
      <c r="Z38" s="12">
        <f t="shared" si="4"/>
        <v>0</v>
      </c>
      <c r="AA38" s="4" t="s">
        <v>10</v>
      </c>
      <c r="AB38" s="11">
        <f>IFERROR(VLOOKUP(AA38,Curr!$B$2:$C$13,2,FALSE),0)</f>
        <v>11.2</v>
      </c>
      <c r="AC38" s="12">
        <f t="shared" si="5"/>
        <v>0</v>
      </c>
      <c r="AD38" s="12">
        <f t="shared" si="6"/>
        <v>0</v>
      </c>
      <c r="AE38" s="13">
        <f t="shared" si="7"/>
        <v>0</v>
      </c>
    </row>
    <row r="39" spans="2:31" x14ac:dyDescent="0.25">
      <c r="B39" s="4"/>
      <c r="C39" s="1" t="s">
        <v>114</v>
      </c>
      <c r="D39" s="1" t="s">
        <v>50</v>
      </c>
      <c r="E39" s="3"/>
      <c r="F39" s="3"/>
      <c r="G39" s="24"/>
      <c r="H39" s="24"/>
      <c r="J39" s="1" t="s">
        <v>131</v>
      </c>
      <c r="K39" s="4"/>
      <c r="L39" s="4"/>
      <c r="M39" s="4"/>
      <c r="N39" s="4"/>
      <c r="O39" s="4"/>
      <c r="P39" s="33"/>
      <c r="Q39" s="25">
        <v>0</v>
      </c>
      <c r="R39" s="25">
        <v>0</v>
      </c>
      <c r="S39" s="12">
        <f t="shared" si="10"/>
        <v>0</v>
      </c>
      <c r="T39" s="5">
        <v>0</v>
      </c>
      <c r="U39" s="12">
        <f t="shared" si="11"/>
        <v>0</v>
      </c>
      <c r="V39" s="25" t="s">
        <v>10</v>
      </c>
      <c r="W39" s="11">
        <f>IFERROR(VLOOKUP(V39,Curr!$B$2:$C$13,2,FALSE),0)</f>
        <v>11.2</v>
      </c>
      <c r="X39" s="12">
        <f t="shared" si="12"/>
        <v>0</v>
      </c>
      <c r="Y39" s="26">
        <f t="shared" si="13"/>
        <v>0</v>
      </c>
      <c r="Z39" s="12">
        <f t="shared" si="4"/>
        <v>0</v>
      </c>
      <c r="AA39" s="4" t="s">
        <v>10</v>
      </c>
      <c r="AB39" s="11">
        <f>IFERROR(VLOOKUP(AA39,Curr!$B$2:$C$13,2,FALSE),0)</f>
        <v>11.2</v>
      </c>
      <c r="AC39" s="12">
        <f t="shared" si="5"/>
        <v>0</v>
      </c>
      <c r="AD39" s="12">
        <f t="shared" si="6"/>
        <v>0</v>
      </c>
      <c r="AE39" s="13">
        <f t="shared" si="7"/>
        <v>0</v>
      </c>
    </row>
    <row r="40" spans="2:31" x14ac:dyDescent="0.25">
      <c r="B40" s="4"/>
      <c r="C40" s="1" t="s">
        <v>114</v>
      </c>
      <c r="D40" s="1" t="s">
        <v>52</v>
      </c>
      <c r="E40" s="3"/>
      <c r="F40" s="3"/>
      <c r="G40" s="24"/>
      <c r="H40" s="24"/>
      <c r="J40" s="1" t="s">
        <v>132</v>
      </c>
      <c r="K40" s="4"/>
      <c r="L40" s="4"/>
      <c r="M40" s="4"/>
      <c r="N40" s="4"/>
      <c r="O40" s="4"/>
      <c r="P40" s="33"/>
      <c r="Q40" s="25">
        <v>280</v>
      </c>
      <c r="R40" s="25">
        <v>1</v>
      </c>
      <c r="S40" s="12">
        <f t="shared" si="10"/>
        <v>280</v>
      </c>
      <c r="T40" s="5">
        <v>0</v>
      </c>
      <c r="U40" s="12">
        <f t="shared" si="11"/>
        <v>280</v>
      </c>
      <c r="V40" s="25" t="s">
        <v>10</v>
      </c>
      <c r="W40" s="11">
        <f>IFERROR(VLOOKUP(V40,Curr!$B$2:$C$13,2,FALSE),0)</f>
        <v>11.2</v>
      </c>
      <c r="X40" s="12">
        <f t="shared" si="12"/>
        <v>3136</v>
      </c>
      <c r="Y40" s="26">
        <f>Q40/0.85</f>
        <v>329.41176470588238</v>
      </c>
      <c r="Z40" s="12">
        <f t="shared" si="4"/>
        <v>329.41176470588238</v>
      </c>
      <c r="AA40" s="4" t="s">
        <v>10</v>
      </c>
      <c r="AB40" s="11">
        <f>IFERROR(VLOOKUP(AA40,Curr!$B$2:$C$13,2,FALSE),0)</f>
        <v>11.2</v>
      </c>
      <c r="AC40" s="12">
        <f t="shared" si="5"/>
        <v>3689.4117647058824</v>
      </c>
      <c r="AD40" s="12">
        <f t="shared" si="6"/>
        <v>553.41176470588243</v>
      </c>
      <c r="AE40" s="13">
        <f t="shared" si="7"/>
        <v>0.15000000000000002</v>
      </c>
    </row>
    <row r="41" spans="2:31" x14ac:dyDescent="0.25">
      <c r="B41" s="4"/>
      <c r="C41" s="1" t="s">
        <v>114</v>
      </c>
      <c r="D41" s="1" t="s">
        <v>53</v>
      </c>
      <c r="E41" s="3"/>
      <c r="F41" s="3"/>
      <c r="G41" s="24"/>
      <c r="H41" s="24"/>
      <c r="J41" s="1" t="s">
        <v>133</v>
      </c>
      <c r="K41" s="4"/>
      <c r="L41" s="4"/>
      <c r="M41" s="4"/>
      <c r="N41" s="4"/>
      <c r="O41" s="4"/>
      <c r="P41" s="33"/>
      <c r="Q41" s="25">
        <v>0</v>
      </c>
      <c r="R41" s="25">
        <v>0</v>
      </c>
      <c r="S41" s="12">
        <f t="shared" si="10"/>
        <v>0</v>
      </c>
      <c r="T41" s="5">
        <v>0</v>
      </c>
      <c r="U41" s="12">
        <f t="shared" si="11"/>
        <v>0</v>
      </c>
      <c r="V41" s="25" t="s">
        <v>10</v>
      </c>
      <c r="W41" s="11">
        <f>IFERROR(VLOOKUP(V41,Curr!$B$2:$C$13,2,FALSE),0)</f>
        <v>11.2</v>
      </c>
      <c r="X41" s="12">
        <f t="shared" si="12"/>
        <v>0</v>
      </c>
      <c r="Y41" s="26">
        <f t="shared" si="13"/>
        <v>0</v>
      </c>
      <c r="Z41" s="12">
        <f t="shared" si="4"/>
        <v>0</v>
      </c>
      <c r="AA41" s="4" t="s">
        <v>10</v>
      </c>
      <c r="AB41" s="11">
        <f>IFERROR(VLOOKUP(AA41,Curr!$B$2:$C$13,2,FALSE),0)</f>
        <v>11.2</v>
      </c>
      <c r="AC41" s="12">
        <f t="shared" si="5"/>
        <v>0</v>
      </c>
      <c r="AD41" s="12">
        <f t="shared" si="6"/>
        <v>0</v>
      </c>
      <c r="AE41" s="13">
        <f t="shared" si="7"/>
        <v>0</v>
      </c>
    </row>
    <row r="42" spans="2:31" x14ac:dyDescent="0.25">
      <c r="B42" s="4"/>
      <c r="E42" s="3"/>
      <c r="F42" s="3"/>
      <c r="G42" s="24"/>
      <c r="H42" s="24"/>
      <c r="K42" s="4"/>
      <c r="L42" s="4"/>
      <c r="M42" s="4"/>
      <c r="N42" s="4"/>
      <c r="O42" s="4"/>
      <c r="P42" s="27"/>
      <c r="Q42" s="25"/>
      <c r="R42" s="25"/>
      <c r="S42" s="12">
        <f t="shared" si="10"/>
        <v>0</v>
      </c>
      <c r="T42" s="5">
        <v>0</v>
      </c>
      <c r="U42" s="12">
        <f t="shared" si="11"/>
        <v>0</v>
      </c>
      <c r="V42" s="25" t="s">
        <v>10</v>
      </c>
      <c r="W42" s="11">
        <f>IFERROR(VLOOKUP(V42,Curr!$B$2:$C$13,2,FALSE),0)</f>
        <v>11.2</v>
      </c>
      <c r="X42" s="12">
        <f t="shared" si="12"/>
        <v>0</v>
      </c>
      <c r="Y42" s="26">
        <f t="shared" si="13"/>
        <v>0</v>
      </c>
      <c r="Z42" s="12">
        <f t="shared" si="4"/>
        <v>0</v>
      </c>
      <c r="AA42" s="4" t="s">
        <v>10</v>
      </c>
      <c r="AB42" s="11">
        <f>IFERROR(VLOOKUP(AA42,Curr!$B$2:$C$13,2,FALSE),0)</f>
        <v>11.2</v>
      </c>
      <c r="AC42" s="12">
        <f t="shared" si="5"/>
        <v>0</v>
      </c>
      <c r="AD42" s="12">
        <f t="shared" si="6"/>
        <v>0</v>
      </c>
      <c r="AE42" s="13">
        <f t="shared" si="7"/>
        <v>0</v>
      </c>
    </row>
    <row r="43" spans="2:31" x14ac:dyDescent="0.25">
      <c r="B43" s="4"/>
      <c r="C43" s="1" t="s">
        <v>115</v>
      </c>
      <c r="D43" s="1" t="s">
        <v>73</v>
      </c>
      <c r="E43" s="3"/>
      <c r="F43" s="3"/>
      <c r="G43" s="24"/>
      <c r="H43" s="24"/>
      <c r="J43" s="1" t="s">
        <v>142</v>
      </c>
      <c r="K43" s="4"/>
      <c r="L43" s="4"/>
      <c r="M43" s="4"/>
      <c r="N43" s="4"/>
      <c r="O43" s="4" t="s">
        <v>42</v>
      </c>
      <c r="P43" s="33" t="s">
        <v>143</v>
      </c>
      <c r="Q43" s="25">
        <v>34</v>
      </c>
      <c r="R43" s="25">
        <v>2</v>
      </c>
      <c r="S43" s="12">
        <f t="shared" si="10"/>
        <v>68</v>
      </c>
      <c r="T43" s="5">
        <v>0.15</v>
      </c>
      <c r="U43" s="12">
        <f t="shared" si="11"/>
        <v>57.8</v>
      </c>
      <c r="V43" s="25" t="s">
        <v>10</v>
      </c>
      <c r="W43" s="11">
        <f>IFERROR(VLOOKUP(V43,Curr!$B$2:$C$13,2,FALSE),0)</f>
        <v>11.2</v>
      </c>
      <c r="X43" s="12">
        <f t="shared" si="12"/>
        <v>647.3599999999999</v>
      </c>
      <c r="Y43" s="26">
        <f t="shared" si="13"/>
        <v>34</v>
      </c>
      <c r="Z43" s="12">
        <f t="shared" si="4"/>
        <v>68</v>
      </c>
      <c r="AA43" s="4" t="s">
        <v>10</v>
      </c>
      <c r="AB43" s="11">
        <f>IFERROR(VLOOKUP(AA43,Curr!$B$2:$C$13,2,FALSE),0)</f>
        <v>11.2</v>
      </c>
      <c r="AC43" s="12">
        <f t="shared" si="5"/>
        <v>761.59999999999991</v>
      </c>
      <c r="AD43" s="12">
        <f t="shared" si="6"/>
        <v>114.24000000000001</v>
      </c>
      <c r="AE43" s="13">
        <f t="shared" si="7"/>
        <v>0.15000000000000002</v>
      </c>
    </row>
    <row r="44" spans="2:31" x14ac:dyDescent="0.25">
      <c r="B44" s="4"/>
      <c r="C44" s="1" t="s">
        <v>115</v>
      </c>
      <c r="D44" s="1" t="s">
        <v>53</v>
      </c>
      <c r="E44" s="3"/>
      <c r="F44" s="3"/>
      <c r="G44" s="24"/>
      <c r="H44" s="24"/>
      <c r="J44" s="1" t="s">
        <v>133</v>
      </c>
      <c r="K44" s="4"/>
      <c r="L44" s="4"/>
      <c r="M44" s="4"/>
      <c r="N44" s="4"/>
      <c r="O44" s="4"/>
      <c r="P44" s="27"/>
      <c r="Q44" s="25">
        <v>0</v>
      </c>
      <c r="R44" s="25">
        <v>0</v>
      </c>
      <c r="S44" s="12">
        <f t="shared" si="10"/>
        <v>0</v>
      </c>
      <c r="T44" s="5">
        <v>0</v>
      </c>
      <c r="U44" s="12">
        <f t="shared" si="11"/>
        <v>0</v>
      </c>
      <c r="V44" s="25" t="s">
        <v>10</v>
      </c>
      <c r="W44" s="11">
        <f>IFERROR(VLOOKUP(V44,Curr!$B$2:$C$13,2,FALSE),0)</f>
        <v>11.2</v>
      </c>
      <c r="X44" s="12">
        <f t="shared" si="12"/>
        <v>0</v>
      </c>
      <c r="Y44" s="26">
        <f t="shared" si="13"/>
        <v>0</v>
      </c>
      <c r="Z44" s="12">
        <f t="shared" si="4"/>
        <v>0</v>
      </c>
      <c r="AA44" s="4" t="s">
        <v>10</v>
      </c>
      <c r="AB44" s="11">
        <f>IFERROR(VLOOKUP(AA44,Curr!$B$2:$C$13,2,FALSE),0)</f>
        <v>11.2</v>
      </c>
      <c r="AC44" s="12">
        <f t="shared" si="5"/>
        <v>0</v>
      </c>
      <c r="AD44" s="12">
        <f t="shared" si="6"/>
        <v>0</v>
      </c>
      <c r="AE44" s="13">
        <f t="shared" si="7"/>
        <v>0</v>
      </c>
    </row>
    <row r="45" spans="2:31" x14ac:dyDescent="0.25">
      <c r="B45" s="4"/>
      <c r="C45" s="1" t="s">
        <v>115</v>
      </c>
      <c r="D45" s="1" t="s">
        <v>73</v>
      </c>
      <c r="E45" s="3"/>
      <c r="F45" s="3"/>
      <c r="G45" s="24"/>
      <c r="H45" s="24"/>
      <c r="J45" s="1" t="s">
        <v>136</v>
      </c>
      <c r="K45" s="4"/>
      <c r="L45" s="4"/>
      <c r="M45" s="4"/>
      <c r="N45" s="4"/>
      <c r="O45" s="4" t="s">
        <v>42</v>
      </c>
      <c r="P45" s="33" t="s">
        <v>137</v>
      </c>
      <c r="Q45" s="25">
        <v>2290</v>
      </c>
      <c r="R45" s="25">
        <v>2</v>
      </c>
      <c r="S45" s="12">
        <f t="shared" si="10"/>
        <v>4580</v>
      </c>
      <c r="T45" s="5">
        <v>0.15</v>
      </c>
      <c r="U45" s="12">
        <f t="shared" si="11"/>
        <v>3893</v>
      </c>
      <c r="V45" s="25" t="s">
        <v>8</v>
      </c>
      <c r="W45" s="11">
        <f>IFERROR(VLOOKUP(V45,Curr!$B$2:$C$13,2,FALSE),0)</f>
        <v>1</v>
      </c>
      <c r="X45" s="12">
        <f t="shared" si="12"/>
        <v>3893</v>
      </c>
      <c r="Y45" s="26">
        <f>Q45/11.3</f>
        <v>202.65486725663715</v>
      </c>
      <c r="Z45" s="12">
        <f t="shared" si="4"/>
        <v>405.30973451327429</v>
      </c>
      <c r="AA45" s="4" t="s">
        <v>10</v>
      </c>
      <c r="AB45" s="11">
        <f>IFERROR(VLOOKUP(AA45,Curr!$B$2:$C$13,2,FALSE),0)</f>
        <v>11.2</v>
      </c>
      <c r="AC45" s="12">
        <f t="shared" si="5"/>
        <v>4539.4690265486715</v>
      </c>
      <c r="AD45" s="12">
        <f t="shared" si="6"/>
        <v>646.46902654867154</v>
      </c>
      <c r="AE45" s="13">
        <f t="shared" si="7"/>
        <v>0.14241071428571409</v>
      </c>
    </row>
    <row r="46" spans="2:31" x14ac:dyDescent="0.25">
      <c r="B46" s="4"/>
      <c r="E46" s="3"/>
      <c r="F46" s="3"/>
      <c r="G46" s="24"/>
      <c r="H46" s="24"/>
      <c r="K46" s="4"/>
      <c r="L46" s="4"/>
      <c r="M46" s="4"/>
      <c r="N46" s="4"/>
      <c r="O46" s="4"/>
      <c r="P46" s="27"/>
      <c r="Q46" s="25"/>
      <c r="R46" s="25"/>
      <c r="S46" s="12">
        <f t="shared" si="10"/>
        <v>0</v>
      </c>
      <c r="T46" s="5">
        <v>0</v>
      </c>
      <c r="U46" s="12">
        <f t="shared" si="11"/>
        <v>0</v>
      </c>
      <c r="V46" s="25" t="s">
        <v>10</v>
      </c>
      <c r="W46" s="11">
        <f>IFERROR(VLOOKUP(V46,Curr!$B$2:$C$13,2,FALSE),0)</f>
        <v>11.2</v>
      </c>
      <c r="X46" s="12">
        <f t="shared" si="12"/>
        <v>0</v>
      </c>
      <c r="Y46" s="26">
        <f t="shared" si="13"/>
        <v>0</v>
      </c>
      <c r="Z46" s="12">
        <f t="shared" si="4"/>
        <v>0</v>
      </c>
      <c r="AA46" s="4" t="s">
        <v>10</v>
      </c>
      <c r="AB46" s="11">
        <f>IFERROR(VLOOKUP(AA46,Curr!$B$2:$C$13,2,FALSE),0)</f>
        <v>11.2</v>
      </c>
      <c r="AC46" s="12">
        <f t="shared" si="5"/>
        <v>0</v>
      </c>
      <c r="AD46" s="12">
        <f t="shared" si="6"/>
        <v>0</v>
      </c>
      <c r="AE46" s="13">
        <f t="shared" si="7"/>
        <v>0</v>
      </c>
    </row>
    <row r="47" spans="2:31" x14ac:dyDescent="0.25">
      <c r="B47" s="4"/>
      <c r="C47" s="1" t="s">
        <v>138</v>
      </c>
      <c r="D47" s="1" t="s">
        <v>50</v>
      </c>
      <c r="E47" s="3"/>
      <c r="F47" s="3"/>
      <c r="G47" s="24"/>
      <c r="H47" s="24"/>
      <c r="J47" s="1" t="s">
        <v>139</v>
      </c>
      <c r="K47" s="4"/>
      <c r="L47" s="4"/>
      <c r="M47" s="4"/>
      <c r="N47" s="4"/>
      <c r="O47" s="4"/>
      <c r="P47" s="27"/>
      <c r="Q47" s="25">
        <v>0</v>
      </c>
      <c r="R47" s="25">
        <v>0</v>
      </c>
      <c r="S47" s="12">
        <f t="shared" si="10"/>
        <v>0</v>
      </c>
      <c r="T47" s="5">
        <v>0</v>
      </c>
      <c r="U47" s="12">
        <f t="shared" si="11"/>
        <v>0</v>
      </c>
      <c r="V47" s="25" t="s">
        <v>10</v>
      </c>
      <c r="W47" s="11">
        <f>IFERROR(VLOOKUP(V47,Curr!$B$2:$C$13,2,FALSE),0)</f>
        <v>11.2</v>
      </c>
      <c r="X47" s="12">
        <f t="shared" si="12"/>
        <v>0</v>
      </c>
      <c r="Y47" s="26">
        <f t="shared" si="13"/>
        <v>0</v>
      </c>
      <c r="Z47" s="12">
        <f t="shared" si="4"/>
        <v>0</v>
      </c>
      <c r="AA47" s="4" t="s">
        <v>10</v>
      </c>
      <c r="AB47" s="11">
        <f>IFERROR(VLOOKUP(AA47,Curr!$B$2:$C$13,2,FALSE),0)</f>
        <v>11.2</v>
      </c>
      <c r="AC47" s="12">
        <f t="shared" si="5"/>
        <v>0</v>
      </c>
      <c r="AD47" s="12">
        <f t="shared" si="6"/>
        <v>0</v>
      </c>
      <c r="AE47" s="13">
        <f t="shared" si="7"/>
        <v>0</v>
      </c>
    </row>
    <row r="48" spans="2:31" x14ac:dyDescent="0.25">
      <c r="B48" s="4"/>
      <c r="C48" s="1" t="s">
        <v>138</v>
      </c>
      <c r="D48" s="1" t="s">
        <v>82</v>
      </c>
      <c r="E48" s="3"/>
      <c r="F48" s="3"/>
      <c r="G48" s="24"/>
      <c r="H48" s="24"/>
      <c r="J48" s="1" t="s">
        <v>140</v>
      </c>
      <c r="K48" s="4"/>
      <c r="L48" s="4"/>
      <c r="M48" s="4"/>
      <c r="N48" s="4"/>
      <c r="O48" s="4"/>
      <c r="P48" s="27"/>
      <c r="Q48" s="25">
        <v>0</v>
      </c>
      <c r="R48" s="25">
        <v>0</v>
      </c>
      <c r="S48" s="12">
        <f t="shared" si="10"/>
        <v>0</v>
      </c>
      <c r="T48" s="5">
        <v>0</v>
      </c>
      <c r="U48" s="12">
        <f t="shared" si="11"/>
        <v>0</v>
      </c>
      <c r="V48" s="25" t="s">
        <v>10</v>
      </c>
      <c r="W48" s="11">
        <f>IFERROR(VLOOKUP(V48,Curr!$B$2:$C$13,2,FALSE),0)</f>
        <v>11.2</v>
      </c>
      <c r="X48" s="12">
        <f t="shared" si="12"/>
        <v>0</v>
      </c>
      <c r="Y48" s="26">
        <f t="shared" si="13"/>
        <v>0</v>
      </c>
      <c r="Z48" s="12">
        <f t="shared" si="4"/>
        <v>0</v>
      </c>
      <c r="AA48" s="4" t="s">
        <v>10</v>
      </c>
      <c r="AB48" s="11">
        <f>IFERROR(VLOOKUP(AA48,Curr!$B$2:$C$13,2,FALSE),0)</f>
        <v>11.2</v>
      </c>
      <c r="AC48" s="12">
        <f t="shared" si="5"/>
        <v>0</v>
      </c>
      <c r="AD48" s="12">
        <f t="shared" si="6"/>
        <v>0</v>
      </c>
      <c r="AE48" s="13">
        <f t="shared" si="7"/>
        <v>0</v>
      </c>
    </row>
    <row r="49" spans="2:31" x14ac:dyDescent="0.25">
      <c r="B49" s="4"/>
      <c r="E49" s="3"/>
      <c r="F49" s="3"/>
      <c r="G49" s="24"/>
      <c r="H49" s="24"/>
      <c r="K49" s="4"/>
      <c r="L49" s="4"/>
      <c r="M49" s="4"/>
      <c r="N49" s="4"/>
      <c r="O49" s="4"/>
      <c r="P49" s="33"/>
      <c r="Q49" s="25"/>
      <c r="R49" s="25"/>
      <c r="S49" s="12">
        <f t="shared" si="10"/>
        <v>0</v>
      </c>
      <c r="T49" s="5">
        <v>0</v>
      </c>
      <c r="U49" s="12">
        <f t="shared" si="11"/>
        <v>0</v>
      </c>
      <c r="V49" s="25" t="s">
        <v>10</v>
      </c>
      <c r="W49" s="11">
        <f>IFERROR(VLOOKUP(V49,Curr!$B$2:$C$13,2,FALSE),0)</f>
        <v>11.2</v>
      </c>
      <c r="X49" s="12">
        <f t="shared" si="12"/>
        <v>0</v>
      </c>
      <c r="Y49" s="26">
        <f t="shared" si="13"/>
        <v>0</v>
      </c>
      <c r="Z49" s="12">
        <f t="shared" si="4"/>
        <v>0</v>
      </c>
      <c r="AA49" s="4" t="s">
        <v>10</v>
      </c>
      <c r="AB49" s="11">
        <f>IFERROR(VLOOKUP(AA49,Curr!$B$2:$C$13,2,FALSE),0)</f>
        <v>11.2</v>
      </c>
      <c r="AC49" s="12">
        <f t="shared" si="5"/>
        <v>0</v>
      </c>
      <c r="AD49" s="12">
        <f t="shared" si="6"/>
        <v>0</v>
      </c>
      <c r="AE49" s="13">
        <f t="shared" si="7"/>
        <v>0</v>
      </c>
    </row>
    <row r="50" spans="2:31" x14ac:dyDescent="0.25">
      <c r="B50" s="4"/>
      <c r="E50" s="3"/>
      <c r="F50" s="3"/>
      <c r="G50" s="24"/>
      <c r="H50" s="24"/>
      <c r="K50" s="4"/>
      <c r="L50" s="4"/>
      <c r="M50" s="4"/>
      <c r="N50" s="4"/>
      <c r="O50" s="4"/>
      <c r="P50" s="27"/>
      <c r="Q50" s="25"/>
      <c r="R50" s="25"/>
      <c r="S50" s="12">
        <f t="shared" si="10"/>
        <v>0</v>
      </c>
      <c r="T50" s="5">
        <v>0</v>
      </c>
      <c r="U50" s="12">
        <f t="shared" si="11"/>
        <v>0</v>
      </c>
      <c r="V50" s="25" t="s">
        <v>10</v>
      </c>
      <c r="W50" s="11">
        <f>IFERROR(VLOOKUP(V50,Curr!$B$2:$C$13,2,FALSE),0)</f>
        <v>11.2</v>
      </c>
      <c r="X50" s="12">
        <f t="shared" si="12"/>
        <v>0</v>
      </c>
      <c r="Y50" s="26">
        <f t="shared" si="13"/>
        <v>0</v>
      </c>
      <c r="Z50" s="12">
        <f t="shared" si="4"/>
        <v>0</v>
      </c>
      <c r="AA50" s="4" t="s">
        <v>10</v>
      </c>
      <c r="AB50" s="11">
        <f>IFERROR(VLOOKUP(AA50,Curr!$B$2:$C$13,2,FALSE),0)</f>
        <v>11.2</v>
      </c>
      <c r="AC50" s="12">
        <f t="shared" si="5"/>
        <v>0</v>
      </c>
      <c r="AD50" s="12">
        <f t="shared" si="6"/>
        <v>0</v>
      </c>
      <c r="AE50" s="13">
        <f t="shared" si="7"/>
        <v>0</v>
      </c>
    </row>
    <row r="51" spans="2:31" x14ac:dyDescent="0.25">
      <c r="B51" s="4"/>
      <c r="C51" s="1" t="s">
        <v>55</v>
      </c>
      <c r="D51" s="1" t="s">
        <v>93</v>
      </c>
      <c r="E51" s="3"/>
      <c r="F51" s="3"/>
      <c r="G51" s="24"/>
      <c r="H51" s="24"/>
      <c r="J51" s="1" t="s">
        <v>95</v>
      </c>
      <c r="K51" s="4"/>
      <c r="L51" s="4"/>
      <c r="M51" s="4"/>
      <c r="N51" s="4"/>
      <c r="O51" s="4"/>
      <c r="P51" s="33"/>
      <c r="Q51" s="25">
        <v>1750</v>
      </c>
      <c r="R51" s="25">
        <v>0</v>
      </c>
      <c r="S51" s="12">
        <f t="shared" si="10"/>
        <v>0</v>
      </c>
      <c r="T51" s="5">
        <v>0</v>
      </c>
      <c r="U51" s="12">
        <f t="shared" si="11"/>
        <v>0</v>
      </c>
      <c r="V51" s="25" t="s">
        <v>8</v>
      </c>
      <c r="W51" s="11">
        <f>IFERROR(VLOOKUP(V51,Curr!$B$2:$C$13,2,FALSE),0)</f>
        <v>1</v>
      </c>
      <c r="X51" s="12">
        <f t="shared" si="12"/>
        <v>0</v>
      </c>
      <c r="Y51" s="26">
        <f>Q51/11.3/0.8</f>
        <v>193.58407079646017</v>
      </c>
      <c r="Z51" s="12">
        <f t="shared" si="4"/>
        <v>0</v>
      </c>
      <c r="AA51" s="4" t="s">
        <v>10</v>
      </c>
      <c r="AB51" s="11">
        <f>IFERROR(VLOOKUP(AA51,Curr!$B$2:$C$13,2,FALSE),0)</f>
        <v>11.2</v>
      </c>
      <c r="AC51" s="12">
        <f t="shared" si="5"/>
        <v>0</v>
      </c>
      <c r="AD51" s="12">
        <f t="shared" si="6"/>
        <v>0</v>
      </c>
      <c r="AE51" s="13">
        <f t="shared" si="7"/>
        <v>0</v>
      </c>
    </row>
    <row r="52" spans="2:31" x14ac:dyDescent="0.25">
      <c r="B52" s="4"/>
      <c r="C52" s="1" t="s">
        <v>63</v>
      </c>
      <c r="D52" s="1" t="s">
        <v>93</v>
      </c>
      <c r="E52" s="3"/>
      <c r="F52" s="3"/>
      <c r="G52" s="24"/>
      <c r="H52" s="24"/>
      <c r="J52" s="1" t="s">
        <v>96</v>
      </c>
      <c r="K52" s="4"/>
      <c r="L52" s="4"/>
      <c r="M52" s="4"/>
      <c r="N52" s="4"/>
      <c r="O52" s="4"/>
      <c r="P52" s="27"/>
      <c r="Q52" s="25">
        <v>1290</v>
      </c>
      <c r="R52" s="25">
        <v>0</v>
      </c>
      <c r="S52" s="12">
        <f t="shared" si="10"/>
        <v>0</v>
      </c>
      <c r="T52" s="5">
        <v>0.15</v>
      </c>
      <c r="U52" s="12">
        <f t="shared" si="11"/>
        <v>0</v>
      </c>
      <c r="V52" s="25" t="s">
        <v>8</v>
      </c>
      <c r="W52" s="11">
        <f>IFERROR(VLOOKUP(V52,Curr!$B$2:$C$13,2,FALSE),0)</f>
        <v>1</v>
      </c>
      <c r="X52" s="12">
        <f t="shared" si="12"/>
        <v>0</v>
      </c>
      <c r="Y52" s="26">
        <f>Q52/11.3/0.98</f>
        <v>116.48907350550839</v>
      </c>
      <c r="Z52" s="12">
        <f t="shared" si="4"/>
        <v>0</v>
      </c>
      <c r="AA52" s="4" t="s">
        <v>10</v>
      </c>
      <c r="AB52" s="11">
        <f>IFERROR(VLOOKUP(AA52,Curr!$B$2:$C$13,2,FALSE),0)</f>
        <v>11.2</v>
      </c>
      <c r="AC52" s="12">
        <f t="shared" si="5"/>
        <v>0</v>
      </c>
      <c r="AD52" s="12">
        <f t="shared" si="6"/>
        <v>0</v>
      </c>
      <c r="AE52" s="13">
        <f t="shared" si="7"/>
        <v>0</v>
      </c>
    </row>
    <row r="53" spans="2:31" x14ac:dyDescent="0.25">
      <c r="B53" s="4"/>
      <c r="C53" s="1" t="s">
        <v>78</v>
      </c>
      <c r="D53" s="1" t="s">
        <v>93</v>
      </c>
      <c r="E53" s="3"/>
      <c r="F53" s="3"/>
      <c r="G53" s="24"/>
      <c r="H53" s="24"/>
      <c r="J53" s="1" t="s">
        <v>97</v>
      </c>
      <c r="K53" s="4"/>
      <c r="L53" s="4"/>
      <c r="M53" s="4"/>
      <c r="N53" s="4"/>
      <c r="O53" s="4"/>
      <c r="P53" s="33"/>
      <c r="Q53" s="25">
        <v>1690</v>
      </c>
      <c r="R53" s="25">
        <v>0</v>
      </c>
      <c r="S53" s="12">
        <f t="shared" si="10"/>
        <v>0</v>
      </c>
      <c r="T53" s="5">
        <v>0.15</v>
      </c>
      <c r="U53" s="12">
        <f t="shared" si="11"/>
        <v>0</v>
      </c>
      <c r="V53" s="25" t="s">
        <v>8</v>
      </c>
      <c r="W53" s="11">
        <f>IFERROR(VLOOKUP(V53,Curr!$B$2:$C$13,2,FALSE),0)</f>
        <v>1</v>
      </c>
      <c r="X53" s="12">
        <f t="shared" si="12"/>
        <v>0</v>
      </c>
      <c r="Y53" s="26">
        <f>Q53/11.3/0.98</f>
        <v>152.60971645295285</v>
      </c>
      <c r="Z53" s="12">
        <f t="shared" si="4"/>
        <v>0</v>
      </c>
      <c r="AA53" s="4" t="s">
        <v>10</v>
      </c>
      <c r="AB53" s="11">
        <f>IFERROR(VLOOKUP(AA53,Curr!$B$2:$C$13,2,FALSE),0)</f>
        <v>11.2</v>
      </c>
      <c r="AC53" s="12">
        <f t="shared" si="5"/>
        <v>0</v>
      </c>
      <c r="AD53" s="12">
        <f t="shared" si="6"/>
        <v>0</v>
      </c>
      <c r="AE53" s="13">
        <f t="shared" si="7"/>
        <v>0</v>
      </c>
    </row>
    <row r="54" spans="2:31" x14ac:dyDescent="0.25">
      <c r="B54" s="4"/>
      <c r="C54" s="1" t="s">
        <v>78</v>
      </c>
      <c r="D54" s="1" t="s">
        <v>93</v>
      </c>
      <c r="E54" s="3"/>
      <c r="F54" s="3"/>
      <c r="G54" s="24"/>
      <c r="H54" s="24"/>
      <c r="J54" s="1" t="s">
        <v>99</v>
      </c>
      <c r="K54" s="4"/>
      <c r="L54" s="4"/>
      <c r="M54" s="4"/>
      <c r="N54" s="4"/>
      <c r="O54" s="4"/>
      <c r="P54" s="27"/>
      <c r="Q54" s="25">
        <v>900</v>
      </c>
      <c r="R54" s="25">
        <v>0</v>
      </c>
      <c r="S54" s="12">
        <f t="shared" si="10"/>
        <v>0</v>
      </c>
      <c r="T54" s="5">
        <v>0</v>
      </c>
      <c r="U54" s="12">
        <f t="shared" si="11"/>
        <v>0</v>
      </c>
      <c r="V54" s="25" t="s">
        <v>8</v>
      </c>
      <c r="W54" s="11">
        <f>IFERROR(VLOOKUP(V54,Curr!$B$2:$C$13,2,FALSE),0)</f>
        <v>1</v>
      </c>
      <c r="X54" s="12">
        <f t="shared" si="12"/>
        <v>0</v>
      </c>
      <c r="Y54" s="26">
        <f t="shared" ref="Y54:Y55" si="14">Q54/11.3/0.8</f>
        <v>99.55752212389379</v>
      </c>
      <c r="Z54" s="12">
        <f t="shared" si="4"/>
        <v>0</v>
      </c>
      <c r="AA54" s="4" t="s">
        <v>10</v>
      </c>
      <c r="AB54" s="11">
        <f>IFERROR(VLOOKUP(AA54,Curr!$B$2:$C$13,2,FALSE),0)</f>
        <v>11.2</v>
      </c>
      <c r="AC54" s="12">
        <f t="shared" si="5"/>
        <v>0</v>
      </c>
      <c r="AD54" s="12">
        <f t="shared" si="6"/>
        <v>0</v>
      </c>
      <c r="AE54" s="13">
        <f t="shared" si="7"/>
        <v>0</v>
      </c>
    </row>
    <row r="55" spans="2:31" x14ac:dyDescent="0.25">
      <c r="B55" s="4"/>
      <c r="C55" s="1" t="s">
        <v>138</v>
      </c>
      <c r="D55" s="1" t="s">
        <v>93</v>
      </c>
      <c r="E55" s="3"/>
      <c r="F55" s="3"/>
      <c r="G55" s="24"/>
      <c r="H55" s="24"/>
      <c r="J55" s="1" t="s">
        <v>141</v>
      </c>
      <c r="K55" s="4"/>
      <c r="L55" s="4"/>
      <c r="M55" s="4"/>
      <c r="N55" s="4"/>
      <c r="O55" s="4"/>
      <c r="P55" s="33"/>
      <c r="Q55" s="25">
        <v>900</v>
      </c>
      <c r="R55" s="25">
        <v>0</v>
      </c>
      <c r="S55" s="12">
        <f t="shared" si="10"/>
        <v>0</v>
      </c>
      <c r="T55" s="5">
        <v>0</v>
      </c>
      <c r="U55" s="12">
        <f t="shared" si="11"/>
        <v>0</v>
      </c>
      <c r="V55" s="25" t="s">
        <v>8</v>
      </c>
      <c r="W55" s="11">
        <f>IFERROR(VLOOKUP(V55,Curr!$B$2:$C$13,2,FALSE),0)</f>
        <v>1</v>
      </c>
      <c r="X55" s="12">
        <f t="shared" si="12"/>
        <v>0</v>
      </c>
      <c r="Y55" s="26">
        <f t="shared" si="14"/>
        <v>99.55752212389379</v>
      </c>
      <c r="Z55" s="12">
        <f t="shared" si="4"/>
        <v>0</v>
      </c>
      <c r="AA55" s="4" t="s">
        <v>10</v>
      </c>
      <c r="AB55" s="11">
        <f>IFERROR(VLOOKUP(AA55,Curr!$B$2:$C$13,2,FALSE),0)</f>
        <v>11.2</v>
      </c>
      <c r="AC55" s="12">
        <f t="shared" si="5"/>
        <v>0</v>
      </c>
      <c r="AD55" s="12">
        <f t="shared" si="6"/>
        <v>0</v>
      </c>
      <c r="AE55" s="13">
        <f t="shared" si="7"/>
        <v>0</v>
      </c>
    </row>
    <row r="56" spans="2:31" x14ac:dyDescent="0.25">
      <c r="B56" s="4"/>
      <c r="E56" s="3"/>
      <c r="F56" s="3"/>
      <c r="G56" s="24"/>
      <c r="H56" s="24"/>
      <c r="K56" s="4"/>
      <c r="L56" s="4"/>
      <c r="M56" s="4"/>
      <c r="N56" s="4"/>
      <c r="O56" s="4"/>
      <c r="P56" s="27"/>
      <c r="Q56" s="25"/>
      <c r="R56" s="25"/>
      <c r="S56" s="12">
        <f t="shared" si="10"/>
        <v>0</v>
      </c>
      <c r="T56" s="5">
        <v>0</v>
      </c>
      <c r="U56" s="12">
        <f t="shared" si="11"/>
        <v>0</v>
      </c>
      <c r="V56" s="25" t="s">
        <v>10</v>
      </c>
      <c r="W56" s="11">
        <f>IFERROR(VLOOKUP(V56,Curr!$B$2:$C$13,2,FALSE),0)</f>
        <v>11.2</v>
      </c>
      <c r="X56" s="12">
        <f t="shared" si="12"/>
        <v>0</v>
      </c>
      <c r="Y56" s="26">
        <f t="shared" si="13"/>
        <v>0</v>
      </c>
      <c r="Z56" s="12">
        <f t="shared" si="4"/>
        <v>0</v>
      </c>
      <c r="AA56" s="4" t="s">
        <v>10</v>
      </c>
      <c r="AB56" s="11">
        <f>IFERROR(VLOOKUP(AA56,Curr!$B$2:$C$13,2,FALSE),0)</f>
        <v>11.2</v>
      </c>
      <c r="AC56" s="12">
        <f t="shared" si="5"/>
        <v>0</v>
      </c>
      <c r="AD56" s="12">
        <f t="shared" si="6"/>
        <v>0</v>
      </c>
      <c r="AE56" s="13">
        <f t="shared" si="7"/>
        <v>0</v>
      </c>
    </row>
    <row r="57" spans="2:31" x14ac:dyDescent="0.25">
      <c r="B57" s="4"/>
      <c r="E57" s="3"/>
      <c r="F57" s="3"/>
      <c r="G57" s="24"/>
      <c r="H57" s="24"/>
      <c r="K57" s="4"/>
      <c r="L57" s="4"/>
      <c r="M57" s="4"/>
      <c r="N57" s="4"/>
      <c r="O57" s="4"/>
      <c r="P57" s="27"/>
      <c r="Q57" s="25"/>
      <c r="R57" s="25"/>
      <c r="S57" s="12">
        <f t="shared" si="10"/>
        <v>0</v>
      </c>
      <c r="T57" s="5">
        <v>0</v>
      </c>
      <c r="U57" s="12">
        <f t="shared" si="11"/>
        <v>0</v>
      </c>
      <c r="V57" s="25" t="s">
        <v>10</v>
      </c>
      <c r="W57" s="11">
        <f>IFERROR(VLOOKUP(V57,Curr!$B$2:$C$13,2,FALSE),0)</f>
        <v>11.2</v>
      </c>
      <c r="X57" s="12">
        <f t="shared" si="12"/>
        <v>0</v>
      </c>
      <c r="Y57" s="26">
        <f t="shared" si="13"/>
        <v>0</v>
      </c>
      <c r="Z57" s="12">
        <f t="shared" si="4"/>
        <v>0</v>
      </c>
      <c r="AA57" s="4" t="s">
        <v>10</v>
      </c>
      <c r="AB57" s="11">
        <f>IFERROR(VLOOKUP(AA57,Curr!$B$2:$C$13,2,FALSE),0)</f>
        <v>11.2</v>
      </c>
      <c r="AC57" s="12">
        <f t="shared" si="5"/>
        <v>0</v>
      </c>
      <c r="AD57" s="12">
        <f t="shared" si="6"/>
        <v>0</v>
      </c>
      <c r="AE57" s="13">
        <f t="shared" si="7"/>
        <v>0</v>
      </c>
    </row>
    <row r="58" spans="2:31" x14ac:dyDescent="0.25">
      <c r="B58" s="4"/>
      <c r="C58" s="1" t="s">
        <v>63</v>
      </c>
      <c r="D58" s="1" t="s">
        <v>94</v>
      </c>
      <c r="E58" s="3"/>
      <c r="F58" s="3"/>
      <c r="G58" s="24"/>
      <c r="H58" s="24"/>
      <c r="J58" s="1" t="s">
        <v>101</v>
      </c>
      <c r="K58" s="4"/>
      <c r="L58" s="4"/>
      <c r="M58" s="4"/>
      <c r="N58" s="4"/>
      <c r="O58" s="4" t="s">
        <v>42</v>
      </c>
      <c r="P58" s="33" t="s">
        <v>100</v>
      </c>
      <c r="Q58" s="25">
        <v>3250</v>
      </c>
      <c r="R58" s="25">
        <v>0</v>
      </c>
      <c r="S58" s="12">
        <f t="shared" si="10"/>
        <v>0</v>
      </c>
      <c r="T58" s="5">
        <v>0.08</v>
      </c>
      <c r="U58" s="12">
        <f t="shared" si="11"/>
        <v>0</v>
      </c>
      <c r="V58" s="25" t="s">
        <v>8</v>
      </c>
      <c r="W58" s="11">
        <f>IFERROR(VLOOKUP(V58,Curr!$B$2:$C$13,2,FALSE),0)</f>
        <v>1</v>
      </c>
      <c r="X58" s="12">
        <f t="shared" si="12"/>
        <v>0</v>
      </c>
      <c r="Y58" s="26">
        <f>Q58/11.3/0.9</f>
        <v>319.56735496558503</v>
      </c>
      <c r="Z58" s="12">
        <f t="shared" si="4"/>
        <v>0</v>
      </c>
      <c r="AA58" s="4" t="s">
        <v>10</v>
      </c>
      <c r="AB58" s="11">
        <f>IFERROR(VLOOKUP(AA58,Curr!$B$2:$C$13,2,FALSE),0)</f>
        <v>11.2</v>
      </c>
      <c r="AC58" s="12">
        <f t="shared" si="5"/>
        <v>0</v>
      </c>
      <c r="AD58" s="12">
        <f t="shared" si="6"/>
        <v>0</v>
      </c>
      <c r="AE58" s="13">
        <f t="shared" si="7"/>
        <v>0</v>
      </c>
    </row>
    <row r="59" spans="2:31" x14ac:dyDescent="0.25">
      <c r="B59" s="4"/>
      <c r="C59" s="1" t="s">
        <v>63</v>
      </c>
      <c r="D59" s="1" t="s">
        <v>94</v>
      </c>
      <c r="E59" s="3"/>
      <c r="F59" s="3"/>
      <c r="G59" s="24"/>
      <c r="H59" s="24"/>
      <c r="J59" s="1" t="s">
        <v>105</v>
      </c>
      <c r="K59" s="4"/>
      <c r="L59" s="4"/>
      <c r="M59" s="4"/>
      <c r="N59" s="4"/>
      <c r="O59" s="4"/>
      <c r="P59" s="33"/>
      <c r="Q59" s="25">
        <v>450</v>
      </c>
      <c r="R59" s="25">
        <v>0</v>
      </c>
      <c r="S59" s="12">
        <f t="shared" si="10"/>
        <v>0</v>
      </c>
      <c r="T59" s="5">
        <v>0</v>
      </c>
      <c r="U59" s="12">
        <f t="shared" si="11"/>
        <v>0</v>
      </c>
      <c r="V59" s="25" t="s">
        <v>8</v>
      </c>
      <c r="W59" s="11">
        <f>IFERROR(VLOOKUP(V59,Curr!$B$2:$C$13,2,FALSE),0)</f>
        <v>1</v>
      </c>
      <c r="X59" s="12">
        <f t="shared" si="12"/>
        <v>0</v>
      </c>
      <c r="Y59" s="26">
        <f>Q59/11.3/0.8</f>
        <v>49.778761061946895</v>
      </c>
      <c r="Z59" s="12">
        <f t="shared" si="4"/>
        <v>0</v>
      </c>
      <c r="AA59" s="4" t="s">
        <v>10</v>
      </c>
      <c r="AB59" s="11">
        <f>IFERROR(VLOOKUP(AA59,Curr!$B$2:$C$13,2,FALSE),0)</f>
        <v>11.2</v>
      </c>
      <c r="AC59" s="12">
        <f t="shared" si="5"/>
        <v>0</v>
      </c>
      <c r="AD59" s="12">
        <f t="shared" si="6"/>
        <v>0</v>
      </c>
      <c r="AE59" s="13">
        <f t="shared" si="7"/>
        <v>0</v>
      </c>
    </row>
    <row r="60" spans="2:31" x14ac:dyDescent="0.25">
      <c r="B60" s="4"/>
      <c r="C60" s="1" t="s">
        <v>69</v>
      </c>
      <c r="D60" s="1" t="s">
        <v>94</v>
      </c>
      <c r="E60" s="3"/>
      <c r="F60" s="3"/>
      <c r="G60" s="24"/>
      <c r="H60" s="24"/>
      <c r="J60" s="1" t="s">
        <v>106</v>
      </c>
      <c r="K60" s="4"/>
      <c r="L60" s="4"/>
      <c r="M60" s="4"/>
      <c r="N60" s="4"/>
      <c r="O60" s="4" t="s">
        <v>42</v>
      </c>
      <c r="P60" s="33" t="s">
        <v>107</v>
      </c>
      <c r="Q60" s="25">
        <v>71</v>
      </c>
      <c r="R60" s="25">
        <v>0</v>
      </c>
      <c r="S60" s="12">
        <f t="shared" si="10"/>
        <v>0</v>
      </c>
      <c r="T60" s="5">
        <v>0.2</v>
      </c>
      <c r="U60" s="12">
        <f t="shared" si="11"/>
        <v>0</v>
      </c>
      <c r="V60" s="25" t="s">
        <v>10</v>
      </c>
      <c r="W60" s="11">
        <f>IFERROR(VLOOKUP(V60,Curr!$B$2:$C$13,2,FALSE),0)</f>
        <v>11.2</v>
      </c>
      <c r="X60" s="12">
        <f t="shared" si="12"/>
        <v>0</v>
      </c>
      <c r="Y60" s="26">
        <f t="shared" ref="Y60" si="15">Q60</f>
        <v>71</v>
      </c>
      <c r="Z60" s="12">
        <f t="shared" si="4"/>
        <v>0</v>
      </c>
      <c r="AA60" s="4" t="s">
        <v>10</v>
      </c>
      <c r="AB60" s="11">
        <f>IFERROR(VLOOKUP(AA60,Curr!$B$2:$C$13,2,FALSE),0)</f>
        <v>11.2</v>
      </c>
      <c r="AC60" s="12">
        <f t="shared" si="5"/>
        <v>0</v>
      </c>
      <c r="AD60" s="12">
        <f t="shared" si="6"/>
        <v>0</v>
      </c>
      <c r="AE60" s="13">
        <f t="shared" si="7"/>
        <v>0</v>
      </c>
    </row>
    <row r="61" spans="2:31" x14ac:dyDescent="0.25">
      <c r="B61" s="4"/>
      <c r="C61" s="1" t="s">
        <v>80</v>
      </c>
      <c r="D61" s="1" t="s">
        <v>94</v>
      </c>
      <c r="E61" s="3"/>
      <c r="F61" s="3"/>
      <c r="G61" s="24"/>
      <c r="H61" s="24"/>
      <c r="J61" s="1" t="s">
        <v>118</v>
      </c>
      <c r="K61" s="4"/>
      <c r="L61" s="4"/>
      <c r="M61" s="4"/>
      <c r="N61" s="4"/>
      <c r="O61" s="4" t="s">
        <v>42</v>
      </c>
      <c r="P61" s="33" t="s">
        <v>119</v>
      </c>
      <c r="Q61" s="25">
        <v>2195</v>
      </c>
      <c r="R61" s="25">
        <v>0</v>
      </c>
      <c r="S61" s="12">
        <f t="shared" si="10"/>
        <v>0</v>
      </c>
      <c r="T61" s="5">
        <v>0.2</v>
      </c>
      <c r="U61" s="12">
        <f t="shared" si="11"/>
        <v>0</v>
      </c>
      <c r="V61" s="25" t="s">
        <v>8</v>
      </c>
      <c r="W61" s="11">
        <f>IFERROR(VLOOKUP(V61,Curr!$B$2:$C$13,2,FALSE),0)</f>
        <v>1</v>
      </c>
      <c r="X61" s="12">
        <f t="shared" si="12"/>
        <v>0</v>
      </c>
      <c r="Y61" s="26">
        <f t="shared" ref="Y61:Y63" si="16">Q61/11.3</f>
        <v>194.24778761061947</v>
      </c>
      <c r="Z61" s="12">
        <f t="shared" si="4"/>
        <v>0</v>
      </c>
      <c r="AA61" s="4" t="s">
        <v>10</v>
      </c>
      <c r="AB61" s="11">
        <f>IFERROR(VLOOKUP(AA61,Curr!$B$2:$C$13,2,FALSE),0)</f>
        <v>11.2</v>
      </c>
      <c r="AC61" s="12">
        <f t="shared" si="5"/>
        <v>0</v>
      </c>
      <c r="AD61" s="12">
        <f t="shared" si="6"/>
        <v>0</v>
      </c>
      <c r="AE61" s="13">
        <f t="shared" si="7"/>
        <v>0</v>
      </c>
    </row>
    <row r="62" spans="2:31" x14ac:dyDescent="0.25">
      <c r="B62" s="4"/>
      <c r="C62" s="1" t="s">
        <v>115</v>
      </c>
      <c r="D62" s="1" t="s">
        <v>94</v>
      </c>
      <c r="E62" s="3"/>
      <c r="F62" s="3"/>
      <c r="G62" s="24"/>
      <c r="H62" s="24"/>
      <c r="J62" s="1" t="s">
        <v>134</v>
      </c>
      <c r="K62" s="4"/>
      <c r="L62" s="4"/>
      <c r="M62" s="4"/>
      <c r="N62" s="4"/>
      <c r="O62" s="4" t="s">
        <v>42</v>
      </c>
      <c r="P62" s="33" t="s">
        <v>135</v>
      </c>
      <c r="Q62" s="25">
        <v>2990</v>
      </c>
      <c r="R62" s="25">
        <v>0</v>
      </c>
      <c r="S62" s="12">
        <f t="shared" si="10"/>
        <v>0</v>
      </c>
      <c r="T62" s="5">
        <v>0.15</v>
      </c>
      <c r="U62" s="12">
        <f t="shared" si="11"/>
        <v>0</v>
      </c>
      <c r="V62" s="25" t="s">
        <v>8</v>
      </c>
      <c r="W62" s="11">
        <f>IFERROR(VLOOKUP(V62,Curr!$B$2:$C$13,2,FALSE),0)</f>
        <v>1</v>
      </c>
      <c r="X62" s="12">
        <f t="shared" si="12"/>
        <v>0</v>
      </c>
      <c r="Y62" s="26">
        <f t="shared" si="16"/>
        <v>264.60176991150439</v>
      </c>
      <c r="Z62" s="12">
        <f t="shared" si="4"/>
        <v>0</v>
      </c>
      <c r="AA62" s="4" t="s">
        <v>10</v>
      </c>
      <c r="AB62" s="11">
        <f>IFERROR(VLOOKUP(AA62,Curr!$B$2:$C$13,2,FALSE),0)</f>
        <v>11.2</v>
      </c>
      <c r="AC62" s="12">
        <f t="shared" si="5"/>
        <v>0</v>
      </c>
      <c r="AD62" s="12">
        <f t="shared" si="6"/>
        <v>0</v>
      </c>
      <c r="AE62" s="13">
        <f t="shared" si="7"/>
        <v>0</v>
      </c>
    </row>
    <row r="63" spans="2:31" x14ac:dyDescent="0.25">
      <c r="B63" s="4"/>
      <c r="C63" s="1" t="s">
        <v>115</v>
      </c>
      <c r="D63" s="1" t="s">
        <v>94</v>
      </c>
      <c r="E63" s="3"/>
      <c r="F63" s="3"/>
      <c r="G63" s="24"/>
      <c r="H63" s="24"/>
      <c r="J63" s="1" t="s">
        <v>144</v>
      </c>
      <c r="K63" s="4"/>
      <c r="L63" s="4"/>
      <c r="M63" s="4"/>
      <c r="N63" s="4"/>
      <c r="O63" s="4" t="s">
        <v>42</v>
      </c>
      <c r="P63" s="33" t="s">
        <v>145</v>
      </c>
      <c r="Q63" s="25">
        <v>3390</v>
      </c>
      <c r="R63" s="25">
        <v>0</v>
      </c>
      <c r="S63" s="12">
        <f t="shared" si="10"/>
        <v>0</v>
      </c>
      <c r="T63" s="5">
        <v>0.15</v>
      </c>
      <c r="U63" s="12">
        <f t="shared" si="11"/>
        <v>0</v>
      </c>
      <c r="V63" s="25" t="s">
        <v>8</v>
      </c>
      <c r="W63" s="11">
        <f>IFERROR(VLOOKUP(V63,Curr!$B$2:$C$13,2,FALSE),0)</f>
        <v>1</v>
      </c>
      <c r="X63" s="12">
        <f t="shared" si="12"/>
        <v>0</v>
      </c>
      <c r="Y63" s="26">
        <f t="shared" si="16"/>
        <v>300</v>
      </c>
      <c r="Z63" s="12">
        <f t="shared" si="4"/>
        <v>0</v>
      </c>
      <c r="AA63" s="4" t="s">
        <v>10</v>
      </c>
      <c r="AB63" s="11">
        <f>IFERROR(VLOOKUP(AA63,Curr!$B$2:$C$13,2,FALSE),0)</f>
        <v>11.2</v>
      </c>
      <c r="AC63" s="12">
        <f t="shared" si="5"/>
        <v>0</v>
      </c>
      <c r="AD63" s="12">
        <f t="shared" si="6"/>
        <v>0</v>
      </c>
      <c r="AE63" s="13">
        <f t="shared" si="7"/>
        <v>0</v>
      </c>
    </row>
    <row r="64" spans="2:31" x14ac:dyDescent="0.25">
      <c r="B64" s="4"/>
      <c r="E64" s="3"/>
      <c r="F64" s="3"/>
      <c r="G64" s="24"/>
      <c r="H64" s="24"/>
      <c r="K64" s="4"/>
      <c r="L64" s="4"/>
      <c r="M64" s="4"/>
      <c r="N64" s="4"/>
      <c r="O64" s="4"/>
      <c r="P64" s="27"/>
      <c r="Q64" s="25"/>
      <c r="R64" s="25"/>
      <c r="S64" s="12">
        <f t="shared" si="10"/>
        <v>0</v>
      </c>
      <c r="T64" s="5">
        <v>0</v>
      </c>
      <c r="U64" s="12">
        <f t="shared" si="11"/>
        <v>0</v>
      </c>
      <c r="V64" s="25" t="s">
        <v>10</v>
      </c>
      <c r="W64" s="11">
        <f>IFERROR(VLOOKUP(V64,Curr!$B$2:$C$13,2,FALSE),0)</f>
        <v>11.2</v>
      </c>
      <c r="X64" s="12">
        <f t="shared" si="12"/>
        <v>0</v>
      </c>
      <c r="Y64" s="26">
        <f t="shared" si="13"/>
        <v>0</v>
      </c>
      <c r="Z64" s="12">
        <f t="shared" si="4"/>
        <v>0</v>
      </c>
      <c r="AA64" s="4" t="s">
        <v>10</v>
      </c>
      <c r="AB64" s="11">
        <f>IFERROR(VLOOKUP(AA64,Curr!$B$2:$C$13,2,FALSE),0)</f>
        <v>11.2</v>
      </c>
      <c r="AC64" s="12">
        <f t="shared" si="5"/>
        <v>0</v>
      </c>
      <c r="AD64" s="12">
        <f t="shared" si="6"/>
        <v>0</v>
      </c>
      <c r="AE64" s="13">
        <f t="shared" si="7"/>
        <v>0</v>
      </c>
    </row>
    <row r="65" spans="2:36" x14ac:dyDescent="0.25">
      <c r="B65" s="4"/>
      <c r="E65" s="3"/>
      <c r="F65" s="3"/>
      <c r="G65" s="24"/>
      <c r="H65" s="24"/>
      <c r="K65" s="4"/>
      <c r="L65" s="4"/>
      <c r="M65" s="4"/>
      <c r="N65" s="4"/>
      <c r="O65" s="4"/>
      <c r="P65" s="27"/>
      <c r="Q65" s="25"/>
      <c r="R65" s="25"/>
      <c r="S65" s="12">
        <f t="shared" si="10"/>
        <v>0</v>
      </c>
      <c r="T65" s="5">
        <v>0</v>
      </c>
      <c r="U65" s="12">
        <f t="shared" si="11"/>
        <v>0</v>
      </c>
      <c r="V65" s="25" t="s">
        <v>10</v>
      </c>
      <c r="W65" s="11">
        <f>IFERROR(VLOOKUP(V65,Curr!$B$2:$C$13,2,FALSE),0)</f>
        <v>11.2</v>
      </c>
      <c r="X65" s="12">
        <f t="shared" si="12"/>
        <v>0</v>
      </c>
      <c r="Y65" s="26">
        <f t="shared" si="13"/>
        <v>0</v>
      </c>
      <c r="Z65" s="12">
        <f t="shared" si="4"/>
        <v>0</v>
      </c>
      <c r="AA65" s="4" t="s">
        <v>10</v>
      </c>
      <c r="AB65" s="11">
        <f>IFERROR(VLOOKUP(AA65,Curr!$B$2:$C$13,2,FALSE),0)</f>
        <v>11.2</v>
      </c>
      <c r="AC65" s="12">
        <f t="shared" si="5"/>
        <v>0</v>
      </c>
      <c r="AD65" s="12">
        <f t="shared" si="6"/>
        <v>0</v>
      </c>
      <c r="AE65" s="13">
        <f t="shared" si="7"/>
        <v>0</v>
      </c>
    </row>
    <row r="66" spans="2:36" x14ac:dyDescent="0.25">
      <c r="B66" s="4"/>
      <c r="E66" s="3"/>
      <c r="F66" s="3"/>
      <c r="G66" s="24"/>
      <c r="H66" s="24"/>
      <c r="K66" s="4"/>
      <c r="L66" s="4"/>
      <c r="M66" s="4"/>
      <c r="N66" s="4"/>
      <c r="O66" s="4"/>
      <c r="P66" s="27"/>
      <c r="Q66" s="25"/>
      <c r="R66" s="25"/>
      <c r="S66" s="12">
        <f t="shared" si="10"/>
        <v>0</v>
      </c>
      <c r="T66" s="5">
        <v>0</v>
      </c>
      <c r="U66" s="12">
        <f t="shared" si="11"/>
        <v>0</v>
      </c>
      <c r="V66" s="25" t="s">
        <v>10</v>
      </c>
      <c r="W66" s="11">
        <f>IFERROR(VLOOKUP(V66,Curr!$B$2:$C$13,2,FALSE),0)</f>
        <v>11.2</v>
      </c>
      <c r="X66" s="12">
        <f t="shared" si="12"/>
        <v>0</v>
      </c>
      <c r="Y66" s="26">
        <f t="shared" si="13"/>
        <v>0</v>
      </c>
      <c r="Z66" s="12">
        <f t="shared" si="4"/>
        <v>0</v>
      </c>
      <c r="AA66" s="4" t="s">
        <v>10</v>
      </c>
      <c r="AB66" s="11">
        <f>IFERROR(VLOOKUP(AA66,Curr!$B$2:$C$13,2,FALSE),0)</f>
        <v>11.2</v>
      </c>
      <c r="AC66" s="12">
        <f t="shared" si="5"/>
        <v>0</v>
      </c>
      <c r="AD66" s="12">
        <f t="shared" si="6"/>
        <v>0</v>
      </c>
      <c r="AE66" s="13">
        <f t="shared" si="7"/>
        <v>0</v>
      </c>
    </row>
    <row r="67" spans="2:36" x14ac:dyDescent="0.25">
      <c r="B67" s="4"/>
      <c r="E67" s="3"/>
      <c r="F67" s="3"/>
      <c r="G67" s="24"/>
      <c r="H67" s="24"/>
      <c r="K67" s="4"/>
      <c r="L67" s="4"/>
      <c r="M67" s="4"/>
      <c r="N67" s="4"/>
      <c r="O67" s="4"/>
      <c r="P67" s="27"/>
      <c r="Q67" s="25"/>
      <c r="R67" s="25"/>
      <c r="S67" s="12">
        <f t="shared" si="10"/>
        <v>0</v>
      </c>
      <c r="T67" s="5">
        <v>0</v>
      </c>
      <c r="U67" s="12">
        <f t="shared" si="11"/>
        <v>0</v>
      </c>
      <c r="V67" s="25" t="s">
        <v>10</v>
      </c>
      <c r="W67" s="11">
        <f>IFERROR(VLOOKUP(V67,Curr!$B$2:$C$13,2,FALSE),0)</f>
        <v>11.2</v>
      </c>
      <c r="X67" s="12">
        <f t="shared" si="12"/>
        <v>0</v>
      </c>
      <c r="Y67" s="26">
        <f t="shared" si="13"/>
        <v>0</v>
      </c>
      <c r="Z67" s="12">
        <f t="shared" si="4"/>
        <v>0</v>
      </c>
      <c r="AA67" s="4" t="s">
        <v>10</v>
      </c>
      <c r="AB67" s="11">
        <f>IFERROR(VLOOKUP(AA67,Curr!$B$2:$C$13,2,FALSE),0)</f>
        <v>11.2</v>
      </c>
      <c r="AC67" s="12">
        <f t="shared" si="5"/>
        <v>0</v>
      </c>
      <c r="AD67" s="12">
        <f t="shared" si="6"/>
        <v>0</v>
      </c>
      <c r="AE67" s="13">
        <f t="shared" si="7"/>
        <v>0</v>
      </c>
    </row>
    <row r="68" spans="2:36" x14ac:dyDescent="0.25">
      <c r="B68" s="4"/>
      <c r="E68" s="3"/>
      <c r="F68" s="3"/>
      <c r="G68" s="24"/>
      <c r="H68" s="24"/>
      <c r="K68" s="4"/>
      <c r="L68" s="4"/>
      <c r="M68" s="4"/>
      <c r="N68" s="4"/>
      <c r="O68" s="4"/>
      <c r="P68" s="27"/>
      <c r="Q68" s="25"/>
      <c r="R68" s="25"/>
      <c r="S68" s="12">
        <f t="shared" si="10"/>
        <v>0</v>
      </c>
      <c r="T68" s="5">
        <v>0</v>
      </c>
      <c r="U68" s="12">
        <f t="shared" si="11"/>
        <v>0</v>
      </c>
      <c r="V68" s="25" t="s">
        <v>10</v>
      </c>
      <c r="W68" s="11">
        <f>IFERROR(VLOOKUP(V68,Curr!$B$2:$C$13,2,FALSE),0)</f>
        <v>11.2</v>
      </c>
      <c r="X68" s="12">
        <f t="shared" si="12"/>
        <v>0</v>
      </c>
      <c r="Y68" s="26">
        <f t="shared" si="13"/>
        <v>0</v>
      </c>
      <c r="Z68" s="12">
        <f t="shared" si="4"/>
        <v>0</v>
      </c>
      <c r="AA68" s="4" t="s">
        <v>10</v>
      </c>
      <c r="AB68" s="11">
        <f>IFERROR(VLOOKUP(AA68,Curr!$B$2:$C$13,2,FALSE),0)</f>
        <v>11.2</v>
      </c>
      <c r="AC68" s="12">
        <f t="shared" si="5"/>
        <v>0</v>
      </c>
      <c r="AD68" s="12">
        <f t="shared" si="6"/>
        <v>0</v>
      </c>
      <c r="AE68" s="13">
        <f t="shared" si="7"/>
        <v>0</v>
      </c>
    </row>
    <row r="69" spans="2:36" x14ac:dyDescent="0.25">
      <c r="B69" s="4"/>
      <c r="E69" s="3"/>
      <c r="F69" s="3"/>
      <c r="G69" s="24"/>
      <c r="H69" s="24"/>
      <c r="K69" s="4"/>
      <c r="L69" s="4"/>
      <c r="M69" s="4"/>
      <c r="N69" s="4"/>
      <c r="O69" s="4"/>
      <c r="P69" s="27"/>
      <c r="Q69" s="25"/>
      <c r="R69" s="25"/>
      <c r="S69" s="12">
        <f t="shared" si="10"/>
        <v>0</v>
      </c>
      <c r="T69" s="5">
        <v>0</v>
      </c>
      <c r="U69" s="12">
        <f t="shared" si="11"/>
        <v>0</v>
      </c>
      <c r="V69" s="25" t="s">
        <v>10</v>
      </c>
      <c r="W69" s="11">
        <f>IFERROR(VLOOKUP(V69,Curr!$B$2:$C$13,2,FALSE),0)</f>
        <v>11.2</v>
      </c>
      <c r="X69" s="12">
        <f t="shared" si="12"/>
        <v>0</v>
      </c>
      <c r="Y69" s="26">
        <f t="shared" si="13"/>
        <v>0</v>
      </c>
      <c r="Z69" s="12">
        <f t="shared" si="4"/>
        <v>0</v>
      </c>
      <c r="AA69" s="4" t="s">
        <v>10</v>
      </c>
      <c r="AB69" s="11">
        <f>IFERROR(VLOOKUP(AA69,Curr!$B$2:$C$13,2,FALSE),0)</f>
        <v>11.2</v>
      </c>
      <c r="AC69" s="12">
        <f t="shared" si="5"/>
        <v>0</v>
      </c>
      <c r="AD69" s="12">
        <f t="shared" si="6"/>
        <v>0</v>
      </c>
      <c r="AE69" s="13">
        <f t="shared" si="7"/>
        <v>0</v>
      </c>
    </row>
    <row r="70" spans="2:36" x14ac:dyDescent="0.25">
      <c r="B70" s="4"/>
      <c r="E70" s="3"/>
      <c r="F70" s="3"/>
      <c r="G70" s="24"/>
      <c r="H70" s="24"/>
      <c r="K70" s="4"/>
      <c r="L70" s="4"/>
      <c r="M70" s="4"/>
      <c r="N70" s="4"/>
      <c r="O70" s="4"/>
      <c r="P70" s="27"/>
      <c r="Q70" s="25"/>
      <c r="R70" s="25"/>
      <c r="S70" s="12">
        <f t="shared" si="10"/>
        <v>0</v>
      </c>
      <c r="T70" s="5">
        <v>0</v>
      </c>
      <c r="U70" s="12">
        <f t="shared" si="11"/>
        <v>0</v>
      </c>
      <c r="V70" s="25" t="s">
        <v>10</v>
      </c>
      <c r="W70" s="11">
        <f>IFERROR(VLOOKUP(V70,Curr!$B$2:$C$13,2,FALSE),0)</f>
        <v>11.2</v>
      </c>
      <c r="X70" s="12">
        <f t="shared" si="12"/>
        <v>0</v>
      </c>
      <c r="Y70" s="26">
        <f t="shared" si="13"/>
        <v>0</v>
      </c>
      <c r="Z70" s="12">
        <f t="shared" si="4"/>
        <v>0</v>
      </c>
      <c r="AA70" s="4" t="s">
        <v>10</v>
      </c>
      <c r="AB70" s="11">
        <f>IFERROR(VLOOKUP(AA70,Curr!$B$2:$C$13,2,FALSE),0)</f>
        <v>11.2</v>
      </c>
      <c r="AC70" s="12">
        <f t="shared" si="5"/>
        <v>0</v>
      </c>
      <c r="AD70" s="12">
        <f t="shared" si="6"/>
        <v>0</v>
      </c>
      <c r="AE70" s="13">
        <f t="shared" si="7"/>
        <v>0</v>
      </c>
    </row>
    <row r="71" spans="2:36" x14ac:dyDescent="0.25">
      <c r="B71" s="4"/>
      <c r="E71" s="3"/>
      <c r="F71" s="3"/>
      <c r="G71" s="24"/>
      <c r="H71" s="24"/>
      <c r="K71" s="4"/>
      <c r="L71" s="4"/>
      <c r="M71" s="4"/>
      <c r="N71" s="4"/>
      <c r="O71" s="4"/>
      <c r="P71" s="27"/>
      <c r="Q71" s="25"/>
      <c r="R71" s="25"/>
      <c r="S71" s="12">
        <f t="shared" ref="S71" si="17">+Q71*R71</f>
        <v>0</v>
      </c>
      <c r="T71" s="5">
        <v>0</v>
      </c>
      <c r="U71" s="12">
        <f t="shared" ref="U71" si="18">S71*(1-T71)</f>
        <v>0</v>
      </c>
      <c r="V71" s="25" t="s">
        <v>10</v>
      </c>
      <c r="W71" s="11">
        <f>IFERROR(VLOOKUP(V71,Curr!$B$2:$C$13,2,FALSE),0)</f>
        <v>11.2</v>
      </c>
      <c r="X71" s="12">
        <f t="shared" ref="X71" si="19">U71*W71</f>
        <v>0</v>
      </c>
      <c r="Y71" s="26">
        <f t="shared" ref="Y71" si="20">Q71</f>
        <v>0</v>
      </c>
      <c r="Z71" s="12">
        <f t="shared" ref="Z71" si="21">+Y71*R71</f>
        <v>0</v>
      </c>
      <c r="AA71" s="4" t="s">
        <v>10</v>
      </c>
      <c r="AB71" s="11">
        <f>IFERROR(VLOOKUP(AA71,Curr!$B$2:$C$13,2,FALSE),0)</f>
        <v>11.2</v>
      </c>
      <c r="AC71" s="12">
        <f t="shared" ref="AC71" si="22">+Y71*AB71*R71</f>
        <v>0</v>
      </c>
      <c r="AD71" s="12">
        <f t="shared" ref="AD71" si="23">+AC71-X71</f>
        <v>0</v>
      </c>
      <c r="AE71" s="13">
        <f t="shared" ref="AE71" si="24">IFERROR(AD71/AC71,0)</f>
        <v>0</v>
      </c>
    </row>
    <row r="72" spans="2:36" x14ac:dyDescent="0.25">
      <c r="B72" s="4"/>
      <c r="E72" s="3"/>
      <c r="F72" s="3"/>
      <c r="G72" s="3"/>
      <c r="H72" s="3"/>
      <c r="L72" s="4"/>
      <c r="M72" s="4"/>
      <c r="N72" s="4"/>
      <c r="O72" s="4"/>
      <c r="P72" s="22"/>
      <c r="Q72" s="4"/>
      <c r="R72" s="4"/>
      <c r="S72" s="4"/>
      <c r="T72" s="4"/>
      <c r="U72" s="4"/>
      <c r="V72" s="4"/>
      <c r="W72" s="4"/>
      <c r="X72" s="4"/>
      <c r="Y72" s="4"/>
      <c r="Z72" s="4"/>
      <c r="AA72" s="4"/>
      <c r="AB72" s="4"/>
      <c r="AC72" s="4"/>
      <c r="AD72" s="4"/>
      <c r="AE72" s="4"/>
      <c r="AF72" s="4"/>
    </row>
    <row r="73" spans="2:36" x14ac:dyDescent="0.25">
      <c r="B73" s="14" t="s">
        <v>18</v>
      </c>
      <c r="C73" s="14"/>
      <c r="D73" s="28" t="s">
        <v>42</v>
      </c>
      <c r="E73" s="30" t="s">
        <v>42</v>
      </c>
      <c r="F73" s="30" t="s">
        <v>42</v>
      </c>
      <c r="G73" s="30" t="s">
        <v>42</v>
      </c>
      <c r="H73" s="30" t="s">
        <v>42</v>
      </c>
      <c r="I73" s="28" t="s">
        <v>42</v>
      </c>
      <c r="J73" s="28" t="s">
        <v>42</v>
      </c>
      <c r="K73" s="28" t="s">
        <v>42</v>
      </c>
      <c r="L73" s="28" t="s">
        <v>42</v>
      </c>
      <c r="M73" s="28" t="s">
        <v>42</v>
      </c>
      <c r="N73" s="28" t="s">
        <v>42</v>
      </c>
      <c r="O73" s="28" t="s">
        <v>42</v>
      </c>
      <c r="P73" s="28" t="s">
        <v>42</v>
      </c>
      <c r="Q73" s="31" t="s">
        <v>42</v>
      </c>
      <c r="R73" s="28" t="s">
        <v>42</v>
      </c>
      <c r="S73" s="32" t="s">
        <v>42</v>
      </c>
      <c r="T73" s="28" t="s">
        <v>42</v>
      </c>
      <c r="U73" s="32" t="s">
        <v>42</v>
      </c>
      <c r="V73" s="28" t="s">
        <v>42</v>
      </c>
      <c r="W73" s="28" t="s">
        <v>42</v>
      </c>
      <c r="X73" s="32" t="s">
        <v>42</v>
      </c>
      <c r="Y73" s="32" t="s">
        <v>42</v>
      </c>
      <c r="Z73" s="15">
        <f>SUM(Z7:Z71)</f>
        <v>4202.701978136387</v>
      </c>
      <c r="AA73" s="14"/>
      <c r="AB73" s="14"/>
      <c r="AC73" s="15">
        <f>SUM(AC7:AC71)</f>
        <v>47070.26215512753</v>
      </c>
      <c r="AD73" s="15">
        <f>SUM(AD7:AD71)</f>
        <v>8699.9021551275346</v>
      </c>
      <c r="AE73" s="21">
        <f t="shared" ref="AE73" si="25">IFERROR(AD73/AC73,0)</f>
        <v>0.1848279945086268</v>
      </c>
      <c r="AF73" s="15">
        <f>SUM(AF8:AF72)</f>
        <v>0</v>
      </c>
      <c r="AG73" s="15">
        <f>SUM(AG8:AG72)</f>
        <v>0</v>
      </c>
      <c r="AH73" s="15">
        <f>SUM(AH8:AH72)</f>
        <v>0</v>
      </c>
      <c r="AI73" s="15">
        <f>SUM(AI8:AI72)</f>
        <v>0</v>
      </c>
      <c r="AJ73" s="15">
        <f>SUM(AJ8:AJ72)</f>
        <v>0</v>
      </c>
    </row>
    <row r="74" spans="2:36" x14ac:dyDescent="0.25">
      <c r="B74" s="4"/>
      <c r="E74" s="3"/>
      <c r="F74" s="3"/>
      <c r="G74" s="3"/>
      <c r="H74" s="3"/>
      <c r="L74" s="4"/>
      <c r="M74" s="4"/>
      <c r="N74" s="4"/>
      <c r="O74" s="4"/>
      <c r="Q74" s="4"/>
      <c r="R74" s="4"/>
      <c r="S74" s="4"/>
      <c r="T74" s="4"/>
      <c r="U74" s="4"/>
      <c r="V74" s="4"/>
      <c r="W74" s="4"/>
      <c r="X74" s="4"/>
      <c r="Y74" s="9"/>
      <c r="Z74" s="9"/>
      <c r="AA74" s="9"/>
      <c r="AB74" s="9"/>
      <c r="AC74" s="9"/>
      <c r="AD74" s="9"/>
      <c r="AE74" s="9"/>
    </row>
    <row r="75" spans="2:36" x14ac:dyDescent="0.25">
      <c r="B75" s="4"/>
      <c r="E75" s="3"/>
      <c r="F75" s="3"/>
      <c r="G75" s="3"/>
      <c r="H75" s="3"/>
      <c r="L75" s="4"/>
      <c r="M75" s="4"/>
      <c r="N75" s="4"/>
      <c r="O75" s="4"/>
      <c r="Q75" s="9"/>
      <c r="R75" s="9"/>
      <c r="S75" s="9"/>
      <c r="T75" s="9"/>
      <c r="U75" s="9"/>
      <c r="V75" s="9"/>
      <c r="W75" s="9"/>
      <c r="X75" s="23"/>
      <c r="Y75" s="34" t="s">
        <v>102</v>
      </c>
      <c r="Z75" s="34">
        <v>2520</v>
      </c>
      <c r="AA75" s="9"/>
      <c r="AB75" s="9"/>
      <c r="AC75" s="9"/>
      <c r="AD75" s="9"/>
      <c r="AE75" s="9"/>
    </row>
    <row r="76" spans="2:36" x14ac:dyDescent="0.25">
      <c r="B76" s="4"/>
      <c r="E76" s="3"/>
      <c r="F76" s="3"/>
      <c r="G76" s="3"/>
      <c r="H76" s="3"/>
      <c r="L76" s="4"/>
      <c r="M76" s="4"/>
      <c r="N76" s="4"/>
      <c r="O76" s="4"/>
      <c r="Q76" s="9"/>
      <c r="R76" s="9"/>
      <c r="S76" s="9"/>
      <c r="T76" s="9"/>
      <c r="U76" s="9"/>
      <c r="V76" s="9"/>
      <c r="W76" s="9"/>
      <c r="X76" s="9"/>
      <c r="Y76" s="35" t="s">
        <v>103</v>
      </c>
      <c r="Z76" s="34">
        <f>Z9+Z15+Z23+Z25+Z40</f>
        <v>1821.7595002602811</v>
      </c>
      <c r="AA76" s="9"/>
      <c r="AB76" s="9"/>
      <c r="AC76" s="9"/>
      <c r="AD76" s="9"/>
      <c r="AE76" s="9"/>
      <c r="AF76" s="18"/>
    </row>
    <row r="77" spans="2:36" x14ac:dyDescent="0.25">
      <c r="B77" s="4"/>
      <c r="E77" s="3"/>
      <c r="F77" s="3"/>
      <c r="G77" s="3"/>
      <c r="H77" s="3"/>
      <c r="I77" s="19"/>
      <c r="L77" s="4"/>
      <c r="M77" s="4"/>
      <c r="N77" s="4"/>
      <c r="O77" s="20"/>
      <c r="Q77" s="20"/>
      <c r="R77" s="20"/>
      <c r="S77" s="20"/>
      <c r="T77" s="20"/>
      <c r="U77" s="20"/>
      <c r="V77" s="20"/>
      <c r="W77" s="20"/>
      <c r="X77" s="20"/>
      <c r="Y77" s="34" t="s">
        <v>104</v>
      </c>
      <c r="Z77" s="34">
        <v>4220</v>
      </c>
      <c r="AA77" s="9"/>
      <c r="AB77" s="9"/>
      <c r="AC77" s="9"/>
      <c r="AD77" s="9"/>
      <c r="AE77" s="9"/>
      <c r="AF77" s="18"/>
    </row>
    <row r="78" spans="2:36" x14ac:dyDescent="0.25">
      <c r="B78" s="4"/>
      <c r="E78" s="3"/>
      <c r="F78" s="3"/>
      <c r="G78" s="3"/>
      <c r="H78" s="3"/>
      <c r="L78" s="4"/>
      <c r="M78" s="4"/>
      <c r="N78" s="4"/>
      <c r="O78" s="20"/>
      <c r="Q78" s="20"/>
      <c r="R78" s="20"/>
      <c r="S78" s="20"/>
      <c r="T78" s="20"/>
      <c r="U78" s="20"/>
      <c r="V78" s="20"/>
      <c r="W78" s="20"/>
      <c r="X78" s="20"/>
      <c r="Y78" s="34" t="s">
        <v>43</v>
      </c>
      <c r="Z78" s="34">
        <f>Z77/2</f>
        <v>2110</v>
      </c>
      <c r="AA78" s="9"/>
      <c r="AB78" s="9"/>
      <c r="AC78" s="9"/>
      <c r="AD78" s="9"/>
      <c r="AE78" s="9"/>
      <c r="AF78" s="18"/>
    </row>
    <row r="79" spans="2:36" x14ac:dyDescent="0.25">
      <c r="B79" s="4"/>
      <c r="E79" s="3"/>
      <c r="F79" s="3"/>
      <c r="G79" s="3"/>
      <c r="H79" s="3"/>
      <c r="L79" s="4"/>
      <c r="M79" s="4"/>
      <c r="N79" s="4"/>
      <c r="O79" s="4"/>
      <c r="Q79" s="9"/>
      <c r="R79" s="9"/>
      <c r="S79" s="9"/>
      <c r="T79" s="9"/>
      <c r="U79" s="9"/>
      <c r="V79" s="9"/>
      <c r="W79" s="9"/>
      <c r="X79" s="9"/>
      <c r="Y79" s="1"/>
      <c r="Z79" s="1"/>
      <c r="AA79" s="9"/>
      <c r="AB79" s="9"/>
      <c r="AC79" s="9"/>
      <c r="AD79" s="9"/>
      <c r="AE79" s="9"/>
      <c r="AF79" s="18"/>
    </row>
    <row r="80" spans="2:36" x14ac:dyDescent="0.25">
      <c r="F80" s="1"/>
      <c r="G80" s="1"/>
      <c r="H80" s="1"/>
      <c r="J80" s="1" t="s">
        <v>32</v>
      </c>
      <c r="Q80" s="9"/>
      <c r="R80" s="4"/>
      <c r="S80" s="9"/>
      <c r="T80" s="5"/>
      <c r="U80" s="9"/>
      <c r="V80" s="4"/>
      <c r="W80" s="4"/>
      <c r="X80" s="9"/>
      <c r="Y80" s="9"/>
      <c r="Z80" s="9"/>
      <c r="AA80" s="9"/>
      <c r="AB80" s="9"/>
      <c r="AC80" s="9"/>
      <c r="AD80" s="9"/>
      <c r="AE80" s="9"/>
    </row>
    <row r="81" spans="17:31" x14ac:dyDescent="0.25">
      <c r="R81" s="4"/>
      <c r="S81" s="17"/>
      <c r="T81" s="17"/>
      <c r="U81" s="9"/>
      <c r="V81" s="4"/>
      <c r="W81" s="4"/>
      <c r="X81" s="9"/>
      <c r="Y81" s="9"/>
      <c r="Z81" s="9" t="s">
        <v>330</v>
      </c>
      <c r="AA81" s="9"/>
      <c r="AB81" s="9"/>
      <c r="AC81" s="9"/>
      <c r="AD81" s="9"/>
      <c r="AE81" s="9"/>
    </row>
    <row r="82" spans="17:31" x14ac:dyDescent="0.25">
      <c r="Q82" s="9"/>
      <c r="R82" s="4"/>
      <c r="S82" s="16"/>
      <c r="T82" s="16"/>
      <c r="U82" s="9"/>
      <c r="V82" s="4"/>
      <c r="W82" s="4"/>
      <c r="X82" s="9"/>
      <c r="Y82" s="37" t="s">
        <v>325</v>
      </c>
      <c r="Z82" s="9">
        <f>Z77</f>
        <v>4220</v>
      </c>
      <c r="AA82" s="9"/>
      <c r="AB82" s="9"/>
      <c r="AC82" s="9"/>
      <c r="AD82" s="9"/>
      <c r="AE82" s="9"/>
    </row>
    <row r="83" spans="17:31" x14ac:dyDescent="0.25">
      <c r="R83" s="4"/>
      <c r="S83" s="16"/>
      <c r="T83" s="16"/>
      <c r="Y83" s="37" t="s">
        <v>326</v>
      </c>
      <c r="Z83" s="9">
        <f>Z82*1.18</f>
        <v>4979.5999999999995</v>
      </c>
      <c r="AA83" s="9"/>
      <c r="AB83" s="9"/>
      <c r="AC83" s="9"/>
      <c r="AD83" s="9"/>
      <c r="AE83" s="9"/>
    </row>
    <row r="84" spans="17:31" x14ac:dyDescent="0.25">
      <c r="T84" s="5"/>
      <c r="Y84" s="37" t="s">
        <v>327</v>
      </c>
      <c r="Z84" s="9">
        <f>Z82*1.25</f>
        <v>5275</v>
      </c>
      <c r="AA84" s="9"/>
      <c r="AB84" s="9"/>
      <c r="AC84" s="9"/>
      <c r="AD84" s="9"/>
      <c r="AE84" s="9"/>
    </row>
    <row r="85" spans="17:31" x14ac:dyDescent="0.25">
      <c r="T85" s="5"/>
      <c r="Y85" s="37" t="s">
        <v>328</v>
      </c>
      <c r="Z85" s="9">
        <f>Z82*0.85</f>
        <v>3587</v>
      </c>
      <c r="AA85" s="9"/>
      <c r="AB85" s="9"/>
      <c r="AC85" s="9"/>
      <c r="AD85" s="9"/>
      <c r="AE85" s="9"/>
    </row>
    <row r="86" spans="17:31" x14ac:dyDescent="0.25">
      <c r="T86" s="5"/>
      <c r="Y86" s="37" t="s">
        <v>307</v>
      </c>
      <c r="Z86" s="9" t="s">
        <v>329</v>
      </c>
      <c r="AA86" s="9"/>
      <c r="AB86" s="9"/>
      <c r="AC86" s="9"/>
      <c r="AD86" s="9"/>
      <c r="AE86" s="9"/>
    </row>
    <row r="87" spans="17:31" x14ac:dyDescent="0.25">
      <c r="T87" s="5"/>
      <c r="Y87" s="9"/>
      <c r="Z87" s="9"/>
      <c r="AA87" s="9"/>
      <c r="AB87" s="9"/>
      <c r="AC87" s="9"/>
      <c r="AD87" s="9"/>
      <c r="AE87" s="9"/>
    </row>
    <row r="88" spans="17:31" x14ac:dyDescent="0.25">
      <c r="T88" s="5"/>
      <c r="Y88" s="9"/>
      <c r="Z88" s="9"/>
      <c r="AA88" s="9"/>
      <c r="AB88" s="9"/>
      <c r="AC88" s="9"/>
      <c r="AD88" s="9"/>
      <c r="AE88" s="9"/>
    </row>
    <row r="89" spans="17:31" x14ac:dyDescent="0.25">
      <c r="T89" s="5"/>
      <c r="Y89" s="9"/>
      <c r="Z89" s="9"/>
      <c r="AA89" s="9"/>
      <c r="AB89" s="9"/>
      <c r="AC89" s="9"/>
      <c r="AD89" s="9"/>
      <c r="AE89" s="9"/>
    </row>
    <row r="90" spans="17:31" x14ac:dyDescent="0.25">
      <c r="T90" s="5"/>
      <c r="Y90" s="9"/>
      <c r="Z90" s="9"/>
      <c r="AA90" s="9"/>
      <c r="AB90" s="9"/>
      <c r="AC90" s="9"/>
      <c r="AD90" s="9"/>
      <c r="AE90" s="9"/>
    </row>
    <row r="91" spans="17:31" x14ac:dyDescent="0.25">
      <c r="T91" s="5"/>
      <c r="Y91" s="9"/>
      <c r="Z91" s="9"/>
      <c r="AA91" s="9"/>
      <c r="AB91" s="9"/>
      <c r="AC91" s="9"/>
      <c r="AD91" s="9"/>
      <c r="AE91" s="9"/>
    </row>
    <row r="92" spans="17:31" x14ac:dyDescent="0.25">
      <c r="T92" s="5"/>
    </row>
    <row r="93" spans="17:31" x14ac:dyDescent="0.25">
      <c r="T93" s="5"/>
    </row>
    <row r="94" spans="17:31" x14ac:dyDescent="0.25">
      <c r="T94" s="5"/>
    </row>
    <row r="95" spans="17:31" x14ac:dyDescent="0.25">
      <c r="T95" s="5"/>
    </row>
    <row r="96" spans="17:31" x14ac:dyDescent="0.25">
      <c r="T96" s="5"/>
    </row>
  </sheetData>
  <autoFilter ref="B6:AE73" xr:uid="{65FA6D9B-E0AF-46CD-BA0D-86BB75FE6AB0}"/>
  <hyperlinks>
    <hyperlink ref="P13" r:id="rId1" location="reisesok" xr:uid="{3E593D08-68AB-4910-9482-FF4057BEAA90}"/>
    <hyperlink ref="P18" r:id="rId2" xr:uid="{2FA19D95-1608-4951-8762-9AB704B51359}"/>
    <hyperlink ref="P19" r:id="rId3" xr:uid="{5076A244-0104-4FA1-BC0E-9C1C280ED10A}"/>
    <hyperlink ref="P27" r:id="rId4" xr:uid="{8DCCBA48-8276-4CC2-B9A0-33A69BF05F78}"/>
    <hyperlink ref="P29" r:id="rId5" xr:uid="{DA1E891A-D959-4AE0-A9A1-E45E40E9E32E}"/>
    <hyperlink ref="P34" r:id="rId6" xr:uid="{77B9FE71-B02F-4E4D-9657-31A0A9AD8C74}"/>
    <hyperlink ref="P45" r:id="rId7" xr:uid="{397F5639-01C9-4621-9F4D-D46952FBD794}"/>
    <hyperlink ref="P58" r:id="rId8" xr:uid="{88DE69AA-88BD-4E3D-ACAF-A9D66B2B91AF}"/>
    <hyperlink ref="P60" r:id="rId9" xr:uid="{606D84B9-EA17-4EEA-9CF2-812999BEFB3C}"/>
    <hyperlink ref="P61" r:id="rId10" xr:uid="{D54526D8-E6CC-4444-97F5-7A10421B469C}"/>
    <hyperlink ref="P43" r:id="rId11" xr:uid="{DD8E2C92-8D0C-469A-81B3-358EBA263AC2}"/>
    <hyperlink ref="P62" r:id="rId12" xr:uid="{C31886AB-50A4-4C85-845C-B9D3B0D5AF02}"/>
    <hyperlink ref="P63" r:id="rId13" xr:uid="{A6E6686D-0E8B-4677-ADA7-46B41D1AD12B}"/>
    <hyperlink ref="P31" r:id="rId14" xr:uid="{B41128D4-F306-4B12-8F91-658F58E1BE2F}"/>
  </hyperlinks>
  <pageMargins left="0.7" right="0.7" top="0.75" bottom="0.75" header="0.3" footer="0.3"/>
  <pageSetup paperSize="9" orientation="portrait"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D73BC-DD39-4C77-8F8C-30791DF96230}">
  <sheetPr>
    <tabColor rgb="FFFFFF00"/>
  </sheetPr>
  <dimension ref="B1:AK93"/>
  <sheetViews>
    <sheetView topLeftCell="A6" zoomScale="80" zoomScaleNormal="80" workbookViewId="0">
      <selection activeCell="W7" sqref="W7"/>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163</v>
      </c>
    </row>
    <row r="2" spans="2:36" x14ac:dyDescent="0.25">
      <c r="B2" s="2" t="s">
        <v>147</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33" si="0">+Q7*R7</f>
        <v>0</v>
      </c>
      <c r="T7" s="5">
        <v>0</v>
      </c>
      <c r="U7" s="12">
        <f t="shared" ref="U7:U33" si="1">S7*(1-T7)</f>
        <v>0</v>
      </c>
      <c r="V7" s="25" t="s">
        <v>10</v>
      </c>
      <c r="W7" s="11">
        <f>IFERROR(VLOOKUP(V7,Curr!$B$2:$C$13,2,FALSE),0)</f>
        <v>11.2</v>
      </c>
      <c r="X7" s="12">
        <f t="shared" ref="X7:X33" si="2">U7*W7</f>
        <v>0</v>
      </c>
      <c r="Y7" s="26">
        <f t="shared" ref="Y7:Y33" si="3">Q7</f>
        <v>0</v>
      </c>
      <c r="Z7" s="12">
        <f t="shared" ref="Z7:Z68" si="4">+Y7*R7</f>
        <v>0</v>
      </c>
      <c r="AA7" s="4" t="s">
        <v>10</v>
      </c>
      <c r="AB7" s="11">
        <f>IFERROR(VLOOKUP(AA7,Curr!$B$2:$C$13,2,FALSE),0)</f>
        <v>11.2</v>
      </c>
      <c r="AC7" s="12">
        <f t="shared" ref="AC7:AC68" si="5">+Y7*AB7*R7</f>
        <v>0</v>
      </c>
      <c r="AD7" s="12">
        <f t="shared" ref="AD7:AD68" si="6">+AC7-X7</f>
        <v>0</v>
      </c>
      <c r="AE7" s="13">
        <f t="shared" ref="AE7:AE68"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70</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Q9/0.85</f>
        <v>176.47058823529412</v>
      </c>
      <c r="Z9" s="12">
        <f t="shared" si="4"/>
        <v>176.47058823529412</v>
      </c>
      <c r="AA9" s="4" t="s">
        <v>10</v>
      </c>
      <c r="AB9" s="11">
        <f>IFERROR(VLOOKUP(AA9,Curr!$B$2:$C$13,2,FALSE),0)</f>
        <v>11.2</v>
      </c>
      <c r="AC9" s="12">
        <f t="shared" si="5"/>
        <v>1976.4705882352939</v>
      </c>
      <c r="AD9" s="12">
        <f t="shared" si="6"/>
        <v>296.47058823529392</v>
      </c>
      <c r="AE9" s="13">
        <f t="shared" si="7"/>
        <v>0.14999999999999991</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27"/>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66</v>
      </c>
      <c r="E13" s="3"/>
      <c r="F13" s="3"/>
      <c r="G13" s="24"/>
      <c r="H13" s="24"/>
      <c r="J13" s="1" t="s">
        <v>72</v>
      </c>
      <c r="K13" s="4"/>
      <c r="L13" s="4"/>
      <c r="M13" s="4"/>
      <c r="N13" s="4"/>
      <c r="O13" s="4" t="s">
        <v>42</v>
      </c>
      <c r="P13" s="33" t="s">
        <v>65</v>
      </c>
      <c r="Q13" s="25">
        <v>2400</v>
      </c>
      <c r="R13" s="25">
        <v>1</v>
      </c>
      <c r="S13" s="12">
        <f t="shared" si="0"/>
        <v>2400</v>
      </c>
      <c r="T13" s="5">
        <v>0</v>
      </c>
      <c r="U13" s="12">
        <f t="shared" si="1"/>
        <v>2400</v>
      </c>
      <c r="V13" s="25" t="s">
        <v>8</v>
      </c>
      <c r="W13" s="11">
        <f>IFERROR(VLOOKUP(V13,Curr!$B$2:$C$13,2,FALSE),0)</f>
        <v>1</v>
      </c>
      <c r="X13" s="12">
        <f t="shared" si="2"/>
        <v>2400</v>
      </c>
      <c r="Y13" s="26">
        <f>Q13/11.3/0.8</f>
        <v>265.48672566371675</v>
      </c>
      <c r="Z13" s="12">
        <f t="shared" si="4"/>
        <v>265.48672566371675</v>
      </c>
      <c r="AA13" s="4" t="s">
        <v>10</v>
      </c>
      <c r="AB13" s="11">
        <f>IFERROR(VLOOKUP(AA13,Curr!$B$2:$C$13,2,FALSE),0)</f>
        <v>11.2</v>
      </c>
      <c r="AC13" s="12">
        <f t="shared" si="5"/>
        <v>2973.4513274336273</v>
      </c>
      <c r="AD13" s="12">
        <f t="shared" si="6"/>
        <v>573.45132743362728</v>
      </c>
      <c r="AE13" s="13">
        <f t="shared" si="7"/>
        <v>0.19285714285714259</v>
      </c>
    </row>
    <row r="14" spans="2:36" x14ac:dyDescent="0.25">
      <c r="B14" s="4"/>
      <c r="C14" s="1" t="s">
        <v>63</v>
      </c>
      <c r="D14" s="1" t="s">
        <v>50</v>
      </c>
      <c r="E14" s="3"/>
      <c r="F14" s="3"/>
      <c r="G14" s="24"/>
      <c r="H14" s="24"/>
      <c r="J14" s="1" t="s">
        <v>67</v>
      </c>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ref="Y14:Y30" si="8">Q14</f>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71</v>
      </c>
      <c r="K15" s="4"/>
      <c r="L15" s="4"/>
      <c r="M15" s="4"/>
      <c r="N15" s="4"/>
      <c r="O15" s="4"/>
      <c r="P15" s="33"/>
      <c r="Q15" s="25">
        <v>280</v>
      </c>
      <c r="R15" s="25">
        <v>1</v>
      </c>
      <c r="S15" s="12">
        <f t="shared" si="0"/>
        <v>280</v>
      </c>
      <c r="T15" s="5">
        <v>0</v>
      </c>
      <c r="U15" s="12">
        <f t="shared" si="1"/>
        <v>280</v>
      </c>
      <c r="V15" s="25" t="s">
        <v>10</v>
      </c>
      <c r="W15" s="11">
        <f>IFERROR(VLOOKUP(V15,Curr!$B$2:$C$13,2,FALSE),0)</f>
        <v>11.2</v>
      </c>
      <c r="X15" s="12">
        <f t="shared" si="2"/>
        <v>3136</v>
      </c>
      <c r="Y15" s="26">
        <f>Q15/0.85</f>
        <v>329.41176470588238</v>
      </c>
      <c r="Z15" s="12">
        <f t="shared" si="4"/>
        <v>329.41176470588238</v>
      </c>
      <c r="AA15" s="4" t="s">
        <v>10</v>
      </c>
      <c r="AB15" s="11">
        <f>IFERROR(VLOOKUP(AA15,Curr!$B$2:$C$13,2,FALSE),0)</f>
        <v>11.2</v>
      </c>
      <c r="AC15" s="12">
        <f t="shared" si="5"/>
        <v>3689.4117647058824</v>
      </c>
      <c r="AD15" s="12">
        <f t="shared" si="6"/>
        <v>553.41176470588243</v>
      </c>
      <c r="AE15" s="13">
        <f t="shared" si="7"/>
        <v>0.15000000000000002</v>
      </c>
    </row>
    <row r="16" spans="2:36" x14ac:dyDescent="0.25">
      <c r="B16" s="4"/>
      <c r="C16" s="1" t="s">
        <v>63</v>
      </c>
      <c r="D16" s="1" t="s">
        <v>53</v>
      </c>
      <c r="E16" s="3"/>
      <c r="F16" s="3"/>
      <c r="G16" s="24"/>
      <c r="H16" s="24"/>
      <c r="J16" s="1" t="s">
        <v>68</v>
      </c>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8"/>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0"/>
        <v>0</v>
      </c>
      <c r="T17" s="5">
        <v>0</v>
      </c>
      <c r="U17" s="12">
        <f t="shared" si="1"/>
        <v>0</v>
      </c>
      <c r="V17" s="25" t="s">
        <v>10</v>
      </c>
      <c r="W17" s="11">
        <f>IFERROR(VLOOKUP(V17,Curr!$B$2:$C$13,2,FALSE),0)</f>
        <v>11.2</v>
      </c>
      <c r="X17" s="12">
        <f t="shared" si="2"/>
        <v>0</v>
      </c>
      <c r="Y17" s="26">
        <f t="shared" si="8"/>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0"/>
        <v>580</v>
      </c>
      <c r="T18" s="5">
        <v>0.2</v>
      </c>
      <c r="U18" s="12">
        <f t="shared" si="1"/>
        <v>464</v>
      </c>
      <c r="V18" s="25" t="s">
        <v>8</v>
      </c>
      <c r="W18" s="11">
        <f>IFERROR(VLOOKUP(V18,Curr!$B$2:$C$13,2,FALSE),0)</f>
        <v>1</v>
      </c>
      <c r="X18" s="12">
        <f t="shared" si="2"/>
        <v>464</v>
      </c>
      <c r="Y18" s="26">
        <f>Q18/11.3/0.64</f>
        <v>40.099557522123888</v>
      </c>
      <c r="Z18" s="12">
        <f t="shared" si="4"/>
        <v>80.199115044247776</v>
      </c>
      <c r="AA18" s="4" t="s">
        <v>10</v>
      </c>
      <c r="AB18" s="11">
        <f>IFERROR(VLOOKUP(AA18,Curr!$B$2:$C$13,2,FALSE),0)</f>
        <v>11.2</v>
      </c>
      <c r="AC18" s="12">
        <f t="shared" si="5"/>
        <v>898.23008849557505</v>
      </c>
      <c r="AD18" s="12">
        <f t="shared" si="6"/>
        <v>434.23008849557505</v>
      </c>
      <c r="AE18" s="13">
        <f t="shared" si="7"/>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0"/>
        <v>350</v>
      </c>
      <c r="T19" s="5">
        <v>0</v>
      </c>
      <c r="U19" s="12">
        <f t="shared" si="1"/>
        <v>350</v>
      </c>
      <c r="V19" s="25" t="s">
        <v>8</v>
      </c>
      <c r="W19" s="11">
        <f>IFERROR(VLOOKUP(V19,Curr!$B$2:$C$13,2,FALSE),0)</f>
        <v>1</v>
      </c>
      <c r="X19" s="12">
        <f t="shared" si="2"/>
        <v>350</v>
      </c>
      <c r="Y19" s="26">
        <f>Q19/11.3/0.5</f>
        <v>30.973451327433626</v>
      </c>
      <c r="Z19" s="12">
        <f t="shared" si="4"/>
        <v>61.946902654867252</v>
      </c>
      <c r="AA19" s="4" t="s">
        <v>10</v>
      </c>
      <c r="AB19" s="11">
        <f>IFERROR(VLOOKUP(AA19,Curr!$B$2:$C$13,2,FALSE),0)</f>
        <v>11.2</v>
      </c>
      <c r="AC19" s="12">
        <f t="shared" si="5"/>
        <v>693.80530973451323</v>
      </c>
      <c r="AD19" s="12">
        <f t="shared" si="6"/>
        <v>343.80530973451323</v>
      </c>
      <c r="AE19" s="13">
        <f t="shared" si="7"/>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si="8"/>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11.2</v>
      </c>
      <c r="X21" s="12">
        <f t="shared" si="2"/>
        <v>0</v>
      </c>
      <c r="Y21" s="26">
        <f t="shared" si="8"/>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50</v>
      </c>
      <c r="E22" s="3"/>
      <c r="F22" s="3"/>
      <c r="G22" s="24"/>
      <c r="H22" s="24"/>
      <c r="J22" s="1" t="s">
        <v>83</v>
      </c>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8"/>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79</v>
      </c>
      <c r="E23" s="3"/>
      <c r="F23" s="3"/>
      <c r="G23" s="24"/>
      <c r="H23" s="24"/>
      <c r="J23" s="1" t="s">
        <v>223</v>
      </c>
      <c r="K23" s="4"/>
      <c r="L23" s="4"/>
      <c r="M23" s="4"/>
      <c r="N23" s="4"/>
      <c r="O23" s="4" t="s">
        <v>42</v>
      </c>
      <c r="P23" s="33"/>
      <c r="Q23" s="25">
        <v>1800</v>
      </c>
      <c r="R23" s="25">
        <v>2</v>
      </c>
      <c r="S23" s="12">
        <f t="shared" si="0"/>
        <v>3600</v>
      </c>
      <c r="T23" s="5">
        <v>0</v>
      </c>
      <c r="U23" s="12">
        <f t="shared" si="1"/>
        <v>3600</v>
      </c>
      <c r="V23" s="25" t="s">
        <v>8</v>
      </c>
      <c r="W23" s="11">
        <f>IFERROR(VLOOKUP(V23,Curr!$B$2:$C$13,2,FALSE),0)</f>
        <v>1</v>
      </c>
      <c r="X23" s="12">
        <f t="shared" si="2"/>
        <v>3600</v>
      </c>
      <c r="Y23" s="26">
        <f>Q23/11.3/0.8</f>
        <v>199.11504424778758</v>
      </c>
      <c r="Z23" s="12">
        <f t="shared" si="4"/>
        <v>398.23008849557516</v>
      </c>
      <c r="AA23" s="4" t="s">
        <v>10</v>
      </c>
      <c r="AB23" s="11">
        <f>IFERROR(VLOOKUP(AA23,Curr!$B$2:$C$13,2,FALSE),0)</f>
        <v>11.2</v>
      </c>
      <c r="AC23" s="12">
        <f t="shared" si="5"/>
        <v>4460.1769911504416</v>
      </c>
      <c r="AD23" s="12">
        <f t="shared" si="6"/>
        <v>860.17699115044161</v>
      </c>
      <c r="AE23" s="13">
        <f t="shared" si="7"/>
        <v>0.1928571428571427</v>
      </c>
    </row>
    <row r="24" spans="2:31" x14ac:dyDescent="0.25">
      <c r="B24" s="4"/>
      <c r="C24" s="1" t="s">
        <v>78</v>
      </c>
      <c r="D24" s="1" t="s">
        <v>50</v>
      </c>
      <c r="E24" s="3"/>
      <c r="F24" s="3"/>
      <c r="G24" s="24"/>
      <c r="H24" s="24"/>
      <c r="J24" s="1" t="s">
        <v>84</v>
      </c>
      <c r="K24" s="4"/>
      <c r="L24" s="4"/>
      <c r="M24" s="4"/>
      <c r="N24" s="4"/>
      <c r="O24" s="4"/>
      <c r="P24" s="33"/>
      <c r="Q24" s="25">
        <v>0</v>
      </c>
      <c r="R24" s="25">
        <v>0</v>
      </c>
      <c r="S24" s="12">
        <f t="shared" si="0"/>
        <v>0</v>
      </c>
      <c r="T24" s="5">
        <v>0</v>
      </c>
      <c r="U24" s="12">
        <f t="shared" si="1"/>
        <v>0</v>
      </c>
      <c r="V24" s="25" t="s">
        <v>8</v>
      </c>
      <c r="W24" s="11">
        <f>IFERROR(VLOOKUP(V24,Curr!$B$2:$C$13,2,FALSE),0)</f>
        <v>1</v>
      </c>
      <c r="X24" s="12">
        <f t="shared" si="2"/>
        <v>0</v>
      </c>
      <c r="Y24" s="26">
        <f>Q24/11.3/0.8</f>
        <v>0</v>
      </c>
      <c r="Z24" s="12">
        <f t="shared" si="4"/>
        <v>0</v>
      </c>
      <c r="AA24" s="4" t="s">
        <v>10</v>
      </c>
      <c r="AB24" s="11">
        <f>IFERROR(VLOOKUP(AA24,Curr!$B$2:$C$13,2,FALSE),0)</f>
        <v>11.2</v>
      </c>
      <c r="AC24" s="12">
        <f t="shared" si="5"/>
        <v>0</v>
      </c>
      <c r="AD24" s="12">
        <f t="shared" si="6"/>
        <v>0</v>
      </c>
      <c r="AE24" s="13">
        <f t="shared" si="7"/>
        <v>0</v>
      </c>
    </row>
    <row r="25" spans="2:31" x14ac:dyDescent="0.25">
      <c r="B25" s="4"/>
      <c r="C25" s="1" t="s">
        <v>78</v>
      </c>
      <c r="D25" s="1" t="s">
        <v>52</v>
      </c>
      <c r="E25" s="3"/>
      <c r="F25" s="3"/>
      <c r="G25" s="24"/>
      <c r="H25" s="24"/>
      <c r="J25" s="1" t="s">
        <v>86</v>
      </c>
      <c r="K25" s="4"/>
      <c r="L25" s="4"/>
      <c r="M25" s="4"/>
      <c r="N25" s="4"/>
      <c r="O25" s="4"/>
      <c r="P25" s="33"/>
      <c r="Q25" s="25">
        <v>500</v>
      </c>
      <c r="R25" s="25">
        <v>1</v>
      </c>
      <c r="S25" s="12">
        <f t="shared" si="0"/>
        <v>500</v>
      </c>
      <c r="T25" s="5">
        <v>0</v>
      </c>
      <c r="U25" s="12">
        <f t="shared" si="1"/>
        <v>500</v>
      </c>
      <c r="V25" s="25" t="s">
        <v>10</v>
      </c>
      <c r="W25" s="11">
        <f>IFERROR(VLOOKUP(V25,Curr!$B$2:$C$13,2,FALSE),0)</f>
        <v>11.2</v>
      </c>
      <c r="X25" s="12">
        <f t="shared" si="2"/>
        <v>5600</v>
      </c>
      <c r="Y25" s="26">
        <f>Q25/0.85</f>
        <v>588.23529411764707</v>
      </c>
      <c r="Z25" s="12">
        <f t="shared" si="4"/>
        <v>588.23529411764707</v>
      </c>
      <c r="AA25" s="4" t="s">
        <v>10</v>
      </c>
      <c r="AB25" s="11">
        <f>IFERROR(VLOOKUP(AA25,Curr!$B$2:$C$13,2,FALSE),0)</f>
        <v>11.2</v>
      </c>
      <c r="AC25" s="12">
        <f t="shared" si="5"/>
        <v>6588.2352941176468</v>
      </c>
      <c r="AD25" s="12">
        <f t="shared" si="6"/>
        <v>988.23529411764684</v>
      </c>
      <c r="AE25" s="13">
        <f t="shared" si="7"/>
        <v>0.14999999999999997</v>
      </c>
    </row>
    <row r="26" spans="2:31" x14ac:dyDescent="0.25">
      <c r="B26" s="4"/>
      <c r="C26" s="1" t="s">
        <v>78</v>
      </c>
      <c r="D26" s="1" t="s">
        <v>53</v>
      </c>
      <c r="E26" s="3"/>
      <c r="F26" s="3"/>
      <c r="G26" s="24"/>
      <c r="H26" s="24"/>
      <c r="J26" s="1" t="s">
        <v>85</v>
      </c>
      <c r="K26" s="4"/>
      <c r="L26" s="4"/>
      <c r="M26" s="4"/>
      <c r="N26" s="4"/>
      <c r="O26" s="4"/>
      <c r="P26" s="33"/>
      <c r="Q26" s="25">
        <v>0</v>
      </c>
      <c r="R26" s="25">
        <v>0</v>
      </c>
      <c r="S26" s="12">
        <f t="shared" si="0"/>
        <v>0</v>
      </c>
      <c r="T26" s="5">
        <v>0</v>
      </c>
      <c r="U26" s="12">
        <f t="shared" si="1"/>
        <v>0</v>
      </c>
      <c r="V26" s="25" t="s">
        <v>10</v>
      </c>
      <c r="W26" s="11">
        <f>IFERROR(VLOOKUP(V26,Curr!$B$2:$C$13,2,FALSE),0)</f>
        <v>11.2</v>
      </c>
      <c r="X26" s="12">
        <f t="shared" si="2"/>
        <v>0</v>
      </c>
      <c r="Y26" s="26">
        <f t="shared" ref="Y26:Y27" si="9">Q26</f>
        <v>0</v>
      </c>
      <c r="Z26" s="12">
        <f t="shared" si="4"/>
        <v>0</v>
      </c>
      <c r="AA26" s="4" t="s">
        <v>10</v>
      </c>
      <c r="AB26" s="11">
        <f>IFERROR(VLOOKUP(AA26,Curr!$B$2:$C$13,2,FALSE),0)</f>
        <v>11.2</v>
      </c>
      <c r="AC26" s="12">
        <f t="shared" si="5"/>
        <v>0</v>
      </c>
      <c r="AD26" s="12">
        <f t="shared" si="6"/>
        <v>0</v>
      </c>
      <c r="AE26" s="13">
        <f t="shared" si="7"/>
        <v>0</v>
      </c>
    </row>
    <row r="27" spans="2:31" x14ac:dyDescent="0.25">
      <c r="B27" s="4"/>
      <c r="C27" s="1" t="s">
        <v>78</v>
      </c>
      <c r="D27" s="1" t="s">
        <v>73</v>
      </c>
      <c r="E27" s="3"/>
      <c r="F27" s="3"/>
      <c r="G27" s="24"/>
      <c r="H27" s="24"/>
      <c r="J27" s="1" t="s">
        <v>87</v>
      </c>
      <c r="K27" s="4"/>
      <c r="L27" s="4"/>
      <c r="M27" s="4"/>
      <c r="N27" s="4"/>
      <c r="O27" s="4" t="s">
        <v>42</v>
      </c>
      <c r="P27" s="33" t="s">
        <v>88</v>
      </c>
      <c r="Q27" s="25">
        <v>105</v>
      </c>
      <c r="R27" s="25">
        <v>2</v>
      </c>
      <c r="S27" s="12">
        <f t="shared" si="0"/>
        <v>210</v>
      </c>
      <c r="T27" s="5">
        <v>0.2</v>
      </c>
      <c r="U27" s="12">
        <f t="shared" si="1"/>
        <v>168</v>
      </c>
      <c r="V27" s="25" t="s">
        <v>10</v>
      </c>
      <c r="W27" s="11">
        <f>IFERROR(VLOOKUP(V27,Curr!$B$2:$C$13,2,FALSE),0)</f>
        <v>11.2</v>
      </c>
      <c r="X27" s="12">
        <f t="shared" si="2"/>
        <v>1881.6</v>
      </c>
      <c r="Y27" s="26">
        <f t="shared" si="9"/>
        <v>105</v>
      </c>
      <c r="Z27" s="12">
        <f t="shared" si="4"/>
        <v>210</v>
      </c>
      <c r="AA27" s="4" t="s">
        <v>10</v>
      </c>
      <c r="AB27" s="11">
        <f>IFERROR(VLOOKUP(AA27,Curr!$B$2:$C$13,2,FALSE),0)</f>
        <v>11.2</v>
      </c>
      <c r="AC27" s="12">
        <f t="shared" si="5"/>
        <v>2352</v>
      </c>
      <c r="AD27" s="12">
        <f t="shared" si="6"/>
        <v>470.40000000000009</v>
      </c>
      <c r="AE27" s="13">
        <f t="shared" si="7"/>
        <v>0.20000000000000004</v>
      </c>
    </row>
    <row r="28" spans="2:31" x14ac:dyDescent="0.25">
      <c r="B28" s="4"/>
      <c r="E28" s="3"/>
      <c r="F28" s="3"/>
      <c r="G28" s="24"/>
      <c r="H28" s="24"/>
      <c r="K28" s="4"/>
      <c r="L28" s="4"/>
      <c r="M28" s="4"/>
      <c r="N28" s="4"/>
      <c r="O28" s="4"/>
      <c r="P28" s="33"/>
      <c r="Q28" s="25"/>
      <c r="R28" s="25"/>
      <c r="S28" s="12">
        <f t="shared" si="0"/>
        <v>0</v>
      </c>
      <c r="T28" s="5">
        <v>0</v>
      </c>
      <c r="U28" s="12">
        <f t="shared" si="1"/>
        <v>0</v>
      </c>
      <c r="V28" s="25" t="s">
        <v>10</v>
      </c>
      <c r="W28" s="11">
        <f>IFERROR(VLOOKUP(V28,Curr!$B$2:$C$13,2,FALSE),0)</f>
        <v>11.2</v>
      </c>
      <c r="X28" s="12">
        <f t="shared" si="2"/>
        <v>0</v>
      </c>
      <c r="Y28" s="26">
        <f t="shared" si="8"/>
        <v>0</v>
      </c>
      <c r="Z28" s="12">
        <f t="shared" si="4"/>
        <v>0</v>
      </c>
      <c r="AA28" s="4" t="s">
        <v>10</v>
      </c>
      <c r="AB28" s="11">
        <f>IFERROR(VLOOKUP(AA28,Curr!$B$2:$C$13,2,FALSE),0)</f>
        <v>11.2</v>
      </c>
      <c r="AC28" s="12">
        <f t="shared" si="5"/>
        <v>0</v>
      </c>
      <c r="AD28" s="12">
        <f t="shared" si="6"/>
        <v>0</v>
      </c>
      <c r="AE28" s="13">
        <f t="shared" si="7"/>
        <v>0</v>
      </c>
    </row>
    <row r="29" spans="2:31" x14ac:dyDescent="0.25">
      <c r="B29" s="4"/>
      <c r="C29" s="1" t="s">
        <v>80</v>
      </c>
      <c r="D29" s="1" t="s">
        <v>73</v>
      </c>
      <c r="E29" s="3"/>
      <c r="F29" s="3"/>
      <c r="G29" s="24"/>
      <c r="H29" s="24"/>
      <c r="J29" s="1" t="s">
        <v>89</v>
      </c>
      <c r="K29" s="4"/>
      <c r="L29" s="4"/>
      <c r="M29" s="4"/>
      <c r="N29" s="4"/>
      <c r="O29" s="4" t="s">
        <v>42</v>
      </c>
      <c r="P29" s="33" t="s">
        <v>90</v>
      </c>
      <c r="Q29" s="25">
        <v>1695</v>
      </c>
      <c r="R29" s="25">
        <v>2</v>
      </c>
      <c r="S29" s="12">
        <f t="shared" si="0"/>
        <v>3390</v>
      </c>
      <c r="T29" s="5">
        <v>0.2</v>
      </c>
      <c r="U29" s="12">
        <f t="shared" si="1"/>
        <v>2712</v>
      </c>
      <c r="V29" s="25" t="s">
        <v>8</v>
      </c>
      <c r="W29" s="11">
        <f>IFERROR(VLOOKUP(V29,Curr!$B$2:$C$13,2,FALSE),0)</f>
        <v>1</v>
      </c>
      <c r="X29" s="12">
        <f t="shared" si="2"/>
        <v>2712</v>
      </c>
      <c r="Y29" s="26">
        <f>Q29/11.3</f>
        <v>150</v>
      </c>
      <c r="Z29" s="12">
        <f t="shared" si="4"/>
        <v>300</v>
      </c>
      <c r="AA29" s="4" t="s">
        <v>10</v>
      </c>
      <c r="AB29" s="11">
        <f>IFERROR(VLOOKUP(AA29,Curr!$B$2:$C$13,2,FALSE),0)</f>
        <v>11.2</v>
      </c>
      <c r="AC29" s="12">
        <f t="shared" si="5"/>
        <v>3360</v>
      </c>
      <c r="AD29" s="12">
        <f t="shared" si="6"/>
        <v>648</v>
      </c>
      <c r="AE29" s="13">
        <f t="shared" si="7"/>
        <v>0.19285714285714287</v>
      </c>
    </row>
    <row r="30" spans="2:31" x14ac:dyDescent="0.25">
      <c r="B30" s="4"/>
      <c r="C30" s="1" t="s">
        <v>80</v>
      </c>
      <c r="D30" s="1" t="s">
        <v>53</v>
      </c>
      <c r="E30" s="3"/>
      <c r="F30" s="3"/>
      <c r="G30" s="24"/>
      <c r="H30" s="24"/>
      <c r="J30" s="1" t="s">
        <v>85</v>
      </c>
      <c r="K30" s="4"/>
      <c r="L30" s="4"/>
      <c r="M30" s="4"/>
      <c r="N30" s="4"/>
      <c r="O30" s="4"/>
      <c r="P30" s="33"/>
      <c r="Q30" s="25">
        <v>0</v>
      </c>
      <c r="R30" s="25">
        <v>0</v>
      </c>
      <c r="S30" s="12">
        <f t="shared" si="0"/>
        <v>0</v>
      </c>
      <c r="T30" s="5">
        <v>0</v>
      </c>
      <c r="U30" s="12">
        <f t="shared" si="1"/>
        <v>0</v>
      </c>
      <c r="V30" s="25" t="s">
        <v>10</v>
      </c>
      <c r="W30" s="11">
        <f>IFERROR(VLOOKUP(V30,Curr!$B$2:$C$13,2,FALSE),0)</f>
        <v>11.2</v>
      </c>
      <c r="X30" s="12">
        <f t="shared" si="2"/>
        <v>0</v>
      </c>
      <c r="Y30" s="26">
        <f t="shared" si="8"/>
        <v>0</v>
      </c>
      <c r="Z30" s="12">
        <f t="shared" si="4"/>
        <v>0</v>
      </c>
      <c r="AA30" s="4" t="s">
        <v>10</v>
      </c>
      <c r="AB30" s="11">
        <f>IFERROR(VLOOKUP(AA30,Curr!$B$2:$C$13,2,FALSE),0)</f>
        <v>11.2</v>
      </c>
      <c r="AC30" s="12">
        <f t="shared" si="5"/>
        <v>0</v>
      </c>
      <c r="AD30" s="12">
        <f t="shared" si="6"/>
        <v>0</v>
      </c>
      <c r="AE30" s="13">
        <f t="shared" si="7"/>
        <v>0</v>
      </c>
    </row>
    <row r="31" spans="2:31" x14ac:dyDescent="0.25">
      <c r="B31" s="4"/>
      <c r="C31" s="1" t="s">
        <v>80</v>
      </c>
      <c r="D31" s="1" t="s">
        <v>73</v>
      </c>
      <c r="E31" s="3"/>
      <c r="F31" s="3"/>
      <c r="G31" s="24"/>
      <c r="H31" s="24"/>
      <c r="J31" s="1" t="s">
        <v>332</v>
      </c>
      <c r="K31" s="4"/>
      <c r="L31" s="4"/>
      <c r="M31" s="4"/>
      <c r="N31" s="4"/>
      <c r="O31" s="4" t="s">
        <v>42</v>
      </c>
      <c r="P31" s="33" t="s">
        <v>333</v>
      </c>
      <c r="Q31" s="25">
        <v>120</v>
      </c>
      <c r="R31" s="25">
        <v>2</v>
      </c>
      <c r="S31" s="12">
        <f t="shared" si="0"/>
        <v>240</v>
      </c>
      <c r="T31" s="5">
        <v>0.2</v>
      </c>
      <c r="U31" s="12">
        <f t="shared" si="1"/>
        <v>192</v>
      </c>
      <c r="V31" s="25" t="s">
        <v>10</v>
      </c>
      <c r="W31" s="11">
        <f>IFERROR(VLOOKUP(V31,Curr!$B$2:$C$13,2,FALSE),0)</f>
        <v>11.2</v>
      </c>
      <c r="X31" s="12">
        <f t="shared" si="2"/>
        <v>2150.3999999999996</v>
      </c>
      <c r="Y31" s="26">
        <f>Q31</f>
        <v>120</v>
      </c>
      <c r="Z31" s="12">
        <f t="shared" si="4"/>
        <v>240</v>
      </c>
      <c r="AA31" s="4" t="s">
        <v>10</v>
      </c>
      <c r="AB31" s="11">
        <f>IFERROR(VLOOKUP(AA31,Curr!$B$2:$C$13,2,FALSE),0)</f>
        <v>11.2</v>
      </c>
      <c r="AC31" s="12">
        <f t="shared" si="5"/>
        <v>2688</v>
      </c>
      <c r="AD31" s="12">
        <f t="shared" si="6"/>
        <v>537.60000000000036</v>
      </c>
      <c r="AE31" s="13">
        <f t="shared" si="7"/>
        <v>0.20000000000000012</v>
      </c>
    </row>
    <row r="32" spans="2:31" x14ac:dyDescent="0.25">
      <c r="B32" s="4"/>
      <c r="E32" s="3"/>
      <c r="F32" s="3"/>
      <c r="G32" s="24"/>
      <c r="H32" s="24"/>
      <c r="K32" s="4"/>
      <c r="L32" s="4"/>
      <c r="M32" s="4"/>
      <c r="N32" s="4"/>
      <c r="O32" s="4"/>
      <c r="P32" s="27"/>
      <c r="Q32" s="25"/>
      <c r="R32" s="25"/>
      <c r="S32" s="12">
        <f t="shared" si="0"/>
        <v>0</v>
      </c>
      <c r="T32" s="5">
        <v>0</v>
      </c>
      <c r="U32" s="12">
        <f t="shared" si="1"/>
        <v>0</v>
      </c>
      <c r="V32" s="25" t="s">
        <v>10</v>
      </c>
      <c r="W32" s="11">
        <f>IFERROR(VLOOKUP(V32,Curr!$B$2:$C$13,2,FALSE),0)</f>
        <v>11.2</v>
      </c>
      <c r="X32" s="12">
        <f t="shared" si="2"/>
        <v>0</v>
      </c>
      <c r="Y32" s="26">
        <f t="shared" si="3"/>
        <v>0</v>
      </c>
      <c r="Z32" s="12">
        <f t="shared" si="4"/>
        <v>0</v>
      </c>
      <c r="AA32" s="4" t="s">
        <v>10</v>
      </c>
      <c r="AB32" s="11">
        <f>IFERROR(VLOOKUP(AA32,Curr!$B$2:$C$13,2,FALSE),0)</f>
        <v>11.2</v>
      </c>
      <c r="AC32" s="12">
        <f t="shared" si="5"/>
        <v>0</v>
      </c>
      <c r="AD32" s="12">
        <f t="shared" si="6"/>
        <v>0</v>
      </c>
      <c r="AE32" s="13">
        <f t="shared" si="7"/>
        <v>0</v>
      </c>
    </row>
    <row r="33" spans="2:31" x14ac:dyDescent="0.25">
      <c r="B33" s="4"/>
      <c r="C33" s="1" t="s">
        <v>81</v>
      </c>
      <c r="D33" s="1" t="s">
        <v>53</v>
      </c>
      <c r="E33" s="3"/>
      <c r="F33" s="3"/>
      <c r="G33" s="24"/>
      <c r="H33" s="24"/>
      <c r="J33" s="1" t="s">
        <v>85</v>
      </c>
      <c r="K33" s="4"/>
      <c r="L33" s="4"/>
      <c r="M33" s="4"/>
      <c r="N33" s="4"/>
      <c r="O33" s="4"/>
      <c r="P33" s="27"/>
      <c r="Q33" s="25">
        <v>0</v>
      </c>
      <c r="R33" s="25">
        <v>0</v>
      </c>
      <c r="S33" s="12">
        <f t="shared" si="0"/>
        <v>0</v>
      </c>
      <c r="T33" s="5">
        <v>0</v>
      </c>
      <c r="U33" s="12">
        <f t="shared" si="1"/>
        <v>0</v>
      </c>
      <c r="V33" s="25" t="s">
        <v>10</v>
      </c>
      <c r="W33" s="11">
        <f>IFERROR(VLOOKUP(V33,Curr!$B$2:$C$13,2,FALSE),0)</f>
        <v>11.2</v>
      </c>
      <c r="X33" s="12">
        <f t="shared" si="2"/>
        <v>0</v>
      </c>
      <c r="Y33" s="26">
        <f t="shared" si="3"/>
        <v>0</v>
      </c>
      <c r="Z33" s="12">
        <f t="shared" si="4"/>
        <v>0</v>
      </c>
      <c r="AA33" s="4" t="s">
        <v>10</v>
      </c>
      <c r="AB33" s="11">
        <f>IFERROR(VLOOKUP(AA33,Curr!$B$2:$C$13,2,FALSE),0)</f>
        <v>11.2</v>
      </c>
      <c r="AC33" s="12">
        <f t="shared" si="5"/>
        <v>0</v>
      </c>
      <c r="AD33" s="12">
        <f t="shared" si="6"/>
        <v>0</v>
      </c>
      <c r="AE33" s="13">
        <f t="shared" si="7"/>
        <v>0</v>
      </c>
    </row>
    <row r="34" spans="2:31" x14ac:dyDescent="0.25">
      <c r="B34" s="4"/>
      <c r="C34" s="1" t="s">
        <v>81</v>
      </c>
      <c r="D34" s="1" t="s">
        <v>50</v>
      </c>
      <c r="E34" s="3"/>
      <c r="F34" s="3"/>
      <c r="G34" s="24"/>
      <c r="H34" s="24"/>
      <c r="J34" s="1" t="s">
        <v>148</v>
      </c>
      <c r="K34" s="4"/>
      <c r="L34" s="4"/>
      <c r="M34" s="4"/>
      <c r="N34" s="4"/>
      <c r="O34" s="4"/>
      <c r="P34" s="33"/>
      <c r="Q34" s="25">
        <v>0</v>
      </c>
      <c r="R34" s="25">
        <v>0</v>
      </c>
      <c r="S34" s="12">
        <f t="shared" ref="S34:S68" si="10">+Q34*R34</f>
        <v>0</v>
      </c>
      <c r="T34" s="5">
        <v>0</v>
      </c>
      <c r="U34" s="12">
        <f t="shared" ref="U34:U68" si="11">S34*(1-T34)</f>
        <v>0</v>
      </c>
      <c r="V34" s="25" t="s">
        <v>10</v>
      </c>
      <c r="W34" s="11">
        <f>IFERROR(VLOOKUP(V34,Curr!$B$2:$C$13,2,FALSE),0)</f>
        <v>11.2</v>
      </c>
      <c r="X34" s="12">
        <f t="shared" ref="X34:X68" si="12">U34*W34</f>
        <v>0</v>
      </c>
      <c r="Y34" s="26">
        <f t="shared" ref="Y34:Y68" si="13">Q34</f>
        <v>0</v>
      </c>
      <c r="Z34" s="12">
        <f t="shared" si="4"/>
        <v>0</v>
      </c>
      <c r="AA34" s="4" t="s">
        <v>10</v>
      </c>
      <c r="AB34" s="11">
        <f>IFERROR(VLOOKUP(AA34,Curr!$B$2:$C$13,2,FALSE),0)</f>
        <v>11.2</v>
      </c>
      <c r="AC34" s="12">
        <f t="shared" si="5"/>
        <v>0</v>
      </c>
      <c r="AD34" s="12">
        <f t="shared" si="6"/>
        <v>0</v>
      </c>
      <c r="AE34" s="13">
        <f t="shared" si="7"/>
        <v>0</v>
      </c>
    </row>
    <row r="35" spans="2:31" x14ac:dyDescent="0.25">
      <c r="B35" s="4"/>
      <c r="C35" s="1" t="s">
        <v>81</v>
      </c>
      <c r="D35" s="1" t="s">
        <v>129</v>
      </c>
      <c r="E35" s="3"/>
      <c r="F35" s="3"/>
      <c r="G35" s="24"/>
      <c r="H35" s="24"/>
      <c r="J35" s="1" t="s">
        <v>130</v>
      </c>
      <c r="K35" s="4"/>
      <c r="L35" s="4"/>
      <c r="M35" s="4"/>
      <c r="N35" s="4"/>
      <c r="O35" s="4"/>
      <c r="P35" s="33"/>
      <c r="Q35" s="25">
        <v>0</v>
      </c>
      <c r="R35" s="25">
        <v>0</v>
      </c>
      <c r="S35" s="12">
        <f t="shared" si="10"/>
        <v>0</v>
      </c>
      <c r="T35" s="5">
        <v>0</v>
      </c>
      <c r="U35" s="12">
        <f t="shared" si="11"/>
        <v>0</v>
      </c>
      <c r="V35" s="25" t="s">
        <v>10</v>
      </c>
      <c r="W35" s="11">
        <f>IFERROR(VLOOKUP(V35,Curr!$B$2:$C$13,2,FALSE),0)</f>
        <v>11.2</v>
      </c>
      <c r="X35" s="12">
        <f t="shared" si="12"/>
        <v>0</v>
      </c>
      <c r="Y35" s="26">
        <f t="shared" si="13"/>
        <v>0</v>
      </c>
      <c r="Z35" s="12">
        <f t="shared" si="4"/>
        <v>0</v>
      </c>
      <c r="AA35" s="4" t="s">
        <v>10</v>
      </c>
      <c r="AB35" s="11">
        <f>IFERROR(VLOOKUP(AA35,Curr!$B$2:$C$13,2,FALSE),0)</f>
        <v>11.2</v>
      </c>
      <c r="AC35" s="12">
        <f t="shared" si="5"/>
        <v>0</v>
      </c>
      <c r="AD35" s="12">
        <f t="shared" si="6"/>
        <v>0</v>
      </c>
      <c r="AE35" s="13">
        <f t="shared" si="7"/>
        <v>0</v>
      </c>
    </row>
    <row r="36" spans="2:31" x14ac:dyDescent="0.25">
      <c r="B36" s="4"/>
      <c r="C36" s="1" t="s">
        <v>81</v>
      </c>
      <c r="D36" s="1" t="s">
        <v>50</v>
      </c>
      <c r="E36" s="3"/>
      <c r="F36" s="3"/>
      <c r="G36" s="24"/>
      <c r="H36" s="24"/>
      <c r="J36" s="1" t="s">
        <v>131</v>
      </c>
      <c r="K36" s="4"/>
      <c r="L36" s="4"/>
      <c r="M36" s="4"/>
      <c r="N36" s="4"/>
      <c r="O36" s="4"/>
      <c r="P36" s="33"/>
      <c r="Q36" s="25">
        <v>0</v>
      </c>
      <c r="R36" s="25">
        <v>0</v>
      </c>
      <c r="S36" s="12">
        <f t="shared" si="10"/>
        <v>0</v>
      </c>
      <c r="T36" s="5">
        <v>0</v>
      </c>
      <c r="U36" s="12">
        <f t="shared" si="11"/>
        <v>0</v>
      </c>
      <c r="V36" s="25" t="s">
        <v>10</v>
      </c>
      <c r="W36" s="11">
        <f>IFERROR(VLOOKUP(V36,Curr!$B$2:$C$13,2,FALSE),0)</f>
        <v>11.2</v>
      </c>
      <c r="X36" s="12">
        <f t="shared" si="12"/>
        <v>0</v>
      </c>
      <c r="Y36" s="26">
        <f t="shared" si="13"/>
        <v>0</v>
      </c>
      <c r="Z36" s="12">
        <f t="shared" si="4"/>
        <v>0</v>
      </c>
      <c r="AA36" s="4" t="s">
        <v>10</v>
      </c>
      <c r="AB36" s="11">
        <f>IFERROR(VLOOKUP(AA36,Curr!$B$2:$C$13,2,FALSE),0)</f>
        <v>11.2</v>
      </c>
      <c r="AC36" s="12">
        <f t="shared" si="5"/>
        <v>0</v>
      </c>
      <c r="AD36" s="12">
        <f t="shared" si="6"/>
        <v>0</v>
      </c>
      <c r="AE36" s="13">
        <f t="shared" si="7"/>
        <v>0</v>
      </c>
    </row>
    <row r="37" spans="2:31" x14ac:dyDescent="0.25">
      <c r="B37" s="4"/>
      <c r="C37" s="1" t="s">
        <v>81</v>
      </c>
      <c r="D37" s="1" t="s">
        <v>52</v>
      </c>
      <c r="E37" s="3"/>
      <c r="F37" s="3"/>
      <c r="G37" s="24"/>
      <c r="H37" s="24"/>
      <c r="J37" s="1" t="s">
        <v>132</v>
      </c>
      <c r="K37" s="4"/>
      <c r="L37" s="4"/>
      <c r="M37" s="4"/>
      <c r="N37" s="4"/>
      <c r="O37" s="4"/>
      <c r="P37" s="33"/>
      <c r="Q37" s="25">
        <v>280</v>
      </c>
      <c r="R37" s="25">
        <v>1</v>
      </c>
      <c r="S37" s="12">
        <f t="shared" si="10"/>
        <v>280</v>
      </c>
      <c r="T37" s="5">
        <v>0</v>
      </c>
      <c r="U37" s="12">
        <f t="shared" si="11"/>
        <v>280</v>
      </c>
      <c r="V37" s="25" t="s">
        <v>10</v>
      </c>
      <c r="W37" s="11">
        <f>IFERROR(VLOOKUP(V37,Curr!$B$2:$C$13,2,FALSE),0)</f>
        <v>11.2</v>
      </c>
      <c r="X37" s="12">
        <f t="shared" si="12"/>
        <v>3136</v>
      </c>
      <c r="Y37" s="26">
        <f>Q37/0.85</f>
        <v>329.41176470588238</v>
      </c>
      <c r="Z37" s="12">
        <f t="shared" si="4"/>
        <v>329.41176470588238</v>
      </c>
      <c r="AA37" s="4" t="s">
        <v>10</v>
      </c>
      <c r="AB37" s="11">
        <f>IFERROR(VLOOKUP(AA37,Curr!$B$2:$C$13,2,FALSE),0)</f>
        <v>11.2</v>
      </c>
      <c r="AC37" s="12">
        <f t="shared" si="5"/>
        <v>3689.4117647058824</v>
      </c>
      <c r="AD37" s="12">
        <f t="shared" si="6"/>
        <v>553.41176470588243</v>
      </c>
      <c r="AE37" s="13">
        <f t="shared" si="7"/>
        <v>0.15000000000000002</v>
      </c>
    </row>
    <row r="38" spans="2:31" x14ac:dyDescent="0.25">
      <c r="B38" s="4"/>
      <c r="C38" s="1" t="s">
        <v>81</v>
      </c>
      <c r="D38" s="1" t="s">
        <v>53</v>
      </c>
      <c r="E38" s="3"/>
      <c r="F38" s="3"/>
      <c r="G38" s="24"/>
      <c r="H38" s="24"/>
      <c r="J38" s="1" t="s">
        <v>133</v>
      </c>
      <c r="K38" s="4"/>
      <c r="L38" s="4"/>
      <c r="M38" s="4"/>
      <c r="N38" s="4"/>
      <c r="O38" s="4"/>
      <c r="P38" s="33"/>
      <c r="Q38" s="25">
        <v>0</v>
      </c>
      <c r="R38" s="25">
        <v>0</v>
      </c>
      <c r="S38" s="12">
        <f t="shared" si="10"/>
        <v>0</v>
      </c>
      <c r="T38" s="5">
        <v>0</v>
      </c>
      <c r="U38" s="12">
        <f t="shared" si="11"/>
        <v>0</v>
      </c>
      <c r="V38" s="25" t="s">
        <v>10</v>
      </c>
      <c r="W38" s="11">
        <f>IFERROR(VLOOKUP(V38,Curr!$B$2:$C$13,2,FALSE),0)</f>
        <v>11.2</v>
      </c>
      <c r="X38" s="12">
        <f t="shared" si="12"/>
        <v>0</v>
      </c>
      <c r="Y38" s="26">
        <f t="shared" si="13"/>
        <v>0</v>
      </c>
      <c r="Z38" s="12">
        <f t="shared" si="4"/>
        <v>0</v>
      </c>
      <c r="AA38" s="4" t="s">
        <v>10</v>
      </c>
      <c r="AB38" s="11">
        <f>IFERROR(VLOOKUP(AA38,Curr!$B$2:$C$13,2,FALSE),0)</f>
        <v>11.2</v>
      </c>
      <c r="AC38" s="12">
        <f t="shared" si="5"/>
        <v>0</v>
      </c>
      <c r="AD38" s="12">
        <f t="shared" si="6"/>
        <v>0</v>
      </c>
      <c r="AE38" s="13">
        <f t="shared" si="7"/>
        <v>0</v>
      </c>
    </row>
    <row r="39" spans="2:31" x14ac:dyDescent="0.25">
      <c r="B39" s="4"/>
      <c r="E39" s="3"/>
      <c r="F39" s="3"/>
      <c r="G39" s="24"/>
      <c r="H39" s="24"/>
      <c r="K39" s="4"/>
      <c r="L39" s="4"/>
      <c r="M39" s="4"/>
      <c r="N39" s="4"/>
      <c r="O39" s="4"/>
      <c r="P39" s="27"/>
      <c r="Q39" s="25"/>
      <c r="R39" s="25"/>
      <c r="S39" s="12">
        <f t="shared" si="10"/>
        <v>0</v>
      </c>
      <c r="T39" s="5">
        <v>0</v>
      </c>
      <c r="U39" s="12">
        <f t="shared" si="11"/>
        <v>0</v>
      </c>
      <c r="V39" s="25" t="s">
        <v>10</v>
      </c>
      <c r="W39" s="11">
        <f>IFERROR(VLOOKUP(V39,Curr!$B$2:$C$13,2,FALSE),0)</f>
        <v>11.2</v>
      </c>
      <c r="X39" s="12">
        <f t="shared" si="12"/>
        <v>0</v>
      </c>
      <c r="Y39" s="26">
        <f t="shared" si="13"/>
        <v>0</v>
      </c>
      <c r="Z39" s="12">
        <f t="shared" si="4"/>
        <v>0</v>
      </c>
      <c r="AA39" s="4" t="s">
        <v>10</v>
      </c>
      <c r="AB39" s="11">
        <f>IFERROR(VLOOKUP(AA39,Curr!$B$2:$C$13,2,FALSE),0)</f>
        <v>11.2</v>
      </c>
      <c r="AC39" s="12">
        <f t="shared" si="5"/>
        <v>0</v>
      </c>
      <c r="AD39" s="12">
        <f t="shared" si="6"/>
        <v>0</v>
      </c>
      <c r="AE39" s="13">
        <f t="shared" si="7"/>
        <v>0</v>
      </c>
    </row>
    <row r="40" spans="2:31" x14ac:dyDescent="0.25">
      <c r="B40" s="4"/>
      <c r="C40" s="1" t="s">
        <v>114</v>
      </c>
      <c r="D40" s="1" t="s">
        <v>73</v>
      </c>
      <c r="E40" s="3"/>
      <c r="F40" s="3"/>
      <c r="G40" s="24"/>
      <c r="H40" s="24"/>
      <c r="J40" s="1" t="s">
        <v>142</v>
      </c>
      <c r="K40" s="4"/>
      <c r="L40" s="4"/>
      <c r="M40" s="4"/>
      <c r="N40" s="4"/>
      <c r="O40" s="4" t="s">
        <v>42</v>
      </c>
      <c r="P40" s="33" t="s">
        <v>143</v>
      </c>
      <c r="Q40" s="25">
        <v>34</v>
      </c>
      <c r="R40" s="25">
        <v>2</v>
      </c>
      <c r="S40" s="12">
        <f t="shared" si="10"/>
        <v>68</v>
      </c>
      <c r="T40" s="5">
        <v>0.15</v>
      </c>
      <c r="U40" s="12">
        <f t="shared" si="11"/>
        <v>57.8</v>
      </c>
      <c r="V40" s="25" t="s">
        <v>10</v>
      </c>
      <c r="W40" s="11">
        <f>IFERROR(VLOOKUP(V40,Curr!$B$2:$C$13,2,FALSE),0)</f>
        <v>11.2</v>
      </c>
      <c r="X40" s="12">
        <f t="shared" si="12"/>
        <v>647.3599999999999</v>
      </c>
      <c r="Y40" s="26">
        <f t="shared" si="13"/>
        <v>34</v>
      </c>
      <c r="Z40" s="12">
        <f t="shared" si="4"/>
        <v>68</v>
      </c>
      <c r="AA40" s="4" t="s">
        <v>10</v>
      </c>
      <c r="AB40" s="11">
        <f>IFERROR(VLOOKUP(AA40,Curr!$B$2:$C$13,2,FALSE),0)</f>
        <v>11.2</v>
      </c>
      <c r="AC40" s="12">
        <f t="shared" si="5"/>
        <v>761.59999999999991</v>
      </c>
      <c r="AD40" s="12">
        <f t="shared" si="6"/>
        <v>114.24000000000001</v>
      </c>
      <c r="AE40" s="13">
        <f t="shared" si="7"/>
        <v>0.15000000000000002</v>
      </c>
    </row>
    <row r="41" spans="2:31" x14ac:dyDescent="0.25">
      <c r="B41" s="4"/>
      <c r="C41" s="1" t="s">
        <v>114</v>
      </c>
      <c r="D41" s="1" t="s">
        <v>53</v>
      </c>
      <c r="E41" s="3"/>
      <c r="F41" s="3"/>
      <c r="G41" s="24"/>
      <c r="H41" s="24"/>
      <c r="J41" s="1" t="s">
        <v>133</v>
      </c>
      <c r="K41" s="4"/>
      <c r="L41" s="4"/>
      <c r="M41" s="4"/>
      <c r="N41" s="4"/>
      <c r="O41" s="4"/>
      <c r="P41" s="27"/>
      <c r="Q41" s="25">
        <v>0</v>
      </c>
      <c r="R41" s="25">
        <v>0</v>
      </c>
      <c r="S41" s="12">
        <f t="shared" si="10"/>
        <v>0</v>
      </c>
      <c r="T41" s="5">
        <v>0</v>
      </c>
      <c r="U41" s="12">
        <f t="shared" si="11"/>
        <v>0</v>
      </c>
      <c r="V41" s="25" t="s">
        <v>10</v>
      </c>
      <c r="W41" s="11">
        <f>IFERROR(VLOOKUP(V41,Curr!$B$2:$C$13,2,FALSE),0)</f>
        <v>11.2</v>
      </c>
      <c r="X41" s="12">
        <f t="shared" si="12"/>
        <v>0</v>
      </c>
      <c r="Y41" s="26">
        <f t="shared" si="13"/>
        <v>0</v>
      </c>
      <c r="Z41" s="12">
        <f t="shared" si="4"/>
        <v>0</v>
      </c>
      <c r="AA41" s="4" t="s">
        <v>10</v>
      </c>
      <c r="AB41" s="11">
        <f>IFERROR(VLOOKUP(AA41,Curr!$B$2:$C$13,2,FALSE),0)</f>
        <v>11.2</v>
      </c>
      <c r="AC41" s="12">
        <f t="shared" si="5"/>
        <v>0</v>
      </c>
      <c r="AD41" s="12">
        <f t="shared" si="6"/>
        <v>0</v>
      </c>
      <c r="AE41" s="13">
        <f t="shared" si="7"/>
        <v>0</v>
      </c>
    </row>
    <row r="42" spans="2:31" x14ac:dyDescent="0.25">
      <c r="B42" s="4"/>
      <c r="C42" s="1" t="s">
        <v>114</v>
      </c>
      <c r="D42" s="1" t="s">
        <v>73</v>
      </c>
      <c r="E42" s="3"/>
      <c r="F42" s="3"/>
      <c r="G42" s="24"/>
      <c r="H42" s="24"/>
      <c r="J42" s="1" t="s">
        <v>136</v>
      </c>
      <c r="K42" s="4"/>
      <c r="L42" s="4"/>
      <c r="M42" s="4"/>
      <c r="N42" s="4"/>
      <c r="O42" s="4" t="s">
        <v>42</v>
      </c>
      <c r="P42" s="33" t="s">
        <v>137</v>
      </c>
      <c r="Q42" s="25">
        <v>2290</v>
      </c>
      <c r="R42" s="25">
        <v>2</v>
      </c>
      <c r="S42" s="12">
        <f t="shared" si="10"/>
        <v>4580</v>
      </c>
      <c r="T42" s="5">
        <v>0.15</v>
      </c>
      <c r="U42" s="12">
        <f t="shared" si="11"/>
        <v>3893</v>
      </c>
      <c r="V42" s="25" t="s">
        <v>8</v>
      </c>
      <c r="W42" s="11">
        <f>IFERROR(VLOOKUP(V42,Curr!$B$2:$C$13,2,FALSE),0)</f>
        <v>1</v>
      </c>
      <c r="X42" s="12">
        <f t="shared" si="12"/>
        <v>3893</v>
      </c>
      <c r="Y42" s="26">
        <f>Q42/11.3</f>
        <v>202.65486725663715</v>
      </c>
      <c r="Z42" s="12">
        <f t="shared" si="4"/>
        <v>405.30973451327429</v>
      </c>
      <c r="AA42" s="4" t="s">
        <v>10</v>
      </c>
      <c r="AB42" s="11">
        <f>IFERROR(VLOOKUP(AA42,Curr!$B$2:$C$13,2,FALSE),0)</f>
        <v>11.2</v>
      </c>
      <c r="AC42" s="12">
        <f t="shared" si="5"/>
        <v>4539.4690265486715</v>
      </c>
      <c r="AD42" s="12">
        <f t="shared" si="6"/>
        <v>646.46902654867154</v>
      </c>
      <c r="AE42" s="13">
        <f t="shared" si="7"/>
        <v>0.14241071428571409</v>
      </c>
    </row>
    <row r="43" spans="2:31" x14ac:dyDescent="0.25">
      <c r="B43" s="4"/>
      <c r="E43" s="3"/>
      <c r="F43" s="3"/>
      <c r="G43" s="24"/>
      <c r="H43" s="24"/>
      <c r="K43" s="4"/>
      <c r="L43" s="4"/>
      <c r="M43" s="4"/>
      <c r="N43" s="4"/>
      <c r="O43" s="4"/>
      <c r="P43" s="27"/>
      <c r="Q43" s="25"/>
      <c r="R43" s="25"/>
      <c r="S43" s="12">
        <f t="shared" si="10"/>
        <v>0</v>
      </c>
      <c r="T43" s="5">
        <v>0</v>
      </c>
      <c r="U43" s="12">
        <f t="shared" si="11"/>
        <v>0</v>
      </c>
      <c r="V43" s="25" t="s">
        <v>10</v>
      </c>
      <c r="W43" s="11">
        <f>IFERROR(VLOOKUP(V43,Curr!$B$2:$C$13,2,FALSE),0)</f>
        <v>11.2</v>
      </c>
      <c r="X43" s="12">
        <f t="shared" si="12"/>
        <v>0</v>
      </c>
      <c r="Y43" s="26">
        <f t="shared" si="13"/>
        <v>0</v>
      </c>
      <c r="Z43" s="12">
        <f t="shared" si="4"/>
        <v>0</v>
      </c>
      <c r="AA43" s="4" t="s">
        <v>10</v>
      </c>
      <c r="AB43" s="11">
        <f>IFERROR(VLOOKUP(AA43,Curr!$B$2:$C$13,2,FALSE),0)</f>
        <v>11.2</v>
      </c>
      <c r="AC43" s="12">
        <f t="shared" si="5"/>
        <v>0</v>
      </c>
      <c r="AD43" s="12">
        <f t="shared" si="6"/>
        <v>0</v>
      </c>
      <c r="AE43" s="13">
        <f t="shared" si="7"/>
        <v>0</v>
      </c>
    </row>
    <row r="44" spans="2:31" x14ac:dyDescent="0.25">
      <c r="B44" s="4"/>
      <c r="C44" s="1" t="s">
        <v>115</v>
      </c>
      <c r="D44" s="1" t="s">
        <v>50</v>
      </c>
      <c r="E44" s="3"/>
      <c r="F44" s="3"/>
      <c r="G44" s="24"/>
      <c r="H44" s="24"/>
      <c r="J44" s="1" t="s">
        <v>139</v>
      </c>
      <c r="K44" s="4"/>
      <c r="L44" s="4"/>
      <c r="M44" s="4"/>
      <c r="N44" s="4"/>
      <c r="O44" s="4"/>
      <c r="P44" s="27"/>
      <c r="Q44" s="25">
        <v>0</v>
      </c>
      <c r="R44" s="25">
        <v>0</v>
      </c>
      <c r="S44" s="12">
        <f t="shared" si="10"/>
        <v>0</v>
      </c>
      <c r="T44" s="5">
        <v>0</v>
      </c>
      <c r="U44" s="12">
        <f t="shared" si="11"/>
        <v>0</v>
      </c>
      <c r="V44" s="25" t="s">
        <v>10</v>
      </c>
      <c r="W44" s="11">
        <f>IFERROR(VLOOKUP(V44,Curr!$B$2:$C$13,2,FALSE),0)</f>
        <v>11.2</v>
      </c>
      <c r="X44" s="12">
        <f t="shared" si="12"/>
        <v>0</v>
      </c>
      <c r="Y44" s="26">
        <f t="shared" si="13"/>
        <v>0</v>
      </c>
      <c r="Z44" s="12">
        <f t="shared" si="4"/>
        <v>0</v>
      </c>
      <c r="AA44" s="4" t="s">
        <v>10</v>
      </c>
      <c r="AB44" s="11">
        <f>IFERROR(VLOOKUP(AA44,Curr!$B$2:$C$13,2,FALSE),0)</f>
        <v>11.2</v>
      </c>
      <c r="AC44" s="12">
        <f t="shared" si="5"/>
        <v>0</v>
      </c>
      <c r="AD44" s="12">
        <f t="shared" si="6"/>
        <v>0</v>
      </c>
      <c r="AE44" s="13">
        <f t="shared" si="7"/>
        <v>0</v>
      </c>
    </row>
    <row r="45" spans="2:31" x14ac:dyDescent="0.25">
      <c r="B45" s="4"/>
      <c r="C45" s="1" t="s">
        <v>115</v>
      </c>
      <c r="D45" s="1" t="s">
        <v>82</v>
      </c>
      <c r="E45" s="3"/>
      <c r="F45" s="3"/>
      <c r="G45" s="24"/>
      <c r="H45" s="24"/>
      <c r="J45" s="1" t="s">
        <v>140</v>
      </c>
      <c r="K45" s="4"/>
      <c r="L45" s="4"/>
      <c r="M45" s="4"/>
      <c r="N45" s="4"/>
      <c r="O45" s="4"/>
      <c r="P45" s="27"/>
      <c r="Q45" s="25">
        <v>0</v>
      </c>
      <c r="R45" s="25">
        <v>0</v>
      </c>
      <c r="S45" s="12">
        <f t="shared" si="10"/>
        <v>0</v>
      </c>
      <c r="T45" s="5">
        <v>0</v>
      </c>
      <c r="U45" s="12">
        <f t="shared" si="11"/>
        <v>0</v>
      </c>
      <c r="V45" s="25" t="s">
        <v>10</v>
      </c>
      <c r="W45" s="11">
        <f>IFERROR(VLOOKUP(V45,Curr!$B$2:$C$13,2,FALSE),0)</f>
        <v>11.2</v>
      </c>
      <c r="X45" s="12">
        <f t="shared" si="12"/>
        <v>0</v>
      </c>
      <c r="Y45" s="26">
        <f t="shared" si="13"/>
        <v>0</v>
      </c>
      <c r="Z45" s="12">
        <f t="shared" si="4"/>
        <v>0</v>
      </c>
      <c r="AA45" s="4" t="s">
        <v>10</v>
      </c>
      <c r="AB45" s="11">
        <f>IFERROR(VLOOKUP(AA45,Curr!$B$2:$C$13,2,FALSE),0)</f>
        <v>11.2</v>
      </c>
      <c r="AC45" s="12">
        <f t="shared" si="5"/>
        <v>0</v>
      </c>
      <c r="AD45" s="12">
        <f t="shared" si="6"/>
        <v>0</v>
      </c>
      <c r="AE45" s="13">
        <f t="shared" si="7"/>
        <v>0</v>
      </c>
    </row>
    <row r="46" spans="2:31" x14ac:dyDescent="0.25">
      <c r="B46" s="4"/>
      <c r="E46" s="3"/>
      <c r="F46" s="3"/>
      <c r="G46" s="24"/>
      <c r="H46" s="24"/>
      <c r="K46" s="4"/>
      <c r="L46" s="4"/>
      <c r="M46" s="4"/>
      <c r="N46" s="4"/>
      <c r="O46" s="4"/>
      <c r="P46" s="27"/>
      <c r="Q46" s="25"/>
      <c r="R46" s="25"/>
      <c r="S46" s="12">
        <f t="shared" si="10"/>
        <v>0</v>
      </c>
      <c r="T46" s="5">
        <v>0</v>
      </c>
      <c r="U46" s="12">
        <f t="shared" si="11"/>
        <v>0</v>
      </c>
      <c r="V46" s="25" t="s">
        <v>10</v>
      </c>
      <c r="W46" s="11">
        <f>IFERROR(VLOOKUP(V46,Curr!$B$2:$C$13,2,FALSE),0)</f>
        <v>11.2</v>
      </c>
      <c r="X46" s="12">
        <f t="shared" si="12"/>
        <v>0</v>
      </c>
      <c r="Y46" s="26">
        <f t="shared" si="13"/>
        <v>0</v>
      </c>
      <c r="Z46" s="12">
        <f t="shared" si="4"/>
        <v>0</v>
      </c>
      <c r="AA46" s="4" t="s">
        <v>10</v>
      </c>
      <c r="AB46" s="11">
        <f>IFERROR(VLOOKUP(AA46,Curr!$B$2:$C$13,2,FALSE),0)</f>
        <v>11.2</v>
      </c>
      <c r="AC46" s="12">
        <f t="shared" si="5"/>
        <v>0</v>
      </c>
      <c r="AD46" s="12">
        <f t="shared" si="6"/>
        <v>0</v>
      </c>
      <c r="AE46" s="13">
        <f t="shared" si="7"/>
        <v>0</v>
      </c>
    </row>
    <row r="47" spans="2:31" x14ac:dyDescent="0.25">
      <c r="B47" s="4"/>
      <c r="E47" s="3"/>
      <c r="F47" s="3"/>
      <c r="G47" s="24"/>
      <c r="H47" s="24"/>
      <c r="K47" s="4"/>
      <c r="L47" s="4"/>
      <c r="M47" s="4"/>
      <c r="N47" s="4"/>
      <c r="O47" s="4"/>
      <c r="P47" s="27"/>
      <c r="Q47" s="25"/>
      <c r="R47" s="25"/>
      <c r="S47" s="12">
        <f t="shared" si="10"/>
        <v>0</v>
      </c>
      <c r="T47" s="5">
        <v>0</v>
      </c>
      <c r="U47" s="12">
        <f t="shared" si="11"/>
        <v>0</v>
      </c>
      <c r="V47" s="25" t="s">
        <v>10</v>
      </c>
      <c r="W47" s="11">
        <f>IFERROR(VLOOKUP(V47,Curr!$B$2:$C$13,2,FALSE),0)</f>
        <v>11.2</v>
      </c>
      <c r="X47" s="12">
        <f t="shared" si="12"/>
        <v>0</v>
      </c>
      <c r="Y47" s="26">
        <f t="shared" si="13"/>
        <v>0</v>
      </c>
      <c r="Z47" s="12">
        <f t="shared" si="4"/>
        <v>0</v>
      </c>
      <c r="AA47" s="4" t="s">
        <v>10</v>
      </c>
      <c r="AB47" s="11">
        <f>IFERROR(VLOOKUP(AA47,Curr!$B$2:$C$13,2,FALSE),0)</f>
        <v>11.2</v>
      </c>
      <c r="AC47" s="12">
        <f t="shared" si="5"/>
        <v>0</v>
      </c>
      <c r="AD47" s="12">
        <f t="shared" si="6"/>
        <v>0</v>
      </c>
      <c r="AE47" s="13">
        <f t="shared" si="7"/>
        <v>0</v>
      </c>
    </row>
    <row r="48" spans="2:31" x14ac:dyDescent="0.25">
      <c r="B48" s="4"/>
      <c r="C48" s="1" t="s">
        <v>55</v>
      </c>
      <c r="D48" s="1" t="s">
        <v>93</v>
      </c>
      <c r="E48" s="3"/>
      <c r="F48" s="3"/>
      <c r="G48" s="24"/>
      <c r="H48" s="24"/>
      <c r="J48" s="1" t="s">
        <v>95</v>
      </c>
      <c r="K48" s="4"/>
      <c r="L48" s="4"/>
      <c r="M48" s="4"/>
      <c r="N48" s="4"/>
      <c r="O48" s="4"/>
      <c r="P48" s="33"/>
      <c r="Q48" s="25">
        <v>1750</v>
      </c>
      <c r="R48" s="25">
        <v>0</v>
      </c>
      <c r="S48" s="12">
        <f t="shared" si="10"/>
        <v>0</v>
      </c>
      <c r="T48" s="5">
        <v>0</v>
      </c>
      <c r="U48" s="12">
        <f t="shared" si="11"/>
        <v>0</v>
      </c>
      <c r="V48" s="25" t="s">
        <v>8</v>
      </c>
      <c r="W48" s="11">
        <f>IFERROR(VLOOKUP(V48,Curr!$B$2:$C$13,2,FALSE),0)</f>
        <v>1</v>
      </c>
      <c r="X48" s="12">
        <f t="shared" si="12"/>
        <v>0</v>
      </c>
      <c r="Y48" s="26">
        <f>Q48/11.3/0.8</f>
        <v>193.58407079646017</v>
      </c>
      <c r="Z48" s="12">
        <f t="shared" si="4"/>
        <v>0</v>
      </c>
      <c r="AA48" s="4" t="s">
        <v>10</v>
      </c>
      <c r="AB48" s="11">
        <f>IFERROR(VLOOKUP(AA48,Curr!$B$2:$C$13,2,FALSE),0)</f>
        <v>11.2</v>
      </c>
      <c r="AC48" s="12">
        <f t="shared" si="5"/>
        <v>0</v>
      </c>
      <c r="AD48" s="12">
        <f t="shared" si="6"/>
        <v>0</v>
      </c>
      <c r="AE48" s="13">
        <f t="shared" si="7"/>
        <v>0</v>
      </c>
    </row>
    <row r="49" spans="2:31" x14ac:dyDescent="0.25">
      <c r="B49" s="4"/>
      <c r="C49" s="1" t="s">
        <v>63</v>
      </c>
      <c r="D49" s="1" t="s">
        <v>93</v>
      </c>
      <c r="E49" s="3"/>
      <c r="F49" s="3"/>
      <c r="G49" s="24"/>
      <c r="H49" s="24"/>
      <c r="J49" s="1" t="s">
        <v>96</v>
      </c>
      <c r="K49" s="4"/>
      <c r="L49" s="4"/>
      <c r="M49" s="4"/>
      <c r="N49" s="4"/>
      <c r="O49" s="4"/>
      <c r="P49" s="27"/>
      <c r="Q49" s="25">
        <v>1290</v>
      </c>
      <c r="R49" s="25">
        <v>0</v>
      </c>
      <c r="S49" s="12">
        <f t="shared" si="10"/>
        <v>0</v>
      </c>
      <c r="T49" s="5">
        <v>0.15</v>
      </c>
      <c r="U49" s="12">
        <f t="shared" si="11"/>
        <v>0</v>
      </c>
      <c r="V49" s="25" t="s">
        <v>8</v>
      </c>
      <c r="W49" s="11">
        <f>IFERROR(VLOOKUP(V49,Curr!$B$2:$C$13,2,FALSE),0)</f>
        <v>1</v>
      </c>
      <c r="X49" s="12">
        <f t="shared" si="12"/>
        <v>0</v>
      </c>
      <c r="Y49" s="26">
        <f>Q49/11.3/0.98</f>
        <v>116.48907350550839</v>
      </c>
      <c r="Z49" s="12">
        <f t="shared" si="4"/>
        <v>0</v>
      </c>
      <c r="AA49" s="4" t="s">
        <v>10</v>
      </c>
      <c r="AB49" s="11">
        <f>IFERROR(VLOOKUP(AA49,Curr!$B$2:$C$13,2,FALSE),0)</f>
        <v>11.2</v>
      </c>
      <c r="AC49" s="12">
        <f t="shared" si="5"/>
        <v>0</v>
      </c>
      <c r="AD49" s="12">
        <f t="shared" si="6"/>
        <v>0</v>
      </c>
      <c r="AE49" s="13">
        <f t="shared" si="7"/>
        <v>0</v>
      </c>
    </row>
    <row r="50" spans="2:31" x14ac:dyDescent="0.25">
      <c r="B50" s="4"/>
      <c r="C50" s="1" t="s">
        <v>78</v>
      </c>
      <c r="D50" s="1" t="s">
        <v>93</v>
      </c>
      <c r="E50" s="3"/>
      <c r="F50" s="3"/>
      <c r="G50" s="24"/>
      <c r="H50" s="24"/>
      <c r="J50" s="1" t="s">
        <v>97</v>
      </c>
      <c r="K50" s="4"/>
      <c r="L50" s="4"/>
      <c r="M50" s="4"/>
      <c r="N50" s="4"/>
      <c r="O50" s="4"/>
      <c r="P50" s="33"/>
      <c r="Q50" s="25">
        <v>1690</v>
      </c>
      <c r="R50" s="25">
        <v>0</v>
      </c>
      <c r="S50" s="12">
        <f t="shared" si="10"/>
        <v>0</v>
      </c>
      <c r="T50" s="5">
        <v>0.15</v>
      </c>
      <c r="U50" s="12">
        <f t="shared" si="11"/>
        <v>0</v>
      </c>
      <c r="V50" s="25" t="s">
        <v>8</v>
      </c>
      <c r="W50" s="11">
        <f>IFERROR(VLOOKUP(V50,Curr!$B$2:$C$13,2,FALSE),0)</f>
        <v>1</v>
      </c>
      <c r="X50" s="12">
        <f t="shared" si="12"/>
        <v>0</v>
      </c>
      <c r="Y50" s="26">
        <f>Q50/11.3/0.98</f>
        <v>152.60971645295285</v>
      </c>
      <c r="Z50" s="12">
        <f t="shared" si="4"/>
        <v>0</v>
      </c>
      <c r="AA50" s="4" t="s">
        <v>10</v>
      </c>
      <c r="AB50" s="11">
        <f>IFERROR(VLOOKUP(AA50,Curr!$B$2:$C$13,2,FALSE),0)</f>
        <v>11.2</v>
      </c>
      <c r="AC50" s="12">
        <f t="shared" si="5"/>
        <v>0</v>
      </c>
      <c r="AD50" s="12">
        <f t="shared" si="6"/>
        <v>0</v>
      </c>
      <c r="AE50" s="13">
        <f t="shared" si="7"/>
        <v>0</v>
      </c>
    </row>
    <row r="51" spans="2:31" x14ac:dyDescent="0.25">
      <c r="B51" s="4"/>
      <c r="C51" s="1" t="s">
        <v>78</v>
      </c>
      <c r="D51" s="1" t="s">
        <v>93</v>
      </c>
      <c r="E51" s="3"/>
      <c r="F51" s="3"/>
      <c r="G51" s="24"/>
      <c r="H51" s="24"/>
      <c r="J51" s="1" t="s">
        <v>99</v>
      </c>
      <c r="K51" s="4"/>
      <c r="L51" s="4"/>
      <c r="M51" s="4"/>
      <c r="N51" s="4"/>
      <c r="O51" s="4"/>
      <c r="P51" s="27"/>
      <c r="Q51" s="25">
        <v>900</v>
      </c>
      <c r="R51" s="25">
        <v>0</v>
      </c>
      <c r="S51" s="12">
        <f t="shared" si="10"/>
        <v>0</v>
      </c>
      <c r="T51" s="5">
        <v>0</v>
      </c>
      <c r="U51" s="12">
        <f t="shared" si="11"/>
        <v>0</v>
      </c>
      <c r="V51" s="25" t="s">
        <v>8</v>
      </c>
      <c r="W51" s="11">
        <f>IFERROR(VLOOKUP(V51,Curr!$B$2:$C$13,2,FALSE),0)</f>
        <v>1</v>
      </c>
      <c r="X51" s="12">
        <f t="shared" si="12"/>
        <v>0</v>
      </c>
      <c r="Y51" s="26">
        <f t="shared" ref="Y51:Y52" si="14">Q51/11.3/0.8</f>
        <v>99.55752212389379</v>
      </c>
      <c r="Z51" s="12">
        <f t="shared" si="4"/>
        <v>0</v>
      </c>
      <c r="AA51" s="4" t="s">
        <v>10</v>
      </c>
      <c r="AB51" s="11">
        <f>IFERROR(VLOOKUP(AA51,Curr!$B$2:$C$13,2,FALSE),0)</f>
        <v>11.2</v>
      </c>
      <c r="AC51" s="12">
        <f t="shared" si="5"/>
        <v>0</v>
      </c>
      <c r="AD51" s="12">
        <f t="shared" si="6"/>
        <v>0</v>
      </c>
      <c r="AE51" s="13">
        <f t="shared" si="7"/>
        <v>0</v>
      </c>
    </row>
    <row r="52" spans="2:31" x14ac:dyDescent="0.25">
      <c r="B52" s="4"/>
      <c r="C52" s="1" t="s">
        <v>115</v>
      </c>
      <c r="D52" s="1" t="s">
        <v>93</v>
      </c>
      <c r="E52" s="3"/>
      <c r="F52" s="3"/>
      <c r="G52" s="24"/>
      <c r="H52" s="24"/>
      <c r="J52" s="1" t="s">
        <v>141</v>
      </c>
      <c r="K52" s="4"/>
      <c r="L52" s="4"/>
      <c r="M52" s="4"/>
      <c r="N52" s="4"/>
      <c r="O52" s="4"/>
      <c r="P52" s="33"/>
      <c r="Q52" s="25">
        <v>900</v>
      </c>
      <c r="R52" s="25">
        <v>0</v>
      </c>
      <c r="S52" s="12">
        <f t="shared" si="10"/>
        <v>0</v>
      </c>
      <c r="T52" s="5">
        <v>0</v>
      </c>
      <c r="U52" s="12">
        <f t="shared" si="11"/>
        <v>0</v>
      </c>
      <c r="V52" s="25" t="s">
        <v>8</v>
      </c>
      <c r="W52" s="11">
        <f>IFERROR(VLOOKUP(V52,Curr!$B$2:$C$13,2,FALSE),0)</f>
        <v>1</v>
      </c>
      <c r="X52" s="12">
        <f t="shared" si="12"/>
        <v>0</v>
      </c>
      <c r="Y52" s="26">
        <f t="shared" si="14"/>
        <v>99.55752212389379</v>
      </c>
      <c r="Z52" s="12">
        <f t="shared" si="4"/>
        <v>0</v>
      </c>
      <c r="AA52" s="4" t="s">
        <v>10</v>
      </c>
      <c r="AB52" s="11">
        <f>IFERROR(VLOOKUP(AA52,Curr!$B$2:$C$13,2,FALSE),0)</f>
        <v>11.2</v>
      </c>
      <c r="AC52" s="12">
        <f t="shared" si="5"/>
        <v>0</v>
      </c>
      <c r="AD52" s="12">
        <f t="shared" si="6"/>
        <v>0</v>
      </c>
      <c r="AE52" s="13">
        <f t="shared" si="7"/>
        <v>0</v>
      </c>
    </row>
    <row r="53" spans="2:31" x14ac:dyDescent="0.25">
      <c r="B53" s="4"/>
      <c r="E53" s="3"/>
      <c r="F53" s="3"/>
      <c r="G53" s="24"/>
      <c r="H53" s="24"/>
      <c r="K53" s="4"/>
      <c r="L53" s="4"/>
      <c r="M53" s="4"/>
      <c r="N53" s="4"/>
      <c r="O53" s="4"/>
      <c r="P53" s="27"/>
      <c r="Q53" s="25"/>
      <c r="R53" s="25"/>
      <c r="S53" s="12">
        <f t="shared" si="10"/>
        <v>0</v>
      </c>
      <c r="T53" s="5">
        <v>0</v>
      </c>
      <c r="U53" s="12">
        <f t="shared" si="11"/>
        <v>0</v>
      </c>
      <c r="V53" s="25" t="s">
        <v>10</v>
      </c>
      <c r="W53" s="11">
        <f>IFERROR(VLOOKUP(V53,Curr!$B$2:$C$13,2,FALSE),0)</f>
        <v>11.2</v>
      </c>
      <c r="X53" s="12">
        <f t="shared" si="12"/>
        <v>0</v>
      </c>
      <c r="Y53" s="26">
        <f t="shared" ref="Y53:Y54" si="15">Q53</f>
        <v>0</v>
      </c>
      <c r="Z53" s="12">
        <f t="shared" si="4"/>
        <v>0</v>
      </c>
      <c r="AA53" s="4" t="s">
        <v>10</v>
      </c>
      <c r="AB53" s="11">
        <f>IFERROR(VLOOKUP(AA53,Curr!$B$2:$C$13,2,FALSE),0)</f>
        <v>11.2</v>
      </c>
      <c r="AC53" s="12">
        <f t="shared" si="5"/>
        <v>0</v>
      </c>
      <c r="AD53" s="12">
        <f t="shared" si="6"/>
        <v>0</v>
      </c>
      <c r="AE53" s="13">
        <f t="shared" si="7"/>
        <v>0</v>
      </c>
    </row>
    <row r="54" spans="2:31" x14ac:dyDescent="0.25">
      <c r="B54" s="4"/>
      <c r="E54" s="3"/>
      <c r="F54" s="3"/>
      <c r="G54" s="24"/>
      <c r="H54" s="24"/>
      <c r="K54" s="4"/>
      <c r="L54" s="4"/>
      <c r="M54" s="4"/>
      <c r="N54" s="4"/>
      <c r="O54" s="4"/>
      <c r="P54" s="27"/>
      <c r="Q54" s="25"/>
      <c r="R54" s="25"/>
      <c r="S54" s="12">
        <f t="shared" si="10"/>
        <v>0</v>
      </c>
      <c r="T54" s="5">
        <v>0</v>
      </c>
      <c r="U54" s="12">
        <f t="shared" si="11"/>
        <v>0</v>
      </c>
      <c r="V54" s="25" t="s">
        <v>10</v>
      </c>
      <c r="W54" s="11">
        <f>IFERROR(VLOOKUP(V54,Curr!$B$2:$C$13,2,FALSE),0)</f>
        <v>11.2</v>
      </c>
      <c r="X54" s="12">
        <f t="shared" si="12"/>
        <v>0</v>
      </c>
      <c r="Y54" s="26">
        <f t="shared" si="15"/>
        <v>0</v>
      </c>
      <c r="Z54" s="12">
        <f t="shared" si="4"/>
        <v>0</v>
      </c>
      <c r="AA54" s="4" t="s">
        <v>10</v>
      </c>
      <c r="AB54" s="11">
        <f>IFERROR(VLOOKUP(AA54,Curr!$B$2:$C$13,2,FALSE),0)</f>
        <v>11.2</v>
      </c>
      <c r="AC54" s="12">
        <f t="shared" si="5"/>
        <v>0</v>
      </c>
      <c r="AD54" s="12">
        <f t="shared" si="6"/>
        <v>0</v>
      </c>
      <c r="AE54" s="13">
        <f t="shared" si="7"/>
        <v>0</v>
      </c>
    </row>
    <row r="55" spans="2:31" x14ac:dyDescent="0.25">
      <c r="B55" s="4"/>
      <c r="C55" s="1" t="s">
        <v>63</v>
      </c>
      <c r="D55" s="1" t="s">
        <v>94</v>
      </c>
      <c r="E55" s="3"/>
      <c r="F55" s="3"/>
      <c r="G55" s="24"/>
      <c r="H55" s="24"/>
      <c r="J55" s="1" t="s">
        <v>101</v>
      </c>
      <c r="K55" s="4"/>
      <c r="L55" s="4"/>
      <c r="M55" s="4"/>
      <c r="N55" s="4"/>
      <c r="O55" s="4" t="s">
        <v>42</v>
      </c>
      <c r="P55" s="33" t="s">
        <v>100</v>
      </c>
      <c r="Q55" s="25">
        <v>3250</v>
      </c>
      <c r="R55" s="25">
        <v>0</v>
      </c>
      <c r="S55" s="12">
        <f t="shared" si="10"/>
        <v>0</v>
      </c>
      <c r="T55" s="5">
        <v>0.08</v>
      </c>
      <c r="U55" s="12">
        <f t="shared" si="11"/>
        <v>0</v>
      </c>
      <c r="V55" s="25" t="s">
        <v>8</v>
      </c>
      <c r="W55" s="11">
        <f>IFERROR(VLOOKUP(V55,Curr!$B$2:$C$13,2,FALSE),0)</f>
        <v>1</v>
      </c>
      <c r="X55" s="12">
        <f t="shared" si="12"/>
        <v>0</v>
      </c>
      <c r="Y55" s="26">
        <f>Q55/11.3/0.9</f>
        <v>319.56735496558503</v>
      </c>
      <c r="Z55" s="12">
        <f t="shared" si="4"/>
        <v>0</v>
      </c>
      <c r="AA55" s="4" t="s">
        <v>10</v>
      </c>
      <c r="AB55" s="11">
        <f>IFERROR(VLOOKUP(AA55,Curr!$B$2:$C$13,2,FALSE),0)</f>
        <v>11.2</v>
      </c>
      <c r="AC55" s="12">
        <f t="shared" si="5"/>
        <v>0</v>
      </c>
      <c r="AD55" s="12">
        <f t="shared" si="6"/>
        <v>0</v>
      </c>
      <c r="AE55" s="13">
        <f t="shared" si="7"/>
        <v>0</v>
      </c>
    </row>
    <row r="56" spans="2:31" x14ac:dyDescent="0.25">
      <c r="B56" s="4"/>
      <c r="C56" s="1" t="s">
        <v>63</v>
      </c>
      <c r="D56" s="1" t="s">
        <v>94</v>
      </c>
      <c r="E56" s="3"/>
      <c r="F56" s="3"/>
      <c r="G56" s="24"/>
      <c r="H56" s="24"/>
      <c r="J56" s="1" t="s">
        <v>105</v>
      </c>
      <c r="K56" s="4"/>
      <c r="L56" s="4"/>
      <c r="M56" s="4"/>
      <c r="N56" s="4"/>
      <c r="O56" s="4"/>
      <c r="P56" s="33"/>
      <c r="Q56" s="25">
        <v>450</v>
      </c>
      <c r="R56" s="25">
        <v>0</v>
      </c>
      <c r="S56" s="12">
        <f t="shared" si="10"/>
        <v>0</v>
      </c>
      <c r="T56" s="5">
        <v>0</v>
      </c>
      <c r="U56" s="12">
        <f t="shared" si="11"/>
        <v>0</v>
      </c>
      <c r="V56" s="25" t="s">
        <v>8</v>
      </c>
      <c r="W56" s="11">
        <f>IFERROR(VLOOKUP(V56,Curr!$B$2:$C$13,2,FALSE),0)</f>
        <v>1</v>
      </c>
      <c r="X56" s="12">
        <f t="shared" si="12"/>
        <v>0</v>
      </c>
      <c r="Y56" s="26">
        <f>Q56/11.3/0.8</f>
        <v>49.778761061946895</v>
      </c>
      <c r="Z56" s="12">
        <f t="shared" si="4"/>
        <v>0</v>
      </c>
      <c r="AA56" s="4" t="s">
        <v>10</v>
      </c>
      <c r="AB56" s="11">
        <f>IFERROR(VLOOKUP(AA56,Curr!$B$2:$C$13,2,FALSE),0)</f>
        <v>11.2</v>
      </c>
      <c r="AC56" s="12">
        <f t="shared" si="5"/>
        <v>0</v>
      </c>
      <c r="AD56" s="12">
        <f t="shared" si="6"/>
        <v>0</v>
      </c>
      <c r="AE56" s="13">
        <f t="shared" si="7"/>
        <v>0</v>
      </c>
    </row>
    <row r="57" spans="2:31" x14ac:dyDescent="0.25">
      <c r="B57" s="4"/>
      <c r="C57" s="1" t="s">
        <v>69</v>
      </c>
      <c r="D57" s="1" t="s">
        <v>94</v>
      </c>
      <c r="E57" s="3"/>
      <c r="F57" s="3"/>
      <c r="G57" s="24"/>
      <c r="H57" s="24"/>
      <c r="J57" s="1" t="s">
        <v>106</v>
      </c>
      <c r="K57" s="4"/>
      <c r="L57" s="4"/>
      <c r="M57" s="4"/>
      <c r="N57" s="4"/>
      <c r="O57" s="4" t="s">
        <v>42</v>
      </c>
      <c r="P57" s="33" t="s">
        <v>107</v>
      </c>
      <c r="Q57" s="25">
        <v>71</v>
      </c>
      <c r="R57" s="25">
        <v>0</v>
      </c>
      <c r="S57" s="12">
        <f t="shared" si="10"/>
        <v>0</v>
      </c>
      <c r="T57" s="5">
        <v>0.2</v>
      </c>
      <c r="U57" s="12">
        <f t="shared" si="11"/>
        <v>0</v>
      </c>
      <c r="V57" s="25" t="s">
        <v>10</v>
      </c>
      <c r="W57" s="11">
        <f>IFERROR(VLOOKUP(V57,Curr!$B$2:$C$13,2,FALSE),0)</f>
        <v>11.2</v>
      </c>
      <c r="X57" s="12">
        <f t="shared" si="12"/>
        <v>0</v>
      </c>
      <c r="Y57" s="26">
        <f t="shared" ref="Y57" si="16">Q57</f>
        <v>71</v>
      </c>
      <c r="Z57" s="12">
        <f t="shared" si="4"/>
        <v>0</v>
      </c>
      <c r="AA57" s="4" t="s">
        <v>10</v>
      </c>
      <c r="AB57" s="11">
        <f>IFERROR(VLOOKUP(AA57,Curr!$B$2:$C$13,2,FALSE),0)</f>
        <v>11.2</v>
      </c>
      <c r="AC57" s="12">
        <f t="shared" si="5"/>
        <v>0</v>
      </c>
      <c r="AD57" s="12">
        <f t="shared" si="6"/>
        <v>0</v>
      </c>
      <c r="AE57" s="13">
        <f t="shared" si="7"/>
        <v>0</v>
      </c>
    </row>
    <row r="58" spans="2:31" x14ac:dyDescent="0.25">
      <c r="B58" s="4"/>
      <c r="C58" s="1" t="s">
        <v>80</v>
      </c>
      <c r="D58" s="1" t="s">
        <v>94</v>
      </c>
      <c r="E58" s="3"/>
      <c r="F58" s="3"/>
      <c r="G58" s="24"/>
      <c r="H58" s="24"/>
      <c r="J58" s="1" t="s">
        <v>118</v>
      </c>
      <c r="K58" s="4"/>
      <c r="L58" s="4"/>
      <c r="M58" s="4"/>
      <c r="N58" s="4"/>
      <c r="O58" s="4" t="s">
        <v>42</v>
      </c>
      <c r="P58" s="33" t="s">
        <v>119</v>
      </c>
      <c r="Q58" s="25">
        <v>2195</v>
      </c>
      <c r="R58" s="25">
        <v>0</v>
      </c>
      <c r="S58" s="12">
        <f t="shared" si="10"/>
        <v>0</v>
      </c>
      <c r="T58" s="5">
        <v>0.2</v>
      </c>
      <c r="U58" s="12">
        <f t="shared" si="11"/>
        <v>0</v>
      </c>
      <c r="V58" s="25" t="s">
        <v>8</v>
      </c>
      <c r="W58" s="11">
        <f>IFERROR(VLOOKUP(V58,Curr!$B$2:$C$13,2,FALSE),0)</f>
        <v>1</v>
      </c>
      <c r="X58" s="12">
        <f t="shared" si="12"/>
        <v>0</v>
      </c>
      <c r="Y58" s="26">
        <f t="shared" ref="Y58:Y60" si="17">Q58/11.3</f>
        <v>194.24778761061947</v>
      </c>
      <c r="Z58" s="12">
        <f t="shared" si="4"/>
        <v>0</v>
      </c>
      <c r="AA58" s="4" t="s">
        <v>10</v>
      </c>
      <c r="AB58" s="11">
        <f>IFERROR(VLOOKUP(AA58,Curr!$B$2:$C$13,2,FALSE),0)</f>
        <v>11.2</v>
      </c>
      <c r="AC58" s="12">
        <f t="shared" si="5"/>
        <v>0</v>
      </c>
      <c r="AD58" s="12">
        <f t="shared" si="6"/>
        <v>0</v>
      </c>
      <c r="AE58" s="13">
        <f t="shared" si="7"/>
        <v>0</v>
      </c>
    </row>
    <row r="59" spans="2:31" x14ac:dyDescent="0.25">
      <c r="B59" s="4"/>
      <c r="C59" s="1" t="s">
        <v>114</v>
      </c>
      <c r="D59" s="1" t="s">
        <v>94</v>
      </c>
      <c r="E59" s="3"/>
      <c r="F59" s="3"/>
      <c r="G59" s="24"/>
      <c r="H59" s="24"/>
      <c r="J59" s="1" t="s">
        <v>134</v>
      </c>
      <c r="K59" s="4"/>
      <c r="L59" s="4"/>
      <c r="M59" s="4"/>
      <c r="N59" s="4"/>
      <c r="O59" s="4" t="s">
        <v>42</v>
      </c>
      <c r="P59" s="33" t="s">
        <v>135</v>
      </c>
      <c r="Q59" s="25">
        <v>2990</v>
      </c>
      <c r="R59" s="25">
        <v>0</v>
      </c>
      <c r="S59" s="12">
        <f t="shared" si="10"/>
        <v>0</v>
      </c>
      <c r="T59" s="5">
        <v>0.15</v>
      </c>
      <c r="U59" s="12">
        <f t="shared" si="11"/>
        <v>0</v>
      </c>
      <c r="V59" s="25" t="s">
        <v>8</v>
      </c>
      <c r="W59" s="11">
        <f>IFERROR(VLOOKUP(V59,Curr!$B$2:$C$13,2,FALSE),0)</f>
        <v>1</v>
      </c>
      <c r="X59" s="12">
        <f t="shared" si="12"/>
        <v>0</v>
      </c>
      <c r="Y59" s="26">
        <f t="shared" si="17"/>
        <v>264.60176991150439</v>
      </c>
      <c r="Z59" s="12">
        <f t="shared" si="4"/>
        <v>0</v>
      </c>
      <c r="AA59" s="4" t="s">
        <v>10</v>
      </c>
      <c r="AB59" s="11">
        <f>IFERROR(VLOOKUP(AA59,Curr!$B$2:$C$13,2,FALSE),0)</f>
        <v>11.2</v>
      </c>
      <c r="AC59" s="12">
        <f t="shared" si="5"/>
        <v>0</v>
      </c>
      <c r="AD59" s="12">
        <f t="shared" si="6"/>
        <v>0</v>
      </c>
      <c r="AE59" s="13">
        <f t="shared" si="7"/>
        <v>0</v>
      </c>
    </row>
    <row r="60" spans="2:31" x14ac:dyDescent="0.25">
      <c r="B60" s="4"/>
      <c r="C60" s="1" t="s">
        <v>114</v>
      </c>
      <c r="D60" s="1" t="s">
        <v>94</v>
      </c>
      <c r="E60" s="3"/>
      <c r="F60" s="3"/>
      <c r="G60" s="24"/>
      <c r="H60" s="24"/>
      <c r="J60" s="1" t="s">
        <v>144</v>
      </c>
      <c r="K60" s="4"/>
      <c r="L60" s="4"/>
      <c r="M60" s="4"/>
      <c r="N60" s="4"/>
      <c r="O60" s="4" t="s">
        <v>42</v>
      </c>
      <c r="P60" s="33" t="s">
        <v>145</v>
      </c>
      <c r="Q60" s="25">
        <v>3390</v>
      </c>
      <c r="R60" s="25">
        <v>0</v>
      </c>
      <c r="S60" s="12">
        <f t="shared" si="10"/>
        <v>0</v>
      </c>
      <c r="T60" s="5">
        <v>0.15</v>
      </c>
      <c r="U60" s="12">
        <f t="shared" si="11"/>
        <v>0</v>
      </c>
      <c r="V60" s="25" t="s">
        <v>8</v>
      </c>
      <c r="W60" s="11">
        <f>IFERROR(VLOOKUP(V60,Curr!$B$2:$C$13,2,FALSE),0)</f>
        <v>1</v>
      </c>
      <c r="X60" s="12">
        <f t="shared" si="12"/>
        <v>0</v>
      </c>
      <c r="Y60" s="26">
        <f t="shared" si="17"/>
        <v>300</v>
      </c>
      <c r="Z60" s="12">
        <f t="shared" si="4"/>
        <v>0</v>
      </c>
      <c r="AA60" s="4" t="s">
        <v>10</v>
      </c>
      <c r="AB60" s="11">
        <f>IFERROR(VLOOKUP(AA60,Curr!$B$2:$C$13,2,FALSE),0)</f>
        <v>11.2</v>
      </c>
      <c r="AC60" s="12">
        <f t="shared" si="5"/>
        <v>0</v>
      </c>
      <c r="AD60" s="12">
        <f t="shared" si="6"/>
        <v>0</v>
      </c>
      <c r="AE60" s="13">
        <f t="shared" si="7"/>
        <v>0</v>
      </c>
    </row>
    <row r="61" spans="2:31" x14ac:dyDescent="0.25">
      <c r="B61" s="4"/>
      <c r="E61" s="3"/>
      <c r="F61" s="3"/>
      <c r="G61" s="24"/>
      <c r="H61" s="24"/>
      <c r="K61" s="4"/>
      <c r="L61" s="4"/>
      <c r="M61" s="4"/>
      <c r="N61" s="4"/>
      <c r="O61" s="4"/>
      <c r="P61" s="27"/>
      <c r="Q61" s="25"/>
      <c r="R61" s="25"/>
      <c r="S61" s="12">
        <f t="shared" si="10"/>
        <v>0</v>
      </c>
      <c r="T61" s="5">
        <v>0</v>
      </c>
      <c r="U61" s="12">
        <f t="shared" si="11"/>
        <v>0</v>
      </c>
      <c r="V61" s="25" t="s">
        <v>10</v>
      </c>
      <c r="W61" s="11">
        <f>IFERROR(VLOOKUP(V61,Curr!$B$2:$C$13,2,FALSE),0)</f>
        <v>11.2</v>
      </c>
      <c r="X61" s="12">
        <f t="shared" si="12"/>
        <v>0</v>
      </c>
      <c r="Y61" s="26">
        <f t="shared" si="13"/>
        <v>0</v>
      </c>
      <c r="Z61" s="12">
        <f t="shared" si="4"/>
        <v>0</v>
      </c>
      <c r="AA61" s="4" t="s">
        <v>10</v>
      </c>
      <c r="AB61" s="11">
        <f>IFERROR(VLOOKUP(AA61,Curr!$B$2:$C$13,2,FALSE),0)</f>
        <v>11.2</v>
      </c>
      <c r="AC61" s="12">
        <f t="shared" si="5"/>
        <v>0</v>
      </c>
      <c r="AD61" s="12">
        <f t="shared" si="6"/>
        <v>0</v>
      </c>
      <c r="AE61" s="13">
        <f t="shared" si="7"/>
        <v>0</v>
      </c>
    </row>
    <row r="62" spans="2:31" x14ac:dyDescent="0.25">
      <c r="B62" s="4"/>
      <c r="E62" s="3"/>
      <c r="F62" s="3"/>
      <c r="G62" s="24"/>
      <c r="H62" s="24"/>
      <c r="K62" s="4"/>
      <c r="L62" s="4"/>
      <c r="M62" s="4"/>
      <c r="N62" s="4"/>
      <c r="O62" s="4"/>
      <c r="P62" s="27"/>
      <c r="Q62" s="25"/>
      <c r="R62" s="25"/>
      <c r="S62" s="12">
        <f t="shared" si="10"/>
        <v>0</v>
      </c>
      <c r="T62" s="5">
        <v>0</v>
      </c>
      <c r="U62" s="12">
        <f t="shared" si="11"/>
        <v>0</v>
      </c>
      <c r="V62" s="25" t="s">
        <v>10</v>
      </c>
      <c r="W62" s="11">
        <f>IFERROR(VLOOKUP(V62,Curr!$B$2:$C$13,2,FALSE),0)</f>
        <v>11.2</v>
      </c>
      <c r="X62" s="12">
        <f t="shared" si="12"/>
        <v>0</v>
      </c>
      <c r="Y62" s="26">
        <f t="shared" si="13"/>
        <v>0</v>
      </c>
      <c r="Z62" s="12">
        <f t="shared" si="4"/>
        <v>0</v>
      </c>
      <c r="AA62" s="4" t="s">
        <v>10</v>
      </c>
      <c r="AB62" s="11">
        <f>IFERROR(VLOOKUP(AA62,Curr!$B$2:$C$13,2,FALSE),0)</f>
        <v>11.2</v>
      </c>
      <c r="AC62" s="12">
        <f t="shared" si="5"/>
        <v>0</v>
      </c>
      <c r="AD62" s="12">
        <f t="shared" si="6"/>
        <v>0</v>
      </c>
      <c r="AE62" s="13">
        <f t="shared" si="7"/>
        <v>0</v>
      </c>
    </row>
    <row r="63" spans="2:31" x14ac:dyDescent="0.25">
      <c r="B63" s="4"/>
      <c r="E63" s="3"/>
      <c r="F63" s="3"/>
      <c r="G63" s="24"/>
      <c r="H63" s="24"/>
      <c r="K63" s="4"/>
      <c r="L63" s="4"/>
      <c r="M63" s="4"/>
      <c r="N63" s="4"/>
      <c r="O63" s="4"/>
      <c r="P63" s="27"/>
      <c r="Q63" s="25"/>
      <c r="R63" s="25"/>
      <c r="S63" s="12">
        <f t="shared" si="10"/>
        <v>0</v>
      </c>
      <c r="T63" s="5">
        <v>0</v>
      </c>
      <c r="U63" s="12">
        <f t="shared" si="11"/>
        <v>0</v>
      </c>
      <c r="V63" s="25" t="s">
        <v>10</v>
      </c>
      <c r="W63" s="11">
        <f>IFERROR(VLOOKUP(V63,Curr!$B$2:$C$13,2,FALSE),0)</f>
        <v>11.2</v>
      </c>
      <c r="X63" s="12">
        <f t="shared" si="12"/>
        <v>0</v>
      </c>
      <c r="Y63" s="26">
        <f t="shared" si="13"/>
        <v>0</v>
      </c>
      <c r="Z63" s="12">
        <f t="shared" si="4"/>
        <v>0</v>
      </c>
      <c r="AA63" s="4" t="s">
        <v>10</v>
      </c>
      <c r="AB63" s="11">
        <f>IFERROR(VLOOKUP(AA63,Curr!$B$2:$C$13,2,FALSE),0)</f>
        <v>11.2</v>
      </c>
      <c r="AC63" s="12">
        <f t="shared" si="5"/>
        <v>0</v>
      </c>
      <c r="AD63" s="12">
        <f t="shared" si="6"/>
        <v>0</v>
      </c>
      <c r="AE63" s="13">
        <f t="shared" si="7"/>
        <v>0</v>
      </c>
    </row>
    <row r="64" spans="2:31" x14ac:dyDescent="0.25">
      <c r="B64" s="4"/>
      <c r="E64" s="3"/>
      <c r="F64" s="3"/>
      <c r="G64" s="24"/>
      <c r="H64" s="24"/>
      <c r="K64" s="4"/>
      <c r="L64" s="4"/>
      <c r="M64" s="4"/>
      <c r="N64" s="4"/>
      <c r="O64" s="4"/>
      <c r="P64" s="27"/>
      <c r="Q64" s="25"/>
      <c r="R64" s="25"/>
      <c r="S64" s="12">
        <f t="shared" si="10"/>
        <v>0</v>
      </c>
      <c r="T64" s="5">
        <v>0</v>
      </c>
      <c r="U64" s="12">
        <f t="shared" si="11"/>
        <v>0</v>
      </c>
      <c r="V64" s="25" t="s">
        <v>10</v>
      </c>
      <c r="W64" s="11">
        <f>IFERROR(VLOOKUP(V64,Curr!$B$2:$C$13,2,FALSE),0)</f>
        <v>11.2</v>
      </c>
      <c r="X64" s="12">
        <f t="shared" si="12"/>
        <v>0</v>
      </c>
      <c r="Y64" s="26">
        <f t="shared" si="13"/>
        <v>0</v>
      </c>
      <c r="Z64" s="12">
        <f t="shared" si="4"/>
        <v>0</v>
      </c>
      <c r="AA64" s="4" t="s">
        <v>10</v>
      </c>
      <c r="AB64" s="11">
        <f>IFERROR(VLOOKUP(AA64,Curr!$B$2:$C$13,2,FALSE),0)</f>
        <v>11.2</v>
      </c>
      <c r="AC64" s="12">
        <f t="shared" si="5"/>
        <v>0</v>
      </c>
      <c r="AD64" s="12">
        <f t="shared" si="6"/>
        <v>0</v>
      </c>
      <c r="AE64" s="13">
        <f t="shared" si="7"/>
        <v>0</v>
      </c>
    </row>
    <row r="65" spans="2:36" x14ac:dyDescent="0.25">
      <c r="B65" s="4"/>
      <c r="E65" s="3"/>
      <c r="F65" s="3"/>
      <c r="G65" s="24"/>
      <c r="H65" s="24"/>
      <c r="K65" s="4"/>
      <c r="L65" s="4"/>
      <c r="M65" s="4"/>
      <c r="N65" s="4"/>
      <c r="O65" s="4"/>
      <c r="P65" s="27"/>
      <c r="Q65" s="25"/>
      <c r="R65" s="25"/>
      <c r="S65" s="12">
        <f t="shared" si="10"/>
        <v>0</v>
      </c>
      <c r="T65" s="5">
        <v>0</v>
      </c>
      <c r="U65" s="12">
        <f t="shared" si="11"/>
        <v>0</v>
      </c>
      <c r="V65" s="25" t="s">
        <v>10</v>
      </c>
      <c r="W65" s="11">
        <f>IFERROR(VLOOKUP(V65,Curr!$B$2:$C$13,2,FALSE),0)</f>
        <v>11.2</v>
      </c>
      <c r="X65" s="12">
        <f t="shared" si="12"/>
        <v>0</v>
      </c>
      <c r="Y65" s="26">
        <f t="shared" si="13"/>
        <v>0</v>
      </c>
      <c r="Z65" s="12">
        <f t="shared" si="4"/>
        <v>0</v>
      </c>
      <c r="AA65" s="4" t="s">
        <v>10</v>
      </c>
      <c r="AB65" s="11">
        <f>IFERROR(VLOOKUP(AA65,Curr!$B$2:$C$13,2,FALSE),0)</f>
        <v>11.2</v>
      </c>
      <c r="AC65" s="12">
        <f t="shared" si="5"/>
        <v>0</v>
      </c>
      <c r="AD65" s="12">
        <f t="shared" si="6"/>
        <v>0</v>
      </c>
      <c r="AE65" s="13">
        <f t="shared" si="7"/>
        <v>0</v>
      </c>
    </row>
    <row r="66" spans="2:36" x14ac:dyDescent="0.25">
      <c r="B66" s="4"/>
      <c r="E66" s="3"/>
      <c r="F66" s="3"/>
      <c r="G66" s="24"/>
      <c r="H66" s="24"/>
      <c r="K66" s="4"/>
      <c r="L66" s="4"/>
      <c r="M66" s="4"/>
      <c r="N66" s="4"/>
      <c r="O66" s="4"/>
      <c r="P66" s="27"/>
      <c r="Q66" s="25"/>
      <c r="R66" s="25"/>
      <c r="S66" s="12">
        <f t="shared" si="10"/>
        <v>0</v>
      </c>
      <c r="T66" s="5">
        <v>0</v>
      </c>
      <c r="U66" s="12">
        <f t="shared" si="11"/>
        <v>0</v>
      </c>
      <c r="V66" s="25" t="s">
        <v>10</v>
      </c>
      <c r="W66" s="11">
        <f>IFERROR(VLOOKUP(V66,Curr!$B$2:$C$13,2,FALSE),0)</f>
        <v>11.2</v>
      </c>
      <c r="X66" s="12">
        <f t="shared" si="12"/>
        <v>0</v>
      </c>
      <c r="Y66" s="26">
        <f t="shared" si="13"/>
        <v>0</v>
      </c>
      <c r="Z66" s="12">
        <f t="shared" si="4"/>
        <v>0</v>
      </c>
      <c r="AA66" s="4" t="s">
        <v>10</v>
      </c>
      <c r="AB66" s="11">
        <f>IFERROR(VLOOKUP(AA66,Curr!$B$2:$C$13,2,FALSE),0)</f>
        <v>11.2</v>
      </c>
      <c r="AC66" s="12">
        <f t="shared" si="5"/>
        <v>0</v>
      </c>
      <c r="AD66" s="12">
        <f t="shared" si="6"/>
        <v>0</v>
      </c>
      <c r="AE66" s="13">
        <f t="shared" si="7"/>
        <v>0</v>
      </c>
    </row>
    <row r="67" spans="2:36" x14ac:dyDescent="0.25">
      <c r="B67" s="4"/>
      <c r="E67" s="3"/>
      <c r="F67" s="3"/>
      <c r="G67" s="24"/>
      <c r="H67" s="24"/>
      <c r="K67" s="4"/>
      <c r="L67" s="4"/>
      <c r="M67" s="4"/>
      <c r="N67" s="4"/>
      <c r="O67" s="4"/>
      <c r="P67" s="27"/>
      <c r="Q67" s="25"/>
      <c r="R67" s="25"/>
      <c r="S67" s="12">
        <f t="shared" si="10"/>
        <v>0</v>
      </c>
      <c r="T67" s="5">
        <v>0</v>
      </c>
      <c r="U67" s="12">
        <f t="shared" si="11"/>
        <v>0</v>
      </c>
      <c r="V67" s="25" t="s">
        <v>10</v>
      </c>
      <c r="W67" s="11">
        <f>IFERROR(VLOOKUP(V67,Curr!$B$2:$C$13,2,FALSE),0)</f>
        <v>11.2</v>
      </c>
      <c r="X67" s="12">
        <f t="shared" si="12"/>
        <v>0</v>
      </c>
      <c r="Y67" s="26">
        <f t="shared" si="13"/>
        <v>0</v>
      </c>
      <c r="Z67" s="12">
        <f t="shared" si="4"/>
        <v>0</v>
      </c>
      <c r="AA67" s="4" t="s">
        <v>10</v>
      </c>
      <c r="AB67" s="11">
        <f>IFERROR(VLOOKUP(AA67,Curr!$B$2:$C$13,2,FALSE),0)</f>
        <v>11.2</v>
      </c>
      <c r="AC67" s="12">
        <f t="shared" si="5"/>
        <v>0</v>
      </c>
      <c r="AD67" s="12">
        <f t="shared" si="6"/>
        <v>0</v>
      </c>
      <c r="AE67" s="13">
        <f t="shared" si="7"/>
        <v>0</v>
      </c>
    </row>
    <row r="68" spans="2:36" x14ac:dyDescent="0.25">
      <c r="B68" s="4"/>
      <c r="E68" s="3"/>
      <c r="F68" s="3"/>
      <c r="G68" s="24"/>
      <c r="H68" s="24"/>
      <c r="K68" s="4"/>
      <c r="L68" s="4"/>
      <c r="M68" s="4"/>
      <c r="N68" s="4"/>
      <c r="O68" s="4"/>
      <c r="P68" s="27"/>
      <c r="Q68" s="25"/>
      <c r="R68" s="25"/>
      <c r="S68" s="12">
        <f t="shared" si="10"/>
        <v>0</v>
      </c>
      <c r="T68" s="5">
        <v>0</v>
      </c>
      <c r="U68" s="12">
        <f t="shared" si="11"/>
        <v>0</v>
      </c>
      <c r="V68" s="25" t="s">
        <v>10</v>
      </c>
      <c r="W68" s="11">
        <f>IFERROR(VLOOKUP(V68,Curr!$B$2:$C$13,2,FALSE),0)</f>
        <v>11.2</v>
      </c>
      <c r="X68" s="12">
        <f t="shared" si="12"/>
        <v>0</v>
      </c>
      <c r="Y68" s="26">
        <f t="shared" si="13"/>
        <v>0</v>
      </c>
      <c r="Z68" s="12">
        <f t="shared" si="4"/>
        <v>0</v>
      </c>
      <c r="AA68" s="4" t="s">
        <v>10</v>
      </c>
      <c r="AB68" s="11">
        <f>IFERROR(VLOOKUP(AA68,Curr!$B$2:$C$13,2,FALSE),0)</f>
        <v>11.2</v>
      </c>
      <c r="AC68" s="12">
        <f t="shared" si="5"/>
        <v>0</v>
      </c>
      <c r="AD68" s="12">
        <f t="shared" si="6"/>
        <v>0</v>
      </c>
      <c r="AE68" s="13">
        <f t="shared" si="7"/>
        <v>0</v>
      </c>
    </row>
    <row r="69" spans="2:36" x14ac:dyDescent="0.25">
      <c r="B69" s="4"/>
      <c r="E69" s="3"/>
      <c r="F69" s="3"/>
      <c r="G69" s="3"/>
      <c r="H69" s="3"/>
      <c r="L69" s="4"/>
      <c r="M69" s="4"/>
      <c r="N69" s="4"/>
      <c r="O69" s="4"/>
      <c r="P69" s="22"/>
      <c r="Q69" s="4"/>
      <c r="R69" s="4"/>
      <c r="S69" s="4"/>
      <c r="T69" s="4"/>
      <c r="U69" s="4"/>
      <c r="V69" s="4"/>
      <c r="W69" s="4"/>
      <c r="X69" s="4"/>
      <c r="Y69" s="4"/>
      <c r="Z69" s="4"/>
      <c r="AA69" s="4"/>
      <c r="AB69" s="4"/>
      <c r="AC69" s="4"/>
      <c r="AD69" s="4"/>
      <c r="AE69" s="4"/>
      <c r="AF69" s="4"/>
    </row>
    <row r="70" spans="2:36" x14ac:dyDescent="0.25">
      <c r="B70" s="14" t="s">
        <v>18</v>
      </c>
      <c r="C70" s="14"/>
      <c r="D70" s="28" t="s">
        <v>42</v>
      </c>
      <c r="E70" s="30" t="s">
        <v>42</v>
      </c>
      <c r="F70" s="30" t="s">
        <v>42</v>
      </c>
      <c r="G70" s="30" t="s">
        <v>42</v>
      </c>
      <c r="H70" s="30" t="s">
        <v>42</v>
      </c>
      <c r="I70" s="28" t="s">
        <v>42</v>
      </c>
      <c r="J70" s="28" t="s">
        <v>42</v>
      </c>
      <c r="K70" s="28" t="s">
        <v>42</v>
      </c>
      <c r="L70" s="28" t="s">
        <v>42</v>
      </c>
      <c r="M70" s="28" t="s">
        <v>42</v>
      </c>
      <c r="N70" s="28" t="s">
        <v>42</v>
      </c>
      <c r="O70" s="28" t="s">
        <v>42</v>
      </c>
      <c r="P70" s="28" t="s">
        <v>42</v>
      </c>
      <c r="Q70" s="31" t="s">
        <v>42</v>
      </c>
      <c r="R70" s="28" t="s">
        <v>42</v>
      </c>
      <c r="S70" s="32" t="s">
        <v>42</v>
      </c>
      <c r="T70" s="28" t="s">
        <v>42</v>
      </c>
      <c r="U70" s="32" t="s">
        <v>42</v>
      </c>
      <c r="V70" s="28" t="s">
        <v>42</v>
      </c>
      <c r="W70" s="28" t="s">
        <v>42</v>
      </c>
      <c r="X70" s="32" t="s">
        <v>42</v>
      </c>
      <c r="Y70" s="32" t="s">
        <v>42</v>
      </c>
      <c r="Z70" s="15">
        <f>SUM(Z7:Z68)</f>
        <v>3452.701978136387</v>
      </c>
      <c r="AA70" s="14"/>
      <c r="AB70" s="14"/>
      <c r="AC70" s="15">
        <f>SUM(AC7:AC68)</f>
        <v>38670.26215512753</v>
      </c>
      <c r="AD70" s="15">
        <f>SUM(AD7:AD68)</f>
        <v>7019.9021551275346</v>
      </c>
      <c r="AE70" s="21">
        <f t="shared" ref="AE70" si="18">IFERROR(AD70/AC70,0)</f>
        <v>0.18153231356350458</v>
      </c>
      <c r="AF70" s="15">
        <f>SUM(AF8:AF69)</f>
        <v>0</v>
      </c>
      <c r="AG70" s="15">
        <f>SUM(AG8:AG69)</f>
        <v>0</v>
      </c>
      <c r="AH70" s="15">
        <f>SUM(AH8:AH69)</f>
        <v>0</v>
      </c>
      <c r="AI70" s="15">
        <f>SUM(AI8:AI69)</f>
        <v>0</v>
      </c>
      <c r="AJ70" s="15">
        <f>SUM(AJ8:AJ69)</f>
        <v>0</v>
      </c>
    </row>
    <row r="71" spans="2:36" x14ac:dyDescent="0.25">
      <c r="B71" s="4"/>
      <c r="E71" s="3"/>
      <c r="F71" s="3"/>
      <c r="G71" s="3"/>
      <c r="H71" s="3"/>
      <c r="L71" s="4"/>
      <c r="M71" s="4"/>
      <c r="N71" s="4"/>
      <c r="O71" s="4"/>
      <c r="Q71" s="4"/>
      <c r="R71" s="4"/>
      <c r="S71" s="4"/>
      <c r="T71" s="4"/>
      <c r="U71" s="4"/>
      <c r="V71" s="4"/>
      <c r="W71" s="4"/>
      <c r="X71" s="4"/>
      <c r="Y71" s="9"/>
      <c r="Z71" s="9"/>
      <c r="AA71" s="9"/>
      <c r="AB71" s="9"/>
      <c r="AC71" s="9"/>
      <c r="AD71" s="9"/>
      <c r="AE71" s="9"/>
    </row>
    <row r="72" spans="2:36" x14ac:dyDescent="0.25">
      <c r="B72" s="4"/>
      <c r="E72" s="3"/>
      <c r="F72" s="3"/>
      <c r="G72" s="3"/>
      <c r="H72" s="3"/>
      <c r="L72" s="4"/>
      <c r="M72" s="4"/>
      <c r="N72" s="4"/>
      <c r="O72" s="4"/>
      <c r="Q72" s="9"/>
      <c r="R72" s="9"/>
      <c r="S72" s="9"/>
      <c r="T72" s="9"/>
      <c r="U72" s="9"/>
      <c r="V72" s="9"/>
      <c r="W72" s="9"/>
      <c r="X72" s="23"/>
      <c r="Y72" s="34" t="s">
        <v>102</v>
      </c>
      <c r="Z72" s="34">
        <v>1760</v>
      </c>
      <c r="AA72" s="9"/>
      <c r="AB72" s="9"/>
      <c r="AC72" s="9"/>
      <c r="AD72" s="9"/>
      <c r="AE72" s="9"/>
    </row>
    <row r="73" spans="2:36" x14ac:dyDescent="0.25">
      <c r="B73" s="4"/>
      <c r="E73" s="3"/>
      <c r="F73" s="3"/>
      <c r="G73" s="3"/>
      <c r="H73" s="3"/>
      <c r="L73" s="4"/>
      <c r="M73" s="4"/>
      <c r="N73" s="4"/>
      <c r="O73" s="4"/>
      <c r="Q73" s="9"/>
      <c r="R73" s="9"/>
      <c r="S73" s="9"/>
      <c r="T73" s="9"/>
      <c r="U73" s="9"/>
      <c r="V73" s="9"/>
      <c r="W73" s="9"/>
      <c r="X73" s="9"/>
      <c r="Y73" s="35" t="s">
        <v>103</v>
      </c>
      <c r="Z73" s="34">
        <f>Z9+Z15+Z23+Z25+Z37</f>
        <v>1821.7595002602811</v>
      </c>
      <c r="AA73" s="9"/>
      <c r="AB73" s="9"/>
      <c r="AC73" s="9"/>
      <c r="AD73" s="9"/>
      <c r="AE73" s="9"/>
      <c r="AF73" s="18"/>
    </row>
    <row r="74" spans="2:36" x14ac:dyDescent="0.25">
      <c r="B74" s="4"/>
      <c r="E74" s="3"/>
      <c r="F74" s="3"/>
      <c r="G74" s="3"/>
      <c r="H74" s="3"/>
      <c r="I74" s="19"/>
      <c r="L74" s="4"/>
      <c r="M74" s="4"/>
      <c r="N74" s="4"/>
      <c r="O74" s="20"/>
      <c r="Q74" s="20"/>
      <c r="R74" s="20"/>
      <c r="S74" s="20"/>
      <c r="T74" s="20"/>
      <c r="U74" s="20"/>
      <c r="V74" s="20"/>
      <c r="W74" s="20"/>
      <c r="X74" s="20"/>
      <c r="Y74" s="34" t="s">
        <v>104</v>
      </c>
      <c r="Z74" s="34">
        <v>3460</v>
      </c>
      <c r="AA74" s="9"/>
      <c r="AB74" s="9"/>
      <c r="AC74" s="9"/>
      <c r="AD74" s="9"/>
      <c r="AE74" s="9"/>
      <c r="AF74" s="18"/>
    </row>
    <row r="75" spans="2:36" x14ac:dyDescent="0.25">
      <c r="B75" s="4"/>
      <c r="E75" s="3"/>
      <c r="F75" s="3"/>
      <c r="G75" s="3"/>
      <c r="H75" s="3"/>
      <c r="L75" s="4"/>
      <c r="M75" s="4"/>
      <c r="N75" s="4"/>
      <c r="O75" s="20"/>
      <c r="Q75" s="20"/>
      <c r="R75" s="20"/>
      <c r="S75" s="20"/>
      <c r="T75" s="20"/>
      <c r="U75" s="20"/>
      <c r="V75" s="20"/>
      <c r="W75" s="20"/>
      <c r="X75" s="20"/>
      <c r="Y75" s="34" t="s">
        <v>43</v>
      </c>
      <c r="Z75" s="34">
        <f>Z74/2</f>
        <v>1730</v>
      </c>
      <c r="AA75" s="9"/>
      <c r="AB75" s="9"/>
      <c r="AC75" s="9"/>
      <c r="AD75" s="9"/>
      <c r="AE75" s="9"/>
      <c r="AF75" s="18"/>
    </row>
    <row r="76" spans="2:36" x14ac:dyDescent="0.25">
      <c r="B76" s="4"/>
      <c r="E76" s="3"/>
      <c r="F76" s="3"/>
      <c r="G76" s="3"/>
      <c r="H76" s="3"/>
      <c r="L76" s="4"/>
      <c r="M76" s="4"/>
      <c r="N76" s="4"/>
      <c r="O76" s="4"/>
      <c r="Q76" s="9"/>
      <c r="R76" s="9"/>
      <c r="S76" s="9"/>
      <c r="T76" s="9"/>
      <c r="U76" s="9"/>
      <c r="V76" s="9"/>
      <c r="W76" s="9"/>
      <c r="X76" s="9"/>
      <c r="Y76" s="1"/>
      <c r="Z76" s="1"/>
      <c r="AA76" s="9"/>
      <c r="AB76" s="9"/>
      <c r="AC76" s="9"/>
      <c r="AD76" s="9"/>
      <c r="AE76" s="9"/>
      <c r="AF76" s="18"/>
    </row>
    <row r="77" spans="2:36" x14ac:dyDescent="0.25">
      <c r="F77" s="1"/>
      <c r="G77" s="1"/>
      <c r="H77" s="1"/>
      <c r="J77" s="1" t="s">
        <v>32</v>
      </c>
      <c r="Q77" s="9"/>
      <c r="R77" s="4"/>
      <c r="S77" s="9"/>
      <c r="T77" s="5"/>
      <c r="U77" s="9"/>
      <c r="V77" s="4"/>
      <c r="W77" s="4"/>
      <c r="X77" s="9"/>
      <c r="Y77" s="9"/>
      <c r="Z77" s="9"/>
      <c r="AA77" s="9"/>
      <c r="AB77" s="9"/>
      <c r="AC77" s="9"/>
      <c r="AD77" s="9"/>
      <c r="AE77" s="9"/>
    </row>
    <row r="78" spans="2:36" x14ac:dyDescent="0.25">
      <c r="R78" s="4"/>
      <c r="S78" s="17"/>
      <c r="T78" s="17"/>
      <c r="U78" s="9"/>
      <c r="V78" s="4"/>
      <c r="W78" s="4"/>
      <c r="X78" s="9"/>
      <c r="Y78" s="9"/>
      <c r="Z78" s="9" t="s">
        <v>330</v>
      </c>
      <c r="AA78" s="9"/>
      <c r="AB78" s="9"/>
      <c r="AC78" s="9"/>
      <c r="AD78" s="9"/>
      <c r="AE78" s="9"/>
    </row>
    <row r="79" spans="2:36" x14ac:dyDescent="0.25">
      <c r="Q79" s="9"/>
      <c r="R79" s="4"/>
      <c r="S79" s="16"/>
      <c r="T79" s="16"/>
      <c r="U79" s="9"/>
      <c r="V79" s="4"/>
      <c r="W79" s="4"/>
      <c r="X79" s="9"/>
      <c r="Y79" s="37" t="s">
        <v>325</v>
      </c>
      <c r="Z79" s="9">
        <f>Z74</f>
        <v>3460</v>
      </c>
      <c r="AA79" s="9"/>
      <c r="AB79" s="9"/>
      <c r="AC79" s="9"/>
      <c r="AD79" s="9"/>
      <c r="AE79" s="9"/>
    </row>
    <row r="80" spans="2:36" x14ac:dyDescent="0.25">
      <c r="R80" s="4"/>
      <c r="S80" s="16"/>
      <c r="T80" s="16"/>
      <c r="Y80" s="37" t="s">
        <v>326</v>
      </c>
      <c r="Z80" s="9">
        <f>Z79*1.18</f>
        <v>4082.7999999999997</v>
      </c>
      <c r="AA80" s="9"/>
      <c r="AB80" s="9"/>
      <c r="AC80" s="9"/>
      <c r="AD80" s="9"/>
      <c r="AE80" s="9"/>
    </row>
    <row r="81" spans="20:31" x14ac:dyDescent="0.25">
      <c r="T81" s="5"/>
      <c r="Y81" s="37" t="s">
        <v>327</v>
      </c>
      <c r="Z81" s="9">
        <f>Z79*1.25</f>
        <v>4325</v>
      </c>
      <c r="AA81" s="9"/>
      <c r="AB81" s="9"/>
      <c r="AC81" s="9"/>
      <c r="AD81" s="9"/>
      <c r="AE81" s="9"/>
    </row>
    <row r="82" spans="20:31" x14ac:dyDescent="0.25">
      <c r="T82" s="5"/>
      <c r="Y82" s="37" t="s">
        <v>328</v>
      </c>
      <c r="Z82" s="9">
        <f>Z79*0.85</f>
        <v>2941</v>
      </c>
      <c r="AA82" s="9"/>
      <c r="AB82" s="9"/>
      <c r="AC82" s="9"/>
      <c r="AD82" s="9"/>
      <c r="AE82" s="9"/>
    </row>
    <row r="83" spans="20:31" x14ac:dyDescent="0.25">
      <c r="T83" s="5"/>
      <c r="Y83" s="37" t="s">
        <v>307</v>
      </c>
      <c r="Z83" s="9" t="s">
        <v>329</v>
      </c>
      <c r="AA83" s="9"/>
      <c r="AB83" s="9"/>
      <c r="AC83" s="9"/>
      <c r="AD83" s="9"/>
      <c r="AE83" s="9"/>
    </row>
    <row r="84" spans="20:31" x14ac:dyDescent="0.25">
      <c r="T84" s="5"/>
      <c r="Y84" s="9"/>
      <c r="Z84" s="9"/>
      <c r="AA84" s="9"/>
      <c r="AB84" s="9"/>
      <c r="AC84" s="9"/>
      <c r="AD84" s="9"/>
      <c r="AE84" s="9"/>
    </row>
    <row r="85" spans="20:31" x14ac:dyDescent="0.25">
      <c r="T85" s="5"/>
      <c r="Y85" s="9"/>
      <c r="Z85" s="9"/>
      <c r="AA85" s="9"/>
      <c r="AB85" s="9"/>
      <c r="AC85" s="9"/>
      <c r="AD85" s="9"/>
      <c r="AE85" s="9"/>
    </row>
    <row r="86" spans="20:31" x14ac:dyDescent="0.25">
      <c r="T86" s="5"/>
      <c r="Y86" s="9"/>
      <c r="Z86" s="9"/>
      <c r="AA86" s="9"/>
      <c r="AB86" s="9"/>
      <c r="AC86" s="9"/>
      <c r="AD86" s="9"/>
      <c r="AE86" s="9"/>
    </row>
    <row r="87" spans="20:31" x14ac:dyDescent="0.25">
      <c r="T87" s="5"/>
      <c r="Y87" s="9"/>
      <c r="Z87" s="9"/>
      <c r="AA87" s="9"/>
      <c r="AB87" s="9"/>
      <c r="AC87" s="9"/>
      <c r="AD87" s="9"/>
      <c r="AE87" s="9"/>
    </row>
    <row r="88" spans="20:31" x14ac:dyDescent="0.25">
      <c r="T88" s="5"/>
      <c r="Y88" s="9"/>
      <c r="Z88" s="9"/>
      <c r="AA88" s="9"/>
      <c r="AB88" s="9"/>
      <c r="AC88" s="9"/>
      <c r="AD88" s="9"/>
      <c r="AE88" s="9"/>
    </row>
    <row r="89" spans="20:31" x14ac:dyDescent="0.25">
      <c r="T89" s="5"/>
    </row>
    <row r="90" spans="20:31" x14ac:dyDescent="0.25">
      <c r="T90" s="5"/>
    </row>
    <row r="91" spans="20:31" x14ac:dyDescent="0.25">
      <c r="T91" s="5"/>
    </row>
    <row r="92" spans="20:31" x14ac:dyDescent="0.25">
      <c r="T92" s="5"/>
    </row>
    <row r="93" spans="20:31" x14ac:dyDescent="0.25">
      <c r="T93" s="5"/>
    </row>
  </sheetData>
  <autoFilter ref="B6:AE70" xr:uid="{65FA6D9B-E0AF-46CD-BA0D-86BB75FE6AB0}"/>
  <hyperlinks>
    <hyperlink ref="P13" r:id="rId1" location="reisesok" xr:uid="{735E8597-392C-427F-8A30-3FAE7078A274}"/>
    <hyperlink ref="P18" r:id="rId2" xr:uid="{42086BF6-8188-4A43-AF61-1566315485E6}"/>
    <hyperlink ref="P19" r:id="rId3" xr:uid="{46BBE622-45B2-4605-996F-5DE09B595427}"/>
    <hyperlink ref="P27" r:id="rId4" xr:uid="{005C4840-B923-436E-9F99-ADB28F775BBE}"/>
    <hyperlink ref="P29" r:id="rId5" xr:uid="{08A93DDB-03BA-4948-BCF7-837901385B43}"/>
    <hyperlink ref="P42" r:id="rId6" xr:uid="{80CD8F86-1B46-4269-949E-78CDB5E885E1}"/>
    <hyperlink ref="P40" r:id="rId7" xr:uid="{7EED6AE5-3424-49F7-ABF9-EBC28B1D519C}"/>
    <hyperlink ref="P55" r:id="rId8" xr:uid="{BCE21A45-7404-43E1-BD0E-856E27F133DE}"/>
    <hyperlink ref="P57" r:id="rId9" xr:uid="{C0670CB8-81BE-476B-8091-54A18E34DDF8}"/>
    <hyperlink ref="P58" r:id="rId10" xr:uid="{25DCA66E-17EC-455A-9A38-153CA8E1327C}"/>
    <hyperlink ref="P59" r:id="rId11" xr:uid="{98A288E6-4021-4EC4-B980-E5B14631B24B}"/>
    <hyperlink ref="P60" r:id="rId12" xr:uid="{00DBA5E0-9B59-4B8A-BE9A-6CAA1C8D2909}"/>
    <hyperlink ref="P31" r:id="rId13" xr:uid="{9A12FDB0-EF37-4D69-A8FD-21B5D9400D07}"/>
  </hyperlinks>
  <pageMargins left="0.7" right="0.7" top="0.75" bottom="0.75" header="0.3" footer="0.3"/>
  <pageSetup paperSize="9" orientation="portrait" r:id="rId1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5E74-FE18-4BD0-9286-206AFA2A3D8F}">
  <sheetPr>
    <tabColor rgb="FFFFFF00"/>
  </sheetPr>
  <dimension ref="B1:AK78"/>
  <sheetViews>
    <sheetView topLeftCell="A6" zoomScale="80" zoomScaleNormal="80" workbookViewId="0">
      <selection activeCell="J14" sqref="J14"/>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163</v>
      </c>
    </row>
    <row r="2" spans="2:36" x14ac:dyDescent="0.25">
      <c r="B2" s="2" t="s">
        <v>149</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53" si="0">+Q7*R7</f>
        <v>0</v>
      </c>
      <c r="T7" s="5">
        <v>0</v>
      </c>
      <c r="U7" s="12">
        <f t="shared" ref="U7:U53" si="1">S7*(1-T7)</f>
        <v>0</v>
      </c>
      <c r="V7" s="25" t="s">
        <v>10</v>
      </c>
      <c r="W7" s="11">
        <f>IFERROR(VLOOKUP(V7,Curr!$B$2:$C$13,2,FALSE),0)</f>
        <v>11.2</v>
      </c>
      <c r="X7" s="12">
        <f t="shared" ref="X7:X53" si="2">U7*W7</f>
        <v>0</v>
      </c>
      <c r="Y7" s="26">
        <f t="shared" ref="Y7:Y53" si="3">Q7</f>
        <v>0</v>
      </c>
      <c r="Z7" s="12">
        <f t="shared" ref="Z7:Z53" si="4">+Y7*R7</f>
        <v>0</v>
      </c>
      <c r="AA7" s="4" t="s">
        <v>10</v>
      </c>
      <c r="AB7" s="11">
        <f>IFERROR(VLOOKUP(AA7,Curr!$B$2:$C$13,2,FALSE),0)</f>
        <v>11.2</v>
      </c>
      <c r="AC7" s="12">
        <f t="shared" ref="AC7:AC53" si="5">+Y7*AB7*R7</f>
        <v>0</v>
      </c>
      <c r="AD7" s="12">
        <f t="shared" ref="AD7:AD53" si="6">+AC7-X7</f>
        <v>0</v>
      </c>
      <c r="AE7" s="13">
        <f t="shared" ref="AE7:AE53"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70</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Q9/0.85</f>
        <v>176.47058823529412</v>
      </c>
      <c r="Z9" s="12">
        <f t="shared" si="4"/>
        <v>176.47058823529412</v>
      </c>
      <c r="AA9" s="4" t="s">
        <v>10</v>
      </c>
      <c r="AB9" s="11">
        <f>IFERROR(VLOOKUP(AA9,Curr!$B$2:$C$13,2,FALSE),0)</f>
        <v>11.2</v>
      </c>
      <c r="AC9" s="12">
        <f t="shared" si="5"/>
        <v>1976.4705882352939</v>
      </c>
      <c r="AD9" s="12">
        <f t="shared" si="6"/>
        <v>296.47058823529392</v>
      </c>
      <c r="AE9" s="13">
        <f t="shared" si="7"/>
        <v>0.14999999999999991</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27"/>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66</v>
      </c>
      <c r="E13" s="3"/>
      <c r="F13" s="3"/>
      <c r="G13" s="24"/>
      <c r="H13" s="24"/>
      <c r="J13" s="1" t="s">
        <v>72</v>
      </c>
      <c r="K13" s="4"/>
      <c r="L13" s="4"/>
      <c r="M13" s="4"/>
      <c r="N13" s="4"/>
      <c r="O13" s="4" t="s">
        <v>42</v>
      </c>
      <c r="P13" s="33" t="s">
        <v>65</v>
      </c>
      <c r="Q13" s="25">
        <v>2400</v>
      </c>
      <c r="R13" s="25">
        <v>1</v>
      </c>
      <c r="S13" s="12">
        <f t="shared" si="0"/>
        <v>2400</v>
      </c>
      <c r="T13" s="5">
        <v>0</v>
      </c>
      <c r="U13" s="12">
        <f t="shared" si="1"/>
        <v>2400</v>
      </c>
      <c r="V13" s="25" t="s">
        <v>8</v>
      </c>
      <c r="W13" s="11">
        <f>IFERROR(VLOOKUP(V13,Curr!$B$2:$C$13,2,FALSE),0)</f>
        <v>1</v>
      </c>
      <c r="X13" s="12">
        <f t="shared" si="2"/>
        <v>2400</v>
      </c>
      <c r="Y13" s="26">
        <f>Q13/11.3/0.8</f>
        <v>265.48672566371675</v>
      </c>
      <c r="Z13" s="12">
        <f t="shared" si="4"/>
        <v>265.48672566371675</v>
      </c>
      <c r="AA13" s="4" t="s">
        <v>10</v>
      </c>
      <c r="AB13" s="11">
        <f>IFERROR(VLOOKUP(AA13,Curr!$B$2:$C$13,2,FALSE),0)</f>
        <v>11.2</v>
      </c>
      <c r="AC13" s="12">
        <f t="shared" si="5"/>
        <v>2973.4513274336273</v>
      </c>
      <c r="AD13" s="12">
        <f t="shared" si="6"/>
        <v>573.45132743362728</v>
      </c>
      <c r="AE13" s="13">
        <f t="shared" si="7"/>
        <v>0.19285714285714259</v>
      </c>
    </row>
    <row r="14" spans="2:36" x14ac:dyDescent="0.25">
      <c r="B14" s="4"/>
      <c r="C14" s="1" t="s">
        <v>63</v>
      </c>
      <c r="D14" s="1" t="s">
        <v>50</v>
      </c>
      <c r="E14" s="3"/>
      <c r="F14" s="3"/>
      <c r="G14" s="24"/>
      <c r="H14" s="24"/>
      <c r="J14" s="1" t="s">
        <v>67</v>
      </c>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ref="Y14:Y22" si="8">Q14</f>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71</v>
      </c>
      <c r="K15" s="4"/>
      <c r="L15" s="4"/>
      <c r="M15" s="4"/>
      <c r="N15" s="4"/>
      <c r="O15" s="4"/>
      <c r="P15" s="33"/>
      <c r="Q15" s="25">
        <v>280</v>
      </c>
      <c r="R15" s="25">
        <v>1</v>
      </c>
      <c r="S15" s="12">
        <f t="shared" si="0"/>
        <v>280</v>
      </c>
      <c r="T15" s="5">
        <v>0</v>
      </c>
      <c r="U15" s="12">
        <f t="shared" si="1"/>
        <v>280</v>
      </c>
      <c r="V15" s="25" t="s">
        <v>10</v>
      </c>
      <c r="W15" s="11">
        <f>IFERROR(VLOOKUP(V15,Curr!$B$2:$C$13,2,FALSE),0)</f>
        <v>11.2</v>
      </c>
      <c r="X15" s="12">
        <f t="shared" si="2"/>
        <v>3136</v>
      </c>
      <c r="Y15" s="26">
        <f>Q15/0.85</f>
        <v>329.41176470588238</v>
      </c>
      <c r="Z15" s="12">
        <f t="shared" si="4"/>
        <v>329.41176470588238</v>
      </c>
      <c r="AA15" s="4" t="s">
        <v>10</v>
      </c>
      <c r="AB15" s="11">
        <f>IFERROR(VLOOKUP(AA15,Curr!$B$2:$C$13,2,FALSE),0)</f>
        <v>11.2</v>
      </c>
      <c r="AC15" s="12">
        <f t="shared" si="5"/>
        <v>3689.4117647058824</v>
      </c>
      <c r="AD15" s="12">
        <f t="shared" si="6"/>
        <v>553.41176470588243</v>
      </c>
      <c r="AE15" s="13">
        <f t="shared" si="7"/>
        <v>0.15000000000000002</v>
      </c>
    </row>
    <row r="16" spans="2:36" x14ac:dyDescent="0.25">
      <c r="B16" s="4"/>
      <c r="C16" s="1" t="s">
        <v>63</v>
      </c>
      <c r="D16" s="1" t="s">
        <v>53</v>
      </c>
      <c r="E16" s="3"/>
      <c r="F16" s="3"/>
      <c r="G16" s="24"/>
      <c r="H16" s="24"/>
      <c r="J16" s="1" t="s">
        <v>68</v>
      </c>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8"/>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0"/>
        <v>0</v>
      </c>
      <c r="T17" s="5">
        <v>0</v>
      </c>
      <c r="U17" s="12">
        <f t="shared" si="1"/>
        <v>0</v>
      </c>
      <c r="V17" s="25" t="s">
        <v>10</v>
      </c>
      <c r="W17" s="11">
        <f>IFERROR(VLOOKUP(V17,Curr!$B$2:$C$13,2,FALSE),0)</f>
        <v>11.2</v>
      </c>
      <c r="X17" s="12">
        <f t="shared" si="2"/>
        <v>0</v>
      </c>
      <c r="Y17" s="26">
        <f t="shared" si="8"/>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0"/>
        <v>580</v>
      </c>
      <c r="T18" s="5">
        <v>0.2</v>
      </c>
      <c r="U18" s="12">
        <f t="shared" si="1"/>
        <v>464</v>
      </c>
      <c r="V18" s="25" t="s">
        <v>8</v>
      </c>
      <c r="W18" s="11">
        <f>IFERROR(VLOOKUP(V18,Curr!$B$2:$C$13,2,FALSE),0)</f>
        <v>1</v>
      </c>
      <c r="X18" s="12">
        <f t="shared" si="2"/>
        <v>464</v>
      </c>
      <c r="Y18" s="26">
        <f>Q18/11.3/0.64</f>
        <v>40.099557522123888</v>
      </c>
      <c r="Z18" s="12">
        <f t="shared" si="4"/>
        <v>80.199115044247776</v>
      </c>
      <c r="AA18" s="4" t="s">
        <v>10</v>
      </c>
      <c r="AB18" s="11">
        <f>IFERROR(VLOOKUP(AA18,Curr!$B$2:$C$13,2,FALSE),0)</f>
        <v>11.2</v>
      </c>
      <c r="AC18" s="12">
        <f t="shared" si="5"/>
        <v>898.23008849557505</v>
      </c>
      <c r="AD18" s="12">
        <f t="shared" si="6"/>
        <v>434.23008849557505</v>
      </c>
      <c r="AE18" s="13">
        <f t="shared" si="7"/>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0"/>
        <v>350</v>
      </c>
      <c r="T19" s="5">
        <v>0</v>
      </c>
      <c r="U19" s="12">
        <f t="shared" si="1"/>
        <v>350</v>
      </c>
      <c r="V19" s="25" t="s">
        <v>8</v>
      </c>
      <c r="W19" s="11">
        <f>IFERROR(VLOOKUP(V19,Curr!$B$2:$C$13,2,FALSE),0)</f>
        <v>1</v>
      </c>
      <c r="X19" s="12">
        <f t="shared" si="2"/>
        <v>350</v>
      </c>
      <c r="Y19" s="26">
        <f>Q19/11.3/0.5</f>
        <v>30.973451327433626</v>
      </c>
      <c r="Z19" s="12">
        <f t="shared" si="4"/>
        <v>61.946902654867252</v>
      </c>
      <c r="AA19" s="4" t="s">
        <v>10</v>
      </c>
      <c r="AB19" s="11">
        <f>IFERROR(VLOOKUP(AA19,Curr!$B$2:$C$13,2,FALSE),0)</f>
        <v>11.2</v>
      </c>
      <c r="AC19" s="12">
        <f t="shared" si="5"/>
        <v>693.80530973451323</v>
      </c>
      <c r="AD19" s="12">
        <f t="shared" si="6"/>
        <v>343.80530973451323</v>
      </c>
      <c r="AE19" s="13">
        <f t="shared" si="7"/>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si="8"/>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11.2</v>
      </c>
      <c r="X21" s="12">
        <f t="shared" si="2"/>
        <v>0</v>
      </c>
      <c r="Y21" s="26">
        <f t="shared" si="8"/>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50</v>
      </c>
      <c r="E22" s="3"/>
      <c r="F22" s="3"/>
      <c r="G22" s="24"/>
      <c r="H22" s="24"/>
      <c r="J22" s="1" t="s">
        <v>83</v>
      </c>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8"/>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79</v>
      </c>
      <c r="E23" s="3"/>
      <c r="F23" s="3"/>
      <c r="G23" s="24"/>
      <c r="H23" s="24"/>
      <c r="J23" s="1" t="s">
        <v>222</v>
      </c>
      <c r="K23" s="4"/>
      <c r="L23" s="4"/>
      <c r="M23" s="4"/>
      <c r="N23" s="4"/>
      <c r="O23" s="4" t="s">
        <v>42</v>
      </c>
      <c r="P23" s="33"/>
      <c r="Q23" s="25">
        <v>1800</v>
      </c>
      <c r="R23" s="25">
        <v>2</v>
      </c>
      <c r="S23" s="12">
        <f t="shared" si="0"/>
        <v>3600</v>
      </c>
      <c r="T23" s="5">
        <v>0</v>
      </c>
      <c r="U23" s="12">
        <f t="shared" si="1"/>
        <v>3600</v>
      </c>
      <c r="V23" s="25" t="s">
        <v>8</v>
      </c>
      <c r="W23" s="11">
        <f>IFERROR(VLOOKUP(V23,Curr!$B$2:$C$13,2,FALSE),0)</f>
        <v>1</v>
      </c>
      <c r="X23" s="12">
        <f t="shared" si="2"/>
        <v>3600</v>
      </c>
      <c r="Y23" s="26">
        <f>Q23/11.3/0.8</f>
        <v>199.11504424778758</v>
      </c>
      <c r="Z23" s="12">
        <f t="shared" si="4"/>
        <v>398.23008849557516</v>
      </c>
      <c r="AA23" s="4" t="s">
        <v>10</v>
      </c>
      <c r="AB23" s="11">
        <f>IFERROR(VLOOKUP(AA23,Curr!$B$2:$C$13,2,FALSE),0)</f>
        <v>11.2</v>
      </c>
      <c r="AC23" s="12">
        <f t="shared" si="5"/>
        <v>4460.1769911504416</v>
      </c>
      <c r="AD23" s="12">
        <f t="shared" si="6"/>
        <v>860.17699115044161</v>
      </c>
      <c r="AE23" s="13">
        <f t="shared" si="7"/>
        <v>0.1928571428571427</v>
      </c>
    </row>
    <row r="24" spans="2:31" x14ac:dyDescent="0.25">
      <c r="B24" s="4"/>
      <c r="C24" s="1" t="s">
        <v>78</v>
      </c>
      <c r="D24" s="1" t="s">
        <v>50</v>
      </c>
      <c r="E24" s="3"/>
      <c r="F24" s="3"/>
      <c r="G24" s="24"/>
      <c r="H24" s="24"/>
      <c r="J24" s="1" t="s">
        <v>153</v>
      </c>
      <c r="K24" s="4"/>
      <c r="L24" s="4"/>
      <c r="M24" s="4"/>
      <c r="N24" s="4"/>
      <c r="O24" s="4"/>
      <c r="P24" s="27"/>
      <c r="Q24" s="25">
        <v>0</v>
      </c>
      <c r="R24" s="25">
        <v>0</v>
      </c>
      <c r="S24" s="12">
        <f t="shared" si="0"/>
        <v>0</v>
      </c>
      <c r="T24" s="5">
        <v>0</v>
      </c>
      <c r="U24" s="12">
        <f t="shared" si="1"/>
        <v>0</v>
      </c>
      <c r="V24" s="25" t="s">
        <v>10</v>
      </c>
      <c r="W24" s="11">
        <f>IFERROR(VLOOKUP(V24,Curr!$B$2:$C$13,2,FALSE),0)</f>
        <v>11.2</v>
      </c>
      <c r="X24" s="12">
        <f t="shared" si="2"/>
        <v>0</v>
      </c>
      <c r="Y24" s="26">
        <f t="shared" ref="Y24:Y26" si="9">Q24</f>
        <v>0</v>
      </c>
      <c r="Z24" s="12">
        <f t="shared" si="4"/>
        <v>0</v>
      </c>
      <c r="AA24" s="4" t="s">
        <v>10</v>
      </c>
      <c r="AB24" s="11">
        <f>IFERROR(VLOOKUP(AA24,Curr!$B$2:$C$13,2,FALSE),0)</f>
        <v>11.2</v>
      </c>
      <c r="AC24" s="12">
        <f t="shared" si="5"/>
        <v>0</v>
      </c>
      <c r="AD24" s="12">
        <f t="shared" si="6"/>
        <v>0</v>
      </c>
      <c r="AE24" s="13">
        <f t="shared" si="7"/>
        <v>0</v>
      </c>
    </row>
    <row r="25" spans="2:31" x14ac:dyDescent="0.25">
      <c r="B25" s="4"/>
      <c r="C25" s="1" t="s">
        <v>78</v>
      </c>
      <c r="D25" s="1" t="s">
        <v>52</v>
      </c>
      <c r="E25" s="3"/>
      <c r="F25" s="3"/>
      <c r="G25" s="24"/>
      <c r="H25" s="24"/>
      <c r="J25" s="1" t="s">
        <v>154</v>
      </c>
      <c r="K25" s="4"/>
      <c r="L25" s="4"/>
      <c r="M25" s="4"/>
      <c r="N25" s="4"/>
      <c r="O25" s="4"/>
      <c r="P25" s="27"/>
      <c r="Q25" s="25">
        <v>250</v>
      </c>
      <c r="R25" s="25">
        <v>1</v>
      </c>
      <c r="S25" s="12">
        <f t="shared" si="0"/>
        <v>250</v>
      </c>
      <c r="T25" s="5">
        <v>0</v>
      </c>
      <c r="U25" s="12">
        <f t="shared" si="1"/>
        <v>250</v>
      </c>
      <c r="V25" s="25" t="s">
        <v>10</v>
      </c>
      <c r="W25" s="11">
        <f>IFERROR(VLOOKUP(V25,Curr!$B$2:$C$13,2,FALSE),0)</f>
        <v>11.2</v>
      </c>
      <c r="X25" s="12">
        <f t="shared" si="2"/>
        <v>2800</v>
      </c>
      <c r="Y25" s="26">
        <f>Q25/0.85</f>
        <v>294.11764705882354</v>
      </c>
      <c r="Z25" s="12">
        <f t="shared" si="4"/>
        <v>294.11764705882354</v>
      </c>
      <c r="AA25" s="4" t="s">
        <v>10</v>
      </c>
      <c r="AB25" s="11">
        <f>IFERROR(VLOOKUP(AA25,Curr!$B$2:$C$13,2,FALSE),0)</f>
        <v>11.2</v>
      </c>
      <c r="AC25" s="12">
        <f t="shared" si="5"/>
        <v>3294.1176470588234</v>
      </c>
      <c r="AD25" s="12">
        <f t="shared" si="6"/>
        <v>494.11764705882342</v>
      </c>
      <c r="AE25" s="13">
        <f t="shared" si="7"/>
        <v>0.14999999999999997</v>
      </c>
    </row>
    <row r="26" spans="2:31" x14ac:dyDescent="0.25">
      <c r="B26" s="4"/>
      <c r="C26" s="1" t="s">
        <v>78</v>
      </c>
      <c r="D26" s="1" t="s">
        <v>53</v>
      </c>
      <c r="E26" s="3"/>
      <c r="F26" s="3"/>
      <c r="G26" s="24"/>
      <c r="H26" s="24"/>
      <c r="J26" s="1" t="s">
        <v>152</v>
      </c>
      <c r="K26" s="4"/>
      <c r="L26" s="4"/>
      <c r="M26" s="4"/>
      <c r="N26" s="4"/>
      <c r="O26" s="4"/>
      <c r="P26" s="27"/>
      <c r="Q26" s="25">
        <v>0</v>
      </c>
      <c r="R26" s="25">
        <v>0</v>
      </c>
      <c r="S26" s="12">
        <f t="shared" si="0"/>
        <v>0</v>
      </c>
      <c r="T26" s="5">
        <v>0</v>
      </c>
      <c r="U26" s="12">
        <f t="shared" si="1"/>
        <v>0</v>
      </c>
      <c r="V26" s="25" t="s">
        <v>10</v>
      </c>
      <c r="W26" s="11">
        <f>IFERROR(VLOOKUP(V26,Curr!$B$2:$C$13,2,FALSE),0)</f>
        <v>11.2</v>
      </c>
      <c r="X26" s="12">
        <f t="shared" si="2"/>
        <v>0</v>
      </c>
      <c r="Y26" s="26">
        <f t="shared" si="9"/>
        <v>0</v>
      </c>
      <c r="Z26" s="12">
        <f t="shared" si="4"/>
        <v>0</v>
      </c>
      <c r="AA26" s="4" t="s">
        <v>10</v>
      </c>
      <c r="AB26" s="11">
        <f>IFERROR(VLOOKUP(AA26,Curr!$B$2:$C$13,2,FALSE),0)</f>
        <v>11.2</v>
      </c>
      <c r="AC26" s="12">
        <f t="shared" si="5"/>
        <v>0</v>
      </c>
      <c r="AD26" s="12">
        <f t="shared" si="6"/>
        <v>0</v>
      </c>
      <c r="AE26" s="13">
        <f t="shared" si="7"/>
        <v>0</v>
      </c>
    </row>
    <row r="27" spans="2:31" x14ac:dyDescent="0.25">
      <c r="B27" s="4"/>
      <c r="C27" s="1" t="s">
        <v>78</v>
      </c>
      <c r="D27" s="1" t="s">
        <v>73</v>
      </c>
      <c r="E27" s="3"/>
      <c r="F27" s="3"/>
      <c r="G27" s="24"/>
      <c r="H27" s="24"/>
      <c r="J27" s="1" t="s">
        <v>161</v>
      </c>
      <c r="K27" s="4"/>
      <c r="L27" s="4"/>
      <c r="M27" s="4"/>
      <c r="N27" s="4"/>
      <c r="O27" s="4"/>
      <c r="P27" s="27"/>
      <c r="Q27" s="25">
        <v>1950</v>
      </c>
      <c r="R27" s="25">
        <v>2</v>
      </c>
      <c r="S27" s="12">
        <f t="shared" si="0"/>
        <v>3900</v>
      </c>
      <c r="T27" s="5">
        <v>0</v>
      </c>
      <c r="U27" s="12">
        <f t="shared" si="1"/>
        <v>3900</v>
      </c>
      <c r="V27" s="25" t="s">
        <v>8</v>
      </c>
      <c r="W27" s="11">
        <f>IFERROR(VLOOKUP(V27,Curr!$B$2:$C$13,2,FALSE),0)</f>
        <v>1</v>
      </c>
      <c r="X27" s="12">
        <f t="shared" si="2"/>
        <v>3900</v>
      </c>
      <c r="Y27" s="26">
        <f>Q27/11.3/0.85</f>
        <v>203.01926080166578</v>
      </c>
      <c r="Z27" s="12">
        <f t="shared" si="4"/>
        <v>406.03852160333156</v>
      </c>
      <c r="AA27" s="4" t="s">
        <v>10</v>
      </c>
      <c r="AB27" s="11">
        <f>IFERROR(VLOOKUP(AA27,Curr!$B$2:$C$13,2,FALSE),0)</f>
        <v>11.2</v>
      </c>
      <c r="AC27" s="12">
        <f t="shared" si="5"/>
        <v>4547.6314419573127</v>
      </c>
      <c r="AD27" s="12">
        <f t="shared" si="6"/>
        <v>647.63144195731275</v>
      </c>
      <c r="AE27" s="13">
        <f t="shared" si="7"/>
        <v>0.14241071428571406</v>
      </c>
    </row>
    <row r="28" spans="2:31" x14ac:dyDescent="0.25">
      <c r="B28" s="4"/>
      <c r="E28" s="3"/>
      <c r="F28" s="3"/>
      <c r="G28" s="24"/>
      <c r="H28" s="24"/>
      <c r="K28" s="4"/>
      <c r="L28" s="4"/>
      <c r="M28" s="4"/>
      <c r="N28" s="4"/>
      <c r="O28" s="4"/>
      <c r="P28" s="33"/>
      <c r="Q28" s="25"/>
      <c r="R28" s="25"/>
      <c r="S28" s="12">
        <f t="shared" si="0"/>
        <v>0</v>
      </c>
      <c r="T28" s="5">
        <v>0</v>
      </c>
      <c r="U28" s="12">
        <f t="shared" si="1"/>
        <v>0</v>
      </c>
      <c r="V28" s="25" t="s">
        <v>10</v>
      </c>
      <c r="W28" s="11">
        <f>IFERROR(VLOOKUP(V28,Curr!$B$2:$C$13,2,FALSE),0)</f>
        <v>11.2</v>
      </c>
      <c r="X28" s="12">
        <f t="shared" si="2"/>
        <v>0</v>
      </c>
      <c r="Y28" s="26">
        <f t="shared" si="3"/>
        <v>0</v>
      </c>
      <c r="Z28" s="12">
        <f t="shared" si="4"/>
        <v>0</v>
      </c>
      <c r="AA28" s="4" t="s">
        <v>10</v>
      </c>
      <c r="AB28" s="11">
        <f>IFERROR(VLOOKUP(AA28,Curr!$B$2:$C$13,2,FALSE),0)</f>
        <v>11.2</v>
      </c>
      <c r="AC28" s="12">
        <f t="shared" si="5"/>
        <v>0</v>
      </c>
      <c r="AD28" s="12">
        <f t="shared" si="6"/>
        <v>0</v>
      </c>
      <c r="AE28" s="13">
        <f t="shared" si="7"/>
        <v>0</v>
      </c>
    </row>
    <row r="29" spans="2:31" x14ac:dyDescent="0.25">
      <c r="B29" s="4"/>
      <c r="C29" s="1" t="s">
        <v>80</v>
      </c>
      <c r="D29" s="1" t="s">
        <v>73</v>
      </c>
      <c r="E29" s="3"/>
      <c r="F29" s="3"/>
      <c r="G29" s="24"/>
      <c r="H29" s="24"/>
      <c r="J29" s="1" t="s">
        <v>157</v>
      </c>
      <c r="K29" s="4"/>
      <c r="L29" s="4"/>
      <c r="M29" s="4"/>
      <c r="N29" s="4"/>
      <c r="O29" s="4"/>
      <c r="P29" s="33" t="s">
        <v>158</v>
      </c>
      <c r="Q29" s="25">
        <v>55</v>
      </c>
      <c r="R29" s="25">
        <v>2</v>
      </c>
      <c r="S29" s="12">
        <f t="shared" si="0"/>
        <v>110</v>
      </c>
      <c r="T29" s="5">
        <v>0.2</v>
      </c>
      <c r="U29" s="12">
        <f t="shared" si="1"/>
        <v>88</v>
      </c>
      <c r="V29" s="25" t="s">
        <v>10</v>
      </c>
      <c r="W29" s="11">
        <f>IFERROR(VLOOKUP(V29,Curr!$B$2:$C$13,2,FALSE),0)</f>
        <v>11.2</v>
      </c>
      <c r="X29" s="12">
        <f t="shared" si="2"/>
        <v>985.59999999999991</v>
      </c>
      <c r="Y29" s="26">
        <f t="shared" si="3"/>
        <v>55</v>
      </c>
      <c r="Z29" s="12">
        <f t="shared" si="4"/>
        <v>110</v>
      </c>
      <c r="AA29" s="4" t="s">
        <v>10</v>
      </c>
      <c r="AB29" s="11">
        <f>IFERROR(VLOOKUP(AA29,Curr!$B$2:$C$13,2,FALSE),0)</f>
        <v>11.2</v>
      </c>
      <c r="AC29" s="12">
        <f t="shared" si="5"/>
        <v>1232</v>
      </c>
      <c r="AD29" s="12">
        <f t="shared" si="6"/>
        <v>246.40000000000009</v>
      </c>
      <c r="AE29" s="13">
        <f t="shared" si="7"/>
        <v>0.20000000000000007</v>
      </c>
    </row>
    <row r="30" spans="2:31" x14ac:dyDescent="0.25">
      <c r="B30" s="4"/>
      <c r="C30" s="1" t="s">
        <v>80</v>
      </c>
      <c r="D30" s="1" t="s">
        <v>53</v>
      </c>
      <c r="E30" s="3"/>
      <c r="F30" s="3"/>
      <c r="G30" s="24"/>
      <c r="H30" s="24"/>
      <c r="J30" s="1" t="s">
        <v>152</v>
      </c>
      <c r="K30" s="4"/>
      <c r="L30" s="4"/>
      <c r="M30" s="4"/>
      <c r="N30" s="4"/>
      <c r="O30" s="4"/>
      <c r="P30" s="33"/>
      <c r="Q30" s="25">
        <v>0</v>
      </c>
      <c r="R30" s="25">
        <v>0</v>
      </c>
      <c r="S30" s="12">
        <f t="shared" si="0"/>
        <v>0</v>
      </c>
      <c r="T30" s="5">
        <v>0</v>
      </c>
      <c r="U30" s="12">
        <f t="shared" si="1"/>
        <v>0</v>
      </c>
      <c r="V30" s="25" t="s">
        <v>10</v>
      </c>
      <c r="W30" s="11">
        <f>IFERROR(VLOOKUP(V30,Curr!$B$2:$C$13,2,FALSE),0)</f>
        <v>11.2</v>
      </c>
      <c r="X30" s="12">
        <f t="shared" si="2"/>
        <v>0</v>
      </c>
      <c r="Y30" s="26">
        <f t="shared" si="3"/>
        <v>0</v>
      </c>
      <c r="Z30" s="12">
        <f t="shared" si="4"/>
        <v>0</v>
      </c>
      <c r="AA30" s="4" t="s">
        <v>10</v>
      </c>
      <c r="AB30" s="11">
        <f>IFERROR(VLOOKUP(AA30,Curr!$B$2:$C$13,2,FALSE),0)</f>
        <v>11.2</v>
      </c>
      <c r="AC30" s="12">
        <f t="shared" si="5"/>
        <v>0</v>
      </c>
      <c r="AD30" s="12">
        <f t="shared" si="6"/>
        <v>0</v>
      </c>
      <c r="AE30" s="13">
        <f t="shared" si="7"/>
        <v>0</v>
      </c>
    </row>
    <row r="31" spans="2:31" x14ac:dyDescent="0.25">
      <c r="B31" s="4"/>
      <c r="C31" s="1" t="s">
        <v>80</v>
      </c>
      <c r="D31" s="1" t="s">
        <v>73</v>
      </c>
      <c r="E31" s="3"/>
      <c r="F31" s="3"/>
      <c r="G31" s="24"/>
      <c r="H31" s="24"/>
      <c r="J31" s="1" t="s">
        <v>159</v>
      </c>
      <c r="K31" s="4"/>
      <c r="L31" s="4"/>
      <c r="M31" s="4"/>
      <c r="N31" s="4"/>
      <c r="O31" s="4"/>
      <c r="P31" s="33" t="s">
        <v>160</v>
      </c>
      <c r="Q31" s="25">
        <v>2150</v>
      </c>
      <c r="R31" s="25">
        <v>2</v>
      </c>
      <c r="S31" s="12">
        <f t="shared" si="0"/>
        <v>4300</v>
      </c>
      <c r="T31" s="5">
        <v>0.2</v>
      </c>
      <c r="U31" s="12">
        <f t="shared" si="1"/>
        <v>3440</v>
      </c>
      <c r="V31" s="25" t="s">
        <v>8</v>
      </c>
      <c r="W31" s="11">
        <f>IFERROR(VLOOKUP(V31,Curr!$B$2:$C$13,2,FALSE),0)</f>
        <v>1</v>
      </c>
      <c r="X31" s="12">
        <f t="shared" si="2"/>
        <v>3440</v>
      </c>
      <c r="Y31" s="26">
        <f>Q31/11.3</f>
        <v>190.26548672566369</v>
      </c>
      <c r="Z31" s="12">
        <f t="shared" si="4"/>
        <v>380.53097345132738</v>
      </c>
      <c r="AA31" s="4" t="s">
        <v>10</v>
      </c>
      <c r="AB31" s="11">
        <f>IFERROR(VLOOKUP(AA31,Curr!$B$2:$C$13,2,FALSE),0)</f>
        <v>11.2</v>
      </c>
      <c r="AC31" s="12">
        <f t="shared" si="5"/>
        <v>4261.9469026548668</v>
      </c>
      <c r="AD31" s="12">
        <f t="shared" si="6"/>
        <v>821.94690265486679</v>
      </c>
      <c r="AE31" s="13">
        <f t="shared" si="7"/>
        <v>0.19285714285714278</v>
      </c>
    </row>
    <row r="32" spans="2:31" x14ac:dyDescent="0.25">
      <c r="B32" s="4"/>
      <c r="E32" s="3"/>
      <c r="F32" s="3"/>
      <c r="G32" s="24"/>
      <c r="H32" s="24"/>
      <c r="K32" s="4"/>
      <c r="L32" s="4"/>
      <c r="M32" s="4"/>
      <c r="N32" s="4"/>
      <c r="O32" s="4"/>
      <c r="P32" s="27"/>
      <c r="Q32" s="25"/>
      <c r="R32" s="25"/>
      <c r="S32" s="12">
        <f t="shared" si="0"/>
        <v>0</v>
      </c>
      <c r="T32" s="5">
        <v>0</v>
      </c>
      <c r="U32" s="12">
        <f t="shared" si="1"/>
        <v>0</v>
      </c>
      <c r="V32" s="25" t="s">
        <v>10</v>
      </c>
      <c r="W32" s="11">
        <f>IFERROR(VLOOKUP(V32,Curr!$B$2:$C$13,2,FALSE),0)</f>
        <v>11.2</v>
      </c>
      <c r="X32" s="12">
        <f t="shared" si="2"/>
        <v>0</v>
      </c>
      <c r="Y32" s="26">
        <f t="shared" si="3"/>
        <v>0</v>
      </c>
      <c r="Z32" s="12">
        <f t="shared" si="4"/>
        <v>0</v>
      </c>
      <c r="AA32" s="4" t="s">
        <v>10</v>
      </c>
      <c r="AB32" s="11">
        <f>IFERROR(VLOOKUP(AA32,Curr!$B$2:$C$13,2,FALSE),0)</f>
        <v>11.2</v>
      </c>
      <c r="AC32" s="12">
        <f t="shared" si="5"/>
        <v>0</v>
      </c>
      <c r="AD32" s="12">
        <f t="shared" si="6"/>
        <v>0</v>
      </c>
      <c r="AE32" s="13">
        <f t="shared" si="7"/>
        <v>0</v>
      </c>
    </row>
    <row r="33" spans="2:31" x14ac:dyDescent="0.25">
      <c r="B33" s="4"/>
      <c r="C33" s="1" t="s">
        <v>81</v>
      </c>
      <c r="D33" s="1" t="s">
        <v>50</v>
      </c>
      <c r="E33" s="3"/>
      <c r="F33" s="3"/>
      <c r="G33" s="24"/>
      <c r="H33" s="24"/>
      <c r="J33" s="1" t="s">
        <v>155</v>
      </c>
      <c r="K33" s="4"/>
      <c r="L33" s="4"/>
      <c r="M33" s="4"/>
      <c r="N33" s="4"/>
      <c r="O33" s="4"/>
      <c r="P33" s="27"/>
      <c r="Q33" s="25">
        <v>0</v>
      </c>
      <c r="R33" s="25">
        <v>0</v>
      </c>
      <c r="S33" s="12">
        <f t="shared" si="0"/>
        <v>0</v>
      </c>
      <c r="T33" s="5">
        <v>0</v>
      </c>
      <c r="U33" s="12">
        <f t="shared" si="1"/>
        <v>0</v>
      </c>
      <c r="V33" s="25" t="s">
        <v>10</v>
      </c>
      <c r="W33" s="11">
        <f>IFERROR(VLOOKUP(V33,Curr!$B$2:$C$13,2,FALSE),0)</f>
        <v>11.2</v>
      </c>
      <c r="X33" s="12">
        <f t="shared" si="2"/>
        <v>0</v>
      </c>
      <c r="Y33" s="26">
        <f t="shared" si="3"/>
        <v>0</v>
      </c>
      <c r="Z33" s="12">
        <f t="shared" si="4"/>
        <v>0</v>
      </c>
      <c r="AA33" s="4" t="s">
        <v>10</v>
      </c>
      <c r="AB33" s="11">
        <f>IFERROR(VLOOKUP(AA33,Curr!$B$2:$C$13,2,FALSE),0)</f>
        <v>11.2</v>
      </c>
      <c r="AC33" s="12">
        <f t="shared" si="5"/>
        <v>0</v>
      </c>
      <c r="AD33" s="12">
        <f t="shared" si="6"/>
        <v>0</v>
      </c>
      <c r="AE33" s="13">
        <f t="shared" si="7"/>
        <v>0</v>
      </c>
    </row>
    <row r="34" spans="2:31" x14ac:dyDescent="0.25">
      <c r="B34" s="4"/>
      <c r="C34" s="1" t="s">
        <v>81</v>
      </c>
      <c r="D34" s="1" t="s">
        <v>82</v>
      </c>
      <c r="E34" s="3"/>
      <c r="F34" s="3"/>
      <c r="G34" s="24"/>
      <c r="H34" s="24"/>
      <c r="J34" s="1" t="s">
        <v>156</v>
      </c>
      <c r="K34" s="4"/>
      <c r="L34" s="4"/>
      <c r="M34" s="4"/>
      <c r="N34" s="4"/>
      <c r="O34" s="4"/>
      <c r="P34" s="33"/>
      <c r="Q34" s="25">
        <v>0</v>
      </c>
      <c r="R34" s="25">
        <v>0</v>
      </c>
      <c r="S34" s="12">
        <f t="shared" si="0"/>
        <v>0</v>
      </c>
      <c r="T34" s="5">
        <v>0</v>
      </c>
      <c r="U34" s="12">
        <f t="shared" si="1"/>
        <v>0</v>
      </c>
      <c r="V34" s="25" t="s">
        <v>10</v>
      </c>
      <c r="W34" s="11">
        <f>IFERROR(VLOOKUP(V34,Curr!$B$2:$C$13,2,FALSE),0)</f>
        <v>11.2</v>
      </c>
      <c r="X34" s="12">
        <f t="shared" si="2"/>
        <v>0</v>
      </c>
      <c r="Y34" s="26">
        <f t="shared" si="3"/>
        <v>0</v>
      </c>
      <c r="Z34" s="12">
        <f t="shared" si="4"/>
        <v>0</v>
      </c>
      <c r="AA34" s="4" t="s">
        <v>10</v>
      </c>
      <c r="AB34" s="11">
        <f>IFERROR(VLOOKUP(AA34,Curr!$B$2:$C$13,2,FALSE),0)</f>
        <v>11.2</v>
      </c>
      <c r="AC34" s="12">
        <f t="shared" si="5"/>
        <v>0</v>
      </c>
      <c r="AD34" s="12">
        <f t="shared" si="6"/>
        <v>0</v>
      </c>
      <c r="AE34" s="13">
        <f t="shared" si="7"/>
        <v>0</v>
      </c>
    </row>
    <row r="35" spans="2:31" x14ac:dyDescent="0.25">
      <c r="B35" s="4"/>
      <c r="E35" s="3"/>
      <c r="F35" s="3"/>
      <c r="G35" s="24"/>
      <c r="H35" s="24"/>
      <c r="K35" s="4"/>
      <c r="L35" s="4"/>
      <c r="M35" s="4"/>
      <c r="N35" s="4"/>
      <c r="O35" s="4"/>
      <c r="P35" s="27"/>
      <c r="Q35" s="25"/>
      <c r="R35" s="25"/>
      <c r="S35" s="12">
        <f t="shared" si="0"/>
        <v>0</v>
      </c>
      <c r="T35" s="5">
        <v>0</v>
      </c>
      <c r="U35" s="12">
        <f t="shared" si="1"/>
        <v>0</v>
      </c>
      <c r="V35" s="25" t="s">
        <v>10</v>
      </c>
      <c r="W35" s="11">
        <f>IFERROR(VLOOKUP(V35,Curr!$B$2:$C$13,2,FALSE),0)</f>
        <v>11.2</v>
      </c>
      <c r="X35" s="12">
        <f t="shared" si="2"/>
        <v>0</v>
      </c>
      <c r="Y35" s="26">
        <f t="shared" si="3"/>
        <v>0</v>
      </c>
      <c r="Z35" s="12">
        <f t="shared" si="4"/>
        <v>0</v>
      </c>
      <c r="AA35" s="4" t="s">
        <v>10</v>
      </c>
      <c r="AB35" s="11">
        <f>IFERROR(VLOOKUP(AA35,Curr!$B$2:$C$13,2,FALSE),0)</f>
        <v>11.2</v>
      </c>
      <c r="AC35" s="12">
        <f t="shared" si="5"/>
        <v>0</v>
      </c>
      <c r="AD35" s="12">
        <f t="shared" si="6"/>
        <v>0</v>
      </c>
      <c r="AE35" s="13">
        <f t="shared" si="7"/>
        <v>0</v>
      </c>
    </row>
    <row r="36" spans="2:31" x14ac:dyDescent="0.25">
      <c r="B36" s="4"/>
      <c r="E36" s="3"/>
      <c r="F36" s="3"/>
      <c r="G36" s="24"/>
      <c r="H36" s="24"/>
      <c r="K36" s="4"/>
      <c r="L36" s="4"/>
      <c r="M36" s="4"/>
      <c r="N36" s="4"/>
      <c r="O36" s="4"/>
      <c r="P36" s="33"/>
      <c r="Q36" s="25"/>
      <c r="R36" s="25"/>
      <c r="S36" s="12">
        <f t="shared" si="0"/>
        <v>0</v>
      </c>
      <c r="T36" s="5">
        <v>0</v>
      </c>
      <c r="U36" s="12">
        <f t="shared" si="1"/>
        <v>0</v>
      </c>
      <c r="V36" s="25" t="s">
        <v>10</v>
      </c>
      <c r="W36" s="11">
        <f>IFERROR(VLOOKUP(V36,Curr!$B$2:$C$13,2,FALSE),0)</f>
        <v>11.2</v>
      </c>
      <c r="X36" s="12">
        <f t="shared" si="2"/>
        <v>0</v>
      </c>
      <c r="Y36" s="26">
        <f t="shared" si="3"/>
        <v>0</v>
      </c>
      <c r="Z36" s="12">
        <f t="shared" si="4"/>
        <v>0</v>
      </c>
      <c r="AA36" s="4" t="s">
        <v>10</v>
      </c>
      <c r="AB36" s="11">
        <f>IFERROR(VLOOKUP(AA36,Curr!$B$2:$C$13,2,FALSE),0)</f>
        <v>11.2</v>
      </c>
      <c r="AC36" s="12">
        <f t="shared" si="5"/>
        <v>0</v>
      </c>
      <c r="AD36" s="12">
        <f t="shared" si="6"/>
        <v>0</v>
      </c>
      <c r="AE36" s="13">
        <f t="shared" si="7"/>
        <v>0</v>
      </c>
    </row>
    <row r="37" spans="2:31" x14ac:dyDescent="0.25">
      <c r="B37" s="4"/>
      <c r="C37" s="1" t="s">
        <v>55</v>
      </c>
      <c r="D37" s="1" t="s">
        <v>93</v>
      </c>
      <c r="E37" s="3"/>
      <c r="F37" s="3"/>
      <c r="G37" s="24"/>
      <c r="H37" s="24"/>
      <c r="J37" s="1" t="s">
        <v>95</v>
      </c>
      <c r="K37" s="4"/>
      <c r="L37" s="4"/>
      <c r="M37" s="4"/>
      <c r="N37" s="4"/>
      <c r="O37" s="4"/>
      <c r="P37" s="33"/>
      <c r="Q37" s="25">
        <v>1750</v>
      </c>
      <c r="R37" s="25">
        <v>0</v>
      </c>
      <c r="S37" s="12">
        <f t="shared" si="0"/>
        <v>0</v>
      </c>
      <c r="T37" s="5">
        <v>0</v>
      </c>
      <c r="U37" s="12">
        <f t="shared" si="1"/>
        <v>0</v>
      </c>
      <c r="V37" s="25" t="s">
        <v>8</v>
      </c>
      <c r="W37" s="11">
        <f>IFERROR(VLOOKUP(V37,Curr!$B$2:$C$13,2,FALSE),0)</f>
        <v>1</v>
      </c>
      <c r="X37" s="12">
        <f t="shared" si="2"/>
        <v>0</v>
      </c>
      <c r="Y37" s="26">
        <f>Q37/11.3/0.8</f>
        <v>193.58407079646017</v>
      </c>
      <c r="Z37" s="12">
        <f t="shared" si="4"/>
        <v>0</v>
      </c>
      <c r="AA37" s="4" t="s">
        <v>10</v>
      </c>
      <c r="AB37" s="11">
        <f>IFERROR(VLOOKUP(AA37,Curr!$B$2:$C$13,2,FALSE),0)</f>
        <v>11.2</v>
      </c>
      <c r="AC37" s="12">
        <f t="shared" si="5"/>
        <v>0</v>
      </c>
      <c r="AD37" s="12">
        <f t="shared" si="6"/>
        <v>0</v>
      </c>
      <c r="AE37" s="13">
        <f t="shared" si="7"/>
        <v>0</v>
      </c>
    </row>
    <row r="38" spans="2:31" x14ac:dyDescent="0.25">
      <c r="B38" s="4"/>
      <c r="C38" s="1" t="s">
        <v>63</v>
      </c>
      <c r="D38" s="1" t="s">
        <v>93</v>
      </c>
      <c r="E38" s="3"/>
      <c r="F38" s="3"/>
      <c r="G38" s="24"/>
      <c r="H38" s="24"/>
      <c r="J38" s="1" t="s">
        <v>96</v>
      </c>
      <c r="K38" s="4"/>
      <c r="L38" s="4"/>
      <c r="M38" s="4"/>
      <c r="N38" s="4"/>
      <c r="O38" s="4"/>
      <c r="P38" s="27"/>
      <c r="Q38" s="25">
        <v>1290</v>
      </c>
      <c r="R38" s="25">
        <v>0</v>
      </c>
      <c r="S38" s="12">
        <f t="shared" si="0"/>
        <v>0</v>
      </c>
      <c r="T38" s="5">
        <v>0.15</v>
      </c>
      <c r="U38" s="12">
        <f t="shared" si="1"/>
        <v>0</v>
      </c>
      <c r="V38" s="25" t="s">
        <v>8</v>
      </c>
      <c r="W38" s="11">
        <f>IFERROR(VLOOKUP(V38,Curr!$B$2:$C$13,2,FALSE),0)</f>
        <v>1</v>
      </c>
      <c r="X38" s="12">
        <f t="shared" si="2"/>
        <v>0</v>
      </c>
      <c r="Y38" s="26">
        <f>Q38/11.3/0.98</f>
        <v>116.48907350550839</v>
      </c>
      <c r="Z38" s="12">
        <f t="shared" si="4"/>
        <v>0</v>
      </c>
      <c r="AA38" s="4" t="s">
        <v>10</v>
      </c>
      <c r="AB38" s="11">
        <f>IFERROR(VLOOKUP(AA38,Curr!$B$2:$C$13,2,FALSE),0)</f>
        <v>11.2</v>
      </c>
      <c r="AC38" s="12">
        <f t="shared" si="5"/>
        <v>0</v>
      </c>
      <c r="AD38" s="12">
        <f t="shared" si="6"/>
        <v>0</v>
      </c>
      <c r="AE38" s="13">
        <f t="shared" si="7"/>
        <v>0</v>
      </c>
    </row>
    <row r="39" spans="2:31" x14ac:dyDescent="0.25">
      <c r="B39" s="4"/>
      <c r="C39" s="1" t="s">
        <v>78</v>
      </c>
      <c r="D39" s="1" t="s">
        <v>93</v>
      </c>
      <c r="E39" s="3"/>
      <c r="F39" s="3"/>
      <c r="G39" s="24"/>
      <c r="H39" s="24"/>
      <c r="J39" s="1" t="s">
        <v>97</v>
      </c>
      <c r="K39" s="4"/>
      <c r="L39" s="4"/>
      <c r="M39" s="4"/>
      <c r="N39" s="4"/>
      <c r="O39" s="4"/>
      <c r="P39" s="33"/>
      <c r="Q39" s="25">
        <v>1690</v>
      </c>
      <c r="R39" s="25">
        <v>0</v>
      </c>
      <c r="S39" s="12">
        <f t="shared" si="0"/>
        <v>0</v>
      </c>
      <c r="T39" s="5">
        <v>0.15</v>
      </c>
      <c r="U39" s="12">
        <f t="shared" si="1"/>
        <v>0</v>
      </c>
      <c r="V39" s="25" t="s">
        <v>8</v>
      </c>
      <c r="W39" s="11">
        <f>IFERROR(VLOOKUP(V39,Curr!$B$2:$C$13,2,FALSE),0)</f>
        <v>1</v>
      </c>
      <c r="X39" s="12">
        <f t="shared" si="2"/>
        <v>0</v>
      </c>
      <c r="Y39" s="26">
        <f>Q39/11.3/0.98</f>
        <v>152.60971645295285</v>
      </c>
      <c r="Z39" s="12">
        <f t="shared" si="4"/>
        <v>0</v>
      </c>
      <c r="AA39" s="4" t="s">
        <v>10</v>
      </c>
      <c r="AB39" s="11">
        <f>IFERROR(VLOOKUP(AA39,Curr!$B$2:$C$13,2,FALSE),0)</f>
        <v>11.2</v>
      </c>
      <c r="AC39" s="12">
        <f t="shared" si="5"/>
        <v>0</v>
      </c>
      <c r="AD39" s="12">
        <f t="shared" si="6"/>
        <v>0</v>
      </c>
      <c r="AE39" s="13">
        <f t="shared" si="7"/>
        <v>0</v>
      </c>
    </row>
    <row r="40" spans="2:31" x14ac:dyDescent="0.25">
      <c r="B40" s="4"/>
      <c r="C40" s="1" t="s">
        <v>78</v>
      </c>
      <c r="D40" s="1" t="s">
        <v>93</v>
      </c>
      <c r="E40" s="3"/>
      <c r="F40" s="3"/>
      <c r="G40" s="24"/>
      <c r="H40" s="24"/>
      <c r="J40" s="1" t="s">
        <v>150</v>
      </c>
      <c r="K40" s="4"/>
      <c r="L40" s="4"/>
      <c r="M40" s="4"/>
      <c r="N40" s="4"/>
      <c r="O40" s="4"/>
      <c r="P40" s="27"/>
      <c r="Q40" s="25">
        <v>900</v>
      </c>
      <c r="R40" s="25">
        <v>0</v>
      </c>
      <c r="S40" s="12">
        <f t="shared" si="0"/>
        <v>0</v>
      </c>
      <c r="T40" s="5">
        <v>0</v>
      </c>
      <c r="U40" s="12">
        <f t="shared" si="1"/>
        <v>0</v>
      </c>
      <c r="V40" s="25" t="s">
        <v>8</v>
      </c>
      <c r="W40" s="11">
        <f>IFERROR(VLOOKUP(V40,Curr!$B$2:$C$13,2,FALSE),0)</f>
        <v>1</v>
      </c>
      <c r="X40" s="12">
        <f t="shared" si="2"/>
        <v>0</v>
      </c>
      <c r="Y40" s="26">
        <f t="shared" ref="Y40:Y41" si="10">Q40/11.3/0.8</f>
        <v>99.55752212389379</v>
      </c>
      <c r="Z40" s="12">
        <f t="shared" si="4"/>
        <v>0</v>
      </c>
      <c r="AA40" s="4" t="s">
        <v>10</v>
      </c>
      <c r="AB40" s="11">
        <f>IFERROR(VLOOKUP(AA40,Curr!$B$2:$C$13,2,FALSE),0)</f>
        <v>11.2</v>
      </c>
      <c r="AC40" s="12">
        <f t="shared" si="5"/>
        <v>0</v>
      </c>
      <c r="AD40" s="12">
        <f t="shared" si="6"/>
        <v>0</v>
      </c>
      <c r="AE40" s="13">
        <f t="shared" si="7"/>
        <v>0</v>
      </c>
    </row>
    <row r="41" spans="2:31" x14ac:dyDescent="0.25">
      <c r="B41" s="4"/>
      <c r="C41" s="1" t="s">
        <v>81</v>
      </c>
      <c r="D41" s="1" t="s">
        <v>93</v>
      </c>
      <c r="E41" s="3"/>
      <c r="F41" s="3"/>
      <c r="G41" s="24"/>
      <c r="H41" s="24"/>
      <c r="J41" s="1" t="s">
        <v>151</v>
      </c>
      <c r="K41" s="4"/>
      <c r="L41" s="4"/>
      <c r="M41" s="4"/>
      <c r="N41" s="4"/>
      <c r="O41" s="4"/>
      <c r="P41" s="33"/>
      <c r="Q41" s="25">
        <v>900</v>
      </c>
      <c r="R41" s="25">
        <v>0</v>
      </c>
      <c r="S41" s="12">
        <f t="shared" si="0"/>
        <v>0</v>
      </c>
      <c r="T41" s="5">
        <v>0</v>
      </c>
      <c r="U41" s="12">
        <f t="shared" si="1"/>
        <v>0</v>
      </c>
      <c r="V41" s="25" t="s">
        <v>8</v>
      </c>
      <c r="W41" s="11">
        <f>IFERROR(VLOOKUP(V41,Curr!$B$2:$C$13,2,FALSE),0)</f>
        <v>1</v>
      </c>
      <c r="X41" s="12">
        <f t="shared" si="2"/>
        <v>0</v>
      </c>
      <c r="Y41" s="26">
        <f t="shared" si="10"/>
        <v>99.55752212389379</v>
      </c>
      <c r="Z41" s="12">
        <f t="shared" si="4"/>
        <v>0</v>
      </c>
      <c r="AA41" s="4" t="s">
        <v>10</v>
      </c>
      <c r="AB41" s="11">
        <f>IFERROR(VLOOKUP(AA41,Curr!$B$2:$C$13,2,FALSE),0)</f>
        <v>11.2</v>
      </c>
      <c r="AC41" s="12">
        <f t="shared" si="5"/>
        <v>0</v>
      </c>
      <c r="AD41" s="12">
        <f t="shared" si="6"/>
        <v>0</v>
      </c>
      <c r="AE41" s="13">
        <f t="shared" si="7"/>
        <v>0</v>
      </c>
    </row>
    <row r="42" spans="2:31" x14ac:dyDescent="0.25">
      <c r="B42" s="4"/>
      <c r="E42" s="3"/>
      <c r="F42" s="3"/>
      <c r="G42" s="24"/>
      <c r="H42" s="24"/>
      <c r="K42" s="4"/>
      <c r="L42" s="4"/>
      <c r="M42" s="4"/>
      <c r="N42" s="4"/>
      <c r="O42" s="4"/>
      <c r="P42" s="27"/>
      <c r="Q42" s="25"/>
      <c r="R42" s="25"/>
      <c r="S42" s="12">
        <f t="shared" si="0"/>
        <v>0</v>
      </c>
      <c r="T42" s="5">
        <v>0</v>
      </c>
      <c r="U42" s="12">
        <f t="shared" si="1"/>
        <v>0</v>
      </c>
      <c r="V42" s="25" t="s">
        <v>10</v>
      </c>
      <c r="W42" s="11">
        <f>IFERROR(VLOOKUP(V42,Curr!$B$2:$C$13,2,FALSE),0)</f>
        <v>11.2</v>
      </c>
      <c r="X42" s="12">
        <f t="shared" si="2"/>
        <v>0</v>
      </c>
      <c r="Y42" s="26">
        <f t="shared" si="3"/>
        <v>0</v>
      </c>
      <c r="Z42" s="12">
        <f t="shared" si="4"/>
        <v>0</v>
      </c>
      <c r="AA42" s="4" t="s">
        <v>10</v>
      </c>
      <c r="AB42" s="11">
        <f>IFERROR(VLOOKUP(AA42,Curr!$B$2:$C$13,2,FALSE),0)</f>
        <v>11.2</v>
      </c>
      <c r="AC42" s="12">
        <f t="shared" si="5"/>
        <v>0</v>
      </c>
      <c r="AD42" s="12">
        <f t="shared" si="6"/>
        <v>0</v>
      </c>
      <c r="AE42" s="13">
        <f t="shared" si="7"/>
        <v>0</v>
      </c>
    </row>
    <row r="43" spans="2:31" x14ac:dyDescent="0.25">
      <c r="B43" s="4"/>
      <c r="E43" s="3"/>
      <c r="F43" s="3"/>
      <c r="G43" s="24"/>
      <c r="H43" s="24"/>
      <c r="K43" s="4"/>
      <c r="L43" s="4"/>
      <c r="M43" s="4"/>
      <c r="N43" s="4"/>
      <c r="O43" s="4"/>
      <c r="P43" s="27"/>
      <c r="Q43" s="25"/>
      <c r="R43" s="25"/>
      <c r="S43" s="12">
        <f t="shared" si="0"/>
        <v>0</v>
      </c>
      <c r="T43" s="5">
        <v>0</v>
      </c>
      <c r="U43" s="12">
        <f t="shared" si="1"/>
        <v>0</v>
      </c>
      <c r="V43" s="25" t="s">
        <v>10</v>
      </c>
      <c r="W43" s="11">
        <f>IFERROR(VLOOKUP(V43,Curr!$B$2:$C$13,2,FALSE),0)</f>
        <v>11.2</v>
      </c>
      <c r="X43" s="12">
        <f t="shared" si="2"/>
        <v>0</v>
      </c>
      <c r="Y43" s="26">
        <f t="shared" si="3"/>
        <v>0</v>
      </c>
      <c r="Z43" s="12">
        <f t="shared" si="4"/>
        <v>0</v>
      </c>
      <c r="AA43" s="4" t="s">
        <v>10</v>
      </c>
      <c r="AB43" s="11">
        <f>IFERROR(VLOOKUP(AA43,Curr!$B$2:$C$13,2,FALSE),0)</f>
        <v>11.2</v>
      </c>
      <c r="AC43" s="12">
        <f t="shared" si="5"/>
        <v>0</v>
      </c>
      <c r="AD43" s="12">
        <f t="shared" si="6"/>
        <v>0</v>
      </c>
      <c r="AE43" s="13">
        <f t="shared" si="7"/>
        <v>0</v>
      </c>
    </row>
    <row r="44" spans="2:31" x14ac:dyDescent="0.25">
      <c r="B44" s="4"/>
      <c r="C44" s="1" t="s">
        <v>63</v>
      </c>
      <c r="D44" s="1" t="s">
        <v>94</v>
      </c>
      <c r="E44" s="3"/>
      <c r="F44" s="3"/>
      <c r="G44" s="24"/>
      <c r="H44" s="24"/>
      <c r="J44" s="1" t="s">
        <v>101</v>
      </c>
      <c r="K44" s="4"/>
      <c r="L44" s="4"/>
      <c r="M44" s="4"/>
      <c r="N44" s="4"/>
      <c r="O44" s="4" t="s">
        <v>42</v>
      </c>
      <c r="P44" s="33" t="s">
        <v>100</v>
      </c>
      <c r="Q44" s="25">
        <v>3250</v>
      </c>
      <c r="R44" s="25">
        <v>0</v>
      </c>
      <c r="S44" s="12">
        <f t="shared" si="0"/>
        <v>0</v>
      </c>
      <c r="T44" s="5">
        <v>0.08</v>
      </c>
      <c r="U44" s="12">
        <f t="shared" si="1"/>
        <v>0</v>
      </c>
      <c r="V44" s="25" t="s">
        <v>8</v>
      </c>
      <c r="W44" s="11">
        <f>IFERROR(VLOOKUP(V44,Curr!$B$2:$C$13,2,FALSE),0)</f>
        <v>1</v>
      </c>
      <c r="X44" s="12">
        <f t="shared" si="2"/>
        <v>0</v>
      </c>
      <c r="Y44" s="26">
        <f>Q44/11.3/0.9</f>
        <v>319.56735496558503</v>
      </c>
      <c r="Z44" s="12">
        <f t="shared" si="4"/>
        <v>0</v>
      </c>
      <c r="AA44" s="4" t="s">
        <v>10</v>
      </c>
      <c r="AB44" s="11">
        <f>IFERROR(VLOOKUP(AA44,Curr!$B$2:$C$13,2,FALSE),0)</f>
        <v>11.2</v>
      </c>
      <c r="AC44" s="12">
        <f t="shared" si="5"/>
        <v>0</v>
      </c>
      <c r="AD44" s="12">
        <f t="shared" si="6"/>
        <v>0</v>
      </c>
      <c r="AE44" s="13">
        <f t="shared" si="7"/>
        <v>0</v>
      </c>
    </row>
    <row r="45" spans="2:31" x14ac:dyDescent="0.25">
      <c r="B45" s="4"/>
      <c r="C45" s="1" t="s">
        <v>63</v>
      </c>
      <c r="D45" s="1" t="s">
        <v>94</v>
      </c>
      <c r="E45" s="3"/>
      <c r="F45" s="3"/>
      <c r="G45" s="24"/>
      <c r="H45" s="24"/>
      <c r="J45" s="1" t="s">
        <v>105</v>
      </c>
      <c r="K45" s="4"/>
      <c r="L45" s="4"/>
      <c r="M45" s="4"/>
      <c r="N45" s="4"/>
      <c r="O45" s="4"/>
      <c r="P45" s="33"/>
      <c r="Q45" s="25">
        <v>450</v>
      </c>
      <c r="R45" s="25">
        <v>0</v>
      </c>
      <c r="S45" s="12">
        <f t="shared" si="0"/>
        <v>0</v>
      </c>
      <c r="T45" s="5">
        <v>0</v>
      </c>
      <c r="U45" s="12">
        <f t="shared" si="1"/>
        <v>0</v>
      </c>
      <c r="V45" s="25" t="s">
        <v>8</v>
      </c>
      <c r="W45" s="11">
        <f>IFERROR(VLOOKUP(V45,Curr!$B$2:$C$13,2,FALSE),0)</f>
        <v>1</v>
      </c>
      <c r="X45" s="12">
        <f t="shared" si="2"/>
        <v>0</v>
      </c>
      <c r="Y45" s="26">
        <f>Q45/11.3/0.8</f>
        <v>49.778761061946895</v>
      </c>
      <c r="Z45" s="12">
        <f t="shared" si="4"/>
        <v>0</v>
      </c>
      <c r="AA45" s="4" t="s">
        <v>10</v>
      </c>
      <c r="AB45" s="11">
        <f>IFERROR(VLOOKUP(AA45,Curr!$B$2:$C$13,2,FALSE),0)</f>
        <v>11.2</v>
      </c>
      <c r="AC45" s="12">
        <f t="shared" si="5"/>
        <v>0</v>
      </c>
      <c r="AD45" s="12">
        <f t="shared" si="6"/>
        <v>0</v>
      </c>
      <c r="AE45" s="13">
        <f t="shared" si="7"/>
        <v>0</v>
      </c>
    </row>
    <row r="46" spans="2:31" x14ac:dyDescent="0.25">
      <c r="B46" s="4"/>
      <c r="C46" s="1" t="s">
        <v>69</v>
      </c>
      <c r="D46" s="1" t="s">
        <v>94</v>
      </c>
      <c r="E46" s="3"/>
      <c r="F46" s="3"/>
      <c r="G46" s="24"/>
      <c r="H46" s="24"/>
      <c r="J46" s="1" t="s">
        <v>106</v>
      </c>
      <c r="K46" s="4"/>
      <c r="L46" s="4"/>
      <c r="M46" s="4"/>
      <c r="N46" s="4"/>
      <c r="O46" s="4" t="s">
        <v>42</v>
      </c>
      <c r="P46" s="33" t="s">
        <v>107</v>
      </c>
      <c r="Q46" s="25">
        <v>71</v>
      </c>
      <c r="R46" s="25">
        <v>0</v>
      </c>
      <c r="S46" s="12">
        <f t="shared" si="0"/>
        <v>0</v>
      </c>
      <c r="T46" s="5">
        <v>0.2</v>
      </c>
      <c r="U46" s="12">
        <f t="shared" si="1"/>
        <v>0</v>
      </c>
      <c r="V46" s="25" t="s">
        <v>10</v>
      </c>
      <c r="W46" s="11">
        <f>IFERROR(VLOOKUP(V46,Curr!$B$2:$C$13,2,FALSE),0)</f>
        <v>11.2</v>
      </c>
      <c r="X46" s="12">
        <f t="shared" si="2"/>
        <v>0</v>
      </c>
      <c r="Y46" s="26">
        <f t="shared" ref="Y46" si="11">Q46</f>
        <v>71</v>
      </c>
      <c r="Z46" s="12">
        <f t="shared" si="4"/>
        <v>0</v>
      </c>
      <c r="AA46" s="4" t="s">
        <v>10</v>
      </c>
      <c r="AB46" s="11">
        <f>IFERROR(VLOOKUP(AA46,Curr!$B$2:$C$13,2,FALSE),0)</f>
        <v>11.2</v>
      </c>
      <c r="AC46" s="12">
        <f t="shared" si="5"/>
        <v>0</v>
      </c>
      <c r="AD46" s="12">
        <f t="shared" si="6"/>
        <v>0</v>
      </c>
      <c r="AE46" s="13">
        <f t="shared" si="7"/>
        <v>0</v>
      </c>
    </row>
    <row r="47" spans="2:31" x14ac:dyDescent="0.25">
      <c r="B47" s="4"/>
      <c r="E47" s="3"/>
      <c r="F47" s="3"/>
      <c r="G47" s="24"/>
      <c r="H47" s="24"/>
      <c r="K47" s="4"/>
      <c r="L47" s="4"/>
      <c r="M47" s="4"/>
      <c r="N47" s="4"/>
      <c r="O47" s="4" t="s">
        <v>42</v>
      </c>
      <c r="P47" s="33"/>
      <c r="Q47" s="25">
        <v>0</v>
      </c>
      <c r="R47" s="25">
        <v>0</v>
      </c>
      <c r="S47" s="12">
        <f t="shared" si="0"/>
        <v>0</v>
      </c>
      <c r="T47" s="5">
        <v>0.2</v>
      </c>
      <c r="U47" s="12">
        <f t="shared" si="1"/>
        <v>0</v>
      </c>
      <c r="V47" s="25" t="s">
        <v>8</v>
      </c>
      <c r="W47" s="11">
        <f>IFERROR(VLOOKUP(V47,Curr!$B$2:$C$13,2,FALSE),0)</f>
        <v>1</v>
      </c>
      <c r="X47" s="12">
        <f t="shared" si="2"/>
        <v>0</v>
      </c>
      <c r="Y47" s="26">
        <f t="shared" ref="Y47" si="12">Q47/11.3</f>
        <v>0</v>
      </c>
      <c r="Z47" s="12">
        <f t="shared" si="4"/>
        <v>0</v>
      </c>
      <c r="AA47" s="4" t="s">
        <v>10</v>
      </c>
      <c r="AB47" s="11">
        <f>IFERROR(VLOOKUP(AA47,Curr!$B$2:$C$13,2,FALSE),0)</f>
        <v>11.2</v>
      </c>
      <c r="AC47" s="12">
        <f t="shared" si="5"/>
        <v>0</v>
      </c>
      <c r="AD47" s="12">
        <f t="shared" si="6"/>
        <v>0</v>
      </c>
      <c r="AE47" s="13">
        <f t="shared" si="7"/>
        <v>0</v>
      </c>
    </row>
    <row r="48" spans="2:31" x14ac:dyDescent="0.25">
      <c r="B48" s="4"/>
      <c r="E48" s="3"/>
      <c r="F48" s="3"/>
      <c r="G48" s="24"/>
      <c r="H48" s="24"/>
      <c r="K48" s="4"/>
      <c r="L48" s="4"/>
      <c r="M48" s="4"/>
      <c r="N48" s="4"/>
      <c r="O48" s="4"/>
      <c r="P48" s="27"/>
      <c r="Q48" s="25"/>
      <c r="R48" s="25"/>
      <c r="S48" s="12">
        <f t="shared" si="0"/>
        <v>0</v>
      </c>
      <c r="T48" s="5">
        <v>0</v>
      </c>
      <c r="U48" s="12">
        <f t="shared" si="1"/>
        <v>0</v>
      </c>
      <c r="V48" s="25" t="s">
        <v>10</v>
      </c>
      <c r="W48" s="11">
        <f>IFERROR(VLOOKUP(V48,Curr!$B$2:$C$13,2,FALSE),0)</f>
        <v>11.2</v>
      </c>
      <c r="X48" s="12">
        <f t="shared" si="2"/>
        <v>0</v>
      </c>
      <c r="Y48" s="26">
        <f t="shared" si="3"/>
        <v>0</v>
      </c>
      <c r="Z48" s="12">
        <f t="shared" si="4"/>
        <v>0</v>
      </c>
      <c r="AA48" s="4" t="s">
        <v>10</v>
      </c>
      <c r="AB48" s="11">
        <f>IFERROR(VLOOKUP(AA48,Curr!$B$2:$C$13,2,FALSE),0)</f>
        <v>11.2</v>
      </c>
      <c r="AC48" s="12">
        <f t="shared" si="5"/>
        <v>0</v>
      </c>
      <c r="AD48" s="12">
        <f t="shared" si="6"/>
        <v>0</v>
      </c>
      <c r="AE48" s="13">
        <f t="shared" si="7"/>
        <v>0</v>
      </c>
    </row>
    <row r="49" spans="2:36" x14ac:dyDescent="0.25">
      <c r="B49" s="4"/>
      <c r="E49" s="3"/>
      <c r="F49" s="3"/>
      <c r="G49" s="24"/>
      <c r="H49" s="24"/>
      <c r="K49" s="4"/>
      <c r="L49" s="4"/>
      <c r="M49" s="4"/>
      <c r="N49" s="4"/>
      <c r="O49" s="4"/>
      <c r="P49" s="33"/>
      <c r="Q49" s="25"/>
      <c r="R49" s="25"/>
      <c r="S49" s="12">
        <f t="shared" si="0"/>
        <v>0</v>
      </c>
      <c r="T49" s="5">
        <v>0</v>
      </c>
      <c r="U49" s="12">
        <f t="shared" si="1"/>
        <v>0</v>
      </c>
      <c r="V49" s="25" t="s">
        <v>10</v>
      </c>
      <c r="W49" s="11">
        <f>IFERROR(VLOOKUP(V49,Curr!$B$2:$C$13,2,FALSE),0)</f>
        <v>11.2</v>
      </c>
      <c r="X49" s="12">
        <f t="shared" si="2"/>
        <v>0</v>
      </c>
      <c r="Y49" s="26">
        <f t="shared" si="3"/>
        <v>0</v>
      </c>
      <c r="Z49" s="12">
        <f t="shared" si="4"/>
        <v>0</v>
      </c>
      <c r="AA49" s="4" t="s">
        <v>10</v>
      </c>
      <c r="AB49" s="11">
        <f>IFERROR(VLOOKUP(AA49,Curr!$B$2:$C$13,2,FALSE),0)</f>
        <v>11.2</v>
      </c>
      <c r="AC49" s="12">
        <f t="shared" si="5"/>
        <v>0</v>
      </c>
      <c r="AD49" s="12">
        <f t="shared" si="6"/>
        <v>0</v>
      </c>
      <c r="AE49" s="13">
        <f t="shared" si="7"/>
        <v>0</v>
      </c>
    </row>
    <row r="50" spans="2:36" x14ac:dyDescent="0.25">
      <c r="B50" s="4"/>
      <c r="E50" s="3"/>
      <c r="F50" s="3"/>
      <c r="G50" s="24"/>
      <c r="H50" s="24"/>
      <c r="K50" s="4"/>
      <c r="L50" s="4"/>
      <c r="M50" s="4"/>
      <c r="N50" s="4"/>
      <c r="O50" s="4"/>
      <c r="P50" s="27"/>
      <c r="Q50" s="25"/>
      <c r="R50" s="25"/>
      <c r="S50" s="12">
        <f t="shared" si="0"/>
        <v>0</v>
      </c>
      <c r="T50" s="5">
        <v>0</v>
      </c>
      <c r="U50" s="12">
        <f t="shared" si="1"/>
        <v>0</v>
      </c>
      <c r="V50" s="25" t="s">
        <v>10</v>
      </c>
      <c r="W50" s="11">
        <f>IFERROR(VLOOKUP(V50,Curr!$B$2:$C$13,2,FALSE),0)</f>
        <v>11.2</v>
      </c>
      <c r="X50" s="12">
        <f t="shared" si="2"/>
        <v>0</v>
      </c>
      <c r="Y50" s="26">
        <f t="shared" si="3"/>
        <v>0</v>
      </c>
      <c r="Z50" s="12">
        <f t="shared" si="4"/>
        <v>0</v>
      </c>
      <c r="AA50" s="4" t="s">
        <v>10</v>
      </c>
      <c r="AB50" s="11">
        <f>IFERROR(VLOOKUP(AA50,Curr!$B$2:$C$13,2,FALSE),0)</f>
        <v>11.2</v>
      </c>
      <c r="AC50" s="12">
        <f t="shared" si="5"/>
        <v>0</v>
      </c>
      <c r="AD50" s="12">
        <f t="shared" si="6"/>
        <v>0</v>
      </c>
      <c r="AE50" s="13">
        <f t="shared" si="7"/>
        <v>0</v>
      </c>
    </row>
    <row r="51" spans="2:36" x14ac:dyDescent="0.25">
      <c r="B51" s="4"/>
      <c r="E51" s="3"/>
      <c r="F51" s="3"/>
      <c r="G51" s="24"/>
      <c r="H51" s="24"/>
      <c r="K51" s="4"/>
      <c r="L51" s="4"/>
      <c r="M51" s="4"/>
      <c r="N51" s="4"/>
      <c r="O51" s="4"/>
      <c r="P51" s="27"/>
      <c r="Q51" s="25"/>
      <c r="R51" s="25"/>
      <c r="S51" s="12">
        <f t="shared" si="0"/>
        <v>0</v>
      </c>
      <c r="T51" s="5">
        <v>0</v>
      </c>
      <c r="U51" s="12">
        <f t="shared" si="1"/>
        <v>0</v>
      </c>
      <c r="V51" s="25" t="s">
        <v>10</v>
      </c>
      <c r="W51" s="11">
        <f>IFERROR(VLOOKUP(V51,Curr!$B$2:$C$13,2,FALSE),0)</f>
        <v>11.2</v>
      </c>
      <c r="X51" s="12">
        <f t="shared" si="2"/>
        <v>0</v>
      </c>
      <c r="Y51" s="26">
        <f t="shared" si="3"/>
        <v>0</v>
      </c>
      <c r="Z51" s="12">
        <f t="shared" si="4"/>
        <v>0</v>
      </c>
      <c r="AA51" s="4" t="s">
        <v>10</v>
      </c>
      <c r="AB51" s="11">
        <f>IFERROR(VLOOKUP(AA51,Curr!$B$2:$C$13,2,FALSE),0)</f>
        <v>11.2</v>
      </c>
      <c r="AC51" s="12">
        <f t="shared" si="5"/>
        <v>0</v>
      </c>
      <c r="AD51" s="12">
        <f t="shared" si="6"/>
        <v>0</v>
      </c>
      <c r="AE51" s="13">
        <f t="shared" si="7"/>
        <v>0</v>
      </c>
    </row>
    <row r="52" spans="2:36" x14ac:dyDescent="0.25">
      <c r="B52" s="4"/>
      <c r="E52" s="3"/>
      <c r="F52" s="3"/>
      <c r="G52" s="24"/>
      <c r="H52" s="24"/>
      <c r="K52" s="4"/>
      <c r="L52" s="4"/>
      <c r="M52" s="4"/>
      <c r="N52" s="4"/>
      <c r="O52" s="4"/>
      <c r="P52" s="27"/>
      <c r="Q52" s="25"/>
      <c r="R52" s="25"/>
      <c r="S52" s="12">
        <f t="shared" si="0"/>
        <v>0</v>
      </c>
      <c r="T52" s="5">
        <v>0</v>
      </c>
      <c r="U52" s="12">
        <f t="shared" si="1"/>
        <v>0</v>
      </c>
      <c r="V52" s="25" t="s">
        <v>10</v>
      </c>
      <c r="W52" s="11">
        <f>IFERROR(VLOOKUP(V52,Curr!$B$2:$C$13,2,FALSE),0)</f>
        <v>11.2</v>
      </c>
      <c r="X52" s="12">
        <f t="shared" si="2"/>
        <v>0</v>
      </c>
      <c r="Y52" s="26">
        <f t="shared" si="3"/>
        <v>0</v>
      </c>
      <c r="Z52" s="12">
        <f t="shared" si="4"/>
        <v>0</v>
      </c>
      <c r="AA52" s="4" t="s">
        <v>10</v>
      </c>
      <c r="AB52" s="11">
        <f>IFERROR(VLOOKUP(AA52,Curr!$B$2:$C$13,2,FALSE),0)</f>
        <v>11.2</v>
      </c>
      <c r="AC52" s="12">
        <f t="shared" si="5"/>
        <v>0</v>
      </c>
      <c r="AD52" s="12">
        <f t="shared" si="6"/>
        <v>0</v>
      </c>
      <c r="AE52" s="13">
        <f t="shared" si="7"/>
        <v>0</v>
      </c>
    </row>
    <row r="53" spans="2:36" x14ac:dyDescent="0.25">
      <c r="B53" s="4"/>
      <c r="E53" s="3"/>
      <c r="F53" s="3"/>
      <c r="G53" s="24"/>
      <c r="H53" s="24"/>
      <c r="K53" s="4"/>
      <c r="L53" s="4"/>
      <c r="M53" s="4"/>
      <c r="N53" s="4"/>
      <c r="O53" s="4"/>
      <c r="P53" s="27"/>
      <c r="Q53" s="25"/>
      <c r="R53" s="25"/>
      <c r="S53" s="12">
        <f t="shared" si="0"/>
        <v>0</v>
      </c>
      <c r="T53" s="5">
        <v>0</v>
      </c>
      <c r="U53" s="12">
        <f t="shared" si="1"/>
        <v>0</v>
      </c>
      <c r="V53" s="25" t="s">
        <v>10</v>
      </c>
      <c r="W53" s="11">
        <f>IFERROR(VLOOKUP(V53,Curr!$B$2:$C$13,2,FALSE),0)</f>
        <v>11.2</v>
      </c>
      <c r="X53" s="12">
        <f t="shared" si="2"/>
        <v>0</v>
      </c>
      <c r="Y53" s="26">
        <f t="shared" si="3"/>
        <v>0</v>
      </c>
      <c r="Z53" s="12">
        <f t="shared" si="4"/>
        <v>0</v>
      </c>
      <c r="AA53" s="4" t="s">
        <v>10</v>
      </c>
      <c r="AB53" s="11">
        <f>IFERROR(VLOOKUP(AA53,Curr!$B$2:$C$13,2,FALSE),0)</f>
        <v>11.2</v>
      </c>
      <c r="AC53" s="12">
        <f t="shared" si="5"/>
        <v>0</v>
      </c>
      <c r="AD53" s="12">
        <f t="shared" si="6"/>
        <v>0</v>
      </c>
      <c r="AE53" s="13">
        <f t="shared" si="7"/>
        <v>0</v>
      </c>
    </row>
    <row r="54" spans="2:36" x14ac:dyDescent="0.25">
      <c r="B54" s="4"/>
      <c r="E54" s="3"/>
      <c r="F54" s="3"/>
      <c r="G54" s="3"/>
      <c r="H54" s="3"/>
      <c r="L54" s="4"/>
      <c r="M54" s="4"/>
      <c r="N54" s="4"/>
      <c r="O54" s="4"/>
      <c r="P54" s="22"/>
      <c r="Q54" s="4"/>
      <c r="R54" s="4"/>
      <c r="S54" s="4"/>
      <c r="T54" s="4"/>
      <c r="U54" s="4"/>
      <c r="V54" s="4"/>
      <c r="W54" s="4"/>
      <c r="X54" s="4"/>
      <c r="Y54" s="4"/>
      <c r="Z54" s="4"/>
      <c r="AA54" s="4"/>
      <c r="AB54" s="4"/>
      <c r="AC54" s="4"/>
      <c r="AD54" s="4"/>
      <c r="AE54" s="4"/>
      <c r="AF54" s="4"/>
    </row>
    <row r="55" spans="2:36" x14ac:dyDescent="0.25">
      <c r="B55" s="14" t="s">
        <v>18</v>
      </c>
      <c r="C55" s="14"/>
      <c r="D55" s="28" t="s">
        <v>42</v>
      </c>
      <c r="E55" s="30" t="s">
        <v>42</v>
      </c>
      <c r="F55" s="30" t="s">
        <v>42</v>
      </c>
      <c r="G55" s="30" t="s">
        <v>42</v>
      </c>
      <c r="H55" s="30" t="s">
        <v>42</v>
      </c>
      <c r="I55" s="28" t="s">
        <v>42</v>
      </c>
      <c r="J55" s="28" t="s">
        <v>42</v>
      </c>
      <c r="K55" s="28" t="s">
        <v>42</v>
      </c>
      <c r="L55" s="28" t="s">
        <v>42</v>
      </c>
      <c r="M55" s="28" t="s">
        <v>42</v>
      </c>
      <c r="N55" s="28" t="s">
        <v>42</v>
      </c>
      <c r="O55" s="28" t="s">
        <v>42</v>
      </c>
      <c r="P55" s="28" t="s">
        <v>42</v>
      </c>
      <c r="Q55" s="31" t="s">
        <v>42</v>
      </c>
      <c r="R55" s="28" t="s">
        <v>42</v>
      </c>
      <c r="S55" s="32" t="s">
        <v>42</v>
      </c>
      <c r="T55" s="28" t="s">
        <v>42</v>
      </c>
      <c r="U55" s="32" t="s">
        <v>42</v>
      </c>
      <c r="V55" s="28" t="s">
        <v>42</v>
      </c>
      <c r="W55" s="28" t="s">
        <v>42</v>
      </c>
      <c r="X55" s="32" t="s">
        <v>42</v>
      </c>
      <c r="Y55" s="32" t="s">
        <v>42</v>
      </c>
      <c r="Z55" s="15">
        <f>SUM(Z7:Z53)</f>
        <v>2502.4323269130659</v>
      </c>
      <c r="AA55" s="14"/>
      <c r="AB55" s="14"/>
      <c r="AC55" s="15">
        <f>SUM(AC7:AC53)</f>
        <v>28027.242061426339</v>
      </c>
      <c r="AD55" s="15">
        <f>SUM(AD7:AD53)</f>
        <v>5271.642061426337</v>
      </c>
      <c r="AE55" s="21">
        <f t="shared" ref="AE55" si="13">IFERROR(AD55/AC55,0)</f>
        <v>0.18808993228347837</v>
      </c>
      <c r="AF55" s="15">
        <f>SUM(AF8:AF54)</f>
        <v>0</v>
      </c>
      <c r="AG55" s="15">
        <f>SUM(AG8:AG54)</f>
        <v>0</v>
      </c>
      <c r="AH55" s="15">
        <f>SUM(AH8:AH54)</f>
        <v>0</v>
      </c>
      <c r="AI55" s="15">
        <f>SUM(AI8:AI54)</f>
        <v>0</v>
      </c>
      <c r="AJ55" s="15">
        <f>SUM(AJ8:AJ54)</f>
        <v>0</v>
      </c>
    </row>
    <row r="56" spans="2:36" x14ac:dyDescent="0.25">
      <c r="B56" s="4"/>
      <c r="E56" s="3"/>
      <c r="F56" s="3"/>
      <c r="G56" s="3"/>
      <c r="H56" s="3"/>
      <c r="L56" s="4"/>
      <c r="M56" s="4"/>
      <c r="N56" s="4"/>
      <c r="O56" s="4"/>
      <c r="Q56" s="4"/>
      <c r="R56" s="4"/>
      <c r="S56" s="4"/>
      <c r="T56" s="4"/>
      <c r="U56" s="4"/>
      <c r="V56" s="4"/>
      <c r="W56" s="4"/>
      <c r="X56" s="4"/>
      <c r="Y56" s="9"/>
      <c r="Z56" s="9"/>
      <c r="AA56" s="9"/>
      <c r="AB56" s="9"/>
      <c r="AC56" s="9"/>
      <c r="AD56" s="9"/>
      <c r="AE56" s="9"/>
    </row>
    <row r="57" spans="2:36" x14ac:dyDescent="0.25">
      <c r="B57" s="4"/>
      <c r="E57" s="3"/>
      <c r="F57" s="3"/>
      <c r="G57" s="3"/>
      <c r="H57" s="3"/>
      <c r="L57" s="4"/>
      <c r="M57" s="4"/>
      <c r="N57" s="4"/>
      <c r="O57" s="4"/>
      <c r="Q57" s="9"/>
      <c r="R57" s="9"/>
      <c r="S57" s="9"/>
      <c r="T57" s="9"/>
      <c r="U57" s="9"/>
      <c r="V57" s="9"/>
      <c r="W57" s="9"/>
      <c r="X57" s="23"/>
      <c r="Y57" s="34" t="s">
        <v>102</v>
      </c>
      <c r="Z57" s="34">
        <v>1310</v>
      </c>
      <c r="AA57" s="9"/>
      <c r="AB57" s="9"/>
      <c r="AC57" s="9"/>
      <c r="AD57" s="9"/>
      <c r="AE57" s="9"/>
    </row>
    <row r="58" spans="2:36" x14ac:dyDescent="0.25">
      <c r="B58" s="4"/>
      <c r="E58" s="3"/>
      <c r="F58" s="3"/>
      <c r="G58" s="3"/>
      <c r="H58" s="3"/>
      <c r="L58" s="4"/>
      <c r="M58" s="4"/>
      <c r="N58" s="4"/>
      <c r="O58" s="4"/>
      <c r="Q58" s="9"/>
      <c r="R58" s="9"/>
      <c r="S58" s="9"/>
      <c r="T58" s="9"/>
      <c r="U58" s="9"/>
      <c r="V58" s="9"/>
      <c r="W58" s="9"/>
      <c r="X58" s="9"/>
      <c r="Y58" s="35" t="s">
        <v>103</v>
      </c>
      <c r="Z58" s="34">
        <f>Z9+Z15+Z23+Z25</f>
        <v>1198.2300884955753</v>
      </c>
      <c r="AA58" s="9"/>
      <c r="AB58" s="9"/>
      <c r="AC58" s="9"/>
      <c r="AD58" s="9"/>
      <c r="AE58" s="9"/>
      <c r="AF58" s="18"/>
    </row>
    <row r="59" spans="2:36" x14ac:dyDescent="0.25">
      <c r="B59" s="4"/>
      <c r="E59" s="3"/>
      <c r="F59" s="3"/>
      <c r="G59" s="3"/>
      <c r="H59" s="3"/>
      <c r="I59" s="19"/>
      <c r="L59" s="4"/>
      <c r="M59" s="4"/>
      <c r="N59" s="4"/>
      <c r="O59" s="20"/>
      <c r="Q59" s="20"/>
      <c r="R59" s="20"/>
      <c r="S59" s="20"/>
      <c r="T59" s="20"/>
      <c r="U59" s="20"/>
      <c r="V59" s="20"/>
      <c r="W59" s="20"/>
      <c r="X59" s="20"/>
      <c r="Y59" s="34" t="s">
        <v>104</v>
      </c>
      <c r="Z59" s="34">
        <v>2520</v>
      </c>
      <c r="AA59" s="9"/>
      <c r="AB59" s="9"/>
      <c r="AC59" s="9"/>
      <c r="AD59" s="9"/>
      <c r="AE59" s="9"/>
      <c r="AF59" s="18"/>
    </row>
    <row r="60" spans="2:36" x14ac:dyDescent="0.25">
      <c r="B60" s="4"/>
      <c r="E60" s="3"/>
      <c r="F60" s="3"/>
      <c r="G60" s="3"/>
      <c r="H60" s="3"/>
      <c r="L60" s="4"/>
      <c r="M60" s="4"/>
      <c r="N60" s="4"/>
      <c r="O60" s="20"/>
      <c r="Q60" s="20"/>
      <c r="R60" s="20"/>
      <c r="S60" s="20"/>
      <c r="T60" s="20"/>
      <c r="U60" s="20"/>
      <c r="V60" s="20"/>
      <c r="W60" s="20"/>
      <c r="X60" s="20"/>
      <c r="Y60" s="34" t="s">
        <v>43</v>
      </c>
      <c r="Z60" s="34">
        <f>Z59/2</f>
        <v>1260</v>
      </c>
      <c r="AA60" s="9"/>
      <c r="AB60" s="9"/>
      <c r="AC60" s="9"/>
      <c r="AD60" s="9"/>
      <c r="AE60" s="9"/>
      <c r="AF60" s="18"/>
    </row>
    <row r="61" spans="2:36" x14ac:dyDescent="0.25">
      <c r="B61" s="4"/>
      <c r="E61" s="3"/>
      <c r="F61" s="3"/>
      <c r="G61" s="3"/>
      <c r="H61" s="3"/>
      <c r="L61" s="4"/>
      <c r="M61" s="4"/>
      <c r="N61" s="4"/>
      <c r="O61" s="4"/>
      <c r="Q61" s="9"/>
      <c r="R61" s="9"/>
      <c r="S61" s="9"/>
      <c r="T61" s="9"/>
      <c r="U61" s="9"/>
      <c r="V61" s="9"/>
      <c r="W61" s="9"/>
      <c r="X61" s="9"/>
      <c r="Y61" s="1"/>
      <c r="Z61" s="1"/>
      <c r="AA61" s="9"/>
      <c r="AB61" s="9"/>
      <c r="AC61" s="9"/>
      <c r="AD61" s="9"/>
      <c r="AE61" s="9"/>
      <c r="AF61" s="18"/>
    </row>
    <row r="62" spans="2:36" x14ac:dyDescent="0.25">
      <c r="F62" s="1"/>
      <c r="G62" s="1"/>
      <c r="H62" s="1"/>
      <c r="J62" s="1" t="s">
        <v>32</v>
      </c>
      <c r="Q62" s="9"/>
      <c r="R62" s="4"/>
      <c r="S62" s="9"/>
      <c r="T62" s="5"/>
      <c r="U62" s="9"/>
      <c r="V62" s="4"/>
      <c r="W62" s="4"/>
      <c r="X62" s="9"/>
      <c r="Y62" s="9"/>
      <c r="Z62" s="9"/>
      <c r="AA62" s="9"/>
      <c r="AB62" s="9"/>
      <c r="AC62" s="9"/>
      <c r="AD62" s="9"/>
      <c r="AE62" s="9"/>
    </row>
    <row r="63" spans="2:36" x14ac:dyDescent="0.25">
      <c r="R63" s="4"/>
      <c r="S63" s="17"/>
      <c r="T63" s="17"/>
      <c r="U63" s="9"/>
      <c r="V63" s="4"/>
      <c r="W63" s="4"/>
      <c r="X63" s="9"/>
      <c r="Y63" s="9"/>
      <c r="Z63" s="9" t="s">
        <v>330</v>
      </c>
      <c r="AA63" s="9"/>
      <c r="AB63" s="9"/>
      <c r="AC63" s="9"/>
      <c r="AD63" s="9"/>
      <c r="AE63" s="9"/>
    </row>
    <row r="64" spans="2:36" x14ac:dyDescent="0.25">
      <c r="Q64" s="9"/>
      <c r="R64" s="4"/>
      <c r="S64" s="16"/>
      <c r="T64" s="16"/>
      <c r="U64" s="9"/>
      <c r="V64" s="4"/>
      <c r="W64" s="4"/>
      <c r="X64" s="9"/>
      <c r="Y64" s="37" t="s">
        <v>325</v>
      </c>
      <c r="Z64" s="9">
        <f>Z59</f>
        <v>2520</v>
      </c>
      <c r="AA64" s="9"/>
      <c r="AB64" s="9"/>
      <c r="AC64" s="9"/>
      <c r="AD64" s="9"/>
      <c r="AE64" s="9"/>
    </row>
    <row r="65" spans="18:31" x14ac:dyDescent="0.25">
      <c r="R65" s="4"/>
      <c r="S65" s="16"/>
      <c r="T65" s="16"/>
      <c r="Y65" s="37" t="s">
        <v>326</v>
      </c>
      <c r="Z65" s="9">
        <f>Z64*1.18</f>
        <v>2973.6</v>
      </c>
      <c r="AA65" s="9"/>
      <c r="AB65" s="9"/>
      <c r="AC65" s="9"/>
      <c r="AD65" s="9"/>
      <c r="AE65" s="9"/>
    </row>
    <row r="66" spans="18:31" x14ac:dyDescent="0.25">
      <c r="T66" s="5"/>
      <c r="Y66" s="37" t="s">
        <v>327</v>
      </c>
      <c r="Z66" s="9">
        <f>Z64*1.25</f>
        <v>3150</v>
      </c>
      <c r="AA66" s="9"/>
      <c r="AB66" s="9"/>
      <c r="AC66" s="9"/>
      <c r="AD66" s="9"/>
      <c r="AE66" s="9"/>
    </row>
    <row r="67" spans="18:31" x14ac:dyDescent="0.25">
      <c r="T67" s="5"/>
      <c r="Y67" s="37" t="s">
        <v>328</v>
      </c>
      <c r="Z67" s="9">
        <f>Z64*0.85</f>
        <v>2142</v>
      </c>
      <c r="AA67" s="9"/>
      <c r="AB67" s="9"/>
      <c r="AC67" s="9"/>
      <c r="AD67" s="9"/>
      <c r="AE67" s="9"/>
    </row>
    <row r="68" spans="18:31" x14ac:dyDescent="0.25">
      <c r="T68" s="5"/>
      <c r="Y68" s="37" t="s">
        <v>307</v>
      </c>
      <c r="Z68" s="9" t="s">
        <v>329</v>
      </c>
      <c r="AA68" s="9"/>
      <c r="AB68" s="9"/>
      <c r="AC68" s="9"/>
      <c r="AD68" s="9"/>
      <c r="AE68" s="9"/>
    </row>
    <row r="69" spans="18:31" x14ac:dyDescent="0.25">
      <c r="T69" s="5"/>
      <c r="Y69" s="9"/>
      <c r="Z69" s="9"/>
      <c r="AA69" s="9"/>
      <c r="AB69" s="9"/>
      <c r="AC69" s="9"/>
      <c r="AD69" s="9"/>
      <c r="AE69" s="9"/>
    </row>
    <row r="70" spans="18:31" x14ac:dyDescent="0.25">
      <c r="T70" s="5"/>
      <c r="Y70" s="9"/>
      <c r="Z70" s="9"/>
      <c r="AA70" s="9"/>
      <c r="AB70" s="9"/>
      <c r="AC70" s="9"/>
      <c r="AD70" s="9"/>
      <c r="AE70" s="9"/>
    </row>
    <row r="71" spans="18:31" x14ac:dyDescent="0.25">
      <c r="T71" s="5"/>
      <c r="Y71" s="9"/>
      <c r="Z71" s="9"/>
      <c r="AA71" s="9"/>
      <c r="AB71" s="9"/>
      <c r="AC71" s="9"/>
      <c r="AD71" s="9"/>
      <c r="AE71" s="9"/>
    </row>
    <row r="72" spans="18:31" x14ac:dyDescent="0.25">
      <c r="T72" s="5"/>
      <c r="Y72" s="9"/>
      <c r="Z72" s="9"/>
      <c r="AA72" s="9"/>
      <c r="AB72" s="9"/>
      <c r="AC72" s="9"/>
      <c r="AD72" s="9"/>
      <c r="AE72" s="9"/>
    </row>
    <row r="73" spans="18:31" x14ac:dyDescent="0.25">
      <c r="T73" s="5"/>
      <c r="Y73" s="9"/>
      <c r="Z73" s="9"/>
      <c r="AA73" s="9"/>
      <c r="AB73" s="9"/>
      <c r="AC73" s="9"/>
      <c r="AD73" s="9"/>
      <c r="AE73" s="9"/>
    </row>
    <row r="74" spans="18:31" x14ac:dyDescent="0.25">
      <c r="T74" s="5"/>
    </row>
    <row r="75" spans="18:31" x14ac:dyDescent="0.25">
      <c r="T75" s="5"/>
    </row>
    <row r="76" spans="18:31" x14ac:dyDescent="0.25">
      <c r="T76" s="5"/>
    </row>
    <row r="77" spans="18:31" x14ac:dyDescent="0.25">
      <c r="T77" s="5"/>
    </row>
    <row r="78" spans="18:31" x14ac:dyDescent="0.25">
      <c r="T78" s="5"/>
    </row>
  </sheetData>
  <autoFilter ref="B6:AE55" xr:uid="{65FA6D9B-E0AF-46CD-BA0D-86BB75FE6AB0}"/>
  <hyperlinks>
    <hyperlink ref="P13" r:id="rId1" location="reisesok" xr:uid="{EBB5DFFC-8894-4DDB-91C8-9FEF7D6AB714}"/>
    <hyperlink ref="P18" r:id="rId2" xr:uid="{0D6D28D5-4B30-4D02-A422-9DFB434CCD18}"/>
    <hyperlink ref="P19" r:id="rId3" xr:uid="{99C7D953-6091-4161-8AEB-2B964B7BA5B1}"/>
    <hyperlink ref="P29" r:id="rId4" xr:uid="{ECBAC8C3-B8E6-458E-BEB2-72682C395948}"/>
    <hyperlink ref="P31" r:id="rId5" xr:uid="{0202900A-C95C-4AB6-B178-935F6A601897}"/>
    <hyperlink ref="P44" r:id="rId6" xr:uid="{DA656EC6-A61F-4F1E-80B9-B0C771BC833B}"/>
    <hyperlink ref="P46" r:id="rId7" xr:uid="{B4862335-B905-41B1-B540-C4D96518A82B}"/>
  </hyperlinks>
  <pageMargins left="0.7" right="0.7" top="0.75" bottom="0.75" header="0.3" footer="0.3"/>
  <pageSetup paperSize="9" orientation="portrait"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B7637-7FCB-44F5-9B40-D385BB582D48}">
  <sheetPr>
    <tabColor rgb="FFFFFF00"/>
  </sheetPr>
  <dimension ref="B1:AK93"/>
  <sheetViews>
    <sheetView topLeftCell="C9" zoomScale="80" zoomScaleNormal="80" workbookViewId="0">
      <selection activeCell="W7" sqref="W7"/>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162</v>
      </c>
    </row>
    <row r="2" spans="2:36" x14ac:dyDescent="0.25">
      <c r="B2" s="2" t="s">
        <v>171</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67" si="0">+Q7*R7</f>
        <v>0</v>
      </c>
      <c r="T7" s="5">
        <v>0</v>
      </c>
      <c r="U7" s="12">
        <f t="shared" ref="U7:U67" si="1">S7*(1-T7)</f>
        <v>0</v>
      </c>
      <c r="V7" s="25" t="s">
        <v>10</v>
      </c>
      <c r="W7" s="11">
        <f>IFERROR(VLOOKUP(V7,Curr!$B$2:$C$13,2,FALSE),0)</f>
        <v>11.2</v>
      </c>
      <c r="X7" s="12">
        <f t="shared" ref="X7:X67" si="2">U7*W7</f>
        <v>0</v>
      </c>
      <c r="Y7" s="26">
        <f t="shared" ref="Y7:Y67" si="3">Q7</f>
        <v>0</v>
      </c>
      <c r="Z7" s="12">
        <f t="shared" ref="Z7:Z67" si="4">+Y7*R7</f>
        <v>0</v>
      </c>
      <c r="AA7" s="4" t="s">
        <v>10</v>
      </c>
      <c r="AB7" s="11">
        <f>IFERROR(VLOOKUP(AA7,Curr!$B$2:$C$13,2,FALSE),0)</f>
        <v>11.2</v>
      </c>
      <c r="AC7" s="12">
        <f t="shared" ref="AC7:AC67" si="5">+Y7*AB7*R7</f>
        <v>0</v>
      </c>
      <c r="AD7" s="12">
        <f t="shared" ref="AD7:AD67" si="6">+AC7-X7</f>
        <v>0</v>
      </c>
      <c r="AE7" s="13">
        <f t="shared" ref="AE7:AE67"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70</v>
      </c>
      <c r="K9" s="4"/>
      <c r="L9" s="4"/>
      <c r="M9" s="4"/>
      <c r="N9" s="4"/>
      <c r="O9" s="4"/>
      <c r="P9" s="33"/>
      <c r="Q9" s="25">
        <v>200</v>
      </c>
      <c r="R9" s="25">
        <v>1</v>
      </c>
      <c r="S9" s="12">
        <f t="shared" si="0"/>
        <v>200</v>
      </c>
      <c r="T9" s="5">
        <v>0</v>
      </c>
      <c r="U9" s="12">
        <f t="shared" si="1"/>
        <v>200</v>
      </c>
      <c r="V9" s="25" t="s">
        <v>10</v>
      </c>
      <c r="W9" s="11">
        <f>IFERROR(VLOOKUP(V9,Curr!$B$2:$C$13,2,FALSE),0)</f>
        <v>11.2</v>
      </c>
      <c r="X9" s="12">
        <f t="shared" si="2"/>
        <v>2240</v>
      </c>
      <c r="Y9" s="26">
        <f>Q9/0.85</f>
        <v>235.29411764705884</v>
      </c>
      <c r="Z9" s="12">
        <f t="shared" si="4"/>
        <v>235.29411764705884</v>
      </c>
      <c r="AA9" s="4" t="s">
        <v>10</v>
      </c>
      <c r="AB9" s="11">
        <f>IFERROR(VLOOKUP(AA9,Curr!$B$2:$C$13,2,FALSE),0)</f>
        <v>11.2</v>
      </c>
      <c r="AC9" s="12">
        <f t="shared" si="5"/>
        <v>2635.294117647059</v>
      </c>
      <c r="AD9" s="12">
        <f t="shared" si="6"/>
        <v>395.29411764705901</v>
      </c>
      <c r="AE9" s="13">
        <f t="shared" si="7"/>
        <v>0.15000000000000005</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27"/>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66</v>
      </c>
      <c r="E13" s="3"/>
      <c r="F13" s="3"/>
      <c r="G13" s="24"/>
      <c r="H13" s="24"/>
      <c r="J13" s="1" t="s">
        <v>72</v>
      </c>
      <c r="K13" s="4"/>
      <c r="L13" s="4"/>
      <c r="M13" s="4"/>
      <c r="N13" s="4"/>
      <c r="O13" s="4" t="s">
        <v>42</v>
      </c>
      <c r="P13" s="33" t="s">
        <v>65</v>
      </c>
      <c r="Q13" s="25">
        <v>2400</v>
      </c>
      <c r="R13" s="25">
        <v>1</v>
      </c>
      <c r="S13" s="12">
        <f t="shared" si="0"/>
        <v>2400</v>
      </c>
      <c r="T13" s="5">
        <v>0</v>
      </c>
      <c r="U13" s="12">
        <f t="shared" si="1"/>
        <v>2400</v>
      </c>
      <c r="V13" s="25" t="s">
        <v>8</v>
      </c>
      <c r="W13" s="11">
        <f>IFERROR(VLOOKUP(V13,Curr!$B$2:$C$13,2,FALSE),0)</f>
        <v>1</v>
      </c>
      <c r="X13" s="12">
        <f t="shared" si="2"/>
        <v>2400</v>
      </c>
      <c r="Y13" s="26">
        <f>Q13/11.3/0.8</f>
        <v>265.48672566371675</v>
      </c>
      <c r="Z13" s="12">
        <f t="shared" si="4"/>
        <v>265.48672566371675</v>
      </c>
      <c r="AA13" s="4" t="s">
        <v>10</v>
      </c>
      <c r="AB13" s="11">
        <f>IFERROR(VLOOKUP(AA13,Curr!$B$2:$C$13,2,FALSE),0)</f>
        <v>11.2</v>
      </c>
      <c r="AC13" s="12">
        <f t="shared" si="5"/>
        <v>2973.4513274336273</v>
      </c>
      <c r="AD13" s="12">
        <f t="shared" si="6"/>
        <v>573.45132743362728</v>
      </c>
      <c r="AE13" s="13">
        <f t="shared" si="7"/>
        <v>0.19285714285714259</v>
      </c>
    </row>
    <row r="14" spans="2:36" x14ac:dyDescent="0.25">
      <c r="B14" s="4"/>
      <c r="C14" s="1" t="s">
        <v>63</v>
      </c>
      <c r="D14" s="1" t="s">
        <v>50</v>
      </c>
      <c r="E14" s="3"/>
      <c r="F14" s="3"/>
      <c r="G14" s="24"/>
      <c r="H14" s="24"/>
      <c r="J14" s="1" t="s">
        <v>67</v>
      </c>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ref="Y14:Y22" si="8">Q14</f>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71</v>
      </c>
      <c r="K15" s="4"/>
      <c r="L15" s="4"/>
      <c r="M15" s="4"/>
      <c r="N15" s="4"/>
      <c r="O15" s="4"/>
      <c r="P15" s="33"/>
      <c r="Q15" s="25">
        <v>400</v>
      </c>
      <c r="R15" s="25">
        <v>1</v>
      </c>
      <c r="S15" s="12">
        <f t="shared" si="0"/>
        <v>400</v>
      </c>
      <c r="T15" s="5">
        <v>0</v>
      </c>
      <c r="U15" s="12">
        <f t="shared" si="1"/>
        <v>400</v>
      </c>
      <c r="V15" s="25" t="s">
        <v>10</v>
      </c>
      <c r="W15" s="11">
        <f>IFERROR(VLOOKUP(V15,Curr!$B$2:$C$13,2,FALSE),0)</f>
        <v>11.2</v>
      </c>
      <c r="X15" s="12">
        <f t="shared" si="2"/>
        <v>4480</v>
      </c>
      <c r="Y15" s="26">
        <f>Q15/0.85</f>
        <v>470.58823529411768</v>
      </c>
      <c r="Z15" s="12">
        <f t="shared" si="4"/>
        <v>470.58823529411768</v>
      </c>
      <c r="AA15" s="4" t="s">
        <v>10</v>
      </c>
      <c r="AB15" s="11">
        <f>IFERROR(VLOOKUP(AA15,Curr!$B$2:$C$13,2,FALSE),0)</f>
        <v>11.2</v>
      </c>
      <c r="AC15" s="12">
        <f t="shared" si="5"/>
        <v>5270.588235294118</v>
      </c>
      <c r="AD15" s="12">
        <f t="shared" si="6"/>
        <v>790.58823529411802</v>
      </c>
      <c r="AE15" s="13">
        <f t="shared" si="7"/>
        <v>0.15000000000000005</v>
      </c>
    </row>
    <row r="16" spans="2:36" x14ac:dyDescent="0.25">
      <c r="B16" s="4"/>
      <c r="C16" s="1" t="s">
        <v>63</v>
      </c>
      <c r="D16" s="1" t="s">
        <v>53</v>
      </c>
      <c r="E16" s="3"/>
      <c r="F16" s="3"/>
      <c r="G16" s="24"/>
      <c r="H16" s="24"/>
      <c r="J16" s="1" t="s">
        <v>68</v>
      </c>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8"/>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0"/>
        <v>0</v>
      </c>
      <c r="T17" s="5">
        <v>0</v>
      </c>
      <c r="U17" s="12">
        <f t="shared" si="1"/>
        <v>0</v>
      </c>
      <c r="V17" s="25" t="s">
        <v>10</v>
      </c>
      <c r="W17" s="11">
        <f>IFERROR(VLOOKUP(V17,Curr!$B$2:$C$13,2,FALSE),0)</f>
        <v>11.2</v>
      </c>
      <c r="X17" s="12">
        <f t="shared" si="2"/>
        <v>0</v>
      </c>
      <c r="Y17" s="26">
        <f t="shared" si="8"/>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0"/>
        <v>580</v>
      </c>
      <c r="T18" s="5">
        <v>0.2</v>
      </c>
      <c r="U18" s="12">
        <f t="shared" si="1"/>
        <v>464</v>
      </c>
      <c r="V18" s="25" t="s">
        <v>8</v>
      </c>
      <c r="W18" s="11">
        <f>IFERROR(VLOOKUP(V18,Curr!$B$2:$C$13,2,FALSE),0)</f>
        <v>1</v>
      </c>
      <c r="X18" s="12">
        <f t="shared" si="2"/>
        <v>464</v>
      </c>
      <c r="Y18" s="26">
        <f>Q18/11.3/0.64</f>
        <v>40.099557522123888</v>
      </c>
      <c r="Z18" s="12">
        <f t="shared" si="4"/>
        <v>80.199115044247776</v>
      </c>
      <c r="AA18" s="4" t="s">
        <v>10</v>
      </c>
      <c r="AB18" s="11">
        <f>IFERROR(VLOOKUP(AA18,Curr!$B$2:$C$13,2,FALSE),0)</f>
        <v>11.2</v>
      </c>
      <c r="AC18" s="12">
        <f t="shared" si="5"/>
        <v>898.23008849557505</v>
      </c>
      <c r="AD18" s="12">
        <f t="shared" si="6"/>
        <v>434.23008849557505</v>
      </c>
      <c r="AE18" s="13">
        <f t="shared" si="7"/>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0"/>
        <v>350</v>
      </c>
      <c r="T19" s="5">
        <v>0</v>
      </c>
      <c r="U19" s="12">
        <f t="shared" si="1"/>
        <v>350</v>
      </c>
      <c r="V19" s="25" t="s">
        <v>8</v>
      </c>
      <c r="W19" s="11">
        <f>IFERROR(VLOOKUP(V19,Curr!$B$2:$C$13,2,FALSE),0)</f>
        <v>1</v>
      </c>
      <c r="X19" s="12">
        <f t="shared" si="2"/>
        <v>350</v>
      </c>
      <c r="Y19" s="26">
        <f>Q19/11.3/0.5</f>
        <v>30.973451327433626</v>
      </c>
      <c r="Z19" s="12">
        <f t="shared" si="4"/>
        <v>61.946902654867252</v>
      </c>
      <c r="AA19" s="4" t="s">
        <v>10</v>
      </c>
      <c r="AB19" s="11">
        <f>IFERROR(VLOOKUP(AA19,Curr!$B$2:$C$13,2,FALSE),0)</f>
        <v>11.2</v>
      </c>
      <c r="AC19" s="12">
        <f t="shared" si="5"/>
        <v>693.80530973451323</v>
      </c>
      <c r="AD19" s="12">
        <f t="shared" si="6"/>
        <v>343.80530973451323</v>
      </c>
      <c r="AE19" s="13">
        <f t="shared" si="7"/>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si="8"/>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11.2</v>
      </c>
      <c r="X21" s="12">
        <f t="shared" si="2"/>
        <v>0</v>
      </c>
      <c r="Y21" s="26">
        <f t="shared" si="8"/>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50</v>
      </c>
      <c r="E22" s="3"/>
      <c r="F22" s="3"/>
      <c r="G22" s="24"/>
      <c r="H22" s="24"/>
      <c r="J22" s="1" t="s">
        <v>83</v>
      </c>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8"/>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79</v>
      </c>
      <c r="E23" s="3"/>
      <c r="F23" s="3"/>
      <c r="G23" s="24"/>
      <c r="H23" s="24"/>
      <c r="J23" s="1" t="s">
        <v>178</v>
      </c>
      <c r="K23" s="4"/>
      <c r="L23" s="4"/>
      <c r="M23" s="4"/>
      <c r="N23" s="4"/>
      <c r="O23" s="4" t="s">
        <v>42</v>
      </c>
      <c r="P23" s="33"/>
      <c r="Q23" s="25">
        <v>2000</v>
      </c>
      <c r="R23" s="25">
        <v>2</v>
      </c>
      <c r="S23" s="12">
        <f t="shared" si="0"/>
        <v>4000</v>
      </c>
      <c r="T23" s="5">
        <v>0</v>
      </c>
      <c r="U23" s="12">
        <f t="shared" si="1"/>
        <v>4000</v>
      </c>
      <c r="V23" s="25" t="s">
        <v>8</v>
      </c>
      <c r="W23" s="11">
        <f>IFERROR(VLOOKUP(V23,Curr!$B$2:$C$13,2,FALSE),0)</f>
        <v>1</v>
      </c>
      <c r="X23" s="12">
        <f t="shared" si="2"/>
        <v>4000</v>
      </c>
      <c r="Y23" s="26">
        <f>Q23/11.3/0.8</f>
        <v>221.23893805309734</v>
      </c>
      <c r="Z23" s="12">
        <f t="shared" si="4"/>
        <v>442.47787610619469</v>
      </c>
      <c r="AA23" s="4" t="s">
        <v>10</v>
      </c>
      <c r="AB23" s="11">
        <f>IFERROR(VLOOKUP(AA23,Curr!$B$2:$C$13,2,FALSE),0)</f>
        <v>11.2</v>
      </c>
      <c r="AC23" s="12">
        <f t="shared" si="5"/>
        <v>4955.7522123893805</v>
      </c>
      <c r="AD23" s="12">
        <f t="shared" si="6"/>
        <v>955.75221238938047</v>
      </c>
      <c r="AE23" s="13">
        <f t="shared" si="7"/>
        <v>0.19285714285714284</v>
      </c>
    </row>
    <row r="24" spans="2:31" x14ac:dyDescent="0.25">
      <c r="B24" s="4"/>
      <c r="C24" s="1" t="s">
        <v>78</v>
      </c>
      <c r="D24" s="1" t="s">
        <v>50</v>
      </c>
      <c r="E24" s="3"/>
      <c r="F24" s="3"/>
      <c r="G24" s="24"/>
      <c r="H24" s="24"/>
      <c r="J24" s="1" t="s">
        <v>153</v>
      </c>
      <c r="K24" s="4"/>
      <c r="L24" s="4"/>
      <c r="M24" s="4"/>
      <c r="N24" s="4"/>
      <c r="O24" s="4"/>
      <c r="P24" s="27"/>
      <c r="Q24" s="25">
        <v>0</v>
      </c>
      <c r="R24" s="25">
        <v>0</v>
      </c>
      <c r="S24" s="12">
        <f t="shared" si="0"/>
        <v>0</v>
      </c>
      <c r="T24" s="5">
        <v>0</v>
      </c>
      <c r="U24" s="12">
        <f t="shared" si="1"/>
        <v>0</v>
      </c>
      <c r="V24" s="25" t="s">
        <v>10</v>
      </c>
      <c r="W24" s="11">
        <f>IFERROR(VLOOKUP(V24,Curr!$B$2:$C$13,2,FALSE),0)</f>
        <v>11.2</v>
      </c>
      <c r="X24" s="12">
        <f t="shared" si="2"/>
        <v>0</v>
      </c>
      <c r="Y24" s="26">
        <f t="shared" ref="Y24:Y26" si="9">Q24</f>
        <v>0</v>
      </c>
      <c r="Z24" s="12">
        <f t="shared" si="4"/>
        <v>0</v>
      </c>
      <c r="AA24" s="4" t="s">
        <v>10</v>
      </c>
      <c r="AB24" s="11">
        <f>IFERROR(VLOOKUP(AA24,Curr!$B$2:$C$13,2,FALSE),0)</f>
        <v>11.2</v>
      </c>
      <c r="AC24" s="12">
        <f t="shared" si="5"/>
        <v>0</v>
      </c>
      <c r="AD24" s="12">
        <f t="shared" si="6"/>
        <v>0</v>
      </c>
      <c r="AE24" s="13">
        <f t="shared" si="7"/>
        <v>0</v>
      </c>
    </row>
    <row r="25" spans="2:31" x14ac:dyDescent="0.25">
      <c r="B25" s="4"/>
      <c r="C25" s="1" t="s">
        <v>78</v>
      </c>
      <c r="D25" s="1" t="s">
        <v>52</v>
      </c>
      <c r="E25" s="3"/>
      <c r="F25" s="3"/>
      <c r="G25" s="24"/>
      <c r="H25" s="24"/>
      <c r="J25" s="1" t="s">
        <v>154</v>
      </c>
      <c r="K25" s="4"/>
      <c r="L25" s="4"/>
      <c r="M25" s="4"/>
      <c r="N25" s="4"/>
      <c r="O25" s="4"/>
      <c r="P25" s="27"/>
      <c r="Q25" s="25">
        <v>200</v>
      </c>
      <c r="R25" s="25">
        <v>1</v>
      </c>
      <c r="S25" s="12">
        <f t="shared" si="0"/>
        <v>200</v>
      </c>
      <c r="T25" s="5">
        <v>0</v>
      </c>
      <c r="U25" s="12">
        <f t="shared" si="1"/>
        <v>200</v>
      </c>
      <c r="V25" s="25" t="s">
        <v>10</v>
      </c>
      <c r="W25" s="11">
        <f>IFERROR(VLOOKUP(V25,Curr!$B$2:$C$13,2,FALSE),0)</f>
        <v>11.2</v>
      </c>
      <c r="X25" s="12">
        <f t="shared" si="2"/>
        <v>2240</v>
      </c>
      <c r="Y25" s="26">
        <f>Q25/0.85</f>
        <v>235.29411764705884</v>
      </c>
      <c r="Z25" s="12">
        <f t="shared" si="4"/>
        <v>235.29411764705884</v>
      </c>
      <c r="AA25" s="4" t="s">
        <v>10</v>
      </c>
      <c r="AB25" s="11">
        <f>IFERROR(VLOOKUP(AA25,Curr!$B$2:$C$13,2,FALSE),0)</f>
        <v>11.2</v>
      </c>
      <c r="AC25" s="12">
        <f t="shared" si="5"/>
        <v>2635.294117647059</v>
      </c>
      <c r="AD25" s="12">
        <f t="shared" si="6"/>
        <v>395.29411764705901</v>
      </c>
      <c r="AE25" s="13">
        <f t="shared" si="7"/>
        <v>0.15000000000000005</v>
      </c>
    </row>
    <row r="26" spans="2:31" x14ac:dyDescent="0.25">
      <c r="B26" s="4"/>
      <c r="C26" s="1" t="s">
        <v>78</v>
      </c>
      <c r="D26" s="1" t="s">
        <v>53</v>
      </c>
      <c r="E26" s="3"/>
      <c r="F26" s="3"/>
      <c r="G26" s="24"/>
      <c r="H26" s="24"/>
      <c r="J26" s="1" t="s">
        <v>152</v>
      </c>
      <c r="K26" s="4"/>
      <c r="L26" s="4"/>
      <c r="M26" s="4"/>
      <c r="N26" s="4"/>
      <c r="O26" s="4"/>
      <c r="P26" s="27"/>
      <c r="Q26" s="25">
        <v>0</v>
      </c>
      <c r="R26" s="25">
        <v>0</v>
      </c>
      <c r="S26" s="12">
        <f t="shared" si="0"/>
        <v>0</v>
      </c>
      <c r="T26" s="5">
        <v>0</v>
      </c>
      <c r="U26" s="12">
        <f t="shared" si="1"/>
        <v>0</v>
      </c>
      <c r="V26" s="25" t="s">
        <v>10</v>
      </c>
      <c r="W26" s="11">
        <f>IFERROR(VLOOKUP(V26,Curr!$B$2:$C$13,2,FALSE),0)</f>
        <v>11.2</v>
      </c>
      <c r="X26" s="12">
        <f t="shared" si="2"/>
        <v>0</v>
      </c>
      <c r="Y26" s="26">
        <f t="shared" si="9"/>
        <v>0</v>
      </c>
      <c r="Z26" s="12">
        <f t="shared" si="4"/>
        <v>0</v>
      </c>
      <c r="AA26" s="4" t="s">
        <v>10</v>
      </c>
      <c r="AB26" s="11">
        <f>IFERROR(VLOOKUP(AA26,Curr!$B$2:$C$13,2,FALSE),0)</f>
        <v>11.2</v>
      </c>
      <c r="AC26" s="12">
        <f t="shared" si="5"/>
        <v>0</v>
      </c>
      <c r="AD26" s="12">
        <f t="shared" si="6"/>
        <v>0</v>
      </c>
      <c r="AE26" s="13">
        <f t="shared" si="7"/>
        <v>0</v>
      </c>
    </row>
    <row r="27" spans="2:31" x14ac:dyDescent="0.25">
      <c r="B27" s="4"/>
      <c r="E27" s="3"/>
      <c r="F27" s="3"/>
      <c r="G27" s="24"/>
      <c r="H27" s="24"/>
      <c r="K27" s="4"/>
      <c r="L27" s="4"/>
      <c r="M27" s="4"/>
      <c r="N27" s="4"/>
      <c r="O27" s="4"/>
      <c r="P27" s="33"/>
      <c r="Q27" s="25"/>
      <c r="R27" s="25"/>
      <c r="S27" s="12">
        <f t="shared" si="0"/>
        <v>0</v>
      </c>
      <c r="T27" s="5">
        <v>0</v>
      </c>
      <c r="U27" s="12">
        <f t="shared" si="1"/>
        <v>0</v>
      </c>
      <c r="V27" s="25" t="s">
        <v>10</v>
      </c>
      <c r="W27" s="11">
        <f>IFERROR(VLOOKUP(V27,Curr!$B$2:$C$13,2,FALSE),0)</f>
        <v>11.2</v>
      </c>
      <c r="X27" s="12">
        <f t="shared" si="2"/>
        <v>0</v>
      </c>
      <c r="Y27" s="26">
        <f t="shared" si="3"/>
        <v>0</v>
      </c>
      <c r="Z27" s="12">
        <f t="shared" si="4"/>
        <v>0</v>
      </c>
      <c r="AA27" s="4" t="s">
        <v>10</v>
      </c>
      <c r="AB27" s="11">
        <f>IFERROR(VLOOKUP(AA27,Curr!$B$2:$C$13,2,FALSE),0)</f>
        <v>11.2</v>
      </c>
      <c r="AC27" s="12">
        <f t="shared" si="5"/>
        <v>0</v>
      </c>
      <c r="AD27" s="12">
        <f t="shared" si="6"/>
        <v>0</v>
      </c>
      <c r="AE27" s="13">
        <f t="shared" si="7"/>
        <v>0</v>
      </c>
    </row>
    <row r="28" spans="2:31" x14ac:dyDescent="0.25">
      <c r="B28" s="4"/>
      <c r="C28" s="1" t="s">
        <v>80</v>
      </c>
      <c r="D28" s="1" t="s">
        <v>73</v>
      </c>
      <c r="E28" s="3"/>
      <c r="F28" s="3"/>
      <c r="G28" s="24"/>
      <c r="H28" s="24"/>
      <c r="J28" s="1" t="s">
        <v>165</v>
      </c>
      <c r="K28" s="4"/>
      <c r="L28" s="4"/>
      <c r="M28" s="4"/>
      <c r="N28" s="4"/>
      <c r="O28" s="4"/>
      <c r="P28" s="33" t="s">
        <v>166</v>
      </c>
      <c r="Q28" s="25">
        <v>1290</v>
      </c>
      <c r="R28" s="25">
        <v>2</v>
      </c>
      <c r="S28" s="12">
        <f t="shared" si="0"/>
        <v>2580</v>
      </c>
      <c r="T28" s="5">
        <v>0.2</v>
      </c>
      <c r="U28" s="12">
        <f t="shared" si="1"/>
        <v>2064</v>
      </c>
      <c r="V28" s="25" t="s">
        <v>8</v>
      </c>
      <c r="W28" s="11">
        <f>IFERROR(VLOOKUP(V28,Curr!$B$2:$C$13,2,FALSE),0)</f>
        <v>1</v>
      </c>
      <c r="X28" s="12">
        <f t="shared" si="2"/>
        <v>2064</v>
      </c>
      <c r="Y28" s="26">
        <f>Q28/11.3</f>
        <v>114.15929203539822</v>
      </c>
      <c r="Z28" s="12">
        <f t="shared" si="4"/>
        <v>228.31858407079645</v>
      </c>
      <c r="AA28" s="4" t="s">
        <v>10</v>
      </c>
      <c r="AB28" s="11">
        <f>IFERROR(VLOOKUP(AA28,Curr!$B$2:$C$13,2,FALSE),0)</f>
        <v>11.2</v>
      </c>
      <c r="AC28" s="12">
        <f t="shared" si="5"/>
        <v>2557.1681415929202</v>
      </c>
      <c r="AD28" s="12">
        <f t="shared" si="6"/>
        <v>493.16814159292016</v>
      </c>
      <c r="AE28" s="13">
        <f t="shared" si="7"/>
        <v>0.19285714285714281</v>
      </c>
    </row>
    <row r="29" spans="2:31" x14ac:dyDescent="0.25">
      <c r="B29" s="4"/>
      <c r="C29" s="1" t="s">
        <v>80</v>
      </c>
      <c r="D29" s="1" t="s">
        <v>53</v>
      </c>
      <c r="E29" s="3"/>
      <c r="F29" s="3"/>
      <c r="G29" s="24"/>
      <c r="H29" s="24"/>
      <c r="J29" s="1" t="s">
        <v>152</v>
      </c>
      <c r="K29" s="4"/>
      <c r="L29" s="4"/>
      <c r="M29" s="4"/>
      <c r="N29" s="4"/>
      <c r="O29" s="4"/>
      <c r="P29" s="33"/>
      <c r="Q29" s="25">
        <v>0</v>
      </c>
      <c r="R29" s="25">
        <v>0</v>
      </c>
      <c r="S29" s="12">
        <f t="shared" si="0"/>
        <v>0</v>
      </c>
      <c r="T29" s="5">
        <v>0</v>
      </c>
      <c r="U29" s="12">
        <f t="shared" si="1"/>
        <v>0</v>
      </c>
      <c r="V29" s="25" t="s">
        <v>10</v>
      </c>
      <c r="W29" s="11">
        <f>IFERROR(VLOOKUP(V29,Curr!$B$2:$C$13,2,FALSE),0)</f>
        <v>11.2</v>
      </c>
      <c r="X29" s="12">
        <f t="shared" si="2"/>
        <v>0</v>
      </c>
      <c r="Y29" s="26">
        <f t="shared" si="3"/>
        <v>0</v>
      </c>
      <c r="Z29" s="12">
        <f t="shared" si="4"/>
        <v>0</v>
      </c>
      <c r="AA29" s="4" t="s">
        <v>10</v>
      </c>
      <c r="AB29" s="11">
        <f>IFERROR(VLOOKUP(AA29,Curr!$B$2:$C$13,2,FALSE),0)</f>
        <v>11.2</v>
      </c>
      <c r="AC29" s="12">
        <f t="shared" si="5"/>
        <v>0</v>
      </c>
      <c r="AD29" s="12">
        <f t="shared" si="6"/>
        <v>0</v>
      </c>
      <c r="AE29" s="13">
        <f t="shared" si="7"/>
        <v>0</v>
      </c>
    </row>
    <row r="30" spans="2:31" x14ac:dyDescent="0.25">
      <c r="B30" s="4"/>
      <c r="E30" s="3"/>
      <c r="F30" s="3"/>
      <c r="G30" s="24"/>
      <c r="H30" s="24"/>
      <c r="K30" s="4"/>
      <c r="L30" s="4"/>
      <c r="M30" s="4"/>
      <c r="N30" s="4"/>
      <c r="O30" s="4"/>
      <c r="P30" s="27"/>
      <c r="Q30" s="25"/>
      <c r="R30" s="25"/>
      <c r="S30" s="12">
        <f t="shared" si="0"/>
        <v>0</v>
      </c>
      <c r="T30" s="5">
        <v>0</v>
      </c>
      <c r="U30" s="12">
        <f t="shared" si="1"/>
        <v>0</v>
      </c>
      <c r="V30" s="25" t="s">
        <v>10</v>
      </c>
      <c r="W30" s="11">
        <f>IFERROR(VLOOKUP(V30,Curr!$B$2:$C$13,2,FALSE),0)</f>
        <v>11.2</v>
      </c>
      <c r="X30" s="12">
        <f t="shared" si="2"/>
        <v>0</v>
      </c>
      <c r="Y30" s="26">
        <f t="shared" si="3"/>
        <v>0</v>
      </c>
      <c r="Z30" s="12">
        <f t="shared" si="4"/>
        <v>0</v>
      </c>
      <c r="AA30" s="4" t="s">
        <v>10</v>
      </c>
      <c r="AB30" s="11">
        <f>IFERROR(VLOOKUP(AA30,Curr!$B$2:$C$13,2,FALSE),0)</f>
        <v>11.2</v>
      </c>
      <c r="AC30" s="12">
        <f t="shared" si="5"/>
        <v>0</v>
      </c>
      <c r="AD30" s="12">
        <f t="shared" si="6"/>
        <v>0</v>
      </c>
      <c r="AE30" s="13">
        <f t="shared" si="7"/>
        <v>0</v>
      </c>
    </row>
    <row r="31" spans="2:31" x14ac:dyDescent="0.25">
      <c r="B31" s="4"/>
      <c r="C31" s="1" t="s">
        <v>81</v>
      </c>
      <c r="D31" s="1" t="s">
        <v>50</v>
      </c>
      <c r="E31" s="3"/>
      <c r="F31" s="3"/>
      <c r="G31" s="24"/>
      <c r="H31" s="24"/>
      <c r="J31" s="1" t="s">
        <v>155</v>
      </c>
      <c r="K31" s="4"/>
      <c r="L31" s="4"/>
      <c r="M31" s="4"/>
      <c r="N31" s="4"/>
      <c r="O31" s="4"/>
      <c r="P31" s="27"/>
      <c r="Q31" s="25">
        <v>0</v>
      </c>
      <c r="R31" s="25">
        <v>0</v>
      </c>
      <c r="S31" s="12">
        <f t="shared" si="0"/>
        <v>0</v>
      </c>
      <c r="T31" s="5">
        <v>0</v>
      </c>
      <c r="U31" s="12">
        <f t="shared" si="1"/>
        <v>0</v>
      </c>
      <c r="V31" s="25" t="s">
        <v>10</v>
      </c>
      <c r="W31" s="11">
        <f>IFERROR(VLOOKUP(V31,Curr!$B$2:$C$13,2,FALSE),0)</f>
        <v>11.2</v>
      </c>
      <c r="X31" s="12">
        <f t="shared" si="2"/>
        <v>0</v>
      </c>
      <c r="Y31" s="26">
        <f t="shared" si="3"/>
        <v>0</v>
      </c>
      <c r="Z31" s="12">
        <f t="shared" si="4"/>
        <v>0</v>
      </c>
      <c r="AA31" s="4" t="s">
        <v>10</v>
      </c>
      <c r="AB31" s="11">
        <f>IFERROR(VLOOKUP(AA31,Curr!$B$2:$C$13,2,FALSE),0)</f>
        <v>11.2</v>
      </c>
      <c r="AC31" s="12">
        <f t="shared" si="5"/>
        <v>0</v>
      </c>
      <c r="AD31" s="12">
        <f t="shared" si="6"/>
        <v>0</v>
      </c>
      <c r="AE31" s="13">
        <f t="shared" si="7"/>
        <v>0</v>
      </c>
    </row>
    <row r="32" spans="2:31" x14ac:dyDescent="0.25">
      <c r="B32" s="4"/>
      <c r="C32" s="1" t="s">
        <v>81</v>
      </c>
      <c r="D32" s="1" t="s">
        <v>79</v>
      </c>
      <c r="E32" s="3"/>
      <c r="F32" s="3"/>
      <c r="G32" s="24"/>
      <c r="H32" s="24"/>
      <c r="J32" s="1" t="s">
        <v>220</v>
      </c>
      <c r="K32" s="4"/>
      <c r="L32" s="4"/>
      <c r="M32" s="4"/>
      <c r="N32" s="4"/>
      <c r="O32" s="4"/>
      <c r="P32" s="33"/>
      <c r="Q32" s="25">
        <v>1000</v>
      </c>
      <c r="R32" s="25">
        <v>2</v>
      </c>
      <c r="S32" s="12">
        <f t="shared" si="0"/>
        <v>2000</v>
      </c>
      <c r="T32" s="5">
        <v>0</v>
      </c>
      <c r="U32" s="12">
        <f t="shared" si="1"/>
        <v>2000</v>
      </c>
      <c r="V32" s="25" t="s">
        <v>8</v>
      </c>
      <c r="W32" s="11">
        <f>IFERROR(VLOOKUP(V32,Curr!$B$2:$C$13,2,FALSE),0)</f>
        <v>1</v>
      </c>
      <c r="X32" s="12">
        <f t="shared" si="2"/>
        <v>2000</v>
      </c>
      <c r="Y32" s="26">
        <f>Q32/11.3/0.8</f>
        <v>110.61946902654867</v>
      </c>
      <c r="Z32" s="12">
        <f t="shared" si="4"/>
        <v>221.23893805309734</v>
      </c>
      <c r="AA32" s="4" t="s">
        <v>10</v>
      </c>
      <c r="AB32" s="11">
        <f>IFERROR(VLOOKUP(AA32,Curr!$B$2:$C$13,2,FALSE),0)</f>
        <v>11.2</v>
      </c>
      <c r="AC32" s="12">
        <f t="shared" si="5"/>
        <v>2477.8761061946902</v>
      </c>
      <c r="AD32" s="12">
        <f t="shared" si="6"/>
        <v>477.87610619469024</v>
      </c>
      <c r="AE32" s="13">
        <f t="shared" si="7"/>
        <v>0.19285714285714284</v>
      </c>
    </row>
    <row r="33" spans="2:31" x14ac:dyDescent="0.25">
      <c r="B33" s="4"/>
      <c r="C33" s="1" t="s">
        <v>81</v>
      </c>
      <c r="D33" s="1" t="s">
        <v>50</v>
      </c>
      <c r="E33" s="3"/>
      <c r="F33" s="3"/>
      <c r="G33" s="24"/>
      <c r="H33" s="24"/>
      <c r="J33" s="1" t="s">
        <v>167</v>
      </c>
      <c r="K33" s="4"/>
      <c r="L33" s="4"/>
      <c r="M33" s="4"/>
      <c r="N33" s="4"/>
      <c r="O33" s="4"/>
      <c r="P33" s="27"/>
      <c r="Q33" s="25">
        <v>0</v>
      </c>
      <c r="R33" s="25">
        <v>0</v>
      </c>
      <c r="S33" s="12">
        <f t="shared" si="0"/>
        <v>0</v>
      </c>
      <c r="T33" s="5">
        <v>0</v>
      </c>
      <c r="U33" s="12">
        <f t="shared" si="1"/>
        <v>0</v>
      </c>
      <c r="V33" s="25" t="s">
        <v>10</v>
      </c>
      <c r="W33" s="11">
        <f>IFERROR(VLOOKUP(V33,Curr!$B$2:$C$13,2,FALSE),0)</f>
        <v>11.2</v>
      </c>
      <c r="X33" s="12">
        <f t="shared" si="2"/>
        <v>0</v>
      </c>
      <c r="Y33" s="26">
        <f t="shared" si="3"/>
        <v>0</v>
      </c>
      <c r="Z33" s="12">
        <f t="shared" si="4"/>
        <v>0</v>
      </c>
      <c r="AA33" s="4" t="s">
        <v>10</v>
      </c>
      <c r="AB33" s="11">
        <f>IFERROR(VLOOKUP(AA33,Curr!$B$2:$C$13,2,FALSE),0)</f>
        <v>11.2</v>
      </c>
      <c r="AC33" s="12">
        <f t="shared" si="5"/>
        <v>0</v>
      </c>
      <c r="AD33" s="12">
        <f t="shared" si="6"/>
        <v>0</v>
      </c>
      <c r="AE33" s="13">
        <f t="shared" si="7"/>
        <v>0</v>
      </c>
    </row>
    <row r="34" spans="2:31" x14ac:dyDescent="0.25">
      <c r="B34" s="4"/>
      <c r="C34" s="1" t="s">
        <v>81</v>
      </c>
      <c r="D34" s="1" t="s">
        <v>52</v>
      </c>
      <c r="E34" s="3"/>
      <c r="F34" s="3"/>
      <c r="G34" s="24"/>
      <c r="H34" s="24"/>
      <c r="J34" s="1" t="s">
        <v>203</v>
      </c>
      <c r="K34" s="4"/>
      <c r="L34" s="4"/>
      <c r="M34" s="4"/>
      <c r="N34" s="4"/>
      <c r="O34" s="4"/>
      <c r="P34" s="27"/>
      <c r="Q34" s="25">
        <v>550</v>
      </c>
      <c r="R34" s="25">
        <v>1</v>
      </c>
      <c r="S34" s="12">
        <f t="shared" si="0"/>
        <v>550</v>
      </c>
      <c r="T34" s="5">
        <v>0</v>
      </c>
      <c r="U34" s="12">
        <f t="shared" si="1"/>
        <v>550</v>
      </c>
      <c r="V34" s="25" t="s">
        <v>10</v>
      </c>
      <c r="W34" s="11">
        <f>IFERROR(VLOOKUP(V34,Curr!$B$2:$C$13,2,FALSE),0)</f>
        <v>11.2</v>
      </c>
      <c r="X34" s="12">
        <f t="shared" si="2"/>
        <v>6160</v>
      </c>
      <c r="Y34" s="26">
        <f>Q34/0.85</f>
        <v>647.05882352941182</v>
      </c>
      <c r="Z34" s="12">
        <f t="shared" si="4"/>
        <v>647.05882352941182</v>
      </c>
      <c r="AA34" s="4" t="s">
        <v>10</v>
      </c>
      <c r="AB34" s="11">
        <f>IFERROR(VLOOKUP(AA34,Curr!$B$2:$C$13,2,FALSE),0)</f>
        <v>11.2</v>
      </c>
      <c r="AC34" s="12">
        <f t="shared" si="5"/>
        <v>7247.0588235294117</v>
      </c>
      <c r="AD34" s="12">
        <f t="shared" si="6"/>
        <v>1087.0588235294117</v>
      </c>
      <c r="AE34" s="13">
        <f t="shared" si="7"/>
        <v>0.15</v>
      </c>
    </row>
    <row r="35" spans="2:31" x14ac:dyDescent="0.25">
      <c r="B35" s="4"/>
      <c r="C35" s="1" t="s">
        <v>81</v>
      </c>
      <c r="D35" s="1" t="s">
        <v>53</v>
      </c>
      <c r="E35" s="3"/>
      <c r="F35" s="3"/>
      <c r="G35" s="24"/>
      <c r="H35" s="24"/>
      <c r="J35" s="1" t="s">
        <v>168</v>
      </c>
      <c r="K35" s="4"/>
      <c r="L35" s="4"/>
      <c r="M35" s="4"/>
      <c r="N35" s="4"/>
      <c r="O35" s="4"/>
      <c r="P35" s="27"/>
      <c r="Q35" s="25">
        <v>0</v>
      </c>
      <c r="R35" s="25">
        <v>0</v>
      </c>
      <c r="S35" s="12">
        <f t="shared" si="0"/>
        <v>0</v>
      </c>
      <c r="T35" s="5">
        <v>0</v>
      </c>
      <c r="U35" s="12">
        <f t="shared" si="1"/>
        <v>0</v>
      </c>
      <c r="V35" s="25" t="s">
        <v>10</v>
      </c>
      <c r="W35" s="11">
        <f>IFERROR(VLOOKUP(V35,Curr!$B$2:$C$13,2,FALSE),0)</f>
        <v>11.2</v>
      </c>
      <c r="X35" s="12">
        <f t="shared" si="2"/>
        <v>0</v>
      </c>
      <c r="Y35" s="26">
        <f t="shared" si="3"/>
        <v>0</v>
      </c>
      <c r="Z35" s="12">
        <f t="shared" si="4"/>
        <v>0</v>
      </c>
      <c r="AA35" s="4" t="s">
        <v>10</v>
      </c>
      <c r="AB35" s="11">
        <f>IFERROR(VLOOKUP(AA35,Curr!$B$2:$C$13,2,FALSE),0)</f>
        <v>11.2</v>
      </c>
      <c r="AC35" s="12">
        <f t="shared" si="5"/>
        <v>0</v>
      </c>
      <c r="AD35" s="12">
        <f t="shared" si="6"/>
        <v>0</v>
      </c>
      <c r="AE35" s="13">
        <f t="shared" si="7"/>
        <v>0</v>
      </c>
    </row>
    <row r="36" spans="2:31" x14ac:dyDescent="0.25">
      <c r="B36" s="4"/>
      <c r="C36" s="1" t="s">
        <v>81</v>
      </c>
      <c r="D36" s="1" t="s">
        <v>73</v>
      </c>
      <c r="E36" s="3"/>
      <c r="F36" s="3"/>
      <c r="G36" s="24"/>
      <c r="H36" s="24"/>
      <c r="J36" s="1" t="s">
        <v>172</v>
      </c>
      <c r="K36" s="4"/>
      <c r="L36" s="4"/>
      <c r="M36" s="4"/>
      <c r="N36" s="4"/>
      <c r="O36" s="4"/>
      <c r="P36" s="33" t="s">
        <v>173</v>
      </c>
      <c r="Q36" s="25">
        <v>135</v>
      </c>
      <c r="R36" s="25">
        <v>2</v>
      </c>
      <c r="S36" s="12">
        <f t="shared" si="0"/>
        <v>270</v>
      </c>
      <c r="T36" s="5">
        <v>0.2</v>
      </c>
      <c r="U36" s="12">
        <f t="shared" si="1"/>
        <v>216</v>
      </c>
      <c r="V36" s="25" t="s">
        <v>10</v>
      </c>
      <c r="W36" s="11">
        <f>IFERROR(VLOOKUP(V36,Curr!$B$2:$C$13,2,FALSE),0)</f>
        <v>11.2</v>
      </c>
      <c r="X36" s="12">
        <f t="shared" si="2"/>
        <v>2419.1999999999998</v>
      </c>
      <c r="Y36" s="26">
        <f t="shared" si="3"/>
        <v>135</v>
      </c>
      <c r="Z36" s="12">
        <f t="shared" si="4"/>
        <v>270</v>
      </c>
      <c r="AA36" s="4" t="s">
        <v>10</v>
      </c>
      <c r="AB36" s="11">
        <f>IFERROR(VLOOKUP(AA36,Curr!$B$2:$C$13,2,FALSE),0)</f>
        <v>11.2</v>
      </c>
      <c r="AC36" s="12">
        <f t="shared" si="5"/>
        <v>3024</v>
      </c>
      <c r="AD36" s="12">
        <f t="shared" si="6"/>
        <v>604.80000000000018</v>
      </c>
      <c r="AE36" s="13">
        <f t="shared" si="7"/>
        <v>0.20000000000000007</v>
      </c>
    </row>
    <row r="37" spans="2:31" x14ac:dyDescent="0.25">
      <c r="B37" s="4"/>
      <c r="E37" s="3"/>
      <c r="F37" s="3"/>
      <c r="G37" s="24"/>
      <c r="H37" s="24"/>
      <c r="K37" s="4"/>
      <c r="L37" s="4"/>
      <c r="M37" s="4"/>
      <c r="N37" s="4"/>
      <c r="O37" s="4"/>
      <c r="P37" s="33"/>
      <c r="Q37" s="25"/>
      <c r="R37" s="25"/>
      <c r="S37" s="12">
        <f t="shared" si="0"/>
        <v>0</v>
      </c>
      <c r="T37" s="5">
        <v>0</v>
      </c>
      <c r="U37" s="12">
        <f t="shared" si="1"/>
        <v>0</v>
      </c>
      <c r="V37" s="25" t="s">
        <v>10</v>
      </c>
      <c r="W37" s="11">
        <f>IFERROR(VLOOKUP(V37,Curr!$B$2:$C$13,2,FALSE),0)</f>
        <v>11.2</v>
      </c>
      <c r="X37" s="12">
        <f t="shared" si="2"/>
        <v>0</v>
      </c>
      <c r="Y37" s="26">
        <f t="shared" si="3"/>
        <v>0</v>
      </c>
      <c r="Z37" s="12">
        <f t="shared" si="4"/>
        <v>0</v>
      </c>
      <c r="AA37" s="4" t="s">
        <v>10</v>
      </c>
      <c r="AB37" s="11">
        <f>IFERROR(VLOOKUP(AA37,Curr!$B$2:$C$13,2,FALSE),0)</f>
        <v>11.2</v>
      </c>
      <c r="AC37" s="12">
        <f t="shared" si="5"/>
        <v>0</v>
      </c>
      <c r="AD37" s="12">
        <f t="shared" si="6"/>
        <v>0</v>
      </c>
      <c r="AE37" s="13">
        <f t="shared" si="7"/>
        <v>0</v>
      </c>
    </row>
    <row r="38" spans="2:31" x14ac:dyDescent="0.25">
      <c r="B38" s="4"/>
      <c r="C38" s="1" t="s">
        <v>114</v>
      </c>
      <c r="D38" s="1" t="s">
        <v>73</v>
      </c>
      <c r="E38" s="3"/>
      <c r="F38" s="3"/>
      <c r="G38" s="24"/>
      <c r="H38" s="24"/>
      <c r="J38" s="1" t="s">
        <v>174</v>
      </c>
      <c r="K38" s="4"/>
      <c r="L38" s="4"/>
      <c r="M38" s="4"/>
      <c r="N38" s="4"/>
      <c r="O38" s="4"/>
      <c r="P38" s="33" t="s">
        <v>175</v>
      </c>
      <c r="Q38" s="25">
        <v>132</v>
      </c>
      <c r="R38" s="25">
        <v>2</v>
      </c>
      <c r="S38" s="12">
        <f t="shared" si="0"/>
        <v>264</v>
      </c>
      <c r="T38" s="5">
        <v>0.15</v>
      </c>
      <c r="U38" s="12">
        <f t="shared" si="1"/>
        <v>224.4</v>
      </c>
      <c r="V38" s="25" t="s">
        <v>10</v>
      </c>
      <c r="W38" s="11">
        <f>IFERROR(VLOOKUP(V38,Curr!$B$2:$C$13,2,FALSE),0)</f>
        <v>11.2</v>
      </c>
      <c r="X38" s="12">
        <f t="shared" si="2"/>
        <v>2513.2799999999997</v>
      </c>
      <c r="Y38" s="26">
        <f t="shared" si="3"/>
        <v>132</v>
      </c>
      <c r="Z38" s="12">
        <f t="shared" si="4"/>
        <v>264</v>
      </c>
      <c r="AA38" s="4" t="s">
        <v>10</v>
      </c>
      <c r="AB38" s="11">
        <f>IFERROR(VLOOKUP(AA38,Curr!$B$2:$C$13,2,FALSE),0)</f>
        <v>11.2</v>
      </c>
      <c r="AC38" s="12">
        <f t="shared" si="5"/>
        <v>2956.7999999999997</v>
      </c>
      <c r="AD38" s="12">
        <f t="shared" si="6"/>
        <v>443.52</v>
      </c>
      <c r="AE38" s="13">
        <f t="shared" si="7"/>
        <v>0.15</v>
      </c>
    </row>
    <row r="39" spans="2:31" x14ac:dyDescent="0.25">
      <c r="B39" s="4"/>
      <c r="C39" s="1" t="s">
        <v>114</v>
      </c>
      <c r="D39" s="1" t="s">
        <v>53</v>
      </c>
      <c r="E39" s="3"/>
      <c r="F39" s="3"/>
      <c r="G39" s="24"/>
      <c r="H39" s="24"/>
      <c r="J39" s="1" t="s">
        <v>168</v>
      </c>
      <c r="K39" s="4"/>
      <c r="L39" s="4"/>
      <c r="M39" s="4"/>
      <c r="N39" s="4"/>
      <c r="O39" s="4"/>
      <c r="P39" s="33"/>
      <c r="Q39" s="25">
        <v>0</v>
      </c>
      <c r="R39" s="25">
        <v>0</v>
      </c>
      <c r="S39" s="12">
        <f t="shared" si="0"/>
        <v>0</v>
      </c>
      <c r="T39" s="5">
        <v>0</v>
      </c>
      <c r="U39" s="12">
        <f t="shared" si="1"/>
        <v>0</v>
      </c>
      <c r="V39" s="25" t="s">
        <v>10</v>
      </c>
      <c r="W39" s="11">
        <f>IFERROR(VLOOKUP(V39,Curr!$B$2:$C$13,2,FALSE),0)</f>
        <v>11.2</v>
      </c>
      <c r="X39" s="12">
        <f t="shared" si="2"/>
        <v>0</v>
      </c>
      <c r="Y39" s="26">
        <f t="shared" si="3"/>
        <v>0</v>
      </c>
      <c r="Z39" s="12">
        <f t="shared" si="4"/>
        <v>0</v>
      </c>
      <c r="AA39" s="4" t="s">
        <v>10</v>
      </c>
      <c r="AB39" s="11">
        <f>IFERROR(VLOOKUP(AA39,Curr!$B$2:$C$13,2,FALSE),0)</f>
        <v>11.2</v>
      </c>
      <c r="AC39" s="12">
        <f t="shared" si="5"/>
        <v>0</v>
      </c>
      <c r="AD39" s="12">
        <f t="shared" si="6"/>
        <v>0</v>
      </c>
      <c r="AE39" s="13">
        <f t="shared" si="7"/>
        <v>0</v>
      </c>
    </row>
    <row r="40" spans="2:31" x14ac:dyDescent="0.25">
      <c r="B40" s="4"/>
      <c r="E40" s="3"/>
      <c r="F40" s="3"/>
      <c r="G40" s="24"/>
      <c r="H40" s="24"/>
      <c r="K40" s="4"/>
      <c r="L40" s="4"/>
      <c r="M40" s="4"/>
      <c r="N40" s="4"/>
      <c r="O40" s="4"/>
      <c r="P40" s="27"/>
      <c r="Q40" s="25">
        <v>0</v>
      </c>
      <c r="R40" s="25">
        <v>0</v>
      </c>
      <c r="S40" s="12">
        <f t="shared" si="0"/>
        <v>0</v>
      </c>
      <c r="T40" s="5">
        <v>0</v>
      </c>
      <c r="U40" s="12">
        <f t="shared" si="1"/>
        <v>0</v>
      </c>
      <c r="V40" s="25" t="s">
        <v>10</v>
      </c>
      <c r="W40" s="11">
        <f>IFERROR(VLOOKUP(V40,Curr!$B$2:$C$13,2,FALSE),0)</f>
        <v>11.2</v>
      </c>
      <c r="X40" s="12">
        <f t="shared" si="2"/>
        <v>0</v>
      </c>
      <c r="Y40" s="26">
        <f t="shared" si="3"/>
        <v>0</v>
      </c>
      <c r="Z40" s="12">
        <f t="shared" si="4"/>
        <v>0</v>
      </c>
      <c r="AA40" s="4" t="s">
        <v>10</v>
      </c>
      <c r="AB40" s="11">
        <f>IFERROR(VLOOKUP(AA40,Curr!$B$2:$C$13,2,FALSE),0)</f>
        <v>11.2</v>
      </c>
      <c r="AC40" s="12">
        <f t="shared" si="5"/>
        <v>0</v>
      </c>
      <c r="AD40" s="12">
        <f t="shared" si="6"/>
        <v>0</v>
      </c>
      <c r="AE40" s="13">
        <f t="shared" si="7"/>
        <v>0</v>
      </c>
    </row>
    <row r="41" spans="2:31" x14ac:dyDescent="0.25">
      <c r="B41" s="4"/>
      <c r="C41" s="1" t="s">
        <v>115</v>
      </c>
      <c r="D41" s="1" t="s">
        <v>73</v>
      </c>
      <c r="J41" s="1" t="s">
        <v>176</v>
      </c>
      <c r="K41" s="4"/>
      <c r="L41" s="4"/>
      <c r="M41" s="4"/>
      <c r="N41" s="4"/>
      <c r="O41" s="4"/>
      <c r="P41" s="33" t="s">
        <v>177</v>
      </c>
      <c r="Q41" s="25">
        <v>132</v>
      </c>
      <c r="R41" s="25">
        <v>2</v>
      </c>
      <c r="S41" s="12">
        <f t="shared" si="0"/>
        <v>264</v>
      </c>
      <c r="T41" s="5">
        <v>0.15</v>
      </c>
      <c r="U41" s="12">
        <f t="shared" si="1"/>
        <v>224.4</v>
      </c>
      <c r="V41" s="25" t="s">
        <v>10</v>
      </c>
      <c r="W41" s="11">
        <f>IFERROR(VLOOKUP(V41,Curr!$B$2:$C$13,2,FALSE),0)</f>
        <v>11.2</v>
      </c>
      <c r="X41" s="12">
        <f t="shared" si="2"/>
        <v>2513.2799999999997</v>
      </c>
      <c r="Y41" s="26">
        <f t="shared" si="3"/>
        <v>132</v>
      </c>
      <c r="Z41" s="12">
        <f t="shared" si="4"/>
        <v>264</v>
      </c>
      <c r="AA41" s="4" t="s">
        <v>10</v>
      </c>
      <c r="AB41" s="11">
        <f>IFERROR(VLOOKUP(AA41,Curr!$B$2:$C$13,2,FALSE),0)</f>
        <v>11.2</v>
      </c>
      <c r="AC41" s="12">
        <f t="shared" si="5"/>
        <v>2956.7999999999997</v>
      </c>
      <c r="AD41" s="12">
        <f t="shared" si="6"/>
        <v>443.52</v>
      </c>
      <c r="AE41" s="13">
        <f t="shared" si="7"/>
        <v>0.15</v>
      </c>
    </row>
    <row r="42" spans="2:31" x14ac:dyDescent="0.25">
      <c r="B42" s="4"/>
      <c r="C42" s="1" t="s">
        <v>115</v>
      </c>
      <c r="D42" s="1" t="s">
        <v>53</v>
      </c>
      <c r="J42" s="1" t="s">
        <v>168</v>
      </c>
      <c r="K42" s="4"/>
      <c r="L42" s="4"/>
      <c r="M42" s="4"/>
      <c r="N42" s="4"/>
      <c r="O42" s="4"/>
      <c r="P42" s="33"/>
      <c r="Q42" s="25">
        <v>0</v>
      </c>
      <c r="R42" s="25">
        <v>0</v>
      </c>
      <c r="S42" s="12">
        <f t="shared" si="0"/>
        <v>0</v>
      </c>
      <c r="T42" s="5">
        <v>0</v>
      </c>
      <c r="U42" s="12">
        <f t="shared" si="1"/>
        <v>0</v>
      </c>
      <c r="V42" s="25" t="s">
        <v>10</v>
      </c>
      <c r="W42" s="11">
        <f>IFERROR(VLOOKUP(V42,Curr!$B$2:$C$13,2,FALSE),0)</f>
        <v>11.2</v>
      </c>
      <c r="X42" s="12">
        <f t="shared" si="2"/>
        <v>0</v>
      </c>
      <c r="Y42" s="26">
        <f t="shared" si="3"/>
        <v>0</v>
      </c>
      <c r="Z42" s="12">
        <f t="shared" si="4"/>
        <v>0</v>
      </c>
      <c r="AA42" s="4" t="s">
        <v>10</v>
      </c>
      <c r="AB42" s="11">
        <f>IFERROR(VLOOKUP(AA42,Curr!$B$2:$C$13,2,FALSE),0)</f>
        <v>11.2</v>
      </c>
      <c r="AC42" s="12">
        <f t="shared" si="5"/>
        <v>0</v>
      </c>
      <c r="AD42" s="12">
        <f t="shared" si="6"/>
        <v>0</v>
      </c>
      <c r="AE42" s="13">
        <f t="shared" si="7"/>
        <v>0</v>
      </c>
    </row>
    <row r="43" spans="2:31" x14ac:dyDescent="0.25">
      <c r="B43" s="4"/>
      <c r="E43" s="3"/>
      <c r="F43" s="3"/>
      <c r="G43" s="24"/>
      <c r="H43" s="24"/>
      <c r="K43" s="4"/>
      <c r="L43" s="4"/>
      <c r="M43" s="4"/>
      <c r="N43" s="4"/>
      <c r="O43" s="4"/>
      <c r="P43" s="27"/>
      <c r="Q43" s="25"/>
      <c r="R43" s="25"/>
      <c r="S43" s="12">
        <f t="shared" si="0"/>
        <v>0</v>
      </c>
      <c r="T43" s="5">
        <v>0</v>
      </c>
      <c r="U43" s="12">
        <f t="shared" si="1"/>
        <v>0</v>
      </c>
      <c r="V43" s="25" t="s">
        <v>10</v>
      </c>
      <c r="W43" s="11">
        <f>IFERROR(VLOOKUP(V43,Curr!$B$2:$C$13,2,FALSE),0)</f>
        <v>11.2</v>
      </c>
      <c r="X43" s="12">
        <f t="shared" si="2"/>
        <v>0</v>
      </c>
      <c r="Y43" s="26">
        <f t="shared" si="3"/>
        <v>0</v>
      </c>
      <c r="Z43" s="12">
        <f t="shared" si="4"/>
        <v>0</v>
      </c>
      <c r="AA43" s="4" t="s">
        <v>10</v>
      </c>
      <c r="AB43" s="11">
        <f>IFERROR(VLOOKUP(AA43,Curr!$B$2:$C$13,2,FALSE),0)</f>
        <v>11.2</v>
      </c>
      <c r="AC43" s="12">
        <f t="shared" si="5"/>
        <v>0</v>
      </c>
      <c r="AD43" s="12">
        <f t="shared" si="6"/>
        <v>0</v>
      </c>
      <c r="AE43" s="13">
        <f t="shared" si="7"/>
        <v>0</v>
      </c>
    </row>
    <row r="44" spans="2:31" x14ac:dyDescent="0.25">
      <c r="B44" s="4"/>
      <c r="C44" s="1" t="s">
        <v>138</v>
      </c>
      <c r="D44" s="1" t="s">
        <v>50</v>
      </c>
      <c r="E44" s="3"/>
      <c r="F44" s="3"/>
      <c r="G44" s="24"/>
      <c r="H44" s="24"/>
      <c r="J44" s="1" t="s">
        <v>169</v>
      </c>
      <c r="K44" s="4"/>
      <c r="L44" s="4"/>
      <c r="M44" s="4"/>
      <c r="N44" s="4"/>
      <c r="O44" s="4"/>
      <c r="P44" s="27"/>
      <c r="Q44" s="25">
        <v>0</v>
      </c>
      <c r="R44" s="25">
        <v>0</v>
      </c>
      <c r="S44" s="12">
        <f t="shared" si="0"/>
        <v>0</v>
      </c>
      <c r="T44" s="5">
        <v>0</v>
      </c>
      <c r="U44" s="12">
        <f t="shared" si="1"/>
        <v>0</v>
      </c>
      <c r="V44" s="25" t="s">
        <v>10</v>
      </c>
      <c r="W44" s="11">
        <f>IFERROR(VLOOKUP(V44,Curr!$B$2:$C$13,2,FALSE),0)</f>
        <v>11.2</v>
      </c>
      <c r="X44" s="12">
        <f t="shared" si="2"/>
        <v>0</v>
      </c>
      <c r="Y44" s="26">
        <f t="shared" si="3"/>
        <v>0</v>
      </c>
      <c r="Z44" s="12">
        <f t="shared" si="4"/>
        <v>0</v>
      </c>
      <c r="AA44" s="4" t="s">
        <v>10</v>
      </c>
      <c r="AB44" s="11">
        <f>IFERROR(VLOOKUP(AA44,Curr!$B$2:$C$13,2,FALSE),0)</f>
        <v>11.2</v>
      </c>
      <c r="AC44" s="12">
        <f t="shared" si="5"/>
        <v>0</v>
      </c>
      <c r="AD44" s="12">
        <f t="shared" si="6"/>
        <v>0</v>
      </c>
      <c r="AE44" s="13">
        <f t="shared" si="7"/>
        <v>0</v>
      </c>
    </row>
    <row r="45" spans="2:31" x14ac:dyDescent="0.25">
      <c r="B45" s="4"/>
      <c r="C45" s="1" t="s">
        <v>138</v>
      </c>
      <c r="D45" s="1" t="s">
        <v>82</v>
      </c>
      <c r="E45" s="3"/>
      <c r="F45" s="3"/>
      <c r="G45" s="24"/>
      <c r="H45" s="24"/>
      <c r="J45" s="1" t="s">
        <v>170</v>
      </c>
      <c r="K45" s="4"/>
      <c r="L45" s="4"/>
      <c r="M45" s="4"/>
      <c r="N45" s="4"/>
      <c r="O45" s="4"/>
      <c r="P45" s="27"/>
      <c r="Q45" s="25">
        <v>0</v>
      </c>
      <c r="R45" s="25">
        <v>0</v>
      </c>
      <c r="S45" s="12">
        <f t="shared" si="0"/>
        <v>0</v>
      </c>
      <c r="T45" s="5">
        <v>0</v>
      </c>
      <c r="U45" s="12">
        <f t="shared" si="1"/>
        <v>0</v>
      </c>
      <c r="V45" s="25" t="s">
        <v>10</v>
      </c>
      <c r="W45" s="11">
        <f>IFERROR(VLOOKUP(V45,Curr!$B$2:$C$13,2,FALSE),0)</f>
        <v>11.2</v>
      </c>
      <c r="X45" s="12">
        <f t="shared" si="2"/>
        <v>0</v>
      </c>
      <c r="Y45" s="26">
        <f t="shared" si="3"/>
        <v>0</v>
      </c>
      <c r="Z45" s="12">
        <f t="shared" si="4"/>
        <v>0</v>
      </c>
      <c r="AA45" s="4" t="s">
        <v>10</v>
      </c>
      <c r="AB45" s="11">
        <f>IFERROR(VLOOKUP(AA45,Curr!$B$2:$C$13,2,FALSE),0)</f>
        <v>11.2</v>
      </c>
      <c r="AC45" s="12">
        <f t="shared" si="5"/>
        <v>0</v>
      </c>
      <c r="AD45" s="12">
        <f t="shared" si="6"/>
        <v>0</v>
      </c>
      <c r="AE45" s="13">
        <f t="shared" si="7"/>
        <v>0</v>
      </c>
    </row>
    <row r="46" spans="2:31" x14ac:dyDescent="0.25">
      <c r="B46" s="4"/>
      <c r="E46" s="3"/>
      <c r="F46" s="3"/>
      <c r="G46" s="24"/>
      <c r="H46" s="24"/>
      <c r="K46" s="4"/>
      <c r="L46" s="4"/>
      <c r="M46" s="4"/>
      <c r="N46" s="4"/>
      <c r="O46" s="4"/>
      <c r="P46" s="33"/>
      <c r="Q46" s="25"/>
      <c r="R46" s="25"/>
      <c r="S46" s="12">
        <f t="shared" si="0"/>
        <v>0</v>
      </c>
      <c r="T46" s="5">
        <v>0</v>
      </c>
      <c r="U46" s="12">
        <f t="shared" si="1"/>
        <v>0</v>
      </c>
      <c r="V46" s="25" t="s">
        <v>10</v>
      </c>
      <c r="W46" s="11">
        <f>IFERROR(VLOOKUP(V46,Curr!$B$2:$C$13,2,FALSE),0)</f>
        <v>11.2</v>
      </c>
      <c r="X46" s="12">
        <f t="shared" si="2"/>
        <v>0</v>
      </c>
      <c r="Y46" s="26">
        <f t="shared" si="3"/>
        <v>0</v>
      </c>
      <c r="Z46" s="12">
        <f t="shared" si="4"/>
        <v>0</v>
      </c>
      <c r="AA46" s="4" t="s">
        <v>10</v>
      </c>
      <c r="AB46" s="11">
        <f>IFERROR(VLOOKUP(AA46,Curr!$B$2:$C$13,2,FALSE),0)</f>
        <v>11.2</v>
      </c>
      <c r="AC46" s="12">
        <f t="shared" si="5"/>
        <v>0</v>
      </c>
      <c r="AD46" s="12">
        <f t="shared" si="6"/>
        <v>0</v>
      </c>
      <c r="AE46" s="13">
        <f t="shared" si="7"/>
        <v>0</v>
      </c>
    </row>
    <row r="47" spans="2:31" x14ac:dyDescent="0.25">
      <c r="B47" s="4"/>
      <c r="K47" s="4"/>
      <c r="L47" s="4"/>
      <c r="M47" s="4"/>
      <c r="N47" s="4"/>
      <c r="O47" s="4"/>
      <c r="P47" s="27"/>
      <c r="Q47" s="25"/>
      <c r="R47" s="25"/>
      <c r="S47" s="12">
        <f t="shared" si="0"/>
        <v>0</v>
      </c>
      <c r="T47" s="5">
        <v>0</v>
      </c>
      <c r="U47" s="12">
        <f t="shared" si="1"/>
        <v>0</v>
      </c>
      <c r="V47" s="25" t="s">
        <v>10</v>
      </c>
      <c r="W47" s="11">
        <f>IFERROR(VLOOKUP(V47,Curr!$B$2:$C$13,2,FALSE),0)</f>
        <v>11.2</v>
      </c>
      <c r="X47" s="12">
        <f t="shared" si="2"/>
        <v>0</v>
      </c>
      <c r="Y47" s="26">
        <f t="shared" si="3"/>
        <v>0</v>
      </c>
      <c r="Z47" s="12">
        <f t="shared" si="4"/>
        <v>0</v>
      </c>
      <c r="AA47" s="4" t="s">
        <v>10</v>
      </c>
      <c r="AB47" s="11">
        <f>IFERROR(VLOOKUP(AA47,Curr!$B$2:$C$13,2,FALSE),0)</f>
        <v>11.2</v>
      </c>
      <c r="AC47" s="12">
        <f t="shared" si="5"/>
        <v>0</v>
      </c>
      <c r="AD47" s="12">
        <f t="shared" si="6"/>
        <v>0</v>
      </c>
      <c r="AE47" s="13">
        <f t="shared" si="7"/>
        <v>0</v>
      </c>
    </row>
    <row r="48" spans="2:31" x14ac:dyDescent="0.25">
      <c r="B48" s="4"/>
      <c r="C48" s="1" t="s">
        <v>55</v>
      </c>
      <c r="D48" s="1" t="s">
        <v>93</v>
      </c>
      <c r="E48" s="3"/>
      <c r="F48" s="3"/>
      <c r="G48" s="24"/>
      <c r="H48" s="24"/>
      <c r="J48" s="1" t="s">
        <v>95</v>
      </c>
      <c r="K48" s="4"/>
      <c r="L48" s="4"/>
      <c r="M48" s="4"/>
      <c r="N48" s="4"/>
      <c r="O48" s="4"/>
      <c r="P48" s="33"/>
      <c r="Q48" s="25">
        <v>1750</v>
      </c>
      <c r="R48" s="25">
        <v>0</v>
      </c>
      <c r="S48" s="12">
        <f t="shared" si="0"/>
        <v>0</v>
      </c>
      <c r="T48" s="5">
        <v>0</v>
      </c>
      <c r="U48" s="12">
        <f t="shared" si="1"/>
        <v>0</v>
      </c>
      <c r="V48" s="25" t="s">
        <v>8</v>
      </c>
      <c r="W48" s="11">
        <f>IFERROR(VLOOKUP(V48,Curr!$B$2:$C$13,2,FALSE),0)</f>
        <v>1</v>
      </c>
      <c r="X48" s="12">
        <f t="shared" si="2"/>
        <v>0</v>
      </c>
      <c r="Y48" s="26">
        <f>Q48/11.3/0.8</f>
        <v>193.58407079646017</v>
      </c>
      <c r="Z48" s="12">
        <f t="shared" si="4"/>
        <v>0</v>
      </c>
      <c r="AA48" s="4" t="s">
        <v>10</v>
      </c>
      <c r="AB48" s="11">
        <f>IFERROR(VLOOKUP(AA48,Curr!$B$2:$C$13,2,FALSE),0)</f>
        <v>11.2</v>
      </c>
      <c r="AC48" s="12">
        <f t="shared" si="5"/>
        <v>0</v>
      </c>
      <c r="AD48" s="12">
        <f t="shared" si="6"/>
        <v>0</v>
      </c>
      <c r="AE48" s="13">
        <f t="shared" si="7"/>
        <v>0</v>
      </c>
    </row>
    <row r="49" spans="2:31" x14ac:dyDescent="0.25">
      <c r="B49" s="4"/>
      <c r="C49" s="1" t="s">
        <v>63</v>
      </c>
      <c r="D49" s="1" t="s">
        <v>93</v>
      </c>
      <c r="E49" s="3"/>
      <c r="F49" s="3"/>
      <c r="G49" s="24"/>
      <c r="H49" s="24"/>
      <c r="J49" s="1" t="s">
        <v>96</v>
      </c>
      <c r="K49" s="4"/>
      <c r="L49" s="4"/>
      <c r="M49" s="4"/>
      <c r="N49" s="4"/>
      <c r="O49" s="4"/>
      <c r="P49" s="27"/>
      <c r="Q49" s="25">
        <v>1290</v>
      </c>
      <c r="R49" s="25">
        <v>0</v>
      </c>
      <c r="S49" s="12">
        <f t="shared" si="0"/>
        <v>0</v>
      </c>
      <c r="T49" s="5">
        <v>0.15</v>
      </c>
      <c r="U49" s="12">
        <f t="shared" si="1"/>
        <v>0</v>
      </c>
      <c r="V49" s="25" t="s">
        <v>8</v>
      </c>
      <c r="W49" s="11">
        <f>IFERROR(VLOOKUP(V49,Curr!$B$2:$C$13,2,FALSE),0)</f>
        <v>1</v>
      </c>
      <c r="X49" s="12">
        <f t="shared" si="2"/>
        <v>0</v>
      </c>
      <c r="Y49" s="26">
        <f>Q49/11.3/0.98</f>
        <v>116.48907350550839</v>
      </c>
      <c r="Z49" s="12">
        <f t="shared" si="4"/>
        <v>0</v>
      </c>
      <c r="AA49" s="4" t="s">
        <v>10</v>
      </c>
      <c r="AB49" s="11">
        <f>IFERROR(VLOOKUP(AA49,Curr!$B$2:$C$13,2,FALSE),0)</f>
        <v>11.2</v>
      </c>
      <c r="AC49" s="12">
        <f t="shared" si="5"/>
        <v>0</v>
      </c>
      <c r="AD49" s="12">
        <f t="shared" si="6"/>
        <v>0</v>
      </c>
      <c r="AE49" s="13">
        <f t="shared" si="7"/>
        <v>0</v>
      </c>
    </row>
    <row r="50" spans="2:31" x14ac:dyDescent="0.25">
      <c r="B50" s="4"/>
      <c r="C50" s="1" t="s">
        <v>78</v>
      </c>
      <c r="D50" s="1" t="s">
        <v>93</v>
      </c>
      <c r="E50" s="3"/>
      <c r="F50" s="3"/>
      <c r="G50" s="24"/>
      <c r="H50" s="24"/>
      <c r="J50" s="1" t="s">
        <v>97</v>
      </c>
      <c r="K50" s="4"/>
      <c r="L50" s="4"/>
      <c r="M50" s="4"/>
      <c r="N50" s="4"/>
      <c r="O50" s="4"/>
      <c r="P50" s="33"/>
      <c r="Q50" s="25">
        <v>1690</v>
      </c>
      <c r="R50" s="25">
        <v>0</v>
      </c>
      <c r="S50" s="12">
        <f t="shared" si="0"/>
        <v>0</v>
      </c>
      <c r="T50" s="5">
        <v>0.15</v>
      </c>
      <c r="U50" s="12">
        <f t="shared" si="1"/>
        <v>0</v>
      </c>
      <c r="V50" s="25" t="s">
        <v>8</v>
      </c>
      <c r="W50" s="11">
        <f>IFERROR(VLOOKUP(V50,Curr!$B$2:$C$13,2,FALSE),0)</f>
        <v>1</v>
      </c>
      <c r="X50" s="12">
        <f t="shared" si="2"/>
        <v>0</v>
      </c>
      <c r="Y50" s="26">
        <f>Q50/11.3/0.98</f>
        <v>152.60971645295285</v>
      </c>
      <c r="Z50" s="12">
        <f t="shared" si="4"/>
        <v>0</v>
      </c>
      <c r="AA50" s="4" t="s">
        <v>10</v>
      </c>
      <c r="AB50" s="11">
        <f>IFERROR(VLOOKUP(AA50,Curr!$B$2:$C$13,2,FALSE),0)</f>
        <v>11.2</v>
      </c>
      <c r="AC50" s="12">
        <f t="shared" si="5"/>
        <v>0</v>
      </c>
      <c r="AD50" s="12">
        <f t="shared" si="6"/>
        <v>0</v>
      </c>
      <c r="AE50" s="13">
        <f t="shared" si="7"/>
        <v>0</v>
      </c>
    </row>
    <row r="51" spans="2:31" x14ac:dyDescent="0.25">
      <c r="B51" s="4"/>
      <c r="C51" s="1" t="s">
        <v>78</v>
      </c>
      <c r="D51" s="1" t="s">
        <v>93</v>
      </c>
      <c r="E51" s="3"/>
      <c r="F51" s="3"/>
      <c r="G51" s="24"/>
      <c r="H51" s="24"/>
      <c r="J51" s="1" t="s">
        <v>150</v>
      </c>
      <c r="K51" s="4"/>
      <c r="L51" s="4"/>
      <c r="M51" s="4"/>
      <c r="N51" s="4"/>
      <c r="O51" s="4"/>
      <c r="P51" s="27"/>
      <c r="Q51" s="25">
        <v>900</v>
      </c>
      <c r="R51" s="25">
        <v>0</v>
      </c>
      <c r="S51" s="12">
        <f t="shared" si="0"/>
        <v>0</v>
      </c>
      <c r="T51" s="5">
        <v>0</v>
      </c>
      <c r="U51" s="12">
        <f t="shared" si="1"/>
        <v>0</v>
      </c>
      <c r="V51" s="25" t="s">
        <v>8</v>
      </c>
      <c r="W51" s="11">
        <f>IFERROR(VLOOKUP(V51,Curr!$B$2:$C$13,2,FALSE),0)</f>
        <v>1</v>
      </c>
      <c r="X51" s="12">
        <f t="shared" si="2"/>
        <v>0</v>
      </c>
      <c r="Y51" s="26">
        <f t="shared" ref="Y51:Y52" si="10">Q51/11.3/0.8</f>
        <v>99.55752212389379</v>
      </c>
      <c r="Z51" s="12">
        <f t="shared" si="4"/>
        <v>0</v>
      </c>
      <c r="AA51" s="4" t="s">
        <v>10</v>
      </c>
      <c r="AB51" s="11">
        <f>IFERROR(VLOOKUP(AA51,Curr!$B$2:$C$13,2,FALSE),0)</f>
        <v>11.2</v>
      </c>
      <c r="AC51" s="12">
        <f t="shared" si="5"/>
        <v>0</v>
      </c>
      <c r="AD51" s="12">
        <f t="shared" si="6"/>
        <v>0</v>
      </c>
      <c r="AE51" s="13">
        <f t="shared" si="7"/>
        <v>0</v>
      </c>
    </row>
    <row r="52" spans="2:31" x14ac:dyDescent="0.25">
      <c r="B52" s="4"/>
      <c r="C52" s="1" t="s">
        <v>81</v>
      </c>
      <c r="D52" s="1" t="s">
        <v>93</v>
      </c>
      <c r="E52" s="3"/>
      <c r="F52" s="3"/>
      <c r="G52" s="24"/>
      <c r="H52" s="24"/>
      <c r="J52" s="1" t="s">
        <v>151</v>
      </c>
      <c r="K52" s="4"/>
      <c r="L52" s="4"/>
      <c r="M52" s="4"/>
      <c r="N52" s="4"/>
      <c r="O52" s="4"/>
      <c r="P52" s="33"/>
      <c r="Q52" s="25">
        <v>900</v>
      </c>
      <c r="R52" s="25">
        <v>0</v>
      </c>
      <c r="S52" s="12">
        <f t="shared" si="0"/>
        <v>0</v>
      </c>
      <c r="T52" s="5">
        <v>0</v>
      </c>
      <c r="U52" s="12">
        <f t="shared" si="1"/>
        <v>0</v>
      </c>
      <c r="V52" s="25" t="s">
        <v>8</v>
      </c>
      <c r="W52" s="11">
        <f>IFERROR(VLOOKUP(V52,Curr!$B$2:$C$13,2,FALSE),0)</f>
        <v>1</v>
      </c>
      <c r="X52" s="12">
        <f t="shared" si="2"/>
        <v>0</v>
      </c>
      <c r="Y52" s="26">
        <f t="shared" si="10"/>
        <v>99.55752212389379</v>
      </c>
      <c r="Z52" s="12">
        <f t="shared" si="4"/>
        <v>0</v>
      </c>
      <c r="AA52" s="4" t="s">
        <v>10</v>
      </c>
      <c r="AB52" s="11">
        <f>IFERROR(VLOOKUP(AA52,Curr!$B$2:$C$13,2,FALSE),0)</f>
        <v>11.2</v>
      </c>
      <c r="AC52" s="12">
        <f t="shared" si="5"/>
        <v>0</v>
      </c>
      <c r="AD52" s="12">
        <f t="shared" si="6"/>
        <v>0</v>
      </c>
      <c r="AE52" s="13">
        <f t="shared" si="7"/>
        <v>0</v>
      </c>
    </row>
    <row r="53" spans="2:31" x14ac:dyDescent="0.25">
      <c r="B53" s="4"/>
      <c r="C53" s="1" t="s">
        <v>81</v>
      </c>
      <c r="D53" s="1" t="s">
        <v>93</v>
      </c>
      <c r="E53" s="3"/>
      <c r="F53" s="3"/>
      <c r="G53" s="24"/>
      <c r="H53" s="24"/>
      <c r="J53" s="1" t="s">
        <v>179</v>
      </c>
      <c r="K53" s="4"/>
      <c r="L53" s="4"/>
      <c r="M53" s="4"/>
      <c r="N53" s="4"/>
      <c r="O53" s="4"/>
      <c r="P53" s="27"/>
      <c r="Q53" s="25">
        <v>900</v>
      </c>
      <c r="R53" s="25">
        <v>0</v>
      </c>
      <c r="S53" s="12">
        <f t="shared" ref="S53" si="11">+Q53*R53</f>
        <v>0</v>
      </c>
      <c r="T53" s="5">
        <v>0</v>
      </c>
      <c r="U53" s="12">
        <f t="shared" ref="U53" si="12">S53*(1-T53)</f>
        <v>0</v>
      </c>
      <c r="V53" s="25" t="s">
        <v>8</v>
      </c>
      <c r="W53" s="11">
        <f>IFERROR(VLOOKUP(V53,Curr!$B$2:$C$13,2,FALSE),0)</f>
        <v>1</v>
      </c>
      <c r="X53" s="12">
        <f t="shared" ref="X53" si="13">U53*W53</f>
        <v>0</v>
      </c>
      <c r="Y53" s="26">
        <f t="shared" ref="Y53" si="14">Q53/11.3/0.8</f>
        <v>99.55752212389379</v>
      </c>
      <c r="Z53" s="12">
        <f t="shared" si="4"/>
        <v>0</v>
      </c>
      <c r="AA53" s="4" t="s">
        <v>10</v>
      </c>
      <c r="AB53" s="11">
        <f>IFERROR(VLOOKUP(AA53,Curr!$B$2:$C$13,2,FALSE),0)</f>
        <v>11.2</v>
      </c>
      <c r="AC53" s="12">
        <f t="shared" si="5"/>
        <v>0</v>
      </c>
      <c r="AD53" s="12">
        <f t="shared" si="6"/>
        <v>0</v>
      </c>
      <c r="AE53" s="13">
        <f t="shared" si="7"/>
        <v>0</v>
      </c>
    </row>
    <row r="54" spans="2:31" x14ac:dyDescent="0.25">
      <c r="B54" s="4"/>
      <c r="C54" s="1" t="s">
        <v>138</v>
      </c>
      <c r="D54" s="1" t="s">
        <v>93</v>
      </c>
      <c r="E54" s="3"/>
      <c r="F54" s="3"/>
      <c r="G54" s="24"/>
      <c r="H54" s="24"/>
      <c r="J54" s="1" t="s">
        <v>180</v>
      </c>
      <c r="K54" s="4"/>
      <c r="L54" s="4"/>
      <c r="M54" s="4"/>
      <c r="N54" s="4"/>
      <c r="O54" s="4"/>
      <c r="P54" s="27"/>
      <c r="Q54" s="25">
        <v>900</v>
      </c>
      <c r="R54" s="25">
        <v>0</v>
      </c>
      <c r="S54" s="12">
        <f t="shared" ref="S54" si="15">+Q54*R54</f>
        <v>0</v>
      </c>
      <c r="T54" s="5">
        <v>0</v>
      </c>
      <c r="U54" s="12">
        <f t="shared" ref="U54" si="16">S54*(1-T54)</f>
        <v>0</v>
      </c>
      <c r="V54" s="25" t="s">
        <v>8</v>
      </c>
      <c r="W54" s="11">
        <f>IFERROR(VLOOKUP(V54,Curr!$B$2:$C$13,2,FALSE),0)</f>
        <v>1</v>
      </c>
      <c r="X54" s="12">
        <f t="shared" ref="X54" si="17">U54*W54</f>
        <v>0</v>
      </c>
      <c r="Y54" s="26">
        <f t="shared" ref="Y54" si="18">Q54/11.3/0.8</f>
        <v>99.55752212389379</v>
      </c>
      <c r="Z54" s="12">
        <f t="shared" si="4"/>
        <v>0</v>
      </c>
      <c r="AA54" s="4" t="s">
        <v>10</v>
      </c>
      <c r="AB54" s="11">
        <f>IFERROR(VLOOKUP(AA54,Curr!$B$2:$C$13,2,FALSE),0)</f>
        <v>11.2</v>
      </c>
      <c r="AC54" s="12">
        <f t="shared" si="5"/>
        <v>0</v>
      </c>
      <c r="AD54" s="12">
        <f t="shared" si="6"/>
        <v>0</v>
      </c>
      <c r="AE54" s="13">
        <f t="shared" si="7"/>
        <v>0</v>
      </c>
    </row>
    <row r="55" spans="2:31" x14ac:dyDescent="0.25">
      <c r="B55" s="4"/>
      <c r="E55" s="3"/>
      <c r="F55" s="3"/>
      <c r="G55" s="24"/>
      <c r="H55" s="24"/>
      <c r="K55" s="4"/>
      <c r="L55" s="4"/>
      <c r="M55" s="4"/>
      <c r="N55" s="4"/>
      <c r="O55" s="4"/>
      <c r="P55" s="27"/>
      <c r="Q55" s="25"/>
      <c r="R55" s="25"/>
      <c r="S55" s="12">
        <f t="shared" si="0"/>
        <v>0</v>
      </c>
      <c r="T55" s="5">
        <v>0</v>
      </c>
      <c r="U55" s="12">
        <f t="shared" si="1"/>
        <v>0</v>
      </c>
      <c r="V55" s="25" t="s">
        <v>10</v>
      </c>
      <c r="W55" s="11">
        <f>IFERROR(VLOOKUP(V55,Curr!$B$2:$C$13,2,FALSE),0)</f>
        <v>11.2</v>
      </c>
      <c r="X55" s="12">
        <f t="shared" si="2"/>
        <v>0</v>
      </c>
      <c r="Y55" s="26">
        <f t="shared" si="3"/>
        <v>0</v>
      </c>
      <c r="Z55" s="12">
        <f t="shared" si="4"/>
        <v>0</v>
      </c>
      <c r="AA55" s="4" t="s">
        <v>10</v>
      </c>
      <c r="AB55" s="11">
        <f>IFERROR(VLOOKUP(AA55,Curr!$B$2:$C$13,2,FALSE),0)</f>
        <v>11.2</v>
      </c>
      <c r="AC55" s="12">
        <f t="shared" si="5"/>
        <v>0</v>
      </c>
      <c r="AD55" s="12">
        <f t="shared" si="6"/>
        <v>0</v>
      </c>
      <c r="AE55" s="13">
        <f t="shared" si="7"/>
        <v>0</v>
      </c>
    </row>
    <row r="56" spans="2:31" x14ac:dyDescent="0.25">
      <c r="B56" s="4"/>
      <c r="E56" s="3"/>
      <c r="F56" s="3"/>
      <c r="G56" s="24"/>
      <c r="H56" s="24"/>
      <c r="K56" s="4"/>
      <c r="L56" s="4"/>
      <c r="M56" s="4"/>
      <c r="N56" s="4"/>
      <c r="O56" s="4"/>
      <c r="P56" s="27"/>
      <c r="Q56" s="25"/>
      <c r="R56" s="25"/>
      <c r="S56" s="12">
        <f t="shared" si="0"/>
        <v>0</v>
      </c>
      <c r="T56" s="5">
        <v>0</v>
      </c>
      <c r="U56" s="12">
        <f t="shared" si="1"/>
        <v>0</v>
      </c>
      <c r="V56" s="25" t="s">
        <v>10</v>
      </c>
      <c r="W56" s="11">
        <f>IFERROR(VLOOKUP(V56,Curr!$B$2:$C$13,2,FALSE),0)</f>
        <v>11.2</v>
      </c>
      <c r="X56" s="12">
        <f t="shared" si="2"/>
        <v>0</v>
      </c>
      <c r="Y56" s="26">
        <f t="shared" si="3"/>
        <v>0</v>
      </c>
      <c r="Z56" s="12">
        <f t="shared" si="4"/>
        <v>0</v>
      </c>
      <c r="AA56" s="4" t="s">
        <v>10</v>
      </c>
      <c r="AB56" s="11">
        <f>IFERROR(VLOOKUP(AA56,Curr!$B$2:$C$13,2,FALSE),0)</f>
        <v>11.2</v>
      </c>
      <c r="AC56" s="12">
        <f t="shared" si="5"/>
        <v>0</v>
      </c>
      <c r="AD56" s="12">
        <f t="shared" si="6"/>
        <v>0</v>
      </c>
      <c r="AE56" s="13">
        <f t="shared" si="7"/>
        <v>0</v>
      </c>
    </row>
    <row r="57" spans="2:31" x14ac:dyDescent="0.25">
      <c r="B57" s="4"/>
      <c r="C57" s="1" t="s">
        <v>63</v>
      </c>
      <c r="D57" s="1" t="s">
        <v>94</v>
      </c>
      <c r="E57" s="3"/>
      <c r="F57" s="3"/>
      <c r="G57" s="24"/>
      <c r="H57" s="24"/>
      <c r="J57" s="1" t="s">
        <v>101</v>
      </c>
      <c r="K57" s="4"/>
      <c r="L57" s="4"/>
      <c r="M57" s="4"/>
      <c r="N57" s="4"/>
      <c r="O57" s="4" t="s">
        <v>42</v>
      </c>
      <c r="P57" s="33" t="s">
        <v>100</v>
      </c>
      <c r="Q57" s="25">
        <v>3250</v>
      </c>
      <c r="R57" s="25">
        <v>0</v>
      </c>
      <c r="S57" s="12">
        <f t="shared" si="0"/>
        <v>0</v>
      </c>
      <c r="T57" s="5">
        <v>0.08</v>
      </c>
      <c r="U57" s="12">
        <f t="shared" si="1"/>
        <v>0</v>
      </c>
      <c r="V57" s="25" t="s">
        <v>8</v>
      </c>
      <c r="W57" s="11">
        <f>IFERROR(VLOOKUP(V57,Curr!$B$2:$C$13,2,FALSE),0)</f>
        <v>1</v>
      </c>
      <c r="X57" s="12">
        <f t="shared" si="2"/>
        <v>0</v>
      </c>
      <c r="Y57" s="26">
        <f>Q57/11.3/0.9</f>
        <v>319.56735496558503</v>
      </c>
      <c r="Z57" s="12">
        <f t="shared" si="4"/>
        <v>0</v>
      </c>
      <c r="AA57" s="4" t="s">
        <v>10</v>
      </c>
      <c r="AB57" s="11">
        <f>IFERROR(VLOOKUP(AA57,Curr!$B$2:$C$13,2,FALSE),0)</f>
        <v>11.2</v>
      </c>
      <c r="AC57" s="12">
        <f t="shared" si="5"/>
        <v>0</v>
      </c>
      <c r="AD57" s="12">
        <f t="shared" si="6"/>
        <v>0</v>
      </c>
      <c r="AE57" s="13">
        <f t="shared" si="7"/>
        <v>0</v>
      </c>
    </row>
    <row r="58" spans="2:31" x14ac:dyDescent="0.25">
      <c r="B58" s="4"/>
      <c r="C58" s="1" t="s">
        <v>63</v>
      </c>
      <c r="D58" s="1" t="s">
        <v>94</v>
      </c>
      <c r="E58" s="3"/>
      <c r="F58" s="3"/>
      <c r="G58" s="24"/>
      <c r="H58" s="24"/>
      <c r="J58" s="1" t="s">
        <v>105</v>
      </c>
      <c r="K58" s="4"/>
      <c r="L58" s="4"/>
      <c r="M58" s="4"/>
      <c r="N58" s="4"/>
      <c r="O58" s="4"/>
      <c r="P58" s="33"/>
      <c r="Q58" s="25">
        <v>450</v>
      </c>
      <c r="R58" s="25">
        <v>0</v>
      </c>
      <c r="S58" s="12">
        <f t="shared" si="0"/>
        <v>0</v>
      </c>
      <c r="T58" s="5">
        <v>0</v>
      </c>
      <c r="U58" s="12">
        <f t="shared" si="1"/>
        <v>0</v>
      </c>
      <c r="V58" s="25" t="s">
        <v>8</v>
      </c>
      <c r="W58" s="11">
        <f>IFERROR(VLOOKUP(V58,Curr!$B$2:$C$13,2,FALSE),0)</f>
        <v>1</v>
      </c>
      <c r="X58" s="12">
        <f t="shared" si="2"/>
        <v>0</v>
      </c>
      <c r="Y58" s="26">
        <f>Q58/11.3/0.8</f>
        <v>49.778761061946895</v>
      </c>
      <c r="Z58" s="12">
        <f t="shared" si="4"/>
        <v>0</v>
      </c>
      <c r="AA58" s="4" t="s">
        <v>10</v>
      </c>
      <c r="AB58" s="11">
        <f>IFERROR(VLOOKUP(AA58,Curr!$B$2:$C$13,2,FALSE),0)</f>
        <v>11.2</v>
      </c>
      <c r="AC58" s="12">
        <f t="shared" si="5"/>
        <v>0</v>
      </c>
      <c r="AD58" s="12">
        <f t="shared" si="6"/>
        <v>0</v>
      </c>
      <c r="AE58" s="13">
        <f t="shared" si="7"/>
        <v>0</v>
      </c>
    </row>
    <row r="59" spans="2:31" x14ac:dyDescent="0.25">
      <c r="B59" s="4"/>
      <c r="C59" s="1" t="s">
        <v>69</v>
      </c>
      <c r="D59" s="1" t="s">
        <v>94</v>
      </c>
      <c r="E59" s="3"/>
      <c r="F59" s="3"/>
      <c r="G59" s="24"/>
      <c r="H59" s="24"/>
      <c r="J59" s="1" t="s">
        <v>106</v>
      </c>
      <c r="K59" s="4"/>
      <c r="L59" s="4"/>
      <c r="M59" s="4"/>
      <c r="N59" s="4"/>
      <c r="O59" s="4" t="s">
        <v>42</v>
      </c>
      <c r="P59" s="33" t="s">
        <v>107</v>
      </c>
      <c r="Q59" s="25">
        <v>71</v>
      </c>
      <c r="R59" s="25">
        <v>0</v>
      </c>
      <c r="S59" s="12">
        <f t="shared" si="0"/>
        <v>0</v>
      </c>
      <c r="T59" s="5">
        <v>0.2</v>
      </c>
      <c r="U59" s="12">
        <f t="shared" si="1"/>
        <v>0</v>
      </c>
      <c r="V59" s="25" t="s">
        <v>10</v>
      </c>
      <c r="W59" s="11">
        <f>IFERROR(VLOOKUP(V59,Curr!$B$2:$C$13,2,FALSE),0)</f>
        <v>11.2</v>
      </c>
      <c r="X59" s="12">
        <f t="shared" si="2"/>
        <v>0</v>
      </c>
      <c r="Y59" s="26">
        <f t="shared" ref="Y59" si="19">Q59</f>
        <v>71</v>
      </c>
      <c r="Z59" s="12">
        <f t="shared" si="4"/>
        <v>0</v>
      </c>
      <c r="AA59" s="4" t="s">
        <v>10</v>
      </c>
      <c r="AB59" s="11">
        <f>IFERROR(VLOOKUP(AA59,Curr!$B$2:$C$13,2,FALSE),0)</f>
        <v>11.2</v>
      </c>
      <c r="AC59" s="12">
        <f t="shared" si="5"/>
        <v>0</v>
      </c>
      <c r="AD59" s="12">
        <f t="shared" si="6"/>
        <v>0</v>
      </c>
      <c r="AE59" s="13">
        <f t="shared" si="7"/>
        <v>0</v>
      </c>
    </row>
    <row r="60" spans="2:31" x14ac:dyDescent="0.25">
      <c r="B60" s="4"/>
      <c r="E60" s="3"/>
      <c r="F60" s="3"/>
      <c r="G60" s="24"/>
      <c r="H60" s="24"/>
      <c r="K60" s="4"/>
      <c r="L60" s="4"/>
      <c r="M60" s="4"/>
      <c r="N60" s="4"/>
      <c r="O60" s="4"/>
      <c r="P60" s="27"/>
      <c r="Q60" s="25"/>
      <c r="R60" s="25"/>
      <c r="S60" s="12">
        <f t="shared" si="0"/>
        <v>0</v>
      </c>
      <c r="T60" s="5">
        <v>0</v>
      </c>
      <c r="U60" s="12">
        <f t="shared" si="1"/>
        <v>0</v>
      </c>
      <c r="V60" s="25" t="s">
        <v>10</v>
      </c>
      <c r="W60" s="11">
        <f>IFERROR(VLOOKUP(V60,Curr!$B$2:$C$13,2,FALSE),0)</f>
        <v>11.2</v>
      </c>
      <c r="X60" s="12">
        <f t="shared" si="2"/>
        <v>0</v>
      </c>
      <c r="Y60" s="26">
        <f t="shared" si="3"/>
        <v>0</v>
      </c>
      <c r="Z60" s="12">
        <f t="shared" si="4"/>
        <v>0</v>
      </c>
      <c r="AA60" s="4" t="s">
        <v>10</v>
      </c>
      <c r="AB60" s="11">
        <f>IFERROR(VLOOKUP(AA60,Curr!$B$2:$C$13,2,FALSE),0)</f>
        <v>11.2</v>
      </c>
      <c r="AC60" s="12">
        <f t="shared" si="5"/>
        <v>0</v>
      </c>
      <c r="AD60" s="12">
        <f t="shared" si="6"/>
        <v>0</v>
      </c>
      <c r="AE60" s="13">
        <f t="shared" si="7"/>
        <v>0</v>
      </c>
    </row>
    <row r="61" spans="2:31" x14ac:dyDescent="0.25">
      <c r="B61" s="4"/>
      <c r="E61" s="3"/>
      <c r="F61" s="3"/>
      <c r="G61" s="24"/>
      <c r="H61" s="24"/>
      <c r="K61" s="4"/>
      <c r="L61" s="4"/>
      <c r="M61" s="4"/>
      <c r="N61" s="4"/>
      <c r="O61" s="4"/>
      <c r="P61" s="27"/>
      <c r="Q61" s="25"/>
      <c r="R61" s="25"/>
      <c r="S61" s="12">
        <f t="shared" si="0"/>
        <v>0</v>
      </c>
      <c r="T61" s="5">
        <v>0</v>
      </c>
      <c r="U61" s="12">
        <f t="shared" si="1"/>
        <v>0</v>
      </c>
      <c r="V61" s="25" t="s">
        <v>10</v>
      </c>
      <c r="W61" s="11">
        <f>IFERROR(VLOOKUP(V61,Curr!$B$2:$C$13,2,FALSE),0)</f>
        <v>11.2</v>
      </c>
      <c r="X61" s="12">
        <f t="shared" si="2"/>
        <v>0</v>
      </c>
      <c r="Y61" s="26">
        <f t="shared" si="3"/>
        <v>0</v>
      </c>
      <c r="Z61" s="12">
        <f t="shared" si="4"/>
        <v>0</v>
      </c>
      <c r="AA61" s="4" t="s">
        <v>10</v>
      </c>
      <c r="AB61" s="11">
        <f>IFERROR(VLOOKUP(AA61,Curr!$B$2:$C$13,2,FALSE),0)</f>
        <v>11.2</v>
      </c>
      <c r="AC61" s="12">
        <f t="shared" si="5"/>
        <v>0</v>
      </c>
      <c r="AD61" s="12">
        <f t="shared" si="6"/>
        <v>0</v>
      </c>
      <c r="AE61" s="13">
        <f t="shared" si="7"/>
        <v>0</v>
      </c>
    </row>
    <row r="62" spans="2:31" x14ac:dyDescent="0.25">
      <c r="B62" s="4"/>
      <c r="E62" s="3"/>
      <c r="F62" s="3"/>
      <c r="G62" s="24"/>
      <c r="H62" s="24"/>
      <c r="K62" s="4"/>
      <c r="L62" s="4"/>
      <c r="M62" s="4"/>
      <c r="N62" s="4"/>
      <c r="O62" s="4"/>
      <c r="P62" s="27"/>
      <c r="Q62" s="25"/>
      <c r="R62" s="25"/>
      <c r="S62" s="12">
        <f t="shared" si="0"/>
        <v>0</v>
      </c>
      <c r="T62" s="5">
        <v>0</v>
      </c>
      <c r="U62" s="12">
        <f t="shared" si="1"/>
        <v>0</v>
      </c>
      <c r="V62" s="25" t="s">
        <v>10</v>
      </c>
      <c r="W62" s="11">
        <f>IFERROR(VLOOKUP(V62,Curr!$B$2:$C$13,2,FALSE),0)</f>
        <v>11.2</v>
      </c>
      <c r="X62" s="12">
        <f t="shared" si="2"/>
        <v>0</v>
      </c>
      <c r="Y62" s="26">
        <f t="shared" si="3"/>
        <v>0</v>
      </c>
      <c r="Z62" s="12">
        <f t="shared" si="4"/>
        <v>0</v>
      </c>
      <c r="AA62" s="4" t="s">
        <v>10</v>
      </c>
      <c r="AB62" s="11">
        <f>IFERROR(VLOOKUP(AA62,Curr!$B$2:$C$13,2,FALSE),0)</f>
        <v>11.2</v>
      </c>
      <c r="AC62" s="12">
        <f t="shared" si="5"/>
        <v>0</v>
      </c>
      <c r="AD62" s="12">
        <f t="shared" si="6"/>
        <v>0</v>
      </c>
      <c r="AE62" s="13">
        <f t="shared" si="7"/>
        <v>0</v>
      </c>
    </row>
    <row r="63" spans="2:31" x14ac:dyDescent="0.25">
      <c r="B63" s="4"/>
      <c r="E63" s="3"/>
      <c r="F63" s="3"/>
      <c r="G63" s="24"/>
      <c r="H63" s="24"/>
      <c r="K63" s="4"/>
      <c r="L63" s="4"/>
      <c r="M63" s="4"/>
      <c r="N63" s="4"/>
      <c r="O63" s="4"/>
      <c r="P63" s="27"/>
      <c r="Q63" s="25"/>
      <c r="R63" s="25"/>
      <c r="S63" s="12">
        <f t="shared" si="0"/>
        <v>0</v>
      </c>
      <c r="T63" s="5">
        <v>0</v>
      </c>
      <c r="U63" s="12">
        <f t="shared" si="1"/>
        <v>0</v>
      </c>
      <c r="V63" s="25" t="s">
        <v>10</v>
      </c>
      <c r="W63" s="11">
        <f>IFERROR(VLOOKUP(V63,Curr!$B$2:$C$13,2,FALSE),0)</f>
        <v>11.2</v>
      </c>
      <c r="X63" s="12">
        <f t="shared" si="2"/>
        <v>0</v>
      </c>
      <c r="Y63" s="26">
        <f t="shared" si="3"/>
        <v>0</v>
      </c>
      <c r="Z63" s="12">
        <f t="shared" si="4"/>
        <v>0</v>
      </c>
      <c r="AA63" s="4" t="s">
        <v>10</v>
      </c>
      <c r="AB63" s="11">
        <f>IFERROR(VLOOKUP(AA63,Curr!$B$2:$C$13,2,FALSE),0)</f>
        <v>11.2</v>
      </c>
      <c r="AC63" s="12">
        <f t="shared" si="5"/>
        <v>0</v>
      </c>
      <c r="AD63" s="12">
        <f t="shared" si="6"/>
        <v>0</v>
      </c>
      <c r="AE63" s="13">
        <f t="shared" si="7"/>
        <v>0</v>
      </c>
    </row>
    <row r="64" spans="2:31" x14ac:dyDescent="0.25">
      <c r="B64" s="4"/>
      <c r="E64" s="3"/>
      <c r="F64" s="3"/>
      <c r="G64" s="24"/>
      <c r="H64" s="24"/>
      <c r="K64" s="4"/>
      <c r="L64" s="4"/>
      <c r="M64" s="4"/>
      <c r="N64" s="4"/>
      <c r="O64" s="4"/>
      <c r="P64" s="27"/>
      <c r="Q64" s="25"/>
      <c r="R64" s="25"/>
      <c r="S64" s="12">
        <f t="shared" si="0"/>
        <v>0</v>
      </c>
      <c r="T64" s="5">
        <v>0</v>
      </c>
      <c r="U64" s="12">
        <f t="shared" si="1"/>
        <v>0</v>
      </c>
      <c r="V64" s="25" t="s">
        <v>10</v>
      </c>
      <c r="W64" s="11">
        <f>IFERROR(VLOOKUP(V64,Curr!$B$2:$C$13,2,FALSE),0)</f>
        <v>11.2</v>
      </c>
      <c r="X64" s="12">
        <f t="shared" si="2"/>
        <v>0</v>
      </c>
      <c r="Y64" s="26">
        <f t="shared" si="3"/>
        <v>0</v>
      </c>
      <c r="Z64" s="12">
        <f t="shared" si="4"/>
        <v>0</v>
      </c>
      <c r="AA64" s="4" t="s">
        <v>10</v>
      </c>
      <c r="AB64" s="11">
        <f>IFERROR(VLOOKUP(AA64,Curr!$B$2:$C$13,2,FALSE),0)</f>
        <v>11.2</v>
      </c>
      <c r="AC64" s="12">
        <f t="shared" si="5"/>
        <v>0</v>
      </c>
      <c r="AD64" s="12">
        <f t="shared" si="6"/>
        <v>0</v>
      </c>
      <c r="AE64" s="13">
        <f t="shared" si="7"/>
        <v>0</v>
      </c>
    </row>
    <row r="65" spans="2:36" x14ac:dyDescent="0.25">
      <c r="B65" s="4"/>
      <c r="E65" s="3"/>
      <c r="F65" s="3"/>
      <c r="G65" s="24"/>
      <c r="H65" s="24"/>
      <c r="K65" s="4"/>
      <c r="L65" s="4"/>
      <c r="M65" s="4"/>
      <c r="N65" s="4"/>
      <c r="O65" s="4"/>
      <c r="P65" s="27"/>
      <c r="Q65" s="25"/>
      <c r="R65" s="25"/>
      <c r="S65" s="12">
        <f t="shared" si="0"/>
        <v>0</v>
      </c>
      <c r="T65" s="5">
        <v>0</v>
      </c>
      <c r="U65" s="12">
        <f t="shared" si="1"/>
        <v>0</v>
      </c>
      <c r="V65" s="25" t="s">
        <v>10</v>
      </c>
      <c r="W65" s="11">
        <f>IFERROR(VLOOKUP(V65,Curr!$B$2:$C$13,2,FALSE),0)</f>
        <v>11.2</v>
      </c>
      <c r="X65" s="12">
        <f t="shared" si="2"/>
        <v>0</v>
      </c>
      <c r="Y65" s="26">
        <f t="shared" si="3"/>
        <v>0</v>
      </c>
      <c r="Z65" s="12">
        <f t="shared" si="4"/>
        <v>0</v>
      </c>
      <c r="AA65" s="4" t="s">
        <v>10</v>
      </c>
      <c r="AB65" s="11">
        <f>IFERROR(VLOOKUP(AA65,Curr!$B$2:$C$13,2,FALSE),0)</f>
        <v>11.2</v>
      </c>
      <c r="AC65" s="12">
        <f t="shared" si="5"/>
        <v>0</v>
      </c>
      <c r="AD65" s="12">
        <f t="shared" si="6"/>
        <v>0</v>
      </c>
      <c r="AE65" s="13">
        <f t="shared" si="7"/>
        <v>0</v>
      </c>
    </row>
    <row r="66" spans="2:36" x14ac:dyDescent="0.25">
      <c r="B66" s="4"/>
      <c r="E66" s="3"/>
      <c r="F66" s="3"/>
      <c r="G66" s="24"/>
      <c r="H66" s="24"/>
      <c r="K66" s="4"/>
      <c r="L66" s="4"/>
      <c r="M66" s="4"/>
      <c r="N66" s="4"/>
      <c r="O66" s="4"/>
      <c r="P66" s="27"/>
      <c r="Q66" s="25"/>
      <c r="R66" s="25"/>
      <c r="S66" s="12">
        <f t="shared" si="0"/>
        <v>0</v>
      </c>
      <c r="T66" s="5">
        <v>0</v>
      </c>
      <c r="U66" s="12">
        <f t="shared" si="1"/>
        <v>0</v>
      </c>
      <c r="V66" s="25" t="s">
        <v>10</v>
      </c>
      <c r="W66" s="11">
        <f>IFERROR(VLOOKUP(V66,Curr!$B$2:$C$13,2,FALSE),0)</f>
        <v>11.2</v>
      </c>
      <c r="X66" s="12">
        <f t="shared" si="2"/>
        <v>0</v>
      </c>
      <c r="Y66" s="26">
        <f t="shared" si="3"/>
        <v>0</v>
      </c>
      <c r="Z66" s="12">
        <f t="shared" si="4"/>
        <v>0</v>
      </c>
      <c r="AA66" s="4" t="s">
        <v>10</v>
      </c>
      <c r="AB66" s="11">
        <f>IFERROR(VLOOKUP(AA66,Curr!$B$2:$C$13,2,FALSE),0)</f>
        <v>11.2</v>
      </c>
      <c r="AC66" s="12">
        <f t="shared" si="5"/>
        <v>0</v>
      </c>
      <c r="AD66" s="12">
        <f t="shared" si="6"/>
        <v>0</v>
      </c>
      <c r="AE66" s="13">
        <f t="shared" si="7"/>
        <v>0</v>
      </c>
    </row>
    <row r="67" spans="2:36" x14ac:dyDescent="0.25">
      <c r="B67" s="4"/>
      <c r="E67" s="3"/>
      <c r="F67" s="3"/>
      <c r="G67" s="24"/>
      <c r="H67" s="24"/>
      <c r="K67" s="4"/>
      <c r="L67" s="4"/>
      <c r="M67" s="4"/>
      <c r="N67" s="4"/>
      <c r="O67" s="4"/>
      <c r="P67" s="27"/>
      <c r="Q67" s="25"/>
      <c r="R67" s="25"/>
      <c r="S67" s="12">
        <f t="shared" si="0"/>
        <v>0</v>
      </c>
      <c r="T67" s="5">
        <v>0</v>
      </c>
      <c r="U67" s="12">
        <f t="shared" si="1"/>
        <v>0</v>
      </c>
      <c r="V67" s="25" t="s">
        <v>10</v>
      </c>
      <c r="W67" s="11">
        <f>IFERROR(VLOOKUP(V67,Curr!$B$2:$C$13,2,FALSE),0)</f>
        <v>11.2</v>
      </c>
      <c r="X67" s="12">
        <f t="shared" si="2"/>
        <v>0</v>
      </c>
      <c r="Y67" s="26">
        <f t="shared" si="3"/>
        <v>0</v>
      </c>
      <c r="Z67" s="12">
        <f t="shared" si="4"/>
        <v>0</v>
      </c>
      <c r="AA67" s="4" t="s">
        <v>10</v>
      </c>
      <c r="AB67" s="11">
        <f>IFERROR(VLOOKUP(AA67,Curr!$B$2:$C$13,2,FALSE),0)</f>
        <v>11.2</v>
      </c>
      <c r="AC67" s="12">
        <f t="shared" si="5"/>
        <v>0</v>
      </c>
      <c r="AD67" s="12">
        <f t="shared" si="6"/>
        <v>0</v>
      </c>
      <c r="AE67" s="13">
        <f t="shared" si="7"/>
        <v>0</v>
      </c>
    </row>
    <row r="68" spans="2:36" x14ac:dyDescent="0.25">
      <c r="B68" s="4"/>
      <c r="E68" s="3"/>
      <c r="F68" s="3"/>
      <c r="G68" s="24"/>
      <c r="H68" s="24"/>
      <c r="K68" s="4"/>
      <c r="L68" s="4"/>
      <c r="M68" s="4"/>
      <c r="N68" s="4"/>
      <c r="O68" s="4"/>
      <c r="P68" s="27"/>
      <c r="Q68" s="25"/>
      <c r="R68" s="25"/>
      <c r="S68" s="12">
        <f t="shared" ref="S68" si="20">+Q68*R68</f>
        <v>0</v>
      </c>
      <c r="T68" s="5">
        <v>0</v>
      </c>
      <c r="U68" s="12">
        <f t="shared" ref="U68" si="21">S68*(1-T68)</f>
        <v>0</v>
      </c>
      <c r="V68" s="25" t="s">
        <v>10</v>
      </c>
      <c r="W68" s="11">
        <f>IFERROR(VLOOKUP(V68,Curr!$B$2:$C$13,2,FALSE),0)</f>
        <v>11.2</v>
      </c>
      <c r="X68" s="12">
        <f t="shared" ref="X68" si="22">U68*W68</f>
        <v>0</v>
      </c>
      <c r="Y68" s="26">
        <f t="shared" ref="Y68" si="23">Q68</f>
        <v>0</v>
      </c>
      <c r="Z68" s="12">
        <f t="shared" ref="Z68" si="24">+Y68*R68</f>
        <v>0</v>
      </c>
      <c r="AA68" s="4" t="s">
        <v>10</v>
      </c>
      <c r="AB68" s="11">
        <f>IFERROR(VLOOKUP(AA68,Curr!$B$2:$C$13,2,FALSE),0)</f>
        <v>11.2</v>
      </c>
      <c r="AC68" s="12">
        <f t="shared" ref="AC68" si="25">+Y68*AB68*R68</f>
        <v>0</v>
      </c>
      <c r="AD68" s="12">
        <f t="shared" ref="AD68" si="26">+AC68-X68</f>
        <v>0</v>
      </c>
      <c r="AE68" s="13">
        <f t="shared" ref="AE68" si="27">IFERROR(AD68/AC68,0)</f>
        <v>0</v>
      </c>
    </row>
    <row r="69" spans="2:36" x14ac:dyDescent="0.25">
      <c r="B69" s="4"/>
      <c r="E69" s="3"/>
      <c r="F69" s="3"/>
      <c r="G69" s="3"/>
      <c r="H69" s="3"/>
      <c r="L69" s="4"/>
      <c r="M69" s="4"/>
      <c r="N69" s="4"/>
      <c r="O69" s="4"/>
      <c r="P69" s="22"/>
      <c r="Q69" s="4"/>
      <c r="R69" s="4"/>
      <c r="S69" s="4"/>
      <c r="T69" s="4"/>
      <c r="U69" s="4"/>
      <c r="V69" s="4"/>
      <c r="W69" s="4"/>
      <c r="X69" s="4"/>
      <c r="Y69" s="4"/>
      <c r="Z69" s="4"/>
      <c r="AA69" s="4"/>
      <c r="AB69" s="4"/>
      <c r="AC69" s="4"/>
      <c r="AD69" s="4"/>
      <c r="AE69" s="4"/>
      <c r="AF69" s="4"/>
    </row>
    <row r="70" spans="2:36" x14ac:dyDescent="0.25">
      <c r="B70" s="14" t="s">
        <v>18</v>
      </c>
      <c r="C70" s="14"/>
      <c r="D70" s="28" t="s">
        <v>42</v>
      </c>
      <c r="E70" s="30" t="s">
        <v>42</v>
      </c>
      <c r="F70" s="30" t="s">
        <v>42</v>
      </c>
      <c r="G70" s="30" t="s">
        <v>42</v>
      </c>
      <c r="H70" s="30" t="s">
        <v>42</v>
      </c>
      <c r="I70" s="28" t="s">
        <v>42</v>
      </c>
      <c r="J70" s="28" t="s">
        <v>42</v>
      </c>
      <c r="K70" s="28" t="s">
        <v>42</v>
      </c>
      <c r="L70" s="28" t="s">
        <v>42</v>
      </c>
      <c r="M70" s="28" t="s">
        <v>42</v>
      </c>
      <c r="N70" s="28" t="s">
        <v>42</v>
      </c>
      <c r="O70" s="28" t="s">
        <v>42</v>
      </c>
      <c r="P70" s="28" t="s">
        <v>42</v>
      </c>
      <c r="Q70" s="31" t="s">
        <v>42</v>
      </c>
      <c r="R70" s="28" t="s">
        <v>42</v>
      </c>
      <c r="S70" s="32" t="s">
        <v>42</v>
      </c>
      <c r="T70" s="28" t="s">
        <v>42</v>
      </c>
      <c r="U70" s="32" t="s">
        <v>42</v>
      </c>
      <c r="V70" s="28" t="s">
        <v>42</v>
      </c>
      <c r="W70" s="28" t="s">
        <v>42</v>
      </c>
      <c r="X70" s="32" t="s">
        <v>42</v>
      </c>
      <c r="Y70" s="32" t="s">
        <v>42</v>
      </c>
      <c r="Z70" s="15">
        <f>SUM(Z7:Z68)</f>
        <v>3685.9034357105675</v>
      </c>
      <c r="AA70" s="14"/>
      <c r="AB70" s="14"/>
      <c r="AC70" s="15">
        <f>SUM(AC7:AC68)</f>
        <v>41282.118479958357</v>
      </c>
      <c r="AD70" s="15">
        <f>SUM(AD7:AD68)</f>
        <v>7438.358479958355</v>
      </c>
      <c r="AE70" s="21">
        <f t="shared" ref="AE70" si="28">IFERROR(AD70/AC70,0)</f>
        <v>0.18018354565717187</v>
      </c>
      <c r="AF70" s="15">
        <f>SUM(AF8:AF69)</f>
        <v>0</v>
      </c>
      <c r="AG70" s="15">
        <f>SUM(AG8:AG69)</f>
        <v>0</v>
      </c>
      <c r="AH70" s="15">
        <f>SUM(AH8:AH69)</f>
        <v>0</v>
      </c>
      <c r="AI70" s="15">
        <f>SUM(AI8:AI69)</f>
        <v>0</v>
      </c>
      <c r="AJ70" s="15">
        <f>SUM(AJ8:AJ69)</f>
        <v>0</v>
      </c>
    </row>
    <row r="71" spans="2:36" x14ac:dyDescent="0.25">
      <c r="B71" s="4"/>
      <c r="E71" s="3"/>
      <c r="F71" s="3"/>
      <c r="G71" s="3"/>
      <c r="H71" s="3"/>
      <c r="L71" s="4"/>
      <c r="M71" s="4"/>
      <c r="N71" s="4"/>
      <c r="O71" s="4"/>
      <c r="Q71" s="4"/>
      <c r="R71" s="4"/>
      <c r="S71" s="4"/>
      <c r="T71" s="4"/>
      <c r="U71" s="4"/>
      <c r="V71" s="4"/>
      <c r="W71" s="4"/>
      <c r="X71" s="4"/>
      <c r="Y71" s="9"/>
      <c r="Z71" s="9"/>
      <c r="AA71" s="9"/>
      <c r="AB71" s="9"/>
      <c r="AC71" s="9"/>
      <c r="AD71" s="9"/>
      <c r="AE71" s="9"/>
    </row>
    <row r="72" spans="2:36" x14ac:dyDescent="0.25">
      <c r="B72" s="4"/>
      <c r="E72" s="3"/>
      <c r="F72" s="3"/>
      <c r="G72" s="3"/>
      <c r="H72" s="3"/>
      <c r="L72" s="4"/>
      <c r="M72" s="4"/>
      <c r="N72" s="4"/>
      <c r="O72" s="4"/>
      <c r="Q72" s="9"/>
      <c r="R72" s="9"/>
      <c r="S72" s="9"/>
      <c r="T72" s="9"/>
      <c r="U72" s="9"/>
      <c r="V72" s="9"/>
      <c r="W72" s="9"/>
      <c r="X72" s="23"/>
      <c r="Y72" s="34" t="s">
        <v>102</v>
      </c>
      <c r="Z72" s="34">
        <v>1440</v>
      </c>
      <c r="AA72" s="9"/>
      <c r="AB72" s="9"/>
      <c r="AC72" s="9"/>
      <c r="AD72" s="9"/>
      <c r="AE72" s="9"/>
    </row>
    <row r="73" spans="2:36" x14ac:dyDescent="0.25">
      <c r="B73" s="4"/>
      <c r="E73" s="3"/>
      <c r="F73" s="3"/>
      <c r="G73" s="3"/>
      <c r="H73" s="3"/>
      <c r="L73" s="4"/>
      <c r="M73" s="4"/>
      <c r="N73" s="4"/>
      <c r="O73" s="4"/>
      <c r="Q73" s="9"/>
      <c r="R73" s="9"/>
      <c r="S73" s="9"/>
      <c r="T73" s="9"/>
      <c r="U73" s="9"/>
      <c r="V73" s="9"/>
      <c r="W73" s="9"/>
      <c r="X73" s="9"/>
      <c r="Y73" s="35" t="s">
        <v>103</v>
      </c>
      <c r="Z73" s="34">
        <f>Z9+Z15+Z23+Z25+Z32+Z34</f>
        <v>2251.9521082769393</v>
      </c>
      <c r="AA73" s="9"/>
      <c r="AB73" s="9"/>
      <c r="AC73" s="9"/>
      <c r="AD73" s="9"/>
      <c r="AE73" s="9"/>
      <c r="AF73" s="18"/>
    </row>
    <row r="74" spans="2:36" x14ac:dyDescent="0.25">
      <c r="B74" s="4"/>
      <c r="E74" s="3"/>
      <c r="F74" s="3"/>
      <c r="G74" s="3"/>
      <c r="H74" s="3"/>
      <c r="I74" s="19"/>
      <c r="L74" s="4"/>
      <c r="M74" s="4"/>
      <c r="N74" s="4"/>
      <c r="O74" s="20"/>
      <c r="Q74" s="20"/>
      <c r="R74" s="20"/>
      <c r="S74" s="20"/>
      <c r="T74" s="20"/>
      <c r="U74" s="20"/>
      <c r="V74" s="20"/>
      <c r="W74" s="20"/>
      <c r="X74" s="20"/>
      <c r="Y74" s="34" t="s">
        <v>104</v>
      </c>
      <c r="Z74" s="34">
        <v>3680</v>
      </c>
      <c r="AA74" s="9"/>
      <c r="AB74" s="9"/>
      <c r="AC74" s="9"/>
      <c r="AD74" s="9"/>
      <c r="AE74" s="9"/>
      <c r="AF74" s="18"/>
    </row>
    <row r="75" spans="2:36" x14ac:dyDescent="0.25">
      <c r="B75" s="4"/>
      <c r="E75" s="3"/>
      <c r="F75" s="3"/>
      <c r="G75" s="3"/>
      <c r="H75" s="3"/>
      <c r="L75" s="4"/>
      <c r="M75" s="4"/>
      <c r="N75" s="4"/>
      <c r="O75" s="20"/>
      <c r="Q75" s="20"/>
      <c r="R75" s="20"/>
      <c r="S75" s="20"/>
      <c r="T75" s="20"/>
      <c r="U75" s="20"/>
      <c r="V75" s="20"/>
      <c r="W75" s="20"/>
      <c r="X75" s="20"/>
      <c r="Y75" s="34" t="s">
        <v>43</v>
      </c>
      <c r="Z75" s="34">
        <f>Z74/2</f>
        <v>1840</v>
      </c>
      <c r="AA75" s="9"/>
      <c r="AB75" s="9"/>
      <c r="AC75" s="9"/>
      <c r="AD75" s="9"/>
      <c r="AE75" s="9"/>
      <c r="AF75" s="18"/>
    </row>
    <row r="76" spans="2:36" x14ac:dyDescent="0.25">
      <c r="B76" s="4"/>
      <c r="E76" s="3"/>
      <c r="F76" s="3"/>
      <c r="G76" s="3"/>
      <c r="H76" s="3"/>
      <c r="L76" s="4"/>
      <c r="M76" s="4"/>
      <c r="N76" s="4"/>
      <c r="O76" s="4"/>
      <c r="Q76" s="9"/>
      <c r="R76" s="9"/>
      <c r="S76" s="9"/>
      <c r="T76" s="9"/>
      <c r="U76" s="9"/>
      <c r="V76" s="9"/>
      <c r="W76" s="9"/>
      <c r="X76" s="9"/>
      <c r="Y76" s="1"/>
      <c r="Z76" s="1"/>
      <c r="AA76" s="9"/>
      <c r="AB76" s="9"/>
      <c r="AC76" s="9"/>
      <c r="AD76" s="9"/>
      <c r="AE76" s="9"/>
      <c r="AF76" s="18"/>
    </row>
    <row r="77" spans="2:36" x14ac:dyDescent="0.25">
      <c r="F77" s="1"/>
      <c r="G77" s="1"/>
      <c r="H77" s="1"/>
      <c r="J77" s="1" t="s">
        <v>32</v>
      </c>
      <c r="Q77" s="9"/>
      <c r="R77" s="4"/>
      <c r="S77" s="9"/>
      <c r="T77" s="5"/>
      <c r="U77" s="9"/>
      <c r="V77" s="4"/>
      <c r="W77" s="4"/>
      <c r="X77" s="9"/>
      <c r="Y77" s="9"/>
      <c r="Z77" s="9"/>
      <c r="AA77" s="9"/>
      <c r="AB77" s="9"/>
      <c r="AC77" s="9"/>
      <c r="AD77" s="9"/>
      <c r="AE77" s="9"/>
    </row>
    <row r="78" spans="2:36" x14ac:dyDescent="0.25">
      <c r="R78" s="4"/>
      <c r="S78" s="17"/>
      <c r="T78" s="17"/>
      <c r="U78" s="9"/>
      <c r="V78" s="4"/>
      <c r="W78" s="4"/>
      <c r="X78" s="9"/>
      <c r="Y78" s="9"/>
      <c r="Z78" s="9" t="s">
        <v>307</v>
      </c>
      <c r="AA78" s="9"/>
      <c r="AB78" s="9"/>
      <c r="AC78" s="9"/>
      <c r="AD78" s="9"/>
      <c r="AE78" s="9"/>
    </row>
    <row r="79" spans="2:36" x14ac:dyDescent="0.25">
      <c r="Q79" s="9"/>
      <c r="R79" s="4"/>
      <c r="S79" s="16"/>
      <c r="T79" s="16"/>
      <c r="U79" s="9"/>
      <c r="V79" s="4"/>
      <c r="W79" s="4"/>
      <c r="X79" s="9"/>
      <c r="Y79" s="37" t="s">
        <v>325</v>
      </c>
      <c r="Z79" s="9">
        <f>Z74</f>
        <v>3680</v>
      </c>
      <c r="AA79" s="9"/>
      <c r="AB79" s="9"/>
      <c r="AC79" s="9"/>
      <c r="AD79" s="9"/>
      <c r="AE79" s="9"/>
    </row>
    <row r="80" spans="2:36" x14ac:dyDescent="0.25">
      <c r="R80" s="4"/>
      <c r="S80" s="16"/>
      <c r="T80" s="16"/>
      <c r="Y80" s="37" t="s">
        <v>326</v>
      </c>
      <c r="Z80" s="9">
        <f>Z79*1.1</f>
        <v>4048.0000000000005</v>
      </c>
      <c r="AA80" s="9"/>
      <c r="AB80" s="9"/>
      <c r="AC80" s="9"/>
      <c r="AD80" s="9"/>
      <c r="AE80" s="9"/>
    </row>
    <row r="81" spans="20:31" x14ac:dyDescent="0.25">
      <c r="T81" s="5"/>
      <c r="Y81" s="37" t="s">
        <v>327</v>
      </c>
      <c r="Z81" s="9">
        <f>Z79*1.2</f>
        <v>4416</v>
      </c>
      <c r="AA81" s="9"/>
      <c r="AB81" s="9"/>
      <c r="AC81" s="9"/>
      <c r="AD81" s="9"/>
      <c r="AE81" s="9"/>
    </row>
    <row r="82" spans="20:31" x14ac:dyDescent="0.25">
      <c r="T82" s="5"/>
      <c r="Y82" s="37" t="s">
        <v>328</v>
      </c>
      <c r="Z82" s="9">
        <f>Z79*0.8</f>
        <v>2944</v>
      </c>
      <c r="AA82" s="9"/>
      <c r="AB82" s="9"/>
      <c r="AC82" s="9"/>
      <c r="AD82" s="9"/>
      <c r="AE82" s="9"/>
    </row>
    <row r="83" spans="20:31" x14ac:dyDescent="0.25">
      <c r="T83" s="5"/>
      <c r="Y83" s="37" t="s">
        <v>330</v>
      </c>
      <c r="Z83" s="9" t="s">
        <v>329</v>
      </c>
      <c r="AA83" s="9"/>
      <c r="AB83" s="9"/>
      <c r="AC83" s="9"/>
      <c r="AD83" s="9"/>
      <c r="AE83" s="9"/>
    </row>
    <row r="84" spans="20:31" x14ac:dyDescent="0.25">
      <c r="T84" s="5"/>
      <c r="Y84" s="9"/>
      <c r="Z84" s="9"/>
      <c r="AA84" s="9"/>
      <c r="AB84" s="9"/>
      <c r="AC84" s="9"/>
      <c r="AD84" s="9"/>
      <c r="AE84" s="9"/>
    </row>
    <row r="85" spans="20:31" x14ac:dyDescent="0.25">
      <c r="T85" s="5"/>
      <c r="Y85" s="9"/>
      <c r="Z85" s="9"/>
      <c r="AA85" s="9"/>
      <c r="AB85" s="9"/>
      <c r="AC85" s="9"/>
      <c r="AD85" s="9"/>
      <c r="AE85" s="9"/>
    </row>
    <row r="86" spans="20:31" x14ac:dyDescent="0.25">
      <c r="T86" s="5"/>
      <c r="Y86" s="9"/>
      <c r="Z86" s="9"/>
      <c r="AA86" s="9"/>
      <c r="AB86" s="9"/>
      <c r="AC86" s="9"/>
      <c r="AD86" s="9"/>
      <c r="AE86" s="9"/>
    </row>
    <row r="87" spans="20:31" x14ac:dyDescent="0.25">
      <c r="T87" s="5"/>
      <c r="Y87" s="9"/>
      <c r="Z87" s="9"/>
      <c r="AA87" s="9"/>
      <c r="AB87" s="9"/>
      <c r="AC87" s="9"/>
      <c r="AD87" s="9"/>
      <c r="AE87" s="9"/>
    </row>
    <row r="88" spans="20:31" x14ac:dyDescent="0.25">
      <c r="T88" s="5"/>
      <c r="Y88" s="9"/>
      <c r="Z88" s="9"/>
      <c r="AA88" s="9"/>
      <c r="AB88" s="9"/>
      <c r="AC88" s="9"/>
      <c r="AD88" s="9"/>
      <c r="AE88" s="9"/>
    </row>
    <row r="89" spans="20:31" x14ac:dyDescent="0.25">
      <c r="T89" s="5"/>
    </row>
    <row r="90" spans="20:31" x14ac:dyDescent="0.25">
      <c r="T90" s="5"/>
    </row>
    <row r="91" spans="20:31" x14ac:dyDescent="0.25">
      <c r="T91" s="5"/>
    </row>
    <row r="92" spans="20:31" x14ac:dyDescent="0.25">
      <c r="T92" s="5"/>
    </row>
    <row r="93" spans="20:31" x14ac:dyDescent="0.25">
      <c r="T93" s="5"/>
    </row>
  </sheetData>
  <autoFilter ref="B6:AE70" xr:uid="{65FA6D9B-E0AF-46CD-BA0D-86BB75FE6AB0}"/>
  <hyperlinks>
    <hyperlink ref="P13" r:id="rId1" location="reisesok" xr:uid="{4A78009B-47EA-499C-A5BB-7FACD0B134FC}"/>
    <hyperlink ref="P18" r:id="rId2" xr:uid="{E835AD2B-90A8-4971-BF17-44D3B427A9FA}"/>
    <hyperlink ref="P19" r:id="rId3" xr:uid="{15367C00-D763-4499-BD1C-1846BFBBE8FC}"/>
    <hyperlink ref="P28" r:id="rId4" xr:uid="{50905ADD-0ADB-4FDC-B73B-8BC733C2A45F}"/>
    <hyperlink ref="P36" r:id="rId5" xr:uid="{C52E79EF-B6BC-4FBC-9E84-5B975A5D2C0C}"/>
    <hyperlink ref="P38" r:id="rId6" xr:uid="{1E5F04F3-E274-4CEB-A472-603393640DB5}"/>
    <hyperlink ref="P41" r:id="rId7" xr:uid="{C0B4D97A-B1CE-4761-840D-160DD5222F21}"/>
    <hyperlink ref="P57" r:id="rId8" xr:uid="{66CDF98F-04C2-4786-B649-DC946CF6D61A}"/>
    <hyperlink ref="P59" r:id="rId9" xr:uid="{73A55F63-FB27-43BB-8F5E-2896DA1BDD90}"/>
  </hyperlinks>
  <pageMargins left="0.7" right="0.7" top="0.75" bottom="0.75" header="0.3" footer="0.3"/>
  <pageSetup paperSize="9" orientation="portrait"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6F14C-E0B0-4701-9223-FD64249D537E}">
  <sheetPr>
    <tabColor rgb="FFFFFF00"/>
  </sheetPr>
  <dimension ref="B1:AK102"/>
  <sheetViews>
    <sheetView topLeftCell="A3" zoomScale="80" zoomScaleNormal="80" workbookViewId="0">
      <selection activeCell="W7" sqref="W7"/>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162</v>
      </c>
    </row>
    <row r="2" spans="2:36" x14ac:dyDescent="0.25">
      <c r="B2" s="2" t="s">
        <v>164</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39" si="0">+Q7*R7</f>
        <v>0</v>
      </c>
      <c r="T7" s="5">
        <v>0</v>
      </c>
      <c r="U7" s="12">
        <f t="shared" ref="U7:U39" si="1">S7*(1-T7)</f>
        <v>0</v>
      </c>
      <c r="V7" s="25" t="s">
        <v>10</v>
      </c>
      <c r="W7" s="11">
        <f>IFERROR(VLOOKUP(V7,Curr!$B$2:$C$13,2,FALSE),0)</f>
        <v>11.2</v>
      </c>
      <c r="X7" s="12">
        <f t="shared" ref="X7:X39" si="2">U7*W7</f>
        <v>0</v>
      </c>
      <c r="Y7" s="26">
        <f t="shared" ref="Y7:Y39" si="3">Q7</f>
        <v>0</v>
      </c>
      <c r="Z7" s="12">
        <f t="shared" ref="Z7:Z69" si="4">+Y7*R7</f>
        <v>0</v>
      </c>
      <c r="AA7" s="4" t="s">
        <v>10</v>
      </c>
      <c r="AB7" s="11">
        <f>IFERROR(VLOOKUP(AA7,Curr!$B$2:$C$13,2,FALSE),0)</f>
        <v>11.2</v>
      </c>
      <c r="AC7" s="12">
        <f t="shared" ref="AC7:AC69" si="5">+Y7*AB7*R7</f>
        <v>0</v>
      </c>
      <c r="AD7" s="12">
        <f t="shared" ref="AD7:AD69" si="6">+AC7-X7</f>
        <v>0</v>
      </c>
      <c r="AE7" s="13">
        <f t="shared" ref="AE7:AE69"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70</v>
      </c>
      <c r="K9" s="4"/>
      <c r="L9" s="4"/>
      <c r="M9" s="4"/>
      <c r="N9" s="4"/>
      <c r="O9" s="4"/>
      <c r="P9" s="33"/>
      <c r="Q9" s="25">
        <v>200</v>
      </c>
      <c r="R9" s="25">
        <v>1</v>
      </c>
      <c r="S9" s="12">
        <f t="shared" si="0"/>
        <v>200</v>
      </c>
      <c r="T9" s="5">
        <v>0</v>
      </c>
      <c r="U9" s="12">
        <f t="shared" si="1"/>
        <v>200</v>
      </c>
      <c r="V9" s="25" t="s">
        <v>10</v>
      </c>
      <c r="W9" s="11">
        <f>IFERROR(VLOOKUP(V9,Curr!$B$2:$C$13,2,FALSE),0)</f>
        <v>11.2</v>
      </c>
      <c r="X9" s="12">
        <f t="shared" si="2"/>
        <v>2240</v>
      </c>
      <c r="Y9" s="26">
        <f>Q9/0.85</f>
        <v>235.29411764705884</v>
      </c>
      <c r="Z9" s="12">
        <f t="shared" si="4"/>
        <v>235.29411764705884</v>
      </c>
      <c r="AA9" s="4" t="s">
        <v>10</v>
      </c>
      <c r="AB9" s="11">
        <f>IFERROR(VLOOKUP(AA9,Curr!$B$2:$C$13,2,FALSE),0)</f>
        <v>11.2</v>
      </c>
      <c r="AC9" s="12">
        <f t="shared" si="5"/>
        <v>2635.294117647059</v>
      </c>
      <c r="AD9" s="12">
        <f t="shared" si="6"/>
        <v>395.29411764705901</v>
      </c>
      <c r="AE9" s="13">
        <f t="shared" si="7"/>
        <v>0.15000000000000005</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27"/>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66</v>
      </c>
      <c r="E13" s="3"/>
      <c r="F13" s="3"/>
      <c r="G13" s="24"/>
      <c r="H13" s="24"/>
      <c r="J13" s="1" t="s">
        <v>72</v>
      </c>
      <c r="K13" s="4"/>
      <c r="L13" s="4"/>
      <c r="M13" s="4"/>
      <c r="N13" s="4"/>
      <c r="O13" s="4" t="s">
        <v>42</v>
      </c>
      <c r="P13" s="33" t="s">
        <v>65</v>
      </c>
      <c r="Q13" s="25">
        <v>2400</v>
      </c>
      <c r="R13" s="25">
        <v>1</v>
      </c>
      <c r="S13" s="12">
        <f t="shared" si="0"/>
        <v>2400</v>
      </c>
      <c r="T13" s="5">
        <v>0</v>
      </c>
      <c r="U13" s="12">
        <f t="shared" si="1"/>
        <v>2400</v>
      </c>
      <c r="V13" s="25" t="s">
        <v>8</v>
      </c>
      <c r="W13" s="11">
        <f>IFERROR(VLOOKUP(V13,Curr!$B$2:$C$13,2,FALSE),0)</f>
        <v>1</v>
      </c>
      <c r="X13" s="12">
        <f t="shared" si="2"/>
        <v>2400</v>
      </c>
      <c r="Y13" s="26">
        <f>Q13/11.3/0.8</f>
        <v>265.48672566371675</v>
      </c>
      <c r="Z13" s="12">
        <f t="shared" si="4"/>
        <v>265.48672566371675</v>
      </c>
      <c r="AA13" s="4" t="s">
        <v>10</v>
      </c>
      <c r="AB13" s="11">
        <f>IFERROR(VLOOKUP(AA13,Curr!$B$2:$C$13,2,FALSE),0)</f>
        <v>11.2</v>
      </c>
      <c r="AC13" s="12">
        <f t="shared" si="5"/>
        <v>2973.4513274336273</v>
      </c>
      <c r="AD13" s="12">
        <f t="shared" si="6"/>
        <v>573.45132743362728</v>
      </c>
      <c r="AE13" s="13">
        <f t="shared" si="7"/>
        <v>0.19285714285714259</v>
      </c>
    </row>
    <row r="14" spans="2:36" x14ac:dyDescent="0.25">
      <c r="B14" s="4"/>
      <c r="C14" s="1" t="s">
        <v>63</v>
      </c>
      <c r="D14" s="1" t="s">
        <v>50</v>
      </c>
      <c r="E14" s="3"/>
      <c r="F14" s="3"/>
      <c r="G14" s="24"/>
      <c r="H14" s="24"/>
      <c r="J14" s="1" t="s">
        <v>67</v>
      </c>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ref="Y14:Y22" si="8">Q14</f>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71</v>
      </c>
      <c r="K15" s="4"/>
      <c r="L15" s="4"/>
      <c r="M15" s="4"/>
      <c r="N15" s="4"/>
      <c r="O15" s="4"/>
      <c r="P15" s="33"/>
      <c r="Q15" s="25">
        <v>400</v>
      </c>
      <c r="R15" s="25">
        <v>1</v>
      </c>
      <c r="S15" s="12">
        <f t="shared" si="0"/>
        <v>400</v>
      </c>
      <c r="T15" s="5">
        <v>0</v>
      </c>
      <c r="U15" s="12">
        <f t="shared" si="1"/>
        <v>400</v>
      </c>
      <c r="V15" s="25" t="s">
        <v>10</v>
      </c>
      <c r="W15" s="11">
        <f>IFERROR(VLOOKUP(V15,Curr!$B$2:$C$13,2,FALSE),0)</f>
        <v>11.2</v>
      </c>
      <c r="X15" s="12">
        <f t="shared" si="2"/>
        <v>4480</v>
      </c>
      <c r="Y15" s="26">
        <f>Q15/0.85</f>
        <v>470.58823529411768</v>
      </c>
      <c r="Z15" s="12">
        <f t="shared" si="4"/>
        <v>470.58823529411768</v>
      </c>
      <c r="AA15" s="4" t="s">
        <v>10</v>
      </c>
      <c r="AB15" s="11">
        <f>IFERROR(VLOOKUP(AA15,Curr!$B$2:$C$13,2,FALSE),0)</f>
        <v>11.2</v>
      </c>
      <c r="AC15" s="12">
        <f t="shared" si="5"/>
        <v>5270.588235294118</v>
      </c>
      <c r="AD15" s="12">
        <f t="shared" si="6"/>
        <v>790.58823529411802</v>
      </c>
      <c r="AE15" s="13">
        <f t="shared" si="7"/>
        <v>0.15000000000000005</v>
      </c>
    </row>
    <row r="16" spans="2:36" x14ac:dyDescent="0.25">
      <c r="B16" s="4"/>
      <c r="C16" s="1" t="s">
        <v>63</v>
      </c>
      <c r="D16" s="1" t="s">
        <v>53</v>
      </c>
      <c r="E16" s="3"/>
      <c r="F16" s="3"/>
      <c r="G16" s="24"/>
      <c r="H16" s="24"/>
      <c r="J16" s="1" t="s">
        <v>68</v>
      </c>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8"/>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0"/>
        <v>0</v>
      </c>
      <c r="T17" s="5">
        <v>0</v>
      </c>
      <c r="U17" s="12">
        <f t="shared" si="1"/>
        <v>0</v>
      </c>
      <c r="V17" s="25" t="s">
        <v>10</v>
      </c>
      <c r="W17" s="11">
        <f>IFERROR(VLOOKUP(V17,Curr!$B$2:$C$13,2,FALSE),0)</f>
        <v>11.2</v>
      </c>
      <c r="X17" s="12">
        <f t="shared" si="2"/>
        <v>0</v>
      </c>
      <c r="Y17" s="26">
        <f t="shared" si="8"/>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0"/>
        <v>580</v>
      </c>
      <c r="T18" s="5">
        <v>0.2</v>
      </c>
      <c r="U18" s="12">
        <f t="shared" si="1"/>
        <v>464</v>
      </c>
      <c r="V18" s="25" t="s">
        <v>8</v>
      </c>
      <c r="W18" s="11">
        <f>IFERROR(VLOOKUP(V18,Curr!$B$2:$C$13,2,FALSE),0)</f>
        <v>1</v>
      </c>
      <c r="X18" s="12">
        <f t="shared" si="2"/>
        <v>464</v>
      </c>
      <c r="Y18" s="26">
        <f>Q18/11.3/0.64</f>
        <v>40.099557522123888</v>
      </c>
      <c r="Z18" s="12">
        <f t="shared" si="4"/>
        <v>80.199115044247776</v>
      </c>
      <c r="AA18" s="4" t="s">
        <v>10</v>
      </c>
      <c r="AB18" s="11">
        <f>IFERROR(VLOOKUP(AA18,Curr!$B$2:$C$13,2,FALSE),0)</f>
        <v>11.2</v>
      </c>
      <c r="AC18" s="12">
        <f t="shared" si="5"/>
        <v>898.23008849557505</v>
      </c>
      <c r="AD18" s="12">
        <f t="shared" si="6"/>
        <v>434.23008849557505</v>
      </c>
      <c r="AE18" s="13">
        <f t="shared" si="7"/>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0"/>
        <v>350</v>
      </c>
      <c r="T19" s="5">
        <v>0</v>
      </c>
      <c r="U19" s="12">
        <f t="shared" si="1"/>
        <v>350</v>
      </c>
      <c r="V19" s="25" t="s">
        <v>8</v>
      </c>
      <c r="W19" s="11">
        <f>IFERROR(VLOOKUP(V19,Curr!$B$2:$C$13,2,FALSE),0)</f>
        <v>1</v>
      </c>
      <c r="X19" s="12">
        <f t="shared" si="2"/>
        <v>350</v>
      </c>
      <c r="Y19" s="26">
        <f>Q19/11.3/0.5</f>
        <v>30.973451327433626</v>
      </c>
      <c r="Z19" s="12">
        <f t="shared" si="4"/>
        <v>61.946902654867252</v>
      </c>
      <c r="AA19" s="4" t="s">
        <v>10</v>
      </c>
      <c r="AB19" s="11">
        <f>IFERROR(VLOOKUP(AA19,Curr!$B$2:$C$13,2,FALSE),0)</f>
        <v>11.2</v>
      </c>
      <c r="AC19" s="12">
        <f t="shared" si="5"/>
        <v>693.80530973451323</v>
      </c>
      <c r="AD19" s="12">
        <f t="shared" si="6"/>
        <v>343.80530973451323</v>
      </c>
      <c r="AE19" s="13">
        <f t="shared" si="7"/>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si="8"/>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11.2</v>
      </c>
      <c r="X21" s="12">
        <f t="shared" si="2"/>
        <v>0</v>
      </c>
      <c r="Y21" s="26">
        <f t="shared" si="8"/>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50</v>
      </c>
      <c r="E22" s="3"/>
      <c r="F22" s="3"/>
      <c r="G22" s="24"/>
      <c r="H22" s="24"/>
      <c r="J22" s="1" t="s">
        <v>83</v>
      </c>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8"/>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79</v>
      </c>
      <c r="E23" s="3"/>
      <c r="F23" s="3"/>
      <c r="G23" s="24"/>
      <c r="H23" s="24"/>
      <c r="J23" s="1" t="s">
        <v>178</v>
      </c>
      <c r="K23" s="4"/>
      <c r="L23" s="4"/>
      <c r="M23" s="4"/>
      <c r="N23" s="4"/>
      <c r="O23" s="4" t="s">
        <v>42</v>
      </c>
      <c r="P23" s="33"/>
      <c r="Q23" s="25">
        <v>2000</v>
      </c>
      <c r="R23" s="25">
        <v>2</v>
      </c>
      <c r="S23" s="12">
        <f t="shared" si="0"/>
        <v>4000</v>
      </c>
      <c r="T23" s="5">
        <v>0</v>
      </c>
      <c r="U23" s="12">
        <f t="shared" si="1"/>
        <v>4000</v>
      </c>
      <c r="V23" s="25" t="s">
        <v>8</v>
      </c>
      <c r="W23" s="11">
        <f>IFERROR(VLOOKUP(V23,Curr!$B$2:$C$13,2,FALSE),0)</f>
        <v>1</v>
      </c>
      <c r="X23" s="12">
        <f t="shared" si="2"/>
        <v>4000</v>
      </c>
      <c r="Y23" s="26">
        <f>Q23/11.3/0.8</f>
        <v>221.23893805309734</v>
      </c>
      <c r="Z23" s="12">
        <f t="shared" si="4"/>
        <v>442.47787610619469</v>
      </c>
      <c r="AA23" s="4" t="s">
        <v>10</v>
      </c>
      <c r="AB23" s="11">
        <f>IFERROR(VLOOKUP(AA23,Curr!$B$2:$C$13,2,FALSE),0)</f>
        <v>11.2</v>
      </c>
      <c r="AC23" s="12">
        <f t="shared" si="5"/>
        <v>4955.7522123893805</v>
      </c>
      <c r="AD23" s="12">
        <f t="shared" si="6"/>
        <v>955.75221238938047</v>
      </c>
      <c r="AE23" s="13">
        <f t="shared" si="7"/>
        <v>0.19285714285714284</v>
      </c>
    </row>
    <row r="24" spans="2:31" x14ac:dyDescent="0.25">
      <c r="B24" s="4"/>
      <c r="C24" s="1" t="s">
        <v>78</v>
      </c>
      <c r="D24" s="1" t="s">
        <v>50</v>
      </c>
      <c r="E24" s="3"/>
      <c r="F24" s="3"/>
      <c r="G24" s="24"/>
      <c r="H24" s="24"/>
      <c r="J24" s="1" t="s">
        <v>153</v>
      </c>
      <c r="K24" s="4"/>
      <c r="L24" s="4"/>
      <c r="M24" s="4"/>
      <c r="N24" s="4"/>
      <c r="O24" s="4"/>
      <c r="P24" s="27"/>
      <c r="Q24" s="25">
        <v>0</v>
      </c>
      <c r="R24" s="25">
        <v>0</v>
      </c>
      <c r="S24" s="12">
        <f t="shared" si="0"/>
        <v>0</v>
      </c>
      <c r="T24" s="5">
        <v>0</v>
      </c>
      <c r="U24" s="12">
        <f t="shared" si="1"/>
        <v>0</v>
      </c>
      <c r="V24" s="25" t="s">
        <v>10</v>
      </c>
      <c r="W24" s="11">
        <f>IFERROR(VLOOKUP(V24,Curr!$B$2:$C$13,2,FALSE),0)</f>
        <v>11.2</v>
      </c>
      <c r="X24" s="12">
        <f t="shared" si="2"/>
        <v>0</v>
      </c>
      <c r="Y24" s="26">
        <f t="shared" ref="Y24:Y26" si="9">Q24</f>
        <v>0</v>
      </c>
      <c r="Z24" s="12">
        <f t="shared" si="4"/>
        <v>0</v>
      </c>
      <c r="AA24" s="4" t="s">
        <v>10</v>
      </c>
      <c r="AB24" s="11">
        <f>IFERROR(VLOOKUP(AA24,Curr!$B$2:$C$13,2,FALSE),0)</f>
        <v>11.2</v>
      </c>
      <c r="AC24" s="12">
        <f t="shared" si="5"/>
        <v>0</v>
      </c>
      <c r="AD24" s="12">
        <f t="shared" si="6"/>
        <v>0</v>
      </c>
      <c r="AE24" s="13">
        <f t="shared" si="7"/>
        <v>0</v>
      </c>
    </row>
    <row r="25" spans="2:31" x14ac:dyDescent="0.25">
      <c r="B25" s="4"/>
      <c r="C25" s="1" t="s">
        <v>78</v>
      </c>
      <c r="D25" s="1" t="s">
        <v>52</v>
      </c>
      <c r="E25" s="3"/>
      <c r="F25" s="3"/>
      <c r="G25" s="24"/>
      <c r="H25" s="24"/>
      <c r="J25" s="1" t="s">
        <v>154</v>
      </c>
      <c r="K25" s="4"/>
      <c r="L25" s="4"/>
      <c r="M25" s="4"/>
      <c r="N25" s="4"/>
      <c r="O25" s="4"/>
      <c r="P25" s="27"/>
      <c r="Q25" s="25">
        <v>200</v>
      </c>
      <c r="R25" s="25">
        <v>1</v>
      </c>
      <c r="S25" s="12">
        <f t="shared" si="0"/>
        <v>200</v>
      </c>
      <c r="T25" s="5">
        <v>0</v>
      </c>
      <c r="U25" s="12">
        <f t="shared" si="1"/>
        <v>200</v>
      </c>
      <c r="V25" s="25" t="s">
        <v>10</v>
      </c>
      <c r="W25" s="11">
        <f>IFERROR(VLOOKUP(V25,Curr!$B$2:$C$13,2,FALSE),0)</f>
        <v>11.2</v>
      </c>
      <c r="X25" s="12">
        <f t="shared" si="2"/>
        <v>2240</v>
      </c>
      <c r="Y25" s="26">
        <f>Q25/0.85</f>
        <v>235.29411764705884</v>
      </c>
      <c r="Z25" s="12">
        <f t="shared" si="4"/>
        <v>235.29411764705884</v>
      </c>
      <c r="AA25" s="4" t="s">
        <v>10</v>
      </c>
      <c r="AB25" s="11">
        <f>IFERROR(VLOOKUP(AA25,Curr!$B$2:$C$13,2,FALSE),0)</f>
        <v>11.2</v>
      </c>
      <c r="AC25" s="12">
        <f t="shared" si="5"/>
        <v>2635.294117647059</v>
      </c>
      <c r="AD25" s="12">
        <f t="shared" si="6"/>
        <v>395.29411764705901</v>
      </c>
      <c r="AE25" s="13">
        <f t="shared" si="7"/>
        <v>0.15000000000000005</v>
      </c>
    </row>
    <row r="26" spans="2:31" x14ac:dyDescent="0.25">
      <c r="B26" s="4"/>
      <c r="C26" s="1" t="s">
        <v>78</v>
      </c>
      <c r="D26" s="1" t="s">
        <v>53</v>
      </c>
      <c r="E26" s="3"/>
      <c r="F26" s="3"/>
      <c r="G26" s="24"/>
      <c r="H26" s="24"/>
      <c r="J26" s="1" t="s">
        <v>152</v>
      </c>
      <c r="K26" s="4"/>
      <c r="L26" s="4"/>
      <c r="M26" s="4"/>
      <c r="N26" s="4"/>
      <c r="O26" s="4"/>
      <c r="P26" s="27"/>
      <c r="Q26" s="25">
        <v>0</v>
      </c>
      <c r="R26" s="25">
        <v>0</v>
      </c>
      <c r="S26" s="12">
        <f t="shared" si="0"/>
        <v>0</v>
      </c>
      <c r="T26" s="5">
        <v>0</v>
      </c>
      <c r="U26" s="12">
        <f t="shared" si="1"/>
        <v>0</v>
      </c>
      <c r="V26" s="25" t="s">
        <v>10</v>
      </c>
      <c r="W26" s="11">
        <f>IFERROR(VLOOKUP(V26,Curr!$B$2:$C$13,2,FALSE),0)</f>
        <v>11.2</v>
      </c>
      <c r="X26" s="12">
        <f t="shared" si="2"/>
        <v>0</v>
      </c>
      <c r="Y26" s="26">
        <f t="shared" si="9"/>
        <v>0</v>
      </c>
      <c r="Z26" s="12">
        <f t="shared" si="4"/>
        <v>0</v>
      </c>
      <c r="AA26" s="4" t="s">
        <v>10</v>
      </c>
      <c r="AB26" s="11">
        <f>IFERROR(VLOOKUP(AA26,Curr!$B$2:$C$13,2,FALSE),0)</f>
        <v>11.2</v>
      </c>
      <c r="AC26" s="12">
        <f t="shared" si="5"/>
        <v>0</v>
      </c>
      <c r="AD26" s="12">
        <f t="shared" si="6"/>
        <v>0</v>
      </c>
      <c r="AE26" s="13">
        <f t="shared" si="7"/>
        <v>0</v>
      </c>
    </row>
    <row r="27" spans="2:31" x14ac:dyDescent="0.25">
      <c r="B27" s="4"/>
      <c r="E27" s="3"/>
      <c r="F27" s="3"/>
      <c r="G27" s="24"/>
      <c r="H27" s="24"/>
      <c r="K27" s="4"/>
      <c r="L27" s="4"/>
      <c r="M27" s="4"/>
      <c r="N27" s="4"/>
      <c r="O27" s="4"/>
      <c r="P27" s="33"/>
      <c r="Q27" s="25"/>
      <c r="R27" s="25"/>
      <c r="S27" s="12">
        <f t="shared" si="0"/>
        <v>0</v>
      </c>
      <c r="T27" s="5">
        <v>0</v>
      </c>
      <c r="U27" s="12">
        <f t="shared" si="1"/>
        <v>0</v>
      </c>
      <c r="V27" s="25" t="s">
        <v>10</v>
      </c>
      <c r="W27" s="11">
        <f>IFERROR(VLOOKUP(V27,Curr!$B$2:$C$13,2,FALSE),0)</f>
        <v>11.2</v>
      </c>
      <c r="X27" s="12">
        <f t="shared" si="2"/>
        <v>0</v>
      </c>
      <c r="Y27" s="26">
        <f t="shared" si="3"/>
        <v>0</v>
      </c>
      <c r="Z27" s="12">
        <f t="shared" si="4"/>
        <v>0</v>
      </c>
      <c r="AA27" s="4" t="s">
        <v>10</v>
      </c>
      <c r="AB27" s="11">
        <f>IFERROR(VLOOKUP(AA27,Curr!$B$2:$C$13,2,FALSE),0)</f>
        <v>11.2</v>
      </c>
      <c r="AC27" s="12">
        <f t="shared" si="5"/>
        <v>0</v>
      </c>
      <c r="AD27" s="12">
        <f t="shared" si="6"/>
        <v>0</v>
      </c>
      <c r="AE27" s="13">
        <f t="shared" si="7"/>
        <v>0</v>
      </c>
    </row>
    <row r="28" spans="2:31" x14ac:dyDescent="0.25">
      <c r="B28" s="4"/>
      <c r="C28" s="1" t="s">
        <v>80</v>
      </c>
      <c r="D28" s="1" t="s">
        <v>73</v>
      </c>
      <c r="E28" s="3"/>
      <c r="F28" s="3"/>
      <c r="G28" s="24"/>
      <c r="H28" s="24"/>
      <c r="J28" s="1" t="s">
        <v>165</v>
      </c>
      <c r="K28" s="4"/>
      <c r="L28" s="4"/>
      <c r="M28" s="4"/>
      <c r="N28" s="4"/>
      <c r="O28" s="4"/>
      <c r="P28" s="33" t="s">
        <v>166</v>
      </c>
      <c r="Q28" s="25">
        <v>1290</v>
      </c>
      <c r="R28" s="25">
        <v>2</v>
      </c>
      <c r="S28" s="12">
        <f t="shared" si="0"/>
        <v>2580</v>
      </c>
      <c r="T28" s="5">
        <v>0.2</v>
      </c>
      <c r="U28" s="12">
        <f t="shared" si="1"/>
        <v>2064</v>
      </c>
      <c r="V28" s="25" t="s">
        <v>8</v>
      </c>
      <c r="W28" s="11">
        <f>IFERROR(VLOOKUP(V28,Curr!$B$2:$C$13,2,FALSE),0)</f>
        <v>1</v>
      </c>
      <c r="X28" s="12">
        <f t="shared" si="2"/>
        <v>2064</v>
      </c>
      <c r="Y28" s="26">
        <f>Q28/11.3</f>
        <v>114.15929203539822</v>
      </c>
      <c r="Z28" s="12">
        <f t="shared" si="4"/>
        <v>228.31858407079645</v>
      </c>
      <c r="AA28" s="4" t="s">
        <v>10</v>
      </c>
      <c r="AB28" s="11">
        <f>IFERROR(VLOOKUP(AA28,Curr!$B$2:$C$13,2,FALSE),0)</f>
        <v>11.2</v>
      </c>
      <c r="AC28" s="12">
        <f t="shared" si="5"/>
        <v>2557.1681415929202</v>
      </c>
      <c r="AD28" s="12">
        <f t="shared" si="6"/>
        <v>493.16814159292016</v>
      </c>
      <c r="AE28" s="13">
        <f t="shared" si="7"/>
        <v>0.19285714285714281</v>
      </c>
    </row>
    <row r="29" spans="2:31" x14ac:dyDescent="0.25">
      <c r="B29" s="4"/>
      <c r="C29" s="1" t="s">
        <v>80</v>
      </c>
      <c r="D29" s="1" t="s">
        <v>53</v>
      </c>
      <c r="E29" s="3"/>
      <c r="F29" s="3"/>
      <c r="G29" s="24"/>
      <c r="H29" s="24"/>
      <c r="J29" s="1" t="s">
        <v>152</v>
      </c>
      <c r="K29" s="4"/>
      <c r="L29" s="4"/>
      <c r="M29" s="4"/>
      <c r="N29" s="4"/>
      <c r="O29" s="4"/>
      <c r="P29" s="33"/>
      <c r="Q29" s="25">
        <v>0</v>
      </c>
      <c r="R29" s="25">
        <v>0</v>
      </c>
      <c r="S29" s="12">
        <f t="shared" si="0"/>
        <v>0</v>
      </c>
      <c r="T29" s="5">
        <v>0</v>
      </c>
      <c r="U29" s="12">
        <f t="shared" si="1"/>
        <v>0</v>
      </c>
      <c r="V29" s="25" t="s">
        <v>10</v>
      </c>
      <c r="W29" s="11">
        <f>IFERROR(VLOOKUP(V29,Curr!$B$2:$C$13,2,FALSE),0)</f>
        <v>11.2</v>
      </c>
      <c r="X29" s="12">
        <f t="shared" si="2"/>
        <v>0</v>
      </c>
      <c r="Y29" s="26">
        <f t="shared" si="3"/>
        <v>0</v>
      </c>
      <c r="Z29" s="12">
        <f t="shared" si="4"/>
        <v>0</v>
      </c>
      <c r="AA29" s="4" t="s">
        <v>10</v>
      </c>
      <c r="AB29" s="11">
        <f>IFERROR(VLOOKUP(AA29,Curr!$B$2:$C$13,2,FALSE),0)</f>
        <v>11.2</v>
      </c>
      <c r="AC29" s="12">
        <f t="shared" si="5"/>
        <v>0</v>
      </c>
      <c r="AD29" s="12">
        <f t="shared" si="6"/>
        <v>0</v>
      </c>
      <c r="AE29" s="13">
        <f t="shared" si="7"/>
        <v>0</v>
      </c>
    </row>
    <row r="30" spans="2:31" x14ac:dyDescent="0.25">
      <c r="B30" s="4"/>
      <c r="E30" s="3"/>
      <c r="F30" s="3"/>
      <c r="G30" s="24"/>
      <c r="H30" s="24"/>
      <c r="K30" s="4"/>
      <c r="L30" s="4"/>
      <c r="M30" s="4"/>
      <c r="N30" s="4"/>
      <c r="O30" s="4"/>
      <c r="P30" s="27"/>
      <c r="Q30" s="25"/>
      <c r="R30" s="25"/>
      <c r="S30" s="12">
        <f t="shared" si="0"/>
        <v>0</v>
      </c>
      <c r="T30" s="5">
        <v>0</v>
      </c>
      <c r="U30" s="12">
        <f t="shared" si="1"/>
        <v>0</v>
      </c>
      <c r="V30" s="25" t="s">
        <v>10</v>
      </c>
      <c r="W30" s="11">
        <f>IFERROR(VLOOKUP(V30,Curr!$B$2:$C$13,2,FALSE),0)</f>
        <v>11.2</v>
      </c>
      <c r="X30" s="12">
        <f t="shared" si="2"/>
        <v>0</v>
      </c>
      <c r="Y30" s="26">
        <f t="shared" si="3"/>
        <v>0</v>
      </c>
      <c r="Z30" s="12">
        <f t="shared" si="4"/>
        <v>0</v>
      </c>
      <c r="AA30" s="4" t="s">
        <v>10</v>
      </c>
      <c r="AB30" s="11">
        <f>IFERROR(VLOOKUP(AA30,Curr!$B$2:$C$13,2,FALSE),0)</f>
        <v>11.2</v>
      </c>
      <c r="AC30" s="12">
        <f t="shared" si="5"/>
        <v>0</v>
      </c>
      <c r="AD30" s="12">
        <f t="shared" si="6"/>
        <v>0</v>
      </c>
      <c r="AE30" s="13">
        <f t="shared" si="7"/>
        <v>0</v>
      </c>
    </row>
    <row r="31" spans="2:31" x14ac:dyDescent="0.25">
      <c r="B31" s="4"/>
      <c r="C31" s="1" t="s">
        <v>81</v>
      </c>
      <c r="D31" s="1" t="s">
        <v>50</v>
      </c>
      <c r="E31" s="3"/>
      <c r="F31" s="3"/>
      <c r="G31" s="24"/>
      <c r="H31" s="24"/>
      <c r="J31" s="1" t="s">
        <v>155</v>
      </c>
      <c r="K31" s="4"/>
      <c r="L31" s="4"/>
      <c r="M31" s="4"/>
      <c r="N31" s="4"/>
      <c r="O31" s="4"/>
      <c r="P31" s="27"/>
      <c r="Q31" s="25">
        <v>0</v>
      </c>
      <c r="R31" s="25">
        <v>0</v>
      </c>
      <c r="S31" s="12">
        <f t="shared" si="0"/>
        <v>0</v>
      </c>
      <c r="T31" s="5">
        <v>0</v>
      </c>
      <c r="U31" s="12">
        <f t="shared" si="1"/>
        <v>0</v>
      </c>
      <c r="V31" s="25" t="s">
        <v>10</v>
      </c>
      <c r="W31" s="11">
        <f>IFERROR(VLOOKUP(V31,Curr!$B$2:$C$13,2,FALSE),0)</f>
        <v>11.2</v>
      </c>
      <c r="X31" s="12">
        <f t="shared" si="2"/>
        <v>0</v>
      </c>
      <c r="Y31" s="26">
        <f t="shared" si="3"/>
        <v>0</v>
      </c>
      <c r="Z31" s="12">
        <f t="shared" si="4"/>
        <v>0</v>
      </c>
      <c r="AA31" s="4" t="s">
        <v>10</v>
      </c>
      <c r="AB31" s="11">
        <f>IFERROR(VLOOKUP(AA31,Curr!$B$2:$C$13,2,FALSE),0)</f>
        <v>11.2</v>
      </c>
      <c r="AC31" s="12">
        <f t="shared" si="5"/>
        <v>0</v>
      </c>
      <c r="AD31" s="12">
        <f t="shared" si="6"/>
        <v>0</v>
      </c>
      <c r="AE31" s="13">
        <f t="shared" si="7"/>
        <v>0</v>
      </c>
    </row>
    <row r="32" spans="2:31" x14ac:dyDescent="0.25">
      <c r="B32" s="4"/>
      <c r="C32" s="1" t="s">
        <v>81</v>
      </c>
      <c r="D32" s="1" t="s">
        <v>79</v>
      </c>
      <c r="E32" s="3"/>
      <c r="F32" s="3"/>
      <c r="G32" s="24"/>
      <c r="H32" s="24"/>
      <c r="J32" s="1" t="s">
        <v>220</v>
      </c>
      <c r="K32" s="4"/>
      <c r="L32" s="4"/>
      <c r="M32" s="4"/>
      <c r="N32" s="4"/>
      <c r="O32" s="4"/>
      <c r="P32" s="33"/>
      <c r="Q32" s="25">
        <v>1000</v>
      </c>
      <c r="R32" s="25">
        <v>2</v>
      </c>
      <c r="S32" s="12">
        <f t="shared" si="0"/>
        <v>2000</v>
      </c>
      <c r="T32" s="5">
        <v>0</v>
      </c>
      <c r="U32" s="12">
        <f t="shared" si="1"/>
        <v>2000</v>
      </c>
      <c r="V32" s="25" t="s">
        <v>8</v>
      </c>
      <c r="W32" s="11">
        <f>IFERROR(VLOOKUP(V32,Curr!$B$2:$C$13,2,FALSE),0)</f>
        <v>1</v>
      </c>
      <c r="X32" s="12">
        <f t="shared" si="2"/>
        <v>2000</v>
      </c>
      <c r="Y32" s="26">
        <f>Q32/11.3/0.8</f>
        <v>110.61946902654867</v>
      </c>
      <c r="Z32" s="12">
        <f t="shared" si="4"/>
        <v>221.23893805309734</v>
      </c>
      <c r="AA32" s="4" t="s">
        <v>10</v>
      </c>
      <c r="AB32" s="11">
        <f>IFERROR(VLOOKUP(AA32,Curr!$B$2:$C$13,2,FALSE),0)</f>
        <v>11.2</v>
      </c>
      <c r="AC32" s="12">
        <f t="shared" si="5"/>
        <v>2477.8761061946902</v>
      </c>
      <c r="AD32" s="12">
        <f t="shared" si="6"/>
        <v>477.87610619469024</v>
      </c>
      <c r="AE32" s="13">
        <f t="shared" si="7"/>
        <v>0.19285714285714284</v>
      </c>
    </row>
    <row r="33" spans="2:31" x14ac:dyDescent="0.25">
      <c r="B33" s="4"/>
      <c r="C33" s="1" t="s">
        <v>81</v>
      </c>
      <c r="D33" s="1" t="s">
        <v>50</v>
      </c>
      <c r="E33" s="3"/>
      <c r="F33" s="3"/>
      <c r="G33" s="24"/>
      <c r="H33" s="24"/>
      <c r="J33" s="1" t="s">
        <v>167</v>
      </c>
      <c r="K33" s="4"/>
      <c r="L33" s="4"/>
      <c r="M33" s="4"/>
      <c r="N33" s="4"/>
      <c r="O33" s="4"/>
      <c r="P33" s="27"/>
      <c r="Q33" s="25">
        <v>0</v>
      </c>
      <c r="R33" s="25">
        <v>0</v>
      </c>
      <c r="S33" s="12">
        <f t="shared" si="0"/>
        <v>0</v>
      </c>
      <c r="T33" s="5">
        <v>0</v>
      </c>
      <c r="U33" s="12">
        <f t="shared" si="1"/>
        <v>0</v>
      </c>
      <c r="V33" s="25" t="s">
        <v>10</v>
      </c>
      <c r="W33" s="11">
        <f>IFERROR(VLOOKUP(V33,Curr!$B$2:$C$13,2,FALSE),0)</f>
        <v>11.2</v>
      </c>
      <c r="X33" s="12">
        <f t="shared" si="2"/>
        <v>0</v>
      </c>
      <c r="Y33" s="26">
        <f t="shared" si="3"/>
        <v>0</v>
      </c>
      <c r="Z33" s="12">
        <f t="shared" si="4"/>
        <v>0</v>
      </c>
      <c r="AA33" s="4" t="s">
        <v>10</v>
      </c>
      <c r="AB33" s="11">
        <f>IFERROR(VLOOKUP(AA33,Curr!$B$2:$C$13,2,FALSE),0)</f>
        <v>11.2</v>
      </c>
      <c r="AC33" s="12">
        <f t="shared" si="5"/>
        <v>0</v>
      </c>
      <c r="AD33" s="12">
        <f t="shared" si="6"/>
        <v>0</v>
      </c>
      <c r="AE33" s="13">
        <f t="shared" si="7"/>
        <v>0</v>
      </c>
    </row>
    <row r="34" spans="2:31" x14ac:dyDescent="0.25">
      <c r="B34" s="4"/>
      <c r="C34" s="1" t="s">
        <v>81</v>
      </c>
      <c r="D34" s="1" t="s">
        <v>52</v>
      </c>
      <c r="E34" s="3"/>
      <c r="F34" s="3"/>
      <c r="G34" s="24"/>
      <c r="H34" s="24"/>
      <c r="J34" s="1" t="s">
        <v>202</v>
      </c>
      <c r="K34" s="4"/>
      <c r="L34" s="4"/>
      <c r="M34" s="4"/>
      <c r="N34" s="4"/>
      <c r="O34" s="4"/>
      <c r="P34" s="27"/>
      <c r="Q34" s="25">
        <v>350</v>
      </c>
      <c r="R34" s="25">
        <v>1</v>
      </c>
      <c r="S34" s="12">
        <f t="shared" si="0"/>
        <v>350</v>
      </c>
      <c r="T34" s="5">
        <v>0</v>
      </c>
      <c r="U34" s="12">
        <f t="shared" si="1"/>
        <v>350</v>
      </c>
      <c r="V34" s="25" t="s">
        <v>10</v>
      </c>
      <c r="W34" s="11">
        <f>IFERROR(VLOOKUP(V34,Curr!$B$2:$C$13,2,FALSE),0)</f>
        <v>11.2</v>
      </c>
      <c r="X34" s="12">
        <f t="shared" si="2"/>
        <v>3919.9999999999995</v>
      </c>
      <c r="Y34" s="26">
        <f>Q34/0.85</f>
        <v>411.76470588235293</v>
      </c>
      <c r="Z34" s="12">
        <f t="shared" si="4"/>
        <v>411.76470588235293</v>
      </c>
      <c r="AA34" s="4" t="s">
        <v>10</v>
      </c>
      <c r="AB34" s="11">
        <f>IFERROR(VLOOKUP(AA34,Curr!$B$2:$C$13,2,FALSE),0)</f>
        <v>11.2</v>
      </c>
      <c r="AC34" s="12">
        <f t="shared" si="5"/>
        <v>4611.7647058823522</v>
      </c>
      <c r="AD34" s="12">
        <f t="shared" si="6"/>
        <v>691.7647058823527</v>
      </c>
      <c r="AE34" s="13">
        <f t="shared" si="7"/>
        <v>0.14999999999999997</v>
      </c>
    </row>
    <row r="35" spans="2:31" x14ac:dyDescent="0.25">
      <c r="B35" s="4"/>
      <c r="C35" s="1" t="s">
        <v>81</v>
      </c>
      <c r="D35" s="1" t="s">
        <v>53</v>
      </c>
      <c r="E35" s="3"/>
      <c r="F35" s="3"/>
      <c r="G35" s="24"/>
      <c r="H35" s="24"/>
      <c r="J35" s="1" t="s">
        <v>168</v>
      </c>
      <c r="K35" s="4"/>
      <c r="L35" s="4"/>
      <c r="M35" s="4"/>
      <c r="N35" s="4"/>
      <c r="O35" s="4"/>
      <c r="P35" s="27"/>
      <c r="Q35" s="25">
        <v>0</v>
      </c>
      <c r="R35" s="25">
        <v>0</v>
      </c>
      <c r="S35" s="12">
        <f t="shared" si="0"/>
        <v>0</v>
      </c>
      <c r="T35" s="5">
        <v>0</v>
      </c>
      <c r="U35" s="12">
        <f t="shared" si="1"/>
        <v>0</v>
      </c>
      <c r="V35" s="25" t="s">
        <v>10</v>
      </c>
      <c r="W35" s="11">
        <f>IFERROR(VLOOKUP(V35,Curr!$B$2:$C$13,2,FALSE),0)</f>
        <v>11.2</v>
      </c>
      <c r="X35" s="12">
        <f t="shared" si="2"/>
        <v>0</v>
      </c>
      <c r="Y35" s="26">
        <f t="shared" si="3"/>
        <v>0</v>
      </c>
      <c r="Z35" s="12">
        <f t="shared" si="4"/>
        <v>0</v>
      </c>
      <c r="AA35" s="4" t="s">
        <v>10</v>
      </c>
      <c r="AB35" s="11">
        <f>IFERROR(VLOOKUP(AA35,Curr!$B$2:$C$13,2,FALSE),0)</f>
        <v>11.2</v>
      </c>
      <c r="AC35" s="12">
        <f t="shared" si="5"/>
        <v>0</v>
      </c>
      <c r="AD35" s="12">
        <f t="shared" si="6"/>
        <v>0</v>
      </c>
      <c r="AE35" s="13">
        <f t="shared" si="7"/>
        <v>0</v>
      </c>
    </row>
    <row r="36" spans="2:31" x14ac:dyDescent="0.25">
      <c r="B36" s="4"/>
      <c r="C36" s="1" t="s">
        <v>81</v>
      </c>
      <c r="D36" s="1" t="s">
        <v>73</v>
      </c>
      <c r="E36" s="3"/>
      <c r="F36" s="3"/>
      <c r="G36" s="24"/>
      <c r="H36" s="24"/>
      <c r="J36" s="1" t="s">
        <v>172</v>
      </c>
      <c r="K36" s="4"/>
      <c r="L36" s="4"/>
      <c r="M36" s="4"/>
      <c r="N36" s="4"/>
      <c r="O36" s="4"/>
      <c r="P36" s="33" t="s">
        <v>173</v>
      </c>
      <c r="Q36" s="25">
        <v>135</v>
      </c>
      <c r="R36" s="25">
        <v>2</v>
      </c>
      <c r="S36" s="12">
        <f t="shared" si="0"/>
        <v>270</v>
      </c>
      <c r="T36" s="5">
        <v>0.2</v>
      </c>
      <c r="U36" s="12">
        <f t="shared" si="1"/>
        <v>216</v>
      </c>
      <c r="V36" s="25" t="s">
        <v>10</v>
      </c>
      <c r="W36" s="11">
        <f>IFERROR(VLOOKUP(V36,Curr!$B$2:$C$13,2,FALSE),0)</f>
        <v>11.2</v>
      </c>
      <c r="X36" s="12">
        <f t="shared" si="2"/>
        <v>2419.1999999999998</v>
      </c>
      <c r="Y36" s="26">
        <f t="shared" si="3"/>
        <v>135</v>
      </c>
      <c r="Z36" s="12">
        <f t="shared" si="4"/>
        <v>270</v>
      </c>
      <c r="AA36" s="4" t="s">
        <v>10</v>
      </c>
      <c r="AB36" s="11">
        <f>IFERROR(VLOOKUP(AA36,Curr!$B$2:$C$13,2,FALSE),0)</f>
        <v>11.2</v>
      </c>
      <c r="AC36" s="12">
        <f t="shared" si="5"/>
        <v>3024</v>
      </c>
      <c r="AD36" s="12">
        <f t="shared" si="6"/>
        <v>604.80000000000018</v>
      </c>
      <c r="AE36" s="13">
        <f t="shared" si="7"/>
        <v>0.20000000000000007</v>
      </c>
    </row>
    <row r="37" spans="2:31" x14ac:dyDescent="0.25">
      <c r="B37" s="4"/>
      <c r="E37" s="3"/>
      <c r="F37" s="3"/>
      <c r="G37" s="24"/>
      <c r="H37" s="24"/>
      <c r="K37" s="4"/>
      <c r="L37" s="4"/>
      <c r="M37" s="4"/>
      <c r="N37" s="4"/>
      <c r="O37" s="4"/>
      <c r="P37" s="33"/>
      <c r="Q37" s="25"/>
      <c r="R37" s="25"/>
      <c r="S37" s="12">
        <f t="shared" si="0"/>
        <v>0</v>
      </c>
      <c r="T37" s="5">
        <v>0</v>
      </c>
      <c r="U37" s="12">
        <f t="shared" si="1"/>
        <v>0</v>
      </c>
      <c r="V37" s="25" t="s">
        <v>10</v>
      </c>
      <c r="W37" s="11">
        <f>IFERROR(VLOOKUP(V37,Curr!$B$2:$C$13,2,FALSE),0)</f>
        <v>11.2</v>
      </c>
      <c r="X37" s="12">
        <f t="shared" si="2"/>
        <v>0</v>
      </c>
      <c r="Y37" s="26">
        <f t="shared" si="3"/>
        <v>0</v>
      </c>
      <c r="Z37" s="12">
        <f t="shared" si="4"/>
        <v>0</v>
      </c>
      <c r="AA37" s="4" t="s">
        <v>10</v>
      </c>
      <c r="AB37" s="11">
        <f>IFERROR(VLOOKUP(AA37,Curr!$B$2:$C$13,2,FALSE),0)</f>
        <v>11.2</v>
      </c>
      <c r="AC37" s="12">
        <f t="shared" si="5"/>
        <v>0</v>
      </c>
      <c r="AD37" s="12">
        <f t="shared" si="6"/>
        <v>0</v>
      </c>
      <c r="AE37" s="13">
        <f t="shared" si="7"/>
        <v>0</v>
      </c>
    </row>
    <row r="38" spans="2:31" x14ac:dyDescent="0.25">
      <c r="B38" s="4"/>
      <c r="C38" s="1" t="s">
        <v>114</v>
      </c>
      <c r="D38" s="1" t="s">
        <v>73</v>
      </c>
      <c r="E38" s="3"/>
      <c r="F38" s="3"/>
      <c r="G38" s="24"/>
      <c r="H38" s="24"/>
      <c r="J38" s="1" t="s">
        <v>174</v>
      </c>
      <c r="K38" s="4"/>
      <c r="L38" s="4"/>
      <c r="M38" s="4"/>
      <c r="N38" s="4"/>
      <c r="O38" s="4"/>
      <c r="P38" s="33" t="s">
        <v>175</v>
      </c>
      <c r="Q38" s="25">
        <v>132</v>
      </c>
      <c r="R38" s="25">
        <v>2</v>
      </c>
      <c r="S38" s="12">
        <f t="shared" si="0"/>
        <v>264</v>
      </c>
      <c r="T38" s="5">
        <v>0.15</v>
      </c>
      <c r="U38" s="12">
        <f t="shared" si="1"/>
        <v>224.4</v>
      </c>
      <c r="V38" s="25" t="s">
        <v>10</v>
      </c>
      <c r="W38" s="11">
        <f>IFERROR(VLOOKUP(V38,Curr!$B$2:$C$13,2,FALSE),0)</f>
        <v>11.2</v>
      </c>
      <c r="X38" s="12">
        <f t="shared" si="2"/>
        <v>2513.2799999999997</v>
      </c>
      <c r="Y38" s="26">
        <f t="shared" si="3"/>
        <v>132</v>
      </c>
      <c r="Z38" s="12">
        <f t="shared" si="4"/>
        <v>264</v>
      </c>
      <c r="AA38" s="4" t="s">
        <v>10</v>
      </c>
      <c r="AB38" s="11">
        <f>IFERROR(VLOOKUP(AA38,Curr!$B$2:$C$13,2,FALSE),0)</f>
        <v>11.2</v>
      </c>
      <c r="AC38" s="12">
        <f t="shared" si="5"/>
        <v>2956.7999999999997</v>
      </c>
      <c r="AD38" s="12">
        <f t="shared" si="6"/>
        <v>443.52</v>
      </c>
      <c r="AE38" s="13">
        <f t="shared" si="7"/>
        <v>0.15</v>
      </c>
    </row>
    <row r="39" spans="2:31" x14ac:dyDescent="0.25">
      <c r="B39" s="4"/>
      <c r="C39" s="1" t="s">
        <v>114</v>
      </c>
      <c r="D39" s="1" t="s">
        <v>53</v>
      </c>
      <c r="E39" s="3"/>
      <c r="F39" s="3"/>
      <c r="G39" s="24"/>
      <c r="H39" s="24"/>
      <c r="J39" s="1" t="s">
        <v>168</v>
      </c>
      <c r="K39" s="4"/>
      <c r="L39" s="4"/>
      <c r="M39" s="4"/>
      <c r="N39" s="4"/>
      <c r="O39" s="4"/>
      <c r="P39" s="33"/>
      <c r="Q39" s="25">
        <v>0</v>
      </c>
      <c r="R39" s="25">
        <v>0</v>
      </c>
      <c r="S39" s="12">
        <f t="shared" si="0"/>
        <v>0</v>
      </c>
      <c r="T39" s="5">
        <v>0</v>
      </c>
      <c r="U39" s="12">
        <f t="shared" si="1"/>
        <v>0</v>
      </c>
      <c r="V39" s="25" t="s">
        <v>10</v>
      </c>
      <c r="W39" s="11">
        <f>IFERROR(VLOOKUP(V39,Curr!$B$2:$C$13,2,FALSE),0)</f>
        <v>11.2</v>
      </c>
      <c r="X39" s="12">
        <f t="shared" si="2"/>
        <v>0</v>
      </c>
      <c r="Y39" s="26">
        <f t="shared" si="3"/>
        <v>0</v>
      </c>
      <c r="Z39" s="12">
        <f t="shared" si="4"/>
        <v>0</v>
      </c>
      <c r="AA39" s="4" t="s">
        <v>10</v>
      </c>
      <c r="AB39" s="11">
        <f>IFERROR(VLOOKUP(AA39,Curr!$B$2:$C$13,2,FALSE),0)</f>
        <v>11.2</v>
      </c>
      <c r="AC39" s="12">
        <f t="shared" si="5"/>
        <v>0</v>
      </c>
      <c r="AD39" s="12">
        <f t="shared" si="6"/>
        <v>0</v>
      </c>
      <c r="AE39" s="13">
        <f t="shared" si="7"/>
        <v>0</v>
      </c>
    </row>
    <row r="40" spans="2:31" x14ac:dyDescent="0.25">
      <c r="B40" s="4"/>
      <c r="E40" s="3"/>
      <c r="F40" s="3"/>
      <c r="G40" s="24"/>
      <c r="H40" s="24"/>
      <c r="K40" s="4"/>
      <c r="L40" s="4"/>
      <c r="M40" s="4"/>
      <c r="N40" s="4"/>
      <c r="O40" s="4"/>
      <c r="P40" s="27"/>
      <c r="Q40" s="25"/>
      <c r="R40" s="25"/>
      <c r="S40" s="12">
        <f t="shared" ref="S40:S69" si="10">+Q40*R40</f>
        <v>0</v>
      </c>
      <c r="T40" s="5">
        <v>0</v>
      </c>
      <c r="U40" s="12">
        <f t="shared" ref="U40:U69" si="11">S40*(1-T40)</f>
        <v>0</v>
      </c>
      <c r="V40" s="25" t="s">
        <v>10</v>
      </c>
      <c r="W40" s="11">
        <f>IFERROR(VLOOKUP(V40,Curr!$B$2:$C$13,2,FALSE),0)</f>
        <v>11.2</v>
      </c>
      <c r="X40" s="12">
        <f t="shared" ref="X40:X69" si="12">U40*W40</f>
        <v>0</v>
      </c>
      <c r="Y40" s="26">
        <f t="shared" ref="Y40:Y69" si="13">Q40</f>
        <v>0</v>
      </c>
      <c r="Z40" s="12">
        <f t="shared" si="4"/>
        <v>0</v>
      </c>
      <c r="AA40" s="4" t="s">
        <v>10</v>
      </c>
      <c r="AB40" s="11">
        <f>IFERROR(VLOOKUP(AA40,Curr!$B$2:$C$13,2,FALSE),0)</f>
        <v>11.2</v>
      </c>
      <c r="AC40" s="12">
        <f t="shared" si="5"/>
        <v>0</v>
      </c>
      <c r="AD40" s="12">
        <f t="shared" si="6"/>
        <v>0</v>
      </c>
      <c r="AE40" s="13">
        <f t="shared" si="7"/>
        <v>0</v>
      </c>
    </row>
    <row r="41" spans="2:31" x14ac:dyDescent="0.25">
      <c r="B41" s="4"/>
      <c r="C41" s="1" t="s">
        <v>115</v>
      </c>
      <c r="D41" s="1" t="s">
        <v>50</v>
      </c>
      <c r="E41" s="3"/>
      <c r="F41" s="3"/>
      <c r="G41" s="24"/>
      <c r="H41" s="24"/>
      <c r="J41" s="1" t="s">
        <v>183</v>
      </c>
      <c r="K41" s="4"/>
      <c r="L41" s="4"/>
      <c r="M41" s="4"/>
      <c r="N41" s="4"/>
      <c r="O41" s="4"/>
      <c r="P41" s="33"/>
      <c r="Q41" s="25">
        <v>0</v>
      </c>
      <c r="R41" s="25">
        <v>0</v>
      </c>
      <c r="S41" s="12">
        <f t="shared" si="10"/>
        <v>0</v>
      </c>
      <c r="T41" s="5">
        <v>0</v>
      </c>
      <c r="U41" s="12">
        <f t="shared" si="11"/>
        <v>0</v>
      </c>
      <c r="V41" s="25" t="s">
        <v>10</v>
      </c>
      <c r="W41" s="11">
        <f>IFERROR(VLOOKUP(V41,Curr!$B$2:$C$13,2,FALSE),0)</f>
        <v>11.2</v>
      </c>
      <c r="X41" s="12">
        <f t="shared" si="12"/>
        <v>0</v>
      </c>
      <c r="Y41" s="26">
        <f t="shared" si="13"/>
        <v>0</v>
      </c>
      <c r="Z41" s="12">
        <f t="shared" si="4"/>
        <v>0</v>
      </c>
      <c r="AA41" s="4" t="s">
        <v>10</v>
      </c>
      <c r="AB41" s="11">
        <f>IFERROR(VLOOKUP(AA41,Curr!$B$2:$C$13,2,FALSE),0)</f>
        <v>11.2</v>
      </c>
      <c r="AC41" s="12">
        <f t="shared" si="5"/>
        <v>0</v>
      </c>
      <c r="AD41" s="12">
        <f t="shared" si="6"/>
        <v>0</v>
      </c>
      <c r="AE41" s="13">
        <f t="shared" si="7"/>
        <v>0</v>
      </c>
    </row>
    <row r="42" spans="2:31" x14ac:dyDescent="0.25">
      <c r="B42" s="4"/>
      <c r="C42" s="1" t="s">
        <v>115</v>
      </c>
      <c r="D42" s="1" t="s">
        <v>129</v>
      </c>
      <c r="E42" s="3"/>
      <c r="F42" s="3"/>
      <c r="G42" s="24"/>
      <c r="H42" s="24"/>
      <c r="J42" s="1" t="s">
        <v>181</v>
      </c>
      <c r="K42" s="4"/>
      <c r="L42" s="4"/>
      <c r="M42" s="4"/>
      <c r="N42" s="4"/>
      <c r="O42" s="4"/>
      <c r="P42" s="33" t="s">
        <v>182</v>
      </c>
      <c r="Q42" s="25">
        <v>1500</v>
      </c>
      <c r="R42" s="25">
        <v>2</v>
      </c>
      <c r="S42" s="12">
        <f t="shared" si="10"/>
        <v>3000</v>
      </c>
      <c r="T42" s="5">
        <v>0.2</v>
      </c>
      <c r="U42" s="12">
        <f t="shared" si="11"/>
        <v>2400</v>
      </c>
      <c r="V42" s="25" t="s">
        <v>8</v>
      </c>
      <c r="W42" s="11">
        <f>IFERROR(VLOOKUP(V42,Curr!$B$2:$C$13,2,FALSE),0)</f>
        <v>1</v>
      </c>
      <c r="X42" s="12">
        <f t="shared" si="12"/>
        <v>2400</v>
      </c>
      <c r="Y42" s="26">
        <f>Q42/11.3</f>
        <v>132.74336283185841</v>
      </c>
      <c r="Z42" s="12">
        <f t="shared" si="4"/>
        <v>265.48672566371681</v>
      </c>
      <c r="AA42" s="4" t="s">
        <v>10</v>
      </c>
      <c r="AB42" s="11">
        <f>IFERROR(VLOOKUP(AA42,Curr!$B$2:$C$13,2,FALSE),0)</f>
        <v>11.2</v>
      </c>
      <c r="AC42" s="12">
        <f t="shared" si="5"/>
        <v>2973.4513274336282</v>
      </c>
      <c r="AD42" s="12">
        <f t="shared" si="6"/>
        <v>573.45132743362819</v>
      </c>
      <c r="AE42" s="13">
        <f t="shared" si="7"/>
        <v>0.19285714285714281</v>
      </c>
    </row>
    <row r="43" spans="2:31" x14ac:dyDescent="0.25">
      <c r="B43" s="4"/>
      <c r="C43" s="1" t="s">
        <v>115</v>
      </c>
      <c r="D43" s="1" t="s">
        <v>50</v>
      </c>
      <c r="E43" s="3"/>
      <c r="F43" s="3"/>
      <c r="G43" s="24"/>
      <c r="H43" s="24"/>
      <c r="J43" s="1" t="s">
        <v>84</v>
      </c>
      <c r="K43" s="4"/>
      <c r="L43" s="4"/>
      <c r="M43" s="4"/>
      <c r="N43" s="4"/>
      <c r="O43" s="4"/>
      <c r="P43" s="27"/>
      <c r="Q43" s="25">
        <v>0</v>
      </c>
      <c r="R43" s="25">
        <v>0</v>
      </c>
      <c r="S43" s="12">
        <f t="shared" si="10"/>
        <v>0</v>
      </c>
      <c r="T43" s="5">
        <v>0</v>
      </c>
      <c r="U43" s="12">
        <f t="shared" si="11"/>
        <v>0</v>
      </c>
      <c r="V43" s="25" t="s">
        <v>10</v>
      </c>
      <c r="W43" s="11">
        <f>IFERROR(VLOOKUP(V43,Curr!$B$2:$C$13,2,FALSE),0)</f>
        <v>11.2</v>
      </c>
      <c r="X43" s="12">
        <f t="shared" si="12"/>
        <v>0</v>
      </c>
      <c r="Y43" s="26">
        <f t="shared" si="13"/>
        <v>0</v>
      </c>
      <c r="Z43" s="12">
        <f t="shared" si="4"/>
        <v>0</v>
      </c>
      <c r="AA43" s="4" t="s">
        <v>10</v>
      </c>
      <c r="AB43" s="11">
        <f>IFERROR(VLOOKUP(AA43,Curr!$B$2:$C$13,2,FALSE),0)</f>
        <v>11.2</v>
      </c>
      <c r="AC43" s="12">
        <f t="shared" si="5"/>
        <v>0</v>
      </c>
      <c r="AD43" s="12">
        <f t="shared" si="6"/>
        <v>0</v>
      </c>
      <c r="AE43" s="13">
        <f t="shared" si="7"/>
        <v>0</v>
      </c>
    </row>
    <row r="44" spans="2:31" x14ac:dyDescent="0.25">
      <c r="B44" s="4"/>
      <c r="C44" s="1" t="s">
        <v>115</v>
      </c>
      <c r="D44" s="1" t="s">
        <v>52</v>
      </c>
      <c r="E44" s="3"/>
      <c r="F44" s="3"/>
      <c r="G44" s="24"/>
      <c r="H44" s="24"/>
      <c r="J44" s="1" t="s">
        <v>86</v>
      </c>
      <c r="K44" s="4"/>
      <c r="L44" s="4"/>
      <c r="M44" s="4"/>
      <c r="N44" s="4"/>
      <c r="O44" s="4"/>
      <c r="P44" s="33"/>
      <c r="Q44" s="25">
        <v>250</v>
      </c>
      <c r="R44" s="25">
        <v>1</v>
      </c>
      <c r="S44" s="12">
        <f t="shared" si="10"/>
        <v>250</v>
      </c>
      <c r="T44" s="5">
        <v>0</v>
      </c>
      <c r="U44" s="12">
        <f t="shared" si="11"/>
        <v>250</v>
      </c>
      <c r="V44" s="25" t="s">
        <v>10</v>
      </c>
      <c r="W44" s="11">
        <f>IFERROR(VLOOKUP(V44,Curr!$B$2:$C$13,2,FALSE),0)</f>
        <v>11.2</v>
      </c>
      <c r="X44" s="12">
        <f t="shared" si="12"/>
        <v>2800</v>
      </c>
      <c r="Y44" s="26">
        <f>Q44/0.85</f>
        <v>294.11764705882354</v>
      </c>
      <c r="Z44" s="12">
        <f t="shared" si="4"/>
        <v>294.11764705882354</v>
      </c>
      <c r="AA44" s="4" t="s">
        <v>10</v>
      </c>
      <c r="AB44" s="11">
        <f>IFERROR(VLOOKUP(AA44,Curr!$B$2:$C$13,2,FALSE),0)</f>
        <v>11.2</v>
      </c>
      <c r="AC44" s="12">
        <f t="shared" si="5"/>
        <v>3294.1176470588234</v>
      </c>
      <c r="AD44" s="12">
        <f t="shared" si="6"/>
        <v>494.11764705882342</v>
      </c>
      <c r="AE44" s="13">
        <f t="shared" si="7"/>
        <v>0.14999999999999997</v>
      </c>
    </row>
    <row r="45" spans="2:31" x14ac:dyDescent="0.25">
      <c r="B45" s="4"/>
      <c r="C45" s="1" t="s">
        <v>115</v>
      </c>
      <c r="D45" s="1" t="s">
        <v>53</v>
      </c>
      <c r="E45" s="3"/>
      <c r="F45" s="3"/>
      <c r="G45" s="24"/>
      <c r="H45" s="24"/>
      <c r="J45" s="1" t="s">
        <v>85</v>
      </c>
      <c r="K45" s="4"/>
      <c r="L45" s="4"/>
      <c r="M45" s="4"/>
      <c r="N45" s="4"/>
      <c r="O45" s="4"/>
      <c r="P45" s="33"/>
      <c r="Q45" s="25">
        <v>0</v>
      </c>
      <c r="R45" s="25">
        <v>0</v>
      </c>
      <c r="S45" s="12">
        <f t="shared" si="10"/>
        <v>0</v>
      </c>
      <c r="T45" s="5">
        <v>0</v>
      </c>
      <c r="U45" s="12">
        <f t="shared" si="11"/>
        <v>0</v>
      </c>
      <c r="V45" s="25" t="s">
        <v>10</v>
      </c>
      <c r="W45" s="11">
        <f>IFERROR(VLOOKUP(V45,Curr!$B$2:$C$13,2,FALSE),0)</f>
        <v>11.2</v>
      </c>
      <c r="X45" s="12">
        <f t="shared" si="12"/>
        <v>0</v>
      </c>
      <c r="Y45" s="26">
        <f t="shared" ref="Y45" si="14">Q45</f>
        <v>0</v>
      </c>
      <c r="Z45" s="12">
        <f t="shared" si="4"/>
        <v>0</v>
      </c>
      <c r="AA45" s="4" t="s">
        <v>10</v>
      </c>
      <c r="AB45" s="11">
        <f>IFERROR(VLOOKUP(AA45,Curr!$B$2:$C$13,2,FALSE),0)</f>
        <v>11.2</v>
      </c>
      <c r="AC45" s="12">
        <f t="shared" si="5"/>
        <v>0</v>
      </c>
      <c r="AD45" s="12">
        <f t="shared" si="6"/>
        <v>0</v>
      </c>
      <c r="AE45" s="13">
        <f t="shared" si="7"/>
        <v>0</v>
      </c>
    </row>
    <row r="46" spans="2:31" x14ac:dyDescent="0.25">
      <c r="B46" s="4"/>
      <c r="E46" s="3"/>
      <c r="F46" s="3"/>
      <c r="G46" s="24"/>
      <c r="H46" s="24"/>
      <c r="K46" s="4"/>
      <c r="L46" s="4"/>
      <c r="M46" s="4"/>
      <c r="N46" s="4"/>
      <c r="O46" s="4"/>
      <c r="P46" s="27"/>
      <c r="Q46" s="25"/>
      <c r="R46" s="25"/>
      <c r="S46" s="12">
        <f t="shared" si="10"/>
        <v>0</v>
      </c>
      <c r="T46" s="5">
        <v>0</v>
      </c>
      <c r="U46" s="12">
        <f t="shared" si="11"/>
        <v>0</v>
      </c>
      <c r="V46" s="25" t="s">
        <v>10</v>
      </c>
      <c r="W46" s="11">
        <f>IFERROR(VLOOKUP(V46,Curr!$B$2:$C$13,2,FALSE),0)</f>
        <v>11.2</v>
      </c>
      <c r="X46" s="12">
        <f t="shared" si="12"/>
        <v>0</v>
      </c>
      <c r="Y46" s="26">
        <f t="shared" si="13"/>
        <v>0</v>
      </c>
      <c r="Z46" s="12">
        <f t="shared" si="4"/>
        <v>0</v>
      </c>
      <c r="AA46" s="4" t="s">
        <v>10</v>
      </c>
      <c r="AB46" s="11">
        <f>IFERROR(VLOOKUP(AA46,Curr!$B$2:$C$13,2,FALSE),0)</f>
        <v>11.2</v>
      </c>
      <c r="AC46" s="12">
        <f t="shared" si="5"/>
        <v>0</v>
      </c>
      <c r="AD46" s="12">
        <f t="shared" si="6"/>
        <v>0</v>
      </c>
      <c r="AE46" s="13">
        <f t="shared" si="7"/>
        <v>0</v>
      </c>
    </row>
    <row r="47" spans="2:31" x14ac:dyDescent="0.25">
      <c r="B47" s="4"/>
      <c r="C47" s="1" t="s">
        <v>138</v>
      </c>
      <c r="D47" s="1" t="s">
        <v>73</v>
      </c>
      <c r="E47" s="3"/>
      <c r="F47" s="3"/>
      <c r="G47" s="24"/>
      <c r="H47" s="24"/>
      <c r="J47" s="1" t="s">
        <v>184</v>
      </c>
      <c r="K47" s="4"/>
      <c r="L47" s="4"/>
      <c r="M47" s="4"/>
      <c r="N47" s="4"/>
      <c r="O47" s="4"/>
      <c r="P47" s="33" t="s">
        <v>185</v>
      </c>
      <c r="Q47" s="25">
        <v>120</v>
      </c>
      <c r="R47" s="25">
        <v>2</v>
      </c>
      <c r="S47" s="12">
        <f t="shared" si="10"/>
        <v>240</v>
      </c>
      <c r="T47" s="5">
        <v>0.2</v>
      </c>
      <c r="U47" s="12">
        <f t="shared" si="11"/>
        <v>192</v>
      </c>
      <c r="V47" s="25" t="s">
        <v>10</v>
      </c>
      <c r="W47" s="11">
        <f>IFERROR(VLOOKUP(V47,Curr!$B$2:$C$13,2,FALSE),0)</f>
        <v>11.2</v>
      </c>
      <c r="X47" s="12">
        <f t="shared" si="12"/>
        <v>2150.3999999999996</v>
      </c>
      <c r="Y47" s="26">
        <f t="shared" si="13"/>
        <v>120</v>
      </c>
      <c r="Z47" s="12">
        <f t="shared" si="4"/>
        <v>240</v>
      </c>
      <c r="AA47" s="4" t="s">
        <v>10</v>
      </c>
      <c r="AB47" s="11">
        <f>IFERROR(VLOOKUP(AA47,Curr!$B$2:$C$13,2,FALSE),0)</f>
        <v>11.2</v>
      </c>
      <c r="AC47" s="12">
        <f t="shared" si="5"/>
        <v>2688</v>
      </c>
      <c r="AD47" s="12">
        <f t="shared" si="6"/>
        <v>537.60000000000036</v>
      </c>
      <c r="AE47" s="13">
        <f t="shared" si="7"/>
        <v>0.20000000000000012</v>
      </c>
    </row>
    <row r="48" spans="2:31" x14ac:dyDescent="0.25">
      <c r="B48" s="4"/>
      <c r="C48" s="1" t="s">
        <v>138</v>
      </c>
      <c r="D48" s="1" t="s">
        <v>53</v>
      </c>
      <c r="E48" s="3"/>
      <c r="F48" s="3"/>
      <c r="G48" s="24"/>
      <c r="H48" s="24"/>
      <c r="J48" s="1" t="s">
        <v>85</v>
      </c>
      <c r="K48" s="4"/>
      <c r="L48" s="4"/>
      <c r="M48" s="4"/>
      <c r="N48" s="4"/>
      <c r="O48" s="4"/>
      <c r="P48" s="27"/>
      <c r="Q48" s="25">
        <v>0</v>
      </c>
      <c r="R48" s="25">
        <v>0</v>
      </c>
      <c r="S48" s="12">
        <f t="shared" si="10"/>
        <v>0</v>
      </c>
      <c r="T48" s="5">
        <v>0</v>
      </c>
      <c r="U48" s="12">
        <f t="shared" si="11"/>
        <v>0</v>
      </c>
      <c r="V48" s="25" t="s">
        <v>10</v>
      </c>
      <c r="W48" s="11">
        <f>IFERROR(VLOOKUP(V48,Curr!$B$2:$C$13,2,FALSE),0)</f>
        <v>11.2</v>
      </c>
      <c r="X48" s="12">
        <f t="shared" si="12"/>
        <v>0</v>
      </c>
      <c r="Y48" s="26">
        <f t="shared" si="13"/>
        <v>0</v>
      </c>
      <c r="Z48" s="12">
        <f t="shared" si="4"/>
        <v>0</v>
      </c>
      <c r="AA48" s="4" t="s">
        <v>10</v>
      </c>
      <c r="AB48" s="11">
        <f>IFERROR(VLOOKUP(AA48,Curr!$B$2:$C$13,2,FALSE),0)</f>
        <v>11.2</v>
      </c>
      <c r="AC48" s="12">
        <f t="shared" si="5"/>
        <v>0</v>
      </c>
      <c r="AD48" s="12">
        <f t="shared" si="6"/>
        <v>0</v>
      </c>
      <c r="AE48" s="13">
        <f t="shared" si="7"/>
        <v>0</v>
      </c>
    </row>
    <row r="49" spans="2:31" x14ac:dyDescent="0.25">
      <c r="B49" s="4"/>
      <c r="E49" s="3"/>
      <c r="F49" s="3"/>
      <c r="G49" s="24"/>
      <c r="H49" s="24"/>
      <c r="K49" s="4"/>
      <c r="L49" s="4"/>
      <c r="M49" s="4"/>
      <c r="N49" s="4"/>
      <c r="O49" s="4"/>
      <c r="P49" s="33"/>
      <c r="Q49" s="25"/>
      <c r="R49" s="25"/>
      <c r="S49" s="12">
        <f t="shared" si="10"/>
        <v>0</v>
      </c>
      <c r="T49" s="5">
        <v>0</v>
      </c>
      <c r="U49" s="12">
        <f t="shared" si="11"/>
        <v>0</v>
      </c>
      <c r="V49" s="25" t="s">
        <v>10</v>
      </c>
      <c r="W49" s="11">
        <f>IFERROR(VLOOKUP(V49,Curr!$B$2:$C$13,2,FALSE),0)</f>
        <v>11.2</v>
      </c>
      <c r="X49" s="12">
        <f t="shared" si="12"/>
        <v>0</v>
      </c>
      <c r="Y49" s="26">
        <f t="shared" si="13"/>
        <v>0</v>
      </c>
      <c r="Z49" s="12">
        <f t="shared" si="4"/>
        <v>0</v>
      </c>
      <c r="AA49" s="4" t="s">
        <v>10</v>
      </c>
      <c r="AB49" s="11">
        <f>IFERROR(VLOOKUP(AA49,Curr!$B$2:$C$13,2,FALSE),0)</f>
        <v>11.2</v>
      </c>
      <c r="AC49" s="12">
        <f t="shared" si="5"/>
        <v>0</v>
      </c>
      <c r="AD49" s="12">
        <f t="shared" si="6"/>
        <v>0</v>
      </c>
      <c r="AE49" s="13">
        <f t="shared" si="7"/>
        <v>0</v>
      </c>
    </row>
    <row r="50" spans="2:31" x14ac:dyDescent="0.25">
      <c r="B50" s="4"/>
      <c r="C50" s="1" t="s">
        <v>186</v>
      </c>
      <c r="D50" s="1" t="s">
        <v>50</v>
      </c>
      <c r="E50" s="3"/>
      <c r="F50" s="3"/>
      <c r="G50" s="24"/>
      <c r="H50" s="24"/>
      <c r="J50" s="1" t="s">
        <v>91</v>
      </c>
      <c r="K50" s="4"/>
      <c r="L50" s="4"/>
      <c r="M50" s="4"/>
      <c r="N50" s="4"/>
      <c r="O50" s="4"/>
      <c r="P50" s="33"/>
      <c r="Q50" s="25">
        <v>0</v>
      </c>
      <c r="R50" s="25">
        <v>0</v>
      </c>
      <c r="S50" s="12">
        <f t="shared" si="10"/>
        <v>0</v>
      </c>
      <c r="T50" s="5">
        <v>0</v>
      </c>
      <c r="U50" s="12">
        <f t="shared" si="11"/>
        <v>0</v>
      </c>
      <c r="V50" s="25" t="s">
        <v>8</v>
      </c>
      <c r="W50" s="11">
        <f>IFERROR(VLOOKUP(V50,Curr!$B$2:$C$13,2,FALSE),0)</f>
        <v>1</v>
      </c>
      <c r="X50" s="12">
        <f t="shared" si="12"/>
        <v>0</v>
      </c>
      <c r="Y50" s="26">
        <f>Q50/11.3/0.8</f>
        <v>0</v>
      </c>
      <c r="Z50" s="12">
        <f t="shared" si="4"/>
        <v>0</v>
      </c>
      <c r="AA50" s="4" t="s">
        <v>10</v>
      </c>
      <c r="AB50" s="11">
        <f>IFERROR(VLOOKUP(AA50,Curr!$B$2:$C$13,2,FALSE),0)</f>
        <v>11.2</v>
      </c>
      <c r="AC50" s="12">
        <f t="shared" si="5"/>
        <v>0</v>
      </c>
      <c r="AD50" s="12">
        <f t="shared" si="6"/>
        <v>0</v>
      </c>
      <c r="AE50" s="13">
        <f t="shared" si="7"/>
        <v>0</v>
      </c>
    </row>
    <row r="51" spans="2:31" x14ac:dyDescent="0.25">
      <c r="B51" s="4"/>
      <c r="C51" s="1" t="s">
        <v>186</v>
      </c>
      <c r="D51" s="1" t="s">
        <v>82</v>
      </c>
      <c r="E51" s="3"/>
      <c r="F51" s="3"/>
      <c r="G51" s="24"/>
      <c r="H51" s="24"/>
      <c r="J51" s="1" t="s">
        <v>92</v>
      </c>
      <c r="K51" s="4"/>
      <c r="L51" s="4"/>
      <c r="M51" s="4"/>
      <c r="N51" s="4"/>
      <c r="O51" s="4"/>
      <c r="P51" s="33"/>
      <c r="Q51" s="25">
        <v>0</v>
      </c>
      <c r="R51" s="25">
        <v>0</v>
      </c>
      <c r="S51" s="12">
        <f t="shared" si="10"/>
        <v>0</v>
      </c>
      <c r="T51" s="5">
        <v>0</v>
      </c>
      <c r="U51" s="12">
        <f t="shared" si="11"/>
        <v>0</v>
      </c>
      <c r="V51" s="25" t="s">
        <v>10</v>
      </c>
      <c r="W51" s="11">
        <f>IFERROR(VLOOKUP(V51,Curr!$B$2:$C$13,2,FALSE),0)</f>
        <v>11.2</v>
      </c>
      <c r="X51" s="12">
        <f t="shared" si="12"/>
        <v>0</v>
      </c>
      <c r="Y51" s="26">
        <f t="shared" ref="Y51" si="15">Q51</f>
        <v>0</v>
      </c>
      <c r="Z51" s="12">
        <f t="shared" si="4"/>
        <v>0</v>
      </c>
      <c r="AA51" s="4" t="s">
        <v>10</v>
      </c>
      <c r="AB51" s="11">
        <f>IFERROR(VLOOKUP(AA51,Curr!$B$2:$C$13,2,FALSE),0)</f>
        <v>11.2</v>
      </c>
      <c r="AC51" s="12">
        <f t="shared" si="5"/>
        <v>0</v>
      </c>
      <c r="AD51" s="12">
        <f t="shared" si="6"/>
        <v>0</v>
      </c>
      <c r="AE51" s="13">
        <f t="shared" si="7"/>
        <v>0</v>
      </c>
    </row>
    <row r="52" spans="2:31" x14ac:dyDescent="0.25">
      <c r="B52" s="4"/>
      <c r="E52" s="3"/>
      <c r="F52" s="3"/>
      <c r="G52" s="24"/>
      <c r="H52" s="24"/>
      <c r="K52" s="4"/>
      <c r="L52" s="4"/>
      <c r="M52" s="4"/>
      <c r="N52" s="4"/>
      <c r="O52" s="4"/>
      <c r="P52" s="27"/>
      <c r="Q52" s="25"/>
      <c r="R52" s="25"/>
      <c r="S52" s="12">
        <f t="shared" si="10"/>
        <v>0</v>
      </c>
      <c r="T52" s="5">
        <v>0</v>
      </c>
      <c r="U52" s="12">
        <f t="shared" si="11"/>
        <v>0</v>
      </c>
      <c r="V52" s="25" t="s">
        <v>10</v>
      </c>
      <c r="W52" s="11">
        <f>IFERROR(VLOOKUP(V52,Curr!$B$2:$C$13,2,FALSE),0)</f>
        <v>11.2</v>
      </c>
      <c r="X52" s="12">
        <f t="shared" si="12"/>
        <v>0</v>
      </c>
      <c r="Y52" s="26">
        <f t="shared" si="13"/>
        <v>0</v>
      </c>
      <c r="Z52" s="12">
        <f t="shared" si="4"/>
        <v>0</v>
      </c>
      <c r="AA52" s="4" t="s">
        <v>10</v>
      </c>
      <c r="AB52" s="11">
        <f>IFERROR(VLOOKUP(AA52,Curr!$B$2:$C$13,2,FALSE),0)</f>
        <v>11.2</v>
      </c>
      <c r="AC52" s="12">
        <f t="shared" si="5"/>
        <v>0</v>
      </c>
      <c r="AD52" s="12">
        <f t="shared" si="6"/>
        <v>0</v>
      </c>
      <c r="AE52" s="13">
        <f t="shared" si="7"/>
        <v>0</v>
      </c>
    </row>
    <row r="53" spans="2:31" x14ac:dyDescent="0.25">
      <c r="B53" s="4"/>
      <c r="E53" s="3"/>
      <c r="F53" s="3"/>
      <c r="G53" s="24"/>
      <c r="H53" s="24"/>
      <c r="K53" s="4"/>
      <c r="L53" s="4"/>
      <c r="M53" s="4"/>
      <c r="N53" s="4"/>
      <c r="O53" s="4"/>
      <c r="P53" s="27"/>
      <c r="Q53" s="25"/>
      <c r="R53" s="25"/>
      <c r="S53" s="12">
        <f t="shared" si="10"/>
        <v>0</v>
      </c>
      <c r="T53" s="5">
        <v>0</v>
      </c>
      <c r="U53" s="12">
        <f t="shared" si="11"/>
        <v>0</v>
      </c>
      <c r="V53" s="25" t="s">
        <v>10</v>
      </c>
      <c r="W53" s="11">
        <f>IFERROR(VLOOKUP(V53,Curr!$B$2:$C$13,2,FALSE),0)</f>
        <v>11.2</v>
      </c>
      <c r="X53" s="12">
        <f t="shared" si="12"/>
        <v>0</v>
      </c>
      <c r="Y53" s="26">
        <f t="shared" si="13"/>
        <v>0</v>
      </c>
      <c r="Z53" s="12">
        <f t="shared" si="4"/>
        <v>0</v>
      </c>
      <c r="AA53" s="4" t="s">
        <v>10</v>
      </c>
      <c r="AB53" s="11">
        <f>IFERROR(VLOOKUP(AA53,Curr!$B$2:$C$13,2,FALSE),0)</f>
        <v>11.2</v>
      </c>
      <c r="AC53" s="12">
        <f t="shared" si="5"/>
        <v>0</v>
      </c>
      <c r="AD53" s="12">
        <f t="shared" si="6"/>
        <v>0</v>
      </c>
      <c r="AE53" s="13">
        <f t="shared" si="7"/>
        <v>0</v>
      </c>
    </row>
    <row r="54" spans="2:31" x14ac:dyDescent="0.25">
      <c r="B54" s="4"/>
      <c r="C54" s="1" t="s">
        <v>55</v>
      </c>
      <c r="D54" s="1" t="s">
        <v>93</v>
      </c>
      <c r="E54" s="3"/>
      <c r="F54" s="3"/>
      <c r="G54" s="24"/>
      <c r="H54" s="24"/>
      <c r="J54" s="1" t="s">
        <v>95</v>
      </c>
      <c r="K54" s="4"/>
      <c r="L54" s="4"/>
      <c r="M54" s="4"/>
      <c r="N54" s="4"/>
      <c r="O54" s="4"/>
      <c r="P54" s="33"/>
      <c r="Q54" s="25">
        <v>1750</v>
      </c>
      <c r="R54" s="25">
        <v>0</v>
      </c>
      <c r="S54" s="12">
        <f t="shared" si="10"/>
        <v>0</v>
      </c>
      <c r="T54" s="5">
        <v>0</v>
      </c>
      <c r="U54" s="12">
        <f t="shared" si="11"/>
        <v>0</v>
      </c>
      <c r="V54" s="25" t="s">
        <v>8</v>
      </c>
      <c r="W54" s="11">
        <f>IFERROR(VLOOKUP(V54,Curr!$B$2:$C$13,2,FALSE),0)</f>
        <v>1</v>
      </c>
      <c r="X54" s="12">
        <f t="shared" si="12"/>
        <v>0</v>
      </c>
      <c r="Y54" s="26">
        <f>Q54/11.3/0.8</f>
        <v>193.58407079646017</v>
      </c>
      <c r="Z54" s="12">
        <f t="shared" si="4"/>
        <v>0</v>
      </c>
      <c r="AA54" s="4" t="s">
        <v>10</v>
      </c>
      <c r="AB54" s="11">
        <f>IFERROR(VLOOKUP(AA54,Curr!$B$2:$C$13,2,FALSE),0)</f>
        <v>11.2</v>
      </c>
      <c r="AC54" s="12">
        <f t="shared" si="5"/>
        <v>0</v>
      </c>
      <c r="AD54" s="12">
        <f t="shared" si="6"/>
        <v>0</v>
      </c>
      <c r="AE54" s="13">
        <f t="shared" si="7"/>
        <v>0</v>
      </c>
    </row>
    <row r="55" spans="2:31" x14ac:dyDescent="0.25">
      <c r="B55" s="4"/>
      <c r="C55" s="1" t="s">
        <v>63</v>
      </c>
      <c r="D55" s="1" t="s">
        <v>93</v>
      </c>
      <c r="E55" s="3"/>
      <c r="F55" s="3"/>
      <c r="G55" s="24"/>
      <c r="H55" s="24"/>
      <c r="J55" s="1" t="s">
        <v>96</v>
      </c>
      <c r="K55" s="4"/>
      <c r="L55" s="4"/>
      <c r="M55" s="4"/>
      <c r="N55" s="4"/>
      <c r="O55" s="4"/>
      <c r="P55" s="27"/>
      <c r="Q55" s="25">
        <v>1290</v>
      </c>
      <c r="R55" s="25">
        <v>0</v>
      </c>
      <c r="S55" s="12">
        <f t="shared" si="10"/>
        <v>0</v>
      </c>
      <c r="T55" s="5">
        <v>0.15</v>
      </c>
      <c r="U55" s="12">
        <f t="shared" si="11"/>
        <v>0</v>
      </c>
      <c r="V55" s="25" t="s">
        <v>8</v>
      </c>
      <c r="W55" s="11">
        <f>IFERROR(VLOOKUP(V55,Curr!$B$2:$C$13,2,FALSE),0)</f>
        <v>1</v>
      </c>
      <c r="X55" s="12">
        <f t="shared" si="12"/>
        <v>0</v>
      </c>
      <c r="Y55" s="26">
        <f>Q55/11.3/0.98</f>
        <v>116.48907350550839</v>
      </c>
      <c r="Z55" s="12">
        <f t="shared" si="4"/>
        <v>0</v>
      </c>
      <c r="AA55" s="4" t="s">
        <v>10</v>
      </c>
      <c r="AB55" s="11">
        <f>IFERROR(VLOOKUP(AA55,Curr!$B$2:$C$13,2,FALSE),0)</f>
        <v>11.2</v>
      </c>
      <c r="AC55" s="12">
        <f t="shared" si="5"/>
        <v>0</v>
      </c>
      <c r="AD55" s="12">
        <f t="shared" si="6"/>
        <v>0</v>
      </c>
      <c r="AE55" s="13">
        <f t="shared" si="7"/>
        <v>0</v>
      </c>
    </row>
    <row r="56" spans="2:31" x14ac:dyDescent="0.25">
      <c r="B56" s="4"/>
      <c r="C56" s="1" t="s">
        <v>78</v>
      </c>
      <c r="D56" s="1" t="s">
        <v>93</v>
      </c>
      <c r="E56" s="3"/>
      <c r="F56" s="3"/>
      <c r="G56" s="24"/>
      <c r="H56" s="24"/>
      <c r="J56" s="1" t="s">
        <v>97</v>
      </c>
      <c r="K56" s="4"/>
      <c r="L56" s="4"/>
      <c r="M56" s="4"/>
      <c r="N56" s="4"/>
      <c r="O56" s="4"/>
      <c r="P56" s="33"/>
      <c r="Q56" s="25">
        <v>1690</v>
      </c>
      <c r="R56" s="25">
        <v>0</v>
      </c>
      <c r="S56" s="12">
        <f t="shared" si="10"/>
        <v>0</v>
      </c>
      <c r="T56" s="5">
        <v>0.15</v>
      </c>
      <c r="U56" s="12">
        <f t="shared" si="11"/>
        <v>0</v>
      </c>
      <c r="V56" s="25" t="s">
        <v>8</v>
      </c>
      <c r="W56" s="11">
        <f>IFERROR(VLOOKUP(V56,Curr!$B$2:$C$13,2,FALSE),0)</f>
        <v>1</v>
      </c>
      <c r="X56" s="12">
        <f t="shared" si="12"/>
        <v>0</v>
      </c>
      <c r="Y56" s="26">
        <f>Q56/11.3/0.98</f>
        <v>152.60971645295285</v>
      </c>
      <c r="Z56" s="12">
        <f t="shared" si="4"/>
        <v>0</v>
      </c>
      <c r="AA56" s="4" t="s">
        <v>10</v>
      </c>
      <c r="AB56" s="11">
        <f>IFERROR(VLOOKUP(AA56,Curr!$B$2:$C$13,2,FALSE),0)</f>
        <v>11.2</v>
      </c>
      <c r="AC56" s="12">
        <f t="shared" si="5"/>
        <v>0</v>
      </c>
      <c r="AD56" s="12">
        <f t="shared" si="6"/>
        <v>0</v>
      </c>
      <c r="AE56" s="13">
        <f t="shared" si="7"/>
        <v>0</v>
      </c>
    </row>
    <row r="57" spans="2:31" x14ac:dyDescent="0.25">
      <c r="B57" s="4"/>
      <c r="C57" s="1" t="s">
        <v>78</v>
      </c>
      <c r="D57" s="1" t="s">
        <v>93</v>
      </c>
      <c r="E57" s="3"/>
      <c r="F57" s="3"/>
      <c r="G57" s="24"/>
      <c r="H57" s="24"/>
      <c r="J57" s="1" t="s">
        <v>150</v>
      </c>
      <c r="K57" s="4"/>
      <c r="L57" s="4"/>
      <c r="M57" s="4"/>
      <c r="N57" s="4"/>
      <c r="O57" s="4"/>
      <c r="P57" s="27"/>
      <c r="Q57" s="25">
        <v>900</v>
      </c>
      <c r="R57" s="25">
        <v>0</v>
      </c>
      <c r="S57" s="12">
        <f t="shared" si="10"/>
        <v>0</v>
      </c>
      <c r="T57" s="5">
        <v>0</v>
      </c>
      <c r="U57" s="12">
        <f t="shared" si="11"/>
        <v>0</v>
      </c>
      <c r="V57" s="25" t="s">
        <v>8</v>
      </c>
      <c r="W57" s="11">
        <f>IFERROR(VLOOKUP(V57,Curr!$B$2:$C$13,2,FALSE),0)</f>
        <v>1</v>
      </c>
      <c r="X57" s="12">
        <f t="shared" si="12"/>
        <v>0</v>
      </c>
      <c r="Y57" s="26">
        <f t="shared" ref="Y57:Y60" si="16">Q57/11.3/0.8</f>
        <v>99.55752212389379</v>
      </c>
      <c r="Z57" s="12">
        <f t="shared" si="4"/>
        <v>0</v>
      </c>
      <c r="AA57" s="4" t="s">
        <v>10</v>
      </c>
      <c r="AB57" s="11">
        <f>IFERROR(VLOOKUP(AA57,Curr!$B$2:$C$13,2,FALSE),0)</f>
        <v>11.2</v>
      </c>
      <c r="AC57" s="12">
        <f t="shared" si="5"/>
        <v>0</v>
      </c>
      <c r="AD57" s="12">
        <f t="shared" si="6"/>
        <v>0</v>
      </c>
      <c r="AE57" s="13">
        <f t="shared" si="7"/>
        <v>0</v>
      </c>
    </row>
    <row r="58" spans="2:31" x14ac:dyDescent="0.25">
      <c r="B58" s="4"/>
      <c r="C58" s="1" t="s">
        <v>81</v>
      </c>
      <c r="D58" s="1" t="s">
        <v>93</v>
      </c>
      <c r="E58" s="3"/>
      <c r="F58" s="3"/>
      <c r="G58" s="24"/>
      <c r="H58" s="24"/>
      <c r="J58" s="1" t="s">
        <v>151</v>
      </c>
      <c r="K58" s="4"/>
      <c r="L58" s="4"/>
      <c r="M58" s="4"/>
      <c r="N58" s="4"/>
      <c r="O58" s="4"/>
      <c r="P58" s="33"/>
      <c r="Q58" s="25">
        <v>900</v>
      </c>
      <c r="R58" s="25">
        <v>0</v>
      </c>
      <c r="S58" s="12">
        <f t="shared" si="10"/>
        <v>0</v>
      </c>
      <c r="T58" s="5">
        <v>0</v>
      </c>
      <c r="U58" s="12">
        <f t="shared" si="11"/>
        <v>0</v>
      </c>
      <c r="V58" s="25" t="s">
        <v>8</v>
      </c>
      <c r="W58" s="11">
        <f>IFERROR(VLOOKUP(V58,Curr!$B$2:$C$13,2,FALSE),0)</f>
        <v>1</v>
      </c>
      <c r="X58" s="12">
        <f t="shared" si="12"/>
        <v>0</v>
      </c>
      <c r="Y58" s="26">
        <f t="shared" si="16"/>
        <v>99.55752212389379</v>
      </c>
      <c r="Z58" s="12">
        <f t="shared" si="4"/>
        <v>0</v>
      </c>
      <c r="AA58" s="4" t="s">
        <v>10</v>
      </c>
      <c r="AB58" s="11">
        <f>IFERROR(VLOOKUP(AA58,Curr!$B$2:$C$13,2,FALSE),0)</f>
        <v>11.2</v>
      </c>
      <c r="AC58" s="12">
        <f t="shared" si="5"/>
        <v>0</v>
      </c>
      <c r="AD58" s="12">
        <f t="shared" si="6"/>
        <v>0</v>
      </c>
      <c r="AE58" s="13">
        <f t="shared" si="7"/>
        <v>0</v>
      </c>
    </row>
    <row r="59" spans="2:31" x14ac:dyDescent="0.25">
      <c r="B59" s="4"/>
      <c r="C59" s="1" t="s">
        <v>81</v>
      </c>
      <c r="D59" s="1" t="s">
        <v>93</v>
      </c>
      <c r="E59" s="3"/>
      <c r="F59" s="3"/>
      <c r="G59" s="24"/>
      <c r="H59" s="24"/>
      <c r="J59" s="1" t="s">
        <v>179</v>
      </c>
      <c r="K59" s="4"/>
      <c r="L59" s="4"/>
      <c r="M59" s="4"/>
      <c r="N59" s="4"/>
      <c r="O59" s="4"/>
      <c r="P59" s="27"/>
      <c r="Q59" s="25">
        <v>900</v>
      </c>
      <c r="R59" s="25">
        <v>0</v>
      </c>
      <c r="S59" s="12">
        <f t="shared" si="10"/>
        <v>0</v>
      </c>
      <c r="T59" s="5">
        <v>0</v>
      </c>
      <c r="U59" s="12">
        <f t="shared" si="11"/>
        <v>0</v>
      </c>
      <c r="V59" s="25" t="s">
        <v>8</v>
      </c>
      <c r="W59" s="11">
        <f>IFERROR(VLOOKUP(V59,Curr!$B$2:$C$13,2,FALSE),0)</f>
        <v>1</v>
      </c>
      <c r="X59" s="12">
        <f t="shared" si="12"/>
        <v>0</v>
      </c>
      <c r="Y59" s="26">
        <f t="shared" si="16"/>
        <v>99.55752212389379</v>
      </c>
      <c r="Z59" s="12">
        <f t="shared" si="4"/>
        <v>0</v>
      </c>
      <c r="AA59" s="4" t="s">
        <v>10</v>
      </c>
      <c r="AB59" s="11">
        <f>IFERROR(VLOOKUP(AA59,Curr!$B$2:$C$13,2,FALSE),0)</f>
        <v>11.2</v>
      </c>
      <c r="AC59" s="12">
        <f t="shared" si="5"/>
        <v>0</v>
      </c>
      <c r="AD59" s="12">
        <f t="shared" si="6"/>
        <v>0</v>
      </c>
      <c r="AE59" s="13">
        <f t="shared" si="7"/>
        <v>0</v>
      </c>
    </row>
    <row r="60" spans="2:31" x14ac:dyDescent="0.25">
      <c r="B60" s="4"/>
      <c r="C60" s="1" t="s">
        <v>115</v>
      </c>
      <c r="D60" s="1" t="s">
        <v>93</v>
      </c>
      <c r="E60" s="3"/>
      <c r="F60" s="3"/>
      <c r="G60" s="24"/>
      <c r="H60" s="24"/>
      <c r="J60" s="1" t="s">
        <v>180</v>
      </c>
      <c r="K60" s="4"/>
      <c r="L60" s="4"/>
      <c r="M60" s="4"/>
      <c r="N60" s="4"/>
      <c r="O60" s="4"/>
      <c r="P60" s="27"/>
      <c r="Q60" s="25">
        <v>900</v>
      </c>
      <c r="R60" s="25">
        <v>0</v>
      </c>
      <c r="S60" s="12">
        <f t="shared" si="10"/>
        <v>0</v>
      </c>
      <c r="T60" s="5">
        <v>0</v>
      </c>
      <c r="U60" s="12">
        <f t="shared" si="11"/>
        <v>0</v>
      </c>
      <c r="V60" s="25" t="s">
        <v>8</v>
      </c>
      <c r="W60" s="11">
        <f>IFERROR(VLOOKUP(V60,Curr!$B$2:$C$13,2,FALSE),0)</f>
        <v>1</v>
      </c>
      <c r="X60" s="12">
        <f t="shared" si="12"/>
        <v>0</v>
      </c>
      <c r="Y60" s="26">
        <f t="shared" si="16"/>
        <v>99.55752212389379</v>
      </c>
      <c r="Z60" s="12">
        <f t="shared" si="4"/>
        <v>0</v>
      </c>
      <c r="AA60" s="4" t="s">
        <v>10</v>
      </c>
      <c r="AB60" s="11">
        <f>IFERROR(VLOOKUP(AA60,Curr!$B$2:$C$13,2,FALSE),0)</f>
        <v>11.2</v>
      </c>
      <c r="AC60" s="12">
        <f t="shared" si="5"/>
        <v>0</v>
      </c>
      <c r="AD60" s="12">
        <f t="shared" si="6"/>
        <v>0</v>
      </c>
      <c r="AE60" s="13">
        <f t="shared" si="7"/>
        <v>0</v>
      </c>
    </row>
    <row r="61" spans="2:31" x14ac:dyDescent="0.25">
      <c r="B61" s="4"/>
      <c r="C61" s="1" t="s">
        <v>186</v>
      </c>
      <c r="D61" s="1" t="s">
        <v>93</v>
      </c>
      <c r="E61" s="3"/>
      <c r="F61" s="3"/>
      <c r="G61" s="24"/>
      <c r="H61" s="24"/>
      <c r="J61" s="1" t="s">
        <v>98</v>
      </c>
      <c r="K61" s="4"/>
      <c r="L61" s="4"/>
      <c r="M61" s="4"/>
      <c r="N61" s="4"/>
      <c r="O61" s="4"/>
      <c r="P61" s="27"/>
      <c r="Q61" s="25">
        <v>900</v>
      </c>
      <c r="R61" s="25">
        <v>0</v>
      </c>
      <c r="S61" s="12">
        <f t="shared" ref="S61" si="17">+Q61*R61</f>
        <v>0</v>
      </c>
      <c r="T61" s="5">
        <v>0</v>
      </c>
      <c r="U61" s="12">
        <f t="shared" ref="U61" si="18">S61*(1-T61)</f>
        <v>0</v>
      </c>
      <c r="V61" s="25" t="s">
        <v>8</v>
      </c>
      <c r="W61" s="11">
        <f>IFERROR(VLOOKUP(V61,Curr!$B$2:$C$13,2,FALSE),0)</f>
        <v>1</v>
      </c>
      <c r="X61" s="12">
        <f t="shared" ref="X61" si="19">U61*W61</f>
        <v>0</v>
      </c>
      <c r="Y61" s="26">
        <f t="shared" ref="Y61" si="20">Q61/11.3/0.8</f>
        <v>99.55752212389379</v>
      </c>
      <c r="Z61" s="12">
        <f t="shared" si="4"/>
        <v>0</v>
      </c>
      <c r="AA61" s="4" t="s">
        <v>10</v>
      </c>
      <c r="AB61" s="11">
        <f>IFERROR(VLOOKUP(AA61,Curr!$B$2:$C$13,2,FALSE),0)</f>
        <v>11.2</v>
      </c>
      <c r="AC61" s="12">
        <f t="shared" si="5"/>
        <v>0</v>
      </c>
      <c r="AD61" s="12">
        <f t="shared" si="6"/>
        <v>0</v>
      </c>
      <c r="AE61" s="13">
        <f t="shared" si="7"/>
        <v>0</v>
      </c>
    </row>
    <row r="62" spans="2:31" x14ac:dyDescent="0.25">
      <c r="B62" s="4"/>
      <c r="E62" s="3"/>
      <c r="F62" s="3"/>
      <c r="G62" s="24"/>
      <c r="H62" s="24"/>
      <c r="K62" s="4"/>
      <c r="L62" s="4"/>
      <c r="M62" s="4"/>
      <c r="N62" s="4"/>
      <c r="O62" s="4"/>
      <c r="P62" s="27"/>
      <c r="Q62" s="25"/>
      <c r="R62" s="25"/>
      <c r="S62" s="12">
        <f t="shared" si="10"/>
        <v>0</v>
      </c>
      <c r="T62" s="5">
        <v>0</v>
      </c>
      <c r="U62" s="12">
        <f t="shared" si="11"/>
        <v>0</v>
      </c>
      <c r="V62" s="25" t="s">
        <v>10</v>
      </c>
      <c r="W62" s="11">
        <f>IFERROR(VLOOKUP(V62,Curr!$B$2:$C$13,2,FALSE),0)</f>
        <v>11.2</v>
      </c>
      <c r="X62" s="12">
        <f t="shared" si="12"/>
        <v>0</v>
      </c>
      <c r="Y62" s="26">
        <f t="shared" si="13"/>
        <v>0</v>
      </c>
      <c r="Z62" s="12">
        <f t="shared" si="4"/>
        <v>0</v>
      </c>
      <c r="AA62" s="4" t="s">
        <v>10</v>
      </c>
      <c r="AB62" s="11">
        <f>IFERROR(VLOOKUP(AA62,Curr!$B$2:$C$13,2,FALSE),0)</f>
        <v>11.2</v>
      </c>
      <c r="AC62" s="12">
        <f t="shared" si="5"/>
        <v>0</v>
      </c>
      <c r="AD62" s="12">
        <f t="shared" si="6"/>
        <v>0</v>
      </c>
      <c r="AE62" s="13">
        <f t="shared" si="7"/>
        <v>0</v>
      </c>
    </row>
    <row r="63" spans="2:31" x14ac:dyDescent="0.25">
      <c r="B63" s="4"/>
      <c r="E63" s="3"/>
      <c r="F63" s="3"/>
      <c r="G63" s="24"/>
      <c r="H63" s="24"/>
      <c r="K63" s="4"/>
      <c r="L63" s="4"/>
      <c r="M63" s="4"/>
      <c r="N63" s="4"/>
      <c r="O63" s="4"/>
      <c r="P63" s="27"/>
      <c r="Q63" s="25"/>
      <c r="R63" s="25"/>
      <c r="S63" s="12">
        <f t="shared" si="10"/>
        <v>0</v>
      </c>
      <c r="T63" s="5">
        <v>0</v>
      </c>
      <c r="U63" s="12">
        <f t="shared" si="11"/>
        <v>0</v>
      </c>
      <c r="V63" s="25" t="s">
        <v>10</v>
      </c>
      <c r="W63" s="11">
        <f>IFERROR(VLOOKUP(V63,Curr!$B$2:$C$13,2,FALSE),0)</f>
        <v>11.2</v>
      </c>
      <c r="X63" s="12">
        <f t="shared" si="12"/>
        <v>0</v>
      </c>
      <c r="Y63" s="26">
        <f t="shared" si="13"/>
        <v>0</v>
      </c>
      <c r="Z63" s="12">
        <f t="shared" si="4"/>
        <v>0</v>
      </c>
      <c r="AA63" s="4" t="s">
        <v>10</v>
      </c>
      <c r="AB63" s="11">
        <f>IFERROR(VLOOKUP(AA63,Curr!$B$2:$C$13,2,FALSE),0)</f>
        <v>11.2</v>
      </c>
      <c r="AC63" s="12">
        <f t="shared" si="5"/>
        <v>0</v>
      </c>
      <c r="AD63" s="12">
        <f t="shared" si="6"/>
        <v>0</v>
      </c>
      <c r="AE63" s="13">
        <f t="shared" si="7"/>
        <v>0</v>
      </c>
    </row>
    <row r="64" spans="2:31" x14ac:dyDescent="0.25">
      <c r="B64" s="4"/>
      <c r="C64" s="1" t="s">
        <v>63</v>
      </c>
      <c r="D64" s="1" t="s">
        <v>94</v>
      </c>
      <c r="E64" s="3"/>
      <c r="F64" s="3"/>
      <c r="G64" s="24"/>
      <c r="H64" s="24"/>
      <c r="J64" s="1" t="s">
        <v>101</v>
      </c>
      <c r="K64" s="4"/>
      <c r="L64" s="4"/>
      <c r="M64" s="4"/>
      <c r="N64" s="4"/>
      <c r="O64" s="4" t="s">
        <v>42</v>
      </c>
      <c r="P64" s="33" t="s">
        <v>100</v>
      </c>
      <c r="Q64" s="25">
        <v>3250</v>
      </c>
      <c r="R64" s="25">
        <v>0</v>
      </c>
      <c r="S64" s="12">
        <f t="shared" si="10"/>
        <v>0</v>
      </c>
      <c r="T64" s="5">
        <v>0.08</v>
      </c>
      <c r="U64" s="12">
        <f t="shared" si="11"/>
        <v>0</v>
      </c>
      <c r="V64" s="25" t="s">
        <v>8</v>
      </c>
      <c r="W64" s="11">
        <f>IFERROR(VLOOKUP(V64,Curr!$B$2:$C$13,2,FALSE),0)</f>
        <v>1</v>
      </c>
      <c r="X64" s="12">
        <f t="shared" si="12"/>
        <v>0</v>
      </c>
      <c r="Y64" s="26">
        <f>Q64/11.3/0.9</f>
        <v>319.56735496558503</v>
      </c>
      <c r="Z64" s="12">
        <f t="shared" si="4"/>
        <v>0</v>
      </c>
      <c r="AA64" s="4" t="s">
        <v>10</v>
      </c>
      <c r="AB64" s="11">
        <f>IFERROR(VLOOKUP(AA64,Curr!$B$2:$C$13,2,FALSE),0)</f>
        <v>11.2</v>
      </c>
      <c r="AC64" s="12">
        <f t="shared" si="5"/>
        <v>0</v>
      </c>
      <c r="AD64" s="12">
        <f t="shared" si="6"/>
        <v>0</v>
      </c>
      <c r="AE64" s="13">
        <f t="shared" si="7"/>
        <v>0</v>
      </c>
    </row>
    <row r="65" spans="2:36" x14ac:dyDescent="0.25">
      <c r="B65" s="4"/>
      <c r="C65" s="1" t="s">
        <v>63</v>
      </c>
      <c r="D65" s="1" t="s">
        <v>94</v>
      </c>
      <c r="E65" s="3"/>
      <c r="F65" s="3"/>
      <c r="G65" s="24"/>
      <c r="H65" s="24"/>
      <c r="J65" s="1" t="s">
        <v>105</v>
      </c>
      <c r="K65" s="4"/>
      <c r="L65" s="4"/>
      <c r="M65" s="4"/>
      <c r="N65" s="4"/>
      <c r="O65" s="4"/>
      <c r="P65" s="33"/>
      <c r="Q65" s="25">
        <v>450</v>
      </c>
      <c r="R65" s="25">
        <v>0</v>
      </c>
      <c r="S65" s="12">
        <f t="shared" si="10"/>
        <v>0</v>
      </c>
      <c r="T65" s="5">
        <v>0</v>
      </c>
      <c r="U65" s="12">
        <f t="shared" si="11"/>
        <v>0</v>
      </c>
      <c r="V65" s="25" t="s">
        <v>8</v>
      </c>
      <c r="W65" s="11">
        <f>IFERROR(VLOOKUP(V65,Curr!$B$2:$C$13,2,FALSE),0)</f>
        <v>1</v>
      </c>
      <c r="X65" s="12">
        <f t="shared" si="12"/>
        <v>0</v>
      </c>
      <c r="Y65" s="26">
        <f>Q65/11.3/0.8</f>
        <v>49.778761061946895</v>
      </c>
      <c r="Z65" s="12">
        <f t="shared" si="4"/>
        <v>0</v>
      </c>
      <c r="AA65" s="4" t="s">
        <v>10</v>
      </c>
      <c r="AB65" s="11">
        <f>IFERROR(VLOOKUP(AA65,Curr!$B$2:$C$13,2,FALSE),0)</f>
        <v>11.2</v>
      </c>
      <c r="AC65" s="12">
        <f t="shared" si="5"/>
        <v>0</v>
      </c>
      <c r="AD65" s="12">
        <f t="shared" si="6"/>
        <v>0</v>
      </c>
      <c r="AE65" s="13">
        <f t="shared" si="7"/>
        <v>0</v>
      </c>
    </row>
    <row r="66" spans="2:36" x14ac:dyDescent="0.25">
      <c r="B66" s="4"/>
      <c r="C66" s="1" t="s">
        <v>69</v>
      </c>
      <c r="D66" s="1" t="s">
        <v>94</v>
      </c>
      <c r="E66" s="3"/>
      <c r="F66" s="3"/>
      <c r="G66" s="24"/>
      <c r="H66" s="24"/>
      <c r="J66" s="1" t="s">
        <v>106</v>
      </c>
      <c r="K66" s="4"/>
      <c r="L66" s="4"/>
      <c r="M66" s="4"/>
      <c r="N66" s="4"/>
      <c r="O66" s="4" t="s">
        <v>42</v>
      </c>
      <c r="P66" s="33" t="s">
        <v>107</v>
      </c>
      <c r="Q66" s="25">
        <v>71</v>
      </c>
      <c r="R66" s="25">
        <v>0</v>
      </c>
      <c r="S66" s="12">
        <f t="shared" si="10"/>
        <v>0</v>
      </c>
      <c r="T66" s="5">
        <v>0.2</v>
      </c>
      <c r="U66" s="12">
        <f t="shared" si="11"/>
        <v>0</v>
      </c>
      <c r="V66" s="25" t="s">
        <v>10</v>
      </c>
      <c r="W66" s="11">
        <f>IFERROR(VLOOKUP(V66,Curr!$B$2:$C$13,2,FALSE),0)</f>
        <v>11.2</v>
      </c>
      <c r="X66" s="12">
        <f t="shared" si="12"/>
        <v>0</v>
      </c>
      <c r="Y66" s="26">
        <f t="shared" ref="Y66" si="21">Q66</f>
        <v>71</v>
      </c>
      <c r="Z66" s="12">
        <f t="shared" si="4"/>
        <v>0</v>
      </c>
      <c r="AA66" s="4" t="s">
        <v>10</v>
      </c>
      <c r="AB66" s="11">
        <f>IFERROR(VLOOKUP(AA66,Curr!$B$2:$C$13,2,FALSE),0)</f>
        <v>11.2</v>
      </c>
      <c r="AC66" s="12">
        <f t="shared" si="5"/>
        <v>0</v>
      </c>
      <c r="AD66" s="12">
        <f t="shared" si="6"/>
        <v>0</v>
      </c>
      <c r="AE66" s="13">
        <f t="shared" si="7"/>
        <v>0</v>
      </c>
    </row>
    <row r="67" spans="2:36" x14ac:dyDescent="0.25">
      <c r="B67" s="4"/>
      <c r="C67" s="1" t="s">
        <v>80</v>
      </c>
      <c r="D67" s="1" t="s">
        <v>94</v>
      </c>
      <c r="E67" s="3"/>
      <c r="F67" s="3"/>
      <c r="G67" s="24"/>
      <c r="H67" s="24"/>
      <c r="J67" s="1" t="s">
        <v>187</v>
      </c>
      <c r="K67" s="4"/>
      <c r="L67" s="4"/>
      <c r="M67" s="4"/>
      <c r="N67" s="4"/>
      <c r="O67" s="4"/>
      <c r="P67" s="33" t="s">
        <v>197</v>
      </c>
      <c r="Q67" s="25">
        <v>120</v>
      </c>
      <c r="R67" s="25">
        <v>0</v>
      </c>
      <c r="S67" s="12">
        <f t="shared" si="10"/>
        <v>0</v>
      </c>
      <c r="T67" s="5">
        <v>0.2</v>
      </c>
      <c r="U67" s="12">
        <f t="shared" si="11"/>
        <v>0</v>
      </c>
      <c r="V67" s="25" t="s">
        <v>10</v>
      </c>
      <c r="W67" s="11">
        <f>IFERROR(VLOOKUP(V67,Curr!$B$2:$C$13,2,FALSE),0)</f>
        <v>11.2</v>
      </c>
      <c r="X67" s="12">
        <f t="shared" si="12"/>
        <v>0</v>
      </c>
      <c r="Y67" s="26">
        <f t="shared" si="13"/>
        <v>120</v>
      </c>
      <c r="Z67" s="12">
        <f t="shared" si="4"/>
        <v>0</v>
      </c>
      <c r="AA67" s="4" t="s">
        <v>10</v>
      </c>
      <c r="AB67" s="11">
        <f>IFERROR(VLOOKUP(AA67,Curr!$B$2:$C$13,2,FALSE),0)</f>
        <v>11.2</v>
      </c>
      <c r="AC67" s="12">
        <f t="shared" si="5"/>
        <v>0</v>
      </c>
      <c r="AD67" s="12">
        <f t="shared" si="6"/>
        <v>0</v>
      </c>
      <c r="AE67" s="13">
        <f t="shared" si="7"/>
        <v>0</v>
      </c>
    </row>
    <row r="68" spans="2:36" x14ac:dyDescent="0.25">
      <c r="B68" s="4"/>
      <c r="C68" s="1" t="s">
        <v>114</v>
      </c>
      <c r="D68" s="1" t="s">
        <v>94</v>
      </c>
      <c r="E68" s="3"/>
      <c r="F68" s="3"/>
      <c r="G68" s="24"/>
      <c r="H68" s="24"/>
      <c r="J68" s="1" t="s">
        <v>176</v>
      </c>
      <c r="K68" s="4"/>
      <c r="L68" s="4"/>
      <c r="M68" s="4"/>
      <c r="N68" s="4"/>
      <c r="O68" s="4"/>
      <c r="P68" s="33" t="s">
        <v>177</v>
      </c>
      <c r="Q68" s="25">
        <v>132</v>
      </c>
      <c r="R68" s="25">
        <v>0</v>
      </c>
      <c r="S68" s="12">
        <f t="shared" si="10"/>
        <v>0</v>
      </c>
      <c r="T68" s="5">
        <v>0.15</v>
      </c>
      <c r="U68" s="12">
        <f t="shared" si="11"/>
        <v>0</v>
      </c>
      <c r="V68" s="25" t="s">
        <v>10</v>
      </c>
      <c r="W68" s="11">
        <f>IFERROR(VLOOKUP(V68,Curr!$B$2:$C$13,2,FALSE),0)</f>
        <v>11.2</v>
      </c>
      <c r="X68" s="12">
        <f t="shared" si="12"/>
        <v>0</v>
      </c>
      <c r="Y68" s="26">
        <f t="shared" si="13"/>
        <v>132</v>
      </c>
      <c r="Z68" s="12">
        <f t="shared" si="4"/>
        <v>0</v>
      </c>
      <c r="AA68" s="4" t="s">
        <v>10</v>
      </c>
      <c r="AB68" s="11">
        <f>IFERROR(VLOOKUP(AA68,Curr!$B$2:$C$13,2,FALSE),0)</f>
        <v>11.2</v>
      </c>
      <c r="AC68" s="12">
        <f t="shared" si="5"/>
        <v>0</v>
      </c>
      <c r="AD68" s="12">
        <f t="shared" si="6"/>
        <v>0</v>
      </c>
      <c r="AE68" s="13">
        <f t="shared" si="7"/>
        <v>0</v>
      </c>
    </row>
    <row r="69" spans="2:36" x14ac:dyDescent="0.25">
      <c r="B69" s="4"/>
      <c r="C69" s="1" t="s">
        <v>138</v>
      </c>
      <c r="D69" s="1" t="s">
        <v>94</v>
      </c>
      <c r="E69" s="3"/>
      <c r="F69" s="3"/>
      <c r="G69" s="24"/>
      <c r="H69" s="24"/>
      <c r="J69" s="1" t="s">
        <v>188</v>
      </c>
      <c r="K69" s="4"/>
      <c r="L69" s="4"/>
      <c r="M69" s="4"/>
      <c r="N69" s="4"/>
      <c r="O69" s="4"/>
      <c r="P69" s="33" t="s">
        <v>198</v>
      </c>
      <c r="Q69" s="25">
        <v>175</v>
      </c>
      <c r="R69" s="25">
        <v>0</v>
      </c>
      <c r="S69" s="12">
        <f t="shared" si="10"/>
        <v>0</v>
      </c>
      <c r="T69" s="5">
        <v>0.2</v>
      </c>
      <c r="U69" s="12">
        <f t="shared" si="11"/>
        <v>0</v>
      </c>
      <c r="V69" s="25" t="s">
        <v>10</v>
      </c>
      <c r="W69" s="11">
        <f>IFERROR(VLOOKUP(V69,Curr!$B$2:$C$13,2,FALSE),0)</f>
        <v>11.2</v>
      </c>
      <c r="X69" s="12">
        <f t="shared" si="12"/>
        <v>0</v>
      </c>
      <c r="Y69" s="26">
        <f t="shared" si="13"/>
        <v>175</v>
      </c>
      <c r="Z69" s="12">
        <f t="shared" si="4"/>
        <v>0</v>
      </c>
      <c r="AA69" s="4" t="s">
        <v>10</v>
      </c>
      <c r="AB69" s="11">
        <f>IFERROR(VLOOKUP(AA69,Curr!$B$2:$C$13,2,FALSE),0)</f>
        <v>11.2</v>
      </c>
      <c r="AC69" s="12">
        <f t="shared" si="5"/>
        <v>0</v>
      </c>
      <c r="AD69" s="12">
        <f t="shared" si="6"/>
        <v>0</v>
      </c>
      <c r="AE69" s="13">
        <f t="shared" si="7"/>
        <v>0</v>
      </c>
    </row>
    <row r="70" spans="2:36" x14ac:dyDescent="0.25">
      <c r="B70" s="4"/>
      <c r="E70" s="3"/>
      <c r="F70" s="3"/>
      <c r="G70" s="24"/>
      <c r="H70" s="24"/>
      <c r="K70" s="4"/>
      <c r="L70" s="4"/>
      <c r="M70" s="4"/>
      <c r="N70" s="4"/>
      <c r="O70" s="4"/>
      <c r="P70" s="27"/>
      <c r="Q70" s="25"/>
      <c r="R70" s="25"/>
      <c r="S70" s="12">
        <f t="shared" ref="S70:S77" si="22">+Q70*R70</f>
        <v>0</v>
      </c>
      <c r="T70" s="5">
        <v>0</v>
      </c>
      <c r="U70" s="12">
        <f t="shared" ref="U70:U77" si="23">S70*(1-T70)</f>
        <v>0</v>
      </c>
      <c r="V70" s="25" t="s">
        <v>10</v>
      </c>
      <c r="W70" s="11">
        <f>IFERROR(VLOOKUP(V70,Curr!$B$2:$C$13,2,FALSE),0)</f>
        <v>11.2</v>
      </c>
      <c r="X70" s="12">
        <f t="shared" ref="X70:X77" si="24">U70*W70</f>
        <v>0</v>
      </c>
      <c r="Y70" s="26">
        <f t="shared" ref="Y70:Y77" si="25">Q70</f>
        <v>0</v>
      </c>
      <c r="Z70" s="12">
        <f t="shared" ref="Z70:Z77" si="26">+Y70*R70</f>
        <v>0</v>
      </c>
      <c r="AA70" s="4" t="s">
        <v>10</v>
      </c>
      <c r="AB70" s="11">
        <f>IFERROR(VLOOKUP(AA70,Curr!$B$2:$C$13,2,FALSE),0)</f>
        <v>11.2</v>
      </c>
      <c r="AC70" s="12">
        <f t="shared" ref="AC70:AC77" si="27">+Y70*AB70*R70</f>
        <v>0</v>
      </c>
      <c r="AD70" s="12">
        <f t="shared" ref="AD70:AD77" si="28">+AC70-X70</f>
        <v>0</v>
      </c>
      <c r="AE70" s="13">
        <f t="shared" ref="AE70:AE77" si="29">IFERROR(AD70/AC70,0)</f>
        <v>0</v>
      </c>
    </row>
    <row r="71" spans="2:36" x14ac:dyDescent="0.25">
      <c r="B71" s="4"/>
      <c r="E71" s="3"/>
      <c r="F71" s="3"/>
      <c r="G71" s="24"/>
      <c r="H71" s="24"/>
      <c r="K71" s="4"/>
      <c r="L71" s="4"/>
      <c r="M71" s="4"/>
      <c r="N71" s="4"/>
      <c r="O71" s="4"/>
      <c r="P71" s="27"/>
      <c r="Q71" s="25"/>
      <c r="R71" s="25"/>
      <c r="S71" s="12">
        <f t="shared" si="22"/>
        <v>0</v>
      </c>
      <c r="T71" s="5">
        <v>0</v>
      </c>
      <c r="U71" s="12">
        <f t="shared" si="23"/>
        <v>0</v>
      </c>
      <c r="V71" s="25" t="s">
        <v>10</v>
      </c>
      <c r="W71" s="11">
        <f>IFERROR(VLOOKUP(V71,Curr!$B$2:$C$13,2,FALSE),0)</f>
        <v>11.2</v>
      </c>
      <c r="X71" s="12">
        <f t="shared" si="24"/>
        <v>0</v>
      </c>
      <c r="Y71" s="26">
        <f t="shared" si="25"/>
        <v>0</v>
      </c>
      <c r="Z71" s="12">
        <f t="shared" si="26"/>
        <v>0</v>
      </c>
      <c r="AA71" s="4" t="s">
        <v>10</v>
      </c>
      <c r="AB71" s="11">
        <f>IFERROR(VLOOKUP(AA71,Curr!$B$2:$C$13,2,FALSE),0)</f>
        <v>11.2</v>
      </c>
      <c r="AC71" s="12">
        <f t="shared" si="27"/>
        <v>0</v>
      </c>
      <c r="AD71" s="12">
        <f t="shared" si="28"/>
        <v>0</v>
      </c>
      <c r="AE71" s="13">
        <f t="shared" si="29"/>
        <v>0</v>
      </c>
    </row>
    <row r="72" spans="2:36" x14ac:dyDescent="0.25">
      <c r="B72" s="4"/>
      <c r="E72" s="3"/>
      <c r="F72" s="3"/>
      <c r="G72" s="24"/>
      <c r="H72" s="24"/>
      <c r="K72" s="4"/>
      <c r="L72" s="4"/>
      <c r="M72" s="4"/>
      <c r="N72" s="4"/>
      <c r="O72" s="4"/>
      <c r="P72" s="27"/>
      <c r="Q72" s="25"/>
      <c r="R72" s="25"/>
      <c r="S72" s="12">
        <f t="shared" si="22"/>
        <v>0</v>
      </c>
      <c r="T72" s="5">
        <v>0</v>
      </c>
      <c r="U72" s="12">
        <f t="shared" si="23"/>
        <v>0</v>
      </c>
      <c r="V72" s="25" t="s">
        <v>10</v>
      </c>
      <c r="W72" s="11">
        <f>IFERROR(VLOOKUP(V72,Curr!$B$2:$C$13,2,FALSE),0)</f>
        <v>11.2</v>
      </c>
      <c r="X72" s="12">
        <f t="shared" si="24"/>
        <v>0</v>
      </c>
      <c r="Y72" s="26">
        <f t="shared" si="25"/>
        <v>0</v>
      </c>
      <c r="Z72" s="12">
        <f t="shared" si="26"/>
        <v>0</v>
      </c>
      <c r="AA72" s="4" t="s">
        <v>10</v>
      </c>
      <c r="AB72" s="11">
        <f>IFERROR(VLOOKUP(AA72,Curr!$B$2:$C$13,2,FALSE),0)</f>
        <v>11.2</v>
      </c>
      <c r="AC72" s="12">
        <f t="shared" si="27"/>
        <v>0</v>
      </c>
      <c r="AD72" s="12">
        <f t="shared" si="28"/>
        <v>0</v>
      </c>
      <c r="AE72" s="13">
        <f t="shared" si="29"/>
        <v>0</v>
      </c>
    </row>
    <row r="73" spans="2:36" x14ac:dyDescent="0.25">
      <c r="B73" s="4"/>
      <c r="E73" s="3"/>
      <c r="F73" s="3"/>
      <c r="G73" s="24"/>
      <c r="H73" s="24"/>
      <c r="K73" s="4"/>
      <c r="L73" s="4"/>
      <c r="M73" s="4"/>
      <c r="N73" s="4"/>
      <c r="O73" s="4"/>
      <c r="P73" s="27"/>
      <c r="Q73" s="25"/>
      <c r="R73" s="25"/>
      <c r="S73" s="12">
        <f t="shared" si="22"/>
        <v>0</v>
      </c>
      <c r="T73" s="5">
        <v>0</v>
      </c>
      <c r="U73" s="12">
        <f t="shared" si="23"/>
        <v>0</v>
      </c>
      <c r="V73" s="25" t="s">
        <v>10</v>
      </c>
      <c r="W73" s="11">
        <f>IFERROR(VLOOKUP(V73,Curr!$B$2:$C$13,2,FALSE),0)</f>
        <v>11.2</v>
      </c>
      <c r="X73" s="12">
        <f t="shared" si="24"/>
        <v>0</v>
      </c>
      <c r="Y73" s="26">
        <f t="shared" si="25"/>
        <v>0</v>
      </c>
      <c r="Z73" s="12">
        <f t="shared" si="26"/>
        <v>0</v>
      </c>
      <c r="AA73" s="4" t="s">
        <v>10</v>
      </c>
      <c r="AB73" s="11">
        <f>IFERROR(VLOOKUP(AA73,Curr!$B$2:$C$13,2,FALSE),0)</f>
        <v>11.2</v>
      </c>
      <c r="AC73" s="12">
        <f t="shared" si="27"/>
        <v>0</v>
      </c>
      <c r="AD73" s="12">
        <f t="shared" si="28"/>
        <v>0</v>
      </c>
      <c r="AE73" s="13">
        <f t="shared" si="29"/>
        <v>0</v>
      </c>
    </row>
    <row r="74" spans="2:36" x14ac:dyDescent="0.25">
      <c r="B74" s="4"/>
      <c r="E74" s="3"/>
      <c r="F74" s="3"/>
      <c r="G74" s="24"/>
      <c r="H74" s="24"/>
      <c r="K74" s="4"/>
      <c r="L74" s="4"/>
      <c r="M74" s="4"/>
      <c r="N74" s="4"/>
      <c r="O74" s="4"/>
      <c r="P74" s="27"/>
      <c r="Q74" s="25"/>
      <c r="R74" s="25"/>
      <c r="S74" s="12">
        <f t="shared" si="22"/>
        <v>0</v>
      </c>
      <c r="T74" s="5">
        <v>0</v>
      </c>
      <c r="U74" s="12">
        <f t="shared" si="23"/>
        <v>0</v>
      </c>
      <c r="V74" s="25" t="s">
        <v>10</v>
      </c>
      <c r="W74" s="11">
        <f>IFERROR(VLOOKUP(V74,Curr!$B$2:$C$13,2,FALSE),0)</f>
        <v>11.2</v>
      </c>
      <c r="X74" s="12">
        <f t="shared" si="24"/>
        <v>0</v>
      </c>
      <c r="Y74" s="26">
        <f t="shared" si="25"/>
        <v>0</v>
      </c>
      <c r="Z74" s="12">
        <f t="shared" si="26"/>
        <v>0</v>
      </c>
      <c r="AA74" s="4" t="s">
        <v>10</v>
      </c>
      <c r="AB74" s="11">
        <f>IFERROR(VLOOKUP(AA74,Curr!$B$2:$C$13,2,FALSE),0)</f>
        <v>11.2</v>
      </c>
      <c r="AC74" s="12">
        <f t="shared" si="27"/>
        <v>0</v>
      </c>
      <c r="AD74" s="12">
        <f t="shared" si="28"/>
        <v>0</v>
      </c>
      <c r="AE74" s="13">
        <f t="shared" si="29"/>
        <v>0</v>
      </c>
    </row>
    <row r="75" spans="2:36" x14ac:dyDescent="0.25">
      <c r="B75" s="4"/>
      <c r="E75" s="3"/>
      <c r="F75" s="3"/>
      <c r="G75" s="24"/>
      <c r="H75" s="24"/>
      <c r="K75" s="4"/>
      <c r="L75" s="4"/>
      <c r="M75" s="4"/>
      <c r="N75" s="4"/>
      <c r="O75" s="4"/>
      <c r="P75" s="27"/>
      <c r="Q75" s="25"/>
      <c r="R75" s="25"/>
      <c r="S75" s="12">
        <f t="shared" si="22"/>
        <v>0</v>
      </c>
      <c r="T75" s="5">
        <v>0</v>
      </c>
      <c r="U75" s="12">
        <f t="shared" si="23"/>
        <v>0</v>
      </c>
      <c r="V75" s="25" t="s">
        <v>10</v>
      </c>
      <c r="W75" s="11">
        <f>IFERROR(VLOOKUP(V75,Curr!$B$2:$C$13,2,FALSE),0)</f>
        <v>11.2</v>
      </c>
      <c r="X75" s="12">
        <f t="shared" si="24"/>
        <v>0</v>
      </c>
      <c r="Y75" s="26">
        <f t="shared" si="25"/>
        <v>0</v>
      </c>
      <c r="Z75" s="12">
        <f t="shared" si="26"/>
        <v>0</v>
      </c>
      <c r="AA75" s="4" t="s">
        <v>10</v>
      </c>
      <c r="AB75" s="11">
        <f>IFERROR(VLOOKUP(AA75,Curr!$B$2:$C$13,2,FALSE),0)</f>
        <v>11.2</v>
      </c>
      <c r="AC75" s="12">
        <f t="shared" si="27"/>
        <v>0</v>
      </c>
      <c r="AD75" s="12">
        <f t="shared" si="28"/>
        <v>0</v>
      </c>
      <c r="AE75" s="13">
        <f t="shared" si="29"/>
        <v>0</v>
      </c>
    </row>
    <row r="76" spans="2:36" x14ac:dyDescent="0.25">
      <c r="B76" s="4"/>
      <c r="E76" s="3"/>
      <c r="F76" s="3"/>
      <c r="G76" s="24"/>
      <c r="H76" s="24"/>
      <c r="K76" s="4"/>
      <c r="L76" s="4"/>
      <c r="M76" s="4"/>
      <c r="N76" s="4"/>
      <c r="O76" s="4"/>
      <c r="P76" s="27"/>
      <c r="Q76" s="25"/>
      <c r="R76" s="25"/>
      <c r="S76" s="12">
        <f t="shared" si="22"/>
        <v>0</v>
      </c>
      <c r="T76" s="5">
        <v>0</v>
      </c>
      <c r="U76" s="12">
        <f t="shared" si="23"/>
        <v>0</v>
      </c>
      <c r="V76" s="25" t="s">
        <v>10</v>
      </c>
      <c r="W76" s="11">
        <f>IFERROR(VLOOKUP(V76,Curr!$B$2:$C$13,2,FALSE),0)</f>
        <v>11.2</v>
      </c>
      <c r="X76" s="12">
        <f t="shared" si="24"/>
        <v>0</v>
      </c>
      <c r="Y76" s="26">
        <f t="shared" si="25"/>
        <v>0</v>
      </c>
      <c r="Z76" s="12">
        <f t="shared" si="26"/>
        <v>0</v>
      </c>
      <c r="AA76" s="4" t="s">
        <v>10</v>
      </c>
      <c r="AB76" s="11">
        <f>IFERROR(VLOOKUP(AA76,Curr!$B$2:$C$13,2,FALSE),0)</f>
        <v>11.2</v>
      </c>
      <c r="AC76" s="12">
        <f t="shared" si="27"/>
        <v>0</v>
      </c>
      <c r="AD76" s="12">
        <f t="shared" si="28"/>
        <v>0</v>
      </c>
      <c r="AE76" s="13">
        <f t="shared" si="29"/>
        <v>0</v>
      </c>
    </row>
    <row r="77" spans="2:36" x14ac:dyDescent="0.25">
      <c r="B77" s="4"/>
      <c r="E77" s="3"/>
      <c r="F77" s="3"/>
      <c r="G77" s="24"/>
      <c r="H77" s="24"/>
      <c r="K77" s="4"/>
      <c r="L77" s="4"/>
      <c r="M77" s="4"/>
      <c r="N77" s="4"/>
      <c r="O77" s="4"/>
      <c r="P77" s="27"/>
      <c r="Q77" s="25"/>
      <c r="R77" s="25"/>
      <c r="S77" s="12">
        <f t="shared" si="22"/>
        <v>0</v>
      </c>
      <c r="T77" s="5">
        <v>0</v>
      </c>
      <c r="U77" s="12">
        <f t="shared" si="23"/>
        <v>0</v>
      </c>
      <c r="V77" s="25" t="s">
        <v>10</v>
      </c>
      <c r="W77" s="11">
        <f>IFERROR(VLOOKUP(V77,Curr!$B$2:$C$13,2,FALSE),0)</f>
        <v>11.2</v>
      </c>
      <c r="X77" s="12">
        <f t="shared" si="24"/>
        <v>0</v>
      </c>
      <c r="Y77" s="26">
        <f t="shared" si="25"/>
        <v>0</v>
      </c>
      <c r="Z77" s="12">
        <f t="shared" si="26"/>
        <v>0</v>
      </c>
      <c r="AA77" s="4" t="s">
        <v>10</v>
      </c>
      <c r="AB77" s="11">
        <f>IFERROR(VLOOKUP(AA77,Curr!$B$2:$C$13,2,FALSE),0)</f>
        <v>11.2</v>
      </c>
      <c r="AC77" s="12">
        <f t="shared" si="27"/>
        <v>0</v>
      </c>
      <c r="AD77" s="12">
        <f t="shared" si="28"/>
        <v>0</v>
      </c>
      <c r="AE77" s="13">
        <f t="shared" si="29"/>
        <v>0</v>
      </c>
    </row>
    <row r="78" spans="2:36" x14ac:dyDescent="0.25">
      <c r="B78" s="4"/>
      <c r="E78" s="3"/>
      <c r="F78" s="3"/>
      <c r="G78" s="3"/>
      <c r="H78" s="3"/>
      <c r="L78" s="4"/>
      <c r="M78" s="4"/>
      <c r="N78" s="4"/>
      <c r="O78" s="4"/>
      <c r="P78" s="22"/>
      <c r="Q78" s="4"/>
      <c r="R78" s="4"/>
      <c r="S78" s="4"/>
      <c r="T78" s="4"/>
      <c r="U78" s="4"/>
      <c r="V78" s="4"/>
      <c r="W78" s="4"/>
      <c r="X78" s="4"/>
      <c r="Y78" s="4"/>
      <c r="Z78" s="4"/>
      <c r="AA78" s="4"/>
      <c r="AB78" s="4"/>
      <c r="AC78" s="4"/>
      <c r="AD78" s="4"/>
      <c r="AE78" s="4"/>
      <c r="AF78" s="4"/>
    </row>
    <row r="79" spans="2:36" x14ac:dyDescent="0.25">
      <c r="B79" s="14" t="s">
        <v>18</v>
      </c>
      <c r="C79" s="14"/>
      <c r="D79" s="28" t="s">
        <v>42</v>
      </c>
      <c r="E79" s="30" t="s">
        <v>42</v>
      </c>
      <c r="F79" s="30" t="s">
        <v>42</v>
      </c>
      <c r="G79" s="30" t="s">
        <v>42</v>
      </c>
      <c r="H79" s="30" t="s">
        <v>42</v>
      </c>
      <c r="I79" s="28" t="s">
        <v>42</v>
      </c>
      <c r="J79" s="28" t="s">
        <v>42</v>
      </c>
      <c r="K79" s="28" t="s">
        <v>42</v>
      </c>
      <c r="L79" s="28" t="s">
        <v>42</v>
      </c>
      <c r="M79" s="28" t="s">
        <v>42</v>
      </c>
      <c r="N79" s="28" t="s">
        <v>42</v>
      </c>
      <c r="O79" s="28" t="s">
        <v>42</v>
      </c>
      <c r="P79" s="28" t="s">
        <v>42</v>
      </c>
      <c r="Q79" s="31" t="s">
        <v>42</v>
      </c>
      <c r="R79" s="28" t="s">
        <v>42</v>
      </c>
      <c r="S79" s="32" t="s">
        <v>42</v>
      </c>
      <c r="T79" s="28" t="s">
        <v>42</v>
      </c>
      <c r="U79" s="32" t="s">
        <v>42</v>
      </c>
      <c r="V79" s="28" t="s">
        <v>42</v>
      </c>
      <c r="W79" s="28" t="s">
        <v>42</v>
      </c>
      <c r="X79" s="32" t="s">
        <v>42</v>
      </c>
      <c r="Y79" s="32" t="s">
        <v>42</v>
      </c>
      <c r="Z79" s="15">
        <f>SUM(Z7:Z77)</f>
        <v>3986.213690786049</v>
      </c>
      <c r="AA79" s="14"/>
      <c r="AB79" s="14"/>
      <c r="AC79" s="15">
        <f>SUM(AC7:AC77)</f>
        <v>44645.593336803751</v>
      </c>
      <c r="AD79" s="15">
        <f>SUM(AD7:AD77)</f>
        <v>8204.7133368037466</v>
      </c>
      <c r="AE79" s="21">
        <f t="shared" ref="AE79" si="30">IFERROR(AD79/AC79,0)</f>
        <v>0.18377431507983033</v>
      </c>
      <c r="AF79" s="15">
        <f>SUM(AF8:AF78)</f>
        <v>0</v>
      </c>
      <c r="AG79" s="15">
        <f>SUM(AG8:AG78)</f>
        <v>0</v>
      </c>
      <c r="AH79" s="15">
        <f>SUM(AH8:AH78)</f>
        <v>0</v>
      </c>
      <c r="AI79" s="15">
        <f>SUM(AI8:AI78)</f>
        <v>0</v>
      </c>
      <c r="AJ79" s="15">
        <f>SUM(AJ8:AJ78)</f>
        <v>0</v>
      </c>
    </row>
    <row r="80" spans="2:36" x14ac:dyDescent="0.25">
      <c r="B80" s="4"/>
      <c r="E80" s="3"/>
      <c r="F80" s="3"/>
      <c r="G80" s="3"/>
      <c r="H80" s="3"/>
      <c r="L80" s="4"/>
      <c r="M80" s="4"/>
      <c r="N80" s="4"/>
      <c r="O80" s="4"/>
      <c r="Q80" s="4"/>
      <c r="R80" s="4"/>
      <c r="S80" s="4"/>
      <c r="T80" s="4"/>
      <c r="U80" s="4"/>
      <c r="V80" s="4"/>
      <c r="W80" s="4"/>
      <c r="X80" s="4"/>
      <c r="Y80" s="9"/>
      <c r="Z80" s="9"/>
      <c r="AA80" s="9"/>
      <c r="AB80" s="9"/>
      <c r="AC80" s="9"/>
      <c r="AD80" s="9"/>
      <c r="AE80" s="9"/>
    </row>
    <row r="81" spans="2:32" x14ac:dyDescent="0.25">
      <c r="B81" s="4"/>
      <c r="E81" s="3"/>
      <c r="F81" s="3"/>
      <c r="G81" s="3"/>
      <c r="H81" s="3"/>
      <c r="L81" s="4"/>
      <c r="M81" s="4"/>
      <c r="N81" s="4"/>
      <c r="O81" s="4"/>
      <c r="Q81" s="9"/>
      <c r="R81" s="9"/>
      <c r="S81" s="9"/>
      <c r="T81" s="9"/>
      <c r="U81" s="9"/>
      <c r="V81" s="9"/>
      <c r="W81" s="9"/>
      <c r="X81" s="23"/>
      <c r="Y81" s="34" t="s">
        <v>102</v>
      </c>
      <c r="Z81" s="34">
        <v>1690</v>
      </c>
      <c r="AA81" s="9"/>
      <c r="AB81" s="9"/>
      <c r="AC81" s="9"/>
      <c r="AD81" s="9"/>
      <c r="AE81" s="9"/>
    </row>
    <row r="82" spans="2:32" x14ac:dyDescent="0.25">
      <c r="B82" s="4"/>
      <c r="E82" s="3"/>
      <c r="F82" s="3"/>
      <c r="G82" s="3"/>
      <c r="H82" s="3"/>
      <c r="L82" s="4"/>
      <c r="M82" s="4"/>
      <c r="N82" s="4"/>
      <c r="O82" s="4"/>
      <c r="Q82" s="9"/>
      <c r="R82" s="9"/>
      <c r="S82" s="9"/>
      <c r="T82" s="9"/>
      <c r="U82" s="9"/>
      <c r="V82" s="9"/>
      <c r="W82" s="9"/>
      <c r="X82" s="9"/>
      <c r="Y82" s="35" t="s">
        <v>103</v>
      </c>
      <c r="Z82" s="34">
        <f>Z9+Z15+Z23+Z25+Z32+Z34+Z44</f>
        <v>2310.7756376887041</v>
      </c>
      <c r="AA82" s="9"/>
      <c r="AB82" s="9"/>
      <c r="AC82" s="9"/>
      <c r="AD82" s="9"/>
      <c r="AE82" s="9"/>
      <c r="AF82" s="18"/>
    </row>
    <row r="83" spans="2:32" x14ac:dyDescent="0.25">
      <c r="B83" s="4"/>
      <c r="E83" s="3"/>
      <c r="F83" s="3"/>
      <c r="G83" s="3"/>
      <c r="H83" s="3"/>
      <c r="I83" s="19"/>
      <c r="L83" s="4"/>
      <c r="M83" s="4"/>
      <c r="N83" s="4"/>
      <c r="O83" s="20"/>
      <c r="Q83" s="20"/>
      <c r="R83" s="20"/>
      <c r="S83" s="20"/>
      <c r="T83" s="20"/>
      <c r="U83" s="20"/>
      <c r="V83" s="20"/>
      <c r="W83" s="20"/>
      <c r="X83" s="20"/>
      <c r="Y83" s="34" t="s">
        <v>104</v>
      </c>
      <c r="Z83" s="34">
        <v>3980</v>
      </c>
      <c r="AA83" s="9"/>
      <c r="AB83" s="9"/>
      <c r="AC83" s="9"/>
      <c r="AD83" s="9"/>
      <c r="AE83" s="9"/>
      <c r="AF83" s="18"/>
    </row>
    <row r="84" spans="2:32" x14ac:dyDescent="0.25">
      <c r="B84" s="4"/>
      <c r="E84" s="3"/>
      <c r="F84" s="3"/>
      <c r="G84" s="3"/>
      <c r="H84" s="3"/>
      <c r="L84" s="4"/>
      <c r="M84" s="4"/>
      <c r="N84" s="4"/>
      <c r="O84" s="20"/>
      <c r="Q84" s="20"/>
      <c r="R84" s="20"/>
      <c r="S84" s="20"/>
      <c r="T84" s="20"/>
      <c r="U84" s="20"/>
      <c r="V84" s="20"/>
      <c r="W84" s="20"/>
      <c r="X84" s="20"/>
      <c r="Y84" s="34" t="s">
        <v>43</v>
      </c>
      <c r="Z84" s="34">
        <f>Z83/2</f>
        <v>1990</v>
      </c>
      <c r="AA84" s="9"/>
      <c r="AB84" s="9"/>
      <c r="AC84" s="9"/>
      <c r="AD84" s="9"/>
      <c r="AE84" s="9"/>
      <c r="AF84" s="18"/>
    </row>
    <row r="85" spans="2:32" x14ac:dyDescent="0.25">
      <c r="B85" s="4"/>
      <c r="E85" s="3"/>
      <c r="F85" s="3"/>
      <c r="G85" s="3"/>
      <c r="H85" s="3"/>
      <c r="L85" s="4"/>
      <c r="M85" s="4"/>
      <c r="N85" s="4"/>
      <c r="O85" s="4"/>
      <c r="Q85" s="9"/>
      <c r="R85" s="9"/>
      <c r="S85" s="9"/>
      <c r="T85" s="9"/>
      <c r="U85" s="9"/>
      <c r="V85" s="9"/>
      <c r="W85" s="9"/>
      <c r="X85" s="9"/>
      <c r="Y85" s="1"/>
      <c r="Z85" s="1"/>
      <c r="AA85" s="9"/>
      <c r="AB85" s="9"/>
      <c r="AC85" s="9"/>
      <c r="AD85" s="9"/>
      <c r="AE85" s="9"/>
      <c r="AF85" s="18"/>
    </row>
    <row r="86" spans="2:32" x14ac:dyDescent="0.25">
      <c r="F86" s="1"/>
      <c r="G86" s="1"/>
      <c r="H86" s="1"/>
      <c r="J86" s="1" t="s">
        <v>32</v>
      </c>
      <c r="Q86" s="9"/>
      <c r="R86" s="4"/>
      <c r="S86" s="9"/>
      <c r="T86" s="5"/>
      <c r="U86" s="9"/>
      <c r="V86" s="4"/>
      <c r="W86" s="4"/>
      <c r="X86" s="9"/>
      <c r="Y86" s="9"/>
      <c r="Z86" s="9"/>
      <c r="AA86" s="9"/>
      <c r="AB86" s="9"/>
      <c r="AC86" s="9"/>
      <c r="AD86" s="9"/>
      <c r="AE86" s="9"/>
    </row>
    <row r="87" spans="2:32" x14ac:dyDescent="0.25">
      <c r="R87" s="4"/>
      <c r="S87" s="17"/>
      <c r="T87" s="17"/>
      <c r="U87" s="9"/>
      <c r="V87" s="4"/>
      <c r="W87" s="4"/>
      <c r="X87" s="9"/>
      <c r="Y87" s="9"/>
      <c r="Z87" s="9" t="s">
        <v>307</v>
      </c>
      <c r="AA87" s="9"/>
      <c r="AB87" s="9"/>
      <c r="AC87" s="9"/>
      <c r="AD87" s="9"/>
      <c r="AE87" s="9"/>
    </row>
    <row r="88" spans="2:32" x14ac:dyDescent="0.25">
      <c r="Q88" s="9"/>
      <c r="R88" s="4"/>
      <c r="S88" s="16"/>
      <c r="T88" s="16"/>
      <c r="U88" s="9"/>
      <c r="V88" s="4"/>
      <c r="W88" s="4"/>
      <c r="X88" s="9"/>
      <c r="Y88" s="37" t="s">
        <v>325</v>
      </c>
      <c r="Z88" s="9">
        <f>Z83</f>
        <v>3980</v>
      </c>
      <c r="AA88" s="9"/>
      <c r="AB88" s="9"/>
      <c r="AC88" s="9"/>
      <c r="AD88" s="9"/>
      <c r="AE88" s="9"/>
    </row>
    <row r="89" spans="2:32" x14ac:dyDescent="0.25">
      <c r="R89" s="4"/>
      <c r="S89" s="16"/>
      <c r="T89" s="16"/>
      <c r="Y89" s="37" t="s">
        <v>326</v>
      </c>
      <c r="Z89" s="9">
        <f>Z88*1.1</f>
        <v>4378</v>
      </c>
      <c r="AA89" s="9"/>
      <c r="AB89" s="9"/>
      <c r="AC89" s="9"/>
      <c r="AD89" s="9"/>
      <c r="AE89" s="9"/>
    </row>
    <row r="90" spans="2:32" x14ac:dyDescent="0.25">
      <c r="T90" s="5"/>
      <c r="Y90" s="37" t="s">
        <v>327</v>
      </c>
      <c r="Z90" s="9">
        <f>Z88*1.2</f>
        <v>4776</v>
      </c>
      <c r="AA90" s="9"/>
      <c r="AB90" s="9"/>
      <c r="AC90" s="9"/>
      <c r="AD90" s="9"/>
      <c r="AE90" s="9"/>
    </row>
    <row r="91" spans="2:32" x14ac:dyDescent="0.25">
      <c r="T91" s="5"/>
      <c r="Y91" s="37" t="s">
        <v>328</v>
      </c>
      <c r="Z91" s="9">
        <f>Z88*0.8</f>
        <v>3184</v>
      </c>
      <c r="AA91" s="9"/>
      <c r="AB91" s="9"/>
      <c r="AC91" s="9"/>
      <c r="AD91" s="9"/>
      <c r="AE91" s="9"/>
    </row>
    <row r="92" spans="2:32" x14ac:dyDescent="0.25">
      <c r="T92" s="5"/>
      <c r="Y92" s="37" t="s">
        <v>330</v>
      </c>
      <c r="Z92" s="9" t="s">
        <v>329</v>
      </c>
      <c r="AA92" s="9"/>
      <c r="AB92" s="9"/>
      <c r="AC92" s="9"/>
      <c r="AD92" s="9"/>
      <c r="AE92" s="9"/>
    </row>
    <row r="93" spans="2:32" x14ac:dyDescent="0.25">
      <c r="T93" s="5"/>
      <c r="Y93" s="9"/>
      <c r="Z93" s="9"/>
      <c r="AA93" s="9"/>
      <c r="AB93" s="9"/>
      <c r="AC93" s="9"/>
      <c r="AD93" s="9"/>
      <c r="AE93" s="9"/>
    </row>
    <row r="94" spans="2:32" x14ac:dyDescent="0.25">
      <c r="T94" s="5"/>
      <c r="Y94" s="9"/>
      <c r="Z94" s="9"/>
      <c r="AA94" s="9"/>
      <c r="AB94" s="9"/>
      <c r="AC94" s="9"/>
      <c r="AD94" s="9"/>
      <c r="AE94" s="9"/>
    </row>
    <row r="95" spans="2:32" x14ac:dyDescent="0.25">
      <c r="T95" s="5"/>
      <c r="Y95" s="9"/>
      <c r="Z95" s="9"/>
      <c r="AA95" s="9"/>
      <c r="AB95" s="9"/>
      <c r="AC95" s="9"/>
      <c r="AD95" s="9"/>
      <c r="AE95" s="9"/>
    </row>
    <row r="96" spans="2:32" x14ac:dyDescent="0.25">
      <c r="T96" s="5"/>
      <c r="Y96" s="9"/>
      <c r="Z96" s="9"/>
      <c r="AA96" s="9"/>
      <c r="AB96" s="9"/>
      <c r="AC96" s="9"/>
      <c r="AD96" s="9"/>
      <c r="AE96" s="9"/>
    </row>
    <row r="97" spans="20:31" x14ac:dyDescent="0.25">
      <c r="T97" s="5"/>
      <c r="Y97" s="9"/>
      <c r="Z97" s="9"/>
      <c r="AA97" s="9"/>
      <c r="AB97" s="9"/>
      <c r="AC97" s="9"/>
      <c r="AD97" s="9"/>
      <c r="AE97" s="9"/>
    </row>
    <row r="98" spans="20:31" x14ac:dyDescent="0.25">
      <c r="T98" s="5"/>
    </row>
    <row r="99" spans="20:31" x14ac:dyDescent="0.25">
      <c r="T99" s="5"/>
    </row>
    <row r="100" spans="20:31" x14ac:dyDescent="0.25">
      <c r="T100" s="5"/>
    </row>
    <row r="101" spans="20:31" x14ac:dyDescent="0.25">
      <c r="T101" s="5"/>
    </row>
    <row r="102" spans="20:31" x14ac:dyDescent="0.25">
      <c r="T102" s="5"/>
    </row>
  </sheetData>
  <autoFilter ref="B6:AE79" xr:uid="{65FA6D9B-E0AF-46CD-BA0D-86BB75FE6AB0}"/>
  <hyperlinks>
    <hyperlink ref="P13" r:id="rId1" location="reisesok" xr:uid="{C3177DC9-5148-4942-97B9-3EAB13F8BA33}"/>
    <hyperlink ref="P18" r:id="rId2" xr:uid="{807475D6-8E02-4F56-8C10-E5A9D75888FC}"/>
    <hyperlink ref="P19" r:id="rId3" xr:uid="{41B8606D-5EB6-441B-BA0F-866F79A0EB60}"/>
    <hyperlink ref="P28" r:id="rId4" xr:uid="{63EB3200-350C-4C91-8996-955099759FBF}"/>
    <hyperlink ref="P36" r:id="rId5" xr:uid="{E7ADCB34-11D0-4815-9CF7-BD48A6D3BAAF}"/>
    <hyperlink ref="P38" r:id="rId6" xr:uid="{4BE24A1A-D038-4688-A29A-8E01B6E6C2EE}"/>
    <hyperlink ref="P42" r:id="rId7" xr:uid="{76DC2F00-C9E7-44EF-9F26-C866523DF3B6}"/>
    <hyperlink ref="P47" r:id="rId8" xr:uid="{B9DD2CEB-B173-4407-A8EF-0A93B9A113ED}"/>
    <hyperlink ref="P64" r:id="rId9" xr:uid="{275DE594-5081-4C9A-89B2-7D38B6719C74}"/>
    <hyperlink ref="P66" r:id="rId10" xr:uid="{A6127953-69B7-4DE1-8517-A2A373BF4973}"/>
    <hyperlink ref="P68" r:id="rId11" xr:uid="{763D5FDD-7C3B-478C-979B-0CBE24C4B2E6}"/>
    <hyperlink ref="P67" r:id="rId12" xr:uid="{3E05A782-EC20-4E81-B33E-B8D4C89ACA7F}"/>
    <hyperlink ref="P69" r:id="rId13" xr:uid="{1BD32EDC-5C96-433D-8D81-EF15E4F19607}"/>
  </hyperlinks>
  <pageMargins left="0.7" right="0.7" top="0.75" bottom="0.75" header="0.3" footer="0.3"/>
  <pageSetup paperSize="9" orientation="portrait" r:id="rId1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C3DF9-0307-4C4B-BF50-66FAED88B7F1}">
  <sheetPr>
    <tabColor rgb="FFFFFF00"/>
  </sheetPr>
  <dimension ref="B1:AK107"/>
  <sheetViews>
    <sheetView topLeftCell="A18" zoomScale="80" zoomScaleNormal="80" workbookViewId="0">
      <selection activeCell="J45" sqref="J45"/>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162</v>
      </c>
    </row>
    <row r="2" spans="2:36" x14ac:dyDescent="0.25">
      <c r="B2" s="2" t="s">
        <v>61</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32" si="0">+Q7*R7</f>
        <v>0</v>
      </c>
      <c r="T7" s="5">
        <v>0</v>
      </c>
      <c r="U7" s="12">
        <f t="shared" ref="U7:U32" si="1">S7*(1-T7)</f>
        <v>0</v>
      </c>
      <c r="V7" s="25" t="s">
        <v>10</v>
      </c>
      <c r="W7" s="11">
        <f>IFERROR(VLOOKUP(V7,Curr!$B$2:$C$13,2,FALSE),0)</f>
        <v>11.2</v>
      </c>
      <c r="X7" s="12">
        <f t="shared" ref="X7:X32" si="2">U7*W7</f>
        <v>0</v>
      </c>
      <c r="Y7" s="26">
        <f t="shared" ref="Y7:Y31" si="3">Q7</f>
        <v>0</v>
      </c>
      <c r="Z7" s="12">
        <f t="shared" ref="Z7:Z70" si="4">+Y7*R7</f>
        <v>0</v>
      </c>
      <c r="AA7" s="4" t="s">
        <v>10</v>
      </c>
      <c r="AB7" s="11">
        <f>IFERROR(VLOOKUP(AA7,Curr!$B$2:$C$13,2,FALSE),0)</f>
        <v>11.2</v>
      </c>
      <c r="AC7" s="12">
        <f t="shared" ref="AC7:AC70" si="5">+Y7*AB7*R7</f>
        <v>0</v>
      </c>
      <c r="AD7" s="12">
        <f t="shared" ref="AD7:AD70" si="6">+AC7-X7</f>
        <v>0</v>
      </c>
      <c r="AE7" s="13">
        <f t="shared" ref="AE7:AE70"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70</v>
      </c>
      <c r="K9" s="4"/>
      <c r="L9" s="4"/>
      <c r="M9" s="4"/>
      <c r="N9" s="4"/>
      <c r="O9" s="4"/>
      <c r="P9" s="33"/>
      <c r="Q9" s="25">
        <v>200</v>
      </c>
      <c r="R9" s="25">
        <v>1</v>
      </c>
      <c r="S9" s="12">
        <f t="shared" si="0"/>
        <v>200</v>
      </c>
      <c r="T9" s="5">
        <v>0</v>
      </c>
      <c r="U9" s="12">
        <f t="shared" si="1"/>
        <v>200</v>
      </c>
      <c r="V9" s="25" t="s">
        <v>10</v>
      </c>
      <c r="W9" s="11">
        <f>IFERROR(VLOOKUP(V9,Curr!$B$2:$C$13,2,FALSE),0)</f>
        <v>11.2</v>
      </c>
      <c r="X9" s="12">
        <f t="shared" si="2"/>
        <v>2240</v>
      </c>
      <c r="Y9" s="26">
        <f>Q9/0.85</f>
        <v>235.29411764705884</v>
      </c>
      <c r="Z9" s="12">
        <f t="shared" si="4"/>
        <v>235.29411764705884</v>
      </c>
      <c r="AA9" s="4" t="s">
        <v>10</v>
      </c>
      <c r="AB9" s="11">
        <f>IFERROR(VLOOKUP(AA9,Curr!$B$2:$C$13,2,FALSE),0)</f>
        <v>11.2</v>
      </c>
      <c r="AC9" s="12">
        <f t="shared" si="5"/>
        <v>2635.294117647059</v>
      </c>
      <c r="AD9" s="12">
        <f t="shared" si="6"/>
        <v>395.29411764705901</v>
      </c>
      <c r="AE9" s="13">
        <f t="shared" si="7"/>
        <v>0.15000000000000005</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27"/>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66</v>
      </c>
      <c r="E13" s="3"/>
      <c r="F13" s="3"/>
      <c r="G13" s="24"/>
      <c r="H13" s="24"/>
      <c r="J13" s="1" t="s">
        <v>72</v>
      </c>
      <c r="K13" s="4"/>
      <c r="L13" s="4"/>
      <c r="M13" s="4"/>
      <c r="N13" s="4"/>
      <c r="O13" s="4" t="s">
        <v>42</v>
      </c>
      <c r="P13" s="33" t="s">
        <v>65</v>
      </c>
      <c r="Q13" s="25">
        <v>2400</v>
      </c>
      <c r="R13" s="25">
        <v>1</v>
      </c>
      <c r="S13" s="12">
        <f t="shared" si="0"/>
        <v>2400</v>
      </c>
      <c r="T13" s="5">
        <v>0</v>
      </c>
      <c r="U13" s="12">
        <f t="shared" si="1"/>
        <v>2400</v>
      </c>
      <c r="V13" s="25" t="s">
        <v>8</v>
      </c>
      <c r="W13" s="11">
        <f>IFERROR(VLOOKUP(V13,Curr!$B$2:$C$13,2,FALSE),0)</f>
        <v>1</v>
      </c>
      <c r="X13" s="12">
        <f t="shared" si="2"/>
        <v>2400</v>
      </c>
      <c r="Y13" s="26">
        <f>Q13/11.3/0.8</f>
        <v>265.48672566371675</v>
      </c>
      <c r="Z13" s="12">
        <f t="shared" si="4"/>
        <v>265.48672566371675</v>
      </c>
      <c r="AA13" s="4" t="s">
        <v>10</v>
      </c>
      <c r="AB13" s="11">
        <f>IFERROR(VLOOKUP(AA13,Curr!$B$2:$C$13,2,FALSE),0)</f>
        <v>11.2</v>
      </c>
      <c r="AC13" s="12">
        <f t="shared" si="5"/>
        <v>2973.4513274336273</v>
      </c>
      <c r="AD13" s="12">
        <f t="shared" si="6"/>
        <v>573.45132743362728</v>
      </c>
      <c r="AE13" s="13">
        <f t="shared" si="7"/>
        <v>0.19285714285714259</v>
      </c>
    </row>
    <row r="14" spans="2:36" x14ac:dyDescent="0.25">
      <c r="B14" s="4"/>
      <c r="C14" s="1" t="s">
        <v>63</v>
      </c>
      <c r="D14" s="1" t="s">
        <v>50</v>
      </c>
      <c r="E14" s="3"/>
      <c r="F14" s="3"/>
      <c r="G14" s="24"/>
      <c r="H14" s="24"/>
      <c r="J14" s="1" t="s">
        <v>67</v>
      </c>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ref="Y14:Y22" si="8">Q14</f>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71</v>
      </c>
      <c r="K15" s="4"/>
      <c r="L15" s="4"/>
      <c r="M15" s="4"/>
      <c r="N15" s="4"/>
      <c r="O15" s="4"/>
      <c r="P15" s="33"/>
      <c r="Q15" s="25">
        <v>400</v>
      </c>
      <c r="R15" s="25">
        <v>1</v>
      </c>
      <c r="S15" s="12">
        <f t="shared" si="0"/>
        <v>400</v>
      </c>
      <c r="T15" s="5">
        <v>0</v>
      </c>
      <c r="U15" s="12">
        <f t="shared" si="1"/>
        <v>400</v>
      </c>
      <c r="V15" s="25" t="s">
        <v>10</v>
      </c>
      <c r="W15" s="11">
        <f>IFERROR(VLOOKUP(V15,Curr!$B$2:$C$13,2,FALSE),0)</f>
        <v>11.2</v>
      </c>
      <c r="X15" s="12">
        <f t="shared" si="2"/>
        <v>4480</v>
      </c>
      <c r="Y15" s="26">
        <f>Q15/0.85</f>
        <v>470.58823529411768</v>
      </c>
      <c r="Z15" s="12">
        <f t="shared" si="4"/>
        <v>470.58823529411768</v>
      </c>
      <c r="AA15" s="4" t="s">
        <v>10</v>
      </c>
      <c r="AB15" s="11">
        <f>IFERROR(VLOOKUP(AA15,Curr!$B$2:$C$13,2,FALSE),0)</f>
        <v>11.2</v>
      </c>
      <c r="AC15" s="12">
        <f t="shared" si="5"/>
        <v>5270.588235294118</v>
      </c>
      <c r="AD15" s="12">
        <f t="shared" si="6"/>
        <v>790.58823529411802</v>
      </c>
      <c r="AE15" s="13">
        <f t="shared" si="7"/>
        <v>0.15000000000000005</v>
      </c>
    </row>
    <row r="16" spans="2:36" x14ac:dyDescent="0.25">
      <c r="B16" s="4"/>
      <c r="C16" s="1" t="s">
        <v>63</v>
      </c>
      <c r="D16" s="1" t="s">
        <v>53</v>
      </c>
      <c r="E16" s="3"/>
      <c r="F16" s="3"/>
      <c r="G16" s="24"/>
      <c r="H16" s="24"/>
      <c r="J16" s="1" t="s">
        <v>68</v>
      </c>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8"/>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0"/>
        <v>0</v>
      </c>
      <c r="T17" s="5">
        <v>0</v>
      </c>
      <c r="U17" s="12">
        <f t="shared" si="1"/>
        <v>0</v>
      </c>
      <c r="V17" s="25" t="s">
        <v>10</v>
      </c>
      <c r="W17" s="11">
        <f>IFERROR(VLOOKUP(V17,Curr!$B$2:$C$13,2,FALSE),0)</f>
        <v>11.2</v>
      </c>
      <c r="X17" s="12">
        <f t="shared" si="2"/>
        <v>0</v>
      </c>
      <c r="Y17" s="26">
        <f t="shared" si="8"/>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0"/>
        <v>580</v>
      </c>
      <c r="T18" s="5">
        <v>0.2</v>
      </c>
      <c r="U18" s="12">
        <f t="shared" si="1"/>
        <v>464</v>
      </c>
      <c r="V18" s="25" t="s">
        <v>8</v>
      </c>
      <c r="W18" s="11">
        <f>IFERROR(VLOOKUP(V18,Curr!$B$2:$C$13,2,FALSE),0)</f>
        <v>1</v>
      </c>
      <c r="X18" s="12">
        <f t="shared" si="2"/>
        <v>464</v>
      </c>
      <c r="Y18" s="26">
        <f>Q18/11.3/0.64</f>
        <v>40.099557522123888</v>
      </c>
      <c r="Z18" s="12">
        <f t="shared" si="4"/>
        <v>80.199115044247776</v>
      </c>
      <c r="AA18" s="4" t="s">
        <v>10</v>
      </c>
      <c r="AB18" s="11">
        <f>IFERROR(VLOOKUP(AA18,Curr!$B$2:$C$13,2,FALSE),0)</f>
        <v>11.2</v>
      </c>
      <c r="AC18" s="12">
        <f t="shared" si="5"/>
        <v>898.23008849557505</v>
      </c>
      <c r="AD18" s="12">
        <f t="shared" si="6"/>
        <v>434.23008849557505</v>
      </c>
      <c r="AE18" s="13">
        <f t="shared" si="7"/>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0"/>
        <v>350</v>
      </c>
      <c r="T19" s="5">
        <v>0</v>
      </c>
      <c r="U19" s="12">
        <f t="shared" si="1"/>
        <v>350</v>
      </c>
      <c r="V19" s="25" t="s">
        <v>8</v>
      </c>
      <c r="W19" s="11">
        <f>IFERROR(VLOOKUP(V19,Curr!$B$2:$C$13,2,FALSE),0)</f>
        <v>1</v>
      </c>
      <c r="X19" s="12">
        <f t="shared" si="2"/>
        <v>350</v>
      </c>
      <c r="Y19" s="26">
        <f>Q19/11.3/0.5</f>
        <v>30.973451327433626</v>
      </c>
      <c r="Z19" s="12">
        <f t="shared" si="4"/>
        <v>61.946902654867252</v>
      </c>
      <c r="AA19" s="4" t="s">
        <v>10</v>
      </c>
      <c r="AB19" s="11">
        <f>IFERROR(VLOOKUP(AA19,Curr!$B$2:$C$13,2,FALSE),0)</f>
        <v>11.2</v>
      </c>
      <c r="AC19" s="12">
        <f t="shared" si="5"/>
        <v>693.80530973451323</v>
      </c>
      <c r="AD19" s="12">
        <f t="shared" si="6"/>
        <v>343.80530973451323</v>
      </c>
      <c r="AE19" s="13">
        <f t="shared" si="7"/>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si="8"/>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11.2</v>
      </c>
      <c r="X21" s="12">
        <f t="shared" si="2"/>
        <v>0</v>
      </c>
      <c r="Y21" s="26">
        <f t="shared" si="8"/>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50</v>
      </c>
      <c r="E22" s="3"/>
      <c r="F22" s="3"/>
      <c r="G22" s="24"/>
      <c r="H22" s="24"/>
      <c r="J22" s="1" t="s">
        <v>83</v>
      </c>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8"/>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79</v>
      </c>
      <c r="E23" s="3"/>
      <c r="F23" s="3"/>
      <c r="G23" s="24"/>
      <c r="H23" s="24"/>
      <c r="J23" s="1" t="s">
        <v>178</v>
      </c>
      <c r="K23" s="4"/>
      <c r="L23" s="4"/>
      <c r="M23" s="4"/>
      <c r="N23" s="4"/>
      <c r="O23" s="4" t="s">
        <v>42</v>
      </c>
      <c r="P23" s="33"/>
      <c r="Q23" s="25">
        <v>2000</v>
      </c>
      <c r="R23" s="25">
        <v>2</v>
      </c>
      <c r="S23" s="12">
        <f t="shared" si="0"/>
        <v>4000</v>
      </c>
      <c r="T23" s="5">
        <v>0</v>
      </c>
      <c r="U23" s="12">
        <f t="shared" si="1"/>
        <v>4000</v>
      </c>
      <c r="V23" s="25" t="s">
        <v>8</v>
      </c>
      <c r="W23" s="11">
        <f>IFERROR(VLOOKUP(V23,Curr!$B$2:$C$13,2,FALSE),0)</f>
        <v>1</v>
      </c>
      <c r="X23" s="12">
        <f t="shared" si="2"/>
        <v>4000</v>
      </c>
      <c r="Y23" s="26">
        <f>Q23/11.3/0.8</f>
        <v>221.23893805309734</v>
      </c>
      <c r="Z23" s="12">
        <f t="shared" si="4"/>
        <v>442.47787610619469</v>
      </c>
      <c r="AA23" s="4" t="s">
        <v>10</v>
      </c>
      <c r="AB23" s="11">
        <f>IFERROR(VLOOKUP(AA23,Curr!$B$2:$C$13,2,FALSE),0)</f>
        <v>11.2</v>
      </c>
      <c r="AC23" s="12">
        <f t="shared" si="5"/>
        <v>4955.7522123893805</v>
      </c>
      <c r="AD23" s="12">
        <f t="shared" si="6"/>
        <v>955.75221238938047</v>
      </c>
      <c r="AE23" s="13">
        <f t="shared" si="7"/>
        <v>0.19285714285714284</v>
      </c>
    </row>
    <row r="24" spans="2:31" x14ac:dyDescent="0.25">
      <c r="B24" s="4"/>
      <c r="C24" s="1" t="s">
        <v>78</v>
      </c>
      <c r="D24" s="1" t="s">
        <v>50</v>
      </c>
      <c r="E24" s="3"/>
      <c r="F24" s="3"/>
      <c r="G24" s="24"/>
      <c r="H24" s="24"/>
      <c r="J24" s="1" t="s">
        <v>153</v>
      </c>
      <c r="K24" s="4"/>
      <c r="L24" s="4"/>
      <c r="M24" s="4"/>
      <c r="N24" s="4"/>
      <c r="O24" s="4"/>
      <c r="P24" s="27"/>
      <c r="Q24" s="25">
        <v>0</v>
      </c>
      <c r="R24" s="25">
        <v>0</v>
      </c>
      <c r="S24" s="12">
        <f t="shared" si="0"/>
        <v>0</v>
      </c>
      <c r="T24" s="5">
        <v>0</v>
      </c>
      <c r="U24" s="12">
        <f t="shared" si="1"/>
        <v>0</v>
      </c>
      <c r="V24" s="25" t="s">
        <v>10</v>
      </c>
      <c r="W24" s="11">
        <f>IFERROR(VLOOKUP(V24,Curr!$B$2:$C$13,2,FALSE),0)</f>
        <v>11.2</v>
      </c>
      <c r="X24" s="12">
        <f t="shared" si="2"/>
        <v>0</v>
      </c>
      <c r="Y24" s="26">
        <f t="shared" ref="Y24:Y26" si="9">Q24</f>
        <v>0</v>
      </c>
      <c r="Z24" s="12">
        <f t="shared" si="4"/>
        <v>0</v>
      </c>
      <c r="AA24" s="4" t="s">
        <v>10</v>
      </c>
      <c r="AB24" s="11">
        <f>IFERROR(VLOOKUP(AA24,Curr!$B$2:$C$13,2,FALSE),0)</f>
        <v>11.2</v>
      </c>
      <c r="AC24" s="12">
        <f t="shared" si="5"/>
        <v>0</v>
      </c>
      <c r="AD24" s="12">
        <f t="shared" si="6"/>
        <v>0</v>
      </c>
      <c r="AE24" s="13">
        <f t="shared" si="7"/>
        <v>0</v>
      </c>
    </row>
    <row r="25" spans="2:31" x14ac:dyDescent="0.25">
      <c r="B25" s="4"/>
      <c r="C25" s="1" t="s">
        <v>78</v>
      </c>
      <c r="D25" s="1" t="s">
        <v>52</v>
      </c>
      <c r="E25" s="3"/>
      <c r="F25" s="3"/>
      <c r="G25" s="24"/>
      <c r="H25" s="24"/>
      <c r="J25" s="1" t="s">
        <v>154</v>
      </c>
      <c r="K25" s="4"/>
      <c r="L25" s="4"/>
      <c r="M25" s="4"/>
      <c r="N25" s="4"/>
      <c r="O25" s="4"/>
      <c r="P25" s="27"/>
      <c r="Q25" s="25">
        <v>200</v>
      </c>
      <c r="R25" s="25">
        <v>1</v>
      </c>
      <c r="S25" s="12">
        <f t="shared" si="0"/>
        <v>200</v>
      </c>
      <c r="T25" s="5">
        <v>0</v>
      </c>
      <c r="U25" s="12">
        <f t="shared" si="1"/>
        <v>200</v>
      </c>
      <c r="V25" s="25" t="s">
        <v>10</v>
      </c>
      <c r="W25" s="11">
        <f>IFERROR(VLOOKUP(V25,Curr!$B$2:$C$13,2,FALSE),0)</f>
        <v>11.2</v>
      </c>
      <c r="X25" s="12">
        <f t="shared" si="2"/>
        <v>2240</v>
      </c>
      <c r="Y25" s="26">
        <f>Q25/0.85</f>
        <v>235.29411764705884</v>
      </c>
      <c r="Z25" s="12">
        <f t="shared" si="4"/>
        <v>235.29411764705884</v>
      </c>
      <c r="AA25" s="4" t="s">
        <v>10</v>
      </c>
      <c r="AB25" s="11">
        <f>IFERROR(VLOOKUP(AA25,Curr!$B$2:$C$13,2,FALSE),0)</f>
        <v>11.2</v>
      </c>
      <c r="AC25" s="12">
        <f t="shared" si="5"/>
        <v>2635.294117647059</v>
      </c>
      <c r="AD25" s="12">
        <f t="shared" si="6"/>
        <v>395.29411764705901</v>
      </c>
      <c r="AE25" s="13">
        <f t="shared" si="7"/>
        <v>0.15000000000000005</v>
      </c>
    </row>
    <row r="26" spans="2:31" x14ac:dyDescent="0.25">
      <c r="B26" s="4"/>
      <c r="C26" s="1" t="s">
        <v>78</v>
      </c>
      <c r="D26" s="1" t="s">
        <v>53</v>
      </c>
      <c r="E26" s="3"/>
      <c r="F26" s="3"/>
      <c r="G26" s="24"/>
      <c r="H26" s="24"/>
      <c r="J26" s="1" t="s">
        <v>152</v>
      </c>
      <c r="K26" s="4"/>
      <c r="L26" s="4"/>
      <c r="M26" s="4"/>
      <c r="N26" s="4"/>
      <c r="O26" s="4"/>
      <c r="P26" s="27"/>
      <c r="Q26" s="25">
        <v>0</v>
      </c>
      <c r="R26" s="25">
        <v>0</v>
      </c>
      <c r="S26" s="12">
        <f t="shared" si="0"/>
        <v>0</v>
      </c>
      <c r="T26" s="5">
        <v>0</v>
      </c>
      <c r="U26" s="12">
        <f t="shared" si="1"/>
        <v>0</v>
      </c>
      <c r="V26" s="25" t="s">
        <v>10</v>
      </c>
      <c r="W26" s="11">
        <f>IFERROR(VLOOKUP(V26,Curr!$B$2:$C$13,2,FALSE),0)</f>
        <v>11.2</v>
      </c>
      <c r="X26" s="12">
        <f t="shared" si="2"/>
        <v>0</v>
      </c>
      <c r="Y26" s="26">
        <f t="shared" si="9"/>
        <v>0</v>
      </c>
      <c r="Z26" s="12">
        <f t="shared" si="4"/>
        <v>0</v>
      </c>
      <c r="AA26" s="4" t="s">
        <v>10</v>
      </c>
      <c r="AB26" s="11">
        <f>IFERROR(VLOOKUP(AA26,Curr!$B$2:$C$13,2,FALSE),0)</f>
        <v>11.2</v>
      </c>
      <c r="AC26" s="12">
        <f t="shared" si="5"/>
        <v>0</v>
      </c>
      <c r="AD26" s="12">
        <f t="shared" si="6"/>
        <v>0</v>
      </c>
      <c r="AE26" s="13">
        <f t="shared" si="7"/>
        <v>0</v>
      </c>
    </row>
    <row r="27" spans="2:31" x14ac:dyDescent="0.25">
      <c r="B27" s="4"/>
      <c r="E27" s="3"/>
      <c r="F27" s="3"/>
      <c r="G27" s="24"/>
      <c r="H27" s="24"/>
      <c r="K27" s="4"/>
      <c r="L27" s="4"/>
      <c r="M27" s="4"/>
      <c r="N27" s="4"/>
      <c r="O27" s="4"/>
      <c r="P27" s="33"/>
      <c r="Q27" s="25"/>
      <c r="R27" s="25"/>
      <c r="S27" s="12">
        <f t="shared" si="0"/>
        <v>0</v>
      </c>
      <c r="T27" s="5">
        <v>0</v>
      </c>
      <c r="U27" s="12">
        <f t="shared" si="1"/>
        <v>0</v>
      </c>
      <c r="V27" s="25" t="s">
        <v>10</v>
      </c>
      <c r="W27" s="11">
        <f>IFERROR(VLOOKUP(V27,Curr!$B$2:$C$13,2,FALSE),0)</f>
        <v>11.2</v>
      </c>
      <c r="X27" s="12">
        <f t="shared" si="2"/>
        <v>0</v>
      </c>
      <c r="Y27" s="26">
        <f t="shared" si="3"/>
        <v>0</v>
      </c>
      <c r="Z27" s="12">
        <f t="shared" si="4"/>
        <v>0</v>
      </c>
      <c r="AA27" s="4" t="s">
        <v>10</v>
      </c>
      <c r="AB27" s="11">
        <f>IFERROR(VLOOKUP(AA27,Curr!$B$2:$C$13,2,FALSE),0)</f>
        <v>11.2</v>
      </c>
      <c r="AC27" s="12">
        <f t="shared" si="5"/>
        <v>0</v>
      </c>
      <c r="AD27" s="12">
        <f t="shared" si="6"/>
        <v>0</v>
      </c>
      <c r="AE27" s="13">
        <f t="shared" si="7"/>
        <v>0</v>
      </c>
    </row>
    <row r="28" spans="2:31" x14ac:dyDescent="0.25">
      <c r="B28" s="4"/>
      <c r="C28" s="1" t="s">
        <v>80</v>
      </c>
      <c r="D28" s="1" t="s">
        <v>73</v>
      </c>
      <c r="E28" s="3"/>
      <c r="F28" s="3"/>
      <c r="G28" s="24"/>
      <c r="H28" s="24"/>
      <c r="J28" s="1" t="s">
        <v>165</v>
      </c>
      <c r="K28" s="4"/>
      <c r="L28" s="4"/>
      <c r="M28" s="4"/>
      <c r="N28" s="4"/>
      <c r="O28" s="4"/>
      <c r="P28" s="33" t="s">
        <v>166</v>
      </c>
      <c r="Q28" s="25">
        <v>1290</v>
      </c>
      <c r="R28" s="25">
        <v>2</v>
      </c>
      <c r="S28" s="12">
        <f t="shared" si="0"/>
        <v>2580</v>
      </c>
      <c r="T28" s="5">
        <v>0.2</v>
      </c>
      <c r="U28" s="12">
        <f t="shared" si="1"/>
        <v>2064</v>
      </c>
      <c r="V28" s="25" t="s">
        <v>8</v>
      </c>
      <c r="W28" s="11">
        <f>IFERROR(VLOOKUP(V28,Curr!$B$2:$C$13,2,FALSE),0)</f>
        <v>1</v>
      </c>
      <c r="X28" s="12">
        <f t="shared" si="2"/>
        <v>2064</v>
      </c>
      <c r="Y28" s="26">
        <f>Q28/11.3</f>
        <v>114.15929203539822</v>
      </c>
      <c r="Z28" s="12">
        <f t="shared" si="4"/>
        <v>228.31858407079645</v>
      </c>
      <c r="AA28" s="4" t="s">
        <v>10</v>
      </c>
      <c r="AB28" s="11">
        <f>IFERROR(VLOOKUP(AA28,Curr!$B$2:$C$13,2,FALSE),0)</f>
        <v>11.2</v>
      </c>
      <c r="AC28" s="12">
        <f t="shared" si="5"/>
        <v>2557.1681415929202</v>
      </c>
      <c r="AD28" s="12">
        <f t="shared" si="6"/>
        <v>493.16814159292016</v>
      </c>
      <c r="AE28" s="13">
        <f t="shared" si="7"/>
        <v>0.19285714285714281</v>
      </c>
    </row>
    <row r="29" spans="2:31" x14ac:dyDescent="0.25">
      <c r="B29" s="4"/>
      <c r="C29" s="1" t="s">
        <v>80</v>
      </c>
      <c r="D29" s="1" t="s">
        <v>53</v>
      </c>
      <c r="E29" s="3"/>
      <c r="F29" s="3"/>
      <c r="G29" s="24"/>
      <c r="H29" s="24"/>
      <c r="J29" s="1" t="s">
        <v>152</v>
      </c>
      <c r="K29" s="4"/>
      <c r="L29" s="4"/>
      <c r="M29" s="4"/>
      <c r="N29" s="4"/>
      <c r="O29" s="4"/>
      <c r="P29" s="33"/>
      <c r="Q29" s="25">
        <v>0</v>
      </c>
      <c r="R29" s="25">
        <v>0</v>
      </c>
      <c r="S29" s="12">
        <f t="shared" si="0"/>
        <v>0</v>
      </c>
      <c r="T29" s="5">
        <v>0</v>
      </c>
      <c r="U29" s="12">
        <f t="shared" si="1"/>
        <v>0</v>
      </c>
      <c r="V29" s="25" t="s">
        <v>10</v>
      </c>
      <c r="W29" s="11">
        <f>IFERROR(VLOOKUP(V29,Curr!$B$2:$C$13,2,FALSE),0)</f>
        <v>11.2</v>
      </c>
      <c r="X29" s="12">
        <f t="shared" si="2"/>
        <v>0</v>
      </c>
      <c r="Y29" s="26">
        <f t="shared" si="3"/>
        <v>0</v>
      </c>
      <c r="Z29" s="12">
        <f t="shared" si="4"/>
        <v>0</v>
      </c>
      <c r="AA29" s="4" t="s">
        <v>10</v>
      </c>
      <c r="AB29" s="11">
        <f>IFERROR(VLOOKUP(AA29,Curr!$B$2:$C$13,2,FALSE),0)</f>
        <v>11.2</v>
      </c>
      <c r="AC29" s="12">
        <f t="shared" si="5"/>
        <v>0</v>
      </c>
      <c r="AD29" s="12">
        <f t="shared" si="6"/>
        <v>0</v>
      </c>
      <c r="AE29" s="13">
        <f t="shared" si="7"/>
        <v>0</v>
      </c>
    </row>
    <row r="30" spans="2:31" x14ac:dyDescent="0.25">
      <c r="B30" s="4"/>
      <c r="E30" s="3"/>
      <c r="F30" s="3"/>
      <c r="G30" s="24"/>
      <c r="H30" s="24"/>
      <c r="K30" s="4"/>
      <c r="L30" s="4"/>
      <c r="M30" s="4"/>
      <c r="N30" s="4"/>
      <c r="O30" s="4"/>
      <c r="P30" s="27"/>
      <c r="Q30" s="25"/>
      <c r="R30" s="25"/>
      <c r="S30" s="12">
        <f t="shared" si="0"/>
        <v>0</v>
      </c>
      <c r="T30" s="5">
        <v>0</v>
      </c>
      <c r="U30" s="12">
        <f t="shared" si="1"/>
        <v>0</v>
      </c>
      <c r="V30" s="25" t="s">
        <v>10</v>
      </c>
      <c r="W30" s="11">
        <f>IFERROR(VLOOKUP(V30,Curr!$B$2:$C$13,2,FALSE),0)</f>
        <v>11.2</v>
      </c>
      <c r="X30" s="12">
        <f t="shared" si="2"/>
        <v>0</v>
      </c>
      <c r="Y30" s="26">
        <f t="shared" si="3"/>
        <v>0</v>
      </c>
      <c r="Z30" s="12">
        <f t="shared" si="4"/>
        <v>0</v>
      </c>
      <c r="AA30" s="4" t="s">
        <v>10</v>
      </c>
      <c r="AB30" s="11">
        <f>IFERROR(VLOOKUP(AA30,Curr!$B$2:$C$13,2,FALSE),0)</f>
        <v>11.2</v>
      </c>
      <c r="AC30" s="12">
        <f t="shared" si="5"/>
        <v>0</v>
      </c>
      <c r="AD30" s="12">
        <f t="shared" si="6"/>
        <v>0</v>
      </c>
      <c r="AE30" s="13">
        <f t="shared" si="7"/>
        <v>0</v>
      </c>
    </row>
    <row r="31" spans="2:31" x14ac:dyDescent="0.25">
      <c r="B31" s="4"/>
      <c r="C31" s="1" t="s">
        <v>81</v>
      </c>
      <c r="D31" s="1" t="s">
        <v>50</v>
      </c>
      <c r="E31" s="3"/>
      <c r="F31" s="3"/>
      <c r="G31" s="24"/>
      <c r="H31" s="24"/>
      <c r="J31" s="1" t="s">
        <v>155</v>
      </c>
      <c r="K31" s="4"/>
      <c r="L31" s="4"/>
      <c r="M31" s="4"/>
      <c r="N31" s="4"/>
      <c r="O31" s="4"/>
      <c r="P31" s="27"/>
      <c r="Q31" s="25">
        <v>0</v>
      </c>
      <c r="R31" s="25">
        <v>0</v>
      </c>
      <c r="S31" s="12">
        <f t="shared" si="0"/>
        <v>0</v>
      </c>
      <c r="T31" s="5">
        <v>0</v>
      </c>
      <c r="U31" s="12">
        <f t="shared" si="1"/>
        <v>0</v>
      </c>
      <c r="V31" s="25" t="s">
        <v>10</v>
      </c>
      <c r="W31" s="11">
        <f>IFERROR(VLOOKUP(V31,Curr!$B$2:$C$13,2,FALSE),0)</f>
        <v>11.2</v>
      </c>
      <c r="X31" s="12">
        <f t="shared" si="2"/>
        <v>0</v>
      </c>
      <c r="Y31" s="26">
        <f t="shared" si="3"/>
        <v>0</v>
      </c>
      <c r="Z31" s="12">
        <f t="shared" si="4"/>
        <v>0</v>
      </c>
      <c r="AA31" s="4" t="s">
        <v>10</v>
      </c>
      <c r="AB31" s="11">
        <f>IFERROR(VLOOKUP(AA31,Curr!$B$2:$C$13,2,FALSE),0)</f>
        <v>11.2</v>
      </c>
      <c r="AC31" s="12">
        <f t="shared" si="5"/>
        <v>0</v>
      </c>
      <c r="AD31" s="12">
        <f t="shared" si="6"/>
        <v>0</v>
      </c>
      <c r="AE31" s="13">
        <f t="shared" si="7"/>
        <v>0</v>
      </c>
    </row>
    <row r="32" spans="2:31" x14ac:dyDescent="0.25">
      <c r="B32" s="4"/>
      <c r="C32" s="1" t="s">
        <v>81</v>
      </c>
      <c r="D32" s="1" t="s">
        <v>79</v>
      </c>
      <c r="E32" s="3"/>
      <c r="F32" s="3"/>
      <c r="G32" s="24"/>
      <c r="H32" s="24"/>
      <c r="J32" s="1" t="s">
        <v>220</v>
      </c>
      <c r="K32" s="4"/>
      <c r="L32" s="4"/>
      <c r="M32" s="4"/>
      <c r="N32" s="4"/>
      <c r="O32" s="4"/>
      <c r="P32" s="33"/>
      <c r="Q32" s="25">
        <v>1000</v>
      </c>
      <c r="R32" s="25">
        <v>2</v>
      </c>
      <c r="S32" s="12">
        <f t="shared" si="0"/>
        <v>2000</v>
      </c>
      <c r="T32" s="5">
        <v>0</v>
      </c>
      <c r="U32" s="12">
        <f t="shared" si="1"/>
        <v>2000</v>
      </c>
      <c r="V32" s="25" t="s">
        <v>8</v>
      </c>
      <c r="W32" s="11">
        <f>IFERROR(VLOOKUP(V32,Curr!$B$2:$C$13,2,FALSE),0)</f>
        <v>1</v>
      </c>
      <c r="X32" s="12">
        <f t="shared" si="2"/>
        <v>2000</v>
      </c>
      <c r="Y32" s="26">
        <f>Q32/11.3/0.8</f>
        <v>110.61946902654867</v>
      </c>
      <c r="Z32" s="12">
        <f t="shared" si="4"/>
        <v>221.23893805309734</v>
      </c>
      <c r="AA32" s="4" t="s">
        <v>10</v>
      </c>
      <c r="AB32" s="11">
        <f>IFERROR(VLOOKUP(AA32,Curr!$B$2:$C$13,2,FALSE),0)</f>
        <v>11.2</v>
      </c>
      <c r="AC32" s="12">
        <f t="shared" si="5"/>
        <v>2477.8761061946902</v>
      </c>
      <c r="AD32" s="12">
        <f t="shared" si="6"/>
        <v>477.87610619469024</v>
      </c>
      <c r="AE32" s="13">
        <f t="shared" si="7"/>
        <v>0.19285714285714284</v>
      </c>
    </row>
    <row r="33" spans="2:31" x14ac:dyDescent="0.25">
      <c r="B33" s="4"/>
      <c r="C33" s="1" t="s">
        <v>81</v>
      </c>
      <c r="D33" s="1" t="s">
        <v>189</v>
      </c>
      <c r="E33" s="3"/>
      <c r="F33" s="3"/>
      <c r="G33" s="24"/>
      <c r="H33" s="24"/>
      <c r="J33" s="1" t="s">
        <v>199</v>
      </c>
      <c r="K33" s="4"/>
      <c r="L33" s="4"/>
      <c r="M33" s="4"/>
      <c r="N33" s="4"/>
      <c r="O33" s="4"/>
      <c r="P33" s="27"/>
      <c r="Q33" s="25">
        <v>750</v>
      </c>
      <c r="R33" s="25">
        <v>1</v>
      </c>
      <c r="S33" s="12">
        <f t="shared" ref="S33:S70" si="10">+Q33*R33</f>
        <v>750</v>
      </c>
      <c r="T33" s="5">
        <v>0</v>
      </c>
      <c r="U33" s="12">
        <f t="shared" ref="U33:U70" si="11">S33*(1-T33)</f>
        <v>750</v>
      </c>
      <c r="V33" s="25" t="s">
        <v>10</v>
      </c>
      <c r="W33" s="11">
        <f>IFERROR(VLOOKUP(V33,Curr!$B$2:$C$13,2,FALSE),0)</f>
        <v>11.2</v>
      </c>
      <c r="X33" s="12">
        <f t="shared" ref="X33:X70" si="12">U33*W33</f>
        <v>8400</v>
      </c>
      <c r="Y33" s="26">
        <f>Q33/0.8</f>
        <v>937.5</v>
      </c>
      <c r="Z33" s="12">
        <f t="shared" si="4"/>
        <v>937.5</v>
      </c>
      <c r="AA33" s="4" t="s">
        <v>10</v>
      </c>
      <c r="AB33" s="11">
        <f>IFERROR(VLOOKUP(AA33,Curr!$B$2:$C$13,2,FALSE),0)</f>
        <v>11.2</v>
      </c>
      <c r="AC33" s="12">
        <f t="shared" si="5"/>
        <v>10500</v>
      </c>
      <c r="AD33" s="12">
        <f t="shared" si="6"/>
        <v>2100</v>
      </c>
      <c r="AE33" s="13">
        <f t="shared" si="7"/>
        <v>0.2</v>
      </c>
    </row>
    <row r="34" spans="2:31" x14ac:dyDescent="0.25">
      <c r="B34" s="4"/>
      <c r="C34" s="1" t="s">
        <v>81</v>
      </c>
      <c r="D34" s="1" t="s">
        <v>190</v>
      </c>
      <c r="E34" s="3"/>
      <c r="F34" s="3"/>
      <c r="G34" s="24"/>
      <c r="H34" s="24"/>
      <c r="J34" s="1" t="s">
        <v>191</v>
      </c>
      <c r="K34" s="4"/>
      <c r="L34" s="4"/>
      <c r="M34" s="4"/>
      <c r="N34" s="4"/>
      <c r="O34" s="4"/>
      <c r="P34" s="33"/>
      <c r="Q34" s="25">
        <v>0</v>
      </c>
      <c r="R34" s="25">
        <v>0</v>
      </c>
      <c r="S34" s="12">
        <f t="shared" si="10"/>
        <v>0</v>
      </c>
      <c r="T34" s="5">
        <v>0</v>
      </c>
      <c r="U34" s="12">
        <f t="shared" si="11"/>
        <v>0</v>
      </c>
      <c r="V34" s="25" t="s">
        <v>10</v>
      </c>
      <c r="W34" s="11">
        <f>IFERROR(VLOOKUP(V34,Curr!$B$2:$C$13,2,FALSE),0)</f>
        <v>11.2</v>
      </c>
      <c r="X34" s="12">
        <f t="shared" si="12"/>
        <v>0</v>
      </c>
      <c r="Y34" s="26">
        <f t="shared" ref="Y34:Y62" si="13">Q34</f>
        <v>0</v>
      </c>
      <c r="Z34" s="12">
        <f t="shared" si="4"/>
        <v>0</v>
      </c>
      <c r="AA34" s="4" t="s">
        <v>10</v>
      </c>
      <c r="AB34" s="11">
        <f>IFERROR(VLOOKUP(AA34,Curr!$B$2:$C$13,2,FALSE),0)</f>
        <v>11.2</v>
      </c>
      <c r="AC34" s="12">
        <f t="shared" si="5"/>
        <v>0</v>
      </c>
      <c r="AD34" s="12">
        <f t="shared" si="6"/>
        <v>0</v>
      </c>
      <c r="AE34" s="13">
        <f t="shared" si="7"/>
        <v>0</v>
      </c>
    </row>
    <row r="35" spans="2:31" x14ac:dyDescent="0.25">
      <c r="B35" s="4"/>
      <c r="C35" s="1" t="s">
        <v>81</v>
      </c>
      <c r="D35" s="1" t="s">
        <v>52</v>
      </c>
      <c r="E35" s="3"/>
      <c r="F35" s="3"/>
      <c r="G35" s="24"/>
      <c r="H35" s="24"/>
      <c r="J35" s="1" t="s">
        <v>202</v>
      </c>
      <c r="K35" s="4"/>
      <c r="L35" s="4"/>
      <c r="M35" s="4"/>
      <c r="N35" s="4"/>
      <c r="O35" s="4"/>
      <c r="P35" s="27"/>
      <c r="Q35" s="25">
        <v>350</v>
      </c>
      <c r="R35" s="25">
        <v>1</v>
      </c>
      <c r="S35" s="12">
        <f t="shared" si="10"/>
        <v>350</v>
      </c>
      <c r="T35" s="5">
        <v>0</v>
      </c>
      <c r="U35" s="12">
        <f t="shared" si="11"/>
        <v>350</v>
      </c>
      <c r="V35" s="25" t="s">
        <v>10</v>
      </c>
      <c r="W35" s="11">
        <f>IFERROR(VLOOKUP(V35,Curr!$B$2:$C$13,2,FALSE),0)</f>
        <v>11.2</v>
      </c>
      <c r="X35" s="12">
        <f t="shared" si="12"/>
        <v>3919.9999999999995</v>
      </c>
      <c r="Y35" s="26">
        <f>Q35/0.85</f>
        <v>411.76470588235293</v>
      </c>
      <c r="Z35" s="12">
        <f t="shared" si="4"/>
        <v>411.76470588235293</v>
      </c>
      <c r="AA35" s="4" t="s">
        <v>10</v>
      </c>
      <c r="AB35" s="11">
        <f>IFERROR(VLOOKUP(AA35,Curr!$B$2:$C$13,2,FALSE),0)</f>
        <v>11.2</v>
      </c>
      <c r="AC35" s="12">
        <f t="shared" si="5"/>
        <v>4611.7647058823522</v>
      </c>
      <c r="AD35" s="12">
        <f t="shared" si="6"/>
        <v>691.7647058823527</v>
      </c>
      <c r="AE35" s="13">
        <f t="shared" si="7"/>
        <v>0.14999999999999997</v>
      </c>
    </row>
    <row r="36" spans="2:31" x14ac:dyDescent="0.25">
      <c r="B36" s="4"/>
      <c r="C36" s="1" t="s">
        <v>81</v>
      </c>
      <c r="D36" s="1" t="s">
        <v>53</v>
      </c>
      <c r="E36" s="3"/>
      <c r="F36" s="3"/>
      <c r="G36" s="24"/>
      <c r="H36" s="24"/>
      <c r="J36" s="1" t="s">
        <v>168</v>
      </c>
      <c r="K36" s="4"/>
      <c r="L36" s="4"/>
      <c r="M36" s="4"/>
      <c r="N36" s="4"/>
      <c r="O36" s="4"/>
      <c r="P36" s="27"/>
      <c r="Q36" s="25">
        <v>0</v>
      </c>
      <c r="R36" s="25">
        <v>0</v>
      </c>
      <c r="S36" s="12">
        <f t="shared" si="10"/>
        <v>0</v>
      </c>
      <c r="T36" s="5">
        <v>0</v>
      </c>
      <c r="U36" s="12">
        <f t="shared" si="11"/>
        <v>0</v>
      </c>
      <c r="V36" s="25" t="s">
        <v>10</v>
      </c>
      <c r="W36" s="11">
        <f>IFERROR(VLOOKUP(V36,Curr!$B$2:$C$13,2,FALSE),0)</f>
        <v>11.2</v>
      </c>
      <c r="X36" s="12">
        <f t="shared" si="12"/>
        <v>0</v>
      </c>
      <c r="Y36" s="26">
        <f t="shared" ref="Y36:Y37" si="14">Q36</f>
        <v>0</v>
      </c>
      <c r="Z36" s="12">
        <f t="shared" si="4"/>
        <v>0</v>
      </c>
      <c r="AA36" s="4" t="s">
        <v>10</v>
      </c>
      <c r="AB36" s="11">
        <f>IFERROR(VLOOKUP(AA36,Curr!$B$2:$C$13,2,FALSE),0)</f>
        <v>11.2</v>
      </c>
      <c r="AC36" s="12">
        <f t="shared" si="5"/>
        <v>0</v>
      </c>
      <c r="AD36" s="12">
        <f t="shared" si="6"/>
        <v>0</v>
      </c>
      <c r="AE36" s="13">
        <f t="shared" si="7"/>
        <v>0</v>
      </c>
    </row>
    <row r="37" spans="2:31" x14ac:dyDescent="0.25">
      <c r="B37" s="4"/>
      <c r="C37" s="1" t="s">
        <v>81</v>
      </c>
      <c r="D37" s="1" t="s">
        <v>73</v>
      </c>
      <c r="E37" s="3"/>
      <c r="F37" s="3"/>
      <c r="G37" s="24"/>
      <c r="H37" s="24"/>
      <c r="J37" s="1" t="s">
        <v>172</v>
      </c>
      <c r="K37" s="4"/>
      <c r="L37" s="4"/>
      <c r="M37" s="4"/>
      <c r="N37" s="4"/>
      <c r="O37" s="4"/>
      <c r="P37" s="33" t="s">
        <v>173</v>
      </c>
      <c r="Q37" s="25">
        <v>135</v>
      </c>
      <c r="R37" s="25">
        <v>2</v>
      </c>
      <c r="S37" s="12">
        <f t="shared" si="10"/>
        <v>270</v>
      </c>
      <c r="T37" s="5">
        <v>0.2</v>
      </c>
      <c r="U37" s="12">
        <f t="shared" si="11"/>
        <v>216</v>
      </c>
      <c r="V37" s="25" t="s">
        <v>10</v>
      </c>
      <c r="W37" s="11">
        <f>IFERROR(VLOOKUP(V37,Curr!$B$2:$C$13,2,FALSE),0)</f>
        <v>11.2</v>
      </c>
      <c r="X37" s="12">
        <f t="shared" si="12"/>
        <v>2419.1999999999998</v>
      </c>
      <c r="Y37" s="26">
        <f t="shared" si="14"/>
        <v>135</v>
      </c>
      <c r="Z37" s="12">
        <f t="shared" si="4"/>
        <v>270</v>
      </c>
      <c r="AA37" s="4" t="s">
        <v>10</v>
      </c>
      <c r="AB37" s="11">
        <f>IFERROR(VLOOKUP(AA37,Curr!$B$2:$C$13,2,FALSE),0)</f>
        <v>11.2</v>
      </c>
      <c r="AC37" s="12">
        <f t="shared" si="5"/>
        <v>3024</v>
      </c>
      <c r="AD37" s="12">
        <f t="shared" si="6"/>
        <v>604.80000000000018</v>
      </c>
      <c r="AE37" s="13">
        <f t="shared" si="7"/>
        <v>0.20000000000000007</v>
      </c>
    </row>
    <row r="38" spans="2:31" x14ac:dyDescent="0.25">
      <c r="B38" s="4"/>
      <c r="E38" s="3"/>
      <c r="F38" s="3"/>
      <c r="G38" s="24"/>
      <c r="H38" s="24"/>
      <c r="K38" s="4"/>
      <c r="L38" s="4"/>
      <c r="M38" s="4"/>
      <c r="N38" s="4"/>
      <c r="O38" s="4"/>
      <c r="P38" s="27"/>
      <c r="Q38" s="25"/>
      <c r="R38" s="25"/>
      <c r="S38" s="12">
        <f t="shared" si="10"/>
        <v>0</v>
      </c>
      <c r="T38" s="5">
        <v>0</v>
      </c>
      <c r="U38" s="12">
        <f t="shared" si="11"/>
        <v>0</v>
      </c>
      <c r="V38" s="25" t="s">
        <v>10</v>
      </c>
      <c r="W38" s="11">
        <f>IFERROR(VLOOKUP(V38,Curr!$B$2:$C$13,2,FALSE),0)</f>
        <v>11.2</v>
      </c>
      <c r="X38" s="12">
        <f t="shared" si="12"/>
        <v>0</v>
      </c>
      <c r="Y38" s="26">
        <f t="shared" si="13"/>
        <v>0</v>
      </c>
      <c r="Z38" s="12">
        <f t="shared" si="4"/>
        <v>0</v>
      </c>
      <c r="AA38" s="4" t="s">
        <v>10</v>
      </c>
      <c r="AB38" s="11">
        <f>IFERROR(VLOOKUP(AA38,Curr!$B$2:$C$13,2,FALSE),0)</f>
        <v>11.2</v>
      </c>
      <c r="AC38" s="12">
        <f t="shared" si="5"/>
        <v>0</v>
      </c>
      <c r="AD38" s="12">
        <f t="shared" si="6"/>
        <v>0</v>
      </c>
      <c r="AE38" s="13">
        <f t="shared" si="7"/>
        <v>0</v>
      </c>
    </row>
    <row r="39" spans="2:31" x14ac:dyDescent="0.25">
      <c r="B39" s="4"/>
      <c r="C39" s="1" t="s">
        <v>114</v>
      </c>
      <c r="D39" s="1" t="s">
        <v>192</v>
      </c>
      <c r="E39" s="3"/>
      <c r="F39" s="3"/>
      <c r="G39" s="24"/>
      <c r="H39" s="24"/>
      <c r="J39" s="1" t="s">
        <v>200</v>
      </c>
      <c r="K39" s="4"/>
      <c r="L39" s="4"/>
      <c r="M39" s="4"/>
      <c r="N39" s="4"/>
      <c r="O39" s="4"/>
      <c r="P39" s="33"/>
      <c r="Q39" s="25">
        <v>0</v>
      </c>
      <c r="R39" s="25">
        <v>0</v>
      </c>
      <c r="S39" s="12">
        <f t="shared" si="10"/>
        <v>0</v>
      </c>
      <c r="T39" s="5">
        <v>0</v>
      </c>
      <c r="U39" s="12">
        <f t="shared" si="11"/>
        <v>0</v>
      </c>
      <c r="V39" s="25" t="s">
        <v>10</v>
      </c>
      <c r="W39" s="11">
        <f>IFERROR(VLOOKUP(V39,Curr!$B$2:$C$13,2,FALSE),0)</f>
        <v>11.2</v>
      </c>
      <c r="X39" s="12">
        <f t="shared" si="12"/>
        <v>0</v>
      </c>
      <c r="Y39" s="26">
        <f t="shared" si="13"/>
        <v>0</v>
      </c>
      <c r="Z39" s="12">
        <f t="shared" si="4"/>
        <v>0</v>
      </c>
      <c r="AA39" s="4" t="s">
        <v>10</v>
      </c>
      <c r="AB39" s="11">
        <f>IFERROR(VLOOKUP(AA39,Curr!$B$2:$C$13,2,FALSE),0)</f>
        <v>11.2</v>
      </c>
      <c r="AC39" s="12">
        <f t="shared" si="5"/>
        <v>0</v>
      </c>
      <c r="AD39" s="12">
        <f t="shared" si="6"/>
        <v>0</v>
      </c>
      <c r="AE39" s="13">
        <f t="shared" si="7"/>
        <v>0</v>
      </c>
    </row>
    <row r="40" spans="2:31" x14ac:dyDescent="0.25">
      <c r="B40" s="4"/>
      <c r="C40" s="1" t="s">
        <v>114</v>
      </c>
      <c r="D40" s="1" t="s">
        <v>53</v>
      </c>
      <c r="E40" s="3"/>
      <c r="F40" s="3"/>
      <c r="G40" s="24"/>
      <c r="H40" s="24"/>
      <c r="J40" s="1" t="s">
        <v>168</v>
      </c>
      <c r="K40" s="4"/>
      <c r="L40" s="4"/>
      <c r="M40" s="4"/>
      <c r="N40" s="4"/>
      <c r="O40" s="4"/>
      <c r="P40" s="27"/>
      <c r="Q40" s="25">
        <v>0</v>
      </c>
      <c r="R40" s="25">
        <v>0</v>
      </c>
      <c r="S40" s="12">
        <f t="shared" si="10"/>
        <v>0</v>
      </c>
      <c r="T40" s="5">
        <v>0</v>
      </c>
      <c r="U40" s="12">
        <f t="shared" si="11"/>
        <v>0</v>
      </c>
      <c r="V40" s="25" t="s">
        <v>10</v>
      </c>
      <c r="W40" s="11">
        <f>IFERROR(VLOOKUP(V40,Curr!$B$2:$C$13,2,FALSE),0)</f>
        <v>11.2</v>
      </c>
      <c r="X40" s="12">
        <f t="shared" si="12"/>
        <v>0</v>
      </c>
      <c r="Y40" s="26">
        <f t="shared" si="13"/>
        <v>0</v>
      </c>
      <c r="Z40" s="12">
        <f t="shared" si="4"/>
        <v>0</v>
      </c>
      <c r="AA40" s="4" t="s">
        <v>10</v>
      </c>
      <c r="AB40" s="11">
        <f>IFERROR(VLOOKUP(AA40,Curr!$B$2:$C$13,2,FALSE),0)</f>
        <v>11.2</v>
      </c>
      <c r="AC40" s="12">
        <f t="shared" si="5"/>
        <v>0</v>
      </c>
      <c r="AD40" s="12">
        <f t="shared" si="6"/>
        <v>0</v>
      </c>
      <c r="AE40" s="13">
        <f t="shared" si="7"/>
        <v>0</v>
      </c>
    </row>
    <row r="41" spans="2:31" x14ac:dyDescent="0.25">
      <c r="B41" s="4"/>
      <c r="E41" s="3"/>
      <c r="F41" s="3"/>
      <c r="G41" s="24"/>
      <c r="H41" s="24"/>
      <c r="K41" s="4"/>
      <c r="L41" s="4"/>
      <c r="M41" s="4"/>
      <c r="N41" s="4"/>
      <c r="O41" s="4"/>
      <c r="P41" s="33"/>
      <c r="Q41" s="25"/>
      <c r="R41" s="25"/>
      <c r="S41" s="12">
        <f t="shared" si="10"/>
        <v>0</v>
      </c>
      <c r="T41" s="5">
        <v>0</v>
      </c>
      <c r="U41" s="12">
        <f t="shared" si="11"/>
        <v>0</v>
      </c>
      <c r="V41" s="25" t="s">
        <v>10</v>
      </c>
      <c r="W41" s="11">
        <f>IFERROR(VLOOKUP(V41,Curr!$B$2:$C$13,2,FALSE),0)</f>
        <v>11.2</v>
      </c>
      <c r="X41" s="12">
        <f t="shared" si="12"/>
        <v>0</v>
      </c>
      <c r="Y41" s="26">
        <f t="shared" si="13"/>
        <v>0</v>
      </c>
      <c r="Z41" s="12">
        <f t="shared" si="4"/>
        <v>0</v>
      </c>
      <c r="AA41" s="4" t="s">
        <v>10</v>
      </c>
      <c r="AB41" s="11">
        <f>IFERROR(VLOOKUP(AA41,Curr!$B$2:$C$13,2,FALSE),0)</f>
        <v>11.2</v>
      </c>
      <c r="AC41" s="12">
        <f t="shared" si="5"/>
        <v>0</v>
      </c>
      <c r="AD41" s="12">
        <f t="shared" si="6"/>
        <v>0</v>
      </c>
      <c r="AE41" s="13">
        <f t="shared" si="7"/>
        <v>0</v>
      </c>
    </row>
    <row r="42" spans="2:31" x14ac:dyDescent="0.25">
      <c r="B42" s="4"/>
      <c r="C42" s="1" t="s">
        <v>115</v>
      </c>
      <c r="D42" s="1" t="s">
        <v>190</v>
      </c>
      <c r="E42" s="3"/>
      <c r="F42" s="3"/>
      <c r="G42" s="24"/>
      <c r="H42" s="24"/>
      <c r="J42" s="1" t="s">
        <v>201</v>
      </c>
      <c r="K42" s="4"/>
      <c r="L42" s="4"/>
      <c r="M42" s="4"/>
      <c r="N42" s="4"/>
      <c r="O42" s="4"/>
      <c r="P42" s="27"/>
      <c r="Q42" s="25">
        <v>0</v>
      </c>
      <c r="R42" s="25">
        <v>0</v>
      </c>
      <c r="S42" s="12">
        <f t="shared" si="10"/>
        <v>0</v>
      </c>
      <c r="T42" s="5">
        <v>0</v>
      </c>
      <c r="U42" s="12">
        <f t="shared" si="11"/>
        <v>0</v>
      </c>
      <c r="V42" s="25" t="s">
        <v>10</v>
      </c>
      <c r="W42" s="11">
        <f>IFERROR(VLOOKUP(V42,Curr!$B$2:$C$13,2,FALSE),0)</f>
        <v>11.2</v>
      </c>
      <c r="X42" s="12">
        <f t="shared" si="12"/>
        <v>0</v>
      </c>
      <c r="Y42" s="26">
        <f t="shared" si="13"/>
        <v>0</v>
      </c>
      <c r="Z42" s="12">
        <f t="shared" si="4"/>
        <v>0</v>
      </c>
      <c r="AA42" s="4" t="s">
        <v>10</v>
      </c>
      <c r="AB42" s="11">
        <f>IFERROR(VLOOKUP(AA42,Curr!$B$2:$C$13,2,FALSE),0)</f>
        <v>11.2</v>
      </c>
      <c r="AC42" s="12">
        <f t="shared" si="5"/>
        <v>0</v>
      </c>
      <c r="AD42" s="12">
        <f t="shared" si="6"/>
        <v>0</v>
      </c>
      <c r="AE42" s="13">
        <f t="shared" si="7"/>
        <v>0</v>
      </c>
    </row>
    <row r="43" spans="2:31" x14ac:dyDescent="0.25">
      <c r="B43" s="4"/>
      <c r="C43" s="1" t="s">
        <v>115</v>
      </c>
      <c r="D43" s="1" t="s">
        <v>52</v>
      </c>
      <c r="E43" s="3"/>
      <c r="F43" s="3"/>
      <c r="G43" s="24"/>
      <c r="H43" s="24"/>
      <c r="J43" s="1" t="s">
        <v>204</v>
      </c>
      <c r="K43" s="4"/>
      <c r="L43" s="4"/>
      <c r="M43" s="4"/>
      <c r="N43" s="4"/>
      <c r="O43" s="4"/>
      <c r="P43" s="27"/>
      <c r="Q43" s="25">
        <v>300</v>
      </c>
      <c r="R43" s="25">
        <v>1</v>
      </c>
      <c r="S43" s="12">
        <f t="shared" si="10"/>
        <v>300</v>
      </c>
      <c r="T43" s="5">
        <v>0</v>
      </c>
      <c r="U43" s="12">
        <f t="shared" si="11"/>
        <v>300</v>
      </c>
      <c r="V43" s="25" t="s">
        <v>10</v>
      </c>
      <c r="W43" s="11">
        <f>IFERROR(VLOOKUP(V43,Curr!$B$2:$C$13,2,FALSE),0)</f>
        <v>11.2</v>
      </c>
      <c r="X43" s="12">
        <f t="shared" si="12"/>
        <v>3360</v>
      </c>
      <c r="Y43" s="26">
        <f>Q43/0.85</f>
        <v>352.94117647058823</v>
      </c>
      <c r="Z43" s="12">
        <f t="shared" si="4"/>
        <v>352.94117647058823</v>
      </c>
      <c r="AA43" s="4" t="s">
        <v>10</v>
      </c>
      <c r="AB43" s="11">
        <f>IFERROR(VLOOKUP(AA43,Curr!$B$2:$C$13,2,FALSE),0)</f>
        <v>11.2</v>
      </c>
      <c r="AC43" s="12">
        <f t="shared" si="5"/>
        <v>3952.9411764705878</v>
      </c>
      <c r="AD43" s="12">
        <f t="shared" si="6"/>
        <v>592.94117647058783</v>
      </c>
      <c r="AE43" s="13">
        <f t="shared" si="7"/>
        <v>0.14999999999999991</v>
      </c>
    </row>
    <row r="44" spans="2:31" x14ac:dyDescent="0.25">
      <c r="B44" s="4"/>
      <c r="C44" s="1" t="s">
        <v>115</v>
      </c>
      <c r="D44" s="1" t="s">
        <v>192</v>
      </c>
      <c r="E44" s="3"/>
      <c r="F44" s="3"/>
      <c r="G44" s="24"/>
      <c r="H44" s="24"/>
      <c r="J44" s="1" t="s">
        <v>206</v>
      </c>
      <c r="K44" s="4"/>
      <c r="L44" s="4"/>
      <c r="M44" s="4"/>
      <c r="N44" s="4"/>
      <c r="O44" s="4"/>
      <c r="P44" s="27"/>
      <c r="Q44" s="25">
        <v>0</v>
      </c>
      <c r="R44" s="25">
        <v>0</v>
      </c>
      <c r="S44" s="12">
        <f t="shared" si="10"/>
        <v>0</v>
      </c>
      <c r="T44" s="5">
        <v>0</v>
      </c>
      <c r="U44" s="12">
        <f t="shared" si="11"/>
        <v>0</v>
      </c>
      <c r="V44" s="25" t="s">
        <v>10</v>
      </c>
      <c r="W44" s="11">
        <f>IFERROR(VLOOKUP(V44,Curr!$B$2:$C$13,2,FALSE),0)</f>
        <v>11.2</v>
      </c>
      <c r="X44" s="12">
        <f t="shared" si="12"/>
        <v>0</v>
      </c>
      <c r="Y44" s="26">
        <f t="shared" si="13"/>
        <v>0</v>
      </c>
      <c r="Z44" s="12">
        <f t="shared" si="4"/>
        <v>0</v>
      </c>
      <c r="AA44" s="4" t="s">
        <v>10</v>
      </c>
      <c r="AB44" s="11">
        <f>IFERROR(VLOOKUP(AA44,Curr!$B$2:$C$13,2,FALSE),0)</f>
        <v>11.2</v>
      </c>
      <c r="AC44" s="12">
        <f t="shared" si="5"/>
        <v>0</v>
      </c>
      <c r="AD44" s="12">
        <f t="shared" si="6"/>
        <v>0</v>
      </c>
      <c r="AE44" s="13">
        <f t="shared" si="7"/>
        <v>0</v>
      </c>
    </row>
    <row r="45" spans="2:31" x14ac:dyDescent="0.25">
      <c r="B45" s="4"/>
      <c r="C45" s="1" t="s">
        <v>115</v>
      </c>
      <c r="D45" s="1" t="s">
        <v>53</v>
      </c>
      <c r="E45" s="3"/>
      <c r="F45" s="3"/>
      <c r="G45" s="24"/>
      <c r="H45" s="24"/>
      <c r="J45" s="1" t="s">
        <v>209</v>
      </c>
      <c r="K45" s="4"/>
      <c r="L45" s="4"/>
      <c r="M45" s="4"/>
      <c r="N45" s="4"/>
      <c r="O45" s="4"/>
      <c r="P45" s="33"/>
      <c r="Q45" s="25">
        <v>0</v>
      </c>
      <c r="R45" s="25">
        <v>0</v>
      </c>
      <c r="S45" s="12">
        <f t="shared" si="10"/>
        <v>0</v>
      </c>
      <c r="T45" s="5">
        <v>0</v>
      </c>
      <c r="U45" s="12">
        <f t="shared" si="11"/>
        <v>0</v>
      </c>
      <c r="V45" s="25" t="s">
        <v>10</v>
      </c>
      <c r="W45" s="11">
        <f>IFERROR(VLOOKUP(V45,Curr!$B$2:$C$13,2,FALSE),0)</f>
        <v>11.2</v>
      </c>
      <c r="X45" s="12">
        <f t="shared" si="12"/>
        <v>0</v>
      </c>
      <c r="Y45" s="26">
        <f t="shared" si="13"/>
        <v>0</v>
      </c>
      <c r="Z45" s="12">
        <f t="shared" si="4"/>
        <v>0</v>
      </c>
      <c r="AA45" s="4" t="s">
        <v>10</v>
      </c>
      <c r="AB45" s="11">
        <f>IFERROR(VLOOKUP(AA45,Curr!$B$2:$C$13,2,FALSE),0)</f>
        <v>11.2</v>
      </c>
      <c r="AC45" s="12">
        <f t="shared" si="5"/>
        <v>0</v>
      </c>
      <c r="AD45" s="12">
        <f t="shared" si="6"/>
        <v>0</v>
      </c>
      <c r="AE45" s="13">
        <f t="shared" si="7"/>
        <v>0</v>
      </c>
    </row>
    <row r="46" spans="2:31" x14ac:dyDescent="0.25">
      <c r="B46" s="4"/>
      <c r="E46" s="3"/>
      <c r="F46" s="3"/>
      <c r="G46" s="24"/>
      <c r="H46" s="24"/>
      <c r="K46" s="4"/>
      <c r="L46" s="4"/>
      <c r="M46" s="4"/>
      <c r="N46" s="4"/>
      <c r="O46" s="4"/>
      <c r="P46" s="27"/>
      <c r="Q46" s="25"/>
      <c r="R46" s="25"/>
      <c r="S46" s="12">
        <f t="shared" si="10"/>
        <v>0</v>
      </c>
      <c r="T46" s="5">
        <v>0</v>
      </c>
      <c r="U46" s="12">
        <f t="shared" si="11"/>
        <v>0</v>
      </c>
      <c r="V46" s="25" t="s">
        <v>10</v>
      </c>
      <c r="W46" s="11">
        <f>IFERROR(VLOOKUP(V46,Curr!$B$2:$C$13,2,FALSE),0)</f>
        <v>11.2</v>
      </c>
      <c r="X46" s="12">
        <f t="shared" si="12"/>
        <v>0</v>
      </c>
      <c r="Y46" s="26">
        <f t="shared" si="13"/>
        <v>0</v>
      </c>
      <c r="Z46" s="12">
        <f t="shared" si="4"/>
        <v>0</v>
      </c>
      <c r="AA46" s="4" t="s">
        <v>10</v>
      </c>
      <c r="AB46" s="11">
        <f>IFERROR(VLOOKUP(AA46,Curr!$B$2:$C$13,2,FALSE),0)</f>
        <v>11.2</v>
      </c>
      <c r="AC46" s="12">
        <f t="shared" si="5"/>
        <v>0</v>
      </c>
      <c r="AD46" s="12">
        <f t="shared" si="6"/>
        <v>0</v>
      </c>
      <c r="AE46" s="13">
        <f t="shared" si="7"/>
        <v>0</v>
      </c>
    </row>
    <row r="47" spans="2:31" x14ac:dyDescent="0.25">
      <c r="B47" s="4"/>
      <c r="C47" s="1" t="s">
        <v>138</v>
      </c>
      <c r="D47" s="1" t="s">
        <v>190</v>
      </c>
      <c r="E47" s="3"/>
      <c r="F47" s="3"/>
      <c r="G47" s="24"/>
      <c r="H47" s="24"/>
      <c r="J47" s="1" t="s">
        <v>210</v>
      </c>
      <c r="K47" s="4"/>
      <c r="L47" s="4"/>
      <c r="M47" s="4"/>
      <c r="N47" s="4"/>
      <c r="O47" s="4"/>
      <c r="P47" s="27"/>
      <c r="Q47" s="25">
        <v>0</v>
      </c>
      <c r="R47" s="25">
        <v>0</v>
      </c>
      <c r="S47" s="12">
        <f t="shared" si="10"/>
        <v>0</v>
      </c>
      <c r="T47" s="5">
        <v>0</v>
      </c>
      <c r="U47" s="12">
        <f t="shared" si="11"/>
        <v>0</v>
      </c>
      <c r="V47" s="25" t="s">
        <v>10</v>
      </c>
      <c r="W47" s="11">
        <f>IFERROR(VLOOKUP(V47,Curr!$B$2:$C$13,2,FALSE),0)</f>
        <v>11.2</v>
      </c>
      <c r="X47" s="12">
        <f t="shared" si="12"/>
        <v>0</v>
      </c>
      <c r="Y47" s="26">
        <f t="shared" si="13"/>
        <v>0</v>
      </c>
      <c r="Z47" s="12">
        <f t="shared" si="4"/>
        <v>0</v>
      </c>
      <c r="AA47" s="4" t="s">
        <v>10</v>
      </c>
      <c r="AB47" s="11">
        <f>IFERROR(VLOOKUP(AA47,Curr!$B$2:$C$13,2,FALSE),0)</f>
        <v>11.2</v>
      </c>
      <c r="AC47" s="12">
        <f t="shared" si="5"/>
        <v>0</v>
      </c>
      <c r="AD47" s="12">
        <f t="shared" si="6"/>
        <v>0</v>
      </c>
      <c r="AE47" s="13">
        <f t="shared" si="7"/>
        <v>0</v>
      </c>
    </row>
    <row r="48" spans="2:31" x14ac:dyDescent="0.25">
      <c r="B48" s="4"/>
      <c r="C48" s="1" t="s">
        <v>138</v>
      </c>
      <c r="D48" s="1" t="s">
        <v>52</v>
      </c>
      <c r="E48" s="3"/>
      <c r="F48" s="3"/>
      <c r="G48" s="24"/>
      <c r="H48" s="24"/>
      <c r="J48" s="1" t="s">
        <v>205</v>
      </c>
      <c r="K48" s="4"/>
      <c r="L48" s="4"/>
      <c r="M48" s="4"/>
      <c r="N48" s="4"/>
      <c r="O48" s="4"/>
      <c r="P48" s="27"/>
      <c r="Q48" s="25">
        <v>200</v>
      </c>
      <c r="R48" s="25">
        <v>1</v>
      </c>
      <c r="S48" s="12">
        <f t="shared" si="10"/>
        <v>200</v>
      </c>
      <c r="T48" s="5">
        <v>0</v>
      </c>
      <c r="U48" s="12">
        <f t="shared" si="11"/>
        <v>200</v>
      </c>
      <c r="V48" s="25" t="s">
        <v>10</v>
      </c>
      <c r="W48" s="11">
        <f>IFERROR(VLOOKUP(V48,Curr!$B$2:$C$13,2,FALSE),0)</f>
        <v>11.2</v>
      </c>
      <c r="X48" s="12">
        <f t="shared" si="12"/>
        <v>2240</v>
      </c>
      <c r="Y48" s="26">
        <f>Q48/0.85</f>
        <v>235.29411764705884</v>
      </c>
      <c r="Z48" s="12">
        <f t="shared" si="4"/>
        <v>235.29411764705884</v>
      </c>
      <c r="AA48" s="4" t="s">
        <v>10</v>
      </c>
      <c r="AB48" s="11">
        <f>IFERROR(VLOOKUP(AA48,Curr!$B$2:$C$13,2,FALSE),0)</f>
        <v>11.2</v>
      </c>
      <c r="AC48" s="12">
        <f t="shared" si="5"/>
        <v>2635.294117647059</v>
      </c>
      <c r="AD48" s="12">
        <f t="shared" si="6"/>
        <v>395.29411764705901</v>
      </c>
      <c r="AE48" s="13">
        <f t="shared" si="7"/>
        <v>0.15000000000000005</v>
      </c>
    </row>
    <row r="49" spans="2:31" x14ac:dyDescent="0.25">
      <c r="B49" s="4"/>
      <c r="C49" s="1" t="s">
        <v>138</v>
      </c>
      <c r="D49" s="1" t="s">
        <v>192</v>
      </c>
      <c r="E49" s="3"/>
      <c r="F49" s="3"/>
      <c r="G49" s="24"/>
      <c r="H49" s="24"/>
      <c r="J49" s="1" t="s">
        <v>207</v>
      </c>
      <c r="K49" s="4"/>
      <c r="L49" s="4"/>
      <c r="M49" s="4"/>
      <c r="N49" s="4"/>
      <c r="O49" s="4"/>
      <c r="P49" s="33"/>
      <c r="Q49" s="25">
        <v>0</v>
      </c>
      <c r="R49" s="25">
        <v>0</v>
      </c>
      <c r="S49" s="12">
        <f t="shared" si="10"/>
        <v>0</v>
      </c>
      <c r="T49" s="5">
        <v>0</v>
      </c>
      <c r="U49" s="12">
        <f t="shared" si="11"/>
        <v>0</v>
      </c>
      <c r="V49" s="25" t="s">
        <v>10</v>
      </c>
      <c r="W49" s="11">
        <f>IFERROR(VLOOKUP(V49,Curr!$B$2:$C$13,2,FALSE),0)</f>
        <v>11.2</v>
      </c>
      <c r="X49" s="12">
        <f t="shared" si="12"/>
        <v>0</v>
      </c>
      <c r="Y49" s="26">
        <f t="shared" si="13"/>
        <v>0</v>
      </c>
      <c r="Z49" s="12">
        <f t="shared" si="4"/>
        <v>0</v>
      </c>
      <c r="AA49" s="4" t="s">
        <v>10</v>
      </c>
      <c r="AB49" s="11">
        <f>IFERROR(VLOOKUP(AA49,Curr!$B$2:$C$13,2,FALSE),0)</f>
        <v>11.2</v>
      </c>
      <c r="AC49" s="12">
        <f t="shared" si="5"/>
        <v>0</v>
      </c>
      <c r="AD49" s="12">
        <f t="shared" si="6"/>
        <v>0</v>
      </c>
      <c r="AE49" s="13">
        <f t="shared" si="7"/>
        <v>0</v>
      </c>
    </row>
    <row r="50" spans="2:31" x14ac:dyDescent="0.25">
      <c r="B50" s="4"/>
      <c r="C50" s="1" t="s">
        <v>138</v>
      </c>
      <c r="D50" s="1" t="s">
        <v>53</v>
      </c>
      <c r="E50" s="3"/>
      <c r="F50" s="3"/>
      <c r="G50" s="24"/>
      <c r="H50" s="24"/>
      <c r="J50" s="1" t="s">
        <v>208</v>
      </c>
      <c r="K50" s="4"/>
      <c r="L50" s="4"/>
      <c r="M50" s="4"/>
      <c r="N50" s="4"/>
      <c r="O50" s="4"/>
      <c r="P50" s="27"/>
      <c r="Q50" s="25">
        <v>0</v>
      </c>
      <c r="R50" s="25">
        <v>0</v>
      </c>
      <c r="S50" s="12">
        <f t="shared" si="10"/>
        <v>0</v>
      </c>
      <c r="T50" s="5">
        <v>0</v>
      </c>
      <c r="U50" s="12">
        <f t="shared" si="11"/>
        <v>0</v>
      </c>
      <c r="V50" s="25" t="s">
        <v>10</v>
      </c>
      <c r="W50" s="11">
        <f>IFERROR(VLOOKUP(V50,Curr!$B$2:$C$13,2,FALSE),0)</f>
        <v>11.2</v>
      </c>
      <c r="X50" s="12">
        <f t="shared" si="12"/>
        <v>0</v>
      </c>
      <c r="Y50" s="26">
        <f t="shared" si="13"/>
        <v>0</v>
      </c>
      <c r="Z50" s="12">
        <f t="shared" si="4"/>
        <v>0</v>
      </c>
      <c r="AA50" s="4" t="s">
        <v>10</v>
      </c>
      <c r="AB50" s="11">
        <f>IFERROR(VLOOKUP(AA50,Curr!$B$2:$C$13,2,FALSE),0)</f>
        <v>11.2</v>
      </c>
      <c r="AC50" s="12">
        <f t="shared" si="5"/>
        <v>0</v>
      </c>
      <c r="AD50" s="12">
        <f t="shared" si="6"/>
        <v>0</v>
      </c>
      <c r="AE50" s="13">
        <f t="shared" si="7"/>
        <v>0</v>
      </c>
    </row>
    <row r="51" spans="2:31" x14ac:dyDescent="0.25">
      <c r="B51" s="4"/>
      <c r="E51" s="3"/>
      <c r="F51" s="3"/>
      <c r="G51" s="24"/>
      <c r="H51" s="24"/>
      <c r="K51" s="4"/>
      <c r="L51" s="4"/>
      <c r="M51" s="4"/>
      <c r="N51" s="4"/>
      <c r="O51" s="4"/>
      <c r="P51" s="27"/>
      <c r="Q51" s="25"/>
      <c r="R51" s="25"/>
      <c r="S51" s="12">
        <f t="shared" si="10"/>
        <v>0</v>
      </c>
      <c r="T51" s="5">
        <v>0</v>
      </c>
      <c r="U51" s="12">
        <f t="shared" si="11"/>
        <v>0</v>
      </c>
      <c r="V51" s="25" t="s">
        <v>10</v>
      </c>
      <c r="W51" s="11">
        <f>IFERROR(VLOOKUP(V51,Curr!$B$2:$C$13,2,FALSE),0)</f>
        <v>11.2</v>
      </c>
      <c r="X51" s="12">
        <f t="shared" si="12"/>
        <v>0</v>
      </c>
      <c r="Y51" s="26">
        <f t="shared" si="13"/>
        <v>0</v>
      </c>
      <c r="Z51" s="12">
        <f t="shared" si="4"/>
        <v>0</v>
      </c>
      <c r="AA51" s="4" t="s">
        <v>10</v>
      </c>
      <c r="AB51" s="11">
        <f>IFERROR(VLOOKUP(AA51,Curr!$B$2:$C$13,2,FALSE),0)</f>
        <v>11.2</v>
      </c>
      <c r="AC51" s="12">
        <f t="shared" si="5"/>
        <v>0</v>
      </c>
      <c r="AD51" s="12">
        <f t="shared" si="6"/>
        <v>0</v>
      </c>
      <c r="AE51" s="13">
        <f t="shared" si="7"/>
        <v>0</v>
      </c>
    </row>
    <row r="52" spans="2:31" x14ac:dyDescent="0.25">
      <c r="B52" s="4"/>
      <c r="C52" s="1" t="s">
        <v>186</v>
      </c>
      <c r="D52" s="1" t="s">
        <v>190</v>
      </c>
      <c r="E52" s="3"/>
      <c r="F52" s="3"/>
      <c r="G52" s="24"/>
      <c r="H52" s="24"/>
      <c r="J52" s="1" t="s">
        <v>211</v>
      </c>
      <c r="K52" s="4"/>
      <c r="L52" s="4"/>
      <c r="M52" s="4"/>
      <c r="N52" s="4"/>
      <c r="O52" s="4"/>
      <c r="P52" s="27"/>
      <c r="Q52" s="25">
        <v>0</v>
      </c>
      <c r="R52" s="25">
        <v>0</v>
      </c>
      <c r="S52" s="12">
        <f t="shared" si="10"/>
        <v>0</v>
      </c>
      <c r="T52" s="5">
        <v>0</v>
      </c>
      <c r="U52" s="12">
        <f t="shared" si="11"/>
        <v>0</v>
      </c>
      <c r="V52" s="25" t="s">
        <v>10</v>
      </c>
      <c r="W52" s="11">
        <f>IFERROR(VLOOKUP(V52,Curr!$B$2:$C$13,2,FALSE),0)</f>
        <v>11.2</v>
      </c>
      <c r="X52" s="12">
        <f t="shared" si="12"/>
        <v>0</v>
      </c>
      <c r="Y52" s="26">
        <f t="shared" si="13"/>
        <v>0</v>
      </c>
      <c r="Z52" s="12">
        <f t="shared" si="4"/>
        <v>0</v>
      </c>
      <c r="AA52" s="4" t="s">
        <v>10</v>
      </c>
      <c r="AB52" s="11">
        <f>IFERROR(VLOOKUP(AA52,Curr!$B$2:$C$13,2,FALSE),0)</f>
        <v>11.2</v>
      </c>
      <c r="AC52" s="12">
        <f t="shared" si="5"/>
        <v>0</v>
      </c>
      <c r="AD52" s="12">
        <f t="shared" si="6"/>
        <v>0</v>
      </c>
      <c r="AE52" s="13">
        <f t="shared" si="7"/>
        <v>0</v>
      </c>
    </row>
    <row r="53" spans="2:31" x14ac:dyDescent="0.25">
      <c r="B53" s="4"/>
      <c r="C53" s="1" t="s">
        <v>186</v>
      </c>
      <c r="D53" s="1" t="s">
        <v>189</v>
      </c>
      <c r="E53" s="3"/>
      <c r="F53" s="3"/>
      <c r="G53" s="24"/>
      <c r="H53" s="24"/>
      <c r="J53" s="1" t="s">
        <v>212</v>
      </c>
      <c r="K53" s="4"/>
      <c r="L53" s="4"/>
      <c r="M53" s="4"/>
      <c r="N53" s="4"/>
      <c r="O53" s="4"/>
      <c r="P53" s="27"/>
      <c r="Q53" s="25">
        <v>0</v>
      </c>
      <c r="R53" s="25">
        <v>0</v>
      </c>
      <c r="S53" s="12">
        <f t="shared" si="10"/>
        <v>0</v>
      </c>
      <c r="T53" s="5">
        <v>0</v>
      </c>
      <c r="U53" s="12">
        <f t="shared" si="11"/>
        <v>0</v>
      </c>
      <c r="V53" s="25" t="s">
        <v>10</v>
      </c>
      <c r="W53" s="11">
        <f>IFERROR(VLOOKUP(V53,Curr!$B$2:$C$13,2,FALSE),0)</f>
        <v>11.2</v>
      </c>
      <c r="X53" s="12">
        <f t="shared" si="12"/>
        <v>0</v>
      </c>
      <c r="Y53" s="26">
        <f t="shared" si="13"/>
        <v>0</v>
      </c>
      <c r="Z53" s="12">
        <f t="shared" si="4"/>
        <v>0</v>
      </c>
      <c r="AA53" s="4" t="s">
        <v>10</v>
      </c>
      <c r="AB53" s="11">
        <f>IFERROR(VLOOKUP(AA53,Curr!$B$2:$C$13,2,FALSE),0)</f>
        <v>11.2</v>
      </c>
      <c r="AC53" s="12">
        <f t="shared" si="5"/>
        <v>0</v>
      </c>
      <c r="AD53" s="12">
        <f t="shared" si="6"/>
        <v>0</v>
      </c>
      <c r="AE53" s="13">
        <f t="shared" si="7"/>
        <v>0</v>
      </c>
    </row>
    <row r="54" spans="2:31" x14ac:dyDescent="0.25">
      <c r="B54" s="4"/>
      <c r="C54" s="1" t="s">
        <v>186</v>
      </c>
      <c r="D54" s="1" t="s">
        <v>79</v>
      </c>
      <c r="E54" s="3"/>
      <c r="F54" s="3"/>
      <c r="G54" s="24"/>
      <c r="H54" s="24"/>
      <c r="J54" s="1" t="s">
        <v>221</v>
      </c>
      <c r="K54" s="4"/>
      <c r="L54" s="4"/>
      <c r="M54" s="4"/>
      <c r="N54" s="4"/>
      <c r="O54" s="4"/>
      <c r="P54" s="27"/>
      <c r="Q54" s="25">
        <v>2280</v>
      </c>
      <c r="R54" s="25">
        <v>2</v>
      </c>
      <c r="S54" s="12">
        <f t="shared" si="10"/>
        <v>4560</v>
      </c>
      <c r="T54" s="5">
        <v>0</v>
      </c>
      <c r="U54" s="12">
        <f t="shared" si="11"/>
        <v>4560</v>
      </c>
      <c r="V54" s="25" t="s">
        <v>8</v>
      </c>
      <c r="W54" s="11">
        <f>IFERROR(VLOOKUP(V54,Curr!$B$2:$C$13,2,FALSE),0)</f>
        <v>1</v>
      </c>
      <c r="X54" s="12">
        <f t="shared" si="12"/>
        <v>4560</v>
      </c>
      <c r="Y54" s="26">
        <f>Q54/11.3/0.85</f>
        <v>237.37636647579384</v>
      </c>
      <c r="Z54" s="12">
        <f t="shared" si="4"/>
        <v>474.75273295158769</v>
      </c>
      <c r="AA54" s="4" t="s">
        <v>10</v>
      </c>
      <c r="AB54" s="11">
        <f>IFERROR(VLOOKUP(AA54,Curr!$B$2:$C$13,2,FALSE),0)</f>
        <v>11.2</v>
      </c>
      <c r="AC54" s="12">
        <f t="shared" si="5"/>
        <v>5317.2306090577822</v>
      </c>
      <c r="AD54" s="12">
        <f t="shared" si="6"/>
        <v>757.2306090577822</v>
      </c>
      <c r="AE54" s="13">
        <f t="shared" si="7"/>
        <v>0.14241071428571425</v>
      </c>
    </row>
    <row r="55" spans="2:31" x14ac:dyDescent="0.25">
      <c r="B55" s="4"/>
      <c r="C55" s="1" t="s">
        <v>186</v>
      </c>
      <c r="D55" s="1" t="s">
        <v>50</v>
      </c>
      <c r="E55" s="3"/>
      <c r="F55" s="3"/>
      <c r="G55" s="24"/>
      <c r="H55" s="24"/>
      <c r="J55" s="1" t="s">
        <v>51</v>
      </c>
      <c r="K55" s="4"/>
      <c r="L55" s="4"/>
      <c r="M55" s="4"/>
      <c r="N55" s="4"/>
      <c r="O55" s="4"/>
      <c r="P55" s="27"/>
      <c r="Q55" s="25">
        <v>0</v>
      </c>
      <c r="R55" s="25">
        <v>0</v>
      </c>
      <c r="S55" s="12">
        <f t="shared" si="10"/>
        <v>0</v>
      </c>
      <c r="T55" s="5">
        <v>0</v>
      </c>
      <c r="U55" s="12">
        <f t="shared" si="11"/>
        <v>0</v>
      </c>
      <c r="V55" s="25" t="s">
        <v>10</v>
      </c>
      <c r="W55" s="11">
        <f>IFERROR(VLOOKUP(V55,Curr!$B$2:$C$13,2,FALSE),0)</f>
        <v>11.2</v>
      </c>
      <c r="X55" s="12">
        <f t="shared" si="12"/>
        <v>0</v>
      </c>
      <c r="Y55" s="26">
        <f t="shared" si="13"/>
        <v>0</v>
      </c>
      <c r="Z55" s="12">
        <f t="shared" si="4"/>
        <v>0</v>
      </c>
      <c r="AA55" s="4" t="s">
        <v>10</v>
      </c>
      <c r="AB55" s="11">
        <f>IFERROR(VLOOKUP(AA55,Curr!$B$2:$C$13,2,FALSE),0)</f>
        <v>11.2</v>
      </c>
      <c r="AC55" s="12">
        <f t="shared" si="5"/>
        <v>0</v>
      </c>
      <c r="AD55" s="12">
        <f t="shared" si="6"/>
        <v>0</v>
      </c>
      <c r="AE55" s="13">
        <f t="shared" si="7"/>
        <v>0</v>
      </c>
    </row>
    <row r="56" spans="2:31" x14ac:dyDescent="0.25">
      <c r="B56" s="4"/>
      <c r="C56" s="1" t="s">
        <v>186</v>
      </c>
      <c r="D56" s="1" t="s">
        <v>52</v>
      </c>
      <c r="E56" s="3"/>
      <c r="F56" s="3"/>
      <c r="G56" s="24"/>
      <c r="H56" s="24"/>
      <c r="J56" s="1" t="s">
        <v>70</v>
      </c>
      <c r="K56" s="4"/>
      <c r="L56" s="4"/>
      <c r="M56" s="4"/>
      <c r="N56" s="4"/>
      <c r="O56" s="4"/>
      <c r="P56" s="33"/>
      <c r="Q56" s="25">
        <v>200</v>
      </c>
      <c r="R56" s="25">
        <v>1</v>
      </c>
      <c r="S56" s="12">
        <f t="shared" si="10"/>
        <v>200</v>
      </c>
      <c r="T56" s="5">
        <v>0</v>
      </c>
      <c r="U56" s="12">
        <f t="shared" si="11"/>
        <v>200</v>
      </c>
      <c r="V56" s="25" t="s">
        <v>10</v>
      </c>
      <c r="W56" s="11">
        <f>IFERROR(VLOOKUP(V56,Curr!$B$2:$C$13,2,FALSE),0)</f>
        <v>11.2</v>
      </c>
      <c r="X56" s="12">
        <f t="shared" si="12"/>
        <v>2240</v>
      </c>
      <c r="Y56" s="26">
        <f>Q56/0.85</f>
        <v>235.29411764705884</v>
      </c>
      <c r="Z56" s="12">
        <f t="shared" si="4"/>
        <v>235.29411764705884</v>
      </c>
      <c r="AA56" s="4" t="s">
        <v>10</v>
      </c>
      <c r="AB56" s="11">
        <f>IFERROR(VLOOKUP(AA56,Curr!$B$2:$C$13,2,FALSE),0)</f>
        <v>11.2</v>
      </c>
      <c r="AC56" s="12">
        <f t="shared" si="5"/>
        <v>2635.294117647059</v>
      </c>
      <c r="AD56" s="12">
        <f t="shared" si="6"/>
        <v>395.29411764705901</v>
      </c>
      <c r="AE56" s="13">
        <f t="shared" si="7"/>
        <v>0.15000000000000005</v>
      </c>
    </row>
    <row r="57" spans="2:31" x14ac:dyDescent="0.25">
      <c r="B57" s="4"/>
      <c r="C57" s="1" t="s">
        <v>186</v>
      </c>
      <c r="D57" s="1" t="s">
        <v>53</v>
      </c>
      <c r="E57" s="3"/>
      <c r="F57" s="3"/>
      <c r="G57" s="24"/>
      <c r="H57" s="24"/>
      <c r="J57" s="1" t="s">
        <v>54</v>
      </c>
      <c r="K57" s="4"/>
      <c r="L57" s="4"/>
      <c r="M57" s="4"/>
      <c r="N57" s="4"/>
      <c r="O57" s="4"/>
      <c r="P57" s="27"/>
      <c r="Q57" s="25">
        <v>0</v>
      </c>
      <c r="R57" s="25">
        <v>0</v>
      </c>
      <c r="S57" s="12">
        <f t="shared" si="10"/>
        <v>0</v>
      </c>
      <c r="T57" s="5">
        <v>0</v>
      </c>
      <c r="U57" s="12">
        <f t="shared" si="11"/>
        <v>0</v>
      </c>
      <c r="V57" s="25" t="s">
        <v>10</v>
      </c>
      <c r="W57" s="11">
        <f>IFERROR(VLOOKUP(V57,Curr!$B$2:$C$13,2,FALSE),0)</f>
        <v>11.2</v>
      </c>
      <c r="X57" s="12">
        <f t="shared" si="12"/>
        <v>0</v>
      </c>
      <c r="Y57" s="26">
        <f t="shared" si="13"/>
        <v>0</v>
      </c>
      <c r="Z57" s="12">
        <f t="shared" si="4"/>
        <v>0</v>
      </c>
      <c r="AA57" s="4" t="s">
        <v>10</v>
      </c>
      <c r="AB57" s="11">
        <f>IFERROR(VLOOKUP(AA57,Curr!$B$2:$C$13,2,FALSE),0)</f>
        <v>11.2</v>
      </c>
      <c r="AC57" s="12">
        <f t="shared" si="5"/>
        <v>0</v>
      </c>
      <c r="AD57" s="12">
        <f t="shared" si="6"/>
        <v>0</v>
      </c>
      <c r="AE57" s="13">
        <f t="shared" si="7"/>
        <v>0</v>
      </c>
    </row>
    <row r="58" spans="2:31" x14ac:dyDescent="0.25">
      <c r="B58" s="4"/>
      <c r="E58" s="3"/>
      <c r="F58" s="3"/>
      <c r="G58" s="24"/>
      <c r="H58" s="24"/>
      <c r="K58" s="4"/>
      <c r="L58" s="4"/>
      <c r="M58" s="4"/>
      <c r="N58" s="4"/>
      <c r="O58" s="4"/>
      <c r="P58" s="27"/>
      <c r="Q58" s="25"/>
      <c r="R58" s="25"/>
      <c r="S58" s="12">
        <f t="shared" si="10"/>
        <v>0</v>
      </c>
      <c r="T58" s="5">
        <v>0</v>
      </c>
      <c r="U58" s="12">
        <f t="shared" si="11"/>
        <v>0</v>
      </c>
      <c r="V58" s="25" t="s">
        <v>10</v>
      </c>
      <c r="W58" s="11">
        <f>IFERROR(VLOOKUP(V58,Curr!$B$2:$C$13,2,FALSE),0)</f>
        <v>11.2</v>
      </c>
      <c r="X58" s="12">
        <f t="shared" si="12"/>
        <v>0</v>
      </c>
      <c r="Y58" s="26">
        <f t="shared" si="13"/>
        <v>0</v>
      </c>
      <c r="Z58" s="12">
        <f t="shared" si="4"/>
        <v>0</v>
      </c>
      <c r="AA58" s="4" t="s">
        <v>10</v>
      </c>
      <c r="AB58" s="11">
        <f>IFERROR(VLOOKUP(AA58,Curr!$B$2:$C$13,2,FALSE),0)</f>
        <v>11.2</v>
      </c>
      <c r="AC58" s="12">
        <f t="shared" si="5"/>
        <v>0</v>
      </c>
      <c r="AD58" s="12">
        <f t="shared" si="6"/>
        <v>0</v>
      </c>
      <c r="AE58" s="13">
        <f t="shared" si="7"/>
        <v>0</v>
      </c>
    </row>
    <row r="59" spans="2:31" x14ac:dyDescent="0.25">
      <c r="B59" s="4"/>
      <c r="C59" s="1" t="s">
        <v>193</v>
      </c>
      <c r="D59" s="1" t="s">
        <v>50</v>
      </c>
      <c r="E59" s="3"/>
      <c r="F59" s="3"/>
      <c r="G59" s="24"/>
      <c r="H59" s="24"/>
      <c r="J59" s="1" t="s">
        <v>195</v>
      </c>
      <c r="K59" s="4"/>
      <c r="L59" s="4"/>
      <c r="M59" s="4"/>
      <c r="N59" s="4"/>
      <c r="O59" s="4"/>
      <c r="P59" s="27"/>
      <c r="Q59" s="25">
        <v>0</v>
      </c>
      <c r="R59" s="25">
        <v>0</v>
      </c>
      <c r="S59" s="12">
        <f t="shared" si="10"/>
        <v>0</v>
      </c>
      <c r="T59" s="5">
        <v>0</v>
      </c>
      <c r="U59" s="12">
        <f t="shared" si="11"/>
        <v>0</v>
      </c>
      <c r="V59" s="25" t="s">
        <v>10</v>
      </c>
      <c r="W59" s="11">
        <f>IFERROR(VLOOKUP(V59,Curr!$B$2:$C$13,2,FALSE),0)</f>
        <v>11.2</v>
      </c>
      <c r="X59" s="12">
        <f t="shared" si="12"/>
        <v>0</v>
      </c>
      <c r="Y59" s="26">
        <f t="shared" si="13"/>
        <v>0</v>
      </c>
      <c r="Z59" s="12">
        <f t="shared" si="4"/>
        <v>0</v>
      </c>
      <c r="AA59" s="4" t="s">
        <v>10</v>
      </c>
      <c r="AB59" s="11">
        <f>IFERROR(VLOOKUP(AA59,Curr!$B$2:$C$13,2,FALSE),0)</f>
        <v>11.2</v>
      </c>
      <c r="AC59" s="12">
        <f t="shared" si="5"/>
        <v>0</v>
      </c>
      <c r="AD59" s="12">
        <f t="shared" si="6"/>
        <v>0</v>
      </c>
      <c r="AE59" s="13">
        <f t="shared" si="7"/>
        <v>0</v>
      </c>
    </row>
    <row r="60" spans="2:31" x14ac:dyDescent="0.25">
      <c r="B60" s="4"/>
      <c r="C60" s="1" t="s">
        <v>193</v>
      </c>
      <c r="D60" s="1" t="s">
        <v>82</v>
      </c>
      <c r="E60" s="3"/>
      <c r="F60" s="3"/>
      <c r="G60" s="24"/>
      <c r="H60" s="24"/>
      <c r="J60" s="1" t="s">
        <v>194</v>
      </c>
      <c r="K60" s="4"/>
      <c r="L60" s="4"/>
      <c r="M60" s="4"/>
      <c r="N60" s="4"/>
      <c r="O60" s="4"/>
      <c r="P60" s="27"/>
      <c r="Q60" s="25">
        <v>0</v>
      </c>
      <c r="R60" s="25">
        <v>0</v>
      </c>
      <c r="S60" s="12">
        <f t="shared" si="10"/>
        <v>0</v>
      </c>
      <c r="T60" s="5">
        <v>0</v>
      </c>
      <c r="U60" s="12">
        <f t="shared" si="11"/>
        <v>0</v>
      </c>
      <c r="V60" s="25" t="s">
        <v>10</v>
      </c>
      <c r="W60" s="11">
        <f>IFERROR(VLOOKUP(V60,Curr!$B$2:$C$13,2,FALSE),0)</f>
        <v>11.2</v>
      </c>
      <c r="X60" s="12">
        <f t="shared" si="12"/>
        <v>0</v>
      </c>
      <c r="Y60" s="26">
        <f t="shared" si="13"/>
        <v>0</v>
      </c>
      <c r="Z60" s="12">
        <f t="shared" si="4"/>
        <v>0</v>
      </c>
      <c r="AA60" s="4" t="s">
        <v>10</v>
      </c>
      <c r="AB60" s="11">
        <f>IFERROR(VLOOKUP(AA60,Curr!$B$2:$C$13,2,FALSE),0)</f>
        <v>11.2</v>
      </c>
      <c r="AC60" s="12">
        <f t="shared" si="5"/>
        <v>0</v>
      </c>
      <c r="AD60" s="12">
        <f t="shared" si="6"/>
        <v>0</v>
      </c>
      <c r="AE60" s="13">
        <f t="shared" si="7"/>
        <v>0</v>
      </c>
    </row>
    <row r="61" spans="2:31" x14ac:dyDescent="0.25">
      <c r="B61" s="4"/>
      <c r="E61" s="3"/>
      <c r="F61" s="3"/>
      <c r="G61" s="24"/>
      <c r="H61" s="24"/>
      <c r="K61" s="4"/>
      <c r="L61" s="4"/>
      <c r="M61" s="4"/>
      <c r="N61" s="4"/>
      <c r="O61" s="4"/>
      <c r="P61" s="27"/>
      <c r="Q61" s="25"/>
      <c r="R61" s="25"/>
      <c r="S61" s="12">
        <f t="shared" si="10"/>
        <v>0</v>
      </c>
      <c r="T61" s="5">
        <v>0</v>
      </c>
      <c r="U61" s="12">
        <f t="shared" si="11"/>
        <v>0</v>
      </c>
      <c r="V61" s="25" t="s">
        <v>10</v>
      </c>
      <c r="W61" s="11">
        <f>IFERROR(VLOOKUP(V61,Curr!$B$2:$C$13,2,FALSE),0)</f>
        <v>11.2</v>
      </c>
      <c r="X61" s="12">
        <f t="shared" si="12"/>
        <v>0</v>
      </c>
      <c r="Y61" s="26">
        <f t="shared" si="13"/>
        <v>0</v>
      </c>
      <c r="Z61" s="12">
        <f t="shared" si="4"/>
        <v>0</v>
      </c>
      <c r="AA61" s="4" t="s">
        <v>10</v>
      </c>
      <c r="AB61" s="11">
        <f>IFERROR(VLOOKUP(AA61,Curr!$B$2:$C$13,2,FALSE),0)</f>
        <v>11.2</v>
      </c>
      <c r="AC61" s="12">
        <f t="shared" si="5"/>
        <v>0</v>
      </c>
      <c r="AD61" s="12">
        <f t="shared" si="6"/>
        <v>0</v>
      </c>
      <c r="AE61" s="13">
        <f t="shared" si="7"/>
        <v>0</v>
      </c>
    </row>
    <row r="62" spans="2:31" x14ac:dyDescent="0.25">
      <c r="B62" s="4"/>
      <c r="E62" s="3"/>
      <c r="F62" s="3"/>
      <c r="G62" s="24"/>
      <c r="H62" s="24"/>
      <c r="K62" s="4"/>
      <c r="L62" s="4"/>
      <c r="M62" s="4"/>
      <c r="N62" s="4"/>
      <c r="O62" s="4"/>
      <c r="P62" s="27"/>
      <c r="Q62" s="25"/>
      <c r="R62" s="25"/>
      <c r="S62" s="12">
        <f t="shared" si="10"/>
        <v>0</v>
      </c>
      <c r="T62" s="5">
        <v>0</v>
      </c>
      <c r="U62" s="12">
        <f t="shared" si="11"/>
        <v>0</v>
      </c>
      <c r="V62" s="25" t="s">
        <v>10</v>
      </c>
      <c r="W62" s="11">
        <f>IFERROR(VLOOKUP(V62,Curr!$B$2:$C$13,2,FALSE),0)</f>
        <v>11.2</v>
      </c>
      <c r="X62" s="12">
        <f t="shared" si="12"/>
        <v>0</v>
      </c>
      <c r="Y62" s="26">
        <f t="shared" si="13"/>
        <v>0</v>
      </c>
      <c r="Z62" s="12">
        <f t="shared" si="4"/>
        <v>0</v>
      </c>
      <c r="AA62" s="4" t="s">
        <v>10</v>
      </c>
      <c r="AB62" s="11">
        <f>IFERROR(VLOOKUP(AA62,Curr!$B$2:$C$13,2,FALSE),0)</f>
        <v>11.2</v>
      </c>
      <c r="AC62" s="12">
        <f t="shared" si="5"/>
        <v>0</v>
      </c>
      <c r="AD62" s="12">
        <f t="shared" si="6"/>
        <v>0</v>
      </c>
      <c r="AE62" s="13">
        <f t="shared" si="7"/>
        <v>0</v>
      </c>
    </row>
    <row r="63" spans="2:31" x14ac:dyDescent="0.25">
      <c r="B63" s="4"/>
      <c r="C63" s="1" t="s">
        <v>55</v>
      </c>
      <c r="D63" s="1" t="s">
        <v>93</v>
      </c>
      <c r="E63" s="3"/>
      <c r="F63" s="3"/>
      <c r="G63" s="24"/>
      <c r="H63" s="24"/>
      <c r="J63" s="1" t="s">
        <v>95</v>
      </c>
      <c r="K63" s="4"/>
      <c r="L63" s="4"/>
      <c r="M63" s="4"/>
      <c r="N63" s="4"/>
      <c r="O63" s="4"/>
      <c r="P63" s="33"/>
      <c r="Q63" s="25">
        <v>1750</v>
      </c>
      <c r="R63" s="25">
        <v>0</v>
      </c>
      <c r="S63" s="12">
        <f t="shared" si="10"/>
        <v>0</v>
      </c>
      <c r="T63" s="5">
        <v>0</v>
      </c>
      <c r="U63" s="12">
        <f t="shared" si="11"/>
        <v>0</v>
      </c>
      <c r="V63" s="25" t="s">
        <v>8</v>
      </c>
      <c r="W63" s="11">
        <f>IFERROR(VLOOKUP(V63,Curr!$B$2:$C$13,2,FALSE),0)</f>
        <v>1</v>
      </c>
      <c r="X63" s="12">
        <f t="shared" si="12"/>
        <v>0</v>
      </c>
      <c r="Y63" s="26">
        <f>Q63/11.3/0.8</f>
        <v>193.58407079646017</v>
      </c>
      <c r="Z63" s="12">
        <f t="shared" si="4"/>
        <v>0</v>
      </c>
      <c r="AA63" s="4" t="s">
        <v>10</v>
      </c>
      <c r="AB63" s="11">
        <f>IFERROR(VLOOKUP(AA63,Curr!$B$2:$C$13,2,FALSE),0)</f>
        <v>11.2</v>
      </c>
      <c r="AC63" s="12">
        <f t="shared" si="5"/>
        <v>0</v>
      </c>
      <c r="AD63" s="12">
        <f t="shared" si="6"/>
        <v>0</v>
      </c>
      <c r="AE63" s="13">
        <f t="shared" si="7"/>
        <v>0</v>
      </c>
    </row>
    <row r="64" spans="2:31" x14ac:dyDescent="0.25">
      <c r="B64" s="4"/>
      <c r="C64" s="1" t="s">
        <v>63</v>
      </c>
      <c r="D64" s="1" t="s">
        <v>93</v>
      </c>
      <c r="E64" s="3"/>
      <c r="F64" s="3"/>
      <c r="G64" s="24"/>
      <c r="H64" s="24"/>
      <c r="J64" s="1" t="s">
        <v>96</v>
      </c>
      <c r="K64" s="4"/>
      <c r="L64" s="4"/>
      <c r="M64" s="4"/>
      <c r="N64" s="4"/>
      <c r="O64" s="4"/>
      <c r="P64" s="27"/>
      <c r="Q64" s="25">
        <v>1290</v>
      </c>
      <c r="R64" s="25">
        <v>0</v>
      </c>
      <c r="S64" s="12">
        <f t="shared" si="10"/>
        <v>0</v>
      </c>
      <c r="T64" s="5">
        <v>0.15</v>
      </c>
      <c r="U64" s="12">
        <f t="shared" si="11"/>
        <v>0</v>
      </c>
      <c r="V64" s="25" t="s">
        <v>8</v>
      </c>
      <c r="W64" s="11">
        <f>IFERROR(VLOOKUP(V64,Curr!$B$2:$C$13,2,FALSE),0)</f>
        <v>1</v>
      </c>
      <c r="X64" s="12">
        <f t="shared" si="12"/>
        <v>0</v>
      </c>
      <c r="Y64" s="26">
        <f>Q64/11.3/0.98</f>
        <v>116.48907350550839</v>
      </c>
      <c r="Z64" s="12">
        <f t="shared" si="4"/>
        <v>0</v>
      </c>
      <c r="AA64" s="4" t="s">
        <v>10</v>
      </c>
      <c r="AB64" s="11">
        <f>IFERROR(VLOOKUP(AA64,Curr!$B$2:$C$13,2,FALSE),0)</f>
        <v>11.2</v>
      </c>
      <c r="AC64" s="12">
        <f t="shared" si="5"/>
        <v>0</v>
      </c>
      <c r="AD64" s="12">
        <f t="shared" si="6"/>
        <v>0</v>
      </c>
      <c r="AE64" s="13">
        <f t="shared" si="7"/>
        <v>0</v>
      </c>
    </row>
    <row r="65" spans="2:31" x14ac:dyDescent="0.25">
      <c r="B65" s="4"/>
      <c r="C65" s="1" t="s">
        <v>78</v>
      </c>
      <c r="D65" s="1" t="s">
        <v>93</v>
      </c>
      <c r="E65" s="3"/>
      <c r="F65" s="3"/>
      <c r="G65" s="24"/>
      <c r="H65" s="24"/>
      <c r="J65" s="1" t="s">
        <v>97</v>
      </c>
      <c r="K65" s="4"/>
      <c r="L65" s="4"/>
      <c r="M65" s="4"/>
      <c r="N65" s="4"/>
      <c r="O65" s="4"/>
      <c r="P65" s="33"/>
      <c r="Q65" s="25">
        <v>1690</v>
      </c>
      <c r="R65" s="25">
        <v>0</v>
      </c>
      <c r="S65" s="12">
        <f t="shared" si="10"/>
        <v>0</v>
      </c>
      <c r="T65" s="5">
        <v>0.15</v>
      </c>
      <c r="U65" s="12">
        <f t="shared" si="11"/>
        <v>0</v>
      </c>
      <c r="V65" s="25" t="s">
        <v>8</v>
      </c>
      <c r="W65" s="11">
        <f>IFERROR(VLOOKUP(V65,Curr!$B$2:$C$13,2,FALSE),0)</f>
        <v>1</v>
      </c>
      <c r="X65" s="12">
        <f t="shared" si="12"/>
        <v>0</v>
      </c>
      <c r="Y65" s="26">
        <f>Q65/11.3/0.98</f>
        <v>152.60971645295285</v>
      </c>
      <c r="Z65" s="12">
        <f t="shared" si="4"/>
        <v>0</v>
      </c>
      <c r="AA65" s="4" t="s">
        <v>10</v>
      </c>
      <c r="AB65" s="11">
        <f>IFERROR(VLOOKUP(AA65,Curr!$B$2:$C$13,2,FALSE),0)</f>
        <v>11.2</v>
      </c>
      <c r="AC65" s="12">
        <f t="shared" si="5"/>
        <v>0</v>
      </c>
      <c r="AD65" s="12">
        <f t="shared" si="6"/>
        <v>0</v>
      </c>
      <c r="AE65" s="13">
        <f t="shared" si="7"/>
        <v>0</v>
      </c>
    </row>
    <row r="66" spans="2:31" x14ac:dyDescent="0.25">
      <c r="B66" s="4"/>
      <c r="C66" s="1" t="s">
        <v>78</v>
      </c>
      <c r="D66" s="1" t="s">
        <v>93</v>
      </c>
      <c r="E66" s="3"/>
      <c r="F66" s="3"/>
      <c r="G66" s="24"/>
      <c r="H66" s="24"/>
      <c r="J66" s="1" t="s">
        <v>150</v>
      </c>
      <c r="K66" s="4"/>
      <c r="L66" s="4"/>
      <c r="M66" s="4"/>
      <c r="N66" s="4"/>
      <c r="O66" s="4"/>
      <c r="P66" s="27"/>
      <c r="Q66" s="25">
        <v>900</v>
      </c>
      <c r="R66" s="25">
        <v>0</v>
      </c>
      <c r="S66" s="12">
        <f t="shared" si="10"/>
        <v>0</v>
      </c>
      <c r="T66" s="5">
        <v>0</v>
      </c>
      <c r="U66" s="12">
        <f t="shared" si="11"/>
        <v>0</v>
      </c>
      <c r="V66" s="25" t="s">
        <v>8</v>
      </c>
      <c r="W66" s="11">
        <f>IFERROR(VLOOKUP(V66,Curr!$B$2:$C$13,2,FALSE),0)</f>
        <v>1</v>
      </c>
      <c r="X66" s="12">
        <f t="shared" si="12"/>
        <v>0</v>
      </c>
      <c r="Y66" s="26">
        <f t="shared" ref="Y66:Y67" si="15">Q66/11.3/0.8</f>
        <v>99.55752212389379</v>
      </c>
      <c r="Z66" s="12">
        <f t="shared" si="4"/>
        <v>0</v>
      </c>
      <c r="AA66" s="4" t="s">
        <v>10</v>
      </c>
      <c r="AB66" s="11">
        <f>IFERROR(VLOOKUP(AA66,Curr!$B$2:$C$13,2,FALSE),0)</f>
        <v>11.2</v>
      </c>
      <c r="AC66" s="12">
        <f t="shared" si="5"/>
        <v>0</v>
      </c>
      <c r="AD66" s="12">
        <f t="shared" si="6"/>
        <v>0</v>
      </c>
      <c r="AE66" s="13">
        <f t="shared" si="7"/>
        <v>0</v>
      </c>
    </row>
    <row r="67" spans="2:31" x14ac:dyDescent="0.25">
      <c r="B67" s="4"/>
      <c r="C67" s="1" t="s">
        <v>81</v>
      </c>
      <c r="D67" s="1" t="s">
        <v>93</v>
      </c>
      <c r="E67" s="3"/>
      <c r="F67" s="3"/>
      <c r="G67" s="24"/>
      <c r="H67" s="24"/>
      <c r="J67" s="1" t="s">
        <v>151</v>
      </c>
      <c r="K67" s="4"/>
      <c r="L67" s="4"/>
      <c r="M67" s="4"/>
      <c r="N67" s="4"/>
      <c r="O67" s="4"/>
      <c r="P67" s="33"/>
      <c r="Q67" s="25">
        <v>900</v>
      </c>
      <c r="R67" s="25">
        <v>0</v>
      </c>
      <c r="S67" s="12">
        <f t="shared" si="10"/>
        <v>0</v>
      </c>
      <c r="T67" s="5">
        <v>0</v>
      </c>
      <c r="U67" s="12">
        <f t="shared" si="11"/>
        <v>0</v>
      </c>
      <c r="V67" s="25" t="s">
        <v>8</v>
      </c>
      <c r="W67" s="11">
        <f>IFERROR(VLOOKUP(V67,Curr!$B$2:$C$13,2,FALSE),0)</f>
        <v>1</v>
      </c>
      <c r="X67" s="12">
        <f t="shared" si="12"/>
        <v>0</v>
      </c>
      <c r="Y67" s="26">
        <f t="shared" si="15"/>
        <v>99.55752212389379</v>
      </c>
      <c r="Z67" s="12">
        <f t="shared" si="4"/>
        <v>0</v>
      </c>
      <c r="AA67" s="4" t="s">
        <v>10</v>
      </c>
      <c r="AB67" s="11">
        <f>IFERROR(VLOOKUP(AA67,Curr!$B$2:$C$13,2,FALSE),0)</f>
        <v>11.2</v>
      </c>
      <c r="AC67" s="12">
        <f t="shared" si="5"/>
        <v>0</v>
      </c>
      <c r="AD67" s="12">
        <f t="shared" si="6"/>
        <v>0</v>
      </c>
      <c r="AE67" s="13">
        <f t="shared" si="7"/>
        <v>0</v>
      </c>
    </row>
    <row r="68" spans="2:31" x14ac:dyDescent="0.25">
      <c r="B68" s="4"/>
      <c r="C68" s="1" t="s">
        <v>186</v>
      </c>
      <c r="D68" s="1" t="s">
        <v>93</v>
      </c>
      <c r="E68" s="3"/>
      <c r="F68" s="3"/>
      <c r="G68" s="24"/>
      <c r="H68" s="24"/>
      <c r="J68" s="1" t="s">
        <v>95</v>
      </c>
      <c r="K68" s="4"/>
      <c r="L68" s="4"/>
      <c r="M68" s="4"/>
      <c r="N68" s="4"/>
      <c r="O68" s="4"/>
      <c r="P68" s="27"/>
      <c r="Q68" s="25">
        <v>1750</v>
      </c>
      <c r="R68" s="25">
        <v>0</v>
      </c>
      <c r="S68" s="12">
        <f t="shared" ref="S68:S69" si="16">+Q68*R68</f>
        <v>0</v>
      </c>
      <c r="T68" s="5">
        <v>0</v>
      </c>
      <c r="U68" s="12">
        <f t="shared" ref="U68:U69" si="17">S68*(1-T68)</f>
        <v>0</v>
      </c>
      <c r="V68" s="25" t="s">
        <v>8</v>
      </c>
      <c r="W68" s="11">
        <f>IFERROR(VLOOKUP(V68,Curr!$B$2:$C$13,2,FALSE),0)</f>
        <v>1</v>
      </c>
      <c r="X68" s="12">
        <f t="shared" ref="X68:X69" si="18">U68*W68</f>
        <v>0</v>
      </c>
      <c r="Y68" s="26">
        <f>Q68/11.3/0.8</f>
        <v>193.58407079646017</v>
      </c>
      <c r="Z68" s="12">
        <f t="shared" si="4"/>
        <v>0</v>
      </c>
      <c r="AA68" s="4" t="s">
        <v>10</v>
      </c>
      <c r="AB68" s="11">
        <f>IFERROR(VLOOKUP(AA68,Curr!$B$2:$C$13,2,FALSE),0)</f>
        <v>11.2</v>
      </c>
      <c r="AC68" s="12">
        <f t="shared" si="5"/>
        <v>0</v>
      </c>
      <c r="AD68" s="12">
        <f t="shared" si="6"/>
        <v>0</v>
      </c>
      <c r="AE68" s="13">
        <f t="shared" si="7"/>
        <v>0</v>
      </c>
    </row>
    <row r="69" spans="2:31" x14ac:dyDescent="0.25">
      <c r="B69" s="4"/>
      <c r="C69" s="1" t="s">
        <v>193</v>
      </c>
      <c r="D69" s="1" t="s">
        <v>93</v>
      </c>
      <c r="E69" s="3"/>
      <c r="F69" s="3"/>
      <c r="G69" s="24"/>
      <c r="H69" s="24"/>
      <c r="J69" s="1" t="s">
        <v>196</v>
      </c>
      <c r="K69" s="4"/>
      <c r="L69" s="4"/>
      <c r="M69" s="4"/>
      <c r="N69" s="4"/>
      <c r="O69" s="4"/>
      <c r="P69" s="27"/>
      <c r="Q69" s="25">
        <v>1750</v>
      </c>
      <c r="R69" s="25">
        <v>0</v>
      </c>
      <c r="S69" s="12">
        <f t="shared" si="16"/>
        <v>0</v>
      </c>
      <c r="T69" s="5">
        <v>0</v>
      </c>
      <c r="U69" s="12">
        <f t="shared" si="17"/>
        <v>0</v>
      </c>
      <c r="V69" s="25" t="s">
        <v>8</v>
      </c>
      <c r="W69" s="11">
        <f>IFERROR(VLOOKUP(V69,Curr!$B$2:$C$13,2,FALSE),0)</f>
        <v>1</v>
      </c>
      <c r="X69" s="12">
        <f t="shared" si="18"/>
        <v>0</v>
      </c>
      <c r="Y69" s="26">
        <f>Q69/11.3/0.8</f>
        <v>193.58407079646017</v>
      </c>
      <c r="Z69" s="12">
        <f t="shared" si="4"/>
        <v>0</v>
      </c>
      <c r="AA69" s="4" t="s">
        <v>10</v>
      </c>
      <c r="AB69" s="11">
        <f>IFERROR(VLOOKUP(AA69,Curr!$B$2:$C$13,2,FALSE),0)</f>
        <v>11.2</v>
      </c>
      <c r="AC69" s="12">
        <f t="shared" si="5"/>
        <v>0</v>
      </c>
      <c r="AD69" s="12">
        <f t="shared" si="6"/>
        <v>0</v>
      </c>
      <c r="AE69" s="13">
        <f t="shared" si="7"/>
        <v>0</v>
      </c>
    </row>
    <row r="70" spans="2:31" x14ac:dyDescent="0.25">
      <c r="B70" s="4"/>
      <c r="E70" s="3"/>
      <c r="F70" s="3"/>
      <c r="G70" s="24"/>
      <c r="H70" s="24"/>
      <c r="K70" s="4"/>
      <c r="L70" s="4"/>
      <c r="M70" s="4"/>
      <c r="N70" s="4"/>
      <c r="O70" s="4"/>
      <c r="P70" s="27"/>
      <c r="Q70" s="25"/>
      <c r="R70" s="25"/>
      <c r="S70" s="12">
        <f t="shared" si="10"/>
        <v>0</v>
      </c>
      <c r="T70" s="5">
        <v>0</v>
      </c>
      <c r="U70" s="12">
        <f t="shared" si="11"/>
        <v>0</v>
      </c>
      <c r="V70" s="25" t="s">
        <v>10</v>
      </c>
      <c r="W70" s="11">
        <f>IFERROR(VLOOKUP(V70,Curr!$B$2:$C$13,2,FALSE),0)</f>
        <v>11.2</v>
      </c>
      <c r="X70" s="12">
        <f t="shared" si="12"/>
        <v>0</v>
      </c>
      <c r="Y70" s="26">
        <f t="shared" ref="Y70:Y82" si="19">Q70</f>
        <v>0</v>
      </c>
      <c r="Z70" s="12">
        <f t="shared" si="4"/>
        <v>0</v>
      </c>
      <c r="AA70" s="4" t="s">
        <v>10</v>
      </c>
      <c r="AB70" s="11">
        <f>IFERROR(VLOOKUP(AA70,Curr!$B$2:$C$13,2,FALSE),0)</f>
        <v>11.2</v>
      </c>
      <c r="AC70" s="12">
        <f t="shared" si="5"/>
        <v>0</v>
      </c>
      <c r="AD70" s="12">
        <f t="shared" si="6"/>
        <v>0</v>
      </c>
      <c r="AE70" s="13">
        <f t="shared" si="7"/>
        <v>0</v>
      </c>
    </row>
    <row r="71" spans="2:31" x14ac:dyDescent="0.25">
      <c r="B71" s="4"/>
      <c r="E71" s="3"/>
      <c r="F71" s="3"/>
      <c r="G71" s="24"/>
      <c r="H71" s="24"/>
      <c r="K71" s="4"/>
      <c r="L71" s="4"/>
      <c r="M71" s="4"/>
      <c r="N71" s="4"/>
      <c r="O71" s="4"/>
      <c r="P71" s="27"/>
      <c r="Q71" s="25"/>
      <c r="R71" s="25"/>
      <c r="S71" s="12">
        <f t="shared" ref="S71:S82" si="20">+Q71*R71</f>
        <v>0</v>
      </c>
      <c r="T71" s="5">
        <v>0</v>
      </c>
      <c r="U71" s="12">
        <f t="shared" ref="U71:U82" si="21">S71*(1-T71)</f>
        <v>0</v>
      </c>
      <c r="V71" s="25" t="s">
        <v>10</v>
      </c>
      <c r="W71" s="11">
        <f>IFERROR(VLOOKUP(V71,Curr!$B$2:$C$13,2,FALSE),0)</f>
        <v>11.2</v>
      </c>
      <c r="X71" s="12">
        <f t="shared" ref="X71:X82" si="22">U71*W71</f>
        <v>0</v>
      </c>
      <c r="Y71" s="26">
        <f t="shared" si="19"/>
        <v>0</v>
      </c>
      <c r="Z71" s="12">
        <f t="shared" ref="Z71:Z82" si="23">+Y71*R71</f>
        <v>0</v>
      </c>
      <c r="AA71" s="4" t="s">
        <v>10</v>
      </c>
      <c r="AB71" s="11">
        <f>IFERROR(VLOOKUP(AA71,Curr!$B$2:$C$13,2,FALSE),0)</f>
        <v>11.2</v>
      </c>
      <c r="AC71" s="12">
        <f t="shared" ref="AC71:AC82" si="24">+Y71*AB71*R71</f>
        <v>0</v>
      </c>
      <c r="AD71" s="12">
        <f t="shared" ref="AD71:AD82" si="25">+AC71-X71</f>
        <v>0</v>
      </c>
      <c r="AE71" s="13">
        <f t="shared" ref="AE71:AE82" si="26">IFERROR(AD71/AC71,0)</f>
        <v>0</v>
      </c>
    </row>
    <row r="72" spans="2:31" x14ac:dyDescent="0.25">
      <c r="B72" s="4"/>
      <c r="C72" s="1" t="s">
        <v>63</v>
      </c>
      <c r="D72" s="1" t="s">
        <v>94</v>
      </c>
      <c r="E72" s="3"/>
      <c r="F72" s="3"/>
      <c r="G72" s="24"/>
      <c r="H72" s="24"/>
      <c r="J72" s="1" t="s">
        <v>101</v>
      </c>
      <c r="K72" s="4"/>
      <c r="L72" s="4"/>
      <c r="M72" s="4"/>
      <c r="N72" s="4"/>
      <c r="O72" s="4" t="s">
        <v>42</v>
      </c>
      <c r="P72" s="33" t="s">
        <v>100</v>
      </c>
      <c r="Q72" s="25">
        <v>3250</v>
      </c>
      <c r="R72" s="25">
        <v>0</v>
      </c>
      <c r="S72" s="12">
        <f t="shared" si="20"/>
        <v>0</v>
      </c>
      <c r="T72" s="5">
        <v>0.08</v>
      </c>
      <c r="U72" s="12">
        <f t="shared" si="21"/>
        <v>0</v>
      </c>
      <c r="V72" s="25" t="s">
        <v>8</v>
      </c>
      <c r="W72" s="11">
        <f>IFERROR(VLOOKUP(V72,Curr!$B$2:$C$13,2,FALSE),0)</f>
        <v>1</v>
      </c>
      <c r="X72" s="12">
        <f t="shared" si="22"/>
        <v>0</v>
      </c>
      <c r="Y72" s="26">
        <f>Q72/11.3/0.9</f>
        <v>319.56735496558503</v>
      </c>
      <c r="Z72" s="12">
        <f t="shared" si="23"/>
        <v>0</v>
      </c>
      <c r="AA72" s="4" t="s">
        <v>10</v>
      </c>
      <c r="AB72" s="11">
        <f>IFERROR(VLOOKUP(AA72,Curr!$B$2:$C$13,2,FALSE),0)</f>
        <v>11.2</v>
      </c>
      <c r="AC72" s="12">
        <f t="shared" si="24"/>
        <v>0</v>
      </c>
      <c r="AD72" s="12">
        <f t="shared" si="25"/>
        <v>0</v>
      </c>
      <c r="AE72" s="13">
        <f t="shared" si="26"/>
        <v>0</v>
      </c>
    </row>
    <row r="73" spans="2:31" x14ac:dyDescent="0.25">
      <c r="B73" s="4"/>
      <c r="C73" s="1" t="s">
        <v>63</v>
      </c>
      <c r="D73" s="1" t="s">
        <v>94</v>
      </c>
      <c r="E73" s="3"/>
      <c r="F73" s="3"/>
      <c r="G73" s="24"/>
      <c r="H73" s="24"/>
      <c r="J73" s="1" t="s">
        <v>105</v>
      </c>
      <c r="K73" s="4"/>
      <c r="L73" s="4"/>
      <c r="M73" s="4"/>
      <c r="N73" s="4"/>
      <c r="O73" s="4"/>
      <c r="P73" s="33"/>
      <c r="Q73" s="25">
        <v>450</v>
      </c>
      <c r="R73" s="25">
        <v>0</v>
      </c>
      <c r="S73" s="12">
        <f t="shared" si="20"/>
        <v>0</v>
      </c>
      <c r="T73" s="5">
        <v>0</v>
      </c>
      <c r="U73" s="12">
        <f t="shared" si="21"/>
        <v>0</v>
      </c>
      <c r="V73" s="25" t="s">
        <v>8</v>
      </c>
      <c r="W73" s="11">
        <f>IFERROR(VLOOKUP(V73,Curr!$B$2:$C$13,2,FALSE),0)</f>
        <v>1</v>
      </c>
      <c r="X73" s="12">
        <f t="shared" si="22"/>
        <v>0</v>
      </c>
      <c r="Y73" s="26">
        <f>Q73/11.3/0.8</f>
        <v>49.778761061946895</v>
      </c>
      <c r="Z73" s="12">
        <f t="shared" si="23"/>
        <v>0</v>
      </c>
      <c r="AA73" s="4" t="s">
        <v>10</v>
      </c>
      <c r="AB73" s="11">
        <f>IFERROR(VLOOKUP(AA73,Curr!$B$2:$C$13,2,FALSE),0)</f>
        <v>11.2</v>
      </c>
      <c r="AC73" s="12">
        <f t="shared" si="24"/>
        <v>0</v>
      </c>
      <c r="AD73" s="12">
        <f t="shared" si="25"/>
        <v>0</v>
      </c>
      <c r="AE73" s="13">
        <f t="shared" si="26"/>
        <v>0</v>
      </c>
    </row>
    <row r="74" spans="2:31" x14ac:dyDescent="0.25">
      <c r="B74" s="4"/>
      <c r="C74" s="1" t="s">
        <v>69</v>
      </c>
      <c r="D74" s="1" t="s">
        <v>94</v>
      </c>
      <c r="E74" s="3"/>
      <c r="F74" s="3"/>
      <c r="G74" s="24"/>
      <c r="H74" s="24"/>
      <c r="J74" s="1" t="s">
        <v>106</v>
      </c>
      <c r="K74" s="4"/>
      <c r="L74" s="4"/>
      <c r="M74" s="4"/>
      <c r="N74" s="4"/>
      <c r="O74" s="4" t="s">
        <v>42</v>
      </c>
      <c r="P74" s="33" t="s">
        <v>107</v>
      </c>
      <c r="Q74" s="25">
        <v>71</v>
      </c>
      <c r="R74" s="25">
        <v>0</v>
      </c>
      <c r="S74" s="12">
        <f t="shared" si="20"/>
        <v>0</v>
      </c>
      <c r="T74" s="5">
        <v>0.2</v>
      </c>
      <c r="U74" s="12">
        <f t="shared" si="21"/>
        <v>0</v>
      </c>
      <c r="V74" s="25" t="s">
        <v>10</v>
      </c>
      <c r="W74" s="11">
        <f>IFERROR(VLOOKUP(V74,Curr!$B$2:$C$13,2,FALSE),0)</f>
        <v>11.2</v>
      </c>
      <c r="X74" s="12">
        <f t="shared" si="22"/>
        <v>0</v>
      </c>
      <c r="Y74" s="26">
        <f t="shared" ref="Y74:Y75" si="27">Q74</f>
        <v>71</v>
      </c>
      <c r="Z74" s="12">
        <f t="shared" si="23"/>
        <v>0</v>
      </c>
      <c r="AA74" s="4" t="s">
        <v>10</v>
      </c>
      <c r="AB74" s="11">
        <f>IFERROR(VLOOKUP(AA74,Curr!$B$2:$C$13,2,FALSE),0)</f>
        <v>11.2</v>
      </c>
      <c r="AC74" s="12">
        <f t="shared" si="24"/>
        <v>0</v>
      </c>
      <c r="AD74" s="12">
        <f t="shared" si="25"/>
        <v>0</v>
      </c>
      <c r="AE74" s="13">
        <f t="shared" si="26"/>
        <v>0</v>
      </c>
    </row>
    <row r="75" spans="2:31" x14ac:dyDescent="0.25">
      <c r="B75" s="4"/>
      <c r="C75" s="1" t="s">
        <v>80</v>
      </c>
      <c r="D75" s="1" t="s">
        <v>94</v>
      </c>
      <c r="E75" s="3"/>
      <c r="F75" s="3"/>
      <c r="G75" s="24"/>
      <c r="H75" s="24"/>
      <c r="J75" s="1" t="s">
        <v>187</v>
      </c>
      <c r="K75" s="4"/>
      <c r="L75" s="4"/>
      <c r="M75" s="4"/>
      <c r="N75" s="4"/>
      <c r="O75" s="4"/>
      <c r="P75" s="33" t="s">
        <v>197</v>
      </c>
      <c r="Q75" s="25">
        <v>120</v>
      </c>
      <c r="R75" s="25">
        <v>0</v>
      </c>
      <c r="S75" s="12">
        <f t="shared" si="20"/>
        <v>0</v>
      </c>
      <c r="T75" s="5">
        <v>0.2</v>
      </c>
      <c r="U75" s="12">
        <f t="shared" si="21"/>
        <v>0</v>
      </c>
      <c r="V75" s="25" t="s">
        <v>10</v>
      </c>
      <c r="W75" s="11">
        <f>IFERROR(VLOOKUP(V75,Curr!$B$2:$C$13,2,FALSE),0)</f>
        <v>11.2</v>
      </c>
      <c r="X75" s="12">
        <f t="shared" si="22"/>
        <v>0</v>
      </c>
      <c r="Y75" s="26">
        <f t="shared" si="27"/>
        <v>120</v>
      </c>
      <c r="Z75" s="12">
        <f t="shared" si="23"/>
        <v>0</v>
      </c>
      <c r="AA75" s="4" t="s">
        <v>10</v>
      </c>
      <c r="AB75" s="11">
        <f>IFERROR(VLOOKUP(AA75,Curr!$B$2:$C$13,2,FALSE),0)</f>
        <v>11.2</v>
      </c>
      <c r="AC75" s="12">
        <f t="shared" si="24"/>
        <v>0</v>
      </c>
      <c r="AD75" s="12">
        <f t="shared" si="25"/>
        <v>0</v>
      </c>
      <c r="AE75" s="13">
        <f t="shared" si="26"/>
        <v>0</v>
      </c>
    </row>
    <row r="76" spans="2:31" x14ac:dyDescent="0.25">
      <c r="B76" s="4"/>
      <c r="E76" s="3"/>
      <c r="F76" s="3"/>
      <c r="G76" s="24"/>
      <c r="H76" s="24"/>
      <c r="K76" s="4"/>
      <c r="L76" s="4"/>
      <c r="M76" s="4"/>
      <c r="N76" s="4"/>
      <c r="O76" s="4"/>
      <c r="P76" s="27"/>
      <c r="Q76" s="25"/>
      <c r="R76" s="25"/>
      <c r="S76" s="12">
        <f t="shared" si="20"/>
        <v>0</v>
      </c>
      <c r="T76" s="5">
        <v>0</v>
      </c>
      <c r="U76" s="12">
        <f t="shared" si="21"/>
        <v>0</v>
      </c>
      <c r="V76" s="25" t="s">
        <v>10</v>
      </c>
      <c r="W76" s="11">
        <f>IFERROR(VLOOKUP(V76,Curr!$B$2:$C$13,2,FALSE),0)</f>
        <v>11.2</v>
      </c>
      <c r="X76" s="12">
        <f t="shared" si="22"/>
        <v>0</v>
      </c>
      <c r="Y76" s="26">
        <f t="shared" si="19"/>
        <v>0</v>
      </c>
      <c r="Z76" s="12">
        <f t="shared" si="23"/>
        <v>0</v>
      </c>
      <c r="AA76" s="4" t="s">
        <v>10</v>
      </c>
      <c r="AB76" s="11">
        <f>IFERROR(VLOOKUP(AA76,Curr!$B$2:$C$13,2,FALSE),0)</f>
        <v>11.2</v>
      </c>
      <c r="AC76" s="12">
        <f t="shared" si="24"/>
        <v>0</v>
      </c>
      <c r="AD76" s="12">
        <f t="shared" si="25"/>
        <v>0</v>
      </c>
      <c r="AE76" s="13">
        <f t="shared" si="26"/>
        <v>0</v>
      </c>
    </row>
    <row r="77" spans="2:31" x14ac:dyDescent="0.25">
      <c r="B77" s="4"/>
      <c r="E77" s="3"/>
      <c r="F77" s="3"/>
      <c r="G77" s="24"/>
      <c r="H77" s="24"/>
      <c r="K77" s="4"/>
      <c r="L77" s="4"/>
      <c r="M77" s="4"/>
      <c r="N77" s="4"/>
      <c r="O77" s="4"/>
      <c r="P77" s="27"/>
      <c r="Q77" s="25"/>
      <c r="R77" s="25"/>
      <c r="S77" s="12">
        <f t="shared" si="20"/>
        <v>0</v>
      </c>
      <c r="T77" s="5">
        <v>0</v>
      </c>
      <c r="U77" s="12">
        <f t="shared" si="21"/>
        <v>0</v>
      </c>
      <c r="V77" s="25" t="s">
        <v>10</v>
      </c>
      <c r="W77" s="11">
        <f>IFERROR(VLOOKUP(V77,Curr!$B$2:$C$13,2,FALSE),0)</f>
        <v>11.2</v>
      </c>
      <c r="X77" s="12">
        <f t="shared" si="22"/>
        <v>0</v>
      </c>
      <c r="Y77" s="26">
        <f t="shared" si="19"/>
        <v>0</v>
      </c>
      <c r="Z77" s="12">
        <f t="shared" si="23"/>
        <v>0</v>
      </c>
      <c r="AA77" s="4" t="s">
        <v>10</v>
      </c>
      <c r="AB77" s="11">
        <f>IFERROR(VLOOKUP(AA77,Curr!$B$2:$C$13,2,FALSE),0)</f>
        <v>11.2</v>
      </c>
      <c r="AC77" s="12">
        <f t="shared" si="24"/>
        <v>0</v>
      </c>
      <c r="AD77" s="12">
        <f t="shared" si="25"/>
        <v>0</v>
      </c>
      <c r="AE77" s="13">
        <f t="shared" si="26"/>
        <v>0</v>
      </c>
    </row>
    <row r="78" spans="2:31" x14ac:dyDescent="0.25">
      <c r="B78" s="4"/>
      <c r="E78" s="3"/>
      <c r="F78" s="3"/>
      <c r="G78" s="24"/>
      <c r="H78" s="24"/>
      <c r="K78" s="4"/>
      <c r="L78" s="4"/>
      <c r="M78" s="4"/>
      <c r="N78" s="4"/>
      <c r="O78" s="4"/>
      <c r="P78" s="27"/>
      <c r="Q78" s="25"/>
      <c r="R78" s="25"/>
      <c r="S78" s="12">
        <f t="shared" si="20"/>
        <v>0</v>
      </c>
      <c r="T78" s="5">
        <v>0</v>
      </c>
      <c r="U78" s="12">
        <f t="shared" si="21"/>
        <v>0</v>
      </c>
      <c r="V78" s="25" t="s">
        <v>10</v>
      </c>
      <c r="W78" s="11">
        <f>IFERROR(VLOOKUP(V78,Curr!$B$2:$C$13,2,FALSE),0)</f>
        <v>11.2</v>
      </c>
      <c r="X78" s="12">
        <f t="shared" si="22"/>
        <v>0</v>
      </c>
      <c r="Y78" s="26">
        <f t="shared" si="19"/>
        <v>0</v>
      </c>
      <c r="Z78" s="12">
        <f t="shared" si="23"/>
        <v>0</v>
      </c>
      <c r="AA78" s="4" t="s">
        <v>10</v>
      </c>
      <c r="AB78" s="11">
        <f>IFERROR(VLOOKUP(AA78,Curr!$B$2:$C$13,2,FALSE),0)</f>
        <v>11.2</v>
      </c>
      <c r="AC78" s="12">
        <f t="shared" si="24"/>
        <v>0</v>
      </c>
      <c r="AD78" s="12">
        <f t="shared" si="25"/>
        <v>0</v>
      </c>
      <c r="AE78" s="13">
        <f t="shared" si="26"/>
        <v>0</v>
      </c>
    </row>
    <row r="79" spans="2:31" x14ac:dyDescent="0.25">
      <c r="B79" s="4"/>
      <c r="E79" s="3"/>
      <c r="F79" s="3"/>
      <c r="G79" s="24"/>
      <c r="H79" s="24"/>
      <c r="K79" s="4"/>
      <c r="L79" s="4"/>
      <c r="M79" s="4"/>
      <c r="N79" s="4"/>
      <c r="O79" s="4"/>
      <c r="P79" s="27"/>
      <c r="Q79" s="25"/>
      <c r="R79" s="25"/>
      <c r="S79" s="12">
        <f t="shared" si="20"/>
        <v>0</v>
      </c>
      <c r="T79" s="5">
        <v>0</v>
      </c>
      <c r="U79" s="12">
        <f t="shared" si="21"/>
        <v>0</v>
      </c>
      <c r="V79" s="25" t="s">
        <v>10</v>
      </c>
      <c r="W79" s="11">
        <f>IFERROR(VLOOKUP(V79,Curr!$B$2:$C$13,2,FALSE),0)</f>
        <v>11.2</v>
      </c>
      <c r="X79" s="12">
        <f t="shared" si="22"/>
        <v>0</v>
      </c>
      <c r="Y79" s="26">
        <f t="shared" si="19"/>
        <v>0</v>
      </c>
      <c r="Z79" s="12">
        <f t="shared" si="23"/>
        <v>0</v>
      </c>
      <c r="AA79" s="4" t="s">
        <v>10</v>
      </c>
      <c r="AB79" s="11">
        <f>IFERROR(VLOOKUP(AA79,Curr!$B$2:$C$13,2,FALSE),0)</f>
        <v>11.2</v>
      </c>
      <c r="AC79" s="12">
        <f t="shared" si="24"/>
        <v>0</v>
      </c>
      <c r="AD79" s="12">
        <f t="shared" si="25"/>
        <v>0</v>
      </c>
      <c r="AE79" s="13">
        <f t="shared" si="26"/>
        <v>0</v>
      </c>
    </row>
    <row r="80" spans="2:31" x14ac:dyDescent="0.25">
      <c r="B80" s="4"/>
      <c r="E80" s="3"/>
      <c r="F80" s="3"/>
      <c r="G80" s="24"/>
      <c r="H80" s="24"/>
      <c r="K80" s="4"/>
      <c r="L80" s="4"/>
      <c r="M80" s="4"/>
      <c r="N80" s="4"/>
      <c r="O80" s="4"/>
      <c r="P80" s="27"/>
      <c r="Q80" s="25"/>
      <c r="R80" s="25"/>
      <c r="S80" s="12">
        <f t="shared" si="20"/>
        <v>0</v>
      </c>
      <c r="T80" s="5">
        <v>0</v>
      </c>
      <c r="U80" s="12">
        <f t="shared" si="21"/>
        <v>0</v>
      </c>
      <c r="V80" s="25" t="s">
        <v>10</v>
      </c>
      <c r="W80" s="11">
        <f>IFERROR(VLOOKUP(V80,Curr!$B$2:$C$13,2,FALSE),0)</f>
        <v>11.2</v>
      </c>
      <c r="X80" s="12">
        <f t="shared" si="22"/>
        <v>0</v>
      </c>
      <c r="Y80" s="26">
        <f t="shared" si="19"/>
        <v>0</v>
      </c>
      <c r="Z80" s="12">
        <f t="shared" si="23"/>
        <v>0</v>
      </c>
      <c r="AA80" s="4" t="s">
        <v>10</v>
      </c>
      <c r="AB80" s="11">
        <f>IFERROR(VLOOKUP(AA80,Curr!$B$2:$C$13,2,FALSE),0)</f>
        <v>11.2</v>
      </c>
      <c r="AC80" s="12">
        <f t="shared" si="24"/>
        <v>0</v>
      </c>
      <c r="AD80" s="12">
        <f t="shared" si="25"/>
        <v>0</v>
      </c>
      <c r="AE80" s="13">
        <f t="shared" si="26"/>
        <v>0</v>
      </c>
    </row>
    <row r="81" spans="2:36" x14ac:dyDescent="0.25">
      <c r="B81" s="4"/>
      <c r="E81" s="3"/>
      <c r="F81" s="3"/>
      <c r="G81" s="24"/>
      <c r="H81" s="24"/>
      <c r="K81" s="4"/>
      <c r="L81" s="4"/>
      <c r="M81" s="4"/>
      <c r="N81" s="4"/>
      <c r="O81" s="4"/>
      <c r="P81" s="27"/>
      <c r="Q81" s="25"/>
      <c r="R81" s="25"/>
      <c r="S81" s="12">
        <f t="shared" si="20"/>
        <v>0</v>
      </c>
      <c r="T81" s="5">
        <v>0</v>
      </c>
      <c r="U81" s="12">
        <f t="shared" si="21"/>
        <v>0</v>
      </c>
      <c r="V81" s="25" t="s">
        <v>10</v>
      </c>
      <c r="W81" s="11">
        <f>IFERROR(VLOOKUP(V81,Curr!$B$2:$C$13,2,FALSE),0)</f>
        <v>11.2</v>
      </c>
      <c r="X81" s="12">
        <f t="shared" si="22"/>
        <v>0</v>
      </c>
      <c r="Y81" s="26">
        <f t="shared" si="19"/>
        <v>0</v>
      </c>
      <c r="Z81" s="12">
        <f t="shared" si="23"/>
        <v>0</v>
      </c>
      <c r="AA81" s="4" t="s">
        <v>10</v>
      </c>
      <c r="AB81" s="11">
        <f>IFERROR(VLOOKUP(AA81,Curr!$B$2:$C$13,2,FALSE),0)</f>
        <v>11.2</v>
      </c>
      <c r="AC81" s="12">
        <f t="shared" si="24"/>
        <v>0</v>
      </c>
      <c r="AD81" s="12">
        <f t="shared" si="25"/>
        <v>0</v>
      </c>
      <c r="AE81" s="13">
        <f t="shared" si="26"/>
        <v>0</v>
      </c>
    </row>
    <row r="82" spans="2:36" x14ac:dyDescent="0.25">
      <c r="B82" s="4"/>
      <c r="E82" s="3"/>
      <c r="F82" s="3"/>
      <c r="G82" s="24"/>
      <c r="H82" s="24"/>
      <c r="K82" s="4"/>
      <c r="L82" s="4"/>
      <c r="M82" s="4"/>
      <c r="N82" s="4"/>
      <c r="O82" s="4"/>
      <c r="P82" s="27"/>
      <c r="Q82" s="25"/>
      <c r="R82" s="25"/>
      <c r="S82" s="12">
        <f t="shared" si="20"/>
        <v>0</v>
      </c>
      <c r="T82" s="5">
        <v>0</v>
      </c>
      <c r="U82" s="12">
        <f t="shared" si="21"/>
        <v>0</v>
      </c>
      <c r="V82" s="25" t="s">
        <v>10</v>
      </c>
      <c r="W82" s="11">
        <f>IFERROR(VLOOKUP(V82,Curr!$B$2:$C$13,2,FALSE),0)</f>
        <v>11.2</v>
      </c>
      <c r="X82" s="12">
        <f t="shared" si="22"/>
        <v>0</v>
      </c>
      <c r="Y82" s="26">
        <f t="shared" si="19"/>
        <v>0</v>
      </c>
      <c r="Z82" s="12">
        <f t="shared" si="23"/>
        <v>0</v>
      </c>
      <c r="AA82" s="4" t="s">
        <v>10</v>
      </c>
      <c r="AB82" s="11">
        <f>IFERROR(VLOOKUP(AA82,Curr!$B$2:$C$13,2,FALSE),0)</f>
        <v>11.2</v>
      </c>
      <c r="AC82" s="12">
        <f t="shared" si="24"/>
        <v>0</v>
      </c>
      <c r="AD82" s="12">
        <f t="shared" si="25"/>
        <v>0</v>
      </c>
      <c r="AE82" s="13">
        <f t="shared" si="26"/>
        <v>0</v>
      </c>
    </row>
    <row r="83" spans="2:36" x14ac:dyDescent="0.25">
      <c r="B83" s="4"/>
      <c r="E83" s="3"/>
      <c r="F83" s="3"/>
      <c r="G83" s="3"/>
      <c r="H83" s="3"/>
      <c r="L83" s="4"/>
      <c r="M83" s="4"/>
      <c r="N83" s="4"/>
      <c r="O83" s="4"/>
      <c r="P83" s="22"/>
      <c r="Q83" s="4"/>
      <c r="R83" s="4"/>
      <c r="S83" s="4"/>
      <c r="T83" s="4"/>
      <c r="U83" s="4"/>
      <c r="V83" s="4"/>
      <c r="W83" s="4"/>
      <c r="X83" s="4"/>
      <c r="Y83" s="4"/>
      <c r="Z83" s="4"/>
      <c r="AA83" s="4"/>
      <c r="AB83" s="4"/>
      <c r="AC83" s="4"/>
      <c r="AD83" s="4"/>
      <c r="AE83" s="4"/>
      <c r="AF83" s="4"/>
    </row>
    <row r="84" spans="2:36" x14ac:dyDescent="0.25">
      <c r="B84" s="14" t="s">
        <v>18</v>
      </c>
      <c r="C84" s="14"/>
      <c r="D84" s="28" t="s">
        <v>42</v>
      </c>
      <c r="E84" s="30" t="s">
        <v>42</v>
      </c>
      <c r="F84" s="30" t="s">
        <v>42</v>
      </c>
      <c r="G84" s="30" t="s">
        <v>42</v>
      </c>
      <c r="H84" s="30" t="s">
        <v>42</v>
      </c>
      <c r="I84" s="28" t="s">
        <v>42</v>
      </c>
      <c r="J84" s="28" t="s">
        <v>42</v>
      </c>
      <c r="K84" s="28" t="s">
        <v>42</v>
      </c>
      <c r="L84" s="28" t="s">
        <v>42</v>
      </c>
      <c r="M84" s="28" t="s">
        <v>42</v>
      </c>
      <c r="N84" s="28" t="s">
        <v>42</v>
      </c>
      <c r="O84" s="28" t="s">
        <v>42</v>
      </c>
      <c r="P84" s="28" t="s">
        <v>42</v>
      </c>
      <c r="Q84" s="31" t="s">
        <v>42</v>
      </c>
      <c r="R84" s="28" t="s">
        <v>42</v>
      </c>
      <c r="S84" s="32" t="s">
        <v>42</v>
      </c>
      <c r="T84" s="28" t="s">
        <v>42</v>
      </c>
      <c r="U84" s="32" t="s">
        <v>42</v>
      </c>
      <c r="V84" s="28" t="s">
        <v>42</v>
      </c>
      <c r="W84" s="28" t="s">
        <v>42</v>
      </c>
      <c r="X84" s="32" t="s">
        <v>42</v>
      </c>
      <c r="Y84" s="32" t="s">
        <v>42</v>
      </c>
      <c r="Z84" s="15">
        <f>SUM(Z7:Z82)</f>
        <v>5158.3914627798022</v>
      </c>
      <c r="AA84" s="14"/>
      <c r="AB84" s="14"/>
      <c r="AC84" s="15">
        <f>SUM(AC7:AC82)</f>
        <v>57773.984383133771</v>
      </c>
      <c r="AD84" s="15">
        <f>SUM(AD7:AD82)</f>
        <v>10396.784383133783</v>
      </c>
      <c r="AE84" s="21">
        <f t="shared" ref="AE84" si="28">IFERROR(AD84/AC84,0)</f>
        <v>0.1799561600977094</v>
      </c>
      <c r="AF84" s="15">
        <f>SUM(AF8:AF83)</f>
        <v>0</v>
      </c>
      <c r="AG84" s="15">
        <f>SUM(AG8:AG83)</f>
        <v>0</v>
      </c>
      <c r="AH84" s="15">
        <f>SUM(AH8:AH83)</f>
        <v>0</v>
      </c>
      <c r="AI84" s="15">
        <f>SUM(AI8:AI83)</f>
        <v>0</v>
      </c>
      <c r="AJ84" s="15">
        <f>SUM(AJ8:AJ83)</f>
        <v>0</v>
      </c>
    </row>
    <row r="85" spans="2:36" x14ac:dyDescent="0.25">
      <c r="B85" s="4"/>
      <c r="E85" s="3"/>
      <c r="F85" s="3"/>
      <c r="G85" s="3"/>
      <c r="H85" s="3"/>
      <c r="L85" s="4"/>
      <c r="M85" s="4"/>
      <c r="N85" s="4"/>
      <c r="O85" s="4"/>
      <c r="Q85" s="4"/>
      <c r="R85" s="4"/>
      <c r="S85" s="4"/>
      <c r="T85" s="4"/>
      <c r="U85" s="4"/>
      <c r="V85" s="4"/>
      <c r="W85" s="4"/>
      <c r="X85" s="4"/>
      <c r="Y85" s="9"/>
      <c r="Z85" s="9"/>
      <c r="AA85" s="9"/>
      <c r="AB85" s="9"/>
      <c r="AC85" s="9"/>
      <c r="AD85" s="9"/>
      <c r="AE85" s="9"/>
    </row>
    <row r="86" spans="2:36" x14ac:dyDescent="0.25">
      <c r="B86" s="4"/>
      <c r="E86" s="3"/>
      <c r="F86" s="3"/>
      <c r="G86" s="3"/>
      <c r="H86" s="3"/>
      <c r="L86" s="4"/>
      <c r="M86" s="4"/>
      <c r="N86" s="4"/>
      <c r="O86" s="4"/>
      <c r="Q86" s="9"/>
      <c r="R86" s="9"/>
      <c r="S86" s="9"/>
      <c r="T86" s="9"/>
      <c r="U86" s="9"/>
      <c r="V86" s="9"/>
      <c r="W86" s="9"/>
      <c r="X86" s="23"/>
      <c r="Y86" s="34" t="s">
        <v>102</v>
      </c>
      <c r="Z86" s="34">
        <v>920</v>
      </c>
      <c r="AA86" s="9"/>
      <c r="AB86" s="9"/>
      <c r="AC86" s="9"/>
      <c r="AD86" s="9"/>
      <c r="AE86" s="9"/>
    </row>
    <row r="87" spans="2:36" x14ac:dyDescent="0.25">
      <c r="B87" s="4"/>
      <c r="E87" s="3"/>
      <c r="F87" s="3"/>
      <c r="G87" s="3"/>
      <c r="H87" s="3"/>
      <c r="L87" s="4"/>
      <c r="M87" s="4"/>
      <c r="N87" s="4"/>
      <c r="O87" s="4"/>
      <c r="Q87" s="9"/>
      <c r="R87" s="9"/>
      <c r="S87" s="9"/>
      <c r="T87" s="9"/>
      <c r="U87" s="9"/>
      <c r="V87" s="9"/>
      <c r="W87" s="9"/>
      <c r="X87" s="9"/>
      <c r="Y87" s="35" t="s">
        <v>103</v>
      </c>
      <c r="Z87" s="34">
        <f>Z9+Z15+Z23+Z25+Z32+Z33+Z35+Z43+Z48+Z54+Z56</f>
        <v>4252.4401353461744</v>
      </c>
      <c r="AA87" s="9"/>
      <c r="AB87" s="9"/>
      <c r="AC87" s="9"/>
      <c r="AD87" s="9"/>
      <c r="AE87" s="9"/>
      <c r="AF87" s="18"/>
    </row>
    <row r="88" spans="2:36" x14ac:dyDescent="0.25">
      <c r="B88" s="4"/>
      <c r="E88" s="3"/>
      <c r="F88" s="3"/>
      <c r="G88" s="3"/>
      <c r="H88" s="3"/>
      <c r="I88" s="19"/>
      <c r="L88" s="4"/>
      <c r="M88" s="4"/>
      <c r="N88" s="4"/>
      <c r="O88" s="20"/>
      <c r="Q88" s="20"/>
      <c r="R88" s="20"/>
      <c r="S88" s="20"/>
      <c r="T88" s="20"/>
      <c r="U88" s="20"/>
      <c r="V88" s="20"/>
      <c r="W88" s="20"/>
      <c r="X88" s="20"/>
      <c r="Y88" s="34" t="s">
        <v>104</v>
      </c>
      <c r="Z88" s="34">
        <v>5340</v>
      </c>
      <c r="AA88" s="9"/>
      <c r="AB88" s="9"/>
      <c r="AC88" s="9"/>
      <c r="AD88" s="9"/>
      <c r="AE88" s="9"/>
      <c r="AF88" s="18"/>
    </row>
    <row r="89" spans="2:36" x14ac:dyDescent="0.25">
      <c r="B89" s="4"/>
      <c r="E89" s="3"/>
      <c r="F89" s="3"/>
      <c r="G89" s="3"/>
      <c r="H89" s="3"/>
      <c r="L89" s="4"/>
      <c r="M89" s="4"/>
      <c r="N89" s="4"/>
      <c r="O89" s="20"/>
      <c r="Q89" s="20"/>
      <c r="R89" s="20"/>
      <c r="S89" s="20"/>
      <c r="T89" s="20"/>
      <c r="U89" s="20"/>
      <c r="V89" s="20"/>
      <c r="W89" s="20"/>
      <c r="X89" s="20"/>
      <c r="Y89" s="34" t="s">
        <v>43</v>
      </c>
      <c r="Z89" s="34">
        <f>Z88/2</f>
        <v>2670</v>
      </c>
      <c r="AA89" s="9"/>
      <c r="AB89" s="9"/>
      <c r="AC89" s="9"/>
      <c r="AD89" s="9"/>
      <c r="AE89" s="9"/>
      <c r="AF89" s="18"/>
    </row>
    <row r="90" spans="2:36" x14ac:dyDescent="0.25">
      <c r="B90" s="4"/>
      <c r="E90" s="3"/>
      <c r="F90" s="3"/>
      <c r="G90" s="3"/>
      <c r="H90" s="3"/>
      <c r="L90" s="4"/>
      <c r="M90" s="4"/>
      <c r="N90" s="4"/>
      <c r="O90" s="4"/>
      <c r="Q90" s="9"/>
      <c r="R90" s="9"/>
      <c r="S90" s="9"/>
      <c r="T90" s="9"/>
      <c r="U90" s="9"/>
      <c r="V90" s="9"/>
      <c r="W90" s="9"/>
      <c r="X90" s="9"/>
      <c r="Y90" s="1"/>
      <c r="Z90" s="1"/>
      <c r="AA90" s="9"/>
      <c r="AB90" s="9"/>
      <c r="AC90" s="9"/>
      <c r="AD90" s="9"/>
      <c r="AE90" s="9"/>
      <c r="AF90" s="18"/>
    </row>
    <row r="91" spans="2:36" x14ac:dyDescent="0.25">
      <c r="F91" s="1"/>
      <c r="G91" s="1"/>
      <c r="H91" s="1"/>
      <c r="J91" s="1" t="s">
        <v>32</v>
      </c>
      <c r="Q91" s="9"/>
      <c r="R91" s="4"/>
      <c r="S91" s="9"/>
      <c r="T91" s="5"/>
      <c r="U91" s="9"/>
      <c r="V91" s="4"/>
      <c r="W91" s="4"/>
      <c r="X91" s="9"/>
      <c r="Y91" s="9"/>
      <c r="Z91" s="9"/>
      <c r="AA91" s="9"/>
      <c r="AB91" s="9"/>
      <c r="AC91" s="9"/>
      <c r="AD91" s="9"/>
      <c r="AE91" s="9"/>
    </row>
    <row r="92" spans="2:36" x14ac:dyDescent="0.25">
      <c r="R92" s="4"/>
      <c r="S92" s="17"/>
      <c r="T92" s="17"/>
      <c r="U92" s="9"/>
      <c r="V92" s="4"/>
      <c r="W92" s="4"/>
      <c r="X92" s="9"/>
      <c r="Y92" s="9"/>
      <c r="Z92" s="9" t="s">
        <v>307</v>
      </c>
      <c r="AA92" s="9"/>
      <c r="AB92" s="9"/>
      <c r="AC92" s="9"/>
      <c r="AD92" s="9"/>
      <c r="AE92" s="9"/>
    </row>
    <row r="93" spans="2:36" x14ac:dyDescent="0.25">
      <c r="Q93" s="9"/>
      <c r="R93" s="4"/>
      <c r="S93" s="16"/>
      <c r="T93" s="16"/>
      <c r="U93" s="9"/>
      <c r="V93" s="4"/>
      <c r="W93" s="4"/>
      <c r="X93" s="9"/>
      <c r="Y93" s="37" t="s">
        <v>325</v>
      </c>
      <c r="Z93" s="9">
        <f>Z88</f>
        <v>5340</v>
      </c>
      <c r="AA93" s="9"/>
      <c r="AB93" s="9"/>
      <c r="AC93" s="9"/>
      <c r="AD93" s="9"/>
      <c r="AE93" s="9"/>
    </row>
    <row r="94" spans="2:36" x14ac:dyDescent="0.25">
      <c r="R94" s="4"/>
      <c r="S94" s="16"/>
      <c r="T94" s="16"/>
      <c r="Y94" s="37" t="s">
        <v>326</v>
      </c>
      <c r="Z94" s="9">
        <f>Z93*1.1</f>
        <v>5874.0000000000009</v>
      </c>
      <c r="AA94" s="9"/>
      <c r="AB94" s="9"/>
      <c r="AC94" s="9"/>
      <c r="AD94" s="9"/>
      <c r="AE94" s="9"/>
    </row>
    <row r="95" spans="2:36" x14ac:dyDescent="0.25">
      <c r="T95" s="5"/>
      <c r="Y95" s="37" t="s">
        <v>327</v>
      </c>
      <c r="Z95" s="9">
        <f>Z93*1.2</f>
        <v>6408</v>
      </c>
      <c r="AA95" s="9"/>
      <c r="AB95" s="9"/>
      <c r="AC95" s="9"/>
      <c r="AD95" s="9"/>
      <c r="AE95" s="9"/>
    </row>
    <row r="96" spans="2:36" x14ac:dyDescent="0.25">
      <c r="T96" s="5"/>
      <c r="Y96" s="37" t="s">
        <v>328</v>
      </c>
      <c r="Z96" s="9">
        <f>Z93*0.8</f>
        <v>4272</v>
      </c>
      <c r="AA96" s="9"/>
      <c r="AB96" s="9"/>
      <c r="AC96" s="9"/>
      <c r="AD96" s="9"/>
      <c r="AE96" s="9"/>
    </row>
    <row r="97" spans="20:31" x14ac:dyDescent="0.25">
      <c r="T97" s="5"/>
      <c r="Y97" s="37" t="s">
        <v>330</v>
      </c>
      <c r="Z97" s="9" t="s">
        <v>329</v>
      </c>
      <c r="AA97" s="9"/>
      <c r="AB97" s="9"/>
      <c r="AC97" s="9"/>
      <c r="AD97" s="9"/>
      <c r="AE97" s="9"/>
    </row>
    <row r="98" spans="20:31" x14ac:dyDescent="0.25">
      <c r="T98" s="5"/>
      <c r="Y98" s="9"/>
      <c r="Z98" s="9"/>
      <c r="AA98" s="9"/>
      <c r="AB98" s="9"/>
      <c r="AC98" s="9"/>
      <c r="AD98" s="9"/>
      <c r="AE98" s="9"/>
    </row>
    <row r="99" spans="20:31" x14ac:dyDescent="0.25">
      <c r="T99" s="5"/>
      <c r="Y99" s="9"/>
      <c r="Z99" s="9"/>
      <c r="AA99" s="9"/>
      <c r="AB99" s="9"/>
      <c r="AC99" s="9"/>
      <c r="AD99" s="9"/>
      <c r="AE99" s="9"/>
    </row>
    <row r="100" spans="20:31" x14ac:dyDescent="0.25">
      <c r="T100" s="5"/>
      <c r="Y100" s="9"/>
      <c r="Z100" s="9"/>
      <c r="AA100" s="9"/>
      <c r="AB100" s="9"/>
      <c r="AC100" s="9"/>
      <c r="AD100" s="9"/>
      <c r="AE100" s="9"/>
    </row>
    <row r="101" spans="20:31" x14ac:dyDescent="0.25">
      <c r="T101" s="5"/>
      <c r="Y101" s="9"/>
      <c r="Z101" s="9"/>
      <c r="AA101" s="9"/>
      <c r="AB101" s="9"/>
      <c r="AC101" s="9"/>
      <c r="AD101" s="9"/>
      <c r="AE101" s="9"/>
    </row>
    <row r="102" spans="20:31" x14ac:dyDescent="0.25">
      <c r="T102" s="5"/>
      <c r="Y102" s="9"/>
      <c r="Z102" s="9"/>
      <c r="AA102" s="9"/>
      <c r="AB102" s="9"/>
      <c r="AC102" s="9"/>
      <c r="AD102" s="9"/>
      <c r="AE102" s="9"/>
    </row>
    <row r="103" spans="20:31" x14ac:dyDescent="0.25">
      <c r="T103" s="5"/>
    </row>
    <row r="104" spans="20:31" x14ac:dyDescent="0.25">
      <c r="T104" s="5"/>
    </row>
    <row r="105" spans="20:31" x14ac:dyDescent="0.25">
      <c r="T105" s="5"/>
    </row>
    <row r="106" spans="20:31" x14ac:dyDescent="0.25">
      <c r="T106" s="5"/>
    </row>
    <row r="107" spans="20:31" x14ac:dyDescent="0.25">
      <c r="T107" s="5"/>
    </row>
  </sheetData>
  <autoFilter ref="B6:AE84" xr:uid="{65FA6D9B-E0AF-46CD-BA0D-86BB75FE6AB0}"/>
  <hyperlinks>
    <hyperlink ref="P13" r:id="rId1" location="reisesok" xr:uid="{6B5C5F36-7DB8-4088-9C43-71DF72479123}"/>
    <hyperlink ref="P18" r:id="rId2" xr:uid="{313D3E2D-ACD2-48B1-8C19-F80DDEFF7C81}"/>
    <hyperlink ref="P19" r:id="rId3" xr:uid="{035A7AEC-8509-4FBF-9E6D-891ED3A13287}"/>
    <hyperlink ref="P28" r:id="rId4" xr:uid="{04AA7336-F56B-4DE3-8F13-EA7262F85692}"/>
    <hyperlink ref="P37" r:id="rId5" xr:uid="{69B6BC70-80FF-49D2-90EB-A2D38E7D0A04}"/>
    <hyperlink ref="P72" r:id="rId6" xr:uid="{011FC6C6-1CA5-4952-BCEB-84ACA39BC340}"/>
    <hyperlink ref="P74" r:id="rId7" xr:uid="{0D73D98E-D352-470D-B11B-E00348E50CCA}"/>
    <hyperlink ref="P75" r:id="rId8" xr:uid="{1A9B07F8-0C47-497F-A47A-B737334C136D}"/>
  </hyperlinks>
  <pageMargins left="0.7" right="0.7" top="0.75" bottom="0.75" header="0.3" footer="0.3"/>
  <pageSetup paperSize="9" orientation="portrait"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A9331-44F9-4524-A29F-A48E7D171D62}">
  <sheetPr>
    <tabColor rgb="FFFFFF00"/>
  </sheetPr>
  <dimension ref="B1:AK82"/>
  <sheetViews>
    <sheetView topLeftCell="A6" zoomScale="80" zoomScaleNormal="80" workbookViewId="0">
      <selection activeCell="J13" sqref="J13"/>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163</v>
      </c>
    </row>
    <row r="2" spans="2:36" x14ac:dyDescent="0.25">
      <c r="B2" s="2" t="s">
        <v>62</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57" si="0">+Q7*R7</f>
        <v>0</v>
      </c>
      <c r="T7" s="5">
        <v>0</v>
      </c>
      <c r="U7" s="12">
        <f t="shared" ref="U7:U57" si="1">S7*(1-T7)</f>
        <v>0</v>
      </c>
      <c r="V7" s="25" t="s">
        <v>10</v>
      </c>
      <c r="W7" s="11">
        <f>IFERROR(VLOOKUP(V7,Curr!$B$2:$C$13,2,FALSE),0)</f>
        <v>11.2</v>
      </c>
      <c r="X7" s="12">
        <f t="shared" ref="X7:X57" si="2">U7*W7</f>
        <v>0</v>
      </c>
      <c r="Y7" s="26">
        <f t="shared" ref="Y7:Y57" si="3">Q7</f>
        <v>0</v>
      </c>
      <c r="Z7" s="12">
        <f t="shared" ref="Z7:Z57" si="4">+Y7*R7</f>
        <v>0</v>
      </c>
      <c r="AA7" s="4" t="s">
        <v>10</v>
      </c>
      <c r="AB7" s="11">
        <f>IFERROR(VLOOKUP(AA7,Curr!$B$2:$C$13,2,FALSE),0)</f>
        <v>11.2</v>
      </c>
      <c r="AC7" s="12">
        <f t="shared" ref="AC7:AC57" si="5">+Y7*AB7*R7</f>
        <v>0</v>
      </c>
      <c r="AD7" s="12">
        <f t="shared" ref="AD7:AD57" si="6">+AC7-X7</f>
        <v>0</v>
      </c>
      <c r="AE7" s="13">
        <f t="shared" ref="AE7:AE57"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70</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Q9/0.85</f>
        <v>176.47058823529412</v>
      </c>
      <c r="Z9" s="12">
        <f t="shared" si="4"/>
        <v>176.47058823529412</v>
      </c>
      <c r="AA9" s="4" t="s">
        <v>10</v>
      </c>
      <c r="AB9" s="11">
        <f>IFERROR(VLOOKUP(AA9,Curr!$B$2:$C$13,2,FALSE),0)</f>
        <v>11.2</v>
      </c>
      <c r="AC9" s="12">
        <f t="shared" si="5"/>
        <v>1976.4705882352939</v>
      </c>
      <c r="AD9" s="12">
        <f t="shared" si="6"/>
        <v>296.47058823529392</v>
      </c>
      <c r="AE9" s="13">
        <f t="shared" si="7"/>
        <v>0.14999999999999991</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195</v>
      </c>
      <c r="K12" s="4"/>
      <c r="L12" s="4"/>
      <c r="M12" s="4"/>
      <c r="N12" s="4"/>
      <c r="O12" s="4"/>
      <c r="P12" s="33"/>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79</v>
      </c>
      <c r="E13" s="3"/>
      <c r="F13" s="3"/>
      <c r="G13" s="24"/>
      <c r="H13" s="24"/>
      <c r="J13" s="1" t="s">
        <v>217</v>
      </c>
      <c r="K13" s="4"/>
      <c r="L13" s="4"/>
      <c r="M13" s="4"/>
      <c r="N13" s="4"/>
      <c r="O13" s="4"/>
      <c r="P13" s="27"/>
      <c r="Q13" s="25">
        <v>1500</v>
      </c>
      <c r="R13" s="25">
        <v>2</v>
      </c>
      <c r="S13" s="12">
        <f t="shared" si="0"/>
        <v>3000</v>
      </c>
      <c r="T13" s="5">
        <v>0</v>
      </c>
      <c r="U13" s="12">
        <f t="shared" si="1"/>
        <v>3000</v>
      </c>
      <c r="V13" s="25" t="s">
        <v>8</v>
      </c>
      <c r="W13" s="11">
        <f>IFERROR(VLOOKUP(V13,Curr!$B$2:$C$13,2,FALSE),0)</f>
        <v>1</v>
      </c>
      <c r="X13" s="12">
        <f t="shared" si="2"/>
        <v>3000</v>
      </c>
      <c r="Y13" s="26">
        <f>Q13/11.3/0.8</f>
        <v>165.92920353982299</v>
      </c>
      <c r="Z13" s="12">
        <f t="shared" si="4"/>
        <v>331.85840707964599</v>
      </c>
      <c r="AA13" s="4" t="s">
        <v>10</v>
      </c>
      <c r="AB13" s="11">
        <f>IFERROR(VLOOKUP(AA13,Curr!$B$2:$C$13,2,FALSE),0)</f>
        <v>11.2</v>
      </c>
      <c r="AC13" s="12">
        <f t="shared" si="5"/>
        <v>3716.8141592920347</v>
      </c>
      <c r="AD13" s="12">
        <f t="shared" si="6"/>
        <v>716.81415929203467</v>
      </c>
      <c r="AE13" s="13">
        <f t="shared" si="7"/>
        <v>0.1928571428571427</v>
      </c>
    </row>
    <row r="14" spans="2:36" x14ac:dyDescent="0.25">
      <c r="B14" s="4"/>
      <c r="C14" s="1" t="s">
        <v>63</v>
      </c>
      <c r="D14" s="1" t="s">
        <v>50</v>
      </c>
      <c r="E14" s="3"/>
      <c r="F14" s="3"/>
      <c r="G14" s="24"/>
      <c r="H14" s="24"/>
      <c r="J14" s="1" t="s">
        <v>153</v>
      </c>
      <c r="K14" s="4"/>
      <c r="L14" s="4"/>
      <c r="M14" s="4"/>
      <c r="N14" s="4"/>
      <c r="O14" s="4"/>
      <c r="P14" s="27"/>
      <c r="Q14" s="25">
        <v>0</v>
      </c>
      <c r="R14" s="25">
        <v>0</v>
      </c>
      <c r="S14" s="12">
        <f t="shared" si="0"/>
        <v>0</v>
      </c>
      <c r="T14" s="5">
        <v>0</v>
      </c>
      <c r="U14" s="12">
        <f t="shared" si="1"/>
        <v>0</v>
      </c>
      <c r="V14" s="25" t="s">
        <v>10</v>
      </c>
      <c r="W14" s="11">
        <f>IFERROR(VLOOKUP(V14,Curr!$B$2:$C$13,2,FALSE),0)</f>
        <v>11.2</v>
      </c>
      <c r="X14" s="12">
        <f t="shared" si="2"/>
        <v>0</v>
      </c>
      <c r="Y14" s="26">
        <f t="shared" si="3"/>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218</v>
      </c>
      <c r="K15" s="4"/>
      <c r="L15" s="4"/>
      <c r="M15" s="4"/>
      <c r="N15" s="4"/>
      <c r="O15" s="4"/>
      <c r="P15" s="27"/>
      <c r="Q15" s="25">
        <v>350</v>
      </c>
      <c r="R15" s="25">
        <v>1</v>
      </c>
      <c r="S15" s="12">
        <f t="shared" si="0"/>
        <v>350</v>
      </c>
      <c r="T15" s="5">
        <v>0</v>
      </c>
      <c r="U15" s="12">
        <f t="shared" si="1"/>
        <v>350</v>
      </c>
      <c r="V15" s="25" t="s">
        <v>10</v>
      </c>
      <c r="W15" s="11">
        <f>IFERROR(VLOOKUP(V15,Curr!$B$2:$C$13,2,FALSE),0)</f>
        <v>11.2</v>
      </c>
      <c r="X15" s="12">
        <f t="shared" si="2"/>
        <v>3919.9999999999995</v>
      </c>
      <c r="Y15" s="26">
        <f>Q15/0.85</f>
        <v>411.76470588235293</v>
      </c>
      <c r="Z15" s="12">
        <f t="shared" si="4"/>
        <v>411.76470588235293</v>
      </c>
      <c r="AA15" s="4" t="s">
        <v>10</v>
      </c>
      <c r="AB15" s="11">
        <f>IFERROR(VLOOKUP(AA15,Curr!$B$2:$C$13,2,FALSE),0)</f>
        <v>11.2</v>
      </c>
      <c r="AC15" s="12">
        <f t="shared" si="5"/>
        <v>4611.7647058823522</v>
      </c>
      <c r="AD15" s="12">
        <f t="shared" si="6"/>
        <v>691.7647058823527</v>
      </c>
      <c r="AE15" s="13">
        <f t="shared" si="7"/>
        <v>0.14999999999999997</v>
      </c>
    </row>
    <row r="16" spans="2:36" x14ac:dyDescent="0.25">
      <c r="B16" s="4"/>
      <c r="C16" s="1" t="s">
        <v>63</v>
      </c>
      <c r="D16" s="1" t="s">
        <v>53</v>
      </c>
      <c r="E16" s="3"/>
      <c r="F16" s="3"/>
      <c r="G16" s="24"/>
      <c r="H16" s="24"/>
      <c r="J16" s="1" t="s">
        <v>152</v>
      </c>
      <c r="K16" s="4"/>
      <c r="L16" s="4"/>
      <c r="M16" s="4"/>
      <c r="N16" s="4"/>
      <c r="O16" s="4"/>
      <c r="P16" s="27"/>
      <c r="Q16" s="25">
        <v>0</v>
      </c>
      <c r="R16" s="25">
        <v>0</v>
      </c>
      <c r="S16" s="12">
        <f t="shared" si="0"/>
        <v>0</v>
      </c>
      <c r="T16" s="5">
        <v>0</v>
      </c>
      <c r="U16" s="12">
        <f t="shared" si="1"/>
        <v>0</v>
      </c>
      <c r="V16" s="25" t="s">
        <v>10</v>
      </c>
      <c r="W16" s="11">
        <f>IFERROR(VLOOKUP(V16,Curr!$B$2:$C$13,2,FALSE),0)</f>
        <v>11.2</v>
      </c>
      <c r="X16" s="12">
        <f t="shared" si="2"/>
        <v>0</v>
      </c>
      <c r="Y16" s="26">
        <f t="shared" si="3"/>
        <v>0</v>
      </c>
      <c r="Z16" s="12">
        <f t="shared" si="4"/>
        <v>0</v>
      </c>
      <c r="AA16" s="4" t="s">
        <v>10</v>
      </c>
      <c r="AB16" s="11">
        <f>IFERROR(VLOOKUP(AA16,Curr!$B$2:$C$13,2,FALSE),0)</f>
        <v>11.2</v>
      </c>
      <c r="AC16" s="12">
        <f t="shared" si="5"/>
        <v>0</v>
      </c>
      <c r="AD16" s="12">
        <f t="shared" si="6"/>
        <v>0</v>
      </c>
      <c r="AE16" s="13">
        <f t="shared" si="7"/>
        <v>0</v>
      </c>
    </row>
    <row r="17" spans="2:31" x14ac:dyDescent="0.25">
      <c r="B17" s="4"/>
      <c r="C17" s="1" t="s">
        <v>63</v>
      </c>
      <c r="D17" s="1" t="s">
        <v>73</v>
      </c>
      <c r="E17" s="3"/>
      <c r="F17" s="3"/>
      <c r="G17" s="24"/>
      <c r="H17" s="24"/>
      <c r="J17" s="1" t="s">
        <v>161</v>
      </c>
      <c r="K17" s="4"/>
      <c r="L17" s="4"/>
      <c r="M17" s="4"/>
      <c r="N17" s="4"/>
      <c r="O17" s="4"/>
      <c r="P17" s="27"/>
      <c r="Q17" s="25">
        <v>1950</v>
      </c>
      <c r="R17" s="25">
        <v>2</v>
      </c>
      <c r="S17" s="12">
        <f t="shared" si="0"/>
        <v>3900</v>
      </c>
      <c r="T17" s="5">
        <v>0</v>
      </c>
      <c r="U17" s="12">
        <f t="shared" si="1"/>
        <v>3900</v>
      </c>
      <c r="V17" s="25" t="s">
        <v>8</v>
      </c>
      <c r="W17" s="11">
        <f>IFERROR(VLOOKUP(V17,Curr!$B$2:$C$13,2,FALSE),0)</f>
        <v>1</v>
      </c>
      <c r="X17" s="12">
        <f t="shared" si="2"/>
        <v>3900</v>
      </c>
      <c r="Y17" s="26">
        <f>Q17/11.3/0.85</f>
        <v>203.01926080166578</v>
      </c>
      <c r="Z17" s="12">
        <f t="shared" si="4"/>
        <v>406.03852160333156</v>
      </c>
      <c r="AA17" s="4" t="s">
        <v>10</v>
      </c>
      <c r="AB17" s="11">
        <f>IFERROR(VLOOKUP(AA17,Curr!$B$2:$C$13,2,FALSE),0)</f>
        <v>11.2</v>
      </c>
      <c r="AC17" s="12">
        <f t="shared" si="5"/>
        <v>4547.6314419573127</v>
      </c>
      <c r="AD17" s="12">
        <f t="shared" si="6"/>
        <v>647.63144195731275</v>
      </c>
      <c r="AE17" s="13">
        <f t="shared" si="7"/>
        <v>0.14241071428571406</v>
      </c>
    </row>
    <row r="18" spans="2:31" x14ac:dyDescent="0.25">
      <c r="B18" s="4"/>
      <c r="E18" s="3"/>
      <c r="F18" s="3"/>
      <c r="G18" s="24"/>
      <c r="H18" s="24"/>
      <c r="K18" s="4"/>
      <c r="L18" s="4"/>
      <c r="M18" s="4"/>
      <c r="N18" s="4"/>
      <c r="O18" s="4"/>
      <c r="P18" s="33"/>
      <c r="Q18" s="25"/>
      <c r="R18" s="25"/>
      <c r="S18" s="12">
        <f t="shared" si="0"/>
        <v>0</v>
      </c>
      <c r="T18" s="5">
        <v>0</v>
      </c>
      <c r="U18" s="12">
        <f t="shared" si="1"/>
        <v>0</v>
      </c>
      <c r="V18" s="25" t="s">
        <v>10</v>
      </c>
      <c r="W18" s="11">
        <f>IFERROR(VLOOKUP(V18,Curr!$B$2:$C$13,2,FALSE),0)</f>
        <v>11.2</v>
      </c>
      <c r="X18" s="12">
        <f t="shared" si="2"/>
        <v>0</v>
      </c>
      <c r="Y18" s="26">
        <f t="shared" ref="Y18:Y20" si="8">Q18</f>
        <v>0</v>
      </c>
      <c r="Z18" s="12">
        <f t="shared" si="4"/>
        <v>0</v>
      </c>
      <c r="AA18" s="4" t="s">
        <v>10</v>
      </c>
      <c r="AB18" s="11">
        <f>IFERROR(VLOOKUP(AA18,Curr!$B$2:$C$13,2,FALSE),0)</f>
        <v>11.2</v>
      </c>
      <c r="AC18" s="12">
        <f t="shared" si="5"/>
        <v>0</v>
      </c>
      <c r="AD18" s="12">
        <f t="shared" si="6"/>
        <v>0</v>
      </c>
      <c r="AE18" s="13">
        <f t="shared" si="7"/>
        <v>0</v>
      </c>
    </row>
    <row r="19" spans="2:31" x14ac:dyDescent="0.25">
      <c r="B19" s="4"/>
      <c r="C19" s="1" t="s">
        <v>69</v>
      </c>
      <c r="D19" s="1" t="s">
        <v>73</v>
      </c>
      <c r="E19" s="3"/>
      <c r="F19" s="3"/>
      <c r="G19" s="24"/>
      <c r="H19" s="24"/>
      <c r="J19" s="1" t="s">
        <v>157</v>
      </c>
      <c r="K19" s="4"/>
      <c r="L19" s="4"/>
      <c r="M19" s="4"/>
      <c r="N19" s="4"/>
      <c r="O19" s="4"/>
      <c r="P19" s="33" t="s">
        <v>158</v>
      </c>
      <c r="Q19" s="25">
        <v>55</v>
      </c>
      <c r="R19" s="25">
        <v>2</v>
      </c>
      <c r="S19" s="12">
        <f t="shared" si="0"/>
        <v>110</v>
      </c>
      <c r="T19" s="5">
        <v>0.2</v>
      </c>
      <c r="U19" s="12">
        <f t="shared" si="1"/>
        <v>88</v>
      </c>
      <c r="V19" s="25" t="s">
        <v>10</v>
      </c>
      <c r="W19" s="11">
        <f>IFERROR(VLOOKUP(V19,Curr!$B$2:$C$13,2,FALSE),0)</f>
        <v>11.2</v>
      </c>
      <c r="X19" s="12">
        <f t="shared" si="2"/>
        <v>985.59999999999991</v>
      </c>
      <c r="Y19" s="26">
        <f t="shared" si="8"/>
        <v>55</v>
      </c>
      <c r="Z19" s="12">
        <f t="shared" si="4"/>
        <v>110</v>
      </c>
      <c r="AA19" s="4" t="s">
        <v>10</v>
      </c>
      <c r="AB19" s="11">
        <f>IFERROR(VLOOKUP(AA19,Curr!$B$2:$C$13,2,FALSE),0)</f>
        <v>11.2</v>
      </c>
      <c r="AC19" s="12">
        <f t="shared" si="5"/>
        <v>1232</v>
      </c>
      <c r="AD19" s="12">
        <f t="shared" si="6"/>
        <v>246.40000000000009</v>
      </c>
      <c r="AE19" s="13">
        <f t="shared" si="7"/>
        <v>0.20000000000000007</v>
      </c>
    </row>
    <row r="20" spans="2:31" x14ac:dyDescent="0.25">
      <c r="B20" s="4"/>
      <c r="C20" s="1" t="s">
        <v>69</v>
      </c>
      <c r="D20" s="1" t="s">
        <v>53</v>
      </c>
      <c r="E20" s="3"/>
      <c r="F20" s="3"/>
      <c r="G20" s="24"/>
      <c r="H20" s="24"/>
      <c r="J20" s="1" t="s">
        <v>152</v>
      </c>
      <c r="K20" s="4"/>
      <c r="L20" s="4"/>
      <c r="M20" s="4"/>
      <c r="N20" s="4"/>
      <c r="O20" s="4"/>
      <c r="P20" s="33"/>
      <c r="Q20" s="25">
        <v>0</v>
      </c>
      <c r="R20" s="25">
        <v>0</v>
      </c>
      <c r="S20" s="12">
        <f t="shared" si="0"/>
        <v>0</v>
      </c>
      <c r="T20" s="5">
        <v>0</v>
      </c>
      <c r="U20" s="12">
        <f t="shared" si="1"/>
        <v>0</v>
      </c>
      <c r="V20" s="25" t="s">
        <v>10</v>
      </c>
      <c r="W20" s="11">
        <f>IFERROR(VLOOKUP(V20,Curr!$B$2:$C$13,2,FALSE),0)</f>
        <v>11.2</v>
      </c>
      <c r="X20" s="12">
        <f t="shared" si="2"/>
        <v>0</v>
      </c>
      <c r="Y20" s="26">
        <f t="shared" si="8"/>
        <v>0</v>
      </c>
      <c r="Z20" s="12">
        <f t="shared" si="4"/>
        <v>0</v>
      </c>
      <c r="AA20" s="4" t="s">
        <v>10</v>
      </c>
      <c r="AB20" s="11">
        <f>IFERROR(VLOOKUP(AA20,Curr!$B$2:$C$13,2,FALSE),0)</f>
        <v>11.2</v>
      </c>
      <c r="AC20" s="12">
        <f t="shared" si="5"/>
        <v>0</v>
      </c>
      <c r="AD20" s="12">
        <f t="shared" si="6"/>
        <v>0</v>
      </c>
      <c r="AE20" s="13">
        <f t="shared" si="7"/>
        <v>0</v>
      </c>
    </row>
    <row r="21" spans="2:31" x14ac:dyDescent="0.25">
      <c r="B21" s="4"/>
      <c r="C21" s="1" t="s">
        <v>69</v>
      </c>
      <c r="D21" s="1" t="s">
        <v>73</v>
      </c>
      <c r="E21" s="3"/>
      <c r="F21" s="3"/>
      <c r="G21" s="24"/>
      <c r="H21" s="24"/>
      <c r="J21" s="1" t="s">
        <v>159</v>
      </c>
      <c r="K21" s="4"/>
      <c r="L21" s="4"/>
      <c r="M21" s="4"/>
      <c r="N21" s="4"/>
      <c r="O21" s="4"/>
      <c r="P21" s="33" t="s">
        <v>160</v>
      </c>
      <c r="Q21" s="25">
        <v>2150</v>
      </c>
      <c r="R21" s="25">
        <v>2</v>
      </c>
      <c r="S21" s="12">
        <f t="shared" si="0"/>
        <v>4300</v>
      </c>
      <c r="T21" s="5">
        <v>0.2</v>
      </c>
      <c r="U21" s="12">
        <f t="shared" si="1"/>
        <v>3440</v>
      </c>
      <c r="V21" s="25" t="s">
        <v>8</v>
      </c>
      <c r="W21" s="11">
        <f>IFERROR(VLOOKUP(V21,Curr!$B$2:$C$13,2,FALSE),0)</f>
        <v>1</v>
      </c>
      <c r="X21" s="12">
        <f t="shared" si="2"/>
        <v>3440</v>
      </c>
      <c r="Y21" s="26">
        <f>Q21/11.3</f>
        <v>190.26548672566369</v>
      </c>
      <c r="Z21" s="12">
        <f t="shared" si="4"/>
        <v>380.53097345132738</v>
      </c>
      <c r="AA21" s="4" t="s">
        <v>10</v>
      </c>
      <c r="AB21" s="11">
        <f>IFERROR(VLOOKUP(AA21,Curr!$B$2:$C$13,2,FALSE),0)</f>
        <v>11.2</v>
      </c>
      <c r="AC21" s="12">
        <f t="shared" si="5"/>
        <v>4261.9469026548668</v>
      </c>
      <c r="AD21" s="12">
        <f t="shared" si="6"/>
        <v>821.94690265486679</v>
      </c>
      <c r="AE21" s="13">
        <f t="shared" si="7"/>
        <v>0.19285714285714278</v>
      </c>
    </row>
    <row r="22" spans="2:31" x14ac:dyDescent="0.25">
      <c r="B22" s="4"/>
      <c r="E22" s="3"/>
      <c r="F22" s="3"/>
      <c r="G22" s="24"/>
      <c r="H22" s="24"/>
      <c r="K22" s="4"/>
      <c r="L22" s="4"/>
      <c r="M22" s="4"/>
      <c r="N22" s="4"/>
      <c r="O22" s="4"/>
      <c r="P22" s="33"/>
      <c r="Q22" s="25"/>
      <c r="R22" s="25"/>
      <c r="S22" s="12">
        <f t="shared" si="0"/>
        <v>0</v>
      </c>
      <c r="T22" s="5">
        <v>0</v>
      </c>
      <c r="U22" s="12">
        <f t="shared" si="1"/>
        <v>0</v>
      </c>
      <c r="V22" s="25" t="s">
        <v>10</v>
      </c>
      <c r="W22" s="11">
        <f>IFERROR(VLOOKUP(V22,Curr!$B$2:$C$13,2,FALSE),0)</f>
        <v>11.2</v>
      </c>
      <c r="X22" s="12">
        <f t="shared" si="2"/>
        <v>0</v>
      </c>
      <c r="Y22" s="26">
        <f t="shared" si="3"/>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73</v>
      </c>
      <c r="E23" s="3"/>
      <c r="F23" s="3"/>
      <c r="G23" s="24"/>
      <c r="H23" s="24"/>
      <c r="J23" s="1" t="s">
        <v>213</v>
      </c>
      <c r="K23" s="4"/>
      <c r="L23" s="4"/>
      <c r="M23" s="4"/>
      <c r="N23" s="4"/>
      <c r="O23" s="4"/>
      <c r="P23" s="33" t="s">
        <v>214</v>
      </c>
      <c r="Q23" s="25">
        <v>22</v>
      </c>
      <c r="R23" s="25">
        <v>2</v>
      </c>
      <c r="S23" s="12">
        <f t="shared" si="0"/>
        <v>44</v>
      </c>
      <c r="T23" s="5">
        <v>0.2</v>
      </c>
      <c r="U23" s="12">
        <f t="shared" si="1"/>
        <v>35.200000000000003</v>
      </c>
      <c r="V23" s="25" t="s">
        <v>10</v>
      </c>
      <c r="W23" s="11">
        <f>IFERROR(VLOOKUP(V23,Curr!$B$2:$C$13,2,FALSE),0)</f>
        <v>11.2</v>
      </c>
      <c r="X23" s="12">
        <f t="shared" si="2"/>
        <v>394.24</v>
      </c>
      <c r="Y23" s="26">
        <f t="shared" si="3"/>
        <v>22</v>
      </c>
      <c r="Z23" s="12">
        <f t="shared" si="4"/>
        <v>44</v>
      </c>
      <c r="AA23" s="4" t="s">
        <v>10</v>
      </c>
      <c r="AB23" s="11">
        <f>IFERROR(VLOOKUP(AA23,Curr!$B$2:$C$13,2,FALSE),0)</f>
        <v>11.2</v>
      </c>
      <c r="AC23" s="12">
        <f t="shared" si="5"/>
        <v>492.79999999999995</v>
      </c>
      <c r="AD23" s="12">
        <f t="shared" si="6"/>
        <v>98.559999999999945</v>
      </c>
      <c r="AE23" s="13">
        <f t="shared" si="7"/>
        <v>0.1999999999999999</v>
      </c>
    </row>
    <row r="24" spans="2:31" x14ac:dyDescent="0.25">
      <c r="B24" s="4"/>
      <c r="C24" s="1" t="s">
        <v>78</v>
      </c>
      <c r="D24" s="1" t="s">
        <v>53</v>
      </c>
      <c r="E24" s="3"/>
      <c r="F24" s="3"/>
      <c r="G24" s="24"/>
      <c r="H24" s="24"/>
      <c r="J24" s="1" t="s">
        <v>152</v>
      </c>
      <c r="K24" s="4"/>
      <c r="L24" s="4"/>
      <c r="M24" s="4"/>
      <c r="N24" s="4"/>
      <c r="O24" s="4"/>
      <c r="P24" s="27"/>
      <c r="Q24" s="25">
        <v>0</v>
      </c>
      <c r="R24" s="25">
        <v>0</v>
      </c>
      <c r="S24" s="12">
        <f t="shared" si="0"/>
        <v>0</v>
      </c>
      <c r="T24" s="5">
        <v>0</v>
      </c>
      <c r="U24" s="12">
        <f t="shared" si="1"/>
        <v>0</v>
      </c>
      <c r="V24" s="25" t="s">
        <v>10</v>
      </c>
      <c r="W24" s="11">
        <f>IFERROR(VLOOKUP(V24,Curr!$B$2:$C$13,2,FALSE),0)</f>
        <v>11.2</v>
      </c>
      <c r="X24" s="12">
        <f t="shared" si="2"/>
        <v>0</v>
      </c>
      <c r="Y24" s="26">
        <f t="shared" si="3"/>
        <v>0</v>
      </c>
      <c r="Z24" s="12">
        <f t="shared" si="4"/>
        <v>0</v>
      </c>
      <c r="AA24" s="4" t="s">
        <v>10</v>
      </c>
      <c r="AB24" s="11">
        <f>IFERROR(VLOOKUP(AA24,Curr!$B$2:$C$13,2,FALSE),0)</f>
        <v>11.2</v>
      </c>
      <c r="AC24" s="12">
        <f t="shared" si="5"/>
        <v>0</v>
      </c>
      <c r="AD24" s="12">
        <f t="shared" si="6"/>
        <v>0</v>
      </c>
      <c r="AE24" s="13">
        <f t="shared" si="7"/>
        <v>0</v>
      </c>
    </row>
    <row r="25" spans="2:31" x14ac:dyDescent="0.25">
      <c r="B25" s="4"/>
      <c r="E25" s="3"/>
      <c r="F25" s="3"/>
      <c r="G25" s="24"/>
      <c r="H25" s="24"/>
      <c r="K25" s="4"/>
      <c r="L25" s="4"/>
      <c r="M25" s="4"/>
      <c r="N25" s="4"/>
      <c r="O25" s="4"/>
      <c r="P25" s="33"/>
      <c r="Q25" s="25"/>
      <c r="R25" s="25"/>
      <c r="S25" s="12">
        <f t="shared" si="0"/>
        <v>0</v>
      </c>
      <c r="T25" s="5">
        <v>0</v>
      </c>
      <c r="U25" s="12">
        <f t="shared" si="1"/>
        <v>0</v>
      </c>
      <c r="V25" s="25" t="s">
        <v>10</v>
      </c>
      <c r="W25" s="11">
        <f>IFERROR(VLOOKUP(V25,Curr!$B$2:$C$13,2,FALSE),0)</f>
        <v>11.2</v>
      </c>
      <c r="X25" s="12">
        <f t="shared" si="2"/>
        <v>0</v>
      </c>
      <c r="Y25" s="26">
        <f t="shared" si="3"/>
        <v>0</v>
      </c>
      <c r="Z25" s="12">
        <f t="shared" si="4"/>
        <v>0</v>
      </c>
      <c r="AA25" s="4" t="s">
        <v>10</v>
      </c>
      <c r="AB25" s="11">
        <f>IFERROR(VLOOKUP(AA25,Curr!$B$2:$C$13,2,FALSE),0)</f>
        <v>11.2</v>
      </c>
      <c r="AC25" s="12">
        <f t="shared" si="5"/>
        <v>0</v>
      </c>
      <c r="AD25" s="12">
        <f t="shared" si="6"/>
        <v>0</v>
      </c>
      <c r="AE25" s="13">
        <f t="shared" si="7"/>
        <v>0</v>
      </c>
    </row>
    <row r="26" spans="2:31" x14ac:dyDescent="0.25">
      <c r="B26" s="4"/>
      <c r="C26" s="1" t="s">
        <v>80</v>
      </c>
      <c r="D26" s="1" t="s">
        <v>50</v>
      </c>
      <c r="E26" s="3"/>
      <c r="F26" s="3"/>
      <c r="G26" s="24"/>
      <c r="H26" s="24"/>
      <c r="J26" s="1" t="s">
        <v>155</v>
      </c>
      <c r="K26" s="4"/>
      <c r="L26" s="4"/>
      <c r="M26" s="4"/>
      <c r="N26" s="4"/>
      <c r="O26" s="4"/>
      <c r="P26" s="27"/>
      <c r="Q26" s="25">
        <v>0</v>
      </c>
      <c r="R26" s="25">
        <v>0</v>
      </c>
      <c r="S26" s="12">
        <f t="shared" si="0"/>
        <v>0</v>
      </c>
      <c r="T26" s="5">
        <v>0</v>
      </c>
      <c r="U26" s="12">
        <f t="shared" si="1"/>
        <v>0</v>
      </c>
      <c r="V26" s="25" t="s">
        <v>10</v>
      </c>
      <c r="W26" s="11">
        <f>IFERROR(VLOOKUP(V26,Curr!$B$2:$C$13,2,FALSE),0)</f>
        <v>11.2</v>
      </c>
      <c r="X26" s="12">
        <f t="shared" si="2"/>
        <v>0</v>
      </c>
      <c r="Y26" s="26">
        <f t="shared" si="3"/>
        <v>0</v>
      </c>
      <c r="Z26" s="12">
        <f t="shared" si="4"/>
        <v>0</v>
      </c>
      <c r="AA26" s="4" t="s">
        <v>10</v>
      </c>
      <c r="AB26" s="11">
        <f>IFERROR(VLOOKUP(AA26,Curr!$B$2:$C$13,2,FALSE),0)</f>
        <v>11.2</v>
      </c>
      <c r="AC26" s="12">
        <f t="shared" si="5"/>
        <v>0</v>
      </c>
      <c r="AD26" s="12">
        <f t="shared" si="6"/>
        <v>0</v>
      </c>
      <c r="AE26" s="13">
        <f t="shared" si="7"/>
        <v>0</v>
      </c>
    </row>
    <row r="27" spans="2:31" x14ac:dyDescent="0.25">
      <c r="B27" s="4"/>
      <c r="C27" s="1" t="s">
        <v>80</v>
      </c>
      <c r="D27" s="1" t="s">
        <v>79</v>
      </c>
      <c r="E27" s="3"/>
      <c r="F27" s="3"/>
      <c r="G27" s="24"/>
      <c r="H27" s="24"/>
      <c r="J27" s="1" t="s">
        <v>216</v>
      </c>
      <c r="K27" s="4"/>
      <c r="L27" s="4"/>
      <c r="M27" s="4"/>
      <c r="N27" s="4"/>
      <c r="O27" s="4"/>
      <c r="P27" s="33"/>
      <c r="Q27" s="25">
        <v>1500</v>
      </c>
      <c r="R27" s="25">
        <v>2</v>
      </c>
      <c r="S27" s="12">
        <f t="shared" ref="S27" si="9">+Q27*R27</f>
        <v>3000</v>
      </c>
      <c r="T27" s="5">
        <v>0</v>
      </c>
      <c r="U27" s="12">
        <f t="shared" ref="U27" si="10">S27*(1-T27)</f>
        <v>3000</v>
      </c>
      <c r="V27" s="25" t="s">
        <v>8</v>
      </c>
      <c r="W27" s="11">
        <f>IFERROR(VLOOKUP(V27,Curr!$B$2:$C$13,2,FALSE),0)</f>
        <v>1</v>
      </c>
      <c r="X27" s="12">
        <f t="shared" ref="X27" si="11">U27*W27</f>
        <v>3000</v>
      </c>
      <c r="Y27" s="26">
        <f>Q27/11.3/0.8</f>
        <v>165.92920353982299</v>
      </c>
      <c r="Z27" s="12">
        <f t="shared" si="4"/>
        <v>331.85840707964599</v>
      </c>
      <c r="AA27" s="4" t="s">
        <v>10</v>
      </c>
      <c r="AB27" s="11">
        <f>IFERROR(VLOOKUP(AA27,Curr!$B$2:$C$13,2,FALSE),0)</f>
        <v>11.2</v>
      </c>
      <c r="AC27" s="12">
        <f t="shared" si="5"/>
        <v>3716.8141592920347</v>
      </c>
      <c r="AD27" s="12">
        <f t="shared" si="6"/>
        <v>716.81415929203467</v>
      </c>
      <c r="AE27" s="13">
        <f t="shared" si="7"/>
        <v>0.1928571428571427</v>
      </c>
    </row>
    <row r="28" spans="2:31" x14ac:dyDescent="0.25">
      <c r="B28" s="4"/>
      <c r="C28" s="1" t="s">
        <v>80</v>
      </c>
      <c r="D28" s="1" t="s">
        <v>50</v>
      </c>
      <c r="E28" s="3"/>
      <c r="F28" s="3"/>
      <c r="G28" s="24"/>
      <c r="H28" s="24"/>
      <c r="J28" s="1" t="s">
        <v>84</v>
      </c>
      <c r="K28" s="4"/>
      <c r="L28" s="4"/>
      <c r="M28" s="4"/>
      <c r="N28" s="4"/>
      <c r="O28" s="4"/>
      <c r="P28" s="33"/>
      <c r="Q28" s="25">
        <v>0</v>
      </c>
      <c r="R28" s="25">
        <v>0</v>
      </c>
      <c r="S28" s="12">
        <f t="shared" si="0"/>
        <v>0</v>
      </c>
      <c r="T28" s="5">
        <v>0</v>
      </c>
      <c r="U28" s="12">
        <f t="shared" si="1"/>
        <v>0</v>
      </c>
      <c r="V28" s="25" t="s">
        <v>8</v>
      </c>
      <c r="W28" s="11">
        <f>IFERROR(VLOOKUP(V28,Curr!$B$2:$C$13,2,FALSE),0)</f>
        <v>1</v>
      </c>
      <c r="X28" s="12">
        <f t="shared" si="2"/>
        <v>0</v>
      </c>
      <c r="Y28" s="26">
        <f>Q28/11.3/0.8</f>
        <v>0</v>
      </c>
      <c r="Z28" s="12">
        <f t="shared" si="4"/>
        <v>0</v>
      </c>
      <c r="AA28" s="4" t="s">
        <v>10</v>
      </c>
      <c r="AB28" s="11">
        <f>IFERROR(VLOOKUP(AA28,Curr!$B$2:$C$13,2,FALSE),0)</f>
        <v>11.2</v>
      </c>
      <c r="AC28" s="12">
        <f t="shared" si="5"/>
        <v>0</v>
      </c>
      <c r="AD28" s="12">
        <f t="shared" si="6"/>
        <v>0</v>
      </c>
      <c r="AE28" s="13">
        <f t="shared" si="7"/>
        <v>0</v>
      </c>
    </row>
    <row r="29" spans="2:31" x14ac:dyDescent="0.25">
      <c r="B29" s="4"/>
      <c r="C29" s="1" t="s">
        <v>80</v>
      </c>
      <c r="D29" s="1" t="s">
        <v>52</v>
      </c>
      <c r="E29" s="3"/>
      <c r="F29" s="3"/>
      <c r="G29" s="24"/>
      <c r="H29" s="24"/>
      <c r="J29" s="1" t="s">
        <v>86</v>
      </c>
      <c r="K29" s="4"/>
      <c r="L29" s="4"/>
      <c r="M29" s="4"/>
      <c r="N29" s="4"/>
      <c r="O29" s="4"/>
      <c r="P29" s="33"/>
      <c r="Q29" s="25">
        <v>500</v>
      </c>
      <c r="R29" s="25">
        <v>1</v>
      </c>
      <c r="S29" s="12">
        <f t="shared" si="0"/>
        <v>500</v>
      </c>
      <c r="T29" s="5">
        <v>0</v>
      </c>
      <c r="U29" s="12">
        <f t="shared" si="1"/>
        <v>500</v>
      </c>
      <c r="V29" s="25" t="s">
        <v>10</v>
      </c>
      <c r="W29" s="11">
        <f>IFERROR(VLOOKUP(V29,Curr!$B$2:$C$13,2,FALSE),0)</f>
        <v>11.2</v>
      </c>
      <c r="X29" s="12">
        <f t="shared" si="2"/>
        <v>5600</v>
      </c>
      <c r="Y29" s="26">
        <f>Q29/0.85</f>
        <v>588.23529411764707</v>
      </c>
      <c r="Z29" s="12">
        <f t="shared" si="4"/>
        <v>588.23529411764707</v>
      </c>
      <c r="AA29" s="4" t="s">
        <v>10</v>
      </c>
      <c r="AB29" s="11">
        <f>IFERROR(VLOOKUP(AA29,Curr!$B$2:$C$13,2,FALSE),0)</f>
        <v>11.2</v>
      </c>
      <c r="AC29" s="12">
        <f t="shared" si="5"/>
        <v>6588.2352941176468</v>
      </c>
      <c r="AD29" s="12">
        <f t="shared" si="6"/>
        <v>988.23529411764684</v>
      </c>
      <c r="AE29" s="13">
        <f t="shared" si="7"/>
        <v>0.14999999999999997</v>
      </c>
    </row>
    <row r="30" spans="2:31" x14ac:dyDescent="0.25">
      <c r="B30" s="4"/>
      <c r="C30" s="1" t="s">
        <v>80</v>
      </c>
      <c r="D30" s="1" t="s">
        <v>53</v>
      </c>
      <c r="E30" s="3"/>
      <c r="F30" s="3"/>
      <c r="G30" s="24"/>
      <c r="H30" s="24"/>
      <c r="J30" s="1" t="s">
        <v>85</v>
      </c>
      <c r="K30" s="4"/>
      <c r="L30" s="4"/>
      <c r="M30" s="4"/>
      <c r="N30" s="4"/>
      <c r="O30" s="4"/>
      <c r="P30" s="33"/>
      <c r="Q30" s="25">
        <v>0</v>
      </c>
      <c r="R30" s="25">
        <v>0</v>
      </c>
      <c r="S30" s="12">
        <f t="shared" si="0"/>
        <v>0</v>
      </c>
      <c r="T30" s="5">
        <v>0</v>
      </c>
      <c r="U30" s="12">
        <f t="shared" si="1"/>
        <v>0</v>
      </c>
      <c r="V30" s="25" t="s">
        <v>10</v>
      </c>
      <c r="W30" s="11">
        <f>IFERROR(VLOOKUP(V30,Curr!$B$2:$C$13,2,FALSE),0)</f>
        <v>11.2</v>
      </c>
      <c r="X30" s="12">
        <f t="shared" si="2"/>
        <v>0</v>
      </c>
      <c r="Y30" s="26">
        <f t="shared" ref="Y30:Y38" si="12">Q30</f>
        <v>0</v>
      </c>
      <c r="Z30" s="12">
        <f t="shared" si="4"/>
        <v>0</v>
      </c>
      <c r="AA30" s="4" t="s">
        <v>10</v>
      </c>
      <c r="AB30" s="11">
        <f>IFERROR(VLOOKUP(AA30,Curr!$B$2:$C$13,2,FALSE),0)</f>
        <v>11.2</v>
      </c>
      <c r="AC30" s="12">
        <f t="shared" si="5"/>
        <v>0</v>
      </c>
      <c r="AD30" s="12">
        <f t="shared" si="6"/>
        <v>0</v>
      </c>
      <c r="AE30" s="13">
        <f t="shared" si="7"/>
        <v>0</v>
      </c>
    </row>
    <row r="31" spans="2:31" x14ac:dyDescent="0.25">
      <c r="B31" s="4"/>
      <c r="C31" s="1" t="s">
        <v>80</v>
      </c>
      <c r="D31" s="1" t="s">
        <v>73</v>
      </c>
      <c r="E31" s="3"/>
      <c r="F31" s="3"/>
      <c r="G31" s="24"/>
      <c r="H31" s="24"/>
      <c r="J31" s="1" t="s">
        <v>87</v>
      </c>
      <c r="K31" s="4"/>
      <c r="L31" s="4"/>
      <c r="M31" s="4"/>
      <c r="N31" s="4"/>
      <c r="O31" s="4" t="s">
        <v>42</v>
      </c>
      <c r="P31" s="33" t="s">
        <v>88</v>
      </c>
      <c r="Q31" s="25">
        <v>105</v>
      </c>
      <c r="R31" s="25">
        <v>2</v>
      </c>
      <c r="S31" s="12">
        <f t="shared" si="0"/>
        <v>210</v>
      </c>
      <c r="T31" s="5">
        <v>0.2</v>
      </c>
      <c r="U31" s="12">
        <f t="shared" si="1"/>
        <v>168</v>
      </c>
      <c r="V31" s="25" t="s">
        <v>10</v>
      </c>
      <c r="W31" s="11">
        <f>IFERROR(VLOOKUP(V31,Curr!$B$2:$C$13,2,FALSE),0)</f>
        <v>11.2</v>
      </c>
      <c r="X31" s="12">
        <f t="shared" si="2"/>
        <v>1881.6</v>
      </c>
      <c r="Y31" s="26">
        <f t="shared" si="12"/>
        <v>105</v>
      </c>
      <c r="Z31" s="12">
        <f t="shared" si="4"/>
        <v>210</v>
      </c>
      <c r="AA31" s="4" t="s">
        <v>10</v>
      </c>
      <c r="AB31" s="11">
        <f>IFERROR(VLOOKUP(AA31,Curr!$B$2:$C$13,2,FALSE),0)</f>
        <v>11.2</v>
      </c>
      <c r="AC31" s="12">
        <f t="shared" si="5"/>
        <v>2352</v>
      </c>
      <c r="AD31" s="12">
        <f t="shared" si="6"/>
        <v>470.40000000000009</v>
      </c>
      <c r="AE31" s="13">
        <f t="shared" si="7"/>
        <v>0.20000000000000004</v>
      </c>
    </row>
    <row r="32" spans="2:31" x14ac:dyDescent="0.25">
      <c r="B32" s="4"/>
      <c r="E32" s="3"/>
      <c r="F32" s="3"/>
      <c r="G32" s="24"/>
      <c r="H32" s="24"/>
      <c r="K32" s="4"/>
      <c r="L32" s="4"/>
      <c r="M32" s="4"/>
      <c r="N32" s="4"/>
      <c r="O32" s="4"/>
      <c r="P32" s="33"/>
      <c r="Q32" s="25"/>
      <c r="R32" s="25"/>
      <c r="S32" s="12">
        <f t="shared" si="0"/>
        <v>0</v>
      </c>
      <c r="T32" s="5">
        <v>0</v>
      </c>
      <c r="U32" s="12">
        <f t="shared" si="1"/>
        <v>0</v>
      </c>
      <c r="V32" s="25" t="s">
        <v>10</v>
      </c>
      <c r="W32" s="11">
        <f>IFERROR(VLOOKUP(V32,Curr!$B$2:$C$13,2,FALSE),0)</f>
        <v>11.2</v>
      </c>
      <c r="X32" s="12">
        <f t="shared" si="2"/>
        <v>0</v>
      </c>
      <c r="Y32" s="26">
        <f t="shared" si="12"/>
        <v>0</v>
      </c>
      <c r="Z32" s="12">
        <f t="shared" si="4"/>
        <v>0</v>
      </c>
      <c r="AA32" s="4" t="s">
        <v>10</v>
      </c>
      <c r="AB32" s="11">
        <f>IFERROR(VLOOKUP(AA32,Curr!$B$2:$C$13,2,FALSE),0)</f>
        <v>11.2</v>
      </c>
      <c r="AC32" s="12">
        <f t="shared" si="5"/>
        <v>0</v>
      </c>
      <c r="AD32" s="12">
        <f t="shared" si="6"/>
        <v>0</v>
      </c>
      <c r="AE32" s="13">
        <f t="shared" si="7"/>
        <v>0</v>
      </c>
    </row>
    <row r="33" spans="2:31" x14ac:dyDescent="0.25">
      <c r="B33" s="4"/>
      <c r="C33" s="1" t="s">
        <v>81</v>
      </c>
      <c r="D33" s="1" t="s">
        <v>73</v>
      </c>
      <c r="E33" s="3"/>
      <c r="F33" s="3"/>
      <c r="G33" s="24"/>
      <c r="H33" s="24"/>
      <c r="J33" s="1" t="s">
        <v>89</v>
      </c>
      <c r="K33" s="4"/>
      <c r="L33" s="4"/>
      <c r="M33" s="4"/>
      <c r="N33" s="4"/>
      <c r="O33" s="4" t="s">
        <v>42</v>
      </c>
      <c r="P33" s="33" t="s">
        <v>90</v>
      </c>
      <c r="Q33" s="25">
        <v>1695</v>
      </c>
      <c r="R33" s="25">
        <v>2</v>
      </c>
      <c r="S33" s="12">
        <f t="shared" si="0"/>
        <v>3390</v>
      </c>
      <c r="T33" s="5">
        <v>0.2</v>
      </c>
      <c r="U33" s="12">
        <f t="shared" si="1"/>
        <v>2712</v>
      </c>
      <c r="V33" s="25" t="s">
        <v>8</v>
      </c>
      <c r="W33" s="11">
        <f>IFERROR(VLOOKUP(V33,Curr!$B$2:$C$13,2,FALSE),0)</f>
        <v>1</v>
      </c>
      <c r="X33" s="12">
        <f t="shared" si="2"/>
        <v>2712</v>
      </c>
      <c r="Y33" s="26">
        <f>Q33/11.3</f>
        <v>150</v>
      </c>
      <c r="Z33" s="12">
        <f t="shared" si="4"/>
        <v>300</v>
      </c>
      <c r="AA33" s="4" t="s">
        <v>10</v>
      </c>
      <c r="AB33" s="11">
        <f>IFERROR(VLOOKUP(AA33,Curr!$B$2:$C$13,2,FALSE),0)</f>
        <v>11.2</v>
      </c>
      <c r="AC33" s="12">
        <f t="shared" si="5"/>
        <v>3360</v>
      </c>
      <c r="AD33" s="12">
        <f t="shared" si="6"/>
        <v>648</v>
      </c>
      <c r="AE33" s="13">
        <f t="shared" si="7"/>
        <v>0.19285714285714287</v>
      </c>
    </row>
    <row r="34" spans="2:31" x14ac:dyDescent="0.25">
      <c r="B34" s="4"/>
      <c r="C34" s="1" t="s">
        <v>81</v>
      </c>
      <c r="D34" s="1" t="s">
        <v>53</v>
      </c>
      <c r="E34" s="3"/>
      <c r="F34" s="3"/>
      <c r="G34" s="24"/>
      <c r="H34" s="24"/>
      <c r="J34" s="1" t="s">
        <v>85</v>
      </c>
      <c r="K34" s="4"/>
      <c r="L34" s="4"/>
      <c r="M34" s="4"/>
      <c r="N34" s="4"/>
      <c r="O34" s="4"/>
      <c r="P34" s="33"/>
      <c r="Q34" s="25">
        <v>0</v>
      </c>
      <c r="R34" s="25">
        <v>0</v>
      </c>
      <c r="S34" s="12">
        <f t="shared" si="0"/>
        <v>0</v>
      </c>
      <c r="T34" s="5">
        <v>0</v>
      </c>
      <c r="U34" s="12">
        <f t="shared" si="1"/>
        <v>0</v>
      </c>
      <c r="V34" s="25" t="s">
        <v>10</v>
      </c>
      <c r="W34" s="11">
        <f>IFERROR(VLOOKUP(V34,Curr!$B$2:$C$13,2,FALSE),0)</f>
        <v>11.2</v>
      </c>
      <c r="X34" s="12">
        <f t="shared" si="2"/>
        <v>0</v>
      </c>
      <c r="Y34" s="26">
        <f t="shared" si="12"/>
        <v>0</v>
      </c>
      <c r="Z34" s="12">
        <f t="shared" si="4"/>
        <v>0</v>
      </c>
      <c r="AA34" s="4" t="s">
        <v>10</v>
      </c>
      <c r="AB34" s="11">
        <f>IFERROR(VLOOKUP(AA34,Curr!$B$2:$C$13,2,FALSE),0)</f>
        <v>11.2</v>
      </c>
      <c r="AC34" s="12">
        <f t="shared" si="5"/>
        <v>0</v>
      </c>
      <c r="AD34" s="12">
        <f t="shared" si="6"/>
        <v>0</v>
      </c>
      <c r="AE34" s="13">
        <f t="shared" si="7"/>
        <v>0</v>
      </c>
    </row>
    <row r="35" spans="2:31" x14ac:dyDescent="0.25">
      <c r="B35" s="4"/>
      <c r="C35" s="1" t="s">
        <v>81</v>
      </c>
      <c r="D35" s="1" t="s">
        <v>73</v>
      </c>
      <c r="E35" s="3"/>
      <c r="F35" s="3"/>
      <c r="G35" s="24"/>
      <c r="H35" s="24"/>
      <c r="J35" s="1" t="s">
        <v>332</v>
      </c>
      <c r="K35" s="4"/>
      <c r="L35" s="4"/>
      <c r="M35" s="4"/>
      <c r="N35" s="4"/>
      <c r="O35" s="4" t="s">
        <v>42</v>
      </c>
      <c r="P35" s="33" t="s">
        <v>333</v>
      </c>
      <c r="Q35" s="25">
        <v>120</v>
      </c>
      <c r="R35" s="25">
        <v>2</v>
      </c>
      <c r="S35" s="12">
        <f t="shared" si="0"/>
        <v>240</v>
      </c>
      <c r="T35" s="5">
        <v>0.2</v>
      </c>
      <c r="U35" s="12">
        <f t="shared" si="1"/>
        <v>192</v>
      </c>
      <c r="V35" s="25" t="s">
        <v>10</v>
      </c>
      <c r="W35" s="11">
        <f>IFERROR(VLOOKUP(V35,Curr!$B$2:$C$13,2,FALSE),0)</f>
        <v>11.2</v>
      </c>
      <c r="X35" s="12">
        <f t="shared" si="2"/>
        <v>2150.3999999999996</v>
      </c>
      <c r="Y35" s="26">
        <f>Q35</f>
        <v>120</v>
      </c>
      <c r="Z35" s="12">
        <f t="shared" si="4"/>
        <v>240</v>
      </c>
      <c r="AA35" s="4" t="s">
        <v>10</v>
      </c>
      <c r="AB35" s="11">
        <f>IFERROR(VLOOKUP(AA35,Curr!$B$2:$C$13,2,FALSE),0)</f>
        <v>11.2</v>
      </c>
      <c r="AC35" s="12">
        <f t="shared" si="5"/>
        <v>2688</v>
      </c>
      <c r="AD35" s="12">
        <f t="shared" si="6"/>
        <v>537.60000000000036</v>
      </c>
      <c r="AE35" s="13">
        <f t="shared" si="7"/>
        <v>0.20000000000000012</v>
      </c>
    </row>
    <row r="36" spans="2:31" x14ac:dyDescent="0.25">
      <c r="B36" s="4"/>
      <c r="E36" s="3"/>
      <c r="F36" s="3"/>
      <c r="G36" s="24"/>
      <c r="H36" s="24"/>
      <c r="K36" s="4"/>
      <c r="L36" s="4"/>
      <c r="M36" s="4"/>
      <c r="N36" s="4"/>
      <c r="O36" s="4"/>
      <c r="P36" s="27"/>
      <c r="Q36" s="25"/>
      <c r="R36" s="25"/>
      <c r="S36" s="12">
        <f t="shared" si="0"/>
        <v>0</v>
      </c>
      <c r="T36" s="5">
        <v>0</v>
      </c>
      <c r="U36" s="12">
        <f t="shared" si="1"/>
        <v>0</v>
      </c>
      <c r="V36" s="25" t="s">
        <v>10</v>
      </c>
      <c r="W36" s="11">
        <f>IFERROR(VLOOKUP(V36,Curr!$B$2:$C$13,2,FALSE),0)</f>
        <v>11.2</v>
      </c>
      <c r="X36" s="12">
        <f t="shared" si="2"/>
        <v>0</v>
      </c>
      <c r="Y36" s="26">
        <f t="shared" si="12"/>
        <v>0</v>
      </c>
      <c r="Z36" s="12">
        <f t="shared" si="4"/>
        <v>0</v>
      </c>
      <c r="AA36" s="4" t="s">
        <v>10</v>
      </c>
      <c r="AB36" s="11">
        <f>IFERROR(VLOOKUP(AA36,Curr!$B$2:$C$13,2,FALSE),0)</f>
        <v>11.2</v>
      </c>
      <c r="AC36" s="12">
        <f t="shared" si="5"/>
        <v>0</v>
      </c>
      <c r="AD36" s="12">
        <f t="shared" si="6"/>
        <v>0</v>
      </c>
      <c r="AE36" s="13">
        <f t="shared" si="7"/>
        <v>0</v>
      </c>
    </row>
    <row r="37" spans="2:31" x14ac:dyDescent="0.25">
      <c r="B37" s="4"/>
      <c r="C37" s="1" t="s">
        <v>114</v>
      </c>
      <c r="D37" s="1" t="s">
        <v>50</v>
      </c>
      <c r="E37" s="3"/>
      <c r="F37" s="3"/>
      <c r="G37" s="24"/>
      <c r="H37" s="24"/>
      <c r="J37" s="1" t="s">
        <v>91</v>
      </c>
      <c r="K37" s="4"/>
      <c r="L37" s="4"/>
      <c r="M37" s="4"/>
      <c r="N37" s="4"/>
      <c r="O37" s="4"/>
      <c r="P37" s="33"/>
      <c r="Q37" s="25">
        <v>0</v>
      </c>
      <c r="R37" s="25">
        <v>0</v>
      </c>
      <c r="S37" s="12">
        <f t="shared" si="0"/>
        <v>0</v>
      </c>
      <c r="T37" s="5">
        <v>0</v>
      </c>
      <c r="U37" s="12">
        <f t="shared" si="1"/>
        <v>0</v>
      </c>
      <c r="V37" s="25" t="s">
        <v>8</v>
      </c>
      <c r="W37" s="11">
        <f>IFERROR(VLOOKUP(V37,Curr!$B$2:$C$13,2,FALSE),0)</f>
        <v>1</v>
      </c>
      <c r="X37" s="12">
        <f t="shared" si="2"/>
        <v>0</v>
      </c>
      <c r="Y37" s="26">
        <f>Q37/11.3/0.8</f>
        <v>0</v>
      </c>
      <c r="Z37" s="12">
        <f t="shared" si="4"/>
        <v>0</v>
      </c>
      <c r="AA37" s="4" t="s">
        <v>10</v>
      </c>
      <c r="AB37" s="11">
        <f>IFERROR(VLOOKUP(AA37,Curr!$B$2:$C$13,2,FALSE),0)</f>
        <v>11.2</v>
      </c>
      <c r="AC37" s="12">
        <f t="shared" si="5"/>
        <v>0</v>
      </c>
      <c r="AD37" s="12">
        <f t="shared" si="6"/>
        <v>0</v>
      </c>
      <c r="AE37" s="13">
        <f t="shared" si="7"/>
        <v>0</v>
      </c>
    </row>
    <row r="38" spans="2:31" x14ac:dyDescent="0.25">
      <c r="B38" s="4"/>
      <c r="C38" s="1" t="s">
        <v>114</v>
      </c>
      <c r="D38" s="1" t="s">
        <v>82</v>
      </c>
      <c r="E38" s="3"/>
      <c r="F38" s="3"/>
      <c r="G38" s="24"/>
      <c r="H38" s="24"/>
      <c r="J38" s="1" t="s">
        <v>92</v>
      </c>
      <c r="K38" s="4"/>
      <c r="L38" s="4"/>
      <c r="M38" s="4"/>
      <c r="N38" s="4"/>
      <c r="O38" s="4"/>
      <c r="P38" s="33"/>
      <c r="Q38" s="25">
        <v>0</v>
      </c>
      <c r="R38" s="25">
        <v>0</v>
      </c>
      <c r="S38" s="12">
        <f t="shared" si="0"/>
        <v>0</v>
      </c>
      <c r="T38" s="5">
        <v>0</v>
      </c>
      <c r="U38" s="12">
        <f t="shared" si="1"/>
        <v>0</v>
      </c>
      <c r="V38" s="25" t="s">
        <v>10</v>
      </c>
      <c r="W38" s="11">
        <f>IFERROR(VLOOKUP(V38,Curr!$B$2:$C$13,2,FALSE),0)</f>
        <v>11.2</v>
      </c>
      <c r="X38" s="12">
        <f t="shared" si="2"/>
        <v>0</v>
      </c>
      <c r="Y38" s="26">
        <f t="shared" si="12"/>
        <v>0</v>
      </c>
      <c r="Z38" s="12">
        <f t="shared" si="4"/>
        <v>0</v>
      </c>
      <c r="AA38" s="4" t="s">
        <v>10</v>
      </c>
      <c r="AB38" s="11">
        <f>IFERROR(VLOOKUP(AA38,Curr!$B$2:$C$13,2,FALSE),0)</f>
        <v>11.2</v>
      </c>
      <c r="AC38" s="12">
        <f t="shared" si="5"/>
        <v>0</v>
      </c>
      <c r="AD38" s="12">
        <f t="shared" si="6"/>
        <v>0</v>
      </c>
      <c r="AE38" s="13">
        <f t="shared" si="7"/>
        <v>0</v>
      </c>
    </row>
    <row r="39" spans="2:31" x14ac:dyDescent="0.25">
      <c r="B39" s="4"/>
      <c r="E39" s="3"/>
      <c r="F39" s="3"/>
      <c r="G39" s="24"/>
      <c r="H39" s="24"/>
      <c r="K39" s="4"/>
      <c r="L39" s="4"/>
      <c r="M39" s="4"/>
      <c r="N39" s="4"/>
      <c r="O39" s="4"/>
      <c r="P39" s="27"/>
      <c r="Q39" s="25"/>
      <c r="R39" s="25"/>
      <c r="S39" s="12">
        <f t="shared" si="0"/>
        <v>0</v>
      </c>
      <c r="T39" s="5">
        <v>0</v>
      </c>
      <c r="U39" s="12">
        <f t="shared" si="1"/>
        <v>0</v>
      </c>
      <c r="V39" s="25" t="s">
        <v>10</v>
      </c>
      <c r="W39" s="11">
        <f>IFERROR(VLOOKUP(V39,Curr!$B$2:$C$13,2,FALSE),0)</f>
        <v>11.2</v>
      </c>
      <c r="X39" s="12">
        <f t="shared" si="2"/>
        <v>0</v>
      </c>
      <c r="Y39" s="26">
        <f t="shared" si="3"/>
        <v>0</v>
      </c>
      <c r="Z39" s="12">
        <f t="shared" si="4"/>
        <v>0</v>
      </c>
      <c r="AA39" s="4" t="s">
        <v>10</v>
      </c>
      <c r="AB39" s="11">
        <f>IFERROR(VLOOKUP(AA39,Curr!$B$2:$C$13,2,FALSE),0)</f>
        <v>11.2</v>
      </c>
      <c r="AC39" s="12">
        <f t="shared" si="5"/>
        <v>0</v>
      </c>
      <c r="AD39" s="12">
        <f t="shared" si="6"/>
        <v>0</v>
      </c>
      <c r="AE39" s="13">
        <f t="shared" si="7"/>
        <v>0</v>
      </c>
    </row>
    <row r="40" spans="2:31" x14ac:dyDescent="0.25">
      <c r="B40" s="4"/>
      <c r="C40" s="1" t="s">
        <v>55</v>
      </c>
      <c r="D40" s="1" t="s">
        <v>93</v>
      </c>
      <c r="E40" s="3"/>
      <c r="F40" s="3"/>
      <c r="G40" s="24"/>
      <c r="H40" s="24"/>
      <c r="J40" s="1" t="s">
        <v>95</v>
      </c>
      <c r="K40" s="4"/>
      <c r="L40" s="4"/>
      <c r="M40" s="4"/>
      <c r="N40" s="4"/>
      <c r="O40" s="4"/>
      <c r="P40" s="33"/>
      <c r="Q40" s="25">
        <v>1750</v>
      </c>
      <c r="R40" s="25">
        <v>0</v>
      </c>
      <c r="S40" s="12">
        <f t="shared" si="0"/>
        <v>0</v>
      </c>
      <c r="T40" s="5">
        <v>0</v>
      </c>
      <c r="U40" s="12">
        <f t="shared" si="1"/>
        <v>0</v>
      </c>
      <c r="V40" s="25" t="s">
        <v>8</v>
      </c>
      <c r="W40" s="11">
        <f>IFERROR(VLOOKUP(V40,Curr!$B$2:$C$13,2,FALSE),0)</f>
        <v>1</v>
      </c>
      <c r="X40" s="12">
        <f t="shared" si="2"/>
        <v>0</v>
      </c>
      <c r="Y40" s="26">
        <f>Q40/11.3/0.8</f>
        <v>193.58407079646017</v>
      </c>
      <c r="Z40" s="12">
        <f t="shared" si="4"/>
        <v>0</v>
      </c>
      <c r="AA40" s="4" t="s">
        <v>10</v>
      </c>
      <c r="AB40" s="11">
        <f>IFERROR(VLOOKUP(AA40,Curr!$B$2:$C$13,2,FALSE),0)</f>
        <v>11.2</v>
      </c>
      <c r="AC40" s="12">
        <f t="shared" si="5"/>
        <v>0</v>
      </c>
      <c r="AD40" s="12">
        <f t="shared" si="6"/>
        <v>0</v>
      </c>
      <c r="AE40" s="13">
        <f t="shared" si="7"/>
        <v>0</v>
      </c>
    </row>
    <row r="41" spans="2:31" x14ac:dyDescent="0.25">
      <c r="B41" s="4"/>
      <c r="C41" s="1" t="s">
        <v>63</v>
      </c>
      <c r="D41" s="1" t="s">
        <v>93</v>
      </c>
      <c r="E41" s="3"/>
      <c r="F41" s="3"/>
      <c r="G41" s="24"/>
      <c r="H41" s="24"/>
      <c r="J41" s="1" t="s">
        <v>196</v>
      </c>
      <c r="K41" s="4"/>
      <c r="L41" s="4"/>
      <c r="M41" s="4"/>
      <c r="N41" s="4"/>
      <c r="O41" s="4"/>
      <c r="P41" s="27"/>
      <c r="Q41" s="25">
        <v>1750</v>
      </c>
      <c r="R41" s="25">
        <v>0</v>
      </c>
      <c r="S41" s="12">
        <f t="shared" si="0"/>
        <v>0</v>
      </c>
      <c r="T41" s="5">
        <v>0</v>
      </c>
      <c r="U41" s="12">
        <f t="shared" si="1"/>
        <v>0</v>
      </c>
      <c r="V41" s="25" t="s">
        <v>8</v>
      </c>
      <c r="W41" s="11">
        <f>IFERROR(VLOOKUP(V41,Curr!$B$2:$C$13,2,FALSE),0)</f>
        <v>1</v>
      </c>
      <c r="X41" s="12">
        <f t="shared" ref="X41:X45" si="13">U41*W41</f>
        <v>0</v>
      </c>
      <c r="Y41" s="26">
        <f t="shared" ref="Y41:Y45" si="14">Q41/11.3/0.8</f>
        <v>193.58407079646017</v>
      </c>
      <c r="Z41" s="12">
        <f t="shared" si="4"/>
        <v>0</v>
      </c>
      <c r="AA41" s="4" t="s">
        <v>10</v>
      </c>
      <c r="AB41" s="11">
        <f>IFERROR(VLOOKUP(AA41,Curr!$B$2:$C$13,2,FALSE),0)</f>
        <v>11.2</v>
      </c>
      <c r="AC41" s="12">
        <f t="shared" si="5"/>
        <v>0</v>
      </c>
      <c r="AD41" s="12">
        <f t="shared" si="6"/>
        <v>0</v>
      </c>
      <c r="AE41" s="13">
        <f t="shared" si="7"/>
        <v>0</v>
      </c>
    </row>
    <row r="42" spans="2:31" x14ac:dyDescent="0.25">
      <c r="B42" s="4"/>
      <c r="C42" s="1" t="s">
        <v>63</v>
      </c>
      <c r="D42" s="1" t="s">
        <v>93</v>
      </c>
      <c r="E42" s="3"/>
      <c r="F42" s="3"/>
      <c r="G42" s="24"/>
      <c r="H42" s="24"/>
      <c r="J42" s="1" t="s">
        <v>150</v>
      </c>
      <c r="K42" s="4"/>
      <c r="L42" s="4"/>
      <c r="M42" s="4"/>
      <c r="N42" s="4"/>
      <c r="O42" s="4"/>
      <c r="P42" s="27"/>
      <c r="Q42" s="25">
        <v>900</v>
      </c>
      <c r="R42" s="25">
        <v>0</v>
      </c>
      <c r="S42" s="12">
        <f t="shared" si="0"/>
        <v>0</v>
      </c>
      <c r="T42" s="5">
        <v>0</v>
      </c>
      <c r="U42" s="12">
        <f t="shared" si="1"/>
        <v>0</v>
      </c>
      <c r="V42" s="25" t="s">
        <v>8</v>
      </c>
      <c r="W42" s="11">
        <f>IFERROR(VLOOKUP(V42,Curr!$B$2:$C$13,2,FALSE),0)</f>
        <v>1</v>
      </c>
      <c r="X42" s="12">
        <f t="shared" si="13"/>
        <v>0</v>
      </c>
      <c r="Y42" s="26">
        <f t="shared" si="14"/>
        <v>99.55752212389379</v>
      </c>
      <c r="Z42" s="12">
        <f t="shared" si="4"/>
        <v>0</v>
      </c>
      <c r="AA42" s="4" t="s">
        <v>10</v>
      </c>
      <c r="AB42" s="11">
        <f>IFERROR(VLOOKUP(AA42,Curr!$B$2:$C$13,2,FALSE),0)</f>
        <v>11.2</v>
      </c>
      <c r="AC42" s="12">
        <f t="shared" si="5"/>
        <v>0</v>
      </c>
      <c r="AD42" s="12">
        <f t="shared" si="6"/>
        <v>0</v>
      </c>
      <c r="AE42" s="13">
        <f t="shared" si="7"/>
        <v>0</v>
      </c>
    </row>
    <row r="43" spans="2:31" x14ac:dyDescent="0.25">
      <c r="B43" s="4"/>
      <c r="C43" s="1" t="s">
        <v>80</v>
      </c>
      <c r="D43" s="1" t="s">
        <v>93</v>
      </c>
      <c r="E43" s="3"/>
      <c r="F43" s="3"/>
      <c r="G43" s="24"/>
      <c r="H43" s="24"/>
      <c r="J43" s="1" t="s">
        <v>151</v>
      </c>
      <c r="K43" s="4"/>
      <c r="L43" s="4"/>
      <c r="M43" s="4"/>
      <c r="N43" s="4"/>
      <c r="O43" s="4"/>
      <c r="P43" s="27"/>
      <c r="Q43" s="25">
        <v>900</v>
      </c>
      <c r="R43" s="25">
        <v>0</v>
      </c>
      <c r="S43" s="12">
        <f t="shared" si="0"/>
        <v>0</v>
      </c>
      <c r="T43" s="5">
        <v>0</v>
      </c>
      <c r="U43" s="12">
        <f t="shared" si="1"/>
        <v>0</v>
      </c>
      <c r="V43" s="25" t="s">
        <v>8</v>
      </c>
      <c r="W43" s="11">
        <f>IFERROR(VLOOKUP(V43,Curr!$B$2:$C$13,2,FALSE),0)</f>
        <v>1</v>
      </c>
      <c r="X43" s="12">
        <f t="shared" si="13"/>
        <v>0</v>
      </c>
      <c r="Y43" s="26">
        <f t="shared" si="14"/>
        <v>99.55752212389379</v>
      </c>
      <c r="Z43" s="12">
        <f t="shared" si="4"/>
        <v>0</v>
      </c>
      <c r="AA43" s="4" t="s">
        <v>10</v>
      </c>
      <c r="AB43" s="11">
        <f>IFERROR(VLOOKUP(AA43,Curr!$B$2:$C$13,2,FALSE),0)</f>
        <v>11.2</v>
      </c>
      <c r="AC43" s="12">
        <f t="shared" si="5"/>
        <v>0</v>
      </c>
      <c r="AD43" s="12">
        <f t="shared" si="6"/>
        <v>0</v>
      </c>
      <c r="AE43" s="13">
        <f t="shared" si="7"/>
        <v>0</v>
      </c>
    </row>
    <row r="44" spans="2:31" x14ac:dyDescent="0.25">
      <c r="B44" s="4"/>
      <c r="C44" s="1" t="s">
        <v>80</v>
      </c>
      <c r="D44" s="1" t="s">
        <v>93</v>
      </c>
      <c r="E44" s="3"/>
      <c r="F44" s="3"/>
      <c r="G44" s="24"/>
      <c r="H44" s="24"/>
      <c r="J44" s="1" t="s">
        <v>99</v>
      </c>
      <c r="K44" s="4"/>
      <c r="L44" s="4"/>
      <c r="M44" s="4"/>
      <c r="N44" s="4"/>
      <c r="O44" s="4"/>
      <c r="P44" s="33"/>
      <c r="Q44" s="25">
        <v>900</v>
      </c>
      <c r="R44" s="25">
        <v>0</v>
      </c>
      <c r="S44" s="12">
        <f t="shared" si="0"/>
        <v>0</v>
      </c>
      <c r="T44" s="5">
        <v>0</v>
      </c>
      <c r="U44" s="12">
        <f t="shared" si="1"/>
        <v>0</v>
      </c>
      <c r="V44" s="25" t="s">
        <v>8</v>
      </c>
      <c r="W44" s="11">
        <f>IFERROR(VLOOKUP(V44,Curr!$B$2:$C$13,2,FALSE),0)</f>
        <v>1</v>
      </c>
      <c r="X44" s="12">
        <f t="shared" si="13"/>
        <v>0</v>
      </c>
      <c r="Y44" s="26">
        <f t="shared" si="14"/>
        <v>99.55752212389379</v>
      </c>
      <c r="Z44" s="12">
        <f t="shared" si="4"/>
        <v>0</v>
      </c>
      <c r="AA44" s="4" t="s">
        <v>10</v>
      </c>
      <c r="AB44" s="11">
        <f>IFERROR(VLOOKUP(AA44,Curr!$B$2:$C$13,2,FALSE),0)</f>
        <v>11.2</v>
      </c>
      <c r="AC44" s="12">
        <f t="shared" si="5"/>
        <v>0</v>
      </c>
      <c r="AD44" s="12">
        <f t="shared" si="6"/>
        <v>0</v>
      </c>
      <c r="AE44" s="13">
        <f t="shared" si="7"/>
        <v>0</v>
      </c>
    </row>
    <row r="45" spans="2:31" x14ac:dyDescent="0.25">
      <c r="B45" s="4"/>
      <c r="C45" s="1" t="s">
        <v>114</v>
      </c>
      <c r="D45" s="1" t="s">
        <v>93</v>
      </c>
      <c r="E45" s="3"/>
      <c r="F45" s="3"/>
      <c r="G45" s="24"/>
      <c r="H45" s="24"/>
      <c r="J45" s="1" t="s">
        <v>98</v>
      </c>
      <c r="K45" s="4"/>
      <c r="L45" s="4"/>
      <c r="M45" s="4"/>
      <c r="N45" s="4"/>
      <c r="O45" s="4"/>
      <c r="P45" s="27"/>
      <c r="Q45" s="25">
        <v>900</v>
      </c>
      <c r="R45" s="25">
        <v>0</v>
      </c>
      <c r="S45" s="12">
        <f t="shared" si="0"/>
        <v>0</v>
      </c>
      <c r="T45" s="5">
        <v>0</v>
      </c>
      <c r="U45" s="12">
        <f t="shared" si="1"/>
        <v>0</v>
      </c>
      <c r="V45" s="25" t="s">
        <v>8</v>
      </c>
      <c r="W45" s="11">
        <f>IFERROR(VLOOKUP(V45,Curr!$B$2:$C$13,2,FALSE),0)</f>
        <v>1</v>
      </c>
      <c r="X45" s="12">
        <f t="shared" si="13"/>
        <v>0</v>
      </c>
      <c r="Y45" s="26">
        <f t="shared" si="14"/>
        <v>99.55752212389379</v>
      </c>
      <c r="Z45" s="12">
        <f t="shared" si="4"/>
        <v>0</v>
      </c>
      <c r="AA45" s="4" t="s">
        <v>10</v>
      </c>
      <c r="AB45" s="11">
        <f>IFERROR(VLOOKUP(AA45,Curr!$B$2:$C$13,2,FALSE),0)</f>
        <v>11.2</v>
      </c>
      <c r="AC45" s="12">
        <f t="shared" si="5"/>
        <v>0</v>
      </c>
      <c r="AD45" s="12">
        <f t="shared" si="6"/>
        <v>0</v>
      </c>
      <c r="AE45" s="13">
        <f t="shared" si="7"/>
        <v>0</v>
      </c>
    </row>
    <row r="46" spans="2:31" x14ac:dyDescent="0.25">
      <c r="B46" s="4"/>
      <c r="E46" s="3"/>
      <c r="F46" s="3"/>
      <c r="G46" s="24"/>
      <c r="H46" s="24"/>
      <c r="K46" s="4"/>
      <c r="L46" s="4"/>
      <c r="M46" s="4"/>
      <c r="N46" s="4"/>
      <c r="O46" s="4"/>
      <c r="P46" s="27"/>
      <c r="Q46" s="25"/>
      <c r="R46" s="25"/>
      <c r="S46" s="12">
        <f t="shared" si="0"/>
        <v>0</v>
      </c>
      <c r="T46" s="5">
        <v>0</v>
      </c>
      <c r="U46" s="12">
        <f t="shared" si="1"/>
        <v>0</v>
      </c>
      <c r="V46" s="25" t="s">
        <v>10</v>
      </c>
      <c r="W46" s="11">
        <f>IFERROR(VLOOKUP(V46,Curr!$B$2:$C$13,2,FALSE),0)</f>
        <v>11.2</v>
      </c>
      <c r="X46" s="12">
        <f t="shared" si="2"/>
        <v>0</v>
      </c>
      <c r="Y46" s="26">
        <f t="shared" si="3"/>
        <v>0</v>
      </c>
      <c r="Z46" s="12">
        <f t="shared" si="4"/>
        <v>0</v>
      </c>
      <c r="AA46" s="4" t="s">
        <v>10</v>
      </c>
      <c r="AB46" s="11">
        <f>IFERROR(VLOOKUP(AA46,Curr!$B$2:$C$13,2,FALSE),0)</f>
        <v>11.2</v>
      </c>
      <c r="AC46" s="12">
        <f t="shared" si="5"/>
        <v>0</v>
      </c>
      <c r="AD46" s="12">
        <f t="shared" si="6"/>
        <v>0</v>
      </c>
      <c r="AE46" s="13">
        <f t="shared" si="7"/>
        <v>0</v>
      </c>
    </row>
    <row r="47" spans="2:31" x14ac:dyDescent="0.25">
      <c r="B47" s="4"/>
      <c r="E47" s="3"/>
      <c r="F47" s="3"/>
      <c r="G47" s="24"/>
      <c r="H47" s="24"/>
      <c r="K47" s="4"/>
      <c r="L47" s="4"/>
      <c r="M47" s="4"/>
      <c r="N47" s="4"/>
      <c r="O47" s="4"/>
      <c r="P47" s="27"/>
      <c r="Q47" s="25"/>
      <c r="R47" s="25"/>
      <c r="S47" s="12">
        <f t="shared" si="0"/>
        <v>0</v>
      </c>
      <c r="T47" s="5">
        <v>0</v>
      </c>
      <c r="U47" s="12">
        <f t="shared" si="1"/>
        <v>0</v>
      </c>
      <c r="V47" s="25" t="s">
        <v>10</v>
      </c>
      <c r="W47" s="11">
        <f>IFERROR(VLOOKUP(V47,Curr!$B$2:$C$13,2,FALSE),0)</f>
        <v>11.2</v>
      </c>
      <c r="X47" s="12">
        <f t="shared" si="2"/>
        <v>0</v>
      </c>
      <c r="Y47" s="26">
        <f t="shared" si="3"/>
        <v>0</v>
      </c>
      <c r="Z47" s="12">
        <f t="shared" si="4"/>
        <v>0</v>
      </c>
      <c r="AA47" s="4" t="s">
        <v>10</v>
      </c>
      <c r="AB47" s="11">
        <f>IFERROR(VLOOKUP(AA47,Curr!$B$2:$C$13,2,FALSE),0)</f>
        <v>11.2</v>
      </c>
      <c r="AC47" s="12">
        <f t="shared" si="5"/>
        <v>0</v>
      </c>
      <c r="AD47" s="12">
        <f t="shared" si="6"/>
        <v>0</v>
      </c>
      <c r="AE47" s="13">
        <f t="shared" si="7"/>
        <v>0</v>
      </c>
    </row>
    <row r="48" spans="2:31" x14ac:dyDescent="0.25">
      <c r="B48" s="4"/>
      <c r="C48" s="1" t="s">
        <v>78</v>
      </c>
      <c r="D48" s="1" t="s">
        <v>94</v>
      </c>
      <c r="E48" s="3"/>
      <c r="F48" s="3"/>
      <c r="G48" s="24"/>
      <c r="H48" s="24"/>
      <c r="J48" s="1" t="s">
        <v>215</v>
      </c>
      <c r="K48" s="4"/>
      <c r="L48" s="4"/>
      <c r="M48" s="4"/>
      <c r="N48" s="4"/>
      <c r="O48" s="4"/>
      <c r="P48" s="33" t="s">
        <v>219</v>
      </c>
      <c r="Q48" s="25">
        <v>140</v>
      </c>
      <c r="R48" s="25">
        <v>0</v>
      </c>
      <c r="S48" s="12">
        <f t="shared" si="0"/>
        <v>0</v>
      </c>
      <c r="T48" s="5">
        <v>0.2</v>
      </c>
      <c r="U48" s="12">
        <f t="shared" si="1"/>
        <v>0</v>
      </c>
      <c r="V48" s="25" t="s">
        <v>10</v>
      </c>
      <c r="W48" s="11">
        <f>IFERROR(VLOOKUP(V48,Curr!$B$2:$C$13,2,FALSE),0)</f>
        <v>11.2</v>
      </c>
      <c r="X48" s="12">
        <f t="shared" si="2"/>
        <v>0</v>
      </c>
      <c r="Y48" s="26">
        <f t="shared" si="3"/>
        <v>140</v>
      </c>
      <c r="Z48" s="12">
        <f t="shared" si="4"/>
        <v>0</v>
      </c>
      <c r="AA48" s="4" t="s">
        <v>10</v>
      </c>
      <c r="AB48" s="11">
        <f>IFERROR(VLOOKUP(AA48,Curr!$B$2:$C$13,2,FALSE),0)</f>
        <v>11.2</v>
      </c>
      <c r="AC48" s="12">
        <f t="shared" si="5"/>
        <v>0</v>
      </c>
      <c r="AD48" s="12">
        <f t="shared" si="6"/>
        <v>0</v>
      </c>
      <c r="AE48" s="13">
        <f t="shared" si="7"/>
        <v>0</v>
      </c>
    </row>
    <row r="49" spans="2:36" x14ac:dyDescent="0.25">
      <c r="B49" s="4"/>
      <c r="C49" s="1" t="s">
        <v>81</v>
      </c>
      <c r="D49" s="1" t="s">
        <v>94</v>
      </c>
      <c r="E49" s="3"/>
      <c r="F49" s="3"/>
      <c r="G49" s="24"/>
      <c r="H49" s="24"/>
      <c r="J49" s="1" t="s">
        <v>118</v>
      </c>
      <c r="K49" s="4"/>
      <c r="L49" s="4"/>
      <c r="M49" s="4"/>
      <c r="N49" s="4"/>
      <c r="O49" s="4" t="s">
        <v>42</v>
      </c>
      <c r="P49" s="33" t="s">
        <v>119</v>
      </c>
      <c r="Q49" s="25">
        <v>2195</v>
      </c>
      <c r="R49" s="25">
        <v>0</v>
      </c>
      <c r="S49" s="12">
        <f t="shared" si="0"/>
        <v>0</v>
      </c>
      <c r="T49" s="5">
        <v>0.2</v>
      </c>
      <c r="U49" s="12">
        <f t="shared" si="1"/>
        <v>0</v>
      </c>
      <c r="V49" s="25" t="s">
        <v>8</v>
      </c>
      <c r="W49" s="11">
        <f>IFERROR(VLOOKUP(V49,Curr!$B$2:$C$13,2,FALSE),0)</f>
        <v>1</v>
      </c>
      <c r="X49" s="12">
        <f t="shared" si="2"/>
        <v>0</v>
      </c>
      <c r="Y49" s="26">
        <f t="shared" ref="Y49" si="15">Q49/11.3</f>
        <v>194.24778761061947</v>
      </c>
      <c r="Z49" s="12">
        <f t="shared" si="4"/>
        <v>0</v>
      </c>
      <c r="AA49" s="4" t="s">
        <v>10</v>
      </c>
      <c r="AB49" s="11">
        <f>IFERROR(VLOOKUP(AA49,Curr!$B$2:$C$13,2,FALSE),0)</f>
        <v>11.2</v>
      </c>
      <c r="AC49" s="12">
        <f t="shared" si="5"/>
        <v>0</v>
      </c>
      <c r="AD49" s="12">
        <f t="shared" si="6"/>
        <v>0</v>
      </c>
      <c r="AE49" s="13">
        <f t="shared" si="7"/>
        <v>0</v>
      </c>
    </row>
    <row r="50" spans="2:36" x14ac:dyDescent="0.25">
      <c r="B50" s="4"/>
      <c r="E50" s="3"/>
      <c r="F50" s="3"/>
      <c r="G50" s="24"/>
      <c r="H50" s="24"/>
      <c r="K50" s="4"/>
      <c r="L50" s="4"/>
      <c r="M50" s="4"/>
      <c r="N50" s="4"/>
      <c r="O50" s="4"/>
      <c r="P50" s="27"/>
      <c r="Q50" s="25"/>
      <c r="R50" s="25"/>
      <c r="S50" s="12">
        <f t="shared" si="0"/>
        <v>0</v>
      </c>
      <c r="T50" s="5">
        <v>0</v>
      </c>
      <c r="U50" s="12">
        <f t="shared" si="1"/>
        <v>0</v>
      </c>
      <c r="V50" s="25" t="s">
        <v>10</v>
      </c>
      <c r="W50" s="11">
        <f>IFERROR(VLOOKUP(V50,Curr!$B$2:$C$13,2,FALSE),0)</f>
        <v>11.2</v>
      </c>
      <c r="X50" s="12">
        <f t="shared" si="2"/>
        <v>0</v>
      </c>
      <c r="Y50" s="26">
        <f t="shared" si="3"/>
        <v>0</v>
      </c>
      <c r="Z50" s="12">
        <f t="shared" si="4"/>
        <v>0</v>
      </c>
      <c r="AA50" s="4" t="s">
        <v>10</v>
      </c>
      <c r="AB50" s="11">
        <f>IFERROR(VLOOKUP(AA50,Curr!$B$2:$C$13,2,FALSE),0)</f>
        <v>11.2</v>
      </c>
      <c r="AC50" s="12">
        <f t="shared" si="5"/>
        <v>0</v>
      </c>
      <c r="AD50" s="12">
        <f t="shared" si="6"/>
        <v>0</v>
      </c>
      <c r="AE50" s="13">
        <f t="shared" si="7"/>
        <v>0</v>
      </c>
    </row>
    <row r="51" spans="2:36" x14ac:dyDescent="0.25">
      <c r="B51" s="4"/>
      <c r="E51" s="3"/>
      <c r="F51" s="3"/>
      <c r="G51" s="24"/>
      <c r="H51" s="24"/>
      <c r="K51" s="4"/>
      <c r="L51" s="4"/>
      <c r="M51" s="4"/>
      <c r="N51" s="4"/>
      <c r="O51" s="4"/>
      <c r="P51" s="27"/>
      <c r="Q51" s="25"/>
      <c r="R51" s="25"/>
      <c r="S51" s="12">
        <f t="shared" si="0"/>
        <v>0</v>
      </c>
      <c r="T51" s="5">
        <v>0</v>
      </c>
      <c r="U51" s="12">
        <f t="shared" si="1"/>
        <v>0</v>
      </c>
      <c r="V51" s="25" t="s">
        <v>10</v>
      </c>
      <c r="W51" s="11">
        <f>IFERROR(VLOOKUP(V51,Curr!$B$2:$C$13,2,FALSE),0)</f>
        <v>11.2</v>
      </c>
      <c r="X51" s="12">
        <f t="shared" si="2"/>
        <v>0</v>
      </c>
      <c r="Y51" s="26">
        <f t="shared" si="3"/>
        <v>0</v>
      </c>
      <c r="Z51" s="12">
        <f t="shared" si="4"/>
        <v>0</v>
      </c>
      <c r="AA51" s="4" t="s">
        <v>10</v>
      </c>
      <c r="AB51" s="11">
        <f>IFERROR(VLOOKUP(AA51,Curr!$B$2:$C$13,2,FALSE),0)</f>
        <v>11.2</v>
      </c>
      <c r="AC51" s="12">
        <f t="shared" si="5"/>
        <v>0</v>
      </c>
      <c r="AD51" s="12">
        <f t="shared" si="6"/>
        <v>0</v>
      </c>
      <c r="AE51" s="13">
        <f t="shared" si="7"/>
        <v>0</v>
      </c>
    </row>
    <row r="52" spans="2:36" x14ac:dyDescent="0.25">
      <c r="B52" s="4"/>
      <c r="E52" s="3"/>
      <c r="F52" s="3"/>
      <c r="G52" s="24"/>
      <c r="H52" s="24"/>
      <c r="K52" s="4"/>
      <c r="L52" s="4"/>
      <c r="M52" s="4"/>
      <c r="N52" s="4"/>
      <c r="O52" s="4"/>
      <c r="P52" s="27"/>
      <c r="Q52" s="25"/>
      <c r="R52" s="25"/>
      <c r="S52" s="12">
        <f t="shared" si="0"/>
        <v>0</v>
      </c>
      <c r="T52" s="5">
        <v>0</v>
      </c>
      <c r="U52" s="12">
        <f t="shared" si="1"/>
        <v>0</v>
      </c>
      <c r="V52" s="25" t="s">
        <v>10</v>
      </c>
      <c r="W52" s="11">
        <f>IFERROR(VLOOKUP(V52,Curr!$B$2:$C$13,2,FALSE),0)</f>
        <v>11.2</v>
      </c>
      <c r="X52" s="12">
        <f t="shared" si="2"/>
        <v>0</v>
      </c>
      <c r="Y52" s="26">
        <f t="shared" si="3"/>
        <v>0</v>
      </c>
      <c r="Z52" s="12">
        <f t="shared" si="4"/>
        <v>0</v>
      </c>
      <c r="AA52" s="4" t="s">
        <v>10</v>
      </c>
      <c r="AB52" s="11">
        <f>IFERROR(VLOOKUP(AA52,Curr!$B$2:$C$13,2,FALSE),0)</f>
        <v>11.2</v>
      </c>
      <c r="AC52" s="12">
        <f t="shared" si="5"/>
        <v>0</v>
      </c>
      <c r="AD52" s="12">
        <f t="shared" si="6"/>
        <v>0</v>
      </c>
      <c r="AE52" s="13">
        <f t="shared" si="7"/>
        <v>0</v>
      </c>
    </row>
    <row r="53" spans="2:36" x14ac:dyDescent="0.25">
      <c r="B53" s="4"/>
      <c r="E53" s="3"/>
      <c r="F53" s="3"/>
      <c r="G53" s="24"/>
      <c r="H53" s="24"/>
      <c r="K53" s="4"/>
      <c r="L53" s="4"/>
      <c r="M53" s="4"/>
      <c r="N53" s="4"/>
      <c r="O53" s="4"/>
      <c r="P53" s="27"/>
      <c r="Q53" s="25"/>
      <c r="R53" s="25"/>
      <c r="S53" s="12">
        <f t="shared" si="0"/>
        <v>0</v>
      </c>
      <c r="T53" s="5">
        <v>0</v>
      </c>
      <c r="U53" s="12">
        <f t="shared" si="1"/>
        <v>0</v>
      </c>
      <c r="V53" s="25" t="s">
        <v>10</v>
      </c>
      <c r="W53" s="11">
        <f>IFERROR(VLOOKUP(V53,Curr!$B$2:$C$13,2,FALSE),0)</f>
        <v>11.2</v>
      </c>
      <c r="X53" s="12">
        <f t="shared" si="2"/>
        <v>0</v>
      </c>
      <c r="Y53" s="26">
        <f t="shared" si="3"/>
        <v>0</v>
      </c>
      <c r="Z53" s="12">
        <f t="shared" si="4"/>
        <v>0</v>
      </c>
      <c r="AA53" s="4" t="s">
        <v>10</v>
      </c>
      <c r="AB53" s="11">
        <f>IFERROR(VLOOKUP(AA53,Curr!$B$2:$C$13,2,FALSE),0)</f>
        <v>11.2</v>
      </c>
      <c r="AC53" s="12">
        <f t="shared" si="5"/>
        <v>0</v>
      </c>
      <c r="AD53" s="12">
        <f t="shared" si="6"/>
        <v>0</v>
      </c>
      <c r="AE53" s="13">
        <f t="shared" si="7"/>
        <v>0</v>
      </c>
    </row>
    <row r="54" spans="2:36" x14ac:dyDescent="0.25">
      <c r="B54" s="4"/>
      <c r="E54" s="3"/>
      <c r="F54" s="3"/>
      <c r="G54" s="24"/>
      <c r="H54" s="24"/>
      <c r="K54" s="4"/>
      <c r="L54" s="4"/>
      <c r="M54" s="4"/>
      <c r="N54" s="4"/>
      <c r="O54" s="4"/>
      <c r="P54" s="27"/>
      <c r="Q54" s="25"/>
      <c r="R54" s="25"/>
      <c r="S54" s="12">
        <f t="shared" si="0"/>
        <v>0</v>
      </c>
      <c r="T54" s="5">
        <v>0</v>
      </c>
      <c r="U54" s="12">
        <f t="shared" si="1"/>
        <v>0</v>
      </c>
      <c r="V54" s="25" t="s">
        <v>10</v>
      </c>
      <c r="W54" s="11">
        <f>IFERROR(VLOOKUP(V54,Curr!$B$2:$C$13,2,FALSE),0)</f>
        <v>11.2</v>
      </c>
      <c r="X54" s="12">
        <f t="shared" si="2"/>
        <v>0</v>
      </c>
      <c r="Y54" s="26">
        <f t="shared" si="3"/>
        <v>0</v>
      </c>
      <c r="Z54" s="12">
        <f t="shared" si="4"/>
        <v>0</v>
      </c>
      <c r="AA54" s="4" t="s">
        <v>10</v>
      </c>
      <c r="AB54" s="11">
        <f>IFERROR(VLOOKUP(AA54,Curr!$B$2:$C$13,2,FALSE),0)</f>
        <v>11.2</v>
      </c>
      <c r="AC54" s="12">
        <f t="shared" si="5"/>
        <v>0</v>
      </c>
      <c r="AD54" s="12">
        <f t="shared" si="6"/>
        <v>0</v>
      </c>
      <c r="AE54" s="13">
        <f t="shared" si="7"/>
        <v>0</v>
      </c>
    </row>
    <row r="55" spans="2:36" x14ac:dyDescent="0.25">
      <c r="B55" s="4"/>
      <c r="E55" s="3"/>
      <c r="F55" s="3"/>
      <c r="G55" s="24"/>
      <c r="H55" s="24"/>
      <c r="K55" s="4"/>
      <c r="L55" s="4"/>
      <c r="M55" s="4"/>
      <c r="N55" s="4"/>
      <c r="O55" s="4"/>
      <c r="P55" s="27"/>
      <c r="Q55" s="25"/>
      <c r="R55" s="25"/>
      <c r="S55" s="12">
        <f t="shared" si="0"/>
        <v>0</v>
      </c>
      <c r="T55" s="5">
        <v>0</v>
      </c>
      <c r="U55" s="12">
        <f t="shared" si="1"/>
        <v>0</v>
      </c>
      <c r="V55" s="25" t="s">
        <v>10</v>
      </c>
      <c r="W55" s="11">
        <f>IFERROR(VLOOKUP(V55,Curr!$B$2:$C$13,2,FALSE),0)</f>
        <v>11.2</v>
      </c>
      <c r="X55" s="12">
        <f t="shared" si="2"/>
        <v>0</v>
      </c>
      <c r="Y55" s="26">
        <f t="shared" si="3"/>
        <v>0</v>
      </c>
      <c r="Z55" s="12">
        <f t="shared" si="4"/>
        <v>0</v>
      </c>
      <c r="AA55" s="4" t="s">
        <v>10</v>
      </c>
      <c r="AB55" s="11">
        <f>IFERROR(VLOOKUP(AA55,Curr!$B$2:$C$13,2,FALSE),0)</f>
        <v>11.2</v>
      </c>
      <c r="AC55" s="12">
        <f t="shared" si="5"/>
        <v>0</v>
      </c>
      <c r="AD55" s="12">
        <f t="shared" si="6"/>
        <v>0</v>
      </c>
      <c r="AE55" s="13">
        <f t="shared" si="7"/>
        <v>0</v>
      </c>
    </row>
    <row r="56" spans="2:36" x14ac:dyDescent="0.25">
      <c r="B56" s="4"/>
      <c r="E56" s="3"/>
      <c r="F56" s="3"/>
      <c r="G56" s="24"/>
      <c r="H56" s="24"/>
      <c r="K56" s="4"/>
      <c r="L56" s="4"/>
      <c r="M56" s="4"/>
      <c r="N56" s="4"/>
      <c r="O56" s="4"/>
      <c r="P56" s="27"/>
      <c r="Q56" s="25"/>
      <c r="R56" s="25"/>
      <c r="S56" s="12">
        <f t="shared" si="0"/>
        <v>0</v>
      </c>
      <c r="T56" s="5">
        <v>0</v>
      </c>
      <c r="U56" s="12">
        <f t="shared" si="1"/>
        <v>0</v>
      </c>
      <c r="V56" s="25" t="s">
        <v>10</v>
      </c>
      <c r="W56" s="11">
        <f>IFERROR(VLOOKUP(V56,Curr!$B$2:$C$13,2,FALSE),0)</f>
        <v>11.2</v>
      </c>
      <c r="X56" s="12">
        <f t="shared" si="2"/>
        <v>0</v>
      </c>
      <c r="Y56" s="26">
        <f t="shared" si="3"/>
        <v>0</v>
      </c>
      <c r="Z56" s="12">
        <f t="shared" si="4"/>
        <v>0</v>
      </c>
      <c r="AA56" s="4" t="s">
        <v>10</v>
      </c>
      <c r="AB56" s="11">
        <f>IFERROR(VLOOKUP(AA56,Curr!$B$2:$C$13,2,FALSE),0)</f>
        <v>11.2</v>
      </c>
      <c r="AC56" s="12">
        <f t="shared" si="5"/>
        <v>0</v>
      </c>
      <c r="AD56" s="12">
        <f t="shared" si="6"/>
        <v>0</v>
      </c>
      <c r="AE56" s="13">
        <f t="shared" si="7"/>
        <v>0</v>
      </c>
    </row>
    <row r="57" spans="2:36" x14ac:dyDescent="0.25">
      <c r="B57" s="4"/>
      <c r="E57" s="3"/>
      <c r="F57" s="3"/>
      <c r="G57" s="24"/>
      <c r="H57" s="24"/>
      <c r="K57" s="4"/>
      <c r="L57" s="4"/>
      <c r="M57" s="4"/>
      <c r="N57" s="4"/>
      <c r="O57" s="4"/>
      <c r="P57" s="27"/>
      <c r="Q57" s="25"/>
      <c r="R57" s="25"/>
      <c r="S57" s="12">
        <f t="shared" si="0"/>
        <v>0</v>
      </c>
      <c r="T57" s="5">
        <v>0</v>
      </c>
      <c r="U57" s="12">
        <f t="shared" si="1"/>
        <v>0</v>
      </c>
      <c r="V57" s="25" t="s">
        <v>10</v>
      </c>
      <c r="W57" s="11">
        <f>IFERROR(VLOOKUP(V57,Curr!$B$2:$C$13,2,FALSE),0)</f>
        <v>11.2</v>
      </c>
      <c r="X57" s="12">
        <f t="shared" si="2"/>
        <v>0</v>
      </c>
      <c r="Y57" s="26">
        <f t="shared" si="3"/>
        <v>0</v>
      </c>
      <c r="Z57" s="12">
        <f t="shared" si="4"/>
        <v>0</v>
      </c>
      <c r="AA57" s="4" t="s">
        <v>10</v>
      </c>
      <c r="AB57" s="11">
        <f>IFERROR(VLOOKUP(AA57,Curr!$B$2:$C$13,2,FALSE),0)</f>
        <v>11.2</v>
      </c>
      <c r="AC57" s="12">
        <f t="shared" si="5"/>
        <v>0</v>
      </c>
      <c r="AD57" s="12">
        <f t="shared" si="6"/>
        <v>0</v>
      </c>
      <c r="AE57" s="13">
        <f t="shared" si="7"/>
        <v>0</v>
      </c>
    </row>
    <row r="58" spans="2:36" x14ac:dyDescent="0.25">
      <c r="B58" s="4"/>
      <c r="E58" s="3"/>
      <c r="F58" s="3"/>
      <c r="G58" s="3"/>
      <c r="H58" s="3"/>
      <c r="L58" s="4"/>
      <c r="M58" s="4"/>
      <c r="N58" s="4"/>
      <c r="O58" s="4"/>
      <c r="P58" s="22"/>
      <c r="Q58" s="4"/>
      <c r="R58" s="4"/>
      <c r="S58" s="4"/>
      <c r="T58" s="4"/>
      <c r="U58" s="4"/>
      <c r="V58" s="4"/>
      <c r="W58" s="4"/>
      <c r="X58" s="4"/>
      <c r="Y58" s="4"/>
      <c r="Z58" s="4"/>
      <c r="AA58" s="4"/>
      <c r="AB58" s="4"/>
      <c r="AC58" s="4"/>
      <c r="AD58" s="4"/>
      <c r="AE58" s="4"/>
      <c r="AF58" s="4"/>
    </row>
    <row r="59" spans="2:36" x14ac:dyDescent="0.25">
      <c r="B59" s="14" t="s">
        <v>18</v>
      </c>
      <c r="C59" s="14"/>
      <c r="D59" s="28" t="s">
        <v>42</v>
      </c>
      <c r="E59" s="30" t="s">
        <v>42</v>
      </c>
      <c r="F59" s="30" t="s">
        <v>42</v>
      </c>
      <c r="G59" s="30" t="s">
        <v>42</v>
      </c>
      <c r="H59" s="30" t="s">
        <v>42</v>
      </c>
      <c r="I59" s="28" t="s">
        <v>42</v>
      </c>
      <c r="J59" s="28" t="s">
        <v>42</v>
      </c>
      <c r="K59" s="28" t="s">
        <v>42</v>
      </c>
      <c r="L59" s="28" t="s">
        <v>42</v>
      </c>
      <c r="M59" s="28" t="s">
        <v>42</v>
      </c>
      <c r="N59" s="28" t="s">
        <v>42</v>
      </c>
      <c r="O59" s="28" t="s">
        <v>42</v>
      </c>
      <c r="P59" s="28" t="s">
        <v>42</v>
      </c>
      <c r="Q59" s="31" t="s">
        <v>42</v>
      </c>
      <c r="R59" s="28" t="s">
        <v>42</v>
      </c>
      <c r="S59" s="32" t="s">
        <v>42</v>
      </c>
      <c r="T59" s="28" t="s">
        <v>42</v>
      </c>
      <c r="U59" s="32" t="s">
        <v>42</v>
      </c>
      <c r="V59" s="28" t="s">
        <v>42</v>
      </c>
      <c r="W59" s="28" t="s">
        <v>42</v>
      </c>
      <c r="X59" s="32" t="s">
        <v>42</v>
      </c>
      <c r="Y59" s="32" t="s">
        <v>42</v>
      </c>
      <c r="Z59" s="15">
        <f>SUM(Z7:Z57)</f>
        <v>3530.7568974492451</v>
      </c>
      <c r="AA59" s="14"/>
      <c r="AB59" s="14"/>
      <c r="AC59" s="15">
        <f>SUM(AC7:AC57)</f>
        <v>39544.477251431541</v>
      </c>
      <c r="AD59" s="15">
        <f>SUM(AD7:AD57)</f>
        <v>6880.6372514315426</v>
      </c>
      <c r="AE59" s="21">
        <f t="shared" ref="AE59" si="16">IFERROR(AD59/AC59,0)</f>
        <v>0.17399742592835662</v>
      </c>
      <c r="AF59" s="15">
        <f>SUM(AF8:AF58)</f>
        <v>0</v>
      </c>
      <c r="AG59" s="15">
        <f>SUM(AG8:AG58)</f>
        <v>0</v>
      </c>
      <c r="AH59" s="15">
        <f>SUM(AH8:AH58)</f>
        <v>0</v>
      </c>
      <c r="AI59" s="15">
        <f>SUM(AI8:AI58)</f>
        <v>0</v>
      </c>
      <c r="AJ59" s="15">
        <f>SUM(AJ8:AJ58)</f>
        <v>0</v>
      </c>
    </row>
    <row r="60" spans="2:36" x14ac:dyDescent="0.25">
      <c r="B60" s="4"/>
      <c r="E60" s="3"/>
      <c r="F60" s="3"/>
      <c r="G60" s="3"/>
      <c r="H60" s="3"/>
      <c r="L60" s="4"/>
      <c r="M60" s="4"/>
      <c r="N60" s="4"/>
      <c r="O60" s="4"/>
      <c r="Q60" s="4"/>
      <c r="R60" s="4"/>
      <c r="S60" s="4"/>
      <c r="T60" s="4"/>
      <c r="U60" s="4"/>
      <c r="V60" s="4"/>
      <c r="W60" s="4"/>
      <c r="X60" s="4"/>
      <c r="Y60" s="9"/>
      <c r="Z60" s="9"/>
      <c r="AA60" s="9"/>
      <c r="AB60" s="9"/>
      <c r="AC60" s="9"/>
      <c r="AD60" s="9"/>
      <c r="AE60" s="9"/>
    </row>
    <row r="61" spans="2:36" x14ac:dyDescent="0.25">
      <c r="B61" s="4"/>
      <c r="E61" s="3"/>
      <c r="F61" s="3"/>
      <c r="G61" s="3"/>
      <c r="H61" s="3"/>
      <c r="L61" s="4"/>
      <c r="M61" s="4"/>
      <c r="N61" s="4"/>
      <c r="O61" s="4"/>
      <c r="Q61" s="9"/>
      <c r="R61" s="9"/>
      <c r="S61" s="9"/>
      <c r="T61" s="9"/>
      <c r="U61" s="9"/>
      <c r="V61" s="9"/>
      <c r="W61" s="9"/>
      <c r="X61" s="23"/>
      <c r="Y61" s="34" t="s">
        <v>102</v>
      </c>
      <c r="Z61" s="34">
        <v>1810</v>
      </c>
      <c r="AA61" s="9"/>
      <c r="AB61" s="9"/>
      <c r="AC61" s="9"/>
      <c r="AD61" s="9"/>
      <c r="AE61" s="9"/>
    </row>
    <row r="62" spans="2:36" x14ac:dyDescent="0.25">
      <c r="B62" s="4"/>
      <c r="E62" s="3"/>
      <c r="F62" s="3"/>
      <c r="G62" s="3"/>
      <c r="H62" s="3"/>
      <c r="L62" s="4"/>
      <c r="M62" s="4"/>
      <c r="N62" s="4"/>
      <c r="O62" s="4"/>
      <c r="Q62" s="9"/>
      <c r="R62" s="9"/>
      <c r="S62" s="9"/>
      <c r="T62" s="9"/>
      <c r="U62" s="9"/>
      <c r="V62" s="9"/>
      <c r="W62" s="9"/>
      <c r="X62" s="9"/>
      <c r="Y62" s="35" t="s">
        <v>103</v>
      </c>
      <c r="Z62" s="34">
        <f>Z9+Z13+Z15+Z27+Z29</f>
        <v>1840.1874023945861</v>
      </c>
      <c r="AA62" s="9"/>
      <c r="AB62" s="9"/>
      <c r="AC62" s="9"/>
      <c r="AD62" s="9"/>
      <c r="AE62" s="9"/>
      <c r="AF62" s="18"/>
    </row>
    <row r="63" spans="2:36" x14ac:dyDescent="0.25">
      <c r="B63" s="4"/>
      <c r="E63" s="3"/>
      <c r="F63" s="3"/>
      <c r="G63" s="3"/>
      <c r="H63" s="3"/>
      <c r="I63" s="19"/>
      <c r="L63" s="4"/>
      <c r="M63" s="4"/>
      <c r="N63" s="4"/>
      <c r="O63" s="20"/>
      <c r="Q63" s="20"/>
      <c r="R63" s="20"/>
      <c r="S63" s="20"/>
      <c r="T63" s="20"/>
      <c r="U63" s="20"/>
      <c r="V63" s="20"/>
      <c r="W63" s="20"/>
      <c r="X63" s="20"/>
      <c r="Y63" s="34" t="s">
        <v>104</v>
      </c>
      <c r="Z63" s="34">
        <v>3540</v>
      </c>
      <c r="AA63" s="9"/>
      <c r="AB63" s="9"/>
      <c r="AC63" s="9"/>
      <c r="AD63" s="9"/>
      <c r="AE63" s="9"/>
      <c r="AF63" s="18"/>
    </row>
    <row r="64" spans="2:36" x14ac:dyDescent="0.25">
      <c r="B64" s="4"/>
      <c r="E64" s="3"/>
      <c r="F64" s="3"/>
      <c r="G64" s="3"/>
      <c r="H64" s="3"/>
      <c r="L64" s="4"/>
      <c r="M64" s="4"/>
      <c r="N64" s="4"/>
      <c r="O64" s="20"/>
      <c r="Q64" s="20"/>
      <c r="R64" s="20"/>
      <c r="S64" s="20"/>
      <c r="T64" s="20"/>
      <c r="U64" s="20"/>
      <c r="V64" s="20"/>
      <c r="W64" s="20"/>
      <c r="X64" s="20"/>
      <c r="Y64" s="34" t="s">
        <v>43</v>
      </c>
      <c r="Z64" s="34">
        <f>Z63/2</f>
        <v>1770</v>
      </c>
      <c r="AA64" s="9"/>
      <c r="AB64" s="9"/>
      <c r="AC64" s="9"/>
      <c r="AD64" s="9"/>
      <c r="AE64" s="9"/>
      <c r="AF64" s="18"/>
    </row>
    <row r="65" spans="2:32" x14ac:dyDescent="0.25">
      <c r="B65" s="4"/>
      <c r="E65" s="3"/>
      <c r="F65" s="3"/>
      <c r="G65" s="3"/>
      <c r="H65" s="3"/>
      <c r="L65" s="4"/>
      <c r="M65" s="4"/>
      <c r="N65" s="4"/>
      <c r="O65" s="4"/>
      <c r="Q65" s="9"/>
      <c r="R65" s="9"/>
      <c r="S65" s="9"/>
      <c r="T65" s="9"/>
      <c r="U65" s="9"/>
      <c r="V65" s="9"/>
      <c r="W65" s="9"/>
      <c r="X65" s="9"/>
      <c r="Y65" s="1"/>
      <c r="Z65" s="1"/>
      <c r="AA65" s="9"/>
      <c r="AB65" s="9"/>
      <c r="AC65" s="9"/>
      <c r="AD65" s="9"/>
      <c r="AE65" s="9"/>
      <c r="AF65" s="18"/>
    </row>
    <row r="66" spans="2:32" x14ac:dyDescent="0.25">
      <c r="F66" s="1"/>
      <c r="G66" s="1"/>
      <c r="H66" s="1"/>
      <c r="J66" s="1" t="s">
        <v>32</v>
      </c>
      <c r="Q66" s="9"/>
      <c r="R66" s="4"/>
      <c r="S66" s="9"/>
      <c r="T66" s="5"/>
      <c r="U66" s="9"/>
      <c r="V66" s="4"/>
      <c r="W66" s="4"/>
      <c r="X66" s="9"/>
      <c r="Y66" s="9"/>
      <c r="Z66" s="9"/>
      <c r="AA66" s="9"/>
      <c r="AB66" s="9"/>
      <c r="AC66" s="9"/>
      <c r="AD66" s="9"/>
      <c r="AE66" s="9"/>
    </row>
    <row r="67" spans="2:32" x14ac:dyDescent="0.25">
      <c r="R67" s="4"/>
      <c r="S67" s="17"/>
      <c r="T67" s="17"/>
      <c r="U67" s="9"/>
      <c r="V67" s="4"/>
      <c r="W67" s="4"/>
      <c r="X67" s="9"/>
      <c r="Y67" s="9"/>
      <c r="Z67" s="9" t="s">
        <v>330</v>
      </c>
      <c r="AA67" s="9"/>
      <c r="AB67" s="9"/>
      <c r="AC67" s="9"/>
      <c r="AD67" s="9"/>
      <c r="AE67" s="9"/>
    </row>
    <row r="68" spans="2:32" x14ac:dyDescent="0.25">
      <c r="Q68" s="9"/>
      <c r="R68" s="4"/>
      <c r="S68" s="16"/>
      <c r="T68" s="16"/>
      <c r="U68" s="9"/>
      <c r="V68" s="4"/>
      <c r="W68" s="4"/>
      <c r="X68" s="9"/>
      <c r="Y68" s="37" t="s">
        <v>325</v>
      </c>
      <c r="Z68" s="9">
        <f>Z63</f>
        <v>3540</v>
      </c>
      <c r="AA68" s="9"/>
      <c r="AB68" s="9"/>
      <c r="AC68" s="9"/>
      <c r="AD68" s="9"/>
      <c r="AE68" s="9"/>
    </row>
    <row r="69" spans="2:32" x14ac:dyDescent="0.25">
      <c r="R69" s="4"/>
      <c r="S69" s="16"/>
      <c r="T69" s="16"/>
      <c r="Y69" s="37" t="s">
        <v>326</v>
      </c>
      <c r="Z69" s="9">
        <f>Z68*1.18</f>
        <v>4177.2</v>
      </c>
      <c r="AA69" s="9"/>
      <c r="AB69" s="9"/>
      <c r="AC69" s="9"/>
      <c r="AD69" s="9"/>
      <c r="AE69" s="9"/>
    </row>
    <row r="70" spans="2:32" x14ac:dyDescent="0.25">
      <c r="T70" s="5"/>
      <c r="Y70" s="37" t="s">
        <v>327</v>
      </c>
      <c r="Z70" s="9">
        <f>Z68*1.25</f>
        <v>4425</v>
      </c>
      <c r="AA70" s="9"/>
      <c r="AB70" s="9"/>
      <c r="AC70" s="9"/>
      <c r="AD70" s="9"/>
      <c r="AE70" s="9"/>
    </row>
    <row r="71" spans="2:32" x14ac:dyDescent="0.25">
      <c r="T71" s="5"/>
      <c r="Y71" s="37" t="s">
        <v>328</v>
      </c>
      <c r="Z71" s="9">
        <f>Z68*0.85</f>
        <v>3009</v>
      </c>
      <c r="AA71" s="9"/>
      <c r="AB71" s="9"/>
      <c r="AC71" s="9"/>
      <c r="AD71" s="9"/>
      <c r="AE71" s="9"/>
    </row>
    <row r="72" spans="2:32" x14ac:dyDescent="0.25">
      <c r="T72" s="5"/>
      <c r="Y72" s="37" t="s">
        <v>307</v>
      </c>
      <c r="Z72" s="9" t="s">
        <v>329</v>
      </c>
      <c r="AA72" s="9"/>
      <c r="AB72" s="9"/>
      <c r="AC72" s="9"/>
      <c r="AD72" s="9"/>
      <c r="AE72" s="9"/>
    </row>
    <row r="73" spans="2:32" x14ac:dyDescent="0.25">
      <c r="T73" s="5"/>
      <c r="Y73" s="9"/>
      <c r="Z73" s="9"/>
      <c r="AA73" s="9"/>
      <c r="AB73" s="9"/>
      <c r="AC73" s="9"/>
      <c r="AD73" s="9"/>
      <c r="AE73" s="9"/>
    </row>
    <row r="74" spans="2:32" x14ac:dyDescent="0.25">
      <c r="T74" s="5"/>
      <c r="Y74" s="9"/>
      <c r="Z74" s="9"/>
      <c r="AA74" s="9"/>
      <c r="AB74" s="9"/>
      <c r="AC74" s="9"/>
      <c r="AD74" s="9"/>
      <c r="AE74" s="9"/>
    </row>
    <row r="75" spans="2:32" x14ac:dyDescent="0.25">
      <c r="T75" s="5"/>
      <c r="Y75" s="9"/>
      <c r="Z75" s="9"/>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row>
    <row r="79" spans="2:32" x14ac:dyDescent="0.25">
      <c r="T79" s="5"/>
    </row>
    <row r="80" spans="2:32" x14ac:dyDescent="0.25">
      <c r="T80" s="5"/>
    </row>
    <row r="81" spans="20:20" x14ac:dyDescent="0.25">
      <c r="T81" s="5"/>
    </row>
    <row r="82" spans="20:20" x14ac:dyDescent="0.25">
      <c r="T82" s="5"/>
    </row>
  </sheetData>
  <autoFilter ref="B6:AE59" xr:uid="{65FA6D9B-E0AF-46CD-BA0D-86BB75FE6AB0}"/>
  <hyperlinks>
    <hyperlink ref="P31" r:id="rId1" xr:uid="{8AABBDBD-A310-4A5A-8776-592848D05946}"/>
    <hyperlink ref="P33" r:id="rId2" xr:uid="{4A4F48C3-4F03-452E-958B-E89494D83E40}"/>
    <hyperlink ref="P19" r:id="rId3" xr:uid="{CC5F1DD9-84DB-4739-922C-1EE325FE331F}"/>
    <hyperlink ref="P21" r:id="rId4" xr:uid="{DDE514D7-D53A-47EA-BF36-0B406120EC13}"/>
    <hyperlink ref="P23" r:id="rId5" xr:uid="{8288BA08-E4E6-4781-BF06-4BEBB8F5D0F3}"/>
    <hyperlink ref="P49" r:id="rId6" xr:uid="{39844B32-35D6-49DB-A06A-F126042505AF}"/>
    <hyperlink ref="P48" r:id="rId7" xr:uid="{AB7AEFFC-27FB-44B6-A808-302C0D87DE4F}"/>
    <hyperlink ref="P35" r:id="rId8" xr:uid="{41F89CDF-A999-4824-A7A0-3D20DAADB83D}"/>
  </hyperlinks>
  <pageMargins left="0.7" right="0.7" top="0.75" bottom="0.75" header="0.3" footer="0.3"/>
  <pageSetup paperSize="9" orientation="portrait" r:id="rId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AE469-4308-4567-A2B6-D894E3649B47}">
  <sheetPr>
    <tabColor rgb="FFFFFF00"/>
  </sheetPr>
  <dimension ref="B1:AK74"/>
  <sheetViews>
    <sheetView topLeftCell="A4" zoomScale="80" zoomScaleNormal="80" workbookViewId="0">
      <selection activeCell="J18" sqref="J18"/>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162</v>
      </c>
    </row>
    <row r="2" spans="2:36" x14ac:dyDescent="0.25">
      <c r="B2" s="2" t="s">
        <v>232</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10" si="0">+Q7*R7</f>
        <v>0</v>
      </c>
      <c r="T7" s="5">
        <v>0</v>
      </c>
      <c r="U7" s="12">
        <f t="shared" ref="U7:U10" si="1">S7*(1-T7)</f>
        <v>0</v>
      </c>
      <c r="V7" s="25" t="s">
        <v>10</v>
      </c>
      <c r="W7" s="11">
        <f>IFERROR(VLOOKUP(V7,Curr!$B$2:$C$13,2,FALSE),0)</f>
        <v>11.2</v>
      </c>
      <c r="X7" s="12">
        <f t="shared" ref="X7:X10" si="2">U7*W7</f>
        <v>0</v>
      </c>
      <c r="Y7" s="26">
        <f t="shared" ref="Y7:Y10" si="3">Q7</f>
        <v>0</v>
      </c>
      <c r="Z7" s="12">
        <f t="shared" ref="Z7:Z49" si="4">+Y7*R7</f>
        <v>0</v>
      </c>
      <c r="AA7" s="4" t="s">
        <v>10</v>
      </c>
      <c r="AB7" s="11">
        <f>IFERROR(VLOOKUP(AA7,Curr!$B$2:$C$13,2,FALSE),0)</f>
        <v>11.2</v>
      </c>
      <c r="AC7" s="12">
        <f t="shared" ref="AC7:AC49" si="5">+Y7*AB7*R7</f>
        <v>0</v>
      </c>
      <c r="AD7" s="12">
        <f t="shared" ref="AD7:AD49" si="6">+AC7-X7</f>
        <v>0</v>
      </c>
      <c r="AE7" s="13">
        <f t="shared" ref="AE7:AE49"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231</v>
      </c>
      <c r="K9" s="4"/>
      <c r="L9" s="4"/>
      <c r="M9" s="4"/>
      <c r="N9" s="4"/>
      <c r="O9" s="4"/>
      <c r="P9" s="33"/>
      <c r="Q9" s="25">
        <v>350</v>
      </c>
      <c r="R9" s="25">
        <v>1</v>
      </c>
      <c r="S9" s="12">
        <f t="shared" si="0"/>
        <v>350</v>
      </c>
      <c r="T9" s="5">
        <v>0</v>
      </c>
      <c r="U9" s="12">
        <f t="shared" si="1"/>
        <v>350</v>
      </c>
      <c r="V9" s="25" t="s">
        <v>10</v>
      </c>
      <c r="W9" s="11">
        <f>IFERROR(VLOOKUP(V9,Curr!$B$2:$C$13,2,FALSE),0)</f>
        <v>11.2</v>
      </c>
      <c r="X9" s="12">
        <f t="shared" si="2"/>
        <v>3919.9999999999995</v>
      </c>
      <c r="Y9" s="26">
        <f>Q9/0.85</f>
        <v>411.76470588235293</v>
      </c>
      <c r="Z9" s="12">
        <f t="shared" si="4"/>
        <v>411.76470588235293</v>
      </c>
      <c r="AA9" s="4" t="s">
        <v>10</v>
      </c>
      <c r="AB9" s="11">
        <f>IFERROR(VLOOKUP(AA9,Curr!$B$2:$C$13,2,FALSE),0)</f>
        <v>11.2</v>
      </c>
      <c r="AC9" s="12">
        <f t="shared" si="5"/>
        <v>4611.7647058823522</v>
      </c>
      <c r="AD9" s="12">
        <f t="shared" si="6"/>
        <v>691.7647058823527</v>
      </c>
      <c r="AE9" s="13">
        <f t="shared" si="7"/>
        <v>0.14999999999999997</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ref="S11:S49" si="8">+Q11*R11</f>
        <v>0</v>
      </c>
      <c r="T11" s="5">
        <v>0</v>
      </c>
      <c r="U11" s="12">
        <f t="shared" ref="U11:U49" si="9">S11*(1-T11)</f>
        <v>0</v>
      </c>
      <c r="V11" s="25" t="s">
        <v>10</v>
      </c>
      <c r="W11" s="11">
        <f>IFERROR(VLOOKUP(V11,Curr!$B$2:$C$13,2,FALSE),0)</f>
        <v>11.2</v>
      </c>
      <c r="X11" s="12">
        <f t="shared" ref="X11:X49" si="10">U11*W11</f>
        <v>0</v>
      </c>
      <c r="Y11" s="26">
        <f t="shared" ref="Y11:Y49" si="11">Q11</f>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73</v>
      </c>
      <c r="E12" s="3"/>
      <c r="F12" s="3"/>
      <c r="G12" s="24"/>
      <c r="H12" s="24"/>
      <c r="J12" s="1" t="s">
        <v>246</v>
      </c>
      <c r="K12" s="4"/>
      <c r="L12" s="4"/>
      <c r="M12" s="4"/>
      <c r="N12" s="4"/>
      <c r="O12" s="4" t="s">
        <v>42</v>
      </c>
      <c r="P12" s="33" t="s">
        <v>247</v>
      </c>
      <c r="Q12" s="25">
        <v>38</v>
      </c>
      <c r="R12" s="25">
        <v>2</v>
      </c>
      <c r="S12" s="12">
        <f t="shared" si="8"/>
        <v>76</v>
      </c>
      <c r="T12" s="5">
        <v>0.2</v>
      </c>
      <c r="U12" s="12">
        <f t="shared" si="9"/>
        <v>60.800000000000004</v>
      </c>
      <c r="V12" s="25" t="s">
        <v>10</v>
      </c>
      <c r="W12" s="11">
        <f>IFERROR(VLOOKUP(V12,Curr!$B$2:$C$13,2,FALSE),0)</f>
        <v>11.2</v>
      </c>
      <c r="X12" s="12">
        <f t="shared" si="10"/>
        <v>680.96</v>
      </c>
      <c r="Y12" s="26">
        <f t="shared" si="11"/>
        <v>38</v>
      </c>
      <c r="Z12" s="12">
        <f t="shared" si="4"/>
        <v>76</v>
      </c>
      <c r="AA12" s="4" t="s">
        <v>10</v>
      </c>
      <c r="AB12" s="11">
        <f>IFERROR(VLOOKUP(AA12,Curr!$B$2:$C$13,2,FALSE),0)</f>
        <v>11.2</v>
      </c>
      <c r="AC12" s="12">
        <f t="shared" si="5"/>
        <v>851.19999999999993</v>
      </c>
      <c r="AD12" s="12">
        <f t="shared" si="6"/>
        <v>170.2399999999999</v>
      </c>
      <c r="AE12" s="13">
        <f t="shared" si="7"/>
        <v>0.1999999999999999</v>
      </c>
    </row>
    <row r="13" spans="2:36" x14ac:dyDescent="0.25">
      <c r="B13" s="4"/>
      <c r="C13" s="1" t="s">
        <v>63</v>
      </c>
      <c r="D13" s="1" t="s">
        <v>53</v>
      </c>
      <c r="E13" s="3"/>
      <c r="F13" s="3"/>
      <c r="G13" s="24"/>
      <c r="H13" s="24"/>
      <c r="J13" s="1" t="s">
        <v>54</v>
      </c>
      <c r="K13" s="4"/>
      <c r="L13" s="4"/>
      <c r="M13" s="4"/>
      <c r="N13" s="4"/>
      <c r="O13" s="4"/>
      <c r="P13" s="27"/>
      <c r="Q13" s="25">
        <v>0</v>
      </c>
      <c r="R13" s="25">
        <v>0</v>
      </c>
      <c r="S13" s="12">
        <f t="shared" si="8"/>
        <v>0</v>
      </c>
      <c r="T13" s="5">
        <v>0</v>
      </c>
      <c r="U13" s="12">
        <f t="shared" si="9"/>
        <v>0</v>
      </c>
      <c r="V13" s="25" t="s">
        <v>10</v>
      </c>
      <c r="W13" s="11">
        <f>IFERROR(VLOOKUP(V13,Curr!$B$2:$C$13,2,FALSE),0)</f>
        <v>11.2</v>
      </c>
      <c r="X13" s="12">
        <f t="shared" si="10"/>
        <v>0</v>
      </c>
      <c r="Y13" s="26">
        <f t="shared" si="11"/>
        <v>0</v>
      </c>
      <c r="Z13" s="12">
        <f t="shared" si="4"/>
        <v>0</v>
      </c>
      <c r="AA13" s="4" t="s">
        <v>10</v>
      </c>
      <c r="AB13" s="11">
        <f>IFERROR(VLOOKUP(AA13,Curr!$B$2:$C$13,2,FALSE),0)</f>
        <v>11.2</v>
      </c>
      <c r="AC13" s="12">
        <f t="shared" si="5"/>
        <v>0</v>
      </c>
      <c r="AD13" s="12">
        <f t="shared" si="6"/>
        <v>0</v>
      </c>
      <c r="AE13" s="13">
        <f t="shared" si="7"/>
        <v>0</v>
      </c>
    </row>
    <row r="14" spans="2:36" x14ac:dyDescent="0.25">
      <c r="B14" s="4"/>
      <c r="E14" s="3"/>
      <c r="F14" s="3"/>
      <c r="G14" s="24"/>
      <c r="H14" s="24"/>
      <c r="K14" s="4"/>
      <c r="L14" s="4"/>
      <c r="M14" s="4"/>
      <c r="N14" s="4"/>
      <c r="O14" s="4"/>
      <c r="P14" s="33"/>
      <c r="Q14" s="25"/>
      <c r="R14" s="25"/>
      <c r="S14" s="12">
        <f t="shared" si="8"/>
        <v>0</v>
      </c>
      <c r="T14" s="5">
        <v>0</v>
      </c>
      <c r="U14" s="12">
        <f t="shared" si="9"/>
        <v>0</v>
      </c>
      <c r="V14" s="25" t="s">
        <v>10</v>
      </c>
      <c r="W14" s="11">
        <f>IFERROR(VLOOKUP(V14,Curr!$B$2:$C$13,2,FALSE),0)</f>
        <v>11.2</v>
      </c>
      <c r="X14" s="12">
        <f t="shared" si="10"/>
        <v>0</v>
      </c>
      <c r="Y14" s="26">
        <f t="shared" si="11"/>
        <v>0</v>
      </c>
      <c r="Z14" s="12">
        <f t="shared" si="4"/>
        <v>0</v>
      </c>
      <c r="AA14" s="4" t="s">
        <v>10</v>
      </c>
      <c r="AB14" s="11">
        <f>IFERROR(VLOOKUP(AA14,Curr!$B$2:$C$13,2,FALSE),0)</f>
        <v>11.2</v>
      </c>
      <c r="AC14" s="12">
        <f t="shared" si="5"/>
        <v>0</v>
      </c>
      <c r="AD14" s="12">
        <f t="shared" si="6"/>
        <v>0</v>
      </c>
      <c r="AE14" s="13">
        <f t="shared" si="7"/>
        <v>0</v>
      </c>
    </row>
    <row r="15" spans="2:36" x14ac:dyDescent="0.25">
      <c r="B15" s="4"/>
      <c r="C15" s="1" t="s">
        <v>69</v>
      </c>
      <c r="D15" s="1" t="s">
        <v>50</v>
      </c>
      <c r="E15" s="3"/>
      <c r="F15" s="3"/>
      <c r="G15" s="24"/>
      <c r="H15" s="24"/>
      <c r="J15" s="1" t="s">
        <v>195</v>
      </c>
      <c r="K15" s="4"/>
      <c r="L15" s="4"/>
      <c r="M15" s="4"/>
      <c r="N15" s="4"/>
      <c r="O15" s="4"/>
      <c r="P15" s="27"/>
      <c r="Q15" s="25">
        <v>0</v>
      </c>
      <c r="R15" s="25">
        <v>0</v>
      </c>
      <c r="S15" s="12">
        <f t="shared" si="8"/>
        <v>0</v>
      </c>
      <c r="T15" s="5">
        <v>0</v>
      </c>
      <c r="U15" s="12">
        <f t="shared" si="9"/>
        <v>0</v>
      </c>
      <c r="V15" s="25" t="s">
        <v>10</v>
      </c>
      <c r="W15" s="11">
        <f>IFERROR(VLOOKUP(V15,Curr!$B$2:$C$13,2,FALSE),0)</f>
        <v>11.2</v>
      </c>
      <c r="X15" s="12">
        <f t="shared" si="10"/>
        <v>0</v>
      </c>
      <c r="Y15" s="26">
        <f t="shared" si="11"/>
        <v>0</v>
      </c>
      <c r="Z15" s="12">
        <f t="shared" si="4"/>
        <v>0</v>
      </c>
      <c r="AA15" s="4" t="s">
        <v>10</v>
      </c>
      <c r="AB15" s="11">
        <f>IFERROR(VLOOKUP(AA15,Curr!$B$2:$C$13,2,FALSE),0)</f>
        <v>11.2</v>
      </c>
      <c r="AC15" s="12">
        <f t="shared" si="5"/>
        <v>0</v>
      </c>
      <c r="AD15" s="12">
        <f t="shared" si="6"/>
        <v>0</v>
      </c>
      <c r="AE15" s="13">
        <f t="shared" si="7"/>
        <v>0</v>
      </c>
    </row>
    <row r="16" spans="2:36" x14ac:dyDescent="0.25">
      <c r="B16" s="4"/>
      <c r="C16" s="1" t="s">
        <v>69</v>
      </c>
      <c r="D16" s="1" t="s">
        <v>79</v>
      </c>
      <c r="E16" s="3"/>
      <c r="F16" s="3"/>
      <c r="G16" s="24"/>
      <c r="H16" s="24"/>
      <c r="J16" s="1" t="s">
        <v>233</v>
      </c>
      <c r="K16" s="4"/>
      <c r="L16" s="4"/>
      <c r="M16" s="4"/>
      <c r="N16" s="4"/>
      <c r="O16" s="4"/>
      <c r="P16" s="27"/>
      <c r="Q16" s="25">
        <v>2400</v>
      </c>
      <c r="R16" s="25">
        <v>2</v>
      </c>
      <c r="S16" s="12">
        <f t="shared" si="8"/>
        <v>4800</v>
      </c>
      <c r="T16" s="5">
        <v>0</v>
      </c>
      <c r="U16" s="12">
        <f t="shared" si="9"/>
        <v>4800</v>
      </c>
      <c r="V16" s="25" t="s">
        <v>8</v>
      </c>
      <c r="W16" s="11">
        <f>IFERROR(VLOOKUP(V16,Curr!$B$2:$C$13,2,FALSE),0)</f>
        <v>1</v>
      </c>
      <c r="X16" s="12">
        <f t="shared" si="10"/>
        <v>4800</v>
      </c>
      <c r="Y16" s="26">
        <f>Q16/11.3/0.8</f>
        <v>265.48672566371675</v>
      </c>
      <c r="Z16" s="12">
        <f t="shared" si="4"/>
        <v>530.97345132743351</v>
      </c>
      <c r="AA16" s="4" t="s">
        <v>10</v>
      </c>
      <c r="AB16" s="11">
        <f>IFERROR(VLOOKUP(AA16,Curr!$B$2:$C$13,2,FALSE),0)</f>
        <v>11.2</v>
      </c>
      <c r="AC16" s="12">
        <f t="shared" si="5"/>
        <v>5946.9026548672546</v>
      </c>
      <c r="AD16" s="12">
        <f t="shared" si="6"/>
        <v>1146.9026548672546</v>
      </c>
      <c r="AE16" s="13">
        <f t="shared" si="7"/>
        <v>0.19285714285714259</v>
      </c>
    </row>
    <row r="17" spans="2:31" x14ac:dyDescent="0.25">
      <c r="B17" s="4"/>
      <c r="C17" s="1" t="s">
        <v>69</v>
      </c>
      <c r="D17" s="1" t="s">
        <v>50</v>
      </c>
      <c r="E17" s="3"/>
      <c r="F17" s="3"/>
      <c r="G17" s="24"/>
      <c r="H17" s="24"/>
      <c r="J17" s="1" t="s">
        <v>234</v>
      </c>
      <c r="K17" s="4"/>
      <c r="L17" s="4"/>
      <c r="M17" s="4"/>
      <c r="N17" s="4"/>
      <c r="O17" s="4"/>
      <c r="P17" s="33"/>
      <c r="Q17" s="25">
        <v>0</v>
      </c>
      <c r="R17" s="25">
        <v>0</v>
      </c>
      <c r="S17" s="12">
        <f t="shared" si="8"/>
        <v>0</v>
      </c>
      <c r="T17" s="5">
        <v>0</v>
      </c>
      <c r="U17" s="12">
        <f t="shared" si="9"/>
        <v>0</v>
      </c>
      <c r="V17" s="25" t="s">
        <v>10</v>
      </c>
      <c r="W17" s="11">
        <f>IFERROR(VLOOKUP(V17,Curr!$B$2:$C$13,2,FALSE),0)</f>
        <v>11.2</v>
      </c>
      <c r="X17" s="12">
        <f t="shared" si="10"/>
        <v>0</v>
      </c>
      <c r="Y17" s="26">
        <f t="shared" ref="Y17:Y19" si="12">Q17</f>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52</v>
      </c>
      <c r="E18" s="3"/>
      <c r="F18" s="3"/>
      <c r="G18" s="24"/>
      <c r="H18" s="24"/>
      <c r="J18" s="1" t="s">
        <v>236</v>
      </c>
      <c r="K18" s="4"/>
      <c r="L18" s="4"/>
      <c r="M18" s="4"/>
      <c r="N18" s="4"/>
      <c r="O18" s="4"/>
      <c r="P18" s="27"/>
      <c r="Q18" s="25">
        <v>130</v>
      </c>
      <c r="R18" s="25">
        <v>1</v>
      </c>
      <c r="S18" s="12">
        <f t="shared" si="8"/>
        <v>130</v>
      </c>
      <c r="T18" s="5">
        <v>0</v>
      </c>
      <c r="U18" s="12">
        <f t="shared" si="9"/>
        <v>130</v>
      </c>
      <c r="V18" s="25" t="s">
        <v>10</v>
      </c>
      <c r="W18" s="11">
        <f>IFERROR(VLOOKUP(V18,Curr!$B$2:$C$13,2,FALSE),0)</f>
        <v>11.2</v>
      </c>
      <c r="X18" s="12">
        <f t="shared" si="10"/>
        <v>1456</v>
      </c>
      <c r="Y18" s="26">
        <f>Q18/0.8</f>
        <v>162.5</v>
      </c>
      <c r="Z18" s="12">
        <f t="shared" si="4"/>
        <v>162.5</v>
      </c>
      <c r="AA18" s="4" t="s">
        <v>10</v>
      </c>
      <c r="AB18" s="11">
        <f>IFERROR(VLOOKUP(AA18,Curr!$B$2:$C$13,2,FALSE),0)</f>
        <v>11.2</v>
      </c>
      <c r="AC18" s="12">
        <f t="shared" si="5"/>
        <v>1819.9999999999998</v>
      </c>
      <c r="AD18" s="12">
        <f t="shared" si="6"/>
        <v>363.99999999999977</v>
      </c>
      <c r="AE18" s="13">
        <f t="shared" si="7"/>
        <v>0.1999999999999999</v>
      </c>
    </row>
    <row r="19" spans="2:31" x14ac:dyDescent="0.25">
      <c r="B19" s="4"/>
      <c r="C19" s="1" t="s">
        <v>69</v>
      </c>
      <c r="D19" s="1" t="s">
        <v>53</v>
      </c>
      <c r="E19" s="3"/>
      <c r="F19" s="3"/>
      <c r="G19" s="24"/>
      <c r="H19" s="24"/>
      <c r="J19" s="1" t="s">
        <v>235</v>
      </c>
      <c r="K19" s="4"/>
      <c r="L19" s="4"/>
      <c r="M19" s="4"/>
      <c r="N19" s="4"/>
      <c r="O19" s="4"/>
      <c r="P19" s="33"/>
      <c r="Q19" s="25">
        <v>0</v>
      </c>
      <c r="R19" s="25">
        <v>0</v>
      </c>
      <c r="S19" s="12">
        <f t="shared" si="8"/>
        <v>0</v>
      </c>
      <c r="T19" s="5">
        <v>0</v>
      </c>
      <c r="U19" s="12">
        <f t="shared" si="9"/>
        <v>0</v>
      </c>
      <c r="V19" s="25" t="s">
        <v>10</v>
      </c>
      <c r="W19" s="11">
        <f>IFERROR(VLOOKUP(V19,Curr!$B$2:$C$13,2,FALSE),0)</f>
        <v>11.2</v>
      </c>
      <c r="X19" s="12">
        <f t="shared" si="10"/>
        <v>0</v>
      </c>
      <c r="Y19" s="26">
        <f t="shared" si="12"/>
        <v>0</v>
      </c>
      <c r="Z19" s="12">
        <f t="shared" si="4"/>
        <v>0</v>
      </c>
      <c r="AA19" s="4" t="s">
        <v>10</v>
      </c>
      <c r="AB19" s="11">
        <f>IFERROR(VLOOKUP(AA19,Curr!$B$2:$C$13,2,FALSE),0)</f>
        <v>11.2</v>
      </c>
      <c r="AC19" s="12">
        <f t="shared" si="5"/>
        <v>0</v>
      </c>
      <c r="AD19" s="12">
        <f t="shared" si="6"/>
        <v>0</v>
      </c>
      <c r="AE19" s="13">
        <f t="shared" si="7"/>
        <v>0</v>
      </c>
    </row>
    <row r="20" spans="2:31" x14ac:dyDescent="0.25">
      <c r="B20" s="4"/>
      <c r="E20" s="3"/>
      <c r="F20" s="3"/>
      <c r="G20" s="24"/>
      <c r="H20" s="24"/>
      <c r="K20" s="4"/>
      <c r="L20" s="4"/>
      <c r="M20" s="4"/>
      <c r="N20" s="4"/>
      <c r="O20" s="4"/>
      <c r="P20" s="27"/>
      <c r="Q20" s="25"/>
      <c r="R20" s="25"/>
      <c r="S20" s="12">
        <f t="shared" si="8"/>
        <v>0</v>
      </c>
      <c r="T20" s="5">
        <v>0</v>
      </c>
      <c r="U20" s="12">
        <f t="shared" si="9"/>
        <v>0</v>
      </c>
      <c r="V20" s="25" t="s">
        <v>10</v>
      </c>
      <c r="W20" s="11">
        <f>IFERROR(VLOOKUP(V20,Curr!$B$2:$C$13,2,FALSE),0)</f>
        <v>11.2</v>
      </c>
      <c r="X20" s="12">
        <f t="shared" si="10"/>
        <v>0</v>
      </c>
      <c r="Y20" s="26">
        <f t="shared" si="11"/>
        <v>0</v>
      </c>
      <c r="Z20" s="12">
        <f t="shared" si="4"/>
        <v>0</v>
      </c>
      <c r="AA20" s="4" t="s">
        <v>10</v>
      </c>
      <c r="AB20" s="11">
        <f>IFERROR(VLOOKUP(AA20,Curr!$B$2:$C$13,2,FALSE),0)</f>
        <v>11.2</v>
      </c>
      <c r="AC20" s="12">
        <f t="shared" si="5"/>
        <v>0</v>
      </c>
      <c r="AD20" s="12">
        <f t="shared" si="6"/>
        <v>0</v>
      </c>
      <c r="AE20" s="13">
        <f t="shared" si="7"/>
        <v>0</v>
      </c>
    </row>
    <row r="21" spans="2:31" x14ac:dyDescent="0.25">
      <c r="B21" s="4"/>
      <c r="C21" s="1" t="s">
        <v>78</v>
      </c>
      <c r="D21" s="1" t="s">
        <v>50</v>
      </c>
      <c r="E21" s="3"/>
      <c r="F21" s="3"/>
      <c r="G21" s="24"/>
      <c r="H21" s="24"/>
      <c r="J21" s="1" t="s">
        <v>237</v>
      </c>
      <c r="K21" s="4"/>
      <c r="L21" s="4"/>
      <c r="M21" s="4"/>
      <c r="N21" s="4"/>
      <c r="O21" s="4"/>
      <c r="P21" s="33"/>
      <c r="Q21" s="25">
        <v>0</v>
      </c>
      <c r="R21" s="25">
        <v>0</v>
      </c>
      <c r="S21" s="12">
        <f t="shared" si="8"/>
        <v>0</v>
      </c>
      <c r="T21" s="5">
        <v>0</v>
      </c>
      <c r="U21" s="12">
        <f t="shared" si="9"/>
        <v>0</v>
      </c>
      <c r="V21" s="25" t="s">
        <v>10</v>
      </c>
      <c r="W21" s="11">
        <f>IFERROR(VLOOKUP(V21,Curr!$B$2:$C$13,2,FALSE),0)</f>
        <v>11.2</v>
      </c>
      <c r="X21" s="12">
        <f t="shared" si="10"/>
        <v>0</v>
      </c>
      <c r="Y21" s="26">
        <f t="shared" si="11"/>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73</v>
      </c>
      <c r="E22" s="3"/>
      <c r="F22" s="3"/>
      <c r="G22" s="24"/>
      <c r="H22" s="24"/>
      <c r="J22" s="1" t="s">
        <v>238</v>
      </c>
      <c r="K22" s="4"/>
      <c r="L22" s="4"/>
      <c r="M22" s="4"/>
      <c r="N22" s="4"/>
      <c r="O22" s="4"/>
      <c r="P22" s="33" t="s">
        <v>243</v>
      </c>
      <c r="Q22" s="25">
        <v>900</v>
      </c>
      <c r="R22" s="25">
        <v>2</v>
      </c>
      <c r="S22" s="12">
        <f t="shared" si="8"/>
        <v>1800</v>
      </c>
      <c r="T22" s="5">
        <v>0.2</v>
      </c>
      <c r="U22" s="12">
        <f t="shared" si="9"/>
        <v>1440</v>
      </c>
      <c r="V22" s="25" t="s">
        <v>10</v>
      </c>
      <c r="W22" s="11">
        <f>IFERROR(VLOOKUP(V22,Curr!$B$2:$C$13,2,FALSE),0)</f>
        <v>11.2</v>
      </c>
      <c r="X22" s="12">
        <f t="shared" si="10"/>
        <v>16127.999999999998</v>
      </c>
      <c r="Y22" s="26">
        <f t="shared" si="11"/>
        <v>900</v>
      </c>
      <c r="Z22" s="12">
        <f t="shared" si="4"/>
        <v>1800</v>
      </c>
      <c r="AA22" s="4" t="s">
        <v>10</v>
      </c>
      <c r="AB22" s="11">
        <f>IFERROR(VLOOKUP(AA22,Curr!$B$2:$C$13,2,FALSE),0)</f>
        <v>11.2</v>
      </c>
      <c r="AC22" s="12">
        <f t="shared" si="5"/>
        <v>20160</v>
      </c>
      <c r="AD22" s="12">
        <f t="shared" si="6"/>
        <v>4032.0000000000018</v>
      </c>
      <c r="AE22" s="13">
        <f t="shared" si="7"/>
        <v>0.20000000000000009</v>
      </c>
    </row>
    <row r="23" spans="2:31" ht="15" customHeight="1" x14ac:dyDescent="0.25">
      <c r="B23" s="4"/>
      <c r="C23" s="1" t="s">
        <v>78</v>
      </c>
      <c r="D23" s="1" t="s">
        <v>239</v>
      </c>
      <c r="E23" s="3"/>
      <c r="F23" s="3"/>
      <c r="G23" s="24"/>
      <c r="H23" s="24"/>
      <c r="J23" s="36" t="s">
        <v>240</v>
      </c>
      <c r="K23" s="4"/>
      <c r="L23" s="4"/>
      <c r="M23" s="4"/>
      <c r="N23" s="4"/>
      <c r="O23" s="4"/>
      <c r="P23" s="29"/>
      <c r="Q23" s="25">
        <v>0</v>
      </c>
      <c r="R23" s="25">
        <v>0</v>
      </c>
      <c r="S23" s="12">
        <f t="shared" si="8"/>
        <v>0</v>
      </c>
      <c r="T23" s="5">
        <v>0</v>
      </c>
      <c r="U23" s="12">
        <f t="shared" si="9"/>
        <v>0</v>
      </c>
      <c r="V23" s="25" t="s">
        <v>10</v>
      </c>
      <c r="W23" s="11">
        <f>IFERROR(VLOOKUP(V23,Curr!$B$2:$C$13,2,FALSE),0)</f>
        <v>11.2</v>
      </c>
      <c r="X23" s="12">
        <f t="shared" si="10"/>
        <v>0</v>
      </c>
      <c r="Y23" s="26">
        <f t="shared" si="11"/>
        <v>0</v>
      </c>
      <c r="Z23" s="12">
        <f t="shared" si="4"/>
        <v>0</v>
      </c>
      <c r="AA23" s="4" t="s">
        <v>10</v>
      </c>
      <c r="AB23" s="11">
        <f>IFERROR(VLOOKUP(AA23,Curr!$B$2:$C$13,2,FALSE),0)</f>
        <v>11.2</v>
      </c>
      <c r="AC23" s="12">
        <f t="shared" si="5"/>
        <v>0</v>
      </c>
      <c r="AD23" s="12">
        <f t="shared" si="6"/>
        <v>0</v>
      </c>
      <c r="AE23" s="13">
        <f t="shared" si="7"/>
        <v>0</v>
      </c>
    </row>
    <row r="24" spans="2:31" x14ac:dyDescent="0.25">
      <c r="B24" s="4"/>
      <c r="E24" s="3"/>
      <c r="F24" s="3"/>
      <c r="G24" s="24"/>
      <c r="H24" s="24"/>
      <c r="K24" s="4"/>
      <c r="L24" s="4"/>
      <c r="M24" s="4"/>
      <c r="N24" s="4"/>
      <c r="O24" s="4"/>
      <c r="P24" s="27"/>
      <c r="Q24" s="25"/>
      <c r="R24" s="25"/>
      <c r="S24" s="12">
        <f t="shared" si="8"/>
        <v>0</v>
      </c>
      <c r="T24" s="5">
        <v>0</v>
      </c>
      <c r="U24" s="12">
        <f t="shared" si="9"/>
        <v>0</v>
      </c>
      <c r="V24" s="25" t="s">
        <v>10</v>
      </c>
      <c r="W24" s="11">
        <f>IFERROR(VLOOKUP(V24,Curr!$B$2:$C$13,2,FALSE),0)</f>
        <v>11.2</v>
      </c>
      <c r="X24" s="12">
        <f t="shared" si="10"/>
        <v>0</v>
      </c>
      <c r="Y24" s="26">
        <f t="shared" si="11"/>
        <v>0</v>
      </c>
      <c r="Z24" s="12">
        <f t="shared" si="4"/>
        <v>0</v>
      </c>
      <c r="AA24" s="4" t="s">
        <v>10</v>
      </c>
      <c r="AB24" s="11">
        <f>IFERROR(VLOOKUP(AA24,Curr!$B$2:$C$13,2,FALSE),0)</f>
        <v>11.2</v>
      </c>
      <c r="AC24" s="12">
        <f t="shared" si="5"/>
        <v>0</v>
      </c>
      <c r="AD24" s="12">
        <f t="shared" si="6"/>
        <v>0</v>
      </c>
      <c r="AE24" s="13">
        <f t="shared" si="7"/>
        <v>0</v>
      </c>
    </row>
    <row r="25" spans="2:31" x14ac:dyDescent="0.25">
      <c r="B25" s="4"/>
      <c r="C25" s="1" t="s">
        <v>80</v>
      </c>
      <c r="D25" s="1" t="s">
        <v>73</v>
      </c>
      <c r="E25" s="3"/>
      <c r="F25" s="3"/>
      <c r="G25" s="24"/>
      <c r="H25" s="24"/>
      <c r="J25" s="1" t="s">
        <v>241</v>
      </c>
      <c r="K25" s="4"/>
      <c r="L25" s="4"/>
      <c r="M25" s="4"/>
      <c r="N25" s="4"/>
      <c r="O25" s="4"/>
      <c r="P25" s="27"/>
      <c r="Q25" s="25">
        <v>0</v>
      </c>
      <c r="R25" s="25">
        <v>0</v>
      </c>
      <c r="S25" s="12">
        <f t="shared" si="8"/>
        <v>0</v>
      </c>
      <c r="T25" s="5">
        <v>0</v>
      </c>
      <c r="U25" s="12">
        <f t="shared" si="9"/>
        <v>0</v>
      </c>
      <c r="V25" s="25" t="s">
        <v>10</v>
      </c>
      <c r="W25" s="11">
        <f>IFERROR(VLOOKUP(V25,Curr!$B$2:$C$13,2,FALSE),0)</f>
        <v>11.2</v>
      </c>
      <c r="X25" s="12">
        <f t="shared" si="10"/>
        <v>0</v>
      </c>
      <c r="Y25" s="26">
        <f t="shared" si="11"/>
        <v>0</v>
      </c>
      <c r="Z25" s="12">
        <f t="shared" si="4"/>
        <v>0</v>
      </c>
      <c r="AA25" s="4" t="s">
        <v>10</v>
      </c>
      <c r="AB25" s="11">
        <f>IFERROR(VLOOKUP(AA25,Curr!$B$2:$C$13,2,FALSE),0)</f>
        <v>11.2</v>
      </c>
      <c r="AC25" s="12">
        <f t="shared" si="5"/>
        <v>0</v>
      </c>
      <c r="AD25" s="12">
        <f t="shared" si="6"/>
        <v>0</v>
      </c>
      <c r="AE25" s="13">
        <f t="shared" si="7"/>
        <v>0</v>
      </c>
    </row>
    <row r="26" spans="2:31" x14ac:dyDescent="0.25">
      <c r="B26" s="4"/>
      <c r="E26" s="3"/>
      <c r="F26" s="3"/>
      <c r="G26" s="24"/>
      <c r="H26" s="24"/>
      <c r="K26" s="4"/>
      <c r="L26" s="4"/>
      <c r="M26" s="4"/>
      <c r="N26" s="4"/>
      <c r="O26" s="4"/>
      <c r="P26" s="27"/>
      <c r="Q26" s="25"/>
      <c r="R26" s="25"/>
      <c r="S26" s="12">
        <f t="shared" si="8"/>
        <v>0</v>
      </c>
      <c r="T26" s="5">
        <v>0</v>
      </c>
      <c r="U26" s="12">
        <f t="shared" si="9"/>
        <v>0</v>
      </c>
      <c r="V26" s="25" t="s">
        <v>10</v>
      </c>
      <c r="W26" s="11">
        <f>IFERROR(VLOOKUP(V26,Curr!$B$2:$C$13,2,FALSE),0)</f>
        <v>11.2</v>
      </c>
      <c r="X26" s="12">
        <f t="shared" si="10"/>
        <v>0</v>
      </c>
      <c r="Y26" s="26">
        <f t="shared" si="11"/>
        <v>0</v>
      </c>
      <c r="Z26" s="12">
        <f t="shared" si="4"/>
        <v>0</v>
      </c>
      <c r="AA26" s="4" t="s">
        <v>10</v>
      </c>
      <c r="AB26" s="11">
        <f>IFERROR(VLOOKUP(AA26,Curr!$B$2:$C$13,2,FALSE),0)</f>
        <v>11.2</v>
      </c>
      <c r="AC26" s="12">
        <f t="shared" si="5"/>
        <v>0</v>
      </c>
      <c r="AD26" s="12">
        <f t="shared" si="6"/>
        <v>0</v>
      </c>
      <c r="AE26" s="13">
        <f t="shared" si="7"/>
        <v>0</v>
      </c>
    </row>
    <row r="27" spans="2:31" x14ac:dyDescent="0.25">
      <c r="B27" s="4"/>
      <c r="C27" s="1" t="s">
        <v>81</v>
      </c>
      <c r="D27" s="1" t="s">
        <v>73</v>
      </c>
      <c r="E27" s="3"/>
      <c r="F27" s="3"/>
      <c r="G27" s="24"/>
      <c r="H27" s="24"/>
      <c r="J27" s="1" t="s">
        <v>242</v>
      </c>
      <c r="K27" s="4"/>
      <c r="L27" s="4"/>
      <c r="M27" s="4"/>
      <c r="N27" s="4"/>
      <c r="O27" s="4"/>
      <c r="P27" s="33"/>
      <c r="Q27" s="25">
        <v>0</v>
      </c>
      <c r="R27" s="25">
        <v>0</v>
      </c>
      <c r="S27" s="12">
        <f t="shared" si="8"/>
        <v>0</v>
      </c>
      <c r="T27" s="5">
        <v>0</v>
      </c>
      <c r="U27" s="12">
        <f t="shared" si="9"/>
        <v>0</v>
      </c>
      <c r="V27" s="25" t="s">
        <v>10</v>
      </c>
      <c r="W27" s="11">
        <f>IFERROR(VLOOKUP(V27,Curr!$B$2:$C$13,2,FALSE),0)</f>
        <v>11.2</v>
      </c>
      <c r="X27" s="12">
        <f t="shared" si="10"/>
        <v>0</v>
      </c>
      <c r="Y27" s="26">
        <f t="shared" si="11"/>
        <v>0</v>
      </c>
      <c r="Z27" s="12">
        <f t="shared" si="4"/>
        <v>0</v>
      </c>
      <c r="AA27" s="4" t="s">
        <v>10</v>
      </c>
      <c r="AB27" s="11">
        <f>IFERROR(VLOOKUP(AA27,Curr!$B$2:$C$13,2,FALSE),0)</f>
        <v>11.2</v>
      </c>
      <c r="AC27" s="12">
        <f t="shared" si="5"/>
        <v>0</v>
      </c>
      <c r="AD27" s="12">
        <f t="shared" si="6"/>
        <v>0</v>
      </c>
      <c r="AE27" s="13">
        <f t="shared" si="7"/>
        <v>0</v>
      </c>
    </row>
    <row r="28" spans="2:31" x14ac:dyDescent="0.25">
      <c r="B28" s="4"/>
      <c r="C28" s="1" t="s">
        <v>81</v>
      </c>
      <c r="D28" s="1" t="s">
        <v>50</v>
      </c>
      <c r="E28" s="3"/>
      <c r="F28" s="3"/>
      <c r="G28" s="24"/>
      <c r="H28" s="24"/>
      <c r="J28" s="1" t="s">
        <v>234</v>
      </c>
      <c r="K28" s="4"/>
      <c r="L28" s="4"/>
      <c r="M28" s="4"/>
      <c r="N28" s="4"/>
      <c r="O28" s="4"/>
      <c r="P28" s="33"/>
      <c r="Q28" s="25">
        <v>0</v>
      </c>
      <c r="R28" s="25">
        <v>0</v>
      </c>
      <c r="S28" s="12">
        <f t="shared" si="8"/>
        <v>0</v>
      </c>
      <c r="T28" s="5">
        <v>0</v>
      </c>
      <c r="U28" s="12">
        <f t="shared" si="9"/>
        <v>0</v>
      </c>
      <c r="V28" s="25" t="s">
        <v>10</v>
      </c>
      <c r="W28" s="11">
        <f>IFERROR(VLOOKUP(V28,Curr!$B$2:$C$13,2,FALSE),0)</f>
        <v>11.2</v>
      </c>
      <c r="X28" s="12">
        <f t="shared" si="10"/>
        <v>0</v>
      </c>
      <c r="Y28" s="26">
        <f t="shared" si="11"/>
        <v>0</v>
      </c>
      <c r="Z28" s="12">
        <f t="shared" si="4"/>
        <v>0</v>
      </c>
      <c r="AA28" s="4" t="s">
        <v>10</v>
      </c>
      <c r="AB28" s="11">
        <f>IFERROR(VLOOKUP(AA28,Curr!$B$2:$C$13,2,FALSE),0)</f>
        <v>11.2</v>
      </c>
      <c r="AC28" s="12">
        <f t="shared" si="5"/>
        <v>0</v>
      </c>
      <c r="AD28" s="12">
        <f t="shared" si="6"/>
        <v>0</v>
      </c>
      <c r="AE28" s="13">
        <f t="shared" si="7"/>
        <v>0</v>
      </c>
    </row>
    <row r="29" spans="2:31" x14ac:dyDescent="0.25">
      <c r="B29" s="4"/>
      <c r="C29" s="1" t="s">
        <v>81</v>
      </c>
      <c r="D29" s="1" t="s">
        <v>52</v>
      </c>
      <c r="E29" s="3"/>
      <c r="F29" s="3"/>
      <c r="G29" s="24"/>
      <c r="H29" s="24"/>
      <c r="J29" s="1" t="s">
        <v>236</v>
      </c>
      <c r="K29" s="4"/>
      <c r="L29" s="4"/>
      <c r="M29" s="4"/>
      <c r="N29" s="4"/>
      <c r="O29" s="4"/>
      <c r="P29" s="27"/>
      <c r="Q29" s="25">
        <v>130</v>
      </c>
      <c r="R29" s="25">
        <v>1</v>
      </c>
      <c r="S29" s="12">
        <f t="shared" ref="S29" si="13">+Q29*R29</f>
        <v>130</v>
      </c>
      <c r="T29" s="5">
        <v>0</v>
      </c>
      <c r="U29" s="12">
        <f t="shared" ref="U29" si="14">S29*(1-T29)</f>
        <v>130</v>
      </c>
      <c r="V29" s="25" t="s">
        <v>10</v>
      </c>
      <c r="W29" s="11">
        <f>IFERROR(VLOOKUP(V29,Curr!$B$2:$C$13,2,FALSE),0)</f>
        <v>11.2</v>
      </c>
      <c r="X29" s="12">
        <f t="shared" ref="X29" si="15">U29*W29</f>
        <v>1456</v>
      </c>
      <c r="Y29" s="26">
        <f>Q29/0.8</f>
        <v>162.5</v>
      </c>
      <c r="Z29" s="12">
        <f t="shared" si="4"/>
        <v>162.5</v>
      </c>
      <c r="AA29" s="4" t="s">
        <v>10</v>
      </c>
      <c r="AB29" s="11">
        <f>IFERROR(VLOOKUP(AA29,Curr!$B$2:$C$13,2,FALSE),0)</f>
        <v>11.2</v>
      </c>
      <c r="AC29" s="12">
        <f t="shared" si="5"/>
        <v>1819.9999999999998</v>
      </c>
      <c r="AD29" s="12">
        <f t="shared" si="6"/>
        <v>363.99999999999977</v>
      </c>
      <c r="AE29" s="13">
        <f t="shared" si="7"/>
        <v>0.1999999999999999</v>
      </c>
    </row>
    <row r="30" spans="2:31" x14ac:dyDescent="0.25">
      <c r="B30" s="4"/>
      <c r="C30" s="1" t="s">
        <v>81</v>
      </c>
      <c r="D30" s="1" t="s">
        <v>53</v>
      </c>
      <c r="E30" s="3"/>
      <c r="F30" s="3"/>
      <c r="G30" s="24"/>
      <c r="H30" s="24"/>
      <c r="J30" s="1" t="s">
        <v>235</v>
      </c>
      <c r="K30" s="4"/>
      <c r="L30" s="4"/>
      <c r="M30" s="4"/>
      <c r="N30" s="4"/>
      <c r="O30" s="4"/>
      <c r="P30" s="33"/>
      <c r="Q30" s="25">
        <v>0</v>
      </c>
      <c r="R30" s="25">
        <v>0</v>
      </c>
      <c r="S30" s="12">
        <f t="shared" si="8"/>
        <v>0</v>
      </c>
      <c r="T30" s="5">
        <v>0</v>
      </c>
      <c r="U30" s="12">
        <f t="shared" si="9"/>
        <v>0</v>
      </c>
      <c r="V30" s="25" t="s">
        <v>10</v>
      </c>
      <c r="W30" s="11">
        <f>IFERROR(VLOOKUP(V30,Curr!$B$2:$C$13,2,FALSE),0)</f>
        <v>11.2</v>
      </c>
      <c r="X30" s="12">
        <f t="shared" si="10"/>
        <v>0</v>
      </c>
      <c r="Y30" s="26">
        <f t="shared" si="11"/>
        <v>0</v>
      </c>
      <c r="Z30" s="12">
        <f t="shared" si="4"/>
        <v>0</v>
      </c>
      <c r="AA30" s="4" t="s">
        <v>10</v>
      </c>
      <c r="AB30" s="11">
        <f>IFERROR(VLOOKUP(AA30,Curr!$B$2:$C$13,2,FALSE),0)</f>
        <v>11.2</v>
      </c>
      <c r="AC30" s="12">
        <f t="shared" si="5"/>
        <v>0</v>
      </c>
      <c r="AD30" s="12">
        <f t="shared" si="6"/>
        <v>0</v>
      </c>
      <c r="AE30" s="13">
        <f t="shared" si="7"/>
        <v>0</v>
      </c>
    </row>
    <row r="31" spans="2:31" x14ac:dyDescent="0.25">
      <c r="B31" s="4"/>
      <c r="E31" s="3"/>
      <c r="F31" s="3"/>
      <c r="G31" s="24"/>
      <c r="H31" s="24"/>
      <c r="K31" s="4"/>
      <c r="L31" s="4"/>
      <c r="M31" s="4"/>
      <c r="N31" s="4"/>
      <c r="O31" s="4"/>
      <c r="P31" s="33"/>
      <c r="Q31" s="25"/>
      <c r="R31" s="25"/>
      <c r="S31" s="12">
        <f t="shared" si="8"/>
        <v>0</v>
      </c>
      <c r="T31" s="5">
        <v>0</v>
      </c>
      <c r="U31" s="12">
        <f t="shared" si="9"/>
        <v>0</v>
      </c>
      <c r="V31" s="25" t="s">
        <v>10</v>
      </c>
      <c r="W31" s="11">
        <f>IFERROR(VLOOKUP(V31,Curr!$B$2:$C$13,2,FALSE),0)</f>
        <v>11.2</v>
      </c>
      <c r="X31" s="12">
        <f t="shared" si="10"/>
        <v>0</v>
      </c>
      <c r="Y31" s="26">
        <f t="shared" si="11"/>
        <v>0</v>
      </c>
      <c r="Z31" s="12">
        <f t="shared" si="4"/>
        <v>0</v>
      </c>
      <c r="AA31" s="4" t="s">
        <v>10</v>
      </c>
      <c r="AB31" s="11">
        <f>IFERROR(VLOOKUP(AA31,Curr!$B$2:$C$13,2,FALSE),0)</f>
        <v>11.2</v>
      </c>
      <c r="AC31" s="12">
        <f t="shared" si="5"/>
        <v>0</v>
      </c>
      <c r="AD31" s="12">
        <f t="shared" si="6"/>
        <v>0</v>
      </c>
      <c r="AE31" s="13">
        <f t="shared" si="7"/>
        <v>0</v>
      </c>
    </row>
    <row r="32" spans="2:31" x14ac:dyDescent="0.25">
      <c r="B32" s="4"/>
      <c r="C32" s="1" t="s">
        <v>114</v>
      </c>
      <c r="D32" s="1" t="s">
        <v>50</v>
      </c>
      <c r="E32" s="3"/>
      <c r="F32" s="3"/>
      <c r="G32" s="24"/>
      <c r="H32" s="24"/>
      <c r="J32" s="1" t="s">
        <v>245</v>
      </c>
      <c r="K32" s="4"/>
      <c r="L32" s="4"/>
      <c r="M32" s="4"/>
      <c r="N32" s="4"/>
      <c r="O32" s="4"/>
      <c r="P32" s="33"/>
      <c r="Q32" s="25">
        <v>0</v>
      </c>
      <c r="R32" s="25">
        <v>0</v>
      </c>
      <c r="S32" s="12">
        <f t="shared" si="8"/>
        <v>0</v>
      </c>
      <c r="T32" s="5">
        <v>0</v>
      </c>
      <c r="U32" s="12">
        <f t="shared" si="9"/>
        <v>0</v>
      </c>
      <c r="V32" s="25" t="s">
        <v>10</v>
      </c>
      <c r="W32" s="11">
        <f>IFERROR(VLOOKUP(V32,Curr!$B$2:$C$13,2,FALSE),0)</f>
        <v>11.2</v>
      </c>
      <c r="X32" s="12">
        <f t="shared" si="10"/>
        <v>0</v>
      </c>
      <c r="Y32" s="26">
        <f t="shared" si="11"/>
        <v>0</v>
      </c>
      <c r="Z32" s="12">
        <f t="shared" si="4"/>
        <v>0</v>
      </c>
      <c r="AA32" s="4" t="s">
        <v>10</v>
      </c>
      <c r="AB32" s="11">
        <f>IFERROR(VLOOKUP(AA32,Curr!$B$2:$C$13,2,FALSE),0)</f>
        <v>11.2</v>
      </c>
      <c r="AC32" s="12">
        <f t="shared" si="5"/>
        <v>0</v>
      </c>
      <c r="AD32" s="12">
        <f t="shared" si="6"/>
        <v>0</v>
      </c>
      <c r="AE32" s="13">
        <f t="shared" si="7"/>
        <v>0</v>
      </c>
    </row>
    <row r="33" spans="2:31" x14ac:dyDescent="0.25">
      <c r="B33" s="4"/>
      <c r="C33" s="1" t="s">
        <v>114</v>
      </c>
      <c r="D33" s="1" t="s">
        <v>82</v>
      </c>
      <c r="E33" s="3"/>
      <c r="F33" s="3"/>
      <c r="G33" s="24"/>
      <c r="H33" s="24"/>
      <c r="J33" s="1" t="s">
        <v>244</v>
      </c>
      <c r="K33" s="4"/>
      <c r="L33" s="4"/>
      <c r="M33" s="4"/>
      <c r="N33" s="4"/>
      <c r="O33" s="4"/>
      <c r="P33" s="33"/>
      <c r="Q33" s="25">
        <v>0</v>
      </c>
      <c r="R33" s="25">
        <v>0</v>
      </c>
      <c r="S33" s="12">
        <f t="shared" si="8"/>
        <v>0</v>
      </c>
      <c r="T33" s="5">
        <v>0</v>
      </c>
      <c r="U33" s="12">
        <f t="shared" si="9"/>
        <v>0</v>
      </c>
      <c r="V33" s="25" t="s">
        <v>10</v>
      </c>
      <c r="W33" s="11">
        <f>IFERROR(VLOOKUP(V33,Curr!$B$2:$C$13,2,FALSE),0)</f>
        <v>11.2</v>
      </c>
      <c r="X33" s="12">
        <f t="shared" si="10"/>
        <v>0</v>
      </c>
      <c r="Y33" s="26">
        <f t="shared" si="11"/>
        <v>0</v>
      </c>
      <c r="Z33" s="12">
        <f t="shared" si="4"/>
        <v>0</v>
      </c>
      <c r="AA33" s="4" t="s">
        <v>10</v>
      </c>
      <c r="AB33" s="11">
        <f>IFERROR(VLOOKUP(AA33,Curr!$B$2:$C$13,2,FALSE),0)</f>
        <v>11.2</v>
      </c>
      <c r="AC33" s="12">
        <f t="shared" si="5"/>
        <v>0</v>
      </c>
      <c r="AD33" s="12">
        <f t="shared" si="6"/>
        <v>0</v>
      </c>
      <c r="AE33" s="13">
        <f t="shared" si="7"/>
        <v>0</v>
      </c>
    </row>
    <row r="34" spans="2:31" x14ac:dyDescent="0.25">
      <c r="B34" s="4"/>
      <c r="E34" s="3"/>
      <c r="F34" s="3"/>
      <c r="G34" s="24"/>
      <c r="H34" s="24"/>
      <c r="K34" s="4"/>
      <c r="L34" s="4"/>
      <c r="M34" s="4"/>
      <c r="N34" s="4"/>
      <c r="O34" s="4"/>
      <c r="P34" s="33"/>
      <c r="Q34" s="25"/>
      <c r="R34" s="25"/>
      <c r="S34" s="12">
        <f t="shared" si="8"/>
        <v>0</v>
      </c>
      <c r="T34" s="5">
        <v>0</v>
      </c>
      <c r="U34" s="12">
        <f t="shared" si="9"/>
        <v>0</v>
      </c>
      <c r="V34" s="25" t="s">
        <v>10</v>
      </c>
      <c r="W34" s="11">
        <f>IFERROR(VLOOKUP(V34,Curr!$B$2:$C$13,2,FALSE),0)</f>
        <v>11.2</v>
      </c>
      <c r="X34" s="12">
        <f t="shared" si="10"/>
        <v>0</v>
      </c>
      <c r="Y34" s="26">
        <f t="shared" si="11"/>
        <v>0</v>
      </c>
      <c r="Z34" s="12">
        <f t="shared" si="4"/>
        <v>0</v>
      </c>
      <c r="AA34" s="4" t="s">
        <v>10</v>
      </c>
      <c r="AB34" s="11">
        <f>IFERROR(VLOOKUP(AA34,Curr!$B$2:$C$13,2,FALSE),0)</f>
        <v>11.2</v>
      </c>
      <c r="AC34" s="12">
        <f t="shared" si="5"/>
        <v>0</v>
      </c>
      <c r="AD34" s="12">
        <f t="shared" si="6"/>
        <v>0</v>
      </c>
      <c r="AE34" s="13">
        <f t="shared" si="7"/>
        <v>0</v>
      </c>
    </row>
    <row r="35" spans="2:31" x14ac:dyDescent="0.25">
      <c r="B35" s="4"/>
      <c r="E35" s="3"/>
      <c r="F35" s="3"/>
      <c r="G35" s="24"/>
      <c r="H35" s="24"/>
      <c r="K35" s="4"/>
      <c r="L35" s="4"/>
      <c r="M35" s="4"/>
      <c r="N35" s="4"/>
      <c r="O35" s="4"/>
      <c r="P35" s="33"/>
      <c r="Q35" s="25"/>
      <c r="R35" s="25"/>
      <c r="S35" s="12">
        <f t="shared" si="8"/>
        <v>0</v>
      </c>
      <c r="T35" s="5">
        <v>0</v>
      </c>
      <c r="U35" s="12">
        <f t="shared" si="9"/>
        <v>0</v>
      </c>
      <c r="V35" s="25" t="s">
        <v>10</v>
      </c>
      <c r="W35" s="11">
        <f>IFERROR(VLOOKUP(V35,Curr!$B$2:$C$13,2,FALSE),0)</f>
        <v>11.2</v>
      </c>
      <c r="X35" s="12">
        <f t="shared" si="10"/>
        <v>0</v>
      </c>
      <c r="Y35" s="26">
        <f t="shared" si="11"/>
        <v>0</v>
      </c>
      <c r="Z35" s="12">
        <f t="shared" si="4"/>
        <v>0</v>
      </c>
      <c r="AA35" s="4" t="s">
        <v>10</v>
      </c>
      <c r="AB35" s="11">
        <f>IFERROR(VLOOKUP(AA35,Curr!$B$2:$C$13,2,FALSE),0)</f>
        <v>11.2</v>
      </c>
      <c r="AC35" s="12">
        <f t="shared" si="5"/>
        <v>0</v>
      </c>
      <c r="AD35" s="12">
        <f t="shared" si="6"/>
        <v>0</v>
      </c>
      <c r="AE35" s="13">
        <f t="shared" si="7"/>
        <v>0</v>
      </c>
    </row>
    <row r="36" spans="2:31" x14ac:dyDescent="0.25">
      <c r="B36" s="4"/>
      <c r="C36" s="1" t="s">
        <v>55</v>
      </c>
      <c r="D36" s="1" t="s">
        <v>93</v>
      </c>
      <c r="E36" s="3"/>
      <c r="F36" s="3"/>
      <c r="G36" s="24"/>
      <c r="H36" s="24"/>
      <c r="J36" s="1" t="s">
        <v>51</v>
      </c>
      <c r="K36" s="4"/>
      <c r="L36" s="4"/>
      <c r="M36" s="4"/>
      <c r="N36" s="4"/>
      <c r="O36" s="4"/>
      <c r="P36" s="33"/>
      <c r="Q36" s="25">
        <v>1790</v>
      </c>
      <c r="R36" s="25">
        <v>0</v>
      </c>
      <c r="S36" s="12">
        <f t="shared" si="8"/>
        <v>0</v>
      </c>
      <c r="T36" s="5">
        <v>0</v>
      </c>
      <c r="U36" s="12">
        <f t="shared" si="9"/>
        <v>0</v>
      </c>
      <c r="V36" s="25" t="s">
        <v>8</v>
      </c>
      <c r="W36" s="11">
        <f>IFERROR(VLOOKUP(V36,Curr!$B$2:$C$13,2,FALSE),0)</f>
        <v>1</v>
      </c>
      <c r="X36" s="12">
        <f t="shared" si="10"/>
        <v>0</v>
      </c>
      <c r="Y36" s="26">
        <f>Q36/11.3/0.8</f>
        <v>198.0088495575221</v>
      </c>
      <c r="Z36" s="12">
        <f t="shared" si="4"/>
        <v>0</v>
      </c>
      <c r="AA36" s="4" t="s">
        <v>10</v>
      </c>
      <c r="AB36" s="11">
        <f>IFERROR(VLOOKUP(AA36,Curr!$B$2:$C$13,2,FALSE),0)</f>
        <v>11.2</v>
      </c>
      <c r="AC36" s="12">
        <f t="shared" si="5"/>
        <v>0</v>
      </c>
      <c r="AD36" s="12">
        <f t="shared" si="6"/>
        <v>0</v>
      </c>
      <c r="AE36" s="13">
        <f t="shared" si="7"/>
        <v>0</v>
      </c>
    </row>
    <row r="37" spans="2:31" x14ac:dyDescent="0.25">
      <c r="B37" s="4"/>
      <c r="C37" s="1" t="s">
        <v>69</v>
      </c>
      <c r="D37" s="1" t="s">
        <v>93</v>
      </c>
      <c r="E37" s="3"/>
      <c r="F37" s="3"/>
      <c r="G37" s="24"/>
      <c r="H37" s="24"/>
      <c r="J37" s="1" t="s">
        <v>195</v>
      </c>
      <c r="K37" s="4"/>
      <c r="L37" s="4"/>
      <c r="M37" s="4"/>
      <c r="N37" s="4"/>
      <c r="O37" s="4"/>
      <c r="P37" s="33"/>
      <c r="Q37" s="25">
        <v>1790</v>
      </c>
      <c r="R37" s="25">
        <v>0</v>
      </c>
      <c r="S37" s="12">
        <f t="shared" ref="S37" si="16">+Q37*R37</f>
        <v>0</v>
      </c>
      <c r="T37" s="5">
        <v>0</v>
      </c>
      <c r="U37" s="12">
        <f t="shared" ref="U37" si="17">S37*(1-T37)</f>
        <v>0</v>
      </c>
      <c r="V37" s="25" t="s">
        <v>8</v>
      </c>
      <c r="W37" s="11">
        <f>IFERROR(VLOOKUP(V37,Curr!$B$2:$C$13,2,FALSE),0)</f>
        <v>1</v>
      </c>
      <c r="X37" s="12">
        <f t="shared" ref="X37" si="18">U37*W37</f>
        <v>0</v>
      </c>
      <c r="Y37" s="26">
        <f>Q37/11.3/0.8</f>
        <v>198.0088495575221</v>
      </c>
      <c r="Z37" s="12">
        <f t="shared" si="4"/>
        <v>0</v>
      </c>
      <c r="AA37" s="4" t="s">
        <v>10</v>
      </c>
      <c r="AB37" s="11">
        <f>IFERROR(VLOOKUP(AA37,Curr!$B$2:$C$13,2,FALSE),0)</f>
        <v>11.2</v>
      </c>
      <c r="AC37" s="12">
        <f t="shared" si="5"/>
        <v>0</v>
      </c>
      <c r="AD37" s="12">
        <f t="shared" si="6"/>
        <v>0</v>
      </c>
      <c r="AE37" s="13">
        <f t="shared" si="7"/>
        <v>0</v>
      </c>
    </row>
    <row r="38" spans="2:31" x14ac:dyDescent="0.25">
      <c r="B38" s="4"/>
      <c r="C38" s="1" t="s">
        <v>69</v>
      </c>
      <c r="D38" s="1" t="s">
        <v>93</v>
      </c>
      <c r="E38" s="3"/>
      <c r="F38" s="3"/>
      <c r="G38" s="24"/>
      <c r="H38" s="24"/>
      <c r="J38" s="1" t="s">
        <v>234</v>
      </c>
      <c r="K38" s="4"/>
      <c r="L38" s="4"/>
      <c r="M38" s="4"/>
      <c r="N38" s="4"/>
      <c r="O38" s="4"/>
      <c r="P38" s="27"/>
      <c r="Q38" s="25">
        <v>700</v>
      </c>
      <c r="R38" s="25">
        <v>0</v>
      </c>
      <c r="S38" s="12">
        <f t="shared" si="8"/>
        <v>0</v>
      </c>
      <c r="T38" s="5">
        <v>0</v>
      </c>
      <c r="U38" s="12">
        <f t="shared" si="9"/>
        <v>0</v>
      </c>
      <c r="V38" s="25" t="s">
        <v>8</v>
      </c>
      <c r="W38" s="11">
        <f>IFERROR(VLOOKUP(V38,Curr!$B$2:$C$13,2,FALSE),0)</f>
        <v>1</v>
      </c>
      <c r="X38" s="12">
        <f t="shared" si="10"/>
        <v>0</v>
      </c>
      <c r="Y38" s="26">
        <f t="shared" ref="Y38:Y39" si="19">Q38/11.3/0.8</f>
        <v>77.433628318584056</v>
      </c>
      <c r="Z38" s="12">
        <f t="shared" si="4"/>
        <v>0</v>
      </c>
      <c r="AA38" s="4" t="s">
        <v>10</v>
      </c>
      <c r="AB38" s="11">
        <f>IFERROR(VLOOKUP(AA38,Curr!$B$2:$C$13,2,FALSE),0)</f>
        <v>11.2</v>
      </c>
      <c r="AC38" s="12">
        <f t="shared" si="5"/>
        <v>0</v>
      </c>
      <c r="AD38" s="12">
        <f t="shared" si="6"/>
        <v>0</v>
      </c>
      <c r="AE38" s="13">
        <f t="shared" si="7"/>
        <v>0</v>
      </c>
    </row>
    <row r="39" spans="2:31" x14ac:dyDescent="0.25">
      <c r="B39" s="4"/>
      <c r="C39" s="1" t="s">
        <v>114</v>
      </c>
      <c r="D39" s="1" t="s">
        <v>93</v>
      </c>
      <c r="E39" s="3"/>
      <c r="F39" s="3"/>
      <c r="G39" s="24"/>
      <c r="H39" s="24"/>
      <c r="J39" s="1" t="s">
        <v>245</v>
      </c>
      <c r="K39" s="4"/>
      <c r="L39" s="4"/>
      <c r="M39" s="4"/>
      <c r="N39" s="4"/>
      <c r="O39" s="4"/>
      <c r="P39" s="33"/>
      <c r="Q39" s="25">
        <v>700</v>
      </c>
      <c r="R39" s="25">
        <v>0</v>
      </c>
      <c r="S39" s="12">
        <f t="shared" si="8"/>
        <v>0</v>
      </c>
      <c r="T39" s="5">
        <v>0</v>
      </c>
      <c r="U39" s="12">
        <f t="shared" si="9"/>
        <v>0</v>
      </c>
      <c r="V39" s="25" t="s">
        <v>8</v>
      </c>
      <c r="W39" s="11">
        <f>IFERROR(VLOOKUP(V39,Curr!$B$2:$C$13,2,FALSE),0)</f>
        <v>1</v>
      </c>
      <c r="X39" s="12">
        <f t="shared" si="10"/>
        <v>0</v>
      </c>
      <c r="Y39" s="26">
        <f t="shared" si="19"/>
        <v>77.433628318584056</v>
      </c>
      <c r="Z39" s="12">
        <f t="shared" si="4"/>
        <v>0</v>
      </c>
      <c r="AA39" s="4" t="s">
        <v>10</v>
      </c>
      <c r="AB39" s="11">
        <f>IFERROR(VLOOKUP(AA39,Curr!$B$2:$C$13,2,FALSE),0)</f>
        <v>11.2</v>
      </c>
      <c r="AC39" s="12">
        <f t="shared" si="5"/>
        <v>0</v>
      </c>
      <c r="AD39" s="12">
        <f t="shared" si="6"/>
        <v>0</v>
      </c>
      <c r="AE39" s="13">
        <f t="shared" si="7"/>
        <v>0</v>
      </c>
    </row>
    <row r="40" spans="2:31" x14ac:dyDescent="0.25">
      <c r="B40" s="4"/>
      <c r="E40" s="3"/>
      <c r="F40" s="3"/>
      <c r="G40" s="24"/>
      <c r="H40" s="24"/>
      <c r="K40" s="4"/>
      <c r="L40" s="4"/>
      <c r="M40" s="4"/>
      <c r="N40" s="4"/>
      <c r="O40" s="4"/>
      <c r="P40" s="33"/>
      <c r="Q40" s="25"/>
      <c r="R40" s="25"/>
      <c r="S40" s="12">
        <f t="shared" si="8"/>
        <v>0</v>
      </c>
      <c r="T40" s="5">
        <v>0</v>
      </c>
      <c r="U40" s="12">
        <f t="shared" si="9"/>
        <v>0</v>
      </c>
      <c r="V40" s="25" t="s">
        <v>10</v>
      </c>
      <c r="W40" s="11">
        <f>IFERROR(VLOOKUP(V40,Curr!$B$2:$C$13,2,FALSE),0)</f>
        <v>11.2</v>
      </c>
      <c r="X40" s="12">
        <f t="shared" si="10"/>
        <v>0</v>
      </c>
      <c r="Y40" s="26">
        <f t="shared" si="11"/>
        <v>0</v>
      </c>
      <c r="Z40" s="12">
        <f t="shared" si="4"/>
        <v>0</v>
      </c>
      <c r="AA40" s="4" t="s">
        <v>10</v>
      </c>
      <c r="AB40" s="11">
        <f>IFERROR(VLOOKUP(AA40,Curr!$B$2:$C$13,2,FALSE),0)</f>
        <v>11.2</v>
      </c>
      <c r="AC40" s="12">
        <f t="shared" si="5"/>
        <v>0</v>
      </c>
      <c r="AD40" s="12">
        <f t="shared" si="6"/>
        <v>0</v>
      </c>
      <c r="AE40" s="13">
        <f t="shared" si="7"/>
        <v>0</v>
      </c>
    </row>
    <row r="41" spans="2:31" x14ac:dyDescent="0.25">
      <c r="B41" s="4"/>
      <c r="E41" s="3"/>
      <c r="F41" s="3"/>
      <c r="G41" s="24"/>
      <c r="H41" s="24"/>
      <c r="K41" s="4"/>
      <c r="L41" s="4"/>
      <c r="M41" s="4"/>
      <c r="N41" s="4"/>
      <c r="O41" s="4"/>
      <c r="P41" s="27"/>
      <c r="Q41" s="25"/>
      <c r="R41" s="25"/>
      <c r="S41" s="12">
        <f t="shared" si="8"/>
        <v>0</v>
      </c>
      <c r="T41" s="5">
        <v>0</v>
      </c>
      <c r="U41" s="12">
        <f t="shared" si="9"/>
        <v>0</v>
      </c>
      <c r="V41" s="25" t="s">
        <v>10</v>
      </c>
      <c r="W41" s="11">
        <f>IFERROR(VLOOKUP(V41,Curr!$B$2:$C$13,2,FALSE),0)</f>
        <v>11.2</v>
      </c>
      <c r="X41" s="12">
        <f t="shared" si="10"/>
        <v>0</v>
      </c>
      <c r="Y41" s="26">
        <f t="shared" si="11"/>
        <v>0</v>
      </c>
      <c r="Z41" s="12">
        <f t="shared" si="4"/>
        <v>0</v>
      </c>
      <c r="AA41" s="4" t="s">
        <v>10</v>
      </c>
      <c r="AB41" s="11">
        <f>IFERROR(VLOOKUP(AA41,Curr!$B$2:$C$13,2,FALSE),0)</f>
        <v>11.2</v>
      </c>
      <c r="AC41" s="12">
        <f t="shared" si="5"/>
        <v>0</v>
      </c>
      <c r="AD41" s="12">
        <f t="shared" si="6"/>
        <v>0</v>
      </c>
      <c r="AE41" s="13">
        <f t="shared" si="7"/>
        <v>0</v>
      </c>
    </row>
    <row r="42" spans="2:31" x14ac:dyDescent="0.25">
      <c r="B42" s="4"/>
      <c r="C42" s="1" t="s">
        <v>63</v>
      </c>
      <c r="D42" s="1" t="s">
        <v>94</v>
      </c>
      <c r="E42" s="3"/>
      <c r="F42" s="3"/>
      <c r="G42" s="24"/>
      <c r="H42" s="24"/>
      <c r="J42" s="1" t="s">
        <v>248</v>
      </c>
      <c r="K42" s="4"/>
      <c r="L42" s="4"/>
      <c r="M42" s="4"/>
      <c r="N42" s="4"/>
      <c r="O42" s="4" t="s">
        <v>42</v>
      </c>
      <c r="P42" s="33" t="s">
        <v>249</v>
      </c>
      <c r="Q42" s="25">
        <v>126</v>
      </c>
      <c r="R42" s="25">
        <v>0</v>
      </c>
      <c r="S42" s="12">
        <f t="shared" si="8"/>
        <v>0</v>
      </c>
      <c r="T42" s="5">
        <v>0</v>
      </c>
      <c r="U42" s="12">
        <f t="shared" si="9"/>
        <v>0</v>
      </c>
      <c r="V42" s="25" t="s">
        <v>10</v>
      </c>
      <c r="W42" s="11">
        <f>IFERROR(VLOOKUP(V42,Curr!$B$2:$C$13,2,FALSE),0)</f>
        <v>11.2</v>
      </c>
      <c r="X42" s="12">
        <f t="shared" si="10"/>
        <v>0</v>
      </c>
      <c r="Y42" s="26">
        <f t="shared" si="11"/>
        <v>126</v>
      </c>
      <c r="Z42" s="12">
        <f t="shared" si="4"/>
        <v>0</v>
      </c>
      <c r="AA42" s="4" t="s">
        <v>10</v>
      </c>
      <c r="AB42" s="11">
        <f>IFERROR(VLOOKUP(AA42,Curr!$B$2:$C$13,2,FALSE),0)</f>
        <v>11.2</v>
      </c>
      <c r="AC42" s="12">
        <f t="shared" si="5"/>
        <v>0</v>
      </c>
      <c r="AD42" s="12">
        <f t="shared" si="6"/>
        <v>0</v>
      </c>
      <c r="AE42" s="13">
        <f t="shared" si="7"/>
        <v>0</v>
      </c>
    </row>
    <row r="43" spans="2:31" x14ac:dyDescent="0.25">
      <c r="B43" s="4"/>
      <c r="E43" s="3"/>
      <c r="F43" s="3"/>
      <c r="G43" s="24"/>
      <c r="H43" s="24"/>
      <c r="K43" s="4"/>
      <c r="L43" s="4"/>
      <c r="M43" s="4"/>
      <c r="N43" s="4"/>
      <c r="O43" s="4"/>
      <c r="P43" s="27"/>
      <c r="Q43" s="25"/>
      <c r="R43" s="25"/>
      <c r="S43" s="12">
        <f t="shared" si="8"/>
        <v>0</v>
      </c>
      <c r="T43" s="5">
        <v>0</v>
      </c>
      <c r="U43" s="12">
        <f t="shared" si="9"/>
        <v>0</v>
      </c>
      <c r="V43" s="25" t="s">
        <v>10</v>
      </c>
      <c r="W43" s="11">
        <f>IFERROR(VLOOKUP(V43,Curr!$B$2:$C$13,2,FALSE),0)</f>
        <v>11.2</v>
      </c>
      <c r="X43" s="12">
        <f t="shared" si="10"/>
        <v>0</v>
      </c>
      <c r="Y43" s="26">
        <f t="shared" si="11"/>
        <v>0</v>
      </c>
      <c r="Z43" s="12">
        <f t="shared" si="4"/>
        <v>0</v>
      </c>
      <c r="AA43" s="4" t="s">
        <v>10</v>
      </c>
      <c r="AB43" s="11">
        <f>IFERROR(VLOOKUP(AA43,Curr!$B$2:$C$13,2,FALSE),0)</f>
        <v>11.2</v>
      </c>
      <c r="AC43" s="12">
        <f t="shared" si="5"/>
        <v>0</v>
      </c>
      <c r="AD43" s="12">
        <f t="shared" si="6"/>
        <v>0</v>
      </c>
      <c r="AE43" s="13">
        <f t="shared" si="7"/>
        <v>0</v>
      </c>
    </row>
    <row r="44" spans="2:31" x14ac:dyDescent="0.25">
      <c r="B44" s="4"/>
      <c r="E44" s="3"/>
      <c r="F44" s="3"/>
      <c r="G44" s="24"/>
      <c r="H44" s="24"/>
      <c r="K44" s="4"/>
      <c r="L44" s="4"/>
      <c r="M44" s="4"/>
      <c r="N44" s="4"/>
      <c r="O44" s="4"/>
      <c r="P44" s="33"/>
      <c r="Q44" s="25"/>
      <c r="R44" s="25"/>
      <c r="S44" s="12">
        <f t="shared" si="8"/>
        <v>0</v>
      </c>
      <c r="T44" s="5">
        <v>0</v>
      </c>
      <c r="U44" s="12">
        <f t="shared" si="9"/>
        <v>0</v>
      </c>
      <c r="V44" s="25" t="s">
        <v>10</v>
      </c>
      <c r="W44" s="11">
        <f>IFERROR(VLOOKUP(V44,Curr!$B$2:$C$13,2,FALSE),0)</f>
        <v>11.2</v>
      </c>
      <c r="X44" s="12">
        <f t="shared" si="10"/>
        <v>0</v>
      </c>
      <c r="Y44" s="26">
        <f t="shared" si="11"/>
        <v>0</v>
      </c>
      <c r="Z44" s="12">
        <f t="shared" si="4"/>
        <v>0</v>
      </c>
      <c r="AA44" s="4" t="s">
        <v>10</v>
      </c>
      <c r="AB44" s="11">
        <f>IFERROR(VLOOKUP(AA44,Curr!$B$2:$C$13,2,FALSE),0)</f>
        <v>11.2</v>
      </c>
      <c r="AC44" s="12">
        <f t="shared" si="5"/>
        <v>0</v>
      </c>
      <c r="AD44" s="12">
        <f t="shared" si="6"/>
        <v>0</v>
      </c>
      <c r="AE44" s="13">
        <f t="shared" si="7"/>
        <v>0</v>
      </c>
    </row>
    <row r="45" spans="2:31" x14ac:dyDescent="0.25">
      <c r="B45" s="4"/>
      <c r="E45" s="3"/>
      <c r="F45" s="3"/>
      <c r="G45" s="24"/>
      <c r="H45" s="24"/>
      <c r="K45" s="4"/>
      <c r="L45" s="4"/>
      <c r="M45" s="4"/>
      <c r="N45" s="4"/>
      <c r="O45" s="4"/>
      <c r="P45" s="27"/>
      <c r="Q45" s="25"/>
      <c r="R45" s="25"/>
      <c r="S45" s="12">
        <f t="shared" si="8"/>
        <v>0</v>
      </c>
      <c r="T45" s="5">
        <v>0</v>
      </c>
      <c r="U45" s="12">
        <f t="shared" si="9"/>
        <v>0</v>
      </c>
      <c r="V45" s="25" t="s">
        <v>10</v>
      </c>
      <c r="W45" s="11">
        <f>IFERROR(VLOOKUP(V45,Curr!$B$2:$C$13,2,FALSE),0)</f>
        <v>11.2</v>
      </c>
      <c r="X45" s="12">
        <f t="shared" si="10"/>
        <v>0</v>
      </c>
      <c r="Y45" s="26">
        <f t="shared" si="11"/>
        <v>0</v>
      </c>
      <c r="Z45" s="12">
        <f t="shared" si="4"/>
        <v>0</v>
      </c>
      <c r="AA45" s="4" t="s">
        <v>10</v>
      </c>
      <c r="AB45" s="11">
        <f>IFERROR(VLOOKUP(AA45,Curr!$B$2:$C$13,2,FALSE),0)</f>
        <v>11.2</v>
      </c>
      <c r="AC45" s="12">
        <f t="shared" si="5"/>
        <v>0</v>
      </c>
      <c r="AD45" s="12">
        <f t="shared" si="6"/>
        <v>0</v>
      </c>
      <c r="AE45" s="13">
        <f t="shared" si="7"/>
        <v>0</v>
      </c>
    </row>
    <row r="46" spans="2:31" x14ac:dyDescent="0.25">
      <c r="B46" s="4"/>
      <c r="E46" s="3"/>
      <c r="F46" s="3"/>
      <c r="G46" s="24"/>
      <c r="H46" s="24"/>
      <c r="K46" s="4"/>
      <c r="L46" s="4"/>
      <c r="M46" s="4"/>
      <c r="N46" s="4"/>
      <c r="O46" s="4"/>
      <c r="P46" s="27"/>
      <c r="Q46" s="25"/>
      <c r="R46" s="25"/>
      <c r="S46" s="12">
        <f t="shared" si="8"/>
        <v>0</v>
      </c>
      <c r="T46" s="5">
        <v>0</v>
      </c>
      <c r="U46" s="12">
        <f t="shared" si="9"/>
        <v>0</v>
      </c>
      <c r="V46" s="25" t="s">
        <v>10</v>
      </c>
      <c r="W46" s="11">
        <f>IFERROR(VLOOKUP(V46,Curr!$B$2:$C$13,2,FALSE),0)</f>
        <v>11.2</v>
      </c>
      <c r="X46" s="12">
        <f t="shared" si="10"/>
        <v>0</v>
      </c>
      <c r="Y46" s="26">
        <f t="shared" si="11"/>
        <v>0</v>
      </c>
      <c r="Z46" s="12">
        <f t="shared" si="4"/>
        <v>0</v>
      </c>
      <c r="AA46" s="4" t="s">
        <v>10</v>
      </c>
      <c r="AB46" s="11">
        <f>IFERROR(VLOOKUP(AA46,Curr!$B$2:$C$13,2,FALSE),0)</f>
        <v>11.2</v>
      </c>
      <c r="AC46" s="12">
        <f t="shared" si="5"/>
        <v>0</v>
      </c>
      <c r="AD46" s="12">
        <f t="shared" si="6"/>
        <v>0</v>
      </c>
      <c r="AE46" s="13">
        <f t="shared" si="7"/>
        <v>0</v>
      </c>
    </row>
    <row r="47" spans="2:3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11.2</v>
      </c>
      <c r="X47" s="12">
        <f t="shared" si="10"/>
        <v>0</v>
      </c>
      <c r="Y47" s="26">
        <f t="shared" si="11"/>
        <v>0</v>
      </c>
      <c r="Z47" s="12">
        <f t="shared" si="4"/>
        <v>0</v>
      </c>
      <c r="AA47" s="4" t="s">
        <v>10</v>
      </c>
      <c r="AB47" s="11">
        <f>IFERROR(VLOOKUP(AA47,Curr!$B$2:$C$13,2,FALSE),0)</f>
        <v>11.2</v>
      </c>
      <c r="AC47" s="12">
        <f t="shared" si="5"/>
        <v>0</v>
      </c>
      <c r="AD47" s="12">
        <f t="shared" si="6"/>
        <v>0</v>
      </c>
      <c r="AE47" s="13">
        <f t="shared" si="7"/>
        <v>0</v>
      </c>
    </row>
    <row r="48" spans="2:31" x14ac:dyDescent="0.25">
      <c r="B48" s="4"/>
      <c r="E48" s="3"/>
      <c r="F48" s="3"/>
      <c r="G48" s="24"/>
      <c r="H48" s="24"/>
      <c r="K48" s="4"/>
      <c r="L48" s="4"/>
      <c r="M48" s="4"/>
      <c r="N48" s="4"/>
      <c r="O48" s="4"/>
      <c r="P48" s="33"/>
      <c r="Q48" s="25"/>
      <c r="R48" s="25"/>
      <c r="S48" s="12">
        <f t="shared" si="8"/>
        <v>0</v>
      </c>
      <c r="T48" s="5">
        <v>0</v>
      </c>
      <c r="U48" s="12">
        <f t="shared" si="9"/>
        <v>0</v>
      </c>
      <c r="V48" s="25" t="s">
        <v>10</v>
      </c>
      <c r="W48" s="11">
        <f>IFERROR(VLOOKUP(V48,Curr!$B$2:$C$13,2,FALSE),0)</f>
        <v>11.2</v>
      </c>
      <c r="X48" s="12">
        <f t="shared" si="10"/>
        <v>0</v>
      </c>
      <c r="Y48" s="26">
        <f t="shared" si="11"/>
        <v>0</v>
      </c>
      <c r="Z48" s="12">
        <f t="shared" si="4"/>
        <v>0</v>
      </c>
      <c r="AA48" s="4" t="s">
        <v>10</v>
      </c>
      <c r="AB48" s="11">
        <f>IFERROR(VLOOKUP(AA48,Curr!$B$2:$C$13,2,FALSE),0)</f>
        <v>11.2</v>
      </c>
      <c r="AC48" s="12">
        <f t="shared" si="5"/>
        <v>0</v>
      </c>
      <c r="AD48" s="12">
        <f t="shared" si="6"/>
        <v>0</v>
      </c>
      <c r="AE48" s="13">
        <f t="shared" si="7"/>
        <v>0</v>
      </c>
    </row>
    <row r="49" spans="2:36" x14ac:dyDescent="0.25">
      <c r="B49" s="4"/>
      <c r="E49" s="3"/>
      <c r="F49" s="3"/>
      <c r="G49" s="24"/>
      <c r="H49" s="24"/>
      <c r="K49" s="4"/>
      <c r="L49" s="4"/>
      <c r="M49" s="4"/>
      <c r="N49" s="4"/>
      <c r="O49" s="4"/>
      <c r="P49" s="27"/>
      <c r="Q49" s="25"/>
      <c r="R49" s="25"/>
      <c r="S49" s="12">
        <f t="shared" si="8"/>
        <v>0</v>
      </c>
      <c r="T49" s="5">
        <v>0</v>
      </c>
      <c r="U49" s="12">
        <f t="shared" si="9"/>
        <v>0</v>
      </c>
      <c r="V49" s="25" t="s">
        <v>10</v>
      </c>
      <c r="W49" s="11">
        <f>IFERROR(VLOOKUP(V49,Curr!$B$2:$C$13,2,FALSE),0)</f>
        <v>11.2</v>
      </c>
      <c r="X49" s="12">
        <f t="shared" si="10"/>
        <v>0</v>
      </c>
      <c r="Y49" s="26">
        <f t="shared" si="11"/>
        <v>0</v>
      </c>
      <c r="Z49" s="12">
        <f t="shared" si="4"/>
        <v>0</v>
      </c>
      <c r="AA49" s="4" t="s">
        <v>10</v>
      </c>
      <c r="AB49" s="11">
        <f>IFERROR(VLOOKUP(AA49,Curr!$B$2:$C$13,2,FALSE),0)</f>
        <v>11.2</v>
      </c>
      <c r="AC49" s="12">
        <f t="shared" si="5"/>
        <v>0</v>
      </c>
      <c r="AD49" s="12">
        <f t="shared" si="6"/>
        <v>0</v>
      </c>
      <c r="AE49" s="13">
        <f t="shared" si="7"/>
        <v>0</v>
      </c>
    </row>
    <row r="50" spans="2:36" x14ac:dyDescent="0.25">
      <c r="B50" s="4"/>
      <c r="E50" s="3"/>
      <c r="F50" s="3"/>
      <c r="G50" s="3"/>
      <c r="H50" s="3"/>
      <c r="L50" s="4"/>
      <c r="M50" s="4"/>
      <c r="N50" s="4"/>
      <c r="O50" s="4"/>
      <c r="P50" s="22"/>
      <c r="Q50" s="4"/>
      <c r="R50" s="4"/>
      <c r="S50" s="4"/>
      <c r="T50" s="4"/>
      <c r="U50" s="4"/>
      <c r="V50" s="4"/>
      <c r="W50" s="4"/>
      <c r="X50" s="4"/>
      <c r="Y50" s="4"/>
      <c r="Z50" s="4"/>
      <c r="AA50" s="4"/>
      <c r="AB50" s="4"/>
      <c r="AC50" s="4"/>
      <c r="AD50" s="4"/>
      <c r="AE50" s="4"/>
      <c r="AF50" s="4"/>
    </row>
    <row r="51" spans="2:36" x14ac:dyDescent="0.25">
      <c r="B51" s="14" t="s">
        <v>18</v>
      </c>
      <c r="C51" s="14"/>
      <c r="D51" s="28" t="s">
        <v>42</v>
      </c>
      <c r="E51" s="30" t="s">
        <v>42</v>
      </c>
      <c r="F51" s="30" t="s">
        <v>42</v>
      </c>
      <c r="G51" s="30" t="s">
        <v>42</v>
      </c>
      <c r="H51" s="30" t="s">
        <v>42</v>
      </c>
      <c r="I51" s="28" t="s">
        <v>42</v>
      </c>
      <c r="J51" s="28" t="s">
        <v>42</v>
      </c>
      <c r="K51" s="28" t="s">
        <v>42</v>
      </c>
      <c r="L51" s="28" t="s">
        <v>42</v>
      </c>
      <c r="M51" s="28" t="s">
        <v>42</v>
      </c>
      <c r="N51" s="28" t="s">
        <v>42</v>
      </c>
      <c r="O51" s="28" t="s">
        <v>42</v>
      </c>
      <c r="P51" s="28" t="s">
        <v>42</v>
      </c>
      <c r="Q51" s="31" t="s">
        <v>42</v>
      </c>
      <c r="R51" s="28" t="s">
        <v>42</v>
      </c>
      <c r="S51" s="32" t="s">
        <v>42</v>
      </c>
      <c r="T51" s="28" t="s">
        <v>42</v>
      </c>
      <c r="U51" s="32" t="s">
        <v>42</v>
      </c>
      <c r="V51" s="28" t="s">
        <v>42</v>
      </c>
      <c r="W51" s="28" t="s">
        <v>42</v>
      </c>
      <c r="X51" s="32" t="s">
        <v>42</v>
      </c>
      <c r="Y51" s="32" t="s">
        <v>42</v>
      </c>
      <c r="Z51" s="15">
        <f>SUM(Z7:Z49)</f>
        <v>3143.7381572097866</v>
      </c>
      <c r="AA51" s="14"/>
      <c r="AB51" s="14"/>
      <c r="AC51" s="15">
        <f>SUM(AC7:AC49)</f>
        <v>35209.867360749602</v>
      </c>
      <c r="AD51" s="15">
        <f>SUM(AD7:AD49)</f>
        <v>6768.9073607496084</v>
      </c>
      <c r="AE51" s="21">
        <f t="shared" ref="AE51" si="20">IFERROR(AD51/AC51,0)</f>
        <v>0.19224461402814844</v>
      </c>
      <c r="AF51" s="15">
        <f>SUM(AF8:AF50)</f>
        <v>0</v>
      </c>
      <c r="AG51" s="15">
        <f>SUM(AG8:AG50)</f>
        <v>0</v>
      </c>
      <c r="AH51" s="15">
        <f>SUM(AH8:AH50)</f>
        <v>0</v>
      </c>
      <c r="AI51" s="15">
        <f>SUM(AI8:AI50)</f>
        <v>0</v>
      </c>
      <c r="AJ51" s="15">
        <f>SUM(AJ8:AJ50)</f>
        <v>0</v>
      </c>
    </row>
    <row r="52" spans="2:36" x14ac:dyDescent="0.25">
      <c r="B52" s="4"/>
      <c r="E52" s="3"/>
      <c r="F52" s="3"/>
      <c r="G52" s="3"/>
      <c r="H52" s="3"/>
      <c r="L52" s="4"/>
      <c r="M52" s="4"/>
      <c r="N52" s="4"/>
      <c r="O52" s="4"/>
      <c r="Q52" s="4"/>
      <c r="R52" s="4"/>
      <c r="S52" s="4"/>
      <c r="T52" s="4"/>
      <c r="U52" s="4"/>
      <c r="V52" s="4"/>
      <c r="W52" s="4"/>
      <c r="X52" s="4"/>
      <c r="Y52" s="9"/>
      <c r="Z52" s="9"/>
      <c r="AA52" s="9"/>
      <c r="AB52" s="9"/>
      <c r="AC52" s="9"/>
      <c r="AD52" s="9"/>
      <c r="AE52" s="9"/>
    </row>
    <row r="53" spans="2:36" x14ac:dyDescent="0.25">
      <c r="B53" s="4"/>
      <c r="E53" s="3"/>
      <c r="F53" s="3"/>
      <c r="G53" s="3"/>
      <c r="H53" s="3"/>
      <c r="L53" s="4"/>
      <c r="M53" s="4"/>
      <c r="N53" s="4"/>
      <c r="O53" s="4"/>
      <c r="Q53" s="9"/>
      <c r="R53" s="9"/>
      <c r="S53" s="9"/>
      <c r="T53" s="9"/>
      <c r="U53" s="9"/>
      <c r="V53" s="9"/>
      <c r="W53" s="9"/>
      <c r="X53" s="23"/>
      <c r="Y53" s="34" t="s">
        <v>102</v>
      </c>
      <c r="Z53" s="34">
        <f>Z12+Z22</f>
        <v>1876</v>
      </c>
      <c r="AA53" s="9"/>
      <c r="AB53" s="9"/>
      <c r="AC53" s="9"/>
      <c r="AD53" s="9"/>
      <c r="AE53" s="9"/>
    </row>
    <row r="54" spans="2:36" x14ac:dyDescent="0.25">
      <c r="B54" s="4"/>
      <c r="E54" s="3"/>
      <c r="F54" s="3"/>
      <c r="G54" s="3"/>
      <c r="H54" s="3"/>
      <c r="L54" s="4"/>
      <c r="M54" s="4"/>
      <c r="N54" s="4"/>
      <c r="O54" s="4"/>
      <c r="Q54" s="9"/>
      <c r="R54" s="9"/>
      <c r="S54" s="9"/>
      <c r="T54" s="9"/>
      <c r="U54" s="9"/>
      <c r="V54" s="9"/>
      <c r="W54" s="9"/>
      <c r="X54" s="9"/>
      <c r="Y54" s="35" t="s">
        <v>103</v>
      </c>
      <c r="Z54" s="34">
        <f>Y9+Z16+Y18+Y29</f>
        <v>1267.7381572097866</v>
      </c>
      <c r="AA54" s="9"/>
      <c r="AB54" s="9"/>
      <c r="AC54" s="9"/>
      <c r="AD54" s="9"/>
      <c r="AE54" s="9"/>
      <c r="AF54" s="18"/>
    </row>
    <row r="55" spans="2:36" x14ac:dyDescent="0.25">
      <c r="B55" s="4"/>
      <c r="E55" s="3"/>
      <c r="F55" s="3"/>
      <c r="G55" s="3"/>
      <c r="H55" s="3"/>
      <c r="I55" s="19"/>
      <c r="L55" s="4"/>
      <c r="M55" s="4"/>
      <c r="N55" s="4"/>
      <c r="O55" s="20"/>
      <c r="Q55" s="20"/>
      <c r="R55" s="20"/>
      <c r="S55" s="20"/>
      <c r="T55" s="20"/>
      <c r="U55" s="20"/>
      <c r="V55" s="20"/>
      <c r="W55" s="20"/>
      <c r="X55" s="20"/>
      <c r="Y55" s="34" t="s">
        <v>104</v>
      </c>
      <c r="Z55" s="34">
        <v>3160</v>
      </c>
      <c r="AA55" s="9"/>
      <c r="AB55" s="9"/>
      <c r="AC55" s="9"/>
      <c r="AD55" s="9"/>
      <c r="AE55" s="9"/>
      <c r="AF55" s="18"/>
    </row>
    <row r="56" spans="2:36" x14ac:dyDescent="0.25">
      <c r="B56" s="4"/>
      <c r="E56" s="3"/>
      <c r="F56" s="3"/>
      <c r="G56" s="3"/>
      <c r="H56" s="3"/>
      <c r="L56" s="4"/>
      <c r="M56" s="4"/>
      <c r="N56" s="4"/>
      <c r="O56" s="20"/>
      <c r="Q56" s="20"/>
      <c r="R56" s="20"/>
      <c r="S56" s="20"/>
      <c r="T56" s="20"/>
      <c r="U56" s="20"/>
      <c r="V56" s="20"/>
      <c r="W56" s="20"/>
      <c r="X56" s="20"/>
      <c r="Y56" s="34" t="s">
        <v>43</v>
      </c>
      <c r="Z56" s="34">
        <f>Z55/2</f>
        <v>1580</v>
      </c>
      <c r="AA56" s="9"/>
      <c r="AB56" s="9"/>
      <c r="AC56" s="9"/>
      <c r="AD56" s="9"/>
      <c r="AE56" s="9"/>
      <c r="AF56" s="18"/>
    </row>
    <row r="57" spans="2:36" x14ac:dyDescent="0.25">
      <c r="B57" s="4"/>
      <c r="E57" s="3"/>
      <c r="F57" s="3"/>
      <c r="G57" s="3"/>
      <c r="H57" s="3"/>
      <c r="L57" s="4"/>
      <c r="M57" s="4"/>
      <c r="N57" s="4"/>
      <c r="O57" s="4"/>
      <c r="Q57" s="9"/>
      <c r="R57" s="9"/>
      <c r="S57" s="9"/>
      <c r="T57" s="9"/>
      <c r="U57" s="9"/>
      <c r="V57" s="9"/>
      <c r="W57" s="9"/>
      <c r="X57" s="9"/>
      <c r="Y57" s="1"/>
      <c r="Z57" s="1"/>
      <c r="AA57" s="9"/>
      <c r="AB57" s="9"/>
      <c r="AC57" s="9"/>
      <c r="AD57" s="9"/>
      <c r="AE57" s="9"/>
      <c r="AF57" s="18"/>
    </row>
    <row r="58" spans="2:36" x14ac:dyDescent="0.25">
      <c r="F58" s="1"/>
      <c r="G58" s="1"/>
      <c r="H58" s="1"/>
      <c r="J58" s="1" t="s">
        <v>32</v>
      </c>
      <c r="Q58" s="9"/>
      <c r="R58" s="4"/>
      <c r="S58" s="9"/>
      <c r="T58" s="5"/>
      <c r="U58" s="9"/>
      <c r="V58" s="4"/>
      <c r="W58" s="4"/>
      <c r="X58" s="9"/>
      <c r="Y58" s="9"/>
      <c r="Z58" s="9"/>
      <c r="AA58" s="9"/>
      <c r="AB58" s="9"/>
      <c r="AC58" s="9"/>
      <c r="AD58" s="9"/>
      <c r="AE58" s="9"/>
    </row>
    <row r="59" spans="2:36" x14ac:dyDescent="0.25">
      <c r="R59" s="4"/>
      <c r="S59" s="17"/>
      <c r="T59" s="17"/>
      <c r="U59" s="9"/>
      <c r="V59" s="4"/>
      <c r="W59" s="4"/>
      <c r="X59" s="9"/>
      <c r="Y59" s="9"/>
      <c r="Z59" s="9" t="s">
        <v>307</v>
      </c>
      <c r="AA59" s="9"/>
      <c r="AB59" s="9"/>
      <c r="AC59" s="9"/>
      <c r="AD59" s="9"/>
      <c r="AE59" s="9"/>
    </row>
    <row r="60" spans="2:36" x14ac:dyDescent="0.25">
      <c r="Q60" s="9"/>
      <c r="R60" s="4"/>
      <c r="S60" s="16"/>
      <c r="T60" s="16"/>
      <c r="U60" s="9"/>
      <c r="V60" s="4"/>
      <c r="W60" s="4"/>
      <c r="X60" s="9"/>
      <c r="Y60" s="37" t="s">
        <v>325</v>
      </c>
      <c r="Z60" s="9">
        <f>Z55</f>
        <v>3160</v>
      </c>
      <c r="AA60" s="9"/>
      <c r="AB60" s="9"/>
      <c r="AC60" s="9"/>
      <c r="AD60" s="9"/>
      <c r="AE60" s="9"/>
    </row>
    <row r="61" spans="2:36" x14ac:dyDescent="0.25">
      <c r="R61" s="4"/>
      <c r="S61" s="16"/>
      <c r="T61" s="16"/>
      <c r="Y61" s="37" t="s">
        <v>326</v>
      </c>
      <c r="Z61" s="9">
        <f>Z60*1.1</f>
        <v>3476.0000000000005</v>
      </c>
      <c r="AA61" s="9"/>
      <c r="AB61" s="9"/>
      <c r="AC61" s="9"/>
      <c r="AD61" s="9"/>
      <c r="AE61" s="9"/>
    </row>
    <row r="62" spans="2:36" x14ac:dyDescent="0.25">
      <c r="T62" s="5"/>
      <c r="Y62" s="37" t="s">
        <v>327</v>
      </c>
      <c r="Z62" s="9">
        <f>Z60*1.2</f>
        <v>3792</v>
      </c>
      <c r="AA62" s="9"/>
      <c r="AB62" s="9"/>
      <c r="AC62" s="9"/>
      <c r="AD62" s="9"/>
      <c r="AE62" s="9"/>
    </row>
    <row r="63" spans="2:36" x14ac:dyDescent="0.25">
      <c r="T63" s="5"/>
      <c r="Y63" s="37" t="s">
        <v>328</v>
      </c>
      <c r="Z63" s="9">
        <f>Z60*0.8</f>
        <v>2528</v>
      </c>
      <c r="AA63" s="9"/>
      <c r="AB63" s="9"/>
      <c r="AC63" s="9"/>
      <c r="AD63" s="9"/>
      <c r="AE63" s="9"/>
    </row>
    <row r="64" spans="2:36" x14ac:dyDescent="0.25">
      <c r="T64" s="5"/>
      <c r="Y64" s="37" t="s">
        <v>330</v>
      </c>
      <c r="Z64" s="9" t="s">
        <v>329</v>
      </c>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c r="Y67" s="9"/>
      <c r="Z67" s="9"/>
      <c r="AA67" s="9"/>
      <c r="AB67" s="9"/>
      <c r="AC67" s="9"/>
      <c r="AD67" s="9"/>
      <c r="AE67" s="9"/>
    </row>
    <row r="68" spans="20:31" x14ac:dyDescent="0.25">
      <c r="T68" s="5"/>
      <c r="Y68" s="9"/>
      <c r="Z68" s="9"/>
      <c r="AA68" s="9"/>
      <c r="AB68" s="9"/>
      <c r="AC68" s="9"/>
      <c r="AD68" s="9"/>
      <c r="AE68" s="9"/>
    </row>
    <row r="69" spans="20:31" x14ac:dyDescent="0.25">
      <c r="T69" s="5"/>
      <c r="Y69" s="9"/>
      <c r="Z69" s="9"/>
      <c r="AA69" s="9"/>
      <c r="AB69" s="9"/>
      <c r="AC69" s="9"/>
      <c r="AD69" s="9"/>
      <c r="AE69" s="9"/>
    </row>
    <row r="70" spans="20:31" x14ac:dyDescent="0.25">
      <c r="T70" s="5"/>
    </row>
    <row r="71" spans="20:31" x14ac:dyDescent="0.25">
      <c r="T71" s="5"/>
    </row>
    <row r="72" spans="20:31" x14ac:dyDescent="0.25">
      <c r="T72" s="5"/>
    </row>
    <row r="73" spans="20:31" x14ac:dyDescent="0.25">
      <c r="T73" s="5"/>
    </row>
    <row r="74" spans="20:31" x14ac:dyDescent="0.25">
      <c r="T74" s="5"/>
    </row>
  </sheetData>
  <autoFilter ref="B6:AE51" xr:uid="{65FA6D9B-E0AF-46CD-BA0D-86BB75FE6AB0}"/>
  <hyperlinks>
    <hyperlink ref="P22" r:id="rId1" xr:uid="{3AB20707-01B8-4EA7-9384-4F845290E773}"/>
    <hyperlink ref="P12" r:id="rId2" xr:uid="{799EB8DD-8739-466E-BED5-65B92D645903}"/>
    <hyperlink ref="P42" r:id="rId3" xr:uid="{7AC5972B-3384-433A-9211-E42788E23695}"/>
  </hyperlinks>
  <pageMargins left="0.7" right="0.7" top="0.75" bottom="0.75" header="0.3" footer="0.3"/>
  <pageSetup paperSize="9"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15F2-E559-4936-A166-F0AAA6DF3952}">
  <sheetPr>
    <tabColor rgb="FFFFFF00"/>
  </sheetPr>
  <dimension ref="B1:AK86"/>
  <sheetViews>
    <sheetView topLeftCell="A6" zoomScale="80" zoomScaleNormal="80" workbookViewId="0">
      <selection activeCell="J30" sqref="J30"/>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162</v>
      </c>
    </row>
    <row r="2" spans="2:36" x14ac:dyDescent="0.25">
      <c r="B2" s="2" t="s">
        <v>230</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10" si="0">+Q7*R7</f>
        <v>0</v>
      </c>
      <c r="T7" s="5">
        <v>0</v>
      </c>
      <c r="U7" s="12">
        <f t="shared" ref="U7:U10" si="1">S7*(1-T7)</f>
        <v>0</v>
      </c>
      <c r="V7" s="25" t="s">
        <v>10</v>
      </c>
      <c r="W7" s="11">
        <f>IFERROR(VLOOKUP(V7,Curr!$B$2:$C$13,2,FALSE),0)</f>
        <v>11.2</v>
      </c>
      <c r="X7" s="12">
        <f t="shared" ref="X7:X10" si="2">U7*W7</f>
        <v>0</v>
      </c>
      <c r="Y7" s="26">
        <f t="shared" ref="Y7:Y10" si="3">Q7</f>
        <v>0</v>
      </c>
      <c r="Z7" s="12">
        <f t="shared" ref="Z7:Z61" si="4">+Y7*R7</f>
        <v>0</v>
      </c>
      <c r="AA7" s="4" t="s">
        <v>10</v>
      </c>
      <c r="AB7" s="11">
        <f>IFERROR(VLOOKUP(AA7,Curr!$B$2:$C$13,2,FALSE),0)</f>
        <v>11.2</v>
      </c>
      <c r="AC7" s="12">
        <f t="shared" ref="AC7:AC61" si="5">+Y7*AB7*R7</f>
        <v>0</v>
      </c>
      <c r="AD7" s="12">
        <f t="shared" ref="AD7:AD61" si="6">+AC7-X7</f>
        <v>0</v>
      </c>
      <c r="AE7" s="13">
        <f t="shared" ref="AE7:AE61"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231</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Q9/0.85</f>
        <v>176.47058823529412</v>
      </c>
      <c r="Z9" s="12">
        <f t="shared" si="4"/>
        <v>176.47058823529412</v>
      </c>
      <c r="AA9" s="4" t="s">
        <v>10</v>
      </c>
      <c r="AB9" s="11">
        <f>IFERROR(VLOOKUP(AA9,Curr!$B$2:$C$13,2,FALSE),0)</f>
        <v>11.2</v>
      </c>
      <c r="AC9" s="12">
        <f t="shared" si="5"/>
        <v>1976.4705882352939</v>
      </c>
      <c r="AD9" s="12">
        <f t="shared" si="6"/>
        <v>296.47058823529392</v>
      </c>
      <c r="AE9" s="13">
        <f t="shared" si="7"/>
        <v>0.14999999999999991</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ref="S11:S61" si="8">+Q11*R11</f>
        <v>0</v>
      </c>
      <c r="T11" s="5">
        <v>0</v>
      </c>
      <c r="U11" s="12">
        <f t="shared" ref="U11:U61" si="9">S11*(1-T11)</f>
        <v>0</v>
      </c>
      <c r="V11" s="25" t="s">
        <v>10</v>
      </c>
      <c r="W11" s="11">
        <f>IFERROR(VLOOKUP(V11,Curr!$B$2:$C$13,2,FALSE),0)</f>
        <v>11.2</v>
      </c>
      <c r="X11" s="12">
        <f t="shared" ref="X11:X61" si="10">U11*W11</f>
        <v>0</v>
      </c>
      <c r="Y11" s="26">
        <f t="shared" ref="Y11:Y61" si="11">Q11</f>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27"/>
      <c r="Q12" s="25">
        <v>0</v>
      </c>
      <c r="R12" s="25">
        <v>0</v>
      </c>
      <c r="S12" s="12">
        <f t="shared" si="8"/>
        <v>0</v>
      </c>
      <c r="T12" s="5">
        <v>0</v>
      </c>
      <c r="U12" s="12">
        <f t="shared" si="9"/>
        <v>0</v>
      </c>
      <c r="V12" s="25" t="s">
        <v>10</v>
      </c>
      <c r="W12" s="11">
        <f>IFERROR(VLOOKUP(V12,Curr!$B$2:$C$13,2,FALSE),0)</f>
        <v>11.2</v>
      </c>
      <c r="X12" s="12">
        <f t="shared" si="10"/>
        <v>0</v>
      </c>
      <c r="Y12" s="26">
        <f t="shared" si="11"/>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73</v>
      </c>
      <c r="E13" s="3"/>
      <c r="F13" s="3"/>
      <c r="G13" s="24"/>
      <c r="H13" s="24"/>
      <c r="J13" s="1" t="s">
        <v>101</v>
      </c>
      <c r="K13" s="4"/>
      <c r="L13" s="4"/>
      <c r="M13" s="4"/>
      <c r="N13" s="4"/>
      <c r="O13" s="4" t="s">
        <v>42</v>
      </c>
      <c r="P13" s="33" t="s">
        <v>100</v>
      </c>
      <c r="Q13" s="25">
        <v>3450</v>
      </c>
      <c r="R13" s="25">
        <v>2</v>
      </c>
      <c r="S13" s="12">
        <f t="shared" si="8"/>
        <v>6900</v>
      </c>
      <c r="T13" s="5">
        <v>0.08</v>
      </c>
      <c r="U13" s="12">
        <f t="shared" si="9"/>
        <v>6348</v>
      </c>
      <c r="V13" s="25" t="s">
        <v>8</v>
      </c>
      <c r="W13" s="11">
        <f>IFERROR(VLOOKUP(V13,Curr!$B$2:$C$13,2,FALSE),0)</f>
        <v>1</v>
      </c>
      <c r="X13" s="12">
        <f t="shared" si="10"/>
        <v>6348</v>
      </c>
      <c r="Y13" s="26">
        <f>Q13/11.3/0.9</f>
        <v>339.23303834808252</v>
      </c>
      <c r="Z13" s="12">
        <f t="shared" si="4"/>
        <v>678.46607669616503</v>
      </c>
      <c r="AA13" s="4" t="s">
        <v>10</v>
      </c>
      <c r="AB13" s="11">
        <f>IFERROR(VLOOKUP(AA13,Curr!$B$2:$C$13,2,FALSE),0)</f>
        <v>11.2</v>
      </c>
      <c r="AC13" s="12">
        <f t="shared" si="5"/>
        <v>7598.8200589970475</v>
      </c>
      <c r="AD13" s="12">
        <f t="shared" si="6"/>
        <v>1250.8200589970475</v>
      </c>
      <c r="AE13" s="13">
        <f t="shared" si="7"/>
        <v>0.16460714285714256</v>
      </c>
    </row>
    <row r="14" spans="2:36" x14ac:dyDescent="0.25">
      <c r="B14" s="4"/>
      <c r="C14" s="1" t="s">
        <v>63</v>
      </c>
      <c r="D14" s="1" t="s">
        <v>50</v>
      </c>
      <c r="E14" s="3"/>
      <c r="F14" s="3"/>
      <c r="G14" s="24"/>
      <c r="H14" s="24"/>
      <c r="J14" s="1" t="s">
        <v>67</v>
      </c>
      <c r="K14" s="4"/>
      <c r="L14" s="4"/>
      <c r="M14" s="4"/>
      <c r="N14" s="4"/>
      <c r="O14" s="4"/>
      <c r="P14" s="33"/>
      <c r="Q14" s="25">
        <v>0</v>
      </c>
      <c r="R14" s="25">
        <v>0</v>
      </c>
      <c r="S14" s="12">
        <f t="shared" si="8"/>
        <v>0</v>
      </c>
      <c r="T14" s="5">
        <v>0</v>
      </c>
      <c r="U14" s="12">
        <f t="shared" si="9"/>
        <v>0</v>
      </c>
      <c r="V14" s="25" t="s">
        <v>10</v>
      </c>
      <c r="W14" s="11">
        <f>IFERROR(VLOOKUP(V14,Curr!$B$2:$C$13,2,FALSE),0)</f>
        <v>11.2</v>
      </c>
      <c r="X14" s="12">
        <f t="shared" si="10"/>
        <v>0</v>
      </c>
      <c r="Y14" s="26">
        <f t="shared" ref="Y14:Y16" si="12">Q14</f>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71</v>
      </c>
      <c r="K15" s="4"/>
      <c r="L15" s="4"/>
      <c r="M15" s="4"/>
      <c r="N15" s="4"/>
      <c r="O15" s="4"/>
      <c r="P15" s="33"/>
      <c r="Q15" s="25">
        <v>400</v>
      </c>
      <c r="R15" s="25">
        <v>1</v>
      </c>
      <c r="S15" s="12">
        <f t="shared" si="8"/>
        <v>400</v>
      </c>
      <c r="T15" s="5">
        <v>0</v>
      </c>
      <c r="U15" s="12">
        <f t="shared" si="9"/>
        <v>400</v>
      </c>
      <c r="V15" s="25" t="s">
        <v>10</v>
      </c>
      <c r="W15" s="11">
        <f>IFERROR(VLOOKUP(V15,Curr!$B$2:$C$13,2,FALSE),0)</f>
        <v>11.2</v>
      </c>
      <c r="X15" s="12">
        <f t="shared" si="10"/>
        <v>4480</v>
      </c>
      <c r="Y15" s="26">
        <f>Q15/0.85</f>
        <v>470.58823529411768</v>
      </c>
      <c r="Z15" s="12">
        <f t="shared" si="4"/>
        <v>470.58823529411768</v>
      </c>
      <c r="AA15" s="4" t="s">
        <v>10</v>
      </c>
      <c r="AB15" s="11">
        <f>IFERROR(VLOOKUP(AA15,Curr!$B$2:$C$13,2,FALSE),0)</f>
        <v>11.2</v>
      </c>
      <c r="AC15" s="12">
        <f t="shared" si="5"/>
        <v>5270.588235294118</v>
      </c>
      <c r="AD15" s="12">
        <f t="shared" si="6"/>
        <v>790.58823529411802</v>
      </c>
      <c r="AE15" s="13">
        <f t="shared" si="7"/>
        <v>0.15000000000000005</v>
      </c>
    </row>
    <row r="16" spans="2:36" x14ac:dyDescent="0.25">
      <c r="B16" s="4"/>
      <c r="C16" s="1" t="s">
        <v>63</v>
      </c>
      <c r="D16" s="1" t="s">
        <v>53</v>
      </c>
      <c r="E16" s="3"/>
      <c r="F16" s="3"/>
      <c r="G16" s="24"/>
      <c r="H16" s="24"/>
      <c r="J16" s="1" t="s">
        <v>68</v>
      </c>
      <c r="K16" s="4"/>
      <c r="L16" s="4"/>
      <c r="M16" s="4"/>
      <c r="N16" s="4"/>
      <c r="O16" s="4"/>
      <c r="P16" s="33"/>
      <c r="Q16" s="25">
        <v>0</v>
      </c>
      <c r="R16" s="25">
        <v>0</v>
      </c>
      <c r="S16" s="12">
        <f t="shared" si="8"/>
        <v>0</v>
      </c>
      <c r="T16" s="5">
        <v>0</v>
      </c>
      <c r="U16" s="12">
        <f t="shared" si="9"/>
        <v>0</v>
      </c>
      <c r="V16" s="25" t="s">
        <v>10</v>
      </c>
      <c r="W16" s="11">
        <f>IFERROR(VLOOKUP(V16,Curr!$B$2:$C$13,2,FALSE),0)</f>
        <v>11.2</v>
      </c>
      <c r="X16" s="12">
        <f t="shared" si="10"/>
        <v>0</v>
      </c>
      <c r="Y16" s="26">
        <f t="shared" si="12"/>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8"/>
        <v>0</v>
      </c>
      <c r="T17" s="5">
        <v>0</v>
      </c>
      <c r="U17" s="12">
        <f t="shared" si="9"/>
        <v>0</v>
      </c>
      <c r="V17" s="25" t="s">
        <v>10</v>
      </c>
      <c r="W17" s="11">
        <f>IFERROR(VLOOKUP(V17,Curr!$B$2:$C$13,2,FALSE),0)</f>
        <v>11.2</v>
      </c>
      <c r="X17" s="12">
        <f t="shared" si="10"/>
        <v>0</v>
      </c>
      <c r="Y17" s="26">
        <f t="shared" si="11"/>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8"/>
        <v>580</v>
      </c>
      <c r="T18" s="5">
        <v>0.2</v>
      </c>
      <c r="U18" s="12">
        <f t="shared" si="9"/>
        <v>464</v>
      </c>
      <c r="V18" s="25" t="s">
        <v>8</v>
      </c>
      <c r="W18" s="11">
        <f>IFERROR(VLOOKUP(V18,Curr!$B$2:$C$13,2,FALSE),0)</f>
        <v>1</v>
      </c>
      <c r="X18" s="12">
        <f t="shared" si="10"/>
        <v>464</v>
      </c>
      <c r="Y18" s="26">
        <f>Q18/11.3/0.64</f>
        <v>40.099557522123888</v>
      </c>
      <c r="Z18" s="12">
        <f t="shared" si="4"/>
        <v>80.199115044247776</v>
      </c>
      <c r="AA18" s="4" t="s">
        <v>10</v>
      </c>
      <c r="AB18" s="11">
        <f>IFERROR(VLOOKUP(AA18,Curr!$B$2:$C$13,2,FALSE),0)</f>
        <v>11.2</v>
      </c>
      <c r="AC18" s="12">
        <f t="shared" si="5"/>
        <v>898.23008849557505</v>
      </c>
      <c r="AD18" s="12">
        <f t="shared" si="6"/>
        <v>434.23008849557505</v>
      </c>
      <c r="AE18" s="13">
        <f t="shared" si="7"/>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8"/>
        <v>350</v>
      </c>
      <c r="T19" s="5">
        <v>0</v>
      </c>
      <c r="U19" s="12">
        <f t="shared" si="9"/>
        <v>350</v>
      </c>
      <c r="V19" s="25" t="s">
        <v>8</v>
      </c>
      <c r="W19" s="11">
        <f>IFERROR(VLOOKUP(V19,Curr!$B$2:$C$13,2,FALSE),0)</f>
        <v>1</v>
      </c>
      <c r="X19" s="12">
        <f t="shared" si="10"/>
        <v>350</v>
      </c>
      <c r="Y19" s="26">
        <f>Q19/11.3/0.5</f>
        <v>30.973451327433626</v>
      </c>
      <c r="Z19" s="12">
        <f t="shared" si="4"/>
        <v>61.946902654867252</v>
      </c>
      <c r="AA19" s="4" t="s">
        <v>10</v>
      </c>
      <c r="AB19" s="11">
        <f>IFERROR(VLOOKUP(AA19,Curr!$B$2:$C$13,2,FALSE),0)</f>
        <v>11.2</v>
      </c>
      <c r="AC19" s="12">
        <f t="shared" si="5"/>
        <v>693.80530973451323</v>
      </c>
      <c r="AD19" s="12">
        <f t="shared" si="6"/>
        <v>343.80530973451323</v>
      </c>
      <c r="AE19" s="13">
        <f t="shared" si="7"/>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8"/>
        <v>0</v>
      </c>
      <c r="T20" s="5">
        <v>0</v>
      </c>
      <c r="U20" s="12">
        <f t="shared" si="9"/>
        <v>0</v>
      </c>
      <c r="V20" s="25" t="s">
        <v>10</v>
      </c>
      <c r="W20" s="11">
        <f>IFERROR(VLOOKUP(V20,Curr!$B$2:$C$13,2,FALSE),0)</f>
        <v>11.2</v>
      </c>
      <c r="X20" s="12">
        <f t="shared" si="10"/>
        <v>0</v>
      </c>
      <c r="Y20" s="26">
        <f t="shared" ref="Y20" si="13">Q20</f>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8"/>
        <v>0</v>
      </c>
      <c r="T21" s="5">
        <v>0</v>
      </c>
      <c r="U21" s="12">
        <f t="shared" si="9"/>
        <v>0</v>
      </c>
      <c r="V21" s="25" t="s">
        <v>10</v>
      </c>
      <c r="W21" s="11">
        <f>IFERROR(VLOOKUP(V21,Curr!$B$2:$C$13,2,FALSE),0)</f>
        <v>11.2</v>
      </c>
      <c r="X21" s="12">
        <f t="shared" si="10"/>
        <v>0</v>
      </c>
      <c r="Y21" s="26">
        <f t="shared" si="11"/>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53</v>
      </c>
      <c r="E22" s="3"/>
      <c r="F22" s="3"/>
      <c r="G22" s="24"/>
      <c r="H22" s="24"/>
      <c r="J22" s="1" t="s">
        <v>68</v>
      </c>
      <c r="K22" s="4"/>
      <c r="L22" s="4"/>
      <c r="M22" s="4"/>
      <c r="N22" s="4"/>
      <c r="O22" s="4"/>
      <c r="P22" s="33"/>
      <c r="Q22" s="25">
        <v>0</v>
      </c>
      <c r="R22" s="25">
        <v>0</v>
      </c>
      <c r="S22" s="12">
        <f t="shared" si="8"/>
        <v>0</v>
      </c>
      <c r="T22" s="5">
        <v>0</v>
      </c>
      <c r="U22" s="12">
        <f t="shared" si="9"/>
        <v>0</v>
      </c>
      <c r="V22" s="25" t="s">
        <v>10</v>
      </c>
      <c r="W22" s="11">
        <f>IFERROR(VLOOKUP(V22,Curr!$B$2:$C$13,2,FALSE),0)</f>
        <v>11.2</v>
      </c>
      <c r="X22" s="12">
        <f t="shared" si="10"/>
        <v>0</v>
      </c>
      <c r="Y22" s="26">
        <f t="shared" si="11"/>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50</v>
      </c>
      <c r="E23" s="3"/>
      <c r="F23" s="3"/>
      <c r="G23" s="24"/>
      <c r="H23" s="24"/>
      <c r="J23" s="1" t="s">
        <v>251</v>
      </c>
      <c r="K23" s="4"/>
      <c r="L23" s="4"/>
      <c r="M23" s="4"/>
      <c r="N23" s="4"/>
      <c r="O23" s="4"/>
      <c r="P23" s="29"/>
      <c r="Q23" s="25">
        <v>0</v>
      </c>
      <c r="R23" s="25">
        <v>0</v>
      </c>
      <c r="S23" s="12">
        <f t="shared" si="8"/>
        <v>0</v>
      </c>
      <c r="T23" s="5">
        <v>0</v>
      </c>
      <c r="U23" s="12">
        <f t="shared" si="9"/>
        <v>0</v>
      </c>
      <c r="V23" s="25" t="s">
        <v>10</v>
      </c>
      <c r="W23" s="11">
        <f>IFERROR(VLOOKUP(V23,Curr!$B$2:$C$13,2,FALSE),0)</f>
        <v>11.2</v>
      </c>
      <c r="X23" s="12">
        <f t="shared" si="10"/>
        <v>0</v>
      </c>
      <c r="Y23" s="26">
        <f t="shared" si="11"/>
        <v>0</v>
      </c>
      <c r="Z23" s="12">
        <f t="shared" si="4"/>
        <v>0</v>
      </c>
      <c r="AA23" s="4" t="s">
        <v>10</v>
      </c>
      <c r="AB23" s="11">
        <f>IFERROR(VLOOKUP(AA23,Curr!$B$2:$C$13,2,FALSE),0)</f>
        <v>11.2</v>
      </c>
      <c r="AC23" s="12">
        <f t="shared" si="5"/>
        <v>0</v>
      </c>
      <c r="AD23" s="12">
        <f t="shared" si="6"/>
        <v>0</v>
      </c>
      <c r="AE23" s="13">
        <f t="shared" si="7"/>
        <v>0</v>
      </c>
    </row>
    <row r="24" spans="2:31" x14ac:dyDescent="0.25">
      <c r="B24" s="4"/>
      <c r="C24" s="1" t="s">
        <v>78</v>
      </c>
      <c r="D24" s="1" t="s">
        <v>250</v>
      </c>
      <c r="E24" s="3"/>
      <c r="F24" s="3"/>
      <c r="G24" s="24"/>
      <c r="H24" s="24"/>
      <c r="J24" s="1" t="s">
        <v>255</v>
      </c>
      <c r="K24" s="4"/>
      <c r="L24" s="4"/>
      <c r="M24" s="4"/>
      <c r="N24" s="4"/>
      <c r="O24" s="4" t="s">
        <v>42</v>
      </c>
      <c r="P24" s="33" t="s">
        <v>256</v>
      </c>
      <c r="Q24" s="25">
        <v>575</v>
      </c>
      <c r="R24" s="25">
        <v>2</v>
      </c>
      <c r="S24" s="12">
        <f t="shared" si="8"/>
        <v>1150</v>
      </c>
      <c r="T24" s="5">
        <v>0</v>
      </c>
      <c r="U24" s="12">
        <f t="shared" si="9"/>
        <v>1150</v>
      </c>
      <c r="V24" s="25" t="s">
        <v>8</v>
      </c>
      <c r="W24" s="11">
        <f>IFERROR(VLOOKUP(V24,Curr!$B$2:$C$13,2,FALSE),0)</f>
        <v>1</v>
      </c>
      <c r="X24" s="12">
        <f t="shared" si="10"/>
        <v>1150</v>
      </c>
      <c r="Y24" s="26">
        <f>Q24/11.3/0.8</f>
        <v>63.606194690265475</v>
      </c>
      <c r="Z24" s="12">
        <f t="shared" si="4"/>
        <v>127.21238938053095</v>
      </c>
      <c r="AA24" s="4" t="s">
        <v>10</v>
      </c>
      <c r="AB24" s="11">
        <f>IFERROR(VLOOKUP(AA24,Curr!$B$2:$C$13,2,FALSE),0)</f>
        <v>11.2</v>
      </c>
      <c r="AC24" s="12">
        <f t="shared" si="5"/>
        <v>1424.7787610619466</v>
      </c>
      <c r="AD24" s="12">
        <f t="shared" si="6"/>
        <v>274.77876106194662</v>
      </c>
      <c r="AE24" s="13">
        <f t="shared" si="7"/>
        <v>0.1928571428571427</v>
      </c>
    </row>
    <row r="25" spans="2:31" x14ac:dyDescent="0.25">
      <c r="B25" s="4"/>
      <c r="C25" s="1" t="s">
        <v>78</v>
      </c>
      <c r="D25" s="1" t="s">
        <v>50</v>
      </c>
      <c r="E25" s="3"/>
      <c r="F25" s="3"/>
      <c r="G25" s="24"/>
      <c r="H25" s="24"/>
      <c r="J25" s="1" t="s">
        <v>252</v>
      </c>
      <c r="K25" s="4"/>
      <c r="L25" s="4"/>
      <c r="M25" s="4"/>
      <c r="N25" s="4"/>
      <c r="O25" s="4"/>
      <c r="P25" s="27"/>
      <c r="Q25" s="25">
        <v>1750</v>
      </c>
      <c r="R25" s="25">
        <v>1</v>
      </c>
      <c r="S25" s="12">
        <f t="shared" si="8"/>
        <v>1750</v>
      </c>
      <c r="T25" s="5">
        <v>0</v>
      </c>
      <c r="U25" s="12">
        <f t="shared" si="9"/>
        <v>1750</v>
      </c>
      <c r="V25" s="25" t="s">
        <v>8</v>
      </c>
      <c r="W25" s="11">
        <f>IFERROR(VLOOKUP(V25,Curr!$B$2:$C$13,2,FALSE),0)</f>
        <v>1</v>
      </c>
      <c r="X25" s="12">
        <f t="shared" si="10"/>
        <v>1750</v>
      </c>
      <c r="Y25" s="26">
        <f>Q25/11.3/0.8</f>
        <v>193.58407079646017</v>
      </c>
      <c r="Z25" s="12">
        <f t="shared" si="4"/>
        <v>193.58407079646017</v>
      </c>
      <c r="AA25" s="4" t="s">
        <v>10</v>
      </c>
      <c r="AB25" s="11">
        <f>IFERROR(VLOOKUP(AA25,Curr!$B$2:$C$13,2,FALSE),0)</f>
        <v>11.2</v>
      </c>
      <c r="AC25" s="12">
        <f t="shared" si="5"/>
        <v>2168.1415929203536</v>
      </c>
      <c r="AD25" s="12">
        <f t="shared" si="6"/>
        <v>418.14159292035356</v>
      </c>
      <c r="AE25" s="13">
        <f t="shared" si="7"/>
        <v>0.1928571428571427</v>
      </c>
    </row>
    <row r="26" spans="2:31" x14ac:dyDescent="0.25">
      <c r="B26" s="4"/>
      <c r="C26" s="1" t="s">
        <v>78</v>
      </c>
      <c r="D26" s="1" t="s">
        <v>52</v>
      </c>
      <c r="E26" s="3"/>
      <c r="F26" s="3"/>
      <c r="G26" s="24"/>
      <c r="H26" s="24"/>
      <c r="J26" s="1" t="s">
        <v>258</v>
      </c>
      <c r="K26" s="4"/>
      <c r="L26" s="4"/>
      <c r="M26" s="4"/>
      <c r="N26" s="4"/>
      <c r="O26" s="4"/>
      <c r="P26" s="27"/>
      <c r="Q26" s="25">
        <v>450</v>
      </c>
      <c r="R26" s="25">
        <v>1</v>
      </c>
      <c r="S26" s="12">
        <f t="shared" si="8"/>
        <v>450</v>
      </c>
      <c r="T26" s="5">
        <v>0</v>
      </c>
      <c r="U26" s="12">
        <f t="shared" si="9"/>
        <v>450</v>
      </c>
      <c r="V26" s="25" t="s">
        <v>10</v>
      </c>
      <c r="W26" s="11">
        <f>IFERROR(VLOOKUP(V26,Curr!$B$2:$C$13,2,FALSE),0)</f>
        <v>11.2</v>
      </c>
      <c r="X26" s="12">
        <f t="shared" si="10"/>
        <v>5040</v>
      </c>
      <c r="Y26" s="26">
        <f>Q26/0.8</f>
        <v>562.5</v>
      </c>
      <c r="Z26" s="12">
        <f t="shared" si="4"/>
        <v>562.5</v>
      </c>
      <c r="AA26" s="4" t="s">
        <v>10</v>
      </c>
      <c r="AB26" s="11">
        <f>IFERROR(VLOOKUP(AA26,Curr!$B$2:$C$13,2,FALSE),0)</f>
        <v>11.2</v>
      </c>
      <c r="AC26" s="12">
        <f t="shared" si="5"/>
        <v>6300</v>
      </c>
      <c r="AD26" s="12">
        <f t="shared" si="6"/>
        <v>1260</v>
      </c>
      <c r="AE26" s="13">
        <f t="shared" si="7"/>
        <v>0.2</v>
      </c>
    </row>
    <row r="27" spans="2:31" x14ac:dyDescent="0.25">
      <c r="B27" s="4"/>
      <c r="C27" s="1" t="s">
        <v>78</v>
      </c>
      <c r="D27" s="1" t="s">
        <v>53</v>
      </c>
      <c r="E27" s="3"/>
      <c r="F27" s="3"/>
      <c r="G27" s="24"/>
      <c r="H27" s="24"/>
      <c r="J27" s="1" t="s">
        <v>253</v>
      </c>
      <c r="K27" s="4"/>
      <c r="L27" s="4"/>
      <c r="M27" s="4"/>
      <c r="N27" s="4"/>
      <c r="O27" s="4"/>
      <c r="P27" s="33"/>
      <c r="Q27" s="25">
        <v>0</v>
      </c>
      <c r="R27" s="25">
        <v>0</v>
      </c>
      <c r="S27" s="12">
        <f t="shared" si="8"/>
        <v>0</v>
      </c>
      <c r="T27" s="5">
        <v>0</v>
      </c>
      <c r="U27" s="12">
        <f t="shared" si="9"/>
        <v>0</v>
      </c>
      <c r="V27" s="25" t="s">
        <v>10</v>
      </c>
      <c r="W27" s="11">
        <f>IFERROR(VLOOKUP(V27,Curr!$B$2:$C$13,2,FALSE),0)</f>
        <v>11.2</v>
      </c>
      <c r="X27" s="12">
        <f t="shared" si="10"/>
        <v>0</v>
      </c>
      <c r="Y27" s="26">
        <f t="shared" si="11"/>
        <v>0</v>
      </c>
      <c r="Z27" s="12">
        <f t="shared" si="4"/>
        <v>0</v>
      </c>
      <c r="AA27" s="4" t="s">
        <v>10</v>
      </c>
      <c r="AB27" s="11">
        <f>IFERROR(VLOOKUP(AA27,Curr!$B$2:$C$13,2,FALSE),0)</f>
        <v>11.2</v>
      </c>
      <c r="AC27" s="12">
        <f t="shared" si="5"/>
        <v>0</v>
      </c>
      <c r="AD27" s="12">
        <f t="shared" si="6"/>
        <v>0</v>
      </c>
      <c r="AE27" s="13">
        <f t="shared" si="7"/>
        <v>0</v>
      </c>
    </row>
    <row r="28" spans="2:31" x14ac:dyDescent="0.25">
      <c r="B28" s="4"/>
      <c r="E28" s="3"/>
      <c r="F28" s="3"/>
      <c r="G28" s="24"/>
      <c r="H28" s="24"/>
      <c r="K28" s="4"/>
      <c r="L28" s="4"/>
      <c r="M28" s="4"/>
      <c r="N28" s="4"/>
      <c r="O28" s="4"/>
      <c r="P28" s="33"/>
      <c r="Q28" s="25"/>
      <c r="R28" s="25"/>
      <c r="S28" s="12">
        <f t="shared" si="8"/>
        <v>0</v>
      </c>
      <c r="T28" s="5">
        <v>0</v>
      </c>
      <c r="U28" s="12">
        <f t="shared" si="9"/>
        <v>0</v>
      </c>
      <c r="V28" s="25" t="s">
        <v>10</v>
      </c>
      <c r="W28" s="11">
        <f>IFERROR(VLOOKUP(V28,Curr!$B$2:$C$13,2,FALSE),0)</f>
        <v>11.2</v>
      </c>
      <c r="X28" s="12">
        <f t="shared" si="10"/>
        <v>0</v>
      </c>
      <c r="Y28" s="26">
        <f t="shared" si="11"/>
        <v>0</v>
      </c>
      <c r="Z28" s="12">
        <f t="shared" si="4"/>
        <v>0</v>
      </c>
      <c r="AA28" s="4" t="s">
        <v>10</v>
      </c>
      <c r="AB28" s="11">
        <f>IFERROR(VLOOKUP(AA28,Curr!$B$2:$C$13,2,FALSE),0)</f>
        <v>11.2</v>
      </c>
      <c r="AC28" s="12">
        <f t="shared" si="5"/>
        <v>0</v>
      </c>
      <c r="AD28" s="12">
        <f t="shared" si="6"/>
        <v>0</v>
      </c>
      <c r="AE28" s="13">
        <f t="shared" si="7"/>
        <v>0</v>
      </c>
    </row>
    <row r="29" spans="2:31" x14ac:dyDescent="0.25">
      <c r="B29" s="4"/>
      <c r="C29" s="1" t="s">
        <v>80</v>
      </c>
      <c r="D29" s="1" t="s">
        <v>73</v>
      </c>
      <c r="E29" s="3"/>
      <c r="F29" s="3"/>
      <c r="G29" s="24"/>
      <c r="H29" s="24"/>
      <c r="J29" s="1" t="s">
        <v>334</v>
      </c>
      <c r="K29" s="4"/>
      <c r="L29" s="4"/>
      <c r="M29" s="4"/>
      <c r="N29" s="4"/>
      <c r="O29" s="4"/>
      <c r="P29" s="29" t="s">
        <v>335</v>
      </c>
      <c r="Q29" s="25">
        <v>890</v>
      </c>
      <c r="R29" s="25">
        <v>2</v>
      </c>
      <c r="S29" s="12">
        <f t="shared" si="8"/>
        <v>1780</v>
      </c>
      <c r="T29" s="5">
        <v>0.2</v>
      </c>
      <c r="U29" s="12">
        <f t="shared" si="9"/>
        <v>1424</v>
      </c>
      <c r="V29" s="25" t="s">
        <v>8</v>
      </c>
      <c r="W29" s="11">
        <f>IFERROR(VLOOKUP(V29,Curr!$B$2:$C$13,2,FALSE),0)</f>
        <v>1</v>
      </c>
      <c r="X29" s="12">
        <f t="shared" si="10"/>
        <v>1424</v>
      </c>
      <c r="Y29" s="26">
        <f>Q29/11</f>
        <v>80.909090909090907</v>
      </c>
      <c r="Z29" s="12">
        <f t="shared" si="4"/>
        <v>161.81818181818181</v>
      </c>
      <c r="AA29" s="4" t="s">
        <v>10</v>
      </c>
      <c r="AB29" s="11">
        <f>IFERROR(VLOOKUP(AA29,Curr!$B$2:$C$13,2,FALSE),0)</f>
        <v>11.2</v>
      </c>
      <c r="AC29" s="12">
        <f t="shared" si="5"/>
        <v>1812.3636363636363</v>
      </c>
      <c r="AD29" s="12">
        <f t="shared" si="6"/>
        <v>388.36363636363626</v>
      </c>
      <c r="AE29" s="13">
        <f t="shared" si="7"/>
        <v>0.21428571428571425</v>
      </c>
    </row>
    <row r="30" spans="2:31" x14ac:dyDescent="0.25">
      <c r="B30" s="4"/>
      <c r="C30" s="1" t="s">
        <v>80</v>
      </c>
      <c r="D30" s="1" t="s">
        <v>53</v>
      </c>
      <c r="E30" s="3"/>
      <c r="F30" s="3"/>
      <c r="G30" s="24"/>
      <c r="H30" s="24"/>
      <c r="J30" s="1" t="s">
        <v>253</v>
      </c>
      <c r="K30" s="4"/>
      <c r="L30" s="4"/>
      <c r="M30" s="4"/>
      <c r="N30" s="4"/>
      <c r="O30" s="4"/>
      <c r="P30" s="33"/>
      <c r="Q30" s="25">
        <v>0</v>
      </c>
      <c r="R30" s="25">
        <v>0</v>
      </c>
      <c r="S30" s="12">
        <f t="shared" si="8"/>
        <v>0</v>
      </c>
      <c r="T30" s="5">
        <v>0</v>
      </c>
      <c r="U30" s="12">
        <f t="shared" si="9"/>
        <v>0</v>
      </c>
      <c r="V30" s="25" t="s">
        <v>10</v>
      </c>
      <c r="W30" s="11">
        <f>IFERROR(VLOOKUP(V30,Curr!$B$2:$C$13,2,FALSE),0)</f>
        <v>11.2</v>
      </c>
      <c r="X30" s="12">
        <f t="shared" si="10"/>
        <v>0</v>
      </c>
      <c r="Y30" s="26">
        <f t="shared" si="11"/>
        <v>0</v>
      </c>
      <c r="Z30" s="12">
        <f t="shared" si="4"/>
        <v>0</v>
      </c>
      <c r="AA30" s="4" t="s">
        <v>10</v>
      </c>
      <c r="AB30" s="11">
        <f>IFERROR(VLOOKUP(AA30,Curr!$B$2:$C$13,2,FALSE),0)</f>
        <v>11.2</v>
      </c>
      <c r="AC30" s="12">
        <f t="shared" si="5"/>
        <v>0</v>
      </c>
      <c r="AD30" s="12">
        <f t="shared" si="6"/>
        <v>0</v>
      </c>
      <c r="AE30" s="13">
        <f t="shared" si="7"/>
        <v>0</v>
      </c>
    </row>
    <row r="31" spans="2:31" x14ac:dyDescent="0.25">
      <c r="B31" s="4"/>
      <c r="E31" s="3"/>
      <c r="F31" s="3"/>
      <c r="G31" s="24"/>
      <c r="H31" s="24"/>
      <c r="K31" s="4"/>
      <c r="L31" s="4"/>
      <c r="M31" s="4"/>
      <c r="N31" s="4"/>
      <c r="O31" s="4"/>
      <c r="P31" s="33"/>
      <c r="Q31" s="25"/>
      <c r="R31" s="25"/>
      <c r="S31" s="12">
        <f t="shared" si="8"/>
        <v>0</v>
      </c>
      <c r="T31" s="5">
        <v>0</v>
      </c>
      <c r="U31" s="12">
        <f t="shared" si="9"/>
        <v>0</v>
      </c>
      <c r="V31" s="25" t="s">
        <v>10</v>
      </c>
      <c r="W31" s="11">
        <f>IFERROR(VLOOKUP(V31,Curr!$B$2:$C$13,2,FALSE),0)</f>
        <v>11.2</v>
      </c>
      <c r="X31" s="12">
        <f t="shared" si="10"/>
        <v>0</v>
      </c>
      <c r="Y31" s="26">
        <f t="shared" si="11"/>
        <v>0</v>
      </c>
      <c r="Z31" s="12">
        <f t="shared" si="4"/>
        <v>0</v>
      </c>
      <c r="AA31" s="4" t="s">
        <v>10</v>
      </c>
      <c r="AB31" s="11">
        <f>IFERROR(VLOOKUP(AA31,Curr!$B$2:$C$13,2,FALSE),0)</f>
        <v>11.2</v>
      </c>
      <c r="AC31" s="12">
        <f t="shared" si="5"/>
        <v>0</v>
      </c>
      <c r="AD31" s="12">
        <f t="shared" si="6"/>
        <v>0</v>
      </c>
      <c r="AE31" s="13">
        <f t="shared" si="7"/>
        <v>0</v>
      </c>
    </row>
    <row r="32" spans="2:31" x14ac:dyDescent="0.25">
      <c r="B32" s="4"/>
      <c r="C32" s="1" t="s">
        <v>81</v>
      </c>
      <c r="D32" s="1" t="s">
        <v>50</v>
      </c>
      <c r="E32" s="3"/>
      <c r="F32" s="3"/>
      <c r="G32" s="24"/>
      <c r="H32" s="24"/>
      <c r="J32" s="1" t="s">
        <v>259</v>
      </c>
      <c r="K32" s="4"/>
      <c r="L32" s="4"/>
      <c r="M32" s="4"/>
      <c r="N32" s="4"/>
      <c r="O32" s="4"/>
      <c r="P32" s="33"/>
      <c r="Q32" s="25">
        <v>0</v>
      </c>
      <c r="R32" s="25">
        <v>0</v>
      </c>
      <c r="S32" s="12">
        <f t="shared" si="8"/>
        <v>0</v>
      </c>
      <c r="T32" s="5">
        <v>0</v>
      </c>
      <c r="U32" s="12">
        <f t="shared" si="9"/>
        <v>0</v>
      </c>
      <c r="V32" s="25" t="s">
        <v>10</v>
      </c>
      <c r="W32" s="11">
        <f>IFERROR(VLOOKUP(V32,Curr!$B$2:$C$13,2,FALSE),0)</f>
        <v>11.2</v>
      </c>
      <c r="X32" s="12">
        <f t="shared" si="10"/>
        <v>0</v>
      </c>
      <c r="Y32" s="26">
        <f t="shared" si="11"/>
        <v>0</v>
      </c>
      <c r="Z32" s="12">
        <f t="shared" si="4"/>
        <v>0</v>
      </c>
      <c r="AA32" s="4" t="s">
        <v>10</v>
      </c>
      <c r="AB32" s="11">
        <f>IFERROR(VLOOKUP(AA32,Curr!$B$2:$C$13,2,FALSE),0)</f>
        <v>11.2</v>
      </c>
      <c r="AC32" s="12">
        <f t="shared" si="5"/>
        <v>0</v>
      </c>
      <c r="AD32" s="12">
        <f t="shared" si="6"/>
        <v>0</v>
      </c>
      <c r="AE32" s="13">
        <f t="shared" si="7"/>
        <v>0</v>
      </c>
    </row>
    <row r="33" spans="2:31" x14ac:dyDescent="0.25">
      <c r="B33" s="4"/>
      <c r="C33" s="1" t="s">
        <v>81</v>
      </c>
      <c r="D33" s="1" t="s">
        <v>66</v>
      </c>
      <c r="E33" s="3"/>
      <c r="F33" s="3"/>
      <c r="G33" s="24"/>
      <c r="H33" s="24"/>
      <c r="J33" s="1" t="s">
        <v>261</v>
      </c>
      <c r="K33" s="4"/>
      <c r="L33" s="4"/>
      <c r="M33" s="4"/>
      <c r="N33" s="4"/>
      <c r="O33" s="4"/>
      <c r="P33" s="33" t="s">
        <v>264</v>
      </c>
      <c r="Q33" s="25">
        <v>750</v>
      </c>
      <c r="R33" s="25">
        <v>2</v>
      </c>
      <c r="S33" s="12">
        <f t="shared" si="8"/>
        <v>1500</v>
      </c>
      <c r="T33" s="5">
        <v>0</v>
      </c>
      <c r="U33" s="12">
        <f t="shared" si="9"/>
        <v>1500</v>
      </c>
      <c r="V33" s="25" t="s">
        <v>8</v>
      </c>
      <c r="W33" s="11">
        <f>IFERROR(VLOOKUP(V33,Curr!$B$2:$C$13,2,FALSE),0)</f>
        <v>1</v>
      </c>
      <c r="X33" s="12">
        <f t="shared" si="10"/>
        <v>1500</v>
      </c>
      <c r="Y33" s="26">
        <f>Q33/11/0.8</f>
        <v>85.227272727272734</v>
      </c>
      <c r="Z33" s="12">
        <f t="shared" si="4"/>
        <v>170.45454545454547</v>
      </c>
      <c r="AA33" s="4" t="s">
        <v>10</v>
      </c>
      <c r="AB33" s="11">
        <f>IFERROR(VLOOKUP(AA33,Curr!$B$2:$C$13,2,FALSE),0)</f>
        <v>11.2</v>
      </c>
      <c r="AC33" s="12">
        <f t="shared" si="5"/>
        <v>1909.090909090909</v>
      </c>
      <c r="AD33" s="12">
        <f t="shared" si="6"/>
        <v>409.09090909090901</v>
      </c>
      <c r="AE33" s="13">
        <f t="shared" si="7"/>
        <v>0.21428571428571425</v>
      </c>
    </row>
    <row r="34" spans="2:31" x14ac:dyDescent="0.25">
      <c r="B34" s="4"/>
      <c r="C34" s="1" t="s">
        <v>81</v>
      </c>
      <c r="D34" s="1" t="s">
        <v>50</v>
      </c>
      <c r="E34" s="3"/>
      <c r="F34" s="3"/>
      <c r="G34" s="24"/>
      <c r="H34" s="24"/>
      <c r="J34" s="1" t="s">
        <v>257</v>
      </c>
      <c r="K34" s="4"/>
      <c r="L34" s="4"/>
      <c r="M34" s="4"/>
      <c r="N34" s="4"/>
      <c r="O34" s="4"/>
      <c r="P34" s="33"/>
      <c r="Q34" s="25">
        <v>0</v>
      </c>
      <c r="R34" s="25">
        <v>0</v>
      </c>
      <c r="S34" s="12">
        <f t="shared" si="8"/>
        <v>0</v>
      </c>
      <c r="T34" s="5">
        <v>0</v>
      </c>
      <c r="U34" s="12">
        <f t="shared" si="9"/>
        <v>0</v>
      </c>
      <c r="V34" s="25" t="s">
        <v>10</v>
      </c>
      <c r="W34" s="11">
        <f>IFERROR(VLOOKUP(V34,Curr!$B$2:$C$13,2,FALSE),0)</f>
        <v>11.2</v>
      </c>
      <c r="X34" s="12">
        <f t="shared" si="10"/>
        <v>0</v>
      </c>
      <c r="Y34" s="26">
        <f t="shared" si="11"/>
        <v>0</v>
      </c>
      <c r="Z34" s="12">
        <f t="shared" si="4"/>
        <v>0</v>
      </c>
      <c r="AA34" s="4" t="s">
        <v>10</v>
      </c>
      <c r="AB34" s="11">
        <f>IFERROR(VLOOKUP(AA34,Curr!$B$2:$C$13,2,FALSE),0)</f>
        <v>11.2</v>
      </c>
      <c r="AC34" s="12">
        <f t="shared" si="5"/>
        <v>0</v>
      </c>
      <c r="AD34" s="12">
        <f t="shared" si="6"/>
        <v>0</v>
      </c>
      <c r="AE34" s="13">
        <f t="shared" si="7"/>
        <v>0</v>
      </c>
    </row>
    <row r="35" spans="2:31" x14ac:dyDescent="0.25">
      <c r="B35" s="4"/>
      <c r="C35" s="1" t="s">
        <v>81</v>
      </c>
      <c r="D35" s="1" t="s">
        <v>52</v>
      </c>
      <c r="E35" s="3"/>
      <c r="F35" s="3"/>
      <c r="G35" s="24"/>
      <c r="H35" s="24"/>
      <c r="J35" s="1" t="s">
        <v>260</v>
      </c>
      <c r="K35" s="4"/>
      <c r="L35" s="4"/>
      <c r="M35" s="4"/>
      <c r="N35" s="4"/>
      <c r="O35" s="4"/>
      <c r="P35" s="33"/>
      <c r="Q35" s="25">
        <v>200</v>
      </c>
      <c r="R35" s="25">
        <v>1</v>
      </c>
      <c r="S35" s="12">
        <f t="shared" si="8"/>
        <v>200</v>
      </c>
      <c r="T35" s="5">
        <v>0</v>
      </c>
      <c r="U35" s="12">
        <f t="shared" si="9"/>
        <v>200</v>
      </c>
      <c r="V35" s="25" t="s">
        <v>10</v>
      </c>
      <c r="W35" s="11">
        <f>IFERROR(VLOOKUP(V35,Curr!$B$2:$C$13,2,FALSE),0)</f>
        <v>11.2</v>
      </c>
      <c r="X35" s="12">
        <f t="shared" si="10"/>
        <v>2240</v>
      </c>
      <c r="Y35" s="26">
        <f>Q35/0.8</f>
        <v>250</v>
      </c>
      <c r="Z35" s="12">
        <f t="shared" si="4"/>
        <v>250</v>
      </c>
      <c r="AA35" s="4" t="s">
        <v>10</v>
      </c>
      <c r="AB35" s="11">
        <f>IFERROR(VLOOKUP(AA35,Curr!$B$2:$C$13,2,FALSE),0)</f>
        <v>11.2</v>
      </c>
      <c r="AC35" s="12">
        <f t="shared" si="5"/>
        <v>2800</v>
      </c>
      <c r="AD35" s="12">
        <f t="shared" si="6"/>
        <v>560</v>
      </c>
      <c r="AE35" s="13">
        <f t="shared" si="7"/>
        <v>0.2</v>
      </c>
    </row>
    <row r="36" spans="2:31" x14ac:dyDescent="0.25">
      <c r="B36" s="4"/>
      <c r="C36" s="1" t="s">
        <v>81</v>
      </c>
      <c r="D36" s="1" t="s">
        <v>53</v>
      </c>
      <c r="E36" s="3"/>
      <c r="F36" s="3"/>
      <c r="G36" s="24"/>
      <c r="H36" s="24"/>
      <c r="J36" s="1" t="s">
        <v>254</v>
      </c>
      <c r="K36" s="4"/>
      <c r="L36" s="4"/>
      <c r="M36" s="4"/>
      <c r="N36" s="4"/>
      <c r="O36" s="4"/>
      <c r="P36" s="33"/>
      <c r="Q36" s="25">
        <v>0</v>
      </c>
      <c r="R36" s="25">
        <v>0</v>
      </c>
      <c r="S36" s="12">
        <f t="shared" si="8"/>
        <v>0</v>
      </c>
      <c r="T36" s="5">
        <v>0</v>
      </c>
      <c r="U36" s="12">
        <f t="shared" si="9"/>
        <v>0</v>
      </c>
      <c r="V36" s="25" t="s">
        <v>10</v>
      </c>
      <c r="W36" s="11">
        <f>IFERROR(VLOOKUP(V36,Curr!$B$2:$C$13,2,FALSE),0)</f>
        <v>11.2</v>
      </c>
      <c r="X36" s="12">
        <f t="shared" si="10"/>
        <v>0</v>
      </c>
      <c r="Y36" s="26">
        <f t="shared" si="11"/>
        <v>0</v>
      </c>
      <c r="Z36" s="12">
        <f t="shared" si="4"/>
        <v>0</v>
      </c>
      <c r="AA36" s="4" t="s">
        <v>10</v>
      </c>
      <c r="AB36" s="11">
        <f>IFERROR(VLOOKUP(AA36,Curr!$B$2:$C$13,2,FALSE),0)</f>
        <v>11.2</v>
      </c>
      <c r="AC36" s="12">
        <f t="shared" si="5"/>
        <v>0</v>
      </c>
      <c r="AD36" s="12">
        <f t="shared" si="6"/>
        <v>0</v>
      </c>
      <c r="AE36" s="13">
        <f t="shared" si="7"/>
        <v>0</v>
      </c>
    </row>
    <row r="37" spans="2:31" x14ac:dyDescent="0.25">
      <c r="B37" s="4"/>
      <c r="E37" s="3"/>
      <c r="F37" s="3"/>
      <c r="G37" s="24"/>
      <c r="H37" s="24"/>
      <c r="K37" s="4"/>
      <c r="L37" s="4"/>
      <c r="M37" s="4"/>
      <c r="N37" s="4"/>
      <c r="O37" s="4"/>
      <c r="P37" s="33"/>
      <c r="Q37" s="25"/>
      <c r="R37" s="25"/>
      <c r="S37" s="12">
        <f t="shared" si="8"/>
        <v>0</v>
      </c>
      <c r="T37" s="5">
        <v>0</v>
      </c>
      <c r="U37" s="12">
        <f t="shared" si="9"/>
        <v>0</v>
      </c>
      <c r="V37" s="25" t="s">
        <v>10</v>
      </c>
      <c r="W37" s="11">
        <f>IFERROR(VLOOKUP(V37,Curr!$B$2:$C$13,2,FALSE),0)</f>
        <v>11.2</v>
      </c>
      <c r="X37" s="12">
        <f t="shared" si="10"/>
        <v>0</v>
      </c>
      <c r="Y37" s="26">
        <f t="shared" si="11"/>
        <v>0</v>
      </c>
      <c r="Z37" s="12">
        <f t="shared" si="4"/>
        <v>0</v>
      </c>
      <c r="AA37" s="4" t="s">
        <v>10</v>
      </c>
      <c r="AB37" s="11">
        <f>IFERROR(VLOOKUP(AA37,Curr!$B$2:$C$13,2,FALSE),0)</f>
        <v>11.2</v>
      </c>
      <c r="AC37" s="12">
        <f t="shared" si="5"/>
        <v>0</v>
      </c>
      <c r="AD37" s="12">
        <f t="shared" si="6"/>
        <v>0</v>
      </c>
      <c r="AE37" s="13">
        <f t="shared" si="7"/>
        <v>0</v>
      </c>
    </row>
    <row r="38" spans="2:31" x14ac:dyDescent="0.25">
      <c r="B38" s="4"/>
      <c r="C38" s="1" t="s">
        <v>114</v>
      </c>
      <c r="D38" s="1" t="s">
        <v>50</v>
      </c>
      <c r="E38" s="3"/>
      <c r="F38" s="3"/>
      <c r="G38" s="24"/>
      <c r="H38" s="24"/>
      <c r="J38" s="1" t="s">
        <v>263</v>
      </c>
      <c r="K38" s="4"/>
      <c r="L38" s="4"/>
      <c r="M38" s="4"/>
      <c r="N38" s="4"/>
      <c r="O38" s="4"/>
      <c r="P38" s="27"/>
      <c r="Q38" s="25">
        <v>0</v>
      </c>
      <c r="R38" s="25">
        <v>0</v>
      </c>
      <c r="S38" s="12">
        <f t="shared" si="8"/>
        <v>0</v>
      </c>
      <c r="T38" s="5">
        <v>0</v>
      </c>
      <c r="U38" s="12">
        <f t="shared" si="9"/>
        <v>0</v>
      </c>
      <c r="V38" s="25" t="s">
        <v>10</v>
      </c>
      <c r="W38" s="11">
        <f>IFERROR(VLOOKUP(V38,Curr!$B$2:$C$13,2,FALSE),0)</f>
        <v>11.2</v>
      </c>
      <c r="X38" s="12">
        <f t="shared" si="10"/>
        <v>0</v>
      </c>
      <c r="Y38" s="26">
        <f t="shared" si="11"/>
        <v>0</v>
      </c>
      <c r="Z38" s="12">
        <f t="shared" si="4"/>
        <v>0</v>
      </c>
      <c r="AA38" s="4" t="s">
        <v>10</v>
      </c>
      <c r="AB38" s="11">
        <f>IFERROR(VLOOKUP(AA38,Curr!$B$2:$C$13,2,FALSE),0)</f>
        <v>11.2</v>
      </c>
      <c r="AC38" s="12">
        <f t="shared" si="5"/>
        <v>0</v>
      </c>
      <c r="AD38" s="12">
        <f t="shared" si="6"/>
        <v>0</v>
      </c>
      <c r="AE38" s="13">
        <f t="shared" si="7"/>
        <v>0</v>
      </c>
    </row>
    <row r="39" spans="2:31" x14ac:dyDescent="0.25">
      <c r="B39" s="4"/>
      <c r="C39" s="1" t="s">
        <v>114</v>
      </c>
      <c r="D39" s="1" t="s">
        <v>66</v>
      </c>
      <c r="E39" s="3"/>
      <c r="F39" s="3"/>
      <c r="G39" s="24"/>
      <c r="H39" s="24"/>
      <c r="J39" s="1" t="s">
        <v>262</v>
      </c>
      <c r="K39" s="4"/>
      <c r="L39" s="4"/>
      <c r="M39" s="4"/>
      <c r="N39" s="4"/>
      <c r="O39" s="4"/>
      <c r="P39" s="33"/>
      <c r="Q39" s="25">
        <v>1000</v>
      </c>
      <c r="R39" s="25">
        <v>2</v>
      </c>
      <c r="S39" s="12">
        <f t="shared" si="8"/>
        <v>2000</v>
      </c>
      <c r="T39" s="5">
        <v>0</v>
      </c>
      <c r="U39" s="12">
        <f t="shared" si="9"/>
        <v>2000</v>
      </c>
      <c r="V39" s="25" t="s">
        <v>8</v>
      </c>
      <c r="W39" s="11">
        <f>IFERROR(VLOOKUP(V39,Curr!$B$2:$C$13,2,FALSE),0)</f>
        <v>1</v>
      </c>
      <c r="X39" s="12">
        <f t="shared" si="10"/>
        <v>2000</v>
      </c>
      <c r="Y39" s="26">
        <f>Q39/11/0.8</f>
        <v>113.63636363636363</v>
      </c>
      <c r="Z39" s="12">
        <f t="shared" si="4"/>
        <v>227.27272727272725</v>
      </c>
      <c r="AA39" s="4" t="s">
        <v>10</v>
      </c>
      <c r="AB39" s="11">
        <f>IFERROR(VLOOKUP(AA39,Curr!$B$2:$C$13,2,FALSE),0)</f>
        <v>11.2</v>
      </c>
      <c r="AC39" s="12">
        <f t="shared" si="5"/>
        <v>2545.454545454545</v>
      </c>
      <c r="AD39" s="12">
        <f t="shared" si="6"/>
        <v>545.45454545454504</v>
      </c>
      <c r="AE39" s="13">
        <f t="shared" si="7"/>
        <v>0.21428571428571416</v>
      </c>
    </row>
    <row r="40" spans="2:31" x14ac:dyDescent="0.25">
      <c r="B40" s="4"/>
      <c r="C40" s="1" t="s">
        <v>114</v>
      </c>
      <c r="D40" s="1" t="s">
        <v>50</v>
      </c>
      <c r="E40" s="3"/>
      <c r="F40" s="3"/>
      <c r="G40" s="24"/>
      <c r="H40" s="24"/>
      <c r="J40" s="1" t="s">
        <v>51</v>
      </c>
      <c r="K40" s="4"/>
      <c r="L40" s="4"/>
      <c r="M40" s="4"/>
      <c r="N40" s="4"/>
      <c r="O40" s="4"/>
      <c r="P40" s="27"/>
      <c r="Q40" s="25">
        <v>0</v>
      </c>
      <c r="R40" s="25">
        <v>0</v>
      </c>
      <c r="S40" s="12">
        <f t="shared" si="8"/>
        <v>0</v>
      </c>
      <c r="T40" s="5">
        <v>0</v>
      </c>
      <c r="U40" s="12">
        <f t="shared" si="9"/>
        <v>0</v>
      </c>
      <c r="V40" s="25" t="s">
        <v>8</v>
      </c>
      <c r="W40" s="11">
        <f>IFERROR(VLOOKUP(V40,Curr!$B$2:$C$13,2,FALSE),0)</f>
        <v>1</v>
      </c>
      <c r="X40" s="12">
        <f t="shared" si="10"/>
        <v>0</v>
      </c>
      <c r="Y40" s="26">
        <f>Q40/11.3/0.8</f>
        <v>0</v>
      </c>
      <c r="Z40" s="12">
        <f t="shared" si="4"/>
        <v>0</v>
      </c>
      <c r="AA40" s="4" t="s">
        <v>10</v>
      </c>
      <c r="AB40" s="11">
        <f>IFERROR(VLOOKUP(AA40,Curr!$B$2:$C$13,2,FALSE),0)</f>
        <v>11.2</v>
      </c>
      <c r="AC40" s="12">
        <f t="shared" si="5"/>
        <v>0</v>
      </c>
      <c r="AD40" s="12">
        <f t="shared" si="6"/>
        <v>0</v>
      </c>
      <c r="AE40" s="13">
        <f t="shared" si="7"/>
        <v>0</v>
      </c>
    </row>
    <row r="41" spans="2:31" x14ac:dyDescent="0.25">
      <c r="B41" s="4"/>
      <c r="C41" s="1" t="s">
        <v>114</v>
      </c>
      <c r="D41" s="1" t="s">
        <v>52</v>
      </c>
      <c r="E41" s="3"/>
      <c r="F41" s="3"/>
      <c r="G41" s="24"/>
      <c r="H41" s="24"/>
      <c r="J41" s="1" t="s">
        <v>231</v>
      </c>
      <c r="K41" s="4"/>
      <c r="L41" s="4"/>
      <c r="M41" s="4"/>
      <c r="N41" s="4"/>
      <c r="O41" s="4"/>
      <c r="P41" s="33"/>
      <c r="Q41" s="25">
        <v>150</v>
      </c>
      <c r="R41" s="25">
        <v>1</v>
      </c>
      <c r="S41" s="12">
        <f t="shared" si="8"/>
        <v>150</v>
      </c>
      <c r="T41" s="5">
        <v>0</v>
      </c>
      <c r="U41" s="12">
        <f t="shared" si="9"/>
        <v>150</v>
      </c>
      <c r="V41" s="25" t="s">
        <v>10</v>
      </c>
      <c r="W41" s="11">
        <f>IFERROR(VLOOKUP(V41,Curr!$B$2:$C$13,2,FALSE),0)</f>
        <v>11.2</v>
      </c>
      <c r="X41" s="12">
        <f t="shared" si="10"/>
        <v>1680</v>
      </c>
      <c r="Y41" s="26">
        <f>Q41/0.85</f>
        <v>176.47058823529412</v>
      </c>
      <c r="Z41" s="12">
        <f t="shared" si="4"/>
        <v>176.47058823529412</v>
      </c>
      <c r="AA41" s="4" t="s">
        <v>10</v>
      </c>
      <c r="AB41" s="11">
        <f>IFERROR(VLOOKUP(AA41,Curr!$B$2:$C$13,2,FALSE),0)</f>
        <v>11.2</v>
      </c>
      <c r="AC41" s="12">
        <f t="shared" si="5"/>
        <v>1976.4705882352939</v>
      </c>
      <c r="AD41" s="12">
        <f t="shared" si="6"/>
        <v>296.47058823529392</v>
      </c>
      <c r="AE41" s="13">
        <f t="shared" si="7"/>
        <v>0.14999999999999991</v>
      </c>
    </row>
    <row r="42" spans="2:31" x14ac:dyDescent="0.25">
      <c r="B42" s="4"/>
      <c r="C42" s="1" t="s">
        <v>114</v>
      </c>
      <c r="D42" s="1" t="s">
        <v>53</v>
      </c>
      <c r="E42" s="3"/>
      <c r="F42" s="3"/>
      <c r="G42" s="24"/>
      <c r="H42" s="24"/>
      <c r="J42" s="1" t="s">
        <v>54</v>
      </c>
      <c r="K42" s="4"/>
      <c r="L42" s="4"/>
      <c r="M42" s="4"/>
      <c r="N42" s="4"/>
      <c r="O42" s="4"/>
      <c r="P42" s="27"/>
      <c r="Q42" s="25">
        <v>0</v>
      </c>
      <c r="R42" s="25">
        <v>0</v>
      </c>
      <c r="S42" s="12">
        <f t="shared" si="8"/>
        <v>0</v>
      </c>
      <c r="T42" s="5">
        <v>0</v>
      </c>
      <c r="U42" s="12">
        <f t="shared" si="9"/>
        <v>0</v>
      </c>
      <c r="V42" s="25" t="s">
        <v>10</v>
      </c>
      <c r="W42" s="11">
        <f>IFERROR(VLOOKUP(V42,Curr!$B$2:$C$13,2,FALSE),0)</f>
        <v>11.2</v>
      </c>
      <c r="X42" s="12">
        <f t="shared" si="10"/>
        <v>0</v>
      </c>
      <c r="Y42" s="26">
        <f t="shared" ref="Y42" si="14">Q42</f>
        <v>0</v>
      </c>
      <c r="Z42" s="12">
        <f t="shared" si="4"/>
        <v>0</v>
      </c>
      <c r="AA42" s="4" t="s">
        <v>10</v>
      </c>
      <c r="AB42" s="11">
        <f>IFERROR(VLOOKUP(AA42,Curr!$B$2:$C$13,2,FALSE),0)</f>
        <v>11.2</v>
      </c>
      <c r="AC42" s="12">
        <f t="shared" si="5"/>
        <v>0</v>
      </c>
      <c r="AD42" s="12">
        <f t="shared" si="6"/>
        <v>0</v>
      </c>
      <c r="AE42" s="13">
        <f t="shared" si="7"/>
        <v>0</v>
      </c>
    </row>
    <row r="43" spans="2:31" x14ac:dyDescent="0.25">
      <c r="B43" s="4"/>
      <c r="E43" s="3"/>
      <c r="F43" s="3"/>
      <c r="G43" s="24"/>
      <c r="H43" s="24"/>
      <c r="K43" s="4"/>
      <c r="L43" s="4"/>
      <c r="M43" s="4"/>
      <c r="N43" s="4"/>
      <c r="O43" s="4"/>
      <c r="P43" s="27"/>
      <c r="Q43" s="25"/>
      <c r="R43" s="25"/>
      <c r="S43" s="12">
        <f t="shared" si="8"/>
        <v>0</v>
      </c>
      <c r="T43" s="5">
        <v>0</v>
      </c>
      <c r="U43" s="12">
        <f t="shared" si="9"/>
        <v>0</v>
      </c>
      <c r="V43" s="25" t="s">
        <v>10</v>
      </c>
      <c r="W43" s="11">
        <f>IFERROR(VLOOKUP(V43,Curr!$B$2:$C$13,2,FALSE),0)</f>
        <v>11.2</v>
      </c>
      <c r="X43" s="12">
        <f t="shared" si="10"/>
        <v>0</v>
      </c>
      <c r="Y43" s="26">
        <f t="shared" si="11"/>
        <v>0</v>
      </c>
      <c r="Z43" s="12">
        <f t="shared" si="4"/>
        <v>0</v>
      </c>
      <c r="AA43" s="4" t="s">
        <v>10</v>
      </c>
      <c r="AB43" s="11">
        <f>IFERROR(VLOOKUP(AA43,Curr!$B$2:$C$13,2,FALSE),0)</f>
        <v>11.2</v>
      </c>
      <c r="AC43" s="12">
        <f t="shared" si="5"/>
        <v>0</v>
      </c>
      <c r="AD43" s="12">
        <f t="shared" si="6"/>
        <v>0</v>
      </c>
      <c r="AE43" s="13">
        <f t="shared" si="7"/>
        <v>0</v>
      </c>
    </row>
    <row r="44" spans="2:31" x14ac:dyDescent="0.25">
      <c r="B44" s="4"/>
      <c r="C44" s="1" t="s">
        <v>115</v>
      </c>
      <c r="D44" s="1" t="s">
        <v>50</v>
      </c>
      <c r="E44" s="3"/>
      <c r="F44" s="3"/>
      <c r="G44" s="24"/>
      <c r="H44" s="24"/>
      <c r="J44" s="1" t="s">
        <v>195</v>
      </c>
      <c r="K44" s="4"/>
      <c r="L44" s="4"/>
      <c r="M44" s="4"/>
      <c r="N44" s="4"/>
      <c r="O44" s="4"/>
      <c r="P44" s="33"/>
      <c r="Q44" s="25">
        <v>0</v>
      </c>
      <c r="R44" s="25">
        <v>0</v>
      </c>
      <c r="S44" s="12">
        <f t="shared" si="8"/>
        <v>0</v>
      </c>
      <c r="T44" s="5">
        <v>0</v>
      </c>
      <c r="U44" s="12">
        <f t="shared" si="9"/>
        <v>0</v>
      </c>
      <c r="V44" s="25" t="s">
        <v>10</v>
      </c>
      <c r="W44" s="11">
        <f>IFERROR(VLOOKUP(V44,Curr!$B$2:$C$13,2,FALSE),0)</f>
        <v>11.2</v>
      </c>
      <c r="X44" s="12">
        <f t="shared" si="10"/>
        <v>0</v>
      </c>
      <c r="Y44" s="26">
        <f t="shared" si="11"/>
        <v>0</v>
      </c>
      <c r="Z44" s="12">
        <f t="shared" si="4"/>
        <v>0</v>
      </c>
      <c r="AA44" s="4" t="s">
        <v>10</v>
      </c>
      <c r="AB44" s="11">
        <f>IFERROR(VLOOKUP(AA44,Curr!$B$2:$C$13,2,FALSE),0)</f>
        <v>11.2</v>
      </c>
      <c r="AC44" s="12">
        <f t="shared" si="5"/>
        <v>0</v>
      </c>
      <c r="AD44" s="12">
        <f t="shared" si="6"/>
        <v>0</v>
      </c>
      <c r="AE44" s="13">
        <f t="shared" si="7"/>
        <v>0</v>
      </c>
    </row>
    <row r="45" spans="2:31" x14ac:dyDescent="0.25">
      <c r="B45" s="4"/>
      <c r="C45" s="1" t="s">
        <v>115</v>
      </c>
      <c r="D45" s="1" t="s">
        <v>82</v>
      </c>
      <c r="E45" s="3"/>
      <c r="F45" s="3"/>
      <c r="G45" s="24"/>
      <c r="H45" s="24"/>
      <c r="J45" s="1" t="s">
        <v>194</v>
      </c>
      <c r="K45" s="4"/>
      <c r="L45" s="4"/>
      <c r="M45" s="4"/>
      <c r="N45" s="4"/>
      <c r="O45" s="4"/>
      <c r="P45" s="27"/>
      <c r="Q45" s="25">
        <v>0</v>
      </c>
      <c r="R45" s="25">
        <v>0</v>
      </c>
      <c r="S45" s="12">
        <f t="shared" si="8"/>
        <v>0</v>
      </c>
      <c r="T45" s="5">
        <v>0</v>
      </c>
      <c r="U45" s="12">
        <f t="shared" si="9"/>
        <v>0</v>
      </c>
      <c r="V45" s="25" t="s">
        <v>10</v>
      </c>
      <c r="W45" s="11">
        <f>IFERROR(VLOOKUP(V45,Curr!$B$2:$C$13,2,FALSE),0)</f>
        <v>11.2</v>
      </c>
      <c r="X45" s="12">
        <f t="shared" si="10"/>
        <v>0</v>
      </c>
      <c r="Y45" s="26">
        <f t="shared" si="11"/>
        <v>0</v>
      </c>
      <c r="Z45" s="12">
        <f t="shared" si="4"/>
        <v>0</v>
      </c>
      <c r="AA45" s="4" t="s">
        <v>10</v>
      </c>
      <c r="AB45" s="11">
        <f>IFERROR(VLOOKUP(AA45,Curr!$B$2:$C$13,2,FALSE),0)</f>
        <v>11.2</v>
      </c>
      <c r="AC45" s="12">
        <f t="shared" si="5"/>
        <v>0</v>
      </c>
      <c r="AD45" s="12">
        <f t="shared" si="6"/>
        <v>0</v>
      </c>
      <c r="AE45" s="13">
        <f t="shared" si="7"/>
        <v>0</v>
      </c>
    </row>
    <row r="46" spans="2:31" x14ac:dyDescent="0.25">
      <c r="B46" s="4"/>
      <c r="E46" s="3"/>
      <c r="F46" s="3"/>
      <c r="G46" s="24"/>
      <c r="H46" s="24"/>
      <c r="K46" s="4"/>
      <c r="L46" s="4"/>
      <c r="M46" s="4"/>
      <c r="N46" s="4"/>
      <c r="O46" s="4"/>
      <c r="P46" s="27"/>
      <c r="Q46" s="25"/>
      <c r="R46" s="25"/>
      <c r="S46" s="12">
        <f t="shared" si="8"/>
        <v>0</v>
      </c>
      <c r="T46" s="5">
        <v>0</v>
      </c>
      <c r="U46" s="12">
        <f t="shared" si="9"/>
        <v>0</v>
      </c>
      <c r="V46" s="25" t="s">
        <v>10</v>
      </c>
      <c r="W46" s="11">
        <f>IFERROR(VLOOKUP(V46,Curr!$B$2:$C$13,2,FALSE),0)</f>
        <v>11.2</v>
      </c>
      <c r="X46" s="12">
        <f t="shared" si="10"/>
        <v>0</v>
      </c>
      <c r="Y46" s="26">
        <f t="shared" si="11"/>
        <v>0</v>
      </c>
      <c r="Z46" s="12">
        <f t="shared" si="4"/>
        <v>0</v>
      </c>
      <c r="AA46" s="4" t="s">
        <v>10</v>
      </c>
      <c r="AB46" s="11">
        <f>IFERROR(VLOOKUP(AA46,Curr!$B$2:$C$13,2,FALSE),0)</f>
        <v>11.2</v>
      </c>
      <c r="AC46" s="12">
        <f t="shared" si="5"/>
        <v>0</v>
      </c>
      <c r="AD46" s="12">
        <f t="shared" si="6"/>
        <v>0</v>
      </c>
      <c r="AE46" s="13">
        <f t="shared" si="7"/>
        <v>0</v>
      </c>
    </row>
    <row r="47" spans="2:3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11.2</v>
      </c>
      <c r="X47" s="12">
        <f t="shared" si="10"/>
        <v>0</v>
      </c>
      <c r="Y47" s="26">
        <f t="shared" si="11"/>
        <v>0</v>
      </c>
      <c r="Z47" s="12">
        <f t="shared" si="4"/>
        <v>0</v>
      </c>
      <c r="AA47" s="4" t="s">
        <v>10</v>
      </c>
      <c r="AB47" s="11">
        <f>IFERROR(VLOOKUP(AA47,Curr!$B$2:$C$13,2,FALSE),0)</f>
        <v>11.2</v>
      </c>
      <c r="AC47" s="12">
        <f t="shared" si="5"/>
        <v>0</v>
      </c>
      <c r="AD47" s="12">
        <f t="shared" si="6"/>
        <v>0</v>
      </c>
      <c r="AE47" s="13">
        <f t="shared" si="7"/>
        <v>0</v>
      </c>
    </row>
    <row r="48" spans="2:31" x14ac:dyDescent="0.25">
      <c r="B48" s="4"/>
      <c r="C48" s="1" t="s">
        <v>55</v>
      </c>
      <c r="D48" s="1" t="s">
        <v>93</v>
      </c>
      <c r="E48" s="3"/>
      <c r="F48" s="3"/>
      <c r="G48" s="24"/>
      <c r="H48" s="24"/>
      <c r="J48" s="1" t="s">
        <v>95</v>
      </c>
      <c r="K48" s="4"/>
      <c r="L48" s="4"/>
      <c r="M48" s="4"/>
      <c r="N48" s="4"/>
      <c r="O48" s="4"/>
      <c r="P48" s="27"/>
      <c r="Q48" s="25">
        <v>1790</v>
      </c>
      <c r="R48" s="25">
        <v>0</v>
      </c>
      <c r="S48" s="12">
        <f t="shared" si="8"/>
        <v>0</v>
      </c>
      <c r="T48" s="5">
        <v>0</v>
      </c>
      <c r="U48" s="12">
        <f t="shared" si="9"/>
        <v>0</v>
      </c>
      <c r="V48" s="25" t="s">
        <v>8</v>
      </c>
      <c r="W48" s="11">
        <f>IFERROR(VLOOKUP(V48,Curr!$B$2:$C$13,2,FALSE),0)</f>
        <v>1</v>
      </c>
      <c r="X48" s="12">
        <f t="shared" si="10"/>
        <v>0</v>
      </c>
      <c r="Y48" s="26">
        <f>Q48/11.3/0.8</f>
        <v>198.0088495575221</v>
      </c>
      <c r="Z48" s="12">
        <f t="shared" si="4"/>
        <v>0</v>
      </c>
      <c r="AA48" s="4" t="s">
        <v>10</v>
      </c>
      <c r="AB48" s="11">
        <f>IFERROR(VLOOKUP(AA48,Curr!$B$2:$C$13,2,FALSE),0)</f>
        <v>11.2</v>
      </c>
      <c r="AC48" s="12">
        <f t="shared" si="5"/>
        <v>0</v>
      </c>
      <c r="AD48" s="12">
        <f t="shared" si="6"/>
        <v>0</v>
      </c>
      <c r="AE48" s="13">
        <f t="shared" si="7"/>
        <v>0</v>
      </c>
    </row>
    <row r="49" spans="2:36" x14ac:dyDescent="0.25">
      <c r="B49" s="4"/>
      <c r="C49" s="1" t="s">
        <v>63</v>
      </c>
      <c r="D49" s="1" t="s">
        <v>93</v>
      </c>
      <c r="E49" s="3"/>
      <c r="F49" s="3"/>
      <c r="G49" s="24"/>
      <c r="H49" s="24"/>
      <c r="J49" s="1" t="s">
        <v>96</v>
      </c>
      <c r="K49" s="4"/>
      <c r="L49" s="4"/>
      <c r="M49" s="4"/>
      <c r="N49" s="4"/>
      <c r="O49" s="4"/>
      <c r="P49" s="27"/>
      <c r="Q49" s="25">
        <v>1290</v>
      </c>
      <c r="R49" s="25">
        <v>0</v>
      </c>
      <c r="S49" s="12">
        <f t="shared" si="8"/>
        <v>0</v>
      </c>
      <c r="T49" s="5">
        <v>0.15</v>
      </c>
      <c r="U49" s="12">
        <f t="shared" si="9"/>
        <v>0</v>
      </c>
      <c r="V49" s="25" t="s">
        <v>8</v>
      </c>
      <c r="W49" s="11">
        <f>IFERROR(VLOOKUP(V49,Curr!$B$2:$C$13,2,FALSE),0)</f>
        <v>1</v>
      </c>
      <c r="X49" s="12">
        <f t="shared" si="10"/>
        <v>0</v>
      </c>
      <c r="Y49" s="26">
        <f>Q49/11</f>
        <v>117.27272727272727</v>
      </c>
      <c r="Z49" s="12">
        <f t="shared" si="4"/>
        <v>0</v>
      </c>
      <c r="AA49" s="4" t="s">
        <v>10</v>
      </c>
      <c r="AB49" s="11">
        <f>IFERROR(VLOOKUP(AA49,Curr!$B$2:$C$13,2,FALSE),0)</f>
        <v>11.2</v>
      </c>
      <c r="AC49" s="12">
        <f t="shared" si="5"/>
        <v>0</v>
      </c>
      <c r="AD49" s="12">
        <f t="shared" si="6"/>
        <v>0</v>
      </c>
      <c r="AE49" s="13">
        <f t="shared" si="7"/>
        <v>0</v>
      </c>
    </row>
    <row r="50" spans="2:36" x14ac:dyDescent="0.25">
      <c r="B50" s="4"/>
      <c r="C50" s="1" t="s">
        <v>78</v>
      </c>
      <c r="D50" s="1" t="s">
        <v>93</v>
      </c>
      <c r="E50" s="3"/>
      <c r="F50" s="3"/>
      <c r="G50" s="24"/>
      <c r="H50" s="24"/>
      <c r="J50" s="1" t="s">
        <v>265</v>
      </c>
      <c r="K50" s="4"/>
      <c r="L50" s="4"/>
      <c r="M50" s="4"/>
      <c r="N50" s="4"/>
      <c r="O50" s="4"/>
      <c r="P50" s="27"/>
      <c r="Q50" s="25">
        <v>1290</v>
      </c>
      <c r="R50" s="25">
        <v>0</v>
      </c>
      <c r="S50" s="12">
        <f t="shared" si="8"/>
        <v>0</v>
      </c>
      <c r="T50" s="5">
        <v>0.15</v>
      </c>
      <c r="U50" s="12">
        <f t="shared" si="9"/>
        <v>0</v>
      </c>
      <c r="V50" s="25" t="s">
        <v>8</v>
      </c>
      <c r="W50" s="11">
        <f>IFERROR(VLOOKUP(V50,Curr!$B$2:$C$13,2,FALSE),0)</f>
        <v>1</v>
      </c>
      <c r="X50" s="12">
        <f t="shared" si="10"/>
        <v>0</v>
      </c>
      <c r="Y50" s="26">
        <f>Q50/11</f>
        <v>117.27272727272727</v>
      </c>
      <c r="Z50" s="12">
        <f t="shared" si="4"/>
        <v>0</v>
      </c>
      <c r="AA50" s="4" t="s">
        <v>10</v>
      </c>
      <c r="AB50" s="11">
        <f>IFERROR(VLOOKUP(AA50,Curr!$B$2:$C$13,2,FALSE),0)</f>
        <v>11.2</v>
      </c>
      <c r="AC50" s="12">
        <f t="shared" si="5"/>
        <v>0</v>
      </c>
      <c r="AD50" s="12">
        <f t="shared" si="6"/>
        <v>0</v>
      </c>
      <c r="AE50" s="13">
        <f t="shared" si="7"/>
        <v>0</v>
      </c>
    </row>
    <row r="51" spans="2:36" x14ac:dyDescent="0.25">
      <c r="B51" s="4"/>
      <c r="C51" s="1" t="s">
        <v>115</v>
      </c>
      <c r="D51" s="1" t="s">
        <v>93</v>
      </c>
      <c r="E51" s="3"/>
      <c r="F51" s="3"/>
      <c r="G51" s="24"/>
      <c r="H51" s="24"/>
      <c r="J51" s="1" t="s">
        <v>196</v>
      </c>
      <c r="K51" s="4"/>
      <c r="L51" s="4"/>
      <c r="M51" s="4"/>
      <c r="N51" s="4"/>
      <c r="O51" s="4"/>
      <c r="P51" s="27"/>
      <c r="Q51" s="25">
        <v>1790</v>
      </c>
      <c r="R51" s="25">
        <v>0</v>
      </c>
      <c r="S51" s="12">
        <f t="shared" si="8"/>
        <v>0</v>
      </c>
      <c r="T51" s="5">
        <v>0</v>
      </c>
      <c r="U51" s="12">
        <f t="shared" si="9"/>
        <v>0</v>
      </c>
      <c r="V51" s="25" t="s">
        <v>8</v>
      </c>
      <c r="W51" s="11">
        <f>IFERROR(VLOOKUP(V51,Curr!$B$2:$C$13,2,FALSE),0)</f>
        <v>1</v>
      </c>
      <c r="X51" s="12">
        <f t="shared" si="10"/>
        <v>0</v>
      </c>
      <c r="Y51" s="26">
        <f>Q51/11.3/0.8</f>
        <v>198.0088495575221</v>
      </c>
      <c r="Z51" s="12">
        <f t="shared" si="4"/>
        <v>0</v>
      </c>
      <c r="AA51" s="4" t="s">
        <v>10</v>
      </c>
      <c r="AB51" s="11">
        <f>IFERROR(VLOOKUP(AA51,Curr!$B$2:$C$13,2,FALSE),0)</f>
        <v>11.2</v>
      </c>
      <c r="AC51" s="12">
        <f t="shared" si="5"/>
        <v>0</v>
      </c>
      <c r="AD51" s="12">
        <f t="shared" si="6"/>
        <v>0</v>
      </c>
      <c r="AE51" s="13">
        <f t="shared" si="7"/>
        <v>0</v>
      </c>
    </row>
    <row r="52" spans="2:36" x14ac:dyDescent="0.25">
      <c r="B52" s="4"/>
      <c r="E52" s="3"/>
      <c r="F52" s="3"/>
      <c r="G52" s="24"/>
      <c r="H52" s="24"/>
      <c r="K52" s="4"/>
      <c r="L52" s="4"/>
      <c r="M52" s="4"/>
      <c r="N52" s="4"/>
      <c r="O52" s="4"/>
      <c r="P52" s="27"/>
      <c r="Q52" s="25"/>
      <c r="R52" s="25"/>
      <c r="S52" s="12">
        <f t="shared" si="8"/>
        <v>0</v>
      </c>
      <c r="T52" s="5">
        <v>0</v>
      </c>
      <c r="U52" s="12">
        <f t="shared" si="9"/>
        <v>0</v>
      </c>
      <c r="V52" s="25" t="s">
        <v>10</v>
      </c>
      <c r="W52" s="11">
        <f>IFERROR(VLOOKUP(V52,Curr!$B$2:$C$13,2,FALSE),0)</f>
        <v>11.2</v>
      </c>
      <c r="X52" s="12">
        <f t="shared" si="10"/>
        <v>0</v>
      </c>
      <c r="Y52" s="26">
        <f t="shared" si="11"/>
        <v>0</v>
      </c>
      <c r="Z52" s="12">
        <f t="shared" si="4"/>
        <v>0</v>
      </c>
      <c r="AA52" s="4" t="s">
        <v>10</v>
      </c>
      <c r="AB52" s="11">
        <f>IFERROR(VLOOKUP(AA52,Curr!$B$2:$C$13,2,FALSE),0)</f>
        <v>11.2</v>
      </c>
      <c r="AC52" s="12">
        <f t="shared" si="5"/>
        <v>0</v>
      </c>
      <c r="AD52" s="12">
        <f t="shared" si="6"/>
        <v>0</v>
      </c>
      <c r="AE52" s="13">
        <f t="shared" si="7"/>
        <v>0</v>
      </c>
    </row>
    <row r="53" spans="2:36" x14ac:dyDescent="0.25">
      <c r="B53" s="4"/>
      <c r="E53" s="3"/>
      <c r="F53" s="3"/>
      <c r="G53" s="24"/>
      <c r="H53" s="24"/>
      <c r="K53" s="4"/>
      <c r="L53" s="4"/>
      <c r="M53" s="4"/>
      <c r="N53" s="4"/>
      <c r="O53" s="4"/>
      <c r="P53" s="27"/>
      <c r="Q53" s="25"/>
      <c r="R53" s="25"/>
      <c r="S53" s="12">
        <f t="shared" si="8"/>
        <v>0</v>
      </c>
      <c r="T53" s="5">
        <v>0</v>
      </c>
      <c r="U53" s="12">
        <f t="shared" si="9"/>
        <v>0</v>
      </c>
      <c r="V53" s="25" t="s">
        <v>10</v>
      </c>
      <c r="W53" s="11">
        <f>IFERROR(VLOOKUP(V53,Curr!$B$2:$C$13,2,FALSE),0)</f>
        <v>11.2</v>
      </c>
      <c r="X53" s="12">
        <f t="shared" si="10"/>
        <v>0</v>
      </c>
      <c r="Y53" s="26">
        <f t="shared" si="11"/>
        <v>0</v>
      </c>
      <c r="Z53" s="12">
        <f t="shared" si="4"/>
        <v>0</v>
      </c>
      <c r="AA53" s="4" t="s">
        <v>10</v>
      </c>
      <c r="AB53" s="11">
        <f>IFERROR(VLOOKUP(AA53,Curr!$B$2:$C$13,2,FALSE),0)</f>
        <v>11.2</v>
      </c>
      <c r="AC53" s="12">
        <f t="shared" si="5"/>
        <v>0</v>
      </c>
      <c r="AD53" s="12">
        <f t="shared" si="6"/>
        <v>0</v>
      </c>
      <c r="AE53" s="13">
        <f t="shared" si="7"/>
        <v>0</v>
      </c>
    </row>
    <row r="54" spans="2:36" x14ac:dyDescent="0.25">
      <c r="B54" s="4"/>
      <c r="C54" s="1" t="s">
        <v>63</v>
      </c>
      <c r="D54" s="1" t="s">
        <v>94</v>
      </c>
      <c r="E54" s="3"/>
      <c r="F54" s="3"/>
      <c r="G54" s="24"/>
      <c r="H54" s="24"/>
      <c r="J54" s="1" t="s">
        <v>105</v>
      </c>
      <c r="K54" s="4"/>
      <c r="L54" s="4"/>
      <c r="M54" s="4"/>
      <c r="N54" s="4"/>
      <c r="O54" s="4"/>
      <c r="P54" s="33"/>
      <c r="Q54" s="25">
        <v>450</v>
      </c>
      <c r="R54" s="25">
        <v>0</v>
      </c>
      <c r="S54" s="12">
        <f t="shared" si="8"/>
        <v>0</v>
      </c>
      <c r="T54" s="5">
        <v>0</v>
      </c>
      <c r="U54" s="12">
        <f t="shared" si="9"/>
        <v>0</v>
      </c>
      <c r="V54" s="25" t="s">
        <v>8</v>
      </c>
      <c r="W54" s="11">
        <f>IFERROR(VLOOKUP(V54,Curr!$B$2:$C$13,2,FALSE),0)</f>
        <v>1</v>
      </c>
      <c r="X54" s="12">
        <f t="shared" si="10"/>
        <v>0</v>
      </c>
      <c r="Y54" s="26">
        <f>Q54/11.3/0.8</f>
        <v>49.778761061946895</v>
      </c>
      <c r="Z54" s="12">
        <f t="shared" si="4"/>
        <v>0</v>
      </c>
      <c r="AA54" s="4" t="s">
        <v>10</v>
      </c>
      <c r="AB54" s="11">
        <f>IFERROR(VLOOKUP(AA54,Curr!$B$2:$C$13,2,FALSE),0)</f>
        <v>11.2</v>
      </c>
      <c r="AC54" s="12">
        <f t="shared" si="5"/>
        <v>0</v>
      </c>
      <c r="AD54" s="12">
        <f t="shared" si="6"/>
        <v>0</v>
      </c>
      <c r="AE54" s="13">
        <f t="shared" si="7"/>
        <v>0</v>
      </c>
    </row>
    <row r="55" spans="2:36" x14ac:dyDescent="0.25">
      <c r="B55" s="4"/>
      <c r="C55" s="1" t="s">
        <v>69</v>
      </c>
      <c r="D55" s="1" t="s">
        <v>94</v>
      </c>
      <c r="E55" s="3"/>
      <c r="F55" s="3"/>
      <c r="G55" s="24"/>
      <c r="H55" s="24"/>
      <c r="J55" s="1" t="s">
        <v>106</v>
      </c>
      <c r="K55" s="4"/>
      <c r="L55" s="4"/>
      <c r="M55" s="4"/>
      <c r="N55" s="4"/>
      <c r="O55" s="4" t="s">
        <v>42</v>
      </c>
      <c r="P55" s="33" t="s">
        <v>107</v>
      </c>
      <c r="Q55" s="25">
        <v>71</v>
      </c>
      <c r="R55" s="25">
        <v>0</v>
      </c>
      <c r="S55" s="12">
        <f t="shared" si="8"/>
        <v>0</v>
      </c>
      <c r="T55" s="5">
        <v>0.2</v>
      </c>
      <c r="U55" s="12">
        <f t="shared" si="9"/>
        <v>0</v>
      </c>
      <c r="V55" s="25" t="s">
        <v>10</v>
      </c>
      <c r="W55" s="11">
        <f>IFERROR(VLOOKUP(V55,Curr!$B$2:$C$13,2,FALSE),0)</f>
        <v>11.2</v>
      </c>
      <c r="X55" s="12">
        <f t="shared" si="10"/>
        <v>0</v>
      </c>
      <c r="Y55" s="26">
        <f t="shared" ref="Y55" si="15">Q55</f>
        <v>71</v>
      </c>
      <c r="Z55" s="12">
        <f t="shared" si="4"/>
        <v>0</v>
      </c>
      <c r="AA55" s="4" t="s">
        <v>10</v>
      </c>
      <c r="AB55" s="11">
        <f>IFERROR(VLOOKUP(AA55,Curr!$B$2:$C$13,2,FALSE),0)</f>
        <v>11.2</v>
      </c>
      <c r="AC55" s="12">
        <f t="shared" si="5"/>
        <v>0</v>
      </c>
      <c r="AD55" s="12">
        <f t="shared" si="6"/>
        <v>0</v>
      </c>
      <c r="AE55" s="13">
        <f t="shared" si="7"/>
        <v>0</v>
      </c>
    </row>
    <row r="56" spans="2:36" x14ac:dyDescent="0.25">
      <c r="B56" s="4"/>
      <c r="E56" s="3"/>
      <c r="F56" s="3"/>
      <c r="G56" s="24"/>
      <c r="H56" s="24"/>
      <c r="K56" s="4"/>
      <c r="L56" s="4"/>
      <c r="M56" s="4"/>
      <c r="N56" s="4"/>
      <c r="O56" s="4"/>
      <c r="P56" s="27"/>
      <c r="Q56" s="25"/>
      <c r="R56" s="25"/>
      <c r="S56" s="12">
        <f t="shared" si="8"/>
        <v>0</v>
      </c>
      <c r="T56" s="5">
        <v>0</v>
      </c>
      <c r="U56" s="12">
        <f t="shared" si="9"/>
        <v>0</v>
      </c>
      <c r="V56" s="25" t="s">
        <v>10</v>
      </c>
      <c r="W56" s="11">
        <f>IFERROR(VLOOKUP(V56,Curr!$B$2:$C$13,2,FALSE),0)</f>
        <v>11.2</v>
      </c>
      <c r="X56" s="12">
        <f t="shared" si="10"/>
        <v>0</v>
      </c>
      <c r="Y56" s="26">
        <f t="shared" si="11"/>
        <v>0</v>
      </c>
      <c r="Z56" s="12">
        <f t="shared" si="4"/>
        <v>0</v>
      </c>
      <c r="AA56" s="4" t="s">
        <v>10</v>
      </c>
      <c r="AB56" s="11">
        <f>IFERROR(VLOOKUP(AA56,Curr!$B$2:$C$13,2,FALSE),0)</f>
        <v>11.2</v>
      </c>
      <c r="AC56" s="12">
        <f t="shared" si="5"/>
        <v>0</v>
      </c>
      <c r="AD56" s="12">
        <f t="shared" si="6"/>
        <v>0</v>
      </c>
      <c r="AE56" s="13">
        <f t="shared" si="7"/>
        <v>0</v>
      </c>
    </row>
    <row r="57" spans="2:36" x14ac:dyDescent="0.25">
      <c r="B57" s="4"/>
      <c r="E57" s="3"/>
      <c r="F57" s="3"/>
      <c r="G57" s="24"/>
      <c r="H57" s="24"/>
      <c r="K57" s="4"/>
      <c r="L57" s="4"/>
      <c r="M57" s="4"/>
      <c r="N57" s="4"/>
      <c r="O57" s="4"/>
      <c r="P57" s="27"/>
      <c r="Q57" s="25"/>
      <c r="R57" s="25"/>
      <c r="S57" s="12">
        <f t="shared" si="8"/>
        <v>0</v>
      </c>
      <c r="T57" s="5">
        <v>0</v>
      </c>
      <c r="U57" s="12">
        <f t="shared" si="9"/>
        <v>0</v>
      </c>
      <c r="V57" s="25" t="s">
        <v>10</v>
      </c>
      <c r="W57" s="11">
        <f>IFERROR(VLOOKUP(V57,Curr!$B$2:$C$13,2,FALSE),0)</f>
        <v>11.2</v>
      </c>
      <c r="X57" s="12">
        <f t="shared" si="10"/>
        <v>0</v>
      </c>
      <c r="Y57" s="26">
        <f t="shared" si="11"/>
        <v>0</v>
      </c>
      <c r="Z57" s="12">
        <f t="shared" si="4"/>
        <v>0</v>
      </c>
      <c r="AA57" s="4" t="s">
        <v>10</v>
      </c>
      <c r="AB57" s="11">
        <f>IFERROR(VLOOKUP(AA57,Curr!$B$2:$C$13,2,FALSE),0)</f>
        <v>11.2</v>
      </c>
      <c r="AC57" s="12">
        <f t="shared" si="5"/>
        <v>0</v>
      </c>
      <c r="AD57" s="12">
        <f t="shared" si="6"/>
        <v>0</v>
      </c>
      <c r="AE57" s="13">
        <f t="shared" si="7"/>
        <v>0</v>
      </c>
    </row>
    <row r="58" spans="2:36" x14ac:dyDescent="0.25">
      <c r="B58" s="4"/>
      <c r="E58" s="3"/>
      <c r="F58" s="3"/>
      <c r="G58" s="24"/>
      <c r="H58" s="24"/>
      <c r="K58" s="4"/>
      <c r="L58" s="4"/>
      <c r="M58" s="4"/>
      <c r="N58" s="4"/>
      <c r="O58" s="4"/>
      <c r="P58" s="27"/>
      <c r="Q58" s="25"/>
      <c r="R58" s="25"/>
      <c r="S58" s="12">
        <f t="shared" si="8"/>
        <v>0</v>
      </c>
      <c r="T58" s="5">
        <v>0</v>
      </c>
      <c r="U58" s="12">
        <f t="shared" si="9"/>
        <v>0</v>
      </c>
      <c r="V58" s="25" t="s">
        <v>10</v>
      </c>
      <c r="W58" s="11">
        <f>IFERROR(VLOOKUP(V58,Curr!$B$2:$C$13,2,FALSE),0)</f>
        <v>11.2</v>
      </c>
      <c r="X58" s="12">
        <f t="shared" si="10"/>
        <v>0</v>
      </c>
      <c r="Y58" s="26">
        <f t="shared" si="11"/>
        <v>0</v>
      </c>
      <c r="Z58" s="12">
        <f t="shared" si="4"/>
        <v>0</v>
      </c>
      <c r="AA58" s="4" t="s">
        <v>10</v>
      </c>
      <c r="AB58" s="11">
        <f>IFERROR(VLOOKUP(AA58,Curr!$B$2:$C$13,2,FALSE),0)</f>
        <v>11.2</v>
      </c>
      <c r="AC58" s="12">
        <f t="shared" si="5"/>
        <v>0</v>
      </c>
      <c r="AD58" s="12">
        <f t="shared" si="6"/>
        <v>0</v>
      </c>
      <c r="AE58" s="13">
        <f t="shared" si="7"/>
        <v>0</v>
      </c>
    </row>
    <row r="59" spans="2:36" x14ac:dyDescent="0.25">
      <c r="B59" s="4"/>
      <c r="E59" s="3"/>
      <c r="F59" s="3"/>
      <c r="G59" s="24"/>
      <c r="H59" s="24"/>
      <c r="K59" s="4"/>
      <c r="L59" s="4"/>
      <c r="M59" s="4"/>
      <c r="N59" s="4"/>
      <c r="O59" s="4"/>
      <c r="P59" s="27"/>
      <c r="Q59" s="25"/>
      <c r="R59" s="25"/>
      <c r="S59" s="12">
        <f t="shared" si="8"/>
        <v>0</v>
      </c>
      <c r="T59" s="5">
        <v>0</v>
      </c>
      <c r="U59" s="12">
        <f t="shared" si="9"/>
        <v>0</v>
      </c>
      <c r="V59" s="25" t="s">
        <v>10</v>
      </c>
      <c r="W59" s="11">
        <f>IFERROR(VLOOKUP(V59,Curr!$B$2:$C$13,2,FALSE),0)</f>
        <v>11.2</v>
      </c>
      <c r="X59" s="12">
        <f t="shared" si="10"/>
        <v>0</v>
      </c>
      <c r="Y59" s="26">
        <f t="shared" si="11"/>
        <v>0</v>
      </c>
      <c r="Z59" s="12">
        <f t="shared" si="4"/>
        <v>0</v>
      </c>
      <c r="AA59" s="4" t="s">
        <v>10</v>
      </c>
      <c r="AB59" s="11">
        <f>IFERROR(VLOOKUP(AA59,Curr!$B$2:$C$13,2,FALSE),0)</f>
        <v>11.2</v>
      </c>
      <c r="AC59" s="12">
        <f t="shared" si="5"/>
        <v>0</v>
      </c>
      <c r="AD59" s="12">
        <f t="shared" si="6"/>
        <v>0</v>
      </c>
      <c r="AE59" s="13">
        <f t="shared" si="7"/>
        <v>0</v>
      </c>
    </row>
    <row r="60" spans="2:36" x14ac:dyDescent="0.25">
      <c r="B60" s="4"/>
      <c r="E60" s="3"/>
      <c r="F60" s="3"/>
      <c r="G60" s="24"/>
      <c r="H60" s="24"/>
      <c r="K60" s="4"/>
      <c r="L60" s="4"/>
      <c r="M60" s="4"/>
      <c r="N60" s="4"/>
      <c r="O60" s="4"/>
      <c r="P60" s="27"/>
      <c r="Q60" s="25"/>
      <c r="R60" s="25"/>
      <c r="S60" s="12">
        <f t="shared" si="8"/>
        <v>0</v>
      </c>
      <c r="T60" s="5">
        <v>0</v>
      </c>
      <c r="U60" s="12">
        <f t="shared" si="9"/>
        <v>0</v>
      </c>
      <c r="V60" s="25" t="s">
        <v>10</v>
      </c>
      <c r="W60" s="11">
        <f>IFERROR(VLOOKUP(V60,Curr!$B$2:$C$13,2,FALSE),0)</f>
        <v>11.2</v>
      </c>
      <c r="X60" s="12">
        <f t="shared" si="10"/>
        <v>0</v>
      </c>
      <c r="Y60" s="26">
        <f t="shared" si="11"/>
        <v>0</v>
      </c>
      <c r="Z60" s="12">
        <f t="shared" si="4"/>
        <v>0</v>
      </c>
      <c r="AA60" s="4" t="s">
        <v>10</v>
      </c>
      <c r="AB60" s="11">
        <f>IFERROR(VLOOKUP(AA60,Curr!$B$2:$C$13,2,FALSE),0)</f>
        <v>11.2</v>
      </c>
      <c r="AC60" s="12">
        <f t="shared" si="5"/>
        <v>0</v>
      </c>
      <c r="AD60" s="12">
        <f t="shared" si="6"/>
        <v>0</v>
      </c>
      <c r="AE60" s="13">
        <f t="shared" si="7"/>
        <v>0</v>
      </c>
    </row>
    <row r="61" spans="2:36" x14ac:dyDescent="0.25">
      <c r="B61" s="4"/>
      <c r="E61" s="3"/>
      <c r="F61" s="3"/>
      <c r="G61" s="24"/>
      <c r="H61" s="24"/>
      <c r="K61" s="4"/>
      <c r="L61" s="4"/>
      <c r="M61" s="4"/>
      <c r="N61" s="4"/>
      <c r="O61" s="4"/>
      <c r="P61" s="27"/>
      <c r="Q61" s="25"/>
      <c r="R61" s="25"/>
      <c r="S61" s="12">
        <f t="shared" si="8"/>
        <v>0</v>
      </c>
      <c r="T61" s="5">
        <v>0</v>
      </c>
      <c r="U61" s="12">
        <f t="shared" si="9"/>
        <v>0</v>
      </c>
      <c r="V61" s="25" t="s">
        <v>10</v>
      </c>
      <c r="W61" s="11">
        <f>IFERROR(VLOOKUP(V61,Curr!$B$2:$C$13,2,FALSE),0)</f>
        <v>11.2</v>
      </c>
      <c r="X61" s="12">
        <f t="shared" si="10"/>
        <v>0</v>
      </c>
      <c r="Y61" s="26">
        <f t="shared" si="11"/>
        <v>0</v>
      </c>
      <c r="Z61" s="12">
        <f t="shared" si="4"/>
        <v>0</v>
      </c>
      <c r="AA61" s="4" t="s">
        <v>10</v>
      </c>
      <c r="AB61" s="11">
        <f>IFERROR(VLOOKUP(AA61,Curr!$B$2:$C$13,2,FALSE),0)</f>
        <v>11.2</v>
      </c>
      <c r="AC61" s="12">
        <f t="shared" si="5"/>
        <v>0</v>
      </c>
      <c r="AD61" s="12">
        <f t="shared" si="6"/>
        <v>0</v>
      </c>
      <c r="AE61" s="13">
        <f t="shared" si="7"/>
        <v>0</v>
      </c>
    </row>
    <row r="62" spans="2:36" x14ac:dyDescent="0.25">
      <c r="B62" s="4"/>
      <c r="E62" s="3"/>
      <c r="F62" s="3"/>
      <c r="G62" s="3"/>
      <c r="H62" s="3"/>
      <c r="L62" s="4"/>
      <c r="M62" s="4"/>
      <c r="N62" s="4"/>
      <c r="O62" s="4"/>
      <c r="P62" s="22"/>
      <c r="Q62" s="4"/>
      <c r="R62" s="4"/>
      <c r="S62" s="4"/>
      <c r="T62" s="4"/>
      <c r="U62" s="4"/>
      <c r="V62" s="4"/>
      <c r="W62" s="4"/>
      <c r="X62" s="4"/>
      <c r="Y62" s="4"/>
      <c r="Z62" s="4"/>
      <c r="AA62" s="4"/>
      <c r="AB62" s="4"/>
      <c r="AC62" s="4"/>
      <c r="AD62" s="4"/>
      <c r="AE62" s="4"/>
      <c r="AF62" s="4"/>
    </row>
    <row r="63" spans="2:36" x14ac:dyDescent="0.25">
      <c r="B63" s="14" t="s">
        <v>18</v>
      </c>
      <c r="C63" s="14"/>
      <c r="D63" s="28" t="s">
        <v>42</v>
      </c>
      <c r="E63" s="30" t="s">
        <v>42</v>
      </c>
      <c r="F63" s="30" t="s">
        <v>42</v>
      </c>
      <c r="G63" s="30" t="s">
        <v>42</v>
      </c>
      <c r="H63" s="30" t="s">
        <v>42</v>
      </c>
      <c r="I63" s="28" t="s">
        <v>42</v>
      </c>
      <c r="J63" s="28" t="s">
        <v>42</v>
      </c>
      <c r="K63" s="28" t="s">
        <v>42</v>
      </c>
      <c r="L63" s="28" t="s">
        <v>42</v>
      </c>
      <c r="M63" s="28" t="s">
        <v>42</v>
      </c>
      <c r="N63" s="28" t="s">
        <v>42</v>
      </c>
      <c r="O63" s="28" t="s">
        <v>42</v>
      </c>
      <c r="P63" s="28" t="s">
        <v>42</v>
      </c>
      <c r="Q63" s="31" t="s">
        <v>42</v>
      </c>
      <c r="R63" s="28" t="s">
        <v>42</v>
      </c>
      <c r="S63" s="32" t="s">
        <v>42</v>
      </c>
      <c r="T63" s="28" t="s">
        <v>42</v>
      </c>
      <c r="U63" s="32" t="s">
        <v>42</v>
      </c>
      <c r="V63" s="28" t="s">
        <v>42</v>
      </c>
      <c r="W63" s="28" t="s">
        <v>42</v>
      </c>
      <c r="X63" s="32" t="s">
        <v>42</v>
      </c>
      <c r="Y63" s="32" t="s">
        <v>42</v>
      </c>
      <c r="Z63" s="15">
        <f>SUM(Z7:Z61)</f>
        <v>3336.9834208824318</v>
      </c>
      <c r="AA63" s="14"/>
      <c r="AB63" s="14"/>
      <c r="AC63" s="15">
        <f>SUM(AC7:AC61)</f>
        <v>37374.214313883225</v>
      </c>
      <c r="AD63" s="15">
        <f>SUM(AD7:AD61)</f>
        <v>7268.2143138832307</v>
      </c>
      <c r="AE63" s="21">
        <f t="shared" ref="AE63" si="16">IFERROR(AD63/AC63,0)</f>
        <v>0.19447136073127672</v>
      </c>
      <c r="AF63" s="15">
        <f>SUM(AF8:AF62)</f>
        <v>0</v>
      </c>
      <c r="AG63" s="15">
        <f>SUM(AG8:AG62)</f>
        <v>0</v>
      </c>
      <c r="AH63" s="15">
        <f>SUM(AH8:AH62)</f>
        <v>0</v>
      </c>
      <c r="AI63" s="15">
        <f>SUM(AI8:AI62)</f>
        <v>0</v>
      </c>
      <c r="AJ63" s="15">
        <f>SUM(AJ8:AJ62)</f>
        <v>0</v>
      </c>
    </row>
    <row r="64" spans="2:36" x14ac:dyDescent="0.25">
      <c r="B64" s="4"/>
      <c r="E64" s="3"/>
      <c r="F64" s="3"/>
      <c r="G64" s="3"/>
      <c r="H64" s="3"/>
      <c r="L64" s="4"/>
      <c r="M64" s="4"/>
      <c r="N64" s="4"/>
      <c r="O64" s="4"/>
      <c r="Q64" s="4"/>
      <c r="R64" s="4"/>
      <c r="S64" s="4"/>
      <c r="T64" s="4"/>
      <c r="U64" s="4"/>
      <c r="V64" s="4"/>
      <c r="W64" s="4"/>
      <c r="X64" s="4"/>
      <c r="Y64" s="9"/>
      <c r="Z64" s="9"/>
      <c r="AA64" s="9"/>
      <c r="AB64" s="9"/>
      <c r="AC64" s="9"/>
      <c r="AD64" s="9"/>
      <c r="AE64" s="9"/>
    </row>
    <row r="65" spans="2:32" x14ac:dyDescent="0.25">
      <c r="B65" s="4"/>
      <c r="E65" s="3"/>
      <c r="F65" s="3"/>
      <c r="G65" s="3"/>
      <c r="H65" s="3"/>
      <c r="L65" s="4"/>
      <c r="M65" s="4"/>
      <c r="N65" s="4"/>
      <c r="O65" s="4"/>
      <c r="Q65" s="9"/>
      <c r="R65" s="9"/>
      <c r="S65" s="9"/>
      <c r="T65" s="9"/>
      <c r="U65" s="9"/>
      <c r="V65" s="9"/>
      <c r="W65" s="9"/>
      <c r="X65" s="23"/>
      <c r="Y65" s="34" t="s">
        <v>102</v>
      </c>
      <c r="Z65" s="34"/>
      <c r="AA65" s="9"/>
      <c r="AB65" s="9"/>
      <c r="AC65" s="9"/>
      <c r="AD65" s="9"/>
      <c r="AE65" s="9"/>
    </row>
    <row r="66" spans="2:32" x14ac:dyDescent="0.25">
      <c r="B66" s="4"/>
      <c r="E66" s="3"/>
      <c r="F66" s="3"/>
      <c r="G66" s="3"/>
      <c r="H66" s="3"/>
      <c r="L66" s="4"/>
      <c r="M66" s="4"/>
      <c r="N66" s="4"/>
      <c r="O66" s="4"/>
      <c r="Q66" s="9"/>
      <c r="R66" s="9"/>
      <c r="S66" s="9"/>
      <c r="T66" s="9"/>
      <c r="U66" s="9"/>
      <c r="V66" s="9"/>
      <c r="W66" s="9"/>
      <c r="X66" s="9"/>
      <c r="Y66" s="35" t="s">
        <v>103</v>
      </c>
      <c r="Z66" s="34"/>
      <c r="AA66" s="9"/>
      <c r="AB66" s="9"/>
      <c r="AC66" s="9"/>
      <c r="AD66" s="9"/>
      <c r="AE66" s="9"/>
      <c r="AF66" s="18"/>
    </row>
    <row r="67" spans="2:32" x14ac:dyDescent="0.25">
      <c r="B67" s="4"/>
      <c r="E67" s="3"/>
      <c r="F67" s="3"/>
      <c r="G67" s="3"/>
      <c r="H67" s="3"/>
      <c r="I67" s="19"/>
      <c r="L67" s="4"/>
      <c r="M67" s="4"/>
      <c r="N67" s="4"/>
      <c r="O67" s="20"/>
      <c r="Q67" s="20"/>
      <c r="R67" s="20"/>
      <c r="S67" s="20"/>
      <c r="T67" s="20"/>
      <c r="U67" s="20"/>
      <c r="V67" s="20"/>
      <c r="W67" s="20"/>
      <c r="X67" s="20"/>
      <c r="Y67" s="34" t="s">
        <v>104</v>
      </c>
      <c r="Z67" s="34">
        <v>3380</v>
      </c>
      <c r="AA67" s="9"/>
      <c r="AB67" s="9"/>
      <c r="AC67" s="9"/>
      <c r="AD67" s="9"/>
      <c r="AE67" s="9"/>
      <c r="AF67" s="18"/>
    </row>
    <row r="68" spans="2:32" x14ac:dyDescent="0.25">
      <c r="B68" s="4"/>
      <c r="E68" s="3"/>
      <c r="F68" s="3"/>
      <c r="G68" s="3"/>
      <c r="H68" s="3"/>
      <c r="L68" s="4"/>
      <c r="M68" s="4"/>
      <c r="N68" s="4"/>
      <c r="O68" s="20"/>
      <c r="Q68" s="20"/>
      <c r="R68" s="20"/>
      <c r="S68" s="20"/>
      <c r="T68" s="20"/>
      <c r="U68" s="20"/>
      <c r="V68" s="20"/>
      <c r="W68" s="20"/>
      <c r="X68" s="20"/>
      <c r="Y68" s="34" t="s">
        <v>43</v>
      </c>
      <c r="Z68" s="34">
        <f>Z67/2</f>
        <v>1690</v>
      </c>
      <c r="AA68" s="9"/>
      <c r="AB68" s="9"/>
      <c r="AC68" s="9"/>
      <c r="AD68" s="9"/>
      <c r="AE68" s="9"/>
      <c r="AF68" s="18"/>
    </row>
    <row r="69" spans="2:32" x14ac:dyDescent="0.25">
      <c r="B69" s="4"/>
      <c r="E69" s="3"/>
      <c r="F69" s="3"/>
      <c r="G69" s="3"/>
      <c r="H69" s="3"/>
      <c r="L69" s="4"/>
      <c r="M69" s="4"/>
      <c r="N69" s="4"/>
      <c r="O69" s="4"/>
      <c r="Q69" s="9"/>
      <c r="R69" s="9"/>
      <c r="S69" s="9"/>
      <c r="T69" s="9"/>
      <c r="U69" s="9"/>
      <c r="V69" s="9"/>
      <c r="W69" s="9"/>
      <c r="X69" s="9"/>
      <c r="Y69" s="1"/>
      <c r="Z69" s="1"/>
      <c r="AA69" s="9"/>
      <c r="AB69" s="9"/>
      <c r="AC69" s="9"/>
      <c r="AD69" s="9"/>
      <c r="AE69" s="9"/>
      <c r="AF69" s="18"/>
    </row>
    <row r="70" spans="2:32" x14ac:dyDescent="0.25">
      <c r="F70" s="1"/>
      <c r="G70" s="1"/>
      <c r="H70" s="1"/>
      <c r="J70" s="1" t="s">
        <v>32</v>
      </c>
      <c r="Q70" s="9"/>
      <c r="R70" s="4"/>
      <c r="S70" s="9"/>
      <c r="T70" s="5"/>
      <c r="U70" s="9"/>
      <c r="V70" s="4"/>
      <c r="W70" s="4"/>
      <c r="X70" s="9"/>
      <c r="Y70" s="9"/>
      <c r="Z70" s="9"/>
      <c r="AA70" s="9"/>
      <c r="AB70" s="9"/>
      <c r="AC70" s="9"/>
      <c r="AD70" s="9"/>
      <c r="AE70" s="9"/>
    </row>
    <row r="71" spans="2:32" x14ac:dyDescent="0.25">
      <c r="R71" s="4"/>
      <c r="S71" s="17"/>
      <c r="T71" s="17"/>
      <c r="U71" s="9"/>
      <c r="V71" s="4"/>
      <c r="W71" s="4"/>
      <c r="X71" s="9"/>
      <c r="Y71" s="9"/>
      <c r="Z71" s="9" t="s">
        <v>307</v>
      </c>
      <c r="AA71" s="9"/>
      <c r="AB71" s="9"/>
      <c r="AC71" s="9"/>
      <c r="AD71" s="9"/>
      <c r="AE71" s="9"/>
    </row>
    <row r="72" spans="2:32" x14ac:dyDescent="0.25">
      <c r="Q72" s="9"/>
      <c r="R72" s="4"/>
      <c r="S72" s="16"/>
      <c r="T72" s="16"/>
      <c r="U72" s="9"/>
      <c r="V72" s="4"/>
      <c r="W72" s="4"/>
      <c r="X72" s="9"/>
      <c r="Y72" s="37" t="s">
        <v>325</v>
      </c>
      <c r="Z72" s="9">
        <f>Z67</f>
        <v>3380</v>
      </c>
      <c r="AA72" s="9"/>
      <c r="AB72" s="9"/>
      <c r="AC72" s="9"/>
      <c r="AD72" s="9"/>
      <c r="AE72" s="9"/>
    </row>
    <row r="73" spans="2:32" x14ac:dyDescent="0.25">
      <c r="R73" s="4"/>
      <c r="S73" s="16"/>
      <c r="T73" s="16"/>
      <c r="Y73" s="37" t="s">
        <v>326</v>
      </c>
      <c r="Z73" s="9">
        <f>Z72*1.1</f>
        <v>3718.0000000000005</v>
      </c>
      <c r="AA73" s="9"/>
      <c r="AB73" s="9"/>
      <c r="AC73" s="9"/>
      <c r="AD73" s="9"/>
      <c r="AE73" s="9"/>
    </row>
    <row r="74" spans="2:32" x14ac:dyDescent="0.25">
      <c r="T74" s="5"/>
      <c r="Y74" s="37" t="s">
        <v>327</v>
      </c>
      <c r="Z74" s="9">
        <f>Z72*1.2</f>
        <v>4056</v>
      </c>
      <c r="AA74" s="9"/>
      <c r="AB74" s="9"/>
      <c r="AC74" s="9"/>
      <c r="AD74" s="9"/>
      <c r="AE74" s="9"/>
    </row>
    <row r="75" spans="2:32" x14ac:dyDescent="0.25">
      <c r="T75" s="5"/>
      <c r="Y75" s="37" t="s">
        <v>328</v>
      </c>
      <c r="Z75" s="9">
        <f>Z72*0.8</f>
        <v>2704</v>
      </c>
      <c r="AA75" s="9"/>
      <c r="AB75" s="9"/>
      <c r="AC75" s="9"/>
      <c r="AD75" s="9"/>
      <c r="AE75" s="9"/>
    </row>
    <row r="76" spans="2:32" x14ac:dyDescent="0.25">
      <c r="T76" s="5"/>
      <c r="Y76" s="37" t="s">
        <v>330</v>
      </c>
      <c r="Z76" s="9" t="s">
        <v>329</v>
      </c>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c r="Y79" s="9"/>
      <c r="Z79" s="9"/>
      <c r="AA79" s="9"/>
      <c r="AB79" s="9"/>
      <c r="AC79" s="9"/>
      <c r="AD79" s="9"/>
      <c r="AE79" s="9"/>
    </row>
    <row r="80" spans="2:32" x14ac:dyDescent="0.25">
      <c r="T80" s="5"/>
      <c r="Y80" s="9"/>
      <c r="Z80" s="9"/>
      <c r="AA80" s="9"/>
      <c r="AB80" s="9"/>
      <c r="AC80" s="9"/>
      <c r="AD80" s="9"/>
      <c r="AE80" s="9"/>
    </row>
    <row r="81" spans="20:31" x14ac:dyDescent="0.25">
      <c r="T81" s="5"/>
      <c r="Y81" s="9"/>
      <c r="Z81" s="9"/>
      <c r="AA81" s="9"/>
      <c r="AB81" s="9"/>
      <c r="AC81" s="9"/>
      <c r="AD81" s="9"/>
      <c r="AE81" s="9"/>
    </row>
    <row r="82" spans="20:31" x14ac:dyDescent="0.25">
      <c r="T82" s="5"/>
    </row>
    <row r="83" spans="20:31" x14ac:dyDescent="0.25">
      <c r="T83" s="5"/>
    </row>
    <row r="84" spans="20:31" x14ac:dyDescent="0.25">
      <c r="T84" s="5"/>
    </row>
    <row r="85" spans="20:31" x14ac:dyDescent="0.25">
      <c r="T85" s="5"/>
    </row>
    <row r="86" spans="20:31" x14ac:dyDescent="0.25">
      <c r="T86" s="5"/>
    </row>
  </sheetData>
  <autoFilter ref="B6:AE63" xr:uid="{65FA6D9B-E0AF-46CD-BA0D-86BB75FE6AB0}"/>
  <hyperlinks>
    <hyperlink ref="P13" r:id="rId1" xr:uid="{482D7FCD-0D3E-40A3-9BD6-E0475423AB9B}"/>
    <hyperlink ref="P18" r:id="rId2" xr:uid="{D41A9489-55D2-4118-ABB2-D38C90F54061}"/>
    <hyperlink ref="P19" r:id="rId3" xr:uid="{CD3DC08E-5BC5-43B1-AC42-F23A0B6ABDA7}"/>
    <hyperlink ref="P24" r:id="rId4" xr:uid="{1722BC74-7D83-476C-9748-89047170A684}"/>
    <hyperlink ref="P33" r:id="rId5" xr:uid="{4E3343FA-9C13-444E-A6FE-B1734BA5B16F}"/>
    <hyperlink ref="P55" r:id="rId6" xr:uid="{5E7C9F2A-674B-4B0D-AA56-8BB15EA9261D}"/>
    <hyperlink ref="P29" r:id="rId7" xr:uid="{399395DC-4416-4AFD-91C5-8C9C1885D94D}"/>
  </hyperlinks>
  <pageMargins left="0.7" right="0.7" top="0.75" bottom="0.75" header="0.3" footer="0.3"/>
  <pageSetup paperSize="9" orientation="portrait" r:id="rId8"/>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B517-C72E-4B5E-86FC-44D706076921}">
  <sheetPr>
    <tabColor rgb="FFFFFF00"/>
  </sheetPr>
  <dimension ref="B1:AK74"/>
  <sheetViews>
    <sheetView topLeftCell="A8" zoomScale="85" zoomScaleNormal="85" workbookViewId="0">
      <selection activeCell="J11" sqref="J11"/>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162</v>
      </c>
    </row>
    <row r="2" spans="2:36" x14ac:dyDescent="0.25">
      <c r="B2" s="2" t="s">
        <v>272</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22" si="0">+Q7*R7</f>
        <v>0</v>
      </c>
      <c r="T7" s="5">
        <v>0</v>
      </c>
      <c r="U7" s="12">
        <f t="shared" ref="U7:U22" si="1">S7*(1-T7)</f>
        <v>0</v>
      </c>
      <c r="V7" s="25" t="s">
        <v>10</v>
      </c>
      <c r="W7" s="11">
        <f>IFERROR(VLOOKUP(V7,Curr!$B$2:$C$13,2,FALSE),0)</f>
        <v>11.2</v>
      </c>
      <c r="X7" s="12">
        <f t="shared" ref="X7:X22" si="2">U7*W7</f>
        <v>0</v>
      </c>
      <c r="Y7" s="26">
        <f t="shared" ref="Y7:Y22" si="3">Q7</f>
        <v>0</v>
      </c>
      <c r="Z7" s="12">
        <f t="shared" ref="Z7:Z49" si="4">+Y7*R7</f>
        <v>0</v>
      </c>
      <c r="AA7" s="4" t="s">
        <v>10</v>
      </c>
      <c r="AB7" s="11">
        <f>IFERROR(VLOOKUP(AA7,Curr!$B$2:$C$13,2,FALSE),0)</f>
        <v>11.2</v>
      </c>
      <c r="AC7" s="12">
        <f t="shared" ref="AC7:AC49" si="5">+Y7*AB7*R7</f>
        <v>0</v>
      </c>
      <c r="AD7" s="12">
        <f t="shared" ref="AD7:AD49" si="6">+AC7-X7</f>
        <v>0</v>
      </c>
      <c r="AE7" s="13">
        <f t="shared" ref="AE7:AE49"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231</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Q9/0.85</f>
        <v>176.47058823529412</v>
      </c>
      <c r="Z9" s="12">
        <f t="shared" si="4"/>
        <v>176.47058823529412</v>
      </c>
      <c r="AA9" s="4" t="s">
        <v>10</v>
      </c>
      <c r="AB9" s="11">
        <f>IFERROR(VLOOKUP(AA9,Curr!$B$2:$C$13,2,FALSE),0)</f>
        <v>11.2</v>
      </c>
      <c r="AC9" s="12">
        <f t="shared" si="5"/>
        <v>1976.4705882352939</v>
      </c>
      <c r="AD9" s="12">
        <f t="shared" si="6"/>
        <v>296.47058823529392</v>
      </c>
      <c r="AE9" s="13">
        <f t="shared" si="7"/>
        <v>0.14999999999999991</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27"/>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73</v>
      </c>
      <c r="E13" s="3"/>
      <c r="F13" s="3"/>
      <c r="G13" s="24"/>
      <c r="H13" s="24"/>
      <c r="J13" s="1" t="s">
        <v>101</v>
      </c>
      <c r="K13" s="4"/>
      <c r="L13" s="4"/>
      <c r="M13" s="4"/>
      <c r="N13" s="4"/>
      <c r="O13" s="4" t="s">
        <v>42</v>
      </c>
      <c r="P13" s="33" t="s">
        <v>100</v>
      </c>
      <c r="Q13" s="25">
        <v>3450</v>
      </c>
      <c r="R13" s="25">
        <v>2</v>
      </c>
      <c r="S13" s="12">
        <f t="shared" si="0"/>
        <v>6900</v>
      </c>
      <c r="T13" s="5">
        <v>0.08</v>
      </c>
      <c r="U13" s="12">
        <f t="shared" si="1"/>
        <v>6348</v>
      </c>
      <c r="V13" s="25" t="s">
        <v>8</v>
      </c>
      <c r="W13" s="11">
        <f>IFERROR(VLOOKUP(V13,Curr!$B$2:$C$13,2,FALSE),0)</f>
        <v>1</v>
      </c>
      <c r="X13" s="12">
        <f t="shared" si="2"/>
        <v>6348</v>
      </c>
      <c r="Y13" s="26">
        <f>Q13/11.3/0.9</f>
        <v>339.23303834808252</v>
      </c>
      <c r="Z13" s="12">
        <f t="shared" si="4"/>
        <v>678.46607669616503</v>
      </c>
      <c r="AA13" s="4" t="s">
        <v>10</v>
      </c>
      <c r="AB13" s="11">
        <f>IFERROR(VLOOKUP(AA13,Curr!$B$2:$C$13,2,FALSE),0)</f>
        <v>11.2</v>
      </c>
      <c r="AC13" s="12">
        <f t="shared" si="5"/>
        <v>7598.8200589970475</v>
      </c>
      <c r="AD13" s="12">
        <f t="shared" si="6"/>
        <v>1250.8200589970475</v>
      </c>
      <c r="AE13" s="13">
        <f t="shared" si="7"/>
        <v>0.16460714285714256</v>
      </c>
    </row>
    <row r="14" spans="2:36" x14ac:dyDescent="0.25">
      <c r="B14" s="4"/>
      <c r="C14" s="1" t="s">
        <v>63</v>
      </c>
      <c r="D14" s="1" t="s">
        <v>50</v>
      </c>
      <c r="E14" s="3"/>
      <c r="F14" s="3"/>
      <c r="G14" s="24"/>
      <c r="H14" s="24"/>
      <c r="J14" s="1" t="s">
        <v>67</v>
      </c>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ref="Y14:Y16" si="8">Q14</f>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71</v>
      </c>
      <c r="K15" s="4"/>
      <c r="L15" s="4"/>
      <c r="M15" s="4"/>
      <c r="N15" s="4"/>
      <c r="O15" s="4"/>
      <c r="P15" s="33"/>
      <c r="Q15" s="25">
        <v>400</v>
      </c>
      <c r="R15" s="25">
        <v>1</v>
      </c>
      <c r="S15" s="12">
        <f t="shared" si="0"/>
        <v>400</v>
      </c>
      <c r="T15" s="5">
        <v>0</v>
      </c>
      <c r="U15" s="12">
        <f t="shared" si="1"/>
        <v>400</v>
      </c>
      <c r="V15" s="25" t="s">
        <v>10</v>
      </c>
      <c r="W15" s="11">
        <f>IFERROR(VLOOKUP(V15,Curr!$B$2:$C$13,2,FALSE),0)</f>
        <v>11.2</v>
      </c>
      <c r="X15" s="12">
        <f t="shared" si="2"/>
        <v>4480</v>
      </c>
      <c r="Y15" s="26">
        <f>Q15/0.85</f>
        <v>470.58823529411768</v>
      </c>
      <c r="Z15" s="12">
        <f t="shared" si="4"/>
        <v>470.58823529411768</v>
      </c>
      <c r="AA15" s="4" t="s">
        <v>10</v>
      </c>
      <c r="AB15" s="11">
        <f>IFERROR(VLOOKUP(AA15,Curr!$B$2:$C$13,2,FALSE),0)</f>
        <v>11.2</v>
      </c>
      <c r="AC15" s="12">
        <f t="shared" si="5"/>
        <v>5270.588235294118</v>
      </c>
      <c r="AD15" s="12">
        <f t="shared" si="6"/>
        <v>790.58823529411802</v>
      </c>
      <c r="AE15" s="13">
        <f t="shared" si="7"/>
        <v>0.15000000000000005</v>
      </c>
    </row>
    <row r="16" spans="2:36" x14ac:dyDescent="0.25">
      <c r="B16" s="4"/>
      <c r="C16" s="1" t="s">
        <v>63</v>
      </c>
      <c r="D16" s="1" t="s">
        <v>53</v>
      </c>
      <c r="E16" s="3"/>
      <c r="F16" s="3"/>
      <c r="G16" s="24"/>
      <c r="H16" s="24"/>
      <c r="J16" s="1" t="s">
        <v>68</v>
      </c>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8"/>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0"/>
        <v>0</v>
      </c>
      <c r="T17" s="5">
        <v>0</v>
      </c>
      <c r="U17" s="12">
        <f t="shared" si="1"/>
        <v>0</v>
      </c>
      <c r="V17" s="25" t="s">
        <v>10</v>
      </c>
      <c r="W17" s="11">
        <f>IFERROR(VLOOKUP(V17,Curr!$B$2:$C$13,2,FALSE),0)</f>
        <v>11.2</v>
      </c>
      <c r="X17" s="12">
        <f t="shared" si="2"/>
        <v>0</v>
      </c>
      <c r="Y17" s="26">
        <f t="shared" si="3"/>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0"/>
        <v>580</v>
      </c>
      <c r="T18" s="5">
        <v>0.2</v>
      </c>
      <c r="U18" s="12">
        <f t="shared" si="1"/>
        <v>464</v>
      </c>
      <c r="V18" s="25" t="s">
        <v>8</v>
      </c>
      <c r="W18" s="11">
        <f>IFERROR(VLOOKUP(V18,Curr!$B$2:$C$13,2,FALSE),0)</f>
        <v>1</v>
      </c>
      <c r="X18" s="12">
        <f t="shared" si="2"/>
        <v>464</v>
      </c>
      <c r="Y18" s="26">
        <f>Q18/11.3/0.64</f>
        <v>40.099557522123888</v>
      </c>
      <c r="Z18" s="12">
        <f t="shared" si="4"/>
        <v>80.199115044247776</v>
      </c>
      <c r="AA18" s="4" t="s">
        <v>10</v>
      </c>
      <c r="AB18" s="11">
        <f>IFERROR(VLOOKUP(AA18,Curr!$B$2:$C$13,2,FALSE),0)</f>
        <v>11.2</v>
      </c>
      <c r="AC18" s="12">
        <f t="shared" si="5"/>
        <v>898.23008849557505</v>
      </c>
      <c r="AD18" s="12">
        <f t="shared" si="6"/>
        <v>434.23008849557505</v>
      </c>
      <c r="AE18" s="13">
        <f t="shared" si="7"/>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0"/>
        <v>350</v>
      </c>
      <c r="T19" s="5">
        <v>0</v>
      </c>
      <c r="U19" s="12">
        <f t="shared" si="1"/>
        <v>350</v>
      </c>
      <c r="V19" s="25" t="s">
        <v>8</v>
      </c>
      <c r="W19" s="11">
        <f>IFERROR(VLOOKUP(V19,Curr!$B$2:$C$13,2,FALSE),0)</f>
        <v>1</v>
      </c>
      <c r="X19" s="12">
        <f t="shared" si="2"/>
        <v>350</v>
      </c>
      <c r="Y19" s="26">
        <f>Q19/11.3/0.5</f>
        <v>30.973451327433626</v>
      </c>
      <c r="Z19" s="12">
        <f t="shared" si="4"/>
        <v>61.946902654867252</v>
      </c>
      <c r="AA19" s="4" t="s">
        <v>10</v>
      </c>
      <c r="AB19" s="11">
        <f>IFERROR(VLOOKUP(AA19,Curr!$B$2:$C$13,2,FALSE),0)</f>
        <v>11.2</v>
      </c>
      <c r="AC19" s="12">
        <f t="shared" si="5"/>
        <v>693.80530973451323</v>
      </c>
      <c r="AD19" s="12">
        <f t="shared" si="6"/>
        <v>343.80530973451323</v>
      </c>
      <c r="AE19" s="13">
        <f t="shared" si="7"/>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ref="Y20" si="9">Q20</f>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11.2</v>
      </c>
      <c r="X21" s="12">
        <f t="shared" si="2"/>
        <v>0</v>
      </c>
      <c r="Y21" s="26">
        <f t="shared" si="3"/>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50</v>
      </c>
      <c r="E22" s="3"/>
      <c r="F22" s="3"/>
      <c r="G22" s="24"/>
      <c r="H22" s="24"/>
      <c r="J22" s="1" t="s">
        <v>83</v>
      </c>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3"/>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79</v>
      </c>
      <c r="E23" s="3"/>
      <c r="F23" s="3"/>
      <c r="G23" s="24"/>
      <c r="H23" s="24"/>
      <c r="J23" s="1" t="s">
        <v>269</v>
      </c>
      <c r="K23" s="4"/>
      <c r="L23" s="4"/>
      <c r="M23" s="4"/>
      <c r="N23" s="4"/>
      <c r="O23" s="4"/>
      <c r="P23" s="29"/>
      <c r="Q23" s="25">
        <v>1600</v>
      </c>
      <c r="R23" s="25">
        <v>2</v>
      </c>
      <c r="S23" s="12">
        <f t="shared" ref="S23:S49" si="10">+Q23*R23</f>
        <v>3200</v>
      </c>
      <c r="T23" s="5">
        <v>0</v>
      </c>
      <c r="U23" s="12">
        <f t="shared" ref="U23:U49" si="11">S23*(1-T23)</f>
        <v>3200</v>
      </c>
      <c r="V23" s="25" t="s">
        <v>8</v>
      </c>
      <c r="W23" s="11">
        <f>IFERROR(VLOOKUP(V23,Curr!$B$2:$C$13,2,FALSE),0)</f>
        <v>1</v>
      </c>
      <c r="X23" s="12">
        <f t="shared" ref="X23:X49" si="12">U23*W23</f>
        <v>3200</v>
      </c>
      <c r="Y23" s="26">
        <f>Q23/11/0.8</f>
        <v>181.81818181818181</v>
      </c>
      <c r="Z23" s="12">
        <f t="shared" si="4"/>
        <v>363.63636363636363</v>
      </c>
      <c r="AA23" s="4" t="s">
        <v>10</v>
      </c>
      <c r="AB23" s="11">
        <f>IFERROR(VLOOKUP(AA23,Curr!$B$2:$C$13,2,FALSE),0)</f>
        <v>11.2</v>
      </c>
      <c r="AC23" s="12">
        <f t="shared" si="5"/>
        <v>4072.7272727272725</v>
      </c>
      <c r="AD23" s="12">
        <f t="shared" si="6"/>
        <v>872.72727272727252</v>
      </c>
      <c r="AE23" s="13">
        <f t="shared" si="7"/>
        <v>0.21428571428571425</v>
      </c>
    </row>
    <row r="24" spans="2:31" x14ac:dyDescent="0.25">
      <c r="B24" s="4"/>
      <c r="C24" s="1" t="s">
        <v>78</v>
      </c>
      <c r="D24" s="1" t="s">
        <v>50</v>
      </c>
      <c r="E24" s="3"/>
      <c r="F24" s="3"/>
      <c r="G24" s="24"/>
      <c r="H24" s="24"/>
      <c r="J24" s="1" t="s">
        <v>270</v>
      </c>
      <c r="K24" s="4"/>
      <c r="L24" s="4"/>
      <c r="M24" s="4"/>
      <c r="N24" s="4"/>
      <c r="O24" s="4"/>
      <c r="P24" s="27"/>
      <c r="Q24" s="25">
        <v>0</v>
      </c>
      <c r="R24" s="25">
        <v>0</v>
      </c>
      <c r="S24" s="12">
        <f t="shared" si="10"/>
        <v>0</v>
      </c>
      <c r="T24" s="5">
        <v>0</v>
      </c>
      <c r="U24" s="12">
        <f t="shared" si="11"/>
        <v>0</v>
      </c>
      <c r="V24" s="25" t="s">
        <v>10</v>
      </c>
      <c r="W24" s="11">
        <f>IFERROR(VLOOKUP(V24,Curr!$B$2:$C$13,2,FALSE),0)</f>
        <v>11.2</v>
      </c>
      <c r="X24" s="12">
        <f t="shared" si="12"/>
        <v>0</v>
      </c>
      <c r="Y24" s="26">
        <f t="shared" ref="Y24:Y49" si="13">Q24</f>
        <v>0</v>
      </c>
      <c r="Z24" s="12">
        <f t="shared" si="4"/>
        <v>0</v>
      </c>
      <c r="AA24" s="4" t="s">
        <v>10</v>
      </c>
      <c r="AB24" s="11">
        <f>IFERROR(VLOOKUP(AA24,Curr!$B$2:$C$13,2,FALSE),0)</f>
        <v>11.2</v>
      </c>
      <c r="AC24" s="12">
        <f t="shared" si="5"/>
        <v>0</v>
      </c>
      <c r="AD24" s="12">
        <f t="shared" si="6"/>
        <v>0</v>
      </c>
      <c r="AE24" s="13">
        <f t="shared" si="7"/>
        <v>0</v>
      </c>
    </row>
    <row r="25" spans="2:31" x14ac:dyDescent="0.25">
      <c r="B25" s="4"/>
      <c r="C25" s="1" t="s">
        <v>78</v>
      </c>
      <c r="D25" s="1" t="s">
        <v>52</v>
      </c>
      <c r="E25" s="3"/>
      <c r="F25" s="3"/>
      <c r="G25" s="24"/>
      <c r="H25" s="24"/>
      <c r="J25" s="1" t="s">
        <v>271</v>
      </c>
      <c r="K25" s="4"/>
      <c r="L25" s="4"/>
      <c r="M25" s="4"/>
      <c r="N25" s="4"/>
      <c r="O25" s="4"/>
      <c r="P25" s="27"/>
      <c r="Q25" s="25">
        <v>320</v>
      </c>
      <c r="R25" s="25">
        <v>1</v>
      </c>
      <c r="S25" s="12">
        <f t="shared" si="10"/>
        <v>320</v>
      </c>
      <c r="T25" s="5">
        <v>0</v>
      </c>
      <c r="U25" s="12">
        <f t="shared" si="11"/>
        <v>320</v>
      </c>
      <c r="V25" s="25" t="s">
        <v>10</v>
      </c>
      <c r="W25" s="11">
        <f>IFERROR(VLOOKUP(V25,Curr!$B$2:$C$13,2,FALSE),0)</f>
        <v>11.2</v>
      </c>
      <c r="X25" s="12">
        <f t="shared" si="12"/>
        <v>3584</v>
      </c>
      <c r="Y25" s="26">
        <f>Q25/0.8</f>
        <v>400</v>
      </c>
      <c r="Z25" s="12">
        <f t="shared" si="4"/>
        <v>400</v>
      </c>
      <c r="AA25" s="4" t="s">
        <v>10</v>
      </c>
      <c r="AB25" s="11">
        <f>IFERROR(VLOOKUP(AA25,Curr!$B$2:$C$13,2,FALSE),0)</f>
        <v>11.2</v>
      </c>
      <c r="AC25" s="12">
        <f t="shared" si="5"/>
        <v>4480</v>
      </c>
      <c r="AD25" s="12">
        <f t="shared" si="6"/>
        <v>896</v>
      </c>
      <c r="AE25" s="13">
        <f t="shared" si="7"/>
        <v>0.2</v>
      </c>
    </row>
    <row r="26" spans="2:31" x14ac:dyDescent="0.25">
      <c r="B26" s="4"/>
      <c r="C26" s="1" t="s">
        <v>78</v>
      </c>
      <c r="D26" s="1" t="s">
        <v>53</v>
      </c>
      <c r="E26" s="3"/>
      <c r="F26" s="3"/>
      <c r="G26" s="24"/>
      <c r="H26" s="24"/>
      <c r="J26" s="1" t="s">
        <v>268</v>
      </c>
      <c r="K26" s="4"/>
      <c r="L26" s="4"/>
      <c r="M26" s="4"/>
      <c r="N26" s="4"/>
      <c r="O26" s="4"/>
      <c r="P26" s="27"/>
      <c r="Q26" s="25">
        <v>0</v>
      </c>
      <c r="R26" s="25">
        <v>0</v>
      </c>
      <c r="S26" s="12">
        <f t="shared" si="10"/>
        <v>0</v>
      </c>
      <c r="T26" s="5">
        <v>0</v>
      </c>
      <c r="U26" s="12">
        <f t="shared" si="11"/>
        <v>0</v>
      </c>
      <c r="V26" s="25" t="s">
        <v>10</v>
      </c>
      <c r="W26" s="11">
        <f>IFERROR(VLOOKUP(V26,Curr!$B$2:$C$13,2,FALSE),0)</f>
        <v>11.2</v>
      </c>
      <c r="X26" s="12">
        <f t="shared" si="12"/>
        <v>0</v>
      </c>
      <c r="Y26" s="26">
        <f t="shared" si="13"/>
        <v>0</v>
      </c>
      <c r="Z26" s="12">
        <f t="shared" si="4"/>
        <v>0</v>
      </c>
      <c r="AA26" s="4" t="s">
        <v>10</v>
      </c>
      <c r="AB26" s="11">
        <f>IFERROR(VLOOKUP(AA26,Curr!$B$2:$C$13,2,FALSE),0)</f>
        <v>11.2</v>
      </c>
      <c r="AC26" s="12">
        <f t="shared" si="5"/>
        <v>0</v>
      </c>
      <c r="AD26" s="12">
        <f t="shared" si="6"/>
        <v>0</v>
      </c>
      <c r="AE26" s="13">
        <f t="shared" si="7"/>
        <v>0</v>
      </c>
    </row>
    <row r="27" spans="2:31" x14ac:dyDescent="0.25">
      <c r="B27" s="4"/>
      <c r="E27" s="3"/>
      <c r="F27" s="3"/>
      <c r="G27" s="24"/>
      <c r="H27" s="24"/>
      <c r="K27" s="4"/>
      <c r="L27" s="4"/>
      <c r="M27" s="4"/>
      <c r="N27" s="4"/>
      <c r="O27" s="4"/>
      <c r="P27" s="33"/>
      <c r="Q27" s="25"/>
      <c r="R27" s="25"/>
      <c r="S27" s="12">
        <f t="shared" si="10"/>
        <v>0</v>
      </c>
      <c r="T27" s="5">
        <v>0</v>
      </c>
      <c r="U27" s="12">
        <f t="shared" si="11"/>
        <v>0</v>
      </c>
      <c r="V27" s="25" t="s">
        <v>10</v>
      </c>
      <c r="W27" s="11">
        <f>IFERROR(VLOOKUP(V27,Curr!$B$2:$C$13,2,FALSE),0)</f>
        <v>11.2</v>
      </c>
      <c r="X27" s="12">
        <f t="shared" si="12"/>
        <v>0</v>
      </c>
      <c r="Y27" s="26">
        <f t="shared" si="13"/>
        <v>0</v>
      </c>
      <c r="Z27" s="12">
        <f t="shared" si="4"/>
        <v>0</v>
      </c>
      <c r="AA27" s="4" t="s">
        <v>10</v>
      </c>
      <c r="AB27" s="11">
        <f>IFERROR(VLOOKUP(AA27,Curr!$B$2:$C$13,2,FALSE),0)</f>
        <v>11.2</v>
      </c>
      <c r="AC27" s="12">
        <f t="shared" si="5"/>
        <v>0</v>
      </c>
      <c r="AD27" s="12">
        <f t="shared" si="6"/>
        <v>0</v>
      </c>
      <c r="AE27" s="13">
        <f t="shared" si="7"/>
        <v>0</v>
      </c>
    </row>
    <row r="28" spans="2:31" x14ac:dyDescent="0.25">
      <c r="B28" s="4"/>
      <c r="C28" s="1" t="s">
        <v>80</v>
      </c>
      <c r="D28" s="1" t="s">
        <v>73</v>
      </c>
      <c r="E28" s="3"/>
      <c r="F28" s="3"/>
      <c r="G28" s="24"/>
      <c r="H28" s="24"/>
      <c r="J28" s="1" t="s">
        <v>274</v>
      </c>
      <c r="K28" s="4"/>
      <c r="L28" s="4"/>
      <c r="M28" s="4"/>
      <c r="N28" s="4"/>
      <c r="O28" s="4"/>
      <c r="P28" s="33" t="s">
        <v>275</v>
      </c>
      <c r="Q28" s="25">
        <v>2139</v>
      </c>
      <c r="R28" s="25">
        <v>2</v>
      </c>
      <c r="S28" s="12">
        <f t="shared" si="10"/>
        <v>4278</v>
      </c>
      <c r="T28" s="5">
        <v>0</v>
      </c>
      <c r="U28" s="12">
        <f t="shared" si="11"/>
        <v>4278</v>
      </c>
      <c r="V28" s="25" t="s">
        <v>8</v>
      </c>
      <c r="W28" s="11">
        <f>IFERROR(VLOOKUP(V28,Curr!$B$2:$C$13,2,FALSE),0)</f>
        <v>1</v>
      </c>
      <c r="X28" s="12">
        <f t="shared" si="12"/>
        <v>4278</v>
      </c>
      <c r="Y28" s="26">
        <f>Q28/11.3/0.8</f>
        <v>236.61504424778758</v>
      </c>
      <c r="Z28" s="12">
        <f t="shared" si="4"/>
        <v>473.23008849557516</v>
      </c>
      <c r="AA28" s="4" t="s">
        <v>10</v>
      </c>
      <c r="AB28" s="11">
        <f>IFERROR(VLOOKUP(AA28,Curr!$B$2:$C$13,2,FALSE),0)</f>
        <v>11.2</v>
      </c>
      <c r="AC28" s="12">
        <f t="shared" si="5"/>
        <v>5300.1769911504416</v>
      </c>
      <c r="AD28" s="12">
        <f t="shared" si="6"/>
        <v>1022.1769911504416</v>
      </c>
      <c r="AE28" s="13">
        <f t="shared" si="7"/>
        <v>0.19285714285714273</v>
      </c>
    </row>
    <row r="29" spans="2:31" x14ac:dyDescent="0.25">
      <c r="B29" s="4"/>
      <c r="C29" s="1" t="s">
        <v>80</v>
      </c>
      <c r="D29" s="1" t="s">
        <v>53</v>
      </c>
      <c r="E29" s="3"/>
      <c r="F29" s="3"/>
      <c r="G29" s="24"/>
      <c r="H29" s="24"/>
      <c r="J29" s="1" t="s">
        <v>268</v>
      </c>
      <c r="K29" s="4"/>
      <c r="L29" s="4"/>
      <c r="M29" s="4"/>
      <c r="N29" s="4"/>
      <c r="O29" s="4"/>
      <c r="P29" s="29"/>
      <c r="Q29" s="25">
        <v>0</v>
      </c>
      <c r="R29" s="25">
        <v>0</v>
      </c>
      <c r="S29" s="12">
        <f t="shared" si="10"/>
        <v>0</v>
      </c>
      <c r="T29" s="5">
        <v>0</v>
      </c>
      <c r="U29" s="12">
        <f t="shared" si="11"/>
        <v>0</v>
      </c>
      <c r="V29" s="25" t="s">
        <v>10</v>
      </c>
      <c r="W29" s="11">
        <f>IFERROR(VLOOKUP(V29,Curr!$B$2:$C$13,2,FALSE),0)</f>
        <v>11.2</v>
      </c>
      <c r="X29" s="12">
        <f t="shared" si="12"/>
        <v>0</v>
      </c>
      <c r="Y29" s="26">
        <f t="shared" si="13"/>
        <v>0</v>
      </c>
      <c r="Z29" s="12">
        <f t="shared" si="4"/>
        <v>0</v>
      </c>
      <c r="AA29" s="4" t="s">
        <v>10</v>
      </c>
      <c r="AB29" s="11">
        <f>IFERROR(VLOOKUP(AA29,Curr!$B$2:$C$13,2,FALSE),0)</f>
        <v>11.2</v>
      </c>
      <c r="AC29" s="12">
        <f t="shared" si="5"/>
        <v>0</v>
      </c>
      <c r="AD29" s="12">
        <f t="shared" si="6"/>
        <v>0</v>
      </c>
      <c r="AE29" s="13">
        <f t="shared" si="7"/>
        <v>0</v>
      </c>
    </row>
    <row r="30" spans="2:31" x14ac:dyDescent="0.25">
      <c r="B30" s="4"/>
      <c r="E30" s="3"/>
      <c r="F30" s="3"/>
      <c r="G30" s="24"/>
      <c r="H30" s="24"/>
      <c r="K30" s="4"/>
      <c r="L30" s="4"/>
      <c r="M30" s="4"/>
      <c r="N30" s="4"/>
      <c r="O30" s="4"/>
      <c r="P30" s="33"/>
      <c r="Q30" s="25"/>
      <c r="R30" s="25"/>
      <c r="S30" s="12">
        <f t="shared" si="10"/>
        <v>0</v>
      </c>
      <c r="T30" s="5">
        <v>0</v>
      </c>
      <c r="U30" s="12">
        <f t="shared" si="11"/>
        <v>0</v>
      </c>
      <c r="V30" s="25" t="s">
        <v>10</v>
      </c>
      <c r="W30" s="11">
        <f>IFERROR(VLOOKUP(V30,Curr!$B$2:$C$13,2,FALSE),0)</f>
        <v>11.2</v>
      </c>
      <c r="X30" s="12">
        <f t="shared" si="12"/>
        <v>0</v>
      </c>
      <c r="Y30" s="26">
        <f t="shared" si="13"/>
        <v>0</v>
      </c>
      <c r="Z30" s="12">
        <f t="shared" si="4"/>
        <v>0</v>
      </c>
      <c r="AA30" s="4" t="s">
        <v>10</v>
      </c>
      <c r="AB30" s="11">
        <f>IFERROR(VLOOKUP(AA30,Curr!$B$2:$C$13,2,FALSE),0)</f>
        <v>11.2</v>
      </c>
      <c r="AC30" s="12">
        <f t="shared" si="5"/>
        <v>0</v>
      </c>
      <c r="AD30" s="12">
        <f t="shared" si="6"/>
        <v>0</v>
      </c>
      <c r="AE30" s="13">
        <f t="shared" si="7"/>
        <v>0</v>
      </c>
    </row>
    <row r="31" spans="2:31" x14ac:dyDescent="0.25">
      <c r="B31" s="4"/>
      <c r="C31" s="1" t="s">
        <v>81</v>
      </c>
      <c r="D31" s="1" t="s">
        <v>50</v>
      </c>
      <c r="E31" s="3"/>
      <c r="F31" s="3"/>
      <c r="G31" s="24"/>
      <c r="H31" s="24"/>
      <c r="J31" s="1" t="s">
        <v>267</v>
      </c>
      <c r="K31" s="4"/>
      <c r="L31" s="4"/>
      <c r="M31" s="4"/>
      <c r="N31" s="4"/>
      <c r="O31" s="4"/>
      <c r="P31" s="33"/>
      <c r="Q31" s="25">
        <v>0</v>
      </c>
      <c r="R31" s="25">
        <v>0</v>
      </c>
      <c r="S31" s="12">
        <f t="shared" si="10"/>
        <v>0</v>
      </c>
      <c r="T31" s="5">
        <v>0</v>
      </c>
      <c r="U31" s="12">
        <f t="shared" si="11"/>
        <v>0</v>
      </c>
      <c r="V31" s="25" t="s">
        <v>10</v>
      </c>
      <c r="W31" s="11">
        <f>IFERROR(VLOOKUP(V31,Curr!$B$2:$C$13,2,FALSE),0)</f>
        <v>11.2</v>
      </c>
      <c r="X31" s="12">
        <f t="shared" si="12"/>
        <v>0</v>
      </c>
      <c r="Y31" s="26">
        <f t="shared" si="13"/>
        <v>0</v>
      </c>
      <c r="Z31" s="12">
        <f t="shared" si="4"/>
        <v>0</v>
      </c>
      <c r="AA31" s="4" t="s">
        <v>10</v>
      </c>
      <c r="AB31" s="11">
        <f>IFERROR(VLOOKUP(AA31,Curr!$B$2:$C$13,2,FALSE),0)</f>
        <v>11.2</v>
      </c>
      <c r="AC31" s="12">
        <f t="shared" si="5"/>
        <v>0</v>
      </c>
      <c r="AD31" s="12">
        <f t="shared" si="6"/>
        <v>0</v>
      </c>
      <c r="AE31" s="13">
        <f t="shared" si="7"/>
        <v>0</v>
      </c>
    </row>
    <row r="32" spans="2:31" x14ac:dyDescent="0.25">
      <c r="B32" s="4"/>
      <c r="C32" s="1" t="s">
        <v>81</v>
      </c>
      <c r="D32" s="1" t="s">
        <v>82</v>
      </c>
      <c r="E32" s="3"/>
      <c r="F32" s="3"/>
      <c r="G32" s="24"/>
      <c r="H32" s="24"/>
      <c r="J32" s="1" t="s">
        <v>266</v>
      </c>
      <c r="K32" s="4"/>
      <c r="L32" s="4"/>
      <c r="M32" s="4"/>
      <c r="N32" s="4"/>
      <c r="O32" s="4"/>
      <c r="P32" s="33"/>
      <c r="Q32" s="25">
        <v>0</v>
      </c>
      <c r="R32" s="25">
        <v>0</v>
      </c>
      <c r="S32" s="12">
        <f t="shared" si="10"/>
        <v>0</v>
      </c>
      <c r="T32" s="5">
        <v>0</v>
      </c>
      <c r="U32" s="12">
        <f t="shared" si="11"/>
        <v>0</v>
      </c>
      <c r="V32" s="25" t="s">
        <v>10</v>
      </c>
      <c r="W32" s="11">
        <f>IFERROR(VLOOKUP(V32,Curr!$B$2:$C$13,2,FALSE),0)</f>
        <v>11.2</v>
      </c>
      <c r="X32" s="12">
        <f t="shared" si="12"/>
        <v>0</v>
      </c>
      <c r="Y32" s="26">
        <f t="shared" si="13"/>
        <v>0</v>
      </c>
      <c r="Z32" s="12">
        <f t="shared" si="4"/>
        <v>0</v>
      </c>
      <c r="AA32" s="4" t="s">
        <v>10</v>
      </c>
      <c r="AB32" s="11">
        <f>IFERROR(VLOOKUP(AA32,Curr!$B$2:$C$13,2,FALSE),0)</f>
        <v>11.2</v>
      </c>
      <c r="AC32" s="12">
        <f t="shared" si="5"/>
        <v>0</v>
      </c>
      <c r="AD32" s="12">
        <f t="shared" si="6"/>
        <v>0</v>
      </c>
      <c r="AE32" s="13">
        <f t="shared" si="7"/>
        <v>0</v>
      </c>
    </row>
    <row r="33" spans="2:31" x14ac:dyDescent="0.25">
      <c r="B33" s="4"/>
      <c r="E33" s="3"/>
      <c r="F33" s="3"/>
      <c r="G33" s="24"/>
      <c r="H33" s="24"/>
      <c r="K33" s="4"/>
      <c r="L33" s="4"/>
      <c r="M33" s="4"/>
      <c r="N33" s="4"/>
      <c r="O33" s="4"/>
      <c r="P33" s="33"/>
      <c r="Q33" s="25"/>
      <c r="R33" s="25"/>
      <c r="S33" s="12">
        <f t="shared" si="10"/>
        <v>0</v>
      </c>
      <c r="T33" s="5">
        <v>0</v>
      </c>
      <c r="U33" s="12">
        <f t="shared" si="11"/>
        <v>0</v>
      </c>
      <c r="V33" s="25" t="s">
        <v>10</v>
      </c>
      <c r="W33" s="11">
        <f>IFERROR(VLOOKUP(V33,Curr!$B$2:$C$13,2,FALSE),0)</f>
        <v>11.2</v>
      </c>
      <c r="X33" s="12">
        <f t="shared" si="12"/>
        <v>0</v>
      </c>
      <c r="Y33" s="26">
        <f t="shared" si="13"/>
        <v>0</v>
      </c>
      <c r="Z33" s="12">
        <f t="shared" si="4"/>
        <v>0</v>
      </c>
      <c r="AA33" s="4" t="s">
        <v>10</v>
      </c>
      <c r="AB33" s="11">
        <f>IFERROR(VLOOKUP(AA33,Curr!$B$2:$C$13,2,FALSE),0)</f>
        <v>11.2</v>
      </c>
      <c r="AC33" s="12">
        <f t="shared" si="5"/>
        <v>0</v>
      </c>
      <c r="AD33" s="12">
        <f t="shared" si="6"/>
        <v>0</v>
      </c>
      <c r="AE33" s="13">
        <f t="shared" si="7"/>
        <v>0</v>
      </c>
    </row>
    <row r="34" spans="2:31" x14ac:dyDescent="0.25">
      <c r="B34" s="4"/>
      <c r="E34" s="3"/>
      <c r="F34" s="3"/>
      <c r="G34" s="24"/>
      <c r="H34" s="24"/>
      <c r="K34" s="4"/>
      <c r="L34" s="4"/>
      <c r="M34" s="4"/>
      <c r="N34" s="4"/>
      <c r="O34" s="4"/>
      <c r="P34" s="33"/>
      <c r="Q34" s="25"/>
      <c r="R34" s="25"/>
      <c r="S34" s="12">
        <f t="shared" si="10"/>
        <v>0</v>
      </c>
      <c r="T34" s="5">
        <v>0</v>
      </c>
      <c r="U34" s="12">
        <f t="shared" si="11"/>
        <v>0</v>
      </c>
      <c r="V34" s="25" t="s">
        <v>10</v>
      </c>
      <c r="W34" s="11">
        <f>IFERROR(VLOOKUP(V34,Curr!$B$2:$C$13,2,FALSE),0)</f>
        <v>11.2</v>
      </c>
      <c r="X34" s="12">
        <f t="shared" si="12"/>
        <v>0</v>
      </c>
      <c r="Y34" s="26">
        <f t="shared" si="13"/>
        <v>0</v>
      </c>
      <c r="Z34" s="12">
        <f t="shared" si="4"/>
        <v>0</v>
      </c>
      <c r="AA34" s="4" t="s">
        <v>10</v>
      </c>
      <c r="AB34" s="11">
        <f>IFERROR(VLOOKUP(AA34,Curr!$B$2:$C$13,2,FALSE),0)</f>
        <v>11.2</v>
      </c>
      <c r="AC34" s="12">
        <f t="shared" si="5"/>
        <v>0</v>
      </c>
      <c r="AD34" s="12">
        <f t="shared" si="6"/>
        <v>0</v>
      </c>
      <c r="AE34" s="13">
        <f t="shared" si="7"/>
        <v>0</v>
      </c>
    </row>
    <row r="35" spans="2:31" x14ac:dyDescent="0.25">
      <c r="B35" s="4"/>
      <c r="C35" s="1" t="s">
        <v>55</v>
      </c>
      <c r="D35" s="1" t="s">
        <v>276</v>
      </c>
      <c r="E35" s="3"/>
      <c r="F35" s="3"/>
      <c r="G35" s="24"/>
      <c r="H35" s="24"/>
      <c r="J35" s="1" t="s">
        <v>51</v>
      </c>
      <c r="K35" s="4"/>
      <c r="L35" s="4"/>
      <c r="M35" s="4"/>
      <c r="N35" s="4"/>
      <c r="O35" s="4"/>
      <c r="P35" s="33"/>
      <c r="Q35" s="25">
        <v>1790</v>
      </c>
      <c r="R35" s="25">
        <v>0</v>
      </c>
      <c r="S35" s="12">
        <f t="shared" si="10"/>
        <v>0</v>
      </c>
      <c r="T35" s="5">
        <v>0</v>
      </c>
      <c r="U35" s="12">
        <f t="shared" si="11"/>
        <v>0</v>
      </c>
      <c r="V35" s="25" t="s">
        <v>8</v>
      </c>
      <c r="W35" s="11">
        <f>IFERROR(VLOOKUP(V35,Curr!$B$2:$C$13,2,FALSE),0)</f>
        <v>1</v>
      </c>
      <c r="X35" s="12">
        <f t="shared" si="12"/>
        <v>0</v>
      </c>
      <c r="Y35" s="26">
        <f>Q35/11/0.8</f>
        <v>203.40909090909088</v>
      </c>
      <c r="Z35" s="12">
        <f t="shared" si="4"/>
        <v>0</v>
      </c>
      <c r="AA35" s="4" t="s">
        <v>10</v>
      </c>
      <c r="AB35" s="11">
        <f>IFERROR(VLOOKUP(AA35,Curr!$B$2:$C$13,2,FALSE),0)</f>
        <v>11.2</v>
      </c>
      <c r="AC35" s="12">
        <f t="shared" si="5"/>
        <v>0</v>
      </c>
      <c r="AD35" s="12">
        <f t="shared" si="6"/>
        <v>0</v>
      </c>
      <c r="AE35" s="13">
        <f t="shared" si="7"/>
        <v>0</v>
      </c>
    </row>
    <row r="36" spans="2:31" x14ac:dyDescent="0.25">
      <c r="B36" s="4"/>
      <c r="C36" s="1" t="s">
        <v>63</v>
      </c>
      <c r="D36" s="1" t="s">
        <v>276</v>
      </c>
      <c r="E36" s="3"/>
      <c r="F36" s="3"/>
      <c r="G36" s="24"/>
      <c r="H36" s="24"/>
      <c r="J36" s="1" t="s">
        <v>67</v>
      </c>
      <c r="K36" s="4"/>
      <c r="L36" s="4"/>
      <c r="M36" s="4"/>
      <c r="N36" s="4"/>
      <c r="O36" s="4"/>
      <c r="P36" s="33"/>
      <c r="Q36" s="25">
        <v>1290</v>
      </c>
      <c r="R36" s="25">
        <v>0</v>
      </c>
      <c r="S36" s="12">
        <f t="shared" si="10"/>
        <v>0</v>
      </c>
      <c r="T36" s="5">
        <v>0.15</v>
      </c>
      <c r="U36" s="12">
        <f t="shared" si="11"/>
        <v>0</v>
      </c>
      <c r="V36" s="25" t="s">
        <v>8</v>
      </c>
      <c r="W36" s="11">
        <f>IFERROR(VLOOKUP(V36,Curr!$B$2:$C$13,2,FALSE),0)</f>
        <v>1</v>
      </c>
      <c r="X36" s="12">
        <f t="shared" si="12"/>
        <v>0</v>
      </c>
      <c r="Y36" s="26">
        <f>Q36/11/0.95</f>
        <v>123.44497607655502</v>
      </c>
      <c r="Z36" s="12">
        <f t="shared" si="4"/>
        <v>0</v>
      </c>
      <c r="AA36" s="4" t="s">
        <v>10</v>
      </c>
      <c r="AB36" s="11">
        <f>IFERROR(VLOOKUP(AA36,Curr!$B$2:$C$13,2,FALSE),0)</f>
        <v>11.2</v>
      </c>
      <c r="AC36" s="12">
        <f t="shared" si="5"/>
        <v>0</v>
      </c>
      <c r="AD36" s="12">
        <f t="shared" si="6"/>
        <v>0</v>
      </c>
      <c r="AE36" s="13">
        <f t="shared" si="7"/>
        <v>0</v>
      </c>
    </row>
    <row r="37" spans="2:31" x14ac:dyDescent="0.25">
      <c r="B37" s="4"/>
      <c r="C37" s="1" t="s">
        <v>78</v>
      </c>
      <c r="D37" s="1" t="s">
        <v>276</v>
      </c>
      <c r="E37" s="3"/>
      <c r="F37" s="3"/>
      <c r="G37" s="24"/>
      <c r="H37" s="24"/>
      <c r="J37" s="1" t="s">
        <v>83</v>
      </c>
      <c r="K37" s="4"/>
      <c r="L37" s="4"/>
      <c r="M37" s="4"/>
      <c r="N37" s="4"/>
      <c r="O37" s="4"/>
      <c r="P37" s="33"/>
      <c r="Q37" s="25">
        <v>1690</v>
      </c>
      <c r="R37" s="25">
        <v>0</v>
      </c>
      <c r="S37" s="12">
        <f t="shared" si="10"/>
        <v>0</v>
      </c>
      <c r="T37" s="5">
        <v>0.15</v>
      </c>
      <c r="U37" s="12">
        <f t="shared" si="11"/>
        <v>0</v>
      </c>
      <c r="V37" s="25" t="s">
        <v>8</v>
      </c>
      <c r="W37" s="11">
        <f>IFERROR(VLOOKUP(V37,Curr!$B$2:$C$13,2,FALSE),0)</f>
        <v>1</v>
      </c>
      <c r="X37" s="12">
        <f t="shared" si="12"/>
        <v>0</v>
      </c>
      <c r="Y37" s="26">
        <f>Q37/11/0.95</f>
        <v>161.7224880382775</v>
      </c>
      <c r="Z37" s="12">
        <f t="shared" si="4"/>
        <v>0</v>
      </c>
      <c r="AA37" s="4" t="s">
        <v>10</v>
      </c>
      <c r="AB37" s="11">
        <f>IFERROR(VLOOKUP(AA37,Curr!$B$2:$C$13,2,FALSE),0)</f>
        <v>11.2</v>
      </c>
      <c r="AC37" s="12">
        <f t="shared" si="5"/>
        <v>0</v>
      </c>
      <c r="AD37" s="12">
        <f t="shared" si="6"/>
        <v>0</v>
      </c>
      <c r="AE37" s="13">
        <f t="shared" si="7"/>
        <v>0</v>
      </c>
    </row>
    <row r="38" spans="2:31" x14ac:dyDescent="0.25">
      <c r="B38" s="4"/>
      <c r="C38" s="1" t="s">
        <v>78</v>
      </c>
      <c r="D38" s="1" t="s">
        <v>276</v>
      </c>
      <c r="E38" s="3"/>
      <c r="F38" s="3"/>
      <c r="G38" s="24"/>
      <c r="H38" s="24"/>
      <c r="J38" s="1" t="s">
        <v>270</v>
      </c>
      <c r="K38" s="4"/>
      <c r="L38" s="4"/>
      <c r="M38" s="4"/>
      <c r="N38" s="4"/>
      <c r="O38" s="4"/>
      <c r="P38" s="27"/>
      <c r="Q38" s="25">
        <v>1750</v>
      </c>
      <c r="R38" s="25">
        <v>0</v>
      </c>
      <c r="S38" s="12">
        <f t="shared" si="10"/>
        <v>0</v>
      </c>
      <c r="T38" s="5">
        <v>0</v>
      </c>
      <c r="U38" s="12">
        <f t="shared" si="11"/>
        <v>0</v>
      </c>
      <c r="V38" s="25" t="s">
        <v>8</v>
      </c>
      <c r="W38" s="11">
        <f>IFERROR(VLOOKUP(V38,Curr!$B$2:$C$13,2,FALSE),0)</f>
        <v>1</v>
      </c>
      <c r="X38" s="12">
        <f t="shared" si="12"/>
        <v>0</v>
      </c>
      <c r="Y38" s="26">
        <f>Q38/11/0.8</f>
        <v>198.86363636363635</v>
      </c>
      <c r="Z38" s="12">
        <f t="shared" si="4"/>
        <v>0</v>
      </c>
      <c r="AA38" s="4" t="s">
        <v>10</v>
      </c>
      <c r="AB38" s="11">
        <f>IFERROR(VLOOKUP(AA38,Curr!$B$2:$C$13,2,FALSE),0)</f>
        <v>11.2</v>
      </c>
      <c r="AC38" s="12">
        <f t="shared" si="5"/>
        <v>0</v>
      </c>
      <c r="AD38" s="12">
        <f t="shared" si="6"/>
        <v>0</v>
      </c>
      <c r="AE38" s="13">
        <f t="shared" si="7"/>
        <v>0</v>
      </c>
    </row>
    <row r="39" spans="2:31" x14ac:dyDescent="0.25">
      <c r="B39" s="4"/>
      <c r="C39" s="1" t="s">
        <v>81</v>
      </c>
      <c r="D39" s="1" t="s">
        <v>276</v>
      </c>
      <c r="E39" s="3"/>
      <c r="F39" s="3"/>
      <c r="G39" s="24"/>
      <c r="H39" s="24"/>
      <c r="J39" s="1" t="s">
        <v>267</v>
      </c>
      <c r="K39" s="4"/>
      <c r="L39" s="4"/>
      <c r="M39" s="4"/>
      <c r="N39" s="4"/>
      <c r="O39" s="4"/>
      <c r="P39" s="33"/>
      <c r="Q39" s="25">
        <v>1750</v>
      </c>
      <c r="R39" s="25">
        <v>0</v>
      </c>
      <c r="S39" s="12">
        <f t="shared" si="10"/>
        <v>0</v>
      </c>
      <c r="T39" s="5">
        <v>0</v>
      </c>
      <c r="U39" s="12">
        <f t="shared" si="11"/>
        <v>0</v>
      </c>
      <c r="V39" s="25" t="s">
        <v>8</v>
      </c>
      <c r="W39" s="11">
        <f>IFERROR(VLOOKUP(V39,Curr!$B$2:$C$13,2,FALSE),0)</f>
        <v>1</v>
      </c>
      <c r="X39" s="12">
        <f t="shared" si="12"/>
        <v>0</v>
      </c>
      <c r="Y39" s="26">
        <f>Q39/11/0.8</f>
        <v>198.86363636363635</v>
      </c>
      <c r="Z39" s="12">
        <f t="shared" si="4"/>
        <v>0</v>
      </c>
      <c r="AA39" s="4" t="s">
        <v>10</v>
      </c>
      <c r="AB39" s="11">
        <f>IFERROR(VLOOKUP(AA39,Curr!$B$2:$C$13,2,FALSE),0)</f>
        <v>11.2</v>
      </c>
      <c r="AC39" s="12">
        <f t="shared" si="5"/>
        <v>0</v>
      </c>
      <c r="AD39" s="12">
        <f t="shared" si="6"/>
        <v>0</v>
      </c>
      <c r="AE39" s="13">
        <f t="shared" si="7"/>
        <v>0</v>
      </c>
    </row>
    <row r="40" spans="2:31" x14ac:dyDescent="0.25">
      <c r="B40" s="4"/>
      <c r="E40" s="3"/>
      <c r="F40" s="3"/>
      <c r="G40" s="24"/>
      <c r="H40" s="24"/>
      <c r="K40" s="4"/>
      <c r="L40" s="4"/>
      <c r="M40" s="4"/>
      <c r="N40" s="4"/>
      <c r="O40" s="4"/>
      <c r="P40" s="33"/>
      <c r="Q40" s="25"/>
      <c r="R40" s="25"/>
      <c r="S40" s="12">
        <f t="shared" si="10"/>
        <v>0</v>
      </c>
      <c r="T40" s="5">
        <v>0</v>
      </c>
      <c r="U40" s="12">
        <f t="shared" si="11"/>
        <v>0</v>
      </c>
      <c r="V40" s="25" t="s">
        <v>10</v>
      </c>
      <c r="W40" s="11">
        <f>IFERROR(VLOOKUP(V40,Curr!$B$2:$C$13,2,FALSE),0)</f>
        <v>11.2</v>
      </c>
      <c r="X40" s="12">
        <f t="shared" si="12"/>
        <v>0</v>
      </c>
      <c r="Y40" s="26">
        <f t="shared" si="13"/>
        <v>0</v>
      </c>
      <c r="Z40" s="12">
        <f t="shared" si="4"/>
        <v>0</v>
      </c>
      <c r="AA40" s="4" t="s">
        <v>10</v>
      </c>
      <c r="AB40" s="11">
        <f>IFERROR(VLOOKUP(AA40,Curr!$B$2:$C$13,2,FALSE),0)</f>
        <v>11.2</v>
      </c>
      <c r="AC40" s="12">
        <f t="shared" si="5"/>
        <v>0</v>
      </c>
      <c r="AD40" s="12">
        <f t="shared" si="6"/>
        <v>0</v>
      </c>
      <c r="AE40" s="13">
        <f t="shared" si="7"/>
        <v>0</v>
      </c>
    </row>
    <row r="41" spans="2:31" x14ac:dyDescent="0.25">
      <c r="B41" s="4"/>
      <c r="E41" s="3"/>
      <c r="F41" s="3"/>
      <c r="G41" s="24"/>
      <c r="H41" s="24"/>
      <c r="K41" s="4"/>
      <c r="L41" s="4"/>
      <c r="M41" s="4"/>
      <c r="N41" s="4"/>
      <c r="O41" s="4"/>
      <c r="P41" s="27"/>
      <c r="Q41" s="25"/>
      <c r="R41" s="25"/>
      <c r="S41" s="12">
        <f t="shared" si="10"/>
        <v>0</v>
      </c>
      <c r="T41" s="5">
        <v>0</v>
      </c>
      <c r="U41" s="12">
        <f t="shared" si="11"/>
        <v>0</v>
      </c>
      <c r="V41" s="25" t="s">
        <v>10</v>
      </c>
      <c r="W41" s="11">
        <f>IFERROR(VLOOKUP(V41,Curr!$B$2:$C$13,2,FALSE),0)</f>
        <v>11.2</v>
      </c>
      <c r="X41" s="12">
        <f t="shared" si="12"/>
        <v>0</v>
      </c>
      <c r="Y41" s="26">
        <f t="shared" si="13"/>
        <v>0</v>
      </c>
      <c r="Z41" s="12">
        <f t="shared" si="4"/>
        <v>0</v>
      </c>
      <c r="AA41" s="4" t="s">
        <v>10</v>
      </c>
      <c r="AB41" s="11">
        <f>IFERROR(VLOOKUP(AA41,Curr!$B$2:$C$13,2,FALSE),0)</f>
        <v>11.2</v>
      </c>
      <c r="AC41" s="12">
        <f t="shared" si="5"/>
        <v>0</v>
      </c>
      <c r="AD41" s="12">
        <f t="shared" si="6"/>
        <v>0</v>
      </c>
      <c r="AE41" s="13">
        <f t="shared" si="7"/>
        <v>0</v>
      </c>
    </row>
    <row r="42" spans="2:31" x14ac:dyDescent="0.25">
      <c r="B42" s="4"/>
      <c r="C42" s="1" t="s">
        <v>63</v>
      </c>
      <c r="D42" s="1" t="s">
        <v>94</v>
      </c>
      <c r="E42" s="3"/>
      <c r="F42" s="3"/>
      <c r="G42" s="24"/>
      <c r="H42" s="24"/>
      <c r="J42" s="1" t="s">
        <v>105</v>
      </c>
      <c r="K42" s="4"/>
      <c r="L42" s="4"/>
      <c r="M42" s="4"/>
      <c r="N42" s="4"/>
      <c r="O42" s="4"/>
      <c r="P42" s="33"/>
      <c r="Q42" s="25">
        <v>450</v>
      </c>
      <c r="R42" s="25">
        <v>0</v>
      </c>
      <c r="S42" s="12">
        <f t="shared" si="10"/>
        <v>0</v>
      </c>
      <c r="T42" s="5">
        <v>0</v>
      </c>
      <c r="U42" s="12">
        <f t="shared" si="11"/>
        <v>0</v>
      </c>
      <c r="V42" s="25" t="s">
        <v>8</v>
      </c>
      <c r="W42" s="11">
        <f>IFERROR(VLOOKUP(V42,Curr!$B$2:$C$13,2,FALSE),0)</f>
        <v>1</v>
      </c>
      <c r="X42" s="12">
        <f t="shared" si="12"/>
        <v>0</v>
      </c>
      <c r="Y42" s="26">
        <f>Q42/11.3/0.8</f>
        <v>49.778761061946895</v>
      </c>
      <c r="Z42" s="12">
        <f t="shared" si="4"/>
        <v>0</v>
      </c>
      <c r="AA42" s="4" t="s">
        <v>10</v>
      </c>
      <c r="AB42" s="11">
        <f>IFERROR(VLOOKUP(AA42,Curr!$B$2:$C$13,2,FALSE),0)</f>
        <v>11.2</v>
      </c>
      <c r="AC42" s="12">
        <f t="shared" si="5"/>
        <v>0</v>
      </c>
      <c r="AD42" s="12">
        <f t="shared" si="6"/>
        <v>0</v>
      </c>
      <c r="AE42" s="13">
        <f t="shared" si="7"/>
        <v>0</v>
      </c>
    </row>
    <row r="43" spans="2:31" x14ac:dyDescent="0.25">
      <c r="B43" s="4"/>
      <c r="C43" s="1" t="s">
        <v>69</v>
      </c>
      <c r="D43" s="1" t="s">
        <v>94</v>
      </c>
      <c r="E43" s="3"/>
      <c r="F43" s="3"/>
      <c r="G43" s="24"/>
      <c r="H43" s="24"/>
      <c r="J43" s="1" t="s">
        <v>106</v>
      </c>
      <c r="K43" s="4"/>
      <c r="L43" s="4"/>
      <c r="M43" s="4"/>
      <c r="N43" s="4"/>
      <c r="O43" s="4" t="s">
        <v>42</v>
      </c>
      <c r="P43" s="33" t="s">
        <v>107</v>
      </c>
      <c r="Q43" s="25">
        <v>71</v>
      </c>
      <c r="R43" s="25">
        <v>0</v>
      </c>
      <c r="S43" s="12">
        <f t="shared" si="10"/>
        <v>0</v>
      </c>
      <c r="T43" s="5">
        <v>0.2</v>
      </c>
      <c r="U43" s="12">
        <f t="shared" si="11"/>
        <v>0</v>
      </c>
      <c r="V43" s="25" t="s">
        <v>10</v>
      </c>
      <c r="W43" s="11">
        <f>IFERROR(VLOOKUP(V43,Curr!$B$2:$C$13,2,FALSE),0)</f>
        <v>11.2</v>
      </c>
      <c r="X43" s="12">
        <f t="shared" si="12"/>
        <v>0</v>
      </c>
      <c r="Y43" s="26">
        <f t="shared" ref="Y43" si="14">Q43</f>
        <v>71</v>
      </c>
      <c r="Z43" s="12">
        <f t="shared" si="4"/>
        <v>0</v>
      </c>
      <c r="AA43" s="4" t="s">
        <v>10</v>
      </c>
      <c r="AB43" s="11">
        <f>IFERROR(VLOOKUP(AA43,Curr!$B$2:$C$13,2,FALSE),0)</f>
        <v>11.2</v>
      </c>
      <c r="AC43" s="12">
        <f t="shared" si="5"/>
        <v>0</v>
      </c>
      <c r="AD43" s="12">
        <f t="shared" si="6"/>
        <v>0</v>
      </c>
      <c r="AE43" s="13">
        <f t="shared" si="7"/>
        <v>0</v>
      </c>
    </row>
    <row r="44" spans="2:31" x14ac:dyDescent="0.25">
      <c r="B44" s="4"/>
      <c r="C44" s="1" t="s">
        <v>81</v>
      </c>
      <c r="D44" s="1" t="s">
        <v>94</v>
      </c>
      <c r="E44" s="3"/>
      <c r="F44" s="3"/>
      <c r="G44" s="24"/>
      <c r="H44" s="24"/>
      <c r="J44" s="1" t="s">
        <v>278</v>
      </c>
      <c r="K44" s="4"/>
      <c r="L44" s="4"/>
      <c r="M44" s="4"/>
      <c r="N44" s="4"/>
      <c r="O44" s="4"/>
      <c r="P44" s="33" t="s">
        <v>277</v>
      </c>
      <c r="Q44" s="25">
        <v>80</v>
      </c>
      <c r="R44" s="25">
        <v>0</v>
      </c>
      <c r="S44" s="12">
        <f t="shared" si="10"/>
        <v>0</v>
      </c>
      <c r="T44" s="5">
        <v>0.2</v>
      </c>
      <c r="U44" s="12">
        <f t="shared" si="11"/>
        <v>0</v>
      </c>
      <c r="V44" s="25" t="s">
        <v>10</v>
      </c>
      <c r="W44" s="11">
        <f>IFERROR(VLOOKUP(V44,Curr!$B$2:$C$13,2,FALSE),0)</f>
        <v>11.2</v>
      </c>
      <c r="X44" s="12">
        <f t="shared" si="12"/>
        <v>0</v>
      </c>
      <c r="Y44" s="26">
        <f t="shared" si="13"/>
        <v>80</v>
      </c>
      <c r="Z44" s="12">
        <f t="shared" si="4"/>
        <v>0</v>
      </c>
      <c r="AA44" s="4" t="s">
        <v>10</v>
      </c>
      <c r="AB44" s="11">
        <f>IFERROR(VLOOKUP(AA44,Curr!$B$2:$C$13,2,FALSE),0)</f>
        <v>11.2</v>
      </c>
      <c r="AC44" s="12">
        <f t="shared" si="5"/>
        <v>0</v>
      </c>
      <c r="AD44" s="12">
        <f t="shared" si="6"/>
        <v>0</v>
      </c>
      <c r="AE44" s="13">
        <f t="shared" si="7"/>
        <v>0</v>
      </c>
    </row>
    <row r="45" spans="2:31" x14ac:dyDescent="0.25">
      <c r="B45" s="4"/>
      <c r="E45" s="3"/>
      <c r="F45" s="3"/>
      <c r="G45" s="24"/>
      <c r="H45" s="24"/>
      <c r="K45" s="4"/>
      <c r="L45" s="4"/>
      <c r="M45" s="4"/>
      <c r="N45" s="4"/>
      <c r="O45" s="4"/>
      <c r="P45" s="27"/>
      <c r="Q45" s="25"/>
      <c r="R45" s="25"/>
      <c r="S45" s="12">
        <f t="shared" si="10"/>
        <v>0</v>
      </c>
      <c r="T45" s="5">
        <v>0</v>
      </c>
      <c r="U45" s="12">
        <f t="shared" si="11"/>
        <v>0</v>
      </c>
      <c r="V45" s="25" t="s">
        <v>10</v>
      </c>
      <c r="W45" s="11">
        <f>IFERROR(VLOOKUP(V45,Curr!$B$2:$C$13,2,FALSE),0)</f>
        <v>11.2</v>
      </c>
      <c r="X45" s="12">
        <f t="shared" si="12"/>
        <v>0</v>
      </c>
      <c r="Y45" s="26">
        <f t="shared" si="13"/>
        <v>0</v>
      </c>
      <c r="Z45" s="12">
        <f t="shared" si="4"/>
        <v>0</v>
      </c>
      <c r="AA45" s="4" t="s">
        <v>10</v>
      </c>
      <c r="AB45" s="11">
        <f>IFERROR(VLOOKUP(AA45,Curr!$B$2:$C$13,2,FALSE),0)</f>
        <v>11.2</v>
      </c>
      <c r="AC45" s="12">
        <f t="shared" si="5"/>
        <v>0</v>
      </c>
      <c r="AD45" s="12">
        <f t="shared" si="6"/>
        <v>0</v>
      </c>
      <c r="AE45" s="13">
        <f t="shared" si="7"/>
        <v>0</v>
      </c>
    </row>
    <row r="46" spans="2:31" x14ac:dyDescent="0.25">
      <c r="B46" s="4"/>
      <c r="E46" s="3"/>
      <c r="F46" s="3"/>
      <c r="G46" s="24"/>
      <c r="H46" s="24"/>
      <c r="K46" s="4"/>
      <c r="L46" s="4"/>
      <c r="M46" s="4"/>
      <c r="N46" s="4"/>
      <c r="O46" s="4"/>
      <c r="P46" s="27"/>
      <c r="Q46" s="25"/>
      <c r="R46" s="25"/>
      <c r="S46" s="12">
        <f t="shared" si="10"/>
        <v>0</v>
      </c>
      <c r="T46" s="5">
        <v>0</v>
      </c>
      <c r="U46" s="12">
        <f t="shared" si="11"/>
        <v>0</v>
      </c>
      <c r="V46" s="25" t="s">
        <v>10</v>
      </c>
      <c r="W46" s="11">
        <f>IFERROR(VLOOKUP(V46,Curr!$B$2:$C$13,2,FALSE),0)</f>
        <v>11.2</v>
      </c>
      <c r="X46" s="12">
        <f t="shared" si="12"/>
        <v>0</v>
      </c>
      <c r="Y46" s="26">
        <f t="shared" si="13"/>
        <v>0</v>
      </c>
      <c r="Z46" s="12">
        <f t="shared" si="4"/>
        <v>0</v>
      </c>
      <c r="AA46" s="4" t="s">
        <v>10</v>
      </c>
      <c r="AB46" s="11">
        <f>IFERROR(VLOOKUP(AA46,Curr!$B$2:$C$13,2,FALSE),0)</f>
        <v>11.2</v>
      </c>
      <c r="AC46" s="12">
        <f t="shared" si="5"/>
        <v>0</v>
      </c>
      <c r="AD46" s="12">
        <f t="shared" si="6"/>
        <v>0</v>
      </c>
      <c r="AE46" s="13">
        <f t="shared" si="7"/>
        <v>0</v>
      </c>
    </row>
    <row r="47" spans="2:31" x14ac:dyDescent="0.25">
      <c r="B47" s="4"/>
      <c r="E47" s="3"/>
      <c r="F47" s="3"/>
      <c r="G47" s="24"/>
      <c r="H47" s="24"/>
      <c r="K47" s="4"/>
      <c r="L47" s="4"/>
      <c r="M47" s="4"/>
      <c r="N47" s="4"/>
      <c r="O47" s="4"/>
      <c r="P47" s="27"/>
      <c r="Q47" s="25"/>
      <c r="R47" s="25"/>
      <c r="S47" s="12">
        <f t="shared" si="10"/>
        <v>0</v>
      </c>
      <c r="T47" s="5">
        <v>0</v>
      </c>
      <c r="U47" s="12">
        <f t="shared" si="11"/>
        <v>0</v>
      </c>
      <c r="V47" s="25" t="s">
        <v>10</v>
      </c>
      <c r="W47" s="11">
        <f>IFERROR(VLOOKUP(V47,Curr!$B$2:$C$13,2,FALSE),0)</f>
        <v>11.2</v>
      </c>
      <c r="X47" s="12">
        <f t="shared" si="12"/>
        <v>0</v>
      </c>
      <c r="Y47" s="26">
        <f t="shared" si="13"/>
        <v>0</v>
      </c>
      <c r="Z47" s="12">
        <f t="shared" si="4"/>
        <v>0</v>
      </c>
      <c r="AA47" s="4" t="s">
        <v>10</v>
      </c>
      <c r="AB47" s="11">
        <f>IFERROR(VLOOKUP(AA47,Curr!$B$2:$C$13,2,FALSE),0)</f>
        <v>11.2</v>
      </c>
      <c r="AC47" s="12">
        <f t="shared" si="5"/>
        <v>0</v>
      </c>
      <c r="AD47" s="12">
        <f t="shared" si="6"/>
        <v>0</v>
      </c>
      <c r="AE47" s="13">
        <f t="shared" si="7"/>
        <v>0</v>
      </c>
    </row>
    <row r="48" spans="2:31" x14ac:dyDescent="0.25">
      <c r="B48" s="4"/>
      <c r="E48" s="3"/>
      <c r="F48" s="3"/>
      <c r="G48" s="24"/>
      <c r="H48" s="24"/>
      <c r="K48" s="4"/>
      <c r="L48" s="4"/>
      <c r="M48" s="4"/>
      <c r="N48" s="4"/>
      <c r="O48" s="4"/>
      <c r="P48" s="33"/>
      <c r="Q48" s="25"/>
      <c r="R48" s="25"/>
      <c r="S48" s="12">
        <f t="shared" si="10"/>
        <v>0</v>
      </c>
      <c r="T48" s="5">
        <v>0</v>
      </c>
      <c r="U48" s="12">
        <f t="shared" si="11"/>
        <v>0</v>
      </c>
      <c r="V48" s="25" t="s">
        <v>10</v>
      </c>
      <c r="W48" s="11">
        <f>IFERROR(VLOOKUP(V48,Curr!$B$2:$C$13,2,FALSE),0)</f>
        <v>11.2</v>
      </c>
      <c r="X48" s="12">
        <f t="shared" si="12"/>
        <v>0</v>
      </c>
      <c r="Y48" s="26">
        <f t="shared" si="13"/>
        <v>0</v>
      </c>
      <c r="Z48" s="12">
        <f t="shared" si="4"/>
        <v>0</v>
      </c>
      <c r="AA48" s="4" t="s">
        <v>10</v>
      </c>
      <c r="AB48" s="11">
        <f>IFERROR(VLOOKUP(AA48,Curr!$B$2:$C$13,2,FALSE),0)</f>
        <v>11.2</v>
      </c>
      <c r="AC48" s="12">
        <f t="shared" si="5"/>
        <v>0</v>
      </c>
      <c r="AD48" s="12">
        <f t="shared" si="6"/>
        <v>0</v>
      </c>
      <c r="AE48" s="13">
        <f t="shared" si="7"/>
        <v>0</v>
      </c>
    </row>
    <row r="49" spans="2:36" x14ac:dyDescent="0.25">
      <c r="B49" s="4"/>
      <c r="E49" s="3"/>
      <c r="F49" s="3"/>
      <c r="G49" s="24"/>
      <c r="H49" s="24"/>
      <c r="K49" s="4"/>
      <c r="L49" s="4"/>
      <c r="M49" s="4"/>
      <c r="N49" s="4"/>
      <c r="O49" s="4"/>
      <c r="P49" s="27"/>
      <c r="Q49" s="25"/>
      <c r="R49" s="25"/>
      <c r="S49" s="12">
        <f t="shared" si="10"/>
        <v>0</v>
      </c>
      <c r="T49" s="5">
        <v>0</v>
      </c>
      <c r="U49" s="12">
        <f t="shared" si="11"/>
        <v>0</v>
      </c>
      <c r="V49" s="25" t="s">
        <v>10</v>
      </c>
      <c r="W49" s="11">
        <f>IFERROR(VLOOKUP(V49,Curr!$B$2:$C$13,2,FALSE),0)</f>
        <v>11.2</v>
      </c>
      <c r="X49" s="12">
        <f t="shared" si="12"/>
        <v>0</v>
      </c>
      <c r="Y49" s="26">
        <f t="shared" si="13"/>
        <v>0</v>
      </c>
      <c r="Z49" s="12">
        <f t="shared" si="4"/>
        <v>0</v>
      </c>
      <c r="AA49" s="4" t="s">
        <v>10</v>
      </c>
      <c r="AB49" s="11">
        <f>IFERROR(VLOOKUP(AA49,Curr!$B$2:$C$13,2,FALSE),0)</f>
        <v>11.2</v>
      </c>
      <c r="AC49" s="12">
        <f t="shared" si="5"/>
        <v>0</v>
      </c>
      <c r="AD49" s="12">
        <f t="shared" si="6"/>
        <v>0</v>
      </c>
      <c r="AE49" s="13">
        <f t="shared" si="7"/>
        <v>0</v>
      </c>
    </row>
    <row r="50" spans="2:36" x14ac:dyDescent="0.25">
      <c r="B50" s="4"/>
      <c r="E50" s="3"/>
      <c r="F50" s="3"/>
      <c r="G50" s="3"/>
      <c r="H50" s="3"/>
      <c r="L50" s="4"/>
      <c r="M50" s="4"/>
      <c r="N50" s="4"/>
      <c r="O50" s="4"/>
      <c r="P50" s="22"/>
      <c r="Q50" s="4"/>
      <c r="R50" s="4"/>
      <c r="S50" s="4"/>
      <c r="T50" s="4"/>
      <c r="U50" s="4"/>
      <c r="V50" s="4"/>
      <c r="W50" s="4"/>
      <c r="X50" s="4"/>
      <c r="Y50" s="4"/>
      <c r="Z50" s="4"/>
      <c r="AA50" s="4"/>
      <c r="AB50" s="4"/>
      <c r="AC50" s="4"/>
      <c r="AD50" s="4"/>
      <c r="AE50" s="4"/>
      <c r="AF50" s="4"/>
    </row>
    <row r="51" spans="2:36" x14ac:dyDescent="0.25">
      <c r="B51" s="14" t="s">
        <v>18</v>
      </c>
      <c r="C51" s="14"/>
      <c r="D51" s="28" t="s">
        <v>42</v>
      </c>
      <c r="E51" s="30" t="s">
        <v>42</v>
      </c>
      <c r="F51" s="30" t="s">
        <v>42</v>
      </c>
      <c r="G51" s="30" t="s">
        <v>42</v>
      </c>
      <c r="H51" s="30" t="s">
        <v>42</v>
      </c>
      <c r="I51" s="28" t="s">
        <v>42</v>
      </c>
      <c r="J51" s="28" t="s">
        <v>42</v>
      </c>
      <c r="K51" s="28" t="s">
        <v>42</v>
      </c>
      <c r="L51" s="28" t="s">
        <v>42</v>
      </c>
      <c r="M51" s="28" t="s">
        <v>42</v>
      </c>
      <c r="N51" s="28" t="s">
        <v>42</v>
      </c>
      <c r="O51" s="28" t="s">
        <v>42</v>
      </c>
      <c r="P51" s="28" t="s">
        <v>42</v>
      </c>
      <c r="Q51" s="31" t="s">
        <v>42</v>
      </c>
      <c r="R51" s="28" t="s">
        <v>42</v>
      </c>
      <c r="S51" s="32" t="s">
        <v>42</v>
      </c>
      <c r="T51" s="28" t="s">
        <v>42</v>
      </c>
      <c r="U51" s="32" t="s">
        <v>42</v>
      </c>
      <c r="V51" s="28" t="s">
        <v>42</v>
      </c>
      <c r="W51" s="28" t="s">
        <v>42</v>
      </c>
      <c r="X51" s="32" t="s">
        <v>42</v>
      </c>
      <c r="Y51" s="32" t="s">
        <v>42</v>
      </c>
      <c r="Z51" s="15">
        <f>SUM(Z7:Z49)</f>
        <v>2704.5373700566306</v>
      </c>
      <c r="AA51" s="14"/>
      <c r="AB51" s="14"/>
      <c r="AC51" s="15">
        <f>SUM(AC7:AC49)</f>
        <v>30290.818544634261</v>
      </c>
      <c r="AD51" s="15">
        <f>SUM(AD7:AD49)</f>
        <v>5906.8185446342613</v>
      </c>
      <c r="AE51" s="21">
        <f t="shared" ref="AE51" si="15">IFERROR(AD51/AC51,0)</f>
        <v>0.19500359608738932</v>
      </c>
      <c r="AF51" s="15">
        <f>SUM(AF8:AF50)</f>
        <v>0</v>
      </c>
      <c r="AG51" s="15">
        <f>SUM(AG8:AG50)</f>
        <v>0</v>
      </c>
      <c r="AH51" s="15">
        <f>SUM(AH8:AH50)</f>
        <v>0</v>
      </c>
      <c r="AI51" s="15">
        <f>SUM(AI8:AI50)</f>
        <v>0</v>
      </c>
      <c r="AJ51" s="15">
        <f>SUM(AJ8:AJ50)</f>
        <v>0</v>
      </c>
    </row>
    <row r="52" spans="2:36" x14ac:dyDescent="0.25">
      <c r="B52" s="4"/>
      <c r="E52" s="3"/>
      <c r="F52" s="3"/>
      <c r="G52" s="3"/>
      <c r="H52" s="3"/>
      <c r="L52" s="4"/>
      <c r="M52" s="4"/>
      <c r="N52" s="4"/>
      <c r="O52" s="4"/>
      <c r="Q52" s="4"/>
      <c r="R52" s="4"/>
      <c r="S52" s="4"/>
      <c r="T52" s="4"/>
      <c r="U52" s="4"/>
      <c r="V52" s="4"/>
      <c r="W52" s="4"/>
      <c r="X52" s="4"/>
      <c r="Y52" s="9"/>
      <c r="Z52" s="9"/>
      <c r="AA52" s="9"/>
      <c r="AB52" s="9"/>
      <c r="AC52" s="9"/>
      <c r="AD52" s="9"/>
      <c r="AE52" s="9"/>
    </row>
    <row r="53" spans="2:36" x14ac:dyDescent="0.25">
      <c r="B53" s="4"/>
      <c r="E53" s="3"/>
      <c r="F53" s="3"/>
      <c r="G53" s="3"/>
      <c r="H53" s="3"/>
      <c r="L53" s="4"/>
      <c r="M53" s="4"/>
      <c r="N53" s="4"/>
      <c r="O53" s="4"/>
      <c r="Q53" s="9"/>
      <c r="R53" s="9"/>
      <c r="S53" s="9"/>
      <c r="T53" s="9"/>
      <c r="U53" s="9"/>
      <c r="V53" s="9"/>
      <c r="W53" s="9"/>
      <c r="X53" s="23"/>
      <c r="Y53" s="34" t="s">
        <v>102</v>
      </c>
      <c r="Z53" s="34"/>
      <c r="AA53" s="9"/>
      <c r="AB53" s="9"/>
      <c r="AC53" s="9"/>
      <c r="AD53" s="9"/>
      <c r="AE53" s="9"/>
    </row>
    <row r="54" spans="2:36" x14ac:dyDescent="0.25">
      <c r="B54" s="4"/>
      <c r="E54" s="3"/>
      <c r="F54" s="3"/>
      <c r="G54" s="3"/>
      <c r="H54" s="3"/>
      <c r="L54" s="4"/>
      <c r="M54" s="4"/>
      <c r="N54" s="4"/>
      <c r="O54" s="4"/>
      <c r="Q54" s="9"/>
      <c r="R54" s="9"/>
      <c r="S54" s="9"/>
      <c r="T54" s="9"/>
      <c r="U54" s="9"/>
      <c r="V54" s="9"/>
      <c r="W54" s="9"/>
      <c r="X54" s="9"/>
      <c r="Y54" s="35" t="s">
        <v>103</v>
      </c>
      <c r="Z54" s="34"/>
      <c r="AA54" s="9"/>
      <c r="AB54" s="9"/>
      <c r="AC54" s="9"/>
      <c r="AD54" s="9"/>
      <c r="AE54" s="9"/>
      <c r="AF54" s="18"/>
    </row>
    <row r="55" spans="2:36" x14ac:dyDescent="0.25">
      <c r="B55" s="4"/>
      <c r="E55" s="3"/>
      <c r="F55" s="3"/>
      <c r="G55" s="3"/>
      <c r="H55" s="3"/>
      <c r="I55" s="19"/>
      <c r="L55" s="4"/>
      <c r="M55" s="4"/>
      <c r="N55" s="4"/>
      <c r="O55" s="20"/>
      <c r="Q55" s="20"/>
      <c r="R55" s="20"/>
      <c r="S55" s="20"/>
      <c r="T55" s="20"/>
      <c r="U55" s="20"/>
      <c r="V55" s="20"/>
      <c r="W55" s="20"/>
      <c r="X55" s="20"/>
      <c r="Y55" s="34" t="s">
        <v>104</v>
      </c>
      <c r="Z55" s="34">
        <v>2720</v>
      </c>
      <c r="AA55" s="9"/>
      <c r="AB55" s="9"/>
      <c r="AC55" s="9"/>
      <c r="AD55" s="9"/>
      <c r="AE55" s="9"/>
      <c r="AF55" s="18"/>
    </row>
    <row r="56" spans="2:36" x14ac:dyDescent="0.25">
      <c r="B56" s="4"/>
      <c r="E56" s="3"/>
      <c r="F56" s="3"/>
      <c r="G56" s="3"/>
      <c r="H56" s="3"/>
      <c r="L56" s="4"/>
      <c r="M56" s="4"/>
      <c r="N56" s="4"/>
      <c r="O56" s="20"/>
      <c r="Q56" s="20"/>
      <c r="R56" s="20"/>
      <c r="S56" s="20"/>
      <c r="T56" s="20"/>
      <c r="U56" s="20"/>
      <c r="V56" s="20"/>
      <c r="W56" s="20"/>
      <c r="X56" s="20"/>
      <c r="Y56" s="34" t="s">
        <v>43</v>
      </c>
      <c r="Z56" s="34">
        <f>Z55/2</f>
        <v>1360</v>
      </c>
      <c r="AA56" s="9"/>
      <c r="AB56" s="9"/>
      <c r="AC56" s="9"/>
      <c r="AD56" s="9"/>
      <c r="AE56" s="9"/>
      <c r="AF56" s="18"/>
    </row>
    <row r="57" spans="2:36" x14ac:dyDescent="0.25">
      <c r="B57" s="4"/>
      <c r="E57" s="3"/>
      <c r="F57" s="3"/>
      <c r="G57" s="3"/>
      <c r="H57" s="3"/>
      <c r="L57" s="4"/>
      <c r="M57" s="4"/>
      <c r="N57" s="4"/>
      <c r="O57" s="4"/>
      <c r="Q57" s="9"/>
      <c r="R57" s="9"/>
      <c r="S57" s="9"/>
      <c r="T57" s="9"/>
      <c r="U57" s="9"/>
      <c r="V57" s="9"/>
      <c r="W57" s="9"/>
      <c r="X57" s="9"/>
      <c r="Y57" s="1"/>
      <c r="Z57" s="1"/>
      <c r="AA57" s="9"/>
      <c r="AB57" s="9"/>
      <c r="AC57" s="9"/>
      <c r="AD57" s="9"/>
      <c r="AE57" s="9"/>
      <c r="AF57" s="18"/>
    </row>
    <row r="58" spans="2:36" x14ac:dyDescent="0.25">
      <c r="F58" s="1"/>
      <c r="G58" s="1"/>
      <c r="H58" s="1"/>
      <c r="J58" s="1" t="s">
        <v>32</v>
      </c>
      <c r="Q58" s="9"/>
      <c r="R58" s="4"/>
      <c r="S58" s="9"/>
      <c r="T58" s="5"/>
      <c r="U58" s="9"/>
      <c r="V58" s="4"/>
      <c r="W58" s="4"/>
      <c r="X58" s="9"/>
      <c r="Y58" s="9"/>
      <c r="Z58" s="9"/>
      <c r="AA58" s="9"/>
      <c r="AB58" s="9"/>
      <c r="AC58" s="9"/>
      <c r="AD58" s="9"/>
      <c r="AE58" s="9"/>
    </row>
    <row r="59" spans="2:36" x14ac:dyDescent="0.25">
      <c r="R59" s="4"/>
      <c r="S59" s="17"/>
      <c r="T59" s="17"/>
      <c r="U59" s="9"/>
      <c r="V59" s="4"/>
      <c r="W59" s="4"/>
      <c r="X59" s="9"/>
      <c r="Y59" s="9"/>
      <c r="Z59" s="9" t="s">
        <v>307</v>
      </c>
      <c r="AA59" s="9"/>
      <c r="AB59" s="9"/>
      <c r="AC59" s="9"/>
      <c r="AD59" s="9"/>
      <c r="AE59" s="9"/>
    </row>
    <row r="60" spans="2:36" x14ac:dyDescent="0.25">
      <c r="Q60" s="9"/>
      <c r="R60" s="4"/>
      <c r="S60" s="16"/>
      <c r="T60" s="16"/>
      <c r="U60" s="9"/>
      <c r="V60" s="4"/>
      <c r="W60" s="4"/>
      <c r="X60" s="9"/>
      <c r="Y60" s="37" t="s">
        <v>325</v>
      </c>
      <c r="Z60" s="9">
        <f>Z55</f>
        <v>2720</v>
      </c>
      <c r="AA60" s="9"/>
      <c r="AB60" s="9"/>
      <c r="AC60" s="9"/>
      <c r="AD60" s="9"/>
      <c r="AE60" s="9"/>
    </row>
    <row r="61" spans="2:36" x14ac:dyDescent="0.25">
      <c r="R61" s="4"/>
      <c r="S61" s="16"/>
      <c r="T61" s="16"/>
      <c r="Y61" s="37" t="s">
        <v>326</v>
      </c>
      <c r="Z61" s="9">
        <f>Z60*1.1</f>
        <v>2992.0000000000005</v>
      </c>
      <c r="AA61" s="9"/>
      <c r="AB61" s="9"/>
      <c r="AC61" s="9"/>
      <c r="AD61" s="9"/>
      <c r="AE61" s="9"/>
    </row>
    <row r="62" spans="2:36" x14ac:dyDescent="0.25">
      <c r="T62" s="5"/>
      <c r="Y62" s="37" t="s">
        <v>327</v>
      </c>
      <c r="Z62" s="9">
        <f>Z60*1.2</f>
        <v>3264</v>
      </c>
      <c r="AA62" s="9"/>
      <c r="AB62" s="9"/>
      <c r="AC62" s="9"/>
      <c r="AD62" s="9"/>
      <c r="AE62" s="9"/>
    </row>
    <row r="63" spans="2:36" x14ac:dyDescent="0.25">
      <c r="T63" s="5"/>
      <c r="Y63" s="37" t="s">
        <v>328</v>
      </c>
      <c r="Z63" s="9">
        <f>Z60*0.8</f>
        <v>2176</v>
      </c>
      <c r="AA63" s="9"/>
      <c r="AB63" s="9"/>
      <c r="AC63" s="9"/>
      <c r="AD63" s="9"/>
      <c r="AE63" s="9"/>
    </row>
    <row r="64" spans="2:36" x14ac:dyDescent="0.25">
      <c r="T64" s="5"/>
      <c r="Y64" s="37" t="s">
        <v>330</v>
      </c>
      <c r="Z64" s="9" t="s">
        <v>329</v>
      </c>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c r="Y67" s="9"/>
      <c r="Z67" s="9"/>
      <c r="AA67" s="9"/>
      <c r="AB67" s="9"/>
      <c r="AC67" s="9"/>
      <c r="AD67" s="9"/>
      <c r="AE67" s="9"/>
    </row>
    <row r="68" spans="20:31" x14ac:dyDescent="0.25">
      <c r="T68" s="5"/>
      <c r="Y68" s="9"/>
      <c r="Z68" s="9"/>
      <c r="AA68" s="9"/>
      <c r="AB68" s="9"/>
      <c r="AC68" s="9"/>
      <c r="AD68" s="9"/>
      <c r="AE68" s="9"/>
    </row>
    <row r="69" spans="20:31" x14ac:dyDescent="0.25">
      <c r="T69" s="5"/>
      <c r="Y69" s="9"/>
      <c r="Z69" s="9"/>
      <c r="AA69" s="9"/>
      <c r="AB69" s="9"/>
      <c r="AC69" s="9"/>
      <c r="AD69" s="9"/>
      <c r="AE69" s="9"/>
    </row>
    <row r="70" spans="20:31" x14ac:dyDescent="0.25">
      <c r="T70" s="5"/>
    </row>
    <row r="71" spans="20:31" x14ac:dyDescent="0.25">
      <c r="T71" s="5"/>
    </row>
    <row r="72" spans="20:31" x14ac:dyDescent="0.25">
      <c r="T72" s="5"/>
    </row>
    <row r="73" spans="20:31" x14ac:dyDescent="0.25">
      <c r="T73" s="5"/>
    </row>
    <row r="74" spans="20:31" x14ac:dyDescent="0.25">
      <c r="T74" s="5"/>
    </row>
  </sheetData>
  <autoFilter ref="B6:AE51" xr:uid="{65FA6D9B-E0AF-46CD-BA0D-86BB75FE6AB0}"/>
  <hyperlinks>
    <hyperlink ref="P13" r:id="rId1" xr:uid="{86B8A991-E1D7-4A70-AEAA-DC765CEE50C1}"/>
    <hyperlink ref="P18" r:id="rId2" xr:uid="{D75BAF15-B5E0-49FC-94A8-2766CDCB4D32}"/>
    <hyperlink ref="P19" r:id="rId3" xr:uid="{EB420B92-ED27-4D60-87B8-07826BC7DBA0}"/>
    <hyperlink ref="P28" r:id="rId4" xr:uid="{0B5051DA-1C52-4604-A9EB-ADBEB1F346D2}"/>
    <hyperlink ref="P43" r:id="rId5" xr:uid="{1A22BA54-820F-4D4F-BFBB-9D293707FE39}"/>
    <hyperlink ref="P44" r:id="rId6" xr:uid="{A3B7E8EE-6C13-421C-876F-0A6AA58CAF6A}"/>
  </hyperlinks>
  <pageMargins left="0.7" right="0.7" top="0.75" bottom="0.75" header="0.3" footer="0.3"/>
  <pageSetup paperSize="9" orientation="portrait" r:id="rId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6882E-D3CE-4B4B-AE30-E678F4498F98}">
  <sheetPr>
    <tabColor rgb="FFFFFF00"/>
  </sheetPr>
  <dimension ref="B1:AK86"/>
  <sheetViews>
    <sheetView topLeftCell="A6" zoomScale="80" zoomScaleNormal="80" workbookViewId="0">
      <selection activeCell="J38" sqref="J38"/>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162</v>
      </c>
    </row>
    <row r="2" spans="2:36" x14ac:dyDescent="0.25">
      <c r="B2" s="2" t="s">
        <v>273</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25" si="0">+Q7*R7</f>
        <v>0</v>
      </c>
      <c r="T7" s="5">
        <v>0</v>
      </c>
      <c r="U7" s="12">
        <f t="shared" ref="U7:U25" si="1">S7*(1-T7)</f>
        <v>0</v>
      </c>
      <c r="V7" s="25" t="s">
        <v>10</v>
      </c>
      <c r="W7" s="11">
        <f>IFERROR(VLOOKUP(V7,Curr!$B$2:$C$13,2,FALSE),0)</f>
        <v>11.2</v>
      </c>
      <c r="X7" s="12">
        <f t="shared" ref="X7:X25" si="2">U7*W7</f>
        <v>0</v>
      </c>
      <c r="Y7" s="26">
        <f t="shared" ref="Y7:Y22" si="3">Q7</f>
        <v>0</v>
      </c>
      <c r="Z7" s="12">
        <f t="shared" ref="Z7:Z61" si="4">+Y7*R7</f>
        <v>0</v>
      </c>
      <c r="AA7" s="4" t="s">
        <v>10</v>
      </c>
      <c r="AB7" s="11">
        <f>IFERROR(VLOOKUP(AA7,Curr!$B$2:$C$13,2,FALSE),0)</f>
        <v>11.2</v>
      </c>
      <c r="AC7" s="12">
        <f t="shared" ref="AC7:AC61" si="5">+Y7*AB7*R7</f>
        <v>0</v>
      </c>
      <c r="AD7" s="12">
        <f t="shared" ref="AD7:AD61" si="6">+AC7-X7</f>
        <v>0</v>
      </c>
      <c r="AE7" s="13">
        <f t="shared" ref="AE7:AE61"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231</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Q9/0.85</f>
        <v>176.47058823529412</v>
      </c>
      <c r="Z9" s="12">
        <f t="shared" si="4"/>
        <v>176.47058823529412</v>
      </c>
      <c r="AA9" s="4" t="s">
        <v>10</v>
      </c>
      <c r="AB9" s="11">
        <f>IFERROR(VLOOKUP(AA9,Curr!$B$2:$C$13,2,FALSE),0)</f>
        <v>11.2</v>
      </c>
      <c r="AC9" s="12">
        <f t="shared" si="5"/>
        <v>1976.4705882352939</v>
      </c>
      <c r="AD9" s="12">
        <f t="shared" si="6"/>
        <v>296.47058823529392</v>
      </c>
      <c r="AE9" s="13">
        <f t="shared" si="7"/>
        <v>0.14999999999999991</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27"/>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73</v>
      </c>
      <c r="E13" s="3"/>
      <c r="F13" s="3"/>
      <c r="G13" s="24"/>
      <c r="H13" s="24"/>
      <c r="J13" s="1" t="s">
        <v>101</v>
      </c>
      <c r="K13" s="4"/>
      <c r="L13" s="4"/>
      <c r="M13" s="4"/>
      <c r="N13" s="4"/>
      <c r="O13" s="4" t="s">
        <v>42</v>
      </c>
      <c r="P13" s="33" t="s">
        <v>100</v>
      </c>
      <c r="Q13" s="25">
        <v>3450</v>
      </c>
      <c r="R13" s="25">
        <v>2</v>
      </c>
      <c r="S13" s="12">
        <f t="shared" si="0"/>
        <v>6900</v>
      </c>
      <c r="T13" s="5">
        <v>0.08</v>
      </c>
      <c r="U13" s="12">
        <f t="shared" si="1"/>
        <v>6348</v>
      </c>
      <c r="V13" s="25" t="s">
        <v>8</v>
      </c>
      <c r="W13" s="11">
        <f>IFERROR(VLOOKUP(V13,Curr!$B$2:$C$13,2,FALSE),0)</f>
        <v>1</v>
      </c>
      <c r="X13" s="12">
        <f t="shared" si="2"/>
        <v>6348</v>
      </c>
      <c r="Y13" s="26">
        <f>Q13/11.3/0.9</f>
        <v>339.23303834808252</v>
      </c>
      <c r="Z13" s="12">
        <f t="shared" si="4"/>
        <v>678.46607669616503</v>
      </c>
      <c r="AA13" s="4" t="s">
        <v>10</v>
      </c>
      <c r="AB13" s="11">
        <f>IFERROR(VLOOKUP(AA13,Curr!$B$2:$C$13,2,FALSE),0)</f>
        <v>11.2</v>
      </c>
      <c r="AC13" s="12">
        <f t="shared" si="5"/>
        <v>7598.8200589970475</v>
      </c>
      <c r="AD13" s="12">
        <f t="shared" si="6"/>
        <v>1250.8200589970475</v>
      </c>
      <c r="AE13" s="13">
        <f t="shared" si="7"/>
        <v>0.16460714285714256</v>
      </c>
    </row>
    <row r="14" spans="2:36" x14ac:dyDescent="0.25">
      <c r="B14" s="4"/>
      <c r="C14" s="1" t="s">
        <v>63</v>
      </c>
      <c r="D14" s="1" t="s">
        <v>50</v>
      </c>
      <c r="E14" s="3"/>
      <c r="F14" s="3"/>
      <c r="G14" s="24"/>
      <c r="H14" s="24"/>
      <c r="J14" s="1" t="s">
        <v>67</v>
      </c>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ref="Y14:Y16" si="8">Q14</f>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71</v>
      </c>
      <c r="K15" s="4"/>
      <c r="L15" s="4"/>
      <c r="M15" s="4"/>
      <c r="N15" s="4"/>
      <c r="O15" s="4"/>
      <c r="P15" s="33"/>
      <c r="Q15" s="25">
        <v>400</v>
      </c>
      <c r="R15" s="25">
        <v>1</v>
      </c>
      <c r="S15" s="12">
        <f t="shared" si="0"/>
        <v>400</v>
      </c>
      <c r="T15" s="5">
        <v>0</v>
      </c>
      <c r="U15" s="12">
        <f t="shared" si="1"/>
        <v>400</v>
      </c>
      <c r="V15" s="25" t="s">
        <v>10</v>
      </c>
      <c r="W15" s="11">
        <f>IFERROR(VLOOKUP(V15,Curr!$B$2:$C$13,2,FALSE),0)</f>
        <v>11.2</v>
      </c>
      <c r="X15" s="12">
        <f t="shared" si="2"/>
        <v>4480</v>
      </c>
      <c r="Y15" s="26">
        <f>Q15/0.85</f>
        <v>470.58823529411768</v>
      </c>
      <c r="Z15" s="12">
        <f t="shared" si="4"/>
        <v>470.58823529411768</v>
      </c>
      <c r="AA15" s="4" t="s">
        <v>10</v>
      </c>
      <c r="AB15" s="11">
        <f>IFERROR(VLOOKUP(AA15,Curr!$B$2:$C$13,2,FALSE),0)</f>
        <v>11.2</v>
      </c>
      <c r="AC15" s="12">
        <f t="shared" si="5"/>
        <v>5270.588235294118</v>
      </c>
      <c r="AD15" s="12">
        <f t="shared" si="6"/>
        <v>790.58823529411802</v>
      </c>
      <c r="AE15" s="13">
        <f t="shared" si="7"/>
        <v>0.15000000000000005</v>
      </c>
    </row>
    <row r="16" spans="2:36" x14ac:dyDescent="0.25">
      <c r="B16" s="4"/>
      <c r="C16" s="1" t="s">
        <v>63</v>
      </c>
      <c r="D16" s="1" t="s">
        <v>53</v>
      </c>
      <c r="E16" s="3"/>
      <c r="F16" s="3"/>
      <c r="G16" s="24"/>
      <c r="H16" s="24"/>
      <c r="J16" s="1" t="s">
        <v>68</v>
      </c>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8"/>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0"/>
        <v>0</v>
      </c>
      <c r="T17" s="5">
        <v>0</v>
      </c>
      <c r="U17" s="12">
        <f t="shared" si="1"/>
        <v>0</v>
      </c>
      <c r="V17" s="25" t="s">
        <v>10</v>
      </c>
      <c r="W17" s="11">
        <f>IFERROR(VLOOKUP(V17,Curr!$B$2:$C$13,2,FALSE),0)</f>
        <v>11.2</v>
      </c>
      <c r="X17" s="12">
        <f t="shared" si="2"/>
        <v>0</v>
      </c>
      <c r="Y17" s="26">
        <f t="shared" si="3"/>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0"/>
        <v>580</v>
      </c>
      <c r="T18" s="5">
        <v>0.2</v>
      </c>
      <c r="U18" s="12">
        <f t="shared" si="1"/>
        <v>464</v>
      </c>
      <c r="V18" s="25" t="s">
        <v>8</v>
      </c>
      <c r="W18" s="11">
        <f>IFERROR(VLOOKUP(V18,Curr!$B$2:$C$13,2,FALSE),0)</f>
        <v>1</v>
      </c>
      <c r="X18" s="12">
        <f t="shared" si="2"/>
        <v>464</v>
      </c>
      <c r="Y18" s="26">
        <f>Q18/11.3/0.64</f>
        <v>40.099557522123888</v>
      </c>
      <c r="Z18" s="12">
        <f t="shared" si="4"/>
        <v>80.199115044247776</v>
      </c>
      <c r="AA18" s="4" t="s">
        <v>10</v>
      </c>
      <c r="AB18" s="11">
        <f>IFERROR(VLOOKUP(AA18,Curr!$B$2:$C$13,2,FALSE),0)</f>
        <v>11.2</v>
      </c>
      <c r="AC18" s="12">
        <f t="shared" si="5"/>
        <v>898.23008849557505</v>
      </c>
      <c r="AD18" s="12">
        <f t="shared" si="6"/>
        <v>434.23008849557505</v>
      </c>
      <c r="AE18" s="13">
        <f t="shared" si="7"/>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0"/>
        <v>350</v>
      </c>
      <c r="T19" s="5">
        <v>0</v>
      </c>
      <c r="U19" s="12">
        <f t="shared" si="1"/>
        <v>350</v>
      </c>
      <c r="V19" s="25" t="s">
        <v>8</v>
      </c>
      <c r="W19" s="11">
        <f>IFERROR(VLOOKUP(V19,Curr!$B$2:$C$13,2,FALSE),0)</f>
        <v>1</v>
      </c>
      <c r="X19" s="12">
        <f t="shared" si="2"/>
        <v>350</v>
      </c>
      <c r="Y19" s="26">
        <f>Q19/11.3/0.5</f>
        <v>30.973451327433626</v>
      </c>
      <c r="Z19" s="12">
        <f t="shared" si="4"/>
        <v>61.946902654867252</v>
      </c>
      <c r="AA19" s="4" t="s">
        <v>10</v>
      </c>
      <c r="AB19" s="11">
        <f>IFERROR(VLOOKUP(AA19,Curr!$B$2:$C$13,2,FALSE),0)</f>
        <v>11.2</v>
      </c>
      <c r="AC19" s="12">
        <f t="shared" si="5"/>
        <v>693.80530973451323</v>
      </c>
      <c r="AD19" s="12">
        <f t="shared" si="6"/>
        <v>343.80530973451323</v>
      </c>
      <c r="AE19" s="13">
        <f t="shared" si="7"/>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ref="Y20" si="9">Q20</f>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11.2</v>
      </c>
      <c r="X21" s="12">
        <f t="shared" si="2"/>
        <v>0</v>
      </c>
      <c r="Y21" s="26">
        <f t="shared" si="3"/>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50</v>
      </c>
      <c r="E22" s="3"/>
      <c r="F22" s="3"/>
      <c r="G22" s="24"/>
      <c r="H22" s="24"/>
      <c r="J22" s="1" t="s">
        <v>83</v>
      </c>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3"/>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79</v>
      </c>
      <c r="E23" s="3"/>
      <c r="F23" s="3"/>
      <c r="G23" s="24"/>
      <c r="H23" s="24"/>
      <c r="J23" s="1" t="s">
        <v>269</v>
      </c>
      <c r="K23" s="4"/>
      <c r="L23" s="4"/>
      <c r="M23" s="4"/>
      <c r="N23" s="4"/>
      <c r="O23" s="4"/>
      <c r="P23" s="29"/>
      <c r="Q23" s="25">
        <v>1600</v>
      </c>
      <c r="R23" s="25">
        <v>2</v>
      </c>
      <c r="S23" s="12">
        <f t="shared" si="0"/>
        <v>3200</v>
      </c>
      <c r="T23" s="5">
        <v>0</v>
      </c>
      <c r="U23" s="12">
        <f t="shared" si="1"/>
        <v>3200</v>
      </c>
      <c r="V23" s="25" t="s">
        <v>8</v>
      </c>
      <c r="W23" s="11">
        <f>IFERROR(VLOOKUP(V23,Curr!$B$2:$C$13,2,FALSE),0)</f>
        <v>1</v>
      </c>
      <c r="X23" s="12">
        <f t="shared" si="2"/>
        <v>3200</v>
      </c>
      <c r="Y23" s="26">
        <f>Q23/11/0.8</f>
        <v>181.81818181818181</v>
      </c>
      <c r="Z23" s="12">
        <f t="shared" si="4"/>
        <v>363.63636363636363</v>
      </c>
      <c r="AA23" s="4" t="s">
        <v>10</v>
      </c>
      <c r="AB23" s="11">
        <f>IFERROR(VLOOKUP(AA23,Curr!$B$2:$C$13,2,FALSE),0)</f>
        <v>11.2</v>
      </c>
      <c r="AC23" s="12">
        <f t="shared" si="5"/>
        <v>4072.7272727272725</v>
      </c>
      <c r="AD23" s="12">
        <f t="shared" si="6"/>
        <v>872.72727272727252</v>
      </c>
      <c r="AE23" s="13">
        <f t="shared" si="7"/>
        <v>0.21428571428571425</v>
      </c>
    </row>
    <row r="24" spans="2:31" x14ac:dyDescent="0.25">
      <c r="B24" s="4"/>
      <c r="C24" s="1" t="s">
        <v>78</v>
      </c>
      <c r="D24" s="1" t="s">
        <v>50</v>
      </c>
      <c r="E24" s="3"/>
      <c r="F24" s="3"/>
      <c r="G24" s="24"/>
      <c r="H24" s="24"/>
      <c r="J24" s="1" t="s">
        <v>270</v>
      </c>
      <c r="K24" s="4"/>
      <c r="L24" s="4"/>
      <c r="M24" s="4"/>
      <c r="N24" s="4"/>
      <c r="O24" s="4"/>
      <c r="P24" s="27"/>
      <c r="Q24" s="25">
        <v>0</v>
      </c>
      <c r="R24" s="25">
        <v>0</v>
      </c>
      <c r="S24" s="12">
        <f t="shared" si="0"/>
        <v>0</v>
      </c>
      <c r="T24" s="5">
        <v>0</v>
      </c>
      <c r="U24" s="12">
        <f t="shared" si="1"/>
        <v>0</v>
      </c>
      <c r="V24" s="25" t="s">
        <v>10</v>
      </c>
      <c r="W24" s="11">
        <f>IFERROR(VLOOKUP(V24,Curr!$B$2:$C$13,2,FALSE),0)</f>
        <v>11.2</v>
      </c>
      <c r="X24" s="12">
        <f t="shared" si="2"/>
        <v>0</v>
      </c>
      <c r="Y24" s="26">
        <f t="shared" ref="Y24" si="10">Q24</f>
        <v>0</v>
      </c>
      <c r="Z24" s="12">
        <f t="shared" si="4"/>
        <v>0</v>
      </c>
      <c r="AA24" s="4" t="s">
        <v>10</v>
      </c>
      <c r="AB24" s="11">
        <f>IFERROR(VLOOKUP(AA24,Curr!$B$2:$C$13,2,FALSE),0)</f>
        <v>11.2</v>
      </c>
      <c r="AC24" s="12">
        <f t="shared" si="5"/>
        <v>0</v>
      </c>
      <c r="AD24" s="12">
        <f t="shared" si="6"/>
        <v>0</v>
      </c>
      <c r="AE24" s="13">
        <f t="shared" si="7"/>
        <v>0</v>
      </c>
    </row>
    <row r="25" spans="2:31" x14ac:dyDescent="0.25">
      <c r="B25" s="4"/>
      <c r="C25" s="1" t="s">
        <v>78</v>
      </c>
      <c r="D25" s="1" t="s">
        <v>52</v>
      </c>
      <c r="E25" s="3"/>
      <c r="F25" s="3"/>
      <c r="G25" s="24"/>
      <c r="H25" s="24"/>
      <c r="J25" s="1" t="s">
        <v>271</v>
      </c>
      <c r="K25" s="4"/>
      <c r="L25" s="4"/>
      <c r="M25" s="4"/>
      <c r="N25" s="4"/>
      <c r="O25" s="4"/>
      <c r="P25" s="27"/>
      <c r="Q25" s="25">
        <v>320</v>
      </c>
      <c r="R25" s="25">
        <v>1</v>
      </c>
      <c r="S25" s="12">
        <f t="shared" si="0"/>
        <v>320</v>
      </c>
      <c r="T25" s="5">
        <v>0</v>
      </c>
      <c r="U25" s="12">
        <f t="shared" si="1"/>
        <v>320</v>
      </c>
      <c r="V25" s="25" t="s">
        <v>10</v>
      </c>
      <c r="W25" s="11">
        <f>IFERROR(VLOOKUP(V25,Curr!$B$2:$C$13,2,FALSE),0)</f>
        <v>11.2</v>
      </c>
      <c r="X25" s="12">
        <f t="shared" si="2"/>
        <v>3584</v>
      </c>
      <c r="Y25" s="26">
        <f>Q25/0.8</f>
        <v>400</v>
      </c>
      <c r="Z25" s="12">
        <f t="shared" si="4"/>
        <v>400</v>
      </c>
      <c r="AA25" s="4" t="s">
        <v>10</v>
      </c>
      <c r="AB25" s="11">
        <f>IFERROR(VLOOKUP(AA25,Curr!$B$2:$C$13,2,FALSE),0)</f>
        <v>11.2</v>
      </c>
      <c r="AC25" s="12">
        <f t="shared" si="5"/>
        <v>4480</v>
      </c>
      <c r="AD25" s="12">
        <f t="shared" si="6"/>
        <v>896</v>
      </c>
      <c r="AE25" s="13">
        <f t="shared" si="7"/>
        <v>0.2</v>
      </c>
    </row>
    <row r="26" spans="2:31" x14ac:dyDescent="0.25">
      <c r="B26" s="4"/>
      <c r="C26" s="1" t="s">
        <v>78</v>
      </c>
      <c r="D26" s="1" t="s">
        <v>53</v>
      </c>
      <c r="E26" s="3"/>
      <c r="F26" s="3"/>
      <c r="G26" s="24"/>
      <c r="H26" s="24"/>
      <c r="J26" s="1" t="s">
        <v>268</v>
      </c>
      <c r="K26" s="4"/>
      <c r="L26" s="4"/>
      <c r="M26" s="4"/>
      <c r="N26" s="4"/>
      <c r="O26" s="4"/>
      <c r="P26" s="27"/>
      <c r="Q26" s="25">
        <v>0</v>
      </c>
      <c r="R26" s="25">
        <v>0</v>
      </c>
      <c r="S26" s="12">
        <f t="shared" ref="S26:S29" si="11">+Q26*R26</f>
        <v>0</v>
      </c>
      <c r="T26" s="5">
        <v>0</v>
      </c>
      <c r="U26" s="12">
        <f t="shared" ref="U26:U29" si="12">S26*(1-T26)</f>
        <v>0</v>
      </c>
      <c r="V26" s="25" t="s">
        <v>10</v>
      </c>
      <c r="W26" s="11">
        <f>IFERROR(VLOOKUP(V26,Curr!$B$2:$C$13,2,FALSE),0)</f>
        <v>11.2</v>
      </c>
      <c r="X26" s="12">
        <f t="shared" ref="X26:X29" si="13">U26*W26</f>
        <v>0</v>
      </c>
      <c r="Y26" s="26">
        <f t="shared" ref="Y26:Y29" si="14">Q26</f>
        <v>0</v>
      </c>
      <c r="Z26" s="12">
        <f t="shared" si="4"/>
        <v>0</v>
      </c>
      <c r="AA26" s="4" t="s">
        <v>10</v>
      </c>
      <c r="AB26" s="11">
        <f>IFERROR(VLOOKUP(AA26,Curr!$B$2:$C$13,2,FALSE),0)</f>
        <v>11.2</v>
      </c>
      <c r="AC26" s="12">
        <f t="shared" si="5"/>
        <v>0</v>
      </c>
      <c r="AD26" s="12">
        <f t="shared" si="6"/>
        <v>0</v>
      </c>
      <c r="AE26" s="13">
        <f t="shared" si="7"/>
        <v>0</v>
      </c>
    </row>
    <row r="27" spans="2:31" x14ac:dyDescent="0.25">
      <c r="B27" s="4"/>
      <c r="E27" s="3"/>
      <c r="F27" s="3"/>
      <c r="G27" s="24"/>
      <c r="H27" s="24"/>
      <c r="K27" s="4"/>
      <c r="L27" s="4"/>
      <c r="M27" s="4"/>
      <c r="N27" s="4"/>
      <c r="O27" s="4"/>
      <c r="P27" s="33"/>
      <c r="Q27" s="25"/>
      <c r="R27" s="25"/>
      <c r="S27" s="12">
        <f t="shared" si="11"/>
        <v>0</v>
      </c>
      <c r="T27" s="5">
        <v>0</v>
      </c>
      <c r="U27" s="12">
        <f t="shared" si="12"/>
        <v>0</v>
      </c>
      <c r="V27" s="25" t="s">
        <v>10</v>
      </c>
      <c r="W27" s="11">
        <f>IFERROR(VLOOKUP(V27,Curr!$B$2:$C$13,2,FALSE),0)</f>
        <v>11.2</v>
      </c>
      <c r="X27" s="12">
        <f t="shared" si="13"/>
        <v>0</v>
      </c>
      <c r="Y27" s="26">
        <f t="shared" si="14"/>
        <v>0</v>
      </c>
      <c r="Z27" s="12">
        <f t="shared" si="4"/>
        <v>0</v>
      </c>
      <c r="AA27" s="4" t="s">
        <v>10</v>
      </c>
      <c r="AB27" s="11">
        <f>IFERROR(VLOOKUP(AA27,Curr!$B$2:$C$13,2,FALSE),0)</f>
        <v>11.2</v>
      </c>
      <c r="AC27" s="12">
        <f t="shared" si="5"/>
        <v>0</v>
      </c>
      <c r="AD27" s="12">
        <f t="shared" si="6"/>
        <v>0</v>
      </c>
      <c r="AE27" s="13">
        <f t="shared" si="7"/>
        <v>0</v>
      </c>
    </row>
    <row r="28" spans="2:31" x14ac:dyDescent="0.25">
      <c r="B28" s="4"/>
      <c r="C28" s="1" t="s">
        <v>80</v>
      </c>
      <c r="D28" s="1" t="s">
        <v>73</v>
      </c>
      <c r="E28" s="3"/>
      <c r="F28" s="3"/>
      <c r="G28" s="24"/>
      <c r="H28" s="24"/>
      <c r="J28" s="1" t="s">
        <v>274</v>
      </c>
      <c r="K28" s="4"/>
      <c r="L28" s="4"/>
      <c r="M28" s="4"/>
      <c r="N28" s="4"/>
      <c r="O28" s="4"/>
      <c r="P28" s="33" t="s">
        <v>275</v>
      </c>
      <c r="Q28" s="25">
        <v>2139</v>
      </c>
      <c r="R28" s="25">
        <v>2</v>
      </c>
      <c r="S28" s="12">
        <f t="shared" si="11"/>
        <v>4278</v>
      </c>
      <c r="T28" s="5">
        <v>0</v>
      </c>
      <c r="U28" s="12">
        <f t="shared" si="12"/>
        <v>4278</v>
      </c>
      <c r="V28" s="25" t="s">
        <v>8</v>
      </c>
      <c r="W28" s="11">
        <f>IFERROR(VLOOKUP(V28,Curr!$B$2:$C$13,2,FALSE),0)</f>
        <v>1</v>
      </c>
      <c r="X28" s="12">
        <f t="shared" si="13"/>
        <v>4278</v>
      </c>
      <c r="Y28" s="26">
        <f>Q28/11.3/0.8</f>
        <v>236.61504424778758</v>
      </c>
      <c r="Z28" s="12">
        <f t="shared" si="4"/>
        <v>473.23008849557516</v>
      </c>
      <c r="AA28" s="4" t="s">
        <v>10</v>
      </c>
      <c r="AB28" s="11">
        <f>IFERROR(VLOOKUP(AA28,Curr!$B$2:$C$13,2,FALSE),0)</f>
        <v>11.2</v>
      </c>
      <c r="AC28" s="12">
        <f t="shared" si="5"/>
        <v>5300.1769911504416</v>
      </c>
      <c r="AD28" s="12">
        <f t="shared" si="6"/>
        <v>1022.1769911504416</v>
      </c>
      <c r="AE28" s="13">
        <f t="shared" si="7"/>
        <v>0.19285714285714273</v>
      </c>
    </row>
    <row r="29" spans="2:31" x14ac:dyDescent="0.25">
      <c r="B29" s="4"/>
      <c r="C29" s="1" t="s">
        <v>80</v>
      </c>
      <c r="D29" s="1" t="s">
        <v>53</v>
      </c>
      <c r="E29" s="3"/>
      <c r="F29" s="3"/>
      <c r="G29" s="24"/>
      <c r="H29" s="24"/>
      <c r="J29" s="1" t="s">
        <v>268</v>
      </c>
      <c r="K29" s="4"/>
      <c r="L29" s="4"/>
      <c r="M29" s="4"/>
      <c r="N29" s="4"/>
      <c r="O29" s="4"/>
      <c r="P29" s="29"/>
      <c r="Q29" s="25">
        <v>0</v>
      </c>
      <c r="R29" s="25">
        <v>0</v>
      </c>
      <c r="S29" s="12">
        <f t="shared" si="11"/>
        <v>0</v>
      </c>
      <c r="T29" s="5">
        <v>0</v>
      </c>
      <c r="U29" s="12">
        <f t="shared" si="12"/>
        <v>0</v>
      </c>
      <c r="V29" s="25" t="s">
        <v>10</v>
      </c>
      <c r="W29" s="11">
        <f>IFERROR(VLOOKUP(V29,Curr!$B$2:$C$13,2,FALSE),0)</f>
        <v>11.2</v>
      </c>
      <c r="X29" s="12">
        <f t="shared" si="13"/>
        <v>0</v>
      </c>
      <c r="Y29" s="26">
        <f t="shared" si="14"/>
        <v>0</v>
      </c>
      <c r="Z29" s="12">
        <f t="shared" si="4"/>
        <v>0</v>
      </c>
      <c r="AA29" s="4" t="s">
        <v>10</v>
      </c>
      <c r="AB29" s="11">
        <f>IFERROR(VLOOKUP(AA29,Curr!$B$2:$C$13,2,FALSE),0)</f>
        <v>11.2</v>
      </c>
      <c r="AC29" s="12">
        <f t="shared" si="5"/>
        <v>0</v>
      </c>
      <c r="AD29" s="12">
        <f t="shared" si="6"/>
        <v>0</v>
      </c>
      <c r="AE29" s="13">
        <f t="shared" si="7"/>
        <v>0</v>
      </c>
    </row>
    <row r="30" spans="2:31" x14ac:dyDescent="0.25">
      <c r="B30" s="4"/>
      <c r="E30" s="3"/>
      <c r="F30" s="3"/>
      <c r="G30" s="24"/>
      <c r="H30" s="24"/>
      <c r="K30" s="4"/>
      <c r="L30" s="4"/>
      <c r="M30" s="4"/>
      <c r="N30" s="4"/>
      <c r="O30" s="4"/>
      <c r="P30" s="33"/>
      <c r="Q30" s="25"/>
      <c r="R30" s="25"/>
      <c r="S30" s="12">
        <f t="shared" ref="S30:S61" si="15">+Q30*R30</f>
        <v>0</v>
      </c>
      <c r="T30" s="5">
        <v>0</v>
      </c>
      <c r="U30" s="12">
        <f t="shared" ref="U30:U61" si="16">S30*(1-T30)</f>
        <v>0</v>
      </c>
      <c r="V30" s="25" t="s">
        <v>10</v>
      </c>
      <c r="W30" s="11">
        <f>IFERROR(VLOOKUP(V30,Curr!$B$2:$C$13,2,FALSE),0)</f>
        <v>11.2</v>
      </c>
      <c r="X30" s="12">
        <f t="shared" ref="X30:X61" si="17">U30*W30</f>
        <v>0</v>
      </c>
      <c r="Y30" s="26">
        <f t="shared" ref="Y30:Y61" si="18">Q30</f>
        <v>0</v>
      </c>
      <c r="Z30" s="12">
        <f t="shared" si="4"/>
        <v>0</v>
      </c>
      <c r="AA30" s="4" t="s">
        <v>10</v>
      </c>
      <c r="AB30" s="11">
        <f>IFERROR(VLOOKUP(AA30,Curr!$B$2:$C$13,2,FALSE),0)</f>
        <v>11.2</v>
      </c>
      <c r="AC30" s="12">
        <f t="shared" si="5"/>
        <v>0</v>
      </c>
      <c r="AD30" s="12">
        <f t="shared" si="6"/>
        <v>0</v>
      </c>
      <c r="AE30" s="13">
        <f t="shared" si="7"/>
        <v>0</v>
      </c>
    </row>
    <row r="31" spans="2:31" x14ac:dyDescent="0.25">
      <c r="B31" s="4"/>
      <c r="C31" s="1" t="s">
        <v>81</v>
      </c>
      <c r="D31" s="1" t="s">
        <v>50</v>
      </c>
      <c r="E31" s="3"/>
      <c r="F31" s="3"/>
      <c r="G31" s="24"/>
      <c r="H31" s="24"/>
      <c r="J31" s="1" t="s">
        <v>279</v>
      </c>
      <c r="K31" s="4"/>
      <c r="L31" s="4"/>
      <c r="M31" s="4"/>
      <c r="N31" s="4"/>
      <c r="O31" s="4"/>
      <c r="P31" s="33"/>
      <c r="Q31" s="25">
        <v>0</v>
      </c>
      <c r="R31" s="25">
        <v>0</v>
      </c>
      <c r="S31" s="12">
        <f t="shared" si="15"/>
        <v>0</v>
      </c>
      <c r="T31" s="5">
        <v>0</v>
      </c>
      <c r="U31" s="12">
        <f t="shared" si="16"/>
        <v>0</v>
      </c>
      <c r="V31" s="25" t="s">
        <v>10</v>
      </c>
      <c r="W31" s="11">
        <f>IFERROR(VLOOKUP(V31,Curr!$B$2:$C$13,2,FALSE),0)</f>
        <v>11.2</v>
      </c>
      <c r="X31" s="12">
        <f t="shared" si="17"/>
        <v>0</v>
      </c>
      <c r="Y31" s="26">
        <f t="shared" si="18"/>
        <v>0</v>
      </c>
      <c r="Z31" s="12">
        <f t="shared" si="4"/>
        <v>0</v>
      </c>
      <c r="AA31" s="4" t="s">
        <v>10</v>
      </c>
      <c r="AB31" s="11">
        <f>IFERROR(VLOOKUP(AA31,Curr!$B$2:$C$13,2,FALSE),0)</f>
        <v>11.2</v>
      </c>
      <c r="AC31" s="12">
        <f t="shared" si="5"/>
        <v>0</v>
      </c>
      <c r="AD31" s="12">
        <f t="shared" si="6"/>
        <v>0</v>
      </c>
      <c r="AE31" s="13">
        <f t="shared" si="7"/>
        <v>0</v>
      </c>
    </row>
    <row r="32" spans="2:31" x14ac:dyDescent="0.25">
      <c r="B32" s="4"/>
      <c r="C32" s="1" t="s">
        <v>81</v>
      </c>
      <c r="D32" s="1" t="s">
        <v>129</v>
      </c>
      <c r="E32" s="3"/>
      <c r="F32" s="3"/>
      <c r="G32" s="24"/>
      <c r="H32" s="24"/>
      <c r="J32" s="1" t="s">
        <v>280</v>
      </c>
      <c r="K32" s="4"/>
      <c r="L32" s="4"/>
      <c r="M32" s="4"/>
      <c r="N32" s="4"/>
      <c r="O32" s="4"/>
      <c r="P32" s="33"/>
      <c r="Q32" s="25">
        <v>0</v>
      </c>
      <c r="R32" s="25">
        <v>0</v>
      </c>
      <c r="S32" s="12">
        <f t="shared" si="15"/>
        <v>0</v>
      </c>
      <c r="T32" s="5">
        <v>0</v>
      </c>
      <c r="U32" s="12">
        <f t="shared" si="16"/>
        <v>0</v>
      </c>
      <c r="V32" s="25" t="s">
        <v>10</v>
      </c>
      <c r="W32" s="11">
        <f>IFERROR(VLOOKUP(V32,Curr!$B$2:$C$13,2,FALSE),0)</f>
        <v>11.2</v>
      </c>
      <c r="X32" s="12">
        <f t="shared" si="17"/>
        <v>0</v>
      </c>
      <c r="Y32" s="26">
        <f t="shared" si="18"/>
        <v>0</v>
      </c>
      <c r="Z32" s="12">
        <f t="shared" si="4"/>
        <v>0</v>
      </c>
      <c r="AA32" s="4" t="s">
        <v>10</v>
      </c>
      <c r="AB32" s="11">
        <f>IFERROR(VLOOKUP(AA32,Curr!$B$2:$C$13,2,FALSE),0)</f>
        <v>11.2</v>
      </c>
      <c r="AC32" s="12">
        <f t="shared" si="5"/>
        <v>0</v>
      </c>
      <c r="AD32" s="12">
        <f t="shared" si="6"/>
        <v>0</v>
      </c>
      <c r="AE32" s="13">
        <f t="shared" si="7"/>
        <v>0</v>
      </c>
    </row>
    <row r="33" spans="2:31" x14ac:dyDescent="0.25">
      <c r="B33" s="4"/>
      <c r="C33" s="1" t="s">
        <v>81</v>
      </c>
      <c r="D33" s="1" t="s">
        <v>50</v>
      </c>
      <c r="E33" s="3"/>
      <c r="F33" s="3"/>
      <c r="G33" s="24"/>
      <c r="H33" s="24"/>
      <c r="J33" s="1" t="s">
        <v>224</v>
      </c>
      <c r="K33" s="4"/>
      <c r="L33" s="4"/>
      <c r="M33" s="4"/>
      <c r="N33" s="4"/>
      <c r="O33" s="4"/>
      <c r="P33" s="33"/>
      <c r="Q33" s="25">
        <v>0</v>
      </c>
      <c r="R33" s="25">
        <v>0</v>
      </c>
      <c r="S33" s="12">
        <f t="shared" si="15"/>
        <v>0</v>
      </c>
      <c r="T33" s="5">
        <v>0</v>
      </c>
      <c r="U33" s="12">
        <f t="shared" si="16"/>
        <v>0</v>
      </c>
      <c r="V33" s="25" t="s">
        <v>10</v>
      </c>
      <c r="W33" s="11">
        <f>IFERROR(VLOOKUP(V33,Curr!$B$2:$C$13,2,FALSE),0)</f>
        <v>11.2</v>
      </c>
      <c r="X33" s="12">
        <f t="shared" si="17"/>
        <v>0</v>
      </c>
      <c r="Y33" s="26">
        <f t="shared" si="18"/>
        <v>0</v>
      </c>
      <c r="Z33" s="12">
        <f t="shared" si="4"/>
        <v>0</v>
      </c>
      <c r="AA33" s="4" t="s">
        <v>10</v>
      </c>
      <c r="AB33" s="11">
        <f>IFERROR(VLOOKUP(AA33,Curr!$B$2:$C$13,2,FALSE),0)</f>
        <v>11.2</v>
      </c>
      <c r="AC33" s="12">
        <f t="shared" si="5"/>
        <v>0</v>
      </c>
      <c r="AD33" s="12">
        <f t="shared" si="6"/>
        <v>0</v>
      </c>
      <c r="AE33" s="13">
        <f t="shared" si="7"/>
        <v>0</v>
      </c>
    </row>
    <row r="34" spans="2:31" x14ac:dyDescent="0.25">
      <c r="B34" s="4"/>
      <c r="C34" s="1" t="s">
        <v>81</v>
      </c>
      <c r="D34" s="1" t="s">
        <v>52</v>
      </c>
      <c r="E34" s="3"/>
      <c r="F34" s="3"/>
      <c r="G34" s="24"/>
      <c r="H34" s="24"/>
      <c r="J34" s="1" t="s">
        <v>225</v>
      </c>
      <c r="K34" s="4"/>
      <c r="L34" s="4"/>
      <c r="M34" s="4"/>
      <c r="N34" s="4"/>
      <c r="O34" s="4"/>
      <c r="P34" s="33"/>
      <c r="Q34" s="25">
        <v>150</v>
      </c>
      <c r="R34" s="25">
        <v>1</v>
      </c>
      <c r="S34" s="12">
        <f t="shared" si="15"/>
        <v>150</v>
      </c>
      <c r="T34" s="5">
        <v>0</v>
      </c>
      <c r="U34" s="12">
        <f t="shared" si="16"/>
        <v>150</v>
      </c>
      <c r="V34" s="25" t="s">
        <v>10</v>
      </c>
      <c r="W34" s="11">
        <f>IFERROR(VLOOKUP(V34,Curr!$B$2:$C$13,2,FALSE),0)</f>
        <v>11.2</v>
      </c>
      <c r="X34" s="12">
        <f t="shared" si="17"/>
        <v>1680</v>
      </c>
      <c r="Y34" s="26">
        <f>Q34/0.8</f>
        <v>187.5</v>
      </c>
      <c r="Z34" s="12">
        <f t="shared" si="4"/>
        <v>187.5</v>
      </c>
      <c r="AA34" s="4" t="s">
        <v>10</v>
      </c>
      <c r="AB34" s="11">
        <f>IFERROR(VLOOKUP(AA34,Curr!$B$2:$C$13,2,FALSE),0)</f>
        <v>11.2</v>
      </c>
      <c r="AC34" s="12">
        <f t="shared" si="5"/>
        <v>2100</v>
      </c>
      <c r="AD34" s="12">
        <f t="shared" si="6"/>
        <v>420</v>
      </c>
      <c r="AE34" s="13">
        <f t="shared" si="7"/>
        <v>0.2</v>
      </c>
    </row>
    <row r="35" spans="2:31" x14ac:dyDescent="0.25">
      <c r="B35" s="4"/>
      <c r="C35" s="1" t="s">
        <v>81</v>
      </c>
      <c r="D35" s="1" t="s">
        <v>73</v>
      </c>
      <c r="E35" s="3"/>
      <c r="F35" s="3"/>
      <c r="G35" s="24"/>
      <c r="H35" s="24"/>
      <c r="J35" s="1" t="s">
        <v>284</v>
      </c>
      <c r="K35" s="4"/>
      <c r="L35" s="4"/>
      <c r="M35" s="4"/>
      <c r="N35" s="4"/>
      <c r="O35" s="4"/>
      <c r="P35" s="33" t="s">
        <v>285</v>
      </c>
      <c r="Q35" s="25">
        <v>44</v>
      </c>
      <c r="R35" s="25">
        <v>2</v>
      </c>
      <c r="S35" s="12">
        <f t="shared" si="15"/>
        <v>88</v>
      </c>
      <c r="T35" s="5">
        <v>0</v>
      </c>
      <c r="U35" s="12">
        <f t="shared" si="16"/>
        <v>88</v>
      </c>
      <c r="V35" s="25" t="s">
        <v>10</v>
      </c>
      <c r="W35" s="11">
        <f>IFERROR(VLOOKUP(V35,Curr!$B$2:$C$13,2,FALSE),0)</f>
        <v>11.2</v>
      </c>
      <c r="X35" s="12">
        <f t="shared" si="17"/>
        <v>985.59999999999991</v>
      </c>
      <c r="Y35" s="26">
        <f>Q35/0.6</f>
        <v>73.333333333333343</v>
      </c>
      <c r="Z35" s="12">
        <f t="shared" si="4"/>
        <v>146.66666666666669</v>
      </c>
      <c r="AA35" s="4" t="s">
        <v>10</v>
      </c>
      <c r="AB35" s="11">
        <f>IFERROR(VLOOKUP(AA35,Curr!$B$2:$C$13,2,FALSE),0)</f>
        <v>11.2</v>
      </c>
      <c r="AC35" s="12">
        <f t="shared" si="5"/>
        <v>1642.6666666666667</v>
      </c>
      <c r="AD35" s="12">
        <f t="shared" si="6"/>
        <v>657.06666666666683</v>
      </c>
      <c r="AE35" s="13">
        <f t="shared" si="7"/>
        <v>0.40000000000000008</v>
      </c>
    </row>
    <row r="36" spans="2:31" x14ac:dyDescent="0.25">
      <c r="B36" s="4"/>
      <c r="E36" s="3"/>
      <c r="F36" s="3"/>
      <c r="G36" s="24"/>
      <c r="H36" s="24"/>
      <c r="K36" s="4"/>
      <c r="L36" s="4"/>
      <c r="M36" s="4"/>
      <c r="N36" s="4"/>
      <c r="O36" s="4"/>
      <c r="P36" s="33"/>
      <c r="Q36" s="25"/>
      <c r="R36" s="25"/>
      <c r="S36" s="12">
        <f t="shared" si="15"/>
        <v>0</v>
      </c>
      <c r="T36" s="5">
        <v>0</v>
      </c>
      <c r="U36" s="12">
        <f t="shared" si="16"/>
        <v>0</v>
      </c>
      <c r="V36" s="25" t="s">
        <v>10</v>
      </c>
      <c r="W36" s="11">
        <f>IFERROR(VLOOKUP(V36,Curr!$B$2:$C$13,2,FALSE),0)</f>
        <v>11.2</v>
      </c>
      <c r="X36" s="12">
        <f t="shared" si="17"/>
        <v>0</v>
      </c>
      <c r="Y36" s="26">
        <f t="shared" si="18"/>
        <v>0</v>
      </c>
      <c r="Z36" s="12">
        <f t="shared" si="4"/>
        <v>0</v>
      </c>
      <c r="AA36" s="4" t="s">
        <v>10</v>
      </c>
      <c r="AB36" s="11">
        <f>IFERROR(VLOOKUP(AA36,Curr!$B$2:$C$13,2,FALSE),0)</f>
        <v>11.2</v>
      </c>
      <c r="AC36" s="12">
        <f t="shared" si="5"/>
        <v>0</v>
      </c>
      <c r="AD36" s="12">
        <f t="shared" si="6"/>
        <v>0</v>
      </c>
      <c r="AE36" s="13">
        <f t="shared" si="7"/>
        <v>0</v>
      </c>
    </row>
    <row r="37" spans="2:31" x14ac:dyDescent="0.25">
      <c r="B37" s="4"/>
      <c r="C37" s="1" t="s">
        <v>114</v>
      </c>
      <c r="D37" s="1" t="s">
        <v>73</v>
      </c>
      <c r="E37" s="3"/>
      <c r="F37" s="3"/>
      <c r="G37" s="24"/>
      <c r="H37" s="24"/>
      <c r="J37" s="1" t="s">
        <v>283</v>
      </c>
      <c r="K37" s="4"/>
      <c r="L37" s="4"/>
      <c r="M37" s="4"/>
      <c r="N37" s="4"/>
      <c r="O37" s="4"/>
      <c r="P37" s="33" t="s">
        <v>227</v>
      </c>
      <c r="Q37" s="25">
        <v>420</v>
      </c>
      <c r="R37" s="25">
        <v>2</v>
      </c>
      <c r="S37" s="12">
        <f t="shared" si="15"/>
        <v>840</v>
      </c>
      <c r="T37" s="5">
        <v>0</v>
      </c>
      <c r="U37" s="12">
        <f t="shared" si="16"/>
        <v>840</v>
      </c>
      <c r="V37" s="25" t="s">
        <v>8</v>
      </c>
      <c r="W37" s="11">
        <f>IFERROR(VLOOKUP(V37,Curr!$B$2:$C$13,2,FALSE),0)</f>
        <v>1</v>
      </c>
      <c r="X37" s="12">
        <f t="shared" si="17"/>
        <v>840</v>
      </c>
      <c r="Y37" s="26">
        <f>Q37/11/0.7</f>
        <v>54.545454545454547</v>
      </c>
      <c r="Z37" s="12">
        <f t="shared" si="4"/>
        <v>109.09090909090909</v>
      </c>
      <c r="AA37" s="4" t="s">
        <v>10</v>
      </c>
      <c r="AB37" s="11">
        <f>IFERROR(VLOOKUP(AA37,Curr!$B$2:$C$13,2,FALSE),0)</f>
        <v>11.2</v>
      </c>
      <c r="AC37" s="12">
        <f t="shared" si="5"/>
        <v>1221.8181818181818</v>
      </c>
      <c r="AD37" s="12">
        <f t="shared" si="6"/>
        <v>381.81818181818176</v>
      </c>
      <c r="AE37" s="13">
        <f t="shared" si="7"/>
        <v>0.31249999999999994</v>
      </c>
    </row>
    <row r="38" spans="2:31" x14ac:dyDescent="0.25">
      <c r="B38" s="4"/>
      <c r="C38" s="1" t="s">
        <v>114</v>
      </c>
      <c r="D38" s="1" t="s">
        <v>53</v>
      </c>
      <c r="E38" s="3"/>
      <c r="F38" s="3"/>
      <c r="G38" s="24"/>
      <c r="H38" s="24"/>
      <c r="J38" s="1" t="s">
        <v>226</v>
      </c>
      <c r="K38" s="4"/>
      <c r="L38" s="4"/>
      <c r="M38" s="4"/>
      <c r="N38" s="4"/>
      <c r="O38" s="4"/>
      <c r="P38" s="27"/>
      <c r="Q38" s="25">
        <v>0</v>
      </c>
      <c r="R38" s="25">
        <v>0</v>
      </c>
      <c r="S38" s="12">
        <f t="shared" si="15"/>
        <v>0</v>
      </c>
      <c r="T38" s="5">
        <v>0</v>
      </c>
      <c r="U38" s="12">
        <f t="shared" si="16"/>
        <v>0</v>
      </c>
      <c r="V38" s="25" t="s">
        <v>10</v>
      </c>
      <c r="W38" s="11">
        <f>IFERROR(VLOOKUP(V38,Curr!$B$2:$C$13,2,FALSE),0)</f>
        <v>11.2</v>
      </c>
      <c r="X38" s="12">
        <f t="shared" si="17"/>
        <v>0</v>
      </c>
      <c r="Y38" s="26">
        <f t="shared" si="18"/>
        <v>0</v>
      </c>
      <c r="Z38" s="12">
        <f t="shared" si="4"/>
        <v>0</v>
      </c>
      <c r="AA38" s="4" t="s">
        <v>10</v>
      </c>
      <c r="AB38" s="11">
        <f>IFERROR(VLOOKUP(AA38,Curr!$B$2:$C$13,2,FALSE),0)</f>
        <v>11.2</v>
      </c>
      <c r="AC38" s="12">
        <f t="shared" si="5"/>
        <v>0</v>
      </c>
      <c r="AD38" s="12">
        <f t="shared" si="6"/>
        <v>0</v>
      </c>
      <c r="AE38" s="13">
        <f t="shared" si="7"/>
        <v>0</v>
      </c>
    </row>
    <row r="39" spans="2:31" x14ac:dyDescent="0.25">
      <c r="B39" s="4"/>
      <c r="C39" s="1" t="s">
        <v>114</v>
      </c>
      <c r="D39" s="1" t="s">
        <v>66</v>
      </c>
      <c r="E39" s="3"/>
      <c r="F39" s="3"/>
      <c r="G39" s="24"/>
      <c r="H39" s="24"/>
      <c r="J39" s="1" t="s">
        <v>281</v>
      </c>
      <c r="K39" s="4"/>
      <c r="L39" s="4"/>
      <c r="M39" s="4"/>
      <c r="N39" s="4"/>
      <c r="O39" s="4"/>
      <c r="P39" s="33"/>
      <c r="Q39" s="25">
        <v>3100</v>
      </c>
      <c r="R39" s="25">
        <v>1</v>
      </c>
      <c r="S39" s="12">
        <f t="shared" si="15"/>
        <v>3100</v>
      </c>
      <c r="T39" s="5">
        <v>0</v>
      </c>
      <c r="U39" s="12">
        <f t="shared" si="16"/>
        <v>3100</v>
      </c>
      <c r="V39" s="25" t="s">
        <v>8</v>
      </c>
      <c r="W39" s="11">
        <f>IFERROR(VLOOKUP(V39,Curr!$B$2:$C$13,2,FALSE),0)</f>
        <v>1</v>
      </c>
      <c r="X39" s="12">
        <f t="shared" si="17"/>
        <v>3100</v>
      </c>
      <c r="Y39" s="26">
        <f>Q39/11/0.8</f>
        <v>352.27272727272725</v>
      </c>
      <c r="Z39" s="12">
        <f t="shared" si="4"/>
        <v>352.27272727272725</v>
      </c>
      <c r="AA39" s="4" t="s">
        <v>10</v>
      </c>
      <c r="AB39" s="11">
        <f>IFERROR(VLOOKUP(AA39,Curr!$B$2:$C$13,2,FALSE),0)</f>
        <v>11.2</v>
      </c>
      <c r="AC39" s="12">
        <f t="shared" si="5"/>
        <v>3945.454545454545</v>
      </c>
      <c r="AD39" s="12">
        <f t="shared" si="6"/>
        <v>845.45454545454504</v>
      </c>
      <c r="AE39" s="13">
        <f t="shared" si="7"/>
        <v>0.21428571428571419</v>
      </c>
    </row>
    <row r="40" spans="2:31" x14ac:dyDescent="0.25">
      <c r="B40" s="4"/>
      <c r="E40" s="3"/>
      <c r="F40" s="3"/>
      <c r="G40" s="24"/>
      <c r="H40" s="24"/>
      <c r="K40" s="4"/>
      <c r="L40" s="4"/>
      <c r="M40" s="4"/>
      <c r="N40" s="4"/>
      <c r="O40" s="4"/>
      <c r="P40" s="33"/>
      <c r="Q40" s="25"/>
      <c r="R40" s="25"/>
      <c r="S40" s="12">
        <f t="shared" si="15"/>
        <v>0</v>
      </c>
      <c r="T40" s="5">
        <v>0</v>
      </c>
      <c r="U40" s="12">
        <f t="shared" si="16"/>
        <v>0</v>
      </c>
      <c r="V40" s="25" t="s">
        <v>10</v>
      </c>
      <c r="W40" s="11">
        <f>IFERROR(VLOOKUP(V40,Curr!$B$2:$C$13,2,FALSE),0)</f>
        <v>11.2</v>
      </c>
      <c r="X40" s="12">
        <f t="shared" si="17"/>
        <v>0</v>
      </c>
      <c r="Y40" s="26">
        <f t="shared" si="18"/>
        <v>0</v>
      </c>
      <c r="Z40" s="12">
        <f t="shared" si="4"/>
        <v>0</v>
      </c>
      <c r="AA40" s="4" t="s">
        <v>10</v>
      </c>
      <c r="AB40" s="11">
        <f>IFERROR(VLOOKUP(AA40,Curr!$B$2:$C$13,2,FALSE),0)</f>
        <v>11.2</v>
      </c>
      <c r="AC40" s="12">
        <f t="shared" si="5"/>
        <v>0</v>
      </c>
      <c r="AD40" s="12">
        <f t="shared" si="6"/>
        <v>0</v>
      </c>
      <c r="AE40" s="13">
        <f t="shared" si="7"/>
        <v>0</v>
      </c>
    </row>
    <row r="41" spans="2:31" x14ac:dyDescent="0.25">
      <c r="B41" s="4"/>
      <c r="C41" s="1" t="s">
        <v>115</v>
      </c>
      <c r="D41" s="1" t="s">
        <v>50</v>
      </c>
      <c r="E41" s="3"/>
      <c r="F41" s="3"/>
      <c r="G41" s="24"/>
      <c r="H41" s="24"/>
      <c r="J41" s="1" t="s">
        <v>51</v>
      </c>
      <c r="K41" s="4"/>
      <c r="L41" s="4"/>
      <c r="M41" s="4"/>
      <c r="N41" s="4"/>
      <c r="O41" s="4"/>
      <c r="P41" s="27"/>
      <c r="Q41" s="25">
        <v>0</v>
      </c>
      <c r="R41" s="25">
        <v>0</v>
      </c>
      <c r="S41" s="12">
        <f t="shared" si="15"/>
        <v>0</v>
      </c>
      <c r="T41" s="5">
        <v>0</v>
      </c>
      <c r="U41" s="12">
        <f t="shared" si="16"/>
        <v>0</v>
      </c>
      <c r="V41" s="25" t="s">
        <v>10</v>
      </c>
      <c r="W41" s="11">
        <f>IFERROR(VLOOKUP(V41,Curr!$B$2:$C$13,2,FALSE),0)</f>
        <v>11.2</v>
      </c>
      <c r="X41" s="12">
        <f t="shared" si="17"/>
        <v>0</v>
      </c>
      <c r="Y41" s="26">
        <f t="shared" si="18"/>
        <v>0</v>
      </c>
      <c r="Z41" s="12">
        <f t="shared" si="4"/>
        <v>0</v>
      </c>
      <c r="AA41" s="4" t="s">
        <v>10</v>
      </c>
      <c r="AB41" s="11">
        <f>IFERROR(VLOOKUP(AA41,Curr!$B$2:$C$13,2,FALSE),0)</f>
        <v>11.2</v>
      </c>
      <c r="AC41" s="12">
        <f t="shared" si="5"/>
        <v>0</v>
      </c>
      <c r="AD41" s="12">
        <f t="shared" si="6"/>
        <v>0</v>
      </c>
      <c r="AE41" s="13">
        <f t="shared" si="7"/>
        <v>0</v>
      </c>
    </row>
    <row r="42" spans="2:31" x14ac:dyDescent="0.25">
      <c r="B42" s="4"/>
      <c r="C42" s="1" t="s">
        <v>115</v>
      </c>
      <c r="D42" s="1" t="s">
        <v>52</v>
      </c>
      <c r="E42" s="3"/>
      <c r="F42" s="3"/>
      <c r="G42" s="24"/>
      <c r="H42" s="24"/>
      <c r="J42" s="1" t="s">
        <v>231</v>
      </c>
      <c r="K42" s="4"/>
      <c r="L42" s="4"/>
      <c r="M42" s="4"/>
      <c r="N42" s="4"/>
      <c r="O42" s="4"/>
      <c r="P42" s="27"/>
      <c r="Q42" s="25">
        <v>150</v>
      </c>
      <c r="R42" s="25">
        <v>1</v>
      </c>
      <c r="S42" s="12">
        <f t="shared" si="15"/>
        <v>150</v>
      </c>
      <c r="T42" s="5">
        <v>0</v>
      </c>
      <c r="U42" s="12">
        <f t="shared" si="16"/>
        <v>150</v>
      </c>
      <c r="V42" s="25" t="s">
        <v>10</v>
      </c>
      <c r="W42" s="11">
        <f>IFERROR(VLOOKUP(V42,Curr!$B$2:$C$13,2,FALSE),0)</f>
        <v>11.2</v>
      </c>
      <c r="X42" s="12">
        <f t="shared" si="17"/>
        <v>1680</v>
      </c>
      <c r="Y42" s="26">
        <f>Q42/0.85</f>
        <v>176.47058823529412</v>
      </c>
      <c r="Z42" s="12">
        <f t="shared" si="4"/>
        <v>176.47058823529412</v>
      </c>
      <c r="AA42" s="4" t="s">
        <v>10</v>
      </c>
      <c r="AB42" s="11">
        <f>IFERROR(VLOOKUP(AA42,Curr!$B$2:$C$13,2,FALSE),0)</f>
        <v>11.2</v>
      </c>
      <c r="AC42" s="12">
        <f t="shared" si="5"/>
        <v>1976.4705882352939</v>
      </c>
      <c r="AD42" s="12">
        <f t="shared" si="6"/>
        <v>296.47058823529392</v>
      </c>
      <c r="AE42" s="13">
        <f t="shared" si="7"/>
        <v>0.14999999999999991</v>
      </c>
    </row>
    <row r="43" spans="2:31" x14ac:dyDescent="0.25">
      <c r="B43" s="4"/>
      <c r="C43" s="1" t="s">
        <v>115</v>
      </c>
      <c r="D43" s="1" t="s">
        <v>73</v>
      </c>
      <c r="E43" s="3"/>
      <c r="F43" s="3"/>
      <c r="G43" s="24"/>
      <c r="H43" s="24"/>
      <c r="J43" s="1" t="s">
        <v>246</v>
      </c>
      <c r="K43" s="4"/>
      <c r="L43" s="4"/>
      <c r="M43" s="4"/>
      <c r="N43" s="4"/>
      <c r="O43" s="4" t="s">
        <v>42</v>
      </c>
      <c r="P43" s="33" t="s">
        <v>247</v>
      </c>
      <c r="Q43" s="25">
        <v>498</v>
      </c>
      <c r="R43" s="25">
        <v>2</v>
      </c>
      <c r="S43" s="12">
        <f t="shared" si="15"/>
        <v>996</v>
      </c>
      <c r="T43" s="5">
        <v>0.2</v>
      </c>
      <c r="U43" s="12">
        <f t="shared" si="16"/>
        <v>796.80000000000007</v>
      </c>
      <c r="V43" s="25" t="s">
        <v>8</v>
      </c>
      <c r="W43" s="11">
        <f>IFERROR(VLOOKUP(V43,Curr!$B$2:$C$13,2,FALSE),0)</f>
        <v>1</v>
      </c>
      <c r="X43" s="12">
        <f t="shared" si="17"/>
        <v>796.80000000000007</v>
      </c>
      <c r="Y43" s="26">
        <f>Q43/11.3</f>
        <v>44.070796460176986</v>
      </c>
      <c r="Z43" s="12">
        <f t="shared" si="4"/>
        <v>88.141592920353972</v>
      </c>
      <c r="AA43" s="4" t="s">
        <v>10</v>
      </c>
      <c r="AB43" s="11">
        <f>IFERROR(VLOOKUP(AA43,Curr!$B$2:$C$13,2,FALSE),0)</f>
        <v>11.2</v>
      </c>
      <c r="AC43" s="12">
        <f t="shared" si="5"/>
        <v>987.18584070796442</v>
      </c>
      <c r="AD43" s="12">
        <f t="shared" si="6"/>
        <v>190.38584070796435</v>
      </c>
      <c r="AE43" s="13">
        <f t="shared" si="7"/>
        <v>0.19285714285714264</v>
      </c>
    </row>
    <row r="44" spans="2:31" x14ac:dyDescent="0.25">
      <c r="B44" s="4"/>
      <c r="C44" s="1" t="s">
        <v>115</v>
      </c>
      <c r="D44" s="1" t="s">
        <v>53</v>
      </c>
      <c r="E44" s="3"/>
      <c r="F44" s="3"/>
      <c r="G44" s="24"/>
      <c r="H44" s="24"/>
      <c r="J44" s="1" t="s">
        <v>282</v>
      </c>
      <c r="K44" s="4"/>
      <c r="L44" s="4"/>
      <c r="M44" s="4"/>
      <c r="N44" s="4"/>
      <c r="O44" s="4"/>
      <c r="P44" s="33"/>
      <c r="Q44" s="25">
        <v>0</v>
      </c>
      <c r="R44" s="25">
        <v>0</v>
      </c>
      <c r="S44" s="12">
        <f t="shared" si="15"/>
        <v>0</v>
      </c>
      <c r="T44" s="5">
        <v>0</v>
      </c>
      <c r="U44" s="12">
        <f t="shared" si="16"/>
        <v>0</v>
      </c>
      <c r="V44" s="25" t="s">
        <v>10</v>
      </c>
      <c r="W44" s="11">
        <f>IFERROR(VLOOKUP(V44,Curr!$B$2:$C$13,2,FALSE),0)</f>
        <v>11.2</v>
      </c>
      <c r="X44" s="12">
        <f t="shared" si="17"/>
        <v>0</v>
      </c>
      <c r="Y44" s="26">
        <f t="shared" si="18"/>
        <v>0</v>
      </c>
      <c r="Z44" s="12">
        <f t="shared" si="4"/>
        <v>0</v>
      </c>
      <c r="AA44" s="4" t="s">
        <v>10</v>
      </c>
      <c r="AB44" s="11">
        <f>IFERROR(VLOOKUP(AA44,Curr!$B$2:$C$13,2,FALSE),0)</f>
        <v>11.2</v>
      </c>
      <c r="AC44" s="12">
        <f t="shared" si="5"/>
        <v>0</v>
      </c>
      <c r="AD44" s="12">
        <f t="shared" si="6"/>
        <v>0</v>
      </c>
      <c r="AE44" s="13">
        <f t="shared" si="7"/>
        <v>0</v>
      </c>
    </row>
    <row r="45" spans="2:31" x14ac:dyDescent="0.25">
      <c r="B45" s="4"/>
      <c r="E45" s="3"/>
      <c r="F45" s="3"/>
      <c r="G45" s="24"/>
      <c r="H45" s="24"/>
      <c r="K45" s="4"/>
      <c r="L45" s="4"/>
      <c r="M45" s="4"/>
      <c r="N45" s="4"/>
      <c r="O45" s="4"/>
      <c r="P45" s="27"/>
      <c r="Q45" s="25"/>
      <c r="R45" s="25"/>
      <c r="S45" s="12">
        <f t="shared" si="15"/>
        <v>0</v>
      </c>
      <c r="T45" s="5">
        <v>0</v>
      </c>
      <c r="U45" s="12">
        <f t="shared" si="16"/>
        <v>0</v>
      </c>
      <c r="V45" s="25" t="s">
        <v>10</v>
      </c>
      <c r="W45" s="11">
        <f>IFERROR(VLOOKUP(V45,Curr!$B$2:$C$13,2,FALSE),0)</f>
        <v>11.2</v>
      </c>
      <c r="X45" s="12">
        <f t="shared" si="17"/>
        <v>0</v>
      </c>
      <c r="Y45" s="26">
        <f t="shared" si="18"/>
        <v>0</v>
      </c>
      <c r="Z45" s="12">
        <f t="shared" si="4"/>
        <v>0</v>
      </c>
      <c r="AA45" s="4" t="s">
        <v>10</v>
      </c>
      <c r="AB45" s="11">
        <f>IFERROR(VLOOKUP(AA45,Curr!$B$2:$C$13,2,FALSE),0)</f>
        <v>11.2</v>
      </c>
      <c r="AC45" s="12">
        <f t="shared" si="5"/>
        <v>0</v>
      </c>
      <c r="AD45" s="12">
        <f t="shared" si="6"/>
        <v>0</v>
      </c>
      <c r="AE45" s="13">
        <f t="shared" si="7"/>
        <v>0</v>
      </c>
    </row>
    <row r="46" spans="2:31" x14ac:dyDescent="0.25">
      <c r="B46" s="4"/>
      <c r="C46" s="1" t="s">
        <v>138</v>
      </c>
      <c r="D46" s="1" t="s">
        <v>50</v>
      </c>
      <c r="E46" s="3"/>
      <c r="F46" s="3"/>
      <c r="G46" s="24"/>
      <c r="H46" s="24"/>
      <c r="J46" s="1" t="s">
        <v>195</v>
      </c>
      <c r="K46" s="4"/>
      <c r="L46" s="4"/>
      <c r="M46" s="4"/>
      <c r="N46" s="4"/>
      <c r="O46" s="4"/>
      <c r="P46" s="27"/>
      <c r="Q46" s="25">
        <v>0</v>
      </c>
      <c r="R46" s="25">
        <v>0</v>
      </c>
      <c r="S46" s="12">
        <f t="shared" si="15"/>
        <v>0</v>
      </c>
      <c r="T46" s="5">
        <v>0</v>
      </c>
      <c r="U46" s="12">
        <f t="shared" si="16"/>
        <v>0</v>
      </c>
      <c r="V46" s="25" t="s">
        <v>10</v>
      </c>
      <c r="W46" s="11">
        <f>IFERROR(VLOOKUP(V46,Curr!$B$2:$C$13,2,FALSE),0)</f>
        <v>11.2</v>
      </c>
      <c r="X46" s="12">
        <f t="shared" si="17"/>
        <v>0</v>
      </c>
      <c r="Y46" s="26">
        <f t="shared" si="18"/>
        <v>0</v>
      </c>
      <c r="Z46" s="12">
        <f t="shared" si="4"/>
        <v>0</v>
      </c>
      <c r="AA46" s="4" t="s">
        <v>10</v>
      </c>
      <c r="AB46" s="11">
        <f>IFERROR(VLOOKUP(AA46,Curr!$B$2:$C$13,2,FALSE),0)</f>
        <v>11.2</v>
      </c>
      <c r="AC46" s="12">
        <f t="shared" si="5"/>
        <v>0</v>
      </c>
      <c r="AD46" s="12">
        <f t="shared" si="6"/>
        <v>0</v>
      </c>
      <c r="AE46" s="13">
        <f t="shared" si="7"/>
        <v>0</v>
      </c>
    </row>
    <row r="47" spans="2:31" x14ac:dyDescent="0.25">
      <c r="B47" s="4"/>
      <c r="C47" s="1" t="s">
        <v>138</v>
      </c>
      <c r="D47" s="1" t="s">
        <v>82</v>
      </c>
      <c r="E47" s="3"/>
      <c r="F47" s="3"/>
      <c r="G47" s="24"/>
      <c r="H47" s="24"/>
      <c r="J47" s="1" t="s">
        <v>194</v>
      </c>
      <c r="K47" s="4"/>
      <c r="L47" s="4"/>
      <c r="M47" s="4"/>
      <c r="N47" s="4"/>
      <c r="O47" s="4"/>
      <c r="P47" s="27"/>
      <c r="Q47" s="25">
        <v>0</v>
      </c>
      <c r="R47" s="25">
        <v>0</v>
      </c>
      <c r="S47" s="12">
        <f t="shared" si="15"/>
        <v>0</v>
      </c>
      <c r="T47" s="5">
        <v>0</v>
      </c>
      <c r="U47" s="12">
        <f t="shared" si="16"/>
        <v>0</v>
      </c>
      <c r="V47" s="25" t="s">
        <v>10</v>
      </c>
      <c r="W47" s="11">
        <f>IFERROR(VLOOKUP(V47,Curr!$B$2:$C$13,2,FALSE),0)</f>
        <v>11.2</v>
      </c>
      <c r="X47" s="12">
        <f t="shared" si="17"/>
        <v>0</v>
      </c>
      <c r="Y47" s="26">
        <f t="shared" si="18"/>
        <v>0</v>
      </c>
      <c r="Z47" s="12">
        <f t="shared" si="4"/>
        <v>0</v>
      </c>
      <c r="AA47" s="4" t="s">
        <v>10</v>
      </c>
      <c r="AB47" s="11">
        <f>IFERROR(VLOOKUP(AA47,Curr!$B$2:$C$13,2,FALSE),0)</f>
        <v>11.2</v>
      </c>
      <c r="AC47" s="12">
        <f t="shared" si="5"/>
        <v>0</v>
      </c>
      <c r="AD47" s="12">
        <f t="shared" si="6"/>
        <v>0</v>
      </c>
      <c r="AE47" s="13">
        <f t="shared" si="7"/>
        <v>0</v>
      </c>
    </row>
    <row r="48" spans="2:31" x14ac:dyDescent="0.25">
      <c r="B48" s="4"/>
      <c r="E48" s="3"/>
      <c r="F48" s="3"/>
      <c r="G48" s="24"/>
      <c r="H48" s="24"/>
      <c r="K48" s="4"/>
      <c r="L48" s="4"/>
      <c r="M48" s="4"/>
      <c r="N48" s="4"/>
      <c r="O48" s="4"/>
      <c r="P48" s="33"/>
      <c r="Q48" s="25"/>
      <c r="R48" s="25"/>
      <c r="S48" s="12">
        <f t="shared" si="15"/>
        <v>0</v>
      </c>
      <c r="T48" s="5">
        <v>0</v>
      </c>
      <c r="U48" s="12">
        <f t="shared" si="16"/>
        <v>0</v>
      </c>
      <c r="V48" s="25" t="s">
        <v>10</v>
      </c>
      <c r="W48" s="11">
        <f>IFERROR(VLOOKUP(V48,Curr!$B$2:$C$13,2,FALSE),0)</f>
        <v>11.2</v>
      </c>
      <c r="X48" s="12">
        <f t="shared" si="17"/>
        <v>0</v>
      </c>
      <c r="Y48" s="26">
        <f t="shared" si="18"/>
        <v>0</v>
      </c>
      <c r="Z48" s="12">
        <f t="shared" si="4"/>
        <v>0</v>
      </c>
      <c r="AA48" s="4" t="s">
        <v>10</v>
      </c>
      <c r="AB48" s="11">
        <f>IFERROR(VLOOKUP(AA48,Curr!$B$2:$C$13,2,FALSE),0)</f>
        <v>11.2</v>
      </c>
      <c r="AC48" s="12">
        <f t="shared" si="5"/>
        <v>0</v>
      </c>
      <c r="AD48" s="12">
        <f t="shared" si="6"/>
        <v>0</v>
      </c>
      <c r="AE48" s="13">
        <f t="shared" si="7"/>
        <v>0</v>
      </c>
    </row>
    <row r="49" spans="2:36" x14ac:dyDescent="0.25">
      <c r="B49" s="4"/>
      <c r="E49" s="3"/>
      <c r="F49" s="3"/>
      <c r="G49" s="24"/>
      <c r="H49" s="24"/>
      <c r="K49" s="4"/>
      <c r="L49" s="4"/>
      <c r="M49" s="4"/>
      <c r="N49" s="4"/>
      <c r="O49" s="4"/>
      <c r="P49" s="27"/>
      <c r="Q49" s="25"/>
      <c r="R49" s="25"/>
      <c r="S49" s="12">
        <f t="shared" si="15"/>
        <v>0</v>
      </c>
      <c r="T49" s="5">
        <v>0</v>
      </c>
      <c r="U49" s="12">
        <f t="shared" si="16"/>
        <v>0</v>
      </c>
      <c r="V49" s="25" t="s">
        <v>10</v>
      </c>
      <c r="W49" s="11">
        <f>IFERROR(VLOOKUP(V49,Curr!$B$2:$C$13,2,FALSE),0)</f>
        <v>11.2</v>
      </c>
      <c r="X49" s="12">
        <f t="shared" si="17"/>
        <v>0</v>
      </c>
      <c r="Y49" s="26">
        <f t="shared" si="18"/>
        <v>0</v>
      </c>
      <c r="Z49" s="12">
        <f t="shared" si="4"/>
        <v>0</v>
      </c>
      <c r="AA49" s="4" t="s">
        <v>10</v>
      </c>
      <c r="AB49" s="11">
        <f>IFERROR(VLOOKUP(AA49,Curr!$B$2:$C$13,2,FALSE),0)</f>
        <v>11.2</v>
      </c>
      <c r="AC49" s="12">
        <f t="shared" si="5"/>
        <v>0</v>
      </c>
      <c r="AD49" s="12">
        <f t="shared" si="6"/>
        <v>0</v>
      </c>
      <c r="AE49" s="13">
        <f t="shared" si="7"/>
        <v>0</v>
      </c>
    </row>
    <row r="50" spans="2:36" x14ac:dyDescent="0.25">
      <c r="B50" s="4"/>
      <c r="C50" s="1" t="s">
        <v>55</v>
      </c>
      <c r="D50" s="1" t="s">
        <v>93</v>
      </c>
      <c r="E50" s="3"/>
      <c r="F50" s="3"/>
      <c r="G50" s="24"/>
      <c r="H50" s="24"/>
      <c r="J50" s="1" t="s">
        <v>95</v>
      </c>
      <c r="K50" s="4"/>
      <c r="L50" s="4"/>
      <c r="M50" s="4"/>
      <c r="N50" s="4"/>
      <c r="O50" s="4"/>
      <c r="P50" s="27"/>
      <c r="Q50" s="25">
        <v>1790</v>
      </c>
      <c r="R50" s="25">
        <v>0</v>
      </c>
      <c r="S50" s="12">
        <f t="shared" si="15"/>
        <v>0</v>
      </c>
      <c r="T50" s="5">
        <v>0</v>
      </c>
      <c r="U50" s="12">
        <f t="shared" si="16"/>
        <v>0</v>
      </c>
      <c r="V50" s="25" t="s">
        <v>10</v>
      </c>
      <c r="W50" s="11">
        <f>IFERROR(VLOOKUP(V50,Curr!$B$2:$C$13,2,FALSE),0)</f>
        <v>11.2</v>
      </c>
      <c r="X50" s="12">
        <f t="shared" si="17"/>
        <v>0</v>
      </c>
      <c r="Y50" s="26">
        <f t="shared" ref="Y50:Y53" si="19">Q50/11/0.8</f>
        <v>203.40909090909088</v>
      </c>
      <c r="Z50" s="12">
        <f t="shared" si="4"/>
        <v>0</v>
      </c>
      <c r="AA50" s="4" t="s">
        <v>10</v>
      </c>
      <c r="AB50" s="11">
        <f>IFERROR(VLOOKUP(AA50,Curr!$B$2:$C$13,2,FALSE),0)</f>
        <v>11.2</v>
      </c>
      <c r="AC50" s="12">
        <f t="shared" si="5"/>
        <v>0</v>
      </c>
      <c r="AD50" s="12">
        <f t="shared" si="6"/>
        <v>0</v>
      </c>
      <c r="AE50" s="13">
        <f t="shared" si="7"/>
        <v>0</v>
      </c>
    </row>
    <row r="51" spans="2:36" x14ac:dyDescent="0.25">
      <c r="B51" s="4"/>
      <c r="C51" s="1" t="s">
        <v>63</v>
      </c>
      <c r="D51" s="1" t="s">
        <v>93</v>
      </c>
      <c r="E51" s="3"/>
      <c r="F51" s="3"/>
      <c r="G51" s="24"/>
      <c r="H51" s="24"/>
      <c r="J51" s="1" t="s">
        <v>96</v>
      </c>
      <c r="K51" s="4"/>
      <c r="L51" s="4"/>
      <c r="M51" s="4"/>
      <c r="N51" s="4"/>
      <c r="O51" s="4"/>
      <c r="P51" s="27"/>
      <c r="Q51" s="25">
        <v>1290</v>
      </c>
      <c r="R51" s="25">
        <v>0</v>
      </c>
      <c r="S51" s="12">
        <f t="shared" si="15"/>
        <v>0</v>
      </c>
      <c r="T51" s="5">
        <v>0.15</v>
      </c>
      <c r="U51" s="12">
        <f t="shared" si="16"/>
        <v>0</v>
      </c>
      <c r="V51" s="25" t="s">
        <v>10</v>
      </c>
      <c r="W51" s="11">
        <f>IFERROR(VLOOKUP(V51,Curr!$B$2:$C$13,2,FALSE),0)</f>
        <v>11.2</v>
      </c>
      <c r="X51" s="12">
        <f t="shared" si="17"/>
        <v>0</v>
      </c>
      <c r="Y51" s="26">
        <f>Q51/11/0.95</f>
        <v>123.44497607655502</v>
      </c>
      <c r="Z51" s="12">
        <f t="shared" si="4"/>
        <v>0</v>
      </c>
      <c r="AA51" s="4" t="s">
        <v>10</v>
      </c>
      <c r="AB51" s="11">
        <f>IFERROR(VLOOKUP(AA51,Curr!$B$2:$C$13,2,FALSE),0)</f>
        <v>11.2</v>
      </c>
      <c r="AC51" s="12">
        <f t="shared" si="5"/>
        <v>0</v>
      </c>
      <c r="AD51" s="12">
        <f t="shared" si="6"/>
        <v>0</v>
      </c>
      <c r="AE51" s="13">
        <f t="shared" si="7"/>
        <v>0</v>
      </c>
    </row>
    <row r="52" spans="2:36" x14ac:dyDescent="0.25">
      <c r="B52" s="4"/>
      <c r="C52" s="1" t="s">
        <v>78</v>
      </c>
      <c r="D52" s="1" t="s">
        <v>93</v>
      </c>
      <c r="E52" s="3"/>
      <c r="F52" s="3"/>
      <c r="G52" s="24"/>
      <c r="H52" s="24"/>
      <c r="J52" s="1" t="s">
        <v>97</v>
      </c>
      <c r="K52" s="4"/>
      <c r="L52" s="4"/>
      <c r="M52" s="4"/>
      <c r="N52" s="4"/>
      <c r="O52" s="4"/>
      <c r="P52" s="27"/>
      <c r="Q52" s="25">
        <v>1690</v>
      </c>
      <c r="R52" s="25">
        <v>0</v>
      </c>
      <c r="S52" s="12">
        <f t="shared" si="15"/>
        <v>0</v>
      </c>
      <c r="T52" s="5">
        <v>0.15</v>
      </c>
      <c r="U52" s="12">
        <f t="shared" si="16"/>
        <v>0</v>
      </c>
      <c r="V52" s="25" t="s">
        <v>10</v>
      </c>
      <c r="W52" s="11">
        <f>IFERROR(VLOOKUP(V52,Curr!$B$2:$C$13,2,FALSE),0)</f>
        <v>11.2</v>
      </c>
      <c r="X52" s="12">
        <f t="shared" si="17"/>
        <v>0</v>
      </c>
      <c r="Y52" s="26">
        <f>Q52/11/0.95</f>
        <v>161.7224880382775</v>
      </c>
      <c r="Z52" s="12">
        <f t="shared" si="4"/>
        <v>0</v>
      </c>
      <c r="AA52" s="4" t="s">
        <v>10</v>
      </c>
      <c r="AB52" s="11">
        <f>IFERROR(VLOOKUP(AA52,Curr!$B$2:$C$13,2,FALSE),0)</f>
        <v>11.2</v>
      </c>
      <c r="AC52" s="12">
        <f t="shared" si="5"/>
        <v>0</v>
      </c>
      <c r="AD52" s="12">
        <f t="shared" si="6"/>
        <v>0</v>
      </c>
      <c r="AE52" s="13">
        <f t="shared" si="7"/>
        <v>0</v>
      </c>
    </row>
    <row r="53" spans="2:36" x14ac:dyDescent="0.25">
      <c r="B53" s="4"/>
      <c r="C53" s="1" t="s">
        <v>78</v>
      </c>
      <c r="D53" s="1" t="s">
        <v>93</v>
      </c>
      <c r="E53" s="3"/>
      <c r="F53" s="3"/>
      <c r="G53" s="24"/>
      <c r="H53" s="24"/>
      <c r="J53" s="1" t="s">
        <v>286</v>
      </c>
      <c r="K53" s="4"/>
      <c r="L53" s="4"/>
      <c r="M53" s="4"/>
      <c r="N53" s="4"/>
      <c r="O53" s="4"/>
      <c r="P53" s="27"/>
      <c r="Q53" s="25">
        <v>1790</v>
      </c>
      <c r="R53" s="25">
        <v>0</v>
      </c>
      <c r="S53" s="12">
        <f t="shared" si="15"/>
        <v>0</v>
      </c>
      <c r="T53" s="5">
        <v>0</v>
      </c>
      <c r="U53" s="12">
        <f t="shared" si="16"/>
        <v>0</v>
      </c>
      <c r="V53" s="25" t="s">
        <v>10</v>
      </c>
      <c r="W53" s="11">
        <f>IFERROR(VLOOKUP(V53,Curr!$B$2:$C$13,2,FALSE),0)</f>
        <v>11.2</v>
      </c>
      <c r="X53" s="12">
        <f t="shared" si="17"/>
        <v>0</v>
      </c>
      <c r="Y53" s="26">
        <f t="shared" si="19"/>
        <v>203.40909090909088</v>
      </c>
      <c r="Z53" s="12">
        <f t="shared" si="4"/>
        <v>0</v>
      </c>
      <c r="AA53" s="4" t="s">
        <v>10</v>
      </c>
      <c r="AB53" s="11">
        <f>IFERROR(VLOOKUP(AA53,Curr!$B$2:$C$13,2,FALSE),0)</f>
        <v>11.2</v>
      </c>
      <c r="AC53" s="12">
        <f t="shared" si="5"/>
        <v>0</v>
      </c>
      <c r="AD53" s="12">
        <f t="shared" si="6"/>
        <v>0</v>
      </c>
      <c r="AE53" s="13">
        <f t="shared" si="7"/>
        <v>0</v>
      </c>
    </row>
    <row r="54" spans="2:36" x14ac:dyDescent="0.25">
      <c r="B54" s="4"/>
      <c r="C54" s="1" t="s">
        <v>138</v>
      </c>
      <c r="D54" s="1" t="s">
        <v>93</v>
      </c>
      <c r="E54" s="3"/>
      <c r="F54" s="3"/>
      <c r="G54" s="24"/>
      <c r="H54" s="24"/>
      <c r="J54" s="1" t="s">
        <v>196</v>
      </c>
      <c r="K54" s="4"/>
      <c r="L54" s="4"/>
      <c r="M54" s="4"/>
      <c r="N54" s="4"/>
      <c r="O54" s="4"/>
      <c r="P54" s="27"/>
      <c r="Q54" s="25">
        <v>1790</v>
      </c>
      <c r="R54" s="25">
        <v>0</v>
      </c>
      <c r="S54" s="12">
        <f t="shared" si="15"/>
        <v>0</v>
      </c>
      <c r="T54" s="5">
        <v>0</v>
      </c>
      <c r="U54" s="12">
        <f t="shared" si="16"/>
        <v>0</v>
      </c>
      <c r="V54" s="25" t="s">
        <v>10</v>
      </c>
      <c r="W54" s="11">
        <f>IFERROR(VLOOKUP(V54,Curr!$B$2:$C$13,2,FALSE),0)</f>
        <v>11.2</v>
      </c>
      <c r="X54" s="12">
        <f t="shared" si="17"/>
        <v>0</v>
      </c>
      <c r="Y54" s="26">
        <f>Q54/11/0.8</f>
        <v>203.40909090909088</v>
      </c>
      <c r="Z54" s="12">
        <f t="shared" si="4"/>
        <v>0</v>
      </c>
      <c r="AA54" s="4" t="s">
        <v>10</v>
      </c>
      <c r="AB54" s="11">
        <f>IFERROR(VLOOKUP(AA54,Curr!$B$2:$C$13,2,FALSE),0)</f>
        <v>11.2</v>
      </c>
      <c r="AC54" s="12">
        <f t="shared" si="5"/>
        <v>0</v>
      </c>
      <c r="AD54" s="12">
        <f t="shared" si="6"/>
        <v>0</v>
      </c>
      <c r="AE54" s="13">
        <f t="shared" si="7"/>
        <v>0</v>
      </c>
    </row>
    <row r="55" spans="2:36" x14ac:dyDescent="0.25">
      <c r="B55" s="4"/>
      <c r="E55" s="3"/>
      <c r="F55" s="3"/>
      <c r="G55" s="24"/>
      <c r="H55" s="24"/>
      <c r="K55" s="4"/>
      <c r="L55" s="4"/>
      <c r="M55" s="4"/>
      <c r="N55" s="4"/>
      <c r="O55" s="4"/>
      <c r="P55" s="27"/>
      <c r="Q55" s="25"/>
      <c r="R55" s="25"/>
      <c r="S55" s="12">
        <f t="shared" si="15"/>
        <v>0</v>
      </c>
      <c r="T55" s="5">
        <v>0</v>
      </c>
      <c r="U55" s="12">
        <f t="shared" si="16"/>
        <v>0</v>
      </c>
      <c r="V55" s="25" t="s">
        <v>10</v>
      </c>
      <c r="W55" s="11">
        <f>IFERROR(VLOOKUP(V55,Curr!$B$2:$C$13,2,FALSE),0)</f>
        <v>11.2</v>
      </c>
      <c r="X55" s="12">
        <f t="shared" si="17"/>
        <v>0</v>
      </c>
      <c r="Y55" s="26">
        <f t="shared" si="18"/>
        <v>0</v>
      </c>
      <c r="Z55" s="12">
        <f t="shared" si="4"/>
        <v>0</v>
      </c>
      <c r="AA55" s="4" t="s">
        <v>10</v>
      </c>
      <c r="AB55" s="11">
        <f>IFERROR(VLOOKUP(AA55,Curr!$B$2:$C$13,2,FALSE),0)</f>
        <v>11.2</v>
      </c>
      <c r="AC55" s="12">
        <f t="shared" si="5"/>
        <v>0</v>
      </c>
      <c r="AD55" s="12">
        <f t="shared" si="6"/>
        <v>0</v>
      </c>
      <c r="AE55" s="13">
        <f t="shared" si="7"/>
        <v>0</v>
      </c>
    </row>
    <row r="56" spans="2:36" x14ac:dyDescent="0.25">
      <c r="B56" s="4"/>
      <c r="E56" s="3"/>
      <c r="F56" s="3"/>
      <c r="G56" s="24"/>
      <c r="H56" s="24"/>
      <c r="K56" s="4"/>
      <c r="L56" s="4"/>
      <c r="M56" s="4"/>
      <c r="N56" s="4"/>
      <c r="O56" s="4"/>
      <c r="P56" s="27"/>
      <c r="Q56" s="25"/>
      <c r="R56" s="25"/>
      <c r="S56" s="12">
        <f t="shared" si="15"/>
        <v>0</v>
      </c>
      <c r="T56" s="5">
        <v>0</v>
      </c>
      <c r="U56" s="12">
        <f t="shared" si="16"/>
        <v>0</v>
      </c>
      <c r="V56" s="25" t="s">
        <v>10</v>
      </c>
      <c r="W56" s="11">
        <f>IFERROR(VLOOKUP(V56,Curr!$B$2:$C$13,2,FALSE),0)</f>
        <v>11.2</v>
      </c>
      <c r="X56" s="12">
        <f t="shared" si="17"/>
        <v>0</v>
      </c>
      <c r="Y56" s="26">
        <f t="shared" si="18"/>
        <v>0</v>
      </c>
      <c r="Z56" s="12">
        <f t="shared" si="4"/>
        <v>0</v>
      </c>
      <c r="AA56" s="4" t="s">
        <v>10</v>
      </c>
      <c r="AB56" s="11">
        <f>IFERROR(VLOOKUP(AA56,Curr!$B$2:$C$13,2,FALSE),0)</f>
        <v>11.2</v>
      </c>
      <c r="AC56" s="12">
        <f t="shared" si="5"/>
        <v>0</v>
      </c>
      <c r="AD56" s="12">
        <f t="shared" si="6"/>
        <v>0</v>
      </c>
      <c r="AE56" s="13">
        <f t="shared" si="7"/>
        <v>0</v>
      </c>
    </row>
    <row r="57" spans="2:36" x14ac:dyDescent="0.25">
      <c r="B57" s="4"/>
      <c r="C57" s="1" t="s">
        <v>63</v>
      </c>
      <c r="D57" s="1" t="s">
        <v>94</v>
      </c>
      <c r="E57" s="3"/>
      <c r="F57" s="3"/>
      <c r="G57" s="24"/>
      <c r="H57" s="24"/>
      <c r="J57" s="1" t="s">
        <v>105</v>
      </c>
      <c r="K57" s="4"/>
      <c r="L57" s="4"/>
      <c r="M57" s="4"/>
      <c r="N57" s="4"/>
      <c r="O57" s="4"/>
      <c r="P57" s="33"/>
      <c r="Q57" s="25">
        <v>450</v>
      </c>
      <c r="R57" s="25">
        <v>0</v>
      </c>
      <c r="S57" s="12">
        <f t="shared" si="15"/>
        <v>0</v>
      </c>
      <c r="T57" s="5">
        <v>0</v>
      </c>
      <c r="U57" s="12">
        <f t="shared" si="16"/>
        <v>0</v>
      </c>
      <c r="V57" s="25" t="s">
        <v>8</v>
      </c>
      <c r="W57" s="11">
        <f>IFERROR(VLOOKUP(V57,Curr!$B$2:$C$13,2,FALSE),0)</f>
        <v>1</v>
      </c>
      <c r="X57" s="12">
        <f t="shared" si="17"/>
        <v>0</v>
      </c>
      <c r="Y57" s="26">
        <f>Q57/11.3/0.8</f>
        <v>49.778761061946895</v>
      </c>
      <c r="Z57" s="12">
        <f t="shared" si="4"/>
        <v>0</v>
      </c>
      <c r="AA57" s="4" t="s">
        <v>10</v>
      </c>
      <c r="AB57" s="11">
        <f>IFERROR(VLOOKUP(AA57,Curr!$B$2:$C$13,2,FALSE),0)</f>
        <v>11.2</v>
      </c>
      <c r="AC57" s="12">
        <f t="shared" si="5"/>
        <v>0</v>
      </c>
      <c r="AD57" s="12">
        <f t="shared" si="6"/>
        <v>0</v>
      </c>
      <c r="AE57" s="13">
        <f t="shared" si="7"/>
        <v>0</v>
      </c>
    </row>
    <row r="58" spans="2:36" x14ac:dyDescent="0.25">
      <c r="B58" s="4"/>
      <c r="C58" s="1" t="s">
        <v>78</v>
      </c>
      <c r="D58" s="1" t="s">
        <v>94</v>
      </c>
      <c r="E58" s="3"/>
      <c r="F58" s="3"/>
      <c r="G58" s="24"/>
      <c r="H58" s="24"/>
      <c r="J58" s="1" t="s">
        <v>106</v>
      </c>
      <c r="K58" s="4"/>
      <c r="L58" s="4"/>
      <c r="M58" s="4"/>
      <c r="N58" s="4"/>
      <c r="O58" s="4" t="s">
        <v>42</v>
      </c>
      <c r="P58" s="33" t="s">
        <v>107</v>
      </c>
      <c r="Q58" s="25">
        <v>71</v>
      </c>
      <c r="R58" s="25">
        <v>0</v>
      </c>
      <c r="S58" s="12">
        <f t="shared" si="15"/>
        <v>0</v>
      </c>
      <c r="T58" s="5">
        <v>0.2</v>
      </c>
      <c r="U58" s="12">
        <f t="shared" si="16"/>
        <v>0</v>
      </c>
      <c r="V58" s="25" t="s">
        <v>10</v>
      </c>
      <c r="W58" s="11">
        <f>IFERROR(VLOOKUP(V58,Curr!$B$2:$C$13,2,FALSE),0)</f>
        <v>11.2</v>
      </c>
      <c r="X58" s="12">
        <f t="shared" si="17"/>
        <v>0</v>
      </c>
      <c r="Y58" s="26">
        <f t="shared" ref="Y58" si="20">Q58</f>
        <v>71</v>
      </c>
      <c r="Z58" s="12">
        <f t="shared" si="4"/>
        <v>0</v>
      </c>
      <c r="AA58" s="4" t="s">
        <v>10</v>
      </c>
      <c r="AB58" s="11">
        <f>IFERROR(VLOOKUP(AA58,Curr!$B$2:$C$13,2,FALSE),0)</f>
        <v>11.2</v>
      </c>
      <c r="AC58" s="12">
        <f t="shared" si="5"/>
        <v>0</v>
      </c>
      <c r="AD58" s="12">
        <f t="shared" si="6"/>
        <v>0</v>
      </c>
      <c r="AE58" s="13">
        <f t="shared" si="7"/>
        <v>0</v>
      </c>
    </row>
    <row r="59" spans="2:36" x14ac:dyDescent="0.25">
      <c r="B59" s="4"/>
      <c r="C59" s="1" t="s">
        <v>138</v>
      </c>
      <c r="D59" s="1" t="s">
        <v>94</v>
      </c>
      <c r="E59" s="3"/>
      <c r="F59" s="3"/>
      <c r="G59" s="24"/>
      <c r="H59" s="24"/>
      <c r="J59" s="1" t="s">
        <v>248</v>
      </c>
      <c r="K59" s="4"/>
      <c r="L59" s="4"/>
      <c r="M59" s="4"/>
      <c r="N59" s="4"/>
      <c r="O59" s="4" t="s">
        <v>42</v>
      </c>
      <c r="P59" s="33" t="s">
        <v>249</v>
      </c>
      <c r="Q59" s="25">
        <v>126</v>
      </c>
      <c r="R59" s="25">
        <v>0</v>
      </c>
      <c r="S59" s="12">
        <f t="shared" si="15"/>
        <v>0</v>
      </c>
      <c r="T59" s="5">
        <v>0</v>
      </c>
      <c r="U59" s="12">
        <f t="shared" si="16"/>
        <v>0</v>
      </c>
      <c r="V59" s="25" t="s">
        <v>10</v>
      </c>
      <c r="W59" s="11">
        <f>IFERROR(VLOOKUP(V59,Curr!$B$2:$C$13,2,FALSE),0)</f>
        <v>11.2</v>
      </c>
      <c r="X59" s="12">
        <f t="shared" si="17"/>
        <v>0</v>
      </c>
      <c r="Y59" s="26">
        <f t="shared" si="18"/>
        <v>126</v>
      </c>
      <c r="Z59" s="12">
        <f t="shared" si="4"/>
        <v>0</v>
      </c>
      <c r="AA59" s="4" t="s">
        <v>10</v>
      </c>
      <c r="AB59" s="11">
        <f>IFERROR(VLOOKUP(AA59,Curr!$B$2:$C$13,2,FALSE),0)</f>
        <v>11.2</v>
      </c>
      <c r="AC59" s="12">
        <f t="shared" si="5"/>
        <v>0</v>
      </c>
      <c r="AD59" s="12">
        <f t="shared" si="6"/>
        <v>0</v>
      </c>
      <c r="AE59" s="13">
        <f t="shared" si="7"/>
        <v>0</v>
      </c>
    </row>
    <row r="60" spans="2:36" x14ac:dyDescent="0.25">
      <c r="B60" s="4"/>
      <c r="E60" s="3"/>
      <c r="F60" s="3"/>
      <c r="G60" s="24"/>
      <c r="H60" s="24"/>
      <c r="K60" s="4"/>
      <c r="L60" s="4"/>
      <c r="M60" s="4"/>
      <c r="N60" s="4"/>
      <c r="O60" s="4"/>
      <c r="P60" s="27"/>
      <c r="Q60" s="25"/>
      <c r="R60" s="25"/>
      <c r="S60" s="12">
        <f t="shared" si="15"/>
        <v>0</v>
      </c>
      <c r="T60" s="5">
        <v>0</v>
      </c>
      <c r="U60" s="12">
        <f t="shared" si="16"/>
        <v>0</v>
      </c>
      <c r="V60" s="25" t="s">
        <v>10</v>
      </c>
      <c r="W60" s="11">
        <f>IFERROR(VLOOKUP(V60,Curr!$B$2:$C$13,2,FALSE),0)</f>
        <v>11.2</v>
      </c>
      <c r="X60" s="12">
        <f t="shared" si="17"/>
        <v>0</v>
      </c>
      <c r="Y60" s="26">
        <f t="shared" si="18"/>
        <v>0</v>
      </c>
      <c r="Z60" s="12">
        <f t="shared" si="4"/>
        <v>0</v>
      </c>
      <c r="AA60" s="4" t="s">
        <v>10</v>
      </c>
      <c r="AB60" s="11">
        <f>IFERROR(VLOOKUP(AA60,Curr!$B$2:$C$13,2,FALSE),0)</f>
        <v>11.2</v>
      </c>
      <c r="AC60" s="12">
        <f t="shared" si="5"/>
        <v>0</v>
      </c>
      <c r="AD60" s="12">
        <f t="shared" si="6"/>
        <v>0</v>
      </c>
      <c r="AE60" s="13">
        <f t="shared" si="7"/>
        <v>0</v>
      </c>
    </row>
    <row r="61" spans="2:36" x14ac:dyDescent="0.25">
      <c r="B61" s="4"/>
      <c r="E61" s="3"/>
      <c r="F61" s="3"/>
      <c r="G61" s="24"/>
      <c r="H61" s="24"/>
      <c r="K61" s="4"/>
      <c r="L61" s="4"/>
      <c r="M61" s="4"/>
      <c r="N61" s="4"/>
      <c r="O61" s="4"/>
      <c r="P61" s="27"/>
      <c r="Q61" s="25"/>
      <c r="R61" s="25"/>
      <c r="S61" s="12">
        <f t="shared" si="15"/>
        <v>0</v>
      </c>
      <c r="T61" s="5">
        <v>0</v>
      </c>
      <c r="U61" s="12">
        <f t="shared" si="16"/>
        <v>0</v>
      </c>
      <c r="V61" s="25" t="s">
        <v>10</v>
      </c>
      <c r="W61" s="11">
        <f>IFERROR(VLOOKUP(V61,Curr!$B$2:$C$13,2,FALSE),0)</f>
        <v>11.2</v>
      </c>
      <c r="X61" s="12">
        <f t="shared" si="17"/>
        <v>0</v>
      </c>
      <c r="Y61" s="26">
        <f t="shared" si="18"/>
        <v>0</v>
      </c>
      <c r="Z61" s="12">
        <f t="shared" si="4"/>
        <v>0</v>
      </c>
      <c r="AA61" s="4" t="s">
        <v>10</v>
      </c>
      <c r="AB61" s="11">
        <f>IFERROR(VLOOKUP(AA61,Curr!$B$2:$C$13,2,FALSE),0)</f>
        <v>11.2</v>
      </c>
      <c r="AC61" s="12">
        <f t="shared" si="5"/>
        <v>0</v>
      </c>
      <c r="AD61" s="12">
        <f t="shared" si="6"/>
        <v>0</v>
      </c>
      <c r="AE61" s="13">
        <f t="shared" si="7"/>
        <v>0</v>
      </c>
    </row>
    <row r="62" spans="2:36" x14ac:dyDescent="0.25">
      <c r="B62" s="4"/>
      <c r="E62" s="3"/>
      <c r="F62" s="3"/>
      <c r="G62" s="3"/>
      <c r="H62" s="3"/>
      <c r="L62" s="4"/>
      <c r="M62" s="4"/>
      <c r="N62" s="4"/>
      <c r="O62" s="4"/>
      <c r="P62" s="22"/>
      <c r="Q62" s="4"/>
      <c r="R62" s="4"/>
      <c r="S62" s="4"/>
      <c r="T62" s="4"/>
      <c r="U62" s="4"/>
      <c r="V62" s="4"/>
      <c r="W62" s="4"/>
      <c r="X62" s="4"/>
      <c r="Y62" s="4"/>
      <c r="Z62" s="4"/>
      <c r="AA62" s="4"/>
      <c r="AB62" s="4"/>
      <c r="AC62" s="4"/>
      <c r="AD62" s="4"/>
      <c r="AE62" s="4"/>
      <c r="AF62" s="4"/>
    </row>
    <row r="63" spans="2:36" x14ac:dyDescent="0.25">
      <c r="B63" s="14" t="s">
        <v>18</v>
      </c>
      <c r="C63" s="14"/>
      <c r="D63" s="28" t="s">
        <v>42</v>
      </c>
      <c r="E63" s="30" t="s">
        <v>42</v>
      </c>
      <c r="F63" s="30" t="s">
        <v>42</v>
      </c>
      <c r="G63" s="30" t="s">
        <v>42</v>
      </c>
      <c r="H63" s="30" t="s">
        <v>42</v>
      </c>
      <c r="I63" s="28" t="s">
        <v>42</v>
      </c>
      <c r="J63" s="28" t="s">
        <v>42</v>
      </c>
      <c r="K63" s="28" t="s">
        <v>42</v>
      </c>
      <c r="L63" s="28" t="s">
        <v>42</v>
      </c>
      <c r="M63" s="28" t="s">
        <v>42</v>
      </c>
      <c r="N63" s="28" t="s">
        <v>42</v>
      </c>
      <c r="O63" s="28" t="s">
        <v>42</v>
      </c>
      <c r="P63" s="28" t="s">
        <v>42</v>
      </c>
      <c r="Q63" s="31" t="s">
        <v>42</v>
      </c>
      <c r="R63" s="28" t="s">
        <v>42</v>
      </c>
      <c r="S63" s="32" t="s">
        <v>42</v>
      </c>
      <c r="T63" s="28" t="s">
        <v>42</v>
      </c>
      <c r="U63" s="32" t="s">
        <v>42</v>
      </c>
      <c r="V63" s="28" t="s">
        <v>42</v>
      </c>
      <c r="W63" s="28" t="s">
        <v>42</v>
      </c>
      <c r="X63" s="32" t="s">
        <v>42</v>
      </c>
      <c r="Y63" s="32" t="s">
        <v>42</v>
      </c>
      <c r="Z63" s="15">
        <f>SUM(Z7:Z61)</f>
        <v>3764.6798542425818</v>
      </c>
      <c r="AA63" s="14"/>
      <c r="AB63" s="14"/>
      <c r="AC63" s="15">
        <f>SUM(AC7:AC61)</f>
        <v>42164.414367516911</v>
      </c>
      <c r="AD63" s="15">
        <f>SUM(AD7:AD61)</f>
        <v>8698.0143675169129</v>
      </c>
      <c r="AE63" s="21">
        <f t="shared" ref="AE63" si="21">IFERROR(AD63/AC63,0)</f>
        <v>0.2062880392859858</v>
      </c>
      <c r="AF63" s="15">
        <f>SUM(AF8:AF62)</f>
        <v>0</v>
      </c>
      <c r="AG63" s="15">
        <f>SUM(AG8:AG62)</f>
        <v>0</v>
      </c>
      <c r="AH63" s="15">
        <f>SUM(AH8:AH62)</f>
        <v>0</v>
      </c>
      <c r="AI63" s="15">
        <f>SUM(AI8:AI62)</f>
        <v>0</v>
      </c>
      <c r="AJ63" s="15">
        <f>SUM(AJ8:AJ62)</f>
        <v>0</v>
      </c>
    </row>
    <row r="64" spans="2:36" x14ac:dyDescent="0.25">
      <c r="B64" s="4"/>
      <c r="E64" s="3"/>
      <c r="F64" s="3"/>
      <c r="G64" s="3"/>
      <c r="H64" s="3"/>
      <c r="L64" s="4"/>
      <c r="M64" s="4"/>
      <c r="N64" s="4"/>
      <c r="O64" s="4"/>
      <c r="Q64" s="4"/>
      <c r="R64" s="4"/>
      <c r="S64" s="4"/>
      <c r="T64" s="4"/>
      <c r="U64" s="4"/>
      <c r="V64" s="4"/>
      <c r="W64" s="4"/>
      <c r="X64" s="4"/>
      <c r="Y64" s="9"/>
      <c r="Z64" s="9"/>
      <c r="AA64" s="9"/>
      <c r="AB64" s="9"/>
      <c r="AC64" s="9"/>
      <c r="AD64" s="9"/>
      <c r="AE64" s="9"/>
    </row>
    <row r="65" spans="2:32" x14ac:dyDescent="0.25">
      <c r="B65" s="4"/>
      <c r="E65" s="3"/>
      <c r="F65" s="3"/>
      <c r="G65" s="3"/>
      <c r="H65" s="3"/>
      <c r="L65" s="4"/>
      <c r="M65" s="4"/>
      <c r="N65" s="4"/>
      <c r="O65" s="4"/>
      <c r="Q65" s="9"/>
      <c r="R65" s="9"/>
      <c r="S65" s="9"/>
      <c r="T65" s="9"/>
      <c r="U65" s="9"/>
      <c r="V65" s="9"/>
      <c r="W65" s="9"/>
      <c r="X65" s="23"/>
      <c r="Y65" s="34" t="s">
        <v>102</v>
      </c>
      <c r="Z65" s="34"/>
      <c r="AA65" s="9"/>
      <c r="AB65" s="9"/>
      <c r="AC65" s="9"/>
      <c r="AD65" s="9"/>
      <c r="AE65" s="9"/>
    </row>
    <row r="66" spans="2:32" x14ac:dyDescent="0.25">
      <c r="B66" s="4"/>
      <c r="E66" s="3"/>
      <c r="F66" s="3"/>
      <c r="G66" s="3"/>
      <c r="H66" s="3"/>
      <c r="L66" s="4"/>
      <c r="M66" s="4"/>
      <c r="N66" s="4"/>
      <c r="O66" s="4"/>
      <c r="Q66" s="9"/>
      <c r="R66" s="9"/>
      <c r="S66" s="9"/>
      <c r="T66" s="9"/>
      <c r="U66" s="9"/>
      <c r="V66" s="9"/>
      <c r="W66" s="9"/>
      <c r="X66" s="9"/>
      <c r="Y66" s="35" t="s">
        <v>103</v>
      </c>
      <c r="Z66" s="34"/>
      <c r="AA66" s="9"/>
      <c r="AB66" s="9"/>
      <c r="AC66" s="9"/>
      <c r="AD66" s="9"/>
      <c r="AE66" s="9"/>
      <c r="AF66" s="18"/>
    </row>
    <row r="67" spans="2:32" x14ac:dyDescent="0.25">
      <c r="B67" s="4"/>
      <c r="E67" s="3"/>
      <c r="F67" s="3"/>
      <c r="G67" s="3"/>
      <c r="H67" s="3"/>
      <c r="I67" s="19"/>
      <c r="L67" s="4"/>
      <c r="M67" s="4"/>
      <c r="N67" s="4"/>
      <c r="O67" s="20"/>
      <c r="Q67" s="20"/>
      <c r="R67" s="20"/>
      <c r="S67" s="20"/>
      <c r="T67" s="20"/>
      <c r="U67" s="20"/>
      <c r="V67" s="20"/>
      <c r="W67" s="20"/>
      <c r="X67" s="20"/>
      <c r="Y67" s="34" t="s">
        <v>104</v>
      </c>
      <c r="Z67" s="34">
        <v>3760</v>
      </c>
      <c r="AA67" s="9"/>
      <c r="AB67" s="9"/>
      <c r="AC67" s="9"/>
      <c r="AD67" s="9"/>
      <c r="AE67" s="9"/>
      <c r="AF67" s="18"/>
    </row>
    <row r="68" spans="2:32" x14ac:dyDescent="0.25">
      <c r="B68" s="4"/>
      <c r="E68" s="3"/>
      <c r="F68" s="3"/>
      <c r="G68" s="3"/>
      <c r="H68" s="3"/>
      <c r="L68" s="4"/>
      <c r="M68" s="4"/>
      <c r="N68" s="4"/>
      <c r="O68" s="20"/>
      <c r="Q68" s="20"/>
      <c r="R68" s="20"/>
      <c r="S68" s="20"/>
      <c r="T68" s="20"/>
      <c r="U68" s="20"/>
      <c r="V68" s="20"/>
      <c r="W68" s="20"/>
      <c r="X68" s="20"/>
      <c r="Y68" s="34" t="s">
        <v>43</v>
      </c>
      <c r="Z68" s="34">
        <f>Z67/2</f>
        <v>1880</v>
      </c>
      <c r="AA68" s="9"/>
      <c r="AB68" s="9"/>
      <c r="AC68" s="9"/>
      <c r="AD68" s="9"/>
      <c r="AE68" s="9"/>
      <c r="AF68" s="18"/>
    </row>
    <row r="69" spans="2:32" x14ac:dyDescent="0.25">
      <c r="B69" s="4"/>
      <c r="E69" s="3"/>
      <c r="F69" s="3"/>
      <c r="G69" s="3"/>
      <c r="H69" s="3"/>
      <c r="L69" s="4"/>
      <c r="M69" s="4"/>
      <c r="N69" s="4"/>
      <c r="O69" s="4"/>
      <c r="Q69" s="9"/>
      <c r="R69" s="9"/>
      <c r="S69" s="9"/>
      <c r="T69" s="9"/>
      <c r="U69" s="9"/>
      <c r="V69" s="9"/>
      <c r="W69" s="9"/>
      <c r="X69" s="9"/>
      <c r="Y69" s="1"/>
      <c r="Z69" s="1"/>
      <c r="AA69" s="9"/>
      <c r="AB69" s="9"/>
      <c r="AC69" s="9"/>
      <c r="AD69" s="9"/>
      <c r="AE69" s="9"/>
      <c r="AF69" s="18"/>
    </row>
    <row r="70" spans="2:32" x14ac:dyDescent="0.25">
      <c r="F70" s="1"/>
      <c r="G70" s="1"/>
      <c r="H70" s="1"/>
      <c r="J70" s="1" t="s">
        <v>32</v>
      </c>
      <c r="Q70" s="9"/>
      <c r="R70" s="4"/>
      <c r="S70" s="9"/>
      <c r="T70" s="5"/>
      <c r="U70" s="9"/>
      <c r="V70" s="4"/>
      <c r="W70" s="4"/>
      <c r="X70" s="9"/>
      <c r="Y70" s="9"/>
      <c r="Z70" s="9"/>
      <c r="AA70" s="9"/>
      <c r="AB70" s="9"/>
      <c r="AC70" s="9"/>
      <c r="AD70" s="9"/>
      <c r="AE70" s="9"/>
    </row>
    <row r="71" spans="2:32" x14ac:dyDescent="0.25">
      <c r="R71" s="4"/>
      <c r="S71" s="17"/>
      <c r="T71" s="17"/>
      <c r="U71" s="9"/>
      <c r="V71" s="4"/>
      <c r="W71" s="4"/>
      <c r="X71" s="9"/>
      <c r="Y71" s="9"/>
      <c r="Z71" s="9" t="s">
        <v>307</v>
      </c>
      <c r="AA71" s="9"/>
      <c r="AB71" s="9"/>
      <c r="AC71" s="9"/>
      <c r="AD71" s="9"/>
      <c r="AE71" s="9"/>
    </row>
    <row r="72" spans="2:32" x14ac:dyDescent="0.25">
      <c r="Q72" s="9"/>
      <c r="R72" s="4"/>
      <c r="S72" s="16"/>
      <c r="T72" s="16"/>
      <c r="U72" s="9"/>
      <c r="V72" s="4"/>
      <c r="W72" s="4"/>
      <c r="X72" s="9"/>
      <c r="Y72" s="37" t="s">
        <v>325</v>
      </c>
      <c r="Z72" s="9">
        <f>Z67</f>
        <v>3760</v>
      </c>
      <c r="AA72" s="9"/>
      <c r="AB72" s="9"/>
      <c r="AC72" s="9"/>
      <c r="AD72" s="9"/>
      <c r="AE72" s="9"/>
    </row>
    <row r="73" spans="2:32" x14ac:dyDescent="0.25">
      <c r="R73" s="4"/>
      <c r="S73" s="16"/>
      <c r="T73" s="16"/>
      <c r="Y73" s="37" t="s">
        <v>326</v>
      </c>
      <c r="Z73" s="9">
        <f>Z72*1.1</f>
        <v>4136</v>
      </c>
      <c r="AA73" s="9"/>
      <c r="AB73" s="9"/>
      <c r="AC73" s="9"/>
      <c r="AD73" s="9"/>
      <c r="AE73" s="9"/>
    </row>
    <row r="74" spans="2:32" x14ac:dyDescent="0.25">
      <c r="T74" s="5"/>
      <c r="Y74" s="37" t="s">
        <v>327</v>
      </c>
      <c r="Z74" s="9">
        <f>Z72*1.2</f>
        <v>4512</v>
      </c>
      <c r="AA74" s="9"/>
      <c r="AB74" s="9"/>
      <c r="AC74" s="9"/>
      <c r="AD74" s="9"/>
      <c r="AE74" s="9"/>
    </row>
    <row r="75" spans="2:32" x14ac:dyDescent="0.25">
      <c r="T75" s="5"/>
      <c r="Y75" s="37" t="s">
        <v>328</v>
      </c>
      <c r="Z75" s="9">
        <f>Z72*0.8</f>
        <v>3008</v>
      </c>
      <c r="AA75" s="9"/>
      <c r="AB75" s="9"/>
      <c r="AC75" s="9"/>
      <c r="AD75" s="9"/>
      <c r="AE75" s="9"/>
    </row>
    <row r="76" spans="2:32" x14ac:dyDescent="0.25">
      <c r="T76" s="5"/>
      <c r="Y76" s="37" t="s">
        <v>330</v>
      </c>
      <c r="Z76" s="9" t="s">
        <v>329</v>
      </c>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c r="Y79" s="9"/>
      <c r="Z79" s="9"/>
      <c r="AA79" s="9"/>
      <c r="AB79" s="9"/>
      <c r="AC79" s="9"/>
      <c r="AD79" s="9"/>
      <c r="AE79" s="9"/>
    </row>
    <row r="80" spans="2:32" x14ac:dyDescent="0.25">
      <c r="T80" s="5"/>
      <c r="Y80" s="9"/>
      <c r="Z80" s="9"/>
      <c r="AA80" s="9"/>
      <c r="AB80" s="9"/>
      <c r="AC80" s="9"/>
      <c r="AD80" s="9"/>
      <c r="AE80" s="9"/>
    </row>
    <row r="81" spans="20:31" x14ac:dyDescent="0.25">
      <c r="T81" s="5"/>
      <c r="Y81" s="9"/>
      <c r="Z81" s="9"/>
      <c r="AA81" s="9"/>
      <c r="AB81" s="9"/>
      <c r="AC81" s="9"/>
      <c r="AD81" s="9"/>
      <c r="AE81" s="9"/>
    </row>
    <row r="82" spans="20:31" x14ac:dyDescent="0.25">
      <c r="T82" s="5"/>
    </row>
    <row r="83" spans="20:31" x14ac:dyDescent="0.25">
      <c r="T83" s="5"/>
    </row>
    <row r="84" spans="20:31" x14ac:dyDescent="0.25">
      <c r="T84" s="5"/>
    </row>
    <row r="85" spans="20:31" x14ac:dyDescent="0.25">
      <c r="T85" s="5"/>
    </row>
    <row r="86" spans="20:31" x14ac:dyDescent="0.25">
      <c r="T86" s="5"/>
    </row>
  </sheetData>
  <autoFilter ref="B6:AE63" xr:uid="{65FA6D9B-E0AF-46CD-BA0D-86BB75FE6AB0}"/>
  <hyperlinks>
    <hyperlink ref="P13" r:id="rId1" xr:uid="{A1DBC56D-758D-4711-8B23-A1C5F6B616ED}"/>
    <hyperlink ref="P18" r:id="rId2" xr:uid="{4BE8705C-F5E4-4DFD-A6CF-A68308975F71}"/>
    <hyperlink ref="P19" r:id="rId3" xr:uid="{06AA91A4-70D6-4778-A463-E66049BB204C}"/>
    <hyperlink ref="P28" r:id="rId4" xr:uid="{E18E2BD5-F58F-4E56-85EF-575429458468}"/>
    <hyperlink ref="P37" r:id="rId5" xr:uid="{361E1F3F-A283-4DCE-9C88-07416BFFD1A4}"/>
    <hyperlink ref="P35" r:id="rId6" xr:uid="{69C58F4B-192D-4D4E-988D-86B9E57581F8}"/>
    <hyperlink ref="P43" r:id="rId7" xr:uid="{E5E84BF2-0F08-478B-A6DC-6895F5DCFCFA}"/>
    <hyperlink ref="P59" r:id="rId8" xr:uid="{C6DB71E4-6D86-4BC2-B692-8FF396FD01FC}"/>
    <hyperlink ref="P58" r:id="rId9" xr:uid="{D9B0FCC0-448A-4690-8C7D-38A95C6778C8}"/>
  </hyperlinks>
  <pageMargins left="0.7" right="0.7" top="0.75" bottom="0.75" header="0.3" footer="0.3"/>
  <pageSetup paperSize="9" orientation="portrait" r:id="rId1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6955-8CF3-410E-ADC3-E30C7DC6A472}">
  <sheetPr>
    <tabColor rgb="FFFFFF00"/>
  </sheetPr>
  <dimension ref="B1:AK85"/>
  <sheetViews>
    <sheetView topLeftCell="A6" zoomScale="80" zoomScaleNormal="80" workbookViewId="0">
      <selection activeCell="J28" sqref="J28"/>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162</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38" si="0">+Q7*R7</f>
        <v>0</v>
      </c>
      <c r="T7" s="5">
        <v>0</v>
      </c>
      <c r="U7" s="12">
        <f t="shared" ref="U7:U38" si="1">S7*(1-T7)</f>
        <v>0</v>
      </c>
      <c r="V7" s="25" t="s">
        <v>10</v>
      </c>
      <c r="W7" s="11">
        <f>IFERROR(VLOOKUP(V7,Curr!$B$2:$C$13,2,FALSE),0)</f>
        <v>11.2</v>
      </c>
      <c r="X7" s="12">
        <f t="shared" ref="X7:X38" si="2">U7*W7</f>
        <v>0</v>
      </c>
      <c r="Y7" s="26">
        <f t="shared" ref="Y7:Y22" si="3">Q7</f>
        <v>0</v>
      </c>
      <c r="Z7" s="12">
        <f t="shared" ref="Z7:Z60" si="4">+Y7*R7</f>
        <v>0</v>
      </c>
      <c r="AA7" s="4" t="s">
        <v>10</v>
      </c>
      <c r="AB7" s="11">
        <f>IFERROR(VLOOKUP(AA7,Curr!$B$2:$C$13,2,FALSE),0)</f>
        <v>11.2</v>
      </c>
      <c r="AC7" s="12">
        <f t="shared" ref="AC7:AC60" si="5">+Y7*AB7*R7</f>
        <v>0</v>
      </c>
      <c r="AD7" s="12">
        <f t="shared" ref="AD7:AD60" si="6">+AC7-X7</f>
        <v>0</v>
      </c>
      <c r="AE7" s="13">
        <f t="shared" ref="AE7:AE60"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231</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Q9/0.85</f>
        <v>176.47058823529412</v>
      </c>
      <c r="Z9" s="12">
        <f t="shared" si="4"/>
        <v>176.47058823529412</v>
      </c>
      <c r="AA9" s="4" t="s">
        <v>10</v>
      </c>
      <c r="AB9" s="11">
        <f>IFERROR(VLOOKUP(AA9,Curr!$B$2:$C$13,2,FALSE),0)</f>
        <v>11.2</v>
      </c>
      <c r="AC9" s="12">
        <f t="shared" si="5"/>
        <v>1976.4705882352939</v>
      </c>
      <c r="AD9" s="12">
        <f t="shared" si="6"/>
        <v>296.47058823529392</v>
      </c>
      <c r="AE9" s="13">
        <f t="shared" si="7"/>
        <v>0.14999999999999991</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27"/>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73</v>
      </c>
      <c r="E13" s="3"/>
      <c r="F13" s="3"/>
      <c r="G13" s="24"/>
      <c r="H13" s="24"/>
      <c r="J13" s="1" t="s">
        <v>101</v>
      </c>
      <c r="K13" s="4"/>
      <c r="L13" s="4"/>
      <c r="M13" s="4"/>
      <c r="N13" s="4"/>
      <c r="O13" s="4" t="s">
        <v>42</v>
      </c>
      <c r="P13" s="33" t="s">
        <v>100</v>
      </c>
      <c r="Q13" s="25">
        <v>3450</v>
      </c>
      <c r="R13" s="25">
        <v>2</v>
      </c>
      <c r="S13" s="12">
        <f t="shared" si="0"/>
        <v>6900</v>
      </c>
      <c r="T13" s="5">
        <v>0.08</v>
      </c>
      <c r="U13" s="12">
        <f t="shared" si="1"/>
        <v>6348</v>
      </c>
      <c r="V13" s="25" t="s">
        <v>8</v>
      </c>
      <c r="W13" s="11">
        <f>IFERROR(VLOOKUP(V13,Curr!$B$2:$C$13,2,FALSE),0)</f>
        <v>1</v>
      </c>
      <c r="X13" s="12">
        <f t="shared" si="2"/>
        <v>6348</v>
      </c>
      <c r="Y13" s="26">
        <f>Q13/11.3/0.9</f>
        <v>339.23303834808252</v>
      </c>
      <c r="Z13" s="12">
        <f t="shared" si="4"/>
        <v>678.46607669616503</v>
      </c>
      <c r="AA13" s="4" t="s">
        <v>10</v>
      </c>
      <c r="AB13" s="11">
        <f>IFERROR(VLOOKUP(AA13,Curr!$B$2:$C$13,2,FALSE),0)</f>
        <v>11.2</v>
      </c>
      <c r="AC13" s="12">
        <f t="shared" si="5"/>
        <v>7598.8200589970475</v>
      </c>
      <c r="AD13" s="12">
        <f t="shared" si="6"/>
        <v>1250.8200589970475</v>
      </c>
      <c r="AE13" s="13">
        <f t="shared" si="7"/>
        <v>0.16460714285714256</v>
      </c>
    </row>
    <row r="14" spans="2:36" x14ac:dyDescent="0.25">
      <c r="B14" s="4"/>
      <c r="C14" s="1" t="s">
        <v>63</v>
      </c>
      <c r="D14" s="1" t="s">
        <v>50</v>
      </c>
      <c r="E14" s="3"/>
      <c r="F14" s="3"/>
      <c r="G14" s="24"/>
      <c r="H14" s="24"/>
      <c r="J14" s="1" t="s">
        <v>67</v>
      </c>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ref="Y14:Y16" si="8">Q14</f>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71</v>
      </c>
      <c r="K15" s="4"/>
      <c r="L15" s="4"/>
      <c r="M15" s="4"/>
      <c r="N15" s="4"/>
      <c r="O15" s="4"/>
      <c r="P15" s="33"/>
      <c r="Q15" s="25">
        <v>400</v>
      </c>
      <c r="R15" s="25">
        <v>1</v>
      </c>
      <c r="S15" s="12">
        <f t="shared" si="0"/>
        <v>400</v>
      </c>
      <c r="T15" s="5">
        <v>0</v>
      </c>
      <c r="U15" s="12">
        <f t="shared" si="1"/>
        <v>400</v>
      </c>
      <c r="V15" s="25" t="s">
        <v>10</v>
      </c>
      <c r="W15" s="11">
        <f>IFERROR(VLOOKUP(V15,Curr!$B$2:$C$13,2,FALSE),0)</f>
        <v>11.2</v>
      </c>
      <c r="X15" s="12">
        <f t="shared" si="2"/>
        <v>4480</v>
      </c>
      <c r="Y15" s="26">
        <f>Q15/0.85</f>
        <v>470.58823529411768</v>
      </c>
      <c r="Z15" s="12">
        <f t="shared" si="4"/>
        <v>470.58823529411768</v>
      </c>
      <c r="AA15" s="4" t="s">
        <v>10</v>
      </c>
      <c r="AB15" s="11">
        <f>IFERROR(VLOOKUP(AA15,Curr!$B$2:$C$13,2,FALSE),0)</f>
        <v>11.2</v>
      </c>
      <c r="AC15" s="12">
        <f t="shared" si="5"/>
        <v>5270.588235294118</v>
      </c>
      <c r="AD15" s="12">
        <f t="shared" si="6"/>
        <v>790.58823529411802</v>
      </c>
      <c r="AE15" s="13">
        <f t="shared" si="7"/>
        <v>0.15000000000000005</v>
      </c>
    </row>
    <row r="16" spans="2:36" x14ac:dyDescent="0.25">
      <c r="B16" s="4"/>
      <c r="C16" s="1" t="s">
        <v>63</v>
      </c>
      <c r="D16" s="1" t="s">
        <v>53</v>
      </c>
      <c r="E16" s="3"/>
      <c r="F16" s="3"/>
      <c r="G16" s="24"/>
      <c r="H16" s="24"/>
      <c r="J16" s="1" t="s">
        <v>68</v>
      </c>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8"/>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0"/>
        <v>0</v>
      </c>
      <c r="T17" s="5">
        <v>0</v>
      </c>
      <c r="U17" s="12">
        <f t="shared" si="1"/>
        <v>0</v>
      </c>
      <c r="V17" s="25" t="s">
        <v>10</v>
      </c>
      <c r="W17" s="11">
        <f>IFERROR(VLOOKUP(V17,Curr!$B$2:$C$13,2,FALSE),0)</f>
        <v>11.2</v>
      </c>
      <c r="X17" s="12">
        <f t="shared" si="2"/>
        <v>0</v>
      </c>
      <c r="Y17" s="26">
        <f t="shared" si="3"/>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0"/>
        <v>580</v>
      </c>
      <c r="T18" s="5">
        <v>0.2</v>
      </c>
      <c r="U18" s="12">
        <f t="shared" si="1"/>
        <v>464</v>
      </c>
      <c r="V18" s="25" t="s">
        <v>8</v>
      </c>
      <c r="W18" s="11">
        <f>IFERROR(VLOOKUP(V18,Curr!$B$2:$C$13,2,FALSE),0)</f>
        <v>1</v>
      </c>
      <c r="X18" s="12">
        <f t="shared" si="2"/>
        <v>464</v>
      </c>
      <c r="Y18" s="26">
        <f>Q18/11.3/0.64</f>
        <v>40.099557522123888</v>
      </c>
      <c r="Z18" s="12">
        <f t="shared" si="4"/>
        <v>80.199115044247776</v>
      </c>
      <c r="AA18" s="4" t="s">
        <v>10</v>
      </c>
      <c r="AB18" s="11">
        <f>IFERROR(VLOOKUP(AA18,Curr!$B$2:$C$13,2,FALSE),0)</f>
        <v>11.2</v>
      </c>
      <c r="AC18" s="12">
        <f t="shared" si="5"/>
        <v>898.23008849557505</v>
      </c>
      <c r="AD18" s="12">
        <f t="shared" si="6"/>
        <v>434.23008849557505</v>
      </c>
      <c r="AE18" s="13">
        <f t="shared" si="7"/>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0"/>
        <v>350</v>
      </c>
      <c r="T19" s="5">
        <v>0</v>
      </c>
      <c r="U19" s="12">
        <f t="shared" si="1"/>
        <v>350</v>
      </c>
      <c r="V19" s="25" t="s">
        <v>8</v>
      </c>
      <c r="W19" s="11">
        <f>IFERROR(VLOOKUP(V19,Curr!$B$2:$C$13,2,FALSE),0)</f>
        <v>1</v>
      </c>
      <c r="X19" s="12">
        <f t="shared" si="2"/>
        <v>350</v>
      </c>
      <c r="Y19" s="26">
        <f>Q19/11.3/0.5</f>
        <v>30.973451327433626</v>
      </c>
      <c r="Z19" s="12">
        <f t="shared" si="4"/>
        <v>61.946902654867252</v>
      </c>
      <c r="AA19" s="4" t="s">
        <v>10</v>
      </c>
      <c r="AB19" s="11">
        <f>IFERROR(VLOOKUP(AA19,Curr!$B$2:$C$13,2,FALSE),0)</f>
        <v>11.2</v>
      </c>
      <c r="AC19" s="12">
        <f t="shared" si="5"/>
        <v>693.80530973451323</v>
      </c>
      <c r="AD19" s="12">
        <f t="shared" si="6"/>
        <v>343.80530973451323</v>
      </c>
      <c r="AE19" s="13">
        <f t="shared" si="7"/>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ref="Y20" si="9">Q20</f>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11.2</v>
      </c>
      <c r="X21" s="12">
        <f t="shared" si="2"/>
        <v>0</v>
      </c>
      <c r="Y21" s="26">
        <f t="shared" si="3"/>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50</v>
      </c>
      <c r="E22" s="3"/>
      <c r="F22" s="3"/>
      <c r="G22" s="24"/>
      <c r="H22" s="24"/>
      <c r="J22" s="1" t="s">
        <v>83</v>
      </c>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3"/>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79</v>
      </c>
      <c r="E23" s="3"/>
      <c r="F23" s="3"/>
      <c r="G23" s="24"/>
      <c r="H23" s="24"/>
      <c r="J23" s="1" t="s">
        <v>269</v>
      </c>
      <c r="K23" s="4"/>
      <c r="L23" s="4"/>
      <c r="M23" s="4"/>
      <c r="N23" s="4"/>
      <c r="O23" s="4"/>
      <c r="P23" s="29"/>
      <c r="Q23" s="25">
        <v>1600</v>
      </c>
      <c r="R23" s="25">
        <v>2</v>
      </c>
      <c r="S23" s="12">
        <f t="shared" si="0"/>
        <v>3200</v>
      </c>
      <c r="T23" s="5">
        <v>0</v>
      </c>
      <c r="U23" s="12">
        <f t="shared" si="1"/>
        <v>3200</v>
      </c>
      <c r="V23" s="25" t="s">
        <v>8</v>
      </c>
      <c r="W23" s="11">
        <f>IFERROR(VLOOKUP(V23,Curr!$B$2:$C$13,2,FALSE),0)</f>
        <v>1</v>
      </c>
      <c r="X23" s="12">
        <f t="shared" si="2"/>
        <v>3200</v>
      </c>
      <c r="Y23" s="26">
        <f>Q23/11/0.8</f>
        <v>181.81818181818181</v>
      </c>
      <c r="Z23" s="12">
        <f t="shared" si="4"/>
        <v>363.63636363636363</v>
      </c>
      <c r="AA23" s="4" t="s">
        <v>10</v>
      </c>
      <c r="AB23" s="11">
        <f>IFERROR(VLOOKUP(AA23,Curr!$B$2:$C$13,2,FALSE),0)</f>
        <v>11.2</v>
      </c>
      <c r="AC23" s="12">
        <f t="shared" si="5"/>
        <v>4072.7272727272725</v>
      </c>
      <c r="AD23" s="12">
        <f t="shared" si="6"/>
        <v>872.72727272727252</v>
      </c>
      <c r="AE23" s="13">
        <f t="shared" si="7"/>
        <v>0.21428571428571425</v>
      </c>
    </row>
    <row r="24" spans="2:31" x14ac:dyDescent="0.25">
      <c r="B24" s="4"/>
      <c r="C24" s="1" t="s">
        <v>78</v>
      </c>
      <c r="D24" s="1" t="s">
        <v>50</v>
      </c>
      <c r="E24" s="3"/>
      <c r="F24" s="3"/>
      <c r="G24" s="24"/>
      <c r="H24" s="24"/>
      <c r="J24" s="1" t="s">
        <v>270</v>
      </c>
      <c r="K24" s="4"/>
      <c r="L24" s="4"/>
      <c r="M24" s="4"/>
      <c r="N24" s="4"/>
      <c r="O24" s="4"/>
      <c r="P24" s="27"/>
      <c r="Q24" s="25">
        <v>0</v>
      </c>
      <c r="R24" s="25">
        <v>0</v>
      </c>
      <c r="S24" s="12">
        <f t="shared" si="0"/>
        <v>0</v>
      </c>
      <c r="T24" s="5">
        <v>0</v>
      </c>
      <c r="U24" s="12">
        <f t="shared" si="1"/>
        <v>0</v>
      </c>
      <c r="V24" s="25" t="s">
        <v>10</v>
      </c>
      <c r="W24" s="11">
        <f>IFERROR(VLOOKUP(V24,Curr!$B$2:$C$13,2,FALSE),0)</f>
        <v>11.2</v>
      </c>
      <c r="X24" s="12">
        <f t="shared" si="2"/>
        <v>0</v>
      </c>
      <c r="Y24" s="26">
        <f t="shared" ref="Y24" si="10">Q24</f>
        <v>0</v>
      </c>
      <c r="Z24" s="12">
        <f t="shared" si="4"/>
        <v>0</v>
      </c>
      <c r="AA24" s="4" t="s">
        <v>10</v>
      </c>
      <c r="AB24" s="11">
        <f>IFERROR(VLOOKUP(AA24,Curr!$B$2:$C$13,2,FALSE),0)</f>
        <v>11.2</v>
      </c>
      <c r="AC24" s="12">
        <f t="shared" si="5"/>
        <v>0</v>
      </c>
      <c r="AD24" s="12">
        <f t="shared" si="6"/>
        <v>0</v>
      </c>
      <c r="AE24" s="13">
        <f t="shared" si="7"/>
        <v>0</v>
      </c>
    </row>
    <row r="25" spans="2:31" x14ac:dyDescent="0.25">
      <c r="B25" s="4"/>
      <c r="C25" s="1" t="s">
        <v>78</v>
      </c>
      <c r="D25" s="1" t="s">
        <v>52</v>
      </c>
      <c r="E25" s="3"/>
      <c r="F25" s="3"/>
      <c r="G25" s="24"/>
      <c r="H25" s="24"/>
      <c r="J25" s="1" t="s">
        <v>271</v>
      </c>
      <c r="K25" s="4"/>
      <c r="L25" s="4"/>
      <c r="M25" s="4"/>
      <c r="N25" s="4"/>
      <c r="O25" s="4"/>
      <c r="P25" s="27"/>
      <c r="Q25" s="25">
        <v>320</v>
      </c>
      <c r="R25" s="25">
        <v>1</v>
      </c>
      <c r="S25" s="12">
        <f t="shared" si="0"/>
        <v>320</v>
      </c>
      <c r="T25" s="5">
        <v>0</v>
      </c>
      <c r="U25" s="12">
        <f t="shared" si="1"/>
        <v>320</v>
      </c>
      <c r="V25" s="25" t="s">
        <v>10</v>
      </c>
      <c r="W25" s="11">
        <f>IFERROR(VLOOKUP(V25,Curr!$B$2:$C$13,2,FALSE),0)</f>
        <v>11.2</v>
      </c>
      <c r="X25" s="12">
        <f t="shared" si="2"/>
        <v>3584</v>
      </c>
      <c r="Y25" s="26">
        <f>Q25/0.8</f>
        <v>400</v>
      </c>
      <c r="Z25" s="12">
        <f t="shared" si="4"/>
        <v>400</v>
      </c>
      <c r="AA25" s="4" t="s">
        <v>10</v>
      </c>
      <c r="AB25" s="11">
        <f>IFERROR(VLOOKUP(AA25,Curr!$B$2:$C$13,2,FALSE),0)</f>
        <v>11.2</v>
      </c>
      <c r="AC25" s="12">
        <f t="shared" si="5"/>
        <v>4480</v>
      </c>
      <c r="AD25" s="12">
        <f t="shared" si="6"/>
        <v>896</v>
      </c>
      <c r="AE25" s="13">
        <f t="shared" si="7"/>
        <v>0.2</v>
      </c>
    </row>
    <row r="26" spans="2:31" x14ac:dyDescent="0.25">
      <c r="B26" s="4"/>
      <c r="C26" s="1" t="s">
        <v>78</v>
      </c>
      <c r="D26" s="1" t="s">
        <v>53</v>
      </c>
      <c r="E26" s="3"/>
      <c r="F26" s="3"/>
      <c r="G26" s="24"/>
      <c r="H26" s="24"/>
      <c r="J26" s="1" t="s">
        <v>268</v>
      </c>
      <c r="K26" s="4"/>
      <c r="L26" s="4"/>
      <c r="M26" s="4"/>
      <c r="N26" s="4"/>
      <c r="O26" s="4"/>
      <c r="P26" s="27"/>
      <c r="Q26" s="25">
        <v>0</v>
      </c>
      <c r="R26" s="25">
        <v>0</v>
      </c>
      <c r="S26" s="12">
        <f t="shared" si="0"/>
        <v>0</v>
      </c>
      <c r="T26" s="5">
        <v>0</v>
      </c>
      <c r="U26" s="12">
        <f t="shared" si="1"/>
        <v>0</v>
      </c>
      <c r="V26" s="25" t="s">
        <v>10</v>
      </c>
      <c r="W26" s="11">
        <f>IFERROR(VLOOKUP(V26,Curr!$B$2:$C$13,2,FALSE),0)</f>
        <v>11.2</v>
      </c>
      <c r="X26" s="12">
        <f t="shared" si="2"/>
        <v>0</v>
      </c>
      <c r="Y26" s="26">
        <f t="shared" ref="Y26:Y38" si="11">Q26</f>
        <v>0</v>
      </c>
      <c r="Z26" s="12">
        <f t="shared" si="4"/>
        <v>0</v>
      </c>
      <c r="AA26" s="4" t="s">
        <v>10</v>
      </c>
      <c r="AB26" s="11">
        <f>IFERROR(VLOOKUP(AA26,Curr!$B$2:$C$13,2,FALSE),0)</f>
        <v>11.2</v>
      </c>
      <c r="AC26" s="12">
        <f t="shared" si="5"/>
        <v>0</v>
      </c>
      <c r="AD26" s="12">
        <f t="shared" si="6"/>
        <v>0</v>
      </c>
      <c r="AE26" s="13">
        <f t="shared" si="7"/>
        <v>0</v>
      </c>
    </row>
    <row r="27" spans="2:31" x14ac:dyDescent="0.25">
      <c r="B27" s="4"/>
      <c r="E27" s="3"/>
      <c r="F27" s="3"/>
      <c r="G27" s="24"/>
      <c r="H27" s="24"/>
      <c r="K27" s="4"/>
      <c r="L27" s="4"/>
      <c r="M27" s="4"/>
      <c r="N27" s="4"/>
      <c r="O27" s="4"/>
      <c r="P27" s="33"/>
      <c r="Q27" s="25"/>
      <c r="R27" s="25"/>
      <c r="S27" s="12">
        <f t="shared" si="0"/>
        <v>0</v>
      </c>
      <c r="T27" s="5">
        <v>0</v>
      </c>
      <c r="U27" s="12">
        <f t="shared" si="1"/>
        <v>0</v>
      </c>
      <c r="V27" s="25" t="s">
        <v>10</v>
      </c>
      <c r="W27" s="11">
        <f>IFERROR(VLOOKUP(V27,Curr!$B$2:$C$13,2,FALSE),0)</f>
        <v>11.2</v>
      </c>
      <c r="X27" s="12">
        <f t="shared" si="2"/>
        <v>0</v>
      </c>
      <c r="Y27" s="26">
        <f t="shared" si="11"/>
        <v>0</v>
      </c>
      <c r="Z27" s="12">
        <f t="shared" si="4"/>
        <v>0</v>
      </c>
      <c r="AA27" s="4" t="s">
        <v>10</v>
      </c>
      <c r="AB27" s="11">
        <f>IFERROR(VLOOKUP(AA27,Curr!$B$2:$C$13,2,FALSE),0)</f>
        <v>11.2</v>
      </c>
      <c r="AC27" s="12">
        <f t="shared" si="5"/>
        <v>0</v>
      </c>
      <c r="AD27" s="12">
        <f t="shared" si="6"/>
        <v>0</v>
      </c>
      <c r="AE27" s="13">
        <f t="shared" si="7"/>
        <v>0</v>
      </c>
    </row>
    <row r="28" spans="2:31" x14ac:dyDescent="0.25">
      <c r="B28" s="4"/>
      <c r="C28" s="1" t="s">
        <v>80</v>
      </c>
      <c r="D28" s="1" t="s">
        <v>73</v>
      </c>
      <c r="E28" s="3"/>
      <c r="F28" s="3"/>
      <c r="G28" s="24"/>
      <c r="H28" s="24"/>
      <c r="J28" s="1" t="s">
        <v>274</v>
      </c>
      <c r="K28" s="4"/>
      <c r="L28" s="4"/>
      <c r="M28" s="4"/>
      <c r="N28" s="4"/>
      <c r="O28" s="4"/>
      <c r="P28" s="33" t="s">
        <v>275</v>
      </c>
      <c r="Q28" s="25">
        <v>2139</v>
      </c>
      <c r="R28" s="25">
        <v>2</v>
      </c>
      <c r="S28" s="12">
        <f t="shared" si="0"/>
        <v>4278</v>
      </c>
      <c r="T28" s="5">
        <v>0</v>
      </c>
      <c r="U28" s="12">
        <f t="shared" si="1"/>
        <v>4278</v>
      </c>
      <c r="V28" s="25" t="s">
        <v>8</v>
      </c>
      <c r="W28" s="11">
        <f>IFERROR(VLOOKUP(V28,Curr!$B$2:$C$13,2,FALSE),0)</f>
        <v>1</v>
      </c>
      <c r="X28" s="12">
        <f t="shared" si="2"/>
        <v>4278</v>
      </c>
      <c r="Y28" s="26">
        <f>Q28/11.3/0.8</f>
        <v>236.61504424778758</v>
      </c>
      <c r="Z28" s="12">
        <f t="shared" si="4"/>
        <v>473.23008849557516</v>
      </c>
      <c r="AA28" s="4" t="s">
        <v>10</v>
      </c>
      <c r="AB28" s="11">
        <f>IFERROR(VLOOKUP(AA28,Curr!$B$2:$C$13,2,FALSE),0)</f>
        <v>11.2</v>
      </c>
      <c r="AC28" s="12">
        <f t="shared" si="5"/>
        <v>5300.1769911504416</v>
      </c>
      <c r="AD28" s="12">
        <f t="shared" si="6"/>
        <v>1022.1769911504416</v>
      </c>
      <c r="AE28" s="13">
        <f t="shared" si="7"/>
        <v>0.19285714285714273</v>
      </c>
    </row>
    <row r="29" spans="2:31" x14ac:dyDescent="0.25">
      <c r="B29" s="4"/>
      <c r="C29" s="1" t="s">
        <v>80</v>
      </c>
      <c r="D29" s="1" t="s">
        <v>53</v>
      </c>
      <c r="E29" s="3"/>
      <c r="F29" s="3"/>
      <c r="G29" s="24"/>
      <c r="H29" s="24"/>
      <c r="J29" s="1" t="s">
        <v>268</v>
      </c>
      <c r="K29" s="4"/>
      <c r="L29" s="4"/>
      <c r="M29" s="4"/>
      <c r="N29" s="4"/>
      <c r="O29" s="4"/>
      <c r="P29" s="29"/>
      <c r="Q29" s="25">
        <v>0</v>
      </c>
      <c r="R29" s="25">
        <v>0</v>
      </c>
      <c r="S29" s="12">
        <f t="shared" si="0"/>
        <v>0</v>
      </c>
      <c r="T29" s="5">
        <v>0</v>
      </c>
      <c r="U29" s="12">
        <f t="shared" si="1"/>
        <v>0</v>
      </c>
      <c r="V29" s="25" t="s">
        <v>10</v>
      </c>
      <c r="W29" s="11">
        <f>IFERROR(VLOOKUP(V29,Curr!$B$2:$C$13,2,FALSE),0)</f>
        <v>11.2</v>
      </c>
      <c r="X29" s="12">
        <f t="shared" si="2"/>
        <v>0</v>
      </c>
      <c r="Y29" s="26">
        <f t="shared" si="11"/>
        <v>0</v>
      </c>
      <c r="Z29" s="12">
        <f t="shared" si="4"/>
        <v>0</v>
      </c>
      <c r="AA29" s="4" t="s">
        <v>10</v>
      </c>
      <c r="AB29" s="11">
        <f>IFERROR(VLOOKUP(AA29,Curr!$B$2:$C$13,2,FALSE),0)</f>
        <v>11.2</v>
      </c>
      <c r="AC29" s="12">
        <f t="shared" si="5"/>
        <v>0</v>
      </c>
      <c r="AD29" s="12">
        <f t="shared" si="6"/>
        <v>0</v>
      </c>
      <c r="AE29" s="13">
        <f t="shared" si="7"/>
        <v>0</v>
      </c>
    </row>
    <row r="30" spans="2:31" x14ac:dyDescent="0.25">
      <c r="B30" s="4"/>
      <c r="E30" s="3"/>
      <c r="F30" s="3"/>
      <c r="G30" s="24"/>
      <c r="H30" s="24"/>
      <c r="K30" s="4"/>
      <c r="L30" s="4"/>
      <c r="M30" s="4"/>
      <c r="N30" s="4"/>
      <c r="O30" s="4"/>
      <c r="P30" s="33"/>
      <c r="Q30" s="25"/>
      <c r="R30" s="25"/>
      <c r="S30" s="12">
        <f t="shared" si="0"/>
        <v>0</v>
      </c>
      <c r="T30" s="5">
        <v>0</v>
      </c>
      <c r="U30" s="12">
        <f t="shared" si="1"/>
        <v>0</v>
      </c>
      <c r="V30" s="25" t="s">
        <v>10</v>
      </c>
      <c r="W30" s="11">
        <f>IFERROR(VLOOKUP(V30,Curr!$B$2:$C$13,2,FALSE),0)</f>
        <v>11.2</v>
      </c>
      <c r="X30" s="12">
        <f t="shared" si="2"/>
        <v>0</v>
      </c>
      <c r="Y30" s="26">
        <f t="shared" si="11"/>
        <v>0</v>
      </c>
      <c r="Z30" s="12">
        <f t="shared" si="4"/>
        <v>0</v>
      </c>
      <c r="AA30" s="4" t="s">
        <v>10</v>
      </c>
      <c r="AB30" s="11">
        <f>IFERROR(VLOOKUP(AA30,Curr!$B$2:$C$13,2,FALSE),0)</f>
        <v>11.2</v>
      </c>
      <c r="AC30" s="12">
        <f t="shared" si="5"/>
        <v>0</v>
      </c>
      <c r="AD30" s="12">
        <f t="shared" si="6"/>
        <v>0</v>
      </c>
      <c r="AE30" s="13">
        <f t="shared" si="7"/>
        <v>0</v>
      </c>
    </row>
    <row r="31" spans="2:31" x14ac:dyDescent="0.25">
      <c r="B31" s="4"/>
      <c r="C31" s="1" t="s">
        <v>81</v>
      </c>
      <c r="D31" s="1" t="s">
        <v>50</v>
      </c>
      <c r="E31" s="3"/>
      <c r="F31" s="3"/>
      <c r="G31" s="24"/>
      <c r="H31" s="24"/>
      <c r="J31" s="1" t="s">
        <v>279</v>
      </c>
      <c r="K31" s="4"/>
      <c r="L31" s="4"/>
      <c r="M31" s="4"/>
      <c r="N31" s="4"/>
      <c r="O31" s="4"/>
      <c r="P31" s="33"/>
      <c r="Q31" s="25">
        <v>0</v>
      </c>
      <c r="R31" s="25">
        <v>0</v>
      </c>
      <c r="S31" s="12">
        <f t="shared" si="0"/>
        <v>0</v>
      </c>
      <c r="T31" s="5">
        <v>0</v>
      </c>
      <c r="U31" s="12">
        <f t="shared" si="1"/>
        <v>0</v>
      </c>
      <c r="V31" s="25" t="s">
        <v>10</v>
      </c>
      <c r="W31" s="11">
        <f>IFERROR(VLOOKUP(V31,Curr!$B$2:$C$13,2,FALSE),0)</f>
        <v>11.2</v>
      </c>
      <c r="X31" s="12">
        <f t="shared" si="2"/>
        <v>0</v>
      </c>
      <c r="Y31" s="26">
        <f t="shared" si="11"/>
        <v>0</v>
      </c>
      <c r="Z31" s="12">
        <f t="shared" si="4"/>
        <v>0</v>
      </c>
      <c r="AA31" s="4" t="s">
        <v>10</v>
      </c>
      <c r="AB31" s="11">
        <f>IFERROR(VLOOKUP(AA31,Curr!$B$2:$C$13,2,FALSE),0)</f>
        <v>11.2</v>
      </c>
      <c r="AC31" s="12">
        <f t="shared" si="5"/>
        <v>0</v>
      </c>
      <c r="AD31" s="12">
        <f t="shared" si="6"/>
        <v>0</v>
      </c>
      <c r="AE31" s="13">
        <f t="shared" si="7"/>
        <v>0</v>
      </c>
    </row>
    <row r="32" spans="2:31" x14ac:dyDescent="0.25">
      <c r="B32" s="4"/>
      <c r="C32" s="1" t="s">
        <v>81</v>
      </c>
      <c r="D32" s="1" t="s">
        <v>129</v>
      </c>
      <c r="E32" s="3"/>
      <c r="F32" s="3"/>
      <c r="G32" s="24"/>
      <c r="H32" s="24"/>
      <c r="J32" s="1" t="s">
        <v>280</v>
      </c>
      <c r="K32" s="4"/>
      <c r="L32" s="4"/>
      <c r="M32" s="4"/>
      <c r="N32" s="4"/>
      <c r="O32" s="4"/>
      <c r="P32" s="33"/>
      <c r="Q32" s="25">
        <v>0</v>
      </c>
      <c r="R32" s="25">
        <v>0</v>
      </c>
      <c r="S32" s="12">
        <f t="shared" si="0"/>
        <v>0</v>
      </c>
      <c r="T32" s="5">
        <v>0</v>
      </c>
      <c r="U32" s="12">
        <f t="shared" si="1"/>
        <v>0</v>
      </c>
      <c r="V32" s="25" t="s">
        <v>10</v>
      </c>
      <c r="W32" s="11">
        <f>IFERROR(VLOOKUP(V32,Curr!$B$2:$C$13,2,FALSE),0)</f>
        <v>11.2</v>
      </c>
      <c r="X32" s="12">
        <f t="shared" si="2"/>
        <v>0</v>
      </c>
      <c r="Y32" s="26">
        <f t="shared" si="11"/>
        <v>0</v>
      </c>
      <c r="Z32" s="12">
        <f t="shared" si="4"/>
        <v>0</v>
      </c>
      <c r="AA32" s="4" t="s">
        <v>10</v>
      </c>
      <c r="AB32" s="11">
        <f>IFERROR(VLOOKUP(AA32,Curr!$B$2:$C$13,2,FALSE),0)</f>
        <v>11.2</v>
      </c>
      <c r="AC32" s="12">
        <f t="shared" si="5"/>
        <v>0</v>
      </c>
      <c r="AD32" s="12">
        <f t="shared" si="6"/>
        <v>0</v>
      </c>
      <c r="AE32" s="13">
        <f t="shared" si="7"/>
        <v>0</v>
      </c>
    </row>
    <row r="33" spans="2:31" x14ac:dyDescent="0.25">
      <c r="B33" s="4"/>
      <c r="C33" s="1" t="s">
        <v>81</v>
      </c>
      <c r="D33" s="1" t="s">
        <v>50</v>
      </c>
      <c r="E33" s="3"/>
      <c r="F33" s="3"/>
      <c r="G33" s="24"/>
      <c r="H33" s="24"/>
      <c r="J33" s="1" t="s">
        <v>224</v>
      </c>
      <c r="K33" s="4"/>
      <c r="L33" s="4"/>
      <c r="M33" s="4"/>
      <c r="N33" s="4"/>
      <c r="O33" s="4"/>
      <c r="P33" s="33"/>
      <c r="Q33" s="25">
        <v>0</v>
      </c>
      <c r="R33" s="25">
        <v>0</v>
      </c>
      <c r="S33" s="12">
        <f t="shared" si="0"/>
        <v>0</v>
      </c>
      <c r="T33" s="5">
        <v>0</v>
      </c>
      <c r="U33" s="12">
        <f t="shared" si="1"/>
        <v>0</v>
      </c>
      <c r="V33" s="25" t="s">
        <v>10</v>
      </c>
      <c r="W33" s="11">
        <f>IFERROR(VLOOKUP(V33,Curr!$B$2:$C$13,2,FALSE),0)</f>
        <v>11.2</v>
      </c>
      <c r="X33" s="12">
        <f t="shared" si="2"/>
        <v>0</v>
      </c>
      <c r="Y33" s="26">
        <f t="shared" si="11"/>
        <v>0</v>
      </c>
      <c r="Z33" s="12">
        <f t="shared" si="4"/>
        <v>0</v>
      </c>
      <c r="AA33" s="4" t="s">
        <v>10</v>
      </c>
      <c r="AB33" s="11">
        <f>IFERROR(VLOOKUP(AA33,Curr!$B$2:$C$13,2,FALSE),0)</f>
        <v>11.2</v>
      </c>
      <c r="AC33" s="12">
        <f t="shared" si="5"/>
        <v>0</v>
      </c>
      <c r="AD33" s="12">
        <f t="shared" si="6"/>
        <v>0</v>
      </c>
      <c r="AE33" s="13">
        <f t="shared" si="7"/>
        <v>0</v>
      </c>
    </row>
    <row r="34" spans="2:31" x14ac:dyDescent="0.25">
      <c r="B34" s="4"/>
      <c r="C34" s="1" t="s">
        <v>81</v>
      </c>
      <c r="D34" s="1" t="s">
        <v>52</v>
      </c>
      <c r="E34" s="3"/>
      <c r="F34" s="3"/>
      <c r="G34" s="24"/>
      <c r="H34" s="24"/>
      <c r="J34" s="1" t="s">
        <v>336</v>
      </c>
      <c r="K34" s="4"/>
      <c r="L34" s="4"/>
      <c r="M34" s="4"/>
      <c r="N34" s="4"/>
      <c r="O34" s="4"/>
      <c r="P34" s="33"/>
      <c r="Q34" s="25">
        <v>300</v>
      </c>
      <c r="R34" s="25">
        <v>1</v>
      </c>
      <c r="S34" s="12">
        <f t="shared" si="0"/>
        <v>300</v>
      </c>
      <c r="T34" s="5">
        <v>0</v>
      </c>
      <c r="U34" s="12">
        <f t="shared" si="1"/>
        <v>300</v>
      </c>
      <c r="V34" s="25" t="s">
        <v>10</v>
      </c>
      <c r="W34" s="11">
        <f>IFERROR(VLOOKUP(V34,Curr!$B$2:$C$13,2,FALSE),0)</f>
        <v>11.2</v>
      </c>
      <c r="X34" s="12">
        <f t="shared" si="2"/>
        <v>3360</v>
      </c>
      <c r="Y34" s="26">
        <f>Q34/0.8</f>
        <v>375</v>
      </c>
      <c r="Z34" s="12">
        <f t="shared" si="4"/>
        <v>375</v>
      </c>
      <c r="AA34" s="4" t="s">
        <v>10</v>
      </c>
      <c r="AB34" s="11">
        <f>IFERROR(VLOOKUP(AA34,Curr!$B$2:$C$13,2,FALSE),0)</f>
        <v>11.2</v>
      </c>
      <c r="AC34" s="12">
        <f t="shared" si="5"/>
        <v>4200</v>
      </c>
      <c r="AD34" s="12">
        <f t="shared" si="6"/>
        <v>840</v>
      </c>
      <c r="AE34" s="13">
        <f t="shared" si="7"/>
        <v>0.2</v>
      </c>
    </row>
    <row r="35" spans="2:31" x14ac:dyDescent="0.25">
      <c r="B35" s="4"/>
      <c r="C35" s="1" t="s">
        <v>81</v>
      </c>
      <c r="D35" s="1" t="s">
        <v>73</v>
      </c>
      <c r="E35" s="3"/>
      <c r="F35" s="3"/>
      <c r="G35" s="24"/>
      <c r="H35" s="24"/>
      <c r="J35" s="1" t="s">
        <v>284</v>
      </c>
      <c r="K35" s="4"/>
      <c r="L35" s="4"/>
      <c r="M35" s="4"/>
      <c r="N35" s="4"/>
      <c r="O35" s="4"/>
      <c r="P35" s="33" t="s">
        <v>285</v>
      </c>
      <c r="Q35" s="25">
        <v>44</v>
      </c>
      <c r="R35" s="25">
        <v>2</v>
      </c>
      <c r="S35" s="12">
        <f t="shared" si="0"/>
        <v>88</v>
      </c>
      <c r="T35" s="5">
        <v>0</v>
      </c>
      <c r="U35" s="12">
        <f t="shared" si="1"/>
        <v>88</v>
      </c>
      <c r="V35" s="25" t="s">
        <v>10</v>
      </c>
      <c r="W35" s="11">
        <f>IFERROR(VLOOKUP(V35,Curr!$B$2:$C$13,2,FALSE),0)</f>
        <v>11.2</v>
      </c>
      <c r="X35" s="12">
        <f t="shared" si="2"/>
        <v>985.59999999999991</v>
      </c>
      <c r="Y35" s="26">
        <f>Q35/0.6</f>
        <v>73.333333333333343</v>
      </c>
      <c r="Z35" s="12">
        <f t="shared" si="4"/>
        <v>146.66666666666669</v>
      </c>
      <c r="AA35" s="4" t="s">
        <v>10</v>
      </c>
      <c r="AB35" s="11">
        <f>IFERROR(VLOOKUP(AA35,Curr!$B$2:$C$13,2,FALSE),0)</f>
        <v>11.2</v>
      </c>
      <c r="AC35" s="12">
        <f t="shared" si="5"/>
        <v>1642.6666666666667</v>
      </c>
      <c r="AD35" s="12">
        <f t="shared" si="6"/>
        <v>657.06666666666683</v>
      </c>
      <c r="AE35" s="13">
        <f t="shared" si="7"/>
        <v>0.40000000000000008</v>
      </c>
    </row>
    <row r="36" spans="2:31" x14ac:dyDescent="0.25">
      <c r="B36" s="4"/>
      <c r="E36" s="3"/>
      <c r="F36" s="3"/>
      <c r="G36" s="24"/>
      <c r="H36" s="24"/>
      <c r="K36" s="4"/>
      <c r="L36" s="4"/>
      <c r="M36" s="4"/>
      <c r="N36" s="4"/>
      <c r="O36" s="4"/>
      <c r="P36" s="33"/>
      <c r="Q36" s="25"/>
      <c r="R36" s="25"/>
      <c r="S36" s="12">
        <f t="shared" si="0"/>
        <v>0</v>
      </c>
      <c r="T36" s="5">
        <v>0</v>
      </c>
      <c r="U36" s="12">
        <f t="shared" si="1"/>
        <v>0</v>
      </c>
      <c r="V36" s="25" t="s">
        <v>10</v>
      </c>
      <c r="W36" s="11">
        <f>IFERROR(VLOOKUP(V36,Curr!$B$2:$C$13,2,FALSE),0)</f>
        <v>11.2</v>
      </c>
      <c r="X36" s="12">
        <f t="shared" si="2"/>
        <v>0</v>
      </c>
      <c r="Y36" s="26">
        <f t="shared" si="11"/>
        <v>0</v>
      </c>
      <c r="Z36" s="12">
        <f t="shared" si="4"/>
        <v>0</v>
      </c>
      <c r="AA36" s="4" t="s">
        <v>10</v>
      </c>
      <c r="AB36" s="11">
        <f>IFERROR(VLOOKUP(AA36,Curr!$B$2:$C$13,2,FALSE),0)</f>
        <v>11.2</v>
      </c>
      <c r="AC36" s="12">
        <f t="shared" si="5"/>
        <v>0</v>
      </c>
      <c r="AD36" s="12">
        <f t="shared" si="6"/>
        <v>0</v>
      </c>
      <c r="AE36" s="13">
        <f t="shared" si="7"/>
        <v>0</v>
      </c>
    </row>
    <row r="37" spans="2:31" x14ac:dyDescent="0.25">
      <c r="B37" s="4"/>
      <c r="C37" s="1" t="s">
        <v>114</v>
      </c>
      <c r="D37" s="1" t="s">
        <v>73</v>
      </c>
      <c r="E37" s="3"/>
      <c r="F37" s="3"/>
      <c r="G37" s="24"/>
      <c r="H37" s="24"/>
      <c r="J37" s="1" t="s">
        <v>283</v>
      </c>
      <c r="K37" s="4"/>
      <c r="L37" s="4"/>
      <c r="M37" s="4"/>
      <c r="N37" s="4"/>
      <c r="O37" s="4"/>
      <c r="P37" s="33" t="s">
        <v>227</v>
      </c>
      <c r="Q37" s="25">
        <v>420</v>
      </c>
      <c r="R37" s="25">
        <v>2</v>
      </c>
      <c r="S37" s="12">
        <f t="shared" si="0"/>
        <v>840</v>
      </c>
      <c r="T37" s="5">
        <v>0</v>
      </c>
      <c r="U37" s="12">
        <f t="shared" si="1"/>
        <v>840</v>
      </c>
      <c r="V37" s="25" t="s">
        <v>8</v>
      </c>
      <c r="W37" s="11">
        <f>IFERROR(VLOOKUP(V37,Curr!$B$2:$C$13,2,FALSE),0)</f>
        <v>1</v>
      </c>
      <c r="X37" s="12">
        <f t="shared" si="2"/>
        <v>840</v>
      </c>
      <c r="Y37" s="26">
        <f>Q37/11/0.7</f>
        <v>54.545454545454547</v>
      </c>
      <c r="Z37" s="12">
        <f t="shared" si="4"/>
        <v>109.09090909090909</v>
      </c>
      <c r="AA37" s="4" t="s">
        <v>10</v>
      </c>
      <c r="AB37" s="11">
        <f>IFERROR(VLOOKUP(AA37,Curr!$B$2:$C$13,2,FALSE),0)</f>
        <v>11.2</v>
      </c>
      <c r="AC37" s="12">
        <f t="shared" si="5"/>
        <v>1221.8181818181818</v>
      </c>
      <c r="AD37" s="12">
        <f t="shared" si="6"/>
        <v>381.81818181818176</v>
      </c>
      <c r="AE37" s="13">
        <f t="shared" si="7"/>
        <v>0.31249999999999994</v>
      </c>
    </row>
    <row r="38" spans="2:31" x14ac:dyDescent="0.25">
      <c r="B38" s="4"/>
      <c r="C38" s="1" t="s">
        <v>114</v>
      </c>
      <c r="D38" s="1" t="s">
        <v>53</v>
      </c>
      <c r="E38" s="3"/>
      <c r="F38" s="3"/>
      <c r="G38" s="24"/>
      <c r="H38" s="24"/>
      <c r="J38" s="1" t="s">
        <v>226</v>
      </c>
      <c r="K38" s="4"/>
      <c r="L38" s="4"/>
      <c r="M38" s="4"/>
      <c r="N38" s="4"/>
      <c r="O38" s="4"/>
      <c r="P38" s="27"/>
      <c r="Q38" s="25">
        <v>0</v>
      </c>
      <c r="R38" s="25">
        <v>0</v>
      </c>
      <c r="S38" s="12">
        <f t="shared" si="0"/>
        <v>0</v>
      </c>
      <c r="T38" s="5">
        <v>0</v>
      </c>
      <c r="U38" s="12">
        <f t="shared" si="1"/>
        <v>0</v>
      </c>
      <c r="V38" s="25" t="s">
        <v>10</v>
      </c>
      <c r="W38" s="11">
        <f>IFERROR(VLOOKUP(V38,Curr!$B$2:$C$13,2,FALSE),0)</f>
        <v>11.2</v>
      </c>
      <c r="X38" s="12">
        <f t="shared" si="2"/>
        <v>0</v>
      </c>
      <c r="Y38" s="26">
        <f t="shared" si="11"/>
        <v>0</v>
      </c>
      <c r="Z38" s="12">
        <f t="shared" si="4"/>
        <v>0</v>
      </c>
      <c r="AA38" s="4" t="s">
        <v>10</v>
      </c>
      <c r="AB38" s="11">
        <f>IFERROR(VLOOKUP(AA38,Curr!$B$2:$C$13,2,FALSE),0)</f>
        <v>11.2</v>
      </c>
      <c r="AC38" s="12">
        <f t="shared" si="5"/>
        <v>0</v>
      </c>
      <c r="AD38" s="12">
        <f t="shared" si="6"/>
        <v>0</v>
      </c>
      <c r="AE38" s="13">
        <f t="shared" si="7"/>
        <v>0</v>
      </c>
    </row>
    <row r="39" spans="2:31" x14ac:dyDescent="0.25">
      <c r="B39" s="4"/>
      <c r="E39" s="3"/>
      <c r="F39" s="3"/>
      <c r="G39" s="24"/>
      <c r="H39" s="24"/>
      <c r="K39" s="4"/>
      <c r="L39" s="4"/>
      <c r="M39" s="4"/>
      <c r="N39" s="4"/>
      <c r="O39" s="4"/>
      <c r="P39" s="33"/>
      <c r="Q39" s="25"/>
      <c r="R39" s="25"/>
      <c r="S39" s="12">
        <f t="shared" ref="S39:S60" si="12">+Q39*R39</f>
        <v>0</v>
      </c>
      <c r="T39" s="5">
        <v>0</v>
      </c>
      <c r="U39" s="12">
        <f t="shared" ref="U39:U60" si="13">S39*(1-T39)</f>
        <v>0</v>
      </c>
      <c r="V39" s="25" t="s">
        <v>10</v>
      </c>
      <c r="W39" s="11">
        <f>IFERROR(VLOOKUP(V39,Curr!$B$2:$C$13,2,FALSE),0)</f>
        <v>11.2</v>
      </c>
      <c r="X39" s="12">
        <f t="shared" ref="X39:X60" si="14">U39*W39</f>
        <v>0</v>
      </c>
      <c r="Y39" s="26">
        <f t="shared" ref="Y39:Y60" si="15">Q39</f>
        <v>0</v>
      </c>
      <c r="Z39" s="12">
        <f t="shared" si="4"/>
        <v>0</v>
      </c>
      <c r="AA39" s="4" t="s">
        <v>10</v>
      </c>
      <c r="AB39" s="11">
        <f>IFERROR(VLOOKUP(AA39,Curr!$B$2:$C$13,2,FALSE),0)</f>
        <v>11.2</v>
      </c>
      <c r="AC39" s="12">
        <f t="shared" si="5"/>
        <v>0</v>
      </c>
      <c r="AD39" s="12">
        <f t="shared" si="6"/>
        <v>0</v>
      </c>
      <c r="AE39" s="13">
        <f t="shared" si="7"/>
        <v>0</v>
      </c>
    </row>
    <row r="40" spans="2:31" x14ac:dyDescent="0.25">
      <c r="B40" s="4"/>
      <c r="C40" s="1" t="s">
        <v>115</v>
      </c>
      <c r="D40" s="1" t="s">
        <v>50</v>
      </c>
      <c r="E40" s="3"/>
      <c r="F40" s="3"/>
      <c r="G40" s="24"/>
      <c r="H40" s="24"/>
      <c r="J40" s="1" t="s">
        <v>228</v>
      </c>
      <c r="K40" s="4"/>
      <c r="L40" s="4"/>
      <c r="M40" s="4"/>
      <c r="N40" s="4"/>
      <c r="O40" s="4"/>
      <c r="P40" s="33"/>
      <c r="Q40" s="25">
        <v>0</v>
      </c>
      <c r="R40" s="25">
        <v>0</v>
      </c>
      <c r="S40" s="12">
        <f t="shared" si="12"/>
        <v>0</v>
      </c>
      <c r="T40" s="5">
        <v>0</v>
      </c>
      <c r="U40" s="12">
        <f t="shared" si="13"/>
        <v>0</v>
      </c>
      <c r="V40" s="25" t="s">
        <v>10</v>
      </c>
      <c r="W40" s="11">
        <f>IFERROR(VLOOKUP(V40,Curr!$B$2:$C$13,2,FALSE),0)</f>
        <v>11.2</v>
      </c>
      <c r="X40" s="12">
        <f t="shared" si="14"/>
        <v>0</v>
      </c>
      <c r="Y40" s="26">
        <f t="shared" si="15"/>
        <v>0</v>
      </c>
      <c r="Z40" s="12">
        <f t="shared" si="4"/>
        <v>0</v>
      </c>
      <c r="AA40" s="4" t="s">
        <v>10</v>
      </c>
      <c r="AB40" s="11">
        <f>IFERROR(VLOOKUP(AA40,Curr!$B$2:$C$13,2,FALSE),0)</f>
        <v>11.2</v>
      </c>
      <c r="AC40" s="12">
        <f t="shared" si="5"/>
        <v>0</v>
      </c>
      <c r="AD40" s="12">
        <f t="shared" si="6"/>
        <v>0</v>
      </c>
      <c r="AE40" s="13">
        <f t="shared" si="7"/>
        <v>0</v>
      </c>
    </row>
    <row r="41" spans="2:31" x14ac:dyDescent="0.25">
      <c r="B41" s="4"/>
      <c r="C41" s="1" t="s">
        <v>115</v>
      </c>
      <c r="D41" s="1" t="s">
        <v>82</v>
      </c>
      <c r="E41" s="3"/>
      <c r="F41" s="3"/>
      <c r="G41" s="24"/>
      <c r="H41" s="24"/>
      <c r="J41" s="1" t="s">
        <v>287</v>
      </c>
      <c r="K41" s="4"/>
      <c r="L41" s="4"/>
      <c r="M41" s="4"/>
      <c r="N41" s="4"/>
      <c r="O41" s="4"/>
      <c r="P41" s="27"/>
      <c r="Q41" s="25">
        <v>0</v>
      </c>
      <c r="R41" s="25">
        <v>0</v>
      </c>
      <c r="S41" s="12">
        <f t="shared" si="12"/>
        <v>0</v>
      </c>
      <c r="T41" s="5">
        <v>0</v>
      </c>
      <c r="U41" s="12">
        <f t="shared" si="13"/>
        <v>0</v>
      </c>
      <c r="V41" s="25" t="s">
        <v>10</v>
      </c>
      <c r="W41" s="11">
        <f>IFERROR(VLOOKUP(V41,Curr!$B$2:$C$13,2,FALSE),0)</f>
        <v>11.2</v>
      </c>
      <c r="X41" s="12">
        <f t="shared" si="14"/>
        <v>0</v>
      </c>
      <c r="Y41" s="26">
        <f t="shared" si="15"/>
        <v>0</v>
      </c>
      <c r="Z41" s="12">
        <f t="shared" si="4"/>
        <v>0</v>
      </c>
      <c r="AA41" s="4" t="s">
        <v>10</v>
      </c>
      <c r="AB41" s="11">
        <f>IFERROR(VLOOKUP(AA41,Curr!$B$2:$C$13,2,FALSE),0)</f>
        <v>11.2</v>
      </c>
      <c r="AC41" s="12">
        <f t="shared" si="5"/>
        <v>0</v>
      </c>
      <c r="AD41" s="12">
        <f t="shared" si="6"/>
        <v>0</v>
      </c>
      <c r="AE41" s="13">
        <f t="shared" si="7"/>
        <v>0</v>
      </c>
    </row>
    <row r="42" spans="2:31" x14ac:dyDescent="0.25">
      <c r="B42" s="4"/>
      <c r="E42" s="3"/>
      <c r="F42" s="3"/>
      <c r="G42" s="24"/>
      <c r="H42" s="24"/>
      <c r="K42" s="4"/>
      <c r="L42" s="4"/>
      <c r="M42" s="4"/>
      <c r="N42" s="4"/>
      <c r="O42" s="4"/>
      <c r="P42" s="27"/>
      <c r="Q42" s="25"/>
      <c r="R42" s="25"/>
      <c r="S42" s="12">
        <f t="shared" si="12"/>
        <v>0</v>
      </c>
      <c r="T42" s="5">
        <v>0</v>
      </c>
      <c r="U42" s="12">
        <f t="shared" si="13"/>
        <v>0</v>
      </c>
      <c r="V42" s="25" t="s">
        <v>10</v>
      </c>
      <c r="W42" s="11">
        <f>IFERROR(VLOOKUP(V42,Curr!$B$2:$C$13,2,FALSE),0)</f>
        <v>11.2</v>
      </c>
      <c r="X42" s="12">
        <f t="shared" si="14"/>
        <v>0</v>
      </c>
      <c r="Y42" s="26">
        <f t="shared" si="15"/>
        <v>0</v>
      </c>
      <c r="Z42" s="12">
        <f t="shared" si="4"/>
        <v>0</v>
      </c>
      <c r="AA42" s="4" t="s">
        <v>10</v>
      </c>
      <c r="AB42" s="11">
        <f>IFERROR(VLOOKUP(AA42,Curr!$B$2:$C$13,2,FALSE),0)</f>
        <v>11.2</v>
      </c>
      <c r="AC42" s="12">
        <f t="shared" si="5"/>
        <v>0</v>
      </c>
      <c r="AD42" s="12">
        <f t="shared" si="6"/>
        <v>0</v>
      </c>
      <c r="AE42" s="13">
        <f t="shared" si="7"/>
        <v>0</v>
      </c>
    </row>
    <row r="43" spans="2:31" x14ac:dyDescent="0.25">
      <c r="B43" s="4"/>
      <c r="E43" s="3"/>
      <c r="F43" s="3"/>
      <c r="G43" s="24"/>
      <c r="H43" s="24"/>
      <c r="K43" s="4"/>
      <c r="L43" s="4"/>
      <c r="M43" s="4"/>
      <c r="N43" s="4"/>
      <c r="O43" s="4"/>
      <c r="P43" s="27"/>
      <c r="Q43" s="25"/>
      <c r="R43" s="25"/>
      <c r="S43" s="12">
        <f t="shared" si="12"/>
        <v>0</v>
      </c>
      <c r="T43" s="5">
        <v>0</v>
      </c>
      <c r="U43" s="12">
        <f t="shared" si="13"/>
        <v>0</v>
      </c>
      <c r="V43" s="25" t="s">
        <v>10</v>
      </c>
      <c r="W43" s="11">
        <f>IFERROR(VLOOKUP(V43,Curr!$B$2:$C$13,2,FALSE),0)</f>
        <v>11.2</v>
      </c>
      <c r="X43" s="12">
        <f t="shared" si="14"/>
        <v>0</v>
      </c>
      <c r="Y43" s="26">
        <f t="shared" si="15"/>
        <v>0</v>
      </c>
      <c r="Z43" s="12">
        <f t="shared" si="4"/>
        <v>0</v>
      </c>
      <c r="AA43" s="4" t="s">
        <v>10</v>
      </c>
      <c r="AB43" s="11">
        <f>IFERROR(VLOOKUP(AA43,Curr!$B$2:$C$13,2,FALSE),0)</f>
        <v>11.2</v>
      </c>
      <c r="AC43" s="12">
        <f t="shared" si="5"/>
        <v>0</v>
      </c>
      <c r="AD43" s="12">
        <f t="shared" si="6"/>
        <v>0</v>
      </c>
      <c r="AE43" s="13">
        <f t="shared" si="7"/>
        <v>0</v>
      </c>
    </row>
    <row r="44" spans="2:31" x14ac:dyDescent="0.25">
      <c r="B44" s="4"/>
      <c r="C44" s="1" t="s">
        <v>55</v>
      </c>
      <c r="D44" s="1" t="s">
        <v>93</v>
      </c>
      <c r="E44" s="3"/>
      <c r="F44" s="3"/>
      <c r="G44" s="24"/>
      <c r="H44" s="24"/>
      <c r="J44" s="1" t="s">
        <v>95</v>
      </c>
      <c r="K44" s="4"/>
      <c r="L44" s="4"/>
      <c r="M44" s="4"/>
      <c r="N44" s="4"/>
      <c r="O44" s="4"/>
      <c r="P44" s="27"/>
      <c r="Q44" s="25">
        <v>1790</v>
      </c>
      <c r="R44" s="25">
        <v>0</v>
      </c>
      <c r="S44" s="12">
        <f t="shared" si="12"/>
        <v>0</v>
      </c>
      <c r="T44" s="5">
        <v>0</v>
      </c>
      <c r="U44" s="12">
        <f t="shared" si="13"/>
        <v>0</v>
      </c>
      <c r="V44" s="25" t="s">
        <v>10</v>
      </c>
      <c r="W44" s="11">
        <f>IFERROR(VLOOKUP(V44,Curr!$B$2:$C$13,2,FALSE),0)</f>
        <v>11.2</v>
      </c>
      <c r="X44" s="12">
        <f t="shared" si="14"/>
        <v>0</v>
      </c>
      <c r="Y44" s="26">
        <f t="shared" ref="Y44:Y47" si="16">Q44/11/0.8</f>
        <v>203.40909090909088</v>
      </c>
      <c r="Z44" s="12">
        <f t="shared" si="4"/>
        <v>0</v>
      </c>
      <c r="AA44" s="4" t="s">
        <v>10</v>
      </c>
      <c r="AB44" s="11">
        <f>IFERROR(VLOOKUP(AA44,Curr!$B$2:$C$13,2,FALSE),0)</f>
        <v>11.2</v>
      </c>
      <c r="AC44" s="12">
        <f t="shared" si="5"/>
        <v>0</v>
      </c>
      <c r="AD44" s="12">
        <f t="shared" si="6"/>
        <v>0</v>
      </c>
      <c r="AE44" s="13">
        <f t="shared" si="7"/>
        <v>0</v>
      </c>
    </row>
    <row r="45" spans="2:31" x14ac:dyDescent="0.25">
      <c r="B45" s="4"/>
      <c r="C45" s="1" t="s">
        <v>63</v>
      </c>
      <c r="D45" s="1" t="s">
        <v>93</v>
      </c>
      <c r="E45" s="3"/>
      <c r="F45" s="3"/>
      <c r="G45" s="24"/>
      <c r="H45" s="24"/>
      <c r="J45" s="1" t="s">
        <v>96</v>
      </c>
      <c r="K45" s="4"/>
      <c r="L45" s="4"/>
      <c r="M45" s="4"/>
      <c r="N45" s="4"/>
      <c r="O45" s="4"/>
      <c r="P45" s="27"/>
      <c r="Q45" s="25">
        <v>1290</v>
      </c>
      <c r="R45" s="25">
        <v>0</v>
      </c>
      <c r="S45" s="12">
        <f t="shared" si="12"/>
        <v>0</v>
      </c>
      <c r="T45" s="5">
        <v>0.15</v>
      </c>
      <c r="U45" s="12">
        <f t="shared" si="13"/>
        <v>0</v>
      </c>
      <c r="V45" s="25" t="s">
        <v>10</v>
      </c>
      <c r="W45" s="11">
        <f>IFERROR(VLOOKUP(V45,Curr!$B$2:$C$13,2,FALSE),0)</f>
        <v>11.2</v>
      </c>
      <c r="X45" s="12">
        <f t="shared" si="14"/>
        <v>0</v>
      </c>
      <c r="Y45" s="26">
        <f>Q45/11/0.95</f>
        <v>123.44497607655502</v>
      </c>
      <c r="Z45" s="12">
        <f t="shared" si="4"/>
        <v>0</v>
      </c>
      <c r="AA45" s="4" t="s">
        <v>10</v>
      </c>
      <c r="AB45" s="11">
        <f>IFERROR(VLOOKUP(AA45,Curr!$B$2:$C$13,2,FALSE),0)</f>
        <v>11.2</v>
      </c>
      <c r="AC45" s="12">
        <f t="shared" si="5"/>
        <v>0</v>
      </c>
      <c r="AD45" s="12">
        <f t="shared" si="6"/>
        <v>0</v>
      </c>
      <c r="AE45" s="13">
        <f t="shared" si="7"/>
        <v>0</v>
      </c>
    </row>
    <row r="46" spans="2:31" x14ac:dyDescent="0.25">
      <c r="B46" s="4"/>
      <c r="C46" s="1" t="s">
        <v>78</v>
      </c>
      <c r="D46" s="1" t="s">
        <v>93</v>
      </c>
      <c r="E46" s="3"/>
      <c r="F46" s="3"/>
      <c r="G46" s="24"/>
      <c r="H46" s="24"/>
      <c r="J46" s="1" t="s">
        <v>97</v>
      </c>
      <c r="K46" s="4"/>
      <c r="L46" s="4"/>
      <c r="M46" s="4"/>
      <c r="N46" s="4"/>
      <c r="O46" s="4"/>
      <c r="P46" s="27"/>
      <c r="Q46" s="25">
        <v>1690</v>
      </c>
      <c r="R46" s="25">
        <v>0</v>
      </c>
      <c r="S46" s="12">
        <f t="shared" si="12"/>
        <v>0</v>
      </c>
      <c r="T46" s="5">
        <v>0.15</v>
      </c>
      <c r="U46" s="12">
        <f t="shared" si="13"/>
        <v>0</v>
      </c>
      <c r="V46" s="25" t="s">
        <v>10</v>
      </c>
      <c r="W46" s="11">
        <f>IFERROR(VLOOKUP(V46,Curr!$B$2:$C$13,2,FALSE),0)</f>
        <v>11.2</v>
      </c>
      <c r="X46" s="12">
        <f t="shared" si="14"/>
        <v>0</v>
      </c>
      <c r="Y46" s="26">
        <f>Q46/11/0.95</f>
        <v>161.7224880382775</v>
      </c>
      <c r="Z46" s="12">
        <f t="shared" si="4"/>
        <v>0</v>
      </c>
      <c r="AA46" s="4" t="s">
        <v>10</v>
      </c>
      <c r="AB46" s="11">
        <f>IFERROR(VLOOKUP(AA46,Curr!$B$2:$C$13,2,FALSE),0)</f>
        <v>11.2</v>
      </c>
      <c r="AC46" s="12">
        <f t="shared" si="5"/>
        <v>0</v>
      </c>
      <c r="AD46" s="12">
        <f t="shared" si="6"/>
        <v>0</v>
      </c>
      <c r="AE46" s="13">
        <f t="shared" si="7"/>
        <v>0</v>
      </c>
    </row>
    <row r="47" spans="2:31" x14ac:dyDescent="0.25">
      <c r="B47" s="4"/>
      <c r="C47" s="1" t="s">
        <v>78</v>
      </c>
      <c r="D47" s="1" t="s">
        <v>93</v>
      </c>
      <c r="E47" s="3"/>
      <c r="F47" s="3"/>
      <c r="G47" s="24"/>
      <c r="H47" s="24"/>
      <c r="J47" s="1" t="s">
        <v>286</v>
      </c>
      <c r="K47" s="4"/>
      <c r="L47" s="4"/>
      <c r="M47" s="4"/>
      <c r="N47" s="4"/>
      <c r="O47" s="4"/>
      <c r="P47" s="27"/>
      <c r="Q47" s="25">
        <v>1790</v>
      </c>
      <c r="R47" s="25">
        <v>0</v>
      </c>
      <c r="S47" s="12">
        <f t="shared" si="12"/>
        <v>0</v>
      </c>
      <c r="T47" s="5">
        <v>0</v>
      </c>
      <c r="U47" s="12">
        <f t="shared" si="13"/>
        <v>0</v>
      </c>
      <c r="V47" s="25" t="s">
        <v>10</v>
      </c>
      <c r="W47" s="11">
        <f>IFERROR(VLOOKUP(V47,Curr!$B$2:$C$13,2,FALSE),0)</f>
        <v>11.2</v>
      </c>
      <c r="X47" s="12">
        <f t="shared" si="14"/>
        <v>0</v>
      </c>
      <c r="Y47" s="26">
        <f t="shared" si="16"/>
        <v>203.40909090909088</v>
      </c>
      <c r="Z47" s="12">
        <f t="shared" si="4"/>
        <v>0</v>
      </c>
      <c r="AA47" s="4" t="s">
        <v>10</v>
      </c>
      <c r="AB47" s="11">
        <f>IFERROR(VLOOKUP(AA47,Curr!$B$2:$C$13,2,FALSE),0)</f>
        <v>11.2</v>
      </c>
      <c r="AC47" s="12">
        <f t="shared" si="5"/>
        <v>0</v>
      </c>
      <c r="AD47" s="12">
        <f t="shared" si="6"/>
        <v>0</v>
      </c>
      <c r="AE47" s="13">
        <f t="shared" si="7"/>
        <v>0</v>
      </c>
    </row>
    <row r="48" spans="2:31" x14ac:dyDescent="0.25">
      <c r="B48" s="4"/>
      <c r="C48" s="1" t="s">
        <v>115</v>
      </c>
      <c r="D48" s="1" t="s">
        <v>93</v>
      </c>
      <c r="E48" s="3"/>
      <c r="F48" s="3"/>
      <c r="G48" s="24"/>
      <c r="H48" s="24"/>
      <c r="J48" s="1" t="s">
        <v>229</v>
      </c>
      <c r="K48" s="4"/>
      <c r="L48" s="4"/>
      <c r="M48" s="4"/>
      <c r="N48" s="4"/>
      <c r="O48" s="4"/>
      <c r="P48" s="27"/>
      <c r="Q48" s="25">
        <v>1790</v>
      </c>
      <c r="R48" s="25">
        <v>0</v>
      </c>
      <c r="S48" s="12">
        <f t="shared" si="12"/>
        <v>0</v>
      </c>
      <c r="T48" s="5">
        <v>0</v>
      </c>
      <c r="U48" s="12">
        <f t="shared" si="13"/>
        <v>0</v>
      </c>
      <c r="V48" s="25" t="s">
        <v>10</v>
      </c>
      <c r="W48" s="11">
        <f>IFERROR(VLOOKUP(V48,Curr!$B$2:$C$13,2,FALSE),0)</f>
        <v>11.2</v>
      </c>
      <c r="X48" s="12">
        <f t="shared" si="14"/>
        <v>0</v>
      </c>
      <c r="Y48" s="26">
        <f>Q48/11/0.8</f>
        <v>203.40909090909088</v>
      </c>
      <c r="Z48" s="12">
        <f t="shared" si="4"/>
        <v>0</v>
      </c>
      <c r="AA48" s="4" t="s">
        <v>10</v>
      </c>
      <c r="AB48" s="11">
        <f>IFERROR(VLOOKUP(AA48,Curr!$B$2:$C$13,2,FALSE),0)</f>
        <v>11.2</v>
      </c>
      <c r="AC48" s="12">
        <f t="shared" si="5"/>
        <v>0</v>
      </c>
      <c r="AD48" s="12">
        <f t="shared" si="6"/>
        <v>0</v>
      </c>
      <c r="AE48" s="13">
        <f t="shared" si="7"/>
        <v>0</v>
      </c>
    </row>
    <row r="49" spans="2:36" x14ac:dyDescent="0.25">
      <c r="B49" s="4"/>
      <c r="E49" s="3"/>
      <c r="F49" s="3"/>
      <c r="G49" s="24"/>
      <c r="H49" s="24"/>
      <c r="K49" s="4"/>
      <c r="L49" s="4"/>
      <c r="M49" s="4"/>
      <c r="N49" s="4"/>
      <c r="O49" s="4"/>
      <c r="P49" s="27"/>
      <c r="Q49" s="25"/>
      <c r="R49" s="25"/>
      <c r="S49" s="12">
        <f t="shared" si="12"/>
        <v>0</v>
      </c>
      <c r="T49" s="5">
        <v>0</v>
      </c>
      <c r="U49" s="12">
        <f t="shared" si="13"/>
        <v>0</v>
      </c>
      <c r="V49" s="25" t="s">
        <v>10</v>
      </c>
      <c r="W49" s="11">
        <f>IFERROR(VLOOKUP(V49,Curr!$B$2:$C$13,2,FALSE),0)</f>
        <v>11.2</v>
      </c>
      <c r="X49" s="12">
        <f t="shared" si="14"/>
        <v>0</v>
      </c>
      <c r="Y49" s="26">
        <f t="shared" ref="Y49:Y50" si="17">Q49</f>
        <v>0</v>
      </c>
      <c r="Z49" s="12">
        <f t="shared" si="4"/>
        <v>0</v>
      </c>
      <c r="AA49" s="4" t="s">
        <v>10</v>
      </c>
      <c r="AB49" s="11">
        <f>IFERROR(VLOOKUP(AA49,Curr!$B$2:$C$13,2,FALSE),0)</f>
        <v>11.2</v>
      </c>
      <c r="AC49" s="12">
        <f t="shared" si="5"/>
        <v>0</v>
      </c>
      <c r="AD49" s="12">
        <f t="shared" si="6"/>
        <v>0</v>
      </c>
      <c r="AE49" s="13">
        <f t="shared" si="7"/>
        <v>0</v>
      </c>
    </row>
    <row r="50" spans="2:36" x14ac:dyDescent="0.25">
      <c r="B50" s="4"/>
      <c r="E50" s="3"/>
      <c r="F50" s="3"/>
      <c r="G50" s="24"/>
      <c r="H50" s="24"/>
      <c r="K50" s="4"/>
      <c r="L50" s="4"/>
      <c r="M50" s="4"/>
      <c r="N50" s="4"/>
      <c r="O50" s="4"/>
      <c r="P50" s="27"/>
      <c r="Q50" s="25"/>
      <c r="R50" s="25"/>
      <c r="S50" s="12">
        <f t="shared" si="12"/>
        <v>0</v>
      </c>
      <c r="T50" s="5">
        <v>0</v>
      </c>
      <c r="U50" s="12">
        <f t="shared" si="13"/>
        <v>0</v>
      </c>
      <c r="V50" s="25" t="s">
        <v>10</v>
      </c>
      <c r="W50" s="11">
        <f>IFERROR(VLOOKUP(V50,Curr!$B$2:$C$13,2,FALSE),0)</f>
        <v>11.2</v>
      </c>
      <c r="X50" s="12">
        <f t="shared" si="14"/>
        <v>0</v>
      </c>
      <c r="Y50" s="26">
        <f t="shared" si="17"/>
        <v>0</v>
      </c>
      <c r="Z50" s="12">
        <f t="shared" si="4"/>
        <v>0</v>
      </c>
      <c r="AA50" s="4" t="s">
        <v>10</v>
      </c>
      <c r="AB50" s="11">
        <f>IFERROR(VLOOKUP(AA50,Curr!$B$2:$C$13,2,FALSE),0)</f>
        <v>11.2</v>
      </c>
      <c r="AC50" s="12">
        <f t="shared" si="5"/>
        <v>0</v>
      </c>
      <c r="AD50" s="12">
        <f t="shared" si="6"/>
        <v>0</v>
      </c>
      <c r="AE50" s="13">
        <f t="shared" si="7"/>
        <v>0</v>
      </c>
    </row>
    <row r="51" spans="2:36" x14ac:dyDescent="0.25">
      <c r="B51" s="4"/>
      <c r="C51" s="1" t="s">
        <v>63</v>
      </c>
      <c r="D51" s="1" t="s">
        <v>94</v>
      </c>
      <c r="E51" s="3"/>
      <c r="F51" s="3"/>
      <c r="G51" s="24"/>
      <c r="H51" s="24"/>
      <c r="J51" s="1" t="s">
        <v>105</v>
      </c>
      <c r="K51" s="4"/>
      <c r="L51" s="4"/>
      <c r="M51" s="4"/>
      <c r="N51" s="4"/>
      <c r="O51" s="4"/>
      <c r="P51" s="33"/>
      <c r="Q51" s="25">
        <v>450</v>
      </c>
      <c r="R51" s="25">
        <v>0</v>
      </c>
      <c r="S51" s="12">
        <f t="shared" si="12"/>
        <v>0</v>
      </c>
      <c r="T51" s="5">
        <v>0</v>
      </c>
      <c r="U51" s="12">
        <f t="shared" si="13"/>
        <v>0</v>
      </c>
      <c r="V51" s="25" t="s">
        <v>8</v>
      </c>
      <c r="W51" s="11">
        <f>IFERROR(VLOOKUP(V51,Curr!$B$2:$C$13,2,FALSE),0)</f>
        <v>1</v>
      </c>
      <c r="X51" s="12">
        <f t="shared" si="14"/>
        <v>0</v>
      </c>
      <c r="Y51" s="26">
        <f>Q51/11.3/0.8</f>
        <v>49.778761061946895</v>
      </c>
      <c r="Z51" s="12">
        <f t="shared" si="4"/>
        <v>0</v>
      </c>
      <c r="AA51" s="4" t="s">
        <v>10</v>
      </c>
      <c r="AB51" s="11">
        <f>IFERROR(VLOOKUP(AA51,Curr!$B$2:$C$13,2,FALSE),0)</f>
        <v>11.2</v>
      </c>
      <c r="AC51" s="12">
        <f t="shared" si="5"/>
        <v>0</v>
      </c>
      <c r="AD51" s="12">
        <f t="shared" si="6"/>
        <v>0</v>
      </c>
      <c r="AE51" s="13">
        <f t="shared" si="7"/>
        <v>0</v>
      </c>
    </row>
    <row r="52" spans="2:36" x14ac:dyDescent="0.25">
      <c r="B52" s="4"/>
      <c r="C52" s="1" t="s">
        <v>78</v>
      </c>
      <c r="D52" s="1" t="s">
        <v>94</v>
      </c>
      <c r="E52" s="3"/>
      <c r="F52" s="3"/>
      <c r="G52" s="24"/>
      <c r="H52" s="24"/>
      <c r="J52" s="1" t="s">
        <v>106</v>
      </c>
      <c r="K52" s="4"/>
      <c r="L52" s="4"/>
      <c r="M52" s="4"/>
      <c r="N52" s="4"/>
      <c r="O52" s="4" t="s">
        <v>42</v>
      </c>
      <c r="P52" s="33" t="s">
        <v>107</v>
      </c>
      <c r="Q52" s="25">
        <v>71</v>
      </c>
      <c r="R52" s="25">
        <v>0</v>
      </c>
      <c r="S52" s="12">
        <f t="shared" si="12"/>
        <v>0</v>
      </c>
      <c r="T52" s="5">
        <v>0.2</v>
      </c>
      <c r="U52" s="12">
        <f t="shared" si="13"/>
        <v>0</v>
      </c>
      <c r="V52" s="25" t="s">
        <v>10</v>
      </c>
      <c r="W52" s="11">
        <f>IFERROR(VLOOKUP(V52,Curr!$B$2:$C$13,2,FALSE),0)</f>
        <v>11.2</v>
      </c>
      <c r="X52" s="12">
        <f t="shared" si="14"/>
        <v>0</v>
      </c>
      <c r="Y52" s="26">
        <f t="shared" ref="Y52" si="18">Q52</f>
        <v>71</v>
      </c>
      <c r="Z52" s="12">
        <f t="shared" si="4"/>
        <v>0</v>
      </c>
      <c r="AA52" s="4" t="s">
        <v>10</v>
      </c>
      <c r="AB52" s="11">
        <f>IFERROR(VLOOKUP(AA52,Curr!$B$2:$C$13,2,FALSE),0)</f>
        <v>11.2</v>
      </c>
      <c r="AC52" s="12">
        <f t="shared" si="5"/>
        <v>0</v>
      </c>
      <c r="AD52" s="12">
        <f t="shared" si="6"/>
        <v>0</v>
      </c>
      <c r="AE52" s="13">
        <f t="shared" si="7"/>
        <v>0</v>
      </c>
    </row>
    <row r="53" spans="2:36" x14ac:dyDescent="0.25">
      <c r="B53" s="4"/>
      <c r="E53" s="3"/>
      <c r="F53" s="3"/>
      <c r="G53" s="24"/>
      <c r="H53" s="24"/>
      <c r="K53" s="4"/>
      <c r="L53" s="4"/>
      <c r="M53" s="4"/>
      <c r="N53" s="4"/>
      <c r="O53" s="4"/>
      <c r="P53" s="27"/>
      <c r="Q53" s="25"/>
      <c r="R53" s="25"/>
      <c r="S53" s="12">
        <f t="shared" si="12"/>
        <v>0</v>
      </c>
      <c r="T53" s="5">
        <v>0</v>
      </c>
      <c r="U53" s="12">
        <f t="shared" si="13"/>
        <v>0</v>
      </c>
      <c r="V53" s="25" t="s">
        <v>10</v>
      </c>
      <c r="W53" s="11">
        <f>IFERROR(VLOOKUP(V53,Curr!$B$2:$C$13,2,FALSE),0)</f>
        <v>11.2</v>
      </c>
      <c r="X53" s="12">
        <f t="shared" si="14"/>
        <v>0</v>
      </c>
      <c r="Y53" s="26">
        <f t="shared" si="15"/>
        <v>0</v>
      </c>
      <c r="Z53" s="12">
        <f t="shared" si="4"/>
        <v>0</v>
      </c>
      <c r="AA53" s="4" t="s">
        <v>10</v>
      </c>
      <c r="AB53" s="11">
        <f>IFERROR(VLOOKUP(AA53,Curr!$B$2:$C$13,2,FALSE),0)</f>
        <v>11.2</v>
      </c>
      <c r="AC53" s="12">
        <f t="shared" si="5"/>
        <v>0</v>
      </c>
      <c r="AD53" s="12">
        <f t="shared" si="6"/>
        <v>0</v>
      </c>
      <c r="AE53" s="13">
        <f t="shared" si="7"/>
        <v>0</v>
      </c>
    </row>
    <row r="54" spans="2:36" x14ac:dyDescent="0.25">
      <c r="B54" s="4"/>
      <c r="E54" s="3"/>
      <c r="F54" s="3"/>
      <c r="G54" s="24"/>
      <c r="H54" s="24"/>
      <c r="K54" s="4"/>
      <c r="L54" s="4"/>
      <c r="M54" s="4"/>
      <c r="N54" s="4"/>
      <c r="O54" s="4"/>
      <c r="P54" s="27"/>
      <c r="Q54" s="25"/>
      <c r="R54" s="25"/>
      <c r="S54" s="12">
        <f t="shared" si="12"/>
        <v>0</v>
      </c>
      <c r="T54" s="5">
        <v>0</v>
      </c>
      <c r="U54" s="12">
        <f t="shared" si="13"/>
        <v>0</v>
      </c>
      <c r="V54" s="25" t="s">
        <v>10</v>
      </c>
      <c r="W54" s="11">
        <f>IFERROR(VLOOKUP(V54,Curr!$B$2:$C$13,2,FALSE),0)</f>
        <v>11.2</v>
      </c>
      <c r="X54" s="12">
        <f t="shared" si="14"/>
        <v>0</v>
      </c>
      <c r="Y54" s="26">
        <f t="shared" si="15"/>
        <v>0</v>
      </c>
      <c r="Z54" s="12">
        <f t="shared" si="4"/>
        <v>0</v>
      </c>
      <c r="AA54" s="4" t="s">
        <v>10</v>
      </c>
      <c r="AB54" s="11">
        <f>IFERROR(VLOOKUP(AA54,Curr!$B$2:$C$13,2,FALSE),0)</f>
        <v>11.2</v>
      </c>
      <c r="AC54" s="12">
        <f t="shared" si="5"/>
        <v>0</v>
      </c>
      <c r="AD54" s="12">
        <f t="shared" si="6"/>
        <v>0</v>
      </c>
      <c r="AE54" s="13">
        <f t="shared" si="7"/>
        <v>0</v>
      </c>
    </row>
    <row r="55" spans="2:36" x14ac:dyDescent="0.25">
      <c r="B55" s="4"/>
      <c r="E55" s="3"/>
      <c r="F55" s="3"/>
      <c r="G55" s="24"/>
      <c r="H55" s="24"/>
      <c r="K55" s="4"/>
      <c r="L55" s="4"/>
      <c r="M55" s="4"/>
      <c r="N55" s="4"/>
      <c r="O55" s="4"/>
      <c r="P55" s="27"/>
      <c r="Q55" s="25"/>
      <c r="R55" s="25"/>
      <c r="S55" s="12">
        <f t="shared" si="12"/>
        <v>0</v>
      </c>
      <c r="T55" s="5">
        <v>0</v>
      </c>
      <c r="U55" s="12">
        <f t="shared" si="13"/>
        <v>0</v>
      </c>
      <c r="V55" s="25" t="s">
        <v>10</v>
      </c>
      <c r="W55" s="11">
        <f>IFERROR(VLOOKUP(V55,Curr!$B$2:$C$13,2,FALSE),0)</f>
        <v>11.2</v>
      </c>
      <c r="X55" s="12">
        <f t="shared" si="14"/>
        <v>0</v>
      </c>
      <c r="Y55" s="26">
        <f t="shared" si="15"/>
        <v>0</v>
      </c>
      <c r="Z55" s="12">
        <f t="shared" si="4"/>
        <v>0</v>
      </c>
      <c r="AA55" s="4" t="s">
        <v>10</v>
      </c>
      <c r="AB55" s="11">
        <f>IFERROR(VLOOKUP(AA55,Curr!$B$2:$C$13,2,FALSE),0)</f>
        <v>11.2</v>
      </c>
      <c r="AC55" s="12">
        <f t="shared" si="5"/>
        <v>0</v>
      </c>
      <c r="AD55" s="12">
        <f t="shared" si="6"/>
        <v>0</v>
      </c>
      <c r="AE55" s="13">
        <f t="shared" si="7"/>
        <v>0</v>
      </c>
    </row>
    <row r="56" spans="2:36" x14ac:dyDescent="0.25">
      <c r="B56" s="4"/>
      <c r="E56" s="3"/>
      <c r="F56" s="3"/>
      <c r="G56" s="24"/>
      <c r="H56" s="24"/>
      <c r="K56" s="4"/>
      <c r="L56" s="4"/>
      <c r="M56" s="4"/>
      <c r="N56" s="4"/>
      <c r="O56" s="4"/>
      <c r="P56" s="27"/>
      <c r="Q56" s="25"/>
      <c r="R56" s="25"/>
      <c r="S56" s="12">
        <f t="shared" si="12"/>
        <v>0</v>
      </c>
      <c r="T56" s="5">
        <v>0</v>
      </c>
      <c r="U56" s="12">
        <f t="shared" si="13"/>
        <v>0</v>
      </c>
      <c r="V56" s="25" t="s">
        <v>10</v>
      </c>
      <c r="W56" s="11">
        <f>IFERROR(VLOOKUP(V56,Curr!$B$2:$C$13,2,FALSE),0)</f>
        <v>11.2</v>
      </c>
      <c r="X56" s="12">
        <f t="shared" si="14"/>
        <v>0</v>
      </c>
      <c r="Y56" s="26">
        <f t="shared" si="15"/>
        <v>0</v>
      </c>
      <c r="Z56" s="12">
        <f t="shared" si="4"/>
        <v>0</v>
      </c>
      <c r="AA56" s="4" t="s">
        <v>10</v>
      </c>
      <c r="AB56" s="11">
        <f>IFERROR(VLOOKUP(AA56,Curr!$B$2:$C$13,2,FALSE),0)</f>
        <v>11.2</v>
      </c>
      <c r="AC56" s="12">
        <f t="shared" si="5"/>
        <v>0</v>
      </c>
      <c r="AD56" s="12">
        <f t="shared" si="6"/>
        <v>0</v>
      </c>
      <c r="AE56" s="13">
        <f t="shared" si="7"/>
        <v>0</v>
      </c>
    </row>
    <row r="57" spans="2:36" x14ac:dyDescent="0.25">
      <c r="B57" s="4"/>
      <c r="E57" s="3"/>
      <c r="F57" s="3"/>
      <c r="G57" s="24"/>
      <c r="H57" s="24"/>
      <c r="K57" s="4"/>
      <c r="L57" s="4"/>
      <c r="M57" s="4"/>
      <c r="N57" s="4"/>
      <c r="O57" s="4"/>
      <c r="P57" s="27"/>
      <c r="Q57" s="25"/>
      <c r="R57" s="25"/>
      <c r="S57" s="12">
        <f t="shared" si="12"/>
        <v>0</v>
      </c>
      <c r="T57" s="5">
        <v>0</v>
      </c>
      <c r="U57" s="12">
        <f t="shared" si="13"/>
        <v>0</v>
      </c>
      <c r="V57" s="25" t="s">
        <v>10</v>
      </c>
      <c r="W57" s="11">
        <f>IFERROR(VLOOKUP(V57,Curr!$B$2:$C$13,2,FALSE),0)</f>
        <v>11.2</v>
      </c>
      <c r="X57" s="12">
        <f t="shared" si="14"/>
        <v>0</v>
      </c>
      <c r="Y57" s="26">
        <f t="shared" si="15"/>
        <v>0</v>
      </c>
      <c r="Z57" s="12">
        <f t="shared" si="4"/>
        <v>0</v>
      </c>
      <c r="AA57" s="4" t="s">
        <v>10</v>
      </c>
      <c r="AB57" s="11">
        <f>IFERROR(VLOOKUP(AA57,Curr!$B$2:$C$13,2,FALSE),0)</f>
        <v>11.2</v>
      </c>
      <c r="AC57" s="12">
        <f t="shared" si="5"/>
        <v>0</v>
      </c>
      <c r="AD57" s="12">
        <f t="shared" si="6"/>
        <v>0</v>
      </c>
      <c r="AE57" s="13">
        <f t="shared" si="7"/>
        <v>0</v>
      </c>
    </row>
    <row r="58" spans="2:36" x14ac:dyDescent="0.25">
      <c r="B58" s="4"/>
      <c r="E58" s="3"/>
      <c r="F58" s="3"/>
      <c r="G58" s="24"/>
      <c r="H58" s="24"/>
      <c r="K58" s="4"/>
      <c r="L58" s="4"/>
      <c r="M58" s="4"/>
      <c r="N58" s="4"/>
      <c r="O58" s="4"/>
      <c r="P58" s="27"/>
      <c r="Q58" s="25"/>
      <c r="R58" s="25"/>
      <c r="S58" s="12">
        <f t="shared" si="12"/>
        <v>0</v>
      </c>
      <c r="T58" s="5">
        <v>0</v>
      </c>
      <c r="U58" s="12">
        <f t="shared" si="13"/>
        <v>0</v>
      </c>
      <c r="V58" s="25" t="s">
        <v>10</v>
      </c>
      <c r="W58" s="11">
        <f>IFERROR(VLOOKUP(V58,Curr!$B$2:$C$13,2,FALSE),0)</f>
        <v>11.2</v>
      </c>
      <c r="X58" s="12">
        <f t="shared" si="14"/>
        <v>0</v>
      </c>
      <c r="Y58" s="26">
        <f t="shared" si="15"/>
        <v>0</v>
      </c>
      <c r="Z58" s="12">
        <f t="shared" si="4"/>
        <v>0</v>
      </c>
      <c r="AA58" s="4" t="s">
        <v>10</v>
      </c>
      <c r="AB58" s="11">
        <f>IFERROR(VLOOKUP(AA58,Curr!$B$2:$C$13,2,FALSE),0)</f>
        <v>11.2</v>
      </c>
      <c r="AC58" s="12">
        <f t="shared" si="5"/>
        <v>0</v>
      </c>
      <c r="AD58" s="12">
        <f t="shared" si="6"/>
        <v>0</v>
      </c>
      <c r="AE58" s="13">
        <f t="shared" si="7"/>
        <v>0</v>
      </c>
    </row>
    <row r="59" spans="2:36" x14ac:dyDescent="0.25">
      <c r="B59" s="4"/>
      <c r="E59" s="3"/>
      <c r="F59" s="3"/>
      <c r="G59" s="24"/>
      <c r="H59" s="24"/>
      <c r="K59" s="4"/>
      <c r="L59" s="4"/>
      <c r="M59" s="4"/>
      <c r="N59" s="4"/>
      <c r="O59" s="4"/>
      <c r="P59" s="27"/>
      <c r="Q59" s="25"/>
      <c r="R59" s="25"/>
      <c r="S59" s="12">
        <f t="shared" si="12"/>
        <v>0</v>
      </c>
      <c r="T59" s="5">
        <v>0</v>
      </c>
      <c r="U59" s="12">
        <f t="shared" si="13"/>
        <v>0</v>
      </c>
      <c r="V59" s="25" t="s">
        <v>10</v>
      </c>
      <c r="W59" s="11">
        <f>IFERROR(VLOOKUP(V59,Curr!$B$2:$C$13,2,FALSE),0)</f>
        <v>11.2</v>
      </c>
      <c r="X59" s="12">
        <f t="shared" si="14"/>
        <v>0</v>
      </c>
      <c r="Y59" s="26">
        <f t="shared" si="15"/>
        <v>0</v>
      </c>
      <c r="Z59" s="12">
        <f t="shared" si="4"/>
        <v>0</v>
      </c>
      <c r="AA59" s="4" t="s">
        <v>10</v>
      </c>
      <c r="AB59" s="11">
        <f>IFERROR(VLOOKUP(AA59,Curr!$B$2:$C$13,2,FALSE),0)</f>
        <v>11.2</v>
      </c>
      <c r="AC59" s="12">
        <f t="shared" si="5"/>
        <v>0</v>
      </c>
      <c r="AD59" s="12">
        <f t="shared" si="6"/>
        <v>0</v>
      </c>
      <c r="AE59" s="13">
        <f t="shared" si="7"/>
        <v>0</v>
      </c>
    </row>
    <row r="60" spans="2:36" x14ac:dyDescent="0.25">
      <c r="B60" s="4"/>
      <c r="E60" s="3"/>
      <c r="F60" s="3"/>
      <c r="G60" s="24"/>
      <c r="H60" s="24"/>
      <c r="K60" s="4"/>
      <c r="L60" s="4"/>
      <c r="M60" s="4"/>
      <c r="N60" s="4"/>
      <c r="O60" s="4"/>
      <c r="P60" s="27"/>
      <c r="Q60" s="25"/>
      <c r="R60" s="25"/>
      <c r="S60" s="12">
        <f t="shared" si="12"/>
        <v>0</v>
      </c>
      <c r="T60" s="5">
        <v>0</v>
      </c>
      <c r="U60" s="12">
        <f t="shared" si="13"/>
        <v>0</v>
      </c>
      <c r="V60" s="25" t="s">
        <v>10</v>
      </c>
      <c r="W60" s="11">
        <f>IFERROR(VLOOKUP(V60,Curr!$B$2:$C$13,2,FALSE),0)</f>
        <v>11.2</v>
      </c>
      <c r="X60" s="12">
        <f t="shared" si="14"/>
        <v>0</v>
      </c>
      <c r="Y60" s="26">
        <f t="shared" si="15"/>
        <v>0</v>
      </c>
      <c r="Z60" s="12">
        <f t="shared" si="4"/>
        <v>0</v>
      </c>
      <c r="AA60" s="4" t="s">
        <v>10</v>
      </c>
      <c r="AB60" s="11">
        <f>IFERROR(VLOOKUP(AA60,Curr!$B$2:$C$13,2,FALSE),0)</f>
        <v>11.2</v>
      </c>
      <c r="AC60" s="12">
        <f t="shared" si="5"/>
        <v>0</v>
      </c>
      <c r="AD60" s="12">
        <f t="shared" si="6"/>
        <v>0</v>
      </c>
      <c r="AE60" s="13">
        <f t="shared" si="7"/>
        <v>0</v>
      </c>
    </row>
    <row r="61" spans="2:36" x14ac:dyDescent="0.25">
      <c r="B61" s="4"/>
      <c r="E61" s="3"/>
      <c r="F61" s="3"/>
      <c r="G61" s="3"/>
      <c r="H61" s="3"/>
      <c r="L61" s="4"/>
      <c r="M61" s="4"/>
      <c r="N61" s="4"/>
      <c r="O61" s="4"/>
      <c r="P61" s="22"/>
      <c r="Q61" s="4"/>
      <c r="R61" s="4"/>
      <c r="S61" s="4"/>
      <c r="T61" s="4"/>
      <c r="U61" s="4"/>
      <c r="V61" s="4"/>
      <c r="W61" s="4"/>
      <c r="X61" s="4"/>
      <c r="Y61" s="4"/>
      <c r="Z61" s="4"/>
      <c r="AA61" s="4"/>
      <c r="AB61" s="4"/>
      <c r="AC61" s="4"/>
      <c r="AD61" s="4"/>
      <c r="AE61" s="4"/>
      <c r="AF61" s="4"/>
    </row>
    <row r="62" spans="2:36" x14ac:dyDescent="0.25">
      <c r="B62" s="14" t="s">
        <v>18</v>
      </c>
      <c r="C62" s="14"/>
      <c r="D62" s="28" t="s">
        <v>42</v>
      </c>
      <c r="E62" s="30" t="s">
        <v>42</v>
      </c>
      <c r="F62" s="30" t="s">
        <v>42</v>
      </c>
      <c r="G62" s="30" t="s">
        <v>42</v>
      </c>
      <c r="H62" s="30" t="s">
        <v>42</v>
      </c>
      <c r="I62" s="28" t="s">
        <v>42</v>
      </c>
      <c r="J62" s="28" t="s">
        <v>42</v>
      </c>
      <c r="K62" s="28" t="s">
        <v>42</v>
      </c>
      <c r="L62" s="28" t="s">
        <v>42</v>
      </c>
      <c r="M62" s="28" t="s">
        <v>42</v>
      </c>
      <c r="N62" s="28" t="s">
        <v>42</v>
      </c>
      <c r="O62" s="28" t="s">
        <v>42</v>
      </c>
      <c r="P62" s="28" t="s">
        <v>42</v>
      </c>
      <c r="Q62" s="31" t="s">
        <v>42</v>
      </c>
      <c r="R62" s="28" t="s">
        <v>42</v>
      </c>
      <c r="S62" s="32" t="s">
        <v>42</v>
      </c>
      <c r="T62" s="28" t="s">
        <v>42</v>
      </c>
      <c r="U62" s="32" t="s">
        <v>42</v>
      </c>
      <c r="V62" s="28" t="s">
        <v>42</v>
      </c>
      <c r="W62" s="28" t="s">
        <v>42</v>
      </c>
      <c r="X62" s="32" t="s">
        <v>42</v>
      </c>
      <c r="Y62" s="32" t="s">
        <v>42</v>
      </c>
      <c r="Z62" s="15">
        <f>SUM(Z7:Z60)</f>
        <v>3335.2949458142061</v>
      </c>
      <c r="AA62" s="14"/>
      <c r="AB62" s="14"/>
      <c r="AC62" s="15">
        <f>SUM(AC7:AC60)</f>
        <v>37355.303393119109</v>
      </c>
      <c r="AD62" s="15">
        <f>SUM(AD7:AD60)</f>
        <v>7785.7033931191099</v>
      </c>
      <c r="AE62" s="21">
        <f t="shared" ref="AE62" si="19">IFERROR(AD62/AC62,0)</f>
        <v>0.20842297306982241</v>
      </c>
      <c r="AF62" s="15">
        <f>SUM(AF8:AF61)</f>
        <v>0</v>
      </c>
      <c r="AG62" s="15">
        <f>SUM(AG8:AG61)</f>
        <v>0</v>
      </c>
      <c r="AH62" s="15">
        <f>SUM(AH8:AH61)</f>
        <v>0</v>
      </c>
      <c r="AI62" s="15">
        <f>SUM(AI8:AI61)</f>
        <v>0</v>
      </c>
      <c r="AJ62" s="15">
        <f>SUM(AJ8:AJ61)</f>
        <v>0</v>
      </c>
    </row>
    <row r="63" spans="2:36" x14ac:dyDescent="0.25">
      <c r="B63" s="4"/>
      <c r="E63" s="3"/>
      <c r="F63" s="3"/>
      <c r="G63" s="3"/>
      <c r="H63" s="3"/>
      <c r="L63" s="4"/>
      <c r="M63" s="4"/>
      <c r="N63" s="4"/>
      <c r="O63" s="4"/>
      <c r="Q63" s="4"/>
      <c r="R63" s="4"/>
      <c r="S63" s="4"/>
      <c r="T63" s="4"/>
      <c r="U63" s="4"/>
      <c r="V63" s="4"/>
      <c r="W63" s="4"/>
      <c r="X63" s="4"/>
      <c r="Y63" s="9"/>
      <c r="Z63" s="9"/>
      <c r="AA63" s="9"/>
      <c r="AB63" s="9"/>
      <c r="AC63" s="9"/>
      <c r="AD63" s="9"/>
      <c r="AE63" s="9"/>
    </row>
    <row r="64" spans="2:36" x14ac:dyDescent="0.25">
      <c r="B64" s="4"/>
      <c r="E64" s="3"/>
      <c r="F64" s="3"/>
      <c r="G64" s="3"/>
      <c r="H64" s="3"/>
      <c r="L64" s="4"/>
      <c r="M64" s="4"/>
      <c r="N64" s="4"/>
      <c r="O64" s="4"/>
      <c r="Q64" s="9"/>
      <c r="R64" s="9"/>
      <c r="S64" s="9"/>
      <c r="T64" s="9"/>
      <c r="U64" s="9"/>
      <c r="V64" s="9"/>
      <c r="W64" s="9"/>
      <c r="X64" s="23"/>
      <c r="Y64" s="34" t="s">
        <v>102</v>
      </c>
      <c r="Z64" s="34"/>
      <c r="AA64" s="9"/>
      <c r="AB64" s="9"/>
      <c r="AC64" s="9"/>
      <c r="AD64" s="9"/>
      <c r="AE64" s="9"/>
    </row>
    <row r="65" spans="2:32" x14ac:dyDescent="0.25">
      <c r="B65" s="4"/>
      <c r="E65" s="3"/>
      <c r="F65" s="3"/>
      <c r="G65" s="3"/>
      <c r="H65" s="3"/>
      <c r="L65" s="4"/>
      <c r="M65" s="4"/>
      <c r="N65" s="4"/>
      <c r="O65" s="4"/>
      <c r="Q65" s="9"/>
      <c r="R65" s="9"/>
      <c r="S65" s="9"/>
      <c r="T65" s="9"/>
      <c r="U65" s="9"/>
      <c r="V65" s="9"/>
      <c r="W65" s="9"/>
      <c r="X65" s="9"/>
      <c r="Y65" s="35" t="s">
        <v>103</v>
      </c>
      <c r="Z65" s="34"/>
      <c r="AA65" s="9"/>
      <c r="AB65" s="9"/>
      <c r="AC65" s="9"/>
      <c r="AD65" s="9"/>
      <c r="AE65" s="9"/>
      <c r="AF65" s="18"/>
    </row>
    <row r="66" spans="2:32" x14ac:dyDescent="0.25">
      <c r="B66" s="4"/>
      <c r="E66" s="3"/>
      <c r="F66" s="3"/>
      <c r="G66" s="3"/>
      <c r="H66" s="3"/>
      <c r="I66" s="19"/>
      <c r="L66" s="4"/>
      <c r="M66" s="4"/>
      <c r="N66" s="4"/>
      <c r="O66" s="20"/>
      <c r="Q66" s="20"/>
      <c r="R66" s="20"/>
      <c r="S66" s="20"/>
      <c r="T66" s="20"/>
      <c r="U66" s="20"/>
      <c r="V66" s="20"/>
      <c r="W66" s="20"/>
      <c r="X66" s="20"/>
      <c r="Y66" s="34" t="s">
        <v>104</v>
      </c>
      <c r="Z66" s="34">
        <v>3340</v>
      </c>
      <c r="AA66" s="9"/>
      <c r="AB66" s="9"/>
      <c r="AC66" s="9"/>
      <c r="AD66" s="9"/>
      <c r="AE66" s="9"/>
      <c r="AF66" s="18"/>
    </row>
    <row r="67" spans="2:32" x14ac:dyDescent="0.25">
      <c r="B67" s="4"/>
      <c r="E67" s="3"/>
      <c r="F67" s="3"/>
      <c r="G67" s="3"/>
      <c r="H67" s="3"/>
      <c r="L67" s="4"/>
      <c r="M67" s="4"/>
      <c r="N67" s="4"/>
      <c r="O67" s="20"/>
      <c r="Q67" s="20"/>
      <c r="R67" s="20"/>
      <c r="S67" s="20"/>
      <c r="T67" s="20"/>
      <c r="U67" s="20"/>
      <c r="V67" s="20"/>
      <c r="W67" s="20"/>
      <c r="X67" s="20"/>
      <c r="Y67" s="34" t="s">
        <v>43</v>
      </c>
      <c r="Z67" s="34">
        <f>Z66/2</f>
        <v>1670</v>
      </c>
      <c r="AA67" s="9"/>
      <c r="AB67" s="9"/>
      <c r="AC67" s="9"/>
      <c r="AD67" s="9"/>
      <c r="AE67" s="9"/>
      <c r="AF67" s="18"/>
    </row>
    <row r="68" spans="2:32" x14ac:dyDescent="0.25">
      <c r="B68" s="4"/>
      <c r="E68" s="3"/>
      <c r="F68" s="3"/>
      <c r="G68" s="3"/>
      <c r="H68" s="3"/>
      <c r="L68" s="4"/>
      <c r="M68" s="4"/>
      <c r="N68" s="4"/>
      <c r="O68" s="4"/>
      <c r="Q68" s="9"/>
      <c r="R68" s="9"/>
      <c r="S68" s="9"/>
      <c r="T68" s="9"/>
      <c r="U68" s="9"/>
      <c r="V68" s="9"/>
      <c r="W68" s="9"/>
      <c r="X68" s="9"/>
      <c r="Y68" s="1"/>
      <c r="Z68" s="1"/>
      <c r="AA68" s="9"/>
      <c r="AB68" s="9"/>
      <c r="AC68" s="9"/>
      <c r="AD68" s="9"/>
      <c r="AE68" s="9"/>
      <c r="AF68" s="18"/>
    </row>
    <row r="69" spans="2:32" x14ac:dyDescent="0.25">
      <c r="F69" s="1"/>
      <c r="G69" s="1"/>
      <c r="H69" s="1"/>
      <c r="J69" s="1" t="s">
        <v>32</v>
      </c>
      <c r="Q69" s="9"/>
      <c r="R69" s="4"/>
      <c r="S69" s="9"/>
      <c r="T69" s="5"/>
      <c r="U69" s="9"/>
      <c r="V69" s="4"/>
      <c r="W69" s="4"/>
      <c r="X69" s="9"/>
      <c r="Y69" s="9"/>
      <c r="Z69" s="9"/>
      <c r="AA69" s="9"/>
      <c r="AB69" s="9"/>
      <c r="AC69" s="9"/>
      <c r="AD69" s="9"/>
      <c r="AE69" s="9"/>
    </row>
    <row r="70" spans="2:32" x14ac:dyDescent="0.25">
      <c r="R70" s="4"/>
      <c r="S70" s="17"/>
      <c r="T70" s="17"/>
      <c r="U70" s="9"/>
      <c r="V70" s="4"/>
      <c r="W70" s="4"/>
      <c r="X70" s="9"/>
      <c r="Y70" s="9"/>
      <c r="Z70" s="9" t="s">
        <v>307</v>
      </c>
      <c r="AA70" s="9"/>
      <c r="AB70" s="9"/>
      <c r="AC70" s="9"/>
      <c r="AD70" s="9"/>
      <c r="AE70" s="9"/>
    </row>
    <row r="71" spans="2:32" x14ac:dyDescent="0.25">
      <c r="Q71" s="9"/>
      <c r="R71" s="4"/>
      <c r="S71" s="16"/>
      <c r="T71" s="16"/>
      <c r="U71" s="9"/>
      <c r="V71" s="4"/>
      <c r="W71" s="4"/>
      <c r="X71" s="9"/>
      <c r="Y71" s="37" t="s">
        <v>325</v>
      </c>
      <c r="Z71" s="9">
        <f>Z66</f>
        <v>3340</v>
      </c>
      <c r="AA71" s="9"/>
      <c r="AB71" s="9"/>
      <c r="AC71" s="9"/>
      <c r="AD71" s="9"/>
      <c r="AE71" s="9"/>
    </row>
    <row r="72" spans="2:32" x14ac:dyDescent="0.25">
      <c r="R72" s="4"/>
      <c r="S72" s="16"/>
      <c r="T72" s="16"/>
      <c r="Y72" s="37" t="s">
        <v>326</v>
      </c>
      <c r="Z72" s="9">
        <f>Z71*1.1</f>
        <v>3674.0000000000005</v>
      </c>
      <c r="AA72" s="9"/>
      <c r="AB72" s="9"/>
      <c r="AC72" s="9"/>
      <c r="AD72" s="9"/>
      <c r="AE72" s="9"/>
    </row>
    <row r="73" spans="2:32" x14ac:dyDescent="0.25">
      <c r="T73" s="5"/>
      <c r="Y73" s="37" t="s">
        <v>327</v>
      </c>
      <c r="Z73" s="9">
        <f>Z71*1.2</f>
        <v>4008</v>
      </c>
      <c r="AA73" s="9"/>
      <c r="AB73" s="9"/>
      <c r="AC73" s="9"/>
      <c r="AD73" s="9"/>
      <c r="AE73" s="9"/>
    </row>
    <row r="74" spans="2:32" x14ac:dyDescent="0.25">
      <c r="T74" s="5"/>
      <c r="Y74" s="37" t="s">
        <v>328</v>
      </c>
      <c r="Z74" s="9">
        <f>Z71*0.8</f>
        <v>2672</v>
      </c>
      <c r="AA74" s="9"/>
      <c r="AB74" s="9"/>
      <c r="AC74" s="9"/>
      <c r="AD74" s="9"/>
      <c r="AE74" s="9"/>
    </row>
    <row r="75" spans="2:32" x14ac:dyDescent="0.25">
      <c r="T75" s="5"/>
      <c r="Y75" s="37" t="s">
        <v>330</v>
      </c>
      <c r="Z75" s="9" t="s">
        <v>329</v>
      </c>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c r="Y79" s="9"/>
      <c r="Z79" s="9"/>
      <c r="AA79" s="9"/>
      <c r="AB79" s="9"/>
      <c r="AC79" s="9"/>
      <c r="AD79" s="9"/>
      <c r="AE79" s="9"/>
    </row>
    <row r="80" spans="2:32" x14ac:dyDescent="0.25">
      <c r="T80" s="5"/>
      <c r="Y80" s="9"/>
      <c r="Z80" s="9"/>
      <c r="AA80" s="9"/>
      <c r="AB80" s="9"/>
      <c r="AC80" s="9"/>
      <c r="AD80" s="9"/>
      <c r="AE80" s="9"/>
    </row>
    <row r="81" spans="20:20" x14ac:dyDescent="0.25">
      <c r="T81" s="5"/>
    </row>
    <row r="82" spans="20:20" x14ac:dyDescent="0.25">
      <c r="T82" s="5"/>
    </row>
    <row r="83" spans="20:20" x14ac:dyDescent="0.25">
      <c r="T83" s="5"/>
    </row>
    <row r="84" spans="20:20" x14ac:dyDescent="0.25">
      <c r="T84" s="5"/>
    </row>
    <row r="85" spans="20:20" x14ac:dyDescent="0.25">
      <c r="T85" s="5"/>
    </row>
  </sheetData>
  <autoFilter ref="B6:AE62" xr:uid="{65FA6D9B-E0AF-46CD-BA0D-86BB75FE6AB0}"/>
  <hyperlinks>
    <hyperlink ref="P13" r:id="rId1" xr:uid="{92D7F249-3C16-43F1-B31F-46D00E1A8C38}"/>
    <hyperlink ref="P18" r:id="rId2" xr:uid="{CB6611F4-0E5D-4DBA-B5D4-85913442509A}"/>
    <hyperlink ref="P19" r:id="rId3" xr:uid="{EE2FF51D-0FE5-4CA4-AAEB-E7D8320C7692}"/>
    <hyperlink ref="P28" r:id="rId4" xr:uid="{C327BFE3-5B56-46F1-8B81-ECF76F896781}"/>
    <hyperlink ref="P37" r:id="rId5" xr:uid="{C0CC338D-A984-40B9-ABAB-2E5CCECF74EF}"/>
    <hyperlink ref="P35" r:id="rId6" xr:uid="{CF21F8EE-B0E8-46EC-8411-6704EA4FE38B}"/>
    <hyperlink ref="P52" r:id="rId7" xr:uid="{969670BD-0A62-40D5-81F6-6031A70CA3E0}"/>
  </hyperlinks>
  <pageMargins left="0.7" right="0.7" top="0.75" bottom="0.75" header="0.3" footer="0.3"/>
  <pageSetup paperSize="9" orientation="portrait" r:id="rId8"/>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B280-FC9A-4D01-8F55-B866800DD4CF}">
  <sheetPr>
    <tabColor rgb="FFFFFF00"/>
  </sheetPr>
  <dimension ref="B1:AK70"/>
  <sheetViews>
    <sheetView zoomScale="80" zoomScaleNormal="80" workbookViewId="0">
      <selection activeCell="J14" sqref="J14"/>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290</v>
      </c>
    </row>
    <row r="2" spans="2:36" x14ac:dyDescent="0.25">
      <c r="B2" s="2" t="s">
        <v>292</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295</v>
      </c>
      <c r="K7" s="4"/>
      <c r="L7" s="4"/>
      <c r="M7" s="4"/>
      <c r="N7" s="4"/>
      <c r="O7" s="4"/>
      <c r="P7" s="27"/>
      <c r="Q7" s="25">
        <v>0</v>
      </c>
      <c r="R7" s="25">
        <v>0</v>
      </c>
      <c r="S7" s="12">
        <f t="shared" ref="S7:S45" si="0">+Q7*R7</f>
        <v>0</v>
      </c>
      <c r="T7" s="5">
        <v>0</v>
      </c>
      <c r="U7" s="12">
        <f t="shared" ref="U7:U45" si="1">S7*(1-T7)</f>
        <v>0</v>
      </c>
      <c r="V7" s="25" t="s">
        <v>10</v>
      </c>
      <c r="W7" s="11">
        <f>IFERROR(VLOOKUP(V7,Curr!$B$2:$C$13,2,FALSE),0)</f>
        <v>11.2</v>
      </c>
      <c r="X7" s="12">
        <f t="shared" ref="X7:X45" si="2">U7*W7</f>
        <v>0</v>
      </c>
      <c r="Y7" s="26">
        <f t="shared" ref="Y7:Y45" si="3">Q7</f>
        <v>0</v>
      </c>
      <c r="Z7" s="12">
        <f t="shared" ref="Z7:Z45" si="4">+Y7*R7</f>
        <v>0</v>
      </c>
      <c r="AA7" s="4" t="s">
        <v>10</v>
      </c>
      <c r="AB7" s="11">
        <f>IFERROR(VLOOKUP(AA7,Curr!$B$2:$C$13,2,FALSE),0)</f>
        <v>11.2</v>
      </c>
      <c r="AC7" s="12">
        <f t="shared" ref="AC7:AC45" si="5">+Y7*AB7*R7</f>
        <v>0</v>
      </c>
      <c r="AD7" s="12">
        <f t="shared" ref="AD7:AD45" si="6">+AC7-X7</f>
        <v>0</v>
      </c>
      <c r="AE7" s="13">
        <f t="shared" ref="AE7:AE45"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10</v>
      </c>
      <c r="W8" s="11">
        <f>IFERROR(VLOOKUP(V8,Curr!$B$2:$C$13,2,FALSE),0)</f>
        <v>11.2</v>
      </c>
      <c r="X8" s="12">
        <f t="shared" si="2"/>
        <v>0</v>
      </c>
      <c r="Y8" s="26">
        <f t="shared" si="3"/>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296</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f>
        <v>187.5</v>
      </c>
      <c r="Z9" s="12">
        <f t="shared" si="4"/>
        <v>187.5</v>
      </c>
      <c r="AA9" s="4" t="s">
        <v>10</v>
      </c>
      <c r="AB9" s="11">
        <f>IFERROR(VLOOKUP(AA9,Curr!$B$2:$C$13,2,FALSE),0)</f>
        <v>11.2</v>
      </c>
      <c r="AC9" s="12">
        <f t="shared" si="5"/>
        <v>2100</v>
      </c>
      <c r="AD9" s="12">
        <f t="shared" si="6"/>
        <v>420</v>
      </c>
      <c r="AE9" s="13">
        <f t="shared" si="7"/>
        <v>0.2</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195</v>
      </c>
      <c r="K12" s="4"/>
      <c r="L12" s="4"/>
      <c r="M12" s="4"/>
      <c r="N12" s="4"/>
      <c r="O12" s="4"/>
      <c r="P12" s="33"/>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79</v>
      </c>
      <c r="E13" s="3"/>
      <c r="F13" s="3"/>
      <c r="G13" s="24"/>
      <c r="H13" s="24"/>
      <c r="J13" s="1" t="s">
        <v>297</v>
      </c>
      <c r="K13" s="4"/>
      <c r="L13" s="4"/>
      <c r="M13" s="4"/>
      <c r="N13" s="4"/>
      <c r="O13" s="4"/>
      <c r="P13" s="27"/>
      <c r="Q13" s="25">
        <v>1600</v>
      </c>
      <c r="R13" s="25">
        <v>2</v>
      </c>
      <c r="S13" s="12">
        <f t="shared" si="0"/>
        <v>3200</v>
      </c>
      <c r="T13" s="5">
        <v>0</v>
      </c>
      <c r="U13" s="12">
        <f t="shared" si="1"/>
        <v>3200</v>
      </c>
      <c r="V13" s="25" t="s">
        <v>8</v>
      </c>
      <c r="W13" s="11">
        <f>IFERROR(VLOOKUP(V13,Curr!$B$2:$C$13,2,FALSE),0)</f>
        <v>1</v>
      </c>
      <c r="X13" s="12">
        <f t="shared" si="2"/>
        <v>3200</v>
      </c>
      <c r="Y13" s="26">
        <f>Q13/11/0.8</f>
        <v>181.81818181818181</v>
      </c>
      <c r="Z13" s="12">
        <f t="shared" si="4"/>
        <v>363.63636363636363</v>
      </c>
      <c r="AA13" s="4" t="s">
        <v>10</v>
      </c>
      <c r="AB13" s="11">
        <f>IFERROR(VLOOKUP(AA13,Curr!$B$2:$C$13,2,FALSE),0)</f>
        <v>11.2</v>
      </c>
      <c r="AC13" s="12">
        <f t="shared" si="5"/>
        <v>4072.7272727272725</v>
      </c>
      <c r="AD13" s="12">
        <f t="shared" si="6"/>
        <v>872.72727272727252</v>
      </c>
      <c r="AE13" s="13">
        <f t="shared" si="7"/>
        <v>0.21428571428571425</v>
      </c>
    </row>
    <row r="14" spans="2:36" x14ac:dyDescent="0.25">
      <c r="B14" s="4"/>
      <c r="C14" s="1" t="s">
        <v>63</v>
      </c>
      <c r="D14" s="1" t="s">
        <v>73</v>
      </c>
      <c r="E14" s="3"/>
      <c r="F14" s="3"/>
      <c r="G14" s="24"/>
      <c r="H14" s="24"/>
      <c r="J14" s="1" t="s">
        <v>298</v>
      </c>
      <c r="K14" s="4"/>
      <c r="L14" s="4"/>
      <c r="M14" s="4"/>
      <c r="N14" s="4"/>
      <c r="O14" s="4"/>
      <c r="P14" s="33" t="s">
        <v>304</v>
      </c>
      <c r="Q14" s="25">
        <v>18900</v>
      </c>
      <c r="R14" s="25">
        <v>2</v>
      </c>
      <c r="S14" s="12">
        <f t="shared" si="0"/>
        <v>37800</v>
      </c>
      <c r="T14" s="5">
        <v>0.2</v>
      </c>
      <c r="U14" s="12">
        <f t="shared" si="1"/>
        <v>30240</v>
      </c>
      <c r="V14" s="25" t="s">
        <v>8</v>
      </c>
      <c r="W14" s="11">
        <f>IFERROR(VLOOKUP(V14,Curr!$B$2:$C$13,2,FALSE),0)</f>
        <v>1</v>
      </c>
      <c r="X14" s="12">
        <f t="shared" si="2"/>
        <v>30240</v>
      </c>
      <c r="Y14" s="26">
        <f>Q14/11*0.94</f>
        <v>1615.090909090909</v>
      </c>
      <c r="Z14" s="12">
        <f t="shared" si="4"/>
        <v>3230.181818181818</v>
      </c>
      <c r="AA14" s="4" t="s">
        <v>10</v>
      </c>
      <c r="AB14" s="11">
        <f>IFERROR(VLOOKUP(AA14,Curr!$B$2:$C$13,2,FALSE),0)</f>
        <v>11.2</v>
      </c>
      <c r="AC14" s="12">
        <f t="shared" si="5"/>
        <v>36178.036363636362</v>
      </c>
      <c r="AD14" s="12">
        <f t="shared" si="6"/>
        <v>5938.0363636363618</v>
      </c>
      <c r="AE14" s="13">
        <f t="shared" si="7"/>
        <v>0.16413373860182368</v>
      </c>
    </row>
    <row r="15" spans="2:36" x14ac:dyDescent="0.25">
      <c r="B15" s="4"/>
      <c r="C15" s="1" t="s">
        <v>63</v>
      </c>
      <c r="D15" s="1" t="s">
        <v>73</v>
      </c>
      <c r="E15" s="3"/>
      <c r="F15" s="3"/>
      <c r="G15" s="24"/>
      <c r="H15" s="24"/>
      <c r="J15" s="1" t="s">
        <v>299</v>
      </c>
      <c r="K15" s="4"/>
      <c r="L15" s="4"/>
      <c r="M15" s="4"/>
      <c r="N15" s="4"/>
      <c r="O15" s="4"/>
      <c r="P15" s="27"/>
      <c r="Q15" s="25">
        <v>0</v>
      </c>
      <c r="R15" s="25">
        <v>0</v>
      </c>
      <c r="S15" s="12">
        <f t="shared" si="0"/>
        <v>0</v>
      </c>
      <c r="T15" s="5">
        <v>0</v>
      </c>
      <c r="U15" s="12">
        <f t="shared" si="1"/>
        <v>0</v>
      </c>
      <c r="V15" s="25" t="s">
        <v>10</v>
      </c>
      <c r="W15" s="11">
        <f>IFERROR(VLOOKUP(V15,Curr!$B$2:$C$13,2,FALSE),0)</f>
        <v>11.2</v>
      </c>
      <c r="X15" s="12">
        <f t="shared" si="2"/>
        <v>0</v>
      </c>
      <c r="Y15" s="26">
        <f t="shared" si="3"/>
        <v>0</v>
      </c>
      <c r="Z15" s="12">
        <f t="shared" si="4"/>
        <v>0</v>
      </c>
      <c r="AA15" s="4" t="s">
        <v>10</v>
      </c>
      <c r="AB15" s="11">
        <f>IFERROR(VLOOKUP(AA15,Curr!$B$2:$C$13,2,FALSE),0)</f>
        <v>11.2</v>
      </c>
      <c r="AC15" s="12">
        <f t="shared" si="5"/>
        <v>0</v>
      </c>
      <c r="AD15" s="12">
        <f t="shared" si="6"/>
        <v>0</v>
      </c>
      <c r="AE15" s="13">
        <f t="shared" si="7"/>
        <v>0</v>
      </c>
    </row>
    <row r="16" spans="2:36" x14ac:dyDescent="0.25">
      <c r="B16" s="4"/>
      <c r="E16" s="3"/>
      <c r="F16" s="3"/>
      <c r="G16" s="24"/>
      <c r="H16" s="24"/>
      <c r="K16" s="4"/>
      <c r="L16" s="4"/>
      <c r="M16" s="4"/>
      <c r="N16" s="4"/>
      <c r="O16" s="4"/>
      <c r="P16" s="33"/>
      <c r="Q16" s="25"/>
      <c r="R16" s="25"/>
      <c r="S16" s="12">
        <f t="shared" si="0"/>
        <v>0</v>
      </c>
      <c r="T16" s="5">
        <v>0</v>
      </c>
      <c r="U16" s="12">
        <f t="shared" si="1"/>
        <v>0</v>
      </c>
      <c r="V16" s="25" t="s">
        <v>10</v>
      </c>
      <c r="W16" s="11">
        <f>IFERROR(VLOOKUP(V16,Curr!$B$2:$C$13,2,FALSE),0)</f>
        <v>11.2</v>
      </c>
      <c r="X16" s="12">
        <f t="shared" si="2"/>
        <v>0</v>
      </c>
      <c r="Y16" s="26">
        <f t="shared" si="3"/>
        <v>0</v>
      </c>
      <c r="Z16" s="12">
        <f t="shared" si="4"/>
        <v>0</v>
      </c>
      <c r="AA16" s="4" t="s">
        <v>10</v>
      </c>
      <c r="AB16" s="11">
        <f>IFERROR(VLOOKUP(AA16,Curr!$B$2:$C$13,2,FALSE),0)</f>
        <v>11.2</v>
      </c>
      <c r="AC16" s="12">
        <f t="shared" si="5"/>
        <v>0</v>
      </c>
      <c r="AD16" s="12">
        <f t="shared" si="6"/>
        <v>0</v>
      </c>
      <c r="AE16" s="13">
        <f t="shared" si="7"/>
        <v>0</v>
      </c>
    </row>
    <row r="17" spans="2:31" x14ac:dyDescent="0.25">
      <c r="B17" s="4"/>
      <c r="C17" s="1" t="s">
        <v>69</v>
      </c>
      <c r="D17" s="1" t="s">
        <v>73</v>
      </c>
      <c r="E17" s="3"/>
      <c r="F17" s="3"/>
      <c r="G17" s="24"/>
      <c r="H17" s="24"/>
      <c r="J17" s="1" t="s">
        <v>300</v>
      </c>
      <c r="K17" s="4"/>
      <c r="L17" s="4"/>
      <c r="M17" s="4"/>
      <c r="N17" s="4"/>
      <c r="O17" s="4"/>
      <c r="P17" s="29"/>
      <c r="Q17" s="25">
        <v>0</v>
      </c>
      <c r="R17" s="25">
        <v>0</v>
      </c>
      <c r="S17" s="12">
        <f t="shared" si="0"/>
        <v>0</v>
      </c>
      <c r="T17" s="5">
        <v>0</v>
      </c>
      <c r="U17" s="12">
        <f t="shared" si="1"/>
        <v>0</v>
      </c>
      <c r="V17" s="25" t="s">
        <v>10</v>
      </c>
      <c r="W17" s="11">
        <f>IFERROR(VLOOKUP(V17,Curr!$B$2:$C$13,2,FALSE),0)</f>
        <v>11.2</v>
      </c>
      <c r="X17" s="12">
        <f t="shared" si="2"/>
        <v>0</v>
      </c>
      <c r="Y17" s="26">
        <f t="shared" si="3"/>
        <v>0</v>
      </c>
      <c r="Z17" s="12">
        <f t="shared" si="4"/>
        <v>0</v>
      </c>
      <c r="AA17" s="4" t="s">
        <v>10</v>
      </c>
      <c r="AB17" s="11">
        <f>IFERROR(VLOOKUP(AA17,Curr!$B$2:$C$13,2,FALSE),0)</f>
        <v>11.2</v>
      </c>
      <c r="AC17" s="12">
        <f t="shared" si="5"/>
        <v>0</v>
      </c>
      <c r="AD17" s="12">
        <f t="shared" si="6"/>
        <v>0</v>
      </c>
      <c r="AE17" s="13">
        <f t="shared" si="7"/>
        <v>0</v>
      </c>
    </row>
    <row r="18" spans="2:31" x14ac:dyDescent="0.25">
      <c r="B18" s="4"/>
      <c r="E18" s="3"/>
      <c r="F18" s="3"/>
      <c r="G18" s="24"/>
      <c r="H18" s="24"/>
      <c r="K18" s="4"/>
      <c r="L18" s="4"/>
      <c r="M18" s="4"/>
      <c r="N18" s="4"/>
      <c r="O18" s="4"/>
      <c r="P18" s="27"/>
      <c r="Q18" s="25"/>
      <c r="R18" s="25"/>
      <c r="S18" s="12">
        <f t="shared" si="0"/>
        <v>0</v>
      </c>
      <c r="T18" s="5">
        <v>0</v>
      </c>
      <c r="U18" s="12">
        <f t="shared" si="1"/>
        <v>0</v>
      </c>
      <c r="V18" s="25" t="s">
        <v>10</v>
      </c>
      <c r="W18" s="11">
        <f>IFERROR(VLOOKUP(V18,Curr!$B$2:$C$13,2,FALSE),0)</f>
        <v>11.2</v>
      </c>
      <c r="X18" s="12">
        <f t="shared" si="2"/>
        <v>0</v>
      </c>
      <c r="Y18" s="26">
        <f t="shared" si="3"/>
        <v>0</v>
      </c>
      <c r="Z18" s="12">
        <f t="shared" si="4"/>
        <v>0</v>
      </c>
      <c r="AA18" s="4" t="s">
        <v>10</v>
      </c>
      <c r="AB18" s="11">
        <f>IFERROR(VLOOKUP(AA18,Curr!$B$2:$C$13,2,FALSE),0)</f>
        <v>11.2</v>
      </c>
      <c r="AC18" s="12">
        <f t="shared" si="5"/>
        <v>0</v>
      </c>
      <c r="AD18" s="12">
        <f t="shared" si="6"/>
        <v>0</v>
      </c>
      <c r="AE18" s="13">
        <f t="shared" si="7"/>
        <v>0</v>
      </c>
    </row>
    <row r="19" spans="2:31" x14ac:dyDescent="0.25">
      <c r="B19" s="4"/>
      <c r="C19" s="1" t="s">
        <v>78</v>
      </c>
      <c r="D19" s="1" t="s">
        <v>73</v>
      </c>
      <c r="E19" s="3"/>
      <c r="F19" s="3"/>
      <c r="G19" s="24"/>
      <c r="H19" s="24"/>
      <c r="J19" s="1" t="s">
        <v>301</v>
      </c>
      <c r="K19" s="4"/>
      <c r="L19" s="4"/>
      <c r="M19" s="4"/>
      <c r="N19" s="4"/>
      <c r="O19" s="4"/>
      <c r="P19" s="27"/>
      <c r="Q19" s="25">
        <v>0</v>
      </c>
      <c r="R19" s="25">
        <v>0</v>
      </c>
      <c r="S19" s="12">
        <f t="shared" si="0"/>
        <v>0</v>
      </c>
      <c r="T19" s="5">
        <v>0</v>
      </c>
      <c r="U19" s="12">
        <f t="shared" si="1"/>
        <v>0</v>
      </c>
      <c r="V19" s="25" t="s">
        <v>10</v>
      </c>
      <c r="W19" s="11">
        <f>IFERROR(VLOOKUP(V19,Curr!$B$2:$C$13,2,FALSE),0)</f>
        <v>11.2</v>
      </c>
      <c r="X19" s="12">
        <f t="shared" si="2"/>
        <v>0</v>
      </c>
      <c r="Y19" s="26">
        <f t="shared" si="3"/>
        <v>0</v>
      </c>
      <c r="Z19" s="12">
        <f t="shared" si="4"/>
        <v>0</v>
      </c>
      <c r="AA19" s="4" t="s">
        <v>10</v>
      </c>
      <c r="AB19" s="11">
        <f>IFERROR(VLOOKUP(AA19,Curr!$B$2:$C$13,2,FALSE),0)</f>
        <v>11.2</v>
      </c>
      <c r="AC19" s="12">
        <f t="shared" si="5"/>
        <v>0</v>
      </c>
      <c r="AD19" s="12">
        <f t="shared" si="6"/>
        <v>0</v>
      </c>
      <c r="AE19" s="13">
        <f t="shared" si="7"/>
        <v>0</v>
      </c>
    </row>
    <row r="20" spans="2:31" x14ac:dyDescent="0.25">
      <c r="B20" s="4"/>
      <c r="C20" s="1" t="s">
        <v>78</v>
      </c>
      <c r="D20" s="1" t="s">
        <v>79</v>
      </c>
      <c r="E20" s="3"/>
      <c r="F20" s="3"/>
      <c r="G20" s="24"/>
      <c r="H20" s="24"/>
      <c r="J20" s="1" t="s">
        <v>302</v>
      </c>
      <c r="K20" s="4"/>
      <c r="L20" s="4"/>
      <c r="M20" s="4"/>
      <c r="N20" s="4"/>
      <c r="O20" s="4"/>
      <c r="P20" s="27"/>
      <c r="Q20" s="25">
        <v>1300</v>
      </c>
      <c r="R20" s="25">
        <v>2</v>
      </c>
      <c r="S20" s="12">
        <f t="shared" si="0"/>
        <v>2600</v>
      </c>
      <c r="T20" s="5">
        <v>0</v>
      </c>
      <c r="U20" s="12">
        <f t="shared" si="1"/>
        <v>2600</v>
      </c>
      <c r="V20" s="25" t="s">
        <v>8</v>
      </c>
      <c r="W20" s="11">
        <f>IFERROR(VLOOKUP(V20,Curr!$B$2:$C$13,2,FALSE),0)</f>
        <v>1</v>
      </c>
      <c r="X20" s="12">
        <f t="shared" si="2"/>
        <v>2600</v>
      </c>
      <c r="Y20" s="26">
        <f>Q20/11/0.8</f>
        <v>147.72727272727272</v>
      </c>
      <c r="Z20" s="12">
        <f t="shared" si="4"/>
        <v>295.45454545454544</v>
      </c>
      <c r="AA20" s="4" t="s">
        <v>10</v>
      </c>
      <c r="AB20" s="11">
        <f>IFERROR(VLOOKUP(AA20,Curr!$B$2:$C$13,2,FALSE),0)</f>
        <v>11.2</v>
      </c>
      <c r="AC20" s="12">
        <f t="shared" si="5"/>
        <v>3309.0909090909086</v>
      </c>
      <c r="AD20" s="12">
        <f t="shared" si="6"/>
        <v>709.09090909090855</v>
      </c>
      <c r="AE20" s="13">
        <f t="shared" si="7"/>
        <v>0.21428571428571416</v>
      </c>
    </row>
    <row r="21" spans="2:31" x14ac:dyDescent="0.25">
      <c r="B21" s="4"/>
      <c r="C21" s="1" t="s">
        <v>78</v>
      </c>
      <c r="D21" s="1" t="s">
        <v>50</v>
      </c>
      <c r="E21" s="3"/>
      <c r="F21" s="3"/>
      <c r="G21" s="24"/>
      <c r="H21" s="24"/>
      <c r="J21" s="1" t="s">
        <v>167</v>
      </c>
      <c r="K21" s="4"/>
      <c r="L21" s="4"/>
      <c r="M21" s="4"/>
      <c r="N21" s="4"/>
      <c r="O21" s="4"/>
      <c r="P21" s="33"/>
      <c r="Q21" s="25">
        <v>0</v>
      </c>
      <c r="R21" s="25">
        <v>0</v>
      </c>
      <c r="S21" s="12">
        <f t="shared" si="0"/>
        <v>0</v>
      </c>
      <c r="T21" s="5">
        <v>0</v>
      </c>
      <c r="U21" s="12">
        <f t="shared" si="1"/>
        <v>0</v>
      </c>
      <c r="V21" s="25" t="s">
        <v>10</v>
      </c>
      <c r="W21" s="11">
        <f>IFERROR(VLOOKUP(V21,Curr!$B$2:$C$13,2,FALSE),0)</f>
        <v>11.2</v>
      </c>
      <c r="X21" s="12">
        <f t="shared" si="2"/>
        <v>0</v>
      </c>
      <c r="Y21" s="26">
        <f t="shared" si="3"/>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52</v>
      </c>
      <c r="E22" s="3"/>
      <c r="F22" s="3"/>
      <c r="G22" s="24"/>
      <c r="H22" s="24"/>
      <c r="J22" s="1" t="s">
        <v>303</v>
      </c>
      <c r="K22" s="4"/>
      <c r="L22" s="4"/>
      <c r="M22" s="4"/>
      <c r="N22" s="4"/>
      <c r="O22" s="4"/>
      <c r="P22" s="33"/>
      <c r="Q22" s="25">
        <v>650</v>
      </c>
      <c r="R22" s="25">
        <v>1</v>
      </c>
      <c r="S22" s="12">
        <f t="shared" si="0"/>
        <v>650</v>
      </c>
      <c r="T22" s="5">
        <v>0</v>
      </c>
      <c r="U22" s="12">
        <f t="shared" si="1"/>
        <v>650</v>
      </c>
      <c r="V22" s="25" t="s">
        <v>10</v>
      </c>
      <c r="W22" s="11">
        <f>IFERROR(VLOOKUP(V22,Curr!$B$2:$C$13,2,FALSE),0)</f>
        <v>11.2</v>
      </c>
      <c r="X22" s="12">
        <f t="shared" si="2"/>
        <v>7279.9999999999991</v>
      </c>
      <c r="Y22" s="26">
        <f>Q22/0.85</f>
        <v>764.70588235294122</v>
      </c>
      <c r="Z22" s="12">
        <f t="shared" si="4"/>
        <v>764.70588235294122</v>
      </c>
      <c r="AA22" s="4" t="s">
        <v>10</v>
      </c>
      <c r="AB22" s="11">
        <f>IFERROR(VLOOKUP(AA22,Curr!$B$2:$C$13,2,FALSE),0)</f>
        <v>11.2</v>
      </c>
      <c r="AC22" s="12">
        <f t="shared" si="5"/>
        <v>8564.7058823529405</v>
      </c>
      <c r="AD22" s="12">
        <f t="shared" si="6"/>
        <v>1284.7058823529414</v>
      </c>
      <c r="AE22" s="13">
        <f t="shared" si="7"/>
        <v>0.15000000000000005</v>
      </c>
    </row>
    <row r="23" spans="2:31" x14ac:dyDescent="0.25">
      <c r="B23" s="4"/>
      <c r="C23" s="1" t="s">
        <v>78</v>
      </c>
      <c r="D23" s="1" t="s">
        <v>53</v>
      </c>
      <c r="E23" s="3"/>
      <c r="F23" s="3"/>
      <c r="G23" s="24"/>
      <c r="H23" s="24"/>
      <c r="J23" s="1" t="s">
        <v>168</v>
      </c>
      <c r="K23" s="4"/>
      <c r="L23" s="4"/>
      <c r="M23" s="4"/>
      <c r="N23" s="4"/>
      <c r="O23" s="4"/>
      <c r="P23" s="29"/>
      <c r="Q23" s="25">
        <v>0</v>
      </c>
      <c r="R23" s="25">
        <v>0</v>
      </c>
      <c r="S23" s="12">
        <f t="shared" si="0"/>
        <v>0</v>
      </c>
      <c r="T23" s="5">
        <v>0</v>
      </c>
      <c r="U23" s="12">
        <f t="shared" si="1"/>
        <v>0</v>
      </c>
      <c r="V23" s="25" t="s">
        <v>10</v>
      </c>
      <c r="W23" s="11">
        <f>IFERROR(VLOOKUP(V23,Curr!$B$2:$C$13,2,FALSE),0)</f>
        <v>11.2</v>
      </c>
      <c r="X23" s="12">
        <f t="shared" si="2"/>
        <v>0</v>
      </c>
      <c r="Y23" s="26">
        <f t="shared" si="3"/>
        <v>0</v>
      </c>
      <c r="Z23" s="12">
        <f t="shared" si="4"/>
        <v>0</v>
      </c>
      <c r="AA23" s="4" t="s">
        <v>10</v>
      </c>
      <c r="AB23" s="11">
        <f>IFERROR(VLOOKUP(AA23,Curr!$B$2:$C$13,2,FALSE),0)</f>
        <v>11.2</v>
      </c>
      <c r="AC23" s="12">
        <f t="shared" si="5"/>
        <v>0</v>
      </c>
      <c r="AD23" s="12">
        <f t="shared" si="6"/>
        <v>0</v>
      </c>
      <c r="AE23" s="13">
        <f t="shared" si="7"/>
        <v>0</v>
      </c>
    </row>
    <row r="24" spans="2:31" x14ac:dyDescent="0.25">
      <c r="B24" s="4"/>
      <c r="E24" s="3"/>
      <c r="F24" s="3"/>
      <c r="G24" s="24"/>
      <c r="H24" s="24"/>
      <c r="K24" s="4"/>
      <c r="L24" s="4"/>
      <c r="M24" s="4"/>
      <c r="N24" s="4"/>
      <c r="O24" s="4"/>
      <c r="P24" s="27"/>
      <c r="Q24" s="25"/>
      <c r="R24" s="25"/>
      <c r="S24" s="12">
        <f t="shared" si="0"/>
        <v>0</v>
      </c>
      <c r="T24" s="5">
        <v>0</v>
      </c>
      <c r="U24" s="12">
        <f t="shared" si="1"/>
        <v>0</v>
      </c>
      <c r="V24" s="25" t="s">
        <v>10</v>
      </c>
      <c r="W24" s="11">
        <f>IFERROR(VLOOKUP(V24,Curr!$B$2:$C$13,2,FALSE),0)</f>
        <v>11.2</v>
      </c>
      <c r="X24" s="12">
        <f t="shared" si="2"/>
        <v>0</v>
      </c>
      <c r="Y24" s="26">
        <f t="shared" si="3"/>
        <v>0</v>
      </c>
      <c r="Z24" s="12">
        <f t="shared" si="4"/>
        <v>0</v>
      </c>
      <c r="AA24" s="4" t="s">
        <v>10</v>
      </c>
      <c r="AB24" s="11">
        <f>IFERROR(VLOOKUP(AA24,Curr!$B$2:$C$13,2,FALSE),0)</f>
        <v>11.2</v>
      </c>
      <c r="AC24" s="12">
        <f t="shared" si="5"/>
        <v>0</v>
      </c>
      <c r="AD24" s="12">
        <f t="shared" si="6"/>
        <v>0</v>
      </c>
      <c r="AE24" s="13">
        <f t="shared" si="7"/>
        <v>0</v>
      </c>
    </row>
    <row r="25" spans="2:31" x14ac:dyDescent="0.25">
      <c r="B25" s="4"/>
      <c r="C25" s="1" t="s">
        <v>80</v>
      </c>
      <c r="D25" s="1" t="s">
        <v>73</v>
      </c>
      <c r="E25" s="3"/>
      <c r="F25" s="3"/>
      <c r="G25" s="24"/>
      <c r="H25" s="24"/>
      <c r="J25" s="1" t="s">
        <v>176</v>
      </c>
      <c r="K25" s="4"/>
      <c r="L25" s="4"/>
      <c r="M25" s="4"/>
      <c r="N25" s="4"/>
      <c r="O25" s="4"/>
      <c r="P25" s="33" t="s">
        <v>177</v>
      </c>
      <c r="Q25" s="25">
        <v>132</v>
      </c>
      <c r="R25" s="25">
        <v>2</v>
      </c>
      <c r="S25" s="12">
        <f t="shared" si="0"/>
        <v>264</v>
      </c>
      <c r="T25" s="5">
        <v>0.15</v>
      </c>
      <c r="U25" s="12">
        <f t="shared" si="1"/>
        <v>224.4</v>
      </c>
      <c r="V25" s="25" t="s">
        <v>10</v>
      </c>
      <c r="W25" s="11">
        <f>IFERROR(VLOOKUP(V25,Curr!$B$2:$C$13,2,FALSE),0)</f>
        <v>11.2</v>
      </c>
      <c r="X25" s="12">
        <f t="shared" si="2"/>
        <v>2513.2799999999997</v>
      </c>
      <c r="Y25" s="26">
        <f t="shared" si="3"/>
        <v>132</v>
      </c>
      <c r="Z25" s="12">
        <f t="shared" si="4"/>
        <v>264</v>
      </c>
      <c r="AA25" s="4" t="s">
        <v>10</v>
      </c>
      <c r="AB25" s="11">
        <f>IFERROR(VLOOKUP(AA25,Curr!$B$2:$C$13,2,FALSE),0)</f>
        <v>11.2</v>
      </c>
      <c r="AC25" s="12">
        <f t="shared" si="5"/>
        <v>2956.7999999999997</v>
      </c>
      <c r="AD25" s="12">
        <f t="shared" si="6"/>
        <v>443.52</v>
      </c>
      <c r="AE25" s="13">
        <f t="shared" si="7"/>
        <v>0.15</v>
      </c>
    </row>
    <row r="26" spans="2:31" x14ac:dyDescent="0.25">
      <c r="B26" s="4"/>
      <c r="C26" s="1" t="s">
        <v>80</v>
      </c>
      <c r="D26" s="1" t="s">
        <v>53</v>
      </c>
      <c r="E26" s="3"/>
      <c r="F26" s="3"/>
      <c r="G26" s="24"/>
      <c r="H26" s="24"/>
      <c r="J26" s="1" t="s">
        <v>168</v>
      </c>
      <c r="K26" s="4"/>
      <c r="L26" s="4"/>
      <c r="M26" s="4"/>
      <c r="N26" s="4"/>
      <c r="O26" s="4"/>
      <c r="P26" s="27"/>
      <c r="Q26" s="25">
        <v>0</v>
      </c>
      <c r="R26" s="25">
        <v>0</v>
      </c>
      <c r="S26" s="12">
        <f t="shared" si="0"/>
        <v>0</v>
      </c>
      <c r="T26" s="5">
        <v>0</v>
      </c>
      <c r="U26" s="12">
        <f t="shared" si="1"/>
        <v>0</v>
      </c>
      <c r="V26" s="25" t="s">
        <v>10</v>
      </c>
      <c r="W26" s="11">
        <f>IFERROR(VLOOKUP(V26,Curr!$B$2:$C$13,2,FALSE),0)</f>
        <v>11.2</v>
      </c>
      <c r="X26" s="12">
        <f t="shared" si="2"/>
        <v>0</v>
      </c>
      <c r="Y26" s="26">
        <f t="shared" si="3"/>
        <v>0</v>
      </c>
      <c r="Z26" s="12">
        <f t="shared" si="4"/>
        <v>0</v>
      </c>
      <c r="AA26" s="4" t="s">
        <v>10</v>
      </c>
      <c r="AB26" s="11">
        <f>IFERROR(VLOOKUP(AA26,Curr!$B$2:$C$13,2,FALSE),0)</f>
        <v>11.2</v>
      </c>
      <c r="AC26" s="12">
        <f t="shared" si="5"/>
        <v>0</v>
      </c>
      <c r="AD26" s="12">
        <f t="shared" si="6"/>
        <v>0</v>
      </c>
      <c r="AE26" s="13">
        <f t="shared" si="7"/>
        <v>0</v>
      </c>
    </row>
    <row r="27" spans="2:31" x14ac:dyDescent="0.25">
      <c r="B27" s="4"/>
      <c r="E27" s="3"/>
      <c r="F27" s="3"/>
      <c r="G27" s="24"/>
      <c r="H27" s="24"/>
      <c r="K27" s="4"/>
      <c r="L27" s="4"/>
      <c r="M27" s="4"/>
      <c r="N27" s="4"/>
      <c r="O27" s="4"/>
      <c r="P27" s="33"/>
      <c r="Q27" s="25"/>
      <c r="R27" s="25"/>
      <c r="S27" s="12">
        <f t="shared" si="0"/>
        <v>0</v>
      </c>
      <c r="T27" s="5">
        <v>0</v>
      </c>
      <c r="U27" s="12">
        <f t="shared" si="1"/>
        <v>0</v>
      </c>
      <c r="V27" s="25" t="s">
        <v>10</v>
      </c>
      <c r="W27" s="11">
        <f>IFERROR(VLOOKUP(V27,Curr!$B$2:$C$13,2,FALSE),0)</f>
        <v>11.2</v>
      </c>
      <c r="X27" s="12">
        <f t="shared" si="2"/>
        <v>0</v>
      </c>
      <c r="Y27" s="26">
        <f t="shared" si="3"/>
        <v>0</v>
      </c>
      <c r="Z27" s="12">
        <f t="shared" si="4"/>
        <v>0</v>
      </c>
      <c r="AA27" s="4" t="s">
        <v>10</v>
      </c>
      <c r="AB27" s="11">
        <f>IFERROR(VLOOKUP(AA27,Curr!$B$2:$C$13,2,FALSE),0)</f>
        <v>11.2</v>
      </c>
      <c r="AC27" s="12">
        <f t="shared" si="5"/>
        <v>0</v>
      </c>
      <c r="AD27" s="12">
        <f t="shared" si="6"/>
        <v>0</v>
      </c>
      <c r="AE27" s="13">
        <f t="shared" si="7"/>
        <v>0</v>
      </c>
    </row>
    <row r="28" spans="2:31" x14ac:dyDescent="0.25">
      <c r="B28" s="4"/>
      <c r="C28" s="1" t="s">
        <v>81</v>
      </c>
      <c r="D28" s="1" t="s">
        <v>294</v>
      </c>
      <c r="E28" s="3"/>
      <c r="F28" s="3"/>
      <c r="G28" s="24"/>
      <c r="H28" s="24"/>
      <c r="J28" s="1" t="s">
        <v>169</v>
      </c>
      <c r="K28" s="4"/>
      <c r="L28" s="4"/>
      <c r="M28" s="4"/>
      <c r="N28" s="4"/>
      <c r="O28" s="4"/>
      <c r="P28" s="33"/>
      <c r="Q28" s="25">
        <v>0</v>
      </c>
      <c r="R28" s="25">
        <v>0</v>
      </c>
      <c r="S28" s="12">
        <f t="shared" si="0"/>
        <v>0</v>
      </c>
      <c r="T28" s="5">
        <v>0</v>
      </c>
      <c r="U28" s="12">
        <f t="shared" si="1"/>
        <v>0</v>
      </c>
      <c r="V28" s="25" t="s">
        <v>10</v>
      </c>
      <c r="W28" s="11">
        <f>IFERROR(VLOOKUP(V28,Curr!$B$2:$C$13,2,FALSE),0)</f>
        <v>11.2</v>
      </c>
      <c r="X28" s="12">
        <f t="shared" si="2"/>
        <v>0</v>
      </c>
      <c r="Y28" s="26">
        <f t="shared" si="3"/>
        <v>0</v>
      </c>
      <c r="Z28" s="12">
        <f t="shared" si="4"/>
        <v>0</v>
      </c>
      <c r="AA28" s="4" t="s">
        <v>10</v>
      </c>
      <c r="AB28" s="11">
        <f>IFERROR(VLOOKUP(AA28,Curr!$B$2:$C$13,2,FALSE),0)</f>
        <v>11.2</v>
      </c>
      <c r="AC28" s="12">
        <f t="shared" si="5"/>
        <v>0</v>
      </c>
      <c r="AD28" s="12">
        <f t="shared" si="6"/>
        <v>0</v>
      </c>
      <c r="AE28" s="13">
        <f t="shared" si="7"/>
        <v>0</v>
      </c>
    </row>
    <row r="29" spans="2:31" x14ac:dyDescent="0.25">
      <c r="B29" s="4"/>
      <c r="C29" s="1" t="s">
        <v>81</v>
      </c>
      <c r="D29" s="1" t="s">
        <v>82</v>
      </c>
      <c r="E29" s="3"/>
      <c r="F29" s="3"/>
      <c r="G29" s="24"/>
      <c r="H29" s="24"/>
      <c r="J29" s="1" t="s">
        <v>170</v>
      </c>
      <c r="K29" s="4"/>
      <c r="L29" s="4"/>
      <c r="M29" s="4"/>
      <c r="N29" s="4"/>
      <c r="O29" s="4"/>
      <c r="P29" s="29"/>
      <c r="Q29" s="25">
        <v>0</v>
      </c>
      <c r="R29" s="25">
        <v>0</v>
      </c>
      <c r="S29" s="12">
        <f t="shared" si="0"/>
        <v>0</v>
      </c>
      <c r="T29" s="5">
        <v>0</v>
      </c>
      <c r="U29" s="12">
        <f t="shared" si="1"/>
        <v>0</v>
      </c>
      <c r="V29" s="25" t="s">
        <v>10</v>
      </c>
      <c r="W29" s="11">
        <f>IFERROR(VLOOKUP(V29,Curr!$B$2:$C$13,2,FALSE),0)</f>
        <v>11.2</v>
      </c>
      <c r="X29" s="12">
        <f t="shared" si="2"/>
        <v>0</v>
      </c>
      <c r="Y29" s="26">
        <f t="shared" si="3"/>
        <v>0</v>
      </c>
      <c r="Z29" s="12">
        <f t="shared" si="4"/>
        <v>0</v>
      </c>
      <c r="AA29" s="4" t="s">
        <v>10</v>
      </c>
      <c r="AB29" s="11">
        <f>IFERROR(VLOOKUP(AA29,Curr!$B$2:$C$13,2,FALSE),0)</f>
        <v>11.2</v>
      </c>
      <c r="AC29" s="12">
        <f t="shared" si="5"/>
        <v>0</v>
      </c>
      <c r="AD29" s="12">
        <f t="shared" si="6"/>
        <v>0</v>
      </c>
      <c r="AE29" s="13">
        <f t="shared" si="7"/>
        <v>0</v>
      </c>
    </row>
    <row r="30" spans="2:31" x14ac:dyDescent="0.25">
      <c r="B30" s="4"/>
      <c r="E30" s="3"/>
      <c r="F30" s="3"/>
      <c r="G30" s="24"/>
      <c r="H30" s="24"/>
      <c r="K30" s="4"/>
      <c r="L30" s="4"/>
      <c r="M30" s="4"/>
      <c r="N30" s="4"/>
      <c r="O30" s="4"/>
      <c r="P30" s="33"/>
      <c r="Q30" s="25"/>
      <c r="R30" s="25"/>
      <c r="S30" s="12">
        <f t="shared" si="0"/>
        <v>0</v>
      </c>
      <c r="T30" s="5">
        <v>0</v>
      </c>
      <c r="U30" s="12">
        <f t="shared" si="1"/>
        <v>0</v>
      </c>
      <c r="V30" s="25" t="s">
        <v>10</v>
      </c>
      <c r="W30" s="11">
        <f>IFERROR(VLOOKUP(V30,Curr!$B$2:$C$13,2,FALSE),0)</f>
        <v>11.2</v>
      </c>
      <c r="X30" s="12">
        <f t="shared" si="2"/>
        <v>0</v>
      </c>
      <c r="Y30" s="26">
        <f t="shared" si="3"/>
        <v>0</v>
      </c>
      <c r="Z30" s="12">
        <f t="shared" si="4"/>
        <v>0</v>
      </c>
      <c r="AA30" s="4" t="s">
        <v>10</v>
      </c>
      <c r="AB30" s="11">
        <f>IFERROR(VLOOKUP(AA30,Curr!$B$2:$C$13,2,FALSE),0)</f>
        <v>11.2</v>
      </c>
      <c r="AC30" s="12">
        <f t="shared" si="5"/>
        <v>0</v>
      </c>
      <c r="AD30" s="12">
        <f t="shared" si="6"/>
        <v>0</v>
      </c>
      <c r="AE30" s="13">
        <f t="shared" si="7"/>
        <v>0</v>
      </c>
    </row>
    <row r="31" spans="2:31" x14ac:dyDescent="0.25">
      <c r="B31" s="4"/>
      <c r="E31" s="3"/>
      <c r="F31" s="3"/>
      <c r="G31" s="24"/>
      <c r="H31" s="24"/>
      <c r="K31" s="4"/>
      <c r="L31" s="4"/>
      <c r="M31" s="4"/>
      <c r="N31" s="4"/>
      <c r="O31" s="4"/>
      <c r="P31" s="33"/>
      <c r="Q31" s="25"/>
      <c r="R31" s="25"/>
      <c r="S31" s="12">
        <f t="shared" si="0"/>
        <v>0</v>
      </c>
      <c r="T31" s="5">
        <v>0</v>
      </c>
      <c r="U31" s="12">
        <f t="shared" si="1"/>
        <v>0</v>
      </c>
      <c r="V31" s="25" t="s">
        <v>10</v>
      </c>
      <c r="W31" s="11">
        <f>IFERROR(VLOOKUP(V31,Curr!$B$2:$C$13,2,FALSE),0)</f>
        <v>11.2</v>
      </c>
      <c r="X31" s="12">
        <f t="shared" si="2"/>
        <v>0</v>
      </c>
      <c r="Y31" s="26">
        <f t="shared" si="3"/>
        <v>0</v>
      </c>
      <c r="Z31" s="12">
        <f t="shared" si="4"/>
        <v>0</v>
      </c>
      <c r="AA31" s="4" t="s">
        <v>10</v>
      </c>
      <c r="AB31" s="11">
        <f>IFERROR(VLOOKUP(AA31,Curr!$B$2:$C$13,2,FALSE),0)</f>
        <v>11.2</v>
      </c>
      <c r="AC31" s="12">
        <f t="shared" si="5"/>
        <v>0</v>
      </c>
      <c r="AD31" s="12">
        <f t="shared" si="6"/>
        <v>0</v>
      </c>
      <c r="AE31" s="13">
        <f t="shared" si="7"/>
        <v>0</v>
      </c>
    </row>
    <row r="32" spans="2:31" x14ac:dyDescent="0.25">
      <c r="B32" s="4"/>
      <c r="C32" s="1" t="s">
        <v>55</v>
      </c>
      <c r="D32" s="1" t="s">
        <v>93</v>
      </c>
      <c r="E32" s="3"/>
      <c r="F32" s="3"/>
      <c r="G32" s="24"/>
      <c r="H32" s="24"/>
      <c r="J32" s="1" t="s">
        <v>95</v>
      </c>
      <c r="K32" s="4"/>
      <c r="L32" s="4"/>
      <c r="M32" s="4"/>
      <c r="N32" s="4"/>
      <c r="O32" s="4"/>
      <c r="P32" s="33"/>
      <c r="Q32" s="25">
        <v>1790</v>
      </c>
      <c r="R32" s="25">
        <v>0</v>
      </c>
      <c r="S32" s="12">
        <f t="shared" si="0"/>
        <v>0</v>
      </c>
      <c r="T32" s="5">
        <v>0</v>
      </c>
      <c r="U32" s="12">
        <f t="shared" si="1"/>
        <v>0</v>
      </c>
      <c r="V32" s="25" t="s">
        <v>8</v>
      </c>
      <c r="W32" s="11">
        <f>IFERROR(VLOOKUP(V32,Curr!$B$2:$C$13,2,FALSE),0)</f>
        <v>1</v>
      </c>
      <c r="X32" s="12">
        <f t="shared" si="2"/>
        <v>0</v>
      </c>
      <c r="Y32" s="26">
        <f>Q32/11/0.8</f>
        <v>203.40909090909088</v>
      </c>
      <c r="Z32" s="12">
        <f t="shared" si="4"/>
        <v>0</v>
      </c>
      <c r="AA32" s="4" t="s">
        <v>10</v>
      </c>
      <c r="AB32" s="11">
        <f>IFERROR(VLOOKUP(AA32,Curr!$B$2:$C$13,2,FALSE),0)</f>
        <v>11.2</v>
      </c>
      <c r="AC32" s="12">
        <f t="shared" si="5"/>
        <v>0</v>
      </c>
      <c r="AD32" s="12">
        <f t="shared" si="6"/>
        <v>0</v>
      </c>
      <c r="AE32" s="13">
        <f t="shared" si="7"/>
        <v>0</v>
      </c>
    </row>
    <row r="33" spans="2:36" x14ac:dyDescent="0.25">
      <c r="B33" s="4"/>
      <c r="C33" s="1" t="s">
        <v>63</v>
      </c>
      <c r="D33" s="1" t="s">
        <v>93</v>
      </c>
      <c r="E33" s="3"/>
      <c r="F33" s="3"/>
      <c r="G33" s="24"/>
      <c r="H33" s="24"/>
      <c r="J33" s="1" t="s">
        <v>196</v>
      </c>
      <c r="K33" s="4"/>
      <c r="L33" s="4"/>
      <c r="M33" s="4"/>
      <c r="N33" s="4"/>
      <c r="O33" s="4"/>
      <c r="P33" s="33"/>
      <c r="Q33" s="25">
        <v>1790</v>
      </c>
      <c r="R33" s="25">
        <v>0</v>
      </c>
      <c r="S33" s="12">
        <f t="shared" si="0"/>
        <v>0</v>
      </c>
      <c r="T33" s="5">
        <v>0</v>
      </c>
      <c r="U33" s="12">
        <f t="shared" si="1"/>
        <v>0</v>
      </c>
      <c r="V33" s="25" t="s">
        <v>8</v>
      </c>
      <c r="W33" s="11">
        <f>IFERROR(VLOOKUP(V33,Curr!$B$2:$C$13,2,FALSE),0)</f>
        <v>1</v>
      </c>
      <c r="X33" s="12">
        <f t="shared" si="2"/>
        <v>0</v>
      </c>
      <c r="Y33" s="26">
        <f t="shared" ref="Y33:Y35" si="8">Q33/11/0.8</f>
        <v>203.40909090909088</v>
      </c>
      <c r="Z33" s="12">
        <f t="shared" si="4"/>
        <v>0</v>
      </c>
      <c r="AA33" s="4" t="s">
        <v>10</v>
      </c>
      <c r="AB33" s="11">
        <f>IFERROR(VLOOKUP(AA33,Curr!$B$2:$C$13,2,FALSE),0)</f>
        <v>11.2</v>
      </c>
      <c r="AC33" s="12">
        <f t="shared" si="5"/>
        <v>0</v>
      </c>
      <c r="AD33" s="12">
        <f t="shared" si="6"/>
        <v>0</v>
      </c>
      <c r="AE33" s="13">
        <f t="shared" si="7"/>
        <v>0</v>
      </c>
    </row>
    <row r="34" spans="2:36" x14ac:dyDescent="0.25">
      <c r="B34" s="4"/>
      <c r="C34" s="1" t="s">
        <v>78</v>
      </c>
      <c r="D34" s="1" t="s">
        <v>93</v>
      </c>
      <c r="E34" s="3"/>
      <c r="F34" s="3"/>
      <c r="G34" s="24"/>
      <c r="H34" s="24"/>
      <c r="J34" s="1" t="s">
        <v>179</v>
      </c>
      <c r="K34" s="4"/>
      <c r="L34" s="4"/>
      <c r="M34" s="4"/>
      <c r="N34" s="4"/>
      <c r="O34" s="4"/>
      <c r="P34" s="33"/>
      <c r="Q34" s="25">
        <v>900</v>
      </c>
      <c r="R34" s="25">
        <v>0</v>
      </c>
      <c r="S34" s="12">
        <f t="shared" si="0"/>
        <v>0</v>
      </c>
      <c r="T34" s="5">
        <v>0</v>
      </c>
      <c r="U34" s="12">
        <f t="shared" si="1"/>
        <v>0</v>
      </c>
      <c r="V34" s="25" t="s">
        <v>8</v>
      </c>
      <c r="W34" s="11">
        <f>IFERROR(VLOOKUP(V34,Curr!$B$2:$C$13,2,FALSE),0)</f>
        <v>1</v>
      </c>
      <c r="X34" s="12">
        <f t="shared" si="2"/>
        <v>0</v>
      </c>
      <c r="Y34" s="26">
        <f t="shared" si="8"/>
        <v>102.27272727272727</v>
      </c>
      <c r="Z34" s="12">
        <f t="shared" si="4"/>
        <v>0</v>
      </c>
      <c r="AA34" s="4" t="s">
        <v>10</v>
      </c>
      <c r="AB34" s="11">
        <f>IFERROR(VLOOKUP(AA34,Curr!$B$2:$C$13,2,FALSE),0)</f>
        <v>11.2</v>
      </c>
      <c r="AC34" s="12">
        <f t="shared" si="5"/>
        <v>0</v>
      </c>
      <c r="AD34" s="12">
        <f t="shared" si="6"/>
        <v>0</v>
      </c>
      <c r="AE34" s="13">
        <f t="shared" si="7"/>
        <v>0</v>
      </c>
    </row>
    <row r="35" spans="2:36" x14ac:dyDescent="0.25">
      <c r="B35" s="4"/>
      <c r="C35" s="1" t="s">
        <v>81</v>
      </c>
      <c r="D35" s="1" t="s">
        <v>93</v>
      </c>
      <c r="E35" s="3"/>
      <c r="F35" s="3"/>
      <c r="G35" s="24"/>
      <c r="H35" s="24"/>
      <c r="J35" s="1" t="s">
        <v>180</v>
      </c>
      <c r="K35" s="4"/>
      <c r="L35" s="4"/>
      <c r="M35" s="4"/>
      <c r="N35" s="4"/>
      <c r="O35" s="4"/>
      <c r="P35" s="33"/>
      <c r="Q35" s="25">
        <v>900</v>
      </c>
      <c r="R35" s="25">
        <v>0</v>
      </c>
      <c r="S35" s="12">
        <f t="shared" si="0"/>
        <v>0</v>
      </c>
      <c r="T35" s="5">
        <v>0</v>
      </c>
      <c r="U35" s="12">
        <f t="shared" si="1"/>
        <v>0</v>
      </c>
      <c r="V35" s="25" t="s">
        <v>8</v>
      </c>
      <c r="W35" s="11">
        <f>IFERROR(VLOOKUP(V35,Curr!$B$2:$C$13,2,FALSE),0)</f>
        <v>1</v>
      </c>
      <c r="X35" s="12">
        <f t="shared" si="2"/>
        <v>0</v>
      </c>
      <c r="Y35" s="26">
        <f t="shared" si="8"/>
        <v>102.27272727272727</v>
      </c>
      <c r="Z35" s="12">
        <f t="shared" si="4"/>
        <v>0</v>
      </c>
      <c r="AA35" s="4" t="s">
        <v>10</v>
      </c>
      <c r="AB35" s="11">
        <f>IFERROR(VLOOKUP(AA35,Curr!$B$2:$C$13,2,FALSE),0)</f>
        <v>11.2</v>
      </c>
      <c r="AC35" s="12">
        <f t="shared" si="5"/>
        <v>0</v>
      </c>
      <c r="AD35" s="12">
        <f t="shared" si="6"/>
        <v>0</v>
      </c>
      <c r="AE35" s="13">
        <f t="shared" si="7"/>
        <v>0</v>
      </c>
    </row>
    <row r="36" spans="2:36" x14ac:dyDescent="0.25">
      <c r="B36" s="4"/>
      <c r="E36" s="3"/>
      <c r="F36" s="3"/>
      <c r="G36" s="24"/>
      <c r="H36" s="24"/>
      <c r="K36" s="4"/>
      <c r="L36" s="4"/>
      <c r="M36" s="4"/>
      <c r="N36" s="4"/>
      <c r="O36" s="4"/>
      <c r="P36" s="33"/>
      <c r="Q36" s="25"/>
      <c r="R36" s="25"/>
      <c r="S36" s="12">
        <f t="shared" si="0"/>
        <v>0</v>
      </c>
      <c r="T36" s="5">
        <v>0</v>
      </c>
      <c r="U36" s="12">
        <f t="shared" si="1"/>
        <v>0</v>
      </c>
      <c r="V36" s="25" t="s">
        <v>10</v>
      </c>
      <c r="W36" s="11">
        <f>IFERROR(VLOOKUP(V36,Curr!$B$2:$C$13,2,FALSE),0)</f>
        <v>11.2</v>
      </c>
      <c r="X36" s="12">
        <f t="shared" si="2"/>
        <v>0</v>
      </c>
      <c r="Y36" s="26">
        <f t="shared" si="3"/>
        <v>0</v>
      </c>
      <c r="Z36" s="12">
        <f t="shared" si="4"/>
        <v>0</v>
      </c>
      <c r="AA36" s="4" t="s">
        <v>10</v>
      </c>
      <c r="AB36" s="11">
        <f>IFERROR(VLOOKUP(AA36,Curr!$B$2:$C$13,2,FALSE),0)</f>
        <v>11.2</v>
      </c>
      <c r="AC36" s="12">
        <f t="shared" si="5"/>
        <v>0</v>
      </c>
      <c r="AD36" s="12">
        <f t="shared" si="6"/>
        <v>0</v>
      </c>
      <c r="AE36" s="13">
        <f t="shared" si="7"/>
        <v>0</v>
      </c>
    </row>
    <row r="37" spans="2:36" x14ac:dyDescent="0.25">
      <c r="B37" s="4"/>
      <c r="E37" s="3"/>
      <c r="F37" s="3"/>
      <c r="G37" s="24"/>
      <c r="H37" s="24"/>
      <c r="K37" s="4"/>
      <c r="L37" s="4"/>
      <c r="M37" s="4"/>
      <c r="N37" s="4"/>
      <c r="O37" s="4"/>
      <c r="P37" s="33"/>
      <c r="Q37" s="25"/>
      <c r="R37" s="25"/>
      <c r="S37" s="12">
        <f t="shared" si="0"/>
        <v>0</v>
      </c>
      <c r="T37" s="5">
        <v>0</v>
      </c>
      <c r="U37" s="12">
        <f t="shared" si="1"/>
        <v>0</v>
      </c>
      <c r="V37" s="25" t="s">
        <v>10</v>
      </c>
      <c r="W37" s="11">
        <f>IFERROR(VLOOKUP(V37,Curr!$B$2:$C$13,2,FALSE),0)</f>
        <v>11.2</v>
      </c>
      <c r="X37" s="12">
        <f t="shared" si="2"/>
        <v>0</v>
      </c>
      <c r="Y37" s="26">
        <f t="shared" si="3"/>
        <v>0</v>
      </c>
      <c r="Z37" s="12">
        <f t="shared" si="4"/>
        <v>0</v>
      </c>
      <c r="AA37" s="4" t="s">
        <v>10</v>
      </c>
      <c r="AB37" s="11">
        <f>IFERROR(VLOOKUP(AA37,Curr!$B$2:$C$13,2,FALSE),0)</f>
        <v>11.2</v>
      </c>
      <c r="AC37" s="12">
        <f t="shared" si="5"/>
        <v>0</v>
      </c>
      <c r="AD37" s="12">
        <f t="shared" si="6"/>
        <v>0</v>
      </c>
      <c r="AE37" s="13">
        <f t="shared" si="7"/>
        <v>0</v>
      </c>
    </row>
    <row r="38" spans="2:36" x14ac:dyDescent="0.25">
      <c r="B38" s="4"/>
      <c r="E38" s="3"/>
      <c r="F38" s="3"/>
      <c r="G38" s="24"/>
      <c r="H38" s="24"/>
      <c r="K38" s="4"/>
      <c r="L38" s="4"/>
      <c r="M38" s="4"/>
      <c r="N38" s="4"/>
      <c r="O38" s="4"/>
      <c r="P38" s="27"/>
      <c r="Q38" s="25"/>
      <c r="R38" s="25"/>
      <c r="S38" s="12">
        <f t="shared" si="0"/>
        <v>0</v>
      </c>
      <c r="T38" s="5">
        <v>0</v>
      </c>
      <c r="U38" s="12">
        <f t="shared" si="1"/>
        <v>0</v>
      </c>
      <c r="V38" s="25" t="s">
        <v>10</v>
      </c>
      <c r="W38" s="11">
        <f>IFERROR(VLOOKUP(V38,Curr!$B$2:$C$13,2,FALSE),0)</f>
        <v>11.2</v>
      </c>
      <c r="X38" s="12">
        <f t="shared" si="2"/>
        <v>0</v>
      </c>
      <c r="Y38" s="26">
        <f t="shared" si="3"/>
        <v>0</v>
      </c>
      <c r="Z38" s="12">
        <f t="shared" si="4"/>
        <v>0</v>
      </c>
      <c r="AA38" s="4" t="s">
        <v>10</v>
      </c>
      <c r="AB38" s="11">
        <f>IFERROR(VLOOKUP(AA38,Curr!$B$2:$C$13,2,FALSE),0)</f>
        <v>11.2</v>
      </c>
      <c r="AC38" s="12">
        <f t="shared" si="5"/>
        <v>0</v>
      </c>
      <c r="AD38" s="12">
        <f t="shared" si="6"/>
        <v>0</v>
      </c>
      <c r="AE38" s="13">
        <f t="shared" si="7"/>
        <v>0</v>
      </c>
    </row>
    <row r="39" spans="2:36" x14ac:dyDescent="0.25">
      <c r="B39" s="4"/>
      <c r="E39" s="3"/>
      <c r="F39" s="3"/>
      <c r="G39" s="24"/>
      <c r="H39" s="24"/>
      <c r="K39" s="4"/>
      <c r="L39" s="4"/>
      <c r="M39" s="4"/>
      <c r="N39" s="4"/>
      <c r="O39" s="4"/>
      <c r="P39" s="33"/>
      <c r="Q39" s="25"/>
      <c r="R39" s="25"/>
      <c r="S39" s="12">
        <f t="shared" si="0"/>
        <v>0</v>
      </c>
      <c r="T39" s="5">
        <v>0</v>
      </c>
      <c r="U39" s="12">
        <f t="shared" si="1"/>
        <v>0</v>
      </c>
      <c r="V39" s="25" t="s">
        <v>10</v>
      </c>
      <c r="W39" s="11">
        <f>IFERROR(VLOOKUP(V39,Curr!$B$2:$C$13,2,FALSE),0)</f>
        <v>11.2</v>
      </c>
      <c r="X39" s="12">
        <f t="shared" si="2"/>
        <v>0</v>
      </c>
      <c r="Y39" s="26">
        <f t="shared" si="3"/>
        <v>0</v>
      </c>
      <c r="Z39" s="12">
        <f t="shared" si="4"/>
        <v>0</v>
      </c>
      <c r="AA39" s="4" t="s">
        <v>10</v>
      </c>
      <c r="AB39" s="11">
        <f>IFERROR(VLOOKUP(AA39,Curr!$B$2:$C$13,2,FALSE),0)</f>
        <v>11.2</v>
      </c>
      <c r="AC39" s="12">
        <f t="shared" si="5"/>
        <v>0</v>
      </c>
      <c r="AD39" s="12">
        <f t="shared" si="6"/>
        <v>0</v>
      </c>
      <c r="AE39" s="13">
        <f t="shared" si="7"/>
        <v>0</v>
      </c>
    </row>
    <row r="40" spans="2:36" x14ac:dyDescent="0.25">
      <c r="B40" s="4"/>
      <c r="E40" s="3"/>
      <c r="F40" s="3"/>
      <c r="G40" s="24"/>
      <c r="H40" s="24"/>
      <c r="K40" s="4"/>
      <c r="L40" s="4"/>
      <c r="M40" s="4"/>
      <c r="N40" s="4"/>
      <c r="O40" s="4"/>
      <c r="P40" s="33"/>
      <c r="Q40" s="25"/>
      <c r="R40" s="25"/>
      <c r="S40" s="12">
        <f t="shared" si="0"/>
        <v>0</v>
      </c>
      <c r="T40" s="5">
        <v>0</v>
      </c>
      <c r="U40" s="12">
        <f t="shared" si="1"/>
        <v>0</v>
      </c>
      <c r="V40" s="25" t="s">
        <v>10</v>
      </c>
      <c r="W40" s="11">
        <f>IFERROR(VLOOKUP(V40,Curr!$B$2:$C$13,2,FALSE),0)</f>
        <v>11.2</v>
      </c>
      <c r="X40" s="12">
        <f t="shared" si="2"/>
        <v>0</v>
      </c>
      <c r="Y40" s="26">
        <f t="shared" si="3"/>
        <v>0</v>
      </c>
      <c r="Z40" s="12">
        <f t="shared" si="4"/>
        <v>0</v>
      </c>
      <c r="AA40" s="4" t="s">
        <v>10</v>
      </c>
      <c r="AB40" s="11">
        <f>IFERROR(VLOOKUP(AA40,Curr!$B$2:$C$13,2,FALSE),0)</f>
        <v>11.2</v>
      </c>
      <c r="AC40" s="12">
        <f t="shared" si="5"/>
        <v>0</v>
      </c>
      <c r="AD40" s="12">
        <f t="shared" si="6"/>
        <v>0</v>
      </c>
      <c r="AE40" s="13">
        <f t="shared" si="7"/>
        <v>0</v>
      </c>
    </row>
    <row r="41" spans="2:36" x14ac:dyDescent="0.25">
      <c r="B41" s="4"/>
      <c r="E41" s="3"/>
      <c r="F41" s="3"/>
      <c r="G41" s="24"/>
      <c r="H41" s="24"/>
      <c r="K41" s="4"/>
      <c r="L41" s="4"/>
      <c r="M41" s="4"/>
      <c r="N41" s="4"/>
      <c r="O41" s="4"/>
      <c r="P41" s="27"/>
      <c r="Q41" s="25"/>
      <c r="R41" s="25"/>
      <c r="S41" s="12">
        <f t="shared" si="0"/>
        <v>0</v>
      </c>
      <c r="T41" s="5">
        <v>0</v>
      </c>
      <c r="U41" s="12">
        <f t="shared" si="1"/>
        <v>0</v>
      </c>
      <c r="V41" s="25" t="s">
        <v>10</v>
      </c>
      <c r="W41" s="11">
        <f>IFERROR(VLOOKUP(V41,Curr!$B$2:$C$13,2,FALSE),0)</f>
        <v>11.2</v>
      </c>
      <c r="X41" s="12">
        <f t="shared" si="2"/>
        <v>0</v>
      </c>
      <c r="Y41" s="26">
        <f t="shared" si="3"/>
        <v>0</v>
      </c>
      <c r="Z41" s="12">
        <f t="shared" si="4"/>
        <v>0</v>
      </c>
      <c r="AA41" s="4" t="s">
        <v>10</v>
      </c>
      <c r="AB41" s="11">
        <f>IFERROR(VLOOKUP(AA41,Curr!$B$2:$C$13,2,FALSE),0)</f>
        <v>11.2</v>
      </c>
      <c r="AC41" s="12">
        <f t="shared" si="5"/>
        <v>0</v>
      </c>
      <c r="AD41" s="12">
        <f t="shared" si="6"/>
        <v>0</v>
      </c>
      <c r="AE41" s="13">
        <f t="shared" si="7"/>
        <v>0</v>
      </c>
    </row>
    <row r="42" spans="2:36" x14ac:dyDescent="0.25">
      <c r="B42" s="4"/>
      <c r="E42" s="3"/>
      <c r="F42" s="3"/>
      <c r="G42" s="24"/>
      <c r="H42" s="24"/>
      <c r="K42" s="4"/>
      <c r="L42" s="4"/>
      <c r="M42" s="4"/>
      <c r="N42" s="4"/>
      <c r="O42" s="4"/>
      <c r="P42" s="27"/>
      <c r="Q42" s="25"/>
      <c r="R42" s="25"/>
      <c r="S42" s="12">
        <f t="shared" si="0"/>
        <v>0</v>
      </c>
      <c r="T42" s="5">
        <v>0</v>
      </c>
      <c r="U42" s="12">
        <f t="shared" si="1"/>
        <v>0</v>
      </c>
      <c r="V42" s="25" t="s">
        <v>10</v>
      </c>
      <c r="W42" s="11">
        <f>IFERROR(VLOOKUP(V42,Curr!$B$2:$C$13,2,FALSE),0)</f>
        <v>11.2</v>
      </c>
      <c r="X42" s="12">
        <f t="shared" si="2"/>
        <v>0</v>
      </c>
      <c r="Y42" s="26">
        <f t="shared" si="3"/>
        <v>0</v>
      </c>
      <c r="Z42" s="12">
        <f t="shared" si="4"/>
        <v>0</v>
      </c>
      <c r="AA42" s="4" t="s">
        <v>10</v>
      </c>
      <c r="AB42" s="11">
        <f>IFERROR(VLOOKUP(AA42,Curr!$B$2:$C$13,2,FALSE),0)</f>
        <v>11.2</v>
      </c>
      <c r="AC42" s="12">
        <f t="shared" si="5"/>
        <v>0</v>
      </c>
      <c r="AD42" s="12">
        <f t="shared" si="6"/>
        <v>0</v>
      </c>
      <c r="AE42" s="13">
        <f t="shared" si="7"/>
        <v>0</v>
      </c>
    </row>
    <row r="43" spans="2:36" x14ac:dyDescent="0.25">
      <c r="B43" s="4"/>
      <c r="E43" s="3"/>
      <c r="F43" s="3"/>
      <c r="G43" s="24"/>
      <c r="H43" s="24"/>
      <c r="K43" s="4"/>
      <c r="L43" s="4"/>
      <c r="M43" s="4"/>
      <c r="N43" s="4"/>
      <c r="O43" s="4"/>
      <c r="P43" s="27"/>
      <c r="Q43" s="25"/>
      <c r="R43" s="25"/>
      <c r="S43" s="12">
        <f t="shared" si="0"/>
        <v>0</v>
      </c>
      <c r="T43" s="5">
        <v>0</v>
      </c>
      <c r="U43" s="12">
        <f t="shared" si="1"/>
        <v>0</v>
      </c>
      <c r="V43" s="25" t="s">
        <v>10</v>
      </c>
      <c r="W43" s="11">
        <f>IFERROR(VLOOKUP(V43,Curr!$B$2:$C$13,2,FALSE),0)</f>
        <v>11.2</v>
      </c>
      <c r="X43" s="12">
        <f t="shared" si="2"/>
        <v>0</v>
      </c>
      <c r="Y43" s="26">
        <f t="shared" si="3"/>
        <v>0</v>
      </c>
      <c r="Z43" s="12">
        <f t="shared" si="4"/>
        <v>0</v>
      </c>
      <c r="AA43" s="4" t="s">
        <v>10</v>
      </c>
      <c r="AB43" s="11">
        <f>IFERROR(VLOOKUP(AA43,Curr!$B$2:$C$13,2,FALSE),0)</f>
        <v>11.2</v>
      </c>
      <c r="AC43" s="12">
        <f t="shared" si="5"/>
        <v>0</v>
      </c>
      <c r="AD43" s="12">
        <f t="shared" si="6"/>
        <v>0</v>
      </c>
      <c r="AE43" s="13">
        <f t="shared" si="7"/>
        <v>0</v>
      </c>
    </row>
    <row r="44" spans="2:36" x14ac:dyDescent="0.25">
      <c r="B44" s="4"/>
      <c r="E44" s="3"/>
      <c r="F44" s="3"/>
      <c r="G44" s="24"/>
      <c r="H44" s="24"/>
      <c r="K44" s="4"/>
      <c r="L44" s="4"/>
      <c r="M44" s="4"/>
      <c r="N44" s="4"/>
      <c r="O44" s="4"/>
      <c r="P44" s="33"/>
      <c r="Q44" s="25"/>
      <c r="R44" s="25"/>
      <c r="S44" s="12">
        <f t="shared" si="0"/>
        <v>0</v>
      </c>
      <c r="T44" s="5">
        <v>0</v>
      </c>
      <c r="U44" s="12">
        <f t="shared" si="1"/>
        <v>0</v>
      </c>
      <c r="V44" s="25" t="s">
        <v>10</v>
      </c>
      <c r="W44" s="11">
        <f>IFERROR(VLOOKUP(V44,Curr!$B$2:$C$13,2,FALSE),0)</f>
        <v>11.2</v>
      </c>
      <c r="X44" s="12">
        <f t="shared" si="2"/>
        <v>0</v>
      </c>
      <c r="Y44" s="26">
        <f t="shared" si="3"/>
        <v>0</v>
      </c>
      <c r="Z44" s="12">
        <f t="shared" si="4"/>
        <v>0</v>
      </c>
      <c r="AA44" s="4" t="s">
        <v>10</v>
      </c>
      <c r="AB44" s="11">
        <f>IFERROR(VLOOKUP(AA44,Curr!$B$2:$C$13,2,FALSE),0)</f>
        <v>11.2</v>
      </c>
      <c r="AC44" s="12">
        <f t="shared" si="5"/>
        <v>0</v>
      </c>
      <c r="AD44" s="12">
        <f t="shared" si="6"/>
        <v>0</v>
      </c>
      <c r="AE44" s="13">
        <f t="shared" si="7"/>
        <v>0</v>
      </c>
    </row>
    <row r="45" spans="2:36" x14ac:dyDescent="0.25">
      <c r="B45" s="4"/>
      <c r="E45" s="3"/>
      <c r="F45" s="3"/>
      <c r="G45" s="24"/>
      <c r="H45" s="24"/>
      <c r="K45" s="4"/>
      <c r="L45" s="4"/>
      <c r="M45" s="4"/>
      <c r="N45" s="4"/>
      <c r="O45" s="4"/>
      <c r="P45" s="27"/>
      <c r="Q45" s="25"/>
      <c r="R45" s="25"/>
      <c r="S45" s="12">
        <f t="shared" si="0"/>
        <v>0</v>
      </c>
      <c r="T45" s="5">
        <v>0</v>
      </c>
      <c r="U45" s="12">
        <f t="shared" si="1"/>
        <v>0</v>
      </c>
      <c r="V45" s="25" t="s">
        <v>10</v>
      </c>
      <c r="W45" s="11">
        <f>IFERROR(VLOOKUP(V45,Curr!$B$2:$C$13,2,FALSE),0)</f>
        <v>11.2</v>
      </c>
      <c r="X45" s="12">
        <f t="shared" si="2"/>
        <v>0</v>
      </c>
      <c r="Y45" s="26">
        <f t="shared" si="3"/>
        <v>0</v>
      </c>
      <c r="Z45" s="12">
        <f t="shared" si="4"/>
        <v>0</v>
      </c>
      <c r="AA45" s="4" t="s">
        <v>10</v>
      </c>
      <c r="AB45" s="11">
        <f>IFERROR(VLOOKUP(AA45,Curr!$B$2:$C$13,2,FALSE),0)</f>
        <v>11.2</v>
      </c>
      <c r="AC45" s="12">
        <f t="shared" si="5"/>
        <v>0</v>
      </c>
      <c r="AD45" s="12">
        <f t="shared" si="6"/>
        <v>0</v>
      </c>
      <c r="AE45" s="13">
        <f t="shared" si="7"/>
        <v>0</v>
      </c>
    </row>
    <row r="46" spans="2:36" x14ac:dyDescent="0.25">
      <c r="B46" s="4"/>
      <c r="E46" s="3"/>
      <c r="F46" s="3"/>
      <c r="G46" s="3"/>
      <c r="H46" s="3"/>
      <c r="L46" s="4"/>
      <c r="M46" s="4"/>
      <c r="N46" s="4"/>
      <c r="O46" s="4"/>
      <c r="P46" s="22"/>
      <c r="Q46" s="4"/>
      <c r="R46" s="4"/>
      <c r="S46" s="4"/>
      <c r="T46" s="4"/>
      <c r="U46" s="4"/>
      <c r="V46" s="4"/>
      <c r="W46" s="4"/>
      <c r="X46" s="4"/>
      <c r="Y46" s="4"/>
      <c r="Z46" s="4"/>
      <c r="AA46" s="4"/>
      <c r="AB46" s="4"/>
      <c r="AC46" s="4"/>
      <c r="AD46" s="4"/>
      <c r="AE46" s="4"/>
      <c r="AF46" s="4"/>
    </row>
    <row r="47" spans="2:36" x14ac:dyDescent="0.25">
      <c r="B47" s="14" t="s">
        <v>18</v>
      </c>
      <c r="C47" s="14"/>
      <c r="D47" s="28" t="s">
        <v>42</v>
      </c>
      <c r="E47" s="30" t="s">
        <v>42</v>
      </c>
      <c r="F47" s="30" t="s">
        <v>42</v>
      </c>
      <c r="G47" s="30" t="s">
        <v>42</v>
      </c>
      <c r="H47" s="30" t="s">
        <v>42</v>
      </c>
      <c r="I47" s="28" t="s">
        <v>42</v>
      </c>
      <c r="J47" s="28" t="s">
        <v>42</v>
      </c>
      <c r="K47" s="28" t="s">
        <v>42</v>
      </c>
      <c r="L47" s="28" t="s">
        <v>42</v>
      </c>
      <c r="M47" s="28" t="s">
        <v>42</v>
      </c>
      <c r="N47" s="28" t="s">
        <v>42</v>
      </c>
      <c r="O47" s="28" t="s">
        <v>42</v>
      </c>
      <c r="P47" s="28" t="s">
        <v>42</v>
      </c>
      <c r="Q47" s="31" t="s">
        <v>42</v>
      </c>
      <c r="R47" s="28" t="s">
        <v>42</v>
      </c>
      <c r="S47" s="32" t="s">
        <v>42</v>
      </c>
      <c r="T47" s="28" t="s">
        <v>42</v>
      </c>
      <c r="U47" s="32" t="s">
        <v>42</v>
      </c>
      <c r="V47" s="28" t="s">
        <v>42</v>
      </c>
      <c r="W47" s="28" t="s">
        <v>42</v>
      </c>
      <c r="X47" s="32" t="s">
        <v>42</v>
      </c>
      <c r="Y47" s="32" t="s">
        <v>42</v>
      </c>
      <c r="Z47" s="15">
        <f>SUM(Z7:Z45)</f>
        <v>5105.4786096256685</v>
      </c>
      <c r="AA47" s="14"/>
      <c r="AB47" s="14"/>
      <c r="AC47" s="15">
        <f>SUM(AC7:AC45)</f>
        <v>57181.360427807493</v>
      </c>
      <c r="AD47" s="15">
        <f>SUM(AD7:AD45)</f>
        <v>9668.0804278074829</v>
      </c>
      <c r="AE47" s="21">
        <f t="shared" ref="AE47" si="9">IFERROR(AD47/AC47,0)</f>
        <v>0.16907748181356425</v>
      </c>
      <c r="AF47" s="15">
        <f>SUM(AF8:AF46)</f>
        <v>0</v>
      </c>
      <c r="AG47" s="15">
        <f>SUM(AG8:AG46)</f>
        <v>0</v>
      </c>
      <c r="AH47" s="15">
        <f>SUM(AH8:AH46)</f>
        <v>0</v>
      </c>
      <c r="AI47" s="15">
        <f>SUM(AI8:AI46)</f>
        <v>0</v>
      </c>
      <c r="AJ47" s="15">
        <f>SUM(AJ8:AJ46)</f>
        <v>0</v>
      </c>
    </row>
    <row r="48" spans="2:36" x14ac:dyDescent="0.25">
      <c r="B48" s="4"/>
      <c r="E48" s="3"/>
      <c r="F48" s="3"/>
      <c r="G48" s="3"/>
      <c r="H48" s="3"/>
      <c r="L48" s="4"/>
      <c r="M48" s="4"/>
      <c r="N48" s="4"/>
      <c r="O48" s="4"/>
      <c r="Q48" s="4"/>
      <c r="R48" s="4"/>
      <c r="S48" s="4"/>
      <c r="T48" s="4"/>
      <c r="U48" s="4"/>
      <c r="V48" s="4"/>
      <c r="W48" s="4"/>
      <c r="X48" s="4"/>
      <c r="Y48" s="9"/>
      <c r="Z48" s="9"/>
      <c r="AA48" s="9"/>
      <c r="AB48" s="9"/>
      <c r="AC48" s="9"/>
      <c r="AD48" s="9"/>
      <c r="AE48" s="9"/>
    </row>
    <row r="49" spans="2:32" x14ac:dyDescent="0.25">
      <c r="B49" s="4"/>
      <c r="E49" s="3"/>
      <c r="F49" s="3"/>
      <c r="G49" s="3"/>
      <c r="H49" s="3"/>
      <c r="L49" s="4"/>
      <c r="M49" s="4"/>
      <c r="N49" s="4"/>
      <c r="O49" s="4"/>
      <c r="Q49" s="9"/>
      <c r="R49" s="9"/>
      <c r="S49" s="9"/>
      <c r="T49" s="9"/>
      <c r="U49" s="9"/>
      <c r="V49" s="9"/>
      <c r="W49" s="9"/>
      <c r="X49" s="23"/>
      <c r="Y49" s="34" t="s">
        <v>102</v>
      </c>
      <c r="Z49" s="34"/>
      <c r="AA49" s="9"/>
      <c r="AB49" s="9"/>
      <c r="AC49" s="9"/>
      <c r="AD49" s="9"/>
      <c r="AE49" s="9"/>
    </row>
    <row r="50" spans="2:32" x14ac:dyDescent="0.25">
      <c r="B50" s="4"/>
      <c r="E50" s="3"/>
      <c r="F50" s="3"/>
      <c r="G50" s="3"/>
      <c r="H50" s="3"/>
      <c r="L50" s="4"/>
      <c r="M50" s="4"/>
      <c r="N50" s="4"/>
      <c r="O50" s="4"/>
      <c r="Q50" s="9"/>
      <c r="R50" s="9"/>
      <c r="S50" s="9"/>
      <c r="T50" s="9"/>
      <c r="U50" s="9"/>
      <c r="V50" s="9"/>
      <c r="W50" s="9"/>
      <c r="X50" s="9"/>
      <c r="Y50" s="35" t="s">
        <v>103</v>
      </c>
      <c r="Z50" s="34"/>
      <c r="AA50" s="9"/>
      <c r="AB50" s="9"/>
      <c r="AC50" s="9"/>
      <c r="AD50" s="9"/>
      <c r="AE50" s="9"/>
      <c r="AF50" s="18"/>
    </row>
    <row r="51" spans="2:32" x14ac:dyDescent="0.25">
      <c r="B51" s="4"/>
      <c r="E51" s="3"/>
      <c r="F51" s="3"/>
      <c r="G51" s="3"/>
      <c r="H51" s="3"/>
      <c r="I51" s="19"/>
      <c r="L51" s="4"/>
      <c r="M51" s="4"/>
      <c r="N51" s="4"/>
      <c r="O51" s="20"/>
      <c r="Q51" s="20"/>
      <c r="R51" s="20"/>
      <c r="S51" s="20"/>
      <c r="T51" s="20"/>
      <c r="U51" s="20"/>
      <c r="V51" s="20"/>
      <c r="W51" s="20"/>
      <c r="X51" s="20"/>
      <c r="Y51" s="34" t="s">
        <v>104</v>
      </c>
      <c r="Z51" s="34">
        <v>5120</v>
      </c>
      <c r="AA51" s="9"/>
      <c r="AB51" s="9"/>
      <c r="AC51" s="9"/>
      <c r="AD51" s="9"/>
      <c r="AE51" s="9"/>
      <c r="AF51" s="18"/>
    </row>
    <row r="52" spans="2:32" x14ac:dyDescent="0.25">
      <c r="B52" s="4"/>
      <c r="E52" s="3"/>
      <c r="F52" s="3"/>
      <c r="G52" s="3"/>
      <c r="H52" s="3"/>
      <c r="L52" s="4"/>
      <c r="M52" s="4"/>
      <c r="N52" s="4"/>
      <c r="O52" s="20"/>
      <c r="Q52" s="20"/>
      <c r="R52" s="20"/>
      <c r="S52" s="20"/>
      <c r="T52" s="20"/>
      <c r="U52" s="20"/>
      <c r="V52" s="20"/>
      <c r="W52" s="20"/>
      <c r="X52" s="20"/>
      <c r="Y52" s="34" t="s">
        <v>43</v>
      </c>
      <c r="Z52" s="34">
        <f>Z51/2</f>
        <v>2560</v>
      </c>
      <c r="AA52" s="9"/>
      <c r="AB52" s="9"/>
      <c r="AC52" s="9"/>
      <c r="AD52" s="9"/>
      <c r="AE52" s="9"/>
      <c r="AF52" s="18"/>
    </row>
    <row r="53" spans="2:32" x14ac:dyDescent="0.25">
      <c r="B53" s="4"/>
      <c r="E53" s="3"/>
      <c r="F53" s="3"/>
      <c r="G53" s="3"/>
      <c r="H53" s="3"/>
      <c r="L53" s="4"/>
      <c r="M53" s="4"/>
      <c r="N53" s="4"/>
      <c r="O53" s="4"/>
      <c r="Q53" s="9"/>
      <c r="R53" s="9"/>
      <c r="S53" s="9"/>
      <c r="T53" s="9"/>
      <c r="U53" s="9"/>
      <c r="V53" s="9"/>
      <c r="W53" s="9"/>
      <c r="X53" s="9"/>
      <c r="Y53" s="1"/>
      <c r="Z53" s="1"/>
      <c r="AA53" s="9"/>
      <c r="AB53" s="9"/>
      <c r="AC53" s="9"/>
      <c r="AD53" s="9"/>
      <c r="AE53" s="9"/>
      <c r="AF53" s="18"/>
    </row>
    <row r="54" spans="2:32" x14ac:dyDescent="0.25">
      <c r="F54" s="1"/>
      <c r="G54" s="1"/>
      <c r="H54" s="1"/>
      <c r="J54" s="1" t="s">
        <v>32</v>
      </c>
      <c r="Q54" s="9"/>
      <c r="R54" s="4"/>
      <c r="S54" s="9"/>
      <c r="T54" s="5"/>
      <c r="U54" s="9"/>
      <c r="V54" s="4"/>
      <c r="W54" s="4"/>
      <c r="X54" s="9"/>
      <c r="Y54" s="9"/>
      <c r="Z54" s="9"/>
      <c r="AA54" s="9"/>
      <c r="AB54" s="9"/>
      <c r="AC54" s="9"/>
      <c r="AD54" s="9"/>
      <c r="AE54" s="9"/>
    </row>
    <row r="55" spans="2:32" x14ac:dyDescent="0.25">
      <c r="R55" s="4"/>
      <c r="S55" s="17"/>
      <c r="T55" s="17"/>
      <c r="U55" s="9"/>
      <c r="V55" s="4"/>
      <c r="W55" s="4"/>
      <c r="X55" s="9"/>
      <c r="Y55" s="9"/>
      <c r="Z55" s="9" t="s">
        <v>307</v>
      </c>
      <c r="AA55" s="9"/>
      <c r="AB55" s="9"/>
      <c r="AC55" s="9"/>
      <c r="AD55" s="9"/>
      <c r="AE55" s="9"/>
    </row>
    <row r="56" spans="2:32" x14ac:dyDescent="0.25">
      <c r="Q56" s="9"/>
      <c r="R56" s="4"/>
      <c r="S56" s="16"/>
      <c r="T56" s="16"/>
      <c r="U56" s="9"/>
      <c r="V56" s="4"/>
      <c r="W56" s="4"/>
      <c r="X56" s="9"/>
      <c r="Y56" s="37" t="s">
        <v>325</v>
      </c>
      <c r="Z56" s="9">
        <v>1890</v>
      </c>
      <c r="AA56" s="9">
        <f>Z56+Z14</f>
        <v>5120.181818181818</v>
      </c>
      <c r="AB56" s="9"/>
      <c r="AC56" s="9"/>
      <c r="AD56" s="9"/>
      <c r="AE56" s="9"/>
    </row>
    <row r="57" spans="2:32" x14ac:dyDescent="0.25">
      <c r="R57" s="4"/>
      <c r="S57" s="16"/>
      <c r="T57" s="16"/>
      <c r="Y57" s="37" t="s">
        <v>326</v>
      </c>
      <c r="Z57" s="9">
        <f>Z56*1.1</f>
        <v>2079</v>
      </c>
      <c r="AA57" s="9">
        <f>Z57+Z14</f>
        <v>5309.181818181818</v>
      </c>
      <c r="AB57" s="9"/>
      <c r="AC57" s="9"/>
      <c r="AD57" s="9"/>
      <c r="AE57" s="9"/>
    </row>
    <row r="58" spans="2:32" x14ac:dyDescent="0.25">
      <c r="T58" s="5"/>
      <c r="Y58" s="37" t="s">
        <v>327</v>
      </c>
      <c r="Z58" s="9">
        <f>Z56*1.2</f>
        <v>2268</v>
      </c>
      <c r="AA58" s="9"/>
      <c r="AB58" s="9"/>
      <c r="AC58" s="9"/>
      <c r="AD58" s="9"/>
      <c r="AE58" s="9"/>
    </row>
    <row r="59" spans="2:32" x14ac:dyDescent="0.25">
      <c r="T59" s="5"/>
      <c r="Y59" s="37" t="s">
        <v>328</v>
      </c>
      <c r="Z59" s="9">
        <f>Z56*0.8</f>
        <v>1512</v>
      </c>
      <c r="AA59" s="9"/>
      <c r="AB59" s="9"/>
      <c r="AC59" s="9"/>
      <c r="AD59" s="9"/>
      <c r="AE59" s="9"/>
    </row>
    <row r="60" spans="2:32" x14ac:dyDescent="0.25">
      <c r="T60" s="5"/>
      <c r="Y60" s="37" t="s">
        <v>330</v>
      </c>
      <c r="Z60" s="9" t="s">
        <v>329</v>
      </c>
      <c r="AA60" s="9"/>
      <c r="AB60" s="9"/>
      <c r="AC60" s="9"/>
      <c r="AD60" s="9"/>
      <c r="AE60" s="9"/>
    </row>
    <row r="61" spans="2:32" x14ac:dyDescent="0.25">
      <c r="T61" s="5"/>
      <c r="Y61" s="9"/>
      <c r="Z61" s="9"/>
      <c r="AA61" s="9"/>
      <c r="AB61" s="9"/>
      <c r="AC61" s="9"/>
      <c r="AD61" s="9"/>
      <c r="AE61" s="9"/>
    </row>
    <row r="62" spans="2:32" x14ac:dyDescent="0.25">
      <c r="T62" s="5"/>
      <c r="Y62" s="9"/>
      <c r="Z62" s="9"/>
      <c r="AA62" s="9"/>
      <c r="AB62" s="9"/>
      <c r="AC62" s="9"/>
      <c r="AD62" s="9"/>
      <c r="AE62" s="9"/>
    </row>
    <row r="63" spans="2:32" x14ac:dyDescent="0.25">
      <c r="T63" s="5"/>
      <c r="Y63" s="9"/>
      <c r="Z63" s="9"/>
      <c r="AA63" s="9"/>
      <c r="AB63" s="9"/>
      <c r="AC63" s="9"/>
      <c r="AD63" s="9"/>
      <c r="AE63" s="9"/>
    </row>
    <row r="64" spans="2:32" x14ac:dyDescent="0.25">
      <c r="T64" s="5"/>
      <c r="Y64" s="9"/>
      <c r="Z64" s="9"/>
      <c r="AA64" s="9"/>
      <c r="AB64" s="9"/>
      <c r="AC64" s="9"/>
      <c r="AD64" s="9"/>
      <c r="AE64" s="9"/>
    </row>
    <row r="65" spans="20:31" x14ac:dyDescent="0.25">
      <c r="T65" s="5"/>
      <c r="Y65" s="9"/>
      <c r="Z65" s="9"/>
      <c r="AA65" s="9"/>
      <c r="AB65" s="9"/>
      <c r="AC65" s="9"/>
      <c r="AD65" s="9"/>
      <c r="AE65" s="9"/>
    </row>
    <row r="66" spans="20:31" x14ac:dyDescent="0.25">
      <c r="T66" s="5"/>
    </row>
    <row r="67" spans="20:31" x14ac:dyDescent="0.25">
      <c r="T67" s="5"/>
    </row>
    <row r="68" spans="20:31" x14ac:dyDescent="0.25">
      <c r="T68" s="5"/>
    </row>
    <row r="69" spans="20:31" x14ac:dyDescent="0.25">
      <c r="T69" s="5"/>
    </row>
    <row r="70" spans="20:31" x14ac:dyDescent="0.25">
      <c r="T70" s="5"/>
    </row>
  </sheetData>
  <autoFilter ref="B6:AE47" xr:uid="{65FA6D9B-E0AF-46CD-BA0D-86BB75FE6AB0}"/>
  <hyperlinks>
    <hyperlink ref="P25" r:id="rId1" xr:uid="{0EB195DB-5400-4770-B17B-4C1E3FA10465}"/>
    <hyperlink ref="P14" r:id="rId2" xr:uid="{DE96F825-77A6-4DBC-9A7A-FC86189CF717}"/>
  </hyperlinks>
  <pageMargins left="0.7" right="0.7" top="0.75" bottom="0.75" header="0.3" footer="0.3"/>
  <pageSetup paperSize="9"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90562-13E7-470B-8247-25DA85ADC7BB}">
  <sheetPr>
    <tabColor rgb="FFFFFF00"/>
  </sheetPr>
  <dimension ref="B1:AK71"/>
  <sheetViews>
    <sheetView zoomScale="80" zoomScaleNormal="80" workbookViewId="0">
      <selection activeCell="J20" sqref="J20"/>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305</v>
      </c>
    </row>
    <row r="2" spans="2:36" x14ac:dyDescent="0.25">
      <c r="B2" s="2" t="s">
        <v>306</v>
      </c>
    </row>
    <row r="3" spans="2:36" x14ac:dyDescent="0.25">
      <c r="B3" s="2" t="s">
        <v>307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295</v>
      </c>
      <c r="K7" s="4"/>
      <c r="L7" s="4"/>
      <c r="M7" s="4"/>
      <c r="N7" s="4"/>
      <c r="O7" s="4"/>
      <c r="P7" s="27"/>
      <c r="Q7" s="25">
        <v>0</v>
      </c>
      <c r="R7" s="25">
        <v>0</v>
      </c>
      <c r="S7" s="12">
        <f t="shared" ref="S7:S10" si="0">+Q7*R7</f>
        <v>0</v>
      </c>
      <c r="T7" s="5">
        <v>0</v>
      </c>
      <c r="U7" s="12">
        <f t="shared" ref="U7:U10" si="1">S7*(1-T7)</f>
        <v>0</v>
      </c>
      <c r="V7" s="25" t="s">
        <v>10</v>
      </c>
      <c r="W7" s="11">
        <f>IFERROR(VLOOKUP(V7,Curr!$B$2:$C$13,2,FALSE),0)</f>
        <v>11.2</v>
      </c>
      <c r="X7" s="12">
        <f t="shared" ref="X7:X10" si="2">U7*W7</f>
        <v>0</v>
      </c>
      <c r="Y7" s="26">
        <f t="shared" ref="Y7:Y10" si="3">Q7</f>
        <v>0</v>
      </c>
      <c r="Z7" s="12">
        <f t="shared" ref="Z7:Z46" si="4">+Y7*R7</f>
        <v>0</v>
      </c>
      <c r="AA7" s="4" t="s">
        <v>10</v>
      </c>
      <c r="AB7" s="11">
        <f>IFERROR(VLOOKUP(AA7,Curr!$B$2:$C$13,2,FALSE),0)</f>
        <v>11.2</v>
      </c>
      <c r="AC7" s="12">
        <f t="shared" ref="AC7:AC46" si="5">+Y7*AB7*R7</f>
        <v>0</v>
      </c>
      <c r="AD7" s="12">
        <f t="shared" ref="AD7:AD46" si="6">+AC7-X7</f>
        <v>0</v>
      </c>
      <c r="AE7" s="13">
        <f t="shared" ref="AE7:AE46"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10</v>
      </c>
      <c r="W8" s="11">
        <f>IFERROR(VLOOKUP(V8,Curr!$B$2:$C$13,2,FALSE),0)</f>
        <v>11.2</v>
      </c>
      <c r="X8" s="12">
        <f t="shared" si="2"/>
        <v>0</v>
      </c>
      <c r="Y8" s="26">
        <f t="shared" si="3"/>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296</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f>
        <v>187.5</v>
      </c>
      <c r="Z9" s="12">
        <f t="shared" si="4"/>
        <v>187.5</v>
      </c>
      <c r="AA9" s="4" t="s">
        <v>10</v>
      </c>
      <c r="AB9" s="11">
        <f>IFERROR(VLOOKUP(AA9,Curr!$B$2:$C$13,2,FALSE),0)</f>
        <v>11.2</v>
      </c>
      <c r="AC9" s="12">
        <f t="shared" si="5"/>
        <v>2100</v>
      </c>
      <c r="AD9" s="12">
        <f t="shared" si="6"/>
        <v>420</v>
      </c>
      <c r="AE9" s="13">
        <f t="shared" si="7"/>
        <v>0.2</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ref="S11:S46" si="8">+Q11*R11</f>
        <v>0</v>
      </c>
      <c r="T11" s="5">
        <v>0</v>
      </c>
      <c r="U11" s="12">
        <f t="shared" ref="U11:U46" si="9">S11*(1-T11)</f>
        <v>0</v>
      </c>
      <c r="V11" s="25" t="s">
        <v>10</v>
      </c>
      <c r="W11" s="11">
        <f>IFERROR(VLOOKUP(V11,Curr!$B$2:$C$13,2,FALSE),0)</f>
        <v>11.2</v>
      </c>
      <c r="X11" s="12">
        <f t="shared" ref="X11:X46" si="10">U11*W11</f>
        <v>0</v>
      </c>
      <c r="Y11" s="26">
        <f t="shared" ref="Y11:Y46" si="11">Q11</f>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33"/>
      <c r="Q12" s="25">
        <v>0</v>
      </c>
      <c r="R12" s="25">
        <v>0</v>
      </c>
      <c r="S12" s="12">
        <f t="shared" si="8"/>
        <v>0</v>
      </c>
      <c r="T12" s="5">
        <v>0</v>
      </c>
      <c r="U12" s="12">
        <f t="shared" si="9"/>
        <v>0</v>
      </c>
      <c r="V12" s="25" t="s">
        <v>10</v>
      </c>
      <c r="W12" s="11">
        <f>IFERROR(VLOOKUP(V12,Curr!$B$2:$C$13,2,FALSE),0)</f>
        <v>11.2</v>
      </c>
      <c r="X12" s="12">
        <f t="shared" si="10"/>
        <v>0</v>
      </c>
      <c r="Y12" s="26">
        <f t="shared" si="11"/>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73</v>
      </c>
      <c r="E13" s="3"/>
      <c r="F13" s="3"/>
      <c r="G13" s="24"/>
      <c r="H13" s="24"/>
      <c r="J13" s="1" t="s">
        <v>308</v>
      </c>
      <c r="K13" s="4"/>
      <c r="L13" s="4"/>
      <c r="M13" s="4"/>
      <c r="N13" s="4"/>
      <c r="O13" s="4" t="s">
        <v>42</v>
      </c>
      <c r="P13" s="33" t="s">
        <v>100</v>
      </c>
      <c r="Q13" s="25">
        <v>3400</v>
      </c>
      <c r="R13" s="25">
        <v>2</v>
      </c>
      <c r="S13" s="12">
        <f t="shared" si="8"/>
        <v>6800</v>
      </c>
      <c r="T13" s="5">
        <v>0.08</v>
      </c>
      <c r="U13" s="12">
        <f t="shared" si="9"/>
        <v>6256</v>
      </c>
      <c r="V13" s="25" t="s">
        <v>8</v>
      </c>
      <c r="W13" s="11">
        <f>IFERROR(VLOOKUP(V13,Curr!$B$2:$C$13,2,FALSE),0)</f>
        <v>1</v>
      </c>
      <c r="X13" s="12">
        <f t="shared" si="10"/>
        <v>6256</v>
      </c>
      <c r="Y13" s="26">
        <f>Q13/11.3/0.9</f>
        <v>334.3166175024582</v>
      </c>
      <c r="Z13" s="12">
        <f t="shared" si="4"/>
        <v>668.6332350049164</v>
      </c>
      <c r="AA13" s="4" t="s">
        <v>10</v>
      </c>
      <c r="AB13" s="11">
        <f>IFERROR(VLOOKUP(AA13,Curr!$B$2:$C$13,2,FALSE),0)</f>
        <v>11.2</v>
      </c>
      <c r="AC13" s="12">
        <f t="shared" si="5"/>
        <v>7488.692232055063</v>
      </c>
      <c r="AD13" s="12">
        <f t="shared" si="6"/>
        <v>1232.692232055063</v>
      </c>
      <c r="AE13" s="13">
        <f t="shared" si="7"/>
        <v>0.16460714285714276</v>
      </c>
    </row>
    <row r="14" spans="2:36" x14ac:dyDescent="0.25">
      <c r="B14" s="4"/>
      <c r="C14" s="1" t="s">
        <v>63</v>
      </c>
      <c r="D14" s="1" t="s">
        <v>50</v>
      </c>
      <c r="E14" s="3"/>
      <c r="F14" s="3"/>
      <c r="G14" s="24"/>
      <c r="H14" s="24"/>
      <c r="J14" s="1" t="s">
        <v>67</v>
      </c>
      <c r="K14" s="4"/>
      <c r="L14" s="4"/>
      <c r="M14" s="4"/>
      <c r="N14" s="4"/>
      <c r="O14" s="4"/>
      <c r="P14" s="33"/>
      <c r="Q14" s="25">
        <v>0</v>
      </c>
      <c r="R14" s="25">
        <v>0</v>
      </c>
      <c r="S14" s="12">
        <f t="shared" si="8"/>
        <v>0</v>
      </c>
      <c r="T14" s="5">
        <v>0</v>
      </c>
      <c r="U14" s="12">
        <f t="shared" si="9"/>
        <v>0</v>
      </c>
      <c r="V14" s="25" t="s">
        <v>10</v>
      </c>
      <c r="W14" s="11">
        <f>IFERROR(VLOOKUP(V14,Curr!$B$2:$C$13,2,FALSE),0)</f>
        <v>11.2</v>
      </c>
      <c r="X14" s="12">
        <f t="shared" si="10"/>
        <v>0</v>
      </c>
      <c r="Y14" s="26">
        <f t="shared" si="11"/>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309</v>
      </c>
      <c r="K15" s="4"/>
      <c r="L15" s="4"/>
      <c r="M15" s="4"/>
      <c r="N15" s="4"/>
      <c r="O15" s="4"/>
      <c r="P15" s="33"/>
      <c r="Q15" s="25">
        <v>400</v>
      </c>
      <c r="R15" s="25">
        <v>1</v>
      </c>
      <c r="S15" s="12">
        <f t="shared" si="8"/>
        <v>400</v>
      </c>
      <c r="T15" s="5">
        <v>0</v>
      </c>
      <c r="U15" s="12">
        <f t="shared" si="9"/>
        <v>400</v>
      </c>
      <c r="V15" s="25" t="s">
        <v>10</v>
      </c>
      <c r="W15" s="11">
        <f>IFERROR(VLOOKUP(V15,Curr!$B$2:$C$13,2,FALSE),0)</f>
        <v>11.2</v>
      </c>
      <c r="X15" s="12">
        <f t="shared" si="10"/>
        <v>4480</v>
      </c>
      <c r="Y15" s="26">
        <f t="shared" si="11"/>
        <v>400</v>
      </c>
      <c r="Z15" s="12">
        <f t="shared" si="4"/>
        <v>400</v>
      </c>
      <c r="AA15" s="4" t="s">
        <v>10</v>
      </c>
      <c r="AB15" s="11">
        <f>IFERROR(VLOOKUP(AA15,Curr!$B$2:$C$13,2,FALSE),0)</f>
        <v>11.2</v>
      </c>
      <c r="AC15" s="12">
        <f t="shared" si="5"/>
        <v>4480</v>
      </c>
      <c r="AD15" s="12">
        <f t="shared" si="6"/>
        <v>0</v>
      </c>
      <c r="AE15" s="13">
        <f t="shared" si="7"/>
        <v>0</v>
      </c>
    </row>
    <row r="16" spans="2:36" x14ac:dyDescent="0.25">
      <c r="B16" s="4"/>
      <c r="C16" s="1" t="s">
        <v>63</v>
      </c>
      <c r="D16" s="1" t="s">
        <v>53</v>
      </c>
      <c r="E16" s="3"/>
      <c r="F16" s="3"/>
      <c r="G16" s="24"/>
      <c r="H16" s="24"/>
      <c r="J16" s="1" t="s">
        <v>68</v>
      </c>
      <c r="K16" s="4"/>
      <c r="L16" s="4"/>
      <c r="M16" s="4"/>
      <c r="N16" s="4"/>
      <c r="O16" s="4"/>
      <c r="P16" s="33"/>
      <c r="Q16" s="25">
        <v>0</v>
      </c>
      <c r="R16" s="25">
        <v>0</v>
      </c>
      <c r="S16" s="12">
        <f t="shared" si="8"/>
        <v>0</v>
      </c>
      <c r="T16" s="5">
        <v>0</v>
      </c>
      <c r="U16" s="12">
        <f t="shared" si="9"/>
        <v>0</v>
      </c>
      <c r="V16" s="25" t="s">
        <v>10</v>
      </c>
      <c r="W16" s="11">
        <f>IFERROR(VLOOKUP(V16,Curr!$B$2:$C$13,2,FALSE),0)</f>
        <v>11.2</v>
      </c>
      <c r="X16" s="12">
        <f t="shared" si="10"/>
        <v>0</v>
      </c>
      <c r="Y16" s="26">
        <f t="shared" si="11"/>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8"/>
        <v>0</v>
      </c>
      <c r="T17" s="5">
        <v>0</v>
      </c>
      <c r="U17" s="12">
        <f t="shared" si="9"/>
        <v>0</v>
      </c>
      <c r="V17" s="25" t="s">
        <v>10</v>
      </c>
      <c r="W17" s="11">
        <f>IFERROR(VLOOKUP(V17,Curr!$B$2:$C$13,2,FALSE),0)</f>
        <v>11.2</v>
      </c>
      <c r="X17" s="12">
        <f t="shared" si="10"/>
        <v>0</v>
      </c>
      <c r="Y17" s="26">
        <f t="shared" si="11"/>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8"/>
        <v>580</v>
      </c>
      <c r="T18" s="5">
        <v>0.2</v>
      </c>
      <c r="U18" s="12">
        <f t="shared" si="9"/>
        <v>464</v>
      </c>
      <c r="V18" s="25" t="s">
        <v>8</v>
      </c>
      <c r="W18" s="11">
        <f>IFERROR(VLOOKUP(V18,Curr!$B$2:$C$13,2,FALSE),0)</f>
        <v>1</v>
      </c>
      <c r="X18" s="12">
        <f t="shared" si="10"/>
        <v>464</v>
      </c>
      <c r="Y18" s="26">
        <f>Q18/11.3/0.64</f>
        <v>40.099557522123888</v>
      </c>
      <c r="Z18" s="12">
        <f t="shared" si="4"/>
        <v>80.199115044247776</v>
      </c>
      <c r="AA18" s="4" t="s">
        <v>10</v>
      </c>
      <c r="AB18" s="11">
        <f>IFERROR(VLOOKUP(AA18,Curr!$B$2:$C$13,2,FALSE),0)</f>
        <v>11.2</v>
      </c>
      <c r="AC18" s="12">
        <f t="shared" si="5"/>
        <v>898.23008849557505</v>
      </c>
      <c r="AD18" s="12">
        <f t="shared" si="6"/>
        <v>434.23008849557505</v>
      </c>
      <c r="AE18" s="13">
        <f t="shared" si="7"/>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8"/>
        <v>350</v>
      </c>
      <c r="T19" s="5">
        <v>0</v>
      </c>
      <c r="U19" s="12">
        <f t="shared" si="9"/>
        <v>350</v>
      </c>
      <c r="V19" s="25" t="s">
        <v>8</v>
      </c>
      <c r="W19" s="11">
        <f>IFERROR(VLOOKUP(V19,Curr!$B$2:$C$13,2,FALSE),0)</f>
        <v>1</v>
      </c>
      <c r="X19" s="12">
        <f t="shared" si="10"/>
        <v>350</v>
      </c>
      <c r="Y19" s="26">
        <f>Q19/11.3/0.5</f>
        <v>30.973451327433626</v>
      </c>
      <c r="Z19" s="12">
        <f t="shared" si="4"/>
        <v>61.946902654867252</v>
      </c>
      <c r="AA19" s="4" t="s">
        <v>10</v>
      </c>
      <c r="AB19" s="11">
        <f>IFERROR(VLOOKUP(AA19,Curr!$B$2:$C$13,2,FALSE),0)</f>
        <v>11.2</v>
      </c>
      <c r="AC19" s="12">
        <f t="shared" si="5"/>
        <v>693.80530973451323</v>
      </c>
      <c r="AD19" s="12">
        <f t="shared" si="6"/>
        <v>343.80530973451323</v>
      </c>
      <c r="AE19" s="13">
        <f t="shared" si="7"/>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8"/>
        <v>0</v>
      </c>
      <c r="T20" s="5">
        <v>0</v>
      </c>
      <c r="U20" s="12">
        <f t="shared" si="9"/>
        <v>0</v>
      </c>
      <c r="V20" s="25" t="s">
        <v>10</v>
      </c>
      <c r="W20" s="11">
        <f>IFERROR(VLOOKUP(V20,Curr!$B$2:$C$13,2,FALSE),0)</f>
        <v>11.2</v>
      </c>
      <c r="X20" s="12">
        <f t="shared" si="10"/>
        <v>0</v>
      </c>
      <c r="Y20" s="26">
        <f t="shared" si="11"/>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8"/>
        <v>0</v>
      </c>
      <c r="T21" s="5">
        <v>0</v>
      </c>
      <c r="U21" s="12">
        <f t="shared" si="9"/>
        <v>0</v>
      </c>
      <c r="V21" s="25" t="s">
        <v>10</v>
      </c>
      <c r="W21" s="11">
        <f>IFERROR(VLOOKUP(V21,Curr!$B$2:$C$13,2,FALSE),0)</f>
        <v>11.2</v>
      </c>
      <c r="X21" s="12">
        <f t="shared" si="10"/>
        <v>0</v>
      </c>
      <c r="Y21" s="26">
        <f t="shared" si="11"/>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50</v>
      </c>
      <c r="E22" s="3"/>
      <c r="F22" s="3"/>
      <c r="G22" s="24"/>
      <c r="H22" s="24"/>
      <c r="J22" s="1" t="s">
        <v>83</v>
      </c>
      <c r="K22" s="4"/>
      <c r="L22" s="4"/>
      <c r="M22" s="4"/>
      <c r="N22" s="4"/>
      <c r="O22" s="4"/>
      <c r="P22" s="33"/>
      <c r="Q22" s="25">
        <v>0</v>
      </c>
      <c r="R22" s="25">
        <v>0</v>
      </c>
      <c r="S22" s="12">
        <f t="shared" si="8"/>
        <v>0</v>
      </c>
      <c r="T22" s="5">
        <v>0</v>
      </c>
      <c r="U22" s="12">
        <f t="shared" si="9"/>
        <v>0</v>
      </c>
      <c r="V22" s="25" t="s">
        <v>10</v>
      </c>
      <c r="W22" s="11">
        <f>IFERROR(VLOOKUP(V22,Curr!$B$2:$C$13,2,FALSE),0)</f>
        <v>11.2</v>
      </c>
      <c r="X22" s="12">
        <f t="shared" si="10"/>
        <v>0</v>
      </c>
      <c r="Y22" s="26">
        <f t="shared" si="11"/>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79</v>
      </c>
      <c r="E23" s="3"/>
      <c r="F23" s="3"/>
      <c r="G23" s="24"/>
      <c r="H23" s="24"/>
      <c r="J23" s="1" t="s">
        <v>310</v>
      </c>
      <c r="K23" s="4"/>
      <c r="L23" s="4"/>
      <c r="M23" s="4"/>
      <c r="N23" s="4"/>
      <c r="O23" s="4"/>
      <c r="P23" s="29"/>
      <c r="Q23" s="25">
        <v>1600</v>
      </c>
      <c r="R23" s="25">
        <v>2</v>
      </c>
      <c r="S23" s="12">
        <f t="shared" si="8"/>
        <v>3200</v>
      </c>
      <c r="T23" s="5">
        <v>0</v>
      </c>
      <c r="U23" s="12">
        <f t="shared" si="9"/>
        <v>3200</v>
      </c>
      <c r="V23" s="25" t="s">
        <v>8</v>
      </c>
      <c r="W23" s="11">
        <f>IFERROR(VLOOKUP(V23,Curr!$B$2:$C$13,2,FALSE),0)</f>
        <v>1</v>
      </c>
      <c r="X23" s="12">
        <f t="shared" si="10"/>
        <v>3200</v>
      </c>
      <c r="Y23" s="26">
        <f>Q23/11/0.8</f>
        <v>181.81818181818181</v>
      </c>
      <c r="Z23" s="12">
        <f t="shared" si="4"/>
        <v>363.63636363636363</v>
      </c>
      <c r="AA23" s="4" t="s">
        <v>10</v>
      </c>
      <c r="AB23" s="11">
        <f>IFERROR(VLOOKUP(AA23,Curr!$B$2:$C$13,2,FALSE),0)</f>
        <v>11.2</v>
      </c>
      <c r="AC23" s="12">
        <f t="shared" si="5"/>
        <v>4072.7272727272725</v>
      </c>
      <c r="AD23" s="12">
        <f t="shared" si="6"/>
        <v>872.72727272727252</v>
      </c>
      <c r="AE23" s="13">
        <f t="shared" si="7"/>
        <v>0.21428571428571425</v>
      </c>
    </row>
    <row r="24" spans="2:31" x14ac:dyDescent="0.25">
      <c r="B24" s="4"/>
      <c r="C24" s="1" t="s">
        <v>78</v>
      </c>
      <c r="D24" s="1" t="s">
        <v>73</v>
      </c>
      <c r="E24" s="3"/>
      <c r="F24" s="3"/>
      <c r="G24" s="24"/>
      <c r="H24" s="24"/>
      <c r="J24" s="1" t="s">
        <v>298</v>
      </c>
      <c r="K24" s="4"/>
      <c r="L24" s="4"/>
      <c r="M24" s="4"/>
      <c r="N24" s="4"/>
      <c r="O24" s="4"/>
      <c r="P24" s="33" t="s">
        <v>304</v>
      </c>
      <c r="Q24" s="25">
        <v>18900</v>
      </c>
      <c r="R24" s="25">
        <v>2</v>
      </c>
      <c r="S24" s="12">
        <f t="shared" si="8"/>
        <v>37800</v>
      </c>
      <c r="T24" s="5">
        <v>0.2</v>
      </c>
      <c r="U24" s="12">
        <f t="shared" si="9"/>
        <v>30240</v>
      </c>
      <c r="V24" s="25" t="s">
        <v>8</v>
      </c>
      <c r="W24" s="11">
        <f>IFERROR(VLOOKUP(V24,Curr!$B$2:$C$13,2,FALSE),0)</f>
        <v>1</v>
      </c>
      <c r="X24" s="12">
        <f t="shared" si="10"/>
        <v>30240</v>
      </c>
      <c r="Y24" s="26">
        <f>Q24/11*0.94</f>
        <v>1615.090909090909</v>
      </c>
      <c r="Z24" s="12">
        <f t="shared" si="4"/>
        <v>3230.181818181818</v>
      </c>
      <c r="AA24" s="4" t="s">
        <v>10</v>
      </c>
      <c r="AB24" s="11">
        <f>IFERROR(VLOOKUP(AA24,Curr!$B$2:$C$13,2,FALSE),0)</f>
        <v>11.2</v>
      </c>
      <c r="AC24" s="12">
        <f t="shared" si="5"/>
        <v>36178.036363636362</v>
      </c>
      <c r="AD24" s="12">
        <f t="shared" si="6"/>
        <v>5938.0363636363618</v>
      </c>
      <c r="AE24" s="13">
        <f t="shared" si="7"/>
        <v>0.16413373860182368</v>
      </c>
    </row>
    <row r="25" spans="2:31" x14ac:dyDescent="0.25">
      <c r="B25" s="4"/>
      <c r="C25" s="1" t="s">
        <v>78</v>
      </c>
      <c r="D25" s="1" t="s">
        <v>73</v>
      </c>
      <c r="E25" s="3"/>
      <c r="F25" s="3"/>
      <c r="G25" s="24"/>
      <c r="H25" s="24"/>
      <c r="J25" s="1" t="s">
        <v>299</v>
      </c>
      <c r="K25" s="4"/>
      <c r="L25" s="4"/>
      <c r="M25" s="4"/>
      <c r="N25" s="4"/>
      <c r="O25" s="4"/>
      <c r="P25" s="27"/>
      <c r="Q25" s="25">
        <v>0</v>
      </c>
      <c r="R25" s="25">
        <v>0</v>
      </c>
      <c r="S25" s="12">
        <f t="shared" si="8"/>
        <v>0</v>
      </c>
      <c r="T25" s="5">
        <v>0</v>
      </c>
      <c r="U25" s="12">
        <f t="shared" si="9"/>
        <v>0</v>
      </c>
      <c r="V25" s="25" t="s">
        <v>10</v>
      </c>
      <c r="W25" s="11">
        <f>IFERROR(VLOOKUP(V25,Curr!$B$2:$C$13,2,FALSE),0)</f>
        <v>11.2</v>
      </c>
      <c r="X25" s="12">
        <f t="shared" si="10"/>
        <v>0</v>
      </c>
      <c r="Y25" s="26">
        <f t="shared" ref="Y25:Y29" si="12">Q25</f>
        <v>0</v>
      </c>
      <c r="Z25" s="12">
        <f t="shared" si="4"/>
        <v>0</v>
      </c>
      <c r="AA25" s="4" t="s">
        <v>10</v>
      </c>
      <c r="AB25" s="11">
        <f>IFERROR(VLOOKUP(AA25,Curr!$B$2:$C$13,2,FALSE),0)</f>
        <v>11.2</v>
      </c>
      <c r="AC25" s="12">
        <f t="shared" si="5"/>
        <v>0</v>
      </c>
      <c r="AD25" s="12">
        <f t="shared" si="6"/>
        <v>0</v>
      </c>
      <c r="AE25" s="13">
        <f t="shared" si="7"/>
        <v>0</v>
      </c>
    </row>
    <row r="26" spans="2:31" x14ac:dyDescent="0.25">
      <c r="B26" s="4"/>
      <c r="E26" s="3"/>
      <c r="F26" s="3"/>
      <c r="G26" s="24"/>
      <c r="H26" s="24"/>
      <c r="K26" s="4"/>
      <c r="L26" s="4"/>
      <c r="M26" s="4"/>
      <c r="N26" s="4"/>
      <c r="O26" s="4"/>
      <c r="P26" s="33"/>
      <c r="Q26" s="25"/>
      <c r="R26" s="25"/>
      <c r="S26" s="12">
        <f t="shared" si="8"/>
        <v>0</v>
      </c>
      <c r="T26" s="5">
        <v>0</v>
      </c>
      <c r="U26" s="12">
        <f t="shared" si="9"/>
        <v>0</v>
      </c>
      <c r="V26" s="25" t="s">
        <v>10</v>
      </c>
      <c r="W26" s="11">
        <f>IFERROR(VLOOKUP(V26,Curr!$B$2:$C$13,2,FALSE),0)</f>
        <v>11.2</v>
      </c>
      <c r="X26" s="12">
        <f t="shared" si="10"/>
        <v>0</v>
      </c>
      <c r="Y26" s="26">
        <f t="shared" si="12"/>
        <v>0</v>
      </c>
      <c r="Z26" s="12">
        <f t="shared" si="4"/>
        <v>0</v>
      </c>
      <c r="AA26" s="4" t="s">
        <v>10</v>
      </c>
      <c r="AB26" s="11">
        <f>IFERROR(VLOOKUP(AA26,Curr!$B$2:$C$13,2,FALSE),0)</f>
        <v>11.2</v>
      </c>
      <c r="AC26" s="12">
        <f t="shared" si="5"/>
        <v>0</v>
      </c>
      <c r="AD26" s="12">
        <f t="shared" si="6"/>
        <v>0</v>
      </c>
      <c r="AE26" s="13">
        <f t="shared" si="7"/>
        <v>0</v>
      </c>
    </row>
    <row r="27" spans="2:31" x14ac:dyDescent="0.25">
      <c r="B27" s="4"/>
      <c r="C27" s="1" t="s">
        <v>80</v>
      </c>
      <c r="D27" s="1" t="s">
        <v>73</v>
      </c>
      <c r="E27" s="3"/>
      <c r="F27" s="3"/>
      <c r="G27" s="24"/>
      <c r="H27" s="24"/>
      <c r="J27" s="1" t="s">
        <v>300</v>
      </c>
      <c r="K27" s="4"/>
      <c r="L27" s="4"/>
      <c r="M27" s="4"/>
      <c r="N27" s="4"/>
      <c r="O27" s="4"/>
      <c r="P27" s="29"/>
      <c r="Q27" s="25">
        <v>0</v>
      </c>
      <c r="R27" s="25">
        <v>0</v>
      </c>
      <c r="S27" s="12">
        <f t="shared" si="8"/>
        <v>0</v>
      </c>
      <c r="T27" s="5">
        <v>0</v>
      </c>
      <c r="U27" s="12">
        <f t="shared" si="9"/>
        <v>0</v>
      </c>
      <c r="V27" s="25" t="s">
        <v>10</v>
      </c>
      <c r="W27" s="11">
        <f>IFERROR(VLOOKUP(V27,Curr!$B$2:$C$13,2,FALSE),0)</f>
        <v>11.2</v>
      </c>
      <c r="X27" s="12">
        <f t="shared" si="10"/>
        <v>0</v>
      </c>
      <c r="Y27" s="26">
        <f t="shared" si="12"/>
        <v>0</v>
      </c>
      <c r="Z27" s="12">
        <f t="shared" si="4"/>
        <v>0</v>
      </c>
      <c r="AA27" s="4" t="s">
        <v>10</v>
      </c>
      <c r="AB27" s="11">
        <f>IFERROR(VLOOKUP(AA27,Curr!$B$2:$C$13,2,FALSE),0)</f>
        <v>11.2</v>
      </c>
      <c r="AC27" s="12">
        <f t="shared" si="5"/>
        <v>0</v>
      </c>
      <c r="AD27" s="12">
        <f t="shared" si="6"/>
        <v>0</v>
      </c>
      <c r="AE27" s="13">
        <f t="shared" si="7"/>
        <v>0</v>
      </c>
    </row>
    <row r="28" spans="2:31" x14ac:dyDescent="0.25">
      <c r="B28" s="4"/>
      <c r="E28" s="3"/>
      <c r="F28" s="3"/>
      <c r="G28" s="24"/>
      <c r="H28" s="24"/>
      <c r="K28" s="4"/>
      <c r="L28" s="4"/>
      <c r="M28" s="4"/>
      <c r="N28" s="4"/>
      <c r="O28" s="4"/>
      <c r="P28" s="27"/>
      <c r="Q28" s="25"/>
      <c r="R28" s="25"/>
      <c r="S28" s="12">
        <f t="shared" si="8"/>
        <v>0</v>
      </c>
      <c r="T28" s="5">
        <v>0</v>
      </c>
      <c r="U28" s="12">
        <f t="shared" si="9"/>
        <v>0</v>
      </c>
      <c r="V28" s="25" t="s">
        <v>10</v>
      </c>
      <c r="W28" s="11">
        <f>IFERROR(VLOOKUP(V28,Curr!$B$2:$C$13,2,FALSE),0)</f>
        <v>11.2</v>
      </c>
      <c r="X28" s="12">
        <f t="shared" si="10"/>
        <v>0</v>
      </c>
      <c r="Y28" s="26">
        <f t="shared" si="12"/>
        <v>0</v>
      </c>
      <c r="Z28" s="12">
        <f t="shared" si="4"/>
        <v>0</v>
      </c>
      <c r="AA28" s="4" t="s">
        <v>10</v>
      </c>
      <c r="AB28" s="11">
        <f>IFERROR(VLOOKUP(AA28,Curr!$B$2:$C$13,2,FALSE),0)</f>
        <v>11.2</v>
      </c>
      <c r="AC28" s="12">
        <f t="shared" si="5"/>
        <v>0</v>
      </c>
      <c r="AD28" s="12">
        <f t="shared" si="6"/>
        <v>0</v>
      </c>
      <c r="AE28" s="13">
        <f t="shared" si="7"/>
        <v>0</v>
      </c>
    </row>
    <row r="29" spans="2:31" x14ac:dyDescent="0.25">
      <c r="B29" s="4"/>
      <c r="C29" s="1" t="s">
        <v>81</v>
      </c>
      <c r="D29" s="1" t="s">
        <v>73</v>
      </c>
      <c r="E29" s="3"/>
      <c r="F29" s="3"/>
      <c r="G29" s="24"/>
      <c r="H29" s="24"/>
      <c r="J29" s="1" t="s">
        <v>301</v>
      </c>
      <c r="K29" s="4"/>
      <c r="L29" s="4"/>
      <c r="M29" s="4"/>
      <c r="N29" s="4"/>
      <c r="O29" s="4"/>
      <c r="P29" s="27"/>
      <c r="Q29" s="25">
        <v>0</v>
      </c>
      <c r="R29" s="25">
        <v>0</v>
      </c>
      <c r="S29" s="12">
        <f t="shared" si="8"/>
        <v>0</v>
      </c>
      <c r="T29" s="5">
        <v>0</v>
      </c>
      <c r="U29" s="12">
        <f t="shared" si="9"/>
        <v>0</v>
      </c>
      <c r="V29" s="25" t="s">
        <v>10</v>
      </c>
      <c r="W29" s="11">
        <f>IFERROR(VLOOKUP(V29,Curr!$B$2:$C$13,2,FALSE),0)</f>
        <v>11.2</v>
      </c>
      <c r="X29" s="12">
        <f t="shared" si="10"/>
        <v>0</v>
      </c>
      <c r="Y29" s="26">
        <f t="shared" si="12"/>
        <v>0</v>
      </c>
      <c r="Z29" s="12">
        <f t="shared" si="4"/>
        <v>0</v>
      </c>
      <c r="AA29" s="4" t="s">
        <v>10</v>
      </c>
      <c r="AB29" s="11">
        <f>IFERROR(VLOOKUP(AA29,Curr!$B$2:$C$13,2,FALSE),0)</f>
        <v>11.2</v>
      </c>
      <c r="AC29" s="12">
        <f t="shared" si="5"/>
        <v>0</v>
      </c>
      <c r="AD29" s="12">
        <f t="shared" si="6"/>
        <v>0</v>
      </c>
      <c r="AE29" s="13">
        <f t="shared" si="7"/>
        <v>0</v>
      </c>
    </row>
    <row r="30" spans="2:31" x14ac:dyDescent="0.25">
      <c r="B30" s="4"/>
      <c r="C30" s="1" t="s">
        <v>81</v>
      </c>
      <c r="D30" s="1" t="s">
        <v>82</v>
      </c>
      <c r="E30" s="3"/>
      <c r="F30" s="3"/>
      <c r="G30" s="24"/>
      <c r="H30" s="24"/>
      <c r="J30" s="1" t="s">
        <v>244</v>
      </c>
      <c r="K30" s="4"/>
      <c r="L30" s="4"/>
      <c r="M30" s="4"/>
      <c r="N30" s="4"/>
      <c r="O30" s="4"/>
      <c r="P30" s="33"/>
      <c r="Q30" s="25">
        <v>0</v>
      </c>
      <c r="R30" s="25">
        <v>0</v>
      </c>
      <c r="S30" s="12">
        <f t="shared" si="8"/>
        <v>0</v>
      </c>
      <c r="T30" s="5">
        <v>0</v>
      </c>
      <c r="U30" s="12">
        <f t="shared" si="9"/>
        <v>0</v>
      </c>
      <c r="V30" s="25" t="s">
        <v>10</v>
      </c>
      <c r="W30" s="11">
        <f>IFERROR(VLOOKUP(V30,Curr!$B$2:$C$13,2,FALSE),0)</f>
        <v>11.2</v>
      </c>
      <c r="X30" s="12">
        <f t="shared" si="10"/>
        <v>0</v>
      </c>
      <c r="Y30" s="26">
        <f t="shared" si="11"/>
        <v>0</v>
      </c>
      <c r="Z30" s="12">
        <f t="shared" si="4"/>
        <v>0</v>
      </c>
      <c r="AA30" s="4" t="s">
        <v>10</v>
      </c>
      <c r="AB30" s="11">
        <f>IFERROR(VLOOKUP(AA30,Curr!$B$2:$C$13,2,FALSE),0)</f>
        <v>11.2</v>
      </c>
      <c r="AC30" s="12">
        <f t="shared" si="5"/>
        <v>0</v>
      </c>
      <c r="AD30" s="12">
        <f t="shared" si="6"/>
        <v>0</v>
      </c>
      <c r="AE30" s="13">
        <f t="shared" si="7"/>
        <v>0</v>
      </c>
    </row>
    <row r="31" spans="2:31" x14ac:dyDescent="0.25">
      <c r="B31" s="4"/>
      <c r="E31" s="3"/>
      <c r="F31" s="3"/>
      <c r="G31" s="24"/>
      <c r="H31" s="24"/>
      <c r="K31" s="4"/>
      <c r="L31" s="4"/>
      <c r="M31" s="4"/>
      <c r="N31" s="4"/>
      <c r="O31" s="4"/>
      <c r="P31" s="33"/>
      <c r="Q31" s="25"/>
      <c r="R31" s="25"/>
      <c r="S31" s="12">
        <f t="shared" si="8"/>
        <v>0</v>
      </c>
      <c r="T31" s="5">
        <v>0</v>
      </c>
      <c r="U31" s="12">
        <f t="shared" si="9"/>
        <v>0</v>
      </c>
      <c r="V31" s="25" t="s">
        <v>10</v>
      </c>
      <c r="W31" s="11">
        <f>IFERROR(VLOOKUP(V31,Curr!$B$2:$C$13,2,FALSE),0)</f>
        <v>11.2</v>
      </c>
      <c r="X31" s="12">
        <f t="shared" si="10"/>
        <v>0</v>
      </c>
      <c r="Y31" s="26">
        <f t="shared" si="11"/>
        <v>0</v>
      </c>
      <c r="Z31" s="12">
        <f t="shared" si="4"/>
        <v>0</v>
      </c>
      <c r="AA31" s="4" t="s">
        <v>10</v>
      </c>
      <c r="AB31" s="11">
        <f>IFERROR(VLOOKUP(AA31,Curr!$B$2:$C$13,2,FALSE),0)</f>
        <v>11.2</v>
      </c>
      <c r="AC31" s="12">
        <f t="shared" si="5"/>
        <v>0</v>
      </c>
      <c r="AD31" s="12">
        <f t="shared" si="6"/>
        <v>0</v>
      </c>
      <c r="AE31" s="13">
        <f t="shared" si="7"/>
        <v>0</v>
      </c>
    </row>
    <row r="32" spans="2:31" x14ac:dyDescent="0.25">
      <c r="B32" s="4"/>
      <c r="E32" s="3"/>
      <c r="F32" s="3"/>
      <c r="G32" s="24"/>
      <c r="H32" s="24"/>
      <c r="K32" s="4"/>
      <c r="L32" s="4"/>
      <c r="M32" s="4"/>
      <c r="N32" s="4"/>
      <c r="O32" s="4"/>
      <c r="P32" s="33"/>
      <c r="Q32" s="25"/>
      <c r="R32" s="25"/>
      <c r="S32" s="12">
        <f t="shared" si="8"/>
        <v>0</v>
      </c>
      <c r="T32" s="5">
        <v>0</v>
      </c>
      <c r="U32" s="12">
        <f t="shared" si="9"/>
        <v>0</v>
      </c>
      <c r="V32" s="25" t="s">
        <v>10</v>
      </c>
      <c r="W32" s="11">
        <f>IFERROR(VLOOKUP(V32,Curr!$B$2:$C$13,2,FALSE),0)</f>
        <v>11.2</v>
      </c>
      <c r="X32" s="12">
        <f t="shared" si="10"/>
        <v>0</v>
      </c>
      <c r="Y32" s="26">
        <f t="shared" si="11"/>
        <v>0</v>
      </c>
      <c r="Z32" s="12">
        <f t="shared" si="4"/>
        <v>0</v>
      </c>
      <c r="AA32" s="4" t="s">
        <v>10</v>
      </c>
      <c r="AB32" s="11">
        <f>IFERROR(VLOOKUP(AA32,Curr!$B$2:$C$13,2,FALSE),0)</f>
        <v>11.2</v>
      </c>
      <c r="AC32" s="12">
        <f t="shared" si="5"/>
        <v>0</v>
      </c>
      <c r="AD32" s="12">
        <f t="shared" si="6"/>
        <v>0</v>
      </c>
      <c r="AE32" s="13">
        <f t="shared" si="7"/>
        <v>0</v>
      </c>
    </row>
    <row r="33" spans="2:36" x14ac:dyDescent="0.25">
      <c r="B33" s="4"/>
      <c r="C33" s="1" t="s">
        <v>55</v>
      </c>
      <c r="D33" s="1" t="s">
        <v>50</v>
      </c>
      <c r="E33" s="3"/>
      <c r="F33" s="3"/>
      <c r="G33" s="24"/>
      <c r="H33" s="24"/>
      <c r="J33" s="1" t="s">
        <v>51</v>
      </c>
      <c r="K33" s="4"/>
      <c r="L33" s="4"/>
      <c r="M33" s="4"/>
      <c r="N33" s="4"/>
      <c r="O33" s="4"/>
      <c r="P33" s="33"/>
      <c r="Q33" s="25">
        <v>1790</v>
      </c>
      <c r="R33" s="25">
        <v>0</v>
      </c>
      <c r="S33" s="12">
        <f t="shared" si="8"/>
        <v>0</v>
      </c>
      <c r="T33" s="5">
        <v>0</v>
      </c>
      <c r="U33" s="12">
        <f t="shared" si="9"/>
        <v>0</v>
      </c>
      <c r="V33" s="25" t="s">
        <v>8</v>
      </c>
      <c r="W33" s="11">
        <f>IFERROR(VLOOKUP(V33,Curr!$B$2:$C$13,2,FALSE),0)</f>
        <v>1</v>
      </c>
      <c r="X33" s="12">
        <f t="shared" si="10"/>
        <v>0</v>
      </c>
      <c r="Y33" s="26">
        <f>Q33/11/0.8</f>
        <v>203.40909090909088</v>
      </c>
      <c r="Z33" s="12">
        <f t="shared" si="4"/>
        <v>0</v>
      </c>
      <c r="AA33" s="4" t="s">
        <v>10</v>
      </c>
      <c r="AB33" s="11">
        <f>IFERROR(VLOOKUP(AA33,Curr!$B$2:$C$13,2,FALSE),0)</f>
        <v>11.2</v>
      </c>
      <c r="AC33" s="12">
        <f t="shared" si="5"/>
        <v>0</v>
      </c>
      <c r="AD33" s="12">
        <f t="shared" si="6"/>
        <v>0</v>
      </c>
      <c r="AE33" s="13">
        <f t="shared" si="7"/>
        <v>0</v>
      </c>
    </row>
    <row r="34" spans="2:36" x14ac:dyDescent="0.25">
      <c r="B34" s="4"/>
      <c r="C34" s="1" t="s">
        <v>63</v>
      </c>
      <c r="D34" s="1" t="s">
        <v>50</v>
      </c>
      <c r="E34" s="3"/>
      <c r="F34" s="3"/>
      <c r="G34" s="24"/>
      <c r="H34" s="24"/>
      <c r="J34" s="1" t="s">
        <v>67</v>
      </c>
      <c r="K34" s="4"/>
      <c r="L34" s="4"/>
      <c r="M34" s="4"/>
      <c r="N34" s="4"/>
      <c r="O34" s="4"/>
      <c r="P34" s="33"/>
      <c r="Q34" s="25">
        <v>1290</v>
      </c>
      <c r="R34" s="25">
        <v>0</v>
      </c>
      <c r="S34" s="12">
        <f t="shared" si="8"/>
        <v>0</v>
      </c>
      <c r="T34" s="5">
        <v>0.15</v>
      </c>
      <c r="U34" s="12">
        <f t="shared" si="9"/>
        <v>0</v>
      </c>
      <c r="V34" s="25" t="s">
        <v>8</v>
      </c>
      <c r="W34" s="11">
        <f>IFERROR(VLOOKUP(V34,Curr!$B$2:$C$13,2,FALSE),0)</f>
        <v>1</v>
      </c>
      <c r="X34" s="12">
        <f t="shared" si="10"/>
        <v>0</v>
      </c>
      <c r="Y34" s="26">
        <f>Q34/11</f>
        <v>117.27272727272727</v>
      </c>
      <c r="Z34" s="12">
        <f t="shared" si="4"/>
        <v>0</v>
      </c>
      <c r="AA34" s="4" t="s">
        <v>10</v>
      </c>
      <c r="AB34" s="11">
        <f>IFERROR(VLOOKUP(AA34,Curr!$B$2:$C$13,2,FALSE),0)</f>
        <v>11.2</v>
      </c>
      <c r="AC34" s="12">
        <f t="shared" si="5"/>
        <v>0</v>
      </c>
      <c r="AD34" s="12">
        <f t="shared" si="6"/>
        <v>0</v>
      </c>
      <c r="AE34" s="13">
        <f t="shared" si="7"/>
        <v>0</v>
      </c>
    </row>
    <row r="35" spans="2:36" x14ac:dyDescent="0.25">
      <c r="B35" s="4"/>
      <c r="C35" s="1" t="s">
        <v>78</v>
      </c>
      <c r="D35" s="1" t="s">
        <v>50</v>
      </c>
      <c r="E35" s="3"/>
      <c r="F35" s="3"/>
      <c r="G35" s="24"/>
      <c r="H35" s="24"/>
      <c r="J35" s="1" t="s">
        <v>83</v>
      </c>
      <c r="K35" s="4"/>
      <c r="L35" s="4"/>
      <c r="M35" s="4"/>
      <c r="N35" s="4"/>
      <c r="O35" s="4"/>
      <c r="P35" s="33"/>
      <c r="Q35" s="25">
        <v>1690</v>
      </c>
      <c r="R35" s="25">
        <v>0</v>
      </c>
      <c r="S35" s="12">
        <f t="shared" si="8"/>
        <v>0</v>
      </c>
      <c r="T35" s="5">
        <v>0.15</v>
      </c>
      <c r="U35" s="12">
        <f t="shared" si="9"/>
        <v>0</v>
      </c>
      <c r="V35" s="25" t="s">
        <v>8</v>
      </c>
      <c r="W35" s="11">
        <f>IFERROR(VLOOKUP(V35,Curr!$B$2:$C$13,2,FALSE),0)</f>
        <v>1</v>
      </c>
      <c r="X35" s="12">
        <f t="shared" si="10"/>
        <v>0</v>
      </c>
      <c r="Y35" s="26">
        <f>Q35/11</f>
        <v>153.63636363636363</v>
      </c>
      <c r="Z35" s="12">
        <f t="shared" si="4"/>
        <v>0</v>
      </c>
      <c r="AA35" s="4" t="s">
        <v>10</v>
      </c>
      <c r="AB35" s="11">
        <f>IFERROR(VLOOKUP(AA35,Curr!$B$2:$C$13,2,FALSE),0)</f>
        <v>11.2</v>
      </c>
      <c r="AC35" s="12">
        <f t="shared" si="5"/>
        <v>0</v>
      </c>
      <c r="AD35" s="12">
        <f t="shared" si="6"/>
        <v>0</v>
      </c>
      <c r="AE35" s="13">
        <f t="shared" si="7"/>
        <v>0</v>
      </c>
    </row>
    <row r="36" spans="2:36" x14ac:dyDescent="0.25">
      <c r="B36" s="4"/>
      <c r="E36" s="3"/>
      <c r="F36" s="3"/>
      <c r="G36" s="24"/>
      <c r="H36" s="24"/>
      <c r="K36" s="4"/>
      <c r="L36" s="4"/>
      <c r="M36" s="4"/>
      <c r="N36" s="4"/>
      <c r="O36" s="4"/>
      <c r="P36" s="33"/>
      <c r="Q36" s="25"/>
      <c r="R36" s="25"/>
      <c r="S36" s="12">
        <f t="shared" si="8"/>
        <v>0</v>
      </c>
      <c r="T36" s="5">
        <v>0</v>
      </c>
      <c r="U36" s="12">
        <f t="shared" si="9"/>
        <v>0</v>
      </c>
      <c r="V36" s="25" t="s">
        <v>10</v>
      </c>
      <c r="W36" s="11">
        <f>IFERROR(VLOOKUP(V36,Curr!$B$2:$C$13,2,FALSE),0)</f>
        <v>11.2</v>
      </c>
      <c r="X36" s="12">
        <f t="shared" si="10"/>
        <v>0</v>
      </c>
      <c r="Y36" s="26">
        <f t="shared" si="11"/>
        <v>0</v>
      </c>
      <c r="Z36" s="12">
        <f t="shared" si="4"/>
        <v>0</v>
      </c>
      <c r="AA36" s="4" t="s">
        <v>10</v>
      </c>
      <c r="AB36" s="11">
        <f>IFERROR(VLOOKUP(AA36,Curr!$B$2:$C$13,2,FALSE),0)</f>
        <v>11.2</v>
      </c>
      <c r="AC36" s="12">
        <f t="shared" si="5"/>
        <v>0</v>
      </c>
      <c r="AD36" s="12">
        <f t="shared" si="6"/>
        <v>0</v>
      </c>
      <c r="AE36" s="13">
        <f t="shared" si="7"/>
        <v>0</v>
      </c>
    </row>
    <row r="37" spans="2:36" x14ac:dyDescent="0.25">
      <c r="B37" s="4"/>
      <c r="E37" s="3"/>
      <c r="F37" s="3"/>
      <c r="G37" s="24"/>
      <c r="H37" s="24"/>
      <c r="K37" s="4"/>
      <c r="L37" s="4"/>
      <c r="M37" s="4"/>
      <c r="N37" s="4"/>
      <c r="O37" s="4"/>
      <c r="P37" s="33"/>
      <c r="Q37" s="25"/>
      <c r="R37" s="25"/>
      <c r="S37" s="12">
        <f t="shared" si="8"/>
        <v>0</v>
      </c>
      <c r="T37" s="5">
        <v>0</v>
      </c>
      <c r="U37" s="12">
        <f t="shared" si="9"/>
        <v>0</v>
      </c>
      <c r="V37" s="25" t="s">
        <v>10</v>
      </c>
      <c r="W37" s="11">
        <f>IFERROR(VLOOKUP(V37,Curr!$B$2:$C$13,2,FALSE),0)</f>
        <v>11.2</v>
      </c>
      <c r="X37" s="12">
        <f t="shared" si="10"/>
        <v>0</v>
      </c>
      <c r="Y37" s="26">
        <f t="shared" si="11"/>
        <v>0</v>
      </c>
      <c r="Z37" s="12">
        <f t="shared" si="4"/>
        <v>0</v>
      </c>
      <c r="AA37" s="4" t="s">
        <v>10</v>
      </c>
      <c r="AB37" s="11">
        <f>IFERROR(VLOOKUP(AA37,Curr!$B$2:$C$13,2,FALSE),0)</f>
        <v>11.2</v>
      </c>
      <c r="AC37" s="12">
        <f t="shared" si="5"/>
        <v>0</v>
      </c>
      <c r="AD37" s="12">
        <f t="shared" si="6"/>
        <v>0</v>
      </c>
      <c r="AE37" s="13">
        <f t="shared" si="7"/>
        <v>0</v>
      </c>
    </row>
    <row r="38" spans="2:36" x14ac:dyDescent="0.25">
      <c r="B38" s="4"/>
      <c r="E38" s="3"/>
      <c r="F38" s="3"/>
      <c r="G38" s="24"/>
      <c r="H38" s="24"/>
      <c r="K38" s="4"/>
      <c r="L38" s="4"/>
      <c r="M38" s="4"/>
      <c r="N38" s="4"/>
      <c r="O38" s="4"/>
      <c r="P38" s="27"/>
      <c r="Q38" s="25"/>
      <c r="R38" s="25"/>
      <c r="S38" s="12">
        <f t="shared" si="8"/>
        <v>0</v>
      </c>
      <c r="T38" s="5">
        <v>0</v>
      </c>
      <c r="U38" s="12">
        <f t="shared" si="9"/>
        <v>0</v>
      </c>
      <c r="V38" s="25" t="s">
        <v>10</v>
      </c>
      <c r="W38" s="11">
        <f>IFERROR(VLOOKUP(V38,Curr!$B$2:$C$13,2,FALSE),0)</f>
        <v>11.2</v>
      </c>
      <c r="X38" s="12">
        <f t="shared" si="10"/>
        <v>0</v>
      </c>
      <c r="Y38" s="26">
        <f t="shared" si="11"/>
        <v>0</v>
      </c>
      <c r="Z38" s="12">
        <f t="shared" si="4"/>
        <v>0</v>
      </c>
      <c r="AA38" s="4" t="s">
        <v>10</v>
      </c>
      <c r="AB38" s="11">
        <f>IFERROR(VLOOKUP(AA38,Curr!$B$2:$C$13,2,FALSE),0)</f>
        <v>11.2</v>
      </c>
      <c r="AC38" s="12">
        <f t="shared" si="5"/>
        <v>0</v>
      </c>
      <c r="AD38" s="12">
        <f t="shared" si="6"/>
        <v>0</v>
      </c>
      <c r="AE38" s="13">
        <f t="shared" si="7"/>
        <v>0</v>
      </c>
    </row>
    <row r="39" spans="2:36" x14ac:dyDescent="0.25">
      <c r="B39" s="4"/>
      <c r="E39" s="3"/>
      <c r="F39" s="3"/>
      <c r="G39" s="24"/>
      <c r="H39" s="24"/>
      <c r="K39" s="4"/>
      <c r="L39" s="4"/>
      <c r="M39" s="4"/>
      <c r="N39" s="4"/>
      <c r="O39" s="4"/>
      <c r="P39" s="33"/>
      <c r="Q39" s="25"/>
      <c r="R39" s="25"/>
      <c r="S39" s="12">
        <f t="shared" si="8"/>
        <v>0</v>
      </c>
      <c r="T39" s="5">
        <v>0</v>
      </c>
      <c r="U39" s="12">
        <f t="shared" si="9"/>
        <v>0</v>
      </c>
      <c r="V39" s="25" t="s">
        <v>10</v>
      </c>
      <c r="W39" s="11">
        <f>IFERROR(VLOOKUP(V39,Curr!$B$2:$C$13,2,FALSE),0)</f>
        <v>11.2</v>
      </c>
      <c r="X39" s="12">
        <f t="shared" si="10"/>
        <v>0</v>
      </c>
      <c r="Y39" s="26">
        <f t="shared" si="11"/>
        <v>0</v>
      </c>
      <c r="Z39" s="12">
        <f t="shared" si="4"/>
        <v>0</v>
      </c>
      <c r="AA39" s="4" t="s">
        <v>10</v>
      </c>
      <c r="AB39" s="11">
        <f>IFERROR(VLOOKUP(AA39,Curr!$B$2:$C$13,2,FALSE),0)</f>
        <v>11.2</v>
      </c>
      <c r="AC39" s="12">
        <f t="shared" si="5"/>
        <v>0</v>
      </c>
      <c r="AD39" s="12">
        <f t="shared" si="6"/>
        <v>0</v>
      </c>
      <c r="AE39" s="13">
        <f t="shared" si="7"/>
        <v>0</v>
      </c>
    </row>
    <row r="40" spans="2:36" x14ac:dyDescent="0.25">
      <c r="B40" s="4"/>
      <c r="E40" s="3"/>
      <c r="F40" s="3"/>
      <c r="G40" s="24"/>
      <c r="H40" s="24"/>
      <c r="K40" s="4"/>
      <c r="L40" s="4"/>
      <c r="M40" s="4"/>
      <c r="N40" s="4"/>
      <c r="O40" s="4"/>
      <c r="P40" s="33"/>
      <c r="Q40" s="25"/>
      <c r="R40" s="25"/>
      <c r="S40" s="12">
        <f t="shared" si="8"/>
        <v>0</v>
      </c>
      <c r="T40" s="5">
        <v>0</v>
      </c>
      <c r="U40" s="12">
        <f t="shared" si="9"/>
        <v>0</v>
      </c>
      <c r="V40" s="25" t="s">
        <v>10</v>
      </c>
      <c r="W40" s="11">
        <f>IFERROR(VLOOKUP(V40,Curr!$B$2:$C$13,2,FALSE),0)</f>
        <v>11.2</v>
      </c>
      <c r="X40" s="12">
        <f t="shared" si="10"/>
        <v>0</v>
      </c>
      <c r="Y40" s="26">
        <f t="shared" si="11"/>
        <v>0</v>
      </c>
      <c r="Z40" s="12">
        <f t="shared" si="4"/>
        <v>0</v>
      </c>
      <c r="AA40" s="4" t="s">
        <v>10</v>
      </c>
      <c r="AB40" s="11">
        <f>IFERROR(VLOOKUP(AA40,Curr!$B$2:$C$13,2,FALSE),0)</f>
        <v>11.2</v>
      </c>
      <c r="AC40" s="12">
        <f t="shared" si="5"/>
        <v>0</v>
      </c>
      <c r="AD40" s="12">
        <f t="shared" si="6"/>
        <v>0</v>
      </c>
      <c r="AE40" s="13">
        <f t="shared" si="7"/>
        <v>0</v>
      </c>
    </row>
    <row r="41" spans="2:36" x14ac:dyDescent="0.25">
      <c r="B41" s="4"/>
      <c r="E41" s="3"/>
      <c r="F41" s="3"/>
      <c r="G41" s="24"/>
      <c r="H41" s="24"/>
      <c r="K41" s="4"/>
      <c r="L41" s="4"/>
      <c r="M41" s="4"/>
      <c r="N41" s="4"/>
      <c r="O41" s="4"/>
      <c r="P41" s="27"/>
      <c r="Q41" s="25"/>
      <c r="R41" s="25"/>
      <c r="S41" s="12">
        <f t="shared" si="8"/>
        <v>0</v>
      </c>
      <c r="T41" s="5">
        <v>0</v>
      </c>
      <c r="U41" s="12">
        <f t="shared" si="9"/>
        <v>0</v>
      </c>
      <c r="V41" s="25" t="s">
        <v>10</v>
      </c>
      <c r="W41" s="11">
        <f>IFERROR(VLOOKUP(V41,Curr!$B$2:$C$13,2,FALSE),0)</f>
        <v>11.2</v>
      </c>
      <c r="X41" s="12">
        <f t="shared" si="10"/>
        <v>0</v>
      </c>
      <c r="Y41" s="26">
        <f t="shared" si="11"/>
        <v>0</v>
      </c>
      <c r="Z41" s="12">
        <f t="shared" si="4"/>
        <v>0</v>
      </c>
      <c r="AA41" s="4" t="s">
        <v>10</v>
      </c>
      <c r="AB41" s="11">
        <f>IFERROR(VLOOKUP(AA41,Curr!$B$2:$C$13,2,FALSE),0)</f>
        <v>11.2</v>
      </c>
      <c r="AC41" s="12">
        <f t="shared" si="5"/>
        <v>0</v>
      </c>
      <c r="AD41" s="12">
        <f t="shared" si="6"/>
        <v>0</v>
      </c>
      <c r="AE41" s="13">
        <f t="shared" si="7"/>
        <v>0</v>
      </c>
    </row>
    <row r="42" spans="2:36" x14ac:dyDescent="0.25">
      <c r="B42" s="4"/>
      <c r="E42" s="3"/>
      <c r="F42" s="3"/>
      <c r="G42" s="24"/>
      <c r="H42" s="24"/>
      <c r="K42" s="4"/>
      <c r="L42" s="4"/>
      <c r="M42" s="4"/>
      <c r="N42" s="4"/>
      <c r="O42" s="4"/>
      <c r="P42" s="27"/>
      <c r="Q42" s="25"/>
      <c r="R42" s="25"/>
      <c r="S42" s="12">
        <f t="shared" si="8"/>
        <v>0</v>
      </c>
      <c r="T42" s="5">
        <v>0</v>
      </c>
      <c r="U42" s="12">
        <f t="shared" si="9"/>
        <v>0</v>
      </c>
      <c r="V42" s="25" t="s">
        <v>10</v>
      </c>
      <c r="W42" s="11">
        <f>IFERROR(VLOOKUP(V42,Curr!$B$2:$C$13,2,FALSE),0)</f>
        <v>11.2</v>
      </c>
      <c r="X42" s="12">
        <f t="shared" si="10"/>
        <v>0</v>
      </c>
      <c r="Y42" s="26">
        <f t="shared" si="11"/>
        <v>0</v>
      </c>
      <c r="Z42" s="12">
        <f t="shared" si="4"/>
        <v>0</v>
      </c>
      <c r="AA42" s="4" t="s">
        <v>10</v>
      </c>
      <c r="AB42" s="11">
        <f>IFERROR(VLOOKUP(AA42,Curr!$B$2:$C$13,2,FALSE),0)</f>
        <v>11.2</v>
      </c>
      <c r="AC42" s="12">
        <f t="shared" si="5"/>
        <v>0</v>
      </c>
      <c r="AD42" s="12">
        <f t="shared" si="6"/>
        <v>0</v>
      </c>
      <c r="AE42" s="13">
        <f t="shared" si="7"/>
        <v>0</v>
      </c>
    </row>
    <row r="43" spans="2:36" x14ac:dyDescent="0.25">
      <c r="B43" s="4"/>
      <c r="E43" s="3"/>
      <c r="F43" s="3"/>
      <c r="G43" s="24"/>
      <c r="H43" s="24"/>
      <c r="K43" s="4"/>
      <c r="L43" s="4"/>
      <c r="M43" s="4"/>
      <c r="N43" s="4"/>
      <c r="O43" s="4"/>
      <c r="P43" s="27"/>
      <c r="Q43" s="25"/>
      <c r="R43" s="25"/>
      <c r="S43" s="12">
        <f t="shared" si="8"/>
        <v>0</v>
      </c>
      <c r="T43" s="5">
        <v>0</v>
      </c>
      <c r="U43" s="12">
        <f t="shared" si="9"/>
        <v>0</v>
      </c>
      <c r="V43" s="25" t="s">
        <v>10</v>
      </c>
      <c r="W43" s="11">
        <f>IFERROR(VLOOKUP(V43,Curr!$B$2:$C$13,2,FALSE),0)</f>
        <v>11.2</v>
      </c>
      <c r="X43" s="12">
        <f t="shared" si="10"/>
        <v>0</v>
      </c>
      <c r="Y43" s="26">
        <f t="shared" si="11"/>
        <v>0</v>
      </c>
      <c r="Z43" s="12">
        <f t="shared" si="4"/>
        <v>0</v>
      </c>
      <c r="AA43" s="4" t="s">
        <v>10</v>
      </c>
      <c r="AB43" s="11">
        <f>IFERROR(VLOOKUP(AA43,Curr!$B$2:$C$13,2,FALSE),0)</f>
        <v>11.2</v>
      </c>
      <c r="AC43" s="12">
        <f t="shared" si="5"/>
        <v>0</v>
      </c>
      <c r="AD43" s="12">
        <f t="shared" si="6"/>
        <v>0</v>
      </c>
      <c r="AE43" s="13">
        <f t="shared" si="7"/>
        <v>0</v>
      </c>
    </row>
    <row r="44" spans="2:36" x14ac:dyDescent="0.25">
      <c r="B44" s="4"/>
      <c r="E44" s="3"/>
      <c r="F44" s="3"/>
      <c r="G44" s="24"/>
      <c r="H44" s="24"/>
      <c r="K44" s="4"/>
      <c r="L44" s="4"/>
      <c r="M44" s="4"/>
      <c r="N44" s="4"/>
      <c r="O44" s="4"/>
      <c r="P44" s="33"/>
      <c r="Q44" s="25"/>
      <c r="R44" s="25"/>
      <c r="S44" s="12">
        <f t="shared" si="8"/>
        <v>0</v>
      </c>
      <c r="T44" s="5">
        <v>0</v>
      </c>
      <c r="U44" s="12">
        <f t="shared" si="9"/>
        <v>0</v>
      </c>
      <c r="V44" s="25" t="s">
        <v>10</v>
      </c>
      <c r="W44" s="11">
        <f>IFERROR(VLOOKUP(V44,Curr!$B$2:$C$13,2,FALSE),0)</f>
        <v>11.2</v>
      </c>
      <c r="X44" s="12">
        <f t="shared" si="10"/>
        <v>0</v>
      </c>
      <c r="Y44" s="26">
        <f t="shared" si="11"/>
        <v>0</v>
      </c>
      <c r="Z44" s="12">
        <f t="shared" si="4"/>
        <v>0</v>
      </c>
      <c r="AA44" s="4" t="s">
        <v>10</v>
      </c>
      <c r="AB44" s="11">
        <f>IFERROR(VLOOKUP(AA44,Curr!$B$2:$C$13,2,FALSE),0)</f>
        <v>11.2</v>
      </c>
      <c r="AC44" s="12">
        <f t="shared" si="5"/>
        <v>0</v>
      </c>
      <c r="AD44" s="12">
        <f t="shared" si="6"/>
        <v>0</v>
      </c>
      <c r="AE44" s="13">
        <f t="shared" si="7"/>
        <v>0</v>
      </c>
    </row>
    <row r="45" spans="2:36" x14ac:dyDescent="0.25">
      <c r="B45" s="4"/>
      <c r="E45" s="3"/>
      <c r="F45" s="3"/>
      <c r="G45" s="24"/>
      <c r="H45" s="24"/>
      <c r="K45" s="4"/>
      <c r="L45" s="4"/>
      <c r="M45" s="4"/>
      <c r="N45" s="4"/>
      <c r="O45" s="4"/>
      <c r="P45" s="27"/>
      <c r="Q45" s="25"/>
      <c r="R45" s="25"/>
      <c r="S45" s="12">
        <f t="shared" si="8"/>
        <v>0</v>
      </c>
      <c r="T45" s="5">
        <v>0</v>
      </c>
      <c r="U45" s="12">
        <f t="shared" si="9"/>
        <v>0</v>
      </c>
      <c r="V45" s="25" t="s">
        <v>10</v>
      </c>
      <c r="W45" s="11">
        <f>IFERROR(VLOOKUP(V45,Curr!$B$2:$C$13,2,FALSE),0)</f>
        <v>11.2</v>
      </c>
      <c r="X45" s="12">
        <f t="shared" si="10"/>
        <v>0</v>
      </c>
      <c r="Y45" s="26">
        <f t="shared" si="11"/>
        <v>0</v>
      </c>
      <c r="Z45" s="12">
        <f t="shared" si="4"/>
        <v>0</v>
      </c>
      <c r="AA45" s="4" t="s">
        <v>10</v>
      </c>
      <c r="AB45" s="11">
        <f>IFERROR(VLOOKUP(AA45,Curr!$B$2:$C$13,2,FALSE),0)</f>
        <v>11.2</v>
      </c>
      <c r="AC45" s="12">
        <f t="shared" si="5"/>
        <v>0</v>
      </c>
      <c r="AD45" s="12">
        <f t="shared" si="6"/>
        <v>0</v>
      </c>
      <c r="AE45" s="13">
        <f t="shared" si="7"/>
        <v>0</v>
      </c>
    </row>
    <row r="46" spans="2:36" x14ac:dyDescent="0.25">
      <c r="B46" s="4"/>
      <c r="E46" s="3"/>
      <c r="F46" s="3"/>
      <c r="G46" s="24"/>
      <c r="H46" s="24"/>
      <c r="K46" s="4"/>
      <c r="L46" s="4"/>
      <c r="M46" s="4"/>
      <c r="N46" s="4"/>
      <c r="O46" s="4"/>
      <c r="P46" s="27"/>
      <c r="Q46" s="25"/>
      <c r="R46" s="25"/>
      <c r="S46" s="12">
        <f t="shared" si="8"/>
        <v>0</v>
      </c>
      <c r="T46" s="5">
        <v>0</v>
      </c>
      <c r="U46" s="12">
        <f t="shared" si="9"/>
        <v>0</v>
      </c>
      <c r="V46" s="25" t="s">
        <v>10</v>
      </c>
      <c r="W46" s="11">
        <f>IFERROR(VLOOKUP(V46,Curr!$B$2:$C$13,2,FALSE),0)</f>
        <v>11.2</v>
      </c>
      <c r="X46" s="12">
        <f t="shared" si="10"/>
        <v>0</v>
      </c>
      <c r="Y46" s="26">
        <f t="shared" si="11"/>
        <v>0</v>
      </c>
      <c r="Z46" s="12">
        <f t="shared" si="4"/>
        <v>0</v>
      </c>
      <c r="AA46" s="4" t="s">
        <v>10</v>
      </c>
      <c r="AB46" s="11">
        <f>IFERROR(VLOOKUP(AA46,Curr!$B$2:$C$13,2,FALSE),0)</f>
        <v>11.2</v>
      </c>
      <c r="AC46" s="12">
        <f t="shared" si="5"/>
        <v>0</v>
      </c>
      <c r="AD46" s="12">
        <f t="shared" si="6"/>
        <v>0</v>
      </c>
      <c r="AE46" s="13">
        <f t="shared" si="7"/>
        <v>0</v>
      </c>
    </row>
    <row r="47" spans="2:36" x14ac:dyDescent="0.25">
      <c r="B47" s="4"/>
      <c r="E47" s="3"/>
      <c r="F47" s="3"/>
      <c r="G47" s="3"/>
      <c r="H47" s="3"/>
      <c r="L47" s="4"/>
      <c r="M47" s="4"/>
      <c r="N47" s="4"/>
      <c r="O47" s="4"/>
      <c r="P47" s="22"/>
      <c r="Q47" s="4"/>
      <c r="R47" s="4"/>
      <c r="S47" s="4"/>
      <c r="T47" s="4"/>
      <c r="U47" s="4"/>
      <c r="V47" s="4"/>
      <c r="W47" s="4"/>
      <c r="X47" s="4"/>
      <c r="Y47" s="4"/>
      <c r="Z47" s="4"/>
      <c r="AA47" s="4"/>
      <c r="AB47" s="4"/>
      <c r="AC47" s="4"/>
      <c r="AD47" s="4"/>
      <c r="AE47" s="4"/>
      <c r="AF47" s="4"/>
    </row>
    <row r="48" spans="2:36" x14ac:dyDescent="0.25">
      <c r="B48" s="14" t="s">
        <v>18</v>
      </c>
      <c r="C48" s="14"/>
      <c r="D48" s="28" t="s">
        <v>42</v>
      </c>
      <c r="E48" s="30" t="s">
        <v>42</v>
      </c>
      <c r="F48" s="30" t="s">
        <v>42</v>
      </c>
      <c r="G48" s="30" t="s">
        <v>42</v>
      </c>
      <c r="H48" s="30" t="s">
        <v>42</v>
      </c>
      <c r="I48" s="28" t="s">
        <v>42</v>
      </c>
      <c r="J48" s="28" t="s">
        <v>42</v>
      </c>
      <c r="K48" s="28" t="s">
        <v>42</v>
      </c>
      <c r="L48" s="28" t="s">
        <v>42</v>
      </c>
      <c r="M48" s="28" t="s">
        <v>42</v>
      </c>
      <c r="N48" s="28" t="s">
        <v>42</v>
      </c>
      <c r="O48" s="28" t="s">
        <v>42</v>
      </c>
      <c r="P48" s="28" t="s">
        <v>42</v>
      </c>
      <c r="Q48" s="31" t="s">
        <v>42</v>
      </c>
      <c r="R48" s="28" t="s">
        <v>42</v>
      </c>
      <c r="S48" s="32" t="s">
        <v>42</v>
      </c>
      <c r="T48" s="28" t="s">
        <v>42</v>
      </c>
      <c r="U48" s="32" t="s">
        <v>42</v>
      </c>
      <c r="V48" s="28" t="s">
        <v>42</v>
      </c>
      <c r="W48" s="28" t="s">
        <v>42</v>
      </c>
      <c r="X48" s="32" t="s">
        <v>42</v>
      </c>
      <c r="Y48" s="32" t="s">
        <v>42</v>
      </c>
      <c r="Z48" s="15">
        <f>SUM(Z7:Z46)</f>
        <v>4992.097434522213</v>
      </c>
      <c r="AA48" s="14"/>
      <c r="AB48" s="14"/>
      <c r="AC48" s="15">
        <f>SUM(AC7:AC46)</f>
        <v>55911.49126664878</v>
      </c>
      <c r="AD48" s="15">
        <f>SUM(AD7:AD46)</f>
        <v>9241.4912666487853</v>
      </c>
      <c r="AE48" s="21">
        <f t="shared" ref="AE48" si="13">IFERROR(AD48/AC48,0)</f>
        <v>0.16528786940371482</v>
      </c>
      <c r="AF48" s="15">
        <f>SUM(AF8:AF47)</f>
        <v>0</v>
      </c>
      <c r="AG48" s="15">
        <f>SUM(AG8:AG47)</f>
        <v>0</v>
      </c>
      <c r="AH48" s="15">
        <f>SUM(AH8:AH47)</f>
        <v>0</v>
      </c>
      <c r="AI48" s="15">
        <f>SUM(AI8:AI47)</f>
        <v>0</v>
      </c>
      <c r="AJ48" s="15">
        <f>SUM(AJ8:AJ47)</f>
        <v>0</v>
      </c>
    </row>
    <row r="49" spans="2:32" x14ac:dyDescent="0.25">
      <c r="B49" s="4"/>
      <c r="E49" s="3"/>
      <c r="F49" s="3"/>
      <c r="G49" s="3"/>
      <c r="H49" s="3"/>
      <c r="L49" s="4"/>
      <c r="M49" s="4"/>
      <c r="N49" s="4"/>
      <c r="O49" s="4"/>
      <c r="Q49" s="4"/>
      <c r="R49" s="4"/>
      <c r="S49" s="4"/>
      <c r="T49" s="4"/>
      <c r="U49" s="4"/>
      <c r="V49" s="4"/>
      <c r="W49" s="4"/>
      <c r="X49" s="4"/>
      <c r="Y49" s="9"/>
      <c r="Z49" s="9"/>
      <c r="AA49" s="9"/>
      <c r="AB49" s="9"/>
      <c r="AC49" s="9"/>
      <c r="AD49" s="9"/>
      <c r="AE49" s="9"/>
    </row>
    <row r="50" spans="2:32" x14ac:dyDescent="0.25">
      <c r="B50" s="4"/>
      <c r="E50" s="3"/>
      <c r="F50" s="3"/>
      <c r="G50" s="3"/>
      <c r="H50" s="3"/>
      <c r="L50" s="4"/>
      <c r="M50" s="4"/>
      <c r="N50" s="4"/>
      <c r="O50" s="4"/>
      <c r="Q50" s="9"/>
      <c r="R50" s="9"/>
      <c r="S50" s="9"/>
      <c r="T50" s="9"/>
      <c r="U50" s="9"/>
      <c r="V50" s="9"/>
      <c r="W50" s="9"/>
      <c r="X50" s="23"/>
      <c r="Y50" s="34" t="s">
        <v>102</v>
      </c>
      <c r="Z50" s="34"/>
      <c r="AA50" s="9"/>
      <c r="AB50" s="9"/>
      <c r="AC50" s="9"/>
      <c r="AD50" s="9"/>
      <c r="AE50" s="9"/>
    </row>
    <row r="51" spans="2:32" x14ac:dyDescent="0.25">
      <c r="B51" s="4"/>
      <c r="E51" s="3"/>
      <c r="F51" s="3"/>
      <c r="G51" s="3"/>
      <c r="H51" s="3"/>
      <c r="L51" s="4"/>
      <c r="M51" s="4"/>
      <c r="N51" s="4"/>
      <c r="O51" s="4"/>
      <c r="Q51" s="9"/>
      <c r="R51" s="9"/>
      <c r="S51" s="9"/>
      <c r="T51" s="9"/>
      <c r="U51" s="9"/>
      <c r="V51" s="9"/>
      <c r="W51" s="9"/>
      <c r="X51" s="9"/>
      <c r="Y51" s="35" t="s">
        <v>103</v>
      </c>
      <c r="Z51" s="34"/>
      <c r="AA51" s="9"/>
      <c r="AB51" s="9"/>
      <c r="AC51" s="9"/>
      <c r="AD51" s="9"/>
      <c r="AE51" s="9"/>
      <c r="AF51" s="18"/>
    </row>
    <row r="52" spans="2:32" x14ac:dyDescent="0.25">
      <c r="B52" s="4"/>
      <c r="E52" s="3"/>
      <c r="F52" s="3"/>
      <c r="G52" s="3"/>
      <c r="H52" s="3"/>
      <c r="I52" s="19"/>
      <c r="L52" s="4"/>
      <c r="M52" s="4"/>
      <c r="N52" s="4"/>
      <c r="O52" s="20"/>
      <c r="Q52" s="20"/>
      <c r="R52" s="20"/>
      <c r="S52" s="20"/>
      <c r="T52" s="20"/>
      <c r="U52" s="20"/>
      <c r="V52" s="20"/>
      <c r="W52" s="20"/>
      <c r="X52" s="20"/>
      <c r="Y52" s="34" t="s">
        <v>104</v>
      </c>
      <c r="Z52" s="34">
        <v>4980</v>
      </c>
      <c r="AA52" s="9"/>
      <c r="AB52" s="9"/>
      <c r="AC52" s="9"/>
      <c r="AD52" s="9"/>
      <c r="AE52" s="9"/>
      <c r="AF52" s="18"/>
    </row>
    <row r="53" spans="2:32" x14ac:dyDescent="0.25">
      <c r="B53" s="4"/>
      <c r="E53" s="3"/>
      <c r="F53" s="3"/>
      <c r="G53" s="3"/>
      <c r="H53" s="3"/>
      <c r="L53" s="4"/>
      <c r="M53" s="4"/>
      <c r="N53" s="4"/>
      <c r="O53" s="20"/>
      <c r="Q53" s="20"/>
      <c r="R53" s="20"/>
      <c r="S53" s="20"/>
      <c r="T53" s="20"/>
      <c r="U53" s="20"/>
      <c r="V53" s="20"/>
      <c r="W53" s="20"/>
      <c r="X53" s="20"/>
      <c r="Y53" s="34" t="s">
        <v>43</v>
      </c>
      <c r="Z53" s="34">
        <f>Z52/2</f>
        <v>2490</v>
      </c>
      <c r="AA53" s="9"/>
      <c r="AB53" s="9"/>
      <c r="AC53" s="9"/>
      <c r="AD53" s="9"/>
      <c r="AE53" s="9"/>
      <c r="AF53" s="18"/>
    </row>
    <row r="54" spans="2:32" x14ac:dyDescent="0.25">
      <c r="B54" s="4"/>
      <c r="E54" s="3"/>
      <c r="F54" s="3"/>
      <c r="G54" s="3"/>
      <c r="H54" s="3"/>
      <c r="L54" s="4"/>
      <c r="M54" s="4"/>
      <c r="N54" s="4"/>
      <c r="O54" s="4"/>
      <c r="Q54" s="9"/>
      <c r="R54" s="9"/>
      <c r="S54" s="9"/>
      <c r="T54" s="9"/>
      <c r="U54" s="9"/>
      <c r="V54" s="9"/>
      <c r="W54" s="9"/>
      <c r="X54" s="9"/>
      <c r="Y54" s="1"/>
      <c r="Z54" s="1"/>
      <c r="AA54" s="9"/>
      <c r="AB54" s="9"/>
      <c r="AC54" s="9"/>
      <c r="AD54" s="9"/>
      <c r="AE54" s="9"/>
      <c r="AF54" s="18"/>
    </row>
    <row r="55" spans="2:32" x14ac:dyDescent="0.25">
      <c r="F55" s="1"/>
      <c r="G55" s="1"/>
      <c r="H55" s="1"/>
      <c r="J55" s="1" t="s">
        <v>32</v>
      </c>
      <c r="Q55" s="9"/>
      <c r="R55" s="4"/>
      <c r="S55" s="9"/>
      <c r="T55" s="5"/>
      <c r="U55" s="9"/>
      <c r="V55" s="4"/>
      <c r="W55" s="4"/>
      <c r="X55" s="9"/>
      <c r="Y55" s="9"/>
      <c r="Z55" s="9"/>
      <c r="AA55" s="9"/>
      <c r="AB55" s="9"/>
      <c r="AC55" s="9"/>
      <c r="AD55" s="9"/>
      <c r="AE55" s="9"/>
    </row>
    <row r="56" spans="2:32" x14ac:dyDescent="0.25">
      <c r="R56" s="4"/>
      <c r="S56" s="17"/>
      <c r="T56" s="17"/>
      <c r="U56" s="9"/>
      <c r="V56" s="4"/>
      <c r="W56" s="4"/>
      <c r="X56" s="9"/>
      <c r="Y56" s="9"/>
      <c r="Z56" s="9" t="s">
        <v>307</v>
      </c>
      <c r="AA56" s="9"/>
      <c r="AB56" s="9"/>
      <c r="AC56" s="9"/>
      <c r="AD56" s="9"/>
      <c r="AE56" s="9"/>
    </row>
    <row r="57" spans="2:32" x14ac:dyDescent="0.25">
      <c r="Q57" s="9"/>
      <c r="R57" s="4"/>
      <c r="S57" s="16"/>
      <c r="T57" s="16"/>
      <c r="U57" s="9"/>
      <c r="V57" s="4"/>
      <c r="W57" s="4"/>
      <c r="X57" s="9"/>
      <c r="Y57" s="37" t="s">
        <v>325</v>
      </c>
      <c r="Z57" s="9">
        <v>1750</v>
      </c>
      <c r="AA57" s="9">
        <f>Z57+Z24</f>
        <v>4980.181818181818</v>
      </c>
      <c r="AB57" s="9"/>
      <c r="AC57" s="9"/>
      <c r="AD57" s="9"/>
      <c r="AE57" s="9"/>
    </row>
    <row r="58" spans="2:32" x14ac:dyDescent="0.25">
      <c r="R58" s="4"/>
      <c r="S58" s="16"/>
      <c r="T58" s="16"/>
      <c r="Y58" s="37" t="s">
        <v>326</v>
      </c>
      <c r="Z58" s="9">
        <f>Z57*1.1</f>
        <v>1925.0000000000002</v>
      </c>
      <c r="AA58" s="9">
        <f>Z58+Z24</f>
        <v>5155.181818181818</v>
      </c>
      <c r="AB58" s="9"/>
      <c r="AC58" s="9"/>
      <c r="AD58" s="9"/>
      <c r="AE58" s="9"/>
    </row>
    <row r="59" spans="2:32" x14ac:dyDescent="0.25">
      <c r="T59" s="5"/>
      <c r="Y59" s="37" t="s">
        <v>327</v>
      </c>
      <c r="Z59" s="9">
        <f>Z57*1.2</f>
        <v>2100</v>
      </c>
      <c r="AA59" s="9"/>
      <c r="AB59" s="9"/>
      <c r="AC59" s="9"/>
      <c r="AD59" s="9"/>
      <c r="AE59" s="9"/>
    </row>
    <row r="60" spans="2:32" x14ac:dyDescent="0.25">
      <c r="T60" s="5"/>
      <c r="Y60" s="37" t="s">
        <v>328</v>
      </c>
      <c r="Z60" s="9">
        <f>Z57*0.8</f>
        <v>1400</v>
      </c>
      <c r="AA60" s="9"/>
      <c r="AB60" s="9"/>
      <c r="AC60" s="9"/>
      <c r="AD60" s="9"/>
      <c r="AE60" s="9"/>
    </row>
    <row r="61" spans="2:32" x14ac:dyDescent="0.25">
      <c r="T61" s="5"/>
      <c r="Y61" s="37" t="s">
        <v>330</v>
      </c>
      <c r="Z61" s="9" t="s">
        <v>329</v>
      </c>
      <c r="AA61" s="9"/>
      <c r="AB61" s="9"/>
      <c r="AC61" s="9"/>
      <c r="AD61" s="9"/>
      <c r="AE61" s="9"/>
    </row>
    <row r="62" spans="2:32" x14ac:dyDescent="0.25">
      <c r="T62" s="5"/>
      <c r="Y62" s="9"/>
      <c r="Z62" s="9"/>
      <c r="AA62" s="9"/>
      <c r="AB62" s="9"/>
      <c r="AC62" s="9"/>
      <c r="AD62" s="9"/>
      <c r="AE62" s="9"/>
    </row>
    <row r="63" spans="2:32" x14ac:dyDescent="0.25">
      <c r="T63" s="5"/>
      <c r="Y63" s="9"/>
      <c r="Z63" s="9"/>
      <c r="AA63" s="9"/>
      <c r="AB63" s="9"/>
      <c r="AC63" s="9"/>
      <c r="AD63" s="9"/>
      <c r="AE63" s="9"/>
    </row>
    <row r="64" spans="2:32" x14ac:dyDescent="0.25">
      <c r="T64" s="5"/>
      <c r="Y64" s="9"/>
      <c r="Z64" s="9"/>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row>
    <row r="68" spans="20:31" x14ac:dyDescent="0.25">
      <c r="T68" s="5"/>
    </row>
    <row r="69" spans="20:31" x14ac:dyDescent="0.25">
      <c r="T69" s="5"/>
    </row>
    <row r="70" spans="20:31" x14ac:dyDescent="0.25">
      <c r="T70" s="5"/>
    </row>
    <row r="71" spans="20:31" x14ac:dyDescent="0.25">
      <c r="T71" s="5"/>
    </row>
  </sheetData>
  <autoFilter ref="B6:AE48" xr:uid="{65FA6D9B-E0AF-46CD-BA0D-86BB75FE6AB0}"/>
  <hyperlinks>
    <hyperlink ref="P13" r:id="rId1" xr:uid="{16651502-6058-4482-A9AB-BEFB88AD1D48}"/>
    <hyperlink ref="P18" r:id="rId2" xr:uid="{0303FAD5-DF96-4A99-83ED-8C4AE38D0762}"/>
    <hyperlink ref="P19" r:id="rId3" xr:uid="{9FD9F606-BEC6-4C92-A60C-7ABAFB58913E}"/>
    <hyperlink ref="P24" r:id="rId4" xr:uid="{E5B22399-79AF-4419-B445-7147496F5B8C}"/>
  </hyperlinks>
  <pageMargins left="0.7" right="0.7" top="0.75" bottom="0.75" header="0.3" footer="0.3"/>
  <pageSetup paperSize="9" orientation="portrait"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CE4D-DCCE-442B-B917-07958A249C7C}">
  <sheetPr>
    <tabColor rgb="FFFFFF00"/>
  </sheetPr>
  <dimension ref="B1:AK91"/>
  <sheetViews>
    <sheetView topLeftCell="A12" zoomScale="80" zoomScaleNormal="80" workbookViewId="0">
      <selection activeCell="J20" sqref="J20"/>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t="s">
        <v>293</v>
      </c>
    </row>
    <row r="2" spans="2:36" x14ac:dyDescent="0.25">
      <c r="B2" s="2" t="s">
        <v>292</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295</v>
      </c>
      <c r="K7" s="4"/>
      <c r="L7" s="4"/>
      <c r="M7" s="4"/>
      <c r="N7" s="4"/>
      <c r="O7" s="4"/>
      <c r="P7" s="27"/>
      <c r="Q7" s="25">
        <v>0</v>
      </c>
      <c r="R7" s="25">
        <v>0</v>
      </c>
      <c r="S7" s="12">
        <f t="shared" ref="S7:S10" si="0">+Q7*R7</f>
        <v>0</v>
      </c>
      <c r="T7" s="5">
        <v>0</v>
      </c>
      <c r="U7" s="12">
        <f t="shared" ref="U7:U10" si="1">S7*(1-T7)</f>
        <v>0</v>
      </c>
      <c r="V7" s="25" t="s">
        <v>10</v>
      </c>
      <c r="W7" s="11">
        <f>IFERROR(VLOOKUP(V7,Curr!$B$2:$C$13,2,FALSE),0)</f>
        <v>11.2</v>
      </c>
      <c r="X7" s="12">
        <f t="shared" ref="X7:X10" si="2">U7*W7</f>
        <v>0</v>
      </c>
      <c r="Y7" s="26">
        <f t="shared" ref="Y7:Y10" si="3">Q7</f>
        <v>0</v>
      </c>
      <c r="Z7" s="12">
        <f t="shared" ref="Z7:Z66" si="4">+Y7*R7</f>
        <v>0</v>
      </c>
      <c r="AA7" s="4" t="s">
        <v>10</v>
      </c>
      <c r="AB7" s="11">
        <f>IFERROR(VLOOKUP(AA7,Curr!$B$2:$C$13,2,FALSE),0)</f>
        <v>11.2</v>
      </c>
      <c r="AC7" s="12">
        <f t="shared" ref="AC7:AC66" si="5">+Y7*AB7*R7</f>
        <v>0</v>
      </c>
      <c r="AD7" s="12">
        <f t="shared" ref="AD7:AD66" si="6">+AC7-X7</f>
        <v>0</v>
      </c>
      <c r="AE7" s="13">
        <f t="shared" ref="AE7:AE66"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10</v>
      </c>
      <c r="W8" s="11">
        <f>IFERROR(VLOOKUP(V8,Curr!$B$2:$C$13,2,FALSE),0)</f>
        <v>11.2</v>
      </c>
      <c r="X8" s="12">
        <f t="shared" si="2"/>
        <v>0</v>
      </c>
      <c r="Y8" s="26">
        <f t="shared" si="3"/>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296</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f>
        <v>187.5</v>
      </c>
      <c r="Z9" s="12">
        <f t="shared" si="4"/>
        <v>187.5</v>
      </c>
      <c r="AA9" s="4" t="s">
        <v>10</v>
      </c>
      <c r="AB9" s="11">
        <f>IFERROR(VLOOKUP(AA9,Curr!$B$2:$C$13,2,FALSE),0)</f>
        <v>11.2</v>
      </c>
      <c r="AC9" s="12">
        <f t="shared" si="5"/>
        <v>2100</v>
      </c>
      <c r="AD9" s="12">
        <f t="shared" si="6"/>
        <v>420</v>
      </c>
      <c r="AE9" s="13">
        <f t="shared" si="7"/>
        <v>0.2</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ref="S11:S66" si="8">+Q11*R11</f>
        <v>0</v>
      </c>
      <c r="T11" s="5">
        <v>0</v>
      </c>
      <c r="U11" s="12">
        <f t="shared" ref="U11:U66" si="9">S11*(1-T11)</f>
        <v>0</v>
      </c>
      <c r="V11" s="25" t="s">
        <v>10</v>
      </c>
      <c r="W11" s="11">
        <f>IFERROR(VLOOKUP(V11,Curr!$B$2:$C$13,2,FALSE),0)</f>
        <v>11.2</v>
      </c>
      <c r="X11" s="12">
        <f t="shared" ref="X11:X66" si="10">U11*W11</f>
        <v>0</v>
      </c>
      <c r="Y11" s="26">
        <f t="shared" ref="Y11:Y66" si="11">Q11</f>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33"/>
      <c r="Q12" s="25">
        <v>0</v>
      </c>
      <c r="R12" s="25">
        <v>0</v>
      </c>
      <c r="S12" s="12">
        <f t="shared" si="8"/>
        <v>0</v>
      </c>
      <c r="T12" s="5">
        <v>0</v>
      </c>
      <c r="U12" s="12">
        <f t="shared" si="9"/>
        <v>0</v>
      </c>
      <c r="V12" s="25" t="s">
        <v>10</v>
      </c>
      <c r="W12" s="11">
        <f>IFERROR(VLOOKUP(V12,Curr!$B$2:$C$13,2,FALSE),0)</f>
        <v>11.2</v>
      </c>
      <c r="X12" s="12">
        <f t="shared" si="10"/>
        <v>0</v>
      </c>
      <c r="Y12" s="26">
        <f t="shared" si="11"/>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66</v>
      </c>
      <c r="E13" s="3"/>
      <c r="F13" s="3"/>
      <c r="G13" s="24"/>
      <c r="H13" s="24"/>
      <c r="J13" s="1" t="s">
        <v>311</v>
      </c>
      <c r="K13" s="4"/>
      <c r="L13" s="4"/>
      <c r="M13" s="4"/>
      <c r="N13" s="4"/>
      <c r="O13" s="4"/>
      <c r="P13" s="33" t="s">
        <v>321</v>
      </c>
      <c r="Q13" s="25">
        <v>800</v>
      </c>
      <c r="R13" s="25">
        <v>2</v>
      </c>
      <c r="S13" s="12">
        <f t="shared" si="8"/>
        <v>1600</v>
      </c>
      <c r="T13" s="5">
        <v>0</v>
      </c>
      <c r="U13" s="12">
        <f t="shared" si="9"/>
        <v>1600</v>
      </c>
      <c r="V13" s="25" t="s">
        <v>8</v>
      </c>
      <c r="W13" s="11">
        <f>IFERROR(VLOOKUP(V13,Curr!$B$2:$C$13,2,FALSE),0)</f>
        <v>1</v>
      </c>
      <c r="X13" s="12">
        <f t="shared" si="10"/>
        <v>1600</v>
      </c>
      <c r="Y13" s="26">
        <f>Q13/11/0.8</f>
        <v>90.909090909090907</v>
      </c>
      <c r="Z13" s="12">
        <f t="shared" si="4"/>
        <v>181.81818181818181</v>
      </c>
      <c r="AA13" s="4" t="s">
        <v>10</v>
      </c>
      <c r="AB13" s="11">
        <f>IFERROR(VLOOKUP(AA13,Curr!$B$2:$C$13,2,FALSE),0)</f>
        <v>11.2</v>
      </c>
      <c r="AC13" s="12">
        <f t="shared" si="5"/>
        <v>2036.3636363636363</v>
      </c>
      <c r="AD13" s="12">
        <f t="shared" si="6"/>
        <v>436.36363636363626</v>
      </c>
      <c r="AE13" s="13">
        <f t="shared" si="7"/>
        <v>0.21428571428571425</v>
      </c>
    </row>
    <row r="14" spans="2:36" x14ac:dyDescent="0.25">
      <c r="B14" s="4"/>
      <c r="C14" s="1" t="s">
        <v>63</v>
      </c>
      <c r="D14" s="1" t="s">
        <v>50</v>
      </c>
      <c r="E14" s="3"/>
      <c r="F14" s="3"/>
      <c r="G14" s="24"/>
      <c r="H14" s="24"/>
      <c r="J14" s="1" t="s">
        <v>312</v>
      </c>
      <c r="K14" s="4"/>
      <c r="L14" s="4"/>
      <c r="M14" s="4"/>
      <c r="N14" s="4"/>
      <c r="O14" s="4"/>
      <c r="P14" s="33"/>
      <c r="Q14" s="25">
        <v>0</v>
      </c>
      <c r="R14" s="25">
        <v>0</v>
      </c>
      <c r="S14" s="12">
        <f t="shared" si="8"/>
        <v>0</v>
      </c>
      <c r="T14" s="5">
        <v>0</v>
      </c>
      <c r="U14" s="12">
        <f t="shared" si="9"/>
        <v>0</v>
      </c>
      <c r="V14" s="25" t="s">
        <v>10</v>
      </c>
      <c r="W14" s="11">
        <f>IFERROR(VLOOKUP(V14,Curr!$B$2:$C$13,2,FALSE),0)</f>
        <v>11.2</v>
      </c>
      <c r="X14" s="12">
        <f t="shared" si="10"/>
        <v>0</v>
      </c>
      <c r="Y14" s="26">
        <f t="shared" si="11"/>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313</v>
      </c>
      <c r="K15" s="4"/>
      <c r="L15" s="4"/>
      <c r="M15" s="4"/>
      <c r="N15" s="4"/>
      <c r="O15" s="4"/>
      <c r="P15" s="27"/>
      <c r="Q15" s="25">
        <v>150</v>
      </c>
      <c r="R15" s="25">
        <v>1</v>
      </c>
      <c r="S15" s="12">
        <f t="shared" si="8"/>
        <v>150</v>
      </c>
      <c r="T15" s="5">
        <v>0</v>
      </c>
      <c r="U15" s="12">
        <f t="shared" si="9"/>
        <v>150</v>
      </c>
      <c r="V15" s="25" t="s">
        <v>10</v>
      </c>
      <c r="W15" s="11">
        <f>IFERROR(VLOOKUP(V15,Curr!$B$2:$C$13,2,FALSE),0)</f>
        <v>11.2</v>
      </c>
      <c r="X15" s="12">
        <f t="shared" si="10"/>
        <v>1680</v>
      </c>
      <c r="Y15" s="26">
        <f>Q15/0.85</f>
        <v>176.47058823529412</v>
      </c>
      <c r="Z15" s="12">
        <f t="shared" si="4"/>
        <v>176.47058823529412</v>
      </c>
      <c r="AA15" s="4" t="s">
        <v>10</v>
      </c>
      <c r="AB15" s="11">
        <f>IFERROR(VLOOKUP(AA15,Curr!$B$2:$C$13,2,FALSE),0)</f>
        <v>11.2</v>
      </c>
      <c r="AC15" s="12">
        <f t="shared" si="5"/>
        <v>1976.4705882352939</v>
      </c>
      <c r="AD15" s="12">
        <f t="shared" si="6"/>
        <v>296.47058823529392</v>
      </c>
      <c r="AE15" s="13">
        <f t="shared" si="7"/>
        <v>0.14999999999999991</v>
      </c>
    </row>
    <row r="16" spans="2:36" x14ac:dyDescent="0.25">
      <c r="B16" s="4"/>
      <c r="C16" s="1" t="s">
        <v>63</v>
      </c>
      <c r="D16" s="1" t="s">
        <v>53</v>
      </c>
      <c r="E16" s="3"/>
      <c r="F16" s="3"/>
      <c r="G16" s="24"/>
      <c r="H16" s="24"/>
      <c r="J16" s="1" t="s">
        <v>314</v>
      </c>
      <c r="K16" s="4"/>
      <c r="L16" s="4"/>
      <c r="M16" s="4"/>
      <c r="N16" s="4"/>
      <c r="O16" s="4"/>
      <c r="P16" s="33"/>
      <c r="Q16" s="25">
        <v>0</v>
      </c>
      <c r="R16" s="25">
        <v>0</v>
      </c>
      <c r="S16" s="12">
        <f t="shared" si="8"/>
        <v>0</v>
      </c>
      <c r="T16" s="5">
        <v>0</v>
      </c>
      <c r="U16" s="12">
        <f t="shared" si="9"/>
        <v>0</v>
      </c>
      <c r="V16" s="25" t="s">
        <v>10</v>
      </c>
      <c r="W16" s="11">
        <f>IFERROR(VLOOKUP(V16,Curr!$B$2:$C$13,2,FALSE),0)</f>
        <v>11.2</v>
      </c>
      <c r="X16" s="12">
        <f t="shared" si="10"/>
        <v>0</v>
      </c>
      <c r="Y16" s="26">
        <f t="shared" si="11"/>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8"/>
        <v>0</v>
      </c>
      <c r="T17" s="5">
        <v>0</v>
      </c>
      <c r="U17" s="12">
        <f t="shared" si="9"/>
        <v>0</v>
      </c>
      <c r="V17" s="25" t="s">
        <v>10</v>
      </c>
      <c r="W17" s="11">
        <f>IFERROR(VLOOKUP(V17,Curr!$B$2:$C$13,2,FALSE),0)</f>
        <v>11.2</v>
      </c>
      <c r="X17" s="12">
        <f t="shared" si="10"/>
        <v>0</v>
      </c>
      <c r="Y17" s="26">
        <f t="shared" si="11"/>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323</v>
      </c>
      <c r="K18" s="4"/>
      <c r="L18" s="4"/>
      <c r="M18" s="4"/>
      <c r="N18" s="4"/>
      <c r="O18" s="4"/>
      <c r="P18" s="27"/>
      <c r="Q18" s="25">
        <v>150</v>
      </c>
      <c r="R18" s="25">
        <v>2</v>
      </c>
      <c r="S18" s="12">
        <f t="shared" si="8"/>
        <v>300</v>
      </c>
      <c r="T18" s="5">
        <v>0</v>
      </c>
      <c r="U18" s="12">
        <f t="shared" si="9"/>
        <v>300</v>
      </c>
      <c r="V18" s="25" t="s">
        <v>8</v>
      </c>
      <c r="W18" s="11">
        <f>IFERROR(VLOOKUP(V18,Curr!$B$2:$C$13,2,FALSE),0)</f>
        <v>1</v>
      </c>
      <c r="X18" s="12">
        <f t="shared" si="10"/>
        <v>300</v>
      </c>
      <c r="Y18" s="26">
        <f>Q18/11/0.8</f>
        <v>17.045454545454543</v>
      </c>
      <c r="Z18" s="12">
        <f t="shared" si="4"/>
        <v>34.090909090909086</v>
      </c>
      <c r="AA18" s="4" t="s">
        <v>10</v>
      </c>
      <c r="AB18" s="11">
        <f>IFERROR(VLOOKUP(AA18,Curr!$B$2:$C$13,2,FALSE),0)</f>
        <v>11.2</v>
      </c>
      <c r="AC18" s="12">
        <f t="shared" si="5"/>
        <v>381.81818181818176</v>
      </c>
      <c r="AD18" s="12">
        <f t="shared" si="6"/>
        <v>81.818181818181756</v>
      </c>
      <c r="AE18" s="13">
        <f t="shared" si="7"/>
        <v>0.21428571428571416</v>
      </c>
    </row>
    <row r="19" spans="2:31" x14ac:dyDescent="0.25">
      <c r="B19" s="4"/>
      <c r="C19" s="1" t="s">
        <v>69</v>
      </c>
      <c r="D19" s="1" t="s">
        <v>53</v>
      </c>
      <c r="E19" s="3"/>
      <c r="F19" s="3"/>
      <c r="G19" s="24"/>
      <c r="H19" s="24"/>
      <c r="J19" s="1" t="s">
        <v>314</v>
      </c>
      <c r="K19" s="4"/>
      <c r="L19" s="4"/>
      <c r="M19" s="4"/>
      <c r="N19" s="4"/>
      <c r="O19" s="4"/>
      <c r="P19" s="27"/>
      <c r="Q19" s="25">
        <v>0</v>
      </c>
      <c r="R19" s="25">
        <v>0</v>
      </c>
      <c r="S19" s="12">
        <f t="shared" si="8"/>
        <v>0</v>
      </c>
      <c r="T19" s="5">
        <v>0</v>
      </c>
      <c r="U19" s="12">
        <f t="shared" si="9"/>
        <v>0</v>
      </c>
      <c r="V19" s="25" t="s">
        <v>10</v>
      </c>
      <c r="W19" s="11">
        <f>IFERROR(VLOOKUP(V19,Curr!$B$2:$C$13,2,FALSE),0)</f>
        <v>11.2</v>
      </c>
      <c r="X19" s="12">
        <f t="shared" si="10"/>
        <v>0</v>
      </c>
      <c r="Y19" s="26">
        <f t="shared" si="11"/>
        <v>0</v>
      </c>
      <c r="Z19" s="12">
        <f t="shared" si="4"/>
        <v>0</v>
      </c>
      <c r="AA19" s="4" t="s">
        <v>10</v>
      </c>
      <c r="AB19" s="11">
        <f>IFERROR(VLOOKUP(AA19,Curr!$B$2:$C$13,2,FALSE),0)</f>
        <v>11.2</v>
      </c>
      <c r="AC19" s="12">
        <f t="shared" si="5"/>
        <v>0</v>
      </c>
      <c r="AD19" s="12">
        <f t="shared" si="6"/>
        <v>0</v>
      </c>
      <c r="AE19" s="13">
        <f t="shared" si="7"/>
        <v>0</v>
      </c>
    </row>
    <row r="20" spans="2:31" x14ac:dyDescent="0.25">
      <c r="B20" s="4"/>
      <c r="E20" s="3"/>
      <c r="F20" s="3"/>
      <c r="G20" s="24"/>
      <c r="H20" s="24"/>
      <c r="K20" s="4"/>
      <c r="L20" s="4"/>
      <c r="M20" s="4"/>
      <c r="N20" s="4"/>
      <c r="O20" s="4"/>
      <c r="P20" s="27"/>
      <c r="Q20" s="25"/>
      <c r="R20" s="25"/>
      <c r="S20" s="12">
        <f t="shared" si="8"/>
        <v>0</v>
      </c>
      <c r="T20" s="5">
        <v>0</v>
      </c>
      <c r="U20" s="12">
        <f t="shared" si="9"/>
        <v>0</v>
      </c>
      <c r="V20" s="25" t="s">
        <v>10</v>
      </c>
      <c r="W20" s="11">
        <f>IFERROR(VLOOKUP(V20,Curr!$B$2:$C$13,2,FALSE),0)</f>
        <v>11.2</v>
      </c>
      <c r="X20" s="12">
        <f t="shared" si="10"/>
        <v>0</v>
      </c>
      <c r="Y20" s="26">
        <f t="shared" si="11"/>
        <v>0</v>
      </c>
      <c r="Z20" s="12">
        <f t="shared" si="4"/>
        <v>0</v>
      </c>
      <c r="AA20" s="4" t="s">
        <v>10</v>
      </c>
      <c r="AB20" s="11">
        <f>IFERROR(VLOOKUP(AA20,Curr!$B$2:$C$13,2,FALSE),0)</f>
        <v>11.2</v>
      </c>
      <c r="AC20" s="12">
        <f t="shared" si="5"/>
        <v>0</v>
      </c>
      <c r="AD20" s="12">
        <f t="shared" si="6"/>
        <v>0</v>
      </c>
      <c r="AE20" s="13">
        <f t="shared" si="7"/>
        <v>0</v>
      </c>
    </row>
    <row r="21" spans="2:31" x14ac:dyDescent="0.25">
      <c r="B21" s="4"/>
      <c r="C21" s="1" t="s">
        <v>78</v>
      </c>
      <c r="D21" s="1" t="s">
        <v>50</v>
      </c>
      <c r="E21" s="3"/>
      <c r="F21" s="3"/>
      <c r="G21" s="24"/>
      <c r="H21" s="24"/>
      <c r="J21" s="1" t="s">
        <v>315</v>
      </c>
      <c r="K21" s="4"/>
      <c r="L21" s="4"/>
      <c r="M21" s="4"/>
      <c r="N21" s="4"/>
      <c r="O21" s="4"/>
      <c r="P21" s="33"/>
      <c r="Q21" s="25">
        <v>0</v>
      </c>
      <c r="R21" s="25">
        <v>0</v>
      </c>
      <c r="S21" s="12">
        <f t="shared" si="8"/>
        <v>0</v>
      </c>
      <c r="T21" s="5">
        <v>0</v>
      </c>
      <c r="U21" s="12">
        <f t="shared" si="9"/>
        <v>0</v>
      </c>
      <c r="V21" s="25" t="s">
        <v>10</v>
      </c>
      <c r="W21" s="11">
        <f>IFERROR(VLOOKUP(V21,Curr!$B$2:$C$13,2,FALSE),0)</f>
        <v>11.2</v>
      </c>
      <c r="X21" s="12">
        <f t="shared" si="10"/>
        <v>0</v>
      </c>
      <c r="Y21" s="26">
        <f t="shared" si="11"/>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66</v>
      </c>
      <c r="E22" s="3"/>
      <c r="F22" s="3"/>
      <c r="G22" s="24"/>
      <c r="H22" s="24"/>
      <c r="J22" s="1" t="s">
        <v>320</v>
      </c>
      <c r="K22" s="4"/>
      <c r="L22" s="4"/>
      <c r="M22" s="4"/>
      <c r="N22" s="4"/>
      <c r="O22" s="4"/>
      <c r="P22" s="33" t="s">
        <v>321</v>
      </c>
      <c r="Q22" s="25">
        <v>300</v>
      </c>
      <c r="R22" s="25">
        <v>2</v>
      </c>
      <c r="S22" s="12">
        <f t="shared" si="8"/>
        <v>600</v>
      </c>
      <c r="T22" s="5">
        <v>0</v>
      </c>
      <c r="U22" s="12">
        <f t="shared" si="9"/>
        <v>600</v>
      </c>
      <c r="V22" s="25" t="s">
        <v>8</v>
      </c>
      <c r="W22" s="11">
        <f>IFERROR(VLOOKUP(V22,Curr!$B$2:$C$13,2,FALSE),0)</f>
        <v>1</v>
      </c>
      <c r="X22" s="12">
        <f t="shared" si="10"/>
        <v>600</v>
      </c>
      <c r="Y22" s="26">
        <f>Q22/11/0.8</f>
        <v>34.090909090909086</v>
      </c>
      <c r="Z22" s="12">
        <f t="shared" si="4"/>
        <v>68.181818181818173</v>
      </c>
      <c r="AA22" s="4" t="s">
        <v>10</v>
      </c>
      <c r="AB22" s="11">
        <f>IFERROR(VLOOKUP(AA22,Curr!$B$2:$C$13,2,FALSE),0)</f>
        <v>11.2</v>
      </c>
      <c r="AC22" s="12">
        <f t="shared" si="5"/>
        <v>763.63636363636351</v>
      </c>
      <c r="AD22" s="12">
        <f t="shared" si="6"/>
        <v>163.63636363636351</v>
      </c>
      <c r="AE22" s="13">
        <f t="shared" si="7"/>
        <v>0.21428571428571416</v>
      </c>
    </row>
    <row r="23" spans="2:31" x14ac:dyDescent="0.25">
      <c r="B23" s="4"/>
      <c r="C23" s="1" t="s">
        <v>78</v>
      </c>
      <c r="D23" s="1" t="s">
        <v>50</v>
      </c>
      <c r="E23" s="3"/>
      <c r="F23" s="3"/>
      <c r="G23" s="24"/>
      <c r="H23" s="24"/>
      <c r="J23" s="1" t="s">
        <v>224</v>
      </c>
      <c r="K23" s="4"/>
      <c r="L23" s="4"/>
      <c r="M23" s="4"/>
      <c r="N23" s="4"/>
      <c r="O23" s="4"/>
      <c r="P23" s="29"/>
      <c r="Q23" s="25">
        <v>0</v>
      </c>
      <c r="R23" s="25">
        <v>0</v>
      </c>
      <c r="S23" s="12">
        <f t="shared" si="8"/>
        <v>0</v>
      </c>
      <c r="T23" s="5">
        <v>0</v>
      </c>
      <c r="U23" s="12">
        <f t="shared" si="9"/>
        <v>0</v>
      </c>
      <c r="V23" s="25" t="s">
        <v>10</v>
      </c>
      <c r="W23" s="11">
        <f>IFERROR(VLOOKUP(V23,Curr!$B$2:$C$13,2,FALSE),0)</f>
        <v>11.2</v>
      </c>
      <c r="X23" s="12">
        <f t="shared" si="10"/>
        <v>0</v>
      </c>
      <c r="Y23" s="26">
        <f t="shared" si="11"/>
        <v>0</v>
      </c>
      <c r="Z23" s="12">
        <f t="shared" si="4"/>
        <v>0</v>
      </c>
      <c r="AA23" s="4" t="s">
        <v>10</v>
      </c>
      <c r="AB23" s="11">
        <f>IFERROR(VLOOKUP(AA23,Curr!$B$2:$C$13,2,FALSE),0)</f>
        <v>11.2</v>
      </c>
      <c r="AC23" s="12">
        <f t="shared" si="5"/>
        <v>0</v>
      </c>
      <c r="AD23" s="12">
        <f t="shared" si="6"/>
        <v>0</v>
      </c>
      <c r="AE23" s="13">
        <f t="shared" si="7"/>
        <v>0</v>
      </c>
    </row>
    <row r="24" spans="2:31" x14ac:dyDescent="0.25">
      <c r="B24" s="4"/>
      <c r="C24" s="1" t="s">
        <v>78</v>
      </c>
      <c r="D24" s="1" t="s">
        <v>52</v>
      </c>
      <c r="E24" s="3"/>
      <c r="F24" s="3"/>
      <c r="G24" s="24"/>
      <c r="H24" s="24"/>
      <c r="J24" s="1" t="s">
        <v>316</v>
      </c>
      <c r="K24" s="4"/>
      <c r="L24" s="4"/>
      <c r="M24" s="4"/>
      <c r="N24" s="4"/>
      <c r="O24" s="4"/>
      <c r="P24" s="33" t="s">
        <v>324</v>
      </c>
      <c r="Q24" s="25">
        <v>150</v>
      </c>
      <c r="R24" s="25">
        <v>1</v>
      </c>
      <c r="S24" s="12">
        <f t="shared" si="8"/>
        <v>150</v>
      </c>
      <c r="T24" s="5">
        <v>0</v>
      </c>
      <c r="U24" s="12">
        <f t="shared" si="9"/>
        <v>150</v>
      </c>
      <c r="V24" s="25" t="s">
        <v>10</v>
      </c>
      <c r="W24" s="11">
        <f>IFERROR(VLOOKUP(V24,Curr!$B$2:$C$13,2,FALSE),0)</f>
        <v>11.2</v>
      </c>
      <c r="X24" s="12">
        <f t="shared" si="10"/>
        <v>1680</v>
      </c>
      <c r="Y24" s="26">
        <f>Q24/0.85</f>
        <v>176.47058823529412</v>
      </c>
      <c r="Z24" s="12">
        <f t="shared" si="4"/>
        <v>176.47058823529412</v>
      </c>
      <c r="AA24" s="4" t="s">
        <v>10</v>
      </c>
      <c r="AB24" s="11">
        <f>IFERROR(VLOOKUP(AA24,Curr!$B$2:$C$13,2,FALSE),0)</f>
        <v>11.2</v>
      </c>
      <c r="AC24" s="12">
        <f t="shared" si="5"/>
        <v>1976.4705882352939</v>
      </c>
      <c r="AD24" s="12">
        <f t="shared" si="6"/>
        <v>296.47058823529392</v>
      </c>
      <c r="AE24" s="13">
        <f t="shared" si="7"/>
        <v>0.14999999999999991</v>
      </c>
    </row>
    <row r="25" spans="2:31" x14ac:dyDescent="0.25">
      <c r="B25" s="4"/>
      <c r="C25" s="1" t="s">
        <v>78</v>
      </c>
      <c r="D25" s="1" t="s">
        <v>53</v>
      </c>
      <c r="E25" s="3"/>
      <c r="F25" s="3"/>
      <c r="G25" s="24"/>
      <c r="H25" s="24"/>
      <c r="J25" s="1" t="s">
        <v>226</v>
      </c>
      <c r="K25" s="4"/>
      <c r="L25" s="4"/>
      <c r="M25" s="4"/>
      <c r="N25" s="4"/>
      <c r="O25" s="4"/>
      <c r="P25" s="27"/>
      <c r="Q25" s="25">
        <v>0</v>
      </c>
      <c r="R25" s="25">
        <v>0</v>
      </c>
      <c r="S25" s="12">
        <f t="shared" si="8"/>
        <v>0</v>
      </c>
      <c r="T25" s="5">
        <v>0</v>
      </c>
      <c r="U25" s="12">
        <f t="shared" si="9"/>
        <v>0</v>
      </c>
      <c r="V25" s="25" t="s">
        <v>10</v>
      </c>
      <c r="W25" s="11">
        <f>IFERROR(VLOOKUP(V25,Curr!$B$2:$C$13,2,FALSE),0)</f>
        <v>11.2</v>
      </c>
      <c r="X25" s="12">
        <f t="shared" si="10"/>
        <v>0</v>
      </c>
      <c r="Y25" s="26">
        <f t="shared" si="11"/>
        <v>0</v>
      </c>
      <c r="Z25" s="12">
        <f t="shared" si="4"/>
        <v>0</v>
      </c>
      <c r="AA25" s="4" t="s">
        <v>10</v>
      </c>
      <c r="AB25" s="11">
        <f>IFERROR(VLOOKUP(AA25,Curr!$B$2:$C$13,2,FALSE),0)</f>
        <v>11.2</v>
      </c>
      <c r="AC25" s="12">
        <f t="shared" si="5"/>
        <v>0</v>
      </c>
      <c r="AD25" s="12">
        <f t="shared" si="6"/>
        <v>0</v>
      </c>
      <c r="AE25" s="13">
        <f t="shared" si="7"/>
        <v>0</v>
      </c>
    </row>
    <row r="26" spans="2:31" x14ac:dyDescent="0.25">
      <c r="B26" s="4"/>
      <c r="E26" s="3"/>
      <c r="F26" s="3"/>
      <c r="G26" s="24"/>
      <c r="H26" s="24"/>
      <c r="K26" s="4"/>
      <c r="L26" s="4"/>
      <c r="M26" s="4"/>
      <c r="N26" s="4"/>
      <c r="O26" s="4"/>
      <c r="P26" s="27"/>
      <c r="Q26" s="25"/>
      <c r="R26" s="25"/>
      <c r="S26" s="12">
        <f t="shared" si="8"/>
        <v>0</v>
      </c>
      <c r="T26" s="5">
        <v>0</v>
      </c>
      <c r="U26" s="12">
        <f t="shared" si="9"/>
        <v>0</v>
      </c>
      <c r="V26" s="25" t="s">
        <v>10</v>
      </c>
      <c r="W26" s="11">
        <f>IFERROR(VLOOKUP(V26,Curr!$B$2:$C$13,2,FALSE),0)</f>
        <v>11.2</v>
      </c>
      <c r="X26" s="12">
        <f t="shared" si="10"/>
        <v>0</v>
      </c>
      <c r="Y26" s="26">
        <f t="shared" si="11"/>
        <v>0</v>
      </c>
      <c r="Z26" s="12">
        <f t="shared" si="4"/>
        <v>0</v>
      </c>
      <c r="AA26" s="4" t="s">
        <v>10</v>
      </c>
      <c r="AB26" s="11">
        <f>IFERROR(VLOOKUP(AA26,Curr!$B$2:$C$13,2,FALSE),0)</f>
        <v>11.2</v>
      </c>
      <c r="AC26" s="12">
        <f t="shared" si="5"/>
        <v>0</v>
      </c>
      <c r="AD26" s="12">
        <f t="shared" si="6"/>
        <v>0</v>
      </c>
      <c r="AE26" s="13">
        <f t="shared" si="7"/>
        <v>0</v>
      </c>
    </row>
    <row r="27" spans="2:31" x14ac:dyDescent="0.25">
      <c r="B27" s="4"/>
      <c r="C27" s="1" t="s">
        <v>80</v>
      </c>
      <c r="D27" s="1" t="s">
        <v>50</v>
      </c>
      <c r="E27" s="3"/>
      <c r="F27" s="3"/>
      <c r="G27" s="24"/>
      <c r="H27" s="24"/>
      <c r="J27" s="1" t="s">
        <v>228</v>
      </c>
      <c r="K27" s="4"/>
      <c r="L27" s="4"/>
      <c r="M27" s="4"/>
      <c r="N27" s="4"/>
      <c r="O27" s="4"/>
      <c r="P27" s="33"/>
      <c r="Q27" s="25">
        <v>0</v>
      </c>
      <c r="R27" s="25">
        <v>0</v>
      </c>
      <c r="S27" s="12">
        <f t="shared" si="8"/>
        <v>0</v>
      </c>
      <c r="T27" s="5">
        <v>0</v>
      </c>
      <c r="U27" s="12">
        <f t="shared" si="9"/>
        <v>0</v>
      </c>
      <c r="V27" s="25" t="s">
        <v>10</v>
      </c>
      <c r="W27" s="11">
        <f>IFERROR(VLOOKUP(V27,Curr!$B$2:$C$13,2,FALSE),0)</f>
        <v>11.2</v>
      </c>
      <c r="X27" s="12">
        <f t="shared" si="10"/>
        <v>0</v>
      </c>
      <c r="Y27" s="26">
        <f t="shared" si="11"/>
        <v>0</v>
      </c>
      <c r="Z27" s="12">
        <f t="shared" si="4"/>
        <v>0</v>
      </c>
      <c r="AA27" s="4" t="s">
        <v>10</v>
      </c>
      <c r="AB27" s="11">
        <f>IFERROR(VLOOKUP(AA27,Curr!$B$2:$C$13,2,FALSE),0)</f>
        <v>11.2</v>
      </c>
      <c r="AC27" s="12">
        <f t="shared" si="5"/>
        <v>0</v>
      </c>
      <c r="AD27" s="12">
        <f t="shared" si="6"/>
        <v>0</v>
      </c>
      <c r="AE27" s="13">
        <f t="shared" si="7"/>
        <v>0</v>
      </c>
    </row>
    <row r="28" spans="2:31" x14ac:dyDescent="0.25">
      <c r="B28" s="4"/>
      <c r="C28" s="1" t="s">
        <v>80</v>
      </c>
      <c r="D28" s="1" t="s">
        <v>79</v>
      </c>
      <c r="E28" s="3"/>
      <c r="F28" s="3"/>
      <c r="G28" s="24"/>
      <c r="H28" s="24"/>
      <c r="J28" s="1" t="s">
        <v>317</v>
      </c>
      <c r="K28" s="4"/>
      <c r="L28" s="4"/>
      <c r="M28" s="4"/>
      <c r="N28" s="4"/>
      <c r="O28" s="4"/>
      <c r="P28" s="33"/>
      <c r="Q28" s="25">
        <v>1100</v>
      </c>
      <c r="R28" s="25">
        <v>2</v>
      </c>
      <c r="S28" s="12">
        <f t="shared" si="8"/>
        <v>2200</v>
      </c>
      <c r="T28" s="5">
        <v>0</v>
      </c>
      <c r="U28" s="12">
        <f t="shared" si="9"/>
        <v>2200</v>
      </c>
      <c r="V28" s="25" t="s">
        <v>8</v>
      </c>
      <c r="W28" s="11">
        <f>IFERROR(VLOOKUP(V28,Curr!$B$2:$C$13,2,FALSE),0)</f>
        <v>1</v>
      </c>
      <c r="X28" s="12">
        <f t="shared" si="10"/>
        <v>2200</v>
      </c>
      <c r="Y28" s="26">
        <f>Q28/11/0.8</f>
        <v>125</v>
      </c>
      <c r="Z28" s="12">
        <f t="shared" si="4"/>
        <v>250</v>
      </c>
      <c r="AA28" s="4" t="s">
        <v>10</v>
      </c>
      <c r="AB28" s="11">
        <f>IFERROR(VLOOKUP(AA28,Curr!$B$2:$C$13,2,FALSE),0)</f>
        <v>11.2</v>
      </c>
      <c r="AC28" s="12">
        <f t="shared" si="5"/>
        <v>2800</v>
      </c>
      <c r="AD28" s="12">
        <f t="shared" si="6"/>
        <v>600</v>
      </c>
      <c r="AE28" s="13">
        <f t="shared" si="7"/>
        <v>0.21428571428571427</v>
      </c>
    </row>
    <row r="29" spans="2:31" x14ac:dyDescent="0.25">
      <c r="B29" s="4"/>
      <c r="C29" s="1" t="s">
        <v>80</v>
      </c>
      <c r="D29" s="1" t="s">
        <v>73</v>
      </c>
      <c r="E29" s="3"/>
      <c r="F29" s="3"/>
      <c r="G29" s="24"/>
      <c r="H29" s="24"/>
      <c r="J29" s="1" t="s">
        <v>298</v>
      </c>
      <c r="K29" s="4"/>
      <c r="L29" s="4"/>
      <c r="M29" s="4"/>
      <c r="N29" s="4"/>
      <c r="O29" s="4"/>
      <c r="P29" s="33" t="s">
        <v>304</v>
      </c>
      <c r="Q29" s="25">
        <v>18900</v>
      </c>
      <c r="R29" s="25">
        <v>2</v>
      </c>
      <c r="S29" s="12">
        <f t="shared" si="8"/>
        <v>37800</v>
      </c>
      <c r="T29" s="5">
        <v>0.2</v>
      </c>
      <c r="U29" s="12">
        <f t="shared" si="9"/>
        <v>30240</v>
      </c>
      <c r="V29" s="25" t="s">
        <v>8</v>
      </c>
      <c r="W29" s="11">
        <f>IFERROR(VLOOKUP(V29,Curr!$B$2:$C$13,2,FALSE),0)</f>
        <v>1</v>
      </c>
      <c r="X29" s="12">
        <f t="shared" si="10"/>
        <v>30240</v>
      </c>
      <c r="Y29" s="26">
        <f>Q29/11*0.94</f>
        <v>1615.090909090909</v>
      </c>
      <c r="Z29" s="12">
        <f t="shared" si="4"/>
        <v>3230.181818181818</v>
      </c>
      <c r="AA29" s="4" t="s">
        <v>10</v>
      </c>
      <c r="AB29" s="11">
        <f>IFERROR(VLOOKUP(AA29,Curr!$B$2:$C$13,2,FALSE),0)</f>
        <v>11.2</v>
      </c>
      <c r="AC29" s="12">
        <f t="shared" si="5"/>
        <v>36178.036363636362</v>
      </c>
      <c r="AD29" s="12">
        <f t="shared" si="6"/>
        <v>5938.0363636363618</v>
      </c>
      <c r="AE29" s="13">
        <f t="shared" si="7"/>
        <v>0.16413373860182368</v>
      </c>
    </row>
    <row r="30" spans="2:31" x14ac:dyDescent="0.25">
      <c r="B30" s="4"/>
      <c r="C30" s="1" t="s">
        <v>80</v>
      </c>
      <c r="D30" s="1" t="s">
        <v>73</v>
      </c>
      <c r="E30" s="3"/>
      <c r="F30" s="3"/>
      <c r="G30" s="24"/>
      <c r="H30" s="24"/>
      <c r="J30" s="1" t="s">
        <v>299</v>
      </c>
      <c r="K30" s="4"/>
      <c r="L30" s="4"/>
      <c r="M30" s="4"/>
      <c r="N30" s="4"/>
      <c r="O30" s="4"/>
      <c r="P30" s="27"/>
      <c r="Q30" s="25">
        <v>0</v>
      </c>
      <c r="R30" s="25">
        <v>0</v>
      </c>
      <c r="S30" s="12">
        <f t="shared" si="8"/>
        <v>0</v>
      </c>
      <c r="T30" s="5">
        <v>0</v>
      </c>
      <c r="U30" s="12">
        <f t="shared" si="9"/>
        <v>0</v>
      </c>
      <c r="V30" s="25" t="s">
        <v>10</v>
      </c>
      <c r="W30" s="11">
        <f>IFERROR(VLOOKUP(V30,Curr!$B$2:$C$13,2,FALSE),0)</f>
        <v>11.2</v>
      </c>
      <c r="X30" s="12">
        <f t="shared" si="10"/>
        <v>0</v>
      </c>
      <c r="Y30" s="26">
        <f t="shared" ref="Y30:Y34" si="12">Q30</f>
        <v>0</v>
      </c>
      <c r="Z30" s="12">
        <f t="shared" si="4"/>
        <v>0</v>
      </c>
      <c r="AA30" s="4" t="s">
        <v>10</v>
      </c>
      <c r="AB30" s="11">
        <f>IFERROR(VLOOKUP(AA30,Curr!$B$2:$C$13,2,FALSE),0)</f>
        <v>11.2</v>
      </c>
      <c r="AC30" s="12">
        <f t="shared" si="5"/>
        <v>0</v>
      </c>
      <c r="AD30" s="12">
        <f t="shared" si="6"/>
        <v>0</v>
      </c>
      <c r="AE30" s="13">
        <f t="shared" si="7"/>
        <v>0</v>
      </c>
    </row>
    <row r="31" spans="2:31" x14ac:dyDescent="0.25">
      <c r="B31" s="4"/>
      <c r="E31" s="3"/>
      <c r="F31" s="3"/>
      <c r="G31" s="24"/>
      <c r="H31" s="24"/>
      <c r="K31" s="4"/>
      <c r="L31" s="4"/>
      <c r="M31" s="4"/>
      <c r="N31" s="4"/>
      <c r="O31" s="4"/>
      <c r="P31" s="33"/>
      <c r="Q31" s="25"/>
      <c r="R31" s="25"/>
      <c r="S31" s="12">
        <f t="shared" si="8"/>
        <v>0</v>
      </c>
      <c r="T31" s="5">
        <v>0</v>
      </c>
      <c r="U31" s="12">
        <f t="shared" si="9"/>
        <v>0</v>
      </c>
      <c r="V31" s="25" t="s">
        <v>10</v>
      </c>
      <c r="W31" s="11">
        <f>IFERROR(VLOOKUP(V31,Curr!$B$2:$C$13,2,FALSE),0)</f>
        <v>11.2</v>
      </c>
      <c r="X31" s="12">
        <f t="shared" si="10"/>
        <v>0</v>
      </c>
      <c r="Y31" s="26">
        <f t="shared" si="12"/>
        <v>0</v>
      </c>
      <c r="Z31" s="12">
        <f t="shared" si="4"/>
        <v>0</v>
      </c>
      <c r="AA31" s="4" t="s">
        <v>10</v>
      </c>
      <c r="AB31" s="11">
        <f>IFERROR(VLOOKUP(AA31,Curr!$B$2:$C$13,2,FALSE),0)</f>
        <v>11.2</v>
      </c>
      <c r="AC31" s="12">
        <f t="shared" si="5"/>
        <v>0</v>
      </c>
      <c r="AD31" s="12">
        <f t="shared" si="6"/>
        <v>0</v>
      </c>
      <c r="AE31" s="13">
        <f t="shared" si="7"/>
        <v>0</v>
      </c>
    </row>
    <row r="32" spans="2:31" x14ac:dyDescent="0.25">
      <c r="B32" s="4"/>
      <c r="C32" s="1" t="s">
        <v>81</v>
      </c>
      <c r="D32" s="1" t="s">
        <v>73</v>
      </c>
      <c r="E32" s="3"/>
      <c r="F32" s="3"/>
      <c r="G32" s="24"/>
      <c r="H32" s="24"/>
      <c r="J32" s="1" t="s">
        <v>300</v>
      </c>
      <c r="K32" s="4"/>
      <c r="L32" s="4"/>
      <c r="M32" s="4"/>
      <c r="N32" s="4"/>
      <c r="O32" s="4"/>
      <c r="P32" s="29"/>
      <c r="Q32" s="25">
        <v>0</v>
      </c>
      <c r="R32" s="25">
        <v>0</v>
      </c>
      <c r="S32" s="12">
        <f t="shared" si="8"/>
        <v>0</v>
      </c>
      <c r="T32" s="5">
        <v>0</v>
      </c>
      <c r="U32" s="12">
        <f t="shared" si="9"/>
        <v>0</v>
      </c>
      <c r="V32" s="25" t="s">
        <v>10</v>
      </c>
      <c r="W32" s="11">
        <f>IFERROR(VLOOKUP(V32,Curr!$B$2:$C$13,2,FALSE),0)</f>
        <v>11.2</v>
      </c>
      <c r="X32" s="12">
        <f t="shared" si="10"/>
        <v>0</v>
      </c>
      <c r="Y32" s="26">
        <f t="shared" si="12"/>
        <v>0</v>
      </c>
      <c r="Z32" s="12">
        <f t="shared" si="4"/>
        <v>0</v>
      </c>
      <c r="AA32" s="4" t="s">
        <v>10</v>
      </c>
      <c r="AB32" s="11">
        <f>IFERROR(VLOOKUP(AA32,Curr!$B$2:$C$13,2,FALSE),0)</f>
        <v>11.2</v>
      </c>
      <c r="AC32" s="12">
        <f t="shared" si="5"/>
        <v>0</v>
      </c>
      <c r="AD32" s="12">
        <f t="shared" si="6"/>
        <v>0</v>
      </c>
      <c r="AE32" s="13">
        <f t="shared" si="7"/>
        <v>0</v>
      </c>
    </row>
    <row r="33" spans="2:31" x14ac:dyDescent="0.25">
      <c r="B33" s="4"/>
      <c r="E33" s="3"/>
      <c r="F33" s="3"/>
      <c r="G33" s="24"/>
      <c r="H33" s="24"/>
      <c r="K33" s="4"/>
      <c r="L33" s="4"/>
      <c r="M33" s="4"/>
      <c r="N33" s="4"/>
      <c r="O33" s="4"/>
      <c r="P33" s="27"/>
      <c r="Q33" s="25"/>
      <c r="R33" s="25"/>
      <c r="S33" s="12">
        <f t="shared" si="8"/>
        <v>0</v>
      </c>
      <c r="T33" s="5">
        <v>0</v>
      </c>
      <c r="U33" s="12">
        <f t="shared" si="9"/>
        <v>0</v>
      </c>
      <c r="V33" s="25" t="s">
        <v>10</v>
      </c>
      <c r="W33" s="11">
        <f>IFERROR(VLOOKUP(V33,Curr!$B$2:$C$13,2,FALSE),0)</f>
        <v>11.2</v>
      </c>
      <c r="X33" s="12">
        <f t="shared" si="10"/>
        <v>0</v>
      </c>
      <c r="Y33" s="26">
        <f t="shared" si="12"/>
        <v>0</v>
      </c>
      <c r="Z33" s="12">
        <f t="shared" si="4"/>
        <v>0</v>
      </c>
      <c r="AA33" s="4" t="s">
        <v>10</v>
      </c>
      <c r="AB33" s="11">
        <f>IFERROR(VLOOKUP(AA33,Curr!$B$2:$C$13,2,FALSE),0)</f>
        <v>11.2</v>
      </c>
      <c r="AC33" s="12">
        <f t="shared" si="5"/>
        <v>0</v>
      </c>
      <c r="AD33" s="12">
        <f t="shared" si="6"/>
        <v>0</v>
      </c>
      <c r="AE33" s="13">
        <f t="shared" si="7"/>
        <v>0</v>
      </c>
    </row>
    <row r="34" spans="2:31" x14ac:dyDescent="0.25">
      <c r="B34" s="4"/>
      <c r="C34" s="1" t="s">
        <v>114</v>
      </c>
      <c r="D34" s="1" t="s">
        <v>73</v>
      </c>
      <c r="E34" s="3"/>
      <c r="F34" s="3"/>
      <c r="G34" s="24"/>
      <c r="H34" s="24"/>
      <c r="J34" s="1" t="s">
        <v>301</v>
      </c>
      <c r="K34" s="4"/>
      <c r="L34" s="4"/>
      <c r="M34" s="4"/>
      <c r="N34" s="4"/>
      <c r="O34" s="4"/>
      <c r="P34" s="27"/>
      <c r="Q34" s="25">
        <v>0</v>
      </c>
      <c r="R34" s="25">
        <v>0</v>
      </c>
      <c r="S34" s="12">
        <f t="shared" si="8"/>
        <v>0</v>
      </c>
      <c r="T34" s="5">
        <v>0</v>
      </c>
      <c r="U34" s="12">
        <f t="shared" si="9"/>
        <v>0</v>
      </c>
      <c r="V34" s="25" t="s">
        <v>10</v>
      </c>
      <c r="W34" s="11">
        <f>IFERROR(VLOOKUP(V34,Curr!$B$2:$C$13,2,FALSE),0)</f>
        <v>11.2</v>
      </c>
      <c r="X34" s="12">
        <f t="shared" si="10"/>
        <v>0</v>
      </c>
      <c r="Y34" s="26">
        <f t="shared" si="12"/>
        <v>0</v>
      </c>
      <c r="Z34" s="12">
        <f t="shared" si="4"/>
        <v>0</v>
      </c>
      <c r="AA34" s="4" t="s">
        <v>10</v>
      </c>
      <c r="AB34" s="11">
        <f>IFERROR(VLOOKUP(AA34,Curr!$B$2:$C$13,2,FALSE),0)</f>
        <v>11.2</v>
      </c>
      <c r="AC34" s="12">
        <f t="shared" si="5"/>
        <v>0</v>
      </c>
      <c r="AD34" s="12">
        <f t="shared" si="6"/>
        <v>0</v>
      </c>
      <c r="AE34" s="13">
        <f t="shared" si="7"/>
        <v>0</v>
      </c>
    </row>
    <row r="35" spans="2:31" x14ac:dyDescent="0.25">
      <c r="B35" s="4"/>
      <c r="C35" s="1" t="s">
        <v>114</v>
      </c>
      <c r="D35" s="1" t="s">
        <v>79</v>
      </c>
      <c r="E35" s="3"/>
      <c r="F35" s="3"/>
      <c r="G35" s="24"/>
      <c r="H35" s="24"/>
      <c r="J35" s="1" t="s">
        <v>322</v>
      </c>
      <c r="K35" s="4"/>
      <c r="L35" s="4"/>
      <c r="M35" s="4"/>
      <c r="N35" s="4"/>
      <c r="O35" s="4"/>
      <c r="P35" s="33"/>
      <c r="Q35" s="25">
        <v>1600</v>
      </c>
      <c r="R35" s="25">
        <v>2</v>
      </c>
      <c r="S35" s="12">
        <f t="shared" si="8"/>
        <v>3200</v>
      </c>
      <c r="T35" s="5">
        <v>0</v>
      </c>
      <c r="U35" s="12">
        <f t="shared" si="9"/>
        <v>3200</v>
      </c>
      <c r="V35" s="25" t="s">
        <v>8</v>
      </c>
      <c r="W35" s="11">
        <f>IFERROR(VLOOKUP(V35,Curr!$B$2:$C$13,2,FALSE),0)</f>
        <v>1</v>
      </c>
      <c r="X35" s="12">
        <f t="shared" ref="X35" si="13">U35*W35</f>
        <v>3200</v>
      </c>
      <c r="Y35" s="26">
        <f>Q35/11/0.8</f>
        <v>181.81818181818181</v>
      </c>
      <c r="Z35" s="12">
        <f t="shared" si="4"/>
        <v>363.63636363636363</v>
      </c>
      <c r="AA35" s="4" t="s">
        <v>10</v>
      </c>
      <c r="AB35" s="11">
        <f>IFERROR(VLOOKUP(AA35,Curr!$B$2:$C$13,2,FALSE),0)</f>
        <v>11.2</v>
      </c>
      <c r="AC35" s="12">
        <f t="shared" si="5"/>
        <v>4072.7272727272725</v>
      </c>
      <c r="AD35" s="12">
        <f t="shared" si="6"/>
        <v>872.72727272727252</v>
      </c>
      <c r="AE35" s="13">
        <f t="shared" si="7"/>
        <v>0.21428571428571425</v>
      </c>
    </row>
    <row r="36" spans="2:31" x14ac:dyDescent="0.25">
      <c r="B36" s="4"/>
      <c r="C36" s="1" t="s">
        <v>114</v>
      </c>
      <c r="D36" s="1" t="s">
        <v>50</v>
      </c>
      <c r="E36" s="3"/>
      <c r="F36" s="3"/>
      <c r="G36" s="24"/>
      <c r="H36" s="24"/>
      <c r="J36" s="1" t="s">
        <v>84</v>
      </c>
      <c r="K36" s="4"/>
      <c r="L36" s="4"/>
      <c r="M36" s="4"/>
      <c r="N36" s="4"/>
      <c r="O36" s="4"/>
      <c r="P36" s="33"/>
      <c r="Q36" s="25">
        <v>0</v>
      </c>
      <c r="R36" s="25">
        <v>0</v>
      </c>
      <c r="S36" s="12">
        <f t="shared" si="8"/>
        <v>0</v>
      </c>
      <c r="T36" s="5">
        <v>0</v>
      </c>
      <c r="U36" s="12">
        <f t="shared" si="9"/>
        <v>0</v>
      </c>
      <c r="V36" s="25" t="s">
        <v>10</v>
      </c>
      <c r="W36" s="11">
        <f>IFERROR(VLOOKUP(V36,Curr!$B$2:$C$13,2,FALSE),0)</f>
        <v>11.2</v>
      </c>
      <c r="X36" s="12">
        <f t="shared" si="10"/>
        <v>0</v>
      </c>
      <c r="Y36" s="26">
        <f t="shared" si="11"/>
        <v>0</v>
      </c>
      <c r="Z36" s="12">
        <f t="shared" si="4"/>
        <v>0</v>
      </c>
      <c r="AA36" s="4" t="s">
        <v>10</v>
      </c>
      <c r="AB36" s="11">
        <f>IFERROR(VLOOKUP(AA36,Curr!$B$2:$C$13,2,FALSE),0)</f>
        <v>11.2</v>
      </c>
      <c r="AC36" s="12">
        <f t="shared" si="5"/>
        <v>0</v>
      </c>
      <c r="AD36" s="12">
        <f t="shared" si="6"/>
        <v>0</v>
      </c>
      <c r="AE36" s="13">
        <f t="shared" si="7"/>
        <v>0</v>
      </c>
    </row>
    <row r="37" spans="2:31" x14ac:dyDescent="0.25">
      <c r="B37" s="4"/>
      <c r="C37" s="1" t="s">
        <v>114</v>
      </c>
      <c r="D37" s="1" t="s">
        <v>52</v>
      </c>
      <c r="E37" s="3"/>
      <c r="F37" s="3"/>
      <c r="G37" s="24"/>
      <c r="H37" s="24"/>
      <c r="J37" s="1" t="s">
        <v>318</v>
      </c>
      <c r="K37" s="4"/>
      <c r="L37" s="4"/>
      <c r="M37" s="4"/>
      <c r="N37" s="4"/>
      <c r="O37" s="4"/>
      <c r="P37" s="33"/>
      <c r="Q37" s="25">
        <v>500</v>
      </c>
      <c r="R37" s="25">
        <v>1</v>
      </c>
      <c r="S37" s="12">
        <f t="shared" si="8"/>
        <v>500</v>
      </c>
      <c r="T37" s="5">
        <v>0</v>
      </c>
      <c r="U37" s="12">
        <f t="shared" si="9"/>
        <v>500</v>
      </c>
      <c r="V37" s="25" t="s">
        <v>10</v>
      </c>
      <c r="W37" s="11">
        <f>IFERROR(VLOOKUP(V37,Curr!$B$2:$C$13,2,FALSE),0)</f>
        <v>11.2</v>
      </c>
      <c r="X37" s="12">
        <f t="shared" si="10"/>
        <v>5600</v>
      </c>
      <c r="Y37" s="26">
        <f>Q37/0.85</f>
        <v>588.23529411764707</v>
      </c>
      <c r="Z37" s="12">
        <f t="shared" si="4"/>
        <v>588.23529411764707</v>
      </c>
      <c r="AA37" s="4" t="s">
        <v>10</v>
      </c>
      <c r="AB37" s="11">
        <f>IFERROR(VLOOKUP(AA37,Curr!$B$2:$C$13,2,FALSE),0)</f>
        <v>11.2</v>
      </c>
      <c r="AC37" s="12">
        <f t="shared" si="5"/>
        <v>6588.2352941176468</v>
      </c>
      <c r="AD37" s="12">
        <f t="shared" si="6"/>
        <v>988.23529411764684</v>
      </c>
      <c r="AE37" s="13">
        <f t="shared" si="7"/>
        <v>0.14999999999999997</v>
      </c>
    </row>
    <row r="38" spans="2:31" x14ac:dyDescent="0.25">
      <c r="B38" s="4"/>
      <c r="C38" s="1" t="s">
        <v>114</v>
      </c>
      <c r="D38" s="1" t="s">
        <v>53</v>
      </c>
      <c r="E38" s="3"/>
      <c r="F38" s="3"/>
      <c r="G38" s="24"/>
      <c r="H38" s="24"/>
      <c r="J38" s="1" t="s">
        <v>85</v>
      </c>
      <c r="K38" s="4"/>
      <c r="L38" s="4"/>
      <c r="M38" s="4"/>
      <c r="N38" s="4"/>
      <c r="O38" s="4"/>
      <c r="P38" s="27"/>
      <c r="Q38" s="25">
        <v>0</v>
      </c>
      <c r="R38" s="25">
        <v>0</v>
      </c>
      <c r="S38" s="12">
        <f t="shared" si="8"/>
        <v>0</v>
      </c>
      <c r="T38" s="5">
        <v>0</v>
      </c>
      <c r="U38" s="12">
        <f t="shared" si="9"/>
        <v>0</v>
      </c>
      <c r="V38" s="25" t="s">
        <v>10</v>
      </c>
      <c r="W38" s="11">
        <f>IFERROR(VLOOKUP(V38,Curr!$B$2:$C$13,2,FALSE),0)</f>
        <v>11.2</v>
      </c>
      <c r="X38" s="12">
        <f t="shared" si="10"/>
        <v>0</v>
      </c>
      <c r="Y38" s="26">
        <f t="shared" si="11"/>
        <v>0</v>
      </c>
      <c r="Z38" s="12">
        <f t="shared" si="4"/>
        <v>0</v>
      </c>
      <c r="AA38" s="4" t="s">
        <v>10</v>
      </c>
      <c r="AB38" s="11">
        <f>IFERROR(VLOOKUP(AA38,Curr!$B$2:$C$13,2,FALSE),0)</f>
        <v>11.2</v>
      </c>
      <c r="AC38" s="12">
        <f t="shared" si="5"/>
        <v>0</v>
      </c>
      <c r="AD38" s="12">
        <f t="shared" si="6"/>
        <v>0</v>
      </c>
      <c r="AE38" s="13">
        <f t="shared" si="7"/>
        <v>0</v>
      </c>
    </row>
    <row r="39" spans="2:31" x14ac:dyDescent="0.25">
      <c r="B39" s="4"/>
      <c r="C39" s="1" t="s">
        <v>114</v>
      </c>
      <c r="D39" s="1" t="s">
        <v>73</v>
      </c>
      <c r="E39" s="3"/>
      <c r="F39" s="3"/>
      <c r="G39" s="24"/>
      <c r="H39" s="24"/>
      <c r="J39" s="1" t="s">
        <v>332</v>
      </c>
      <c r="K39" s="4"/>
      <c r="L39" s="4"/>
      <c r="M39" s="4"/>
      <c r="N39" s="4"/>
      <c r="O39" s="4" t="s">
        <v>42</v>
      </c>
      <c r="P39" s="33" t="s">
        <v>333</v>
      </c>
      <c r="Q39" s="25">
        <v>120</v>
      </c>
      <c r="R39" s="25">
        <v>2</v>
      </c>
      <c r="S39" s="12">
        <f t="shared" si="8"/>
        <v>240</v>
      </c>
      <c r="T39" s="5">
        <v>0.2</v>
      </c>
      <c r="U39" s="12">
        <f t="shared" si="9"/>
        <v>192</v>
      </c>
      <c r="V39" s="25" t="s">
        <v>10</v>
      </c>
      <c r="W39" s="11">
        <f>IFERROR(VLOOKUP(V39,Curr!$B$2:$C$13,2,FALSE),0)</f>
        <v>11.2</v>
      </c>
      <c r="X39" s="12">
        <f t="shared" si="10"/>
        <v>2150.3999999999996</v>
      </c>
      <c r="Y39" s="26">
        <f>Q39</f>
        <v>120</v>
      </c>
      <c r="Z39" s="12">
        <f t="shared" si="4"/>
        <v>240</v>
      </c>
      <c r="AA39" s="4" t="s">
        <v>10</v>
      </c>
      <c r="AB39" s="11">
        <f>IFERROR(VLOOKUP(AA39,Curr!$B$2:$C$13,2,FALSE),0)</f>
        <v>11.2</v>
      </c>
      <c r="AC39" s="12">
        <f t="shared" si="5"/>
        <v>2688</v>
      </c>
      <c r="AD39" s="12">
        <f t="shared" si="6"/>
        <v>537.60000000000036</v>
      </c>
      <c r="AE39" s="13">
        <f t="shared" si="7"/>
        <v>0.20000000000000012</v>
      </c>
    </row>
    <row r="40" spans="2:31" x14ac:dyDescent="0.25">
      <c r="B40" s="4"/>
      <c r="E40" s="3"/>
      <c r="F40" s="3"/>
      <c r="G40" s="24"/>
      <c r="H40" s="24"/>
      <c r="K40" s="4"/>
      <c r="L40" s="4"/>
      <c r="M40" s="4"/>
      <c r="N40" s="4"/>
      <c r="O40" s="4"/>
      <c r="P40" s="33"/>
      <c r="Q40" s="25"/>
      <c r="R40" s="25"/>
      <c r="S40" s="12">
        <f t="shared" si="8"/>
        <v>0</v>
      </c>
      <c r="T40" s="5">
        <v>0</v>
      </c>
      <c r="U40" s="12">
        <f t="shared" si="9"/>
        <v>0</v>
      </c>
      <c r="V40" s="25" t="s">
        <v>10</v>
      </c>
      <c r="W40" s="11">
        <f>IFERROR(VLOOKUP(V40,Curr!$B$2:$C$13,2,FALSE),0)</f>
        <v>11.2</v>
      </c>
      <c r="X40" s="12">
        <f t="shared" si="10"/>
        <v>0</v>
      </c>
      <c r="Y40" s="26">
        <f t="shared" si="11"/>
        <v>0</v>
      </c>
      <c r="Z40" s="12">
        <f t="shared" si="4"/>
        <v>0</v>
      </c>
      <c r="AA40" s="4" t="s">
        <v>10</v>
      </c>
      <c r="AB40" s="11">
        <f>IFERROR(VLOOKUP(AA40,Curr!$B$2:$C$13,2,FALSE),0)</f>
        <v>11.2</v>
      </c>
      <c r="AC40" s="12">
        <f t="shared" si="5"/>
        <v>0</v>
      </c>
      <c r="AD40" s="12">
        <f t="shared" si="6"/>
        <v>0</v>
      </c>
      <c r="AE40" s="13">
        <f t="shared" si="7"/>
        <v>0</v>
      </c>
    </row>
    <row r="41" spans="2:31" x14ac:dyDescent="0.25">
      <c r="B41" s="4"/>
      <c r="C41" s="1" t="s">
        <v>115</v>
      </c>
      <c r="D41" s="1" t="s">
        <v>73</v>
      </c>
      <c r="E41" s="3"/>
      <c r="F41" s="3"/>
      <c r="G41" s="24"/>
      <c r="H41" s="24"/>
      <c r="J41" s="1" t="s">
        <v>89</v>
      </c>
      <c r="K41" s="4"/>
      <c r="L41" s="4"/>
      <c r="M41" s="4"/>
      <c r="N41" s="4"/>
      <c r="O41" s="4" t="s">
        <v>42</v>
      </c>
      <c r="P41" s="33" t="s">
        <v>90</v>
      </c>
      <c r="Q41" s="25">
        <v>1695</v>
      </c>
      <c r="R41" s="25">
        <v>2</v>
      </c>
      <c r="S41" s="12">
        <f t="shared" si="8"/>
        <v>3390</v>
      </c>
      <c r="T41" s="5">
        <v>0.2</v>
      </c>
      <c r="U41" s="12">
        <f t="shared" si="9"/>
        <v>2712</v>
      </c>
      <c r="V41" s="25" t="s">
        <v>8</v>
      </c>
      <c r="W41" s="11">
        <f>IFERROR(VLOOKUP(V41,Curr!$B$2:$C$13,2,FALSE),0)</f>
        <v>1</v>
      </c>
      <c r="X41" s="12">
        <f t="shared" si="10"/>
        <v>2712</v>
      </c>
      <c r="Y41" s="26">
        <f>Q41/11.3</f>
        <v>150</v>
      </c>
      <c r="Z41" s="12">
        <f t="shared" si="4"/>
        <v>300</v>
      </c>
      <c r="AA41" s="4" t="s">
        <v>10</v>
      </c>
      <c r="AB41" s="11">
        <f>IFERROR(VLOOKUP(AA41,Curr!$B$2:$C$13,2,FALSE),0)</f>
        <v>11.2</v>
      </c>
      <c r="AC41" s="12">
        <f t="shared" si="5"/>
        <v>3360</v>
      </c>
      <c r="AD41" s="12">
        <f t="shared" si="6"/>
        <v>648</v>
      </c>
      <c r="AE41" s="13">
        <f t="shared" si="7"/>
        <v>0.19285714285714287</v>
      </c>
    </row>
    <row r="42" spans="2:31" x14ac:dyDescent="0.25">
      <c r="B42" s="4"/>
      <c r="C42" s="1" t="s">
        <v>115</v>
      </c>
      <c r="D42" s="1" t="s">
        <v>53</v>
      </c>
      <c r="E42" s="3"/>
      <c r="F42" s="3"/>
      <c r="G42" s="24"/>
      <c r="H42" s="24"/>
      <c r="J42" s="1" t="s">
        <v>85</v>
      </c>
      <c r="K42" s="4"/>
      <c r="L42" s="4"/>
      <c r="M42" s="4"/>
      <c r="N42" s="4"/>
      <c r="O42" s="4"/>
      <c r="P42" s="27"/>
      <c r="Q42" s="25">
        <v>0</v>
      </c>
      <c r="R42" s="25">
        <v>0</v>
      </c>
      <c r="S42" s="12">
        <f t="shared" si="8"/>
        <v>0</v>
      </c>
      <c r="T42" s="5">
        <v>0</v>
      </c>
      <c r="U42" s="12">
        <f t="shared" si="9"/>
        <v>0</v>
      </c>
      <c r="V42" s="25" t="s">
        <v>10</v>
      </c>
      <c r="W42" s="11">
        <f>IFERROR(VLOOKUP(V42,Curr!$B$2:$C$13,2,FALSE),0)</f>
        <v>11.2</v>
      </c>
      <c r="X42" s="12">
        <f t="shared" si="10"/>
        <v>0</v>
      </c>
      <c r="Y42" s="26">
        <f t="shared" si="11"/>
        <v>0</v>
      </c>
      <c r="Z42" s="12">
        <f t="shared" si="4"/>
        <v>0</v>
      </c>
      <c r="AA42" s="4" t="s">
        <v>10</v>
      </c>
      <c r="AB42" s="11">
        <f>IFERROR(VLOOKUP(AA42,Curr!$B$2:$C$13,2,FALSE),0)</f>
        <v>11.2</v>
      </c>
      <c r="AC42" s="12">
        <f t="shared" si="5"/>
        <v>0</v>
      </c>
      <c r="AD42" s="12">
        <f t="shared" si="6"/>
        <v>0</v>
      </c>
      <c r="AE42" s="13">
        <f t="shared" si="7"/>
        <v>0</v>
      </c>
    </row>
    <row r="43" spans="2:31" x14ac:dyDescent="0.25">
      <c r="B43" s="4"/>
      <c r="C43" s="1" t="s">
        <v>115</v>
      </c>
      <c r="D43" s="1" t="s">
        <v>73</v>
      </c>
      <c r="E43" s="3"/>
      <c r="F43" s="3"/>
      <c r="G43" s="24"/>
      <c r="H43" s="24"/>
      <c r="J43" s="1" t="s">
        <v>87</v>
      </c>
      <c r="K43" s="4"/>
      <c r="L43" s="4"/>
      <c r="M43" s="4"/>
      <c r="N43" s="4"/>
      <c r="O43" s="4" t="s">
        <v>42</v>
      </c>
      <c r="P43" s="33" t="s">
        <v>88</v>
      </c>
      <c r="Q43" s="25">
        <v>105</v>
      </c>
      <c r="R43" s="25">
        <v>2</v>
      </c>
      <c r="S43" s="12">
        <f t="shared" si="8"/>
        <v>210</v>
      </c>
      <c r="T43" s="5">
        <v>0.2</v>
      </c>
      <c r="U43" s="12">
        <f t="shared" si="9"/>
        <v>168</v>
      </c>
      <c r="V43" s="25" t="s">
        <v>10</v>
      </c>
      <c r="W43" s="11">
        <f>IFERROR(VLOOKUP(V43,Curr!$B$2:$C$13,2,FALSE),0)</f>
        <v>11.2</v>
      </c>
      <c r="X43" s="12">
        <f t="shared" si="10"/>
        <v>1881.6</v>
      </c>
      <c r="Y43" s="26">
        <f t="shared" si="11"/>
        <v>105</v>
      </c>
      <c r="Z43" s="12">
        <f t="shared" si="4"/>
        <v>210</v>
      </c>
      <c r="AA43" s="4" t="s">
        <v>10</v>
      </c>
      <c r="AB43" s="11">
        <f>IFERROR(VLOOKUP(AA43,Curr!$B$2:$C$13,2,FALSE),0)</f>
        <v>11.2</v>
      </c>
      <c r="AC43" s="12">
        <f t="shared" si="5"/>
        <v>2352</v>
      </c>
      <c r="AD43" s="12">
        <f t="shared" si="6"/>
        <v>470.40000000000009</v>
      </c>
      <c r="AE43" s="13">
        <f t="shared" si="7"/>
        <v>0.20000000000000004</v>
      </c>
    </row>
    <row r="44" spans="2:31" x14ac:dyDescent="0.25">
      <c r="B44" s="4"/>
      <c r="E44" s="3"/>
      <c r="F44" s="3"/>
      <c r="G44" s="24"/>
      <c r="H44" s="24"/>
      <c r="K44" s="4"/>
      <c r="L44" s="4"/>
      <c r="M44" s="4"/>
      <c r="N44" s="4"/>
      <c r="O44" s="4"/>
      <c r="P44" s="33"/>
      <c r="Q44" s="25"/>
      <c r="R44" s="25"/>
      <c r="S44" s="12">
        <f t="shared" si="8"/>
        <v>0</v>
      </c>
      <c r="T44" s="5">
        <v>0</v>
      </c>
      <c r="U44" s="12">
        <f t="shared" si="9"/>
        <v>0</v>
      </c>
      <c r="V44" s="25" t="s">
        <v>10</v>
      </c>
      <c r="W44" s="11">
        <f>IFERROR(VLOOKUP(V44,Curr!$B$2:$C$13,2,FALSE),0)</f>
        <v>11.2</v>
      </c>
      <c r="X44" s="12">
        <f t="shared" si="10"/>
        <v>0</v>
      </c>
      <c r="Y44" s="26">
        <f t="shared" si="11"/>
        <v>0</v>
      </c>
      <c r="Z44" s="12">
        <f t="shared" si="4"/>
        <v>0</v>
      </c>
      <c r="AA44" s="4" t="s">
        <v>10</v>
      </c>
      <c r="AB44" s="11">
        <f>IFERROR(VLOOKUP(AA44,Curr!$B$2:$C$13,2,FALSE),0)</f>
        <v>11.2</v>
      </c>
      <c r="AC44" s="12">
        <f t="shared" si="5"/>
        <v>0</v>
      </c>
      <c r="AD44" s="12">
        <f t="shared" si="6"/>
        <v>0</v>
      </c>
      <c r="AE44" s="13">
        <f t="shared" si="7"/>
        <v>0</v>
      </c>
    </row>
    <row r="45" spans="2:31" x14ac:dyDescent="0.25">
      <c r="B45" s="4"/>
      <c r="C45" s="1" t="s">
        <v>138</v>
      </c>
      <c r="D45" s="1" t="s">
        <v>50</v>
      </c>
      <c r="E45" s="3"/>
      <c r="F45" s="3"/>
      <c r="G45" s="24"/>
      <c r="H45" s="24"/>
      <c r="J45" s="1" t="s">
        <v>91</v>
      </c>
      <c r="K45" s="4"/>
      <c r="L45" s="4"/>
      <c r="M45" s="4"/>
      <c r="N45" s="4"/>
      <c r="O45" s="4"/>
      <c r="P45" s="27"/>
      <c r="Q45" s="25">
        <v>0</v>
      </c>
      <c r="R45" s="25">
        <v>0</v>
      </c>
      <c r="S45" s="12">
        <f t="shared" si="8"/>
        <v>0</v>
      </c>
      <c r="T45" s="5">
        <v>0</v>
      </c>
      <c r="U45" s="12">
        <f t="shared" si="9"/>
        <v>0</v>
      </c>
      <c r="V45" s="25" t="s">
        <v>10</v>
      </c>
      <c r="W45" s="11">
        <f>IFERROR(VLOOKUP(V45,Curr!$B$2:$C$13,2,FALSE),0)</f>
        <v>11.2</v>
      </c>
      <c r="X45" s="12">
        <f t="shared" si="10"/>
        <v>0</v>
      </c>
      <c r="Y45" s="26">
        <f t="shared" si="11"/>
        <v>0</v>
      </c>
      <c r="Z45" s="12">
        <f t="shared" si="4"/>
        <v>0</v>
      </c>
      <c r="AA45" s="4" t="s">
        <v>10</v>
      </c>
      <c r="AB45" s="11">
        <f>IFERROR(VLOOKUP(AA45,Curr!$B$2:$C$13,2,FALSE),0)</f>
        <v>11.2</v>
      </c>
      <c r="AC45" s="12">
        <f t="shared" si="5"/>
        <v>0</v>
      </c>
      <c r="AD45" s="12">
        <f t="shared" si="6"/>
        <v>0</v>
      </c>
      <c r="AE45" s="13">
        <f t="shared" si="7"/>
        <v>0</v>
      </c>
    </row>
    <row r="46" spans="2:31" x14ac:dyDescent="0.25">
      <c r="B46" s="4"/>
      <c r="C46" s="1" t="s">
        <v>138</v>
      </c>
      <c r="D46" s="1" t="s">
        <v>319</v>
      </c>
      <c r="E46" s="3"/>
      <c r="F46" s="3"/>
      <c r="G46" s="24"/>
      <c r="H46" s="24"/>
      <c r="J46" s="1" t="s">
        <v>92</v>
      </c>
      <c r="K46" s="4"/>
      <c r="L46" s="4"/>
      <c r="M46" s="4"/>
      <c r="N46" s="4"/>
      <c r="O46" s="4"/>
      <c r="P46" s="27"/>
      <c r="Q46" s="25">
        <v>0</v>
      </c>
      <c r="R46" s="25">
        <v>0</v>
      </c>
      <c r="S46" s="12">
        <f t="shared" si="8"/>
        <v>0</v>
      </c>
      <c r="T46" s="5">
        <v>0</v>
      </c>
      <c r="U46" s="12">
        <f t="shared" si="9"/>
        <v>0</v>
      </c>
      <c r="V46" s="25" t="s">
        <v>10</v>
      </c>
      <c r="W46" s="11">
        <f>IFERROR(VLOOKUP(V46,Curr!$B$2:$C$13,2,FALSE),0)</f>
        <v>11.2</v>
      </c>
      <c r="X46" s="12">
        <f t="shared" si="10"/>
        <v>0</v>
      </c>
      <c r="Y46" s="26">
        <f t="shared" si="11"/>
        <v>0</v>
      </c>
      <c r="Z46" s="12">
        <f t="shared" si="4"/>
        <v>0</v>
      </c>
      <c r="AA46" s="4" t="s">
        <v>10</v>
      </c>
      <c r="AB46" s="11">
        <f>IFERROR(VLOOKUP(AA46,Curr!$B$2:$C$13,2,FALSE),0)</f>
        <v>11.2</v>
      </c>
      <c r="AC46" s="12">
        <f t="shared" si="5"/>
        <v>0</v>
      </c>
      <c r="AD46" s="12">
        <f t="shared" si="6"/>
        <v>0</v>
      </c>
      <c r="AE46" s="13">
        <f t="shared" si="7"/>
        <v>0</v>
      </c>
    </row>
    <row r="47" spans="2:3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11.2</v>
      </c>
      <c r="X47" s="12">
        <f t="shared" si="10"/>
        <v>0</v>
      </c>
      <c r="Y47" s="26">
        <f t="shared" si="11"/>
        <v>0</v>
      </c>
      <c r="Z47" s="12">
        <f t="shared" si="4"/>
        <v>0</v>
      </c>
      <c r="AA47" s="4" t="s">
        <v>10</v>
      </c>
      <c r="AB47" s="11">
        <f>IFERROR(VLOOKUP(AA47,Curr!$B$2:$C$13,2,FALSE),0)</f>
        <v>11.2</v>
      </c>
      <c r="AC47" s="12">
        <f t="shared" si="5"/>
        <v>0</v>
      </c>
      <c r="AD47" s="12">
        <f t="shared" si="6"/>
        <v>0</v>
      </c>
      <c r="AE47" s="13">
        <f t="shared" si="7"/>
        <v>0</v>
      </c>
    </row>
    <row r="48" spans="2:31" x14ac:dyDescent="0.25">
      <c r="B48" s="4"/>
      <c r="E48" s="3"/>
      <c r="F48" s="3"/>
      <c r="G48" s="24"/>
      <c r="H48" s="24"/>
      <c r="K48" s="4"/>
      <c r="L48" s="4"/>
      <c r="M48" s="4"/>
      <c r="N48" s="4"/>
      <c r="O48" s="4"/>
      <c r="P48" s="33"/>
      <c r="Q48" s="25"/>
      <c r="R48" s="25"/>
      <c r="S48" s="12">
        <f t="shared" si="8"/>
        <v>0</v>
      </c>
      <c r="T48" s="5">
        <v>0</v>
      </c>
      <c r="U48" s="12">
        <f t="shared" si="9"/>
        <v>0</v>
      </c>
      <c r="V48" s="25" t="s">
        <v>10</v>
      </c>
      <c r="W48" s="11">
        <f>IFERROR(VLOOKUP(V48,Curr!$B$2:$C$13,2,FALSE),0)</f>
        <v>11.2</v>
      </c>
      <c r="X48" s="12">
        <f t="shared" si="10"/>
        <v>0</v>
      </c>
      <c r="Y48" s="26">
        <f t="shared" si="11"/>
        <v>0</v>
      </c>
      <c r="Z48" s="12">
        <f t="shared" si="4"/>
        <v>0</v>
      </c>
      <c r="AA48" s="4" t="s">
        <v>10</v>
      </c>
      <c r="AB48" s="11">
        <f>IFERROR(VLOOKUP(AA48,Curr!$B$2:$C$13,2,FALSE),0)</f>
        <v>11.2</v>
      </c>
      <c r="AC48" s="12">
        <f t="shared" si="5"/>
        <v>0</v>
      </c>
      <c r="AD48" s="12">
        <f t="shared" si="6"/>
        <v>0</v>
      </c>
      <c r="AE48" s="13">
        <f t="shared" si="7"/>
        <v>0</v>
      </c>
    </row>
    <row r="49" spans="2:31" x14ac:dyDescent="0.25">
      <c r="B49" s="4"/>
      <c r="C49" s="1" t="s">
        <v>55</v>
      </c>
      <c r="D49" s="1" t="s">
        <v>93</v>
      </c>
      <c r="E49" s="3"/>
      <c r="F49" s="3"/>
      <c r="G49" s="24"/>
      <c r="H49" s="24"/>
      <c r="J49" s="1" t="s">
        <v>95</v>
      </c>
      <c r="K49" s="4"/>
      <c r="L49" s="4"/>
      <c r="M49" s="4"/>
      <c r="N49" s="4"/>
      <c r="O49" s="4"/>
      <c r="P49" s="27"/>
      <c r="Q49" s="25">
        <v>1790</v>
      </c>
      <c r="R49" s="25">
        <v>0</v>
      </c>
      <c r="S49" s="12">
        <f t="shared" si="8"/>
        <v>0</v>
      </c>
      <c r="T49" s="5">
        <v>0</v>
      </c>
      <c r="U49" s="12">
        <f t="shared" si="9"/>
        <v>0</v>
      </c>
      <c r="V49" s="25" t="s">
        <v>10</v>
      </c>
      <c r="W49" s="11">
        <f>IFERROR(VLOOKUP(V49,Curr!$B$2:$C$13,2,FALSE),0)</f>
        <v>11.2</v>
      </c>
      <c r="X49" s="12">
        <f t="shared" si="10"/>
        <v>0</v>
      </c>
      <c r="Y49" s="26">
        <f t="shared" si="11"/>
        <v>1790</v>
      </c>
      <c r="Z49" s="12">
        <f t="shared" si="4"/>
        <v>0</v>
      </c>
      <c r="AA49" s="4" t="s">
        <v>10</v>
      </c>
      <c r="AB49" s="11">
        <f>IFERROR(VLOOKUP(AA49,Curr!$B$2:$C$13,2,FALSE),0)</f>
        <v>11.2</v>
      </c>
      <c r="AC49" s="12">
        <f t="shared" si="5"/>
        <v>0</v>
      </c>
      <c r="AD49" s="12">
        <f t="shared" si="6"/>
        <v>0</v>
      </c>
      <c r="AE49" s="13">
        <f t="shared" si="7"/>
        <v>0</v>
      </c>
    </row>
    <row r="50" spans="2:31" x14ac:dyDescent="0.25">
      <c r="B50" s="4"/>
      <c r="C50" s="1" t="s">
        <v>80</v>
      </c>
      <c r="D50" s="1" t="s">
        <v>93</v>
      </c>
      <c r="E50" s="3"/>
      <c r="F50" s="3"/>
      <c r="G50" s="24"/>
      <c r="H50" s="24"/>
      <c r="J50" s="1" t="s">
        <v>229</v>
      </c>
      <c r="K50" s="4"/>
      <c r="L50" s="4"/>
      <c r="M50" s="4"/>
      <c r="N50" s="4"/>
      <c r="O50" s="4"/>
      <c r="P50" s="27"/>
      <c r="Q50" s="25">
        <v>1790</v>
      </c>
      <c r="R50" s="25">
        <v>0</v>
      </c>
      <c r="S50" s="12">
        <f t="shared" si="8"/>
        <v>0</v>
      </c>
      <c r="T50" s="5">
        <v>0</v>
      </c>
      <c r="U50" s="12">
        <f t="shared" si="9"/>
        <v>0</v>
      </c>
      <c r="V50" s="25" t="s">
        <v>10</v>
      </c>
      <c r="W50" s="11">
        <f>IFERROR(VLOOKUP(V50,Curr!$B$2:$C$13,2,FALSE),0)</f>
        <v>11.2</v>
      </c>
      <c r="X50" s="12">
        <f t="shared" si="10"/>
        <v>0</v>
      </c>
      <c r="Y50" s="26">
        <f t="shared" si="11"/>
        <v>1790</v>
      </c>
      <c r="Z50" s="12">
        <f t="shared" si="4"/>
        <v>0</v>
      </c>
      <c r="AA50" s="4" t="s">
        <v>10</v>
      </c>
      <c r="AB50" s="11">
        <f>IFERROR(VLOOKUP(AA50,Curr!$B$2:$C$13,2,FALSE),0)</f>
        <v>11.2</v>
      </c>
      <c r="AC50" s="12">
        <f t="shared" si="5"/>
        <v>0</v>
      </c>
      <c r="AD50" s="12">
        <f t="shared" si="6"/>
        <v>0</v>
      </c>
      <c r="AE50" s="13">
        <f t="shared" si="7"/>
        <v>0</v>
      </c>
    </row>
    <row r="51" spans="2:31" x14ac:dyDescent="0.25">
      <c r="B51" s="4"/>
      <c r="C51" s="1" t="s">
        <v>114</v>
      </c>
      <c r="D51" s="1" t="s">
        <v>93</v>
      </c>
      <c r="E51" s="3"/>
      <c r="F51" s="3"/>
      <c r="G51" s="24"/>
      <c r="H51" s="24"/>
      <c r="J51" s="1" t="s">
        <v>99</v>
      </c>
      <c r="K51" s="4"/>
      <c r="L51" s="4"/>
      <c r="M51" s="4"/>
      <c r="N51" s="4"/>
      <c r="O51" s="4"/>
      <c r="P51" s="27"/>
      <c r="Q51" s="25">
        <v>900</v>
      </c>
      <c r="R51" s="25">
        <v>0</v>
      </c>
      <c r="S51" s="12">
        <f t="shared" si="8"/>
        <v>0</v>
      </c>
      <c r="T51" s="5">
        <v>0</v>
      </c>
      <c r="U51" s="12">
        <f t="shared" si="9"/>
        <v>0</v>
      </c>
      <c r="V51" s="25" t="s">
        <v>10</v>
      </c>
      <c r="W51" s="11">
        <f>IFERROR(VLOOKUP(V51,Curr!$B$2:$C$13,2,FALSE),0)</f>
        <v>11.2</v>
      </c>
      <c r="X51" s="12">
        <f t="shared" si="10"/>
        <v>0</v>
      </c>
      <c r="Y51" s="26">
        <f t="shared" si="11"/>
        <v>900</v>
      </c>
      <c r="Z51" s="12">
        <f t="shared" si="4"/>
        <v>0</v>
      </c>
      <c r="AA51" s="4" t="s">
        <v>10</v>
      </c>
      <c r="AB51" s="11">
        <f>IFERROR(VLOOKUP(AA51,Curr!$B$2:$C$13,2,FALSE),0)</f>
        <v>11.2</v>
      </c>
      <c r="AC51" s="12">
        <f t="shared" si="5"/>
        <v>0</v>
      </c>
      <c r="AD51" s="12">
        <f t="shared" si="6"/>
        <v>0</v>
      </c>
      <c r="AE51" s="13">
        <f t="shared" si="7"/>
        <v>0</v>
      </c>
    </row>
    <row r="52" spans="2:31" x14ac:dyDescent="0.25">
      <c r="B52" s="4"/>
      <c r="C52" s="1" t="s">
        <v>138</v>
      </c>
      <c r="D52" s="1" t="s">
        <v>93</v>
      </c>
      <c r="E52" s="3"/>
      <c r="F52" s="3"/>
      <c r="G52" s="24"/>
      <c r="H52" s="24"/>
      <c r="J52" s="1" t="s">
        <v>98</v>
      </c>
      <c r="K52" s="4"/>
      <c r="L52" s="4"/>
      <c r="M52" s="4"/>
      <c r="N52" s="4"/>
      <c r="O52" s="4"/>
      <c r="P52" s="27"/>
      <c r="Q52" s="25">
        <v>900</v>
      </c>
      <c r="R52" s="25">
        <v>0</v>
      </c>
      <c r="S52" s="12">
        <f t="shared" si="8"/>
        <v>0</v>
      </c>
      <c r="T52" s="5">
        <v>0</v>
      </c>
      <c r="U52" s="12">
        <f t="shared" si="9"/>
        <v>0</v>
      </c>
      <c r="V52" s="25" t="s">
        <v>10</v>
      </c>
      <c r="W52" s="11">
        <f>IFERROR(VLOOKUP(V52,Curr!$B$2:$C$13,2,FALSE),0)</f>
        <v>11.2</v>
      </c>
      <c r="X52" s="12">
        <f t="shared" si="10"/>
        <v>0</v>
      </c>
      <c r="Y52" s="26">
        <f t="shared" si="11"/>
        <v>900</v>
      </c>
      <c r="Z52" s="12">
        <f t="shared" si="4"/>
        <v>0</v>
      </c>
      <c r="AA52" s="4" t="s">
        <v>10</v>
      </c>
      <c r="AB52" s="11">
        <f>IFERROR(VLOOKUP(AA52,Curr!$B$2:$C$13,2,FALSE),0)</f>
        <v>11.2</v>
      </c>
      <c r="AC52" s="12">
        <f t="shared" si="5"/>
        <v>0</v>
      </c>
      <c r="AD52" s="12">
        <f t="shared" si="6"/>
        <v>0</v>
      </c>
      <c r="AE52" s="13">
        <f t="shared" si="7"/>
        <v>0</v>
      </c>
    </row>
    <row r="53" spans="2:31" x14ac:dyDescent="0.25">
      <c r="B53" s="4"/>
      <c r="E53" s="3"/>
      <c r="F53" s="3"/>
      <c r="G53" s="24"/>
      <c r="H53" s="24"/>
      <c r="K53" s="4"/>
      <c r="L53" s="4"/>
      <c r="M53" s="4"/>
      <c r="N53" s="4"/>
      <c r="O53" s="4"/>
      <c r="P53" s="27"/>
      <c r="Q53" s="25"/>
      <c r="R53" s="25"/>
      <c r="S53" s="12">
        <f t="shared" si="8"/>
        <v>0</v>
      </c>
      <c r="T53" s="5">
        <v>0</v>
      </c>
      <c r="U53" s="12">
        <f t="shared" si="9"/>
        <v>0</v>
      </c>
      <c r="V53" s="25" t="s">
        <v>10</v>
      </c>
      <c r="W53" s="11">
        <f>IFERROR(VLOOKUP(V53,Curr!$B$2:$C$13,2,FALSE),0)</f>
        <v>11.2</v>
      </c>
      <c r="X53" s="12">
        <f t="shared" si="10"/>
        <v>0</v>
      </c>
      <c r="Y53" s="26">
        <f t="shared" si="11"/>
        <v>0</v>
      </c>
      <c r="Z53" s="12">
        <f t="shared" si="4"/>
        <v>0</v>
      </c>
      <c r="AA53" s="4" t="s">
        <v>10</v>
      </c>
      <c r="AB53" s="11">
        <f>IFERROR(VLOOKUP(AA53,Curr!$B$2:$C$13,2,FALSE),0)</f>
        <v>11.2</v>
      </c>
      <c r="AC53" s="12">
        <f t="shared" si="5"/>
        <v>0</v>
      </c>
      <c r="AD53" s="12">
        <f t="shared" si="6"/>
        <v>0</v>
      </c>
      <c r="AE53" s="13">
        <f t="shared" si="7"/>
        <v>0</v>
      </c>
    </row>
    <row r="54" spans="2:31" x14ac:dyDescent="0.25">
      <c r="B54" s="4"/>
      <c r="E54" s="3"/>
      <c r="F54" s="3"/>
      <c r="G54" s="24"/>
      <c r="H54" s="24"/>
      <c r="K54" s="4"/>
      <c r="L54" s="4"/>
      <c r="M54" s="4"/>
      <c r="N54" s="4"/>
      <c r="O54" s="4"/>
      <c r="P54" s="27"/>
      <c r="Q54" s="25"/>
      <c r="R54" s="25"/>
      <c r="S54" s="12">
        <f t="shared" si="8"/>
        <v>0</v>
      </c>
      <c r="T54" s="5">
        <v>0</v>
      </c>
      <c r="U54" s="12">
        <f t="shared" si="9"/>
        <v>0</v>
      </c>
      <c r="V54" s="25" t="s">
        <v>10</v>
      </c>
      <c r="W54" s="11">
        <f>IFERROR(VLOOKUP(V54,Curr!$B$2:$C$13,2,FALSE),0)</f>
        <v>11.2</v>
      </c>
      <c r="X54" s="12">
        <f t="shared" si="10"/>
        <v>0</v>
      </c>
      <c r="Y54" s="26">
        <f t="shared" si="11"/>
        <v>0</v>
      </c>
      <c r="Z54" s="12">
        <f t="shared" si="4"/>
        <v>0</v>
      </c>
      <c r="AA54" s="4" t="s">
        <v>10</v>
      </c>
      <c r="AB54" s="11">
        <f>IFERROR(VLOOKUP(AA54,Curr!$B$2:$C$13,2,FALSE),0)</f>
        <v>11.2</v>
      </c>
      <c r="AC54" s="12">
        <f t="shared" si="5"/>
        <v>0</v>
      </c>
      <c r="AD54" s="12">
        <f t="shared" si="6"/>
        <v>0</v>
      </c>
      <c r="AE54" s="13">
        <f t="shared" si="7"/>
        <v>0</v>
      </c>
    </row>
    <row r="55" spans="2:31" x14ac:dyDescent="0.25">
      <c r="B55" s="4"/>
      <c r="E55" s="3"/>
      <c r="F55" s="3"/>
      <c r="G55" s="24"/>
      <c r="H55" s="24"/>
      <c r="K55" s="4"/>
      <c r="L55" s="4"/>
      <c r="M55" s="4"/>
      <c r="N55" s="4"/>
      <c r="O55" s="4"/>
      <c r="P55" s="27"/>
      <c r="Q55" s="25"/>
      <c r="R55" s="25"/>
      <c r="S55" s="12">
        <f t="shared" si="8"/>
        <v>0</v>
      </c>
      <c r="T55" s="5">
        <v>0</v>
      </c>
      <c r="U55" s="12">
        <f t="shared" si="9"/>
        <v>0</v>
      </c>
      <c r="V55" s="25" t="s">
        <v>10</v>
      </c>
      <c r="W55" s="11">
        <f>IFERROR(VLOOKUP(V55,Curr!$B$2:$C$13,2,FALSE),0)</f>
        <v>11.2</v>
      </c>
      <c r="X55" s="12">
        <f t="shared" si="10"/>
        <v>0</v>
      </c>
      <c r="Y55" s="26">
        <f t="shared" si="11"/>
        <v>0</v>
      </c>
      <c r="Z55" s="12">
        <f t="shared" si="4"/>
        <v>0</v>
      </c>
      <c r="AA55" s="4" t="s">
        <v>10</v>
      </c>
      <c r="AB55" s="11">
        <f>IFERROR(VLOOKUP(AA55,Curr!$B$2:$C$13,2,FALSE),0)</f>
        <v>11.2</v>
      </c>
      <c r="AC55" s="12">
        <f t="shared" si="5"/>
        <v>0</v>
      </c>
      <c r="AD55" s="12">
        <f t="shared" si="6"/>
        <v>0</v>
      </c>
      <c r="AE55" s="13">
        <f t="shared" si="7"/>
        <v>0</v>
      </c>
    </row>
    <row r="56" spans="2:31" x14ac:dyDescent="0.25">
      <c r="B56" s="4"/>
      <c r="E56" s="3"/>
      <c r="F56" s="3"/>
      <c r="G56" s="24"/>
      <c r="H56" s="24"/>
      <c r="K56" s="4"/>
      <c r="L56" s="4"/>
      <c r="M56" s="4"/>
      <c r="N56" s="4"/>
      <c r="O56" s="4"/>
      <c r="P56" s="27"/>
      <c r="Q56" s="25"/>
      <c r="R56" s="25"/>
      <c r="S56" s="12">
        <f t="shared" si="8"/>
        <v>0</v>
      </c>
      <c r="T56" s="5">
        <v>0</v>
      </c>
      <c r="U56" s="12">
        <f t="shared" si="9"/>
        <v>0</v>
      </c>
      <c r="V56" s="25" t="s">
        <v>10</v>
      </c>
      <c r="W56" s="11">
        <f>IFERROR(VLOOKUP(V56,Curr!$B$2:$C$13,2,FALSE),0)</f>
        <v>11.2</v>
      </c>
      <c r="X56" s="12">
        <f t="shared" si="10"/>
        <v>0</v>
      </c>
      <c r="Y56" s="26">
        <f t="shared" si="11"/>
        <v>0</v>
      </c>
      <c r="Z56" s="12">
        <f t="shared" si="4"/>
        <v>0</v>
      </c>
      <c r="AA56" s="4" t="s">
        <v>10</v>
      </c>
      <c r="AB56" s="11">
        <f>IFERROR(VLOOKUP(AA56,Curr!$B$2:$C$13,2,FALSE),0)</f>
        <v>11.2</v>
      </c>
      <c r="AC56" s="12">
        <f t="shared" si="5"/>
        <v>0</v>
      </c>
      <c r="AD56" s="12">
        <f t="shared" si="6"/>
        <v>0</v>
      </c>
      <c r="AE56" s="13">
        <f t="shared" si="7"/>
        <v>0</v>
      </c>
    </row>
    <row r="57" spans="2:31" x14ac:dyDescent="0.25">
      <c r="B57" s="4"/>
      <c r="E57" s="3"/>
      <c r="F57" s="3"/>
      <c r="G57" s="24"/>
      <c r="H57" s="24"/>
      <c r="K57" s="4"/>
      <c r="L57" s="4"/>
      <c r="M57" s="4"/>
      <c r="N57" s="4"/>
      <c r="O57" s="4"/>
      <c r="P57" s="27"/>
      <c r="Q57" s="25"/>
      <c r="R57" s="25"/>
      <c r="S57" s="12">
        <f t="shared" si="8"/>
        <v>0</v>
      </c>
      <c r="T57" s="5">
        <v>0</v>
      </c>
      <c r="U57" s="12">
        <f t="shared" si="9"/>
        <v>0</v>
      </c>
      <c r="V57" s="25" t="s">
        <v>10</v>
      </c>
      <c r="W57" s="11">
        <f>IFERROR(VLOOKUP(V57,Curr!$B$2:$C$13,2,FALSE),0)</f>
        <v>11.2</v>
      </c>
      <c r="X57" s="12">
        <f t="shared" si="10"/>
        <v>0</v>
      </c>
      <c r="Y57" s="26">
        <f t="shared" si="11"/>
        <v>0</v>
      </c>
      <c r="Z57" s="12">
        <f t="shared" si="4"/>
        <v>0</v>
      </c>
      <c r="AA57" s="4" t="s">
        <v>10</v>
      </c>
      <c r="AB57" s="11">
        <f>IFERROR(VLOOKUP(AA57,Curr!$B$2:$C$13,2,FALSE),0)</f>
        <v>11.2</v>
      </c>
      <c r="AC57" s="12">
        <f t="shared" si="5"/>
        <v>0</v>
      </c>
      <c r="AD57" s="12">
        <f t="shared" si="6"/>
        <v>0</v>
      </c>
      <c r="AE57" s="13">
        <f t="shared" si="7"/>
        <v>0</v>
      </c>
    </row>
    <row r="58" spans="2:31" x14ac:dyDescent="0.25">
      <c r="B58" s="4"/>
      <c r="E58" s="3"/>
      <c r="F58" s="3"/>
      <c r="G58" s="24"/>
      <c r="H58" s="24"/>
      <c r="K58" s="4"/>
      <c r="L58" s="4"/>
      <c r="M58" s="4"/>
      <c r="N58" s="4"/>
      <c r="O58" s="4"/>
      <c r="P58" s="27"/>
      <c r="Q58" s="25"/>
      <c r="R58" s="25"/>
      <c r="S58" s="12">
        <f t="shared" si="8"/>
        <v>0</v>
      </c>
      <c r="T58" s="5">
        <v>0</v>
      </c>
      <c r="U58" s="12">
        <f t="shared" si="9"/>
        <v>0</v>
      </c>
      <c r="V58" s="25" t="s">
        <v>10</v>
      </c>
      <c r="W58" s="11">
        <f>IFERROR(VLOOKUP(V58,Curr!$B$2:$C$13,2,FALSE),0)</f>
        <v>11.2</v>
      </c>
      <c r="X58" s="12">
        <f t="shared" si="10"/>
        <v>0</v>
      </c>
      <c r="Y58" s="26">
        <f t="shared" si="11"/>
        <v>0</v>
      </c>
      <c r="Z58" s="12">
        <f t="shared" si="4"/>
        <v>0</v>
      </c>
      <c r="AA58" s="4" t="s">
        <v>10</v>
      </c>
      <c r="AB58" s="11">
        <f>IFERROR(VLOOKUP(AA58,Curr!$B$2:$C$13,2,FALSE),0)</f>
        <v>11.2</v>
      </c>
      <c r="AC58" s="12">
        <f t="shared" si="5"/>
        <v>0</v>
      </c>
      <c r="AD58" s="12">
        <f t="shared" si="6"/>
        <v>0</v>
      </c>
      <c r="AE58" s="13">
        <f t="shared" si="7"/>
        <v>0</v>
      </c>
    </row>
    <row r="59" spans="2:31" x14ac:dyDescent="0.25">
      <c r="B59" s="4"/>
      <c r="C59" s="1" t="s">
        <v>115</v>
      </c>
      <c r="D59" s="1" t="s">
        <v>94</v>
      </c>
      <c r="E59" s="3"/>
      <c r="F59" s="3"/>
      <c r="G59" s="24"/>
      <c r="H59" s="24"/>
      <c r="J59" s="1" t="s">
        <v>118</v>
      </c>
      <c r="K59" s="4"/>
      <c r="L59" s="4"/>
      <c r="M59" s="4"/>
      <c r="N59" s="4"/>
      <c r="O59" s="4" t="s">
        <v>42</v>
      </c>
      <c r="P59" s="33" t="s">
        <v>119</v>
      </c>
      <c r="Q59" s="25">
        <v>2195</v>
      </c>
      <c r="R59" s="25">
        <v>0</v>
      </c>
      <c r="S59" s="12">
        <f t="shared" si="8"/>
        <v>0</v>
      </c>
      <c r="T59" s="5">
        <v>0.2</v>
      </c>
      <c r="U59" s="12">
        <f t="shared" si="9"/>
        <v>0</v>
      </c>
      <c r="V59" s="25" t="s">
        <v>8</v>
      </c>
      <c r="W59" s="11">
        <f>IFERROR(VLOOKUP(V59,Curr!$B$2:$C$13,2,FALSE),0)</f>
        <v>1</v>
      </c>
      <c r="X59" s="12">
        <f t="shared" si="10"/>
        <v>0</v>
      </c>
      <c r="Y59" s="26">
        <f t="shared" ref="Y59" si="14">Q59/11.3</f>
        <v>194.24778761061947</v>
      </c>
      <c r="Z59" s="12">
        <f t="shared" si="4"/>
        <v>0</v>
      </c>
      <c r="AA59" s="4" t="s">
        <v>10</v>
      </c>
      <c r="AB59" s="11">
        <f>IFERROR(VLOOKUP(AA59,Curr!$B$2:$C$13,2,FALSE),0)</f>
        <v>11.2</v>
      </c>
      <c r="AC59" s="12">
        <f t="shared" si="5"/>
        <v>0</v>
      </c>
      <c r="AD59" s="12">
        <f t="shared" si="6"/>
        <v>0</v>
      </c>
      <c r="AE59" s="13">
        <f t="shared" si="7"/>
        <v>0</v>
      </c>
    </row>
    <row r="60" spans="2:31" x14ac:dyDescent="0.25">
      <c r="B60" s="4"/>
      <c r="E60" s="3"/>
      <c r="F60" s="3"/>
      <c r="G60" s="24"/>
      <c r="H60" s="24"/>
      <c r="K60" s="4"/>
      <c r="L60" s="4"/>
      <c r="M60" s="4"/>
      <c r="N60" s="4"/>
      <c r="O60" s="4"/>
      <c r="P60" s="27"/>
      <c r="Q60" s="25"/>
      <c r="R60" s="25"/>
      <c r="S60" s="12">
        <f t="shared" si="8"/>
        <v>0</v>
      </c>
      <c r="T60" s="5">
        <v>0</v>
      </c>
      <c r="U60" s="12">
        <f t="shared" si="9"/>
        <v>0</v>
      </c>
      <c r="V60" s="25" t="s">
        <v>10</v>
      </c>
      <c r="W60" s="11">
        <f>IFERROR(VLOOKUP(V60,Curr!$B$2:$C$13,2,FALSE),0)</f>
        <v>11.2</v>
      </c>
      <c r="X60" s="12">
        <f t="shared" si="10"/>
        <v>0</v>
      </c>
      <c r="Y60" s="26">
        <f t="shared" si="11"/>
        <v>0</v>
      </c>
      <c r="Z60" s="12">
        <f t="shared" si="4"/>
        <v>0</v>
      </c>
      <c r="AA60" s="4" t="s">
        <v>10</v>
      </c>
      <c r="AB60" s="11">
        <f>IFERROR(VLOOKUP(AA60,Curr!$B$2:$C$13,2,FALSE),0)</f>
        <v>11.2</v>
      </c>
      <c r="AC60" s="12">
        <f t="shared" si="5"/>
        <v>0</v>
      </c>
      <c r="AD60" s="12">
        <f t="shared" si="6"/>
        <v>0</v>
      </c>
      <c r="AE60" s="13">
        <f t="shared" si="7"/>
        <v>0</v>
      </c>
    </row>
    <row r="61" spans="2:31" x14ac:dyDescent="0.25">
      <c r="B61" s="4"/>
      <c r="E61" s="3"/>
      <c r="F61" s="3"/>
      <c r="G61" s="24"/>
      <c r="H61" s="24"/>
      <c r="K61" s="4"/>
      <c r="L61" s="4"/>
      <c r="M61" s="4"/>
      <c r="N61" s="4"/>
      <c r="O61" s="4"/>
      <c r="P61" s="27"/>
      <c r="Q61" s="25"/>
      <c r="R61" s="25"/>
      <c r="S61" s="12">
        <f t="shared" si="8"/>
        <v>0</v>
      </c>
      <c r="T61" s="5">
        <v>0</v>
      </c>
      <c r="U61" s="12">
        <f t="shared" si="9"/>
        <v>0</v>
      </c>
      <c r="V61" s="25" t="s">
        <v>10</v>
      </c>
      <c r="W61" s="11">
        <f>IFERROR(VLOOKUP(V61,Curr!$B$2:$C$13,2,FALSE),0)</f>
        <v>11.2</v>
      </c>
      <c r="X61" s="12">
        <f t="shared" si="10"/>
        <v>0</v>
      </c>
      <c r="Y61" s="26">
        <f t="shared" si="11"/>
        <v>0</v>
      </c>
      <c r="Z61" s="12">
        <f t="shared" si="4"/>
        <v>0</v>
      </c>
      <c r="AA61" s="4" t="s">
        <v>10</v>
      </c>
      <c r="AB61" s="11">
        <f>IFERROR(VLOOKUP(AA61,Curr!$B$2:$C$13,2,FALSE),0)</f>
        <v>11.2</v>
      </c>
      <c r="AC61" s="12">
        <f t="shared" si="5"/>
        <v>0</v>
      </c>
      <c r="AD61" s="12">
        <f t="shared" si="6"/>
        <v>0</v>
      </c>
      <c r="AE61" s="13">
        <f t="shared" si="7"/>
        <v>0</v>
      </c>
    </row>
    <row r="62" spans="2:31" x14ac:dyDescent="0.25">
      <c r="B62" s="4"/>
      <c r="E62" s="3"/>
      <c r="F62" s="3"/>
      <c r="G62" s="24"/>
      <c r="H62" s="24"/>
      <c r="K62" s="4"/>
      <c r="L62" s="4"/>
      <c r="M62" s="4"/>
      <c r="N62" s="4"/>
      <c r="O62" s="4"/>
      <c r="P62" s="27"/>
      <c r="Q62" s="25"/>
      <c r="R62" s="25"/>
      <c r="S62" s="12">
        <f t="shared" si="8"/>
        <v>0</v>
      </c>
      <c r="T62" s="5">
        <v>0</v>
      </c>
      <c r="U62" s="12">
        <f t="shared" si="9"/>
        <v>0</v>
      </c>
      <c r="V62" s="25" t="s">
        <v>10</v>
      </c>
      <c r="W62" s="11">
        <f>IFERROR(VLOOKUP(V62,Curr!$B$2:$C$13,2,FALSE),0)</f>
        <v>11.2</v>
      </c>
      <c r="X62" s="12">
        <f t="shared" si="10"/>
        <v>0</v>
      </c>
      <c r="Y62" s="26">
        <f t="shared" si="11"/>
        <v>0</v>
      </c>
      <c r="Z62" s="12">
        <f t="shared" si="4"/>
        <v>0</v>
      </c>
      <c r="AA62" s="4" t="s">
        <v>10</v>
      </c>
      <c r="AB62" s="11">
        <f>IFERROR(VLOOKUP(AA62,Curr!$B$2:$C$13,2,FALSE),0)</f>
        <v>11.2</v>
      </c>
      <c r="AC62" s="12">
        <f t="shared" si="5"/>
        <v>0</v>
      </c>
      <c r="AD62" s="12">
        <f t="shared" si="6"/>
        <v>0</v>
      </c>
      <c r="AE62" s="13">
        <f t="shared" si="7"/>
        <v>0</v>
      </c>
    </row>
    <row r="63" spans="2:31" x14ac:dyDescent="0.25">
      <c r="B63" s="4"/>
      <c r="E63" s="3"/>
      <c r="F63" s="3"/>
      <c r="G63" s="24"/>
      <c r="H63" s="24"/>
      <c r="K63" s="4"/>
      <c r="L63" s="4"/>
      <c r="M63" s="4"/>
      <c r="N63" s="4"/>
      <c r="O63" s="4"/>
      <c r="P63" s="27"/>
      <c r="Q63" s="25"/>
      <c r="R63" s="25"/>
      <c r="S63" s="12">
        <f t="shared" si="8"/>
        <v>0</v>
      </c>
      <c r="T63" s="5">
        <v>0</v>
      </c>
      <c r="U63" s="12">
        <f t="shared" si="9"/>
        <v>0</v>
      </c>
      <c r="V63" s="25" t="s">
        <v>10</v>
      </c>
      <c r="W63" s="11">
        <f>IFERROR(VLOOKUP(V63,Curr!$B$2:$C$13,2,FALSE),0)</f>
        <v>11.2</v>
      </c>
      <c r="X63" s="12">
        <f t="shared" si="10"/>
        <v>0</v>
      </c>
      <c r="Y63" s="26">
        <f t="shared" si="11"/>
        <v>0</v>
      </c>
      <c r="Z63" s="12">
        <f t="shared" si="4"/>
        <v>0</v>
      </c>
      <c r="AA63" s="4" t="s">
        <v>10</v>
      </c>
      <c r="AB63" s="11">
        <f>IFERROR(VLOOKUP(AA63,Curr!$B$2:$C$13,2,FALSE),0)</f>
        <v>11.2</v>
      </c>
      <c r="AC63" s="12">
        <f t="shared" si="5"/>
        <v>0</v>
      </c>
      <c r="AD63" s="12">
        <f t="shared" si="6"/>
        <v>0</v>
      </c>
      <c r="AE63" s="13">
        <f t="shared" si="7"/>
        <v>0</v>
      </c>
    </row>
    <row r="64" spans="2:31" x14ac:dyDescent="0.25">
      <c r="B64" s="4"/>
      <c r="E64" s="3"/>
      <c r="F64" s="3"/>
      <c r="G64" s="24"/>
      <c r="H64" s="24"/>
      <c r="K64" s="4"/>
      <c r="L64" s="4"/>
      <c r="M64" s="4"/>
      <c r="N64" s="4"/>
      <c r="O64" s="4"/>
      <c r="P64" s="27"/>
      <c r="Q64" s="25"/>
      <c r="R64" s="25"/>
      <c r="S64" s="12">
        <f t="shared" si="8"/>
        <v>0</v>
      </c>
      <c r="T64" s="5">
        <v>0</v>
      </c>
      <c r="U64" s="12">
        <f t="shared" si="9"/>
        <v>0</v>
      </c>
      <c r="V64" s="25" t="s">
        <v>10</v>
      </c>
      <c r="W64" s="11">
        <f>IFERROR(VLOOKUP(V64,Curr!$B$2:$C$13,2,FALSE),0)</f>
        <v>11.2</v>
      </c>
      <c r="X64" s="12">
        <f t="shared" si="10"/>
        <v>0</v>
      </c>
      <c r="Y64" s="26">
        <f t="shared" si="11"/>
        <v>0</v>
      </c>
      <c r="Z64" s="12">
        <f t="shared" si="4"/>
        <v>0</v>
      </c>
      <c r="AA64" s="4" t="s">
        <v>10</v>
      </c>
      <c r="AB64" s="11">
        <f>IFERROR(VLOOKUP(AA64,Curr!$B$2:$C$13,2,FALSE),0)</f>
        <v>11.2</v>
      </c>
      <c r="AC64" s="12">
        <f t="shared" si="5"/>
        <v>0</v>
      </c>
      <c r="AD64" s="12">
        <f t="shared" si="6"/>
        <v>0</v>
      </c>
      <c r="AE64" s="13">
        <f t="shared" si="7"/>
        <v>0</v>
      </c>
    </row>
    <row r="65" spans="2:36" x14ac:dyDescent="0.25">
      <c r="B65" s="4"/>
      <c r="E65" s="3"/>
      <c r="F65" s="3"/>
      <c r="G65" s="24"/>
      <c r="H65" s="24"/>
      <c r="K65" s="4"/>
      <c r="L65" s="4"/>
      <c r="M65" s="4"/>
      <c r="N65" s="4"/>
      <c r="O65" s="4"/>
      <c r="P65" s="27"/>
      <c r="Q65" s="25"/>
      <c r="R65" s="25"/>
      <c r="S65" s="12">
        <f t="shared" si="8"/>
        <v>0</v>
      </c>
      <c r="T65" s="5">
        <v>0</v>
      </c>
      <c r="U65" s="12">
        <f t="shared" si="9"/>
        <v>0</v>
      </c>
      <c r="V65" s="25" t="s">
        <v>10</v>
      </c>
      <c r="W65" s="11">
        <f>IFERROR(VLOOKUP(V65,Curr!$B$2:$C$13,2,FALSE),0)</f>
        <v>11.2</v>
      </c>
      <c r="X65" s="12">
        <f t="shared" si="10"/>
        <v>0</v>
      </c>
      <c r="Y65" s="26">
        <f t="shared" si="11"/>
        <v>0</v>
      </c>
      <c r="Z65" s="12">
        <f t="shared" si="4"/>
        <v>0</v>
      </c>
      <c r="AA65" s="4" t="s">
        <v>10</v>
      </c>
      <c r="AB65" s="11">
        <f>IFERROR(VLOOKUP(AA65,Curr!$B$2:$C$13,2,FALSE),0)</f>
        <v>11.2</v>
      </c>
      <c r="AC65" s="12">
        <f t="shared" si="5"/>
        <v>0</v>
      </c>
      <c r="AD65" s="12">
        <f t="shared" si="6"/>
        <v>0</v>
      </c>
      <c r="AE65" s="13">
        <f t="shared" si="7"/>
        <v>0</v>
      </c>
    </row>
    <row r="66" spans="2:36" x14ac:dyDescent="0.25">
      <c r="B66" s="4"/>
      <c r="E66" s="3"/>
      <c r="F66" s="3"/>
      <c r="G66" s="24"/>
      <c r="H66" s="24"/>
      <c r="K66" s="4"/>
      <c r="L66" s="4"/>
      <c r="M66" s="4"/>
      <c r="N66" s="4"/>
      <c r="O66" s="4"/>
      <c r="P66" s="27"/>
      <c r="Q66" s="25"/>
      <c r="R66" s="25"/>
      <c r="S66" s="12">
        <f t="shared" si="8"/>
        <v>0</v>
      </c>
      <c r="T66" s="5">
        <v>0</v>
      </c>
      <c r="U66" s="12">
        <f t="shared" si="9"/>
        <v>0</v>
      </c>
      <c r="V66" s="25" t="s">
        <v>10</v>
      </c>
      <c r="W66" s="11">
        <f>IFERROR(VLOOKUP(V66,Curr!$B$2:$C$13,2,FALSE),0)</f>
        <v>11.2</v>
      </c>
      <c r="X66" s="12">
        <f t="shared" si="10"/>
        <v>0</v>
      </c>
      <c r="Y66" s="26">
        <f t="shared" si="11"/>
        <v>0</v>
      </c>
      <c r="Z66" s="12">
        <f t="shared" si="4"/>
        <v>0</v>
      </c>
      <c r="AA66" s="4" t="s">
        <v>10</v>
      </c>
      <c r="AB66" s="11">
        <f>IFERROR(VLOOKUP(AA66,Curr!$B$2:$C$13,2,FALSE),0)</f>
        <v>11.2</v>
      </c>
      <c r="AC66" s="12">
        <f t="shared" si="5"/>
        <v>0</v>
      </c>
      <c r="AD66" s="12">
        <f t="shared" si="6"/>
        <v>0</v>
      </c>
      <c r="AE66" s="13">
        <f t="shared" si="7"/>
        <v>0</v>
      </c>
    </row>
    <row r="67" spans="2:36" x14ac:dyDescent="0.25">
      <c r="B67" s="4"/>
      <c r="E67" s="3"/>
      <c r="F67" s="3"/>
      <c r="G67" s="3"/>
      <c r="H67" s="3"/>
      <c r="L67" s="4"/>
      <c r="M67" s="4"/>
      <c r="N67" s="4"/>
      <c r="O67" s="4"/>
      <c r="P67" s="22"/>
      <c r="Q67" s="4"/>
      <c r="R67" s="4"/>
      <c r="S67" s="4"/>
      <c r="T67" s="4"/>
      <c r="U67" s="4"/>
      <c r="V67" s="4"/>
      <c r="W67" s="4"/>
      <c r="X67" s="4"/>
      <c r="Y67" s="4"/>
      <c r="Z67" s="4"/>
      <c r="AA67" s="4"/>
      <c r="AB67" s="4"/>
      <c r="AC67" s="4"/>
      <c r="AD67" s="4"/>
      <c r="AE67" s="4"/>
      <c r="AF67" s="4"/>
    </row>
    <row r="68" spans="2:36" x14ac:dyDescent="0.25">
      <c r="B68" s="14" t="s">
        <v>18</v>
      </c>
      <c r="C68" s="14"/>
      <c r="D68" s="28" t="s">
        <v>42</v>
      </c>
      <c r="E68" s="30" t="s">
        <v>42</v>
      </c>
      <c r="F68" s="30" t="s">
        <v>42</v>
      </c>
      <c r="G68" s="30" t="s">
        <v>42</v>
      </c>
      <c r="H68" s="30" t="s">
        <v>42</v>
      </c>
      <c r="I68" s="28" t="s">
        <v>42</v>
      </c>
      <c r="J68" s="28" t="s">
        <v>42</v>
      </c>
      <c r="K68" s="28" t="s">
        <v>42</v>
      </c>
      <c r="L68" s="28" t="s">
        <v>42</v>
      </c>
      <c r="M68" s="28" t="s">
        <v>42</v>
      </c>
      <c r="N68" s="28" t="s">
        <v>42</v>
      </c>
      <c r="O68" s="28" t="s">
        <v>42</v>
      </c>
      <c r="P68" s="28" t="s">
        <v>42</v>
      </c>
      <c r="Q68" s="31" t="s">
        <v>42</v>
      </c>
      <c r="R68" s="28" t="s">
        <v>42</v>
      </c>
      <c r="S68" s="32" t="s">
        <v>42</v>
      </c>
      <c r="T68" s="28" t="s">
        <v>42</v>
      </c>
      <c r="U68" s="32" t="s">
        <v>42</v>
      </c>
      <c r="V68" s="28" t="s">
        <v>42</v>
      </c>
      <c r="W68" s="28" t="s">
        <v>42</v>
      </c>
      <c r="X68" s="32" t="s">
        <v>42</v>
      </c>
      <c r="Y68" s="32" t="s">
        <v>42</v>
      </c>
      <c r="Z68" s="15">
        <f>SUM(Z7:Z66)</f>
        <v>6006.5855614973261</v>
      </c>
      <c r="AA68" s="14"/>
      <c r="AB68" s="14"/>
      <c r="AC68" s="15">
        <f>SUM(AC7:AC66)</f>
        <v>67273.758288770056</v>
      </c>
      <c r="AD68" s="15">
        <f>SUM(AD7:AD66)</f>
        <v>11749.75828877005</v>
      </c>
      <c r="AE68" s="21">
        <f t="shared" ref="AE68" si="15">IFERROR(AD68/AC68,0)</f>
        <v>0.17465589239618007</v>
      </c>
      <c r="AF68" s="15">
        <f>SUM(AF8:AF67)</f>
        <v>0</v>
      </c>
      <c r="AG68" s="15">
        <f>SUM(AG8:AG67)</f>
        <v>0</v>
      </c>
      <c r="AH68" s="15">
        <f>SUM(AH8:AH67)</f>
        <v>0</v>
      </c>
      <c r="AI68" s="15">
        <f>SUM(AI8:AI67)</f>
        <v>0</v>
      </c>
      <c r="AJ68" s="15">
        <f>SUM(AJ8:AJ67)</f>
        <v>0</v>
      </c>
    </row>
    <row r="69" spans="2:36" x14ac:dyDescent="0.25">
      <c r="B69" s="4"/>
      <c r="E69" s="3"/>
      <c r="F69" s="3"/>
      <c r="G69" s="3"/>
      <c r="H69" s="3"/>
      <c r="L69" s="4"/>
      <c r="M69" s="4"/>
      <c r="N69" s="4"/>
      <c r="O69" s="4"/>
      <c r="Q69" s="4"/>
      <c r="R69" s="4"/>
      <c r="S69" s="4"/>
      <c r="T69" s="4"/>
      <c r="U69" s="4"/>
      <c r="V69" s="4"/>
      <c r="W69" s="4"/>
      <c r="X69" s="4"/>
      <c r="Y69" s="9"/>
      <c r="Z69" s="9"/>
      <c r="AA69" s="9"/>
      <c r="AB69" s="9"/>
      <c r="AC69" s="9"/>
      <c r="AD69" s="9"/>
      <c r="AE69" s="9"/>
    </row>
    <row r="70" spans="2:36" x14ac:dyDescent="0.25">
      <c r="B70" s="4"/>
      <c r="E70" s="3"/>
      <c r="F70" s="3"/>
      <c r="G70" s="3"/>
      <c r="H70" s="3"/>
      <c r="L70" s="4"/>
      <c r="M70" s="4"/>
      <c r="N70" s="4"/>
      <c r="O70" s="4"/>
      <c r="Q70" s="9"/>
      <c r="R70" s="9"/>
      <c r="S70" s="9"/>
      <c r="T70" s="9"/>
      <c r="U70" s="9"/>
      <c r="V70" s="9"/>
      <c r="W70" s="9"/>
      <c r="X70" s="23"/>
      <c r="Y70" s="34" t="s">
        <v>102</v>
      </c>
      <c r="Z70" s="34"/>
      <c r="AA70" s="9"/>
      <c r="AB70" s="9"/>
      <c r="AC70" s="9"/>
      <c r="AD70" s="9"/>
      <c r="AE70" s="9"/>
    </row>
    <row r="71" spans="2:36" x14ac:dyDescent="0.25">
      <c r="B71" s="4"/>
      <c r="E71" s="3"/>
      <c r="F71" s="3"/>
      <c r="G71" s="3"/>
      <c r="H71" s="3"/>
      <c r="L71" s="4"/>
      <c r="M71" s="4"/>
      <c r="N71" s="4"/>
      <c r="O71" s="4"/>
      <c r="Q71" s="9"/>
      <c r="R71" s="9"/>
      <c r="S71" s="9"/>
      <c r="T71" s="9"/>
      <c r="U71" s="9"/>
      <c r="V71" s="9"/>
      <c r="W71" s="9"/>
      <c r="X71" s="9"/>
      <c r="Y71" s="35" t="s">
        <v>103</v>
      </c>
      <c r="Z71" s="34"/>
      <c r="AA71" s="9"/>
      <c r="AB71" s="9"/>
      <c r="AC71" s="9"/>
      <c r="AD71" s="9"/>
      <c r="AE71" s="9"/>
      <c r="AF71" s="18"/>
    </row>
    <row r="72" spans="2:36" x14ac:dyDescent="0.25">
      <c r="B72" s="4"/>
      <c r="E72" s="3"/>
      <c r="F72" s="3"/>
      <c r="G72" s="3"/>
      <c r="H72" s="3"/>
      <c r="I72" s="19"/>
      <c r="L72" s="4"/>
      <c r="M72" s="4"/>
      <c r="N72" s="4"/>
      <c r="O72" s="20"/>
      <c r="Q72" s="20"/>
      <c r="R72" s="20"/>
      <c r="S72" s="20"/>
      <c r="T72" s="20"/>
      <c r="U72" s="20"/>
      <c r="V72" s="20"/>
      <c r="W72" s="20"/>
      <c r="X72" s="20"/>
      <c r="Y72" s="34" t="s">
        <v>104</v>
      </c>
      <c r="Z72" s="34">
        <f>AA72-Z29</f>
        <v>2789.818181818182</v>
      </c>
      <c r="AA72" s="9">
        <v>6020</v>
      </c>
      <c r="AB72" s="9"/>
      <c r="AC72" s="9"/>
      <c r="AD72" s="9"/>
      <c r="AE72" s="9"/>
      <c r="AF72" s="18"/>
    </row>
    <row r="73" spans="2:36" x14ac:dyDescent="0.25">
      <c r="B73" s="4"/>
      <c r="E73" s="3"/>
      <c r="F73" s="3"/>
      <c r="G73" s="3"/>
      <c r="H73" s="3"/>
      <c r="L73" s="4"/>
      <c r="M73" s="4"/>
      <c r="N73" s="4"/>
      <c r="O73" s="20"/>
      <c r="Q73" s="20"/>
      <c r="R73" s="20"/>
      <c r="S73" s="20"/>
      <c r="T73" s="20"/>
      <c r="U73" s="20"/>
      <c r="V73" s="20"/>
      <c r="W73" s="20"/>
      <c r="X73" s="20"/>
      <c r="Y73" s="34" t="s">
        <v>43</v>
      </c>
      <c r="Z73" s="34">
        <f>Z72/2</f>
        <v>1394.909090909091</v>
      </c>
      <c r="AA73" s="9"/>
      <c r="AB73" s="9"/>
      <c r="AC73" s="9"/>
      <c r="AD73" s="9"/>
      <c r="AE73" s="9"/>
      <c r="AF73" s="18"/>
    </row>
    <row r="74" spans="2:36" x14ac:dyDescent="0.25">
      <c r="B74" s="4"/>
      <c r="E74" s="3"/>
      <c r="F74" s="3"/>
      <c r="G74" s="3"/>
      <c r="H74" s="3"/>
      <c r="L74" s="4"/>
      <c r="M74" s="4"/>
      <c r="N74" s="4"/>
      <c r="O74" s="4"/>
      <c r="Q74" s="9"/>
      <c r="R74" s="9"/>
      <c r="S74" s="9"/>
      <c r="T74" s="9"/>
      <c r="U74" s="9"/>
      <c r="V74" s="9"/>
      <c r="W74" s="9"/>
      <c r="X74" s="9"/>
      <c r="Y74" s="1"/>
      <c r="Z74" s="1"/>
      <c r="AA74" s="9"/>
      <c r="AB74" s="9"/>
      <c r="AC74" s="9"/>
      <c r="AD74" s="9"/>
      <c r="AE74" s="9"/>
      <c r="AF74" s="18"/>
    </row>
    <row r="75" spans="2:36" x14ac:dyDescent="0.25">
      <c r="F75" s="1"/>
      <c r="G75" s="1"/>
      <c r="H75" s="1"/>
      <c r="J75" s="1" t="s">
        <v>32</v>
      </c>
      <c r="Q75" s="9"/>
      <c r="R75" s="4"/>
      <c r="S75" s="9"/>
      <c r="T75" s="5"/>
      <c r="U75" s="9"/>
      <c r="V75" s="4"/>
      <c r="W75" s="4"/>
      <c r="X75" s="9"/>
      <c r="Y75" s="9"/>
      <c r="Z75" s="9"/>
      <c r="AA75" s="9"/>
      <c r="AB75" s="9"/>
      <c r="AC75" s="9"/>
      <c r="AD75" s="9"/>
      <c r="AE75" s="9"/>
    </row>
    <row r="76" spans="2:36" x14ac:dyDescent="0.25">
      <c r="R76" s="4"/>
      <c r="S76" s="17"/>
      <c r="T76" s="17"/>
      <c r="U76" s="9"/>
      <c r="V76" s="4"/>
      <c r="W76" s="4"/>
      <c r="X76" s="9"/>
      <c r="Y76" s="9"/>
      <c r="Z76" s="9" t="s">
        <v>330</v>
      </c>
      <c r="AA76" s="9"/>
      <c r="AB76" s="9"/>
      <c r="AC76" s="9"/>
      <c r="AD76" s="9"/>
      <c r="AE76" s="9"/>
    </row>
    <row r="77" spans="2:36" x14ac:dyDescent="0.25">
      <c r="Q77" s="9"/>
      <c r="R77" s="4"/>
      <c r="S77" s="16"/>
      <c r="T77" s="16"/>
      <c r="U77" s="9"/>
      <c r="V77" s="4"/>
      <c r="W77" s="4"/>
      <c r="X77" s="9"/>
      <c r="Y77" s="37" t="s">
        <v>325</v>
      </c>
      <c r="Z77" s="9">
        <f>Z72</f>
        <v>2789.818181818182</v>
      </c>
      <c r="AA77" s="9">
        <f>Z77+Z29</f>
        <v>6020</v>
      </c>
      <c r="AB77" s="9"/>
      <c r="AC77" s="9"/>
      <c r="AD77" s="9"/>
      <c r="AE77" s="9"/>
    </row>
    <row r="78" spans="2:36" x14ac:dyDescent="0.25">
      <c r="R78" s="4"/>
      <c r="S78" s="16"/>
      <c r="T78" s="16"/>
      <c r="Y78" s="37" t="s">
        <v>326</v>
      </c>
      <c r="Z78" s="9">
        <f>Z77*1.18</f>
        <v>3291.9854545454546</v>
      </c>
      <c r="AA78" s="9">
        <f>Z78+Z29</f>
        <v>6522.1672727272726</v>
      </c>
      <c r="AB78" s="9"/>
      <c r="AC78" s="9"/>
      <c r="AD78" s="9"/>
      <c r="AE78" s="9"/>
    </row>
    <row r="79" spans="2:36" x14ac:dyDescent="0.25">
      <c r="T79" s="5"/>
      <c r="Y79" s="37" t="s">
        <v>327</v>
      </c>
      <c r="Z79" s="9">
        <f>Z77*1.25</f>
        <v>3487.2727272727275</v>
      </c>
      <c r="AA79" s="9">
        <f>Z79+Z29</f>
        <v>6717.454545454546</v>
      </c>
      <c r="AB79" s="9"/>
      <c r="AC79" s="9"/>
      <c r="AD79" s="9"/>
      <c r="AE79" s="9"/>
    </row>
    <row r="80" spans="2:36" x14ac:dyDescent="0.25">
      <c r="T80" s="5"/>
      <c r="Y80" s="37" t="s">
        <v>328</v>
      </c>
      <c r="Z80" s="9">
        <f>Z77*0.85</f>
        <v>2371.3454545454547</v>
      </c>
      <c r="AA80" s="9">
        <f>Z80+Z29</f>
        <v>5601.5272727272732</v>
      </c>
      <c r="AB80" s="9"/>
      <c r="AC80" s="9"/>
      <c r="AD80" s="9"/>
      <c r="AE80" s="9"/>
    </row>
    <row r="81" spans="20:31" x14ac:dyDescent="0.25">
      <c r="T81" s="5"/>
      <c r="Y81" s="37" t="s">
        <v>307</v>
      </c>
      <c r="Z81" s="9" t="s">
        <v>329</v>
      </c>
      <c r="AA81" s="9"/>
      <c r="AB81" s="9"/>
      <c r="AC81" s="9"/>
      <c r="AD81" s="9"/>
      <c r="AE81" s="9"/>
    </row>
    <row r="82" spans="20:31" x14ac:dyDescent="0.25">
      <c r="T82" s="5"/>
      <c r="Y82" s="9"/>
      <c r="Z82" s="9"/>
      <c r="AA82" s="9"/>
      <c r="AB82" s="9"/>
      <c r="AC82" s="9"/>
      <c r="AD82" s="9"/>
      <c r="AE82" s="9"/>
    </row>
    <row r="83" spans="20:31" x14ac:dyDescent="0.25">
      <c r="T83" s="5"/>
      <c r="Y83" s="9"/>
      <c r="Z83" s="9"/>
      <c r="AA83" s="9"/>
      <c r="AB83" s="9"/>
      <c r="AC83" s="9"/>
      <c r="AD83" s="9"/>
      <c r="AE83" s="9"/>
    </row>
    <row r="84" spans="20:31" x14ac:dyDescent="0.25">
      <c r="T84" s="5"/>
      <c r="Y84" s="9"/>
      <c r="Z84" s="9"/>
      <c r="AA84" s="9"/>
      <c r="AB84" s="9"/>
      <c r="AC84" s="9"/>
      <c r="AD84" s="9"/>
      <c r="AE84" s="9"/>
    </row>
    <row r="85" spans="20:31" x14ac:dyDescent="0.25">
      <c r="T85" s="5"/>
      <c r="Y85" s="9"/>
      <c r="Z85" s="9"/>
      <c r="AA85" s="9"/>
      <c r="AB85" s="9"/>
      <c r="AC85" s="9"/>
      <c r="AD85" s="9"/>
      <c r="AE85" s="9"/>
    </row>
    <row r="86" spans="20:31" x14ac:dyDescent="0.25">
      <c r="T86" s="5"/>
      <c r="Y86" s="9"/>
      <c r="Z86" s="9"/>
      <c r="AA86" s="9"/>
      <c r="AB86" s="9"/>
      <c r="AC86" s="9"/>
      <c r="AD86" s="9"/>
      <c r="AE86" s="9"/>
    </row>
    <row r="87" spans="20:31" x14ac:dyDescent="0.25">
      <c r="T87" s="5"/>
    </row>
    <row r="88" spans="20:31" x14ac:dyDescent="0.25">
      <c r="T88" s="5"/>
    </row>
    <row r="89" spans="20:31" x14ac:dyDescent="0.25">
      <c r="T89" s="5"/>
    </row>
    <row r="90" spans="20:31" x14ac:dyDescent="0.25">
      <c r="T90" s="5"/>
    </row>
    <row r="91" spans="20:31" x14ac:dyDescent="0.25">
      <c r="T91" s="5"/>
    </row>
  </sheetData>
  <autoFilter ref="B6:AE68" xr:uid="{65FA6D9B-E0AF-46CD-BA0D-86BB75FE6AB0}"/>
  <hyperlinks>
    <hyperlink ref="P29" r:id="rId1" xr:uid="{FB8942A0-046B-4743-926B-ED599AFFEDA8}"/>
    <hyperlink ref="P43" r:id="rId2" xr:uid="{B7C96E6D-72B4-43D1-9B1F-BE577842A806}"/>
    <hyperlink ref="P41" r:id="rId3" xr:uid="{FE5ECF29-F928-4824-99DC-4756BA13F98E}"/>
    <hyperlink ref="P22" r:id="rId4" xr:uid="{4397399F-21AA-42DD-BAD7-787F3844BF4D}"/>
    <hyperlink ref="P13" r:id="rId5" xr:uid="{05DB2F2F-FFBD-4694-B573-E5C622E1C144}"/>
    <hyperlink ref="P59" r:id="rId6" xr:uid="{6637F785-37B4-44BC-A556-BEFB867F5530}"/>
    <hyperlink ref="P24" r:id="rId7" xr:uid="{38315600-6A9B-4868-BBA0-CE8B4A8EC46B}"/>
    <hyperlink ref="P39" r:id="rId8" xr:uid="{2C301FC4-D0C0-47AE-BD31-4971E8015FD8}"/>
  </hyperlinks>
  <pageMargins left="0.7" right="0.7" top="0.75" bottom="0.75" header="0.3" footer="0.3"/>
  <pageSetup paperSize="9" orientation="portrait" r:id="rId9"/>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029EB-8FAD-4126-8B5D-11772B2D6527}">
  <sheetPr>
    <tabColor rgb="FFFFFF00"/>
  </sheetPr>
  <dimension ref="B1:AK56"/>
  <sheetViews>
    <sheetView zoomScale="80" zoomScaleNormal="80" workbookViewId="0">
      <selection activeCell="J12" sqref="J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t="s">
        <v>290</v>
      </c>
    </row>
    <row r="2" spans="2:36" x14ac:dyDescent="0.25">
      <c r="B2" s="2" t="s">
        <v>291</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 si="0">+Q7*R7</f>
        <v>0</v>
      </c>
      <c r="T7" s="5">
        <v>0</v>
      </c>
      <c r="U7" s="12">
        <f t="shared" ref="U7" si="1">S7*(1-T7)</f>
        <v>0</v>
      </c>
      <c r="V7" s="25" t="s">
        <v>10</v>
      </c>
      <c r="W7" s="11">
        <f>IFERROR(VLOOKUP(V7,Curr!$B$2:$C$13,2,FALSE),0)</f>
        <v>11.2</v>
      </c>
      <c r="X7" s="12">
        <f t="shared" ref="X7" si="2">U7*W7</f>
        <v>0</v>
      </c>
      <c r="Y7" s="26">
        <f t="shared" ref="Y7" si="3">Q7</f>
        <v>0</v>
      </c>
      <c r="Z7" s="12">
        <f t="shared" ref="Z7" si="4">+Y7*R7</f>
        <v>0</v>
      </c>
      <c r="AA7" s="4" t="s">
        <v>10</v>
      </c>
      <c r="AB7" s="11">
        <f>IFERROR(VLOOKUP(AA7,Curr!$B$2:$C$13,2,FALSE),0)</f>
        <v>11.2</v>
      </c>
      <c r="AC7" s="12">
        <f t="shared" ref="AC7" si="5">+Y7*AB7*R7</f>
        <v>0</v>
      </c>
      <c r="AD7" s="12">
        <f t="shared" ref="AD7" si="6">+AC7-X7</f>
        <v>0</v>
      </c>
      <c r="AE7" s="13">
        <f t="shared" ref="AE7" si="7">IFERROR(AD7/AC7,0)</f>
        <v>0</v>
      </c>
    </row>
    <row r="8" spans="2:36" x14ac:dyDescent="0.25">
      <c r="B8" s="4"/>
      <c r="C8" s="1" t="s">
        <v>55</v>
      </c>
      <c r="D8" s="1" t="s">
        <v>50</v>
      </c>
      <c r="E8" s="3"/>
      <c r="F8" s="3"/>
      <c r="G8" s="24"/>
      <c r="H8" s="24"/>
      <c r="J8" s="1" t="s">
        <v>95</v>
      </c>
      <c r="K8" s="4"/>
      <c r="L8" s="4"/>
      <c r="M8" s="4"/>
      <c r="N8" s="4"/>
      <c r="O8" s="4"/>
      <c r="P8" s="27"/>
      <c r="Q8" s="25">
        <v>0</v>
      </c>
      <c r="R8" s="25">
        <v>0</v>
      </c>
      <c r="S8" s="12">
        <f t="shared" ref="S8:S21" si="8">+Q8*R8</f>
        <v>0</v>
      </c>
      <c r="T8" s="5">
        <v>0</v>
      </c>
      <c r="U8" s="12">
        <f t="shared" ref="U8:U21" si="9">S8*(1-T8)</f>
        <v>0</v>
      </c>
      <c r="V8" s="25" t="s">
        <v>10</v>
      </c>
      <c r="W8" s="11">
        <f>IFERROR(VLOOKUP(V8,Curr!$B$2:$C$13,2,FALSE),0)</f>
        <v>11.2</v>
      </c>
      <c r="X8" s="12">
        <f t="shared" ref="X8:X21" si="10">U8*W8</f>
        <v>0</v>
      </c>
      <c r="Y8" s="26">
        <f t="shared" ref="Y8:Y21" si="11">Q8</f>
        <v>0</v>
      </c>
      <c r="Z8" s="12">
        <f t="shared" ref="Z8:Z21" si="12">+Y8*R8</f>
        <v>0</v>
      </c>
      <c r="AA8" s="4" t="s">
        <v>10</v>
      </c>
      <c r="AB8" s="11">
        <f>IFERROR(VLOOKUP(AA8,Curr!$B$2:$C$13,2,FALSE),0)</f>
        <v>11.2</v>
      </c>
      <c r="AC8" s="12">
        <f t="shared" ref="AC8:AC21" si="13">+Y8*AB8*R8</f>
        <v>0</v>
      </c>
      <c r="AD8" s="12">
        <f t="shared" ref="AD8:AD21" si="14">+AC8-X8</f>
        <v>0</v>
      </c>
      <c r="AE8" s="13">
        <f t="shared" ref="AE8:AE21" si="15">IFERROR(AD8/AC8,0)</f>
        <v>0</v>
      </c>
    </row>
    <row r="9" spans="2:36" x14ac:dyDescent="0.25">
      <c r="B9" s="4"/>
      <c r="C9" s="1" t="s">
        <v>55</v>
      </c>
      <c r="D9" s="1" t="s">
        <v>52</v>
      </c>
      <c r="E9" s="3"/>
      <c r="F9" s="3"/>
      <c r="G9" s="24"/>
      <c r="H9" s="24"/>
      <c r="J9" s="1" t="s">
        <v>339</v>
      </c>
      <c r="K9" s="4"/>
      <c r="L9" s="4"/>
      <c r="M9" s="4"/>
      <c r="N9" s="4"/>
      <c r="O9" s="4"/>
      <c r="P9" s="33"/>
      <c r="Q9" s="25">
        <v>0</v>
      </c>
      <c r="R9" s="25">
        <v>0</v>
      </c>
      <c r="S9" s="12">
        <f t="shared" si="8"/>
        <v>0</v>
      </c>
      <c r="T9" s="5">
        <v>0</v>
      </c>
      <c r="U9" s="12">
        <f t="shared" si="9"/>
        <v>0</v>
      </c>
      <c r="V9" s="25" t="s">
        <v>10</v>
      </c>
      <c r="W9" s="11">
        <f>IFERROR(VLOOKUP(V9,Curr!$B$2:$C$13,2,FALSE),0)</f>
        <v>11.2</v>
      </c>
      <c r="X9" s="12">
        <f t="shared" si="10"/>
        <v>0</v>
      </c>
      <c r="Y9" s="26">
        <f t="shared" si="11"/>
        <v>0</v>
      </c>
      <c r="Z9" s="12">
        <f t="shared" si="12"/>
        <v>0</v>
      </c>
      <c r="AA9" s="4" t="s">
        <v>10</v>
      </c>
      <c r="AB9" s="11">
        <f>IFERROR(VLOOKUP(AA9,Curr!$B$2:$C$13,2,FALSE),0)</f>
        <v>11.2</v>
      </c>
      <c r="AC9" s="12">
        <f t="shared" si="13"/>
        <v>0</v>
      </c>
      <c r="AD9" s="12">
        <f t="shared" si="14"/>
        <v>0</v>
      </c>
      <c r="AE9" s="13">
        <f t="shared" si="15"/>
        <v>0</v>
      </c>
    </row>
    <row r="10" spans="2:36" x14ac:dyDescent="0.25">
      <c r="B10" s="4"/>
      <c r="C10" s="1" t="s">
        <v>55</v>
      </c>
      <c r="D10" s="1" t="s">
        <v>340</v>
      </c>
      <c r="E10" s="3"/>
      <c r="F10" s="3"/>
      <c r="G10" s="24"/>
      <c r="H10" s="24"/>
      <c r="J10" s="1" t="s">
        <v>341</v>
      </c>
      <c r="K10" s="4"/>
      <c r="L10" s="4"/>
      <c r="M10" s="4"/>
      <c r="N10" s="4"/>
      <c r="O10" s="4"/>
      <c r="P10" s="27"/>
      <c r="Q10" s="25">
        <v>0</v>
      </c>
      <c r="R10" s="25">
        <v>0</v>
      </c>
      <c r="S10" s="12">
        <f t="shared" si="8"/>
        <v>0</v>
      </c>
      <c r="T10" s="5">
        <v>0</v>
      </c>
      <c r="U10" s="12">
        <f t="shared" si="9"/>
        <v>0</v>
      </c>
      <c r="V10" s="25" t="s">
        <v>10</v>
      </c>
      <c r="W10" s="11">
        <f>IFERROR(VLOOKUP(V10,Curr!$B$2:$C$13,2,FALSE),0)</f>
        <v>11.2</v>
      </c>
      <c r="X10" s="12">
        <f t="shared" si="10"/>
        <v>0</v>
      </c>
      <c r="Y10" s="26">
        <f t="shared" si="11"/>
        <v>0</v>
      </c>
      <c r="Z10" s="12">
        <f t="shared" si="12"/>
        <v>0</v>
      </c>
      <c r="AA10" s="4" t="s">
        <v>10</v>
      </c>
      <c r="AB10" s="11">
        <f>IFERROR(VLOOKUP(AA10,Curr!$B$2:$C$13,2,FALSE),0)</f>
        <v>11.2</v>
      </c>
      <c r="AC10" s="12">
        <f t="shared" si="13"/>
        <v>0</v>
      </c>
      <c r="AD10" s="12">
        <f t="shared" si="14"/>
        <v>0</v>
      </c>
      <c r="AE10" s="13">
        <f t="shared" si="15"/>
        <v>0</v>
      </c>
    </row>
    <row r="11" spans="2:36" x14ac:dyDescent="0.25">
      <c r="B11" s="4"/>
      <c r="C11" s="1" t="s">
        <v>55</v>
      </c>
      <c r="D11" s="1" t="s">
        <v>53</v>
      </c>
      <c r="E11" s="3"/>
      <c r="F11" s="3"/>
      <c r="G11" s="24"/>
      <c r="H11" s="24"/>
      <c r="J11" s="1" t="s">
        <v>338</v>
      </c>
      <c r="K11" s="4"/>
      <c r="L11" s="4"/>
      <c r="M11" s="4"/>
      <c r="N11" s="4"/>
      <c r="O11" s="4"/>
      <c r="P11" s="27"/>
      <c r="Q11" s="25">
        <v>0</v>
      </c>
      <c r="R11" s="25">
        <v>0</v>
      </c>
      <c r="S11" s="12">
        <f t="shared" ref="S11" si="16">+Q11*R11</f>
        <v>0</v>
      </c>
      <c r="T11" s="5">
        <v>0</v>
      </c>
      <c r="U11" s="12">
        <f t="shared" ref="U11" si="17">S11*(1-T11)</f>
        <v>0</v>
      </c>
      <c r="V11" s="25" t="s">
        <v>10</v>
      </c>
      <c r="W11" s="11">
        <f>IFERROR(VLOOKUP(V11,Curr!$B$2:$C$13,2,FALSE),0)</f>
        <v>11.2</v>
      </c>
      <c r="X11" s="12">
        <f t="shared" ref="X11" si="18">U11*W11</f>
        <v>0</v>
      </c>
      <c r="Y11" s="26">
        <f t="shared" ref="Y11" si="19">Q11</f>
        <v>0</v>
      </c>
      <c r="Z11" s="12">
        <f t="shared" ref="Z11" si="20">+Y11*R11</f>
        <v>0</v>
      </c>
      <c r="AA11" s="4" t="s">
        <v>10</v>
      </c>
      <c r="AB11" s="11">
        <f>IFERROR(VLOOKUP(AA11,Curr!$B$2:$C$13,2,FALSE),0)</f>
        <v>11.2</v>
      </c>
      <c r="AC11" s="12">
        <f t="shared" ref="AC11" si="21">+Y11*AB11*R11</f>
        <v>0</v>
      </c>
      <c r="AD11" s="12">
        <f t="shared" ref="AD11" si="22">+AC11-X11</f>
        <v>0</v>
      </c>
      <c r="AE11" s="13">
        <f t="shared" ref="AE11" si="23">IFERROR(AD11/AC11,0)</f>
        <v>0</v>
      </c>
    </row>
    <row r="12" spans="2:36" x14ac:dyDescent="0.25">
      <c r="B12" s="4"/>
      <c r="E12" s="3"/>
      <c r="F12" s="3"/>
      <c r="G12" s="24"/>
      <c r="H12" s="24"/>
      <c r="K12" s="4"/>
      <c r="L12" s="4"/>
      <c r="M12" s="4"/>
      <c r="N12" s="4"/>
      <c r="O12" s="4"/>
      <c r="P12" s="33"/>
      <c r="Q12" s="25"/>
      <c r="R12" s="25"/>
      <c r="S12" s="12">
        <f t="shared" si="8"/>
        <v>0</v>
      </c>
      <c r="T12" s="5">
        <v>0</v>
      </c>
      <c r="U12" s="12">
        <f t="shared" si="9"/>
        <v>0</v>
      </c>
      <c r="V12" s="25" t="s">
        <v>10</v>
      </c>
      <c r="W12" s="11">
        <f>IFERROR(VLOOKUP(V12,Curr!$B$2:$C$13,2,FALSE),0)</f>
        <v>11.2</v>
      </c>
      <c r="X12" s="12">
        <f t="shared" si="10"/>
        <v>0</v>
      </c>
      <c r="Y12" s="26">
        <f t="shared" si="11"/>
        <v>0</v>
      </c>
      <c r="Z12" s="12">
        <f t="shared" si="12"/>
        <v>0</v>
      </c>
      <c r="AA12" s="4" t="s">
        <v>10</v>
      </c>
      <c r="AB12" s="11">
        <f>IFERROR(VLOOKUP(AA12,Curr!$B$2:$C$13,2,FALSE),0)</f>
        <v>11.2</v>
      </c>
      <c r="AC12" s="12">
        <f t="shared" si="13"/>
        <v>0</v>
      </c>
      <c r="AD12" s="12">
        <f t="shared" si="14"/>
        <v>0</v>
      </c>
      <c r="AE12" s="13">
        <f t="shared" si="15"/>
        <v>0</v>
      </c>
    </row>
    <row r="13" spans="2:36" x14ac:dyDescent="0.25">
      <c r="B13" s="4"/>
      <c r="C13" s="1" t="s">
        <v>63</v>
      </c>
      <c r="D13" s="1" t="s">
        <v>73</v>
      </c>
      <c r="E13" s="3"/>
      <c r="F13" s="3"/>
      <c r="G13" s="24"/>
      <c r="H13" s="24"/>
      <c r="J13" s="1" t="s">
        <v>342</v>
      </c>
      <c r="K13" s="4"/>
      <c r="L13" s="4"/>
      <c r="M13" s="4"/>
      <c r="N13" s="4"/>
      <c r="O13" s="4"/>
      <c r="P13" s="27"/>
      <c r="Q13" s="25">
        <v>0</v>
      </c>
      <c r="R13" s="25">
        <v>0</v>
      </c>
      <c r="S13" s="12">
        <f t="shared" si="8"/>
        <v>0</v>
      </c>
      <c r="T13" s="5">
        <v>0</v>
      </c>
      <c r="U13" s="12">
        <f t="shared" si="9"/>
        <v>0</v>
      </c>
      <c r="V13" s="25" t="s">
        <v>10</v>
      </c>
      <c r="W13" s="11">
        <f>IFERROR(VLOOKUP(V13,Curr!$B$2:$C$13,2,FALSE),0)</f>
        <v>11.2</v>
      </c>
      <c r="X13" s="12">
        <f t="shared" si="10"/>
        <v>0</v>
      </c>
      <c r="Y13" s="26">
        <f t="shared" si="11"/>
        <v>0</v>
      </c>
      <c r="Z13" s="12">
        <f t="shared" si="12"/>
        <v>0</v>
      </c>
      <c r="AA13" s="4" t="s">
        <v>10</v>
      </c>
      <c r="AB13" s="11">
        <f>IFERROR(VLOOKUP(AA13,Curr!$B$2:$C$13,2,FALSE),0)</f>
        <v>11.2</v>
      </c>
      <c r="AC13" s="12">
        <f t="shared" si="13"/>
        <v>0</v>
      </c>
      <c r="AD13" s="12">
        <f t="shared" si="14"/>
        <v>0</v>
      </c>
      <c r="AE13" s="13">
        <f t="shared" si="15"/>
        <v>0</v>
      </c>
    </row>
    <row r="14" spans="2:36" x14ac:dyDescent="0.25">
      <c r="B14" s="4"/>
      <c r="C14" s="1" t="s">
        <v>63</v>
      </c>
      <c r="D14" s="1" t="s">
        <v>53</v>
      </c>
      <c r="E14" s="3"/>
      <c r="F14" s="3"/>
      <c r="G14" s="24"/>
      <c r="H14" s="24"/>
      <c r="J14" s="1" t="s">
        <v>338</v>
      </c>
      <c r="K14" s="4"/>
      <c r="L14" s="4"/>
      <c r="M14" s="4"/>
      <c r="N14" s="4"/>
      <c r="O14" s="4"/>
      <c r="P14" s="33"/>
      <c r="Q14" s="25">
        <v>0</v>
      </c>
      <c r="R14" s="25">
        <v>0</v>
      </c>
      <c r="S14" s="12">
        <f t="shared" si="8"/>
        <v>0</v>
      </c>
      <c r="T14" s="5">
        <v>0</v>
      </c>
      <c r="U14" s="12">
        <f t="shared" si="9"/>
        <v>0</v>
      </c>
      <c r="V14" s="25" t="s">
        <v>10</v>
      </c>
      <c r="W14" s="11">
        <f>IFERROR(VLOOKUP(V14,Curr!$B$2:$C$13,2,FALSE),0)</f>
        <v>11.2</v>
      </c>
      <c r="X14" s="12">
        <f t="shared" si="10"/>
        <v>0</v>
      </c>
      <c r="Y14" s="26">
        <f t="shared" si="11"/>
        <v>0</v>
      </c>
      <c r="Z14" s="12">
        <f t="shared" si="12"/>
        <v>0</v>
      </c>
      <c r="AA14" s="4" t="s">
        <v>10</v>
      </c>
      <c r="AB14" s="11">
        <f>IFERROR(VLOOKUP(AA14,Curr!$B$2:$C$13,2,FALSE),0)</f>
        <v>11.2</v>
      </c>
      <c r="AC14" s="12">
        <f t="shared" si="13"/>
        <v>0</v>
      </c>
      <c r="AD14" s="12">
        <f t="shared" si="14"/>
        <v>0</v>
      </c>
      <c r="AE14" s="13">
        <f t="shared" si="15"/>
        <v>0</v>
      </c>
    </row>
    <row r="15" spans="2:36" x14ac:dyDescent="0.25">
      <c r="B15" s="4"/>
      <c r="E15" s="3"/>
      <c r="F15" s="3"/>
      <c r="G15" s="24"/>
      <c r="H15" s="24"/>
      <c r="K15" s="4"/>
      <c r="L15" s="4"/>
      <c r="M15" s="4"/>
      <c r="N15" s="4"/>
      <c r="O15" s="4"/>
      <c r="P15" s="33"/>
      <c r="Q15" s="25"/>
      <c r="R15" s="25"/>
      <c r="S15" s="12">
        <f t="shared" ref="S15" si="24">+Q15*R15</f>
        <v>0</v>
      </c>
      <c r="T15" s="5">
        <v>0</v>
      </c>
      <c r="U15" s="12">
        <f t="shared" ref="U15" si="25">S15*(1-T15)</f>
        <v>0</v>
      </c>
      <c r="V15" s="25" t="s">
        <v>10</v>
      </c>
      <c r="W15" s="11">
        <f>IFERROR(VLOOKUP(V15,Curr!$B$2:$C$13,2,FALSE),0)</f>
        <v>11.2</v>
      </c>
      <c r="X15" s="12">
        <f t="shared" ref="X15" si="26">U15*W15</f>
        <v>0</v>
      </c>
      <c r="Y15" s="26">
        <f t="shared" ref="Y15" si="27">Q15</f>
        <v>0</v>
      </c>
      <c r="Z15" s="12">
        <f t="shared" ref="Z15" si="28">+Y15*R15</f>
        <v>0</v>
      </c>
      <c r="AA15" s="4" t="s">
        <v>10</v>
      </c>
      <c r="AB15" s="11">
        <f>IFERROR(VLOOKUP(AA15,Curr!$B$2:$C$13,2,FALSE),0)</f>
        <v>11.2</v>
      </c>
      <c r="AC15" s="12">
        <f t="shared" ref="AC15" si="29">+Y15*AB15*R15</f>
        <v>0</v>
      </c>
      <c r="AD15" s="12">
        <f t="shared" ref="AD15" si="30">+AC15-X15</f>
        <v>0</v>
      </c>
      <c r="AE15" s="13">
        <f t="shared" ref="AE15" si="31">IFERROR(AD15/AC15,0)</f>
        <v>0</v>
      </c>
    </row>
    <row r="16" spans="2:36" x14ac:dyDescent="0.25">
      <c r="B16" s="4"/>
      <c r="C16" s="1" t="s">
        <v>69</v>
      </c>
      <c r="D16" s="1" t="s">
        <v>73</v>
      </c>
      <c r="E16" s="3"/>
      <c r="F16" s="3"/>
      <c r="G16" s="24"/>
      <c r="H16" s="24"/>
      <c r="J16" s="1" t="s">
        <v>343</v>
      </c>
      <c r="K16" s="4"/>
      <c r="L16" s="4"/>
      <c r="M16" s="4"/>
      <c r="N16" s="4"/>
      <c r="O16" s="4"/>
      <c r="P16" s="33"/>
      <c r="Q16" s="25">
        <v>0</v>
      </c>
      <c r="R16" s="25">
        <v>0</v>
      </c>
      <c r="S16" s="12">
        <f t="shared" ref="S16:S17" si="32">+Q16*R16</f>
        <v>0</v>
      </c>
      <c r="T16" s="5">
        <v>0</v>
      </c>
      <c r="U16" s="12">
        <f t="shared" ref="U16:U17" si="33">S16*(1-T16)</f>
        <v>0</v>
      </c>
      <c r="V16" s="25" t="s">
        <v>10</v>
      </c>
      <c r="W16" s="11">
        <f>IFERROR(VLOOKUP(V16,Curr!$B$2:$C$13,2,FALSE),0)</f>
        <v>11.2</v>
      </c>
      <c r="X16" s="12">
        <f t="shared" ref="X16:X17" si="34">U16*W16</f>
        <v>0</v>
      </c>
      <c r="Y16" s="26">
        <f t="shared" ref="Y16:Y17" si="35">Q16</f>
        <v>0</v>
      </c>
      <c r="Z16" s="12">
        <f t="shared" ref="Z16:Z17" si="36">+Y16*R16</f>
        <v>0</v>
      </c>
      <c r="AA16" s="4" t="s">
        <v>10</v>
      </c>
      <c r="AB16" s="11">
        <f>IFERROR(VLOOKUP(AA16,Curr!$B$2:$C$13,2,FALSE),0)</f>
        <v>11.2</v>
      </c>
      <c r="AC16" s="12">
        <f t="shared" ref="AC16:AC17" si="37">+Y16*AB16*R16</f>
        <v>0</v>
      </c>
      <c r="AD16" s="12">
        <f t="shared" ref="AD16:AD17" si="38">+AC16-X16</f>
        <v>0</v>
      </c>
      <c r="AE16" s="13">
        <f t="shared" ref="AE16:AE17" si="39">IFERROR(AD16/AC16,0)</f>
        <v>0</v>
      </c>
    </row>
    <row r="17" spans="2:32" x14ac:dyDescent="0.25">
      <c r="B17" s="4"/>
      <c r="C17" s="1" t="s">
        <v>69</v>
      </c>
      <c r="D17" s="1" t="s">
        <v>53</v>
      </c>
      <c r="E17" s="3"/>
      <c r="F17" s="3"/>
      <c r="G17" s="24"/>
      <c r="H17" s="24"/>
      <c r="J17" s="1" t="s">
        <v>338</v>
      </c>
      <c r="K17" s="4"/>
      <c r="L17" s="4"/>
      <c r="M17" s="4"/>
      <c r="N17" s="4"/>
      <c r="O17" s="4"/>
      <c r="P17" s="33"/>
      <c r="Q17" s="25">
        <v>0</v>
      </c>
      <c r="R17" s="25">
        <v>0</v>
      </c>
      <c r="S17" s="12">
        <f t="shared" si="32"/>
        <v>0</v>
      </c>
      <c r="T17" s="5">
        <v>0</v>
      </c>
      <c r="U17" s="12">
        <f t="shared" si="33"/>
        <v>0</v>
      </c>
      <c r="V17" s="25" t="s">
        <v>10</v>
      </c>
      <c r="W17" s="11">
        <f>IFERROR(VLOOKUP(V17,Curr!$B$2:$C$13,2,FALSE),0)</f>
        <v>11.2</v>
      </c>
      <c r="X17" s="12">
        <f t="shared" si="34"/>
        <v>0</v>
      </c>
      <c r="Y17" s="26">
        <f t="shared" si="35"/>
        <v>0</v>
      </c>
      <c r="Z17" s="12">
        <f t="shared" si="36"/>
        <v>0</v>
      </c>
      <c r="AA17" s="4" t="s">
        <v>10</v>
      </c>
      <c r="AB17" s="11">
        <f>IFERROR(VLOOKUP(AA17,Curr!$B$2:$C$13,2,FALSE),0)</f>
        <v>11.2</v>
      </c>
      <c r="AC17" s="12">
        <f t="shared" si="37"/>
        <v>0</v>
      </c>
      <c r="AD17" s="12">
        <f t="shared" si="38"/>
        <v>0</v>
      </c>
      <c r="AE17" s="13">
        <f t="shared" si="39"/>
        <v>0</v>
      </c>
    </row>
    <row r="18" spans="2:32" x14ac:dyDescent="0.25">
      <c r="B18" s="4"/>
      <c r="C18" s="1" t="s">
        <v>69</v>
      </c>
      <c r="D18" s="1" t="s">
        <v>340</v>
      </c>
      <c r="E18" s="3"/>
      <c r="F18" s="3"/>
      <c r="G18" s="24"/>
      <c r="H18" s="24"/>
      <c r="J18" s="1" t="s">
        <v>341</v>
      </c>
      <c r="K18" s="4"/>
      <c r="L18" s="4"/>
      <c r="M18" s="4"/>
      <c r="N18" s="4"/>
      <c r="O18" s="4"/>
      <c r="P18" s="33"/>
      <c r="Q18" s="25">
        <v>0</v>
      </c>
      <c r="R18" s="25">
        <v>0</v>
      </c>
      <c r="S18" s="12">
        <f t="shared" ref="S18:S19" si="40">+Q18*R18</f>
        <v>0</v>
      </c>
      <c r="T18" s="5">
        <v>0</v>
      </c>
      <c r="U18" s="12">
        <f t="shared" ref="U18:U19" si="41">S18*(1-T18)</f>
        <v>0</v>
      </c>
      <c r="V18" s="25" t="s">
        <v>10</v>
      </c>
      <c r="W18" s="11">
        <f>IFERROR(VLOOKUP(V18,Curr!$B$2:$C$13,2,FALSE),0)</f>
        <v>11.2</v>
      </c>
      <c r="X18" s="12">
        <f t="shared" ref="X18:X19" si="42">U18*W18</f>
        <v>0</v>
      </c>
      <c r="Y18" s="26">
        <f t="shared" ref="Y18:Y19" si="43">Q18</f>
        <v>0</v>
      </c>
      <c r="Z18" s="12">
        <f t="shared" ref="Z18:Z19" si="44">+Y18*R18</f>
        <v>0</v>
      </c>
      <c r="AA18" s="4" t="s">
        <v>10</v>
      </c>
      <c r="AB18" s="11">
        <f>IFERROR(VLOOKUP(AA18,Curr!$B$2:$C$13,2,FALSE),0)</f>
        <v>11.2</v>
      </c>
      <c r="AC18" s="12">
        <f t="shared" ref="AC18:AC19" si="45">+Y18*AB18*R18</f>
        <v>0</v>
      </c>
      <c r="AD18" s="12">
        <f t="shared" ref="AD18:AD19" si="46">+AC18-X18</f>
        <v>0</v>
      </c>
      <c r="AE18" s="13">
        <f t="shared" ref="AE18:AE19" si="47">IFERROR(AD18/AC18,0)</f>
        <v>0</v>
      </c>
    </row>
    <row r="19" spans="2:32" x14ac:dyDescent="0.25">
      <c r="B19" s="4"/>
      <c r="E19" s="3"/>
      <c r="F19" s="3"/>
      <c r="G19" s="24"/>
      <c r="H19" s="24"/>
      <c r="K19" s="4"/>
      <c r="L19" s="4"/>
      <c r="M19" s="4"/>
      <c r="N19" s="4"/>
      <c r="O19" s="4"/>
      <c r="P19" s="27"/>
      <c r="Q19" s="25"/>
      <c r="R19" s="25"/>
      <c r="S19" s="12">
        <f t="shared" si="40"/>
        <v>0</v>
      </c>
      <c r="T19" s="5">
        <v>0</v>
      </c>
      <c r="U19" s="12">
        <f t="shared" si="41"/>
        <v>0</v>
      </c>
      <c r="V19" s="25" t="s">
        <v>10</v>
      </c>
      <c r="W19" s="11">
        <f>IFERROR(VLOOKUP(V19,Curr!$B$2:$C$13,2,FALSE),0)</f>
        <v>11.2</v>
      </c>
      <c r="X19" s="12">
        <f t="shared" si="42"/>
        <v>0</v>
      </c>
      <c r="Y19" s="26">
        <f t="shared" si="43"/>
        <v>0</v>
      </c>
      <c r="Z19" s="12">
        <f t="shared" si="44"/>
        <v>0</v>
      </c>
      <c r="AA19" s="4" t="s">
        <v>10</v>
      </c>
      <c r="AB19" s="11">
        <f>IFERROR(VLOOKUP(AA19,Curr!$B$2:$C$13,2,FALSE),0)</f>
        <v>11.2</v>
      </c>
      <c r="AC19" s="12">
        <f t="shared" si="45"/>
        <v>0</v>
      </c>
      <c r="AD19" s="12">
        <f t="shared" si="46"/>
        <v>0</v>
      </c>
      <c r="AE19" s="13">
        <f t="shared" si="47"/>
        <v>0</v>
      </c>
    </row>
    <row r="20" spans="2:32" x14ac:dyDescent="0.25">
      <c r="B20" s="4"/>
      <c r="C20" s="1" t="s">
        <v>78</v>
      </c>
      <c r="D20" s="1" t="s">
        <v>344</v>
      </c>
      <c r="E20" s="3"/>
      <c r="F20" s="3"/>
      <c r="G20" s="24"/>
      <c r="H20" s="24"/>
      <c r="J20" s="1" t="s">
        <v>346</v>
      </c>
      <c r="K20" s="4"/>
      <c r="L20" s="4"/>
      <c r="M20" s="4"/>
      <c r="N20" s="4"/>
      <c r="O20" s="4"/>
      <c r="P20" s="33"/>
      <c r="Q20" s="25">
        <v>0</v>
      </c>
      <c r="R20" s="25">
        <v>0</v>
      </c>
      <c r="S20" s="12">
        <f t="shared" ref="S20" si="48">+Q20*R20</f>
        <v>0</v>
      </c>
      <c r="T20" s="5">
        <v>0</v>
      </c>
      <c r="U20" s="12">
        <f t="shared" ref="U20" si="49">S20*(1-T20)</f>
        <v>0</v>
      </c>
      <c r="V20" s="25" t="s">
        <v>10</v>
      </c>
      <c r="W20" s="11">
        <f>IFERROR(VLOOKUP(V20,Curr!$B$2:$C$13,2,FALSE),0)</f>
        <v>11.2</v>
      </c>
      <c r="X20" s="12">
        <f t="shared" ref="X20" si="50">U20*W20</f>
        <v>0</v>
      </c>
      <c r="Y20" s="26">
        <f t="shared" ref="Y20" si="51">Q20</f>
        <v>0</v>
      </c>
      <c r="Z20" s="12">
        <f t="shared" ref="Z20" si="52">+Y20*R20</f>
        <v>0</v>
      </c>
      <c r="AA20" s="4" t="s">
        <v>10</v>
      </c>
      <c r="AB20" s="11">
        <f>IFERROR(VLOOKUP(AA20,Curr!$B$2:$C$13,2,FALSE),0)</f>
        <v>11.2</v>
      </c>
      <c r="AC20" s="12">
        <f t="shared" ref="AC20" si="53">+Y20*AB20*R20</f>
        <v>0</v>
      </c>
      <c r="AD20" s="12">
        <f t="shared" ref="AD20" si="54">+AC20-X20</f>
        <v>0</v>
      </c>
      <c r="AE20" s="13">
        <f t="shared" ref="AE20" si="55">IFERROR(AD20/AC20,0)</f>
        <v>0</v>
      </c>
    </row>
    <row r="21" spans="2:32" x14ac:dyDescent="0.25">
      <c r="B21" s="4"/>
      <c r="C21" s="1" t="s">
        <v>78</v>
      </c>
      <c r="D21" s="1" t="s">
        <v>345</v>
      </c>
      <c r="E21" s="3"/>
      <c r="F21" s="3"/>
      <c r="G21" s="24"/>
      <c r="H21" s="24"/>
      <c r="J21" s="1" t="s">
        <v>337</v>
      </c>
      <c r="K21" s="4"/>
      <c r="L21" s="4"/>
      <c r="M21" s="4"/>
      <c r="N21" s="4"/>
      <c r="O21" s="4"/>
      <c r="P21" s="29"/>
      <c r="Q21" s="25">
        <v>0</v>
      </c>
      <c r="R21" s="25">
        <v>0</v>
      </c>
      <c r="S21" s="12">
        <f t="shared" si="8"/>
        <v>0</v>
      </c>
      <c r="T21" s="5">
        <v>0</v>
      </c>
      <c r="U21" s="12">
        <f t="shared" si="9"/>
        <v>0</v>
      </c>
      <c r="V21" s="25" t="s">
        <v>10</v>
      </c>
      <c r="W21" s="11">
        <f>IFERROR(VLOOKUP(V21,Curr!$B$2:$C$13,2,FALSE),0)</f>
        <v>11.2</v>
      </c>
      <c r="X21" s="12">
        <f t="shared" si="10"/>
        <v>0</v>
      </c>
      <c r="Y21" s="26">
        <f t="shared" si="11"/>
        <v>0</v>
      </c>
      <c r="Z21" s="12">
        <f t="shared" si="12"/>
        <v>0</v>
      </c>
      <c r="AA21" s="4" t="s">
        <v>10</v>
      </c>
      <c r="AB21" s="11">
        <f>IFERROR(VLOOKUP(AA21,Curr!$B$2:$C$13,2,FALSE),0)</f>
        <v>11.2</v>
      </c>
      <c r="AC21" s="12">
        <f t="shared" si="13"/>
        <v>0</v>
      </c>
      <c r="AD21" s="12">
        <f t="shared" si="14"/>
        <v>0</v>
      </c>
      <c r="AE21" s="13">
        <f t="shared" si="15"/>
        <v>0</v>
      </c>
    </row>
    <row r="22" spans="2:32" x14ac:dyDescent="0.25">
      <c r="B22" s="4"/>
      <c r="C22" s="1" t="s">
        <v>78</v>
      </c>
      <c r="D22" s="1" t="s">
        <v>82</v>
      </c>
      <c r="E22" s="3"/>
      <c r="F22" s="3"/>
      <c r="G22" s="24"/>
      <c r="H22" s="24"/>
      <c r="J22" s="1" t="s">
        <v>194</v>
      </c>
      <c r="K22" s="4"/>
      <c r="L22" s="4"/>
      <c r="M22" s="4"/>
      <c r="N22" s="4"/>
      <c r="O22" s="4"/>
      <c r="P22" s="27"/>
      <c r="Q22" s="25">
        <v>0</v>
      </c>
      <c r="R22" s="25">
        <v>0</v>
      </c>
      <c r="S22" s="12">
        <f t="shared" ref="S22:S31" si="56">+Q22*R22</f>
        <v>0</v>
      </c>
      <c r="T22" s="5">
        <v>0</v>
      </c>
      <c r="U22" s="12">
        <f t="shared" ref="U22:U31" si="57">S22*(1-T22)</f>
        <v>0</v>
      </c>
      <c r="V22" s="25" t="s">
        <v>10</v>
      </c>
      <c r="W22" s="11">
        <f>IFERROR(VLOOKUP(V22,Curr!$B$2:$C$13,2,FALSE),0)</f>
        <v>11.2</v>
      </c>
      <c r="X22" s="12">
        <f t="shared" ref="X22:X31" si="58">U22*W22</f>
        <v>0</v>
      </c>
      <c r="Y22" s="26">
        <f t="shared" ref="Y22:Y31" si="59">Q22</f>
        <v>0</v>
      </c>
      <c r="Z22" s="12">
        <f t="shared" ref="Z22:Z31" si="60">+Y22*R22</f>
        <v>0</v>
      </c>
      <c r="AA22" s="4" t="s">
        <v>10</v>
      </c>
      <c r="AB22" s="11">
        <f>IFERROR(VLOOKUP(AA22,Curr!$B$2:$C$13,2,FALSE),0)</f>
        <v>11.2</v>
      </c>
      <c r="AC22" s="12">
        <f t="shared" ref="AC22:AC31" si="61">+Y22*AB22*R22</f>
        <v>0</v>
      </c>
      <c r="AD22" s="12">
        <f t="shared" ref="AD22:AD31" si="62">+AC22-X22</f>
        <v>0</v>
      </c>
      <c r="AE22" s="13">
        <f t="shared" ref="AE22:AE31" si="63">IFERROR(AD22/AC22,0)</f>
        <v>0</v>
      </c>
    </row>
    <row r="23" spans="2:32" x14ac:dyDescent="0.25">
      <c r="B23" s="4"/>
      <c r="E23" s="3"/>
      <c r="F23" s="3"/>
      <c r="G23" s="24"/>
      <c r="H23" s="24"/>
      <c r="K23" s="4"/>
      <c r="L23" s="4"/>
      <c r="M23" s="4"/>
      <c r="N23" s="4"/>
      <c r="O23" s="4"/>
      <c r="P23" s="27"/>
      <c r="Q23" s="25"/>
      <c r="R23" s="25"/>
      <c r="S23" s="12">
        <f t="shared" ref="S23:S30" si="64">+Q23*R23</f>
        <v>0</v>
      </c>
      <c r="T23" s="5">
        <v>0</v>
      </c>
      <c r="U23" s="12">
        <f t="shared" ref="U23:U30" si="65">S23*(1-T23)</f>
        <v>0</v>
      </c>
      <c r="V23" s="25" t="s">
        <v>10</v>
      </c>
      <c r="W23" s="11">
        <f>IFERROR(VLOOKUP(V23,Curr!$B$2:$C$13,2,FALSE),0)</f>
        <v>11.2</v>
      </c>
      <c r="X23" s="12">
        <f t="shared" ref="X23:X30" si="66">U23*W23</f>
        <v>0</v>
      </c>
      <c r="Y23" s="26">
        <f t="shared" ref="Y23:Y30" si="67">Q23</f>
        <v>0</v>
      </c>
      <c r="Z23" s="12">
        <f t="shared" ref="Z23:Z30" si="68">+Y23*R23</f>
        <v>0</v>
      </c>
      <c r="AA23" s="4" t="s">
        <v>10</v>
      </c>
      <c r="AB23" s="11">
        <f>IFERROR(VLOOKUP(AA23,Curr!$B$2:$C$13,2,FALSE),0)</f>
        <v>11.2</v>
      </c>
      <c r="AC23" s="12">
        <f t="shared" ref="AC23:AC30" si="69">+Y23*AB23*R23</f>
        <v>0</v>
      </c>
      <c r="AD23" s="12">
        <f t="shared" ref="AD23:AD30" si="70">+AC23-X23</f>
        <v>0</v>
      </c>
      <c r="AE23" s="13">
        <f t="shared" ref="AE23:AE30" si="71">IFERROR(AD23/AC23,0)</f>
        <v>0</v>
      </c>
    </row>
    <row r="24" spans="2:32" x14ac:dyDescent="0.25">
      <c r="B24" s="4"/>
      <c r="E24" s="3"/>
      <c r="F24" s="3"/>
      <c r="G24" s="24"/>
      <c r="H24" s="24"/>
      <c r="K24" s="4"/>
      <c r="L24" s="4"/>
      <c r="M24" s="4"/>
      <c r="N24" s="4"/>
      <c r="O24" s="4"/>
      <c r="P24" s="27"/>
      <c r="Q24" s="25"/>
      <c r="R24" s="25"/>
      <c r="S24" s="12">
        <f t="shared" si="64"/>
        <v>0</v>
      </c>
      <c r="T24" s="5">
        <v>0</v>
      </c>
      <c r="U24" s="12">
        <f t="shared" si="65"/>
        <v>0</v>
      </c>
      <c r="V24" s="25" t="s">
        <v>10</v>
      </c>
      <c r="W24" s="11">
        <f>IFERROR(VLOOKUP(V24,Curr!$B$2:$C$13,2,FALSE),0)</f>
        <v>11.2</v>
      </c>
      <c r="X24" s="12">
        <f t="shared" si="66"/>
        <v>0</v>
      </c>
      <c r="Y24" s="26">
        <f t="shared" si="67"/>
        <v>0</v>
      </c>
      <c r="Z24" s="12">
        <f t="shared" si="68"/>
        <v>0</v>
      </c>
      <c r="AA24" s="4" t="s">
        <v>10</v>
      </c>
      <c r="AB24" s="11">
        <f>IFERROR(VLOOKUP(AA24,Curr!$B$2:$C$13,2,FALSE),0)</f>
        <v>11.2</v>
      </c>
      <c r="AC24" s="12">
        <f t="shared" si="69"/>
        <v>0</v>
      </c>
      <c r="AD24" s="12">
        <f t="shared" si="70"/>
        <v>0</v>
      </c>
      <c r="AE24" s="13">
        <f t="shared" si="71"/>
        <v>0</v>
      </c>
    </row>
    <row r="25" spans="2:32" x14ac:dyDescent="0.25">
      <c r="B25" s="4"/>
      <c r="E25" s="3"/>
      <c r="F25" s="3"/>
      <c r="G25" s="24"/>
      <c r="H25" s="24"/>
      <c r="K25" s="4"/>
      <c r="L25" s="4"/>
      <c r="M25" s="4"/>
      <c r="N25" s="4"/>
      <c r="O25" s="4"/>
      <c r="P25" s="27"/>
      <c r="Q25" s="25"/>
      <c r="R25" s="25"/>
      <c r="S25" s="12">
        <f t="shared" si="64"/>
        <v>0</v>
      </c>
      <c r="T25" s="5">
        <v>0</v>
      </c>
      <c r="U25" s="12">
        <f t="shared" si="65"/>
        <v>0</v>
      </c>
      <c r="V25" s="25" t="s">
        <v>10</v>
      </c>
      <c r="W25" s="11">
        <f>IFERROR(VLOOKUP(V25,Curr!$B$2:$C$13,2,FALSE),0)</f>
        <v>11.2</v>
      </c>
      <c r="X25" s="12">
        <f t="shared" si="66"/>
        <v>0</v>
      </c>
      <c r="Y25" s="26">
        <f t="shared" si="67"/>
        <v>0</v>
      </c>
      <c r="Z25" s="12">
        <f t="shared" si="68"/>
        <v>0</v>
      </c>
      <c r="AA25" s="4" t="s">
        <v>10</v>
      </c>
      <c r="AB25" s="11">
        <f>IFERROR(VLOOKUP(AA25,Curr!$B$2:$C$13,2,FALSE),0)</f>
        <v>11.2</v>
      </c>
      <c r="AC25" s="12">
        <f t="shared" si="69"/>
        <v>0</v>
      </c>
      <c r="AD25" s="12">
        <f t="shared" si="70"/>
        <v>0</v>
      </c>
      <c r="AE25" s="13">
        <f t="shared" si="71"/>
        <v>0</v>
      </c>
    </row>
    <row r="26" spans="2:32" x14ac:dyDescent="0.25">
      <c r="B26" s="4"/>
      <c r="E26" s="3"/>
      <c r="F26" s="3"/>
      <c r="G26" s="24"/>
      <c r="H26" s="24"/>
      <c r="K26" s="4"/>
      <c r="L26" s="4"/>
      <c r="M26" s="4"/>
      <c r="N26" s="4"/>
      <c r="O26" s="4"/>
      <c r="P26" s="27"/>
      <c r="Q26" s="25"/>
      <c r="R26" s="25"/>
      <c r="S26" s="12">
        <f t="shared" si="64"/>
        <v>0</v>
      </c>
      <c r="T26" s="5">
        <v>0</v>
      </c>
      <c r="U26" s="12">
        <f t="shared" si="65"/>
        <v>0</v>
      </c>
      <c r="V26" s="25" t="s">
        <v>10</v>
      </c>
      <c r="W26" s="11">
        <f>IFERROR(VLOOKUP(V26,Curr!$B$2:$C$13,2,FALSE),0)</f>
        <v>11.2</v>
      </c>
      <c r="X26" s="12">
        <f t="shared" si="66"/>
        <v>0</v>
      </c>
      <c r="Y26" s="26">
        <f t="shared" si="67"/>
        <v>0</v>
      </c>
      <c r="Z26" s="12">
        <f t="shared" si="68"/>
        <v>0</v>
      </c>
      <c r="AA26" s="4" t="s">
        <v>10</v>
      </c>
      <c r="AB26" s="11">
        <f>IFERROR(VLOOKUP(AA26,Curr!$B$2:$C$13,2,FALSE),0)</f>
        <v>11.2</v>
      </c>
      <c r="AC26" s="12">
        <f t="shared" si="69"/>
        <v>0</v>
      </c>
      <c r="AD26" s="12">
        <f t="shared" si="70"/>
        <v>0</v>
      </c>
      <c r="AE26" s="13">
        <f t="shared" si="71"/>
        <v>0</v>
      </c>
    </row>
    <row r="27" spans="2:32" x14ac:dyDescent="0.25">
      <c r="B27" s="4"/>
      <c r="E27" s="3"/>
      <c r="F27" s="3"/>
      <c r="G27" s="24"/>
      <c r="H27" s="24"/>
      <c r="J27" s="1" t="s">
        <v>20</v>
      </c>
      <c r="K27" s="4"/>
      <c r="L27" s="4"/>
      <c r="M27" s="4"/>
      <c r="N27" s="4"/>
      <c r="O27" s="4"/>
      <c r="P27" s="27"/>
      <c r="Q27" s="25">
        <v>4895</v>
      </c>
      <c r="R27" s="25">
        <v>2</v>
      </c>
      <c r="S27" s="12">
        <f t="shared" si="64"/>
        <v>9790</v>
      </c>
      <c r="T27" s="5">
        <v>0</v>
      </c>
      <c r="U27" s="12">
        <f t="shared" si="65"/>
        <v>9790</v>
      </c>
      <c r="V27" s="25" t="s">
        <v>8</v>
      </c>
      <c r="W27" s="11">
        <f>IFERROR(VLOOKUP(V27,Curr!$B$2:$C$13,2,FALSE),0)</f>
        <v>1</v>
      </c>
      <c r="X27" s="12">
        <f t="shared" si="66"/>
        <v>9790</v>
      </c>
      <c r="Y27" s="26">
        <f>Q27/11/0.5</f>
        <v>890</v>
      </c>
      <c r="Z27" s="12">
        <f t="shared" si="68"/>
        <v>1780</v>
      </c>
      <c r="AA27" s="4" t="s">
        <v>10</v>
      </c>
      <c r="AB27" s="11">
        <f>IFERROR(VLOOKUP(AA27,Curr!$B$2:$C$13,2,FALSE),0)</f>
        <v>11.2</v>
      </c>
      <c r="AC27" s="12">
        <f t="shared" si="69"/>
        <v>19936</v>
      </c>
      <c r="AD27" s="12">
        <f t="shared" si="70"/>
        <v>10146</v>
      </c>
      <c r="AE27" s="13">
        <f t="shared" si="71"/>
        <v>0.5089285714285714</v>
      </c>
    </row>
    <row r="28" spans="2:32" x14ac:dyDescent="0.25">
      <c r="B28" s="4"/>
      <c r="E28" s="3"/>
      <c r="F28" s="3"/>
      <c r="G28" s="24"/>
      <c r="H28" s="24"/>
      <c r="K28" s="4"/>
      <c r="L28" s="4"/>
      <c r="M28" s="4"/>
      <c r="N28" s="4"/>
      <c r="O28" s="4"/>
      <c r="P28" s="27"/>
      <c r="Q28" s="25"/>
      <c r="R28" s="25"/>
      <c r="S28" s="12">
        <f t="shared" si="64"/>
        <v>0</v>
      </c>
      <c r="T28" s="5">
        <v>0</v>
      </c>
      <c r="U28" s="12">
        <f t="shared" si="65"/>
        <v>0</v>
      </c>
      <c r="V28" s="25" t="s">
        <v>10</v>
      </c>
      <c r="W28" s="11">
        <f>IFERROR(VLOOKUP(V28,Curr!$B$2:$C$13,2,FALSE),0)</f>
        <v>11.2</v>
      </c>
      <c r="X28" s="12">
        <f t="shared" si="66"/>
        <v>0</v>
      </c>
      <c r="Y28" s="26">
        <f t="shared" si="67"/>
        <v>0</v>
      </c>
      <c r="Z28" s="12">
        <f t="shared" si="68"/>
        <v>0</v>
      </c>
      <c r="AA28" s="4" t="s">
        <v>10</v>
      </c>
      <c r="AB28" s="11">
        <f>IFERROR(VLOOKUP(AA28,Curr!$B$2:$C$13,2,FALSE),0)</f>
        <v>11.2</v>
      </c>
      <c r="AC28" s="12">
        <f t="shared" si="69"/>
        <v>0</v>
      </c>
      <c r="AD28" s="12">
        <f t="shared" si="70"/>
        <v>0</v>
      </c>
      <c r="AE28" s="13">
        <f t="shared" si="71"/>
        <v>0</v>
      </c>
    </row>
    <row r="29" spans="2:32" x14ac:dyDescent="0.25">
      <c r="B29" s="4"/>
      <c r="E29" s="3"/>
      <c r="F29" s="3"/>
      <c r="G29" s="24"/>
      <c r="H29" s="24"/>
      <c r="K29" s="4"/>
      <c r="L29" s="4"/>
      <c r="M29" s="4"/>
      <c r="N29" s="4"/>
      <c r="O29" s="4"/>
      <c r="P29" s="27"/>
      <c r="Q29" s="25"/>
      <c r="R29" s="25"/>
      <c r="S29" s="12">
        <f t="shared" si="64"/>
        <v>0</v>
      </c>
      <c r="T29" s="5">
        <v>0</v>
      </c>
      <c r="U29" s="12">
        <f t="shared" si="65"/>
        <v>0</v>
      </c>
      <c r="V29" s="25" t="s">
        <v>10</v>
      </c>
      <c r="W29" s="11">
        <f>IFERROR(VLOOKUP(V29,Curr!$B$2:$C$13,2,FALSE),0)</f>
        <v>11.2</v>
      </c>
      <c r="X29" s="12">
        <f t="shared" si="66"/>
        <v>0</v>
      </c>
      <c r="Y29" s="26">
        <f t="shared" si="67"/>
        <v>0</v>
      </c>
      <c r="Z29" s="12">
        <f t="shared" si="68"/>
        <v>0</v>
      </c>
      <c r="AA29" s="4" t="s">
        <v>10</v>
      </c>
      <c r="AB29" s="11">
        <f>IFERROR(VLOOKUP(AA29,Curr!$B$2:$C$13,2,FALSE),0)</f>
        <v>11.2</v>
      </c>
      <c r="AC29" s="12">
        <f t="shared" si="69"/>
        <v>0</v>
      </c>
      <c r="AD29" s="12">
        <f t="shared" si="70"/>
        <v>0</v>
      </c>
      <c r="AE29" s="13">
        <f t="shared" si="71"/>
        <v>0</v>
      </c>
    </row>
    <row r="30" spans="2:32" x14ac:dyDescent="0.25">
      <c r="B30" s="4"/>
      <c r="E30" s="3"/>
      <c r="F30" s="3"/>
      <c r="G30" s="24"/>
      <c r="H30" s="24"/>
      <c r="K30" s="4"/>
      <c r="L30" s="4"/>
      <c r="M30" s="4"/>
      <c r="N30" s="4"/>
      <c r="O30" s="4"/>
      <c r="P30" s="27"/>
      <c r="Q30" s="25"/>
      <c r="R30" s="25"/>
      <c r="S30" s="12">
        <f t="shared" si="64"/>
        <v>0</v>
      </c>
      <c r="T30" s="5">
        <v>0</v>
      </c>
      <c r="U30" s="12">
        <f t="shared" si="65"/>
        <v>0</v>
      </c>
      <c r="V30" s="25" t="s">
        <v>10</v>
      </c>
      <c r="W30" s="11">
        <f>IFERROR(VLOOKUP(V30,Curr!$B$2:$C$13,2,FALSE),0)</f>
        <v>11.2</v>
      </c>
      <c r="X30" s="12">
        <f t="shared" si="66"/>
        <v>0</v>
      </c>
      <c r="Y30" s="26">
        <f t="shared" si="67"/>
        <v>0</v>
      </c>
      <c r="Z30" s="12">
        <f t="shared" si="68"/>
        <v>0</v>
      </c>
      <c r="AA30" s="4" t="s">
        <v>10</v>
      </c>
      <c r="AB30" s="11">
        <f>IFERROR(VLOOKUP(AA30,Curr!$B$2:$C$13,2,FALSE),0)</f>
        <v>11.2</v>
      </c>
      <c r="AC30" s="12">
        <f t="shared" si="69"/>
        <v>0</v>
      </c>
      <c r="AD30" s="12">
        <f t="shared" si="70"/>
        <v>0</v>
      </c>
      <c r="AE30" s="13">
        <f t="shared" si="71"/>
        <v>0</v>
      </c>
    </row>
    <row r="31" spans="2:32" x14ac:dyDescent="0.25">
      <c r="B31" s="4"/>
      <c r="E31" s="3"/>
      <c r="F31" s="3"/>
      <c r="G31" s="24"/>
      <c r="H31" s="24"/>
      <c r="K31" s="4"/>
      <c r="L31" s="4"/>
      <c r="M31" s="4"/>
      <c r="N31" s="4"/>
      <c r="O31" s="4"/>
      <c r="P31" s="27"/>
      <c r="Q31" s="25"/>
      <c r="R31" s="25"/>
      <c r="S31" s="12">
        <f t="shared" si="56"/>
        <v>0</v>
      </c>
      <c r="T31" s="5">
        <v>0</v>
      </c>
      <c r="U31" s="12">
        <f t="shared" si="57"/>
        <v>0</v>
      </c>
      <c r="V31" s="25" t="s">
        <v>10</v>
      </c>
      <c r="W31" s="11">
        <f>IFERROR(VLOOKUP(V31,Curr!$B$2:$C$13,2,FALSE),0)</f>
        <v>11.2</v>
      </c>
      <c r="X31" s="12">
        <f t="shared" si="58"/>
        <v>0</v>
      </c>
      <c r="Y31" s="26">
        <f t="shared" si="59"/>
        <v>0</v>
      </c>
      <c r="Z31" s="12">
        <f t="shared" si="60"/>
        <v>0</v>
      </c>
      <c r="AA31" s="4" t="s">
        <v>10</v>
      </c>
      <c r="AB31" s="11">
        <f>IFERROR(VLOOKUP(AA31,Curr!$B$2:$C$13,2,FALSE),0)</f>
        <v>11.2</v>
      </c>
      <c r="AC31" s="12">
        <f t="shared" si="61"/>
        <v>0</v>
      </c>
      <c r="AD31" s="12">
        <f t="shared" si="62"/>
        <v>0</v>
      </c>
      <c r="AE31" s="13">
        <f t="shared" si="63"/>
        <v>0</v>
      </c>
    </row>
    <row r="32" spans="2:32" x14ac:dyDescent="0.25">
      <c r="B32" s="4"/>
      <c r="E32" s="3"/>
      <c r="F32" s="3"/>
      <c r="G32" s="3"/>
      <c r="H32" s="3"/>
      <c r="L32" s="4"/>
      <c r="M32" s="4"/>
      <c r="N32" s="4"/>
      <c r="O32" s="4"/>
      <c r="P32" s="22"/>
      <c r="Q32" s="4"/>
      <c r="R32" s="4"/>
      <c r="S32" s="4"/>
      <c r="T32" s="4"/>
      <c r="U32" s="4"/>
      <c r="V32" s="4"/>
      <c r="W32" s="4"/>
      <c r="X32" s="4"/>
      <c r="Y32" s="4"/>
      <c r="Z32" s="4"/>
      <c r="AA32" s="4"/>
      <c r="AB32" s="4"/>
      <c r="AC32" s="4"/>
      <c r="AD32" s="4"/>
      <c r="AE32" s="4"/>
      <c r="AF32" s="4"/>
    </row>
    <row r="33" spans="2:36" x14ac:dyDescent="0.25">
      <c r="B33" s="14" t="s">
        <v>18</v>
      </c>
      <c r="C33" s="14"/>
      <c r="D33" s="28" t="s">
        <v>42</v>
      </c>
      <c r="E33" s="30" t="s">
        <v>42</v>
      </c>
      <c r="F33" s="30" t="s">
        <v>42</v>
      </c>
      <c r="G33" s="30" t="s">
        <v>42</v>
      </c>
      <c r="H33" s="30" t="s">
        <v>42</v>
      </c>
      <c r="I33" s="28" t="s">
        <v>42</v>
      </c>
      <c r="J33" s="28" t="s">
        <v>42</v>
      </c>
      <c r="K33" s="28" t="s">
        <v>42</v>
      </c>
      <c r="L33" s="28" t="s">
        <v>42</v>
      </c>
      <c r="M33" s="28" t="s">
        <v>42</v>
      </c>
      <c r="N33" s="28" t="s">
        <v>42</v>
      </c>
      <c r="O33" s="28" t="s">
        <v>42</v>
      </c>
      <c r="P33" s="28" t="s">
        <v>42</v>
      </c>
      <c r="Q33" s="31" t="s">
        <v>42</v>
      </c>
      <c r="R33" s="28" t="s">
        <v>42</v>
      </c>
      <c r="S33" s="32" t="s">
        <v>42</v>
      </c>
      <c r="T33" s="28" t="s">
        <v>42</v>
      </c>
      <c r="U33" s="32" t="s">
        <v>42</v>
      </c>
      <c r="V33" s="28" t="s">
        <v>42</v>
      </c>
      <c r="W33" s="28" t="s">
        <v>42</v>
      </c>
      <c r="X33" s="32" t="s">
        <v>42</v>
      </c>
      <c r="Y33" s="32" t="s">
        <v>42</v>
      </c>
      <c r="Z33" s="15">
        <f>SUM(Z7:Z31)</f>
        <v>1780</v>
      </c>
      <c r="AA33" s="14"/>
      <c r="AB33" s="14"/>
      <c r="AC33" s="15">
        <f>SUM(AC7:AC31)</f>
        <v>19936</v>
      </c>
      <c r="AD33" s="15">
        <f>SUM(AD7:AD31)</f>
        <v>10146</v>
      </c>
      <c r="AE33" s="21">
        <f t="shared" ref="AE33" si="72">IFERROR(AD33/AC33,0)</f>
        <v>0.5089285714285714</v>
      </c>
      <c r="AF33" s="15">
        <f>SUM(AF8:AF32)</f>
        <v>0</v>
      </c>
      <c r="AG33" s="15">
        <f>SUM(AG8:AG32)</f>
        <v>0</v>
      </c>
      <c r="AH33" s="15">
        <f>SUM(AH8:AH32)</f>
        <v>0</v>
      </c>
      <c r="AI33" s="15">
        <f>SUM(AI8:AI32)</f>
        <v>0</v>
      </c>
      <c r="AJ33" s="15">
        <f>SUM(AJ8:AJ32)</f>
        <v>0</v>
      </c>
    </row>
    <row r="34" spans="2:36" x14ac:dyDescent="0.25">
      <c r="B34" s="4"/>
      <c r="E34" s="3"/>
      <c r="F34" s="3"/>
      <c r="G34" s="3"/>
      <c r="H34" s="3"/>
      <c r="L34" s="4"/>
      <c r="M34" s="4"/>
      <c r="N34" s="4"/>
      <c r="O34" s="4"/>
      <c r="Q34" s="4"/>
      <c r="R34" s="4"/>
      <c r="S34" s="4"/>
      <c r="T34" s="4"/>
      <c r="U34" s="4"/>
      <c r="V34" s="4"/>
      <c r="W34" s="4"/>
      <c r="X34" s="4"/>
      <c r="Y34" s="9"/>
      <c r="Z34" s="9"/>
      <c r="AA34" s="9"/>
      <c r="AB34" s="9"/>
      <c r="AC34" s="9"/>
      <c r="AD34" s="9"/>
      <c r="AE34" s="9"/>
    </row>
    <row r="35" spans="2:36" x14ac:dyDescent="0.25">
      <c r="B35" s="4"/>
      <c r="E35" s="3"/>
      <c r="F35" s="3"/>
      <c r="G35" s="3"/>
      <c r="H35" s="3"/>
      <c r="L35" s="4"/>
      <c r="M35" s="4"/>
      <c r="N35" s="4"/>
      <c r="O35" s="4"/>
      <c r="Q35" s="9"/>
      <c r="R35" s="9"/>
      <c r="S35" s="9"/>
      <c r="T35" s="9"/>
      <c r="U35" s="9"/>
      <c r="V35" s="9"/>
      <c r="W35" s="9"/>
      <c r="X35" s="23"/>
      <c r="Y35" s="34" t="s">
        <v>102</v>
      </c>
      <c r="Z35" s="34">
        <v>1780</v>
      </c>
      <c r="AA35" s="9"/>
      <c r="AB35" s="9"/>
      <c r="AC35" s="9"/>
      <c r="AD35" s="9"/>
      <c r="AE35" s="9"/>
    </row>
    <row r="36" spans="2:36" x14ac:dyDescent="0.25">
      <c r="B36" s="4"/>
      <c r="E36" s="3"/>
      <c r="F36" s="3"/>
      <c r="G36" s="3"/>
      <c r="H36" s="3"/>
      <c r="L36" s="4"/>
      <c r="M36" s="4"/>
      <c r="N36" s="4"/>
      <c r="O36" s="4"/>
      <c r="Q36" s="9"/>
      <c r="R36" s="9"/>
      <c r="S36" s="9"/>
      <c r="T36" s="9"/>
      <c r="U36" s="9"/>
      <c r="V36" s="9"/>
      <c r="W36" s="9"/>
      <c r="X36" s="9"/>
      <c r="Y36" s="35" t="s">
        <v>103</v>
      </c>
      <c r="Z36" s="34">
        <f>Z35/2</f>
        <v>890</v>
      </c>
      <c r="AA36" s="9"/>
      <c r="AB36" s="9"/>
      <c r="AC36" s="9"/>
      <c r="AD36" s="9"/>
      <c r="AE36" s="9"/>
      <c r="AF36" s="18"/>
    </row>
    <row r="37" spans="2:36" x14ac:dyDescent="0.25">
      <c r="B37" s="4"/>
      <c r="E37" s="3"/>
      <c r="F37" s="3"/>
      <c r="G37" s="3"/>
      <c r="H37" s="3"/>
      <c r="I37" s="19"/>
      <c r="L37" s="4"/>
      <c r="M37" s="4"/>
      <c r="N37" s="4"/>
      <c r="O37" s="20"/>
      <c r="Q37" s="20"/>
      <c r="R37" s="20"/>
      <c r="S37" s="20"/>
      <c r="T37" s="20"/>
      <c r="U37" s="20"/>
      <c r="V37" s="20"/>
      <c r="W37" s="20"/>
      <c r="X37" s="20"/>
      <c r="Y37" s="34" t="s">
        <v>104</v>
      </c>
      <c r="Z37" s="34">
        <v>2720</v>
      </c>
      <c r="AA37" s="9"/>
      <c r="AB37" s="9"/>
      <c r="AC37" s="9"/>
      <c r="AD37" s="9"/>
      <c r="AE37" s="9"/>
      <c r="AF37" s="18"/>
    </row>
    <row r="38" spans="2:36" x14ac:dyDescent="0.25">
      <c r="B38" s="4"/>
      <c r="E38" s="3"/>
      <c r="F38" s="3"/>
      <c r="G38" s="3"/>
      <c r="H38" s="3"/>
      <c r="L38" s="4"/>
      <c r="M38" s="4"/>
      <c r="N38" s="4"/>
      <c r="O38" s="20"/>
      <c r="Q38" s="20"/>
      <c r="R38" s="20"/>
      <c r="S38" s="20"/>
      <c r="T38" s="20"/>
      <c r="U38" s="20"/>
      <c r="V38" s="20"/>
      <c r="W38" s="20"/>
      <c r="X38" s="20"/>
      <c r="Y38" s="34" t="s">
        <v>43</v>
      </c>
      <c r="Z38" s="34">
        <f>Z37/2</f>
        <v>1360</v>
      </c>
      <c r="AA38" s="9"/>
      <c r="AB38" s="9"/>
      <c r="AC38" s="9"/>
      <c r="AD38" s="9"/>
      <c r="AE38" s="9"/>
      <c r="AF38" s="18"/>
    </row>
    <row r="39" spans="2:36" x14ac:dyDescent="0.25">
      <c r="B39" s="4"/>
      <c r="E39" s="3"/>
      <c r="F39" s="3"/>
      <c r="G39" s="3"/>
      <c r="H39" s="3"/>
      <c r="L39" s="4"/>
      <c r="M39" s="4"/>
      <c r="N39" s="4"/>
      <c r="O39" s="4"/>
      <c r="Q39" s="9"/>
      <c r="R39" s="9"/>
      <c r="S39" s="9"/>
      <c r="T39" s="9"/>
      <c r="U39" s="9"/>
      <c r="V39" s="9"/>
      <c r="W39" s="9"/>
      <c r="X39" s="9"/>
      <c r="Y39" s="1"/>
      <c r="Z39" s="1"/>
      <c r="AA39" s="9"/>
      <c r="AB39" s="9"/>
      <c r="AC39" s="9"/>
      <c r="AD39" s="9"/>
      <c r="AE39" s="9"/>
      <c r="AF39" s="18"/>
    </row>
    <row r="40" spans="2:36" x14ac:dyDescent="0.25">
      <c r="F40" s="1"/>
      <c r="G40" s="1"/>
      <c r="H40" s="1"/>
      <c r="J40" s="1" t="s">
        <v>32</v>
      </c>
      <c r="Q40" s="9"/>
      <c r="R40" s="4"/>
      <c r="S40" s="9"/>
      <c r="T40" s="5"/>
      <c r="U40" s="9"/>
      <c r="V40" s="4"/>
      <c r="W40" s="4"/>
      <c r="X40" s="9"/>
      <c r="Y40" s="9"/>
      <c r="Z40" s="9"/>
      <c r="AA40" s="9"/>
      <c r="AB40" s="9"/>
      <c r="AC40" s="9"/>
      <c r="AD40" s="9"/>
      <c r="AE40" s="9"/>
    </row>
    <row r="41" spans="2:36" x14ac:dyDescent="0.25">
      <c r="R41" s="4"/>
      <c r="S41" s="17"/>
      <c r="T41" s="17"/>
      <c r="U41" s="9"/>
      <c r="V41" s="4"/>
      <c r="W41" s="4"/>
      <c r="X41" s="9"/>
      <c r="Y41" s="9"/>
      <c r="Z41" s="9" t="s">
        <v>307</v>
      </c>
      <c r="AA41" s="9"/>
      <c r="AB41" s="9"/>
      <c r="AC41" s="9"/>
      <c r="AD41" s="9"/>
      <c r="AE41" s="9"/>
    </row>
    <row r="42" spans="2:36" x14ac:dyDescent="0.25">
      <c r="Q42" s="9"/>
      <c r="R42" s="4"/>
      <c r="S42" s="16"/>
      <c r="T42" s="16"/>
      <c r="U42" s="9"/>
      <c r="V42" s="4"/>
      <c r="W42" s="4"/>
      <c r="X42" s="9"/>
      <c r="Y42" s="37" t="s">
        <v>325</v>
      </c>
      <c r="Z42" s="9">
        <f>Z37</f>
        <v>2720</v>
      </c>
      <c r="AA42" s="9"/>
      <c r="AB42" s="9"/>
      <c r="AC42" s="9"/>
      <c r="AD42" s="9"/>
      <c r="AE42" s="9"/>
    </row>
    <row r="43" spans="2:36" x14ac:dyDescent="0.25">
      <c r="R43" s="4"/>
      <c r="S43" s="16"/>
      <c r="T43" s="16"/>
      <c r="Y43" s="37" t="s">
        <v>326</v>
      </c>
      <c r="Z43" s="9">
        <f>Z42*1.1</f>
        <v>2992.0000000000005</v>
      </c>
      <c r="AA43" s="9"/>
      <c r="AB43" s="9"/>
      <c r="AC43" s="9"/>
      <c r="AD43" s="9"/>
      <c r="AE43" s="9"/>
    </row>
    <row r="44" spans="2:36" x14ac:dyDescent="0.25">
      <c r="T44" s="5"/>
      <c r="Y44" s="37" t="s">
        <v>327</v>
      </c>
      <c r="Z44" s="9">
        <f>Z42*1.2</f>
        <v>3264</v>
      </c>
      <c r="AA44" s="9"/>
      <c r="AB44" s="9"/>
      <c r="AC44" s="9"/>
      <c r="AD44" s="9"/>
      <c r="AE44" s="9"/>
    </row>
    <row r="45" spans="2:36" x14ac:dyDescent="0.25">
      <c r="T45" s="5"/>
      <c r="Y45" s="37" t="s">
        <v>328</v>
      </c>
      <c r="Z45" s="9">
        <f>Z42*0.8</f>
        <v>2176</v>
      </c>
      <c r="AA45" s="9"/>
      <c r="AB45" s="9"/>
      <c r="AC45" s="9"/>
      <c r="AD45" s="9"/>
      <c r="AE45" s="9"/>
    </row>
    <row r="46" spans="2:36" x14ac:dyDescent="0.25">
      <c r="T46" s="5"/>
      <c r="Y46" s="37" t="s">
        <v>330</v>
      </c>
      <c r="Z46" s="9" t="s">
        <v>329</v>
      </c>
      <c r="AA46" s="9"/>
      <c r="AB46" s="9"/>
      <c r="AC46" s="9"/>
      <c r="AD46" s="9"/>
      <c r="AE46" s="9"/>
    </row>
    <row r="47" spans="2:36" x14ac:dyDescent="0.25">
      <c r="T47" s="5"/>
      <c r="Y47" s="9"/>
      <c r="Z47" s="9"/>
      <c r="AA47" s="9"/>
      <c r="AB47" s="9"/>
      <c r="AC47" s="9"/>
      <c r="AD47" s="9"/>
      <c r="AE47" s="9"/>
    </row>
    <row r="48" spans="2:36" x14ac:dyDescent="0.25">
      <c r="T48" s="5"/>
      <c r="Y48" s="9"/>
      <c r="Z48" s="9"/>
      <c r="AA48" s="9"/>
      <c r="AB48" s="9"/>
      <c r="AC48" s="9"/>
      <c r="AD48" s="9"/>
      <c r="AE48" s="9"/>
    </row>
    <row r="49" spans="20:31" x14ac:dyDescent="0.25">
      <c r="T49" s="5"/>
      <c r="Y49" s="9"/>
      <c r="Z49" s="9"/>
      <c r="AA49" s="9"/>
      <c r="AB49" s="9"/>
      <c r="AC49" s="9"/>
      <c r="AD49" s="9"/>
      <c r="AE49" s="9"/>
    </row>
    <row r="50" spans="20:31" x14ac:dyDescent="0.25">
      <c r="T50" s="5"/>
      <c r="Y50" s="9"/>
      <c r="Z50" s="9"/>
      <c r="AA50" s="9"/>
      <c r="AB50" s="9"/>
      <c r="AC50" s="9"/>
      <c r="AD50" s="9"/>
      <c r="AE50" s="9"/>
    </row>
    <row r="51" spans="20:31" x14ac:dyDescent="0.25">
      <c r="T51" s="5"/>
      <c r="Y51" s="9"/>
      <c r="Z51" s="9"/>
      <c r="AA51" s="9"/>
      <c r="AB51" s="9"/>
      <c r="AC51" s="9"/>
      <c r="AD51" s="9"/>
      <c r="AE51" s="9"/>
    </row>
    <row r="52" spans="20:31" x14ac:dyDescent="0.25">
      <c r="T52" s="5"/>
    </row>
    <row r="53" spans="20:31" x14ac:dyDescent="0.25">
      <c r="T53" s="5"/>
    </row>
    <row r="54" spans="20:31" x14ac:dyDescent="0.25">
      <c r="T54" s="5"/>
    </row>
    <row r="55" spans="20:31" x14ac:dyDescent="0.25">
      <c r="T55" s="5"/>
    </row>
    <row r="56" spans="20:31" x14ac:dyDescent="0.25">
      <c r="T56" s="5"/>
    </row>
  </sheetData>
  <autoFilter ref="B6:AE33" xr:uid="{65FA6D9B-E0AF-46CD-BA0D-86BB75FE6AB0}"/>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6585C-1EE6-41B1-A2B2-C7BBC18E256E}">
  <sheetPr>
    <tabColor rgb="FFFFFF00"/>
  </sheetPr>
  <dimension ref="B1:AK123"/>
  <sheetViews>
    <sheetView zoomScale="80" zoomScaleNormal="80" workbookViewId="0">
      <selection activeCell="W7" sqref="W7"/>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t="s">
        <v>293</v>
      </c>
    </row>
    <row r="2" spans="2:36" x14ac:dyDescent="0.25">
      <c r="B2" s="2" t="s">
        <v>291</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E7" s="3"/>
      <c r="F7" s="3"/>
      <c r="G7" s="3"/>
      <c r="H7" s="3"/>
      <c r="K7" s="4"/>
      <c r="L7" s="4"/>
      <c r="M7" s="4"/>
      <c r="N7" s="4"/>
      <c r="O7" s="4"/>
      <c r="P7" s="27"/>
      <c r="Q7" s="25">
        <v>0</v>
      </c>
      <c r="R7" s="25">
        <v>0</v>
      </c>
      <c r="S7" s="12">
        <f t="shared" ref="S7:S70" si="0">+Q7*R7</f>
        <v>0</v>
      </c>
      <c r="T7" s="5">
        <v>0</v>
      </c>
      <c r="U7" s="12">
        <f t="shared" ref="U7:U70" si="1">S7*(1-T7)</f>
        <v>0</v>
      </c>
      <c r="V7" s="25" t="s">
        <v>10</v>
      </c>
      <c r="W7" s="11">
        <f>IFERROR(VLOOKUP(V7,Curr!$B$2:$C$13,2,FALSE),0)</f>
        <v>11.2</v>
      </c>
      <c r="X7" s="12">
        <f t="shared" ref="X7:X70" si="2">U7*W7</f>
        <v>0</v>
      </c>
      <c r="Y7" s="26">
        <f t="shared" ref="Y7:Y70" si="3">Q7</f>
        <v>0</v>
      </c>
      <c r="Z7" s="12">
        <f t="shared" ref="Z7:Z70" si="4">+Y7*R7</f>
        <v>0</v>
      </c>
      <c r="AA7" s="4" t="s">
        <v>10</v>
      </c>
      <c r="AB7" s="11">
        <f>IFERROR(VLOOKUP(AA7,Curr!$B$2:$C$13,2,FALSE),0)</f>
        <v>11.2</v>
      </c>
      <c r="AC7" s="12">
        <f t="shared" ref="AC7:AC70" si="5">+Y7*AB7*R7</f>
        <v>0</v>
      </c>
      <c r="AD7" s="12">
        <f t="shared" ref="AD7:AD70" si="6">+AC7-X7</f>
        <v>0</v>
      </c>
      <c r="AE7" s="13">
        <f t="shared" ref="AE7:AE70" si="7">IFERROR(AD7/AC7,0)</f>
        <v>0</v>
      </c>
    </row>
    <row r="8" spans="2:36" x14ac:dyDescent="0.25">
      <c r="B8" s="4"/>
      <c r="E8" s="3"/>
      <c r="F8" s="3"/>
      <c r="G8" s="24"/>
      <c r="H8" s="24"/>
      <c r="K8" s="4"/>
      <c r="L8" s="4"/>
      <c r="M8" s="4"/>
      <c r="N8" s="4"/>
      <c r="O8" s="4"/>
      <c r="P8" s="27"/>
      <c r="Q8" s="25">
        <v>0</v>
      </c>
      <c r="R8" s="25">
        <v>0</v>
      </c>
      <c r="S8" s="12">
        <f t="shared" si="0"/>
        <v>0</v>
      </c>
      <c r="T8" s="5">
        <v>0</v>
      </c>
      <c r="U8" s="12">
        <f t="shared" si="1"/>
        <v>0</v>
      </c>
      <c r="V8" s="25" t="s">
        <v>10</v>
      </c>
      <c r="W8" s="11">
        <f>IFERROR(VLOOKUP(V8,Curr!$B$2:$C$13,2,FALSE),0)</f>
        <v>11.2</v>
      </c>
      <c r="X8" s="12">
        <f t="shared" si="2"/>
        <v>0</v>
      </c>
      <c r="Y8" s="26">
        <f t="shared" si="3"/>
        <v>0</v>
      </c>
      <c r="Z8" s="12">
        <f t="shared" si="4"/>
        <v>0</v>
      </c>
      <c r="AA8" s="4" t="s">
        <v>10</v>
      </c>
      <c r="AB8" s="11">
        <f>IFERROR(VLOOKUP(AA8,Curr!$B$2:$C$13,2,FALSE),0)</f>
        <v>11.2</v>
      </c>
      <c r="AC8" s="12">
        <f t="shared" si="5"/>
        <v>0</v>
      </c>
      <c r="AD8" s="12">
        <f t="shared" si="6"/>
        <v>0</v>
      </c>
      <c r="AE8" s="13">
        <f t="shared" si="7"/>
        <v>0</v>
      </c>
    </row>
    <row r="9" spans="2:36" x14ac:dyDescent="0.25">
      <c r="B9" s="4"/>
      <c r="E9" s="3"/>
      <c r="F9" s="3"/>
      <c r="G9" s="24"/>
      <c r="H9" s="24"/>
      <c r="K9" s="4"/>
      <c r="L9" s="4"/>
      <c r="M9" s="4"/>
      <c r="N9" s="4"/>
      <c r="O9" s="4"/>
      <c r="P9" s="33"/>
      <c r="Q9" s="25">
        <v>0</v>
      </c>
      <c r="R9" s="25">
        <v>0</v>
      </c>
      <c r="S9" s="12">
        <f t="shared" si="0"/>
        <v>0</v>
      </c>
      <c r="T9" s="5">
        <v>0</v>
      </c>
      <c r="U9" s="12">
        <f t="shared" si="1"/>
        <v>0</v>
      </c>
      <c r="V9" s="25" t="s">
        <v>10</v>
      </c>
      <c r="W9" s="11">
        <f>IFERROR(VLOOKUP(V9,Curr!$B$2:$C$13,2,FALSE),0)</f>
        <v>11.2</v>
      </c>
      <c r="X9" s="12">
        <f t="shared" si="2"/>
        <v>0</v>
      </c>
      <c r="Y9" s="26">
        <f t="shared" si="3"/>
        <v>0</v>
      </c>
      <c r="Z9" s="12">
        <f t="shared" si="4"/>
        <v>0</v>
      </c>
      <c r="AA9" s="4" t="s">
        <v>10</v>
      </c>
      <c r="AB9" s="11">
        <f>IFERROR(VLOOKUP(AA9,Curr!$B$2:$C$13,2,FALSE),0)</f>
        <v>11.2</v>
      </c>
      <c r="AC9" s="12">
        <f t="shared" si="5"/>
        <v>0</v>
      </c>
      <c r="AD9" s="12">
        <f t="shared" si="6"/>
        <v>0</v>
      </c>
      <c r="AE9" s="13">
        <f t="shared" si="7"/>
        <v>0</v>
      </c>
    </row>
    <row r="10" spans="2:36" x14ac:dyDescent="0.25">
      <c r="B10" s="4"/>
      <c r="E10" s="3"/>
      <c r="F10" s="3"/>
      <c r="G10" s="24"/>
      <c r="H10" s="24"/>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v>0</v>
      </c>
      <c r="R11" s="25">
        <v>0</v>
      </c>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E12" s="3"/>
      <c r="F12" s="3"/>
      <c r="G12" s="24"/>
      <c r="H12" s="24"/>
      <c r="K12" s="4"/>
      <c r="L12" s="4"/>
      <c r="M12" s="4"/>
      <c r="N12" s="4"/>
      <c r="O12" s="4"/>
      <c r="P12" s="33"/>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E13" s="3"/>
      <c r="F13" s="3"/>
      <c r="G13" s="24"/>
      <c r="H13" s="24"/>
      <c r="K13" s="4"/>
      <c r="L13" s="4"/>
      <c r="M13" s="4"/>
      <c r="N13" s="4"/>
      <c r="O13" s="4"/>
      <c r="P13" s="27"/>
      <c r="Q13" s="25">
        <v>0</v>
      </c>
      <c r="R13" s="25">
        <v>0</v>
      </c>
      <c r="S13" s="12">
        <f t="shared" si="0"/>
        <v>0</v>
      </c>
      <c r="T13" s="5">
        <v>0</v>
      </c>
      <c r="U13" s="12">
        <f t="shared" si="1"/>
        <v>0</v>
      </c>
      <c r="V13" s="25" t="s">
        <v>10</v>
      </c>
      <c r="W13" s="11">
        <f>IFERROR(VLOOKUP(V13,Curr!$B$2:$C$13,2,FALSE),0)</f>
        <v>11.2</v>
      </c>
      <c r="X13" s="12">
        <f t="shared" si="2"/>
        <v>0</v>
      </c>
      <c r="Y13" s="26">
        <f t="shared" si="3"/>
        <v>0</v>
      </c>
      <c r="Z13" s="12">
        <f t="shared" si="4"/>
        <v>0</v>
      </c>
      <c r="AA13" s="4" t="s">
        <v>10</v>
      </c>
      <c r="AB13" s="11">
        <f>IFERROR(VLOOKUP(AA13,Curr!$B$2:$C$13,2,FALSE),0)</f>
        <v>11.2</v>
      </c>
      <c r="AC13" s="12">
        <f t="shared" si="5"/>
        <v>0</v>
      </c>
      <c r="AD13" s="12">
        <f t="shared" si="6"/>
        <v>0</v>
      </c>
      <c r="AE13" s="13">
        <f t="shared" si="7"/>
        <v>0</v>
      </c>
    </row>
    <row r="14" spans="2:36" x14ac:dyDescent="0.25">
      <c r="B14" s="4"/>
      <c r="E14" s="3"/>
      <c r="F14" s="3"/>
      <c r="G14" s="24"/>
      <c r="H14" s="24"/>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si="3"/>
        <v>0</v>
      </c>
      <c r="Z14" s="12">
        <f t="shared" si="4"/>
        <v>0</v>
      </c>
      <c r="AA14" s="4" t="s">
        <v>10</v>
      </c>
      <c r="AB14" s="11">
        <f>IFERROR(VLOOKUP(AA14,Curr!$B$2:$C$13,2,FALSE),0)</f>
        <v>11.2</v>
      </c>
      <c r="AC14" s="12">
        <f t="shared" si="5"/>
        <v>0</v>
      </c>
      <c r="AD14" s="12">
        <f t="shared" si="6"/>
        <v>0</v>
      </c>
      <c r="AE14" s="13">
        <f t="shared" si="7"/>
        <v>0</v>
      </c>
    </row>
    <row r="15" spans="2:36" x14ac:dyDescent="0.25">
      <c r="B15" s="4"/>
      <c r="E15" s="3"/>
      <c r="F15" s="3"/>
      <c r="G15" s="24"/>
      <c r="H15" s="24"/>
      <c r="K15" s="4"/>
      <c r="L15" s="4"/>
      <c r="M15" s="4"/>
      <c r="N15" s="4"/>
      <c r="O15" s="4"/>
      <c r="P15" s="27"/>
      <c r="Q15" s="25">
        <v>0</v>
      </c>
      <c r="R15" s="25">
        <v>0</v>
      </c>
      <c r="S15" s="12">
        <f t="shared" si="0"/>
        <v>0</v>
      </c>
      <c r="T15" s="5">
        <v>0</v>
      </c>
      <c r="U15" s="12">
        <f t="shared" si="1"/>
        <v>0</v>
      </c>
      <c r="V15" s="25" t="s">
        <v>10</v>
      </c>
      <c r="W15" s="11">
        <f>IFERROR(VLOOKUP(V15,Curr!$B$2:$C$13,2,FALSE),0)</f>
        <v>11.2</v>
      </c>
      <c r="X15" s="12">
        <f t="shared" si="2"/>
        <v>0</v>
      </c>
      <c r="Y15" s="26">
        <f t="shared" si="3"/>
        <v>0</v>
      </c>
      <c r="Z15" s="12">
        <f t="shared" si="4"/>
        <v>0</v>
      </c>
      <c r="AA15" s="4" t="s">
        <v>10</v>
      </c>
      <c r="AB15" s="11">
        <f>IFERROR(VLOOKUP(AA15,Curr!$B$2:$C$13,2,FALSE),0)</f>
        <v>11.2</v>
      </c>
      <c r="AC15" s="12">
        <f t="shared" si="5"/>
        <v>0</v>
      </c>
      <c r="AD15" s="12">
        <f t="shared" si="6"/>
        <v>0</v>
      </c>
      <c r="AE15" s="13">
        <f t="shared" si="7"/>
        <v>0</v>
      </c>
    </row>
    <row r="16" spans="2:36" x14ac:dyDescent="0.25">
      <c r="B16" s="4"/>
      <c r="E16" s="3"/>
      <c r="F16" s="3"/>
      <c r="G16" s="24"/>
      <c r="H16" s="24"/>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3"/>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v>0</v>
      </c>
      <c r="R17" s="25">
        <v>0</v>
      </c>
      <c r="S17" s="12">
        <f t="shared" si="0"/>
        <v>0</v>
      </c>
      <c r="T17" s="5">
        <v>0</v>
      </c>
      <c r="U17" s="12">
        <f t="shared" si="1"/>
        <v>0</v>
      </c>
      <c r="V17" s="25" t="s">
        <v>10</v>
      </c>
      <c r="W17" s="11">
        <f>IFERROR(VLOOKUP(V17,Curr!$B$2:$C$13,2,FALSE),0)</f>
        <v>11.2</v>
      </c>
      <c r="X17" s="12">
        <f t="shared" si="2"/>
        <v>0</v>
      </c>
      <c r="Y17" s="26">
        <f t="shared" si="3"/>
        <v>0</v>
      </c>
      <c r="Z17" s="12">
        <f t="shared" si="4"/>
        <v>0</v>
      </c>
      <c r="AA17" s="4" t="s">
        <v>10</v>
      </c>
      <c r="AB17" s="11">
        <f>IFERROR(VLOOKUP(AA17,Curr!$B$2:$C$13,2,FALSE),0)</f>
        <v>11.2</v>
      </c>
      <c r="AC17" s="12">
        <f t="shared" si="5"/>
        <v>0</v>
      </c>
      <c r="AD17" s="12">
        <f t="shared" si="6"/>
        <v>0</v>
      </c>
      <c r="AE17" s="13">
        <f t="shared" si="7"/>
        <v>0</v>
      </c>
    </row>
    <row r="18" spans="2:31" x14ac:dyDescent="0.25">
      <c r="B18" s="4"/>
      <c r="E18" s="3"/>
      <c r="F18" s="3"/>
      <c r="G18" s="24"/>
      <c r="H18" s="24"/>
      <c r="K18" s="4"/>
      <c r="L18" s="4"/>
      <c r="M18" s="4"/>
      <c r="N18" s="4"/>
      <c r="O18" s="4"/>
      <c r="P18" s="27"/>
      <c r="Q18" s="25">
        <v>0</v>
      </c>
      <c r="R18" s="25">
        <v>0</v>
      </c>
      <c r="S18" s="12">
        <f t="shared" si="0"/>
        <v>0</v>
      </c>
      <c r="T18" s="5">
        <v>0</v>
      </c>
      <c r="U18" s="12">
        <f t="shared" si="1"/>
        <v>0</v>
      </c>
      <c r="V18" s="25" t="s">
        <v>10</v>
      </c>
      <c r="W18" s="11">
        <f>IFERROR(VLOOKUP(V18,Curr!$B$2:$C$13,2,FALSE),0)</f>
        <v>11.2</v>
      </c>
      <c r="X18" s="12">
        <f t="shared" si="2"/>
        <v>0</v>
      </c>
      <c r="Y18" s="26">
        <f t="shared" si="3"/>
        <v>0</v>
      </c>
      <c r="Z18" s="12">
        <f t="shared" si="4"/>
        <v>0</v>
      </c>
      <c r="AA18" s="4" t="s">
        <v>10</v>
      </c>
      <c r="AB18" s="11">
        <f>IFERROR(VLOOKUP(AA18,Curr!$B$2:$C$13,2,FALSE),0)</f>
        <v>11.2</v>
      </c>
      <c r="AC18" s="12">
        <f t="shared" si="5"/>
        <v>0</v>
      </c>
      <c r="AD18" s="12">
        <f t="shared" si="6"/>
        <v>0</v>
      </c>
      <c r="AE18" s="13">
        <f t="shared" si="7"/>
        <v>0</v>
      </c>
    </row>
    <row r="19" spans="2:31" x14ac:dyDescent="0.25">
      <c r="B19" s="4"/>
      <c r="E19" s="3"/>
      <c r="F19" s="3"/>
      <c r="G19" s="24"/>
      <c r="H19" s="24"/>
      <c r="K19" s="4"/>
      <c r="L19" s="4"/>
      <c r="M19" s="4"/>
      <c r="N19" s="4"/>
      <c r="O19" s="4"/>
      <c r="P19" s="27"/>
      <c r="Q19" s="25">
        <v>0</v>
      </c>
      <c r="R19" s="25">
        <v>0</v>
      </c>
      <c r="S19" s="12">
        <f t="shared" si="0"/>
        <v>0</v>
      </c>
      <c r="T19" s="5">
        <v>0</v>
      </c>
      <c r="U19" s="12">
        <f t="shared" si="1"/>
        <v>0</v>
      </c>
      <c r="V19" s="25" t="s">
        <v>10</v>
      </c>
      <c r="W19" s="11">
        <f>IFERROR(VLOOKUP(V19,Curr!$B$2:$C$13,2,FALSE),0)</f>
        <v>11.2</v>
      </c>
      <c r="X19" s="12">
        <f t="shared" si="2"/>
        <v>0</v>
      </c>
      <c r="Y19" s="26">
        <f t="shared" si="3"/>
        <v>0</v>
      </c>
      <c r="Z19" s="12">
        <f t="shared" si="4"/>
        <v>0</v>
      </c>
      <c r="AA19" s="4" t="s">
        <v>10</v>
      </c>
      <c r="AB19" s="11">
        <f>IFERROR(VLOOKUP(AA19,Curr!$B$2:$C$13,2,FALSE),0)</f>
        <v>11.2</v>
      </c>
      <c r="AC19" s="12">
        <f t="shared" si="5"/>
        <v>0</v>
      </c>
      <c r="AD19" s="12">
        <f t="shared" si="6"/>
        <v>0</v>
      </c>
      <c r="AE19" s="13">
        <f t="shared" si="7"/>
        <v>0</v>
      </c>
    </row>
    <row r="20" spans="2:31" x14ac:dyDescent="0.25">
      <c r="B20" s="4"/>
      <c r="E20" s="3"/>
      <c r="F20" s="3"/>
      <c r="G20" s="24"/>
      <c r="H20" s="24"/>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si="3"/>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v>0</v>
      </c>
      <c r="R21" s="25">
        <v>0</v>
      </c>
      <c r="S21" s="12">
        <f t="shared" si="0"/>
        <v>0</v>
      </c>
      <c r="T21" s="5">
        <v>0</v>
      </c>
      <c r="U21" s="12">
        <f t="shared" si="1"/>
        <v>0</v>
      </c>
      <c r="V21" s="25" t="s">
        <v>10</v>
      </c>
      <c r="W21" s="11">
        <f>IFERROR(VLOOKUP(V21,Curr!$B$2:$C$13,2,FALSE),0)</f>
        <v>11.2</v>
      </c>
      <c r="X21" s="12">
        <f t="shared" si="2"/>
        <v>0</v>
      </c>
      <c r="Y21" s="26">
        <f t="shared" si="3"/>
        <v>0</v>
      </c>
      <c r="Z21" s="12">
        <f t="shared" si="4"/>
        <v>0</v>
      </c>
      <c r="AA21" s="4" t="s">
        <v>10</v>
      </c>
      <c r="AB21" s="11">
        <f>IFERROR(VLOOKUP(AA21,Curr!$B$2:$C$13,2,FALSE),0)</f>
        <v>11.2</v>
      </c>
      <c r="AC21" s="12">
        <f t="shared" si="5"/>
        <v>0</v>
      </c>
      <c r="AD21" s="12">
        <f t="shared" si="6"/>
        <v>0</v>
      </c>
      <c r="AE21" s="13">
        <f t="shared" si="7"/>
        <v>0</v>
      </c>
    </row>
    <row r="22" spans="2:31" x14ac:dyDescent="0.25">
      <c r="B22" s="4"/>
      <c r="E22" s="3"/>
      <c r="F22" s="3"/>
      <c r="G22" s="24"/>
      <c r="H22" s="24"/>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3"/>
        <v>0</v>
      </c>
      <c r="Z22" s="12">
        <f t="shared" si="4"/>
        <v>0</v>
      </c>
      <c r="AA22" s="4" t="s">
        <v>10</v>
      </c>
      <c r="AB22" s="11">
        <f>IFERROR(VLOOKUP(AA22,Curr!$B$2:$C$13,2,FALSE),0)</f>
        <v>11.2</v>
      </c>
      <c r="AC22" s="12">
        <f t="shared" si="5"/>
        <v>0</v>
      </c>
      <c r="AD22" s="12">
        <f t="shared" si="6"/>
        <v>0</v>
      </c>
      <c r="AE22" s="13">
        <f t="shared" si="7"/>
        <v>0</v>
      </c>
    </row>
    <row r="23" spans="2:31" x14ac:dyDescent="0.25">
      <c r="B23" s="4"/>
      <c r="E23" s="3"/>
      <c r="F23" s="3"/>
      <c r="G23" s="24"/>
      <c r="H23" s="24"/>
      <c r="K23" s="4"/>
      <c r="L23" s="4"/>
      <c r="M23" s="4"/>
      <c r="N23" s="4"/>
      <c r="O23" s="4"/>
      <c r="P23" s="29"/>
      <c r="Q23" s="25">
        <v>0</v>
      </c>
      <c r="R23" s="25">
        <v>0</v>
      </c>
      <c r="S23" s="12">
        <f t="shared" si="0"/>
        <v>0</v>
      </c>
      <c r="T23" s="5">
        <v>0</v>
      </c>
      <c r="U23" s="12">
        <f t="shared" si="1"/>
        <v>0</v>
      </c>
      <c r="V23" s="25" t="s">
        <v>10</v>
      </c>
      <c r="W23" s="11">
        <f>IFERROR(VLOOKUP(V23,Curr!$B$2:$C$13,2,FALSE),0)</f>
        <v>11.2</v>
      </c>
      <c r="X23" s="12">
        <f t="shared" si="2"/>
        <v>0</v>
      </c>
      <c r="Y23" s="26">
        <f t="shared" si="3"/>
        <v>0</v>
      </c>
      <c r="Z23" s="12">
        <f t="shared" si="4"/>
        <v>0</v>
      </c>
      <c r="AA23" s="4" t="s">
        <v>10</v>
      </c>
      <c r="AB23" s="11">
        <f>IFERROR(VLOOKUP(AA23,Curr!$B$2:$C$13,2,FALSE),0)</f>
        <v>11.2</v>
      </c>
      <c r="AC23" s="12">
        <f t="shared" si="5"/>
        <v>0</v>
      </c>
      <c r="AD23" s="12">
        <f t="shared" si="6"/>
        <v>0</v>
      </c>
      <c r="AE23" s="13">
        <f t="shared" si="7"/>
        <v>0</v>
      </c>
    </row>
    <row r="24" spans="2:31" x14ac:dyDescent="0.25">
      <c r="B24" s="4"/>
      <c r="E24" s="3"/>
      <c r="F24" s="3"/>
      <c r="G24" s="24"/>
      <c r="H24" s="24"/>
      <c r="K24" s="4"/>
      <c r="L24" s="4"/>
      <c r="M24" s="4"/>
      <c r="N24" s="4"/>
      <c r="O24" s="4"/>
      <c r="P24" s="27"/>
      <c r="Q24" s="25">
        <v>0</v>
      </c>
      <c r="R24" s="25">
        <v>0</v>
      </c>
      <c r="S24" s="12">
        <f t="shared" si="0"/>
        <v>0</v>
      </c>
      <c r="T24" s="5">
        <v>0</v>
      </c>
      <c r="U24" s="12">
        <f t="shared" si="1"/>
        <v>0</v>
      </c>
      <c r="V24" s="25" t="s">
        <v>10</v>
      </c>
      <c r="W24" s="11">
        <f>IFERROR(VLOOKUP(V24,Curr!$B$2:$C$13,2,FALSE),0)</f>
        <v>11.2</v>
      </c>
      <c r="X24" s="12">
        <f t="shared" si="2"/>
        <v>0</v>
      </c>
      <c r="Y24" s="26">
        <f t="shared" si="3"/>
        <v>0</v>
      </c>
      <c r="Z24" s="12">
        <f t="shared" si="4"/>
        <v>0</v>
      </c>
      <c r="AA24" s="4" t="s">
        <v>10</v>
      </c>
      <c r="AB24" s="11">
        <f>IFERROR(VLOOKUP(AA24,Curr!$B$2:$C$13,2,FALSE),0)</f>
        <v>11.2</v>
      </c>
      <c r="AC24" s="12">
        <f t="shared" si="5"/>
        <v>0</v>
      </c>
      <c r="AD24" s="12">
        <f t="shared" si="6"/>
        <v>0</v>
      </c>
      <c r="AE24" s="13">
        <f t="shared" si="7"/>
        <v>0</v>
      </c>
    </row>
    <row r="25" spans="2:31" x14ac:dyDescent="0.25">
      <c r="B25" s="4"/>
      <c r="E25" s="3"/>
      <c r="F25" s="3"/>
      <c r="G25" s="24"/>
      <c r="H25" s="24"/>
      <c r="K25" s="4"/>
      <c r="L25" s="4"/>
      <c r="M25" s="4"/>
      <c r="N25" s="4"/>
      <c r="O25" s="4"/>
      <c r="P25" s="27"/>
      <c r="Q25" s="25">
        <v>0</v>
      </c>
      <c r="R25" s="25">
        <v>0</v>
      </c>
      <c r="S25" s="12">
        <f t="shared" si="0"/>
        <v>0</v>
      </c>
      <c r="T25" s="5">
        <v>0</v>
      </c>
      <c r="U25" s="12">
        <f t="shared" si="1"/>
        <v>0</v>
      </c>
      <c r="V25" s="25" t="s">
        <v>10</v>
      </c>
      <c r="W25" s="11">
        <f>IFERROR(VLOOKUP(V25,Curr!$B$2:$C$13,2,FALSE),0)</f>
        <v>11.2</v>
      </c>
      <c r="X25" s="12">
        <f t="shared" si="2"/>
        <v>0</v>
      </c>
      <c r="Y25" s="26">
        <f t="shared" si="3"/>
        <v>0</v>
      </c>
      <c r="Z25" s="12">
        <f t="shared" si="4"/>
        <v>0</v>
      </c>
      <c r="AA25" s="4" t="s">
        <v>10</v>
      </c>
      <c r="AB25" s="11">
        <f>IFERROR(VLOOKUP(AA25,Curr!$B$2:$C$13,2,FALSE),0)</f>
        <v>11.2</v>
      </c>
      <c r="AC25" s="12">
        <f t="shared" si="5"/>
        <v>0</v>
      </c>
      <c r="AD25" s="12">
        <f t="shared" si="6"/>
        <v>0</v>
      </c>
      <c r="AE25" s="13">
        <f t="shared" si="7"/>
        <v>0</v>
      </c>
    </row>
    <row r="26" spans="2:31" x14ac:dyDescent="0.25">
      <c r="B26" s="4"/>
      <c r="E26" s="3"/>
      <c r="F26" s="3"/>
      <c r="G26" s="24"/>
      <c r="H26" s="24"/>
      <c r="K26" s="4"/>
      <c r="L26" s="4"/>
      <c r="M26" s="4"/>
      <c r="N26" s="4"/>
      <c r="O26" s="4"/>
      <c r="P26" s="27"/>
      <c r="Q26" s="25">
        <v>0</v>
      </c>
      <c r="R26" s="25">
        <v>0</v>
      </c>
      <c r="S26" s="12">
        <f t="shared" si="0"/>
        <v>0</v>
      </c>
      <c r="T26" s="5">
        <v>0</v>
      </c>
      <c r="U26" s="12">
        <f t="shared" si="1"/>
        <v>0</v>
      </c>
      <c r="V26" s="25" t="s">
        <v>10</v>
      </c>
      <c r="W26" s="11">
        <f>IFERROR(VLOOKUP(V26,Curr!$B$2:$C$13,2,FALSE),0)</f>
        <v>11.2</v>
      </c>
      <c r="X26" s="12">
        <f t="shared" si="2"/>
        <v>0</v>
      </c>
      <c r="Y26" s="26">
        <f t="shared" si="3"/>
        <v>0</v>
      </c>
      <c r="Z26" s="12">
        <f t="shared" si="4"/>
        <v>0</v>
      </c>
      <c r="AA26" s="4" t="s">
        <v>10</v>
      </c>
      <c r="AB26" s="11">
        <f>IFERROR(VLOOKUP(AA26,Curr!$B$2:$C$13,2,FALSE),0)</f>
        <v>11.2</v>
      </c>
      <c r="AC26" s="12">
        <f t="shared" si="5"/>
        <v>0</v>
      </c>
      <c r="AD26" s="12">
        <f t="shared" si="6"/>
        <v>0</v>
      </c>
      <c r="AE26" s="13">
        <f t="shared" si="7"/>
        <v>0</v>
      </c>
    </row>
    <row r="27" spans="2:31" x14ac:dyDescent="0.25">
      <c r="B27" s="4"/>
      <c r="E27" s="3"/>
      <c r="F27" s="3"/>
      <c r="G27" s="24"/>
      <c r="H27" s="24"/>
      <c r="K27" s="4"/>
      <c r="L27" s="4"/>
      <c r="M27" s="4"/>
      <c r="N27" s="4"/>
      <c r="O27" s="4"/>
      <c r="P27" s="33"/>
      <c r="Q27" s="25">
        <v>0</v>
      </c>
      <c r="R27" s="25">
        <v>0</v>
      </c>
      <c r="S27" s="12">
        <f t="shared" si="0"/>
        <v>0</v>
      </c>
      <c r="T27" s="5">
        <v>0</v>
      </c>
      <c r="U27" s="12">
        <f t="shared" si="1"/>
        <v>0</v>
      </c>
      <c r="V27" s="25" t="s">
        <v>10</v>
      </c>
      <c r="W27" s="11">
        <f>IFERROR(VLOOKUP(V27,Curr!$B$2:$C$13,2,FALSE),0)</f>
        <v>11.2</v>
      </c>
      <c r="X27" s="12">
        <f t="shared" si="2"/>
        <v>0</v>
      </c>
      <c r="Y27" s="26">
        <f t="shared" si="3"/>
        <v>0</v>
      </c>
      <c r="Z27" s="12">
        <f t="shared" si="4"/>
        <v>0</v>
      </c>
      <c r="AA27" s="4" t="s">
        <v>10</v>
      </c>
      <c r="AB27" s="11">
        <f>IFERROR(VLOOKUP(AA27,Curr!$B$2:$C$13,2,FALSE),0)</f>
        <v>11.2</v>
      </c>
      <c r="AC27" s="12">
        <f t="shared" si="5"/>
        <v>0</v>
      </c>
      <c r="AD27" s="12">
        <f t="shared" si="6"/>
        <v>0</v>
      </c>
      <c r="AE27" s="13">
        <f t="shared" si="7"/>
        <v>0</v>
      </c>
    </row>
    <row r="28" spans="2:31" x14ac:dyDescent="0.25">
      <c r="B28" s="4"/>
      <c r="E28" s="3"/>
      <c r="F28" s="3"/>
      <c r="G28" s="24"/>
      <c r="H28" s="24"/>
      <c r="K28" s="4"/>
      <c r="L28" s="4"/>
      <c r="M28" s="4"/>
      <c r="N28" s="4"/>
      <c r="O28" s="4"/>
      <c r="P28" s="33"/>
      <c r="Q28" s="25">
        <v>0</v>
      </c>
      <c r="R28" s="25">
        <v>0</v>
      </c>
      <c r="S28" s="12">
        <f t="shared" si="0"/>
        <v>0</v>
      </c>
      <c r="T28" s="5">
        <v>0</v>
      </c>
      <c r="U28" s="12">
        <f t="shared" si="1"/>
        <v>0</v>
      </c>
      <c r="V28" s="25" t="s">
        <v>10</v>
      </c>
      <c r="W28" s="11">
        <f>IFERROR(VLOOKUP(V28,Curr!$B$2:$C$13,2,FALSE),0)</f>
        <v>11.2</v>
      </c>
      <c r="X28" s="12">
        <f t="shared" si="2"/>
        <v>0</v>
      </c>
      <c r="Y28" s="26">
        <f t="shared" si="3"/>
        <v>0</v>
      </c>
      <c r="Z28" s="12">
        <f t="shared" si="4"/>
        <v>0</v>
      </c>
      <c r="AA28" s="4" t="s">
        <v>10</v>
      </c>
      <c r="AB28" s="11">
        <f>IFERROR(VLOOKUP(AA28,Curr!$B$2:$C$13,2,FALSE),0)</f>
        <v>11.2</v>
      </c>
      <c r="AC28" s="12">
        <f t="shared" si="5"/>
        <v>0</v>
      </c>
      <c r="AD28" s="12">
        <f t="shared" si="6"/>
        <v>0</v>
      </c>
      <c r="AE28" s="13">
        <f t="shared" si="7"/>
        <v>0</v>
      </c>
    </row>
    <row r="29" spans="2:31" x14ac:dyDescent="0.25">
      <c r="B29" s="4"/>
      <c r="E29" s="3"/>
      <c r="F29" s="3"/>
      <c r="G29" s="24"/>
      <c r="H29" s="24"/>
      <c r="K29" s="4"/>
      <c r="L29" s="4"/>
      <c r="M29" s="4"/>
      <c r="N29" s="4"/>
      <c r="O29" s="4"/>
      <c r="P29" s="29"/>
      <c r="Q29" s="25">
        <v>0</v>
      </c>
      <c r="R29" s="25">
        <v>0</v>
      </c>
      <c r="S29" s="12">
        <f t="shared" si="0"/>
        <v>0</v>
      </c>
      <c r="T29" s="5">
        <v>0</v>
      </c>
      <c r="U29" s="12">
        <f t="shared" si="1"/>
        <v>0</v>
      </c>
      <c r="V29" s="25" t="s">
        <v>10</v>
      </c>
      <c r="W29" s="11">
        <f>IFERROR(VLOOKUP(V29,Curr!$B$2:$C$13,2,FALSE),0)</f>
        <v>11.2</v>
      </c>
      <c r="X29" s="12">
        <f t="shared" si="2"/>
        <v>0</v>
      </c>
      <c r="Y29" s="26">
        <f t="shared" si="3"/>
        <v>0</v>
      </c>
      <c r="Z29" s="12">
        <f t="shared" si="4"/>
        <v>0</v>
      </c>
      <c r="AA29" s="4" t="s">
        <v>10</v>
      </c>
      <c r="AB29" s="11">
        <f>IFERROR(VLOOKUP(AA29,Curr!$B$2:$C$13,2,FALSE),0)</f>
        <v>11.2</v>
      </c>
      <c r="AC29" s="12">
        <f t="shared" si="5"/>
        <v>0</v>
      </c>
      <c r="AD29" s="12">
        <f t="shared" si="6"/>
        <v>0</v>
      </c>
      <c r="AE29" s="13">
        <f t="shared" si="7"/>
        <v>0</v>
      </c>
    </row>
    <row r="30" spans="2:31" x14ac:dyDescent="0.25">
      <c r="B30" s="4"/>
      <c r="E30" s="3"/>
      <c r="F30" s="3"/>
      <c r="G30" s="24"/>
      <c r="H30" s="24"/>
      <c r="K30" s="4"/>
      <c r="L30" s="4"/>
      <c r="M30" s="4"/>
      <c r="N30" s="4"/>
      <c r="O30" s="4"/>
      <c r="P30" s="33"/>
      <c r="Q30" s="25">
        <v>0</v>
      </c>
      <c r="R30" s="25">
        <v>0</v>
      </c>
      <c r="S30" s="12">
        <f t="shared" si="0"/>
        <v>0</v>
      </c>
      <c r="T30" s="5">
        <v>0</v>
      </c>
      <c r="U30" s="12">
        <f t="shared" si="1"/>
        <v>0</v>
      </c>
      <c r="V30" s="25" t="s">
        <v>10</v>
      </c>
      <c r="W30" s="11">
        <f>IFERROR(VLOOKUP(V30,Curr!$B$2:$C$13,2,FALSE),0)</f>
        <v>11.2</v>
      </c>
      <c r="X30" s="12">
        <f t="shared" si="2"/>
        <v>0</v>
      </c>
      <c r="Y30" s="26">
        <f t="shared" si="3"/>
        <v>0</v>
      </c>
      <c r="Z30" s="12">
        <f t="shared" si="4"/>
        <v>0</v>
      </c>
      <c r="AA30" s="4" t="s">
        <v>10</v>
      </c>
      <c r="AB30" s="11">
        <f>IFERROR(VLOOKUP(AA30,Curr!$B$2:$C$13,2,FALSE),0)</f>
        <v>11.2</v>
      </c>
      <c r="AC30" s="12">
        <f t="shared" si="5"/>
        <v>0</v>
      </c>
      <c r="AD30" s="12">
        <f t="shared" si="6"/>
        <v>0</v>
      </c>
      <c r="AE30" s="13">
        <f t="shared" si="7"/>
        <v>0</v>
      </c>
    </row>
    <row r="31" spans="2:31" x14ac:dyDescent="0.25">
      <c r="B31" s="4"/>
      <c r="E31" s="3"/>
      <c r="F31" s="3"/>
      <c r="G31" s="24"/>
      <c r="H31" s="24"/>
      <c r="K31" s="4"/>
      <c r="L31" s="4"/>
      <c r="M31" s="4"/>
      <c r="N31" s="4"/>
      <c r="O31" s="4"/>
      <c r="P31" s="33"/>
      <c r="Q31" s="25">
        <v>0</v>
      </c>
      <c r="R31" s="25">
        <v>0</v>
      </c>
      <c r="S31" s="12">
        <f t="shared" si="0"/>
        <v>0</v>
      </c>
      <c r="T31" s="5">
        <v>0</v>
      </c>
      <c r="U31" s="12">
        <f t="shared" si="1"/>
        <v>0</v>
      </c>
      <c r="V31" s="25" t="s">
        <v>10</v>
      </c>
      <c r="W31" s="11">
        <f>IFERROR(VLOOKUP(V31,Curr!$B$2:$C$13,2,FALSE),0)</f>
        <v>11.2</v>
      </c>
      <c r="X31" s="12">
        <f t="shared" si="2"/>
        <v>0</v>
      </c>
      <c r="Y31" s="26">
        <f t="shared" si="3"/>
        <v>0</v>
      </c>
      <c r="Z31" s="12">
        <f t="shared" si="4"/>
        <v>0</v>
      </c>
      <c r="AA31" s="4" t="s">
        <v>10</v>
      </c>
      <c r="AB31" s="11">
        <f>IFERROR(VLOOKUP(AA31,Curr!$B$2:$C$13,2,FALSE),0)</f>
        <v>11.2</v>
      </c>
      <c r="AC31" s="12">
        <f t="shared" si="5"/>
        <v>0</v>
      </c>
      <c r="AD31" s="12">
        <f t="shared" si="6"/>
        <v>0</v>
      </c>
      <c r="AE31" s="13">
        <f t="shared" si="7"/>
        <v>0</v>
      </c>
    </row>
    <row r="32" spans="2:31" x14ac:dyDescent="0.25">
      <c r="B32" s="4"/>
      <c r="E32" s="3"/>
      <c r="F32" s="3"/>
      <c r="G32" s="24"/>
      <c r="H32" s="24"/>
      <c r="K32" s="4"/>
      <c r="L32" s="4"/>
      <c r="M32" s="4"/>
      <c r="N32" s="4"/>
      <c r="O32" s="4"/>
      <c r="P32" s="33"/>
      <c r="Q32" s="25">
        <v>0</v>
      </c>
      <c r="R32" s="25">
        <v>0</v>
      </c>
      <c r="S32" s="12">
        <f t="shared" si="0"/>
        <v>0</v>
      </c>
      <c r="T32" s="5">
        <v>0</v>
      </c>
      <c r="U32" s="12">
        <f t="shared" si="1"/>
        <v>0</v>
      </c>
      <c r="V32" s="25" t="s">
        <v>10</v>
      </c>
      <c r="W32" s="11">
        <f>IFERROR(VLOOKUP(V32,Curr!$B$2:$C$13,2,FALSE),0)</f>
        <v>11.2</v>
      </c>
      <c r="X32" s="12">
        <f t="shared" si="2"/>
        <v>0</v>
      </c>
      <c r="Y32" s="26">
        <f t="shared" si="3"/>
        <v>0</v>
      </c>
      <c r="Z32" s="12">
        <f t="shared" si="4"/>
        <v>0</v>
      </c>
      <c r="AA32" s="4" t="s">
        <v>10</v>
      </c>
      <c r="AB32" s="11">
        <f>IFERROR(VLOOKUP(AA32,Curr!$B$2:$C$13,2,FALSE),0)</f>
        <v>11.2</v>
      </c>
      <c r="AC32" s="12">
        <f t="shared" si="5"/>
        <v>0</v>
      </c>
      <c r="AD32" s="12">
        <f t="shared" si="6"/>
        <v>0</v>
      </c>
      <c r="AE32" s="13">
        <f t="shared" si="7"/>
        <v>0</v>
      </c>
    </row>
    <row r="33" spans="2:31" x14ac:dyDescent="0.25">
      <c r="B33" s="4"/>
      <c r="E33" s="3"/>
      <c r="F33" s="3"/>
      <c r="G33" s="24"/>
      <c r="H33" s="24"/>
      <c r="K33" s="4"/>
      <c r="L33" s="4"/>
      <c r="M33" s="4"/>
      <c r="N33" s="4"/>
      <c r="O33" s="4"/>
      <c r="P33" s="33"/>
      <c r="Q33" s="25">
        <v>0</v>
      </c>
      <c r="R33" s="25">
        <v>0</v>
      </c>
      <c r="S33" s="12">
        <f t="shared" si="0"/>
        <v>0</v>
      </c>
      <c r="T33" s="5">
        <v>0</v>
      </c>
      <c r="U33" s="12">
        <f t="shared" si="1"/>
        <v>0</v>
      </c>
      <c r="V33" s="25" t="s">
        <v>10</v>
      </c>
      <c r="W33" s="11">
        <f>IFERROR(VLOOKUP(V33,Curr!$B$2:$C$13,2,FALSE),0)</f>
        <v>11.2</v>
      </c>
      <c r="X33" s="12">
        <f t="shared" si="2"/>
        <v>0</v>
      </c>
      <c r="Y33" s="26">
        <f t="shared" si="3"/>
        <v>0</v>
      </c>
      <c r="Z33" s="12">
        <f t="shared" si="4"/>
        <v>0</v>
      </c>
      <c r="AA33" s="4" t="s">
        <v>10</v>
      </c>
      <c r="AB33" s="11">
        <f>IFERROR(VLOOKUP(AA33,Curr!$B$2:$C$13,2,FALSE),0)</f>
        <v>11.2</v>
      </c>
      <c r="AC33" s="12">
        <f t="shared" si="5"/>
        <v>0</v>
      </c>
      <c r="AD33" s="12">
        <f t="shared" si="6"/>
        <v>0</v>
      </c>
      <c r="AE33" s="13">
        <f t="shared" si="7"/>
        <v>0</v>
      </c>
    </row>
    <row r="34" spans="2:31" x14ac:dyDescent="0.25">
      <c r="B34" s="4"/>
      <c r="E34" s="3"/>
      <c r="F34" s="3"/>
      <c r="G34" s="24"/>
      <c r="H34" s="24"/>
      <c r="K34" s="4"/>
      <c r="L34" s="4"/>
      <c r="M34" s="4"/>
      <c r="N34" s="4"/>
      <c r="O34" s="4"/>
      <c r="P34" s="33"/>
      <c r="Q34" s="25">
        <v>0</v>
      </c>
      <c r="R34" s="25">
        <v>0</v>
      </c>
      <c r="S34" s="12">
        <f t="shared" si="0"/>
        <v>0</v>
      </c>
      <c r="T34" s="5">
        <v>0</v>
      </c>
      <c r="U34" s="12">
        <f t="shared" si="1"/>
        <v>0</v>
      </c>
      <c r="V34" s="25" t="s">
        <v>10</v>
      </c>
      <c r="W34" s="11">
        <f>IFERROR(VLOOKUP(V34,Curr!$B$2:$C$13,2,FALSE),0)</f>
        <v>11.2</v>
      </c>
      <c r="X34" s="12">
        <f t="shared" si="2"/>
        <v>0</v>
      </c>
      <c r="Y34" s="26">
        <f t="shared" si="3"/>
        <v>0</v>
      </c>
      <c r="Z34" s="12">
        <f t="shared" si="4"/>
        <v>0</v>
      </c>
      <c r="AA34" s="4" t="s">
        <v>10</v>
      </c>
      <c r="AB34" s="11">
        <f>IFERROR(VLOOKUP(AA34,Curr!$B$2:$C$13,2,FALSE),0)</f>
        <v>11.2</v>
      </c>
      <c r="AC34" s="12">
        <f t="shared" si="5"/>
        <v>0</v>
      </c>
      <c r="AD34" s="12">
        <f t="shared" si="6"/>
        <v>0</v>
      </c>
      <c r="AE34" s="13">
        <f t="shared" si="7"/>
        <v>0</v>
      </c>
    </row>
    <row r="35" spans="2:31" x14ac:dyDescent="0.25">
      <c r="B35" s="4"/>
      <c r="E35" s="3"/>
      <c r="F35" s="3"/>
      <c r="G35" s="24"/>
      <c r="H35" s="24"/>
      <c r="K35" s="4"/>
      <c r="L35" s="4"/>
      <c r="M35" s="4"/>
      <c r="N35" s="4"/>
      <c r="O35" s="4"/>
      <c r="P35" s="33"/>
      <c r="Q35" s="25">
        <v>0</v>
      </c>
      <c r="R35" s="25">
        <v>0</v>
      </c>
      <c r="S35" s="12">
        <f t="shared" si="0"/>
        <v>0</v>
      </c>
      <c r="T35" s="5">
        <v>0</v>
      </c>
      <c r="U35" s="12">
        <f t="shared" si="1"/>
        <v>0</v>
      </c>
      <c r="V35" s="25" t="s">
        <v>10</v>
      </c>
      <c r="W35" s="11">
        <f>IFERROR(VLOOKUP(V35,Curr!$B$2:$C$13,2,FALSE),0)</f>
        <v>11.2</v>
      </c>
      <c r="X35" s="12">
        <f t="shared" si="2"/>
        <v>0</v>
      </c>
      <c r="Y35" s="26">
        <f t="shared" si="3"/>
        <v>0</v>
      </c>
      <c r="Z35" s="12">
        <f t="shared" si="4"/>
        <v>0</v>
      </c>
      <c r="AA35" s="4" t="s">
        <v>10</v>
      </c>
      <c r="AB35" s="11">
        <f>IFERROR(VLOOKUP(AA35,Curr!$B$2:$C$13,2,FALSE),0)</f>
        <v>11.2</v>
      </c>
      <c r="AC35" s="12">
        <f t="shared" si="5"/>
        <v>0</v>
      </c>
      <c r="AD35" s="12">
        <f t="shared" si="6"/>
        <v>0</v>
      </c>
      <c r="AE35" s="13">
        <f t="shared" si="7"/>
        <v>0</v>
      </c>
    </row>
    <row r="36" spans="2:31" x14ac:dyDescent="0.25">
      <c r="B36" s="4"/>
      <c r="E36" s="3"/>
      <c r="F36" s="3"/>
      <c r="G36" s="24"/>
      <c r="H36" s="24"/>
      <c r="K36" s="4"/>
      <c r="L36" s="4"/>
      <c r="M36" s="4"/>
      <c r="N36" s="4"/>
      <c r="O36" s="4"/>
      <c r="P36" s="33"/>
      <c r="Q36" s="25">
        <v>0</v>
      </c>
      <c r="R36" s="25">
        <v>0</v>
      </c>
      <c r="S36" s="12">
        <f t="shared" si="0"/>
        <v>0</v>
      </c>
      <c r="T36" s="5">
        <v>0</v>
      </c>
      <c r="U36" s="12">
        <f t="shared" si="1"/>
        <v>0</v>
      </c>
      <c r="V36" s="25" t="s">
        <v>10</v>
      </c>
      <c r="W36" s="11">
        <f>IFERROR(VLOOKUP(V36,Curr!$B$2:$C$13,2,FALSE),0)</f>
        <v>11.2</v>
      </c>
      <c r="X36" s="12">
        <f t="shared" si="2"/>
        <v>0</v>
      </c>
      <c r="Y36" s="26">
        <f t="shared" si="3"/>
        <v>0</v>
      </c>
      <c r="Z36" s="12">
        <f t="shared" si="4"/>
        <v>0</v>
      </c>
      <c r="AA36" s="4" t="s">
        <v>10</v>
      </c>
      <c r="AB36" s="11">
        <f>IFERROR(VLOOKUP(AA36,Curr!$B$2:$C$13,2,FALSE),0)</f>
        <v>11.2</v>
      </c>
      <c r="AC36" s="12">
        <f t="shared" si="5"/>
        <v>0</v>
      </c>
      <c r="AD36" s="12">
        <f t="shared" si="6"/>
        <v>0</v>
      </c>
      <c r="AE36" s="13">
        <f t="shared" si="7"/>
        <v>0</v>
      </c>
    </row>
    <row r="37" spans="2:31" x14ac:dyDescent="0.25">
      <c r="B37" s="4"/>
      <c r="E37" s="3"/>
      <c r="F37" s="3"/>
      <c r="G37" s="24"/>
      <c r="H37" s="24"/>
      <c r="K37" s="4"/>
      <c r="L37" s="4"/>
      <c r="M37" s="4"/>
      <c r="N37" s="4"/>
      <c r="O37" s="4"/>
      <c r="P37" s="33"/>
      <c r="Q37" s="25">
        <v>0</v>
      </c>
      <c r="R37" s="25">
        <v>0</v>
      </c>
      <c r="S37" s="12">
        <f t="shared" si="0"/>
        <v>0</v>
      </c>
      <c r="T37" s="5">
        <v>0</v>
      </c>
      <c r="U37" s="12">
        <f t="shared" si="1"/>
        <v>0</v>
      </c>
      <c r="V37" s="25" t="s">
        <v>10</v>
      </c>
      <c r="W37" s="11">
        <f>IFERROR(VLOOKUP(V37,Curr!$B$2:$C$13,2,FALSE),0)</f>
        <v>11.2</v>
      </c>
      <c r="X37" s="12">
        <f t="shared" si="2"/>
        <v>0</v>
      </c>
      <c r="Y37" s="26">
        <f t="shared" si="3"/>
        <v>0</v>
      </c>
      <c r="Z37" s="12">
        <f t="shared" si="4"/>
        <v>0</v>
      </c>
      <c r="AA37" s="4" t="s">
        <v>10</v>
      </c>
      <c r="AB37" s="11">
        <f>IFERROR(VLOOKUP(AA37,Curr!$B$2:$C$13,2,FALSE),0)</f>
        <v>11.2</v>
      </c>
      <c r="AC37" s="12">
        <f t="shared" si="5"/>
        <v>0</v>
      </c>
      <c r="AD37" s="12">
        <f t="shared" si="6"/>
        <v>0</v>
      </c>
      <c r="AE37" s="13">
        <f t="shared" si="7"/>
        <v>0</v>
      </c>
    </row>
    <row r="38" spans="2:31" x14ac:dyDescent="0.25">
      <c r="B38" s="4"/>
      <c r="E38" s="3"/>
      <c r="F38" s="3"/>
      <c r="G38" s="24"/>
      <c r="H38" s="24"/>
      <c r="K38" s="4"/>
      <c r="L38" s="4"/>
      <c r="M38" s="4"/>
      <c r="N38" s="4"/>
      <c r="O38" s="4"/>
      <c r="P38" s="27"/>
      <c r="Q38" s="25">
        <v>0</v>
      </c>
      <c r="R38" s="25">
        <v>0</v>
      </c>
      <c r="S38" s="12">
        <f t="shared" si="0"/>
        <v>0</v>
      </c>
      <c r="T38" s="5">
        <v>0</v>
      </c>
      <c r="U38" s="12">
        <f t="shared" si="1"/>
        <v>0</v>
      </c>
      <c r="V38" s="25" t="s">
        <v>10</v>
      </c>
      <c r="W38" s="11">
        <f>IFERROR(VLOOKUP(V38,Curr!$B$2:$C$13,2,FALSE),0)</f>
        <v>11.2</v>
      </c>
      <c r="X38" s="12">
        <f t="shared" si="2"/>
        <v>0</v>
      </c>
      <c r="Y38" s="26">
        <f t="shared" si="3"/>
        <v>0</v>
      </c>
      <c r="Z38" s="12">
        <f t="shared" si="4"/>
        <v>0</v>
      </c>
      <c r="AA38" s="4" t="s">
        <v>10</v>
      </c>
      <c r="AB38" s="11">
        <f>IFERROR(VLOOKUP(AA38,Curr!$B$2:$C$13,2,FALSE),0)</f>
        <v>11.2</v>
      </c>
      <c r="AC38" s="12">
        <f t="shared" si="5"/>
        <v>0</v>
      </c>
      <c r="AD38" s="12">
        <f t="shared" si="6"/>
        <v>0</v>
      </c>
      <c r="AE38" s="13">
        <f t="shared" si="7"/>
        <v>0</v>
      </c>
    </row>
    <row r="39" spans="2:31" x14ac:dyDescent="0.25">
      <c r="B39" s="4"/>
      <c r="E39" s="3"/>
      <c r="F39" s="3"/>
      <c r="G39" s="24"/>
      <c r="H39" s="24"/>
      <c r="K39" s="4"/>
      <c r="L39" s="4"/>
      <c r="M39" s="4"/>
      <c r="N39" s="4"/>
      <c r="O39" s="4"/>
      <c r="P39" s="33"/>
      <c r="Q39" s="25">
        <v>0</v>
      </c>
      <c r="R39" s="25">
        <v>0</v>
      </c>
      <c r="S39" s="12">
        <f t="shared" si="0"/>
        <v>0</v>
      </c>
      <c r="T39" s="5">
        <v>0</v>
      </c>
      <c r="U39" s="12">
        <f t="shared" si="1"/>
        <v>0</v>
      </c>
      <c r="V39" s="25" t="s">
        <v>10</v>
      </c>
      <c r="W39" s="11">
        <f>IFERROR(VLOOKUP(V39,Curr!$B$2:$C$13,2,FALSE),0)</f>
        <v>11.2</v>
      </c>
      <c r="X39" s="12">
        <f t="shared" si="2"/>
        <v>0</v>
      </c>
      <c r="Y39" s="26">
        <f t="shared" si="3"/>
        <v>0</v>
      </c>
      <c r="Z39" s="12">
        <f t="shared" si="4"/>
        <v>0</v>
      </c>
      <c r="AA39" s="4" t="s">
        <v>10</v>
      </c>
      <c r="AB39" s="11">
        <f>IFERROR(VLOOKUP(AA39,Curr!$B$2:$C$13,2,FALSE),0)</f>
        <v>11.2</v>
      </c>
      <c r="AC39" s="12">
        <f t="shared" si="5"/>
        <v>0</v>
      </c>
      <c r="AD39" s="12">
        <f t="shared" si="6"/>
        <v>0</v>
      </c>
      <c r="AE39" s="13">
        <f t="shared" si="7"/>
        <v>0</v>
      </c>
    </row>
    <row r="40" spans="2:31" x14ac:dyDescent="0.25">
      <c r="B40" s="4"/>
      <c r="E40" s="3"/>
      <c r="F40" s="3"/>
      <c r="G40" s="24"/>
      <c r="H40" s="24"/>
      <c r="K40" s="4"/>
      <c r="L40" s="4"/>
      <c r="M40" s="4"/>
      <c r="N40" s="4"/>
      <c r="O40" s="4"/>
      <c r="P40" s="33"/>
      <c r="Q40" s="25">
        <v>0</v>
      </c>
      <c r="R40" s="25">
        <v>0</v>
      </c>
      <c r="S40" s="12">
        <f t="shared" si="0"/>
        <v>0</v>
      </c>
      <c r="T40" s="5">
        <v>0</v>
      </c>
      <c r="U40" s="12">
        <f t="shared" si="1"/>
        <v>0</v>
      </c>
      <c r="V40" s="25" t="s">
        <v>10</v>
      </c>
      <c r="W40" s="11">
        <f>IFERROR(VLOOKUP(V40,Curr!$B$2:$C$13,2,FALSE),0)</f>
        <v>11.2</v>
      </c>
      <c r="X40" s="12">
        <f t="shared" si="2"/>
        <v>0</v>
      </c>
      <c r="Y40" s="26">
        <f t="shared" si="3"/>
        <v>0</v>
      </c>
      <c r="Z40" s="12">
        <f t="shared" si="4"/>
        <v>0</v>
      </c>
      <c r="AA40" s="4" t="s">
        <v>10</v>
      </c>
      <c r="AB40" s="11">
        <f>IFERROR(VLOOKUP(AA40,Curr!$B$2:$C$13,2,FALSE),0)</f>
        <v>11.2</v>
      </c>
      <c r="AC40" s="12">
        <f t="shared" si="5"/>
        <v>0</v>
      </c>
      <c r="AD40" s="12">
        <f t="shared" si="6"/>
        <v>0</v>
      </c>
      <c r="AE40" s="13">
        <f t="shared" si="7"/>
        <v>0</v>
      </c>
    </row>
    <row r="41" spans="2:31" x14ac:dyDescent="0.25">
      <c r="B41" s="4"/>
      <c r="E41" s="3"/>
      <c r="F41" s="3"/>
      <c r="G41" s="24"/>
      <c r="H41" s="24"/>
      <c r="K41" s="4"/>
      <c r="L41" s="4"/>
      <c r="M41" s="4"/>
      <c r="N41" s="4"/>
      <c r="O41" s="4"/>
      <c r="P41" s="27"/>
      <c r="Q41" s="25">
        <v>0</v>
      </c>
      <c r="R41" s="25">
        <v>0</v>
      </c>
      <c r="S41" s="12">
        <f t="shared" si="0"/>
        <v>0</v>
      </c>
      <c r="T41" s="5">
        <v>0</v>
      </c>
      <c r="U41" s="12">
        <f t="shared" si="1"/>
        <v>0</v>
      </c>
      <c r="V41" s="25" t="s">
        <v>10</v>
      </c>
      <c r="W41" s="11">
        <f>IFERROR(VLOOKUP(V41,Curr!$B$2:$C$13,2,FALSE),0)</f>
        <v>11.2</v>
      </c>
      <c r="X41" s="12">
        <f t="shared" si="2"/>
        <v>0</v>
      </c>
      <c r="Y41" s="26">
        <f t="shared" si="3"/>
        <v>0</v>
      </c>
      <c r="Z41" s="12">
        <f t="shared" si="4"/>
        <v>0</v>
      </c>
      <c r="AA41" s="4" t="s">
        <v>10</v>
      </c>
      <c r="AB41" s="11">
        <f>IFERROR(VLOOKUP(AA41,Curr!$B$2:$C$13,2,FALSE),0)</f>
        <v>11.2</v>
      </c>
      <c r="AC41" s="12">
        <f t="shared" si="5"/>
        <v>0</v>
      </c>
      <c r="AD41" s="12">
        <f t="shared" si="6"/>
        <v>0</v>
      </c>
      <c r="AE41" s="13">
        <f t="shared" si="7"/>
        <v>0</v>
      </c>
    </row>
    <row r="42" spans="2:31" x14ac:dyDescent="0.25">
      <c r="B42" s="4"/>
      <c r="E42" s="3"/>
      <c r="F42" s="3"/>
      <c r="G42" s="24"/>
      <c r="H42" s="24"/>
      <c r="K42" s="4"/>
      <c r="L42" s="4"/>
      <c r="M42" s="4"/>
      <c r="N42" s="4"/>
      <c r="O42" s="4"/>
      <c r="P42" s="27"/>
      <c r="Q42" s="25">
        <v>0</v>
      </c>
      <c r="R42" s="25">
        <v>0</v>
      </c>
      <c r="S42" s="12">
        <f t="shared" si="0"/>
        <v>0</v>
      </c>
      <c r="T42" s="5">
        <v>0</v>
      </c>
      <c r="U42" s="12">
        <f t="shared" si="1"/>
        <v>0</v>
      </c>
      <c r="V42" s="25" t="s">
        <v>10</v>
      </c>
      <c r="W42" s="11">
        <f>IFERROR(VLOOKUP(V42,Curr!$B$2:$C$13,2,FALSE),0)</f>
        <v>11.2</v>
      </c>
      <c r="X42" s="12">
        <f t="shared" si="2"/>
        <v>0</v>
      </c>
      <c r="Y42" s="26">
        <f t="shared" si="3"/>
        <v>0</v>
      </c>
      <c r="Z42" s="12">
        <f t="shared" si="4"/>
        <v>0</v>
      </c>
      <c r="AA42" s="4" t="s">
        <v>10</v>
      </c>
      <c r="AB42" s="11">
        <f>IFERROR(VLOOKUP(AA42,Curr!$B$2:$C$13,2,FALSE),0)</f>
        <v>11.2</v>
      </c>
      <c r="AC42" s="12">
        <f t="shared" si="5"/>
        <v>0</v>
      </c>
      <c r="AD42" s="12">
        <f t="shared" si="6"/>
        <v>0</v>
      </c>
      <c r="AE42" s="13">
        <f t="shared" si="7"/>
        <v>0</v>
      </c>
    </row>
    <row r="43" spans="2:31" x14ac:dyDescent="0.25">
      <c r="B43" s="4"/>
      <c r="E43" s="3"/>
      <c r="F43" s="3"/>
      <c r="G43" s="24"/>
      <c r="H43" s="24"/>
      <c r="K43" s="4"/>
      <c r="L43" s="4"/>
      <c r="M43" s="4"/>
      <c r="N43" s="4"/>
      <c r="O43" s="4"/>
      <c r="P43" s="27"/>
      <c r="Q43" s="25">
        <v>0</v>
      </c>
      <c r="R43" s="25">
        <v>0</v>
      </c>
      <c r="S43" s="12">
        <f t="shared" si="0"/>
        <v>0</v>
      </c>
      <c r="T43" s="5">
        <v>0</v>
      </c>
      <c r="U43" s="12">
        <f t="shared" si="1"/>
        <v>0</v>
      </c>
      <c r="V43" s="25" t="s">
        <v>10</v>
      </c>
      <c r="W43" s="11">
        <f>IFERROR(VLOOKUP(V43,Curr!$B$2:$C$13,2,FALSE),0)</f>
        <v>11.2</v>
      </c>
      <c r="X43" s="12">
        <f t="shared" si="2"/>
        <v>0</v>
      </c>
      <c r="Y43" s="26">
        <f t="shared" si="3"/>
        <v>0</v>
      </c>
      <c r="Z43" s="12">
        <f t="shared" si="4"/>
        <v>0</v>
      </c>
      <c r="AA43" s="4" t="s">
        <v>10</v>
      </c>
      <c r="AB43" s="11">
        <f>IFERROR(VLOOKUP(AA43,Curr!$B$2:$C$13,2,FALSE),0)</f>
        <v>11.2</v>
      </c>
      <c r="AC43" s="12">
        <f t="shared" si="5"/>
        <v>0</v>
      </c>
      <c r="AD43" s="12">
        <f t="shared" si="6"/>
        <v>0</v>
      </c>
      <c r="AE43" s="13">
        <f t="shared" si="7"/>
        <v>0</v>
      </c>
    </row>
    <row r="44" spans="2:31" x14ac:dyDescent="0.25">
      <c r="B44" s="4"/>
      <c r="E44" s="3"/>
      <c r="F44" s="3"/>
      <c r="G44" s="24"/>
      <c r="H44" s="24"/>
      <c r="K44" s="4"/>
      <c r="L44" s="4"/>
      <c r="M44" s="4"/>
      <c r="N44" s="4"/>
      <c r="O44" s="4"/>
      <c r="P44" s="33"/>
      <c r="Q44" s="25">
        <v>0</v>
      </c>
      <c r="R44" s="25">
        <v>0</v>
      </c>
      <c r="S44" s="12">
        <f t="shared" si="0"/>
        <v>0</v>
      </c>
      <c r="T44" s="5">
        <v>0</v>
      </c>
      <c r="U44" s="12">
        <f t="shared" si="1"/>
        <v>0</v>
      </c>
      <c r="V44" s="25" t="s">
        <v>10</v>
      </c>
      <c r="W44" s="11">
        <f>IFERROR(VLOOKUP(V44,Curr!$B$2:$C$13,2,FALSE),0)</f>
        <v>11.2</v>
      </c>
      <c r="X44" s="12">
        <f t="shared" si="2"/>
        <v>0</v>
      </c>
      <c r="Y44" s="26">
        <f t="shared" si="3"/>
        <v>0</v>
      </c>
      <c r="Z44" s="12">
        <f t="shared" si="4"/>
        <v>0</v>
      </c>
      <c r="AA44" s="4" t="s">
        <v>10</v>
      </c>
      <c r="AB44" s="11">
        <f>IFERROR(VLOOKUP(AA44,Curr!$B$2:$C$13,2,FALSE),0)</f>
        <v>11.2</v>
      </c>
      <c r="AC44" s="12">
        <f t="shared" si="5"/>
        <v>0</v>
      </c>
      <c r="AD44" s="12">
        <f t="shared" si="6"/>
        <v>0</v>
      </c>
      <c r="AE44" s="13">
        <f t="shared" si="7"/>
        <v>0</v>
      </c>
    </row>
    <row r="45" spans="2:31" x14ac:dyDescent="0.25">
      <c r="B45" s="4"/>
      <c r="E45" s="3"/>
      <c r="F45" s="3"/>
      <c r="G45" s="24"/>
      <c r="H45" s="24"/>
      <c r="K45" s="4"/>
      <c r="L45" s="4"/>
      <c r="M45" s="4"/>
      <c r="N45" s="4"/>
      <c r="O45" s="4"/>
      <c r="P45" s="27"/>
      <c r="Q45" s="25">
        <v>0</v>
      </c>
      <c r="R45" s="25">
        <v>0</v>
      </c>
      <c r="S45" s="12">
        <f t="shared" si="0"/>
        <v>0</v>
      </c>
      <c r="T45" s="5">
        <v>0</v>
      </c>
      <c r="U45" s="12">
        <f t="shared" si="1"/>
        <v>0</v>
      </c>
      <c r="V45" s="25" t="s">
        <v>10</v>
      </c>
      <c r="W45" s="11">
        <f>IFERROR(VLOOKUP(V45,Curr!$B$2:$C$13,2,FALSE),0)</f>
        <v>11.2</v>
      </c>
      <c r="X45" s="12">
        <f t="shared" si="2"/>
        <v>0</v>
      </c>
      <c r="Y45" s="26">
        <f t="shared" si="3"/>
        <v>0</v>
      </c>
      <c r="Z45" s="12">
        <f t="shared" si="4"/>
        <v>0</v>
      </c>
      <c r="AA45" s="4" t="s">
        <v>10</v>
      </c>
      <c r="AB45" s="11">
        <f>IFERROR(VLOOKUP(AA45,Curr!$B$2:$C$13,2,FALSE),0)</f>
        <v>11.2</v>
      </c>
      <c r="AC45" s="12">
        <f t="shared" si="5"/>
        <v>0</v>
      </c>
      <c r="AD45" s="12">
        <f t="shared" si="6"/>
        <v>0</v>
      </c>
      <c r="AE45" s="13">
        <f t="shared" si="7"/>
        <v>0</v>
      </c>
    </row>
    <row r="46" spans="2:31" x14ac:dyDescent="0.25">
      <c r="B46" s="4"/>
      <c r="E46" s="3"/>
      <c r="F46" s="3"/>
      <c r="G46" s="24"/>
      <c r="H46" s="24"/>
      <c r="K46" s="4"/>
      <c r="L46" s="4"/>
      <c r="M46" s="4"/>
      <c r="N46" s="4"/>
      <c r="O46" s="4"/>
      <c r="P46" s="27"/>
      <c r="Q46" s="25">
        <v>0</v>
      </c>
      <c r="R46" s="25">
        <v>0</v>
      </c>
      <c r="S46" s="12">
        <f t="shared" si="0"/>
        <v>0</v>
      </c>
      <c r="T46" s="5">
        <v>0</v>
      </c>
      <c r="U46" s="12">
        <f t="shared" si="1"/>
        <v>0</v>
      </c>
      <c r="V46" s="25" t="s">
        <v>10</v>
      </c>
      <c r="W46" s="11">
        <f>IFERROR(VLOOKUP(V46,Curr!$B$2:$C$13,2,FALSE),0)</f>
        <v>11.2</v>
      </c>
      <c r="X46" s="12">
        <f t="shared" si="2"/>
        <v>0</v>
      </c>
      <c r="Y46" s="26">
        <f t="shared" si="3"/>
        <v>0</v>
      </c>
      <c r="Z46" s="12">
        <f t="shared" si="4"/>
        <v>0</v>
      </c>
      <c r="AA46" s="4" t="s">
        <v>10</v>
      </c>
      <c r="AB46" s="11">
        <f>IFERROR(VLOOKUP(AA46,Curr!$B$2:$C$13,2,FALSE),0)</f>
        <v>11.2</v>
      </c>
      <c r="AC46" s="12">
        <f t="shared" si="5"/>
        <v>0</v>
      </c>
      <c r="AD46" s="12">
        <f t="shared" si="6"/>
        <v>0</v>
      </c>
      <c r="AE46" s="13">
        <f t="shared" si="7"/>
        <v>0</v>
      </c>
    </row>
    <row r="47" spans="2:31" x14ac:dyDescent="0.25">
      <c r="B47" s="4"/>
      <c r="E47" s="3"/>
      <c r="F47" s="3"/>
      <c r="G47" s="24"/>
      <c r="H47" s="24"/>
      <c r="K47" s="4"/>
      <c r="L47" s="4"/>
      <c r="M47" s="4"/>
      <c r="N47" s="4"/>
      <c r="O47" s="4"/>
      <c r="P47" s="27"/>
      <c r="Q47" s="25">
        <v>0</v>
      </c>
      <c r="R47" s="25">
        <v>0</v>
      </c>
      <c r="S47" s="12">
        <f t="shared" si="0"/>
        <v>0</v>
      </c>
      <c r="T47" s="5">
        <v>0</v>
      </c>
      <c r="U47" s="12">
        <f t="shared" si="1"/>
        <v>0</v>
      </c>
      <c r="V47" s="25" t="s">
        <v>10</v>
      </c>
      <c r="W47" s="11">
        <f>IFERROR(VLOOKUP(V47,Curr!$B$2:$C$13,2,FALSE),0)</f>
        <v>11.2</v>
      </c>
      <c r="X47" s="12">
        <f t="shared" si="2"/>
        <v>0</v>
      </c>
      <c r="Y47" s="26">
        <f t="shared" si="3"/>
        <v>0</v>
      </c>
      <c r="Z47" s="12">
        <f t="shared" si="4"/>
        <v>0</v>
      </c>
      <c r="AA47" s="4" t="s">
        <v>10</v>
      </c>
      <c r="AB47" s="11">
        <f>IFERROR(VLOOKUP(AA47,Curr!$B$2:$C$13,2,FALSE),0)</f>
        <v>11.2</v>
      </c>
      <c r="AC47" s="12">
        <f t="shared" si="5"/>
        <v>0</v>
      </c>
      <c r="AD47" s="12">
        <f t="shared" si="6"/>
        <v>0</v>
      </c>
      <c r="AE47" s="13">
        <f t="shared" si="7"/>
        <v>0</v>
      </c>
    </row>
    <row r="48" spans="2:31" x14ac:dyDescent="0.25">
      <c r="B48" s="4"/>
      <c r="E48" s="3"/>
      <c r="F48" s="3"/>
      <c r="G48" s="24"/>
      <c r="H48" s="24"/>
      <c r="K48" s="4"/>
      <c r="L48" s="4"/>
      <c r="M48" s="4"/>
      <c r="N48" s="4"/>
      <c r="O48" s="4"/>
      <c r="P48" s="33"/>
      <c r="Q48" s="25">
        <v>0</v>
      </c>
      <c r="R48" s="25">
        <v>0</v>
      </c>
      <c r="S48" s="12">
        <f t="shared" si="0"/>
        <v>0</v>
      </c>
      <c r="T48" s="5">
        <v>0</v>
      </c>
      <c r="U48" s="12">
        <f t="shared" si="1"/>
        <v>0</v>
      </c>
      <c r="V48" s="25" t="s">
        <v>10</v>
      </c>
      <c r="W48" s="11">
        <f>IFERROR(VLOOKUP(V48,Curr!$B$2:$C$13,2,FALSE),0)</f>
        <v>11.2</v>
      </c>
      <c r="X48" s="12">
        <f t="shared" si="2"/>
        <v>0</v>
      </c>
      <c r="Y48" s="26">
        <f t="shared" si="3"/>
        <v>0</v>
      </c>
      <c r="Z48" s="12">
        <f t="shared" si="4"/>
        <v>0</v>
      </c>
      <c r="AA48" s="4" t="s">
        <v>10</v>
      </c>
      <c r="AB48" s="11">
        <f>IFERROR(VLOOKUP(AA48,Curr!$B$2:$C$13,2,FALSE),0)</f>
        <v>11.2</v>
      </c>
      <c r="AC48" s="12">
        <f t="shared" si="5"/>
        <v>0</v>
      </c>
      <c r="AD48" s="12">
        <f t="shared" si="6"/>
        <v>0</v>
      </c>
      <c r="AE48" s="13">
        <f t="shared" si="7"/>
        <v>0</v>
      </c>
    </row>
    <row r="49" spans="2:31" x14ac:dyDescent="0.25">
      <c r="B49" s="4"/>
      <c r="E49" s="3"/>
      <c r="F49" s="3"/>
      <c r="G49" s="24"/>
      <c r="H49" s="24"/>
      <c r="K49" s="4"/>
      <c r="L49" s="4"/>
      <c r="M49" s="4"/>
      <c r="N49" s="4"/>
      <c r="O49" s="4"/>
      <c r="P49" s="27"/>
      <c r="Q49" s="25">
        <v>0</v>
      </c>
      <c r="R49" s="25">
        <v>0</v>
      </c>
      <c r="S49" s="12">
        <f t="shared" si="0"/>
        <v>0</v>
      </c>
      <c r="T49" s="5">
        <v>0</v>
      </c>
      <c r="U49" s="12">
        <f t="shared" si="1"/>
        <v>0</v>
      </c>
      <c r="V49" s="25" t="s">
        <v>10</v>
      </c>
      <c r="W49" s="11">
        <f>IFERROR(VLOOKUP(V49,Curr!$B$2:$C$13,2,FALSE),0)</f>
        <v>11.2</v>
      </c>
      <c r="X49" s="12">
        <f t="shared" si="2"/>
        <v>0</v>
      </c>
      <c r="Y49" s="26">
        <f t="shared" si="3"/>
        <v>0</v>
      </c>
      <c r="Z49" s="12">
        <f t="shared" si="4"/>
        <v>0</v>
      </c>
      <c r="AA49" s="4" t="s">
        <v>10</v>
      </c>
      <c r="AB49" s="11">
        <f>IFERROR(VLOOKUP(AA49,Curr!$B$2:$C$13,2,FALSE),0)</f>
        <v>11.2</v>
      </c>
      <c r="AC49" s="12">
        <f t="shared" si="5"/>
        <v>0</v>
      </c>
      <c r="AD49" s="12">
        <f t="shared" si="6"/>
        <v>0</v>
      </c>
      <c r="AE49" s="13">
        <f t="shared" si="7"/>
        <v>0</v>
      </c>
    </row>
    <row r="50" spans="2:31" x14ac:dyDescent="0.25">
      <c r="B50" s="4"/>
      <c r="E50" s="3"/>
      <c r="F50" s="3"/>
      <c r="G50" s="24"/>
      <c r="H50" s="24"/>
      <c r="K50" s="4"/>
      <c r="L50" s="4"/>
      <c r="M50" s="4"/>
      <c r="N50" s="4"/>
      <c r="O50" s="4"/>
      <c r="P50" s="27"/>
      <c r="Q50" s="25">
        <v>0</v>
      </c>
      <c r="R50" s="25">
        <v>0</v>
      </c>
      <c r="S50" s="12">
        <f t="shared" si="0"/>
        <v>0</v>
      </c>
      <c r="T50" s="5">
        <v>0</v>
      </c>
      <c r="U50" s="12">
        <f t="shared" si="1"/>
        <v>0</v>
      </c>
      <c r="V50" s="25" t="s">
        <v>10</v>
      </c>
      <c r="W50" s="11">
        <f>IFERROR(VLOOKUP(V50,Curr!$B$2:$C$13,2,FALSE),0)</f>
        <v>11.2</v>
      </c>
      <c r="X50" s="12">
        <f t="shared" si="2"/>
        <v>0</v>
      </c>
      <c r="Y50" s="26">
        <f t="shared" si="3"/>
        <v>0</v>
      </c>
      <c r="Z50" s="12">
        <f t="shared" si="4"/>
        <v>0</v>
      </c>
      <c r="AA50" s="4" t="s">
        <v>10</v>
      </c>
      <c r="AB50" s="11">
        <f>IFERROR(VLOOKUP(AA50,Curr!$B$2:$C$13,2,FALSE),0)</f>
        <v>11.2</v>
      </c>
      <c r="AC50" s="12">
        <f t="shared" si="5"/>
        <v>0</v>
      </c>
      <c r="AD50" s="12">
        <f t="shared" si="6"/>
        <v>0</v>
      </c>
      <c r="AE50" s="13">
        <f t="shared" si="7"/>
        <v>0</v>
      </c>
    </row>
    <row r="51" spans="2:31" x14ac:dyDescent="0.25">
      <c r="B51" s="4"/>
      <c r="E51" s="3"/>
      <c r="F51" s="3"/>
      <c r="G51" s="24"/>
      <c r="H51" s="24"/>
      <c r="K51" s="4"/>
      <c r="L51" s="4"/>
      <c r="M51" s="4"/>
      <c r="N51" s="4"/>
      <c r="O51" s="4"/>
      <c r="P51" s="27"/>
      <c r="Q51" s="25">
        <v>0</v>
      </c>
      <c r="R51" s="25">
        <v>0</v>
      </c>
      <c r="S51" s="12">
        <f t="shared" si="0"/>
        <v>0</v>
      </c>
      <c r="T51" s="5">
        <v>0</v>
      </c>
      <c r="U51" s="12">
        <f t="shared" si="1"/>
        <v>0</v>
      </c>
      <c r="V51" s="25" t="s">
        <v>10</v>
      </c>
      <c r="W51" s="11">
        <f>IFERROR(VLOOKUP(V51,Curr!$B$2:$C$13,2,FALSE),0)</f>
        <v>11.2</v>
      </c>
      <c r="X51" s="12">
        <f t="shared" si="2"/>
        <v>0</v>
      </c>
      <c r="Y51" s="26">
        <f t="shared" si="3"/>
        <v>0</v>
      </c>
      <c r="Z51" s="12">
        <f t="shared" si="4"/>
        <v>0</v>
      </c>
      <c r="AA51" s="4" t="s">
        <v>10</v>
      </c>
      <c r="AB51" s="11">
        <f>IFERROR(VLOOKUP(AA51,Curr!$B$2:$C$13,2,FALSE),0)</f>
        <v>11.2</v>
      </c>
      <c r="AC51" s="12">
        <f t="shared" si="5"/>
        <v>0</v>
      </c>
      <c r="AD51" s="12">
        <f t="shared" si="6"/>
        <v>0</v>
      </c>
      <c r="AE51" s="13">
        <f t="shared" si="7"/>
        <v>0</v>
      </c>
    </row>
    <row r="52" spans="2:31" x14ac:dyDescent="0.25">
      <c r="B52" s="4"/>
      <c r="E52" s="3"/>
      <c r="F52" s="3"/>
      <c r="G52" s="24"/>
      <c r="H52" s="24"/>
      <c r="K52" s="4"/>
      <c r="L52" s="4"/>
      <c r="M52" s="4"/>
      <c r="N52" s="4"/>
      <c r="O52" s="4"/>
      <c r="P52" s="27"/>
      <c r="Q52" s="25">
        <v>0</v>
      </c>
      <c r="R52" s="25">
        <v>0</v>
      </c>
      <c r="S52" s="12">
        <f t="shared" si="0"/>
        <v>0</v>
      </c>
      <c r="T52" s="5">
        <v>0</v>
      </c>
      <c r="U52" s="12">
        <f t="shared" si="1"/>
        <v>0</v>
      </c>
      <c r="V52" s="25" t="s">
        <v>10</v>
      </c>
      <c r="W52" s="11">
        <f>IFERROR(VLOOKUP(V52,Curr!$B$2:$C$13,2,FALSE),0)</f>
        <v>11.2</v>
      </c>
      <c r="X52" s="12">
        <f t="shared" si="2"/>
        <v>0</v>
      </c>
      <c r="Y52" s="26">
        <f t="shared" si="3"/>
        <v>0</v>
      </c>
      <c r="Z52" s="12">
        <f t="shared" si="4"/>
        <v>0</v>
      </c>
      <c r="AA52" s="4" t="s">
        <v>10</v>
      </c>
      <c r="AB52" s="11">
        <f>IFERROR(VLOOKUP(AA52,Curr!$B$2:$C$13,2,FALSE),0)</f>
        <v>11.2</v>
      </c>
      <c r="AC52" s="12">
        <f t="shared" si="5"/>
        <v>0</v>
      </c>
      <c r="AD52" s="12">
        <f t="shared" si="6"/>
        <v>0</v>
      </c>
      <c r="AE52" s="13">
        <f t="shared" si="7"/>
        <v>0</v>
      </c>
    </row>
    <row r="53" spans="2:31" x14ac:dyDescent="0.25">
      <c r="B53" s="4"/>
      <c r="E53" s="3"/>
      <c r="F53" s="3"/>
      <c r="G53" s="24"/>
      <c r="H53" s="24"/>
      <c r="K53" s="4"/>
      <c r="L53" s="4"/>
      <c r="M53" s="4"/>
      <c r="N53" s="4"/>
      <c r="O53" s="4"/>
      <c r="P53" s="27"/>
      <c r="Q53" s="25">
        <v>0</v>
      </c>
      <c r="R53" s="25">
        <v>0</v>
      </c>
      <c r="S53" s="12">
        <f t="shared" si="0"/>
        <v>0</v>
      </c>
      <c r="T53" s="5">
        <v>0</v>
      </c>
      <c r="U53" s="12">
        <f t="shared" si="1"/>
        <v>0</v>
      </c>
      <c r="V53" s="25" t="s">
        <v>10</v>
      </c>
      <c r="W53" s="11">
        <f>IFERROR(VLOOKUP(V53,Curr!$B$2:$C$13,2,FALSE),0)</f>
        <v>11.2</v>
      </c>
      <c r="X53" s="12">
        <f t="shared" si="2"/>
        <v>0</v>
      </c>
      <c r="Y53" s="26">
        <f t="shared" si="3"/>
        <v>0</v>
      </c>
      <c r="Z53" s="12">
        <f t="shared" si="4"/>
        <v>0</v>
      </c>
      <c r="AA53" s="4" t="s">
        <v>10</v>
      </c>
      <c r="AB53" s="11">
        <f>IFERROR(VLOOKUP(AA53,Curr!$B$2:$C$13,2,FALSE),0)</f>
        <v>11.2</v>
      </c>
      <c r="AC53" s="12">
        <f t="shared" si="5"/>
        <v>0</v>
      </c>
      <c r="AD53" s="12">
        <f t="shared" si="6"/>
        <v>0</v>
      </c>
      <c r="AE53" s="13">
        <f t="shared" si="7"/>
        <v>0</v>
      </c>
    </row>
    <row r="54" spans="2:31" x14ac:dyDescent="0.25">
      <c r="B54" s="4"/>
      <c r="E54" s="3"/>
      <c r="F54" s="3"/>
      <c r="G54" s="24"/>
      <c r="H54" s="24"/>
      <c r="K54" s="4"/>
      <c r="L54" s="4"/>
      <c r="M54" s="4"/>
      <c r="N54" s="4"/>
      <c r="O54" s="4"/>
      <c r="P54" s="27"/>
      <c r="Q54" s="25">
        <v>0</v>
      </c>
      <c r="R54" s="25">
        <v>0</v>
      </c>
      <c r="S54" s="12">
        <f t="shared" si="0"/>
        <v>0</v>
      </c>
      <c r="T54" s="5">
        <v>0</v>
      </c>
      <c r="U54" s="12">
        <f t="shared" si="1"/>
        <v>0</v>
      </c>
      <c r="V54" s="25" t="s">
        <v>10</v>
      </c>
      <c r="W54" s="11">
        <f>IFERROR(VLOOKUP(V54,Curr!$B$2:$C$13,2,FALSE),0)</f>
        <v>11.2</v>
      </c>
      <c r="X54" s="12">
        <f t="shared" si="2"/>
        <v>0</v>
      </c>
      <c r="Y54" s="26">
        <f t="shared" si="3"/>
        <v>0</v>
      </c>
      <c r="Z54" s="12">
        <f t="shared" si="4"/>
        <v>0</v>
      </c>
      <c r="AA54" s="4" t="s">
        <v>10</v>
      </c>
      <c r="AB54" s="11">
        <f>IFERROR(VLOOKUP(AA54,Curr!$B$2:$C$13,2,FALSE),0)</f>
        <v>11.2</v>
      </c>
      <c r="AC54" s="12">
        <f t="shared" si="5"/>
        <v>0</v>
      </c>
      <c r="AD54" s="12">
        <f t="shared" si="6"/>
        <v>0</v>
      </c>
      <c r="AE54" s="13">
        <f t="shared" si="7"/>
        <v>0</v>
      </c>
    </row>
    <row r="55" spans="2:31" x14ac:dyDescent="0.25">
      <c r="B55" s="4"/>
      <c r="E55" s="3"/>
      <c r="F55" s="3"/>
      <c r="G55" s="24"/>
      <c r="H55" s="24"/>
      <c r="K55" s="4"/>
      <c r="L55" s="4"/>
      <c r="M55" s="4"/>
      <c r="N55" s="4"/>
      <c r="O55" s="4"/>
      <c r="P55" s="27"/>
      <c r="Q55" s="25">
        <v>0</v>
      </c>
      <c r="R55" s="25">
        <v>0</v>
      </c>
      <c r="S55" s="12">
        <f t="shared" si="0"/>
        <v>0</v>
      </c>
      <c r="T55" s="5">
        <v>0</v>
      </c>
      <c r="U55" s="12">
        <f t="shared" si="1"/>
        <v>0</v>
      </c>
      <c r="V55" s="25" t="s">
        <v>10</v>
      </c>
      <c r="W55" s="11">
        <f>IFERROR(VLOOKUP(V55,Curr!$B$2:$C$13,2,FALSE),0)</f>
        <v>11.2</v>
      </c>
      <c r="X55" s="12">
        <f t="shared" si="2"/>
        <v>0</v>
      </c>
      <c r="Y55" s="26">
        <f t="shared" si="3"/>
        <v>0</v>
      </c>
      <c r="Z55" s="12">
        <f t="shared" si="4"/>
        <v>0</v>
      </c>
      <c r="AA55" s="4" t="s">
        <v>10</v>
      </c>
      <c r="AB55" s="11">
        <f>IFERROR(VLOOKUP(AA55,Curr!$B$2:$C$13,2,FALSE),0)</f>
        <v>11.2</v>
      </c>
      <c r="AC55" s="12">
        <f t="shared" si="5"/>
        <v>0</v>
      </c>
      <c r="AD55" s="12">
        <f t="shared" si="6"/>
        <v>0</v>
      </c>
      <c r="AE55" s="13">
        <f t="shared" si="7"/>
        <v>0</v>
      </c>
    </row>
    <row r="56" spans="2:31" x14ac:dyDescent="0.25">
      <c r="B56" s="4"/>
      <c r="E56" s="3"/>
      <c r="F56" s="3"/>
      <c r="G56" s="24"/>
      <c r="H56" s="24"/>
      <c r="K56" s="4"/>
      <c r="L56" s="4"/>
      <c r="M56" s="4"/>
      <c r="N56" s="4"/>
      <c r="O56" s="4"/>
      <c r="P56" s="27"/>
      <c r="Q56" s="25">
        <v>0</v>
      </c>
      <c r="R56" s="25">
        <v>0</v>
      </c>
      <c r="S56" s="12">
        <f t="shared" si="0"/>
        <v>0</v>
      </c>
      <c r="T56" s="5">
        <v>0</v>
      </c>
      <c r="U56" s="12">
        <f t="shared" si="1"/>
        <v>0</v>
      </c>
      <c r="V56" s="25" t="s">
        <v>10</v>
      </c>
      <c r="W56" s="11">
        <f>IFERROR(VLOOKUP(V56,Curr!$B$2:$C$13,2,FALSE),0)</f>
        <v>11.2</v>
      </c>
      <c r="X56" s="12">
        <f t="shared" si="2"/>
        <v>0</v>
      </c>
      <c r="Y56" s="26">
        <f t="shared" si="3"/>
        <v>0</v>
      </c>
      <c r="Z56" s="12">
        <f t="shared" si="4"/>
        <v>0</v>
      </c>
      <c r="AA56" s="4" t="s">
        <v>10</v>
      </c>
      <c r="AB56" s="11">
        <f>IFERROR(VLOOKUP(AA56,Curr!$B$2:$C$13,2,FALSE),0)</f>
        <v>11.2</v>
      </c>
      <c r="AC56" s="12">
        <f t="shared" si="5"/>
        <v>0</v>
      </c>
      <c r="AD56" s="12">
        <f t="shared" si="6"/>
        <v>0</v>
      </c>
      <c r="AE56" s="13">
        <f t="shared" si="7"/>
        <v>0</v>
      </c>
    </row>
    <row r="57" spans="2:31" x14ac:dyDescent="0.25">
      <c r="B57" s="4"/>
      <c r="E57" s="3"/>
      <c r="F57" s="3"/>
      <c r="G57" s="24"/>
      <c r="H57" s="24"/>
      <c r="K57" s="4"/>
      <c r="L57" s="4"/>
      <c r="M57" s="4"/>
      <c r="N57" s="4"/>
      <c r="O57" s="4"/>
      <c r="P57" s="27"/>
      <c r="Q57" s="25">
        <v>0</v>
      </c>
      <c r="R57" s="25">
        <v>0</v>
      </c>
      <c r="S57" s="12">
        <f t="shared" si="0"/>
        <v>0</v>
      </c>
      <c r="T57" s="5">
        <v>0</v>
      </c>
      <c r="U57" s="12">
        <f t="shared" si="1"/>
        <v>0</v>
      </c>
      <c r="V57" s="25" t="s">
        <v>10</v>
      </c>
      <c r="W57" s="11">
        <f>IFERROR(VLOOKUP(V57,Curr!$B$2:$C$13,2,FALSE),0)</f>
        <v>11.2</v>
      </c>
      <c r="X57" s="12">
        <f t="shared" si="2"/>
        <v>0</v>
      </c>
      <c r="Y57" s="26">
        <f t="shared" si="3"/>
        <v>0</v>
      </c>
      <c r="Z57" s="12">
        <f t="shared" si="4"/>
        <v>0</v>
      </c>
      <c r="AA57" s="4" t="s">
        <v>10</v>
      </c>
      <c r="AB57" s="11">
        <f>IFERROR(VLOOKUP(AA57,Curr!$B$2:$C$13,2,FALSE),0)</f>
        <v>11.2</v>
      </c>
      <c r="AC57" s="12">
        <f t="shared" si="5"/>
        <v>0</v>
      </c>
      <c r="AD57" s="12">
        <f t="shared" si="6"/>
        <v>0</v>
      </c>
      <c r="AE57" s="13">
        <f t="shared" si="7"/>
        <v>0</v>
      </c>
    </row>
    <row r="58" spans="2:31" x14ac:dyDescent="0.25">
      <c r="B58" s="4"/>
      <c r="E58" s="3"/>
      <c r="F58" s="3"/>
      <c r="G58" s="24"/>
      <c r="H58" s="24"/>
      <c r="K58" s="4"/>
      <c r="L58" s="4"/>
      <c r="M58" s="4"/>
      <c r="N58" s="4"/>
      <c r="O58" s="4"/>
      <c r="P58" s="27"/>
      <c r="Q58" s="25">
        <v>0</v>
      </c>
      <c r="R58" s="25">
        <v>0</v>
      </c>
      <c r="S58" s="12">
        <f t="shared" si="0"/>
        <v>0</v>
      </c>
      <c r="T58" s="5">
        <v>0</v>
      </c>
      <c r="U58" s="12">
        <f t="shared" si="1"/>
        <v>0</v>
      </c>
      <c r="V58" s="25" t="s">
        <v>10</v>
      </c>
      <c r="W58" s="11">
        <f>IFERROR(VLOOKUP(V58,Curr!$B$2:$C$13,2,FALSE),0)</f>
        <v>11.2</v>
      </c>
      <c r="X58" s="12">
        <f t="shared" si="2"/>
        <v>0</v>
      </c>
      <c r="Y58" s="26">
        <f t="shared" si="3"/>
        <v>0</v>
      </c>
      <c r="Z58" s="12">
        <f t="shared" si="4"/>
        <v>0</v>
      </c>
      <c r="AA58" s="4" t="s">
        <v>10</v>
      </c>
      <c r="AB58" s="11">
        <f>IFERROR(VLOOKUP(AA58,Curr!$B$2:$C$13,2,FALSE),0)</f>
        <v>11.2</v>
      </c>
      <c r="AC58" s="12">
        <f t="shared" si="5"/>
        <v>0</v>
      </c>
      <c r="AD58" s="12">
        <f t="shared" si="6"/>
        <v>0</v>
      </c>
      <c r="AE58" s="13">
        <f t="shared" si="7"/>
        <v>0</v>
      </c>
    </row>
    <row r="59" spans="2:31" x14ac:dyDescent="0.25">
      <c r="B59" s="4"/>
      <c r="E59" s="3"/>
      <c r="F59" s="3"/>
      <c r="G59" s="24"/>
      <c r="H59" s="24"/>
      <c r="K59" s="4"/>
      <c r="L59" s="4"/>
      <c r="M59" s="4"/>
      <c r="N59" s="4"/>
      <c r="O59" s="4"/>
      <c r="P59" s="27"/>
      <c r="Q59" s="25">
        <v>0</v>
      </c>
      <c r="R59" s="25">
        <v>0</v>
      </c>
      <c r="S59" s="12">
        <f t="shared" si="0"/>
        <v>0</v>
      </c>
      <c r="T59" s="5">
        <v>0</v>
      </c>
      <c r="U59" s="12">
        <f t="shared" si="1"/>
        <v>0</v>
      </c>
      <c r="V59" s="25" t="s">
        <v>10</v>
      </c>
      <c r="W59" s="11">
        <f>IFERROR(VLOOKUP(V59,Curr!$B$2:$C$13,2,FALSE),0)</f>
        <v>11.2</v>
      </c>
      <c r="X59" s="12">
        <f t="shared" si="2"/>
        <v>0</v>
      </c>
      <c r="Y59" s="26">
        <f t="shared" si="3"/>
        <v>0</v>
      </c>
      <c r="Z59" s="12">
        <f t="shared" si="4"/>
        <v>0</v>
      </c>
      <c r="AA59" s="4" t="s">
        <v>10</v>
      </c>
      <c r="AB59" s="11">
        <f>IFERROR(VLOOKUP(AA59,Curr!$B$2:$C$13,2,FALSE),0)</f>
        <v>11.2</v>
      </c>
      <c r="AC59" s="12">
        <f t="shared" si="5"/>
        <v>0</v>
      </c>
      <c r="AD59" s="12">
        <f t="shared" si="6"/>
        <v>0</v>
      </c>
      <c r="AE59" s="13">
        <f t="shared" si="7"/>
        <v>0</v>
      </c>
    </row>
    <row r="60" spans="2:31" x14ac:dyDescent="0.25">
      <c r="B60" s="4"/>
      <c r="E60" s="3"/>
      <c r="F60" s="3"/>
      <c r="G60" s="24"/>
      <c r="H60" s="24"/>
      <c r="K60" s="4"/>
      <c r="L60" s="4"/>
      <c r="M60" s="4"/>
      <c r="N60" s="4"/>
      <c r="O60" s="4"/>
      <c r="P60" s="27"/>
      <c r="Q60" s="25">
        <v>0</v>
      </c>
      <c r="R60" s="25">
        <v>0</v>
      </c>
      <c r="S60" s="12">
        <f t="shared" si="0"/>
        <v>0</v>
      </c>
      <c r="T60" s="5">
        <v>0</v>
      </c>
      <c r="U60" s="12">
        <f t="shared" si="1"/>
        <v>0</v>
      </c>
      <c r="V60" s="25" t="s">
        <v>10</v>
      </c>
      <c r="W60" s="11">
        <f>IFERROR(VLOOKUP(V60,Curr!$B$2:$C$13,2,FALSE),0)</f>
        <v>11.2</v>
      </c>
      <c r="X60" s="12">
        <f t="shared" si="2"/>
        <v>0</v>
      </c>
      <c r="Y60" s="26">
        <f t="shared" si="3"/>
        <v>0</v>
      </c>
      <c r="Z60" s="12">
        <f t="shared" si="4"/>
        <v>0</v>
      </c>
      <c r="AA60" s="4" t="s">
        <v>10</v>
      </c>
      <c r="AB60" s="11">
        <f>IFERROR(VLOOKUP(AA60,Curr!$B$2:$C$13,2,FALSE),0)</f>
        <v>11.2</v>
      </c>
      <c r="AC60" s="12">
        <f t="shared" si="5"/>
        <v>0</v>
      </c>
      <c r="AD60" s="12">
        <f t="shared" si="6"/>
        <v>0</v>
      </c>
      <c r="AE60" s="13">
        <f t="shared" si="7"/>
        <v>0</v>
      </c>
    </row>
    <row r="61" spans="2:31" x14ac:dyDescent="0.25">
      <c r="B61" s="4"/>
      <c r="E61" s="3"/>
      <c r="F61" s="3"/>
      <c r="G61" s="24"/>
      <c r="H61" s="24"/>
      <c r="K61" s="4"/>
      <c r="L61" s="4"/>
      <c r="M61" s="4"/>
      <c r="N61" s="4"/>
      <c r="O61" s="4"/>
      <c r="P61" s="27"/>
      <c r="Q61" s="25">
        <v>0</v>
      </c>
      <c r="R61" s="25">
        <v>0</v>
      </c>
      <c r="S61" s="12">
        <f t="shared" si="0"/>
        <v>0</v>
      </c>
      <c r="T61" s="5">
        <v>0</v>
      </c>
      <c r="U61" s="12">
        <f t="shared" si="1"/>
        <v>0</v>
      </c>
      <c r="V61" s="25" t="s">
        <v>10</v>
      </c>
      <c r="W61" s="11">
        <f>IFERROR(VLOOKUP(V61,Curr!$B$2:$C$13,2,FALSE),0)</f>
        <v>11.2</v>
      </c>
      <c r="X61" s="12">
        <f t="shared" si="2"/>
        <v>0</v>
      </c>
      <c r="Y61" s="26">
        <f t="shared" si="3"/>
        <v>0</v>
      </c>
      <c r="Z61" s="12">
        <f t="shared" si="4"/>
        <v>0</v>
      </c>
      <c r="AA61" s="4" t="s">
        <v>10</v>
      </c>
      <c r="AB61" s="11">
        <f>IFERROR(VLOOKUP(AA61,Curr!$B$2:$C$13,2,FALSE),0)</f>
        <v>11.2</v>
      </c>
      <c r="AC61" s="12">
        <f t="shared" si="5"/>
        <v>0</v>
      </c>
      <c r="AD61" s="12">
        <f t="shared" si="6"/>
        <v>0</v>
      </c>
      <c r="AE61" s="13">
        <f t="shared" si="7"/>
        <v>0</v>
      </c>
    </row>
    <row r="62" spans="2:31" x14ac:dyDescent="0.25">
      <c r="B62" s="4"/>
      <c r="E62" s="3"/>
      <c r="F62" s="3"/>
      <c r="G62" s="24"/>
      <c r="H62" s="24"/>
      <c r="K62" s="4"/>
      <c r="L62" s="4"/>
      <c r="M62" s="4"/>
      <c r="N62" s="4"/>
      <c r="O62" s="4"/>
      <c r="P62" s="27"/>
      <c r="Q62" s="25">
        <v>0</v>
      </c>
      <c r="R62" s="25">
        <v>0</v>
      </c>
      <c r="S62" s="12">
        <f t="shared" si="0"/>
        <v>0</v>
      </c>
      <c r="T62" s="5">
        <v>0</v>
      </c>
      <c r="U62" s="12">
        <f t="shared" si="1"/>
        <v>0</v>
      </c>
      <c r="V62" s="25" t="s">
        <v>10</v>
      </c>
      <c r="W62" s="11">
        <f>IFERROR(VLOOKUP(V62,Curr!$B$2:$C$13,2,FALSE),0)</f>
        <v>11.2</v>
      </c>
      <c r="X62" s="12">
        <f t="shared" si="2"/>
        <v>0</v>
      </c>
      <c r="Y62" s="26">
        <f t="shared" si="3"/>
        <v>0</v>
      </c>
      <c r="Z62" s="12">
        <f t="shared" si="4"/>
        <v>0</v>
      </c>
      <c r="AA62" s="4" t="s">
        <v>10</v>
      </c>
      <c r="AB62" s="11">
        <f>IFERROR(VLOOKUP(AA62,Curr!$B$2:$C$13,2,FALSE),0)</f>
        <v>11.2</v>
      </c>
      <c r="AC62" s="12">
        <f t="shared" si="5"/>
        <v>0</v>
      </c>
      <c r="AD62" s="12">
        <f t="shared" si="6"/>
        <v>0</v>
      </c>
      <c r="AE62" s="13">
        <f t="shared" si="7"/>
        <v>0</v>
      </c>
    </row>
    <row r="63" spans="2:31" x14ac:dyDescent="0.25">
      <c r="B63" s="4"/>
      <c r="E63" s="3"/>
      <c r="F63" s="3"/>
      <c r="G63" s="24"/>
      <c r="H63" s="24"/>
      <c r="K63" s="4"/>
      <c r="L63" s="4"/>
      <c r="M63" s="4"/>
      <c r="N63" s="4"/>
      <c r="O63" s="4"/>
      <c r="P63" s="27"/>
      <c r="Q63" s="25">
        <v>0</v>
      </c>
      <c r="R63" s="25">
        <v>0</v>
      </c>
      <c r="S63" s="12">
        <f t="shared" si="0"/>
        <v>0</v>
      </c>
      <c r="T63" s="5">
        <v>0</v>
      </c>
      <c r="U63" s="12">
        <f t="shared" si="1"/>
        <v>0</v>
      </c>
      <c r="V63" s="25" t="s">
        <v>10</v>
      </c>
      <c r="W63" s="11">
        <f>IFERROR(VLOOKUP(V63,Curr!$B$2:$C$13,2,FALSE),0)</f>
        <v>11.2</v>
      </c>
      <c r="X63" s="12">
        <f t="shared" si="2"/>
        <v>0</v>
      </c>
      <c r="Y63" s="26">
        <f t="shared" si="3"/>
        <v>0</v>
      </c>
      <c r="Z63" s="12">
        <f t="shared" si="4"/>
        <v>0</v>
      </c>
      <c r="AA63" s="4" t="s">
        <v>10</v>
      </c>
      <c r="AB63" s="11">
        <f>IFERROR(VLOOKUP(AA63,Curr!$B$2:$C$13,2,FALSE),0)</f>
        <v>11.2</v>
      </c>
      <c r="AC63" s="12">
        <f t="shared" si="5"/>
        <v>0</v>
      </c>
      <c r="AD63" s="12">
        <f t="shared" si="6"/>
        <v>0</v>
      </c>
      <c r="AE63" s="13">
        <f t="shared" si="7"/>
        <v>0</v>
      </c>
    </row>
    <row r="64" spans="2:31" x14ac:dyDescent="0.25">
      <c r="B64" s="4"/>
      <c r="E64" s="3"/>
      <c r="F64" s="3"/>
      <c r="G64" s="24"/>
      <c r="H64" s="24"/>
      <c r="K64" s="4"/>
      <c r="L64" s="4"/>
      <c r="M64" s="4"/>
      <c r="N64" s="4"/>
      <c r="O64" s="4"/>
      <c r="P64" s="27"/>
      <c r="Q64" s="25">
        <v>0</v>
      </c>
      <c r="R64" s="25">
        <v>0</v>
      </c>
      <c r="S64" s="12">
        <f t="shared" si="0"/>
        <v>0</v>
      </c>
      <c r="T64" s="5">
        <v>0</v>
      </c>
      <c r="U64" s="12">
        <f t="shared" si="1"/>
        <v>0</v>
      </c>
      <c r="V64" s="25" t="s">
        <v>10</v>
      </c>
      <c r="W64" s="11">
        <f>IFERROR(VLOOKUP(V64,Curr!$B$2:$C$13,2,FALSE),0)</f>
        <v>11.2</v>
      </c>
      <c r="X64" s="12">
        <f t="shared" si="2"/>
        <v>0</v>
      </c>
      <c r="Y64" s="26">
        <f t="shared" si="3"/>
        <v>0</v>
      </c>
      <c r="Z64" s="12">
        <f t="shared" si="4"/>
        <v>0</v>
      </c>
      <c r="AA64" s="4" t="s">
        <v>10</v>
      </c>
      <c r="AB64" s="11">
        <f>IFERROR(VLOOKUP(AA64,Curr!$B$2:$C$13,2,FALSE),0)</f>
        <v>11.2</v>
      </c>
      <c r="AC64" s="12">
        <f t="shared" si="5"/>
        <v>0</v>
      </c>
      <c r="AD64" s="12">
        <f t="shared" si="6"/>
        <v>0</v>
      </c>
      <c r="AE64" s="13">
        <f t="shared" si="7"/>
        <v>0</v>
      </c>
    </row>
    <row r="65" spans="2:31" x14ac:dyDescent="0.25">
      <c r="B65" s="4"/>
      <c r="E65" s="3"/>
      <c r="F65" s="3"/>
      <c r="G65" s="24"/>
      <c r="H65" s="24"/>
      <c r="K65" s="4"/>
      <c r="L65" s="4"/>
      <c r="M65" s="4"/>
      <c r="N65" s="4"/>
      <c r="O65" s="4"/>
      <c r="P65" s="27"/>
      <c r="Q65" s="25">
        <v>0</v>
      </c>
      <c r="R65" s="25">
        <v>0</v>
      </c>
      <c r="S65" s="12">
        <f t="shared" si="0"/>
        <v>0</v>
      </c>
      <c r="T65" s="5">
        <v>0</v>
      </c>
      <c r="U65" s="12">
        <f t="shared" si="1"/>
        <v>0</v>
      </c>
      <c r="V65" s="25" t="s">
        <v>10</v>
      </c>
      <c r="W65" s="11">
        <f>IFERROR(VLOOKUP(V65,Curr!$B$2:$C$13,2,FALSE),0)</f>
        <v>11.2</v>
      </c>
      <c r="X65" s="12">
        <f t="shared" si="2"/>
        <v>0</v>
      </c>
      <c r="Y65" s="26">
        <f t="shared" si="3"/>
        <v>0</v>
      </c>
      <c r="Z65" s="12">
        <f t="shared" si="4"/>
        <v>0</v>
      </c>
      <c r="AA65" s="4" t="s">
        <v>10</v>
      </c>
      <c r="AB65" s="11">
        <f>IFERROR(VLOOKUP(AA65,Curr!$B$2:$C$13,2,FALSE),0)</f>
        <v>11.2</v>
      </c>
      <c r="AC65" s="12">
        <f t="shared" si="5"/>
        <v>0</v>
      </c>
      <c r="AD65" s="12">
        <f t="shared" si="6"/>
        <v>0</v>
      </c>
      <c r="AE65" s="13">
        <f t="shared" si="7"/>
        <v>0</v>
      </c>
    </row>
    <row r="66" spans="2:31" x14ac:dyDescent="0.25">
      <c r="B66" s="4"/>
      <c r="E66" s="3"/>
      <c r="F66" s="3"/>
      <c r="G66" s="24"/>
      <c r="H66" s="24"/>
      <c r="K66" s="4"/>
      <c r="L66" s="4"/>
      <c r="M66" s="4"/>
      <c r="N66" s="4"/>
      <c r="O66" s="4"/>
      <c r="P66" s="27"/>
      <c r="Q66" s="25">
        <v>0</v>
      </c>
      <c r="R66" s="25">
        <v>0</v>
      </c>
      <c r="S66" s="12">
        <f t="shared" si="0"/>
        <v>0</v>
      </c>
      <c r="T66" s="5">
        <v>0</v>
      </c>
      <c r="U66" s="12">
        <f t="shared" si="1"/>
        <v>0</v>
      </c>
      <c r="V66" s="25" t="s">
        <v>10</v>
      </c>
      <c r="W66" s="11">
        <f>IFERROR(VLOOKUP(V66,Curr!$B$2:$C$13,2,FALSE),0)</f>
        <v>11.2</v>
      </c>
      <c r="X66" s="12">
        <f t="shared" si="2"/>
        <v>0</v>
      </c>
      <c r="Y66" s="26">
        <f t="shared" si="3"/>
        <v>0</v>
      </c>
      <c r="Z66" s="12">
        <f t="shared" si="4"/>
        <v>0</v>
      </c>
      <c r="AA66" s="4" t="s">
        <v>10</v>
      </c>
      <c r="AB66" s="11">
        <f>IFERROR(VLOOKUP(AA66,Curr!$B$2:$C$13,2,FALSE),0)</f>
        <v>11.2</v>
      </c>
      <c r="AC66" s="12">
        <f t="shared" si="5"/>
        <v>0</v>
      </c>
      <c r="AD66" s="12">
        <f t="shared" si="6"/>
        <v>0</v>
      </c>
      <c r="AE66" s="13">
        <f t="shared" si="7"/>
        <v>0</v>
      </c>
    </row>
    <row r="67" spans="2:31" x14ac:dyDescent="0.25">
      <c r="B67" s="4"/>
      <c r="E67" s="3"/>
      <c r="F67" s="3"/>
      <c r="G67" s="24"/>
      <c r="H67" s="24"/>
      <c r="K67" s="4"/>
      <c r="L67" s="4"/>
      <c r="M67" s="4"/>
      <c r="N67" s="4"/>
      <c r="O67" s="4"/>
      <c r="P67" s="27"/>
      <c r="Q67" s="25">
        <v>0</v>
      </c>
      <c r="R67" s="25">
        <v>0</v>
      </c>
      <c r="S67" s="12">
        <f t="shared" si="0"/>
        <v>0</v>
      </c>
      <c r="T67" s="5">
        <v>0</v>
      </c>
      <c r="U67" s="12">
        <f t="shared" si="1"/>
        <v>0</v>
      </c>
      <c r="V67" s="25" t="s">
        <v>10</v>
      </c>
      <c r="W67" s="11">
        <f>IFERROR(VLOOKUP(V67,Curr!$B$2:$C$13,2,FALSE),0)</f>
        <v>11.2</v>
      </c>
      <c r="X67" s="12">
        <f t="shared" si="2"/>
        <v>0</v>
      </c>
      <c r="Y67" s="26">
        <f t="shared" si="3"/>
        <v>0</v>
      </c>
      <c r="Z67" s="12">
        <f t="shared" si="4"/>
        <v>0</v>
      </c>
      <c r="AA67" s="4" t="s">
        <v>10</v>
      </c>
      <c r="AB67" s="11">
        <f>IFERROR(VLOOKUP(AA67,Curr!$B$2:$C$13,2,FALSE),0)</f>
        <v>11.2</v>
      </c>
      <c r="AC67" s="12">
        <f t="shared" si="5"/>
        <v>0</v>
      </c>
      <c r="AD67" s="12">
        <f t="shared" si="6"/>
        <v>0</v>
      </c>
      <c r="AE67" s="13">
        <f t="shared" si="7"/>
        <v>0</v>
      </c>
    </row>
    <row r="68" spans="2:31" x14ac:dyDescent="0.25">
      <c r="B68" s="4"/>
      <c r="E68" s="3"/>
      <c r="F68" s="3"/>
      <c r="G68" s="24"/>
      <c r="H68" s="24"/>
      <c r="K68" s="4"/>
      <c r="L68" s="4"/>
      <c r="M68" s="4"/>
      <c r="N68" s="4"/>
      <c r="O68" s="4"/>
      <c r="P68" s="27"/>
      <c r="Q68" s="25">
        <v>0</v>
      </c>
      <c r="R68" s="25">
        <v>0</v>
      </c>
      <c r="S68" s="12">
        <f t="shared" si="0"/>
        <v>0</v>
      </c>
      <c r="T68" s="5">
        <v>0</v>
      </c>
      <c r="U68" s="12">
        <f t="shared" si="1"/>
        <v>0</v>
      </c>
      <c r="V68" s="25" t="s">
        <v>10</v>
      </c>
      <c r="W68" s="11">
        <f>IFERROR(VLOOKUP(V68,Curr!$B$2:$C$13,2,FALSE),0)</f>
        <v>11.2</v>
      </c>
      <c r="X68" s="12">
        <f t="shared" si="2"/>
        <v>0</v>
      </c>
      <c r="Y68" s="26">
        <f t="shared" si="3"/>
        <v>0</v>
      </c>
      <c r="Z68" s="12">
        <f t="shared" si="4"/>
        <v>0</v>
      </c>
      <c r="AA68" s="4" t="s">
        <v>10</v>
      </c>
      <c r="AB68" s="11">
        <f>IFERROR(VLOOKUP(AA68,Curr!$B$2:$C$13,2,FALSE),0)</f>
        <v>11.2</v>
      </c>
      <c r="AC68" s="12">
        <f t="shared" si="5"/>
        <v>0</v>
      </c>
      <c r="AD68" s="12">
        <f t="shared" si="6"/>
        <v>0</v>
      </c>
      <c r="AE68" s="13">
        <f t="shared" si="7"/>
        <v>0</v>
      </c>
    </row>
    <row r="69" spans="2:31" x14ac:dyDescent="0.25">
      <c r="B69" s="4"/>
      <c r="E69" s="3"/>
      <c r="F69" s="3"/>
      <c r="G69" s="24"/>
      <c r="H69" s="24"/>
      <c r="K69" s="4"/>
      <c r="L69" s="4"/>
      <c r="M69" s="4"/>
      <c r="N69" s="4"/>
      <c r="O69" s="4"/>
      <c r="P69" s="27"/>
      <c r="Q69" s="25">
        <v>0</v>
      </c>
      <c r="R69" s="25">
        <v>0</v>
      </c>
      <c r="S69" s="12">
        <f t="shared" si="0"/>
        <v>0</v>
      </c>
      <c r="T69" s="5">
        <v>0</v>
      </c>
      <c r="U69" s="12">
        <f t="shared" si="1"/>
        <v>0</v>
      </c>
      <c r="V69" s="25" t="s">
        <v>10</v>
      </c>
      <c r="W69" s="11">
        <f>IFERROR(VLOOKUP(V69,Curr!$B$2:$C$13,2,FALSE),0)</f>
        <v>11.2</v>
      </c>
      <c r="X69" s="12">
        <f t="shared" si="2"/>
        <v>0</v>
      </c>
      <c r="Y69" s="26">
        <f t="shared" si="3"/>
        <v>0</v>
      </c>
      <c r="Z69" s="12">
        <f t="shared" si="4"/>
        <v>0</v>
      </c>
      <c r="AA69" s="4" t="s">
        <v>10</v>
      </c>
      <c r="AB69" s="11">
        <f>IFERROR(VLOOKUP(AA69,Curr!$B$2:$C$13,2,FALSE),0)</f>
        <v>11.2</v>
      </c>
      <c r="AC69" s="12">
        <f t="shared" si="5"/>
        <v>0</v>
      </c>
      <c r="AD69" s="12">
        <f t="shared" si="6"/>
        <v>0</v>
      </c>
      <c r="AE69" s="13">
        <f t="shared" si="7"/>
        <v>0</v>
      </c>
    </row>
    <row r="70" spans="2:31" x14ac:dyDescent="0.25">
      <c r="B70" s="4"/>
      <c r="E70" s="3"/>
      <c r="F70" s="3"/>
      <c r="G70" s="24"/>
      <c r="H70" s="24"/>
      <c r="K70" s="4"/>
      <c r="L70" s="4"/>
      <c r="M70" s="4"/>
      <c r="N70" s="4"/>
      <c r="O70" s="4"/>
      <c r="P70" s="27"/>
      <c r="Q70" s="25">
        <v>0</v>
      </c>
      <c r="R70" s="25">
        <v>0</v>
      </c>
      <c r="S70" s="12">
        <f t="shared" si="0"/>
        <v>0</v>
      </c>
      <c r="T70" s="5">
        <v>0</v>
      </c>
      <c r="U70" s="12">
        <f t="shared" si="1"/>
        <v>0</v>
      </c>
      <c r="V70" s="25" t="s">
        <v>10</v>
      </c>
      <c r="W70" s="11">
        <f>IFERROR(VLOOKUP(V70,Curr!$B$2:$C$13,2,FALSE),0)</f>
        <v>11.2</v>
      </c>
      <c r="X70" s="12">
        <f t="shared" si="2"/>
        <v>0</v>
      </c>
      <c r="Y70" s="26">
        <f t="shared" si="3"/>
        <v>0</v>
      </c>
      <c r="Z70" s="12">
        <f t="shared" si="4"/>
        <v>0</v>
      </c>
      <c r="AA70" s="4" t="s">
        <v>10</v>
      </c>
      <c r="AB70" s="11">
        <f>IFERROR(VLOOKUP(AA70,Curr!$B$2:$C$13,2,FALSE),0)</f>
        <v>11.2</v>
      </c>
      <c r="AC70" s="12">
        <f t="shared" si="5"/>
        <v>0</v>
      </c>
      <c r="AD70" s="12">
        <f t="shared" si="6"/>
        <v>0</v>
      </c>
      <c r="AE70" s="13">
        <f t="shared" si="7"/>
        <v>0</v>
      </c>
    </row>
    <row r="71" spans="2:31" x14ac:dyDescent="0.25">
      <c r="B71" s="4"/>
      <c r="E71" s="3"/>
      <c r="F71" s="3"/>
      <c r="G71" s="24"/>
      <c r="H71" s="24"/>
      <c r="K71" s="4"/>
      <c r="L71" s="4"/>
      <c r="M71" s="4"/>
      <c r="N71" s="4"/>
      <c r="O71" s="4"/>
      <c r="P71" s="27"/>
      <c r="Q71" s="25">
        <v>0</v>
      </c>
      <c r="R71" s="25">
        <v>0</v>
      </c>
      <c r="S71" s="12">
        <f t="shared" ref="S71:S98" si="8">+Q71*R71</f>
        <v>0</v>
      </c>
      <c r="T71" s="5">
        <v>0</v>
      </c>
      <c r="U71" s="12">
        <f t="shared" ref="U71:U98" si="9">S71*(1-T71)</f>
        <v>0</v>
      </c>
      <c r="V71" s="25" t="s">
        <v>10</v>
      </c>
      <c r="W71" s="11">
        <f>IFERROR(VLOOKUP(V71,Curr!$B$2:$C$13,2,FALSE),0)</f>
        <v>11.2</v>
      </c>
      <c r="X71" s="12">
        <f t="shared" ref="X71:X98" si="10">U71*W71</f>
        <v>0</v>
      </c>
      <c r="Y71" s="26">
        <f t="shared" ref="Y71:Y98" si="11">Q71</f>
        <v>0</v>
      </c>
      <c r="Z71" s="12">
        <f t="shared" ref="Z71:Z98" si="12">+Y71*R71</f>
        <v>0</v>
      </c>
      <c r="AA71" s="4" t="s">
        <v>10</v>
      </c>
      <c r="AB71" s="11">
        <f>IFERROR(VLOOKUP(AA71,Curr!$B$2:$C$13,2,FALSE),0)</f>
        <v>11.2</v>
      </c>
      <c r="AC71" s="12">
        <f t="shared" ref="AC71:AC98" si="13">+Y71*AB71*R71</f>
        <v>0</v>
      </c>
      <c r="AD71" s="12">
        <f t="shared" ref="AD71:AD98" si="14">+AC71-X71</f>
        <v>0</v>
      </c>
      <c r="AE71" s="13">
        <f t="shared" ref="AE71:AE98" si="15">IFERROR(AD71/AC71,0)</f>
        <v>0</v>
      </c>
    </row>
    <row r="72" spans="2:31" x14ac:dyDescent="0.25">
      <c r="B72" s="4"/>
      <c r="E72" s="3"/>
      <c r="F72" s="3"/>
      <c r="G72" s="24"/>
      <c r="H72" s="24"/>
      <c r="K72" s="4"/>
      <c r="L72" s="4"/>
      <c r="M72" s="4"/>
      <c r="N72" s="4"/>
      <c r="O72" s="4"/>
      <c r="P72" s="27"/>
      <c r="Q72" s="25">
        <v>0</v>
      </c>
      <c r="R72" s="25">
        <v>0</v>
      </c>
      <c r="S72" s="12">
        <f t="shared" si="8"/>
        <v>0</v>
      </c>
      <c r="T72" s="5">
        <v>0</v>
      </c>
      <c r="U72" s="12">
        <f t="shared" si="9"/>
        <v>0</v>
      </c>
      <c r="V72" s="25" t="s">
        <v>10</v>
      </c>
      <c r="W72" s="11">
        <f>IFERROR(VLOOKUP(V72,Curr!$B$2:$C$13,2,FALSE),0)</f>
        <v>11.2</v>
      </c>
      <c r="X72" s="12">
        <f t="shared" si="10"/>
        <v>0</v>
      </c>
      <c r="Y72" s="26">
        <f t="shared" si="11"/>
        <v>0</v>
      </c>
      <c r="Z72" s="12">
        <f t="shared" si="12"/>
        <v>0</v>
      </c>
      <c r="AA72" s="4" t="s">
        <v>10</v>
      </c>
      <c r="AB72" s="11">
        <f>IFERROR(VLOOKUP(AA72,Curr!$B$2:$C$13,2,FALSE),0)</f>
        <v>11.2</v>
      </c>
      <c r="AC72" s="12">
        <f t="shared" si="13"/>
        <v>0</v>
      </c>
      <c r="AD72" s="12">
        <f t="shared" si="14"/>
        <v>0</v>
      </c>
      <c r="AE72" s="13">
        <f t="shared" si="15"/>
        <v>0</v>
      </c>
    </row>
    <row r="73" spans="2:31" x14ac:dyDescent="0.25">
      <c r="B73" s="4"/>
      <c r="E73" s="3"/>
      <c r="F73" s="3"/>
      <c r="G73" s="24"/>
      <c r="H73" s="24"/>
      <c r="K73" s="4"/>
      <c r="L73" s="4"/>
      <c r="M73" s="4"/>
      <c r="N73" s="4"/>
      <c r="O73" s="4"/>
      <c r="P73" s="27"/>
      <c r="Q73" s="25">
        <v>0</v>
      </c>
      <c r="R73" s="25">
        <v>0</v>
      </c>
      <c r="S73" s="12">
        <f t="shared" si="8"/>
        <v>0</v>
      </c>
      <c r="T73" s="5">
        <v>0</v>
      </c>
      <c r="U73" s="12">
        <f t="shared" si="9"/>
        <v>0</v>
      </c>
      <c r="V73" s="25" t="s">
        <v>10</v>
      </c>
      <c r="W73" s="11">
        <f>IFERROR(VLOOKUP(V73,Curr!$B$2:$C$13,2,FALSE),0)</f>
        <v>11.2</v>
      </c>
      <c r="X73" s="12">
        <f t="shared" si="10"/>
        <v>0</v>
      </c>
      <c r="Y73" s="26">
        <f t="shared" si="11"/>
        <v>0</v>
      </c>
      <c r="Z73" s="12">
        <f t="shared" si="12"/>
        <v>0</v>
      </c>
      <c r="AA73" s="4" t="s">
        <v>10</v>
      </c>
      <c r="AB73" s="11">
        <f>IFERROR(VLOOKUP(AA73,Curr!$B$2:$C$13,2,FALSE),0)</f>
        <v>11.2</v>
      </c>
      <c r="AC73" s="12">
        <f t="shared" si="13"/>
        <v>0</v>
      </c>
      <c r="AD73" s="12">
        <f t="shared" si="14"/>
        <v>0</v>
      </c>
      <c r="AE73" s="13">
        <f t="shared" si="15"/>
        <v>0</v>
      </c>
    </row>
    <row r="74" spans="2:31" x14ac:dyDescent="0.25">
      <c r="B74" s="4"/>
      <c r="E74" s="3"/>
      <c r="F74" s="3"/>
      <c r="G74" s="24"/>
      <c r="H74" s="24"/>
      <c r="K74" s="4"/>
      <c r="L74" s="4"/>
      <c r="M74" s="4"/>
      <c r="N74" s="4"/>
      <c r="O74" s="4"/>
      <c r="P74" s="27"/>
      <c r="Q74" s="25">
        <v>0</v>
      </c>
      <c r="R74" s="25">
        <v>0</v>
      </c>
      <c r="S74" s="12">
        <f t="shared" si="8"/>
        <v>0</v>
      </c>
      <c r="T74" s="5">
        <v>0</v>
      </c>
      <c r="U74" s="12">
        <f t="shared" si="9"/>
        <v>0</v>
      </c>
      <c r="V74" s="25" t="s">
        <v>10</v>
      </c>
      <c r="W74" s="11">
        <f>IFERROR(VLOOKUP(V74,Curr!$B$2:$C$13,2,FALSE),0)</f>
        <v>11.2</v>
      </c>
      <c r="X74" s="12">
        <f t="shared" si="10"/>
        <v>0</v>
      </c>
      <c r="Y74" s="26">
        <f t="shared" si="11"/>
        <v>0</v>
      </c>
      <c r="Z74" s="12">
        <f t="shared" si="12"/>
        <v>0</v>
      </c>
      <c r="AA74" s="4" t="s">
        <v>10</v>
      </c>
      <c r="AB74" s="11">
        <f>IFERROR(VLOOKUP(AA74,Curr!$B$2:$C$13,2,FALSE),0)</f>
        <v>11.2</v>
      </c>
      <c r="AC74" s="12">
        <f t="shared" si="13"/>
        <v>0</v>
      </c>
      <c r="AD74" s="12">
        <f t="shared" si="14"/>
        <v>0</v>
      </c>
      <c r="AE74" s="13">
        <f t="shared" si="15"/>
        <v>0</v>
      </c>
    </row>
    <row r="75" spans="2:31" x14ac:dyDescent="0.25">
      <c r="B75" s="4"/>
      <c r="E75" s="3"/>
      <c r="F75" s="3"/>
      <c r="G75" s="24"/>
      <c r="H75" s="24"/>
      <c r="K75" s="4"/>
      <c r="L75" s="4"/>
      <c r="M75" s="4"/>
      <c r="N75" s="4"/>
      <c r="O75" s="4"/>
      <c r="P75" s="27"/>
      <c r="Q75" s="25">
        <v>0</v>
      </c>
      <c r="R75" s="25">
        <v>0</v>
      </c>
      <c r="S75" s="12">
        <f t="shared" si="8"/>
        <v>0</v>
      </c>
      <c r="T75" s="5">
        <v>0</v>
      </c>
      <c r="U75" s="12">
        <f t="shared" si="9"/>
        <v>0</v>
      </c>
      <c r="V75" s="25" t="s">
        <v>10</v>
      </c>
      <c r="W75" s="11">
        <f>IFERROR(VLOOKUP(V75,Curr!$B$2:$C$13,2,FALSE),0)</f>
        <v>11.2</v>
      </c>
      <c r="X75" s="12">
        <f t="shared" si="10"/>
        <v>0</v>
      </c>
      <c r="Y75" s="26">
        <f t="shared" si="11"/>
        <v>0</v>
      </c>
      <c r="Z75" s="12">
        <f t="shared" si="12"/>
        <v>0</v>
      </c>
      <c r="AA75" s="4" t="s">
        <v>10</v>
      </c>
      <c r="AB75" s="11">
        <f>IFERROR(VLOOKUP(AA75,Curr!$B$2:$C$13,2,FALSE),0)</f>
        <v>11.2</v>
      </c>
      <c r="AC75" s="12">
        <f t="shared" si="13"/>
        <v>0</v>
      </c>
      <c r="AD75" s="12">
        <f t="shared" si="14"/>
        <v>0</v>
      </c>
      <c r="AE75" s="13">
        <f t="shared" si="15"/>
        <v>0</v>
      </c>
    </row>
    <row r="76" spans="2:31" x14ac:dyDescent="0.25">
      <c r="B76" s="4"/>
      <c r="E76" s="3"/>
      <c r="F76" s="3"/>
      <c r="G76" s="24"/>
      <c r="H76" s="24"/>
      <c r="K76" s="4"/>
      <c r="L76" s="4"/>
      <c r="M76" s="4"/>
      <c r="N76" s="4"/>
      <c r="O76" s="4"/>
      <c r="P76" s="27"/>
      <c r="Q76" s="25">
        <v>0</v>
      </c>
      <c r="R76" s="25">
        <v>0</v>
      </c>
      <c r="S76" s="12">
        <f t="shared" si="8"/>
        <v>0</v>
      </c>
      <c r="T76" s="5">
        <v>0</v>
      </c>
      <c r="U76" s="12">
        <f t="shared" si="9"/>
        <v>0</v>
      </c>
      <c r="V76" s="25" t="s">
        <v>10</v>
      </c>
      <c r="W76" s="11">
        <f>IFERROR(VLOOKUP(V76,Curr!$B$2:$C$13,2,FALSE),0)</f>
        <v>11.2</v>
      </c>
      <c r="X76" s="12">
        <f t="shared" si="10"/>
        <v>0</v>
      </c>
      <c r="Y76" s="26">
        <f t="shared" si="11"/>
        <v>0</v>
      </c>
      <c r="Z76" s="12">
        <f t="shared" si="12"/>
        <v>0</v>
      </c>
      <c r="AA76" s="4" t="s">
        <v>10</v>
      </c>
      <c r="AB76" s="11">
        <f>IFERROR(VLOOKUP(AA76,Curr!$B$2:$C$13,2,FALSE),0)</f>
        <v>11.2</v>
      </c>
      <c r="AC76" s="12">
        <f t="shared" si="13"/>
        <v>0</v>
      </c>
      <c r="AD76" s="12">
        <f t="shared" si="14"/>
        <v>0</v>
      </c>
      <c r="AE76" s="13">
        <f t="shared" si="15"/>
        <v>0</v>
      </c>
    </row>
    <row r="77" spans="2:31" x14ac:dyDescent="0.25">
      <c r="B77" s="4"/>
      <c r="E77" s="3"/>
      <c r="F77" s="3"/>
      <c r="G77" s="24"/>
      <c r="H77" s="24"/>
      <c r="K77" s="4"/>
      <c r="L77" s="4"/>
      <c r="M77" s="4"/>
      <c r="N77" s="4"/>
      <c r="O77" s="4"/>
      <c r="P77" s="27"/>
      <c r="Q77" s="25">
        <v>0</v>
      </c>
      <c r="R77" s="25">
        <v>0</v>
      </c>
      <c r="S77" s="12">
        <f t="shared" si="8"/>
        <v>0</v>
      </c>
      <c r="T77" s="5">
        <v>0</v>
      </c>
      <c r="U77" s="12">
        <f t="shared" si="9"/>
        <v>0</v>
      </c>
      <c r="V77" s="25" t="s">
        <v>10</v>
      </c>
      <c r="W77" s="11">
        <f>IFERROR(VLOOKUP(V77,Curr!$B$2:$C$13,2,FALSE),0)</f>
        <v>11.2</v>
      </c>
      <c r="X77" s="12">
        <f t="shared" si="10"/>
        <v>0</v>
      </c>
      <c r="Y77" s="26">
        <f t="shared" si="11"/>
        <v>0</v>
      </c>
      <c r="Z77" s="12">
        <f t="shared" si="12"/>
        <v>0</v>
      </c>
      <c r="AA77" s="4" t="s">
        <v>10</v>
      </c>
      <c r="AB77" s="11">
        <f>IFERROR(VLOOKUP(AA77,Curr!$B$2:$C$13,2,FALSE),0)</f>
        <v>11.2</v>
      </c>
      <c r="AC77" s="12">
        <f t="shared" si="13"/>
        <v>0</v>
      </c>
      <c r="AD77" s="12">
        <f t="shared" si="14"/>
        <v>0</v>
      </c>
      <c r="AE77" s="13">
        <f t="shared" si="15"/>
        <v>0</v>
      </c>
    </row>
    <row r="78" spans="2:31" x14ac:dyDescent="0.25">
      <c r="B78" s="4"/>
      <c r="E78" s="3"/>
      <c r="F78" s="3"/>
      <c r="G78" s="24"/>
      <c r="H78" s="24"/>
      <c r="K78" s="4"/>
      <c r="L78" s="4"/>
      <c r="M78" s="4"/>
      <c r="N78" s="4"/>
      <c r="O78" s="4"/>
      <c r="P78" s="27"/>
      <c r="Q78" s="25">
        <v>0</v>
      </c>
      <c r="R78" s="25">
        <v>0</v>
      </c>
      <c r="S78" s="12">
        <f t="shared" si="8"/>
        <v>0</v>
      </c>
      <c r="T78" s="5">
        <v>0</v>
      </c>
      <c r="U78" s="12">
        <f t="shared" si="9"/>
        <v>0</v>
      </c>
      <c r="V78" s="25" t="s">
        <v>10</v>
      </c>
      <c r="W78" s="11">
        <f>IFERROR(VLOOKUP(V78,Curr!$B$2:$C$13,2,FALSE),0)</f>
        <v>11.2</v>
      </c>
      <c r="X78" s="12">
        <f t="shared" si="10"/>
        <v>0</v>
      </c>
      <c r="Y78" s="26">
        <f t="shared" si="11"/>
        <v>0</v>
      </c>
      <c r="Z78" s="12">
        <f t="shared" si="12"/>
        <v>0</v>
      </c>
      <c r="AA78" s="4" t="s">
        <v>10</v>
      </c>
      <c r="AB78" s="11">
        <f>IFERROR(VLOOKUP(AA78,Curr!$B$2:$C$13,2,FALSE),0)</f>
        <v>11.2</v>
      </c>
      <c r="AC78" s="12">
        <f t="shared" si="13"/>
        <v>0</v>
      </c>
      <c r="AD78" s="12">
        <f t="shared" si="14"/>
        <v>0</v>
      </c>
      <c r="AE78" s="13">
        <f t="shared" si="15"/>
        <v>0</v>
      </c>
    </row>
    <row r="79" spans="2:31" x14ac:dyDescent="0.25">
      <c r="B79" s="4"/>
      <c r="E79" s="3"/>
      <c r="F79" s="3"/>
      <c r="G79" s="24"/>
      <c r="H79" s="24"/>
      <c r="K79" s="4"/>
      <c r="L79" s="4"/>
      <c r="M79" s="4"/>
      <c r="N79" s="4"/>
      <c r="O79" s="4"/>
      <c r="P79" s="27"/>
      <c r="Q79" s="25">
        <v>0</v>
      </c>
      <c r="R79" s="25">
        <v>0</v>
      </c>
      <c r="S79" s="12">
        <f t="shared" si="8"/>
        <v>0</v>
      </c>
      <c r="T79" s="5">
        <v>0</v>
      </c>
      <c r="U79" s="12">
        <f t="shared" si="9"/>
        <v>0</v>
      </c>
      <c r="V79" s="25" t="s">
        <v>10</v>
      </c>
      <c r="W79" s="11">
        <f>IFERROR(VLOOKUP(V79,Curr!$B$2:$C$13,2,FALSE),0)</f>
        <v>11.2</v>
      </c>
      <c r="X79" s="12">
        <f t="shared" si="10"/>
        <v>0</v>
      </c>
      <c r="Y79" s="26">
        <f t="shared" si="11"/>
        <v>0</v>
      </c>
      <c r="Z79" s="12">
        <f t="shared" si="12"/>
        <v>0</v>
      </c>
      <c r="AA79" s="4" t="s">
        <v>10</v>
      </c>
      <c r="AB79" s="11">
        <f>IFERROR(VLOOKUP(AA79,Curr!$B$2:$C$13,2,FALSE),0)</f>
        <v>11.2</v>
      </c>
      <c r="AC79" s="12">
        <f t="shared" si="13"/>
        <v>0</v>
      </c>
      <c r="AD79" s="12">
        <f t="shared" si="14"/>
        <v>0</v>
      </c>
      <c r="AE79" s="13">
        <f t="shared" si="15"/>
        <v>0</v>
      </c>
    </row>
    <row r="80" spans="2:31" x14ac:dyDescent="0.25">
      <c r="B80" s="4"/>
      <c r="E80" s="3"/>
      <c r="F80" s="3"/>
      <c r="G80" s="24"/>
      <c r="H80" s="24"/>
      <c r="K80" s="4"/>
      <c r="L80" s="4"/>
      <c r="M80" s="4"/>
      <c r="N80" s="4"/>
      <c r="O80" s="4"/>
      <c r="P80" s="27"/>
      <c r="Q80" s="25">
        <v>0</v>
      </c>
      <c r="R80" s="25">
        <v>0</v>
      </c>
      <c r="S80" s="12">
        <f t="shared" si="8"/>
        <v>0</v>
      </c>
      <c r="T80" s="5">
        <v>0</v>
      </c>
      <c r="U80" s="12">
        <f t="shared" si="9"/>
        <v>0</v>
      </c>
      <c r="V80" s="25" t="s">
        <v>10</v>
      </c>
      <c r="W80" s="11">
        <f>IFERROR(VLOOKUP(V80,Curr!$B$2:$C$13,2,FALSE),0)</f>
        <v>11.2</v>
      </c>
      <c r="X80" s="12">
        <f t="shared" si="10"/>
        <v>0</v>
      </c>
      <c r="Y80" s="26">
        <f t="shared" si="11"/>
        <v>0</v>
      </c>
      <c r="Z80" s="12">
        <f t="shared" si="12"/>
        <v>0</v>
      </c>
      <c r="AA80" s="4" t="s">
        <v>10</v>
      </c>
      <c r="AB80" s="11">
        <f>IFERROR(VLOOKUP(AA80,Curr!$B$2:$C$13,2,FALSE),0)</f>
        <v>11.2</v>
      </c>
      <c r="AC80" s="12">
        <f t="shared" si="13"/>
        <v>0</v>
      </c>
      <c r="AD80" s="12">
        <f t="shared" si="14"/>
        <v>0</v>
      </c>
      <c r="AE80" s="13">
        <f t="shared" si="15"/>
        <v>0</v>
      </c>
    </row>
    <row r="81" spans="2:31" x14ac:dyDescent="0.25">
      <c r="B81" s="4"/>
      <c r="E81" s="3"/>
      <c r="F81" s="3"/>
      <c r="G81" s="24"/>
      <c r="H81" s="24"/>
      <c r="K81" s="4"/>
      <c r="L81" s="4"/>
      <c r="M81" s="4"/>
      <c r="N81" s="4"/>
      <c r="O81" s="4"/>
      <c r="P81" s="27"/>
      <c r="Q81" s="25">
        <v>0</v>
      </c>
      <c r="R81" s="25">
        <v>0</v>
      </c>
      <c r="S81" s="12">
        <f t="shared" si="8"/>
        <v>0</v>
      </c>
      <c r="T81" s="5">
        <v>0</v>
      </c>
      <c r="U81" s="12">
        <f t="shared" si="9"/>
        <v>0</v>
      </c>
      <c r="V81" s="25" t="s">
        <v>10</v>
      </c>
      <c r="W81" s="11">
        <f>IFERROR(VLOOKUP(V81,Curr!$B$2:$C$13,2,FALSE),0)</f>
        <v>11.2</v>
      </c>
      <c r="X81" s="12">
        <f t="shared" si="10"/>
        <v>0</v>
      </c>
      <c r="Y81" s="26">
        <f t="shared" si="11"/>
        <v>0</v>
      </c>
      <c r="Z81" s="12">
        <f t="shared" si="12"/>
        <v>0</v>
      </c>
      <c r="AA81" s="4" t="s">
        <v>10</v>
      </c>
      <c r="AB81" s="11">
        <f>IFERROR(VLOOKUP(AA81,Curr!$B$2:$C$13,2,FALSE),0)</f>
        <v>11.2</v>
      </c>
      <c r="AC81" s="12">
        <f t="shared" si="13"/>
        <v>0</v>
      </c>
      <c r="AD81" s="12">
        <f t="shared" si="14"/>
        <v>0</v>
      </c>
      <c r="AE81" s="13">
        <f t="shared" si="15"/>
        <v>0</v>
      </c>
    </row>
    <row r="82" spans="2:31" x14ac:dyDescent="0.25">
      <c r="B82" s="4"/>
      <c r="E82" s="3"/>
      <c r="F82" s="3"/>
      <c r="G82" s="24"/>
      <c r="H82" s="24"/>
      <c r="K82" s="4"/>
      <c r="L82" s="4"/>
      <c r="M82" s="4"/>
      <c r="N82" s="4"/>
      <c r="O82" s="4"/>
      <c r="P82" s="27"/>
      <c r="Q82" s="25">
        <v>0</v>
      </c>
      <c r="R82" s="25">
        <v>0</v>
      </c>
      <c r="S82" s="12">
        <f t="shared" si="8"/>
        <v>0</v>
      </c>
      <c r="T82" s="5">
        <v>0</v>
      </c>
      <c r="U82" s="12">
        <f t="shared" si="9"/>
        <v>0</v>
      </c>
      <c r="V82" s="25" t="s">
        <v>10</v>
      </c>
      <c r="W82" s="11">
        <f>IFERROR(VLOOKUP(V82,Curr!$B$2:$C$13,2,FALSE),0)</f>
        <v>11.2</v>
      </c>
      <c r="X82" s="12">
        <f t="shared" si="10"/>
        <v>0</v>
      </c>
      <c r="Y82" s="26">
        <f t="shared" si="11"/>
        <v>0</v>
      </c>
      <c r="Z82" s="12">
        <f t="shared" si="12"/>
        <v>0</v>
      </c>
      <c r="AA82" s="4" t="s">
        <v>10</v>
      </c>
      <c r="AB82" s="11">
        <f>IFERROR(VLOOKUP(AA82,Curr!$B$2:$C$13,2,FALSE),0)</f>
        <v>11.2</v>
      </c>
      <c r="AC82" s="12">
        <f t="shared" si="13"/>
        <v>0</v>
      </c>
      <c r="AD82" s="12">
        <f t="shared" si="14"/>
        <v>0</v>
      </c>
      <c r="AE82" s="13">
        <f t="shared" si="15"/>
        <v>0</v>
      </c>
    </row>
    <row r="83" spans="2:31" x14ac:dyDescent="0.25">
      <c r="B83" s="4"/>
      <c r="E83" s="3"/>
      <c r="F83" s="3"/>
      <c r="G83" s="24"/>
      <c r="H83" s="24"/>
      <c r="K83" s="4"/>
      <c r="L83" s="4"/>
      <c r="M83" s="4"/>
      <c r="N83" s="4"/>
      <c r="O83" s="4"/>
      <c r="P83" s="27"/>
      <c r="Q83" s="25">
        <v>0</v>
      </c>
      <c r="R83" s="25">
        <v>0</v>
      </c>
      <c r="S83" s="12">
        <f t="shared" si="8"/>
        <v>0</v>
      </c>
      <c r="T83" s="5">
        <v>0</v>
      </c>
      <c r="U83" s="12">
        <f t="shared" si="9"/>
        <v>0</v>
      </c>
      <c r="V83" s="25" t="s">
        <v>10</v>
      </c>
      <c r="W83" s="11">
        <f>IFERROR(VLOOKUP(V83,Curr!$B$2:$C$13,2,FALSE),0)</f>
        <v>11.2</v>
      </c>
      <c r="X83" s="12">
        <f t="shared" si="10"/>
        <v>0</v>
      </c>
      <c r="Y83" s="26">
        <f t="shared" si="11"/>
        <v>0</v>
      </c>
      <c r="Z83" s="12">
        <f t="shared" si="12"/>
        <v>0</v>
      </c>
      <c r="AA83" s="4" t="s">
        <v>10</v>
      </c>
      <c r="AB83" s="11">
        <f>IFERROR(VLOOKUP(AA83,Curr!$B$2:$C$13,2,FALSE),0)</f>
        <v>11.2</v>
      </c>
      <c r="AC83" s="12">
        <f t="shared" si="13"/>
        <v>0</v>
      </c>
      <c r="AD83" s="12">
        <f t="shared" si="14"/>
        <v>0</v>
      </c>
      <c r="AE83" s="13">
        <f t="shared" si="15"/>
        <v>0</v>
      </c>
    </row>
    <row r="84" spans="2:31" x14ac:dyDescent="0.25">
      <c r="B84" s="4"/>
      <c r="E84" s="3"/>
      <c r="F84" s="3"/>
      <c r="G84" s="24"/>
      <c r="H84" s="24"/>
      <c r="K84" s="4"/>
      <c r="L84" s="4"/>
      <c r="M84" s="4"/>
      <c r="N84" s="4"/>
      <c r="O84" s="4"/>
      <c r="P84" s="27"/>
      <c r="Q84" s="25">
        <v>0</v>
      </c>
      <c r="R84" s="25">
        <v>0</v>
      </c>
      <c r="S84" s="12">
        <f t="shared" si="8"/>
        <v>0</v>
      </c>
      <c r="T84" s="5">
        <v>0</v>
      </c>
      <c r="U84" s="12">
        <f t="shared" si="9"/>
        <v>0</v>
      </c>
      <c r="V84" s="25" t="s">
        <v>10</v>
      </c>
      <c r="W84" s="11">
        <f>IFERROR(VLOOKUP(V84,Curr!$B$2:$C$13,2,FALSE),0)</f>
        <v>11.2</v>
      </c>
      <c r="X84" s="12">
        <f t="shared" si="10"/>
        <v>0</v>
      </c>
      <c r="Y84" s="26">
        <f t="shared" si="11"/>
        <v>0</v>
      </c>
      <c r="Z84" s="12">
        <f t="shared" si="12"/>
        <v>0</v>
      </c>
      <c r="AA84" s="4" t="s">
        <v>10</v>
      </c>
      <c r="AB84" s="11">
        <f>IFERROR(VLOOKUP(AA84,Curr!$B$2:$C$13,2,FALSE),0)</f>
        <v>11.2</v>
      </c>
      <c r="AC84" s="12">
        <f t="shared" si="13"/>
        <v>0</v>
      </c>
      <c r="AD84" s="12">
        <f t="shared" si="14"/>
        <v>0</v>
      </c>
      <c r="AE84" s="13">
        <f t="shared" si="15"/>
        <v>0</v>
      </c>
    </row>
    <row r="85" spans="2:31" x14ac:dyDescent="0.25">
      <c r="B85" s="4"/>
      <c r="E85" s="3"/>
      <c r="F85" s="3"/>
      <c r="G85" s="24"/>
      <c r="H85" s="24"/>
      <c r="K85" s="4"/>
      <c r="L85" s="4"/>
      <c r="M85" s="4"/>
      <c r="N85" s="4"/>
      <c r="O85" s="4"/>
      <c r="P85" s="27"/>
      <c r="Q85" s="25">
        <v>0</v>
      </c>
      <c r="R85" s="25">
        <v>0</v>
      </c>
      <c r="S85" s="12">
        <f t="shared" si="8"/>
        <v>0</v>
      </c>
      <c r="T85" s="5">
        <v>0</v>
      </c>
      <c r="U85" s="12">
        <f t="shared" si="9"/>
        <v>0</v>
      </c>
      <c r="V85" s="25" t="s">
        <v>10</v>
      </c>
      <c r="W85" s="11">
        <f>IFERROR(VLOOKUP(V85,Curr!$B$2:$C$13,2,FALSE),0)</f>
        <v>11.2</v>
      </c>
      <c r="X85" s="12">
        <f t="shared" si="10"/>
        <v>0</v>
      </c>
      <c r="Y85" s="26">
        <f t="shared" si="11"/>
        <v>0</v>
      </c>
      <c r="Z85" s="12">
        <f t="shared" si="12"/>
        <v>0</v>
      </c>
      <c r="AA85" s="4" t="s">
        <v>10</v>
      </c>
      <c r="AB85" s="11">
        <f>IFERROR(VLOOKUP(AA85,Curr!$B$2:$C$13,2,FALSE),0)</f>
        <v>11.2</v>
      </c>
      <c r="AC85" s="12">
        <f t="shared" si="13"/>
        <v>0</v>
      </c>
      <c r="AD85" s="12">
        <f t="shared" si="14"/>
        <v>0</v>
      </c>
      <c r="AE85" s="13">
        <f t="shared" si="15"/>
        <v>0</v>
      </c>
    </row>
    <row r="86" spans="2:31" x14ac:dyDescent="0.25">
      <c r="B86" s="4"/>
      <c r="E86" s="3"/>
      <c r="F86" s="3"/>
      <c r="G86" s="24"/>
      <c r="H86" s="24"/>
      <c r="K86" s="4"/>
      <c r="L86" s="4"/>
      <c r="M86" s="4"/>
      <c r="N86" s="4"/>
      <c r="O86" s="4"/>
      <c r="P86" s="27"/>
      <c r="Q86" s="25">
        <v>0</v>
      </c>
      <c r="R86" s="25">
        <v>0</v>
      </c>
      <c r="S86" s="12">
        <f t="shared" si="8"/>
        <v>0</v>
      </c>
      <c r="T86" s="5">
        <v>0</v>
      </c>
      <c r="U86" s="12">
        <f t="shared" si="9"/>
        <v>0</v>
      </c>
      <c r="V86" s="25" t="s">
        <v>10</v>
      </c>
      <c r="W86" s="11">
        <f>IFERROR(VLOOKUP(V86,Curr!$B$2:$C$13,2,FALSE),0)</f>
        <v>11.2</v>
      </c>
      <c r="X86" s="12">
        <f t="shared" si="10"/>
        <v>0</v>
      </c>
      <c r="Y86" s="26">
        <f t="shared" si="11"/>
        <v>0</v>
      </c>
      <c r="Z86" s="12">
        <f t="shared" si="12"/>
        <v>0</v>
      </c>
      <c r="AA86" s="4" t="s">
        <v>10</v>
      </c>
      <c r="AB86" s="11">
        <f>IFERROR(VLOOKUP(AA86,Curr!$B$2:$C$13,2,FALSE),0)</f>
        <v>11.2</v>
      </c>
      <c r="AC86" s="12">
        <f t="shared" si="13"/>
        <v>0</v>
      </c>
      <c r="AD86" s="12">
        <f t="shared" si="14"/>
        <v>0</v>
      </c>
      <c r="AE86" s="13">
        <f t="shared" si="15"/>
        <v>0</v>
      </c>
    </row>
    <row r="87" spans="2:31" x14ac:dyDescent="0.25">
      <c r="B87" s="4"/>
      <c r="E87" s="3"/>
      <c r="F87" s="3"/>
      <c r="G87" s="24"/>
      <c r="H87" s="24"/>
      <c r="K87" s="4"/>
      <c r="L87" s="4"/>
      <c r="M87" s="4"/>
      <c r="N87" s="4"/>
      <c r="O87" s="4"/>
      <c r="P87" s="27"/>
      <c r="Q87" s="25">
        <v>0</v>
      </c>
      <c r="R87" s="25">
        <v>0</v>
      </c>
      <c r="S87" s="12">
        <f t="shared" si="8"/>
        <v>0</v>
      </c>
      <c r="T87" s="5">
        <v>0</v>
      </c>
      <c r="U87" s="12">
        <f t="shared" si="9"/>
        <v>0</v>
      </c>
      <c r="V87" s="25" t="s">
        <v>10</v>
      </c>
      <c r="W87" s="11">
        <f>IFERROR(VLOOKUP(V87,Curr!$B$2:$C$13,2,FALSE),0)</f>
        <v>11.2</v>
      </c>
      <c r="X87" s="12">
        <f t="shared" si="10"/>
        <v>0</v>
      </c>
      <c r="Y87" s="26">
        <f t="shared" si="11"/>
        <v>0</v>
      </c>
      <c r="Z87" s="12">
        <f t="shared" si="12"/>
        <v>0</v>
      </c>
      <c r="AA87" s="4" t="s">
        <v>10</v>
      </c>
      <c r="AB87" s="11">
        <f>IFERROR(VLOOKUP(AA87,Curr!$B$2:$C$13,2,FALSE),0)</f>
        <v>11.2</v>
      </c>
      <c r="AC87" s="12">
        <f t="shared" si="13"/>
        <v>0</v>
      </c>
      <c r="AD87" s="12">
        <f t="shared" si="14"/>
        <v>0</v>
      </c>
      <c r="AE87" s="13">
        <f t="shared" si="15"/>
        <v>0</v>
      </c>
    </row>
    <row r="88" spans="2:31" x14ac:dyDescent="0.25">
      <c r="B88" s="4"/>
      <c r="E88" s="3"/>
      <c r="F88" s="3"/>
      <c r="G88" s="24"/>
      <c r="H88" s="24"/>
      <c r="K88" s="4"/>
      <c r="L88" s="4"/>
      <c r="M88" s="4"/>
      <c r="N88" s="4"/>
      <c r="O88" s="4"/>
      <c r="P88" s="27"/>
      <c r="Q88" s="25">
        <v>0</v>
      </c>
      <c r="R88" s="25">
        <v>0</v>
      </c>
      <c r="S88" s="12">
        <f t="shared" si="8"/>
        <v>0</v>
      </c>
      <c r="T88" s="5">
        <v>0</v>
      </c>
      <c r="U88" s="12">
        <f t="shared" si="9"/>
        <v>0</v>
      </c>
      <c r="V88" s="25" t="s">
        <v>10</v>
      </c>
      <c r="W88" s="11">
        <f>IFERROR(VLOOKUP(V88,Curr!$B$2:$C$13,2,FALSE),0)</f>
        <v>11.2</v>
      </c>
      <c r="X88" s="12">
        <f t="shared" si="10"/>
        <v>0</v>
      </c>
      <c r="Y88" s="26">
        <f t="shared" si="11"/>
        <v>0</v>
      </c>
      <c r="Z88" s="12">
        <f t="shared" si="12"/>
        <v>0</v>
      </c>
      <c r="AA88" s="4" t="s">
        <v>10</v>
      </c>
      <c r="AB88" s="11">
        <f>IFERROR(VLOOKUP(AA88,Curr!$B$2:$C$13,2,FALSE),0)</f>
        <v>11.2</v>
      </c>
      <c r="AC88" s="12">
        <f t="shared" si="13"/>
        <v>0</v>
      </c>
      <c r="AD88" s="12">
        <f t="shared" si="14"/>
        <v>0</v>
      </c>
      <c r="AE88" s="13">
        <f t="shared" si="15"/>
        <v>0</v>
      </c>
    </row>
    <row r="89" spans="2:31" x14ac:dyDescent="0.25">
      <c r="B89" s="4"/>
      <c r="E89" s="3"/>
      <c r="F89" s="3"/>
      <c r="G89" s="24"/>
      <c r="H89" s="24"/>
      <c r="K89" s="4"/>
      <c r="L89" s="4"/>
      <c r="M89" s="4"/>
      <c r="N89" s="4"/>
      <c r="O89" s="4"/>
      <c r="P89" s="27"/>
      <c r="Q89" s="25">
        <v>0</v>
      </c>
      <c r="R89" s="25">
        <v>0</v>
      </c>
      <c r="S89" s="12">
        <f t="shared" si="8"/>
        <v>0</v>
      </c>
      <c r="T89" s="5">
        <v>0</v>
      </c>
      <c r="U89" s="12">
        <f t="shared" si="9"/>
        <v>0</v>
      </c>
      <c r="V89" s="25" t="s">
        <v>10</v>
      </c>
      <c r="W89" s="11">
        <f>IFERROR(VLOOKUP(V89,Curr!$B$2:$C$13,2,FALSE),0)</f>
        <v>11.2</v>
      </c>
      <c r="X89" s="12">
        <f t="shared" si="10"/>
        <v>0</v>
      </c>
      <c r="Y89" s="26">
        <f t="shared" si="11"/>
        <v>0</v>
      </c>
      <c r="Z89" s="12">
        <f t="shared" si="12"/>
        <v>0</v>
      </c>
      <c r="AA89" s="4" t="s">
        <v>10</v>
      </c>
      <c r="AB89" s="11">
        <f>IFERROR(VLOOKUP(AA89,Curr!$B$2:$C$13,2,FALSE),0)</f>
        <v>11.2</v>
      </c>
      <c r="AC89" s="12">
        <f t="shared" si="13"/>
        <v>0</v>
      </c>
      <c r="AD89" s="12">
        <f t="shared" si="14"/>
        <v>0</v>
      </c>
      <c r="AE89" s="13">
        <f t="shared" si="15"/>
        <v>0</v>
      </c>
    </row>
    <row r="90" spans="2:31" x14ac:dyDescent="0.25">
      <c r="B90" s="4"/>
      <c r="E90" s="3"/>
      <c r="F90" s="3"/>
      <c r="G90" s="24"/>
      <c r="H90" s="24"/>
      <c r="K90" s="4"/>
      <c r="L90" s="4"/>
      <c r="M90" s="4"/>
      <c r="N90" s="4"/>
      <c r="O90" s="4"/>
      <c r="P90" s="27"/>
      <c r="Q90" s="25">
        <v>0</v>
      </c>
      <c r="R90" s="25">
        <v>0</v>
      </c>
      <c r="S90" s="12">
        <f t="shared" si="8"/>
        <v>0</v>
      </c>
      <c r="T90" s="5">
        <v>0</v>
      </c>
      <c r="U90" s="12">
        <f t="shared" si="9"/>
        <v>0</v>
      </c>
      <c r="V90" s="25" t="s">
        <v>10</v>
      </c>
      <c r="W90" s="11">
        <f>IFERROR(VLOOKUP(V90,Curr!$B$2:$C$13,2,FALSE),0)</f>
        <v>11.2</v>
      </c>
      <c r="X90" s="12">
        <f t="shared" si="10"/>
        <v>0</v>
      </c>
      <c r="Y90" s="26">
        <f t="shared" si="11"/>
        <v>0</v>
      </c>
      <c r="Z90" s="12">
        <f t="shared" si="12"/>
        <v>0</v>
      </c>
      <c r="AA90" s="4" t="s">
        <v>10</v>
      </c>
      <c r="AB90" s="11">
        <f>IFERROR(VLOOKUP(AA90,Curr!$B$2:$C$13,2,FALSE),0)</f>
        <v>11.2</v>
      </c>
      <c r="AC90" s="12">
        <f t="shared" si="13"/>
        <v>0</v>
      </c>
      <c r="AD90" s="12">
        <f t="shared" si="14"/>
        <v>0</v>
      </c>
      <c r="AE90" s="13">
        <f t="shared" si="15"/>
        <v>0</v>
      </c>
    </row>
    <row r="91" spans="2:31" x14ac:dyDescent="0.25">
      <c r="B91" s="4"/>
      <c r="E91" s="3"/>
      <c r="F91" s="3"/>
      <c r="G91" s="24"/>
      <c r="H91" s="24"/>
      <c r="K91" s="4"/>
      <c r="L91" s="4"/>
      <c r="M91" s="4"/>
      <c r="N91" s="4"/>
      <c r="O91" s="4"/>
      <c r="P91" s="27"/>
      <c r="Q91" s="25">
        <v>0</v>
      </c>
      <c r="R91" s="25">
        <v>0</v>
      </c>
      <c r="S91" s="12">
        <f t="shared" si="8"/>
        <v>0</v>
      </c>
      <c r="T91" s="5">
        <v>0</v>
      </c>
      <c r="U91" s="12">
        <f t="shared" si="9"/>
        <v>0</v>
      </c>
      <c r="V91" s="25" t="s">
        <v>10</v>
      </c>
      <c r="W91" s="11">
        <f>IFERROR(VLOOKUP(V91,Curr!$B$2:$C$13,2,FALSE),0)</f>
        <v>11.2</v>
      </c>
      <c r="X91" s="12">
        <f t="shared" si="10"/>
        <v>0</v>
      </c>
      <c r="Y91" s="26">
        <f t="shared" si="11"/>
        <v>0</v>
      </c>
      <c r="Z91" s="12">
        <f t="shared" si="12"/>
        <v>0</v>
      </c>
      <c r="AA91" s="4" t="s">
        <v>10</v>
      </c>
      <c r="AB91" s="11">
        <f>IFERROR(VLOOKUP(AA91,Curr!$B$2:$C$13,2,FALSE),0)</f>
        <v>11.2</v>
      </c>
      <c r="AC91" s="12">
        <f t="shared" si="13"/>
        <v>0</v>
      </c>
      <c r="AD91" s="12">
        <f t="shared" si="14"/>
        <v>0</v>
      </c>
      <c r="AE91" s="13">
        <f t="shared" si="15"/>
        <v>0</v>
      </c>
    </row>
    <row r="92" spans="2:31" x14ac:dyDescent="0.25">
      <c r="B92" s="4"/>
      <c r="E92" s="3"/>
      <c r="F92" s="3"/>
      <c r="G92" s="24"/>
      <c r="H92" s="24"/>
      <c r="K92" s="4"/>
      <c r="L92" s="4"/>
      <c r="M92" s="4"/>
      <c r="N92" s="4"/>
      <c r="O92" s="4"/>
      <c r="P92" s="27"/>
      <c r="Q92" s="25">
        <v>0</v>
      </c>
      <c r="R92" s="25">
        <v>0</v>
      </c>
      <c r="S92" s="12">
        <f t="shared" si="8"/>
        <v>0</v>
      </c>
      <c r="T92" s="5">
        <v>0</v>
      </c>
      <c r="U92" s="12">
        <f t="shared" si="9"/>
        <v>0</v>
      </c>
      <c r="V92" s="25" t="s">
        <v>10</v>
      </c>
      <c r="W92" s="11">
        <f>IFERROR(VLOOKUP(V92,Curr!$B$2:$C$13,2,FALSE),0)</f>
        <v>11.2</v>
      </c>
      <c r="X92" s="12">
        <f t="shared" si="10"/>
        <v>0</v>
      </c>
      <c r="Y92" s="26">
        <f t="shared" si="11"/>
        <v>0</v>
      </c>
      <c r="Z92" s="12">
        <f t="shared" si="12"/>
        <v>0</v>
      </c>
      <c r="AA92" s="4" t="s">
        <v>10</v>
      </c>
      <c r="AB92" s="11">
        <f>IFERROR(VLOOKUP(AA92,Curr!$B$2:$C$13,2,FALSE),0)</f>
        <v>11.2</v>
      </c>
      <c r="AC92" s="12">
        <f t="shared" si="13"/>
        <v>0</v>
      </c>
      <c r="AD92" s="12">
        <f t="shared" si="14"/>
        <v>0</v>
      </c>
      <c r="AE92" s="13">
        <f t="shared" si="15"/>
        <v>0</v>
      </c>
    </row>
    <row r="93" spans="2:31" x14ac:dyDescent="0.25">
      <c r="B93" s="4"/>
      <c r="E93" s="3"/>
      <c r="F93" s="3"/>
      <c r="G93" s="24"/>
      <c r="H93" s="24"/>
      <c r="K93" s="4"/>
      <c r="L93" s="4"/>
      <c r="M93" s="4"/>
      <c r="N93" s="4"/>
      <c r="O93" s="4"/>
      <c r="P93" s="27"/>
      <c r="Q93" s="25">
        <v>0</v>
      </c>
      <c r="R93" s="25">
        <v>0</v>
      </c>
      <c r="S93" s="12">
        <f t="shared" si="8"/>
        <v>0</v>
      </c>
      <c r="T93" s="5">
        <v>0</v>
      </c>
      <c r="U93" s="12">
        <f t="shared" si="9"/>
        <v>0</v>
      </c>
      <c r="V93" s="25" t="s">
        <v>10</v>
      </c>
      <c r="W93" s="11">
        <f>IFERROR(VLOOKUP(V93,Curr!$B$2:$C$13,2,FALSE),0)</f>
        <v>11.2</v>
      </c>
      <c r="X93" s="12">
        <f t="shared" si="10"/>
        <v>0</v>
      </c>
      <c r="Y93" s="26">
        <f t="shared" si="11"/>
        <v>0</v>
      </c>
      <c r="Z93" s="12">
        <f t="shared" si="12"/>
        <v>0</v>
      </c>
      <c r="AA93" s="4" t="s">
        <v>10</v>
      </c>
      <c r="AB93" s="11">
        <f>IFERROR(VLOOKUP(AA93,Curr!$B$2:$C$13,2,FALSE),0)</f>
        <v>11.2</v>
      </c>
      <c r="AC93" s="12">
        <f t="shared" si="13"/>
        <v>0</v>
      </c>
      <c r="AD93" s="12">
        <f t="shared" si="14"/>
        <v>0</v>
      </c>
      <c r="AE93" s="13">
        <f t="shared" si="15"/>
        <v>0</v>
      </c>
    </row>
    <row r="94" spans="2:31" x14ac:dyDescent="0.25">
      <c r="B94" s="4"/>
      <c r="E94" s="3"/>
      <c r="F94" s="3"/>
      <c r="G94" s="24"/>
      <c r="H94" s="24"/>
      <c r="K94" s="4"/>
      <c r="L94" s="4"/>
      <c r="M94" s="4"/>
      <c r="N94" s="4"/>
      <c r="O94" s="4"/>
      <c r="P94" s="27"/>
      <c r="Q94" s="25">
        <v>0</v>
      </c>
      <c r="R94" s="25">
        <v>0</v>
      </c>
      <c r="S94" s="12">
        <f t="shared" si="8"/>
        <v>0</v>
      </c>
      <c r="T94" s="5">
        <v>0</v>
      </c>
      <c r="U94" s="12">
        <f t="shared" si="9"/>
        <v>0</v>
      </c>
      <c r="V94" s="25" t="s">
        <v>10</v>
      </c>
      <c r="W94" s="11">
        <f>IFERROR(VLOOKUP(V94,Curr!$B$2:$C$13,2,FALSE),0)</f>
        <v>11.2</v>
      </c>
      <c r="X94" s="12">
        <f t="shared" si="10"/>
        <v>0</v>
      </c>
      <c r="Y94" s="26">
        <f t="shared" si="11"/>
        <v>0</v>
      </c>
      <c r="Z94" s="12">
        <f t="shared" si="12"/>
        <v>0</v>
      </c>
      <c r="AA94" s="4" t="s">
        <v>10</v>
      </c>
      <c r="AB94" s="11">
        <f>IFERROR(VLOOKUP(AA94,Curr!$B$2:$C$13,2,FALSE),0)</f>
        <v>11.2</v>
      </c>
      <c r="AC94" s="12">
        <f t="shared" si="13"/>
        <v>0</v>
      </c>
      <c r="AD94" s="12">
        <f t="shared" si="14"/>
        <v>0</v>
      </c>
      <c r="AE94" s="13">
        <f t="shared" si="15"/>
        <v>0</v>
      </c>
    </row>
    <row r="95" spans="2:31" x14ac:dyDescent="0.25">
      <c r="B95" s="4"/>
      <c r="E95" s="3"/>
      <c r="F95" s="3"/>
      <c r="G95" s="24"/>
      <c r="H95" s="24"/>
      <c r="K95" s="4"/>
      <c r="L95" s="4"/>
      <c r="M95" s="4"/>
      <c r="N95" s="4"/>
      <c r="O95" s="4"/>
      <c r="P95" s="27"/>
      <c r="Q95" s="25">
        <v>0</v>
      </c>
      <c r="R95" s="25">
        <v>0</v>
      </c>
      <c r="S95" s="12">
        <f t="shared" si="8"/>
        <v>0</v>
      </c>
      <c r="T95" s="5">
        <v>0</v>
      </c>
      <c r="U95" s="12">
        <f t="shared" si="9"/>
        <v>0</v>
      </c>
      <c r="V95" s="25" t="s">
        <v>10</v>
      </c>
      <c r="W95" s="11">
        <f>IFERROR(VLOOKUP(V95,Curr!$B$2:$C$13,2,FALSE),0)</f>
        <v>11.2</v>
      </c>
      <c r="X95" s="12">
        <f t="shared" si="10"/>
        <v>0</v>
      </c>
      <c r="Y95" s="26">
        <f t="shared" si="11"/>
        <v>0</v>
      </c>
      <c r="Z95" s="12">
        <f t="shared" si="12"/>
        <v>0</v>
      </c>
      <c r="AA95" s="4" t="s">
        <v>10</v>
      </c>
      <c r="AB95" s="11">
        <f>IFERROR(VLOOKUP(AA95,Curr!$B$2:$C$13,2,FALSE),0)</f>
        <v>11.2</v>
      </c>
      <c r="AC95" s="12">
        <f t="shared" si="13"/>
        <v>0</v>
      </c>
      <c r="AD95" s="12">
        <f t="shared" si="14"/>
        <v>0</v>
      </c>
      <c r="AE95" s="13">
        <f t="shared" si="15"/>
        <v>0</v>
      </c>
    </row>
    <row r="96" spans="2:31" x14ac:dyDescent="0.25">
      <c r="B96" s="4"/>
      <c r="E96" s="3"/>
      <c r="F96" s="3"/>
      <c r="G96" s="24"/>
      <c r="H96" s="24"/>
      <c r="K96" s="4"/>
      <c r="L96" s="4"/>
      <c r="M96" s="4"/>
      <c r="N96" s="4"/>
      <c r="O96" s="4"/>
      <c r="P96" s="27"/>
      <c r="Q96" s="25">
        <v>0</v>
      </c>
      <c r="R96" s="25">
        <v>0</v>
      </c>
      <c r="S96" s="12">
        <f t="shared" si="8"/>
        <v>0</v>
      </c>
      <c r="T96" s="5">
        <v>0</v>
      </c>
      <c r="U96" s="12">
        <f t="shared" si="9"/>
        <v>0</v>
      </c>
      <c r="V96" s="25" t="s">
        <v>10</v>
      </c>
      <c r="W96" s="11">
        <f>IFERROR(VLOOKUP(V96,Curr!$B$2:$C$13,2,FALSE),0)</f>
        <v>11.2</v>
      </c>
      <c r="X96" s="12">
        <f t="shared" si="10"/>
        <v>0</v>
      </c>
      <c r="Y96" s="26">
        <f t="shared" si="11"/>
        <v>0</v>
      </c>
      <c r="Z96" s="12">
        <f t="shared" si="12"/>
        <v>0</v>
      </c>
      <c r="AA96" s="4" t="s">
        <v>10</v>
      </c>
      <c r="AB96" s="11">
        <f>IFERROR(VLOOKUP(AA96,Curr!$B$2:$C$13,2,FALSE),0)</f>
        <v>11.2</v>
      </c>
      <c r="AC96" s="12">
        <f t="shared" si="13"/>
        <v>0</v>
      </c>
      <c r="AD96" s="12">
        <f t="shared" si="14"/>
        <v>0</v>
      </c>
      <c r="AE96" s="13">
        <f t="shared" si="15"/>
        <v>0</v>
      </c>
    </row>
    <row r="97" spans="2:36" x14ac:dyDescent="0.25">
      <c r="B97" s="4"/>
      <c r="E97" s="3"/>
      <c r="F97" s="3"/>
      <c r="G97" s="24"/>
      <c r="H97" s="24"/>
      <c r="K97" s="4"/>
      <c r="L97" s="4"/>
      <c r="M97" s="4"/>
      <c r="N97" s="4"/>
      <c r="O97" s="4"/>
      <c r="P97" s="27"/>
      <c r="Q97" s="25">
        <v>0</v>
      </c>
      <c r="R97" s="25">
        <v>0</v>
      </c>
      <c r="S97" s="12">
        <f t="shared" si="8"/>
        <v>0</v>
      </c>
      <c r="T97" s="5">
        <v>0</v>
      </c>
      <c r="U97" s="12">
        <f t="shared" si="9"/>
        <v>0</v>
      </c>
      <c r="V97" s="25" t="s">
        <v>10</v>
      </c>
      <c r="W97" s="11">
        <f>IFERROR(VLOOKUP(V97,Curr!$B$2:$C$13,2,FALSE),0)</f>
        <v>11.2</v>
      </c>
      <c r="X97" s="12">
        <f t="shared" si="10"/>
        <v>0</v>
      </c>
      <c r="Y97" s="26">
        <f t="shared" si="11"/>
        <v>0</v>
      </c>
      <c r="Z97" s="12">
        <f t="shared" si="12"/>
        <v>0</v>
      </c>
      <c r="AA97" s="4" t="s">
        <v>10</v>
      </c>
      <c r="AB97" s="11">
        <f>IFERROR(VLOOKUP(AA97,Curr!$B$2:$C$13,2,FALSE),0)</f>
        <v>11.2</v>
      </c>
      <c r="AC97" s="12">
        <f t="shared" si="13"/>
        <v>0</v>
      </c>
      <c r="AD97" s="12">
        <f t="shared" si="14"/>
        <v>0</v>
      </c>
      <c r="AE97" s="13">
        <f t="shared" si="15"/>
        <v>0</v>
      </c>
    </row>
    <row r="98" spans="2:36" x14ac:dyDescent="0.25">
      <c r="B98" s="4"/>
      <c r="E98" s="3"/>
      <c r="F98" s="3"/>
      <c r="G98" s="24"/>
      <c r="H98" s="24"/>
      <c r="K98" s="4"/>
      <c r="L98" s="4"/>
      <c r="M98" s="4"/>
      <c r="N98" s="4"/>
      <c r="O98" s="4"/>
      <c r="P98" s="27"/>
      <c r="Q98" s="25">
        <v>0</v>
      </c>
      <c r="R98" s="25">
        <v>0</v>
      </c>
      <c r="S98" s="12">
        <f t="shared" si="8"/>
        <v>0</v>
      </c>
      <c r="T98" s="5">
        <v>0</v>
      </c>
      <c r="U98" s="12">
        <f t="shared" si="9"/>
        <v>0</v>
      </c>
      <c r="V98" s="25" t="s">
        <v>10</v>
      </c>
      <c r="W98" s="11">
        <f>IFERROR(VLOOKUP(V98,Curr!$B$2:$C$13,2,FALSE),0)</f>
        <v>11.2</v>
      </c>
      <c r="X98" s="12">
        <f t="shared" si="10"/>
        <v>0</v>
      </c>
      <c r="Y98" s="26">
        <f t="shared" si="11"/>
        <v>0</v>
      </c>
      <c r="Z98" s="12">
        <f t="shared" si="12"/>
        <v>0</v>
      </c>
      <c r="AA98" s="4" t="s">
        <v>10</v>
      </c>
      <c r="AB98" s="11">
        <f>IFERROR(VLOOKUP(AA98,Curr!$B$2:$C$13,2,FALSE),0)</f>
        <v>11.2</v>
      </c>
      <c r="AC98" s="12">
        <f t="shared" si="13"/>
        <v>0</v>
      </c>
      <c r="AD98" s="12">
        <f t="shared" si="14"/>
        <v>0</v>
      </c>
      <c r="AE98" s="13">
        <f t="shared" si="15"/>
        <v>0</v>
      </c>
    </row>
    <row r="99" spans="2:36" x14ac:dyDescent="0.25">
      <c r="B99" s="4"/>
      <c r="E99" s="3"/>
      <c r="F99" s="3"/>
      <c r="G99" s="3"/>
      <c r="H99" s="3"/>
      <c r="L99" s="4"/>
      <c r="M99" s="4"/>
      <c r="N99" s="4"/>
      <c r="O99" s="4"/>
      <c r="P99" s="22"/>
      <c r="Q99" s="4"/>
      <c r="R99" s="4"/>
      <c r="S99" s="4"/>
      <c r="T99" s="4"/>
      <c r="U99" s="4"/>
      <c r="V99" s="4"/>
      <c r="W99" s="4"/>
      <c r="X99" s="4"/>
      <c r="Y99" s="4"/>
      <c r="Z99" s="4"/>
      <c r="AA99" s="4"/>
      <c r="AB99" s="4"/>
      <c r="AC99" s="4"/>
      <c r="AD99" s="4"/>
      <c r="AE99" s="4"/>
      <c r="AF99" s="4"/>
    </row>
    <row r="100" spans="2:36" x14ac:dyDescent="0.25">
      <c r="B100" s="14" t="s">
        <v>18</v>
      </c>
      <c r="C100" s="14"/>
      <c r="D100" s="28" t="s">
        <v>42</v>
      </c>
      <c r="E100" s="30" t="s">
        <v>42</v>
      </c>
      <c r="F100" s="30" t="s">
        <v>42</v>
      </c>
      <c r="G100" s="30" t="s">
        <v>42</v>
      </c>
      <c r="H100" s="30" t="s">
        <v>42</v>
      </c>
      <c r="I100" s="28" t="s">
        <v>42</v>
      </c>
      <c r="J100" s="28" t="s">
        <v>42</v>
      </c>
      <c r="K100" s="28" t="s">
        <v>42</v>
      </c>
      <c r="L100" s="28" t="s">
        <v>42</v>
      </c>
      <c r="M100" s="28" t="s">
        <v>42</v>
      </c>
      <c r="N100" s="28" t="s">
        <v>42</v>
      </c>
      <c r="O100" s="28" t="s">
        <v>42</v>
      </c>
      <c r="P100" s="28" t="s">
        <v>42</v>
      </c>
      <c r="Q100" s="31" t="s">
        <v>42</v>
      </c>
      <c r="R100" s="28" t="s">
        <v>42</v>
      </c>
      <c r="S100" s="32" t="s">
        <v>42</v>
      </c>
      <c r="T100" s="28" t="s">
        <v>42</v>
      </c>
      <c r="U100" s="32" t="s">
        <v>42</v>
      </c>
      <c r="V100" s="28" t="s">
        <v>42</v>
      </c>
      <c r="W100" s="28" t="s">
        <v>42</v>
      </c>
      <c r="X100" s="32" t="s">
        <v>42</v>
      </c>
      <c r="Y100" s="32" t="s">
        <v>42</v>
      </c>
      <c r="Z100" s="15">
        <f>SUM(Z7:Z98)</f>
        <v>0</v>
      </c>
      <c r="AA100" s="14"/>
      <c r="AB100" s="14"/>
      <c r="AC100" s="15">
        <f>SUM(AC7:AC98)</f>
        <v>0</v>
      </c>
      <c r="AD100" s="15">
        <f>SUM(AD7:AD98)</f>
        <v>0</v>
      </c>
      <c r="AE100" s="21">
        <f t="shared" ref="AE100" si="16">IFERROR(AD100/AC100,0)</f>
        <v>0</v>
      </c>
      <c r="AF100" s="15">
        <f>SUM(AF8:AF99)</f>
        <v>0</v>
      </c>
      <c r="AG100" s="15">
        <f>SUM(AG8:AG99)</f>
        <v>0</v>
      </c>
      <c r="AH100" s="15">
        <f>SUM(AH8:AH99)</f>
        <v>0</v>
      </c>
      <c r="AI100" s="15">
        <f>SUM(AI8:AI99)</f>
        <v>0</v>
      </c>
      <c r="AJ100" s="15">
        <f>SUM(AJ8:AJ99)</f>
        <v>0</v>
      </c>
    </row>
    <row r="101" spans="2:36" x14ac:dyDescent="0.25">
      <c r="B101" s="4"/>
      <c r="E101" s="3"/>
      <c r="F101" s="3"/>
      <c r="G101" s="3"/>
      <c r="H101" s="3"/>
      <c r="L101" s="4"/>
      <c r="M101" s="4"/>
      <c r="N101" s="4"/>
      <c r="O101" s="4"/>
      <c r="Q101" s="4"/>
      <c r="R101" s="4"/>
      <c r="S101" s="4"/>
      <c r="T101" s="4"/>
      <c r="U101" s="4"/>
      <c r="V101" s="4"/>
      <c r="W101" s="4"/>
      <c r="X101" s="4"/>
      <c r="Y101" s="9"/>
      <c r="Z101" s="9"/>
      <c r="AA101" s="9"/>
      <c r="AB101" s="9"/>
      <c r="AC101" s="9"/>
      <c r="AD101" s="9"/>
      <c r="AE101" s="9"/>
    </row>
    <row r="102" spans="2:36" x14ac:dyDescent="0.25">
      <c r="B102" s="4"/>
      <c r="E102" s="3"/>
      <c r="F102" s="3"/>
      <c r="G102" s="3"/>
      <c r="H102" s="3"/>
      <c r="L102" s="4"/>
      <c r="M102" s="4"/>
      <c r="N102" s="4"/>
      <c r="O102" s="4"/>
      <c r="Q102" s="9"/>
      <c r="R102" s="9"/>
      <c r="S102" s="9"/>
      <c r="T102" s="9"/>
      <c r="U102" s="9"/>
      <c r="V102" s="9"/>
      <c r="W102" s="9"/>
      <c r="X102" s="23"/>
      <c r="Y102" s="34" t="s">
        <v>102</v>
      </c>
      <c r="Z102" s="34">
        <v>1290</v>
      </c>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9"/>
      <c r="Y103" s="35" t="s">
        <v>103</v>
      </c>
      <c r="Z103" s="34">
        <f>Z54+Z60+Z68+Z70</f>
        <v>0</v>
      </c>
      <c r="AA103" s="9"/>
      <c r="AB103" s="9"/>
      <c r="AC103" s="9"/>
      <c r="AD103" s="9"/>
      <c r="AE103" s="9"/>
      <c r="AF103" s="18"/>
    </row>
    <row r="104" spans="2:36" x14ac:dyDescent="0.25">
      <c r="B104" s="4"/>
      <c r="E104" s="3"/>
      <c r="F104" s="3"/>
      <c r="G104" s="3"/>
      <c r="H104" s="3"/>
      <c r="I104" s="19"/>
      <c r="L104" s="4"/>
      <c r="M104" s="4"/>
      <c r="N104" s="4"/>
      <c r="O104" s="20"/>
      <c r="Q104" s="20"/>
      <c r="R104" s="20"/>
      <c r="S104" s="20"/>
      <c r="T104" s="20"/>
      <c r="U104" s="20"/>
      <c r="V104" s="20"/>
      <c r="W104" s="20"/>
      <c r="X104" s="20"/>
      <c r="Y104" s="34" t="s">
        <v>104</v>
      </c>
      <c r="Z104" s="34">
        <v>2920</v>
      </c>
      <c r="AA104" s="9"/>
      <c r="AB104" s="9"/>
      <c r="AC104" s="9"/>
      <c r="AD104" s="9"/>
      <c r="AE104" s="9"/>
      <c r="AF104" s="18"/>
    </row>
    <row r="105" spans="2:36" x14ac:dyDescent="0.25">
      <c r="B105" s="4"/>
      <c r="E105" s="3"/>
      <c r="F105" s="3"/>
      <c r="G105" s="3"/>
      <c r="H105" s="3"/>
      <c r="L105" s="4"/>
      <c r="M105" s="4"/>
      <c r="N105" s="4"/>
      <c r="O105" s="20"/>
      <c r="Q105" s="20"/>
      <c r="R105" s="20"/>
      <c r="S105" s="20"/>
      <c r="T105" s="20"/>
      <c r="U105" s="20"/>
      <c r="V105" s="20"/>
      <c r="W105" s="20"/>
      <c r="X105" s="20"/>
      <c r="Y105" s="34" t="s">
        <v>43</v>
      </c>
      <c r="Z105" s="34">
        <f>Z104/2</f>
        <v>1460</v>
      </c>
      <c r="AA105" s="9"/>
      <c r="AB105" s="9"/>
      <c r="AC105" s="9"/>
      <c r="AD105" s="9"/>
      <c r="AE105" s="9"/>
      <c r="AF105" s="18"/>
    </row>
    <row r="106" spans="2:36" x14ac:dyDescent="0.25">
      <c r="B106" s="4"/>
      <c r="E106" s="3"/>
      <c r="F106" s="3"/>
      <c r="G106" s="3"/>
      <c r="H106" s="3"/>
      <c r="L106" s="4"/>
      <c r="M106" s="4"/>
      <c r="N106" s="4"/>
      <c r="O106" s="4"/>
      <c r="Q106" s="9"/>
      <c r="R106" s="9"/>
      <c r="S106" s="9"/>
      <c r="T106" s="9"/>
      <c r="U106" s="9"/>
      <c r="V106" s="9"/>
      <c r="W106" s="9"/>
      <c r="X106" s="9"/>
      <c r="Y106" s="1"/>
      <c r="Z106" s="1"/>
      <c r="AA106" s="9"/>
      <c r="AB106" s="9"/>
      <c r="AC106" s="9"/>
      <c r="AD106" s="9"/>
      <c r="AE106" s="9"/>
      <c r="AF106" s="18"/>
    </row>
    <row r="107" spans="2:36" x14ac:dyDescent="0.25">
      <c r="F107" s="1"/>
      <c r="G107" s="1"/>
      <c r="H107" s="1"/>
      <c r="J107" s="1" t="s">
        <v>32</v>
      </c>
      <c r="Q107" s="9"/>
      <c r="R107" s="4"/>
      <c r="S107" s="9"/>
      <c r="T107" s="5"/>
      <c r="U107" s="9"/>
      <c r="V107" s="4"/>
      <c r="W107" s="4"/>
      <c r="X107" s="9"/>
      <c r="Y107" s="9" t="s">
        <v>44</v>
      </c>
      <c r="Z107" s="9">
        <v>2920</v>
      </c>
      <c r="AA107" s="9"/>
      <c r="AB107" s="9"/>
      <c r="AC107" s="9"/>
      <c r="AD107" s="9"/>
      <c r="AE107" s="9"/>
    </row>
    <row r="108" spans="2:36" x14ac:dyDescent="0.25">
      <c r="R108" s="4"/>
      <c r="S108" s="17"/>
      <c r="T108" s="17"/>
      <c r="U108" s="9"/>
      <c r="V108" s="4"/>
      <c r="W108" s="4"/>
      <c r="X108" s="9"/>
      <c r="Y108" s="9" t="s">
        <v>45</v>
      </c>
      <c r="Z108" s="9">
        <v>0</v>
      </c>
      <c r="AA108" s="9"/>
      <c r="AB108" s="9"/>
      <c r="AC108" s="9"/>
      <c r="AD108" s="9"/>
      <c r="AE108" s="9"/>
    </row>
    <row r="109" spans="2:36" x14ac:dyDescent="0.25">
      <c r="Q109" s="9"/>
      <c r="R109" s="4"/>
      <c r="S109" s="16"/>
      <c r="T109" s="16"/>
      <c r="U109" s="9"/>
      <c r="V109" s="4"/>
      <c r="W109" s="4"/>
      <c r="X109" s="9"/>
      <c r="Y109" s="9"/>
      <c r="Z109" s="9"/>
      <c r="AA109" s="9"/>
      <c r="AB109" s="9"/>
      <c r="AC109" s="9"/>
      <c r="AD109" s="9"/>
      <c r="AE109" s="9"/>
    </row>
    <row r="110" spans="2:36" x14ac:dyDescent="0.25">
      <c r="R110" s="4"/>
      <c r="S110" s="16"/>
      <c r="T110" s="16"/>
      <c r="Y110" s="9" t="s">
        <v>46</v>
      </c>
      <c r="Z110" s="9">
        <v>850</v>
      </c>
      <c r="AA110" s="9"/>
      <c r="AB110" s="9"/>
      <c r="AC110" s="9"/>
      <c r="AD110" s="9"/>
      <c r="AE110" s="9"/>
    </row>
    <row r="111" spans="2:36" x14ac:dyDescent="0.25">
      <c r="T111" s="5"/>
      <c r="Y111" s="9" t="s">
        <v>47</v>
      </c>
      <c r="Z111" s="9">
        <v>1760</v>
      </c>
      <c r="AA111" s="9"/>
      <c r="AB111" s="9"/>
      <c r="AC111" s="9"/>
      <c r="AD111" s="9"/>
      <c r="AE111" s="9"/>
    </row>
    <row r="112" spans="2:36" x14ac:dyDescent="0.25">
      <c r="T112" s="5"/>
      <c r="Y112" s="9"/>
      <c r="Z112" s="9"/>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row>
    <row r="120" spans="20:31" x14ac:dyDescent="0.25">
      <c r="T120" s="5"/>
    </row>
    <row r="121" spans="20:31" x14ac:dyDescent="0.25">
      <c r="T121" s="5"/>
    </row>
    <row r="122" spans="20:31" x14ac:dyDescent="0.25">
      <c r="T122" s="5"/>
    </row>
    <row r="123" spans="20:31" x14ac:dyDescent="0.25">
      <c r="T123" s="5"/>
    </row>
  </sheetData>
  <autoFilter ref="B6:AE100" xr:uid="{65FA6D9B-E0AF-46CD-BA0D-86BB75FE6AB0}"/>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2CE59-5227-4EA5-9160-16740EE6BA62}">
  <sheetPr>
    <tabColor rgb="FFFFFF00"/>
  </sheetPr>
  <dimension ref="B1:AK123"/>
  <sheetViews>
    <sheetView zoomScale="80" zoomScaleNormal="80" workbookViewId="0">
      <selection activeCell="W7" sqref="W7"/>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288</v>
      </c>
    </row>
    <row r="3" spans="2:36" x14ac:dyDescent="0.25">
      <c r="B3" s="2" t="s">
        <v>289</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E7" s="3"/>
      <c r="F7" s="3"/>
      <c r="G7" s="3"/>
      <c r="H7" s="3"/>
      <c r="K7" s="4"/>
      <c r="L7" s="4"/>
      <c r="M7" s="4"/>
      <c r="N7" s="4"/>
      <c r="O7" s="4"/>
      <c r="P7" s="27"/>
      <c r="Q7" s="25">
        <v>0</v>
      </c>
      <c r="R7" s="25">
        <v>0</v>
      </c>
      <c r="S7" s="12">
        <f t="shared" ref="S7:S70" si="0">+Q7*R7</f>
        <v>0</v>
      </c>
      <c r="T7" s="5">
        <v>0</v>
      </c>
      <c r="U7" s="12">
        <f t="shared" ref="U7:U70" si="1">S7*(1-T7)</f>
        <v>0</v>
      </c>
      <c r="V7" s="25" t="s">
        <v>10</v>
      </c>
      <c r="W7" s="11">
        <f>IFERROR(VLOOKUP(V7,Curr!$B$2:$C$13,2,FALSE),0)</f>
        <v>11.2</v>
      </c>
      <c r="X7" s="12">
        <f t="shared" ref="X7:X70" si="2">U7*W7</f>
        <v>0</v>
      </c>
      <c r="Y7" s="26">
        <f t="shared" ref="Y7:Y70" si="3">Q7</f>
        <v>0</v>
      </c>
      <c r="Z7" s="12">
        <f t="shared" ref="Z7:Z70" si="4">+Y7*R7</f>
        <v>0</v>
      </c>
      <c r="AA7" s="4" t="s">
        <v>10</v>
      </c>
      <c r="AB7" s="11">
        <f>IFERROR(VLOOKUP(AA7,Curr!$B$2:$C$13,2,FALSE),0)</f>
        <v>11.2</v>
      </c>
      <c r="AC7" s="12">
        <f t="shared" ref="AC7:AC70" si="5">+Y7*AB7*R7</f>
        <v>0</v>
      </c>
      <c r="AD7" s="12">
        <f t="shared" ref="AD7:AD70" si="6">+AC7-X7</f>
        <v>0</v>
      </c>
      <c r="AE7" s="13">
        <f t="shared" ref="AE7:AE70" si="7">IFERROR(AD7/AC7,0)</f>
        <v>0</v>
      </c>
    </row>
    <row r="8" spans="2:36" x14ac:dyDescent="0.25">
      <c r="B8" s="4"/>
      <c r="E8" s="3"/>
      <c r="F8" s="3"/>
      <c r="G8" s="24"/>
      <c r="H8" s="24"/>
      <c r="K8" s="4"/>
      <c r="L8" s="4"/>
      <c r="M8" s="4"/>
      <c r="N8" s="4"/>
      <c r="O8" s="4"/>
      <c r="P8" s="27"/>
      <c r="Q8" s="25">
        <v>0</v>
      </c>
      <c r="R8" s="25">
        <v>0</v>
      </c>
      <c r="S8" s="12">
        <f t="shared" si="0"/>
        <v>0</v>
      </c>
      <c r="T8" s="5">
        <v>0</v>
      </c>
      <c r="U8" s="12">
        <f t="shared" si="1"/>
        <v>0</v>
      </c>
      <c r="V8" s="25" t="s">
        <v>10</v>
      </c>
      <c r="W8" s="11">
        <f>IFERROR(VLOOKUP(V8,Curr!$B$2:$C$13,2,FALSE),0)</f>
        <v>11.2</v>
      </c>
      <c r="X8" s="12">
        <f t="shared" si="2"/>
        <v>0</v>
      </c>
      <c r="Y8" s="26">
        <f t="shared" si="3"/>
        <v>0</v>
      </c>
      <c r="Z8" s="12">
        <f t="shared" si="4"/>
        <v>0</v>
      </c>
      <c r="AA8" s="4" t="s">
        <v>10</v>
      </c>
      <c r="AB8" s="11">
        <f>IFERROR(VLOOKUP(AA8,Curr!$B$2:$C$13,2,FALSE),0)</f>
        <v>11.2</v>
      </c>
      <c r="AC8" s="12">
        <f t="shared" si="5"/>
        <v>0</v>
      </c>
      <c r="AD8" s="12">
        <f t="shared" si="6"/>
        <v>0</v>
      </c>
      <c r="AE8" s="13">
        <f t="shared" si="7"/>
        <v>0</v>
      </c>
    </row>
    <row r="9" spans="2:36" x14ac:dyDescent="0.25">
      <c r="B9" s="4"/>
      <c r="E9" s="3"/>
      <c r="F9" s="3"/>
      <c r="G9" s="24"/>
      <c r="H9" s="24"/>
      <c r="K9" s="4"/>
      <c r="L9" s="4"/>
      <c r="M9" s="4"/>
      <c r="N9" s="4"/>
      <c r="O9" s="4"/>
      <c r="P9" s="33"/>
      <c r="Q9" s="25">
        <v>0</v>
      </c>
      <c r="R9" s="25">
        <v>0</v>
      </c>
      <c r="S9" s="12">
        <f t="shared" si="0"/>
        <v>0</v>
      </c>
      <c r="T9" s="5">
        <v>0</v>
      </c>
      <c r="U9" s="12">
        <f t="shared" si="1"/>
        <v>0</v>
      </c>
      <c r="V9" s="25" t="s">
        <v>10</v>
      </c>
      <c r="W9" s="11">
        <f>IFERROR(VLOOKUP(V9,Curr!$B$2:$C$13,2,FALSE),0)</f>
        <v>11.2</v>
      </c>
      <c r="X9" s="12">
        <f t="shared" si="2"/>
        <v>0</v>
      </c>
      <c r="Y9" s="26">
        <f t="shared" si="3"/>
        <v>0</v>
      </c>
      <c r="Z9" s="12">
        <f t="shared" si="4"/>
        <v>0</v>
      </c>
      <c r="AA9" s="4" t="s">
        <v>10</v>
      </c>
      <c r="AB9" s="11">
        <f>IFERROR(VLOOKUP(AA9,Curr!$B$2:$C$13,2,FALSE),0)</f>
        <v>11.2</v>
      </c>
      <c r="AC9" s="12">
        <f t="shared" si="5"/>
        <v>0</v>
      </c>
      <c r="AD9" s="12">
        <f t="shared" si="6"/>
        <v>0</v>
      </c>
      <c r="AE9" s="13">
        <f t="shared" si="7"/>
        <v>0</v>
      </c>
    </row>
    <row r="10" spans="2:36" x14ac:dyDescent="0.25">
      <c r="B10" s="4"/>
      <c r="E10" s="3"/>
      <c r="F10" s="3"/>
      <c r="G10" s="24"/>
      <c r="H10" s="24"/>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v>0</v>
      </c>
      <c r="R11" s="25">
        <v>0</v>
      </c>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E12" s="3"/>
      <c r="F12" s="3"/>
      <c r="G12" s="24"/>
      <c r="H12" s="24"/>
      <c r="K12" s="4"/>
      <c r="L12" s="4"/>
      <c r="M12" s="4"/>
      <c r="N12" s="4"/>
      <c r="O12" s="4"/>
      <c r="P12" s="33"/>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E13" s="3"/>
      <c r="F13" s="3"/>
      <c r="G13" s="24"/>
      <c r="H13" s="24"/>
      <c r="K13" s="4"/>
      <c r="L13" s="4"/>
      <c r="M13" s="4"/>
      <c r="N13" s="4"/>
      <c r="O13" s="4"/>
      <c r="P13" s="27"/>
      <c r="Q13" s="25">
        <v>0</v>
      </c>
      <c r="R13" s="25">
        <v>0</v>
      </c>
      <c r="S13" s="12">
        <f t="shared" si="0"/>
        <v>0</v>
      </c>
      <c r="T13" s="5">
        <v>0</v>
      </c>
      <c r="U13" s="12">
        <f t="shared" si="1"/>
        <v>0</v>
      </c>
      <c r="V13" s="25" t="s">
        <v>10</v>
      </c>
      <c r="W13" s="11">
        <f>IFERROR(VLOOKUP(V13,Curr!$B$2:$C$13,2,FALSE),0)</f>
        <v>11.2</v>
      </c>
      <c r="X13" s="12">
        <f t="shared" si="2"/>
        <v>0</v>
      </c>
      <c r="Y13" s="26">
        <f t="shared" si="3"/>
        <v>0</v>
      </c>
      <c r="Z13" s="12">
        <f t="shared" si="4"/>
        <v>0</v>
      </c>
      <c r="AA13" s="4" t="s">
        <v>10</v>
      </c>
      <c r="AB13" s="11">
        <f>IFERROR(VLOOKUP(AA13,Curr!$B$2:$C$13,2,FALSE),0)</f>
        <v>11.2</v>
      </c>
      <c r="AC13" s="12">
        <f t="shared" si="5"/>
        <v>0</v>
      </c>
      <c r="AD13" s="12">
        <f t="shared" si="6"/>
        <v>0</v>
      </c>
      <c r="AE13" s="13">
        <f t="shared" si="7"/>
        <v>0</v>
      </c>
    </row>
    <row r="14" spans="2:36" x14ac:dyDescent="0.25">
      <c r="B14" s="4"/>
      <c r="E14" s="3"/>
      <c r="F14" s="3"/>
      <c r="G14" s="24"/>
      <c r="H14" s="24"/>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si="3"/>
        <v>0</v>
      </c>
      <c r="Z14" s="12">
        <f t="shared" si="4"/>
        <v>0</v>
      </c>
      <c r="AA14" s="4" t="s">
        <v>10</v>
      </c>
      <c r="AB14" s="11">
        <f>IFERROR(VLOOKUP(AA14,Curr!$B$2:$C$13,2,FALSE),0)</f>
        <v>11.2</v>
      </c>
      <c r="AC14" s="12">
        <f t="shared" si="5"/>
        <v>0</v>
      </c>
      <c r="AD14" s="12">
        <f t="shared" si="6"/>
        <v>0</v>
      </c>
      <c r="AE14" s="13">
        <f t="shared" si="7"/>
        <v>0</v>
      </c>
    </row>
    <row r="15" spans="2:36" x14ac:dyDescent="0.25">
      <c r="B15" s="4"/>
      <c r="E15" s="3"/>
      <c r="F15" s="3"/>
      <c r="G15" s="24"/>
      <c r="H15" s="24"/>
      <c r="K15" s="4"/>
      <c r="L15" s="4"/>
      <c r="M15" s="4"/>
      <c r="N15" s="4"/>
      <c r="O15" s="4"/>
      <c r="P15" s="27"/>
      <c r="Q15" s="25">
        <v>0</v>
      </c>
      <c r="R15" s="25">
        <v>0</v>
      </c>
      <c r="S15" s="12">
        <f t="shared" si="0"/>
        <v>0</v>
      </c>
      <c r="T15" s="5">
        <v>0</v>
      </c>
      <c r="U15" s="12">
        <f t="shared" si="1"/>
        <v>0</v>
      </c>
      <c r="V15" s="25" t="s">
        <v>10</v>
      </c>
      <c r="W15" s="11">
        <f>IFERROR(VLOOKUP(V15,Curr!$B$2:$C$13,2,FALSE),0)</f>
        <v>11.2</v>
      </c>
      <c r="X15" s="12">
        <f t="shared" si="2"/>
        <v>0</v>
      </c>
      <c r="Y15" s="26">
        <f t="shared" si="3"/>
        <v>0</v>
      </c>
      <c r="Z15" s="12">
        <f t="shared" si="4"/>
        <v>0</v>
      </c>
      <c r="AA15" s="4" t="s">
        <v>10</v>
      </c>
      <c r="AB15" s="11">
        <f>IFERROR(VLOOKUP(AA15,Curr!$B$2:$C$13,2,FALSE),0)</f>
        <v>11.2</v>
      </c>
      <c r="AC15" s="12">
        <f t="shared" si="5"/>
        <v>0</v>
      </c>
      <c r="AD15" s="12">
        <f t="shared" si="6"/>
        <v>0</v>
      </c>
      <c r="AE15" s="13">
        <f t="shared" si="7"/>
        <v>0</v>
      </c>
    </row>
    <row r="16" spans="2:36" x14ac:dyDescent="0.25">
      <c r="B16" s="4"/>
      <c r="E16" s="3"/>
      <c r="F16" s="3"/>
      <c r="G16" s="24"/>
      <c r="H16" s="24"/>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3"/>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v>0</v>
      </c>
      <c r="R17" s="25">
        <v>0</v>
      </c>
      <c r="S17" s="12">
        <f t="shared" si="0"/>
        <v>0</v>
      </c>
      <c r="T17" s="5">
        <v>0</v>
      </c>
      <c r="U17" s="12">
        <f t="shared" si="1"/>
        <v>0</v>
      </c>
      <c r="V17" s="25" t="s">
        <v>10</v>
      </c>
      <c r="W17" s="11">
        <f>IFERROR(VLOOKUP(V17,Curr!$B$2:$C$13,2,FALSE),0)</f>
        <v>11.2</v>
      </c>
      <c r="X17" s="12">
        <f t="shared" si="2"/>
        <v>0</v>
      </c>
      <c r="Y17" s="26">
        <f t="shared" si="3"/>
        <v>0</v>
      </c>
      <c r="Z17" s="12">
        <f t="shared" si="4"/>
        <v>0</v>
      </c>
      <c r="AA17" s="4" t="s">
        <v>10</v>
      </c>
      <c r="AB17" s="11">
        <f>IFERROR(VLOOKUP(AA17,Curr!$B$2:$C$13,2,FALSE),0)</f>
        <v>11.2</v>
      </c>
      <c r="AC17" s="12">
        <f t="shared" si="5"/>
        <v>0</v>
      </c>
      <c r="AD17" s="12">
        <f t="shared" si="6"/>
        <v>0</v>
      </c>
      <c r="AE17" s="13">
        <f t="shared" si="7"/>
        <v>0</v>
      </c>
    </row>
    <row r="18" spans="2:31" x14ac:dyDescent="0.25">
      <c r="B18" s="4"/>
      <c r="E18" s="3"/>
      <c r="F18" s="3"/>
      <c r="G18" s="24"/>
      <c r="H18" s="24"/>
      <c r="K18" s="4"/>
      <c r="L18" s="4"/>
      <c r="M18" s="4"/>
      <c r="N18" s="4"/>
      <c r="O18" s="4"/>
      <c r="P18" s="27"/>
      <c r="Q18" s="25">
        <v>0</v>
      </c>
      <c r="R18" s="25">
        <v>0</v>
      </c>
      <c r="S18" s="12">
        <f t="shared" si="0"/>
        <v>0</v>
      </c>
      <c r="T18" s="5">
        <v>0</v>
      </c>
      <c r="U18" s="12">
        <f t="shared" si="1"/>
        <v>0</v>
      </c>
      <c r="V18" s="25" t="s">
        <v>10</v>
      </c>
      <c r="W18" s="11">
        <f>IFERROR(VLOOKUP(V18,Curr!$B$2:$C$13,2,FALSE),0)</f>
        <v>11.2</v>
      </c>
      <c r="X18" s="12">
        <f t="shared" si="2"/>
        <v>0</v>
      </c>
      <c r="Y18" s="26">
        <f t="shared" si="3"/>
        <v>0</v>
      </c>
      <c r="Z18" s="12">
        <f t="shared" si="4"/>
        <v>0</v>
      </c>
      <c r="AA18" s="4" t="s">
        <v>10</v>
      </c>
      <c r="AB18" s="11">
        <f>IFERROR(VLOOKUP(AA18,Curr!$B$2:$C$13,2,FALSE),0)</f>
        <v>11.2</v>
      </c>
      <c r="AC18" s="12">
        <f t="shared" si="5"/>
        <v>0</v>
      </c>
      <c r="AD18" s="12">
        <f t="shared" si="6"/>
        <v>0</v>
      </c>
      <c r="AE18" s="13">
        <f t="shared" si="7"/>
        <v>0</v>
      </c>
    </row>
    <row r="19" spans="2:31" x14ac:dyDescent="0.25">
      <c r="B19" s="4"/>
      <c r="E19" s="3"/>
      <c r="F19" s="3"/>
      <c r="G19" s="24"/>
      <c r="H19" s="24"/>
      <c r="K19" s="4"/>
      <c r="L19" s="4"/>
      <c r="M19" s="4"/>
      <c r="N19" s="4"/>
      <c r="O19" s="4"/>
      <c r="P19" s="27"/>
      <c r="Q19" s="25">
        <v>0</v>
      </c>
      <c r="R19" s="25">
        <v>0</v>
      </c>
      <c r="S19" s="12">
        <f t="shared" si="0"/>
        <v>0</v>
      </c>
      <c r="T19" s="5">
        <v>0</v>
      </c>
      <c r="U19" s="12">
        <f t="shared" si="1"/>
        <v>0</v>
      </c>
      <c r="V19" s="25" t="s">
        <v>10</v>
      </c>
      <c r="W19" s="11">
        <f>IFERROR(VLOOKUP(V19,Curr!$B$2:$C$13,2,FALSE),0)</f>
        <v>11.2</v>
      </c>
      <c r="X19" s="12">
        <f t="shared" si="2"/>
        <v>0</v>
      </c>
      <c r="Y19" s="26">
        <f t="shared" si="3"/>
        <v>0</v>
      </c>
      <c r="Z19" s="12">
        <f t="shared" si="4"/>
        <v>0</v>
      </c>
      <c r="AA19" s="4" t="s">
        <v>10</v>
      </c>
      <c r="AB19" s="11">
        <f>IFERROR(VLOOKUP(AA19,Curr!$B$2:$C$13,2,FALSE),0)</f>
        <v>11.2</v>
      </c>
      <c r="AC19" s="12">
        <f t="shared" si="5"/>
        <v>0</v>
      </c>
      <c r="AD19" s="12">
        <f t="shared" si="6"/>
        <v>0</v>
      </c>
      <c r="AE19" s="13">
        <f t="shared" si="7"/>
        <v>0</v>
      </c>
    </row>
    <row r="20" spans="2:31" x14ac:dyDescent="0.25">
      <c r="B20" s="4"/>
      <c r="E20" s="3"/>
      <c r="F20" s="3"/>
      <c r="G20" s="24"/>
      <c r="H20" s="24"/>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si="3"/>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v>0</v>
      </c>
      <c r="R21" s="25">
        <v>0</v>
      </c>
      <c r="S21" s="12">
        <f t="shared" si="0"/>
        <v>0</v>
      </c>
      <c r="T21" s="5">
        <v>0</v>
      </c>
      <c r="U21" s="12">
        <f t="shared" si="1"/>
        <v>0</v>
      </c>
      <c r="V21" s="25" t="s">
        <v>10</v>
      </c>
      <c r="W21" s="11">
        <f>IFERROR(VLOOKUP(V21,Curr!$B$2:$C$13,2,FALSE),0)</f>
        <v>11.2</v>
      </c>
      <c r="X21" s="12">
        <f t="shared" si="2"/>
        <v>0</v>
      </c>
      <c r="Y21" s="26">
        <f t="shared" si="3"/>
        <v>0</v>
      </c>
      <c r="Z21" s="12">
        <f t="shared" si="4"/>
        <v>0</v>
      </c>
      <c r="AA21" s="4" t="s">
        <v>10</v>
      </c>
      <c r="AB21" s="11">
        <f>IFERROR(VLOOKUP(AA21,Curr!$B$2:$C$13,2,FALSE),0)</f>
        <v>11.2</v>
      </c>
      <c r="AC21" s="12">
        <f t="shared" si="5"/>
        <v>0</v>
      </c>
      <c r="AD21" s="12">
        <f t="shared" si="6"/>
        <v>0</v>
      </c>
      <c r="AE21" s="13">
        <f t="shared" si="7"/>
        <v>0</v>
      </c>
    </row>
    <row r="22" spans="2:31" x14ac:dyDescent="0.25">
      <c r="B22" s="4"/>
      <c r="E22" s="3"/>
      <c r="F22" s="3"/>
      <c r="G22" s="24"/>
      <c r="H22" s="24"/>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3"/>
        <v>0</v>
      </c>
      <c r="Z22" s="12">
        <f t="shared" si="4"/>
        <v>0</v>
      </c>
      <c r="AA22" s="4" t="s">
        <v>10</v>
      </c>
      <c r="AB22" s="11">
        <f>IFERROR(VLOOKUP(AA22,Curr!$B$2:$C$13,2,FALSE),0)</f>
        <v>11.2</v>
      </c>
      <c r="AC22" s="12">
        <f t="shared" si="5"/>
        <v>0</v>
      </c>
      <c r="AD22" s="12">
        <f t="shared" si="6"/>
        <v>0</v>
      </c>
      <c r="AE22" s="13">
        <f t="shared" si="7"/>
        <v>0</v>
      </c>
    </row>
    <row r="23" spans="2:31" x14ac:dyDescent="0.25">
      <c r="B23" s="4"/>
      <c r="E23" s="3"/>
      <c r="F23" s="3"/>
      <c r="G23" s="24"/>
      <c r="H23" s="24"/>
      <c r="K23" s="4"/>
      <c r="L23" s="4"/>
      <c r="M23" s="4"/>
      <c r="N23" s="4"/>
      <c r="O23" s="4"/>
      <c r="P23" s="29"/>
      <c r="Q23" s="25">
        <v>0</v>
      </c>
      <c r="R23" s="25">
        <v>0</v>
      </c>
      <c r="S23" s="12">
        <f t="shared" si="0"/>
        <v>0</v>
      </c>
      <c r="T23" s="5">
        <v>0</v>
      </c>
      <c r="U23" s="12">
        <f t="shared" si="1"/>
        <v>0</v>
      </c>
      <c r="V23" s="25" t="s">
        <v>10</v>
      </c>
      <c r="W23" s="11">
        <f>IFERROR(VLOOKUP(V23,Curr!$B$2:$C$13,2,FALSE),0)</f>
        <v>11.2</v>
      </c>
      <c r="X23" s="12">
        <f t="shared" si="2"/>
        <v>0</v>
      </c>
      <c r="Y23" s="26">
        <f t="shared" si="3"/>
        <v>0</v>
      </c>
      <c r="Z23" s="12">
        <f t="shared" si="4"/>
        <v>0</v>
      </c>
      <c r="AA23" s="4" t="s">
        <v>10</v>
      </c>
      <c r="AB23" s="11">
        <f>IFERROR(VLOOKUP(AA23,Curr!$B$2:$C$13,2,FALSE),0)</f>
        <v>11.2</v>
      </c>
      <c r="AC23" s="12">
        <f t="shared" si="5"/>
        <v>0</v>
      </c>
      <c r="AD23" s="12">
        <f t="shared" si="6"/>
        <v>0</v>
      </c>
      <c r="AE23" s="13">
        <f t="shared" si="7"/>
        <v>0</v>
      </c>
    </row>
    <row r="24" spans="2:31" x14ac:dyDescent="0.25">
      <c r="B24" s="4"/>
      <c r="E24" s="3"/>
      <c r="F24" s="3"/>
      <c r="G24" s="24"/>
      <c r="H24" s="24"/>
      <c r="K24" s="4"/>
      <c r="L24" s="4"/>
      <c r="M24" s="4"/>
      <c r="N24" s="4"/>
      <c r="O24" s="4"/>
      <c r="P24" s="27"/>
      <c r="Q24" s="25">
        <v>0</v>
      </c>
      <c r="R24" s="25">
        <v>0</v>
      </c>
      <c r="S24" s="12">
        <f t="shared" si="0"/>
        <v>0</v>
      </c>
      <c r="T24" s="5">
        <v>0</v>
      </c>
      <c r="U24" s="12">
        <f t="shared" si="1"/>
        <v>0</v>
      </c>
      <c r="V24" s="25" t="s">
        <v>10</v>
      </c>
      <c r="W24" s="11">
        <f>IFERROR(VLOOKUP(V24,Curr!$B$2:$C$13,2,FALSE),0)</f>
        <v>11.2</v>
      </c>
      <c r="X24" s="12">
        <f t="shared" si="2"/>
        <v>0</v>
      </c>
      <c r="Y24" s="26">
        <f t="shared" si="3"/>
        <v>0</v>
      </c>
      <c r="Z24" s="12">
        <f t="shared" si="4"/>
        <v>0</v>
      </c>
      <c r="AA24" s="4" t="s">
        <v>10</v>
      </c>
      <c r="AB24" s="11">
        <f>IFERROR(VLOOKUP(AA24,Curr!$B$2:$C$13,2,FALSE),0)</f>
        <v>11.2</v>
      </c>
      <c r="AC24" s="12">
        <f t="shared" si="5"/>
        <v>0</v>
      </c>
      <c r="AD24" s="12">
        <f t="shared" si="6"/>
        <v>0</v>
      </c>
      <c r="AE24" s="13">
        <f t="shared" si="7"/>
        <v>0</v>
      </c>
    </row>
    <row r="25" spans="2:31" x14ac:dyDescent="0.25">
      <c r="B25" s="4"/>
      <c r="E25" s="3"/>
      <c r="F25" s="3"/>
      <c r="G25" s="24"/>
      <c r="H25" s="24"/>
      <c r="K25" s="4"/>
      <c r="L25" s="4"/>
      <c r="M25" s="4"/>
      <c r="N25" s="4"/>
      <c r="O25" s="4"/>
      <c r="P25" s="27"/>
      <c r="Q25" s="25">
        <v>0</v>
      </c>
      <c r="R25" s="25">
        <v>0</v>
      </c>
      <c r="S25" s="12">
        <f t="shared" si="0"/>
        <v>0</v>
      </c>
      <c r="T25" s="5">
        <v>0</v>
      </c>
      <c r="U25" s="12">
        <f t="shared" si="1"/>
        <v>0</v>
      </c>
      <c r="V25" s="25" t="s">
        <v>10</v>
      </c>
      <c r="W25" s="11">
        <f>IFERROR(VLOOKUP(V25,Curr!$B$2:$C$13,2,FALSE),0)</f>
        <v>11.2</v>
      </c>
      <c r="X25" s="12">
        <f t="shared" si="2"/>
        <v>0</v>
      </c>
      <c r="Y25" s="26">
        <f t="shared" si="3"/>
        <v>0</v>
      </c>
      <c r="Z25" s="12">
        <f t="shared" si="4"/>
        <v>0</v>
      </c>
      <c r="AA25" s="4" t="s">
        <v>10</v>
      </c>
      <c r="AB25" s="11">
        <f>IFERROR(VLOOKUP(AA25,Curr!$B$2:$C$13,2,FALSE),0)</f>
        <v>11.2</v>
      </c>
      <c r="AC25" s="12">
        <f t="shared" si="5"/>
        <v>0</v>
      </c>
      <c r="AD25" s="12">
        <f t="shared" si="6"/>
        <v>0</v>
      </c>
      <c r="AE25" s="13">
        <f t="shared" si="7"/>
        <v>0</v>
      </c>
    </row>
    <row r="26" spans="2:31" x14ac:dyDescent="0.25">
      <c r="B26" s="4"/>
      <c r="E26" s="3"/>
      <c r="F26" s="3"/>
      <c r="G26" s="24"/>
      <c r="H26" s="24"/>
      <c r="K26" s="4"/>
      <c r="L26" s="4"/>
      <c r="M26" s="4"/>
      <c r="N26" s="4"/>
      <c r="O26" s="4"/>
      <c r="P26" s="27"/>
      <c r="Q26" s="25">
        <v>0</v>
      </c>
      <c r="R26" s="25">
        <v>0</v>
      </c>
      <c r="S26" s="12">
        <f t="shared" si="0"/>
        <v>0</v>
      </c>
      <c r="T26" s="5">
        <v>0</v>
      </c>
      <c r="U26" s="12">
        <f t="shared" si="1"/>
        <v>0</v>
      </c>
      <c r="V26" s="25" t="s">
        <v>10</v>
      </c>
      <c r="W26" s="11">
        <f>IFERROR(VLOOKUP(V26,Curr!$B$2:$C$13,2,FALSE),0)</f>
        <v>11.2</v>
      </c>
      <c r="X26" s="12">
        <f t="shared" si="2"/>
        <v>0</v>
      </c>
      <c r="Y26" s="26">
        <f t="shared" si="3"/>
        <v>0</v>
      </c>
      <c r="Z26" s="12">
        <f t="shared" si="4"/>
        <v>0</v>
      </c>
      <c r="AA26" s="4" t="s">
        <v>10</v>
      </c>
      <c r="AB26" s="11">
        <f>IFERROR(VLOOKUP(AA26,Curr!$B$2:$C$13,2,FALSE),0)</f>
        <v>11.2</v>
      </c>
      <c r="AC26" s="12">
        <f t="shared" si="5"/>
        <v>0</v>
      </c>
      <c r="AD26" s="12">
        <f t="shared" si="6"/>
        <v>0</v>
      </c>
      <c r="AE26" s="13">
        <f t="shared" si="7"/>
        <v>0</v>
      </c>
    </row>
    <row r="27" spans="2:31" x14ac:dyDescent="0.25">
      <c r="B27" s="4"/>
      <c r="E27" s="3"/>
      <c r="F27" s="3"/>
      <c r="G27" s="24"/>
      <c r="H27" s="24"/>
      <c r="K27" s="4"/>
      <c r="L27" s="4"/>
      <c r="M27" s="4"/>
      <c r="N27" s="4"/>
      <c r="O27" s="4"/>
      <c r="P27" s="33"/>
      <c r="Q27" s="25">
        <v>0</v>
      </c>
      <c r="R27" s="25">
        <v>0</v>
      </c>
      <c r="S27" s="12">
        <f t="shared" si="0"/>
        <v>0</v>
      </c>
      <c r="T27" s="5">
        <v>0</v>
      </c>
      <c r="U27" s="12">
        <f t="shared" si="1"/>
        <v>0</v>
      </c>
      <c r="V27" s="25" t="s">
        <v>10</v>
      </c>
      <c r="W27" s="11">
        <f>IFERROR(VLOOKUP(V27,Curr!$B$2:$C$13,2,FALSE),0)</f>
        <v>11.2</v>
      </c>
      <c r="X27" s="12">
        <f t="shared" si="2"/>
        <v>0</v>
      </c>
      <c r="Y27" s="26">
        <f t="shared" si="3"/>
        <v>0</v>
      </c>
      <c r="Z27" s="12">
        <f t="shared" si="4"/>
        <v>0</v>
      </c>
      <c r="AA27" s="4" t="s">
        <v>10</v>
      </c>
      <c r="AB27" s="11">
        <f>IFERROR(VLOOKUP(AA27,Curr!$B$2:$C$13,2,FALSE),0)</f>
        <v>11.2</v>
      </c>
      <c r="AC27" s="12">
        <f t="shared" si="5"/>
        <v>0</v>
      </c>
      <c r="AD27" s="12">
        <f t="shared" si="6"/>
        <v>0</v>
      </c>
      <c r="AE27" s="13">
        <f t="shared" si="7"/>
        <v>0</v>
      </c>
    </row>
    <row r="28" spans="2:31" x14ac:dyDescent="0.25">
      <c r="B28" s="4"/>
      <c r="E28" s="3"/>
      <c r="F28" s="3"/>
      <c r="G28" s="24"/>
      <c r="H28" s="24"/>
      <c r="K28" s="4"/>
      <c r="L28" s="4"/>
      <c r="M28" s="4"/>
      <c r="N28" s="4"/>
      <c r="O28" s="4"/>
      <c r="P28" s="33"/>
      <c r="Q28" s="25">
        <v>0</v>
      </c>
      <c r="R28" s="25">
        <v>0</v>
      </c>
      <c r="S28" s="12">
        <f t="shared" si="0"/>
        <v>0</v>
      </c>
      <c r="T28" s="5">
        <v>0</v>
      </c>
      <c r="U28" s="12">
        <f t="shared" si="1"/>
        <v>0</v>
      </c>
      <c r="V28" s="25" t="s">
        <v>10</v>
      </c>
      <c r="W28" s="11">
        <f>IFERROR(VLOOKUP(V28,Curr!$B$2:$C$13,2,FALSE),0)</f>
        <v>11.2</v>
      </c>
      <c r="X28" s="12">
        <f t="shared" si="2"/>
        <v>0</v>
      </c>
      <c r="Y28" s="26">
        <f t="shared" si="3"/>
        <v>0</v>
      </c>
      <c r="Z28" s="12">
        <f t="shared" si="4"/>
        <v>0</v>
      </c>
      <c r="AA28" s="4" t="s">
        <v>10</v>
      </c>
      <c r="AB28" s="11">
        <f>IFERROR(VLOOKUP(AA28,Curr!$B$2:$C$13,2,FALSE),0)</f>
        <v>11.2</v>
      </c>
      <c r="AC28" s="12">
        <f t="shared" si="5"/>
        <v>0</v>
      </c>
      <c r="AD28" s="12">
        <f t="shared" si="6"/>
        <v>0</v>
      </c>
      <c r="AE28" s="13">
        <f t="shared" si="7"/>
        <v>0</v>
      </c>
    </row>
    <row r="29" spans="2:31" x14ac:dyDescent="0.25">
      <c r="B29" s="4"/>
      <c r="E29" s="3"/>
      <c r="F29" s="3"/>
      <c r="G29" s="24"/>
      <c r="H29" s="24"/>
      <c r="K29" s="4"/>
      <c r="L29" s="4"/>
      <c r="M29" s="4"/>
      <c r="N29" s="4"/>
      <c r="O29" s="4"/>
      <c r="P29" s="29"/>
      <c r="Q29" s="25">
        <v>0</v>
      </c>
      <c r="R29" s="25">
        <v>0</v>
      </c>
      <c r="S29" s="12">
        <f t="shared" si="0"/>
        <v>0</v>
      </c>
      <c r="T29" s="5">
        <v>0</v>
      </c>
      <c r="U29" s="12">
        <f t="shared" si="1"/>
        <v>0</v>
      </c>
      <c r="V29" s="25" t="s">
        <v>10</v>
      </c>
      <c r="W29" s="11">
        <f>IFERROR(VLOOKUP(V29,Curr!$B$2:$C$13,2,FALSE),0)</f>
        <v>11.2</v>
      </c>
      <c r="X29" s="12">
        <f t="shared" si="2"/>
        <v>0</v>
      </c>
      <c r="Y29" s="26">
        <f t="shared" si="3"/>
        <v>0</v>
      </c>
      <c r="Z29" s="12">
        <f t="shared" si="4"/>
        <v>0</v>
      </c>
      <c r="AA29" s="4" t="s">
        <v>10</v>
      </c>
      <c r="AB29" s="11">
        <f>IFERROR(VLOOKUP(AA29,Curr!$B$2:$C$13,2,FALSE),0)</f>
        <v>11.2</v>
      </c>
      <c r="AC29" s="12">
        <f t="shared" si="5"/>
        <v>0</v>
      </c>
      <c r="AD29" s="12">
        <f t="shared" si="6"/>
        <v>0</v>
      </c>
      <c r="AE29" s="13">
        <f t="shared" si="7"/>
        <v>0</v>
      </c>
    </row>
    <row r="30" spans="2:31" x14ac:dyDescent="0.25">
      <c r="B30" s="4"/>
      <c r="E30" s="3"/>
      <c r="F30" s="3"/>
      <c r="G30" s="24"/>
      <c r="H30" s="24"/>
      <c r="K30" s="4"/>
      <c r="L30" s="4"/>
      <c r="M30" s="4"/>
      <c r="N30" s="4"/>
      <c r="O30" s="4"/>
      <c r="P30" s="33"/>
      <c r="Q30" s="25">
        <v>0</v>
      </c>
      <c r="R30" s="25">
        <v>0</v>
      </c>
      <c r="S30" s="12">
        <f t="shared" si="0"/>
        <v>0</v>
      </c>
      <c r="T30" s="5">
        <v>0</v>
      </c>
      <c r="U30" s="12">
        <f t="shared" si="1"/>
        <v>0</v>
      </c>
      <c r="V30" s="25" t="s">
        <v>10</v>
      </c>
      <c r="W30" s="11">
        <f>IFERROR(VLOOKUP(V30,Curr!$B$2:$C$13,2,FALSE),0)</f>
        <v>11.2</v>
      </c>
      <c r="X30" s="12">
        <f t="shared" si="2"/>
        <v>0</v>
      </c>
      <c r="Y30" s="26">
        <f t="shared" si="3"/>
        <v>0</v>
      </c>
      <c r="Z30" s="12">
        <f t="shared" si="4"/>
        <v>0</v>
      </c>
      <c r="AA30" s="4" t="s">
        <v>10</v>
      </c>
      <c r="AB30" s="11">
        <f>IFERROR(VLOOKUP(AA30,Curr!$B$2:$C$13,2,FALSE),0)</f>
        <v>11.2</v>
      </c>
      <c r="AC30" s="12">
        <f t="shared" si="5"/>
        <v>0</v>
      </c>
      <c r="AD30" s="12">
        <f t="shared" si="6"/>
        <v>0</v>
      </c>
      <c r="AE30" s="13">
        <f t="shared" si="7"/>
        <v>0</v>
      </c>
    </row>
    <row r="31" spans="2:31" x14ac:dyDescent="0.25">
      <c r="B31" s="4"/>
      <c r="E31" s="3"/>
      <c r="F31" s="3"/>
      <c r="G31" s="24"/>
      <c r="H31" s="24"/>
      <c r="K31" s="4"/>
      <c r="L31" s="4"/>
      <c r="M31" s="4"/>
      <c r="N31" s="4"/>
      <c r="O31" s="4"/>
      <c r="P31" s="33"/>
      <c r="Q31" s="25">
        <v>0</v>
      </c>
      <c r="R31" s="25">
        <v>0</v>
      </c>
      <c r="S31" s="12">
        <f t="shared" si="0"/>
        <v>0</v>
      </c>
      <c r="T31" s="5">
        <v>0</v>
      </c>
      <c r="U31" s="12">
        <f t="shared" si="1"/>
        <v>0</v>
      </c>
      <c r="V31" s="25" t="s">
        <v>10</v>
      </c>
      <c r="W31" s="11">
        <f>IFERROR(VLOOKUP(V31,Curr!$B$2:$C$13,2,FALSE),0)</f>
        <v>11.2</v>
      </c>
      <c r="X31" s="12">
        <f t="shared" si="2"/>
        <v>0</v>
      </c>
      <c r="Y31" s="26">
        <f t="shared" si="3"/>
        <v>0</v>
      </c>
      <c r="Z31" s="12">
        <f t="shared" si="4"/>
        <v>0</v>
      </c>
      <c r="AA31" s="4" t="s">
        <v>10</v>
      </c>
      <c r="AB31" s="11">
        <f>IFERROR(VLOOKUP(AA31,Curr!$B$2:$C$13,2,FALSE),0)</f>
        <v>11.2</v>
      </c>
      <c r="AC31" s="12">
        <f t="shared" si="5"/>
        <v>0</v>
      </c>
      <c r="AD31" s="12">
        <f t="shared" si="6"/>
        <v>0</v>
      </c>
      <c r="AE31" s="13">
        <f t="shared" si="7"/>
        <v>0</v>
      </c>
    </row>
    <row r="32" spans="2:31" x14ac:dyDescent="0.25">
      <c r="B32" s="4"/>
      <c r="E32" s="3"/>
      <c r="F32" s="3"/>
      <c r="G32" s="24"/>
      <c r="H32" s="24"/>
      <c r="K32" s="4"/>
      <c r="L32" s="4"/>
      <c r="M32" s="4"/>
      <c r="N32" s="4"/>
      <c r="O32" s="4"/>
      <c r="P32" s="33"/>
      <c r="Q32" s="25">
        <v>0</v>
      </c>
      <c r="R32" s="25">
        <v>0</v>
      </c>
      <c r="S32" s="12">
        <f t="shared" si="0"/>
        <v>0</v>
      </c>
      <c r="T32" s="5">
        <v>0</v>
      </c>
      <c r="U32" s="12">
        <f t="shared" si="1"/>
        <v>0</v>
      </c>
      <c r="V32" s="25" t="s">
        <v>10</v>
      </c>
      <c r="W32" s="11">
        <f>IFERROR(VLOOKUP(V32,Curr!$B$2:$C$13,2,FALSE),0)</f>
        <v>11.2</v>
      </c>
      <c r="X32" s="12">
        <f t="shared" si="2"/>
        <v>0</v>
      </c>
      <c r="Y32" s="26">
        <f t="shared" si="3"/>
        <v>0</v>
      </c>
      <c r="Z32" s="12">
        <f t="shared" si="4"/>
        <v>0</v>
      </c>
      <c r="AA32" s="4" t="s">
        <v>10</v>
      </c>
      <c r="AB32" s="11">
        <f>IFERROR(VLOOKUP(AA32,Curr!$B$2:$C$13,2,FALSE),0)</f>
        <v>11.2</v>
      </c>
      <c r="AC32" s="12">
        <f t="shared" si="5"/>
        <v>0</v>
      </c>
      <c r="AD32" s="12">
        <f t="shared" si="6"/>
        <v>0</v>
      </c>
      <c r="AE32" s="13">
        <f t="shared" si="7"/>
        <v>0</v>
      </c>
    </row>
    <row r="33" spans="2:31" x14ac:dyDescent="0.25">
      <c r="B33" s="4"/>
      <c r="E33" s="3"/>
      <c r="F33" s="3"/>
      <c r="G33" s="24"/>
      <c r="H33" s="24"/>
      <c r="K33" s="4"/>
      <c r="L33" s="4"/>
      <c r="M33" s="4"/>
      <c r="N33" s="4"/>
      <c r="O33" s="4"/>
      <c r="P33" s="33"/>
      <c r="Q33" s="25">
        <v>0</v>
      </c>
      <c r="R33" s="25">
        <v>0</v>
      </c>
      <c r="S33" s="12">
        <f t="shared" si="0"/>
        <v>0</v>
      </c>
      <c r="T33" s="5">
        <v>0</v>
      </c>
      <c r="U33" s="12">
        <f t="shared" si="1"/>
        <v>0</v>
      </c>
      <c r="V33" s="25" t="s">
        <v>10</v>
      </c>
      <c r="W33" s="11">
        <f>IFERROR(VLOOKUP(V33,Curr!$B$2:$C$13,2,FALSE),0)</f>
        <v>11.2</v>
      </c>
      <c r="X33" s="12">
        <f t="shared" si="2"/>
        <v>0</v>
      </c>
      <c r="Y33" s="26">
        <f t="shared" si="3"/>
        <v>0</v>
      </c>
      <c r="Z33" s="12">
        <f t="shared" si="4"/>
        <v>0</v>
      </c>
      <c r="AA33" s="4" t="s">
        <v>10</v>
      </c>
      <c r="AB33" s="11">
        <f>IFERROR(VLOOKUP(AA33,Curr!$B$2:$C$13,2,FALSE),0)</f>
        <v>11.2</v>
      </c>
      <c r="AC33" s="12">
        <f t="shared" si="5"/>
        <v>0</v>
      </c>
      <c r="AD33" s="12">
        <f t="shared" si="6"/>
        <v>0</v>
      </c>
      <c r="AE33" s="13">
        <f t="shared" si="7"/>
        <v>0</v>
      </c>
    </row>
    <row r="34" spans="2:31" x14ac:dyDescent="0.25">
      <c r="B34" s="4"/>
      <c r="E34" s="3"/>
      <c r="F34" s="3"/>
      <c r="G34" s="24"/>
      <c r="H34" s="24"/>
      <c r="K34" s="4"/>
      <c r="L34" s="4"/>
      <c r="M34" s="4"/>
      <c r="N34" s="4"/>
      <c r="O34" s="4"/>
      <c r="P34" s="33"/>
      <c r="Q34" s="25">
        <v>0</v>
      </c>
      <c r="R34" s="25">
        <v>0</v>
      </c>
      <c r="S34" s="12">
        <f t="shared" si="0"/>
        <v>0</v>
      </c>
      <c r="T34" s="5">
        <v>0</v>
      </c>
      <c r="U34" s="12">
        <f t="shared" si="1"/>
        <v>0</v>
      </c>
      <c r="V34" s="25" t="s">
        <v>10</v>
      </c>
      <c r="W34" s="11">
        <f>IFERROR(VLOOKUP(V34,Curr!$B$2:$C$13,2,FALSE),0)</f>
        <v>11.2</v>
      </c>
      <c r="X34" s="12">
        <f t="shared" si="2"/>
        <v>0</v>
      </c>
      <c r="Y34" s="26">
        <f t="shared" si="3"/>
        <v>0</v>
      </c>
      <c r="Z34" s="12">
        <f t="shared" si="4"/>
        <v>0</v>
      </c>
      <c r="AA34" s="4" t="s">
        <v>10</v>
      </c>
      <c r="AB34" s="11">
        <f>IFERROR(VLOOKUP(AA34,Curr!$B$2:$C$13,2,FALSE),0)</f>
        <v>11.2</v>
      </c>
      <c r="AC34" s="12">
        <f t="shared" si="5"/>
        <v>0</v>
      </c>
      <c r="AD34" s="12">
        <f t="shared" si="6"/>
        <v>0</v>
      </c>
      <c r="AE34" s="13">
        <f t="shared" si="7"/>
        <v>0</v>
      </c>
    </row>
    <row r="35" spans="2:31" x14ac:dyDescent="0.25">
      <c r="B35" s="4"/>
      <c r="E35" s="3"/>
      <c r="F35" s="3"/>
      <c r="G35" s="24"/>
      <c r="H35" s="24"/>
      <c r="K35" s="4"/>
      <c r="L35" s="4"/>
      <c r="M35" s="4"/>
      <c r="N35" s="4"/>
      <c r="O35" s="4"/>
      <c r="P35" s="33"/>
      <c r="Q35" s="25">
        <v>0</v>
      </c>
      <c r="R35" s="25">
        <v>0</v>
      </c>
      <c r="S35" s="12">
        <f t="shared" si="0"/>
        <v>0</v>
      </c>
      <c r="T35" s="5">
        <v>0</v>
      </c>
      <c r="U35" s="12">
        <f t="shared" si="1"/>
        <v>0</v>
      </c>
      <c r="V35" s="25" t="s">
        <v>10</v>
      </c>
      <c r="W35" s="11">
        <f>IFERROR(VLOOKUP(V35,Curr!$B$2:$C$13,2,FALSE),0)</f>
        <v>11.2</v>
      </c>
      <c r="X35" s="12">
        <f t="shared" si="2"/>
        <v>0</v>
      </c>
      <c r="Y35" s="26">
        <f t="shared" si="3"/>
        <v>0</v>
      </c>
      <c r="Z35" s="12">
        <f t="shared" si="4"/>
        <v>0</v>
      </c>
      <c r="AA35" s="4" t="s">
        <v>10</v>
      </c>
      <c r="AB35" s="11">
        <f>IFERROR(VLOOKUP(AA35,Curr!$B$2:$C$13,2,FALSE),0)</f>
        <v>11.2</v>
      </c>
      <c r="AC35" s="12">
        <f t="shared" si="5"/>
        <v>0</v>
      </c>
      <c r="AD35" s="12">
        <f t="shared" si="6"/>
        <v>0</v>
      </c>
      <c r="AE35" s="13">
        <f t="shared" si="7"/>
        <v>0</v>
      </c>
    </row>
    <row r="36" spans="2:31" x14ac:dyDescent="0.25">
      <c r="B36" s="4"/>
      <c r="E36" s="3"/>
      <c r="F36" s="3"/>
      <c r="G36" s="24"/>
      <c r="H36" s="24"/>
      <c r="K36" s="4"/>
      <c r="L36" s="4"/>
      <c r="M36" s="4"/>
      <c r="N36" s="4"/>
      <c r="O36" s="4"/>
      <c r="P36" s="33"/>
      <c r="Q36" s="25">
        <v>0</v>
      </c>
      <c r="R36" s="25">
        <v>0</v>
      </c>
      <c r="S36" s="12">
        <f t="shared" si="0"/>
        <v>0</v>
      </c>
      <c r="T36" s="5">
        <v>0</v>
      </c>
      <c r="U36" s="12">
        <f t="shared" si="1"/>
        <v>0</v>
      </c>
      <c r="V36" s="25" t="s">
        <v>10</v>
      </c>
      <c r="W36" s="11">
        <f>IFERROR(VLOOKUP(V36,Curr!$B$2:$C$13,2,FALSE),0)</f>
        <v>11.2</v>
      </c>
      <c r="X36" s="12">
        <f t="shared" si="2"/>
        <v>0</v>
      </c>
      <c r="Y36" s="26">
        <f t="shared" si="3"/>
        <v>0</v>
      </c>
      <c r="Z36" s="12">
        <f t="shared" si="4"/>
        <v>0</v>
      </c>
      <c r="AA36" s="4" t="s">
        <v>10</v>
      </c>
      <c r="AB36" s="11">
        <f>IFERROR(VLOOKUP(AA36,Curr!$B$2:$C$13,2,FALSE),0)</f>
        <v>11.2</v>
      </c>
      <c r="AC36" s="12">
        <f t="shared" si="5"/>
        <v>0</v>
      </c>
      <c r="AD36" s="12">
        <f t="shared" si="6"/>
        <v>0</v>
      </c>
      <c r="AE36" s="13">
        <f t="shared" si="7"/>
        <v>0</v>
      </c>
    </row>
    <row r="37" spans="2:31" x14ac:dyDescent="0.25">
      <c r="B37" s="4"/>
      <c r="E37" s="3"/>
      <c r="F37" s="3"/>
      <c r="G37" s="24"/>
      <c r="H37" s="24"/>
      <c r="K37" s="4"/>
      <c r="L37" s="4"/>
      <c r="M37" s="4"/>
      <c r="N37" s="4"/>
      <c r="O37" s="4"/>
      <c r="P37" s="33"/>
      <c r="Q37" s="25">
        <v>0</v>
      </c>
      <c r="R37" s="25">
        <v>0</v>
      </c>
      <c r="S37" s="12">
        <f t="shared" si="0"/>
        <v>0</v>
      </c>
      <c r="T37" s="5">
        <v>0</v>
      </c>
      <c r="U37" s="12">
        <f t="shared" si="1"/>
        <v>0</v>
      </c>
      <c r="V37" s="25" t="s">
        <v>10</v>
      </c>
      <c r="W37" s="11">
        <f>IFERROR(VLOOKUP(V37,Curr!$B$2:$C$13,2,FALSE),0)</f>
        <v>11.2</v>
      </c>
      <c r="X37" s="12">
        <f t="shared" si="2"/>
        <v>0</v>
      </c>
      <c r="Y37" s="26">
        <f t="shared" si="3"/>
        <v>0</v>
      </c>
      <c r="Z37" s="12">
        <f t="shared" si="4"/>
        <v>0</v>
      </c>
      <c r="AA37" s="4" t="s">
        <v>10</v>
      </c>
      <c r="AB37" s="11">
        <f>IFERROR(VLOOKUP(AA37,Curr!$B$2:$C$13,2,FALSE),0)</f>
        <v>11.2</v>
      </c>
      <c r="AC37" s="12">
        <f t="shared" si="5"/>
        <v>0</v>
      </c>
      <c r="AD37" s="12">
        <f t="shared" si="6"/>
        <v>0</v>
      </c>
      <c r="AE37" s="13">
        <f t="shared" si="7"/>
        <v>0</v>
      </c>
    </row>
    <row r="38" spans="2:31" x14ac:dyDescent="0.25">
      <c r="B38" s="4"/>
      <c r="E38" s="3"/>
      <c r="F38" s="3"/>
      <c r="G38" s="24"/>
      <c r="H38" s="24"/>
      <c r="K38" s="4"/>
      <c r="L38" s="4"/>
      <c r="M38" s="4"/>
      <c r="N38" s="4"/>
      <c r="O38" s="4"/>
      <c r="P38" s="27"/>
      <c r="Q38" s="25">
        <v>0</v>
      </c>
      <c r="R38" s="25">
        <v>0</v>
      </c>
      <c r="S38" s="12">
        <f t="shared" si="0"/>
        <v>0</v>
      </c>
      <c r="T38" s="5">
        <v>0</v>
      </c>
      <c r="U38" s="12">
        <f t="shared" si="1"/>
        <v>0</v>
      </c>
      <c r="V38" s="25" t="s">
        <v>10</v>
      </c>
      <c r="W38" s="11">
        <f>IFERROR(VLOOKUP(V38,Curr!$B$2:$C$13,2,FALSE),0)</f>
        <v>11.2</v>
      </c>
      <c r="X38" s="12">
        <f t="shared" si="2"/>
        <v>0</v>
      </c>
      <c r="Y38" s="26">
        <f t="shared" si="3"/>
        <v>0</v>
      </c>
      <c r="Z38" s="12">
        <f t="shared" si="4"/>
        <v>0</v>
      </c>
      <c r="AA38" s="4" t="s">
        <v>10</v>
      </c>
      <c r="AB38" s="11">
        <f>IFERROR(VLOOKUP(AA38,Curr!$B$2:$C$13,2,FALSE),0)</f>
        <v>11.2</v>
      </c>
      <c r="AC38" s="12">
        <f t="shared" si="5"/>
        <v>0</v>
      </c>
      <c r="AD38" s="12">
        <f t="shared" si="6"/>
        <v>0</v>
      </c>
      <c r="AE38" s="13">
        <f t="shared" si="7"/>
        <v>0</v>
      </c>
    </row>
    <row r="39" spans="2:31" x14ac:dyDescent="0.25">
      <c r="B39" s="4"/>
      <c r="E39" s="3"/>
      <c r="F39" s="3"/>
      <c r="G39" s="24"/>
      <c r="H39" s="24"/>
      <c r="K39" s="4"/>
      <c r="L39" s="4"/>
      <c r="M39" s="4"/>
      <c r="N39" s="4"/>
      <c r="O39" s="4"/>
      <c r="P39" s="33"/>
      <c r="Q39" s="25">
        <v>0</v>
      </c>
      <c r="R39" s="25">
        <v>0</v>
      </c>
      <c r="S39" s="12">
        <f t="shared" si="0"/>
        <v>0</v>
      </c>
      <c r="T39" s="5">
        <v>0</v>
      </c>
      <c r="U39" s="12">
        <f t="shared" si="1"/>
        <v>0</v>
      </c>
      <c r="V39" s="25" t="s">
        <v>10</v>
      </c>
      <c r="W39" s="11">
        <f>IFERROR(VLOOKUP(V39,Curr!$B$2:$C$13,2,FALSE),0)</f>
        <v>11.2</v>
      </c>
      <c r="X39" s="12">
        <f t="shared" si="2"/>
        <v>0</v>
      </c>
      <c r="Y39" s="26">
        <f t="shared" si="3"/>
        <v>0</v>
      </c>
      <c r="Z39" s="12">
        <f t="shared" si="4"/>
        <v>0</v>
      </c>
      <c r="AA39" s="4" t="s">
        <v>10</v>
      </c>
      <c r="AB39" s="11">
        <f>IFERROR(VLOOKUP(AA39,Curr!$B$2:$C$13,2,FALSE),0)</f>
        <v>11.2</v>
      </c>
      <c r="AC39" s="12">
        <f t="shared" si="5"/>
        <v>0</v>
      </c>
      <c r="AD39" s="12">
        <f t="shared" si="6"/>
        <v>0</v>
      </c>
      <c r="AE39" s="13">
        <f t="shared" si="7"/>
        <v>0</v>
      </c>
    </row>
    <row r="40" spans="2:31" x14ac:dyDescent="0.25">
      <c r="B40" s="4"/>
      <c r="E40" s="3"/>
      <c r="F40" s="3"/>
      <c r="G40" s="24"/>
      <c r="H40" s="24"/>
      <c r="K40" s="4"/>
      <c r="L40" s="4"/>
      <c r="M40" s="4"/>
      <c r="N40" s="4"/>
      <c r="O40" s="4"/>
      <c r="P40" s="33"/>
      <c r="Q40" s="25">
        <v>0</v>
      </c>
      <c r="R40" s="25">
        <v>0</v>
      </c>
      <c r="S40" s="12">
        <f t="shared" si="0"/>
        <v>0</v>
      </c>
      <c r="T40" s="5">
        <v>0</v>
      </c>
      <c r="U40" s="12">
        <f t="shared" si="1"/>
        <v>0</v>
      </c>
      <c r="V40" s="25" t="s">
        <v>10</v>
      </c>
      <c r="W40" s="11">
        <f>IFERROR(VLOOKUP(V40,Curr!$B$2:$C$13,2,FALSE),0)</f>
        <v>11.2</v>
      </c>
      <c r="X40" s="12">
        <f t="shared" si="2"/>
        <v>0</v>
      </c>
      <c r="Y40" s="26">
        <f t="shared" si="3"/>
        <v>0</v>
      </c>
      <c r="Z40" s="12">
        <f t="shared" si="4"/>
        <v>0</v>
      </c>
      <c r="AA40" s="4" t="s">
        <v>10</v>
      </c>
      <c r="AB40" s="11">
        <f>IFERROR(VLOOKUP(AA40,Curr!$B$2:$C$13,2,FALSE),0)</f>
        <v>11.2</v>
      </c>
      <c r="AC40" s="12">
        <f t="shared" si="5"/>
        <v>0</v>
      </c>
      <c r="AD40" s="12">
        <f t="shared" si="6"/>
        <v>0</v>
      </c>
      <c r="AE40" s="13">
        <f t="shared" si="7"/>
        <v>0</v>
      </c>
    </row>
    <row r="41" spans="2:31" x14ac:dyDescent="0.25">
      <c r="B41" s="4"/>
      <c r="E41" s="3"/>
      <c r="F41" s="3"/>
      <c r="G41" s="24"/>
      <c r="H41" s="24"/>
      <c r="K41" s="4"/>
      <c r="L41" s="4"/>
      <c r="M41" s="4"/>
      <c r="N41" s="4"/>
      <c r="O41" s="4"/>
      <c r="P41" s="27"/>
      <c r="Q41" s="25">
        <v>0</v>
      </c>
      <c r="R41" s="25">
        <v>0</v>
      </c>
      <c r="S41" s="12">
        <f t="shared" si="0"/>
        <v>0</v>
      </c>
      <c r="T41" s="5">
        <v>0</v>
      </c>
      <c r="U41" s="12">
        <f t="shared" si="1"/>
        <v>0</v>
      </c>
      <c r="V41" s="25" t="s">
        <v>10</v>
      </c>
      <c r="W41" s="11">
        <f>IFERROR(VLOOKUP(V41,Curr!$B$2:$C$13,2,FALSE),0)</f>
        <v>11.2</v>
      </c>
      <c r="X41" s="12">
        <f t="shared" si="2"/>
        <v>0</v>
      </c>
      <c r="Y41" s="26">
        <f t="shared" si="3"/>
        <v>0</v>
      </c>
      <c r="Z41" s="12">
        <f t="shared" si="4"/>
        <v>0</v>
      </c>
      <c r="AA41" s="4" t="s">
        <v>10</v>
      </c>
      <c r="AB41" s="11">
        <f>IFERROR(VLOOKUP(AA41,Curr!$B$2:$C$13,2,FALSE),0)</f>
        <v>11.2</v>
      </c>
      <c r="AC41" s="12">
        <f t="shared" si="5"/>
        <v>0</v>
      </c>
      <c r="AD41" s="12">
        <f t="shared" si="6"/>
        <v>0</v>
      </c>
      <c r="AE41" s="13">
        <f t="shared" si="7"/>
        <v>0</v>
      </c>
    </row>
    <row r="42" spans="2:31" x14ac:dyDescent="0.25">
      <c r="B42" s="4"/>
      <c r="E42" s="3"/>
      <c r="F42" s="3"/>
      <c r="G42" s="24"/>
      <c r="H42" s="24"/>
      <c r="K42" s="4"/>
      <c r="L42" s="4"/>
      <c r="M42" s="4"/>
      <c r="N42" s="4"/>
      <c r="O42" s="4"/>
      <c r="P42" s="27"/>
      <c r="Q42" s="25">
        <v>0</v>
      </c>
      <c r="R42" s="25">
        <v>0</v>
      </c>
      <c r="S42" s="12">
        <f t="shared" si="0"/>
        <v>0</v>
      </c>
      <c r="T42" s="5">
        <v>0</v>
      </c>
      <c r="U42" s="12">
        <f t="shared" si="1"/>
        <v>0</v>
      </c>
      <c r="V42" s="25" t="s">
        <v>10</v>
      </c>
      <c r="W42" s="11">
        <f>IFERROR(VLOOKUP(V42,Curr!$B$2:$C$13,2,FALSE),0)</f>
        <v>11.2</v>
      </c>
      <c r="X42" s="12">
        <f t="shared" si="2"/>
        <v>0</v>
      </c>
      <c r="Y42" s="26">
        <f t="shared" si="3"/>
        <v>0</v>
      </c>
      <c r="Z42" s="12">
        <f t="shared" si="4"/>
        <v>0</v>
      </c>
      <c r="AA42" s="4" t="s">
        <v>10</v>
      </c>
      <c r="AB42" s="11">
        <f>IFERROR(VLOOKUP(AA42,Curr!$B$2:$C$13,2,FALSE),0)</f>
        <v>11.2</v>
      </c>
      <c r="AC42" s="12">
        <f t="shared" si="5"/>
        <v>0</v>
      </c>
      <c r="AD42" s="12">
        <f t="shared" si="6"/>
        <v>0</v>
      </c>
      <c r="AE42" s="13">
        <f t="shared" si="7"/>
        <v>0</v>
      </c>
    </row>
    <row r="43" spans="2:31" x14ac:dyDescent="0.25">
      <c r="B43" s="4"/>
      <c r="E43" s="3"/>
      <c r="F43" s="3"/>
      <c r="G43" s="24"/>
      <c r="H43" s="24"/>
      <c r="K43" s="4"/>
      <c r="L43" s="4"/>
      <c r="M43" s="4"/>
      <c r="N43" s="4"/>
      <c r="O43" s="4"/>
      <c r="P43" s="27"/>
      <c r="Q43" s="25">
        <v>0</v>
      </c>
      <c r="R43" s="25">
        <v>0</v>
      </c>
      <c r="S43" s="12">
        <f t="shared" si="0"/>
        <v>0</v>
      </c>
      <c r="T43" s="5">
        <v>0</v>
      </c>
      <c r="U43" s="12">
        <f t="shared" si="1"/>
        <v>0</v>
      </c>
      <c r="V43" s="25" t="s">
        <v>10</v>
      </c>
      <c r="W43" s="11">
        <f>IFERROR(VLOOKUP(V43,Curr!$B$2:$C$13,2,FALSE),0)</f>
        <v>11.2</v>
      </c>
      <c r="X43" s="12">
        <f t="shared" si="2"/>
        <v>0</v>
      </c>
      <c r="Y43" s="26">
        <f t="shared" si="3"/>
        <v>0</v>
      </c>
      <c r="Z43" s="12">
        <f t="shared" si="4"/>
        <v>0</v>
      </c>
      <c r="AA43" s="4" t="s">
        <v>10</v>
      </c>
      <c r="AB43" s="11">
        <f>IFERROR(VLOOKUP(AA43,Curr!$B$2:$C$13,2,FALSE),0)</f>
        <v>11.2</v>
      </c>
      <c r="AC43" s="12">
        <f t="shared" si="5"/>
        <v>0</v>
      </c>
      <c r="AD43" s="12">
        <f t="shared" si="6"/>
        <v>0</v>
      </c>
      <c r="AE43" s="13">
        <f t="shared" si="7"/>
        <v>0</v>
      </c>
    </row>
    <row r="44" spans="2:31" x14ac:dyDescent="0.25">
      <c r="B44" s="4"/>
      <c r="E44" s="3"/>
      <c r="F44" s="3"/>
      <c r="G44" s="24"/>
      <c r="H44" s="24"/>
      <c r="K44" s="4"/>
      <c r="L44" s="4"/>
      <c r="M44" s="4"/>
      <c r="N44" s="4"/>
      <c r="O44" s="4"/>
      <c r="P44" s="33"/>
      <c r="Q44" s="25">
        <v>0</v>
      </c>
      <c r="R44" s="25">
        <v>0</v>
      </c>
      <c r="S44" s="12">
        <f t="shared" si="0"/>
        <v>0</v>
      </c>
      <c r="T44" s="5">
        <v>0</v>
      </c>
      <c r="U44" s="12">
        <f t="shared" si="1"/>
        <v>0</v>
      </c>
      <c r="V44" s="25" t="s">
        <v>10</v>
      </c>
      <c r="W44" s="11">
        <f>IFERROR(VLOOKUP(V44,Curr!$B$2:$C$13,2,FALSE),0)</f>
        <v>11.2</v>
      </c>
      <c r="X44" s="12">
        <f t="shared" si="2"/>
        <v>0</v>
      </c>
      <c r="Y44" s="26">
        <f t="shared" si="3"/>
        <v>0</v>
      </c>
      <c r="Z44" s="12">
        <f t="shared" si="4"/>
        <v>0</v>
      </c>
      <c r="AA44" s="4" t="s">
        <v>10</v>
      </c>
      <c r="AB44" s="11">
        <f>IFERROR(VLOOKUP(AA44,Curr!$B$2:$C$13,2,FALSE),0)</f>
        <v>11.2</v>
      </c>
      <c r="AC44" s="12">
        <f t="shared" si="5"/>
        <v>0</v>
      </c>
      <c r="AD44" s="12">
        <f t="shared" si="6"/>
        <v>0</v>
      </c>
      <c r="AE44" s="13">
        <f t="shared" si="7"/>
        <v>0</v>
      </c>
    </row>
    <row r="45" spans="2:31" x14ac:dyDescent="0.25">
      <c r="B45" s="4"/>
      <c r="E45" s="3"/>
      <c r="F45" s="3"/>
      <c r="G45" s="24"/>
      <c r="H45" s="24"/>
      <c r="K45" s="4"/>
      <c r="L45" s="4"/>
      <c r="M45" s="4"/>
      <c r="N45" s="4"/>
      <c r="O45" s="4"/>
      <c r="P45" s="27"/>
      <c r="Q45" s="25">
        <v>0</v>
      </c>
      <c r="R45" s="25">
        <v>0</v>
      </c>
      <c r="S45" s="12">
        <f t="shared" si="0"/>
        <v>0</v>
      </c>
      <c r="T45" s="5">
        <v>0</v>
      </c>
      <c r="U45" s="12">
        <f t="shared" si="1"/>
        <v>0</v>
      </c>
      <c r="V45" s="25" t="s">
        <v>10</v>
      </c>
      <c r="W45" s="11">
        <f>IFERROR(VLOOKUP(V45,Curr!$B$2:$C$13,2,FALSE),0)</f>
        <v>11.2</v>
      </c>
      <c r="X45" s="12">
        <f t="shared" si="2"/>
        <v>0</v>
      </c>
      <c r="Y45" s="26">
        <f t="shared" si="3"/>
        <v>0</v>
      </c>
      <c r="Z45" s="12">
        <f t="shared" si="4"/>
        <v>0</v>
      </c>
      <c r="AA45" s="4" t="s">
        <v>10</v>
      </c>
      <c r="AB45" s="11">
        <f>IFERROR(VLOOKUP(AA45,Curr!$B$2:$C$13,2,FALSE),0)</f>
        <v>11.2</v>
      </c>
      <c r="AC45" s="12">
        <f t="shared" si="5"/>
        <v>0</v>
      </c>
      <c r="AD45" s="12">
        <f t="shared" si="6"/>
        <v>0</v>
      </c>
      <c r="AE45" s="13">
        <f t="shared" si="7"/>
        <v>0</v>
      </c>
    </row>
    <row r="46" spans="2:31" x14ac:dyDescent="0.25">
      <c r="B46" s="4"/>
      <c r="E46" s="3"/>
      <c r="F46" s="3"/>
      <c r="G46" s="24"/>
      <c r="H46" s="24"/>
      <c r="K46" s="4"/>
      <c r="L46" s="4"/>
      <c r="M46" s="4"/>
      <c r="N46" s="4"/>
      <c r="O46" s="4"/>
      <c r="P46" s="27"/>
      <c r="Q46" s="25">
        <v>0</v>
      </c>
      <c r="R46" s="25">
        <v>0</v>
      </c>
      <c r="S46" s="12">
        <f t="shared" si="0"/>
        <v>0</v>
      </c>
      <c r="T46" s="5">
        <v>0</v>
      </c>
      <c r="U46" s="12">
        <f t="shared" si="1"/>
        <v>0</v>
      </c>
      <c r="V46" s="25" t="s">
        <v>10</v>
      </c>
      <c r="W46" s="11">
        <f>IFERROR(VLOOKUP(V46,Curr!$B$2:$C$13,2,FALSE),0)</f>
        <v>11.2</v>
      </c>
      <c r="X46" s="12">
        <f t="shared" si="2"/>
        <v>0</v>
      </c>
      <c r="Y46" s="26">
        <f t="shared" si="3"/>
        <v>0</v>
      </c>
      <c r="Z46" s="12">
        <f t="shared" si="4"/>
        <v>0</v>
      </c>
      <c r="AA46" s="4" t="s">
        <v>10</v>
      </c>
      <c r="AB46" s="11">
        <f>IFERROR(VLOOKUP(AA46,Curr!$B$2:$C$13,2,FALSE),0)</f>
        <v>11.2</v>
      </c>
      <c r="AC46" s="12">
        <f t="shared" si="5"/>
        <v>0</v>
      </c>
      <c r="AD46" s="12">
        <f t="shared" si="6"/>
        <v>0</v>
      </c>
      <c r="AE46" s="13">
        <f t="shared" si="7"/>
        <v>0</v>
      </c>
    </row>
    <row r="47" spans="2:31" x14ac:dyDescent="0.25">
      <c r="B47" s="4"/>
      <c r="E47" s="3"/>
      <c r="F47" s="3"/>
      <c r="G47" s="24"/>
      <c r="H47" s="24"/>
      <c r="K47" s="4"/>
      <c r="L47" s="4"/>
      <c r="M47" s="4"/>
      <c r="N47" s="4"/>
      <c r="O47" s="4"/>
      <c r="P47" s="27"/>
      <c r="Q47" s="25">
        <v>0</v>
      </c>
      <c r="R47" s="25">
        <v>0</v>
      </c>
      <c r="S47" s="12">
        <f t="shared" si="0"/>
        <v>0</v>
      </c>
      <c r="T47" s="5">
        <v>0</v>
      </c>
      <c r="U47" s="12">
        <f t="shared" si="1"/>
        <v>0</v>
      </c>
      <c r="V47" s="25" t="s">
        <v>10</v>
      </c>
      <c r="W47" s="11">
        <f>IFERROR(VLOOKUP(V47,Curr!$B$2:$C$13,2,FALSE),0)</f>
        <v>11.2</v>
      </c>
      <c r="X47" s="12">
        <f t="shared" si="2"/>
        <v>0</v>
      </c>
      <c r="Y47" s="26">
        <f t="shared" si="3"/>
        <v>0</v>
      </c>
      <c r="Z47" s="12">
        <f t="shared" si="4"/>
        <v>0</v>
      </c>
      <c r="AA47" s="4" t="s">
        <v>10</v>
      </c>
      <c r="AB47" s="11">
        <f>IFERROR(VLOOKUP(AA47,Curr!$B$2:$C$13,2,FALSE),0)</f>
        <v>11.2</v>
      </c>
      <c r="AC47" s="12">
        <f t="shared" si="5"/>
        <v>0</v>
      </c>
      <c r="AD47" s="12">
        <f t="shared" si="6"/>
        <v>0</v>
      </c>
      <c r="AE47" s="13">
        <f t="shared" si="7"/>
        <v>0</v>
      </c>
    </row>
    <row r="48" spans="2:31" x14ac:dyDescent="0.25">
      <c r="B48" s="4"/>
      <c r="E48" s="3"/>
      <c r="F48" s="3"/>
      <c r="G48" s="24"/>
      <c r="H48" s="24"/>
      <c r="K48" s="4"/>
      <c r="L48" s="4"/>
      <c r="M48" s="4"/>
      <c r="N48" s="4"/>
      <c r="O48" s="4"/>
      <c r="P48" s="33"/>
      <c r="Q48" s="25">
        <v>0</v>
      </c>
      <c r="R48" s="25">
        <v>0</v>
      </c>
      <c r="S48" s="12">
        <f t="shared" si="0"/>
        <v>0</v>
      </c>
      <c r="T48" s="5">
        <v>0</v>
      </c>
      <c r="U48" s="12">
        <f t="shared" si="1"/>
        <v>0</v>
      </c>
      <c r="V48" s="25" t="s">
        <v>10</v>
      </c>
      <c r="W48" s="11">
        <f>IFERROR(VLOOKUP(V48,Curr!$B$2:$C$13,2,FALSE),0)</f>
        <v>11.2</v>
      </c>
      <c r="X48" s="12">
        <f t="shared" si="2"/>
        <v>0</v>
      </c>
      <c r="Y48" s="26">
        <f t="shared" si="3"/>
        <v>0</v>
      </c>
      <c r="Z48" s="12">
        <f t="shared" si="4"/>
        <v>0</v>
      </c>
      <c r="AA48" s="4" t="s">
        <v>10</v>
      </c>
      <c r="AB48" s="11">
        <f>IFERROR(VLOOKUP(AA48,Curr!$B$2:$C$13,2,FALSE),0)</f>
        <v>11.2</v>
      </c>
      <c r="AC48" s="12">
        <f t="shared" si="5"/>
        <v>0</v>
      </c>
      <c r="AD48" s="12">
        <f t="shared" si="6"/>
        <v>0</v>
      </c>
      <c r="AE48" s="13">
        <f t="shared" si="7"/>
        <v>0</v>
      </c>
    </row>
    <row r="49" spans="2:31" x14ac:dyDescent="0.25">
      <c r="B49" s="4"/>
      <c r="E49" s="3"/>
      <c r="F49" s="3"/>
      <c r="G49" s="24"/>
      <c r="H49" s="24"/>
      <c r="K49" s="4"/>
      <c r="L49" s="4"/>
      <c r="M49" s="4"/>
      <c r="N49" s="4"/>
      <c r="O49" s="4"/>
      <c r="P49" s="27"/>
      <c r="Q49" s="25">
        <v>0</v>
      </c>
      <c r="R49" s="25">
        <v>0</v>
      </c>
      <c r="S49" s="12">
        <f t="shared" si="0"/>
        <v>0</v>
      </c>
      <c r="T49" s="5">
        <v>0</v>
      </c>
      <c r="U49" s="12">
        <f t="shared" si="1"/>
        <v>0</v>
      </c>
      <c r="V49" s="25" t="s">
        <v>10</v>
      </c>
      <c r="W49" s="11">
        <f>IFERROR(VLOOKUP(V49,Curr!$B$2:$C$13,2,FALSE),0)</f>
        <v>11.2</v>
      </c>
      <c r="X49" s="12">
        <f t="shared" si="2"/>
        <v>0</v>
      </c>
      <c r="Y49" s="26">
        <f t="shared" si="3"/>
        <v>0</v>
      </c>
      <c r="Z49" s="12">
        <f t="shared" si="4"/>
        <v>0</v>
      </c>
      <c r="AA49" s="4" t="s">
        <v>10</v>
      </c>
      <c r="AB49" s="11">
        <f>IFERROR(VLOOKUP(AA49,Curr!$B$2:$C$13,2,FALSE),0)</f>
        <v>11.2</v>
      </c>
      <c r="AC49" s="12">
        <f t="shared" si="5"/>
        <v>0</v>
      </c>
      <c r="AD49" s="12">
        <f t="shared" si="6"/>
        <v>0</v>
      </c>
      <c r="AE49" s="13">
        <f t="shared" si="7"/>
        <v>0</v>
      </c>
    </row>
    <row r="50" spans="2:31" x14ac:dyDescent="0.25">
      <c r="B50" s="4"/>
      <c r="E50" s="3"/>
      <c r="F50" s="3"/>
      <c r="G50" s="24"/>
      <c r="H50" s="24"/>
      <c r="K50" s="4"/>
      <c r="L50" s="4"/>
      <c r="M50" s="4"/>
      <c r="N50" s="4"/>
      <c r="O50" s="4"/>
      <c r="P50" s="27"/>
      <c r="Q50" s="25">
        <v>0</v>
      </c>
      <c r="R50" s="25">
        <v>0</v>
      </c>
      <c r="S50" s="12">
        <f t="shared" si="0"/>
        <v>0</v>
      </c>
      <c r="T50" s="5">
        <v>0</v>
      </c>
      <c r="U50" s="12">
        <f t="shared" si="1"/>
        <v>0</v>
      </c>
      <c r="V50" s="25" t="s">
        <v>10</v>
      </c>
      <c r="W50" s="11">
        <f>IFERROR(VLOOKUP(V50,Curr!$B$2:$C$13,2,FALSE),0)</f>
        <v>11.2</v>
      </c>
      <c r="X50" s="12">
        <f t="shared" si="2"/>
        <v>0</v>
      </c>
      <c r="Y50" s="26">
        <f t="shared" si="3"/>
        <v>0</v>
      </c>
      <c r="Z50" s="12">
        <f t="shared" si="4"/>
        <v>0</v>
      </c>
      <c r="AA50" s="4" t="s">
        <v>10</v>
      </c>
      <c r="AB50" s="11">
        <f>IFERROR(VLOOKUP(AA50,Curr!$B$2:$C$13,2,FALSE),0)</f>
        <v>11.2</v>
      </c>
      <c r="AC50" s="12">
        <f t="shared" si="5"/>
        <v>0</v>
      </c>
      <c r="AD50" s="12">
        <f t="shared" si="6"/>
        <v>0</v>
      </c>
      <c r="AE50" s="13">
        <f t="shared" si="7"/>
        <v>0</v>
      </c>
    </row>
    <row r="51" spans="2:31" x14ac:dyDescent="0.25">
      <c r="B51" s="4"/>
      <c r="E51" s="3"/>
      <c r="F51" s="3"/>
      <c r="G51" s="24"/>
      <c r="H51" s="24"/>
      <c r="K51" s="4"/>
      <c r="L51" s="4"/>
      <c r="M51" s="4"/>
      <c r="N51" s="4"/>
      <c r="O51" s="4"/>
      <c r="P51" s="27"/>
      <c r="Q51" s="25">
        <v>0</v>
      </c>
      <c r="R51" s="25">
        <v>0</v>
      </c>
      <c r="S51" s="12">
        <f t="shared" si="0"/>
        <v>0</v>
      </c>
      <c r="T51" s="5">
        <v>0</v>
      </c>
      <c r="U51" s="12">
        <f t="shared" si="1"/>
        <v>0</v>
      </c>
      <c r="V51" s="25" t="s">
        <v>10</v>
      </c>
      <c r="W51" s="11">
        <f>IFERROR(VLOOKUP(V51,Curr!$B$2:$C$13,2,FALSE),0)</f>
        <v>11.2</v>
      </c>
      <c r="X51" s="12">
        <f t="shared" si="2"/>
        <v>0</v>
      </c>
      <c r="Y51" s="26">
        <f t="shared" si="3"/>
        <v>0</v>
      </c>
      <c r="Z51" s="12">
        <f t="shared" si="4"/>
        <v>0</v>
      </c>
      <c r="AA51" s="4" t="s">
        <v>10</v>
      </c>
      <c r="AB51" s="11">
        <f>IFERROR(VLOOKUP(AA51,Curr!$B$2:$C$13,2,FALSE),0)</f>
        <v>11.2</v>
      </c>
      <c r="AC51" s="12">
        <f t="shared" si="5"/>
        <v>0</v>
      </c>
      <c r="AD51" s="12">
        <f t="shared" si="6"/>
        <v>0</v>
      </c>
      <c r="AE51" s="13">
        <f t="shared" si="7"/>
        <v>0</v>
      </c>
    </row>
    <row r="52" spans="2:31" x14ac:dyDescent="0.25">
      <c r="B52" s="4"/>
      <c r="E52" s="3"/>
      <c r="F52" s="3"/>
      <c r="G52" s="24"/>
      <c r="H52" s="24"/>
      <c r="K52" s="4"/>
      <c r="L52" s="4"/>
      <c r="M52" s="4"/>
      <c r="N52" s="4"/>
      <c r="O52" s="4"/>
      <c r="P52" s="27"/>
      <c r="Q52" s="25">
        <v>0</v>
      </c>
      <c r="R52" s="25">
        <v>0</v>
      </c>
      <c r="S52" s="12">
        <f t="shared" si="0"/>
        <v>0</v>
      </c>
      <c r="T52" s="5">
        <v>0</v>
      </c>
      <c r="U52" s="12">
        <f t="shared" si="1"/>
        <v>0</v>
      </c>
      <c r="V52" s="25" t="s">
        <v>10</v>
      </c>
      <c r="W52" s="11">
        <f>IFERROR(VLOOKUP(V52,Curr!$B$2:$C$13,2,FALSE),0)</f>
        <v>11.2</v>
      </c>
      <c r="X52" s="12">
        <f t="shared" si="2"/>
        <v>0</v>
      </c>
      <c r="Y52" s="26">
        <f t="shared" si="3"/>
        <v>0</v>
      </c>
      <c r="Z52" s="12">
        <f t="shared" si="4"/>
        <v>0</v>
      </c>
      <c r="AA52" s="4" t="s">
        <v>10</v>
      </c>
      <c r="AB52" s="11">
        <f>IFERROR(VLOOKUP(AA52,Curr!$B$2:$C$13,2,FALSE),0)</f>
        <v>11.2</v>
      </c>
      <c r="AC52" s="12">
        <f t="shared" si="5"/>
        <v>0</v>
      </c>
      <c r="AD52" s="12">
        <f t="shared" si="6"/>
        <v>0</v>
      </c>
      <c r="AE52" s="13">
        <f t="shared" si="7"/>
        <v>0</v>
      </c>
    </row>
    <row r="53" spans="2:31" x14ac:dyDescent="0.25">
      <c r="B53" s="4"/>
      <c r="E53" s="3"/>
      <c r="F53" s="3"/>
      <c r="G53" s="24"/>
      <c r="H53" s="24"/>
      <c r="K53" s="4"/>
      <c r="L53" s="4"/>
      <c r="M53" s="4"/>
      <c r="N53" s="4"/>
      <c r="O53" s="4"/>
      <c r="P53" s="27"/>
      <c r="Q53" s="25">
        <v>0</v>
      </c>
      <c r="R53" s="25">
        <v>0</v>
      </c>
      <c r="S53" s="12">
        <f t="shared" si="0"/>
        <v>0</v>
      </c>
      <c r="T53" s="5">
        <v>0</v>
      </c>
      <c r="U53" s="12">
        <f t="shared" si="1"/>
        <v>0</v>
      </c>
      <c r="V53" s="25" t="s">
        <v>10</v>
      </c>
      <c r="W53" s="11">
        <f>IFERROR(VLOOKUP(V53,Curr!$B$2:$C$13,2,FALSE),0)</f>
        <v>11.2</v>
      </c>
      <c r="X53" s="12">
        <f t="shared" si="2"/>
        <v>0</v>
      </c>
      <c r="Y53" s="26">
        <f t="shared" si="3"/>
        <v>0</v>
      </c>
      <c r="Z53" s="12">
        <f t="shared" si="4"/>
        <v>0</v>
      </c>
      <c r="AA53" s="4" t="s">
        <v>10</v>
      </c>
      <c r="AB53" s="11">
        <f>IFERROR(VLOOKUP(AA53,Curr!$B$2:$C$13,2,FALSE),0)</f>
        <v>11.2</v>
      </c>
      <c r="AC53" s="12">
        <f t="shared" si="5"/>
        <v>0</v>
      </c>
      <c r="AD53" s="12">
        <f t="shared" si="6"/>
        <v>0</v>
      </c>
      <c r="AE53" s="13">
        <f t="shared" si="7"/>
        <v>0</v>
      </c>
    </row>
    <row r="54" spans="2:31" x14ac:dyDescent="0.25">
      <c r="B54" s="4"/>
      <c r="E54" s="3"/>
      <c r="F54" s="3"/>
      <c r="G54" s="24"/>
      <c r="H54" s="24"/>
      <c r="K54" s="4"/>
      <c r="L54" s="4"/>
      <c r="M54" s="4"/>
      <c r="N54" s="4"/>
      <c r="O54" s="4"/>
      <c r="P54" s="27"/>
      <c r="Q54" s="25">
        <v>0</v>
      </c>
      <c r="R54" s="25">
        <v>0</v>
      </c>
      <c r="S54" s="12">
        <f t="shared" si="0"/>
        <v>0</v>
      </c>
      <c r="T54" s="5">
        <v>0</v>
      </c>
      <c r="U54" s="12">
        <f t="shared" si="1"/>
        <v>0</v>
      </c>
      <c r="V54" s="25" t="s">
        <v>10</v>
      </c>
      <c r="W54" s="11">
        <f>IFERROR(VLOOKUP(V54,Curr!$B$2:$C$13,2,FALSE),0)</f>
        <v>11.2</v>
      </c>
      <c r="X54" s="12">
        <f t="shared" si="2"/>
        <v>0</v>
      </c>
      <c r="Y54" s="26">
        <f t="shared" si="3"/>
        <v>0</v>
      </c>
      <c r="Z54" s="12">
        <f t="shared" si="4"/>
        <v>0</v>
      </c>
      <c r="AA54" s="4" t="s">
        <v>10</v>
      </c>
      <c r="AB54" s="11">
        <f>IFERROR(VLOOKUP(AA54,Curr!$B$2:$C$13,2,FALSE),0)</f>
        <v>11.2</v>
      </c>
      <c r="AC54" s="12">
        <f t="shared" si="5"/>
        <v>0</v>
      </c>
      <c r="AD54" s="12">
        <f t="shared" si="6"/>
        <v>0</v>
      </c>
      <c r="AE54" s="13">
        <f t="shared" si="7"/>
        <v>0</v>
      </c>
    </row>
    <row r="55" spans="2:31" x14ac:dyDescent="0.25">
      <c r="B55" s="4"/>
      <c r="E55" s="3"/>
      <c r="F55" s="3"/>
      <c r="G55" s="24"/>
      <c r="H55" s="24"/>
      <c r="K55" s="4"/>
      <c r="L55" s="4"/>
      <c r="M55" s="4"/>
      <c r="N55" s="4"/>
      <c r="O55" s="4"/>
      <c r="P55" s="27"/>
      <c r="Q55" s="25">
        <v>0</v>
      </c>
      <c r="R55" s="25">
        <v>0</v>
      </c>
      <c r="S55" s="12">
        <f t="shared" si="0"/>
        <v>0</v>
      </c>
      <c r="T55" s="5">
        <v>0</v>
      </c>
      <c r="U55" s="12">
        <f t="shared" si="1"/>
        <v>0</v>
      </c>
      <c r="V55" s="25" t="s">
        <v>10</v>
      </c>
      <c r="W55" s="11">
        <f>IFERROR(VLOOKUP(V55,Curr!$B$2:$C$13,2,FALSE),0)</f>
        <v>11.2</v>
      </c>
      <c r="X55" s="12">
        <f t="shared" si="2"/>
        <v>0</v>
      </c>
      <c r="Y55" s="26">
        <f t="shared" si="3"/>
        <v>0</v>
      </c>
      <c r="Z55" s="12">
        <f t="shared" si="4"/>
        <v>0</v>
      </c>
      <c r="AA55" s="4" t="s">
        <v>10</v>
      </c>
      <c r="AB55" s="11">
        <f>IFERROR(VLOOKUP(AA55,Curr!$B$2:$C$13,2,FALSE),0)</f>
        <v>11.2</v>
      </c>
      <c r="AC55" s="12">
        <f t="shared" si="5"/>
        <v>0</v>
      </c>
      <c r="AD55" s="12">
        <f t="shared" si="6"/>
        <v>0</v>
      </c>
      <c r="AE55" s="13">
        <f t="shared" si="7"/>
        <v>0</v>
      </c>
    </row>
    <row r="56" spans="2:31" x14ac:dyDescent="0.25">
      <c r="B56" s="4"/>
      <c r="E56" s="3"/>
      <c r="F56" s="3"/>
      <c r="G56" s="24"/>
      <c r="H56" s="24"/>
      <c r="K56" s="4"/>
      <c r="L56" s="4"/>
      <c r="M56" s="4"/>
      <c r="N56" s="4"/>
      <c r="O56" s="4"/>
      <c r="P56" s="27"/>
      <c r="Q56" s="25">
        <v>0</v>
      </c>
      <c r="R56" s="25">
        <v>0</v>
      </c>
      <c r="S56" s="12">
        <f t="shared" si="0"/>
        <v>0</v>
      </c>
      <c r="T56" s="5">
        <v>0</v>
      </c>
      <c r="U56" s="12">
        <f t="shared" si="1"/>
        <v>0</v>
      </c>
      <c r="V56" s="25" t="s">
        <v>10</v>
      </c>
      <c r="W56" s="11">
        <f>IFERROR(VLOOKUP(V56,Curr!$B$2:$C$13,2,FALSE),0)</f>
        <v>11.2</v>
      </c>
      <c r="X56" s="12">
        <f t="shared" si="2"/>
        <v>0</v>
      </c>
      <c r="Y56" s="26">
        <f t="shared" si="3"/>
        <v>0</v>
      </c>
      <c r="Z56" s="12">
        <f t="shared" si="4"/>
        <v>0</v>
      </c>
      <c r="AA56" s="4" t="s">
        <v>10</v>
      </c>
      <c r="AB56" s="11">
        <f>IFERROR(VLOOKUP(AA56,Curr!$B$2:$C$13,2,FALSE),0)</f>
        <v>11.2</v>
      </c>
      <c r="AC56" s="12">
        <f t="shared" si="5"/>
        <v>0</v>
      </c>
      <c r="AD56" s="12">
        <f t="shared" si="6"/>
        <v>0</v>
      </c>
      <c r="AE56" s="13">
        <f t="shared" si="7"/>
        <v>0</v>
      </c>
    </row>
    <row r="57" spans="2:31" x14ac:dyDescent="0.25">
      <c r="B57" s="4"/>
      <c r="E57" s="3"/>
      <c r="F57" s="3"/>
      <c r="G57" s="24"/>
      <c r="H57" s="24"/>
      <c r="K57" s="4"/>
      <c r="L57" s="4"/>
      <c r="M57" s="4"/>
      <c r="N57" s="4"/>
      <c r="O57" s="4"/>
      <c r="P57" s="27"/>
      <c r="Q57" s="25">
        <v>0</v>
      </c>
      <c r="R57" s="25">
        <v>0</v>
      </c>
      <c r="S57" s="12">
        <f t="shared" si="0"/>
        <v>0</v>
      </c>
      <c r="T57" s="5">
        <v>0</v>
      </c>
      <c r="U57" s="12">
        <f t="shared" si="1"/>
        <v>0</v>
      </c>
      <c r="V57" s="25" t="s">
        <v>10</v>
      </c>
      <c r="W57" s="11">
        <f>IFERROR(VLOOKUP(V57,Curr!$B$2:$C$13,2,FALSE),0)</f>
        <v>11.2</v>
      </c>
      <c r="X57" s="12">
        <f t="shared" si="2"/>
        <v>0</v>
      </c>
      <c r="Y57" s="26">
        <f t="shared" si="3"/>
        <v>0</v>
      </c>
      <c r="Z57" s="12">
        <f t="shared" si="4"/>
        <v>0</v>
      </c>
      <c r="AA57" s="4" t="s">
        <v>10</v>
      </c>
      <c r="AB57" s="11">
        <f>IFERROR(VLOOKUP(AA57,Curr!$B$2:$C$13,2,FALSE),0)</f>
        <v>11.2</v>
      </c>
      <c r="AC57" s="12">
        <f t="shared" si="5"/>
        <v>0</v>
      </c>
      <c r="AD57" s="12">
        <f t="shared" si="6"/>
        <v>0</v>
      </c>
      <c r="AE57" s="13">
        <f t="shared" si="7"/>
        <v>0</v>
      </c>
    </row>
    <row r="58" spans="2:31" x14ac:dyDescent="0.25">
      <c r="B58" s="4"/>
      <c r="E58" s="3"/>
      <c r="F58" s="3"/>
      <c r="G58" s="24"/>
      <c r="H58" s="24"/>
      <c r="K58" s="4"/>
      <c r="L58" s="4"/>
      <c r="M58" s="4"/>
      <c r="N58" s="4"/>
      <c r="O58" s="4"/>
      <c r="P58" s="27"/>
      <c r="Q58" s="25">
        <v>0</v>
      </c>
      <c r="R58" s="25">
        <v>0</v>
      </c>
      <c r="S58" s="12">
        <f t="shared" si="0"/>
        <v>0</v>
      </c>
      <c r="T58" s="5">
        <v>0</v>
      </c>
      <c r="U58" s="12">
        <f t="shared" si="1"/>
        <v>0</v>
      </c>
      <c r="V58" s="25" t="s">
        <v>10</v>
      </c>
      <c r="W58" s="11">
        <f>IFERROR(VLOOKUP(V58,Curr!$B$2:$C$13,2,FALSE),0)</f>
        <v>11.2</v>
      </c>
      <c r="X58" s="12">
        <f t="shared" si="2"/>
        <v>0</v>
      </c>
      <c r="Y58" s="26">
        <f t="shared" si="3"/>
        <v>0</v>
      </c>
      <c r="Z58" s="12">
        <f t="shared" si="4"/>
        <v>0</v>
      </c>
      <c r="AA58" s="4" t="s">
        <v>10</v>
      </c>
      <c r="AB58" s="11">
        <f>IFERROR(VLOOKUP(AA58,Curr!$B$2:$C$13,2,FALSE),0)</f>
        <v>11.2</v>
      </c>
      <c r="AC58" s="12">
        <f t="shared" si="5"/>
        <v>0</v>
      </c>
      <c r="AD58" s="12">
        <f t="shared" si="6"/>
        <v>0</v>
      </c>
      <c r="AE58" s="13">
        <f t="shared" si="7"/>
        <v>0</v>
      </c>
    </row>
    <row r="59" spans="2:31" x14ac:dyDescent="0.25">
      <c r="B59" s="4"/>
      <c r="E59" s="3"/>
      <c r="F59" s="3"/>
      <c r="G59" s="24"/>
      <c r="H59" s="24"/>
      <c r="K59" s="4"/>
      <c r="L59" s="4"/>
      <c r="M59" s="4"/>
      <c r="N59" s="4"/>
      <c r="O59" s="4"/>
      <c r="P59" s="27"/>
      <c r="Q59" s="25">
        <v>0</v>
      </c>
      <c r="R59" s="25">
        <v>0</v>
      </c>
      <c r="S59" s="12">
        <f t="shared" si="0"/>
        <v>0</v>
      </c>
      <c r="T59" s="5">
        <v>0</v>
      </c>
      <c r="U59" s="12">
        <f t="shared" si="1"/>
        <v>0</v>
      </c>
      <c r="V59" s="25" t="s">
        <v>10</v>
      </c>
      <c r="W59" s="11">
        <f>IFERROR(VLOOKUP(V59,Curr!$B$2:$C$13,2,FALSE),0)</f>
        <v>11.2</v>
      </c>
      <c r="X59" s="12">
        <f t="shared" si="2"/>
        <v>0</v>
      </c>
      <c r="Y59" s="26">
        <f t="shared" si="3"/>
        <v>0</v>
      </c>
      <c r="Z59" s="12">
        <f t="shared" si="4"/>
        <v>0</v>
      </c>
      <c r="AA59" s="4" t="s">
        <v>10</v>
      </c>
      <c r="AB59" s="11">
        <f>IFERROR(VLOOKUP(AA59,Curr!$B$2:$C$13,2,FALSE),0)</f>
        <v>11.2</v>
      </c>
      <c r="AC59" s="12">
        <f t="shared" si="5"/>
        <v>0</v>
      </c>
      <c r="AD59" s="12">
        <f t="shared" si="6"/>
        <v>0</v>
      </c>
      <c r="AE59" s="13">
        <f t="shared" si="7"/>
        <v>0</v>
      </c>
    </row>
    <row r="60" spans="2:31" x14ac:dyDescent="0.25">
      <c r="B60" s="4"/>
      <c r="E60" s="3"/>
      <c r="F60" s="3"/>
      <c r="G60" s="24"/>
      <c r="H60" s="24"/>
      <c r="K60" s="4"/>
      <c r="L60" s="4"/>
      <c r="M60" s="4"/>
      <c r="N60" s="4"/>
      <c r="O60" s="4"/>
      <c r="P60" s="27"/>
      <c r="Q60" s="25">
        <v>0</v>
      </c>
      <c r="R60" s="25">
        <v>0</v>
      </c>
      <c r="S60" s="12">
        <f t="shared" si="0"/>
        <v>0</v>
      </c>
      <c r="T60" s="5">
        <v>0</v>
      </c>
      <c r="U60" s="12">
        <f t="shared" si="1"/>
        <v>0</v>
      </c>
      <c r="V60" s="25" t="s">
        <v>10</v>
      </c>
      <c r="W60" s="11">
        <f>IFERROR(VLOOKUP(V60,Curr!$B$2:$C$13,2,FALSE),0)</f>
        <v>11.2</v>
      </c>
      <c r="X60" s="12">
        <f t="shared" si="2"/>
        <v>0</v>
      </c>
      <c r="Y60" s="26">
        <f t="shared" si="3"/>
        <v>0</v>
      </c>
      <c r="Z60" s="12">
        <f t="shared" si="4"/>
        <v>0</v>
      </c>
      <c r="AA60" s="4" t="s">
        <v>10</v>
      </c>
      <c r="AB60" s="11">
        <f>IFERROR(VLOOKUP(AA60,Curr!$B$2:$C$13,2,FALSE),0)</f>
        <v>11.2</v>
      </c>
      <c r="AC60" s="12">
        <f t="shared" si="5"/>
        <v>0</v>
      </c>
      <c r="AD60" s="12">
        <f t="shared" si="6"/>
        <v>0</v>
      </c>
      <c r="AE60" s="13">
        <f t="shared" si="7"/>
        <v>0</v>
      </c>
    </row>
    <row r="61" spans="2:31" x14ac:dyDescent="0.25">
      <c r="B61" s="4"/>
      <c r="E61" s="3"/>
      <c r="F61" s="3"/>
      <c r="G61" s="24"/>
      <c r="H61" s="24"/>
      <c r="K61" s="4"/>
      <c r="L61" s="4"/>
      <c r="M61" s="4"/>
      <c r="N61" s="4"/>
      <c r="O61" s="4"/>
      <c r="P61" s="27"/>
      <c r="Q61" s="25">
        <v>0</v>
      </c>
      <c r="R61" s="25">
        <v>0</v>
      </c>
      <c r="S61" s="12">
        <f t="shared" si="0"/>
        <v>0</v>
      </c>
      <c r="T61" s="5">
        <v>0</v>
      </c>
      <c r="U61" s="12">
        <f t="shared" si="1"/>
        <v>0</v>
      </c>
      <c r="V61" s="25" t="s">
        <v>10</v>
      </c>
      <c r="W61" s="11">
        <f>IFERROR(VLOOKUP(V61,Curr!$B$2:$C$13,2,FALSE),0)</f>
        <v>11.2</v>
      </c>
      <c r="X61" s="12">
        <f t="shared" si="2"/>
        <v>0</v>
      </c>
      <c r="Y61" s="26">
        <f t="shared" si="3"/>
        <v>0</v>
      </c>
      <c r="Z61" s="12">
        <f t="shared" si="4"/>
        <v>0</v>
      </c>
      <c r="AA61" s="4" t="s">
        <v>10</v>
      </c>
      <c r="AB61" s="11">
        <f>IFERROR(VLOOKUP(AA61,Curr!$B$2:$C$13,2,FALSE),0)</f>
        <v>11.2</v>
      </c>
      <c r="AC61" s="12">
        <f t="shared" si="5"/>
        <v>0</v>
      </c>
      <c r="AD61" s="12">
        <f t="shared" si="6"/>
        <v>0</v>
      </c>
      <c r="AE61" s="13">
        <f t="shared" si="7"/>
        <v>0</v>
      </c>
    </row>
    <row r="62" spans="2:31" x14ac:dyDescent="0.25">
      <c r="B62" s="4"/>
      <c r="E62" s="3"/>
      <c r="F62" s="3"/>
      <c r="G62" s="24"/>
      <c r="H62" s="24"/>
      <c r="K62" s="4"/>
      <c r="L62" s="4"/>
      <c r="M62" s="4"/>
      <c r="N62" s="4"/>
      <c r="O62" s="4"/>
      <c r="P62" s="27"/>
      <c r="Q62" s="25">
        <v>0</v>
      </c>
      <c r="R62" s="25">
        <v>0</v>
      </c>
      <c r="S62" s="12">
        <f t="shared" si="0"/>
        <v>0</v>
      </c>
      <c r="T62" s="5">
        <v>0</v>
      </c>
      <c r="U62" s="12">
        <f t="shared" si="1"/>
        <v>0</v>
      </c>
      <c r="V62" s="25" t="s">
        <v>10</v>
      </c>
      <c r="W62" s="11">
        <f>IFERROR(VLOOKUP(V62,Curr!$B$2:$C$13,2,FALSE),0)</f>
        <v>11.2</v>
      </c>
      <c r="X62" s="12">
        <f t="shared" si="2"/>
        <v>0</v>
      </c>
      <c r="Y62" s="26">
        <f t="shared" si="3"/>
        <v>0</v>
      </c>
      <c r="Z62" s="12">
        <f t="shared" si="4"/>
        <v>0</v>
      </c>
      <c r="AA62" s="4" t="s">
        <v>10</v>
      </c>
      <c r="AB62" s="11">
        <f>IFERROR(VLOOKUP(AA62,Curr!$B$2:$C$13,2,FALSE),0)</f>
        <v>11.2</v>
      </c>
      <c r="AC62" s="12">
        <f t="shared" si="5"/>
        <v>0</v>
      </c>
      <c r="AD62" s="12">
        <f t="shared" si="6"/>
        <v>0</v>
      </c>
      <c r="AE62" s="13">
        <f t="shared" si="7"/>
        <v>0</v>
      </c>
    </row>
    <row r="63" spans="2:31" x14ac:dyDescent="0.25">
      <c r="B63" s="4"/>
      <c r="E63" s="3"/>
      <c r="F63" s="3"/>
      <c r="G63" s="24"/>
      <c r="H63" s="24"/>
      <c r="K63" s="4"/>
      <c r="L63" s="4"/>
      <c r="M63" s="4"/>
      <c r="N63" s="4"/>
      <c r="O63" s="4"/>
      <c r="P63" s="27"/>
      <c r="Q63" s="25">
        <v>0</v>
      </c>
      <c r="R63" s="25">
        <v>0</v>
      </c>
      <c r="S63" s="12">
        <f t="shared" si="0"/>
        <v>0</v>
      </c>
      <c r="T63" s="5">
        <v>0</v>
      </c>
      <c r="U63" s="12">
        <f t="shared" si="1"/>
        <v>0</v>
      </c>
      <c r="V63" s="25" t="s">
        <v>10</v>
      </c>
      <c r="W63" s="11">
        <f>IFERROR(VLOOKUP(V63,Curr!$B$2:$C$13,2,FALSE),0)</f>
        <v>11.2</v>
      </c>
      <c r="X63" s="12">
        <f t="shared" si="2"/>
        <v>0</v>
      </c>
      <c r="Y63" s="26">
        <f t="shared" si="3"/>
        <v>0</v>
      </c>
      <c r="Z63" s="12">
        <f t="shared" si="4"/>
        <v>0</v>
      </c>
      <c r="AA63" s="4" t="s">
        <v>10</v>
      </c>
      <c r="AB63" s="11">
        <f>IFERROR(VLOOKUP(AA63,Curr!$B$2:$C$13,2,FALSE),0)</f>
        <v>11.2</v>
      </c>
      <c r="AC63" s="12">
        <f t="shared" si="5"/>
        <v>0</v>
      </c>
      <c r="AD63" s="12">
        <f t="shared" si="6"/>
        <v>0</v>
      </c>
      <c r="AE63" s="13">
        <f t="shared" si="7"/>
        <v>0</v>
      </c>
    </row>
    <row r="64" spans="2:31" x14ac:dyDescent="0.25">
      <c r="B64" s="4"/>
      <c r="E64" s="3"/>
      <c r="F64" s="3"/>
      <c r="G64" s="24"/>
      <c r="H64" s="24"/>
      <c r="K64" s="4"/>
      <c r="L64" s="4"/>
      <c r="M64" s="4"/>
      <c r="N64" s="4"/>
      <c r="O64" s="4"/>
      <c r="P64" s="27"/>
      <c r="Q64" s="25">
        <v>0</v>
      </c>
      <c r="R64" s="25">
        <v>0</v>
      </c>
      <c r="S64" s="12">
        <f t="shared" si="0"/>
        <v>0</v>
      </c>
      <c r="T64" s="5">
        <v>0</v>
      </c>
      <c r="U64" s="12">
        <f t="shared" si="1"/>
        <v>0</v>
      </c>
      <c r="V64" s="25" t="s">
        <v>10</v>
      </c>
      <c r="W64" s="11">
        <f>IFERROR(VLOOKUP(V64,Curr!$B$2:$C$13,2,FALSE),0)</f>
        <v>11.2</v>
      </c>
      <c r="X64" s="12">
        <f t="shared" si="2"/>
        <v>0</v>
      </c>
      <c r="Y64" s="26">
        <f t="shared" si="3"/>
        <v>0</v>
      </c>
      <c r="Z64" s="12">
        <f t="shared" si="4"/>
        <v>0</v>
      </c>
      <c r="AA64" s="4" t="s">
        <v>10</v>
      </c>
      <c r="AB64" s="11">
        <f>IFERROR(VLOOKUP(AA64,Curr!$B$2:$C$13,2,FALSE),0)</f>
        <v>11.2</v>
      </c>
      <c r="AC64" s="12">
        <f t="shared" si="5"/>
        <v>0</v>
      </c>
      <c r="AD64" s="12">
        <f t="shared" si="6"/>
        <v>0</v>
      </c>
      <c r="AE64" s="13">
        <f t="shared" si="7"/>
        <v>0</v>
      </c>
    </row>
    <row r="65" spans="2:31" x14ac:dyDescent="0.25">
      <c r="B65" s="4"/>
      <c r="E65" s="3"/>
      <c r="F65" s="3"/>
      <c r="G65" s="24"/>
      <c r="H65" s="24"/>
      <c r="K65" s="4"/>
      <c r="L65" s="4"/>
      <c r="M65" s="4"/>
      <c r="N65" s="4"/>
      <c r="O65" s="4"/>
      <c r="P65" s="27"/>
      <c r="Q65" s="25">
        <v>0</v>
      </c>
      <c r="R65" s="25">
        <v>0</v>
      </c>
      <c r="S65" s="12">
        <f t="shared" si="0"/>
        <v>0</v>
      </c>
      <c r="T65" s="5">
        <v>0</v>
      </c>
      <c r="U65" s="12">
        <f t="shared" si="1"/>
        <v>0</v>
      </c>
      <c r="V65" s="25" t="s">
        <v>10</v>
      </c>
      <c r="W65" s="11">
        <f>IFERROR(VLOOKUP(V65,Curr!$B$2:$C$13,2,FALSE),0)</f>
        <v>11.2</v>
      </c>
      <c r="X65" s="12">
        <f t="shared" si="2"/>
        <v>0</v>
      </c>
      <c r="Y65" s="26">
        <f t="shared" si="3"/>
        <v>0</v>
      </c>
      <c r="Z65" s="12">
        <f t="shared" si="4"/>
        <v>0</v>
      </c>
      <c r="AA65" s="4" t="s">
        <v>10</v>
      </c>
      <c r="AB65" s="11">
        <f>IFERROR(VLOOKUP(AA65,Curr!$B$2:$C$13,2,FALSE),0)</f>
        <v>11.2</v>
      </c>
      <c r="AC65" s="12">
        <f t="shared" si="5"/>
        <v>0</v>
      </c>
      <c r="AD65" s="12">
        <f t="shared" si="6"/>
        <v>0</v>
      </c>
      <c r="AE65" s="13">
        <f t="shared" si="7"/>
        <v>0</v>
      </c>
    </row>
    <row r="66" spans="2:31" x14ac:dyDescent="0.25">
      <c r="B66" s="4"/>
      <c r="E66" s="3"/>
      <c r="F66" s="3"/>
      <c r="G66" s="24"/>
      <c r="H66" s="24"/>
      <c r="K66" s="4"/>
      <c r="L66" s="4"/>
      <c r="M66" s="4"/>
      <c r="N66" s="4"/>
      <c r="O66" s="4"/>
      <c r="P66" s="27"/>
      <c r="Q66" s="25">
        <v>0</v>
      </c>
      <c r="R66" s="25">
        <v>0</v>
      </c>
      <c r="S66" s="12">
        <f t="shared" si="0"/>
        <v>0</v>
      </c>
      <c r="T66" s="5">
        <v>0</v>
      </c>
      <c r="U66" s="12">
        <f t="shared" si="1"/>
        <v>0</v>
      </c>
      <c r="V66" s="25" t="s">
        <v>10</v>
      </c>
      <c r="W66" s="11">
        <f>IFERROR(VLOOKUP(V66,Curr!$B$2:$C$13,2,FALSE),0)</f>
        <v>11.2</v>
      </c>
      <c r="X66" s="12">
        <f t="shared" si="2"/>
        <v>0</v>
      </c>
      <c r="Y66" s="26">
        <f t="shared" si="3"/>
        <v>0</v>
      </c>
      <c r="Z66" s="12">
        <f t="shared" si="4"/>
        <v>0</v>
      </c>
      <c r="AA66" s="4" t="s">
        <v>10</v>
      </c>
      <c r="AB66" s="11">
        <f>IFERROR(VLOOKUP(AA66,Curr!$B$2:$C$13,2,FALSE),0)</f>
        <v>11.2</v>
      </c>
      <c r="AC66" s="12">
        <f t="shared" si="5"/>
        <v>0</v>
      </c>
      <c r="AD66" s="12">
        <f t="shared" si="6"/>
        <v>0</v>
      </c>
      <c r="AE66" s="13">
        <f t="shared" si="7"/>
        <v>0</v>
      </c>
    </row>
    <row r="67" spans="2:31" x14ac:dyDescent="0.25">
      <c r="B67" s="4"/>
      <c r="E67" s="3"/>
      <c r="F67" s="3"/>
      <c r="G67" s="24"/>
      <c r="H67" s="24"/>
      <c r="K67" s="4"/>
      <c r="L67" s="4"/>
      <c r="M67" s="4"/>
      <c r="N67" s="4"/>
      <c r="O67" s="4"/>
      <c r="P67" s="27"/>
      <c r="Q67" s="25">
        <v>0</v>
      </c>
      <c r="R67" s="25">
        <v>0</v>
      </c>
      <c r="S67" s="12">
        <f t="shared" si="0"/>
        <v>0</v>
      </c>
      <c r="T67" s="5">
        <v>0</v>
      </c>
      <c r="U67" s="12">
        <f t="shared" si="1"/>
        <v>0</v>
      </c>
      <c r="V67" s="25" t="s">
        <v>10</v>
      </c>
      <c r="W67" s="11">
        <f>IFERROR(VLOOKUP(V67,Curr!$B$2:$C$13,2,FALSE),0)</f>
        <v>11.2</v>
      </c>
      <c r="X67" s="12">
        <f t="shared" si="2"/>
        <v>0</v>
      </c>
      <c r="Y67" s="26">
        <f t="shared" si="3"/>
        <v>0</v>
      </c>
      <c r="Z67" s="12">
        <f t="shared" si="4"/>
        <v>0</v>
      </c>
      <c r="AA67" s="4" t="s">
        <v>10</v>
      </c>
      <c r="AB67" s="11">
        <f>IFERROR(VLOOKUP(AA67,Curr!$B$2:$C$13,2,FALSE),0)</f>
        <v>11.2</v>
      </c>
      <c r="AC67" s="12">
        <f t="shared" si="5"/>
        <v>0</v>
      </c>
      <c r="AD67" s="12">
        <f t="shared" si="6"/>
        <v>0</v>
      </c>
      <c r="AE67" s="13">
        <f t="shared" si="7"/>
        <v>0</v>
      </c>
    </row>
    <row r="68" spans="2:31" x14ac:dyDescent="0.25">
      <c r="B68" s="4"/>
      <c r="E68" s="3"/>
      <c r="F68" s="3"/>
      <c r="G68" s="24"/>
      <c r="H68" s="24"/>
      <c r="K68" s="4"/>
      <c r="L68" s="4"/>
      <c r="M68" s="4"/>
      <c r="N68" s="4"/>
      <c r="O68" s="4"/>
      <c r="P68" s="27"/>
      <c r="Q68" s="25">
        <v>0</v>
      </c>
      <c r="R68" s="25">
        <v>0</v>
      </c>
      <c r="S68" s="12">
        <f t="shared" si="0"/>
        <v>0</v>
      </c>
      <c r="T68" s="5">
        <v>0</v>
      </c>
      <c r="U68" s="12">
        <f t="shared" si="1"/>
        <v>0</v>
      </c>
      <c r="V68" s="25" t="s">
        <v>10</v>
      </c>
      <c r="W68" s="11">
        <f>IFERROR(VLOOKUP(V68,Curr!$B$2:$C$13,2,FALSE),0)</f>
        <v>11.2</v>
      </c>
      <c r="X68" s="12">
        <f t="shared" si="2"/>
        <v>0</v>
      </c>
      <c r="Y68" s="26">
        <f t="shared" si="3"/>
        <v>0</v>
      </c>
      <c r="Z68" s="12">
        <f t="shared" si="4"/>
        <v>0</v>
      </c>
      <c r="AA68" s="4" t="s">
        <v>10</v>
      </c>
      <c r="AB68" s="11">
        <f>IFERROR(VLOOKUP(AA68,Curr!$B$2:$C$13,2,FALSE),0)</f>
        <v>11.2</v>
      </c>
      <c r="AC68" s="12">
        <f t="shared" si="5"/>
        <v>0</v>
      </c>
      <c r="AD68" s="12">
        <f t="shared" si="6"/>
        <v>0</v>
      </c>
      <c r="AE68" s="13">
        <f t="shared" si="7"/>
        <v>0</v>
      </c>
    </row>
    <row r="69" spans="2:31" x14ac:dyDescent="0.25">
      <c r="B69" s="4"/>
      <c r="E69" s="3"/>
      <c r="F69" s="3"/>
      <c r="G69" s="24"/>
      <c r="H69" s="24"/>
      <c r="K69" s="4"/>
      <c r="L69" s="4"/>
      <c r="M69" s="4"/>
      <c r="N69" s="4"/>
      <c r="O69" s="4"/>
      <c r="P69" s="27"/>
      <c r="Q69" s="25">
        <v>0</v>
      </c>
      <c r="R69" s="25">
        <v>0</v>
      </c>
      <c r="S69" s="12">
        <f t="shared" si="0"/>
        <v>0</v>
      </c>
      <c r="T69" s="5">
        <v>0</v>
      </c>
      <c r="U69" s="12">
        <f t="shared" si="1"/>
        <v>0</v>
      </c>
      <c r="V69" s="25" t="s">
        <v>10</v>
      </c>
      <c r="W69" s="11">
        <f>IFERROR(VLOOKUP(V69,Curr!$B$2:$C$13,2,FALSE),0)</f>
        <v>11.2</v>
      </c>
      <c r="X69" s="12">
        <f t="shared" si="2"/>
        <v>0</v>
      </c>
      <c r="Y69" s="26">
        <f t="shared" si="3"/>
        <v>0</v>
      </c>
      <c r="Z69" s="12">
        <f t="shared" si="4"/>
        <v>0</v>
      </c>
      <c r="AA69" s="4" t="s">
        <v>10</v>
      </c>
      <c r="AB69" s="11">
        <f>IFERROR(VLOOKUP(AA69,Curr!$B$2:$C$13,2,FALSE),0)</f>
        <v>11.2</v>
      </c>
      <c r="AC69" s="12">
        <f t="shared" si="5"/>
        <v>0</v>
      </c>
      <c r="AD69" s="12">
        <f t="shared" si="6"/>
        <v>0</v>
      </c>
      <c r="AE69" s="13">
        <f t="shared" si="7"/>
        <v>0</v>
      </c>
    </row>
    <row r="70" spans="2:31" x14ac:dyDescent="0.25">
      <c r="B70" s="4"/>
      <c r="E70" s="3"/>
      <c r="F70" s="3"/>
      <c r="G70" s="24"/>
      <c r="H70" s="24"/>
      <c r="K70" s="4"/>
      <c r="L70" s="4"/>
      <c r="M70" s="4"/>
      <c r="N70" s="4"/>
      <c r="O70" s="4"/>
      <c r="P70" s="27"/>
      <c r="Q70" s="25">
        <v>0</v>
      </c>
      <c r="R70" s="25">
        <v>0</v>
      </c>
      <c r="S70" s="12">
        <f t="shared" si="0"/>
        <v>0</v>
      </c>
      <c r="T70" s="5">
        <v>0</v>
      </c>
      <c r="U70" s="12">
        <f t="shared" si="1"/>
        <v>0</v>
      </c>
      <c r="V70" s="25" t="s">
        <v>10</v>
      </c>
      <c r="W70" s="11">
        <f>IFERROR(VLOOKUP(V70,Curr!$B$2:$C$13,2,FALSE),0)</f>
        <v>11.2</v>
      </c>
      <c r="X70" s="12">
        <f t="shared" si="2"/>
        <v>0</v>
      </c>
      <c r="Y70" s="26">
        <f t="shared" si="3"/>
        <v>0</v>
      </c>
      <c r="Z70" s="12">
        <f t="shared" si="4"/>
        <v>0</v>
      </c>
      <c r="AA70" s="4" t="s">
        <v>10</v>
      </c>
      <c r="AB70" s="11">
        <f>IFERROR(VLOOKUP(AA70,Curr!$B$2:$C$13,2,FALSE),0)</f>
        <v>11.2</v>
      </c>
      <c r="AC70" s="12">
        <f t="shared" si="5"/>
        <v>0</v>
      </c>
      <c r="AD70" s="12">
        <f t="shared" si="6"/>
        <v>0</v>
      </c>
      <c r="AE70" s="13">
        <f t="shared" si="7"/>
        <v>0</v>
      </c>
    </row>
    <row r="71" spans="2:31" x14ac:dyDescent="0.25">
      <c r="B71" s="4"/>
      <c r="E71" s="3"/>
      <c r="F71" s="3"/>
      <c r="G71" s="24"/>
      <c r="H71" s="24"/>
      <c r="K71" s="4"/>
      <c r="L71" s="4"/>
      <c r="M71" s="4"/>
      <c r="N71" s="4"/>
      <c r="O71" s="4"/>
      <c r="P71" s="27"/>
      <c r="Q71" s="25">
        <v>0</v>
      </c>
      <c r="R71" s="25">
        <v>0</v>
      </c>
      <c r="S71" s="12">
        <f t="shared" ref="S71:S98" si="8">+Q71*R71</f>
        <v>0</v>
      </c>
      <c r="T71" s="5">
        <v>0</v>
      </c>
      <c r="U71" s="12">
        <f t="shared" ref="U71:U98" si="9">S71*(1-T71)</f>
        <v>0</v>
      </c>
      <c r="V71" s="25" t="s">
        <v>10</v>
      </c>
      <c r="W71" s="11">
        <f>IFERROR(VLOOKUP(V71,Curr!$B$2:$C$13,2,FALSE),0)</f>
        <v>11.2</v>
      </c>
      <c r="X71" s="12">
        <f t="shared" ref="X71:X98" si="10">U71*W71</f>
        <v>0</v>
      </c>
      <c r="Y71" s="26">
        <f t="shared" ref="Y71:Y98" si="11">Q71</f>
        <v>0</v>
      </c>
      <c r="Z71" s="12">
        <f t="shared" ref="Z71:Z98" si="12">+Y71*R71</f>
        <v>0</v>
      </c>
      <c r="AA71" s="4" t="s">
        <v>10</v>
      </c>
      <c r="AB71" s="11">
        <f>IFERROR(VLOOKUP(AA71,Curr!$B$2:$C$13,2,FALSE),0)</f>
        <v>11.2</v>
      </c>
      <c r="AC71" s="12">
        <f t="shared" ref="AC71:AC98" si="13">+Y71*AB71*R71</f>
        <v>0</v>
      </c>
      <c r="AD71" s="12">
        <f t="shared" ref="AD71:AD98" si="14">+AC71-X71</f>
        <v>0</v>
      </c>
      <c r="AE71" s="13">
        <f t="shared" ref="AE71:AE98" si="15">IFERROR(AD71/AC71,0)</f>
        <v>0</v>
      </c>
    </row>
    <row r="72" spans="2:31" x14ac:dyDescent="0.25">
      <c r="B72" s="4"/>
      <c r="E72" s="3"/>
      <c r="F72" s="3"/>
      <c r="G72" s="24"/>
      <c r="H72" s="24"/>
      <c r="K72" s="4"/>
      <c r="L72" s="4"/>
      <c r="M72" s="4"/>
      <c r="N72" s="4"/>
      <c r="O72" s="4"/>
      <c r="P72" s="27"/>
      <c r="Q72" s="25">
        <v>0</v>
      </c>
      <c r="R72" s="25">
        <v>0</v>
      </c>
      <c r="S72" s="12">
        <f t="shared" si="8"/>
        <v>0</v>
      </c>
      <c r="T72" s="5">
        <v>0</v>
      </c>
      <c r="U72" s="12">
        <f t="shared" si="9"/>
        <v>0</v>
      </c>
      <c r="V72" s="25" t="s">
        <v>10</v>
      </c>
      <c r="W72" s="11">
        <f>IFERROR(VLOOKUP(V72,Curr!$B$2:$C$13,2,FALSE),0)</f>
        <v>11.2</v>
      </c>
      <c r="X72" s="12">
        <f t="shared" si="10"/>
        <v>0</v>
      </c>
      <c r="Y72" s="26">
        <f t="shared" si="11"/>
        <v>0</v>
      </c>
      <c r="Z72" s="12">
        <f t="shared" si="12"/>
        <v>0</v>
      </c>
      <c r="AA72" s="4" t="s">
        <v>10</v>
      </c>
      <c r="AB72" s="11">
        <f>IFERROR(VLOOKUP(AA72,Curr!$B$2:$C$13,2,FALSE),0)</f>
        <v>11.2</v>
      </c>
      <c r="AC72" s="12">
        <f t="shared" si="13"/>
        <v>0</v>
      </c>
      <c r="AD72" s="12">
        <f t="shared" si="14"/>
        <v>0</v>
      </c>
      <c r="AE72" s="13">
        <f t="shared" si="15"/>
        <v>0</v>
      </c>
    </row>
    <row r="73" spans="2:31" x14ac:dyDescent="0.25">
      <c r="B73" s="4"/>
      <c r="E73" s="3"/>
      <c r="F73" s="3"/>
      <c r="G73" s="24"/>
      <c r="H73" s="24"/>
      <c r="K73" s="4"/>
      <c r="L73" s="4"/>
      <c r="M73" s="4"/>
      <c r="N73" s="4"/>
      <c r="O73" s="4"/>
      <c r="P73" s="27"/>
      <c r="Q73" s="25">
        <v>0</v>
      </c>
      <c r="R73" s="25">
        <v>0</v>
      </c>
      <c r="S73" s="12">
        <f t="shared" si="8"/>
        <v>0</v>
      </c>
      <c r="T73" s="5">
        <v>0</v>
      </c>
      <c r="U73" s="12">
        <f t="shared" si="9"/>
        <v>0</v>
      </c>
      <c r="V73" s="25" t="s">
        <v>10</v>
      </c>
      <c r="W73" s="11">
        <f>IFERROR(VLOOKUP(V73,Curr!$B$2:$C$13,2,FALSE),0)</f>
        <v>11.2</v>
      </c>
      <c r="X73" s="12">
        <f t="shared" si="10"/>
        <v>0</v>
      </c>
      <c r="Y73" s="26">
        <f t="shared" si="11"/>
        <v>0</v>
      </c>
      <c r="Z73" s="12">
        <f t="shared" si="12"/>
        <v>0</v>
      </c>
      <c r="AA73" s="4" t="s">
        <v>10</v>
      </c>
      <c r="AB73" s="11">
        <f>IFERROR(VLOOKUP(AA73,Curr!$B$2:$C$13,2,FALSE),0)</f>
        <v>11.2</v>
      </c>
      <c r="AC73" s="12">
        <f t="shared" si="13"/>
        <v>0</v>
      </c>
      <c r="AD73" s="12">
        <f t="shared" si="14"/>
        <v>0</v>
      </c>
      <c r="AE73" s="13">
        <f t="shared" si="15"/>
        <v>0</v>
      </c>
    </row>
    <row r="74" spans="2:31" x14ac:dyDescent="0.25">
      <c r="B74" s="4"/>
      <c r="E74" s="3"/>
      <c r="F74" s="3"/>
      <c r="G74" s="24"/>
      <c r="H74" s="24"/>
      <c r="K74" s="4"/>
      <c r="L74" s="4"/>
      <c r="M74" s="4"/>
      <c r="N74" s="4"/>
      <c r="O74" s="4"/>
      <c r="P74" s="27"/>
      <c r="Q74" s="25">
        <v>0</v>
      </c>
      <c r="R74" s="25">
        <v>0</v>
      </c>
      <c r="S74" s="12">
        <f t="shared" si="8"/>
        <v>0</v>
      </c>
      <c r="T74" s="5">
        <v>0</v>
      </c>
      <c r="U74" s="12">
        <f t="shared" si="9"/>
        <v>0</v>
      </c>
      <c r="V74" s="25" t="s">
        <v>10</v>
      </c>
      <c r="W74" s="11">
        <f>IFERROR(VLOOKUP(V74,Curr!$B$2:$C$13,2,FALSE),0)</f>
        <v>11.2</v>
      </c>
      <c r="X74" s="12">
        <f t="shared" si="10"/>
        <v>0</v>
      </c>
      <c r="Y74" s="26">
        <f t="shared" si="11"/>
        <v>0</v>
      </c>
      <c r="Z74" s="12">
        <f t="shared" si="12"/>
        <v>0</v>
      </c>
      <c r="AA74" s="4" t="s">
        <v>10</v>
      </c>
      <c r="AB74" s="11">
        <f>IFERROR(VLOOKUP(AA74,Curr!$B$2:$C$13,2,FALSE),0)</f>
        <v>11.2</v>
      </c>
      <c r="AC74" s="12">
        <f t="shared" si="13"/>
        <v>0</v>
      </c>
      <c r="AD74" s="12">
        <f t="shared" si="14"/>
        <v>0</v>
      </c>
      <c r="AE74" s="13">
        <f t="shared" si="15"/>
        <v>0</v>
      </c>
    </row>
    <row r="75" spans="2:31" x14ac:dyDescent="0.25">
      <c r="B75" s="4"/>
      <c r="E75" s="3"/>
      <c r="F75" s="3"/>
      <c r="G75" s="24"/>
      <c r="H75" s="24"/>
      <c r="K75" s="4"/>
      <c r="L75" s="4"/>
      <c r="M75" s="4"/>
      <c r="N75" s="4"/>
      <c r="O75" s="4"/>
      <c r="P75" s="27"/>
      <c r="Q75" s="25">
        <v>0</v>
      </c>
      <c r="R75" s="25">
        <v>0</v>
      </c>
      <c r="S75" s="12">
        <f t="shared" si="8"/>
        <v>0</v>
      </c>
      <c r="T75" s="5">
        <v>0</v>
      </c>
      <c r="U75" s="12">
        <f t="shared" si="9"/>
        <v>0</v>
      </c>
      <c r="V75" s="25" t="s">
        <v>10</v>
      </c>
      <c r="W75" s="11">
        <f>IFERROR(VLOOKUP(V75,Curr!$B$2:$C$13,2,FALSE),0)</f>
        <v>11.2</v>
      </c>
      <c r="X75" s="12">
        <f t="shared" si="10"/>
        <v>0</v>
      </c>
      <c r="Y75" s="26">
        <f t="shared" si="11"/>
        <v>0</v>
      </c>
      <c r="Z75" s="12">
        <f t="shared" si="12"/>
        <v>0</v>
      </c>
      <c r="AA75" s="4" t="s">
        <v>10</v>
      </c>
      <c r="AB75" s="11">
        <f>IFERROR(VLOOKUP(AA75,Curr!$B$2:$C$13,2,FALSE),0)</f>
        <v>11.2</v>
      </c>
      <c r="AC75" s="12">
        <f t="shared" si="13"/>
        <v>0</v>
      </c>
      <c r="AD75" s="12">
        <f t="shared" si="14"/>
        <v>0</v>
      </c>
      <c r="AE75" s="13">
        <f t="shared" si="15"/>
        <v>0</v>
      </c>
    </row>
    <row r="76" spans="2:31" x14ac:dyDescent="0.25">
      <c r="B76" s="4"/>
      <c r="E76" s="3"/>
      <c r="F76" s="3"/>
      <c r="G76" s="24"/>
      <c r="H76" s="24"/>
      <c r="K76" s="4"/>
      <c r="L76" s="4"/>
      <c r="M76" s="4"/>
      <c r="N76" s="4"/>
      <c r="O76" s="4"/>
      <c r="P76" s="27"/>
      <c r="Q76" s="25">
        <v>0</v>
      </c>
      <c r="R76" s="25">
        <v>0</v>
      </c>
      <c r="S76" s="12">
        <f t="shared" si="8"/>
        <v>0</v>
      </c>
      <c r="T76" s="5">
        <v>0</v>
      </c>
      <c r="U76" s="12">
        <f t="shared" si="9"/>
        <v>0</v>
      </c>
      <c r="V76" s="25" t="s">
        <v>10</v>
      </c>
      <c r="W76" s="11">
        <f>IFERROR(VLOOKUP(V76,Curr!$B$2:$C$13,2,FALSE),0)</f>
        <v>11.2</v>
      </c>
      <c r="X76" s="12">
        <f t="shared" si="10"/>
        <v>0</v>
      </c>
      <c r="Y76" s="26">
        <f t="shared" si="11"/>
        <v>0</v>
      </c>
      <c r="Z76" s="12">
        <f t="shared" si="12"/>
        <v>0</v>
      </c>
      <c r="AA76" s="4" t="s">
        <v>10</v>
      </c>
      <c r="AB76" s="11">
        <f>IFERROR(VLOOKUP(AA76,Curr!$B$2:$C$13,2,FALSE),0)</f>
        <v>11.2</v>
      </c>
      <c r="AC76" s="12">
        <f t="shared" si="13"/>
        <v>0</v>
      </c>
      <c r="AD76" s="12">
        <f t="shared" si="14"/>
        <v>0</v>
      </c>
      <c r="AE76" s="13">
        <f t="shared" si="15"/>
        <v>0</v>
      </c>
    </row>
    <row r="77" spans="2:31" x14ac:dyDescent="0.25">
      <c r="B77" s="4"/>
      <c r="E77" s="3"/>
      <c r="F77" s="3"/>
      <c r="G77" s="24"/>
      <c r="H77" s="24"/>
      <c r="K77" s="4"/>
      <c r="L77" s="4"/>
      <c r="M77" s="4"/>
      <c r="N77" s="4"/>
      <c r="O77" s="4"/>
      <c r="P77" s="27"/>
      <c r="Q77" s="25">
        <v>0</v>
      </c>
      <c r="R77" s="25">
        <v>0</v>
      </c>
      <c r="S77" s="12">
        <f t="shared" si="8"/>
        <v>0</v>
      </c>
      <c r="T77" s="5">
        <v>0</v>
      </c>
      <c r="U77" s="12">
        <f t="shared" si="9"/>
        <v>0</v>
      </c>
      <c r="V77" s="25" t="s">
        <v>10</v>
      </c>
      <c r="W77" s="11">
        <f>IFERROR(VLOOKUP(V77,Curr!$B$2:$C$13,2,FALSE),0)</f>
        <v>11.2</v>
      </c>
      <c r="X77" s="12">
        <f t="shared" si="10"/>
        <v>0</v>
      </c>
      <c r="Y77" s="26">
        <f t="shared" si="11"/>
        <v>0</v>
      </c>
      <c r="Z77" s="12">
        <f t="shared" si="12"/>
        <v>0</v>
      </c>
      <c r="AA77" s="4" t="s">
        <v>10</v>
      </c>
      <c r="AB77" s="11">
        <f>IFERROR(VLOOKUP(AA77,Curr!$B$2:$C$13,2,FALSE),0)</f>
        <v>11.2</v>
      </c>
      <c r="AC77" s="12">
        <f t="shared" si="13"/>
        <v>0</v>
      </c>
      <c r="AD77" s="12">
        <f t="shared" si="14"/>
        <v>0</v>
      </c>
      <c r="AE77" s="13">
        <f t="shared" si="15"/>
        <v>0</v>
      </c>
    </row>
    <row r="78" spans="2:31" x14ac:dyDescent="0.25">
      <c r="B78" s="4"/>
      <c r="E78" s="3"/>
      <c r="F78" s="3"/>
      <c r="G78" s="24"/>
      <c r="H78" s="24"/>
      <c r="K78" s="4"/>
      <c r="L78" s="4"/>
      <c r="M78" s="4"/>
      <c r="N78" s="4"/>
      <c r="O78" s="4"/>
      <c r="P78" s="27"/>
      <c r="Q78" s="25">
        <v>0</v>
      </c>
      <c r="R78" s="25">
        <v>0</v>
      </c>
      <c r="S78" s="12">
        <f t="shared" si="8"/>
        <v>0</v>
      </c>
      <c r="T78" s="5">
        <v>0</v>
      </c>
      <c r="U78" s="12">
        <f t="shared" si="9"/>
        <v>0</v>
      </c>
      <c r="V78" s="25" t="s">
        <v>10</v>
      </c>
      <c r="W78" s="11">
        <f>IFERROR(VLOOKUP(V78,Curr!$B$2:$C$13,2,FALSE),0)</f>
        <v>11.2</v>
      </c>
      <c r="X78" s="12">
        <f t="shared" si="10"/>
        <v>0</v>
      </c>
      <c r="Y78" s="26">
        <f t="shared" si="11"/>
        <v>0</v>
      </c>
      <c r="Z78" s="12">
        <f t="shared" si="12"/>
        <v>0</v>
      </c>
      <c r="AA78" s="4" t="s">
        <v>10</v>
      </c>
      <c r="AB78" s="11">
        <f>IFERROR(VLOOKUP(AA78,Curr!$B$2:$C$13,2,FALSE),0)</f>
        <v>11.2</v>
      </c>
      <c r="AC78" s="12">
        <f t="shared" si="13"/>
        <v>0</v>
      </c>
      <c r="AD78" s="12">
        <f t="shared" si="14"/>
        <v>0</v>
      </c>
      <c r="AE78" s="13">
        <f t="shared" si="15"/>
        <v>0</v>
      </c>
    </row>
    <row r="79" spans="2:31" x14ac:dyDescent="0.25">
      <c r="B79" s="4"/>
      <c r="E79" s="3"/>
      <c r="F79" s="3"/>
      <c r="G79" s="24"/>
      <c r="H79" s="24"/>
      <c r="K79" s="4"/>
      <c r="L79" s="4"/>
      <c r="M79" s="4"/>
      <c r="N79" s="4"/>
      <c r="O79" s="4"/>
      <c r="P79" s="27"/>
      <c r="Q79" s="25">
        <v>0</v>
      </c>
      <c r="R79" s="25">
        <v>0</v>
      </c>
      <c r="S79" s="12">
        <f t="shared" si="8"/>
        <v>0</v>
      </c>
      <c r="T79" s="5">
        <v>0</v>
      </c>
      <c r="U79" s="12">
        <f t="shared" si="9"/>
        <v>0</v>
      </c>
      <c r="V79" s="25" t="s">
        <v>10</v>
      </c>
      <c r="W79" s="11">
        <f>IFERROR(VLOOKUP(V79,Curr!$B$2:$C$13,2,FALSE),0)</f>
        <v>11.2</v>
      </c>
      <c r="X79" s="12">
        <f t="shared" si="10"/>
        <v>0</v>
      </c>
      <c r="Y79" s="26">
        <f t="shared" si="11"/>
        <v>0</v>
      </c>
      <c r="Z79" s="12">
        <f t="shared" si="12"/>
        <v>0</v>
      </c>
      <c r="AA79" s="4" t="s">
        <v>10</v>
      </c>
      <c r="AB79" s="11">
        <f>IFERROR(VLOOKUP(AA79,Curr!$B$2:$C$13,2,FALSE),0)</f>
        <v>11.2</v>
      </c>
      <c r="AC79" s="12">
        <f t="shared" si="13"/>
        <v>0</v>
      </c>
      <c r="AD79" s="12">
        <f t="shared" si="14"/>
        <v>0</v>
      </c>
      <c r="AE79" s="13">
        <f t="shared" si="15"/>
        <v>0</v>
      </c>
    </row>
    <row r="80" spans="2:31" x14ac:dyDescent="0.25">
      <c r="B80" s="4"/>
      <c r="E80" s="3"/>
      <c r="F80" s="3"/>
      <c r="G80" s="24"/>
      <c r="H80" s="24"/>
      <c r="K80" s="4"/>
      <c r="L80" s="4"/>
      <c r="M80" s="4"/>
      <c r="N80" s="4"/>
      <c r="O80" s="4"/>
      <c r="P80" s="27"/>
      <c r="Q80" s="25">
        <v>0</v>
      </c>
      <c r="R80" s="25">
        <v>0</v>
      </c>
      <c r="S80" s="12">
        <f t="shared" si="8"/>
        <v>0</v>
      </c>
      <c r="T80" s="5">
        <v>0</v>
      </c>
      <c r="U80" s="12">
        <f t="shared" si="9"/>
        <v>0</v>
      </c>
      <c r="V80" s="25" t="s">
        <v>10</v>
      </c>
      <c r="W80" s="11">
        <f>IFERROR(VLOOKUP(V80,Curr!$B$2:$C$13,2,FALSE),0)</f>
        <v>11.2</v>
      </c>
      <c r="X80" s="12">
        <f t="shared" si="10"/>
        <v>0</v>
      </c>
      <c r="Y80" s="26">
        <f t="shared" si="11"/>
        <v>0</v>
      </c>
      <c r="Z80" s="12">
        <f t="shared" si="12"/>
        <v>0</v>
      </c>
      <c r="AA80" s="4" t="s">
        <v>10</v>
      </c>
      <c r="AB80" s="11">
        <f>IFERROR(VLOOKUP(AA80,Curr!$B$2:$C$13,2,FALSE),0)</f>
        <v>11.2</v>
      </c>
      <c r="AC80" s="12">
        <f t="shared" si="13"/>
        <v>0</v>
      </c>
      <c r="AD80" s="12">
        <f t="shared" si="14"/>
        <v>0</v>
      </c>
      <c r="AE80" s="13">
        <f t="shared" si="15"/>
        <v>0</v>
      </c>
    </row>
    <row r="81" spans="2:31" x14ac:dyDescent="0.25">
      <c r="B81" s="4"/>
      <c r="E81" s="3"/>
      <c r="F81" s="3"/>
      <c r="G81" s="24"/>
      <c r="H81" s="24"/>
      <c r="K81" s="4"/>
      <c r="L81" s="4"/>
      <c r="M81" s="4"/>
      <c r="N81" s="4"/>
      <c r="O81" s="4"/>
      <c r="P81" s="27"/>
      <c r="Q81" s="25">
        <v>0</v>
      </c>
      <c r="R81" s="25">
        <v>0</v>
      </c>
      <c r="S81" s="12">
        <f t="shared" si="8"/>
        <v>0</v>
      </c>
      <c r="T81" s="5">
        <v>0</v>
      </c>
      <c r="U81" s="12">
        <f t="shared" si="9"/>
        <v>0</v>
      </c>
      <c r="V81" s="25" t="s">
        <v>10</v>
      </c>
      <c r="W81" s="11">
        <f>IFERROR(VLOOKUP(V81,Curr!$B$2:$C$13,2,FALSE),0)</f>
        <v>11.2</v>
      </c>
      <c r="X81" s="12">
        <f t="shared" si="10"/>
        <v>0</v>
      </c>
      <c r="Y81" s="26">
        <f t="shared" si="11"/>
        <v>0</v>
      </c>
      <c r="Z81" s="12">
        <f t="shared" si="12"/>
        <v>0</v>
      </c>
      <c r="AA81" s="4" t="s">
        <v>10</v>
      </c>
      <c r="AB81" s="11">
        <f>IFERROR(VLOOKUP(AA81,Curr!$B$2:$C$13,2,FALSE),0)</f>
        <v>11.2</v>
      </c>
      <c r="AC81" s="12">
        <f t="shared" si="13"/>
        <v>0</v>
      </c>
      <c r="AD81" s="12">
        <f t="shared" si="14"/>
        <v>0</v>
      </c>
      <c r="AE81" s="13">
        <f t="shared" si="15"/>
        <v>0</v>
      </c>
    </row>
    <row r="82" spans="2:31" x14ac:dyDescent="0.25">
      <c r="B82" s="4"/>
      <c r="E82" s="3"/>
      <c r="F82" s="3"/>
      <c r="G82" s="24"/>
      <c r="H82" s="24"/>
      <c r="K82" s="4"/>
      <c r="L82" s="4"/>
      <c r="M82" s="4"/>
      <c r="N82" s="4"/>
      <c r="O82" s="4"/>
      <c r="P82" s="27"/>
      <c r="Q82" s="25">
        <v>0</v>
      </c>
      <c r="R82" s="25">
        <v>0</v>
      </c>
      <c r="S82" s="12">
        <f t="shared" si="8"/>
        <v>0</v>
      </c>
      <c r="T82" s="5">
        <v>0</v>
      </c>
      <c r="U82" s="12">
        <f t="shared" si="9"/>
        <v>0</v>
      </c>
      <c r="V82" s="25" t="s">
        <v>10</v>
      </c>
      <c r="W82" s="11">
        <f>IFERROR(VLOOKUP(V82,Curr!$B$2:$C$13,2,FALSE),0)</f>
        <v>11.2</v>
      </c>
      <c r="X82" s="12">
        <f t="shared" si="10"/>
        <v>0</v>
      </c>
      <c r="Y82" s="26">
        <f t="shared" si="11"/>
        <v>0</v>
      </c>
      <c r="Z82" s="12">
        <f t="shared" si="12"/>
        <v>0</v>
      </c>
      <c r="AA82" s="4" t="s">
        <v>10</v>
      </c>
      <c r="AB82" s="11">
        <f>IFERROR(VLOOKUP(AA82,Curr!$B$2:$C$13,2,FALSE),0)</f>
        <v>11.2</v>
      </c>
      <c r="AC82" s="12">
        <f t="shared" si="13"/>
        <v>0</v>
      </c>
      <c r="AD82" s="12">
        <f t="shared" si="14"/>
        <v>0</v>
      </c>
      <c r="AE82" s="13">
        <f t="shared" si="15"/>
        <v>0</v>
      </c>
    </row>
    <row r="83" spans="2:31" x14ac:dyDescent="0.25">
      <c r="B83" s="4"/>
      <c r="E83" s="3"/>
      <c r="F83" s="3"/>
      <c r="G83" s="24"/>
      <c r="H83" s="24"/>
      <c r="K83" s="4"/>
      <c r="L83" s="4"/>
      <c r="M83" s="4"/>
      <c r="N83" s="4"/>
      <c r="O83" s="4"/>
      <c r="P83" s="27"/>
      <c r="Q83" s="25">
        <v>0</v>
      </c>
      <c r="R83" s="25">
        <v>0</v>
      </c>
      <c r="S83" s="12">
        <f t="shared" si="8"/>
        <v>0</v>
      </c>
      <c r="T83" s="5">
        <v>0</v>
      </c>
      <c r="U83" s="12">
        <f t="shared" si="9"/>
        <v>0</v>
      </c>
      <c r="V83" s="25" t="s">
        <v>10</v>
      </c>
      <c r="W83" s="11">
        <f>IFERROR(VLOOKUP(V83,Curr!$B$2:$C$13,2,FALSE),0)</f>
        <v>11.2</v>
      </c>
      <c r="X83" s="12">
        <f t="shared" si="10"/>
        <v>0</v>
      </c>
      <c r="Y83" s="26">
        <f t="shared" si="11"/>
        <v>0</v>
      </c>
      <c r="Z83" s="12">
        <f t="shared" si="12"/>
        <v>0</v>
      </c>
      <c r="AA83" s="4" t="s">
        <v>10</v>
      </c>
      <c r="AB83" s="11">
        <f>IFERROR(VLOOKUP(AA83,Curr!$B$2:$C$13,2,FALSE),0)</f>
        <v>11.2</v>
      </c>
      <c r="AC83" s="12">
        <f t="shared" si="13"/>
        <v>0</v>
      </c>
      <c r="AD83" s="12">
        <f t="shared" si="14"/>
        <v>0</v>
      </c>
      <c r="AE83" s="13">
        <f t="shared" si="15"/>
        <v>0</v>
      </c>
    </row>
    <row r="84" spans="2:31" x14ac:dyDescent="0.25">
      <c r="B84" s="4"/>
      <c r="E84" s="3"/>
      <c r="F84" s="3"/>
      <c r="G84" s="24"/>
      <c r="H84" s="24"/>
      <c r="K84" s="4"/>
      <c r="L84" s="4"/>
      <c r="M84" s="4"/>
      <c r="N84" s="4"/>
      <c r="O84" s="4"/>
      <c r="P84" s="27"/>
      <c r="Q84" s="25">
        <v>0</v>
      </c>
      <c r="R84" s="25">
        <v>0</v>
      </c>
      <c r="S84" s="12">
        <f t="shared" si="8"/>
        <v>0</v>
      </c>
      <c r="T84" s="5">
        <v>0</v>
      </c>
      <c r="U84" s="12">
        <f t="shared" si="9"/>
        <v>0</v>
      </c>
      <c r="V84" s="25" t="s">
        <v>10</v>
      </c>
      <c r="W84" s="11">
        <f>IFERROR(VLOOKUP(V84,Curr!$B$2:$C$13,2,FALSE),0)</f>
        <v>11.2</v>
      </c>
      <c r="X84" s="12">
        <f t="shared" si="10"/>
        <v>0</v>
      </c>
      <c r="Y84" s="26">
        <f t="shared" si="11"/>
        <v>0</v>
      </c>
      <c r="Z84" s="12">
        <f t="shared" si="12"/>
        <v>0</v>
      </c>
      <c r="AA84" s="4" t="s">
        <v>10</v>
      </c>
      <c r="AB84" s="11">
        <f>IFERROR(VLOOKUP(AA84,Curr!$B$2:$C$13,2,FALSE),0)</f>
        <v>11.2</v>
      </c>
      <c r="AC84" s="12">
        <f t="shared" si="13"/>
        <v>0</v>
      </c>
      <c r="AD84" s="12">
        <f t="shared" si="14"/>
        <v>0</v>
      </c>
      <c r="AE84" s="13">
        <f t="shared" si="15"/>
        <v>0</v>
      </c>
    </row>
    <row r="85" spans="2:31" x14ac:dyDescent="0.25">
      <c r="B85" s="4"/>
      <c r="E85" s="3"/>
      <c r="F85" s="3"/>
      <c r="G85" s="24"/>
      <c r="H85" s="24"/>
      <c r="K85" s="4"/>
      <c r="L85" s="4"/>
      <c r="M85" s="4"/>
      <c r="N85" s="4"/>
      <c r="O85" s="4"/>
      <c r="P85" s="27"/>
      <c r="Q85" s="25">
        <v>0</v>
      </c>
      <c r="R85" s="25">
        <v>0</v>
      </c>
      <c r="S85" s="12">
        <f t="shared" si="8"/>
        <v>0</v>
      </c>
      <c r="T85" s="5">
        <v>0</v>
      </c>
      <c r="U85" s="12">
        <f t="shared" si="9"/>
        <v>0</v>
      </c>
      <c r="V85" s="25" t="s">
        <v>10</v>
      </c>
      <c r="W85" s="11">
        <f>IFERROR(VLOOKUP(V85,Curr!$B$2:$C$13,2,FALSE),0)</f>
        <v>11.2</v>
      </c>
      <c r="X85" s="12">
        <f t="shared" si="10"/>
        <v>0</v>
      </c>
      <c r="Y85" s="26">
        <f t="shared" si="11"/>
        <v>0</v>
      </c>
      <c r="Z85" s="12">
        <f t="shared" si="12"/>
        <v>0</v>
      </c>
      <c r="AA85" s="4" t="s">
        <v>10</v>
      </c>
      <c r="AB85" s="11">
        <f>IFERROR(VLOOKUP(AA85,Curr!$B$2:$C$13,2,FALSE),0)</f>
        <v>11.2</v>
      </c>
      <c r="AC85" s="12">
        <f t="shared" si="13"/>
        <v>0</v>
      </c>
      <c r="AD85" s="12">
        <f t="shared" si="14"/>
        <v>0</v>
      </c>
      <c r="AE85" s="13">
        <f t="shared" si="15"/>
        <v>0</v>
      </c>
    </row>
    <row r="86" spans="2:31" x14ac:dyDescent="0.25">
      <c r="B86" s="4"/>
      <c r="E86" s="3"/>
      <c r="F86" s="3"/>
      <c r="G86" s="24"/>
      <c r="H86" s="24"/>
      <c r="K86" s="4"/>
      <c r="L86" s="4"/>
      <c r="M86" s="4"/>
      <c r="N86" s="4"/>
      <c r="O86" s="4"/>
      <c r="P86" s="27"/>
      <c r="Q86" s="25">
        <v>0</v>
      </c>
      <c r="R86" s="25">
        <v>0</v>
      </c>
      <c r="S86" s="12">
        <f t="shared" si="8"/>
        <v>0</v>
      </c>
      <c r="T86" s="5">
        <v>0</v>
      </c>
      <c r="U86" s="12">
        <f t="shared" si="9"/>
        <v>0</v>
      </c>
      <c r="V86" s="25" t="s">
        <v>10</v>
      </c>
      <c r="W86" s="11">
        <f>IFERROR(VLOOKUP(V86,Curr!$B$2:$C$13,2,FALSE),0)</f>
        <v>11.2</v>
      </c>
      <c r="X86" s="12">
        <f t="shared" si="10"/>
        <v>0</v>
      </c>
      <c r="Y86" s="26">
        <f t="shared" si="11"/>
        <v>0</v>
      </c>
      <c r="Z86" s="12">
        <f t="shared" si="12"/>
        <v>0</v>
      </c>
      <c r="AA86" s="4" t="s">
        <v>10</v>
      </c>
      <c r="AB86" s="11">
        <f>IFERROR(VLOOKUP(AA86,Curr!$B$2:$C$13,2,FALSE),0)</f>
        <v>11.2</v>
      </c>
      <c r="AC86" s="12">
        <f t="shared" si="13"/>
        <v>0</v>
      </c>
      <c r="AD86" s="12">
        <f t="shared" si="14"/>
        <v>0</v>
      </c>
      <c r="AE86" s="13">
        <f t="shared" si="15"/>
        <v>0</v>
      </c>
    </row>
    <row r="87" spans="2:31" x14ac:dyDescent="0.25">
      <c r="B87" s="4"/>
      <c r="E87" s="3"/>
      <c r="F87" s="3"/>
      <c r="G87" s="24"/>
      <c r="H87" s="24"/>
      <c r="K87" s="4"/>
      <c r="L87" s="4"/>
      <c r="M87" s="4"/>
      <c r="N87" s="4"/>
      <c r="O87" s="4"/>
      <c r="P87" s="27"/>
      <c r="Q87" s="25">
        <v>0</v>
      </c>
      <c r="R87" s="25">
        <v>0</v>
      </c>
      <c r="S87" s="12">
        <f t="shared" si="8"/>
        <v>0</v>
      </c>
      <c r="T87" s="5">
        <v>0</v>
      </c>
      <c r="U87" s="12">
        <f t="shared" si="9"/>
        <v>0</v>
      </c>
      <c r="V87" s="25" t="s">
        <v>10</v>
      </c>
      <c r="W87" s="11">
        <f>IFERROR(VLOOKUP(V87,Curr!$B$2:$C$13,2,FALSE),0)</f>
        <v>11.2</v>
      </c>
      <c r="X87" s="12">
        <f t="shared" si="10"/>
        <v>0</v>
      </c>
      <c r="Y87" s="26">
        <f t="shared" si="11"/>
        <v>0</v>
      </c>
      <c r="Z87" s="12">
        <f t="shared" si="12"/>
        <v>0</v>
      </c>
      <c r="AA87" s="4" t="s">
        <v>10</v>
      </c>
      <c r="AB87" s="11">
        <f>IFERROR(VLOOKUP(AA87,Curr!$B$2:$C$13,2,FALSE),0)</f>
        <v>11.2</v>
      </c>
      <c r="AC87" s="12">
        <f t="shared" si="13"/>
        <v>0</v>
      </c>
      <c r="AD87" s="12">
        <f t="shared" si="14"/>
        <v>0</v>
      </c>
      <c r="AE87" s="13">
        <f t="shared" si="15"/>
        <v>0</v>
      </c>
    </row>
    <row r="88" spans="2:31" x14ac:dyDescent="0.25">
      <c r="B88" s="4"/>
      <c r="E88" s="3"/>
      <c r="F88" s="3"/>
      <c r="G88" s="24"/>
      <c r="H88" s="24"/>
      <c r="K88" s="4"/>
      <c r="L88" s="4"/>
      <c r="M88" s="4"/>
      <c r="N88" s="4"/>
      <c r="O88" s="4"/>
      <c r="P88" s="27"/>
      <c r="Q88" s="25">
        <v>0</v>
      </c>
      <c r="R88" s="25">
        <v>0</v>
      </c>
      <c r="S88" s="12">
        <f t="shared" si="8"/>
        <v>0</v>
      </c>
      <c r="T88" s="5">
        <v>0</v>
      </c>
      <c r="U88" s="12">
        <f t="shared" si="9"/>
        <v>0</v>
      </c>
      <c r="V88" s="25" t="s">
        <v>10</v>
      </c>
      <c r="W88" s="11">
        <f>IFERROR(VLOOKUP(V88,Curr!$B$2:$C$13,2,FALSE),0)</f>
        <v>11.2</v>
      </c>
      <c r="X88" s="12">
        <f t="shared" si="10"/>
        <v>0</v>
      </c>
      <c r="Y88" s="26">
        <f t="shared" si="11"/>
        <v>0</v>
      </c>
      <c r="Z88" s="12">
        <f t="shared" si="12"/>
        <v>0</v>
      </c>
      <c r="AA88" s="4" t="s">
        <v>10</v>
      </c>
      <c r="AB88" s="11">
        <f>IFERROR(VLOOKUP(AA88,Curr!$B$2:$C$13,2,FALSE),0)</f>
        <v>11.2</v>
      </c>
      <c r="AC88" s="12">
        <f t="shared" si="13"/>
        <v>0</v>
      </c>
      <c r="AD88" s="12">
        <f t="shared" si="14"/>
        <v>0</v>
      </c>
      <c r="AE88" s="13">
        <f t="shared" si="15"/>
        <v>0</v>
      </c>
    </row>
    <row r="89" spans="2:31" x14ac:dyDescent="0.25">
      <c r="B89" s="4"/>
      <c r="E89" s="3"/>
      <c r="F89" s="3"/>
      <c r="G89" s="24"/>
      <c r="H89" s="24"/>
      <c r="K89" s="4"/>
      <c r="L89" s="4"/>
      <c r="M89" s="4"/>
      <c r="N89" s="4"/>
      <c r="O89" s="4"/>
      <c r="P89" s="27"/>
      <c r="Q89" s="25">
        <v>0</v>
      </c>
      <c r="R89" s="25">
        <v>0</v>
      </c>
      <c r="S89" s="12">
        <f t="shared" si="8"/>
        <v>0</v>
      </c>
      <c r="T89" s="5">
        <v>0</v>
      </c>
      <c r="U89" s="12">
        <f t="shared" si="9"/>
        <v>0</v>
      </c>
      <c r="V89" s="25" t="s">
        <v>10</v>
      </c>
      <c r="W89" s="11">
        <f>IFERROR(VLOOKUP(V89,Curr!$B$2:$C$13,2,FALSE),0)</f>
        <v>11.2</v>
      </c>
      <c r="X89" s="12">
        <f t="shared" si="10"/>
        <v>0</v>
      </c>
      <c r="Y89" s="26">
        <f t="shared" si="11"/>
        <v>0</v>
      </c>
      <c r="Z89" s="12">
        <f t="shared" si="12"/>
        <v>0</v>
      </c>
      <c r="AA89" s="4" t="s">
        <v>10</v>
      </c>
      <c r="AB89" s="11">
        <f>IFERROR(VLOOKUP(AA89,Curr!$B$2:$C$13,2,FALSE),0)</f>
        <v>11.2</v>
      </c>
      <c r="AC89" s="12">
        <f t="shared" si="13"/>
        <v>0</v>
      </c>
      <c r="AD89" s="12">
        <f t="shared" si="14"/>
        <v>0</v>
      </c>
      <c r="AE89" s="13">
        <f t="shared" si="15"/>
        <v>0</v>
      </c>
    </row>
    <row r="90" spans="2:31" x14ac:dyDescent="0.25">
      <c r="B90" s="4"/>
      <c r="E90" s="3"/>
      <c r="F90" s="3"/>
      <c r="G90" s="24"/>
      <c r="H90" s="24"/>
      <c r="K90" s="4"/>
      <c r="L90" s="4"/>
      <c r="M90" s="4"/>
      <c r="N90" s="4"/>
      <c r="O90" s="4"/>
      <c r="P90" s="27"/>
      <c r="Q90" s="25">
        <v>0</v>
      </c>
      <c r="R90" s="25">
        <v>0</v>
      </c>
      <c r="S90" s="12">
        <f t="shared" si="8"/>
        <v>0</v>
      </c>
      <c r="T90" s="5">
        <v>0</v>
      </c>
      <c r="U90" s="12">
        <f t="shared" si="9"/>
        <v>0</v>
      </c>
      <c r="V90" s="25" t="s">
        <v>10</v>
      </c>
      <c r="W90" s="11">
        <f>IFERROR(VLOOKUP(V90,Curr!$B$2:$C$13,2,FALSE),0)</f>
        <v>11.2</v>
      </c>
      <c r="X90" s="12">
        <f t="shared" si="10"/>
        <v>0</v>
      </c>
      <c r="Y90" s="26">
        <f t="shared" si="11"/>
        <v>0</v>
      </c>
      <c r="Z90" s="12">
        <f t="shared" si="12"/>
        <v>0</v>
      </c>
      <c r="AA90" s="4" t="s">
        <v>10</v>
      </c>
      <c r="AB90" s="11">
        <f>IFERROR(VLOOKUP(AA90,Curr!$B$2:$C$13,2,FALSE),0)</f>
        <v>11.2</v>
      </c>
      <c r="AC90" s="12">
        <f t="shared" si="13"/>
        <v>0</v>
      </c>
      <c r="AD90" s="12">
        <f t="shared" si="14"/>
        <v>0</v>
      </c>
      <c r="AE90" s="13">
        <f t="shared" si="15"/>
        <v>0</v>
      </c>
    </row>
    <row r="91" spans="2:31" x14ac:dyDescent="0.25">
      <c r="B91" s="4"/>
      <c r="E91" s="3"/>
      <c r="F91" s="3"/>
      <c r="G91" s="24"/>
      <c r="H91" s="24"/>
      <c r="K91" s="4"/>
      <c r="L91" s="4"/>
      <c r="M91" s="4"/>
      <c r="N91" s="4"/>
      <c r="O91" s="4"/>
      <c r="P91" s="27"/>
      <c r="Q91" s="25">
        <v>0</v>
      </c>
      <c r="R91" s="25">
        <v>0</v>
      </c>
      <c r="S91" s="12">
        <f t="shared" si="8"/>
        <v>0</v>
      </c>
      <c r="T91" s="5">
        <v>0</v>
      </c>
      <c r="U91" s="12">
        <f t="shared" si="9"/>
        <v>0</v>
      </c>
      <c r="V91" s="25" t="s">
        <v>10</v>
      </c>
      <c r="W91" s="11">
        <f>IFERROR(VLOOKUP(V91,Curr!$B$2:$C$13,2,FALSE),0)</f>
        <v>11.2</v>
      </c>
      <c r="X91" s="12">
        <f t="shared" si="10"/>
        <v>0</v>
      </c>
      <c r="Y91" s="26">
        <f t="shared" si="11"/>
        <v>0</v>
      </c>
      <c r="Z91" s="12">
        <f t="shared" si="12"/>
        <v>0</v>
      </c>
      <c r="AA91" s="4" t="s">
        <v>10</v>
      </c>
      <c r="AB91" s="11">
        <f>IFERROR(VLOOKUP(AA91,Curr!$B$2:$C$13,2,FALSE),0)</f>
        <v>11.2</v>
      </c>
      <c r="AC91" s="12">
        <f t="shared" si="13"/>
        <v>0</v>
      </c>
      <c r="AD91" s="12">
        <f t="shared" si="14"/>
        <v>0</v>
      </c>
      <c r="AE91" s="13">
        <f t="shared" si="15"/>
        <v>0</v>
      </c>
    </row>
    <row r="92" spans="2:31" x14ac:dyDescent="0.25">
      <c r="B92" s="4"/>
      <c r="E92" s="3"/>
      <c r="F92" s="3"/>
      <c r="G92" s="24"/>
      <c r="H92" s="24"/>
      <c r="K92" s="4"/>
      <c r="L92" s="4"/>
      <c r="M92" s="4"/>
      <c r="N92" s="4"/>
      <c r="O92" s="4"/>
      <c r="P92" s="27"/>
      <c r="Q92" s="25">
        <v>0</v>
      </c>
      <c r="R92" s="25">
        <v>0</v>
      </c>
      <c r="S92" s="12">
        <f t="shared" si="8"/>
        <v>0</v>
      </c>
      <c r="T92" s="5">
        <v>0</v>
      </c>
      <c r="U92" s="12">
        <f t="shared" si="9"/>
        <v>0</v>
      </c>
      <c r="V92" s="25" t="s">
        <v>10</v>
      </c>
      <c r="W92" s="11">
        <f>IFERROR(VLOOKUP(V92,Curr!$B$2:$C$13,2,FALSE),0)</f>
        <v>11.2</v>
      </c>
      <c r="X92" s="12">
        <f t="shared" si="10"/>
        <v>0</v>
      </c>
      <c r="Y92" s="26">
        <f t="shared" si="11"/>
        <v>0</v>
      </c>
      <c r="Z92" s="12">
        <f t="shared" si="12"/>
        <v>0</v>
      </c>
      <c r="AA92" s="4" t="s">
        <v>10</v>
      </c>
      <c r="AB92" s="11">
        <f>IFERROR(VLOOKUP(AA92,Curr!$B$2:$C$13,2,FALSE),0)</f>
        <v>11.2</v>
      </c>
      <c r="AC92" s="12">
        <f t="shared" si="13"/>
        <v>0</v>
      </c>
      <c r="AD92" s="12">
        <f t="shared" si="14"/>
        <v>0</v>
      </c>
      <c r="AE92" s="13">
        <f t="shared" si="15"/>
        <v>0</v>
      </c>
    </row>
    <row r="93" spans="2:31" x14ac:dyDescent="0.25">
      <c r="B93" s="4"/>
      <c r="E93" s="3"/>
      <c r="F93" s="3"/>
      <c r="G93" s="24"/>
      <c r="H93" s="24"/>
      <c r="K93" s="4"/>
      <c r="L93" s="4"/>
      <c r="M93" s="4"/>
      <c r="N93" s="4"/>
      <c r="O93" s="4"/>
      <c r="P93" s="27"/>
      <c r="Q93" s="25">
        <v>0</v>
      </c>
      <c r="R93" s="25">
        <v>0</v>
      </c>
      <c r="S93" s="12">
        <f t="shared" si="8"/>
        <v>0</v>
      </c>
      <c r="T93" s="5">
        <v>0</v>
      </c>
      <c r="U93" s="12">
        <f t="shared" si="9"/>
        <v>0</v>
      </c>
      <c r="V93" s="25" t="s">
        <v>10</v>
      </c>
      <c r="W93" s="11">
        <f>IFERROR(VLOOKUP(V93,Curr!$B$2:$C$13,2,FALSE),0)</f>
        <v>11.2</v>
      </c>
      <c r="X93" s="12">
        <f t="shared" si="10"/>
        <v>0</v>
      </c>
      <c r="Y93" s="26">
        <f t="shared" si="11"/>
        <v>0</v>
      </c>
      <c r="Z93" s="12">
        <f t="shared" si="12"/>
        <v>0</v>
      </c>
      <c r="AA93" s="4" t="s">
        <v>10</v>
      </c>
      <c r="AB93" s="11">
        <f>IFERROR(VLOOKUP(AA93,Curr!$B$2:$C$13,2,FALSE),0)</f>
        <v>11.2</v>
      </c>
      <c r="AC93" s="12">
        <f t="shared" si="13"/>
        <v>0</v>
      </c>
      <c r="AD93" s="12">
        <f t="shared" si="14"/>
        <v>0</v>
      </c>
      <c r="AE93" s="13">
        <f t="shared" si="15"/>
        <v>0</v>
      </c>
    </row>
    <row r="94" spans="2:31" x14ac:dyDescent="0.25">
      <c r="B94" s="4"/>
      <c r="E94" s="3"/>
      <c r="F94" s="3"/>
      <c r="G94" s="24"/>
      <c r="H94" s="24"/>
      <c r="K94" s="4"/>
      <c r="L94" s="4"/>
      <c r="M94" s="4"/>
      <c r="N94" s="4"/>
      <c r="O94" s="4"/>
      <c r="P94" s="27"/>
      <c r="Q94" s="25">
        <v>0</v>
      </c>
      <c r="R94" s="25">
        <v>0</v>
      </c>
      <c r="S94" s="12">
        <f t="shared" si="8"/>
        <v>0</v>
      </c>
      <c r="T94" s="5">
        <v>0</v>
      </c>
      <c r="U94" s="12">
        <f t="shared" si="9"/>
        <v>0</v>
      </c>
      <c r="V94" s="25" t="s">
        <v>10</v>
      </c>
      <c r="W94" s="11">
        <f>IFERROR(VLOOKUP(V94,Curr!$B$2:$C$13,2,FALSE),0)</f>
        <v>11.2</v>
      </c>
      <c r="X94" s="12">
        <f t="shared" si="10"/>
        <v>0</v>
      </c>
      <c r="Y94" s="26">
        <f t="shared" si="11"/>
        <v>0</v>
      </c>
      <c r="Z94" s="12">
        <f t="shared" si="12"/>
        <v>0</v>
      </c>
      <c r="AA94" s="4" t="s">
        <v>10</v>
      </c>
      <c r="AB94" s="11">
        <f>IFERROR(VLOOKUP(AA94,Curr!$B$2:$C$13,2,FALSE),0)</f>
        <v>11.2</v>
      </c>
      <c r="AC94" s="12">
        <f t="shared" si="13"/>
        <v>0</v>
      </c>
      <c r="AD94" s="12">
        <f t="shared" si="14"/>
        <v>0</v>
      </c>
      <c r="AE94" s="13">
        <f t="shared" si="15"/>
        <v>0</v>
      </c>
    </row>
    <row r="95" spans="2:31" x14ac:dyDescent="0.25">
      <c r="B95" s="4"/>
      <c r="E95" s="3"/>
      <c r="F95" s="3"/>
      <c r="G95" s="24"/>
      <c r="H95" s="24"/>
      <c r="K95" s="4"/>
      <c r="L95" s="4"/>
      <c r="M95" s="4"/>
      <c r="N95" s="4"/>
      <c r="O95" s="4"/>
      <c r="P95" s="27"/>
      <c r="Q95" s="25">
        <v>0</v>
      </c>
      <c r="R95" s="25">
        <v>0</v>
      </c>
      <c r="S95" s="12">
        <f t="shared" si="8"/>
        <v>0</v>
      </c>
      <c r="T95" s="5">
        <v>0</v>
      </c>
      <c r="U95" s="12">
        <f t="shared" si="9"/>
        <v>0</v>
      </c>
      <c r="V95" s="25" t="s">
        <v>10</v>
      </c>
      <c r="W95" s="11">
        <f>IFERROR(VLOOKUP(V95,Curr!$B$2:$C$13,2,FALSE),0)</f>
        <v>11.2</v>
      </c>
      <c r="X95" s="12">
        <f t="shared" si="10"/>
        <v>0</v>
      </c>
      <c r="Y95" s="26">
        <f t="shared" si="11"/>
        <v>0</v>
      </c>
      <c r="Z95" s="12">
        <f t="shared" si="12"/>
        <v>0</v>
      </c>
      <c r="AA95" s="4" t="s">
        <v>10</v>
      </c>
      <c r="AB95" s="11">
        <f>IFERROR(VLOOKUP(AA95,Curr!$B$2:$C$13,2,FALSE),0)</f>
        <v>11.2</v>
      </c>
      <c r="AC95" s="12">
        <f t="shared" si="13"/>
        <v>0</v>
      </c>
      <c r="AD95" s="12">
        <f t="shared" si="14"/>
        <v>0</v>
      </c>
      <c r="AE95" s="13">
        <f t="shared" si="15"/>
        <v>0</v>
      </c>
    </row>
    <row r="96" spans="2:31" x14ac:dyDescent="0.25">
      <c r="B96" s="4"/>
      <c r="E96" s="3"/>
      <c r="F96" s="3"/>
      <c r="G96" s="24"/>
      <c r="H96" s="24"/>
      <c r="K96" s="4"/>
      <c r="L96" s="4"/>
      <c r="M96" s="4"/>
      <c r="N96" s="4"/>
      <c r="O96" s="4"/>
      <c r="P96" s="27"/>
      <c r="Q96" s="25">
        <v>0</v>
      </c>
      <c r="R96" s="25">
        <v>0</v>
      </c>
      <c r="S96" s="12">
        <f t="shared" si="8"/>
        <v>0</v>
      </c>
      <c r="T96" s="5">
        <v>0</v>
      </c>
      <c r="U96" s="12">
        <f t="shared" si="9"/>
        <v>0</v>
      </c>
      <c r="V96" s="25" t="s">
        <v>10</v>
      </c>
      <c r="W96" s="11">
        <f>IFERROR(VLOOKUP(V96,Curr!$B$2:$C$13,2,FALSE),0)</f>
        <v>11.2</v>
      </c>
      <c r="X96" s="12">
        <f t="shared" si="10"/>
        <v>0</v>
      </c>
      <c r="Y96" s="26">
        <f t="shared" si="11"/>
        <v>0</v>
      </c>
      <c r="Z96" s="12">
        <f t="shared" si="12"/>
        <v>0</v>
      </c>
      <c r="AA96" s="4" t="s">
        <v>10</v>
      </c>
      <c r="AB96" s="11">
        <f>IFERROR(VLOOKUP(AA96,Curr!$B$2:$C$13,2,FALSE),0)</f>
        <v>11.2</v>
      </c>
      <c r="AC96" s="12">
        <f t="shared" si="13"/>
        <v>0</v>
      </c>
      <c r="AD96" s="12">
        <f t="shared" si="14"/>
        <v>0</v>
      </c>
      <c r="AE96" s="13">
        <f t="shared" si="15"/>
        <v>0</v>
      </c>
    </row>
    <row r="97" spans="2:36" x14ac:dyDescent="0.25">
      <c r="B97" s="4"/>
      <c r="E97" s="3"/>
      <c r="F97" s="3"/>
      <c r="G97" s="24"/>
      <c r="H97" s="24"/>
      <c r="K97" s="4"/>
      <c r="L97" s="4"/>
      <c r="M97" s="4"/>
      <c r="N97" s="4"/>
      <c r="O97" s="4"/>
      <c r="P97" s="27"/>
      <c r="Q97" s="25">
        <v>0</v>
      </c>
      <c r="R97" s="25">
        <v>0</v>
      </c>
      <c r="S97" s="12">
        <f t="shared" si="8"/>
        <v>0</v>
      </c>
      <c r="T97" s="5">
        <v>0</v>
      </c>
      <c r="U97" s="12">
        <f t="shared" si="9"/>
        <v>0</v>
      </c>
      <c r="V97" s="25" t="s">
        <v>10</v>
      </c>
      <c r="W97" s="11">
        <f>IFERROR(VLOOKUP(V97,Curr!$B$2:$C$13,2,FALSE),0)</f>
        <v>11.2</v>
      </c>
      <c r="X97" s="12">
        <f t="shared" si="10"/>
        <v>0</v>
      </c>
      <c r="Y97" s="26">
        <f t="shared" si="11"/>
        <v>0</v>
      </c>
      <c r="Z97" s="12">
        <f t="shared" si="12"/>
        <v>0</v>
      </c>
      <c r="AA97" s="4" t="s">
        <v>10</v>
      </c>
      <c r="AB97" s="11">
        <f>IFERROR(VLOOKUP(AA97,Curr!$B$2:$C$13,2,FALSE),0)</f>
        <v>11.2</v>
      </c>
      <c r="AC97" s="12">
        <f t="shared" si="13"/>
        <v>0</v>
      </c>
      <c r="AD97" s="12">
        <f t="shared" si="14"/>
        <v>0</v>
      </c>
      <c r="AE97" s="13">
        <f t="shared" si="15"/>
        <v>0</v>
      </c>
    </row>
    <row r="98" spans="2:36" x14ac:dyDescent="0.25">
      <c r="B98" s="4"/>
      <c r="E98" s="3"/>
      <c r="F98" s="3"/>
      <c r="G98" s="24"/>
      <c r="H98" s="24"/>
      <c r="K98" s="4"/>
      <c r="L98" s="4"/>
      <c r="M98" s="4"/>
      <c r="N98" s="4"/>
      <c r="O98" s="4"/>
      <c r="P98" s="27"/>
      <c r="Q98" s="25">
        <v>0</v>
      </c>
      <c r="R98" s="25">
        <v>0</v>
      </c>
      <c r="S98" s="12">
        <f t="shared" si="8"/>
        <v>0</v>
      </c>
      <c r="T98" s="5">
        <v>0</v>
      </c>
      <c r="U98" s="12">
        <f t="shared" si="9"/>
        <v>0</v>
      </c>
      <c r="V98" s="25" t="s">
        <v>10</v>
      </c>
      <c r="W98" s="11">
        <f>IFERROR(VLOOKUP(V98,Curr!$B$2:$C$13,2,FALSE),0)</f>
        <v>11.2</v>
      </c>
      <c r="X98" s="12">
        <f t="shared" si="10"/>
        <v>0</v>
      </c>
      <c r="Y98" s="26">
        <f t="shared" si="11"/>
        <v>0</v>
      </c>
      <c r="Z98" s="12">
        <f t="shared" si="12"/>
        <v>0</v>
      </c>
      <c r="AA98" s="4" t="s">
        <v>10</v>
      </c>
      <c r="AB98" s="11">
        <f>IFERROR(VLOOKUP(AA98,Curr!$B$2:$C$13,2,FALSE),0)</f>
        <v>11.2</v>
      </c>
      <c r="AC98" s="12">
        <f t="shared" si="13"/>
        <v>0</v>
      </c>
      <c r="AD98" s="12">
        <f t="shared" si="14"/>
        <v>0</v>
      </c>
      <c r="AE98" s="13">
        <f t="shared" si="15"/>
        <v>0</v>
      </c>
    </row>
    <row r="99" spans="2:36" x14ac:dyDescent="0.25">
      <c r="B99" s="4"/>
      <c r="E99" s="3"/>
      <c r="F99" s="3"/>
      <c r="G99" s="3"/>
      <c r="H99" s="3"/>
      <c r="L99" s="4"/>
      <c r="M99" s="4"/>
      <c r="N99" s="4"/>
      <c r="O99" s="4"/>
      <c r="P99" s="22"/>
      <c r="Q99" s="4"/>
      <c r="R99" s="4"/>
      <c r="S99" s="4"/>
      <c r="T99" s="4"/>
      <c r="U99" s="4"/>
      <c r="V99" s="4"/>
      <c r="W99" s="4"/>
      <c r="X99" s="4"/>
      <c r="Y99" s="4"/>
      <c r="Z99" s="4"/>
      <c r="AA99" s="4"/>
      <c r="AB99" s="4"/>
      <c r="AC99" s="4"/>
      <c r="AD99" s="4"/>
      <c r="AE99" s="4"/>
      <c r="AF99" s="4"/>
    </row>
    <row r="100" spans="2:36" x14ac:dyDescent="0.25">
      <c r="B100" s="14" t="s">
        <v>18</v>
      </c>
      <c r="C100" s="14"/>
      <c r="D100" s="28" t="s">
        <v>42</v>
      </c>
      <c r="E100" s="30" t="s">
        <v>42</v>
      </c>
      <c r="F100" s="30" t="s">
        <v>42</v>
      </c>
      <c r="G100" s="30" t="s">
        <v>42</v>
      </c>
      <c r="H100" s="30" t="s">
        <v>42</v>
      </c>
      <c r="I100" s="28" t="s">
        <v>42</v>
      </c>
      <c r="J100" s="28" t="s">
        <v>42</v>
      </c>
      <c r="K100" s="28" t="s">
        <v>42</v>
      </c>
      <c r="L100" s="28" t="s">
        <v>42</v>
      </c>
      <c r="M100" s="28" t="s">
        <v>42</v>
      </c>
      <c r="N100" s="28" t="s">
        <v>42</v>
      </c>
      <c r="O100" s="28" t="s">
        <v>42</v>
      </c>
      <c r="P100" s="28" t="s">
        <v>42</v>
      </c>
      <c r="Q100" s="31" t="s">
        <v>42</v>
      </c>
      <c r="R100" s="28" t="s">
        <v>42</v>
      </c>
      <c r="S100" s="32" t="s">
        <v>42</v>
      </c>
      <c r="T100" s="28" t="s">
        <v>42</v>
      </c>
      <c r="U100" s="32" t="s">
        <v>42</v>
      </c>
      <c r="V100" s="28" t="s">
        <v>42</v>
      </c>
      <c r="W100" s="28" t="s">
        <v>42</v>
      </c>
      <c r="X100" s="32" t="s">
        <v>42</v>
      </c>
      <c r="Y100" s="32" t="s">
        <v>42</v>
      </c>
      <c r="Z100" s="15">
        <f>SUM(Z7:Z98)</f>
        <v>0</v>
      </c>
      <c r="AA100" s="14"/>
      <c r="AB100" s="14"/>
      <c r="AC100" s="15">
        <f>SUM(AC7:AC98)</f>
        <v>0</v>
      </c>
      <c r="AD100" s="15">
        <f>SUM(AD7:AD98)</f>
        <v>0</v>
      </c>
      <c r="AE100" s="21">
        <f t="shared" ref="AE100" si="16">IFERROR(AD100/AC100,0)</f>
        <v>0</v>
      </c>
      <c r="AF100" s="15">
        <f>SUM(AF8:AF99)</f>
        <v>0</v>
      </c>
      <c r="AG100" s="15">
        <f>SUM(AG8:AG99)</f>
        <v>0</v>
      </c>
      <c r="AH100" s="15">
        <f>SUM(AH8:AH99)</f>
        <v>0</v>
      </c>
      <c r="AI100" s="15">
        <f>SUM(AI8:AI99)</f>
        <v>0</v>
      </c>
      <c r="AJ100" s="15">
        <f>SUM(AJ8:AJ99)</f>
        <v>0</v>
      </c>
    </row>
    <row r="101" spans="2:36" x14ac:dyDescent="0.25">
      <c r="B101" s="4"/>
      <c r="E101" s="3"/>
      <c r="F101" s="3"/>
      <c r="G101" s="3"/>
      <c r="H101" s="3"/>
      <c r="L101" s="4"/>
      <c r="M101" s="4"/>
      <c r="N101" s="4"/>
      <c r="O101" s="4"/>
      <c r="Q101" s="4"/>
      <c r="R101" s="4"/>
      <c r="S101" s="4"/>
      <c r="T101" s="4"/>
      <c r="U101" s="4"/>
      <c r="V101" s="4"/>
      <c r="W101" s="4"/>
      <c r="X101" s="4"/>
      <c r="Y101" s="9"/>
      <c r="Z101" s="9"/>
      <c r="AA101" s="9"/>
      <c r="AB101" s="9"/>
      <c r="AC101" s="9"/>
      <c r="AD101" s="9"/>
      <c r="AE101" s="9"/>
    </row>
    <row r="102" spans="2:36" x14ac:dyDescent="0.25">
      <c r="B102" s="4"/>
      <c r="E102" s="3"/>
      <c r="F102" s="3"/>
      <c r="G102" s="3"/>
      <c r="H102" s="3"/>
      <c r="L102" s="4"/>
      <c r="M102" s="4"/>
      <c r="N102" s="4"/>
      <c r="O102" s="4"/>
      <c r="Q102" s="9"/>
      <c r="R102" s="9"/>
      <c r="S102" s="9"/>
      <c r="T102" s="9"/>
      <c r="U102" s="9"/>
      <c r="V102" s="9"/>
      <c r="W102" s="9"/>
      <c r="X102" s="23"/>
      <c r="Y102" s="34" t="s">
        <v>102</v>
      </c>
      <c r="Z102" s="34">
        <v>1290</v>
      </c>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9"/>
      <c r="Y103" s="35" t="s">
        <v>103</v>
      </c>
      <c r="Z103" s="34">
        <f>Z54+Z60+Z68+Z70</f>
        <v>0</v>
      </c>
      <c r="AA103" s="9"/>
      <c r="AB103" s="9"/>
      <c r="AC103" s="9"/>
      <c r="AD103" s="9"/>
      <c r="AE103" s="9"/>
      <c r="AF103" s="18"/>
    </row>
    <row r="104" spans="2:36" x14ac:dyDescent="0.25">
      <c r="B104" s="4"/>
      <c r="E104" s="3"/>
      <c r="F104" s="3"/>
      <c r="G104" s="3"/>
      <c r="H104" s="3"/>
      <c r="I104" s="19"/>
      <c r="L104" s="4"/>
      <c r="M104" s="4"/>
      <c r="N104" s="4"/>
      <c r="O104" s="20"/>
      <c r="Q104" s="20"/>
      <c r="R104" s="20"/>
      <c r="S104" s="20"/>
      <c r="T104" s="20"/>
      <c r="U104" s="20"/>
      <c r="V104" s="20"/>
      <c r="W104" s="20"/>
      <c r="X104" s="20"/>
      <c r="Y104" s="34" t="s">
        <v>104</v>
      </c>
      <c r="Z104" s="34">
        <v>2920</v>
      </c>
      <c r="AA104" s="9"/>
      <c r="AB104" s="9"/>
      <c r="AC104" s="9"/>
      <c r="AD104" s="9"/>
      <c r="AE104" s="9"/>
      <c r="AF104" s="18"/>
    </row>
    <row r="105" spans="2:36" x14ac:dyDescent="0.25">
      <c r="B105" s="4"/>
      <c r="E105" s="3"/>
      <c r="F105" s="3"/>
      <c r="G105" s="3"/>
      <c r="H105" s="3"/>
      <c r="L105" s="4"/>
      <c r="M105" s="4"/>
      <c r="N105" s="4"/>
      <c r="O105" s="20"/>
      <c r="Q105" s="20"/>
      <c r="R105" s="20"/>
      <c r="S105" s="20"/>
      <c r="T105" s="20"/>
      <c r="U105" s="20"/>
      <c r="V105" s="20"/>
      <c r="W105" s="20"/>
      <c r="X105" s="20"/>
      <c r="Y105" s="34" t="s">
        <v>43</v>
      </c>
      <c r="Z105" s="34">
        <f>Z104/2</f>
        <v>1460</v>
      </c>
      <c r="AA105" s="9"/>
      <c r="AB105" s="9"/>
      <c r="AC105" s="9"/>
      <c r="AD105" s="9"/>
      <c r="AE105" s="9"/>
      <c r="AF105" s="18"/>
    </row>
    <row r="106" spans="2:36" x14ac:dyDescent="0.25">
      <c r="B106" s="4"/>
      <c r="E106" s="3"/>
      <c r="F106" s="3"/>
      <c r="G106" s="3"/>
      <c r="H106" s="3"/>
      <c r="L106" s="4"/>
      <c r="M106" s="4"/>
      <c r="N106" s="4"/>
      <c r="O106" s="4"/>
      <c r="Q106" s="9"/>
      <c r="R106" s="9"/>
      <c r="S106" s="9"/>
      <c r="T106" s="9"/>
      <c r="U106" s="9"/>
      <c r="V106" s="9"/>
      <c r="W106" s="9"/>
      <c r="X106" s="9"/>
      <c r="Y106" s="1"/>
      <c r="Z106" s="1"/>
      <c r="AA106" s="9"/>
      <c r="AB106" s="9"/>
      <c r="AC106" s="9"/>
      <c r="AD106" s="9"/>
      <c r="AE106" s="9"/>
      <c r="AF106" s="18"/>
    </row>
    <row r="107" spans="2:36" x14ac:dyDescent="0.25">
      <c r="F107" s="1"/>
      <c r="G107" s="1"/>
      <c r="H107" s="1"/>
      <c r="J107" s="1" t="s">
        <v>32</v>
      </c>
      <c r="Q107" s="9"/>
      <c r="R107" s="4"/>
      <c r="S107" s="9"/>
      <c r="T107" s="5"/>
      <c r="U107" s="9"/>
      <c r="V107" s="4"/>
      <c r="W107" s="4"/>
      <c r="X107" s="9"/>
      <c r="Y107" s="9" t="s">
        <v>44</v>
      </c>
      <c r="Z107" s="9">
        <v>2920</v>
      </c>
      <c r="AA107" s="9"/>
      <c r="AB107" s="9"/>
      <c r="AC107" s="9"/>
      <c r="AD107" s="9"/>
      <c r="AE107" s="9"/>
    </row>
    <row r="108" spans="2:36" x14ac:dyDescent="0.25">
      <c r="R108" s="4"/>
      <c r="S108" s="17"/>
      <c r="T108" s="17"/>
      <c r="U108" s="9"/>
      <c r="V108" s="4"/>
      <c r="W108" s="4"/>
      <c r="X108" s="9"/>
      <c r="Y108" s="9" t="s">
        <v>45</v>
      </c>
      <c r="Z108" s="9">
        <v>0</v>
      </c>
      <c r="AA108" s="9"/>
      <c r="AB108" s="9"/>
      <c r="AC108" s="9"/>
      <c r="AD108" s="9"/>
      <c r="AE108" s="9"/>
    </row>
    <row r="109" spans="2:36" x14ac:dyDescent="0.25">
      <c r="Q109" s="9"/>
      <c r="R109" s="4"/>
      <c r="S109" s="16"/>
      <c r="T109" s="16"/>
      <c r="U109" s="9"/>
      <c r="V109" s="4"/>
      <c r="W109" s="4"/>
      <c r="X109" s="9"/>
      <c r="Y109" s="9"/>
      <c r="Z109" s="9"/>
      <c r="AA109" s="9"/>
      <c r="AB109" s="9"/>
      <c r="AC109" s="9"/>
      <c r="AD109" s="9"/>
      <c r="AE109" s="9"/>
    </row>
    <row r="110" spans="2:36" x14ac:dyDescent="0.25">
      <c r="R110" s="4"/>
      <c r="S110" s="16"/>
      <c r="T110" s="16"/>
      <c r="Y110" s="9" t="s">
        <v>46</v>
      </c>
      <c r="Z110" s="9">
        <v>850</v>
      </c>
      <c r="AA110" s="9"/>
      <c r="AB110" s="9"/>
      <c r="AC110" s="9"/>
      <c r="AD110" s="9"/>
      <c r="AE110" s="9"/>
    </row>
    <row r="111" spans="2:36" x14ac:dyDescent="0.25">
      <c r="T111" s="5"/>
      <c r="Y111" s="9" t="s">
        <v>47</v>
      </c>
      <c r="Z111" s="9">
        <v>1760</v>
      </c>
      <c r="AA111" s="9"/>
      <c r="AB111" s="9"/>
      <c r="AC111" s="9"/>
      <c r="AD111" s="9"/>
      <c r="AE111" s="9"/>
    </row>
    <row r="112" spans="2:36" x14ac:dyDescent="0.25">
      <c r="T112" s="5"/>
      <c r="Y112" s="9"/>
      <c r="Z112" s="9"/>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row>
    <row r="120" spans="20:31" x14ac:dyDescent="0.25">
      <c r="T120" s="5"/>
    </row>
    <row r="121" spans="20:31" x14ac:dyDescent="0.25">
      <c r="T121" s="5"/>
    </row>
    <row r="122" spans="20:31" x14ac:dyDescent="0.25">
      <c r="T122" s="5"/>
    </row>
    <row r="123" spans="20:31" x14ac:dyDescent="0.25">
      <c r="T123" s="5"/>
    </row>
  </sheetData>
  <autoFilter ref="B6:AE100" xr:uid="{65FA6D9B-E0AF-46CD-BA0D-86BB75FE6AB0}"/>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2F39E-3896-4CAB-9A33-014C9EB5B445}">
  <sheetPr>
    <tabColor rgb="FFFFFF00"/>
  </sheetPr>
  <dimension ref="B1:AK78"/>
  <sheetViews>
    <sheetView tabSelected="1" topLeftCell="A32" zoomScale="85" zoomScaleNormal="85" workbookViewId="0">
      <selection activeCell="J41" sqref="J41"/>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163</v>
      </c>
    </row>
    <row r="2" spans="2:36" x14ac:dyDescent="0.25">
      <c r="B2" s="2" t="s">
        <v>58</v>
      </c>
    </row>
    <row r="3" spans="2:36" x14ac:dyDescent="0.25">
      <c r="B3" s="2" t="s">
        <v>56</v>
      </c>
    </row>
    <row r="4" spans="2:36" x14ac:dyDescent="0.25">
      <c r="B4" s="2" t="s">
        <v>57</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48</v>
      </c>
      <c r="E7" s="3"/>
      <c r="F7" s="3"/>
      <c r="G7" s="3"/>
      <c r="H7" s="3"/>
      <c r="J7" s="1" t="s">
        <v>49</v>
      </c>
      <c r="K7" s="4"/>
      <c r="L7" s="4"/>
      <c r="M7" s="4"/>
      <c r="N7" s="4"/>
      <c r="O7" s="4"/>
      <c r="P7" s="27"/>
      <c r="Q7" s="25">
        <v>0</v>
      </c>
      <c r="R7" s="25">
        <v>0</v>
      </c>
      <c r="S7" s="12">
        <f t="shared" ref="S7:S53" si="0">+Q7*R7</f>
        <v>0</v>
      </c>
      <c r="T7" s="5">
        <v>0</v>
      </c>
      <c r="U7" s="12">
        <f t="shared" ref="U7:U53" si="1">S7*(1-T7)</f>
        <v>0</v>
      </c>
      <c r="V7" s="25" t="s">
        <v>10</v>
      </c>
      <c r="W7" s="11">
        <f>IFERROR(VLOOKUP(V7,Curr!$B$2:$C$13,2,FALSE),0)</f>
        <v>11.2</v>
      </c>
      <c r="X7" s="12">
        <f t="shared" ref="X7:X53" si="2">U7*W7</f>
        <v>0</v>
      </c>
      <c r="Y7" s="26">
        <f t="shared" ref="Y7:Y12" si="3">Q7</f>
        <v>0</v>
      </c>
      <c r="Z7" s="12">
        <f t="shared" ref="Z7:Z53" si="4">+Y7*R7</f>
        <v>0</v>
      </c>
      <c r="AA7" s="4" t="s">
        <v>10</v>
      </c>
      <c r="AB7" s="11">
        <f>IFERROR(VLOOKUP(AA7,Curr!$B$2:$C$13,2,FALSE),0)</f>
        <v>11.2</v>
      </c>
      <c r="AC7" s="12">
        <f t="shared" ref="AC7:AC53" si="5">+Y7*AB7*R7</f>
        <v>0</v>
      </c>
      <c r="AD7" s="12">
        <f t="shared" ref="AD7:AD53" si="6">+AC7-X7</f>
        <v>0</v>
      </c>
      <c r="AE7" s="13">
        <f t="shared" ref="AE7:AE53" si="7">IFERROR(AD7/AC7,0)</f>
        <v>0</v>
      </c>
    </row>
    <row r="8" spans="2:36" x14ac:dyDescent="0.25">
      <c r="B8" s="4"/>
      <c r="C8" s="1" t="s">
        <v>55</v>
      </c>
      <c r="D8" s="1" t="s">
        <v>50</v>
      </c>
      <c r="E8" s="3"/>
      <c r="F8" s="3"/>
      <c r="G8" s="24"/>
      <c r="H8" s="24"/>
      <c r="J8" s="1" t="s">
        <v>51</v>
      </c>
      <c r="K8" s="4"/>
      <c r="L8" s="4"/>
      <c r="M8" s="4"/>
      <c r="N8" s="4"/>
      <c r="O8" s="4"/>
      <c r="P8" s="27"/>
      <c r="Q8" s="25">
        <v>0</v>
      </c>
      <c r="R8" s="25">
        <v>0</v>
      </c>
      <c r="S8" s="12">
        <f t="shared" si="0"/>
        <v>0</v>
      </c>
      <c r="T8" s="5">
        <v>0</v>
      </c>
      <c r="U8" s="12">
        <f t="shared" si="1"/>
        <v>0</v>
      </c>
      <c r="V8" s="25" t="s">
        <v>8</v>
      </c>
      <c r="W8" s="11">
        <f>IFERROR(VLOOKUP(V8,Curr!$B$2:$C$13,2,FALSE),0)</f>
        <v>1</v>
      </c>
      <c r="X8" s="12">
        <f t="shared" si="2"/>
        <v>0</v>
      </c>
      <c r="Y8" s="26">
        <f>Q8/11.3/0.8</f>
        <v>0</v>
      </c>
      <c r="Z8" s="12">
        <f t="shared" si="4"/>
        <v>0</v>
      </c>
      <c r="AA8" s="4" t="s">
        <v>10</v>
      </c>
      <c r="AB8" s="11">
        <f>IFERROR(VLOOKUP(AA8,Curr!$B$2:$C$13,2,FALSE),0)</f>
        <v>11.2</v>
      </c>
      <c r="AC8" s="12">
        <f t="shared" si="5"/>
        <v>0</v>
      </c>
      <c r="AD8" s="12">
        <f t="shared" si="6"/>
        <v>0</v>
      </c>
      <c r="AE8" s="13">
        <f t="shared" si="7"/>
        <v>0</v>
      </c>
    </row>
    <row r="9" spans="2:36" x14ac:dyDescent="0.25">
      <c r="B9" s="4"/>
      <c r="C9" s="1" t="s">
        <v>55</v>
      </c>
      <c r="D9" s="1" t="s">
        <v>52</v>
      </c>
      <c r="E9" s="3"/>
      <c r="F9" s="3"/>
      <c r="G9" s="24"/>
      <c r="H9" s="24"/>
      <c r="J9" s="1" t="s">
        <v>70</v>
      </c>
      <c r="K9" s="4"/>
      <c r="L9" s="4"/>
      <c r="M9" s="4"/>
      <c r="N9" s="4"/>
      <c r="O9" s="4"/>
      <c r="P9" s="33"/>
      <c r="Q9" s="25">
        <v>150</v>
      </c>
      <c r="R9" s="25">
        <v>1</v>
      </c>
      <c r="S9" s="12">
        <f t="shared" si="0"/>
        <v>150</v>
      </c>
      <c r="T9" s="5">
        <v>0</v>
      </c>
      <c r="U9" s="12">
        <f t="shared" si="1"/>
        <v>150</v>
      </c>
      <c r="V9" s="25" t="s">
        <v>10</v>
      </c>
      <c r="W9" s="11">
        <f>IFERROR(VLOOKUP(V9,Curr!$B$2:$C$13,2,FALSE),0)</f>
        <v>11.2</v>
      </c>
      <c r="X9" s="12">
        <f t="shared" si="2"/>
        <v>1680</v>
      </c>
      <c r="Y9" s="26">
        <f>Q9/0.85</f>
        <v>176.47058823529412</v>
      </c>
      <c r="Z9" s="12">
        <f t="shared" si="4"/>
        <v>176.47058823529412</v>
      </c>
      <c r="AA9" s="4" t="s">
        <v>10</v>
      </c>
      <c r="AB9" s="11">
        <f>IFERROR(VLOOKUP(AA9,Curr!$B$2:$C$13,2,FALSE),0)</f>
        <v>11.2</v>
      </c>
      <c r="AC9" s="12">
        <f t="shared" si="5"/>
        <v>1976.4705882352939</v>
      </c>
      <c r="AD9" s="12">
        <f t="shared" si="6"/>
        <v>296.47058823529392</v>
      </c>
      <c r="AE9" s="13">
        <f t="shared" si="7"/>
        <v>0.14999999999999991</v>
      </c>
    </row>
    <row r="10" spans="2:36" x14ac:dyDescent="0.25">
      <c r="B10" s="4"/>
      <c r="C10" s="1" t="s">
        <v>55</v>
      </c>
      <c r="D10" s="1" t="s">
        <v>53</v>
      </c>
      <c r="E10" s="3"/>
      <c r="F10" s="3"/>
      <c r="G10" s="24"/>
      <c r="H10" s="24"/>
      <c r="J10" s="1" t="s">
        <v>54</v>
      </c>
      <c r="K10" s="4"/>
      <c r="L10" s="4"/>
      <c r="M10" s="4"/>
      <c r="N10" s="4"/>
      <c r="O10" s="4"/>
      <c r="P10" s="27"/>
      <c r="Q10" s="25">
        <v>0</v>
      </c>
      <c r="R10" s="25">
        <v>0</v>
      </c>
      <c r="S10" s="12">
        <f t="shared" si="0"/>
        <v>0</v>
      </c>
      <c r="T10" s="5">
        <v>0</v>
      </c>
      <c r="U10" s="12">
        <f t="shared" si="1"/>
        <v>0</v>
      </c>
      <c r="V10" s="25" t="s">
        <v>10</v>
      </c>
      <c r="W10" s="11">
        <f>IFERROR(VLOOKUP(V10,Curr!$B$2:$C$13,2,FALSE),0)</f>
        <v>11.2</v>
      </c>
      <c r="X10" s="12">
        <f t="shared" si="2"/>
        <v>0</v>
      </c>
      <c r="Y10" s="26">
        <f t="shared" si="3"/>
        <v>0</v>
      </c>
      <c r="Z10" s="12">
        <f t="shared" si="4"/>
        <v>0</v>
      </c>
      <c r="AA10" s="4" t="s">
        <v>10</v>
      </c>
      <c r="AB10" s="11">
        <f>IFERROR(VLOOKUP(AA10,Curr!$B$2:$C$13,2,FALSE),0)</f>
        <v>11.2</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11.2</v>
      </c>
      <c r="X11" s="12">
        <f t="shared" si="2"/>
        <v>0</v>
      </c>
      <c r="Y11" s="26">
        <f t="shared" si="3"/>
        <v>0</v>
      </c>
      <c r="Z11" s="12">
        <f t="shared" si="4"/>
        <v>0</v>
      </c>
      <c r="AA11" s="4" t="s">
        <v>10</v>
      </c>
      <c r="AB11" s="11">
        <f>IFERROR(VLOOKUP(AA11,Curr!$B$2:$C$13,2,FALSE),0)</f>
        <v>11.2</v>
      </c>
      <c r="AC11" s="12">
        <f t="shared" si="5"/>
        <v>0</v>
      </c>
      <c r="AD11" s="12">
        <f t="shared" si="6"/>
        <v>0</v>
      </c>
      <c r="AE11" s="13">
        <f t="shared" si="7"/>
        <v>0</v>
      </c>
    </row>
    <row r="12" spans="2:36" x14ac:dyDescent="0.25">
      <c r="B12" s="4"/>
      <c r="C12" s="1" t="s">
        <v>63</v>
      </c>
      <c r="D12" s="1" t="s">
        <v>50</v>
      </c>
      <c r="E12" s="3"/>
      <c r="F12" s="3"/>
      <c r="G12" s="24"/>
      <c r="H12" s="24"/>
      <c r="J12" s="1" t="s">
        <v>64</v>
      </c>
      <c r="K12" s="4"/>
      <c r="L12" s="4"/>
      <c r="M12" s="4"/>
      <c r="N12" s="4"/>
      <c r="O12" s="4"/>
      <c r="P12" s="27"/>
      <c r="Q12" s="25">
        <v>0</v>
      </c>
      <c r="R12" s="25">
        <v>0</v>
      </c>
      <c r="S12" s="12">
        <f t="shared" si="0"/>
        <v>0</v>
      </c>
      <c r="T12" s="5">
        <v>0</v>
      </c>
      <c r="U12" s="12">
        <f t="shared" si="1"/>
        <v>0</v>
      </c>
      <c r="V12" s="25" t="s">
        <v>10</v>
      </c>
      <c r="W12" s="11">
        <f>IFERROR(VLOOKUP(V12,Curr!$B$2:$C$13,2,FALSE),0)</f>
        <v>11.2</v>
      </c>
      <c r="X12" s="12">
        <f t="shared" si="2"/>
        <v>0</v>
      </c>
      <c r="Y12" s="26">
        <f t="shared" si="3"/>
        <v>0</v>
      </c>
      <c r="Z12" s="12">
        <f t="shared" si="4"/>
        <v>0</v>
      </c>
      <c r="AA12" s="4" t="s">
        <v>10</v>
      </c>
      <c r="AB12" s="11">
        <f>IFERROR(VLOOKUP(AA12,Curr!$B$2:$C$13,2,FALSE),0)</f>
        <v>11.2</v>
      </c>
      <c r="AC12" s="12">
        <f t="shared" si="5"/>
        <v>0</v>
      </c>
      <c r="AD12" s="12">
        <f t="shared" si="6"/>
        <v>0</v>
      </c>
      <c r="AE12" s="13">
        <f t="shared" si="7"/>
        <v>0</v>
      </c>
    </row>
    <row r="13" spans="2:36" x14ac:dyDescent="0.25">
      <c r="B13" s="4"/>
      <c r="C13" s="1" t="s">
        <v>63</v>
      </c>
      <c r="D13" s="1" t="s">
        <v>66</v>
      </c>
      <c r="E13" s="3"/>
      <c r="F13" s="3"/>
      <c r="G13" s="24"/>
      <c r="H13" s="24"/>
      <c r="J13" s="1" t="s">
        <v>72</v>
      </c>
      <c r="K13" s="4"/>
      <c r="L13" s="4"/>
      <c r="M13" s="4"/>
      <c r="N13" s="4"/>
      <c r="O13" s="4" t="s">
        <v>42</v>
      </c>
      <c r="P13" s="33" t="s">
        <v>65</v>
      </c>
      <c r="Q13" s="25">
        <v>2400</v>
      </c>
      <c r="R13" s="25">
        <v>1</v>
      </c>
      <c r="S13" s="12">
        <f t="shared" si="0"/>
        <v>2400</v>
      </c>
      <c r="T13" s="5">
        <v>0</v>
      </c>
      <c r="U13" s="12">
        <f t="shared" si="1"/>
        <v>2400</v>
      </c>
      <c r="V13" s="25" t="s">
        <v>8</v>
      </c>
      <c r="W13" s="11">
        <f>IFERROR(VLOOKUP(V13,Curr!$B$2:$C$13,2,FALSE),0)</f>
        <v>1</v>
      </c>
      <c r="X13" s="12">
        <f t="shared" si="2"/>
        <v>2400</v>
      </c>
      <c r="Y13" s="26">
        <f>Q13/11.3/0.8</f>
        <v>265.48672566371675</v>
      </c>
      <c r="Z13" s="12">
        <f t="shared" si="4"/>
        <v>265.48672566371675</v>
      </c>
      <c r="AA13" s="4" t="s">
        <v>10</v>
      </c>
      <c r="AB13" s="11">
        <f>IFERROR(VLOOKUP(AA13,Curr!$B$2:$C$13,2,FALSE),0)</f>
        <v>11.2</v>
      </c>
      <c r="AC13" s="12">
        <f t="shared" si="5"/>
        <v>2973.4513274336273</v>
      </c>
      <c r="AD13" s="12">
        <f t="shared" si="6"/>
        <v>573.45132743362728</v>
      </c>
      <c r="AE13" s="13">
        <f t="shared" si="7"/>
        <v>0.19285714285714259</v>
      </c>
    </row>
    <row r="14" spans="2:36" x14ac:dyDescent="0.25">
      <c r="B14" s="4"/>
      <c r="C14" s="1" t="s">
        <v>63</v>
      </c>
      <c r="D14" s="1" t="s">
        <v>50</v>
      </c>
      <c r="E14" s="3"/>
      <c r="F14" s="3"/>
      <c r="G14" s="24"/>
      <c r="H14" s="24"/>
      <c r="J14" s="1" t="s">
        <v>67</v>
      </c>
      <c r="K14" s="4"/>
      <c r="L14" s="4"/>
      <c r="M14" s="4"/>
      <c r="N14" s="4"/>
      <c r="O14" s="4"/>
      <c r="P14" s="33"/>
      <c r="Q14" s="25">
        <v>0</v>
      </c>
      <c r="R14" s="25">
        <v>0</v>
      </c>
      <c r="S14" s="12">
        <f t="shared" si="0"/>
        <v>0</v>
      </c>
      <c r="T14" s="5">
        <v>0</v>
      </c>
      <c r="U14" s="12">
        <f t="shared" si="1"/>
        <v>0</v>
      </c>
      <c r="V14" s="25" t="s">
        <v>10</v>
      </c>
      <c r="W14" s="11">
        <f>IFERROR(VLOOKUP(V14,Curr!$B$2:$C$13,2,FALSE),0)</f>
        <v>11.2</v>
      </c>
      <c r="X14" s="12">
        <f t="shared" si="2"/>
        <v>0</v>
      </c>
      <c r="Y14" s="26">
        <f t="shared" ref="Y14:Y53" si="8">Q14</f>
        <v>0</v>
      </c>
      <c r="Z14" s="12">
        <f t="shared" si="4"/>
        <v>0</v>
      </c>
      <c r="AA14" s="4" t="s">
        <v>10</v>
      </c>
      <c r="AB14" s="11">
        <f>IFERROR(VLOOKUP(AA14,Curr!$B$2:$C$13,2,FALSE),0)</f>
        <v>11.2</v>
      </c>
      <c r="AC14" s="12">
        <f t="shared" si="5"/>
        <v>0</v>
      </c>
      <c r="AD14" s="12">
        <f t="shared" si="6"/>
        <v>0</v>
      </c>
      <c r="AE14" s="13">
        <f t="shared" si="7"/>
        <v>0</v>
      </c>
    </row>
    <row r="15" spans="2:36" x14ac:dyDescent="0.25">
      <c r="B15" s="4"/>
      <c r="C15" s="1" t="s">
        <v>63</v>
      </c>
      <c r="D15" s="1" t="s">
        <v>52</v>
      </c>
      <c r="E15" s="3"/>
      <c r="F15" s="3"/>
      <c r="G15" s="24"/>
      <c r="H15" s="24"/>
      <c r="J15" s="1" t="s">
        <v>71</v>
      </c>
      <c r="K15" s="4"/>
      <c r="L15" s="4"/>
      <c r="M15" s="4"/>
      <c r="N15" s="4"/>
      <c r="O15" s="4"/>
      <c r="P15" s="33"/>
      <c r="Q15" s="25">
        <v>280</v>
      </c>
      <c r="R15" s="25">
        <v>1</v>
      </c>
      <c r="S15" s="12">
        <f t="shared" si="0"/>
        <v>280</v>
      </c>
      <c r="T15" s="5">
        <v>0</v>
      </c>
      <c r="U15" s="12">
        <f t="shared" si="1"/>
        <v>280</v>
      </c>
      <c r="V15" s="25" t="s">
        <v>10</v>
      </c>
      <c r="W15" s="11">
        <f>IFERROR(VLOOKUP(V15,Curr!$B$2:$C$13,2,FALSE),0)</f>
        <v>11.2</v>
      </c>
      <c r="X15" s="12">
        <f t="shared" si="2"/>
        <v>3136</v>
      </c>
      <c r="Y15" s="26">
        <f>Q15/0.85</f>
        <v>329.41176470588238</v>
      </c>
      <c r="Z15" s="12">
        <f t="shared" si="4"/>
        <v>329.41176470588238</v>
      </c>
      <c r="AA15" s="4" t="s">
        <v>10</v>
      </c>
      <c r="AB15" s="11">
        <f>IFERROR(VLOOKUP(AA15,Curr!$B$2:$C$13,2,FALSE),0)</f>
        <v>11.2</v>
      </c>
      <c r="AC15" s="12">
        <f t="shared" si="5"/>
        <v>3689.4117647058824</v>
      </c>
      <c r="AD15" s="12">
        <f t="shared" si="6"/>
        <v>553.41176470588243</v>
      </c>
      <c r="AE15" s="13">
        <f t="shared" si="7"/>
        <v>0.15000000000000002</v>
      </c>
    </row>
    <row r="16" spans="2:36" x14ac:dyDescent="0.25">
      <c r="B16" s="4"/>
      <c r="C16" s="1" t="s">
        <v>63</v>
      </c>
      <c r="D16" s="1" t="s">
        <v>53</v>
      </c>
      <c r="E16" s="3"/>
      <c r="F16" s="3"/>
      <c r="G16" s="24"/>
      <c r="H16" s="24"/>
      <c r="J16" s="1" t="s">
        <v>68</v>
      </c>
      <c r="K16" s="4"/>
      <c r="L16" s="4"/>
      <c r="M16" s="4"/>
      <c r="N16" s="4"/>
      <c r="O16" s="4"/>
      <c r="P16" s="33"/>
      <c r="Q16" s="25">
        <v>0</v>
      </c>
      <c r="R16" s="25">
        <v>0</v>
      </c>
      <c r="S16" s="12">
        <f t="shared" si="0"/>
        <v>0</v>
      </c>
      <c r="T16" s="5">
        <v>0</v>
      </c>
      <c r="U16" s="12">
        <f t="shared" si="1"/>
        <v>0</v>
      </c>
      <c r="V16" s="25" t="s">
        <v>10</v>
      </c>
      <c r="W16" s="11">
        <f>IFERROR(VLOOKUP(V16,Curr!$B$2:$C$13,2,FALSE),0)</f>
        <v>11.2</v>
      </c>
      <c r="X16" s="12">
        <f t="shared" si="2"/>
        <v>0</v>
      </c>
      <c r="Y16" s="26">
        <f t="shared" si="8"/>
        <v>0</v>
      </c>
      <c r="Z16" s="12">
        <f t="shared" si="4"/>
        <v>0</v>
      </c>
      <c r="AA16" s="4" t="s">
        <v>10</v>
      </c>
      <c r="AB16" s="11">
        <f>IFERROR(VLOOKUP(AA16,Curr!$B$2:$C$13,2,FALSE),0)</f>
        <v>11.2</v>
      </c>
      <c r="AC16" s="12">
        <f t="shared" si="5"/>
        <v>0</v>
      </c>
      <c r="AD16" s="12">
        <f t="shared" si="6"/>
        <v>0</v>
      </c>
      <c r="AE16" s="13">
        <f t="shared" si="7"/>
        <v>0</v>
      </c>
    </row>
    <row r="17" spans="2:31" x14ac:dyDescent="0.25">
      <c r="B17" s="4"/>
      <c r="E17" s="3"/>
      <c r="F17" s="3"/>
      <c r="G17" s="24"/>
      <c r="H17" s="24"/>
      <c r="K17" s="4"/>
      <c r="L17" s="4"/>
      <c r="M17" s="4"/>
      <c r="N17" s="4"/>
      <c r="O17" s="4"/>
      <c r="P17" s="29"/>
      <c r="Q17" s="25"/>
      <c r="R17" s="25"/>
      <c r="S17" s="12">
        <f t="shared" si="0"/>
        <v>0</v>
      </c>
      <c r="T17" s="5">
        <v>0</v>
      </c>
      <c r="U17" s="12">
        <f t="shared" si="1"/>
        <v>0</v>
      </c>
      <c r="V17" s="25" t="s">
        <v>10</v>
      </c>
      <c r="W17" s="11">
        <f>IFERROR(VLOOKUP(V17,Curr!$B$2:$C$13,2,FALSE),0)</f>
        <v>11.2</v>
      </c>
      <c r="X17" s="12">
        <f t="shared" si="2"/>
        <v>0</v>
      </c>
      <c r="Y17" s="26">
        <f t="shared" si="8"/>
        <v>0</v>
      </c>
      <c r="Z17" s="12">
        <f t="shared" si="4"/>
        <v>0</v>
      </c>
      <c r="AA17" s="4" t="s">
        <v>10</v>
      </c>
      <c r="AB17" s="11">
        <f>IFERROR(VLOOKUP(AA17,Curr!$B$2:$C$13,2,FALSE),0)</f>
        <v>11.2</v>
      </c>
      <c r="AC17" s="12">
        <f t="shared" si="5"/>
        <v>0</v>
      </c>
      <c r="AD17" s="12">
        <f t="shared" si="6"/>
        <v>0</v>
      </c>
      <c r="AE17" s="13">
        <f t="shared" si="7"/>
        <v>0</v>
      </c>
    </row>
    <row r="18" spans="2:31" x14ac:dyDescent="0.25">
      <c r="B18" s="4"/>
      <c r="C18" s="1" t="s">
        <v>69</v>
      </c>
      <c r="D18" s="1" t="s">
        <v>73</v>
      </c>
      <c r="E18" s="3"/>
      <c r="F18" s="3"/>
      <c r="G18" s="24"/>
      <c r="H18" s="24"/>
      <c r="J18" s="1" t="s">
        <v>74</v>
      </c>
      <c r="K18" s="4"/>
      <c r="L18" s="4"/>
      <c r="M18" s="4"/>
      <c r="N18" s="4"/>
      <c r="O18" s="4" t="s">
        <v>42</v>
      </c>
      <c r="P18" s="33" t="s">
        <v>75</v>
      </c>
      <c r="Q18" s="25">
        <v>290</v>
      </c>
      <c r="R18" s="25">
        <v>2</v>
      </c>
      <c r="S18" s="12">
        <f t="shared" si="0"/>
        <v>580</v>
      </c>
      <c r="T18" s="5">
        <v>0.2</v>
      </c>
      <c r="U18" s="12">
        <f t="shared" si="1"/>
        <v>464</v>
      </c>
      <c r="V18" s="25" t="s">
        <v>8</v>
      </c>
      <c r="W18" s="11">
        <f>IFERROR(VLOOKUP(V18,Curr!$B$2:$C$13,2,FALSE),0)</f>
        <v>1</v>
      </c>
      <c r="X18" s="12">
        <f t="shared" si="2"/>
        <v>464</v>
      </c>
      <c r="Y18" s="26">
        <f>Q18/11.3/0.64</f>
        <v>40.099557522123888</v>
      </c>
      <c r="Z18" s="12">
        <f t="shared" si="4"/>
        <v>80.199115044247776</v>
      </c>
      <c r="AA18" s="4" t="s">
        <v>10</v>
      </c>
      <c r="AB18" s="11">
        <f>IFERROR(VLOOKUP(AA18,Curr!$B$2:$C$13,2,FALSE),0)</f>
        <v>11.2</v>
      </c>
      <c r="AC18" s="12">
        <f t="shared" si="5"/>
        <v>898.23008849557505</v>
      </c>
      <c r="AD18" s="12">
        <f t="shared" si="6"/>
        <v>434.23008849557505</v>
      </c>
      <c r="AE18" s="13">
        <f t="shared" si="7"/>
        <v>0.48342857142857132</v>
      </c>
    </row>
    <row r="19" spans="2:31" x14ac:dyDescent="0.25">
      <c r="B19" s="4"/>
      <c r="C19" s="1" t="s">
        <v>69</v>
      </c>
      <c r="D19" s="1" t="s">
        <v>73</v>
      </c>
      <c r="E19" s="3"/>
      <c r="F19" s="3"/>
      <c r="G19" s="24"/>
      <c r="H19" s="24"/>
      <c r="J19" s="1" t="s">
        <v>76</v>
      </c>
      <c r="K19" s="4"/>
      <c r="L19" s="4"/>
      <c r="M19" s="4"/>
      <c r="N19" s="4"/>
      <c r="O19" s="4" t="s">
        <v>42</v>
      </c>
      <c r="P19" s="33" t="s">
        <v>77</v>
      </c>
      <c r="Q19" s="25">
        <v>175</v>
      </c>
      <c r="R19" s="25">
        <v>2</v>
      </c>
      <c r="S19" s="12">
        <f t="shared" si="0"/>
        <v>350</v>
      </c>
      <c r="T19" s="5">
        <v>0</v>
      </c>
      <c r="U19" s="12">
        <f t="shared" si="1"/>
        <v>350</v>
      </c>
      <c r="V19" s="25" t="s">
        <v>8</v>
      </c>
      <c r="W19" s="11">
        <f>IFERROR(VLOOKUP(V19,Curr!$B$2:$C$13,2,FALSE),0)</f>
        <v>1</v>
      </c>
      <c r="X19" s="12">
        <f t="shared" si="2"/>
        <v>350</v>
      </c>
      <c r="Y19" s="26">
        <f>Q19/11.3/0.5</f>
        <v>30.973451327433626</v>
      </c>
      <c r="Z19" s="12">
        <f t="shared" si="4"/>
        <v>61.946902654867252</v>
      </c>
      <c r="AA19" s="4" t="s">
        <v>10</v>
      </c>
      <c r="AB19" s="11">
        <f>IFERROR(VLOOKUP(AA19,Curr!$B$2:$C$13,2,FALSE),0)</f>
        <v>11.2</v>
      </c>
      <c r="AC19" s="12">
        <f t="shared" si="5"/>
        <v>693.80530973451323</v>
      </c>
      <c r="AD19" s="12">
        <f t="shared" si="6"/>
        <v>343.80530973451323</v>
      </c>
      <c r="AE19" s="13">
        <f t="shared" si="7"/>
        <v>0.49553571428571425</v>
      </c>
    </row>
    <row r="20" spans="2:31" x14ac:dyDescent="0.25">
      <c r="B20" s="4"/>
      <c r="C20" s="1" t="s">
        <v>69</v>
      </c>
      <c r="D20" s="1" t="s">
        <v>53</v>
      </c>
      <c r="E20" s="3"/>
      <c r="F20" s="3"/>
      <c r="G20" s="24"/>
      <c r="H20" s="24"/>
      <c r="J20" s="1" t="s">
        <v>68</v>
      </c>
      <c r="K20" s="4"/>
      <c r="L20" s="4"/>
      <c r="M20" s="4"/>
      <c r="N20" s="4"/>
      <c r="O20" s="4"/>
      <c r="P20" s="27"/>
      <c r="Q20" s="25">
        <v>0</v>
      </c>
      <c r="R20" s="25">
        <v>0</v>
      </c>
      <c r="S20" s="12">
        <f t="shared" si="0"/>
        <v>0</v>
      </c>
      <c r="T20" s="5">
        <v>0</v>
      </c>
      <c r="U20" s="12">
        <f t="shared" si="1"/>
        <v>0</v>
      </c>
      <c r="V20" s="25" t="s">
        <v>10</v>
      </c>
      <c r="W20" s="11">
        <f>IFERROR(VLOOKUP(V20,Curr!$B$2:$C$13,2,FALSE),0)</f>
        <v>11.2</v>
      </c>
      <c r="X20" s="12">
        <f t="shared" si="2"/>
        <v>0</v>
      </c>
      <c r="Y20" s="26">
        <f t="shared" si="8"/>
        <v>0</v>
      </c>
      <c r="Z20" s="12">
        <f t="shared" si="4"/>
        <v>0</v>
      </c>
      <c r="AA20" s="4" t="s">
        <v>10</v>
      </c>
      <c r="AB20" s="11">
        <f>IFERROR(VLOOKUP(AA20,Curr!$B$2:$C$13,2,FALSE),0)</f>
        <v>11.2</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11.2</v>
      </c>
      <c r="X21" s="12">
        <f t="shared" si="2"/>
        <v>0</v>
      </c>
      <c r="Y21" s="26">
        <f t="shared" si="8"/>
        <v>0</v>
      </c>
      <c r="Z21" s="12">
        <f t="shared" si="4"/>
        <v>0</v>
      </c>
      <c r="AA21" s="4" t="s">
        <v>10</v>
      </c>
      <c r="AB21" s="11">
        <f>IFERROR(VLOOKUP(AA21,Curr!$B$2:$C$13,2,FALSE),0)</f>
        <v>11.2</v>
      </c>
      <c r="AC21" s="12">
        <f t="shared" si="5"/>
        <v>0</v>
      </c>
      <c r="AD21" s="12">
        <f t="shared" si="6"/>
        <v>0</v>
      </c>
      <c r="AE21" s="13">
        <f t="shared" si="7"/>
        <v>0</v>
      </c>
    </row>
    <row r="22" spans="2:31" x14ac:dyDescent="0.25">
      <c r="B22" s="4"/>
      <c r="C22" s="1" t="s">
        <v>78</v>
      </c>
      <c r="D22" s="1" t="s">
        <v>50</v>
      </c>
      <c r="E22" s="3"/>
      <c r="F22" s="3"/>
      <c r="G22" s="24"/>
      <c r="H22" s="24"/>
      <c r="J22" s="1" t="s">
        <v>83</v>
      </c>
      <c r="K22" s="4"/>
      <c r="L22" s="4"/>
      <c r="M22" s="4"/>
      <c r="N22" s="4"/>
      <c r="O22" s="4"/>
      <c r="P22" s="33"/>
      <c r="Q22" s="25">
        <v>0</v>
      </c>
      <c r="R22" s="25">
        <v>0</v>
      </c>
      <c r="S22" s="12">
        <f t="shared" si="0"/>
        <v>0</v>
      </c>
      <c r="T22" s="5">
        <v>0</v>
      </c>
      <c r="U22" s="12">
        <f t="shared" si="1"/>
        <v>0</v>
      </c>
      <c r="V22" s="25" t="s">
        <v>10</v>
      </c>
      <c r="W22" s="11">
        <f>IFERROR(VLOOKUP(V22,Curr!$B$2:$C$13,2,FALSE),0)</f>
        <v>11.2</v>
      </c>
      <c r="X22" s="12">
        <f t="shared" si="2"/>
        <v>0</v>
      </c>
      <c r="Y22" s="26">
        <f t="shared" si="8"/>
        <v>0</v>
      </c>
      <c r="Z22" s="12">
        <f t="shared" si="4"/>
        <v>0</v>
      </c>
      <c r="AA22" s="4" t="s">
        <v>10</v>
      </c>
      <c r="AB22" s="11">
        <f>IFERROR(VLOOKUP(AA22,Curr!$B$2:$C$13,2,FALSE),0)</f>
        <v>11.2</v>
      </c>
      <c r="AC22" s="12">
        <f t="shared" si="5"/>
        <v>0</v>
      </c>
      <c r="AD22" s="12">
        <f t="shared" si="6"/>
        <v>0</v>
      </c>
      <c r="AE22" s="13">
        <f t="shared" si="7"/>
        <v>0</v>
      </c>
    </row>
    <row r="23" spans="2:31" x14ac:dyDescent="0.25">
      <c r="B23" s="4"/>
      <c r="C23" s="1" t="s">
        <v>78</v>
      </c>
      <c r="D23" s="1" t="s">
        <v>79</v>
      </c>
      <c r="E23" s="3"/>
      <c r="F23" s="3"/>
      <c r="G23" s="24"/>
      <c r="H23" s="24"/>
      <c r="J23" s="1" t="s">
        <v>223</v>
      </c>
      <c r="K23" s="4"/>
      <c r="L23" s="4"/>
      <c r="M23" s="4"/>
      <c r="N23" s="4"/>
      <c r="O23" s="4" t="s">
        <v>42</v>
      </c>
      <c r="P23" s="33"/>
      <c r="Q23" s="25">
        <v>1800</v>
      </c>
      <c r="R23" s="25">
        <v>2</v>
      </c>
      <c r="S23" s="12">
        <f t="shared" si="0"/>
        <v>3600</v>
      </c>
      <c r="T23" s="5">
        <v>0</v>
      </c>
      <c r="U23" s="12">
        <f t="shared" si="1"/>
        <v>3600</v>
      </c>
      <c r="V23" s="25" t="s">
        <v>8</v>
      </c>
      <c r="W23" s="11">
        <f>IFERROR(VLOOKUP(V23,Curr!$B$2:$C$13,2,FALSE),0)</f>
        <v>1</v>
      </c>
      <c r="X23" s="12">
        <f t="shared" si="2"/>
        <v>3600</v>
      </c>
      <c r="Y23" s="26">
        <f>Q23/11.3/0.8</f>
        <v>199.11504424778758</v>
      </c>
      <c r="Z23" s="12">
        <f t="shared" si="4"/>
        <v>398.23008849557516</v>
      </c>
      <c r="AA23" s="4" t="s">
        <v>10</v>
      </c>
      <c r="AB23" s="11">
        <f>IFERROR(VLOOKUP(AA23,Curr!$B$2:$C$13,2,FALSE),0)</f>
        <v>11.2</v>
      </c>
      <c r="AC23" s="12">
        <f t="shared" si="5"/>
        <v>4460.1769911504416</v>
      </c>
      <c r="AD23" s="12">
        <f t="shared" si="6"/>
        <v>860.17699115044161</v>
      </c>
      <c r="AE23" s="13">
        <f t="shared" si="7"/>
        <v>0.1928571428571427</v>
      </c>
    </row>
    <row r="24" spans="2:31" x14ac:dyDescent="0.25">
      <c r="B24" s="4"/>
      <c r="C24" s="1" t="s">
        <v>78</v>
      </c>
      <c r="D24" s="1" t="s">
        <v>50</v>
      </c>
      <c r="E24" s="3"/>
      <c r="F24" s="3"/>
      <c r="G24" s="24"/>
      <c r="H24" s="24"/>
      <c r="J24" s="1" t="s">
        <v>84</v>
      </c>
      <c r="K24" s="4"/>
      <c r="L24" s="4"/>
      <c r="M24" s="4"/>
      <c r="N24" s="4"/>
      <c r="O24" s="4"/>
      <c r="P24" s="33"/>
      <c r="Q24" s="25">
        <v>0</v>
      </c>
      <c r="R24" s="25">
        <v>0</v>
      </c>
      <c r="S24" s="12">
        <f t="shared" si="0"/>
        <v>0</v>
      </c>
      <c r="T24" s="5">
        <v>0</v>
      </c>
      <c r="U24" s="12">
        <f t="shared" si="1"/>
        <v>0</v>
      </c>
      <c r="V24" s="25" t="s">
        <v>8</v>
      </c>
      <c r="W24" s="11">
        <f>IFERROR(VLOOKUP(V24,Curr!$B$2:$C$13,2,FALSE),0)</f>
        <v>1</v>
      </c>
      <c r="X24" s="12">
        <f t="shared" si="2"/>
        <v>0</v>
      </c>
      <c r="Y24" s="26">
        <f>Q24/11.3/0.8</f>
        <v>0</v>
      </c>
      <c r="Z24" s="12">
        <f t="shared" si="4"/>
        <v>0</v>
      </c>
      <c r="AA24" s="4" t="s">
        <v>10</v>
      </c>
      <c r="AB24" s="11">
        <f>IFERROR(VLOOKUP(AA24,Curr!$B$2:$C$13,2,FALSE),0)</f>
        <v>11.2</v>
      </c>
      <c r="AC24" s="12">
        <f t="shared" si="5"/>
        <v>0</v>
      </c>
      <c r="AD24" s="12">
        <f t="shared" si="6"/>
        <v>0</v>
      </c>
      <c r="AE24" s="13">
        <f t="shared" si="7"/>
        <v>0</v>
      </c>
    </row>
    <row r="25" spans="2:31" x14ac:dyDescent="0.25">
      <c r="B25" s="4"/>
      <c r="C25" s="1" t="s">
        <v>78</v>
      </c>
      <c r="D25" s="1" t="s">
        <v>52</v>
      </c>
      <c r="E25" s="3"/>
      <c r="F25" s="3"/>
      <c r="G25" s="24"/>
      <c r="H25" s="24"/>
      <c r="J25" s="1" t="s">
        <v>86</v>
      </c>
      <c r="K25" s="4"/>
      <c r="L25" s="4"/>
      <c r="M25" s="4"/>
      <c r="N25" s="4"/>
      <c r="O25" s="4"/>
      <c r="P25" s="33"/>
      <c r="Q25" s="25">
        <v>500</v>
      </c>
      <c r="R25" s="25">
        <v>1</v>
      </c>
      <c r="S25" s="12">
        <f t="shared" si="0"/>
        <v>500</v>
      </c>
      <c r="T25" s="5">
        <v>0</v>
      </c>
      <c r="U25" s="12">
        <f t="shared" si="1"/>
        <v>500</v>
      </c>
      <c r="V25" s="25" t="s">
        <v>10</v>
      </c>
      <c r="W25" s="11">
        <f>IFERROR(VLOOKUP(V25,Curr!$B$2:$C$13,2,FALSE),0)</f>
        <v>11.2</v>
      </c>
      <c r="X25" s="12">
        <f t="shared" si="2"/>
        <v>5600</v>
      </c>
      <c r="Y25" s="26">
        <f>Q25/0.85</f>
        <v>588.23529411764707</v>
      </c>
      <c r="Z25" s="12">
        <f t="shared" si="4"/>
        <v>588.23529411764707</v>
      </c>
      <c r="AA25" s="4" t="s">
        <v>10</v>
      </c>
      <c r="AB25" s="11">
        <f>IFERROR(VLOOKUP(AA25,Curr!$B$2:$C$13,2,FALSE),0)</f>
        <v>11.2</v>
      </c>
      <c r="AC25" s="12">
        <f t="shared" si="5"/>
        <v>6588.2352941176468</v>
      </c>
      <c r="AD25" s="12">
        <f t="shared" si="6"/>
        <v>988.23529411764684</v>
      </c>
      <c r="AE25" s="13">
        <f t="shared" si="7"/>
        <v>0.14999999999999997</v>
      </c>
    </row>
    <row r="26" spans="2:31" x14ac:dyDescent="0.25">
      <c r="B26" s="4"/>
      <c r="C26" s="1" t="s">
        <v>78</v>
      </c>
      <c r="D26" s="1" t="s">
        <v>53</v>
      </c>
      <c r="E26" s="3"/>
      <c r="F26" s="3"/>
      <c r="G26" s="24"/>
      <c r="H26" s="24"/>
      <c r="J26" s="1" t="s">
        <v>85</v>
      </c>
      <c r="K26" s="4"/>
      <c r="L26" s="4"/>
      <c r="M26" s="4"/>
      <c r="N26" s="4"/>
      <c r="O26" s="4"/>
      <c r="P26" s="33"/>
      <c r="Q26" s="25">
        <v>0</v>
      </c>
      <c r="R26" s="25">
        <v>0</v>
      </c>
      <c r="S26" s="12">
        <f t="shared" si="0"/>
        <v>0</v>
      </c>
      <c r="T26" s="5">
        <v>0</v>
      </c>
      <c r="U26" s="12">
        <f t="shared" si="1"/>
        <v>0</v>
      </c>
      <c r="V26" s="25" t="s">
        <v>10</v>
      </c>
      <c r="W26" s="11">
        <f>IFERROR(VLOOKUP(V26,Curr!$B$2:$C$13,2,FALSE),0)</f>
        <v>11.2</v>
      </c>
      <c r="X26" s="12">
        <f t="shared" si="2"/>
        <v>0</v>
      </c>
      <c r="Y26" s="26">
        <f t="shared" ref="Y26:Y27" si="9">Q26</f>
        <v>0</v>
      </c>
      <c r="Z26" s="12">
        <f t="shared" si="4"/>
        <v>0</v>
      </c>
      <c r="AA26" s="4" t="s">
        <v>10</v>
      </c>
      <c r="AB26" s="11">
        <f>IFERROR(VLOOKUP(AA26,Curr!$B$2:$C$13,2,FALSE),0)</f>
        <v>11.2</v>
      </c>
      <c r="AC26" s="12">
        <f t="shared" si="5"/>
        <v>0</v>
      </c>
      <c r="AD26" s="12">
        <f t="shared" si="6"/>
        <v>0</v>
      </c>
      <c r="AE26" s="13">
        <f t="shared" si="7"/>
        <v>0</v>
      </c>
    </row>
    <row r="27" spans="2:31" x14ac:dyDescent="0.25">
      <c r="B27" s="4"/>
      <c r="C27" s="1" t="s">
        <v>78</v>
      </c>
      <c r="D27" s="1" t="s">
        <v>73</v>
      </c>
      <c r="E27" s="3"/>
      <c r="F27" s="3"/>
      <c r="G27" s="24"/>
      <c r="H27" s="24"/>
      <c r="J27" s="1" t="s">
        <v>87</v>
      </c>
      <c r="K27" s="4"/>
      <c r="L27" s="4"/>
      <c r="M27" s="4"/>
      <c r="N27" s="4"/>
      <c r="O27" s="4" t="s">
        <v>42</v>
      </c>
      <c r="P27" s="33" t="s">
        <v>88</v>
      </c>
      <c r="Q27" s="25">
        <v>105</v>
      </c>
      <c r="R27" s="25">
        <v>2</v>
      </c>
      <c r="S27" s="12">
        <f t="shared" si="0"/>
        <v>210</v>
      </c>
      <c r="T27" s="5">
        <v>0.2</v>
      </c>
      <c r="U27" s="12">
        <f t="shared" si="1"/>
        <v>168</v>
      </c>
      <c r="V27" s="25" t="s">
        <v>10</v>
      </c>
      <c r="W27" s="11">
        <f>IFERROR(VLOOKUP(V27,Curr!$B$2:$C$13,2,FALSE),0)</f>
        <v>11.2</v>
      </c>
      <c r="X27" s="12">
        <f t="shared" si="2"/>
        <v>1881.6</v>
      </c>
      <c r="Y27" s="26">
        <f t="shared" si="9"/>
        <v>105</v>
      </c>
      <c r="Z27" s="12">
        <f t="shared" si="4"/>
        <v>210</v>
      </c>
      <c r="AA27" s="4" t="s">
        <v>10</v>
      </c>
      <c r="AB27" s="11">
        <f>IFERROR(VLOOKUP(AA27,Curr!$B$2:$C$13,2,FALSE),0)</f>
        <v>11.2</v>
      </c>
      <c r="AC27" s="12">
        <f t="shared" si="5"/>
        <v>2352</v>
      </c>
      <c r="AD27" s="12">
        <f t="shared" si="6"/>
        <v>470.40000000000009</v>
      </c>
      <c r="AE27" s="13">
        <f t="shared" si="7"/>
        <v>0.20000000000000004</v>
      </c>
    </row>
    <row r="28" spans="2:31" x14ac:dyDescent="0.25">
      <c r="B28" s="4"/>
      <c r="E28" s="3"/>
      <c r="F28" s="3"/>
      <c r="G28" s="24"/>
      <c r="H28" s="24"/>
      <c r="K28" s="4"/>
      <c r="L28" s="4"/>
      <c r="M28" s="4"/>
      <c r="N28" s="4"/>
      <c r="O28" s="4"/>
      <c r="P28" s="33"/>
      <c r="Q28" s="25"/>
      <c r="R28" s="25"/>
      <c r="S28" s="12">
        <f t="shared" si="0"/>
        <v>0</v>
      </c>
      <c r="T28" s="5">
        <v>0</v>
      </c>
      <c r="U28" s="12">
        <f t="shared" si="1"/>
        <v>0</v>
      </c>
      <c r="V28" s="25" t="s">
        <v>10</v>
      </c>
      <c r="W28" s="11">
        <f>IFERROR(VLOOKUP(V28,Curr!$B$2:$C$13,2,FALSE),0)</f>
        <v>11.2</v>
      </c>
      <c r="X28" s="12">
        <f t="shared" si="2"/>
        <v>0</v>
      </c>
      <c r="Y28" s="26">
        <f t="shared" si="8"/>
        <v>0</v>
      </c>
      <c r="Z28" s="12">
        <f t="shared" si="4"/>
        <v>0</v>
      </c>
      <c r="AA28" s="4" t="s">
        <v>10</v>
      </c>
      <c r="AB28" s="11">
        <f>IFERROR(VLOOKUP(AA28,Curr!$B$2:$C$13,2,FALSE),0)</f>
        <v>11.2</v>
      </c>
      <c r="AC28" s="12">
        <f t="shared" si="5"/>
        <v>0</v>
      </c>
      <c r="AD28" s="12">
        <f t="shared" si="6"/>
        <v>0</v>
      </c>
      <c r="AE28" s="13">
        <f t="shared" si="7"/>
        <v>0</v>
      </c>
    </row>
    <row r="29" spans="2:31" x14ac:dyDescent="0.25">
      <c r="B29" s="4"/>
      <c r="C29" s="1" t="s">
        <v>80</v>
      </c>
      <c r="D29" s="1" t="s">
        <v>73</v>
      </c>
      <c r="E29" s="3"/>
      <c r="F29" s="3"/>
      <c r="G29" s="24"/>
      <c r="H29" s="24"/>
      <c r="J29" s="1" t="s">
        <v>89</v>
      </c>
      <c r="K29" s="4"/>
      <c r="L29" s="4"/>
      <c r="M29" s="4"/>
      <c r="N29" s="4"/>
      <c r="O29" s="4" t="s">
        <v>42</v>
      </c>
      <c r="P29" s="33" t="s">
        <v>90</v>
      </c>
      <c r="Q29" s="25">
        <v>1695</v>
      </c>
      <c r="R29" s="25">
        <v>2</v>
      </c>
      <c r="S29" s="12">
        <f t="shared" si="0"/>
        <v>3390</v>
      </c>
      <c r="T29" s="5">
        <v>0.2</v>
      </c>
      <c r="U29" s="12">
        <f t="shared" si="1"/>
        <v>2712</v>
      </c>
      <c r="V29" s="25" t="s">
        <v>8</v>
      </c>
      <c r="W29" s="11">
        <f>IFERROR(VLOOKUP(V29,Curr!$B$2:$C$13,2,FALSE),0)</f>
        <v>1</v>
      </c>
      <c r="X29" s="12">
        <f t="shared" si="2"/>
        <v>2712</v>
      </c>
      <c r="Y29" s="26">
        <f>Q29/11.3</f>
        <v>150</v>
      </c>
      <c r="Z29" s="12">
        <f t="shared" si="4"/>
        <v>300</v>
      </c>
      <c r="AA29" s="4" t="s">
        <v>10</v>
      </c>
      <c r="AB29" s="11">
        <f>IFERROR(VLOOKUP(AA29,Curr!$B$2:$C$13,2,FALSE),0)</f>
        <v>11.2</v>
      </c>
      <c r="AC29" s="12">
        <f t="shared" si="5"/>
        <v>3360</v>
      </c>
      <c r="AD29" s="12">
        <f t="shared" si="6"/>
        <v>648</v>
      </c>
      <c r="AE29" s="13">
        <f t="shared" si="7"/>
        <v>0.19285714285714287</v>
      </c>
    </row>
    <row r="30" spans="2:31" x14ac:dyDescent="0.25">
      <c r="B30" s="4"/>
      <c r="C30" s="1" t="s">
        <v>80</v>
      </c>
      <c r="D30" s="1" t="s">
        <v>53</v>
      </c>
      <c r="E30" s="3"/>
      <c r="F30" s="3"/>
      <c r="G30" s="24"/>
      <c r="H30" s="24"/>
      <c r="J30" s="1" t="s">
        <v>85</v>
      </c>
      <c r="K30" s="4"/>
      <c r="L30" s="4"/>
      <c r="M30" s="4"/>
      <c r="N30" s="4"/>
      <c r="O30" s="4"/>
      <c r="P30" s="33"/>
      <c r="Q30" s="25">
        <v>0</v>
      </c>
      <c r="R30" s="25">
        <v>0</v>
      </c>
      <c r="S30" s="12">
        <f t="shared" si="0"/>
        <v>0</v>
      </c>
      <c r="T30" s="5">
        <v>0</v>
      </c>
      <c r="U30" s="12">
        <f t="shared" si="1"/>
        <v>0</v>
      </c>
      <c r="V30" s="25" t="s">
        <v>10</v>
      </c>
      <c r="W30" s="11">
        <f>IFERROR(VLOOKUP(V30,Curr!$B$2:$C$13,2,FALSE),0)</f>
        <v>11.2</v>
      </c>
      <c r="X30" s="12">
        <f t="shared" si="2"/>
        <v>0</v>
      </c>
      <c r="Y30" s="26">
        <f t="shared" si="8"/>
        <v>0</v>
      </c>
      <c r="Z30" s="12">
        <f t="shared" si="4"/>
        <v>0</v>
      </c>
      <c r="AA30" s="4" t="s">
        <v>10</v>
      </c>
      <c r="AB30" s="11">
        <f>IFERROR(VLOOKUP(AA30,Curr!$B$2:$C$13,2,FALSE),0)</f>
        <v>11.2</v>
      </c>
      <c r="AC30" s="12">
        <f t="shared" si="5"/>
        <v>0</v>
      </c>
      <c r="AD30" s="12">
        <f t="shared" si="6"/>
        <v>0</v>
      </c>
      <c r="AE30" s="13">
        <f t="shared" si="7"/>
        <v>0</v>
      </c>
    </row>
    <row r="31" spans="2:31" x14ac:dyDescent="0.25">
      <c r="B31" s="4"/>
      <c r="C31" s="1" t="s">
        <v>80</v>
      </c>
      <c r="D31" s="1" t="s">
        <v>73</v>
      </c>
      <c r="E31" s="3"/>
      <c r="F31" s="3"/>
      <c r="G31" s="24"/>
      <c r="H31" s="24"/>
      <c r="J31" s="1" t="s">
        <v>332</v>
      </c>
      <c r="K31" s="4"/>
      <c r="L31" s="4"/>
      <c r="M31" s="4"/>
      <c r="N31" s="4"/>
      <c r="O31" s="4" t="s">
        <v>42</v>
      </c>
      <c r="P31" s="33" t="s">
        <v>333</v>
      </c>
      <c r="Q31" s="25">
        <v>120</v>
      </c>
      <c r="R31" s="25">
        <v>2</v>
      </c>
      <c r="S31" s="12">
        <f t="shared" si="0"/>
        <v>240</v>
      </c>
      <c r="T31" s="5">
        <v>0.2</v>
      </c>
      <c r="U31" s="12">
        <f t="shared" si="1"/>
        <v>192</v>
      </c>
      <c r="V31" s="25" t="s">
        <v>10</v>
      </c>
      <c r="W31" s="11">
        <f>IFERROR(VLOOKUP(V31,Curr!$B$2:$C$13,2,FALSE),0)</f>
        <v>11.2</v>
      </c>
      <c r="X31" s="12">
        <f t="shared" si="2"/>
        <v>2150.3999999999996</v>
      </c>
      <c r="Y31" s="26">
        <f>Q31</f>
        <v>120</v>
      </c>
      <c r="Z31" s="12">
        <f t="shared" si="4"/>
        <v>240</v>
      </c>
      <c r="AA31" s="4" t="s">
        <v>10</v>
      </c>
      <c r="AB31" s="11">
        <f>IFERROR(VLOOKUP(AA31,Curr!$B$2:$C$13,2,FALSE),0)</f>
        <v>11.2</v>
      </c>
      <c r="AC31" s="12">
        <f t="shared" si="5"/>
        <v>2688</v>
      </c>
      <c r="AD31" s="12">
        <f t="shared" si="6"/>
        <v>537.60000000000036</v>
      </c>
      <c r="AE31" s="13">
        <f t="shared" si="7"/>
        <v>0.20000000000000012</v>
      </c>
    </row>
    <row r="32" spans="2:31" x14ac:dyDescent="0.25">
      <c r="B32" s="4"/>
      <c r="E32" s="3"/>
      <c r="F32" s="3"/>
      <c r="G32" s="24"/>
      <c r="H32" s="24"/>
      <c r="K32" s="4"/>
      <c r="L32" s="4"/>
      <c r="M32" s="4"/>
      <c r="N32" s="4"/>
      <c r="O32" s="4"/>
      <c r="P32" s="27"/>
      <c r="Q32" s="25"/>
      <c r="R32" s="25"/>
      <c r="S32" s="12">
        <f t="shared" si="0"/>
        <v>0</v>
      </c>
      <c r="T32" s="5">
        <v>0</v>
      </c>
      <c r="U32" s="12">
        <f t="shared" si="1"/>
        <v>0</v>
      </c>
      <c r="V32" s="25" t="s">
        <v>10</v>
      </c>
      <c r="W32" s="11">
        <f>IFERROR(VLOOKUP(V32,Curr!$B$2:$C$13,2,FALSE),0)</f>
        <v>11.2</v>
      </c>
      <c r="X32" s="12">
        <f t="shared" si="2"/>
        <v>0</v>
      </c>
      <c r="Y32" s="26">
        <f t="shared" si="8"/>
        <v>0</v>
      </c>
      <c r="Z32" s="12">
        <f t="shared" si="4"/>
        <v>0</v>
      </c>
      <c r="AA32" s="4" t="s">
        <v>10</v>
      </c>
      <c r="AB32" s="11">
        <f>IFERROR(VLOOKUP(AA32,Curr!$B$2:$C$13,2,FALSE),0)</f>
        <v>11.2</v>
      </c>
      <c r="AC32" s="12">
        <f t="shared" si="5"/>
        <v>0</v>
      </c>
      <c r="AD32" s="12">
        <f t="shared" si="6"/>
        <v>0</v>
      </c>
      <c r="AE32" s="13">
        <f t="shared" si="7"/>
        <v>0</v>
      </c>
    </row>
    <row r="33" spans="2:31" x14ac:dyDescent="0.25">
      <c r="B33" s="4"/>
      <c r="C33" s="1" t="s">
        <v>81</v>
      </c>
      <c r="D33" s="1" t="s">
        <v>50</v>
      </c>
      <c r="E33" s="3"/>
      <c r="F33" s="3"/>
      <c r="G33" s="24"/>
      <c r="H33" s="24"/>
      <c r="J33" s="1" t="s">
        <v>91</v>
      </c>
      <c r="K33" s="4"/>
      <c r="L33" s="4"/>
      <c r="M33" s="4"/>
      <c r="N33" s="4"/>
      <c r="O33" s="4"/>
      <c r="P33" s="33"/>
      <c r="Q33" s="25">
        <v>0</v>
      </c>
      <c r="R33" s="25">
        <v>0</v>
      </c>
      <c r="S33" s="12">
        <f t="shared" si="0"/>
        <v>0</v>
      </c>
      <c r="T33" s="5">
        <v>0</v>
      </c>
      <c r="U33" s="12">
        <f t="shared" si="1"/>
        <v>0</v>
      </c>
      <c r="V33" s="25" t="s">
        <v>8</v>
      </c>
      <c r="W33" s="11">
        <f>IFERROR(VLOOKUP(V33,Curr!$B$2:$C$13,2,FALSE),0)</f>
        <v>1</v>
      </c>
      <c r="X33" s="12">
        <f t="shared" si="2"/>
        <v>0</v>
      </c>
      <c r="Y33" s="26">
        <f>Q33/11.3/0.8</f>
        <v>0</v>
      </c>
      <c r="Z33" s="12">
        <f t="shared" si="4"/>
        <v>0</v>
      </c>
      <c r="AA33" s="4" t="s">
        <v>10</v>
      </c>
      <c r="AB33" s="11">
        <f>IFERROR(VLOOKUP(AA33,Curr!$B$2:$C$13,2,FALSE),0)</f>
        <v>11.2</v>
      </c>
      <c r="AC33" s="12">
        <f t="shared" si="5"/>
        <v>0</v>
      </c>
      <c r="AD33" s="12">
        <f t="shared" si="6"/>
        <v>0</v>
      </c>
      <c r="AE33" s="13">
        <f t="shared" si="7"/>
        <v>0</v>
      </c>
    </row>
    <row r="34" spans="2:31" x14ac:dyDescent="0.25">
      <c r="B34" s="4"/>
      <c r="C34" s="1" t="s">
        <v>81</v>
      </c>
      <c r="D34" s="1" t="s">
        <v>82</v>
      </c>
      <c r="E34" s="3"/>
      <c r="F34" s="3"/>
      <c r="G34" s="24"/>
      <c r="H34" s="24"/>
      <c r="J34" s="1" t="s">
        <v>92</v>
      </c>
      <c r="K34" s="4"/>
      <c r="L34" s="4"/>
      <c r="M34" s="4"/>
      <c r="N34" s="4"/>
      <c r="O34" s="4"/>
      <c r="P34" s="33"/>
      <c r="Q34" s="25">
        <v>0</v>
      </c>
      <c r="R34" s="25">
        <v>0</v>
      </c>
      <c r="S34" s="12">
        <f t="shared" si="0"/>
        <v>0</v>
      </c>
      <c r="T34" s="5">
        <v>0</v>
      </c>
      <c r="U34" s="12">
        <f t="shared" si="1"/>
        <v>0</v>
      </c>
      <c r="V34" s="25" t="s">
        <v>10</v>
      </c>
      <c r="W34" s="11">
        <f>IFERROR(VLOOKUP(V34,Curr!$B$2:$C$13,2,FALSE),0)</f>
        <v>11.2</v>
      </c>
      <c r="X34" s="12">
        <f t="shared" si="2"/>
        <v>0</v>
      </c>
      <c r="Y34" s="26">
        <f t="shared" si="8"/>
        <v>0</v>
      </c>
      <c r="Z34" s="12">
        <f t="shared" si="4"/>
        <v>0</v>
      </c>
      <c r="AA34" s="4" t="s">
        <v>10</v>
      </c>
      <c r="AB34" s="11">
        <f>IFERROR(VLOOKUP(AA34,Curr!$B$2:$C$13,2,FALSE),0)</f>
        <v>11.2</v>
      </c>
      <c r="AC34" s="12">
        <f t="shared" si="5"/>
        <v>0</v>
      </c>
      <c r="AD34" s="12">
        <f t="shared" si="6"/>
        <v>0</v>
      </c>
      <c r="AE34" s="13">
        <f t="shared" si="7"/>
        <v>0</v>
      </c>
    </row>
    <row r="35" spans="2:31" x14ac:dyDescent="0.25">
      <c r="B35" s="4"/>
      <c r="E35" s="3"/>
      <c r="F35" s="3"/>
      <c r="G35" s="24"/>
      <c r="H35" s="24"/>
      <c r="K35" s="4"/>
      <c r="L35" s="4"/>
      <c r="M35" s="4"/>
      <c r="N35" s="4"/>
      <c r="O35" s="4"/>
      <c r="P35" s="27"/>
      <c r="Q35" s="25"/>
      <c r="R35" s="25"/>
      <c r="S35" s="12">
        <f t="shared" si="0"/>
        <v>0</v>
      </c>
      <c r="T35" s="5">
        <v>0</v>
      </c>
      <c r="U35" s="12">
        <f t="shared" si="1"/>
        <v>0</v>
      </c>
      <c r="V35" s="25" t="s">
        <v>10</v>
      </c>
      <c r="W35" s="11">
        <f>IFERROR(VLOOKUP(V35,Curr!$B$2:$C$13,2,FALSE),0)</f>
        <v>11.2</v>
      </c>
      <c r="X35" s="12">
        <f t="shared" si="2"/>
        <v>0</v>
      </c>
      <c r="Y35" s="26">
        <f t="shared" si="8"/>
        <v>0</v>
      </c>
      <c r="Z35" s="12">
        <f t="shared" si="4"/>
        <v>0</v>
      </c>
      <c r="AA35" s="4" t="s">
        <v>10</v>
      </c>
      <c r="AB35" s="11">
        <f>IFERROR(VLOOKUP(AA35,Curr!$B$2:$C$13,2,FALSE),0)</f>
        <v>11.2</v>
      </c>
      <c r="AC35" s="12">
        <f t="shared" si="5"/>
        <v>0</v>
      </c>
      <c r="AD35" s="12">
        <f t="shared" si="6"/>
        <v>0</v>
      </c>
      <c r="AE35" s="13">
        <f t="shared" si="7"/>
        <v>0</v>
      </c>
    </row>
    <row r="36" spans="2:31" x14ac:dyDescent="0.25">
      <c r="B36" s="4"/>
      <c r="E36" s="3"/>
      <c r="F36" s="3"/>
      <c r="G36" s="24"/>
      <c r="H36" s="24"/>
      <c r="K36" s="4"/>
      <c r="L36" s="4"/>
      <c r="M36" s="4"/>
      <c r="N36" s="4"/>
      <c r="O36" s="4"/>
      <c r="P36" s="33"/>
      <c r="Q36" s="25"/>
      <c r="R36" s="25"/>
      <c r="S36" s="12">
        <f t="shared" si="0"/>
        <v>0</v>
      </c>
      <c r="T36" s="5">
        <v>0</v>
      </c>
      <c r="U36" s="12">
        <f t="shared" si="1"/>
        <v>0</v>
      </c>
      <c r="V36" s="25" t="s">
        <v>10</v>
      </c>
      <c r="W36" s="11">
        <f>IFERROR(VLOOKUP(V36,Curr!$B$2:$C$13,2,FALSE),0)</f>
        <v>11.2</v>
      </c>
      <c r="X36" s="12">
        <f t="shared" si="2"/>
        <v>0</v>
      </c>
      <c r="Y36" s="26">
        <f t="shared" si="8"/>
        <v>0</v>
      </c>
      <c r="Z36" s="12">
        <f t="shared" si="4"/>
        <v>0</v>
      </c>
      <c r="AA36" s="4" t="s">
        <v>10</v>
      </c>
      <c r="AB36" s="11">
        <f>IFERROR(VLOOKUP(AA36,Curr!$B$2:$C$13,2,FALSE),0)</f>
        <v>11.2</v>
      </c>
      <c r="AC36" s="12">
        <f t="shared" si="5"/>
        <v>0</v>
      </c>
      <c r="AD36" s="12">
        <f t="shared" si="6"/>
        <v>0</v>
      </c>
      <c r="AE36" s="13">
        <f t="shared" si="7"/>
        <v>0</v>
      </c>
    </row>
    <row r="37" spans="2:31" x14ac:dyDescent="0.25">
      <c r="B37" s="4"/>
      <c r="C37" s="1" t="s">
        <v>55</v>
      </c>
      <c r="D37" s="1" t="s">
        <v>93</v>
      </c>
      <c r="E37" s="3"/>
      <c r="F37" s="3"/>
      <c r="G37" s="24"/>
      <c r="H37" s="24"/>
      <c r="J37" s="1" t="s">
        <v>95</v>
      </c>
      <c r="K37" s="4"/>
      <c r="L37" s="4"/>
      <c r="M37" s="4"/>
      <c r="N37" s="4"/>
      <c r="O37" s="4"/>
      <c r="P37" s="33"/>
      <c r="Q37" s="25">
        <v>1750</v>
      </c>
      <c r="R37" s="25">
        <v>0</v>
      </c>
      <c r="S37" s="12">
        <f t="shared" si="0"/>
        <v>0</v>
      </c>
      <c r="T37" s="5">
        <v>0</v>
      </c>
      <c r="U37" s="12">
        <f t="shared" si="1"/>
        <v>0</v>
      </c>
      <c r="V37" s="25" t="s">
        <v>8</v>
      </c>
      <c r="W37" s="11">
        <f>IFERROR(VLOOKUP(V37,Curr!$B$2:$C$13,2,FALSE),0)</f>
        <v>1</v>
      </c>
      <c r="X37" s="12">
        <f t="shared" si="2"/>
        <v>0</v>
      </c>
      <c r="Y37" s="26">
        <f>Q37/11.3/0.8</f>
        <v>193.58407079646017</v>
      </c>
      <c r="Z37" s="12">
        <f t="shared" si="4"/>
        <v>0</v>
      </c>
      <c r="AA37" s="4" t="s">
        <v>10</v>
      </c>
      <c r="AB37" s="11">
        <f>IFERROR(VLOOKUP(AA37,Curr!$B$2:$C$13,2,FALSE),0)</f>
        <v>11.2</v>
      </c>
      <c r="AC37" s="12">
        <f t="shared" si="5"/>
        <v>0</v>
      </c>
      <c r="AD37" s="12">
        <f t="shared" si="6"/>
        <v>0</v>
      </c>
      <c r="AE37" s="13">
        <f t="shared" si="7"/>
        <v>0</v>
      </c>
    </row>
    <row r="38" spans="2:31" x14ac:dyDescent="0.25">
      <c r="B38" s="4"/>
      <c r="C38" s="1" t="s">
        <v>63</v>
      </c>
      <c r="D38" s="1" t="s">
        <v>93</v>
      </c>
      <c r="E38" s="3"/>
      <c r="F38" s="3"/>
      <c r="G38" s="24"/>
      <c r="H38" s="24"/>
      <c r="J38" s="1" t="s">
        <v>96</v>
      </c>
      <c r="K38" s="4"/>
      <c r="L38" s="4"/>
      <c r="M38" s="4"/>
      <c r="N38" s="4"/>
      <c r="O38" s="4"/>
      <c r="P38" s="27"/>
      <c r="Q38" s="25">
        <v>1290</v>
      </c>
      <c r="R38" s="25">
        <v>0</v>
      </c>
      <c r="S38" s="12">
        <f t="shared" si="0"/>
        <v>0</v>
      </c>
      <c r="T38" s="5">
        <v>0.15</v>
      </c>
      <c r="U38" s="12">
        <f t="shared" si="1"/>
        <v>0</v>
      </c>
      <c r="V38" s="25" t="s">
        <v>8</v>
      </c>
      <c r="W38" s="11">
        <f>IFERROR(VLOOKUP(V38,Curr!$B$2:$C$13,2,FALSE),0)</f>
        <v>1</v>
      </c>
      <c r="X38" s="12">
        <f t="shared" si="2"/>
        <v>0</v>
      </c>
      <c r="Y38" s="26">
        <f>Q38/11.3/0.98</f>
        <v>116.48907350550839</v>
      </c>
      <c r="Z38" s="12">
        <f t="shared" si="4"/>
        <v>0</v>
      </c>
      <c r="AA38" s="4" t="s">
        <v>10</v>
      </c>
      <c r="AB38" s="11">
        <f>IFERROR(VLOOKUP(AA38,Curr!$B$2:$C$13,2,FALSE),0)</f>
        <v>11.2</v>
      </c>
      <c r="AC38" s="12">
        <f t="shared" si="5"/>
        <v>0</v>
      </c>
      <c r="AD38" s="12">
        <f t="shared" si="6"/>
        <v>0</v>
      </c>
      <c r="AE38" s="13">
        <f t="shared" si="7"/>
        <v>0</v>
      </c>
    </row>
    <row r="39" spans="2:31" x14ac:dyDescent="0.25">
      <c r="B39" s="4"/>
      <c r="C39" s="1" t="s">
        <v>78</v>
      </c>
      <c r="D39" s="1" t="s">
        <v>93</v>
      </c>
      <c r="E39" s="3"/>
      <c r="F39" s="3"/>
      <c r="G39" s="24"/>
      <c r="H39" s="24"/>
      <c r="J39" s="1" t="s">
        <v>97</v>
      </c>
      <c r="K39" s="4"/>
      <c r="L39" s="4"/>
      <c r="M39" s="4"/>
      <c r="N39" s="4"/>
      <c r="O39" s="4"/>
      <c r="P39" s="33"/>
      <c r="Q39" s="25">
        <v>1690</v>
      </c>
      <c r="R39" s="25">
        <v>0</v>
      </c>
      <c r="S39" s="12">
        <f t="shared" si="0"/>
        <v>0</v>
      </c>
      <c r="T39" s="5">
        <v>0.15</v>
      </c>
      <c r="U39" s="12">
        <f t="shared" si="1"/>
        <v>0</v>
      </c>
      <c r="V39" s="25" t="s">
        <v>8</v>
      </c>
      <c r="W39" s="11">
        <f>IFERROR(VLOOKUP(V39,Curr!$B$2:$C$13,2,FALSE),0)</f>
        <v>1</v>
      </c>
      <c r="X39" s="12">
        <f t="shared" si="2"/>
        <v>0</v>
      </c>
      <c r="Y39" s="26">
        <f>Q39/11.3/0.98</f>
        <v>152.60971645295285</v>
      </c>
      <c r="Z39" s="12">
        <f t="shared" si="4"/>
        <v>0</v>
      </c>
      <c r="AA39" s="4" t="s">
        <v>10</v>
      </c>
      <c r="AB39" s="11">
        <f>IFERROR(VLOOKUP(AA39,Curr!$B$2:$C$13,2,FALSE),0)</f>
        <v>11.2</v>
      </c>
      <c r="AC39" s="12">
        <f t="shared" si="5"/>
        <v>0</v>
      </c>
      <c r="AD39" s="12">
        <f t="shared" si="6"/>
        <v>0</v>
      </c>
      <c r="AE39" s="13">
        <f t="shared" si="7"/>
        <v>0</v>
      </c>
    </row>
    <row r="40" spans="2:31" x14ac:dyDescent="0.25">
      <c r="B40" s="4"/>
      <c r="C40" s="1" t="s">
        <v>78</v>
      </c>
      <c r="D40" s="1" t="s">
        <v>93</v>
      </c>
      <c r="E40" s="3"/>
      <c r="F40" s="3"/>
      <c r="G40" s="24"/>
      <c r="H40" s="24"/>
      <c r="J40" s="1" t="s">
        <v>99</v>
      </c>
      <c r="K40" s="4"/>
      <c r="L40" s="4"/>
      <c r="M40" s="4"/>
      <c r="N40" s="4"/>
      <c r="O40" s="4"/>
      <c r="P40" s="27"/>
      <c r="Q40" s="25">
        <v>900</v>
      </c>
      <c r="R40" s="25">
        <v>0</v>
      </c>
      <c r="S40" s="12">
        <f t="shared" si="0"/>
        <v>0</v>
      </c>
      <c r="T40" s="5">
        <v>0</v>
      </c>
      <c r="U40" s="12">
        <f t="shared" si="1"/>
        <v>0</v>
      </c>
      <c r="V40" s="25" t="s">
        <v>8</v>
      </c>
      <c r="W40" s="11">
        <f>IFERROR(VLOOKUP(V40,Curr!$B$2:$C$13,2,FALSE),0)</f>
        <v>1</v>
      </c>
      <c r="X40" s="12">
        <f t="shared" si="2"/>
        <v>0</v>
      </c>
      <c r="Y40" s="26">
        <f t="shared" ref="Y40:Y41" si="10">Q40/11.3/0.8</f>
        <v>99.55752212389379</v>
      </c>
      <c r="Z40" s="12">
        <f t="shared" si="4"/>
        <v>0</v>
      </c>
      <c r="AA40" s="4" t="s">
        <v>10</v>
      </c>
      <c r="AB40" s="11">
        <f>IFERROR(VLOOKUP(AA40,Curr!$B$2:$C$13,2,FALSE),0)</f>
        <v>11.2</v>
      </c>
      <c r="AC40" s="12">
        <f t="shared" si="5"/>
        <v>0</v>
      </c>
      <c r="AD40" s="12">
        <f t="shared" si="6"/>
        <v>0</v>
      </c>
      <c r="AE40" s="13">
        <f t="shared" si="7"/>
        <v>0</v>
      </c>
    </row>
    <row r="41" spans="2:31" x14ac:dyDescent="0.25">
      <c r="B41" s="4"/>
      <c r="C41" s="1" t="s">
        <v>81</v>
      </c>
      <c r="D41" s="1" t="s">
        <v>93</v>
      </c>
      <c r="E41" s="3"/>
      <c r="F41" s="3"/>
      <c r="G41" s="24"/>
      <c r="H41" s="24"/>
      <c r="J41" s="1" t="s">
        <v>98</v>
      </c>
      <c r="K41" s="4"/>
      <c r="L41" s="4"/>
      <c r="M41" s="4"/>
      <c r="N41" s="4"/>
      <c r="O41" s="4"/>
      <c r="P41" s="33"/>
      <c r="Q41" s="25">
        <v>900</v>
      </c>
      <c r="R41" s="25">
        <v>0</v>
      </c>
      <c r="S41" s="12">
        <f t="shared" si="0"/>
        <v>0</v>
      </c>
      <c r="T41" s="5">
        <v>0</v>
      </c>
      <c r="U41" s="12">
        <f t="shared" si="1"/>
        <v>0</v>
      </c>
      <c r="V41" s="25" t="s">
        <v>8</v>
      </c>
      <c r="W41" s="11">
        <f>IFERROR(VLOOKUP(V41,Curr!$B$2:$C$13,2,FALSE),0)</f>
        <v>1</v>
      </c>
      <c r="X41" s="12">
        <f t="shared" si="2"/>
        <v>0</v>
      </c>
      <c r="Y41" s="26">
        <f t="shared" si="10"/>
        <v>99.55752212389379</v>
      </c>
      <c r="Z41" s="12">
        <f t="shared" si="4"/>
        <v>0</v>
      </c>
      <c r="AA41" s="4" t="s">
        <v>10</v>
      </c>
      <c r="AB41" s="11">
        <f>IFERROR(VLOOKUP(AA41,Curr!$B$2:$C$13,2,FALSE),0)</f>
        <v>11.2</v>
      </c>
      <c r="AC41" s="12">
        <f t="shared" si="5"/>
        <v>0</v>
      </c>
      <c r="AD41" s="12">
        <f t="shared" si="6"/>
        <v>0</v>
      </c>
      <c r="AE41" s="13">
        <f t="shared" si="7"/>
        <v>0</v>
      </c>
    </row>
    <row r="42" spans="2:31" x14ac:dyDescent="0.25">
      <c r="B42" s="4"/>
      <c r="E42" s="3"/>
      <c r="F42" s="3"/>
      <c r="G42" s="24"/>
      <c r="H42" s="24"/>
      <c r="K42" s="4"/>
      <c r="L42" s="4"/>
      <c r="M42" s="4"/>
      <c r="N42" s="4"/>
      <c r="O42" s="4"/>
      <c r="P42" s="27"/>
      <c r="Q42" s="25"/>
      <c r="R42" s="25"/>
      <c r="S42" s="12">
        <f t="shared" si="0"/>
        <v>0</v>
      </c>
      <c r="T42" s="5">
        <v>0</v>
      </c>
      <c r="U42" s="12">
        <f t="shared" si="1"/>
        <v>0</v>
      </c>
      <c r="V42" s="25" t="s">
        <v>10</v>
      </c>
      <c r="W42" s="11">
        <f>IFERROR(VLOOKUP(V42,Curr!$B$2:$C$13,2,FALSE),0)</f>
        <v>11.2</v>
      </c>
      <c r="X42" s="12">
        <f t="shared" si="2"/>
        <v>0</v>
      </c>
      <c r="Y42" s="26">
        <f t="shared" si="8"/>
        <v>0</v>
      </c>
      <c r="Z42" s="12">
        <f t="shared" si="4"/>
        <v>0</v>
      </c>
      <c r="AA42" s="4" t="s">
        <v>10</v>
      </c>
      <c r="AB42" s="11">
        <f>IFERROR(VLOOKUP(AA42,Curr!$B$2:$C$13,2,FALSE),0)</f>
        <v>11.2</v>
      </c>
      <c r="AC42" s="12">
        <f t="shared" si="5"/>
        <v>0</v>
      </c>
      <c r="AD42" s="12">
        <f t="shared" si="6"/>
        <v>0</v>
      </c>
      <c r="AE42" s="13">
        <f t="shared" si="7"/>
        <v>0</v>
      </c>
    </row>
    <row r="43" spans="2:31" x14ac:dyDescent="0.25">
      <c r="B43" s="4"/>
      <c r="E43" s="3"/>
      <c r="F43" s="3"/>
      <c r="G43" s="24"/>
      <c r="H43" s="24"/>
      <c r="K43" s="4"/>
      <c r="L43" s="4"/>
      <c r="M43" s="4"/>
      <c r="N43" s="4"/>
      <c r="O43" s="4"/>
      <c r="P43" s="27"/>
      <c r="Q43" s="25"/>
      <c r="R43" s="25"/>
      <c r="S43" s="12">
        <f t="shared" si="0"/>
        <v>0</v>
      </c>
      <c r="T43" s="5">
        <v>0</v>
      </c>
      <c r="U43" s="12">
        <f t="shared" si="1"/>
        <v>0</v>
      </c>
      <c r="V43" s="25" t="s">
        <v>10</v>
      </c>
      <c r="W43" s="11">
        <f>IFERROR(VLOOKUP(V43,Curr!$B$2:$C$13,2,FALSE),0)</f>
        <v>11.2</v>
      </c>
      <c r="X43" s="12">
        <f t="shared" si="2"/>
        <v>0</v>
      </c>
      <c r="Y43" s="26">
        <f t="shared" si="8"/>
        <v>0</v>
      </c>
      <c r="Z43" s="12">
        <f t="shared" si="4"/>
        <v>0</v>
      </c>
      <c r="AA43" s="4" t="s">
        <v>10</v>
      </c>
      <c r="AB43" s="11">
        <f>IFERROR(VLOOKUP(AA43,Curr!$B$2:$C$13,2,FALSE),0)</f>
        <v>11.2</v>
      </c>
      <c r="AC43" s="12">
        <f t="shared" si="5"/>
        <v>0</v>
      </c>
      <c r="AD43" s="12">
        <f t="shared" si="6"/>
        <v>0</v>
      </c>
      <c r="AE43" s="13">
        <f t="shared" si="7"/>
        <v>0</v>
      </c>
    </row>
    <row r="44" spans="2:31" x14ac:dyDescent="0.25">
      <c r="B44" s="4"/>
      <c r="E44" s="3"/>
      <c r="F44" s="3"/>
      <c r="G44" s="24"/>
      <c r="H44" s="24"/>
      <c r="K44" s="4"/>
      <c r="L44" s="4"/>
      <c r="M44" s="4"/>
      <c r="N44" s="4"/>
      <c r="O44" s="4"/>
      <c r="P44" s="27"/>
      <c r="Q44" s="25">
        <v>0</v>
      </c>
      <c r="R44" s="25">
        <v>0</v>
      </c>
      <c r="S44" s="12">
        <f t="shared" si="0"/>
        <v>0</v>
      </c>
      <c r="T44" s="5">
        <v>0</v>
      </c>
      <c r="U44" s="12">
        <f t="shared" si="1"/>
        <v>0</v>
      </c>
      <c r="V44" s="25" t="s">
        <v>10</v>
      </c>
      <c r="W44" s="11">
        <f>IFERROR(VLOOKUP(V44,Curr!$B$2:$C$13,2,FALSE),0)</f>
        <v>11.2</v>
      </c>
      <c r="X44" s="12">
        <f t="shared" si="2"/>
        <v>0</v>
      </c>
      <c r="Y44" s="26">
        <f t="shared" si="8"/>
        <v>0</v>
      </c>
      <c r="Z44" s="12">
        <f t="shared" si="4"/>
        <v>0</v>
      </c>
      <c r="AA44" s="4" t="s">
        <v>10</v>
      </c>
      <c r="AB44" s="11">
        <f>IFERROR(VLOOKUP(AA44,Curr!$B$2:$C$13,2,FALSE),0)</f>
        <v>11.2</v>
      </c>
      <c r="AC44" s="12">
        <f t="shared" si="5"/>
        <v>0</v>
      </c>
      <c r="AD44" s="12">
        <f t="shared" si="6"/>
        <v>0</v>
      </c>
      <c r="AE44" s="13">
        <f t="shared" si="7"/>
        <v>0</v>
      </c>
    </row>
    <row r="45" spans="2:31" x14ac:dyDescent="0.25">
      <c r="B45" s="4"/>
      <c r="C45" s="1" t="s">
        <v>63</v>
      </c>
      <c r="D45" s="1" t="s">
        <v>94</v>
      </c>
      <c r="E45" s="3"/>
      <c r="F45" s="3"/>
      <c r="G45" s="24"/>
      <c r="H45" s="24"/>
      <c r="J45" s="1" t="s">
        <v>101</v>
      </c>
      <c r="K45" s="4"/>
      <c r="L45" s="4"/>
      <c r="M45" s="4"/>
      <c r="N45" s="4"/>
      <c r="O45" s="4" t="s">
        <v>42</v>
      </c>
      <c r="P45" s="33" t="s">
        <v>100</v>
      </c>
      <c r="Q45" s="25">
        <v>3250</v>
      </c>
      <c r="R45" s="25">
        <v>0</v>
      </c>
      <c r="S45" s="12">
        <f t="shared" si="0"/>
        <v>0</v>
      </c>
      <c r="T45" s="5">
        <v>0.08</v>
      </c>
      <c r="U45" s="12">
        <f t="shared" si="1"/>
        <v>0</v>
      </c>
      <c r="V45" s="25" t="s">
        <v>8</v>
      </c>
      <c r="W45" s="11">
        <f>IFERROR(VLOOKUP(V45,Curr!$B$2:$C$13,2,FALSE),0)</f>
        <v>1</v>
      </c>
      <c r="X45" s="12">
        <f t="shared" si="2"/>
        <v>0</v>
      </c>
      <c r="Y45" s="26">
        <f>Q45/11.3/0.9</f>
        <v>319.56735496558503</v>
      </c>
      <c r="Z45" s="12">
        <f t="shared" si="4"/>
        <v>0</v>
      </c>
      <c r="AA45" s="4" t="s">
        <v>10</v>
      </c>
      <c r="AB45" s="11">
        <f>IFERROR(VLOOKUP(AA45,Curr!$B$2:$C$13,2,FALSE),0)</f>
        <v>11.2</v>
      </c>
      <c r="AC45" s="12">
        <f t="shared" si="5"/>
        <v>0</v>
      </c>
      <c r="AD45" s="12">
        <f t="shared" si="6"/>
        <v>0</v>
      </c>
      <c r="AE45" s="13">
        <f t="shared" si="7"/>
        <v>0</v>
      </c>
    </row>
    <row r="46" spans="2:31" x14ac:dyDescent="0.25">
      <c r="B46" s="4"/>
      <c r="C46" s="1" t="s">
        <v>63</v>
      </c>
      <c r="D46" s="1" t="s">
        <v>94</v>
      </c>
      <c r="E46" s="3"/>
      <c r="F46" s="3"/>
      <c r="G46" s="24"/>
      <c r="H46" s="24"/>
      <c r="J46" s="1" t="s">
        <v>105</v>
      </c>
      <c r="K46" s="4"/>
      <c r="L46" s="4"/>
      <c r="M46" s="4"/>
      <c r="N46" s="4"/>
      <c r="O46" s="4"/>
      <c r="P46" s="33"/>
      <c r="Q46" s="25">
        <v>450</v>
      </c>
      <c r="R46" s="25">
        <v>0</v>
      </c>
      <c r="S46" s="12">
        <f t="shared" si="0"/>
        <v>0</v>
      </c>
      <c r="T46" s="5">
        <v>0</v>
      </c>
      <c r="U46" s="12">
        <f t="shared" si="1"/>
        <v>0</v>
      </c>
      <c r="V46" s="25" t="s">
        <v>8</v>
      </c>
      <c r="W46" s="11">
        <f>IFERROR(VLOOKUP(V46,Curr!$B$2:$C$13,2,FALSE),0)</f>
        <v>1</v>
      </c>
      <c r="X46" s="12">
        <f t="shared" si="2"/>
        <v>0</v>
      </c>
      <c r="Y46" s="26">
        <f>Q46/11.3/0.8</f>
        <v>49.778761061946895</v>
      </c>
      <c r="Z46" s="12">
        <f t="shared" si="4"/>
        <v>0</v>
      </c>
      <c r="AA46" s="4" t="s">
        <v>10</v>
      </c>
      <c r="AB46" s="11">
        <f>IFERROR(VLOOKUP(AA46,Curr!$B$2:$C$13,2,FALSE),0)</f>
        <v>11.2</v>
      </c>
      <c r="AC46" s="12">
        <f t="shared" si="5"/>
        <v>0</v>
      </c>
      <c r="AD46" s="12">
        <f t="shared" si="6"/>
        <v>0</v>
      </c>
      <c r="AE46" s="13">
        <f t="shared" si="7"/>
        <v>0</v>
      </c>
    </row>
    <row r="47" spans="2:31" x14ac:dyDescent="0.25">
      <c r="B47" s="4"/>
      <c r="C47" s="1" t="s">
        <v>69</v>
      </c>
      <c r="D47" s="1" t="s">
        <v>94</v>
      </c>
      <c r="E47" s="3"/>
      <c r="F47" s="3"/>
      <c r="G47" s="24"/>
      <c r="H47" s="24"/>
      <c r="J47" s="1" t="s">
        <v>106</v>
      </c>
      <c r="K47" s="4"/>
      <c r="L47" s="4"/>
      <c r="M47" s="4"/>
      <c r="N47" s="4"/>
      <c r="O47" s="4" t="s">
        <v>42</v>
      </c>
      <c r="P47" s="33" t="s">
        <v>107</v>
      </c>
      <c r="Q47" s="25">
        <v>71</v>
      </c>
      <c r="R47" s="25">
        <v>0</v>
      </c>
      <c r="S47" s="12">
        <f t="shared" si="0"/>
        <v>0</v>
      </c>
      <c r="T47" s="5">
        <v>0.2</v>
      </c>
      <c r="U47" s="12">
        <f t="shared" si="1"/>
        <v>0</v>
      </c>
      <c r="V47" s="25" t="s">
        <v>10</v>
      </c>
      <c r="W47" s="11">
        <f>IFERROR(VLOOKUP(V47,Curr!$B$2:$C$13,2,FALSE),0)</f>
        <v>11.2</v>
      </c>
      <c r="X47" s="12">
        <f t="shared" si="2"/>
        <v>0</v>
      </c>
      <c r="Y47" s="26">
        <f t="shared" ref="Y47" si="11">Q47</f>
        <v>71</v>
      </c>
      <c r="Z47" s="12">
        <f t="shared" si="4"/>
        <v>0</v>
      </c>
      <c r="AA47" s="4" t="s">
        <v>10</v>
      </c>
      <c r="AB47" s="11">
        <f>IFERROR(VLOOKUP(AA47,Curr!$B$2:$C$13,2,FALSE),0)</f>
        <v>11.2</v>
      </c>
      <c r="AC47" s="12">
        <f t="shared" si="5"/>
        <v>0</v>
      </c>
      <c r="AD47" s="12">
        <f t="shared" si="6"/>
        <v>0</v>
      </c>
      <c r="AE47" s="13">
        <f t="shared" si="7"/>
        <v>0</v>
      </c>
    </row>
    <row r="48" spans="2:31" x14ac:dyDescent="0.25">
      <c r="B48" s="4"/>
      <c r="C48" s="1" t="s">
        <v>80</v>
      </c>
      <c r="D48" s="1" t="s">
        <v>94</v>
      </c>
      <c r="E48" s="3"/>
      <c r="F48" s="3"/>
      <c r="G48" s="24"/>
      <c r="H48" s="24"/>
      <c r="J48" s="1" t="s">
        <v>118</v>
      </c>
      <c r="K48" s="4"/>
      <c r="L48" s="4"/>
      <c r="M48" s="4"/>
      <c r="N48" s="4"/>
      <c r="O48" s="4" t="s">
        <v>42</v>
      </c>
      <c r="P48" s="33" t="s">
        <v>119</v>
      </c>
      <c r="Q48" s="25">
        <v>2195</v>
      </c>
      <c r="R48" s="25">
        <v>0</v>
      </c>
      <c r="S48" s="12">
        <f t="shared" si="0"/>
        <v>0</v>
      </c>
      <c r="T48" s="5">
        <v>0.2</v>
      </c>
      <c r="U48" s="12">
        <f t="shared" si="1"/>
        <v>0</v>
      </c>
      <c r="V48" s="25" t="s">
        <v>8</v>
      </c>
      <c r="W48" s="11">
        <f>IFERROR(VLOOKUP(V48,Curr!$B$2:$C$13,2,FALSE),0)</f>
        <v>1</v>
      </c>
      <c r="X48" s="12">
        <f t="shared" si="2"/>
        <v>0</v>
      </c>
      <c r="Y48" s="26">
        <f t="shared" ref="Y48" si="12">Q48/11.3</f>
        <v>194.24778761061947</v>
      </c>
      <c r="Z48" s="12">
        <f t="shared" si="4"/>
        <v>0</v>
      </c>
      <c r="AA48" s="4" t="s">
        <v>10</v>
      </c>
      <c r="AB48" s="11">
        <f>IFERROR(VLOOKUP(AA48,Curr!$B$2:$C$13,2,FALSE),0)</f>
        <v>11.2</v>
      </c>
      <c r="AC48" s="12">
        <f t="shared" si="5"/>
        <v>0</v>
      </c>
      <c r="AD48" s="12">
        <f t="shared" si="6"/>
        <v>0</v>
      </c>
      <c r="AE48" s="13">
        <f t="shared" si="7"/>
        <v>0</v>
      </c>
    </row>
    <row r="49" spans="2:36" x14ac:dyDescent="0.25">
      <c r="B49" s="4"/>
      <c r="E49" s="3"/>
      <c r="F49" s="3"/>
      <c r="G49" s="24"/>
      <c r="H49" s="24"/>
      <c r="K49" s="4"/>
      <c r="L49" s="4"/>
      <c r="M49" s="4"/>
      <c r="N49" s="4"/>
      <c r="O49" s="4"/>
      <c r="P49" s="33"/>
      <c r="Q49" s="25"/>
      <c r="R49" s="25"/>
      <c r="S49" s="12">
        <f t="shared" si="0"/>
        <v>0</v>
      </c>
      <c r="T49" s="5">
        <v>0</v>
      </c>
      <c r="U49" s="12">
        <f t="shared" si="1"/>
        <v>0</v>
      </c>
      <c r="V49" s="25" t="s">
        <v>10</v>
      </c>
      <c r="W49" s="11">
        <f>IFERROR(VLOOKUP(V49,Curr!$B$2:$C$13,2,FALSE),0)</f>
        <v>11.2</v>
      </c>
      <c r="X49" s="12">
        <f t="shared" si="2"/>
        <v>0</v>
      </c>
      <c r="Y49" s="26">
        <f t="shared" si="8"/>
        <v>0</v>
      </c>
      <c r="Z49" s="12">
        <f t="shared" si="4"/>
        <v>0</v>
      </c>
      <c r="AA49" s="4" t="s">
        <v>10</v>
      </c>
      <c r="AB49" s="11">
        <f>IFERROR(VLOOKUP(AA49,Curr!$B$2:$C$13,2,FALSE),0)</f>
        <v>11.2</v>
      </c>
      <c r="AC49" s="12">
        <f t="shared" si="5"/>
        <v>0</v>
      </c>
      <c r="AD49" s="12">
        <f t="shared" si="6"/>
        <v>0</v>
      </c>
      <c r="AE49" s="13">
        <f t="shared" si="7"/>
        <v>0</v>
      </c>
    </row>
    <row r="50" spans="2:36" x14ac:dyDescent="0.25">
      <c r="B50" s="4"/>
      <c r="E50" s="3"/>
      <c r="F50" s="3"/>
      <c r="G50" s="24"/>
      <c r="H50" s="24"/>
      <c r="K50" s="4"/>
      <c r="L50" s="4"/>
      <c r="M50" s="4"/>
      <c r="N50" s="4"/>
      <c r="O50" s="4"/>
      <c r="P50" s="27"/>
      <c r="Q50" s="25"/>
      <c r="R50" s="25"/>
      <c r="S50" s="12">
        <f t="shared" si="0"/>
        <v>0</v>
      </c>
      <c r="T50" s="5">
        <v>0</v>
      </c>
      <c r="U50" s="12">
        <f t="shared" si="1"/>
        <v>0</v>
      </c>
      <c r="V50" s="25" t="s">
        <v>10</v>
      </c>
      <c r="W50" s="11">
        <f>IFERROR(VLOOKUP(V50,Curr!$B$2:$C$13,2,FALSE),0)</f>
        <v>11.2</v>
      </c>
      <c r="X50" s="12">
        <f t="shared" si="2"/>
        <v>0</v>
      </c>
      <c r="Y50" s="26">
        <f t="shared" si="8"/>
        <v>0</v>
      </c>
      <c r="Z50" s="12">
        <f t="shared" si="4"/>
        <v>0</v>
      </c>
      <c r="AA50" s="4" t="s">
        <v>10</v>
      </c>
      <c r="AB50" s="11">
        <f>IFERROR(VLOOKUP(AA50,Curr!$B$2:$C$13,2,FALSE),0)</f>
        <v>11.2</v>
      </c>
      <c r="AC50" s="12">
        <f t="shared" si="5"/>
        <v>0</v>
      </c>
      <c r="AD50" s="12">
        <f t="shared" si="6"/>
        <v>0</v>
      </c>
      <c r="AE50" s="13">
        <f t="shared" si="7"/>
        <v>0</v>
      </c>
    </row>
    <row r="51" spans="2:36" x14ac:dyDescent="0.25">
      <c r="B51" s="4"/>
      <c r="E51" s="3"/>
      <c r="F51" s="3"/>
      <c r="G51" s="24"/>
      <c r="H51" s="24"/>
      <c r="K51" s="4"/>
      <c r="L51" s="4"/>
      <c r="M51" s="4"/>
      <c r="N51" s="4"/>
      <c r="O51" s="4"/>
      <c r="P51" s="27"/>
      <c r="Q51" s="25"/>
      <c r="R51" s="25"/>
      <c r="S51" s="12">
        <f t="shared" si="0"/>
        <v>0</v>
      </c>
      <c r="T51" s="5">
        <v>0</v>
      </c>
      <c r="U51" s="12">
        <f t="shared" si="1"/>
        <v>0</v>
      </c>
      <c r="V51" s="25" t="s">
        <v>10</v>
      </c>
      <c r="W51" s="11">
        <f>IFERROR(VLOOKUP(V51,Curr!$B$2:$C$13,2,FALSE),0)</f>
        <v>11.2</v>
      </c>
      <c r="X51" s="12">
        <f t="shared" si="2"/>
        <v>0</v>
      </c>
      <c r="Y51" s="26">
        <f t="shared" si="8"/>
        <v>0</v>
      </c>
      <c r="Z51" s="12">
        <f t="shared" si="4"/>
        <v>0</v>
      </c>
      <c r="AA51" s="4" t="s">
        <v>10</v>
      </c>
      <c r="AB51" s="11">
        <f>IFERROR(VLOOKUP(AA51,Curr!$B$2:$C$13,2,FALSE),0)</f>
        <v>11.2</v>
      </c>
      <c r="AC51" s="12">
        <f t="shared" si="5"/>
        <v>0</v>
      </c>
      <c r="AD51" s="12">
        <f t="shared" si="6"/>
        <v>0</v>
      </c>
      <c r="AE51" s="13">
        <f t="shared" si="7"/>
        <v>0</v>
      </c>
    </row>
    <row r="52" spans="2:36" x14ac:dyDescent="0.25">
      <c r="B52" s="4"/>
      <c r="E52" s="3"/>
      <c r="F52" s="3"/>
      <c r="G52" s="24"/>
      <c r="H52" s="24"/>
      <c r="K52" s="4"/>
      <c r="L52" s="4"/>
      <c r="M52" s="4"/>
      <c r="N52" s="4"/>
      <c r="O52" s="4"/>
      <c r="P52" s="27"/>
      <c r="Q52" s="25"/>
      <c r="R52" s="25"/>
      <c r="S52" s="12">
        <f t="shared" si="0"/>
        <v>0</v>
      </c>
      <c r="T52" s="5">
        <v>0</v>
      </c>
      <c r="U52" s="12">
        <f t="shared" si="1"/>
        <v>0</v>
      </c>
      <c r="V52" s="25" t="s">
        <v>10</v>
      </c>
      <c r="W52" s="11">
        <f>IFERROR(VLOOKUP(V52,Curr!$B$2:$C$13,2,FALSE),0)</f>
        <v>11.2</v>
      </c>
      <c r="X52" s="12">
        <f t="shared" si="2"/>
        <v>0</v>
      </c>
      <c r="Y52" s="26">
        <f t="shared" si="8"/>
        <v>0</v>
      </c>
      <c r="Z52" s="12">
        <f t="shared" si="4"/>
        <v>0</v>
      </c>
      <c r="AA52" s="4" t="s">
        <v>10</v>
      </c>
      <c r="AB52" s="11">
        <f>IFERROR(VLOOKUP(AA52,Curr!$B$2:$C$13,2,FALSE),0)</f>
        <v>11.2</v>
      </c>
      <c r="AC52" s="12">
        <f t="shared" si="5"/>
        <v>0</v>
      </c>
      <c r="AD52" s="12">
        <f t="shared" si="6"/>
        <v>0</v>
      </c>
      <c r="AE52" s="13">
        <f t="shared" si="7"/>
        <v>0</v>
      </c>
    </row>
    <row r="53" spans="2:36" x14ac:dyDescent="0.25">
      <c r="B53" s="4"/>
      <c r="E53" s="3"/>
      <c r="F53" s="3"/>
      <c r="G53" s="24"/>
      <c r="H53" s="24"/>
      <c r="K53" s="4"/>
      <c r="L53" s="4"/>
      <c r="M53" s="4"/>
      <c r="N53" s="4"/>
      <c r="O53" s="4"/>
      <c r="P53" s="27"/>
      <c r="Q53" s="25"/>
      <c r="R53" s="25"/>
      <c r="S53" s="12">
        <f t="shared" si="0"/>
        <v>0</v>
      </c>
      <c r="T53" s="5">
        <v>0</v>
      </c>
      <c r="U53" s="12">
        <f t="shared" si="1"/>
        <v>0</v>
      </c>
      <c r="V53" s="25" t="s">
        <v>10</v>
      </c>
      <c r="W53" s="11">
        <f>IFERROR(VLOOKUP(V53,Curr!$B$2:$C$13,2,FALSE),0)</f>
        <v>11.2</v>
      </c>
      <c r="X53" s="12">
        <f t="shared" si="2"/>
        <v>0</v>
      </c>
      <c r="Y53" s="26">
        <f t="shared" si="8"/>
        <v>0</v>
      </c>
      <c r="Z53" s="12">
        <f t="shared" si="4"/>
        <v>0</v>
      </c>
      <c r="AA53" s="4" t="s">
        <v>10</v>
      </c>
      <c r="AB53" s="11">
        <f>IFERROR(VLOOKUP(AA53,Curr!$B$2:$C$13,2,FALSE),0)</f>
        <v>11.2</v>
      </c>
      <c r="AC53" s="12">
        <f t="shared" si="5"/>
        <v>0</v>
      </c>
      <c r="AD53" s="12">
        <f t="shared" si="6"/>
        <v>0</v>
      </c>
      <c r="AE53" s="13">
        <f t="shared" si="7"/>
        <v>0</v>
      </c>
    </row>
    <row r="54" spans="2:36" x14ac:dyDescent="0.25">
      <c r="B54" s="4"/>
      <c r="E54" s="3"/>
      <c r="F54" s="3"/>
      <c r="G54" s="3"/>
      <c r="H54" s="3"/>
      <c r="L54" s="4"/>
      <c r="M54" s="4"/>
      <c r="N54" s="4"/>
      <c r="O54" s="4"/>
      <c r="P54" s="22"/>
      <c r="Q54" s="4"/>
      <c r="R54" s="4"/>
      <c r="S54" s="4"/>
      <c r="T54" s="4"/>
      <c r="U54" s="4"/>
      <c r="V54" s="4"/>
      <c r="W54" s="4"/>
      <c r="X54" s="4"/>
      <c r="Y54" s="4"/>
      <c r="Z54" s="4"/>
      <c r="AA54" s="4"/>
      <c r="AB54" s="4"/>
      <c r="AC54" s="4"/>
      <c r="AD54" s="4"/>
      <c r="AE54" s="4"/>
      <c r="AF54" s="4"/>
    </row>
    <row r="55" spans="2:36" x14ac:dyDescent="0.25">
      <c r="B55" s="14" t="s">
        <v>18</v>
      </c>
      <c r="C55" s="14"/>
      <c r="D55" s="28" t="s">
        <v>42</v>
      </c>
      <c r="E55" s="30" t="s">
        <v>42</v>
      </c>
      <c r="F55" s="30" t="s">
        <v>42</v>
      </c>
      <c r="G55" s="30" t="s">
        <v>42</v>
      </c>
      <c r="H55" s="30" t="s">
        <v>42</v>
      </c>
      <c r="I55" s="28" t="s">
        <v>42</v>
      </c>
      <c r="J55" s="28" t="s">
        <v>42</v>
      </c>
      <c r="K55" s="28" t="s">
        <v>42</v>
      </c>
      <c r="L55" s="28" t="s">
        <v>42</v>
      </c>
      <c r="M55" s="28" t="s">
        <v>42</v>
      </c>
      <c r="N55" s="28" t="s">
        <v>42</v>
      </c>
      <c r="O55" s="28" t="s">
        <v>42</v>
      </c>
      <c r="P55" s="28" t="s">
        <v>42</v>
      </c>
      <c r="Q55" s="31" t="s">
        <v>42</v>
      </c>
      <c r="R55" s="28" t="s">
        <v>42</v>
      </c>
      <c r="S55" s="32" t="s">
        <v>42</v>
      </c>
      <c r="T55" s="28" t="s">
        <v>42</v>
      </c>
      <c r="U55" s="32" t="s">
        <v>42</v>
      </c>
      <c r="V55" s="28" t="s">
        <v>42</v>
      </c>
      <c r="W55" s="28" t="s">
        <v>42</v>
      </c>
      <c r="X55" s="32" t="s">
        <v>42</v>
      </c>
      <c r="Y55" s="32" t="s">
        <v>42</v>
      </c>
      <c r="Z55" s="15">
        <f>SUM(Z7:Z53)</f>
        <v>2649.9804789172304</v>
      </c>
      <c r="AA55" s="14"/>
      <c r="AB55" s="14"/>
      <c r="AC55" s="15">
        <f>SUM(AC7:AC53)</f>
        <v>29679.781363872979</v>
      </c>
      <c r="AD55" s="15">
        <f>SUM(AD7:AD53)</f>
        <v>5705.7813638729804</v>
      </c>
      <c r="AE55" s="21">
        <f t="shared" ref="AE55" si="13">IFERROR(AD55/AC55,0)</f>
        <v>0.19224472356855735</v>
      </c>
      <c r="AF55" s="15">
        <f>SUM(AF8:AF54)</f>
        <v>0</v>
      </c>
      <c r="AG55" s="15">
        <f>SUM(AG8:AG54)</f>
        <v>0</v>
      </c>
      <c r="AH55" s="15">
        <f>SUM(AH8:AH54)</f>
        <v>0</v>
      </c>
      <c r="AI55" s="15">
        <f>SUM(AI8:AI54)</f>
        <v>0</v>
      </c>
      <c r="AJ55" s="15">
        <f>SUM(AJ8:AJ54)</f>
        <v>0</v>
      </c>
    </row>
    <row r="56" spans="2:36" x14ac:dyDescent="0.25">
      <c r="B56" s="4"/>
      <c r="E56" s="3"/>
      <c r="F56" s="3"/>
      <c r="G56" s="3"/>
      <c r="H56" s="3"/>
      <c r="L56" s="4"/>
      <c r="M56" s="4"/>
      <c r="N56" s="4"/>
      <c r="O56" s="4"/>
      <c r="Q56" s="4"/>
      <c r="R56" s="4"/>
      <c r="S56" s="4"/>
      <c r="T56" s="4"/>
      <c r="U56" s="4"/>
      <c r="V56" s="4"/>
      <c r="W56" s="4"/>
      <c r="X56" s="4"/>
      <c r="Y56" s="9"/>
      <c r="Z56" s="9"/>
      <c r="AA56" s="9"/>
      <c r="AB56" s="9"/>
      <c r="AC56" s="9"/>
      <c r="AD56" s="9"/>
      <c r="AE56" s="9"/>
    </row>
    <row r="57" spans="2:36" x14ac:dyDescent="0.25">
      <c r="B57" s="4"/>
      <c r="E57" s="3"/>
      <c r="F57" s="3"/>
      <c r="G57" s="3"/>
      <c r="H57" s="3"/>
      <c r="L57" s="4"/>
      <c r="M57" s="4"/>
      <c r="N57" s="4"/>
      <c r="O57" s="4"/>
      <c r="Q57" s="9"/>
      <c r="R57" s="9"/>
      <c r="S57" s="9"/>
      <c r="T57" s="9"/>
      <c r="U57" s="9"/>
      <c r="V57" s="9"/>
      <c r="W57" s="9"/>
      <c r="X57" s="23"/>
      <c r="Y57" s="34" t="s">
        <v>102</v>
      </c>
      <c r="Z57" s="34">
        <v>1290</v>
      </c>
      <c r="AA57" s="9"/>
      <c r="AB57" s="9"/>
      <c r="AC57" s="9"/>
      <c r="AD57" s="9"/>
      <c r="AE57" s="9"/>
    </row>
    <row r="58" spans="2:36" x14ac:dyDescent="0.25">
      <c r="B58" s="4"/>
      <c r="E58" s="3"/>
      <c r="F58" s="3"/>
      <c r="G58" s="3"/>
      <c r="H58" s="3"/>
      <c r="L58" s="4"/>
      <c r="M58" s="4"/>
      <c r="N58" s="4"/>
      <c r="O58" s="4"/>
      <c r="Q58" s="9"/>
      <c r="R58" s="9"/>
      <c r="S58" s="9"/>
      <c r="T58" s="9"/>
      <c r="U58" s="9"/>
      <c r="V58" s="9"/>
      <c r="W58" s="9"/>
      <c r="X58" s="9"/>
      <c r="Y58" s="35" t="s">
        <v>103</v>
      </c>
      <c r="Z58" s="34">
        <f>Z9+Z15+Z23+Z25</f>
        <v>1492.3477355543987</v>
      </c>
      <c r="AA58" s="9"/>
      <c r="AB58" s="9"/>
      <c r="AC58" s="9"/>
      <c r="AD58" s="9"/>
      <c r="AE58" s="9"/>
      <c r="AF58" s="18"/>
    </row>
    <row r="59" spans="2:36" x14ac:dyDescent="0.25">
      <c r="B59" s="4"/>
      <c r="E59" s="3"/>
      <c r="F59" s="3"/>
      <c r="G59" s="3"/>
      <c r="H59" s="3"/>
      <c r="I59" s="19"/>
      <c r="L59" s="4"/>
      <c r="M59" s="4"/>
      <c r="N59" s="4"/>
      <c r="O59" s="20"/>
      <c r="Q59" s="20"/>
      <c r="R59" s="20"/>
      <c r="S59" s="20"/>
      <c r="T59" s="20"/>
      <c r="U59" s="20"/>
      <c r="V59" s="20"/>
      <c r="W59" s="20"/>
      <c r="X59" s="20"/>
      <c r="Y59" s="34" t="s">
        <v>104</v>
      </c>
      <c r="Z59" s="34">
        <v>2660</v>
      </c>
      <c r="AA59" s="9"/>
      <c r="AB59" s="9"/>
      <c r="AC59" s="9"/>
      <c r="AD59" s="9"/>
      <c r="AE59" s="9"/>
      <c r="AF59" s="18"/>
    </row>
    <row r="60" spans="2:36" x14ac:dyDescent="0.25">
      <c r="B60" s="4"/>
      <c r="E60" s="3"/>
      <c r="F60" s="3"/>
      <c r="G60" s="3"/>
      <c r="H60" s="3"/>
      <c r="L60" s="4"/>
      <c r="M60" s="4"/>
      <c r="N60" s="4"/>
      <c r="O60" s="20"/>
      <c r="Q60" s="20"/>
      <c r="R60" s="20"/>
      <c r="S60" s="20"/>
      <c r="T60" s="20"/>
      <c r="U60" s="20"/>
      <c r="V60" s="20"/>
      <c r="W60" s="20"/>
      <c r="X60" s="20"/>
      <c r="Y60" s="34" t="s">
        <v>43</v>
      </c>
      <c r="Z60" s="34">
        <f>Z59/2</f>
        <v>1330</v>
      </c>
      <c r="AA60" s="9"/>
      <c r="AB60" s="9"/>
      <c r="AC60" s="9"/>
      <c r="AD60" s="9"/>
      <c r="AE60" s="9"/>
      <c r="AF60" s="18"/>
    </row>
    <row r="61" spans="2:36" x14ac:dyDescent="0.25">
      <c r="B61" s="4"/>
      <c r="E61" s="3"/>
      <c r="F61" s="3"/>
      <c r="G61" s="3"/>
      <c r="H61" s="3"/>
      <c r="L61" s="4"/>
      <c r="M61" s="4"/>
      <c r="N61" s="4"/>
      <c r="O61" s="4"/>
      <c r="Q61" s="9"/>
      <c r="R61" s="9"/>
      <c r="S61" s="9"/>
      <c r="T61" s="9"/>
      <c r="U61" s="9"/>
      <c r="V61" s="9"/>
      <c r="W61" s="9"/>
      <c r="X61" s="9"/>
      <c r="Y61" s="1"/>
      <c r="Z61" s="1"/>
      <c r="AA61" s="9"/>
      <c r="AB61" s="9"/>
      <c r="AC61" s="9"/>
      <c r="AD61" s="9"/>
      <c r="AE61" s="9"/>
      <c r="AF61" s="18"/>
    </row>
    <row r="62" spans="2:36" x14ac:dyDescent="0.25">
      <c r="F62" s="1"/>
      <c r="G62" s="1"/>
      <c r="H62" s="1"/>
      <c r="J62" s="1" t="s">
        <v>32</v>
      </c>
      <c r="Q62" s="9"/>
      <c r="R62" s="4"/>
      <c r="S62" s="9"/>
      <c r="T62" s="5"/>
      <c r="U62" s="9"/>
      <c r="V62" s="4"/>
      <c r="W62" s="4"/>
      <c r="X62" s="9"/>
      <c r="Y62" s="9"/>
      <c r="Z62" s="9"/>
      <c r="AA62" s="9"/>
      <c r="AB62" s="9"/>
      <c r="AC62" s="9"/>
      <c r="AD62" s="9"/>
      <c r="AE62" s="9"/>
    </row>
    <row r="63" spans="2:36" x14ac:dyDescent="0.25">
      <c r="R63" s="4"/>
      <c r="S63" s="17"/>
      <c r="T63" s="17"/>
      <c r="U63" s="9"/>
      <c r="V63" s="4"/>
      <c r="W63" s="4"/>
      <c r="X63" s="9"/>
      <c r="Y63" s="9"/>
      <c r="Z63" s="9"/>
      <c r="AA63" s="9"/>
      <c r="AB63" s="9"/>
      <c r="AC63" s="9"/>
      <c r="AD63" s="9"/>
      <c r="AE63" s="9"/>
    </row>
    <row r="64" spans="2:36" x14ac:dyDescent="0.25">
      <c r="Q64" s="9"/>
      <c r="R64" s="4"/>
      <c r="S64" s="16"/>
      <c r="T64" s="16"/>
      <c r="U64" s="9"/>
      <c r="V64" s="4"/>
      <c r="W64" s="4"/>
      <c r="X64" s="9"/>
      <c r="Y64" s="9"/>
      <c r="Z64" s="9"/>
      <c r="AA64" s="9"/>
      <c r="AB64" s="9"/>
      <c r="AC64" s="9"/>
      <c r="AD64" s="9"/>
      <c r="AE64" s="9"/>
    </row>
    <row r="65" spans="18:31" x14ac:dyDescent="0.25">
      <c r="R65" s="4"/>
      <c r="S65" s="16"/>
      <c r="T65" s="16"/>
      <c r="Y65" s="9"/>
      <c r="Z65" s="9"/>
      <c r="AA65" s="9"/>
      <c r="AB65" s="9"/>
      <c r="AC65" s="9"/>
      <c r="AD65" s="9"/>
      <c r="AE65" s="9"/>
    </row>
    <row r="66" spans="18:31" x14ac:dyDescent="0.25">
      <c r="T66" s="5"/>
      <c r="Y66" s="9"/>
      <c r="Z66" s="9"/>
      <c r="AA66" s="9"/>
      <c r="AB66" s="9"/>
      <c r="AC66" s="9"/>
      <c r="AD66" s="9"/>
      <c r="AE66" s="9"/>
    </row>
    <row r="67" spans="18:31" x14ac:dyDescent="0.25">
      <c r="T67" s="5"/>
      <c r="Y67" s="9"/>
      <c r="Z67" s="9" t="s">
        <v>330</v>
      </c>
      <c r="AA67" s="9"/>
      <c r="AB67" s="9"/>
      <c r="AC67" s="9"/>
      <c r="AD67" s="9"/>
      <c r="AE67" s="9"/>
    </row>
    <row r="68" spans="18:31" x14ac:dyDescent="0.25">
      <c r="T68" s="5"/>
      <c r="Y68" s="37" t="s">
        <v>325</v>
      </c>
      <c r="Z68" s="9">
        <f>Z59</f>
        <v>2660</v>
      </c>
      <c r="AA68" s="9"/>
      <c r="AB68" s="37"/>
      <c r="AC68" s="9"/>
      <c r="AD68" s="9"/>
      <c r="AE68" s="9"/>
    </row>
    <row r="69" spans="18:31" x14ac:dyDescent="0.25">
      <c r="T69" s="5"/>
      <c r="Y69" s="37" t="s">
        <v>326</v>
      </c>
      <c r="Z69" s="9">
        <f>Z68*1.18</f>
        <v>3138.7999999999997</v>
      </c>
      <c r="AA69" s="9"/>
      <c r="AB69" s="37"/>
      <c r="AC69" s="9"/>
      <c r="AD69" s="9"/>
      <c r="AE69" s="9"/>
    </row>
    <row r="70" spans="18:31" x14ac:dyDescent="0.25">
      <c r="T70" s="5"/>
      <c r="Y70" s="37" t="s">
        <v>327</v>
      </c>
      <c r="Z70" s="9">
        <f>Z68*1.25</f>
        <v>3325</v>
      </c>
      <c r="AA70" s="9"/>
      <c r="AB70" s="37"/>
      <c r="AC70" s="9"/>
      <c r="AD70" s="9"/>
      <c r="AE70" s="9"/>
    </row>
    <row r="71" spans="18:31" x14ac:dyDescent="0.25">
      <c r="T71" s="5"/>
      <c r="Y71" s="37" t="s">
        <v>328</v>
      </c>
      <c r="Z71" s="9">
        <f>Z68*0.85</f>
        <v>2261</v>
      </c>
      <c r="AA71" s="9"/>
      <c r="AB71" s="37"/>
      <c r="AC71" s="9"/>
      <c r="AD71" s="9"/>
      <c r="AE71" s="9"/>
    </row>
    <row r="72" spans="18:31" x14ac:dyDescent="0.25">
      <c r="T72" s="5"/>
      <c r="Y72" s="37" t="s">
        <v>307</v>
      </c>
      <c r="Z72" s="9" t="s">
        <v>329</v>
      </c>
      <c r="AA72" s="9"/>
      <c r="AB72" s="37"/>
      <c r="AC72" s="9"/>
      <c r="AD72" s="9"/>
      <c r="AE72" s="9"/>
    </row>
    <row r="73" spans="18:31" x14ac:dyDescent="0.25">
      <c r="T73" s="5"/>
      <c r="Y73" s="9"/>
      <c r="Z73" s="9"/>
      <c r="AA73" s="9"/>
      <c r="AB73" s="9"/>
      <c r="AC73" s="9"/>
      <c r="AD73" s="9"/>
      <c r="AE73" s="9"/>
    </row>
    <row r="74" spans="18:31" x14ac:dyDescent="0.25">
      <c r="T74" s="5"/>
    </row>
    <row r="75" spans="18:31" x14ac:dyDescent="0.25">
      <c r="T75" s="5"/>
    </row>
    <row r="76" spans="18:31" x14ac:dyDescent="0.25">
      <c r="T76" s="5"/>
    </row>
    <row r="77" spans="18:31" x14ac:dyDescent="0.25">
      <c r="T77" s="5"/>
    </row>
    <row r="78" spans="18:31" x14ac:dyDescent="0.25">
      <c r="T78" s="5"/>
    </row>
  </sheetData>
  <autoFilter ref="B6:AE55" xr:uid="{65FA6D9B-E0AF-46CD-BA0D-86BB75FE6AB0}"/>
  <hyperlinks>
    <hyperlink ref="P13" r:id="rId1" location="reisesok" xr:uid="{874FEBDD-8668-4656-9DCE-512F79F5DD38}"/>
    <hyperlink ref="P18" r:id="rId2" xr:uid="{1624882C-8EA9-4C3B-BA79-93050583975C}"/>
    <hyperlink ref="P19" r:id="rId3" xr:uid="{E1725AFD-BFA0-46FE-A851-6485EB15FBBF}"/>
    <hyperlink ref="P27" r:id="rId4" xr:uid="{262BEAE5-1280-4107-A2F7-FCE1F6DF98B6}"/>
    <hyperlink ref="P29" r:id="rId5" xr:uid="{D38A9E18-9587-450F-891A-951C1616266B}"/>
    <hyperlink ref="P45" r:id="rId6" xr:uid="{DC27D647-90B5-44C1-873F-5A027000F47E}"/>
    <hyperlink ref="P47" r:id="rId7" xr:uid="{7FFBBB77-2D43-4B8F-A507-3332FF31FB04}"/>
    <hyperlink ref="P48" r:id="rId8" xr:uid="{658C8485-8AF4-41B0-8141-3E544EF4134B}"/>
    <hyperlink ref="P31" r:id="rId9" xr:uid="{F9A984C0-DC63-4330-9D9B-67B27B3DDDE0}"/>
  </hyperlinks>
  <pageMargins left="0.7" right="0.7" top="0.75" bottom="0.75" header="0.3" footer="0.3"/>
  <pageSetup paperSize="9" orientation="portrait"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1123EF72DA63D44FA2A28E00AC11E8EE" ma:contentTypeVersion="18" ma:contentTypeDescription="Opprett et nytt dokument." ma:contentTypeScope="" ma:versionID="0e7978918f7ba2b56dd79afad014a1ed">
  <xsd:schema xmlns:xsd="http://www.w3.org/2001/XMLSchema" xmlns:xs="http://www.w3.org/2001/XMLSchema" xmlns:p="http://schemas.microsoft.com/office/2006/metadata/properties" xmlns:ns2="9b6e2739-bd71-49a7-afc4-e179dfe94dc1" xmlns:ns3="2b30070a-7262-4d8b-a938-b3248c635664" targetNamespace="http://schemas.microsoft.com/office/2006/metadata/properties" ma:root="true" ma:fieldsID="c48e0c1802030b8740a8f4de73b33bbb" ns2:_="" ns3:_="">
    <xsd:import namespace="9b6e2739-bd71-49a7-afc4-e179dfe94dc1"/>
    <xsd:import namespace="2b30070a-7262-4d8b-a938-b3248c63566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6e2739-bd71-49a7-afc4-e179dfe94d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cfc72ce7-c435-4f97-944d-94ae49e3dcf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30070a-7262-4d8b-a938-b3248c635664"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5266e5a3-2fe4-433c-87fb-0dc58561f75a}" ma:internalName="TaxCatchAll" ma:showField="CatchAllData" ma:web="2b30070a-7262-4d8b-a938-b3248c6356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b6e2739-bd71-49a7-afc4-e179dfe94dc1">
      <Terms xmlns="http://schemas.microsoft.com/office/infopath/2007/PartnerControls"/>
    </lcf76f155ced4ddcb4097134ff3c332f>
    <TaxCatchAll xmlns="2b30070a-7262-4d8b-a938-b3248c635664" xsi:nil="true"/>
  </documentManagement>
</p:properties>
</file>

<file path=customXml/itemProps1.xml><?xml version="1.0" encoding="utf-8"?>
<ds:datastoreItem xmlns:ds="http://schemas.openxmlformats.org/officeDocument/2006/customXml" ds:itemID="{A477E57D-ABDD-4DAE-B3A5-315ED7FE90BD}">
  <ds:schemaRefs>
    <ds:schemaRef ds:uri="http://schemas.microsoft.com/sharepoint/v3/contenttype/forms"/>
  </ds:schemaRefs>
</ds:datastoreItem>
</file>

<file path=customXml/itemProps2.xml><?xml version="1.0" encoding="utf-8"?>
<ds:datastoreItem xmlns:ds="http://schemas.openxmlformats.org/officeDocument/2006/customXml" ds:itemID="{B5583956-6198-441D-88CE-2DAC6C9CB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6e2739-bd71-49a7-afc4-e179dfe94dc1"/>
    <ds:schemaRef ds:uri="2b30070a-7262-4d8b-a938-b3248c6356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692FD7-DCDA-4048-8BCD-FC2D85C5421C}">
  <ds:schemaRefs>
    <ds:schemaRef ds:uri="http://schemas.microsoft.com/office/2006/metadata/properties"/>
    <ds:schemaRef ds:uri="http://schemas.microsoft.com/office/infopath/2007/PartnerControls"/>
    <ds:schemaRef ds:uri="9b6e2739-bd71-49a7-afc4-e179dfe94dc1"/>
    <ds:schemaRef ds:uri="2b30070a-7262-4d8b-a938-b3248c6356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Curr</vt:lpstr>
      <vt:lpstr>Mal</vt:lpstr>
      <vt:lpstr>201</vt:lpstr>
      <vt:lpstr>202</vt:lpstr>
      <vt:lpstr>203</vt:lpstr>
      <vt:lpstr>204</vt:lpstr>
      <vt:lpstr>205</vt:lpstr>
      <vt:lpstr>206</vt:lpstr>
      <vt:lpstr>207</vt:lpstr>
      <vt:lpstr>208</vt:lpstr>
      <vt:lpstr>209</vt:lpstr>
      <vt:lpstr>210</vt:lpstr>
      <vt:lpstr>211</vt:lpstr>
      <vt:lpstr>212</vt:lpstr>
      <vt:lpstr>213</vt:lpstr>
      <vt:lpstr>214</vt:lpstr>
      <vt:lpstr>215</vt:lpstr>
      <vt:lpstr>216</vt:lpstr>
      <vt:lpstr>217</vt:lpstr>
      <vt:lpstr>218</vt:lpstr>
      <vt:lpstr>219</vt:lpstr>
      <vt:lpstr>2x2</vt:lpstr>
      <vt:lpstr>2x3</vt:lpstr>
      <vt:lpstr>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Christer Andre Olsen</dc:creator>
  <cp:lastModifiedBy>Dennis Kålen</cp:lastModifiedBy>
  <dcterms:created xsi:type="dcterms:W3CDTF">2023-07-31T16:02:03Z</dcterms:created>
  <dcterms:modified xsi:type="dcterms:W3CDTF">2026-07-07T18:52:56Z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0x0101001123EF72DA63D44FA2A28E00AC11E8EE</vt:lpwstr>
  </property>
  <property fmtid="{D5CDD505-2E9C-101B-9397-08002B2CF9AE}" pid="3" name="MediaServiceImageTags">
    <vt:lpwstr/>
  </property>
</Properties>
</file>