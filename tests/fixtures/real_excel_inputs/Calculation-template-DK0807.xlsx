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DennisKålen\Desktop\Itineraries\PartnerPortal\ITIN-DK0807-Mordy-3pax-Norway\"/>
    </mc:Choice>
  </mc:AlternateContent>
  <xr:revisionPtr revIDLastSave="0" documentId="13_ncr:1_{F47B6498-8476-456B-BA4D-2BC8F65C985A}" xr6:coauthVersionLast="47" xr6:coauthVersionMax="47" xr10:uidLastSave="{00000000-0000-0000-0000-000000000000}"/>
  <bookViews>
    <workbookView xWindow="28680" yWindow="-120" windowWidth="29040" windowHeight="15720" activeTab="2" xr2:uid="{F0120B8F-C750-4EFC-83CE-D7DAB56C8915}"/>
  </bookViews>
  <sheets>
    <sheet name="Curr" sheetId="5" r:id="rId1"/>
    <sheet name="Kalk" sheetId="6" r:id="rId2"/>
    <sheet name="Kalk 2" sheetId="7" r:id="rId3"/>
  </sheets>
  <definedNames>
    <definedName name="_xlnm._FilterDatabase" localSheetId="1" hidden="1">Kalk!$B$6:$AE$40</definedName>
    <definedName name="_xlnm._FilterDatabase" localSheetId="2" hidden="1">'Kalk 2'!$B$6:$AE$40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6" i="7" l="1"/>
  <c r="Y26" i="7" s="1"/>
  <c r="Z26" i="7" s="1"/>
  <c r="Z43" i="7"/>
  <c r="AA43" i="7"/>
  <c r="AJ40" i="7"/>
  <c r="AI40" i="7"/>
  <c r="AH40" i="7"/>
  <c r="AG40" i="7"/>
  <c r="AF40" i="7"/>
  <c r="AB38" i="7"/>
  <c r="Y38" i="7"/>
  <c r="Z38" i="7" s="1"/>
  <c r="W38" i="7"/>
  <c r="S38" i="7"/>
  <c r="U38" i="7" s="1"/>
  <c r="X38" i="7" s="1"/>
  <c r="AB37" i="7"/>
  <c r="Y37" i="7"/>
  <c r="AC37" i="7" s="1"/>
  <c r="W37" i="7"/>
  <c r="S37" i="7"/>
  <c r="U37" i="7" s="1"/>
  <c r="X37" i="7" s="1"/>
  <c r="AB36" i="7"/>
  <c r="Y36" i="7"/>
  <c r="AC36" i="7" s="1"/>
  <c r="AD36" i="7" s="1"/>
  <c r="AE36" i="7" s="1"/>
  <c r="W36" i="7"/>
  <c r="S36" i="7"/>
  <c r="U36" i="7" s="1"/>
  <c r="X36" i="7" s="1"/>
  <c r="AB35" i="7"/>
  <c r="Y35" i="7"/>
  <c r="AC35" i="7" s="1"/>
  <c r="W35" i="7"/>
  <c r="S35" i="7"/>
  <c r="U35" i="7" s="1"/>
  <c r="X35" i="7" s="1"/>
  <c r="AB34" i="7"/>
  <c r="Y34" i="7"/>
  <c r="Z34" i="7" s="1"/>
  <c r="W34" i="7"/>
  <c r="S34" i="7"/>
  <c r="U34" i="7" s="1"/>
  <c r="X34" i="7" s="1"/>
  <c r="AB33" i="7"/>
  <c r="Y33" i="7"/>
  <c r="AC33" i="7" s="1"/>
  <c r="W33" i="7"/>
  <c r="S33" i="7"/>
  <c r="U33" i="7" s="1"/>
  <c r="X33" i="7" s="1"/>
  <c r="AB32" i="7"/>
  <c r="Y32" i="7"/>
  <c r="AC32" i="7" s="1"/>
  <c r="AD32" i="7" s="1"/>
  <c r="AE32" i="7" s="1"/>
  <c r="W32" i="7"/>
  <c r="S32" i="7"/>
  <c r="U32" i="7" s="1"/>
  <c r="X32" i="7" s="1"/>
  <c r="AB31" i="7"/>
  <c r="Y31" i="7"/>
  <c r="AC31" i="7" s="1"/>
  <c r="W31" i="7"/>
  <c r="S31" i="7"/>
  <c r="U31" i="7" s="1"/>
  <c r="X31" i="7" s="1"/>
  <c r="AB30" i="7"/>
  <c r="Y30" i="7"/>
  <c r="Z30" i="7" s="1"/>
  <c r="W30" i="7"/>
  <c r="S30" i="7"/>
  <c r="U30" i="7" s="1"/>
  <c r="X30" i="7" s="1"/>
  <c r="AB29" i="7"/>
  <c r="Y29" i="7"/>
  <c r="AC29" i="7" s="1"/>
  <c r="W29" i="7"/>
  <c r="S29" i="7"/>
  <c r="U29" i="7" s="1"/>
  <c r="X29" i="7" s="1"/>
  <c r="AB28" i="7"/>
  <c r="Y28" i="7"/>
  <c r="AC28" i="7" s="1"/>
  <c r="AD28" i="7" s="1"/>
  <c r="AE28" i="7" s="1"/>
  <c r="W28" i="7"/>
  <c r="S28" i="7"/>
  <c r="U28" i="7" s="1"/>
  <c r="X28" i="7" s="1"/>
  <c r="AB27" i="7"/>
  <c r="Y27" i="7"/>
  <c r="AC27" i="7" s="1"/>
  <c r="W27" i="7"/>
  <c r="S27" i="7"/>
  <c r="U27" i="7" s="1"/>
  <c r="X27" i="7" s="1"/>
  <c r="AB26" i="7"/>
  <c r="W26" i="7"/>
  <c r="AB25" i="7"/>
  <c r="AC25" i="7" s="1"/>
  <c r="AD25" i="7" s="1"/>
  <c r="AE25" i="7" s="1"/>
  <c r="Z25" i="7"/>
  <c r="Y25" i="7"/>
  <c r="X25" i="7"/>
  <c r="W25" i="7"/>
  <c r="U25" i="7"/>
  <c r="S25" i="7"/>
  <c r="AC24" i="7"/>
  <c r="AB24" i="7"/>
  <c r="Z24" i="7"/>
  <c r="Y24" i="7"/>
  <c r="W24" i="7"/>
  <c r="S24" i="7"/>
  <c r="U24" i="7" s="1"/>
  <c r="X24" i="7" s="1"/>
  <c r="AC23" i="7"/>
  <c r="AD23" i="7" s="1"/>
  <c r="AE23" i="7" s="1"/>
  <c r="AB23" i="7"/>
  <c r="Z23" i="7"/>
  <c r="Y23" i="7"/>
  <c r="W23" i="7"/>
  <c r="U23" i="7"/>
  <c r="X23" i="7" s="1"/>
  <c r="S23" i="7"/>
  <c r="AB22" i="7"/>
  <c r="Y22" i="7"/>
  <c r="Z22" i="7" s="1"/>
  <c r="X22" i="7"/>
  <c r="W22" i="7"/>
  <c r="U22" i="7"/>
  <c r="S22" i="7"/>
  <c r="AB21" i="7"/>
  <c r="W21" i="7"/>
  <c r="S21" i="7"/>
  <c r="U21" i="7" s="1"/>
  <c r="X21" i="7" s="1"/>
  <c r="AB20" i="7"/>
  <c r="Z20" i="7"/>
  <c r="Y20" i="7"/>
  <c r="AC20" i="7" s="1"/>
  <c r="AD20" i="7" s="1"/>
  <c r="AE20" i="7" s="1"/>
  <c r="W20" i="7"/>
  <c r="S20" i="7"/>
  <c r="U20" i="7" s="1"/>
  <c r="X20" i="7" s="1"/>
  <c r="AC19" i="7"/>
  <c r="AB19" i="7"/>
  <c r="Y19" i="7"/>
  <c r="Z19" i="7" s="1"/>
  <c r="W19" i="7"/>
  <c r="S19" i="7"/>
  <c r="U19" i="7" s="1"/>
  <c r="X19" i="7" s="1"/>
  <c r="AD19" i="7" s="1"/>
  <c r="AE19" i="7" s="1"/>
  <c r="AB18" i="7"/>
  <c r="Y18" i="7"/>
  <c r="AC18" i="7" s="1"/>
  <c r="W18" i="7"/>
  <c r="U18" i="7"/>
  <c r="X18" i="7" s="1"/>
  <c r="S18" i="7"/>
  <c r="AB17" i="7"/>
  <c r="Y17" i="7"/>
  <c r="AC17" i="7" s="1"/>
  <c r="AD17" i="7" s="1"/>
  <c r="AE17" i="7" s="1"/>
  <c r="W17" i="7"/>
  <c r="S17" i="7"/>
  <c r="U17" i="7" s="1"/>
  <c r="X17" i="7" s="1"/>
  <c r="AB16" i="7"/>
  <c r="Y16" i="7"/>
  <c r="AC16" i="7" s="1"/>
  <c r="W16" i="7"/>
  <c r="S16" i="7"/>
  <c r="U16" i="7" s="1"/>
  <c r="X16" i="7" s="1"/>
  <c r="AC15" i="7"/>
  <c r="AB15" i="7"/>
  <c r="Y15" i="7"/>
  <c r="Z15" i="7" s="1"/>
  <c r="W15" i="7"/>
  <c r="S15" i="7"/>
  <c r="U15" i="7" s="1"/>
  <c r="X15" i="7" s="1"/>
  <c r="AD15" i="7" s="1"/>
  <c r="AE15" i="7" s="1"/>
  <c r="AB14" i="7"/>
  <c r="Y14" i="7"/>
  <c r="AC14" i="7" s="1"/>
  <c r="W14" i="7"/>
  <c r="U14" i="7"/>
  <c r="X14" i="7" s="1"/>
  <c r="S14" i="7"/>
  <c r="AB13" i="7"/>
  <c r="Y13" i="7"/>
  <c r="AC13" i="7" s="1"/>
  <c r="W13" i="7"/>
  <c r="S13" i="7"/>
  <c r="U13" i="7" s="1"/>
  <c r="X13" i="7" s="1"/>
  <c r="AB12" i="7"/>
  <c r="Z12" i="7"/>
  <c r="Y12" i="7"/>
  <c r="AC12" i="7" s="1"/>
  <c r="AD12" i="7" s="1"/>
  <c r="AE12" i="7" s="1"/>
  <c r="W12" i="7"/>
  <c r="S12" i="7"/>
  <c r="U12" i="7" s="1"/>
  <c r="X12" i="7" s="1"/>
  <c r="AC11" i="7"/>
  <c r="AB11" i="7"/>
  <c r="Y11" i="7"/>
  <c r="Z11" i="7" s="1"/>
  <c r="W11" i="7"/>
  <c r="S11" i="7"/>
  <c r="U11" i="7" s="1"/>
  <c r="X11" i="7" s="1"/>
  <c r="AD11" i="7" s="1"/>
  <c r="AE11" i="7" s="1"/>
  <c r="AB10" i="7"/>
  <c r="Y10" i="7"/>
  <c r="AC10" i="7" s="1"/>
  <c r="W10" i="7"/>
  <c r="U10" i="7"/>
  <c r="X10" i="7" s="1"/>
  <c r="S10" i="7"/>
  <c r="AB9" i="7"/>
  <c r="Y9" i="7"/>
  <c r="AC9" i="7" s="1"/>
  <c r="W9" i="7"/>
  <c r="S9" i="7"/>
  <c r="U9" i="7" s="1"/>
  <c r="X9" i="7" s="1"/>
  <c r="AB8" i="7"/>
  <c r="Y8" i="7"/>
  <c r="AC8" i="7" s="1"/>
  <c r="W8" i="7"/>
  <c r="S8" i="7"/>
  <c r="U8" i="7" s="1"/>
  <c r="X8" i="7" s="1"/>
  <c r="AC7" i="7"/>
  <c r="AB7" i="7"/>
  <c r="Y7" i="7"/>
  <c r="Z7" i="7" s="1"/>
  <c r="W7" i="7"/>
  <c r="S7" i="7"/>
  <c r="U7" i="7" s="1"/>
  <c r="X7" i="7" s="1"/>
  <c r="AD7" i="7" s="1"/>
  <c r="AA42" i="6"/>
  <c r="AA43" i="6" s="1"/>
  <c r="Y8" i="6"/>
  <c r="Y26" i="6"/>
  <c r="Z26" i="6" s="1"/>
  <c r="Q26" i="6"/>
  <c r="S26" i="6" s="1"/>
  <c r="U26" i="6" s="1"/>
  <c r="Q21" i="6"/>
  <c r="Y21" i="6" s="1"/>
  <c r="Z21" i="6" s="1"/>
  <c r="Z43" i="6"/>
  <c r="Y16" i="6"/>
  <c r="Y10" i="6"/>
  <c r="W38" i="6"/>
  <c r="W37" i="6"/>
  <c r="W36" i="6"/>
  <c r="W35" i="6"/>
  <c r="W34" i="6"/>
  <c r="W33" i="6"/>
  <c r="W32" i="6"/>
  <c r="W31" i="6"/>
  <c r="W30" i="6"/>
  <c r="W29" i="6"/>
  <c r="W28" i="6"/>
  <c r="W27" i="6"/>
  <c r="W26" i="6"/>
  <c r="W25" i="6"/>
  <c r="W24" i="6"/>
  <c r="W23" i="6"/>
  <c r="W22" i="6"/>
  <c r="W21" i="6"/>
  <c r="W20" i="6"/>
  <c r="W19" i="6"/>
  <c r="W18" i="6"/>
  <c r="W17" i="6"/>
  <c r="W16" i="6"/>
  <c r="W15" i="6"/>
  <c r="W14" i="6"/>
  <c r="W13" i="6"/>
  <c r="W12" i="6"/>
  <c r="W11" i="6"/>
  <c r="W10" i="6"/>
  <c r="W9" i="6"/>
  <c r="W8" i="6"/>
  <c r="W7" i="6"/>
  <c r="S11" i="6"/>
  <c r="U11" i="6" s="1"/>
  <c r="Y11" i="6"/>
  <c r="Z11" i="6" s="1"/>
  <c r="AB11" i="6"/>
  <c r="S12" i="6"/>
  <c r="U12" i="6" s="1"/>
  <c r="Y12" i="6"/>
  <c r="Z12" i="6" s="1"/>
  <c r="AB12" i="6"/>
  <c r="S13" i="6"/>
  <c r="U13" i="6" s="1"/>
  <c r="Y13" i="6"/>
  <c r="Z13" i="6" s="1"/>
  <c r="AB13" i="6"/>
  <c r="S14" i="6"/>
  <c r="U14" i="6" s="1"/>
  <c r="Y14" i="6"/>
  <c r="Z14" i="6" s="1"/>
  <c r="AB14" i="6"/>
  <c r="S15" i="6"/>
  <c r="U15" i="6" s="1"/>
  <c r="Y15" i="6"/>
  <c r="Z15" i="6" s="1"/>
  <c r="AB15" i="6"/>
  <c r="S16" i="6"/>
  <c r="U16" i="6" s="1"/>
  <c r="AB16" i="6"/>
  <c r="S17" i="6"/>
  <c r="U17" i="6" s="1"/>
  <c r="Y17" i="6"/>
  <c r="Z17" i="6" s="1"/>
  <c r="AB17" i="6"/>
  <c r="S18" i="6"/>
  <c r="U18" i="6" s="1"/>
  <c r="Y18" i="6"/>
  <c r="Z18" i="6" s="1"/>
  <c r="AB18" i="6"/>
  <c r="S19" i="6"/>
  <c r="U19" i="6" s="1"/>
  <c r="Y19" i="6"/>
  <c r="AB19" i="6"/>
  <c r="S20" i="6"/>
  <c r="U20" i="6" s="1"/>
  <c r="Y20" i="6"/>
  <c r="Z20" i="6" s="1"/>
  <c r="AB20" i="6"/>
  <c r="AB21" i="6"/>
  <c r="S22" i="6"/>
  <c r="U22" i="6" s="1"/>
  <c r="Y22" i="6"/>
  <c r="Z22" i="6" s="1"/>
  <c r="AB22" i="6"/>
  <c r="S23" i="6"/>
  <c r="U23" i="6" s="1"/>
  <c r="Y23" i="6"/>
  <c r="Z23" i="6" s="1"/>
  <c r="AB23" i="6"/>
  <c r="S24" i="6"/>
  <c r="U24" i="6" s="1"/>
  <c r="Y24" i="6"/>
  <c r="AB24" i="6"/>
  <c r="S25" i="6"/>
  <c r="U25" i="6" s="1"/>
  <c r="Y25" i="6"/>
  <c r="Z25" i="6" s="1"/>
  <c r="AB25" i="6"/>
  <c r="AB26" i="6"/>
  <c r="S27" i="6"/>
  <c r="U27" i="6" s="1"/>
  <c r="Y27" i="6"/>
  <c r="Z27" i="6" s="1"/>
  <c r="AB27" i="6"/>
  <c r="S28" i="6"/>
  <c r="U28" i="6" s="1"/>
  <c r="Y28" i="6"/>
  <c r="Z28" i="6" s="1"/>
  <c r="AB28" i="6"/>
  <c r="S29" i="6"/>
  <c r="U29" i="6" s="1"/>
  <c r="Y29" i="6"/>
  <c r="AB29" i="6"/>
  <c r="S30" i="6"/>
  <c r="U30" i="6" s="1"/>
  <c r="Y30" i="6"/>
  <c r="Z30" i="6" s="1"/>
  <c r="AB30" i="6"/>
  <c r="S31" i="6"/>
  <c r="U31" i="6" s="1"/>
  <c r="Y31" i="6"/>
  <c r="Z31" i="6" s="1"/>
  <c r="AB31" i="6"/>
  <c r="S32" i="6"/>
  <c r="U32" i="6" s="1"/>
  <c r="Y32" i="6"/>
  <c r="Z32" i="6" s="1"/>
  <c r="AB32" i="6"/>
  <c r="S33" i="6"/>
  <c r="U33" i="6" s="1"/>
  <c r="Y33" i="6"/>
  <c r="Z33" i="6" s="1"/>
  <c r="AB33" i="6"/>
  <c r="S34" i="6"/>
  <c r="U34" i="6" s="1"/>
  <c r="Y34" i="6"/>
  <c r="Z34" i="6" s="1"/>
  <c r="AB34" i="6"/>
  <c r="S35" i="6"/>
  <c r="U35" i="6" s="1"/>
  <c r="Y35" i="6"/>
  <c r="Z35" i="6" s="1"/>
  <c r="AB35" i="6"/>
  <c r="S36" i="6"/>
  <c r="U36" i="6" s="1"/>
  <c r="Y36" i="6"/>
  <c r="Z36" i="6" s="1"/>
  <c r="AB36" i="6"/>
  <c r="S37" i="6"/>
  <c r="U37" i="6" s="1"/>
  <c r="Y37" i="6"/>
  <c r="AB37" i="6"/>
  <c r="S38" i="6"/>
  <c r="U38" i="6" s="1"/>
  <c r="Y38" i="6"/>
  <c r="Z38" i="6" s="1"/>
  <c r="AB38" i="6"/>
  <c r="S8" i="6"/>
  <c r="U8" i="6" s="1"/>
  <c r="Z8" i="6"/>
  <c r="AB8" i="6"/>
  <c r="S9" i="6"/>
  <c r="U9" i="6" s="1"/>
  <c r="Y9" i="6"/>
  <c r="AB9" i="6"/>
  <c r="S10" i="6"/>
  <c r="U10" i="6" s="1"/>
  <c r="Z10" i="6"/>
  <c r="AB10" i="6"/>
  <c r="Z8" i="7" l="1"/>
  <c r="S26" i="7"/>
  <c r="U26" i="7" s="1"/>
  <c r="X26" i="7" s="1"/>
  <c r="Z16" i="7"/>
  <c r="AD14" i="7"/>
  <c r="AE14" i="7" s="1"/>
  <c r="AD16" i="7"/>
  <c r="AE16" i="7" s="1"/>
  <c r="AD8" i="7"/>
  <c r="AE8" i="7" s="1"/>
  <c r="AD13" i="7"/>
  <c r="AE13" i="7" s="1"/>
  <c r="AD18" i="7"/>
  <c r="AE18" i="7" s="1"/>
  <c r="AD27" i="7"/>
  <c r="AE27" i="7" s="1"/>
  <c r="AD29" i="7"/>
  <c r="AE29" i="7" s="1"/>
  <c r="AD31" i="7"/>
  <c r="AE31" i="7" s="1"/>
  <c r="AD33" i="7"/>
  <c r="AE33" i="7" s="1"/>
  <c r="AD35" i="7"/>
  <c r="AE35" i="7" s="1"/>
  <c r="AD37" i="7"/>
  <c r="AE37" i="7" s="1"/>
  <c r="AD9" i="7"/>
  <c r="AE9" i="7" s="1"/>
  <c r="AE7" i="7"/>
  <c r="AD24" i="7"/>
  <c r="AE24" i="7" s="1"/>
  <c r="AD10" i="7"/>
  <c r="AE10" i="7" s="1"/>
  <c r="Z18" i="7"/>
  <c r="AC22" i="7"/>
  <c r="AD22" i="7" s="1"/>
  <c r="AE22" i="7" s="1"/>
  <c r="AC26" i="7"/>
  <c r="Z27" i="7"/>
  <c r="AC30" i="7"/>
  <c r="AD30" i="7" s="1"/>
  <c r="AE30" i="7" s="1"/>
  <c r="Z31" i="7"/>
  <c r="AC34" i="7"/>
  <c r="AD34" i="7" s="1"/>
  <c r="AE34" i="7" s="1"/>
  <c r="Z35" i="7"/>
  <c r="AC38" i="7"/>
  <c r="AD38" i="7" s="1"/>
  <c r="AE38" i="7" s="1"/>
  <c r="Z9" i="7"/>
  <c r="Z13" i="7"/>
  <c r="Z17" i="7"/>
  <c r="Y21" i="7"/>
  <c r="Z28" i="7"/>
  <c r="Z32" i="7"/>
  <c r="Z36" i="7"/>
  <c r="Z29" i="7"/>
  <c r="Z33" i="7"/>
  <c r="Z37" i="7"/>
  <c r="Z14" i="7"/>
  <c r="Z10" i="7"/>
  <c r="S21" i="6"/>
  <c r="U21" i="6" s="1"/>
  <c r="AC24" i="6"/>
  <c r="X21" i="6"/>
  <c r="X36" i="6"/>
  <c r="AC9" i="6"/>
  <c r="AC36" i="6"/>
  <c r="AC10" i="6"/>
  <c r="AC25" i="6"/>
  <c r="AC15" i="6"/>
  <c r="X30" i="6"/>
  <c r="X9" i="6"/>
  <c r="AC16" i="6"/>
  <c r="AC32" i="6"/>
  <c r="X28" i="6"/>
  <c r="X17" i="6"/>
  <c r="X38" i="6"/>
  <c r="X33" i="6"/>
  <c r="X31" i="6"/>
  <c r="AC23" i="6"/>
  <c r="X15" i="6"/>
  <c r="X12" i="6"/>
  <c r="X25" i="6"/>
  <c r="Z9" i="6"/>
  <c r="AC14" i="6"/>
  <c r="X27" i="6"/>
  <c r="AC29" i="6"/>
  <c r="AC37" i="6"/>
  <c r="X34" i="6"/>
  <c r="AC28" i="6"/>
  <c r="X20" i="6"/>
  <c r="X18" i="6"/>
  <c r="X23" i="6"/>
  <c r="AC19" i="6"/>
  <c r="Z29" i="6"/>
  <c r="Z19" i="6"/>
  <c r="Z16" i="6"/>
  <c r="AC11" i="6"/>
  <c r="AC8" i="6"/>
  <c r="X35" i="6"/>
  <c r="AC33" i="6"/>
  <c r="X32" i="6"/>
  <c r="X29" i="6"/>
  <c r="AC20" i="6"/>
  <c r="X19" i="6"/>
  <c r="X16" i="6"/>
  <c r="X13" i="6"/>
  <c r="AC26" i="6"/>
  <c r="X22" i="6"/>
  <c r="Z37" i="6"/>
  <c r="AC31" i="6"/>
  <c r="Z24" i="6"/>
  <c r="AC18" i="6"/>
  <c r="X8" i="6"/>
  <c r="AC35" i="6"/>
  <c r="X10" i="6"/>
  <c r="AC22" i="6"/>
  <c r="X14" i="6"/>
  <c r="X37" i="6"/>
  <c r="AC27" i="6"/>
  <c r="X26" i="6"/>
  <c r="X24" i="6"/>
  <c r="AC12" i="6"/>
  <c r="X11" i="6"/>
  <c r="AC38" i="6"/>
  <c r="AC34" i="6"/>
  <c r="AC30" i="6"/>
  <c r="AC21" i="6"/>
  <c r="AC17" i="6"/>
  <c r="AC13" i="6"/>
  <c r="AJ40" i="6"/>
  <c r="AI40" i="6"/>
  <c r="AH40" i="6"/>
  <c r="AG40" i="6"/>
  <c r="AF40" i="6"/>
  <c r="AB7" i="6"/>
  <c r="Y7" i="6"/>
  <c r="S7" i="6"/>
  <c r="U7" i="6" s="1"/>
  <c r="AD26" i="7" l="1"/>
  <c r="AE26" i="7" s="1"/>
  <c r="AC21" i="7"/>
  <c r="Z21" i="7"/>
  <c r="Z40" i="7" s="1"/>
  <c r="AD16" i="6"/>
  <c r="AE16" i="6" s="1"/>
  <c r="AD21" i="6"/>
  <c r="AE21" i="6" s="1"/>
  <c r="AD37" i="6"/>
  <c r="AE37" i="6" s="1"/>
  <c r="AD24" i="6"/>
  <c r="AE24" i="6" s="1"/>
  <c r="AD22" i="6"/>
  <c r="AE22" i="6" s="1"/>
  <c r="AD25" i="6"/>
  <c r="AE25" i="6" s="1"/>
  <c r="AD38" i="6"/>
  <c r="AE38" i="6" s="1"/>
  <c r="AD30" i="6"/>
  <c r="AE30" i="6" s="1"/>
  <c r="AD36" i="6"/>
  <c r="AE36" i="6" s="1"/>
  <c r="AD9" i="6"/>
  <c r="AE9" i="6" s="1"/>
  <c r="AD28" i="6"/>
  <c r="AE28" i="6" s="1"/>
  <c r="AD23" i="6"/>
  <c r="AE23" i="6" s="1"/>
  <c r="AD12" i="6"/>
  <c r="AE12" i="6" s="1"/>
  <c r="AD26" i="6"/>
  <c r="AE26" i="6" s="1"/>
  <c r="AD29" i="6"/>
  <c r="AE29" i="6" s="1"/>
  <c r="AD27" i="6"/>
  <c r="AE27" i="6" s="1"/>
  <c r="AD32" i="6"/>
  <c r="AE32" i="6" s="1"/>
  <c r="AD10" i="6"/>
  <c r="AE10" i="6" s="1"/>
  <c r="AD20" i="6"/>
  <c r="AE20" i="6" s="1"/>
  <c r="AD17" i="6"/>
  <c r="AE17" i="6" s="1"/>
  <c r="AD11" i="6"/>
  <c r="AE11" i="6" s="1"/>
  <c r="AD14" i="6"/>
  <c r="AE14" i="6" s="1"/>
  <c r="AD18" i="6"/>
  <c r="AE18" i="6" s="1"/>
  <c r="AD33" i="6"/>
  <c r="AE33" i="6" s="1"/>
  <c r="AD15" i="6"/>
  <c r="AE15" i="6" s="1"/>
  <c r="AD35" i="6"/>
  <c r="AE35" i="6" s="1"/>
  <c r="AC7" i="6"/>
  <c r="AD8" i="6"/>
  <c r="AE8" i="6" s="1"/>
  <c r="AD31" i="6"/>
  <c r="AE31" i="6" s="1"/>
  <c r="AD34" i="6"/>
  <c r="AE34" i="6" s="1"/>
  <c r="AD19" i="6"/>
  <c r="AE19" i="6" s="1"/>
  <c r="AD13" i="6"/>
  <c r="AE13" i="6" s="1"/>
  <c r="X7" i="6"/>
  <c r="Z7" i="6"/>
  <c r="AD21" i="7" l="1"/>
  <c r="AC40" i="7"/>
  <c r="AD7" i="6"/>
  <c r="AE7" i="6" s="1"/>
  <c r="AC40" i="6"/>
  <c r="Z40" i="6"/>
  <c r="AE21" i="7" l="1"/>
  <c r="AD40" i="7"/>
  <c r="AE40" i="7" s="1"/>
  <c r="AD40" i="6"/>
  <c r="AE40" i="6" s="1"/>
</calcChain>
</file>

<file path=xl/sharedStrings.xml><?xml version="1.0" encoding="utf-8"?>
<sst xmlns="http://schemas.openxmlformats.org/spreadsheetml/2006/main" count="458" uniqueCount="98">
  <si>
    <t>Supplier</t>
  </si>
  <si>
    <t>URL</t>
  </si>
  <si>
    <t>Net P</t>
  </si>
  <si>
    <t>X-rate</t>
  </si>
  <si>
    <t>Net P NOK</t>
  </si>
  <si>
    <t>Type</t>
  </si>
  <si>
    <t>To date</t>
  </si>
  <si>
    <t>Supp curr</t>
  </si>
  <si>
    <t>NOK</t>
  </si>
  <si>
    <t>Sales curr</t>
  </si>
  <si>
    <t>EUR</t>
  </si>
  <si>
    <t>Sales P NOK tot</t>
  </si>
  <si>
    <t>GP NOK</t>
  </si>
  <si>
    <t>GP %</t>
  </si>
  <si>
    <t>Units</t>
  </si>
  <si>
    <t>SEK</t>
  </si>
  <si>
    <t>DKK</t>
  </si>
  <si>
    <t>ISK</t>
  </si>
  <si>
    <t>Totals</t>
  </si>
  <si>
    <t>ID</t>
  </si>
  <si>
    <t>Price</t>
  </si>
  <si>
    <t>Status</t>
  </si>
  <si>
    <t>Supp Comm</t>
  </si>
  <si>
    <t>From date</t>
  </si>
  <si>
    <t>From time</t>
  </si>
  <si>
    <t>To time</t>
  </si>
  <si>
    <t>VAT25</t>
  </si>
  <si>
    <t>VAT15</t>
  </si>
  <si>
    <t>VAT0-D</t>
  </si>
  <si>
    <t>VAT0-I</t>
  </si>
  <si>
    <t>VAT12</t>
  </si>
  <si>
    <t>USD</t>
  </si>
  <si>
    <t xml:space="preserve"> </t>
  </si>
  <si>
    <t>Comments</t>
  </si>
  <si>
    <t>Travel element</t>
  </si>
  <si>
    <t>Day</t>
  </si>
  <si>
    <t>Manual booking?</t>
  </si>
  <si>
    <t>Non-refundable</t>
  </si>
  <si>
    <t>Refundable</t>
  </si>
  <si>
    <t>Gross P</t>
  </si>
  <si>
    <t>Gross P per unit</t>
  </si>
  <si>
    <t>Sales P per unit</t>
  </si>
  <si>
    <t>x</t>
  </si>
  <si>
    <t>Quote</t>
  </si>
  <si>
    <t>PP</t>
  </si>
  <si>
    <t>Day 1</t>
  </si>
  <si>
    <t>Arrival</t>
  </si>
  <si>
    <t>Hotel</t>
  </si>
  <si>
    <t>Leisure</t>
  </si>
  <si>
    <t>Car</t>
  </si>
  <si>
    <t>Drive</t>
  </si>
  <si>
    <t>Dates: 9 - 13 june</t>
  </si>
  <si>
    <t>Pax: 3 (2 adults, 1 adult kid)</t>
  </si>
  <si>
    <t>Rooming: 1 x doulbe  1 x single</t>
  </si>
  <si>
    <t>09.06.2026</t>
  </si>
  <si>
    <t>Oslo: Welcome to Norway</t>
  </si>
  <si>
    <t>Day 2</t>
  </si>
  <si>
    <t>10.06.2026</t>
  </si>
  <si>
    <t>Day 3</t>
  </si>
  <si>
    <t>11.06.2026</t>
  </si>
  <si>
    <t>12.06.2026</t>
  </si>
  <si>
    <t>Day 4</t>
  </si>
  <si>
    <t>13.06.2026</t>
  </si>
  <si>
    <t>Day 5</t>
  </si>
  <si>
    <t>Oslo: Deliver your rental car at the airport car rental office</t>
  </si>
  <si>
    <t>Voss: Check in to your accommodation for a 1 night stay - Scandic Voss - 2 x Standard Room - Breakfast included</t>
  </si>
  <si>
    <t>https://app.hotelbeds.com/factsheet/stay/712885?check_in=09-06-2026&amp;check_out=10-06-2026&amp;occupancy=2~0_1~0&amp;packaging=true</t>
  </si>
  <si>
    <t>Voss: Spend time at leisure</t>
  </si>
  <si>
    <t>Activity</t>
  </si>
  <si>
    <t>Voss: Guided Sea Kayaking on the Nærøyfjord - Time: 08:30 am - 2:30 pm - Meeting point: Outdoor Norway, Evangervegen 32 - Includes: Professional sea kayaking guide, Transfers to and from the fjord, Sea kayak, paddle, PFD (life-jacket), Sprayskirt and splash jacket - Description: Explore the heart of the UNESCO World Heritage Park – Nærøyfjord in Norway. We take you to places only accessible by kayak. We explore historic areas of the Nærøyfjord, which for centuries, have been playing an important role in linking western and central Norway together.</t>
  </si>
  <si>
    <t>https://booknordics.com/norway/western-fjord-norway/bergen-and-hardanger/sea-kayaking-naeroyfjord-tour</t>
  </si>
  <si>
    <t>Voss: 1h E-Mountain Bike Full Suspension Rental - Time: 5:00 pm - 7:00 pm - Meeting point: Outdoor Norway office, Evangervegen 32, Voss - Includes: Top-quality equipment and helmet, High quality full-suspensions mountain bike - Description: Embark on a journey of awe-inspiring landscapes with the unparalleled E-MTB full-suspension bike, perfectly designed to elevate your adventure in the breathtaking beauty of Voss!</t>
  </si>
  <si>
    <t>Voss: Drive to Bergen - 3:00 pm - 5:30 pm (without stops)</t>
  </si>
  <si>
    <t>https://booknordics.com/norway/western-fjord-norway/bergen-and-hardanger/rentals-e-mountain-bike-full-suspension</t>
  </si>
  <si>
    <t>Bergen: Spend time at leisure</t>
  </si>
  <si>
    <t>Bergen: Check in to your accommodation for a 1 night stay - Radisson Blu Royal Bergen - 2 x Standard Room - Breakfast included</t>
  </si>
  <si>
    <t>https://app.hotelbeds.com/factsheet/stay/197867?check_in=10-06-2026&amp;check_out=11-06-2026&amp;occupancy=2~0_1~0&amp;packaging=true</t>
  </si>
  <si>
    <t>Bergen: Mostraumen Majestic Fjord &amp; Waterfall Cruise - Time: 10:30 am - 2:30 pm - Meeting point: Börshopen Pier, Strandkaien 13 - Includes: Round-trip cruise Bergen - Mostraumen - Bergen - Description: Fjord Cruise from Bergen to Mostraumen strait and the Osterfjord. This round-trip cruise is available all year.</t>
  </si>
  <si>
    <t>https://booknordics.com/norway/western-fjord-norway/bergen-and-hardanger/mostraumen-fjord-waterfall-cruise</t>
  </si>
  <si>
    <t>Oslo: Departure onwards</t>
  </si>
  <si>
    <t xml:space="preserve">Bergen: Drive to Stavanger - 3:00 pm - 7:30 pm (without stops) </t>
  </si>
  <si>
    <t>Stavanger: Spend time at leisure</t>
  </si>
  <si>
    <t>Stavanger: Check in to your accommodation for a 1 night stay - Radisson Blu Atlantic Stavanger - 1 x Standard room, 1 x single room - Breakfast included</t>
  </si>
  <si>
    <t>https://app.hotelbeds.com/factsheet/stay/7407?check_in=11-06-2026&amp;check_out=12-06-2026&amp;occupancy=2~0_1~0&amp;packaging=true</t>
  </si>
  <si>
    <t>Oslo: Drive to Oslo Airport - 40 minutes</t>
  </si>
  <si>
    <t>Departure</t>
  </si>
  <si>
    <t>Stavanger: Lysefjord &amp; Preikestolen Fjord Cruise - Time: 10:00 am - 2:00 pm - Meeting point: Strandkaien, Stavanger - Includes: Sustainable, quiet &amp; scenic fjord cruise, Boat tour aboard &amp; luxurious catamaran, Spacious cabin with comfortable leather seats, Panoramic windows &amp; large viewing decks, Audio guiding &amp; free Wi-Fi on board, Licensed café serving snacks &amp; drinks - Description: Discover magical Lysefjord - one of the most breathtaking fjords in Norway! Gaze up at spectacular Preikestolen (Pulpit Rock), majestic waterfalls and amazing mountains on our half-day fjord cruise!</t>
  </si>
  <si>
    <t>Oslo: Spend time at leisure</t>
  </si>
  <si>
    <t xml:space="preserve">Stavanger: Drive to Oslo - 3:00 pm - 9:00 pm (without stops) </t>
  </si>
  <si>
    <t>Oslo: Check in to your accommodation for a 1 night stay - Clarion Hotel The Hub - 2 x standard double - Breakfast included</t>
  </si>
  <si>
    <t>https://app.hotelbeds.com/factsheet/stay/7398?check_in=12-06-2026&amp;check_out=13-06-2026&amp;occupancy=2~0_1~0&amp;packaging=true</t>
  </si>
  <si>
    <t xml:space="preserve">Oslo: Drive to Voss - Time: 08:30 am - 2:30 pm (without stops) </t>
  </si>
  <si>
    <t>Oslo: Pick up your rental car at the aiport car rental office - Suzuki S-Cross AWD (automatic) or similar - Includes: Airport service charge, Collision damage waiver, Fuel information, Unlimited mileage, Vehicle licence fee / road fund licence, Theft protection, Vat, Other taxes and service charges, Supplementary liability insurance, Cancellation fee</t>
  </si>
  <si>
    <t>https://app.hotelbeds.com/carhire/search?specialEquipment=AUTOMATIC&amp;door=4&amp;baggage=3,4&amp;results=20&amp;sortBy=LOWEST_PRICE_FIRST&amp;field=PRICE&amp;direction=ASCENDING&amp;page=1&amp;destinationTab=Oslo%20Airport%20(OSL)&amp;officePickupControl=1758&amp;pickupDate=09-06-2026&amp;pickupTime=08:00&amp;officeDropoffControl=1758&amp;dropoffDate=13-06-2026&amp;dropoffTime=08:00&amp;sameOfficeCheckbox=true&amp;typeDepartureCode=airport&amp;typeArrivalCode=airport&amp;_timestamp=1780149002935&amp;departureTab=</t>
  </si>
  <si>
    <t>Bergen: Check in to your accommodation for a 1 night stay - Scandic Neptun - 2 x Superior Room - Breakfast included</t>
  </si>
  <si>
    <t>https://app.hotelbeds.com/factsheet/stay/6678?check_in=10-06-2026&amp;check_out=11-06-2026&amp;occupancy=2~0_1~0&amp;packaging=true</t>
  </si>
  <si>
    <t>Oslo: Pick up your rental car at the aiport car rental office - G5 POLESTAR 2 LONG RANGE or similar - Includes: Airport service charge, Collision damage waiver, Fuel information, Unlimited mileage, Vehicle licence fee / road fund licence, Theft protection, Vat, Other taxes and service charges, Supplementary liability insurance, Cancellation fee</t>
  </si>
  <si>
    <t>https://app.hotelbeds.com/carhire/search?specialEquipment=AUTOMATIC&amp;baggage=3,4&amp;results=20&amp;sortBy=LOWEST_PRICE_FIRST&amp;field=PRICE&amp;direction=ASCENDING&amp;page=1&amp;destinationTab=Oslo%20Airport%20(OSL)&amp;pickupDate=09-06-2026&amp;pickupTime=08:00&amp;dropoffDate=13-06-2026&amp;dropoffTime=08:00&amp;sameOfficeCheckbox=true&amp;officePickupControl=1758&amp;officeDropoffControl=1758&amp;typeDepartureCode=airport&amp;_timestamp=1780558935093&amp;typeArrivalCode=airport&amp;departureT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</si>
</sst>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0.0\ %"/>
  </numFmts>
  <fonts count="5"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b/>
      <sz val="11"/>
      <color theme="0"/>
      <name val="Calibri"/>
      <family val="2"/>
      <scheme val="minor"/>
    </font>
  </fonts>
  <fills count="7">
    <fill>
      <patternFill patternType="none"/>
    </fill>
    <fill>
      <patternFill patternType="gray125"/>
    </fill>
    <fill>
      <patternFill patternType="solid">
        <fgColor theme="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F00"/>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3">
    <xf numFmtId="0" fontId="0" fillId="0" borderId="0"/>
    <xf numFmtId="9" fontId="1" fillId="0" borderId="0" applyFont="0" applyFill="0" applyBorder="0" applyAlignment="0" applyProtection="0"/>
    <xf numFmtId="0" fontId="3" fillId="0" borderId="0" applyNumberFormat="0" applyFill="0" applyBorder="0" applyAlignment="0" applyProtection="0"/>
  </cellStyleXfs>
  <cellXfs count="35">
    <xf numFmtId="0" fontId="0" fillId="0" borderId="0" xfId="0"/>
    <xf numFmtId="0" fontId="0" fillId="2" borderId="0" xfId="0" applyFill="1"/>
    <xf numFmtId="164" fontId="0" fillId="2" borderId="0" xfId="0" applyNumberFormat="1" applyFill="1"/>
    <xf numFmtId="164" fontId="0" fillId="2" borderId="0" xfId="0" applyNumberFormat="1" applyFill="1" applyAlignment="1">
      <alignment horizontal="left"/>
    </xf>
    <xf numFmtId="0" fontId="0" fillId="2" borderId="0" xfId="0" applyFill="1" applyAlignment="1">
      <alignment horizontal="center"/>
    </xf>
    <xf numFmtId="9" fontId="0" fillId="2" borderId="0" xfId="0" applyNumberFormat="1" applyFill="1" applyAlignment="1">
      <alignment horizontal="center"/>
    </xf>
    <xf numFmtId="49" fontId="0" fillId="2" borderId="0" xfId="0" applyNumberFormat="1" applyFill="1" applyAlignment="1">
      <alignment horizontal="center" vertical="distributed" wrapText="1"/>
    </xf>
    <xf numFmtId="49" fontId="2" fillId="3" borderId="1" xfId="0" applyNumberFormat="1" applyFont="1" applyFill="1" applyBorder="1" applyAlignment="1">
      <alignment horizontal="center" vertical="distributed" wrapText="1"/>
    </xf>
    <xf numFmtId="3" fontId="2" fillId="3" borderId="1" xfId="0" applyNumberFormat="1" applyFont="1" applyFill="1" applyBorder="1" applyAlignment="1">
      <alignment horizontal="center" vertical="distributed" wrapText="1"/>
    </xf>
    <xf numFmtId="3" fontId="0" fillId="2" borderId="0" xfId="0" applyNumberFormat="1" applyFill="1" applyAlignment="1">
      <alignment horizontal="center"/>
    </xf>
    <xf numFmtId="3" fontId="0" fillId="2" borderId="0" xfId="0" applyNumberFormat="1" applyFill="1"/>
    <xf numFmtId="0" fontId="0" fillId="3" borderId="0" xfId="0" applyFill="1" applyAlignment="1">
      <alignment horizontal="center"/>
    </xf>
    <xf numFmtId="3" fontId="0" fillId="4" borderId="0" xfId="0" applyNumberFormat="1" applyFill="1" applyAlignment="1">
      <alignment horizontal="center"/>
    </xf>
    <xf numFmtId="9" fontId="0" fillId="4" borderId="0" xfId="1" applyFont="1" applyFill="1" applyAlignment="1">
      <alignment horizontal="center"/>
    </xf>
    <xf numFmtId="0" fontId="2" fillId="2" borderId="2" xfId="0" applyFont="1" applyFill="1" applyBorder="1"/>
    <xf numFmtId="3" fontId="2" fillId="2" borderId="2" xfId="0" applyNumberFormat="1" applyFont="1" applyFill="1" applyBorder="1"/>
    <xf numFmtId="4" fontId="0" fillId="2" borderId="0" xfId="0" applyNumberFormat="1" applyFill="1" applyAlignment="1">
      <alignment horizontal="center"/>
    </xf>
    <xf numFmtId="9" fontId="0" fillId="2" borderId="0" xfId="0" applyNumberFormat="1" applyFill="1"/>
    <xf numFmtId="2" fontId="0" fillId="2" borderId="0" xfId="0" applyNumberFormat="1" applyFill="1"/>
    <xf numFmtId="165" fontId="0" fillId="2" borderId="0" xfId="1" applyNumberFormat="1" applyFont="1" applyFill="1"/>
    <xf numFmtId="2" fontId="0" fillId="2" borderId="0" xfId="0" applyNumberFormat="1" applyFill="1" applyAlignment="1">
      <alignment horizontal="center"/>
    </xf>
    <xf numFmtId="9" fontId="2" fillId="2" borderId="2" xfId="1" applyFont="1" applyFill="1" applyBorder="1"/>
    <xf numFmtId="0" fontId="3" fillId="2" borderId="0" xfId="2" applyFill="1"/>
    <xf numFmtId="3" fontId="0" fillId="2" borderId="0" xfId="0" applyNumberFormat="1" applyFill="1" applyAlignment="1">
      <alignment horizontal="left"/>
    </xf>
    <xf numFmtId="164" fontId="0" fillId="2" borderId="0" xfId="0" quotePrefix="1" applyNumberFormat="1" applyFill="1" applyAlignment="1">
      <alignment horizontal="left"/>
    </xf>
    <xf numFmtId="0" fontId="0" fillId="5" borderId="0" xfId="0" applyFill="1" applyAlignment="1">
      <alignment horizontal="center"/>
    </xf>
    <xf numFmtId="3" fontId="0" fillId="5" borderId="0" xfId="0" applyNumberFormat="1" applyFill="1" applyAlignment="1">
      <alignment horizontal="center"/>
    </xf>
    <xf numFmtId="0" fontId="0" fillId="2" borderId="0" xfId="0" applyFill="1" applyAlignment="1">
      <alignment horizontal="left"/>
    </xf>
    <xf numFmtId="0" fontId="4" fillId="2" borderId="2" xfId="0" applyFont="1" applyFill="1" applyBorder="1"/>
    <xf numFmtId="0" fontId="3" fillId="0" borderId="0" xfId="2"/>
    <xf numFmtId="164" fontId="4" fillId="2" borderId="2" xfId="0" applyNumberFormat="1" applyFont="1" applyFill="1" applyBorder="1"/>
    <xf numFmtId="4" fontId="4" fillId="2" borderId="2" xfId="0" applyNumberFormat="1" applyFont="1" applyFill="1" applyBorder="1" applyAlignment="1">
      <alignment horizontal="left"/>
    </xf>
    <xf numFmtId="3" fontId="4" fillId="2" borderId="2" xfId="0" applyNumberFormat="1" applyFont="1" applyFill="1" applyBorder="1"/>
    <xf numFmtId="0" fontId="3" fillId="2" borderId="0" xfId="2" applyFill="1" applyAlignment="1">
      <alignment horizontal="left"/>
    </xf>
    <xf numFmtId="3" fontId="0" fillId="6" borderId="0" xfId="0" applyNumberFormat="1" applyFill="1" applyAlignment="1">
      <alignment horizontal="center"/>
    </xf>
  </cellXfs>
  <cellStyles count="3">
    <cellStyle name="Hyperlink" xfId="2"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app.hotelbeds.com/carhire/search?specialEquipment=AUTOMATIC&amp;door=4&amp;baggage=3,4&amp;results=20&amp;sortBy=LOWEST_PRICE_FIRST&amp;field=PRICE&amp;direction=ASCENDING&amp;page=1&amp;destinationTab=Oslo%20Airport%20(OSL)&amp;officePickupControl=1758&amp;pickupDate=09-06-2026&amp;pickupTime=08:00&amp;officeDropoffControl=1758&amp;dropoffDate=13-06-2026&amp;dropoffTime=08:00&amp;sameOfficeCheckbox=true&amp;typeDepartureCode=airport&amp;typeArrivalCode=airport&amp;_timestamp=1780149002935&amp;departureTab=" TargetMode="External"/><Relationship Id="rId3" Type="http://schemas.openxmlformats.org/officeDocument/2006/relationships/hyperlink" Target="https://booknordics.com/norway/western-fjord-norway/bergen-and-hardanger/rentals-e-mountain-bike-full-suspension" TargetMode="External"/><Relationship Id="rId7" Type="http://schemas.openxmlformats.org/officeDocument/2006/relationships/hyperlink" Target="https://app.hotelbeds.com/factsheet/stay/7398?check_in=12-06-2026&amp;check_out=13-06-2026&amp;occupancy=2~0_1~0&amp;packaging=true" TargetMode="External"/><Relationship Id="rId2" Type="http://schemas.openxmlformats.org/officeDocument/2006/relationships/hyperlink" Target="https://booknordics.com/norway/western-fjord-norway/bergen-and-hardanger/sea-kayaking-naeroyfjord-tour" TargetMode="External"/><Relationship Id="rId1" Type="http://schemas.openxmlformats.org/officeDocument/2006/relationships/hyperlink" Target="https://app.hotelbeds.com/factsheet/stay/712885?check_in=09-06-2026&amp;check_out=10-06-2026&amp;occupancy=2~0_1~0&amp;packaging=true" TargetMode="External"/><Relationship Id="rId6" Type="http://schemas.openxmlformats.org/officeDocument/2006/relationships/hyperlink" Target="https://app.hotelbeds.com/factsheet/stay/7407?check_in=11-06-2026&amp;check_out=12-06-2026&amp;occupancy=2~0_1~0&amp;packaging=true" TargetMode="External"/><Relationship Id="rId5" Type="http://schemas.openxmlformats.org/officeDocument/2006/relationships/hyperlink" Target="https://booknordics.com/norway/western-fjord-norway/bergen-and-hardanger/mostraumen-fjord-waterfall-cruise" TargetMode="External"/><Relationship Id="rId4" Type="http://schemas.openxmlformats.org/officeDocument/2006/relationships/hyperlink" Target="https://app.hotelbeds.com/factsheet/stay/197867?check_in=10-06-2026&amp;check_out=11-06-2026&amp;occupancy=2~0_1~0&amp;packaging=true" TargetMode="Externa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hyperlink" Target="https://app.hotelbeds.com/carhire/search?specialEquipment=AUTOMATIC&amp;baggage=3,4&amp;results=20&amp;sortBy=LOWEST_PRICE_FIRST&amp;field=PRICE&amp;direction=ASCENDING&amp;page=1&amp;destinationTab=Oslo%20Airport%20(OSL)&amp;pickupDate=09-06-2026&amp;pickupTime=08:00&amp;dropoffDate=13-06-2026&amp;dropoffTime=08:00&amp;sameOfficeCheckbox=true&amp;officePickupControl=1758&amp;officeDropoffControl=1758&amp;typeDepartureCode=airport&amp;_timestamp=1780558935093&amp;typeArrivalCode=airport&amp;departureTab=" TargetMode="External"/><Relationship Id="rId3" Type="http://schemas.openxmlformats.org/officeDocument/2006/relationships/hyperlink" Target="https://booknordics.com/norway/western-fjord-norway/bergen-and-hardanger/mostraumen-fjord-waterfall-cruise" TargetMode="External"/><Relationship Id="rId7" Type="http://schemas.openxmlformats.org/officeDocument/2006/relationships/hyperlink" Target="https://app.hotelbeds.com/factsheet/stay/712885?check_in=09-06-2026&amp;check_out=10-06-2026&amp;occupancy=2~0_1~0&amp;packaging=true" TargetMode="External"/><Relationship Id="rId2" Type="http://schemas.openxmlformats.org/officeDocument/2006/relationships/hyperlink" Target="https://booknordics.com/norway/western-fjord-norway/bergen-and-hardanger/rentals-e-mountain-bike-full-suspension" TargetMode="External"/><Relationship Id="rId1" Type="http://schemas.openxmlformats.org/officeDocument/2006/relationships/hyperlink" Target="https://booknordics.com/norway/western-fjord-norway/bergen-and-hardanger/sea-kayaking-naeroyfjord-tour" TargetMode="External"/><Relationship Id="rId6" Type="http://schemas.openxmlformats.org/officeDocument/2006/relationships/hyperlink" Target="https://app.hotelbeds.com/factsheet/stay/6678?check_in=10-06-2026&amp;check_out=11-06-2026&amp;occupancy=2~0_1~0&amp;packaging=true" TargetMode="External"/><Relationship Id="rId5" Type="http://schemas.openxmlformats.org/officeDocument/2006/relationships/hyperlink" Target="https://app.hotelbeds.com/factsheet/stay/7398?check_in=12-06-2026&amp;check_out=13-06-2026&amp;occupancy=2~0_1~0&amp;packaging=true" TargetMode="External"/><Relationship Id="rId4" Type="http://schemas.openxmlformats.org/officeDocument/2006/relationships/hyperlink" Target="https://app.hotelbeds.com/factsheet/stay/7407?check_in=11-06-2026&amp;check_out=12-06-2026&amp;occupancy=2~0_1~0&amp;packaging=true" TargetMode="External"/><Relationship Id="rId9"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904EA-7225-42CC-89DC-05C1D7355F04}">
  <dimension ref="B1:C7"/>
  <sheetViews>
    <sheetView workbookViewId="0">
      <selection activeCell="C2" sqref="C2"/>
    </sheetView>
  </sheetViews>
  <sheetFormatPr defaultRowHeight="15" x14ac:dyDescent="0.25"/>
  <cols>
    <col min="1" max="1" width="2.5703125" customWidth="1"/>
  </cols>
  <sheetData>
    <row r="1" spans="2:3" x14ac:dyDescent="0.25">
      <c r="C1" t="s">
        <v>8</v>
      </c>
    </row>
    <row r="2" spans="2:3" x14ac:dyDescent="0.25">
      <c r="B2" t="s">
        <v>10</v>
      </c>
      <c r="C2">
        <v>11.3</v>
      </c>
    </row>
    <row r="3" spans="2:3" x14ac:dyDescent="0.25">
      <c r="B3" t="s">
        <v>15</v>
      </c>
      <c r="C3">
        <v>1.02</v>
      </c>
    </row>
    <row r="4" spans="2:3" x14ac:dyDescent="0.25">
      <c r="B4" t="s">
        <v>16</v>
      </c>
      <c r="C4">
        <v>1.5</v>
      </c>
    </row>
    <row r="5" spans="2:3" x14ac:dyDescent="0.25">
      <c r="B5" t="s">
        <v>17</v>
      </c>
      <c r="C5">
        <v>7.4999999999999997E-2</v>
      </c>
    </row>
    <row r="6" spans="2:3" x14ac:dyDescent="0.25">
      <c r="B6" t="s">
        <v>8</v>
      </c>
      <c r="C6">
        <v>1</v>
      </c>
    </row>
    <row r="7" spans="2:3" x14ac:dyDescent="0.25">
      <c r="B7" t="s">
        <v>31</v>
      </c>
      <c r="C7">
        <v>10.6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2E6C0-BF7F-4EA5-97F6-74A08C367EEF}">
  <sheetPr>
    <tabColor rgb="FFFFFF00"/>
  </sheetPr>
  <dimension ref="B2:AJ63"/>
  <sheetViews>
    <sheetView topLeftCell="A15" zoomScale="80" zoomScaleNormal="80" workbookViewId="0">
      <selection activeCell="J16" sqref="J16"/>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customWidth="1" outlineLevel="1"/>
    <col min="9" max="9" width="21.7109375" style="1" customWidth="1" outlineLevel="1"/>
    <col min="10" max="10" width="53.85546875" style="1" customWidth="1"/>
    <col min="11" max="12" width="8.140625" style="1" customWidth="1" outlineLevel="1"/>
    <col min="13" max="13" width="24" style="1" customWidth="1" outlineLevel="1"/>
    <col min="14" max="15" width="11.7109375" style="1" customWidth="1" outlineLevel="1"/>
    <col min="16" max="16" width="8.140625" style="1" customWidth="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customWidth="1" outlineLevel="1"/>
    <col min="37" max="82" width="9" style="1" customWidth="1"/>
    <col min="83" max="16384" width="8.7109375" style="1"/>
  </cols>
  <sheetData>
    <row r="2" spans="2:36" x14ac:dyDescent="0.25">
      <c r="B2" s="2" t="s">
        <v>51</v>
      </c>
    </row>
    <row r="3" spans="2:36" x14ac:dyDescent="0.25">
      <c r="B3" s="2" t="s">
        <v>52</v>
      </c>
    </row>
    <row r="4" spans="2:36" x14ac:dyDescent="0.25">
      <c r="B4" s="2" t="s">
        <v>53</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45</v>
      </c>
      <c r="D7" s="1" t="s">
        <v>46</v>
      </c>
      <c r="E7" s="3" t="s">
        <v>54</v>
      </c>
      <c r="F7" s="3"/>
      <c r="G7" s="3"/>
      <c r="H7" s="3"/>
      <c r="J7" s="1" t="s">
        <v>55</v>
      </c>
      <c r="K7" s="4"/>
      <c r="L7" s="4"/>
      <c r="M7" s="4"/>
      <c r="N7" s="4"/>
      <c r="O7" s="4"/>
      <c r="P7" s="27"/>
      <c r="Q7" s="25">
        <v>0</v>
      </c>
      <c r="R7" s="25">
        <v>0</v>
      </c>
      <c r="S7" s="12">
        <f t="shared" ref="S7" si="0">+Q7*R7</f>
        <v>0</v>
      </c>
      <c r="T7" s="5">
        <v>0</v>
      </c>
      <c r="U7" s="12">
        <f>S7*(1-T7)</f>
        <v>0</v>
      </c>
      <c r="V7" s="25" t="s">
        <v>10</v>
      </c>
      <c r="W7" s="11">
        <f>IFERROR(VLOOKUP(V7,Curr!$B$2:$C$13,2,FALSE),0)</f>
        <v>11.3</v>
      </c>
      <c r="X7" s="12">
        <f t="shared" ref="X7" si="1">U7*W7</f>
        <v>0</v>
      </c>
      <c r="Y7" s="26">
        <f>Q7</f>
        <v>0</v>
      </c>
      <c r="Z7" s="12">
        <f t="shared" ref="Z7" si="2">+Y7*R7</f>
        <v>0</v>
      </c>
      <c r="AA7" s="4" t="s">
        <v>10</v>
      </c>
      <c r="AB7" s="11">
        <f>IFERROR(VLOOKUP(AA7,Curr!$B$2:$C$13,2,FALSE),0)</f>
        <v>11.3</v>
      </c>
      <c r="AC7" s="12">
        <f t="shared" ref="AC7" si="3">+Y7*AB7*R7</f>
        <v>0</v>
      </c>
      <c r="AD7" s="12">
        <f t="shared" ref="AD7" si="4">+AC7-X7</f>
        <v>0</v>
      </c>
      <c r="AE7" s="13">
        <f t="shared" ref="AE7" si="5">IFERROR(AD7/AC7,0)</f>
        <v>0</v>
      </c>
    </row>
    <row r="8" spans="2:36" x14ac:dyDescent="0.25">
      <c r="B8" s="4"/>
      <c r="C8" s="1" t="s">
        <v>45</v>
      </c>
      <c r="D8" s="1" t="s">
        <v>49</v>
      </c>
      <c r="E8" s="3" t="s">
        <v>54</v>
      </c>
      <c r="F8" s="3"/>
      <c r="G8" s="24"/>
      <c r="H8" s="24"/>
      <c r="J8" s="1" t="s">
        <v>92</v>
      </c>
      <c r="K8" s="4"/>
      <c r="L8" s="4"/>
      <c r="M8" s="4"/>
      <c r="N8" s="4"/>
      <c r="O8" s="4"/>
      <c r="P8" s="33" t="s">
        <v>93</v>
      </c>
      <c r="Q8" s="25">
        <v>390</v>
      </c>
      <c r="R8" s="25">
        <v>1</v>
      </c>
      <c r="S8" s="12">
        <f t="shared" ref="S8:S11" si="6">+Q8*R8</f>
        <v>390</v>
      </c>
      <c r="T8" s="5">
        <v>0</v>
      </c>
      <c r="U8" s="12">
        <f t="shared" ref="U8:U11" si="7">S8*(1-T8)</f>
        <v>390</v>
      </c>
      <c r="V8" s="25" t="s">
        <v>10</v>
      </c>
      <c r="W8" s="11">
        <f>IFERROR(VLOOKUP(V8,Curr!$B$2:$C$13,2,FALSE),0)</f>
        <v>11.3</v>
      </c>
      <c r="X8" s="12">
        <f t="shared" ref="X8:X11" si="8">U8*W8</f>
        <v>4407</v>
      </c>
      <c r="Y8" s="26">
        <f>Q8/0.75</f>
        <v>520</v>
      </c>
      <c r="Z8" s="12">
        <f t="shared" ref="Z8:Z11" si="9">+Y8*R8</f>
        <v>520</v>
      </c>
      <c r="AA8" s="4" t="s">
        <v>10</v>
      </c>
      <c r="AB8" s="11">
        <f>IFERROR(VLOOKUP(AA8,Curr!$B$2:$C$13,2,FALSE),0)</f>
        <v>11.3</v>
      </c>
      <c r="AC8" s="12">
        <f t="shared" ref="AC8:AC11" si="10">+Y8*AB8*R8</f>
        <v>5876</v>
      </c>
      <c r="AD8" s="12">
        <f t="shared" ref="AD8:AD11" si="11">+AC8-X8</f>
        <v>1469</v>
      </c>
      <c r="AE8" s="13">
        <f t="shared" ref="AE8:AE11" si="12">IFERROR(AD8/AC8,0)</f>
        <v>0.25</v>
      </c>
    </row>
    <row r="9" spans="2:36" x14ac:dyDescent="0.25">
      <c r="B9" s="4"/>
      <c r="C9" s="1" t="s">
        <v>45</v>
      </c>
      <c r="D9" s="1" t="s">
        <v>50</v>
      </c>
      <c r="E9" s="3" t="s">
        <v>54</v>
      </c>
      <c r="F9" s="3"/>
      <c r="G9" s="24"/>
      <c r="H9" s="24"/>
      <c r="J9" s="1" t="s">
        <v>91</v>
      </c>
      <c r="K9" s="4"/>
      <c r="L9" s="4"/>
      <c r="M9" s="4"/>
      <c r="N9" s="4"/>
      <c r="O9" s="4"/>
      <c r="P9" s="33"/>
      <c r="Q9" s="25">
        <v>0</v>
      </c>
      <c r="R9" s="25">
        <v>0</v>
      </c>
      <c r="S9" s="12">
        <f t="shared" si="6"/>
        <v>0</v>
      </c>
      <c r="T9" s="5">
        <v>0</v>
      </c>
      <c r="U9" s="12">
        <f t="shared" si="7"/>
        <v>0</v>
      </c>
      <c r="V9" s="25" t="s">
        <v>10</v>
      </c>
      <c r="W9" s="11">
        <f>IFERROR(VLOOKUP(V9,Curr!$B$2:$C$13,2,FALSE),0)</f>
        <v>11.3</v>
      </c>
      <c r="X9" s="12">
        <f t="shared" si="8"/>
        <v>0</v>
      </c>
      <c r="Y9" s="26">
        <f t="shared" ref="Y9:Y11" si="13">Q9</f>
        <v>0</v>
      </c>
      <c r="Z9" s="12">
        <f t="shared" si="9"/>
        <v>0</v>
      </c>
      <c r="AA9" s="4" t="s">
        <v>10</v>
      </c>
      <c r="AB9" s="11">
        <f>IFERROR(VLOOKUP(AA9,Curr!$B$2:$C$13,2,FALSE),0)</f>
        <v>11.3</v>
      </c>
      <c r="AC9" s="12">
        <f t="shared" si="10"/>
        <v>0</v>
      </c>
      <c r="AD9" s="12">
        <f t="shared" si="11"/>
        <v>0</v>
      </c>
      <c r="AE9" s="13">
        <f t="shared" si="12"/>
        <v>0</v>
      </c>
    </row>
    <row r="10" spans="2:36" x14ac:dyDescent="0.25">
      <c r="B10" s="4"/>
      <c r="C10" s="1" t="s">
        <v>45</v>
      </c>
      <c r="D10" s="1" t="s">
        <v>47</v>
      </c>
      <c r="E10" s="3" t="s">
        <v>54</v>
      </c>
      <c r="F10" s="3" t="s">
        <v>57</v>
      </c>
      <c r="G10" s="24"/>
      <c r="H10" s="24"/>
      <c r="J10" s="1" t="s">
        <v>65</v>
      </c>
      <c r="K10" s="4"/>
      <c r="L10" s="4"/>
      <c r="M10" s="4"/>
      <c r="N10" s="4"/>
      <c r="O10" s="4"/>
      <c r="P10" s="33" t="s">
        <v>66</v>
      </c>
      <c r="Q10" s="25">
        <v>461</v>
      </c>
      <c r="R10" s="25">
        <v>1</v>
      </c>
      <c r="S10" s="12">
        <f t="shared" si="6"/>
        <v>461</v>
      </c>
      <c r="T10" s="5">
        <v>0</v>
      </c>
      <c r="U10" s="12">
        <f t="shared" si="7"/>
        <v>461</v>
      </c>
      <c r="V10" s="25" t="s">
        <v>10</v>
      </c>
      <c r="W10" s="11">
        <f>IFERROR(VLOOKUP(V10,Curr!$B$2:$C$13,2,FALSE),0)</f>
        <v>11.3</v>
      </c>
      <c r="X10" s="12">
        <f t="shared" si="8"/>
        <v>5209.3</v>
      </c>
      <c r="Y10" s="26">
        <f>Q10/0.75</f>
        <v>614.66666666666663</v>
      </c>
      <c r="Z10" s="12">
        <f t="shared" si="9"/>
        <v>614.66666666666663</v>
      </c>
      <c r="AA10" s="4" t="s">
        <v>10</v>
      </c>
      <c r="AB10" s="11">
        <f>IFERROR(VLOOKUP(AA10,Curr!$B$2:$C$13,2,FALSE),0)</f>
        <v>11.3</v>
      </c>
      <c r="AC10" s="12">
        <f t="shared" si="10"/>
        <v>6945.7333333333336</v>
      </c>
      <c r="AD10" s="12">
        <f t="shared" si="11"/>
        <v>1736.4333333333334</v>
      </c>
      <c r="AE10" s="13">
        <f t="shared" si="12"/>
        <v>0.25</v>
      </c>
    </row>
    <row r="11" spans="2:36" x14ac:dyDescent="0.25">
      <c r="B11" s="4"/>
      <c r="C11" s="1" t="s">
        <v>45</v>
      </c>
      <c r="D11" s="1" t="s">
        <v>68</v>
      </c>
      <c r="E11" s="3" t="s">
        <v>54</v>
      </c>
      <c r="J11" s="1" t="s">
        <v>71</v>
      </c>
      <c r="K11" s="4"/>
      <c r="L11" s="4"/>
      <c r="M11" s="4"/>
      <c r="N11" s="4"/>
      <c r="O11" s="4"/>
      <c r="P11" s="33" t="s">
        <v>73</v>
      </c>
      <c r="Q11" s="25">
        <v>78</v>
      </c>
      <c r="R11" s="25">
        <v>3</v>
      </c>
      <c r="S11" s="12">
        <f t="shared" si="6"/>
        <v>234</v>
      </c>
      <c r="T11" s="5">
        <v>0.2</v>
      </c>
      <c r="U11" s="12">
        <f t="shared" si="7"/>
        <v>187.20000000000002</v>
      </c>
      <c r="V11" s="25" t="s">
        <v>10</v>
      </c>
      <c r="W11" s="11">
        <f>IFERROR(VLOOKUP(V11,Curr!$B$2:$C$13,2,FALSE),0)</f>
        <v>11.3</v>
      </c>
      <c r="X11" s="12">
        <f t="shared" si="8"/>
        <v>2115.36</v>
      </c>
      <c r="Y11" s="26">
        <f t="shared" si="13"/>
        <v>78</v>
      </c>
      <c r="Z11" s="12">
        <f t="shared" si="9"/>
        <v>234</v>
      </c>
      <c r="AA11" s="4" t="s">
        <v>10</v>
      </c>
      <c r="AB11" s="11">
        <f>IFERROR(VLOOKUP(AA11,Curr!$B$2:$C$13,2,FALSE),0)</f>
        <v>11.3</v>
      </c>
      <c r="AC11" s="12">
        <f t="shared" si="10"/>
        <v>2644.2000000000003</v>
      </c>
      <c r="AD11" s="12">
        <f t="shared" si="11"/>
        <v>528.84000000000015</v>
      </c>
      <c r="AE11" s="13">
        <f t="shared" si="12"/>
        <v>0.20000000000000004</v>
      </c>
    </row>
    <row r="12" spans="2:36" x14ac:dyDescent="0.25">
      <c r="B12" s="4"/>
      <c r="C12" s="1" t="s">
        <v>45</v>
      </c>
      <c r="D12" s="1" t="s">
        <v>48</v>
      </c>
      <c r="E12" s="3" t="s">
        <v>54</v>
      </c>
      <c r="F12" s="3"/>
      <c r="G12" s="24"/>
      <c r="H12" s="24"/>
      <c r="J12" s="1" t="s">
        <v>67</v>
      </c>
      <c r="K12" s="4"/>
      <c r="L12" s="4"/>
      <c r="M12" s="4"/>
      <c r="N12" s="4"/>
      <c r="O12" s="4"/>
      <c r="P12" s="33"/>
      <c r="Q12" s="25">
        <v>0</v>
      </c>
      <c r="R12" s="25">
        <v>0</v>
      </c>
      <c r="S12" s="12">
        <f t="shared" ref="S12:S38" si="14">+Q12*R12</f>
        <v>0</v>
      </c>
      <c r="T12" s="5">
        <v>0</v>
      </c>
      <c r="U12" s="12">
        <f t="shared" ref="U12:U38" si="15">S12*(1-T12)</f>
        <v>0</v>
      </c>
      <c r="V12" s="25" t="s">
        <v>10</v>
      </c>
      <c r="W12" s="11">
        <f>IFERROR(VLOOKUP(V12,Curr!$B$2:$C$13,2,FALSE),0)</f>
        <v>11.3</v>
      </c>
      <c r="X12" s="12">
        <f t="shared" ref="X12:X38" si="16">U12*W12</f>
        <v>0</v>
      </c>
      <c r="Y12" s="26">
        <f t="shared" ref="Y12:Y38" si="17">Q12</f>
        <v>0</v>
      </c>
      <c r="Z12" s="12">
        <f t="shared" ref="Z12:Z38" si="18">+Y12*R12</f>
        <v>0</v>
      </c>
      <c r="AA12" s="4" t="s">
        <v>10</v>
      </c>
      <c r="AB12" s="11">
        <f>IFERROR(VLOOKUP(AA12,Curr!$B$2:$C$13,2,FALSE),0)</f>
        <v>11.3</v>
      </c>
      <c r="AC12" s="12">
        <f t="shared" ref="AC12:AC38" si="19">+Y12*AB12*R12</f>
        <v>0</v>
      </c>
      <c r="AD12" s="12">
        <f t="shared" ref="AD12:AD38" si="20">+AC12-X12</f>
        <v>0</v>
      </c>
      <c r="AE12" s="13">
        <f t="shared" ref="AE12:AE38" si="21">IFERROR(AD12/AC12,0)</f>
        <v>0</v>
      </c>
    </row>
    <row r="13" spans="2:36" x14ac:dyDescent="0.25">
      <c r="B13" s="4"/>
      <c r="K13" s="4"/>
      <c r="L13" s="4"/>
      <c r="M13" s="4"/>
      <c r="N13" s="4"/>
      <c r="O13" s="4"/>
      <c r="P13" s="27"/>
      <c r="Q13" s="25"/>
      <c r="R13" s="25"/>
      <c r="S13" s="12">
        <f t="shared" si="14"/>
        <v>0</v>
      </c>
      <c r="T13" s="5">
        <v>0</v>
      </c>
      <c r="U13" s="12">
        <f t="shared" si="15"/>
        <v>0</v>
      </c>
      <c r="V13" s="25" t="s">
        <v>10</v>
      </c>
      <c r="W13" s="11">
        <f>IFERROR(VLOOKUP(V13,Curr!$B$2:$C$13,2,FALSE),0)</f>
        <v>11.3</v>
      </c>
      <c r="X13" s="12">
        <f t="shared" si="16"/>
        <v>0</v>
      </c>
      <c r="Y13" s="26">
        <f t="shared" si="17"/>
        <v>0</v>
      </c>
      <c r="Z13" s="12">
        <f t="shared" si="18"/>
        <v>0</v>
      </c>
      <c r="AA13" s="4" t="s">
        <v>10</v>
      </c>
      <c r="AB13" s="11">
        <f>IFERROR(VLOOKUP(AA13,Curr!$B$2:$C$13,2,FALSE),0)</f>
        <v>11.3</v>
      </c>
      <c r="AC13" s="12">
        <f t="shared" si="19"/>
        <v>0</v>
      </c>
      <c r="AD13" s="12">
        <f t="shared" si="20"/>
        <v>0</v>
      </c>
      <c r="AE13" s="13">
        <f t="shared" si="21"/>
        <v>0</v>
      </c>
    </row>
    <row r="14" spans="2:36" x14ac:dyDescent="0.25">
      <c r="B14" s="4"/>
      <c r="C14" s="1" t="s">
        <v>56</v>
      </c>
      <c r="D14" s="1" t="s">
        <v>68</v>
      </c>
      <c r="E14" s="3" t="s">
        <v>57</v>
      </c>
      <c r="F14" s="3"/>
      <c r="G14" s="24"/>
      <c r="H14" s="24"/>
      <c r="J14" s="1" t="s">
        <v>69</v>
      </c>
      <c r="K14" s="4"/>
      <c r="L14" s="4"/>
      <c r="M14" s="4"/>
      <c r="N14" s="4"/>
      <c r="O14" s="4"/>
      <c r="P14" s="33" t="s">
        <v>70</v>
      </c>
      <c r="Q14" s="25">
        <v>148</v>
      </c>
      <c r="R14" s="25">
        <v>3</v>
      </c>
      <c r="S14" s="12">
        <f t="shared" si="14"/>
        <v>444</v>
      </c>
      <c r="T14" s="5">
        <v>0.2</v>
      </c>
      <c r="U14" s="12">
        <f t="shared" si="15"/>
        <v>355.20000000000005</v>
      </c>
      <c r="V14" s="25" t="s">
        <v>10</v>
      </c>
      <c r="W14" s="11">
        <f>IFERROR(VLOOKUP(V14,Curr!$B$2:$C$13,2,FALSE),0)</f>
        <v>11.3</v>
      </c>
      <c r="X14" s="12">
        <f t="shared" si="16"/>
        <v>4013.7600000000007</v>
      </c>
      <c r="Y14" s="26">
        <f t="shared" si="17"/>
        <v>148</v>
      </c>
      <c r="Z14" s="12">
        <f t="shared" si="18"/>
        <v>444</v>
      </c>
      <c r="AA14" s="4" t="s">
        <v>10</v>
      </c>
      <c r="AB14" s="11">
        <f>IFERROR(VLOOKUP(AA14,Curr!$B$2:$C$13,2,FALSE),0)</f>
        <v>11.3</v>
      </c>
      <c r="AC14" s="12">
        <f t="shared" si="19"/>
        <v>5017.2000000000007</v>
      </c>
      <c r="AD14" s="12">
        <f t="shared" si="20"/>
        <v>1003.44</v>
      </c>
      <c r="AE14" s="13">
        <f t="shared" si="21"/>
        <v>0.19999999999999998</v>
      </c>
    </row>
    <row r="15" spans="2:36" x14ac:dyDescent="0.25">
      <c r="B15" s="4"/>
      <c r="C15" s="1" t="s">
        <v>56</v>
      </c>
      <c r="D15" s="1" t="s">
        <v>50</v>
      </c>
      <c r="E15" s="3" t="s">
        <v>57</v>
      </c>
      <c r="F15" s="3"/>
      <c r="G15" s="24"/>
      <c r="H15" s="24"/>
      <c r="J15" s="1" t="s">
        <v>72</v>
      </c>
      <c r="K15" s="4"/>
      <c r="L15" s="4"/>
      <c r="M15" s="4"/>
      <c r="N15" s="4"/>
      <c r="O15" s="4"/>
      <c r="P15" s="27"/>
      <c r="Q15" s="25">
        <v>0</v>
      </c>
      <c r="R15" s="25">
        <v>0</v>
      </c>
      <c r="S15" s="12">
        <f t="shared" si="14"/>
        <v>0</v>
      </c>
      <c r="T15" s="5">
        <v>0</v>
      </c>
      <c r="U15" s="12">
        <f t="shared" si="15"/>
        <v>0</v>
      </c>
      <c r="V15" s="25" t="s">
        <v>10</v>
      </c>
      <c r="W15" s="11">
        <f>IFERROR(VLOOKUP(V15,Curr!$B$2:$C$13,2,FALSE),0)</f>
        <v>11.3</v>
      </c>
      <c r="X15" s="12">
        <f t="shared" si="16"/>
        <v>0</v>
      </c>
      <c r="Y15" s="26">
        <f t="shared" si="17"/>
        <v>0</v>
      </c>
      <c r="Z15" s="12">
        <f t="shared" si="18"/>
        <v>0</v>
      </c>
      <c r="AA15" s="4" t="s">
        <v>10</v>
      </c>
      <c r="AB15" s="11">
        <f>IFERROR(VLOOKUP(AA15,Curr!$B$2:$C$13,2,FALSE),0)</f>
        <v>11.3</v>
      </c>
      <c r="AC15" s="12">
        <f t="shared" si="19"/>
        <v>0</v>
      </c>
      <c r="AD15" s="12">
        <f t="shared" si="20"/>
        <v>0</v>
      </c>
      <c r="AE15" s="13">
        <f t="shared" si="21"/>
        <v>0</v>
      </c>
    </row>
    <row r="16" spans="2:36" x14ac:dyDescent="0.25">
      <c r="B16" s="4"/>
      <c r="C16" s="1" t="s">
        <v>56</v>
      </c>
      <c r="D16" s="1" t="s">
        <v>47</v>
      </c>
      <c r="E16" s="3" t="s">
        <v>57</v>
      </c>
      <c r="F16" s="3" t="s">
        <v>59</v>
      </c>
      <c r="G16" s="24"/>
      <c r="H16" s="24"/>
      <c r="J16" s="1" t="s">
        <v>75</v>
      </c>
      <c r="K16" s="4"/>
      <c r="L16" s="4"/>
      <c r="M16" s="4"/>
      <c r="N16" s="4"/>
      <c r="O16" s="4"/>
      <c r="P16" s="33" t="s">
        <v>76</v>
      </c>
      <c r="Q16" s="25">
        <v>847</v>
      </c>
      <c r="R16" s="25">
        <v>1</v>
      </c>
      <c r="S16" s="12">
        <f t="shared" si="14"/>
        <v>847</v>
      </c>
      <c r="T16" s="5">
        <v>0</v>
      </c>
      <c r="U16" s="12">
        <f t="shared" si="15"/>
        <v>847</v>
      </c>
      <c r="V16" s="25" t="s">
        <v>10</v>
      </c>
      <c r="W16" s="11">
        <f>IFERROR(VLOOKUP(V16,Curr!$B$2:$C$13,2,FALSE),0)</f>
        <v>11.3</v>
      </c>
      <c r="X16" s="12">
        <f t="shared" si="16"/>
        <v>9571.1</v>
      </c>
      <c r="Y16" s="26">
        <f>Q16/0.75</f>
        <v>1129.3333333333333</v>
      </c>
      <c r="Z16" s="12">
        <f t="shared" si="18"/>
        <v>1129.3333333333333</v>
      </c>
      <c r="AA16" s="4" t="s">
        <v>10</v>
      </c>
      <c r="AB16" s="11">
        <f>IFERROR(VLOOKUP(AA16,Curr!$B$2:$C$13,2,FALSE),0)</f>
        <v>11.3</v>
      </c>
      <c r="AC16" s="12">
        <f t="shared" si="19"/>
        <v>12761.466666666667</v>
      </c>
      <c r="AD16" s="12">
        <f t="shared" si="20"/>
        <v>3190.3666666666668</v>
      </c>
      <c r="AE16" s="13">
        <f t="shared" si="21"/>
        <v>0.25</v>
      </c>
    </row>
    <row r="17" spans="2:31" x14ac:dyDescent="0.25">
      <c r="B17" s="4"/>
      <c r="C17" s="1" t="s">
        <v>56</v>
      </c>
      <c r="D17" s="1" t="s">
        <v>48</v>
      </c>
      <c r="E17" s="3" t="s">
        <v>57</v>
      </c>
      <c r="F17" s="3"/>
      <c r="G17" s="24"/>
      <c r="H17" s="24"/>
      <c r="J17" s="1" t="s">
        <v>74</v>
      </c>
      <c r="K17" s="4"/>
      <c r="L17" s="4"/>
      <c r="M17" s="4"/>
      <c r="N17" s="4"/>
      <c r="O17" s="4"/>
      <c r="P17" s="29"/>
      <c r="Q17" s="25">
        <v>0</v>
      </c>
      <c r="R17" s="25">
        <v>0</v>
      </c>
      <c r="S17" s="12">
        <f t="shared" si="14"/>
        <v>0</v>
      </c>
      <c r="T17" s="5">
        <v>0</v>
      </c>
      <c r="U17" s="12">
        <f t="shared" si="15"/>
        <v>0</v>
      </c>
      <c r="V17" s="25" t="s">
        <v>10</v>
      </c>
      <c r="W17" s="11">
        <f>IFERROR(VLOOKUP(V17,Curr!$B$2:$C$13,2,FALSE),0)</f>
        <v>11.3</v>
      </c>
      <c r="X17" s="12">
        <f t="shared" si="16"/>
        <v>0</v>
      </c>
      <c r="Y17" s="26">
        <f t="shared" si="17"/>
        <v>0</v>
      </c>
      <c r="Z17" s="12">
        <f t="shared" si="18"/>
        <v>0</v>
      </c>
      <c r="AA17" s="4" t="s">
        <v>10</v>
      </c>
      <c r="AB17" s="11">
        <f>IFERROR(VLOOKUP(AA17,Curr!$B$2:$C$13,2,FALSE),0)</f>
        <v>11.3</v>
      </c>
      <c r="AC17" s="12">
        <f t="shared" si="19"/>
        <v>0</v>
      </c>
      <c r="AD17" s="12">
        <f t="shared" si="20"/>
        <v>0</v>
      </c>
      <c r="AE17" s="13">
        <f t="shared" si="21"/>
        <v>0</v>
      </c>
    </row>
    <row r="18" spans="2:31" x14ac:dyDescent="0.25">
      <c r="B18" s="4"/>
      <c r="E18" s="3"/>
      <c r="F18" s="3"/>
      <c r="G18" s="24"/>
      <c r="H18" s="24"/>
      <c r="K18" s="4"/>
      <c r="L18" s="4"/>
      <c r="M18" s="4"/>
      <c r="N18" s="4"/>
      <c r="O18" s="4"/>
      <c r="P18" s="27"/>
      <c r="Q18" s="25"/>
      <c r="R18" s="25"/>
      <c r="S18" s="12">
        <f t="shared" si="14"/>
        <v>0</v>
      </c>
      <c r="T18" s="5">
        <v>0</v>
      </c>
      <c r="U18" s="12">
        <f t="shared" si="15"/>
        <v>0</v>
      </c>
      <c r="V18" s="25" t="s">
        <v>10</v>
      </c>
      <c r="W18" s="11">
        <f>IFERROR(VLOOKUP(V18,Curr!$B$2:$C$13,2,FALSE),0)</f>
        <v>11.3</v>
      </c>
      <c r="X18" s="12">
        <f t="shared" si="16"/>
        <v>0</v>
      </c>
      <c r="Y18" s="26">
        <f t="shared" si="17"/>
        <v>0</v>
      </c>
      <c r="Z18" s="12">
        <f t="shared" si="18"/>
        <v>0</v>
      </c>
      <c r="AA18" s="4" t="s">
        <v>10</v>
      </c>
      <c r="AB18" s="11">
        <f>IFERROR(VLOOKUP(AA18,Curr!$B$2:$C$13,2,FALSE),0)</f>
        <v>11.3</v>
      </c>
      <c r="AC18" s="12">
        <f t="shared" si="19"/>
        <v>0</v>
      </c>
      <c r="AD18" s="12">
        <f t="shared" si="20"/>
        <v>0</v>
      </c>
      <c r="AE18" s="13">
        <f t="shared" si="21"/>
        <v>0</v>
      </c>
    </row>
    <row r="19" spans="2:31" x14ac:dyDescent="0.25">
      <c r="B19" s="4"/>
      <c r="C19" s="1" t="s">
        <v>58</v>
      </c>
      <c r="D19" s="1" t="s">
        <v>68</v>
      </c>
      <c r="E19" s="3" t="s">
        <v>59</v>
      </c>
      <c r="F19" s="3"/>
      <c r="G19" s="24"/>
      <c r="H19" s="24"/>
      <c r="J19" s="1" t="s">
        <v>77</v>
      </c>
      <c r="K19" s="4"/>
      <c r="L19" s="4"/>
      <c r="M19" s="4"/>
      <c r="N19" s="4"/>
      <c r="O19" s="4"/>
      <c r="P19" s="33" t="s">
        <v>78</v>
      </c>
      <c r="Q19" s="25">
        <v>78</v>
      </c>
      <c r="R19" s="25">
        <v>3</v>
      </c>
      <c r="S19" s="12">
        <f t="shared" si="14"/>
        <v>234</v>
      </c>
      <c r="T19" s="5">
        <v>0.2</v>
      </c>
      <c r="U19" s="12">
        <f t="shared" si="15"/>
        <v>187.20000000000002</v>
      </c>
      <c r="V19" s="25" t="s">
        <v>10</v>
      </c>
      <c r="W19" s="11">
        <f>IFERROR(VLOOKUP(V19,Curr!$B$2:$C$13,2,FALSE),0)</f>
        <v>11.3</v>
      </c>
      <c r="X19" s="12">
        <f t="shared" si="16"/>
        <v>2115.36</v>
      </c>
      <c r="Y19" s="26">
        <f t="shared" si="17"/>
        <v>78</v>
      </c>
      <c r="Z19" s="12">
        <f t="shared" si="18"/>
        <v>234</v>
      </c>
      <c r="AA19" s="4" t="s">
        <v>10</v>
      </c>
      <c r="AB19" s="11">
        <f>IFERROR(VLOOKUP(AA19,Curr!$B$2:$C$13,2,FALSE),0)</f>
        <v>11.3</v>
      </c>
      <c r="AC19" s="12">
        <f t="shared" si="19"/>
        <v>2644.2000000000003</v>
      </c>
      <c r="AD19" s="12">
        <f t="shared" si="20"/>
        <v>528.84000000000015</v>
      </c>
      <c r="AE19" s="13">
        <f t="shared" si="21"/>
        <v>0.20000000000000004</v>
      </c>
    </row>
    <row r="20" spans="2:31" x14ac:dyDescent="0.25">
      <c r="B20" s="4"/>
      <c r="C20" s="1" t="s">
        <v>58</v>
      </c>
      <c r="D20" s="1" t="s">
        <v>50</v>
      </c>
      <c r="E20" s="3" t="s">
        <v>59</v>
      </c>
      <c r="F20" s="3"/>
      <c r="G20" s="24"/>
      <c r="H20" s="24"/>
      <c r="J20" s="1" t="s">
        <v>80</v>
      </c>
      <c r="K20" s="4"/>
      <c r="L20" s="4"/>
      <c r="M20" s="4"/>
      <c r="N20" s="4"/>
      <c r="O20" s="4"/>
      <c r="P20" s="27"/>
      <c r="Q20" s="25">
        <v>0</v>
      </c>
      <c r="R20" s="25">
        <v>0</v>
      </c>
      <c r="S20" s="12">
        <f t="shared" si="14"/>
        <v>0</v>
      </c>
      <c r="T20" s="5">
        <v>0</v>
      </c>
      <c r="U20" s="12">
        <f t="shared" si="15"/>
        <v>0</v>
      </c>
      <c r="V20" s="25" t="s">
        <v>10</v>
      </c>
      <c r="W20" s="11">
        <f>IFERROR(VLOOKUP(V20,Curr!$B$2:$C$13,2,FALSE),0)</f>
        <v>11.3</v>
      </c>
      <c r="X20" s="12">
        <f t="shared" si="16"/>
        <v>0</v>
      </c>
      <c r="Y20" s="26">
        <f t="shared" si="17"/>
        <v>0</v>
      </c>
      <c r="Z20" s="12">
        <f t="shared" si="18"/>
        <v>0</v>
      </c>
      <c r="AA20" s="4" t="s">
        <v>10</v>
      </c>
      <c r="AB20" s="11">
        <f>IFERROR(VLOOKUP(AA20,Curr!$B$2:$C$13,2,FALSE),0)</f>
        <v>11.3</v>
      </c>
      <c r="AC20" s="12">
        <f t="shared" si="19"/>
        <v>0</v>
      </c>
      <c r="AD20" s="12">
        <f t="shared" si="20"/>
        <v>0</v>
      </c>
      <c r="AE20" s="13">
        <f t="shared" si="21"/>
        <v>0</v>
      </c>
    </row>
    <row r="21" spans="2:31" x14ac:dyDescent="0.25">
      <c r="B21" s="4"/>
      <c r="C21" s="1" t="s">
        <v>58</v>
      </c>
      <c r="D21" s="1" t="s">
        <v>47</v>
      </c>
      <c r="E21" s="3" t="s">
        <v>59</v>
      </c>
      <c r="F21" s="3" t="s">
        <v>60</v>
      </c>
      <c r="G21" s="24"/>
      <c r="H21" s="24"/>
      <c r="J21" s="1" t="s">
        <v>82</v>
      </c>
      <c r="K21" s="4"/>
      <c r="L21" s="4"/>
      <c r="M21" s="4"/>
      <c r="N21" s="4"/>
      <c r="O21" s="4"/>
      <c r="P21" s="33" t="s">
        <v>83</v>
      </c>
      <c r="Q21" s="25">
        <f>245+186</f>
        <v>431</v>
      </c>
      <c r="R21" s="25">
        <v>1</v>
      </c>
      <c r="S21" s="12">
        <f t="shared" si="14"/>
        <v>431</v>
      </c>
      <c r="T21" s="5">
        <v>0</v>
      </c>
      <c r="U21" s="12">
        <f t="shared" si="15"/>
        <v>431</v>
      </c>
      <c r="V21" s="25" t="s">
        <v>10</v>
      </c>
      <c r="W21" s="11">
        <f>IFERROR(VLOOKUP(V21,Curr!$B$2:$C$13,2,FALSE),0)</f>
        <v>11.3</v>
      </c>
      <c r="X21" s="12">
        <f t="shared" si="16"/>
        <v>4870.3</v>
      </c>
      <c r="Y21" s="26">
        <f>Q21/0.75</f>
        <v>574.66666666666663</v>
      </c>
      <c r="Z21" s="12">
        <f t="shared" si="18"/>
        <v>574.66666666666663</v>
      </c>
      <c r="AA21" s="4" t="s">
        <v>10</v>
      </c>
      <c r="AB21" s="11">
        <f>IFERROR(VLOOKUP(AA21,Curr!$B$2:$C$13,2,FALSE),0)</f>
        <v>11.3</v>
      </c>
      <c r="AC21" s="12">
        <f t="shared" si="19"/>
        <v>6493.7333333333336</v>
      </c>
      <c r="AD21" s="12">
        <f t="shared" si="20"/>
        <v>1623.4333333333334</v>
      </c>
      <c r="AE21" s="13">
        <f t="shared" si="21"/>
        <v>0.25</v>
      </c>
    </row>
    <row r="22" spans="2:31" x14ac:dyDescent="0.25">
      <c r="B22" s="4"/>
      <c r="C22" s="1" t="s">
        <v>58</v>
      </c>
      <c r="D22" s="1" t="s">
        <v>48</v>
      </c>
      <c r="E22" s="3" t="s">
        <v>59</v>
      </c>
      <c r="F22" s="3"/>
      <c r="G22" s="24"/>
      <c r="H22" s="24"/>
      <c r="J22" s="1" t="s">
        <v>81</v>
      </c>
      <c r="K22" s="4"/>
      <c r="L22" s="4"/>
      <c r="M22" s="4"/>
      <c r="N22" s="4"/>
      <c r="O22" s="4"/>
      <c r="P22" s="33"/>
      <c r="Q22" s="25">
        <v>0</v>
      </c>
      <c r="R22" s="25">
        <v>0</v>
      </c>
      <c r="S22" s="12">
        <f t="shared" si="14"/>
        <v>0</v>
      </c>
      <c r="T22" s="5">
        <v>0</v>
      </c>
      <c r="U22" s="12">
        <f t="shared" si="15"/>
        <v>0</v>
      </c>
      <c r="V22" s="25" t="s">
        <v>10</v>
      </c>
      <c r="W22" s="11">
        <f>IFERROR(VLOOKUP(V22,Curr!$B$2:$C$13,2,FALSE),0)</f>
        <v>11.3</v>
      </c>
      <c r="X22" s="12">
        <f t="shared" si="16"/>
        <v>0</v>
      </c>
      <c r="Y22" s="26">
        <f t="shared" si="17"/>
        <v>0</v>
      </c>
      <c r="Z22" s="12">
        <f t="shared" si="18"/>
        <v>0</v>
      </c>
      <c r="AA22" s="4" t="s">
        <v>10</v>
      </c>
      <c r="AB22" s="11">
        <f>IFERROR(VLOOKUP(AA22,Curr!$B$2:$C$13,2,FALSE),0)</f>
        <v>11.3</v>
      </c>
      <c r="AC22" s="12">
        <f t="shared" si="19"/>
        <v>0</v>
      </c>
      <c r="AD22" s="12">
        <f t="shared" si="20"/>
        <v>0</v>
      </c>
      <c r="AE22" s="13">
        <f t="shared" si="21"/>
        <v>0</v>
      </c>
    </row>
    <row r="23" spans="2:31" x14ac:dyDescent="0.25">
      <c r="B23" s="4"/>
      <c r="E23" s="3"/>
      <c r="F23" s="3"/>
      <c r="G23" s="24"/>
      <c r="H23" s="24"/>
      <c r="K23" s="4"/>
      <c r="L23" s="4"/>
      <c r="M23" s="4"/>
      <c r="N23" s="4"/>
      <c r="O23" s="4"/>
      <c r="P23" s="27"/>
      <c r="Q23" s="25"/>
      <c r="R23" s="25"/>
      <c r="S23" s="12">
        <f t="shared" si="14"/>
        <v>0</v>
      </c>
      <c r="T23" s="5">
        <v>0</v>
      </c>
      <c r="U23" s="12">
        <f t="shared" si="15"/>
        <v>0</v>
      </c>
      <c r="V23" s="25" t="s">
        <v>10</v>
      </c>
      <c r="W23" s="11">
        <f>IFERROR(VLOOKUP(V23,Curr!$B$2:$C$13,2,FALSE),0)</f>
        <v>11.3</v>
      </c>
      <c r="X23" s="12">
        <f t="shared" si="16"/>
        <v>0</v>
      </c>
      <c r="Y23" s="26">
        <f t="shared" si="17"/>
        <v>0</v>
      </c>
      <c r="Z23" s="12">
        <f t="shared" si="18"/>
        <v>0</v>
      </c>
      <c r="AA23" s="4" t="s">
        <v>10</v>
      </c>
      <c r="AB23" s="11">
        <f>IFERROR(VLOOKUP(AA23,Curr!$B$2:$C$13,2,FALSE),0)</f>
        <v>11.3</v>
      </c>
      <c r="AC23" s="12">
        <f t="shared" si="19"/>
        <v>0</v>
      </c>
      <c r="AD23" s="12">
        <f t="shared" si="20"/>
        <v>0</v>
      </c>
      <c r="AE23" s="13">
        <f t="shared" si="21"/>
        <v>0</v>
      </c>
    </row>
    <row r="24" spans="2:31" x14ac:dyDescent="0.25">
      <c r="B24" s="4"/>
      <c r="C24" s="1" t="s">
        <v>61</v>
      </c>
      <c r="D24" s="1" t="s">
        <v>68</v>
      </c>
      <c r="E24" s="3" t="s">
        <v>60</v>
      </c>
      <c r="F24" s="3"/>
      <c r="G24" s="24"/>
      <c r="H24" s="24"/>
      <c r="J24" s="1" t="s">
        <v>86</v>
      </c>
      <c r="K24" s="4"/>
      <c r="L24" s="4"/>
      <c r="M24" s="4"/>
      <c r="N24" s="4"/>
      <c r="O24" s="4"/>
      <c r="P24" s="27"/>
      <c r="Q24" s="25">
        <v>82</v>
      </c>
      <c r="R24" s="25">
        <v>3</v>
      </c>
      <c r="S24" s="12">
        <f t="shared" si="14"/>
        <v>246</v>
      </c>
      <c r="T24" s="5">
        <v>0.2</v>
      </c>
      <c r="U24" s="12">
        <f t="shared" si="15"/>
        <v>196.8</v>
      </c>
      <c r="V24" s="25" t="s">
        <v>10</v>
      </c>
      <c r="W24" s="11">
        <f>IFERROR(VLOOKUP(V24,Curr!$B$2:$C$13,2,FALSE),0)</f>
        <v>11.3</v>
      </c>
      <c r="X24" s="12">
        <f t="shared" si="16"/>
        <v>2223.84</v>
      </c>
      <c r="Y24" s="26">
        <f t="shared" si="17"/>
        <v>82</v>
      </c>
      <c r="Z24" s="12">
        <f t="shared" si="18"/>
        <v>246</v>
      </c>
      <c r="AA24" s="4" t="s">
        <v>10</v>
      </c>
      <c r="AB24" s="11">
        <f>IFERROR(VLOOKUP(AA24,Curr!$B$2:$C$13,2,FALSE),0)</f>
        <v>11.3</v>
      </c>
      <c r="AC24" s="12">
        <f t="shared" si="19"/>
        <v>2779.8</v>
      </c>
      <c r="AD24" s="12">
        <f t="shared" si="20"/>
        <v>555.96</v>
      </c>
      <c r="AE24" s="13">
        <f t="shared" si="21"/>
        <v>0.2</v>
      </c>
    </row>
    <row r="25" spans="2:31" x14ac:dyDescent="0.25">
      <c r="B25" s="4"/>
      <c r="C25" s="1" t="s">
        <v>61</v>
      </c>
      <c r="D25" s="1" t="s">
        <v>50</v>
      </c>
      <c r="E25" s="3" t="s">
        <v>60</v>
      </c>
      <c r="F25" s="3"/>
      <c r="G25" s="24"/>
      <c r="H25" s="24"/>
      <c r="J25" s="1" t="s">
        <v>88</v>
      </c>
      <c r="K25" s="4"/>
      <c r="L25" s="4"/>
      <c r="M25" s="4"/>
      <c r="N25" s="4"/>
      <c r="O25" s="4"/>
      <c r="P25" s="33"/>
      <c r="Q25" s="25">
        <v>0</v>
      </c>
      <c r="R25" s="25">
        <v>0</v>
      </c>
      <c r="S25" s="12">
        <f t="shared" si="14"/>
        <v>0</v>
      </c>
      <c r="T25" s="5">
        <v>0</v>
      </c>
      <c r="U25" s="12">
        <f t="shared" si="15"/>
        <v>0</v>
      </c>
      <c r="V25" s="25" t="s">
        <v>10</v>
      </c>
      <c r="W25" s="11">
        <f>IFERROR(VLOOKUP(V25,Curr!$B$2:$C$13,2,FALSE),0)</f>
        <v>11.3</v>
      </c>
      <c r="X25" s="12">
        <f t="shared" si="16"/>
        <v>0</v>
      </c>
      <c r="Y25" s="26">
        <f t="shared" si="17"/>
        <v>0</v>
      </c>
      <c r="Z25" s="12">
        <f t="shared" si="18"/>
        <v>0</v>
      </c>
      <c r="AA25" s="4" t="s">
        <v>10</v>
      </c>
      <c r="AB25" s="11">
        <f>IFERROR(VLOOKUP(AA25,Curr!$B$2:$C$13,2,FALSE),0)</f>
        <v>11.3</v>
      </c>
      <c r="AC25" s="12">
        <f t="shared" si="19"/>
        <v>0</v>
      </c>
      <c r="AD25" s="12">
        <f t="shared" si="20"/>
        <v>0</v>
      </c>
      <c r="AE25" s="13">
        <f t="shared" si="21"/>
        <v>0</v>
      </c>
    </row>
    <row r="26" spans="2:31" x14ac:dyDescent="0.25">
      <c r="B26" s="4"/>
      <c r="C26" s="1" t="s">
        <v>61</v>
      </c>
      <c r="D26" s="1" t="s">
        <v>47</v>
      </c>
      <c r="E26" s="3" t="s">
        <v>60</v>
      </c>
      <c r="F26" s="3" t="s">
        <v>62</v>
      </c>
      <c r="G26" s="24"/>
      <c r="H26" s="24"/>
      <c r="J26" s="1" t="s">
        <v>89</v>
      </c>
      <c r="K26" s="4"/>
      <c r="L26" s="4"/>
      <c r="M26" s="4"/>
      <c r="N26" s="4"/>
      <c r="O26" s="4"/>
      <c r="P26" s="33" t="s">
        <v>90</v>
      </c>
      <c r="Q26" s="25">
        <f>275*2</f>
        <v>550</v>
      </c>
      <c r="R26" s="25">
        <v>1</v>
      </c>
      <c r="S26" s="12">
        <f t="shared" si="14"/>
        <v>550</v>
      </c>
      <c r="T26" s="5">
        <v>0</v>
      </c>
      <c r="U26" s="12">
        <f t="shared" si="15"/>
        <v>550</v>
      </c>
      <c r="V26" s="25" t="s">
        <v>10</v>
      </c>
      <c r="W26" s="11">
        <f>IFERROR(VLOOKUP(V26,Curr!$B$2:$C$13,2,FALSE),0)</f>
        <v>11.3</v>
      </c>
      <c r="X26" s="12">
        <f t="shared" si="16"/>
        <v>6215</v>
      </c>
      <c r="Y26" s="26">
        <f>Q26/0.75</f>
        <v>733.33333333333337</v>
      </c>
      <c r="Z26" s="12">
        <f t="shared" si="18"/>
        <v>733.33333333333337</v>
      </c>
      <c r="AA26" s="4" t="s">
        <v>10</v>
      </c>
      <c r="AB26" s="11">
        <f>IFERROR(VLOOKUP(AA26,Curr!$B$2:$C$13,2,FALSE),0)</f>
        <v>11.3</v>
      </c>
      <c r="AC26" s="12">
        <f t="shared" si="19"/>
        <v>8286.6666666666679</v>
      </c>
      <c r="AD26" s="12">
        <f t="shared" si="20"/>
        <v>2071.6666666666679</v>
      </c>
      <c r="AE26" s="13">
        <f t="shared" si="21"/>
        <v>0.25000000000000011</v>
      </c>
    </row>
    <row r="27" spans="2:31" x14ac:dyDescent="0.25">
      <c r="B27" s="4"/>
      <c r="C27" s="1" t="s">
        <v>61</v>
      </c>
      <c r="D27" s="1" t="s">
        <v>48</v>
      </c>
      <c r="E27" s="3" t="s">
        <v>60</v>
      </c>
      <c r="F27" s="3"/>
      <c r="G27" s="24"/>
      <c r="H27" s="24"/>
      <c r="J27" s="1" t="s">
        <v>87</v>
      </c>
      <c r="K27" s="4"/>
      <c r="L27" s="4"/>
      <c r="M27" s="4"/>
      <c r="N27" s="4"/>
      <c r="O27" s="4"/>
      <c r="P27" s="33"/>
      <c r="Q27" s="25">
        <v>0</v>
      </c>
      <c r="R27" s="25">
        <v>0</v>
      </c>
      <c r="S27" s="12">
        <f t="shared" si="14"/>
        <v>0</v>
      </c>
      <c r="T27" s="5">
        <v>0</v>
      </c>
      <c r="U27" s="12">
        <f t="shared" si="15"/>
        <v>0</v>
      </c>
      <c r="V27" s="25" t="s">
        <v>10</v>
      </c>
      <c r="W27" s="11">
        <f>IFERROR(VLOOKUP(V27,Curr!$B$2:$C$13,2,FALSE),0)</f>
        <v>11.3</v>
      </c>
      <c r="X27" s="12">
        <f t="shared" si="16"/>
        <v>0</v>
      </c>
      <c r="Y27" s="26">
        <f t="shared" si="17"/>
        <v>0</v>
      </c>
      <c r="Z27" s="12">
        <f t="shared" si="18"/>
        <v>0</v>
      </c>
      <c r="AA27" s="4" t="s">
        <v>10</v>
      </c>
      <c r="AB27" s="11">
        <f>IFERROR(VLOOKUP(AA27,Curr!$B$2:$C$13,2,FALSE),0)</f>
        <v>11.3</v>
      </c>
      <c r="AC27" s="12">
        <f t="shared" si="19"/>
        <v>0</v>
      </c>
      <c r="AD27" s="12">
        <f t="shared" si="20"/>
        <v>0</v>
      </c>
      <c r="AE27" s="13">
        <f t="shared" si="21"/>
        <v>0</v>
      </c>
    </row>
    <row r="28" spans="2:31" x14ac:dyDescent="0.25">
      <c r="B28" s="4"/>
      <c r="E28" s="3"/>
      <c r="F28" s="3"/>
      <c r="G28" s="24"/>
      <c r="H28" s="24"/>
      <c r="K28" s="4"/>
      <c r="L28" s="4"/>
      <c r="M28" s="4"/>
      <c r="N28" s="4"/>
      <c r="O28" s="4"/>
      <c r="P28" s="27"/>
      <c r="Q28" s="25"/>
      <c r="R28" s="25"/>
      <c r="S28" s="12">
        <f t="shared" si="14"/>
        <v>0</v>
      </c>
      <c r="T28" s="5">
        <v>0</v>
      </c>
      <c r="U28" s="12">
        <f t="shared" si="15"/>
        <v>0</v>
      </c>
      <c r="V28" s="25" t="s">
        <v>10</v>
      </c>
      <c r="W28" s="11">
        <f>IFERROR(VLOOKUP(V28,Curr!$B$2:$C$13,2,FALSE),0)</f>
        <v>11.3</v>
      </c>
      <c r="X28" s="12">
        <f t="shared" si="16"/>
        <v>0</v>
      </c>
      <c r="Y28" s="26">
        <f t="shared" si="17"/>
        <v>0</v>
      </c>
      <c r="Z28" s="12">
        <f t="shared" si="18"/>
        <v>0</v>
      </c>
      <c r="AA28" s="4" t="s">
        <v>10</v>
      </c>
      <c r="AB28" s="11">
        <f>IFERROR(VLOOKUP(AA28,Curr!$B$2:$C$13,2,FALSE),0)</f>
        <v>11.3</v>
      </c>
      <c r="AC28" s="12">
        <f t="shared" si="19"/>
        <v>0</v>
      </c>
      <c r="AD28" s="12">
        <f t="shared" si="20"/>
        <v>0</v>
      </c>
      <c r="AE28" s="13">
        <f t="shared" si="21"/>
        <v>0</v>
      </c>
    </row>
    <row r="29" spans="2:31" x14ac:dyDescent="0.25">
      <c r="B29" s="4"/>
      <c r="C29" s="1" t="s">
        <v>63</v>
      </c>
      <c r="D29" s="1" t="s">
        <v>50</v>
      </c>
      <c r="E29" s="3" t="s">
        <v>62</v>
      </c>
      <c r="F29" s="3"/>
      <c r="G29" s="24"/>
      <c r="H29" s="24"/>
      <c r="J29" s="1" t="s">
        <v>84</v>
      </c>
      <c r="K29" s="4"/>
      <c r="L29" s="4"/>
      <c r="M29" s="4"/>
      <c r="N29" s="4"/>
      <c r="O29" s="4"/>
      <c r="P29" s="27"/>
      <c r="Q29" s="25">
        <v>0</v>
      </c>
      <c r="R29" s="25">
        <v>0</v>
      </c>
      <c r="S29" s="12">
        <f t="shared" si="14"/>
        <v>0</v>
      </c>
      <c r="T29" s="5">
        <v>0</v>
      </c>
      <c r="U29" s="12">
        <f t="shared" si="15"/>
        <v>0</v>
      </c>
      <c r="V29" s="25" t="s">
        <v>10</v>
      </c>
      <c r="W29" s="11">
        <f>IFERROR(VLOOKUP(V29,Curr!$B$2:$C$13,2,FALSE),0)</f>
        <v>11.3</v>
      </c>
      <c r="X29" s="12">
        <f t="shared" si="16"/>
        <v>0</v>
      </c>
      <c r="Y29" s="26">
        <f t="shared" si="17"/>
        <v>0</v>
      </c>
      <c r="Z29" s="12">
        <f t="shared" si="18"/>
        <v>0</v>
      </c>
      <c r="AA29" s="4" t="s">
        <v>10</v>
      </c>
      <c r="AB29" s="11">
        <f>IFERROR(VLOOKUP(AA29,Curr!$B$2:$C$13,2,FALSE),0)</f>
        <v>11.3</v>
      </c>
      <c r="AC29" s="12">
        <f t="shared" si="19"/>
        <v>0</v>
      </c>
      <c r="AD29" s="12">
        <f t="shared" si="20"/>
        <v>0</v>
      </c>
      <c r="AE29" s="13">
        <f t="shared" si="21"/>
        <v>0</v>
      </c>
    </row>
    <row r="30" spans="2:31" x14ac:dyDescent="0.25">
      <c r="B30" s="4"/>
      <c r="C30" s="1" t="s">
        <v>63</v>
      </c>
      <c r="D30" s="1" t="s">
        <v>47</v>
      </c>
      <c r="E30" s="3" t="s">
        <v>62</v>
      </c>
      <c r="F30" s="3"/>
      <c r="G30" s="24"/>
      <c r="H30" s="24"/>
      <c r="J30" s="1" t="s">
        <v>64</v>
      </c>
      <c r="K30" s="4"/>
      <c r="L30" s="4"/>
      <c r="M30" s="4"/>
      <c r="N30" s="4"/>
      <c r="O30" s="4"/>
      <c r="P30" s="27"/>
      <c r="Q30" s="25">
        <v>0</v>
      </c>
      <c r="R30" s="25">
        <v>0</v>
      </c>
      <c r="S30" s="12">
        <f t="shared" si="14"/>
        <v>0</v>
      </c>
      <c r="T30" s="5">
        <v>0</v>
      </c>
      <c r="U30" s="12">
        <f t="shared" si="15"/>
        <v>0</v>
      </c>
      <c r="V30" s="25" t="s">
        <v>10</v>
      </c>
      <c r="W30" s="11">
        <f>IFERROR(VLOOKUP(V30,Curr!$B$2:$C$13,2,FALSE),0)</f>
        <v>11.3</v>
      </c>
      <c r="X30" s="12">
        <f t="shared" si="16"/>
        <v>0</v>
      </c>
      <c r="Y30" s="26">
        <f t="shared" si="17"/>
        <v>0</v>
      </c>
      <c r="Z30" s="12">
        <f t="shared" si="18"/>
        <v>0</v>
      </c>
      <c r="AA30" s="4" t="s">
        <v>10</v>
      </c>
      <c r="AB30" s="11">
        <f>IFERROR(VLOOKUP(AA30,Curr!$B$2:$C$13,2,FALSE),0)</f>
        <v>11.3</v>
      </c>
      <c r="AC30" s="12">
        <f t="shared" si="19"/>
        <v>0</v>
      </c>
      <c r="AD30" s="12">
        <f t="shared" si="20"/>
        <v>0</v>
      </c>
      <c r="AE30" s="13">
        <f t="shared" si="21"/>
        <v>0</v>
      </c>
    </row>
    <row r="31" spans="2:31" x14ac:dyDescent="0.25">
      <c r="B31" s="4"/>
      <c r="C31" s="1" t="s">
        <v>63</v>
      </c>
      <c r="D31" s="1" t="s">
        <v>85</v>
      </c>
      <c r="E31" s="3" t="s">
        <v>62</v>
      </c>
      <c r="F31" s="3"/>
      <c r="G31" s="24"/>
      <c r="H31" s="24"/>
      <c r="J31" s="1" t="s">
        <v>79</v>
      </c>
      <c r="K31" s="4"/>
      <c r="L31" s="4"/>
      <c r="M31" s="4"/>
      <c r="N31" s="4"/>
      <c r="O31" s="4"/>
      <c r="P31" s="33"/>
      <c r="Q31" s="25">
        <v>0</v>
      </c>
      <c r="R31" s="25">
        <v>0</v>
      </c>
      <c r="S31" s="12">
        <f t="shared" si="14"/>
        <v>0</v>
      </c>
      <c r="T31" s="5">
        <v>0</v>
      </c>
      <c r="U31" s="12">
        <f t="shared" si="15"/>
        <v>0</v>
      </c>
      <c r="V31" s="25" t="s">
        <v>10</v>
      </c>
      <c r="W31" s="11">
        <f>IFERROR(VLOOKUP(V31,Curr!$B$2:$C$13,2,FALSE),0)</f>
        <v>11.3</v>
      </c>
      <c r="X31" s="12">
        <f t="shared" si="16"/>
        <v>0</v>
      </c>
      <c r="Y31" s="26">
        <f t="shared" si="17"/>
        <v>0</v>
      </c>
      <c r="Z31" s="12">
        <f t="shared" si="18"/>
        <v>0</v>
      </c>
      <c r="AA31" s="4" t="s">
        <v>10</v>
      </c>
      <c r="AB31" s="11">
        <f>IFERROR(VLOOKUP(AA31,Curr!$B$2:$C$13,2,FALSE),0)</f>
        <v>11.3</v>
      </c>
      <c r="AC31" s="12">
        <f t="shared" si="19"/>
        <v>0</v>
      </c>
      <c r="AD31" s="12">
        <f t="shared" si="20"/>
        <v>0</v>
      </c>
      <c r="AE31" s="13">
        <f t="shared" si="21"/>
        <v>0</v>
      </c>
    </row>
    <row r="32" spans="2:31" x14ac:dyDescent="0.25">
      <c r="B32" s="4"/>
      <c r="K32" s="4"/>
      <c r="L32" s="4"/>
      <c r="M32" s="4"/>
      <c r="N32" s="4"/>
      <c r="O32" s="4"/>
      <c r="P32" s="27"/>
      <c r="Q32" s="25"/>
      <c r="R32" s="25"/>
      <c r="S32" s="12">
        <f t="shared" si="14"/>
        <v>0</v>
      </c>
      <c r="T32" s="5">
        <v>0</v>
      </c>
      <c r="U32" s="12">
        <f t="shared" si="15"/>
        <v>0</v>
      </c>
      <c r="V32" s="25" t="s">
        <v>10</v>
      </c>
      <c r="W32" s="11">
        <f>IFERROR(VLOOKUP(V32,Curr!$B$2:$C$13,2,FALSE),0)</f>
        <v>11.3</v>
      </c>
      <c r="X32" s="12">
        <f t="shared" si="16"/>
        <v>0</v>
      </c>
      <c r="Y32" s="26">
        <f t="shared" si="17"/>
        <v>0</v>
      </c>
      <c r="Z32" s="12">
        <f t="shared" si="18"/>
        <v>0</v>
      </c>
      <c r="AA32" s="4" t="s">
        <v>10</v>
      </c>
      <c r="AB32" s="11">
        <f>IFERROR(VLOOKUP(AA32,Curr!$B$2:$C$13,2,FALSE),0)</f>
        <v>11.3</v>
      </c>
      <c r="AC32" s="12">
        <f t="shared" si="19"/>
        <v>0</v>
      </c>
      <c r="AD32" s="12">
        <f t="shared" si="20"/>
        <v>0</v>
      </c>
      <c r="AE32" s="13">
        <f t="shared" si="21"/>
        <v>0</v>
      </c>
    </row>
    <row r="33" spans="2:36" x14ac:dyDescent="0.25">
      <c r="B33" s="4"/>
      <c r="K33" s="4"/>
      <c r="L33" s="4"/>
      <c r="M33" s="4"/>
      <c r="N33" s="4"/>
      <c r="O33" s="4"/>
      <c r="P33" s="33"/>
      <c r="Q33" s="25"/>
      <c r="R33" s="25"/>
      <c r="S33" s="12">
        <f t="shared" si="14"/>
        <v>0</v>
      </c>
      <c r="T33" s="5">
        <v>0</v>
      </c>
      <c r="U33" s="12">
        <f t="shared" si="15"/>
        <v>0</v>
      </c>
      <c r="V33" s="25" t="s">
        <v>10</v>
      </c>
      <c r="W33" s="11">
        <f>IFERROR(VLOOKUP(V33,Curr!$B$2:$C$13,2,FALSE),0)</f>
        <v>11.3</v>
      </c>
      <c r="X33" s="12">
        <f t="shared" si="16"/>
        <v>0</v>
      </c>
      <c r="Y33" s="26">
        <f t="shared" si="17"/>
        <v>0</v>
      </c>
      <c r="Z33" s="12">
        <f t="shared" si="18"/>
        <v>0</v>
      </c>
      <c r="AA33" s="4" t="s">
        <v>10</v>
      </c>
      <c r="AB33" s="11">
        <f>IFERROR(VLOOKUP(AA33,Curr!$B$2:$C$13,2,FALSE),0)</f>
        <v>11.3</v>
      </c>
      <c r="AC33" s="12">
        <f t="shared" si="19"/>
        <v>0</v>
      </c>
      <c r="AD33" s="12">
        <f t="shared" si="20"/>
        <v>0</v>
      </c>
      <c r="AE33" s="13">
        <f t="shared" si="21"/>
        <v>0</v>
      </c>
    </row>
    <row r="34" spans="2:36" x14ac:dyDescent="0.25">
      <c r="B34" s="4"/>
      <c r="E34" s="3"/>
      <c r="F34" s="3"/>
      <c r="G34" s="24"/>
      <c r="H34" s="24"/>
      <c r="K34" s="4"/>
      <c r="L34" s="4"/>
      <c r="M34" s="4"/>
      <c r="N34" s="4"/>
      <c r="O34" s="4"/>
      <c r="P34" s="33"/>
      <c r="Q34" s="25"/>
      <c r="R34" s="25"/>
      <c r="S34" s="12">
        <f t="shared" si="14"/>
        <v>0</v>
      </c>
      <c r="T34" s="5">
        <v>0</v>
      </c>
      <c r="U34" s="12">
        <f t="shared" si="15"/>
        <v>0</v>
      </c>
      <c r="V34" s="25" t="s">
        <v>10</v>
      </c>
      <c r="W34" s="11">
        <f>IFERROR(VLOOKUP(V34,Curr!$B$2:$C$13,2,FALSE),0)</f>
        <v>11.3</v>
      </c>
      <c r="X34" s="12">
        <f t="shared" si="16"/>
        <v>0</v>
      </c>
      <c r="Y34" s="26">
        <f t="shared" si="17"/>
        <v>0</v>
      </c>
      <c r="Z34" s="12">
        <f t="shared" si="18"/>
        <v>0</v>
      </c>
      <c r="AA34" s="4" t="s">
        <v>10</v>
      </c>
      <c r="AB34" s="11">
        <f>IFERROR(VLOOKUP(AA34,Curr!$B$2:$C$13,2,FALSE),0)</f>
        <v>11.3</v>
      </c>
      <c r="AC34" s="12">
        <f t="shared" si="19"/>
        <v>0</v>
      </c>
      <c r="AD34" s="12">
        <f t="shared" si="20"/>
        <v>0</v>
      </c>
      <c r="AE34" s="13">
        <f t="shared" si="21"/>
        <v>0</v>
      </c>
    </row>
    <row r="35" spans="2:36" x14ac:dyDescent="0.25">
      <c r="B35" s="4"/>
      <c r="E35" s="3"/>
      <c r="F35" s="3"/>
      <c r="G35" s="24"/>
      <c r="H35" s="24"/>
      <c r="K35" s="4"/>
      <c r="L35" s="4"/>
      <c r="M35" s="4"/>
      <c r="N35" s="4"/>
      <c r="O35" s="4"/>
      <c r="P35" s="27"/>
      <c r="Q35" s="25"/>
      <c r="R35" s="25"/>
      <c r="S35" s="12">
        <f t="shared" si="14"/>
        <v>0</v>
      </c>
      <c r="T35" s="5">
        <v>0</v>
      </c>
      <c r="U35" s="12">
        <f t="shared" si="15"/>
        <v>0</v>
      </c>
      <c r="V35" s="25" t="s">
        <v>10</v>
      </c>
      <c r="W35" s="11">
        <f>IFERROR(VLOOKUP(V35,Curr!$B$2:$C$13,2,FALSE),0)</f>
        <v>11.3</v>
      </c>
      <c r="X35" s="12">
        <f t="shared" si="16"/>
        <v>0</v>
      </c>
      <c r="Y35" s="26">
        <f t="shared" si="17"/>
        <v>0</v>
      </c>
      <c r="Z35" s="12">
        <f t="shared" si="18"/>
        <v>0</v>
      </c>
      <c r="AA35" s="4" t="s">
        <v>10</v>
      </c>
      <c r="AB35" s="11">
        <f>IFERROR(VLOOKUP(AA35,Curr!$B$2:$C$13,2,FALSE),0)</f>
        <v>11.3</v>
      </c>
      <c r="AC35" s="12">
        <f t="shared" si="19"/>
        <v>0</v>
      </c>
      <c r="AD35" s="12">
        <f t="shared" si="20"/>
        <v>0</v>
      </c>
      <c r="AE35" s="13">
        <f t="shared" si="21"/>
        <v>0</v>
      </c>
    </row>
    <row r="36" spans="2:36" x14ac:dyDescent="0.25">
      <c r="B36" s="4"/>
      <c r="E36" s="3"/>
      <c r="F36" s="3"/>
      <c r="G36" s="24"/>
      <c r="H36" s="24"/>
      <c r="K36" s="4"/>
      <c r="L36" s="4"/>
      <c r="M36" s="4"/>
      <c r="N36" s="4"/>
      <c r="O36" s="4"/>
      <c r="P36" s="33"/>
      <c r="Q36" s="25"/>
      <c r="R36" s="25"/>
      <c r="S36" s="12">
        <f t="shared" si="14"/>
        <v>0</v>
      </c>
      <c r="T36" s="5">
        <v>0</v>
      </c>
      <c r="U36" s="12">
        <f t="shared" si="15"/>
        <v>0</v>
      </c>
      <c r="V36" s="25" t="s">
        <v>10</v>
      </c>
      <c r="W36" s="11">
        <f>IFERROR(VLOOKUP(V36,Curr!$B$2:$C$13,2,FALSE),0)</f>
        <v>11.3</v>
      </c>
      <c r="X36" s="12">
        <f t="shared" si="16"/>
        <v>0</v>
      </c>
      <c r="Y36" s="26">
        <f t="shared" si="17"/>
        <v>0</v>
      </c>
      <c r="Z36" s="12">
        <f t="shared" si="18"/>
        <v>0</v>
      </c>
      <c r="AA36" s="4" t="s">
        <v>10</v>
      </c>
      <c r="AB36" s="11">
        <f>IFERROR(VLOOKUP(AA36,Curr!$B$2:$C$13,2,FALSE),0)</f>
        <v>11.3</v>
      </c>
      <c r="AC36" s="12">
        <f t="shared" si="19"/>
        <v>0</v>
      </c>
      <c r="AD36" s="12">
        <f t="shared" si="20"/>
        <v>0</v>
      </c>
      <c r="AE36" s="13">
        <f t="shared" si="21"/>
        <v>0</v>
      </c>
    </row>
    <row r="37" spans="2:36" x14ac:dyDescent="0.25">
      <c r="B37" s="4"/>
      <c r="E37" s="3"/>
      <c r="F37" s="3"/>
      <c r="G37" s="24"/>
      <c r="H37" s="24"/>
      <c r="K37" s="4"/>
      <c r="L37" s="4"/>
      <c r="M37" s="4"/>
      <c r="N37" s="4"/>
      <c r="O37" s="4"/>
      <c r="P37" s="27"/>
      <c r="Q37" s="25"/>
      <c r="R37" s="25"/>
      <c r="S37" s="12">
        <f t="shared" si="14"/>
        <v>0</v>
      </c>
      <c r="T37" s="5">
        <v>0</v>
      </c>
      <c r="U37" s="12">
        <f t="shared" si="15"/>
        <v>0</v>
      </c>
      <c r="V37" s="25" t="s">
        <v>10</v>
      </c>
      <c r="W37" s="11">
        <f>IFERROR(VLOOKUP(V37,Curr!$B$2:$C$13,2,FALSE),0)</f>
        <v>11.3</v>
      </c>
      <c r="X37" s="12">
        <f t="shared" si="16"/>
        <v>0</v>
      </c>
      <c r="Y37" s="26">
        <f t="shared" si="17"/>
        <v>0</v>
      </c>
      <c r="Z37" s="12">
        <f t="shared" si="18"/>
        <v>0</v>
      </c>
      <c r="AA37" s="4" t="s">
        <v>10</v>
      </c>
      <c r="AB37" s="11">
        <f>IFERROR(VLOOKUP(AA37,Curr!$B$2:$C$13,2,FALSE),0)</f>
        <v>11.3</v>
      </c>
      <c r="AC37" s="12">
        <f t="shared" si="19"/>
        <v>0</v>
      </c>
      <c r="AD37" s="12">
        <f t="shared" si="20"/>
        <v>0</v>
      </c>
      <c r="AE37" s="13">
        <f t="shared" si="21"/>
        <v>0</v>
      </c>
    </row>
    <row r="38" spans="2:36" x14ac:dyDescent="0.25">
      <c r="B38" s="4"/>
      <c r="E38" s="3"/>
      <c r="F38" s="3"/>
      <c r="G38" s="24"/>
      <c r="H38" s="24"/>
      <c r="K38" s="4"/>
      <c r="L38" s="4"/>
      <c r="M38" s="4"/>
      <c r="N38" s="4"/>
      <c r="O38" s="4"/>
      <c r="P38" s="33"/>
      <c r="Q38" s="25"/>
      <c r="R38" s="25"/>
      <c r="S38" s="12">
        <f t="shared" si="14"/>
        <v>0</v>
      </c>
      <c r="T38" s="5">
        <v>0</v>
      </c>
      <c r="U38" s="12">
        <f t="shared" si="15"/>
        <v>0</v>
      </c>
      <c r="V38" s="25" t="s">
        <v>10</v>
      </c>
      <c r="W38" s="11">
        <f>IFERROR(VLOOKUP(V38,Curr!$B$2:$C$13,2,FALSE),0)</f>
        <v>11.3</v>
      </c>
      <c r="X38" s="12">
        <f t="shared" si="16"/>
        <v>0</v>
      </c>
      <c r="Y38" s="26">
        <f t="shared" si="17"/>
        <v>0</v>
      </c>
      <c r="Z38" s="12">
        <f t="shared" si="18"/>
        <v>0</v>
      </c>
      <c r="AA38" s="4" t="s">
        <v>10</v>
      </c>
      <c r="AB38" s="11">
        <f>IFERROR(VLOOKUP(AA38,Curr!$B$2:$C$13,2,FALSE),0)</f>
        <v>11.3</v>
      </c>
      <c r="AC38" s="12">
        <f t="shared" si="19"/>
        <v>0</v>
      </c>
      <c r="AD38" s="12">
        <f t="shared" si="20"/>
        <v>0</v>
      </c>
      <c r="AE38" s="13">
        <f t="shared" si="21"/>
        <v>0</v>
      </c>
    </row>
    <row r="39" spans="2:36" x14ac:dyDescent="0.25">
      <c r="B39" s="4"/>
      <c r="E39" s="3"/>
      <c r="F39" s="3"/>
      <c r="G39" s="3"/>
      <c r="H39" s="3"/>
      <c r="L39" s="4"/>
      <c r="M39" s="4"/>
      <c r="N39" s="4"/>
      <c r="O39" s="4"/>
      <c r="P39" s="22"/>
      <c r="Q39" s="4"/>
      <c r="R39" s="4"/>
      <c r="S39" s="4"/>
      <c r="T39" s="4"/>
      <c r="U39" s="4"/>
      <c r="V39" s="4"/>
      <c r="W39" s="4"/>
      <c r="X39" s="4"/>
      <c r="Y39" s="4"/>
      <c r="Z39" s="4"/>
      <c r="AA39" s="4"/>
      <c r="AB39" s="4"/>
      <c r="AC39" s="4"/>
      <c r="AD39" s="4"/>
      <c r="AE39" s="4"/>
      <c r="AF39" s="4"/>
    </row>
    <row r="40" spans="2:36" x14ac:dyDescent="0.25">
      <c r="B40" s="14" t="s">
        <v>18</v>
      </c>
      <c r="C40" s="14"/>
      <c r="D40" s="28" t="s">
        <v>42</v>
      </c>
      <c r="E40" s="30" t="s">
        <v>42</v>
      </c>
      <c r="F40" s="30" t="s">
        <v>42</v>
      </c>
      <c r="G40" s="30" t="s">
        <v>42</v>
      </c>
      <c r="H40" s="30" t="s">
        <v>42</v>
      </c>
      <c r="I40" s="28" t="s">
        <v>42</v>
      </c>
      <c r="J40" s="28" t="s">
        <v>42</v>
      </c>
      <c r="K40" s="28" t="s">
        <v>42</v>
      </c>
      <c r="L40" s="28" t="s">
        <v>42</v>
      </c>
      <c r="M40" s="28" t="s">
        <v>42</v>
      </c>
      <c r="N40" s="28" t="s">
        <v>42</v>
      </c>
      <c r="O40" s="28" t="s">
        <v>42</v>
      </c>
      <c r="P40" s="28" t="s">
        <v>42</v>
      </c>
      <c r="Q40" s="31" t="s">
        <v>42</v>
      </c>
      <c r="R40" s="28" t="s">
        <v>42</v>
      </c>
      <c r="S40" s="32" t="s">
        <v>42</v>
      </c>
      <c r="T40" s="28" t="s">
        <v>42</v>
      </c>
      <c r="U40" s="32" t="s">
        <v>42</v>
      </c>
      <c r="V40" s="28" t="s">
        <v>42</v>
      </c>
      <c r="W40" s="28" t="s">
        <v>42</v>
      </c>
      <c r="X40" s="32" t="s">
        <v>42</v>
      </c>
      <c r="Y40" s="32" t="s">
        <v>42</v>
      </c>
      <c r="Z40" s="15">
        <f>SUM(Z7:Z38)</f>
        <v>4730</v>
      </c>
      <c r="AA40" s="14"/>
      <c r="AB40" s="14"/>
      <c r="AC40" s="15">
        <f>SUM(AC7:AC38)</f>
        <v>53449.000000000015</v>
      </c>
      <c r="AD40" s="15">
        <f>SUM(AD7:AD38)</f>
        <v>12707.98</v>
      </c>
      <c r="AE40" s="21">
        <f t="shared" ref="AE40" si="22">IFERROR(AD40/AC40,0)</f>
        <v>0.2377589852008456</v>
      </c>
      <c r="AF40" s="15">
        <f>SUM(AF8:AF39)</f>
        <v>0</v>
      </c>
      <c r="AG40" s="15">
        <f>SUM(AG8:AG39)</f>
        <v>0</v>
      </c>
      <c r="AH40" s="15">
        <f>SUM(AH8:AH39)</f>
        <v>0</v>
      </c>
      <c r="AI40" s="15">
        <f>SUM(AI8:AI39)</f>
        <v>0</v>
      </c>
      <c r="AJ40" s="15">
        <f>SUM(AJ8:AJ39)</f>
        <v>0</v>
      </c>
    </row>
    <row r="41" spans="2:36" x14ac:dyDescent="0.25">
      <c r="B41" s="4"/>
      <c r="E41" s="3"/>
      <c r="F41" s="3"/>
      <c r="G41" s="3"/>
      <c r="H41" s="3"/>
      <c r="L41" s="4"/>
      <c r="M41" s="4"/>
      <c r="N41" s="4"/>
      <c r="O41" s="4"/>
      <c r="Q41" s="4"/>
      <c r="R41" s="4"/>
      <c r="S41" s="4"/>
      <c r="T41" s="4"/>
      <c r="U41" s="4"/>
      <c r="V41" s="4"/>
      <c r="W41" s="4"/>
      <c r="X41" s="4"/>
      <c r="Y41" s="9"/>
      <c r="Z41" s="9"/>
      <c r="AA41" s="9"/>
      <c r="AB41" s="9"/>
      <c r="AC41" s="9"/>
      <c r="AD41" s="9"/>
      <c r="AE41" s="9"/>
    </row>
    <row r="42" spans="2:36" x14ac:dyDescent="0.25">
      <c r="B42" s="4"/>
      <c r="E42" s="3"/>
      <c r="F42" s="3"/>
      <c r="G42" s="3"/>
      <c r="H42" s="3"/>
      <c r="L42" s="4"/>
      <c r="M42" s="4"/>
      <c r="N42" s="4"/>
      <c r="O42" s="4"/>
      <c r="Q42" s="9"/>
      <c r="R42" s="9"/>
      <c r="S42" s="9"/>
      <c r="T42" s="9"/>
      <c r="U42" s="9"/>
      <c r="V42" s="9"/>
      <c r="W42" s="9"/>
      <c r="X42" s="23"/>
      <c r="Y42" s="34" t="s">
        <v>43</v>
      </c>
      <c r="Z42" s="34">
        <v>4730</v>
      </c>
      <c r="AA42" s="9">
        <f>1860*3</f>
        <v>5580</v>
      </c>
      <c r="AB42" s="9"/>
      <c r="AC42" s="9"/>
      <c r="AD42" s="9"/>
      <c r="AE42" s="9"/>
    </row>
    <row r="43" spans="2:36" x14ac:dyDescent="0.25">
      <c r="B43" s="4"/>
      <c r="E43" s="3"/>
      <c r="F43" s="3"/>
      <c r="G43" s="3"/>
      <c r="H43" s="3"/>
      <c r="L43" s="4"/>
      <c r="M43" s="4"/>
      <c r="N43" s="4"/>
      <c r="O43" s="4"/>
      <c r="Q43" s="9"/>
      <c r="R43" s="9"/>
      <c r="S43" s="9"/>
      <c r="T43" s="9"/>
      <c r="U43" s="9"/>
      <c r="V43" s="9"/>
      <c r="W43" s="9"/>
      <c r="X43" s="9"/>
      <c r="Y43" s="34" t="s">
        <v>44</v>
      </c>
      <c r="Z43" s="34">
        <f>Z42/3</f>
        <v>1576.6666666666667</v>
      </c>
      <c r="AA43" s="9">
        <f>AA42/3</f>
        <v>1860</v>
      </c>
      <c r="AB43" s="9"/>
      <c r="AC43" s="9"/>
      <c r="AD43" s="9"/>
      <c r="AE43" s="9"/>
      <c r="AF43" s="18"/>
    </row>
    <row r="44" spans="2:36" x14ac:dyDescent="0.25">
      <c r="B44" s="4"/>
      <c r="E44" s="3"/>
      <c r="F44" s="3"/>
      <c r="G44" s="3"/>
      <c r="H44" s="3"/>
      <c r="I44" s="19"/>
      <c r="L44" s="4"/>
      <c r="M44" s="4"/>
      <c r="N44" s="4"/>
      <c r="O44" s="20"/>
      <c r="Q44" s="20"/>
      <c r="R44" s="20"/>
      <c r="S44" s="20"/>
      <c r="T44" s="20"/>
      <c r="U44" s="20"/>
      <c r="V44" s="20"/>
      <c r="W44" s="20"/>
      <c r="X44" s="20"/>
      <c r="Y44" s="9"/>
      <c r="Z44" s="9"/>
      <c r="AA44" s="9"/>
      <c r="AB44" s="9"/>
      <c r="AC44" s="9"/>
      <c r="AD44" s="9"/>
      <c r="AE44" s="9"/>
      <c r="AF44" s="18"/>
    </row>
    <row r="45" spans="2:36" x14ac:dyDescent="0.25">
      <c r="B45" s="4"/>
      <c r="E45" s="3"/>
      <c r="F45" s="3"/>
      <c r="G45" s="3"/>
      <c r="H45" s="3"/>
      <c r="L45" s="4"/>
      <c r="M45" s="4"/>
      <c r="N45" s="4"/>
      <c r="O45" s="20"/>
      <c r="Q45" s="20"/>
      <c r="R45" s="20"/>
      <c r="S45" s="20"/>
      <c r="T45" s="20"/>
      <c r="U45" s="20"/>
      <c r="V45" s="20"/>
      <c r="W45" s="20"/>
      <c r="X45" s="20"/>
      <c r="Y45" s="9"/>
      <c r="Z45" s="9"/>
      <c r="AA45" s="9"/>
      <c r="AB45" s="9"/>
      <c r="AC45" s="9"/>
      <c r="AD45" s="9"/>
      <c r="AE45" s="9"/>
      <c r="AF45" s="18"/>
    </row>
    <row r="46" spans="2:36" x14ac:dyDescent="0.25">
      <c r="B46" s="4"/>
      <c r="E46" s="3"/>
      <c r="F46" s="3"/>
      <c r="G46" s="3"/>
      <c r="H46" s="3"/>
      <c r="L46" s="4"/>
      <c r="M46" s="4"/>
      <c r="N46" s="4"/>
      <c r="O46" s="4"/>
      <c r="Q46" s="9"/>
      <c r="R46" s="9"/>
      <c r="S46" s="9"/>
      <c r="T46" s="9"/>
      <c r="U46" s="9"/>
      <c r="V46" s="9"/>
      <c r="W46" s="9"/>
      <c r="X46" s="9"/>
      <c r="Y46" s="9"/>
      <c r="Z46" s="9"/>
      <c r="AA46" s="9"/>
      <c r="AB46" s="9"/>
      <c r="AC46" s="9"/>
      <c r="AD46" s="9"/>
      <c r="AE46" s="9"/>
      <c r="AF46" s="18"/>
    </row>
    <row r="47" spans="2:36" x14ac:dyDescent="0.25">
      <c r="F47" s="1"/>
      <c r="G47" s="1"/>
      <c r="H47" s="1"/>
      <c r="J47" s="1" t="s">
        <v>32</v>
      </c>
      <c r="Q47" s="9"/>
      <c r="R47" s="4"/>
      <c r="S47" s="9"/>
      <c r="T47" s="5"/>
      <c r="U47" s="9"/>
      <c r="V47" s="4"/>
      <c r="W47" s="4"/>
      <c r="X47" s="9"/>
      <c r="Y47" s="9"/>
      <c r="Z47" s="9"/>
      <c r="AA47" s="9"/>
      <c r="AB47" s="9"/>
      <c r="AC47" s="9"/>
      <c r="AD47" s="9"/>
      <c r="AE47" s="9"/>
    </row>
    <row r="48" spans="2:36" x14ac:dyDescent="0.25">
      <c r="R48" s="4"/>
      <c r="S48" s="17"/>
      <c r="T48" s="17"/>
      <c r="U48" s="9"/>
      <c r="V48" s="4"/>
      <c r="W48" s="4"/>
      <c r="X48" s="9"/>
      <c r="Y48" s="9"/>
      <c r="Z48" s="9"/>
      <c r="AA48" s="9"/>
      <c r="AB48" s="9"/>
      <c r="AC48" s="9"/>
      <c r="AD48" s="9"/>
      <c r="AE48" s="9"/>
    </row>
    <row r="49" spans="17:31" x14ac:dyDescent="0.25">
      <c r="Q49" s="9"/>
      <c r="R49" s="4"/>
      <c r="S49" s="16"/>
      <c r="T49" s="16"/>
      <c r="U49" s="9"/>
      <c r="V49" s="4"/>
      <c r="W49" s="4"/>
      <c r="X49" s="9"/>
      <c r="Y49" s="9"/>
      <c r="Z49" s="9"/>
      <c r="AA49" s="9"/>
      <c r="AB49" s="9"/>
      <c r="AC49" s="9"/>
      <c r="AD49" s="9"/>
      <c r="AE49" s="9"/>
    </row>
    <row r="50" spans="17:31" x14ac:dyDescent="0.25">
      <c r="R50" s="4"/>
      <c r="S50" s="16"/>
      <c r="T50" s="16"/>
      <c r="Y50" s="9"/>
      <c r="Z50" s="9"/>
      <c r="AA50" s="9"/>
      <c r="AB50" s="9"/>
      <c r="AC50" s="9"/>
      <c r="AD50" s="9"/>
      <c r="AE50" s="9"/>
    </row>
    <row r="51" spans="17:31" x14ac:dyDescent="0.25">
      <c r="T51" s="5"/>
      <c r="Y51" s="9"/>
      <c r="Z51" s="9"/>
      <c r="AA51" s="9"/>
      <c r="AB51" s="9"/>
      <c r="AC51" s="9"/>
      <c r="AD51" s="9"/>
      <c r="AE51" s="9"/>
    </row>
    <row r="52" spans="17:31" x14ac:dyDescent="0.25">
      <c r="T52" s="5"/>
      <c r="Y52" s="9"/>
      <c r="Z52" s="9"/>
      <c r="AA52" s="9"/>
      <c r="AB52" s="9"/>
      <c r="AC52" s="9"/>
      <c r="AD52" s="9"/>
      <c r="AE52" s="9"/>
    </row>
    <row r="53" spans="17:31" x14ac:dyDescent="0.25">
      <c r="T53" s="5"/>
      <c r="Y53" s="9"/>
      <c r="Z53" s="9"/>
      <c r="AA53" s="9"/>
      <c r="AB53" s="9"/>
      <c r="AC53" s="9"/>
      <c r="AD53" s="9"/>
      <c r="AE53" s="9"/>
    </row>
    <row r="54" spans="17:31" x14ac:dyDescent="0.25">
      <c r="T54" s="5"/>
      <c r="Y54" s="9"/>
      <c r="Z54" s="9"/>
      <c r="AA54" s="9"/>
      <c r="AB54" s="9"/>
      <c r="AC54" s="9"/>
      <c r="AD54" s="9"/>
      <c r="AE54" s="9"/>
    </row>
    <row r="55" spans="17:31" x14ac:dyDescent="0.25">
      <c r="T55" s="5"/>
      <c r="Y55" s="9"/>
      <c r="Z55" s="9"/>
      <c r="AA55" s="9"/>
      <c r="AB55" s="9"/>
      <c r="AC55" s="9"/>
      <c r="AD55" s="9"/>
      <c r="AE55" s="9"/>
    </row>
    <row r="56" spans="17:31" x14ac:dyDescent="0.25">
      <c r="T56" s="5"/>
      <c r="Y56" s="9"/>
      <c r="Z56" s="9"/>
      <c r="AA56" s="9"/>
      <c r="AB56" s="9"/>
      <c r="AC56" s="9"/>
      <c r="AD56" s="9"/>
      <c r="AE56" s="9"/>
    </row>
    <row r="57" spans="17:31" x14ac:dyDescent="0.25">
      <c r="T57" s="5"/>
      <c r="Y57" s="9"/>
      <c r="Z57" s="9"/>
      <c r="AA57" s="9"/>
      <c r="AB57" s="9"/>
      <c r="AC57" s="9"/>
      <c r="AD57" s="9"/>
      <c r="AE57" s="9"/>
    </row>
    <row r="58" spans="17:31" x14ac:dyDescent="0.25">
      <c r="T58" s="5"/>
      <c r="Y58" s="9"/>
      <c r="Z58" s="9"/>
      <c r="AA58" s="9"/>
      <c r="AB58" s="9"/>
      <c r="AC58" s="9"/>
      <c r="AD58" s="9"/>
      <c r="AE58" s="9"/>
    </row>
    <row r="59" spans="17:31" x14ac:dyDescent="0.25">
      <c r="T59" s="5"/>
    </row>
    <row r="60" spans="17:31" x14ac:dyDescent="0.25">
      <c r="T60" s="5"/>
    </row>
    <row r="61" spans="17:31" x14ac:dyDescent="0.25">
      <c r="T61" s="5"/>
    </row>
    <row r="62" spans="17:31" x14ac:dyDescent="0.25">
      <c r="T62" s="5"/>
    </row>
    <row r="63" spans="17:31" x14ac:dyDescent="0.25">
      <c r="T63" s="5"/>
    </row>
  </sheetData>
  <autoFilter ref="B6:AE40" xr:uid="{65FA6D9B-E0AF-46CD-BA0D-86BB75FE6AB0}"/>
  <hyperlinks>
    <hyperlink ref="P10" r:id="rId1" xr:uid="{4B0CE040-FF66-46F9-88D0-2F98159A21DC}"/>
    <hyperlink ref="P14" r:id="rId2" xr:uid="{027C6771-BF97-4CD1-B34E-129CDDA34686}"/>
    <hyperlink ref="P11" r:id="rId3" xr:uid="{D79DD33C-B07B-449B-8A00-4F91DE7D6556}"/>
    <hyperlink ref="P16" r:id="rId4" xr:uid="{95259EF8-77D9-470C-903F-36AFCC3A079C}"/>
    <hyperlink ref="P19" r:id="rId5" xr:uid="{585443E0-2789-4C4D-BCBC-BB770EB00451}"/>
    <hyperlink ref="P21" r:id="rId6" xr:uid="{D5FDEDBE-81B0-4414-8F33-D806EE502B5A}"/>
    <hyperlink ref="P26" r:id="rId7" xr:uid="{CA5BF21A-8842-457D-8C33-A4CAAE668BA2}"/>
    <hyperlink ref="P8" r:id="rId8" display="https://app.hotelbeds.com/carhire/search?specialEquipment=AUTOMATIC&amp;door=4&amp;baggage=3,4&amp;results=20&amp;sortBy=LOWEST_PRICE_FIRST&amp;field=PRICE&amp;direction=ASCENDING&amp;page=1&amp;destinationTab=Oslo%20Airport%20(OSL)&amp;officePickupControl=1758&amp;pickupDate=09-06-2026&amp;pickupTime=08:00&amp;officeDropoffControl=1758&amp;dropoffDate=13-06-2026&amp;dropoffTime=08:00&amp;sameOfficeCheckbox=true&amp;typeDepartureCode=airport&amp;typeArrivalCode=airport&amp;_timestamp=1780149002935&amp;departureTab=" xr:uid="{519D43FA-E85A-4272-A157-DC4BA65FCD27}"/>
  </hyperlinks>
  <pageMargins left="0.7" right="0.7" top="0.75" bottom="0.75" header="0.3" footer="0.3"/>
  <pageSetup paperSize="9"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E2565-7D3A-4BB7-BEE2-DB3106B98F78}">
  <sheetPr>
    <tabColor rgb="FFFFFF00"/>
  </sheetPr>
  <dimension ref="B2:AJ63"/>
  <sheetViews>
    <sheetView tabSelected="1" topLeftCell="A9" zoomScale="80" zoomScaleNormal="80" workbookViewId="0">
      <selection activeCell="J35" sqref="J35"/>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customWidth="1" outlineLevel="1"/>
    <col min="9" max="9" width="21.7109375" style="1" customWidth="1" outlineLevel="1"/>
    <col min="10" max="10" width="53.85546875" style="1" customWidth="1"/>
    <col min="11" max="12" width="8.140625" style="1" customWidth="1" outlineLevel="1"/>
    <col min="13" max="13" width="24" style="1" customWidth="1" outlineLevel="1"/>
    <col min="14" max="15" width="11.7109375" style="1" customWidth="1" outlineLevel="1"/>
    <col min="16" max="16" width="8.140625" style="1" customWidth="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customWidth="1" outlineLevel="1"/>
    <col min="37" max="82" width="9" style="1" customWidth="1"/>
    <col min="83" max="16384" width="8.7109375" style="1"/>
  </cols>
  <sheetData>
    <row r="2" spans="2:36" x14ac:dyDescent="0.25">
      <c r="B2" s="2" t="s">
        <v>51</v>
      </c>
    </row>
    <row r="3" spans="2:36" x14ac:dyDescent="0.25">
      <c r="B3" s="2" t="s">
        <v>52</v>
      </c>
    </row>
    <row r="4" spans="2:36" x14ac:dyDescent="0.25">
      <c r="B4" s="2" t="s">
        <v>53</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45</v>
      </c>
      <c r="D7" s="1" t="s">
        <v>46</v>
      </c>
      <c r="E7" s="3" t="s">
        <v>54</v>
      </c>
      <c r="F7" s="3"/>
      <c r="G7" s="3"/>
      <c r="H7" s="3"/>
      <c r="J7" s="1" t="s">
        <v>55</v>
      </c>
      <c r="K7" s="4"/>
      <c r="L7" s="4"/>
      <c r="M7" s="4"/>
      <c r="N7" s="4"/>
      <c r="O7" s="4"/>
      <c r="P7" s="27"/>
      <c r="Q7" s="25">
        <v>0</v>
      </c>
      <c r="R7" s="25">
        <v>0</v>
      </c>
      <c r="S7" s="12">
        <f t="shared" ref="S7:S38" si="0">+Q7*R7</f>
        <v>0</v>
      </c>
      <c r="T7" s="5">
        <v>0</v>
      </c>
      <c r="U7" s="12">
        <f>S7*(1-T7)</f>
        <v>0</v>
      </c>
      <c r="V7" s="25" t="s">
        <v>10</v>
      </c>
      <c r="W7" s="11">
        <f>IFERROR(VLOOKUP(V7,Curr!$B$2:$C$13,2,FALSE),0)</f>
        <v>11.3</v>
      </c>
      <c r="X7" s="12">
        <f t="shared" ref="X7:X38" si="1">U7*W7</f>
        <v>0</v>
      </c>
      <c r="Y7" s="26">
        <f>Q7</f>
        <v>0</v>
      </c>
      <c r="Z7" s="12">
        <f t="shared" ref="Z7:Z38" si="2">+Y7*R7</f>
        <v>0</v>
      </c>
      <c r="AA7" s="4" t="s">
        <v>10</v>
      </c>
      <c r="AB7" s="11">
        <f>IFERROR(VLOOKUP(AA7,Curr!$B$2:$C$13,2,FALSE),0)</f>
        <v>11.3</v>
      </c>
      <c r="AC7" s="12">
        <f t="shared" ref="AC7:AC38" si="3">+Y7*AB7*R7</f>
        <v>0</v>
      </c>
      <c r="AD7" s="12">
        <f t="shared" ref="AD7:AD38" si="4">+AC7-X7</f>
        <v>0</v>
      </c>
      <c r="AE7" s="13">
        <f t="shared" ref="AE7:AE38" si="5">IFERROR(AD7/AC7,0)</f>
        <v>0</v>
      </c>
    </row>
    <row r="8" spans="2:36" x14ac:dyDescent="0.25">
      <c r="B8" s="4"/>
      <c r="C8" s="1" t="s">
        <v>45</v>
      </c>
      <c r="D8" s="1" t="s">
        <v>49</v>
      </c>
      <c r="E8" s="3" t="s">
        <v>54</v>
      </c>
      <c r="F8" s="3"/>
      <c r="G8" s="24"/>
      <c r="H8" s="24"/>
      <c r="J8" s="1" t="s">
        <v>96</v>
      </c>
      <c r="K8" s="4"/>
      <c r="L8" s="4"/>
      <c r="M8" s="4"/>
      <c r="N8" s="4"/>
      <c r="O8" s="4"/>
      <c r="P8" s="33" t="s">
        <v>97</v>
      </c>
      <c r="Q8" s="25">
        <v>358</v>
      </c>
      <c r="R8" s="25">
        <v>1</v>
      </c>
      <c r="S8" s="12">
        <f t="shared" si="0"/>
        <v>358</v>
      </c>
      <c r="T8" s="5">
        <v>0</v>
      </c>
      <c r="U8" s="12">
        <f t="shared" ref="U8:U38" si="6">S8*(1-T8)</f>
        <v>358</v>
      </c>
      <c r="V8" s="25" t="s">
        <v>10</v>
      </c>
      <c r="W8" s="11">
        <f>IFERROR(VLOOKUP(V8,Curr!$B$2:$C$13,2,FALSE),0)</f>
        <v>11.3</v>
      </c>
      <c r="X8" s="12">
        <f t="shared" si="1"/>
        <v>4045.4</v>
      </c>
      <c r="Y8" s="26">
        <f>Q8/0.75</f>
        <v>477.33333333333331</v>
      </c>
      <c r="Z8" s="12">
        <f t="shared" si="2"/>
        <v>477.33333333333331</v>
      </c>
      <c r="AA8" s="4" t="s">
        <v>10</v>
      </c>
      <c r="AB8" s="11">
        <f>IFERROR(VLOOKUP(AA8,Curr!$B$2:$C$13,2,FALSE),0)</f>
        <v>11.3</v>
      </c>
      <c r="AC8" s="12">
        <f t="shared" si="3"/>
        <v>5393.8666666666668</v>
      </c>
      <c r="AD8" s="12">
        <f t="shared" si="4"/>
        <v>1348.4666666666667</v>
      </c>
      <c r="AE8" s="13">
        <f t="shared" si="5"/>
        <v>0.25</v>
      </c>
    </row>
    <row r="9" spans="2:36" x14ac:dyDescent="0.25">
      <c r="B9" s="4"/>
      <c r="C9" s="1" t="s">
        <v>45</v>
      </c>
      <c r="D9" s="1" t="s">
        <v>50</v>
      </c>
      <c r="E9" s="3" t="s">
        <v>54</v>
      </c>
      <c r="F9" s="3"/>
      <c r="G9" s="24"/>
      <c r="H9" s="24"/>
      <c r="J9" s="1" t="s">
        <v>91</v>
      </c>
      <c r="K9" s="4"/>
      <c r="L9" s="4"/>
      <c r="M9" s="4"/>
      <c r="N9" s="4"/>
      <c r="O9" s="4"/>
      <c r="P9" s="33"/>
      <c r="Q9" s="25">
        <v>0</v>
      </c>
      <c r="R9" s="25">
        <v>0</v>
      </c>
      <c r="S9" s="12">
        <f t="shared" si="0"/>
        <v>0</v>
      </c>
      <c r="T9" s="5">
        <v>0</v>
      </c>
      <c r="U9" s="12">
        <f t="shared" si="6"/>
        <v>0</v>
      </c>
      <c r="V9" s="25" t="s">
        <v>10</v>
      </c>
      <c r="W9" s="11">
        <f>IFERROR(VLOOKUP(V9,Curr!$B$2:$C$13,2,FALSE),0)</f>
        <v>11.3</v>
      </c>
      <c r="X9" s="12">
        <f t="shared" si="1"/>
        <v>0</v>
      </c>
      <c r="Y9" s="26">
        <f t="shared" ref="Y9:Y38" si="7">Q9</f>
        <v>0</v>
      </c>
      <c r="Z9" s="12">
        <f t="shared" si="2"/>
        <v>0</v>
      </c>
      <c r="AA9" s="4" t="s">
        <v>10</v>
      </c>
      <c r="AB9" s="11">
        <f>IFERROR(VLOOKUP(AA9,Curr!$B$2:$C$13,2,FALSE),0)</f>
        <v>11.3</v>
      </c>
      <c r="AC9" s="12">
        <f t="shared" si="3"/>
        <v>0</v>
      </c>
      <c r="AD9" s="12">
        <f t="shared" si="4"/>
        <v>0</v>
      </c>
      <c r="AE9" s="13">
        <f t="shared" si="5"/>
        <v>0</v>
      </c>
    </row>
    <row r="10" spans="2:36" x14ac:dyDescent="0.25">
      <c r="B10" s="4"/>
      <c r="C10" s="1" t="s">
        <v>45</v>
      </c>
      <c r="D10" s="1" t="s">
        <v>47</v>
      </c>
      <c r="E10" s="3" t="s">
        <v>54</v>
      </c>
      <c r="F10" s="3" t="s">
        <v>57</v>
      </c>
      <c r="G10" s="24"/>
      <c r="H10" s="24"/>
      <c r="J10" s="1" t="s">
        <v>65</v>
      </c>
      <c r="K10" s="4"/>
      <c r="L10" s="4"/>
      <c r="M10" s="4"/>
      <c r="N10" s="4"/>
      <c r="O10" s="4"/>
      <c r="P10" s="33" t="s">
        <v>66</v>
      </c>
      <c r="Q10" s="25">
        <v>500</v>
      </c>
      <c r="R10" s="25">
        <v>1</v>
      </c>
      <c r="S10" s="12">
        <f t="shared" si="0"/>
        <v>500</v>
      </c>
      <c r="T10" s="5">
        <v>0</v>
      </c>
      <c r="U10" s="12">
        <f t="shared" si="6"/>
        <v>500</v>
      </c>
      <c r="V10" s="25" t="s">
        <v>10</v>
      </c>
      <c r="W10" s="11">
        <f>IFERROR(VLOOKUP(V10,Curr!$B$2:$C$13,2,FALSE),0)</f>
        <v>11.3</v>
      </c>
      <c r="X10" s="12">
        <f t="shared" si="1"/>
        <v>5650</v>
      </c>
      <c r="Y10" s="26">
        <f>Q10/0.75</f>
        <v>666.66666666666663</v>
      </c>
      <c r="Z10" s="12">
        <f t="shared" si="2"/>
        <v>666.66666666666663</v>
      </c>
      <c r="AA10" s="4" t="s">
        <v>10</v>
      </c>
      <c r="AB10" s="11">
        <f>IFERROR(VLOOKUP(AA10,Curr!$B$2:$C$13,2,FALSE),0)</f>
        <v>11.3</v>
      </c>
      <c r="AC10" s="12">
        <f t="shared" si="3"/>
        <v>7533.333333333333</v>
      </c>
      <c r="AD10" s="12">
        <f t="shared" si="4"/>
        <v>1883.333333333333</v>
      </c>
      <c r="AE10" s="13">
        <f t="shared" si="5"/>
        <v>0.24999999999999997</v>
      </c>
    </row>
    <row r="11" spans="2:36" x14ac:dyDescent="0.25">
      <c r="B11" s="4"/>
      <c r="C11" s="1" t="s">
        <v>45</v>
      </c>
      <c r="D11" s="1" t="s">
        <v>68</v>
      </c>
      <c r="E11" s="3" t="s">
        <v>54</v>
      </c>
      <c r="J11" s="1" t="s">
        <v>71</v>
      </c>
      <c r="K11" s="4"/>
      <c r="L11" s="4"/>
      <c r="M11" s="4"/>
      <c r="N11" s="4"/>
      <c r="O11" s="4"/>
      <c r="P11" s="33" t="s">
        <v>73</v>
      </c>
      <c r="Q11" s="25">
        <v>78</v>
      </c>
      <c r="R11" s="25">
        <v>3</v>
      </c>
      <c r="S11" s="12">
        <f t="shared" si="0"/>
        <v>234</v>
      </c>
      <c r="T11" s="5">
        <v>0.2</v>
      </c>
      <c r="U11" s="12">
        <f t="shared" si="6"/>
        <v>187.20000000000002</v>
      </c>
      <c r="V11" s="25" t="s">
        <v>10</v>
      </c>
      <c r="W11" s="11">
        <f>IFERROR(VLOOKUP(V11,Curr!$B$2:$C$13,2,FALSE),0)</f>
        <v>11.3</v>
      </c>
      <c r="X11" s="12">
        <f t="shared" si="1"/>
        <v>2115.36</v>
      </c>
      <c r="Y11" s="26">
        <f t="shared" si="7"/>
        <v>78</v>
      </c>
      <c r="Z11" s="12">
        <f t="shared" si="2"/>
        <v>234</v>
      </c>
      <c r="AA11" s="4" t="s">
        <v>10</v>
      </c>
      <c r="AB11" s="11">
        <f>IFERROR(VLOOKUP(AA11,Curr!$B$2:$C$13,2,FALSE),0)</f>
        <v>11.3</v>
      </c>
      <c r="AC11" s="12">
        <f t="shared" si="3"/>
        <v>2644.2000000000003</v>
      </c>
      <c r="AD11" s="12">
        <f t="shared" si="4"/>
        <v>528.84000000000015</v>
      </c>
      <c r="AE11" s="13">
        <f t="shared" si="5"/>
        <v>0.20000000000000004</v>
      </c>
    </row>
    <row r="12" spans="2:36" x14ac:dyDescent="0.25">
      <c r="B12" s="4"/>
      <c r="C12" s="1" t="s">
        <v>45</v>
      </c>
      <c r="D12" s="1" t="s">
        <v>48</v>
      </c>
      <c r="E12" s="3" t="s">
        <v>54</v>
      </c>
      <c r="F12" s="3"/>
      <c r="G12" s="24"/>
      <c r="H12" s="24"/>
      <c r="J12" s="1" t="s">
        <v>67</v>
      </c>
      <c r="K12" s="4"/>
      <c r="L12" s="4"/>
      <c r="M12" s="4"/>
      <c r="N12" s="4"/>
      <c r="O12" s="4"/>
      <c r="P12" s="33"/>
      <c r="Q12" s="25">
        <v>0</v>
      </c>
      <c r="R12" s="25">
        <v>0</v>
      </c>
      <c r="S12" s="12">
        <f t="shared" si="0"/>
        <v>0</v>
      </c>
      <c r="T12" s="5">
        <v>0</v>
      </c>
      <c r="U12" s="12">
        <f t="shared" si="6"/>
        <v>0</v>
      </c>
      <c r="V12" s="25" t="s">
        <v>10</v>
      </c>
      <c r="W12" s="11">
        <f>IFERROR(VLOOKUP(V12,Curr!$B$2:$C$13,2,FALSE),0)</f>
        <v>11.3</v>
      </c>
      <c r="X12" s="12">
        <f t="shared" si="1"/>
        <v>0</v>
      </c>
      <c r="Y12" s="26">
        <f t="shared" si="7"/>
        <v>0</v>
      </c>
      <c r="Z12" s="12">
        <f t="shared" si="2"/>
        <v>0</v>
      </c>
      <c r="AA12" s="4" t="s">
        <v>10</v>
      </c>
      <c r="AB12" s="11">
        <f>IFERROR(VLOOKUP(AA12,Curr!$B$2:$C$13,2,FALSE),0)</f>
        <v>11.3</v>
      </c>
      <c r="AC12" s="12">
        <f t="shared" si="3"/>
        <v>0</v>
      </c>
      <c r="AD12" s="12">
        <f t="shared" si="4"/>
        <v>0</v>
      </c>
      <c r="AE12" s="13">
        <f t="shared" si="5"/>
        <v>0</v>
      </c>
    </row>
    <row r="13" spans="2:36" x14ac:dyDescent="0.25">
      <c r="B13" s="4"/>
      <c r="K13" s="4"/>
      <c r="L13" s="4"/>
      <c r="M13" s="4"/>
      <c r="N13" s="4"/>
      <c r="O13" s="4"/>
      <c r="P13" s="27"/>
      <c r="Q13" s="25"/>
      <c r="R13" s="25"/>
      <c r="S13" s="12">
        <f t="shared" si="0"/>
        <v>0</v>
      </c>
      <c r="T13" s="5">
        <v>0</v>
      </c>
      <c r="U13" s="12">
        <f t="shared" si="6"/>
        <v>0</v>
      </c>
      <c r="V13" s="25" t="s">
        <v>10</v>
      </c>
      <c r="W13" s="11">
        <f>IFERROR(VLOOKUP(V13,Curr!$B$2:$C$13,2,FALSE),0)</f>
        <v>11.3</v>
      </c>
      <c r="X13" s="12">
        <f t="shared" si="1"/>
        <v>0</v>
      </c>
      <c r="Y13" s="26">
        <f t="shared" si="7"/>
        <v>0</v>
      </c>
      <c r="Z13" s="12">
        <f t="shared" si="2"/>
        <v>0</v>
      </c>
      <c r="AA13" s="4" t="s">
        <v>10</v>
      </c>
      <c r="AB13" s="11">
        <f>IFERROR(VLOOKUP(AA13,Curr!$B$2:$C$13,2,FALSE),0)</f>
        <v>11.3</v>
      </c>
      <c r="AC13" s="12">
        <f t="shared" si="3"/>
        <v>0</v>
      </c>
      <c r="AD13" s="12">
        <f t="shared" si="4"/>
        <v>0</v>
      </c>
      <c r="AE13" s="13">
        <f t="shared" si="5"/>
        <v>0</v>
      </c>
    </row>
    <row r="14" spans="2:36" x14ac:dyDescent="0.25">
      <c r="B14" s="4"/>
      <c r="C14" s="1" t="s">
        <v>56</v>
      </c>
      <c r="D14" s="1" t="s">
        <v>68</v>
      </c>
      <c r="E14" s="3" t="s">
        <v>57</v>
      </c>
      <c r="F14" s="3"/>
      <c r="G14" s="24"/>
      <c r="H14" s="24"/>
      <c r="J14" s="1" t="s">
        <v>69</v>
      </c>
      <c r="K14" s="4"/>
      <c r="L14" s="4"/>
      <c r="M14" s="4"/>
      <c r="N14" s="4"/>
      <c r="O14" s="4"/>
      <c r="P14" s="33" t="s">
        <v>70</v>
      </c>
      <c r="Q14" s="25">
        <v>148</v>
      </c>
      <c r="R14" s="25">
        <v>3</v>
      </c>
      <c r="S14" s="12">
        <f t="shared" si="0"/>
        <v>444</v>
      </c>
      <c r="T14" s="5">
        <v>0.2</v>
      </c>
      <c r="U14" s="12">
        <f t="shared" si="6"/>
        <v>355.20000000000005</v>
      </c>
      <c r="V14" s="25" t="s">
        <v>10</v>
      </c>
      <c r="W14" s="11">
        <f>IFERROR(VLOOKUP(V14,Curr!$B$2:$C$13,2,FALSE),0)</f>
        <v>11.3</v>
      </c>
      <c r="X14" s="12">
        <f t="shared" si="1"/>
        <v>4013.7600000000007</v>
      </c>
      <c r="Y14" s="26">
        <f t="shared" si="7"/>
        <v>148</v>
      </c>
      <c r="Z14" s="12">
        <f t="shared" si="2"/>
        <v>444</v>
      </c>
      <c r="AA14" s="4" t="s">
        <v>10</v>
      </c>
      <c r="AB14" s="11">
        <f>IFERROR(VLOOKUP(AA14,Curr!$B$2:$C$13,2,FALSE),0)</f>
        <v>11.3</v>
      </c>
      <c r="AC14" s="12">
        <f t="shared" si="3"/>
        <v>5017.2000000000007</v>
      </c>
      <c r="AD14" s="12">
        <f t="shared" si="4"/>
        <v>1003.44</v>
      </c>
      <c r="AE14" s="13">
        <f t="shared" si="5"/>
        <v>0.19999999999999998</v>
      </c>
    </row>
    <row r="15" spans="2:36" x14ac:dyDescent="0.25">
      <c r="B15" s="4"/>
      <c r="C15" s="1" t="s">
        <v>56</v>
      </c>
      <c r="D15" s="1" t="s">
        <v>50</v>
      </c>
      <c r="E15" s="3" t="s">
        <v>57</v>
      </c>
      <c r="F15" s="3"/>
      <c r="G15" s="24"/>
      <c r="H15" s="24"/>
      <c r="J15" s="1" t="s">
        <v>72</v>
      </c>
      <c r="K15" s="4"/>
      <c r="L15" s="4"/>
      <c r="M15" s="4"/>
      <c r="N15" s="4"/>
      <c r="O15" s="4"/>
      <c r="P15" s="27"/>
      <c r="Q15" s="25">
        <v>0</v>
      </c>
      <c r="R15" s="25">
        <v>0</v>
      </c>
      <c r="S15" s="12">
        <f t="shared" si="0"/>
        <v>0</v>
      </c>
      <c r="T15" s="5">
        <v>0</v>
      </c>
      <c r="U15" s="12">
        <f t="shared" si="6"/>
        <v>0</v>
      </c>
      <c r="V15" s="25" t="s">
        <v>10</v>
      </c>
      <c r="W15" s="11">
        <f>IFERROR(VLOOKUP(V15,Curr!$B$2:$C$13,2,FALSE),0)</f>
        <v>11.3</v>
      </c>
      <c r="X15" s="12">
        <f t="shared" si="1"/>
        <v>0</v>
      </c>
      <c r="Y15" s="26">
        <f t="shared" si="7"/>
        <v>0</v>
      </c>
      <c r="Z15" s="12">
        <f t="shared" si="2"/>
        <v>0</v>
      </c>
      <c r="AA15" s="4" t="s">
        <v>10</v>
      </c>
      <c r="AB15" s="11">
        <f>IFERROR(VLOOKUP(AA15,Curr!$B$2:$C$13,2,FALSE),0)</f>
        <v>11.3</v>
      </c>
      <c r="AC15" s="12">
        <f t="shared" si="3"/>
        <v>0</v>
      </c>
      <c r="AD15" s="12">
        <f t="shared" si="4"/>
        <v>0</v>
      </c>
      <c r="AE15" s="13">
        <f t="shared" si="5"/>
        <v>0</v>
      </c>
    </row>
    <row r="16" spans="2:36" x14ac:dyDescent="0.25">
      <c r="B16" s="4"/>
      <c r="C16" s="1" t="s">
        <v>56</v>
      </c>
      <c r="D16" s="1" t="s">
        <v>47</v>
      </c>
      <c r="E16" s="3" t="s">
        <v>57</v>
      </c>
      <c r="F16" s="3" t="s">
        <v>59</v>
      </c>
      <c r="G16" s="24"/>
      <c r="H16" s="24"/>
      <c r="J16" s="1" t="s">
        <v>94</v>
      </c>
      <c r="K16" s="4"/>
      <c r="L16" s="4"/>
      <c r="M16" s="4"/>
      <c r="N16" s="4"/>
      <c r="O16" s="4"/>
      <c r="P16" s="33" t="s">
        <v>95</v>
      </c>
      <c r="Q16" s="25">
        <v>696</v>
      </c>
      <c r="R16" s="25">
        <v>1</v>
      </c>
      <c r="S16" s="12">
        <f t="shared" si="0"/>
        <v>696</v>
      </c>
      <c r="T16" s="5">
        <v>0</v>
      </c>
      <c r="U16" s="12">
        <f t="shared" si="6"/>
        <v>696</v>
      </c>
      <c r="V16" s="25" t="s">
        <v>10</v>
      </c>
      <c r="W16" s="11">
        <f>IFERROR(VLOOKUP(V16,Curr!$B$2:$C$13,2,FALSE),0)</f>
        <v>11.3</v>
      </c>
      <c r="X16" s="12">
        <f t="shared" si="1"/>
        <v>7864.8</v>
      </c>
      <c r="Y16" s="26">
        <f>Q16/0.75</f>
        <v>928</v>
      </c>
      <c r="Z16" s="12">
        <f t="shared" si="2"/>
        <v>928</v>
      </c>
      <c r="AA16" s="4" t="s">
        <v>10</v>
      </c>
      <c r="AB16" s="11">
        <f>IFERROR(VLOOKUP(AA16,Curr!$B$2:$C$13,2,FALSE),0)</f>
        <v>11.3</v>
      </c>
      <c r="AC16" s="12">
        <f t="shared" si="3"/>
        <v>10486.400000000001</v>
      </c>
      <c r="AD16" s="12">
        <f t="shared" si="4"/>
        <v>2621.6000000000013</v>
      </c>
      <c r="AE16" s="13">
        <f t="shared" si="5"/>
        <v>0.25000000000000011</v>
      </c>
    </row>
    <row r="17" spans="2:31" x14ac:dyDescent="0.25">
      <c r="B17" s="4"/>
      <c r="C17" s="1" t="s">
        <v>56</v>
      </c>
      <c r="D17" s="1" t="s">
        <v>48</v>
      </c>
      <c r="E17" s="3" t="s">
        <v>57</v>
      </c>
      <c r="F17" s="3"/>
      <c r="G17" s="24"/>
      <c r="H17" s="24"/>
      <c r="J17" s="1" t="s">
        <v>74</v>
      </c>
      <c r="K17" s="4"/>
      <c r="L17" s="4"/>
      <c r="M17" s="4"/>
      <c r="N17" s="4"/>
      <c r="O17" s="4"/>
      <c r="P17" s="29"/>
      <c r="Q17" s="25">
        <v>0</v>
      </c>
      <c r="R17" s="25">
        <v>0</v>
      </c>
      <c r="S17" s="12">
        <f t="shared" si="0"/>
        <v>0</v>
      </c>
      <c r="T17" s="5">
        <v>0</v>
      </c>
      <c r="U17" s="12">
        <f t="shared" si="6"/>
        <v>0</v>
      </c>
      <c r="V17" s="25" t="s">
        <v>10</v>
      </c>
      <c r="W17" s="11">
        <f>IFERROR(VLOOKUP(V17,Curr!$B$2:$C$13,2,FALSE),0)</f>
        <v>11.3</v>
      </c>
      <c r="X17" s="12">
        <f t="shared" si="1"/>
        <v>0</v>
      </c>
      <c r="Y17" s="26">
        <f t="shared" si="7"/>
        <v>0</v>
      </c>
      <c r="Z17" s="12">
        <f t="shared" si="2"/>
        <v>0</v>
      </c>
      <c r="AA17" s="4" t="s">
        <v>10</v>
      </c>
      <c r="AB17" s="11">
        <f>IFERROR(VLOOKUP(AA17,Curr!$B$2:$C$13,2,FALSE),0)</f>
        <v>11.3</v>
      </c>
      <c r="AC17" s="12">
        <f t="shared" si="3"/>
        <v>0</v>
      </c>
      <c r="AD17" s="12">
        <f t="shared" si="4"/>
        <v>0</v>
      </c>
      <c r="AE17" s="13">
        <f t="shared" si="5"/>
        <v>0</v>
      </c>
    </row>
    <row r="18" spans="2:31" x14ac:dyDescent="0.25">
      <c r="B18" s="4"/>
      <c r="E18" s="3"/>
      <c r="F18" s="3"/>
      <c r="G18" s="24"/>
      <c r="H18" s="24"/>
      <c r="K18" s="4"/>
      <c r="L18" s="4"/>
      <c r="M18" s="4"/>
      <c r="N18" s="4"/>
      <c r="O18" s="4"/>
      <c r="P18" s="27"/>
      <c r="Q18" s="25"/>
      <c r="R18" s="25"/>
      <c r="S18" s="12">
        <f t="shared" si="0"/>
        <v>0</v>
      </c>
      <c r="T18" s="5">
        <v>0</v>
      </c>
      <c r="U18" s="12">
        <f t="shared" si="6"/>
        <v>0</v>
      </c>
      <c r="V18" s="25" t="s">
        <v>10</v>
      </c>
      <c r="W18" s="11">
        <f>IFERROR(VLOOKUP(V18,Curr!$B$2:$C$13,2,FALSE),0)</f>
        <v>11.3</v>
      </c>
      <c r="X18" s="12">
        <f t="shared" si="1"/>
        <v>0</v>
      </c>
      <c r="Y18" s="26">
        <f t="shared" si="7"/>
        <v>0</v>
      </c>
      <c r="Z18" s="12">
        <f t="shared" si="2"/>
        <v>0</v>
      </c>
      <c r="AA18" s="4" t="s">
        <v>10</v>
      </c>
      <c r="AB18" s="11">
        <f>IFERROR(VLOOKUP(AA18,Curr!$B$2:$C$13,2,FALSE),0)</f>
        <v>11.3</v>
      </c>
      <c r="AC18" s="12">
        <f t="shared" si="3"/>
        <v>0</v>
      </c>
      <c r="AD18" s="12">
        <f t="shared" si="4"/>
        <v>0</v>
      </c>
      <c r="AE18" s="13">
        <f t="shared" si="5"/>
        <v>0</v>
      </c>
    </row>
    <row r="19" spans="2:31" x14ac:dyDescent="0.25">
      <c r="B19" s="4"/>
      <c r="C19" s="1" t="s">
        <v>58</v>
      </c>
      <c r="D19" s="1" t="s">
        <v>68</v>
      </c>
      <c r="E19" s="3" t="s">
        <v>59</v>
      </c>
      <c r="F19" s="3"/>
      <c r="G19" s="24"/>
      <c r="H19" s="24"/>
      <c r="J19" s="1" t="s">
        <v>77</v>
      </c>
      <c r="K19" s="4"/>
      <c r="L19" s="4"/>
      <c r="M19" s="4"/>
      <c r="N19" s="4"/>
      <c r="O19" s="4"/>
      <c r="P19" s="33" t="s">
        <v>78</v>
      </c>
      <c r="Q19" s="25">
        <v>78</v>
      </c>
      <c r="R19" s="25">
        <v>3</v>
      </c>
      <c r="S19" s="12">
        <f t="shared" si="0"/>
        <v>234</v>
      </c>
      <c r="T19" s="5">
        <v>0.2</v>
      </c>
      <c r="U19" s="12">
        <f t="shared" si="6"/>
        <v>187.20000000000002</v>
      </c>
      <c r="V19" s="25" t="s">
        <v>10</v>
      </c>
      <c r="W19" s="11">
        <f>IFERROR(VLOOKUP(V19,Curr!$B$2:$C$13,2,FALSE),0)</f>
        <v>11.3</v>
      </c>
      <c r="X19" s="12">
        <f t="shared" si="1"/>
        <v>2115.36</v>
      </c>
      <c r="Y19" s="26">
        <f t="shared" si="7"/>
        <v>78</v>
      </c>
      <c r="Z19" s="12">
        <f t="shared" si="2"/>
        <v>234</v>
      </c>
      <c r="AA19" s="4" t="s">
        <v>10</v>
      </c>
      <c r="AB19" s="11">
        <f>IFERROR(VLOOKUP(AA19,Curr!$B$2:$C$13,2,FALSE),0)</f>
        <v>11.3</v>
      </c>
      <c r="AC19" s="12">
        <f t="shared" si="3"/>
        <v>2644.2000000000003</v>
      </c>
      <c r="AD19" s="12">
        <f t="shared" si="4"/>
        <v>528.84000000000015</v>
      </c>
      <c r="AE19" s="13">
        <f t="shared" si="5"/>
        <v>0.20000000000000004</v>
      </c>
    </row>
    <row r="20" spans="2:31" x14ac:dyDescent="0.25">
      <c r="B20" s="4"/>
      <c r="C20" s="1" t="s">
        <v>58</v>
      </c>
      <c r="D20" s="1" t="s">
        <v>50</v>
      </c>
      <c r="E20" s="3" t="s">
        <v>59</v>
      </c>
      <c r="F20" s="3"/>
      <c r="G20" s="24"/>
      <c r="H20" s="24"/>
      <c r="J20" s="1" t="s">
        <v>80</v>
      </c>
      <c r="K20" s="4"/>
      <c r="L20" s="4"/>
      <c r="M20" s="4"/>
      <c r="N20" s="4"/>
      <c r="O20" s="4"/>
      <c r="P20" s="27"/>
      <c r="Q20" s="25">
        <v>0</v>
      </c>
      <c r="R20" s="25">
        <v>0</v>
      </c>
      <c r="S20" s="12">
        <f t="shared" si="0"/>
        <v>0</v>
      </c>
      <c r="T20" s="5">
        <v>0</v>
      </c>
      <c r="U20" s="12">
        <f t="shared" si="6"/>
        <v>0</v>
      </c>
      <c r="V20" s="25" t="s">
        <v>10</v>
      </c>
      <c r="W20" s="11">
        <f>IFERROR(VLOOKUP(V20,Curr!$B$2:$C$13,2,FALSE),0)</f>
        <v>11.3</v>
      </c>
      <c r="X20" s="12">
        <f t="shared" si="1"/>
        <v>0</v>
      </c>
      <c r="Y20" s="26">
        <f t="shared" si="7"/>
        <v>0</v>
      </c>
      <c r="Z20" s="12">
        <f t="shared" si="2"/>
        <v>0</v>
      </c>
      <c r="AA20" s="4" t="s">
        <v>10</v>
      </c>
      <c r="AB20" s="11">
        <f>IFERROR(VLOOKUP(AA20,Curr!$B$2:$C$13,2,FALSE),0)</f>
        <v>11.3</v>
      </c>
      <c r="AC20" s="12">
        <f t="shared" si="3"/>
        <v>0</v>
      </c>
      <c r="AD20" s="12">
        <f t="shared" si="4"/>
        <v>0</v>
      </c>
      <c r="AE20" s="13">
        <f t="shared" si="5"/>
        <v>0</v>
      </c>
    </row>
    <row r="21" spans="2:31" x14ac:dyDescent="0.25">
      <c r="B21" s="4"/>
      <c r="C21" s="1" t="s">
        <v>58</v>
      </c>
      <c r="D21" s="1" t="s">
        <v>47</v>
      </c>
      <c r="E21" s="3" t="s">
        <v>59</v>
      </c>
      <c r="F21" s="3" t="s">
        <v>60</v>
      </c>
      <c r="G21" s="24"/>
      <c r="H21" s="24"/>
      <c r="J21" s="1" t="s">
        <v>82</v>
      </c>
      <c r="K21" s="4"/>
      <c r="L21" s="4"/>
      <c r="M21" s="4"/>
      <c r="N21" s="4"/>
      <c r="O21" s="4"/>
      <c r="P21" s="33" t="s">
        <v>83</v>
      </c>
      <c r="Q21" s="25">
        <v>400</v>
      </c>
      <c r="R21" s="25">
        <v>1</v>
      </c>
      <c r="S21" s="12">
        <f t="shared" si="0"/>
        <v>400</v>
      </c>
      <c r="T21" s="5">
        <v>0</v>
      </c>
      <c r="U21" s="12">
        <f t="shared" si="6"/>
        <v>400</v>
      </c>
      <c r="V21" s="25" t="s">
        <v>10</v>
      </c>
      <c r="W21" s="11">
        <f>IFERROR(VLOOKUP(V21,Curr!$B$2:$C$13,2,FALSE),0)</f>
        <v>11.3</v>
      </c>
      <c r="X21" s="12">
        <f t="shared" si="1"/>
        <v>4520</v>
      </c>
      <c r="Y21" s="26">
        <f>Q21/0.75</f>
        <v>533.33333333333337</v>
      </c>
      <c r="Z21" s="12">
        <f t="shared" si="2"/>
        <v>533.33333333333337</v>
      </c>
      <c r="AA21" s="4" t="s">
        <v>10</v>
      </c>
      <c r="AB21" s="11">
        <f>IFERROR(VLOOKUP(AA21,Curr!$B$2:$C$13,2,FALSE),0)</f>
        <v>11.3</v>
      </c>
      <c r="AC21" s="12">
        <f t="shared" si="3"/>
        <v>6026.6666666666679</v>
      </c>
      <c r="AD21" s="12">
        <f t="shared" si="4"/>
        <v>1506.6666666666679</v>
      </c>
      <c r="AE21" s="13">
        <f t="shared" si="5"/>
        <v>0.25000000000000017</v>
      </c>
    </row>
    <row r="22" spans="2:31" x14ac:dyDescent="0.25">
      <c r="B22" s="4"/>
      <c r="C22" s="1" t="s">
        <v>58</v>
      </c>
      <c r="D22" s="1" t="s">
        <v>48</v>
      </c>
      <c r="E22" s="3" t="s">
        <v>59</v>
      </c>
      <c r="F22" s="3"/>
      <c r="G22" s="24"/>
      <c r="H22" s="24"/>
      <c r="J22" s="1" t="s">
        <v>81</v>
      </c>
      <c r="K22" s="4"/>
      <c r="L22" s="4"/>
      <c r="M22" s="4"/>
      <c r="N22" s="4"/>
      <c r="O22" s="4"/>
      <c r="P22" s="33"/>
      <c r="Q22" s="25">
        <v>0</v>
      </c>
      <c r="R22" s="25">
        <v>0</v>
      </c>
      <c r="S22" s="12">
        <f t="shared" si="0"/>
        <v>0</v>
      </c>
      <c r="T22" s="5">
        <v>0</v>
      </c>
      <c r="U22" s="12">
        <f t="shared" si="6"/>
        <v>0</v>
      </c>
      <c r="V22" s="25" t="s">
        <v>10</v>
      </c>
      <c r="W22" s="11">
        <f>IFERROR(VLOOKUP(V22,Curr!$B$2:$C$13,2,FALSE),0)</f>
        <v>11.3</v>
      </c>
      <c r="X22" s="12">
        <f t="shared" si="1"/>
        <v>0</v>
      </c>
      <c r="Y22" s="26">
        <f t="shared" si="7"/>
        <v>0</v>
      </c>
      <c r="Z22" s="12">
        <f t="shared" si="2"/>
        <v>0</v>
      </c>
      <c r="AA22" s="4" t="s">
        <v>10</v>
      </c>
      <c r="AB22" s="11">
        <f>IFERROR(VLOOKUP(AA22,Curr!$B$2:$C$13,2,FALSE),0)</f>
        <v>11.3</v>
      </c>
      <c r="AC22" s="12">
        <f t="shared" si="3"/>
        <v>0</v>
      </c>
      <c r="AD22" s="12">
        <f t="shared" si="4"/>
        <v>0</v>
      </c>
      <c r="AE22" s="13">
        <f t="shared" si="5"/>
        <v>0</v>
      </c>
    </row>
    <row r="23" spans="2:31" x14ac:dyDescent="0.25">
      <c r="B23" s="4"/>
      <c r="E23" s="3"/>
      <c r="F23" s="3"/>
      <c r="G23" s="24"/>
      <c r="H23" s="24"/>
      <c r="K23" s="4"/>
      <c r="L23" s="4"/>
      <c r="M23" s="4"/>
      <c r="N23" s="4"/>
      <c r="O23" s="4"/>
      <c r="P23" s="27"/>
      <c r="Q23" s="25"/>
      <c r="R23" s="25"/>
      <c r="S23" s="12">
        <f t="shared" si="0"/>
        <v>0</v>
      </c>
      <c r="T23" s="5">
        <v>0</v>
      </c>
      <c r="U23" s="12">
        <f t="shared" si="6"/>
        <v>0</v>
      </c>
      <c r="V23" s="25" t="s">
        <v>10</v>
      </c>
      <c r="W23" s="11">
        <f>IFERROR(VLOOKUP(V23,Curr!$B$2:$C$13,2,FALSE),0)</f>
        <v>11.3</v>
      </c>
      <c r="X23" s="12">
        <f t="shared" si="1"/>
        <v>0</v>
      </c>
      <c r="Y23" s="26">
        <f t="shared" si="7"/>
        <v>0</v>
      </c>
      <c r="Z23" s="12">
        <f t="shared" si="2"/>
        <v>0</v>
      </c>
      <c r="AA23" s="4" t="s">
        <v>10</v>
      </c>
      <c r="AB23" s="11">
        <f>IFERROR(VLOOKUP(AA23,Curr!$B$2:$C$13,2,FALSE),0)</f>
        <v>11.3</v>
      </c>
      <c r="AC23" s="12">
        <f t="shared" si="3"/>
        <v>0</v>
      </c>
      <c r="AD23" s="12">
        <f t="shared" si="4"/>
        <v>0</v>
      </c>
      <c r="AE23" s="13">
        <f t="shared" si="5"/>
        <v>0</v>
      </c>
    </row>
    <row r="24" spans="2:31" x14ac:dyDescent="0.25">
      <c r="B24" s="4"/>
      <c r="C24" s="1" t="s">
        <v>61</v>
      </c>
      <c r="D24" s="1" t="s">
        <v>68</v>
      </c>
      <c r="E24" s="3" t="s">
        <v>60</v>
      </c>
      <c r="F24" s="3"/>
      <c r="G24" s="24"/>
      <c r="H24" s="24"/>
      <c r="J24" s="1" t="s">
        <v>86</v>
      </c>
      <c r="K24" s="4"/>
      <c r="L24" s="4"/>
      <c r="M24" s="4"/>
      <c r="N24" s="4"/>
      <c r="O24" s="4"/>
      <c r="P24" s="27"/>
      <c r="Q24" s="25">
        <v>82</v>
      </c>
      <c r="R24" s="25">
        <v>3</v>
      </c>
      <c r="S24" s="12">
        <f t="shared" si="0"/>
        <v>246</v>
      </c>
      <c r="T24" s="5">
        <v>0.2</v>
      </c>
      <c r="U24" s="12">
        <f t="shared" si="6"/>
        <v>196.8</v>
      </c>
      <c r="V24" s="25" t="s">
        <v>10</v>
      </c>
      <c r="W24" s="11">
        <f>IFERROR(VLOOKUP(V24,Curr!$B$2:$C$13,2,FALSE),0)</f>
        <v>11.3</v>
      </c>
      <c r="X24" s="12">
        <f t="shared" si="1"/>
        <v>2223.84</v>
      </c>
      <c r="Y24" s="26">
        <f t="shared" si="7"/>
        <v>82</v>
      </c>
      <c r="Z24" s="12">
        <f t="shared" si="2"/>
        <v>246</v>
      </c>
      <c r="AA24" s="4" t="s">
        <v>10</v>
      </c>
      <c r="AB24" s="11">
        <f>IFERROR(VLOOKUP(AA24,Curr!$B$2:$C$13,2,FALSE),0)</f>
        <v>11.3</v>
      </c>
      <c r="AC24" s="12">
        <f t="shared" si="3"/>
        <v>2779.8</v>
      </c>
      <c r="AD24" s="12">
        <f t="shared" si="4"/>
        <v>555.96</v>
      </c>
      <c r="AE24" s="13">
        <f t="shared" si="5"/>
        <v>0.2</v>
      </c>
    </row>
    <row r="25" spans="2:31" x14ac:dyDescent="0.25">
      <c r="B25" s="4"/>
      <c r="C25" s="1" t="s">
        <v>61</v>
      </c>
      <c r="D25" s="1" t="s">
        <v>50</v>
      </c>
      <c r="E25" s="3" t="s">
        <v>60</v>
      </c>
      <c r="F25" s="3"/>
      <c r="G25" s="24"/>
      <c r="H25" s="24"/>
      <c r="J25" s="1" t="s">
        <v>88</v>
      </c>
      <c r="K25" s="4"/>
      <c r="L25" s="4"/>
      <c r="M25" s="4"/>
      <c r="N25" s="4"/>
      <c r="O25" s="4"/>
      <c r="P25" s="33"/>
      <c r="Q25" s="25">
        <v>0</v>
      </c>
      <c r="R25" s="25">
        <v>0</v>
      </c>
      <c r="S25" s="12">
        <f t="shared" si="0"/>
        <v>0</v>
      </c>
      <c r="T25" s="5">
        <v>0</v>
      </c>
      <c r="U25" s="12">
        <f t="shared" si="6"/>
        <v>0</v>
      </c>
      <c r="V25" s="25" t="s">
        <v>10</v>
      </c>
      <c r="W25" s="11">
        <f>IFERROR(VLOOKUP(V25,Curr!$B$2:$C$13,2,FALSE),0)</f>
        <v>11.3</v>
      </c>
      <c r="X25" s="12">
        <f t="shared" si="1"/>
        <v>0</v>
      </c>
      <c r="Y25" s="26">
        <f t="shared" si="7"/>
        <v>0</v>
      </c>
      <c r="Z25" s="12">
        <f t="shared" si="2"/>
        <v>0</v>
      </c>
      <c r="AA25" s="4" t="s">
        <v>10</v>
      </c>
      <c r="AB25" s="11">
        <f>IFERROR(VLOOKUP(AA25,Curr!$B$2:$C$13,2,FALSE),0)</f>
        <v>11.3</v>
      </c>
      <c r="AC25" s="12">
        <f t="shared" si="3"/>
        <v>0</v>
      </c>
      <c r="AD25" s="12">
        <f t="shared" si="4"/>
        <v>0</v>
      </c>
      <c r="AE25" s="13">
        <f t="shared" si="5"/>
        <v>0</v>
      </c>
    </row>
    <row r="26" spans="2:31" x14ac:dyDescent="0.25">
      <c r="B26" s="4"/>
      <c r="C26" s="1" t="s">
        <v>61</v>
      </c>
      <c r="D26" s="1" t="s">
        <v>47</v>
      </c>
      <c r="E26" s="3" t="s">
        <v>60</v>
      </c>
      <c r="F26" s="3" t="s">
        <v>62</v>
      </c>
      <c r="G26" s="24"/>
      <c r="H26" s="24"/>
      <c r="J26" s="1" t="s">
        <v>89</v>
      </c>
      <c r="K26" s="4"/>
      <c r="L26" s="4"/>
      <c r="M26" s="4"/>
      <c r="N26" s="4"/>
      <c r="O26" s="4"/>
      <c r="P26" s="33" t="s">
        <v>90</v>
      </c>
      <c r="Q26" s="25">
        <f>281*2</f>
        <v>562</v>
      </c>
      <c r="R26" s="25">
        <v>1</v>
      </c>
      <c r="S26" s="12">
        <f t="shared" si="0"/>
        <v>562</v>
      </c>
      <c r="T26" s="5">
        <v>0</v>
      </c>
      <c r="U26" s="12">
        <f t="shared" si="6"/>
        <v>562</v>
      </c>
      <c r="V26" s="25" t="s">
        <v>10</v>
      </c>
      <c r="W26" s="11">
        <f>IFERROR(VLOOKUP(V26,Curr!$B$2:$C$13,2,FALSE),0)</f>
        <v>11.3</v>
      </c>
      <c r="X26" s="12">
        <f t="shared" si="1"/>
        <v>6350.6</v>
      </c>
      <c r="Y26" s="26">
        <f>Q26/0.75</f>
        <v>749.33333333333337</v>
      </c>
      <c r="Z26" s="12">
        <f t="shared" si="2"/>
        <v>749.33333333333337</v>
      </c>
      <c r="AA26" s="4" t="s">
        <v>10</v>
      </c>
      <c r="AB26" s="11">
        <f>IFERROR(VLOOKUP(AA26,Curr!$B$2:$C$13,2,FALSE),0)</f>
        <v>11.3</v>
      </c>
      <c r="AC26" s="12">
        <f t="shared" si="3"/>
        <v>8467.4666666666672</v>
      </c>
      <c r="AD26" s="12">
        <f t="shared" si="4"/>
        <v>2116.8666666666668</v>
      </c>
      <c r="AE26" s="13">
        <f t="shared" si="5"/>
        <v>0.25</v>
      </c>
    </row>
    <row r="27" spans="2:31" x14ac:dyDescent="0.25">
      <c r="B27" s="4"/>
      <c r="C27" s="1" t="s">
        <v>61</v>
      </c>
      <c r="D27" s="1" t="s">
        <v>48</v>
      </c>
      <c r="E27" s="3" t="s">
        <v>60</v>
      </c>
      <c r="F27" s="3"/>
      <c r="G27" s="24"/>
      <c r="H27" s="24"/>
      <c r="J27" s="1" t="s">
        <v>87</v>
      </c>
      <c r="K27" s="4"/>
      <c r="L27" s="4"/>
      <c r="M27" s="4"/>
      <c r="N27" s="4"/>
      <c r="O27" s="4"/>
      <c r="P27" s="33"/>
      <c r="Q27" s="25">
        <v>0</v>
      </c>
      <c r="R27" s="25">
        <v>0</v>
      </c>
      <c r="S27" s="12">
        <f t="shared" si="0"/>
        <v>0</v>
      </c>
      <c r="T27" s="5">
        <v>0</v>
      </c>
      <c r="U27" s="12">
        <f t="shared" si="6"/>
        <v>0</v>
      </c>
      <c r="V27" s="25" t="s">
        <v>10</v>
      </c>
      <c r="W27" s="11">
        <f>IFERROR(VLOOKUP(V27,Curr!$B$2:$C$13,2,FALSE),0)</f>
        <v>11.3</v>
      </c>
      <c r="X27" s="12">
        <f t="shared" si="1"/>
        <v>0</v>
      </c>
      <c r="Y27" s="26">
        <f t="shared" si="7"/>
        <v>0</v>
      </c>
      <c r="Z27" s="12">
        <f t="shared" si="2"/>
        <v>0</v>
      </c>
      <c r="AA27" s="4" t="s">
        <v>10</v>
      </c>
      <c r="AB27" s="11">
        <f>IFERROR(VLOOKUP(AA27,Curr!$B$2:$C$13,2,FALSE),0)</f>
        <v>11.3</v>
      </c>
      <c r="AC27" s="12">
        <f t="shared" si="3"/>
        <v>0</v>
      </c>
      <c r="AD27" s="12">
        <f t="shared" si="4"/>
        <v>0</v>
      </c>
      <c r="AE27" s="13">
        <f t="shared" si="5"/>
        <v>0</v>
      </c>
    </row>
    <row r="28" spans="2:31" x14ac:dyDescent="0.25">
      <c r="B28" s="4"/>
      <c r="E28" s="3"/>
      <c r="F28" s="3"/>
      <c r="G28" s="24"/>
      <c r="H28" s="24"/>
      <c r="K28" s="4"/>
      <c r="L28" s="4"/>
      <c r="M28" s="4"/>
      <c r="N28" s="4"/>
      <c r="O28" s="4"/>
      <c r="P28" s="27"/>
      <c r="Q28" s="25"/>
      <c r="R28" s="25"/>
      <c r="S28" s="12">
        <f t="shared" si="0"/>
        <v>0</v>
      </c>
      <c r="T28" s="5">
        <v>0</v>
      </c>
      <c r="U28" s="12">
        <f t="shared" si="6"/>
        <v>0</v>
      </c>
      <c r="V28" s="25" t="s">
        <v>10</v>
      </c>
      <c r="W28" s="11">
        <f>IFERROR(VLOOKUP(V28,Curr!$B$2:$C$13,2,FALSE),0)</f>
        <v>11.3</v>
      </c>
      <c r="X28" s="12">
        <f t="shared" si="1"/>
        <v>0</v>
      </c>
      <c r="Y28" s="26">
        <f t="shared" si="7"/>
        <v>0</v>
      </c>
      <c r="Z28" s="12">
        <f t="shared" si="2"/>
        <v>0</v>
      </c>
      <c r="AA28" s="4" t="s">
        <v>10</v>
      </c>
      <c r="AB28" s="11">
        <f>IFERROR(VLOOKUP(AA28,Curr!$B$2:$C$13,2,FALSE),0)</f>
        <v>11.3</v>
      </c>
      <c r="AC28" s="12">
        <f t="shared" si="3"/>
        <v>0</v>
      </c>
      <c r="AD28" s="12">
        <f t="shared" si="4"/>
        <v>0</v>
      </c>
      <c r="AE28" s="13">
        <f t="shared" si="5"/>
        <v>0</v>
      </c>
    </row>
    <row r="29" spans="2:31" x14ac:dyDescent="0.25">
      <c r="B29" s="4"/>
      <c r="C29" s="1" t="s">
        <v>63</v>
      </c>
      <c r="D29" s="1" t="s">
        <v>50</v>
      </c>
      <c r="E29" s="3" t="s">
        <v>62</v>
      </c>
      <c r="F29" s="3"/>
      <c r="G29" s="24"/>
      <c r="H29" s="24"/>
      <c r="J29" s="1" t="s">
        <v>84</v>
      </c>
      <c r="K29" s="4"/>
      <c r="L29" s="4"/>
      <c r="M29" s="4"/>
      <c r="N29" s="4"/>
      <c r="O29" s="4"/>
      <c r="P29" s="27"/>
      <c r="Q29" s="25">
        <v>0</v>
      </c>
      <c r="R29" s="25">
        <v>0</v>
      </c>
      <c r="S29" s="12">
        <f t="shared" si="0"/>
        <v>0</v>
      </c>
      <c r="T29" s="5">
        <v>0</v>
      </c>
      <c r="U29" s="12">
        <f t="shared" si="6"/>
        <v>0</v>
      </c>
      <c r="V29" s="25" t="s">
        <v>10</v>
      </c>
      <c r="W29" s="11">
        <f>IFERROR(VLOOKUP(V29,Curr!$B$2:$C$13,2,FALSE),0)</f>
        <v>11.3</v>
      </c>
      <c r="X29" s="12">
        <f t="shared" si="1"/>
        <v>0</v>
      </c>
      <c r="Y29" s="26">
        <f t="shared" si="7"/>
        <v>0</v>
      </c>
      <c r="Z29" s="12">
        <f t="shared" si="2"/>
        <v>0</v>
      </c>
      <c r="AA29" s="4" t="s">
        <v>10</v>
      </c>
      <c r="AB29" s="11">
        <f>IFERROR(VLOOKUP(AA29,Curr!$B$2:$C$13,2,FALSE),0)</f>
        <v>11.3</v>
      </c>
      <c r="AC29" s="12">
        <f t="shared" si="3"/>
        <v>0</v>
      </c>
      <c r="AD29" s="12">
        <f t="shared" si="4"/>
        <v>0</v>
      </c>
      <c r="AE29" s="13">
        <f t="shared" si="5"/>
        <v>0</v>
      </c>
    </row>
    <row r="30" spans="2:31" x14ac:dyDescent="0.25">
      <c r="B30" s="4"/>
      <c r="C30" s="1" t="s">
        <v>63</v>
      </c>
      <c r="D30" s="1" t="s">
        <v>47</v>
      </c>
      <c r="E30" s="3" t="s">
        <v>62</v>
      </c>
      <c r="F30" s="3"/>
      <c r="G30" s="24"/>
      <c r="H30" s="24"/>
      <c r="J30" s="1" t="s">
        <v>64</v>
      </c>
      <c r="K30" s="4"/>
      <c r="L30" s="4"/>
      <c r="M30" s="4"/>
      <c r="N30" s="4"/>
      <c r="O30" s="4"/>
      <c r="P30" s="27"/>
      <c r="Q30" s="25">
        <v>0</v>
      </c>
      <c r="R30" s="25">
        <v>0</v>
      </c>
      <c r="S30" s="12">
        <f t="shared" si="0"/>
        <v>0</v>
      </c>
      <c r="T30" s="5">
        <v>0</v>
      </c>
      <c r="U30" s="12">
        <f t="shared" si="6"/>
        <v>0</v>
      </c>
      <c r="V30" s="25" t="s">
        <v>10</v>
      </c>
      <c r="W30" s="11">
        <f>IFERROR(VLOOKUP(V30,Curr!$B$2:$C$13,2,FALSE),0)</f>
        <v>11.3</v>
      </c>
      <c r="X30" s="12">
        <f t="shared" si="1"/>
        <v>0</v>
      </c>
      <c r="Y30" s="26">
        <f t="shared" si="7"/>
        <v>0</v>
      </c>
      <c r="Z30" s="12">
        <f t="shared" si="2"/>
        <v>0</v>
      </c>
      <c r="AA30" s="4" t="s">
        <v>10</v>
      </c>
      <c r="AB30" s="11">
        <f>IFERROR(VLOOKUP(AA30,Curr!$B$2:$C$13,2,FALSE),0)</f>
        <v>11.3</v>
      </c>
      <c r="AC30" s="12">
        <f t="shared" si="3"/>
        <v>0</v>
      </c>
      <c r="AD30" s="12">
        <f t="shared" si="4"/>
        <v>0</v>
      </c>
      <c r="AE30" s="13">
        <f t="shared" si="5"/>
        <v>0</v>
      </c>
    </row>
    <row r="31" spans="2:31" x14ac:dyDescent="0.25">
      <c r="B31" s="4"/>
      <c r="C31" s="1" t="s">
        <v>63</v>
      </c>
      <c r="D31" s="1" t="s">
        <v>85</v>
      </c>
      <c r="E31" s="3" t="s">
        <v>62</v>
      </c>
      <c r="F31" s="3"/>
      <c r="G31" s="24"/>
      <c r="H31" s="24"/>
      <c r="J31" s="1" t="s">
        <v>79</v>
      </c>
      <c r="K31" s="4"/>
      <c r="L31" s="4"/>
      <c r="M31" s="4"/>
      <c r="N31" s="4"/>
      <c r="O31" s="4"/>
      <c r="P31" s="33"/>
      <c r="Q31" s="25">
        <v>0</v>
      </c>
      <c r="R31" s="25">
        <v>0</v>
      </c>
      <c r="S31" s="12">
        <f t="shared" si="0"/>
        <v>0</v>
      </c>
      <c r="T31" s="5">
        <v>0</v>
      </c>
      <c r="U31" s="12">
        <f t="shared" si="6"/>
        <v>0</v>
      </c>
      <c r="V31" s="25" t="s">
        <v>10</v>
      </c>
      <c r="W31" s="11">
        <f>IFERROR(VLOOKUP(V31,Curr!$B$2:$C$13,2,FALSE),0)</f>
        <v>11.3</v>
      </c>
      <c r="X31" s="12">
        <f t="shared" si="1"/>
        <v>0</v>
      </c>
      <c r="Y31" s="26">
        <f t="shared" si="7"/>
        <v>0</v>
      </c>
      <c r="Z31" s="12">
        <f t="shared" si="2"/>
        <v>0</v>
      </c>
      <c r="AA31" s="4" t="s">
        <v>10</v>
      </c>
      <c r="AB31" s="11">
        <f>IFERROR(VLOOKUP(AA31,Curr!$B$2:$C$13,2,FALSE),0)</f>
        <v>11.3</v>
      </c>
      <c r="AC31" s="12">
        <f t="shared" si="3"/>
        <v>0</v>
      </c>
      <c r="AD31" s="12">
        <f t="shared" si="4"/>
        <v>0</v>
      </c>
      <c r="AE31" s="13">
        <f t="shared" si="5"/>
        <v>0</v>
      </c>
    </row>
    <row r="32" spans="2:31" x14ac:dyDescent="0.25">
      <c r="B32" s="4"/>
      <c r="K32" s="4"/>
      <c r="L32" s="4"/>
      <c r="M32" s="4"/>
      <c r="N32" s="4"/>
      <c r="O32" s="4"/>
      <c r="P32" s="27"/>
      <c r="Q32" s="25"/>
      <c r="R32" s="25"/>
      <c r="S32" s="12">
        <f t="shared" si="0"/>
        <v>0</v>
      </c>
      <c r="T32" s="5">
        <v>0</v>
      </c>
      <c r="U32" s="12">
        <f t="shared" si="6"/>
        <v>0</v>
      </c>
      <c r="V32" s="25" t="s">
        <v>10</v>
      </c>
      <c r="W32" s="11">
        <f>IFERROR(VLOOKUP(V32,Curr!$B$2:$C$13,2,FALSE),0)</f>
        <v>11.3</v>
      </c>
      <c r="X32" s="12">
        <f t="shared" si="1"/>
        <v>0</v>
      </c>
      <c r="Y32" s="26">
        <f t="shared" si="7"/>
        <v>0</v>
      </c>
      <c r="Z32" s="12">
        <f t="shared" si="2"/>
        <v>0</v>
      </c>
      <c r="AA32" s="4" t="s">
        <v>10</v>
      </c>
      <c r="AB32" s="11">
        <f>IFERROR(VLOOKUP(AA32,Curr!$B$2:$C$13,2,FALSE),0)</f>
        <v>11.3</v>
      </c>
      <c r="AC32" s="12">
        <f t="shared" si="3"/>
        <v>0</v>
      </c>
      <c r="AD32" s="12">
        <f t="shared" si="4"/>
        <v>0</v>
      </c>
      <c r="AE32" s="13">
        <f t="shared" si="5"/>
        <v>0</v>
      </c>
    </row>
    <row r="33" spans="2:36" x14ac:dyDescent="0.25">
      <c r="B33" s="4"/>
      <c r="K33" s="4"/>
      <c r="L33" s="4"/>
      <c r="M33" s="4"/>
      <c r="N33" s="4"/>
      <c r="O33" s="4"/>
      <c r="P33" s="33"/>
      <c r="Q33" s="25"/>
      <c r="R33" s="25"/>
      <c r="S33" s="12">
        <f t="shared" si="0"/>
        <v>0</v>
      </c>
      <c r="T33" s="5">
        <v>0</v>
      </c>
      <c r="U33" s="12">
        <f t="shared" si="6"/>
        <v>0</v>
      </c>
      <c r="V33" s="25" t="s">
        <v>10</v>
      </c>
      <c r="W33" s="11">
        <f>IFERROR(VLOOKUP(V33,Curr!$B$2:$C$13,2,FALSE),0)</f>
        <v>11.3</v>
      </c>
      <c r="X33" s="12">
        <f t="shared" si="1"/>
        <v>0</v>
      </c>
      <c r="Y33" s="26">
        <f t="shared" si="7"/>
        <v>0</v>
      </c>
      <c r="Z33" s="12">
        <f t="shared" si="2"/>
        <v>0</v>
      </c>
      <c r="AA33" s="4" t="s">
        <v>10</v>
      </c>
      <c r="AB33" s="11">
        <f>IFERROR(VLOOKUP(AA33,Curr!$B$2:$C$13,2,FALSE),0)</f>
        <v>11.3</v>
      </c>
      <c r="AC33" s="12">
        <f t="shared" si="3"/>
        <v>0</v>
      </c>
      <c r="AD33" s="12">
        <f t="shared" si="4"/>
        <v>0</v>
      </c>
      <c r="AE33" s="13">
        <f t="shared" si="5"/>
        <v>0</v>
      </c>
    </row>
    <row r="34" spans="2:36" x14ac:dyDescent="0.25">
      <c r="B34" s="4"/>
      <c r="E34" s="3"/>
      <c r="F34" s="3"/>
      <c r="G34" s="24"/>
      <c r="H34" s="24"/>
      <c r="K34" s="4"/>
      <c r="L34" s="4"/>
      <c r="M34" s="4"/>
      <c r="N34" s="4"/>
      <c r="O34" s="4"/>
      <c r="P34" s="33"/>
      <c r="Q34" s="25"/>
      <c r="R34" s="25"/>
      <c r="S34" s="12">
        <f t="shared" si="0"/>
        <v>0</v>
      </c>
      <c r="T34" s="5">
        <v>0</v>
      </c>
      <c r="U34" s="12">
        <f t="shared" si="6"/>
        <v>0</v>
      </c>
      <c r="V34" s="25" t="s">
        <v>10</v>
      </c>
      <c r="W34" s="11">
        <f>IFERROR(VLOOKUP(V34,Curr!$B$2:$C$13,2,FALSE),0)</f>
        <v>11.3</v>
      </c>
      <c r="X34" s="12">
        <f t="shared" si="1"/>
        <v>0</v>
      </c>
      <c r="Y34" s="26">
        <f t="shared" si="7"/>
        <v>0</v>
      </c>
      <c r="Z34" s="12">
        <f t="shared" si="2"/>
        <v>0</v>
      </c>
      <c r="AA34" s="4" t="s">
        <v>10</v>
      </c>
      <c r="AB34" s="11">
        <f>IFERROR(VLOOKUP(AA34,Curr!$B$2:$C$13,2,FALSE),0)</f>
        <v>11.3</v>
      </c>
      <c r="AC34" s="12">
        <f t="shared" si="3"/>
        <v>0</v>
      </c>
      <c r="AD34" s="12">
        <f t="shared" si="4"/>
        <v>0</v>
      </c>
      <c r="AE34" s="13">
        <f t="shared" si="5"/>
        <v>0</v>
      </c>
    </row>
    <row r="35" spans="2:36" x14ac:dyDescent="0.25">
      <c r="B35" s="4"/>
      <c r="E35" s="3"/>
      <c r="F35" s="3"/>
      <c r="G35" s="24"/>
      <c r="H35" s="24"/>
      <c r="K35" s="4"/>
      <c r="L35" s="4"/>
      <c r="M35" s="4"/>
      <c r="N35" s="4"/>
      <c r="O35" s="4"/>
      <c r="P35" s="27"/>
      <c r="Q35" s="25"/>
      <c r="R35" s="25"/>
      <c r="S35" s="12">
        <f t="shared" si="0"/>
        <v>0</v>
      </c>
      <c r="T35" s="5">
        <v>0</v>
      </c>
      <c r="U35" s="12">
        <f t="shared" si="6"/>
        <v>0</v>
      </c>
      <c r="V35" s="25" t="s">
        <v>10</v>
      </c>
      <c r="W35" s="11">
        <f>IFERROR(VLOOKUP(V35,Curr!$B$2:$C$13,2,FALSE),0)</f>
        <v>11.3</v>
      </c>
      <c r="X35" s="12">
        <f t="shared" si="1"/>
        <v>0</v>
      </c>
      <c r="Y35" s="26">
        <f t="shared" si="7"/>
        <v>0</v>
      </c>
      <c r="Z35" s="12">
        <f t="shared" si="2"/>
        <v>0</v>
      </c>
      <c r="AA35" s="4" t="s">
        <v>10</v>
      </c>
      <c r="AB35" s="11">
        <f>IFERROR(VLOOKUP(AA35,Curr!$B$2:$C$13,2,FALSE),0)</f>
        <v>11.3</v>
      </c>
      <c r="AC35" s="12">
        <f t="shared" si="3"/>
        <v>0</v>
      </c>
      <c r="AD35" s="12">
        <f t="shared" si="4"/>
        <v>0</v>
      </c>
      <c r="AE35" s="13">
        <f t="shared" si="5"/>
        <v>0</v>
      </c>
    </row>
    <row r="36" spans="2:36" x14ac:dyDescent="0.25">
      <c r="B36" s="4"/>
      <c r="E36" s="3"/>
      <c r="F36" s="3"/>
      <c r="G36" s="24"/>
      <c r="H36" s="24"/>
      <c r="K36" s="4"/>
      <c r="L36" s="4"/>
      <c r="M36" s="4"/>
      <c r="N36" s="4"/>
      <c r="O36" s="4"/>
      <c r="P36" s="33"/>
      <c r="Q36" s="25"/>
      <c r="R36" s="25"/>
      <c r="S36" s="12">
        <f t="shared" si="0"/>
        <v>0</v>
      </c>
      <c r="T36" s="5">
        <v>0</v>
      </c>
      <c r="U36" s="12">
        <f t="shared" si="6"/>
        <v>0</v>
      </c>
      <c r="V36" s="25" t="s">
        <v>10</v>
      </c>
      <c r="W36" s="11">
        <f>IFERROR(VLOOKUP(V36,Curr!$B$2:$C$13,2,FALSE),0)</f>
        <v>11.3</v>
      </c>
      <c r="X36" s="12">
        <f t="shared" si="1"/>
        <v>0</v>
      </c>
      <c r="Y36" s="26">
        <f t="shared" si="7"/>
        <v>0</v>
      </c>
      <c r="Z36" s="12">
        <f t="shared" si="2"/>
        <v>0</v>
      </c>
      <c r="AA36" s="4" t="s">
        <v>10</v>
      </c>
      <c r="AB36" s="11">
        <f>IFERROR(VLOOKUP(AA36,Curr!$B$2:$C$13,2,FALSE),0)</f>
        <v>11.3</v>
      </c>
      <c r="AC36" s="12">
        <f t="shared" si="3"/>
        <v>0</v>
      </c>
      <c r="AD36" s="12">
        <f t="shared" si="4"/>
        <v>0</v>
      </c>
      <c r="AE36" s="13">
        <f t="shared" si="5"/>
        <v>0</v>
      </c>
    </row>
    <row r="37" spans="2:36" x14ac:dyDescent="0.25">
      <c r="B37" s="4"/>
      <c r="E37" s="3"/>
      <c r="F37" s="3"/>
      <c r="G37" s="24"/>
      <c r="H37" s="24"/>
      <c r="K37" s="4"/>
      <c r="L37" s="4"/>
      <c r="M37" s="4"/>
      <c r="N37" s="4"/>
      <c r="O37" s="4"/>
      <c r="P37" s="27"/>
      <c r="Q37" s="25"/>
      <c r="R37" s="25"/>
      <c r="S37" s="12">
        <f t="shared" si="0"/>
        <v>0</v>
      </c>
      <c r="T37" s="5">
        <v>0</v>
      </c>
      <c r="U37" s="12">
        <f t="shared" si="6"/>
        <v>0</v>
      </c>
      <c r="V37" s="25" t="s">
        <v>10</v>
      </c>
      <c r="W37" s="11">
        <f>IFERROR(VLOOKUP(V37,Curr!$B$2:$C$13,2,FALSE),0)</f>
        <v>11.3</v>
      </c>
      <c r="X37" s="12">
        <f t="shared" si="1"/>
        <v>0</v>
      </c>
      <c r="Y37" s="26">
        <f t="shared" si="7"/>
        <v>0</v>
      </c>
      <c r="Z37" s="12">
        <f t="shared" si="2"/>
        <v>0</v>
      </c>
      <c r="AA37" s="4" t="s">
        <v>10</v>
      </c>
      <c r="AB37" s="11">
        <f>IFERROR(VLOOKUP(AA37,Curr!$B$2:$C$13,2,FALSE),0)</f>
        <v>11.3</v>
      </c>
      <c r="AC37" s="12">
        <f t="shared" si="3"/>
        <v>0</v>
      </c>
      <c r="AD37" s="12">
        <f t="shared" si="4"/>
        <v>0</v>
      </c>
      <c r="AE37" s="13">
        <f t="shared" si="5"/>
        <v>0</v>
      </c>
    </row>
    <row r="38" spans="2:36" x14ac:dyDescent="0.25">
      <c r="B38" s="4"/>
      <c r="E38" s="3"/>
      <c r="F38" s="3"/>
      <c r="G38" s="24"/>
      <c r="H38" s="24"/>
      <c r="K38" s="4"/>
      <c r="L38" s="4"/>
      <c r="M38" s="4"/>
      <c r="N38" s="4"/>
      <c r="O38" s="4"/>
      <c r="P38" s="33"/>
      <c r="Q38" s="25"/>
      <c r="R38" s="25"/>
      <c r="S38" s="12">
        <f t="shared" si="0"/>
        <v>0</v>
      </c>
      <c r="T38" s="5">
        <v>0</v>
      </c>
      <c r="U38" s="12">
        <f t="shared" si="6"/>
        <v>0</v>
      </c>
      <c r="V38" s="25" t="s">
        <v>10</v>
      </c>
      <c r="W38" s="11">
        <f>IFERROR(VLOOKUP(V38,Curr!$B$2:$C$13,2,FALSE),0)</f>
        <v>11.3</v>
      </c>
      <c r="X38" s="12">
        <f t="shared" si="1"/>
        <v>0</v>
      </c>
      <c r="Y38" s="26">
        <f t="shared" si="7"/>
        <v>0</v>
      </c>
      <c r="Z38" s="12">
        <f t="shared" si="2"/>
        <v>0</v>
      </c>
      <c r="AA38" s="4" t="s">
        <v>10</v>
      </c>
      <c r="AB38" s="11">
        <f>IFERROR(VLOOKUP(AA38,Curr!$B$2:$C$13,2,FALSE),0)</f>
        <v>11.3</v>
      </c>
      <c r="AC38" s="12">
        <f t="shared" si="3"/>
        <v>0</v>
      </c>
      <c r="AD38" s="12">
        <f t="shared" si="4"/>
        <v>0</v>
      </c>
      <c r="AE38" s="13">
        <f t="shared" si="5"/>
        <v>0</v>
      </c>
    </row>
    <row r="39" spans="2:36" x14ac:dyDescent="0.25">
      <c r="B39" s="4"/>
      <c r="E39" s="3"/>
      <c r="F39" s="3"/>
      <c r="G39" s="3"/>
      <c r="H39" s="3"/>
      <c r="L39" s="4"/>
      <c r="M39" s="4"/>
      <c r="N39" s="4"/>
      <c r="O39" s="4"/>
      <c r="P39" s="22"/>
      <c r="Q39" s="4"/>
      <c r="R39" s="4"/>
      <c r="S39" s="4"/>
      <c r="T39" s="4"/>
      <c r="U39" s="4"/>
      <c r="V39" s="4"/>
      <c r="W39" s="4"/>
      <c r="X39" s="4"/>
      <c r="Y39" s="4"/>
      <c r="Z39" s="4"/>
      <c r="AA39" s="4"/>
      <c r="AB39" s="4"/>
      <c r="AC39" s="4"/>
      <c r="AD39" s="4"/>
      <c r="AE39" s="4"/>
      <c r="AF39" s="4"/>
    </row>
    <row r="40" spans="2:36" x14ac:dyDescent="0.25">
      <c r="B40" s="14" t="s">
        <v>18</v>
      </c>
      <c r="C40" s="14"/>
      <c r="D40" s="28" t="s">
        <v>42</v>
      </c>
      <c r="E40" s="30" t="s">
        <v>42</v>
      </c>
      <c r="F40" s="30" t="s">
        <v>42</v>
      </c>
      <c r="G40" s="30" t="s">
        <v>42</v>
      </c>
      <c r="H40" s="30" t="s">
        <v>42</v>
      </c>
      <c r="I40" s="28" t="s">
        <v>42</v>
      </c>
      <c r="J40" s="28" t="s">
        <v>42</v>
      </c>
      <c r="K40" s="28" t="s">
        <v>42</v>
      </c>
      <c r="L40" s="28" t="s">
        <v>42</v>
      </c>
      <c r="M40" s="28" t="s">
        <v>42</v>
      </c>
      <c r="N40" s="28" t="s">
        <v>42</v>
      </c>
      <c r="O40" s="28" t="s">
        <v>42</v>
      </c>
      <c r="P40" s="28" t="s">
        <v>42</v>
      </c>
      <c r="Q40" s="31" t="s">
        <v>42</v>
      </c>
      <c r="R40" s="28" t="s">
        <v>42</v>
      </c>
      <c r="S40" s="32" t="s">
        <v>42</v>
      </c>
      <c r="T40" s="28" t="s">
        <v>42</v>
      </c>
      <c r="U40" s="32" t="s">
        <v>42</v>
      </c>
      <c r="V40" s="28" t="s">
        <v>42</v>
      </c>
      <c r="W40" s="28" t="s">
        <v>42</v>
      </c>
      <c r="X40" s="32" t="s">
        <v>42</v>
      </c>
      <c r="Y40" s="32" t="s">
        <v>42</v>
      </c>
      <c r="Z40" s="15">
        <f>SUM(Z7:Z38)</f>
        <v>4512.666666666667</v>
      </c>
      <c r="AA40" s="14"/>
      <c r="AB40" s="14"/>
      <c r="AC40" s="15">
        <f>SUM(AC7:AC38)</f>
        <v>50993.133333333339</v>
      </c>
      <c r="AD40" s="15">
        <f>SUM(AD7:AD38)</f>
        <v>12094.013333333334</v>
      </c>
      <c r="AE40" s="21">
        <f t="shared" ref="AE40" si="8">IFERROR(AD40/AC40,0)</f>
        <v>0.23716944895848721</v>
      </c>
      <c r="AF40" s="15">
        <f>SUM(AF8:AF39)</f>
        <v>0</v>
      </c>
      <c r="AG40" s="15">
        <f>SUM(AG8:AG39)</f>
        <v>0</v>
      </c>
      <c r="AH40" s="15">
        <f>SUM(AH8:AH39)</f>
        <v>0</v>
      </c>
      <c r="AI40" s="15">
        <f>SUM(AI8:AI39)</f>
        <v>0</v>
      </c>
      <c r="AJ40" s="15">
        <f>SUM(AJ8:AJ39)</f>
        <v>0</v>
      </c>
    </row>
    <row r="41" spans="2:36" x14ac:dyDescent="0.25">
      <c r="B41" s="4"/>
      <c r="E41" s="3"/>
      <c r="F41" s="3"/>
      <c r="G41" s="3"/>
      <c r="H41" s="3"/>
      <c r="L41" s="4"/>
      <c r="M41" s="4"/>
      <c r="N41" s="4"/>
      <c r="O41" s="4"/>
      <c r="Q41" s="4"/>
      <c r="R41" s="4"/>
      <c r="S41" s="4"/>
      <c r="T41" s="4"/>
      <c r="U41" s="4"/>
      <c r="V41" s="4"/>
      <c r="W41" s="4"/>
      <c r="X41" s="4"/>
      <c r="Y41" s="9"/>
      <c r="Z41" s="9"/>
      <c r="AA41" s="9"/>
      <c r="AB41" s="9"/>
      <c r="AC41" s="9"/>
      <c r="AD41" s="9"/>
      <c r="AE41" s="9"/>
    </row>
    <row r="42" spans="2:36" x14ac:dyDescent="0.25">
      <c r="B42" s="4"/>
      <c r="E42" s="3"/>
      <c r="F42" s="3"/>
      <c r="G42" s="3"/>
      <c r="H42" s="3"/>
      <c r="L42" s="4"/>
      <c r="M42" s="4"/>
      <c r="N42" s="4"/>
      <c r="O42" s="4"/>
      <c r="Q42" s="9"/>
      <c r="R42" s="9"/>
      <c r="S42" s="9"/>
      <c r="T42" s="9"/>
      <c r="U42" s="9"/>
      <c r="V42" s="9"/>
      <c r="W42" s="9"/>
      <c r="X42" s="23"/>
      <c r="Y42" s="34" t="s">
        <v>43</v>
      </c>
      <c r="Z42" s="34">
        <v>4530</v>
      </c>
      <c r="AA42" s="9">
        <v>5250</v>
      </c>
      <c r="AB42" s="9"/>
      <c r="AC42" s="9"/>
      <c r="AD42" s="9"/>
      <c r="AE42" s="9"/>
    </row>
    <row r="43" spans="2:36" x14ac:dyDescent="0.25">
      <c r="B43" s="4"/>
      <c r="E43" s="3"/>
      <c r="F43" s="3"/>
      <c r="G43" s="3"/>
      <c r="H43" s="3"/>
      <c r="L43" s="4"/>
      <c r="M43" s="4"/>
      <c r="N43" s="4"/>
      <c r="O43" s="4"/>
      <c r="Q43" s="9"/>
      <c r="R43" s="9"/>
      <c r="S43" s="9"/>
      <c r="T43" s="9"/>
      <c r="U43" s="9"/>
      <c r="V43" s="9"/>
      <c r="W43" s="9"/>
      <c r="X43" s="9"/>
      <c r="Y43" s="34" t="s">
        <v>44</v>
      </c>
      <c r="Z43" s="34">
        <f>Z42/3</f>
        <v>1510</v>
      </c>
      <c r="AA43" s="9">
        <f>AA42/3</f>
        <v>1750</v>
      </c>
      <c r="AB43" s="9"/>
      <c r="AC43" s="9"/>
      <c r="AD43" s="9"/>
      <c r="AE43" s="9"/>
      <c r="AF43" s="18"/>
    </row>
    <row r="44" spans="2:36" x14ac:dyDescent="0.25">
      <c r="B44" s="4"/>
      <c r="E44" s="3"/>
      <c r="F44" s="3"/>
      <c r="G44" s="3"/>
      <c r="H44" s="3"/>
      <c r="I44" s="19"/>
      <c r="L44" s="4"/>
      <c r="M44" s="4"/>
      <c r="N44" s="4"/>
      <c r="O44" s="20"/>
      <c r="Q44" s="20"/>
      <c r="R44" s="20"/>
      <c r="S44" s="20"/>
      <c r="T44" s="20"/>
      <c r="U44" s="20"/>
      <c r="V44" s="20"/>
      <c r="W44" s="20"/>
      <c r="X44" s="20"/>
      <c r="Y44" s="9"/>
      <c r="Z44" s="9"/>
      <c r="AA44" s="9"/>
      <c r="AB44" s="9"/>
      <c r="AC44" s="9"/>
      <c r="AD44" s="9"/>
      <c r="AE44" s="9"/>
      <c r="AF44" s="18"/>
    </row>
    <row r="45" spans="2:36" x14ac:dyDescent="0.25">
      <c r="B45" s="4"/>
      <c r="E45" s="3"/>
      <c r="F45" s="3"/>
      <c r="G45" s="3"/>
      <c r="H45" s="3"/>
      <c r="L45" s="4"/>
      <c r="M45" s="4"/>
      <c r="N45" s="4"/>
      <c r="O45" s="20"/>
      <c r="Q45" s="20"/>
      <c r="R45" s="20"/>
      <c r="S45" s="20"/>
      <c r="T45" s="20"/>
      <c r="U45" s="20"/>
      <c r="V45" s="20"/>
      <c r="W45" s="20"/>
      <c r="X45" s="20"/>
      <c r="Y45" s="9" t="s">
        <v>49</v>
      </c>
      <c r="Z45" s="9">
        <v>490</v>
      </c>
      <c r="AA45" s="9">
        <v>570</v>
      </c>
      <c r="AB45" s="9"/>
      <c r="AC45" s="9"/>
      <c r="AD45" s="9"/>
      <c r="AE45" s="9"/>
      <c r="AF45" s="18"/>
    </row>
    <row r="46" spans="2:36" x14ac:dyDescent="0.25">
      <c r="B46" s="4"/>
      <c r="E46" s="3"/>
      <c r="F46" s="3"/>
      <c r="G46" s="3"/>
      <c r="H46" s="3"/>
      <c r="L46" s="4"/>
      <c r="M46" s="4"/>
      <c r="N46" s="4"/>
      <c r="O46" s="4"/>
      <c r="Q46" s="9"/>
      <c r="R46" s="9"/>
      <c r="S46" s="9"/>
      <c r="T46" s="9"/>
      <c r="U46" s="9"/>
      <c r="V46" s="9"/>
      <c r="W46" s="9"/>
      <c r="X46" s="9"/>
      <c r="Y46" s="9" t="s">
        <v>47</v>
      </c>
      <c r="Z46" s="9">
        <v>2880</v>
      </c>
      <c r="AA46" s="9">
        <v>3330</v>
      </c>
      <c r="AB46" s="9"/>
      <c r="AC46" s="9"/>
      <c r="AD46" s="9"/>
      <c r="AE46" s="9"/>
      <c r="AF46" s="18"/>
    </row>
    <row r="47" spans="2:36" x14ac:dyDescent="0.25">
      <c r="F47" s="1"/>
      <c r="G47" s="1"/>
      <c r="H47" s="1"/>
      <c r="J47" s="1" t="s">
        <v>32</v>
      </c>
      <c r="Q47" s="9"/>
      <c r="R47" s="4"/>
      <c r="S47" s="9"/>
      <c r="T47" s="5"/>
      <c r="U47" s="9"/>
      <c r="V47" s="4"/>
      <c r="W47" s="4"/>
      <c r="X47" s="9"/>
      <c r="Y47" s="9" t="s">
        <v>68</v>
      </c>
      <c r="Z47" s="9">
        <v>1160</v>
      </c>
      <c r="AA47" s="9">
        <v>1350</v>
      </c>
      <c r="AB47" s="9"/>
      <c r="AC47" s="9"/>
      <c r="AD47" s="9"/>
      <c r="AE47" s="9"/>
    </row>
    <row r="48" spans="2:36" x14ac:dyDescent="0.25">
      <c r="R48" s="4"/>
      <c r="S48" s="17"/>
      <c r="T48" s="17"/>
      <c r="U48" s="9"/>
      <c r="V48" s="4"/>
      <c r="W48" s="4"/>
      <c r="X48" s="9"/>
      <c r="Y48" s="9"/>
      <c r="Z48" s="9"/>
      <c r="AA48" s="9"/>
      <c r="AB48" s="9"/>
      <c r="AC48" s="9"/>
      <c r="AD48" s="9"/>
      <c r="AE48" s="9"/>
    </row>
    <row r="49" spans="17:31" x14ac:dyDescent="0.25">
      <c r="Q49" s="9"/>
      <c r="R49" s="4"/>
      <c r="S49" s="16"/>
      <c r="T49" s="16"/>
      <c r="U49" s="9"/>
      <c r="V49" s="4"/>
      <c r="W49" s="4"/>
      <c r="X49" s="9"/>
      <c r="Y49" s="9"/>
      <c r="Z49" s="9"/>
      <c r="AA49" s="9"/>
      <c r="AB49" s="9"/>
      <c r="AC49" s="9"/>
      <c r="AD49" s="9"/>
      <c r="AE49" s="9"/>
    </row>
    <row r="50" spans="17:31" x14ac:dyDescent="0.25">
      <c r="R50" s="4"/>
      <c r="S50" s="16"/>
      <c r="T50" s="16"/>
      <c r="Y50" s="9"/>
      <c r="Z50" s="9"/>
      <c r="AA50" s="9"/>
      <c r="AB50" s="9"/>
      <c r="AC50" s="9"/>
      <c r="AD50" s="9"/>
      <c r="AE50" s="9"/>
    </row>
    <row r="51" spans="17:31" x14ac:dyDescent="0.25">
      <c r="T51" s="5"/>
      <c r="Y51" s="9"/>
      <c r="Z51" s="9"/>
      <c r="AA51" s="9"/>
      <c r="AB51" s="9"/>
      <c r="AC51" s="9"/>
      <c r="AD51" s="9"/>
      <c r="AE51" s="9"/>
    </row>
    <row r="52" spans="17:31" x14ac:dyDescent="0.25">
      <c r="T52" s="5"/>
      <c r="Y52" s="9"/>
      <c r="Z52" s="9"/>
      <c r="AA52" s="9"/>
      <c r="AB52" s="9"/>
      <c r="AC52" s="9"/>
      <c r="AD52" s="9"/>
      <c r="AE52" s="9"/>
    </row>
    <row r="53" spans="17:31" x14ac:dyDescent="0.25">
      <c r="T53" s="5"/>
      <c r="Y53" s="9"/>
      <c r="Z53" s="9"/>
      <c r="AA53" s="9"/>
      <c r="AB53" s="9"/>
      <c r="AC53" s="9"/>
      <c r="AD53" s="9"/>
      <c r="AE53" s="9"/>
    </row>
    <row r="54" spans="17:31" x14ac:dyDescent="0.25">
      <c r="T54" s="5"/>
      <c r="Y54" s="9"/>
      <c r="Z54" s="9"/>
      <c r="AA54" s="9"/>
      <c r="AB54" s="9"/>
      <c r="AC54" s="9"/>
      <c r="AD54" s="9"/>
      <c r="AE54" s="9"/>
    </row>
    <row r="55" spans="17:31" x14ac:dyDescent="0.25">
      <c r="T55" s="5"/>
      <c r="Y55" s="9"/>
      <c r="Z55" s="9"/>
      <c r="AA55" s="9"/>
      <c r="AB55" s="9"/>
      <c r="AC55" s="9"/>
      <c r="AD55" s="9"/>
      <c r="AE55" s="9"/>
    </row>
    <row r="56" spans="17:31" x14ac:dyDescent="0.25">
      <c r="T56" s="5"/>
      <c r="Y56" s="9"/>
      <c r="Z56" s="9"/>
      <c r="AA56" s="9"/>
      <c r="AB56" s="9"/>
      <c r="AC56" s="9"/>
      <c r="AD56" s="9"/>
      <c r="AE56" s="9"/>
    </row>
    <row r="57" spans="17:31" x14ac:dyDescent="0.25">
      <c r="T57" s="5"/>
      <c r="Y57" s="9"/>
      <c r="Z57" s="9"/>
      <c r="AA57" s="9"/>
      <c r="AB57" s="9"/>
      <c r="AC57" s="9"/>
      <c r="AD57" s="9"/>
      <c r="AE57" s="9"/>
    </row>
    <row r="58" spans="17:31" x14ac:dyDescent="0.25">
      <c r="T58" s="5"/>
      <c r="Y58" s="9"/>
      <c r="Z58" s="9"/>
      <c r="AA58" s="9"/>
      <c r="AB58" s="9"/>
      <c r="AC58" s="9"/>
      <c r="AD58" s="9"/>
      <c r="AE58" s="9"/>
    </row>
    <row r="59" spans="17:31" x14ac:dyDescent="0.25">
      <c r="T59" s="5"/>
    </row>
    <row r="60" spans="17:31" x14ac:dyDescent="0.25">
      <c r="T60" s="5"/>
    </row>
    <row r="61" spans="17:31" x14ac:dyDescent="0.25">
      <c r="T61" s="5"/>
    </row>
    <row r="62" spans="17:31" x14ac:dyDescent="0.25">
      <c r="T62" s="5"/>
    </row>
    <row r="63" spans="17:31" x14ac:dyDescent="0.25">
      <c r="T63" s="5"/>
    </row>
  </sheetData>
  <autoFilter ref="B6:AE40" xr:uid="{65FA6D9B-E0AF-46CD-BA0D-86BB75FE6AB0}"/>
  <hyperlinks>
    <hyperlink ref="P14" r:id="rId1" xr:uid="{50DF63A3-ED18-4449-9DD6-F20061E1778F}"/>
    <hyperlink ref="P11" r:id="rId2" xr:uid="{E9CAA6E6-A5E7-432F-9184-0E2FE67D8AB0}"/>
    <hyperlink ref="P19" r:id="rId3" xr:uid="{38B690A7-CB37-40D1-B1EC-DB5176D8C0D5}"/>
    <hyperlink ref="P21" r:id="rId4" xr:uid="{2802FC3F-E265-43E0-82EB-191B9E675803}"/>
    <hyperlink ref="P26" r:id="rId5" xr:uid="{AB5C206C-FE89-4E54-BCA4-163352900158}"/>
    <hyperlink ref="P16" r:id="rId6" xr:uid="{0ECB8616-8C37-4C10-8161-1BCE97037A8B}"/>
    <hyperlink ref="P10" r:id="rId7" xr:uid="{6493E460-82A4-4364-8130-C5A79ED1F689}"/>
    <hyperlink ref="P8" r:id="rId8" display="https://app.hotelbeds.com/carhire/search?specialEquipment=AUTOMATIC&amp;baggage=3,4&amp;results=20&amp;sortBy=LOWEST_PRICE_FIRST&amp;field=PRICE&amp;direction=ASCENDING&amp;page=1&amp;destinationTab=Oslo%20Airport%20(OSL)&amp;pickupDate=09-06-2026&amp;pickupTime=08:00&amp;dropoffDate=13-06-2026&amp;dropoffTime=08:00&amp;sameOfficeCheckbox=true&amp;officePickupControl=1758&amp;officeDropoffControl=1758&amp;typeDepartureCode=airport&amp;_timestamp=1780558935093&amp;typeArrivalCode=airport&amp;departureTab=" xr:uid="{E0AB3AED-A78B-40C6-AFEF-B595B8D91DCF}"/>
  </hyperlinks>
  <pageMargins left="0.7" right="0.7" top="0.75" bottom="0.75" header="0.3" footer="0.3"/>
  <pageSetup paperSize="9" orientation="portrait" r:id="rId9"/>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b6e2739-bd71-49a7-afc4-e179dfe94dc1">
      <Terms xmlns="http://schemas.microsoft.com/office/infopath/2007/PartnerControls"/>
    </lcf76f155ced4ddcb4097134ff3c332f>
    <TaxCatchAll xmlns="2b30070a-7262-4d8b-a938-b3248c63566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1123EF72DA63D44FA2A28E00AC11E8EE" ma:contentTypeVersion="18" ma:contentTypeDescription="Opprett et nytt dokument." ma:contentTypeScope="" ma:versionID="0e7978918f7ba2b56dd79afad014a1ed">
  <xsd:schema xmlns:xsd="http://www.w3.org/2001/XMLSchema" xmlns:xs="http://www.w3.org/2001/XMLSchema" xmlns:p="http://schemas.microsoft.com/office/2006/metadata/properties" xmlns:ns2="9b6e2739-bd71-49a7-afc4-e179dfe94dc1" xmlns:ns3="2b30070a-7262-4d8b-a938-b3248c635664" targetNamespace="http://schemas.microsoft.com/office/2006/metadata/properties" ma:root="true" ma:fieldsID="c48e0c1802030b8740a8f4de73b33bbb" ns2:_="" ns3:_="">
    <xsd:import namespace="9b6e2739-bd71-49a7-afc4-e179dfe94dc1"/>
    <xsd:import namespace="2b30070a-7262-4d8b-a938-b3248c635664"/>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ServiceLocation" minOccurs="0"/>
                <xsd:element ref="ns2:MediaServiceAutoKeyPoints" minOccurs="0"/>
                <xsd:element ref="ns2:MediaServiceKeyPoints"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6e2739-bd71-49a7-afc4-e179dfe94dc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Bildemerkelapper" ma:readOnly="false" ma:fieldId="{5cf76f15-5ced-4ddc-b409-7134ff3c332f}" ma:taxonomyMulti="true" ma:sspId="cfc72ce7-c435-4f97-944d-94ae49e3dcf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b30070a-7262-4d8b-a938-b3248c635664" elementFormDefault="qualified">
    <xsd:import namespace="http://schemas.microsoft.com/office/2006/documentManagement/types"/>
    <xsd:import namespace="http://schemas.microsoft.com/office/infopath/2007/PartnerControls"/>
    <xsd:element name="SharedWithUsers" ma:index="19" nillable="true" ma:displayName="Del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Delingsdetaljer" ma:internalName="SharedWithDetails" ma:readOnly="true">
      <xsd:simpleType>
        <xsd:restriction base="dms:Note">
          <xsd:maxLength value="255"/>
        </xsd:restriction>
      </xsd:simpleType>
    </xsd:element>
    <xsd:element name="TaxCatchAll" ma:index="23" nillable="true" ma:displayName="Taxonomy Catch All Column" ma:hidden="true" ma:list="{5266e5a3-2fe4-433c-87fb-0dc58561f75a}" ma:internalName="TaxCatchAll" ma:showField="CatchAllData" ma:web="2b30070a-7262-4d8b-a938-b3248c6356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holdstype"/>
        <xsd:element ref="dc:title" minOccurs="0" maxOccurs="1" ma:index="4" ma:displayName="Tit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A692FD7-DCDA-4048-8BCD-FC2D85C5421C}">
  <ds:schemaRefs>
    <ds:schemaRef ds:uri="http://schemas.microsoft.com/office/2006/metadata/properties"/>
    <ds:schemaRef ds:uri="http://schemas.microsoft.com/office/infopath/2007/PartnerControls"/>
    <ds:schemaRef ds:uri="9b6e2739-bd71-49a7-afc4-e179dfe94dc1"/>
    <ds:schemaRef ds:uri="2b30070a-7262-4d8b-a938-b3248c635664"/>
  </ds:schemaRefs>
</ds:datastoreItem>
</file>

<file path=customXml/itemProps2.xml><?xml version="1.0" encoding="utf-8"?>
<ds:datastoreItem xmlns:ds="http://schemas.openxmlformats.org/officeDocument/2006/customXml" ds:itemID="{A477E57D-ABDD-4DAE-B3A5-315ED7FE90BD}">
  <ds:schemaRefs>
    <ds:schemaRef ds:uri="http://schemas.microsoft.com/sharepoint/v3/contenttype/forms"/>
  </ds:schemaRefs>
</ds:datastoreItem>
</file>

<file path=customXml/itemProps3.xml><?xml version="1.0" encoding="utf-8"?>
<ds:datastoreItem xmlns:ds="http://schemas.openxmlformats.org/officeDocument/2006/customXml" ds:itemID="{B5583956-6198-441D-88CE-2DAC6C9CB2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6e2739-bd71-49a7-afc4-e179dfe94dc1"/>
    <ds:schemaRef ds:uri="2b30070a-7262-4d8b-a938-b3248c63566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Curr</vt:lpstr>
      <vt:lpstr>Kalk</vt:lpstr>
      <vt:lpstr>Kalk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Christer Andre Olsen</dc:creator>
  <cp:lastModifiedBy>Dennis Kålen</cp:lastModifiedBy>
  <dcterms:created xsi:type="dcterms:W3CDTF">2023-07-31T16:02:03Z</dcterms:created>
  <dcterms:modified xsi:type="dcterms:W3CDTF">2026-06-04T11:00:36Z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0x0101001123EF72DA63D44FA2A28E00AC11E8EE</vt:lpwstr>
  </property>
  <property fmtid="{D5CDD505-2E9C-101B-9397-08002B2CF9AE}" pid="3" name="MediaServiceImageTags">
    <vt:lpwstr/>
  </property>
</Properties>
</file>